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2-7466-CM00\Desktop\"/>
    </mc:Choice>
  </mc:AlternateContent>
  <xr:revisionPtr revIDLastSave="0" documentId="13_ncr:1_{D39F588F-0138-4693-8173-9EA5DA91010F}" xr6:coauthVersionLast="47" xr6:coauthVersionMax="47" xr10:uidLastSave="{00000000-0000-0000-0000-000000000000}"/>
  <bookViews>
    <workbookView xWindow="-120" yWindow="-120" windowWidth="29040" windowHeight="15720" firstSheet="2" activeTab="10" xr2:uid="{00000000-000D-0000-FFFF-FFFF00000000}"/>
  </bookViews>
  <sheets>
    <sheet name="Cluster_Master" sheetId="2" r:id="rId1"/>
    <sheet name="Lookups" sheetId="3" r:id="rId2"/>
    <sheet name="KPI_Weights" sheetId="4" r:id="rId3"/>
    <sheet name="Weekly_Inspections" sheetId="5" r:id="rId4"/>
    <sheet name="Weekly_Dashboard" sheetId="6" r:id="rId5"/>
    <sheet name="Monthly_Dashboard" sheetId="7" r:id="rId6"/>
    <sheet name="Gap_Analysis" sheetId="8" r:id="rId7"/>
    <sheet name="CAPA_Tracker" sheetId="9" r:id="rId8"/>
    <sheet name="April" sheetId="10" r:id="rId9"/>
    <sheet name="May" sheetId="11" r:id="rId10"/>
    <sheet name="June" sheetId="12" r:id="rId11"/>
    <sheet name="KPI Scoring" sheetId="13" r:id="rId12"/>
  </sheets>
  <externalReferences>
    <externalReference r:id="rId13"/>
  </externalReferences>
  <definedNames>
    <definedName name="_xlnm._FilterDatabase" localSheetId="3" hidden="1">Weekly_Inspections!$A$3:$BF$499</definedName>
    <definedName name="Cluster_List" localSheetId="8">[1]Lookups!$B$4:$B$18</definedName>
    <definedName name="Cluster_List" localSheetId="10">[1]Lookups!$B$4:$B$18</definedName>
    <definedName name="Cluster_List" localSheetId="11">[1]Lookups!$B$4:$B$18</definedName>
    <definedName name="Cluster_List" localSheetId="9">[1]Lookups!$B$4:$B$18</definedName>
    <definedName name="Cluster_List">Lookups!$B$4:$B$18</definedName>
    <definedName name="Evaluator_Role_List" localSheetId="8">[1]Lookups!$C$4:$C$12</definedName>
    <definedName name="Evaluator_Role_List" localSheetId="10">[1]Lookups!$C$4:$C$12</definedName>
    <definedName name="Evaluator_Role_List" localSheetId="11">[1]Lookups!$C$4:$C$12</definedName>
    <definedName name="Evaluator_Role_List" localSheetId="9">[1]Lookups!$C$4:$C$12</definedName>
    <definedName name="Evaluator_Role_List">Lookups!$C$4:$C$12</definedName>
    <definedName name="High_Risk_Activity_List" localSheetId="8">[1]Lookups!$D$4:$D$19</definedName>
    <definedName name="High_Risk_Activity_List" localSheetId="10">[1]Lookups!$D$4:$D$19</definedName>
    <definedName name="High_Risk_Activity_List" localSheetId="11">[1]Lookups!$D$4:$D$19</definedName>
    <definedName name="High_Risk_Activity_List" localSheetId="9">[1]Lookups!$D$4:$D$19</definedName>
    <definedName name="High_Risk_Activity_List">Lookups!$D$4:$D$19</definedName>
    <definedName name="KPI_List" localSheetId="8">[1]Lookups!$H$4:$H$18</definedName>
    <definedName name="KPI_List" localSheetId="10">[1]Lookups!$H$4:$H$18</definedName>
    <definedName name="KPI_List" localSheetId="11">[1]Lookups!$H$4:$H$18</definedName>
    <definedName name="KPI_List" localSheetId="9">[1]Lookups!$H$4:$H$18</definedName>
    <definedName name="KPI_List">Lookups!$H$4:$H$18</definedName>
    <definedName name="Package_List" localSheetId="8">[1]Lookups!$A$4:$A$6</definedName>
    <definedName name="Package_List" localSheetId="10">[1]Lookups!$A$4:$A$6</definedName>
    <definedName name="Package_List" localSheetId="11">[1]Lookups!$A$4:$A$6</definedName>
    <definedName name="Package_List" localSheetId="9">[1]Lookups!$A$4:$A$6</definedName>
    <definedName name="Package_List">Lookups!$A$4:$A$6</definedName>
    <definedName name="Root_Cause_List" localSheetId="8">[1]Lookups!$F$4:$F$14</definedName>
    <definedName name="Root_Cause_List" localSheetId="10">[1]Lookups!$F$4:$F$14</definedName>
    <definedName name="Root_Cause_List" localSheetId="11">[1]Lookups!$F$4:$F$14</definedName>
    <definedName name="Root_Cause_List" localSheetId="9">[1]Lookups!$F$4:$F$14</definedName>
    <definedName name="Root_Cause_List">Lookups!$F$4:$F$14</definedName>
    <definedName name="Score_List">Lookups!$I$2:$I$7</definedName>
    <definedName name="Status_List">Lookups!$G$4:$G$7</definedName>
    <definedName name="Yes_No_List" localSheetId="8">[1]Lookups!$E$4:$E$5</definedName>
    <definedName name="Yes_No_List" localSheetId="10">[1]Lookups!$E$4:$E$5</definedName>
    <definedName name="Yes_No_List" localSheetId="11">[1]Lookups!$E$4:$E$5</definedName>
    <definedName name="Yes_No_List" localSheetId="9">[1]Lookups!$E$4:$E$5</definedName>
    <definedName name="Yes_No_List">Lookups!$E$4:$E$5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" i="13" l="1"/>
  <c r="C4" i="13"/>
  <c r="D4" i="13"/>
  <c r="G4" i="13"/>
  <c r="H4" i="13"/>
  <c r="I4" i="13"/>
  <c r="J4" i="13"/>
  <c r="K4" i="13"/>
  <c r="L4" i="13"/>
  <c r="M4" i="13"/>
  <c r="AI4" i="13"/>
  <c r="AJ4" i="13"/>
  <c r="AM4" i="13" s="1"/>
  <c r="AK4" i="13"/>
  <c r="AL4" i="13"/>
  <c r="A5" i="13"/>
  <c r="C5" i="13"/>
  <c r="D5" i="13"/>
  <c r="G5" i="13"/>
  <c r="H5" i="13"/>
  <c r="I5" i="13"/>
  <c r="J5" i="13"/>
  <c r="K5" i="13"/>
  <c r="L5" i="13"/>
  <c r="M5" i="13"/>
  <c r="AI5" i="13"/>
  <c r="AJ5" i="13"/>
  <c r="AM5" i="13" s="1"/>
  <c r="AK5" i="13"/>
  <c r="AL5" i="13"/>
  <c r="A6" i="13"/>
  <c r="C6" i="13"/>
  <c r="D6" i="13"/>
  <c r="G6" i="13"/>
  <c r="H6" i="13"/>
  <c r="I6" i="13"/>
  <c r="J6" i="13"/>
  <c r="K6" i="13"/>
  <c r="L6" i="13"/>
  <c r="M6" i="13"/>
  <c r="AI6" i="13"/>
  <c r="AJ6" i="13"/>
  <c r="AK6" i="13"/>
  <c r="AL6" i="13"/>
  <c r="AM6" i="13"/>
  <c r="AN6" i="13"/>
  <c r="A7" i="13"/>
  <c r="C7" i="13"/>
  <c r="D7" i="13"/>
  <c r="G7" i="13"/>
  <c r="H7" i="13"/>
  <c r="I7" i="13"/>
  <c r="J7" i="13"/>
  <c r="K7" i="13"/>
  <c r="L7" i="13"/>
  <c r="M7" i="13"/>
  <c r="AI7" i="13"/>
  <c r="AJ7" i="13"/>
  <c r="AM7" i="13" s="1"/>
  <c r="AK7" i="13"/>
  <c r="AL7" i="13"/>
  <c r="A8" i="13"/>
  <c r="C8" i="13"/>
  <c r="D8" i="13"/>
  <c r="G8" i="13"/>
  <c r="H8" i="13"/>
  <c r="I8" i="13"/>
  <c r="J8" i="13"/>
  <c r="K8" i="13"/>
  <c r="L8" i="13"/>
  <c r="M8" i="13"/>
  <c r="AI8" i="13"/>
  <c r="AJ8" i="13"/>
  <c r="AM8" i="13" s="1"/>
  <c r="AK8" i="13"/>
  <c r="AL8" i="13"/>
  <c r="A9" i="13"/>
  <c r="C9" i="13"/>
  <c r="D9" i="13"/>
  <c r="G9" i="13"/>
  <c r="H9" i="13"/>
  <c r="I9" i="13"/>
  <c r="J9" i="13"/>
  <c r="K9" i="13"/>
  <c r="L9" i="13"/>
  <c r="M9" i="13"/>
  <c r="AI9" i="13"/>
  <c r="AJ9" i="13"/>
  <c r="AK9" i="13"/>
  <c r="AL9" i="13"/>
  <c r="AM9" i="13"/>
  <c r="AN9" i="13"/>
  <c r="A10" i="13"/>
  <c r="C10" i="13"/>
  <c r="D10" i="13"/>
  <c r="G10" i="13"/>
  <c r="H10" i="13"/>
  <c r="I10" i="13"/>
  <c r="J10" i="13"/>
  <c r="K10" i="13"/>
  <c r="L10" i="13"/>
  <c r="M10" i="13"/>
  <c r="AI10" i="13"/>
  <c r="AJ10" i="13"/>
  <c r="AM10" i="13" s="1"/>
  <c r="AK10" i="13"/>
  <c r="AL10" i="13"/>
  <c r="A11" i="13"/>
  <c r="C11" i="13"/>
  <c r="D11" i="13"/>
  <c r="G11" i="13"/>
  <c r="H11" i="13"/>
  <c r="I11" i="13"/>
  <c r="J11" i="13"/>
  <c r="K11" i="13"/>
  <c r="L11" i="13"/>
  <c r="M11" i="13"/>
  <c r="AI11" i="13"/>
  <c r="AJ11" i="13"/>
  <c r="AM11" i="13" s="1"/>
  <c r="AK11" i="13"/>
  <c r="AL11" i="13"/>
  <c r="A12" i="13"/>
  <c r="C12" i="13"/>
  <c r="D12" i="13"/>
  <c r="G12" i="13"/>
  <c r="H12" i="13"/>
  <c r="I12" i="13"/>
  <c r="J12" i="13"/>
  <c r="K12" i="13"/>
  <c r="L12" i="13"/>
  <c r="M12" i="13"/>
  <c r="AI12" i="13"/>
  <c r="AJ12" i="13"/>
  <c r="AK12" i="13"/>
  <c r="AL12" i="13"/>
  <c r="AM12" i="13"/>
  <c r="AN12" i="13"/>
  <c r="A13" i="13"/>
  <c r="C13" i="13"/>
  <c r="D13" i="13"/>
  <c r="G13" i="13"/>
  <c r="H13" i="13"/>
  <c r="I13" i="13"/>
  <c r="J13" i="13"/>
  <c r="K13" i="13"/>
  <c r="L13" i="13"/>
  <c r="M13" i="13"/>
  <c r="AI13" i="13"/>
  <c r="AJ13" i="13"/>
  <c r="AM13" i="13" s="1"/>
  <c r="AK13" i="13"/>
  <c r="AL13" i="13"/>
  <c r="A14" i="13"/>
  <c r="C14" i="13"/>
  <c r="D14" i="13"/>
  <c r="G14" i="13"/>
  <c r="H14" i="13"/>
  <c r="I14" i="13"/>
  <c r="J14" i="13"/>
  <c r="K14" i="13"/>
  <c r="L14" i="13"/>
  <c r="M14" i="13"/>
  <c r="AI14" i="13"/>
  <c r="AJ14" i="13"/>
  <c r="AM14" i="13" s="1"/>
  <c r="AK14" i="13"/>
  <c r="AL14" i="13"/>
  <c r="A15" i="13"/>
  <c r="C15" i="13"/>
  <c r="D15" i="13"/>
  <c r="G15" i="13"/>
  <c r="H15" i="13"/>
  <c r="I15" i="13"/>
  <c r="J15" i="13"/>
  <c r="K15" i="13"/>
  <c r="L15" i="13"/>
  <c r="M15" i="13"/>
  <c r="AI15" i="13"/>
  <c r="AJ15" i="13"/>
  <c r="AK15" i="13"/>
  <c r="AL15" i="13"/>
  <c r="AM15" i="13"/>
  <c r="AN15" i="13"/>
  <c r="A16" i="13"/>
  <c r="C16" i="13"/>
  <c r="D16" i="13"/>
  <c r="G16" i="13"/>
  <c r="H16" i="13"/>
  <c r="I16" i="13"/>
  <c r="J16" i="13"/>
  <c r="K16" i="13"/>
  <c r="L16" i="13"/>
  <c r="M16" i="13"/>
  <c r="AI16" i="13"/>
  <c r="AJ16" i="13"/>
  <c r="AM16" i="13" s="1"/>
  <c r="AK16" i="13"/>
  <c r="AL16" i="13"/>
  <c r="A17" i="13"/>
  <c r="C17" i="13"/>
  <c r="D17" i="13"/>
  <c r="G17" i="13"/>
  <c r="H17" i="13"/>
  <c r="I17" i="13"/>
  <c r="J17" i="13"/>
  <c r="K17" i="13"/>
  <c r="L17" i="13"/>
  <c r="M17" i="13"/>
  <c r="AI17" i="13"/>
  <c r="AJ17" i="13"/>
  <c r="AM17" i="13" s="1"/>
  <c r="AK17" i="13"/>
  <c r="AL17" i="13"/>
  <c r="A18" i="13"/>
  <c r="C18" i="13"/>
  <c r="D18" i="13"/>
  <c r="G18" i="13"/>
  <c r="H18" i="13"/>
  <c r="I18" i="13"/>
  <c r="J18" i="13"/>
  <c r="K18" i="13"/>
  <c r="L18" i="13"/>
  <c r="M18" i="13"/>
  <c r="AI18" i="13"/>
  <c r="AJ18" i="13"/>
  <c r="AK18" i="13"/>
  <c r="AL18" i="13"/>
  <c r="AM18" i="13"/>
  <c r="AN18" i="13"/>
  <c r="A19" i="13"/>
  <c r="C19" i="13"/>
  <c r="D19" i="13"/>
  <c r="G19" i="13"/>
  <c r="H19" i="13"/>
  <c r="I19" i="13"/>
  <c r="J19" i="13"/>
  <c r="K19" i="13"/>
  <c r="L19" i="13"/>
  <c r="M19" i="13"/>
  <c r="AI19" i="13"/>
  <c r="AJ19" i="13"/>
  <c r="AM19" i="13" s="1"/>
  <c r="AK19" i="13"/>
  <c r="AL19" i="13"/>
  <c r="A20" i="13"/>
  <c r="C20" i="13"/>
  <c r="D20" i="13"/>
  <c r="G20" i="13"/>
  <c r="H20" i="13"/>
  <c r="I20" i="13"/>
  <c r="J20" i="13"/>
  <c r="K20" i="13"/>
  <c r="L20" i="13"/>
  <c r="M20" i="13"/>
  <c r="AI20" i="13"/>
  <c r="AJ20" i="13"/>
  <c r="AM20" i="13" s="1"/>
  <c r="AK20" i="13"/>
  <c r="AL20" i="13"/>
  <c r="A21" i="13"/>
  <c r="C21" i="13"/>
  <c r="D21" i="13"/>
  <c r="G21" i="13"/>
  <c r="H21" i="13"/>
  <c r="I21" i="13"/>
  <c r="J21" i="13"/>
  <c r="K21" i="13"/>
  <c r="L21" i="13"/>
  <c r="M21" i="13"/>
  <c r="AI21" i="13"/>
  <c r="AJ21" i="13"/>
  <c r="AK21" i="13"/>
  <c r="AL21" i="13"/>
  <c r="AM21" i="13"/>
  <c r="AN21" i="13"/>
  <c r="A22" i="13"/>
  <c r="C22" i="13"/>
  <c r="D22" i="13"/>
  <c r="G22" i="13"/>
  <c r="H22" i="13"/>
  <c r="I22" i="13"/>
  <c r="J22" i="13"/>
  <c r="K22" i="13"/>
  <c r="L22" i="13"/>
  <c r="M22" i="13"/>
  <c r="AI22" i="13"/>
  <c r="AJ22" i="13"/>
  <c r="AM22" i="13" s="1"/>
  <c r="AK22" i="13"/>
  <c r="AL22" i="13"/>
  <c r="A23" i="13"/>
  <c r="C23" i="13"/>
  <c r="D23" i="13"/>
  <c r="G23" i="13"/>
  <c r="H23" i="13"/>
  <c r="I23" i="13"/>
  <c r="J23" i="13"/>
  <c r="K23" i="13"/>
  <c r="L23" i="13"/>
  <c r="M23" i="13"/>
  <c r="AI23" i="13"/>
  <c r="AJ23" i="13"/>
  <c r="AM23" i="13" s="1"/>
  <c r="AK23" i="13"/>
  <c r="AL23" i="13"/>
  <c r="A24" i="13"/>
  <c r="C24" i="13"/>
  <c r="D24" i="13"/>
  <c r="G24" i="13"/>
  <c r="H24" i="13"/>
  <c r="I24" i="13"/>
  <c r="J24" i="13"/>
  <c r="K24" i="13"/>
  <c r="L24" i="13"/>
  <c r="M24" i="13"/>
  <c r="AI24" i="13"/>
  <c r="AJ24" i="13"/>
  <c r="AK24" i="13"/>
  <c r="AL24" i="13"/>
  <c r="AM24" i="13"/>
  <c r="AN24" i="13"/>
  <c r="A25" i="13"/>
  <c r="C25" i="13"/>
  <c r="D25" i="13"/>
  <c r="G25" i="13"/>
  <c r="H25" i="13"/>
  <c r="I25" i="13"/>
  <c r="J25" i="13"/>
  <c r="K25" i="13"/>
  <c r="L25" i="13"/>
  <c r="M25" i="13"/>
  <c r="AI25" i="13"/>
  <c r="AJ25" i="13"/>
  <c r="AM25" i="13" s="1"/>
  <c r="AK25" i="13"/>
  <c r="AL25" i="13"/>
  <c r="A26" i="13"/>
  <c r="C26" i="13"/>
  <c r="D26" i="13"/>
  <c r="G26" i="13"/>
  <c r="H26" i="13"/>
  <c r="I26" i="13"/>
  <c r="J26" i="13"/>
  <c r="K26" i="13"/>
  <c r="L26" i="13"/>
  <c r="M26" i="13"/>
  <c r="AI26" i="13"/>
  <c r="AJ26" i="13"/>
  <c r="AM26" i="13" s="1"/>
  <c r="AK26" i="13"/>
  <c r="AL26" i="13"/>
  <c r="A27" i="13"/>
  <c r="C27" i="13"/>
  <c r="D27" i="13"/>
  <c r="G27" i="13"/>
  <c r="H27" i="13"/>
  <c r="I27" i="13"/>
  <c r="J27" i="13"/>
  <c r="K27" i="13"/>
  <c r="L27" i="13"/>
  <c r="M27" i="13"/>
  <c r="AI27" i="13"/>
  <c r="AJ27" i="13"/>
  <c r="AK27" i="13"/>
  <c r="AL27" i="13"/>
  <c r="AM27" i="13"/>
  <c r="AN27" i="13"/>
  <c r="A28" i="13"/>
  <c r="C28" i="13"/>
  <c r="D28" i="13"/>
  <c r="G28" i="13"/>
  <c r="H28" i="13"/>
  <c r="I28" i="13"/>
  <c r="J28" i="13"/>
  <c r="K28" i="13"/>
  <c r="L28" i="13"/>
  <c r="M28" i="13"/>
  <c r="AI28" i="13"/>
  <c r="AJ28" i="13"/>
  <c r="AM28" i="13" s="1"/>
  <c r="AK28" i="13"/>
  <c r="AL28" i="13"/>
  <c r="A29" i="13"/>
  <c r="C29" i="13"/>
  <c r="D29" i="13"/>
  <c r="G29" i="13"/>
  <c r="H29" i="13"/>
  <c r="I29" i="13"/>
  <c r="J29" i="13"/>
  <c r="K29" i="13"/>
  <c r="L29" i="13"/>
  <c r="M29" i="13"/>
  <c r="AI29" i="13"/>
  <c r="AJ29" i="13"/>
  <c r="AM29" i="13" s="1"/>
  <c r="AK29" i="13"/>
  <c r="AL29" i="13"/>
  <c r="A30" i="13"/>
  <c r="C30" i="13"/>
  <c r="D30" i="13"/>
  <c r="G30" i="13"/>
  <c r="H30" i="13"/>
  <c r="I30" i="13"/>
  <c r="J30" i="13"/>
  <c r="K30" i="13"/>
  <c r="L30" i="13"/>
  <c r="M30" i="13"/>
  <c r="AI30" i="13"/>
  <c r="AJ30" i="13"/>
  <c r="AK30" i="13"/>
  <c r="AL30" i="13"/>
  <c r="AM30" i="13"/>
  <c r="AN30" i="13"/>
  <c r="A31" i="13"/>
  <c r="C31" i="13"/>
  <c r="D31" i="13"/>
  <c r="G31" i="13"/>
  <c r="H31" i="13"/>
  <c r="I31" i="13"/>
  <c r="J31" i="13"/>
  <c r="K31" i="13"/>
  <c r="L31" i="13"/>
  <c r="M31" i="13"/>
  <c r="AI31" i="13"/>
  <c r="AJ31" i="13"/>
  <c r="AM31" i="13" s="1"/>
  <c r="AK31" i="13"/>
  <c r="AL31" i="13"/>
  <c r="A32" i="13"/>
  <c r="C32" i="13"/>
  <c r="D32" i="13"/>
  <c r="G32" i="13"/>
  <c r="H32" i="13"/>
  <c r="I32" i="13"/>
  <c r="J32" i="13"/>
  <c r="K32" i="13"/>
  <c r="L32" i="13"/>
  <c r="M32" i="13"/>
  <c r="AI32" i="13"/>
  <c r="AJ32" i="13"/>
  <c r="AM32" i="13" s="1"/>
  <c r="AK32" i="13"/>
  <c r="AL32" i="13"/>
  <c r="A33" i="13"/>
  <c r="C33" i="13"/>
  <c r="D33" i="13"/>
  <c r="G33" i="13"/>
  <c r="H33" i="13"/>
  <c r="I33" i="13"/>
  <c r="J33" i="13"/>
  <c r="K33" i="13"/>
  <c r="L33" i="13"/>
  <c r="M33" i="13"/>
  <c r="AI33" i="13"/>
  <c r="AJ33" i="13"/>
  <c r="AK33" i="13"/>
  <c r="AL33" i="13"/>
  <c r="AM33" i="13"/>
  <c r="AN33" i="13"/>
  <c r="A34" i="13"/>
  <c r="C34" i="13"/>
  <c r="D34" i="13"/>
  <c r="G34" i="13"/>
  <c r="H34" i="13"/>
  <c r="I34" i="13"/>
  <c r="J34" i="13"/>
  <c r="K34" i="13"/>
  <c r="L34" i="13"/>
  <c r="M34" i="13"/>
  <c r="AI34" i="13"/>
  <c r="AJ34" i="13"/>
  <c r="AM34" i="13" s="1"/>
  <c r="AK34" i="13"/>
  <c r="AL34" i="13"/>
  <c r="A35" i="13"/>
  <c r="C35" i="13"/>
  <c r="D35" i="13"/>
  <c r="G35" i="13"/>
  <c r="H35" i="13"/>
  <c r="I35" i="13"/>
  <c r="J35" i="13"/>
  <c r="K35" i="13"/>
  <c r="L35" i="13"/>
  <c r="M35" i="13"/>
  <c r="AI35" i="13"/>
  <c r="AJ35" i="13"/>
  <c r="AM35" i="13" s="1"/>
  <c r="AK35" i="13"/>
  <c r="AL35" i="13"/>
  <c r="A36" i="13"/>
  <c r="C36" i="13"/>
  <c r="D36" i="13"/>
  <c r="G36" i="13"/>
  <c r="H36" i="13"/>
  <c r="I36" i="13"/>
  <c r="J36" i="13"/>
  <c r="K36" i="13"/>
  <c r="L36" i="13"/>
  <c r="M36" i="13"/>
  <c r="AI36" i="13"/>
  <c r="AJ36" i="13"/>
  <c r="AK36" i="13"/>
  <c r="AL36" i="13"/>
  <c r="AM36" i="13"/>
  <c r="AN36" i="13"/>
  <c r="A37" i="13"/>
  <c r="C37" i="13"/>
  <c r="D37" i="13"/>
  <c r="G37" i="13"/>
  <c r="H37" i="13"/>
  <c r="I37" i="13"/>
  <c r="J37" i="13"/>
  <c r="K37" i="13"/>
  <c r="L37" i="13"/>
  <c r="M37" i="13"/>
  <c r="AI37" i="13"/>
  <c r="AJ37" i="13"/>
  <c r="AM37" i="13" s="1"/>
  <c r="AK37" i="13"/>
  <c r="AL37" i="13"/>
  <c r="A38" i="13"/>
  <c r="C38" i="13"/>
  <c r="D38" i="13"/>
  <c r="G38" i="13"/>
  <c r="H38" i="13"/>
  <c r="I38" i="13"/>
  <c r="J38" i="13"/>
  <c r="K38" i="13"/>
  <c r="L38" i="13"/>
  <c r="M38" i="13"/>
  <c r="AI38" i="13"/>
  <c r="AJ38" i="13"/>
  <c r="AM38" i="13" s="1"/>
  <c r="AK38" i="13"/>
  <c r="AL38" i="13"/>
  <c r="A39" i="13"/>
  <c r="C39" i="13"/>
  <c r="D39" i="13"/>
  <c r="G39" i="13"/>
  <c r="H39" i="13"/>
  <c r="I39" i="13"/>
  <c r="J39" i="13"/>
  <c r="K39" i="13"/>
  <c r="L39" i="13"/>
  <c r="M39" i="13"/>
  <c r="AI39" i="13"/>
  <c r="AJ39" i="13"/>
  <c r="AK39" i="13"/>
  <c r="AL39" i="13"/>
  <c r="AM39" i="13"/>
  <c r="AN39" i="13"/>
  <c r="A40" i="13"/>
  <c r="C40" i="13"/>
  <c r="D40" i="13"/>
  <c r="G40" i="13"/>
  <c r="H40" i="13"/>
  <c r="I40" i="13"/>
  <c r="J40" i="13"/>
  <c r="K40" i="13"/>
  <c r="L40" i="13"/>
  <c r="M40" i="13"/>
  <c r="AI40" i="13"/>
  <c r="AJ40" i="13"/>
  <c r="AM40" i="13" s="1"/>
  <c r="AK40" i="13"/>
  <c r="AL40" i="13"/>
  <c r="A41" i="13"/>
  <c r="C41" i="13"/>
  <c r="D41" i="13"/>
  <c r="G41" i="13"/>
  <c r="H41" i="13"/>
  <c r="I41" i="13"/>
  <c r="J41" i="13"/>
  <c r="K41" i="13"/>
  <c r="L41" i="13"/>
  <c r="M41" i="13"/>
  <c r="AI41" i="13"/>
  <c r="AJ41" i="13"/>
  <c r="AM41" i="13" s="1"/>
  <c r="AK41" i="13"/>
  <c r="AL41" i="13"/>
  <c r="AN41" i="13"/>
  <c r="A42" i="13"/>
  <c r="C42" i="13"/>
  <c r="D42" i="13"/>
  <c r="G42" i="13"/>
  <c r="H42" i="13"/>
  <c r="I42" i="13"/>
  <c r="J42" i="13"/>
  <c r="K42" i="13"/>
  <c r="L42" i="13"/>
  <c r="M42" i="13"/>
  <c r="AI42" i="13"/>
  <c r="AJ42" i="13"/>
  <c r="AK42" i="13"/>
  <c r="AL42" i="13"/>
  <c r="AM42" i="13"/>
  <c r="AN42" i="13"/>
  <c r="A43" i="13"/>
  <c r="C43" i="13"/>
  <c r="D43" i="13"/>
  <c r="G43" i="13"/>
  <c r="H43" i="13"/>
  <c r="I43" i="13"/>
  <c r="J43" i="13"/>
  <c r="K43" i="13"/>
  <c r="L43" i="13"/>
  <c r="M43" i="13"/>
  <c r="AI43" i="13"/>
  <c r="AJ43" i="13"/>
  <c r="AM43" i="13" s="1"/>
  <c r="AK43" i="13"/>
  <c r="AL43" i="13"/>
  <c r="A44" i="13"/>
  <c r="C44" i="13"/>
  <c r="D44" i="13"/>
  <c r="G44" i="13"/>
  <c r="H44" i="13"/>
  <c r="I44" i="13"/>
  <c r="J44" i="13"/>
  <c r="K44" i="13"/>
  <c r="L44" i="13"/>
  <c r="M44" i="13"/>
  <c r="AI44" i="13"/>
  <c r="AJ44" i="13"/>
  <c r="AM44" i="13" s="1"/>
  <c r="AK44" i="13"/>
  <c r="AL44" i="13"/>
  <c r="AN44" i="13"/>
  <c r="A45" i="13"/>
  <c r="C45" i="13"/>
  <c r="D45" i="13"/>
  <c r="G45" i="13"/>
  <c r="H45" i="13"/>
  <c r="I45" i="13"/>
  <c r="J45" i="13"/>
  <c r="K45" i="13"/>
  <c r="L45" i="13"/>
  <c r="M45" i="13"/>
  <c r="AI45" i="13"/>
  <c r="AJ45" i="13"/>
  <c r="AK45" i="13"/>
  <c r="AL45" i="13"/>
  <c r="AM45" i="13"/>
  <c r="AN45" i="13"/>
  <c r="A46" i="13"/>
  <c r="C46" i="13"/>
  <c r="D46" i="13"/>
  <c r="G46" i="13"/>
  <c r="H46" i="13"/>
  <c r="I46" i="13"/>
  <c r="J46" i="13"/>
  <c r="K46" i="13"/>
  <c r="L46" i="13"/>
  <c r="M46" i="13"/>
  <c r="AI46" i="13"/>
  <c r="AJ46" i="13"/>
  <c r="AM46" i="13" s="1"/>
  <c r="AK46" i="13"/>
  <c r="AL46" i="13"/>
  <c r="A47" i="13"/>
  <c r="C47" i="13"/>
  <c r="D47" i="13"/>
  <c r="G47" i="13"/>
  <c r="H47" i="13"/>
  <c r="I47" i="13"/>
  <c r="J47" i="13"/>
  <c r="K47" i="13"/>
  <c r="L47" i="13"/>
  <c r="M47" i="13"/>
  <c r="AI47" i="13"/>
  <c r="AJ47" i="13"/>
  <c r="AM47" i="13" s="1"/>
  <c r="AK47" i="13"/>
  <c r="AL47" i="13"/>
  <c r="AN47" i="13"/>
  <c r="A48" i="13"/>
  <c r="C48" i="13"/>
  <c r="D48" i="13"/>
  <c r="G48" i="13"/>
  <c r="H48" i="13"/>
  <c r="I48" i="13"/>
  <c r="J48" i="13"/>
  <c r="K48" i="13"/>
  <c r="L48" i="13"/>
  <c r="M48" i="13"/>
  <c r="AI48" i="13"/>
  <c r="AJ48" i="13"/>
  <c r="AK48" i="13"/>
  <c r="AL48" i="13"/>
  <c r="AM48" i="13"/>
  <c r="AN48" i="13"/>
  <c r="A49" i="13"/>
  <c r="C49" i="13"/>
  <c r="D49" i="13"/>
  <c r="G49" i="13"/>
  <c r="H49" i="13"/>
  <c r="I49" i="13"/>
  <c r="J49" i="13"/>
  <c r="K49" i="13"/>
  <c r="L49" i="13"/>
  <c r="M49" i="13"/>
  <c r="AI49" i="13"/>
  <c r="AJ49" i="13"/>
  <c r="AM49" i="13" s="1"/>
  <c r="AK49" i="13"/>
  <c r="AL49" i="13"/>
  <c r="A50" i="13"/>
  <c r="C50" i="13"/>
  <c r="D50" i="13"/>
  <c r="G50" i="13"/>
  <c r="H50" i="13"/>
  <c r="I50" i="13"/>
  <c r="J50" i="13"/>
  <c r="K50" i="13"/>
  <c r="L50" i="13"/>
  <c r="M50" i="13"/>
  <c r="AI50" i="13"/>
  <c r="AJ50" i="13"/>
  <c r="AM50" i="13" s="1"/>
  <c r="AK50" i="13"/>
  <c r="AL50" i="13"/>
  <c r="AN50" i="13"/>
  <c r="A51" i="13"/>
  <c r="C51" i="13"/>
  <c r="D51" i="13"/>
  <c r="G51" i="13"/>
  <c r="H51" i="13"/>
  <c r="I51" i="13"/>
  <c r="J51" i="13"/>
  <c r="K51" i="13"/>
  <c r="L51" i="13"/>
  <c r="M51" i="13"/>
  <c r="AI51" i="13"/>
  <c r="AJ51" i="13"/>
  <c r="AK51" i="13"/>
  <c r="AL51" i="13"/>
  <c r="AM51" i="13"/>
  <c r="AN51" i="13"/>
  <c r="A52" i="13"/>
  <c r="C52" i="13"/>
  <c r="D52" i="13"/>
  <c r="G52" i="13"/>
  <c r="H52" i="13"/>
  <c r="I52" i="13"/>
  <c r="J52" i="13"/>
  <c r="K52" i="13"/>
  <c r="L52" i="13"/>
  <c r="M52" i="13"/>
  <c r="AI52" i="13"/>
  <c r="AJ52" i="13"/>
  <c r="AM52" i="13" s="1"/>
  <c r="AK52" i="13"/>
  <c r="AL52" i="13"/>
  <c r="A53" i="13"/>
  <c r="C53" i="13"/>
  <c r="D53" i="13"/>
  <c r="G53" i="13"/>
  <c r="H53" i="13"/>
  <c r="I53" i="13"/>
  <c r="J53" i="13"/>
  <c r="K53" i="13"/>
  <c r="L53" i="13"/>
  <c r="M53" i="13"/>
  <c r="AI53" i="13"/>
  <c r="AJ53" i="13"/>
  <c r="AM53" i="13" s="1"/>
  <c r="AK53" i="13"/>
  <c r="AL53" i="13"/>
  <c r="AN53" i="13"/>
  <c r="A54" i="13"/>
  <c r="C54" i="13"/>
  <c r="D54" i="13"/>
  <c r="G54" i="13"/>
  <c r="H54" i="13"/>
  <c r="I54" i="13"/>
  <c r="J54" i="13"/>
  <c r="K54" i="13"/>
  <c r="L54" i="13"/>
  <c r="M54" i="13"/>
  <c r="AI54" i="13"/>
  <c r="AJ54" i="13"/>
  <c r="AK54" i="13"/>
  <c r="AL54" i="13"/>
  <c r="AM54" i="13"/>
  <c r="AN54" i="13"/>
  <c r="A55" i="13"/>
  <c r="C55" i="13"/>
  <c r="D55" i="13"/>
  <c r="G55" i="13"/>
  <c r="H55" i="13"/>
  <c r="I55" i="13"/>
  <c r="J55" i="13"/>
  <c r="K55" i="13"/>
  <c r="L55" i="13"/>
  <c r="M55" i="13"/>
  <c r="AI55" i="13"/>
  <c r="AJ55" i="13"/>
  <c r="AM55" i="13" s="1"/>
  <c r="AK55" i="13"/>
  <c r="AL55" i="13"/>
  <c r="A56" i="13"/>
  <c r="C56" i="13"/>
  <c r="D56" i="13"/>
  <c r="G56" i="13"/>
  <c r="H56" i="13"/>
  <c r="I56" i="13"/>
  <c r="J56" i="13"/>
  <c r="K56" i="13"/>
  <c r="L56" i="13"/>
  <c r="M56" i="13"/>
  <c r="AI56" i="13"/>
  <c r="AJ56" i="13"/>
  <c r="AM56" i="13" s="1"/>
  <c r="AK56" i="13"/>
  <c r="AL56" i="13"/>
  <c r="AN56" i="13"/>
  <c r="A57" i="13"/>
  <c r="C57" i="13"/>
  <c r="D57" i="13"/>
  <c r="G57" i="13"/>
  <c r="H57" i="13"/>
  <c r="I57" i="13"/>
  <c r="J57" i="13"/>
  <c r="K57" i="13"/>
  <c r="L57" i="13"/>
  <c r="M57" i="13"/>
  <c r="AI57" i="13"/>
  <c r="AJ57" i="13"/>
  <c r="AK57" i="13"/>
  <c r="AL57" i="13"/>
  <c r="AM57" i="13"/>
  <c r="AN57" i="13"/>
  <c r="A58" i="13"/>
  <c r="C58" i="13"/>
  <c r="D58" i="13"/>
  <c r="G58" i="13"/>
  <c r="H58" i="13"/>
  <c r="I58" i="13"/>
  <c r="J58" i="13"/>
  <c r="K58" i="13"/>
  <c r="L58" i="13"/>
  <c r="M58" i="13"/>
  <c r="AI58" i="13"/>
  <c r="AJ58" i="13"/>
  <c r="AM58" i="13" s="1"/>
  <c r="AK58" i="13"/>
  <c r="AL58" i="13"/>
  <c r="A59" i="13"/>
  <c r="C59" i="13"/>
  <c r="D59" i="13"/>
  <c r="G59" i="13"/>
  <c r="H59" i="13"/>
  <c r="I59" i="13"/>
  <c r="J59" i="13"/>
  <c r="K59" i="13"/>
  <c r="L59" i="13"/>
  <c r="M59" i="13"/>
  <c r="AI59" i="13"/>
  <c r="AJ59" i="13"/>
  <c r="AM59" i="13" s="1"/>
  <c r="AK59" i="13"/>
  <c r="AL59" i="13"/>
  <c r="AN59" i="13"/>
  <c r="A60" i="13"/>
  <c r="C60" i="13"/>
  <c r="D60" i="13"/>
  <c r="G60" i="13"/>
  <c r="H60" i="13"/>
  <c r="I60" i="13"/>
  <c r="J60" i="13"/>
  <c r="K60" i="13"/>
  <c r="L60" i="13"/>
  <c r="M60" i="13"/>
  <c r="AI60" i="13"/>
  <c r="AJ60" i="13"/>
  <c r="AK60" i="13"/>
  <c r="AL60" i="13"/>
  <c r="AM60" i="13"/>
  <c r="AN60" i="13"/>
  <c r="A61" i="13"/>
  <c r="C61" i="13"/>
  <c r="D61" i="13"/>
  <c r="G61" i="13"/>
  <c r="H61" i="13"/>
  <c r="I61" i="13"/>
  <c r="J61" i="13"/>
  <c r="K61" i="13"/>
  <c r="L61" i="13"/>
  <c r="M61" i="13"/>
  <c r="AI61" i="13"/>
  <c r="AJ61" i="13"/>
  <c r="AM61" i="13" s="1"/>
  <c r="AK61" i="13"/>
  <c r="AL61" i="13"/>
  <c r="A62" i="13"/>
  <c r="C62" i="13"/>
  <c r="D62" i="13"/>
  <c r="G62" i="13"/>
  <c r="H62" i="13"/>
  <c r="I62" i="13"/>
  <c r="J62" i="13"/>
  <c r="K62" i="13"/>
  <c r="L62" i="13"/>
  <c r="M62" i="13"/>
  <c r="AI62" i="13"/>
  <c r="AJ62" i="13"/>
  <c r="AM62" i="13" s="1"/>
  <c r="AK62" i="13"/>
  <c r="AL62" i="13"/>
  <c r="AN62" i="13"/>
  <c r="A63" i="13"/>
  <c r="C63" i="13"/>
  <c r="D63" i="13"/>
  <c r="G63" i="13"/>
  <c r="H63" i="13"/>
  <c r="I63" i="13"/>
  <c r="J63" i="13"/>
  <c r="K63" i="13"/>
  <c r="L63" i="13"/>
  <c r="M63" i="13"/>
  <c r="AI63" i="13"/>
  <c r="AJ63" i="13"/>
  <c r="AK63" i="13"/>
  <c r="AL63" i="13"/>
  <c r="AM63" i="13"/>
  <c r="AN63" i="13"/>
  <c r="A64" i="13"/>
  <c r="C64" i="13"/>
  <c r="D64" i="13"/>
  <c r="G64" i="13"/>
  <c r="H64" i="13"/>
  <c r="I64" i="13"/>
  <c r="J64" i="13"/>
  <c r="K64" i="13"/>
  <c r="L64" i="13"/>
  <c r="M64" i="13"/>
  <c r="AI64" i="13"/>
  <c r="AJ64" i="13"/>
  <c r="AM64" i="13" s="1"/>
  <c r="AK64" i="13"/>
  <c r="AL64" i="13"/>
  <c r="A65" i="13"/>
  <c r="C65" i="13"/>
  <c r="D65" i="13"/>
  <c r="G65" i="13"/>
  <c r="H65" i="13"/>
  <c r="I65" i="13"/>
  <c r="J65" i="13"/>
  <c r="K65" i="13"/>
  <c r="L65" i="13"/>
  <c r="M65" i="13"/>
  <c r="AI65" i="13"/>
  <c r="AJ65" i="13"/>
  <c r="AM65" i="13" s="1"/>
  <c r="AK65" i="13"/>
  <c r="AL65" i="13"/>
  <c r="AN65" i="13"/>
  <c r="A66" i="13"/>
  <c r="C66" i="13"/>
  <c r="D66" i="13"/>
  <c r="G66" i="13"/>
  <c r="H66" i="13"/>
  <c r="I66" i="13"/>
  <c r="J66" i="13"/>
  <c r="K66" i="13"/>
  <c r="L66" i="13"/>
  <c r="M66" i="13"/>
  <c r="AI66" i="13"/>
  <c r="AJ66" i="13"/>
  <c r="AK66" i="13"/>
  <c r="AL66" i="13"/>
  <c r="AM66" i="13"/>
  <c r="AN66" i="13"/>
  <c r="A67" i="13"/>
  <c r="C67" i="13"/>
  <c r="D67" i="13"/>
  <c r="G67" i="13"/>
  <c r="H67" i="13"/>
  <c r="I67" i="13"/>
  <c r="J67" i="13"/>
  <c r="K67" i="13"/>
  <c r="L67" i="13"/>
  <c r="M67" i="13"/>
  <c r="AI67" i="13"/>
  <c r="AJ67" i="13"/>
  <c r="AM67" i="13" s="1"/>
  <c r="AK67" i="13"/>
  <c r="AL67" i="13"/>
  <c r="A68" i="13"/>
  <c r="C68" i="13"/>
  <c r="D68" i="13"/>
  <c r="G68" i="13"/>
  <c r="H68" i="13"/>
  <c r="I68" i="13"/>
  <c r="J68" i="13"/>
  <c r="K68" i="13"/>
  <c r="L68" i="13"/>
  <c r="M68" i="13"/>
  <c r="AI68" i="13"/>
  <c r="AJ68" i="13"/>
  <c r="AM68" i="13" s="1"/>
  <c r="AK68" i="13"/>
  <c r="AL68" i="13"/>
  <c r="AN68" i="13"/>
  <c r="A69" i="13"/>
  <c r="C69" i="13"/>
  <c r="D69" i="13"/>
  <c r="G69" i="13"/>
  <c r="H69" i="13"/>
  <c r="I69" i="13"/>
  <c r="J69" i="13"/>
  <c r="K69" i="13"/>
  <c r="L69" i="13"/>
  <c r="M69" i="13"/>
  <c r="AI69" i="13"/>
  <c r="AJ69" i="13"/>
  <c r="AK69" i="13"/>
  <c r="AL69" i="13"/>
  <c r="AM69" i="13"/>
  <c r="AN69" i="13"/>
  <c r="A70" i="13"/>
  <c r="C70" i="13"/>
  <c r="D70" i="13"/>
  <c r="G70" i="13"/>
  <c r="H70" i="13"/>
  <c r="I70" i="13"/>
  <c r="J70" i="13"/>
  <c r="K70" i="13"/>
  <c r="L70" i="13"/>
  <c r="M70" i="13"/>
  <c r="AI70" i="13"/>
  <c r="AJ70" i="13"/>
  <c r="AM70" i="13" s="1"/>
  <c r="AK70" i="13"/>
  <c r="AL70" i="13"/>
  <c r="A71" i="13"/>
  <c r="C71" i="13"/>
  <c r="D71" i="13"/>
  <c r="G71" i="13"/>
  <c r="H71" i="13"/>
  <c r="I71" i="13"/>
  <c r="J71" i="13"/>
  <c r="K71" i="13"/>
  <c r="L71" i="13"/>
  <c r="M71" i="13"/>
  <c r="AI71" i="13"/>
  <c r="AJ71" i="13"/>
  <c r="AM71" i="13" s="1"/>
  <c r="AK71" i="13"/>
  <c r="AL71" i="13"/>
  <c r="AN71" i="13"/>
  <c r="A72" i="13"/>
  <c r="C72" i="13"/>
  <c r="D72" i="13"/>
  <c r="G72" i="13"/>
  <c r="H72" i="13"/>
  <c r="I72" i="13"/>
  <c r="J72" i="13"/>
  <c r="K72" i="13"/>
  <c r="L72" i="13"/>
  <c r="M72" i="13"/>
  <c r="AI72" i="13"/>
  <c r="AJ72" i="13"/>
  <c r="AK72" i="13"/>
  <c r="AL72" i="13"/>
  <c r="AM72" i="13"/>
  <c r="AN72" i="13"/>
  <c r="A73" i="13"/>
  <c r="C73" i="13"/>
  <c r="D73" i="13"/>
  <c r="G73" i="13"/>
  <c r="H73" i="13"/>
  <c r="I73" i="13"/>
  <c r="J73" i="13"/>
  <c r="K73" i="13"/>
  <c r="L73" i="13"/>
  <c r="M73" i="13"/>
  <c r="AI73" i="13"/>
  <c r="AJ73" i="13"/>
  <c r="AM73" i="13" s="1"/>
  <c r="AK73" i="13"/>
  <c r="AL73" i="13"/>
  <c r="A74" i="13"/>
  <c r="C74" i="13"/>
  <c r="D74" i="13"/>
  <c r="G74" i="13"/>
  <c r="H74" i="13"/>
  <c r="I74" i="13"/>
  <c r="J74" i="13"/>
  <c r="K74" i="13"/>
  <c r="L74" i="13"/>
  <c r="M74" i="13"/>
  <c r="AI74" i="13"/>
  <c r="AJ74" i="13"/>
  <c r="AM74" i="13" s="1"/>
  <c r="AK74" i="13"/>
  <c r="AL74" i="13"/>
  <c r="AN74" i="13"/>
  <c r="A75" i="13"/>
  <c r="C75" i="13"/>
  <c r="D75" i="13"/>
  <c r="G75" i="13"/>
  <c r="H75" i="13"/>
  <c r="I75" i="13"/>
  <c r="J75" i="13"/>
  <c r="K75" i="13"/>
  <c r="L75" i="13"/>
  <c r="M75" i="13"/>
  <c r="AI75" i="13"/>
  <c r="AJ75" i="13"/>
  <c r="AK75" i="13"/>
  <c r="AL75" i="13"/>
  <c r="AM75" i="13"/>
  <c r="AN75" i="13"/>
  <c r="A76" i="13"/>
  <c r="C76" i="13"/>
  <c r="D76" i="13"/>
  <c r="G76" i="13"/>
  <c r="H76" i="13"/>
  <c r="I76" i="13"/>
  <c r="J76" i="13"/>
  <c r="K76" i="13"/>
  <c r="L76" i="13"/>
  <c r="M76" i="13"/>
  <c r="AI76" i="13"/>
  <c r="AJ76" i="13"/>
  <c r="AM76" i="13" s="1"/>
  <c r="AK76" i="13"/>
  <c r="AL76" i="13"/>
  <c r="A77" i="13"/>
  <c r="C77" i="13"/>
  <c r="D77" i="13"/>
  <c r="G77" i="13"/>
  <c r="H77" i="13"/>
  <c r="I77" i="13"/>
  <c r="J77" i="13"/>
  <c r="K77" i="13"/>
  <c r="L77" i="13"/>
  <c r="M77" i="13"/>
  <c r="AI77" i="13"/>
  <c r="AJ77" i="13"/>
  <c r="AM77" i="13" s="1"/>
  <c r="AK77" i="13"/>
  <c r="AL77" i="13"/>
  <c r="AN77" i="13"/>
  <c r="A78" i="13"/>
  <c r="C78" i="13"/>
  <c r="D78" i="13"/>
  <c r="G78" i="13"/>
  <c r="H78" i="13"/>
  <c r="I78" i="13"/>
  <c r="J78" i="13"/>
  <c r="K78" i="13"/>
  <c r="L78" i="13"/>
  <c r="M78" i="13"/>
  <c r="AI78" i="13"/>
  <c r="AJ78" i="13"/>
  <c r="AK78" i="13"/>
  <c r="AL78" i="13"/>
  <c r="AM78" i="13"/>
  <c r="AN78" i="13"/>
  <c r="A79" i="13"/>
  <c r="C79" i="13"/>
  <c r="D79" i="13"/>
  <c r="G79" i="13"/>
  <c r="H79" i="13"/>
  <c r="I79" i="13"/>
  <c r="J79" i="13"/>
  <c r="K79" i="13"/>
  <c r="L79" i="13"/>
  <c r="M79" i="13"/>
  <c r="AI79" i="13"/>
  <c r="AJ79" i="13"/>
  <c r="AM79" i="13" s="1"/>
  <c r="AK79" i="13"/>
  <c r="AL79" i="13"/>
  <c r="A80" i="13"/>
  <c r="C80" i="13"/>
  <c r="D80" i="13"/>
  <c r="G80" i="13"/>
  <c r="H80" i="13"/>
  <c r="I80" i="13"/>
  <c r="J80" i="13"/>
  <c r="K80" i="13"/>
  <c r="L80" i="13"/>
  <c r="M80" i="13"/>
  <c r="AI80" i="13"/>
  <c r="AJ80" i="13"/>
  <c r="AM80" i="13" s="1"/>
  <c r="AK80" i="13"/>
  <c r="AL80" i="13"/>
  <c r="AN80" i="13"/>
  <c r="A81" i="13"/>
  <c r="C81" i="13"/>
  <c r="D81" i="13"/>
  <c r="G81" i="13"/>
  <c r="H81" i="13"/>
  <c r="I81" i="13"/>
  <c r="J81" i="13"/>
  <c r="K81" i="13"/>
  <c r="L81" i="13"/>
  <c r="M81" i="13"/>
  <c r="AI81" i="13"/>
  <c r="AJ81" i="13"/>
  <c r="AK81" i="13"/>
  <c r="AL81" i="13"/>
  <c r="AM81" i="13"/>
  <c r="AN81" i="13"/>
  <c r="A82" i="13"/>
  <c r="C82" i="13"/>
  <c r="D82" i="13"/>
  <c r="G82" i="13"/>
  <c r="H82" i="13"/>
  <c r="I82" i="13"/>
  <c r="J82" i="13"/>
  <c r="K82" i="13"/>
  <c r="L82" i="13"/>
  <c r="M82" i="13"/>
  <c r="AI82" i="13"/>
  <c r="AJ82" i="13"/>
  <c r="AM82" i="13" s="1"/>
  <c r="AK82" i="13"/>
  <c r="AL82" i="13"/>
  <c r="A83" i="13"/>
  <c r="C83" i="13"/>
  <c r="D83" i="13"/>
  <c r="G83" i="13"/>
  <c r="H83" i="13"/>
  <c r="I83" i="13"/>
  <c r="J83" i="13"/>
  <c r="K83" i="13"/>
  <c r="L83" i="13"/>
  <c r="M83" i="13"/>
  <c r="AI83" i="13"/>
  <c r="AJ83" i="13"/>
  <c r="AM83" i="13" s="1"/>
  <c r="AK83" i="13"/>
  <c r="AL83" i="13"/>
  <c r="AN83" i="13"/>
  <c r="A84" i="13"/>
  <c r="C84" i="13"/>
  <c r="D84" i="13"/>
  <c r="G84" i="13"/>
  <c r="H84" i="13"/>
  <c r="I84" i="13"/>
  <c r="J84" i="13"/>
  <c r="K84" i="13"/>
  <c r="L84" i="13"/>
  <c r="M84" i="13"/>
  <c r="AI84" i="13"/>
  <c r="AJ84" i="13"/>
  <c r="AK84" i="13"/>
  <c r="AL84" i="13"/>
  <c r="AM84" i="13"/>
  <c r="AN84" i="13"/>
  <c r="A85" i="13"/>
  <c r="C85" i="13"/>
  <c r="D85" i="13"/>
  <c r="G85" i="13"/>
  <c r="H85" i="13"/>
  <c r="I85" i="13"/>
  <c r="J85" i="13"/>
  <c r="K85" i="13"/>
  <c r="L85" i="13"/>
  <c r="M85" i="13"/>
  <c r="AI85" i="13"/>
  <c r="AJ85" i="13"/>
  <c r="AM85" i="13" s="1"/>
  <c r="AK85" i="13"/>
  <c r="AL85" i="13"/>
  <c r="A86" i="13"/>
  <c r="C86" i="13"/>
  <c r="D86" i="13"/>
  <c r="G86" i="13"/>
  <c r="H86" i="13"/>
  <c r="I86" i="13"/>
  <c r="J86" i="13"/>
  <c r="K86" i="13"/>
  <c r="L86" i="13"/>
  <c r="M86" i="13"/>
  <c r="AI86" i="13"/>
  <c r="AJ86" i="13"/>
  <c r="AM86" i="13" s="1"/>
  <c r="AK86" i="13"/>
  <c r="AL86" i="13"/>
  <c r="AN86" i="13"/>
  <c r="A87" i="13"/>
  <c r="C87" i="13"/>
  <c r="D87" i="13"/>
  <c r="G87" i="13"/>
  <c r="H87" i="13"/>
  <c r="I87" i="13"/>
  <c r="J87" i="13"/>
  <c r="K87" i="13"/>
  <c r="L87" i="13"/>
  <c r="M87" i="13"/>
  <c r="AI87" i="13"/>
  <c r="AJ87" i="13"/>
  <c r="AK87" i="13"/>
  <c r="AL87" i="13"/>
  <c r="AM87" i="13"/>
  <c r="AN87" i="13"/>
  <c r="A88" i="13"/>
  <c r="C88" i="13"/>
  <c r="D88" i="13"/>
  <c r="G88" i="13"/>
  <c r="H88" i="13"/>
  <c r="I88" i="13"/>
  <c r="J88" i="13"/>
  <c r="K88" i="13"/>
  <c r="L88" i="13"/>
  <c r="M88" i="13"/>
  <c r="AI88" i="13"/>
  <c r="AJ88" i="13"/>
  <c r="AM88" i="13" s="1"/>
  <c r="AK88" i="13"/>
  <c r="AL88" i="13"/>
  <c r="A89" i="13"/>
  <c r="C89" i="13"/>
  <c r="D89" i="13"/>
  <c r="G89" i="13"/>
  <c r="H89" i="13"/>
  <c r="I89" i="13"/>
  <c r="J89" i="13"/>
  <c r="K89" i="13"/>
  <c r="L89" i="13"/>
  <c r="M89" i="13"/>
  <c r="AI89" i="13"/>
  <c r="AJ89" i="13"/>
  <c r="AM89" i="13" s="1"/>
  <c r="AK89" i="13"/>
  <c r="AL89" i="13"/>
  <c r="AN89" i="13"/>
  <c r="A90" i="13"/>
  <c r="C90" i="13"/>
  <c r="D90" i="13"/>
  <c r="G90" i="13"/>
  <c r="H90" i="13"/>
  <c r="I90" i="13"/>
  <c r="J90" i="13"/>
  <c r="K90" i="13"/>
  <c r="L90" i="13"/>
  <c r="M90" i="13"/>
  <c r="AI90" i="13"/>
  <c r="AJ90" i="13"/>
  <c r="AK90" i="13"/>
  <c r="AL90" i="13"/>
  <c r="AM90" i="13"/>
  <c r="AN90" i="13"/>
  <c r="A91" i="13"/>
  <c r="C91" i="13"/>
  <c r="D91" i="13"/>
  <c r="G91" i="13"/>
  <c r="H91" i="13"/>
  <c r="I91" i="13"/>
  <c r="J91" i="13"/>
  <c r="K91" i="13"/>
  <c r="L91" i="13"/>
  <c r="M91" i="13"/>
  <c r="AI91" i="13"/>
  <c r="AJ91" i="13"/>
  <c r="AM91" i="13" s="1"/>
  <c r="AK91" i="13"/>
  <c r="AL91" i="13"/>
  <c r="A92" i="13"/>
  <c r="C92" i="13"/>
  <c r="D92" i="13"/>
  <c r="G92" i="13"/>
  <c r="H92" i="13"/>
  <c r="I92" i="13"/>
  <c r="J92" i="13"/>
  <c r="K92" i="13"/>
  <c r="L92" i="13"/>
  <c r="M92" i="13"/>
  <c r="AI92" i="13"/>
  <c r="AJ92" i="13"/>
  <c r="AM92" i="13" s="1"/>
  <c r="AK92" i="13"/>
  <c r="AL92" i="13"/>
  <c r="AN92" i="13"/>
  <c r="A93" i="13"/>
  <c r="C93" i="13"/>
  <c r="D93" i="13"/>
  <c r="G93" i="13"/>
  <c r="H93" i="13"/>
  <c r="I93" i="13"/>
  <c r="J93" i="13"/>
  <c r="K93" i="13"/>
  <c r="L93" i="13"/>
  <c r="M93" i="13"/>
  <c r="AI93" i="13"/>
  <c r="AJ93" i="13"/>
  <c r="AK93" i="13"/>
  <c r="AL93" i="13"/>
  <c r="AM93" i="13"/>
  <c r="AN93" i="13"/>
  <c r="A94" i="13"/>
  <c r="C94" i="13"/>
  <c r="D94" i="13"/>
  <c r="G94" i="13"/>
  <c r="H94" i="13"/>
  <c r="I94" i="13"/>
  <c r="J94" i="13"/>
  <c r="K94" i="13"/>
  <c r="L94" i="13"/>
  <c r="M94" i="13"/>
  <c r="AI94" i="13"/>
  <c r="AJ94" i="13"/>
  <c r="AM94" i="13" s="1"/>
  <c r="AK94" i="13"/>
  <c r="AL94" i="13"/>
  <c r="A95" i="13"/>
  <c r="C95" i="13"/>
  <c r="D95" i="13"/>
  <c r="G95" i="13"/>
  <c r="H95" i="13"/>
  <c r="I95" i="13"/>
  <c r="J95" i="13"/>
  <c r="K95" i="13"/>
  <c r="L95" i="13"/>
  <c r="M95" i="13"/>
  <c r="AI95" i="13"/>
  <c r="AJ95" i="13"/>
  <c r="AM95" i="13" s="1"/>
  <c r="AK95" i="13"/>
  <c r="AL95" i="13"/>
  <c r="AN95" i="13"/>
  <c r="A96" i="13"/>
  <c r="C96" i="13"/>
  <c r="D96" i="13"/>
  <c r="G96" i="13"/>
  <c r="H96" i="13"/>
  <c r="I96" i="13"/>
  <c r="J96" i="13"/>
  <c r="K96" i="13"/>
  <c r="L96" i="13"/>
  <c r="M96" i="13"/>
  <c r="AI96" i="13"/>
  <c r="AJ96" i="13"/>
  <c r="AK96" i="13"/>
  <c r="AL96" i="13"/>
  <c r="AM96" i="13"/>
  <c r="AN96" i="13"/>
  <c r="A97" i="13"/>
  <c r="C97" i="13"/>
  <c r="D97" i="13"/>
  <c r="G97" i="13"/>
  <c r="H97" i="13"/>
  <c r="I97" i="13"/>
  <c r="J97" i="13"/>
  <c r="K97" i="13"/>
  <c r="L97" i="13"/>
  <c r="M97" i="13"/>
  <c r="AI97" i="13"/>
  <c r="AJ97" i="13"/>
  <c r="AM97" i="13" s="1"/>
  <c r="AK97" i="13"/>
  <c r="AL97" i="13"/>
  <c r="A98" i="13"/>
  <c r="C98" i="13"/>
  <c r="D98" i="13"/>
  <c r="G98" i="13"/>
  <c r="H98" i="13"/>
  <c r="I98" i="13"/>
  <c r="J98" i="13"/>
  <c r="K98" i="13"/>
  <c r="L98" i="13"/>
  <c r="M98" i="13"/>
  <c r="AI98" i="13"/>
  <c r="AJ98" i="13"/>
  <c r="AM98" i="13" s="1"/>
  <c r="AK98" i="13"/>
  <c r="AL98" i="13"/>
  <c r="AN98" i="13"/>
  <c r="A99" i="13"/>
  <c r="C99" i="13"/>
  <c r="D99" i="13"/>
  <c r="G99" i="13"/>
  <c r="H99" i="13"/>
  <c r="I99" i="13"/>
  <c r="J99" i="13"/>
  <c r="K99" i="13"/>
  <c r="L99" i="13"/>
  <c r="M99" i="13"/>
  <c r="AI99" i="13"/>
  <c r="AJ99" i="13"/>
  <c r="AK99" i="13"/>
  <c r="AL99" i="13"/>
  <c r="AM99" i="13"/>
  <c r="AN99" i="13"/>
  <c r="A100" i="13"/>
  <c r="C100" i="13"/>
  <c r="D100" i="13"/>
  <c r="G100" i="13"/>
  <c r="H100" i="13"/>
  <c r="I100" i="13"/>
  <c r="J100" i="13"/>
  <c r="K100" i="13"/>
  <c r="L100" i="13"/>
  <c r="M100" i="13"/>
  <c r="AI100" i="13"/>
  <c r="AJ100" i="13"/>
  <c r="AM100" i="13" s="1"/>
  <c r="AK100" i="13"/>
  <c r="AL100" i="13"/>
  <c r="A101" i="13"/>
  <c r="C101" i="13"/>
  <c r="D101" i="13"/>
  <c r="G101" i="13"/>
  <c r="H101" i="13"/>
  <c r="I101" i="13"/>
  <c r="J101" i="13"/>
  <c r="K101" i="13"/>
  <c r="L101" i="13"/>
  <c r="M101" i="13"/>
  <c r="AI101" i="13"/>
  <c r="AJ101" i="13"/>
  <c r="AM101" i="13" s="1"/>
  <c r="AK101" i="13"/>
  <c r="AL101" i="13"/>
  <c r="AN101" i="13"/>
  <c r="A102" i="13"/>
  <c r="C102" i="13"/>
  <c r="D102" i="13"/>
  <c r="G102" i="13"/>
  <c r="H102" i="13"/>
  <c r="I102" i="13"/>
  <c r="J102" i="13"/>
  <c r="K102" i="13"/>
  <c r="L102" i="13"/>
  <c r="M102" i="13"/>
  <c r="AI102" i="13"/>
  <c r="AJ102" i="13"/>
  <c r="AK102" i="13"/>
  <c r="AL102" i="13"/>
  <c r="AM102" i="13"/>
  <c r="AN102" i="13"/>
  <c r="A103" i="13"/>
  <c r="C103" i="13"/>
  <c r="D103" i="13"/>
  <c r="G103" i="13"/>
  <c r="H103" i="13"/>
  <c r="I103" i="13"/>
  <c r="J103" i="13"/>
  <c r="K103" i="13"/>
  <c r="L103" i="13"/>
  <c r="M103" i="13"/>
  <c r="AI103" i="13"/>
  <c r="AJ103" i="13"/>
  <c r="AM103" i="13" s="1"/>
  <c r="AK103" i="13"/>
  <c r="AL103" i="13"/>
  <c r="A104" i="13"/>
  <c r="C104" i="13"/>
  <c r="D104" i="13"/>
  <c r="G104" i="13"/>
  <c r="H104" i="13"/>
  <c r="I104" i="13"/>
  <c r="J104" i="13"/>
  <c r="K104" i="13"/>
  <c r="L104" i="13"/>
  <c r="M104" i="13"/>
  <c r="AI104" i="13"/>
  <c r="AJ104" i="13"/>
  <c r="AM104" i="13" s="1"/>
  <c r="AK104" i="13"/>
  <c r="AL104" i="13"/>
  <c r="AN104" i="13"/>
  <c r="A105" i="13"/>
  <c r="C105" i="13"/>
  <c r="D105" i="13"/>
  <c r="G105" i="13"/>
  <c r="H105" i="13"/>
  <c r="I105" i="13"/>
  <c r="J105" i="13"/>
  <c r="K105" i="13"/>
  <c r="L105" i="13"/>
  <c r="M105" i="13"/>
  <c r="AI105" i="13"/>
  <c r="AJ105" i="13"/>
  <c r="AK105" i="13"/>
  <c r="AL105" i="13"/>
  <c r="AM105" i="13"/>
  <c r="AN105" i="13"/>
  <c r="A106" i="13"/>
  <c r="C106" i="13"/>
  <c r="D106" i="13"/>
  <c r="G106" i="13"/>
  <c r="H106" i="13"/>
  <c r="I106" i="13"/>
  <c r="J106" i="13"/>
  <c r="K106" i="13"/>
  <c r="L106" i="13"/>
  <c r="M106" i="13"/>
  <c r="AI106" i="13"/>
  <c r="AJ106" i="13"/>
  <c r="AM106" i="13" s="1"/>
  <c r="AK106" i="13"/>
  <c r="AL106" i="13"/>
  <c r="A107" i="13"/>
  <c r="C107" i="13"/>
  <c r="D107" i="13"/>
  <c r="G107" i="13"/>
  <c r="H107" i="13"/>
  <c r="I107" i="13"/>
  <c r="J107" i="13"/>
  <c r="K107" i="13"/>
  <c r="L107" i="13"/>
  <c r="M107" i="13"/>
  <c r="AI107" i="13"/>
  <c r="AJ107" i="13"/>
  <c r="AM107" i="13" s="1"/>
  <c r="AK107" i="13"/>
  <c r="AL107" i="13"/>
  <c r="AN107" i="13"/>
  <c r="A108" i="13"/>
  <c r="C108" i="13"/>
  <c r="D108" i="13"/>
  <c r="G108" i="13"/>
  <c r="H108" i="13"/>
  <c r="I108" i="13"/>
  <c r="J108" i="13"/>
  <c r="K108" i="13"/>
  <c r="L108" i="13"/>
  <c r="M108" i="13"/>
  <c r="AI108" i="13"/>
  <c r="AJ108" i="13"/>
  <c r="AK108" i="13"/>
  <c r="AL108" i="13"/>
  <c r="AM108" i="13"/>
  <c r="AN108" i="13"/>
  <c r="A109" i="13"/>
  <c r="C109" i="13"/>
  <c r="D109" i="13"/>
  <c r="G109" i="13"/>
  <c r="H109" i="13"/>
  <c r="I109" i="13"/>
  <c r="J109" i="13"/>
  <c r="K109" i="13"/>
  <c r="L109" i="13"/>
  <c r="M109" i="13"/>
  <c r="AI109" i="13"/>
  <c r="AJ109" i="13"/>
  <c r="AM109" i="13" s="1"/>
  <c r="AK109" i="13"/>
  <c r="AL109" i="13"/>
  <c r="A110" i="13"/>
  <c r="C110" i="13"/>
  <c r="D110" i="13"/>
  <c r="G110" i="13"/>
  <c r="H110" i="13"/>
  <c r="I110" i="13"/>
  <c r="J110" i="13"/>
  <c r="K110" i="13"/>
  <c r="L110" i="13"/>
  <c r="M110" i="13"/>
  <c r="AI110" i="13"/>
  <c r="AJ110" i="13"/>
  <c r="AM110" i="13" s="1"/>
  <c r="AK110" i="13"/>
  <c r="AL110" i="13"/>
  <c r="AN110" i="13"/>
  <c r="A111" i="13"/>
  <c r="C111" i="13"/>
  <c r="D111" i="13"/>
  <c r="G111" i="13"/>
  <c r="H111" i="13"/>
  <c r="I111" i="13"/>
  <c r="J111" i="13"/>
  <c r="K111" i="13"/>
  <c r="L111" i="13"/>
  <c r="M111" i="13"/>
  <c r="AI111" i="13"/>
  <c r="AJ111" i="13"/>
  <c r="AK111" i="13"/>
  <c r="AL111" i="13"/>
  <c r="AM111" i="13"/>
  <c r="AN111" i="13"/>
  <c r="A112" i="13"/>
  <c r="C112" i="13"/>
  <c r="D112" i="13"/>
  <c r="G112" i="13"/>
  <c r="H112" i="13"/>
  <c r="I112" i="13"/>
  <c r="J112" i="13"/>
  <c r="K112" i="13"/>
  <c r="L112" i="13"/>
  <c r="M112" i="13"/>
  <c r="AI112" i="13"/>
  <c r="AJ112" i="13"/>
  <c r="AM112" i="13" s="1"/>
  <c r="AK112" i="13"/>
  <c r="AL112" i="13"/>
  <c r="A113" i="13"/>
  <c r="C113" i="13"/>
  <c r="D113" i="13"/>
  <c r="G113" i="13"/>
  <c r="H113" i="13"/>
  <c r="I113" i="13"/>
  <c r="J113" i="13"/>
  <c r="K113" i="13"/>
  <c r="L113" i="13"/>
  <c r="M113" i="13"/>
  <c r="AI113" i="13"/>
  <c r="AJ113" i="13"/>
  <c r="AM113" i="13" s="1"/>
  <c r="AK113" i="13"/>
  <c r="AL113" i="13"/>
  <c r="AN113" i="13"/>
  <c r="A114" i="13"/>
  <c r="C114" i="13"/>
  <c r="D114" i="13"/>
  <c r="G114" i="13"/>
  <c r="H114" i="13"/>
  <c r="I114" i="13"/>
  <c r="J114" i="13"/>
  <c r="K114" i="13"/>
  <c r="L114" i="13"/>
  <c r="M114" i="13"/>
  <c r="AI114" i="13"/>
  <c r="AJ114" i="13"/>
  <c r="AK114" i="13"/>
  <c r="AL114" i="13"/>
  <c r="AM114" i="13"/>
  <c r="AN114" i="13"/>
  <c r="A115" i="13"/>
  <c r="C115" i="13"/>
  <c r="D115" i="13"/>
  <c r="G115" i="13"/>
  <c r="H115" i="13"/>
  <c r="I115" i="13"/>
  <c r="J115" i="13"/>
  <c r="K115" i="13"/>
  <c r="L115" i="13"/>
  <c r="M115" i="13"/>
  <c r="AI115" i="13"/>
  <c r="AJ115" i="13"/>
  <c r="AM115" i="13" s="1"/>
  <c r="AK115" i="13"/>
  <c r="AL115" i="13"/>
  <c r="A116" i="13"/>
  <c r="C116" i="13"/>
  <c r="D116" i="13"/>
  <c r="G116" i="13"/>
  <c r="H116" i="13"/>
  <c r="I116" i="13"/>
  <c r="J116" i="13"/>
  <c r="K116" i="13"/>
  <c r="L116" i="13"/>
  <c r="M116" i="13"/>
  <c r="AI116" i="13"/>
  <c r="AJ116" i="13"/>
  <c r="AM116" i="13" s="1"/>
  <c r="AK116" i="13"/>
  <c r="AL116" i="13"/>
  <c r="AN116" i="13"/>
  <c r="A117" i="13"/>
  <c r="C117" i="13"/>
  <c r="D117" i="13"/>
  <c r="G117" i="13"/>
  <c r="H117" i="13"/>
  <c r="I117" i="13"/>
  <c r="J117" i="13"/>
  <c r="K117" i="13"/>
  <c r="L117" i="13"/>
  <c r="M117" i="13"/>
  <c r="AI117" i="13"/>
  <c r="AJ117" i="13"/>
  <c r="AK117" i="13"/>
  <c r="AL117" i="13"/>
  <c r="AM117" i="13"/>
  <c r="AN117" i="13"/>
  <c r="A118" i="13"/>
  <c r="C118" i="13"/>
  <c r="D118" i="13"/>
  <c r="G118" i="13"/>
  <c r="H118" i="13"/>
  <c r="I118" i="13"/>
  <c r="J118" i="13"/>
  <c r="K118" i="13"/>
  <c r="L118" i="13"/>
  <c r="M118" i="13"/>
  <c r="AI118" i="13"/>
  <c r="AJ118" i="13"/>
  <c r="AM118" i="13" s="1"/>
  <c r="AK118" i="13"/>
  <c r="AL118" i="13"/>
  <c r="A119" i="13"/>
  <c r="C119" i="13"/>
  <c r="D119" i="13"/>
  <c r="G119" i="13"/>
  <c r="H119" i="13"/>
  <c r="I119" i="13"/>
  <c r="J119" i="13"/>
  <c r="K119" i="13"/>
  <c r="L119" i="13"/>
  <c r="M119" i="13"/>
  <c r="AI119" i="13"/>
  <c r="AJ119" i="13"/>
  <c r="AM119" i="13" s="1"/>
  <c r="AK119" i="13"/>
  <c r="AL119" i="13"/>
  <c r="AN119" i="13"/>
  <c r="A120" i="13"/>
  <c r="C120" i="13"/>
  <c r="D120" i="13"/>
  <c r="G120" i="13"/>
  <c r="H120" i="13"/>
  <c r="I120" i="13"/>
  <c r="J120" i="13"/>
  <c r="K120" i="13"/>
  <c r="L120" i="13"/>
  <c r="M120" i="13"/>
  <c r="AI120" i="13"/>
  <c r="AJ120" i="13"/>
  <c r="AK120" i="13"/>
  <c r="AL120" i="13"/>
  <c r="AM120" i="13"/>
  <c r="AN120" i="13"/>
  <c r="A121" i="13"/>
  <c r="C121" i="13"/>
  <c r="D121" i="13"/>
  <c r="G121" i="13"/>
  <c r="H121" i="13"/>
  <c r="I121" i="13"/>
  <c r="J121" i="13"/>
  <c r="K121" i="13"/>
  <c r="L121" i="13"/>
  <c r="M121" i="13"/>
  <c r="AI121" i="13"/>
  <c r="AJ121" i="13"/>
  <c r="AM121" i="13" s="1"/>
  <c r="AK121" i="13"/>
  <c r="AL121" i="13"/>
  <c r="A122" i="13"/>
  <c r="C122" i="13"/>
  <c r="D122" i="13"/>
  <c r="G122" i="13"/>
  <c r="H122" i="13"/>
  <c r="I122" i="13"/>
  <c r="J122" i="13"/>
  <c r="K122" i="13"/>
  <c r="L122" i="13"/>
  <c r="M122" i="13"/>
  <c r="AI122" i="13"/>
  <c r="AJ122" i="13"/>
  <c r="AM122" i="13" s="1"/>
  <c r="AK122" i="13"/>
  <c r="AL122" i="13"/>
  <c r="AN122" i="13"/>
  <c r="A123" i="13"/>
  <c r="C123" i="13"/>
  <c r="D123" i="13"/>
  <c r="G123" i="13"/>
  <c r="H123" i="13"/>
  <c r="I123" i="13"/>
  <c r="J123" i="13"/>
  <c r="K123" i="13"/>
  <c r="L123" i="13"/>
  <c r="M123" i="13"/>
  <c r="AI123" i="13"/>
  <c r="AJ123" i="13"/>
  <c r="AK123" i="13"/>
  <c r="AL123" i="13"/>
  <c r="AM123" i="13"/>
  <c r="AN123" i="13"/>
  <c r="A124" i="13"/>
  <c r="C124" i="13"/>
  <c r="D124" i="13"/>
  <c r="G124" i="13"/>
  <c r="H124" i="13"/>
  <c r="I124" i="13"/>
  <c r="J124" i="13"/>
  <c r="K124" i="13"/>
  <c r="L124" i="13"/>
  <c r="M124" i="13"/>
  <c r="AI124" i="13"/>
  <c r="AJ124" i="13"/>
  <c r="AM124" i="13" s="1"/>
  <c r="AK124" i="13"/>
  <c r="AL124" i="13"/>
  <c r="A125" i="13"/>
  <c r="C125" i="13"/>
  <c r="D125" i="13"/>
  <c r="G125" i="13"/>
  <c r="H125" i="13"/>
  <c r="I125" i="13"/>
  <c r="J125" i="13"/>
  <c r="K125" i="13"/>
  <c r="L125" i="13"/>
  <c r="M125" i="13"/>
  <c r="AI125" i="13"/>
  <c r="AJ125" i="13"/>
  <c r="AM125" i="13" s="1"/>
  <c r="AK125" i="13"/>
  <c r="AL125" i="13"/>
  <c r="AN125" i="13"/>
  <c r="A126" i="13"/>
  <c r="C126" i="13"/>
  <c r="D126" i="13"/>
  <c r="G126" i="13"/>
  <c r="H126" i="13"/>
  <c r="I126" i="13"/>
  <c r="J126" i="13"/>
  <c r="K126" i="13"/>
  <c r="L126" i="13"/>
  <c r="M126" i="13"/>
  <c r="AI126" i="13"/>
  <c r="AJ126" i="13"/>
  <c r="AK126" i="13"/>
  <c r="AL126" i="13"/>
  <c r="AM126" i="13"/>
  <c r="AN126" i="13"/>
  <c r="A127" i="13"/>
  <c r="C127" i="13"/>
  <c r="D127" i="13"/>
  <c r="G127" i="13"/>
  <c r="H127" i="13"/>
  <c r="I127" i="13"/>
  <c r="J127" i="13"/>
  <c r="K127" i="13"/>
  <c r="L127" i="13"/>
  <c r="M127" i="13"/>
  <c r="AI127" i="13"/>
  <c r="AJ127" i="13"/>
  <c r="AM127" i="13" s="1"/>
  <c r="AK127" i="13"/>
  <c r="AL127" i="13"/>
  <c r="A128" i="13"/>
  <c r="C128" i="13"/>
  <c r="D128" i="13"/>
  <c r="G128" i="13"/>
  <c r="H128" i="13"/>
  <c r="I128" i="13"/>
  <c r="J128" i="13"/>
  <c r="K128" i="13"/>
  <c r="L128" i="13"/>
  <c r="M128" i="13"/>
  <c r="AI128" i="13"/>
  <c r="AJ128" i="13"/>
  <c r="AM128" i="13" s="1"/>
  <c r="AK128" i="13"/>
  <c r="AL128" i="13"/>
  <c r="AN128" i="13"/>
  <c r="A129" i="13"/>
  <c r="C129" i="13"/>
  <c r="D129" i="13"/>
  <c r="G129" i="13"/>
  <c r="H129" i="13"/>
  <c r="I129" i="13"/>
  <c r="J129" i="13"/>
  <c r="K129" i="13"/>
  <c r="L129" i="13"/>
  <c r="M129" i="13"/>
  <c r="AI129" i="13"/>
  <c r="AJ129" i="13"/>
  <c r="AK129" i="13"/>
  <c r="AL129" i="13"/>
  <c r="AM129" i="13"/>
  <c r="AN129" i="13"/>
  <c r="A130" i="13"/>
  <c r="C130" i="13"/>
  <c r="D130" i="13"/>
  <c r="G130" i="13"/>
  <c r="H130" i="13"/>
  <c r="I130" i="13"/>
  <c r="J130" i="13"/>
  <c r="K130" i="13"/>
  <c r="L130" i="13"/>
  <c r="M130" i="13"/>
  <c r="AI130" i="13"/>
  <c r="AJ130" i="13"/>
  <c r="AM130" i="13" s="1"/>
  <c r="AK130" i="13"/>
  <c r="AL130" i="13"/>
  <c r="A131" i="13"/>
  <c r="C131" i="13"/>
  <c r="D131" i="13"/>
  <c r="G131" i="13"/>
  <c r="H131" i="13"/>
  <c r="I131" i="13"/>
  <c r="J131" i="13"/>
  <c r="K131" i="13"/>
  <c r="L131" i="13"/>
  <c r="M131" i="13"/>
  <c r="AI131" i="13"/>
  <c r="AJ131" i="13"/>
  <c r="AM131" i="13" s="1"/>
  <c r="AK131" i="13"/>
  <c r="AL131" i="13"/>
  <c r="AN131" i="13"/>
  <c r="A132" i="13"/>
  <c r="C132" i="13"/>
  <c r="D132" i="13"/>
  <c r="G132" i="13"/>
  <c r="H132" i="13"/>
  <c r="I132" i="13"/>
  <c r="J132" i="13"/>
  <c r="K132" i="13"/>
  <c r="L132" i="13"/>
  <c r="M132" i="13"/>
  <c r="AI132" i="13"/>
  <c r="AJ132" i="13"/>
  <c r="AK132" i="13"/>
  <c r="AL132" i="13"/>
  <c r="AM132" i="13"/>
  <c r="AN132" i="13"/>
  <c r="A133" i="13"/>
  <c r="C133" i="13"/>
  <c r="D133" i="13"/>
  <c r="G133" i="13"/>
  <c r="H133" i="13"/>
  <c r="I133" i="13"/>
  <c r="J133" i="13"/>
  <c r="K133" i="13"/>
  <c r="L133" i="13"/>
  <c r="M133" i="13"/>
  <c r="AI133" i="13"/>
  <c r="AJ133" i="13"/>
  <c r="AM133" i="13" s="1"/>
  <c r="AK133" i="13"/>
  <c r="AL133" i="13"/>
  <c r="A134" i="13"/>
  <c r="C134" i="13"/>
  <c r="D134" i="13"/>
  <c r="G134" i="13"/>
  <c r="H134" i="13"/>
  <c r="I134" i="13"/>
  <c r="J134" i="13"/>
  <c r="K134" i="13"/>
  <c r="L134" i="13"/>
  <c r="M134" i="13"/>
  <c r="AI134" i="13"/>
  <c r="AJ134" i="13"/>
  <c r="AM134" i="13" s="1"/>
  <c r="AK134" i="13"/>
  <c r="AL134" i="13"/>
  <c r="AN134" i="13"/>
  <c r="A135" i="13"/>
  <c r="C135" i="13"/>
  <c r="D135" i="13"/>
  <c r="G135" i="13"/>
  <c r="H135" i="13"/>
  <c r="I135" i="13"/>
  <c r="J135" i="13"/>
  <c r="K135" i="13"/>
  <c r="L135" i="13"/>
  <c r="M135" i="13"/>
  <c r="AI135" i="13"/>
  <c r="AJ135" i="13"/>
  <c r="AK135" i="13"/>
  <c r="AL135" i="13"/>
  <c r="AM135" i="13"/>
  <c r="AN135" i="13"/>
  <c r="A136" i="13"/>
  <c r="C136" i="13"/>
  <c r="D136" i="13"/>
  <c r="G136" i="13"/>
  <c r="H136" i="13"/>
  <c r="I136" i="13"/>
  <c r="J136" i="13"/>
  <c r="K136" i="13"/>
  <c r="L136" i="13"/>
  <c r="M136" i="13"/>
  <c r="AI136" i="13"/>
  <c r="AJ136" i="13"/>
  <c r="AK136" i="13"/>
  <c r="AL136" i="13"/>
  <c r="A137" i="13"/>
  <c r="C137" i="13"/>
  <c r="D137" i="13"/>
  <c r="G137" i="13"/>
  <c r="H137" i="13"/>
  <c r="I137" i="13"/>
  <c r="J137" i="13"/>
  <c r="K137" i="13"/>
  <c r="L137" i="13"/>
  <c r="M137" i="13"/>
  <c r="AI137" i="13"/>
  <c r="AJ137" i="13"/>
  <c r="AM137" i="13" s="1"/>
  <c r="AK137" i="13"/>
  <c r="AL137" i="13"/>
  <c r="AN137" i="13"/>
  <c r="A138" i="13"/>
  <c r="C138" i="13"/>
  <c r="D138" i="13"/>
  <c r="G138" i="13"/>
  <c r="H138" i="13"/>
  <c r="I138" i="13"/>
  <c r="J138" i="13"/>
  <c r="K138" i="13"/>
  <c r="L138" i="13"/>
  <c r="M138" i="13"/>
  <c r="AI138" i="13"/>
  <c r="AJ138" i="13"/>
  <c r="AK138" i="13"/>
  <c r="AL138" i="13"/>
  <c r="AM138" i="13"/>
  <c r="AN138" i="13"/>
  <c r="A139" i="13"/>
  <c r="C139" i="13"/>
  <c r="D139" i="13"/>
  <c r="G139" i="13"/>
  <c r="H139" i="13"/>
  <c r="I139" i="13"/>
  <c r="J139" i="13"/>
  <c r="K139" i="13"/>
  <c r="L139" i="13"/>
  <c r="M139" i="13"/>
  <c r="AI139" i="13"/>
  <c r="AJ139" i="13"/>
  <c r="AK139" i="13"/>
  <c r="AL139" i="13"/>
  <c r="A140" i="13"/>
  <c r="C140" i="13"/>
  <c r="D140" i="13"/>
  <c r="G140" i="13"/>
  <c r="H140" i="13"/>
  <c r="I140" i="13"/>
  <c r="J140" i="13"/>
  <c r="K140" i="13"/>
  <c r="L140" i="13"/>
  <c r="M140" i="13"/>
  <c r="AI140" i="13"/>
  <c r="AJ140" i="13"/>
  <c r="AM140" i="13" s="1"/>
  <c r="AK140" i="13"/>
  <c r="AL140" i="13"/>
  <c r="AN140" i="13"/>
  <c r="A141" i="13"/>
  <c r="C141" i="13"/>
  <c r="D141" i="13"/>
  <c r="G141" i="13"/>
  <c r="H141" i="13"/>
  <c r="I141" i="13"/>
  <c r="J141" i="13"/>
  <c r="K141" i="13"/>
  <c r="L141" i="13"/>
  <c r="M141" i="13"/>
  <c r="AI141" i="13"/>
  <c r="AJ141" i="13"/>
  <c r="AK141" i="13"/>
  <c r="AL141" i="13"/>
  <c r="AM141" i="13"/>
  <c r="AN141" i="13"/>
  <c r="A142" i="13"/>
  <c r="C142" i="13"/>
  <c r="D142" i="13"/>
  <c r="G142" i="13"/>
  <c r="H142" i="13"/>
  <c r="I142" i="13"/>
  <c r="J142" i="13"/>
  <c r="K142" i="13"/>
  <c r="L142" i="13"/>
  <c r="M142" i="13"/>
  <c r="AI142" i="13"/>
  <c r="AJ142" i="13"/>
  <c r="AK142" i="13"/>
  <c r="AL142" i="13"/>
  <c r="A143" i="13"/>
  <c r="C143" i="13"/>
  <c r="D143" i="13"/>
  <c r="G143" i="13"/>
  <c r="H143" i="13"/>
  <c r="I143" i="13"/>
  <c r="J143" i="13"/>
  <c r="K143" i="13"/>
  <c r="L143" i="13"/>
  <c r="M143" i="13"/>
  <c r="AI143" i="13"/>
  <c r="AJ143" i="13"/>
  <c r="AM143" i="13" s="1"/>
  <c r="AK143" i="13"/>
  <c r="AL143" i="13"/>
  <c r="AN143" i="13"/>
  <c r="A144" i="13"/>
  <c r="C144" i="13"/>
  <c r="D144" i="13"/>
  <c r="G144" i="13"/>
  <c r="H144" i="13"/>
  <c r="I144" i="13"/>
  <c r="J144" i="13"/>
  <c r="K144" i="13"/>
  <c r="L144" i="13"/>
  <c r="M144" i="13"/>
  <c r="AI144" i="13"/>
  <c r="AJ144" i="13"/>
  <c r="AK144" i="13"/>
  <c r="AL144" i="13"/>
  <c r="AM144" i="13"/>
  <c r="AN144" i="13"/>
  <c r="A145" i="13"/>
  <c r="C145" i="13"/>
  <c r="D145" i="13"/>
  <c r="G145" i="13"/>
  <c r="H145" i="13"/>
  <c r="I145" i="13"/>
  <c r="J145" i="13"/>
  <c r="K145" i="13"/>
  <c r="L145" i="13"/>
  <c r="M145" i="13"/>
  <c r="AI145" i="13"/>
  <c r="AJ145" i="13"/>
  <c r="AK145" i="13"/>
  <c r="AL145" i="13"/>
  <c r="A146" i="13"/>
  <c r="C146" i="13"/>
  <c r="D146" i="13"/>
  <c r="G146" i="13"/>
  <c r="H146" i="13"/>
  <c r="I146" i="13"/>
  <c r="J146" i="13"/>
  <c r="K146" i="13"/>
  <c r="L146" i="13"/>
  <c r="M146" i="13"/>
  <c r="AI146" i="13"/>
  <c r="AJ146" i="13"/>
  <c r="AM146" i="13" s="1"/>
  <c r="AK146" i="13"/>
  <c r="AL146" i="13"/>
  <c r="AN146" i="13"/>
  <c r="A147" i="13"/>
  <c r="C147" i="13"/>
  <c r="D147" i="13"/>
  <c r="G147" i="13"/>
  <c r="H147" i="13"/>
  <c r="I147" i="13"/>
  <c r="J147" i="13"/>
  <c r="K147" i="13"/>
  <c r="L147" i="13"/>
  <c r="M147" i="13"/>
  <c r="AI147" i="13"/>
  <c r="AJ147" i="13"/>
  <c r="AK147" i="13"/>
  <c r="AL147" i="13"/>
  <c r="AM147" i="13"/>
  <c r="AN147" i="13"/>
  <c r="A148" i="13"/>
  <c r="C148" i="13"/>
  <c r="D148" i="13"/>
  <c r="G148" i="13"/>
  <c r="H148" i="13"/>
  <c r="I148" i="13"/>
  <c r="J148" i="13"/>
  <c r="K148" i="13"/>
  <c r="L148" i="13"/>
  <c r="M148" i="13"/>
  <c r="AI148" i="13"/>
  <c r="AJ148" i="13"/>
  <c r="AK148" i="13"/>
  <c r="AL148" i="13"/>
  <c r="A149" i="13"/>
  <c r="C149" i="13"/>
  <c r="D149" i="13"/>
  <c r="G149" i="13"/>
  <c r="H149" i="13"/>
  <c r="I149" i="13"/>
  <c r="J149" i="13"/>
  <c r="K149" i="13"/>
  <c r="L149" i="13"/>
  <c r="M149" i="13"/>
  <c r="AI149" i="13"/>
  <c r="AJ149" i="13"/>
  <c r="AM149" i="13" s="1"/>
  <c r="AK149" i="13"/>
  <c r="AL149" i="13"/>
  <c r="AN149" i="13"/>
  <c r="A150" i="13"/>
  <c r="C150" i="13"/>
  <c r="D150" i="13"/>
  <c r="G150" i="13"/>
  <c r="H150" i="13"/>
  <c r="I150" i="13"/>
  <c r="J150" i="13"/>
  <c r="K150" i="13"/>
  <c r="L150" i="13"/>
  <c r="M150" i="13"/>
  <c r="AI150" i="13"/>
  <c r="AJ150" i="13"/>
  <c r="AK150" i="13"/>
  <c r="AL150" i="13"/>
  <c r="AM150" i="13"/>
  <c r="AN150" i="13"/>
  <c r="A151" i="13"/>
  <c r="C151" i="13"/>
  <c r="D151" i="13"/>
  <c r="G151" i="13"/>
  <c r="H151" i="13"/>
  <c r="I151" i="13"/>
  <c r="J151" i="13"/>
  <c r="K151" i="13"/>
  <c r="L151" i="13"/>
  <c r="M151" i="13"/>
  <c r="AI151" i="13"/>
  <c r="AJ151" i="13"/>
  <c r="AK151" i="13"/>
  <c r="AL151" i="13"/>
  <c r="A152" i="13"/>
  <c r="C152" i="13"/>
  <c r="D152" i="13"/>
  <c r="G152" i="13"/>
  <c r="H152" i="13"/>
  <c r="I152" i="13"/>
  <c r="J152" i="13"/>
  <c r="K152" i="13"/>
  <c r="L152" i="13"/>
  <c r="M152" i="13"/>
  <c r="AI152" i="13"/>
  <c r="AJ152" i="13"/>
  <c r="AM152" i="13" s="1"/>
  <c r="AK152" i="13"/>
  <c r="AL152" i="13"/>
  <c r="AN152" i="13"/>
  <c r="A153" i="13"/>
  <c r="C153" i="13"/>
  <c r="D153" i="13"/>
  <c r="G153" i="13"/>
  <c r="H153" i="13"/>
  <c r="I153" i="13"/>
  <c r="J153" i="13"/>
  <c r="K153" i="13"/>
  <c r="L153" i="13"/>
  <c r="M153" i="13"/>
  <c r="AI153" i="13"/>
  <c r="AJ153" i="13"/>
  <c r="AK153" i="13"/>
  <c r="AL153" i="13"/>
  <c r="AM153" i="13"/>
  <c r="AN153" i="13"/>
  <c r="A154" i="13"/>
  <c r="C154" i="13"/>
  <c r="D154" i="13"/>
  <c r="G154" i="13"/>
  <c r="H154" i="13"/>
  <c r="I154" i="13"/>
  <c r="J154" i="13"/>
  <c r="K154" i="13"/>
  <c r="L154" i="13"/>
  <c r="M154" i="13"/>
  <c r="AI154" i="13"/>
  <c r="AJ154" i="13"/>
  <c r="AK154" i="13"/>
  <c r="AL154" i="13"/>
  <c r="A155" i="13"/>
  <c r="C155" i="13"/>
  <c r="D155" i="13"/>
  <c r="G155" i="13"/>
  <c r="H155" i="13"/>
  <c r="I155" i="13"/>
  <c r="J155" i="13"/>
  <c r="K155" i="13"/>
  <c r="L155" i="13"/>
  <c r="M155" i="13"/>
  <c r="AI155" i="13"/>
  <c r="AJ155" i="13"/>
  <c r="AM155" i="13" s="1"/>
  <c r="AK155" i="13"/>
  <c r="AL155" i="13"/>
  <c r="AN155" i="13"/>
  <c r="A156" i="13"/>
  <c r="C156" i="13"/>
  <c r="D156" i="13"/>
  <c r="G156" i="13"/>
  <c r="H156" i="13"/>
  <c r="I156" i="13"/>
  <c r="J156" i="13"/>
  <c r="K156" i="13"/>
  <c r="L156" i="13"/>
  <c r="M156" i="13"/>
  <c r="AI156" i="13"/>
  <c r="AJ156" i="13"/>
  <c r="AK156" i="13"/>
  <c r="AL156" i="13"/>
  <c r="AM156" i="13"/>
  <c r="AN156" i="13"/>
  <c r="A157" i="13"/>
  <c r="C157" i="13"/>
  <c r="D157" i="13"/>
  <c r="G157" i="13"/>
  <c r="H157" i="13"/>
  <c r="I157" i="13"/>
  <c r="J157" i="13"/>
  <c r="K157" i="13"/>
  <c r="L157" i="13"/>
  <c r="M157" i="13"/>
  <c r="AI157" i="13"/>
  <c r="AJ157" i="13"/>
  <c r="AK157" i="13"/>
  <c r="AL157" i="13"/>
  <c r="A158" i="13"/>
  <c r="C158" i="13"/>
  <c r="D158" i="13"/>
  <c r="G158" i="13"/>
  <c r="H158" i="13"/>
  <c r="I158" i="13"/>
  <c r="J158" i="13"/>
  <c r="K158" i="13"/>
  <c r="L158" i="13"/>
  <c r="M158" i="13"/>
  <c r="AI158" i="13"/>
  <c r="AJ158" i="13"/>
  <c r="AM158" i="13" s="1"/>
  <c r="AK158" i="13"/>
  <c r="AL158" i="13"/>
  <c r="AN158" i="13"/>
  <c r="A159" i="13"/>
  <c r="C159" i="13"/>
  <c r="D159" i="13"/>
  <c r="G159" i="13"/>
  <c r="H159" i="13"/>
  <c r="I159" i="13"/>
  <c r="J159" i="13"/>
  <c r="K159" i="13"/>
  <c r="L159" i="13"/>
  <c r="M159" i="13"/>
  <c r="AI159" i="13"/>
  <c r="AJ159" i="13"/>
  <c r="AK159" i="13"/>
  <c r="AL159" i="13"/>
  <c r="AM159" i="13"/>
  <c r="AN159" i="13"/>
  <c r="A160" i="13"/>
  <c r="C160" i="13"/>
  <c r="D160" i="13"/>
  <c r="G160" i="13"/>
  <c r="H160" i="13"/>
  <c r="I160" i="13"/>
  <c r="J160" i="13"/>
  <c r="K160" i="13"/>
  <c r="L160" i="13"/>
  <c r="M160" i="13"/>
  <c r="AI160" i="13"/>
  <c r="AJ160" i="13"/>
  <c r="AK160" i="13"/>
  <c r="AL160" i="13"/>
  <c r="A161" i="13"/>
  <c r="C161" i="13"/>
  <c r="D161" i="13"/>
  <c r="G161" i="13"/>
  <c r="H161" i="13"/>
  <c r="I161" i="13"/>
  <c r="J161" i="13"/>
  <c r="K161" i="13"/>
  <c r="L161" i="13"/>
  <c r="M161" i="13"/>
  <c r="AI161" i="13"/>
  <c r="AJ161" i="13"/>
  <c r="AM161" i="13" s="1"/>
  <c r="AK161" i="13"/>
  <c r="AL161" i="13"/>
  <c r="AN161" i="13"/>
  <c r="A162" i="13"/>
  <c r="C162" i="13"/>
  <c r="D162" i="13"/>
  <c r="G162" i="13"/>
  <c r="H162" i="13"/>
  <c r="I162" i="13"/>
  <c r="J162" i="13"/>
  <c r="K162" i="13"/>
  <c r="L162" i="13"/>
  <c r="M162" i="13"/>
  <c r="AI162" i="13"/>
  <c r="AJ162" i="13"/>
  <c r="AK162" i="13"/>
  <c r="AL162" i="13"/>
  <c r="AM162" i="13"/>
  <c r="AN162" i="13"/>
  <c r="A163" i="13"/>
  <c r="C163" i="13"/>
  <c r="D163" i="13"/>
  <c r="G163" i="13"/>
  <c r="H163" i="13"/>
  <c r="I163" i="13"/>
  <c r="J163" i="13"/>
  <c r="K163" i="13"/>
  <c r="L163" i="13"/>
  <c r="M163" i="13"/>
  <c r="AI163" i="13"/>
  <c r="AJ163" i="13"/>
  <c r="AK163" i="13"/>
  <c r="AL163" i="13"/>
  <c r="A164" i="13"/>
  <c r="C164" i="13"/>
  <c r="D164" i="13"/>
  <c r="G164" i="13"/>
  <c r="H164" i="13"/>
  <c r="I164" i="13"/>
  <c r="J164" i="13"/>
  <c r="K164" i="13"/>
  <c r="L164" i="13"/>
  <c r="M164" i="13"/>
  <c r="AI164" i="13"/>
  <c r="AJ164" i="13"/>
  <c r="AM164" i="13" s="1"/>
  <c r="AK164" i="13"/>
  <c r="AL164" i="13"/>
  <c r="AN164" i="13"/>
  <c r="A165" i="13"/>
  <c r="C165" i="13"/>
  <c r="D165" i="13"/>
  <c r="G165" i="13"/>
  <c r="H165" i="13"/>
  <c r="I165" i="13"/>
  <c r="J165" i="13"/>
  <c r="K165" i="13"/>
  <c r="L165" i="13"/>
  <c r="M165" i="13"/>
  <c r="AI165" i="13"/>
  <c r="AJ165" i="13"/>
  <c r="AK165" i="13"/>
  <c r="AL165" i="13"/>
  <c r="AM165" i="13"/>
  <c r="AN165" i="13"/>
  <c r="A166" i="13"/>
  <c r="C166" i="13"/>
  <c r="D166" i="13"/>
  <c r="G166" i="13"/>
  <c r="H166" i="13"/>
  <c r="I166" i="13"/>
  <c r="J166" i="13"/>
  <c r="K166" i="13"/>
  <c r="L166" i="13"/>
  <c r="M166" i="13"/>
  <c r="AI166" i="13"/>
  <c r="AJ166" i="13"/>
  <c r="AK166" i="13"/>
  <c r="AL166" i="13"/>
  <c r="A167" i="13"/>
  <c r="C167" i="13"/>
  <c r="D167" i="13"/>
  <c r="G167" i="13"/>
  <c r="H167" i="13"/>
  <c r="I167" i="13"/>
  <c r="J167" i="13"/>
  <c r="K167" i="13"/>
  <c r="L167" i="13"/>
  <c r="M167" i="13"/>
  <c r="AI167" i="13"/>
  <c r="AJ167" i="13"/>
  <c r="AM167" i="13" s="1"/>
  <c r="AK167" i="13"/>
  <c r="AL167" i="13"/>
  <c r="AN167" i="13"/>
  <c r="A168" i="13"/>
  <c r="C168" i="13"/>
  <c r="D168" i="13"/>
  <c r="G168" i="13"/>
  <c r="H168" i="13"/>
  <c r="I168" i="13"/>
  <c r="J168" i="13"/>
  <c r="K168" i="13"/>
  <c r="L168" i="13"/>
  <c r="M168" i="13"/>
  <c r="AI168" i="13"/>
  <c r="AJ168" i="13"/>
  <c r="AK168" i="13"/>
  <c r="AL168" i="13"/>
  <c r="AM168" i="13"/>
  <c r="AN168" i="13"/>
  <c r="A169" i="13"/>
  <c r="C169" i="13"/>
  <c r="D169" i="13"/>
  <c r="G169" i="13"/>
  <c r="H169" i="13"/>
  <c r="I169" i="13"/>
  <c r="J169" i="13"/>
  <c r="K169" i="13"/>
  <c r="L169" i="13"/>
  <c r="M169" i="13"/>
  <c r="AI169" i="13"/>
  <c r="AJ169" i="13"/>
  <c r="AK169" i="13"/>
  <c r="AL169" i="13"/>
  <c r="A170" i="13"/>
  <c r="C170" i="13"/>
  <c r="D170" i="13"/>
  <c r="G170" i="13"/>
  <c r="H170" i="13"/>
  <c r="I170" i="13"/>
  <c r="J170" i="13"/>
  <c r="K170" i="13"/>
  <c r="L170" i="13"/>
  <c r="M170" i="13"/>
  <c r="AI170" i="13"/>
  <c r="AJ170" i="13"/>
  <c r="AM170" i="13" s="1"/>
  <c r="AK170" i="13"/>
  <c r="AL170" i="13"/>
  <c r="AN170" i="13"/>
  <c r="A171" i="13"/>
  <c r="C171" i="13"/>
  <c r="D171" i="13"/>
  <c r="G171" i="13"/>
  <c r="H171" i="13"/>
  <c r="I171" i="13"/>
  <c r="J171" i="13"/>
  <c r="K171" i="13"/>
  <c r="L171" i="13"/>
  <c r="M171" i="13"/>
  <c r="AI171" i="13"/>
  <c r="AJ171" i="13"/>
  <c r="AK171" i="13"/>
  <c r="AL171" i="13"/>
  <c r="AM171" i="13"/>
  <c r="AN171" i="13"/>
  <c r="A172" i="13"/>
  <c r="C172" i="13"/>
  <c r="D172" i="13"/>
  <c r="G172" i="13"/>
  <c r="H172" i="13"/>
  <c r="I172" i="13"/>
  <c r="J172" i="13"/>
  <c r="K172" i="13"/>
  <c r="L172" i="13"/>
  <c r="M172" i="13"/>
  <c r="AI172" i="13"/>
  <c r="AJ172" i="13"/>
  <c r="AK172" i="13"/>
  <c r="AL172" i="13"/>
  <c r="A173" i="13"/>
  <c r="C173" i="13"/>
  <c r="D173" i="13"/>
  <c r="G173" i="13"/>
  <c r="H173" i="13"/>
  <c r="I173" i="13"/>
  <c r="J173" i="13"/>
  <c r="K173" i="13"/>
  <c r="L173" i="13"/>
  <c r="M173" i="13"/>
  <c r="AI173" i="13"/>
  <c r="AJ173" i="13"/>
  <c r="AM173" i="13" s="1"/>
  <c r="AK173" i="13"/>
  <c r="AL173" i="13"/>
  <c r="AN173" i="13"/>
  <c r="A174" i="13"/>
  <c r="C174" i="13"/>
  <c r="D174" i="13"/>
  <c r="G174" i="13"/>
  <c r="H174" i="13"/>
  <c r="I174" i="13"/>
  <c r="J174" i="13"/>
  <c r="K174" i="13"/>
  <c r="L174" i="13"/>
  <c r="M174" i="13"/>
  <c r="AI174" i="13"/>
  <c r="AJ174" i="13"/>
  <c r="AK174" i="13"/>
  <c r="AL174" i="13"/>
  <c r="AM174" i="13"/>
  <c r="AN174" i="13"/>
  <c r="A175" i="13"/>
  <c r="C175" i="13"/>
  <c r="D175" i="13"/>
  <c r="G175" i="13"/>
  <c r="H175" i="13"/>
  <c r="I175" i="13"/>
  <c r="J175" i="13"/>
  <c r="K175" i="13"/>
  <c r="L175" i="13"/>
  <c r="M175" i="13"/>
  <c r="AI175" i="13"/>
  <c r="AJ175" i="13"/>
  <c r="AK175" i="13"/>
  <c r="AL175" i="13"/>
  <c r="A176" i="13"/>
  <c r="C176" i="13"/>
  <c r="D176" i="13"/>
  <c r="G176" i="13"/>
  <c r="H176" i="13"/>
  <c r="I176" i="13"/>
  <c r="J176" i="13"/>
  <c r="K176" i="13"/>
  <c r="L176" i="13"/>
  <c r="M176" i="13"/>
  <c r="AI176" i="13"/>
  <c r="AJ176" i="13"/>
  <c r="AM176" i="13" s="1"/>
  <c r="AK176" i="13"/>
  <c r="AL176" i="13"/>
  <c r="AN176" i="13"/>
  <c r="A177" i="13"/>
  <c r="C177" i="13"/>
  <c r="D177" i="13"/>
  <c r="G177" i="13"/>
  <c r="H177" i="13"/>
  <c r="I177" i="13"/>
  <c r="J177" i="13"/>
  <c r="K177" i="13"/>
  <c r="L177" i="13"/>
  <c r="M177" i="13"/>
  <c r="AI177" i="13"/>
  <c r="AJ177" i="13"/>
  <c r="AK177" i="13"/>
  <c r="AL177" i="13"/>
  <c r="AM177" i="13"/>
  <c r="AN177" i="13"/>
  <c r="A178" i="13"/>
  <c r="C178" i="13"/>
  <c r="D178" i="13"/>
  <c r="G178" i="13"/>
  <c r="H178" i="13"/>
  <c r="I178" i="13"/>
  <c r="J178" i="13"/>
  <c r="K178" i="13"/>
  <c r="L178" i="13"/>
  <c r="M178" i="13"/>
  <c r="AI178" i="13"/>
  <c r="AJ178" i="13"/>
  <c r="AK178" i="13"/>
  <c r="AL178" i="13"/>
  <c r="A179" i="13"/>
  <c r="C179" i="13"/>
  <c r="D179" i="13"/>
  <c r="G179" i="13"/>
  <c r="H179" i="13"/>
  <c r="I179" i="13"/>
  <c r="J179" i="13"/>
  <c r="K179" i="13"/>
  <c r="L179" i="13"/>
  <c r="M179" i="13"/>
  <c r="AI179" i="13"/>
  <c r="AJ179" i="13"/>
  <c r="AM179" i="13" s="1"/>
  <c r="AK179" i="13"/>
  <c r="AL179" i="13"/>
  <c r="AN179" i="13"/>
  <c r="A180" i="13"/>
  <c r="C180" i="13"/>
  <c r="D180" i="13"/>
  <c r="G180" i="13"/>
  <c r="H180" i="13"/>
  <c r="I180" i="13"/>
  <c r="J180" i="13"/>
  <c r="K180" i="13"/>
  <c r="L180" i="13"/>
  <c r="M180" i="13"/>
  <c r="AI180" i="13"/>
  <c r="AJ180" i="13"/>
  <c r="AK180" i="13"/>
  <c r="AL180" i="13"/>
  <c r="AM180" i="13"/>
  <c r="AN180" i="13"/>
  <c r="A181" i="13"/>
  <c r="C181" i="13"/>
  <c r="D181" i="13"/>
  <c r="G181" i="13"/>
  <c r="H181" i="13"/>
  <c r="I181" i="13"/>
  <c r="J181" i="13"/>
  <c r="K181" i="13"/>
  <c r="L181" i="13"/>
  <c r="M181" i="13"/>
  <c r="AI181" i="13"/>
  <c r="AJ181" i="13"/>
  <c r="AK181" i="13"/>
  <c r="AL181" i="13"/>
  <c r="A182" i="13"/>
  <c r="C182" i="13"/>
  <c r="D182" i="13"/>
  <c r="G182" i="13"/>
  <c r="H182" i="13"/>
  <c r="I182" i="13"/>
  <c r="J182" i="13"/>
  <c r="K182" i="13"/>
  <c r="L182" i="13"/>
  <c r="M182" i="13"/>
  <c r="AI182" i="13"/>
  <c r="AJ182" i="13"/>
  <c r="AM182" i="13" s="1"/>
  <c r="AK182" i="13"/>
  <c r="AL182" i="13"/>
  <c r="AN182" i="13"/>
  <c r="A183" i="13"/>
  <c r="C183" i="13"/>
  <c r="D183" i="13"/>
  <c r="G183" i="13"/>
  <c r="H183" i="13"/>
  <c r="I183" i="13"/>
  <c r="J183" i="13"/>
  <c r="K183" i="13"/>
  <c r="L183" i="13"/>
  <c r="M183" i="13"/>
  <c r="AI183" i="13"/>
  <c r="AJ183" i="13"/>
  <c r="AM183" i="13" s="1"/>
  <c r="AK183" i="13"/>
  <c r="AL183" i="13"/>
  <c r="AN183" i="13"/>
  <c r="A184" i="13"/>
  <c r="C184" i="13"/>
  <c r="D184" i="13"/>
  <c r="G184" i="13"/>
  <c r="H184" i="13"/>
  <c r="I184" i="13"/>
  <c r="J184" i="13"/>
  <c r="K184" i="13"/>
  <c r="L184" i="13"/>
  <c r="M184" i="13"/>
  <c r="AI184" i="13"/>
  <c r="AJ184" i="13"/>
  <c r="AK184" i="13"/>
  <c r="AL184" i="13"/>
  <c r="A185" i="13"/>
  <c r="C185" i="13"/>
  <c r="D185" i="13"/>
  <c r="G185" i="13"/>
  <c r="H185" i="13"/>
  <c r="I185" i="13"/>
  <c r="J185" i="13"/>
  <c r="K185" i="13"/>
  <c r="L185" i="13"/>
  <c r="M185" i="13"/>
  <c r="AI185" i="13"/>
  <c r="AJ185" i="13"/>
  <c r="AM185" i="13" s="1"/>
  <c r="AK185" i="13"/>
  <c r="AL185" i="13"/>
  <c r="AN185" i="13"/>
  <c r="A186" i="13"/>
  <c r="C186" i="13"/>
  <c r="D186" i="13"/>
  <c r="G186" i="13"/>
  <c r="H186" i="13"/>
  <c r="I186" i="13"/>
  <c r="J186" i="13"/>
  <c r="K186" i="13"/>
  <c r="L186" i="13"/>
  <c r="M186" i="13"/>
  <c r="AI186" i="13"/>
  <c r="AJ186" i="13"/>
  <c r="AM186" i="13" s="1"/>
  <c r="AK186" i="13"/>
  <c r="AL186" i="13"/>
  <c r="AN186" i="13"/>
  <c r="A187" i="13"/>
  <c r="C187" i="13"/>
  <c r="D187" i="13"/>
  <c r="G187" i="13"/>
  <c r="H187" i="13"/>
  <c r="I187" i="13"/>
  <c r="J187" i="13"/>
  <c r="K187" i="13"/>
  <c r="L187" i="13"/>
  <c r="M187" i="13"/>
  <c r="AI187" i="13"/>
  <c r="AJ187" i="13"/>
  <c r="AK187" i="13"/>
  <c r="AL187" i="13"/>
  <c r="A188" i="13"/>
  <c r="C188" i="13"/>
  <c r="D188" i="13"/>
  <c r="G188" i="13"/>
  <c r="H188" i="13"/>
  <c r="I188" i="13"/>
  <c r="J188" i="13"/>
  <c r="K188" i="13"/>
  <c r="L188" i="13"/>
  <c r="M188" i="13"/>
  <c r="AI188" i="13"/>
  <c r="AJ188" i="13"/>
  <c r="AM188" i="13" s="1"/>
  <c r="AK188" i="13"/>
  <c r="AL188" i="13"/>
  <c r="AN188" i="13"/>
  <c r="A189" i="13"/>
  <c r="C189" i="13"/>
  <c r="D189" i="13"/>
  <c r="G189" i="13"/>
  <c r="H189" i="13"/>
  <c r="I189" i="13"/>
  <c r="J189" i="13"/>
  <c r="K189" i="13"/>
  <c r="L189" i="13"/>
  <c r="M189" i="13"/>
  <c r="AI189" i="13"/>
  <c r="AJ189" i="13"/>
  <c r="AK189" i="13"/>
  <c r="AL189" i="13"/>
  <c r="AM189" i="13"/>
  <c r="AN189" i="13"/>
  <c r="A190" i="13"/>
  <c r="C190" i="13"/>
  <c r="D190" i="13"/>
  <c r="G190" i="13"/>
  <c r="H190" i="13"/>
  <c r="I190" i="13"/>
  <c r="J190" i="13"/>
  <c r="K190" i="13"/>
  <c r="L190" i="13"/>
  <c r="M190" i="13"/>
  <c r="AI190" i="13"/>
  <c r="AJ190" i="13"/>
  <c r="AK190" i="13"/>
  <c r="AL190" i="13"/>
  <c r="A191" i="13"/>
  <c r="C191" i="13"/>
  <c r="D191" i="13"/>
  <c r="G191" i="13"/>
  <c r="H191" i="13"/>
  <c r="I191" i="13"/>
  <c r="J191" i="13"/>
  <c r="K191" i="13"/>
  <c r="L191" i="13"/>
  <c r="M191" i="13"/>
  <c r="AI191" i="13"/>
  <c r="AJ191" i="13"/>
  <c r="AM191" i="13" s="1"/>
  <c r="AK191" i="13"/>
  <c r="AL191" i="13"/>
  <c r="AN191" i="13"/>
  <c r="A192" i="13"/>
  <c r="C192" i="13"/>
  <c r="D192" i="13"/>
  <c r="G192" i="13"/>
  <c r="H192" i="13"/>
  <c r="I192" i="13"/>
  <c r="J192" i="13"/>
  <c r="K192" i="13"/>
  <c r="L192" i="13"/>
  <c r="M192" i="13"/>
  <c r="AI192" i="13"/>
  <c r="AJ192" i="13"/>
  <c r="AK192" i="13"/>
  <c r="AL192" i="13"/>
  <c r="AM192" i="13"/>
  <c r="AN192" i="13"/>
  <c r="A193" i="13"/>
  <c r="C193" i="13"/>
  <c r="D193" i="13"/>
  <c r="G193" i="13"/>
  <c r="H193" i="13"/>
  <c r="I193" i="13"/>
  <c r="J193" i="13"/>
  <c r="K193" i="13"/>
  <c r="L193" i="13"/>
  <c r="M193" i="13"/>
  <c r="AI193" i="13"/>
  <c r="AJ193" i="13"/>
  <c r="AK193" i="13"/>
  <c r="AL193" i="13"/>
  <c r="A194" i="13"/>
  <c r="C194" i="13"/>
  <c r="D194" i="13"/>
  <c r="G194" i="13"/>
  <c r="H194" i="13"/>
  <c r="I194" i="13"/>
  <c r="J194" i="13"/>
  <c r="K194" i="13"/>
  <c r="L194" i="13"/>
  <c r="M194" i="13"/>
  <c r="AI194" i="13"/>
  <c r="AJ194" i="13"/>
  <c r="AM194" i="13" s="1"/>
  <c r="AK194" i="13"/>
  <c r="AL194" i="13"/>
  <c r="AN194" i="13"/>
  <c r="A195" i="13"/>
  <c r="C195" i="13"/>
  <c r="D195" i="13"/>
  <c r="G195" i="13"/>
  <c r="H195" i="13"/>
  <c r="I195" i="13"/>
  <c r="J195" i="13"/>
  <c r="K195" i="13"/>
  <c r="L195" i="13"/>
  <c r="M195" i="13"/>
  <c r="AI195" i="13"/>
  <c r="AJ195" i="13"/>
  <c r="AM195" i="13" s="1"/>
  <c r="AK195" i="13"/>
  <c r="AL195" i="13"/>
  <c r="AN195" i="13"/>
  <c r="A196" i="13"/>
  <c r="C196" i="13"/>
  <c r="D196" i="13"/>
  <c r="G196" i="13"/>
  <c r="H196" i="13"/>
  <c r="I196" i="13"/>
  <c r="J196" i="13"/>
  <c r="K196" i="13"/>
  <c r="L196" i="13"/>
  <c r="M196" i="13"/>
  <c r="AI196" i="13"/>
  <c r="AJ196" i="13"/>
  <c r="AK196" i="13"/>
  <c r="AL196" i="13"/>
  <c r="A197" i="13"/>
  <c r="C197" i="13"/>
  <c r="D197" i="13"/>
  <c r="G197" i="13"/>
  <c r="H197" i="13"/>
  <c r="I197" i="13"/>
  <c r="J197" i="13"/>
  <c r="K197" i="13"/>
  <c r="L197" i="13"/>
  <c r="M197" i="13"/>
  <c r="AI197" i="13"/>
  <c r="AJ197" i="13"/>
  <c r="AM197" i="13" s="1"/>
  <c r="AK197" i="13"/>
  <c r="AL197" i="13"/>
  <c r="AN197" i="13"/>
  <c r="A198" i="13"/>
  <c r="C198" i="13"/>
  <c r="D198" i="13"/>
  <c r="G198" i="13"/>
  <c r="H198" i="13"/>
  <c r="I198" i="13"/>
  <c r="J198" i="13"/>
  <c r="K198" i="13"/>
  <c r="L198" i="13"/>
  <c r="M198" i="13"/>
  <c r="AI198" i="13"/>
  <c r="AJ198" i="13"/>
  <c r="AM198" i="13" s="1"/>
  <c r="AK198" i="13"/>
  <c r="AL198" i="13"/>
  <c r="AN198" i="13"/>
  <c r="A199" i="13"/>
  <c r="C199" i="13"/>
  <c r="D199" i="13"/>
  <c r="G199" i="13"/>
  <c r="H199" i="13"/>
  <c r="I199" i="13"/>
  <c r="J199" i="13"/>
  <c r="K199" i="13"/>
  <c r="L199" i="13"/>
  <c r="M199" i="13"/>
  <c r="AI199" i="13"/>
  <c r="AJ199" i="13"/>
  <c r="AK199" i="13"/>
  <c r="AL199" i="13"/>
  <c r="A200" i="13"/>
  <c r="C200" i="13"/>
  <c r="D200" i="13"/>
  <c r="G200" i="13"/>
  <c r="H200" i="13"/>
  <c r="I200" i="13"/>
  <c r="J200" i="13"/>
  <c r="K200" i="13"/>
  <c r="L200" i="13"/>
  <c r="M200" i="13"/>
  <c r="AI200" i="13"/>
  <c r="AJ200" i="13"/>
  <c r="AM200" i="13" s="1"/>
  <c r="AK200" i="13"/>
  <c r="AL200" i="13"/>
  <c r="AN200" i="13"/>
  <c r="A201" i="13"/>
  <c r="C201" i="13"/>
  <c r="D201" i="13"/>
  <c r="G201" i="13"/>
  <c r="H201" i="13"/>
  <c r="I201" i="13"/>
  <c r="J201" i="13"/>
  <c r="K201" i="13"/>
  <c r="L201" i="13"/>
  <c r="M201" i="13"/>
  <c r="AI201" i="13"/>
  <c r="AJ201" i="13"/>
  <c r="AK201" i="13"/>
  <c r="AL201" i="13"/>
  <c r="AM201" i="13"/>
  <c r="AN201" i="13"/>
  <c r="A202" i="13"/>
  <c r="C202" i="13"/>
  <c r="D202" i="13"/>
  <c r="G202" i="13"/>
  <c r="H202" i="13"/>
  <c r="I202" i="13"/>
  <c r="J202" i="13"/>
  <c r="K202" i="13"/>
  <c r="L202" i="13"/>
  <c r="M202" i="13"/>
  <c r="AI202" i="13"/>
  <c r="AJ202" i="13"/>
  <c r="AK202" i="13"/>
  <c r="AL202" i="13"/>
  <c r="A203" i="13"/>
  <c r="C203" i="13"/>
  <c r="D203" i="13"/>
  <c r="G203" i="13"/>
  <c r="H203" i="13"/>
  <c r="I203" i="13"/>
  <c r="J203" i="13"/>
  <c r="K203" i="13"/>
  <c r="L203" i="13"/>
  <c r="M203" i="13"/>
  <c r="AI203" i="13"/>
  <c r="AJ203" i="13"/>
  <c r="AM203" i="13" s="1"/>
  <c r="AK203" i="13"/>
  <c r="AL203" i="13"/>
  <c r="AN203" i="13"/>
  <c r="A204" i="13"/>
  <c r="C204" i="13"/>
  <c r="D204" i="13"/>
  <c r="G204" i="13"/>
  <c r="H204" i="13"/>
  <c r="I204" i="13"/>
  <c r="J204" i="13"/>
  <c r="K204" i="13"/>
  <c r="L204" i="13"/>
  <c r="M204" i="13"/>
  <c r="AI204" i="13"/>
  <c r="AJ204" i="13"/>
  <c r="AK204" i="13"/>
  <c r="AL204" i="13"/>
  <c r="AM204" i="13"/>
  <c r="AN204" i="13"/>
  <c r="A205" i="13"/>
  <c r="C205" i="13"/>
  <c r="D205" i="13"/>
  <c r="G205" i="13"/>
  <c r="H205" i="13"/>
  <c r="I205" i="13"/>
  <c r="J205" i="13"/>
  <c r="K205" i="13"/>
  <c r="L205" i="13"/>
  <c r="M205" i="13"/>
  <c r="AI205" i="13"/>
  <c r="AJ205" i="13"/>
  <c r="AK205" i="13"/>
  <c r="AL205" i="13"/>
  <c r="A206" i="13"/>
  <c r="C206" i="13"/>
  <c r="D206" i="13"/>
  <c r="G206" i="13"/>
  <c r="H206" i="13"/>
  <c r="I206" i="13"/>
  <c r="J206" i="13"/>
  <c r="K206" i="13"/>
  <c r="L206" i="13"/>
  <c r="M206" i="13"/>
  <c r="AI206" i="13"/>
  <c r="AJ206" i="13"/>
  <c r="AM206" i="13" s="1"/>
  <c r="AK206" i="13"/>
  <c r="AL206" i="13"/>
  <c r="AN206" i="13"/>
  <c r="A207" i="13"/>
  <c r="C207" i="13"/>
  <c r="D207" i="13"/>
  <c r="G207" i="13"/>
  <c r="H207" i="13"/>
  <c r="I207" i="13"/>
  <c r="J207" i="13"/>
  <c r="K207" i="13"/>
  <c r="L207" i="13"/>
  <c r="M207" i="13"/>
  <c r="AI207" i="13"/>
  <c r="AJ207" i="13"/>
  <c r="AM207" i="13" s="1"/>
  <c r="AK207" i="13"/>
  <c r="AL207" i="13"/>
  <c r="AN207" i="13"/>
  <c r="A208" i="13"/>
  <c r="C208" i="13"/>
  <c r="D208" i="13"/>
  <c r="G208" i="13"/>
  <c r="H208" i="13"/>
  <c r="I208" i="13"/>
  <c r="J208" i="13"/>
  <c r="K208" i="13"/>
  <c r="L208" i="13"/>
  <c r="M208" i="13"/>
  <c r="AI208" i="13"/>
  <c r="AJ208" i="13"/>
  <c r="AK208" i="13"/>
  <c r="AL208" i="13"/>
  <c r="A209" i="13"/>
  <c r="C209" i="13"/>
  <c r="D209" i="13"/>
  <c r="G209" i="13"/>
  <c r="H209" i="13"/>
  <c r="I209" i="13"/>
  <c r="J209" i="13"/>
  <c r="K209" i="13"/>
  <c r="L209" i="13"/>
  <c r="M209" i="13"/>
  <c r="AI209" i="13"/>
  <c r="AJ209" i="13"/>
  <c r="AM209" i="13" s="1"/>
  <c r="AK209" i="13"/>
  <c r="AL209" i="13"/>
  <c r="AN209" i="13"/>
  <c r="A210" i="13"/>
  <c r="C210" i="13"/>
  <c r="D210" i="13"/>
  <c r="G210" i="13"/>
  <c r="H210" i="13"/>
  <c r="I210" i="13"/>
  <c r="J210" i="13"/>
  <c r="K210" i="13"/>
  <c r="L210" i="13"/>
  <c r="M210" i="13"/>
  <c r="AI210" i="13"/>
  <c r="AJ210" i="13"/>
  <c r="AM210" i="13" s="1"/>
  <c r="AK210" i="13"/>
  <c r="AL210" i="13"/>
  <c r="AN210" i="13"/>
  <c r="A211" i="13"/>
  <c r="C211" i="13"/>
  <c r="D211" i="13"/>
  <c r="G211" i="13"/>
  <c r="H211" i="13"/>
  <c r="I211" i="13"/>
  <c r="J211" i="13"/>
  <c r="K211" i="13"/>
  <c r="L211" i="13"/>
  <c r="M211" i="13"/>
  <c r="AI211" i="13"/>
  <c r="AJ211" i="13"/>
  <c r="AN211" i="13" s="1"/>
  <c r="AK211" i="13"/>
  <c r="AL211" i="13"/>
  <c r="AM211" i="13"/>
  <c r="A212" i="13"/>
  <c r="C212" i="13"/>
  <c r="D212" i="13"/>
  <c r="G212" i="13"/>
  <c r="H212" i="13"/>
  <c r="I212" i="13"/>
  <c r="J212" i="13"/>
  <c r="K212" i="13"/>
  <c r="L212" i="13"/>
  <c r="M212" i="13"/>
  <c r="AI212" i="13"/>
  <c r="AJ212" i="13"/>
  <c r="AM212" i="13" s="1"/>
  <c r="AK212" i="13"/>
  <c r="AL212" i="13"/>
  <c r="AN212" i="13"/>
  <c r="A213" i="13"/>
  <c r="C213" i="13"/>
  <c r="D213" i="13"/>
  <c r="G213" i="13"/>
  <c r="H213" i="13"/>
  <c r="I213" i="13"/>
  <c r="J213" i="13"/>
  <c r="K213" i="13"/>
  <c r="L213" i="13"/>
  <c r="M213" i="13"/>
  <c r="AI213" i="13"/>
  <c r="AJ213" i="13"/>
  <c r="AM213" i="13" s="1"/>
  <c r="AK213" i="13"/>
  <c r="AL213" i="13"/>
  <c r="A214" i="13"/>
  <c r="C214" i="13"/>
  <c r="D214" i="13"/>
  <c r="G214" i="13"/>
  <c r="H214" i="13"/>
  <c r="I214" i="13"/>
  <c r="J214" i="13"/>
  <c r="K214" i="13"/>
  <c r="L214" i="13"/>
  <c r="M214" i="13"/>
  <c r="AI214" i="13"/>
  <c r="AJ214" i="13"/>
  <c r="AN214" i="13" s="1"/>
  <c r="AK214" i="13"/>
  <c r="AL214" i="13"/>
  <c r="A215" i="13"/>
  <c r="C215" i="13"/>
  <c r="D215" i="13"/>
  <c r="G215" i="13"/>
  <c r="H215" i="13"/>
  <c r="I215" i="13"/>
  <c r="J215" i="13"/>
  <c r="K215" i="13"/>
  <c r="L215" i="13"/>
  <c r="M215" i="13"/>
  <c r="AI215" i="13"/>
  <c r="AJ215" i="13"/>
  <c r="AM215" i="13" s="1"/>
  <c r="AK215" i="13"/>
  <c r="AL215" i="13"/>
  <c r="AN215" i="13"/>
  <c r="A216" i="13"/>
  <c r="C216" i="13"/>
  <c r="D216" i="13"/>
  <c r="G216" i="13"/>
  <c r="H216" i="13"/>
  <c r="I216" i="13"/>
  <c r="J216" i="13"/>
  <c r="K216" i="13"/>
  <c r="L216" i="13"/>
  <c r="M216" i="13"/>
  <c r="AI216" i="13"/>
  <c r="AJ216" i="13"/>
  <c r="AM216" i="13" s="1"/>
  <c r="AK216" i="13"/>
  <c r="AL216" i="13"/>
  <c r="AN216" i="13"/>
  <c r="A217" i="13"/>
  <c r="C217" i="13"/>
  <c r="D217" i="13"/>
  <c r="G217" i="13"/>
  <c r="H217" i="13"/>
  <c r="I217" i="13"/>
  <c r="J217" i="13"/>
  <c r="K217" i="13"/>
  <c r="L217" i="13"/>
  <c r="M217" i="13"/>
  <c r="AI217" i="13"/>
  <c r="AJ217" i="13"/>
  <c r="AN217" i="13" s="1"/>
  <c r="AK217" i="13"/>
  <c r="AL217" i="13"/>
  <c r="AM217" i="13"/>
  <c r="A218" i="13"/>
  <c r="C218" i="13"/>
  <c r="D218" i="13"/>
  <c r="G218" i="13"/>
  <c r="H218" i="13"/>
  <c r="I218" i="13"/>
  <c r="J218" i="13"/>
  <c r="K218" i="13"/>
  <c r="L218" i="13"/>
  <c r="M218" i="13"/>
  <c r="AI218" i="13"/>
  <c r="AJ218" i="13"/>
  <c r="AM218" i="13" s="1"/>
  <c r="AK218" i="13"/>
  <c r="AL218" i="13"/>
  <c r="AN218" i="13"/>
  <c r="A219" i="13"/>
  <c r="C219" i="13"/>
  <c r="D219" i="13"/>
  <c r="G219" i="13"/>
  <c r="H219" i="13"/>
  <c r="I219" i="13"/>
  <c r="J219" i="13"/>
  <c r="K219" i="13"/>
  <c r="L219" i="13"/>
  <c r="M219" i="13"/>
  <c r="AI219" i="13"/>
  <c r="AJ219" i="13"/>
  <c r="AK219" i="13"/>
  <c r="AL219" i="13"/>
  <c r="AM219" i="13"/>
  <c r="AN219" i="13"/>
  <c r="A220" i="13"/>
  <c r="C220" i="13"/>
  <c r="D220" i="13"/>
  <c r="G220" i="13"/>
  <c r="H220" i="13"/>
  <c r="I220" i="13"/>
  <c r="J220" i="13"/>
  <c r="K220" i="13"/>
  <c r="L220" i="13"/>
  <c r="M220" i="13"/>
  <c r="AI220" i="13"/>
  <c r="AJ220" i="13"/>
  <c r="AN220" i="13" s="1"/>
  <c r="AK220" i="13"/>
  <c r="AL220" i="13"/>
  <c r="A221" i="13"/>
  <c r="C221" i="13"/>
  <c r="D221" i="13"/>
  <c r="G221" i="13"/>
  <c r="H221" i="13"/>
  <c r="I221" i="13"/>
  <c r="J221" i="13"/>
  <c r="K221" i="13"/>
  <c r="L221" i="13"/>
  <c r="M221" i="13"/>
  <c r="AI221" i="13"/>
  <c r="AJ221" i="13"/>
  <c r="AM221" i="13" s="1"/>
  <c r="AK221" i="13"/>
  <c r="AL221" i="13"/>
  <c r="AN221" i="13"/>
  <c r="A222" i="13"/>
  <c r="C222" i="13"/>
  <c r="D222" i="13"/>
  <c r="G222" i="13"/>
  <c r="H222" i="13"/>
  <c r="I222" i="13"/>
  <c r="J222" i="13"/>
  <c r="K222" i="13"/>
  <c r="L222" i="13"/>
  <c r="M222" i="13"/>
  <c r="AI222" i="13"/>
  <c r="AJ222" i="13"/>
  <c r="AN222" i="13" s="1"/>
  <c r="AK222" i="13"/>
  <c r="AL222" i="13"/>
  <c r="AM222" i="13"/>
  <c r="A223" i="13"/>
  <c r="C223" i="13"/>
  <c r="D223" i="13"/>
  <c r="G223" i="13"/>
  <c r="H223" i="13"/>
  <c r="I223" i="13"/>
  <c r="J223" i="13"/>
  <c r="K223" i="13"/>
  <c r="L223" i="13"/>
  <c r="M223" i="13"/>
  <c r="AI223" i="13"/>
  <c r="AJ223" i="13"/>
  <c r="AM223" i="13" s="1"/>
  <c r="AK223" i="13"/>
  <c r="AL223" i="13"/>
  <c r="AN223" i="13"/>
  <c r="A224" i="13"/>
  <c r="C224" i="13"/>
  <c r="D224" i="13"/>
  <c r="G224" i="13"/>
  <c r="H224" i="13"/>
  <c r="I224" i="13"/>
  <c r="J224" i="13"/>
  <c r="K224" i="13"/>
  <c r="L224" i="13"/>
  <c r="M224" i="13"/>
  <c r="AI224" i="13"/>
  <c r="AJ224" i="13"/>
  <c r="AM224" i="13" s="1"/>
  <c r="AK224" i="13"/>
  <c r="AL224" i="13"/>
  <c r="AN224" i="13"/>
  <c r="A225" i="13"/>
  <c r="C225" i="13"/>
  <c r="D225" i="13"/>
  <c r="G225" i="13"/>
  <c r="H225" i="13"/>
  <c r="I225" i="13"/>
  <c r="J225" i="13"/>
  <c r="K225" i="13"/>
  <c r="L225" i="13"/>
  <c r="M225" i="13"/>
  <c r="AI225" i="13"/>
  <c r="AJ225" i="13"/>
  <c r="AM225" i="13" s="1"/>
  <c r="AK225" i="13"/>
  <c r="AL225" i="13"/>
  <c r="AN225" i="13"/>
  <c r="A226" i="13"/>
  <c r="C226" i="13"/>
  <c r="D226" i="13"/>
  <c r="G226" i="13"/>
  <c r="H226" i="13"/>
  <c r="I226" i="13"/>
  <c r="J226" i="13"/>
  <c r="K226" i="13"/>
  <c r="L226" i="13"/>
  <c r="M226" i="13"/>
  <c r="AI226" i="13"/>
  <c r="AJ226" i="13"/>
  <c r="AK226" i="13"/>
  <c r="AL226" i="13"/>
  <c r="A227" i="13"/>
  <c r="C227" i="13"/>
  <c r="D227" i="13"/>
  <c r="G227" i="13"/>
  <c r="H227" i="13"/>
  <c r="I227" i="13"/>
  <c r="J227" i="13"/>
  <c r="K227" i="13"/>
  <c r="L227" i="13"/>
  <c r="M227" i="13"/>
  <c r="AI227" i="13"/>
  <c r="AJ227" i="13"/>
  <c r="AM227" i="13" s="1"/>
  <c r="AK227" i="13"/>
  <c r="AL227" i="13"/>
  <c r="AN227" i="13"/>
  <c r="A228" i="13"/>
  <c r="C228" i="13"/>
  <c r="D228" i="13"/>
  <c r="G228" i="13"/>
  <c r="H228" i="13"/>
  <c r="I228" i="13"/>
  <c r="J228" i="13"/>
  <c r="K228" i="13"/>
  <c r="L228" i="13"/>
  <c r="M228" i="13"/>
  <c r="AI228" i="13"/>
  <c r="AJ228" i="13"/>
  <c r="AM228" i="13" s="1"/>
  <c r="AK228" i="13"/>
  <c r="AL228" i="13"/>
  <c r="AN228" i="13"/>
  <c r="A229" i="13"/>
  <c r="C229" i="13"/>
  <c r="D229" i="13"/>
  <c r="G229" i="13"/>
  <c r="H229" i="13"/>
  <c r="I229" i="13"/>
  <c r="J229" i="13"/>
  <c r="K229" i="13"/>
  <c r="L229" i="13"/>
  <c r="M229" i="13"/>
  <c r="AI229" i="13"/>
  <c r="AJ229" i="13"/>
  <c r="AK229" i="13"/>
  <c r="AL229" i="13"/>
  <c r="AM229" i="13"/>
  <c r="AN229" i="13"/>
  <c r="A230" i="13"/>
  <c r="C230" i="13"/>
  <c r="D230" i="13"/>
  <c r="G230" i="13"/>
  <c r="H230" i="13"/>
  <c r="I230" i="13"/>
  <c r="J230" i="13"/>
  <c r="K230" i="13"/>
  <c r="L230" i="13"/>
  <c r="M230" i="13"/>
  <c r="AI230" i="13"/>
  <c r="AJ230" i="13"/>
  <c r="AM230" i="13" s="1"/>
  <c r="AK230" i="13"/>
  <c r="AL230" i="13"/>
  <c r="A231" i="13"/>
  <c r="C231" i="13"/>
  <c r="D231" i="13"/>
  <c r="G231" i="13"/>
  <c r="H231" i="13"/>
  <c r="I231" i="13"/>
  <c r="J231" i="13"/>
  <c r="K231" i="13"/>
  <c r="L231" i="13"/>
  <c r="M231" i="13"/>
  <c r="AI231" i="13"/>
  <c r="AJ231" i="13"/>
  <c r="AN231" i="13" s="1"/>
  <c r="AK231" i="13"/>
  <c r="AL231" i="13"/>
  <c r="AM231" i="13"/>
  <c r="A232" i="13"/>
  <c r="C232" i="13"/>
  <c r="D232" i="13"/>
  <c r="G232" i="13"/>
  <c r="H232" i="13"/>
  <c r="I232" i="13"/>
  <c r="J232" i="13"/>
  <c r="K232" i="13"/>
  <c r="L232" i="13"/>
  <c r="M232" i="13"/>
  <c r="AI232" i="13"/>
  <c r="AJ232" i="13"/>
  <c r="AK232" i="13"/>
  <c r="AL232" i="13"/>
  <c r="AM232" i="13"/>
  <c r="AN232" i="13"/>
  <c r="A233" i="13"/>
  <c r="C233" i="13"/>
  <c r="D233" i="13"/>
  <c r="G233" i="13"/>
  <c r="H233" i="13"/>
  <c r="I233" i="13"/>
  <c r="J233" i="13"/>
  <c r="K233" i="13"/>
  <c r="L233" i="13"/>
  <c r="M233" i="13"/>
  <c r="AI233" i="13"/>
  <c r="AJ233" i="13"/>
  <c r="AM233" i="13" s="1"/>
  <c r="AK233" i="13"/>
  <c r="AL233" i="13"/>
  <c r="AN233" i="13"/>
  <c r="A234" i="13"/>
  <c r="C234" i="13"/>
  <c r="D234" i="13"/>
  <c r="G234" i="13"/>
  <c r="H234" i="13"/>
  <c r="I234" i="13"/>
  <c r="J234" i="13"/>
  <c r="K234" i="13"/>
  <c r="L234" i="13"/>
  <c r="M234" i="13"/>
  <c r="AI234" i="13"/>
  <c r="AJ234" i="13"/>
  <c r="AK234" i="13"/>
  <c r="AL234" i="13"/>
  <c r="AM234" i="13"/>
  <c r="AN234" i="13"/>
  <c r="A235" i="13"/>
  <c r="C235" i="13"/>
  <c r="D235" i="13"/>
  <c r="G235" i="13"/>
  <c r="H235" i="13"/>
  <c r="I235" i="13"/>
  <c r="J235" i="13"/>
  <c r="K235" i="13"/>
  <c r="L235" i="13"/>
  <c r="M235" i="13"/>
  <c r="AI235" i="13"/>
  <c r="AJ235" i="13"/>
  <c r="AN235" i="13" s="1"/>
  <c r="AK235" i="13"/>
  <c r="AL235" i="13"/>
  <c r="AM235" i="13"/>
  <c r="A236" i="13"/>
  <c r="C236" i="13"/>
  <c r="D236" i="13"/>
  <c r="G236" i="13"/>
  <c r="H236" i="13"/>
  <c r="I236" i="13"/>
  <c r="J236" i="13"/>
  <c r="K236" i="13"/>
  <c r="L236" i="13"/>
  <c r="M236" i="13"/>
  <c r="AI236" i="13"/>
  <c r="AJ236" i="13"/>
  <c r="AM236" i="13" s="1"/>
  <c r="AK236" i="13"/>
  <c r="AL236" i="13"/>
  <c r="A237" i="13"/>
  <c r="C237" i="13"/>
  <c r="D237" i="13"/>
  <c r="G237" i="13"/>
  <c r="H237" i="13"/>
  <c r="I237" i="13"/>
  <c r="J237" i="13"/>
  <c r="K237" i="13"/>
  <c r="L237" i="13"/>
  <c r="M237" i="13"/>
  <c r="AI237" i="13"/>
  <c r="AJ237" i="13"/>
  <c r="AK237" i="13"/>
  <c r="AL237" i="13"/>
  <c r="AM237" i="13"/>
  <c r="AN237" i="13"/>
  <c r="A238" i="13"/>
  <c r="C238" i="13"/>
  <c r="D238" i="13"/>
  <c r="G238" i="13"/>
  <c r="H238" i="13"/>
  <c r="I238" i="13"/>
  <c r="J238" i="13"/>
  <c r="K238" i="13"/>
  <c r="L238" i="13"/>
  <c r="M238" i="13"/>
  <c r="AI238" i="13"/>
  <c r="AJ238" i="13"/>
  <c r="AM238" i="13" s="1"/>
  <c r="AK238" i="13"/>
  <c r="AL238" i="13"/>
  <c r="AN238" i="13"/>
  <c r="A239" i="13"/>
  <c r="C239" i="13"/>
  <c r="D239" i="13"/>
  <c r="G239" i="13"/>
  <c r="H239" i="13"/>
  <c r="I239" i="13"/>
  <c r="J239" i="13"/>
  <c r="K239" i="13"/>
  <c r="L239" i="13"/>
  <c r="M239" i="13"/>
  <c r="AI239" i="13"/>
  <c r="AJ239" i="13"/>
  <c r="AK239" i="13"/>
  <c r="AL239" i="13"/>
  <c r="A240" i="13"/>
  <c r="C240" i="13"/>
  <c r="D240" i="13"/>
  <c r="G240" i="13"/>
  <c r="H240" i="13"/>
  <c r="I240" i="13"/>
  <c r="J240" i="13"/>
  <c r="K240" i="13"/>
  <c r="L240" i="13"/>
  <c r="M240" i="13"/>
  <c r="AI240" i="13"/>
  <c r="AJ240" i="13"/>
  <c r="AM240" i="13" s="1"/>
  <c r="AK240" i="13"/>
  <c r="AL240" i="13"/>
  <c r="A241" i="13"/>
  <c r="C241" i="13"/>
  <c r="D241" i="13"/>
  <c r="G241" i="13"/>
  <c r="H241" i="13"/>
  <c r="I241" i="13"/>
  <c r="J241" i="13"/>
  <c r="K241" i="13"/>
  <c r="L241" i="13"/>
  <c r="M241" i="13"/>
  <c r="AI241" i="13"/>
  <c r="AJ241" i="13"/>
  <c r="AM241" i="13" s="1"/>
  <c r="AK241" i="13"/>
  <c r="AL241" i="13"/>
  <c r="AN241" i="13"/>
  <c r="A242" i="13"/>
  <c r="C242" i="13"/>
  <c r="D242" i="13"/>
  <c r="G242" i="13"/>
  <c r="H242" i="13"/>
  <c r="I242" i="13"/>
  <c r="J242" i="13"/>
  <c r="K242" i="13"/>
  <c r="L242" i="13"/>
  <c r="M242" i="13"/>
  <c r="AI242" i="13"/>
  <c r="AJ242" i="13"/>
  <c r="AM242" i="13" s="1"/>
  <c r="AK242" i="13"/>
  <c r="AL242" i="13"/>
  <c r="AN242" i="13"/>
  <c r="A243" i="13"/>
  <c r="C243" i="13"/>
  <c r="D243" i="13"/>
  <c r="G243" i="13"/>
  <c r="H243" i="13"/>
  <c r="I243" i="13"/>
  <c r="J243" i="13"/>
  <c r="K243" i="13"/>
  <c r="L243" i="13"/>
  <c r="M243" i="13"/>
  <c r="AI243" i="13"/>
  <c r="AJ243" i="13"/>
  <c r="AK243" i="13"/>
  <c r="AL243" i="13"/>
  <c r="AM243" i="13"/>
  <c r="AN243" i="13"/>
  <c r="A244" i="13"/>
  <c r="C244" i="13"/>
  <c r="D244" i="13"/>
  <c r="G244" i="13"/>
  <c r="H244" i="13"/>
  <c r="I244" i="13"/>
  <c r="J244" i="13"/>
  <c r="K244" i="13"/>
  <c r="L244" i="13"/>
  <c r="M244" i="13"/>
  <c r="AI244" i="13"/>
  <c r="AJ244" i="13"/>
  <c r="AN244" i="13" s="1"/>
  <c r="AK244" i="13"/>
  <c r="AL244" i="13"/>
  <c r="AM244" i="13"/>
  <c r="A245" i="13"/>
  <c r="C245" i="13"/>
  <c r="D245" i="13"/>
  <c r="G245" i="13"/>
  <c r="H245" i="13"/>
  <c r="I245" i="13"/>
  <c r="J245" i="13"/>
  <c r="K245" i="13"/>
  <c r="L245" i="13"/>
  <c r="M245" i="13"/>
  <c r="AI245" i="13"/>
  <c r="AJ245" i="13"/>
  <c r="AM245" i="13" s="1"/>
  <c r="AK245" i="13"/>
  <c r="AL245" i="13"/>
  <c r="AN245" i="13"/>
  <c r="A246" i="13"/>
  <c r="C246" i="13"/>
  <c r="D246" i="13"/>
  <c r="G246" i="13"/>
  <c r="H246" i="13"/>
  <c r="I246" i="13"/>
  <c r="J246" i="13"/>
  <c r="K246" i="13"/>
  <c r="L246" i="13"/>
  <c r="M246" i="13"/>
  <c r="AI246" i="13"/>
  <c r="AJ246" i="13"/>
  <c r="AM246" i="13" s="1"/>
  <c r="AK246" i="13"/>
  <c r="AL246" i="13"/>
  <c r="AN246" i="13"/>
  <c r="A247" i="13"/>
  <c r="C247" i="13"/>
  <c r="D247" i="13"/>
  <c r="G247" i="13"/>
  <c r="H247" i="13"/>
  <c r="I247" i="13"/>
  <c r="J247" i="13"/>
  <c r="K247" i="13"/>
  <c r="L247" i="13"/>
  <c r="M247" i="13"/>
  <c r="AI247" i="13"/>
  <c r="AJ247" i="13"/>
  <c r="AK247" i="13"/>
  <c r="AL247" i="13"/>
  <c r="AM247" i="13"/>
  <c r="AN247" i="13"/>
  <c r="A248" i="13"/>
  <c r="C248" i="13"/>
  <c r="D248" i="13"/>
  <c r="G248" i="13"/>
  <c r="H248" i="13"/>
  <c r="I248" i="13"/>
  <c r="J248" i="13"/>
  <c r="K248" i="13"/>
  <c r="L248" i="13"/>
  <c r="M248" i="13"/>
  <c r="AI248" i="13"/>
  <c r="AJ248" i="13"/>
  <c r="AM248" i="13" s="1"/>
  <c r="AK248" i="13"/>
  <c r="AL248" i="13"/>
  <c r="AN248" i="13"/>
  <c r="A249" i="13"/>
  <c r="C249" i="13"/>
  <c r="D249" i="13"/>
  <c r="G249" i="13"/>
  <c r="H249" i="13"/>
  <c r="I249" i="13"/>
  <c r="J249" i="13"/>
  <c r="K249" i="13"/>
  <c r="L249" i="13"/>
  <c r="M249" i="13"/>
  <c r="AI249" i="13"/>
  <c r="AJ249" i="13"/>
  <c r="AK249" i="13"/>
  <c r="AL249" i="13"/>
  <c r="A250" i="13"/>
  <c r="C250" i="13"/>
  <c r="D250" i="13"/>
  <c r="G250" i="13"/>
  <c r="H250" i="13"/>
  <c r="I250" i="13"/>
  <c r="J250" i="13"/>
  <c r="K250" i="13"/>
  <c r="L250" i="13"/>
  <c r="M250" i="13"/>
  <c r="AI250" i="13"/>
  <c r="AJ250" i="13"/>
  <c r="AK250" i="13"/>
  <c r="AL250" i="13"/>
  <c r="AM250" i="13"/>
  <c r="AN250" i="13"/>
  <c r="A251" i="13"/>
  <c r="C251" i="13"/>
  <c r="D251" i="13"/>
  <c r="G251" i="13"/>
  <c r="H251" i="13"/>
  <c r="I251" i="13"/>
  <c r="J251" i="13"/>
  <c r="K251" i="13"/>
  <c r="L251" i="13"/>
  <c r="M251" i="13"/>
  <c r="AI251" i="13"/>
  <c r="AJ251" i="13"/>
  <c r="AM251" i="13" s="1"/>
  <c r="AK251" i="13"/>
  <c r="AL251" i="13"/>
  <c r="A252" i="13"/>
  <c r="C252" i="13"/>
  <c r="D252" i="13"/>
  <c r="G252" i="13"/>
  <c r="H252" i="13"/>
  <c r="I252" i="13"/>
  <c r="J252" i="13"/>
  <c r="K252" i="13"/>
  <c r="L252" i="13"/>
  <c r="M252" i="13"/>
  <c r="AI252" i="13"/>
  <c r="AJ252" i="13"/>
  <c r="AK252" i="13"/>
  <c r="AL252" i="13"/>
  <c r="AM252" i="13"/>
  <c r="AN252" i="13"/>
  <c r="A253" i="13"/>
  <c r="C253" i="13"/>
  <c r="D253" i="13"/>
  <c r="G253" i="13"/>
  <c r="H253" i="13"/>
  <c r="I253" i="13"/>
  <c r="J253" i="13"/>
  <c r="K253" i="13"/>
  <c r="L253" i="13"/>
  <c r="M253" i="13"/>
  <c r="AI253" i="13"/>
  <c r="AJ253" i="13"/>
  <c r="AM253" i="13" s="1"/>
  <c r="AK253" i="13"/>
  <c r="AL253" i="13"/>
  <c r="A254" i="13"/>
  <c r="C254" i="13"/>
  <c r="D254" i="13"/>
  <c r="G254" i="13"/>
  <c r="H254" i="13"/>
  <c r="I254" i="13"/>
  <c r="J254" i="13"/>
  <c r="K254" i="13"/>
  <c r="L254" i="13"/>
  <c r="M254" i="13"/>
  <c r="AI254" i="13"/>
  <c r="AJ254" i="13"/>
  <c r="AM254" i="13" s="1"/>
  <c r="AK254" i="13"/>
  <c r="AL254" i="13"/>
  <c r="A255" i="13"/>
  <c r="C255" i="13"/>
  <c r="D255" i="13"/>
  <c r="G255" i="13"/>
  <c r="H255" i="13"/>
  <c r="I255" i="13"/>
  <c r="J255" i="13"/>
  <c r="K255" i="13"/>
  <c r="L255" i="13"/>
  <c r="M255" i="13"/>
  <c r="AI255" i="13"/>
  <c r="AJ255" i="13"/>
  <c r="AK255" i="13"/>
  <c r="AL255" i="13"/>
  <c r="AM255" i="13"/>
  <c r="AN255" i="13"/>
  <c r="A256" i="13"/>
  <c r="C256" i="13"/>
  <c r="D256" i="13"/>
  <c r="G256" i="13"/>
  <c r="H256" i="13"/>
  <c r="I256" i="13"/>
  <c r="J256" i="13"/>
  <c r="K256" i="13"/>
  <c r="L256" i="13"/>
  <c r="M256" i="13"/>
  <c r="AI256" i="13"/>
  <c r="AJ256" i="13"/>
  <c r="AK256" i="13"/>
  <c r="AL256" i="13"/>
  <c r="AM256" i="13"/>
  <c r="AN256" i="13"/>
  <c r="A257" i="13"/>
  <c r="C257" i="13"/>
  <c r="D257" i="13"/>
  <c r="G257" i="13"/>
  <c r="H257" i="13"/>
  <c r="I257" i="13"/>
  <c r="J257" i="13"/>
  <c r="K257" i="13"/>
  <c r="L257" i="13"/>
  <c r="M257" i="13"/>
  <c r="AI257" i="13"/>
  <c r="AJ257" i="13"/>
  <c r="AM257" i="13" s="1"/>
  <c r="AK257" i="13"/>
  <c r="AL257" i="13"/>
  <c r="A258" i="13"/>
  <c r="C258" i="13"/>
  <c r="D258" i="13"/>
  <c r="G258" i="13"/>
  <c r="H258" i="13"/>
  <c r="I258" i="13"/>
  <c r="J258" i="13"/>
  <c r="K258" i="13"/>
  <c r="L258" i="13"/>
  <c r="M258" i="13"/>
  <c r="AI258" i="13"/>
  <c r="AJ258" i="13"/>
  <c r="AN258" i="13" s="1"/>
  <c r="AK258" i="13"/>
  <c r="AL258" i="13"/>
  <c r="AM258" i="13"/>
  <c r="A259" i="13"/>
  <c r="C259" i="13"/>
  <c r="D259" i="13"/>
  <c r="G259" i="13"/>
  <c r="H259" i="13"/>
  <c r="I259" i="13"/>
  <c r="J259" i="13"/>
  <c r="K259" i="13"/>
  <c r="L259" i="13"/>
  <c r="M259" i="13"/>
  <c r="AI259" i="13"/>
  <c r="AJ259" i="13"/>
  <c r="AM259" i="13" s="1"/>
  <c r="AK259" i="13"/>
  <c r="AL259" i="13"/>
  <c r="AN259" i="13"/>
  <c r="A260" i="13"/>
  <c r="C260" i="13"/>
  <c r="D260" i="13"/>
  <c r="G260" i="13"/>
  <c r="H260" i="13"/>
  <c r="I260" i="13"/>
  <c r="J260" i="13"/>
  <c r="K260" i="13"/>
  <c r="L260" i="13"/>
  <c r="M260" i="13"/>
  <c r="AI260" i="13"/>
  <c r="AJ260" i="13"/>
  <c r="AN260" i="13" s="1"/>
  <c r="AK260" i="13"/>
  <c r="AL260" i="13"/>
  <c r="AM260" i="13"/>
  <c r="A261" i="13"/>
  <c r="C261" i="13"/>
  <c r="D261" i="13"/>
  <c r="G261" i="13"/>
  <c r="H261" i="13"/>
  <c r="I261" i="13"/>
  <c r="J261" i="13"/>
  <c r="K261" i="13"/>
  <c r="L261" i="13"/>
  <c r="M261" i="13"/>
  <c r="AI261" i="13"/>
  <c r="AJ261" i="13"/>
  <c r="AN261" i="13" s="1"/>
  <c r="AK261" i="13"/>
  <c r="AL261" i="13"/>
  <c r="AM261" i="13"/>
  <c r="A262" i="13"/>
  <c r="C262" i="13"/>
  <c r="D262" i="13"/>
  <c r="G262" i="13"/>
  <c r="H262" i="13"/>
  <c r="I262" i="13"/>
  <c r="J262" i="13"/>
  <c r="K262" i="13"/>
  <c r="L262" i="13"/>
  <c r="M262" i="13"/>
  <c r="AI262" i="13"/>
  <c r="AJ262" i="13"/>
  <c r="AM262" i="13" s="1"/>
  <c r="AK262" i="13"/>
  <c r="AL262" i="13"/>
  <c r="AN262" i="13"/>
  <c r="A263" i="13"/>
  <c r="C263" i="13"/>
  <c r="D263" i="13"/>
  <c r="G263" i="13"/>
  <c r="H263" i="13"/>
  <c r="I263" i="13"/>
  <c r="J263" i="13"/>
  <c r="K263" i="13"/>
  <c r="L263" i="13"/>
  <c r="M263" i="13"/>
  <c r="AI263" i="13"/>
  <c r="AJ263" i="13"/>
  <c r="AN263" i="13" s="1"/>
  <c r="AK263" i="13"/>
  <c r="AL263" i="13"/>
  <c r="AM263" i="13"/>
  <c r="A264" i="13"/>
  <c r="C264" i="13"/>
  <c r="D264" i="13"/>
  <c r="G264" i="13"/>
  <c r="H264" i="13"/>
  <c r="I264" i="13"/>
  <c r="J264" i="13"/>
  <c r="K264" i="13"/>
  <c r="L264" i="13"/>
  <c r="M264" i="13"/>
  <c r="AI264" i="13"/>
  <c r="AJ264" i="13"/>
  <c r="AN264" i="13" s="1"/>
  <c r="AK264" i="13"/>
  <c r="AL264" i="13"/>
  <c r="AM264" i="13"/>
  <c r="A265" i="13"/>
  <c r="C265" i="13"/>
  <c r="D265" i="13"/>
  <c r="G265" i="13"/>
  <c r="H265" i="13"/>
  <c r="I265" i="13"/>
  <c r="J265" i="13"/>
  <c r="K265" i="13"/>
  <c r="L265" i="13"/>
  <c r="M265" i="13"/>
  <c r="AI265" i="13"/>
  <c r="AJ265" i="13"/>
  <c r="AM265" i="13" s="1"/>
  <c r="AK265" i="13"/>
  <c r="AL265" i="13"/>
  <c r="AN265" i="13"/>
  <c r="A266" i="13"/>
  <c r="C266" i="13"/>
  <c r="D266" i="13"/>
  <c r="G266" i="13"/>
  <c r="H266" i="13"/>
  <c r="I266" i="13"/>
  <c r="J266" i="13"/>
  <c r="K266" i="13"/>
  <c r="L266" i="13"/>
  <c r="M266" i="13"/>
  <c r="AI266" i="13"/>
  <c r="AJ266" i="13"/>
  <c r="AN266" i="13" s="1"/>
  <c r="AK266" i="13"/>
  <c r="AL266" i="13"/>
  <c r="AM266" i="13"/>
  <c r="A267" i="13"/>
  <c r="C267" i="13"/>
  <c r="D267" i="13"/>
  <c r="G267" i="13"/>
  <c r="H267" i="13"/>
  <c r="I267" i="13"/>
  <c r="J267" i="13"/>
  <c r="K267" i="13"/>
  <c r="L267" i="13"/>
  <c r="M267" i="13"/>
  <c r="AI267" i="13"/>
  <c r="AJ267" i="13"/>
  <c r="AN267" i="13" s="1"/>
  <c r="AK267" i="13"/>
  <c r="AL267" i="13"/>
  <c r="AM267" i="13"/>
  <c r="A268" i="13"/>
  <c r="C268" i="13"/>
  <c r="D268" i="13"/>
  <c r="G268" i="13"/>
  <c r="H268" i="13"/>
  <c r="I268" i="13"/>
  <c r="J268" i="13"/>
  <c r="K268" i="13"/>
  <c r="L268" i="13"/>
  <c r="M268" i="13"/>
  <c r="AI268" i="13"/>
  <c r="AJ268" i="13"/>
  <c r="AM268" i="13" s="1"/>
  <c r="AK268" i="13"/>
  <c r="AL268" i="13"/>
  <c r="AN268" i="13"/>
  <c r="A269" i="13"/>
  <c r="C269" i="13"/>
  <c r="D269" i="13"/>
  <c r="G269" i="13"/>
  <c r="H269" i="13"/>
  <c r="I269" i="13"/>
  <c r="J269" i="13"/>
  <c r="K269" i="13"/>
  <c r="L269" i="13"/>
  <c r="M269" i="13"/>
  <c r="AI269" i="13"/>
  <c r="AJ269" i="13"/>
  <c r="AN269" i="13" s="1"/>
  <c r="AK269" i="13"/>
  <c r="AL269" i="13"/>
  <c r="AM269" i="13"/>
  <c r="A270" i="13"/>
  <c r="C270" i="13"/>
  <c r="D270" i="13"/>
  <c r="G270" i="13"/>
  <c r="H270" i="13"/>
  <c r="I270" i="13"/>
  <c r="J270" i="13"/>
  <c r="K270" i="13"/>
  <c r="L270" i="13"/>
  <c r="M270" i="13"/>
  <c r="AI270" i="13"/>
  <c r="AJ270" i="13"/>
  <c r="AN270" i="13" s="1"/>
  <c r="AK270" i="13"/>
  <c r="AL270" i="13"/>
  <c r="AM270" i="13"/>
  <c r="A271" i="13"/>
  <c r="C271" i="13"/>
  <c r="D271" i="13"/>
  <c r="G271" i="13"/>
  <c r="H271" i="13"/>
  <c r="I271" i="13"/>
  <c r="J271" i="13"/>
  <c r="K271" i="13"/>
  <c r="L271" i="13"/>
  <c r="M271" i="13"/>
  <c r="AI271" i="13"/>
  <c r="AJ271" i="13"/>
  <c r="AM271" i="13" s="1"/>
  <c r="AK271" i="13"/>
  <c r="AL271" i="13"/>
  <c r="AN271" i="13"/>
  <c r="A272" i="13"/>
  <c r="C272" i="13"/>
  <c r="D272" i="13"/>
  <c r="G272" i="13"/>
  <c r="H272" i="13"/>
  <c r="I272" i="13"/>
  <c r="J272" i="13"/>
  <c r="K272" i="13"/>
  <c r="L272" i="13"/>
  <c r="M272" i="13"/>
  <c r="AI272" i="13"/>
  <c r="AJ272" i="13"/>
  <c r="AN272" i="13" s="1"/>
  <c r="AK272" i="13"/>
  <c r="AL272" i="13"/>
  <c r="AM272" i="13"/>
  <c r="A273" i="13"/>
  <c r="C273" i="13"/>
  <c r="D273" i="13"/>
  <c r="G273" i="13"/>
  <c r="H273" i="13"/>
  <c r="I273" i="13"/>
  <c r="J273" i="13"/>
  <c r="K273" i="13"/>
  <c r="L273" i="13"/>
  <c r="M273" i="13"/>
  <c r="AI273" i="13"/>
  <c r="AJ273" i="13"/>
  <c r="AN273" i="13" s="1"/>
  <c r="AK273" i="13"/>
  <c r="AL273" i="13"/>
  <c r="AM273" i="13"/>
  <c r="A274" i="13"/>
  <c r="C274" i="13"/>
  <c r="D274" i="13"/>
  <c r="G274" i="13"/>
  <c r="H274" i="13"/>
  <c r="I274" i="13"/>
  <c r="J274" i="13"/>
  <c r="K274" i="13"/>
  <c r="L274" i="13"/>
  <c r="M274" i="13"/>
  <c r="AI274" i="13"/>
  <c r="AJ274" i="13"/>
  <c r="AM274" i="13" s="1"/>
  <c r="AK274" i="13"/>
  <c r="AL274" i="13"/>
  <c r="AN274" i="13"/>
  <c r="A275" i="13"/>
  <c r="C275" i="13"/>
  <c r="D275" i="13"/>
  <c r="G275" i="13"/>
  <c r="H275" i="13"/>
  <c r="I275" i="13"/>
  <c r="J275" i="13"/>
  <c r="K275" i="13"/>
  <c r="L275" i="13"/>
  <c r="M275" i="13"/>
  <c r="AI275" i="13"/>
  <c r="AJ275" i="13"/>
  <c r="AN275" i="13" s="1"/>
  <c r="AK275" i="13"/>
  <c r="AL275" i="13"/>
  <c r="AM275" i="13"/>
  <c r="A276" i="13"/>
  <c r="C276" i="13"/>
  <c r="D276" i="13"/>
  <c r="G276" i="13"/>
  <c r="H276" i="13"/>
  <c r="I276" i="13"/>
  <c r="J276" i="13"/>
  <c r="K276" i="13"/>
  <c r="L276" i="13"/>
  <c r="M276" i="13"/>
  <c r="AI276" i="13"/>
  <c r="AJ276" i="13"/>
  <c r="AN276" i="13" s="1"/>
  <c r="AK276" i="13"/>
  <c r="AL276" i="13"/>
  <c r="AM276" i="13"/>
  <c r="A277" i="13"/>
  <c r="C277" i="13"/>
  <c r="D277" i="13"/>
  <c r="G277" i="13"/>
  <c r="H277" i="13"/>
  <c r="I277" i="13"/>
  <c r="J277" i="13"/>
  <c r="K277" i="13"/>
  <c r="L277" i="13"/>
  <c r="M277" i="13"/>
  <c r="AI277" i="13"/>
  <c r="AJ277" i="13"/>
  <c r="AM277" i="13" s="1"/>
  <c r="AK277" i="13"/>
  <c r="AL277" i="13"/>
  <c r="AN277" i="13"/>
  <c r="A278" i="13"/>
  <c r="C278" i="13"/>
  <c r="D278" i="13"/>
  <c r="G278" i="13"/>
  <c r="H278" i="13"/>
  <c r="I278" i="13"/>
  <c r="J278" i="13"/>
  <c r="K278" i="13"/>
  <c r="L278" i="13"/>
  <c r="M278" i="13"/>
  <c r="AI278" i="13"/>
  <c r="AJ278" i="13"/>
  <c r="AK278" i="13"/>
  <c r="AL278" i="13"/>
  <c r="AM278" i="13"/>
  <c r="AN278" i="13"/>
  <c r="A279" i="13"/>
  <c r="C279" i="13"/>
  <c r="D279" i="13"/>
  <c r="G279" i="13"/>
  <c r="H279" i="13"/>
  <c r="I279" i="13"/>
  <c r="J279" i="13"/>
  <c r="K279" i="13"/>
  <c r="L279" i="13"/>
  <c r="M279" i="13"/>
  <c r="AI279" i="13"/>
  <c r="AJ279" i="13"/>
  <c r="AN279" i="13" s="1"/>
  <c r="AK279" i="13"/>
  <c r="AL279" i="13"/>
  <c r="AM279" i="13"/>
  <c r="A280" i="13"/>
  <c r="C280" i="13"/>
  <c r="D280" i="13"/>
  <c r="G280" i="13"/>
  <c r="H280" i="13"/>
  <c r="I280" i="13"/>
  <c r="J280" i="13"/>
  <c r="K280" i="13"/>
  <c r="L280" i="13"/>
  <c r="M280" i="13"/>
  <c r="AI280" i="13"/>
  <c r="AJ280" i="13"/>
  <c r="AM280" i="13" s="1"/>
  <c r="AK280" i="13"/>
  <c r="AL280" i="13"/>
  <c r="AN280" i="13"/>
  <c r="A281" i="13"/>
  <c r="C281" i="13"/>
  <c r="D281" i="13"/>
  <c r="G281" i="13"/>
  <c r="H281" i="13"/>
  <c r="I281" i="13"/>
  <c r="J281" i="13"/>
  <c r="K281" i="13"/>
  <c r="L281" i="13"/>
  <c r="M281" i="13"/>
  <c r="AI281" i="13"/>
  <c r="AJ281" i="13"/>
  <c r="AK281" i="13"/>
  <c r="AL281" i="13"/>
  <c r="AM281" i="13"/>
  <c r="AN281" i="13"/>
  <c r="A282" i="13"/>
  <c r="C282" i="13"/>
  <c r="D282" i="13"/>
  <c r="G282" i="13"/>
  <c r="H282" i="13"/>
  <c r="I282" i="13"/>
  <c r="J282" i="13"/>
  <c r="K282" i="13"/>
  <c r="L282" i="13"/>
  <c r="M282" i="13"/>
  <c r="AI282" i="13"/>
  <c r="AJ282" i="13"/>
  <c r="AN282" i="13" s="1"/>
  <c r="AK282" i="13"/>
  <c r="AL282" i="13"/>
  <c r="AM282" i="13"/>
  <c r="A283" i="13"/>
  <c r="C283" i="13"/>
  <c r="D283" i="13"/>
  <c r="G283" i="13"/>
  <c r="H283" i="13"/>
  <c r="I283" i="13"/>
  <c r="J283" i="13"/>
  <c r="K283" i="13"/>
  <c r="L283" i="13"/>
  <c r="M283" i="13"/>
  <c r="AI283" i="13"/>
  <c r="AJ283" i="13"/>
  <c r="AM283" i="13" s="1"/>
  <c r="AK283" i="13"/>
  <c r="AL283" i="13"/>
  <c r="AN283" i="13"/>
  <c r="A284" i="13"/>
  <c r="C284" i="13"/>
  <c r="D284" i="13"/>
  <c r="G284" i="13"/>
  <c r="H284" i="13"/>
  <c r="I284" i="13"/>
  <c r="J284" i="13"/>
  <c r="K284" i="13"/>
  <c r="L284" i="13"/>
  <c r="M284" i="13"/>
  <c r="AI284" i="13"/>
  <c r="AJ284" i="13"/>
  <c r="AK284" i="13"/>
  <c r="AL284" i="13"/>
  <c r="AM284" i="13"/>
  <c r="AN284" i="13"/>
  <c r="A285" i="13"/>
  <c r="C285" i="13"/>
  <c r="D285" i="13"/>
  <c r="G285" i="13"/>
  <c r="H285" i="13"/>
  <c r="I285" i="13"/>
  <c r="J285" i="13"/>
  <c r="K285" i="13"/>
  <c r="L285" i="13"/>
  <c r="M285" i="13"/>
  <c r="AI285" i="13"/>
  <c r="AJ285" i="13"/>
  <c r="AN285" i="13" s="1"/>
  <c r="AK285" i="13"/>
  <c r="AL285" i="13"/>
  <c r="AM285" i="13"/>
  <c r="A286" i="13"/>
  <c r="C286" i="13"/>
  <c r="D286" i="13"/>
  <c r="G286" i="13"/>
  <c r="H286" i="13"/>
  <c r="I286" i="13"/>
  <c r="J286" i="13"/>
  <c r="K286" i="13"/>
  <c r="L286" i="13"/>
  <c r="M286" i="13"/>
  <c r="AI286" i="13"/>
  <c r="AJ286" i="13"/>
  <c r="AM286" i="13" s="1"/>
  <c r="AK286" i="13"/>
  <c r="AL286" i="13"/>
  <c r="AN286" i="13"/>
  <c r="A287" i="13"/>
  <c r="C287" i="13"/>
  <c r="D287" i="13"/>
  <c r="G287" i="13"/>
  <c r="H287" i="13"/>
  <c r="I287" i="13"/>
  <c r="J287" i="13"/>
  <c r="K287" i="13"/>
  <c r="L287" i="13"/>
  <c r="M287" i="13"/>
  <c r="AI287" i="13"/>
  <c r="AJ287" i="13"/>
  <c r="AK287" i="13"/>
  <c r="AL287" i="13"/>
  <c r="AM287" i="13"/>
  <c r="AN287" i="13"/>
  <c r="A288" i="13"/>
  <c r="C288" i="13"/>
  <c r="D288" i="13"/>
  <c r="G288" i="13"/>
  <c r="H288" i="13"/>
  <c r="I288" i="13"/>
  <c r="J288" i="13"/>
  <c r="K288" i="13"/>
  <c r="L288" i="13"/>
  <c r="M288" i="13"/>
  <c r="AI288" i="13"/>
  <c r="AJ288" i="13"/>
  <c r="AN288" i="13" s="1"/>
  <c r="AK288" i="13"/>
  <c r="AL288" i="13"/>
  <c r="AM288" i="13"/>
  <c r="A289" i="13"/>
  <c r="C289" i="13"/>
  <c r="D289" i="13"/>
  <c r="G289" i="13"/>
  <c r="H289" i="13"/>
  <c r="I289" i="13"/>
  <c r="J289" i="13"/>
  <c r="K289" i="13"/>
  <c r="L289" i="13"/>
  <c r="M289" i="13"/>
  <c r="AI289" i="13"/>
  <c r="AJ289" i="13"/>
  <c r="AM289" i="13" s="1"/>
  <c r="AK289" i="13"/>
  <c r="AL289" i="13"/>
  <c r="AN289" i="13"/>
  <c r="A290" i="13"/>
  <c r="C290" i="13"/>
  <c r="D290" i="13"/>
  <c r="G290" i="13"/>
  <c r="H290" i="13"/>
  <c r="I290" i="13"/>
  <c r="J290" i="13"/>
  <c r="K290" i="13"/>
  <c r="L290" i="13"/>
  <c r="M290" i="13"/>
  <c r="AI290" i="13"/>
  <c r="AJ290" i="13"/>
  <c r="AK290" i="13"/>
  <c r="AL290" i="13"/>
  <c r="AM290" i="13"/>
  <c r="AN290" i="13"/>
  <c r="A291" i="13"/>
  <c r="C291" i="13"/>
  <c r="D291" i="13"/>
  <c r="G291" i="13"/>
  <c r="H291" i="13"/>
  <c r="I291" i="13"/>
  <c r="J291" i="13"/>
  <c r="K291" i="13"/>
  <c r="L291" i="13"/>
  <c r="M291" i="13"/>
  <c r="AI291" i="13"/>
  <c r="AJ291" i="13"/>
  <c r="AN291" i="13" s="1"/>
  <c r="AK291" i="13"/>
  <c r="AL291" i="13"/>
  <c r="AM291" i="13"/>
  <c r="A292" i="13"/>
  <c r="C292" i="13"/>
  <c r="D292" i="13"/>
  <c r="G292" i="13"/>
  <c r="H292" i="13"/>
  <c r="I292" i="13"/>
  <c r="J292" i="13"/>
  <c r="K292" i="13"/>
  <c r="L292" i="13"/>
  <c r="M292" i="13"/>
  <c r="AI292" i="13"/>
  <c r="AJ292" i="13"/>
  <c r="AM292" i="13" s="1"/>
  <c r="AK292" i="13"/>
  <c r="AL292" i="13"/>
  <c r="AN292" i="13"/>
  <c r="A293" i="13"/>
  <c r="C293" i="13"/>
  <c r="D293" i="13"/>
  <c r="G293" i="13"/>
  <c r="H293" i="13"/>
  <c r="I293" i="13"/>
  <c r="J293" i="13"/>
  <c r="K293" i="13"/>
  <c r="L293" i="13"/>
  <c r="M293" i="13"/>
  <c r="AI293" i="13"/>
  <c r="AJ293" i="13"/>
  <c r="AK293" i="13"/>
  <c r="AL293" i="13"/>
  <c r="AM293" i="13"/>
  <c r="AN293" i="13"/>
  <c r="A294" i="13"/>
  <c r="C294" i="13"/>
  <c r="D294" i="13"/>
  <c r="G294" i="13"/>
  <c r="H294" i="13"/>
  <c r="I294" i="13"/>
  <c r="J294" i="13"/>
  <c r="K294" i="13"/>
  <c r="L294" i="13"/>
  <c r="M294" i="13"/>
  <c r="AI294" i="13"/>
  <c r="AJ294" i="13"/>
  <c r="AN294" i="13" s="1"/>
  <c r="AK294" i="13"/>
  <c r="AL294" i="13"/>
  <c r="AM294" i="13"/>
  <c r="A295" i="13"/>
  <c r="C295" i="13"/>
  <c r="D295" i="13"/>
  <c r="G295" i="13"/>
  <c r="H295" i="13"/>
  <c r="I295" i="13"/>
  <c r="J295" i="13"/>
  <c r="K295" i="13"/>
  <c r="L295" i="13"/>
  <c r="M295" i="13"/>
  <c r="AI295" i="13"/>
  <c r="AJ295" i="13"/>
  <c r="AM295" i="13" s="1"/>
  <c r="AK295" i="13"/>
  <c r="AL295" i="13"/>
  <c r="AN295" i="13"/>
  <c r="A296" i="13"/>
  <c r="C296" i="13"/>
  <c r="D296" i="13"/>
  <c r="G296" i="13"/>
  <c r="H296" i="13"/>
  <c r="I296" i="13"/>
  <c r="J296" i="13"/>
  <c r="K296" i="13"/>
  <c r="L296" i="13"/>
  <c r="M296" i="13"/>
  <c r="AI296" i="13"/>
  <c r="AJ296" i="13"/>
  <c r="AK296" i="13"/>
  <c r="AL296" i="13"/>
  <c r="AM296" i="13"/>
  <c r="AN296" i="13"/>
  <c r="A297" i="13"/>
  <c r="C297" i="13"/>
  <c r="D297" i="13"/>
  <c r="G297" i="13"/>
  <c r="H297" i="13"/>
  <c r="I297" i="13"/>
  <c r="J297" i="13"/>
  <c r="K297" i="13"/>
  <c r="L297" i="13"/>
  <c r="M297" i="13"/>
  <c r="AI297" i="13"/>
  <c r="AJ297" i="13"/>
  <c r="AN297" i="13" s="1"/>
  <c r="AK297" i="13"/>
  <c r="AL297" i="13"/>
  <c r="AM297" i="13"/>
  <c r="A298" i="13"/>
  <c r="C298" i="13"/>
  <c r="D298" i="13"/>
  <c r="G298" i="13"/>
  <c r="H298" i="13"/>
  <c r="I298" i="13"/>
  <c r="J298" i="13"/>
  <c r="K298" i="13"/>
  <c r="L298" i="13"/>
  <c r="M298" i="13"/>
  <c r="AI298" i="13"/>
  <c r="AJ298" i="13"/>
  <c r="AM298" i="13" s="1"/>
  <c r="AK298" i="13"/>
  <c r="AL298" i="13"/>
  <c r="AN298" i="13"/>
  <c r="A299" i="13"/>
  <c r="C299" i="13"/>
  <c r="D299" i="13"/>
  <c r="G299" i="13"/>
  <c r="H299" i="13"/>
  <c r="I299" i="13"/>
  <c r="J299" i="13"/>
  <c r="K299" i="13"/>
  <c r="L299" i="13"/>
  <c r="M299" i="13"/>
  <c r="AI299" i="13"/>
  <c r="AJ299" i="13"/>
  <c r="AK299" i="13"/>
  <c r="AL299" i="13"/>
  <c r="AM299" i="13"/>
  <c r="AN299" i="13"/>
  <c r="A300" i="13"/>
  <c r="C300" i="13"/>
  <c r="D300" i="13"/>
  <c r="G300" i="13"/>
  <c r="H300" i="13"/>
  <c r="I300" i="13"/>
  <c r="J300" i="13"/>
  <c r="K300" i="13"/>
  <c r="L300" i="13"/>
  <c r="M300" i="13"/>
  <c r="AI300" i="13"/>
  <c r="AJ300" i="13"/>
  <c r="AN300" i="13" s="1"/>
  <c r="AK300" i="13"/>
  <c r="AL300" i="13"/>
  <c r="AM300" i="13"/>
  <c r="A301" i="13"/>
  <c r="C301" i="13"/>
  <c r="D301" i="13"/>
  <c r="G301" i="13"/>
  <c r="H301" i="13"/>
  <c r="I301" i="13"/>
  <c r="J301" i="13"/>
  <c r="K301" i="13"/>
  <c r="L301" i="13"/>
  <c r="M301" i="13"/>
  <c r="AI301" i="13"/>
  <c r="AJ301" i="13"/>
  <c r="AM301" i="13" s="1"/>
  <c r="AK301" i="13"/>
  <c r="AL301" i="13"/>
  <c r="AN301" i="13"/>
  <c r="A302" i="13"/>
  <c r="C302" i="13"/>
  <c r="D302" i="13"/>
  <c r="G302" i="13"/>
  <c r="H302" i="13"/>
  <c r="I302" i="13"/>
  <c r="J302" i="13"/>
  <c r="K302" i="13"/>
  <c r="L302" i="13"/>
  <c r="M302" i="13"/>
  <c r="AI302" i="13"/>
  <c r="AJ302" i="13"/>
  <c r="AK302" i="13"/>
  <c r="AL302" i="13"/>
  <c r="AM302" i="13"/>
  <c r="AN302" i="13"/>
  <c r="A303" i="13"/>
  <c r="C303" i="13"/>
  <c r="D303" i="13"/>
  <c r="G303" i="13"/>
  <c r="H303" i="13"/>
  <c r="I303" i="13"/>
  <c r="J303" i="13"/>
  <c r="K303" i="13"/>
  <c r="L303" i="13"/>
  <c r="M303" i="13"/>
  <c r="AI303" i="13"/>
  <c r="AJ303" i="13"/>
  <c r="AN303" i="13" s="1"/>
  <c r="AK303" i="13"/>
  <c r="AL303" i="13"/>
  <c r="AM303" i="13"/>
  <c r="A304" i="13"/>
  <c r="C304" i="13"/>
  <c r="D304" i="13"/>
  <c r="G304" i="13"/>
  <c r="H304" i="13"/>
  <c r="I304" i="13"/>
  <c r="J304" i="13"/>
  <c r="K304" i="13"/>
  <c r="L304" i="13"/>
  <c r="M304" i="13"/>
  <c r="AI304" i="13"/>
  <c r="AJ304" i="13"/>
  <c r="AM304" i="13" s="1"/>
  <c r="AK304" i="13"/>
  <c r="AL304" i="13"/>
  <c r="AN304" i="13"/>
  <c r="A305" i="13"/>
  <c r="C305" i="13"/>
  <c r="D305" i="13"/>
  <c r="G305" i="13"/>
  <c r="H305" i="13"/>
  <c r="I305" i="13"/>
  <c r="J305" i="13"/>
  <c r="K305" i="13"/>
  <c r="L305" i="13"/>
  <c r="M305" i="13"/>
  <c r="AI305" i="13"/>
  <c r="AJ305" i="13"/>
  <c r="AK305" i="13"/>
  <c r="AL305" i="13"/>
  <c r="AM305" i="13"/>
  <c r="AN305" i="13"/>
  <c r="A306" i="13"/>
  <c r="C306" i="13"/>
  <c r="D306" i="13"/>
  <c r="G306" i="13"/>
  <c r="H306" i="13"/>
  <c r="I306" i="13"/>
  <c r="J306" i="13"/>
  <c r="K306" i="13"/>
  <c r="L306" i="13"/>
  <c r="M306" i="13"/>
  <c r="AI306" i="13"/>
  <c r="AJ306" i="13"/>
  <c r="AN306" i="13" s="1"/>
  <c r="AK306" i="13"/>
  <c r="AL306" i="13"/>
  <c r="AM306" i="13"/>
  <c r="A307" i="13"/>
  <c r="C307" i="13"/>
  <c r="D307" i="13"/>
  <c r="G307" i="13"/>
  <c r="H307" i="13"/>
  <c r="I307" i="13"/>
  <c r="J307" i="13"/>
  <c r="K307" i="13"/>
  <c r="L307" i="13"/>
  <c r="M307" i="13"/>
  <c r="AI307" i="13"/>
  <c r="AJ307" i="13"/>
  <c r="AM307" i="13" s="1"/>
  <c r="AK307" i="13"/>
  <c r="AL307" i="13"/>
  <c r="AN307" i="13"/>
  <c r="A308" i="13"/>
  <c r="C308" i="13"/>
  <c r="D308" i="13"/>
  <c r="G308" i="13"/>
  <c r="H308" i="13"/>
  <c r="I308" i="13"/>
  <c r="J308" i="13"/>
  <c r="K308" i="13"/>
  <c r="L308" i="13"/>
  <c r="M308" i="13"/>
  <c r="AI308" i="13"/>
  <c r="AJ308" i="13"/>
  <c r="AK308" i="13"/>
  <c r="AL308" i="13"/>
  <c r="AM308" i="13"/>
  <c r="AN308" i="13"/>
  <c r="A309" i="13"/>
  <c r="C309" i="13"/>
  <c r="D309" i="13"/>
  <c r="G309" i="13"/>
  <c r="H309" i="13"/>
  <c r="I309" i="13"/>
  <c r="J309" i="13"/>
  <c r="K309" i="13"/>
  <c r="L309" i="13"/>
  <c r="M309" i="13"/>
  <c r="AI309" i="13"/>
  <c r="AJ309" i="13"/>
  <c r="AN309" i="13" s="1"/>
  <c r="AK309" i="13"/>
  <c r="AL309" i="13"/>
  <c r="AM309" i="13"/>
  <c r="A310" i="13"/>
  <c r="C310" i="13"/>
  <c r="D310" i="13"/>
  <c r="G310" i="13"/>
  <c r="H310" i="13"/>
  <c r="I310" i="13"/>
  <c r="J310" i="13"/>
  <c r="K310" i="13"/>
  <c r="L310" i="13"/>
  <c r="M310" i="13"/>
  <c r="AI310" i="13"/>
  <c r="AJ310" i="13"/>
  <c r="AM310" i="13" s="1"/>
  <c r="AK310" i="13"/>
  <c r="AL310" i="13"/>
  <c r="AN310" i="13"/>
  <c r="A311" i="13"/>
  <c r="C311" i="13"/>
  <c r="D311" i="13"/>
  <c r="G311" i="13"/>
  <c r="H311" i="13"/>
  <c r="I311" i="13"/>
  <c r="J311" i="13"/>
  <c r="K311" i="13"/>
  <c r="L311" i="13"/>
  <c r="M311" i="13"/>
  <c r="AI311" i="13"/>
  <c r="AJ311" i="13"/>
  <c r="AK311" i="13"/>
  <c r="AL311" i="13"/>
  <c r="AM311" i="13"/>
  <c r="AN311" i="13"/>
  <c r="A312" i="13"/>
  <c r="C312" i="13"/>
  <c r="D312" i="13"/>
  <c r="G312" i="13"/>
  <c r="H312" i="13"/>
  <c r="I312" i="13"/>
  <c r="J312" i="13"/>
  <c r="K312" i="13"/>
  <c r="L312" i="13"/>
  <c r="M312" i="13"/>
  <c r="AI312" i="13"/>
  <c r="AJ312" i="13"/>
  <c r="AN312" i="13" s="1"/>
  <c r="AK312" i="13"/>
  <c r="AL312" i="13"/>
  <c r="AM312" i="13"/>
  <c r="A313" i="13"/>
  <c r="C313" i="13"/>
  <c r="D313" i="13"/>
  <c r="G313" i="13"/>
  <c r="H313" i="13"/>
  <c r="I313" i="13"/>
  <c r="J313" i="13"/>
  <c r="K313" i="13"/>
  <c r="L313" i="13"/>
  <c r="M313" i="13"/>
  <c r="AI313" i="13"/>
  <c r="AJ313" i="13"/>
  <c r="AM313" i="13" s="1"/>
  <c r="AK313" i="13"/>
  <c r="AL313" i="13"/>
  <c r="AN313" i="13"/>
  <c r="A314" i="13"/>
  <c r="C314" i="13"/>
  <c r="D314" i="13"/>
  <c r="G314" i="13"/>
  <c r="H314" i="13"/>
  <c r="I314" i="13"/>
  <c r="J314" i="13"/>
  <c r="K314" i="13"/>
  <c r="L314" i="13"/>
  <c r="M314" i="13"/>
  <c r="AI314" i="13"/>
  <c r="AJ314" i="13"/>
  <c r="AK314" i="13"/>
  <c r="AL314" i="13"/>
  <c r="AM314" i="13"/>
  <c r="AN314" i="13"/>
  <c r="A315" i="13"/>
  <c r="C315" i="13"/>
  <c r="D315" i="13"/>
  <c r="G315" i="13"/>
  <c r="H315" i="13"/>
  <c r="I315" i="13"/>
  <c r="J315" i="13"/>
  <c r="K315" i="13"/>
  <c r="L315" i="13"/>
  <c r="M315" i="13"/>
  <c r="AI315" i="13"/>
  <c r="AJ315" i="13"/>
  <c r="AN315" i="13" s="1"/>
  <c r="AK315" i="13"/>
  <c r="AL315" i="13"/>
  <c r="AM315" i="13"/>
  <c r="A316" i="13"/>
  <c r="C316" i="13"/>
  <c r="D316" i="13"/>
  <c r="G316" i="13"/>
  <c r="H316" i="13"/>
  <c r="I316" i="13"/>
  <c r="J316" i="13"/>
  <c r="K316" i="13"/>
  <c r="L316" i="13"/>
  <c r="M316" i="13"/>
  <c r="AI316" i="13"/>
  <c r="AJ316" i="13"/>
  <c r="AM316" i="13" s="1"/>
  <c r="AK316" i="13"/>
  <c r="AL316" i="13"/>
  <c r="AN316" i="13"/>
  <c r="A317" i="13"/>
  <c r="C317" i="13"/>
  <c r="D317" i="13"/>
  <c r="G317" i="13"/>
  <c r="H317" i="13"/>
  <c r="I317" i="13"/>
  <c r="J317" i="13"/>
  <c r="K317" i="13"/>
  <c r="L317" i="13"/>
  <c r="M317" i="13"/>
  <c r="AI317" i="13"/>
  <c r="AJ317" i="13"/>
  <c r="AK317" i="13"/>
  <c r="AL317" i="13"/>
  <c r="AM317" i="13"/>
  <c r="AN317" i="13"/>
  <c r="A318" i="13"/>
  <c r="C318" i="13"/>
  <c r="D318" i="13"/>
  <c r="G318" i="13"/>
  <c r="H318" i="13"/>
  <c r="I318" i="13"/>
  <c r="J318" i="13"/>
  <c r="K318" i="13"/>
  <c r="L318" i="13"/>
  <c r="M318" i="13"/>
  <c r="AI318" i="13"/>
  <c r="AJ318" i="13"/>
  <c r="AN318" i="13" s="1"/>
  <c r="AK318" i="13"/>
  <c r="AL318" i="13"/>
  <c r="AM318" i="13"/>
  <c r="A319" i="13"/>
  <c r="C319" i="13"/>
  <c r="D319" i="13"/>
  <c r="G319" i="13"/>
  <c r="H319" i="13"/>
  <c r="I319" i="13"/>
  <c r="J319" i="13"/>
  <c r="K319" i="13"/>
  <c r="L319" i="13"/>
  <c r="M319" i="13"/>
  <c r="AI319" i="13"/>
  <c r="AJ319" i="13"/>
  <c r="AM319" i="13" s="1"/>
  <c r="AK319" i="13"/>
  <c r="AL319" i="13"/>
  <c r="AN319" i="13"/>
  <c r="A320" i="13"/>
  <c r="C320" i="13"/>
  <c r="D320" i="13"/>
  <c r="G320" i="13"/>
  <c r="H320" i="13"/>
  <c r="I320" i="13"/>
  <c r="J320" i="13"/>
  <c r="K320" i="13"/>
  <c r="L320" i="13"/>
  <c r="M320" i="13"/>
  <c r="AI320" i="13"/>
  <c r="AJ320" i="13"/>
  <c r="AK320" i="13"/>
  <c r="AL320" i="13"/>
  <c r="AM320" i="13"/>
  <c r="AN320" i="13"/>
  <c r="A321" i="13"/>
  <c r="C321" i="13"/>
  <c r="D321" i="13"/>
  <c r="G321" i="13"/>
  <c r="H321" i="13"/>
  <c r="I321" i="13"/>
  <c r="J321" i="13"/>
  <c r="K321" i="13"/>
  <c r="L321" i="13"/>
  <c r="M321" i="13"/>
  <c r="AI321" i="13"/>
  <c r="AJ321" i="13"/>
  <c r="AN321" i="13" s="1"/>
  <c r="AK321" i="13"/>
  <c r="AL321" i="13"/>
  <c r="AM321" i="13"/>
  <c r="A322" i="13"/>
  <c r="C322" i="13"/>
  <c r="D322" i="13"/>
  <c r="G322" i="13"/>
  <c r="H322" i="13"/>
  <c r="I322" i="13"/>
  <c r="J322" i="13"/>
  <c r="K322" i="13"/>
  <c r="L322" i="13"/>
  <c r="M322" i="13"/>
  <c r="AI322" i="13"/>
  <c r="AJ322" i="13"/>
  <c r="AM322" i="13" s="1"/>
  <c r="AK322" i="13"/>
  <c r="AL322" i="13"/>
  <c r="AN322" i="13"/>
  <c r="A323" i="13"/>
  <c r="C323" i="13"/>
  <c r="D323" i="13"/>
  <c r="G323" i="13"/>
  <c r="H323" i="13"/>
  <c r="I323" i="13"/>
  <c r="J323" i="13"/>
  <c r="K323" i="13"/>
  <c r="L323" i="13"/>
  <c r="M323" i="13"/>
  <c r="AI323" i="13"/>
  <c r="AJ323" i="13"/>
  <c r="AK323" i="13"/>
  <c r="AL323" i="13"/>
  <c r="AM323" i="13"/>
  <c r="AN323" i="13"/>
  <c r="A324" i="13"/>
  <c r="C324" i="13"/>
  <c r="D324" i="13"/>
  <c r="G324" i="13"/>
  <c r="H324" i="13"/>
  <c r="I324" i="13"/>
  <c r="J324" i="13"/>
  <c r="K324" i="13"/>
  <c r="L324" i="13"/>
  <c r="M324" i="13"/>
  <c r="AI324" i="13"/>
  <c r="AJ324" i="13"/>
  <c r="AN324" i="13" s="1"/>
  <c r="AK324" i="13"/>
  <c r="AL324" i="13"/>
  <c r="AM324" i="13"/>
  <c r="A325" i="13"/>
  <c r="C325" i="13"/>
  <c r="D325" i="13"/>
  <c r="G325" i="13"/>
  <c r="H325" i="13"/>
  <c r="I325" i="13"/>
  <c r="J325" i="13"/>
  <c r="K325" i="13"/>
  <c r="L325" i="13"/>
  <c r="M325" i="13"/>
  <c r="AI325" i="13"/>
  <c r="AJ325" i="13"/>
  <c r="AM325" i="13" s="1"/>
  <c r="AK325" i="13"/>
  <c r="AL325" i="13"/>
  <c r="AN325" i="13"/>
  <c r="A326" i="13"/>
  <c r="C326" i="13"/>
  <c r="D326" i="13"/>
  <c r="G326" i="13"/>
  <c r="H326" i="13"/>
  <c r="I326" i="13"/>
  <c r="J326" i="13"/>
  <c r="K326" i="13"/>
  <c r="L326" i="13"/>
  <c r="M326" i="13"/>
  <c r="AI326" i="13"/>
  <c r="AJ326" i="13"/>
  <c r="AK326" i="13"/>
  <c r="AL326" i="13"/>
  <c r="AM326" i="13"/>
  <c r="AN326" i="13"/>
  <c r="A327" i="13"/>
  <c r="C327" i="13"/>
  <c r="D327" i="13"/>
  <c r="G327" i="13"/>
  <c r="H327" i="13"/>
  <c r="I327" i="13"/>
  <c r="J327" i="13"/>
  <c r="K327" i="13"/>
  <c r="L327" i="13"/>
  <c r="M327" i="13"/>
  <c r="AI327" i="13"/>
  <c r="AJ327" i="13"/>
  <c r="AN327" i="13" s="1"/>
  <c r="AK327" i="13"/>
  <c r="AL327" i="13"/>
  <c r="AM327" i="13"/>
  <c r="A328" i="13"/>
  <c r="C328" i="13"/>
  <c r="D328" i="13"/>
  <c r="G328" i="13"/>
  <c r="H328" i="13"/>
  <c r="I328" i="13"/>
  <c r="J328" i="13"/>
  <c r="K328" i="13"/>
  <c r="L328" i="13"/>
  <c r="M328" i="13"/>
  <c r="AI328" i="13"/>
  <c r="AJ328" i="13"/>
  <c r="AM328" i="13" s="1"/>
  <c r="AK328" i="13"/>
  <c r="AL328" i="13"/>
  <c r="AN328" i="13"/>
  <c r="A329" i="13"/>
  <c r="C329" i="13"/>
  <c r="D329" i="13"/>
  <c r="G329" i="13"/>
  <c r="H329" i="13"/>
  <c r="I329" i="13"/>
  <c r="J329" i="13"/>
  <c r="K329" i="13"/>
  <c r="L329" i="13"/>
  <c r="M329" i="13"/>
  <c r="AI329" i="13"/>
  <c r="AJ329" i="13"/>
  <c r="AK329" i="13"/>
  <c r="AL329" i="13"/>
  <c r="AM329" i="13"/>
  <c r="AN329" i="13"/>
  <c r="A330" i="13"/>
  <c r="C330" i="13"/>
  <c r="D330" i="13"/>
  <c r="G330" i="13"/>
  <c r="H330" i="13"/>
  <c r="I330" i="13"/>
  <c r="J330" i="13"/>
  <c r="K330" i="13"/>
  <c r="L330" i="13"/>
  <c r="M330" i="13"/>
  <c r="AI330" i="13"/>
  <c r="AJ330" i="13"/>
  <c r="AN330" i="13" s="1"/>
  <c r="AK330" i="13"/>
  <c r="AL330" i="13"/>
  <c r="AM330" i="13"/>
  <c r="A331" i="13"/>
  <c r="C331" i="13"/>
  <c r="D331" i="13"/>
  <c r="G331" i="13"/>
  <c r="H331" i="13"/>
  <c r="I331" i="13"/>
  <c r="J331" i="13"/>
  <c r="K331" i="13"/>
  <c r="L331" i="13"/>
  <c r="M331" i="13"/>
  <c r="AI331" i="13"/>
  <c r="AJ331" i="13"/>
  <c r="AM331" i="13" s="1"/>
  <c r="AK331" i="13"/>
  <c r="AL331" i="13"/>
  <c r="AN331" i="13"/>
  <c r="A332" i="13"/>
  <c r="C332" i="13"/>
  <c r="D332" i="13"/>
  <c r="G332" i="13"/>
  <c r="H332" i="13"/>
  <c r="I332" i="13"/>
  <c r="J332" i="13"/>
  <c r="K332" i="13"/>
  <c r="L332" i="13"/>
  <c r="M332" i="13"/>
  <c r="AI332" i="13"/>
  <c r="AJ332" i="13"/>
  <c r="AK332" i="13"/>
  <c r="AL332" i="13"/>
  <c r="AM332" i="13"/>
  <c r="AN332" i="13"/>
  <c r="A333" i="13"/>
  <c r="C333" i="13"/>
  <c r="D333" i="13"/>
  <c r="G333" i="13"/>
  <c r="H333" i="13"/>
  <c r="I333" i="13"/>
  <c r="J333" i="13"/>
  <c r="K333" i="13"/>
  <c r="L333" i="13"/>
  <c r="M333" i="13"/>
  <c r="AI333" i="13"/>
  <c r="AJ333" i="13"/>
  <c r="AN333" i="13" s="1"/>
  <c r="AK333" i="13"/>
  <c r="AL333" i="13"/>
  <c r="AM333" i="13"/>
  <c r="A334" i="13"/>
  <c r="C334" i="13"/>
  <c r="D334" i="13"/>
  <c r="G334" i="13"/>
  <c r="H334" i="13"/>
  <c r="I334" i="13"/>
  <c r="J334" i="13"/>
  <c r="K334" i="13"/>
  <c r="L334" i="13"/>
  <c r="M334" i="13"/>
  <c r="AI334" i="13"/>
  <c r="AJ334" i="13"/>
  <c r="AM334" i="13" s="1"/>
  <c r="AK334" i="13"/>
  <c r="AL334" i="13"/>
  <c r="AN334" i="13"/>
  <c r="A335" i="13"/>
  <c r="C335" i="13"/>
  <c r="D335" i="13"/>
  <c r="G335" i="13"/>
  <c r="H335" i="13"/>
  <c r="I335" i="13"/>
  <c r="J335" i="13"/>
  <c r="K335" i="13"/>
  <c r="L335" i="13"/>
  <c r="M335" i="13"/>
  <c r="AI335" i="13"/>
  <c r="AJ335" i="13"/>
  <c r="AK335" i="13"/>
  <c r="AL335" i="13"/>
  <c r="AM335" i="13"/>
  <c r="AN335" i="13"/>
  <c r="A336" i="13"/>
  <c r="C336" i="13"/>
  <c r="D336" i="13"/>
  <c r="G336" i="13"/>
  <c r="H336" i="13"/>
  <c r="I336" i="13"/>
  <c r="J336" i="13"/>
  <c r="K336" i="13"/>
  <c r="L336" i="13"/>
  <c r="M336" i="13"/>
  <c r="AI336" i="13"/>
  <c r="AJ336" i="13"/>
  <c r="AN336" i="13" s="1"/>
  <c r="AK336" i="13"/>
  <c r="AL336" i="13"/>
  <c r="AM336" i="13"/>
  <c r="A337" i="13"/>
  <c r="C337" i="13"/>
  <c r="D337" i="13"/>
  <c r="G337" i="13"/>
  <c r="H337" i="13"/>
  <c r="I337" i="13"/>
  <c r="J337" i="13"/>
  <c r="K337" i="13"/>
  <c r="L337" i="13"/>
  <c r="M337" i="13"/>
  <c r="AI337" i="13"/>
  <c r="AJ337" i="13"/>
  <c r="AM337" i="13" s="1"/>
  <c r="AK337" i="13"/>
  <c r="AL337" i="13"/>
  <c r="AN337" i="13"/>
  <c r="A338" i="13"/>
  <c r="C338" i="13"/>
  <c r="D338" i="13"/>
  <c r="G338" i="13"/>
  <c r="H338" i="13"/>
  <c r="I338" i="13"/>
  <c r="J338" i="13"/>
  <c r="K338" i="13"/>
  <c r="L338" i="13"/>
  <c r="M338" i="13"/>
  <c r="AI338" i="13"/>
  <c r="AJ338" i="13"/>
  <c r="AK338" i="13"/>
  <c r="AL338" i="13"/>
  <c r="AM338" i="13"/>
  <c r="AN338" i="13"/>
  <c r="A339" i="13"/>
  <c r="C339" i="13"/>
  <c r="D339" i="13"/>
  <c r="G339" i="13"/>
  <c r="H339" i="13"/>
  <c r="I339" i="13"/>
  <c r="J339" i="13"/>
  <c r="K339" i="13"/>
  <c r="L339" i="13"/>
  <c r="M339" i="13"/>
  <c r="AI339" i="13"/>
  <c r="AJ339" i="13"/>
  <c r="AN339" i="13" s="1"/>
  <c r="AK339" i="13"/>
  <c r="AL339" i="13"/>
  <c r="AM339" i="13"/>
  <c r="A340" i="13"/>
  <c r="C340" i="13"/>
  <c r="D340" i="13"/>
  <c r="G340" i="13"/>
  <c r="H340" i="13"/>
  <c r="I340" i="13"/>
  <c r="J340" i="13"/>
  <c r="K340" i="13"/>
  <c r="L340" i="13"/>
  <c r="M340" i="13"/>
  <c r="AI340" i="13"/>
  <c r="AJ340" i="13"/>
  <c r="AM340" i="13" s="1"/>
  <c r="AK340" i="13"/>
  <c r="AL340" i="13"/>
  <c r="AN340" i="13"/>
  <c r="A341" i="13"/>
  <c r="C341" i="13"/>
  <c r="D341" i="13"/>
  <c r="G341" i="13"/>
  <c r="H341" i="13"/>
  <c r="I341" i="13"/>
  <c r="J341" i="13"/>
  <c r="K341" i="13"/>
  <c r="L341" i="13"/>
  <c r="M341" i="13"/>
  <c r="AI341" i="13"/>
  <c r="AJ341" i="13"/>
  <c r="AK341" i="13"/>
  <c r="AL341" i="13"/>
  <c r="AM341" i="13"/>
  <c r="AN341" i="13"/>
  <c r="A342" i="13"/>
  <c r="C342" i="13"/>
  <c r="D342" i="13"/>
  <c r="G342" i="13"/>
  <c r="H342" i="13"/>
  <c r="I342" i="13"/>
  <c r="J342" i="13"/>
  <c r="K342" i="13"/>
  <c r="L342" i="13"/>
  <c r="M342" i="13"/>
  <c r="AI342" i="13"/>
  <c r="AJ342" i="13"/>
  <c r="AN342" i="13" s="1"/>
  <c r="AK342" i="13"/>
  <c r="AL342" i="13"/>
  <c r="AM342" i="13"/>
  <c r="A343" i="13"/>
  <c r="C343" i="13"/>
  <c r="D343" i="13"/>
  <c r="G343" i="13"/>
  <c r="H343" i="13"/>
  <c r="I343" i="13"/>
  <c r="J343" i="13"/>
  <c r="K343" i="13"/>
  <c r="L343" i="13"/>
  <c r="M343" i="13"/>
  <c r="AI343" i="13"/>
  <c r="AJ343" i="13"/>
  <c r="AM343" i="13" s="1"/>
  <c r="AK343" i="13"/>
  <c r="AL343" i="13"/>
  <c r="AN343" i="13"/>
  <c r="A344" i="13"/>
  <c r="C344" i="13"/>
  <c r="D344" i="13"/>
  <c r="G344" i="13"/>
  <c r="H344" i="13"/>
  <c r="I344" i="13"/>
  <c r="J344" i="13"/>
  <c r="K344" i="13"/>
  <c r="L344" i="13"/>
  <c r="M344" i="13"/>
  <c r="AI344" i="13"/>
  <c r="AJ344" i="13"/>
  <c r="AK344" i="13"/>
  <c r="AL344" i="13"/>
  <c r="AM344" i="13"/>
  <c r="AN344" i="13"/>
  <c r="A345" i="13"/>
  <c r="C345" i="13"/>
  <c r="D345" i="13"/>
  <c r="G345" i="13"/>
  <c r="H345" i="13"/>
  <c r="I345" i="13"/>
  <c r="J345" i="13"/>
  <c r="K345" i="13"/>
  <c r="L345" i="13"/>
  <c r="M345" i="13"/>
  <c r="AI345" i="13"/>
  <c r="AJ345" i="13"/>
  <c r="AN345" i="13" s="1"/>
  <c r="AK345" i="13"/>
  <c r="AL345" i="13"/>
  <c r="AM345" i="13"/>
  <c r="A346" i="13"/>
  <c r="C346" i="13"/>
  <c r="D346" i="13"/>
  <c r="G346" i="13"/>
  <c r="H346" i="13"/>
  <c r="I346" i="13"/>
  <c r="J346" i="13"/>
  <c r="K346" i="13"/>
  <c r="L346" i="13"/>
  <c r="M346" i="13"/>
  <c r="AI346" i="13"/>
  <c r="AJ346" i="13"/>
  <c r="AM346" i="13" s="1"/>
  <c r="AK346" i="13"/>
  <c r="AL346" i="13"/>
  <c r="AN346" i="13"/>
  <c r="A347" i="13"/>
  <c r="C347" i="13"/>
  <c r="D347" i="13"/>
  <c r="G347" i="13"/>
  <c r="H347" i="13"/>
  <c r="I347" i="13"/>
  <c r="J347" i="13"/>
  <c r="K347" i="13"/>
  <c r="L347" i="13"/>
  <c r="M347" i="13"/>
  <c r="AI347" i="13"/>
  <c r="AJ347" i="13"/>
  <c r="AK347" i="13"/>
  <c r="AL347" i="13"/>
  <c r="AM347" i="13"/>
  <c r="AN347" i="13"/>
  <c r="A348" i="13"/>
  <c r="C348" i="13"/>
  <c r="D348" i="13"/>
  <c r="G348" i="13"/>
  <c r="H348" i="13"/>
  <c r="I348" i="13"/>
  <c r="J348" i="13"/>
  <c r="K348" i="13"/>
  <c r="L348" i="13"/>
  <c r="M348" i="13"/>
  <c r="AI348" i="13"/>
  <c r="AJ348" i="13"/>
  <c r="AN348" i="13" s="1"/>
  <c r="AK348" i="13"/>
  <c r="AL348" i="13"/>
  <c r="AM348" i="13"/>
  <c r="A349" i="13"/>
  <c r="C349" i="13"/>
  <c r="D349" i="13"/>
  <c r="G349" i="13"/>
  <c r="H349" i="13"/>
  <c r="I349" i="13"/>
  <c r="J349" i="13"/>
  <c r="K349" i="13"/>
  <c r="L349" i="13"/>
  <c r="M349" i="13"/>
  <c r="AI349" i="13"/>
  <c r="AJ349" i="13"/>
  <c r="AM349" i="13" s="1"/>
  <c r="AK349" i="13"/>
  <c r="AL349" i="13"/>
  <c r="AN349" i="13"/>
  <c r="A350" i="13"/>
  <c r="C350" i="13"/>
  <c r="D350" i="13"/>
  <c r="G350" i="13"/>
  <c r="H350" i="13"/>
  <c r="I350" i="13"/>
  <c r="J350" i="13"/>
  <c r="K350" i="13"/>
  <c r="L350" i="13"/>
  <c r="M350" i="13"/>
  <c r="AI350" i="13"/>
  <c r="AJ350" i="13"/>
  <c r="AK350" i="13"/>
  <c r="AL350" i="13"/>
  <c r="AM350" i="13"/>
  <c r="AN350" i="13"/>
  <c r="A351" i="13"/>
  <c r="C351" i="13"/>
  <c r="D351" i="13"/>
  <c r="G351" i="13"/>
  <c r="H351" i="13"/>
  <c r="I351" i="13"/>
  <c r="J351" i="13"/>
  <c r="K351" i="13"/>
  <c r="L351" i="13"/>
  <c r="M351" i="13"/>
  <c r="AI351" i="13"/>
  <c r="AJ351" i="13"/>
  <c r="AN351" i="13" s="1"/>
  <c r="AK351" i="13"/>
  <c r="AL351" i="13"/>
  <c r="AM351" i="13"/>
  <c r="A352" i="13"/>
  <c r="C352" i="13"/>
  <c r="D352" i="13"/>
  <c r="G352" i="13"/>
  <c r="H352" i="13"/>
  <c r="I352" i="13"/>
  <c r="J352" i="13"/>
  <c r="K352" i="13"/>
  <c r="L352" i="13"/>
  <c r="M352" i="13"/>
  <c r="AI352" i="13"/>
  <c r="AJ352" i="13"/>
  <c r="AM352" i="13" s="1"/>
  <c r="AK352" i="13"/>
  <c r="AL352" i="13"/>
  <c r="AN352" i="13"/>
  <c r="A353" i="13"/>
  <c r="C353" i="13"/>
  <c r="D353" i="13"/>
  <c r="G353" i="13"/>
  <c r="H353" i="13"/>
  <c r="I353" i="13"/>
  <c r="J353" i="13"/>
  <c r="K353" i="13"/>
  <c r="L353" i="13"/>
  <c r="M353" i="13"/>
  <c r="AI353" i="13"/>
  <c r="AJ353" i="13"/>
  <c r="AK353" i="13"/>
  <c r="AL353" i="13"/>
  <c r="AM353" i="13"/>
  <c r="AN353" i="13"/>
  <c r="A354" i="13"/>
  <c r="C354" i="13"/>
  <c r="D354" i="13"/>
  <c r="G354" i="13"/>
  <c r="H354" i="13"/>
  <c r="I354" i="13"/>
  <c r="J354" i="13"/>
  <c r="K354" i="13"/>
  <c r="L354" i="13"/>
  <c r="M354" i="13"/>
  <c r="AI354" i="13"/>
  <c r="AJ354" i="13"/>
  <c r="AN354" i="13" s="1"/>
  <c r="AK354" i="13"/>
  <c r="AL354" i="13"/>
  <c r="AM354" i="13"/>
  <c r="A355" i="13"/>
  <c r="C355" i="13"/>
  <c r="D355" i="13"/>
  <c r="G355" i="13"/>
  <c r="H355" i="13"/>
  <c r="I355" i="13"/>
  <c r="J355" i="13"/>
  <c r="K355" i="13"/>
  <c r="L355" i="13"/>
  <c r="M355" i="13"/>
  <c r="AI355" i="13"/>
  <c r="AJ355" i="13"/>
  <c r="AM355" i="13" s="1"/>
  <c r="AK355" i="13"/>
  <c r="AL355" i="13"/>
  <c r="AN355" i="13"/>
  <c r="A356" i="13"/>
  <c r="C356" i="13"/>
  <c r="D356" i="13"/>
  <c r="G356" i="13"/>
  <c r="H356" i="13"/>
  <c r="I356" i="13"/>
  <c r="J356" i="13"/>
  <c r="K356" i="13"/>
  <c r="L356" i="13"/>
  <c r="M356" i="13"/>
  <c r="AI356" i="13"/>
  <c r="AJ356" i="13"/>
  <c r="AK356" i="13"/>
  <c r="AL356" i="13"/>
  <c r="AM356" i="13"/>
  <c r="AN356" i="13"/>
  <c r="A357" i="13"/>
  <c r="C357" i="13"/>
  <c r="D357" i="13"/>
  <c r="G357" i="13"/>
  <c r="H357" i="13"/>
  <c r="I357" i="13"/>
  <c r="J357" i="13"/>
  <c r="K357" i="13"/>
  <c r="L357" i="13"/>
  <c r="M357" i="13"/>
  <c r="AI357" i="13"/>
  <c r="AJ357" i="13"/>
  <c r="AN357" i="13" s="1"/>
  <c r="AK357" i="13"/>
  <c r="AL357" i="13"/>
  <c r="AM357" i="13"/>
  <c r="A358" i="13"/>
  <c r="C358" i="13"/>
  <c r="D358" i="13"/>
  <c r="G358" i="13"/>
  <c r="H358" i="13"/>
  <c r="I358" i="13"/>
  <c r="J358" i="13"/>
  <c r="K358" i="13"/>
  <c r="L358" i="13"/>
  <c r="M358" i="13"/>
  <c r="AI358" i="13"/>
  <c r="AJ358" i="13"/>
  <c r="AM358" i="13" s="1"/>
  <c r="AK358" i="13"/>
  <c r="AL358" i="13"/>
  <c r="AN358" i="13"/>
  <c r="A359" i="13"/>
  <c r="C359" i="13"/>
  <c r="D359" i="13"/>
  <c r="G359" i="13"/>
  <c r="H359" i="13"/>
  <c r="I359" i="13"/>
  <c r="J359" i="13"/>
  <c r="K359" i="13"/>
  <c r="L359" i="13"/>
  <c r="M359" i="13"/>
  <c r="AI359" i="13"/>
  <c r="AJ359" i="13"/>
  <c r="AK359" i="13"/>
  <c r="AL359" i="13"/>
  <c r="AM359" i="13"/>
  <c r="AN359" i="13"/>
  <c r="A360" i="13"/>
  <c r="C360" i="13"/>
  <c r="D360" i="13"/>
  <c r="G360" i="13"/>
  <c r="H360" i="13"/>
  <c r="I360" i="13"/>
  <c r="J360" i="13"/>
  <c r="K360" i="13"/>
  <c r="L360" i="13"/>
  <c r="M360" i="13"/>
  <c r="AI360" i="13"/>
  <c r="AJ360" i="13"/>
  <c r="AN360" i="13" s="1"/>
  <c r="AK360" i="13"/>
  <c r="AL360" i="13"/>
  <c r="AM360" i="13"/>
  <c r="A361" i="13"/>
  <c r="C361" i="13"/>
  <c r="D361" i="13"/>
  <c r="G361" i="13"/>
  <c r="H361" i="13"/>
  <c r="I361" i="13"/>
  <c r="J361" i="13"/>
  <c r="K361" i="13"/>
  <c r="L361" i="13"/>
  <c r="M361" i="13"/>
  <c r="AI361" i="13"/>
  <c r="AJ361" i="13"/>
  <c r="AM361" i="13" s="1"/>
  <c r="AK361" i="13"/>
  <c r="AL361" i="13"/>
  <c r="AN361" i="13"/>
  <c r="A362" i="13"/>
  <c r="C362" i="13"/>
  <c r="D362" i="13"/>
  <c r="G362" i="13"/>
  <c r="H362" i="13"/>
  <c r="I362" i="13"/>
  <c r="J362" i="13"/>
  <c r="K362" i="13"/>
  <c r="L362" i="13"/>
  <c r="M362" i="13"/>
  <c r="AI362" i="13"/>
  <c r="AJ362" i="13"/>
  <c r="AK362" i="13"/>
  <c r="AL362" i="13"/>
  <c r="AM362" i="13"/>
  <c r="AN362" i="13"/>
  <c r="A363" i="13"/>
  <c r="C363" i="13"/>
  <c r="D363" i="13"/>
  <c r="G363" i="13"/>
  <c r="H363" i="13"/>
  <c r="I363" i="13"/>
  <c r="J363" i="13"/>
  <c r="K363" i="13"/>
  <c r="L363" i="13"/>
  <c r="M363" i="13"/>
  <c r="AI363" i="13"/>
  <c r="AJ363" i="13"/>
  <c r="AN363" i="13" s="1"/>
  <c r="AK363" i="13"/>
  <c r="AL363" i="13"/>
  <c r="AM363" i="13"/>
  <c r="A364" i="13"/>
  <c r="C364" i="13"/>
  <c r="D364" i="13"/>
  <c r="G364" i="13"/>
  <c r="H364" i="13"/>
  <c r="I364" i="13"/>
  <c r="J364" i="13"/>
  <c r="K364" i="13"/>
  <c r="L364" i="13"/>
  <c r="M364" i="13"/>
  <c r="AI364" i="13"/>
  <c r="AJ364" i="13"/>
  <c r="AM364" i="13" s="1"/>
  <c r="AK364" i="13"/>
  <c r="AL364" i="13"/>
  <c r="AN364" i="13"/>
  <c r="A365" i="13"/>
  <c r="C365" i="13"/>
  <c r="D365" i="13"/>
  <c r="G365" i="13"/>
  <c r="H365" i="13"/>
  <c r="I365" i="13"/>
  <c r="J365" i="13"/>
  <c r="K365" i="13"/>
  <c r="L365" i="13"/>
  <c r="M365" i="13"/>
  <c r="AI365" i="13"/>
  <c r="AJ365" i="13"/>
  <c r="AK365" i="13"/>
  <c r="AL365" i="13"/>
  <c r="AM365" i="13"/>
  <c r="AN365" i="13"/>
  <c r="A366" i="13"/>
  <c r="C366" i="13"/>
  <c r="D366" i="13"/>
  <c r="G366" i="13"/>
  <c r="H366" i="13"/>
  <c r="I366" i="13"/>
  <c r="J366" i="13"/>
  <c r="K366" i="13"/>
  <c r="L366" i="13"/>
  <c r="M366" i="13"/>
  <c r="AI366" i="13"/>
  <c r="AJ366" i="13"/>
  <c r="AN366" i="13" s="1"/>
  <c r="AK366" i="13"/>
  <c r="AL366" i="13"/>
  <c r="AM366" i="13"/>
  <c r="A367" i="13"/>
  <c r="C367" i="13"/>
  <c r="D367" i="13"/>
  <c r="G367" i="13"/>
  <c r="H367" i="13"/>
  <c r="I367" i="13"/>
  <c r="J367" i="13"/>
  <c r="K367" i="13"/>
  <c r="L367" i="13"/>
  <c r="M367" i="13"/>
  <c r="AI367" i="13"/>
  <c r="AJ367" i="13"/>
  <c r="AM367" i="13" s="1"/>
  <c r="AK367" i="13"/>
  <c r="AL367" i="13"/>
  <c r="AN367" i="13"/>
  <c r="A368" i="13"/>
  <c r="C368" i="13"/>
  <c r="D368" i="13"/>
  <c r="G368" i="13"/>
  <c r="H368" i="13"/>
  <c r="I368" i="13"/>
  <c r="J368" i="13"/>
  <c r="K368" i="13"/>
  <c r="L368" i="13"/>
  <c r="M368" i="13"/>
  <c r="AI368" i="13"/>
  <c r="AJ368" i="13"/>
  <c r="AK368" i="13"/>
  <c r="AL368" i="13"/>
  <c r="AM368" i="13"/>
  <c r="AN368" i="13"/>
  <c r="A369" i="13"/>
  <c r="C369" i="13"/>
  <c r="D369" i="13"/>
  <c r="G369" i="13"/>
  <c r="H369" i="13"/>
  <c r="I369" i="13"/>
  <c r="J369" i="13"/>
  <c r="K369" i="13"/>
  <c r="L369" i="13"/>
  <c r="M369" i="13"/>
  <c r="AI369" i="13"/>
  <c r="AJ369" i="13"/>
  <c r="AN369" i="13" s="1"/>
  <c r="AK369" i="13"/>
  <c r="AL369" i="13"/>
  <c r="AM369" i="13"/>
  <c r="A370" i="13"/>
  <c r="C370" i="13"/>
  <c r="D370" i="13"/>
  <c r="G370" i="13"/>
  <c r="H370" i="13"/>
  <c r="I370" i="13"/>
  <c r="J370" i="13"/>
  <c r="K370" i="13"/>
  <c r="L370" i="13"/>
  <c r="M370" i="13"/>
  <c r="AI370" i="13"/>
  <c r="AJ370" i="13"/>
  <c r="AM370" i="13" s="1"/>
  <c r="AK370" i="13"/>
  <c r="AL370" i="13"/>
  <c r="AN370" i="13"/>
  <c r="A371" i="13"/>
  <c r="C371" i="13"/>
  <c r="D371" i="13"/>
  <c r="G371" i="13"/>
  <c r="H371" i="13"/>
  <c r="I371" i="13"/>
  <c r="J371" i="13"/>
  <c r="K371" i="13"/>
  <c r="L371" i="13"/>
  <c r="M371" i="13"/>
  <c r="AI371" i="13"/>
  <c r="AJ371" i="13"/>
  <c r="AK371" i="13"/>
  <c r="AL371" i="13"/>
  <c r="AM371" i="13"/>
  <c r="AN371" i="13"/>
  <c r="A372" i="13"/>
  <c r="C372" i="13"/>
  <c r="D372" i="13"/>
  <c r="G372" i="13"/>
  <c r="H372" i="13"/>
  <c r="I372" i="13"/>
  <c r="J372" i="13"/>
  <c r="K372" i="13"/>
  <c r="L372" i="13"/>
  <c r="M372" i="13"/>
  <c r="AI372" i="13"/>
  <c r="AJ372" i="13"/>
  <c r="AN372" i="13" s="1"/>
  <c r="AK372" i="13"/>
  <c r="AL372" i="13"/>
  <c r="AM372" i="13"/>
  <c r="A373" i="13"/>
  <c r="C373" i="13"/>
  <c r="D373" i="13"/>
  <c r="G373" i="13"/>
  <c r="H373" i="13"/>
  <c r="I373" i="13"/>
  <c r="J373" i="13"/>
  <c r="K373" i="13"/>
  <c r="L373" i="13"/>
  <c r="M373" i="13"/>
  <c r="AI373" i="13"/>
  <c r="AJ373" i="13"/>
  <c r="AM373" i="13" s="1"/>
  <c r="AK373" i="13"/>
  <c r="AL373" i="13"/>
  <c r="AN373" i="13"/>
  <c r="A374" i="13"/>
  <c r="C374" i="13"/>
  <c r="D374" i="13"/>
  <c r="G374" i="13"/>
  <c r="H374" i="13"/>
  <c r="I374" i="13"/>
  <c r="J374" i="13"/>
  <c r="K374" i="13"/>
  <c r="L374" i="13"/>
  <c r="M374" i="13"/>
  <c r="AI374" i="13"/>
  <c r="AJ374" i="13"/>
  <c r="AK374" i="13"/>
  <c r="AL374" i="13"/>
  <c r="AM374" i="13"/>
  <c r="AN374" i="13"/>
  <c r="A375" i="13"/>
  <c r="C375" i="13"/>
  <c r="D375" i="13"/>
  <c r="G375" i="13"/>
  <c r="H375" i="13"/>
  <c r="I375" i="13"/>
  <c r="J375" i="13"/>
  <c r="K375" i="13"/>
  <c r="L375" i="13"/>
  <c r="M375" i="13"/>
  <c r="AI375" i="13"/>
  <c r="AJ375" i="13"/>
  <c r="AN375" i="13" s="1"/>
  <c r="AK375" i="13"/>
  <c r="AL375" i="13"/>
  <c r="AM375" i="13"/>
  <c r="A376" i="13"/>
  <c r="C376" i="13"/>
  <c r="D376" i="13"/>
  <c r="G376" i="13"/>
  <c r="H376" i="13"/>
  <c r="I376" i="13"/>
  <c r="J376" i="13"/>
  <c r="K376" i="13"/>
  <c r="L376" i="13"/>
  <c r="M376" i="13"/>
  <c r="AI376" i="13"/>
  <c r="AJ376" i="13"/>
  <c r="AM376" i="13" s="1"/>
  <c r="AK376" i="13"/>
  <c r="AL376" i="13"/>
  <c r="AN376" i="13"/>
  <c r="A377" i="13"/>
  <c r="C377" i="13"/>
  <c r="D377" i="13"/>
  <c r="G377" i="13"/>
  <c r="H377" i="13"/>
  <c r="I377" i="13"/>
  <c r="J377" i="13"/>
  <c r="K377" i="13"/>
  <c r="L377" i="13"/>
  <c r="M377" i="13"/>
  <c r="AI377" i="13"/>
  <c r="AJ377" i="13"/>
  <c r="AK377" i="13"/>
  <c r="AL377" i="13"/>
  <c r="AM377" i="13"/>
  <c r="AN377" i="13"/>
  <c r="A378" i="13"/>
  <c r="C378" i="13"/>
  <c r="D378" i="13"/>
  <c r="G378" i="13"/>
  <c r="H378" i="13"/>
  <c r="I378" i="13"/>
  <c r="J378" i="13"/>
  <c r="K378" i="13"/>
  <c r="L378" i="13"/>
  <c r="M378" i="13"/>
  <c r="AI378" i="13"/>
  <c r="AJ378" i="13"/>
  <c r="AN378" i="13" s="1"/>
  <c r="AK378" i="13"/>
  <c r="AL378" i="13"/>
  <c r="AM378" i="13"/>
  <c r="A379" i="13"/>
  <c r="C379" i="13"/>
  <c r="D379" i="13"/>
  <c r="G379" i="13"/>
  <c r="H379" i="13"/>
  <c r="I379" i="13"/>
  <c r="J379" i="13"/>
  <c r="K379" i="13"/>
  <c r="L379" i="13"/>
  <c r="M379" i="13"/>
  <c r="AI379" i="13"/>
  <c r="AJ379" i="13"/>
  <c r="AM379" i="13" s="1"/>
  <c r="AK379" i="13"/>
  <c r="AL379" i="13"/>
  <c r="AN379" i="13"/>
  <c r="A380" i="13"/>
  <c r="C380" i="13"/>
  <c r="D380" i="13"/>
  <c r="G380" i="13"/>
  <c r="H380" i="13"/>
  <c r="I380" i="13"/>
  <c r="J380" i="13"/>
  <c r="K380" i="13"/>
  <c r="L380" i="13"/>
  <c r="M380" i="13"/>
  <c r="AI380" i="13"/>
  <c r="AJ380" i="13"/>
  <c r="AK380" i="13"/>
  <c r="AL380" i="13"/>
  <c r="AM380" i="13"/>
  <c r="AN380" i="13"/>
  <c r="A381" i="13"/>
  <c r="C381" i="13"/>
  <c r="D381" i="13"/>
  <c r="G381" i="13"/>
  <c r="H381" i="13"/>
  <c r="I381" i="13"/>
  <c r="J381" i="13"/>
  <c r="K381" i="13"/>
  <c r="L381" i="13"/>
  <c r="M381" i="13"/>
  <c r="AI381" i="13"/>
  <c r="AJ381" i="13"/>
  <c r="AN381" i="13" s="1"/>
  <c r="AK381" i="13"/>
  <c r="AL381" i="13"/>
  <c r="AM381" i="13"/>
  <c r="A382" i="13"/>
  <c r="C382" i="13"/>
  <c r="D382" i="13"/>
  <c r="G382" i="13"/>
  <c r="H382" i="13"/>
  <c r="I382" i="13"/>
  <c r="J382" i="13"/>
  <c r="K382" i="13"/>
  <c r="L382" i="13"/>
  <c r="M382" i="13"/>
  <c r="AI382" i="13"/>
  <c r="AJ382" i="13"/>
  <c r="AM382" i="13" s="1"/>
  <c r="AK382" i="13"/>
  <c r="AL382" i="13"/>
  <c r="AN382" i="13"/>
  <c r="A383" i="13"/>
  <c r="C383" i="13"/>
  <c r="D383" i="13"/>
  <c r="G383" i="13"/>
  <c r="H383" i="13"/>
  <c r="I383" i="13"/>
  <c r="J383" i="13"/>
  <c r="K383" i="13"/>
  <c r="L383" i="13"/>
  <c r="M383" i="13"/>
  <c r="AI383" i="13"/>
  <c r="AJ383" i="13"/>
  <c r="AK383" i="13"/>
  <c r="AL383" i="13"/>
  <c r="AM383" i="13"/>
  <c r="AN383" i="13"/>
  <c r="A384" i="13"/>
  <c r="C384" i="13"/>
  <c r="D384" i="13"/>
  <c r="G384" i="13"/>
  <c r="H384" i="13"/>
  <c r="I384" i="13"/>
  <c r="J384" i="13"/>
  <c r="K384" i="13"/>
  <c r="L384" i="13"/>
  <c r="M384" i="13"/>
  <c r="AI384" i="13"/>
  <c r="AJ384" i="13"/>
  <c r="AN384" i="13" s="1"/>
  <c r="AK384" i="13"/>
  <c r="AL384" i="13"/>
  <c r="AM384" i="13"/>
  <c r="A385" i="13"/>
  <c r="C385" i="13"/>
  <c r="D385" i="13"/>
  <c r="G385" i="13"/>
  <c r="H385" i="13"/>
  <c r="I385" i="13"/>
  <c r="J385" i="13"/>
  <c r="K385" i="13"/>
  <c r="L385" i="13"/>
  <c r="M385" i="13"/>
  <c r="AI385" i="13"/>
  <c r="AJ385" i="13"/>
  <c r="AM385" i="13" s="1"/>
  <c r="AK385" i="13"/>
  <c r="AL385" i="13"/>
  <c r="AN385" i="13"/>
  <c r="A386" i="13"/>
  <c r="C386" i="13"/>
  <c r="D386" i="13"/>
  <c r="G386" i="13"/>
  <c r="H386" i="13"/>
  <c r="I386" i="13"/>
  <c r="J386" i="13"/>
  <c r="K386" i="13"/>
  <c r="L386" i="13"/>
  <c r="M386" i="13"/>
  <c r="AI386" i="13"/>
  <c r="AJ386" i="13"/>
  <c r="AK386" i="13"/>
  <c r="AL386" i="13"/>
  <c r="AM386" i="13"/>
  <c r="AN386" i="13"/>
  <c r="A387" i="13"/>
  <c r="C387" i="13"/>
  <c r="D387" i="13"/>
  <c r="G387" i="13"/>
  <c r="H387" i="13"/>
  <c r="I387" i="13"/>
  <c r="J387" i="13"/>
  <c r="K387" i="13"/>
  <c r="L387" i="13"/>
  <c r="M387" i="13"/>
  <c r="AI387" i="13"/>
  <c r="AJ387" i="13"/>
  <c r="AN387" i="13" s="1"/>
  <c r="AK387" i="13"/>
  <c r="AL387" i="13"/>
  <c r="AM387" i="13"/>
  <c r="A388" i="13"/>
  <c r="C388" i="13"/>
  <c r="D388" i="13"/>
  <c r="G388" i="13"/>
  <c r="H388" i="13"/>
  <c r="I388" i="13"/>
  <c r="J388" i="13"/>
  <c r="K388" i="13"/>
  <c r="L388" i="13"/>
  <c r="M388" i="13"/>
  <c r="AI388" i="13"/>
  <c r="AJ388" i="13"/>
  <c r="AM388" i="13" s="1"/>
  <c r="AK388" i="13"/>
  <c r="AL388" i="13"/>
  <c r="AN388" i="13"/>
  <c r="A389" i="13"/>
  <c r="C389" i="13"/>
  <c r="D389" i="13"/>
  <c r="G389" i="13"/>
  <c r="H389" i="13"/>
  <c r="I389" i="13"/>
  <c r="J389" i="13"/>
  <c r="K389" i="13"/>
  <c r="L389" i="13"/>
  <c r="M389" i="13"/>
  <c r="AI389" i="13"/>
  <c r="AJ389" i="13"/>
  <c r="AK389" i="13"/>
  <c r="AL389" i="13"/>
  <c r="AM389" i="13"/>
  <c r="AN389" i="13"/>
  <c r="A390" i="13"/>
  <c r="C390" i="13"/>
  <c r="D390" i="13"/>
  <c r="G390" i="13"/>
  <c r="H390" i="13"/>
  <c r="I390" i="13"/>
  <c r="J390" i="13"/>
  <c r="K390" i="13"/>
  <c r="L390" i="13"/>
  <c r="M390" i="13"/>
  <c r="AI390" i="13"/>
  <c r="AJ390" i="13"/>
  <c r="AK390" i="13"/>
  <c r="AL390" i="13"/>
  <c r="A391" i="13"/>
  <c r="C391" i="13"/>
  <c r="D391" i="13"/>
  <c r="G391" i="13"/>
  <c r="H391" i="13"/>
  <c r="I391" i="13"/>
  <c r="J391" i="13"/>
  <c r="K391" i="13"/>
  <c r="L391" i="13"/>
  <c r="M391" i="13"/>
  <c r="AI391" i="13"/>
  <c r="AJ391" i="13"/>
  <c r="AM391" i="13" s="1"/>
  <c r="AK391" i="13"/>
  <c r="AL391" i="13"/>
  <c r="AN391" i="13"/>
  <c r="A392" i="13"/>
  <c r="C392" i="13"/>
  <c r="D392" i="13"/>
  <c r="G392" i="13"/>
  <c r="H392" i="13"/>
  <c r="I392" i="13"/>
  <c r="J392" i="13"/>
  <c r="K392" i="13"/>
  <c r="L392" i="13"/>
  <c r="M392" i="13"/>
  <c r="AI392" i="13"/>
  <c r="AJ392" i="13"/>
  <c r="AK392" i="13"/>
  <c r="AL392" i="13"/>
  <c r="AM392" i="13"/>
  <c r="AN392" i="13"/>
  <c r="A393" i="13"/>
  <c r="C393" i="13"/>
  <c r="D393" i="13"/>
  <c r="G393" i="13"/>
  <c r="H393" i="13"/>
  <c r="I393" i="13"/>
  <c r="J393" i="13"/>
  <c r="K393" i="13"/>
  <c r="L393" i="13"/>
  <c r="M393" i="13"/>
  <c r="AI393" i="13"/>
  <c r="AJ393" i="13"/>
  <c r="AN393" i="13" s="1"/>
  <c r="AK393" i="13"/>
  <c r="AL393" i="13"/>
  <c r="A394" i="13"/>
  <c r="C394" i="13"/>
  <c r="D394" i="13"/>
  <c r="G394" i="13"/>
  <c r="H394" i="13"/>
  <c r="I394" i="13"/>
  <c r="J394" i="13"/>
  <c r="K394" i="13"/>
  <c r="L394" i="13"/>
  <c r="M394" i="13"/>
  <c r="AI394" i="13"/>
  <c r="AJ394" i="13"/>
  <c r="AM394" i="13" s="1"/>
  <c r="AK394" i="13"/>
  <c r="AL394" i="13"/>
  <c r="AN394" i="13"/>
  <c r="A395" i="13"/>
  <c r="C395" i="13"/>
  <c r="D395" i="13"/>
  <c r="G395" i="13"/>
  <c r="H395" i="13"/>
  <c r="I395" i="13"/>
  <c r="J395" i="13"/>
  <c r="K395" i="13"/>
  <c r="L395" i="13"/>
  <c r="M395" i="13"/>
  <c r="AI395" i="13"/>
  <c r="AJ395" i="13"/>
  <c r="AK395" i="13"/>
  <c r="AL395" i="13"/>
  <c r="AM395" i="13"/>
  <c r="AN395" i="13"/>
  <c r="A396" i="13"/>
  <c r="C396" i="13"/>
  <c r="D396" i="13"/>
  <c r="G396" i="13"/>
  <c r="H396" i="13"/>
  <c r="I396" i="13"/>
  <c r="J396" i="13"/>
  <c r="K396" i="13"/>
  <c r="L396" i="13"/>
  <c r="M396" i="13"/>
  <c r="AI396" i="13"/>
  <c r="AJ396" i="13"/>
  <c r="AN396" i="13" s="1"/>
  <c r="AK396" i="13"/>
  <c r="AL396" i="13"/>
  <c r="A397" i="13"/>
  <c r="C397" i="13"/>
  <c r="D397" i="13"/>
  <c r="G397" i="13"/>
  <c r="H397" i="13"/>
  <c r="I397" i="13"/>
  <c r="J397" i="13"/>
  <c r="K397" i="13"/>
  <c r="L397" i="13"/>
  <c r="M397" i="13"/>
  <c r="AI397" i="13"/>
  <c r="AJ397" i="13"/>
  <c r="AM397" i="13" s="1"/>
  <c r="AK397" i="13"/>
  <c r="AL397" i="13"/>
  <c r="AN397" i="13"/>
  <c r="A398" i="13"/>
  <c r="C398" i="13"/>
  <c r="D398" i="13"/>
  <c r="G398" i="13"/>
  <c r="H398" i="13"/>
  <c r="I398" i="13"/>
  <c r="J398" i="13"/>
  <c r="K398" i="13"/>
  <c r="L398" i="13"/>
  <c r="M398" i="13"/>
  <c r="AI398" i="13"/>
  <c r="AJ398" i="13"/>
  <c r="AK398" i="13"/>
  <c r="AL398" i="13"/>
  <c r="AM398" i="13"/>
  <c r="AN398" i="13"/>
  <c r="A399" i="13"/>
  <c r="C399" i="13"/>
  <c r="D399" i="13"/>
  <c r="G399" i="13"/>
  <c r="H399" i="13"/>
  <c r="I399" i="13"/>
  <c r="J399" i="13"/>
  <c r="K399" i="13"/>
  <c r="L399" i="13"/>
  <c r="M399" i="13"/>
  <c r="AI399" i="13"/>
  <c r="AJ399" i="13"/>
  <c r="AN399" i="13" s="1"/>
  <c r="AK399" i="13"/>
  <c r="AL399" i="13"/>
  <c r="A400" i="13"/>
  <c r="C400" i="13"/>
  <c r="D400" i="13"/>
  <c r="G400" i="13"/>
  <c r="H400" i="13"/>
  <c r="I400" i="13"/>
  <c r="J400" i="13"/>
  <c r="K400" i="13"/>
  <c r="L400" i="13"/>
  <c r="M400" i="13"/>
  <c r="AI400" i="13"/>
  <c r="AJ400" i="13"/>
  <c r="AM400" i="13" s="1"/>
  <c r="AK400" i="13"/>
  <c r="AL400" i="13"/>
  <c r="AN400" i="13"/>
  <c r="A401" i="13"/>
  <c r="C401" i="13"/>
  <c r="D401" i="13"/>
  <c r="G401" i="13"/>
  <c r="H401" i="13"/>
  <c r="I401" i="13"/>
  <c r="J401" i="13"/>
  <c r="K401" i="13"/>
  <c r="L401" i="13"/>
  <c r="M401" i="13"/>
  <c r="AI401" i="13"/>
  <c r="AJ401" i="13"/>
  <c r="AK401" i="13"/>
  <c r="AL401" i="13"/>
  <c r="AM401" i="13"/>
  <c r="AN401" i="13"/>
  <c r="A402" i="13"/>
  <c r="C402" i="13"/>
  <c r="D402" i="13"/>
  <c r="G402" i="13"/>
  <c r="H402" i="13"/>
  <c r="I402" i="13"/>
  <c r="J402" i="13"/>
  <c r="K402" i="13"/>
  <c r="L402" i="13"/>
  <c r="M402" i="13"/>
  <c r="AI402" i="13"/>
  <c r="AJ402" i="13"/>
  <c r="AN402" i="13" s="1"/>
  <c r="AK402" i="13"/>
  <c r="AL402" i="13"/>
  <c r="AM402" i="13"/>
  <c r="A403" i="13"/>
  <c r="C403" i="13"/>
  <c r="D403" i="13"/>
  <c r="G403" i="13"/>
  <c r="H403" i="13"/>
  <c r="I403" i="13"/>
  <c r="J403" i="13"/>
  <c r="K403" i="13"/>
  <c r="L403" i="13"/>
  <c r="M403" i="13"/>
  <c r="AI403" i="13"/>
  <c r="AJ403" i="13"/>
  <c r="AM403" i="13" s="1"/>
  <c r="AK403" i="13"/>
  <c r="AL403" i="13"/>
  <c r="AN403" i="13"/>
  <c r="A404" i="13"/>
  <c r="C404" i="13"/>
  <c r="D404" i="13"/>
  <c r="G404" i="13"/>
  <c r="H404" i="13"/>
  <c r="I404" i="13"/>
  <c r="J404" i="13"/>
  <c r="K404" i="13"/>
  <c r="L404" i="13"/>
  <c r="M404" i="13"/>
  <c r="AI404" i="13"/>
  <c r="AJ404" i="13"/>
  <c r="AK404" i="13"/>
  <c r="AL404" i="13"/>
  <c r="AM404" i="13"/>
  <c r="AN404" i="13"/>
  <c r="A405" i="13"/>
  <c r="C405" i="13"/>
  <c r="D405" i="13"/>
  <c r="G405" i="13"/>
  <c r="H405" i="13"/>
  <c r="I405" i="13"/>
  <c r="J405" i="13"/>
  <c r="K405" i="13"/>
  <c r="L405" i="13"/>
  <c r="M405" i="13"/>
  <c r="AI405" i="13"/>
  <c r="AJ405" i="13"/>
  <c r="AN405" i="13" s="1"/>
  <c r="AK405" i="13"/>
  <c r="AL405" i="13"/>
  <c r="A406" i="13"/>
  <c r="C406" i="13"/>
  <c r="D406" i="13"/>
  <c r="G406" i="13"/>
  <c r="H406" i="13"/>
  <c r="I406" i="13"/>
  <c r="J406" i="13"/>
  <c r="K406" i="13"/>
  <c r="L406" i="13"/>
  <c r="M406" i="13"/>
  <c r="AI406" i="13"/>
  <c r="AJ406" i="13"/>
  <c r="AM406" i="13" s="1"/>
  <c r="AK406" i="13"/>
  <c r="AL406" i="13"/>
  <c r="AN406" i="13"/>
  <c r="A407" i="13"/>
  <c r="C407" i="13"/>
  <c r="D407" i="13"/>
  <c r="G407" i="13"/>
  <c r="H407" i="13"/>
  <c r="I407" i="13"/>
  <c r="J407" i="13"/>
  <c r="K407" i="13"/>
  <c r="L407" i="13"/>
  <c r="M407" i="13"/>
  <c r="AI407" i="13"/>
  <c r="AJ407" i="13"/>
  <c r="AK407" i="13"/>
  <c r="AL407" i="13"/>
  <c r="AM407" i="13"/>
  <c r="AN407" i="13"/>
  <c r="A408" i="13"/>
  <c r="C408" i="13"/>
  <c r="D408" i="13"/>
  <c r="G408" i="13"/>
  <c r="H408" i="13"/>
  <c r="I408" i="13"/>
  <c r="J408" i="13"/>
  <c r="K408" i="13"/>
  <c r="L408" i="13"/>
  <c r="M408" i="13"/>
  <c r="AI408" i="13"/>
  <c r="AJ408" i="13"/>
  <c r="AK408" i="13"/>
  <c r="AL408" i="13"/>
  <c r="A409" i="13"/>
  <c r="C409" i="13"/>
  <c r="D409" i="13"/>
  <c r="G409" i="13"/>
  <c r="H409" i="13"/>
  <c r="I409" i="13"/>
  <c r="J409" i="13"/>
  <c r="K409" i="13"/>
  <c r="L409" i="13"/>
  <c r="M409" i="13"/>
  <c r="AI409" i="13"/>
  <c r="AJ409" i="13"/>
  <c r="AM409" i="13" s="1"/>
  <c r="AK409" i="13"/>
  <c r="AL409" i="13"/>
  <c r="AN409" i="13"/>
  <c r="A410" i="13"/>
  <c r="C410" i="13"/>
  <c r="D410" i="13"/>
  <c r="G410" i="13"/>
  <c r="H410" i="13"/>
  <c r="I410" i="13"/>
  <c r="J410" i="13"/>
  <c r="K410" i="13"/>
  <c r="L410" i="13"/>
  <c r="M410" i="13"/>
  <c r="AI410" i="13"/>
  <c r="AJ410" i="13"/>
  <c r="AK410" i="13"/>
  <c r="AL410" i="13"/>
  <c r="AM410" i="13"/>
  <c r="AN410" i="13"/>
  <c r="A411" i="13"/>
  <c r="C411" i="13"/>
  <c r="D411" i="13"/>
  <c r="G411" i="13"/>
  <c r="H411" i="13"/>
  <c r="I411" i="13"/>
  <c r="J411" i="13"/>
  <c r="K411" i="13"/>
  <c r="L411" i="13"/>
  <c r="M411" i="13"/>
  <c r="AI411" i="13"/>
  <c r="AJ411" i="13"/>
  <c r="AN411" i="13" s="1"/>
  <c r="AK411" i="13"/>
  <c r="AL411" i="13"/>
  <c r="A412" i="13"/>
  <c r="C412" i="13"/>
  <c r="D412" i="13"/>
  <c r="G412" i="13"/>
  <c r="H412" i="13"/>
  <c r="I412" i="13"/>
  <c r="J412" i="13"/>
  <c r="K412" i="13"/>
  <c r="L412" i="13"/>
  <c r="M412" i="13"/>
  <c r="AI412" i="13"/>
  <c r="AJ412" i="13"/>
  <c r="AM412" i="13" s="1"/>
  <c r="AK412" i="13"/>
  <c r="AL412" i="13"/>
  <c r="AN412" i="13"/>
  <c r="A413" i="13"/>
  <c r="C413" i="13"/>
  <c r="D413" i="13"/>
  <c r="G413" i="13"/>
  <c r="H413" i="13"/>
  <c r="I413" i="13"/>
  <c r="J413" i="13"/>
  <c r="K413" i="13"/>
  <c r="L413" i="13"/>
  <c r="M413" i="13"/>
  <c r="AI413" i="13"/>
  <c r="AJ413" i="13"/>
  <c r="AK413" i="13"/>
  <c r="AL413" i="13"/>
  <c r="AM413" i="13"/>
  <c r="AN413" i="13"/>
  <c r="A414" i="13"/>
  <c r="C414" i="13"/>
  <c r="D414" i="13"/>
  <c r="G414" i="13"/>
  <c r="H414" i="13"/>
  <c r="I414" i="13"/>
  <c r="J414" i="13"/>
  <c r="K414" i="13"/>
  <c r="L414" i="13"/>
  <c r="M414" i="13"/>
  <c r="AI414" i="13"/>
  <c r="AJ414" i="13"/>
  <c r="AN414" i="13" s="1"/>
  <c r="AK414" i="13"/>
  <c r="AL414" i="13"/>
  <c r="A415" i="13"/>
  <c r="C415" i="13"/>
  <c r="D415" i="13"/>
  <c r="G415" i="13"/>
  <c r="H415" i="13"/>
  <c r="I415" i="13"/>
  <c r="J415" i="13"/>
  <c r="K415" i="13"/>
  <c r="L415" i="13"/>
  <c r="M415" i="13"/>
  <c r="AI415" i="13"/>
  <c r="AJ415" i="13"/>
  <c r="AM415" i="13" s="1"/>
  <c r="AK415" i="13"/>
  <c r="AL415" i="13"/>
  <c r="AN415" i="13"/>
  <c r="A416" i="13"/>
  <c r="C416" i="13"/>
  <c r="D416" i="13"/>
  <c r="G416" i="13"/>
  <c r="H416" i="13"/>
  <c r="I416" i="13"/>
  <c r="J416" i="13"/>
  <c r="K416" i="13"/>
  <c r="L416" i="13"/>
  <c r="M416" i="13"/>
  <c r="AI416" i="13"/>
  <c r="AJ416" i="13"/>
  <c r="AM416" i="13" s="1"/>
  <c r="AK416" i="13"/>
  <c r="AL416" i="13"/>
  <c r="A417" i="13"/>
  <c r="C417" i="13"/>
  <c r="D417" i="13"/>
  <c r="G417" i="13"/>
  <c r="H417" i="13"/>
  <c r="I417" i="13"/>
  <c r="J417" i="13"/>
  <c r="K417" i="13"/>
  <c r="L417" i="13"/>
  <c r="M417" i="13"/>
  <c r="AI417" i="13"/>
  <c r="AJ417" i="13"/>
  <c r="AN417" i="13" s="1"/>
  <c r="AK417" i="13"/>
  <c r="AL417" i="13"/>
  <c r="A418" i="13"/>
  <c r="C418" i="13"/>
  <c r="D418" i="13"/>
  <c r="G418" i="13"/>
  <c r="H418" i="13"/>
  <c r="I418" i="13"/>
  <c r="J418" i="13"/>
  <c r="K418" i="13"/>
  <c r="L418" i="13"/>
  <c r="M418" i="13"/>
  <c r="AI418" i="13"/>
  <c r="AJ418" i="13"/>
  <c r="AM418" i="13" s="1"/>
  <c r="AK418" i="13"/>
  <c r="AL418" i="13"/>
  <c r="AN418" i="13"/>
  <c r="A419" i="13"/>
  <c r="C419" i="13"/>
  <c r="D419" i="13"/>
  <c r="G419" i="13"/>
  <c r="H419" i="13"/>
  <c r="I419" i="13"/>
  <c r="J419" i="13"/>
  <c r="K419" i="13"/>
  <c r="L419" i="13"/>
  <c r="M419" i="13"/>
  <c r="AI419" i="13"/>
  <c r="AJ419" i="13"/>
  <c r="AK419" i="13"/>
  <c r="AL419" i="13"/>
  <c r="A420" i="13"/>
  <c r="C420" i="13"/>
  <c r="D420" i="13"/>
  <c r="G420" i="13"/>
  <c r="H420" i="13"/>
  <c r="I420" i="13"/>
  <c r="J420" i="13"/>
  <c r="K420" i="13"/>
  <c r="L420" i="13"/>
  <c r="M420" i="13"/>
  <c r="AI420" i="13"/>
  <c r="AJ420" i="13"/>
  <c r="AN420" i="13" s="1"/>
  <c r="AK420" i="13"/>
  <c r="AL420" i="13"/>
  <c r="AM420" i="13"/>
  <c r="A421" i="13"/>
  <c r="C421" i="13"/>
  <c r="D421" i="13"/>
  <c r="G421" i="13"/>
  <c r="H421" i="13"/>
  <c r="I421" i="13"/>
  <c r="J421" i="13"/>
  <c r="K421" i="13"/>
  <c r="L421" i="13"/>
  <c r="M421" i="13"/>
  <c r="AI421" i="13"/>
  <c r="AJ421" i="13"/>
  <c r="AM421" i="13" s="1"/>
  <c r="AK421" i="13"/>
  <c r="AL421" i="13"/>
  <c r="AN421" i="13"/>
  <c r="A422" i="13"/>
  <c r="C422" i="13"/>
  <c r="D422" i="13"/>
  <c r="G422" i="13"/>
  <c r="H422" i="13"/>
  <c r="I422" i="13"/>
  <c r="J422" i="13"/>
  <c r="K422" i="13"/>
  <c r="L422" i="13"/>
  <c r="M422" i="13"/>
  <c r="AI422" i="13"/>
  <c r="AJ422" i="13"/>
  <c r="AM422" i="13" s="1"/>
  <c r="AK422" i="13"/>
  <c r="AL422" i="13"/>
  <c r="A423" i="13"/>
  <c r="C423" i="13"/>
  <c r="D423" i="13"/>
  <c r="G423" i="13"/>
  <c r="H423" i="13"/>
  <c r="I423" i="13"/>
  <c r="J423" i="13"/>
  <c r="K423" i="13"/>
  <c r="L423" i="13"/>
  <c r="M423" i="13"/>
  <c r="AI423" i="13"/>
  <c r="AJ423" i="13"/>
  <c r="AN423" i="13" s="1"/>
  <c r="AK423" i="13"/>
  <c r="AL423" i="13"/>
  <c r="A424" i="13"/>
  <c r="C424" i="13"/>
  <c r="D424" i="13"/>
  <c r="G424" i="13"/>
  <c r="H424" i="13"/>
  <c r="I424" i="13"/>
  <c r="J424" i="13"/>
  <c r="K424" i="13"/>
  <c r="L424" i="13"/>
  <c r="M424" i="13"/>
  <c r="AI424" i="13"/>
  <c r="AJ424" i="13"/>
  <c r="AM424" i="13" s="1"/>
  <c r="AK424" i="13"/>
  <c r="AL424" i="13"/>
  <c r="AN424" i="13"/>
  <c r="A425" i="13"/>
  <c r="C425" i="13"/>
  <c r="D425" i="13"/>
  <c r="G425" i="13"/>
  <c r="H425" i="13"/>
  <c r="I425" i="13"/>
  <c r="J425" i="13"/>
  <c r="K425" i="13"/>
  <c r="L425" i="13"/>
  <c r="M425" i="13"/>
  <c r="AI425" i="13"/>
  <c r="AJ425" i="13"/>
  <c r="AM425" i="13" s="1"/>
  <c r="AK425" i="13"/>
  <c r="AL425" i="13"/>
  <c r="AN425" i="13"/>
  <c r="A426" i="13"/>
  <c r="C426" i="13"/>
  <c r="D426" i="13"/>
  <c r="G426" i="13"/>
  <c r="H426" i="13"/>
  <c r="I426" i="13"/>
  <c r="J426" i="13"/>
  <c r="K426" i="13"/>
  <c r="L426" i="13"/>
  <c r="M426" i="13"/>
  <c r="AI426" i="13"/>
  <c r="AJ426" i="13"/>
  <c r="AK426" i="13"/>
  <c r="AL426" i="13"/>
  <c r="A427" i="13"/>
  <c r="C427" i="13"/>
  <c r="D427" i="13"/>
  <c r="G427" i="13"/>
  <c r="H427" i="13"/>
  <c r="I427" i="13"/>
  <c r="J427" i="13"/>
  <c r="K427" i="13"/>
  <c r="L427" i="13"/>
  <c r="M427" i="13"/>
  <c r="AI427" i="13"/>
  <c r="AJ427" i="13"/>
  <c r="AM427" i="13" s="1"/>
  <c r="AK427" i="13"/>
  <c r="AL427" i="13"/>
  <c r="AN427" i="13"/>
  <c r="A428" i="13"/>
  <c r="C428" i="13"/>
  <c r="D428" i="13"/>
  <c r="G428" i="13"/>
  <c r="H428" i="13"/>
  <c r="I428" i="13"/>
  <c r="J428" i="13"/>
  <c r="K428" i="13"/>
  <c r="L428" i="13"/>
  <c r="M428" i="13"/>
  <c r="AI428" i="13"/>
  <c r="AJ428" i="13"/>
  <c r="AM428" i="13" s="1"/>
  <c r="AK428" i="13"/>
  <c r="AL428" i="13"/>
  <c r="AN428" i="13"/>
  <c r="A429" i="13"/>
  <c r="C429" i="13"/>
  <c r="D429" i="13"/>
  <c r="G429" i="13"/>
  <c r="H429" i="13"/>
  <c r="I429" i="13"/>
  <c r="J429" i="13"/>
  <c r="K429" i="13"/>
  <c r="L429" i="13"/>
  <c r="M429" i="13"/>
  <c r="AI429" i="13"/>
  <c r="AJ429" i="13"/>
  <c r="AN429" i="13" s="1"/>
  <c r="AK429" i="13"/>
  <c r="AL429" i="13"/>
  <c r="A430" i="13"/>
  <c r="C430" i="13"/>
  <c r="D430" i="13"/>
  <c r="G430" i="13"/>
  <c r="H430" i="13"/>
  <c r="I430" i="13"/>
  <c r="J430" i="13"/>
  <c r="K430" i="13"/>
  <c r="L430" i="13"/>
  <c r="M430" i="13"/>
  <c r="AI430" i="13"/>
  <c r="AJ430" i="13"/>
  <c r="AM430" i="13" s="1"/>
  <c r="AK430" i="13"/>
  <c r="AL430" i="13"/>
  <c r="AN430" i="13"/>
  <c r="A431" i="13"/>
  <c r="C431" i="13"/>
  <c r="D431" i="13"/>
  <c r="G431" i="13"/>
  <c r="H431" i="13"/>
  <c r="I431" i="13"/>
  <c r="J431" i="13"/>
  <c r="K431" i="13"/>
  <c r="L431" i="13"/>
  <c r="M431" i="13"/>
  <c r="AI431" i="13"/>
  <c r="AJ431" i="13"/>
  <c r="AK431" i="13"/>
  <c r="AL431" i="13"/>
  <c r="AM431" i="13"/>
  <c r="AN431" i="13"/>
  <c r="A432" i="13"/>
  <c r="C432" i="13"/>
  <c r="D432" i="13"/>
  <c r="G432" i="13"/>
  <c r="H432" i="13"/>
  <c r="I432" i="13"/>
  <c r="J432" i="13"/>
  <c r="K432" i="13"/>
  <c r="L432" i="13"/>
  <c r="M432" i="13"/>
  <c r="AI432" i="13"/>
  <c r="AJ432" i="13"/>
  <c r="AN432" i="13" s="1"/>
  <c r="AK432" i="13"/>
  <c r="AL432" i="13"/>
  <c r="A433" i="13"/>
  <c r="C433" i="13"/>
  <c r="D433" i="13"/>
  <c r="G433" i="13"/>
  <c r="H433" i="13"/>
  <c r="I433" i="13"/>
  <c r="J433" i="13"/>
  <c r="K433" i="13"/>
  <c r="L433" i="13"/>
  <c r="M433" i="13"/>
  <c r="AI433" i="13"/>
  <c r="AJ433" i="13"/>
  <c r="AM433" i="13" s="1"/>
  <c r="AK433" i="13"/>
  <c r="AL433" i="13"/>
  <c r="AN433" i="13"/>
  <c r="A434" i="13"/>
  <c r="C434" i="13"/>
  <c r="D434" i="13"/>
  <c r="G434" i="13"/>
  <c r="H434" i="13"/>
  <c r="I434" i="13"/>
  <c r="J434" i="13"/>
  <c r="K434" i="13"/>
  <c r="L434" i="13"/>
  <c r="M434" i="13"/>
  <c r="AI434" i="13"/>
  <c r="AJ434" i="13"/>
  <c r="AM434" i="13" s="1"/>
  <c r="AK434" i="13"/>
  <c r="AL434" i="13"/>
  <c r="A435" i="13"/>
  <c r="C435" i="13"/>
  <c r="D435" i="13"/>
  <c r="G435" i="13"/>
  <c r="H435" i="13"/>
  <c r="I435" i="13"/>
  <c r="J435" i="13"/>
  <c r="K435" i="13"/>
  <c r="L435" i="13"/>
  <c r="M435" i="13"/>
  <c r="AI435" i="13"/>
  <c r="AJ435" i="13"/>
  <c r="AN435" i="13" s="1"/>
  <c r="AK435" i="13"/>
  <c r="AL435" i="13"/>
  <c r="A436" i="13"/>
  <c r="C436" i="13"/>
  <c r="D436" i="13"/>
  <c r="G436" i="13"/>
  <c r="H436" i="13"/>
  <c r="I436" i="13"/>
  <c r="J436" i="13"/>
  <c r="K436" i="13"/>
  <c r="L436" i="13"/>
  <c r="M436" i="13"/>
  <c r="AI436" i="13"/>
  <c r="AJ436" i="13"/>
  <c r="AM436" i="13" s="1"/>
  <c r="AK436" i="13"/>
  <c r="AL436" i="13"/>
  <c r="AN436" i="13"/>
  <c r="A437" i="13"/>
  <c r="C437" i="13"/>
  <c r="D437" i="13"/>
  <c r="G437" i="13"/>
  <c r="H437" i="13"/>
  <c r="I437" i="13"/>
  <c r="J437" i="13"/>
  <c r="K437" i="13"/>
  <c r="L437" i="13"/>
  <c r="M437" i="13"/>
  <c r="AI437" i="13"/>
  <c r="AJ437" i="13"/>
  <c r="AK437" i="13"/>
  <c r="AL437" i="13"/>
  <c r="A438" i="13"/>
  <c r="C438" i="13"/>
  <c r="D438" i="13"/>
  <c r="G438" i="13"/>
  <c r="H438" i="13"/>
  <c r="I438" i="13"/>
  <c r="J438" i="13"/>
  <c r="K438" i="13"/>
  <c r="L438" i="13"/>
  <c r="M438" i="13"/>
  <c r="AI438" i="13"/>
  <c r="AJ438" i="13"/>
  <c r="AN438" i="13" s="1"/>
  <c r="AK438" i="13"/>
  <c r="AL438" i="13"/>
  <c r="AM438" i="13"/>
  <c r="A439" i="13"/>
  <c r="C439" i="13"/>
  <c r="D439" i="13"/>
  <c r="G439" i="13"/>
  <c r="H439" i="13"/>
  <c r="I439" i="13"/>
  <c r="J439" i="13"/>
  <c r="K439" i="13"/>
  <c r="L439" i="13"/>
  <c r="M439" i="13"/>
  <c r="AI439" i="13"/>
  <c r="AJ439" i="13"/>
  <c r="AM439" i="13" s="1"/>
  <c r="AK439" i="13"/>
  <c r="AL439" i="13"/>
  <c r="AN439" i="13"/>
  <c r="A440" i="13"/>
  <c r="C440" i="13"/>
  <c r="D440" i="13"/>
  <c r="G440" i="13"/>
  <c r="H440" i="13"/>
  <c r="I440" i="13"/>
  <c r="J440" i="13"/>
  <c r="K440" i="13"/>
  <c r="L440" i="13"/>
  <c r="M440" i="13"/>
  <c r="AI440" i="13"/>
  <c r="AJ440" i="13"/>
  <c r="AM440" i="13" s="1"/>
  <c r="AK440" i="13"/>
  <c r="AL440" i="13"/>
  <c r="A441" i="13"/>
  <c r="C441" i="13"/>
  <c r="D441" i="13"/>
  <c r="G441" i="13"/>
  <c r="H441" i="13"/>
  <c r="I441" i="13"/>
  <c r="J441" i="13"/>
  <c r="K441" i="13"/>
  <c r="L441" i="13"/>
  <c r="M441" i="13"/>
  <c r="AI441" i="13"/>
  <c r="AJ441" i="13"/>
  <c r="AN441" i="13" s="1"/>
  <c r="AK441" i="13"/>
  <c r="AL441" i="13"/>
  <c r="A442" i="13"/>
  <c r="C442" i="13"/>
  <c r="D442" i="13"/>
  <c r="G442" i="13"/>
  <c r="H442" i="13"/>
  <c r="I442" i="13"/>
  <c r="J442" i="13"/>
  <c r="K442" i="13"/>
  <c r="L442" i="13"/>
  <c r="M442" i="13"/>
  <c r="AI442" i="13"/>
  <c r="AJ442" i="13"/>
  <c r="AM442" i="13" s="1"/>
  <c r="AK442" i="13"/>
  <c r="AL442" i="13"/>
  <c r="AN442" i="13"/>
  <c r="A443" i="13"/>
  <c r="C443" i="13"/>
  <c r="D443" i="13"/>
  <c r="G443" i="13"/>
  <c r="H443" i="13"/>
  <c r="I443" i="13"/>
  <c r="J443" i="13"/>
  <c r="K443" i="13"/>
  <c r="L443" i="13"/>
  <c r="M443" i="13"/>
  <c r="AI443" i="13"/>
  <c r="AJ443" i="13"/>
  <c r="AM443" i="13" s="1"/>
  <c r="AK443" i="13"/>
  <c r="AL443" i="13"/>
  <c r="AN443" i="13"/>
  <c r="A444" i="13"/>
  <c r="C444" i="13"/>
  <c r="D444" i="13"/>
  <c r="G444" i="13"/>
  <c r="H444" i="13"/>
  <c r="I444" i="13"/>
  <c r="J444" i="13"/>
  <c r="K444" i="13"/>
  <c r="L444" i="13"/>
  <c r="M444" i="13"/>
  <c r="AI444" i="13"/>
  <c r="AJ444" i="13"/>
  <c r="AK444" i="13"/>
  <c r="AL444" i="13"/>
  <c r="A445" i="13"/>
  <c r="C445" i="13"/>
  <c r="D445" i="13"/>
  <c r="G445" i="13"/>
  <c r="H445" i="13"/>
  <c r="I445" i="13"/>
  <c r="J445" i="13"/>
  <c r="K445" i="13"/>
  <c r="L445" i="13"/>
  <c r="M445" i="13"/>
  <c r="AI445" i="13"/>
  <c r="AJ445" i="13"/>
  <c r="AM445" i="13" s="1"/>
  <c r="AK445" i="13"/>
  <c r="AL445" i="13"/>
  <c r="AN445" i="13"/>
  <c r="A446" i="13"/>
  <c r="C446" i="13"/>
  <c r="D446" i="13"/>
  <c r="G446" i="13"/>
  <c r="H446" i="13"/>
  <c r="I446" i="13"/>
  <c r="J446" i="13"/>
  <c r="K446" i="13"/>
  <c r="L446" i="13"/>
  <c r="M446" i="13"/>
  <c r="AI446" i="13"/>
  <c r="AJ446" i="13"/>
  <c r="AM446" i="13" s="1"/>
  <c r="AK446" i="13"/>
  <c r="AL446" i="13"/>
  <c r="AN446" i="13"/>
  <c r="A447" i="13"/>
  <c r="C447" i="13"/>
  <c r="D447" i="13"/>
  <c r="G447" i="13"/>
  <c r="H447" i="13"/>
  <c r="I447" i="13"/>
  <c r="J447" i="13"/>
  <c r="K447" i="13"/>
  <c r="L447" i="13"/>
  <c r="M447" i="13"/>
  <c r="AI447" i="13"/>
  <c r="AJ447" i="13"/>
  <c r="AN447" i="13" s="1"/>
  <c r="AK447" i="13"/>
  <c r="AL447" i="13"/>
  <c r="A448" i="13"/>
  <c r="C448" i="13"/>
  <c r="D448" i="13"/>
  <c r="G448" i="13"/>
  <c r="H448" i="13"/>
  <c r="I448" i="13"/>
  <c r="J448" i="13"/>
  <c r="K448" i="13"/>
  <c r="L448" i="13"/>
  <c r="M448" i="13"/>
  <c r="AI448" i="13"/>
  <c r="AJ448" i="13"/>
  <c r="AM448" i="13" s="1"/>
  <c r="AK448" i="13"/>
  <c r="AL448" i="13"/>
  <c r="AN448" i="13"/>
  <c r="A449" i="13"/>
  <c r="C449" i="13"/>
  <c r="D449" i="13"/>
  <c r="G449" i="13"/>
  <c r="H449" i="13"/>
  <c r="I449" i="13"/>
  <c r="J449" i="13"/>
  <c r="K449" i="13"/>
  <c r="L449" i="13"/>
  <c r="M449" i="13"/>
  <c r="AI449" i="13"/>
  <c r="AJ449" i="13"/>
  <c r="AK449" i="13"/>
  <c r="AL449" i="13"/>
  <c r="AM449" i="13"/>
  <c r="AN449" i="13"/>
  <c r="A450" i="13"/>
  <c r="C450" i="13"/>
  <c r="D450" i="13"/>
  <c r="G450" i="13"/>
  <c r="H450" i="13"/>
  <c r="I450" i="13"/>
  <c r="J450" i="13"/>
  <c r="K450" i="13"/>
  <c r="L450" i="13"/>
  <c r="M450" i="13"/>
  <c r="AI450" i="13"/>
  <c r="AJ450" i="13"/>
  <c r="AN450" i="13" s="1"/>
  <c r="AK450" i="13"/>
  <c r="AL450" i="13"/>
  <c r="A451" i="13"/>
  <c r="C451" i="13"/>
  <c r="D451" i="13"/>
  <c r="G451" i="13"/>
  <c r="H451" i="13"/>
  <c r="I451" i="13"/>
  <c r="J451" i="13"/>
  <c r="K451" i="13"/>
  <c r="L451" i="13"/>
  <c r="M451" i="13"/>
  <c r="AI451" i="13"/>
  <c r="AJ451" i="13"/>
  <c r="AM451" i="13" s="1"/>
  <c r="AK451" i="13"/>
  <c r="AL451" i="13"/>
  <c r="AN451" i="13"/>
  <c r="A452" i="13"/>
  <c r="C452" i="13"/>
  <c r="D452" i="13"/>
  <c r="G452" i="13"/>
  <c r="H452" i="13"/>
  <c r="I452" i="13"/>
  <c r="J452" i="13"/>
  <c r="K452" i="13"/>
  <c r="L452" i="13"/>
  <c r="M452" i="13"/>
  <c r="AI452" i="13"/>
  <c r="AJ452" i="13"/>
  <c r="AM452" i="13" s="1"/>
  <c r="AK452" i="13"/>
  <c r="AL452" i="13"/>
  <c r="A453" i="13"/>
  <c r="C453" i="13"/>
  <c r="D453" i="13"/>
  <c r="G453" i="13"/>
  <c r="H453" i="13"/>
  <c r="I453" i="13"/>
  <c r="J453" i="13"/>
  <c r="K453" i="13"/>
  <c r="L453" i="13"/>
  <c r="M453" i="13"/>
  <c r="AI453" i="13"/>
  <c r="AJ453" i="13"/>
  <c r="AN453" i="13" s="1"/>
  <c r="AK453" i="13"/>
  <c r="AL453" i="13"/>
  <c r="A454" i="13"/>
  <c r="C454" i="13"/>
  <c r="D454" i="13"/>
  <c r="G454" i="13"/>
  <c r="H454" i="13"/>
  <c r="I454" i="13"/>
  <c r="J454" i="13"/>
  <c r="K454" i="13"/>
  <c r="L454" i="13"/>
  <c r="M454" i="13"/>
  <c r="AI454" i="13"/>
  <c r="AJ454" i="13"/>
  <c r="AM454" i="13" s="1"/>
  <c r="AK454" i="13"/>
  <c r="AL454" i="13"/>
  <c r="AN454" i="13"/>
  <c r="A455" i="13"/>
  <c r="C455" i="13"/>
  <c r="D455" i="13"/>
  <c r="G455" i="13"/>
  <c r="H455" i="13"/>
  <c r="I455" i="13"/>
  <c r="J455" i="13"/>
  <c r="K455" i="13"/>
  <c r="L455" i="13"/>
  <c r="M455" i="13"/>
  <c r="AI455" i="13"/>
  <c r="AJ455" i="13"/>
  <c r="AK455" i="13"/>
  <c r="AL455" i="13"/>
  <c r="A456" i="13"/>
  <c r="C456" i="13"/>
  <c r="D456" i="13"/>
  <c r="G456" i="13"/>
  <c r="H456" i="13"/>
  <c r="I456" i="13"/>
  <c r="J456" i="13"/>
  <c r="K456" i="13"/>
  <c r="L456" i="13"/>
  <c r="M456" i="13"/>
  <c r="AI456" i="13"/>
  <c r="AJ456" i="13"/>
  <c r="AN456" i="13" s="1"/>
  <c r="AK456" i="13"/>
  <c r="AL456" i="13"/>
  <c r="AM456" i="13"/>
  <c r="A457" i="13"/>
  <c r="C457" i="13"/>
  <c r="D457" i="13"/>
  <c r="G457" i="13"/>
  <c r="H457" i="13"/>
  <c r="I457" i="13"/>
  <c r="J457" i="13"/>
  <c r="K457" i="13"/>
  <c r="L457" i="13"/>
  <c r="M457" i="13"/>
  <c r="AI457" i="13"/>
  <c r="AJ457" i="13"/>
  <c r="AM457" i="13" s="1"/>
  <c r="AK457" i="13"/>
  <c r="AL457" i="13"/>
  <c r="AN457" i="13"/>
  <c r="A458" i="13"/>
  <c r="C458" i="13"/>
  <c r="D458" i="13"/>
  <c r="G458" i="13"/>
  <c r="H458" i="13"/>
  <c r="I458" i="13"/>
  <c r="J458" i="13"/>
  <c r="K458" i="13"/>
  <c r="L458" i="13"/>
  <c r="M458" i="13"/>
  <c r="AI458" i="13"/>
  <c r="AJ458" i="13"/>
  <c r="AM458" i="13" s="1"/>
  <c r="AK458" i="13"/>
  <c r="AL458" i="13"/>
  <c r="A459" i="13"/>
  <c r="C459" i="13"/>
  <c r="D459" i="13"/>
  <c r="G459" i="13"/>
  <c r="H459" i="13"/>
  <c r="I459" i="13"/>
  <c r="J459" i="13"/>
  <c r="K459" i="13"/>
  <c r="L459" i="13"/>
  <c r="M459" i="13"/>
  <c r="AI459" i="13"/>
  <c r="AJ459" i="13"/>
  <c r="AN459" i="13" s="1"/>
  <c r="AK459" i="13"/>
  <c r="AL459" i="13"/>
  <c r="A460" i="13"/>
  <c r="C460" i="13"/>
  <c r="D460" i="13"/>
  <c r="G460" i="13"/>
  <c r="H460" i="13"/>
  <c r="I460" i="13"/>
  <c r="J460" i="13"/>
  <c r="K460" i="13"/>
  <c r="L460" i="13"/>
  <c r="M460" i="13"/>
  <c r="AI460" i="13"/>
  <c r="AJ460" i="13"/>
  <c r="AM460" i="13" s="1"/>
  <c r="AK460" i="13"/>
  <c r="AL460" i="13"/>
  <c r="AN460" i="13"/>
  <c r="A461" i="13"/>
  <c r="C461" i="13"/>
  <c r="D461" i="13"/>
  <c r="G461" i="13"/>
  <c r="H461" i="13"/>
  <c r="I461" i="13"/>
  <c r="J461" i="13"/>
  <c r="K461" i="13"/>
  <c r="L461" i="13"/>
  <c r="M461" i="13"/>
  <c r="AI461" i="13"/>
  <c r="AJ461" i="13"/>
  <c r="AM461" i="13" s="1"/>
  <c r="AK461" i="13"/>
  <c r="AL461" i="13"/>
  <c r="AN461" i="13"/>
  <c r="A462" i="13"/>
  <c r="C462" i="13"/>
  <c r="D462" i="13"/>
  <c r="G462" i="13"/>
  <c r="H462" i="13"/>
  <c r="I462" i="13"/>
  <c r="J462" i="13"/>
  <c r="K462" i="13"/>
  <c r="L462" i="13"/>
  <c r="M462" i="13"/>
  <c r="AI462" i="13"/>
  <c r="AJ462" i="13"/>
  <c r="AK462" i="13"/>
  <c r="AL462" i="13"/>
  <c r="A463" i="13"/>
  <c r="C463" i="13"/>
  <c r="D463" i="13"/>
  <c r="G463" i="13"/>
  <c r="H463" i="13"/>
  <c r="I463" i="13"/>
  <c r="J463" i="13"/>
  <c r="K463" i="13"/>
  <c r="L463" i="13"/>
  <c r="M463" i="13"/>
  <c r="AI463" i="13"/>
  <c r="AJ463" i="13"/>
  <c r="AM463" i="13" s="1"/>
  <c r="AK463" i="13"/>
  <c r="AL463" i="13"/>
  <c r="AN463" i="13"/>
  <c r="A464" i="13"/>
  <c r="C464" i="13"/>
  <c r="D464" i="13"/>
  <c r="G464" i="13"/>
  <c r="H464" i="13"/>
  <c r="I464" i="13"/>
  <c r="J464" i="13"/>
  <c r="K464" i="13"/>
  <c r="L464" i="13"/>
  <c r="M464" i="13"/>
  <c r="AI464" i="13"/>
  <c r="AJ464" i="13"/>
  <c r="AM464" i="13" s="1"/>
  <c r="AK464" i="13"/>
  <c r="AL464" i="13"/>
  <c r="AN464" i="13"/>
  <c r="A465" i="13"/>
  <c r="C465" i="13"/>
  <c r="D465" i="13"/>
  <c r="G465" i="13"/>
  <c r="H465" i="13"/>
  <c r="I465" i="13"/>
  <c r="J465" i="13"/>
  <c r="K465" i="13"/>
  <c r="L465" i="13"/>
  <c r="M465" i="13"/>
  <c r="AI465" i="13"/>
  <c r="AJ465" i="13"/>
  <c r="AN465" i="13" s="1"/>
  <c r="AK465" i="13"/>
  <c r="AL465" i="13"/>
  <c r="A466" i="13"/>
  <c r="C466" i="13"/>
  <c r="D466" i="13"/>
  <c r="G466" i="13"/>
  <c r="H466" i="13"/>
  <c r="I466" i="13"/>
  <c r="J466" i="13"/>
  <c r="K466" i="13"/>
  <c r="L466" i="13"/>
  <c r="M466" i="13"/>
  <c r="AI466" i="13"/>
  <c r="AJ466" i="13"/>
  <c r="AM466" i="13" s="1"/>
  <c r="AK466" i="13"/>
  <c r="AL466" i="13"/>
  <c r="AN466" i="13"/>
  <c r="A467" i="13"/>
  <c r="C467" i="13"/>
  <c r="D467" i="13"/>
  <c r="G467" i="13"/>
  <c r="H467" i="13"/>
  <c r="I467" i="13"/>
  <c r="J467" i="13"/>
  <c r="K467" i="13"/>
  <c r="L467" i="13"/>
  <c r="M467" i="13"/>
  <c r="AI467" i="13"/>
  <c r="AJ467" i="13"/>
  <c r="AK467" i="13"/>
  <c r="AL467" i="13"/>
  <c r="AM467" i="13"/>
  <c r="AN467" i="13"/>
  <c r="A468" i="13"/>
  <c r="C468" i="13"/>
  <c r="D468" i="13"/>
  <c r="G468" i="13"/>
  <c r="H468" i="13"/>
  <c r="I468" i="13"/>
  <c r="J468" i="13"/>
  <c r="K468" i="13"/>
  <c r="L468" i="13"/>
  <c r="M468" i="13"/>
  <c r="AI468" i="13"/>
  <c r="AJ468" i="13"/>
  <c r="AM468" i="13" s="1"/>
  <c r="AK468" i="13"/>
  <c r="AL468" i="13"/>
  <c r="AN468" i="13"/>
  <c r="A469" i="13"/>
  <c r="C469" i="13"/>
  <c r="D469" i="13"/>
  <c r="G469" i="13"/>
  <c r="H469" i="13"/>
  <c r="I469" i="13"/>
  <c r="J469" i="13"/>
  <c r="K469" i="13"/>
  <c r="L469" i="13"/>
  <c r="M469" i="13"/>
  <c r="AI469" i="13"/>
  <c r="AJ469" i="13"/>
  <c r="AK469" i="13"/>
  <c r="AL469" i="13"/>
  <c r="A470" i="13"/>
  <c r="C470" i="13"/>
  <c r="D470" i="13"/>
  <c r="G470" i="13"/>
  <c r="H470" i="13"/>
  <c r="I470" i="13"/>
  <c r="J470" i="13"/>
  <c r="K470" i="13"/>
  <c r="L470" i="13"/>
  <c r="M470" i="13"/>
  <c r="AI470" i="13"/>
  <c r="AJ470" i="13"/>
  <c r="AM470" i="13" s="1"/>
  <c r="AK470" i="13"/>
  <c r="AL470" i="13"/>
  <c r="AN470" i="13"/>
  <c r="A471" i="13"/>
  <c r="C471" i="13"/>
  <c r="D471" i="13"/>
  <c r="G471" i="13"/>
  <c r="H471" i="13"/>
  <c r="I471" i="13"/>
  <c r="J471" i="13"/>
  <c r="K471" i="13"/>
  <c r="L471" i="13"/>
  <c r="M471" i="13"/>
  <c r="AI471" i="13"/>
  <c r="AJ471" i="13"/>
  <c r="AM471" i="13" s="1"/>
  <c r="AK471" i="13"/>
  <c r="AL471" i="13"/>
  <c r="A472" i="13"/>
  <c r="C472" i="13"/>
  <c r="D472" i="13"/>
  <c r="G472" i="13"/>
  <c r="H472" i="13"/>
  <c r="I472" i="13"/>
  <c r="J472" i="13"/>
  <c r="K472" i="13"/>
  <c r="L472" i="13"/>
  <c r="M472" i="13"/>
  <c r="AI472" i="13"/>
  <c r="AJ472" i="13"/>
  <c r="AM472" i="13" s="1"/>
  <c r="AK472" i="13"/>
  <c r="AL472" i="13"/>
  <c r="AN472" i="13"/>
  <c r="A473" i="13"/>
  <c r="C473" i="13"/>
  <c r="D473" i="13"/>
  <c r="G473" i="13"/>
  <c r="H473" i="13"/>
  <c r="I473" i="13"/>
  <c r="J473" i="13"/>
  <c r="K473" i="13"/>
  <c r="L473" i="13"/>
  <c r="M473" i="13"/>
  <c r="AI473" i="13"/>
  <c r="AJ473" i="13"/>
  <c r="AM473" i="13" s="1"/>
  <c r="AK473" i="13"/>
  <c r="AL473" i="13"/>
  <c r="A474" i="13"/>
  <c r="C474" i="13"/>
  <c r="D474" i="13"/>
  <c r="G474" i="13"/>
  <c r="H474" i="13"/>
  <c r="I474" i="13"/>
  <c r="J474" i="13"/>
  <c r="K474" i="13"/>
  <c r="L474" i="13"/>
  <c r="M474" i="13"/>
  <c r="AI474" i="13"/>
  <c r="AJ474" i="13"/>
  <c r="AM474" i="13" s="1"/>
  <c r="AK474" i="13"/>
  <c r="AL474" i="13"/>
  <c r="AN474" i="13"/>
  <c r="A475" i="13"/>
  <c r="C475" i="13"/>
  <c r="D475" i="13"/>
  <c r="G475" i="13"/>
  <c r="H475" i="13"/>
  <c r="I475" i="13"/>
  <c r="J475" i="13"/>
  <c r="K475" i="13"/>
  <c r="L475" i="13"/>
  <c r="M475" i="13"/>
  <c r="AI475" i="13"/>
  <c r="AJ475" i="13"/>
  <c r="AM475" i="13" s="1"/>
  <c r="AK475" i="13"/>
  <c r="AL475" i="13"/>
  <c r="A476" i="13"/>
  <c r="C476" i="13"/>
  <c r="D476" i="13"/>
  <c r="G476" i="13"/>
  <c r="H476" i="13"/>
  <c r="I476" i="13"/>
  <c r="J476" i="13"/>
  <c r="K476" i="13"/>
  <c r="L476" i="13"/>
  <c r="M476" i="13"/>
  <c r="AI476" i="13"/>
  <c r="AJ476" i="13"/>
  <c r="AM476" i="13" s="1"/>
  <c r="AK476" i="13"/>
  <c r="AL476" i="13"/>
  <c r="A477" i="13"/>
  <c r="C477" i="13"/>
  <c r="D477" i="13"/>
  <c r="G477" i="13"/>
  <c r="H477" i="13"/>
  <c r="I477" i="13"/>
  <c r="J477" i="13"/>
  <c r="K477" i="13"/>
  <c r="L477" i="13"/>
  <c r="M477" i="13"/>
  <c r="AI477" i="13"/>
  <c r="AJ477" i="13"/>
  <c r="AN477" i="13" s="1"/>
  <c r="AK477" i="13"/>
  <c r="AL477" i="13"/>
  <c r="AM477" i="13"/>
  <c r="A478" i="13"/>
  <c r="C478" i="13"/>
  <c r="D478" i="13"/>
  <c r="G478" i="13"/>
  <c r="H478" i="13"/>
  <c r="I478" i="13"/>
  <c r="J478" i="13"/>
  <c r="K478" i="13"/>
  <c r="L478" i="13"/>
  <c r="M478" i="13"/>
  <c r="AI478" i="13"/>
  <c r="AJ478" i="13"/>
  <c r="AM478" i="13" s="1"/>
  <c r="AK478" i="13"/>
  <c r="AL478" i="13"/>
  <c r="AN478" i="13"/>
  <c r="A479" i="13"/>
  <c r="C479" i="13"/>
  <c r="D479" i="13"/>
  <c r="G479" i="13"/>
  <c r="H479" i="13"/>
  <c r="I479" i="13"/>
  <c r="J479" i="13"/>
  <c r="K479" i="13"/>
  <c r="L479" i="13"/>
  <c r="M479" i="13"/>
  <c r="AI479" i="13"/>
  <c r="AJ479" i="13"/>
  <c r="AK479" i="13"/>
  <c r="AL479" i="13"/>
  <c r="A480" i="13"/>
  <c r="C480" i="13"/>
  <c r="D480" i="13"/>
  <c r="G480" i="13"/>
  <c r="H480" i="13"/>
  <c r="I480" i="13"/>
  <c r="J480" i="13"/>
  <c r="K480" i="13"/>
  <c r="L480" i="13"/>
  <c r="M480" i="13"/>
  <c r="AI480" i="13"/>
  <c r="AJ480" i="13"/>
  <c r="AK480" i="13"/>
  <c r="AL480" i="13"/>
  <c r="AM480" i="13"/>
  <c r="AN480" i="13"/>
  <c r="A481" i="13"/>
  <c r="C481" i="13"/>
  <c r="D481" i="13"/>
  <c r="G481" i="13"/>
  <c r="H481" i="13"/>
  <c r="I481" i="13"/>
  <c r="J481" i="13"/>
  <c r="K481" i="13"/>
  <c r="L481" i="13"/>
  <c r="M481" i="13"/>
  <c r="AI481" i="13"/>
  <c r="AJ481" i="13"/>
  <c r="AM481" i="13" s="1"/>
  <c r="AK481" i="13"/>
  <c r="AL481" i="13"/>
  <c r="A482" i="13"/>
  <c r="C482" i="13"/>
  <c r="D482" i="13"/>
  <c r="G482" i="13"/>
  <c r="H482" i="13"/>
  <c r="I482" i="13"/>
  <c r="J482" i="13"/>
  <c r="K482" i="13"/>
  <c r="L482" i="13"/>
  <c r="M482" i="13"/>
  <c r="AI482" i="13"/>
  <c r="AJ482" i="13"/>
  <c r="AK482" i="13"/>
  <c r="AL482" i="13"/>
  <c r="AM482" i="13"/>
  <c r="AN482" i="13"/>
  <c r="A483" i="13"/>
  <c r="C483" i="13"/>
  <c r="D483" i="13"/>
  <c r="G483" i="13"/>
  <c r="H483" i="13"/>
  <c r="I483" i="13"/>
  <c r="J483" i="13"/>
  <c r="K483" i="13"/>
  <c r="L483" i="13"/>
  <c r="M483" i="13"/>
  <c r="AI483" i="13"/>
  <c r="AJ483" i="13"/>
  <c r="AM483" i="13" s="1"/>
  <c r="AK483" i="13"/>
  <c r="AL483" i="13"/>
  <c r="AN483" i="13"/>
  <c r="A484" i="13"/>
  <c r="C484" i="13"/>
  <c r="D484" i="13"/>
  <c r="G484" i="13"/>
  <c r="H484" i="13"/>
  <c r="I484" i="13"/>
  <c r="J484" i="13"/>
  <c r="K484" i="13"/>
  <c r="L484" i="13"/>
  <c r="M484" i="13"/>
  <c r="AI484" i="13"/>
  <c r="AJ484" i="13"/>
  <c r="AM484" i="13" s="1"/>
  <c r="AK484" i="13"/>
  <c r="AL484" i="13"/>
  <c r="A485" i="13"/>
  <c r="C485" i="13"/>
  <c r="D485" i="13"/>
  <c r="G485" i="13"/>
  <c r="H485" i="13"/>
  <c r="I485" i="13"/>
  <c r="J485" i="13"/>
  <c r="K485" i="13"/>
  <c r="L485" i="13"/>
  <c r="M485" i="13"/>
  <c r="AI485" i="13"/>
  <c r="AJ485" i="13"/>
  <c r="AM485" i="13" s="1"/>
  <c r="AK485" i="13"/>
  <c r="AL485" i="13"/>
  <c r="A486" i="13"/>
  <c r="C486" i="13"/>
  <c r="D486" i="13"/>
  <c r="G486" i="13"/>
  <c r="H486" i="13"/>
  <c r="I486" i="13"/>
  <c r="J486" i="13"/>
  <c r="K486" i="13"/>
  <c r="L486" i="13"/>
  <c r="M486" i="13"/>
  <c r="AI486" i="13"/>
  <c r="AJ486" i="13"/>
  <c r="AM486" i="13" s="1"/>
  <c r="AK486" i="13"/>
  <c r="AL486" i="13"/>
  <c r="A487" i="13"/>
  <c r="C487" i="13"/>
  <c r="D487" i="13"/>
  <c r="G487" i="13"/>
  <c r="H487" i="13"/>
  <c r="I487" i="13"/>
  <c r="J487" i="13"/>
  <c r="K487" i="13"/>
  <c r="L487" i="13"/>
  <c r="M487" i="13"/>
  <c r="AI487" i="13"/>
  <c r="AJ487" i="13"/>
  <c r="AM487" i="13" s="1"/>
  <c r="AK487" i="13"/>
  <c r="AL487" i="13"/>
  <c r="A488" i="13"/>
  <c r="C488" i="13"/>
  <c r="D488" i="13"/>
  <c r="G488" i="13"/>
  <c r="H488" i="13"/>
  <c r="I488" i="13"/>
  <c r="J488" i="13"/>
  <c r="K488" i="13"/>
  <c r="L488" i="13"/>
  <c r="M488" i="13"/>
  <c r="AI488" i="13"/>
  <c r="AJ488" i="13"/>
  <c r="AK488" i="13"/>
  <c r="AL488" i="13"/>
  <c r="AM488" i="13"/>
  <c r="AN488" i="13"/>
  <c r="A489" i="13"/>
  <c r="C489" i="13"/>
  <c r="D489" i="13"/>
  <c r="G489" i="13"/>
  <c r="H489" i="13"/>
  <c r="I489" i="13"/>
  <c r="J489" i="13"/>
  <c r="K489" i="13"/>
  <c r="L489" i="13"/>
  <c r="M489" i="13"/>
  <c r="AI489" i="13"/>
  <c r="AJ489" i="13"/>
  <c r="AM489" i="13" s="1"/>
  <c r="AK489" i="13"/>
  <c r="AL489" i="13"/>
  <c r="A490" i="13"/>
  <c r="C490" i="13"/>
  <c r="D490" i="13"/>
  <c r="G490" i="13"/>
  <c r="H490" i="13"/>
  <c r="I490" i="13"/>
  <c r="J490" i="13"/>
  <c r="K490" i="13"/>
  <c r="L490" i="13"/>
  <c r="M490" i="13"/>
  <c r="AI490" i="13"/>
  <c r="AJ490" i="13"/>
  <c r="AM490" i="13" s="1"/>
  <c r="AK490" i="13"/>
  <c r="AL490" i="13"/>
  <c r="AN490" i="13"/>
  <c r="A491" i="13"/>
  <c r="C491" i="13"/>
  <c r="D491" i="13"/>
  <c r="G491" i="13"/>
  <c r="H491" i="13"/>
  <c r="I491" i="13"/>
  <c r="J491" i="13"/>
  <c r="K491" i="13"/>
  <c r="L491" i="13"/>
  <c r="M491" i="13"/>
  <c r="AI491" i="13"/>
  <c r="AJ491" i="13"/>
  <c r="AM491" i="13" s="1"/>
  <c r="AK491" i="13"/>
  <c r="AL491" i="13"/>
  <c r="AN491" i="13"/>
  <c r="A492" i="13"/>
  <c r="C492" i="13"/>
  <c r="D492" i="13"/>
  <c r="G492" i="13"/>
  <c r="H492" i="13"/>
  <c r="I492" i="13"/>
  <c r="J492" i="13"/>
  <c r="K492" i="13"/>
  <c r="L492" i="13"/>
  <c r="M492" i="13"/>
  <c r="AI492" i="13"/>
  <c r="AJ492" i="13"/>
  <c r="AK492" i="13"/>
  <c r="AL492" i="13"/>
  <c r="A493" i="13"/>
  <c r="C493" i="13"/>
  <c r="D493" i="13"/>
  <c r="G493" i="13"/>
  <c r="H493" i="13"/>
  <c r="I493" i="13"/>
  <c r="J493" i="13"/>
  <c r="K493" i="13"/>
  <c r="L493" i="13"/>
  <c r="M493" i="13"/>
  <c r="AI493" i="13"/>
  <c r="AJ493" i="13"/>
  <c r="AM493" i="13" s="1"/>
  <c r="AK493" i="13"/>
  <c r="AL493" i="13"/>
  <c r="AN493" i="13"/>
  <c r="A494" i="13"/>
  <c r="C494" i="13"/>
  <c r="D494" i="13"/>
  <c r="G494" i="13"/>
  <c r="H494" i="13"/>
  <c r="I494" i="13"/>
  <c r="J494" i="13"/>
  <c r="K494" i="13"/>
  <c r="L494" i="13"/>
  <c r="M494" i="13"/>
  <c r="AI494" i="13"/>
  <c r="AJ494" i="13"/>
  <c r="AM494" i="13" s="1"/>
  <c r="AK494" i="13"/>
  <c r="AL494" i="13"/>
  <c r="A495" i="13"/>
  <c r="C495" i="13"/>
  <c r="D495" i="13"/>
  <c r="G495" i="13"/>
  <c r="H495" i="13"/>
  <c r="I495" i="13"/>
  <c r="J495" i="13"/>
  <c r="K495" i="13"/>
  <c r="L495" i="13"/>
  <c r="M495" i="13"/>
  <c r="AI495" i="13"/>
  <c r="AJ495" i="13"/>
  <c r="AK495" i="13"/>
  <c r="AL495" i="13"/>
  <c r="AM495" i="13"/>
  <c r="AN495" i="13"/>
  <c r="A496" i="13"/>
  <c r="C496" i="13"/>
  <c r="D496" i="13"/>
  <c r="G496" i="13"/>
  <c r="H496" i="13"/>
  <c r="I496" i="13"/>
  <c r="J496" i="13"/>
  <c r="K496" i="13"/>
  <c r="L496" i="13"/>
  <c r="M496" i="13"/>
  <c r="AI496" i="13"/>
  <c r="AJ496" i="13"/>
  <c r="AM496" i="13" s="1"/>
  <c r="AK496" i="13"/>
  <c r="AL496" i="13"/>
  <c r="AN496" i="13"/>
  <c r="A497" i="13"/>
  <c r="C497" i="13"/>
  <c r="D497" i="13"/>
  <c r="G497" i="13"/>
  <c r="H497" i="13"/>
  <c r="I497" i="13"/>
  <c r="J497" i="13"/>
  <c r="K497" i="13"/>
  <c r="L497" i="13"/>
  <c r="M497" i="13"/>
  <c r="AI497" i="13"/>
  <c r="AJ497" i="13"/>
  <c r="AM497" i="13" s="1"/>
  <c r="AK497" i="13"/>
  <c r="AL497" i="13"/>
  <c r="A498" i="13"/>
  <c r="C498" i="13"/>
  <c r="D498" i="13"/>
  <c r="G498" i="13"/>
  <c r="H498" i="13"/>
  <c r="I498" i="13"/>
  <c r="J498" i="13"/>
  <c r="K498" i="13"/>
  <c r="L498" i="13"/>
  <c r="M498" i="13"/>
  <c r="AI498" i="13"/>
  <c r="AJ498" i="13"/>
  <c r="AK498" i="13"/>
  <c r="AL498" i="13"/>
  <c r="AM498" i="13"/>
  <c r="AN498" i="13"/>
  <c r="A499" i="13"/>
  <c r="C499" i="13"/>
  <c r="D499" i="13"/>
  <c r="G499" i="13"/>
  <c r="H499" i="13"/>
  <c r="I499" i="13"/>
  <c r="J499" i="13"/>
  <c r="K499" i="13"/>
  <c r="L499" i="13"/>
  <c r="M499" i="13"/>
  <c r="AI499" i="13"/>
  <c r="AJ499" i="13"/>
  <c r="AM499" i="13" s="1"/>
  <c r="AK499" i="13"/>
  <c r="AL499" i="13"/>
  <c r="AN499" i="13"/>
  <c r="A500" i="13"/>
  <c r="C500" i="13"/>
  <c r="D500" i="13"/>
  <c r="G500" i="13"/>
  <c r="H500" i="13"/>
  <c r="I500" i="13"/>
  <c r="J500" i="13"/>
  <c r="K500" i="13"/>
  <c r="L500" i="13"/>
  <c r="M500" i="13"/>
  <c r="AI500" i="13"/>
  <c r="AJ500" i="13"/>
  <c r="AM500" i="13" s="1"/>
  <c r="AK500" i="13"/>
  <c r="AL500" i="13"/>
  <c r="A501" i="13"/>
  <c r="C501" i="13"/>
  <c r="D501" i="13"/>
  <c r="G501" i="13"/>
  <c r="H501" i="13"/>
  <c r="I501" i="13"/>
  <c r="J501" i="13"/>
  <c r="K501" i="13"/>
  <c r="L501" i="13"/>
  <c r="M501" i="13"/>
  <c r="AI501" i="13"/>
  <c r="AJ501" i="13"/>
  <c r="AK501" i="13"/>
  <c r="AL501" i="13"/>
  <c r="AM501" i="13"/>
  <c r="AN501" i="13"/>
  <c r="A502" i="13"/>
  <c r="C502" i="13"/>
  <c r="D502" i="13"/>
  <c r="G502" i="13"/>
  <c r="H502" i="13"/>
  <c r="I502" i="13"/>
  <c r="J502" i="13"/>
  <c r="K502" i="13"/>
  <c r="L502" i="13"/>
  <c r="M502" i="13"/>
  <c r="AI502" i="13"/>
  <c r="AJ502" i="13"/>
  <c r="AM502" i="13" s="1"/>
  <c r="AK502" i="13"/>
  <c r="AL502" i="13"/>
  <c r="AN502" i="13"/>
  <c r="A503" i="13"/>
  <c r="C503" i="13"/>
  <c r="D503" i="13"/>
  <c r="G503" i="13"/>
  <c r="H503" i="13"/>
  <c r="I503" i="13"/>
  <c r="J503" i="13"/>
  <c r="K503" i="13"/>
  <c r="L503" i="13"/>
  <c r="M503" i="13"/>
  <c r="AI503" i="13"/>
  <c r="AJ503" i="13"/>
  <c r="AM503" i="13" s="1"/>
  <c r="AK503" i="13"/>
  <c r="AL503" i="13"/>
  <c r="A504" i="13"/>
  <c r="C504" i="13"/>
  <c r="D504" i="13"/>
  <c r="G504" i="13"/>
  <c r="H504" i="13"/>
  <c r="I504" i="13"/>
  <c r="J504" i="13"/>
  <c r="K504" i="13"/>
  <c r="L504" i="13"/>
  <c r="M504" i="13"/>
  <c r="AI504" i="13"/>
  <c r="AJ504" i="13"/>
  <c r="AK504" i="13"/>
  <c r="AL504" i="13"/>
  <c r="AM504" i="13"/>
  <c r="AN504" i="13"/>
  <c r="A505" i="13"/>
  <c r="C505" i="13"/>
  <c r="D505" i="13"/>
  <c r="G505" i="13"/>
  <c r="H505" i="13"/>
  <c r="I505" i="13"/>
  <c r="J505" i="13"/>
  <c r="K505" i="13"/>
  <c r="L505" i="13"/>
  <c r="M505" i="13"/>
  <c r="AI505" i="13"/>
  <c r="AJ505" i="13"/>
  <c r="AM505" i="13" s="1"/>
  <c r="AK505" i="13"/>
  <c r="AL505" i="13"/>
  <c r="AN505" i="13"/>
  <c r="A506" i="13"/>
  <c r="C506" i="13"/>
  <c r="D506" i="13"/>
  <c r="G506" i="13"/>
  <c r="H506" i="13"/>
  <c r="I506" i="13"/>
  <c r="J506" i="13"/>
  <c r="K506" i="13"/>
  <c r="L506" i="13"/>
  <c r="M506" i="13"/>
  <c r="AI506" i="13"/>
  <c r="AJ506" i="13"/>
  <c r="AM506" i="13" s="1"/>
  <c r="AK506" i="13"/>
  <c r="AL506" i="13"/>
  <c r="A507" i="13"/>
  <c r="C507" i="13"/>
  <c r="D507" i="13"/>
  <c r="G507" i="13"/>
  <c r="H507" i="13"/>
  <c r="I507" i="13"/>
  <c r="J507" i="13"/>
  <c r="K507" i="13"/>
  <c r="L507" i="13"/>
  <c r="M507" i="13"/>
  <c r="AI507" i="13"/>
  <c r="AJ507" i="13"/>
  <c r="AK507" i="13"/>
  <c r="AL507" i="13"/>
  <c r="AM507" i="13"/>
  <c r="AN507" i="13"/>
  <c r="A508" i="13"/>
  <c r="C508" i="13"/>
  <c r="D508" i="13"/>
  <c r="G508" i="13"/>
  <c r="H508" i="13"/>
  <c r="I508" i="13"/>
  <c r="J508" i="13"/>
  <c r="K508" i="13"/>
  <c r="L508" i="13"/>
  <c r="M508" i="13"/>
  <c r="AI508" i="13"/>
  <c r="AJ508" i="13"/>
  <c r="AM508" i="13" s="1"/>
  <c r="AK508" i="13"/>
  <c r="AL508" i="13"/>
  <c r="AN508" i="13"/>
  <c r="A509" i="13"/>
  <c r="C509" i="13"/>
  <c r="D509" i="13"/>
  <c r="G509" i="13"/>
  <c r="H509" i="13"/>
  <c r="I509" i="13"/>
  <c r="J509" i="13"/>
  <c r="K509" i="13"/>
  <c r="L509" i="13"/>
  <c r="M509" i="13"/>
  <c r="AI509" i="13"/>
  <c r="AJ509" i="13"/>
  <c r="AM509" i="13" s="1"/>
  <c r="AK509" i="13"/>
  <c r="AL509" i="13"/>
  <c r="A510" i="13"/>
  <c r="C510" i="13"/>
  <c r="D510" i="13"/>
  <c r="G510" i="13"/>
  <c r="H510" i="13"/>
  <c r="I510" i="13"/>
  <c r="J510" i="13"/>
  <c r="K510" i="13"/>
  <c r="L510" i="13"/>
  <c r="M510" i="13"/>
  <c r="AI510" i="13"/>
  <c r="AJ510" i="13"/>
  <c r="AK510" i="13"/>
  <c r="AL510" i="13"/>
  <c r="AM510" i="13"/>
  <c r="AN510" i="13"/>
  <c r="A511" i="13"/>
  <c r="C511" i="13"/>
  <c r="D511" i="13"/>
  <c r="G511" i="13"/>
  <c r="H511" i="13"/>
  <c r="I511" i="13"/>
  <c r="J511" i="13"/>
  <c r="K511" i="13"/>
  <c r="L511" i="13"/>
  <c r="M511" i="13"/>
  <c r="AI511" i="13"/>
  <c r="AJ511" i="13"/>
  <c r="AM511" i="13" s="1"/>
  <c r="AK511" i="13"/>
  <c r="AL511" i="13"/>
  <c r="AN511" i="13"/>
  <c r="A512" i="13"/>
  <c r="C512" i="13"/>
  <c r="D512" i="13"/>
  <c r="G512" i="13"/>
  <c r="H512" i="13"/>
  <c r="I512" i="13"/>
  <c r="J512" i="13"/>
  <c r="K512" i="13"/>
  <c r="L512" i="13"/>
  <c r="M512" i="13"/>
  <c r="AI512" i="13"/>
  <c r="AJ512" i="13"/>
  <c r="AM512" i="13" s="1"/>
  <c r="AK512" i="13"/>
  <c r="AL512" i="13"/>
  <c r="A513" i="13"/>
  <c r="C513" i="13"/>
  <c r="D513" i="13"/>
  <c r="G513" i="13"/>
  <c r="H513" i="13"/>
  <c r="I513" i="13"/>
  <c r="J513" i="13"/>
  <c r="K513" i="13"/>
  <c r="L513" i="13"/>
  <c r="M513" i="13"/>
  <c r="AI513" i="13"/>
  <c r="AJ513" i="13"/>
  <c r="AK513" i="13"/>
  <c r="AL513" i="13"/>
  <c r="AM513" i="13"/>
  <c r="AN513" i="13"/>
  <c r="A514" i="13"/>
  <c r="C514" i="13"/>
  <c r="D514" i="13"/>
  <c r="G514" i="13"/>
  <c r="H514" i="13"/>
  <c r="I514" i="13"/>
  <c r="J514" i="13"/>
  <c r="K514" i="13"/>
  <c r="L514" i="13"/>
  <c r="M514" i="13"/>
  <c r="AI514" i="13"/>
  <c r="AJ514" i="13"/>
  <c r="AM514" i="13" s="1"/>
  <c r="AK514" i="13"/>
  <c r="AL514" i="13"/>
  <c r="AN514" i="13"/>
  <c r="A515" i="13"/>
  <c r="C515" i="13"/>
  <c r="D515" i="13"/>
  <c r="G515" i="13"/>
  <c r="H515" i="13"/>
  <c r="I515" i="13"/>
  <c r="J515" i="13"/>
  <c r="K515" i="13"/>
  <c r="L515" i="13"/>
  <c r="M515" i="13"/>
  <c r="AI515" i="13"/>
  <c r="AJ515" i="13"/>
  <c r="AM515" i="13" s="1"/>
  <c r="AK515" i="13"/>
  <c r="AL515" i="13"/>
  <c r="A516" i="13"/>
  <c r="C516" i="13"/>
  <c r="D516" i="13"/>
  <c r="G516" i="13"/>
  <c r="H516" i="13"/>
  <c r="I516" i="13"/>
  <c r="J516" i="13"/>
  <c r="K516" i="13"/>
  <c r="L516" i="13"/>
  <c r="M516" i="13"/>
  <c r="AI516" i="13"/>
  <c r="AJ516" i="13"/>
  <c r="AK516" i="13"/>
  <c r="AL516" i="13"/>
  <c r="AM516" i="13"/>
  <c r="AN516" i="13"/>
  <c r="A517" i="13"/>
  <c r="C517" i="13"/>
  <c r="D517" i="13"/>
  <c r="G517" i="13"/>
  <c r="H517" i="13"/>
  <c r="I517" i="13"/>
  <c r="J517" i="13"/>
  <c r="K517" i="13"/>
  <c r="L517" i="13"/>
  <c r="M517" i="13"/>
  <c r="AI517" i="13"/>
  <c r="AJ517" i="13"/>
  <c r="AM517" i="13" s="1"/>
  <c r="AK517" i="13"/>
  <c r="AL517" i="13"/>
  <c r="AN517" i="13"/>
  <c r="A518" i="13"/>
  <c r="C518" i="13"/>
  <c r="D518" i="13"/>
  <c r="G518" i="13"/>
  <c r="H518" i="13"/>
  <c r="I518" i="13"/>
  <c r="J518" i="13"/>
  <c r="K518" i="13"/>
  <c r="L518" i="13"/>
  <c r="M518" i="13"/>
  <c r="AI518" i="13"/>
  <c r="AJ518" i="13"/>
  <c r="AM518" i="13" s="1"/>
  <c r="AK518" i="13"/>
  <c r="AL518" i="13"/>
  <c r="A519" i="13"/>
  <c r="C519" i="13"/>
  <c r="D519" i="13"/>
  <c r="G519" i="13"/>
  <c r="H519" i="13"/>
  <c r="I519" i="13"/>
  <c r="J519" i="13"/>
  <c r="K519" i="13"/>
  <c r="L519" i="13"/>
  <c r="M519" i="13"/>
  <c r="AI519" i="13"/>
  <c r="AJ519" i="13"/>
  <c r="AK519" i="13"/>
  <c r="AL519" i="13"/>
  <c r="AM519" i="13"/>
  <c r="AN519" i="13"/>
  <c r="A520" i="13"/>
  <c r="C520" i="13"/>
  <c r="D520" i="13"/>
  <c r="G520" i="13"/>
  <c r="H520" i="13"/>
  <c r="I520" i="13"/>
  <c r="J520" i="13"/>
  <c r="K520" i="13"/>
  <c r="L520" i="13"/>
  <c r="M520" i="13"/>
  <c r="AI520" i="13"/>
  <c r="AJ520" i="13"/>
  <c r="AM520" i="13" s="1"/>
  <c r="AK520" i="13"/>
  <c r="AL520" i="13"/>
  <c r="AN520" i="13"/>
  <c r="A521" i="13"/>
  <c r="C521" i="13"/>
  <c r="D521" i="13"/>
  <c r="G521" i="13"/>
  <c r="H521" i="13"/>
  <c r="I521" i="13"/>
  <c r="J521" i="13"/>
  <c r="K521" i="13"/>
  <c r="L521" i="13"/>
  <c r="M521" i="13"/>
  <c r="AI521" i="13"/>
  <c r="AJ521" i="13"/>
  <c r="AM521" i="13" s="1"/>
  <c r="AK521" i="13"/>
  <c r="AL521" i="13"/>
  <c r="A522" i="13"/>
  <c r="C522" i="13"/>
  <c r="D522" i="13"/>
  <c r="G522" i="13"/>
  <c r="H522" i="13"/>
  <c r="I522" i="13"/>
  <c r="J522" i="13"/>
  <c r="K522" i="13"/>
  <c r="L522" i="13"/>
  <c r="M522" i="13"/>
  <c r="AI522" i="13"/>
  <c r="AJ522" i="13"/>
  <c r="AK522" i="13"/>
  <c r="AL522" i="13"/>
  <c r="AM522" i="13"/>
  <c r="AN522" i="13"/>
  <c r="A523" i="13"/>
  <c r="C523" i="13"/>
  <c r="D523" i="13"/>
  <c r="G523" i="13"/>
  <c r="H523" i="13"/>
  <c r="I523" i="13"/>
  <c r="J523" i="13"/>
  <c r="K523" i="13"/>
  <c r="L523" i="13"/>
  <c r="M523" i="13"/>
  <c r="AI523" i="13"/>
  <c r="AJ523" i="13"/>
  <c r="AM523" i="13" s="1"/>
  <c r="AK523" i="13"/>
  <c r="AL523" i="13"/>
  <c r="AN523" i="13"/>
  <c r="A524" i="13"/>
  <c r="C524" i="13"/>
  <c r="D524" i="13"/>
  <c r="G524" i="13"/>
  <c r="H524" i="13"/>
  <c r="I524" i="13"/>
  <c r="J524" i="13"/>
  <c r="K524" i="13"/>
  <c r="L524" i="13"/>
  <c r="M524" i="13"/>
  <c r="AI524" i="13"/>
  <c r="AJ524" i="13"/>
  <c r="AM524" i="13" s="1"/>
  <c r="AK524" i="13"/>
  <c r="AL524" i="13"/>
  <c r="A525" i="13"/>
  <c r="C525" i="13"/>
  <c r="D525" i="13"/>
  <c r="G525" i="13"/>
  <c r="H525" i="13"/>
  <c r="I525" i="13"/>
  <c r="J525" i="13"/>
  <c r="K525" i="13"/>
  <c r="L525" i="13"/>
  <c r="M525" i="13"/>
  <c r="AI525" i="13"/>
  <c r="AJ525" i="13"/>
  <c r="AK525" i="13"/>
  <c r="AL525" i="13"/>
  <c r="AM525" i="13"/>
  <c r="AN525" i="13"/>
  <c r="A526" i="13"/>
  <c r="C526" i="13"/>
  <c r="D526" i="13"/>
  <c r="G526" i="13"/>
  <c r="H526" i="13"/>
  <c r="I526" i="13"/>
  <c r="J526" i="13"/>
  <c r="K526" i="13"/>
  <c r="L526" i="13"/>
  <c r="M526" i="13"/>
  <c r="AI526" i="13"/>
  <c r="AJ526" i="13"/>
  <c r="AM526" i="13" s="1"/>
  <c r="AK526" i="13"/>
  <c r="AL526" i="13"/>
  <c r="AN526" i="13"/>
  <c r="A527" i="13"/>
  <c r="C527" i="13"/>
  <c r="D527" i="13"/>
  <c r="G527" i="13"/>
  <c r="H527" i="13"/>
  <c r="I527" i="13"/>
  <c r="J527" i="13"/>
  <c r="K527" i="13"/>
  <c r="L527" i="13"/>
  <c r="M527" i="13"/>
  <c r="AI527" i="13"/>
  <c r="AJ527" i="13"/>
  <c r="AM527" i="13" s="1"/>
  <c r="AK527" i="13"/>
  <c r="AL527" i="13"/>
  <c r="A528" i="13"/>
  <c r="C528" i="13"/>
  <c r="D528" i="13"/>
  <c r="G528" i="13"/>
  <c r="H528" i="13"/>
  <c r="I528" i="13"/>
  <c r="J528" i="13"/>
  <c r="K528" i="13"/>
  <c r="L528" i="13"/>
  <c r="M528" i="13"/>
  <c r="AI528" i="13"/>
  <c r="AJ528" i="13"/>
  <c r="AK528" i="13"/>
  <c r="AL528" i="13"/>
  <c r="AM528" i="13"/>
  <c r="AN528" i="13"/>
  <c r="A529" i="13"/>
  <c r="C529" i="13"/>
  <c r="D529" i="13"/>
  <c r="G529" i="13"/>
  <c r="H529" i="13"/>
  <c r="I529" i="13"/>
  <c r="J529" i="13"/>
  <c r="K529" i="13"/>
  <c r="L529" i="13"/>
  <c r="M529" i="13"/>
  <c r="AI529" i="13"/>
  <c r="AJ529" i="13"/>
  <c r="AM529" i="13" s="1"/>
  <c r="AK529" i="13"/>
  <c r="AL529" i="13"/>
  <c r="AN529" i="13"/>
  <c r="A530" i="13"/>
  <c r="C530" i="13"/>
  <c r="D530" i="13"/>
  <c r="G530" i="13"/>
  <c r="H530" i="13"/>
  <c r="I530" i="13"/>
  <c r="J530" i="13"/>
  <c r="K530" i="13"/>
  <c r="L530" i="13"/>
  <c r="M530" i="13"/>
  <c r="AI530" i="13"/>
  <c r="AJ530" i="13"/>
  <c r="AM530" i="13" s="1"/>
  <c r="AK530" i="13"/>
  <c r="AL530" i="13"/>
  <c r="A531" i="13"/>
  <c r="C531" i="13"/>
  <c r="D531" i="13"/>
  <c r="G531" i="13"/>
  <c r="H531" i="13"/>
  <c r="I531" i="13"/>
  <c r="J531" i="13"/>
  <c r="K531" i="13"/>
  <c r="L531" i="13"/>
  <c r="M531" i="13"/>
  <c r="AI531" i="13"/>
  <c r="AJ531" i="13"/>
  <c r="AK531" i="13"/>
  <c r="AL531" i="13"/>
  <c r="AM531" i="13"/>
  <c r="AN531" i="13"/>
  <c r="A532" i="13"/>
  <c r="C532" i="13"/>
  <c r="D532" i="13"/>
  <c r="G532" i="13"/>
  <c r="H532" i="13"/>
  <c r="I532" i="13"/>
  <c r="J532" i="13"/>
  <c r="K532" i="13"/>
  <c r="L532" i="13"/>
  <c r="M532" i="13"/>
  <c r="AI532" i="13"/>
  <c r="AJ532" i="13"/>
  <c r="AM532" i="13" s="1"/>
  <c r="AK532" i="13"/>
  <c r="AL532" i="13"/>
  <c r="AN532" i="13"/>
  <c r="A533" i="13"/>
  <c r="C533" i="13"/>
  <c r="D533" i="13"/>
  <c r="G533" i="13"/>
  <c r="H533" i="13"/>
  <c r="I533" i="13"/>
  <c r="J533" i="13"/>
  <c r="K533" i="13"/>
  <c r="L533" i="13"/>
  <c r="M533" i="13"/>
  <c r="AI533" i="13"/>
  <c r="AJ533" i="13"/>
  <c r="AM533" i="13" s="1"/>
  <c r="AK533" i="13"/>
  <c r="AL533" i="13"/>
  <c r="A534" i="13"/>
  <c r="C534" i="13"/>
  <c r="D534" i="13"/>
  <c r="G534" i="13"/>
  <c r="H534" i="13"/>
  <c r="I534" i="13"/>
  <c r="J534" i="13"/>
  <c r="K534" i="13"/>
  <c r="L534" i="13"/>
  <c r="M534" i="13"/>
  <c r="AI534" i="13"/>
  <c r="AJ534" i="13"/>
  <c r="AK534" i="13"/>
  <c r="AL534" i="13"/>
  <c r="AM534" i="13"/>
  <c r="AN534" i="13"/>
  <c r="A535" i="13"/>
  <c r="C535" i="13"/>
  <c r="D535" i="13"/>
  <c r="G535" i="13"/>
  <c r="H535" i="13"/>
  <c r="I535" i="13"/>
  <c r="J535" i="13"/>
  <c r="K535" i="13"/>
  <c r="L535" i="13"/>
  <c r="M535" i="13"/>
  <c r="AI535" i="13"/>
  <c r="AJ535" i="13"/>
  <c r="AM535" i="13" s="1"/>
  <c r="AK535" i="13"/>
  <c r="AL535" i="13"/>
  <c r="AN535" i="13"/>
  <c r="A536" i="13"/>
  <c r="C536" i="13"/>
  <c r="D536" i="13"/>
  <c r="G536" i="13"/>
  <c r="H536" i="13"/>
  <c r="I536" i="13"/>
  <c r="J536" i="13"/>
  <c r="K536" i="13"/>
  <c r="L536" i="13"/>
  <c r="M536" i="13"/>
  <c r="AI536" i="13"/>
  <c r="AJ536" i="13"/>
  <c r="AM536" i="13" s="1"/>
  <c r="AK536" i="13"/>
  <c r="AL536" i="13"/>
  <c r="A537" i="13"/>
  <c r="C537" i="13"/>
  <c r="D537" i="13"/>
  <c r="G537" i="13"/>
  <c r="H537" i="13"/>
  <c r="I537" i="13"/>
  <c r="J537" i="13"/>
  <c r="K537" i="13"/>
  <c r="L537" i="13"/>
  <c r="M537" i="13"/>
  <c r="AI537" i="13"/>
  <c r="AJ537" i="13"/>
  <c r="AK537" i="13"/>
  <c r="AL537" i="13"/>
  <c r="AM537" i="13"/>
  <c r="AN537" i="13"/>
  <c r="A538" i="13"/>
  <c r="C538" i="13"/>
  <c r="D538" i="13"/>
  <c r="G538" i="13"/>
  <c r="H538" i="13"/>
  <c r="I538" i="13"/>
  <c r="J538" i="13"/>
  <c r="K538" i="13"/>
  <c r="L538" i="13"/>
  <c r="M538" i="13"/>
  <c r="AI538" i="13"/>
  <c r="AJ538" i="13"/>
  <c r="AM538" i="13" s="1"/>
  <c r="AK538" i="13"/>
  <c r="AL538" i="13"/>
  <c r="AN538" i="13"/>
  <c r="A539" i="13"/>
  <c r="C539" i="13"/>
  <c r="D539" i="13"/>
  <c r="G539" i="13"/>
  <c r="H539" i="13"/>
  <c r="I539" i="13"/>
  <c r="J539" i="13"/>
  <c r="K539" i="13"/>
  <c r="L539" i="13"/>
  <c r="M539" i="13"/>
  <c r="AI539" i="13"/>
  <c r="AJ539" i="13"/>
  <c r="AM539" i="13" s="1"/>
  <c r="AK539" i="13"/>
  <c r="AL539" i="13"/>
  <c r="A540" i="13"/>
  <c r="C540" i="13"/>
  <c r="D540" i="13"/>
  <c r="G540" i="13"/>
  <c r="H540" i="13"/>
  <c r="I540" i="13"/>
  <c r="J540" i="13"/>
  <c r="K540" i="13"/>
  <c r="L540" i="13"/>
  <c r="M540" i="13"/>
  <c r="AI540" i="13"/>
  <c r="AJ540" i="13"/>
  <c r="AK540" i="13"/>
  <c r="AL540" i="13"/>
  <c r="AM540" i="13"/>
  <c r="AN540" i="13"/>
  <c r="A541" i="13"/>
  <c r="C541" i="13"/>
  <c r="D541" i="13"/>
  <c r="G541" i="13"/>
  <c r="H541" i="13"/>
  <c r="I541" i="13"/>
  <c r="J541" i="13"/>
  <c r="K541" i="13"/>
  <c r="L541" i="13"/>
  <c r="M541" i="13"/>
  <c r="AI541" i="13"/>
  <c r="AJ541" i="13"/>
  <c r="AM541" i="13" s="1"/>
  <c r="AK541" i="13"/>
  <c r="AL541" i="13"/>
  <c r="AN541" i="13"/>
  <c r="A542" i="13"/>
  <c r="C542" i="13"/>
  <c r="D542" i="13"/>
  <c r="G542" i="13"/>
  <c r="H542" i="13"/>
  <c r="I542" i="13"/>
  <c r="J542" i="13"/>
  <c r="K542" i="13"/>
  <c r="L542" i="13"/>
  <c r="M542" i="13"/>
  <c r="AI542" i="13"/>
  <c r="AJ542" i="13"/>
  <c r="AM542" i="13" s="1"/>
  <c r="AK542" i="13"/>
  <c r="AL542" i="13"/>
  <c r="A543" i="13"/>
  <c r="C543" i="13"/>
  <c r="D543" i="13"/>
  <c r="G543" i="13"/>
  <c r="H543" i="13"/>
  <c r="I543" i="13"/>
  <c r="J543" i="13"/>
  <c r="K543" i="13"/>
  <c r="L543" i="13"/>
  <c r="M543" i="13"/>
  <c r="AI543" i="13"/>
  <c r="AJ543" i="13"/>
  <c r="AK543" i="13"/>
  <c r="AL543" i="13"/>
  <c r="AM543" i="13"/>
  <c r="AN543" i="13"/>
  <c r="A544" i="13"/>
  <c r="C544" i="13"/>
  <c r="D544" i="13"/>
  <c r="G544" i="13"/>
  <c r="H544" i="13"/>
  <c r="I544" i="13"/>
  <c r="J544" i="13"/>
  <c r="K544" i="13"/>
  <c r="L544" i="13"/>
  <c r="M544" i="13"/>
  <c r="AI544" i="13"/>
  <c r="AJ544" i="13"/>
  <c r="AM544" i="13" s="1"/>
  <c r="AK544" i="13"/>
  <c r="AL544" i="13"/>
  <c r="AN544" i="13"/>
  <c r="A545" i="13"/>
  <c r="C545" i="13"/>
  <c r="D545" i="13"/>
  <c r="G545" i="13"/>
  <c r="H545" i="13"/>
  <c r="I545" i="13"/>
  <c r="J545" i="13"/>
  <c r="K545" i="13"/>
  <c r="L545" i="13"/>
  <c r="M545" i="13"/>
  <c r="AI545" i="13"/>
  <c r="AJ545" i="13"/>
  <c r="AM545" i="13" s="1"/>
  <c r="AK545" i="13"/>
  <c r="AL545" i="13"/>
  <c r="A546" i="13"/>
  <c r="C546" i="13"/>
  <c r="D546" i="13"/>
  <c r="G546" i="13"/>
  <c r="H546" i="13"/>
  <c r="I546" i="13"/>
  <c r="J546" i="13"/>
  <c r="K546" i="13"/>
  <c r="L546" i="13"/>
  <c r="M546" i="13"/>
  <c r="AI546" i="13"/>
  <c r="AJ546" i="13"/>
  <c r="AK546" i="13"/>
  <c r="AL546" i="13"/>
  <c r="AM546" i="13"/>
  <c r="AN546" i="13"/>
  <c r="A547" i="13"/>
  <c r="C547" i="13"/>
  <c r="D547" i="13"/>
  <c r="G547" i="13"/>
  <c r="H547" i="13"/>
  <c r="I547" i="13"/>
  <c r="J547" i="13"/>
  <c r="K547" i="13"/>
  <c r="L547" i="13"/>
  <c r="M547" i="13"/>
  <c r="AI547" i="13"/>
  <c r="AJ547" i="13"/>
  <c r="AM547" i="13" s="1"/>
  <c r="AK547" i="13"/>
  <c r="AL547" i="13"/>
  <c r="AN547" i="13"/>
  <c r="A548" i="13"/>
  <c r="C548" i="13"/>
  <c r="D548" i="13"/>
  <c r="G548" i="13"/>
  <c r="H548" i="13"/>
  <c r="I548" i="13"/>
  <c r="J548" i="13"/>
  <c r="K548" i="13"/>
  <c r="L548" i="13"/>
  <c r="M548" i="13"/>
  <c r="AI548" i="13"/>
  <c r="AJ548" i="13"/>
  <c r="AM548" i="13" s="1"/>
  <c r="AK548" i="13"/>
  <c r="AL548" i="13"/>
  <c r="A549" i="13"/>
  <c r="C549" i="13"/>
  <c r="D549" i="13"/>
  <c r="G549" i="13"/>
  <c r="H549" i="13"/>
  <c r="I549" i="13"/>
  <c r="J549" i="13"/>
  <c r="K549" i="13"/>
  <c r="L549" i="13"/>
  <c r="M549" i="13"/>
  <c r="AI549" i="13"/>
  <c r="AJ549" i="13"/>
  <c r="AK549" i="13"/>
  <c r="AL549" i="13"/>
  <c r="AM549" i="13"/>
  <c r="AN549" i="13"/>
  <c r="A550" i="13"/>
  <c r="C550" i="13"/>
  <c r="D550" i="13"/>
  <c r="G550" i="13"/>
  <c r="H550" i="13"/>
  <c r="I550" i="13"/>
  <c r="J550" i="13"/>
  <c r="K550" i="13"/>
  <c r="L550" i="13"/>
  <c r="M550" i="13"/>
  <c r="AI550" i="13"/>
  <c r="AJ550" i="13"/>
  <c r="AM550" i="13" s="1"/>
  <c r="AK550" i="13"/>
  <c r="AL550" i="13"/>
  <c r="AN550" i="13"/>
  <c r="A551" i="13"/>
  <c r="C551" i="13"/>
  <c r="D551" i="13"/>
  <c r="G551" i="13"/>
  <c r="H551" i="13"/>
  <c r="I551" i="13"/>
  <c r="J551" i="13"/>
  <c r="K551" i="13"/>
  <c r="L551" i="13"/>
  <c r="M551" i="13"/>
  <c r="AI551" i="13"/>
  <c r="AJ551" i="13"/>
  <c r="AM551" i="13" s="1"/>
  <c r="AK551" i="13"/>
  <c r="AL551" i="13"/>
  <c r="A552" i="13"/>
  <c r="C552" i="13"/>
  <c r="D552" i="13"/>
  <c r="G552" i="13"/>
  <c r="H552" i="13"/>
  <c r="I552" i="13"/>
  <c r="J552" i="13"/>
  <c r="K552" i="13"/>
  <c r="L552" i="13"/>
  <c r="M552" i="13"/>
  <c r="AI552" i="13"/>
  <c r="AJ552" i="13"/>
  <c r="AK552" i="13"/>
  <c r="AL552" i="13"/>
  <c r="AM552" i="13"/>
  <c r="AN552" i="13"/>
  <c r="A553" i="13"/>
  <c r="C553" i="13"/>
  <c r="D553" i="13"/>
  <c r="G553" i="13"/>
  <c r="H553" i="13"/>
  <c r="I553" i="13"/>
  <c r="J553" i="13"/>
  <c r="K553" i="13"/>
  <c r="L553" i="13"/>
  <c r="M553" i="13"/>
  <c r="AI553" i="13"/>
  <c r="AJ553" i="13"/>
  <c r="AM553" i="13" s="1"/>
  <c r="AK553" i="13"/>
  <c r="AL553" i="13"/>
  <c r="AN553" i="13"/>
  <c r="A554" i="13"/>
  <c r="C554" i="13"/>
  <c r="D554" i="13"/>
  <c r="G554" i="13"/>
  <c r="H554" i="13"/>
  <c r="I554" i="13"/>
  <c r="J554" i="13"/>
  <c r="K554" i="13"/>
  <c r="L554" i="13"/>
  <c r="M554" i="13"/>
  <c r="AI554" i="13"/>
  <c r="AJ554" i="13"/>
  <c r="AM554" i="13" s="1"/>
  <c r="AK554" i="13"/>
  <c r="AL554" i="13"/>
  <c r="A555" i="13"/>
  <c r="C555" i="13"/>
  <c r="D555" i="13"/>
  <c r="G555" i="13"/>
  <c r="H555" i="13"/>
  <c r="I555" i="13"/>
  <c r="J555" i="13"/>
  <c r="K555" i="13"/>
  <c r="L555" i="13"/>
  <c r="M555" i="13"/>
  <c r="AI555" i="13"/>
  <c r="AJ555" i="13"/>
  <c r="AK555" i="13"/>
  <c r="AL555" i="13"/>
  <c r="AM555" i="13"/>
  <c r="AN555" i="13"/>
  <c r="A556" i="13"/>
  <c r="C556" i="13"/>
  <c r="D556" i="13"/>
  <c r="G556" i="13"/>
  <c r="H556" i="13"/>
  <c r="I556" i="13"/>
  <c r="J556" i="13"/>
  <c r="K556" i="13"/>
  <c r="L556" i="13"/>
  <c r="M556" i="13"/>
  <c r="AI556" i="13"/>
  <c r="AJ556" i="13"/>
  <c r="AM556" i="13" s="1"/>
  <c r="AK556" i="13"/>
  <c r="AL556" i="13"/>
  <c r="AN556" i="13"/>
  <c r="A557" i="13"/>
  <c r="C557" i="13"/>
  <c r="D557" i="13"/>
  <c r="G557" i="13"/>
  <c r="H557" i="13"/>
  <c r="I557" i="13"/>
  <c r="J557" i="13"/>
  <c r="K557" i="13"/>
  <c r="L557" i="13"/>
  <c r="M557" i="13"/>
  <c r="AI557" i="13"/>
  <c r="AJ557" i="13"/>
  <c r="AM557" i="13" s="1"/>
  <c r="AK557" i="13"/>
  <c r="AL557" i="13"/>
  <c r="A558" i="13"/>
  <c r="C558" i="13"/>
  <c r="D558" i="13"/>
  <c r="G558" i="13"/>
  <c r="H558" i="13"/>
  <c r="I558" i="13"/>
  <c r="J558" i="13"/>
  <c r="K558" i="13"/>
  <c r="L558" i="13"/>
  <c r="M558" i="13"/>
  <c r="AI558" i="13"/>
  <c r="AJ558" i="13"/>
  <c r="AK558" i="13"/>
  <c r="AL558" i="13"/>
  <c r="AM558" i="13"/>
  <c r="AN558" i="13"/>
  <c r="A559" i="13"/>
  <c r="C559" i="13"/>
  <c r="D559" i="13"/>
  <c r="G559" i="13"/>
  <c r="H559" i="13"/>
  <c r="I559" i="13"/>
  <c r="J559" i="13"/>
  <c r="K559" i="13"/>
  <c r="L559" i="13"/>
  <c r="M559" i="13"/>
  <c r="AI559" i="13"/>
  <c r="AJ559" i="13"/>
  <c r="AM559" i="13" s="1"/>
  <c r="AK559" i="13"/>
  <c r="AL559" i="13"/>
  <c r="AN559" i="13"/>
  <c r="A560" i="13"/>
  <c r="C560" i="13"/>
  <c r="D560" i="13"/>
  <c r="G560" i="13"/>
  <c r="H560" i="13"/>
  <c r="I560" i="13"/>
  <c r="J560" i="13"/>
  <c r="K560" i="13"/>
  <c r="L560" i="13"/>
  <c r="M560" i="13"/>
  <c r="AI560" i="13"/>
  <c r="AJ560" i="13"/>
  <c r="AM560" i="13" s="1"/>
  <c r="AK560" i="13"/>
  <c r="AL560" i="13"/>
  <c r="A561" i="13"/>
  <c r="C561" i="13"/>
  <c r="D561" i="13"/>
  <c r="G561" i="13"/>
  <c r="H561" i="13"/>
  <c r="I561" i="13"/>
  <c r="J561" i="13"/>
  <c r="K561" i="13"/>
  <c r="L561" i="13"/>
  <c r="M561" i="13"/>
  <c r="AI561" i="13"/>
  <c r="AJ561" i="13"/>
  <c r="AK561" i="13"/>
  <c r="AL561" i="13"/>
  <c r="AM561" i="13"/>
  <c r="AN561" i="13"/>
  <c r="A562" i="13"/>
  <c r="C562" i="13"/>
  <c r="D562" i="13"/>
  <c r="G562" i="13"/>
  <c r="H562" i="13"/>
  <c r="I562" i="13"/>
  <c r="J562" i="13"/>
  <c r="K562" i="13"/>
  <c r="L562" i="13"/>
  <c r="M562" i="13"/>
  <c r="AI562" i="13"/>
  <c r="AJ562" i="13"/>
  <c r="AM562" i="13" s="1"/>
  <c r="AK562" i="13"/>
  <c r="AL562" i="13"/>
  <c r="AN562" i="13"/>
  <c r="A563" i="13"/>
  <c r="C563" i="13"/>
  <c r="D563" i="13"/>
  <c r="G563" i="13"/>
  <c r="H563" i="13"/>
  <c r="I563" i="13"/>
  <c r="J563" i="13"/>
  <c r="K563" i="13"/>
  <c r="L563" i="13"/>
  <c r="M563" i="13"/>
  <c r="AI563" i="13"/>
  <c r="AJ563" i="13"/>
  <c r="AM563" i="13" s="1"/>
  <c r="AK563" i="13"/>
  <c r="AL563" i="13"/>
  <c r="A564" i="13"/>
  <c r="C564" i="13"/>
  <c r="D564" i="13"/>
  <c r="G564" i="13"/>
  <c r="H564" i="13"/>
  <c r="I564" i="13"/>
  <c r="J564" i="13"/>
  <c r="K564" i="13"/>
  <c r="L564" i="13"/>
  <c r="M564" i="13"/>
  <c r="AI564" i="13"/>
  <c r="AJ564" i="13"/>
  <c r="AK564" i="13"/>
  <c r="AL564" i="13"/>
  <c r="AM564" i="13"/>
  <c r="AN564" i="13"/>
  <c r="A565" i="13"/>
  <c r="C565" i="13"/>
  <c r="D565" i="13"/>
  <c r="G565" i="13"/>
  <c r="H565" i="13"/>
  <c r="I565" i="13"/>
  <c r="J565" i="13"/>
  <c r="K565" i="13"/>
  <c r="L565" i="13"/>
  <c r="M565" i="13"/>
  <c r="AI565" i="13"/>
  <c r="AJ565" i="13"/>
  <c r="AM565" i="13" s="1"/>
  <c r="AK565" i="13"/>
  <c r="AL565" i="13"/>
  <c r="AN565" i="13"/>
  <c r="A566" i="13"/>
  <c r="C566" i="13"/>
  <c r="D566" i="13"/>
  <c r="G566" i="13"/>
  <c r="H566" i="13"/>
  <c r="I566" i="13"/>
  <c r="J566" i="13"/>
  <c r="K566" i="13"/>
  <c r="L566" i="13"/>
  <c r="M566" i="13"/>
  <c r="AI566" i="13"/>
  <c r="AJ566" i="13"/>
  <c r="AM566" i="13" s="1"/>
  <c r="AK566" i="13"/>
  <c r="AL566" i="13"/>
  <c r="A567" i="13"/>
  <c r="C567" i="13"/>
  <c r="D567" i="13"/>
  <c r="G567" i="13"/>
  <c r="H567" i="13"/>
  <c r="I567" i="13"/>
  <c r="J567" i="13"/>
  <c r="K567" i="13"/>
  <c r="L567" i="13"/>
  <c r="M567" i="13"/>
  <c r="AI567" i="13"/>
  <c r="AJ567" i="13"/>
  <c r="AK567" i="13"/>
  <c r="AL567" i="13"/>
  <c r="AM567" i="13"/>
  <c r="AN567" i="13"/>
  <c r="A568" i="13"/>
  <c r="C568" i="13"/>
  <c r="D568" i="13"/>
  <c r="G568" i="13"/>
  <c r="H568" i="13"/>
  <c r="I568" i="13"/>
  <c r="J568" i="13"/>
  <c r="K568" i="13"/>
  <c r="L568" i="13"/>
  <c r="M568" i="13"/>
  <c r="AI568" i="13"/>
  <c r="AJ568" i="13"/>
  <c r="AM568" i="13" s="1"/>
  <c r="AK568" i="13"/>
  <c r="AL568" i="13"/>
  <c r="AN568" i="13"/>
  <c r="A569" i="13"/>
  <c r="C569" i="13"/>
  <c r="D569" i="13"/>
  <c r="G569" i="13"/>
  <c r="H569" i="13"/>
  <c r="I569" i="13"/>
  <c r="J569" i="13"/>
  <c r="K569" i="13"/>
  <c r="L569" i="13"/>
  <c r="M569" i="13"/>
  <c r="AI569" i="13"/>
  <c r="AJ569" i="13"/>
  <c r="AM569" i="13" s="1"/>
  <c r="AK569" i="13"/>
  <c r="AL569" i="13"/>
  <c r="A570" i="13"/>
  <c r="C570" i="13"/>
  <c r="D570" i="13"/>
  <c r="G570" i="13"/>
  <c r="H570" i="13"/>
  <c r="I570" i="13"/>
  <c r="J570" i="13"/>
  <c r="K570" i="13"/>
  <c r="L570" i="13"/>
  <c r="M570" i="13"/>
  <c r="AI570" i="13"/>
  <c r="AJ570" i="13"/>
  <c r="AK570" i="13"/>
  <c r="AL570" i="13"/>
  <c r="AM570" i="13"/>
  <c r="AN570" i="13"/>
  <c r="A571" i="13"/>
  <c r="C571" i="13"/>
  <c r="D571" i="13"/>
  <c r="G571" i="13"/>
  <c r="H571" i="13"/>
  <c r="I571" i="13"/>
  <c r="J571" i="13"/>
  <c r="K571" i="13"/>
  <c r="L571" i="13"/>
  <c r="M571" i="13"/>
  <c r="AI571" i="13"/>
  <c r="AJ571" i="13"/>
  <c r="AM571" i="13" s="1"/>
  <c r="AK571" i="13"/>
  <c r="AL571" i="13"/>
  <c r="AN571" i="13"/>
  <c r="A572" i="13"/>
  <c r="C572" i="13"/>
  <c r="D572" i="13"/>
  <c r="G572" i="13"/>
  <c r="H572" i="13"/>
  <c r="I572" i="13"/>
  <c r="J572" i="13"/>
  <c r="K572" i="13"/>
  <c r="L572" i="13"/>
  <c r="M572" i="13"/>
  <c r="AI572" i="13"/>
  <c r="AJ572" i="13"/>
  <c r="AM572" i="13" s="1"/>
  <c r="AK572" i="13"/>
  <c r="AL572" i="13"/>
  <c r="A573" i="13"/>
  <c r="C573" i="13"/>
  <c r="D573" i="13"/>
  <c r="G573" i="13"/>
  <c r="H573" i="13"/>
  <c r="I573" i="13"/>
  <c r="J573" i="13"/>
  <c r="K573" i="13"/>
  <c r="L573" i="13"/>
  <c r="M573" i="13"/>
  <c r="AI573" i="13"/>
  <c r="AJ573" i="13"/>
  <c r="AK573" i="13"/>
  <c r="AL573" i="13"/>
  <c r="AM573" i="13"/>
  <c r="AN573" i="13"/>
  <c r="A574" i="13"/>
  <c r="C574" i="13"/>
  <c r="D574" i="13"/>
  <c r="G574" i="13"/>
  <c r="H574" i="13"/>
  <c r="I574" i="13"/>
  <c r="J574" i="13"/>
  <c r="K574" i="13"/>
  <c r="L574" i="13"/>
  <c r="M574" i="13"/>
  <c r="AI574" i="13"/>
  <c r="AJ574" i="13"/>
  <c r="AM574" i="13" s="1"/>
  <c r="AK574" i="13"/>
  <c r="AL574" i="13"/>
  <c r="AN574" i="13"/>
  <c r="A575" i="13"/>
  <c r="C575" i="13"/>
  <c r="D575" i="13"/>
  <c r="G575" i="13"/>
  <c r="H575" i="13"/>
  <c r="I575" i="13"/>
  <c r="J575" i="13"/>
  <c r="K575" i="13"/>
  <c r="L575" i="13"/>
  <c r="M575" i="13"/>
  <c r="AI575" i="13"/>
  <c r="AJ575" i="13"/>
  <c r="AM575" i="13" s="1"/>
  <c r="AK575" i="13"/>
  <c r="AL575" i="13"/>
  <c r="A576" i="13"/>
  <c r="C576" i="13"/>
  <c r="D576" i="13"/>
  <c r="G576" i="13"/>
  <c r="H576" i="13"/>
  <c r="I576" i="13"/>
  <c r="J576" i="13"/>
  <c r="K576" i="13"/>
  <c r="L576" i="13"/>
  <c r="M576" i="13"/>
  <c r="AI576" i="13"/>
  <c r="AJ576" i="13"/>
  <c r="AK576" i="13"/>
  <c r="AL576" i="13"/>
  <c r="AM576" i="13"/>
  <c r="AN576" i="13"/>
  <c r="A577" i="13"/>
  <c r="C577" i="13"/>
  <c r="D577" i="13"/>
  <c r="G577" i="13"/>
  <c r="H577" i="13"/>
  <c r="I577" i="13"/>
  <c r="J577" i="13"/>
  <c r="K577" i="13"/>
  <c r="L577" i="13"/>
  <c r="M577" i="13"/>
  <c r="AI577" i="13"/>
  <c r="AJ577" i="13"/>
  <c r="AM577" i="13" s="1"/>
  <c r="AK577" i="13"/>
  <c r="AL577" i="13"/>
  <c r="AN577" i="13"/>
  <c r="A578" i="13"/>
  <c r="C578" i="13"/>
  <c r="D578" i="13"/>
  <c r="G578" i="13"/>
  <c r="H578" i="13"/>
  <c r="I578" i="13"/>
  <c r="J578" i="13"/>
  <c r="K578" i="13"/>
  <c r="L578" i="13"/>
  <c r="M578" i="13"/>
  <c r="AI578" i="13"/>
  <c r="AJ578" i="13"/>
  <c r="AM578" i="13" s="1"/>
  <c r="AK578" i="13"/>
  <c r="AL578" i="13"/>
  <c r="A579" i="13"/>
  <c r="C579" i="13"/>
  <c r="D579" i="13"/>
  <c r="G579" i="13"/>
  <c r="H579" i="13"/>
  <c r="I579" i="13"/>
  <c r="J579" i="13"/>
  <c r="K579" i="13"/>
  <c r="L579" i="13"/>
  <c r="M579" i="13"/>
  <c r="AI579" i="13"/>
  <c r="AJ579" i="13"/>
  <c r="AK579" i="13"/>
  <c r="AL579" i="13"/>
  <c r="AM579" i="13"/>
  <c r="AN579" i="13"/>
  <c r="A580" i="13"/>
  <c r="C580" i="13"/>
  <c r="D580" i="13"/>
  <c r="G580" i="13"/>
  <c r="H580" i="13"/>
  <c r="I580" i="13"/>
  <c r="J580" i="13"/>
  <c r="K580" i="13"/>
  <c r="L580" i="13"/>
  <c r="M580" i="13"/>
  <c r="AI580" i="13"/>
  <c r="AJ580" i="13"/>
  <c r="AM580" i="13" s="1"/>
  <c r="AK580" i="13"/>
  <c r="AL580" i="13"/>
  <c r="AN580" i="13"/>
  <c r="A581" i="13"/>
  <c r="C581" i="13"/>
  <c r="D581" i="13"/>
  <c r="G581" i="13"/>
  <c r="H581" i="13"/>
  <c r="I581" i="13"/>
  <c r="J581" i="13"/>
  <c r="K581" i="13"/>
  <c r="L581" i="13"/>
  <c r="M581" i="13"/>
  <c r="AI581" i="13"/>
  <c r="AJ581" i="13"/>
  <c r="AM581" i="13" s="1"/>
  <c r="AK581" i="13"/>
  <c r="AL581" i="13"/>
  <c r="A582" i="13"/>
  <c r="C582" i="13"/>
  <c r="D582" i="13"/>
  <c r="G582" i="13"/>
  <c r="H582" i="13"/>
  <c r="I582" i="13"/>
  <c r="J582" i="13"/>
  <c r="K582" i="13"/>
  <c r="L582" i="13"/>
  <c r="M582" i="13"/>
  <c r="AI582" i="13"/>
  <c r="AJ582" i="13"/>
  <c r="AK582" i="13"/>
  <c r="AL582" i="13"/>
  <c r="AM582" i="13"/>
  <c r="AN582" i="13"/>
  <c r="A583" i="13"/>
  <c r="C583" i="13"/>
  <c r="D583" i="13"/>
  <c r="G583" i="13"/>
  <c r="H583" i="13"/>
  <c r="I583" i="13"/>
  <c r="J583" i="13"/>
  <c r="K583" i="13"/>
  <c r="L583" i="13"/>
  <c r="M583" i="13"/>
  <c r="AI583" i="13"/>
  <c r="AJ583" i="13"/>
  <c r="AM583" i="13" s="1"/>
  <c r="AK583" i="13"/>
  <c r="AL583" i="13"/>
  <c r="AN583" i="13"/>
  <c r="A584" i="13"/>
  <c r="C584" i="13"/>
  <c r="D584" i="13"/>
  <c r="G584" i="13"/>
  <c r="H584" i="13"/>
  <c r="I584" i="13"/>
  <c r="J584" i="13"/>
  <c r="K584" i="13"/>
  <c r="L584" i="13"/>
  <c r="M584" i="13"/>
  <c r="AI584" i="13"/>
  <c r="AJ584" i="13"/>
  <c r="AM584" i="13" s="1"/>
  <c r="AK584" i="13"/>
  <c r="AL584" i="13"/>
  <c r="A585" i="13"/>
  <c r="C585" i="13"/>
  <c r="D585" i="13"/>
  <c r="G585" i="13"/>
  <c r="H585" i="13"/>
  <c r="I585" i="13"/>
  <c r="J585" i="13"/>
  <c r="K585" i="13"/>
  <c r="L585" i="13"/>
  <c r="M585" i="13"/>
  <c r="AI585" i="13"/>
  <c r="AJ585" i="13"/>
  <c r="AK585" i="13"/>
  <c r="AL585" i="13"/>
  <c r="AM585" i="13"/>
  <c r="AN585" i="13"/>
  <c r="A586" i="13"/>
  <c r="C586" i="13"/>
  <c r="D586" i="13"/>
  <c r="G586" i="13"/>
  <c r="H586" i="13"/>
  <c r="I586" i="13"/>
  <c r="J586" i="13"/>
  <c r="K586" i="13"/>
  <c r="L586" i="13"/>
  <c r="M586" i="13"/>
  <c r="AI586" i="13"/>
  <c r="AJ586" i="13"/>
  <c r="AM586" i="13" s="1"/>
  <c r="AK586" i="13"/>
  <c r="AL586" i="13"/>
  <c r="AN586" i="13"/>
  <c r="A587" i="13"/>
  <c r="C587" i="13"/>
  <c r="D587" i="13"/>
  <c r="G587" i="13"/>
  <c r="H587" i="13"/>
  <c r="I587" i="13"/>
  <c r="J587" i="13"/>
  <c r="K587" i="13"/>
  <c r="L587" i="13"/>
  <c r="M587" i="13"/>
  <c r="AI587" i="13"/>
  <c r="AJ587" i="13"/>
  <c r="AM587" i="13" s="1"/>
  <c r="AK587" i="13"/>
  <c r="AL587" i="13"/>
  <c r="A588" i="13"/>
  <c r="C588" i="13"/>
  <c r="D588" i="13"/>
  <c r="G588" i="13"/>
  <c r="H588" i="13"/>
  <c r="I588" i="13"/>
  <c r="J588" i="13"/>
  <c r="K588" i="13"/>
  <c r="L588" i="13"/>
  <c r="M588" i="13"/>
  <c r="AI588" i="13"/>
  <c r="AJ588" i="13"/>
  <c r="AK588" i="13"/>
  <c r="AL588" i="13"/>
  <c r="AM588" i="13"/>
  <c r="AN588" i="13"/>
  <c r="A589" i="13"/>
  <c r="C589" i="13"/>
  <c r="D589" i="13"/>
  <c r="G589" i="13"/>
  <c r="H589" i="13"/>
  <c r="I589" i="13"/>
  <c r="J589" i="13"/>
  <c r="K589" i="13"/>
  <c r="L589" i="13"/>
  <c r="M589" i="13"/>
  <c r="AI589" i="13"/>
  <c r="AJ589" i="13"/>
  <c r="AM589" i="13" s="1"/>
  <c r="AK589" i="13"/>
  <c r="AL589" i="13"/>
  <c r="AN589" i="13"/>
  <c r="A590" i="13"/>
  <c r="C590" i="13"/>
  <c r="D590" i="13"/>
  <c r="G590" i="13"/>
  <c r="H590" i="13"/>
  <c r="I590" i="13"/>
  <c r="J590" i="13"/>
  <c r="K590" i="13"/>
  <c r="L590" i="13"/>
  <c r="M590" i="13"/>
  <c r="AI590" i="13"/>
  <c r="AJ590" i="13"/>
  <c r="AM590" i="13" s="1"/>
  <c r="AK590" i="13"/>
  <c r="AL590" i="13"/>
  <c r="A591" i="13"/>
  <c r="C591" i="13"/>
  <c r="D591" i="13"/>
  <c r="G591" i="13"/>
  <c r="H591" i="13"/>
  <c r="I591" i="13"/>
  <c r="J591" i="13"/>
  <c r="K591" i="13"/>
  <c r="L591" i="13"/>
  <c r="M591" i="13"/>
  <c r="AI591" i="13"/>
  <c r="AJ591" i="13"/>
  <c r="AK591" i="13"/>
  <c r="AL591" i="13"/>
  <c r="AM591" i="13"/>
  <c r="AN591" i="13"/>
  <c r="A592" i="13"/>
  <c r="C592" i="13"/>
  <c r="D592" i="13"/>
  <c r="G592" i="13"/>
  <c r="H592" i="13"/>
  <c r="I592" i="13"/>
  <c r="J592" i="13"/>
  <c r="K592" i="13"/>
  <c r="L592" i="13"/>
  <c r="M592" i="13"/>
  <c r="AI592" i="13"/>
  <c r="AJ592" i="13"/>
  <c r="AM592" i="13" s="1"/>
  <c r="AK592" i="13"/>
  <c r="AL592" i="13"/>
  <c r="AN592" i="13"/>
  <c r="A593" i="13"/>
  <c r="C593" i="13"/>
  <c r="D593" i="13"/>
  <c r="G593" i="13"/>
  <c r="H593" i="13"/>
  <c r="I593" i="13"/>
  <c r="J593" i="13"/>
  <c r="K593" i="13"/>
  <c r="L593" i="13"/>
  <c r="M593" i="13"/>
  <c r="AI593" i="13"/>
  <c r="AJ593" i="13"/>
  <c r="AM593" i="13" s="1"/>
  <c r="AK593" i="13"/>
  <c r="AL593" i="13"/>
  <c r="A594" i="13"/>
  <c r="C594" i="13"/>
  <c r="D594" i="13"/>
  <c r="G594" i="13"/>
  <c r="H594" i="13"/>
  <c r="I594" i="13"/>
  <c r="J594" i="13"/>
  <c r="K594" i="13"/>
  <c r="L594" i="13"/>
  <c r="M594" i="13"/>
  <c r="AI594" i="13"/>
  <c r="AJ594" i="13"/>
  <c r="AK594" i="13"/>
  <c r="AL594" i="13"/>
  <c r="AM594" i="13"/>
  <c r="AN594" i="13"/>
  <c r="A595" i="13"/>
  <c r="C595" i="13"/>
  <c r="D595" i="13"/>
  <c r="G595" i="13"/>
  <c r="H595" i="13"/>
  <c r="I595" i="13"/>
  <c r="J595" i="13"/>
  <c r="K595" i="13"/>
  <c r="L595" i="13"/>
  <c r="M595" i="13"/>
  <c r="AI595" i="13"/>
  <c r="AJ595" i="13"/>
  <c r="AM595" i="13" s="1"/>
  <c r="AK595" i="13"/>
  <c r="AL595" i="13"/>
  <c r="AN595" i="13"/>
  <c r="A596" i="13"/>
  <c r="C596" i="13"/>
  <c r="D596" i="13"/>
  <c r="G596" i="13"/>
  <c r="H596" i="13"/>
  <c r="I596" i="13"/>
  <c r="J596" i="13"/>
  <c r="K596" i="13"/>
  <c r="L596" i="13"/>
  <c r="M596" i="13"/>
  <c r="AI596" i="13"/>
  <c r="AJ596" i="13"/>
  <c r="AM596" i="13" s="1"/>
  <c r="AK596" i="13"/>
  <c r="AL596" i="13"/>
  <c r="A597" i="13"/>
  <c r="C597" i="13"/>
  <c r="D597" i="13"/>
  <c r="G597" i="13"/>
  <c r="H597" i="13"/>
  <c r="I597" i="13"/>
  <c r="J597" i="13"/>
  <c r="K597" i="13"/>
  <c r="L597" i="13"/>
  <c r="M597" i="13"/>
  <c r="AI597" i="13"/>
  <c r="AJ597" i="13"/>
  <c r="AK597" i="13"/>
  <c r="AL597" i="13"/>
  <c r="AM597" i="13"/>
  <c r="AN597" i="13"/>
  <c r="A598" i="13"/>
  <c r="C598" i="13"/>
  <c r="D598" i="13"/>
  <c r="G598" i="13"/>
  <c r="H598" i="13"/>
  <c r="I598" i="13"/>
  <c r="J598" i="13"/>
  <c r="K598" i="13"/>
  <c r="L598" i="13"/>
  <c r="M598" i="13"/>
  <c r="AI598" i="13"/>
  <c r="AJ598" i="13"/>
  <c r="AM598" i="13" s="1"/>
  <c r="AK598" i="13"/>
  <c r="AL598" i="13"/>
  <c r="AN598" i="13"/>
  <c r="A599" i="13"/>
  <c r="C599" i="13"/>
  <c r="D599" i="13"/>
  <c r="G599" i="13"/>
  <c r="H599" i="13"/>
  <c r="I599" i="13"/>
  <c r="J599" i="13"/>
  <c r="K599" i="13"/>
  <c r="L599" i="13"/>
  <c r="M599" i="13"/>
  <c r="AI599" i="13"/>
  <c r="AJ599" i="13"/>
  <c r="AM599" i="13" s="1"/>
  <c r="AK599" i="13"/>
  <c r="AL599" i="13"/>
  <c r="A600" i="13"/>
  <c r="C600" i="13"/>
  <c r="D600" i="13"/>
  <c r="G600" i="13"/>
  <c r="H600" i="13"/>
  <c r="I600" i="13"/>
  <c r="J600" i="13"/>
  <c r="K600" i="13"/>
  <c r="L600" i="13"/>
  <c r="M600" i="13"/>
  <c r="AI600" i="13"/>
  <c r="AJ600" i="13"/>
  <c r="AK600" i="13"/>
  <c r="AL600" i="13"/>
  <c r="AM600" i="13"/>
  <c r="AN600" i="13"/>
  <c r="A601" i="13"/>
  <c r="C601" i="13"/>
  <c r="D601" i="13"/>
  <c r="G601" i="13"/>
  <c r="H601" i="13"/>
  <c r="I601" i="13"/>
  <c r="J601" i="13"/>
  <c r="K601" i="13"/>
  <c r="L601" i="13"/>
  <c r="M601" i="13"/>
  <c r="AI601" i="13"/>
  <c r="AJ601" i="13"/>
  <c r="AM601" i="13" s="1"/>
  <c r="AK601" i="13"/>
  <c r="AL601" i="13"/>
  <c r="AN601" i="13"/>
  <c r="A602" i="13"/>
  <c r="C602" i="13"/>
  <c r="D602" i="13"/>
  <c r="G602" i="13"/>
  <c r="H602" i="13"/>
  <c r="I602" i="13"/>
  <c r="J602" i="13"/>
  <c r="K602" i="13"/>
  <c r="L602" i="13"/>
  <c r="M602" i="13"/>
  <c r="AI602" i="13"/>
  <c r="AJ602" i="13"/>
  <c r="AM602" i="13" s="1"/>
  <c r="AK602" i="13"/>
  <c r="AL602" i="13"/>
  <c r="A603" i="13"/>
  <c r="C603" i="13"/>
  <c r="D603" i="13"/>
  <c r="G603" i="13"/>
  <c r="H603" i="13"/>
  <c r="I603" i="13"/>
  <c r="J603" i="13"/>
  <c r="K603" i="13"/>
  <c r="L603" i="13"/>
  <c r="M603" i="13"/>
  <c r="AI603" i="13"/>
  <c r="AJ603" i="13"/>
  <c r="AK603" i="13"/>
  <c r="AL603" i="13"/>
  <c r="AM603" i="13"/>
  <c r="AN603" i="13"/>
  <c r="A604" i="13"/>
  <c r="C604" i="13"/>
  <c r="D604" i="13"/>
  <c r="G604" i="13"/>
  <c r="H604" i="13"/>
  <c r="I604" i="13"/>
  <c r="J604" i="13"/>
  <c r="K604" i="13"/>
  <c r="L604" i="13"/>
  <c r="M604" i="13"/>
  <c r="AI604" i="13"/>
  <c r="AJ604" i="13"/>
  <c r="AM604" i="13" s="1"/>
  <c r="AK604" i="13"/>
  <c r="AL604" i="13"/>
  <c r="AN604" i="13"/>
  <c r="A605" i="13"/>
  <c r="C605" i="13"/>
  <c r="D605" i="13"/>
  <c r="G605" i="13"/>
  <c r="H605" i="13"/>
  <c r="I605" i="13"/>
  <c r="J605" i="13"/>
  <c r="K605" i="13"/>
  <c r="L605" i="13"/>
  <c r="M605" i="13"/>
  <c r="AI605" i="13"/>
  <c r="AJ605" i="13"/>
  <c r="AM605" i="13" s="1"/>
  <c r="AK605" i="13"/>
  <c r="AL605" i="13"/>
  <c r="A606" i="13"/>
  <c r="C606" i="13"/>
  <c r="D606" i="13"/>
  <c r="G606" i="13"/>
  <c r="H606" i="13"/>
  <c r="I606" i="13"/>
  <c r="J606" i="13"/>
  <c r="K606" i="13"/>
  <c r="L606" i="13"/>
  <c r="M606" i="13"/>
  <c r="AI606" i="13"/>
  <c r="AJ606" i="13"/>
  <c r="AK606" i="13"/>
  <c r="AL606" i="13"/>
  <c r="AM606" i="13"/>
  <c r="AN606" i="13"/>
  <c r="A607" i="13"/>
  <c r="C607" i="13"/>
  <c r="D607" i="13"/>
  <c r="G607" i="13"/>
  <c r="H607" i="13"/>
  <c r="I607" i="13"/>
  <c r="J607" i="13"/>
  <c r="K607" i="13"/>
  <c r="L607" i="13"/>
  <c r="M607" i="13"/>
  <c r="AI607" i="13"/>
  <c r="AJ607" i="13"/>
  <c r="AM607" i="13" s="1"/>
  <c r="AK607" i="13"/>
  <c r="AL607" i="13"/>
  <c r="AN607" i="13"/>
  <c r="A608" i="13"/>
  <c r="C608" i="13"/>
  <c r="D608" i="13"/>
  <c r="G608" i="13"/>
  <c r="H608" i="13"/>
  <c r="I608" i="13"/>
  <c r="J608" i="13"/>
  <c r="K608" i="13"/>
  <c r="L608" i="13"/>
  <c r="M608" i="13"/>
  <c r="AI608" i="13"/>
  <c r="AJ608" i="13"/>
  <c r="AM608" i="13" s="1"/>
  <c r="AK608" i="13"/>
  <c r="AL608" i="13"/>
  <c r="A609" i="13"/>
  <c r="C609" i="13"/>
  <c r="D609" i="13"/>
  <c r="G609" i="13"/>
  <c r="H609" i="13"/>
  <c r="I609" i="13"/>
  <c r="J609" i="13"/>
  <c r="K609" i="13"/>
  <c r="L609" i="13"/>
  <c r="M609" i="13"/>
  <c r="AI609" i="13"/>
  <c r="AJ609" i="13"/>
  <c r="AK609" i="13"/>
  <c r="AL609" i="13"/>
  <c r="AM609" i="13"/>
  <c r="AN609" i="13"/>
  <c r="A610" i="13"/>
  <c r="C610" i="13"/>
  <c r="D610" i="13"/>
  <c r="G610" i="13"/>
  <c r="H610" i="13"/>
  <c r="I610" i="13"/>
  <c r="J610" i="13"/>
  <c r="K610" i="13"/>
  <c r="L610" i="13"/>
  <c r="M610" i="13"/>
  <c r="AI610" i="13"/>
  <c r="AJ610" i="13"/>
  <c r="AM610" i="13" s="1"/>
  <c r="AK610" i="13"/>
  <c r="AL610" i="13"/>
  <c r="AN610" i="13"/>
  <c r="A611" i="13"/>
  <c r="C611" i="13"/>
  <c r="D611" i="13"/>
  <c r="G611" i="13"/>
  <c r="H611" i="13"/>
  <c r="I611" i="13"/>
  <c r="J611" i="13"/>
  <c r="K611" i="13"/>
  <c r="L611" i="13"/>
  <c r="M611" i="13"/>
  <c r="AI611" i="13"/>
  <c r="AJ611" i="13"/>
  <c r="AM611" i="13" s="1"/>
  <c r="AK611" i="13"/>
  <c r="AL611" i="13"/>
  <c r="A612" i="13"/>
  <c r="C612" i="13"/>
  <c r="D612" i="13"/>
  <c r="G612" i="13"/>
  <c r="H612" i="13"/>
  <c r="I612" i="13"/>
  <c r="J612" i="13"/>
  <c r="K612" i="13"/>
  <c r="L612" i="13"/>
  <c r="M612" i="13"/>
  <c r="AI612" i="13"/>
  <c r="AJ612" i="13"/>
  <c r="AK612" i="13"/>
  <c r="AL612" i="13"/>
  <c r="AM612" i="13"/>
  <c r="AN612" i="13"/>
  <c r="A613" i="13"/>
  <c r="C613" i="13"/>
  <c r="D613" i="13"/>
  <c r="G613" i="13"/>
  <c r="H613" i="13"/>
  <c r="I613" i="13"/>
  <c r="J613" i="13"/>
  <c r="K613" i="13"/>
  <c r="L613" i="13"/>
  <c r="M613" i="13"/>
  <c r="AI613" i="13"/>
  <c r="AJ613" i="13"/>
  <c r="AM613" i="13" s="1"/>
  <c r="AK613" i="13"/>
  <c r="AL613" i="13"/>
  <c r="AN613" i="13"/>
  <c r="A614" i="13"/>
  <c r="C614" i="13"/>
  <c r="D614" i="13"/>
  <c r="G614" i="13"/>
  <c r="H614" i="13"/>
  <c r="I614" i="13"/>
  <c r="J614" i="13"/>
  <c r="K614" i="13"/>
  <c r="L614" i="13"/>
  <c r="M614" i="13"/>
  <c r="AI614" i="13"/>
  <c r="AJ614" i="13"/>
  <c r="AM614" i="13" s="1"/>
  <c r="AK614" i="13"/>
  <c r="AL614" i="13"/>
  <c r="A615" i="13"/>
  <c r="C615" i="13"/>
  <c r="D615" i="13"/>
  <c r="G615" i="13"/>
  <c r="H615" i="13"/>
  <c r="I615" i="13"/>
  <c r="J615" i="13"/>
  <c r="K615" i="13"/>
  <c r="L615" i="13"/>
  <c r="M615" i="13"/>
  <c r="AI615" i="13"/>
  <c r="AJ615" i="13"/>
  <c r="AK615" i="13"/>
  <c r="AL615" i="13"/>
  <c r="AM615" i="13"/>
  <c r="AN615" i="13"/>
  <c r="A616" i="13"/>
  <c r="C616" i="13"/>
  <c r="D616" i="13"/>
  <c r="G616" i="13"/>
  <c r="H616" i="13"/>
  <c r="I616" i="13"/>
  <c r="J616" i="13"/>
  <c r="K616" i="13"/>
  <c r="L616" i="13"/>
  <c r="M616" i="13"/>
  <c r="AI616" i="13"/>
  <c r="AJ616" i="13"/>
  <c r="AM616" i="13" s="1"/>
  <c r="AK616" i="13"/>
  <c r="AL616" i="13"/>
  <c r="AN616" i="13"/>
  <c r="A617" i="13"/>
  <c r="C617" i="13"/>
  <c r="D617" i="13"/>
  <c r="G617" i="13"/>
  <c r="H617" i="13"/>
  <c r="I617" i="13"/>
  <c r="J617" i="13"/>
  <c r="K617" i="13"/>
  <c r="L617" i="13"/>
  <c r="M617" i="13"/>
  <c r="AI617" i="13"/>
  <c r="AJ617" i="13"/>
  <c r="AM617" i="13" s="1"/>
  <c r="AK617" i="13"/>
  <c r="AL617" i="13"/>
  <c r="A618" i="13"/>
  <c r="C618" i="13"/>
  <c r="D618" i="13"/>
  <c r="G618" i="13"/>
  <c r="H618" i="13"/>
  <c r="I618" i="13"/>
  <c r="J618" i="13"/>
  <c r="K618" i="13"/>
  <c r="L618" i="13"/>
  <c r="M618" i="13"/>
  <c r="AI618" i="13"/>
  <c r="AJ618" i="13"/>
  <c r="AK618" i="13"/>
  <c r="AL618" i="13"/>
  <c r="AM618" i="13"/>
  <c r="AN618" i="13"/>
  <c r="A619" i="13"/>
  <c r="C619" i="13"/>
  <c r="D619" i="13"/>
  <c r="G619" i="13"/>
  <c r="H619" i="13"/>
  <c r="I619" i="13"/>
  <c r="J619" i="13"/>
  <c r="K619" i="13"/>
  <c r="L619" i="13"/>
  <c r="M619" i="13"/>
  <c r="AI619" i="13"/>
  <c r="AJ619" i="13"/>
  <c r="AM619" i="13" s="1"/>
  <c r="AK619" i="13"/>
  <c r="AL619" i="13"/>
  <c r="AN619" i="13"/>
  <c r="A620" i="13"/>
  <c r="C620" i="13"/>
  <c r="D620" i="13"/>
  <c r="G620" i="13"/>
  <c r="H620" i="13"/>
  <c r="I620" i="13"/>
  <c r="J620" i="13"/>
  <c r="K620" i="13"/>
  <c r="L620" i="13"/>
  <c r="M620" i="13"/>
  <c r="AI620" i="13"/>
  <c r="AJ620" i="13"/>
  <c r="AM620" i="13" s="1"/>
  <c r="AK620" i="13"/>
  <c r="AL620" i="13"/>
  <c r="A621" i="13"/>
  <c r="C621" i="13"/>
  <c r="D621" i="13"/>
  <c r="G621" i="13"/>
  <c r="H621" i="13"/>
  <c r="I621" i="13"/>
  <c r="J621" i="13"/>
  <c r="K621" i="13"/>
  <c r="L621" i="13"/>
  <c r="M621" i="13"/>
  <c r="AI621" i="13"/>
  <c r="AJ621" i="13"/>
  <c r="AK621" i="13"/>
  <c r="AL621" i="13"/>
  <c r="AM621" i="13"/>
  <c r="AN621" i="13"/>
  <c r="A622" i="13"/>
  <c r="C622" i="13"/>
  <c r="D622" i="13"/>
  <c r="G622" i="13"/>
  <c r="H622" i="13"/>
  <c r="I622" i="13"/>
  <c r="J622" i="13"/>
  <c r="K622" i="13"/>
  <c r="L622" i="13"/>
  <c r="M622" i="13"/>
  <c r="AI622" i="13"/>
  <c r="AJ622" i="13"/>
  <c r="AM622" i="13" s="1"/>
  <c r="AK622" i="13"/>
  <c r="AL622" i="13"/>
  <c r="AN622" i="13"/>
  <c r="A623" i="13"/>
  <c r="C623" i="13"/>
  <c r="D623" i="13"/>
  <c r="G623" i="13"/>
  <c r="H623" i="13"/>
  <c r="I623" i="13"/>
  <c r="J623" i="13"/>
  <c r="K623" i="13"/>
  <c r="L623" i="13"/>
  <c r="M623" i="13"/>
  <c r="AI623" i="13"/>
  <c r="AJ623" i="13"/>
  <c r="AM623" i="13" s="1"/>
  <c r="AK623" i="13"/>
  <c r="AL623" i="13"/>
  <c r="A624" i="13"/>
  <c r="C624" i="13"/>
  <c r="D624" i="13"/>
  <c r="G624" i="13"/>
  <c r="H624" i="13"/>
  <c r="I624" i="13"/>
  <c r="J624" i="13"/>
  <c r="K624" i="13"/>
  <c r="L624" i="13"/>
  <c r="M624" i="13"/>
  <c r="AI624" i="13"/>
  <c r="AJ624" i="13"/>
  <c r="AK624" i="13"/>
  <c r="AL624" i="13"/>
  <c r="AM624" i="13"/>
  <c r="AN624" i="13"/>
  <c r="A625" i="13"/>
  <c r="C625" i="13"/>
  <c r="D625" i="13"/>
  <c r="G625" i="13"/>
  <c r="H625" i="13"/>
  <c r="I625" i="13"/>
  <c r="J625" i="13"/>
  <c r="K625" i="13"/>
  <c r="L625" i="13"/>
  <c r="M625" i="13"/>
  <c r="AI625" i="13"/>
  <c r="AJ625" i="13"/>
  <c r="AM625" i="13" s="1"/>
  <c r="AK625" i="13"/>
  <c r="AL625" i="13"/>
  <c r="AN625" i="13"/>
  <c r="A626" i="13"/>
  <c r="C626" i="13"/>
  <c r="D626" i="13"/>
  <c r="G626" i="13"/>
  <c r="H626" i="13"/>
  <c r="I626" i="13"/>
  <c r="J626" i="13"/>
  <c r="K626" i="13"/>
  <c r="L626" i="13"/>
  <c r="M626" i="13"/>
  <c r="AI626" i="13"/>
  <c r="AJ626" i="13"/>
  <c r="AM626" i="13" s="1"/>
  <c r="AK626" i="13"/>
  <c r="AL626" i="13"/>
  <c r="A627" i="13"/>
  <c r="C627" i="13"/>
  <c r="D627" i="13"/>
  <c r="G627" i="13"/>
  <c r="H627" i="13"/>
  <c r="I627" i="13"/>
  <c r="J627" i="13"/>
  <c r="K627" i="13"/>
  <c r="L627" i="13"/>
  <c r="M627" i="13"/>
  <c r="AI627" i="13"/>
  <c r="AJ627" i="13"/>
  <c r="AK627" i="13"/>
  <c r="AL627" i="13"/>
  <c r="AM627" i="13"/>
  <c r="AN627" i="13"/>
  <c r="A628" i="13"/>
  <c r="C628" i="13"/>
  <c r="D628" i="13"/>
  <c r="G628" i="13"/>
  <c r="H628" i="13"/>
  <c r="I628" i="13"/>
  <c r="J628" i="13"/>
  <c r="K628" i="13"/>
  <c r="L628" i="13"/>
  <c r="M628" i="13"/>
  <c r="AI628" i="13"/>
  <c r="AJ628" i="13"/>
  <c r="AM628" i="13" s="1"/>
  <c r="AK628" i="13"/>
  <c r="AL628" i="13"/>
  <c r="AN628" i="13"/>
  <c r="A629" i="13"/>
  <c r="C629" i="13"/>
  <c r="D629" i="13"/>
  <c r="G629" i="13"/>
  <c r="H629" i="13"/>
  <c r="I629" i="13"/>
  <c r="J629" i="13"/>
  <c r="K629" i="13"/>
  <c r="L629" i="13"/>
  <c r="M629" i="13"/>
  <c r="AI629" i="13"/>
  <c r="AJ629" i="13"/>
  <c r="AM629" i="13" s="1"/>
  <c r="AK629" i="13"/>
  <c r="AL629" i="13"/>
  <c r="A630" i="13"/>
  <c r="C630" i="13"/>
  <c r="D630" i="13"/>
  <c r="G630" i="13"/>
  <c r="H630" i="13"/>
  <c r="I630" i="13"/>
  <c r="J630" i="13"/>
  <c r="K630" i="13"/>
  <c r="L630" i="13"/>
  <c r="M630" i="13"/>
  <c r="AI630" i="13"/>
  <c r="AJ630" i="13"/>
  <c r="AK630" i="13"/>
  <c r="AL630" i="13"/>
  <c r="AM630" i="13"/>
  <c r="AN630" i="13"/>
  <c r="A631" i="13"/>
  <c r="C631" i="13"/>
  <c r="D631" i="13"/>
  <c r="G631" i="13"/>
  <c r="H631" i="13"/>
  <c r="I631" i="13"/>
  <c r="J631" i="13"/>
  <c r="K631" i="13"/>
  <c r="L631" i="13"/>
  <c r="M631" i="13"/>
  <c r="AI631" i="13"/>
  <c r="AJ631" i="13"/>
  <c r="AM631" i="13" s="1"/>
  <c r="AK631" i="13"/>
  <c r="AL631" i="13"/>
  <c r="AN631" i="13"/>
  <c r="A632" i="13"/>
  <c r="C632" i="13"/>
  <c r="D632" i="13"/>
  <c r="G632" i="13"/>
  <c r="H632" i="13"/>
  <c r="I632" i="13"/>
  <c r="J632" i="13"/>
  <c r="K632" i="13"/>
  <c r="L632" i="13"/>
  <c r="M632" i="13"/>
  <c r="AI632" i="13"/>
  <c r="AJ632" i="13"/>
  <c r="AM632" i="13" s="1"/>
  <c r="AK632" i="13"/>
  <c r="AL632" i="13"/>
  <c r="A633" i="13"/>
  <c r="C633" i="13"/>
  <c r="D633" i="13"/>
  <c r="G633" i="13"/>
  <c r="H633" i="13"/>
  <c r="I633" i="13"/>
  <c r="J633" i="13"/>
  <c r="K633" i="13"/>
  <c r="L633" i="13"/>
  <c r="M633" i="13"/>
  <c r="AI633" i="13"/>
  <c r="AJ633" i="13"/>
  <c r="AK633" i="13"/>
  <c r="AL633" i="13"/>
  <c r="AM633" i="13"/>
  <c r="AN633" i="13"/>
  <c r="A634" i="13"/>
  <c r="C634" i="13"/>
  <c r="D634" i="13"/>
  <c r="G634" i="13"/>
  <c r="H634" i="13"/>
  <c r="I634" i="13"/>
  <c r="J634" i="13"/>
  <c r="K634" i="13"/>
  <c r="L634" i="13"/>
  <c r="M634" i="13"/>
  <c r="AI634" i="13"/>
  <c r="AJ634" i="13"/>
  <c r="AM634" i="13" s="1"/>
  <c r="AK634" i="13"/>
  <c r="AL634" i="13"/>
  <c r="AN634" i="13"/>
  <c r="A635" i="13"/>
  <c r="C635" i="13"/>
  <c r="D635" i="13"/>
  <c r="G635" i="13"/>
  <c r="H635" i="13"/>
  <c r="I635" i="13"/>
  <c r="J635" i="13"/>
  <c r="K635" i="13"/>
  <c r="L635" i="13"/>
  <c r="M635" i="13"/>
  <c r="AI635" i="13"/>
  <c r="AJ635" i="13"/>
  <c r="AM635" i="13" s="1"/>
  <c r="AK635" i="13"/>
  <c r="AL635" i="13"/>
  <c r="A636" i="13"/>
  <c r="C636" i="13"/>
  <c r="D636" i="13"/>
  <c r="G636" i="13"/>
  <c r="H636" i="13"/>
  <c r="I636" i="13"/>
  <c r="J636" i="13"/>
  <c r="K636" i="13"/>
  <c r="L636" i="13"/>
  <c r="M636" i="13"/>
  <c r="AI636" i="13"/>
  <c r="AJ636" i="13"/>
  <c r="AK636" i="13"/>
  <c r="AL636" i="13"/>
  <c r="AM636" i="13"/>
  <c r="AN636" i="13"/>
  <c r="A637" i="13"/>
  <c r="C637" i="13"/>
  <c r="D637" i="13"/>
  <c r="G637" i="13"/>
  <c r="H637" i="13"/>
  <c r="I637" i="13"/>
  <c r="J637" i="13"/>
  <c r="K637" i="13"/>
  <c r="L637" i="13"/>
  <c r="M637" i="13"/>
  <c r="AI637" i="13"/>
  <c r="AJ637" i="13"/>
  <c r="AM637" i="13" s="1"/>
  <c r="AK637" i="13"/>
  <c r="AL637" i="13"/>
  <c r="AN637" i="13"/>
  <c r="A638" i="13"/>
  <c r="C638" i="13"/>
  <c r="D638" i="13"/>
  <c r="G638" i="13"/>
  <c r="H638" i="13"/>
  <c r="I638" i="13"/>
  <c r="J638" i="13"/>
  <c r="K638" i="13"/>
  <c r="L638" i="13"/>
  <c r="M638" i="13"/>
  <c r="AI638" i="13"/>
  <c r="AJ638" i="13"/>
  <c r="AM638" i="13" s="1"/>
  <c r="AK638" i="13"/>
  <c r="AL638" i="13"/>
  <c r="A639" i="13"/>
  <c r="C639" i="13"/>
  <c r="D639" i="13"/>
  <c r="G639" i="13"/>
  <c r="H639" i="13"/>
  <c r="I639" i="13"/>
  <c r="J639" i="13"/>
  <c r="K639" i="13"/>
  <c r="L639" i="13"/>
  <c r="M639" i="13"/>
  <c r="AI639" i="13"/>
  <c r="AJ639" i="13"/>
  <c r="AK639" i="13"/>
  <c r="AL639" i="13"/>
  <c r="AM639" i="13"/>
  <c r="AN639" i="13"/>
  <c r="A640" i="13"/>
  <c r="C640" i="13"/>
  <c r="D640" i="13"/>
  <c r="G640" i="13"/>
  <c r="H640" i="13"/>
  <c r="I640" i="13"/>
  <c r="J640" i="13"/>
  <c r="K640" i="13"/>
  <c r="L640" i="13"/>
  <c r="M640" i="13"/>
  <c r="AI640" i="13"/>
  <c r="AJ640" i="13"/>
  <c r="AM640" i="13" s="1"/>
  <c r="AK640" i="13"/>
  <c r="AL640" i="13"/>
  <c r="AN640" i="13"/>
  <c r="A641" i="13"/>
  <c r="C641" i="13"/>
  <c r="D641" i="13"/>
  <c r="G641" i="13"/>
  <c r="H641" i="13"/>
  <c r="I641" i="13"/>
  <c r="J641" i="13"/>
  <c r="K641" i="13"/>
  <c r="L641" i="13"/>
  <c r="M641" i="13"/>
  <c r="AI641" i="13"/>
  <c r="AJ641" i="13"/>
  <c r="AM641" i="13" s="1"/>
  <c r="AK641" i="13"/>
  <c r="AL641" i="13"/>
  <c r="A642" i="13"/>
  <c r="C642" i="13"/>
  <c r="D642" i="13"/>
  <c r="G642" i="13"/>
  <c r="H642" i="13"/>
  <c r="I642" i="13"/>
  <c r="J642" i="13"/>
  <c r="K642" i="13"/>
  <c r="L642" i="13"/>
  <c r="M642" i="13"/>
  <c r="AI642" i="13"/>
  <c r="AJ642" i="13"/>
  <c r="AK642" i="13"/>
  <c r="AL642" i="13"/>
  <c r="AM642" i="13"/>
  <c r="AN642" i="13"/>
  <c r="A643" i="13"/>
  <c r="C643" i="13"/>
  <c r="D643" i="13"/>
  <c r="G643" i="13"/>
  <c r="H643" i="13"/>
  <c r="I643" i="13"/>
  <c r="J643" i="13"/>
  <c r="K643" i="13"/>
  <c r="L643" i="13"/>
  <c r="M643" i="13"/>
  <c r="AI643" i="13"/>
  <c r="AJ643" i="13"/>
  <c r="AM643" i="13" s="1"/>
  <c r="AK643" i="13"/>
  <c r="AL643" i="13"/>
  <c r="AN643" i="13"/>
  <c r="A644" i="13"/>
  <c r="C644" i="13"/>
  <c r="D644" i="13"/>
  <c r="G644" i="13"/>
  <c r="H644" i="13"/>
  <c r="I644" i="13"/>
  <c r="J644" i="13"/>
  <c r="K644" i="13"/>
  <c r="L644" i="13"/>
  <c r="M644" i="13"/>
  <c r="AI644" i="13"/>
  <c r="AJ644" i="13"/>
  <c r="AM644" i="13" s="1"/>
  <c r="AK644" i="13"/>
  <c r="AL644" i="13"/>
  <c r="A645" i="13"/>
  <c r="C645" i="13"/>
  <c r="D645" i="13"/>
  <c r="G645" i="13"/>
  <c r="H645" i="13"/>
  <c r="I645" i="13"/>
  <c r="J645" i="13"/>
  <c r="K645" i="13"/>
  <c r="L645" i="13"/>
  <c r="M645" i="13"/>
  <c r="AI645" i="13"/>
  <c r="AJ645" i="13"/>
  <c r="AK645" i="13"/>
  <c r="AL645" i="13"/>
  <c r="AM645" i="13"/>
  <c r="AN645" i="13"/>
  <c r="A646" i="13"/>
  <c r="C646" i="13"/>
  <c r="D646" i="13"/>
  <c r="G646" i="13"/>
  <c r="H646" i="13"/>
  <c r="I646" i="13"/>
  <c r="J646" i="13"/>
  <c r="K646" i="13"/>
  <c r="L646" i="13"/>
  <c r="M646" i="13"/>
  <c r="AI646" i="13"/>
  <c r="AJ646" i="13"/>
  <c r="AM646" i="13" s="1"/>
  <c r="AK646" i="13"/>
  <c r="AL646" i="13"/>
  <c r="AN646" i="13"/>
  <c r="A647" i="13"/>
  <c r="C647" i="13"/>
  <c r="D647" i="13"/>
  <c r="G647" i="13"/>
  <c r="H647" i="13"/>
  <c r="I647" i="13"/>
  <c r="J647" i="13"/>
  <c r="K647" i="13"/>
  <c r="L647" i="13"/>
  <c r="M647" i="13"/>
  <c r="AI647" i="13"/>
  <c r="AJ647" i="13"/>
  <c r="AM647" i="13" s="1"/>
  <c r="AK647" i="13"/>
  <c r="AL647" i="13"/>
  <c r="A648" i="13"/>
  <c r="C648" i="13"/>
  <c r="D648" i="13"/>
  <c r="G648" i="13"/>
  <c r="H648" i="13"/>
  <c r="I648" i="13"/>
  <c r="J648" i="13"/>
  <c r="K648" i="13"/>
  <c r="L648" i="13"/>
  <c r="M648" i="13"/>
  <c r="AI648" i="13"/>
  <c r="AJ648" i="13"/>
  <c r="AK648" i="13"/>
  <c r="AL648" i="13"/>
  <c r="AM648" i="13"/>
  <c r="AN648" i="13"/>
  <c r="A649" i="13"/>
  <c r="C649" i="13"/>
  <c r="D649" i="13"/>
  <c r="G649" i="13"/>
  <c r="H649" i="13"/>
  <c r="I649" i="13"/>
  <c r="J649" i="13"/>
  <c r="K649" i="13"/>
  <c r="L649" i="13"/>
  <c r="M649" i="13"/>
  <c r="AI649" i="13"/>
  <c r="AJ649" i="13"/>
  <c r="AM649" i="13" s="1"/>
  <c r="AK649" i="13"/>
  <c r="AL649" i="13"/>
  <c r="AN649" i="13"/>
  <c r="A650" i="13"/>
  <c r="C650" i="13"/>
  <c r="D650" i="13"/>
  <c r="G650" i="13"/>
  <c r="H650" i="13"/>
  <c r="I650" i="13"/>
  <c r="J650" i="13"/>
  <c r="K650" i="13"/>
  <c r="L650" i="13"/>
  <c r="M650" i="13"/>
  <c r="AI650" i="13"/>
  <c r="AJ650" i="13"/>
  <c r="AM650" i="13" s="1"/>
  <c r="AK650" i="13"/>
  <c r="AL650" i="13"/>
  <c r="A651" i="13"/>
  <c r="C651" i="13"/>
  <c r="D651" i="13"/>
  <c r="G651" i="13"/>
  <c r="H651" i="13"/>
  <c r="I651" i="13"/>
  <c r="J651" i="13"/>
  <c r="K651" i="13"/>
  <c r="L651" i="13"/>
  <c r="M651" i="13"/>
  <c r="AI651" i="13"/>
  <c r="AJ651" i="13"/>
  <c r="AK651" i="13"/>
  <c r="AL651" i="13"/>
  <c r="AM651" i="13"/>
  <c r="AN651" i="13"/>
  <c r="A652" i="13"/>
  <c r="C652" i="13"/>
  <c r="D652" i="13"/>
  <c r="G652" i="13"/>
  <c r="H652" i="13"/>
  <c r="I652" i="13"/>
  <c r="J652" i="13"/>
  <c r="K652" i="13"/>
  <c r="L652" i="13"/>
  <c r="M652" i="13"/>
  <c r="AI652" i="13"/>
  <c r="AJ652" i="13"/>
  <c r="AM652" i="13" s="1"/>
  <c r="AK652" i="13"/>
  <c r="AL652" i="13"/>
  <c r="AN652" i="13"/>
  <c r="A653" i="13"/>
  <c r="C653" i="13"/>
  <c r="D653" i="13"/>
  <c r="G653" i="13"/>
  <c r="H653" i="13"/>
  <c r="I653" i="13"/>
  <c r="J653" i="13"/>
  <c r="K653" i="13"/>
  <c r="L653" i="13"/>
  <c r="M653" i="13"/>
  <c r="AI653" i="13"/>
  <c r="AJ653" i="13"/>
  <c r="AM653" i="13" s="1"/>
  <c r="AK653" i="13"/>
  <c r="AL653" i="13"/>
  <c r="A654" i="13"/>
  <c r="C654" i="13"/>
  <c r="D654" i="13"/>
  <c r="G654" i="13"/>
  <c r="H654" i="13"/>
  <c r="I654" i="13"/>
  <c r="J654" i="13"/>
  <c r="K654" i="13"/>
  <c r="L654" i="13"/>
  <c r="M654" i="13"/>
  <c r="AI654" i="13"/>
  <c r="AJ654" i="13"/>
  <c r="AK654" i="13"/>
  <c r="AL654" i="13"/>
  <c r="AM654" i="13"/>
  <c r="AN654" i="13"/>
  <c r="A655" i="13"/>
  <c r="C655" i="13"/>
  <c r="D655" i="13"/>
  <c r="G655" i="13"/>
  <c r="H655" i="13"/>
  <c r="I655" i="13"/>
  <c r="J655" i="13"/>
  <c r="K655" i="13"/>
  <c r="L655" i="13"/>
  <c r="M655" i="13"/>
  <c r="AI655" i="13"/>
  <c r="AJ655" i="13"/>
  <c r="AM655" i="13" s="1"/>
  <c r="AK655" i="13"/>
  <c r="AL655" i="13"/>
  <c r="AN655" i="13"/>
  <c r="A656" i="13"/>
  <c r="C656" i="13"/>
  <c r="D656" i="13"/>
  <c r="G656" i="13"/>
  <c r="H656" i="13"/>
  <c r="I656" i="13"/>
  <c r="J656" i="13"/>
  <c r="K656" i="13"/>
  <c r="L656" i="13"/>
  <c r="M656" i="13"/>
  <c r="AI656" i="13"/>
  <c r="AJ656" i="13"/>
  <c r="AM656" i="13" s="1"/>
  <c r="AK656" i="13"/>
  <c r="AL656" i="13"/>
  <c r="A657" i="13"/>
  <c r="C657" i="13"/>
  <c r="D657" i="13"/>
  <c r="G657" i="13"/>
  <c r="H657" i="13"/>
  <c r="I657" i="13"/>
  <c r="J657" i="13"/>
  <c r="K657" i="13"/>
  <c r="L657" i="13"/>
  <c r="M657" i="13"/>
  <c r="AI657" i="13"/>
  <c r="AJ657" i="13"/>
  <c r="AK657" i="13"/>
  <c r="AL657" i="13"/>
  <c r="AM657" i="13"/>
  <c r="AN657" i="13"/>
  <c r="A658" i="13"/>
  <c r="C658" i="13"/>
  <c r="D658" i="13"/>
  <c r="G658" i="13"/>
  <c r="H658" i="13"/>
  <c r="I658" i="13"/>
  <c r="J658" i="13"/>
  <c r="K658" i="13"/>
  <c r="L658" i="13"/>
  <c r="M658" i="13"/>
  <c r="AI658" i="13"/>
  <c r="AJ658" i="13"/>
  <c r="AM658" i="13" s="1"/>
  <c r="AK658" i="13"/>
  <c r="AL658" i="13"/>
  <c r="AN658" i="13"/>
  <c r="A659" i="13"/>
  <c r="C659" i="13"/>
  <c r="D659" i="13"/>
  <c r="G659" i="13"/>
  <c r="H659" i="13"/>
  <c r="I659" i="13"/>
  <c r="J659" i="13"/>
  <c r="K659" i="13"/>
  <c r="L659" i="13"/>
  <c r="M659" i="13"/>
  <c r="AI659" i="13"/>
  <c r="AJ659" i="13"/>
  <c r="AM659" i="13" s="1"/>
  <c r="AK659" i="13"/>
  <c r="AL659" i="13"/>
  <c r="A660" i="13"/>
  <c r="C660" i="13"/>
  <c r="D660" i="13"/>
  <c r="G660" i="13"/>
  <c r="H660" i="13"/>
  <c r="I660" i="13"/>
  <c r="J660" i="13"/>
  <c r="K660" i="13"/>
  <c r="L660" i="13"/>
  <c r="M660" i="13"/>
  <c r="AI660" i="13"/>
  <c r="AJ660" i="13"/>
  <c r="AK660" i="13"/>
  <c r="AL660" i="13"/>
  <c r="AM660" i="13"/>
  <c r="AN660" i="13"/>
  <c r="A661" i="13"/>
  <c r="C661" i="13"/>
  <c r="D661" i="13"/>
  <c r="G661" i="13"/>
  <c r="H661" i="13"/>
  <c r="I661" i="13"/>
  <c r="J661" i="13"/>
  <c r="K661" i="13"/>
  <c r="L661" i="13"/>
  <c r="M661" i="13"/>
  <c r="AI661" i="13"/>
  <c r="AJ661" i="13"/>
  <c r="AM661" i="13" s="1"/>
  <c r="AK661" i="13"/>
  <c r="AL661" i="13"/>
  <c r="AN661" i="13"/>
  <c r="A662" i="13"/>
  <c r="C662" i="13"/>
  <c r="D662" i="13"/>
  <c r="G662" i="13"/>
  <c r="H662" i="13"/>
  <c r="I662" i="13"/>
  <c r="J662" i="13"/>
  <c r="K662" i="13"/>
  <c r="L662" i="13"/>
  <c r="M662" i="13"/>
  <c r="AI662" i="13"/>
  <c r="AJ662" i="13"/>
  <c r="AM662" i="13" s="1"/>
  <c r="AK662" i="13"/>
  <c r="AL662" i="13"/>
  <c r="A663" i="13"/>
  <c r="C663" i="13"/>
  <c r="D663" i="13"/>
  <c r="G663" i="13"/>
  <c r="H663" i="13"/>
  <c r="I663" i="13"/>
  <c r="J663" i="13"/>
  <c r="K663" i="13"/>
  <c r="L663" i="13"/>
  <c r="M663" i="13"/>
  <c r="AI663" i="13"/>
  <c r="AJ663" i="13"/>
  <c r="AK663" i="13"/>
  <c r="AL663" i="13"/>
  <c r="AM663" i="13"/>
  <c r="AN663" i="13"/>
  <c r="A664" i="13"/>
  <c r="C664" i="13"/>
  <c r="D664" i="13"/>
  <c r="G664" i="13"/>
  <c r="H664" i="13"/>
  <c r="I664" i="13"/>
  <c r="J664" i="13"/>
  <c r="K664" i="13"/>
  <c r="L664" i="13"/>
  <c r="M664" i="13"/>
  <c r="AI664" i="13"/>
  <c r="AJ664" i="13"/>
  <c r="AM664" i="13" s="1"/>
  <c r="AK664" i="13"/>
  <c r="AL664" i="13"/>
  <c r="AN664" i="13"/>
  <c r="A665" i="13"/>
  <c r="C665" i="13"/>
  <c r="D665" i="13"/>
  <c r="G665" i="13"/>
  <c r="H665" i="13"/>
  <c r="I665" i="13"/>
  <c r="J665" i="13"/>
  <c r="K665" i="13"/>
  <c r="L665" i="13"/>
  <c r="M665" i="13"/>
  <c r="AI665" i="13"/>
  <c r="AJ665" i="13"/>
  <c r="AM665" i="13" s="1"/>
  <c r="AK665" i="13"/>
  <c r="AL665" i="13"/>
  <c r="A666" i="13"/>
  <c r="C666" i="13"/>
  <c r="D666" i="13"/>
  <c r="G666" i="13"/>
  <c r="H666" i="13"/>
  <c r="I666" i="13"/>
  <c r="J666" i="13"/>
  <c r="K666" i="13"/>
  <c r="L666" i="13"/>
  <c r="M666" i="13"/>
  <c r="AI666" i="13"/>
  <c r="AJ666" i="13"/>
  <c r="AK666" i="13"/>
  <c r="AL666" i="13"/>
  <c r="AM666" i="13"/>
  <c r="AN666" i="13"/>
  <c r="A667" i="13"/>
  <c r="C667" i="13"/>
  <c r="D667" i="13"/>
  <c r="G667" i="13"/>
  <c r="H667" i="13"/>
  <c r="I667" i="13"/>
  <c r="J667" i="13"/>
  <c r="K667" i="13"/>
  <c r="L667" i="13"/>
  <c r="M667" i="13"/>
  <c r="AI667" i="13"/>
  <c r="AJ667" i="13"/>
  <c r="AM667" i="13" s="1"/>
  <c r="AK667" i="13"/>
  <c r="AL667" i="13"/>
  <c r="AN667" i="13"/>
  <c r="A668" i="13"/>
  <c r="C668" i="13"/>
  <c r="D668" i="13"/>
  <c r="G668" i="13"/>
  <c r="H668" i="13"/>
  <c r="I668" i="13"/>
  <c r="J668" i="13"/>
  <c r="K668" i="13"/>
  <c r="L668" i="13"/>
  <c r="M668" i="13"/>
  <c r="AI668" i="13"/>
  <c r="AJ668" i="13"/>
  <c r="AM668" i="13" s="1"/>
  <c r="AK668" i="13"/>
  <c r="AL668" i="13"/>
  <c r="A669" i="13"/>
  <c r="C669" i="13"/>
  <c r="D669" i="13"/>
  <c r="G669" i="13"/>
  <c r="H669" i="13"/>
  <c r="I669" i="13"/>
  <c r="J669" i="13"/>
  <c r="K669" i="13"/>
  <c r="L669" i="13"/>
  <c r="M669" i="13"/>
  <c r="AI669" i="13"/>
  <c r="AJ669" i="13"/>
  <c r="AK669" i="13"/>
  <c r="AL669" i="13"/>
  <c r="AM669" i="13"/>
  <c r="AN669" i="13"/>
  <c r="A670" i="13"/>
  <c r="C670" i="13"/>
  <c r="D670" i="13"/>
  <c r="G670" i="13"/>
  <c r="H670" i="13"/>
  <c r="I670" i="13"/>
  <c r="J670" i="13"/>
  <c r="K670" i="13"/>
  <c r="L670" i="13"/>
  <c r="M670" i="13"/>
  <c r="AI670" i="13"/>
  <c r="AJ670" i="13"/>
  <c r="AM670" i="13" s="1"/>
  <c r="AK670" i="13"/>
  <c r="AL670" i="13"/>
  <c r="AN670" i="13"/>
  <c r="A671" i="13"/>
  <c r="C671" i="13"/>
  <c r="D671" i="13"/>
  <c r="G671" i="13"/>
  <c r="H671" i="13"/>
  <c r="I671" i="13"/>
  <c r="J671" i="13"/>
  <c r="K671" i="13"/>
  <c r="L671" i="13"/>
  <c r="M671" i="13"/>
  <c r="AI671" i="13"/>
  <c r="AJ671" i="13"/>
  <c r="AM671" i="13" s="1"/>
  <c r="AK671" i="13"/>
  <c r="AL671" i="13"/>
  <c r="A672" i="13"/>
  <c r="C672" i="13"/>
  <c r="D672" i="13"/>
  <c r="G672" i="13"/>
  <c r="H672" i="13"/>
  <c r="I672" i="13"/>
  <c r="J672" i="13"/>
  <c r="K672" i="13"/>
  <c r="L672" i="13"/>
  <c r="M672" i="13"/>
  <c r="AI672" i="13"/>
  <c r="AJ672" i="13"/>
  <c r="AK672" i="13"/>
  <c r="AL672" i="13"/>
  <c r="AM672" i="13"/>
  <c r="AN672" i="13"/>
  <c r="A673" i="13"/>
  <c r="C673" i="13"/>
  <c r="D673" i="13"/>
  <c r="G673" i="13"/>
  <c r="H673" i="13"/>
  <c r="I673" i="13"/>
  <c r="J673" i="13"/>
  <c r="K673" i="13"/>
  <c r="L673" i="13"/>
  <c r="M673" i="13"/>
  <c r="AI673" i="13"/>
  <c r="AJ673" i="13"/>
  <c r="AM673" i="13" s="1"/>
  <c r="AK673" i="13"/>
  <c r="AL673" i="13"/>
  <c r="AN673" i="13"/>
  <c r="A674" i="13"/>
  <c r="C674" i="13"/>
  <c r="D674" i="13"/>
  <c r="G674" i="13"/>
  <c r="H674" i="13"/>
  <c r="I674" i="13"/>
  <c r="J674" i="13"/>
  <c r="K674" i="13"/>
  <c r="L674" i="13"/>
  <c r="M674" i="13"/>
  <c r="AI674" i="13"/>
  <c r="AJ674" i="13"/>
  <c r="AM674" i="13" s="1"/>
  <c r="AK674" i="13"/>
  <c r="AL674" i="13"/>
  <c r="A675" i="13"/>
  <c r="C675" i="13"/>
  <c r="D675" i="13"/>
  <c r="G675" i="13"/>
  <c r="H675" i="13"/>
  <c r="I675" i="13"/>
  <c r="J675" i="13"/>
  <c r="K675" i="13"/>
  <c r="L675" i="13"/>
  <c r="M675" i="13"/>
  <c r="AI675" i="13"/>
  <c r="AJ675" i="13"/>
  <c r="AK675" i="13"/>
  <c r="AL675" i="13"/>
  <c r="AM675" i="13"/>
  <c r="AN675" i="13"/>
  <c r="A676" i="13"/>
  <c r="C676" i="13"/>
  <c r="D676" i="13"/>
  <c r="G676" i="13"/>
  <c r="H676" i="13"/>
  <c r="I676" i="13"/>
  <c r="J676" i="13"/>
  <c r="K676" i="13"/>
  <c r="L676" i="13"/>
  <c r="M676" i="13"/>
  <c r="AI676" i="13"/>
  <c r="AJ676" i="13"/>
  <c r="AM676" i="13" s="1"/>
  <c r="AK676" i="13"/>
  <c r="AL676" i="13"/>
  <c r="AN676" i="13"/>
  <c r="A677" i="13"/>
  <c r="C677" i="13"/>
  <c r="D677" i="13"/>
  <c r="G677" i="13"/>
  <c r="H677" i="13"/>
  <c r="I677" i="13"/>
  <c r="J677" i="13"/>
  <c r="K677" i="13"/>
  <c r="L677" i="13"/>
  <c r="M677" i="13"/>
  <c r="AI677" i="13"/>
  <c r="AJ677" i="13"/>
  <c r="AM677" i="13" s="1"/>
  <c r="AK677" i="13"/>
  <c r="AL677" i="13"/>
  <c r="A678" i="13"/>
  <c r="C678" i="13"/>
  <c r="D678" i="13"/>
  <c r="G678" i="13"/>
  <c r="H678" i="13"/>
  <c r="I678" i="13"/>
  <c r="J678" i="13"/>
  <c r="K678" i="13"/>
  <c r="L678" i="13"/>
  <c r="M678" i="13"/>
  <c r="AI678" i="13"/>
  <c r="AJ678" i="13"/>
  <c r="AK678" i="13"/>
  <c r="AL678" i="13"/>
  <c r="AM678" i="13"/>
  <c r="AN678" i="13"/>
  <c r="A679" i="13"/>
  <c r="C679" i="13"/>
  <c r="D679" i="13"/>
  <c r="G679" i="13"/>
  <c r="H679" i="13"/>
  <c r="I679" i="13"/>
  <c r="J679" i="13"/>
  <c r="K679" i="13"/>
  <c r="L679" i="13"/>
  <c r="M679" i="13"/>
  <c r="AI679" i="13"/>
  <c r="AJ679" i="13"/>
  <c r="AM679" i="13" s="1"/>
  <c r="AK679" i="13"/>
  <c r="AL679" i="13"/>
  <c r="AN679" i="13"/>
  <c r="A680" i="13"/>
  <c r="C680" i="13"/>
  <c r="D680" i="13"/>
  <c r="G680" i="13"/>
  <c r="H680" i="13"/>
  <c r="I680" i="13"/>
  <c r="J680" i="13"/>
  <c r="K680" i="13"/>
  <c r="L680" i="13"/>
  <c r="M680" i="13"/>
  <c r="AI680" i="13"/>
  <c r="AJ680" i="13"/>
  <c r="AM680" i="13" s="1"/>
  <c r="AK680" i="13"/>
  <c r="AL680" i="13"/>
  <c r="A681" i="13"/>
  <c r="C681" i="13"/>
  <c r="D681" i="13"/>
  <c r="G681" i="13"/>
  <c r="H681" i="13"/>
  <c r="I681" i="13"/>
  <c r="J681" i="13"/>
  <c r="K681" i="13"/>
  <c r="L681" i="13"/>
  <c r="M681" i="13"/>
  <c r="AI681" i="13"/>
  <c r="AJ681" i="13"/>
  <c r="AK681" i="13"/>
  <c r="AL681" i="13"/>
  <c r="AM681" i="13"/>
  <c r="AN681" i="13"/>
  <c r="A682" i="13"/>
  <c r="C682" i="13"/>
  <c r="D682" i="13"/>
  <c r="G682" i="13"/>
  <c r="H682" i="13"/>
  <c r="I682" i="13"/>
  <c r="J682" i="13"/>
  <c r="K682" i="13"/>
  <c r="L682" i="13"/>
  <c r="M682" i="13"/>
  <c r="AI682" i="13"/>
  <c r="AJ682" i="13"/>
  <c r="AM682" i="13" s="1"/>
  <c r="AK682" i="13"/>
  <c r="AL682" i="13"/>
  <c r="AN682" i="13"/>
  <c r="A683" i="13"/>
  <c r="C683" i="13"/>
  <c r="D683" i="13"/>
  <c r="G683" i="13"/>
  <c r="H683" i="13"/>
  <c r="I683" i="13"/>
  <c r="J683" i="13"/>
  <c r="K683" i="13"/>
  <c r="L683" i="13"/>
  <c r="M683" i="13"/>
  <c r="AI683" i="13"/>
  <c r="AJ683" i="13"/>
  <c r="AK683" i="13"/>
  <c r="AL683" i="13"/>
  <c r="A684" i="13"/>
  <c r="C684" i="13"/>
  <c r="D684" i="13"/>
  <c r="G684" i="13"/>
  <c r="H684" i="13"/>
  <c r="I684" i="13"/>
  <c r="J684" i="13"/>
  <c r="K684" i="13"/>
  <c r="L684" i="13"/>
  <c r="M684" i="13"/>
  <c r="AI684" i="13"/>
  <c r="AJ684" i="13"/>
  <c r="AK684" i="13"/>
  <c r="AL684" i="13"/>
  <c r="AM684" i="13"/>
  <c r="AN684" i="13"/>
  <c r="A685" i="13"/>
  <c r="C685" i="13"/>
  <c r="D685" i="13"/>
  <c r="G685" i="13"/>
  <c r="H685" i="13"/>
  <c r="I685" i="13"/>
  <c r="J685" i="13"/>
  <c r="K685" i="13"/>
  <c r="L685" i="13"/>
  <c r="M685" i="13"/>
  <c r="AI685" i="13"/>
  <c r="AJ685" i="13"/>
  <c r="AM685" i="13" s="1"/>
  <c r="AK685" i="13"/>
  <c r="AL685" i="13"/>
  <c r="AN685" i="13"/>
  <c r="A686" i="13"/>
  <c r="C686" i="13"/>
  <c r="D686" i="13"/>
  <c r="G686" i="13"/>
  <c r="H686" i="13"/>
  <c r="I686" i="13"/>
  <c r="J686" i="13"/>
  <c r="K686" i="13"/>
  <c r="L686" i="13"/>
  <c r="M686" i="13"/>
  <c r="AI686" i="13"/>
  <c r="AJ686" i="13"/>
  <c r="AK686" i="13"/>
  <c r="AL686" i="13"/>
  <c r="A687" i="13"/>
  <c r="C687" i="13"/>
  <c r="D687" i="13"/>
  <c r="G687" i="13"/>
  <c r="H687" i="13"/>
  <c r="I687" i="13"/>
  <c r="J687" i="13"/>
  <c r="K687" i="13"/>
  <c r="L687" i="13"/>
  <c r="M687" i="13"/>
  <c r="AI687" i="13"/>
  <c r="AJ687" i="13"/>
  <c r="AK687" i="13"/>
  <c r="AL687" i="13"/>
  <c r="AM687" i="13"/>
  <c r="AN687" i="13"/>
  <c r="A688" i="13"/>
  <c r="C688" i="13"/>
  <c r="D688" i="13"/>
  <c r="G688" i="13"/>
  <c r="H688" i="13"/>
  <c r="I688" i="13"/>
  <c r="J688" i="13"/>
  <c r="K688" i="13"/>
  <c r="L688" i="13"/>
  <c r="M688" i="13"/>
  <c r="AI688" i="13"/>
  <c r="AJ688" i="13"/>
  <c r="AM688" i="13" s="1"/>
  <c r="AK688" i="13"/>
  <c r="AL688" i="13"/>
  <c r="AN688" i="13"/>
  <c r="A689" i="13"/>
  <c r="C689" i="13"/>
  <c r="D689" i="13"/>
  <c r="G689" i="13"/>
  <c r="H689" i="13"/>
  <c r="I689" i="13"/>
  <c r="J689" i="13"/>
  <c r="K689" i="13"/>
  <c r="L689" i="13"/>
  <c r="M689" i="13"/>
  <c r="AI689" i="13"/>
  <c r="AJ689" i="13"/>
  <c r="AK689" i="13"/>
  <c r="AL689" i="13"/>
  <c r="A690" i="13"/>
  <c r="C690" i="13"/>
  <c r="D690" i="13"/>
  <c r="G690" i="13"/>
  <c r="H690" i="13"/>
  <c r="I690" i="13"/>
  <c r="J690" i="13"/>
  <c r="K690" i="13"/>
  <c r="L690" i="13"/>
  <c r="M690" i="13"/>
  <c r="AI690" i="13"/>
  <c r="AJ690" i="13"/>
  <c r="AK690" i="13"/>
  <c r="AL690" i="13"/>
  <c r="AM690" i="13"/>
  <c r="AN690" i="13"/>
  <c r="A691" i="13"/>
  <c r="C691" i="13"/>
  <c r="D691" i="13"/>
  <c r="G691" i="13"/>
  <c r="H691" i="13"/>
  <c r="I691" i="13"/>
  <c r="J691" i="13"/>
  <c r="K691" i="13"/>
  <c r="L691" i="13"/>
  <c r="M691" i="13"/>
  <c r="AI691" i="13"/>
  <c r="AJ691" i="13"/>
  <c r="AM691" i="13" s="1"/>
  <c r="AK691" i="13"/>
  <c r="AL691" i="13"/>
  <c r="AN691" i="13"/>
  <c r="A692" i="13"/>
  <c r="C692" i="13"/>
  <c r="D692" i="13"/>
  <c r="G692" i="13"/>
  <c r="H692" i="13"/>
  <c r="I692" i="13"/>
  <c r="J692" i="13"/>
  <c r="K692" i="13"/>
  <c r="L692" i="13"/>
  <c r="M692" i="13"/>
  <c r="AI692" i="13"/>
  <c r="AJ692" i="13"/>
  <c r="AK692" i="13"/>
  <c r="AL692" i="13"/>
  <c r="A693" i="13"/>
  <c r="C693" i="13"/>
  <c r="D693" i="13"/>
  <c r="G693" i="13"/>
  <c r="H693" i="13"/>
  <c r="I693" i="13"/>
  <c r="J693" i="13"/>
  <c r="K693" i="13"/>
  <c r="L693" i="13"/>
  <c r="M693" i="13"/>
  <c r="AI693" i="13"/>
  <c r="AJ693" i="13"/>
  <c r="AK693" i="13"/>
  <c r="AL693" i="13"/>
  <c r="AM693" i="13"/>
  <c r="AN693" i="13"/>
  <c r="A694" i="13"/>
  <c r="C694" i="13"/>
  <c r="D694" i="13"/>
  <c r="G694" i="13"/>
  <c r="H694" i="13"/>
  <c r="I694" i="13"/>
  <c r="J694" i="13"/>
  <c r="K694" i="13"/>
  <c r="L694" i="13"/>
  <c r="M694" i="13"/>
  <c r="AI694" i="13"/>
  <c r="AJ694" i="13"/>
  <c r="AM694" i="13" s="1"/>
  <c r="AK694" i="13"/>
  <c r="AL694" i="13"/>
  <c r="AN694" i="13"/>
  <c r="A695" i="13"/>
  <c r="C695" i="13"/>
  <c r="D695" i="13"/>
  <c r="G695" i="13"/>
  <c r="H695" i="13"/>
  <c r="I695" i="13"/>
  <c r="J695" i="13"/>
  <c r="K695" i="13"/>
  <c r="L695" i="13"/>
  <c r="M695" i="13"/>
  <c r="AI695" i="13"/>
  <c r="AJ695" i="13"/>
  <c r="AK695" i="13"/>
  <c r="AL695" i="13"/>
  <c r="A696" i="13"/>
  <c r="C696" i="13"/>
  <c r="D696" i="13"/>
  <c r="G696" i="13"/>
  <c r="H696" i="13"/>
  <c r="I696" i="13"/>
  <c r="J696" i="13"/>
  <c r="K696" i="13"/>
  <c r="L696" i="13"/>
  <c r="M696" i="13"/>
  <c r="AI696" i="13"/>
  <c r="AJ696" i="13"/>
  <c r="AK696" i="13"/>
  <c r="AL696" i="13"/>
  <c r="AM696" i="13"/>
  <c r="AN696" i="13"/>
  <c r="A697" i="13"/>
  <c r="C697" i="13"/>
  <c r="D697" i="13"/>
  <c r="G697" i="13"/>
  <c r="H697" i="13"/>
  <c r="I697" i="13"/>
  <c r="J697" i="13"/>
  <c r="K697" i="13"/>
  <c r="L697" i="13"/>
  <c r="M697" i="13"/>
  <c r="AI697" i="13"/>
  <c r="AJ697" i="13"/>
  <c r="AM697" i="13" s="1"/>
  <c r="AK697" i="13"/>
  <c r="AL697" i="13"/>
  <c r="AN697" i="13"/>
  <c r="A698" i="13"/>
  <c r="C698" i="13"/>
  <c r="D698" i="13"/>
  <c r="G698" i="13"/>
  <c r="H698" i="13"/>
  <c r="I698" i="13"/>
  <c r="J698" i="13"/>
  <c r="K698" i="13"/>
  <c r="L698" i="13"/>
  <c r="M698" i="13"/>
  <c r="AI698" i="13"/>
  <c r="AJ698" i="13"/>
  <c r="AK698" i="13"/>
  <c r="AL698" i="13"/>
  <c r="A699" i="13"/>
  <c r="C699" i="13"/>
  <c r="D699" i="13"/>
  <c r="G699" i="13"/>
  <c r="H699" i="13"/>
  <c r="I699" i="13"/>
  <c r="J699" i="13"/>
  <c r="K699" i="13"/>
  <c r="L699" i="13"/>
  <c r="M699" i="13"/>
  <c r="AI699" i="13"/>
  <c r="AJ699" i="13"/>
  <c r="AK699" i="13"/>
  <c r="AL699" i="13"/>
  <c r="AM699" i="13"/>
  <c r="AN699" i="13"/>
  <c r="A700" i="13"/>
  <c r="C700" i="13"/>
  <c r="D700" i="13"/>
  <c r="G700" i="13"/>
  <c r="H700" i="13"/>
  <c r="I700" i="13"/>
  <c r="J700" i="13"/>
  <c r="K700" i="13"/>
  <c r="L700" i="13"/>
  <c r="M700" i="13"/>
  <c r="AI700" i="13"/>
  <c r="AJ700" i="13"/>
  <c r="AM700" i="13" s="1"/>
  <c r="AK700" i="13"/>
  <c r="AL700" i="13"/>
  <c r="AN700" i="13"/>
  <c r="A701" i="13"/>
  <c r="C701" i="13"/>
  <c r="D701" i="13"/>
  <c r="G701" i="13"/>
  <c r="H701" i="13"/>
  <c r="I701" i="13"/>
  <c r="J701" i="13"/>
  <c r="K701" i="13"/>
  <c r="L701" i="13"/>
  <c r="M701" i="13"/>
  <c r="AI701" i="13"/>
  <c r="AJ701" i="13"/>
  <c r="AK701" i="13"/>
  <c r="AL701" i="13"/>
  <c r="A702" i="13"/>
  <c r="C702" i="13"/>
  <c r="D702" i="13"/>
  <c r="G702" i="13"/>
  <c r="H702" i="13"/>
  <c r="I702" i="13"/>
  <c r="J702" i="13"/>
  <c r="K702" i="13"/>
  <c r="L702" i="13"/>
  <c r="M702" i="13"/>
  <c r="AI702" i="13"/>
  <c r="AJ702" i="13"/>
  <c r="AK702" i="13"/>
  <c r="AL702" i="13"/>
  <c r="AM702" i="13"/>
  <c r="AN702" i="13"/>
  <c r="A703" i="13"/>
  <c r="C703" i="13"/>
  <c r="D703" i="13"/>
  <c r="G703" i="13"/>
  <c r="H703" i="13"/>
  <c r="I703" i="13"/>
  <c r="J703" i="13"/>
  <c r="K703" i="13"/>
  <c r="L703" i="13"/>
  <c r="M703" i="13"/>
  <c r="AI703" i="13"/>
  <c r="AJ703" i="13"/>
  <c r="AM703" i="13" s="1"/>
  <c r="AK703" i="13"/>
  <c r="AL703" i="13"/>
  <c r="AN703" i="13"/>
  <c r="A704" i="13"/>
  <c r="C704" i="13"/>
  <c r="D704" i="13"/>
  <c r="G704" i="13"/>
  <c r="H704" i="13"/>
  <c r="I704" i="13"/>
  <c r="J704" i="13"/>
  <c r="K704" i="13"/>
  <c r="L704" i="13"/>
  <c r="M704" i="13"/>
  <c r="AI704" i="13"/>
  <c r="AJ704" i="13"/>
  <c r="AK704" i="13"/>
  <c r="AL704" i="13"/>
  <c r="A705" i="13"/>
  <c r="C705" i="13"/>
  <c r="D705" i="13"/>
  <c r="G705" i="13"/>
  <c r="H705" i="13"/>
  <c r="I705" i="13"/>
  <c r="J705" i="13"/>
  <c r="K705" i="13"/>
  <c r="L705" i="13"/>
  <c r="M705" i="13"/>
  <c r="AI705" i="13"/>
  <c r="AJ705" i="13"/>
  <c r="AK705" i="13"/>
  <c r="AL705" i="13"/>
  <c r="AM705" i="13"/>
  <c r="AN705" i="13"/>
  <c r="A706" i="13"/>
  <c r="C706" i="13"/>
  <c r="D706" i="13"/>
  <c r="G706" i="13"/>
  <c r="H706" i="13"/>
  <c r="I706" i="13"/>
  <c r="J706" i="13"/>
  <c r="K706" i="13"/>
  <c r="L706" i="13"/>
  <c r="M706" i="13"/>
  <c r="AI706" i="13"/>
  <c r="AJ706" i="13"/>
  <c r="AM706" i="13" s="1"/>
  <c r="AK706" i="13"/>
  <c r="AL706" i="13"/>
  <c r="A707" i="13"/>
  <c r="C707" i="13"/>
  <c r="D707" i="13"/>
  <c r="G707" i="13"/>
  <c r="H707" i="13"/>
  <c r="I707" i="13"/>
  <c r="J707" i="13"/>
  <c r="K707" i="13"/>
  <c r="L707" i="13"/>
  <c r="M707" i="13"/>
  <c r="AI707" i="13"/>
  <c r="AJ707" i="13"/>
  <c r="AK707" i="13"/>
  <c r="AL707" i="13"/>
  <c r="A708" i="13"/>
  <c r="C708" i="13"/>
  <c r="D708" i="13"/>
  <c r="G708" i="13"/>
  <c r="H708" i="13"/>
  <c r="I708" i="13"/>
  <c r="J708" i="13"/>
  <c r="K708" i="13"/>
  <c r="L708" i="13"/>
  <c r="M708" i="13"/>
  <c r="AI708" i="13"/>
  <c r="AJ708" i="13"/>
  <c r="AK708" i="13"/>
  <c r="AL708" i="13"/>
  <c r="AM708" i="13"/>
  <c r="AN708" i="13"/>
  <c r="A709" i="13"/>
  <c r="C709" i="13"/>
  <c r="D709" i="13"/>
  <c r="G709" i="13"/>
  <c r="H709" i="13"/>
  <c r="I709" i="13"/>
  <c r="J709" i="13"/>
  <c r="K709" i="13"/>
  <c r="L709" i="13"/>
  <c r="M709" i="13"/>
  <c r="AI709" i="13"/>
  <c r="AJ709" i="13"/>
  <c r="AM709" i="13" s="1"/>
  <c r="AK709" i="13"/>
  <c r="AL709" i="13"/>
  <c r="AN709" i="13"/>
  <c r="A710" i="13"/>
  <c r="C710" i="13"/>
  <c r="D710" i="13"/>
  <c r="G710" i="13"/>
  <c r="H710" i="13"/>
  <c r="I710" i="13"/>
  <c r="J710" i="13"/>
  <c r="K710" i="13"/>
  <c r="L710" i="13"/>
  <c r="M710" i="13"/>
  <c r="AI710" i="13"/>
  <c r="AJ710" i="13"/>
  <c r="AK710" i="13"/>
  <c r="AL710" i="13"/>
  <c r="A711" i="13"/>
  <c r="C711" i="13"/>
  <c r="D711" i="13"/>
  <c r="G711" i="13"/>
  <c r="H711" i="13"/>
  <c r="I711" i="13"/>
  <c r="J711" i="13"/>
  <c r="K711" i="13"/>
  <c r="L711" i="13"/>
  <c r="M711" i="13"/>
  <c r="AI711" i="13"/>
  <c r="AJ711" i="13"/>
  <c r="AK711" i="13"/>
  <c r="AL711" i="13"/>
  <c r="AM711" i="13"/>
  <c r="AN711" i="13"/>
  <c r="A712" i="13"/>
  <c r="C712" i="13"/>
  <c r="D712" i="13"/>
  <c r="G712" i="13"/>
  <c r="H712" i="13"/>
  <c r="I712" i="13"/>
  <c r="J712" i="13"/>
  <c r="K712" i="13"/>
  <c r="L712" i="13"/>
  <c r="M712" i="13"/>
  <c r="AI712" i="13"/>
  <c r="AJ712" i="13"/>
  <c r="AM712" i="13" s="1"/>
  <c r="AK712" i="13"/>
  <c r="AL712" i="13"/>
  <c r="A713" i="13"/>
  <c r="C713" i="13"/>
  <c r="D713" i="13"/>
  <c r="G713" i="13"/>
  <c r="H713" i="13"/>
  <c r="I713" i="13"/>
  <c r="J713" i="13"/>
  <c r="K713" i="13"/>
  <c r="L713" i="13"/>
  <c r="M713" i="13"/>
  <c r="AI713" i="13"/>
  <c r="AJ713" i="13"/>
  <c r="AK713" i="13"/>
  <c r="AL713" i="13"/>
  <c r="A714" i="13"/>
  <c r="C714" i="13"/>
  <c r="D714" i="13"/>
  <c r="G714" i="13"/>
  <c r="H714" i="13"/>
  <c r="I714" i="13"/>
  <c r="J714" i="13"/>
  <c r="K714" i="13"/>
  <c r="L714" i="13"/>
  <c r="M714" i="13"/>
  <c r="AI714" i="13"/>
  <c r="AJ714" i="13"/>
  <c r="AM714" i="13" s="1"/>
  <c r="AK714" i="13"/>
  <c r="AL714" i="13"/>
  <c r="A715" i="13"/>
  <c r="C715" i="13"/>
  <c r="D715" i="13"/>
  <c r="G715" i="13"/>
  <c r="H715" i="13"/>
  <c r="I715" i="13"/>
  <c r="J715" i="13"/>
  <c r="K715" i="13"/>
  <c r="L715" i="13"/>
  <c r="M715" i="13"/>
  <c r="AI715" i="13"/>
  <c r="AJ715" i="13"/>
  <c r="AM715" i="13" s="1"/>
  <c r="AK715" i="13"/>
  <c r="AL715" i="13"/>
  <c r="AN715" i="13"/>
  <c r="A716" i="13"/>
  <c r="C716" i="13"/>
  <c r="D716" i="13"/>
  <c r="G716" i="13"/>
  <c r="H716" i="13"/>
  <c r="I716" i="13"/>
  <c r="J716" i="13"/>
  <c r="K716" i="13"/>
  <c r="L716" i="13"/>
  <c r="M716" i="13"/>
  <c r="AI716" i="13"/>
  <c r="AJ716" i="13"/>
  <c r="AM716" i="13" s="1"/>
  <c r="AK716" i="13"/>
  <c r="AL716" i="13"/>
  <c r="A717" i="13"/>
  <c r="C717" i="13"/>
  <c r="D717" i="13"/>
  <c r="G717" i="13"/>
  <c r="H717" i="13"/>
  <c r="I717" i="13"/>
  <c r="J717" i="13"/>
  <c r="K717" i="13"/>
  <c r="L717" i="13"/>
  <c r="M717" i="13"/>
  <c r="AI717" i="13"/>
  <c r="AJ717" i="13"/>
  <c r="AK717" i="13"/>
  <c r="AL717" i="13"/>
  <c r="AM717" i="13"/>
  <c r="AN717" i="13"/>
  <c r="A718" i="13"/>
  <c r="C718" i="13"/>
  <c r="D718" i="13"/>
  <c r="G718" i="13"/>
  <c r="H718" i="13"/>
  <c r="I718" i="13"/>
  <c r="J718" i="13"/>
  <c r="K718" i="13"/>
  <c r="L718" i="13"/>
  <c r="M718" i="13"/>
  <c r="AI718" i="13"/>
  <c r="AJ718" i="13"/>
  <c r="AN718" i="13" s="1"/>
  <c r="AK718" i="13"/>
  <c r="AL718" i="13"/>
  <c r="AM718" i="13"/>
  <c r="A719" i="13"/>
  <c r="C719" i="13"/>
  <c r="D719" i="13"/>
  <c r="G719" i="13"/>
  <c r="H719" i="13"/>
  <c r="I719" i="13"/>
  <c r="J719" i="13"/>
  <c r="K719" i="13"/>
  <c r="L719" i="13"/>
  <c r="M719" i="13"/>
  <c r="AI719" i="13"/>
  <c r="AJ719" i="13"/>
  <c r="AK719" i="13"/>
  <c r="AL719" i="13"/>
  <c r="AM719" i="13"/>
  <c r="AN719" i="13"/>
  <c r="A720" i="13"/>
  <c r="C720" i="13"/>
  <c r="D720" i="13"/>
  <c r="G720" i="13"/>
  <c r="H720" i="13"/>
  <c r="I720" i="13"/>
  <c r="J720" i="13"/>
  <c r="K720" i="13"/>
  <c r="L720" i="13"/>
  <c r="M720" i="13"/>
  <c r="AI720" i="13"/>
  <c r="AJ720" i="13"/>
  <c r="AK720" i="13"/>
  <c r="AL720" i="13"/>
  <c r="AM720" i="13"/>
  <c r="AN720" i="13"/>
  <c r="A721" i="13"/>
  <c r="C721" i="13"/>
  <c r="D721" i="13"/>
  <c r="G721" i="13"/>
  <c r="H721" i="13"/>
  <c r="I721" i="13"/>
  <c r="J721" i="13"/>
  <c r="K721" i="13"/>
  <c r="L721" i="13"/>
  <c r="M721" i="13"/>
  <c r="AI721" i="13"/>
  <c r="AJ721" i="13"/>
  <c r="AN721" i="13" s="1"/>
  <c r="AK721" i="13"/>
  <c r="AL721" i="13"/>
  <c r="AM721" i="13"/>
  <c r="A722" i="13"/>
  <c r="C722" i="13"/>
  <c r="D722" i="13"/>
  <c r="G722" i="13"/>
  <c r="H722" i="13"/>
  <c r="I722" i="13"/>
  <c r="J722" i="13"/>
  <c r="K722" i="13"/>
  <c r="L722" i="13"/>
  <c r="M722" i="13"/>
  <c r="AI722" i="13"/>
  <c r="AJ722" i="13"/>
  <c r="AK722" i="13"/>
  <c r="AL722" i="13"/>
  <c r="AM722" i="13"/>
  <c r="AN722" i="13"/>
  <c r="A723" i="13"/>
  <c r="C723" i="13"/>
  <c r="D723" i="13"/>
  <c r="G723" i="13"/>
  <c r="H723" i="13"/>
  <c r="I723" i="13"/>
  <c r="J723" i="13"/>
  <c r="K723" i="13"/>
  <c r="L723" i="13"/>
  <c r="M723" i="13"/>
  <c r="AI723" i="13"/>
  <c r="AJ723" i="13"/>
  <c r="AK723" i="13"/>
  <c r="AL723" i="13"/>
  <c r="AM723" i="13"/>
  <c r="AN723" i="13"/>
  <c r="A724" i="13"/>
  <c r="C724" i="13"/>
  <c r="D724" i="13"/>
  <c r="G724" i="13"/>
  <c r="H724" i="13"/>
  <c r="I724" i="13"/>
  <c r="J724" i="13"/>
  <c r="K724" i="13"/>
  <c r="L724" i="13"/>
  <c r="M724" i="13"/>
  <c r="AI724" i="13"/>
  <c r="AJ724" i="13"/>
  <c r="AN724" i="13" s="1"/>
  <c r="AK724" i="13"/>
  <c r="AL724" i="13"/>
  <c r="AM724" i="13"/>
  <c r="A725" i="13"/>
  <c r="C725" i="13"/>
  <c r="D725" i="13"/>
  <c r="G725" i="13"/>
  <c r="H725" i="13"/>
  <c r="I725" i="13"/>
  <c r="J725" i="13"/>
  <c r="K725" i="13"/>
  <c r="L725" i="13"/>
  <c r="M725" i="13"/>
  <c r="AI725" i="13"/>
  <c r="AJ725" i="13"/>
  <c r="AK725" i="13"/>
  <c r="AL725" i="13"/>
  <c r="AM725" i="13"/>
  <c r="AN725" i="13"/>
  <c r="A726" i="13"/>
  <c r="C726" i="13"/>
  <c r="D726" i="13"/>
  <c r="G726" i="13"/>
  <c r="H726" i="13"/>
  <c r="I726" i="13"/>
  <c r="J726" i="13"/>
  <c r="K726" i="13"/>
  <c r="L726" i="13"/>
  <c r="M726" i="13"/>
  <c r="AI726" i="13"/>
  <c r="AJ726" i="13"/>
  <c r="AK726" i="13"/>
  <c r="AL726" i="13"/>
  <c r="AM726" i="13"/>
  <c r="AN726" i="13"/>
  <c r="A727" i="13"/>
  <c r="C727" i="13"/>
  <c r="D727" i="13"/>
  <c r="G727" i="13"/>
  <c r="H727" i="13"/>
  <c r="I727" i="13"/>
  <c r="J727" i="13"/>
  <c r="K727" i="13"/>
  <c r="L727" i="13"/>
  <c r="M727" i="13"/>
  <c r="AI727" i="13"/>
  <c r="AJ727" i="13"/>
  <c r="AN727" i="13" s="1"/>
  <c r="AK727" i="13"/>
  <c r="AL727" i="13"/>
  <c r="AM727" i="13"/>
  <c r="A728" i="13"/>
  <c r="C728" i="13"/>
  <c r="D728" i="13"/>
  <c r="G728" i="13"/>
  <c r="H728" i="13"/>
  <c r="I728" i="13"/>
  <c r="J728" i="13"/>
  <c r="K728" i="13"/>
  <c r="L728" i="13"/>
  <c r="M728" i="13"/>
  <c r="AI728" i="13"/>
  <c r="AJ728" i="13"/>
  <c r="AK728" i="13"/>
  <c r="AL728" i="13"/>
  <c r="AM728" i="13"/>
  <c r="AN728" i="13"/>
  <c r="A729" i="13"/>
  <c r="C729" i="13"/>
  <c r="D729" i="13"/>
  <c r="G729" i="13"/>
  <c r="H729" i="13"/>
  <c r="I729" i="13"/>
  <c r="J729" i="13"/>
  <c r="K729" i="13"/>
  <c r="L729" i="13"/>
  <c r="M729" i="13"/>
  <c r="AI729" i="13"/>
  <c r="AJ729" i="13"/>
  <c r="AK729" i="13"/>
  <c r="AL729" i="13"/>
  <c r="AM729" i="13"/>
  <c r="AN729" i="13"/>
  <c r="A730" i="13"/>
  <c r="C730" i="13"/>
  <c r="D730" i="13"/>
  <c r="G730" i="13"/>
  <c r="H730" i="13"/>
  <c r="I730" i="13"/>
  <c r="J730" i="13"/>
  <c r="K730" i="13"/>
  <c r="L730" i="13"/>
  <c r="M730" i="13"/>
  <c r="AI730" i="13"/>
  <c r="AJ730" i="13"/>
  <c r="AN730" i="13" s="1"/>
  <c r="AK730" i="13"/>
  <c r="AL730" i="13"/>
  <c r="AM730" i="13"/>
  <c r="A731" i="13"/>
  <c r="C731" i="13"/>
  <c r="D731" i="13"/>
  <c r="G731" i="13"/>
  <c r="H731" i="13"/>
  <c r="I731" i="13"/>
  <c r="J731" i="13"/>
  <c r="K731" i="13"/>
  <c r="L731" i="13"/>
  <c r="M731" i="13"/>
  <c r="AI731" i="13"/>
  <c r="AJ731" i="13"/>
  <c r="AK731" i="13"/>
  <c r="AL731" i="13"/>
  <c r="AM731" i="13"/>
  <c r="AN731" i="13"/>
  <c r="A732" i="13"/>
  <c r="C732" i="13"/>
  <c r="D732" i="13"/>
  <c r="G732" i="13"/>
  <c r="H732" i="13"/>
  <c r="I732" i="13"/>
  <c r="J732" i="13"/>
  <c r="K732" i="13"/>
  <c r="L732" i="13"/>
  <c r="M732" i="13"/>
  <c r="AI732" i="13"/>
  <c r="AJ732" i="13"/>
  <c r="AK732" i="13"/>
  <c r="AL732" i="13"/>
  <c r="AM732" i="13"/>
  <c r="AN732" i="13"/>
  <c r="A733" i="13"/>
  <c r="C733" i="13"/>
  <c r="D733" i="13"/>
  <c r="G733" i="13"/>
  <c r="H733" i="13"/>
  <c r="I733" i="13"/>
  <c r="J733" i="13"/>
  <c r="K733" i="13"/>
  <c r="L733" i="13"/>
  <c r="M733" i="13"/>
  <c r="AI733" i="13"/>
  <c r="AJ733" i="13"/>
  <c r="AN733" i="13" s="1"/>
  <c r="AK733" i="13"/>
  <c r="AL733" i="13"/>
  <c r="AM733" i="13"/>
  <c r="A734" i="13"/>
  <c r="C734" i="13"/>
  <c r="D734" i="13"/>
  <c r="G734" i="13"/>
  <c r="H734" i="13"/>
  <c r="I734" i="13"/>
  <c r="J734" i="13"/>
  <c r="K734" i="13"/>
  <c r="L734" i="13"/>
  <c r="M734" i="13"/>
  <c r="AI734" i="13"/>
  <c r="AJ734" i="13"/>
  <c r="AK734" i="13"/>
  <c r="AL734" i="13"/>
  <c r="AM734" i="13"/>
  <c r="AN734" i="13"/>
  <c r="A735" i="13"/>
  <c r="C735" i="13"/>
  <c r="D735" i="13"/>
  <c r="G735" i="13"/>
  <c r="H735" i="13"/>
  <c r="I735" i="13"/>
  <c r="J735" i="13"/>
  <c r="K735" i="13"/>
  <c r="L735" i="13"/>
  <c r="M735" i="13"/>
  <c r="AI735" i="13"/>
  <c r="AJ735" i="13"/>
  <c r="AK735" i="13"/>
  <c r="AL735" i="13"/>
  <c r="AM735" i="13"/>
  <c r="AN735" i="13"/>
  <c r="A736" i="13"/>
  <c r="C736" i="13"/>
  <c r="D736" i="13"/>
  <c r="G736" i="13"/>
  <c r="H736" i="13"/>
  <c r="I736" i="13"/>
  <c r="J736" i="13"/>
  <c r="K736" i="13"/>
  <c r="L736" i="13"/>
  <c r="M736" i="13"/>
  <c r="AI736" i="13"/>
  <c r="AJ736" i="13"/>
  <c r="AN736" i="13" s="1"/>
  <c r="AK736" i="13"/>
  <c r="AL736" i="13"/>
  <c r="AM736" i="13"/>
  <c r="A737" i="13"/>
  <c r="C737" i="13"/>
  <c r="D737" i="13"/>
  <c r="G737" i="13"/>
  <c r="H737" i="13"/>
  <c r="I737" i="13"/>
  <c r="J737" i="13"/>
  <c r="K737" i="13"/>
  <c r="L737" i="13"/>
  <c r="M737" i="13"/>
  <c r="AI737" i="13"/>
  <c r="AJ737" i="13"/>
  <c r="AK737" i="13"/>
  <c r="AL737" i="13"/>
  <c r="AM737" i="13"/>
  <c r="AN737" i="13"/>
  <c r="A738" i="13"/>
  <c r="C738" i="13"/>
  <c r="D738" i="13"/>
  <c r="G738" i="13"/>
  <c r="H738" i="13"/>
  <c r="I738" i="13"/>
  <c r="J738" i="13"/>
  <c r="K738" i="13"/>
  <c r="L738" i="13"/>
  <c r="M738" i="13"/>
  <c r="AI738" i="13"/>
  <c r="AJ738" i="13"/>
  <c r="AK738" i="13"/>
  <c r="AL738" i="13"/>
  <c r="AM738" i="13"/>
  <c r="AN738" i="13"/>
  <c r="A739" i="13"/>
  <c r="C739" i="13"/>
  <c r="D739" i="13"/>
  <c r="G739" i="13"/>
  <c r="H739" i="13"/>
  <c r="I739" i="13"/>
  <c r="J739" i="13"/>
  <c r="K739" i="13"/>
  <c r="L739" i="13"/>
  <c r="M739" i="13"/>
  <c r="AI739" i="13"/>
  <c r="AJ739" i="13"/>
  <c r="AN739" i="13" s="1"/>
  <c r="AK739" i="13"/>
  <c r="AL739" i="13"/>
  <c r="AM739" i="13"/>
  <c r="A740" i="13"/>
  <c r="C740" i="13"/>
  <c r="D740" i="13"/>
  <c r="G740" i="13"/>
  <c r="H740" i="13"/>
  <c r="I740" i="13"/>
  <c r="J740" i="13"/>
  <c r="K740" i="13"/>
  <c r="L740" i="13"/>
  <c r="M740" i="13"/>
  <c r="AI740" i="13"/>
  <c r="AJ740" i="13"/>
  <c r="AK740" i="13"/>
  <c r="AL740" i="13"/>
  <c r="AM740" i="13"/>
  <c r="AN740" i="13"/>
  <c r="A741" i="13"/>
  <c r="C741" i="13"/>
  <c r="D741" i="13"/>
  <c r="G741" i="13"/>
  <c r="H741" i="13"/>
  <c r="I741" i="13"/>
  <c r="J741" i="13"/>
  <c r="K741" i="13"/>
  <c r="L741" i="13"/>
  <c r="M741" i="13"/>
  <c r="AI741" i="13"/>
  <c r="AJ741" i="13"/>
  <c r="AK741" i="13"/>
  <c r="AL741" i="13"/>
  <c r="AM741" i="13"/>
  <c r="AN741" i="13"/>
  <c r="A742" i="13"/>
  <c r="C742" i="13"/>
  <c r="D742" i="13"/>
  <c r="G742" i="13"/>
  <c r="H742" i="13"/>
  <c r="I742" i="13"/>
  <c r="J742" i="13"/>
  <c r="K742" i="13"/>
  <c r="L742" i="13"/>
  <c r="M742" i="13"/>
  <c r="AI742" i="13"/>
  <c r="AJ742" i="13"/>
  <c r="AN742" i="13" s="1"/>
  <c r="AK742" i="13"/>
  <c r="AL742" i="13"/>
  <c r="AM742" i="13"/>
  <c r="A743" i="13"/>
  <c r="C743" i="13"/>
  <c r="D743" i="13"/>
  <c r="G743" i="13"/>
  <c r="H743" i="13"/>
  <c r="I743" i="13"/>
  <c r="J743" i="13"/>
  <c r="K743" i="13"/>
  <c r="L743" i="13"/>
  <c r="M743" i="13"/>
  <c r="AI743" i="13"/>
  <c r="AJ743" i="13"/>
  <c r="AK743" i="13"/>
  <c r="AL743" i="13"/>
  <c r="AM743" i="13"/>
  <c r="AN743" i="13"/>
  <c r="A744" i="13"/>
  <c r="C744" i="13"/>
  <c r="D744" i="13"/>
  <c r="G744" i="13"/>
  <c r="H744" i="13"/>
  <c r="I744" i="13"/>
  <c r="J744" i="13"/>
  <c r="K744" i="13"/>
  <c r="L744" i="13"/>
  <c r="M744" i="13"/>
  <c r="AI744" i="13"/>
  <c r="AJ744" i="13"/>
  <c r="AK744" i="13"/>
  <c r="AL744" i="13"/>
  <c r="AM744" i="13"/>
  <c r="AN744" i="13"/>
  <c r="A745" i="13"/>
  <c r="C745" i="13"/>
  <c r="D745" i="13"/>
  <c r="G745" i="13"/>
  <c r="H745" i="13"/>
  <c r="I745" i="13"/>
  <c r="J745" i="13"/>
  <c r="K745" i="13"/>
  <c r="L745" i="13"/>
  <c r="M745" i="13"/>
  <c r="AI745" i="13"/>
  <c r="AJ745" i="13"/>
  <c r="AN745" i="13" s="1"/>
  <c r="AK745" i="13"/>
  <c r="AL745" i="13"/>
  <c r="AM745" i="13"/>
  <c r="A746" i="13"/>
  <c r="C746" i="13"/>
  <c r="D746" i="13"/>
  <c r="G746" i="13"/>
  <c r="H746" i="13"/>
  <c r="I746" i="13"/>
  <c r="J746" i="13"/>
  <c r="K746" i="13"/>
  <c r="L746" i="13"/>
  <c r="M746" i="13"/>
  <c r="AI746" i="13"/>
  <c r="AJ746" i="13"/>
  <c r="AK746" i="13"/>
  <c r="AL746" i="13"/>
  <c r="AM746" i="13"/>
  <c r="AN746" i="13"/>
  <c r="A747" i="13"/>
  <c r="C747" i="13"/>
  <c r="D747" i="13"/>
  <c r="G747" i="13"/>
  <c r="H747" i="13"/>
  <c r="I747" i="13"/>
  <c r="J747" i="13"/>
  <c r="K747" i="13"/>
  <c r="L747" i="13"/>
  <c r="M747" i="13"/>
  <c r="AI747" i="13"/>
  <c r="AJ747" i="13"/>
  <c r="AK747" i="13"/>
  <c r="AL747" i="13"/>
  <c r="AM747" i="13"/>
  <c r="AN747" i="13"/>
  <c r="A748" i="13"/>
  <c r="C748" i="13"/>
  <c r="D748" i="13"/>
  <c r="G748" i="13"/>
  <c r="H748" i="13"/>
  <c r="I748" i="13"/>
  <c r="J748" i="13"/>
  <c r="K748" i="13"/>
  <c r="L748" i="13"/>
  <c r="M748" i="13"/>
  <c r="AI748" i="13"/>
  <c r="AJ748" i="13"/>
  <c r="AN748" i="13" s="1"/>
  <c r="AK748" i="13"/>
  <c r="AL748" i="13"/>
  <c r="AM748" i="13"/>
  <c r="A749" i="13"/>
  <c r="C749" i="13"/>
  <c r="D749" i="13"/>
  <c r="G749" i="13"/>
  <c r="H749" i="13"/>
  <c r="I749" i="13"/>
  <c r="J749" i="13"/>
  <c r="K749" i="13"/>
  <c r="L749" i="13"/>
  <c r="M749" i="13"/>
  <c r="AI749" i="13"/>
  <c r="AJ749" i="13"/>
  <c r="AK749" i="13"/>
  <c r="AL749" i="13"/>
  <c r="AM749" i="13"/>
  <c r="AN749" i="13"/>
  <c r="A750" i="13"/>
  <c r="C750" i="13"/>
  <c r="D750" i="13"/>
  <c r="G750" i="13"/>
  <c r="H750" i="13"/>
  <c r="I750" i="13"/>
  <c r="J750" i="13"/>
  <c r="K750" i="13"/>
  <c r="L750" i="13"/>
  <c r="M750" i="13"/>
  <c r="AI750" i="13"/>
  <c r="AJ750" i="13"/>
  <c r="AK750" i="13"/>
  <c r="AL750" i="13"/>
  <c r="AM750" i="13"/>
  <c r="AN750" i="13"/>
  <c r="A751" i="13"/>
  <c r="C751" i="13"/>
  <c r="D751" i="13"/>
  <c r="G751" i="13"/>
  <c r="H751" i="13"/>
  <c r="I751" i="13"/>
  <c r="J751" i="13"/>
  <c r="K751" i="13"/>
  <c r="L751" i="13"/>
  <c r="M751" i="13"/>
  <c r="AI751" i="13"/>
  <c r="AJ751" i="13"/>
  <c r="AN751" i="13" s="1"/>
  <c r="AK751" i="13"/>
  <c r="AL751" i="13"/>
  <c r="AM751" i="13"/>
  <c r="A752" i="13"/>
  <c r="C752" i="13"/>
  <c r="D752" i="13"/>
  <c r="G752" i="13"/>
  <c r="H752" i="13"/>
  <c r="I752" i="13"/>
  <c r="J752" i="13"/>
  <c r="K752" i="13"/>
  <c r="L752" i="13"/>
  <c r="M752" i="13"/>
  <c r="AI752" i="13"/>
  <c r="AJ752" i="13"/>
  <c r="AK752" i="13"/>
  <c r="AL752" i="13"/>
  <c r="AM752" i="13"/>
  <c r="AN752" i="13"/>
  <c r="A753" i="13"/>
  <c r="C753" i="13"/>
  <c r="D753" i="13"/>
  <c r="G753" i="13"/>
  <c r="H753" i="13"/>
  <c r="I753" i="13"/>
  <c r="J753" i="13"/>
  <c r="K753" i="13"/>
  <c r="L753" i="13"/>
  <c r="M753" i="13"/>
  <c r="AI753" i="13"/>
  <c r="AJ753" i="13"/>
  <c r="AK753" i="13"/>
  <c r="AL753" i="13"/>
  <c r="AM753" i="13"/>
  <c r="AN753" i="13"/>
  <c r="A754" i="13"/>
  <c r="C754" i="13"/>
  <c r="D754" i="13"/>
  <c r="G754" i="13"/>
  <c r="H754" i="13"/>
  <c r="I754" i="13"/>
  <c r="J754" i="13"/>
  <c r="K754" i="13"/>
  <c r="L754" i="13"/>
  <c r="M754" i="13"/>
  <c r="AI754" i="13"/>
  <c r="AJ754" i="13"/>
  <c r="AN754" i="13" s="1"/>
  <c r="AK754" i="13"/>
  <c r="AL754" i="13"/>
  <c r="AM754" i="13"/>
  <c r="A755" i="13"/>
  <c r="C755" i="13"/>
  <c r="D755" i="13"/>
  <c r="G755" i="13"/>
  <c r="H755" i="13"/>
  <c r="I755" i="13"/>
  <c r="J755" i="13"/>
  <c r="K755" i="13"/>
  <c r="L755" i="13"/>
  <c r="M755" i="13"/>
  <c r="AI755" i="13"/>
  <c r="AJ755" i="13"/>
  <c r="AK755" i="13"/>
  <c r="AL755" i="13"/>
  <c r="AM755" i="13"/>
  <c r="AN755" i="13"/>
  <c r="A756" i="13"/>
  <c r="C756" i="13"/>
  <c r="D756" i="13"/>
  <c r="G756" i="13"/>
  <c r="H756" i="13"/>
  <c r="I756" i="13"/>
  <c r="J756" i="13"/>
  <c r="K756" i="13"/>
  <c r="L756" i="13"/>
  <c r="M756" i="13"/>
  <c r="AI756" i="13"/>
  <c r="AJ756" i="13"/>
  <c r="AK756" i="13"/>
  <c r="AL756" i="13"/>
  <c r="AM756" i="13"/>
  <c r="AN756" i="13"/>
  <c r="A757" i="13"/>
  <c r="C757" i="13"/>
  <c r="D757" i="13"/>
  <c r="G757" i="13"/>
  <c r="H757" i="13"/>
  <c r="I757" i="13"/>
  <c r="J757" i="13"/>
  <c r="K757" i="13"/>
  <c r="L757" i="13"/>
  <c r="M757" i="13"/>
  <c r="AI757" i="13"/>
  <c r="AJ757" i="13"/>
  <c r="AN757" i="13" s="1"/>
  <c r="AK757" i="13"/>
  <c r="AL757" i="13"/>
  <c r="AM757" i="13"/>
  <c r="A758" i="13"/>
  <c r="C758" i="13"/>
  <c r="D758" i="13"/>
  <c r="G758" i="13"/>
  <c r="H758" i="13"/>
  <c r="I758" i="13"/>
  <c r="J758" i="13"/>
  <c r="K758" i="13"/>
  <c r="L758" i="13"/>
  <c r="M758" i="13"/>
  <c r="AI758" i="13"/>
  <c r="AJ758" i="13"/>
  <c r="AK758" i="13"/>
  <c r="AL758" i="13"/>
  <c r="AM758" i="13"/>
  <c r="AN758" i="13"/>
  <c r="A759" i="13"/>
  <c r="C759" i="13"/>
  <c r="D759" i="13"/>
  <c r="G759" i="13"/>
  <c r="H759" i="13"/>
  <c r="I759" i="13"/>
  <c r="J759" i="13"/>
  <c r="K759" i="13"/>
  <c r="L759" i="13"/>
  <c r="M759" i="13"/>
  <c r="AI759" i="13"/>
  <c r="AJ759" i="13"/>
  <c r="AK759" i="13"/>
  <c r="AL759" i="13"/>
  <c r="AM759" i="13"/>
  <c r="AN759" i="13"/>
  <c r="A760" i="13"/>
  <c r="C760" i="13"/>
  <c r="D760" i="13"/>
  <c r="G760" i="13"/>
  <c r="H760" i="13"/>
  <c r="I760" i="13"/>
  <c r="J760" i="13"/>
  <c r="K760" i="13"/>
  <c r="L760" i="13"/>
  <c r="M760" i="13"/>
  <c r="AI760" i="13"/>
  <c r="AJ760" i="13"/>
  <c r="AN760" i="13" s="1"/>
  <c r="AK760" i="13"/>
  <c r="AL760" i="13"/>
  <c r="AM760" i="13"/>
  <c r="A761" i="13"/>
  <c r="C761" i="13"/>
  <c r="D761" i="13"/>
  <c r="G761" i="13"/>
  <c r="H761" i="13"/>
  <c r="I761" i="13"/>
  <c r="J761" i="13"/>
  <c r="K761" i="13"/>
  <c r="L761" i="13"/>
  <c r="M761" i="13"/>
  <c r="AI761" i="13"/>
  <c r="AJ761" i="13"/>
  <c r="AK761" i="13"/>
  <c r="AL761" i="13"/>
  <c r="AM761" i="13"/>
  <c r="AN761" i="13"/>
  <c r="A762" i="13"/>
  <c r="C762" i="13"/>
  <c r="D762" i="13"/>
  <c r="G762" i="13"/>
  <c r="H762" i="13"/>
  <c r="I762" i="13"/>
  <c r="J762" i="13"/>
  <c r="K762" i="13"/>
  <c r="L762" i="13"/>
  <c r="M762" i="13"/>
  <c r="AI762" i="13"/>
  <c r="AJ762" i="13"/>
  <c r="AK762" i="13"/>
  <c r="AL762" i="13"/>
  <c r="AM762" i="13"/>
  <c r="AN762" i="13"/>
  <c r="A763" i="13"/>
  <c r="C763" i="13"/>
  <c r="D763" i="13"/>
  <c r="G763" i="13"/>
  <c r="H763" i="13"/>
  <c r="I763" i="13"/>
  <c r="J763" i="13"/>
  <c r="K763" i="13"/>
  <c r="L763" i="13"/>
  <c r="M763" i="13"/>
  <c r="AI763" i="13"/>
  <c r="AJ763" i="13"/>
  <c r="AN763" i="13" s="1"/>
  <c r="AK763" i="13"/>
  <c r="AL763" i="13"/>
  <c r="AM763" i="13"/>
  <c r="A764" i="13"/>
  <c r="C764" i="13"/>
  <c r="D764" i="13"/>
  <c r="G764" i="13"/>
  <c r="H764" i="13"/>
  <c r="I764" i="13"/>
  <c r="J764" i="13"/>
  <c r="K764" i="13"/>
  <c r="L764" i="13"/>
  <c r="M764" i="13"/>
  <c r="AI764" i="13"/>
  <c r="AJ764" i="13"/>
  <c r="AK764" i="13"/>
  <c r="AL764" i="13"/>
  <c r="AM764" i="13"/>
  <c r="AN764" i="13"/>
  <c r="A765" i="13"/>
  <c r="C765" i="13"/>
  <c r="D765" i="13"/>
  <c r="G765" i="13"/>
  <c r="H765" i="13"/>
  <c r="I765" i="13"/>
  <c r="J765" i="13"/>
  <c r="K765" i="13"/>
  <c r="L765" i="13"/>
  <c r="M765" i="13"/>
  <c r="AI765" i="13"/>
  <c r="AJ765" i="13"/>
  <c r="AK765" i="13"/>
  <c r="AL765" i="13"/>
  <c r="AM765" i="13"/>
  <c r="AN765" i="13"/>
  <c r="A766" i="13"/>
  <c r="C766" i="13"/>
  <c r="D766" i="13"/>
  <c r="G766" i="13"/>
  <c r="H766" i="13"/>
  <c r="I766" i="13"/>
  <c r="J766" i="13"/>
  <c r="K766" i="13"/>
  <c r="L766" i="13"/>
  <c r="M766" i="13"/>
  <c r="AI766" i="13"/>
  <c r="AJ766" i="13"/>
  <c r="AN766" i="13" s="1"/>
  <c r="AK766" i="13"/>
  <c r="AL766" i="13"/>
  <c r="AM766" i="13"/>
  <c r="A767" i="13"/>
  <c r="C767" i="13"/>
  <c r="D767" i="13"/>
  <c r="G767" i="13"/>
  <c r="H767" i="13"/>
  <c r="I767" i="13"/>
  <c r="J767" i="13"/>
  <c r="K767" i="13"/>
  <c r="L767" i="13"/>
  <c r="M767" i="13"/>
  <c r="AI767" i="13"/>
  <c r="AJ767" i="13"/>
  <c r="AK767" i="13"/>
  <c r="AL767" i="13"/>
  <c r="AM767" i="13"/>
  <c r="AN767" i="13"/>
  <c r="A768" i="13"/>
  <c r="C768" i="13"/>
  <c r="D768" i="13"/>
  <c r="G768" i="13"/>
  <c r="H768" i="13"/>
  <c r="I768" i="13"/>
  <c r="J768" i="13"/>
  <c r="K768" i="13"/>
  <c r="L768" i="13"/>
  <c r="M768" i="13"/>
  <c r="AI768" i="13"/>
  <c r="AJ768" i="13"/>
  <c r="AK768" i="13"/>
  <c r="AL768" i="13"/>
  <c r="AM768" i="13"/>
  <c r="AN768" i="13"/>
  <c r="A769" i="13"/>
  <c r="C769" i="13"/>
  <c r="D769" i="13"/>
  <c r="G769" i="13"/>
  <c r="H769" i="13"/>
  <c r="I769" i="13"/>
  <c r="J769" i="13"/>
  <c r="K769" i="13"/>
  <c r="L769" i="13"/>
  <c r="M769" i="13"/>
  <c r="AI769" i="13"/>
  <c r="AJ769" i="13"/>
  <c r="AN769" i="13" s="1"/>
  <c r="AK769" i="13"/>
  <c r="AL769" i="13"/>
  <c r="AM769" i="13"/>
  <c r="A770" i="13"/>
  <c r="C770" i="13"/>
  <c r="D770" i="13"/>
  <c r="G770" i="13"/>
  <c r="H770" i="13"/>
  <c r="I770" i="13"/>
  <c r="J770" i="13"/>
  <c r="K770" i="13"/>
  <c r="L770" i="13"/>
  <c r="M770" i="13"/>
  <c r="AI770" i="13"/>
  <c r="AJ770" i="13"/>
  <c r="AK770" i="13"/>
  <c r="AL770" i="13"/>
  <c r="AM770" i="13"/>
  <c r="AN770" i="13"/>
  <c r="A771" i="13"/>
  <c r="C771" i="13"/>
  <c r="D771" i="13"/>
  <c r="G771" i="13"/>
  <c r="H771" i="13"/>
  <c r="I771" i="13"/>
  <c r="J771" i="13"/>
  <c r="K771" i="13"/>
  <c r="L771" i="13"/>
  <c r="M771" i="13"/>
  <c r="AI771" i="13"/>
  <c r="AJ771" i="13"/>
  <c r="AK771" i="13"/>
  <c r="AL771" i="13"/>
  <c r="AM771" i="13"/>
  <c r="AN771" i="13"/>
  <c r="A772" i="13"/>
  <c r="C772" i="13"/>
  <c r="D772" i="13"/>
  <c r="G772" i="13"/>
  <c r="H772" i="13"/>
  <c r="I772" i="13"/>
  <c r="J772" i="13"/>
  <c r="K772" i="13"/>
  <c r="L772" i="13"/>
  <c r="M772" i="13"/>
  <c r="AI772" i="13"/>
  <c r="AJ772" i="13"/>
  <c r="AN772" i="13" s="1"/>
  <c r="AK772" i="13"/>
  <c r="AL772" i="13"/>
  <c r="AM772" i="13"/>
  <c r="A773" i="13"/>
  <c r="C773" i="13"/>
  <c r="D773" i="13"/>
  <c r="G773" i="13"/>
  <c r="H773" i="13"/>
  <c r="I773" i="13"/>
  <c r="J773" i="13"/>
  <c r="K773" i="13"/>
  <c r="L773" i="13"/>
  <c r="M773" i="13"/>
  <c r="AI773" i="13"/>
  <c r="AJ773" i="13"/>
  <c r="AK773" i="13"/>
  <c r="AL773" i="13"/>
  <c r="AM773" i="13"/>
  <c r="AN773" i="13"/>
  <c r="A774" i="13"/>
  <c r="C774" i="13"/>
  <c r="D774" i="13"/>
  <c r="G774" i="13"/>
  <c r="H774" i="13"/>
  <c r="I774" i="13"/>
  <c r="J774" i="13"/>
  <c r="K774" i="13"/>
  <c r="L774" i="13"/>
  <c r="M774" i="13"/>
  <c r="AI774" i="13"/>
  <c r="AJ774" i="13"/>
  <c r="AK774" i="13"/>
  <c r="AL774" i="13"/>
  <c r="AM774" i="13"/>
  <c r="AN774" i="13"/>
  <c r="A775" i="13"/>
  <c r="C775" i="13"/>
  <c r="D775" i="13"/>
  <c r="G775" i="13"/>
  <c r="H775" i="13"/>
  <c r="I775" i="13"/>
  <c r="J775" i="13"/>
  <c r="K775" i="13"/>
  <c r="L775" i="13"/>
  <c r="M775" i="13"/>
  <c r="AI775" i="13"/>
  <c r="AJ775" i="13"/>
  <c r="AN775" i="13" s="1"/>
  <c r="AK775" i="13"/>
  <c r="AL775" i="13"/>
  <c r="AM775" i="13"/>
  <c r="A776" i="13"/>
  <c r="C776" i="13"/>
  <c r="D776" i="13"/>
  <c r="G776" i="13"/>
  <c r="H776" i="13"/>
  <c r="I776" i="13"/>
  <c r="J776" i="13"/>
  <c r="K776" i="13"/>
  <c r="L776" i="13"/>
  <c r="M776" i="13"/>
  <c r="AI776" i="13"/>
  <c r="AJ776" i="13"/>
  <c r="AK776" i="13"/>
  <c r="AL776" i="13"/>
  <c r="AM776" i="13"/>
  <c r="AN776" i="13"/>
  <c r="A777" i="13"/>
  <c r="C777" i="13"/>
  <c r="D777" i="13"/>
  <c r="G777" i="13"/>
  <c r="H777" i="13"/>
  <c r="I777" i="13"/>
  <c r="J777" i="13"/>
  <c r="K777" i="13"/>
  <c r="L777" i="13"/>
  <c r="M777" i="13"/>
  <c r="AI777" i="13"/>
  <c r="AJ777" i="13"/>
  <c r="AK777" i="13"/>
  <c r="AL777" i="13"/>
  <c r="AM777" i="13"/>
  <c r="AN777" i="13"/>
  <c r="A778" i="13"/>
  <c r="C778" i="13"/>
  <c r="D778" i="13"/>
  <c r="G778" i="13"/>
  <c r="H778" i="13"/>
  <c r="I778" i="13"/>
  <c r="J778" i="13"/>
  <c r="K778" i="13"/>
  <c r="L778" i="13"/>
  <c r="M778" i="13"/>
  <c r="AI778" i="13"/>
  <c r="AJ778" i="13"/>
  <c r="AN778" i="13" s="1"/>
  <c r="AK778" i="13"/>
  <c r="AL778" i="13"/>
  <c r="AM778" i="13"/>
  <c r="A779" i="13"/>
  <c r="C779" i="13"/>
  <c r="D779" i="13"/>
  <c r="G779" i="13"/>
  <c r="H779" i="13"/>
  <c r="I779" i="13"/>
  <c r="J779" i="13"/>
  <c r="K779" i="13"/>
  <c r="L779" i="13"/>
  <c r="M779" i="13"/>
  <c r="AI779" i="13"/>
  <c r="AJ779" i="13"/>
  <c r="AK779" i="13"/>
  <c r="AL779" i="13"/>
  <c r="AM779" i="13"/>
  <c r="AN779" i="13"/>
  <c r="A780" i="13"/>
  <c r="C780" i="13"/>
  <c r="D780" i="13"/>
  <c r="G780" i="13"/>
  <c r="H780" i="13"/>
  <c r="I780" i="13"/>
  <c r="J780" i="13"/>
  <c r="K780" i="13"/>
  <c r="L780" i="13"/>
  <c r="M780" i="13"/>
  <c r="AI780" i="13"/>
  <c r="AJ780" i="13"/>
  <c r="AK780" i="13"/>
  <c r="AL780" i="13"/>
  <c r="AM780" i="13"/>
  <c r="AN780" i="13"/>
  <c r="A781" i="13"/>
  <c r="C781" i="13"/>
  <c r="D781" i="13"/>
  <c r="G781" i="13"/>
  <c r="H781" i="13"/>
  <c r="I781" i="13"/>
  <c r="J781" i="13"/>
  <c r="K781" i="13"/>
  <c r="L781" i="13"/>
  <c r="M781" i="13"/>
  <c r="AI781" i="13"/>
  <c r="AJ781" i="13"/>
  <c r="AN781" i="13" s="1"/>
  <c r="AK781" i="13"/>
  <c r="AL781" i="13"/>
  <c r="AM781" i="13"/>
  <c r="A782" i="13"/>
  <c r="C782" i="13"/>
  <c r="D782" i="13"/>
  <c r="G782" i="13"/>
  <c r="H782" i="13"/>
  <c r="I782" i="13"/>
  <c r="J782" i="13"/>
  <c r="K782" i="13"/>
  <c r="L782" i="13"/>
  <c r="M782" i="13"/>
  <c r="AI782" i="13"/>
  <c r="AJ782" i="13"/>
  <c r="AK782" i="13"/>
  <c r="AL782" i="13"/>
  <c r="AM782" i="13"/>
  <c r="AN782" i="13"/>
  <c r="A783" i="13"/>
  <c r="C783" i="13"/>
  <c r="D783" i="13"/>
  <c r="G783" i="13"/>
  <c r="H783" i="13"/>
  <c r="I783" i="13"/>
  <c r="J783" i="13"/>
  <c r="K783" i="13"/>
  <c r="L783" i="13"/>
  <c r="M783" i="13"/>
  <c r="AI783" i="13"/>
  <c r="AJ783" i="13"/>
  <c r="AK783" i="13"/>
  <c r="AL783" i="13"/>
  <c r="AM783" i="13"/>
  <c r="AN783" i="13"/>
  <c r="A784" i="13"/>
  <c r="C784" i="13"/>
  <c r="D784" i="13"/>
  <c r="G784" i="13"/>
  <c r="H784" i="13"/>
  <c r="I784" i="13"/>
  <c r="J784" i="13"/>
  <c r="K784" i="13"/>
  <c r="L784" i="13"/>
  <c r="M784" i="13"/>
  <c r="AI784" i="13"/>
  <c r="AJ784" i="13"/>
  <c r="AN784" i="13" s="1"/>
  <c r="AK784" i="13"/>
  <c r="AL784" i="13"/>
  <c r="AM784" i="13"/>
  <c r="A785" i="13"/>
  <c r="C785" i="13"/>
  <c r="D785" i="13"/>
  <c r="G785" i="13"/>
  <c r="H785" i="13"/>
  <c r="I785" i="13"/>
  <c r="J785" i="13"/>
  <c r="K785" i="13"/>
  <c r="L785" i="13"/>
  <c r="M785" i="13"/>
  <c r="AI785" i="13"/>
  <c r="AJ785" i="13"/>
  <c r="AK785" i="13"/>
  <c r="AL785" i="13"/>
  <c r="AM785" i="13"/>
  <c r="AN785" i="13"/>
  <c r="A786" i="13"/>
  <c r="C786" i="13"/>
  <c r="D786" i="13"/>
  <c r="G786" i="13"/>
  <c r="H786" i="13"/>
  <c r="I786" i="13"/>
  <c r="J786" i="13"/>
  <c r="K786" i="13"/>
  <c r="L786" i="13"/>
  <c r="M786" i="13"/>
  <c r="AI786" i="13"/>
  <c r="AJ786" i="13"/>
  <c r="AK786" i="13"/>
  <c r="AL786" i="13"/>
  <c r="AM786" i="13"/>
  <c r="AN786" i="13"/>
  <c r="A787" i="13"/>
  <c r="C787" i="13"/>
  <c r="D787" i="13"/>
  <c r="G787" i="13"/>
  <c r="H787" i="13"/>
  <c r="I787" i="13"/>
  <c r="J787" i="13"/>
  <c r="K787" i="13"/>
  <c r="L787" i="13"/>
  <c r="M787" i="13"/>
  <c r="AI787" i="13"/>
  <c r="AJ787" i="13"/>
  <c r="AN787" i="13" s="1"/>
  <c r="AK787" i="13"/>
  <c r="AL787" i="13"/>
  <c r="AM787" i="13"/>
  <c r="A788" i="13"/>
  <c r="C788" i="13"/>
  <c r="D788" i="13"/>
  <c r="G788" i="13"/>
  <c r="H788" i="13"/>
  <c r="I788" i="13"/>
  <c r="J788" i="13"/>
  <c r="K788" i="13"/>
  <c r="L788" i="13"/>
  <c r="M788" i="13"/>
  <c r="AI788" i="13"/>
  <c r="AJ788" i="13"/>
  <c r="AK788" i="13"/>
  <c r="AL788" i="13"/>
  <c r="AM788" i="13"/>
  <c r="AN788" i="13"/>
  <c r="A789" i="13"/>
  <c r="C789" i="13"/>
  <c r="D789" i="13"/>
  <c r="G789" i="13"/>
  <c r="H789" i="13"/>
  <c r="I789" i="13"/>
  <c r="J789" i="13"/>
  <c r="K789" i="13"/>
  <c r="L789" i="13"/>
  <c r="M789" i="13"/>
  <c r="AI789" i="13"/>
  <c r="AJ789" i="13"/>
  <c r="AK789" i="13"/>
  <c r="AL789" i="13"/>
  <c r="AM789" i="13"/>
  <c r="AN789" i="13"/>
  <c r="A790" i="13"/>
  <c r="C790" i="13"/>
  <c r="D790" i="13"/>
  <c r="G790" i="13"/>
  <c r="H790" i="13"/>
  <c r="I790" i="13"/>
  <c r="J790" i="13"/>
  <c r="K790" i="13"/>
  <c r="L790" i="13"/>
  <c r="M790" i="13"/>
  <c r="AI790" i="13"/>
  <c r="AJ790" i="13"/>
  <c r="AN790" i="13" s="1"/>
  <c r="AK790" i="13"/>
  <c r="AL790" i="13"/>
  <c r="AM790" i="13"/>
  <c r="A791" i="13"/>
  <c r="C791" i="13"/>
  <c r="D791" i="13"/>
  <c r="G791" i="13"/>
  <c r="H791" i="13"/>
  <c r="I791" i="13"/>
  <c r="J791" i="13"/>
  <c r="K791" i="13"/>
  <c r="L791" i="13"/>
  <c r="M791" i="13"/>
  <c r="AI791" i="13"/>
  <c r="AJ791" i="13"/>
  <c r="AK791" i="13"/>
  <c r="AL791" i="13"/>
  <c r="AM791" i="13"/>
  <c r="AN791" i="13"/>
  <c r="A792" i="13"/>
  <c r="C792" i="13"/>
  <c r="D792" i="13"/>
  <c r="G792" i="13"/>
  <c r="H792" i="13"/>
  <c r="I792" i="13"/>
  <c r="J792" i="13"/>
  <c r="K792" i="13"/>
  <c r="L792" i="13"/>
  <c r="M792" i="13"/>
  <c r="AI792" i="13"/>
  <c r="AJ792" i="13"/>
  <c r="AK792" i="13"/>
  <c r="AL792" i="13"/>
  <c r="AM792" i="13"/>
  <c r="AN792" i="13"/>
  <c r="A793" i="13"/>
  <c r="C793" i="13"/>
  <c r="D793" i="13"/>
  <c r="G793" i="13"/>
  <c r="H793" i="13"/>
  <c r="I793" i="13"/>
  <c r="J793" i="13"/>
  <c r="K793" i="13"/>
  <c r="L793" i="13"/>
  <c r="M793" i="13"/>
  <c r="AI793" i="13"/>
  <c r="AJ793" i="13"/>
  <c r="AN793" i="13" s="1"/>
  <c r="AK793" i="13"/>
  <c r="AL793" i="13"/>
  <c r="AM793" i="13"/>
  <c r="A794" i="13"/>
  <c r="C794" i="13"/>
  <c r="D794" i="13"/>
  <c r="G794" i="13"/>
  <c r="H794" i="13"/>
  <c r="I794" i="13"/>
  <c r="J794" i="13"/>
  <c r="K794" i="13"/>
  <c r="L794" i="13"/>
  <c r="M794" i="13"/>
  <c r="AI794" i="13"/>
  <c r="AJ794" i="13"/>
  <c r="AK794" i="13"/>
  <c r="AL794" i="13"/>
  <c r="AM794" i="13"/>
  <c r="AN794" i="13"/>
  <c r="A795" i="13"/>
  <c r="C795" i="13"/>
  <c r="D795" i="13"/>
  <c r="G795" i="13"/>
  <c r="H795" i="13"/>
  <c r="I795" i="13"/>
  <c r="J795" i="13"/>
  <c r="K795" i="13"/>
  <c r="L795" i="13"/>
  <c r="M795" i="13"/>
  <c r="AI795" i="13"/>
  <c r="AJ795" i="13"/>
  <c r="AK795" i="13"/>
  <c r="AL795" i="13"/>
  <c r="AM795" i="13"/>
  <c r="AN795" i="13"/>
  <c r="A796" i="13"/>
  <c r="C796" i="13"/>
  <c r="D796" i="13"/>
  <c r="G796" i="13"/>
  <c r="H796" i="13"/>
  <c r="I796" i="13"/>
  <c r="J796" i="13"/>
  <c r="K796" i="13"/>
  <c r="L796" i="13"/>
  <c r="M796" i="13"/>
  <c r="AI796" i="13"/>
  <c r="AJ796" i="13"/>
  <c r="AN796" i="13" s="1"/>
  <c r="AK796" i="13"/>
  <c r="AL796" i="13"/>
  <c r="AM796" i="13"/>
  <c r="A797" i="13"/>
  <c r="C797" i="13"/>
  <c r="D797" i="13"/>
  <c r="G797" i="13"/>
  <c r="H797" i="13"/>
  <c r="I797" i="13"/>
  <c r="J797" i="13"/>
  <c r="K797" i="13"/>
  <c r="L797" i="13"/>
  <c r="M797" i="13"/>
  <c r="AI797" i="13"/>
  <c r="AJ797" i="13"/>
  <c r="AK797" i="13"/>
  <c r="AL797" i="13"/>
  <c r="AM797" i="13"/>
  <c r="AN797" i="13"/>
  <c r="A798" i="13"/>
  <c r="C798" i="13"/>
  <c r="D798" i="13"/>
  <c r="G798" i="13"/>
  <c r="H798" i="13"/>
  <c r="I798" i="13"/>
  <c r="J798" i="13"/>
  <c r="K798" i="13"/>
  <c r="L798" i="13"/>
  <c r="M798" i="13"/>
  <c r="AI798" i="13"/>
  <c r="AJ798" i="13"/>
  <c r="AK798" i="13"/>
  <c r="AL798" i="13"/>
  <c r="AM798" i="13"/>
  <c r="AN798" i="13"/>
  <c r="A799" i="13"/>
  <c r="C799" i="13"/>
  <c r="D799" i="13"/>
  <c r="G799" i="13"/>
  <c r="H799" i="13"/>
  <c r="I799" i="13"/>
  <c r="J799" i="13"/>
  <c r="K799" i="13"/>
  <c r="L799" i="13"/>
  <c r="M799" i="13"/>
  <c r="AI799" i="13"/>
  <c r="AJ799" i="13"/>
  <c r="AN799" i="13" s="1"/>
  <c r="AK799" i="13"/>
  <c r="AL799" i="13"/>
  <c r="AM799" i="13"/>
  <c r="A800" i="13"/>
  <c r="C800" i="13"/>
  <c r="D800" i="13"/>
  <c r="G800" i="13"/>
  <c r="H800" i="13"/>
  <c r="I800" i="13"/>
  <c r="J800" i="13"/>
  <c r="K800" i="13"/>
  <c r="L800" i="13"/>
  <c r="M800" i="13"/>
  <c r="AI800" i="13"/>
  <c r="AJ800" i="13"/>
  <c r="AK800" i="13"/>
  <c r="AL800" i="13"/>
  <c r="AM800" i="13"/>
  <c r="AN800" i="13"/>
  <c r="A801" i="13"/>
  <c r="C801" i="13"/>
  <c r="D801" i="13"/>
  <c r="G801" i="13"/>
  <c r="H801" i="13"/>
  <c r="I801" i="13"/>
  <c r="J801" i="13"/>
  <c r="K801" i="13"/>
  <c r="L801" i="13"/>
  <c r="M801" i="13"/>
  <c r="AI801" i="13"/>
  <c r="AJ801" i="13"/>
  <c r="AK801" i="13"/>
  <c r="AL801" i="13"/>
  <c r="AM801" i="13"/>
  <c r="AN801" i="13"/>
  <c r="A802" i="13"/>
  <c r="C802" i="13"/>
  <c r="D802" i="13"/>
  <c r="G802" i="13"/>
  <c r="H802" i="13"/>
  <c r="I802" i="13"/>
  <c r="J802" i="13"/>
  <c r="K802" i="13"/>
  <c r="L802" i="13"/>
  <c r="M802" i="13"/>
  <c r="AI802" i="13"/>
  <c r="AJ802" i="13"/>
  <c r="AN802" i="13" s="1"/>
  <c r="AK802" i="13"/>
  <c r="AL802" i="13"/>
  <c r="AM802" i="13"/>
  <c r="A803" i="13"/>
  <c r="C803" i="13"/>
  <c r="D803" i="13"/>
  <c r="G803" i="13"/>
  <c r="H803" i="13"/>
  <c r="I803" i="13"/>
  <c r="J803" i="13"/>
  <c r="K803" i="13"/>
  <c r="L803" i="13"/>
  <c r="M803" i="13"/>
  <c r="AI803" i="13"/>
  <c r="AJ803" i="13"/>
  <c r="AK803" i="13"/>
  <c r="AL803" i="13"/>
  <c r="AM803" i="13"/>
  <c r="AN803" i="13"/>
  <c r="A804" i="13"/>
  <c r="C804" i="13"/>
  <c r="D804" i="13"/>
  <c r="G804" i="13"/>
  <c r="H804" i="13"/>
  <c r="I804" i="13"/>
  <c r="J804" i="13"/>
  <c r="K804" i="13"/>
  <c r="L804" i="13"/>
  <c r="M804" i="13"/>
  <c r="AI804" i="13"/>
  <c r="AJ804" i="13"/>
  <c r="AK804" i="13"/>
  <c r="AL804" i="13"/>
  <c r="AM804" i="13"/>
  <c r="AN804" i="13"/>
  <c r="A805" i="13"/>
  <c r="C805" i="13"/>
  <c r="D805" i="13"/>
  <c r="G805" i="13"/>
  <c r="H805" i="13"/>
  <c r="I805" i="13"/>
  <c r="J805" i="13"/>
  <c r="K805" i="13"/>
  <c r="L805" i="13"/>
  <c r="M805" i="13"/>
  <c r="AI805" i="13"/>
  <c r="AJ805" i="13"/>
  <c r="AN805" i="13" s="1"/>
  <c r="AK805" i="13"/>
  <c r="AL805" i="13"/>
  <c r="AM805" i="13"/>
  <c r="A806" i="13"/>
  <c r="C806" i="13"/>
  <c r="D806" i="13"/>
  <c r="G806" i="13"/>
  <c r="H806" i="13"/>
  <c r="I806" i="13"/>
  <c r="J806" i="13"/>
  <c r="K806" i="13"/>
  <c r="L806" i="13"/>
  <c r="M806" i="13"/>
  <c r="AI806" i="13"/>
  <c r="AJ806" i="13"/>
  <c r="AK806" i="13"/>
  <c r="AL806" i="13"/>
  <c r="AM806" i="13"/>
  <c r="AN806" i="13"/>
  <c r="A807" i="13"/>
  <c r="C807" i="13"/>
  <c r="D807" i="13"/>
  <c r="G807" i="13"/>
  <c r="H807" i="13"/>
  <c r="I807" i="13"/>
  <c r="J807" i="13"/>
  <c r="K807" i="13"/>
  <c r="L807" i="13"/>
  <c r="M807" i="13"/>
  <c r="AI807" i="13"/>
  <c r="AJ807" i="13"/>
  <c r="AK807" i="13"/>
  <c r="AL807" i="13"/>
  <c r="AM807" i="13"/>
  <c r="AN807" i="13"/>
  <c r="A808" i="13"/>
  <c r="C808" i="13"/>
  <c r="D808" i="13"/>
  <c r="G808" i="13"/>
  <c r="H808" i="13"/>
  <c r="I808" i="13"/>
  <c r="J808" i="13"/>
  <c r="K808" i="13"/>
  <c r="L808" i="13"/>
  <c r="M808" i="13"/>
  <c r="AI808" i="13"/>
  <c r="AJ808" i="13"/>
  <c r="AN808" i="13" s="1"/>
  <c r="AK808" i="13"/>
  <c r="AL808" i="13"/>
  <c r="AM808" i="13"/>
  <c r="A809" i="13"/>
  <c r="C809" i="13"/>
  <c r="D809" i="13"/>
  <c r="G809" i="13"/>
  <c r="H809" i="13"/>
  <c r="I809" i="13"/>
  <c r="J809" i="13"/>
  <c r="K809" i="13"/>
  <c r="L809" i="13"/>
  <c r="M809" i="13"/>
  <c r="AI809" i="13"/>
  <c r="AJ809" i="13"/>
  <c r="AK809" i="13"/>
  <c r="AL809" i="13"/>
  <c r="AM809" i="13"/>
  <c r="AN809" i="13"/>
  <c r="A810" i="13"/>
  <c r="C810" i="13"/>
  <c r="D810" i="13"/>
  <c r="G810" i="13"/>
  <c r="H810" i="13"/>
  <c r="I810" i="13"/>
  <c r="J810" i="13"/>
  <c r="K810" i="13"/>
  <c r="L810" i="13"/>
  <c r="M810" i="13"/>
  <c r="AI810" i="13"/>
  <c r="AJ810" i="13"/>
  <c r="AK810" i="13"/>
  <c r="AL810" i="13"/>
  <c r="AM810" i="13"/>
  <c r="AN810" i="13"/>
  <c r="A811" i="13"/>
  <c r="C811" i="13"/>
  <c r="D811" i="13"/>
  <c r="G811" i="13"/>
  <c r="H811" i="13"/>
  <c r="I811" i="13"/>
  <c r="J811" i="13"/>
  <c r="K811" i="13"/>
  <c r="L811" i="13"/>
  <c r="M811" i="13"/>
  <c r="AI811" i="13"/>
  <c r="AJ811" i="13"/>
  <c r="AN811" i="13" s="1"/>
  <c r="AK811" i="13"/>
  <c r="AL811" i="13"/>
  <c r="AM811" i="13"/>
  <c r="A812" i="13"/>
  <c r="C812" i="13"/>
  <c r="D812" i="13"/>
  <c r="G812" i="13"/>
  <c r="H812" i="13"/>
  <c r="I812" i="13"/>
  <c r="J812" i="13"/>
  <c r="K812" i="13"/>
  <c r="L812" i="13"/>
  <c r="M812" i="13"/>
  <c r="AI812" i="13"/>
  <c r="AJ812" i="13"/>
  <c r="AK812" i="13"/>
  <c r="AL812" i="13"/>
  <c r="AM812" i="13"/>
  <c r="AN812" i="13"/>
  <c r="A813" i="13"/>
  <c r="C813" i="13"/>
  <c r="D813" i="13"/>
  <c r="G813" i="13"/>
  <c r="H813" i="13"/>
  <c r="I813" i="13"/>
  <c r="J813" i="13"/>
  <c r="K813" i="13"/>
  <c r="L813" i="13"/>
  <c r="M813" i="13"/>
  <c r="AI813" i="13"/>
  <c r="AJ813" i="13"/>
  <c r="AK813" i="13"/>
  <c r="AL813" i="13"/>
  <c r="AM813" i="13"/>
  <c r="AN813" i="13"/>
  <c r="A814" i="13"/>
  <c r="C814" i="13"/>
  <c r="D814" i="13"/>
  <c r="G814" i="13"/>
  <c r="H814" i="13"/>
  <c r="I814" i="13"/>
  <c r="J814" i="13"/>
  <c r="K814" i="13"/>
  <c r="L814" i="13"/>
  <c r="M814" i="13"/>
  <c r="AI814" i="13"/>
  <c r="AJ814" i="13"/>
  <c r="AN814" i="13" s="1"/>
  <c r="AK814" i="13"/>
  <c r="AL814" i="13"/>
  <c r="AM814" i="13"/>
  <c r="A815" i="13"/>
  <c r="C815" i="13"/>
  <c r="D815" i="13"/>
  <c r="G815" i="13"/>
  <c r="H815" i="13"/>
  <c r="I815" i="13"/>
  <c r="J815" i="13"/>
  <c r="K815" i="13"/>
  <c r="L815" i="13"/>
  <c r="M815" i="13"/>
  <c r="AI815" i="13"/>
  <c r="AJ815" i="13"/>
  <c r="AK815" i="13"/>
  <c r="AL815" i="13"/>
  <c r="AM815" i="13"/>
  <c r="AN815" i="13"/>
  <c r="A816" i="13"/>
  <c r="C816" i="13"/>
  <c r="D816" i="13"/>
  <c r="G816" i="13"/>
  <c r="H816" i="13"/>
  <c r="I816" i="13"/>
  <c r="J816" i="13"/>
  <c r="K816" i="13"/>
  <c r="L816" i="13"/>
  <c r="M816" i="13"/>
  <c r="AI816" i="13"/>
  <c r="AJ816" i="13"/>
  <c r="AK816" i="13"/>
  <c r="AL816" i="13"/>
  <c r="AM816" i="13"/>
  <c r="AN816" i="13"/>
  <c r="A817" i="13"/>
  <c r="C817" i="13"/>
  <c r="D817" i="13"/>
  <c r="G817" i="13"/>
  <c r="H817" i="13"/>
  <c r="I817" i="13"/>
  <c r="J817" i="13"/>
  <c r="K817" i="13"/>
  <c r="L817" i="13"/>
  <c r="M817" i="13"/>
  <c r="AI817" i="13"/>
  <c r="AJ817" i="13"/>
  <c r="AN817" i="13" s="1"/>
  <c r="AK817" i="13"/>
  <c r="AL817" i="13"/>
  <c r="AM817" i="13"/>
  <c r="A818" i="13"/>
  <c r="C818" i="13"/>
  <c r="D818" i="13"/>
  <c r="G818" i="13"/>
  <c r="H818" i="13"/>
  <c r="I818" i="13"/>
  <c r="J818" i="13"/>
  <c r="K818" i="13"/>
  <c r="L818" i="13"/>
  <c r="M818" i="13"/>
  <c r="AI818" i="13"/>
  <c r="AJ818" i="13"/>
  <c r="AK818" i="13"/>
  <c r="AL818" i="13"/>
  <c r="AM818" i="13"/>
  <c r="AN818" i="13"/>
  <c r="A819" i="13"/>
  <c r="C819" i="13"/>
  <c r="D819" i="13"/>
  <c r="G819" i="13"/>
  <c r="H819" i="13"/>
  <c r="I819" i="13"/>
  <c r="J819" i="13"/>
  <c r="K819" i="13"/>
  <c r="L819" i="13"/>
  <c r="M819" i="13"/>
  <c r="AI819" i="13"/>
  <c r="AJ819" i="13"/>
  <c r="AK819" i="13"/>
  <c r="AL819" i="13"/>
  <c r="AM819" i="13"/>
  <c r="AN819" i="13"/>
  <c r="A820" i="13"/>
  <c r="C820" i="13"/>
  <c r="D820" i="13"/>
  <c r="G820" i="13"/>
  <c r="H820" i="13"/>
  <c r="I820" i="13"/>
  <c r="J820" i="13"/>
  <c r="K820" i="13"/>
  <c r="L820" i="13"/>
  <c r="M820" i="13"/>
  <c r="AI820" i="13"/>
  <c r="AJ820" i="13"/>
  <c r="AN820" i="13" s="1"/>
  <c r="AK820" i="13"/>
  <c r="AL820" i="13"/>
  <c r="AM820" i="13"/>
  <c r="A821" i="13"/>
  <c r="C821" i="13"/>
  <c r="D821" i="13"/>
  <c r="G821" i="13"/>
  <c r="H821" i="13"/>
  <c r="I821" i="13"/>
  <c r="J821" i="13"/>
  <c r="K821" i="13"/>
  <c r="L821" i="13"/>
  <c r="M821" i="13"/>
  <c r="AI821" i="13"/>
  <c r="AJ821" i="13"/>
  <c r="AK821" i="13"/>
  <c r="AL821" i="13"/>
  <c r="AM821" i="13"/>
  <c r="AN821" i="13"/>
  <c r="A822" i="13"/>
  <c r="C822" i="13"/>
  <c r="D822" i="13"/>
  <c r="G822" i="13"/>
  <c r="H822" i="13"/>
  <c r="I822" i="13"/>
  <c r="J822" i="13"/>
  <c r="K822" i="13"/>
  <c r="L822" i="13"/>
  <c r="M822" i="13"/>
  <c r="AI822" i="13"/>
  <c r="AJ822" i="13"/>
  <c r="AK822" i="13"/>
  <c r="AL822" i="13"/>
  <c r="AM822" i="13"/>
  <c r="AN822" i="13"/>
  <c r="A823" i="13"/>
  <c r="C823" i="13"/>
  <c r="D823" i="13"/>
  <c r="G823" i="13"/>
  <c r="H823" i="13"/>
  <c r="I823" i="13"/>
  <c r="J823" i="13"/>
  <c r="K823" i="13"/>
  <c r="L823" i="13"/>
  <c r="M823" i="13"/>
  <c r="AI823" i="13"/>
  <c r="AJ823" i="13"/>
  <c r="AN823" i="13" s="1"/>
  <c r="AK823" i="13"/>
  <c r="AL823" i="13"/>
  <c r="AM823" i="13"/>
  <c r="A824" i="13"/>
  <c r="C824" i="13"/>
  <c r="D824" i="13"/>
  <c r="G824" i="13"/>
  <c r="H824" i="13"/>
  <c r="I824" i="13"/>
  <c r="J824" i="13"/>
  <c r="K824" i="13"/>
  <c r="L824" i="13"/>
  <c r="M824" i="13"/>
  <c r="AI824" i="13"/>
  <c r="AJ824" i="13"/>
  <c r="AK824" i="13"/>
  <c r="AL824" i="13"/>
  <c r="AM824" i="13"/>
  <c r="AN824" i="13"/>
  <c r="A825" i="13"/>
  <c r="C825" i="13"/>
  <c r="D825" i="13"/>
  <c r="G825" i="13"/>
  <c r="H825" i="13"/>
  <c r="I825" i="13"/>
  <c r="J825" i="13"/>
  <c r="K825" i="13"/>
  <c r="L825" i="13"/>
  <c r="M825" i="13"/>
  <c r="AI825" i="13"/>
  <c r="AJ825" i="13"/>
  <c r="AK825" i="13"/>
  <c r="AL825" i="13"/>
  <c r="AM825" i="13"/>
  <c r="AN825" i="13"/>
  <c r="A826" i="13"/>
  <c r="C826" i="13"/>
  <c r="D826" i="13"/>
  <c r="G826" i="13"/>
  <c r="H826" i="13"/>
  <c r="I826" i="13"/>
  <c r="J826" i="13"/>
  <c r="K826" i="13"/>
  <c r="L826" i="13"/>
  <c r="M826" i="13"/>
  <c r="AI826" i="13"/>
  <c r="AJ826" i="13"/>
  <c r="AN826" i="13" s="1"/>
  <c r="AK826" i="13"/>
  <c r="AL826" i="13"/>
  <c r="AM826" i="13"/>
  <c r="A827" i="13"/>
  <c r="C827" i="13"/>
  <c r="D827" i="13"/>
  <c r="G827" i="13"/>
  <c r="H827" i="13"/>
  <c r="I827" i="13"/>
  <c r="J827" i="13"/>
  <c r="K827" i="13"/>
  <c r="L827" i="13"/>
  <c r="M827" i="13"/>
  <c r="AI827" i="13"/>
  <c r="AJ827" i="13"/>
  <c r="AK827" i="13"/>
  <c r="AL827" i="13"/>
  <c r="AM827" i="13"/>
  <c r="AN827" i="13"/>
  <c r="A828" i="13"/>
  <c r="C828" i="13"/>
  <c r="D828" i="13"/>
  <c r="G828" i="13"/>
  <c r="H828" i="13"/>
  <c r="I828" i="13"/>
  <c r="J828" i="13"/>
  <c r="K828" i="13"/>
  <c r="L828" i="13"/>
  <c r="M828" i="13"/>
  <c r="AI828" i="13"/>
  <c r="AJ828" i="13"/>
  <c r="AK828" i="13"/>
  <c r="AL828" i="13"/>
  <c r="AM828" i="13"/>
  <c r="AN828" i="13"/>
  <c r="A829" i="13"/>
  <c r="C829" i="13"/>
  <c r="D829" i="13"/>
  <c r="G829" i="13"/>
  <c r="H829" i="13"/>
  <c r="I829" i="13"/>
  <c r="J829" i="13"/>
  <c r="K829" i="13"/>
  <c r="L829" i="13"/>
  <c r="M829" i="13"/>
  <c r="AI829" i="13"/>
  <c r="AJ829" i="13"/>
  <c r="AN829" i="13" s="1"/>
  <c r="AK829" i="13"/>
  <c r="AL829" i="13"/>
  <c r="AM829" i="13"/>
  <c r="A830" i="13"/>
  <c r="C830" i="13"/>
  <c r="D830" i="13"/>
  <c r="G830" i="13"/>
  <c r="H830" i="13"/>
  <c r="I830" i="13"/>
  <c r="J830" i="13"/>
  <c r="K830" i="13"/>
  <c r="L830" i="13"/>
  <c r="M830" i="13"/>
  <c r="AI830" i="13"/>
  <c r="AJ830" i="13"/>
  <c r="AK830" i="13"/>
  <c r="AL830" i="13"/>
  <c r="AM830" i="13"/>
  <c r="AN830" i="13"/>
  <c r="A831" i="13"/>
  <c r="C831" i="13"/>
  <c r="D831" i="13"/>
  <c r="G831" i="13"/>
  <c r="H831" i="13"/>
  <c r="I831" i="13"/>
  <c r="J831" i="13"/>
  <c r="K831" i="13"/>
  <c r="L831" i="13"/>
  <c r="M831" i="13"/>
  <c r="AI831" i="13"/>
  <c r="AJ831" i="13"/>
  <c r="AK831" i="13"/>
  <c r="AL831" i="13"/>
  <c r="AM831" i="13"/>
  <c r="AN831" i="13"/>
  <c r="A832" i="13"/>
  <c r="C832" i="13"/>
  <c r="D832" i="13"/>
  <c r="G832" i="13"/>
  <c r="H832" i="13"/>
  <c r="I832" i="13"/>
  <c r="J832" i="13"/>
  <c r="K832" i="13"/>
  <c r="L832" i="13"/>
  <c r="M832" i="13"/>
  <c r="AI832" i="13"/>
  <c r="AJ832" i="13"/>
  <c r="AN832" i="13" s="1"/>
  <c r="AK832" i="13"/>
  <c r="AL832" i="13"/>
  <c r="AM832" i="13"/>
  <c r="A833" i="13"/>
  <c r="C833" i="13"/>
  <c r="D833" i="13"/>
  <c r="G833" i="13"/>
  <c r="H833" i="13"/>
  <c r="I833" i="13"/>
  <c r="J833" i="13"/>
  <c r="K833" i="13"/>
  <c r="L833" i="13"/>
  <c r="M833" i="13"/>
  <c r="AI833" i="13"/>
  <c r="AJ833" i="13"/>
  <c r="AK833" i="13"/>
  <c r="AL833" i="13"/>
  <c r="AM833" i="13"/>
  <c r="AN833" i="13"/>
  <c r="A834" i="13"/>
  <c r="C834" i="13"/>
  <c r="D834" i="13"/>
  <c r="G834" i="13"/>
  <c r="H834" i="13"/>
  <c r="I834" i="13"/>
  <c r="J834" i="13"/>
  <c r="K834" i="13"/>
  <c r="L834" i="13"/>
  <c r="M834" i="13"/>
  <c r="AI834" i="13"/>
  <c r="AJ834" i="13"/>
  <c r="AK834" i="13"/>
  <c r="AL834" i="13"/>
  <c r="AM834" i="13"/>
  <c r="AN834" i="13"/>
  <c r="A835" i="13"/>
  <c r="C835" i="13"/>
  <c r="D835" i="13"/>
  <c r="G835" i="13"/>
  <c r="H835" i="13"/>
  <c r="I835" i="13"/>
  <c r="J835" i="13"/>
  <c r="K835" i="13"/>
  <c r="L835" i="13"/>
  <c r="M835" i="13"/>
  <c r="AI835" i="13"/>
  <c r="AJ835" i="13"/>
  <c r="AN835" i="13" s="1"/>
  <c r="AK835" i="13"/>
  <c r="AL835" i="13"/>
  <c r="AM835" i="13"/>
  <c r="A836" i="13"/>
  <c r="C836" i="13"/>
  <c r="D836" i="13"/>
  <c r="G836" i="13"/>
  <c r="H836" i="13"/>
  <c r="I836" i="13"/>
  <c r="J836" i="13"/>
  <c r="K836" i="13"/>
  <c r="L836" i="13"/>
  <c r="M836" i="13"/>
  <c r="AI836" i="13"/>
  <c r="AJ836" i="13"/>
  <c r="AK836" i="13"/>
  <c r="AL836" i="13"/>
  <c r="AM836" i="13"/>
  <c r="AN836" i="13"/>
  <c r="A837" i="13"/>
  <c r="C837" i="13"/>
  <c r="D837" i="13"/>
  <c r="G837" i="13"/>
  <c r="H837" i="13"/>
  <c r="I837" i="13"/>
  <c r="J837" i="13"/>
  <c r="K837" i="13"/>
  <c r="L837" i="13"/>
  <c r="M837" i="13"/>
  <c r="AI837" i="13"/>
  <c r="AJ837" i="13"/>
  <c r="AK837" i="13"/>
  <c r="AL837" i="13"/>
  <c r="AM837" i="13"/>
  <c r="AN837" i="13"/>
  <c r="A838" i="13"/>
  <c r="C838" i="13"/>
  <c r="D838" i="13"/>
  <c r="G838" i="13"/>
  <c r="H838" i="13"/>
  <c r="I838" i="13"/>
  <c r="J838" i="13"/>
  <c r="K838" i="13"/>
  <c r="L838" i="13"/>
  <c r="M838" i="13"/>
  <c r="AI838" i="13"/>
  <c r="AJ838" i="13"/>
  <c r="AN838" i="13" s="1"/>
  <c r="AK838" i="13"/>
  <c r="AL838" i="13"/>
  <c r="AM838" i="13"/>
  <c r="A839" i="13"/>
  <c r="C839" i="13"/>
  <c r="D839" i="13"/>
  <c r="G839" i="13"/>
  <c r="H839" i="13"/>
  <c r="I839" i="13"/>
  <c r="J839" i="13"/>
  <c r="K839" i="13"/>
  <c r="L839" i="13"/>
  <c r="M839" i="13"/>
  <c r="AI839" i="13"/>
  <c r="AJ839" i="13"/>
  <c r="AK839" i="13"/>
  <c r="AL839" i="13"/>
  <c r="AM839" i="13"/>
  <c r="AN839" i="13"/>
  <c r="A840" i="13"/>
  <c r="C840" i="13"/>
  <c r="D840" i="13"/>
  <c r="G840" i="13"/>
  <c r="H840" i="13"/>
  <c r="I840" i="13"/>
  <c r="J840" i="13"/>
  <c r="K840" i="13"/>
  <c r="L840" i="13"/>
  <c r="M840" i="13"/>
  <c r="AI840" i="13"/>
  <c r="AJ840" i="13"/>
  <c r="AK840" i="13"/>
  <c r="AL840" i="13"/>
  <c r="AM840" i="13"/>
  <c r="AN840" i="13"/>
  <c r="A841" i="13"/>
  <c r="C841" i="13"/>
  <c r="D841" i="13"/>
  <c r="G841" i="13"/>
  <c r="H841" i="13"/>
  <c r="I841" i="13"/>
  <c r="J841" i="13"/>
  <c r="K841" i="13"/>
  <c r="L841" i="13"/>
  <c r="M841" i="13"/>
  <c r="AI841" i="13"/>
  <c r="AJ841" i="13"/>
  <c r="AN841" i="13" s="1"/>
  <c r="AK841" i="13"/>
  <c r="AL841" i="13"/>
  <c r="AM841" i="13"/>
  <c r="A842" i="13"/>
  <c r="C842" i="13"/>
  <c r="D842" i="13"/>
  <c r="G842" i="13"/>
  <c r="H842" i="13"/>
  <c r="I842" i="13"/>
  <c r="J842" i="13"/>
  <c r="K842" i="13"/>
  <c r="L842" i="13"/>
  <c r="M842" i="13"/>
  <c r="AI842" i="13"/>
  <c r="AJ842" i="13"/>
  <c r="AK842" i="13"/>
  <c r="AL842" i="13"/>
  <c r="AM842" i="13"/>
  <c r="AN842" i="13"/>
  <c r="A843" i="13"/>
  <c r="C843" i="13"/>
  <c r="D843" i="13"/>
  <c r="G843" i="13"/>
  <c r="H843" i="13"/>
  <c r="I843" i="13"/>
  <c r="J843" i="13"/>
  <c r="K843" i="13"/>
  <c r="L843" i="13"/>
  <c r="M843" i="13"/>
  <c r="AI843" i="13"/>
  <c r="AJ843" i="13"/>
  <c r="AK843" i="13"/>
  <c r="AL843" i="13"/>
  <c r="AM843" i="13"/>
  <c r="AN843" i="13"/>
  <c r="A844" i="13"/>
  <c r="C844" i="13"/>
  <c r="D844" i="13"/>
  <c r="G844" i="13"/>
  <c r="H844" i="13"/>
  <c r="I844" i="13"/>
  <c r="J844" i="13"/>
  <c r="K844" i="13"/>
  <c r="L844" i="13"/>
  <c r="M844" i="13"/>
  <c r="AI844" i="13"/>
  <c r="AJ844" i="13"/>
  <c r="AN844" i="13" s="1"/>
  <c r="AK844" i="13"/>
  <c r="AL844" i="13"/>
  <c r="AM844" i="13"/>
  <c r="A845" i="13"/>
  <c r="C845" i="13"/>
  <c r="D845" i="13"/>
  <c r="G845" i="13"/>
  <c r="H845" i="13"/>
  <c r="I845" i="13"/>
  <c r="J845" i="13"/>
  <c r="K845" i="13"/>
  <c r="L845" i="13"/>
  <c r="M845" i="13"/>
  <c r="AI845" i="13"/>
  <c r="AJ845" i="13"/>
  <c r="AK845" i="13"/>
  <c r="AL845" i="13"/>
  <c r="AM845" i="13"/>
  <c r="AN845" i="13"/>
  <c r="A846" i="13"/>
  <c r="C846" i="13"/>
  <c r="D846" i="13"/>
  <c r="G846" i="13"/>
  <c r="H846" i="13"/>
  <c r="I846" i="13"/>
  <c r="J846" i="13"/>
  <c r="K846" i="13"/>
  <c r="L846" i="13"/>
  <c r="M846" i="13"/>
  <c r="AI846" i="13"/>
  <c r="AJ846" i="13"/>
  <c r="AK846" i="13"/>
  <c r="AL846" i="13"/>
  <c r="AM846" i="13"/>
  <c r="AN846" i="13"/>
  <c r="A847" i="13"/>
  <c r="C847" i="13"/>
  <c r="D847" i="13"/>
  <c r="G847" i="13"/>
  <c r="H847" i="13"/>
  <c r="I847" i="13"/>
  <c r="J847" i="13"/>
  <c r="K847" i="13"/>
  <c r="L847" i="13"/>
  <c r="M847" i="13"/>
  <c r="AI847" i="13"/>
  <c r="AJ847" i="13"/>
  <c r="AN847" i="13" s="1"/>
  <c r="AK847" i="13"/>
  <c r="AL847" i="13"/>
  <c r="AM847" i="13"/>
  <c r="A848" i="13"/>
  <c r="C848" i="13"/>
  <c r="D848" i="13"/>
  <c r="G848" i="13"/>
  <c r="H848" i="13"/>
  <c r="I848" i="13"/>
  <c r="J848" i="13"/>
  <c r="K848" i="13"/>
  <c r="L848" i="13"/>
  <c r="M848" i="13"/>
  <c r="AI848" i="13"/>
  <c r="AJ848" i="13"/>
  <c r="AK848" i="13"/>
  <c r="AL848" i="13"/>
  <c r="AM848" i="13"/>
  <c r="AN848" i="13"/>
  <c r="A849" i="13"/>
  <c r="C849" i="13"/>
  <c r="D849" i="13"/>
  <c r="G849" i="13"/>
  <c r="H849" i="13"/>
  <c r="I849" i="13"/>
  <c r="J849" i="13"/>
  <c r="K849" i="13"/>
  <c r="L849" i="13"/>
  <c r="M849" i="13"/>
  <c r="AI849" i="13"/>
  <c r="AJ849" i="13"/>
  <c r="AK849" i="13"/>
  <c r="AL849" i="13"/>
  <c r="AM849" i="13"/>
  <c r="AN849" i="13"/>
  <c r="A850" i="13"/>
  <c r="C850" i="13"/>
  <c r="D850" i="13"/>
  <c r="G850" i="13"/>
  <c r="H850" i="13"/>
  <c r="I850" i="13"/>
  <c r="J850" i="13"/>
  <c r="K850" i="13"/>
  <c r="L850" i="13"/>
  <c r="M850" i="13"/>
  <c r="AI850" i="13"/>
  <c r="AJ850" i="13"/>
  <c r="AN850" i="13" s="1"/>
  <c r="AK850" i="13"/>
  <c r="AL850" i="13"/>
  <c r="AM850" i="13"/>
  <c r="A851" i="13"/>
  <c r="C851" i="13"/>
  <c r="D851" i="13"/>
  <c r="G851" i="13"/>
  <c r="H851" i="13"/>
  <c r="I851" i="13"/>
  <c r="J851" i="13"/>
  <c r="K851" i="13"/>
  <c r="L851" i="13"/>
  <c r="M851" i="13"/>
  <c r="AI851" i="13"/>
  <c r="AJ851" i="13"/>
  <c r="AK851" i="13"/>
  <c r="AL851" i="13"/>
  <c r="AM851" i="13"/>
  <c r="AN851" i="13"/>
  <c r="A852" i="13"/>
  <c r="C852" i="13"/>
  <c r="D852" i="13"/>
  <c r="G852" i="13"/>
  <c r="H852" i="13"/>
  <c r="I852" i="13"/>
  <c r="J852" i="13"/>
  <c r="K852" i="13"/>
  <c r="L852" i="13"/>
  <c r="M852" i="13"/>
  <c r="AI852" i="13"/>
  <c r="AJ852" i="13"/>
  <c r="AK852" i="13"/>
  <c r="AL852" i="13"/>
  <c r="AM852" i="13"/>
  <c r="AN852" i="13"/>
  <c r="A853" i="13"/>
  <c r="C853" i="13"/>
  <c r="D853" i="13"/>
  <c r="G853" i="13"/>
  <c r="H853" i="13"/>
  <c r="I853" i="13"/>
  <c r="J853" i="13"/>
  <c r="K853" i="13"/>
  <c r="L853" i="13"/>
  <c r="M853" i="13"/>
  <c r="AI853" i="13"/>
  <c r="AJ853" i="13"/>
  <c r="AN853" i="13" s="1"/>
  <c r="AK853" i="13"/>
  <c r="AL853" i="13"/>
  <c r="AM853" i="13"/>
  <c r="A854" i="13"/>
  <c r="C854" i="13"/>
  <c r="D854" i="13"/>
  <c r="G854" i="13"/>
  <c r="H854" i="13"/>
  <c r="I854" i="13"/>
  <c r="J854" i="13"/>
  <c r="K854" i="13"/>
  <c r="L854" i="13"/>
  <c r="M854" i="13"/>
  <c r="AI854" i="13"/>
  <c r="AJ854" i="13"/>
  <c r="AK854" i="13"/>
  <c r="AL854" i="13"/>
  <c r="AM854" i="13"/>
  <c r="AN854" i="13"/>
  <c r="A855" i="13"/>
  <c r="C855" i="13"/>
  <c r="D855" i="13"/>
  <c r="G855" i="13"/>
  <c r="H855" i="13"/>
  <c r="I855" i="13"/>
  <c r="J855" i="13"/>
  <c r="K855" i="13"/>
  <c r="L855" i="13"/>
  <c r="M855" i="13"/>
  <c r="AI855" i="13"/>
  <c r="AJ855" i="13"/>
  <c r="AK855" i="13"/>
  <c r="AL855" i="13"/>
  <c r="AM855" i="13"/>
  <c r="AN855" i="13"/>
  <c r="A856" i="13"/>
  <c r="C856" i="13"/>
  <c r="D856" i="13"/>
  <c r="G856" i="13"/>
  <c r="H856" i="13"/>
  <c r="I856" i="13"/>
  <c r="J856" i="13"/>
  <c r="K856" i="13"/>
  <c r="L856" i="13"/>
  <c r="M856" i="13"/>
  <c r="AI856" i="13"/>
  <c r="AJ856" i="13"/>
  <c r="AN856" i="13" s="1"/>
  <c r="AK856" i="13"/>
  <c r="AL856" i="13"/>
  <c r="AM856" i="13"/>
  <c r="A857" i="13"/>
  <c r="C857" i="13"/>
  <c r="D857" i="13"/>
  <c r="G857" i="13"/>
  <c r="H857" i="13"/>
  <c r="I857" i="13"/>
  <c r="J857" i="13"/>
  <c r="K857" i="13"/>
  <c r="L857" i="13"/>
  <c r="M857" i="13"/>
  <c r="AI857" i="13"/>
  <c r="AJ857" i="13"/>
  <c r="AK857" i="13"/>
  <c r="AL857" i="13"/>
  <c r="AM857" i="13"/>
  <c r="AN857" i="13"/>
  <c r="A858" i="13"/>
  <c r="C858" i="13"/>
  <c r="D858" i="13"/>
  <c r="G858" i="13"/>
  <c r="H858" i="13"/>
  <c r="I858" i="13"/>
  <c r="J858" i="13"/>
  <c r="K858" i="13"/>
  <c r="L858" i="13"/>
  <c r="M858" i="13"/>
  <c r="AI858" i="13"/>
  <c r="AJ858" i="13"/>
  <c r="AK858" i="13"/>
  <c r="AL858" i="13"/>
  <c r="AM858" i="13"/>
  <c r="AN858" i="13"/>
  <c r="A859" i="13"/>
  <c r="C859" i="13"/>
  <c r="D859" i="13"/>
  <c r="G859" i="13"/>
  <c r="H859" i="13"/>
  <c r="I859" i="13"/>
  <c r="J859" i="13"/>
  <c r="K859" i="13"/>
  <c r="L859" i="13"/>
  <c r="M859" i="13"/>
  <c r="AI859" i="13"/>
  <c r="AJ859" i="13"/>
  <c r="AN859" i="13" s="1"/>
  <c r="AK859" i="13"/>
  <c r="AL859" i="13"/>
  <c r="AM859" i="13"/>
  <c r="A860" i="13"/>
  <c r="C860" i="13"/>
  <c r="D860" i="13"/>
  <c r="G860" i="13"/>
  <c r="H860" i="13"/>
  <c r="I860" i="13"/>
  <c r="J860" i="13"/>
  <c r="K860" i="13"/>
  <c r="L860" i="13"/>
  <c r="M860" i="13"/>
  <c r="AI860" i="13"/>
  <c r="AJ860" i="13"/>
  <c r="AK860" i="13"/>
  <c r="AL860" i="13"/>
  <c r="AM860" i="13"/>
  <c r="AN860" i="13"/>
  <c r="A861" i="13"/>
  <c r="C861" i="13"/>
  <c r="D861" i="13"/>
  <c r="G861" i="13"/>
  <c r="H861" i="13"/>
  <c r="I861" i="13"/>
  <c r="J861" i="13"/>
  <c r="K861" i="13"/>
  <c r="L861" i="13"/>
  <c r="M861" i="13"/>
  <c r="AI861" i="13"/>
  <c r="AJ861" i="13"/>
  <c r="AK861" i="13"/>
  <c r="AL861" i="13"/>
  <c r="AM861" i="13"/>
  <c r="AN861" i="13"/>
  <c r="A862" i="13"/>
  <c r="C862" i="13"/>
  <c r="D862" i="13"/>
  <c r="G862" i="13"/>
  <c r="H862" i="13"/>
  <c r="I862" i="13"/>
  <c r="J862" i="13"/>
  <c r="K862" i="13"/>
  <c r="L862" i="13"/>
  <c r="M862" i="13"/>
  <c r="AI862" i="13"/>
  <c r="AJ862" i="13"/>
  <c r="AN862" i="13" s="1"/>
  <c r="AK862" i="13"/>
  <c r="AL862" i="13"/>
  <c r="AM862" i="13"/>
  <c r="A863" i="13"/>
  <c r="C863" i="13"/>
  <c r="D863" i="13"/>
  <c r="G863" i="13"/>
  <c r="H863" i="13"/>
  <c r="I863" i="13"/>
  <c r="J863" i="13"/>
  <c r="K863" i="13"/>
  <c r="L863" i="13"/>
  <c r="M863" i="13"/>
  <c r="AI863" i="13"/>
  <c r="AJ863" i="13"/>
  <c r="AK863" i="13"/>
  <c r="AL863" i="13"/>
  <c r="AM863" i="13"/>
  <c r="AN863" i="13"/>
  <c r="A864" i="13"/>
  <c r="C864" i="13"/>
  <c r="D864" i="13"/>
  <c r="G864" i="13"/>
  <c r="H864" i="13"/>
  <c r="I864" i="13"/>
  <c r="J864" i="13"/>
  <c r="K864" i="13"/>
  <c r="L864" i="13"/>
  <c r="M864" i="13"/>
  <c r="AI864" i="13"/>
  <c r="AJ864" i="13"/>
  <c r="AK864" i="13"/>
  <c r="AL864" i="13"/>
  <c r="AM864" i="13"/>
  <c r="AN864" i="13"/>
  <c r="A865" i="13"/>
  <c r="C865" i="13"/>
  <c r="D865" i="13"/>
  <c r="G865" i="13"/>
  <c r="H865" i="13"/>
  <c r="I865" i="13"/>
  <c r="J865" i="13"/>
  <c r="K865" i="13"/>
  <c r="L865" i="13"/>
  <c r="M865" i="13"/>
  <c r="AI865" i="13"/>
  <c r="AJ865" i="13"/>
  <c r="AN865" i="13" s="1"/>
  <c r="AK865" i="13"/>
  <c r="AL865" i="13"/>
  <c r="AM865" i="13"/>
  <c r="A866" i="13"/>
  <c r="C866" i="13"/>
  <c r="D866" i="13"/>
  <c r="G866" i="13"/>
  <c r="H866" i="13"/>
  <c r="I866" i="13"/>
  <c r="J866" i="13"/>
  <c r="K866" i="13"/>
  <c r="L866" i="13"/>
  <c r="M866" i="13"/>
  <c r="AI866" i="13"/>
  <c r="AJ866" i="13"/>
  <c r="AK866" i="13"/>
  <c r="AL866" i="13"/>
  <c r="AM866" i="13"/>
  <c r="AN866" i="13"/>
  <c r="A867" i="13"/>
  <c r="C867" i="13"/>
  <c r="D867" i="13"/>
  <c r="G867" i="13"/>
  <c r="H867" i="13"/>
  <c r="I867" i="13"/>
  <c r="J867" i="13"/>
  <c r="K867" i="13"/>
  <c r="L867" i="13"/>
  <c r="M867" i="13"/>
  <c r="AI867" i="13"/>
  <c r="AJ867" i="13"/>
  <c r="AK867" i="13"/>
  <c r="AL867" i="13"/>
  <c r="AM867" i="13"/>
  <c r="AN867" i="13"/>
  <c r="A868" i="13"/>
  <c r="C868" i="13"/>
  <c r="D868" i="13"/>
  <c r="G868" i="13"/>
  <c r="H868" i="13"/>
  <c r="I868" i="13"/>
  <c r="J868" i="13"/>
  <c r="K868" i="13"/>
  <c r="L868" i="13"/>
  <c r="M868" i="13"/>
  <c r="AI868" i="13"/>
  <c r="AJ868" i="13"/>
  <c r="AN868" i="13" s="1"/>
  <c r="AK868" i="13"/>
  <c r="AL868" i="13"/>
  <c r="AM868" i="13"/>
  <c r="A869" i="13"/>
  <c r="C869" i="13"/>
  <c r="D869" i="13"/>
  <c r="G869" i="13"/>
  <c r="H869" i="13"/>
  <c r="I869" i="13"/>
  <c r="J869" i="13"/>
  <c r="K869" i="13"/>
  <c r="L869" i="13"/>
  <c r="M869" i="13"/>
  <c r="AI869" i="13"/>
  <c r="AJ869" i="13"/>
  <c r="AK869" i="13"/>
  <c r="AL869" i="13"/>
  <c r="AM869" i="13"/>
  <c r="AN869" i="13"/>
  <c r="A870" i="13"/>
  <c r="C870" i="13"/>
  <c r="D870" i="13"/>
  <c r="G870" i="13"/>
  <c r="H870" i="13"/>
  <c r="I870" i="13"/>
  <c r="J870" i="13"/>
  <c r="K870" i="13"/>
  <c r="L870" i="13"/>
  <c r="M870" i="13"/>
  <c r="AI870" i="13"/>
  <c r="AJ870" i="13"/>
  <c r="AK870" i="13"/>
  <c r="AL870" i="13"/>
  <c r="AM870" i="13"/>
  <c r="AN870" i="13"/>
  <c r="A871" i="13"/>
  <c r="C871" i="13"/>
  <c r="D871" i="13"/>
  <c r="G871" i="13"/>
  <c r="H871" i="13"/>
  <c r="I871" i="13"/>
  <c r="J871" i="13"/>
  <c r="K871" i="13"/>
  <c r="L871" i="13"/>
  <c r="M871" i="13"/>
  <c r="AI871" i="13"/>
  <c r="AJ871" i="13"/>
  <c r="AN871" i="13" s="1"/>
  <c r="AK871" i="13"/>
  <c r="AL871" i="13"/>
  <c r="AM871" i="13"/>
  <c r="A872" i="13"/>
  <c r="C872" i="13"/>
  <c r="D872" i="13"/>
  <c r="G872" i="13"/>
  <c r="H872" i="13"/>
  <c r="I872" i="13"/>
  <c r="J872" i="13"/>
  <c r="K872" i="13"/>
  <c r="L872" i="13"/>
  <c r="M872" i="13"/>
  <c r="AI872" i="13"/>
  <c r="AJ872" i="13"/>
  <c r="AK872" i="13"/>
  <c r="AL872" i="13"/>
  <c r="AM872" i="13"/>
  <c r="AN872" i="13"/>
  <c r="A873" i="13"/>
  <c r="C873" i="13"/>
  <c r="D873" i="13"/>
  <c r="G873" i="13"/>
  <c r="H873" i="13"/>
  <c r="I873" i="13"/>
  <c r="J873" i="13"/>
  <c r="K873" i="13"/>
  <c r="L873" i="13"/>
  <c r="M873" i="13"/>
  <c r="AI873" i="13"/>
  <c r="AJ873" i="13"/>
  <c r="AK873" i="13"/>
  <c r="AL873" i="13"/>
  <c r="AM873" i="13"/>
  <c r="AN873" i="13"/>
  <c r="A874" i="13"/>
  <c r="C874" i="13"/>
  <c r="D874" i="13"/>
  <c r="G874" i="13"/>
  <c r="H874" i="13"/>
  <c r="I874" i="13"/>
  <c r="J874" i="13"/>
  <c r="K874" i="13"/>
  <c r="L874" i="13"/>
  <c r="M874" i="13"/>
  <c r="AI874" i="13"/>
  <c r="AJ874" i="13"/>
  <c r="AN874" i="13" s="1"/>
  <c r="AK874" i="13"/>
  <c r="AL874" i="13"/>
  <c r="AM874" i="13"/>
  <c r="A875" i="13"/>
  <c r="C875" i="13"/>
  <c r="D875" i="13"/>
  <c r="G875" i="13"/>
  <c r="H875" i="13"/>
  <c r="I875" i="13"/>
  <c r="J875" i="13"/>
  <c r="K875" i="13"/>
  <c r="L875" i="13"/>
  <c r="M875" i="13"/>
  <c r="AI875" i="13"/>
  <c r="AJ875" i="13"/>
  <c r="AK875" i="13"/>
  <c r="AL875" i="13"/>
  <c r="AM875" i="13"/>
  <c r="AN875" i="13"/>
  <c r="A876" i="13"/>
  <c r="C876" i="13"/>
  <c r="D876" i="13"/>
  <c r="G876" i="13"/>
  <c r="H876" i="13"/>
  <c r="I876" i="13"/>
  <c r="J876" i="13"/>
  <c r="K876" i="13"/>
  <c r="L876" i="13"/>
  <c r="M876" i="13"/>
  <c r="AI876" i="13"/>
  <c r="AJ876" i="13"/>
  <c r="AK876" i="13"/>
  <c r="AL876" i="13"/>
  <c r="AM876" i="13"/>
  <c r="AN876" i="13"/>
  <c r="A877" i="13"/>
  <c r="C877" i="13"/>
  <c r="D877" i="13"/>
  <c r="G877" i="13"/>
  <c r="H877" i="13"/>
  <c r="I877" i="13"/>
  <c r="J877" i="13"/>
  <c r="K877" i="13"/>
  <c r="L877" i="13"/>
  <c r="M877" i="13"/>
  <c r="AI877" i="13"/>
  <c r="AJ877" i="13"/>
  <c r="AN877" i="13" s="1"/>
  <c r="AK877" i="13"/>
  <c r="AL877" i="13"/>
  <c r="AM877" i="13"/>
  <c r="A878" i="13"/>
  <c r="C878" i="13"/>
  <c r="D878" i="13"/>
  <c r="G878" i="13"/>
  <c r="H878" i="13"/>
  <c r="I878" i="13"/>
  <c r="J878" i="13"/>
  <c r="K878" i="13"/>
  <c r="L878" i="13"/>
  <c r="M878" i="13"/>
  <c r="AI878" i="13"/>
  <c r="AJ878" i="13"/>
  <c r="AK878" i="13"/>
  <c r="AL878" i="13"/>
  <c r="AM878" i="13"/>
  <c r="AN878" i="13"/>
  <c r="A879" i="13"/>
  <c r="C879" i="13"/>
  <c r="D879" i="13"/>
  <c r="G879" i="13"/>
  <c r="H879" i="13"/>
  <c r="I879" i="13"/>
  <c r="J879" i="13"/>
  <c r="K879" i="13"/>
  <c r="L879" i="13"/>
  <c r="M879" i="13"/>
  <c r="AI879" i="13"/>
  <c r="AJ879" i="13"/>
  <c r="AK879" i="13"/>
  <c r="AL879" i="13"/>
  <c r="AM879" i="13"/>
  <c r="AN879" i="13"/>
  <c r="A880" i="13"/>
  <c r="C880" i="13"/>
  <c r="D880" i="13"/>
  <c r="G880" i="13"/>
  <c r="H880" i="13"/>
  <c r="I880" i="13"/>
  <c r="J880" i="13"/>
  <c r="K880" i="13"/>
  <c r="L880" i="13"/>
  <c r="M880" i="13"/>
  <c r="AI880" i="13"/>
  <c r="AJ880" i="13"/>
  <c r="AN880" i="13" s="1"/>
  <c r="AK880" i="13"/>
  <c r="AL880" i="13"/>
  <c r="AM880" i="13"/>
  <c r="A881" i="13"/>
  <c r="C881" i="13"/>
  <c r="D881" i="13"/>
  <c r="G881" i="13"/>
  <c r="H881" i="13"/>
  <c r="I881" i="13"/>
  <c r="J881" i="13"/>
  <c r="K881" i="13"/>
  <c r="L881" i="13"/>
  <c r="M881" i="13"/>
  <c r="AI881" i="13"/>
  <c r="AJ881" i="13"/>
  <c r="AK881" i="13"/>
  <c r="AL881" i="13"/>
  <c r="AM881" i="13"/>
  <c r="AN881" i="13"/>
  <c r="A882" i="13"/>
  <c r="C882" i="13"/>
  <c r="D882" i="13"/>
  <c r="G882" i="13"/>
  <c r="H882" i="13"/>
  <c r="I882" i="13"/>
  <c r="J882" i="13"/>
  <c r="K882" i="13"/>
  <c r="L882" i="13"/>
  <c r="M882" i="13"/>
  <c r="AI882" i="13"/>
  <c r="AJ882" i="13"/>
  <c r="AK882" i="13"/>
  <c r="AL882" i="13"/>
  <c r="AM882" i="13"/>
  <c r="AN882" i="13"/>
  <c r="A883" i="13"/>
  <c r="C883" i="13"/>
  <c r="D883" i="13"/>
  <c r="G883" i="13"/>
  <c r="H883" i="13"/>
  <c r="I883" i="13"/>
  <c r="J883" i="13"/>
  <c r="K883" i="13"/>
  <c r="L883" i="13"/>
  <c r="M883" i="13"/>
  <c r="AI883" i="13"/>
  <c r="AJ883" i="13"/>
  <c r="AN883" i="13" s="1"/>
  <c r="AK883" i="13"/>
  <c r="AL883" i="13"/>
  <c r="AM883" i="13"/>
  <c r="A884" i="13"/>
  <c r="C884" i="13"/>
  <c r="D884" i="13"/>
  <c r="G884" i="13"/>
  <c r="H884" i="13"/>
  <c r="I884" i="13"/>
  <c r="J884" i="13"/>
  <c r="K884" i="13"/>
  <c r="L884" i="13"/>
  <c r="M884" i="13"/>
  <c r="AI884" i="13"/>
  <c r="AJ884" i="13"/>
  <c r="AK884" i="13"/>
  <c r="AL884" i="13"/>
  <c r="AM884" i="13"/>
  <c r="AN884" i="13"/>
  <c r="A885" i="13"/>
  <c r="C885" i="13"/>
  <c r="D885" i="13"/>
  <c r="G885" i="13"/>
  <c r="H885" i="13"/>
  <c r="I885" i="13"/>
  <c r="J885" i="13"/>
  <c r="K885" i="13"/>
  <c r="L885" i="13"/>
  <c r="M885" i="13"/>
  <c r="AI885" i="13"/>
  <c r="AJ885" i="13"/>
  <c r="AK885" i="13"/>
  <c r="AL885" i="13"/>
  <c r="AM885" i="13"/>
  <c r="AN885" i="13"/>
  <c r="A886" i="13"/>
  <c r="C886" i="13"/>
  <c r="D886" i="13"/>
  <c r="G886" i="13"/>
  <c r="H886" i="13"/>
  <c r="I886" i="13"/>
  <c r="J886" i="13"/>
  <c r="K886" i="13"/>
  <c r="L886" i="13"/>
  <c r="M886" i="13"/>
  <c r="AI886" i="13"/>
  <c r="AJ886" i="13"/>
  <c r="AN886" i="13" s="1"/>
  <c r="AK886" i="13"/>
  <c r="AL886" i="13"/>
  <c r="AM886" i="13"/>
  <c r="A887" i="13"/>
  <c r="C887" i="13"/>
  <c r="D887" i="13"/>
  <c r="G887" i="13"/>
  <c r="H887" i="13"/>
  <c r="I887" i="13"/>
  <c r="J887" i="13"/>
  <c r="K887" i="13"/>
  <c r="L887" i="13"/>
  <c r="M887" i="13"/>
  <c r="AI887" i="13"/>
  <c r="AJ887" i="13"/>
  <c r="AK887" i="13"/>
  <c r="AL887" i="13"/>
  <c r="AM887" i="13"/>
  <c r="AN887" i="13"/>
  <c r="A888" i="13"/>
  <c r="C888" i="13"/>
  <c r="D888" i="13"/>
  <c r="G888" i="13"/>
  <c r="H888" i="13"/>
  <c r="I888" i="13"/>
  <c r="J888" i="13"/>
  <c r="K888" i="13"/>
  <c r="L888" i="13"/>
  <c r="M888" i="13"/>
  <c r="AI888" i="13"/>
  <c r="AJ888" i="13"/>
  <c r="AK888" i="13"/>
  <c r="AL888" i="13"/>
  <c r="AM888" i="13"/>
  <c r="AN888" i="13"/>
  <c r="A889" i="13"/>
  <c r="C889" i="13"/>
  <c r="D889" i="13"/>
  <c r="G889" i="13"/>
  <c r="H889" i="13"/>
  <c r="I889" i="13"/>
  <c r="J889" i="13"/>
  <c r="K889" i="13"/>
  <c r="L889" i="13"/>
  <c r="M889" i="13"/>
  <c r="AI889" i="13"/>
  <c r="AJ889" i="13"/>
  <c r="AN889" i="13" s="1"/>
  <c r="AK889" i="13"/>
  <c r="AL889" i="13"/>
  <c r="AM889" i="13"/>
  <c r="A890" i="13"/>
  <c r="C890" i="13"/>
  <c r="D890" i="13"/>
  <c r="G890" i="13"/>
  <c r="H890" i="13"/>
  <c r="I890" i="13"/>
  <c r="J890" i="13"/>
  <c r="K890" i="13"/>
  <c r="L890" i="13"/>
  <c r="M890" i="13"/>
  <c r="AI890" i="13"/>
  <c r="AJ890" i="13"/>
  <c r="AK890" i="13"/>
  <c r="AL890" i="13"/>
  <c r="AM890" i="13"/>
  <c r="AN890" i="13"/>
  <c r="A891" i="13"/>
  <c r="C891" i="13"/>
  <c r="D891" i="13"/>
  <c r="G891" i="13"/>
  <c r="H891" i="13"/>
  <c r="I891" i="13"/>
  <c r="J891" i="13"/>
  <c r="K891" i="13"/>
  <c r="L891" i="13"/>
  <c r="M891" i="13"/>
  <c r="AI891" i="13"/>
  <c r="AJ891" i="13"/>
  <c r="AK891" i="13"/>
  <c r="AL891" i="13"/>
  <c r="AM891" i="13"/>
  <c r="AN891" i="13"/>
  <c r="A892" i="13"/>
  <c r="C892" i="13"/>
  <c r="D892" i="13"/>
  <c r="G892" i="13"/>
  <c r="H892" i="13"/>
  <c r="I892" i="13"/>
  <c r="J892" i="13"/>
  <c r="K892" i="13"/>
  <c r="L892" i="13"/>
  <c r="M892" i="13"/>
  <c r="AI892" i="13"/>
  <c r="AJ892" i="13"/>
  <c r="AN892" i="13" s="1"/>
  <c r="AK892" i="13"/>
  <c r="AL892" i="13"/>
  <c r="AM892" i="13"/>
  <c r="A893" i="13"/>
  <c r="C893" i="13"/>
  <c r="D893" i="13"/>
  <c r="G893" i="13"/>
  <c r="H893" i="13"/>
  <c r="I893" i="13"/>
  <c r="J893" i="13"/>
  <c r="K893" i="13"/>
  <c r="L893" i="13"/>
  <c r="M893" i="13"/>
  <c r="AI893" i="13"/>
  <c r="AJ893" i="13"/>
  <c r="AK893" i="13"/>
  <c r="AL893" i="13"/>
  <c r="AM893" i="13"/>
  <c r="AN893" i="13"/>
  <c r="A894" i="13"/>
  <c r="C894" i="13"/>
  <c r="D894" i="13"/>
  <c r="G894" i="13"/>
  <c r="H894" i="13"/>
  <c r="I894" i="13"/>
  <c r="J894" i="13"/>
  <c r="K894" i="13"/>
  <c r="L894" i="13"/>
  <c r="M894" i="13"/>
  <c r="AI894" i="13"/>
  <c r="AJ894" i="13"/>
  <c r="AK894" i="13"/>
  <c r="AL894" i="13"/>
  <c r="AM894" i="13"/>
  <c r="AN894" i="13"/>
  <c r="A895" i="13"/>
  <c r="C895" i="13"/>
  <c r="D895" i="13"/>
  <c r="G895" i="13"/>
  <c r="H895" i="13"/>
  <c r="I895" i="13"/>
  <c r="J895" i="13"/>
  <c r="K895" i="13"/>
  <c r="L895" i="13"/>
  <c r="M895" i="13"/>
  <c r="AI895" i="13"/>
  <c r="AJ895" i="13"/>
  <c r="AN895" i="13" s="1"/>
  <c r="AK895" i="13"/>
  <c r="AL895" i="13"/>
  <c r="AM895" i="13"/>
  <c r="A896" i="13"/>
  <c r="C896" i="13"/>
  <c r="D896" i="13"/>
  <c r="G896" i="13"/>
  <c r="H896" i="13"/>
  <c r="I896" i="13"/>
  <c r="J896" i="13"/>
  <c r="K896" i="13"/>
  <c r="L896" i="13"/>
  <c r="M896" i="13"/>
  <c r="AI896" i="13"/>
  <c r="AJ896" i="13"/>
  <c r="AK896" i="13"/>
  <c r="AL896" i="13"/>
  <c r="AM896" i="13"/>
  <c r="AN896" i="13"/>
  <c r="A897" i="13"/>
  <c r="C897" i="13"/>
  <c r="D897" i="13"/>
  <c r="G897" i="13"/>
  <c r="H897" i="13"/>
  <c r="I897" i="13"/>
  <c r="J897" i="13"/>
  <c r="K897" i="13"/>
  <c r="L897" i="13"/>
  <c r="M897" i="13"/>
  <c r="AI897" i="13"/>
  <c r="AJ897" i="13"/>
  <c r="AK897" i="13"/>
  <c r="AL897" i="13"/>
  <c r="AM897" i="13"/>
  <c r="AN897" i="13"/>
  <c r="A898" i="13"/>
  <c r="C898" i="13"/>
  <c r="D898" i="13"/>
  <c r="G898" i="13"/>
  <c r="H898" i="13"/>
  <c r="I898" i="13"/>
  <c r="J898" i="13"/>
  <c r="K898" i="13"/>
  <c r="L898" i="13"/>
  <c r="M898" i="13"/>
  <c r="AI898" i="13"/>
  <c r="AJ898" i="13"/>
  <c r="AN898" i="13" s="1"/>
  <c r="AK898" i="13"/>
  <c r="AL898" i="13"/>
  <c r="AM898" i="13"/>
  <c r="A899" i="13"/>
  <c r="C899" i="13"/>
  <c r="D899" i="13"/>
  <c r="G899" i="13"/>
  <c r="H899" i="13"/>
  <c r="I899" i="13"/>
  <c r="J899" i="13"/>
  <c r="K899" i="13"/>
  <c r="L899" i="13"/>
  <c r="M899" i="13"/>
  <c r="AI899" i="13"/>
  <c r="AJ899" i="13"/>
  <c r="AK899" i="13"/>
  <c r="AL899" i="13"/>
  <c r="AM899" i="13"/>
  <c r="AN899" i="13"/>
  <c r="A900" i="13"/>
  <c r="C900" i="13"/>
  <c r="D900" i="13"/>
  <c r="G900" i="13"/>
  <c r="H900" i="13"/>
  <c r="I900" i="13"/>
  <c r="J900" i="13"/>
  <c r="K900" i="13"/>
  <c r="L900" i="13"/>
  <c r="M900" i="13"/>
  <c r="AI900" i="13"/>
  <c r="AJ900" i="13"/>
  <c r="AK900" i="13"/>
  <c r="AL900" i="13"/>
  <c r="AM900" i="13"/>
  <c r="AN900" i="13"/>
  <c r="A901" i="13"/>
  <c r="C901" i="13"/>
  <c r="D901" i="13"/>
  <c r="G901" i="13"/>
  <c r="H901" i="13"/>
  <c r="I901" i="13"/>
  <c r="J901" i="13"/>
  <c r="K901" i="13"/>
  <c r="L901" i="13"/>
  <c r="M901" i="13"/>
  <c r="AI901" i="13"/>
  <c r="AJ901" i="13"/>
  <c r="AN901" i="13" s="1"/>
  <c r="AK901" i="13"/>
  <c r="AL901" i="13"/>
  <c r="AM901" i="13"/>
  <c r="A902" i="13"/>
  <c r="C902" i="13"/>
  <c r="D902" i="13"/>
  <c r="G902" i="13"/>
  <c r="H902" i="13"/>
  <c r="I902" i="13"/>
  <c r="J902" i="13"/>
  <c r="K902" i="13"/>
  <c r="L902" i="13"/>
  <c r="M902" i="13"/>
  <c r="AI902" i="13"/>
  <c r="AJ902" i="13"/>
  <c r="AK902" i="13"/>
  <c r="AL902" i="13"/>
  <c r="AM902" i="13"/>
  <c r="AN902" i="13"/>
  <c r="A903" i="13"/>
  <c r="C903" i="13"/>
  <c r="D903" i="13"/>
  <c r="G903" i="13"/>
  <c r="H903" i="13"/>
  <c r="I903" i="13"/>
  <c r="J903" i="13"/>
  <c r="K903" i="13"/>
  <c r="L903" i="13"/>
  <c r="M903" i="13"/>
  <c r="AI903" i="13"/>
  <c r="AJ903" i="13"/>
  <c r="AK903" i="13"/>
  <c r="AL903" i="13"/>
  <c r="AM903" i="13"/>
  <c r="AN903" i="13"/>
  <c r="A904" i="13"/>
  <c r="C904" i="13"/>
  <c r="D904" i="13"/>
  <c r="G904" i="13"/>
  <c r="H904" i="13"/>
  <c r="I904" i="13"/>
  <c r="J904" i="13"/>
  <c r="K904" i="13"/>
  <c r="L904" i="13"/>
  <c r="M904" i="13"/>
  <c r="AI904" i="13"/>
  <c r="AJ904" i="13"/>
  <c r="AN904" i="13" s="1"/>
  <c r="AK904" i="13"/>
  <c r="AL904" i="13"/>
  <c r="AM904" i="13"/>
  <c r="A905" i="13"/>
  <c r="C905" i="13"/>
  <c r="D905" i="13"/>
  <c r="G905" i="13"/>
  <c r="H905" i="13"/>
  <c r="I905" i="13"/>
  <c r="J905" i="13"/>
  <c r="K905" i="13"/>
  <c r="L905" i="13"/>
  <c r="M905" i="13"/>
  <c r="AI905" i="13"/>
  <c r="AJ905" i="13"/>
  <c r="AK905" i="13"/>
  <c r="AL905" i="13"/>
  <c r="AM905" i="13"/>
  <c r="AN905" i="13"/>
  <c r="A906" i="13"/>
  <c r="C906" i="13"/>
  <c r="D906" i="13"/>
  <c r="G906" i="13"/>
  <c r="H906" i="13"/>
  <c r="I906" i="13"/>
  <c r="J906" i="13"/>
  <c r="K906" i="13"/>
  <c r="L906" i="13"/>
  <c r="M906" i="13"/>
  <c r="AI906" i="13"/>
  <c r="AJ906" i="13"/>
  <c r="AK906" i="13"/>
  <c r="AL906" i="13"/>
  <c r="AM906" i="13"/>
  <c r="AN906" i="13"/>
  <c r="A907" i="13"/>
  <c r="C907" i="13"/>
  <c r="D907" i="13"/>
  <c r="G907" i="13"/>
  <c r="H907" i="13"/>
  <c r="I907" i="13"/>
  <c r="J907" i="13"/>
  <c r="K907" i="13"/>
  <c r="L907" i="13"/>
  <c r="M907" i="13"/>
  <c r="AI907" i="13"/>
  <c r="AJ907" i="13"/>
  <c r="AN907" i="13" s="1"/>
  <c r="AK907" i="13"/>
  <c r="AL907" i="13"/>
  <c r="AM907" i="13"/>
  <c r="A908" i="13"/>
  <c r="C908" i="13"/>
  <c r="D908" i="13"/>
  <c r="G908" i="13"/>
  <c r="H908" i="13"/>
  <c r="I908" i="13"/>
  <c r="J908" i="13"/>
  <c r="K908" i="13"/>
  <c r="L908" i="13"/>
  <c r="M908" i="13"/>
  <c r="AI908" i="13"/>
  <c r="AJ908" i="13"/>
  <c r="AK908" i="13"/>
  <c r="AL908" i="13"/>
  <c r="AM908" i="13"/>
  <c r="AN908" i="13"/>
  <c r="A909" i="13"/>
  <c r="C909" i="13"/>
  <c r="D909" i="13"/>
  <c r="G909" i="13"/>
  <c r="H909" i="13"/>
  <c r="I909" i="13"/>
  <c r="J909" i="13"/>
  <c r="K909" i="13"/>
  <c r="L909" i="13"/>
  <c r="M909" i="13"/>
  <c r="AI909" i="13"/>
  <c r="AJ909" i="13"/>
  <c r="AK909" i="13"/>
  <c r="AL909" i="13"/>
  <c r="AM909" i="13"/>
  <c r="AN909" i="13"/>
  <c r="A910" i="13"/>
  <c r="C910" i="13"/>
  <c r="D910" i="13"/>
  <c r="G910" i="13"/>
  <c r="H910" i="13"/>
  <c r="I910" i="13"/>
  <c r="J910" i="13"/>
  <c r="K910" i="13"/>
  <c r="L910" i="13"/>
  <c r="M910" i="13"/>
  <c r="AI910" i="13"/>
  <c r="AJ910" i="13"/>
  <c r="AN910" i="13" s="1"/>
  <c r="AK910" i="13"/>
  <c r="AL910" i="13"/>
  <c r="AM910" i="13"/>
  <c r="A911" i="13"/>
  <c r="C911" i="13"/>
  <c r="D911" i="13"/>
  <c r="G911" i="13"/>
  <c r="H911" i="13"/>
  <c r="I911" i="13"/>
  <c r="J911" i="13"/>
  <c r="K911" i="13"/>
  <c r="L911" i="13"/>
  <c r="M911" i="13"/>
  <c r="AI911" i="13"/>
  <c r="AJ911" i="13"/>
  <c r="AK911" i="13"/>
  <c r="AL911" i="13"/>
  <c r="AM911" i="13"/>
  <c r="AN911" i="13"/>
  <c r="A912" i="13"/>
  <c r="C912" i="13"/>
  <c r="D912" i="13"/>
  <c r="G912" i="13"/>
  <c r="H912" i="13"/>
  <c r="I912" i="13"/>
  <c r="J912" i="13"/>
  <c r="K912" i="13"/>
  <c r="L912" i="13"/>
  <c r="M912" i="13"/>
  <c r="AI912" i="13"/>
  <c r="AJ912" i="13"/>
  <c r="AK912" i="13"/>
  <c r="AL912" i="13"/>
  <c r="AM912" i="13"/>
  <c r="AN912" i="13"/>
  <c r="A913" i="13"/>
  <c r="C913" i="13"/>
  <c r="D913" i="13"/>
  <c r="G913" i="13"/>
  <c r="H913" i="13"/>
  <c r="I913" i="13"/>
  <c r="J913" i="13"/>
  <c r="K913" i="13"/>
  <c r="L913" i="13"/>
  <c r="M913" i="13"/>
  <c r="AI913" i="13"/>
  <c r="AJ913" i="13"/>
  <c r="AN913" i="13" s="1"/>
  <c r="AK913" i="13"/>
  <c r="AL913" i="13"/>
  <c r="AM913" i="13"/>
  <c r="A914" i="13"/>
  <c r="C914" i="13"/>
  <c r="D914" i="13"/>
  <c r="G914" i="13"/>
  <c r="H914" i="13"/>
  <c r="I914" i="13"/>
  <c r="J914" i="13"/>
  <c r="K914" i="13"/>
  <c r="L914" i="13"/>
  <c r="M914" i="13"/>
  <c r="AI914" i="13"/>
  <c r="AJ914" i="13"/>
  <c r="AK914" i="13"/>
  <c r="AL914" i="13"/>
  <c r="AM914" i="13"/>
  <c r="AN914" i="13"/>
  <c r="A915" i="13"/>
  <c r="C915" i="13"/>
  <c r="D915" i="13"/>
  <c r="G915" i="13"/>
  <c r="H915" i="13"/>
  <c r="I915" i="13"/>
  <c r="J915" i="13"/>
  <c r="K915" i="13"/>
  <c r="L915" i="13"/>
  <c r="M915" i="13"/>
  <c r="AI915" i="13"/>
  <c r="AJ915" i="13"/>
  <c r="AK915" i="13"/>
  <c r="AL915" i="13"/>
  <c r="AM915" i="13"/>
  <c r="AN915" i="13"/>
  <c r="A916" i="13"/>
  <c r="C916" i="13"/>
  <c r="D916" i="13"/>
  <c r="G916" i="13"/>
  <c r="H916" i="13"/>
  <c r="I916" i="13"/>
  <c r="J916" i="13"/>
  <c r="K916" i="13"/>
  <c r="L916" i="13"/>
  <c r="M916" i="13"/>
  <c r="AI916" i="13"/>
  <c r="AJ916" i="13"/>
  <c r="AN916" i="13" s="1"/>
  <c r="AK916" i="13"/>
  <c r="AL916" i="13"/>
  <c r="AM916" i="13"/>
  <c r="A917" i="13"/>
  <c r="C917" i="13"/>
  <c r="D917" i="13"/>
  <c r="G917" i="13"/>
  <c r="H917" i="13"/>
  <c r="I917" i="13"/>
  <c r="J917" i="13"/>
  <c r="K917" i="13"/>
  <c r="L917" i="13"/>
  <c r="M917" i="13"/>
  <c r="AI917" i="13"/>
  <c r="AJ917" i="13"/>
  <c r="AK917" i="13"/>
  <c r="AL917" i="13"/>
  <c r="AM917" i="13"/>
  <c r="AN917" i="13"/>
  <c r="A918" i="13"/>
  <c r="C918" i="13"/>
  <c r="D918" i="13"/>
  <c r="G918" i="13"/>
  <c r="H918" i="13"/>
  <c r="I918" i="13"/>
  <c r="J918" i="13"/>
  <c r="K918" i="13"/>
  <c r="L918" i="13"/>
  <c r="M918" i="13"/>
  <c r="AI918" i="13"/>
  <c r="AJ918" i="13"/>
  <c r="AK918" i="13"/>
  <c r="AL918" i="13"/>
  <c r="AM918" i="13"/>
  <c r="AN918" i="13"/>
  <c r="A919" i="13"/>
  <c r="C919" i="13"/>
  <c r="D919" i="13"/>
  <c r="G919" i="13"/>
  <c r="H919" i="13"/>
  <c r="I919" i="13"/>
  <c r="J919" i="13"/>
  <c r="K919" i="13"/>
  <c r="L919" i="13"/>
  <c r="M919" i="13"/>
  <c r="AI919" i="13"/>
  <c r="AJ919" i="13"/>
  <c r="AN919" i="13" s="1"/>
  <c r="AK919" i="13"/>
  <c r="AL919" i="13"/>
  <c r="AM919" i="13"/>
  <c r="A920" i="13"/>
  <c r="C920" i="13"/>
  <c r="D920" i="13"/>
  <c r="G920" i="13"/>
  <c r="H920" i="13"/>
  <c r="I920" i="13"/>
  <c r="J920" i="13"/>
  <c r="K920" i="13"/>
  <c r="L920" i="13"/>
  <c r="M920" i="13"/>
  <c r="AI920" i="13"/>
  <c r="AJ920" i="13"/>
  <c r="AK920" i="13"/>
  <c r="AL920" i="13"/>
  <c r="AM920" i="13"/>
  <c r="AN920" i="13"/>
  <c r="A921" i="13"/>
  <c r="C921" i="13"/>
  <c r="D921" i="13"/>
  <c r="G921" i="13"/>
  <c r="H921" i="13"/>
  <c r="I921" i="13"/>
  <c r="J921" i="13"/>
  <c r="K921" i="13"/>
  <c r="L921" i="13"/>
  <c r="M921" i="13"/>
  <c r="AI921" i="13"/>
  <c r="AJ921" i="13"/>
  <c r="AK921" i="13"/>
  <c r="AL921" i="13"/>
  <c r="AM921" i="13"/>
  <c r="AN921" i="13"/>
  <c r="A922" i="13"/>
  <c r="C922" i="13"/>
  <c r="D922" i="13"/>
  <c r="G922" i="13"/>
  <c r="H922" i="13"/>
  <c r="I922" i="13"/>
  <c r="J922" i="13"/>
  <c r="K922" i="13"/>
  <c r="L922" i="13"/>
  <c r="M922" i="13"/>
  <c r="AI922" i="13"/>
  <c r="AJ922" i="13"/>
  <c r="AN922" i="13" s="1"/>
  <c r="AK922" i="13"/>
  <c r="AL922" i="13"/>
  <c r="A923" i="13"/>
  <c r="C923" i="13"/>
  <c r="D923" i="13"/>
  <c r="G923" i="13"/>
  <c r="H923" i="13"/>
  <c r="I923" i="13"/>
  <c r="J923" i="13"/>
  <c r="K923" i="13"/>
  <c r="L923" i="13"/>
  <c r="M923" i="13"/>
  <c r="AI923" i="13"/>
  <c r="AJ923" i="13"/>
  <c r="AK923" i="13"/>
  <c r="AL923" i="13"/>
  <c r="AM923" i="13"/>
  <c r="AN923" i="13"/>
  <c r="A924" i="13"/>
  <c r="C924" i="13"/>
  <c r="D924" i="13"/>
  <c r="G924" i="13"/>
  <c r="H924" i="13"/>
  <c r="I924" i="13"/>
  <c r="J924" i="13"/>
  <c r="K924" i="13"/>
  <c r="L924" i="13"/>
  <c r="M924" i="13"/>
  <c r="AI924" i="13"/>
  <c r="AJ924" i="13"/>
  <c r="AK924" i="13"/>
  <c r="AL924" i="13"/>
  <c r="AM924" i="13"/>
  <c r="AN924" i="13"/>
  <c r="A925" i="13"/>
  <c r="C925" i="13"/>
  <c r="D925" i="13"/>
  <c r="G925" i="13"/>
  <c r="H925" i="13"/>
  <c r="I925" i="13"/>
  <c r="J925" i="13"/>
  <c r="K925" i="13"/>
  <c r="L925" i="13"/>
  <c r="M925" i="13"/>
  <c r="AI925" i="13"/>
  <c r="AJ925" i="13"/>
  <c r="AN925" i="13" s="1"/>
  <c r="AK925" i="13"/>
  <c r="AL925" i="13"/>
  <c r="AM925" i="13"/>
  <c r="A926" i="13"/>
  <c r="C926" i="13"/>
  <c r="D926" i="13"/>
  <c r="G926" i="13"/>
  <c r="H926" i="13"/>
  <c r="I926" i="13"/>
  <c r="J926" i="13"/>
  <c r="K926" i="13"/>
  <c r="L926" i="13"/>
  <c r="M926" i="13"/>
  <c r="AI926" i="13"/>
  <c r="AJ926" i="13"/>
  <c r="AK926" i="13"/>
  <c r="AL926" i="13"/>
  <c r="AM926" i="13"/>
  <c r="AN926" i="13"/>
  <c r="A927" i="13"/>
  <c r="C927" i="13"/>
  <c r="D927" i="13"/>
  <c r="G927" i="13"/>
  <c r="H927" i="13"/>
  <c r="I927" i="13"/>
  <c r="J927" i="13"/>
  <c r="K927" i="13"/>
  <c r="L927" i="13"/>
  <c r="M927" i="13"/>
  <c r="AI927" i="13"/>
  <c r="AJ927" i="13"/>
  <c r="AK927" i="13"/>
  <c r="AL927" i="13"/>
  <c r="AM927" i="13"/>
  <c r="AN927" i="13"/>
  <c r="A928" i="13"/>
  <c r="C928" i="13"/>
  <c r="D928" i="13"/>
  <c r="G928" i="13"/>
  <c r="H928" i="13"/>
  <c r="I928" i="13"/>
  <c r="J928" i="13"/>
  <c r="K928" i="13"/>
  <c r="L928" i="13"/>
  <c r="M928" i="13"/>
  <c r="AI928" i="13"/>
  <c r="AJ928" i="13"/>
  <c r="AN928" i="13" s="1"/>
  <c r="AK928" i="13"/>
  <c r="AL928" i="13"/>
  <c r="A929" i="13"/>
  <c r="C929" i="13"/>
  <c r="D929" i="13"/>
  <c r="G929" i="13"/>
  <c r="H929" i="13"/>
  <c r="I929" i="13"/>
  <c r="J929" i="13"/>
  <c r="K929" i="13"/>
  <c r="L929" i="13"/>
  <c r="M929" i="13"/>
  <c r="AI929" i="13"/>
  <c r="AJ929" i="13"/>
  <c r="AK929" i="13"/>
  <c r="AL929" i="13"/>
  <c r="AM929" i="13"/>
  <c r="AN929" i="13"/>
  <c r="A930" i="13"/>
  <c r="C930" i="13"/>
  <c r="D930" i="13"/>
  <c r="G930" i="13"/>
  <c r="H930" i="13"/>
  <c r="I930" i="13"/>
  <c r="J930" i="13"/>
  <c r="K930" i="13"/>
  <c r="L930" i="13"/>
  <c r="M930" i="13"/>
  <c r="AI930" i="13"/>
  <c r="AJ930" i="13"/>
  <c r="AK930" i="13"/>
  <c r="AL930" i="13"/>
  <c r="AM930" i="13"/>
  <c r="AN930" i="13"/>
  <c r="A931" i="13"/>
  <c r="C931" i="13"/>
  <c r="D931" i="13"/>
  <c r="G931" i="13"/>
  <c r="H931" i="13"/>
  <c r="I931" i="13"/>
  <c r="J931" i="13"/>
  <c r="K931" i="13"/>
  <c r="L931" i="13"/>
  <c r="M931" i="13"/>
  <c r="AI931" i="13"/>
  <c r="AJ931" i="13"/>
  <c r="AN931" i="13" s="1"/>
  <c r="AK931" i="13"/>
  <c r="AL931" i="13"/>
  <c r="AM931" i="13"/>
  <c r="A932" i="13"/>
  <c r="C932" i="13"/>
  <c r="D932" i="13"/>
  <c r="G932" i="13"/>
  <c r="H932" i="13"/>
  <c r="I932" i="13"/>
  <c r="J932" i="13"/>
  <c r="K932" i="13"/>
  <c r="L932" i="13"/>
  <c r="M932" i="13"/>
  <c r="AI932" i="13"/>
  <c r="AJ932" i="13"/>
  <c r="AK932" i="13"/>
  <c r="AL932" i="13"/>
  <c r="AM932" i="13"/>
  <c r="AN932" i="13"/>
  <c r="A933" i="13"/>
  <c r="C933" i="13"/>
  <c r="D933" i="13"/>
  <c r="G933" i="13"/>
  <c r="H933" i="13"/>
  <c r="I933" i="13"/>
  <c r="J933" i="13"/>
  <c r="K933" i="13"/>
  <c r="L933" i="13"/>
  <c r="M933" i="13"/>
  <c r="AI933" i="13"/>
  <c r="AJ933" i="13"/>
  <c r="AK933" i="13"/>
  <c r="AL933" i="13"/>
  <c r="AM933" i="13"/>
  <c r="AN933" i="13"/>
  <c r="A934" i="13"/>
  <c r="C934" i="13"/>
  <c r="D934" i="13"/>
  <c r="G934" i="13"/>
  <c r="H934" i="13"/>
  <c r="I934" i="13"/>
  <c r="J934" i="13"/>
  <c r="K934" i="13"/>
  <c r="L934" i="13"/>
  <c r="M934" i="13"/>
  <c r="AI934" i="13"/>
  <c r="AJ934" i="13"/>
  <c r="AN934" i="13" s="1"/>
  <c r="AK934" i="13"/>
  <c r="AL934" i="13"/>
  <c r="A935" i="13"/>
  <c r="C935" i="13"/>
  <c r="D935" i="13"/>
  <c r="G935" i="13"/>
  <c r="H935" i="13"/>
  <c r="I935" i="13"/>
  <c r="J935" i="13"/>
  <c r="K935" i="13"/>
  <c r="L935" i="13"/>
  <c r="M935" i="13"/>
  <c r="AI935" i="13"/>
  <c r="AJ935" i="13"/>
  <c r="AK935" i="13"/>
  <c r="AL935" i="13"/>
  <c r="AM935" i="13"/>
  <c r="AN935" i="13"/>
  <c r="A936" i="13"/>
  <c r="C936" i="13"/>
  <c r="D936" i="13"/>
  <c r="G936" i="13"/>
  <c r="H936" i="13"/>
  <c r="I936" i="13"/>
  <c r="J936" i="13"/>
  <c r="K936" i="13"/>
  <c r="L936" i="13"/>
  <c r="M936" i="13"/>
  <c r="AI936" i="13"/>
  <c r="AJ936" i="13"/>
  <c r="AK936" i="13"/>
  <c r="AL936" i="13"/>
  <c r="AM936" i="13"/>
  <c r="AN936" i="13"/>
  <c r="A937" i="13"/>
  <c r="C937" i="13"/>
  <c r="D937" i="13"/>
  <c r="G937" i="13"/>
  <c r="H937" i="13"/>
  <c r="I937" i="13"/>
  <c r="J937" i="13"/>
  <c r="K937" i="13"/>
  <c r="L937" i="13"/>
  <c r="M937" i="13"/>
  <c r="AI937" i="13"/>
  <c r="AJ937" i="13"/>
  <c r="AN937" i="13" s="1"/>
  <c r="AK937" i="13"/>
  <c r="AL937" i="13"/>
  <c r="AM937" i="13"/>
  <c r="A938" i="13"/>
  <c r="C938" i="13"/>
  <c r="D938" i="13"/>
  <c r="G938" i="13"/>
  <c r="H938" i="13"/>
  <c r="I938" i="13"/>
  <c r="J938" i="13"/>
  <c r="K938" i="13"/>
  <c r="L938" i="13"/>
  <c r="M938" i="13"/>
  <c r="AI938" i="13"/>
  <c r="AJ938" i="13"/>
  <c r="AK938" i="13"/>
  <c r="AL938" i="13"/>
  <c r="AM938" i="13"/>
  <c r="AN938" i="13"/>
  <c r="A939" i="13"/>
  <c r="C939" i="13"/>
  <c r="D939" i="13"/>
  <c r="G939" i="13"/>
  <c r="H939" i="13"/>
  <c r="I939" i="13"/>
  <c r="J939" i="13"/>
  <c r="K939" i="13"/>
  <c r="L939" i="13"/>
  <c r="M939" i="13"/>
  <c r="AI939" i="13"/>
  <c r="AJ939" i="13"/>
  <c r="AK939" i="13"/>
  <c r="AL939" i="13"/>
  <c r="AM939" i="13"/>
  <c r="AN939" i="13"/>
  <c r="A940" i="13"/>
  <c r="C940" i="13"/>
  <c r="D940" i="13"/>
  <c r="G940" i="13"/>
  <c r="H940" i="13"/>
  <c r="I940" i="13"/>
  <c r="J940" i="13"/>
  <c r="K940" i="13"/>
  <c r="L940" i="13"/>
  <c r="M940" i="13"/>
  <c r="AI940" i="13"/>
  <c r="AJ940" i="13"/>
  <c r="AN940" i="13" s="1"/>
  <c r="AK940" i="13"/>
  <c r="AL940" i="13"/>
  <c r="AM940" i="13"/>
  <c r="A941" i="13"/>
  <c r="C941" i="13"/>
  <c r="D941" i="13"/>
  <c r="G941" i="13"/>
  <c r="H941" i="13"/>
  <c r="I941" i="13"/>
  <c r="J941" i="13"/>
  <c r="K941" i="13"/>
  <c r="L941" i="13"/>
  <c r="M941" i="13"/>
  <c r="AI941" i="13"/>
  <c r="AJ941" i="13"/>
  <c r="AK941" i="13"/>
  <c r="AL941" i="13"/>
  <c r="AM941" i="13"/>
  <c r="AN941" i="13"/>
  <c r="A942" i="13"/>
  <c r="C942" i="13"/>
  <c r="D942" i="13"/>
  <c r="G942" i="13"/>
  <c r="H942" i="13"/>
  <c r="I942" i="13"/>
  <c r="J942" i="13"/>
  <c r="K942" i="13"/>
  <c r="L942" i="13"/>
  <c r="M942" i="13"/>
  <c r="AI942" i="13"/>
  <c r="AJ942" i="13"/>
  <c r="AK942" i="13"/>
  <c r="AL942" i="13"/>
  <c r="AM942" i="13"/>
  <c r="AN942" i="13"/>
  <c r="A943" i="13"/>
  <c r="C943" i="13"/>
  <c r="D943" i="13"/>
  <c r="G943" i="13"/>
  <c r="H943" i="13"/>
  <c r="I943" i="13"/>
  <c r="J943" i="13"/>
  <c r="K943" i="13"/>
  <c r="L943" i="13"/>
  <c r="M943" i="13"/>
  <c r="AI943" i="13"/>
  <c r="AJ943" i="13"/>
  <c r="AN943" i="13" s="1"/>
  <c r="AK943" i="13"/>
  <c r="AL943" i="13"/>
  <c r="A944" i="13"/>
  <c r="C944" i="13"/>
  <c r="D944" i="13"/>
  <c r="G944" i="13"/>
  <c r="H944" i="13"/>
  <c r="I944" i="13"/>
  <c r="J944" i="13"/>
  <c r="K944" i="13"/>
  <c r="L944" i="13"/>
  <c r="M944" i="13"/>
  <c r="AI944" i="13"/>
  <c r="AJ944" i="13"/>
  <c r="AK944" i="13"/>
  <c r="AL944" i="13"/>
  <c r="AM944" i="13"/>
  <c r="AN944" i="13"/>
  <c r="A945" i="13"/>
  <c r="C945" i="13"/>
  <c r="D945" i="13"/>
  <c r="G945" i="13"/>
  <c r="H945" i="13"/>
  <c r="I945" i="13"/>
  <c r="J945" i="13"/>
  <c r="K945" i="13"/>
  <c r="L945" i="13"/>
  <c r="M945" i="13"/>
  <c r="AI945" i="13"/>
  <c r="AJ945" i="13"/>
  <c r="AM945" i="13" s="1"/>
  <c r="AK945" i="13"/>
  <c r="AL945" i="13"/>
  <c r="AN945" i="13"/>
  <c r="A946" i="13"/>
  <c r="C946" i="13"/>
  <c r="D946" i="13"/>
  <c r="G946" i="13"/>
  <c r="H946" i="13"/>
  <c r="I946" i="13"/>
  <c r="J946" i="13"/>
  <c r="K946" i="13"/>
  <c r="L946" i="13"/>
  <c r="M946" i="13"/>
  <c r="AI946" i="13"/>
  <c r="AJ946" i="13"/>
  <c r="AN946" i="13" s="1"/>
  <c r="AK946" i="13"/>
  <c r="AL946" i="13"/>
  <c r="AM946" i="13"/>
  <c r="A947" i="13"/>
  <c r="C947" i="13"/>
  <c r="D947" i="13"/>
  <c r="G947" i="13"/>
  <c r="H947" i="13"/>
  <c r="I947" i="13"/>
  <c r="J947" i="13"/>
  <c r="K947" i="13"/>
  <c r="L947" i="13"/>
  <c r="M947" i="13"/>
  <c r="AI947" i="13"/>
  <c r="AJ947" i="13"/>
  <c r="AK947" i="13"/>
  <c r="AL947" i="13"/>
  <c r="AM947" i="13"/>
  <c r="AN947" i="13"/>
  <c r="A948" i="13"/>
  <c r="C948" i="13"/>
  <c r="D948" i="13"/>
  <c r="G948" i="13"/>
  <c r="H948" i="13"/>
  <c r="I948" i="13"/>
  <c r="J948" i="13"/>
  <c r="K948" i="13"/>
  <c r="L948" i="13"/>
  <c r="M948" i="13"/>
  <c r="AI948" i="13"/>
  <c r="AJ948" i="13"/>
  <c r="AK948" i="13"/>
  <c r="AL948" i="13"/>
  <c r="AM948" i="13"/>
  <c r="AN948" i="13"/>
  <c r="A949" i="13"/>
  <c r="C949" i="13"/>
  <c r="D949" i="13"/>
  <c r="G949" i="13"/>
  <c r="H949" i="13"/>
  <c r="I949" i="13"/>
  <c r="J949" i="13"/>
  <c r="K949" i="13"/>
  <c r="L949" i="13"/>
  <c r="M949" i="13"/>
  <c r="AI949" i="13"/>
  <c r="AJ949" i="13"/>
  <c r="AN949" i="13" s="1"/>
  <c r="AK949" i="13"/>
  <c r="AL949" i="13"/>
  <c r="AM949" i="13"/>
  <c r="A950" i="13"/>
  <c r="C950" i="13"/>
  <c r="D950" i="13"/>
  <c r="G950" i="13"/>
  <c r="H950" i="13"/>
  <c r="I950" i="13"/>
  <c r="J950" i="13"/>
  <c r="K950" i="13"/>
  <c r="L950" i="13"/>
  <c r="M950" i="13"/>
  <c r="AI950" i="13"/>
  <c r="AJ950" i="13"/>
  <c r="AK950" i="13"/>
  <c r="AL950" i="13"/>
  <c r="AM950" i="13"/>
  <c r="AN950" i="13"/>
  <c r="A951" i="13"/>
  <c r="C951" i="13"/>
  <c r="D951" i="13"/>
  <c r="G951" i="13"/>
  <c r="H951" i="13"/>
  <c r="I951" i="13"/>
  <c r="J951" i="13"/>
  <c r="K951" i="13"/>
  <c r="L951" i="13"/>
  <c r="M951" i="13"/>
  <c r="AI951" i="13"/>
  <c r="AJ951" i="13"/>
  <c r="AM951" i="13" s="1"/>
  <c r="AK951" i="13"/>
  <c r="AL951" i="13"/>
  <c r="AN951" i="13"/>
  <c r="A952" i="13"/>
  <c r="C952" i="13"/>
  <c r="D952" i="13"/>
  <c r="G952" i="13"/>
  <c r="H952" i="13"/>
  <c r="I952" i="13"/>
  <c r="J952" i="13"/>
  <c r="K952" i="13"/>
  <c r="L952" i="13"/>
  <c r="M952" i="13"/>
  <c r="AI952" i="13"/>
  <c r="AJ952" i="13"/>
  <c r="AN952" i="13" s="1"/>
  <c r="AK952" i="13"/>
  <c r="AL952" i="13"/>
  <c r="AM952" i="13"/>
  <c r="A953" i="13"/>
  <c r="C953" i="13"/>
  <c r="D953" i="13"/>
  <c r="G953" i="13"/>
  <c r="H953" i="13"/>
  <c r="I953" i="13"/>
  <c r="J953" i="13"/>
  <c r="K953" i="13"/>
  <c r="L953" i="13"/>
  <c r="M953" i="13"/>
  <c r="AI953" i="13"/>
  <c r="AJ953" i="13"/>
  <c r="AK953" i="13"/>
  <c r="AL953" i="13"/>
  <c r="AM953" i="13"/>
  <c r="AN953" i="13"/>
  <c r="A954" i="13"/>
  <c r="C954" i="13"/>
  <c r="D954" i="13"/>
  <c r="G954" i="13"/>
  <c r="H954" i="13"/>
  <c r="I954" i="13"/>
  <c r="J954" i="13"/>
  <c r="K954" i="13"/>
  <c r="L954" i="13"/>
  <c r="M954" i="13"/>
  <c r="AI954" i="13"/>
  <c r="AJ954" i="13"/>
  <c r="AK954" i="13"/>
  <c r="AL954" i="13"/>
  <c r="AM954" i="13"/>
  <c r="AN954" i="13"/>
  <c r="A955" i="13"/>
  <c r="C955" i="13"/>
  <c r="D955" i="13"/>
  <c r="G955" i="13"/>
  <c r="H955" i="13"/>
  <c r="I955" i="13"/>
  <c r="J955" i="13"/>
  <c r="K955" i="13"/>
  <c r="L955" i="13"/>
  <c r="M955" i="13"/>
  <c r="AI955" i="13"/>
  <c r="AJ955" i="13"/>
  <c r="AN955" i="13" s="1"/>
  <c r="AK955" i="13"/>
  <c r="AL955" i="13"/>
  <c r="AM955" i="13"/>
  <c r="A956" i="13"/>
  <c r="C956" i="13"/>
  <c r="D956" i="13"/>
  <c r="G956" i="13"/>
  <c r="H956" i="13"/>
  <c r="I956" i="13"/>
  <c r="J956" i="13"/>
  <c r="K956" i="13"/>
  <c r="L956" i="13"/>
  <c r="M956" i="13"/>
  <c r="AI956" i="13"/>
  <c r="AJ956" i="13"/>
  <c r="AK956" i="13"/>
  <c r="AL956" i="13"/>
  <c r="AM956" i="13"/>
  <c r="AN956" i="13"/>
  <c r="A957" i="13"/>
  <c r="C957" i="13"/>
  <c r="D957" i="13"/>
  <c r="G957" i="13"/>
  <c r="H957" i="13"/>
  <c r="I957" i="13"/>
  <c r="J957" i="13"/>
  <c r="K957" i="13"/>
  <c r="L957" i="13"/>
  <c r="M957" i="13"/>
  <c r="AI957" i="13"/>
  <c r="AJ957" i="13"/>
  <c r="AM957" i="13" s="1"/>
  <c r="AK957" i="13"/>
  <c r="AL957" i="13"/>
  <c r="A958" i="13"/>
  <c r="C958" i="13"/>
  <c r="D958" i="13"/>
  <c r="G958" i="13"/>
  <c r="H958" i="13"/>
  <c r="I958" i="13"/>
  <c r="J958" i="13"/>
  <c r="K958" i="13"/>
  <c r="L958" i="13"/>
  <c r="M958" i="13"/>
  <c r="AI958" i="13"/>
  <c r="AJ958" i="13"/>
  <c r="AN958" i="13" s="1"/>
  <c r="AK958" i="13"/>
  <c r="AL958" i="13"/>
  <c r="A959" i="13"/>
  <c r="C959" i="13"/>
  <c r="D959" i="13"/>
  <c r="G959" i="13"/>
  <c r="H959" i="13"/>
  <c r="I959" i="13"/>
  <c r="J959" i="13"/>
  <c r="K959" i="13"/>
  <c r="L959" i="13"/>
  <c r="M959" i="13"/>
  <c r="AI959" i="13"/>
  <c r="AJ959" i="13"/>
  <c r="AK959" i="13"/>
  <c r="AL959" i="13"/>
  <c r="AM959" i="13"/>
  <c r="AN959" i="13"/>
  <c r="A960" i="13"/>
  <c r="C960" i="13"/>
  <c r="D960" i="13"/>
  <c r="G960" i="13"/>
  <c r="H960" i="13"/>
  <c r="I960" i="13"/>
  <c r="J960" i="13"/>
  <c r="K960" i="13"/>
  <c r="L960" i="13"/>
  <c r="M960" i="13"/>
  <c r="AI960" i="13"/>
  <c r="AJ960" i="13"/>
  <c r="AN960" i="13" s="1"/>
  <c r="AK960" i="13"/>
  <c r="AL960" i="13"/>
  <c r="AM960" i="13"/>
  <c r="A961" i="13"/>
  <c r="C961" i="13"/>
  <c r="D961" i="13"/>
  <c r="G961" i="13"/>
  <c r="H961" i="13"/>
  <c r="I961" i="13"/>
  <c r="J961" i="13"/>
  <c r="K961" i="13"/>
  <c r="L961" i="13"/>
  <c r="M961" i="13"/>
  <c r="AI961" i="13"/>
  <c r="AJ961" i="13"/>
  <c r="AN961" i="13" s="1"/>
  <c r="AK961" i="13"/>
  <c r="AL961" i="13"/>
  <c r="AM961" i="13"/>
  <c r="A962" i="13"/>
  <c r="C962" i="13"/>
  <c r="D962" i="13"/>
  <c r="G962" i="13"/>
  <c r="H962" i="13"/>
  <c r="I962" i="13"/>
  <c r="J962" i="13"/>
  <c r="K962" i="13"/>
  <c r="L962" i="13"/>
  <c r="M962" i="13"/>
  <c r="AI962" i="13"/>
  <c r="AJ962" i="13"/>
  <c r="AK962" i="13"/>
  <c r="AL962" i="13"/>
  <c r="AM962" i="13"/>
  <c r="AN962" i="13"/>
  <c r="A963" i="13"/>
  <c r="C963" i="13"/>
  <c r="D963" i="13"/>
  <c r="G963" i="13"/>
  <c r="H963" i="13"/>
  <c r="I963" i="13"/>
  <c r="J963" i="13"/>
  <c r="K963" i="13"/>
  <c r="L963" i="13"/>
  <c r="M963" i="13"/>
  <c r="AI963" i="13"/>
  <c r="AJ963" i="13"/>
  <c r="AK963" i="13"/>
  <c r="AL963" i="13"/>
  <c r="AM963" i="13"/>
  <c r="AN963" i="13"/>
  <c r="A964" i="13"/>
  <c r="C964" i="13"/>
  <c r="D964" i="13"/>
  <c r="G964" i="13"/>
  <c r="H964" i="13"/>
  <c r="I964" i="13"/>
  <c r="J964" i="13"/>
  <c r="K964" i="13"/>
  <c r="L964" i="13"/>
  <c r="M964" i="13"/>
  <c r="AI964" i="13"/>
  <c r="AJ964" i="13"/>
  <c r="AN964" i="13" s="1"/>
  <c r="AK964" i="13"/>
  <c r="AL964" i="13"/>
  <c r="A965" i="13"/>
  <c r="C965" i="13"/>
  <c r="D965" i="13"/>
  <c r="G965" i="13"/>
  <c r="H965" i="13"/>
  <c r="I965" i="13"/>
  <c r="J965" i="13"/>
  <c r="K965" i="13"/>
  <c r="L965" i="13"/>
  <c r="M965" i="13"/>
  <c r="AI965" i="13"/>
  <c r="AJ965" i="13"/>
  <c r="AK965" i="13"/>
  <c r="AL965" i="13"/>
  <c r="AM965" i="13"/>
  <c r="AN965" i="13"/>
  <c r="A966" i="13"/>
  <c r="C966" i="13"/>
  <c r="D966" i="13"/>
  <c r="G966" i="13"/>
  <c r="H966" i="13"/>
  <c r="I966" i="13"/>
  <c r="J966" i="13"/>
  <c r="K966" i="13"/>
  <c r="L966" i="13"/>
  <c r="M966" i="13"/>
  <c r="AI966" i="13"/>
  <c r="AJ966" i="13"/>
  <c r="AM966" i="13" s="1"/>
  <c r="AK966" i="13"/>
  <c r="AL966" i="13"/>
  <c r="A967" i="13"/>
  <c r="C967" i="13"/>
  <c r="D967" i="13"/>
  <c r="G967" i="13"/>
  <c r="H967" i="13"/>
  <c r="I967" i="13"/>
  <c r="J967" i="13"/>
  <c r="K967" i="13"/>
  <c r="L967" i="13"/>
  <c r="M967" i="13"/>
  <c r="AI967" i="13"/>
  <c r="AJ967" i="13"/>
  <c r="AK967" i="13"/>
  <c r="AL967" i="13"/>
  <c r="AM967" i="13"/>
  <c r="AN967" i="13"/>
  <c r="A968" i="13"/>
  <c r="C968" i="13"/>
  <c r="D968" i="13"/>
  <c r="G968" i="13"/>
  <c r="H968" i="13"/>
  <c r="I968" i="13"/>
  <c r="J968" i="13"/>
  <c r="K968" i="13"/>
  <c r="L968" i="13"/>
  <c r="M968" i="13"/>
  <c r="AI968" i="13"/>
  <c r="AJ968" i="13"/>
  <c r="AK968" i="13"/>
  <c r="AL968" i="13"/>
  <c r="AM968" i="13"/>
  <c r="AN968" i="13"/>
  <c r="A969" i="13"/>
  <c r="C969" i="13"/>
  <c r="D969" i="13"/>
  <c r="G969" i="13"/>
  <c r="H969" i="13"/>
  <c r="I969" i="13"/>
  <c r="J969" i="13"/>
  <c r="K969" i="13"/>
  <c r="L969" i="13"/>
  <c r="M969" i="13"/>
  <c r="AI969" i="13"/>
  <c r="AJ969" i="13"/>
  <c r="AM969" i="13" s="1"/>
  <c r="AK969" i="13"/>
  <c r="AL969" i="13"/>
  <c r="A970" i="13"/>
  <c r="C970" i="13"/>
  <c r="D970" i="13"/>
  <c r="G970" i="13"/>
  <c r="H970" i="13"/>
  <c r="I970" i="13"/>
  <c r="J970" i="13"/>
  <c r="K970" i="13"/>
  <c r="L970" i="13"/>
  <c r="M970" i="13"/>
  <c r="AI970" i="13"/>
  <c r="AJ970" i="13"/>
  <c r="AK970" i="13"/>
  <c r="AL970" i="13"/>
  <c r="AM970" i="13"/>
  <c r="AN970" i="13"/>
  <c r="A971" i="13"/>
  <c r="C971" i="13"/>
  <c r="D971" i="13"/>
  <c r="G971" i="13"/>
  <c r="H971" i="13"/>
  <c r="I971" i="13"/>
  <c r="J971" i="13"/>
  <c r="K971" i="13"/>
  <c r="L971" i="13"/>
  <c r="M971" i="13"/>
  <c r="AI971" i="13"/>
  <c r="AJ971" i="13"/>
  <c r="AK971" i="13"/>
  <c r="AL971" i="13"/>
  <c r="AM971" i="13"/>
  <c r="AN971" i="13"/>
  <c r="A972" i="13"/>
  <c r="C972" i="13"/>
  <c r="D972" i="13"/>
  <c r="G972" i="13"/>
  <c r="H972" i="13"/>
  <c r="I972" i="13"/>
  <c r="J972" i="13"/>
  <c r="K972" i="13"/>
  <c r="L972" i="13"/>
  <c r="M972" i="13"/>
  <c r="AI972" i="13"/>
  <c r="AJ972" i="13"/>
  <c r="AM972" i="13" s="1"/>
  <c r="AK972" i="13"/>
  <c r="AL972" i="13"/>
  <c r="A973" i="13"/>
  <c r="C973" i="13"/>
  <c r="D973" i="13"/>
  <c r="G973" i="13"/>
  <c r="H973" i="13"/>
  <c r="I973" i="13"/>
  <c r="J973" i="13"/>
  <c r="K973" i="13"/>
  <c r="L973" i="13"/>
  <c r="M973" i="13"/>
  <c r="AI973" i="13"/>
  <c r="AJ973" i="13"/>
  <c r="AK973" i="13"/>
  <c r="AL973" i="13"/>
  <c r="AM973" i="13"/>
  <c r="AN973" i="13"/>
  <c r="A974" i="13"/>
  <c r="C974" i="13"/>
  <c r="D974" i="13"/>
  <c r="G974" i="13"/>
  <c r="H974" i="13"/>
  <c r="I974" i="13"/>
  <c r="J974" i="13"/>
  <c r="K974" i="13"/>
  <c r="L974" i="13"/>
  <c r="M974" i="13"/>
  <c r="AI974" i="13"/>
  <c r="AJ974" i="13"/>
  <c r="AK974" i="13"/>
  <c r="AL974" i="13"/>
  <c r="AM974" i="13"/>
  <c r="AN974" i="13"/>
  <c r="A975" i="13"/>
  <c r="C975" i="13"/>
  <c r="D975" i="13"/>
  <c r="G975" i="13"/>
  <c r="H975" i="13"/>
  <c r="I975" i="13"/>
  <c r="J975" i="13"/>
  <c r="K975" i="13"/>
  <c r="L975" i="13"/>
  <c r="M975" i="13"/>
  <c r="AI975" i="13"/>
  <c r="AJ975" i="13"/>
  <c r="AM975" i="13" s="1"/>
  <c r="AK975" i="13"/>
  <c r="AL975" i="13"/>
  <c r="A976" i="13"/>
  <c r="C976" i="13"/>
  <c r="D976" i="13"/>
  <c r="G976" i="13"/>
  <c r="H976" i="13"/>
  <c r="I976" i="13"/>
  <c r="J976" i="13"/>
  <c r="K976" i="13"/>
  <c r="L976" i="13"/>
  <c r="M976" i="13"/>
  <c r="AI976" i="13"/>
  <c r="AJ976" i="13"/>
  <c r="AK976" i="13"/>
  <c r="AL976" i="13"/>
  <c r="AM976" i="13"/>
  <c r="AN976" i="13"/>
  <c r="A977" i="13"/>
  <c r="C977" i="13"/>
  <c r="D977" i="13"/>
  <c r="G977" i="13"/>
  <c r="H977" i="13"/>
  <c r="I977" i="13"/>
  <c r="J977" i="13"/>
  <c r="K977" i="13"/>
  <c r="L977" i="13"/>
  <c r="M977" i="13"/>
  <c r="AI977" i="13"/>
  <c r="AJ977" i="13"/>
  <c r="AK977" i="13"/>
  <c r="AL977" i="13"/>
  <c r="AM977" i="13"/>
  <c r="AN977" i="13"/>
  <c r="A978" i="13"/>
  <c r="C978" i="13"/>
  <c r="D978" i="13"/>
  <c r="G978" i="13"/>
  <c r="H978" i="13"/>
  <c r="I978" i="13"/>
  <c r="J978" i="13"/>
  <c r="K978" i="13"/>
  <c r="L978" i="13"/>
  <c r="M978" i="13"/>
  <c r="AI978" i="13"/>
  <c r="AJ978" i="13"/>
  <c r="AM978" i="13" s="1"/>
  <c r="AK978" i="13"/>
  <c r="AL978" i="13"/>
  <c r="A979" i="13"/>
  <c r="C979" i="13"/>
  <c r="D979" i="13"/>
  <c r="G979" i="13"/>
  <c r="H979" i="13"/>
  <c r="I979" i="13"/>
  <c r="J979" i="13"/>
  <c r="K979" i="13"/>
  <c r="L979" i="13"/>
  <c r="M979" i="13"/>
  <c r="AI979" i="13"/>
  <c r="AJ979" i="13"/>
  <c r="AK979" i="13"/>
  <c r="AL979" i="13"/>
  <c r="AM979" i="13"/>
  <c r="AN979" i="13"/>
  <c r="A980" i="13"/>
  <c r="C980" i="13"/>
  <c r="D980" i="13"/>
  <c r="G980" i="13"/>
  <c r="H980" i="13"/>
  <c r="I980" i="13"/>
  <c r="J980" i="13"/>
  <c r="K980" i="13"/>
  <c r="L980" i="13"/>
  <c r="M980" i="13"/>
  <c r="AI980" i="13"/>
  <c r="AJ980" i="13"/>
  <c r="AK980" i="13"/>
  <c r="AL980" i="13"/>
  <c r="AM980" i="13"/>
  <c r="AN980" i="13"/>
  <c r="A981" i="13"/>
  <c r="C981" i="13"/>
  <c r="D981" i="13"/>
  <c r="G981" i="13"/>
  <c r="H981" i="13"/>
  <c r="I981" i="13"/>
  <c r="J981" i="13"/>
  <c r="K981" i="13"/>
  <c r="L981" i="13"/>
  <c r="M981" i="13"/>
  <c r="AI981" i="13"/>
  <c r="AJ981" i="13"/>
  <c r="AM981" i="13" s="1"/>
  <c r="AK981" i="13"/>
  <c r="AL981" i="13"/>
  <c r="A982" i="13"/>
  <c r="C982" i="13"/>
  <c r="D982" i="13"/>
  <c r="G982" i="13"/>
  <c r="H982" i="13"/>
  <c r="I982" i="13"/>
  <c r="J982" i="13"/>
  <c r="K982" i="13"/>
  <c r="L982" i="13"/>
  <c r="M982" i="13"/>
  <c r="AI982" i="13"/>
  <c r="AJ982" i="13"/>
  <c r="AK982" i="13"/>
  <c r="AL982" i="13"/>
  <c r="AM982" i="13"/>
  <c r="AN982" i="13"/>
  <c r="A983" i="13"/>
  <c r="C983" i="13"/>
  <c r="D983" i="13"/>
  <c r="G983" i="13"/>
  <c r="H983" i="13"/>
  <c r="I983" i="13"/>
  <c r="J983" i="13"/>
  <c r="K983" i="13"/>
  <c r="L983" i="13"/>
  <c r="M983" i="13"/>
  <c r="AI983" i="13"/>
  <c r="AJ983" i="13"/>
  <c r="AM983" i="13" s="1"/>
  <c r="AK983" i="13"/>
  <c r="AL983" i="13"/>
  <c r="AN983" i="13"/>
  <c r="A984" i="13"/>
  <c r="C984" i="13"/>
  <c r="D984" i="13"/>
  <c r="G984" i="13"/>
  <c r="H984" i="13"/>
  <c r="I984" i="13"/>
  <c r="J984" i="13"/>
  <c r="K984" i="13"/>
  <c r="L984" i="13"/>
  <c r="M984" i="13"/>
  <c r="AI984" i="13"/>
  <c r="AJ984" i="13"/>
  <c r="AM984" i="13" s="1"/>
  <c r="AK984" i="13"/>
  <c r="AL984" i="13"/>
  <c r="A985" i="13"/>
  <c r="C985" i="13"/>
  <c r="D985" i="13"/>
  <c r="G985" i="13"/>
  <c r="H985" i="13"/>
  <c r="I985" i="13"/>
  <c r="J985" i="13"/>
  <c r="K985" i="13"/>
  <c r="L985" i="13"/>
  <c r="M985" i="13"/>
  <c r="AI985" i="13"/>
  <c r="AJ985" i="13"/>
  <c r="AK985" i="13"/>
  <c r="AL985" i="13"/>
  <c r="AM985" i="13"/>
  <c r="AN985" i="13"/>
  <c r="A986" i="13"/>
  <c r="C986" i="13"/>
  <c r="D986" i="13"/>
  <c r="G986" i="13"/>
  <c r="H986" i="13"/>
  <c r="I986" i="13"/>
  <c r="J986" i="13"/>
  <c r="K986" i="13"/>
  <c r="L986" i="13"/>
  <c r="M986" i="13"/>
  <c r="AI986" i="13"/>
  <c r="AJ986" i="13"/>
  <c r="AM986" i="13" s="1"/>
  <c r="AK986" i="13"/>
  <c r="AL986" i="13"/>
  <c r="AN986" i="13"/>
  <c r="A987" i="13"/>
  <c r="C987" i="13"/>
  <c r="D987" i="13"/>
  <c r="G987" i="13"/>
  <c r="H987" i="13"/>
  <c r="I987" i="13"/>
  <c r="J987" i="13"/>
  <c r="K987" i="13"/>
  <c r="L987" i="13"/>
  <c r="M987" i="13"/>
  <c r="AI987" i="13"/>
  <c r="AJ987" i="13"/>
  <c r="AM987" i="13" s="1"/>
  <c r="AK987" i="13"/>
  <c r="AL987" i="13"/>
  <c r="A988" i="13"/>
  <c r="C988" i="13"/>
  <c r="D988" i="13"/>
  <c r="G988" i="13"/>
  <c r="H988" i="13"/>
  <c r="I988" i="13"/>
  <c r="J988" i="13"/>
  <c r="K988" i="13"/>
  <c r="L988" i="13"/>
  <c r="M988" i="13"/>
  <c r="AI988" i="13"/>
  <c r="AJ988" i="13"/>
  <c r="AK988" i="13"/>
  <c r="AL988" i="13"/>
  <c r="AM988" i="13"/>
  <c r="AN988" i="13"/>
  <c r="A989" i="13"/>
  <c r="C989" i="13"/>
  <c r="D989" i="13"/>
  <c r="G989" i="13"/>
  <c r="H989" i="13"/>
  <c r="I989" i="13"/>
  <c r="J989" i="13"/>
  <c r="K989" i="13"/>
  <c r="L989" i="13"/>
  <c r="M989" i="13"/>
  <c r="AI989" i="13"/>
  <c r="AJ989" i="13"/>
  <c r="AM989" i="13" s="1"/>
  <c r="AK989" i="13"/>
  <c r="AL989" i="13"/>
  <c r="AN989" i="13"/>
  <c r="A990" i="13"/>
  <c r="C990" i="13"/>
  <c r="D990" i="13"/>
  <c r="G990" i="13"/>
  <c r="H990" i="13"/>
  <c r="I990" i="13"/>
  <c r="J990" i="13"/>
  <c r="K990" i="13"/>
  <c r="L990" i="13"/>
  <c r="M990" i="13"/>
  <c r="AI990" i="13"/>
  <c r="AJ990" i="13"/>
  <c r="AN990" i="13" s="1"/>
  <c r="AK990" i="13"/>
  <c r="AL990" i="13"/>
  <c r="A991" i="13"/>
  <c r="C991" i="13"/>
  <c r="D991" i="13"/>
  <c r="G991" i="13"/>
  <c r="H991" i="13"/>
  <c r="I991" i="13"/>
  <c r="J991" i="13"/>
  <c r="K991" i="13"/>
  <c r="L991" i="13"/>
  <c r="M991" i="13"/>
  <c r="AI991" i="13"/>
  <c r="AJ991" i="13"/>
  <c r="AK991" i="13"/>
  <c r="AL991" i="13"/>
  <c r="AM991" i="13"/>
  <c r="AN991" i="13"/>
  <c r="A992" i="13"/>
  <c r="C992" i="13"/>
  <c r="D992" i="13"/>
  <c r="G992" i="13"/>
  <c r="H992" i="13"/>
  <c r="I992" i="13"/>
  <c r="J992" i="13"/>
  <c r="K992" i="13"/>
  <c r="L992" i="13"/>
  <c r="M992" i="13"/>
  <c r="AI992" i="13"/>
  <c r="AJ992" i="13"/>
  <c r="AM992" i="13" s="1"/>
  <c r="AK992" i="13"/>
  <c r="AL992" i="13"/>
  <c r="AN992" i="13"/>
  <c r="A993" i="13"/>
  <c r="C993" i="13"/>
  <c r="D993" i="13"/>
  <c r="G993" i="13"/>
  <c r="H993" i="13"/>
  <c r="I993" i="13"/>
  <c r="J993" i="13"/>
  <c r="K993" i="13"/>
  <c r="L993" i="13"/>
  <c r="M993" i="13"/>
  <c r="AI993" i="13"/>
  <c r="AJ993" i="13"/>
  <c r="AN993" i="13" s="1"/>
  <c r="AK993" i="13"/>
  <c r="AL993" i="13"/>
  <c r="A994" i="13"/>
  <c r="C994" i="13"/>
  <c r="D994" i="13"/>
  <c r="G994" i="13"/>
  <c r="H994" i="13"/>
  <c r="I994" i="13"/>
  <c r="J994" i="13"/>
  <c r="K994" i="13"/>
  <c r="L994" i="13"/>
  <c r="M994" i="13"/>
  <c r="AI994" i="13"/>
  <c r="AJ994" i="13"/>
  <c r="AK994" i="13"/>
  <c r="AL994" i="13"/>
  <c r="AM994" i="13"/>
  <c r="AN994" i="13"/>
  <c r="A995" i="13"/>
  <c r="C995" i="13"/>
  <c r="D995" i="13"/>
  <c r="G995" i="13"/>
  <c r="H995" i="13"/>
  <c r="I995" i="13"/>
  <c r="J995" i="13"/>
  <c r="K995" i="13"/>
  <c r="L995" i="13"/>
  <c r="M995" i="13"/>
  <c r="AI995" i="13"/>
  <c r="AJ995" i="13"/>
  <c r="AM995" i="13" s="1"/>
  <c r="AK995" i="13"/>
  <c r="AL995" i="13"/>
  <c r="AN995" i="13"/>
  <c r="A996" i="13"/>
  <c r="C996" i="13"/>
  <c r="D996" i="13"/>
  <c r="G996" i="13"/>
  <c r="H996" i="13"/>
  <c r="I996" i="13"/>
  <c r="J996" i="13"/>
  <c r="K996" i="13"/>
  <c r="L996" i="13"/>
  <c r="M996" i="13"/>
  <c r="AI996" i="13"/>
  <c r="AJ996" i="13"/>
  <c r="AM996" i="13" s="1"/>
  <c r="AK996" i="13"/>
  <c r="AL996" i="13"/>
  <c r="AM993" i="13" l="1"/>
  <c r="AM990" i="13"/>
  <c r="AM958" i="13"/>
  <c r="AM922" i="13"/>
  <c r="AM455" i="13"/>
  <c r="AN455" i="13"/>
  <c r="AM964" i="13"/>
  <c r="AM928" i="13"/>
  <c r="AN957" i="13"/>
  <c r="AM934" i="13"/>
  <c r="AN996" i="13"/>
  <c r="AN987" i="13"/>
  <c r="AN984" i="13"/>
  <c r="AN981" i="13"/>
  <c r="AN978" i="13"/>
  <c r="AN975" i="13"/>
  <c r="AN972" i="13"/>
  <c r="AN969" i="13"/>
  <c r="AN966" i="13"/>
  <c r="AM943" i="13"/>
  <c r="AM704" i="13"/>
  <c r="AN704" i="13"/>
  <c r="AM692" i="13"/>
  <c r="AN692" i="13"/>
  <c r="AM437" i="13"/>
  <c r="AN437" i="13"/>
  <c r="AN390" i="13"/>
  <c r="AM390" i="13"/>
  <c r="AM172" i="13"/>
  <c r="AN172" i="13"/>
  <c r="AM160" i="13"/>
  <c r="AN160" i="13"/>
  <c r="AM148" i="13"/>
  <c r="AN148" i="13"/>
  <c r="AM136" i="13"/>
  <c r="AN136" i="13"/>
  <c r="AN714" i="13"/>
  <c r="AM707" i="13"/>
  <c r="AN707" i="13"/>
  <c r="AN706" i="13"/>
  <c r="AM695" i="13"/>
  <c r="AN695" i="13"/>
  <c r="AM683" i="13"/>
  <c r="AN683" i="13"/>
  <c r="AN426" i="13"/>
  <c r="AM426" i="13"/>
  <c r="AN408" i="13"/>
  <c r="AM408" i="13"/>
  <c r="AM710" i="13"/>
  <c r="AN710" i="13"/>
  <c r="AM698" i="13"/>
  <c r="AN698" i="13"/>
  <c r="AM686" i="13"/>
  <c r="AN686" i="13"/>
  <c r="AN444" i="13"/>
  <c r="AM444" i="13"/>
  <c r="AN716" i="13"/>
  <c r="AN462" i="13"/>
  <c r="AM462" i="13"/>
  <c r="AM713" i="13"/>
  <c r="AN713" i="13"/>
  <c r="AN712" i="13"/>
  <c r="AM701" i="13"/>
  <c r="AN701" i="13"/>
  <c r="AM689" i="13"/>
  <c r="AN689" i="13"/>
  <c r="AM479" i="13"/>
  <c r="AN479" i="13"/>
  <c r="AM492" i="13"/>
  <c r="AN492" i="13"/>
  <c r="AM469" i="13"/>
  <c r="AN469" i="13"/>
  <c r="AM419" i="13"/>
  <c r="AN419" i="13"/>
  <c r="AN680" i="13"/>
  <c r="AN677" i="13"/>
  <c r="AN674" i="13"/>
  <c r="AN671" i="13"/>
  <c r="AN668" i="13"/>
  <c r="AN665" i="13"/>
  <c r="AN662" i="13"/>
  <c r="AN659" i="13"/>
  <c r="AN656" i="13"/>
  <c r="AN653" i="13"/>
  <c r="AN650" i="13"/>
  <c r="AN647" i="13"/>
  <c r="AN644" i="13"/>
  <c r="AN641" i="13"/>
  <c r="AN638" i="13"/>
  <c r="AN635" i="13"/>
  <c r="AN632" i="13"/>
  <c r="AN629" i="13"/>
  <c r="AN626" i="13"/>
  <c r="AN623" i="13"/>
  <c r="AN620" i="13"/>
  <c r="AN617" i="13"/>
  <c r="AN614" i="13"/>
  <c r="AN611" i="13"/>
  <c r="AN608" i="13"/>
  <c r="AN605" i="13"/>
  <c r="AN602" i="13"/>
  <c r="AN599" i="13"/>
  <c r="AN596" i="13"/>
  <c r="AN593" i="13"/>
  <c r="AN590" i="13"/>
  <c r="AN587" i="13"/>
  <c r="AN584" i="13"/>
  <c r="AN581" i="13"/>
  <c r="AN578" i="13"/>
  <c r="AN575" i="13"/>
  <c r="AN572" i="13"/>
  <c r="AN569" i="13"/>
  <c r="AN566" i="13"/>
  <c r="AN563" i="13"/>
  <c r="AN560" i="13"/>
  <c r="AN557" i="13"/>
  <c r="AN554" i="13"/>
  <c r="AN551" i="13"/>
  <c r="AN548" i="13"/>
  <c r="AN545" i="13"/>
  <c r="AN542" i="13"/>
  <c r="AN539" i="13"/>
  <c r="AN536" i="13"/>
  <c r="AN533" i="13"/>
  <c r="AN530" i="13"/>
  <c r="AN527" i="13"/>
  <c r="AN524" i="13"/>
  <c r="AN521" i="13"/>
  <c r="AN518" i="13"/>
  <c r="AN515" i="13"/>
  <c r="AN512" i="13"/>
  <c r="AN509" i="13"/>
  <c r="AN506" i="13"/>
  <c r="AN503" i="13"/>
  <c r="AN500" i="13"/>
  <c r="AN497" i="13"/>
  <c r="AN494" i="13"/>
  <c r="AN481" i="13"/>
  <c r="AN471" i="13"/>
  <c r="AM450" i="13"/>
  <c r="AM432" i="13"/>
  <c r="AM414" i="13"/>
  <c r="AM396" i="13"/>
  <c r="AM184" i="13"/>
  <c r="AN184" i="13"/>
  <c r="AN484" i="13"/>
  <c r="AM226" i="13"/>
  <c r="AN226" i="13"/>
  <c r="AN487" i="13"/>
  <c r="AM453" i="13"/>
  <c r="AM435" i="13"/>
  <c r="AM417" i="13"/>
  <c r="AM399" i="13"/>
  <c r="AM196" i="13"/>
  <c r="AN196" i="13"/>
  <c r="AM249" i="13"/>
  <c r="AN249" i="13"/>
  <c r="AM208" i="13"/>
  <c r="AN208" i="13"/>
  <c r="AN486" i="13"/>
  <c r="AN473" i="13"/>
  <c r="AN452" i="13"/>
  <c r="AN434" i="13"/>
  <c r="AN416" i="13"/>
  <c r="AN489" i="13"/>
  <c r="AN476" i="13"/>
  <c r="AM459" i="13"/>
  <c r="AM441" i="13"/>
  <c r="AM423" i="13"/>
  <c r="AM405" i="13"/>
  <c r="AN485" i="13"/>
  <c r="AN458" i="13"/>
  <c r="AN440" i="13"/>
  <c r="AN422" i="13"/>
  <c r="AM239" i="13"/>
  <c r="AN239" i="13"/>
  <c r="AN475" i="13"/>
  <c r="AM465" i="13"/>
  <c r="AM447" i="13"/>
  <c r="AM429" i="13"/>
  <c r="AM411" i="13"/>
  <c r="AM393" i="13"/>
  <c r="AN251" i="13"/>
  <c r="AN254" i="13"/>
  <c r="AM214" i="13"/>
  <c r="AN257" i="13"/>
  <c r="AM199" i="13"/>
  <c r="AN199" i="13"/>
  <c r="AM187" i="13"/>
  <c r="AN187" i="13"/>
  <c r="AM175" i="13"/>
  <c r="AN175" i="13"/>
  <c r="AM163" i="13"/>
  <c r="AN163" i="13"/>
  <c r="AM151" i="13"/>
  <c r="AN151" i="13"/>
  <c r="AM139" i="13"/>
  <c r="AN139" i="13"/>
  <c r="AN253" i="13"/>
  <c r="AN240" i="13"/>
  <c r="AN213" i="13"/>
  <c r="AN230" i="13"/>
  <c r="AM220" i="13"/>
  <c r="AM202" i="13"/>
  <c r="AN202" i="13"/>
  <c r="AM190" i="13"/>
  <c r="AN190" i="13"/>
  <c r="AM178" i="13"/>
  <c r="AN178" i="13"/>
  <c r="AM166" i="13"/>
  <c r="AN166" i="13"/>
  <c r="AM154" i="13"/>
  <c r="AN154" i="13"/>
  <c r="AM142" i="13"/>
  <c r="AN142" i="13"/>
  <c r="AN236" i="13"/>
  <c r="AM205" i="13"/>
  <c r="AN205" i="13"/>
  <c r="AM193" i="13"/>
  <c r="AN193" i="13"/>
  <c r="AM181" i="13"/>
  <c r="AN181" i="13"/>
  <c r="AM169" i="13"/>
  <c r="AN169" i="13"/>
  <c r="AM157" i="13"/>
  <c r="AN157" i="13"/>
  <c r="AM145" i="13"/>
  <c r="AN145" i="13"/>
  <c r="AN38" i="13"/>
  <c r="AN35" i="13"/>
  <c r="AN32" i="13"/>
  <c r="AN29" i="13"/>
  <c r="AN26" i="13"/>
  <c r="AN23" i="13"/>
  <c r="AN20" i="13"/>
  <c r="AN17" i="13"/>
  <c r="AN14" i="13"/>
  <c r="AN11" i="13"/>
  <c r="AN8" i="13"/>
  <c r="AN5" i="13"/>
  <c r="AN133" i="13"/>
  <c r="AN130" i="13"/>
  <c r="AN127" i="13"/>
  <c r="AN124" i="13"/>
  <c r="AN121" i="13"/>
  <c r="AN118" i="13"/>
  <c r="AN115" i="13"/>
  <c r="AN112" i="13"/>
  <c r="AN109" i="13"/>
  <c r="AN106" i="13"/>
  <c r="AN103" i="13"/>
  <c r="AN100" i="13"/>
  <c r="AN97" i="13"/>
  <c r="AN94" i="13"/>
  <c r="AN91" i="13"/>
  <c r="AN88" i="13"/>
  <c r="AN85" i="13"/>
  <c r="AN82" i="13"/>
  <c r="AN79" i="13"/>
  <c r="AN76" i="13"/>
  <c r="AN73" i="13"/>
  <c r="AN70" i="13"/>
  <c r="AN67" i="13"/>
  <c r="AN64" i="13"/>
  <c r="AN61" i="13"/>
  <c r="AN58" i="13"/>
  <c r="AN55" i="13"/>
  <c r="AN52" i="13"/>
  <c r="AN49" i="13"/>
  <c r="AN46" i="13"/>
  <c r="AN43" i="13"/>
  <c r="AN40" i="13"/>
  <c r="AN37" i="13"/>
  <c r="AN34" i="13"/>
  <c r="AN31" i="13"/>
  <c r="AN28" i="13"/>
  <c r="AN25" i="13"/>
  <c r="AN22" i="13"/>
  <c r="AN19" i="13"/>
  <c r="AN16" i="13"/>
  <c r="AN13" i="13"/>
  <c r="AN10" i="13"/>
  <c r="AN7" i="13"/>
  <c r="AN4" i="13"/>
  <c r="AL9" i="5"/>
  <c r="AK9" i="5"/>
  <c r="AI9" i="5"/>
  <c r="AJ9" i="5" s="1"/>
  <c r="M9" i="5"/>
  <c r="L9" i="5"/>
  <c r="K9" i="5"/>
  <c r="J9" i="5"/>
  <c r="I9" i="5"/>
  <c r="H9" i="5"/>
  <c r="G9" i="5"/>
  <c r="D9" i="5"/>
  <c r="C9" i="5"/>
  <c r="A9" i="5"/>
  <c r="AL8" i="5"/>
  <c r="AK8" i="5"/>
  <c r="AI8" i="5"/>
  <c r="AJ8" i="5" s="1"/>
  <c r="M8" i="5"/>
  <c r="L8" i="5"/>
  <c r="K8" i="5"/>
  <c r="J8" i="5"/>
  <c r="I8" i="5"/>
  <c r="H8" i="5"/>
  <c r="G8" i="5"/>
  <c r="D8" i="5"/>
  <c r="C8" i="5"/>
  <c r="A8" i="5"/>
  <c r="AL7" i="5"/>
  <c r="AK7" i="5"/>
  <c r="AI7" i="5"/>
  <c r="AJ7" i="5" s="1"/>
  <c r="M7" i="5"/>
  <c r="L7" i="5"/>
  <c r="K7" i="5"/>
  <c r="J7" i="5"/>
  <c r="I7" i="5"/>
  <c r="H7" i="5"/>
  <c r="G7" i="5"/>
  <c r="D7" i="5"/>
  <c r="C7" i="5"/>
  <c r="A7" i="5"/>
  <c r="A6" i="5"/>
  <c r="AM9" i="5" l="1"/>
  <c r="AN9" i="5"/>
  <c r="AN8" i="5"/>
  <c r="AM8" i="5"/>
  <c r="AN7" i="5"/>
  <c r="AM7" i="5"/>
  <c r="Q996" i="9"/>
  <c r="L996" i="9"/>
  <c r="K996" i="9"/>
  <c r="J996" i="9"/>
  <c r="I996" i="9"/>
  <c r="H996" i="9"/>
  <c r="G996" i="9"/>
  <c r="F996" i="9"/>
  <c r="D996" i="9"/>
  <c r="C996" i="9"/>
  <c r="B996" i="9"/>
  <c r="A996" i="9"/>
  <c r="Q995" i="9"/>
  <c r="L995" i="9"/>
  <c r="K995" i="9"/>
  <c r="J995" i="9"/>
  <c r="I995" i="9"/>
  <c r="H995" i="9"/>
  <c r="G995" i="9"/>
  <c r="F995" i="9"/>
  <c r="D995" i="9"/>
  <c r="C995" i="9"/>
  <c r="B995" i="9"/>
  <c r="A995" i="9"/>
  <c r="Q994" i="9"/>
  <c r="L994" i="9"/>
  <c r="K994" i="9"/>
  <c r="J994" i="9"/>
  <c r="I994" i="9"/>
  <c r="H994" i="9"/>
  <c r="G994" i="9"/>
  <c r="F994" i="9"/>
  <c r="D994" i="9"/>
  <c r="C994" i="9"/>
  <c r="B994" i="9"/>
  <c r="A994" i="9"/>
  <c r="Q993" i="9"/>
  <c r="L993" i="9"/>
  <c r="K993" i="9"/>
  <c r="J993" i="9"/>
  <c r="I993" i="9"/>
  <c r="H993" i="9"/>
  <c r="G993" i="9"/>
  <c r="F993" i="9"/>
  <c r="D993" i="9"/>
  <c r="C993" i="9"/>
  <c r="B993" i="9"/>
  <c r="A993" i="9"/>
  <c r="Q992" i="9"/>
  <c r="L992" i="9"/>
  <c r="K992" i="9"/>
  <c r="J992" i="9"/>
  <c r="I992" i="9"/>
  <c r="H992" i="9"/>
  <c r="G992" i="9"/>
  <c r="F992" i="9"/>
  <c r="D992" i="9"/>
  <c r="C992" i="9"/>
  <c r="B992" i="9"/>
  <c r="A992" i="9"/>
  <c r="Q991" i="9"/>
  <c r="L991" i="9"/>
  <c r="K991" i="9"/>
  <c r="J991" i="9"/>
  <c r="I991" i="9"/>
  <c r="H991" i="9"/>
  <c r="G991" i="9"/>
  <c r="F991" i="9"/>
  <c r="D991" i="9"/>
  <c r="C991" i="9"/>
  <c r="B991" i="9"/>
  <c r="A991" i="9"/>
  <c r="Q990" i="9"/>
  <c r="L990" i="9"/>
  <c r="K990" i="9"/>
  <c r="J990" i="9"/>
  <c r="I990" i="9"/>
  <c r="H990" i="9"/>
  <c r="G990" i="9"/>
  <c r="F990" i="9"/>
  <c r="D990" i="9"/>
  <c r="C990" i="9"/>
  <c r="B990" i="9"/>
  <c r="A990" i="9"/>
  <c r="Q989" i="9"/>
  <c r="L989" i="9"/>
  <c r="K989" i="9"/>
  <c r="J989" i="9"/>
  <c r="I989" i="9"/>
  <c r="H989" i="9"/>
  <c r="G989" i="9"/>
  <c r="F989" i="9"/>
  <c r="D989" i="9"/>
  <c r="C989" i="9"/>
  <c r="B989" i="9"/>
  <c r="A989" i="9"/>
  <c r="Q988" i="9"/>
  <c r="L988" i="9"/>
  <c r="K988" i="9"/>
  <c r="J988" i="9"/>
  <c r="I988" i="9"/>
  <c r="H988" i="9"/>
  <c r="G988" i="9"/>
  <c r="F988" i="9"/>
  <c r="D988" i="9"/>
  <c r="C988" i="9"/>
  <c r="B988" i="9"/>
  <c r="A988" i="9"/>
  <c r="Q987" i="9"/>
  <c r="L987" i="9"/>
  <c r="K987" i="9"/>
  <c r="J987" i="9"/>
  <c r="I987" i="9"/>
  <c r="H987" i="9"/>
  <c r="G987" i="9"/>
  <c r="F987" i="9"/>
  <c r="D987" i="9"/>
  <c r="C987" i="9"/>
  <c r="B987" i="9"/>
  <c r="A987" i="9"/>
  <c r="Q986" i="9"/>
  <c r="L986" i="9"/>
  <c r="K986" i="9"/>
  <c r="J986" i="9"/>
  <c r="I986" i="9"/>
  <c r="H986" i="9"/>
  <c r="G986" i="9"/>
  <c r="F986" i="9"/>
  <c r="D986" i="9"/>
  <c r="C986" i="9"/>
  <c r="B986" i="9"/>
  <c r="A986" i="9"/>
  <c r="Q985" i="9"/>
  <c r="L985" i="9"/>
  <c r="K985" i="9"/>
  <c r="J985" i="9"/>
  <c r="I985" i="9"/>
  <c r="H985" i="9"/>
  <c r="G985" i="9"/>
  <c r="F985" i="9"/>
  <c r="D985" i="9"/>
  <c r="C985" i="9"/>
  <c r="B985" i="9"/>
  <c r="A985" i="9"/>
  <c r="Q984" i="9"/>
  <c r="L984" i="9"/>
  <c r="K984" i="9"/>
  <c r="J984" i="9"/>
  <c r="I984" i="9"/>
  <c r="H984" i="9"/>
  <c r="G984" i="9"/>
  <c r="F984" i="9"/>
  <c r="D984" i="9"/>
  <c r="C984" i="9"/>
  <c r="B984" i="9"/>
  <c r="A984" i="9"/>
  <c r="Q983" i="9"/>
  <c r="L983" i="9"/>
  <c r="K983" i="9"/>
  <c r="J983" i="9"/>
  <c r="I983" i="9"/>
  <c r="H983" i="9"/>
  <c r="G983" i="9"/>
  <c r="F983" i="9"/>
  <c r="D983" i="9"/>
  <c r="C983" i="9"/>
  <c r="B983" i="9"/>
  <c r="A983" i="9"/>
  <c r="Q982" i="9"/>
  <c r="L982" i="9"/>
  <c r="K982" i="9"/>
  <c r="J982" i="9"/>
  <c r="I982" i="9"/>
  <c r="H982" i="9"/>
  <c r="G982" i="9"/>
  <c r="F982" i="9"/>
  <c r="D982" i="9"/>
  <c r="C982" i="9"/>
  <c r="B982" i="9"/>
  <c r="A982" i="9"/>
  <c r="Q981" i="9"/>
  <c r="L981" i="9"/>
  <c r="K981" i="9"/>
  <c r="J981" i="9"/>
  <c r="I981" i="9"/>
  <c r="H981" i="9"/>
  <c r="G981" i="9"/>
  <c r="F981" i="9"/>
  <c r="D981" i="9"/>
  <c r="C981" i="9"/>
  <c r="B981" i="9"/>
  <c r="A981" i="9"/>
  <c r="Q980" i="9"/>
  <c r="L980" i="9"/>
  <c r="K980" i="9"/>
  <c r="J980" i="9"/>
  <c r="I980" i="9"/>
  <c r="H980" i="9"/>
  <c r="G980" i="9"/>
  <c r="F980" i="9"/>
  <c r="D980" i="9"/>
  <c r="C980" i="9"/>
  <c r="B980" i="9"/>
  <c r="A980" i="9"/>
  <c r="Q979" i="9"/>
  <c r="L979" i="9"/>
  <c r="K979" i="9"/>
  <c r="J979" i="9"/>
  <c r="I979" i="9"/>
  <c r="H979" i="9"/>
  <c r="G979" i="9"/>
  <c r="F979" i="9"/>
  <c r="D979" i="9"/>
  <c r="C979" i="9"/>
  <c r="B979" i="9"/>
  <c r="A979" i="9"/>
  <c r="Q978" i="9"/>
  <c r="L978" i="9"/>
  <c r="K978" i="9"/>
  <c r="J978" i="9"/>
  <c r="I978" i="9"/>
  <c r="H978" i="9"/>
  <c r="G978" i="9"/>
  <c r="F978" i="9"/>
  <c r="D978" i="9"/>
  <c r="C978" i="9"/>
  <c r="B978" i="9"/>
  <c r="A978" i="9"/>
  <c r="Q977" i="9"/>
  <c r="L977" i="9"/>
  <c r="K977" i="9"/>
  <c r="J977" i="9"/>
  <c r="I977" i="9"/>
  <c r="H977" i="9"/>
  <c r="G977" i="9"/>
  <c r="F977" i="9"/>
  <c r="D977" i="9"/>
  <c r="C977" i="9"/>
  <c r="B977" i="9"/>
  <c r="A977" i="9"/>
  <c r="Q976" i="9"/>
  <c r="L976" i="9"/>
  <c r="K976" i="9"/>
  <c r="J976" i="9"/>
  <c r="I976" i="9"/>
  <c r="H976" i="9"/>
  <c r="G976" i="9"/>
  <c r="F976" i="9"/>
  <c r="D976" i="9"/>
  <c r="C976" i="9"/>
  <c r="B976" i="9"/>
  <c r="A976" i="9"/>
  <c r="Q975" i="9"/>
  <c r="L975" i="9"/>
  <c r="K975" i="9"/>
  <c r="J975" i="9"/>
  <c r="I975" i="9"/>
  <c r="H975" i="9"/>
  <c r="G975" i="9"/>
  <c r="F975" i="9"/>
  <c r="D975" i="9"/>
  <c r="C975" i="9"/>
  <c r="B975" i="9"/>
  <c r="A975" i="9"/>
  <c r="Q974" i="9"/>
  <c r="L974" i="9"/>
  <c r="K974" i="9"/>
  <c r="J974" i="9"/>
  <c r="I974" i="9"/>
  <c r="H974" i="9"/>
  <c r="G974" i="9"/>
  <c r="F974" i="9"/>
  <c r="D974" i="9"/>
  <c r="C974" i="9"/>
  <c r="B974" i="9"/>
  <c r="A974" i="9"/>
  <c r="Q973" i="9"/>
  <c r="L973" i="9"/>
  <c r="K973" i="9"/>
  <c r="J973" i="9"/>
  <c r="I973" i="9"/>
  <c r="H973" i="9"/>
  <c r="G973" i="9"/>
  <c r="F973" i="9"/>
  <c r="D973" i="9"/>
  <c r="C973" i="9"/>
  <c r="B973" i="9"/>
  <c r="A973" i="9"/>
  <c r="Q972" i="9"/>
  <c r="L972" i="9"/>
  <c r="K972" i="9"/>
  <c r="J972" i="9"/>
  <c r="I972" i="9"/>
  <c r="H972" i="9"/>
  <c r="G972" i="9"/>
  <c r="F972" i="9"/>
  <c r="D972" i="9"/>
  <c r="C972" i="9"/>
  <c r="B972" i="9"/>
  <c r="A972" i="9"/>
  <c r="Q971" i="9"/>
  <c r="L971" i="9"/>
  <c r="K971" i="9"/>
  <c r="J971" i="9"/>
  <c r="I971" i="9"/>
  <c r="H971" i="9"/>
  <c r="G971" i="9"/>
  <c r="F971" i="9"/>
  <c r="D971" i="9"/>
  <c r="C971" i="9"/>
  <c r="B971" i="9"/>
  <c r="A971" i="9"/>
  <c r="Q970" i="9"/>
  <c r="L970" i="9"/>
  <c r="K970" i="9"/>
  <c r="J970" i="9"/>
  <c r="I970" i="9"/>
  <c r="H970" i="9"/>
  <c r="G970" i="9"/>
  <c r="F970" i="9"/>
  <c r="D970" i="9"/>
  <c r="C970" i="9"/>
  <c r="B970" i="9"/>
  <c r="A970" i="9"/>
  <c r="Q969" i="9"/>
  <c r="L969" i="9"/>
  <c r="K969" i="9"/>
  <c r="J969" i="9"/>
  <c r="I969" i="9"/>
  <c r="H969" i="9"/>
  <c r="G969" i="9"/>
  <c r="F969" i="9"/>
  <c r="D969" i="9"/>
  <c r="C969" i="9"/>
  <c r="B969" i="9"/>
  <c r="A969" i="9"/>
  <c r="Q968" i="9"/>
  <c r="L968" i="9"/>
  <c r="K968" i="9"/>
  <c r="J968" i="9"/>
  <c r="I968" i="9"/>
  <c r="H968" i="9"/>
  <c r="G968" i="9"/>
  <c r="F968" i="9"/>
  <c r="D968" i="9"/>
  <c r="C968" i="9"/>
  <c r="B968" i="9"/>
  <c r="A968" i="9"/>
  <c r="Q967" i="9"/>
  <c r="L967" i="9"/>
  <c r="K967" i="9"/>
  <c r="J967" i="9"/>
  <c r="I967" i="9"/>
  <c r="H967" i="9"/>
  <c r="G967" i="9"/>
  <c r="F967" i="9"/>
  <c r="D967" i="9"/>
  <c r="C967" i="9"/>
  <c r="B967" i="9"/>
  <c r="A967" i="9"/>
  <c r="Q966" i="9"/>
  <c r="L966" i="9"/>
  <c r="K966" i="9"/>
  <c r="J966" i="9"/>
  <c r="I966" i="9"/>
  <c r="H966" i="9"/>
  <c r="G966" i="9"/>
  <c r="F966" i="9"/>
  <c r="D966" i="9"/>
  <c r="C966" i="9"/>
  <c r="B966" i="9"/>
  <c r="A966" i="9"/>
  <c r="Q965" i="9"/>
  <c r="L965" i="9"/>
  <c r="K965" i="9"/>
  <c r="J965" i="9"/>
  <c r="I965" i="9"/>
  <c r="H965" i="9"/>
  <c r="G965" i="9"/>
  <c r="F965" i="9"/>
  <c r="D965" i="9"/>
  <c r="C965" i="9"/>
  <c r="B965" i="9"/>
  <c r="A965" i="9"/>
  <c r="Q964" i="9"/>
  <c r="L964" i="9"/>
  <c r="K964" i="9"/>
  <c r="J964" i="9"/>
  <c r="I964" i="9"/>
  <c r="H964" i="9"/>
  <c r="G964" i="9"/>
  <c r="F964" i="9"/>
  <c r="D964" i="9"/>
  <c r="C964" i="9"/>
  <c r="B964" i="9"/>
  <c r="A964" i="9"/>
  <c r="Q963" i="9"/>
  <c r="L963" i="9"/>
  <c r="K963" i="9"/>
  <c r="J963" i="9"/>
  <c r="I963" i="9"/>
  <c r="H963" i="9"/>
  <c r="G963" i="9"/>
  <c r="F963" i="9"/>
  <c r="D963" i="9"/>
  <c r="C963" i="9"/>
  <c r="B963" i="9"/>
  <c r="A963" i="9"/>
  <c r="Q962" i="9"/>
  <c r="L962" i="9"/>
  <c r="K962" i="9"/>
  <c r="J962" i="9"/>
  <c r="I962" i="9"/>
  <c r="H962" i="9"/>
  <c r="G962" i="9"/>
  <c r="F962" i="9"/>
  <c r="D962" i="9"/>
  <c r="C962" i="9"/>
  <c r="B962" i="9"/>
  <c r="A962" i="9"/>
  <c r="Q961" i="9"/>
  <c r="L961" i="9"/>
  <c r="K961" i="9"/>
  <c r="J961" i="9"/>
  <c r="I961" i="9"/>
  <c r="H961" i="9"/>
  <c r="G961" i="9"/>
  <c r="F961" i="9"/>
  <c r="D961" i="9"/>
  <c r="C961" i="9"/>
  <c r="B961" i="9"/>
  <c r="A961" i="9"/>
  <c r="Q960" i="9"/>
  <c r="L960" i="9"/>
  <c r="K960" i="9"/>
  <c r="J960" i="9"/>
  <c r="I960" i="9"/>
  <c r="H960" i="9"/>
  <c r="G960" i="9"/>
  <c r="F960" i="9"/>
  <c r="D960" i="9"/>
  <c r="C960" i="9"/>
  <c r="B960" i="9"/>
  <c r="A960" i="9"/>
  <c r="Q959" i="9"/>
  <c r="L959" i="9"/>
  <c r="K959" i="9"/>
  <c r="J959" i="9"/>
  <c r="I959" i="9"/>
  <c r="H959" i="9"/>
  <c r="G959" i="9"/>
  <c r="F959" i="9"/>
  <c r="D959" i="9"/>
  <c r="C959" i="9"/>
  <c r="B959" i="9"/>
  <c r="A959" i="9"/>
  <c r="Q958" i="9"/>
  <c r="L958" i="9"/>
  <c r="K958" i="9"/>
  <c r="J958" i="9"/>
  <c r="I958" i="9"/>
  <c r="H958" i="9"/>
  <c r="G958" i="9"/>
  <c r="F958" i="9"/>
  <c r="D958" i="9"/>
  <c r="C958" i="9"/>
  <c r="B958" i="9"/>
  <c r="A958" i="9"/>
  <c r="Q957" i="9"/>
  <c r="L957" i="9"/>
  <c r="K957" i="9"/>
  <c r="J957" i="9"/>
  <c r="I957" i="9"/>
  <c r="H957" i="9"/>
  <c r="G957" i="9"/>
  <c r="F957" i="9"/>
  <c r="D957" i="9"/>
  <c r="C957" i="9"/>
  <c r="B957" i="9"/>
  <c r="A957" i="9"/>
  <c r="Q956" i="9"/>
  <c r="L956" i="9"/>
  <c r="K956" i="9"/>
  <c r="J956" i="9"/>
  <c r="I956" i="9"/>
  <c r="H956" i="9"/>
  <c r="G956" i="9"/>
  <c r="F956" i="9"/>
  <c r="D956" i="9"/>
  <c r="C956" i="9"/>
  <c r="B956" i="9"/>
  <c r="A956" i="9"/>
  <c r="Q955" i="9"/>
  <c r="L955" i="9"/>
  <c r="K955" i="9"/>
  <c r="J955" i="9"/>
  <c r="I955" i="9"/>
  <c r="H955" i="9"/>
  <c r="G955" i="9"/>
  <c r="F955" i="9"/>
  <c r="D955" i="9"/>
  <c r="C955" i="9"/>
  <c r="B955" i="9"/>
  <c r="A955" i="9"/>
  <c r="Q954" i="9"/>
  <c r="L954" i="9"/>
  <c r="K954" i="9"/>
  <c r="J954" i="9"/>
  <c r="I954" i="9"/>
  <c r="H954" i="9"/>
  <c r="G954" i="9"/>
  <c r="F954" i="9"/>
  <c r="D954" i="9"/>
  <c r="C954" i="9"/>
  <c r="B954" i="9"/>
  <c r="A954" i="9"/>
  <c r="Q953" i="9"/>
  <c r="L953" i="9"/>
  <c r="K953" i="9"/>
  <c r="J953" i="9"/>
  <c r="I953" i="9"/>
  <c r="H953" i="9"/>
  <c r="G953" i="9"/>
  <c r="F953" i="9"/>
  <c r="D953" i="9"/>
  <c r="C953" i="9"/>
  <c r="B953" i="9"/>
  <c r="A953" i="9"/>
  <c r="Q952" i="9"/>
  <c r="L952" i="9"/>
  <c r="K952" i="9"/>
  <c r="J952" i="9"/>
  <c r="I952" i="9"/>
  <c r="H952" i="9"/>
  <c r="G952" i="9"/>
  <c r="F952" i="9"/>
  <c r="D952" i="9"/>
  <c r="C952" i="9"/>
  <c r="B952" i="9"/>
  <c r="A952" i="9"/>
  <c r="Q951" i="9"/>
  <c r="L951" i="9"/>
  <c r="K951" i="9"/>
  <c r="J951" i="9"/>
  <c r="I951" i="9"/>
  <c r="H951" i="9"/>
  <c r="G951" i="9"/>
  <c r="F951" i="9"/>
  <c r="D951" i="9"/>
  <c r="C951" i="9"/>
  <c r="B951" i="9"/>
  <c r="A951" i="9"/>
  <c r="Q950" i="9"/>
  <c r="L950" i="9"/>
  <c r="K950" i="9"/>
  <c r="J950" i="9"/>
  <c r="I950" i="9"/>
  <c r="H950" i="9"/>
  <c r="G950" i="9"/>
  <c r="F950" i="9"/>
  <c r="D950" i="9"/>
  <c r="C950" i="9"/>
  <c r="B950" i="9"/>
  <c r="A950" i="9"/>
  <c r="Q949" i="9"/>
  <c r="L949" i="9"/>
  <c r="K949" i="9"/>
  <c r="J949" i="9"/>
  <c r="I949" i="9"/>
  <c r="H949" i="9"/>
  <c r="G949" i="9"/>
  <c r="F949" i="9"/>
  <c r="D949" i="9"/>
  <c r="C949" i="9"/>
  <c r="B949" i="9"/>
  <c r="A949" i="9"/>
  <c r="Q948" i="9"/>
  <c r="L948" i="9"/>
  <c r="K948" i="9"/>
  <c r="J948" i="9"/>
  <c r="I948" i="9"/>
  <c r="H948" i="9"/>
  <c r="G948" i="9"/>
  <c r="F948" i="9"/>
  <c r="D948" i="9"/>
  <c r="C948" i="9"/>
  <c r="B948" i="9"/>
  <c r="A948" i="9"/>
  <c r="Q947" i="9"/>
  <c r="L947" i="9"/>
  <c r="K947" i="9"/>
  <c r="J947" i="9"/>
  <c r="I947" i="9"/>
  <c r="H947" i="9"/>
  <c r="G947" i="9"/>
  <c r="F947" i="9"/>
  <c r="D947" i="9"/>
  <c r="C947" i="9"/>
  <c r="B947" i="9"/>
  <c r="A947" i="9"/>
  <c r="Q946" i="9"/>
  <c r="L946" i="9"/>
  <c r="K946" i="9"/>
  <c r="J946" i="9"/>
  <c r="I946" i="9"/>
  <c r="H946" i="9"/>
  <c r="G946" i="9"/>
  <c r="F946" i="9"/>
  <c r="D946" i="9"/>
  <c r="C946" i="9"/>
  <c r="B946" i="9"/>
  <c r="A946" i="9"/>
  <c r="Q945" i="9"/>
  <c r="L945" i="9"/>
  <c r="K945" i="9"/>
  <c r="J945" i="9"/>
  <c r="I945" i="9"/>
  <c r="H945" i="9"/>
  <c r="G945" i="9"/>
  <c r="F945" i="9"/>
  <c r="D945" i="9"/>
  <c r="C945" i="9"/>
  <c r="B945" i="9"/>
  <c r="A945" i="9"/>
  <c r="Q944" i="9"/>
  <c r="L944" i="9"/>
  <c r="K944" i="9"/>
  <c r="J944" i="9"/>
  <c r="I944" i="9"/>
  <c r="H944" i="9"/>
  <c r="G944" i="9"/>
  <c r="F944" i="9"/>
  <c r="D944" i="9"/>
  <c r="C944" i="9"/>
  <c r="B944" i="9"/>
  <c r="A944" i="9"/>
  <c r="Q943" i="9"/>
  <c r="L943" i="9"/>
  <c r="K943" i="9"/>
  <c r="J943" i="9"/>
  <c r="I943" i="9"/>
  <c r="H943" i="9"/>
  <c r="G943" i="9"/>
  <c r="F943" i="9"/>
  <c r="D943" i="9"/>
  <c r="C943" i="9"/>
  <c r="B943" i="9"/>
  <c r="A943" i="9"/>
  <c r="Q942" i="9"/>
  <c r="L942" i="9"/>
  <c r="K942" i="9"/>
  <c r="J942" i="9"/>
  <c r="I942" i="9"/>
  <c r="H942" i="9"/>
  <c r="G942" i="9"/>
  <c r="F942" i="9"/>
  <c r="D942" i="9"/>
  <c r="C942" i="9"/>
  <c r="B942" i="9"/>
  <c r="A942" i="9"/>
  <c r="Q941" i="9"/>
  <c r="L941" i="9"/>
  <c r="K941" i="9"/>
  <c r="J941" i="9"/>
  <c r="I941" i="9"/>
  <c r="H941" i="9"/>
  <c r="G941" i="9"/>
  <c r="F941" i="9"/>
  <c r="D941" i="9"/>
  <c r="C941" i="9"/>
  <c r="B941" i="9"/>
  <c r="A941" i="9"/>
  <c r="Q940" i="9"/>
  <c r="L940" i="9"/>
  <c r="K940" i="9"/>
  <c r="J940" i="9"/>
  <c r="I940" i="9"/>
  <c r="H940" i="9"/>
  <c r="G940" i="9"/>
  <c r="F940" i="9"/>
  <c r="D940" i="9"/>
  <c r="C940" i="9"/>
  <c r="B940" i="9"/>
  <c r="A940" i="9"/>
  <c r="Q939" i="9"/>
  <c r="L939" i="9"/>
  <c r="K939" i="9"/>
  <c r="J939" i="9"/>
  <c r="I939" i="9"/>
  <c r="H939" i="9"/>
  <c r="G939" i="9"/>
  <c r="F939" i="9"/>
  <c r="D939" i="9"/>
  <c r="C939" i="9"/>
  <c r="B939" i="9"/>
  <c r="A939" i="9"/>
  <c r="Q938" i="9"/>
  <c r="L938" i="9"/>
  <c r="K938" i="9"/>
  <c r="J938" i="9"/>
  <c r="I938" i="9"/>
  <c r="H938" i="9"/>
  <c r="G938" i="9"/>
  <c r="F938" i="9"/>
  <c r="D938" i="9"/>
  <c r="C938" i="9"/>
  <c r="B938" i="9"/>
  <c r="A938" i="9"/>
  <c r="Q937" i="9"/>
  <c r="L937" i="9"/>
  <c r="K937" i="9"/>
  <c r="J937" i="9"/>
  <c r="I937" i="9"/>
  <c r="H937" i="9"/>
  <c r="G937" i="9"/>
  <c r="F937" i="9"/>
  <c r="D937" i="9"/>
  <c r="C937" i="9"/>
  <c r="B937" i="9"/>
  <c r="A937" i="9"/>
  <c r="Q936" i="9"/>
  <c r="L936" i="9"/>
  <c r="K936" i="9"/>
  <c r="J936" i="9"/>
  <c r="I936" i="9"/>
  <c r="H936" i="9"/>
  <c r="G936" i="9"/>
  <c r="F936" i="9"/>
  <c r="D936" i="9"/>
  <c r="C936" i="9"/>
  <c r="B936" i="9"/>
  <c r="A936" i="9"/>
  <c r="Q935" i="9"/>
  <c r="L935" i="9"/>
  <c r="K935" i="9"/>
  <c r="J935" i="9"/>
  <c r="I935" i="9"/>
  <c r="H935" i="9"/>
  <c r="G935" i="9"/>
  <c r="F935" i="9"/>
  <c r="D935" i="9"/>
  <c r="C935" i="9"/>
  <c r="B935" i="9"/>
  <c r="A935" i="9"/>
  <c r="Q934" i="9"/>
  <c r="L934" i="9"/>
  <c r="K934" i="9"/>
  <c r="J934" i="9"/>
  <c r="I934" i="9"/>
  <c r="H934" i="9"/>
  <c r="G934" i="9"/>
  <c r="F934" i="9"/>
  <c r="D934" i="9"/>
  <c r="C934" i="9"/>
  <c r="B934" i="9"/>
  <c r="A934" i="9"/>
  <c r="Q933" i="9"/>
  <c r="L933" i="9"/>
  <c r="K933" i="9"/>
  <c r="J933" i="9"/>
  <c r="I933" i="9"/>
  <c r="H933" i="9"/>
  <c r="G933" i="9"/>
  <c r="F933" i="9"/>
  <c r="D933" i="9"/>
  <c r="C933" i="9"/>
  <c r="B933" i="9"/>
  <c r="A933" i="9"/>
  <c r="Q932" i="9"/>
  <c r="L932" i="9"/>
  <c r="K932" i="9"/>
  <c r="J932" i="9"/>
  <c r="I932" i="9"/>
  <c r="H932" i="9"/>
  <c r="G932" i="9"/>
  <c r="F932" i="9"/>
  <c r="D932" i="9"/>
  <c r="C932" i="9"/>
  <c r="B932" i="9"/>
  <c r="A932" i="9"/>
  <c r="Q931" i="9"/>
  <c r="L931" i="9"/>
  <c r="K931" i="9"/>
  <c r="J931" i="9"/>
  <c r="I931" i="9"/>
  <c r="H931" i="9"/>
  <c r="G931" i="9"/>
  <c r="F931" i="9"/>
  <c r="D931" i="9"/>
  <c r="C931" i="9"/>
  <c r="B931" i="9"/>
  <c r="A931" i="9"/>
  <c r="Q930" i="9"/>
  <c r="L930" i="9"/>
  <c r="K930" i="9"/>
  <c r="J930" i="9"/>
  <c r="I930" i="9"/>
  <c r="H930" i="9"/>
  <c r="G930" i="9"/>
  <c r="F930" i="9"/>
  <c r="D930" i="9"/>
  <c r="C930" i="9"/>
  <c r="B930" i="9"/>
  <c r="A930" i="9"/>
  <c r="Q929" i="9"/>
  <c r="L929" i="9"/>
  <c r="K929" i="9"/>
  <c r="J929" i="9"/>
  <c r="I929" i="9"/>
  <c r="H929" i="9"/>
  <c r="G929" i="9"/>
  <c r="F929" i="9"/>
  <c r="D929" i="9"/>
  <c r="C929" i="9"/>
  <c r="B929" i="9"/>
  <c r="A929" i="9"/>
  <c r="Q928" i="9"/>
  <c r="L928" i="9"/>
  <c r="K928" i="9"/>
  <c r="J928" i="9"/>
  <c r="I928" i="9"/>
  <c r="H928" i="9"/>
  <c r="G928" i="9"/>
  <c r="F928" i="9"/>
  <c r="D928" i="9"/>
  <c r="C928" i="9"/>
  <c r="B928" i="9"/>
  <c r="A928" i="9"/>
  <c r="Q927" i="9"/>
  <c r="L927" i="9"/>
  <c r="K927" i="9"/>
  <c r="J927" i="9"/>
  <c r="I927" i="9"/>
  <c r="H927" i="9"/>
  <c r="G927" i="9"/>
  <c r="F927" i="9"/>
  <c r="D927" i="9"/>
  <c r="C927" i="9"/>
  <c r="B927" i="9"/>
  <c r="A927" i="9"/>
  <c r="Q926" i="9"/>
  <c r="L926" i="9"/>
  <c r="K926" i="9"/>
  <c r="J926" i="9"/>
  <c r="I926" i="9"/>
  <c r="H926" i="9"/>
  <c r="G926" i="9"/>
  <c r="F926" i="9"/>
  <c r="D926" i="9"/>
  <c r="C926" i="9"/>
  <c r="B926" i="9"/>
  <c r="A926" i="9"/>
  <c r="Q925" i="9"/>
  <c r="L925" i="9"/>
  <c r="K925" i="9"/>
  <c r="J925" i="9"/>
  <c r="I925" i="9"/>
  <c r="H925" i="9"/>
  <c r="G925" i="9"/>
  <c r="F925" i="9"/>
  <c r="D925" i="9"/>
  <c r="C925" i="9"/>
  <c r="B925" i="9"/>
  <c r="A925" i="9"/>
  <c r="Q924" i="9"/>
  <c r="L924" i="9"/>
  <c r="K924" i="9"/>
  <c r="J924" i="9"/>
  <c r="I924" i="9"/>
  <c r="H924" i="9"/>
  <c r="G924" i="9"/>
  <c r="F924" i="9"/>
  <c r="D924" i="9"/>
  <c r="C924" i="9"/>
  <c r="B924" i="9"/>
  <c r="A924" i="9"/>
  <c r="Q923" i="9"/>
  <c r="L923" i="9"/>
  <c r="K923" i="9"/>
  <c r="J923" i="9"/>
  <c r="I923" i="9"/>
  <c r="H923" i="9"/>
  <c r="G923" i="9"/>
  <c r="F923" i="9"/>
  <c r="D923" i="9"/>
  <c r="C923" i="9"/>
  <c r="B923" i="9"/>
  <c r="A923" i="9"/>
  <c r="Q922" i="9"/>
  <c r="L922" i="9"/>
  <c r="K922" i="9"/>
  <c r="J922" i="9"/>
  <c r="I922" i="9"/>
  <c r="H922" i="9"/>
  <c r="G922" i="9"/>
  <c r="M922" i="9" s="1"/>
  <c r="F922" i="9"/>
  <c r="D922" i="9"/>
  <c r="C922" i="9"/>
  <c r="B922" i="9"/>
  <c r="A922" i="9"/>
  <c r="Q921" i="9"/>
  <c r="L921" i="9"/>
  <c r="K921" i="9"/>
  <c r="J921" i="9"/>
  <c r="I921" i="9"/>
  <c r="H921" i="9"/>
  <c r="G921" i="9"/>
  <c r="F921" i="9"/>
  <c r="D921" i="9"/>
  <c r="C921" i="9"/>
  <c r="B921" i="9"/>
  <c r="A921" i="9"/>
  <c r="Q920" i="9"/>
  <c r="L920" i="9"/>
  <c r="K920" i="9"/>
  <c r="J920" i="9"/>
  <c r="I920" i="9"/>
  <c r="H920" i="9"/>
  <c r="G920" i="9"/>
  <c r="M920" i="9" s="1"/>
  <c r="F920" i="9"/>
  <c r="D920" i="9"/>
  <c r="C920" i="9"/>
  <c r="B920" i="9"/>
  <c r="A920" i="9"/>
  <c r="Q919" i="9"/>
  <c r="L919" i="9"/>
  <c r="K919" i="9"/>
  <c r="J919" i="9"/>
  <c r="I919" i="9"/>
  <c r="H919" i="9"/>
  <c r="G919" i="9"/>
  <c r="F919" i="9"/>
  <c r="D919" i="9"/>
  <c r="C919" i="9"/>
  <c r="B919" i="9"/>
  <c r="A919" i="9"/>
  <c r="Q918" i="9"/>
  <c r="L918" i="9"/>
  <c r="K918" i="9"/>
  <c r="J918" i="9"/>
  <c r="I918" i="9"/>
  <c r="H918" i="9"/>
  <c r="G918" i="9"/>
  <c r="M918" i="9" s="1"/>
  <c r="P918" i="9" s="1"/>
  <c r="F918" i="9"/>
  <c r="D918" i="9"/>
  <c r="C918" i="9"/>
  <c r="B918" i="9"/>
  <c r="A918" i="9"/>
  <c r="Q917" i="9"/>
  <c r="L917" i="9"/>
  <c r="K917" i="9"/>
  <c r="J917" i="9"/>
  <c r="I917" i="9"/>
  <c r="H917" i="9"/>
  <c r="G917" i="9"/>
  <c r="F917" i="9"/>
  <c r="D917" i="9"/>
  <c r="C917" i="9"/>
  <c r="B917" i="9"/>
  <c r="A917" i="9"/>
  <c r="Q916" i="9"/>
  <c r="L916" i="9"/>
  <c r="K916" i="9"/>
  <c r="J916" i="9"/>
  <c r="I916" i="9"/>
  <c r="H916" i="9"/>
  <c r="G916" i="9"/>
  <c r="F916" i="9"/>
  <c r="D916" i="9"/>
  <c r="C916" i="9"/>
  <c r="B916" i="9"/>
  <c r="A916" i="9"/>
  <c r="Q915" i="9"/>
  <c r="L915" i="9"/>
  <c r="K915" i="9"/>
  <c r="J915" i="9"/>
  <c r="I915" i="9"/>
  <c r="H915" i="9"/>
  <c r="G915" i="9"/>
  <c r="F915" i="9"/>
  <c r="D915" i="9"/>
  <c r="C915" i="9"/>
  <c r="B915" i="9"/>
  <c r="A915" i="9"/>
  <c r="Q914" i="9"/>
  <c r="L914" i="9"/>
  <c r="K914" i="9"/>
  <c r="J914" i="9"/>
  <c r="I914" i="9"/>
  <c r="H914" i="9"/>
  <c r="G914" i="9"/>
  <c r="F914" i="9"/>
  <c r="D914" i="9"/>
  <c r="C914" i="9"/>
  <c r="B914" i="9"/>
  <c r="A914" i="9"/>
  <c r="Q913" i="9"/>
  <c r="L913" i="9"/>
  <c r="K913" i="9"/>
  <c r="J913" i="9"/>
  <c r="I913" i="9"/>
  <c r="H913" i="9"/>
  <c r="G913" i="9"/>
  <c r="F913" i="9"/>
  <c r="D913" i="9"/>
  <c r="C913" i="9"/>
  <c r="B913" i="9"/>
  <c r="A913" i="9"/>
  <c r="Q912" i="9"/>
  <c r="L912" i="9"/>
  <c r="K912" i="9"/>
  <c r="J912" i="9"/>
  <c r="I912" i="9"/>
  <c r="H912" i="9"/>
  <c r="G912" i="9"/>
  <c r="F912" i="9"/>
  <c r="D912" i="9"/>
  <c r="C912" i="9"/>
  <c r="B912" i="9"/>
  <c r="A912" i="9"/>
  <c r="Q911" i="9"/>
  <c r="L911" i="9"/>
  <c r="K911" i="9"/>
  <c r="J911" i="9"/>
  <c r="I911" i="9"/>
  <c r="H911" i="9"/>
  <c r="G911" i="9"/>
  <c r="F911" i="9"/>
  <c r="D911" i="9"/>
  <c r="C911" i="9"/>
  <c r="B911" i="9"/>
  <c r="A911" i="9"/>
  <c r="Q910" i="9"/>
  <c r="L910" i="9"/>
  <c r="K910" i="9"/>
  <c r="J910" i="9"/>
  <c r="I910" i="9"/>
  <c r="H910" i="9"/>
  <c r="G910" i="9"/>
  <c r="F910" i="9"/>
  <c r="D910" i="9"/>
  <c r="C910" i="9"/>
  <c r="B910" i="9"/>
  <c r="A910" i="9"/>
  <c r="Q909" i="9"/>
  <c r="L909" i="9"/>
  <c r="K909" i="9"/>
  <c r="J909" i="9"/>
  <c r="I909" i="9"/>
  <c r="H909" i="9"/>
  <c r="G909" i="9"/>
  <c r="F909" i="9"/>
  <c r="D909" i="9"/>
  <c r="C909" i="9"/>
  <c r="B909" i="9"/>
  <c r="A909" i="9"/>
  <c r="Q908" i="9"/>
  <c r="L908" i="9"/>
  <c r="K908" i="9"/>
  <c r="J908" i="9"/>
  <c r="I908" i="9"/>
  <c r="H908" i="9"/>
  <c r="G908" i="9"/>
  <c r="F908" i="9"/>
  <c r="D908" i="9"/>
  <c r="C908" i="9"/>
  <c r="B908" i="9"/>
  <c r="A908" i="9"/>
  <c r="Q907" i="9"/>
  <c r="L907" i="9"/>
  <c r="K907" i="9"/>
  <c r="J907" i="9"/>
  <c r="I907" i="9"/>
  <c r="H907" i="9"/>
  <c r="G907" i="9"/>
  <c r="F907" i="9"/>
  <c r="D907" i="9"/>
  <c r="C907" i="9"/>
  <c r="B907" i="9"/>
  <c r="A907" i="9"/>
  <c r="Q906" i="9"/>
  <c r="L906" i="9"/>
  <c r="K906" i="9"/>
  <c r="J906" i="9"/>
  <c r="I906" i="9"/>
  <c r="H906" i="9"/>
  <c r="G906" i="9"/>
  <c r="F906" i="9"/>
  <c r="D906" i="9"/>
  <c r="C906" i="9"/>
  <c r="B906" i="9"/>
  <c r="A906" i="9"/>
  <c r="Q905" i="9"/>
  <c r="L905" i="9"/>
  <c r="K905" i="9"/>
  <c r="J905" i="9"/>
  <c r="I905" i="9"/>
  <c r="H905" i="9"/>
  <c r="G905" i="9"/>
  <c r="F905" i="9"/>
  <c r="D905" i="9"/>
  <c r="C905" i="9"/>
  <c r="B905" i="9"/>
  <c r="A905" i="9"/>
  <c r="Q904" i="9"/>
  <c r="L904" i="9"/>
  <c r="K904" i="9"/>
  <c r="J904" i="9"/>
  <c r="I904" i="9"/>
  <c r="H904" i="9"/>
  <c r="G904" i="9"/>
  <c r="F904" i="9"/>
  <c r="D904" i="9"/>
  <c r="C904" i="9"/>
  <c r="B904" i="9"/>
  <c r="A904" i="9"/>
  <c r="Q903" i="9"/>
  <c r="L903" i="9"/>
  <c r="K903" i="9"/>
  <c r="J903" i="9"/>
  <c r="I903" i="9"/>
  <c r="H903" i="9"/>
  <c r="G903" i="9"/>
  <c r="F903" i="9"/>
  <c r="D903" i="9"/>
  <c r="C903" i="9"/>
  <c r="B903" i="9"/>
  <c r="A903" i="9"/>
  <c r="Q902" i="9"/>
  <c r="L902" i="9"/>
  <c r="K902" i="9"/>
  <c r="J902" i="9"/>
  <c r="I902" i="9"/>
  <c r="H902" i="9"/>
  <c r="G902" i="9"/>
  <c r="F902" i="9"/>
  <c r="D902" i="9"/>
  <c r="C902" i="9"/>
  <c r="B902" i="9"/>
  <c r="A902" i="9"/>
  <c r="Q901" i="9"/>
  <c r="L901" i="9"/>
  <c r="K901" i="9"/>
  <c r="J901" i="9"/>
  <c r="I901" i="9"/>
  <c r="H901" i="9"/>
  <c r="G901" i="9"/>
  <c r="F901" i="9"/>
  <c r="D901" i="9"/>
  <c r="C901" i="9"/>
  <c r="B901" i="9"/>
  <c r="A901" i="9"/>
  <c r="Q900" i="9"/>
  <c r="L900" i="9"/>
  <c r="K900" i="9"/>
  <c r="J900" i="9"/>
  <c r="I900" i="9"/>
  <c r="H900" i="9"/>
  <c r="G900" i="9"/>
  <c r="F900" i="9"/>
  <c r="D900" i="9"/>
  <c r="C900" i="9"/>
  <c r="B900" i="9"/>
  <c r="A900" i="9"/>
  <c r="Q899" i="9"/>
  <c r="L899" i="9"/>
  <c r="K899" i="9"/>
  <c r="J899" i="9"/>
  <c r="I899" i="9"/>
  <c r="H899" i="9"/>
  <c r="G899" i="9"/>
  <c r="F899" i="9"/>
  <c r="D899" i="9"/>
  <c r="C899" i="9"/>
  <c r="B899" i="9"/>
  <c r="A899" i="9"/>
  <c r="Q898" i="9"/>
  <c r="L898" i="9"/>
  <c r="K898" i="9"/>
  <c r="J898" i="9"/>
  <c r="I898" i="9"/>
  <c r="H898" i="9"/>
  <c r="G898" i="9"/>
  <c r="M898" i="9" s="1"/>
  <c r="P898" i="9" s="1"/>
  <c r="F898" i="9"/>
  <c r="D898" i="9"/>
  <c r="C898" i="9"/>
  <c r="B898" i="9"/>
  <c r="A898" i="9"/>
  <c r="Q897" i="9"/>
  <c r="L897" i="9"/>
  <c r="K897" i="9"/>
  <c r="J897" i="9"/>
  <c r="I897" i="9"/>
  <c r="H897" i="9"/>
  <c r="G897" i="9"/>
  <c r="F897" i="9"/>
  <c r="D897" i="9"/>
  <c r="C897" i="9"/>
  <c r="B897" i="9"/>
  <c r="A897" i="9"/>
  <c r="Q896" i="9"/>
  <c r="L896" i="9"/>
  <c r="K896" i="9"/>
  <c r="J896" i="9"/>
  <c r="I896" i="9"/>
  <c r="H896" i="9"/>
  <c r="G896" i="9"/>
  <c r="F896" i="9"/>
  <c r="D896" i="9"/>
  <c r="C896" i="9"/>
  <c r="B896" i="9"/>
  <c r="A896" i="9"/>
  <c r="Q895" i="9"/>
  <c r="L895" i="9"/>
  <c r="K895" i="9"/>
  <c r="J895" i="9"/>
  <c r="I895" i="9"/>
  <c r="H895" i="9"/>
  <c r="G895" i="9"/>
  <c r="F895" i="9"/>
  <c r="D895" i="9"/>
  <c r="C895" i="9"/>
  <c r="B895" i="9"/>
  <c r="A895" i="9"/>
  <c r="Q894" i="9"/>
  <c r="L894" i="9"/>
  <c r="K894" i="9"/>
  <c r="J894" i="9"/>
  <c r="I894" i="9"/>
  <c r="H894" i="9"/>
  <c r="G894" i="9"/>
  <c r="F894" i="9"/>
  <c r="D894" i="9"/>
  <c r="C894" i="9"/>
  <c r="B894" i="9"/>
  <c r="A894" i="9"/>
  <c r="Q893" i="9"/>
  <c r="L893" i="9"/>
  <c r="K893" i="9"/>
  <c r="J893" i="9"/>
  <c r="I893" i="9"/>
  <c r="H893" i="9"/>
  <c r="G893" i="9"/>
  <c r="F893" i="9"/>
  <c r="D893" i="9"/>
  <c r="C893" i="9"/>
  <c r="B893" i="9"/>
  <c r="A893" i="9"/>
  <c r="Q892" i="9"/>
  <c r="L892" i="9"/>
  <c r="K892" i="9"/>
  <c r="J892" i="9"/>
  <c r="I892" i="9"/>
  <c r="H892" i="9"/>
  <c r="G892" i="9"/>
  <c r="M892" i="9" s="1"/>
  <c r="O892" i="9" s="1"/>
  <c r="F892" i="9"/>
  <c r="D892" i="9"/>
  <c r="C892" i="9"/>
  <c r="B892" i="9"/>
  <c r="A892" i="9"/>
  <c r="Q891" i="9"/>
  <c r="L891" i="9"/>
  <c r="K891" i="9"/>
  <c r="J891" i="9"/>
  <c r="I891" i="9"/>
  <c r="H891" i="9"/>
  <c r="G891" i="9"/>
  <c r="F891" i="9"/>
  <c r="D891" i="9"/>
  <c r="C891" i="9"/>
  <c r="B891" i="9"/>
  <c r="A891" i="9"/>
  <c r="Q890" i="9"/>
  <c r="L890" i="9"/>
  <c r="K890" i="9"/>
  <c r="J890" i="9"/>
  <c r="I890" i="9"/>
  <c r="H890" i="9"/>
  <c r="G890" i="9"/>
  <c r="F890" i="9"/>
  <c r="D890" i="9"/>
  <c r="C890" i="9"/>
  <c r="B890" i="9"/>
  <c r="A890" i="9"/>
  <c r="Q889" i="9"/>
  <c r="L889" i="9"/>
  <c r="K889" i="9"/>
  <c r="J889" i="9"/>
  <c r="I889" i="9"/>
  <c r="H889" i="9"/>
  <c r="G889" i="9"/>
  <c r="F889" i="9"/>
  <c r="D889" i="9"/>
  <c r="C889" i="9"/>
  <c r="B889" i="9"/>
  <c r="A889" i="9"/>
  <c r="Q888" i="9"/>
  <c r="L888" i="9"/>
  <c r="K888" i="9"/>
  <c r="J888" i="9"/>
  <c r="I888" i="9"/>
  <c r="H888" i="9"/>
  <c r="G888" i="9"/>
  <c r="F888" i="9"/>
  <c r="D888" i="9"/>
  <c r="C888" i="9"/>
  <c r="B888" i="9"/>
  <c r="A888" i="9"/>
  <c r="Q887" i="9"/>
  <c r="O887" i="9"/>
  <c r="L887" i="9"/>
  <c r="K887" i="9"/>
  <c r="J887" i="9"/>
  <c r="I887" i="9"/>
  <c r="H887" i="9"/>
  <c r="G887" i="9"/>
  <c r="M887" i="9" s="1"/>
  <c r="F887" i="9"/>
  <c r="D887" i="9"/>
  <c r="C887" i="9"/>
  <c r="B887" i="9"/>
  <c r="A887" i="9"/>
  <c r="Q886" i="9"/>
  <c r="L886" i="9"/>
  <c r="K886" i="9"/>
  <c r="J886" i="9"/>
  <c r="I886" i="9"/>
  <c r="H886" i="9"/>
  <c r="G886" i="9"/>
  <c r="F886" i="9"/>
  <c r="D886" i="9"/>
  <c r="C886" i="9"/>
  <c r="B886" i="9"/>
  <c r="A886" i="9"/>
  <c r="Q885" i="9"/>
  <c r="L885" i="9"/>
  <c r="K885" i="9"/>
  <c r="J885" i="9"/>
  <c r="I885" i="9"/>
  <c r="H885" i="9"/>
  <c r="G885" i="9"/>
  <c r="F885" i="9"/>
  <c r="D885" i="9"/>
  <c r="C885" i="9"/>
  <c r="B885" i="9"/>
  <c r="A885" i="9"/>
  <c r="Q884" i="9"/>
  <c r="L884" i="9"/>
  <c r="K884" i="9"/>
  <c r="J884" i="9"/>
  <c r="I884" i="9"/>
  <c r="H884" i="9"/>
  <c r="G884" i="9"/>
  <c r="F884" i="9"/>
  <c r="D884" i="9"/>
  <c r="C884" i="9"/>
  <c r="B884" i="9"/>
  <c r="A884" i="9"/>
  <c r="Q883" i="9"/>
  <c r="L883" i="9"/>
  <c r="K883" i="9"/>
  <c r="J883" i="9"/>
  <c r="I883" i="9"/>
  <c r="H883" i="9"/>
  <c r="G883" i="9"/>
  <c r="F883" i="9"/>
  <c r="D883" i="9"/>
  <c r="C883" i="9"/>
  <c r="B883" i="9"/>
  <c r="A883" i="9"/>
  <c r="Q882" i="9"/>
  <c r="L882" i="9"/>
  <c r="K882" i="9"/>
  <c r="J882" i="9"/>
  <c r="I882" i="9"/>
  <c r="H882" i="9"/>
  <c r="G882" i="9"/>
  <c r="F882" i="9"/>
  <c r="D882" i="9"/>
  <c r="C882" i="9"/>
  <c r="B882" i="9"/>
  <c r="A882" i="9"/>
  <c r="Q881" i="9"/>
  <c r="L881" i="9"/>
  <c r="K881" i="9"/>
  <c r="J881" i="9"/>
  <c r="I881" i="9"/>
  <c r="H881" i="9"/>
  <c r="G881" i="9"/>
  <c r="F881" i="9"/>
  <c r="D881" i="9"/>
  <c r="C881" i="9"/>
  <c r="B881" i="9"/>
  <c r="A881" i="9"/>
  <c r="Q880" i="9"/>
  <c r="L880" i="9"/>
  <c r="K880" i="9"/>
  <c r="J880" i="9"/>
  <c r="I880" i="9"/>
  <c r="H880" i="9"/>
  <c r="G880" i="9"/>
  <c r="F880" i="9"/>
  <c r="D880" i="9"/>
  <c r="C880" i="9"/>
  <c r="B880" i="9"/>
  <c r="A880" i="9"/>
  <c r="Q879" i="9"/>
  <c r="L879" i="9"/>
  <c r="K879" i="9"/>
  <c r="J879" i="9"/>
  <c r="I879" i="9"/>
  <c r="H879" i="9"/>
  <c r="G879" i="9"/>
  <c r="F879" i="9"/>
  <c r="D879" i="9"/>
  <c r="C879" i="9"/>
  <c r="B879" i="9"/>
  <c r="A879" i="9"/>
  <c r="Q878" i="9"/>
  <c r="L878" i="9"/>
  <c r="K878" i="9"/>
  <c r="J878" i="9"/>
  <c r="I878" i="9"/>
  <c r="H878" i="9"/>
  <c r="G878" i="9"/>
  <c r="F878" i="9"/>
  <c r="D878" i="9"/>
  <c r="C878" i="9"/>
  <c r="B878" i="9"/>
  <c r="A878" i="9"/>
  <c r="Q877" i="9"/>
  <c r="L877" i="9"/>
  <c r="K877" i="9"/>
  <c r="J877" i="9"/>
  <c r="I877" i="9"/>
  <c r="H877" i="9"/>
  <c r="G877" i="9"/>
  <c r="F877" i="9"/>
  <c r="D877" i="9"/>
  <c r="C877" i="9"/>
  <c r="B877" i="9"/>
  <c r="A877" i="9"/>
  <c r="Q876" i="9"/>
  <c r="L876" i="9"/>
  <c r="K876" i="9"/>
  <c r="J876" i="9"/>
  <c r="I876" i="9"/>
  <c r="H876" i="9"/>
  <c r="G876" i="9"/>
  <c r="F876" i="9"/>
  <c r="D876" i="9"/>
  <c r="C876" i="9"/>
  <c r="B876" i="9"/>
  <c r="A876" i="9"/>
  <c r="Q875" i="9"/>
  <c r="L875" i="9"/>
  <c r="K875" i="9"/>
  <c r="J875" i="9"/>
  <c r="I875" i="9"/>
  <c r="H875" i="9"/>
  <c r="G875" i="9"/>
  <c r="F875" i="9"/>
  <c r="D875" i="9"/>
  <c r="C875" i="9"/>
  <c r="B875" i="9"/>
  <c r="A875" i="9"/>
  <c r="Q874" i="9"/>
  <c r="L874" i="9"/>
  <c r="K874" i="9"/>
  <c r="J874" i="9"/>
  <c r="I874" i="9"/>
  <c r="H874" i="9"/>
  <c r="G874" i="9"/>
  <c r="F874" i="9"/>
  <c r="D874" i="9"/>
  <c r="C874" i="9"/>
  <c r="B874" i="9"/>
  <c r="A874" i="9"/>
  <c r="Q873" i="9"/>
  <c r="L873" i="9"/>
  <c r="K873" i="9"/>
  <c r="J873" i="9"/>
  <c r="I873" i="9"/>
  <c r="H873" i="9"/>
  <c r="G873" i="9"/>
  <c r="F873" i="9"/>
  <c r="D873" i="9"/>
  <c r="C873" i="9"/>
  <c r="B873" i="9"/>
  <c r="A873" i="9"/>
  <c r="Q872" i="9"/>
  <c r="L872" i="9"/>
  <c r="K872" i="9"/>
  <c r="J872" i="9"/>
  <c r="I872" i="9"/>
  <c r="H872" i="9"/>
  <c r="G872" i="9"/>
  <c r="F872" i="9"/>
  <c r="D872" i="9"/>
  <c r="C872" i="9"/>
  <c r="B872" i="9"/>
  <c r="A872" i="9"/>
  <c r="Q871" i="9"/>
  <c r="L871" i="9"/>
  <c r="K871" i="9"/>
  <c r="J871" i="9"/>
  <c r="I871" i="9"/>
  <c r="H871" i="9"/>
  <c r="G871" i="9"/>
  <c r="F871" i="9"/>
  <c r="D871" i="9"/>
  <c r="C871" i="9"/>
  <c r="B871" i="9"/>
  <c r="A871" i="9"/>
  <c r="Q870" i="9"/>
  <c r="L870" i="9"/>
  <c r="K870" i="9"/>
  <c r="J870" i="9"/>
  <c r="I870" i="9"/>
  <c r="H870" i="9"/>
  <c r="G870" i="9"/>
  <c r="F870" i="9"/>
  <c r="D870" i="9"/>
  <c r="C870" i="9"/>
  <c r="B870" i="9"/>
  <c r="A870" i="9"/>
  <c r="Q869" i="9"/>
  <c r="O869" i="9"/>
  <c r="L869" i="9"/>
  <c r="K869" i="9"/>
  <c r="J869" i="9"/>
  <c r="I869" i="9"/>
  <c r="H869" i="9"/>
  <c r="G869" i="9"/>
  <c r="M869" i="9" s="1"/>
  <c r="F869" i="9"/>
  <c r="D869" i="9"/>
  <c r="C869" i="9"/>
  <c r="B869" i="9"/>
  <c r="A869" i="9"/>
  <c r="Q868" i="9"/>
  <c r="L868" i="9"/>
  <c r="K868" i="9"/>
  <c r="J868" i="9"/>
  <c r="I868" i="9"/>
  <c r="H868" i="9"/>
  <c r="G868" i="9"/>
  <c r="F868" i="9"/>
  <c r="D868" i="9"/>
  <c r="C868" i="9"/>
  <c r="B868" i="9"/>
  <c r="A868" i="9"/>
  <c r="Q867" i="9"/>
  <c r="L867" i="9"/>
  <c r="K867" i="9"/>
  <c r="J867" i="9"/>
  <c r="I867" i="9"/>
  <c r="H867" i="9"/>
  <c r="G867" i="9"/>
  <c r="M867" i="9" s="1"/>
  <c r="F867" i="9"/>
  <c r="D867" i="9"/>
  <c r="C867" i="9"/>
  <c r="B867" i="9"/>
  <c r="A867" i="9"/>
  <c r="Q866" i="9"/>
  <c r="L866" i="9"/>
  <c r="K866" i="9"/>
  <c r="J866" i="9"/>
  <c r="I866" i="9"/>
  <c r="H866" i="9"/>
  <c r="G866" i="9"/>
  <c r="F866" i="9"/>
  <c r="D866" i="9"/>
  <c r="C866" i="9"/>
  <c r="B866" i="9"/>
  <c r="A866" i="9"/>
  <c r="Q865" i="9"/>
  <c r="L865" i="9"/>
  <c r="K865" i="9"/>
  <c r="J865" i="9"/>
  <c r="I865" i="9"/>
  <c r="H865" i="9"/>
  <c r="G865" i="9"/>
  <c r="F865" i="9"/>
  <c r="D865" i="9"/>
  <c r="C865" i="9"/>
  <c r="B865" i="9"/>
  <c r="A865" i="9"/>
  <c r="Q864" i="9"/>
  <c r="L864" i="9"/>
  <c r="K864" i="9"/>
  <c r="J864" i="9"/>
  <c r="I864" i="9"/>
  <c r="H864" i="9"/>
  <c r="G864" i="9"/>
  <c r="F864" i="9"/>
  <c r="D864" i="9"/>
  <c r="C864" i="9"/>
  <c r="B864" i="9"/>
  <c r="A864" i="9"/>
  <c r="Q863" i="9"/>
  <c r="L863" i="9"/>
  <c r="K863" i="9"/>
  <c r="J863" i="9"/>
  <c r="I863" i="9"/>
  <c r="H863" i="9"/>
  <c r="G863" i="9"/>
  <c r="F863" i="9"/>
  <c r="D863" i="9"/>
  <c r="C863" i="9"/>
  <c r="B863" i="9"/>
  <c r="A863" i="9"/>
  <c r="Q862" i="9"/>
  <c r="L862" i="9"/>
  <c r="K862" i="9"/>
  <c r="J862" i="9"/>
  <c r="I862" i="9"/>
  <c r="H862" i="9"/>
  <c r="G862" i="9"/>
  <c r="F862" i="9"/>
  <c r="D862" i="9"/>
  <c r="C862" i="9"/>
  <c r="B862" i="9"/>
  <c r="A862" i="9"/>
  <c r="Q861" i="9"/>
  <c r="L861" i="9"/>
  <c r="K861" i="9"/>
  <c r="J861" i="9"/>
  <c r="I861" i="9"/>
  <c r="H861" i="9"/>
  <c r="G861" i="9"/>
  <c r="M861" i="9" s="1"/>
  <c r="F861" i="9"/>
  <c r="D861" i="9"/>
  <c r="C861" i="9"/>
  <c r="B861" i="9"/>
  <c r="A861" i="9"/>
  <c r="Q860" i="9"/>
  <c r="L860" i="9"/>
  <c r="K860" i="9"/>
  <c r="J860" i="9"/>
  <c r="I860" i="9"/>
  <c r="H860" i="9"/>
  <c r="G860" i="9"/>
  <c r="F860" i="9"/>
  <c r="D860" i="9"/>
  <c r="C860" i="9"/>
  <c r="B860" i="9"/>
  <c r="A860" i="9"/>
  <c r="Q859" i="9"/>
  <c r="L859" i="9"/>
  <c r="K859" i="9"/>
  <c r="J859" i="9"/>
  <c r="I859" i="9"/>
  <c r="H859" i="9"/>
  <c r="G859" i="9"/>
  <c r="F859" i="9"/>
  <c r="D859" i="9"/>
  <c r="C859" i="9"/>
  <c r="B859" i="9"/>
  <c r="A859" i="9"/>
  <c r="Q858" i="9"/>
  <c r="L858" i="9"/>
  <c r="K858" i="9"/>
  <c r="J858" i="9"/>
  <c r="I858" i="9"/>
  <c r="H858" i="9"/>
  <c r="G858" i="9"/>
  <c r="F858" i="9"/>
  <c r="D858" i="9"/>
  <c r="C858" i="9"/>
  <c r="B858" i="9"/>
  <c r="A858" i="9"/>
  <c r="Q857" i="9"/>
  <c r="L857" i="9"/>
  <c r="K857" i="9"/>
  <c r="J857" i="9"/>
  <c r="I857" i="9"/>
  <c r="H857" i="9"/>
  <c r="G857" i="9"/>
  <c r="F857" i="9"/>
  <c r="D857" i="9"/>
  <c r="C857" i="9"/>
  <c r="B857" i="9"/>
  <c r="A857" i="9"/>
  <c r="Q856" i="9"/>
  <c r="L856" i="9"/>
  <c r="K856" i="9"/>
  <c r="J856" i="9"/>
  <c r="I856" i="9"/>
  <c r="H856" i="9"/>
  <c r="G856" i="9"/>
  <c r="F856" i="9"/>
  <c r="D856" i="9"/>
  <c r="C856" i="9"/>
  <c r="B856" i="9"/>
  <c r="A856" i="9"/>
  <c r="Q855" i="9"/>
  <c r="L855" i="9"/>
  <c r="K855" i="9"/>
  <c r="J855" i="9"/>
  <c r="I855" i="9"/>
  <c r="H855" i="9"/>
  <c r="G855" i="9"/>
  <c r="F855" i="9"/>
  <c r="D855" i="9"/>
  <c r="C855" i="9"/>
  <c r="B855" i="9"/>
  <c r="A855" i="9"/>
  <c r="Q854" i="9"/>
  <c r="L854" i="9"/>
  <c r="K854" i="9"/>
  <c r="J854" i="9"/>
  <c r="I854" i="9"/>
  <c r="H854" i="9"/>
  <c r="G854" i="9"/>
  <c r="F854" i="9"/>
  <c r="D854" i="9"/>
  <c r="C854" i="9"/>
  <c r="B854" i="9"/>
  <c r="A854" i="9"/>
  <c r="Q853" i="9"/>
  <c r="L853" i="9"/>
  <c r="K853" i="9"/>
  <c r="J853" i="9"/>
  <c r="I853" i="9"/>
  <c r="H853" i="9"/>
  <c r="G853" i="9"/>
  <c r="F853" i="9"/>
  <c r="D853" i="9"/>
  <c r="C853" i="9"/>
  <c r="B853" i="9"/>
  <c r="A853" i="9"/>
  <c r="Q852" i="9"/>
  <c r="L852" i="9"/>
  <c r="K852" i="9"/>
  <c r="J852" i="9"/>
  <c r="I852" i="9"/>
  <c r="H852" i="9"/>
  <c r="G852" i="9"/>
  <c r="F852" i="9"/>
  <c r="D852" i="9"/>
  <c r="C852" i="9"/>
  <c r="B852" i="9"/>
  <c r="A852" i="9"/>
  <c r="Q851" i="9"/>
  <c r="L851" i="9"/>
  <c r="K851" i="9"/>
  <c r="J851" i="9"/>
  <c r="I851" i="9"/>
  <c r="H851" i="9"/>
  <c r="G851" i="9"/>
  <c r="M851" i="9" s="1"/>
  <c r="F851" i="9"/>
  <c r="D851" i="9"/>
  <c r="C851" i="9"/>
  <c r="B851" i="9"/>
  <c r="O851" i="9" s="1"/>
  <c r="A851" i="9"/>
  <c r="Q850" i="9"/>
  <c r="L850" i="9"/>
  <c r="K850" i="9"/>
  <c r="J850" i="9"/>
  <c r="I850" i="9"/>
  <c r="H850" i="9"/>
  <c r="G850" i="9"/>
  <c r="F850" i="9"/>
  <c r="D850" i="9"/>
  <c r="C850" i="9"/>
  <c r="B850" i="9"/>
  <c r="A850" i="9"/>
  <c r="Q849" i="9"/>
  <c r="L849" i="9"/>
  <c r="K849" i="9"/>
  <c r="J849" i="9"/>
  <c r="I849" i="9"/>
  <c r="H849" i="9"/>
  <c r="G849" i="9"/>
  <c r="F849" i="9"/>
  <c r="D849" i="9"/>
  <c r="C849" i="9"/>
  <c r="B849" i="9"/>
  <c r="A849" i="9"/>
  <c r="Q848" i="9"/>
  <c r="L848" i="9"/>
  <c r="K848" i="9"/>
  <c r="J848" i="9"/>
  <c r="I848" i="9"/>
  <c r="H848" i="9"/>
  <c r="G848" i="9"/>
  <c r="F848" i="9"/>
  <c r="D848" i="9"/>
  <c r="C848" i="9"/>
  <c r="B848" i="9"/>
  <c r="A848" i="9"/>
  <c r="Q847" i="9"/>
  <c r="L847" i="9"/>
  <c r="K847" i="9"/>
  <c r="J847" i="9"/>
  <c r="I847" i="9"/>
  <c r="H847" i="9"/>
  <c r="G847" i="9"/>
  <c r="F847" i="9"/>
  <c r="D847" i="9"/>
  <c r="C847" i="9"/>
  <c r="B847" i="9"/>
  <c r="A847" i="9"/>
  <c r="Q846" i="9"/>
  <c r="L846" i="9"/>
  <c r="K846" i="9"/>
  <c r="J846" i="9"/>
  <c r="I846" i="9"/>
  <c r="H846" i="9"/>
  <c r="G846" i="9"/>
  <c r="F846" i="9"/>
  <c r="D846" i="9"/>
  <c r="C846" i="9"/>
  <c r="B846" i="9"/>
  <c r="A846" i="9"/>
  <c r="Q845" i="9"/>
  <c r="L845" i="9"/>
  <c r="K845" i="9"/>
  <c r="J845" i="9"/>
  <c r="I845" i="9"/>
  <c r="H845" i="9"/>
  <c r="G845" i="9"/>
  <c r="F845" i="9"/>
  <c r="D845" i="9"/>
  <c r="C845" i="9"/>
  <c r="B845" i="9"/>
  <c r="A845" i="9"/>
  <c r="Q844" i="9"/>
  <c r="L844" i="9"/>
  <c r="K844" i="9"/>
  <c r="J844" i="9"/>
  <c r="I844" i="9"/>
  <c r="H844" i="9"/>
  <c r="G844" i="9"/>
  <c r="F844" i="9"/>
  <c r="D844" i="9"/>
  <c r="C844" i="9"/>
  <c r="B844" i="9"/>
  <c r="A844" i="9"/>
  <c r="Q843" i="9"/>
  <c r="L843" i="9"/>
  <c r="K843" i="9"/>
  <c r="J843" i="9"/>
  <c r="I843" i="9"/>
  <c r="H843" i="9"/>
  <c r="G843" i="9"/>
  <c r="M843" i="9" s="1"/>
  <c r="P843" i="9" s="1"/>
  <c r="F843" i="9"/>
  <c r="D843" i="9"/>
  <c r="C843" i="9"/>
  <c r="B843" i="9"/>
  <c r="A843" i="9"/>
  <c r="Q842" i="9"/>
  <c r="L842" i="9"/>
  <c r="K842" i="9"/>
  <c r="J842" i="9"/>
  <c r="I842" i="9"/>
  <c r="H842" i="9"/>
  <c r="G842" i="9"/>
  <c r="F842" i="9"/>
  <c r="D842" i="9"/>
  <c r="C842" i="9"/>
  <c r="B842" i="9"/>
  <c r="A842" i="9"/>
  <c r="Q841" i="9"/>
  <c r="L841" i="9"/>
  <c r="K841" i="9"/>
  <c r="J841" i="9"/>
  <c r="I841" i="9"/>
  <c r="H841" i="9"/>
  <c r="G841" i="9"/>
  <c r="F841" i="9"/>
  <c r="D841" i="9"/>
  <c r="C841" i="9"/>
  <c r="B841" i="9"/>
  <c r="A841" i="9"/>
  <c r="Q840" i="9"/>
  <c r="M840" i="9"/>
  <c r="L840" i="9"/>
  <c r="K840" i="9"/>
  <c r="J840" i="9"/>
  <c r="I840" i="9"/>
  <c r="H840" i="9"/>
  <c r="G840" i="9"/>
  <c r="F840" i="9"/>
  <c r="D840" i="9"/>
  <c r="C840" i="9"/>
  <c r="B840" i="9"/>
  <c r="A840" i="9"/>
  <c r="Q839" i="9"/>
  <c r="L839" i="9"/>
  <c r="K839" i="9"/>
  <c r="J839" i="9"/>
  <c r="I839" i="9"/>
  <c r="H839" i="9"/>
  <c r="G839" i="9"/>
  <c r="F839" i="9"/>
  <c r="D839" i="9"/>
  <c r="C839" i="9"/>
  <c r="B839" i="9"/>
  <c r="A839" i="9"/>
  <c r="Q838" i="9"/>
  <c r="M838" i="9"/>
  <c r="L838" i="9"/>
  <c r="K838" i="9"/>
  <c r="J838" i="9"/>
  <c r="I838" i="9"/>
  <c r="H838" i="9"/>
  <c r="G838" i="9"/>
  <c r="F838" i="9"/>
  <c r="D838" i="9"/>
  <c r="C838" i="9"/>
  <c r="B838" i="9"/>
  <c r="A838" i="9"/>
  <c r="Q837" i="9"/>
  <c r="L837" i="9"/>
  <c r="K837" i="9"/>
  <c r="J837" i="9"/>
  <c r="I837" i="9"/>
  <c r="H837" i="9"/>
  <c r="G837" i="9"/>
  <c r="F837" i="9"/>
  <c r="D837" i="9"/>
  <c r="C837" i="9"/>
  <c r="B837" i="9"/>
  <c r="A837" i="9"/>
  <c r="Q836" i="9"/>
  <c r="L836" i="9"/>
  <c r="K836" i="9"/>
  <c r="J836" i="9"/>
  <c r="I836" i="9"/>
  <c r="H836" i="9"/>
  <c r="G836" i="9"/>
  <c r="F836" i="9"/>
  <c r="D836" i="9"/>
  <c r="C836" i="9"/>
  <c r="B836" i="9"/>
  <c r="A836" i="9"/>
  <c r="Q835" i="9"/>
  <c r="L835" i="9"/>
  <c r="K835" i="9"/>
  <c r="J835" i="9"/>
  <c r="I835" i="9"/>
  <c r="H835" i="9"/>
  <c r="G835" i="9"/>
  <c r="F835" i="9"/>
  <c r="D835" i="9"/>
  <c r="C835" i="9"/>
  <c r="B835" i="9"/>
  <c r="A835" i="9"/>
  <c r="Q834" i="9"/>
  <c r="L834" i="9"/>
  <c r="K834" i="9"/>
  <c r="J834" i="9"/>
  <c r="I834" i="9"/>
  <c r="H834" i="9"/>
  <c r="G834" i="9"/>
  <c r="F834" i="9"/>
  <c r="D834" i="9"/>
  <c r="C834" i="9"/>
  <c r="B834" i="9"/>
  <c r="A834" i="9"/>
  <c r="Q833" i="9"/>
  <c r="L833" i="9"/>
  <c r="K833" i="9"/>
  <c r="J833" i="9"/>
  <c r="I833" i="9"/>
  <c r="H833" i="9"/>
  <c r="G833" i="9"/>
  <c r="F833" i="9"/>
  <c r="D833" i="9"/>
  <c r="C833" i="9"/>
  <c r="B833" i="9"/>
  <c r="A833" i="9"/>
  <c r="Q832" i="9"/>
  <c r="L832" i="9"/>
  <c r="K832" i="9"/>
  <c r="J832" i="9"/>
  <c r="I832" i="9"/>
  <c r="H832" i="9"/>
  <c r="G832" i="9"/>
  <c r="F832" i="9"/>
  <c r="D832" i="9"/>
  <c r="C832" i="9"/>
  <c r="B832" i="9"/>
  <c r="A832" i="9"/>
  <c r="Q831" i="9"/>
  <c r="L831" i="9"/>
  <c r="K831" i="9"/>
  <c r="J831" i="9"/>
  <c r="I831" i="9"/>
  <c r="H831" i="9"/>
  <c r="G831" i="9"/>
  <c r="F831" i="9"/>
  <c r="D831" i="9"/>
  <c r="C831" i="9"/>
  <c r="B831" i="9"/>
  <c r="A831" i="9"/>
  <c r="Q830" i="9"/>
  <c r="L830" i="9"/>
  <c r="K830" i="9"/>
  <c r="J830" i="9"/>
  <c r="I830" i="9"/>
  <c r="H830" i="9"/>
  <c r="G830" i="9"/>
  <c r="F830" i="9"/>
  <c r="D830" i="9"/>
  <c r="C830" i="9"/>
  <c r="B830" i="9"/>
  <c r="M830" i="9" s="1"/>
  <c r="A830" i="9"/>
  <c r="Q829" i="9"/>
  <c r="L829" i="9"/>
  <c r="K829" i="9"/>
  <c r="J829" i="9"/>
  <c r="I829" i="9"/>
  <c r="H829" i="9"/>
  <c r="G829" i="9"/>
  <c r="F829" i="9"/>
  <c r="D829" i="9"/>
  <c r="C829" i="9"/>
  <c r="B829" i="9"/>
  <c r="A829" i="9"/>
  <c r="Q828" i="9"/>
  <c r="L828" i="9"/>
  <c r="K828" i="9"/>
  <c r="J828" i="9"/>
  <c r="I828" i="9"/>
  <c r="H828" i="9"/>
  <c r="G828" i="9"/>
  <c r="M828" i="9" s="1"/>
  <c r="F828" i="9"/>
  <c r="D828" i="9"/>
  <c r="C828" i="9"/>
  <c r="B828" i="9"/>
  <c r="A828" i="9"/>
  <c r="Q827" i="9"/>
  <c r="L827" i="9"/>
  <c r="K827" i="9"/>
  <c r="J827" i="9"/>
  <c r="I827" i="9"/>
  <c r="H827" i="9"/>
  <c r="G827" i="9"/>
  <c r="F827" i="9"/>
  <c r="D827" i="9"/>
  <c r="C827" i="9"/>
  <c r="B827" i="9"/>
  <c r="A827" i="9"/>
  <c r="Q826" i="9"/>
  <c r="L826" i="9"/>
  <c r="K826" i="9"/>
  <c r="J826" i="9"/>
  <c r="I826" i="9"/>
  <c r="H826" i="9"/>
  <c r="G826" i="9"/>
  <c r="F826" i="9"/>
  <c r="D826" i="9"/>
  <c r="C826" i="9"/>
  <c r="B826" i="9"/>
  <c r="M826" i="9" s="1"/>
  <c r="A826" i="9"/>
  <c r="Q825" i="9"/>
  <c r="L825" i="9"/>
  <c r="K825" i="9"/>
  <c r="J825" i="9"/>
  <c r="I825" i="9"/>
  <c r="H825" i="9"/>
  <c r="G825" i="9"/>
  <c r="F825" i="9"/>
  <c r="D825" i="9"/>
  <c r="C825" i="9"/>
  <c r="B825" i="9"/>
  <c r="A825" i="9"/>
  <c r="Q824" i="9"/>
  <c r="L824" i="9"/>
  <c r="K824" i="9"/>
  <c r="J824" i="9"/>
  <c r="I824" i="9"/>
  <c r="M824" i="9" s="1"/>
  <c r="H824" i="9"/>
  <c r="G824" i="9"/>
  <c r="F824" i="9"/>
  <c r="D824" i="9"/>
  <c r="C824" i="9"/>
  <c r="B824" i="9"/>
  <c r="A824" i="9"/>
  <c r="Q823" i="9"/>
  <c r="L823" i="9"/>
  <c r="K823" i="9"/>
  <c r="J823" i="9"/>
  <c r="I823" i="9"/>
  <c r="H823" i="9"/>
  <c r="G823" i="9"/>
  <c r="F823" i="9"/>
  <c r="D823" i="9"/>
  <c r="C823" i="9"/>
  <c r="B823" i="9"/>
  <c r="A823" i="9"/>
  <c r="Q822" i="9"/>
  <c r="L822" i="9"/>
  <c r="K822" i="9"/>
  <c r="J822" i="9"/>
  <c r="I822" i="9"/>
  <c r="M822" i="9" s="1"/>
  <c r="H822" i="9"/>
  <c r="G822" i="9"/>
  <c r="F822" i="9"/>
  <c r="D822" i="9"/>
  <c r="C822" i="9"/>
  <c r="B822" i="9"/>
  <c r="A822" i="9"/>
  <c r="Q821" i="9"/>
  <c r="L821" i="9"/>
  <c r="K821" i="9"/>
  <c r="J821" i="9"/>
  <c r="I821" i="9"/>
  <c r="H821" i="9"/>
  <c r="G821" i="9"/>
  <c r="F821" i="9"/>
  <c r="D821" i="9"/>
  <c r="C821" i="9"/>
  <c r="B821" i="9"/>
  <c r="A821" i="9"/>
  <c r="Q820" i="9"/>
  <c r="L820" i="9"/>
  <c r="K820" i="9"/>
  <c r="J820" i="9"/>
  <c r="I820" i="9"/>
  <c r="H820" i="9"/>
  <c r="G820" i="9"/>
  <c r="F820" i="9"/>
  <c r="D820" i="9"/>
  <c r="C820" i="9"/>
  <c r="B820" i="9"/>
  <c r="M820" i="9" s="1"/>
  <c r="A820" i="9"/>
  <c r="Q819" i="9"/>
  <c r="L819" i="9"/>
  <c r="K819" i="9"/>
  <c r="J819" i="9"/>
  <c r="I819" i="9"/>
  <c r="H819" i="9"/>
  <c r="G819" i="9"/>
  <c r="F819" i="9"/>
  <c r="D819" i="9"/>
  <c r="C819" i="9"/>
  <c r="B819" i="9"/>
  <c r="A819" i="9"/>
  <c r="Q818" i="9"/>
  <c r="L818" i="9"/>
  <c r="K818" i="9"/>
  <c r="J818" i="9"/>
  <c r="I818" i="9"/>
  <c r="H818" i="9"/>
  <c r="G818" i="9"/>
  <c r="F818" i="9"/>
  <c r="D818" i="9"/>
  <c r="C818" i="9"/>
  <c r="B818" i="9"/>
  <c r="M818" i="9" s="1"/>
  <c r="A818" i="9"/>
  <c r="Q817" i="9"/>
  <c r="L817" i="9"/>
  <c r="K817" i="9"/>
  <c r="J817" i="9"/>
  <c r="I817" i="9"/>
  <c r="H817" i="9"/>
  <c r="G817" i="9"/>
  <c r="F817" i="9"/>
  <c r="D817" i="9"/>
  <c r="C817" i="9"/>
  <c r="B817" i="9"/>
  <c r="A817" i="9"/>
  <c r="Q816" i="9"/>
  <c r="M816" i="9"/>
  <c r="P816" i="9" s="1"/>
  <c r="L816" i="9"/>
  <c r="K816" i="9"/>
  <c r="J816" i="9"/>
  <c r="I816" i="9"/>
  <c r="H816" i="9"/>
  <c r="G816" i="9"/>
  <c r="F816" i="9"/>
  <c r="D816" i="9"/>
  <c r="C816" i="9"/>
  <c r="B816" i="9"/>
  <c r="A816" i="9"/>
  <c r="Q815" i="9"/>
  <c r="L815" i="9"/>
  <c r="K815" i="9"/>
  <c r="J815" i="9"/>
  <c r="I815" i="9"/>
  <c r="H815" i="9"/>
  <c r="G815" i="9"/>
  <c r="F815" i="9"/>
  <c r="D815" i="9"/>
  <c r="C815" i="9"/>
  <c r="B815" i="9"/>
  <c r="A815" i="9"/>
  <c r="Q814" i="9"/>
  <c r="L814" i="9"/>
  <c r="K814" i="9"/>
  <c r="J814" i="9"/>
  <c r="I814" i="9"/>
  <c r="H814" i="9"/>
  <c r="G814" i="9"/>
  <c r="F814" i="9"/>
  <c r="D814" i="9"/>
  <c r="C814" i="9"/>
  <c r="B814" i="9"/>
  <c r="A814" i="9"/>
  <c r="Q813" i="9"/>
  <c r="L813" i="9"/>
  <c r="K813" i="9"/>
  <c r="J813" i="9"/>
  <c r="I813" i="9"/>
  <c r="H813" i="9"/>
  <c r="G813" i="9"/>
  <c r="F813" i="9"/>
  <c r="D813" i="9"/>
  <c r="C813" i="9"/>
  <c r="B813" i="9"/>
  <c r="A813" i="9"/>
  <c r="Q812" i="9"/>
  <c r="L812" i="9"/>
  <c r="K812" i="9"/>
  <c r="J812" i="9"/>
  <c r="I812" i="9"/>
  <c r="H812" i="9"/>
  <c r="G812" i="9"/>
  <c r="F812" i="9"/>
  <c r="D812" i="9"/>
  <c r="C812" i="9"/>
  <c r="B812" i="9"/>
  <c r="A812" i="9"/>
  <c r="Q811" i="9"/>
  <c r="L811" i="9"/>
  <c r="K811" i="9"/>
  <c r="J811" i="9"/>
  <c r="I811" i="9"/>
  <c r="H811" i="9"/>
  <c r="G811" i="9"/>
  <c r="F811" i="9"/>
  <c r="D811" i="9"/>
  <c r="C811" i="9"/>
  <c r="B811" i="9"/>
  <c r="A811" i="9"/>
  <c r="Q810" i="9"/>
  <c r="L810" i="9"/>
  <c r="K810" i="9"/>
  <c r="J810" i="9"/>
  <c r="I810" i="9"/>
  <c r="H810" i="9"/>
  <c r="G810" i="9"/>
  <c r="F810" i="9"/>
  <c r="D810" i="9"/>
  <c r="C810" i="9"/>
  <c r="B810" i="9"/>
  <c r="A810" i="9"/>
  <c r="Q809" i="9"/>
  <c r="L809" i="9"/>
  <c r="K809" i="9"/>
  <c r="J809" i="9"/>
  <c r="I809" i="9"/>
  <c r="H809" i="9"/>
  <c r="G809" i="9"/>
  <c r="F809" i="9"/>
  <c r="D809" i="9"/>
  <c r="C809" i="9"/>
  <c r="B809" i="9"/>
  <c r="A809" i="9"/>
  <c r="Q808" i="9"/>
  <c r="L808" i="9"/>
  <c r="K808" i="9"/>
  <c r="J808" i="9"/>
  <c r="I808" i="9"/>
  <c r="H808" i="9"/>
  <c r="G808" i="9"/>
  <c r="F808" i="9"/>
  <c r="D808" i="9"/>
  <c r="C808" i="9"/>
  <c r="B808" i="9"/>
  <c r="M808" i="9" s="1"/>
  <c r="P808" i="9" s="1"/>
  <c r="A808" i="9"/>
  <c r="Q807" i="9"/>
  <c r="L807" i="9"/>
  <c r="K807" i="9"/>
  <c r="J807" i="9"/>
  <c r="I807" i="9"/>
  <c r="H807" i="9"/>
  <c r="G807" i="9"/>
  <c r="F807" i="9"/>
  <c r="D807" i="9"/>
  <c r="C807" i="9"/>
  <c r="B807" i="9"/>
  <c r="A807" i="9"/>
  <c r="Q806" i="9"/>
  <c r="L806" i="9"/>
  <c r="K806" i="9"/>
  <c r="J806" i="9"/>
  <c r="I806" i="9"/>
  <c r="H806" i="9"/>
  <c r="G806" i="9"/>
  <c r="F806" i="9"/>
  <c r="D806" i="9"/>
  <c r="C806" i="9"/>
  <c r="B806" i="9"/>
  <c r="M806" i="9" s="1"/>
  <c r="A806" i="9"/>
  <c r="Q805" i="9"/>
  <c r="L805" i="9"/>
  <c r="K805" i="9"/>
  <c r="J805" i="9"/>
  <c r="I805" i="9"/>
  <c r="H805" i="9"/>
  <c r="G805" i="9"/>
  <c r="F805" i="9"/>
  <c r="D805" i="9"/>
  <c r="C805" i="9"/>
  <c r="B805" i="9"/>
  <c r="A805" i="9"/>
  <c r="Q804" i="9"/>
  <c r="L804" i="9"/>
  <c r="K804" i="9"/>
  <c r="J804" i="9"/>
  <c r="I804" i="9"/>
  <c r="H804" i="9"/>
  <c r="G804" i="9"/>
  <c r="F804" i="9"/>
  <c r="D804" i="9"/>
  <c r="C804" i="9"/>
  <c r="B804" i="9"/>
  <c r="A804" i="9"/>
  <c r="Q803" i="9"/>
  <c r="L803" i="9"/>
  <c r="K803" i="9"/>
  <c r="J803" i="9"/>
  <c r="I803" i="9"/>
  <c r="H803" i="9"/>
  <c r="G803" i="9"/>
  <c r="F803" i="9"/>
  <c r="D803" i="9"/>
  <c r="C803" i="9"/>
  <c r="B803" i="9"/>
  <c r="A803" i="9"/>
  <c r="Q802" i="9"/>
  <c r="L802" i="9"/>
  <c r="K802" i="9"/>
  <c r="J802" i="9"/>
  <c r="I802" i="9"/>
  <c r="H802" i="9"/>
  <c r="G802" i="9"/>
  <c r="F802" i="9"/>
  <c r="D802" i="9"/>
  <c r="C802" i="9"/>
  <c r="B802" i="9"/>
  <c r="A802" i="9"/>
  <c r="Q801" i="9"/>
  <c r="L801" i="9"/>
  <c r="K801" i="9"/>
  <c r="J801" i="9"/>
  <c r="I801" i="9"/>
  <c r="H801" i="9"/>
  <c r="G801" i="9"/>
  <c r="F801" i="9"/>
  <c r="D801" i="9"/>
  <c r="C801" i="9"/>
  <c r="B801" i="9"/>
  <c r="A801" i="9"/>
  <c r="Q800" i="9"/>
  <c r="L800" i="9"/>
  <c r="K800" i="9"/>
  <c r="J800" i="9"/>
  <c r="I800" i="9"/>
  <c r="H800" i="9"/>
  <c r="G800" i="9"/>
  <c r="F800" i="9"/>
  <c r="D800" i="9"/>
  <c r="C800" i="9"/>
  <c r="B800" i="9"/>
  <c r="A800" i="9"/>
  <c r="Q799" i="9"/>
  <c r="L799" i="9"/>
  <c r="K799" i="9"/>
  <c r="J799" i="9"/>
  <c r="I799" i="9"/>
  <c r="H799" i="9"/>
  <c r="G799" i="9"/>
  <c r="F799" i="9"/>
  <c r="D799" i="9"/>
  <c r="C799" i="9"/>
  <c r="B799" i="9"/>
  <c r="A799" i="9"/>
  <c r="Q798" i="9"/>
  <c r="L798" i="9"/>
  <c r="K798" i="9"/>
  <c r="J798" i="9"/>
  <c r="I798" i="9"/>
  <c r="H798" i="9"/>
  <c r="G798" i="9"/>
  <c r="F798" i="9"/>
  <c r="D798" i="9"/>
  <c r="C798" i="9"/>
  <c r="B798" i="9"/>
  <c r="M798" i="9" s="1"/>
  <c r="A798" i="9"/>
  <c r="Q797" i="9"/>
  <c r="L797" i="9"/>
  <c r="K797" i="9"/>
  <c r="J797" i="9"/>
  <c r="I797" i="9"/>
  <c r="H797" i="9"/>
  <c r="G797" i="9"/>
  <c r="F797" i="9"/>
  <c r="D797" i="9"/>
  <c r="C797" i="9"/>
  <c r="B797" i="9"/>
  <c r="A797" i="9"/>
  <c r="Q796" i="9"/>
  <c r="L796" i="9"/>
  <c r="K796" i="9"/>
  <c r="J796" i="9"/>
  <c r="I796" i="9"/>
  <c r="H796" i="9"/>
  <c r="G796" i="9"/>
  <c r="F796" i="9"/>
  <c r="D796" i="9"/>
  <c r="C796" i="9"/>
  <c r="B796" i="9"/>
  <c r="A796" i="9"/>
  <c r="Q795" i="9"/>
  <c r="L795" i="9"/>
  <c r="K795" i="9"/>
  <c r="J795" i="9"/>
  <c r="I795" i="9"/>
  <c r="H795" i="9"/>
  <c r="G795" i="9"/>
  <c r="F795" i="9"/>
  <c r="D795" i="9"/>
  <c r="C795" i="9"/>
  <c r="B795" i="9"/>
  <c r="A795" i="9"/>
  <c r="Q794" i="9"/>
  <c r="L794" i="9"/>
  <c r="K794" i="9"/>
  <c r="J794" i="9"/>
  <c r="I794" i="9"/>
  <c r="H794" i="9"/>
  <c r="G794" i="9"/>
  <c r="F794" i="9"/>
  <c r="D794" i="9"/>
  <c r="C794" i="9"/>
  <c r="B794" i="9"/>
  <c r="M794" i="9" s="1"/>
  <c r="A794" i="9"/>
  <c r="Q793" i="9"/>
  <c r="L793" i="9"/>
  <c r="K793" i="9"/>
  <c r="J793" i="9"/>
  <c r="I793" i="9"/>
  <c r="H793" i="9"/>
  <c r="G793" i="9"/>
  <c r="F793" i="9"/>
  <c r="D793" i="9"/>
  <c r="C793" i="9"/>
  <c r="B793" i="9"/>
  <c r="A793" i="9"/>
  <c r="Q792" i="9"/>
  <c r="L792" i="9"/>
  <c r="K792" i="9"/>
  <c r="J792" i="9"/>
  <c r="I792" i="9"/>
  <c r="H792" i="9"/>
  <c r="G792" i="9"/>
  <c r="F792" i="9"/>
  <c r="D792" i="9"/>
  <c r="C792" i="9"/>
  <c r="B792" i="9"/>
  <c r="A792" i="9"/>
  <c r="Q791" i="9"/>
  <c r="L791" i="9"/>
  <c r="K791" i="9"/>
  <c r="J791" i="9"/>
  <c r="I791" i="9"/>
  <c r="H791" i="9"/>
  <c r="G791" i="9"/>
  <c r="F791" i="9"/>
  <c r="D791" i="9"/>
  <c r="C791" i="9"/>
  <c r="B791" i="9"/>
  <c r="A791" i="9"/>
  <c r="Q790" i="9"/>
  <c r="L790" i="9"/>
  <c r="K790" i="9"/>
  <c r="J790" i="9"/>
  <c r="I790" i="9"/>
  <c r="H790" i="9"/>
  <c r="G790" i="9"/>
  <c r="F790" i="9"/>
  <c r="D790" i="9"/>
  <c r="C790" i="9"/>
  <c r="B790" i="9"/>
  <c r="A790" i="9"/>
  <c r="Q789" i="9"/>
  <c r="L789" i="9"/>
  <c r="K789" i="9"/>
  <c r="J789" i="9"/>
  <c r="I789" i="9"/>
  <c r="H789" i="9"/>
  <c r="G789" i="9"/>
  <c r="F789" i="9"/>
  <c r="D789" i="9"/>
  <c r="C789" i="9"/>
  <c r="B789" i="9"/>
  <c r="A789" i="9"/>
  <c r="Q788" i="9"/>
  <c r="M788" i="9"/>
  <c r="L788" i="9"/>
  <c r="K788" i="9"/>
  <c r="J788" i="9"/>
  <c r="I788" i="9"/>
  <c r="H788" i="9"/>
  <c r="G788" i="9"/>
  <c r="F788" i="9"/>
  <c r="D788" i="9"/>
  <c r="C788" i="9"/>
  <c r="B788" i="9"/>
  <c r="A788" i="9"/>
  <c r="Q787" i="9"/>
  <c r="L787" i="9"/>
  <c r="K787" i="9"/>
  <c r="J787" i="9"/>
  <c r="I787" i="9"/>
  <c r="H787" i="9"/>
  <c r="G787" i="9"/>
  <c r="F787" i="9"/>
  <c r="D787" i="9"/>
  <c r="C787" i="9"/>
  <c r="B787" i="9"/>
  <c r="A787" i="9"/>
  <c r="Q786" i="9"/>
  <c r="M786" i="9"/>
  <c r="L786" i="9"/>
  <c r="K786" i="9"/>
  <c r="J786" i="9"/>
  <c r="I786" i="9"/>
  <c r="H786" i="9"/>
  <c r="G786" i="9"/>
  <c r="F786" i="9"/>
  <c r="D786" i="9"/>
  <c r="C786" i="9"/>
  <c r="B786" i="9"/>
  <c r="A786" i="9"/>
  <c r="Q785" i="9"/>
  <c r="L785" i="9"/>
  <c r="K785" i="9"/>
  <c r="J785" i="9"/>
  <c r="I785" i="9"/>
  <c r="H785" i="9"/>
  <c r="G785" i="9"/>
  <c r="F785" i="9"/>
  <c r="D785" i="9"/>
  <c r="C785" i="9"/>
  <c r="B785" i="9"/>
  <c r="A785" i="9"/>
  <c r="Q784" i="9"/>
  <c r="L784" i="9"/>
  <c r="K784" i="9"/>
  <c r="J784" i="9"/>
  <c r="I784" i="9"/>
  <c r="H784" i="9"/>
  <c r="G784" i="9"/>
  <c r="F784" i="9"/>
  <c r="D784" i="9"/>
  <c r="C784" i="9"/>
  <c r="B784" i="9"/>
  <c r="M784" i="9" s="1"/>
  <c r="A784" i="9"/>
  <c r="Q783" i="9"/>
  <c r="L783" i="9"/>
  <c r="K783" i="9"/>
  <c r="J783" i="9"/>
  <c r="I783" i="9"/>
  <c r="H783" i="9"/>
  <c r="G783" i="9"/>
  <c r="F783" i="9"/>
  <c r="D783" i="9"/>
  <c r="C783" i="9"/>
  <c r="B783" i="9"/>
  <c r="A783" i="9"/>
  <c r="Q782" i="9"/>
  <c r="L782" i="9"/>
  <c r="K782" i="9"/>
  <c r="J782" i="9"/>
  <c r="I782" i="9"/>
  <c r="H782" i="9"/>
  <c r="G782" i="9"/>
  <c r="F782" i="9"/>
  <c r="D782" i="9"/>
  <c r="C782" i="9"/>
  <c r="B782" i="9"/>
  <c r="A782" i="9"/>
  <c r="Q781" i="9"/>
  <c r="L781" i="9"/>
  <c r="K781" i="9"/>
  <c r="J781" i="9"/>
  <c r="I781" i="9"/>
  <c r="H781" i="9"/>
  <c r="G781" i="9"/>
  <c r="F781" i="9"/>
  <c r="D781" i="9"/>
  <c r="C781" i="9"/>
  <c r="B781" i="9"/>
  <c r="A781" i="9"/>
  <c r="Q780" i="9"/>
  <c r="L780" i="9"/>
  <c r="K780" i="9"/>
  <c r="J780" i="9"/>
  <c r="I780" i="9"/>
  <c r="H780" i="9"/>
  <c r="G780" i="9"/>
  <c r="F780" i="9"/>
  <c r="D780" i="9"/>
  <c r="C780" i="9"/>
  <c r="B780" i="9"/>
  <c r="A780" i="9"/>
  <c r="Q779" i="9"/>
  <c r="L779" i="9"/>
  <c r="K779" i="9"/>
  <c r="J779" i="9"/>
  <c r="I779" i="9"/>
  <c r="H779" i="9"/>
  <c r="G779" i="9"/>
  <c r="F779" i="9"/>
  <c r="D779" i="9"/>
  <c r="C779" i="9"/>
  <c r="B779" i="9"/>
  <c r="A779" i="9"/>
  <c r="Q778" i="9"/>
  <c r="L778" i="9"/>
  <c r="K778" i="9"/>
  <c r="J778" i="9"/>
  <c r="I778" i="9"/>
  <c r="H778" i="9"/>
  <c r="G778" i="9"/>
  <c r="F778" i="9"/>
  <c r="D778" i="9"/>
  <c r="C778" i="9"/>
  <c r="B778" i="9"/>
  <c r="A778" i="9"/>
  <c r="Q777" i="9"/>
  <c r="L777" i="9"/>
  <c r="K777" i="9"/>
  <c r="J777" i="9"/>
  <c r="I777" i="9"/>
  <c r="H777" i="9"/>
  <c r="G777" i="9"/>
  <c r="F777" i="9"/>
  <c r="D777" i="9"/>
  <c r="C777" i="9"/>
  <c r="B777" i="9"/>
  <c r="A777" i="9"/>
  <c r="Q776" i="9"/>
  <c r="L776" i="9"/>
  <c r="K776" i="9"/>
  <c r="J776" i="9"/>
  <c r="I776" i="9"/>
  <c r="H776" i="9"/>
  <c r="G776" i="9"/>
  <c r="F776" i="9"/>
  <c r="D776" i="9"/>
  <c r="C776" i="9"/>
  <c r="B776" i="9"/>
  <c r="A776" i="9"/>
  <c r="Q775" i="9"/>
  <c r="L775" i="9"/>
  <c r="K775" i="9"/>
  <c r="J775" i="9"/>
  <c r="I775" i="9"/>
  <c r="H775" i="9"/>
  <c r="G775" i="9"/>
  <c r="F775" i="9"/>
  <c r="D775" i="9"/>
  <c r="C775" i="9"/>
  <c r="B775" i="9"/>
  <c r="M775" i="9" s="1"/>
  <c r="P775" i="9" s="1"/>
  <c r="A775" i="9"/>
  <c r="Q774" i="9"/>
  <c r="L774" i="9"/>
  <c r="K774" i="9"/>
  <c r="J774" i="9"/>
  <c r="I774" i="9"/>
  <c r="H774" i="9"/>
  <c r="G774" i="9"/>
  <c r="F774" i="9"/>
  <c r="D774" i="9"/>
  <c r="C774" i="9"/>
  <c r="B774" i="9"/>
  <c r="M774" i="9" s="1"/>
  <c r="P774" i="9" s="1"/>
  <c r="A774" i="9"/>
  <c r="Q773" i="9"/>
  <c r="L773" i="9"/>
  <c r="K773" i="9"/>
  <c r="J773" i="9"/>
  <c r="I773" i="9"/>
  <c r="H773" i="9"/>
  <c r="G773" i="9"/>
  <c r="F773" i="9"/>
  <c r="D773" i="9"/>
  <c r="C773" i="9"/>
  <c r="B773" i="9"/>
  <c r="M773" i="9" s="1"/>
  <c r="A773" i="9"/>
  <c r="Q772" i="9"/>
  <c r="L772" i="9"/>
  <c r="K772" i="9"/>
  <c r="J772" i="9"/>
  <c r="I772" i="9"/>
  <c r="H772" i="9"/>
  <c r="G772" i="9"/>
  <c r="F772" i="9"/>
  <c r="D772" i="9"/>
  <c r="C772" i="9"/>
  <c r="B772" i="9"/>
  <c r="A772" i="9"/>
  <c r="Q771" i="9"/>
  <c r="L771" i="9"/>
  <c r="K771" i="9"/>
  <c r="J771" i="9"/>
  <c r="I771" i="9"/>
  <c r="H771" i="9"/>
  <c r="G771" i="9"/>
  <c r="F771" i="9"/>
  <c r="D771" i="9"/>
  <c r="C771" i="9"/>
  <c r="B771" i="9"/>
  <c r="A771" i="9"/>
  <c r="Q770" i="9"/>
  <c r="L770" i="9"/>
  <c r="K770" i="9"/>
  <c r="J770" i="9"/>
  <c r="I770" i="9"/>
  <c r="H770" i="9"/>
  <c r="G770" i="9"/>
  <c r="F770" i="9"/>
  <c r="D770" i="9"/>
  <c r="C770" i="9"/>
  <c r="B770" i="9"/>
  <c r="A770" i="9"/>
  <c r="Q769" i="9"/>
  <c r="L769" i="9"/>
  <c r="K769" i="9"/>
  <c r="J769" i="9"/>
  <c r="I769" i="9"/>
  <c r="H769" i="9"/>
  <c r="G769" i="9"/>
  <c r="F769" i="9"/>
  <c r="D769" i="9"/>
  <c r="C769" i="9"/>
  <c r="B769" i="9"/>
  <c r="A769" i="9"/>
  <c r="Q768" i="9"/>
  <c r="L768" i="9"/>
  <c r="K768" i="9"/>
  <c r="J768" i="9"/>
  <c r="I768" i="9"/>
  <c r="H768" i="9"/>
  <c r="G768" i="9"/>
  <c r="F768" i="9"/>
  <c r="D768" i="9"/>
  <c r="C768" i="9"/>
  <c r="B768" i="9"/>
  <c r="M768" i="9" s="1"/>
  <c r="A768" i="9"/>
  <c r="Q767" i="9"/>
  <c r="L767" i="9"/>
  <c r="K767" i="9"/>
  <c r="J767" i="9"/>
  <c r="I767" i="9"/>
  <c r="H767" i="9"/>
  <c r="G767" i="9"/>
  <c r="F767" i="9"/>
  <c r="D767" i="9"/>
  <c r="C767" i="9"/>
  <c r="B767" i="9"/>
  <c r="A767" i="9"/>
  <c r="Q766" i="9"/>
  <c r="L766" i="9"/>
  <c r="K766" i="9"/>
  <c r="J766" i="9"/>
  <c r="I766" i="9"/>
  <c r="H766" i="9"/>
  <c r="G766" i="9"/>
  <c r="F766" i="9"/>
  <c r="D766" i="9"/>
  <c r="C766" i="9"/>
  <c r="B766" i="9"/>
  <c r="A766" i="9"/>
  <c r="Q765" i="9"/>
  <c r="L765" i="9"/>
  <c r="K765" i="9"/>
  <c r="J765" i="9"/>
  <c r="I765" i="9"/>
  <c r="H765" i="9"/>
  <c r="G765" i="9"/>
  <c r="M765" i="9" s="1"/>
  <c r="F765" i="9"/>
  <c r="D765" i="9"/>
  <c r="C765" i="9"/>
  <c r="B765" i="9"/>
  <c r="A765" i="9"/>
  <c r="Q764" i="9"/>
  <c r="L764" i="9"/>
  <c r="K764" i="9"/>
  <c r="J764" i="9"/>
  <c r="I764" i="9"/>
  <c r="H764" i="9"/>
  <c r="G764" i="9"/>
  <c r="F764" i="9"/>
  <c r="D764" i="9"/>
  <c r="C764" i="9"/>
  <c r="B764" i="9"/>
  <c r="A764" i="9"/>
  <c r="Q763" i="9"/>
  <c r="L763" i="9"/>
  <c r="K763" i="9"/>
  <c r="J763" i="9"/>
  <c r="I763" i="9"/>
  <c r="H763" i="9"/>
  <c r="G763" i="9"/>
  <c r="F763" i="9"/>
  <c r="D763" i="9"/>
  <c r="C763" i="9"/>
  <c r="B763" i="9"/>
  <c r="A763" i="9"/>
  <c r="Q762" i="9"/>
  <c r="L762" i="9"/>
  <c r="K762" i="9"/>
  <c r="J762" i="9"/>
  <c r="I762" i="9"/>
  <c r="H762" i="9"/>
  <c r="G762" i="9"/>
  <c r="F762" i="9"/>
  <c r="D762" i="9"/>
  <c r="C762" i="9"/>
  <c r="B762" i="9"/>
  <c r="A762" i="9"/>
  <c r="Q761" i="9"/>
  <c r="L761" i="9"/>
  <c r="K761" i="9"/>
  <c r="J761" i="9"/>
  <c r="I761" i="9"/>
  <c r="H761" i="9"/>
  <c r="G761" i="9"/>
  <c r="F761" i="9"/>
  <c r="D761" i="9"/>
  <c r="C761" i="9"/>
  <c r="B761" i="9"/>
  <c r="A761" i="9"/>
  <c r="Q760" i="9"/>
  <c r="L760" i="9"/>
  <c r="K760" i="9"/>
  <c r="J760" i="9"/>
  <c r="I760" i="9"/>
  <c r="H760" i="9"/>
  <c r="G760" i="9"/>
  <c r="F760" i="9"/>
  <c r="D760" i="9"/>
  <c r="C760" i="9"/>
  <c r="B760" i="9"/>
  <c r="A760" i="9"/>
  <c r="Q759" i="9"/>
  <c r="L759" i="9"/>
  <c r="K759" i="9"/>
  <c r="J759" i="9"/>
  <c r="I759" i="9"/>
  <c r="H759" i="9"/>
  <c r="G759" i="9"/>
  <c r="F759" i="9"/>
  <c r="D759" i="9"/>
  <c r="C759" i="9"/>
  <c r="B759" i="9"/>
  <c r="A759" i="9"/>
  <c r="Q758" i="9"/>
  <c r="L758" i="9"/>
  <c r="K758" i="9"/>
  <c r="J758" i="9"/>
  <c r="I758" i="9"/>
  <c r="H758" i="9"/>
  <c r="G758" i="9"/>
  <c r="F758" i="9"/>
  <c r="D758" i="9"/>
  <c r="C758" i="9"/>
  <c r="B758" i="9"/>
  <c r="A758" i="9"/>
  <c r="Q757" i="9"/>
  <c r="L757" i="9"/>
  <c r="K757" i="9"/>
  <c r="J757" i="9"/>
  <c r="I757" i="9"/>
  <c r="H757" i="9"/>
  <c r="G757" i="9"/>
  <c r="F757" i="9"/>
  <c r="D757" i="9"/>
  <c r="C757" i="9"/>
  <c r="B757" i="9"/>
  <c r="M757" i="9" s="1"/>
  <c r="A757" i="9"/>
  <c r="Q756" i="9"/>
  <c r="L756" i="9"/>
  <c r="K756" i="9"/>
  <c r="J756" i="9"/>
  <c r="I756" i="9"/>
  <c r="H756" i="9"/>
  <c r="G756" i="9"/>
  <c r="F756" i="9"/>
  <c r="D756" i="9"/>
  <c r="C756" i="9"/>
  <c r="B756" i="9"/>
  <c r="A756" i="9"/>
  <c r="Q755" i="9"/>
  <c r="L755" i="9"/>
  <c r="K755" i="9"/>
  <c r="J755" i="9"/>
  <c r="I755" i="9"/>
  <c r="H755" i="9"/>
  <c r="G755" i="9"/>
  <c r="M755" i="9" s="1"/>
  <c r="F755" i="9"/>
  <c r="D755" i="9"/>
  <c r="C755" i="9"/>
  <c r="B755" i="9"/>
  <c r="A755" i="9"/>
  <c r="Q754" i="9"/>
  <c r="L754" i="9"/>
  <c r="K754" i="9"/>
  <c r="J754" i="9"/>
  <c r="I754" i="9"/>
  <c r="H754" i="9"/>
  <c r="G754" i="9"/>
  <c r="F754" i="9"/>
  <c r="D754" i="9"/>
  <c r="C754" i="9"/>
  <c r="B754" i="9"/>
  <c r="M754" i="9" s="1"/>
  <c r="A754" i="9"/>
  <c r="Q753" i="9"/>
  <c r="L753" i="9"/>
  <c r="K753" i="9"/>
  <c r="J753" i="9"/>
  <c r="I753" i="9"/>
  <c r="H753" i="9"/>
  <c r="G753" i="9"/>
  <c r="F753" i="9"/>
  <c r="D753" i="9"/>
  <c r="C753" i="9"/>
  <c r="B753" i="9"/>
  <c r="A753" i="9"/>
  <c r="Q752" i="9"/>
  <c r="M752" i="9"/>
  <c r="L752" i="9"/>
  <c r="K752" i="9"/>
  <c r="J752" i="9"/>
  <c r="I752" i="9"/>
  <c r="H752" i="9"/>
  <c r="G752" i="9"/>
  <c r="F752" i="9"/>
  <c r="D752" i="9"/>
  <c r="C752" i="9"/>
  <c r="B752" i="9"/>
  <c r="A752" i="9"/>
  <c r="Q751" i="9"/>
  <c r="L751" i="9"/>
  <c r="K751" i="9"/>
  <c r="J751" i="9"/>
  <c r="I751" i="9"/>
  <c r="H751" i="9"/>
  <c r="G751" i="9"/>
  <c r="F751" i="9"/>
  <c r="D751" i="9"/>
  <c r="C751" i="9"/>
  <c r="B751" i="9"/>
  <c r="A751" i="9"/>
  <c r="Q750" i="9"/>
  <c r="L750" i="9"/>
  <c r="K750" i="9"/>
  <c r="J750" i="9"/>
  <c r="I750" i="9"/>
  <c r="H750" i="9"/>
  <c r="G750" i="9"/>
  <c r="F750" i="9"/>
  <c r="D750" i="9"/>
  <c r="C750" i="9"/>
  <c r="B750" i="9"/>
  <c r="M750" i="9" s="1"/>
  <c r="A750" i="9"/>
  <c r="Q749" i="9"/>
  <c r="L749" i="9"/>
  <c r="K749" i="9"/>
  <c r="J749" i="9"/>
  <c r="I749" i="9"/>
  <c r="H749" i="9"/>
  <c r="G749" i="9"/>
  <c r="F749" i="9"/>
  <c r="D749" i="9"/>
  <c r="C749" i="9"/>
  <c r="B749" i="9"/>
  <c r="M749" i="9" s="1"/>
  <c r="A749" i="9"/>
  <c r="Q748" i="9"/>
  <c r="L748" i="9"/>
  <c r="K748" i="9"/>
  <c r="J748" i="9"/>
  <c r="I748" i="9"/>
  <c r="H748" i="9"/>
  <c r="G748" i="9"/>
  <c r="M748" i="9" s="1"/>
  <c r="F748" i="9"/>
  <c r="D748" i="9"/>
  <c r="C748" i="9"/>
  <c r="B748" i="9"/>
  <c r="A748" i="9"/>
  <c r="Q747" i="9"/>
  <c r="L747" i="9"/>
  <c r="K747" i="9"/>
  <c r="J747" i="9"/>
  <c r="I747" i="9"/>
  <c r="H747" i="9"/>
  <c r="G747" i="9"/>
  <c r="F747" i="9"/>
  <c r="D747" i="9"/>
  <c r="C747" i="9"/>
  <c r="B747" i="9"/>
  <c r="A747" i="9"/>
  <c r="Q746" i="9"/>
  <c r="L746" i="9"/>
  <c r="K746" i="9"/>
  <c r="J746" i="9"/>
  <c r="I746" i="9"/>
  <c r="H746" i="9"/>
  <c r="G746" i="9"/>
  <c r="M746" i="9" s="1"/>
  <c r="P746" i="9" s="1"/>
  <c r="F746" i="9"/>
  <c r="D746" i="9"/>
  <c r="C746" i="9"/>
  <c r="B746" i="9"/>
  <c r="A746" i="9"/>
  <c r="Q745" i="9"/>
  <c r="O745" i="9"/>
  <c r="L745" i="9"/>
  <c r="K745" i="9"/>
  <c r="J745" i="9"/>
  <c r="I745" i="9"/>
  <c r="H745" i="9"/>
  <c r="G745" i="9"/>
  <c r="F745" i="9"/>
  <c r="D745" i="9"/>
  <c r="C745" i="9"/>
  <c r="B745" i="9"/>
  <c r="M745" i="9" s="1"/>
  <c r="A745" i="9"/>
  <c r="Q744" i="9"/>
  <c r="L744" i="9"/>
  <c r="K744" i="9"/>
  <c r="J744" i="9"/>
  <c r="I744" i="9"/>
  <c r="H744" i="9"/>
  <c r="G744" i="9"/>
  <c r="F744" i="9"/>
  <c r="D744" i="9"/>
  <c r="C744" i="9"/>
  <c r="B744" i="9"/>
  <c r="A744" i="9"/>
  <c r="Q743" i="9"/>
  <c r="M743" i="9"/>
  <c r="P743" i="9" s="1"/>
  <c r="L743" i="9"/>
  <c r="K743" i="9"/>
  <c r="J743" i="9"/>
  <c r="I743" i="9"/>
  <c r="H743" i="9"/>
  <c r="G743" i="9"/>
  <c r="F743" i="9"/>
  <c r="D743" i="9"/>
  <c r="C743" i="9"/>
  <c r="B743" i="9"/>
  <c r="A743" i="9"/>
  <c r="Q742" i="9"/>
  <c r="L742" i="9"/>
  <c r="K742" i="9"/>
  <c r="J742" i="9"/>
  <c r="I742" i="9"/>
  <c r="H742" i="9"/>
  <c r="G742" i="9"/>
  <c r="F742" i="9"/>
  <c r="D742" i="9"/>
  <c r="C742" i="9"/>
  <c r="B742" i="9"/>
  <c r="A742" i="9"/>
  <c r="Q741" i="9"/>
  <c r="L741" i="9"/>
  <c r="K741" i="9"/>
  <c r="J741" i="9"/>
  <c r="I741" i="9"/>
  <c r="H741" i="9"/>
  <c r="G741" i="9"/>
  <c r="F741" i="9"/>
  <c r="D741" i="9"/>
  <c r="C741" i="9"/>
  <c r="B741" i="9"/>
  <c r="A741" i="9"/>
  <c r="Q740" i="9"/>
  <c r="L740" i="9"/>
  <c r="K740" i="9"/>
  <c r="J740" i="9"/>
  <c r="I740" i="9"/>
  <c r="H740" i="9"/>
  <c r="G740" i="9"/>
  <c r="F740" i="9"/>
  <c r="D740" i="9"/>
  <c r="C740" i="9"/>
  <c r="B740" i="9"/>
  <c r="M740" i="9" s="1"/>
  <c r="A740" i="9"/>
  <c r="Q739" i="9"/>
  <c r="L739" i="9"/>
  <c r="K739" i="9"/>
  <c r="J739" i="9"/>
  <c r="I739" i="9"/>
  <c r="H739" i="9"/>
  <c r="G739" i="9"/>
  <c r="F739" i="9"/>
  <c r="D739" i="9"/>
  <c r="C739" i="9"/>
  <c r="B739" i="9"/>
  <c r="A739" i="9"/>
  <c r="Q738" i="9"/>
  <c r="L738" i="9"/>
  <c r="K738" i="9"/>
  <c r="J738" i="9"/>
  <c r="I738" i="9"/>
  <c r="H738" i="9"/>
  <c r="G738" i="9"/>
  <c r="F738" i="9"/>
  <c r="D738" i="9"/>
  <c r="C738" i="9"/>
  <c r="B738" i="9"/>
  <c r="A738" i="9"/>
  <c r="Q737" i="9"/>
  <c r="L737" i="9"/>
  <c r="K737" i="9"/>
  <c r="J737" i="9"/>
  <c r="I737" i="9"/>
  <c r="H737" i="9"/>
  <c r="G737" i="9"/>
  <c r="F737" i="9"/>
  <c r="D737" i="9"/>
  <c r="C737" i="9"/>
  <c r="B737" i="9"/>
  <c r="A737" i="9"/>
  <c r="Q736" i="9"/>
  <c r="L736" i="9"/>
  <c r="K736" i="9"/>
  <c r="J736" i="9"/>
  <c r="I736" i="9"/>
  <c r="H736" i="9"/>
  <c r="G736" i="9"/>
  <c r="F736" i="9"/>
  <c r="D736" i="9"/>
  <c r="C736" i="9"/>
  <c r="B736" i="9"/>
  <c r="A736" i="9"/>
  <c r="Q735" i="9"/>
  <c r="L735" i="9"/>
  <c r="K735" i="9"/>
  <c r="J735" i="9"/>
  <c r="I735" i="9"/>
  <c r="H735" i="9"/>
  <c r="G735" i="9"/>
  <c r="F735" i="9"/>
  <c r="D735" i="9"/>
  <c r="C735" i="9"/>
  <c r="B735" i="9"/>
  <c r="A735" i="9"/>
  <c r="Q734" i="9"/>
  <c r="L734" i="9"/>
  <c r="K734" i="9"/>
  <c r="J734" i="9"/>
  <c r="I734" i="9"/>
  <c r="H734" i="9"/>
  <c r="G734" i="9"/>
  <c r="F734" i="9"/>
  <c r="D734" i="9"/>
  <c r="C734" i="9"/>
  <c r="B734" i="9"/>
  <c r="M734" i="9" s="1"/>
  <c r="P734" i="9" s="1"/>
  <c r="A734" i="9"/>
  <c r="Q733" i="9"/>
  <c r="L733" i="9"/>
  <c r="K733" i="9"/>
  <c r="J733" i="9"/>
  <c r="I733" i="9"/>
  <c r="H733" i="9"/>
  <c r="G733" i="9"/>
  <c r="F733" i="9"/>
  <c r="D733" i="9"/>
  <c r="C733" i="9"/>
  <c r="B733" i="9"/>
  <c r="A733" i="9"/>
  <c r="Q732" i="9"/>
  <c r="L732" i="9"/>
  <c r="K732" i="9"/>
  <c r="J732" i="9"/>
  <c r="I732" i="9"/>
  <c r="H732" i="9"/>
  <c r="G732" i="9"/>
  <c r="F732" i="9"/>
  <c r="D732" i="9"/>
  <c r="C732" i="9"/>
  <c r="B732" i="9"/>
  <c r="A732" i="9"/>
  <c r="Q731" i="9"/>
  <c r="L731" i="9"/>
  <c r="K731" i="9"/>
  <c r="J731" i="9"/>
  <c r="I731" i="9"/>
  <c r="H731" i="9"/>
  <c r="G731" i="9"/>
  <c r="F731" i="9"/>
  <c r="D731" i="9"/>
  <c r="C731" i="9"/>
  <c r="B731" i="9"/>
  <c r="M731" i="9" s="1"/>
  <c r="P731" i="9" s="1"/>
  <c r="A731" i="9"/>
  <c r="Q730" i="9"/>
  <c r="L730" i="9"/>
  <c r="K730" i="9"/>
  <c r="J730" i="9"/>
  <c r="I730" i="9"/>
  <c r="H730" i="9"/>
  <c r="G730" i="9"/>
  <c r="F730" i="9"/>
  <c r="D730" i="9"/>
  <c r="C730" i="9"/>
  <c r="B730" i="9"/>
  <c r="A730" i="9"/>
  <c r="Q729" i="9"/>
  <c r="L729" i="9"/>
  <c r="K729" i="9"/>
  <c r="J729" i="9"/>
  <c r="I729" i="9"/>
  <c r="H729" i="9"/>
  <c r="G729" i="9"/>
  <c r="F729" i="9"/>
  <c r="D729" i="9"/>
  <c r="C729" i="9"/>
  <c r="B729" i="9"/>
  <c r="A729" i="9"/>
  <c r="Q728" i="9"/>
  <c r="L728" i="9"/>
  <c r="K728" i="9"/>
  <c r="J728" i="9"/>
  <c r="I728" i="9"/>
  <c r="H728" i="9"/>
  <c r="G728" i="9"/>
  <c r="F728" i="9"/>
  <c r="D728" i="9"/>
  <c r="C728" i="9"/>
  <c r="B728" i="9"/>
  <c r="A728" i="9"/>
  <c r="Q727" i="9"/>
  <c r="L727" i="9"/>
  <c r="K727" i="9"/>
  <c r="J727" i="9"/>
  <c r="I727" i="9"/>
  <c r="H727" i="9"/>
  <c r="G727" i="9"/>
  <c r="F727" i="9"/>
  <c r="D727" i="9"/>
  <c r="C727" i="9"/>
  <c r="B727" i="9"/>
  <c r="A727" i="9"/>
  <c r="Q726" i="9"/>
  <c r="L726" i="9"/>
  <c r="K726" i="9"/>
  <c r="J726" i="9"/>
  <c r="I726" i="9"/>
  <c r="H726" i="9"/>
  <c r="G726" i="9"/>
  <c r="F726" i="9"/>
  <c r="D726" i="9"/>
  <c r="C726" i="9"/>
  <c r="B726" i="9"/>
  <c r="M726" i="9" s="1"/>
  <c r="O726" i="9" s="1"/>
  <c r="A726" i="9"/>
  <c r="Q725" i="9"/>
  <c r="L725" i="9"/>
  <c r="K725" i="9"/>
  <c r="J725" i="9"/>
  <c r="I725" i="9"/>
  <c r="H725" i="9"/>
  <c r="G725" i="9"/>
  <c r="F725" i="9"/>
  <c r="D725" i="9"/>
  <c r="C725" i="9"/>
  <c r="B725" i="9"/>
  <c r="M725" i="9" s="1"/>
  <c r="O725" i="9" s="1"/>
  <c r="A725" i="9"/>
  <c r="Q724" i="9"/>
  <c r="L724" i="9"/>
  <c r="K724" i="9"/>
  <c r="J724" i="9"/>
  <c r="I724" i="9"/>
  <c r="H724" i="9"/>
  <c r="G724" i="9"/>
  <c r="F724" i="9"/>
  <c r="D724" i="9"/>
  <c r="C724" i="9"/>
  <c r="B724" i="9"/>
  <c r="A724" i="9"/>
  <c r="Q723" i="9"/>
  <c r="L723" i="9"/>
  <c r="K723" i="9"/>
  <c r="J723" i="9"/>
  <c r="I723" i="9"/>
  <c r="H723" i="9"/>
  <c r="G723" i="9"/>
  <c r="F723" i="9"/>
  <c r="D723" i="9"/>
  <c r="C723" i="9"/>
  <c r="B723" i="9"/>
  <c r="A723" i="9"/>
  <c r="Q722" i="9"/>
  <c r="L722" i="9"/>
  <c r="K722" i="9"/>
  <c r="J722" i="9"/>
  <c r="I722" i="9"/>
  <c r="H722" i="9"/>
  <c r="G722" i="9"/>
  <c r="M722" i="9" s="1"/>
  <c r="O722" i="9" s="1"/>
  <c r="F722" i="9"/>
  <c r="D722" i="9"/>
  <c r="C722" i="9"/>
  <c r="B722" i="9"/>
  <c r="A722" i="9"/>
  <c r="Q721" i="9"/>
  <c r="L721" i="9"/>
  <c r="K721" i="9"/>
  <c r="J721" i="9"/>
  <c r="I721" i="9"/>
  <c r="H721" i="9"/>
  <c r="G721" i="9"/>
  <c r="F721" i="9"/>
  <c r="D721" i="9"/>
  <c r="C721" i="9"/>
  <c r="B721" i="9"/>
  <c r="A721" i="9"/>
  <c r="Q720" i="9"/>
  <c r="L720" i="9"/>
  <c r="K720" i="9"/>
  <c r="J720" i="9"/>
  <c r="I720" i="9"/>
  <c r="H720" i="9"/>
  <c r="G720" i="9"/>
  <c r="F720" i="9"/>
  <c r="D720" i="9"/>
  <c r="C720" i="9"/>
  <c r="B720" i="9"/>
  <c r="A720" i="9"/>
  <c r="Q719" i="9"/>
  <c r="L719" i="9"/>
  <c r="K719" i="9"/>
  <c r="J719" i="9"/>
  <c r="I719" i="9"/>
  <c r="H719" i="9"/>
  <c r="G719" i="9"/>
  <c r="F719" i="9"/>
  <c r="D719" i="9"/>
  <c r="C719" i="9"/>
  <c r="B719" i="9"/>
  <c r="A719" i="9"/>
  <c r="Q718" i="9"/>
  <c r="L718" i="9"/>
  <c r="K718" i="9"/>
  <c r="J718" i="9"/>
  <c r="I718" i="9"/>
  <c r="H718" i="9"/>
  <c r="G718" i="9"/>
  <c r="M718" i="9" s="1"/>
  <c r="F718" i="9"/>
  <c r="D718" i="9"/>
  <c r="C718" i="9"/>
  <c r="B718" i="9"/>
  <c r="A718" i="9"/>
  <c r="Q717" i="9"/>
  <c r="L717" i="9"/>
  <c r="K717" i="9"/>
  <c r="J717" i="9"/>
  <c r="I717" i="9"/>
  <c r="H717" i="9"/>
  <c r="G717" i="9"/>
  <c r="F717" i="9"/>
  <c r="D717" i="9"/>
  <c r="C717" i="9"/>
  <c r="B717" i="9"/>
  <c r="A717" i="9"/>
  <c r="Q716" i="9"/>
  <c r="L716" i="9"/>
  <c r="K716" i="9"/>
  <c r="J716" i="9"/>
  <c r="I716" i="9"/>
  <c r="H716" i="9"/>
  <c r="G716" i="9"/>
  <c r="M716" i="9" s="1"/>
  <c r="O716" i="9" s="1"/>
  <c r="F716" i="9"/>
  <c r="D716" i="9"/>
  <c r="C716" i="9"/>
  <c r="B716" i="9"/>
  <c r="A716" i="9"/>
  <c r="Q715" i="9"/>
  <c r="M715" i="9"/>
  <c r="L715" i="9"/>
  <c r="K715" i="9"/>
  <c r="J715" i="9"/>
  <c r="I715" i="9"/>
  <c r="H715" i="9"/>
  <c r="G715" i="9"/>
  <c r="F715" i="9"/>
  <c r="D715" i="9"/>
  <c r="C715" i="9"/>
  <c r="B715" i="9"/>
  <c r="A715" i="9"/>
  <c r="Q714" i="9"/>
  <c r="L714" i="9"/>
  <c r="K714" i="9"/>
  <c r="J714" i="9"/>
  <c r="I714" i="9"/>
  <c r="H714" i="9"/>
  <c r="G714" i="9"/>
  <c r="F714" i="9"/>
  <c r="D714" i="9"/>
  <c r="C714" i="9"/>
  <c r="B714" i="9"/>
  <c r="A714" i="9"/>
  <c r="Q713" i="9"/>
  <c r="L713" i="9"/>
  <c r="K713" i="9"/>
  <c r="J713" i="9"/>
  <c r="I713" i="9"/>
  <c r="H713" i="9"/>
  <c r="G713" i="9"/>
  <c r="F713" i="9"/>
  <c r="D713" i="9"/>
  <c r="C713" i="9"/>
  <c r="B713" i="9"/>
  <c r="A713" i="9"/>
  <c r="Q712" i="9"/>
  <c r="L712" i="9"/>
  <c r="K712" i="9"/>
  <c r="J712" i="9"/>
  <c r="I712" i="9"/>
  <c r="H712" i="9"/>
  <c r="G712" i="9"/>
  <c r="F712" i="9"/>
  <c r="D712" i="9"/>
  <c r="C712" i="9"/>
  <c r="B712" i="9"/>
  <c r="M712" i="9" s="1"/>
  <c r="O712" i="9" s="1"/>
  <c r="A712" i="9"/>
  <c r="Q711" i="9"/>
  <c r="L711" i="9"/>
  <c r="K711" i="9"/>
  <c r="J711" i="9"/>
  <c r="I711" i="9"/>
  <c r="H711" i="9"/>
  <c r="G711" i="9"/>
  <c r="F711" i="9"/>
  <c r="D711" i="9"/>
  <c r="C711" i="9"/>
  <c r="B711" i="9"/>
  <c r="A711" i="9"/>
  <c r="Q710" i="9"/>
  <c r="L710" i="9"/>
  <c r="K710" i="9"/>
  <c r="J710" i="9"/>
  <c r="I710" i="9"/>
  <c r="H710" i="9"/>
  <c r="G710" i="9"/>
  <c r="F710" i="9"/>
  <c r="D710" i="9"/>
  <c r="C710" i="9"/>
  <c r="B710" i="9"/>
  <c r="A710" i="9"/>
  <c r="Q709" i="9"/>
  <c r="L709" i="9"/>
  <c r="K709" i="9"/>
  <c r="J709" i="9"/>
  <c r="I709" i="9"/>
  <c r="H709" i="9"/>
  <c r="G709" i="9"/>
  <c r="M709" i="9" s="1"/>
  <c r="O709" i="9" s="1"/>
  <c r="F709" i="9"/>
  <c r="D709" i="9"/>
  <c r="C709" i="9"/>
  <c r="B709" i="9"/>
  <c r="A709" i="9"/>
  <c r="Q708" i="9"/>
  <c r="M708" i="9"/>
  <c r="O708" i="9" s="1"/>
  <c r="L708" i="9"/>
  <c r="K708" i="9"/>
  <c r="J708" i="9"/>
  <c r="I708" i="9"/>
  <c r="H708" i="9"/>
  <c r="G708" i="9"/>
  <c r="F708" i="9"/>
  <c r="D708" i="9"/>
  <c r="C708" i="9"/>
  <c r="B708" i="9"/>
  <c r="A708" i="9"/>
  <c r="Q707" i="9"/>
  <c r="L707" i="9"/>
  <c r="K707" i="9"/>
  <c r="J707" i="9"/>
  <c r="I707" i="9"/>
  <c r="H707" i="9"/>
  <c r="G707" i="9"/>
  <c r="F707" i="9"/>
  <c r="D707" i="9"/>
  <c r="C707" i="9"/>
  <c r="B707" i="9"/>
  <c r="A707" i="9"/>
  <c r="Q706" i="9"/>
  <c r="M706" i="9"/>
  <c r="O706" i="9" s="1"/>
  <c r="L706" i="9"/>
  <c r="K706" i="9"/>
  <c r="J706" i="9"/>
  <c r="I706" i="9"/>
  <c r="H706" i="9"/>
  <c r="G706" i="9"/>
  <c r="F706" i="9"/>
  <c r="D706" i="9"/>
  <c r="C706" i="9"/>
  <c r="B706" i="9"/>
  <c r="A706" i="9"/>
  <c r="Q705" i="9"/>
  <c r="L705" i="9"/>
  <c r="K705" i="9"/>
  <c r="J705" i="9"/>
  <c r="I705" i="9"/>
  <c r="H705" i="9"/>
  <c r="G705" i="9"/>
  <c r="F705" i="9"/>
  <c r="D705" i="9"/>
  <c r="C705" i="9"/>
  <c r="B705" i="9"/>
  <c r="A705" i="9"/>
  <c r="Q704" i="9"/>
  <c r="L704" i="9"/>
  <c r="K704" i="9"/>
  <c r="J704" i="9"/>
  <c r="I704" i="9"/>
  <c r="H704" i="9"/>
  <c r="G704" i="9"/>
  <c r="F704" i="9"/>
  <c r="D704" i="9"/>
  <c r="C704" i="9"/>
  <c r="B704" i="9"/>
  <c r="A704" i="9"/>
  <c r="Q703" i="9"/>
  <c r="L703" i="9"/>
  <c r="K703" i="9"/>
  <c r="J703" i="9"/>
  <c r="I703" i="9"/>
  <c r="H703" i="9"/>
  <c r="G703" i="9"/>
  <c r="F703" i="9"/>
  <c r="D703" i="9"/>
  <c r="C703" i="9"/>
  <c r="B703" i="9"/>
  <c r="A703" i="9"/>
  <c r="Q702" i="9"/>
  <c r="L702" i="9"/>
  <c r="K702" i="9"/>
  <c r="J702" i="9"/>
  <c r="I702" i="9"/>
  <c r="H702" i="9"/>
  <c r="G702" i="9"/>
  <c r="F702" i="9"/>
  <c r="D702" i="9"/>
  <c r="C702" i="9"/>
  <c r="B702" i="9"/>
  <c r="A702" i="9"/>
  <c r="Q701" i="9"/>
  <c r="L701" i="9"/>
  <c r="K701" i="9"/>
  <c r="J701" i="9"/>
  <c r="I701" i="9"/>
  <c r="H701" i="9"/>
  <c r="G701" i="9"/>
  <c r="F701" i="9"/>
  <c r="D701" i="9"/>
  <c r="C701" i="9"/>
  <c r="B701" i="9"/>
  <c r="A701" i="9"/>
  <c r="Q700" i="9"/>
  <c r="L700" i="9"/>
  <c r="K700" i="9"/>
  <c r="J700" i="9"/>
  <c r="I700" i="9"/>
  <c r="H700" i="9"/>
  <c r="G700" i="9"/>
  <c r="M700" i="9" s="1"/>
  <c r="O700" i="9" s="1"/>
  <c r="F700" i="9"/>
  <c r="D700" i="9"/>
  <c r="C700" i="9"/>
  <c r="B700" i="9"/>
  <c r="A700" i="9"/>
  <c r="Q699" i="9"/>
  <c r="L699" i="9"/>
  <c r="K699" i="9"/>
  <c r="J699" i="9"/>
  <c r="I699" i="9"/>
  <c r="H699" i="9"/>
  <c r="G699" i="9"/>
  <c r="F699" i="9"/>
  <c r="D699" i="9"/>
  <c r="C699" i="9"/>
  <c r="B699" i="9"/>
  <c r="A699" i="9"/>
  <c r="Q698" i="9"/>
  <c r="L698" i="9"/>
  <c r="K698" i="9"/>
  <c r="J698" i="9"/>
  <c r="I698" i="9"/>
  <c r="H698" i="9"/>
  <c r="G698" i="9"/>
  <c r="F698" i="9"/>
  <c r="D698" i="9"/>
  <c r="C698" i="9"/>
  <c r="B698" i="9"/>
  <c r="A698" i="9"/>
  <c r="Q697" i="9"/>
  <c r="L697" i="9"/>
  <c r="K697" i="9"/>
  <c r="J697" i="9"/>
  <c r="I697" i="9"/>
  <c r="H697" i="9"/>
  <c r="G697" i="9"/>
  <c r="F697" i="9"/>
  <c r="D697" i="9"/>
  <c r="C697" i="9"/>
  <c r="B697" i="9"/>
  <c r="A697" i="9"/>
  <c r="Q696" i="9"/>
  <c r="L696" i="9"/>
  <c r="K696" i="9"/>
  <c r="J696" i="9"/>
  <c r="I696" i="9"/>
  <c r="H696" i="9"/>
  <c r="G696" i="9"/>
  <c r="F696" i="9"/>
  <c r="D696" i="9"/>
  <c r="C696" i="9"/>
  <c r="B696" i="9"/>
  <c r="M696" i="9" s="1"/>
  <c r="O696" i="9" s="1"/>
  <c r="A696" i="9"/>
  <c r="Q695" i="9"/>
  <c r="L695" i="9"/>
  <c r="K695" i="9"/>
  <c r="J695" i="9"/>
  <c r="I695" i="9"/>
  <c r="H695" i="9"/>
  <c r="G695" i="9"/>
  <c r="F695" i="9"/>
  <c r="D695" i="9"/>
  <c r="C695" i="9"/>
  <c r="B695" i="9"/>
  <c r="A695" i="9"/>
  <c r="Q694" i="9"/>
  <c r="L694" i="9"/>
  <c r="K694" i="9"/>
  <c r="J694" i="9"/>
  <c r="I694" i="9"/>
  <c r="H694" i="9"/>
  <c r="G694" i="9"/>
  <c r="F694" i="9"/>
  <c r="D694" i="9"/>
  <c r="C694" i="9"/>
  <c r="B694" i="9"/>
  <c r="A694" i="9"/>
  <c r="Q693" i="9"/>
  <c r="M693" i="9"/>
  <c r="O693" i="9" s="1"/>
  <c r="L693" i="9"/>
  <c r="K693" i="9"/>
  <c r="J693" i="9"/>
  <c r="I693" i="9"/>
  <c r="H693" i="9"/>
  <c r="G693" i="9"/>
  <c r="F693" i="9"/>
  <c r="D693" i="9"/>
  <c r="C693" i="9"/>
  <c r="B693" i="9"/>
  <c r="A693" i="9"/>
  <c r="Q692" i="9"/>
  <c r="L692" i="9"/>
  <c r="K692" i="9"/>
  <c r="J692" i="9"/>
  <c r="I692" i="9"/>
  <c r="H692" i="9"/>
  <c r="G692" i="9"/>
  <c r="F692" i="9"/>
  <c r="D692" i="9"/>
  <c r="C692" i="9"/>
  <c r="B692" i="9"/>
  <c r="A692" i="9"/>
  <c r="Q691" i="9"/>
  <c r="L691" i="9"/>
  <c r="K691" i="9"/>
  <c r="J691" i="9"/>
  <c r="I691" i="9"/>
  <c r="H691" i="9"/>
  <c r="G691" i="9"/>
  <c r="F691" i="9"/>
  <c r="D691" i="9"/>
  <c r="C691" i="9"/>
  <c r="B691" i="9"/>
  <c r="A691" i="9"/>
  <c r="Q690" i="9"/>
  <c r="L690" i="9"/>
  <c r="K690" i="9"/>
  <c r="J690" i="9"/>
  <c r="I690" i="9"/>
  <c r="H690" i="9"/>
  <c r="G690" i="9"/>
  <c r="F690" i="9"/>
  <c r="D690" i="9"/>
  <c r="C690" i="9"/>
  <c r="B690" i="9"/>
  <c r="M690" i="9" s="1"/>
  <c r="O690" i="9" s="1"/>
  <c r="A690" i="9"/>
  <c r="Q689" i="9"/>
  <c r="L689" i="9"/>
  <c r="K689" i="9"/>
  <c r="J689" i="9"/>
  <c r="I689" i="9"/>
  <c r="H689" i="9"/>
  <c r="G689" i="9"/>
  <c r="F689" i="9"/>
  <c r="D689" i="9"/>
  <c r="C689" i="9"/>
  <c r="B689" i="9"/>
  <c r="A689" i="9"/>
  <c r="Q688" i="9"/>
  <c r="L688" i="9"/>
  <c r="K688" i="9"/>
  <c r="J688" i="9"/>
  <c r="I688" i="9"/>
  <c r="H688" i="9"/>
  <c r="G688" i="9"/>
  <c r="F688" i="9"/>
  <c r="D688" i="9"/>
  <c r="C688" i="9"/>
  <c r="B688" i="9"/>
  <c r="M688" i="9" s="1"/>
  <c r="O688" i="9" s="1"/>
  <c r="A688" i="9"/>
  <c r="Q687" i="9"/>
  <c r="L687" i="9"/>
  <c r="K687" i="9"/>
  <c r="J687" i="9"/>
  <c r="I687" i="9"/>
  <c r="H687" i="9"/>
  <c r="G687" i="9"/>
  <c r="F687" i="9"/>
  <c r="D687" i="9"/>
  <c r="C687" i="9"/>
  <c r="B687" i="9"/>
  <c r="A687" i="9"/>
  <c r="Q686" i="9"/>
  <c r="L686" i="9"/>
  <c r="K686" i="9"/>
  <c r="J686" i="9"/>
  <c r="I686" i="9"/>
  <c r="H686" i="9"/>
  <c r="G686" i="9"/>
  <c r="F686" i="9"/>
  <c r="D686" i="9"/>
  <c r="C686" i="9"/>
  <c r="B686" i="9"/>
  <c r="A686" i="9"/>
  <c r="Q685" i="9"/>
  <c r="L685" i="9"/>
  <c r="K685" i="9"/>
  <c r="J685" i="9"/>
  <c r="I685" i="9"/>
  <c r="H685" i="9"/>
  <c r="G685" i="9"/>
  <c r="F685" i="9"/>
  <c r="D685" i="9"/>
  <c r="C685" i="9"/>
  <c r="B685" i="9"/>
  <c r="A685" i="9"/>
  <c r="Q684" i="9"/>
  <c r="L684" i="9"/>
  <c r="K684" i="9"/>
  <c r="J684" i="9"/>
  <c r="I684" i="9"/>
  <c r="H684" i="9"/>
  <c r="G684" i="9"/>
  <c r="F684" i="9"/>
  <c r="D684" i="9"/>
  <c r="C684" i="9"/>
  <c r="B684" i="9"/>
  <c r="A684" i="9"/>
  <c r="Q683" i="9"/>
  <c r="L683" i="9"/>
  <c r="K683" i="9"/>
  <c r="J683" i="9"/>
  <c r="I683" i="9"/>
  <c r="H683" i="9"/>
  <c r="G683" i="9"/>
  <c r="F683" i="9"/>
  <c r="D683" i="9"/>
  <c r="C683" i="9"/>
  <c r="B683" i="9"/>
  <c r="A683" i="9"/>
  <c r="Q682" i="9"/>
  <c r="L682" i="9"/>
  <c r="K682" i="9"/>
  <c r="J682" i="9"/>
  <c r="I682" i="9"/>
  <c r="H682" i="9"/>
  <c r="G682" i="9"/>
  <c r="F682" i="9"/>
  <c r="D682" i="9"/>
  <c r="C682" i="9"/>
  <c r="B682" i="9"/>
  <c r="A682" i="9"/>
  <c r="Q681" i="9"/>
  <c r="L681" i="9"/>
  <c r="K681" i="9"/>
  <c r="J681" i="9"/>
  <c r="I681" i="9"/>
  <c r="H681" i="9"/>
  <c r="G681" i="9"/>
  <c r="F681" i="9"/>
  <c r="D681" i="9"/>
  <c r="C681" i="9"/>
  <c r="B681" i="9"/>
  <c r="A681" i="9"/>
  <c r="Q680" i="9"/>
  <c r="L680" i="9"/>
  <c r="K680" i="9"/>
  <c r="J680" i="9"/>
  <c r="I680" i="9"/>
  <c r="H680" i="9"/>
  <c r="G680" i="9"/>
  <c r="F680" i="9"/>
  <c r="D680" i="9"/>
  <c r="C680" i="9"/>
  <c r="B680" i="9"/>
  <c r="A680" i="9"/>
  <c r="Q679" i="9"/>
  <c r="L679" i="9"/>
  <c r="K679" i="9"/>
  <c r="J679" i="9"/>
  <c r="I679" i="9"/>
  <c r="H679" i="9"/>
  <c r="G679" i="9"/>
  <c r="M679" i="9" s="1"/>
  <c r="O679" i="9" s="1"/>
  <c r="F679" i="9"/>
  <c r="D679" i="9"/>
  <c r="C679" i="9"/>
  <c r="B679" i="9"/>
  <c r="A679" i="9"/>
  <c r="Q678" i="9"/>
  <c r="L678" i="9"/>
  <c r="K678" i="9"/>
  <c r="J678" i="9"/>
  <c r="I678" i="9"/>
  <c r="H678" i="9"/>
  <c r="G678" i="9"/>
  <c r="F678" i="9"/>
  <c r="D678" i="9"/>
  <c r="C678" i="9"/>
  <c r="B678" i="9"/>
  <c r="A678" i="9"/>
  <c r="Q677" i="9"/>
  <c r="L677" i="9"/>
  <c r="K677" i="9"/>
  <c r="J677" i="9"/>
  <c r="I677" i="9"/>
  <c r="H677" i="9"/>
  <c r="G677" i="9"/>
  <c r="F677" i="9"/>
  <c r="D677" i="9"/>
  <c r="C677" i="9"/>
  <c r="B677" i="9"/>
  <c r="A677" i="9"/>
  <c r="Q676" i="9"/>
  <c r="L676" i="9"/>
  <c r="K676" i="9"/>
  <c r="J676" i="9"/>
  <c r="I676" i="9"/>
  <c r="H676" i="9"/>
  <c r="G676" i="9"/>
  <c r="F676" i="9"/>
  <c r="D676" i="9"/>
  <c r="C676" i="9"/>
  <c r="B676" i="9"/>
  <c r="A676" i="9"/>
  <c r="Q675" i="9"/>
  <c r="L675" i="9"/>
  <c r="K675" i="9"/>
  <c r="J675" i="9"/>
  <c r="I675" i="9"/>
  <c r="H675" i="9"/>
  <c r="G675" i="9"/>
  <c r="F675" i="9"/>
  <c r="D675" i="9"/>
  <c r="C675" i="9"/>
  <c r="B675" i="9"/>
  <c r="A675" i="9"/>
  <c r="Q674" i="9"/>
  <c r="L674" i="9"/>
  <c r="K674" i="9"/>
  <c r="J674" i="9"/>
  <c r="I674" i="9"/>
  <c r="H674" i="9"/>
  <c r="G674" i="9"/>
  <c r="F674" i="9"/>
  <c r="D674" i="9"/>
  <c r="C674" i="9"/>
  <c r="B674" i="9"/>
  <c r="A674" i="9"/>
  <c r="Q673" i="9"/>
  <c r="L673" i="9"/>
  <c r="K673" i="9"/>
  <c r="J673" i="9"/>
  <c r="I673" i="9"/>
  <c r="H673" i="9"/>
  <c r="G673" i="9"/>
  <c r="F673" i="9"/>
  <c r="D673" i="9"/>
  <c r="C673" i="9"/>
  <c r="B673" i="9"/>
  <c r="A673" i="9"/>
  <c r="Q672" i="9"/>
  <c r="L672" i="9"/>
  <c r="K672" i="9"/>
  <c r="J672" i="9"/>
  <c r="I672" i="9"/>
  <c r="H672" i="9"/>
  <c r="G672" i="9"/>
  <c r="F672" i="9"/>
  <c r="D672" i="9"/>
  <c r="C672" i="9"/>
  <c r="B672" i="9"/>
  <c r="A672" i="9"/>
  <c r="Q671" i="9"/>
  <c r="L671" i="9"/>
  <c r="K671" i="9"/>
  <c r="J671" i="9"/>
  <c r="I671" i="9"/>
  <c r="H671" i="9"/>
  <c r="G671" i="9"/>
  <c r="F671" i="9"/>
  <c r="D671" i="9"/>
  <c r="C671" i="9"/>
  <c r="B671" i="9"/>
  <c r="A671" i="9"/>
  <c r="Q670" i="9"/>
  <c r="L670" i="9"/>
  <c r="K670" i="9"/>
  <c r="J670" i="9"/>
  <c r="I670" i="9"/>
  <c r="H670" i="9"/>
  <c r="G670" i="9"/>
  <c r="F670" i="9"/>
  <c r="D670" i="9"/>
  <c r="C670" i="9"/>
  <c r="B670" i="9"/>
  <c r="A670" i="9"/>
  <c r="Q669" i="9"/>
  <c r="L669" i="9"/>
  <c r="K669" i="9"/>
  <c r="J669" i="9"/>
  <c r="I669" i="9"/>
  <c r="H669" i="9"/>
  <c r="G669" i="9"/>
  <c r="F669" i="9"/>
  <c r="D669" i="9"/>
  <c r="C669" i="9"/>
  <c r="B669" i="9"/>
  <c r="A669" i="9"/>
  <c r="Q668" i="9"/>
  <c r="L668" i="9"/>
  <c r="K668" i="9"/>
  <c r="J668" i="9"/>
  <c r="I668" i="9"/>
  <c r="H668" i="9"/>
  <c r="G668" i="9"/>
  <c r="F668" i="9"/>
  <c r="D668" i="9"/>
  <c r="C668" i="9"/>
  <c r="B668" i="9"/>
  <c r="A668" i="9"/>
  <c r="Q667" i="9"/>
  <c r="L667" i="9"/>
  <c r="K667" i="9"/>
  <c r="J667" i="9"/>
  <c r="I667" i="9"/>
  <c r="H667" i="9"/>
  <c r="G667" i="9"/>
  <c r="F667" i="9"/>
  <c r="D667" i="9"/>
  <c r="C667" i="9"/>
  <c r="B667" i="9"/>
  <c r="A667" i="9"/>
  <c r="Q666" i="9"/>
  <c r="L666" i="9"/>
  <c r="K666" i="9"/>
  <c r="J666" i="9"/>
  <c r="I666" i="9"/>
  <c r="H666" i="9"/>
  <c r="G666" i="9"/>
  <c r="F666" i="9"/>
  <c r="D666" i="9"/>
  <c r="C666" i="9"/>
  <c r="B666" i="9"/>
  <c r="A666" i="9"/>
  <c r="Q665" i="9"/>
  <c r="L665" i="9"/>
  <c r="K665" i="9"/>
  <c r="J665" i="9"/>
  <c r="I665" i="9"/>
  <c r="H665" i="9"/>
  <c r="G665" i="9"/>
  <c r="F665" i="9"/>
  <c r="D665" i="9"/>
  <c r="C665" i="9"/>
  <c r="B665" i="9"/>
  <c r="A665" i="9"/>
  <c r="Q664" i="9"/>
  <c r="L664" i="9"/>
  <c r="K664" i="9"/>
  <c r="J664" i="9"/>
  <c r="I664" i="9"/>
  <c r="H664" i="9"/>
  <c r="G664" i="9"/>
  <c r="M664" i="9" s="1"/>
  <c r="O664" i="9" s="1"/>
  <c r="F664" i="9"/>
  <c r="D664" i="9"/>
  <c r="C664" i="9"/>
  <c r="B664" i="9"/>
  <c r="A664" i="9"/>
  <c r="Q663" i="9"/>
  <c r="L663" i="9"/>
  <c r="K663" i="9"/>
  <c r="J663" i="9"/>
  <c r="I663" i="9"/>
  <c r="H663" i="9"/>
  <c r="G663" i="9"/>
  <c r="F663" i="9"/>
  <c r="D663" i="9"/>
  <c r="C663" i="9"/>
  <c r="B663" i="9"/>
  <c r="A663" i="9"/>
  <c r="Q662" i="9"/>
  <c r="L662" i="9"/>
  <c r="K662" i="9"/>
  <c r="J662" i="9"/>
  <c r="I662" i="9"/>
  <c r="H662" i="9"/>
  <c r="G662" i="9"/>
  <c r="M662" i="9" s="1"/>
  <c r="F662" i="9"/>
  <c r="D662" i="9"/>
  <c r="C662" i="9"/>
  <c r="B662" i="9"/>
  <c r="A662" i="9"/>
  <c r="Q661" i="9"/>
  <c r="L661" i="9"/>
  <c r="K661" i="9"/>
  <c r="J661" i="9"/>
  <c r="I661" i="9"/>
  <c r="H661" i="9"/>
  <c r="G661" i="9"/>
  <c r="F661" i="9"/>
  <c r="D661" i="9"/>
  <c r="C661" i="9"/>
  <c r="B661" i="9"/>
  <c r="A661" i="9"/>
  <c r="Q660" i="9"/>
  <c r="L660" i="9"/>
  <c r="K660" i="9"/>
  <c r="J660" i="9"/>
  <c r="I660" i="9"/>
  <c r="H660" i="9"/>
  <c r="G660" i="9"/>
  <c r="F660" i="9"/>
  <c r="D660" i="9"/>
  <c r="C660" i="9"/>
  <c r="B660" i="9"/>
  <c r="A660" i="9"/>
  <c r="Q659" i="9"/>
  <c r="L659" i="9"/>
  <c r="K659" i="9"/>
  <c r="J659" i="9"/>
  <c r="I659" i="9"/>
  <c r="H659" i="9"/>
  <c r="G659" i="9"/>
  <c r="F659" i="9"/>
  <c r="D659" i="9"/>
  <c r="C659" i="9"/>
  <c r="B659" i="9"/>
  <c r="A659" i="9"/>
  <c r="Q658" i="9"/>
  <c r="L658" i="9"/>
  <c r="K658" i="9"/>
  <c r="J658" i="9"/>
  <c r="I658" i="9"/>
  <c r="H658" i="9"/>
  <c r="G658" i="9"/>
  <c r="M658" i="9" s="1"/>
  <c r="O658" i="9" s="1"/>
  <c r="F658" i="9"/>
  <c r="D658" i="9"/>
  <c r="C658" i="9"/>
  <c r="B658" i="9"/>
  <c r="A658" i="9"/>
  <c r="Q657" i="9"/>
  <c r="L657" i="9"/>
  <c r="K657" i="9"/>
  <c r="J657" i="9"/>
  <c r="I657" i="9"/>
  <c r="H657" i="9"/>
  <c r="G657" i="9"/>
  <c r="F657" i="9"/>
  <c r="D657" i="9"/>
  <c r="C657" i="9"/>
  <c r="B657" i="9"/>
  <c r="A657" i="9"/>
  <c r="Q656" i="9"/>
  <c r="L656" i="9"/>
  <c r="K656" i="9"/>
  <c r="J656" i="9"/>
  <c r="I656" i="9"/>
  <c r="H656" i="9"/>
  <c r="G656" i="9"/>
  <c r="F656" i="9"/>
  <c r="D656" i="9"/>
  <c r="C656" i="9"/>
  <c r="B656" i="9"/>
  <c r="A656" i="9"/>
  <c r="Q655" i="9"/>
  <c r="L655" i="9"/>
  <c r="K655" i="9"/>
  <c r="J655" i="9"/>
  <c r="I655" i="9"/>
  <c r="H655" i="9"/>
  <c r="G655" i="9"/>
  <c r="F655" i="9"/>
  <c r="D655" i="9"/>
  <c r="C655" i="9"/>
  <c r="B655" i="9"/>
  <c r="A655" i="9"/>
  <c r="Q654" i="9"/>
  <c r="L654" i="9"/>
  <c r="K654" i="9"/>
  <c r="J654" i="9"/>
  <c r="I654" i="9"/>
  <c r="H654" i="9"/>
  <c r="G654" i="9"/>
  <c r="F654" i="9"/>
  <c r="D654" i="9"/>
  <c r="C654" i="9"/>
  <c r="B654" i="9"/>
  <c r="A654" i="9"/>
  <c r="Q653" i="9"/>
  <c r="L653" i="9"/>
  <c r="K653" i="9"/>
  <c r="J653" i="9"/>
  <c r="I653" i="9"/>
  <c r="H653" i="9"/>
  <c r="G653" i="9"/>
  <c r="F653" i="9"/>
  <c r="D653" i="9"/>
  <c r="C653" i="9"/>
  <c r="B653" i="9"/>
  <c r="A653" i="9"/>
  <c r="Q652" i="9"/>
  <c r="L652" i="9"/>
  <c r="K652" i="9"/>
  <c r="J652" i="9"/>
  <c r="I652" i="9"/>
  <c r="H652" i="9"/>
  <c r="G652" i="9"/>
  <c r="M652" i="9" s="1"/>
  <c r="P652" i="9" s="1"/>
  <c r="F652" i="9"/>
  <c r="D652" i="9"/>
  <c r="C652" i="9"/>
  <c r="B652" i="9"/>
  <c r="A652" i="9"/>
  <c r="Q651" i="9"/>
  <c r="L651" i="9"/>
  <c r="K651" i="9"/>
  <c r="J651" i="9"/>
  <c r="I651" i="9"/>
  <c r="H651" i="9"/>
  <c r="G651" i="9"/>
  <c r="F651" i="9"/>
  <c r="D651" i="9"/>
  <c r="C651" i="9"/>
  <c r="B651" i="9"/>
  <c r="A651" i="9"/>
  <c r="Q650" i="9"/>
  <c r="L650" i="9"/>
  <c r="K650" i="9"/>
  <c r="J650" i="9"/>
  <c r="I650" i="9"/>
  <c r="H650" i="9"/>
  <c r="G650" i="9"/>
  <c r="F650" i="9"/>
  <c r="D650" i="9"/>
  <c r="C650" i="9"/>
  <c r="B650" i="9"/>
  <c r="A650" i="9"/>
  <c r="Q649" i="9"/>
  <c r="L649" i="9"/>
  <c r="K649" i="9"/>
  <c r="J649" i="9"/>
  <c r="I649" i="9"/>
  <c r="H649" i="9"/>
  <c r="G649" i="9"/>
  <c r="F649" i="9"/>
  <c r="D649" i="9"/>
  <c r="C649" i="9"/>
  <c r="B649" i="9"/>
  <c r="A649" i="9"/>
  <c r="Q648" i="9"/>
  <c r="L648" i="9"/>
  <c r="K648" i="9"/>
  <c r="J648" i="9"/>
  <c r="I648" i="9"/>
  <c r="H648" i="9"/>
  <c r="G648" i="9"/>
  <c r="M648" i="9" s="1"/>
  <c r="P648" i="9" s="1"/>
  <c r="F648" i="9"/>
  <c r="D648" i="9"/>
  <c r="C648" i="9"/>
  <c r="B648" i="9"/>
  <c r="A648" i="9"/>
  <c r="Q647" i="9"/>
  <c r="L647" i="9"/>
  <c r="K647" i="9"/>
  <c r="J647" i="9"/>
  <c r="I647" i="9"/>
  <c r="H647" i="9"/>
  <c r="G647" i="9"/>
  <c r="F647" i="9"/>
  <c r="D647" i="9"/>
  <c r="C647" i="9"/>
  <c r="B647" i="9"/>
  <c r="A647" i="9"/>
  <c r="Q646" i="9"/>
  <c r="L646" i="9"/>
  <c r="K646" i="9"/>
  <c r="J646" i="9"/>
  <c r="I646" i="9"/>
  <c r="H646" i="9"/>
  <c r="G646" i="9"/>
  <c r="F646" i="9"/>
  <c r="D646" i="9"/>
  <c r="C646" i="9"/>
  <c r="B646" i="9"/>
  <c r="A646" i="9"/>
  <c r="Q645" i="9"/>
  <c r="L645" i="9"/>
  <c r="K645" i="9"/>
  <c r="J645" i="9"/>
  <c r="I645" i="9"/>
  <c r="H645" i="9"/>
  <c r="G645" i="9"/>
  <c r="F645" i="9"/>
  <c r="D645" i="9"/>
  <c r="C645" i="9"/>
  <c r="B645" i="9"/>
  <c r="A645" i="9"/>
  <c r="Q644" i="9"/>
  <c r="L644" i="9"/>
  <c r="K644" i="9"/>
  <c r="J644" i="9"/>
  <c r="I644" i="9"/>
  <c r="H644" i="9"/>
  <c r="G644" i="9"/>
  <c r="F644" i="9"/>
  <c r="D644" i="9"/>
  <c r="C644" i="9"/>
  <c r="B644" i="9"/>
  <c r="A644" i="9"/>
  <c r="Q643" i="9"/>
  <c r="L643" i="9"/>
  <c r="K643" i="9"/>
  <c r="J643" i="9"/>
  <c r="I643" i="9"/>
  <c r="H643" i="9"/>
  <c r="G643" i="9"/>
  <c r="F643" i="9"/>
  <c r="D643" i="9"/>
  <c r="C643" i="9"/>
  <c r="B643" i="9"/>
  <c r="A643" i="9"/>
  <c r="Q642" i="9"/>
  <c r="L642" i="9"/>
  <c r="K642" i="9"/>
  <c r="J642" i="9"/>
  <c r="I642" i="9"/>
  <c r="H642" i="9"/>
  <c r="G642" i="9"/>
  <c r="F642" i="9"/>
  <c r="D642" i="9"/>
  <c r="C642" i="9"/>
  <c r="B642" i="9"/>
  <c r="A642" i="9"/>
  <c r="Q641" i="9"/>
  <c r="L641" i="9"/>
  <c r="K641" i="9"/>
  <c r="J641" i="9"/>
  <c r="I641" i="9"/>
  <c r="H641" i="9"/>
  <c r="G641" i="9"/>
  <c r="F641" i="9"/>
  <c r="D641" i="9"/>
  <c r="C641" i="9"/>
  <c r="B641" i="9"/>
  <c r="A641" i="9"/>
  <c r="Q640" i="9"/>
  <c r="L640" i="9"/>
  <c r="K640" i="9"/>
  <c r="J640" i="9"/>
  <c r="I640" i="9"/>
  <c r="H640" i="9"/>
  <c r="G640" i="9"/>
  <c r="F640" i="9"/>
  <c r="D640" i="9"/>
  <c r="C640" i="9"/>
  <c r="B640" i="9"/>
  <c r="A640" i="9"/>
  <c r="Q639" i="9"/>
  <c r="L639" i="9"/>
  <c r="K639" i="9"/>
  <c r="J639" i="9"/>
  <c r="I639" i="9"/>
  <c r="H639" i="9"/>
  <c r="G639" i="9"/>
  <c r="F639" i="9"/>
  <c r="D639" i="9"/>
  <c r="C639" i="9"/>
  <c r="B639" i="9"/>
  <c r="A639" i="9"/>
  <c r="Q638" i="9"/>
  <c r="L638" i="9"/>
  <c r="K638" i="9"/>
  <c r="J638" i="9"/>
  <c r="I638" i="9"/>
  <c r="H638" i="9"/>
  <c r="G638" i="9"/>
  <c r="F638" i="9"/>
  <c r="D638" i="9"/>
  <c r="C638" i="9"/>
  <c r="B638" i="9"/>
  <c r="A638" i="9"/>
  <c r="Q637" i="9"/>
  <c r="L637" i="9"/>
  <c r="K637" i="9"/>
  <c r="J637" i="9"/>
  <c r="I637" i="9"/>
  <c r="H637" i="9"/>
  <c r="G637" i="9"/>
  <c r="F637" i="9"/>
  <c r="D637" i="9"/>
  <c r="C637" i="9"/>
  <c r="B637" i="9"/>
  <c r="A637" i="9"/>
  <c r="Q636" i="9"/>
  <c r="L636" i="9"/>
  <c r="K636" i="9"/>
  <c r="J636" i="9"/>
  <c r="I636" i="9"/>
  <c r="H636" i="9"/>
  <c r="G636" i="9"/>
  <c r="F636" i="9"/>
  <c r="D636" i="9"/>
  <c r="C636" i="9"/>
  <c r="B636" i="9"/>
  <c r="A636" i="9"/>
  <c r="Q635" i="9"/>
  <c r="L635" i="9"/>
  <c r="K635" i="9"/>
  <c r="J635" i="9"/>
  <c r="I635" i="9"/>
  <c r="H635" i="9"/>
  <c r="G635" i="9"/>
  <c r="F635" i="9"/>
  <c r="D635" i="9"/>
  <c r="C635" i="9"/>
  <c r="B635" i="9"/>
  <c r="A635" i="9"/>
  <c r="Q634" i="9"/>
  <c r="L634" i="9"/>
  <c r="K634" i="9"/>
  <c r="J634" i="9"/>
  <c r="I634" i="9"/>
  <c r="H634" i="9"/>
  <c r="G634" i="9"/>
  <c r="F634" i="9"/>
  <c r="D634" i="9"/>
  <c r="C634" i="9"/>
  <c r="B634" i="9"/>
  <c r="A634" i="9"/>
  <c r="Q633" i="9"/>
  <c r="L633" i="9"/>
  <c r="K633" i="9"/>
  <c r="J633" i="9"/>
  <c r="I633" i="9"/>
  <c r="H633" i="9"/>
  <c r="G633" i="9"/>
  <c r="F633" i="9"/>
  <c r="D633" i="9"/>
  <c r="C633" i="9"/>
  <c r="B633" i="9"/>
  <c r="A633" i="9"/>
  <c r="Q632" i="9"/>
  <c r="L632" i="9"/>
  <c r="K632" i="9"/>
  <c r="J632" i="9"/>
  <c r="I632" i="9"/>
  <c r="H632" i="9"/>
  <c r="G632" i="9"/>
  <c r="F632" i="9"/>
  <c r="D632" i="9"/>
  <c r="C632" i="9"/>
  <c r="B632" i="9"/>
  <c r="A632" i="9"/>
  <c r="Q631" i="9"/>
  <c r="L631" i="9"/>
  <c r="K631" i="9"/>
  <c r="J631" i="9"/>
  <c r="I631" i="9"/>
  <c r="H631" i="9"/>
  <c r="G631" i="9"/>
  <c r="F631" i="9"/>
  <c r="D631" i="9"/>
  <c r="C631" i="9"/>
  <c r="B631" i="9"/>
  <c r="A631" i="9"/>
  <c r="Q630" i="9"/>
  <c r="L630" i="9"/>
  <c r="K630" i="9"/>
  <c r="J630" i="9"/>
  <c r="I630" i="9"/>
  <c r="H630" i="9"/>
  <c r="G630" i="9"/>
  <c r="F630" i="9"/>
  <c r="D630" i="9"/>
  <c r="C630" i="9"/>
  <c r="B630" i="9"/>
  <c r="A630" i="9"/>
  <c r="Q629" i="9"/>
  <c r="L629" i="9"/>
  <c r="K629" i="9"/>
  <c r="J629" i="9"/>
  <c r="I629" i="9"/>
  <c r="H629" i="9"/>
  <c r="G629" i="9"/>
  <c r="F629" i="9"/>
  <c r="D629" i="9"/>
  <c r="C629" i="9"/>
  <c r="B629" i="9"/>
  <c r="A629" i="9"/>
  <c r="Q628" i="9"/>
  <c r="L628" i="9"/>
  <c r="K628" i="9"/>
  <c r="J628" i="9"/>
  <c r="I628" i="9"/>
  <c r="H628" i="9"/>
  <c r="G628" i="9"/>
  <c r="F628" i="9"/>
  <c r="D628" i="9"/>
  <c r="C628" i="9"/>
  <c r="B628" i="9"/>
  <c r="A628" i="9"/>
  <c r="Q627" i="9"/>
  <c r="L627" i="9"/>
  <c r="K627" i="9"/>
  <c r="J627" i="9"/>
  <c r="I627" i="9"/>
  <c r="H627" i="9"/>
  <c r="G627" i="9"/>
  <c r="F627" i="9"/>
  <c r="D627" i="9"/>
  <c r="C627" i="9"/>
  <c r="B627" i="9"/>
  <c r="A627" i="9"/>
  <c r="Q626" i="9"/>
  <c r="L626" i="9"/>
  <c r="K626" i="9"/>
  <c r="J626" i="9"/>
  <c r="I626" i="9"/>
  <c r="H626" i="9"/>
  <c r="G626" i="9"/>
  <c r="F626" i="9"/>
  <c r="D626" i="9"/>
  <c r="C626" i="9"/>
  <c r="B626" i="9"/>
  <c r="A626" i="9"/>
  <c r="Q625" i="9"/>
  <c r="L625" i="9"/>
  <c r="K625" i="9"/>
  <c r="J625" i="9"/>
  <c r="I625" i="9"/>
  <c r="H625" i="9"/>
  <c r="G625" i="9"/>
  <c r="F625" i="9"/>
  <c r="D625" i="9"/>
  <c r="C625" i="9"/>
  <c r="B625" i="9"/>
  <c r="A625" i="9"/>
  <c r="Q624" i="9"/>
  <c r="L624" i="9"/>
  <c r="K624" i="9"/>
  <c r="J624" i="9"/>
  <c r="I624" i="9"/>
  <c r="H624" i="9"/>
  <c r="G624" i="9"/>
  <c r="F624" i="9"/>
  <c r="D624" i="9"/>
  <c r="C624" i="9"/>
  <c r="B624" i="9"/>
  <c r="A624" i="9"/>
  <c r="Q623" i="9"/>
  <c r="L623" i="9"/>
  <c r="K623" i="9"/>
  <c r="J623" i="9"/>
  <c r="I623" i="9"/>
  <c r="H623" i="9"/>
  <c r="G623" i="9"/>
  <c r="F623" i="9"/>
  <c r="D623" i="9"/>
  <c r="C623" i="9"/>
  <c r="B623" i="9"/>
  <c r="A623" i="9"/>
  <c r="Q622" i="9"/>
  <c r="L622" i="9"/>
  <c r="K622" i="9"/>
  <c r="J622" i="9"/>
  <c r="I622" i="9"/>
  <c r="H622" i="9"/>
  <c r="G622" i="9"/>
  <c r="F622" i="9"/>
  <c r="D622" i="9"/>
  <c r="C622" i="9"/>
  <c r="B622" i="9"/>
  <c r="A622" i="9"/>
  <c r="Q621" i="9"/>
  <c r="L621" i="9"/>
  <c r="K621" i="9"/>
  <c r="J621" i="9"/>
  <c r="I621" i="9"/>
  <c r="H621" i="9"/>
  <c r="G621" i="9"/>
  <c r="F621" i="9"/>
  <c r="D621" i="9"/>
  <c r="C621" i="9"/>
  <c r="B621" i="9"/>
  <c r="A621" i="9"/>
  <c r="Q620" i="9"/>
  <c r="L620" i="9"/>
  <c r="K620" i="9"/>
  <c r="J620" i="9"/>
  <c r="I620" i="9"/>
  <c r="H620" i="9"/>
  <c r="G620" i="9"/>
  <c r="F620" i="9"/>
  <c r="D620" i="9"/>
  <c r="C620" i="9"/>
  <c r="B620" i="9"/>
  <c r="A620" i="9"/>
  <c r="Q619" i="9"/>
  <c r="L619" i="9"/>
  <c r="K619" i="9"/>
  <c r="J619" i="9"/>
  <c r="I619" i="9"/>
  <c r="H619" i="9"/>
  <c r="G619" i="9"/>
  <c r="F619" i="9"/>
  <c r="D619" i="9"/>
  <c r="C619" i="9"/>
  <c r="B619" i="9"/>
  <c r="A619" i="9"/>
  <c r="Q618" i="9"/>
  <c r="L618" i="9"/>
  <c r="K618" i="9"/>
  <c r="J618" i="9"/>
  <c r="I618" i="9"/>
  <c r="H618" i="9"/>
  <c r="G618" i="9"/>
  <c r="F618" i="9"/>
  <c r="D618" i="9"/>
  <c r="C618" i="9"/>
  <c r="B618" i="9"/>
  <c r="A618" i="9"/>
  <c r="Q617" i="9"/>
  <c r="L617" i="9"/>
  <c r="K617" i="9"/>
  <c r="J617" i="9"/>
  <c r="I617" i="9"/>
  <c r="H617" i="9"/>
  <c r="G617" i="9"/>
  <c r="F617" i="9"/>
  <c r="D617" i="9"/>
  <c r="C617" i="9"/>
  <c r="B617" i="9"/>
  <c r="A617" i="9"/>
  <c r="Q616" i="9"/>
  <c r="L616" i="9"/>
  <c r="K616" i="9"/>
  <c r="J616" i="9"/>
  <c r="I616" i="9"/>
  <c r="H616" i="9"/>
  <c r="G616" i="9"/>
  <c r="F616" i="9"/>
  <c r="D616" i="9"/>
  <c r="C616" i="9"/>
  <c r="B616" i="9"/>
  <c r="A616" i="9"/>
  <c r="Q615" i="9"/>
  <c r="L615" i="9"/>
  <c r="K615" i="9"/>
  <c r="J615" i="9"/>
  <c r="I615" i="9"/>
  <c r="H615" i="9"/>
  <c r="G615" i="9"/>
  <c r="F615" i="9"/>
  <c r="D615" i="9"/>
  <c r="C615" i="9"/>
  <c r="B615" i="9"/>
  <c r="A615" i="9"/>
  <c r="Q614" i="9"/>
  <c r="L614" i="9"/>
  <c r="K614" i="9"/>
  <c r="J614" i="9"/>
  <c r="I614" i="9"/>
  <c r="H614" i="9"/>
  <c r="G614" i="9"/>
  <c r="F614" i="9"/>
  <c r="D614" i="9"/>
  <c r="C614" i="9"/>
  <c r="B614" i="9"/>
  <c r="A614" i="9"/>
  <c r="Q613" i="9"/>
  <c r="L613" i="9"/>
  <c r="K613" i="9"/>
  <c r="J613" i="9"/>
  <c r="I613" i="9"/>
  <c r="H613" i="9"/>
  <c r="G613" i="9"/>
  <c r="F613" i="9"/>
  <c r="D613" i="9"/>
  <c r="C613" i="9"/>
  <c r="B613" i="9"/>
  <c r="A613" i="9"/>
  <c r="Q612" i="9"/>
  <c r="L612" i="9"/>
  <c r="K612" i="9"/>
  <c r="J612" i="9"/>
  <c r="I612" i="9"/>
  <c r="H612" i="9"/>
  <c r="G612" i="9"/>
  <c r="F612" i="9"/>
  <c r="D612" i="9"/>
  <c r="C612" i="9"/>
  <c r="B612" i="9"/>
  <c r="A612" i="9"/>
  <c r="Q611" i="9"/>
  <c r="L611" i="9"/>
  <c r="K611" i="9"/>
  <c r="J611" i="9"/>
  <c r="I611" i="9"/>
  <c r="H611" i="9"/>
  <c r="G611" i="9"/>
  <c r="F611" i="9"/>
  <c r="D611" i="9"/>
  <c r="C611" i="9"/>
  <c r="B611" i="9"/>
  <c r="A611" i="9"/>
  <c r="Q610" i="9"/>
  <c r="L610" i="9"/>
  <c r="K610" i="9"/>
  <c r="J610" i="9"/>
  <c r="I610" i="9"/>
  <c r="H610" i="9"/>
  <c r="G610" i="9"/>
  <c r="F610" i="9"/>
  <c r="D610" i="9"/>
  <c r="C610" i="9"/>
  <c r="B610" i="9"/>
  <c r="A610" i="9"/>
  <c r="Q609" i="9"/>
  <c r="L609" i="9"/>
  <c r="K609" i="9"/>
  <c r="J609" i="9"/>
  <c r="I609" i="9"/>
  <c r="H609" i="9"/>
  <c r="G609" i="9"/>
  <c r="M609" i="9" s="1"/>
  <c r="P609" i="9" s="1"/>
  <c r="F609" i="9"/>
  <c r="D609" i="9"/>
  <c r="C609" i="9"/>
  <c r="B609" i="9"/>
  <c r="A609" i="9"/>
  <c r="Q608" i="9"/>
  <c r="L608" i="9"/>
  <c r="K608" i="9"/>
  <c r="J608" i="9"/>
  <c r="I608" i="9"/>
  <c r="H608" i="9"/>
  <c r="G608" i="9"/>
  <c r="F608" i="9"/>
  <c r="D608" i="9"/>
  <c r="C608" i="9"/>
  <c r="B608" i="9"/>
  <c r="A608" i="9"/>
  <c r="Q607" i="9"/>
  <c r="L607" i="9"/>
  <c r="K607" i="9"/>
  <c r="J607" i="9"/>
  <c r="I607" i="9"/>
  <c r="H607" i="9"/>
  <c r="G607" i="9"/>
  <c r="F607" i="9"/>
  <c r="D607" i="9"/>
  <c r="C607" i="9"/>
  <c r="B607" i="9"/>
  <c r="A607" i="9"/>
  <c r="Q606" i="9"/>
  <c r="L606" i="9"/>
  <c r="K606" i="9"/>
  <c r="J606" i="9"/>
  <c r="I606" i="9"/>
  <c r="H606" i="9"/>
  <c r="G606" i="9"/>
  <c r="F606" i="9"/>
  <c r="D606" i="9"/>
  <c r="C606" i="9"/>
  <c r="B606" i="9"/>
  <c r="A606" i="9"/>
  <c r="Q605" i="9"/>
  <c r="L605" i="9"/>
  <c r="K605" i="9"/>
  <c r="J605" i="9"/>
  <c r="I605" i="9"/>
  <c r="H605" i="9"/>
  <c r="G605" i="9"/>
  <c r="F605" i="9"/>
  <c r="D605" i="9"/>
  <c r="C605" i="9"/>
  <c r="B605" i="9"/>
  <c r="A605" i="9"/>
  <c r="Q604" i="9"/>
  <c r="L604" i="9"/>
  <c r="K604" i="9"/>
  <c r="J604" i="9"/>
  <c r="I604" i="9"/>
  <c r="H604" i="9"/>
  <c r="G604" i="9"/>
  <c r="F604" i="9"/>
  <c r="D604" i="9"/>
  <c r="C604" i="9"/>
  <c r="B604" i="9"/>
  <c r="A604" i="9"/>
  <c r="Q603" i="9"/>
  <c r="L603" i="9"/>
  <c r="K603" i="9"/>
  <c r="J603" i="9"/>
  <c r="I603" i="9"/>
  <c r="H603" i="9"/>
  <c r="G603" i="9"/>
  <c r="F603" i="9"/>
  <c r="D603" i="9"/>
  <c r="C603" i="9"/>
  <c r="B603" i="9"/>
  <c r="A603" i="9"/>
  <c r="Q602" i="9"/>
  <c r="L602" i="9"/>
  <c r="K602" i="9"/>
  <c r="J602" i="9"/>
  <c r="I602" i="9"/>
  <c r="H602" i="9"/>
  <c r="G602" i="9"/>
  <c r="F602" i="9"/>
  <c r="D602" i="9"/>
  <c r="C602" i="9"/>
  <c r="B602" i="9"/>
  <c r="A602" i="9"/>
  <c r="Q601" i="9"/>
  <c r="L601" i="9"/>
  <c r="K601" i="9"/>
  <c r="J601" i="9"/>
  <c r="I601" i="9"/>
  <c r="H601" i="9"/>
  <c r="G601" i="9"/>
  <c r="F601" i="9"/>
  <c r="D601" i="9"/>
  <c r="C601" i="9"/>
  <c r="B601" i="9"/>
  <c r="A601" i="9"/>
  <c r="Q600" i="9"/>
  <c r="L600" i="9"/>
  <c r="K600" i="9"/>
  <c r="J600" i="9"/>
  <c r="I600" i="9"/>
  <c r="H600" i="9"/>
  <c r="G600" i="9"/>
  <c r="F600" i="9"/>
  <c r="D600" i="9"/>
  <c r="C600" i="9"/>
  <c r="B600" i="9"/>
  <c r="A600" i="9"/>
  <c r="Q599" i="9"/>
  <c r="L599" i="9"/>
  <c r="K599" i="9"/>
  <c r="J599" i="9"/>
  <c r="I599" i="9"/>
  <c r="H599" i="9"/>
  <c r="G599" i="9"/>
  <c r="M599" i="9" s="1"/>
  <c r="F599" i="9"/>
  <c r="D599" i="9"/>
  <c r="C599" i="9"/>
  <c r="B599" i="9"/>
  <c r="A599" i="9"/>
  <c r="Q598" i="9"/>
  <c r="L598" i="9"/>
  <c r="K598" i="9"/>
  <c r="J598" i="9"/>
  <c r="I598" i="9"/>
  <c r="H598" i="9"/>
  <c r="G598" i="9"/>
  <c r="F598" i="9"/>
  <c r="D598" i="9"/>
  <c r="C598" i="9"/>
  <c r="B598" i="9"/>
  <c r="A598" i="9"/>
  <c r="Q597" i="9"/>
  <c r="L597" i="9"/>
  <c r="K597" i="9"/>
  <c r="J597" i="9"/>
  <c r="I597" i="9"/>
  <c r="H597" i="9"/>
  <c r="G597" i="9"/>
  <c r="F597" i="9"/>
  <c r="D597" i="9"/>
  <c r="C597" i="9"/>
  <c r="B597" i="9"/>
  <c r="A597" i="9"/>
  <c r="Q596" i="9"/>
  <c r="L596" i="9"/>
  <c r="K596" i="9"/>
  <c r="J596" i="9"/>
  <c r="I596" i="9"/>
  <c r="H596" i="9"/>
  <c r="G596" i="9"/>
  <c r="F596" i="9"/>
  <c r="D596" i="9"/>
  <c r="C596" i="9"/>
  <c r="B596" i="9"/>
  <c r="A596" i="9"/>
  <c r="Q595" i="9"/>
  <c r="L595" i="9"/>
  <c r="K595" i="9"/>
  <c r="J595" i="9"/>
  <c r="I595" i="9"/>
  <c r="H595" i="9"/>
  <c r="G595" i="9"/>
  <c r="F595" i="9"/>
  <c r="D595" i="9"/>
  <c r="C595" i="9"/>
  <c r="B595" i="9"/>
  <c r="A595" i="9"/>
  <c r="Q594" i="9"/>
  <c r="L594" i="9"/>
  <c r="K594" i="9"/>
  <c r="J594" i="9"/>
  <c r="I594" i="9"/>
  <c r="H594" i="9"/>
  <c r="G594" i="9"/>
  <c r="F594" i="9"/>
  <c r="D594" i="9"/>
  <c r="C594" i="9"/>
  <c r="B594" i="9"/>
  <c r="A594" i="9"/>
  <c r="Q593" i="9"/>
  <c r="L593" i="9"/>
  <c r="K593" i="9"/>
  <c r="J593" i="9"/>
  <c r="I593" i="9"/>
  <c r="H593" i="9"/>
  <c r="G593" i="9"/>
  <c r="F593" i="9"/>
  <c r="D593" i="9"/>
  <c r="C593" i="9"/>
  <c r="B593" i="9"/>
  <c r="A593" i="9"/>
  <c r="Q592" i="9"/>
  <c r="L592" i="9"/>
  <c r="K592" i="9"/>
  <c r="J592" i="9"/>
  <c r="I592" i="9"/>
  <c r="H592" i="9"/>
  <c r="G592" i="9"/>
  <c r="F592" i="9"/>
  <c r="D592" i="9"/>
  <c r="C592" i="9"/>
  <c r="B592" i="9"/>
  <c r="A592" i="9"/>
  <c r="Q591" i="9"/>
  <c r="L591" i="9"/>
  <c r="K591" i="9"/>
  <c r="J591" i="9"/>
  <c r="I591" i="9"/>
  <c r="H591" i="9"/>
  <c r="G591" i="9"/>
  <c r="M591" i="9" s="1"/>
  <c r="F591" i="9"/>
  <c r="D591" i="9"/>
  <c r="C591" i="9"/>
  <c r="B591" i="9"/>
  <c r="A591" i="9"/>
  <c r="Q590" i="9"/>
  <c r="L590" i="9"/>
  <c r="K590" i="9"/>
  <c r="J590" i="9"/>
  <c r="I590" i="9"/>
  <c r="H590" i="9"/>
  <c r="G590" i="9"/>
  <c r="F590" i="9"/>
  <c r="D590" i="9"/>
  <c r="C590" i="9"/>
  <c r="B590" i="9"/>
  <c r="A590" i="9"/>
  <c r="Q589" i="9"/>
  <c r="L589" i="9"/>
  <c r="K589" i="9"/>
  <c r="J589" i="9"/>
  <c r="I589" i="9"/>
  <c r="H589" i="9"/>
  <c r="G589" i="9"/>
  <c r="F589" i="9"/>
  <c r="D589" i="9"/>
  <c r="C589" i="9"/>
  <c r="B589" i="9"/>
  <c r="A589" i="9"/>
  <c r="Q588" i="9"/>
  <c r="L588" i="9"/>
  <c r="K588" i="9"/>
  <c r="J588" i="9"/>
  <c r="I588" i="9"/>
  <c r="H588" i="9"/>
  <c r="G588" i="9"/>
  <c r="F588" i="9"/>
  <c r="D588" i="9"/>
  <c r="C588" i="9"/>
  <c r="B588" i="9"/>
  <c r="A588" i="9"/>
  <c r="Q587" i="9"/>
  <c r="L587" i="9"/>
  <c r="K587" i="9"/>
  <c r="J587" i="9"/>
  <c r="I587" i="9"/>
  <c r="H587" i="9"/>
  <c r="G587" i="9"/>
  <c r="F587" i="9"/>
  <c r="D587" i="9"/>
  <c r="C587" i="9"/>
  <c r="B587" i="9"/>
  <c r="A587" i="9"/>
  <c r="Q586" i="9"/>
  <c r="L586" i="9"/>
  <c r="K586" i="9"/>
  <c r="J586" i="9"/>
  <c r="I586" i="9"/>
  <c r="H586" i="9"/>
  <c r="G586" i="9"/>
  <c r="F586" i="9"/>
  <c r="D586" i="9"/>
  <c r="C586" i="9"/>
  <c r="B586" i="9"/>
  <c r="A586" i="9"/>
  <c r="Q585" i="9"/>
  <c r="L585" i="9"/>
  <c r="K585" i="9"/>
  <c r="J585" i="9"/>
  <c r="I585" i="9"/>
  <c r="H585" i="9"/>
  <c r="G585" i="9"/>
  <c r="F585" i="9"/>
  <c r="D585" i="9"/>
  <c r="C585" i="9"/>
  <c r="B585" i="9"/>
  <c r="A585" i="9"/>
  <c r="Q584" i="9"/>
  <c r="L584" i="9"/>
  <c r="K584" i="9"/>
  <c r="J584" i="9"/>
  <c r="I584" i="9"/>
  <c r="H584" i="9"/>
  <c r="G584" i="9"/>
  <c r="F584" i="9"/>
  <c r="D584" i="9"/>
  <c r="C584" i="9"/>
  <c r="B584" i="9"/>
  <c r="A584" i="9"/>
  <c r="Q583" i="9"/>
  <c r="L583" i="9"/>
  <c r="K583" i="9"/>
  <c r="J583" i="9"/>
  <c r="I583" i="9"/>
  <c r="H583" i="9"/>
  <c r="G583" i="9"/>
  <c r="M583" i="9" s="1"/>
  <c r="F583" i="9"/>
  <c r="D583" i="9"/>
  <c r="C583" i="9"/>
  <c r="B583" i="9"/>
  <c r="A583" i="9"/>
  <c r="Q582" i="9"/>
  <c r="L582" i="9"/>
  <c r="K582" i="9"/>
  <c r="J582" i="9"/>
  <c r="I582" i="9"/>
  <c r="H582" i="9"/>
  <c r="G582" i="9"/>
  <c r="F582" i="9"/>
  <c r="D582" i="9"/>
  <c r="C582" i="9"/>
  <c r="B582" i="9"/>
  <c r="A582" i="9"/>
  <c r="Q581" i="9"/>
  <c r="L581" i="9"/>
  <c r="K581" i="9"/>
  <c r="J581" i="9"/>
  <c r="I581" i="9"/>
  <c r="H581" i="9"/>
  <c r="G581" i="9"/>
  <c r="F581" i="9"/>
  <c r="D581" i="9"/>
  <c r="C581" i="9"/>
  <c r="B581" i="9"/>
  <c r="A581" i="9"/>
  <c r="Q580" i="9"/>
  <c r="L580" i="9"/>
  <c r="K580" i="9"/>
  <c r="J580" i="9"/>
  <c r="I580" i="9"/>
  <c r="H580" i="9"/>
  <c r="G580" i="9"/>
  <c r="F580" i="9"/>
  <c r="D580" i="9"/>
  <c r="C580" i="9"/>
  <c r="B580" i="9"/>
  <c r="A580" i="9"/>
  <c r="Q579" i="9"/>
  <c r="L579" i="9"/>
  <c r="K579" i="9"/>
  <c r="J579" i="9"/>
  <c r="I579" i="9"/>
  <c r="H579" i="9"/>
  <c r="G579" i="9"/>
  <c r="F579" i="9"/>
  <c r="D579" i="9"/>
  <c r="C579" i="9"/>
  <c r="B579" i="9"/>
  <c r="A579" i="9"/>
  <c r="Q578" i="9"/>
  <c r="L578" i="9"/>
  <c r="K578" i="9"/>
  <c r="J578" i="9"/>
  <c r="I578" i="9"/>
  <c r="H578" i="9"/>
  <c r="G578" i="9"/>
  <c r="F578" i="9"/>
  <c r="D578" i="9"/>
  <c r="C578" i="9"/>
  <c r="B578" i="9"/>
  <c r="A578" i="9"/>
  <c r="Q577" i="9"/>
  <c r="L577" i="9"/>
  <c r="K577" i="9"/>
  <c r="J577" i="9"/>
  <c r="I577" i="9"/>
  <c r="H577" i="9"/>
  <c r="G577" i="9"/>
  <c r="F577" i="9"/>
  <c r="D577" i="9"/>
  <c r="C577" i="9"/>
  <c r="B577" i="9"/>
  <c r="A577" i="9"/>
  <c r="Q576" i="9"/>
  <c r="L576" i="9"/>
  <c r="K576" i="9"/>
  <c r="J576" i="9"/>
  <c r="I576" i="9"/>
  <c r="H576" i="9"/>
  <c r="G576" i="9"/>
  <c r="F576" i="9"/>
  <c r="D576" i="9"/>
  <c r="C576" i="9"/>
  <c r="B576" i="9"/>
  <c r="A576" i="9"/>
  <c r="Q575" i="9"/>
  <c r="L575" i="9"/>
  <c r="K575" i="9"/>
  <c r="J575" i="9"/>
  <c r="I575" i="9"/>
  <c r="H575" i="9"/>
  <c r="G575" i="9"/>
  <c r="F575" i="9"/>
  <c r="D575" i="9"/>
  <c r="C575" i="9"/>
  <c r="B575" i="9"/>
  <c r="A575" i="9"/>
  <c r="Q574" i="9"/>
  <c r="L574" i="9"/>
  <c r="K574" i="9"/>
  <c r="J574" i="9"/>
  <c r="I574" i="9"/>
  <c r="H574" i="9"/>
  <c r="G574" i="9"/>
  <c r="F574" i="9"/>
  <c r="D574" i="9"/>
  <c r="C574" i="9"/>
  <c r="B574" i="9"/>
  <c r="A574" i="9"/>
  <c r="Q573" i="9"/>
  <c r="L573" i="9"/>
  <c r="K573" i="9"/>
  <c r="J573" i="9"/>
  <c r="I573" i="9"/>
  <c r="H573" i="9"/>
  <c r="G573" i="9"/>
  <c r="M573" i="9" s="1"/>
  <c r="P573" i="9" s="1"/>
  <c r="F573" i="9"/>
  <c r="D573" i="9"/>
  <c r="C573" i="9"/>
  <c r="B573" i="9"/>
  <c r="A573" i="9"/>
  <c r="Q572" i="9"/>
  <c r="L572" i="9"/>
  <c r="K572" i="9"/>
  <c r="J572" i="9"/>
  <c r="I572" i="9"/>
  <c r="H572" i="9"/>
  <c r="G572" i="9"/>
  <c r="F572" i="9"/>
  <c r="D572" i="9"/>
  <c r="C572" i="9"/>
  <c r="B572" i="9"/>
  <c r="A572" i="9"/>
  <c r="Q571" i="9"/>
  <c r="L571" i="9"/>
  <c r="K571" i="9"/>
  <c r="J571" i="9"/>
  <c r="I571" i="9"/>
  <c r="H571" i="9"/>
  <c r="G571" i="9"/>
  <c r="M571" i="9" s="1"/>
  <c r="F571" i="9"/>
  <c r="D571" i="9"/>
  <c r="C571" i="9"/>
  <c r="B571" i="9"/>
  <c r="A571" i="9"/>
  <c r="Q570" i="9"/>
  <c r="P570" i="9"/>
  <c r="O570" i="9"/>
  <c r="L570" i="9"/>
  <c r="K570" i="9"/>
  <c r="J570" i="9"/>
  <c r="I570" i="9"/>
  <c r="H570" i="9"/>
  <c r="G570" i="9"/>
  <c r="M570" i="9" s="1"/>
  <c r="F570" i="9"/>
  <c r="D570" i="9"/>
  <c r="C570" i="9"/>
  <c r="B570" i="9"/>
  <c r="A570" i="9"/>
  <c r="Q569" i="9"/>
  <c r="L569" i="9"/>
  <c r="K569" i="9"/>
  <c r="J569" i="9"/>
  <c r="I569" i="9"/>
  <c r="H569" i="9"/>
  <c r="G569" i="9"/>
  <c r="F569" i="9"/>
  <c r="D569" i="9"/>
  <c r="C569" i="9"/>
  <c r="B569" i="9"/>
  <c r="A569" i="9"/>
  <c r="Q568" i="9"/>
  <c r="L568" i="9"/>
  <c r="K568" i="9"/>
  <c r="J568" i="9"/>
  <c r="I568" i="9"/>
  <c r="H568" i="9"/>
  <c r="G568" i="9"/>
  <c r="M568" i="9" s="1"/>
  <c r="O568" i="9" s="1"/>
  <c r="F568" i="9"/>
  <c r="D568" i="9"/>
  <c r="C568" i="9"/>
  <c r="B568" i="9"/>
  <c r="A568" i="9"/>
  <c r="Q567" i="9"/>
  <c r="L567" i="9"/>
  <c r="K567" i="9"/>
  <c r="J567" i="9"/>
  <c r="I567" i="9"/>
  <c r="H567" i="9"/>
  <c r="G567" i="9"/>
  <c r="F567" i="9"/>
  <c r="D567" i="9"/>
  <c r="C567" i="9"/>
  <c r="B567" i="9"/>
  <c r="A567" i="9"/>
  <c r="Q566" i="9"/>
  <c r="L566" i="9"/>
  <c r="K566" i="9"/>
  <c r="J566" i="9"/>
  <c r="I566" i="9"/>
  <c r="H566" i="9"/>
  <c r="G566" i="9"/>
  <c r="F566" i="9"/>
  <c r="D566" i="9"/>
  <c r="C566" i="9"/>
  <c r="B566" i="9"/>
  <c r="A566" i="9"/>
  <c r="Q565" i="9"/>
  <c r="L565" i="9"/>
  <c r="K565" i="9"/>
  <c r="J565" i="9"/>
  <c r="I565" i="9"/>
  <c r="H565" i="9"/>
  <c r="G565" i="9"/>
  <c r="F565" i="9"/>
  <c r="D565" i="9"/>
  <c r="C565" i="9"/>
  <c r="B565" i="9"/>
  <c r="A565" i="9"/>
  <c r="Q564" i="9"/>
  <c r="L564" i="9"/>
  <c r="K564" i="9"/>
  <c r="J564" i="9"/>
  <c r="I564" i="9"/>
  <c r="H564" i="9"/>
  <c r="G564" i="9"/>
  <c r="F564" i="9"/>
  <c r="D564" i="9"/>
  <c r="C564" i="9"/>
  <c r="B564" i="9"/>
  <c r="A564" i="9"/>
  <c r="Q563" i="9"/>
  <c r="L563" i="9"/>
  <c r="K563" i="9"/>
  <c r="J563" i="9"/>
  <c r="I563" i="9"/>
  <c r="H563" i="9"/>
  <c r="G563" i="9"/>
  <c r="F563" i="9"/>
  <c r="D563" i="9"/>
  <c r="C563" i="9"/>
  <c r="B563" i="9"/>
  <c r="A563" i="9"/>
  <c r="Q562" i="9"/>
  <c r="L562" i="9"/>
  <c r="K562" i="9"/>
  <c r="J562" i="9"/>
  <c r="I562" i="9"/>
  <c r="H562" i="9"/>
  <c r="G562" i="9"/>
  <c r="F562" i="9"/>
  <c r="D562" i="9"/>
  <c r="C562" i="9"/>
  <c r="B562" i="9"/>
  <c r="A562" i="9"/>
  <c r="Q561" i="9"/>
  <c r="L561" i="9"/>
  <c r="K561" i="9"/>
  <c r="J561" i="9"/>
  <c r="I561" i="9"/>
  <c r="H561" i="9"/>
  <c r="G561" i="9"/>
  <c r="F561" i="9"/>
  <c r="D561" i="9"/>
  <c r="C561" i="9"/>
  <c r="B561" i="9"/>
  <c r="A561" i="9"/>
  <c r="Q560" i="9"/>
  <c r="L560" i="9"/>
  <c r="K560" i="9"/>
  <c r="J560" i="9"/>
  <c r="I560" i="9"/>
  <c r="H560" i="9"/>
  <c r="G560" i="9"/>
  <c r="F560" i="9"/>
  <c r="D560" i="9"/>
  <c r="C560" i="9"/>
  <c r="B560" i="9"/>
  <c r="A560" i="9"/>
  <c r="Q559" i="9"/>
  <c r="L559" i="9"/>
  <c r="K559" i="9"/>
  <c r="J559" i="9"/>
  <c r="I559" i="9"/>
  <c r="H559" i="9"/>
  <c r="G559" i="9"/>
  <c r="F559" i="9"/>
  <c r="D559" i="9"/>
  <c r="C559" i="9"/>
  <c r="B559" i="9"/>
  <c r="A559" i="9"/>
  <c r="Q558" i="9"/>
  <c r="L558" i="9"/>
  <c r="K558" i="9"/>
  <c r="J558" i="9"/>
  <c r="I558" i="9"/>
  <c r="H558" i="9"/>
  <c r="G558" i="9"/>
  <c r="M558" i="9" s="1"/>
  <c r="P558" i="9" s="1"/>
  <c r="F558" i="9"/>
  <c r="D558" i="9"/>
  <c r="C558" i="9"/>
  <c r="B558" i="9"/>
  <c r="A558" i="9"/>
  <c r="Q557" i="9"/>
  <c r="L557" i="9"/>
  <c r="K557" i="9"/>
  <c r="J557" i="9"/>
  <c r="I557" i="9"/>
  <c r="H557" i="9"/>
  <c r="G557" i="9"/>
  <c r="F557" i="9"/>
  <c r="D557" i="9"/>
  <c r="C557" i="9"/>
  <c r="B557" i="9"/>
  <c r="A557" i="9"/>
  <c r="Q556" i="9"/>
  <c r="L556" i="9"/>
  <c r="K556" i="9"/>
  <c r="J556" i="9"/>
  <c r="I556" i="9"/>
  <c r="H556" i="9"/>
  <c r="G556" i="9"/>
  <c r="F556" i="9"/>
  <c r="D556" i="9"/>
  <c r="C556" i="9"/>
  <c r="B556" i="9"/>
  <c r="A556" i="9"/>
  <c r="Q555" i="9"/>
  <c r="L555" i="9"/>
  <c r="K555" i="9"/>
  <c r="J555" i="9"/>
  <c r="I555" i="9"/>
  <c r="H555" i="9"/>
  <c r="G555" i="9"/>
  <c r="F555" i="9"/>
  <c r="D555" i="9"/>
  <c r="C555" i="9"/>
  <c r="B555" i="9"/>
  <c r="A555" i="9"/>
  <c r="Q554" i="9"/>
  <c r="L554" i="9"/>
  <c r="K554" i="9"/>
  <c r="J554" i="9"/>
  <c r="I554" i="9"/>
  <c r="H554" i="9"/>
  <c r="G554" i="9"/>
  <c r="F554" i="9"/>
  <c r="D554" i="9"/>
  <c r="C554" i="9"/>
  <c r="B554" i="9"/>
  <c r="A554" i="9"/>
  <c r="Q553" i="9"/>
  <c r="L553" i="9"/>
  <c r="K553" i="9"/>
  <c r="J553" i="9"/>
  <c r="I553" i="9"/>
  <c r="H553" i="9"/>
  <c r="G553" i="9"/>
  <c r="F553" i="9"/>
  <c r="D553" i="9"/>
  <c r="C553" i="9"/>
  <c r="B553" i="9"/>
  <c r="A553" i="9"/>
  <c r="Q552" i="9"/>
  <c r="L552" i="9"/>
  <c r="K552" i="9"/>
  <c r="J552" i="9"/>
  <c r="I552" i="9"/>
  <c r="H552" i="9"/>
  <c r="G552" i="9"/>
  <c r="F552" i="9"/>
  <c r="D552" i="9"/>
  <c r="C552" i="9"/>
  <c r="B552" i="9"/>
  <c r="A552" i="9"/>
  <c r="Q551" i="9"/>
  <c r="L551" i="9"/>
  <c r="K551" i="9"/>
  <c r="J551" i="9"/>
  <c r="I551" i="9"/>
  <c r="H551" i="9"/>
  <c r="G551" i="9"/>
  <c r="F551" i="9"/>
  <c r="D551" i="9"/>
  <c r="C551" i="9"/>
  <c r="B551" i="9"/>
  <c r="A551" i="9"/>
  <c r="Q550" i="9"/>
  <c r="L550" i="9"/>
  <c r="K550" i="9"/>
  <c r="J550" i="9"/>
  <c r="I550" i="9"/>
  <c r="H550" i="9"/>
  <c r="G550" i="9"/>
  <c r="F550" i="9"/>
  <c r="D550" i="9"/>
  <c r="C550" i="9"/>
  <c r="B550" i="9"/>
  <c r="A550" i="9"/>
  <c r="Q549" i="9"/>
  <c r="L549" i="9"/>
  <c r="K549" i="9"/>
  <c r="J549" i="9"/>
  <c r="I549" i="9"/>
  <c r="H549" i="9"/>
  <c r="G549" i="9"/>
  <c r="F549" i="9"/>
  <c r="D549" i="9"/>
  <c r="C549" i="9"/>
  <c r="B549" i="9"/>
  <c r="A549" i="9"/>
  <c r="Q548" i="9"/>
  <c r="L548" i="9"/>
  <c r="K548" i="9"/>
  <c r="J548" i="9"/>
  <c r="I548" i="9"/>
  <c r="H548" i="9"/>
  <c r="G548" i="9"/>
  <c r="M548" i="9" s="1"/>
  <c r="O548" i="9" s="1"/>
  <c r="F548" i="9"/>
  <c r="D548" i="9"/>
  <c r="C548" i="9"/>
  <c r="B548" i="9"/>
  <c r="A548" i="9"/>
  <c r="Q547" i="9"/>
  <c r="L547" i="9"/>
  <c r="K547" i="9"/>
  <c r="J547" i="9"/>
  <c r="I547" i="9"/>
  <c r="H547" i="9"/>
  <c r="G547" i="9"/>
  <c r="F547" i="9"/>
  <c r="D547" i="9"/>
  <c r="C547" i="9"/>
  <c r="B547" i="9"/>
  <c r="A547" i="9"/>
  <c r="Q546" i="9"/>
  <c r="L546" i="9"/>
  <c r="K546" i="9"/>
  <c r="J546" i="9"/>
  <c r="I546" i="9"/>
  <c r="H546" i="9"/>
  <c r="G546" i="9"/>
  <c r="F546" i="9"/>
  <c r="D546" i="9"/>
  <c r="C546" i="9"/>
  <c r="B546" i="9"/>
  <c r="A546" i="9"/>
  <c r="Q545" i="9"/>
  <c r="L545" i="9"/>
  <c r="K545" i="9"/>
  <c r="J545" i="9"/>
  <c r="I545" i="9"/>
  <c r="H545" i="9"/>
  <c r="G545" i="9"/>
  <c r="F545" i="9"/>
  <c r="D545" i="9"/>
  <c r="C545" i="9"/>
  <c r="B545" i="9"/>
  <c r="A545" i="9"/>
  <c r="Q544" i="9"/>
  <c r="L544" i="9"/>
  <c r="K544" i="9"/>
  <c r="J544" i="9"/>
  <c r="I544" i="9"/>
  <c r="H544" i="9"/>
  <c r="G544" i="9"/>
  <c r="F544" i="9"/>
  <c r="D544" i="9"/>
  <c r="C544" i="9"/>
  <c r="B544" i="9"/>
  <c r="A544" i="9"/>
  <c r="Q543" i="9"/>
  <c r="L543" i="9"/>
  <c r="K543" i="9"/>
  <c r="J543" i="9"/>
  <c r="I543" i="9"/>
  <c r="H543" i="9"/>
  <c r="G543" i="9"/>
  <c r="F543" i="9"/>
  <c r="D543" i="9"/>
  <c r="C543" i="9"/>
  <c r="B543" i="9"/>
  <c r="A543" i="9"/>
  <c r="Q542" i="9"/>
  <c r="L542" i="9"/>
  <c r="K542" i="9"/>
  <c r="J542" i="9"/>
  <c r="I542" i="9"/>
  <c r="H542" i="9"/>
  <c r="G542" i="9"/>
  <c r="F542" i="9"/>
  <c r="D542" i="9"/>
  <c r="C542" i="9"/>
  <c r="B542" i="9"/>
  <c r="A542" i="9"/>
  <c r="Q541" i="9"/>
  <c r="L541" i="9"/>
  <c r="K541" i="9"/>
  <c r="J541" i="9"/>
  <c r="I541" i="9"/>
  <c r="H541" i="9"/>
  <c r="G541" i="9"/>
  <c r="F541" i="9"/>
  <c r="D541" i="9"/>
  <c r="C541" i="9"/>
  <c r="B541" i="9"/>
  <c r="A541" i="9"/>
  <c r="Q540" i="9"/>
  <c r="L540" i="9"/>
  <c r="K540" i="9"/>
  <c r="J540" i="9"/>
  <c r="I540" i="9"/>
  <c r="H540" i="9"/>
  <c r="G540" i="9"/>
  <c r="F540" i="9"/>
  <c r="D540" i="9"/>
  <c r="C540" i="9"/>
  <c r="B540" i="9"/>
  <c r="A540" i="9"/>
  <c r="Q539" i="9"/>
  <c r="L539" i="9"/>
  <c r="K539" i="9"/>
  <c r="J539" i="9"/>
  <c r="I539" i="9"/>
  <c r="H539" i="9"/>
  <c r="G539" i="9"/>
  <c r="F539" i="9"/>
  <c r="D539" i="9"/>
  <c r="C539" i="9"/>
  <c r="B539" i="9"/>
  <c r="A539" i="9"/>
  <c r="Q538" i="9"/>
  <c r="L538" i="9"/>
  <c r="K538" i="9"/>
  <c r="J538" i="9"/>
  <c r="I538" i="9"/>
  <c r="H538" i="9"/>
  <c r="G538" i="9"/>
  <c r="M538" i="9" s="1"/>
  <c r="F538" i="9"/>
  <c r="D538" i="9"/>
  <c r="C538" i="9"/>
  <c r="B538" i="9"/>
  <c r="A538" i="9"/>
  <c r="Q537" i="9"/>
  <c r="L537" i="9"/>
  <c r="K537" i="9"/>
  <c r="J537" i="9"/>
  <c r="I537" i="9"/>
  <c r="H537" i="9"/>
  <c r="G537" i="9"/>
  <c r="F537" i="9"/>
  <c r="D537" i="9"/>
  <c r="C537" i="9"/>
  <c r="B537" i="9"/>
  <c r="A537" i="9"/>
  <c r="Q536" i="9"/>
  <c r="L536" i="9"/>
  <c r="K536" i="9"/>
  <c r="J536" i="9"/>
  <c r="I536" i="9"/>
  <c r="H536" i="9"/>
  <c r="G536" i="9"/>
  <c r="M536" i="9" s="1"/>
  <c r="O536" i="9" s="1"/>
  <c r="F536" i="9"/>
  <c r="D536" i="9"/>
  <c r="C536" i="9"/>
  <c r="B536" i="9"/>
  <c r="A536" i="9"/>
  <c r="Q535" i="9"/>
  <c r="L535" i="9"/>
  <c r="K535" i="9"/>
  <c r="J535" i="9"/>
  <c r="I535" i="9"/>
  <c r="H535" i="9"/>
  <c r="G535" i="9"/>
  <c r="F535" i="9"/>
  <c r="D535" i="9"/>
  <c r="C535" i="9"/>
  <c r="B535" i="9"/>
  <c r="A535" i="9"/>
  <c r="Q534" i="9"/>
  <c r="L534" i="9"/>
  <c r="K534" i="9"/>
  <c r="J534" i="9"/>
  <c r="I534" i="9"/>
  <c r="H534" i="9"/>
  <c r="G534" i="9"/>
  <c r="F534" i="9"/>
  <c r="D534" i="9"/>
  <c r="C534" i="9"/>
  <c r="B534" i="9"/>
  <c r="A534" i="9"/>
  <c r="Q533" i="9"/>
  <c r="L533" i="9"/>
  <c r="K533" i="9"/>
  <c r="J533" i="9"/>
  <c r="I533" i="9"/>
  <c r="H533" i="9"/>
  <c r="G533" i="9"/>
  <c r="F533" i="9"/>
  <c r="D533" i="9"/>
  <c r="C533" i="9"/>
  <c r="B533" i="9"/>
  <c r="A533" i="9"/>
  <c r="Q532" i="9"/>
  <c r="L532" i="9"/>
  <c r="K532" i="9"/>
  <c r="J532" i="9"/>
  <c r="I532" i="9"/>
  <c r="H532" i="9"/>
  <c r="G532" i="9"/>
  <c r="F532" i="9"/>
  <c r="D532" i="9"/>
  <c r="C532" i="9"/>
  <c r="B532" i="9"/>
  <c r="A532" i="9"/>
  <c r="Q531" i="9"/>
  <c r="L531" i="9"/>
  <c r="K531" i="9"/>
  <c r="J531" i="9"/>
  <c r="I531" i="9"/>
  <c r="H531" i="9"/>
  <c r="G531" i="9"/>
  <c r="F531" i="9"/>
  <c r="D531" i="9"/>
  <c r="C531" i="9"/>
  <c r="B531" i="9"/>
  <c r="A531" i="9"/>
  <c r="Q530" i="9"/>
  <c r="L530" i="9"/>
  <c r="K530" i="9"/>
  <c r="J530" i="9"/>
  <c r="I530" i="9"/>
  <c r="H530" i="9"/>
  <c r="G530" i="9"/>
  <c r="F530" i="9"/>
  <c r="D530" i="9"/>
  <c r="C530" i="9"/>
  <c r="B530" i="9"/>
  <c r="A530" i="9"/>
  <c r="Q529" i="9"/>
  <c r="L529" i="9"/>
  <c r="K529" i="9"/>
  <c r="J529" i="9"/>
  <c r="I529" i="9"/>
  <c r="H529" i="9"/>
  <c r="G529" i="9"/>
  <c r="F529" i="9"/>
  <c r="D529" i="9"/>
  <c r="C529" i="9"/>
  <c r="B529" i="9"/>
  <c r="A529" i="9"/>
  <c r="Q528" i="9"/>
  <c r="L528" i="9"/>
  <c r="K528" i="9"/>
  <c r="J528" i="9"/>
  <c r="I528" i="9"/>
  <c r="H528" i="9"/>
  <c r="G528" i="9"/>
  <c r="M528" i="9" s="1"/>
  <c r="O528" i="9" s="1"/>
  <c r="F528" i="9"/>
  <c r="D528" i="9"/>
  <c r="C528" i="9"/>
  <c r="B528" i="9"/>
  <c r="A528" i="9"/>
  <c r="Q527" i="9"/>
  <c r="L527" i="9"/>
  <c r="K527" i="9"/>
  <c r="J527" i="9"/>
  <c r="I527" i="9"/>
  <c r="H527" i="9"/>
  <c r="G527" i="9"/>
  <c r="F527" i="9"/>
  <c r="D527" i="9"/>
  <c r="C527" i="9"/>
  <c r="B527" i="9"/>
  <c r="A527" i="9"/>
  <c r="Q526" i="9"/>
  <c r="L526" i="9"/>
  <c r="K526" i="9"/>
  <c r="J526" i="9"/>
  <c r="I526" i="9"/>
  <c r="H526" i="9"/>
  <c r="G526" i="9"/>
  <c r="M526" i="9" s="1"/>
  <c r="F526" i="9"/>
  <c r="D526" i="9"/>
  <c r="C526" i="9"/>
  <c r="B526" i="9"/>
  <c r="A526" i="9"/>
  <c r="Q525" i="9"/>
  <c r="L525" i="9"/>
  <c r="K525" i="9"/>
  <c r="J525" i="9"/>
  <c r="I525" i="9"/>
  <c r="H525" i="9"/>
  <c r="G525" i="9"/>
  <c r="F525" i="9"/>
  <c r="D525" i="9"/>
  <c r="C525" i="9"/>
  <c r="B525" i="9"/>
  <c r="A525" i="9"/>
  <c r="Q524" i="9"/>
  <c r="L524" i="9"/>
  <c r="K524" i="9"/>
  <c r="J524" i="9"/>
  <c r="I524" i="9"/>
  <c r="H524" i="9"/>
  <c r="G524" i="9"/>
  <c r="M524" i="9" s="1"/>
  <c r="F524" i="9"/>
  <c r="D524" i="9"/>
  <c r="C524" i="9"/>
  <c r="B524" i="9"/>
  <c r="A524" i="9"/>
  <c r="Q523" i="9"/>
  <c r="L523" i="9"/>
  <c r="K523" i="9"/>
  <c r="J523" i="9"/>
  <c r="I523" i="9"/>
  <c r="H523" i="9"/>
  <c r="G523" i="9"/>
  <c r="F523" i="9"/>
  <c r="D523" i="9"/>
  <c r="C523" i="9"/>
  <c r="B523" i="9"/>
  <c r="A523" i="9"/>
  <c r="Q522" i="9"/>
  <c r="L522" i="9"/>
  <c r="K522" i="9"/>
  <c r="J522" i="9"/>
  <c r="I522" i="9"/>
  <c r="H522" i="9"/>
  <c r="G522" i="9"/>
  <c r="M522" i="9" s="1"/>
  <c r="F522" i="9"/>
  <c r="D522" i="9"/>
  <c r="C522" i="9"/>
  <c r="B522" i="9"/>
  <c r="A522" i="9"/>
  <c r="Q521" i="9"/>
  <c r="L521" i="9"/>
  <c r="K521" i="9"/>
  <c r="J521" i="9"/>
  <c r="I521" i="9"/>
  <c r="H521" i="9"/>
  <c r="G521" i="9"/>
  <c r="F521" i="9"/>
  <c r="D521" i="9"/>
  <c r="C521" i="9"/>
  <c r="B521" i="9"/>
  <c r="A521" i="9"/>
  <c r="Q520" i="9"/>
  <c r="L520" i="9"/>
  <c r="K520" i="9"/>
  <c r="J520" i="9"/>
  <c r="I520" i="9"/>
  <c r="H520" i="9"/>
  <c r="G520" i="9"/>
  <c r="M520" i="9" s="1"/>
  <c r="F520" i="9"/>
  <c r="D520" i="9"/>
  <c r="C520" i="9"/>
  <c r="B520" i="9"/>
  <c r="A520" i="9"/>
  <c r="Q519" i="9"/>
  <c r="L519" i="9"/>
  <c r="K519" i="9"/>
  <c r="J519" i="9"/>
  <c r="I519" i="9"/>
  <c r="H519" i="9"/>
  <c r="G519" i="9"/>
  <c r="F519" i="9"/>
  <c r="D519" i="9"/>
  <c r="C519" i="9"/>
  <c r="B519" i="9"/>
  <c r="A519" i="9"/>
  <c r="Q518" i="9"/>
  <c r="L518" i="9"/>
  <c r="K518" i="9"/>
  <c r="J518" i="9"/>
  <c r="I518" i="9"/>
  <c r="H518" i="9"/>
  <c r="G518" i="9"/>
  <c r="M518" i="9" s="1"/>
  <c r="F518" i="9"/>
  <c r="D518" i="9"/>
  <c r="C518" i="9"/>
  <c r="B518" i="9"/>
  <c r="A518" i="9"/>
  <c r="Q517" i="9"/>
  <c r="L517" i="9"/>
  <c r="K517" i="9"/>
  <c r="J517" i="9"/>
  <c r="I517" i="9"/>
  <c r="H517" i="9"/>
  <c r="G517" i="9"/>
  <c r="F517" i="9"/>
  <c r="D517" i="9"/>
  <c r="C517" i="9"/>
  <c r="B517" i="9"/>
  <c r="A517" i="9"/>
  <c r="Q516" i="9"/>
  <c r="L516" i="9"/>
  <c r="K516" i="9"/>
  <c r="J516" i="9"/>
  <c r="I516" i="9"/>
  <c r="H516" i="9"/>
  <c r="G516" i="9"/>
  <c r="M516" i="9" s="1"/>
  <c r="F516" i="9"/>
  <c r="D516" i="9"/>
  <c r="C516" i="9"/>
  <c r="B516" i="9"/>
  <c r="A516" i="9"/>
  <c r="Q515" i="9"/>
  <c r="L515" i="9"/>
  <c r="K515" i="9"/>
  <c r="J515" i="9"/>
  <c r="I515" i="9"/>
  <c r="H515" i="9"/>
  <c r="G515" i="9"/>
  <c r="F515" i="9"/>
  <c r="D515" i="9"/>
  <c r="C515" i="9"/>
  <c r="B515" i="9"/>
  <c r="A515" i="9"/>
  <c r="Q514" i="9"/>
  <c r="L514" i="9"/>
  <c r="K514" i="9"/>
  <c r="J514" i="9"/>
  <c r="I514" i="9"/>
  <c r="H514" i="9"/>
  <c r="G514" i="9"/>
  <c r="M514" i="9" s="1"/>
  <c r="F514" i="9"/>
  <c r="D514" i="9"/>
  <c r="C514" i="9"/>
  <c r="B514" i="9"/>
  <c r="A514" i="9"/>
  <c r="Q513" i="9"/>
  <c r="L513" i="9"/>
  <c r="K513" i="9"/>
  <c r="J513" i="9"/>
  <c r="I513" i="9"/>
  <c r="H513" i="9"/>
  <c r="G513" i="9"/>
  <c r="F513" i="9"/>
  <c r="D513" i="9"/>
  <c r="C513" i="9"/>
  <c r="B513" i="9"/>
  <c r="A513" i="9"/>
  <c r="Q512" i="9"/>
  <c r="L512" i="9"/>
  <c r="K512" i="9"/>
  <c r="J512" i="9"/>
  <c r="I512" i="9"/>
  <c r="H512" i="9"/>
  <c r="G512" i="9"/>
  <c r="M512" i="9" s="1"/>
  <c r="F512" i="9"/>
  <c r="D512" i="9"/>
  <c r="C512" i="9"/>
  <c r="B512" i="9"/>
  <c r="A512" i="9"/>
  <c r="Q511" i="9"/>
  <c r="L511" i="9"/>
  <c r="K511" i="9"/>
  <c r="J511" i="9"/>
  <c r="I511" i="9"/>
  <c r="H511" i="9"/>
  <c r="G511" i="9"/>
  <c r="F511" i="9"/>
  <c r="D511" i="9"/>
  <c r="C511" i="9"/>
  <c r="B511" i="9"/>
  <c r="A511" i="9"/>
  <c r="Q510" i="9"/>
  <c r="L510" i="9"/>
  <c r="K510" i="9"/>
  <c r="J510" i="9"/>
  <c r="I510" i="9"/>
  <c r="H510" i="9"/>
  <c r="G510" i="9"/>
  <c r="M510" i="9" s="1"/>
  <c r="F510" i="9"/>
  <c r="D510" i="9"/>
  <c r="C510" i="9"/>
  <c r="B510" i="9"/>
  <c r="A510" i="9"/>
  <c r="Q509" i="9"/>
  <c r="L509" i="9"/>
  <c r="K509" i="9"/>
  <c r="J509" i="9"/>
  <c r="I509" i="9"/>
  <c r="H509" i="9"/>
  <c r="G509" i="9"/>
  <c r="F509" i="9"/>
  <c r="D509" i="9"/>
  <c r="C509" i="9"/>
  <c r="B509" i="9"/>
  <c r="A509" i="9"/>
  <c r="Q508" i="9"/>
  <c r="L508" i="9"/>
  <c r="K508" i="9"/>
  <c r="J508" i="9"/>
  <c r="I508" i="9"/>
  <c r="H508" i="9"/>
  <c r="G508" i="9"/>
  <c r="M508" i="9" s="1"/>
  <c r="F508" i="9"/>
  <c r="D508" i="9"/>
  <c r="C508" i="9"/>
  <c r="B508" i="9"/>
  <c r="A508" i="9"/>
  <c r="Q507" i="9"/>
  <c r="L507" i="9"/>
  <c r="K507" i="9"/>
  <c r="J507" i="9"/>
  <c r="I507" i="9"/>
  <c r="H507" i="9"/>
  <c r="G507" i="9"/>
  <c r="F507" i="9"/>
  <c r="D507" i="9"/>
  <c r="C507" i="9"/>
  <c r="B507" i="9"/>
  <c r="A507" i="9"/>
  <c r="Q506" i="9"/>
  <c r="L506" i="9"/>
  <c r="K506" i="9"/>
  <c r="J506" i="9"/>
  <c r="I506" i="9"/>
  <c r="H506" i="9"/>
  <c r="G506" i="9"/>
  <c r="M506" i="9" s="1"/>
  <c r="F506" i="9"/>
  <c r="D506" i="9"/>
  <c r="C506" i="9"/>
  <c r="B506" i="9"/>
  <c r="A506" i="9"/>
  <c r="Q505" i="9"/>
  <c r="L505" i="9"/>
  <c r="K505" i="9"/>
  <c r="J505" i="9"/>
  <c r="I505" i="9"/>
  <c r="H505" i="9"/>
  <c r="G505" i="9"/>
  <c r="F505" i="9"/>
  <c r="D505" i="9"/>
  <c r="C505" i="9"/>
  <c r="B505" i="9"/>
  <c r="A505" i="9"/>
  <c r="Q504" i="9"/>
  <c r="L504" i="9"/>
  <c r="K504" i="9"/>
  <c r="J504" i="9"/>
  <c r="I504" i="9"/>
  <c r="H504" i="9"/>
  <c r="G504" i="9"/>
  <c r="M504" i="9" s="1"/>
  <c r="F504" i="9"/>
  <c r="D504" i="9"/>
  <c r="C504" i="9"/>
  <c r="B504" i="9"/>
  <c r="A504" i="9"/>
  <c r="Q503" i="9"/>
  <c r="L503" i="9"/>
  <c r="K503" i="9"/>
  <c r="J503" i="9"/>
  <c r="I503" i="9"/>
  <c r="H503" i="9"/>
  <c r="G503" i="9"/>
  <c r="F503" i="9"/>
  <c r="D503" i="9"/>
  <c r="C503" i="9"/>
  <c r="B503" i="9"/>
  <c r="A503" i="9"/>
  <c r="Q502" i="9"/>
  <c r="L502" i="9"/>
  <c r="K502" i="9"/>
  <c r="J502" i="9"/>
  <c r="I502" i="9"/>
  <c r="H502" i="9"/>
  <c r="G502" i="9"/>
  <c r="M502" i="9" s="1"/>
  <c r="F502" i="9"/>
  <c r="D502" i="9"/>
  <c r="C502" i="9"/>
  <c r="B502" i="9"/>
  <c r="A502" i="9"/>
  <c r="Q501" i="9"/>
  <c r="L501" i="9"/>
  <c r="K501" i="9"/>
  <c r="J501" i="9"/>
  <c r="I501" i="9"/>
  <c r="H501" i="9"/>
  <c r="G501" i="9"/>
  <c r="F501" i="9"/>
  <c r="D501" i="9"/>
  <c r="C501" i="9"/>
  <c r="B501" i="9"/>
  <c r="A501" i="9"/>
  <c r="Q500" i="9"/>
  <c r="L500" i="9"/>
  <c r="K500" i="9"/>
  <c r="J500" i="9"/>
  <c r="I500" i="9"/>
  <c r="H500" i="9"/>
  <c r="G500" i="9"/>
  <c r="M500" i="9" s="1"/>
  <c r="F500" i="9"/>
  <c r="D500" i="9"/>
  <c r="C500" i="9"/>
  <c r="B500" i="9"/>
  <c r="A500" i="9"/>
  <c r="Q499" i="9"/>
  <c r="L499" i="9"/>
  <c r="K499" i="9"/>
  <c r="J499" i="9"/>
  <c r="I499" i="9"/>
  <c r="H499" i="9"/>
  <c r="G499" i="9"/>
  <c r="F499" i="9"/>
  <c r="D499" i="9"/>
  <c r="C499" i="9"/>
  <c r="B499" i="9"/>
  <c r="A499" i="9"/>
  <c r="Q498" i="9"/>
  <c r="L498" i="9"/>
  <c r="K498" i="9"/>
  <c r="J498" i="9"/>
  <c r="I498" i="9"/>
  <c r="H498" i="9"/>
  <c r="G498" i="9"/>
  <c r="M498" i="9" s="1"/>
  <c r="F498" i="9"/>
  <c r="D498" i="9"/>
  <c r="C498" i="9"/>
  <c r="B498" i="9"/>
  <c r="A498" i="9"/>
  <c r="Q497" i="9"/>
  <c r="L497" i="9"/>
  <c r="K497" i="9"/>
  <c r="J497" i="9"/>
  <c r="I497" i="9"/>
  <c r="H497" i="9"/>
  <c r="G497" i="9"/>
  <c r="F497" i="9"/>
  <c r="D497" i="9"/>
  <c r="C497" i="9"/>
  <c r="B497" i="9"/>
  <c r="A497" i="9"/>
  <c r="Q496" i="9"/>
  <c r="L496" i="9"/>
  <c r="K496" i="9"/>
  <c r="J496" i="9"/>
  <c r="I496" i="9"/>
  <c r="H496" i="9"/>
  <c r="G496" i="9"/>
  <c r="M496" i="9" s="1"/>
  <c r="F496" i="9"/>
  <c r="D496" i="9"/>
  <c r="C496" i="9"/>
  <c r="B496" i="9"/>
  <c r="A496" i="9"/>
  <c r="Q495" i="9"/>
  <c r="L495" i="9"/>
  <c r="K495" i="9"/>
  <c r="J495" i="9"/>
  <c r="I495" i="9"/>
  <c r="H495" i="9"/>
  <c r="G495" i="9"/>
  <c r="F495" i="9"/>
  <c r="D495" i="9"/>
  <c r="C495" i="9"/>
  <c r="B495" i="9"/>
  <c r="A495" i="9"/>
  <c r="Q494" i="9"/>
  <c r="L494" i="9"/>
  <c r="K494" i="9"/>
  <c r="J494" i="9"/>
  <c r="I494" i="9"/>
  <c r="H494" i="9"/>
  <c r="G494" i="9"/>
  <c r="M494" i="9" s="1"/>
  <c r="F494" i="9"/>
  <c r="D494" i="9"/>
  <c r="C494" i="9"/>
  <c r="B494" i="9"/>
  <c r="A494" i="9"/>
  <c r="Q493" i="9"/>
  <c r="L493" i="9"/>
  <c r="K493" i="9"/>
  <c r="J493" i="9"/>
  <c r="I493" i="9"/>
  <c r="H493" i="9"/>
  <c r="G493" i="9"/>
  <c r="F493" i="9"/>
  <c r="D493" i="9"/>
  <c r="C493" i="9"/>
  <c r="B493" i="9"/>
  <c r="A493" i="9"/>
  <c r="Q492" i="9"/>
  <c r="L492" i="9"/>
  <c r="K492" i="9"/>
  <c r="J492" i="9"/>
  <c r="I492" i="9"/>
  <c r="H492" i="9"/>
  <c r="G492" i="9"/>
  <c r="M492" i="9" s="1"/>
  <c r="F492" i="9"/>
  <c r="D492" i="9"/>
  <c r="C492" i="9"/>
  <c r="B492" i="9"/>
  <c r="A492" i="9"/>
  <c r="Q491" i="9"/>
  <c r="L491" i="9"/>
  <c r="K491" i="9"/>
  <c r="J491" i="9"/>
  <c r="I491" i="9"/>
  <c r="H491" i="9"/>
  <c r="G491" i="9"/>
  <c r="F491" i="9"/>
  <c r="D491" i="9"/>
  <c r="C491" i="9"/>
  <c r="B491" i="9"/>
  <c r="A491" i="9"/>
  <c r="Q490" i="9"/>
  <c r="L490" i="9"/>
  <c r="K490" i="9"/>
  <c r="J490" i="9"/>
  <c r="I490" i="9"/>
  <c r="H490" i="9"/>
  <c r="G490" i="9"/>
  <c r="F490" i="9"/>
  <c r="D490" i="9"/>
  <c r="C490" i="9"/>
  <c r="B490" i="9"/>
  <c r="A490" i="9"/>
  <c r="Q489" i="9"/>
  <c r="L489" i="9"/>
  <c r="K489" i="9"/>
  <c r="J489" i="9"/>
  <c r="I489" i="9"/>
  <c r="H489" i="9"/>
  <c r="G489" i="9"/>
  <c r="F489" i="9"/>
  <c r="D489" i="9"/>
  <c r="C489" i="9"/>
  <c r="B489" i="9"/>
  <c r="M489" i="9" s="1"/>
  <c r="A489" i="9"/>
  <c r="Q488" i="9"/>
  <c r="L488" i="9"/>
  <c r="K488" i="9"/>
  <c r="J488" i="9"/>
  <c r="I488" i="9"/>
  <c r="H488" i="9"/>
  <c r="G488" i="9"/>
  <c r="F488" i="9"/>
  <c r="D488" i="9"/>
  <c r="C488" i="9"/>
  <c r="B488" i="9"/>
  <c r="A488" i="9"/>
  <c r="Q487" i="9"/>
  <c r="L487" i="9"/>
  <c r="K487" i="9"/>
  <c r="J487" i="9"/>
  <c r="I487" i="9"/>
  <c r="H487" i="9"/>
  <c r="G487" i="9"/>
  <c r="F487" i="9"/>
  <c r="D487" i="9"/>
  <c r="C487" i="9"/>
  <c r="B487" i="9"/>
  <c r="M487" i="9" s="1"/>
  <c r="A487" i="9"/>
  <c r="Q486" i="9"/>
  <c r="L486" i="9"/>
  <c r="K486" i="9"/>
  <c r="J486" i="9"/>
  <c r="I486" i="9"/>
  <c r="H486" i="9"/>
  <c r="G486" i="9"/>
  <c r="F486" i="9"/>
  <c r="D486" i="9"/>
  <c r="C486" i="9"/>
  <c r="B486" i="9"/>
  <c r="A486" i="9"/>
  <c r="Q485" i="9"/>
  <c r="L485" i="9"/>
  <c r="K485" i="9"/>
  <c r="J485" i="9"/>
  <c r="I485" i="9"/>
  <c r="H485" i="9"/>
  <c r="G485" i="9"/>
  <c r="F485" i="9"/>
  <c r="D485" i="9"/>
  <c r="C485" i="9"/>
  <c r="B485" i="9"/>
  <c r="A485" i="9"/>
  <c r="Q484" i="9"/>
  <c r="L484" i="9"/>
  <c r="K484" i="9"/>
  <c r="J484" i="9"/>
  <c r="I484" i="9"/>
  <c r="H484" i="9"/>
  <c r="G484" i="9"/>
  <c r="F484" i="9"/>
  <c r="D484" i="9"/>
  <c r="C484" i="9"/>
  <c r="B484" i="9"/>
  <c r="M484" i="9" s="1"/>
  <c r="O484" i="9" s="1"/>
  <c r="A484" i="9"/>
  <c r="Q483" i="9"/>
  <c r="L483" i="9"/>
  <c r="K483" i="9"/>
  <c r="J483" i="9"/>
  <c r="I483" i="9"/>
  <c r="H483" i="9"/>
  <c r="G483" i="9"/>
  <c r="F483" i="9"/>
  <c r="D483" i="9"/>
  <c r="C483" i="9"/>
  <c r="B483" i="9"/>
  <c r="A483" i="9"/>
  <c r="Q482" i="9"/>
  <c r="L482" i="9"/>
  <c r="K482" i="9"/>
  <c r="J482" i="9"/>
  <c r="I482" i="9"/>
  <c r="H482" i="9"/>
  <c r="G482" i="9"/>
  <c r="F482" i="9"/>
  <c r="D482" i="9"/>
  <c r="C482" i="9"/>
  <c r="B482" i="9"/>
  <c r="A482" i="9"/>
  <c r="Q481" i="9"/>
  <c r="M481" i="9"/>
  <c r="O481" i="9" s="1"/>
  <c r="L481" i="9"/>
  <c r="K481" i="9"/>
  <c r="J481" i="9"/>
  <c r="I481" i="9"/>
  <c r="H481" i="9"/>
  <c r="G481" i="9"/>
  <c r="F481" i="9"/>
  <c r="D481" i="9"/>
  <c r="C481" i="9"/>
  <c r="B481" i="9"/>
  <c r="A481" i="9"/>
  <c r="Q480" i="9"/>
  <c r="L480" i="9"/>
  <c r="K480" i="9"/>
  <c r="J480" i="9"/>
  <c r="I480" i="9"/>
  <c r="H480" i="9"/>
  <c r="G480" i="9"/>
  <c r="F480" i="9"/>
  <c r="D480" i="9"/>
  <c r="C480" i="9"/>
  <c r="B480" i="9"/>
  <c r="A480" i="9"/>
  <c r="Q479" i="9"/>
  <c r="L479" i="9"/>
  <c r="K479" i="9"/>
  <c r="J479" i="9"/>
  <c r="I479" i="9"/>
  <c r="H479" i="9"/>
  <c r="G479" i="9"/>
  <c r="F479" i="9"/>
  <c r="D479" i="9"/>
  <c r="C479" i="9"/>
  <c r="B479" i="9"/>
  <c r="A479" i="9"/>
  <c r="Q478" i="9"/>
  <c r="L478" i="9"/>
  <c r="K478" i="9"/>
  <c r="J478" i="9"/>
  <c r="I478" i="9"/>
  <c r="H478" i="9"/>
  <c r="G478" i="9"/>
  <c r="F478" i="9"/>
  <c r="D478" i="9"/>
  <c r="C478" i="9"/>
  <c r="B478" i="9"/>
  <c r="A478" i="9"/>
  <c r="Q477" i="9"/>
  <c r="L477" i="9"/>
  <c r="K477" i="9"/>
  <c r="J477" i="9"/>
  <c r="I477" i="9"/>
  <c r="H477" i="9"/>
  <c r="G477" i="9"/>
  <c r="F477" i="9"/>
  <c r="D477" i="9"/>
  <c r="C477" i="9"/>
  <c r="B477" i="9"/>
  <c r="A477" i="9"/>
  <c r="Q476" i="9"/>
  <c r="L476" i="9"/>
  <c r="K476" i="9"/>
  <c r="J476" i="9"/>
  <c r="I476" i="9"/>
  <c r="H476" i="9"/>
  <c r="G476" i="9"/>
  <c r="F476" i="9"/>
  <c r="D476" i="9"/>
  <c r="C476" i="9"/>
  <c r="B476" i="9"/>
  <c r="M476" i="9" s="1"/>
  <c r="O476" i="9" s="1"/>
  <c r="A476" i="9"/>
  <c r="Q475" i="9"/>
  <c r="L475" i="9"/>
  <c r="K475" i="9"/>
  <c r="J475" i="9"/>
  <c r="I475" i="9"/>
  <c r="H475" i="9"/>
  <c r="G475" i="9"/>
  <c r="F475" i="9"/>
  <c r="D475" i="9"/>
  <c r="C475" i="9"/>
  <c r="B475" i="9"/>
  <c r="A475" i="9"/>
  <c r="Q474" i="9"/>
  <c r="L474" i="9"/>
  <c r="K474" i="9"/>
  <c r="J474" i="9"/>
  <c r="I474" i="9"/>
  <c r="H474" i="9"/>
  <c r="G474" i="9"/>
  <c r="F474" i="9"/>
  <c r="D474" i="9"/>
  <c r="C474" i="9"/>
  <c r="B474" i="9"/>
  <c r="A474" i="9"/>
  <c r="Q473" i="9"/>
  <c r="L473" i="9"/>
  <c r="K473" i="9"/>
  <c r="J473" i="9"/>
  <c r="I473" i="9"/>
  <c r="H473" i="9"/>
  <c r="G473" i="9"/>
  <c r="F473" i="9"/>
  <c r="D473" i="9"/>
  <c r="C473" i="9"/>
  <c r="B473" i="9"/>
  <c r="A473" i="9"/>
  <c r="Q472" i="9"/>
  <c r="L472" i="9"/>
  <c r="K472" i="9"/>
  <c r="J472" i="9"/>
  <c r="I472" i="9"/>
  <c r="H472" i="9"/>
  <c r="G472" i="9"/>
  <c r="F472" i="9"/>
  <c r="D472" i="9"/>
  <c r="C472" i="9"/>
  <c r="B472" i="9"/>
  <c r="A472" i="9"/>
  <c r="Q471" i="9"/>
  <c r="L471" i="9"/>
  <c r="K471" i="9"/>
  <c r="J471" i="9"/>
  <c r="I471" i="9"/>
  <c r="H471" i="9"/>
  <c r="G471" i="9"/>
  <c r="F471" i="9"/>
  <c r="D471" i="9"/>
  <c r="C471" i="9"/>
  <c r="B471" i="9"/>
  <c r="A471" i="9"/>
  <c r="Q470" i="9"/>
  <c r="L470" i="9"/>
  <c r="K470" i="9"/>
  <c r="J470" i="9"/>
  <c r="I470" i="9"/>
  <c r="H470" i="9"/>
  <c r="G470" i="9"/>
  <c r="F470" i="9"/>
  <c r="D470" i="9"/>
  <c r="C470" i="9"/>
  <c r="B470" i="9"/>
  <c r="A470" i="9"/>
  <c r="Q469" i="9"/>
  <c r="L469" i="9"/>
  <c r="K469" i="9"/>
  <c r="J469" i="9"/>
  <c r="I469" i="9"/>
  <c r="H469" i="9"/>
  <c r="G469" i="9"/>
  <c r="F469" i="9"/>
  <c r="D469" i="9"/>
  <c r="C469" i="9"/>
  <c r="B469" i="9"/>
  <c r="A469" i="9"/>
  <c r="Q468" i="9"/>
  <c r="L468" i="9"/>
  <c r="K468" i="9"/>
  <c r="J468" i="9"/>
  <c r="I468" i="9"/>
  <c r="H468" i="9"/>
  <c r="G468" i="9"/>
  <c r="F468" i="9"/>
  <c r="D468" i="9"/>
  <c r="C468" i="9"/>
  <c r="B468" i="9"/>
  <c r="M468" i="9" s="1"/>
  <c r="O468" i="9" s="1"/>
  <c r="A468" i="9"/>
  <c r="Q467" i="9"/>
  <c r="L467" i="9"/>
  <c r="K467" i="9"/>
  <c r="J467" i="9"/>
  <c r="I467" i="9"/>
  <c r="H467" i="9"/>
  <c r="G467" i="9"/>
  <c r="F467" i="9"/>
  <c r="D467" i="9"/>
  <c r="C467" i="9"/>
  <c r="B467" i="9"/>
  <c r="A467" i="9"/>
  <c r="Q466" i="9"/>
  <c r="L466" i="9"/>
  <c r="K466" i="9"/>
  <c r="J466" i="9"/>
  <c r="I466" i="9"/>
  <c r="H466" i="9"/>
  <c r="G466" i="9"/>
  <c r="F466" i="9"/>
  <c r="D466" i="9"/>
  <c r="C466" i="9"/>
  <c r="B466" i="9"/>
  <c r="M466" i="9" s="1"/>
  <c r="A466" i="9"/>
  <c r="Q465" i="9"/>
  <c r="L465" i="9"/>
  <c r="K465" i="9"/>
  <c r="J465" i="9"/>
  <c r="I465" i="9"/>
  <c r="H465" i="9"/>
  <c r="G465" i="9"/>
  <c r="F465" i="9"/>
  <c r="D465" i="9"/>
  <c r="C465" i="9"/>
  <c r="B465" i="9"/>
  <c r="M465" i="9" s="1"/>
  <c r="O465" i="9" s="1"/>
  <c r="A465" i="9"/>
  <c r="Q464" i="9"/>
  <c r="L464" i="9"/>
  <c r="K464" i="9"/>
  <c r="J464" i="9"/>
  <c r="I464" i="9"/>
  <c r="H464" i="9"/>
  <c r="G464" i="9"/>
  <c r="F464" i="9"/>
  <c r="D464" i="9"/>
  <c r="C464" i="9"/>
  <c r="B464" i="9"/>
  <c r="A464" i="9"/>
  <c r="Q463" i="9"/>
  <c r="L463" i="9"/>
  <c r="K463" i="9"/>
  <c r="J463" i="9"/>
  <c r="I463" i="9"/>
  <c r="H463" i="9"/>
  <c r="G463" i="9"/>
  <c r="F463" i="9"/>
  <c r="D463" i="9"/>
  <c r="C463" i="9"/>
  <c r="B463" i="9"/>
  <c r="A463" i="9"/>
  <c r="Q462" i="9"/>
  <c r="L462" i="9"/>
  <c r="K462" i="9"/>
  <c r="J462" i="9"/>
  <c r="I462" i="9"/>
  <c r="H462" i="9"/>
  <c r="G462" i="9"/>
  <c r="F462" i="9"/>
  <c r="D462" i="9"/>
  <c r="C462" i="9"/>
  <c r="B462" i="9"/>
  <c r="A462" i="9"/>
  <c r="Q461" i="9"/>
  <c r="L461" i="9"/>
  <c r="K461" i="9"/>
  <c r="J461" i="9"/>
  <c r="I461" i="9"/>
  <c r="H461" i="9"/>
  <c r="G461" i="9"/>
  <c r="F461" i="9"/>
  <c r="D461" i="9"/>
  <c r="C461" i="9"/>
  <c r="B461" i="9"/>
  <c r="A461" i="9"/>
  <c r="Q460" i="9"/>
  <c r="M460" i="9"/>
  <c r="O460" i="9" s="1"/>
  <c r="L460" i="9"/>
  <c r="K460" i="9"/>
  <c r="J460" i="9"/>
  <c r="I460" i="9"/>
  <c r="H460" i="9"/>
  <c r="G460" i="9"/>
  <c r="F460" i="9"/>
  <c r="D460" i="9"/>
  <c r="C460" i="9"/>
  <c r="B460" i="9"/>
  <c r="A460" i="9"/>
  <c r="Q459" i="9"/>
  <c r="L459" i="9"/>
  <c r="K459" i="9"/>
  <c r="J459" i="9"/>
  <c r="I459" i="9"/>
  <c r="H459" i="9"/>
  <c r="G459" i="9"/>
  <c r="F459" i="9"/>
  <c r="D459" i="9"/>
  <c r="C459" i="9"/>
  <c r="B459" i="9"/>
  <c r="A459" i="9"/>
  <c r="Q458" i="9"/>
  <c r="L458" i="9"/>
  <c r="K458" i="9"/>
  <c r="J458" i="9"/>
  <c r="I458" i="9"/>
  <c r="H458" i="9"/>
  <c r="G458" i="9"/>
  <c r="F458" i="9"/>
  <c r="D458" i="9"/>
  <c r="C458" i="9"/>
  <c r="B458" i="9"/>
  <c r="A458" i="9"/>
  <c r="Q457" i="9"/>
  <c r="L457" i="9"/>
  <c r="K457" i="9"/>
  <c r="J457" i="9"/>
  <c r="I457" i="9"/>
  <c r="H457" i="9"/>
  <c r="G457" i="9"/>
  <c r="F457" i="9"/>
  <c r="D457" i="9"/>
  <c r="C457" i="9"/>
  <c r="B457" i="9"/>
  <c r="A457" i="9"/>
  <c r="Q456" i="9"/>
  <c r="L456" i="9"/>
  <c r="K456" i="9"/>
  <c r="J456" i="9"/>
  <c r="I456" i="9"/>
  <c r="H456" i="9"/>
  <c r="G456" i="9"/>
  <c r="M456" i="9" s="1"/>
  <c r="F456" i="9"/>
  <c r="D456" i="9"/>
  <c r="C456" i="9"/>
  <c r="B456" i="9"/>
  <c r="A456" i="9"/>
  <c r="Q455" i="9"/>
  <c r="L455" i="9"/>
  <c r="K455" i="9"/>
  <c r="J455" i="9"/>
  <c r="I455" i="9"/>
  <c r="H455" i="9"/>
  <c r="G455" i="9"/>
  <c r="F455" i="9"/>
  <c r="D455" i="9"/>
  <c r="C455" i="9"/>
  <c r="B455" i="9"/>
  <c r="A455" i="9"/>
  <c r="Q454" i="9"/>
  <c r="L454" i="9"/>
  <c r="K454" i="9"/>
  <c r="J454" i="9"/>
  <c r="I454" i="9"/>
  <c r="H454" i="9"/>
  <c r="G454" i="9"/>
  <c r="F454" i="9"/>
  <c r="D454" i="9"/>
  <c r="C454" i="9"/>
  <c r="B454" i="9"/>
  <c r="A454" i="9"/>
  <c r="Q453" i="9"/>
  <c r="L453" i="9"/>
  <c r="K453" i="9"/>
  <c r="J453" i="9"/>
  <c r="I453" i="9"/>
  <c r="H453" i="9"/>
  <c r="G453" i="9"/>
  <c r="F453" i="9"/>
  <c r="D453" i="9"/>
  <c r="C453" i="9"/>
  <c r="B453" i="9"/>
  <c r="M453" i="9" s="1"/>
  <c r="O453" i="9" s="1"/>
  <c r="A453" i="9"/>
  <c r="Q452" i="9"/>
  <c r="L452" i="9"/>
  <c r="K452" i="9"/>
  <c r="J452" i="9"/>
  <c r="I452" i="9"/>
  <c r="H452" i="9"/>
  <c r="G452" i="9"/>
  <c r="F452" i="9"/>
  <c r="D452" i="9"/>
  <c r="C452" i="9"/>
  <c r="B452" i="9"/>
  <c r="A452" i="9"/>
  <c r="Q451" i="9"/>
  <c r="L451" i="9"/>
  <c r="K451" i="9"/>
  <c r="J451" i="9"/>
  <c r="I451" i="9"/>
  <c r="H451" i="9"/>
  <c r="G451" i="9"/>
  <c r="F451" i="9"/>
  <c r="D451" i="9"/>
  <c r="C451" i="9"/>
  <c r="B451" i="9"/>
  <c r="A451" i="9"/>
  <c r="Q450" i="9"/>
  <c r="L450" i="9"/>
  <c r="K450" i="9"/>
  <c r="J450" i="9"/>
  <c r="I450" i="9"/>
  <c r="H450" i="9"/>
  <c r="G450" i="9"/>
  <c r="F450" i="9"/>
  <c r="D450" i="9"/>
  <c r="C450" i="9"/>
  <c r="B450" i="9"/>
  <c r="A450" i="9"/>
  <c r="Q449" i="9"/>
  <c r="L449" i="9"/>
  <c r="K449" i="9"/>
  <c r="J449" i="9"/>
  <c r="I449" i="9"/>
  <c r="H449" i="9"/>
  <c r="G449" i="9"/>
  <c r="F449" i="9"/>
  <c r="D449" i="9"/>
  <c r="C449" i="9"/>
  <c r="B449" i="9"/>
  <c r="A449" i="9"/>
  <c r="Q448" i="9"/>
  <c r="L448" i="9"/>
  <c r="K448" i="9"/>
  <c r="J448" i="9"/>
  <c r="I448" i="9"/>
  <c r="H448" i="9"/>
  <c r="G448" i="9"/>
  <c r="F448" i="9"/>
  <c r="D448" i="9"/>
  <c r="C448" i="9"/>
  <c r="B448" i="9"/>
  <c r="A448" i="9"/>
  <c r="Q447" i="9"/>
  <c r="L447" i="9"/>
  <c r="K447" i="9"/>
  <c r="J447" i="9"/>
  <c r="I447" i="9"/>
  <c r="H447" i="9"/>
  <c r="G447" i="9"/>
  <c r="F447" i="9"/>
  <c r="D447" i="9"/>
  <c r="C447" i="9"/>
  <c r="B447" i="9"/>
  <c r="A447" i="9"/>
  <c r="Q446" i="9"/>
  <c r="L446" i="9"/>
  <c r="K446" i="9"/>
  <c r="J446" i="9"/>
  <c r="I446" i="9"/>
  <c r="H446" i="9"/>
  <c r="G446" i="9"/>
  <c r="F446" i="9"/>
  <c r="D446" i="9"/>
  <c r="C446" i="9"/>
  <c r="B446" i="9"/>
  <c r="M446" i="9" s="1"/>
  <c r="A446" i="9"/>
  <c r="Q445" i="9"/>
  <c r="L445" i="9"/>
  <c r="K445" i="9"/>
  <c r="J445" i="9"/>
  <c r="I445" i="9"/>
  <c r="H445" i="9"/>
  <c r="G445" i="9"/>
  <c r="F445" i="9"/>
  <c r="D445" i="9"/>
  <c r="C445" i="9"/>
  <c r="B445" i="9"/>
  <c r="A445" i="9"/>
  <c r="Q444" i="9"/>
  <c r="L444" i="9"/>
  <c r="K444" i="9"/>
  <c r="J444" i="9"/>
  <c r="I444" i="9"/>
  <c r="H444" i="9"/>
  <c r="G444" i="9"/>
  <c r="M444" i="9" s="1"/>
  <c r="F444" i="9"/>
  <c r="D444" i="9"/>
  <c r="C444" i="9"/>
  <c r="B444" i="9"/>
  <c r="A444" i="9"/>
  <c r="Q443" i="9"/>
  <c r="L443" i="9"/>
  <c r="K443" i="9"/>
  <c r="J443" i="9"/>
  <c r="I443" i="9"/>
  <c r="H443" i="9"/>
  <c r="G443" i="9"/>
  <c r="F443" i="9"/>
  <c r="D443" i="9"/>
  <c r="C443" i="9"/>
  <c r="B443" i="9"/>
  <c r="A443" i="9"/>
  <c r="Q442" i="9"/>
  <c r="L442" i="9"/>
  <c r="K442" i="9"/>
  <c r="J442" i="9"/>
  <c r="I442" i="9"/>
  <c r="H442" i="9"/>
  <c r="G442" i="9"/>
  <c r="F442" i="9"/>
  <c r="D442" i="9"/>
  <c r="C442" i="9"/>
  <c r="B442" i="9"/>
  <c r="A442" i="9"/>
  <c r="Q441" i="9"/>
  <c r="L441" i="9"/>
  <c r="K441" i="9"/>
  <c r="J441" i="9"/>
  <c r="I441" i="9"/>
  <c r="H441" i="9"/>
  <c r="G441" i="9"/>
  <c r="F441" i="9"/>
  <c r="D441" i="9"/>
  <c r="C441" i="9"/>
  <c r="B441" i="9"/>
  <c r="A441" i="9"/>
  <c r="Q440" i="9"/>
  <c r="L440" i="9"/>
  <c r="K440" i="9"/>
  <c r="J440" i="9"/>
  <c r="I440" i="9"/>
  <c r="H440" i="9"/>
  <c r="G440" i="9"/>
  <c r="F440" i="9"/>
  <c r="D440" i="9"/>
  <c r="C440" i="9"/>
  <c r="B440" i="9"/>
  <c r="A440" i="9"/>
  <c r="Q439" i="9"/>
  <c r="M439" i="9"/>
  <c r="L439" i="9"/>
  <c r="K439" i="9"/>
  <c r="J439" i="9"/>
  <c r="I439" i="9"/>
  <c r="H439" i="9"/>
  <c r="G439" i="9"/>
  <c r="F439" i="9"/>
  <c r="D439" i="9"/>
  <c r="C439" i="9"/>
  <c r="B439" i="9"/>
  <c r="A439" i="9"/>
  <c r="Q438" i="9"/>
  <c r="L438" i="9"/>
  <c r="K438" i="9"/>
  <c r="J438" i="9"/>
  <c r="I438" i="9"/>
  <c r="M438" i="9" s="1"/>
  <c r="P438" i="9" s="1"/>
  <c r="H438" i="9"/>
  <c r="G438" i="9"/>
  <c r="F438" i="9"/>
  <c r="D438" i="9"/>
  <c r="C438" i="9"/>
  <c r="B438" i="9"/>
  <c r="A438" i="9"/>
  <c r="Q437" i="9"/>
  <c r="M437" i="9"/>
  <c r="P437" i="9" s="1"/>
  <c r="L437" i="9"/>
  <c r="K437" i="9"/>
  <c r="J437" i="9"/>
  <c r="I437" i="9"/>
  <c r="H437" i="9"/>
  <c r="G437" i="9"/>
  <c r="F437" i="9"/>
  <c r="D437" i="9"/>
  <c r="C437" i="9"/>
  <c r="B437" i="9"/>
  <c r="A437" i="9"/>
  <c r="Q436" i="9"/>
  <c r="L436" i="9"/>
  <c r="K436" i="9"/>
  <c r="J436" i="9"/>
  <c r="I436" i="9"/>
  <c r="H436" i="9"/>
  <c r="G436" i="9"/>
  <c r="F436" i="9"/>
  <c r="D436" i="9"/>
  <c r="C436" i="9"/>
  <c r="B436" i="9"/>
  <c r="A436" i="9"/>
  <c r="Q435" i="9"/>
  <c r="L435" i="9"/>
  <c r="K435" i="9"/>
  <c r="J435" i="9"/>
  <c r="I435" i="9"/>
  <c r="H435" i="9"/>
  <c r="G435" i="9"/>
  <c r="M435" i="9" s="1"/>
  <c r="P435" i="9" s="1"/>
  <c r="F435" i="9"/>
  <c r="D435" i="9"/>
  <c r="C435" i="9"/>
  <c r="B435" i="9"/>
  <c r="A435" i="9"/>
  <c r="Q434" i="9"/>
  <c r="L434" i="9"/>
  <c r="K434" i="9"/>
  <c r="J434" i="9"/>
  <c r="I434" i="9"/>
  <c r="H434" i="9"/>
  <c r="G434" i="9"/>
  <c r="F434" i="9"/>
  <c r="D434" i="9"/>
  <c r="C434" i="9"/>
  <c r="B434" i="9"/>
  <c r="M434" i="9" s="1"/>
  <c r="P434" i="9" s="1"/>
  <c r="A434" i="9"/>
  <c r="Q433" i="9"/>
  <c r="L433" i="9"/>
  <c r="K433" i="9"/>
  <c r="J433" i="9"/>
  <c r="I433" i="9"/>
  <c r="H433" i="9"/>
  <c r="G433" i="9"/>
  <c r="F433" i="9"/>
  <c r="D433" i="9"/>
  <c r="C433" i="9"/>
  <c r="B433" i="9"/>
  <c r="A433" i="9"/>
  <c r="Q432" i="9"/>
  <c r="L432" i="9"/>
  <c r="K432" i="9"/>
  <c r="J432" i="9"/>
  <c r="I432" i="9"/>
  <c r="H432" i="9"/>
  <c r="G432" i="9"/>
  <c r="F432" i="9"/>
  <c r="D432" i="9"/>
  <c r="C432" i="9"/>
  <c r="B432" i="9"/>
  <c r="A432" i="9"/>
  <c r="Q431" i="9"/>
  <c r="L431" i="9"/>
  <c r="K431" i="9"/>
  <c r="J431" i="9"/>
  <c r="I431" i="9"/>
  <c r="H431" i="9"/>
  <c r="G431" i="9"/>
  <c r="F431" i="9"/>
  <c r="D431" i="9"/>
  <c r="C431" i="9"/>
  <c r="B431" i="9"/>
  <c r="A431" i="9"/>
  <c r="Q430" i="9"/>
  <c r="L430" i="9"/>
  <c r="K430" i="9"/>
  <c r="J430" i="9"/>
  <c r="I430" i="9"/>
  <c r="H430" i="9"/>
  <c r="G430" i="9"/>
  <c r="F430" i="9"/>
  <c r="D430" i="9"/>
  <c r="C430" i="9"/>
  <c r="B430" i="9"/>
  <c r="A430" i="9"/>
  <c r="Q429" i="9"/>
  <c r="L429" i="9"/>
  <c r="K429" i="9"/>
  <c r="J429" i="9"/>
  <c r="I429" i="9"/>
  <c r="H429" i="9"/>
  <c r="G429" i="9"/>
  <c r="F429" i="9"/>
  <c r="D429" i="9"/>
  <c r="C429" i="9"/>
  <c r="B429" i="9"/>
  <c r="M429" i="9" s="1"/>
  <c r="P429" i="9" s="1"/>
  <c r="A429" i="9"/>
  <c r="Q428" i="9"/>
  <c r="L428" i="9"/>
  <c r="K428" i="9"/>
  <c r="J428" i="9"/>
  <c r="I428" i="9"/>
  <c r="H428" i="9"/>
  <c r="G428" i="9"/>
  <c r="F428" i="9"/>
  <c r="D428" i="9"/>
  <c r="C428" i="9"/>
  <c r="B428" i="9"/>
  <c r="A428" i="9"/>
  <c r="Q427" i="9"/>
  <c r="L427" i="9"/>
  <c r="K427" i="9"/>
  <c r="J427" i="9"/>
  <c r="I427" i="9"/>
  <c r="H427" i="9"/>
  <c r="G427" i="9"/>
  <c r="M427" i="9" s="1"/>
  <c r="P427" i="9" s="1"/>
  <c r="F427" i="9"/>
  <c r="D427" i="9"/>
  <c r="C427" i="9"/>
  <c r="B427" i="9"/>
  <c r="A427" i="9"/>
  <c r="Q426" i="9"/>
  <c r="L426" i="9"/>
  <c r="K426" i="9"/>
  <c r="J426" i="9"/>
  <c r="I426" i="9"/>
  <c r="H426" i="9"/>
  <c r="G426" i="9"/>
  <c r="F426" i="9"/>
  <c r="D426" i="9"/>
  <c r="C426" i="9"/>
  <c r="B426" i="9"/>
  <c r="A426" i="9"/>
  <c r="Q425" i="9"/>
  <c r="L425" i="9"/>
  <c r="K425" i="9"/>
  <c r="J425" i="9"/>
  <c r="I425" i="9"/>
  <c r="H425" i="9"/>
  <c r="G425" i="9"/>
  <c r="F425" i="9"/>
  <c r="D425" i="9"/>
  <c r="C425" i="9"/>
  <c r="B425" i="9"/>
  <c r="A425" i="9"/>
  <c r="Q424" i="9"/>
  <c r="L424" i="9"/>
  <c r="K424" i="9"/>
  <c r="J424" i="9"/>
  <c r="I424" i="9"/>
  <c r="H424" i="9"/>
  <c r="G424" i="9"/>
  <c r="F424" i="9"/>
  <c r="D424" i="9"/>
  <c r="C424" i="9"/>
  <c r="B424" i="9"/>
  <c r="M424" i="9" s="1"/>
  <c r="P424" i="9" s="1"/>
  <c r="A424" i="9"/>
  <c r="Q423" i="9"/>
  <c r="L423" i="9"/>
  <c r="K423" i="9"/>
  <c r="J423" i="9"/>
  <c r="I423" i="9"/>
  <c r="H423" i="9"/>
  <c r="G423" i="9"/>
  <c r="F423" i="9"/>
  <c r="D423" i="9"/>
  <c r="C423" i="9"/>
  <c r="B423" i="9"/>
  <c r="M423" i="9" s="1"/>
  <c r="P423" i="9" s="1"/>
  <c r="A423" i="9"/>
  <c r="Q422" i="9"/>
  <c r="M422" i="9"/>
  <c r="P422" i="9" s="1"/>
  <c r="L422" i="9"/>
  <c r="K422" i="9"/>
  <c r="J422" i="9"/>
  <c r="I422" i="9"/>
  <c r="H422" i="9"/>
  <c r="G422" i="9"/>
  <c r="F422" i="9"/>
  <c r="D422" i="9"/>
  <c r="C422" i="9"/>
  <c r="B422" i="9"/>
  <c r="A422" i="9"/>
  <c r="Q421" i="9"/>
  <c r="L421" i="9"/>
  <c r="K421" i="9"/>
  <c r="J421" i="9"/>
  <c r="I421" i="9"/>
  <c r="H421" i="9"/>
  <c r="G421" i="9"/>
  <c r="F421" i="9"/>
  <c r="D421" i="9"/>
  <c r="C421" i="9"/>
  <c r="B421" i="9"/>
  <c r="A421" i="9"/>
  <c r="Q420" i="9"/>
  <c r="L420" i="9"/>
  <c r="K420" i="9"/>
  <c r="J420" i="9"/>
  <c r="I420" i="9"/>
  <c r="H420" i="9"/>
  <c r="G420" i="9"/>
  <c r="F420" i="9"/>
  <c r="D420" i="9"/>
  <c r="C420" i="9"/>
  <c r="B420" i="9"/>
  <c r="A420" i="9"/>
  <c r="Q419" i="9"/>
  <c r="L419" i="9"/>
  <c r="K419" i="9"/>
  <c r="J419" i="9"/>
  <c r="I419" i="9"/>
  <c r="H419" i="9"/>
  <c r="G419" i="9"/>
  <c r="F419" i="9"/>
  <c r="D419" i="9"/>
  <c r="C419" i="9"/>
  <c r="B419" i="9"/>
  <c r="A419" i="9"/>
  <c r="Q418" i="9"/>
  <c r="L418" i="9"/>
  <c r="K418" i="9"/>
  <c r="J418" i="9"/>
  <c r="I418" i="9"/>
  <c r="H418" i="9"/>
  <c r="G418" i="9"/>
  <c r="F418" i="9"/>
  <c r="D418" i="9"/>
  <c r="C418" i="9"/>
  <c r="B418" i="9"/>
  <c r="A418" i="9"/>
  <c r="Q417" i="9"/>
  <c r="L417" i="9"/>
  <c r="K417" i="9"/>
  <c r="J417" i="9"/>
  <c r="I417" i="9"/>
  <c r="H417" i="9"/>
  <c r="G417" i="9"/>
  <c r="F417" i="9"/>
  <c r="D417" i="9"/>
  <c r="C417" i="9"/>
  <c r="B417" i="9"/>
  <c r="A417" i="9"/>
  <c r="Q416" i="9"/>
  <c r="L416" i="9"/>
  <c r="K416" i="9"/>
  <c r="J416" i="9"/>
  <c r="I416" i="9"/>
  <c r="H416" i="9"/>
  <c r="G416" i="9"/>
  <c r="F416" i="9"/>
  <c r="D416" i="9"/>
  <c r="C416" i="9"/>
  <c r="B416" i="9"/>
  <c r="A416" i="9"/>
  <c r="Q415" i="9"/>
  <c r="L415" i="9"/>
  <c r="K415" i="9"/>
  <c r="J415" i="9"/>
  <c r="I415" i="9"/>
  <c r="H415" i="9"/>
  <c r="G415" i="9"/>
  <c r="F415" i="9"/>
  <c r="D415" i="9"/>
  <c r="C415" i="9"/>
  <c r="B415" i="9"/>
  <c r="M415" i="9" s="1"/>
  <c r="P415" i="9" s="1"/>
  <c r="A415" i="9"/>
  <c r="Q414" i="9"/>
  <c r="L414" i="9"/>
  <c r="K414" i="9"/>
  <c r="J414" i="9"/>
  <c r="I414" i="9"/>
  <c r="H414" i="9"/>
  <c r="G414" i="9"/>
  <c r="F414" i="9"/>
  <c r="D414" i="9"/>
  <c r="C414" i="9"/>
  <c r="B414" i="9"/>
  <c r="A414" i="9"/>
  <c r="Q413" i="9"/>
  <c r="L413" i="9"/>
  <c r="K413" i="9"/>
  <c r="J413" i="9"/>
  <c r="I413" i="9"/>
  <c r="H413" i="9"/>
  <c r="G413" i="9"/>
  <c r="F413" i="9"/>
  <c r="D413" i="9"/>
  <c r="C413" i="9"/>
  <c r="B413" i="9"/>
  <c r="A413" i="9"/>
  <c r="Q412" i="9"/>
  <c r="L412" i="9"/>
  <c r="K412" i="9"/>
  <c r="J412" i="9"/>
  <c r="I412" i="9"/>
  <c r="H412" i="9"/>
  <c r="G412" i="9"/>
  <c r="F412" i="9"/>
  <c r="D412" i="9"/>
  <c r="C412" i="9"/>
  <c r="B412" i="9"/>
  <c r="A412" i="9"/>
  <c r="Q411" i="9"/>
  <c r="L411" i="9"/>
  <c r="K411" i="9"/>
  <c r="J411" i="9"/>
  <c r="I411" i="9"/>
  <c r="H411" i="9"/>
  <c r="G411" i="9"/>
  <c r="F411" i="9"/>
  <c r="D411" i="9"/>
  <c r="C411" i="9"/>
  <c r="B411" i="9"/>
  <c r="A411" i="9"/>
  <c r="Q410" i="9"/>
  <c r="L410" i="9"/>
  <c r="K410" i="9"/>
  <c r="J410" i="9"/>
  <c r="I410" i="9"/>
  <c r="H410" i="9"/>
  <c r="G410" i="9"/>
  <c r="F410" i="9"/>
  <c r="D410" i="9"/>
  <c r="C410" i="9"/>
  <c r="B410" i="9"/>
  <c r="A410" i="9"/>
  <c r="Q409" i="9"/>
  <c r="L409" i="9"/>
  <c r="K409" i="9"/>
  <c r="J409" i="9"/>
  <c r="I409" i="9"/>
  <c r="H409" i="9"/>
  <c r="G409" i="9"/>
  <c r="F409" i="9"/>
  <c r="D409" i="9"/>
  <c r="C409" i="9"/>
  <c r="B409" i="9"/>
  <c r="A409" i="9"/>
  <c r="Q408" i="9"/>
  <c r="L408" i="9"/>
  <c r="K408" i="9"/>
  <c r="J408" i="9"/>
  <c r="I408" i="9"/>
  <c r="H408" i="9"/>
  <c r="G408" i="9"/>
  <c r="F408" i="9"/>
  <c r="D408" i="9"/>
  <c r="C408" i="9"/>
  <c r="B408" i="9"/>
  <c r="M408" i="9" s="1"/>
  <c r="A408" i="9"/>
  <c r="Q407" i="9"/>
  <c r="L407" i="9"/>
  <c r="K407" i="9"/>
  <c r="J407" i="9"/>
  <c r="I407" i="9"/>
  <c r="H407" i="9"/>
  <c r="G407" i="9"/>
  <c r="F407" i="9"/>
  <c r="D407" i="9"/>
  <c r="C407" i="9"/>
  <c r="B407" i="9"/>
  <c r="M407" i="9" s="1"/>
  <c r="A407" i="9"/>
  <c r="Q406" i="9"/>
  <c r="L406" i="9"/>
  <c r="K406" i="9"/>
  <c r="J406" i="9"/>
  <c r="I406" i="9"/>
  <c r="H406" i="9"/>
  <c r="G406" i="9"/>
  <c r="M406" i="9" s="1"/>
  <c r="F406" i="9"/>
  <c r="D406" i="9"/>
  <c r="C406" i="9"/>
  <c r="B406" i="9"/>
  <c r="A406" i="9"/>
  <c r="Q405" i="9"/>
  <c r="L405" i="9"/>
  <c r="K405" i="9"/>
  <c r="J405" i="9"/>
  <c r="I405" i="9"/>
  <c r="H405" i="9"/>
  <c r="G405" i="9"/>
  <c r="F405" i="9"/>
  <c r="D405" i="9"/>
  <c r="C405" i="9"/>
  <c r="B405" i="9"/>
  <c r="A405" i="9"/>
  <c r="Q404" i="9"/>
  <c r="L404" i="9"/>
  <c r="K404" i="9"/>
  <c r="J404" i="9"/>
  <c r="I404" i="9"/>
  <c r="H404" i="9"/>
  <c r="G404" i="9"/>
  <c r="F404" i="9"/>
  <c r="D404" i="9"/>
  <c r="C404" i="9"/>
  <c r="B404" i="9"/>
  <c r="A404" i="9"/>
  <c r="Q403" i="9"/>
  <c r="M403" i="9"/>
  <c r="L403" i="9"/>
  <c r="K403" i="9"/>
  <c r="J403" i="9"/>
  <c r="I403" i="9"/>
  <c r="H403" i="9"/>
  <c r="G403" i="9"/>
  <c r="F403" i="9"/>
  <c r="D403" i="9"/>
  <c r="C403" i="9"/>
  <c r="B403" i="9"/>
  <c r="A403" i="9"/>
  <c r="Q402" i="9"/>
  <c r="L402" i="9"/>
  <c r="K402" i="9"/>
  <c r="J402" i="9"/>
  <c r="I402" i="9"/>
  <c r="H402" i="9"/>
  <c r="G402" i="9"/>
  <c r="F402" i="9"/>
  <c r="D402" i="9"/>
  <c r="C402" i="9"/>
  <c r="B402" i="9"/>
  <c r="A402" i="9"/>
  <c r="Q401" i="9"/>
  <c r="L401" i="9"/>
  <c r="K401" i="9"/>
  <c r="J401" i="9"/>
  <c r="I401" i="9"/>
  <c r="H401" i="9"/>
  <c r="G401" i="9"/>
  <c r="F401" i="9"/>
  <c r="D401" i="9"/>
  <c r="C401" i="9"/>
  <c r="B401" i="9"/>
  <c r="A401" i="9"/>
  <c r="Q400" i="9"/>
  <c r="L400" i="9"/>
  <c r="K400" i="9"/>
  <c r="J400" i="9"/>
  <c r="I400" i="9"/>
  <c r="H400" i="9"/>
  <c r="G400" i="9"/>
  <c r="F400" i="9"/>
  <c r="D400" i="9"/>
  <c r="C400" i="9"/>
  <c r="B400" i="9"/>
  <c r="M400" i="9" s="1"/>
  <c r="A400" i="9"/>
  <c r="Q399" i="9"/>
  <c r="L399" i="9"/>
  <c r="K399" i="9"/>
  <c r="J399" i="9"/>
  <c r="I399" i="9"/>
  <c r="H399" i="9"/>
  <c r="G399" i="9"/>
  <c r="F399" i="9"/>
  <c r="D399" i="9"/>
  <c r="C399" i="9"/>
  <c r="B399" i="9"/>
  <c r="A399" i="9"/>
  <c r="Q398" i="9"/>
  <c r="L398" i="9"/>
  <c r="K398" i="9"/>
  <c r="J398" i="9"/>
  <c r="I398" i="9"/>
  <c r="H398" i="9"/>
  <c r="G398" i="9"/>
  <c r="F398" i="9"/>
  <c r="D398" i="9"/>
  <c r="C398" i="9"/>
  <c r="B398" i="9"/>
  <c r="A398" i="9"/>
  <c r="Q397" i="9"/>
  <c r="L397" i="9"/>
  <c r="K397" i="9"/>
  <c r="J397" i="9"/>
  <c r="I397" i="9"/>
  <c r="H397" i="9"/>
  <c r="G397" i="9"/>
  <c r="F397" i="9"/>
  <c r="D397" i="9"/>
  <c r="C397" i="9"/>
  <c r="B397" i="9"/>
  <c r="A397" i="9"/>
  <c r="Q396" i="9"/>
  <c r="L396" i="9"/>
  <c r="K396" i="9"/>
  <c r="J396" i="9"/>
  <c r="I396" i="9"/>
  <c r="H396" i="9"/>
  <c r="G396" i="9"/>
  <c r="F396" i="9"/>
  <c r="D396" i="9"/>
  <c r="C396" i="9"/>
  <c r="B396" i="9"/>
  <c r="A396" i="9"/>
  <c r="Q395" i="9"/>
  <c r="L395" i="9"/>
  <c r="K395" i="9"/>
  <c r="J395" i="9"/>
  <c r="I395" i="9"/>
  <c r="H395" i="9"/>
  <c r="G395" i="9"/>
  <c r="F395" i="9"/>
  <c r="D395" i="9"/>
  <c r="C395" i="9"/>
  <c r="B395" i="9"/>
  <c r="A395" i="9"/>
  <c r="Q394" i="9"/>
  <c r="L394" i="9"/>
  <c r="K394" i="9"/>
  <c r="J394" i="9"/>
  <c r="I394" i="9"/>
  <c r="H394" i="9"/>
  <c r="G394" i="9"/>
  <c r="F394" i="9"/>
  <c r="D394" i="9"/>
  <c r="C394" i="9"/>
  <c r="B394" i="9"/>
  <c r="A394" i="9"/>
  <c r="Q393" i="9"/>
  <c r="L393" i="9"/>
  <c r="K393" i="9"/>
  <c r="J393" i="9"/>
  <c r="I393" i="9"/>
  <c r="H393" i="9"/>
  <c r="G393" i="9"/>
  <c r="F393" i="9"/>
  <c r="D393" i="9"/>
  <c r="C393" i="9"/>
  <c r="B393" i="9"/>
  <c r="M393" i="9" s="1"/>
  <c r="A393" i="9"/>
  <c r="Q392" i="9"/>
  <c r="L392" i="9"/>
  <c r="K392" i="9"/>
  <c r="J392" i="9"/>
  <c r="I392" i="9"/>
  <c r="H392" i="9"/>
  <c r="G392" i="9"/>
  <c r="F392" i="9"/>
  <c r="D392" i="9"/>
  <c r="C392" i="9"/>
  <c r="B392" i="9"/>
  <c r="M392" i="9" s="1"/>
  <c r="A392" i="9"/>
  <c r="Q391" i="9"/>
  <c r="L391" i="9"/>
  <c r="K391" i="9"/>
  <c r="J391" i="9"/>
  <c r="I391" i="9"/>
  <c r="H391" i="9"/>
  <c r="G391" i="9"/>
  <c r="M391" i="9" s="1"/>
  <c r="F391" i="9"/>
  <c r="D391" i="9"/>
  <c r="C391" i="9"/>
  <c r="B391" i="9"/>
  <c r="A391" i="9"/>
  <c r="Q390" i="9"/>
  <c r="L390" i="9"/>
  <c r="K390" i="9"/>
  <c r="J390" i="9"/>
  <c r="I390" i="9"/>
  <c r="H390" i="9"/>
  <c r="G390" i="9"/>
  <c r="F390" i="9"/>
  <c r="D390" i="9"/>
  <c r="C390" i="9"/>
  <c r="B390" i="9"/>
  <c r="A390" i="9"/>
  <c r="Q389" i="9"/>
  <c r="L389" i="9"/>
  <c r="K389" i="9"/>
  <c r="J389" i="9"/>
  <c r="I389" i="9"/>
  <c r="H389" i="9"/>
  <c r="G389" i="9"/>
  <c r="F389" i="9"/>
  <c r="D389" i="9"/>
  <c r="C389" i="9"/>
  <c r="B389" i="9"/>
  <c r="A389" i="9"/>
  <c r="Q388" i="9"/>
  <c r="L388" i="9"/>
  <c r="K388" i="9"/>
  <c r="J388" i="9"/>
  <c r="I388" i="9"/>
  <c r="H388" i="9"/>
  <c r="G388" i="9"/>
  <c r="F388" i="9"/>
  <c r="D388" i="9"/>
  <c r="C388" i="9"/>
  <c r="B388" i="9"/>
  <c r="M388" i="9" s="1"/>
  <c r="A388" i="9"/>
  <c r="Q387" i="9"/>
  <c r="L387" i="9"/>
  <c r="K387" i="9"/>
  <c r="J387" i="9"/>
  <c r="I387" i="9"/>
  <c r="H387" i="9"/>
  <c r="G387" i="9"/>
  <c r="F387" i="9"/>
  <c r="D387" i="9"/>
  <c r="C387" i="9"/>
  <c r="B387" i="9"/>
  <c r="A387" i="9"/>
  <c r="Q386" i="9"/>
  <c r="L386" i="9"/>
  <c r="K386" i="9"/>
  <c r="J386" i="9"/>
  <c r="I386" i="9"/>
  <c r="H386" i="9"/>
  <c r="G386" i="9"/>
  <c r="F386" i="9"/>
  <c r="D386" i="9"/>
  <c r="C386" i="9"/>
  <c r="B386" i="9"/>
  <c r="A386" i="9"/>
  <c r="Q385" i="9"/>
  <c r="L385" i="9"/>
  <c r="K385" i="9"/>
  <c r="J385" i="9"/>
  <c r="I385" i="9"/>
  <c r="H385" i="9"/>
  <c r="G385" i="9"/>
  <c r="F385" i="9"/>
  <c r="D385" i="9"/>
  <c r="C385" i="9"/>
  <c r="B385" i="9"/>
  <c r="A385" i="9"/>
  <c r="Q384" i="9"/>
  <c r="L384" i="9"/>
  <c r="K384" i="9"/>
  <c r="J384" i="9"/>
  <c r="I384" i="9"/>
  <c r="H384" i="9"/>
  <c r="G384" i="9"/>
  <c r="F384" i="9"/>
  <c r="D384" i="9"/>
  <c r="C384" i="9"/>
  <c r="B384" i="9"/>
  <c r="A384" i="9"/>
  <c r="Q383" i="9"/>
  <c r="L383" i="9"/>
  <c r="K383" i="9"/>
  <c r="J383" i="9"/>
  <c r="I383" i="9"/>
  <c r="H383" i="9"/>
  <c r="G383" i="9"/>
  <c r="F383" i="9"/>
  <c r="D383" i="9"/>
  <c r="C383" i="9"/>
  <c r="B383" i="9"/>
  <c r="A383" i="9"/>
  <c r="Q382" i="9"/>
  <c r="L382" i="9"/>
  <c r="K382" i="9"/>
  <c r="J382" i="9"/>
  <c r="I382" i="9"/>
  <c r="H382" i="9"/>
  <c r="G382" i="9"/>
  <c r="F382" i="9"/>
  <c r="D382" i="9"/>
  <c r="C382" i="9"/>
  <c r="B382" i="9"/>
  <c r="A382" i="9"/>
  <c r="Q381" i="9"/>
  <c r="L381" i="9"/>
  <c r="K381" i="9"/>
  <c r="J381" i="9"/>
  <c r="I381" i="9"/>
  <c r="H381" i="9"/>
  <c r="G381" i="9"/>
  <c r="F381" i="9"/>
  <c r="D381" i="9"/>
  <c r="C381" i="9"/>
  <c r="B381" i="9"/>
  <c r="A381" i="9"/>
  <c r="Q380" i="9"/>
  <c r="L380" i="9"/>
  <c r="K380" i="9"/>
  <c r="J380" i="9"/>
  <c r="I380" i="9"/>
  <c r="H380" i="9"/>
  <c r="G380" i="9"/>
  <c r="F380" i="9"/>
  <c r="D380" i="9"/>
  <c r="C380" i="9"/>
  <c r="B380" i="9"/>
  <c r="A380" i="9"/>
  <c r="Q379" i="9"/>
  <c r="L379" i="9"/>
  <c r="K379" i="9"/>
  <c r="J379" i="9"/>
  <c r="I379" i="9"/>
  <c r="H379" i="9"/>
  <c r="G379" i="9"/>
  <c r="F379" i="9"/>
  <c r="D379" i="9"/>
  <c r="C379" i="9"/>
  <c r="B379" i="9"/>
  <c r="A379" i="9"/>
  <c r="Q378" i="9"/>
  <c r="M378" i="9"/>
  <c r="L378" i="9"/>
  <c r="K378" i="9"/>
  <c r="J378" i="9"/>
  <c r="I378" i="9"/>
  <c r="H378" i="9"/>
  <c r="G378" i="9"/>
  <c r="F378" i="9"/>
  <c r="D378" i="9"/>
  <c r="C378" i="9"/>
  <c r="B378" i="9"/>
  <c r="A378" i="9"/>
  <c r="Q377" i="9"/>
  <c r="L377" i="9"/>
  <c r="K377" i="9"/>
  <c r="J377" i="9"/>
  <c r="I377" i="9"/>
  <c r="H377" i="9"/>
  <c r="G377" i="9"/>
  <c r="F377" i="9"/>
  <c r="D377" i="9"/>
  <c r="C377" i="9"/>
  <c r="B377" i="9"/>
  <c r="A377" i="9"/>
  <c r="Q376" i="9"/>
  <c r="L376" i="9"/>
  <c r="K376" i="9"/>
  <c r="J376" i="9"/>
  <c r="I376" i="9"/>
  <c r="H376" i="9"/>
  <c r="G376" i="9"/>
  <c r="F376" i="9"/>
  <c r="D376" i="9"/>
  <c r="C376" i="9"/>
  <c r="B376" i="9"/>
  <c r="A376" i="9"/>
  <c r="Q375" i="9"/>
  <c r="L375" i="9"/>
  <c r="K375" i="9"/>
  <c r="J375" i="9"/>
  <c r="I375" i="9"/>
  <c r="H375" i="9"/>
  <c r="G375" i="9"/>
  <c r="F375" i="9"/>
  <c r="D375" i="9"/>
  <c r="C375" i="9"/>
  <c r="B375" i="9"/>
  <c r="A375" i="9"/>
  <c r="Q374" i="9"/>
  <c r="L374" i="9"/>
  <c r="K374" i="9"/>
  <c r="J374" i="9"/>
  <c r="I374" i="9"/>
  <c r="H374" i="9"/>
  <c r="G374" i="9"/>
  <c r="F374" i="9"/>
  <c r="D374" i="9"/>
  <c r="C374" i="9"/>
  <c r="B374" i="9"/>
  <c r="A374" i="9"/>
  <c r="Q373" i="9"/>
  <c r="L373" i="9"/>
  <c r="K373" i="9"/>
  <c r="J373" i="9"/>
  <c r="I373" i="9"/>
  <c r="M373" i="9" s="1"/>
  <c r="H373" i="9"/>
  <c r="G373" i="9"/>
  <c r="F373" i="9"/>
  <c r="D373" i="9"/>
  <c r="C373" i="9"/>
  <c r="B373" i="9"/>
  <c r="A373" i="9"/>
  <c r="Q372" i="9"/>
  <c r="L372" i="9"/>
  <c r="K372" i="9"/>
  <c r="J372" i="9"/>
  <c r="I372" i="9"/>
  <c r="H372" i="9"/>
  <c r="G372" i="9"/>
  <c r="F372" i="9"/>
  <c r="D372" i="9"/>
  <c r="C372" i="9"/>
  <c r="B372" i="9"/>
  <c r="A372" i="9"/>
  <c r="Q371" i="9"/>
  <c r="L371" i="9"/>
  <c r="K371" i="9"/>
  <c r="J371" i="9"/>
  <c r="I371" i="9"/>
  <c r="H371" i="9"/>
  <c r="G371" i="9"/>
  <c r="F371" i="9"/>
  <c r="D371" i="9"/>
  <c r="C371" i="9"/>
  <c r="B371" i="9"/>
  <c r="A371" i="9"/>
  <c r="Q370" i="9"/>
  <c r="L370" i="9"/>
  <c r="K370" i="9"/>
  <c r="J370" i="9"/>
  <c r="I370" i="9"/>
  <c r="H370" i="9"/>
  <c r="G370" i="9"/>
  <c r="M370" i="9" s="1"/>
  <c r="P370" i="9" s="1"/>
  <c r="F370" i="9"/>
  <c r="D370" i="9"/>
  <c r="C370" i="9"/>
  <c r="B370" i="9"/>
  <c r="A370" i="9"/>
  <c r="Q369" i="9"/>
  <c r="L369" i="9"/>
  <c r="K369" i="9"/>
  <c r="J369" i="9"/>
  <c r="I369" i="9"/>
  <c r="H369" i="9"/>
  <c r="G369" i="9"/>
  <c r="F369" i="9"/>
  <c r="D369" i="9"/>
  <c r="C369" i="9"/>
  <c r="B369" i="9"/>
  <c r="A369" i="9"/>
  <c r="Q368" i="9"/>
  <c r="L368" i="9"/>
  <c r="K368" i="9"/>
  <c r="J368" i="9"/>
  <c r="I368" i="9"/>
  <c r="H368" i="9"/>
  <c r="G368" i="9"/>
  <c r="M368" i="9" s="1"/>
  <c r="F368" i="9"/>
  <c r="D368" i="9"/>
  <c r="C368" i="9"/>
  <c r="B368" i="9"/>
  <c r="A368" i="9"/>
  <c r="Q367" i="9"/>
  <c r="L367" i="9"/>
  <c r="K367" i="9"/>
  <c r="J367" i="9"/>
  <c r="I367" i="9"/>
  <c r="H367" i="9"/>
  <c r="G367" i="9"/>
  <c r="F367" i="9"/>
  <c r="D367" i="9"/>
  <c r="C367" i="9"/>
  <c r="B367" i="9"/>
  <c r="A367" i="9"/>
  <c r="Q366" i="9"/>
  <c r="L366" i="9"/>
  <c r="K366" i="9"/>
  <c r="J366" i="9"/>
  <c r="I366" i="9"/>
  <c r="H366" i="9"/>
  <c r="G366" i="9"/>
  <c r="F366" i="9"/>
  <c r="D366" i="9"/>
  <c r="C366" i="9"/>
  <c r="B366" i="9"/>
  <c r="A366" i="9"/>
  <c r="Q365" i="9"/>
  <c r="L365" i="9"/>
  <c r="K365" i="9"/>
  <c r="J365" i="9"/>
  <c r="I365" i="9"/>
  <c r="H365" i="9"/>
  <c r="G365" i="9"/>
  <c r="F365" i="9"/>
  <c r="D365" i="9"/>
  <c r="C365" i="9"/>
  <c r="B365" i="9"/>
  <c r="M365" i="9" s="1"/>
  <c r="A365" i="9"/>
  <c r="Q364" i="9"/>
  <c r="L364" i="9"/>
  <c r="K364" i="9"/>
  <c r="J364" i="9"/>
  <c r="I364" i="9"/>
  <c r="H364" i="9"/>
  <c r="G364" i="9"/>
  <c r="F364" i="9"/>
  <c r="D364" i="9"/>
  <c r="C364" i="9"/>
  <c r="B364" i="9"/>
  <c r="A364" i="9"/>
  <c r="Q363" i="9"/>
  <c r="L363" i="9"/>
  <c r="K363" i="9"/>
  <c r="J363" i="9"/>
  <c r="I363" i="9"/>
  <c r="H363" i="9"/>
  <c r="G363" i="9"/>
  <c r="F363" i="9"/>
  <c r="D363" i="9"/>
  <c r="C363" i="9"/>
  <c r="B363" i="9"/>
  <c r="A363" i="9"/>
  <c r="Q362" i="9"/>
  <c r="L362" i="9"/>
  <c r="K362" i="9"/>
  <c r="J362" i="9"/>
  <c r="I362" i="9"/>
  <c r="H362" i="9"/>
  <c r="G362" i="9"/>
  <c r="F362" i="9"/>
  <c r="D362" i="9"/>
  <c r="C362" i="9"/>
  <c r="B362" i="9"/>
  <c r="A362" i="9"/>
  <c r="Q361" i="9"/>
  <c r="M361" i="9"/>
  <c r="L361" i="9"/>
  <c r="K361" i="9"/>
  <c r="J361" i="9"/>
  <c r="I361" i="9"/>
  <c r="H361" i="9"/>
  <c r="G361" i="9"/>
  <c r="F361" i="9"/>
  <c r="D361" i="9"/>
  <c r="C361" i="9"/>
  <c r="B361" i="9"/>
  <c r="A361" i="9"/>
  <c r="Q360" i="9"/>
  <c r="L360" i="9"/>
  <c r="K360" i="9"/>
  <c r="J360" i="9"/>
  <c r="I360" i="9"/>
  <c r="H360" i="9"/>
  <c r="G360" i="9"/>
  <c r="F360" i="9"/>
  <c r="D360" i="9"/>
  <c r="C360" i="9"/>
  <c r="B360" i="9"/>
  <c r="A360" i="9"/>
  <c r="Q359" i="9"/>
  <c r="M359" i="9"/>
  <c r="P359" i="9" s="1"/>
  <c r="L359" i="9"/>
  <c r="K359" i="9"/>
  <c r="J359" i="9"/>
  <c r="I359" i="9"/>
  <c r="H359" i="9"/>
  <c r="G359" i="9"/>
  <c r="F359" i="9"/>
  <c r="D359" i="9"/>
  <c r="C359" i="9"/>
  <c r="B359" i="9"/>
  <c r="A359" i="9"/>
  <c r="Q358" i="9"/>
  <c r="L358" i="9"/>
  <c r="K358" i="9"/>
  <c r="J358" i="9"/>
  <c r="I358" i="9"/>
  <c r="H358" i="9"/>
  <c r="G358" i="9"/>
  <c r="F358" i="9"/>
  <c r="D358" i="9"/>
  <c r="C358" i="9"/>
  <c r="B358" i="9"/>
  <c r="A358" i="9"/>
  <c r="Q357" i="9"/>
  <c r="L357" i="9"/>
  <c r="K357" i="9"/>
  <c r="J357" i="9"/>
  <c r="I357" i="9"/>
  <c r="H357" i="9"/>
  <c r="G357" i="9"/>
  <c r="M357" i="9" s="1"/>
  <c r="P357" i="9" s="1"/>
  <c r="F357" i="9"/>
  <c r="D357" i="9"/>
  <c r="C357" i="9"/>
  <c r="B357" i="9"/>
  <c r="A357" i="9"/>
  <c r="Q356" i="9"/>
  <c r="L356" i="9"/>
  <c r="K356" i="9"/>
  <c r="J356" i="9"/>
  <c r="I356" i="9"/>
  <c r="H356" i="9"/>
  <c r="G356" i="9"/>
  <c r="F356" i="9"/>
  <c r="D356" i="9"/>
  <c r="C356" i="9"/>
  <c r="B356" i="9"/>
  <c r="M356" i="9" s="1"/>
  <c r="A356" i="9"/>
  <c r="Q355" i="9"/>
  <c r="L355" i="9"/>
  <c r="K355" i="9"/>
  <c r="J355" i="9"/>
  <c r="I355" i="9"/>
  <c r="H355" i="9"/>
  <c r="G355" i="9"/>
  <c r="F355" i="9"/>
  <c r="D355" i="9"/>
  <c r="C355" i="9"/>
  <c r="B355" i="9"/>
  <c r="A355" i="9"/>
  <c r="Q354" i="9"/>
  <c r="L354" i="9"/>
  <c r="K354" i="9"/>
  <c r="J354" i="9"/>
  <c r="I354" i="9"/>
  <c r="H354" i="9"/>
  <c r="G354" i="9"/>
  <c r="F354" i="9"/>
  <c r="D354" i="9"/>
  <c r="C354" i="9"/>
  <c r="B354" i="9"/>
  <c r="A354" i="9"/>
  <c r="Q353" i="9"/>
  <c r="L353" i="9"/>
  <c r="K353" i="9"/>
  <c r="J353" i="9"/>
  <c r="I353" i="9"/>
  <c r="H353" i="9"/>
  <c r="G353" i="9"/>
  <c r="F353" i="9"/>
  <c r="D353" i="9"/>
  <c r="C353" i="9"/>
  <c r="B353" i="9"/>
  <c r="A353" i="9"/>
  <c r="Q352" i="9"/>
  <c r="L352" i="9"/>
  <c r="K352" i="9"/>
  <c r="J352" i="9"/>
  <c r="I352" i="9"/>
  <c r="H352" i="9"/>
  <c r="G352" i="9"/>
  <c r="F352" i="9"/>
  <c r="D352" i="9"/>
  <c r="C352" i="9"/>
  <c r="B352" i="9"/>
  <c r="A352" i="9"/>
  <c r="Q351" i="9"/>
  <c r="L351" i="9"/>
  <c r="K351" i="9"/>
  <c r="J351" i="9"/>
  <c r="I351" i="9"/>
  <c r="H351" i="9"/>
  <c r="G351" i="9"/>
  <c r="F351" i="9"/>
  <c r="D351" i="9"/>
  <c r="C351" i="9"/>
  <c r="B351" i="9"/>
  <c r="M351" i="9" s="1"/>
  <c r="P351" i="9" s="1"/>
  <c r="A351" i="9"/>
  <c r="Q350" i="9"/>
  <c r="L350" i="9"/>
  <c r="K350" i="9"/>
  <c r="J350" i="9"/>
  <c r="I350" i="9"/>
  <c r="H350" i="9"/>
  <c r="G350" i="9"/>
  <c r="F350" i="9"/>
  <c r="D350" i="9"/>
  <c r="C350" i="9"/>
  <c r="B350" i="9"/>
  <c r="M350" i="9" s="1"/>
  <c r="P350" i="9" s="1"/>
  <c r="A350" i="9"/>
  <c r="Q349" i="9"/>
  <c r="L349" i="9"/>
  <c r="K349" i="9"/>
  <c r="J349" i="9"/>
  <c r="I349" i="9"/>
  <c r="H349" i="9"/>
  <c r="G349" i="9"/>
  <c r="F349" i="9"/>
  <c r="D349" i="9"/>
  <c r="C349" i="9"/>
  <c r="B349" i="9"/>
  <c r="M349" i="9" s="1"/>
  <c r="P349" i="9" s="1"/>
  <c r="A349" i="9"/>
  <c r="Q348" i="9"/>
  <c r="L348" i="9"/>
  <c r="K348" i="9"/>
  <c r="J348" i="9"/>
  <c r="I348" i="9"/>
  <c r="H348" i="9"/>
  <c r="G348" i="9"/>
  <c r="F348" i="9"/>
  <c r="D348" i="9"/>
  <c r="C348" i="9"/>
  <c r="B348" i="9"/>
  <c r="A348" i="9"/>
  <c r="Q347" i="9"/>
  <c r="L347" i="9"/>
  <c r="K347" i="9"/>
  <c r="J347" i="9"/>
  <c r="I347" i="9"/>
  <c r="H347" i="9"/>
  <c r="G347" i="9"/>
  <c r="F347" i="9"/>
  <c r="D347" i="9"/>
  <c r="C347" i="9"/>
  <c r="B347" i="9"/>
  <c r="A347" i="9"/>
  <c r="Q346" i="9"/>
  <c r="L346" i="9"/>
  <c r="K346" i="9"/>
  <c r="J346" i="9"/>
  <c r="I346" i="9"/>
  <c r="H346" i="9"/>
  <c r="G346" i="9"/>
  <c r="F346" i="9"/>
  <c r="D346" i="9"/>
  <c r="C346" i="9"/>
  <c r="B346" i="9"/>
  <c r="A346" i="9"/>
  <c r="Q345" i="9"/>
  <c r="L345" i="9"/>
  <c r="K345" i="9"/>
  <c r="J345" i="9"/>
  <c r="I345" i="9"/>
  <c r="H345" i="9"/>
  <c r="G345" i="9"/>
  <c r="F345" i="9"/>
  <c r="D345" i="9"/>
  <c r="C345" i="9"/>
  <c r="B345" i="9"/>
  <c r="M345" i="9" s="1"/>
  <c r="A345" i="9"/>
  <c r="Q344" i="9"/>
  <c r="L344" i="9"/>
  <c r="K344" i="9"/>
  <c r="J344" i="9"/>
  <c r="I344" i="9"/>
  <c r="H344" i="9"/>
  <c r="G344" i="9"/>
  <c r="F344" i="9"/>
  <c r="D344" i="9"/>
  <c r="C344" i="9"/>
  <c r="B344" i="9"/>
  <c r="A344" i="9"/>
  <c r="Q343" i="9"/>
  <c r="L343" i="9"/>
  <c r="K343" i="9"/>
  <c r="J343" i="9"/>
  <c r="I343" i="9"/>
  <c r="H343" i="9"/>
  <c r="G343" i="9"/>
  <c r="F343" i="9"/>
  <c r="D343" i="9"/>
  <c r="C343" i="9"/>
  <c r="B343" i="9"/>
  <c r="M343" i="9" s="1"/>
  <c r="P343" i="9" s="1"/>
  <c r="A343" i="9"/>
  <c r="Q342" i="9"/>
  <c r="L342" i="9"/>
  <c r="K342" i="9"/>
  <c r="J342" i="9"/>
  <c r="I342" i="9"/>
  <c r="H342" i="9"/>
  <c r="G342" i="9"/>
  <c r="F342" i="9"/>
  <c r="D342" i="9"/>
  <c r="C342" i="9"/>
  <c r="B342" i="9"/>
  <c r="A342" i="9"/>
  <c r="Q341" i="9"/>
  <c r="L341" i="9"/>
  <c r="K341" i="9"/>
  <c r="J341" i="9"/>
  <c r="I341" i="9"/>
  <c r="H341" i="9"/>
  <c r="G341" i="9"/>
  <c r="F341" i="9"/>
  <c r="D341" i="9"/>
  <c r="C341" i="9"/>
  <c r="B341" i="9"/>
  <c r="A341" i="9"/>
  <c r="Q340" i="9"/>
  <c r="L340" i="9"/>
  <c r="K340" i="9"/>
  <c r="J340" i="9"/>
  <c r="I340" i="9"/>
  <c r="H340" i="9"/>
  <c r="G340" i="9"/>
  <c r="M340" i="9" s="1"/>
  <c r="F340" i="9"/>
  <c r="D340" i="9"/>
  <c r="C340" i="9"/>
  <c r="B340" i="9"/>
  <c r="A340" i="9"/>
  <c r="Q339" i="9"/>
  <c r="L339" i="9"/>
  <c r="K339" i="9"/>
  <c r="J339" i="9"/>
  <c r="I339" i="9"/>
  <c r="H339" i="9"/>
  <c r="G339" i="9"/>
  <c r="F339" i="9"/>
  <c r="D339" i="9"/>
  <c r="C339" i="9"/>
  <c r="B339" i="9"/>
  <c r="A339" i="9"/>
  <c r="Q338" i="9"/>
  <c r="L338" i="9"/>
  <c r="K338" i="9"/>
  <c r="J338" i="9"/>
  <c r="I338" i="9"/>
  <c r="H338" i="9"/>
  <c r="G338" i="9"/>
  <c r="M338" i="9" s="1"/>
  <c r="P338" i="9" s="1"/>
  <c r="F338" i="9"/>
  <c r="D338" i="9"/>
  <c r="C338" i="9"/>
  <c r="B338" i="9"/>
  <c r="A338" i="9"/>
  <c r="Q337" i="9"/>
  <c r="L337" i="9"/>
  <c r="K337" i="9"/>
  <c r="J337" i="9"/>
  <c r="I337" i="9"/>
  <c r="H337" i="9"/>
  <c r="G337" i="9"/>
  <c r="F337" i="9"/>
  <c r="D337" i="9"/>
  <c r="C337" i="9"/>
  <c r="B337" i="9"/>
  <c r="A337" i="9"/>
  <c r="Q336" i="9"/>
  <c r="L336" i="9"/>
  <c r="K336" i="9"/>
  <c r="J336" i="9"/>
  <c r="I336" i="9"/>
  <c r="H336" i="9"/>
  <c r="G336" i="9"/>
  <c r="M336" i="9" s="1"/>
  <c r="P336" i="9" s="1"/>
  <c r="F336" i="9"/>
  <c r="D336" i="9"/>
  <c r="C336" i="9"/>
  <c r="B336" i="9"/>
  <c r="A336" i="9"/>
  <c r="Q335" i="9"/>
  <c r="M335" i="9"/>
  <c r="L335" i="9"/>
  <c r="K335" i="9"/>
  <c r="J335" i="9"/>
  <c r="I335" i="9"/>
  <c r="H335" i="9"/>
  <c r="G335" i="9"/>
  <c r="F335" i="9"/>
  <c r="D335" i="9"/>
  <c r="C335" i="9"/>
  <c r="B335" i="9"/>
  <c r="A335" i="9"/>
  <c r="Q334" i="9"/>
  <c r="L334" i="9"/>
  <c r="K334" i="9"/>
  <c r="J334" i="9"/>
  <c r="I334" i="9"/>
  <c r="H334" i="9"/>
  <c r="G334" i="9"/>
  <c r="F334" i="9"/>
  <c r="D334" i="9"/>
  <c r="C334" i="9"/>
  <c r="B334" i="9"/>
  <c r="A334" i="9"/>
  <c r="Q333" i="9"/>
  <c r="M333" i="9"/>
  <c r="P333" i="9" s="1"/>
  <c r="L333" i="9"/>
  <c r="K333" i="9"/>
  <c r="J333" i="9"/>
  <c r="I333" i="9"/>
  <c r="H333" i="9"/>
  <c r="G333" i="9"/>
  <c r="F333" i="9"/>
  <c r="D333" i="9"/>
  <c r="C333" i="9"/>
  <c r="B333" i="9"/>
  <c r="A333" i="9"/>
  <c r="Q332" i="9"/>
  <c r="L332" i="9"/>
  <c r="K332" i="9"/>
  <c r="J332" i="9"/>
  <c r="I332" i="9"/>
  <c r="H332" i="9"/>
  <c r="G332" i="9"/>
  <c r="F332" i="9"/>
  <c r="D332" i="9"/>
  <c r="C332" i="9"/>
  <c r="B332" i="9"/>
  <c r="A332" i="9"/>
  <c r="Q331" i="9"/>
  <c r="L331" i="9"/>
  <c r="K331" i="9"/>
  <c r="J331" i="9"/>
  <c r="I331" i="9"/>
  <c r="H331" i="9"/>
  <c r="G331" i="9"/>
  <c r="F331" i="9"/>
  <c r="D331" i="9"/>
  <c r="C331" i="9"/>
  <c r="B331" i="9"/>
  <c r="A331" i="9"/>
  <c r="Q330" i="9"/>
  <c r="L330" i="9"/>
  <c r="K330" i="9"/>
  <c r="J330" i="9"/>
  <c r="I330" i="9"/>
  <c r="H330" i="9"/>
  <c r="G330" i="9"/>
  <c r="F330" i="9"/>
  <c r="D330" i="9"/>
  <c r="C330" i="9"/>
  <c r="B330" i="9"/>
  <c r="A330" i="9"/>
  <c r="Q329" i="9"/>
  <c r="L329" i="9"/>
  <c r="K329" i="9"/>
  <c r="J329" i="9"/>
  <c r="I329" i="9"/>
  <c r="H329" i="9"/>
  <c r="G329" i="9"/>
  <c r="M329" i="9" s="1"/>
  <c r="P329" i="9" s="1"/>
  <c r="F329" i="9"/>
  <c r="D329" i="9"/>
  <c r="C329" i="9"/>
  <c r="B329" i="9"/>
  <c r="A329" i="9"/>
  <c r="Q328" i="9"/>
  <c r="L328" i="9"/>
  <c r="K328" i="9"/>
  <c r="J328" i="9"/>
  <c r="I328" i="9"/>
  <c r="H328" i="9"/>
  <c r="G328" i="9"/>
  <c r="F328" i="9"/>
  <c r="D328" i="9"/>
  <c r="C328" i="9"/>
  <c r="B328" i="9"/>
  <c r="A328" i="9"/>
  <c r="Q327" i="9"/>
  <c r="L327" i="9"/>
  <c r="K327" i="9"/>
  <c r="J327" i="9"/>
  <c r="I327" i="9"/>
  <c r="H327" i="9"/>
  <c r="G327" i="9"/>
  <c r="M327" i="9" s="1"/>
  <c r="P327" i="9" s="1"/>
  <c r="F327" i="9"/>
  <c r="D327" i="9"/>
  <c r="C327" i="9"/>
  <c r="B327" i="9"/>
  <c r="A327" i="9"/>
  <c r="Q326" i="9"/>
  <c r="L326" i="9"/>
  <c r="K326" i="9"/>
  <c r="J326" i="9"/>
  <c r="I326" i="9"/>
  <c r="H326" i="9"/>
  <c r="G326" i="9"/>
  <c r="F326" i="9"/>
  <c r="D326" i="9"/>
  <c r="C326" i="9"/>
  <c r="B326" i="9"/>
  <c r="A326" i="9"/>
  <c r="Q325" i="9"/>
  <c r="L325" i="9"/>
  <c r="K325" i="9"/>
  <c r="J325" i="9"/>
  <c r="I325" i="9"/>
  <c r="H325" i="9"/>
  <c r="G325" i="9"/>
  <c r="F325" i="9"/>
  <c r="D325" i="9"/>
  <c r="C325" i="9"/>
  <c r="B325" i="9"/>
  <c r="A325" i="9"/>
  <c r="Q324" i="9"/>
  <c r="M324" i="9"/>
  <c r="L324" i="9"/>
  <c r="K324" i="9"/>
  <c r="J324" i="9"/>
  <c r="I324" i="9"/>
  <c r="H324" i="9"/>
  <c r="G324" i="9"/>
  <c r="F324" i="9"/>
  <c r="D324" i="9"/>
  <c r="C324" i="9"/>
  <c r="B324" i="9"/>
  <c r="A324" i="9"/>
  <c r="Q323" i="9"/>
  <c r="L323" i="9"/>
  <c r="K323" i="9"/>
  <c r="J323" i="9"/>
  <c r="I323" i="9"/>
  <c r="H323" i="9"/>
  <c r="G323" i="9"/>
  <c r="F323" i="9"/>
  <c r="D323" i="9"/>
  <c r="C323" i="9"/>
  <c r="B323" i="9"/>
  <c r="A323" i="9"/>
  <c r="Q322" i="9"/>
  <c r="L322" i="9"/>
  <c r="K322" i="9"/>
  <c r="J322" i="9"/>
  <c r="I322" i="9"/>
  <c r="H322" i="9"/>
  <c r="G322" i="9"/>
  <c r="F322" i="9"/>
  <c r="D322" i="9"/>
  <c r="C322" i="9"/>
  <c r="B322" i="9"/>
  <c r="A322" i="9"/>
  <c r="Q321" i="9"/>
  <c r="L321" i="9"/>
  <c r="K321" i="9"/>
  <c r="J321" i="9"/>
  <c r="I321" i="9"/>
  <c r="H321" i="9"/>
  <c r="G321" i="9"/>
  <c r="F321" i="9"/>
  <c r="D321" i="9"/>
  <c r="C321" i="9"/>
  <c r="B321" i="9"/>
  <c r="A321" i="9"/>
  <c r="Q320" i="9"/>
  <c r="L320" i="9"/>
  <c r="K320" i="9"/>
  <c r="J320" i="9"/>
  <c r="I320" i="9"/>
  <c r="H320" i="9"/>
  <c r="G320" i="9"/>
  <c r="F320" i="9"/>
  <c r="D320" i="9"/>
  <c r="C320" i="9"/>
  <c r="B320" i="9"/>
  <c r="A320" i="9"/>
  <c r="Q319" i="9"/>
  <c r="L319" i="9"/>
  <c r="K319" i="9"/>
  <c r="J319" i="9"/>
  <c r="I319" i="9"/>
  <c r="H319" i="9"/>
  <c r="G319" i="9"/>
  <c r="F319" i="9"/>
  <c r="D319" i="9"/>
  <c r="C319" i="9"/>
  <c r="B319" i="9"/>
  <c r="M319" i="9" s="1"/>
  <c r="P319" i="9" s="1"/>
  <c r="A319" i="9"/>
  <c r="Q318" i="9"/>
  <c r="L318" i="9"/>
  <c r="K318" i="9"/>
  <c r="J318" i="9"/>
  <c r="I318" i="9"/>
  <c r="H318" i="9"/>
  <c r="G318" i="9"/>
  <c r="F318" i="9"/>
  <c r="D318" i="9"/>
  <c r="C318" i="9"/>
  <c r="B318" i="9"/>
  <c r="A318" i="9"/>
  <c r="Q317" i="9"/>
  <c r="L317" i="9"/>
  <c r="K317" i="9"/>
  <c r="J317" i="9"/>
  <c r="I317" i="9"/>
  <c r="H317" i="9"/>
  <c r="G317" i="9"/>
  <c r="F317" i="9"/>
  <c r="D317" i="9"/>
  <c r="C317" i="9"/>
  <c r="B317" i="9"/>
  <c r="M317" i="9" s="1"/>
  <c r="P317" i="9" s="1"/>
  <c r="A317" i="9"/>
  <c r="Q316" i="9"/>
  <c r="L316" i="9"/>
  <c r="K316" i="9"/>
  <c r="J316" i="9"/>
  <c r="I316" i="9"/>
  <c r="H316" i="9"/>
  <c r="G316" i="9"/>
  <c r="F316" i="9"/>
  <c r="D316" i="9"/>
  <c r="C316" i="9"/>
  <c r="B316" i="9"/>
  <c r="A316" i="9"/>
  <c r="Q315" i="9"/>
  <c r="L315" i="9"/>
  <c r="K315" i="9"/>
  <c r="J315" i="9"/>
  <c r="I315" i="9"/>
  <c r="H315" i="9"/>
  <c r="G315" i="9"/>
  <c r="F315" i="9"/>
  <c r="D315" i="9"/>
  <c r="C315" i="9"/>
  <c r="B315" i="9"/>
  <c r="A315" i="9"/>
  <c r="Q314" i="9"/>
  <c r="L314" i="9"/>
  <c r="K314" i="9"/>
  <c r="J314" i="9"/>
  <c r="I314" i="9"/>
  <c r="H314" i="9"/>
  <c r="G314" i="9"/>
  <c r="M314" i="9" s="1"/>
  <c r="P314" i="9" s="1"/>
  <c r="F314" i="9"/>
  <c r="D314" i="9"/>
  <c r="C314" i="9"/>
  <c r="B314" i="9"/>
  <c r="A314" i="9"/>
  <c r="Q313" i="9"/>
  <c r="L313" i="9"/>
  <c r="K313" i="9"/>
  <c r="J313" i="9"/>
  <c r="I313" i="9"/>
  <c r="H313" i="9"/>
  <c r="G313" i="9"/>
  <c r="F313" i="9"/>
  <c r="D313" i="9"/>
  <c r="C313" i="9"/>
  <c r="B313" i="9"/>
  <c r="M313" i="9" s="1"/>
  <c r="P313" i="9" s="1"/>
  <c r="A313" i="9"/>
  <c r="Q312" i="9"/>
  <c r="L312" i="9"/>
  <c r="K312" i="9"/>
  <c r="J312" i="9"/>
  <c r="I312" i="9"/>
  <c r="H312" i="9"/>
  <c r="G312" i="9"/>
  <c r="F312" i="9"/>
  <c r="D312" i="9"/>
  <c r="C312" i="9"/>
  <c r="B312" i="9"/>
  <c r="A312" i="9"/>
  <c r="Q311" i="9"/>
  <c r="M311" i="9"/>
  <c r="L311" i="9"/>
  <c r="K311" i="9"/>
  <c r="J311" i="9"/>
  <c r="I311" i="9"/>
  <c r="H311" i="9"/>
  <c r="G311" i="9"/>
  <c r="F311" i="9"/>
  <c r="D311" i="9"/>
  <c r="C311" i="9"/>
  <c r="B311" i="9"/>
  <c r="A311" i="9"/>
  <c r="Q310" i="9"/>
  <c r="L310" i="9"/>
  <c r="K310" i="9"/>
  <c r="J310" i="9"/>
  <c r="I310" i="9"/>
  <c r="H310" i="9"/>
  <c r="G310" i="9"/>
  <c r="F310" i="9"/>
  <c r="D310" i="9"/>
  <c r="C310" i="9"/>
  <c r="B310" i="9"/>
  <c r="A310" i="9"/>
  <c r="Q309" i="9"/>
  <c r="L309" i="9"/>
  <c r="K309" i="9"/>
  <c r="J309" i="9"/>
  <c r="I309" i="9"/>
  <c r="H309" i="9"/>
  <c r="G309" i="9"/>
  <c r="F309" i="9"/>
  <c r="D309" i="9"/>
  <c r="C309" i="9"/>
  <c r="B309" i="9"/>
  <c r="A309" i="9"/>
  <c r="Q308" i="9"/>
  <c r="L308" i="9"/>
  <c r="K308" i="9"/>
  <c r="J308" i="9"/>
  <c r="I308" i="9"/>
  <c r="H308" i="9"/>
  <c r="G308" i="9"/>
  <c r="F308" i="9"/>
  <c r="D308" i="9"/>
  <c r="C308" i="9"/>
  <c r="B308" i="9"/>
  <c r="M308" i="9" s="1"/>
  <c r="A308" i="9"/>
  <c r="Q307" i="9"/>
  <c r="L307" i="9"/>
  <c r="K307" i="9"/>
  <c r="J307" i="9"/>
  <c r="I307" i="9"/>
  <c r="H307" i="9"/>
  <c r="G307" i="9"/>
  <c r="F307" i="9"/>
  <c r="D307" i="9"/>
  <c r="C307" i="9"/>
  <c r="B307" i="9"/>
  <c r="A307" i="9"/>
  <c r="Q306" i="9"/>
  <c r="L306" i="9"/>
  <c r="K306" i="9"/>
  <c r="J306" i="9"/>
  <c r="I306" i="9"/>
  <c r="H306" i="9"/>
  <c r="G306" i="9"/>
  <c r="F306" i="9"/>
  <c r="D306" i="9"/>
  <c r="C306" i="9"/>
  <c r="B306" i="9"/>
  <c r="A306" i="9"/>
  <c r="Q305" i="9"/>
  <c r="L305" i="9"/>
  <c r="K305" i="9"/>
  <c r="J305" i="9"/>
  <c r="I305" i="9"/>
  <c r="H305" i="9"/>
  <c r="G305" i="9"/>
  <c r="F305" i="9"/>
  <c r="D305" i="9"/>
  <c r="C305" i="9"/>
  <c r="B305" i="9"/>
  <c r="A305" i="9"/>
  <c r="Q304" i="9"/>
  <c r="L304" i="9"/>
  <c r="K304" i="9"/>
  <c r="J304" i="9"/>
  <c r="I304" i="9"/>
  <c r="H304" i="9"/>
  <c r="G304" i="9"/>
  <c r="F304" i="9"/>
  <c r="D304" i="9"/>
  <c r="C304" i="9"/>
  <c r="B304" i="9"/>
  <c r="A304" i="9"/>
  <c r="Q303" i="9"/>
  <c r="L303" i="9"/>
  <c r="K303" i="9"/>
  <c r="J303" i="9"/>
  <c r="I303" i="9"/>
  <c r="H303" i="9"/>
  <c r="G303" i="9"/>
  <c r="M303" i="9" s="1"/>
  <c r="P303" i="9" s="1"/>
  <c r="F303" i="9"/>
  <c r="D303" i="9"/>
  <c r="C303" i="9"/>
  <c r="B303" i="9"/>
  <c r="A303" i="9"/>
  <c r="Q302" i="9"/>
  <c r="L302" i="9"/>
  <c r="K302" i="9"/>
  <c r="J302" i="9"/>
  <c r="I302" i="9"/>
  <c r="H302" i="9"/>
  <c r="G302" i="9"/>
  <c r="F302" i="9"/>
  <c r="D302" i="9"/>
  <c r="C302" i="9"/>
  <c r="B302" i="9"/>
  <c r="A302" i="9"/>
  <c r="Q301" i="9"/>
  <c r="L301" i="9"/>
  <c r="K301" i="9"/>
  <c r="J301" i="9"/>
  <c r="I301" i="9"/>
  <c r="H301" i="9"/>
  <c r="G301" i="9"/>
  <c r="M301" i="9" s="1"/>
  <c r="P301" i="9" s="1"/>
  <c r="F301" i="9"/>
  <c r="D301" i="9"/>
  <c r="C301" i="9"/>
  <c r="B301" i="9"/>
  <c r="A301" i="9"/>
  <c r="Q300" i="9"/>
  <c r="L300" i="9"/>
  <c r="K300" i="9"/>
  <c r="J300" i="9"/>
  <c r="I300" i="9"/>
  <c r="H300" i="9"/>
  <c r="G300" i="9"/>
  <c r="F300" i="9"/>
  <c r="D300" i="9"/>
  <c r="C300" i="9"/>
  <c r="B300" i="9"/>
  <c r="A300" i="9"/>
  <c r="Q299" i="9"/>
  <c r="L299" i="9"/>
  <c r="K299" i="9"/>
  <c r="J299" i="9"/>
  <c r="I299" i="9"/>
  <c r="H299" i="9"/>
  <c r="G299" i="9"/>
  <c r="F299" i="9"/>
  <c r="D299" i="9"/>
  <c r="C299" i="9"/>
  <c r="B299" i="9"/>
  <c r="A299" i="9"/>
  <c r="Q298" i="9"/>
  <c r="L298" i="9"/>
  <c r="K298" i="9"/>
  <c r="J298" i="9"/>
  <c r="I298" i="9"/>
  <c r="H298" i="9"/>
  <c r="G298" i="9"/>
  <c r="F298" i="9"/>
  <c r="D298" i="9"/>
  <c r="C298" i="9"/>
  <c r="B298" i="9"/>
  <c r="A298" i="9"/>
  <c r="Q297" i="9"/>
  <c r="L297" i="9"/>
  <c r="K297" i="9"/>
  <c r="J297" i="9"/>
  <c r="I297" i="9"/>
  <c r="H297" i="9"/>
  <c r="G297" i="9"/>
  <c r="F297" i="9"/>
  <c r="D297" i="9"/>
  <c r="C297" i="9"/>
  <c r="B297" i="9"/>
  <c r="A297" i="9"/>
  <c r="Q296" i="9"/>
  <c r="L296" i="9"/>
  <c r="K296" i="9"/>
  <c r="J296" i="9"/>
  <c r="I296" i="9"/>
  <c r="H296" i="9"/>
  <c r="G296" i="9"/>
  <c r="M296" i="9" s="1"/>
  <c r="O296" i="9" s="1"/>
  <c r="F296" i="9"/>
  <c r="D296" i="9"/>
  <c r="C296" i="9"/>
  <c r="B296" i="9"/>
  <c r="A296" i="9"/>
  <c r="Q295" i="9"/>
  <c r="L295" i="9"/>
  <c r="K295" i="9"/>
  <c r="J295" i="9"/>
  <c r="I295" i="9"/>
  <c r="H295" i="9"/>
  <c r="G295" i="9"/>
  <c r="F295" i="9"/>
  <c r="D295" i="9"/>
  <c r="C295" i="9"/>
  <c r="B295" i="9"/>
  <c r="A295" i="9"/>
  <c r="Q294" i="9"/>
  <c r="L294" i="9"/>
  <c r="K294" i="9"/>
  <c r="J294" i="9"/>
  <c r="I294" i="9"/>
  <c r="H294" i="9"/>
  <c r="G294" i="9"/>
  <c r="M294" i="9" s="1"/>
  <c r="P294" i="9" s="1"/>
  <c r="F294" i="9"/>
  <c r="D294" i="9"/>
  <c r="C294" i="9"/>
  <c r="B294" i="9"/>
  <c r="O294" i="9" s="1"/>
  <c r="A294" i="9"/>
  <c r="Q293" i="9"/>
  <c r="L293" i="9"/>
  <c r="K293" i="9"/>
  <c r="J293" i="9"/>
  <c r="I293" i="9"/>
  <c r="H293" i="9"/>
  <c r="G293" i="9"/>
  <c r="F293" i="9"/>
  <c r="D293" i="9"/>
  <c r="C293" i="9"/>
  <c r="B293" i="9"/>
  <c r="A293" i="9"/>
  <c r="Q292" i="9"/>
  <c r="L292" i="9"/>
  <c r="K292" i="9"/>
  <c r="J292" i="9"/>
  <c r="I292" i="9"/>
  <c r="H292" i="9"/>
  <c r="G292" i="9"/>
  <c r="F292" i="9"/>
  <c r="D292" i="9"/>
  <c r="C292" i="9"/>
  <c r="B292" i="9"/>
  <c r="A292" i="9"/>
  <c r="Q291" i="9"/>
  <c r="L291" i="9"/>
  <c r="K291" i="9"/>
  <c r="J291" i="9"/>
  <c r="I291" i="9"/>
  <c r="H291" i="9"/>
  <c r="G291" i="9"/>
  <c r="F291" i="9"/>
  <c r="D291" i="9"/>
  <c r="C291" i="9"/>
  <c r="B291" i="9"/>
  <c r="A291" i="9"/>
  <c r="Q290" i="9"/>
  <c r="L290" i="9"/>
  <c r="K290" i="9"/>
  <c r="J290" i="9"/>
  <c r="I290" i="9"/>
  <c r="M290" i="9" s="1"/>
  <c r="H290" i="9"/>
  <c r="G290" i="9"/>
  <c r="F290" i="9"/>
  <c r="D290" i="9"/>
  <c r="C290" i="9"/>
  <c r="B290" i="9"/>
  <c r="A290" i="9"/>
  <c r="Q289" i="9"/>
  <c r="M289" i="9"/>
  <c r="P289" i="9" s="1"/>
  <c r="L289" i="9"/>
  <c r="K289" i="9"/>
  <c r="J289" i="9"/>
  <c r="I289" i="9"/>
  <c r="H289" i="9"/>
  <c r="G289" i="9"/>
  <c r="F289" i="9"/>
  <c r="D289" i="9"/>
  <c r="C289" i="9"/>
  <c r="B289" i="9"/>
  <c r="A289" i="9"/>
  <c r="Q288" i="9"/>
  <c r="L288" i="9"/>
  <c r="K288" i="9"/>
  <c r="J288" i="9"/>
  <c r="I288" i="9"/>
  <c r="H288" i="9"/>
  <c r="G288" i="9"/>
  <c r="F288" i="9"/>
  <c r="D288" i="9"/>
  <c r="C288" i="9"/>
  <c r="B288" i="9"/>
  <c r="A288" i="9"/>
  <c r="Q287" i="9"/>
  <c r="L287" i="9"/>
  <c r="K287" i="9"/>
  <c r="J287" i="9"/>
  <c r="I287" i="9"/>
  <c r="H287" i="9"/>
  <c r="G287" i="9"/>
  <c r="M287" i="9" s="1"/>
  <c r="P287" i="9" s="1"/>
  <c r="F287" i="9"/>
  <c r="D287" i="9"/>
  <c r="C287" i="9"/>
  <c r="B287" i="9"/>
  <c r="A287" i="9"/>
  <c r="Q286" i="9"/>
  <c r="L286" i="9"/>
  <c r="K286" i="9"/>
  <c r="J286" i="9"/>
  <c r="I286" i="9"/>
  <c r="H286" i="9"/>
  <c r="G286" i="9"/>
  <c r="F286" i="9"/>
  <c r="D286" i="9"/>
  <c r="C286" i="9"/>
  <c r="B286" i="9"/>
  <c r="A286" i="9"/>
  <c r="Q285" i="9"/>
  <c r="L285" i="9"/>
  <c r="K285" i="9"/>
  <c r="J285" i="9"/>
  <c r="I285" i="9"/>
  <c r="H285" i="9"/>
  <c r="G285" i="9"/>
  <c r="F285" i="9"/>
  <c r="D285" i="9"/>
  <c r="C285" i="9"/>
  <c r="B285" i="9"/>
  <c r="A285" i="9"/>
  <c r="Q284" i="9"/>
  <c r="L284" i="9"/>
  <c r="K284" i="9"/>
  <c r="J284" i="9"/>
  <c r="I284" i="9"/>
  <c r="H284" i="9"/>
  <c r="G284" i="9"/>
  <c r="F284" i="9"/>
  <c r="D284" i="9"/>
  <c r="C284" i="9"/>
  <c r="B284" i="9"/>
  <c r="A284" i="9"/>
  <c r="Q283" i="9"/>
  <c r="L283" i="9"/>
  <c r="K283" i="9"/>
  <c r="J283" i="9"/>
  <c r="I283" i="9"/>
  <c r="H283" i="9"/>
  <c r="G283" i="9"/>
  <c r="F283" i="9"/>
  <c r="D283" i="9"/>
  <c r="C283" i="9"/>
  <c r="B283" i="9"/>
  <c r="A283" i="9"/>
  <c r="Q282" i="9"/>
  <c r="L282" i="9"/>
  <c r="K282" i="9"/>
  <c r="J282" i="9"/>
  <c r="I282" i="9"/>
  <c r="H282" i="9"/>
  <c r="G282" i="9"/>
  <c r="F282" i="9"/>
  <c r="D282" i="9"/>
  <c r="C282" i="9"/>
  <c r="B282" i="9"/>
  <c r="A282" i="9"/>
  <c r="Q281" i="9"/>
  <c r="L281" i="9"/>
  <c r="K281" i="9"/>
  <c r="J281" i="9"/>
  <c r="I281" i="9"/>
  <c r="H281" i="9"/>
  <c r="G281" i="9"/>
  <c r="M281" i="9" s="1"/>
  <c r="F281" i="9"/>
  <c r="D281" i="9"/>
  <c r="C281" i="9"/>
  <c r="B281" i="9"/>
  <c r="A281" i="9"/>
  <c r="Q280" i="9"/>
  <c r="L280" i="9"/>
  <c r="K280" i="9"/>
  <c r="J280" i="9"/>
  <c r="I280" i="9"/>
  <c r="H280" i="9"/>
  <c r="G280" i="9"/>
  <c r="F280" i="9"/>
  <c r="D280" i="9"/>
  <c r="C280" i="9"/>
  <c r="B280" i="9"/>
  <c r="A280" i="9"/>
  <c r="Q279" i="9"/>
  <c r="L279" i="9"/>
  <c r="K279" i="9"/>
  <c r="J279" i="9"/>
  <c r="I279" i="9"/>
  <c r="H279" i="9"/>
  <c r="G279" i="9"/>
  <c r="F279" i="9"/>
  <c r="D279" i="9"/>
  <c r="C279" i="9"/>
  <c r="B279" i="9"/>
  <c r="A279" i="9"/>
  <c r="Q278" i="9"/>
  <c r="L278" i="9"/>
  <c r="K278" i="9"/>
  <c r="J278" i="9"/>
  <c r="I278" i="9"/>
  <c r="H278" i="9"/>
  <c r="G278" i="9"/>
  <c r="F278" i="9"/>
  <c r="D278" i="9"/>
  <c r="C278" i="9"/>
  <c r="B278" i="9"/>
  <c r="A278" i="9"/>
  <c r="Q277" i="9"/>
  <c r="L277" i="9"/>
  <c r="K277" i="9"/>
  <c r="J277" i="9"/>
  <c r="I277" i="9"/>
  <c r="H277" i="9"/>
  <c r="G277" i="9"/>
  <c r="F277" i="9"/>
  <c r="D277" i="9"/>
  <c r="C277" i="9"/>
  <c r="B277" i="9"/>
  <c r="M277" i="9" s="1"/>
  <c r="A277" i="9"/>
  <c r="Q276" i="9"/>
  <c r="L276" i="9"/>
  <c r="K276" i="9"/>
  <c r="J276" i="9"/>
  <c r="I276" i="9"/>
  <c r="H276" i="9"/>
  <c r="G276" i="9"/>
  <c r="F276" i="9"/>
  <c r="D276" i="9"/>
  <c r="C276" i="9"/>
  <c r="B276" i="9"/>
  <c r="A276" i="9"/>
  <c r="Q275" i="9"/>
  <c r="L275" i="9"/>
  <c r="K275" i="9"/>
  <c r="J275" i="9"/>
  <c r="I275" i="9"/>
  <c r="H275" i="9"/>
  <c r="G275" i="9"/>
  <c r="F275" i="9"/>
  <c r="D275" i="9"/>
  <c r="C275" i="9"/>
  <c r="B275" i="9"/>
  <c r="A275" i="9"/>
  <c r="Q274" i="9"/>
  <c r="M274" i="9"/>
  <c r="L274" i="9"/>
  <c r="K274" i="9"/>
  <c r="J274" i="9"/>
  <c r="I274" i="9"/>
  <c r="H274" i="9"/>
  <c r="G274" i="9"/>
  <c r="F274" i="9"/>
  <c r="D274" i="9"/>
  <c r="C274" i="9"/>
  <c r="B274" i="9"/>
  <c r="A274" i="9"/>
  <c r="Q273" i="9"/>
  <c r="L273" i="9"/>
  <c r="K273" i="9"/>
  <c r="J273" i="9"/>
  <c r="I273" i="9"/>
  <c r="H273" i="9"/>
  <c r="G273" i="9"/>
  <c r="F273" i="9"/>
  <c r="D273" i="9"/>
  <c r="C273" i="9"/>
  <c r="B273" i="9"/>
  <c r="A273" i="9"/>
  <c r="Q272" i="9"/>
  <c r="L272" i="9"/>
  <c r="K272" i="9"/>
  <c r="J272" i="9"/>
  <c r="I272" i="9"/>
  <c r="H272" i="9"/>
  <c r="G272" i="9"/>
  <c r="M272" i="9" s="1"/>
  <c r="F272" i="9"/>
  <c r="D272" i="9"/>
  <c r="C272" i="9"/>
  <c r="B272" i="9"/>
  <c r="A272" i="9"/>
  <c r="Q271" i="9"/>
  <c r="L271" i="9"/>
  <c r="K271" i="9"/>
  <c r="J271" i="9"/>
  <c r="M271" i="9" s="1"/>
  <c r="P271" i="9" s="1"/>
  <c r="I271" i="9"/>
  <c r="H271" i="9"/>
  <c r="G271" i="9"/>
  <c r="F271" i="9"/>
  <c r="D271" i="9"/>
  <c r="C271" i="9"/>
  <c r="B271" i="9"/>
  <c r="A271" i="9"/>
  <c r="Q270" i="9"/>
  <c r="L270" i="9"/>
  <c r="K270" i="9"/>
  <c r="J270" i="9"/>
  <c r="I270" i="9"/>
  <c r="H270" i="9"/>
  <c r="G270" i="9"/>
  <c r="F270" i="9"/>
  <c r="D270" i="9"/>
  <c r="C270" i="9"/>
  <c r="B270" i="9"/>
  <c r="A270" i="9"/>
  <c r="Q269" i="9"/>
  <c r="L269" i="9"/>
  <c r="K269" i="9"/>
  <c r="J269" i="9"/>
  <c r="I269" i="9"/>
  <c r="H269" i="9"/>
  <c r="G269" i="9"/>
  <c r="F269" i="9"/>
  <c r="D269" i="9"/>
  <c r="C269" i="9"/>
  <c r="B269" i="9"/>
  <c r="M269" i="9" s="1"/>
  <c r="A269" i="9"/>
  <c r="Q268" i="9"/>
  <c r="L268" i="9"/>
  <c r="K268" i="9"/>
  <c r="J268" i="9"/>
  <c r="I268" i="9"/>
  <c r="H268" i="9"/>
  <c r="G268" i="9"/>
  <c r="F268" i="9"/>
  <c r="D268" i="9"/>
  <c r="C268" i="9"/>
  <c r="B268" i="9"/>
  <c r="A268" i="9"/>
  <c r="Q267" i="9"/>
  <c r="L267" i="9"/>
  <c r="K267" i="9"/>
  <c r="J267" i="9"/>
  <c r="I267" i="9"/>
  <c r="H267" i="9"/>
  <c r="G267" i="9"/>
  <c r="F267" i="9"/>
  <c r="D267" i="9"/>
  <c r="C267" i="9"/>
  <c r="B267" i="9"/>
  <c r="A267" i="9"/>
  <c r="Q266" i="9"/>
  <c r="L266" i="9"/>
  <c r="K266" i="9"/>
  <c r="J266" i="9"/>
  <c r="I266" i="9"/>
  <c r="H266" i="9"/>
  <c r="G266" i="9"/>
  <c r="F266" i="9"/>
  <c r="D266" i="9"/>
  <c r="C266" i="9"/>
  <c r="B266" i="9"/>
  <c r="A266" i="9"/>
  <c r="Q265" i="9"/>
  <c r="M265" i="9"/>
  <c r="L265" i="9"/>
  <c r="K265" i="9"/>
  <c r="J265" i="9"/>
  <c r="I265" i="9"/>
  <c r="H265" i="9"/>
  <c r="G265" i="9"/>
  <c r="F265" i="9"/>
  <c r="D265" i="9"/>
  <c r="C265" i="9"/>
  <c r="B265" i="9"/>
  <c r="A265" i="9"/>
  <c r="Q264" i="9"/>
  <c r="L264" i="9"/>
  <c r="K264" i="9"/>
  <c r="J264" i="9"/>
  <c r="I264" i="9"/>
  <c r="H264" i="9"/>
  <c r="G264" i="9"/>
  <c r="F264" i="9"/>
  <c r="D264" i="9"/>
  <c r="C264" i="9"/>
  <c r="B264" i="9"/>
  <c r="A264" i="9"/>
  <c r="Q263" i="9"/>
  <c r="L263" i="9"/>
  <c r="K263" i="9"/>
  <c r="J263" i="9"/>
  <c r="I263" i="9"/>
  <c r="H263" i="9"/>
  <c r="G263" i="9"/>
  <c r="F263" i="9"/>
  <c r="D263" i="9"/>
  <c r="C263" i="9"/>
  <c r="B263" i="9"/>
  <c r="A263" i="9"/>
  <c r="Q262" i="9"/>
  <c r="L262" i="9"/>
  <c r="K262" i="9"/>
  <c r="J262" i="9"/>
  <c r="I262" i="9"/>
  <c r="H262" i="9"/>
  <c r="G262" i="9"/>
  <c r="F262" i="9"/>
  <c r="D262" i="9"/>
  <c r="C262" i="9"/>
  <c r="B262" i="9"/>
  <c r="M262" i="9" s="1"/>
  <c r="A262" i="9"/>
  <c r="Q261" i="9"/>
  <c r="L261" i="9"/>
  <c r="K261" i="9"/>
  <c r="J261" i="9"/>
  <c r="I261" i="9"/>
  <c r="H261" i="9"/>
  <c r="G261" i="9"/>
  <c r="F261" i="9"/>
  <c r="D261" i="9"/>
  <c r="C261" i="9"/>
  <c r="B261" i="9"/>
  <c r="A261" i="9"/>
  <c r="Q260" i="9"/>
  <c r="L260" i="9"/>
  <c r="K260" i="9"/>
  <c r="J260" i="9"/>
  <c r="I260" i="9"/>
  <c r="H260" i="9"/>
  <c r="G260" i="9"/>
  <c r="F260" i="9"/>
  <c r="D260" i="9"/>
  <c r="C260" i="9"/>
  <c r="B260" i="9"/>
  <c r="M260" i="9" s="1"/>
  <c r="P260" i="9" s="1"/>
  <c r="A260" i="9"/>
  <c r="Q259" i="9"/>
  <c r="L259" i="9"/>
  <c r="K259" i="9"/>
  <c r="J259" i="9"/>
  <c r="I259" i="9"/>
  <c r="H259" i="9"/>
  <c r="G259" i="9"/>
  <c r="F259" i="9"/>
  <c r="D259" i="9"/>
  <c r="C259" i="9"/>
  <c r="B259" i="9"/>
  <c r="A259" i="9"/>
  <c r="Q258" i="9"/>
  <c r="L258" i="9"/>
  <c r="K258" i="9"/>
  <c r="J258" i="9"/>
  <c r="I258" i="9"/>
  <c r="H258" i="9"/>
  <c r="G258" i="9"/>
  <c r="F258" i="9"/>
  <c r="D258" i="9"/>
  <c r="C258" i="9"/>
  <c r="B258" i="9"/>
  <c r="A258" i="9"/>
  <c r="Q257" i="9"/>
  <c r="L257" i="9"/>
  <c r="K257" i="9"/>
  <c r="J257" i="9"/>
  <c r="I257" i="9"/>
  <c r="H257" i="9"/>
  <c r="G257" i="9"/>
  <c r="F257" i="9"/>
  <c r="D257" i="9"/>
  <c r="C257" i="9"/>
  <c r="B257" i="9"/>
  <c r="A257" i="9"/>
  <c r="Q256" i="9"/>
  <c r="L256" i="9"/>
  <c r="K256" i="9"/>
  <c r="J256" i="9"/>
  <c r="I256" i="9"/>
  <c r="H256" i="9"/>
  <c r="G256" i="9"/>
  <c r="F256" i="9"/>
  <c r="D256" i="9"/>
  <c r="C256" i="9"/>
  <c r="B256" i="9"/>
  <c r="M256" i="9" s="1"/>
  <c r="A256" i="9"/>
  <c r="Q255" i="9"/>
  <c r="L255" i="9"/>
  <c r="K255" i="9"/>
  <c r="J255" i="9"/>
  <c r="I255" i="9"/>
  <c r="H255" i="9"/>
  <c r="G255" i="9"/>
  <c r="F255" i="9"/>
  <c r="D255" i="9"/>
  <c r="C255" i="9"/>
  <c r="B255" i="9"/>
  <c r="A255" i="9"/>
  <c r="Q254" i="9"/>
  <c r="M254" i="9"/>
  <c r="L254" i="9"/>
  <c r="K254" i="9"/>
  <c r="J254" i="9"/>
  <c r="I254" i="9"/>
  <c r="H254" i="9"/>
  <c r="G254" i="9"/>
  <c r="F254" i="9"/>
  <c r="D254" i="9"/>
  <c r="C254" i="9"/>
  <c r="B254" i="9"/>
  <c r="A254" i="9"/>
  <c r="Q253" i="9"/>
  <c r="L253" i="9"/>
  <c r="K253" i="9"/>
  <c r="J253" i="9"/>
  <c r="I253" i="9"/>
  <c r="H253" i="9"/>
  <c r="G253" i="9"/>
  <c r="F253" i="9"/>
  <c r="D253" i="9"/>
  <c r="C253" i="9"/>
  <c r="B253" i="9"/>
  <c r="A253" i="9"/>
  <c r="Q252" i="9"/>
  <c r="L252" i="9"/>
  <c r="K252" i="9"/>
  <c r="J252" i="9"/>
  <c r="I252" i="9"/>
  <c r="H252" i="9"/>
  <c r="G252" i="9"/>
  <c r="F252" i="9"/>
  <c r="D252" i="9"/>
  <c r="C252" i="9"/>
  <c r="B252" i="9"/>
  <c r="A252" i="9"/>
  <c r="Q251" i="9"/>
  <c r="L251" i="9"/>
  <c r="K251" i="9"/>
  <c r="J251" i="9"/>
  <c r="I251" i="9"/>
  <c r="H251" i="9"/>
  <c r="G251" i="9"/>
  <c r="F251" i="9"/>
  <c r="D251" i="9"/>
  <c r="C251" i="9"/>
  <c r="B251" i="9"/>
  <c r="A251" i="9"/>
  <c r="Q250" i="9"/>
  <c r="L250" i="9"/>
  <c r="K250" i="9"/>
  <c r="J250" i="9"/>
  <c r="I250" i="9"/>
  <c r="H250" i="9"/>
  <c r="G250" i="9"/>
  <c r="F250" i="9"/>
  <c r="D250" i="9"/>
  <c r="C250" i="9"/>
  <c r="B250" i="9"/>
  <c r="A250" i="9"/>
  <c r="Q249" i="9"/>
  <c r="L249" i="9"/>
  <c r="K249" i="9"/>
  <c r="J249" i="9"/>
  <c r="I249" i="9"/>
  <c r="H249" i="9"/>
  <c r="G249" i="9"/>
  <c r="F249" i="9"/>
  <c r="D249" i="9"/>
  <c r="C249" i="9"/>
  <c r="B249" i="9"/>
  <c r="A249" i="9"/>
  <c r="Q248" i="9"/>
  <c r="L248" i="9"/>
  <c r="K248" i="9"/>
  <c r="J248" i="9"/>
  <c r="I248" i="9"/>
  <c r="H248" i="9"/>
  <c r="G248" i="9"/>
  <c r="F248" i="9"/>
  <c r="D248" i="9"/>
  <c r="C248" i="9"/>
  <c r="B248" i="9"/>
  <c r="A248" i="9"/>
  <c r="Q247" i="9"/>
  <c r="L247" i="9"/>
  <c r="K247" i="9"/>
  <c r="J247" i="9"/>
  <c r="I247" i="9"/>
  <c r="H247" i="9"/>
  <c r="G247" i="9"/>
  <c r="F247" i="9"/>
  <c r="D247" i="9"/>
  <c r="C247" i="9"/>
  <c r="B247" i="9"/>
  <c r="A247" i="9"/>
  <c r="Q246" i="9"/>
  <c r="M246" i="9"/>
  <c r="P246" i="9" s="1"/>
  <c r="L246" i="9"/>
  <c r="K246" i="9"/>
  <c r="J246" i="9"/>
  <c r="I246" i="9"/>
  <c r="H246" i="9"/>
  <c r="G246" i="9"/>
  <c r="F246" i="9"/>
  <c r="D246" i="9"/>
  <c r="C246" i="9"/>
  <c r="B246" i="9"/>
  <c r="A246" i="9"/>
  <c r="Q245" i="9"/>
  <c r="L245" i="9"/>
  <c r="K245" i="9"/>
  <c r="J245" i="9"/>
  <c r="I245" i="9"/>
  <c r="H245" i="9"/>
  <c r="G245" i="9"/>
  <c r="F245" i="9"/>
  <c r="D245" i="9"/>
  <c r="C245" i="9"/>
  <c r="B245" i="9"/>
  <c r="A245" i="9"/>
  <c r="Q244" i="9"/>
  <c r="L244" i="9"/>
  <c r="K244" i="9"/>
  <c r="J244" i="9"/>
  <c r="I244" i="9"/>
  <c r="H244" i="9"/>
  <c r="G244" i="9"/>
  <c r="M244" i="9" s="1"/>
  <c r="F244" i="9"/>
  <c r="D244" i="9"/>
  <c r="C244" i="9"/>
  <c r="B244" i="9"/>
  <c r="A244" i="9"/>
  <c r="Q243" i="9"/>
  <c r="L243" i="9"/>
  <c r="K243" i="9"/>
  <c r="J243" i="9"/>
  <c r="I243" i="9"/>
  <c r="H243" i="9"/>
  <c r="G243" i="9"/>
  <c r="F243" i="9"/>
  <c r="D243" i="9"/>
  <c r="C243" i="9"/>
  <c r="B243" i="9"/>
  <c r="A243" i="9"/>
  <c r="Q242" i="9"/>
  <c r="L242" i="9"/>
  <c r="K242" i="9"/>
  <c r="J242" i="9"/>
  <c r="I242" i="9"/>
  <c r="H242" i="9"/>
  <c r="G242" i="9"/>
  <c r="F242" i="9"/>
  <c r="D242" i="9"/>
  <c r="C242" i="9"/>
  <c r="B242" i="9"/>
  <c r="A242" i="9"/>
  <c r="Q241" i="9"/>
  <c r="L241" i="9"/>
  <c r="K241" i="9"/>
  <c r="J241" i="9"/>
  <c r="I241" i="9"/>
  <c r="H241" i="9"/>
  <c r="G241" i="9"/>
  <c r="F241" i="9"/>
  <c r="D241" i="9"/>
  <c r="C241" i="9"/>
  <c r="B241" i="9"/>
  <c r="A241" i="9"/>
  <c r="Q240" i="9"/>
  <c r="L240" i="9"/>
  <c r="K240" i="9"/>
  <c r="J240" i="9"/>
  <c r="I240" i="9"/>
  <c r="H240" i="9"/>
  <c r="G240" i="9"/>
  <c r="F240" i="9"/>
  <c r="D240" i="9"/>
  <c r="C240" i="9"/>
  <c r="B240" i="9"/>
  <c r="M240" i="9" s="1"/>
  <c r="A240" i="9"/>
  <c r="Q239" i="9"/>
  <c r="L239" i="9"/>
  <c r="K239" i="9"/>
  <c r="J239" i="9"/>
  <c r="I239" i="9"/>
  <c r="H239" i="9"/>
  <c r="G239" i="9"/>
  <c r="F239" i="9"/>
  <c r="D239" i="9"/>
  <c r="C239" i="9"/>
  <c r="B239" i="9"/>
  <c r="A239" i="9"/>
  <c r="Q238" i="9"/>
  <c r="L238" i="9"/>
  <c r="K238" i="9"/>
  <c r="J238" i="9"/>
  <c r="I238" i="9"/>
  <c r="H238" i="9"/>
  <c r="G238" i="9"/>
  <c r="F238" i="9"/>
  <c r="D238" i="9"/>
  <c r="C238" i="9"/>
  <c r="B238" i="9"/>
  <c r="M238" i="9" s="1"/>
  <c r="P238" i="9" s="1"/>
  <c r="A238" i="9"/>
  <c r="Q237" i="9"/>
  <c r="L237" i="9"/>
  <c r="K237" i="9"/>
  <c r="J237" i="9"/>
  <c r="I237" i="9"/>
  <c r="H237" i="9"/>
  <c r="G237" i="9"/>
  <c r="F237" i="9"/>
  <c r="D237" i="9"/>
  <c r="C237" i="9"/>
  <c r="B237" i="9"/>
  <c r="A237" i="9"/>
  <c r="Q236" i="9"/>
  <c r="L236" i="9"/>
  <c r="K236" i="9"/>
  <c r="J236" i="9"/>
  <c r="I236" i="9"/>
  <c r="M236" i="9" s="1"/>
  <c r="H236" i="9"/>
  <c r="G236" i="9"/>
  <c r="F236" i="9"/>
  <c r="D236" i="9"/>
  <c r="C236" i="9"/>
  <c r="B236" i="9"/>
  <c r="A236" i="9"/>
  <c r="Q235" i="9"/>
  <c r="L235" i="9"/>
  <c r="K235" i="9"/>
  <c r="J235" i="9"/>
  <c r="I235" i="9"/>
  <c r="H235" i="9"/>
  <c r="G235" i="9"/>
  <c r="F235" i="9"/>
  <c r="D235" i="9"/>
  <c r="C235" i="9"/>
  <c r="B235" i="9"/>
  <c r="A235" i="9"/>
  <c r="Q234" i="9"/>
  <c r="L234" i="9"/>
  <c r="K234" i="9"/>
  <c r="J234" i="9"/>
  <c r="I234" i="9"/>
  <c r="H234" i="9"/>
  <c r="G234" i="9"/>
  <c r="F234" i="9"/>
  <c r="D234" i="9"/>
  <c r="C234" i="9"/>
  <c r="B234" i="9"/>
  <c r="A234" i="9"/>
  <c r="Q233" i="9"/>
  <c r="L233" i="9"/>
  <c r="K233" i="9"/>
  <c r="J233" i="9"/>
  <c r="I233" i="9"/>
  <c r="H233" i="9"/>
  <c r="G233" i="9"/>
  <c r="F233" i="9"/>
  <c r="D233" i="9"/>
  <c r="C233" i="9"/>
  <c r="B233" i="9"/>
  <c r="A233" i="9"/>
  <c r="Q232" i="9"/>
  <c r="L232" i="9"/>
  <c r="K232" i="9"/>
  <c r="J232" i="9"/>
  <c r="I232" i="9"/>
  <c r="M232" i="9" s="1"/>
  <c r="H232" i="9"/>
  <c r="G232" i="9"/>
  <c r="F232" i="9"/>
  <c r="D232" i="9"/>
  <c r="C232" i="9"/>
  <c r="B232" i="9"/>
  <c r="A232" i="9"/>
  <c r="Q231" i="9"/>
  <c r="L231" i="9"/>
  <c r="K231" i="9"/>
  <c r="J231" i="9"/>
  <c r="I231" i="9"/>
  <c r="H231" i="9"/>
  <c r="G231" i="9"/>
  <c r="F231" i="9"/>
  <c r="D231" i="9"/>
  <c r="C231" i="9"/>
  <c r="B231" i="9"/>
  <c r="A231" i="9"/>
  <c r="Q230" i="9"/>
  <c r="L230" i="9"/>
  <c r="K230" i="9"/>
  <c r="J230" i="9"/>
  <c r="I230" i="9"/>
  <c r="H230" i="9"/>
  <c r="G230" i="9"/>
  <c r="F230" i="9"/>
  <c r="D230" i="9"/>
  <c r="C230" i="9"/>
  <c r="B230" i="9"/>
  <c r="M230" i="9" s="1"/>
  <c r="A230" i="9"/>
  <c r="Q229" i="9"/>
  <c r="L229" i="9"/>
  <c r="K229" i="9"/>
  <c r="J229" i="9"/>
  <c r="I229" i="9"/>
  <c r="H229" i="9"/>
  <c r="G229" i="9"/>
  <c r="F229" i="9"/>
  <c r="D229" i="9"/>
  <c r="C229" i="9"/>
  <c r="B229" i="9"/>
  <c r="A229" i="9"/>
  <c r="Q228" i="9"/>
  <c r="L228" i="9"/>
  <c r="K228" i="9"/>
  <c r="J228" i="9"/>
  <c r="I228" i="9"/>
  <c r="H228" i="9"/>
  <c r="G228" i="9"/>
  <c r="F228" i="9"/>
  <c r="D228" i="9"/>
  <c r="C228" i="9"/>
  <c r="B228" i="9"/>
  <c r="M228" i="9" s="1"/>
  <c r="A228" i="9"/>
  <c r="Q227" i="9"/>
  <c r="L227" i="9"/>
  <c r="K227" i="9"/>
  <c r="J227" i="9"/>
  <c r="I227" i="9"/>
  <c r="H227" i="9"/>
  <c r="G227" i="9"/>
  <c r="F227" i="9"/>
  <c r="D227" i="9"/>
  <c r="C227" i="9"/>
  <c r="B227" i="9"/>
  <c r="A227" i="9"/>
  <c r="Q226" i="9"/>
  <c r="L226" i="9"/>
  <c r="K226" i="9"/>
  <c r="J226" i="9"/>
  <c r="I226" i="9"/>
  <c r="H226" i="9"/>
  <c r="G226" i="9"/>
  <c r="F226" i="9"/>
  <c r="D226" i="9"/>
  <c r="C226" i="9"/>
  <c r="B226" i="9"/>
  <c r="A226" i="9"/>
  <c r="Q225" i="9"/>
  <c r="L225" i="9"/>
  <c r="K225" i="9"/>
  <c r="J225" i="9"/>
  <c r="I225" i="9"/>
  <c r="H225" i="9"/>
  <c r="G225" i="9"/>
  <c r="F225" i="9"/>
  <c r="D225" i="9"/>
  <c r="C225" i="9"/>
  <c r="B225" i="9"/>
  <c r="A225" i="9"/>
  <c r="Q224" i="9"/>
  <c r="L224" i="9"/>
  <c r="K224" i="9"/>
  <c r="J224" i="9"/>
  <c r="I224" i="9"/>
  <c r="H224" i="9"/>
  <c r="G224" i="9"/>
  <c r="F224" i="9"/>
  <c r="D224" i="9"/>
  <c r="C224" i="9"/>
  <c r="B224" i="9"/>
  <c r="M224" i="9" s="1"/>
  <c r="A224" i="9"/>
  <c r="Q223" i="9"/>
  <c r="L223" i="9"/>
  <c r="K223" i="9"/>
  <c r="J223" i="9"/>
  <c r="I223" i="9"/>
  <c r="H223" i="9"/>
  <c r="G223" i="9"/>
  <c r="F223" i="9"/>
  <c r="D223" i="9"/>
  <c r="C223" i="9"/>
  <c r="B223" i="9"/>
  <c r="A223" i="9"/>
  <c r="Q222" i="9"/>
  <c r="M222" i="9"/>
  <c r="L222" i="9"/>
  <c r="K222" i="9"/>
  <c r="J222" i="9"/>
  <c r="I222" i="9"/>
  <c r="H222" i="9"/>
  <c r="G222" i="9"/>
  <c r="F222" i="9"/>
  <c r="D222" i="9"/>
  <c r="C222" i="9"/>
  <c r="B222" i="9"/>
  <c r="A222" i="9"/>
  <c r="Q221" i="9"/>
  <c r="L221" i="9"/>
  <c r="K221" i="9"/>
  <c r="J221" i="9"/>
  <c r="I221" i="9"/>
  <c r="H221" i="9"/>
  <c r="G221" i="9"/>
  <c r="F221" i="9"/>
  <c r="D221" i="9"/>
  <c r="C221" i="9"/>
  <c r="B221" i="9"/>
  <c r="A221" i="9"/>
  <c r="Q220" i="9"/>
  <c r="L220" i="9"/>
  <c r="K220" i="9"/>
  <c r="J220" i="9"/>
  <c r="I220" i="9"/>
  <c r="H220" i="9"/>
  <c r="G220" i="9"/>
  <c r="F220" i="9"/>
  <c r="D220" i="9"/>
  <c r="C220" i="9"/>
  <c r="B220" i="9"/>
  <c r="A220" i="9"/>
  <c r="Q219" i="9"/>
  <c r="L219" i="9"/>
  <c r="K219" i="9"/>
  <c r="J219" i="9"/>
  <c r="I219" i="9"/>
  <c r="H219" i="9"/>
  <c r="G219" i="9"/>
  <c r="F219" i="9"/>
  <c r="D219" i="9"/>
  <c r="C219" i="9"/>
  <c r="B219" i="9"/>
  <c r="A219" i="9"/>
  <c r="Q218" i="9"/>
  <c r="L218" i="9"/>
  <c r="K218" i="9"/>
  <c r="J218" i="9"/>
  <c r="I218" i="9"/>
  <c r="H218" i="9"/>
  <c r="G218" i="9"/>
  <c r="F218" i="9"/>
  <c r="D218" i="9"/>
  <c r="C218" i="9"/>
  <c r="B218" i="9"/>
  <c r="A218" i="9"/>
  <c r="Q217" i="9"/>
  <c r="L217" i="9"/>
  <c r="K217" i="9"/>
  <c r="J217" i="9"/>
  <c r="I217" i="9"/>
  <c r="H217" i="9"/>
  <c r="G217" i="9"/>
  <c r="F217" i="9"/>
  <c r="D217" i="9"/>
  <c r="C217" i="9"/>
  <c r="B217" i="9"/>
  <c r="A217" i="9"/>
  <c r="Q216" i="9"/>
  <c r="L216" i="9"/>
  <c r="K216" i="9"/>
  <c r="J216" i="9"/>
  <c r="I216" i="9"/>
  <c r="H216" i="9"/>
  <c r="G216" i="9"/>
  <c r="F216" i="9"/>
  <c r="D216" i="9"/>
  <c r="C216" i="9"/>
  <c r="B216" i="9"/>
  <c r="A216" i="9"/>
  <c r="Q215" i="9"/>
  <c r="L215" i="9"/>
  <c r="K215" i="9"/>
  <c r="J215" i="9"/>
  <c r="I215" i="9"/>
  <c r="H215" i="9"/>
  <c r="G215" i="9"/>
  <c r="F215" i="9"/>
  <c r="D215" i="9"/>
  <c r="C215" i="9"/>
  <c r="B215" i="9"/>
  <c r="A215" i="9"/>
  <c r="Q214" i="9"/>
  <c r="M214" i="9"/>
  <c r="P214" i="9" s="1"/>
  <c r="L214" i="9"/>
  <c r="K214" i="9"/>
  <c r="J214" i="9"/>
  <c r="I214" i="9"/>
  <c r="H214" i="9"/>
  <c r="G214" i="9"/>
  <c r="F214" i="9"/>
  <c r="D214" i="9"/>
  <c r="C214" i="9"/>
  <c r="B214" i="9"/>
  <c r="A214" i="9"/>
  <c r="Q213" i="9"/>
  <c r="L213" i="9"/>
  <c r="K213" i="9"/>
  <c r="J213" i="9"/>
  <c r="I213" i="9"/>
  <c r="H213" i="9"/>
  <c r="G213" i="9"/>
  <c r="F213" i="9"/>
  <c r="D213" i="9"/>
  <c r="C213" i="9"/>
  <c r="B213" i="9"/>
  <c r="A213" i="9"/>
  <c r="Q212" i="9"/>
  <c r="L212" i="9"/>
  <c r="K212" i="9"/>
  <c r="J212" i="9"/>
  <c r="I212" i="9"/>
  <c r="H212" i="9"/>
  <c r="G212" i="9"/>
  <c r="M212" i="9" s="1"/>
  <c r="F212" i="9"/>
  <c r="D212" i="9"/>
  <c r="C212" i="9"/>
  <c r="B212" i="9"/>
  <c r="A212" i="9"/>
  <c r="Q211" i="9"/>
  <c r="L211" i="9"/>
  <c r="K211" i="9"/>
  <c r="J211" i="9"/>
  <c r="I211" i="9"/>
  <c r="H211" i="9"/>
  <c r="G211" i="9"/>
  <c r="F211" i="9"/>
  <c r="D211" i="9"/>
  <c r="C211" i="9"/>
  <c r="B211" i="9"/>
  <c r="A211" i="9"/>
  <c r="Q210" i="9"/>
  <c r="L210" i="9"/>
  <c r="K210" i="9"/>
  <c r="J210" i="9"/>
  <c r="I210" i="9"/>
  <c r="H210" i="9"/>
  <c r="G210" i="9"/>
  <c r="F210" i="9"/>
  <c r="D210" i="9"/>
  <c r="C210" i="9"/>
  <c r="B210" i="9"/>
  <c r="A210" i="9"/>
  <c r="Q209" i="9"/>
  <c r="L209" i="9"/>
  <c r="K209" i="9"/>
  <c r="J209" i="9"/>
  <c r="I209" i="9"/>
  <c r="H209" i="9"/>
  <c r="G209" i="9"/>
  <c r="F209" i="9"/>
  <c r="D209" i="9"/>
  <c r="C209" i="9"/>
  <c r="B209" i="9"/>
  <c r="A209" i="9"/>
  <c r="Q208" i="9"/>
  <c r="L208" i="9"/>
  <c r="K208" i="9"/>
  <c r="J208" i="9"/>
  <c r="I208" i="9"/>
  <c r="H208" i="9"/>
  <c r="G208" i="9"/>
  <c r="F208" i="9"/>
  <c r="D208" i="9"/>
  <c r="C208" i="9"/>
  <c r="B208" i="9"/>
  <c r="M208" i="9" s="1"/>
  <c r="A208" i="9"/>
  <c r="Q207" i="9"/>
  <c r="L207" i="9"/>
  <c r="K207" i="9"/>
  <c r="J207" i="9"/>
  <c r="I207" i="9"/>
  <c r="H207" i="9"/>
  <c r="G207" i="9"/>
  <c r="F207" i="9"/>
  <c r="D207" i="9"/>
  <c r="C207" i="9"/>
  <c r="B207" i="9"/>
  <c r="A207" i="9"/>
  <c r="Q206" i="9"/>
  <c r="L206" i="9"/>
  <c r="K206" i="9"/>
  <c r="J206" i="9"/>
  <c r="I206" i="9"/>
  <c r="H206" i="9"/>
  <c r="G206" i="9"/>
  <c r="F206" i="9"/>
  <c r="D206" i="9"/>
  <c r="C206" i="9"/>
  <c r="B206" i="9"/>
  <c r="M206" i="9" s="1"/>
  <c r="P206" i="9" s="1"/>
  <c r="A206" i="9"/>
  <c r="Q205" i="9"/>
  <c r="L205" i="9"/>
  <c r="K205" i="9"/>
  <c r="J205" i="9"/>
  <c r="I205" i="9"/>
  <c r="H205" i="9"/>
  <c r="G205" i="9"/>
  <c r="F205" i="9"/>
  <c r="D205" i="9"/>
  <c r="C205" i="9"/>
  <c r="B205" i="9"/>
  <c r="A205" i="9"/>
  <c r="Q204" i="9"/>
  <c r="L204" i="9"/>
  <c r="K204" i="9"/>
  <c r="J204" i="9"/>
  <c r="I204" i="9"/>
  <c r="M204" i="9" s="1"/>
  <c r="H204" i="9"/>
  <c r="G204" i="9"/>
  <c r="F204" i="9"/>
  <c r="D204" i="9"/>
  <c r="C204" i="9"/>
  <c r="B204" i="9"/>
  <c r="A204" i="9"/>
  <c r="Q203" i="9"/>
  <c r="L203" i="9"/>
  <c r="K203" i="9"/>
  <c r="J203" i="9"/>
  <c r="I203" i="9"/>
  <c r="H203" i="9"/>
  <c r="G203" i="9"/>
  <c r="F203" i="9"/>
  <c r="D203" i="9"/>
  <c r="C203" i="9"/>
  <c r="B203" i="9"/>
  <c r="A203" i="9"/>
  <c r="Q202" i="9"/>
  <c r="L202" i="9"/>
  <c r="K202" i="9"/>
  <c r="J202" i="9"/>
  <c r="I202" i="9"/>
  <c r="H202" i="9"/>
  <c r="G202" i="9"/>
  <c r="F202" i="9"/>
  <c r="D202" i="9"/>
  <c r="C202" i="9"/>
  <c r="B202" i="9"/>
  <c r="A202" i="9"/>
  <c r="Q201" i="9"/>
  <c r="L201" i="9"/>
  <c r="K201" i="9"/>
  <c r="J201" i="9"/>
  <c r="I201" i="9"/>
  <c r="H201" i="9"/>
  <c r="G201" i="9"/>
  <c r="F201" i="9"/>
  <c r="D201" i="9"/>
  <c r="C201" i="9"/>
  <c r="B201" i="9"/>
  <c r="A201" i="9"/>
  <c r="Q200" i="9"/>
  <c r="L200" i="9"/>
  <c r="K200" i="9"/>
  <c r="J200" i="9"/>
  <c r="I200" i="9"/>
  <c r="M200" i="9" s="1"/>
  <c r="H200" i="9"/>
  <c r="G200" i="9"/>
  <c r="F200" i="9"/>
  <c r="D200" i="9"/>
  <c r="C200" i="9"/>
  <c r="B200" i="9"/>
  <c r="A200" i="9"/>
  <c r="Q199" i="9"/>
  <c r="L199" i="9"/>
  <c r="K199" i="9"/>
  <c r="J199" i="9"/>
  <c r="I199" i="9"/>
  <c r="H199" i="9"/>
  <c r="G199" i="9"/>
  <c r="F199" i="9"/>
  <c r="D199" i="9"/>
  <c r="C199" i="9"/>
  <c r="B199" i="9"/>
  <c r="A199" i="9"/>
  <c r="Q198" i="9"/>
  <c r="L198" i="9"/>
  <c r="K198" i="9"/>
  <c r="J198" i="9"/>
  <c r="I198" i="9"/>
  <c r="H198" i="9"/>
  <c r="G198" i="9"/>
  <c r="F198" i="9"/>
  <c r="D198" i="9"/>
  <c r="C198" i="9"/>
  <c r="B198" i="9"/>
  <c r="M198" i="9" s="1"/>
  <c r="A198" i="9"/>
  <c r="Q197" i="9"/>
  <c r="L197" i="9"/>
  <c r="K197" i="9"/>
  <c r="J197" i="9"/>
  <c r="I197" i="9"/>
  <c r="H197" i="9"/>
  <c r="G197" i="9"/>
  <c r="F197" i="9"/>
  <c r="D197" i="9"/>
  <c r="C197" i="9"/>
  <c r="B197" i="9"/>
  <c r="A197" i="9"/>
  <c r="Q196" i="9"/>
  <c r="L196" i="9"/>
  <c r="K196" i="9"/>
  <c r="J196" i="9"/>
  <c r="I196" i="9"/>
  <c r="H196" i="9"/>
  <c r="G196" i="9"/>
  <c r="F196" i="9"/>
  <c r="D196" i="9"/>
  <c r="C196" i="9"/>
  <c r="B196" i="9"/>
  <c r="M196" i="9" s="1"/>
  <c r="A196" i="9"/>
  <c r="Q195" i="9"/>
  <c r="L195" i="9"/>
  <c r="K195" i="9"/>
  <c r="J195" i="9"/>
  <c r="I195" i="9"/>
  <c r="H195" i="9"/>
  <c r="G195" i="9"/>
  <c r="F195" i="9"/>
  <c r="D195" i="9"/>
  <c r="C195" i="9"/>
  <c r="B195" i="9"/>
  <c r="A195" i="9"/>
  <c r="Q194" i="9"/>
  <c r="L194" i="9"/>
  <c r="K194" i="9"/>
  <c r="J194" i="9"/>
  <c r="I194" i="9"/>
  <c r="H194" i="9"/>
  <c r="G194" i="9"/>
  <c r="F194" i="9"/>
  <c r="D194" i="9"/>
  <c r="C194" i="9"/>
  <c r="B194" i="9"/>
  <c r="A194" i="9"/>
  <c r="Q193" i="9"/>
  <c r="L193" i="9"/>
  <c r="K193" i="9"/>
  <c r="J193" i="9"/>
  <c r="I193" i="9"/>
  <c r="H193" i="9"/>
  <c r="G193" i="9"/>
  <c r="F193" i="9"/>
  <c r="D193" i="9"/>
  <c r="C193" i="9"/>
  <c r="B193" i="9"/>
  <c r="A193" i="9"/>
  <c r="Q192" i="9"/>
  <c r="L192" i="9"/>
  <c r="K192" i="9"/>
  <c r="J192" i="9"/>
  <c r="I192" i="9"/>
  <c r="H192" i="9"/>
  <c r="G192" i="9"/>
  <c r="F192" i="9"/>
  <c r="D192" i="9"/>
  <c r="C192" i="9"/>
  <c r="B192" i="9"/>
  <c r="M192" i="9" s="1"/>
  <c r="A192" i="9"/>
  <c r="Q191" i="9"/>
  <c r="L191" i="9"/>
  <c r="K191" i="9"/>
  <c r="J191" i="9"/>
  <c r="I191" i="9"/>
  <c r="H191" i="9"/>
  <c r="G191" i="9"/>
  <c r="F191" i="9"/>
  <c r="D191" i="9"/>
  <c r="C191" i="9"/>
  <c r="B191" i="9"/>
  <c r="A191" i="9"/>
  <c r="Q190" i="9"/>
  <c r="M190" i="9"/>
  <c r="L190" i="9"/>
  <c r="K190" i="9"/>
  <c r="J190" i="9"/>
  <c r="I190" i="9"/>
  <c r="H190" i="9"/>
  <c r="G190" i="9"/>
  <c r="F190" i="9"/>
  <c r="D190" i="9"/>
  <c r="C190" i="9"/>
  <c r="B190" i="9"/>
  <c r="A190" i="9"/>
  <c r="Q189" i="9"/>
  <c r="L189" i="9"/>
  <c r="K189" i="9"/>
  <c r="J189" i="9"/>
  <c r="I189" i="9"/>
  <c r="H189" i="9"/>
  <c r="G189" i="9"/>
  <c r="F189" i="9"/>
  <c r="D189" i="9"/>
  <c r="C189" i="9"/>
  <c r="B189" i="9"/>
  <c r="A189" i="9"/>
  <c r="Q188" i="9"/>
  <c r="L188" i="9"/>
  <c r="K188" i="9"/>
  <c r="J188" i="9"/>
  <c r="I188" i="9"/>
  <c r="H188" i="9"/>
  <c r="G188" i="9"/>
  <c r="F188" i="9"/>
  <c r="D188" i="9"/>
  <c r="C188" i="9"/>
  <c r="B188" i="9"/>
  <c r="A188" i="9"/>
  <c r="Q187" i="9"/>
  <c r="L187" i="9"/>
  <c r="K187" i="9"/>
  <c r="J187" i="9"/>
  <c r="I187" i="9"/>
  <c r="H187" i="9"/>
  <c r="G187" i="9"/>
  <c r="F187" i="9"/>
  <c r="D187" i="9"/>
  <c r="C187" i="9"/>
  <c r="B187" i="9"/>
  <c r="A187" i="9"/>
  <c r="Q186" i="9"/>
  <c r="L186" i="9"/>
  <c r="K186" i="9"/>
  <c r="J186" i="9"/>
  <c r="I186" i="9"/>
  <c r="H186" i="9"/>
  <c r="G186" i="9"/>
  <c r="F186" i="9"/>
  <c r="D186" i="9"/>
  <c r="C186" i="9"/>
  <c r="B186" i="9"/>
  <c r="A186" i="9"/>
  <c r="Q185" i="9"/>
  <c r="L185" i="9"/>
  <c r="K185" i="9"/>
  <c r="J185" i="9"/>
  <c r="I185" i="9"/>
  <c r="H185" i="9"/>
  <c r="G185" i="9"/>
  <c r="F185" i="9"/>
  <c r="D185" i="9"/>
  <c r="C185" i="9"/>
  <c r="B185" i="9"/>
  <c r="A185" i="9"/>
  <c r="Q184" i="9"/>
  <c r="L184" i="9"/>
  <c r="K184" i="9"/>
  <c r="J184" i="9"/>
  <c r="I184" i="9"/>
  <c r="H184" i="9"/>
  <c r="G184" i="9"/>
  <c r="F184" i="9"/>
  <c r="D184" i="9"/>
  <c r="C184" i="9"/>
  <c r="B184" i="9"/>
  <c r="A184" i="9"/>
  <c r="Q183" i="9"/>
  <c r="L183" i="9"/>
  <c r="K183" i="9"/>
  <c r="J183" i="9"/>
  <c r="I183" i="9"/>
  <c r="H183" i="9"/>
  <c r="G183" i="9"/>
  <c r="F183" i="9"/>
  <c r="D183" i="9"/>
  <c r="C183" i="9"/>
  <c r="B183" i="9"/>
  <c r="A183" i="9"/>
  <c r="Q182" i="9"/>
  <c r="M182" i="9"/>
  <c r="P182" i="9" s="1"/>
  <c r="L182" i="9"/>
  <c r="K182" i="9"/>
  <c r="J182" i="9"/>
  <c r="I182" i="9"/>
  <c r="H182" i="9"/>
  <c r="G182" i="9"/>
  <c r="F182" i="9"/>
  <c r="D182" i="9"/>
  <c r="C182" i="9"/>
  <c r="B182" i="9"/>
  <c r="A182" i="9"/>
  <c r="Q181" i="9"/>
  <c r="L181" i="9"/>
  <c r="K181" i="9"/>
  <c r="J181" i="9"/>
  <c r="I181" i="9"/>
  <c r="H181" i="9"/>
  <c r="G181" i="9"/>
  <c r="F181" i="9"/>
  <c r="D181" i="9"/>
  <c r="C181" i="9"/>
  <c r="B181" i="9"/>
  <c r="A181" i="9"/>
  <c r="Q180" i="9"/>
  <c r="L180" i="9"/>
  <c r="K180" i="9"/>
  <c r="J180" i="9"/>
  <c r="I180" i="9"/>
  <c r="H180" i="9"/>
  <c r="G180" i="9"/>
  <c r="M180" i="9" s="1"/>
  <c r="F180" i="9"/>
  <c r="D180" i="9"/>
  <c r="C180" i="9"/>
  <c r="B180" i="9"/>
  <c r="A180" i="9"/>
  <c r="Q179" i="9"/>
  <c r="L179" i="9"/>
  <c r="K179" i="9"/>
  <c r="J179" i="9"/>
  <c r="I179" i="9"/>
  <c r="H179" i="9"/>
  <c r="G179" i="9"/>
  <c r="F179" i="9"/>
  <c r="D179" i="9"/>
  <c r="C179" i="9"/>
  <c r="B179" i="9"/>
  <c r="A179" i="9"/>
  <c r="Q178" i="9"/>
  <c r="L178" i="9"/>
  <c r="K178" i="9"/>
  <c r="J178" i="9"/>
  <c r="I178" i="9"/>
  <c r="H178" i="9"/>
  <c r="G178" i="9"/>
  <c r="F178" i="9"/>
  <c r="D178" i="9"/>
  <c r="C178" i="9"/>
  <c r="B178" i="9"/>
  <c r="A178" i="9"/>
  <c r="Q177" i="9"/>
  <c r="L177" i="9"/>
  <c r="K177" i="9"/>
  <c r="J177" i="9"/>
  <c r="I177" i="9"/>
  <c r="H177" i="9"/>
  <c r="G177" i="9"/>
  <c r="F177" i="9"/>
  <c r="D177" i="9"/>
  <c r="C177" i="9"/>
  <c r="B177" i="9"/>
  <c r="A177" i="9"/>
  <c r="Q176" i="9"/>
  <c r="L176" i="9"/>
  <c r="K176" i="9"/>
  <c r="J176" i="9"/>
  <c r="I176" i="9"/>
  <c r="H176" i="9"/>
  <c r="G176" i="9"/>
  <c r="F176" i="9"/>
  <c r="D176" i="9"/>
  <c r="C176" i="9"/>
  <c r="B176" i="9"/>
  <c r="M176" i="9" s="1"/>
  <c r="A176" i="9"/>
  <c r="Q175" i="9"/>
  <c r="L175" i="9"/>
  <c r="K175" i="9"/>
  <c r="J175" i="9"/>
  <c r="I175" i="9"/>
  <c r="H175" i="9"/>
  <c r="G175" i="9"/>
  <c r="F175" i="9"/>
  <c r="D175" i="9"/>
  <c r="C175" i="9"/>
  <c r="B175" i="9"/>
  <c r="A175" i="9"/>
  <c r="Q174" i="9"/>
  <c r="L174" i="9"/>
  <c r="K174" i="9"/>
  <c r="J174" i="9"/>
  <c r="I174" i="9"/>
  <c r="H174" i="9"/>
  <c r="G174" i="9"/>
  <c r="F174" i="9"/>
  <c r="D174" i="9"/>
  <c r="C174" i="9"/>
  <c r="B174" i="9"/>
  <c r="M174" i="9" s="1"/>
  <c r="P174" i="9" s="1"/>
  <c r="A174" i="9"/>
  <c r="Q173" i="9"/>
  <c r="L173" i="9"/>
  <c r="K173" i="9"/>
  <c r="J173" i="9"/>
  <c r="I173" i="9"/>
  <c r="H173" i="9"/>
  <c r="G173" i="9"/>
  <c r="F173" i="9"/>
  <c r="D173" i="9"/>
  <c r="C173" i="9"/>
  <c r="B173" i="9"/>
  <c r="A173" i="9"/>
  <c r="Q172" i="9"/>
  <c r="L172" i="9"/>
  <c r="K172" i="9"/>
  <c r="J172" i="9"/>
  <c r="I172" i="9"/>
  <c r="M172" i="9" s="1"/>
  <c r="H172" i="9"/>
  <c r="G172" i="9"/>
  <c r="F172" i="9"/>
  <c r="D172" i="9"/>
  <c r="C172" i="9"/>
  <c r="B172" i="9"/>
  <c r="A172" i="9"/>
  <c r="Q171" i="9"/>
  <c r="L171" i="9"/>
  <c r="K171" i="9"/>
  <c r="J171" i="9"/>
  <c r="I171" i="9"/>
  <c r="H171" i="9"/>
  <c r="G171" i="9"/>
  <c r="F171" i="9"/>
  <c r="D171" i="9"/>
  <c r="C171" i="9"/>
  <c r="B171" i="9"/>
  <c r="A171" i="9"/>
  <c r="Q170" i="9"/>
  <c r="L170" i="9"/>
  <c r="K170" i="9"/>
  <c r="J170" i="9"/>
  <c r="I170" i="9"/>
  <c r="H170" i="9"/>
  <c r="G170" i="9"/>
  <c r="F170" i="9"/>
  <c r="D170" i="9"/>
  <c r="C170" i="9"/>
  <c r="B170" i="9"/>
  <c r="A170" i="9"/>
  <c r="Q169" i="9"/>
  <c r="L169" i="9"/>
  <c r="K169" i="9"/>
  <c r="J169" i="9"/>
  <c r="I169" i="9"/>
  <c r="H169" i="9"/>
  <c r="G169" i="9"/>
  <c r="F169" i="9"/>
  <c r="D169" i="9"/>
  <c r="C169" i="9"/>
  <c r="B169" i="9"/>
  <c r="A169" i="9"/>
  <c r="Q168" i="9"/>
  <c r="L168" i="9"/>
  <c r="K168" i="9"/>
  <c r="J168" i="9"/>
  <c r="I168" i="9"/>
  <c r="M168" i="9" s="1"/>
  <c r="H168" i="9"/>
  <c r="G168" i="9"/>
  <c r="F168" i="9"/>
  <c r="D168" i="9"/>
  <c r="C168" i="9"/>
  <c r="B168" i="9"/>
  <c r="A168" i="9"/>
  <c r="Q167" i="9"/>
  <c r="L167" i="9"/>
  <c r="K167" i="9"/>
  <c r="J167" i="9"/>
  <c r="I167" i="9"/>
  <c r="H167" i="9"/>
  <c r="G167" i="9"/>
  <c r="F167" i="9"/>
  <c r="D167" i="9"/>
  <c r="C167" i="9"/>
  <c r="B167" i="9"/>
  <c r="A167" i="9"/>
  <c r="Q166" i="9"/>
  <c r="L166" i="9"/>
  <c r="K166" i="9"/>
  <c r="J166" i="9"/>
  <c r="I166" i="9"/>
  <c r="H166" i="9"/>
  <c r="G166" i="9"/>
  <c r="F166" i="9"/>
  <c r="D166" i="9"/>
  <c r="C166" i="9"/>
  <c r="B166" i="9"/>
  <c r="M166" i="9" s="1"/>
  <c r="A166" i="9"/>
  <c r="Q165" i="9"/>
  <c r="L165" i="9"/>
  <c r="K165" i="9"/>
  <c r="J165" i="9"/>
  <c r="I165" i="9"/>
  <c r="H165" i="9"/>
  <c r="G165" i="9"/>
  <c r="F165" i="9"/>
  <c r="D165" i="9"/>
  <c r="C165" i="9"/>
  <c r="B165" i="9"/>
  <c r="A165" i="9"/>
  <c r="Q164" i="9"/>
  <c r="L164" i="9"/>
  <c r="K164" i="9"/>
  <c r="J164" i="9"/>
  <c r="I164" i="9"/>
  <c r="H164" i="9"/>
  <c r="G164" i="9"/>
  <c r="F164" i="9"/>
  <c r="D164" i="9"/>
  <c r="C164" i="9"/>
  <c r="B164" i="9"/>
  <c r="M164" i="9" s="1"/>
  <c r="A164" i="9"/>
  <c r="Q163" i="9"/>
  <c r="L163" i="9"/>
  <c r="K163" i="9"/>
  <c r="J163" i="9"/>
  <c r="I163" i="9"/>
  <c r="H163" i="9"/>
  <c r="G163" i="9"/>
  <c r="F163" i="9"/>
  <c r="D163" i="9"/>
  <c r="C163" i="9"/>
  <c r="B163" i="9"/>
  <c r="A163" i="9"/>
  <c r="Q162" i="9"/>
  <c r="L162" i="9"/>
  <c r="K162" i="9"/>
  <c r="J162" i="9"/>
  <c r="I162" i="9"/>
  <c r="H162" i="9"/>
  <c r="G162" i="9"/>
  <c r="F162" i="9"/>
  <c r="D162" i="9"/>
  <c r="C162" i="9"/>
  <c r="B162" i="9"/>
  <c r="A162" i="9"/>
  <c r="Q161" i="9"/>
  <c r="L161" i="9"/>
  <c r="K161" i="9"/>
  <c r="J161" i="9"/>
  <c r="I161" i="9"/>
  <c r="H161" i="9"/>
  <c r="G161" i="9"/>
  <c r="F161" i="9"/>
  <c r="D161" i="9"/>
  <c r="C161" i="9"/>
  <c r="B161" i="9"/>
  <c r="A161" i="9"/>
  <c r="Q160" i="9"/>
  <c r="L160" i="9"/>
  <c r="K160" i="9"/>
  <c r="J160" i="9"/>
  <c r="I160" i="9"/>
  <c r="H160" i="9"/>
  <c r="G160" i="9"/>
  <c r="F160" i="9"/>
  <c r="D160" i="9"/>
  <c r="C160" i="9"/>
  <c r="B160" i="9"/>
  <c r="M160" i="9" s="1"/>
  <c r="A160" i="9"/>
  <c r="Q159" i="9"/>
  <c r="L159" i="9"/>
  <c r="K159" i="9"/>
  <c r="J159" i="9"/>
  <c r="I159" i="9"/>
  <c r="H159" i="9"/>
  <c r="G159" i="9"/>
  <c r="F159" i="9"/>
  <c r="D159" i="9"/>
  <c r="C159" i="9"/>
  <c r="B159" i="9"/>
  <c r="A159" i="9"/>
  <c r="Q158" i="9"/>
  <c r="M158" i="9"/>
  <c r="L158" i="9"/>
  <c r="K158" i="9"/>
  <c r="J158" i="9"/>
  <c r="I158" i="9"/>
  <c r="H158" i="9"/>
  <c r="G158" i="9"/>
  <c r="F158" i="9"/>
  <c r="D158" i="9"/>
  <c r="C158" i="9"/>
  <c r="B158" i="9"/>
  <c r="A158" i="9"/>
  <c r="Q157" i="9"/>
  <c r="L157" i="9"/>
  <c r="K157" i="9"/>
  <c r="J157" i="9"/>
  <c r="I157" i="9"/>
  <c r="H157" i="9"/>
  <c r="G157" i="9"/>
  <c r="F157" i="9"/>
  <c r="D157" i="9"/>
  <c r="C157" i="9"/>
  <c r="B157" i="9"/>
  <c r="A157" i="9"/>
  <c r="Q156" i="9"/>
  <c r="L156" i="9"/>
  <c r="K156" i="9"/>
  <c r="J156" i="9"/>
  <c r="I156" i="9"/>
  <c r="H156" i="9"/>
  <c r="G156" i="9"/>
  <c r="F156" i="9"/>
  <c r="D156" i="9"/>
  <c r="C156" i="9"/>
  <c r="B156" i="9"/>
  <c r="A156" i="9"/>
  <c r="Q155" i="9"/>
  <c r="L155" i="9"/>
  <c r="K155" i="9"/>
  <c r="J155" i="9"/>
  <c r="I155" i="9"/>
  <c r="H155" i="9"/>
  <c r="G155" i="9"/>
  <c r="F155" i="9"/>
  <c r="D155" i="9"/>
  <c r="C155" i="9"/>
  <c r="B155" i="9"/>
  <c r="A155" i="9"/>
  <c r="Q154" i="9"/>
  <c r="L154" i="9"/>
  <c r="K154" i="9"/>
  <c r="J154" i="9"/>
  <c r="I154" i="9"/>
  <c r="H154" i="9"/>
  <c r="G154" i="9"/>
  <c r="F154" i="9"/>
  <c r="D154" i="9"/>
  <c r="C154" i="9"/>
  <c r="B154" i="9"/>
  <c r="A154" i="9"/>
  <c r="Q153" i="9"/>
  <c r="L153" i="9"/>
  <c r="K153" i="9"/>
  <c r="J153" i="9"/>
  <c r="I153" i="9"/>
  <c r="H153" i="9"/>
  <c r="G153" i="9"/>
  <c r="F153" i="9"/>
  <c r="D153" i="9"/>
  <c r="C153" i="9"/>
  <c r="B153" i="9"/>
  <c r="A153" i="9"/>
  <c r="Q152" i="9"/>
  <c r="L152" i="9"/>
  <c r="K152" i="9"/>
  <c r="J152" i="9"/>
  <c r="I152" i="9"/>
  <c r="H152" i="9"/>
  <c r="G152" i="9"/>
  <c r="F152" i="9"/>
  <c r="D152" i="9"/>
  <c r="C152" i="9"/>
  <c r="B152" i="9"/>
  <c r="A152" i="9"/>
  <c r="Q151" i="9"/>
  <c r="L151" i="9"/>
  <c r="K151" i="9"/>
  <c r="J151" i="9"/>
  <c r="I151" i="9"/>
  <c r="H151" i="9"/>
  <c r="G151" i="9"/>
  <c r="F151" i="9"/>
  <c r="D151" i="9"/>
  <c r="C151" i="9"/>
  <c r="B151" i="9"/>
  <c r="M151" i="9" s="1"/>
  <c r="P151" i="9" s="1"/>
  <c r="A151" i="9"/>
  <c r="Q150" i="9"/>
  <c r="L150" i="9"/>
  <c r="K150" i="9"/>
  <c r="J150" i="9"/>
  <c r="I150" i="9"/>
  <c r="H150" i="9"/>
  <c r="G150" i="9"/>
  <c r="F150" i="9"/>
  <c r="D150" i="9"/>
  <c r="C150" i="9"/>
  <c r="B150" i="9"/>
  <c r="A150" i="9"/>
  <c r="Q149" i="9"/>
  <c r="L149" i="9"/>
  <c r="K149" i="9"/>
  <c r="J149" i="9"/>
  <c r="I149" i="9"/>
  <c r="H149" i="9"/>
  <c r="G149" i="9"/>
  <c r="F149" i="9"/>
  <c r="D149" i="9"/>
  <c r="C149" i="9"/>
  <c r="B149" i="9"/>
  <c r="A149" i="9"/>
  <c r="Q148" i="9"/>
  <c r="L148" i="9"/>
  <c r="K148" i="9"/>
  <c r="J148" i="9"/>
  <c r="I148" i="9"/>
  <c r="H148" i="9"/>
  <c r="G148" i="9"/>
  <c r="F148" i="9"/>
  <c r="D148" i="9"/>
  <c r="C148" i="9"/>
  <c r="B148" i="9"/>
  <c r="A148" i="9"/>
  <c r="Q147" i="9"/>
  <c r="L147" i="9"/>
  <c r="K147" i="9"/>
  <c r="J147" i="9"/>
  <c r="I147" i="9"/>
  <c r="H147" i="9"/>
  <c r="G147" i="9"/>
  <c r="F147" i="9"/>
  <c r="D147" i="9"/>
  <c r="C147" i="9"/>
  <c r="B147" i="9"/>
  <c r="A147" i="9"/>
  <c r="Q146" i="9"/>
  <c r="L146" i="9"/>
  <c r="K146" i="9"/>
  <c r="J146" i="9"/>
  <c r="I146" i="9"/>
  <c r="H146" i="9"/>
  <c r="G146" i="9"/>
  <c r="F146" i="9"/>
  <c r="D146" i="9"/>
  <c r="C146" i="9"/>
  <c r="B146" i="9"/>
  <c r="A146" i="9"/>
  <c r="Q145" i="9"/>
  <c r="L145" i="9"/>
  <c r="K145" i="9"/>
  <c r="J145" i="9"/>
  <c r="I145" i="9"/>
  <c r="H145" i="9"/>
  <c r="G145" i="9"/>
  <c r="F145" i="9"/>
  <c r="D145" i="9"/>
  <c r="C145" i="9"/>
  <c r="B145" i="9"/>
  <c r="A145" i="9"/>
  <c r="Q144" i="9"/>
  <c r="L144" i="9"/>
  <c r="K144" i="9"/>
  <c r="J144" i="9"/>
  <c r="I144" i="9"/>
  <c r="H144" i="9"/>
  <c r="G144" i="9"/>
  <c r="M144" i="9" s="1"/>
  <c r="P144" i="9" s="1"/>
  <c r="F144" i="9"/>
  <c r="D144" i="9"/>
  <c r="C144" i="9"/>
  <c r="B144" i="9"/>
  <c r="A144" i="9"/>
  <c r="Q143" i="9"/>
  <c r="L143" i="9"/>
  <c r="K143" i="9"/>
  <c r="J143" i="9"/>
  <c r="I143" i="9"/>
  <c r="H143" i="9"/>
  <c r="G143" i="9"/>
  <c r="F143" i="9"/>
  <c r="D143" i="9"/>
  <c r="C143" i="9"/>
  <c r="B143" i="9"/>
  <c r="A143" i="9"/>
  <c r="Q142" i="9"/>
  <c r="L142" i="9"/>
  <c r="K142" i="9"/>
  <c r="J142" i="9"/>
  <c r="I142" i="9"/>
  <c r="H142" i="9"/>
  <c r="G142" i="9"/>
  <c r="F142" i="9"/>
  <c r="D142" i="9"/>
  <c r="C142" i="9"/>
  <c r="B142" i="9"/>
  <c r="A142" i="9"/>
  <c r="Q141" i="9"/>
  <c r="L141" i="9"/>
  <c r="K141" i="9"/>
  <c r="J141" i="9"/>
  <c r="I141" i="9"/>
  <c r="H141" i="9"/>
  <c r="G141" i="9"/>
  <c r="F141" i="9"/>
  <c r="D141" i="9"/>
  <c r="C141" i="9"/>
  <c r="B141" i="9"/>
  <c r="M141" i="9" s="1"/>
  <c r="P141" i="9" s="1"/>
  <c r="A141" i="9"/>
  <c r="Q140" i="9"/>
  <c r="L140" i="9"/>
  <c r="K140" i="9"/>
  <c r="J140" i="9"/>
  <c r="I140" i="9"/>
  <c r="H140" i="9"/>
  <c r="G140" i="9"/>
  <c r="M140" i="9" s="1"/>
  <c r="P140" i="9" s="1"/>
  <c r="F140" i="9"/>
  <c r="D140" i="9"/>
  <c r="C140" i="9"/>
  <c r="B140" i="9"/>
  <c r="A140" i="9"/>
  <c r="Q139" i="9"/>
  <c r="L139" i="9"/>
  <c r="K139" i="9"/>
  <c r="J139" i="9"/>
  <c r="I139" i="9"/>
  <c r="H139" i="9"/>
  <c r="G139" i="9"/>
  <c r="F139" i="9"/>
  <c r="D139" i="9"/>
  <c r="C139" i="9"/>
  <c r="B139" i="9"/>
  <c r="A139" i="9"/>
  <c r="Q138" i="9"/>
  <c r="L138" i="9"/>
  <c r="K138" i="9"/>
  <c r="J138" i="9"/>
  <c r="I138" i="9"/>
  <c r="M138" i="9" s="1"/>
  <c r="P138" i="9" s="1"/>
  <c r="H138" i="9"/>
  <c r="G138" i="9"/>
  <c r="F138" i="9"/>
  <c r="D138" i="9"/>
  <c r="C138" i="9"/>
  <c r="B138" i="9"/>
  <c r="A138" i="9"/>
  <c r="Q137" i="9"/>
  <c r="M137" i="9"/>
  <c r="P137" i="9" s="1"/>
  <c r="L137" i="9"/>
  <c r="K137" i="9"/>
  <c r="J137" i="9"/>
  <c r="I137" i="9"/>
  <c r="H137" i="9"/>
  <c r="G137" i="9"/>
  <c r="F137" i="9"/>
  <c r="D137" i="9"/>
  <c r="C137" i="9"/>
  <c r="B137" i="9"/>
  <c r="A137" i="9"/>
  <c r="Q136" i="9"/>
  <c r="L136" i="9"/>
  <c r="K136" i="9"/>
  <c r="J136" i="9"/>
  <c r="I136" i="9"/>
  <c r="H136" i="9"/>
  <c r="G136" i="9"/>
  <c r="F136" i="9"/>
  <c r="D136" i="9"/>
  <c r="C136" i="9"/>
  <c r="B136" i="9"/>
  <c r="A136" i="9"/>
  <c r="Q135" i="9"/>
  <c r="L135" i="9"/>
  <c r="K135" i="9"/>
  <c r="J135" i="9"/>
  <c r="I135" i="9"/>
  <c r="H135" i="9"/>
  <c r="G135" i="9"/>
  <c r="F135" i="9"/>
  <c r="D135" i="9"/>
  <c r="C135" i="9"/>
  <c r="B135" i="9"/>
  <c r="A135" i="9"/>
  <c r="Q134" i="9"/>
  <c r="L134" i="9"/>
  <c r="K134" i="9"/>
  <c r="J134" i="9"/>
  <c r="I134" i="9"/>
  <c r="H134" i="9"/>
  <c r="G134" i="9"/>
  <c r="F134" i="9"/>
  <c r="D134" i="9"/>
  <c r="C134" i="9"/>
  <c r="B134" i="9"/>
  <c r="A134" i="9"/>
  <c r="Q133" i="9"/>
  <c r="L133" i="9"/>
  <c r="K133" i="9"/>
  <c r="J133" i="9"/>
  <c r="I133" i="9"/>
  <c r="H133" i="9"/>
  <c r="G133" i="9"/>
  <c r="F133" i="9"/>
  <c r="D133" i="9"/>
  <c r="C133" i="9"/>
  <c r="B133" i="9"/>
  <c r="A133" i="9"/>
  <c r="Q132" i="9"/>
  <c r="L132" i="9"/>
  <c r="K132" i="9"/>
  <c r="J132" i="9"/>
  <c r="I132" i="9"/>
  <c r="H132" i="9"/>
  <c r="G132" i="9"/>
  <c r="F132" i="9"/>
  <c r="D132" i="9"/>
  <c r="C132" i="9"/>
  <c r="B132" i="9"/>
  <c r="A132" i="9"/>
  <c r="Q131" i="9"/>
  <c r="L131" i="9"/>
  <c r="K131" i="9"/>
  <c r="J131" i="9"/>
  <c r="I131" i="9"/>
  <c r="H131" i="9"/>
  <c r="G131" i="9"/>
  <c r="F131" i="9"/>
  <c r="D131" i="9"/>
  <c r="C131" i="9"/>
  <c r="B131" i="9"/>
  <c r="A131" i="9"/>
  <c r="Q130" i="9"/>
  <c r="L130" i="9"/>
  <c r="K130" i="9"/>
  <c r="J130" i="9"/>
  <c r="I130" i="9"/>
  <c r="H130" i="9"/>
  <c r="G130" i="9"/>
  <c r="F130" i="9"/>
  <c r="D130" i="9"/>
  <c r="C130" i="9"/>
  <c r="B130" i="9"/>
  <c r="A130" i="9"/>
  <c r="Q129" i="9"/>
  <c r="L129" i="9"/>
  <c r="K129" i="9"/>
  <c r="J129" i="9"/>
  <c r="I129" i="9"/>
  <c r="H129" i="9"/>
  <c r="G129" i="9"/>
  <c r="F129" i="9"/>
  <c r="D129" i="9"/>
  <c r="C129" i="9"/>
  <c r="B129" i="9"/>
  <c r="A129" i="9"/>
  <c r="Q128" i="9"/>
  <c r="L128" i="9"/>
  <c r="K128" i="9"/>
  <c r="J128" i="9"/>
  <c r="I128" i="9"/>
  <c r="H128" i="9"/>
  <c r="G128" i="9"/>
  <c r="F128" i="9"/>
  <c r="D128" i="9"/>
  <c r="C128" i="9"/>
  <c r="B128" i="9"/>
  <c r="A128" i="9"/>
  <c r="Q127" i="9"/>
  <c r="L127" i="9"/>
  <c r="K127" i="9"/>
  <c r="J127" i="9"/>
  <c r="I127" i="9"/>
  <c r="H127" i="9"/>
  <c r="G127" i="9"/>
  <c r="F127" i="9"/>
  <c r="D127" i="9"/>
  <c r="C127" i="9"/>
  <c r="B127" i="9"/>
  <c r="A127" i="9"/>
  <c r="Q126" i="9"/>
  <c r="L126" i="9"/>
  <c r="K126" i="9"/>
  <c r="J126" i="9"/>
  <c r="I126" i="9"/>
  <c r="H126" i="9"/>
  <c r="G126" i="9"/>
  <c r="F126" i="9"/>
  <c r="D126" i="9"/>
  <c r="C126" i="9"/>
  <c r="B126" i="9"/>
  <c r="A126" i="9"/>
  <c r="Q125" i="9"/>
  <c r="L125" i="9"/>
  <c r="K125" i="9"/>
  <c r="J125" i="9"/>
  <c r="I125" i="9"/>
  <c r="H125" i="9"/>
  <c r="G125" i="9"/>
  <c r="F125" i="9"/>
  <c r="D125" i="9"/>
  <c r="C125" i="9"/>
  <c r="B125" i="9"/>
  <c r="A125" i="9"/>
  <c r="Q124" i="9"/>
  <c r="L124" i="9"/>
  <c r="K124" i="9"/>
  <c r="J124" i="9"/>
  <c r="I124" i="9"/>
  <c r="H124" i="9"/>
  <c r="G124" i="9"/>
  <c r="F124" i="9"/>
  <c r="D124" i="9"/>
  <c r="C124" i="9"/>
  <c r="B124" i="9"/>
  <c r="A124" i="9"/>
  <c r="Q123" i="9"/>
  <c r="L123" i="9"/>
  <c r="K123" i="9"/>
  <c r="J123" i="9"/>
  <c r="I123" i="9"/>
  <c r="H123" i="9"/>
  <c r="G123" i="9"/>
  <c r="M123" i="9" s="1"/>
  <c r="F123" i="9"/>
  <c r="D123" i="9"/>
  <c r="C123" i="9"/>
  <c r="B123" i="9"/>
  <c r="A123" i="9"/>
  <c r="Q122" i="9"/>
  <c r="L122" i="9"/>
  <c r="K122" i="9"/>
  <c r="J122" i="9"/>
  <c r="I122" i="9"/>
  <c r="H122" i="9"/>
  <c r="G122" i="9"/>
  <c r="F122" i="9"/>
  <c r="D122" i="9"/>
  <c r="C122" i="9"/>
  <c r="B122" i="9"/>
  <c r="A122" i="9"/>
  <c r="Q121" i="9"/>
  <c r="L121" i="9"/>
  <c r="K121" i="9"/>
  <c r="J121" i="9"/>
  <c r="I121" i="9"/>
  <c r="H121" i="9"/>
  <c r="G121" i="9"/>
  <c r="F121" i="9"/>
  <c r="D121" i="9"/>
  <c r="C121" i="9"/>
  <c r="B121" i="9"/>
  <c r="A121" i="9"/>
  <c r="Q120" i="9"/>
  <c r="L120" i="9"/>
  <c r="K120" i="9"/>
  <c r="J120" i="9"/>
  <c r="I120" i="9"/>
  <c r="H120" i="9"/>
  <c r="G120" i="9"/>
  <c r="F120" i="9"/>
  <c r="D120" i="9"/>
  <c r="C120" i="9"/>
  <c r="B120" i="9"/>
  <c r="A120" i="9"/>
  <c r="Q119" i="9"/>
  <c r="L119" i="9"/>
  <c r="K119" i="9"/>
  <c r="J119" i="9"/>
  <c r="I119" i="9"/>
  <c r="H119" i="9"/>
  <c r="G119" i="9"/>
  <c r="M119" i="9" s="1"/>
  <c r="F119" i="9"/>
  <c r="D119" i="9"/>
  <c r="C119" i="9"/>
  <c r="B119" i="9"/>
  <c r="A119" i="9"/>
  <c r="Q118" i="9"/>
  <c r="L118" i="9"/>
  <c r="K118" i="9"/>
  <c r="J118" i="9"/>
  <c r="I118" i="9"/>
  <c r="H118" i="9"/>
  <c r="G118" i="9"/>
  <c r="F118" i="9"/>
  <c r="D118" i="9"/>
  <c r="C118" i="9"/>
  <c r="B118" i="9"/>
  <c r="A118" i="9"/>
  <c r="Q117" i="9"/>
  <c r="L117" i="9"/>
  <c r="K117" i="9"/>
  <c r="J117" i="9"/>
  <c r="I117" i="9"/>
  <c r="H117" i="9"/>
  <c r="G117" i="9"/>
  <c r="F117" i="9"/>
  <c r="D117" i="9"/>
  <c r="C117" i="9"/>
  <c r="B117" i="9"/>
  <c r="A117" i="9"/>
  <c r="Q116" i="9"/>
  <c r="L116" i="9"/>
  <c r="K116" i="9"/>
  <c r="J116" i="9"/>
  <c r="I116" i="9"/>
  <c r="H116" i="9"/>
  <c r="G116" i="9"/>
  <c r="F116" i="9"/>
  <c r="D116" i="9"/>
  <c r="C116" i="9"/>
  <c r="B116" i="9"/>
  <c r="A116" i="9"/>
  <c r="Q115" i="9"/>
  <c r="L115" i="9"/>
  <c r="K115" i="9"/>
  <c r="J115" i="9"/>
  <c r="I115" i="9"/>
  <c r="H115" i="9"/>
  <c r="G115" i="9"/>
  <c r="F115" i="9"/>
  <c r="D115" i="9"/>
  <c r="C115" i="9"/>
  <c r="B115" i="9"/>
  <c r="A115" i="9"/>
  <c r="Q114" i="9"/>
  <c r="L114" i="9"/>
  <c r="K114" i="9"/>
  <c r="J114" i="9"/>
  <c r="I114" i="9"/>
  <c r="H114" i="9"/>
  <c r="G114" i="9"/>
  <c r="F114" i="9"/>
  <c r="D114" i="9"/>
  <c r="C114" i="9"/>
  <c r="B114" i="9"/>
  <c r="A114" i="9"/>
  <c r="Q113" i="9"/>
  <c r="L113" i="9"/>
  <c r="K113" i="9"/>
  <c r="J113" i="9"/>
  <c r="I113" i="9"/>
  <c r="H113" i="9"/>
  <c r="G113" i="9"/>
  <c r="F113" i="9"/>
  <c r="D113" i="9"/>
  <c r="C113" i="9"/>
  <c r="B113" i="9"/>
  <c r="A113" i="9"/>
  <c r="Q112" i="9"/>
  <c r="L112" i="9"/>
  <c r="K112" i="9"/>
  <c r="J112" i="9"/>
  <c r="I112" i="9"/>
  <c r="H112" i="9"/>
  <c r="G112" i="9"/>
  <c r="F112" i="9"/>
  <c r="D112" i="9"/>
  <c r="C112" i="9"/>
  <c r="B112" i="9"/>
  <c r="A112" i="9"/>
  <c r="Q111" i="9"/>
  <c r="L111" i="9"/>
  <c r="K111" i="9"/>
  <c r="J111" i="9"/>
  <c r="I111" i="9"/>
  <c r="H111" i="9"/>
  <c r="G111" i="9"/>
  <c r="F111" i="9"/>
  <c r="D111" i="9"/>
  <c r="C111" i="9"/>
  <c r="B111" i="9"/>
  <c r="A111" i="9"/>
  <c r="Q110" i="9"/>
  <c r="L110" i="9"/>
  <c r="K110" i="9"/>
  <c r="J110" i="9"/>
  <c r="I110" i="9"/>
  <c r="H110" i="9"/>
  <c r="G110" i="9"/>
  <c r="F110" i="9"/>
  <c r="D110" i="9"/>
  <c r="C110" i="9"/>
  <c r="B110" i="9"/>
  <c r="A110" i="9"/>
  <c r="Q109" i="9"/>
  <c r="L109" i="9"/>
  <c r="K109" i="9"/>
  <c r="J109" i="9"/>
  <c r="I109" i="9"/>
  <c r="H109" i="9"/>
  <c r="G109" i="9"/>
  <c r="F109" i="9"/>
  <c r="D109" i="9"/>
  <c r="C109" i="9"/>
  <c r="B109" i="9"/>
  <c r="A109" i="9"/>
  <c r="Q108" i="9"/>
  <c r="L108" i="9"/>
  <c r="K108" i="9"/>
  <c r="J108" i="9"/>
  <c r="I108" i="9"/>
  <c r="H108" i="9"/>
  <c r="G108" i="9"/>
  <c r="F108" i="9"/>
  <c r="D108" i="9"/>
  <c r="C108" i="9"/>
  <c r="B108" i="9"/>
  <c r="A108" i="9"/>
  <c r="Q107" i="9"/>
  <c r="L107" i="9"/>
  <c r="K107" i="9"/>
  <c r="J107" i="9"/>
  <c r="I107" i="9"/>
  <c r="H107" i="9"/>
  <c r="G107" i="9"/>
  <c r="F107" i="9"/>
  <c r="D107" i="9"/>
  <c r="C107" i="9"/>
  <c r="B107" i="9"/>
  <c r="A107" i="9"/>
  <c r="Q106" i="9"/>
  <c r="L106" i="9"/>
  <c r="K106" i="9"/>
  <c r="J106" i="9"/>
  <c r="I106" i="9"/>
  <c r="H106" i="9"/>
  <c r="G106" i="9"/>
  <c r="F106" i="9"/>
  <c r="D106" i="9"/>
  <c r="C106" i="9"/>
  <c r="B106" i="9"/>
  <c r="A106" i="9"/>
  <c r="Q105" i="9"/>
  <c r="L105" i="9"/>
  <c r="K105" i="9"/>
  <c r="J105" i="9"/>
  <c r="I105" i="9"/>
  <c r="H105" i="9"/>
  <c r="G105" i="9"/>
  <c r="F105" i="9"/>
  <c r="D105" i="9"/>
  <c r="C105" i="9"/>
  <c r="B105" i="9"/>
  <c r="A105" i="9"/>
  <c r="Q104" i="9"/>
  <c r="L104" i="9"/>
  <c r="K104" i="9"/>
  <c r="J104" i="9"/>
  <c r="I104" i="9"/>
  <c r="H104" i="9"/>
  <c r="G104" i="9"/>
  <c r="F104" i="9"/>
  <c r="D104" i="9"/>
  <c r="C104" i="9"/>
  <c r="B104" i="9"/>
  <c r="A104" i="9"/>
  <c r="Q103" i="9"/>
  <c r="L103" i="9"/>
  <c r="K103" i="9"/>
  <c r="J103" i="9"/>
  <c r="I103" i="9"/>
  <c r="H103" i="9"/>
  <c r="G103" i="9"/>
  <c r="M103" i="9" s="1"/>
  <c r="O103" i="9" s="1"/>
  <c r="F103" i="9"/>
  <c r="D103" i="9"/>
  <c r="C103" i="9"/>
  <c r="B103" i="9"/>
  <c r="A103" i="9"/>
  <c r="Q102" i="9"/>
  <c r="L102" i="9"/>
  <c r="K102" i="9"/>
  <c r="J102" i="9"/>
  <c r="I102" i="9"/>
  <c r="H102" i="9"/>
  <c r="G102" i="9"/>
  <c r="F102" i="9"/>
  <c r="D102" i="9"/>
  <c r="C102" i="9"/>
  <c r="B102" i="9"/>
  <c r="A102" i="9"/>
  <c r="Q101" i="9"/>
  <c r="L101" i="9"/>
  <c r="K101" i="9"/>
  <c r="J101" i="9"/>
  <c r="I101" i="9"/>
  <c r="H101" i="9"/>
  <c r="G101" i="9"/>
  <c r="M101" i="9" s="1"/>
  <c r="O101" i="9" s="1"/>
  <c r="F101" i="9"/>
  <c r="D101" i="9"/>
  <c r="C101" i="9"/>
  <c r="B101" i="9"/>
  <c r="A101" i="9"/>
  <c r="Q100" i="9"/>
  <c r="L100" i="9"/>
  <c r="K100" i="9"/>
  <c r="J100" i="9"/>
  <c r="I100" i="9"/>
  <c r="H100" i="9"/>
  <c r="G100" i="9"/>
  <c r="F100" i="9"/>
  <c r="D100" i="9"/>
  <c r="C100" i="9"/>
  <c r="B100" i="9"/>
  <c r="A100" i="9"/>
  <c r="Q99" i="9"/>
  <c r="L99" i="9"/>
  <c r="K99" i="9"/>
  <c r="J99" i="9"/>
  <c r="I99" i="9"/>
  <c r="H99" i="9"/>
  <c r="G99" i="9"/>
  <c r="F99" i="9"/>
  <c r="D99" i="9"/>
  <c r="C99" i="9"/>
  <c r="B99" i="9"/>
  <c r="A99" i="9"/>
  <c r="Q98" i="9"/>
  <c r="L98" i="9"/>
  <c r="K98" i="9"/>
  <c r="J98" i="9"/>
  <c r="I98" i="9"/>
  <c r="H98" i="9"/>
  <c r="G98" i="9"/>
  <c r="F98" i="9"/>
  <c r="D98" i="9"/>
  <c r="C98" i="9"/>
  <c r="B98" i="9"/>
  <c r="A98" i="9"/>
  <c r="Q97" i="9"/>
  <c r="L97" i="9"/>
  <c r="K97" i="9"/>
  <c r="J97" i="9"/>
  <c r="I97" i="9"/>
  <c r="H97" i="9"/>
  <c r="G97" i="9"/>
  <c r="F97" i="9"/>
  <c r="D97" i="9"/>
  <c r="C97" i="9"/>
  <c r="B97" i="9"/>
  <c r="A97" i="9"/>
  <c r="Q96" i="9"/>
  <c r="L96" i="9"/>
  <c r="K96" i="9"/>
  <c r="J96" i="9"/>
  <c r="I96" i="9"/>
  <c r="H96" i="9"/>
  <c r="G96" i="9"/>
  <c r="F96" i="9"/>
  <c r="D96" i="9"/>
  <c r="C96" i="9"/>
  <c r="B96" i="9"/>
  <c r="A96" i="9"/>
  <c r="Q95" i="9"/>
  <c r="L95" i="9"/>
  <c r="K95" i="9"/>
  <c r="J95" i="9"/>
  <c r="I95" i="9"/>
  <c r="H95" i="9"/>
  <c r="G95" i="9"/>
  <c r="F95" i="9"/>
  <c r="D95" i="9"/>
  <c r="C95" i="9"/>
  <c r="B95" i="9"/>
  <c r="A95" i="9"/>
  <c r="Q94" i="9"/>
  <c r="L94" i="9"/>
  <c r="K94" i="9"/>
  <c r="J94" i="9"/>
  <c r="I94" i="9"/>
  <c r="H94" i="9"/>
  <c r="G94" i="9"/>
  <c r="F94" i="9"/>
  <c r="D94" i="9"/>
  <c r="C94" i="9"/>
  <c r="B94" i="9"/>
  <c r="A94" i="9"/>
  <c r="Q93" i="9"/>
  <c r="L93" i="9"/>
  <c r="K93" i="9"/>
  <c r="J93" i="9"/>
  <c r="I93" i="9"/>
  <c r="H93" i="9"/>
  <c r="G93" i="9"/>
  <c r="F93" i="9"/>
  <c r="D93" i="9"/>
  <c r="C93" i="9"/>
  <c r="B93" i="9"/>
  <c r="A93" i="9"/>
  <c r="Q92" i="9"/>
  <c r="L92" i="9"/>
  <c r="K92" i="9"/>
  <c r="J92" i="9"/>
  <c r="I92" i="9"/>
  <c r="H92" i="9"/>
  <c r="G92" i="9"/>
  <c r="F92" i="9"/>
  <c r="D92" i="9"/>
  <c r="C92" i="9"/>
  <c r="B92" i="9"/>
  <c r="A92" i="9"/>
  <c r="Q91" i="9"/>
  <c r="L91" i="9"/>
  <c r="K91" i="9"/>
  <c r="J91" i="9"/>
  <c r="I91" i="9"/>
  <c r="H91" i="9"/>
  <c r="G91" i="9"/>
  <c r="F91" i="9"/>
  <c r="D91" i="9"/>
  <c r="C91" i="9"/>
  <c r="B91" i="9"/>
  <c r="A91" i="9"/>
  <c r="Q90" i="9"/>
  <c r="L90" i="9"/>
  <c r="K90" i="9"/>
  <c r="J90" i="9"/>
  <c r="I90" i="9"/>
  <c r="H90" i="9"/>
  <c r="G90" i="9"/>
  <c r="F90" i="9"/>
  <c r="D90" i="9"/>
  <c r="C90" i="9"/>
  <c r="B90" i="9"/>
  <c r="A90" i="9"/>
  <c r="Q89" i="9"/>
  <c r="L89" i="9"/>
  <c r="K89" i="9"/>
  <c r="J89" i="9"/>
  <c r="I89" i="9"/>
  <c r="H89" i="9"/>
  <c r="G89" i="9"/>
  <c r="F89" i="9"/>
  <c r="D89" i="9"/>
  <c r="C89" i="9"/>
  <c r="B89" i="9"/>
  <c r="A89" i="9"/>
  <c r="Q88" i="9"/>
  <c r="L88" i="9"/>
  <c r="K88" i="9"/>
  <c r="J88" i="9"/>
  <c r="I88" i="9"/>
  <c r="H88" i="9"/>
  <c r="G88" i="9"/>
  <c r="F88" i="9"/>
  <c r="D88" i="9"/>
  <c r="C88" i="9"/>
  <c r="B88" i="9"/>
  <c r="A88" i="9"/>
  <c r="Q87" i="9"/>
  <c r="L87" i="9"/>
  <c r="K87" i="9"/>
  <c r="J87" i="9"/>
  <c r="I87" i="9"/>
  <c r="H87" i="9"/>
  <c r="G87" i="9"/>
  <c r="F87" i="9"/>
  <c r="D87" i="9"/>
  <c r="C87" i="9"/>
  <c r="B87" i="9"/>
  <c r="A87" i="9"/>
  <c r="Q86" i="9"/>
  <c r="L86" i="9"/>
  <c r="K86" i="9"/>
  <c r="J86" i="9"/>
  <c r="I86" i="9"/>
  <c r="H86" i="9"/>
  <c r="G86" i="9"/>
  <c r="F86" i="9"/>
  <c r="D86" i="9"/>
  <c r="C86" i="9"/>
  <c r="B86" i="9"/>
  <c r="A86" i="9"/>
  <c r="Q85" i="9"/>
  <c r="L85" i="9"/>
  <c r="K85" i="9"/>
  <c r="J85" i="9"/>
  <c r="I85" i="9"/>
  <c r="H85" i="9"/>
  <c r="G85" i="9"/>
  <c r="F85" i="9"/>
  <c r="D85" i="9"/>
  <c r="C85" i="9"/>
  <c r="B85" i="9"/>
  <c r="A85" i="9"/>
  <c r="Q84" i="9"/>
  <c r="L84" i="9"/>
  <c r="K84" i="9"/>
  <c r="J84" i="9"/>
  <c r="I84" i="9"/>
  <c r="H84" i="9"/>
  <c r="G84" i="9"/>
  <c r="F84" i="9"/>
  <c r="D84" i="9"/>
  <c r="C84" i="9"/>
  <c r="B84" i="9"/>
  <c r="A84" i="9"/>
  <c r="Q83" i="9"/>
  <c r="L83" i="9"/>
  <c r="K83" i="9"/>
  <c r="J83" i="9"/>
  <c r="I83" i="9"/>
  <c r="H83" i="9"/>
  <c r="G83" i="9"/>
  <c r="F83" i="9"/>
  <c r="D83" i="9"/>
  <c r="C83" i="9"/>
  <c r="B83" i="9"/>
  <c r="A83" i="9"/>
  <c r="Q82" i="9"/>
  <c r="L82" i="9"/>
  <c r="K82" i="9"/>
  <c r="J82" i="9"/>
  <c r="I82" i="9"/>
  <c r="H82" i="9"/>
  <c r="G82" i="9"/>
  <c r="F82" i="9"/>
  <c r="D82" i="9"/>
  <c r="C82" i="9"/>
  <c r="B82" i="9"/>
  <c r="A82" i="9"/>
  <c r="Q81" i="9"/>
  <c r="L81" i="9"/>
  <c r="K81" i="9"/>
  <c r="J81" i="9"/>
  <c r="I81" i="9"/>
  <c r="H81" i="9"/>
  <c r="G81" i="9"/>
  <c r="F81" i="9"/>
  <c r="D81" i="9"/>
  <c r="C81" i="9"/>
  <c r="B81" i="9"/>
  <c r="A81" i="9"/>
  <c r="Q80" i="9"/>
  <c r="L80" i="9"/>
  <c r="K80" i="9"/>
  <c r="J80" i="9"/>
  <c r="I80" i="9"/>
  <c r="H80" i="9"/>
  <c r="G80" i="9"/>
  <c r="F80" i="9"/>
  <c r="D80" i="9"/>
  <c r="C80" i="9"/>
  <c r="B80" i="9"/>
  <c r="A80" i="9"/>
  <c r="Q79" i="9"/>
  <c r="L79" i="9"/>
  <c r="K79" i="9"/>
  <c r="J79" i="9"/>
  <c r="I79" i="9"/>
  <c r="H79" i="9"/>
  <c r="G79" i="9"/>
  <c r="M79" i="9" s="1"/>
  <c r="O79" i="9" s="1"/>
  <c r="F79" i="9"/>
  <c r="D79" i="9"/>
  <c r="C79" i="9"/>
  <c r="B79" i="9"/>
  <c r="A79" i="9"/>
  <c r="Q78" i="9"/>
  <c r="L78" i="9"/>
  <c r="K78" i="9"/>
  <c r="J78" i="9"/>
  <c r="I78" i="9"/>
  <c r="H78" i="9"/>
  <c r="G78" i="9"/>
  <c r="F78" i="9"/>
  <c r="D78" i="9"/>
  <c r="C78" i="9"/>
  <c r="B78" i="9"/>
  <c r="A78" i="9"/>
  <c r="Q77" i="9"/>
  <c r="L77" i="9"/>
  <c r="K77" i="9"/>
  <c r="J77" i="9"/>
  <c r="I77" i="9"/>
  <c r="H77" i="9"/>
  <c r="G77" i="9"/>
  <c r="M77" i="9" s="1"/>
  <c r="F77" i="9"/>
  <c r="D77" i="9"/>
  <c r="C77" i="9"/>
  <c r="B77" i="9"/>
  <c r="A77" i="9"/>
  <c r="Q76" i="9"/>
  <c r="L76" i="9"/>
  <c r="K76" i="9"/>
  <c r="J76" i="9"/>
  <c r="I76" i="9"/>
  <c r="H76" i="9"/>
  <c r="G76" i="9"/>
  <c r="F76" i="9"/>
  <c r="D76" i="9"/>
  <c r="C76" i="9"/>
  <c r="B76" i="9"/>
  <c r="A76" i="9"/>
  <c r="Q75" i="9"/>
  <c r="L75" i="9"/>
  <c r="K75" i="9"/>
  <c r="J75" i="9"/>
  <c r="I75" i="9"/>
  <c r="H75" i="9"/>
  <c r="G75" i="9"/>
  <c r="F75" i="9"/>
  <c r="D75" i="9"/>
  <c r="C75" i="9"/>
  <c r="B75" i="9"/>
  <c r="A75" i="9"/>
  <c r="Q74" i="9"/>
  <c r="L74" i="9"/>
  <c r="K74" i="9"/>
  <c r="J74" i="9"/>
  <c r="I74" i="9"/>
  <c r="H74" i="9"/>
  <c r="G74" i="9"/>
  <c r="F74" i="9"/>
  <c r="D74" i="9"/>
  <c r="C74" i="9"/>
  <c r="B74" i="9"/>
  <c r="A74" i="9"/>
  <c r="Q73" i="9"/>
  <c r="L73" i="9"/>
  <c r="K73" i="9"/>
  <c r="J73" i="9"/>
  <c r="I73" i="9"/>
  <c r="H73" i="9"/>
  <c r="G73" i="9"/>
  <c r="F73" i="9"/>
  <c r="D73" i="9"/>
  <c r="C73" i="9"/>
  <c r="B73" i="9"/>
  <c r="A73" i="9"/>
  <c r="Q72" i="9"/>
  <c r="L72" i="9"/>
  <c r="K72" i="9"/>
  <c r="J72" i="9"/>
  <c r="I72" i="9"/>
  <c r="H72" i="9"/>
  <c r="G72" i="9"/>
  <c r="F72" i="9"/>
  <c r="D72" i="9"/>
  <c r="C72" i="9"/>
  <c r="B72" i="9"/>
  <c r="A72" i="9"/>
  <c r="Q71" i="9"/>
  <c r="L71" i="9"/>
  <c r="K71" i="9"/>
  <c r="J71" i="9"/>
  <c r="I71" i="9"/>
  <c r="H71" i="9"/>
  <c r="G71" i="9"/>
  <c r="F71" i="9"/>
  <c r="D71" i="9"/>
  <c r="C71" i="9"/>
  <c r="B71" i="9"/>
  <c r="A71" i="9"/>
  <c r="Q70" i="9"/>
  <c r="L70" i="9"/>
  <c r="K70" i="9"/>
  <c r="J70" i="9"/>
  <c r="I70" i="9"/>
  <c r="H70" i="9"/>
  <c r="G70" i="9"/>
  <c r="F70" i="9"/>
  <c r="D70" i="9"/>
  <c r="C70" i="9"/>
  <c r="B70" i="9"/>
  <c r="M70" i="9" s="1"/>
  <c r="A70" i="9"/>
  <c r="Q69" i="9"/>
  <c r="L69" i="9"/>
  <c r="K69" i="9"/>
  <c r="J69" i="9"/>
  <c r="I69" i="9"/>
  <c r="H69" i="9"/>
  <c r="G69" i="9"/>
  <c r="F69" i="9"/>
  <c r="D69" i="9"/>
  <c r="C69" i="9"/>
  <c r="B69" i="9"/>
  <c r="M69" i="9" s="1"/>
  <c r="P69" i="9" s="1"/>
  <c r="A69" i="9"/>
  <c r="Q68" i="9"/>
  <c r="L68" i="9"/>
  <c r="K68" i="9"/>
  <c r="J68" i="9"/>
  <c r="I68" i="9"/>
  <c r="H68" i="9"/>
  <c r="G68" i="9"/>
  <c r="F68" i="9"/>
  <c r="D68" i="9"/>
  <c r="C68" i="9"/>
  <c r="B68" i="9"/>
  <c r="A68" i="9"/>
  <c r="Q67" i="9"/>
  <c r="L67" i="9"/>
  <c r="K67" i="9"/>
  <c r="J67" i="9"/>
  <c r="I67" i="9"/>
  <c r="H67" i="9"/>
  <c r="G67" i="9"/>
  <c r="F67" i="9"/>
  <c r="D67" i="9"/>
  <c r="C67" i="9"/>
  <c r="B67" i="9"/>
  <c r="A67" i="9"/>
  <c r="Q66" i="9"/>
  <c r="L66" i="9"/>
  <c r="K66" i="9"/>
  <c r="J66" i="9"/>
  <c r="I66" i="9"/>
  <c r="H66" i="9"/>
  <c r="G66" i="9"/>
  <c r="F66" i="9"/>
  <c r="D66" i="9"/>
  <c r="C66" i="9"/>
  <c r="B66" i="9"/>
  <c r="A66" i="9"/>
  <c r="Q65" i="9"/>
  <c r="L65" i="9"/>
  <c r="K65" i="9"/>
  <c r="J65" i="9"/>
  <c r="I65" i="9"/>
  <c r="H65" i="9"/>
  <c r="G65" i="9"/>
  <c r="F65" i="9"/>
  <c r="D65" i="9"/>
  <c r="C65" i="9"/>
  <c r="B65" i="9"/>
  <c r="M65" i="9" s="1"/>
  <c r="P65" i="9" s="1"/>
  <c r="A65" i="9"/>
  <c r="Q64" i="9"/>
  <c r="L64" i="9"/>
  <c r="K64" i="9"/>
  <c r="J64" i="9"/>
  <c r="I64" i="9"/>
  <c r="H64" i="9"/>
  <c r="G64" i="9"/>
  <c r="F64" i="9"/>
  <c r="D64" i="9"/>
  <c r="C64" i="9"/>
  <c r="B64" i="9"/>
  <c r="A64" i="9"/>
  <c r="Q63" i="9"/>
  <c r="L63" i="9"/>
  <c r="K63" i="9"/>
  <c r="J63" i="9"/>
  <c r="I63" i="9"/>
  <c r="H63" i="9"/>
  <c r="G63" i="9"/>
  <c r="F63" i="9"/>
  <c r="D63" i="9"/>
  <c r="C63" i="9"/>
  <c r="B63" i="9"/>
  <c r="A63" i="9"/>
  <c r="Q62" i="9"/>
  <c r="L62" i="9"/>
  <c r="K62" i="9"/>
  <c r="J62" i="9"/>
  <c r="I62" i="9"/>
  <c r="H62" i="9"/>
  <c r="G62" i="9"/>
  <c r="F62" i="9"/>
  <c r="D62" i="9"/>
  <c r="C62" i="9"/>
  <c r="B62" i="9"/>
  <c r="A62" i="9"/>
  <c r="Q61" i="9"/>
  <c r="L61" i="9"/>
  <c r="K61" i="9"/>
  <c r="J61" i="9"/>
  <c r="I61" i="9"/>
  <c r="M61" i="9" s="1"/>
  <c r="P61" i="9" s="1"/>
  <c r="H61" i="9"/>
  <c r="G61" i="9"/>
  <c r="F61" i="9"/>
  <c r="D61" i="9"/>
  <c r="C61" i="9"/>
  <c r="B61" i="9"/>
  <c r="A61" i="9"/>
  <c r="Q60" i="9"/>
  <c r="L60" i="9"/>
  <c r="K60" i="9"/>
  <c r="J60" i="9"/>
  <c r="I60" i="9"/>
  <c r="H60" i="9"/>
  <c r="G60" i="9"/>
  <c r="F60" i="9"/>
  <c r="D60" i="9"/>
  <c r="C60" i="9"/>
  <c r="B60" i="9"/>
  <c r="A60" i="9"/>
  <c r="Q59" i="9"/>
  <c r="L59" i="9"/>
  <c r="K59" i="9"/>
  <c r="J59" i="9"/>
  <c r="I59" i="9"/>
  <c r="H59" i="9"/>
  <c r="G59" i="9"/>
  <c r="F59" i="9"/>
  <c r="D59" i="9"/>
  <c r="C59" i="9"/>
  <c r="B59" i="9"/>
  <c r="A59" i="9"/>
  <c r="Q58" i="9"/>
  <c r="L58" i="9"/>
  <c r="K58" i="9"/>
  <c r="J58" i="9"/>
  <c r="I58" i="9"/>
  <c r="H58" i="9"/>
  <c r="G58" i="9"/>
  <c r="M58" i="9" s="1"/>
  <c r="P58" i="9" s="1"/>
  <c r="F58" i="9"/>
  <c r="D58" i="9"/>
  <c r="C58" i="9"/>
  <c r="B58" i="9"/>
  <c r="A58" i="9"/>
  <c r="Q57" i="9"/>
  <c r="L57" i="9"/>
  <c r="K57" i="9"/>
  <c r="J57" i="9"/>
  <c r="I57" i="9"/>
  <c r="M57" i="9" s="1"/>
  <c r="P57" i="9" s="1"/>
  <c r="H57" i="9"/>
  <c r="G57" i="9"/>
  <c r="F57" i="9"/>
  <c r="D57" i="9"/>
  <c r="C57" i="9"/>
  <c r="B57" i="9"/>
  <c r="A57" i="9"/>
  <c r="Q56" i="9"/>
  <c r="L56" i="9"/>
  <c r="K56" i="9"/>
  <c r="J56" i="9"/>
  <c r="I56" i="9"/>
  <c r="H56" i="9"/>
  <c r="G56" i="9"/>
  <c r="F56" i="9"/>
  <c r="D56" i="9"/>
  <c r="C56" i="9"/>
  <c r="B56" i="9"/>
  <c r="A56" i="9"/>
  <c r="Q55" i="9"/>
  <c r="L55" i="9"/>
  <c r="K55" i="9"/>
  <c r="J55" i="9"/>
  <c r="I55" i="9"/>
  <c r="H55" i="9"/>
  <c r="G55" i="9"/>
  <c r="F55" i="9"/>
  <c r="D55" i="9"/>
  <c r="C55" i="9"/>
  <c r="B55" i="9"/>
  <c r="A55" i="9"/>
  <c r="Q54" i="9"/>
  <c r="L54" i="9"/>
  <c r="K54" i="9"/>
  <c r="J54" i="9"/>
  <c r="I54" i="9"/>
  <c r="H54" i="9"/>
  <c r="G54" i="9"/>
  <c r="F54" i="9"/>
  <c r="D54" i="9"/>
  <c r="C54" i="9"/>
  <c r="B54" i="9"/>
  <c r="A54" i="9"/>
  <c r="Q53" i="9"/>
  <c r="L53" i="9"/>
  <c r="K53" i="9"/>
  <c r="J53" i="9"/>
  <c r="I53" i="9"/>
  <c r="M53" i="9" s="1"/>
  <c r="P53" i="9" s="1"/>
  <c r="H53" i="9"/>
  <c r="G53" i="9"/>
  <c r="F53" i="9"/>
  <c r="D53" i="9"/>
  <c r="C53" i="9"/>
  <c r="B53" i="9"/>
  <c r="A53" i="9"/>
  <c r="Q52" i="9"/>
  <c r="L52" i="9"/>
  <c r="K52" i="9"/>
  <c r="J52" i="9"/>
  <c r="I52" i="9"/>
  <c r="H52" i="9"/>
  <c r="G52" i="9"/>
  <c r="F52" i="9"/>
  <c r="D52" i="9"/>
  <c r="C52" i="9"/>
  <c r="B52" i="9"/>
  <c r="A52" i="9"/>
  <c r="Q51" i="9"/>
  <c r="L51" i="9"/>
  <c r="K51" i="9"/>
  <c r="J51" i="9"/>
  <c r="I51" i="9"/>
  <c r="H51" i="9"/>
  <c r="G51" i="9"/>
  <c r="F51" i="9"/>
  <c r="D51" i="9"/>
  <c r="C51" i="9"/>
  <c r="B51" i="9"/>
  <c r="A51" i="9"/>
  <c r="Q50" i="9"/>
  <c r="L50" i="9"/>
  <c r="K50" i="9"/>
  <c r="J50" i="9"/>
  <c r="I50" i="9"/>
  <c r="H50" i="9"/>
  <c r="G50" i="9"/>
  <c r="M50" i="9" s="1"/>
  <c r="P50" i="9" s="1"/>
  <c r="F50" i="9"/>
  <c r="D50" i="9"/>
  <c r="C50" i="9"/>
  <c r="B50" i="9"/>
  <c r="A50" i="9"/>
  <c r="Q49" i="9"/>
  <c r="L49" i="9"/>
  <c r="K49" i="9"/>
  <c r="J49" i="9"/>
  <c r="I49" i="9"/>
  <c r="H49" i="9"/>
  <c r="G49" i="9"/>
  <c r="F49" i="9"/>
  <c r="D49" i="9"/>
  <c r="C49" i="9"/>
  <c r="B49" i="9"/>
  <c r="M49" i="9" s="1"/>
  <c r="A49" i="9"/>
  <c r="Q48" i="9"/>
  <c r="L48" i="9"/>
  <c r="K48" i="9"/>
  <c r="J48" i="9"/>
  <c r="I48" i="9"/>
  <c r="H48" i="9"/>
  <c r="G48" i="9"/>
  <c r="F48" i="9"/>
  <c r="D48" i="9"/>
  <c r="C48" i="9"/>
  <c r="B48" i="9"/>
  <c r="A48" i="9"/>
  <c r="Q47" i="9"/>
  <c r="L47" i="9"/>
  <c r="K47" i="9"/>
  <c r="J47" i="9"/>
  <c r="I47" i="9"/>
  <c r="H47" i="9"/>
  <c r="G47" i="9"/>
  <c r="F47" i="9"/>
  <c r="D47" i="9"/>
  <c r="C47" i="9"/>
  <c r="B47" i="9"/>
  <c r="A47" i="9"/>
  <c r="Q46" i="9"/>
  <c r="L46" i="9"/>
  <c r="K46" i="9"/>
  <c r="J46" i="9"/>
  <c r="I46" i="9"/>
  <c r="H46" i="9"/>
  <c r="G46" i="9"/>
  <c r="F46" i="9"/>
  <c r="D46" i="9"/>
  <c r="C46" i="9"/>
  <c r="B46" i="9"/>
  <c r="A46" i="9"/>
  <c r="Q45" i="9"/>
  <c r="L45" i="9"/>
  <c r="K45" i="9"/>
  <c r="J45" i="9"/>
  <c r="I45" i="9"/>
  <c r="H45" i="9"/>
  <c r="G45" i="9"/>
  <c r="F45" i="9"/>
  <c r="D45" i="9"/>
  <c r="C45" i="9"/>
  <c r="B45" i="9"/>
  <c r="A45" i="9"/>
  <c r="Q44" i="9"/>
  <c r="L44" i="9"/>
  <c r="K44" i="9"/>
  <c r="J44" i="9"/>
  <c r="I44" i="9"/>
  <c r="H44" i="9"/>
  <c r="G44" i="9"/>
  <c r="F44" i="9"/>
  <c r="D44" i="9"/>
  <c r="C44" i="9"/>
  <c r="B44" i="9"/>
  <c r="M44" i="9" s="1"/>
  <c r="P44" i="9" s="1"/>
  <c r="A44" i="9"/>
  <c r="Q43" i="9"/>
  <c r="L43" i="9"/>
  <c r="K43" i="9"/>
  <c r="J43" i="9"/>
  <c r="I43" i="9"/>
  <c r="H43" i="9"/>
  <c r="G43" i="9"/>
  <c r="F43" i="9"/>
  <c r="D43" i="9"/>
  <c r="C43" i="9"/>
  <c r="B43" i="9"/>
  <c r="A43" i="9"/>
  <c r="Q42" i="9"/>
  <c r="L42" i="9"/>
  <c r="K42" i="9"/>
  <c r="J42" i="9"/>
  <c r="I42" i="9"/>
  <c r="H42" i="9"/>
  <c r="G42" i="9"/>
  <c r="M42" i="9" s="1"/>
  <c r="P42" i="9" s="1"/>
  <c r="F42" i="9"/>
  <c r="D42" i="9"/>
  <c r="C42" i="9"/>
  <c r="B42" i="9"/>
  <c r="A42" i="9"/>
  <c r="Q41" i="9"/>
  <c r="L41" i="9"/>
  <c r="K41" i="9"/>
  <c r="J41" i="9"/>
  <c r="I41" i="9"/>
  <c r="H41" i="9"/>
  <c r="G41" i="9"/>
  <c r="F41" i="9"/>
  <c r="D41" i="9"/>
  <c r="C41" i="9"/>
  <c r="B41" i="9"/>
  <c r="A41" i="9"/>
  <c r="Q40" i="9"/>
  <c r="L40" i="9"/>
  <c r="K40" i="9"/>
  <c r="J40" i="9"/>
  <c r="I40" i="9"/>
  <c r="H40" i="9"/>
  <c r="G40" i="9"/>
  <c r="F40" i="9"/>
  <c r="D40" i="9"/>
  <c r="C40" i="9"/>
  <c r="B40" i="9"/>
  <c r="A40" i="9"/>
  <c r="Q39" i="9"/>
  <c r="L39" i="9"/>
  <c r="K39" i="9"/>
  <c r="J39" i="9"/>
  <c r="I39" i="9"/>
  <c r="H39" i="9"/>
  <c r="G39" i="9"/>
  <c r="F39" i="9"/>
  <c r="D39" i="9"/>
  <c r="C39" i="9"/>
  <c r="B39" i="9"/>
  <c r="M39" i="9" s="1"/>
  <c r="P39" i="9" s="1"/>
  <c r="A39" i="9"/>
  <c r="Q38" i="9"/>
  <c r="L38" i="9"/>
  <c r="K38" i="9"/>
  <c r="J38" i="9"/>
  <c r="I38" i="9"/>
  <c r="H38" i="9"/>
  <c r="G38" i="9"/>
  <c r="F38" i="9"/>
  <c r="D38" i="9"/>
  <c r="C38" i="9"/>
  <c r="B38" i="9"/>
  <c r="A38" i="9"/>
  <c r="Q37" i="9"/>
  <c r="M37" i="9"/>
  <c r="L37" i="9"/>
  <c r="K37" i="9"/>
  <c r="J37" i="9"/>
  <c r="I37" i="9"/>
  <c r="H37" i="9"/>
  <c r="G37" i="9"/>
  <c r="F37" i="9"/>
  <c r="D37" i="9"/>
  <c r="C37" i="9"/>
  <c r="B37" i="9"/>
  <c r="A37" i="9"/>
  <c r="Q36" i="9"/>
  <c r="L36" i="9"/>
  <c r="K36" i="9"/>
  <c r="J36" i="9"/>
  <c r="I36" i="9"/>
  <c r="H36" i="9"/>
  <c r="G36" i="9"/>
  <c r="F36" i="9"/>
  <c r="D36" i="9"/>
  <c r="C36" i="9"/>
  <c r="B36" i="9"/>
  <c r="A36" i="9"/>
  <c r="Q35" i="9"/>
  <c r="L35" i="9"/>
  <c r="K35" i="9"/>
  <c r="J35" i="9"/>
  <c r="I35" i="9"/>
  <c r="H35" i="9"/>
  <c r="G35" i="9"/>
  <c r="F35" i="9"/>
  <c r="D35" i="9"/>
  <c r="C35" i="9"/>
  <c r="B35" i="9"/>
  <c r="A35" i="9"/>
  <c r="Q34" i="9"/>
  <c r="L34" i="9"/>
  <c r="K34" i="9"/>
  <c r="J34" i="9"/>
  <c r="I34" i="9"/>
  <c r="H34" i="9"/>
  <c r="G34" i="9"/>
  <c r="F34" i="9"/>
  <c r="D34" i="9"/>
  <c r="C34" i="9"/>
  <c r="B34" i="9"/>
  <c r="A34" i="9"/>
  <c r="Q33" i="9"/>
  <c r="M33" i="9"/>
  <c r="L33" i="9"/>
  <c r="K33" i="9"/>
  <c r="J33" i="9"/>
  <c r="I33" i="9"/>
  <c r="H33" i="9"/>
  <c r="G33" i="9"/>
  <c r="F33" i="9"/>
  <c r="D33" i="9"/>
  <c r="C33" i="9"/>
  <c r="B33" i="9"/>
  <c r="A33" i="9"/>
  <c r="Q32" i="9"/>
  <c r="L32" i="9"/>
  <c r="K32" i="9"/>
  <c r="J32" i="9"/>
  <c r="I32" i="9"/>
  <c r="H32" i="9"/>
  <c r="G32" i="9"/>
  <c r="F32" i="9"/>
  <c r="D32" i="9"/>
  <c r="C32" i="9"/>
  <c r="B32" i="9"/>
  <c r="A32" i="9"/>
  <c r="Q31" i="9"/>
  <c r="L31" i="9"/>
  <c r="K31" i="9"/>
  <c r="J31" i="9"/>
  <c r="I31" i="9"/>
  <c r="H31" i="9"/>
  <c r="G31" i="9"/>
  <c r="F31" i="9"/>
  <c r="D31" i="9"/>
  <c r="C31" i="9"/>
  <c r="B31" i="9"/>
  <c r="A31" i="9"/>
  <c r="Q30" i="9"/>
  <c r="L30" i="9"/>
  <c r="K30" i="9"/>
  <c r="J30" i="9"/>
  <c r="I30" i="9"/>
  <c r="H30" i="9"/>
  <c r="G30" i="9"/>
  <c r="F30" i="9"/>
  <c r="D30" i="9"/>
  <c r="C30" i="9"/>
  <c r="B30" i="9"/>
  <c r="A30" i="9"/>
  <c r="Q29" i="9"/>
  <c r="L29" i="9"/>
  <c r="K29" i="9"/>
  <c r="J29" i="9"/>
  <c r="I29" i="9"/>
  <c r="H29" i="9"/>
  <c r="G29" i="9"/>
  <c r="M29" i="9" s="1"/>
  <c r="P29" i="9" s="1"/>
  <c r="F29" i="9"/>
  <c r="D29" i="9"/>
  <c r="C29" i="9"/>
  <c r="B29" i="9"/>
  <c r="A29" i="9"/>
  <c r="Q28" i="9"/>
  <c r="L28" i="9"/>
  <c r="K28" i="9"/>
  <c r="J28" i="9"/>
  <c r="I28" i="9"/>
  <c r="H28" i="9"/>
  <c r="G28" i="9"/>
  <c r="F28" i="9"/>
  <c r="D28" i="9"/>
  <c r="C28" i="9"/>
  <c r="B28" i="9"/>
  <c r="A28" i="9"/>
  <c r="Q27" i="9"/>
  <c r="L27" i="9"/>
  <c r="K27" i="9"/>
  <c r="J27" i="9"/>
  <c r="I27" i="9"/>
  <c r="H27" i="9"/>
  <c r="G27" i="9"/>
  <c r="F27" i="9"/>
  <c r="D27" i="9"/>
  <c r="C27" i="9"/>
  <c r="B27" i="9"/>
  <c r="A27" i="9"/>
  <c r="Q26" i="9"/>
  <c r="L26" i="9"/>
  <c r="K26" i="9"/>
  <c r="J26" i="9"/>
  <c r="I26" i="9"/>
  <c r="H26" i="9"/>
  <c r="G26" i="9"/>
  <c r="F26" i="9"/>
  <c r="D26" i="9"/>
  <c r="C26" i="9"/>
  <c r="B26" i="9"/>
  <c r="A26" i="9"/>
  <c r="Q25" i="9"/>
  <c r="L25" i="9"/>
  <c r="K25" i="9"/>
  <c r="J25" i="9"/>
  <c r="I25" i="9"/>
  <c r="H25" i="9"/>
  <c r="G25" i="9"/>
  <c r="F25" i="9"/>
  <c r="D25" i="9"/>
  <c r="C25" i="9"/>
  <c r="B25" i="9"/>
  <c r="A25" i="9"/>
  <c r="Q24" i="9"/>
  <c r="L24" i="9"/>
  <c r="K24" i="9"/>
  <c r="J24" i="9"/>
  <c r="I24" i="9"/>
  <c r="H24" i="9"/>
  <c r="G24" i="9"/>
  <c r="F24" i="9"/>
  <c r="D24" i="9"/>
  <c r="C24" i="9"/>
  <c r="B24" i="9"/>
  <c r="A24" i="9"/>
  <c r="Q23" i="9"/>
  <c r="L23" i="9"/>
  <c r="K23" i="9"/>
  <c r="J23" i="9"/>
  <c r="I23" i="9"/>
  <c r="H23" i="9"/>
  <c r="G23" i="9"/>
  <c r="F23" i="9"/>
  <c r="D23" i="9"/>
  <c r="C23" i="9"/>
  <c r="B23" i="9"/>
  <c r="A23" i="9"/>
  <c r="Q22" i="9"/>
  <c r="L22" i="9"/>
  <c r="K22" i="9"/>
  <c r="J22" i="9"/>
  <c r="I22" i="9"/>
  <c r="H22" i="9"/>
  <c r="G22" i="9"/>
  <c r="F22" i="9"/>
  <c r="D22" i="9"/>
  <c r="C22" i="9"/>
  <c r="B22" i="9"/>
  <c r="A22" i="9"/>
  <c r="Q21" i="9"/>
  <c r="L21" i="9"/>
  <c r="K21" i="9"/>
  <c r="J21" i="9"/>
  <c r="I21" i="9"/>
  <c r="H21" i="9"/>
  <c r="G21" i="9"/>
  <c r="F21" i="9"/>
  <c r="D21" i="9"/>
  <c r="C21" i="9"/>
  <c r="B21" i="9"/>
  <c r="A21" i="9"/>
  <c r="Q20" i="9"/>
  <c r="L20" i="9"/>
  <c r="K20" i="9"/>
  <c r="J20" i="9"/>
  <c r="M20" i="9" s="1"/>
  <c r="P20" i="9" s="1"/>
  <c r="I20" i="9"/>
  <c r="H20" i="9"/>
  <c r="G20" i="9"/>
  <c r="F20" i="9"/>
  <c r="D20" i="9"/>
  <c r="C20" i="9"/>
  <c r="B20" i="9"/>
  <c r="A20" i="9"/>
  <c r="Q19" i="9"/>
  <c r="L19" i="9"/>
  <c r="K19" i="9"/>
  <c r="J19" i="9"/>
  <c r="I19" i="9"/>
  <c r="H19" i="9"/>
  <c r="G19" i="9"/>
  <c r="F19" i="9"/>
  <c r="D19" i="9"/>
  <c r="C19" i="9"/>
  <c r="B19" i="9"/>
  <c r="A19" i="9"/>
  <c r="Q18" i="9"/>
  <c r="L18" i="9"/>
  <c r="K18" i="9"/>
  <c r="J18" i="9"/>
  <c r="I18" i="9"/>
  <c r="H18" i="9"/>
  <c r="G18" i="9"/>
  <c r="F18" i="9"/>
  <c r="D18" i="9"/>
  <c r="C18" i="9"/>
  <c r="B18" i="9"/>
  <c r="A18" i="9"/>
  <c r="Q17" i="9"/>
  <c r="L17" i="9"/>
  <c r="K17" i="9"/>
  <c r="J17" i="9"/>
  <c r="I17" i="9"/>
  <c r="H17" i="9"/>
  <c r="G17" i="9"/>
  <c r="F17" i="9"/>
  <c r="D17" i="9"/>
  <c r="C17" i="9"/>
  <c r="B17" i="9"/>
  <c r="M17" i="9" s="1"/>
  <c r="P17" i="9" s="1"/>
  <c r="A17" i="9"/>
  <c r="Q16" i="9"/>
  <c r="L16" i="9"/>
  <c r="K16" i="9"/>
  <c r="J16" i="9"/>
  <c r="I16" i="9"/>
  <c r="H16" i="9"/>
  <c r="G16" i="9"/>
  <c r="F16" i="9"/>
  <c r="D16" i="9"/>
  <c r="C16" i="9"/>
  <c r="B16" i="9"/>
  <c r="A16" i="9"/>
  <c r="Q15" i="9"/>
  <c r="L15" i="9"/>
  <c r="K15" i="9"/>
  <c r="J15" i="9"/>
  <c r="I15" i="9"/>
  <c r="H15" i="9"/>
  <c r="G15" i="9"/>
  <c r="F15" i="9"/>
  <c r="D15" i="9"/>
  <c r="C15" i="9"/>
  <c r="B15" i="9"/>
  <c r="A15" i="9"/>
  <c r="Q14" i="9"/>
  <c r="L14" i="9"/>
  <c r="K14" i="9"/>
  <c r="J14" i="9"/>
  <c r="I14" i="9"/>
  <c r="H14" i="9"/>
  <c r="G14" i="9"/>
  <c r="F14" i="9"/>
  <c r="D14" i="9"/>
  <c r="C14" i="9"/>
  <c r="B14" i="9"/>
  <c r="A14" i="9"/>
  <c r="Q13" i="9"/>
  <c r="L13" i="9"/>
  <c r="K13" i="9"/>
  <c r="J13" i="9"/>
  <c r="I13" i="9"/>
  <c r="H13" i="9"/>
  <c r="G13" i="9"/>
  <c r="F13" i="9"/>
  <c r="D13" i="9"/>
  <c r="C13" i="9"/>
  <c r="B13" i="9"/>
  <c r="A13" i="9"/>
  <c r="Q12" i="9"/>
  <c r="L12" i="9"/>
  <c r="K12" i="9"/>
  <c r="J12" i="9"/>
  <c r="I12" i="9"/>
  <c r="H12" i="9"/>
  <c r="G12" i="9"/>
  <c r="F12" i="9"/>
  <c r="D12" i="9"/>
  <c r="C12" i="9"/>
  <c r="B12" i="9"/>
  <c r="M12" i="9" s="1"/>
  <c r="P12" i="9" s="1"/>
  <c r="A12" i="9"/>
  <c r="Q11" i="9"/>
  <c r="L11" i="9"/>
  <c r="K11" i="9"/>
  <c r="J11" i="9"/>
  <c r="I11" i="9"/>
  <c r="H11" i="9"/>
  <c r="G11" i="9"/>
  <c r="F11" i="9"/>
  <c r="D11" i="9"/>
  <c r="C11" i="9"/>
  <c r="B11" i="9"/>
  <c r="A11" i="9"/>
  <c r="Q10" i="9"/>
  <c r="L10" i="9"/>
  <c r="K10" i="9"/>
  <c r="J10" i="9"/>
  <c r="I10" i="9"/>
  <c r="H10" i="9"/>
  <c r="G10" i="9"/>
  <c r="F10" i="9"/>
  <c r="D10" i="9"/>
  <c r="C10" i="9"/>
  <c r="B10" i="9"/>
  <c r="A10" i="9"/>
  <c r="Q9" i="9"/>
  <c r="L9" i="9"/>
  <c r="K9" i="9"/>
  <c r="J9" i="9"/>
  <c r="I9" i="9"/>
  <c r="H9" i="9"/>
  <c r="G9" i="9"/>
  <c r="F9" i="9"/>
  <c r="D9" i="9"/>
  <c r="C9" i="9"/>
  <c r="B9" i="9"/>
  <c r="A9" i="9"/>
  <c r="Q8" i="9"/>
  <c r="L8" i="9"/>
  <c r="K8" i="9"/>
  <c r="J8" i="9"/>
  <c r="I8" i="9"/>
  <c r="H8" i="9"/>
  <c r="G8" i="9"/>
  <c r="F8" i="9"/>
  <c r="D8" i="9"/>
  <c r="C8" i="9"/>
  <c r="B8" i="9"/>
  <c r="A8" i="9"/>
  <c r="Q7" i="9"/>
  <c r="L7" i="9"/>
  <c r="K7" i="9"/>
  <c r="J7" i="9"/>
  <c r="I7" i="9"/>
  <c r="H7" i="9"/>
  <c r="G7" i="9"/>
  <c r="F7" i="9"/>
  <c r="D7" i="9"/>
  <c r="C7" i="9"/>
  <c r="B7" i="9"/>
  <c r="A7" i="9"/>
  <c r="Q6" i="9"/>
  <c r="L6" i="9"/>
  <c r="K6" i="9"/>
  <c r="J6" i="9"/>
  <c r="I6" i="9"/>
  <c r="H6" i="9"/>
  <c r="G6" i="9"/>
  <c r="F6" i="9"/>
  <c r="D6" i="9"/>
  <c r="C6" i="9"/>
  <c r="B6" i="9"/>
  <c r="Q5" i="9"/>
  <c r="L5" i="9"/>
  <c r="K5" i="9"/>
  <c r="J5" i="9"/>
  <c r="I5" i="9"/>
  <c r="H5" i="9"/>
  <c r="G5" i="9"/>
  <c r="F5" i="9"/>
  <c r="D5" i="9"/>
  <c r="C5" i="9"/>
  <c r="B5" i="9"/>
  <c r="A5" i="9"/>
  <c r="Q4" i="9"/>
  <c r="L4" i="9"/>
  <c r="K4" i="9"/>
  <c r="J4" i="9"/>
  <c r="I4" i="9"/>
  <c r="H4" i="9"/>
  <c r="G4" i="9"/>
  <c r="F4" i="9"/>
  <c r="D4" i="9"/>
  <c r="C4" i="9"/>
  <c r="B4" i="9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AL996" i="5"/>
  <c r="AK996" i="5"/>
  <c r="AJ996" i="5"/>
  <c r="AN996" i="5" s="1"/>
  <c r="AI996" i="5"/>
  <c r="M996" i="5"/>
  <c r="L996" i="5"/>
  <c r="K996" i="5"/>
  <c r="J996" i="5"/>
  <c r="I996" i="5"/>
  <c r="H996" i="5"/>
  <c r="E996" i="9" s="1"/>
  <c r="G996" i="5"/>
  <c r="D996" i="5"/>
  <c r="C996" i="5"/>
  <c r="A996" i="5"/>
  <c r="AL995" i="5"/>
  <c r="AK995" i="5"/>
  <c r="AJ995" i="5"/>
  <c r="AI995" i="5"/>
  <c r="M995" i="5"/>
  <c r="L995" i="5"/>
  <c r="K995" i="5"/>
  <c r="J995" i="5"/>
  <c r="I995" i="5"/>
  <c r="H995" i="5"/>
  <c r="E995" i="9" s="1"/>
  <c r="G995" i="5"/>
  <c r="D995" i="5"/>
  <c r="C995" i="5"/>
  <c r="A995" i="5"/>
  <c r="AL994" i="5"/>
  <c r="AK994" i="5"/>
  <c r="AJ994" i="5"/>
  <c r="AI994" i="5"/>
  <c r="M994" i="5"/>
  <c r="L994" i="5"/>
  <c r="K994" i="5"/>
  <c r="J994" i="5"/>
  <c r="I994" i="5"/>
  <c r="H994" i="5"/>
  <c r="E994" i="9" s="1"/>
  <c r="G994" i="5"/>
  <c r="D994" i="5"/>
  <c r="C994" i="5"/>
  <c r="A994" i="5"/>
  <c r="AL993" i="5"/>
  <c r="AK993" i="5"/>
  <c r="AJ993" i="5"/>
  <c r="AN993" i="5" s="1"/>
  <c r="AI993" i="5"/>
  <c r="M993" i="5"/>
  <c r="L993" i="5"/>
  <c r="K993" i="5"/>
  <c r="J993" i="5"/>
  <c r="I993" i="5"/>
  <c r="H993" i="5"/>
  <c r="E993" i="9" s="1"/>
  <c r="G993" i="5"/>
  <c r="D993" i="5"/>
  <c r="C993" i="5"/>
  <c r="A993" i="5"/>
  <c r="AM992" i="5"/>
  <c r="AL992" i="5"/>
  <c r="AK992" i="5"/>
  <c r="AJ992" i="5"/>
  <c r="AN992" i="5" s="1"/>
  <c r="AI992" i="5"/>
  <c r="M992" i="5"/>
  <c r="L992" i="5"/>
  <c r="K992" i="5"/>
  <c r="J992" i="5"/>
  <c r="I992" i="5"/>
  <c r="H992" i="5"/>
  <c r="E992" i="9" s="1"/>
  <c r="G992" i="5"/>
  <c r="D992" i="5"/>
  <c r="C992" i="5"/>
  <c r="A992" i="5"/>
  <c r="AL991" i="5"/>
  <c r="AK991" i="5"/>
  <c r="AJ991" i="5"/>
  <c r="AN991" i="5" s="1"/>
  <c r="AI991" i="5"/>
  <c r="M991" i="5"/>
  <c r="L991" i="5"/>
  <c r="K991" i="5"/>
  <c r="J991" i="5"/>
  <c r="I991" i="5"/>
  <c r="H991" i="5"/>
  <c r="E991" i="9" s="1"/>
  <c r="G991" i="5"/>
  <c r="D991" i="5"/>
  <c r="C991" i="5"/>
  <c r="A991" i="5"/>
  <c r="AL990" i="5"/>
  <c r="AK990" i="5"/>
  <c r="AJ990" i="5"/>
  <c r="AI990" i="5"/>
  <c r="M990" i="5"/>
  <c r="L990" i="5"/>
  <c r="K990" i="5"/>
  <c r="J990" i="5"/>
  <c r="I990" i="5"/>
  <c r="H990" i="5"/>
  <c r="E990" i="9" s="1"/>
  <c r="G990" i="5"/>
  <c r="D990" i="5"/>
  <c r="C990" i="5"/>
  <c r="A990" i="5"/>
  <c r="AL989" i="5"/>
  <c r="AK989" i="5"/>
  <c r="AJ989" i="5"/>
  <c r="AN989" i="5" s="1"/>
  <c r="AI989" i="5"/>
  <c r="M989" i="5"/>
  <c r="L989" i="5"/>
  <c r="K989" i="5"/>
  <c r="J989" i="5"/>
  <c r="I989" i="5"/>
  <c r="H989" i="5"/>
  <c r="E989" i="9" s="1"/>
  <c r="G989" i="5"/>
  <c r="D989" i="5"/>
  <c r="C989" i="5"/>
  <c r="A989" i="5"/>
  <c r="AL988" i="5"/>
  <c r="AK988" i="5"/>
  <c r="AJ988" i="5"/>
  <c r="AN988" i="5" s="1"/>
  <c r="AI988" i="5"/>
  <c r="M988" i="5"/>
  <c r="L988" i="5"/>
  <c r="K988" i="5"/>
  <c r="J988" i="5"/>
  <c r="I988" i="5"/>
  <c r="H988" i="5"/>
  <c r="E988" i="9" s="1"/>
  <c r="G988" i="5"/>
  <c r="D988" i="5"/>
  <c r="C988" i="5"/>
  <c r="A988" i="5"/>
  <c r="AM987" i="5"/>
  <c r="AL987" i="5"/>
  <c r="AK987" i="5"/>
  <c r="AJ987" i="5"/>
  <c r="AN987" i="5" s="1"/>
  <c r="AI987" i="5"/>
  <c r="M987" i="5"/>
  <c r="L987" i="5"/>
  <c r="K987" i="5"/>
  <c r="J987" i="5"/>
  <c r="I987" i="5"/>
  <c r="H987" i="5"/>
  <c r="E987" i="9" s="1"/>
  <c r="G987" i="5"/>
  <c r="D987" i="5"/>
  <c r="C987" i="5"/>
  <c r="A987" i="5"/>
  <c r="AL986" i="5"/>
  <c r="AK986" i="5"/>
  <c r="AJ986" i="5"/>
  <c r="AN986" i="5" s="1"/>
  <c r="AI986" i="5"/>
  <c r="M986" i="5"/>
  <c r="L986" i="5"/>
  <c r="K986" i="5"/>
  <c r="J986" i="5"/>
  <c r="I986" i="5"/>
  <c r="H986" i="5"/>
  <c r="E986" i="9" s="1"/>
  <c r="G986" i="5"/>
  <c r="D986" i="5"/>
  <c r="C986" i="5"/>
  <c r="A986" i="5"/>
  <c r="AL985" i="5"/>
  <c r="AK985" i="5"/>
  <c r="AJ985" i="5"/>
  <c r="AI985" i="5"/>
  <c r="M985" i="5"/>
  <c r="L985" i="5"/>
  <c r="K985" i="5"/>
  <c r="J985" i="5"/>
  <c r="I985" i="5"/>
  <c r="H985" i="5"/>
  <c r="E985" i="9" s="1"/>
  <c r="G985" i="5"/>
  <c r="D985" i="5"/>
  <c r="C985" i="5"/>
  <c r="A985" i="5"/>
  <c r="AL984" i="5"/>
  <c r="AK984" i="5"/>
  <c r="AJ984" i="5"/>
  <c r="AN984" i="5" s="1"/>
  <c r="AI984" i="5"/>
  <c r="M984" i="5"/>
  <c r="L984" i="5"/>
  <c r="K984" i="5"/>
  <c r="J984" i="5"/>
  <c r="I984" i="5"/>
  <c r="H984" i="5"/>
  <c r="E984" i="9" s="1"/>
  <c r="G984" i="5"/>
  <c r="D984" i="5"/>
  <c r="C984" i="5"/>
  <c r="A984" i="5"/>
  <c r="AL983" i="5"/>
  <c r="AK983" i="5"/>
  <c r="AJ983" i="5"/>
  <c r="AI983" i="5"/>
  <c r="M983" i="5"/>
  <c r="L983" i="5"/>
  <c r="K983" i="5"/>
  <c r="J983" i="5"/>
  <c r="I983" i="5"/>
  <c r="H983" i="5"/>
  <c r="E983" i="9" s="1"/>
  <c r="G983" i="5"/>
  <c r="D983" i="5"/>
  <c r="C983" i="5"/>
  <c r="A983" i="5"/>
  <c r="AL982" i="5"/>
  <c r="AK982" i="5"/>
  <c r="AJ982" i="5"/>
  <c r="AI982" i="5"/>
  <c r="M982" i="5"/>
  <c r="L982" i="5"/>
  <c r="K982" i="5"/>
  <c r="J982" i="5"/>
  <c r="I982" i="5"/>
  <c r="H982" i="5"/>
  <c r="E982" i="9" s="1"/>
  <c r="G982" i="5"/>
  <c r="D982" i="5"/>
  <c r="C982" i="5"/>
  <c r="A982" i="5"/>
  <c r="AL981" i="5"/>
  <c r="AK981" i="5"/>
  <c r="AJ981" i="5"/>
  <c r="AN981" i="5" s="1"/>
  <c r="AI981" i="5"/>
  <c r="M981" i="5"/>
  <c r="L981" i="5"/>
  <c r="K981" i="5"/>
  <c r="J981" i="5"/>
  <c r="I981" i="5"/>
  <c r="H981" i="5"/>
  <c r="E981" i="9" s="1"/>
  <c r="G981" i="5"/>
  <c r="D981" i="5"/>
  <c r="C981" i="5"/>
  <c r="A981" i="5"/>
  <c r="AL980" i="5"/>
  <c r="AK980" i="5"/>
  <c r="AJ980" i="5"/>
  <c r="AN980" i="5" s="1"/>
  <c r="AI980" i="5"/>
  <c r="M980" i="5"/>
  <c r="L980" i="5"/>
  <c r="K980" i="5"/>
  <c r="J980" i="5"/>
  <c r="I980" i="5"/>
  <c r="H980" i="5"/>
  <c r="E980" i="9" s="1"/>
  <c r="G980" i="5"/>
  <c r="D980" i="5"/>
  <c r="C980" i="5"/>
  <c r="A980" i="5"/>
  <c r="AL979" i="5"/>
  <c r="AK979" i="5"/>
  <c r="AJ979" i="5"/>
  <c r="AI979" i="5"/>
  <c r="M979" i="5"/>
  <c r="L979" i="5"/>
  <c r="K979" i="5"/>
  <c r="J979" i="5"/>
  <c r="I979" i="5"/>
  <c r="H979" i="5"/>
  <c r="E979" i="9" s="1"/>
  <c r="G979" i="5"/>
  <c r="D979" i="5"/>
  <c r="C979" i="5"/>
  <c r="A979" i="5"/>
  <c r="AL978" i="5"/>
  <c r="AK978" i="5"/>
  <c r="AJ978" i="5"/>
  <c r="AN978" i="5" s="1"/>
  <c r="AI978" i="5"/>
  <c r="M978" i="5"/>
  <c r="L978" i="5"/>
  <c r="K978" i="5"/>
  <c r="J978" i="5"/>
  <c r="I978" i="5"/>
  <c r="H978" i="5"/>
  <c r="E978" i="9" s="1"/>
  <c r="G978" i="5"/>
  <c r="D978" i="5"/>
  <c r="C978" i="5"/>
  <c r="A978" i="5"/>
  <c r="AM977" i="5"/>
  <c r="AL977" i="5"/>
  <c r="AK977" i="5"/>
  <c r="AJ977" i="5"/>
  <c r="AN977" i="5" s="1"/>
  <c r="AI977" i="5"/>
  <c r="M977" i="5"/>
  <c r="L977" i="5"/>
  <c r="K977" i="5"/>
  <c r="J977" i="5"/>
  <c r="I977" i="5"/>
  <c r="H977" i="5"/>
  <c r="E977" i="9" s="1"/>
  <c r="G977" i="5"/>
  <c r="D977" i="5"/>
  <c r="C977" i="5"/>
  <c r="A977" i="5"/>
  <c r="AL976" i="5"/>
  <c r="AK976" i="5"/>
  <c r="AJ976" i="5"/>
  <c r="AN976" i="5" s="1"/>
  <c r="AI976" i="5"/>
  <c r="M976" i="5"/>
  <c r="L976" i="5"/>
  <c r="K976" i="5"/>
  <c r="J976" i="5"/>
  <c r="I976" i="5"/>
  <c r="H976" i="5"/>
  <c r="E976" i="9" s="1"/>
  <c r="G976" i="5"/>
  <c r="D976" i="5"/>
  <c r="C976" i="5"/>
  <c r="A976" i="5"/>
  <c r="AL975" i="5"/>
  <c r="AK975" i="5"/>
  <c r="AJ975" i="5"/>
  <c r="AN975" i="5" s="1"/>
  <c r="AI975" i="5"/>
  <c r="M975" i="5"/>
  <c r="L975" i="5"/>
  <c r="K975" i="5"/>
  <c r="J975" i="5"/>
  <c r="I975" i="5"/>
  <c r="H975" i="5"/>
  <c r="E975" i="9" s="1"/>
  <c r="G975" i="5"/>
  <c r="D975" i="5"/>
  <c r="C975" i="5"/>
  <c r="A975" i="5"/>
  <c r="AL974" i="5"/>
  <c r="AK974" i="5"/>
  <c r="AJ974" i="5"/>
  <c r="AN974" i="5" s="1"/>
  <c r="AI974" i="5"/>
  <c r="M974" i="5"/>
  <c r="L974" i="5"/>
  <c r="K974" i="5"/>
  <c r="J974" i="5"/>
  <c r="I974" i="5"/>
  <c r="H974" i="5"/>
  <c r="E974" i="9" s="1"/>
  <c r="G974" i="5"/>
  <c r="D974" i="5"/>
  <c r="C974" i="5"/>
  <c r="A974" i="5"/>
  <c r="AL973" i="5"/>
  <c r="AK973" i="5"/>
  <c r="AJ973" i="5"/>
  <c r="AN973" i="5" s="1"/>
  <c r="AI973" i="5"/>
  <c r="M973" i="5"/>
  <c r="L973" i="5"/>
  <c r="K973" i="5"/>
  <c r="J973" i="5"/>
  <c r="I973" i="5"/>
  <c r="H973" i="5"/>
  <c r="E973" i="9" s="1"/>
  <c r="G973" i="5"/>
  <c r="D973" i="5"/>
  <c r="C973" i="5"/>
  <c r="A973" i="5"/>
  <c r="AL972" i="5"/>
  <c r="AK972" i="5"/>
  <c r="AJ972" i="5"/>
  <c r="AN972" i="5" s="1"/>
  <c r="AI972" i="5"/>
  <c r="M972" i="5"/>
  <c r="L972" i="5"/>
  <c r="K972" i="5"/>
  <c r="J972" i="5"/>
  <c r="I972" i="5"/>
  <c r="H972" i="5"/>
  <c r="E972" i="9" s="1"/>
  <c r="G972" i="5"/>
  <c r="D972" i="5"/>
  <c r="C972" i="5"/>
  <c r="A972" i="5"/>
  <c r="AL971" i="5"/>
  <c r="AK971" i="5"/>
  <c r="AJ971" i="5"/>
  <c r="AN971" i="5" s="1"/>
  <c r="AI971" i="5"/>
  <c r="M971" i="5"/>
  <c r="L971" i="5"/>
  <c r="K971" i="5"/>
  <c r="J971" i="5"/>
  <c r="I971" i="5"/>
  <c r="H971" i="5"/>
  <c r="E971" i="9" s="1"/>
  <c r="G971" i="5"/>
  <c r="D971" i="5"/>
  <c r="C971" i="5"/>
  <c r="A971" i="5"/>
  <c r="AL970" i="5"/>
  <c r="AK970" i="5"/>
  <c r="AJ970" i="5"/>
  <c r="AN970" i="5" s="1"/>
  <c r="AI970" i="5"/>
  <c r="M970" i="5"/>
  <c r="L970" i="5"/>
  <c r="K970" i="5"/>
  <c r="J970" i="5"/>
  <c r="I970" i="5"/>
  <c r="H970" i="5"/>
  <c r="E970" i="9" s="1"/>
  <c r="G970" i="5"/>
  <c r="D970" i="5"/>
  <c r="C970" i="5"/>
  <c r="A970" i="5"/>
  <c r="AL969" i="5"/>
  <c r="AK969" i="5"/>
  <c r="AJ969" i="5"/>
  <c r="AN969" i="5" s="1"/>
  <c r="AI969" i="5"/>
  <c r="M969" i="5"/>
  <c r="L969" i="5"/>
  <c r="K969" i="5"/>
  <c r="J969" i="5"/>
  <c r="I969" i="5"/>
  <c r="H969" i="5"/>
  <c r="E969" i="9" s="1"/>
  <c r="G969" i="5"/>
  <c r="D969" i="5"/>
  <c r="C969" i="5"/>
  <c r="A969" i="5"/>
  <c r="AL968" i="5"/>
  <c r="AK968" i="5"/>
  <c r="AJ968" i="5"/>
  <c r="AN968" i="5" s="1"/>
  <c r="AI968" i="5"/>
  <c r="M968" i="5"/>
  <c r="L968" i="5"/>
  <c r="K968" i="5"/>
  <c r="J968" i="5"/>
  <c r="I968" i="5"/>
  <c r="H968" i="5"/>
  <c r="E968" i="9" s="1"/>
  <c r="G968" i="5"/>
  <c r="D968" i="5"/>
  <c r="C968" i="5"/>
  <c r="A968" i="5"/>
  <c r="AL967" i="5"/>
  <c r="AK967" i="5"/>
  <c r="AJ967" i="5"/>
  <c r="AN967" i="5" s="1"/>
  <c r="AI967" i="5"/>
  <c r="M967" i="5"/>
  <c r="L967" i="5"/>
  <c r="K967" i="5"/>
  <c r="J967" i="5"/>
  <c r="I967" i="5"/>
  <c r="H967" i="5"/>
  <c r="E967" i="9" s="1"/>
  <c r="G967" i="5"/>
  <c r="D967" i="5"/>
  <c r="C967" i="5"/>
  <c r="A967" i="5"/>
  <c r="AL966" i="5"/>
  <c r="AK966" i="5"/>
  <c r="AJ966" i="5"/>
  <c r="AN966" i="5" s="1"/>
  <c r="AI966" i="5"/>
  <c r="M966" i="5"/>
  <c r="L966" i="5"/>
  <c r="K966" i="5"/>
  <c r="J966" i="5"/>
  <c r="I966" i="5"/>
  <c r="H966" i="5"/>
  <c r="E966" i="9" s="1"/>
  <c r="G966" i="5"/>
  <c r="D966" i="5"/>
  <c r="C966" i="5"/>
  <c r="A966" i="5"/>
  <c r="AL965" i="5"/>
  <c r="AK965" i="5"/>
  <c r="AJ965" i="5"/>
  <c r="AN965" i="5" s="1"/>
  <c r="AI965" i="5"/>
  <c r="M965" i="5"/>
  <c r="L965" i="5"/>
  <c r="K965" i="5"/>
  <c r="J965" i="5"/>
  <c r="I965" i="5"/>
  <c r="H965" i="5"/>
  <c r="E965" i="9" s="1"/>
  <c r="G965" i="5"/>
  <c r="D965" i="5"/>
  <c r="C965" i="5"/>
  <c r="A965" i="5"/>
  <c r="AL964" i="5"/>
  <c r="AK964" i="5"/>
  <c r="AJ964" i="5"/>
  <c r="AN964" i="5" s="1"/>
  <c r="AI964" i="5"/>
  <c r="M964" i="5"/>
  <c r="L964" i="5"/>
  <c r="K964" i="5"/>
  <c r="J964" i="5"/>
  <c r="I964" i="5"/>
  <c r="H964" i="5"/>
  <c r="E964" i="9" s="1"/>
  <c r="G964" i="5"/>
  <c r="D964" i="5"/>
  <c r="C964" i="5"/>
  <c r="A964" i="5"/>
  <c r="AL963" i="5"/>
  <c r="AK963" i="5"/>
  <c r="AJ963" i="5"/>
  <c r="AN963" i="5" s="1"/>
  <c r="AI963" i="5"/>
  <c r="M963" i="5"/>
  <c r="L963" i="5"/>
  <c r="K963" i="5"/>
  <c r="J963" i="5"/>
  <c r="I963" i="5"/>
  <c r="H963" i="5"/>
  <c r="E963" i="9" s="1"/>
  <c r="G963" i="5"/>
  <c r="D963" i="5"/>
  <c r="C963" i="5"/>
  <c r="A963" i="5"/>
  <c r="AL962" i="5"/>
  <c r="AK962" i="5"/>
  <c r="AJ962" i="5"/>
  <c r="AN962" i="5" s="1"/>
  <c r="AI962" i="5"/>
  <c r="M962" i="5"/>
  <c r="L962" i="5"/>
  <c r="K962" i="5"/>
  <c r="J962" i="5"/>
  <c r="I962" i="5"/>
  <c r="H962" i="5"/>
  <c r="E962" i="9" s="1"/>
  <c r="G962" i="5"/>
  <c r="D962" i="5"/>
  <c r="C962" i="5"/>
  <c r="A962" i="5"/>
  <c r="AL961" i="5"/>
  <c r="AK961" i="5"/>
  <c r="AJ961" i="5"/>
  <c r="AN961" i="5" s="1"/>
  <c r="AI961" i="5"/>
  <c r="M961" i="5"/>
  <c r="L961" i="5"/>
  <c r="K961" i="5"/>
  <c r="J961" i="5"/>
  <c r="I961" i="5"/>
  <c r="H961" i="5"/>
  <c r="E961" i="9" s="1"/>
  <c r="G961" i="5"/>
  <c r="D961" i="5"/>
  <c r="C961" i="5"/>
  <c r="A961" i="5"/>
  <c r="AL960" i="5"/>
  <c r="AK960" i="5"/>
  <c r="AJ960" i="5"/>
  <c r="AN960" i="5" s="1"/>
  <c r="AI960" i="5"/>
  <c r="M960" i="5"/>
  <c r="L960" i="5"/>
  <c r="K960" i="5"/>
  <c r="J960" i="5"/>
  <c r="I960" i="5"/>
  <c r="H960" i="5"/>
  <c r="E960" i="9" s="1"/>
  <c r="G960" i="5"/>
  <c r="D960" i="5"/>
  <c r="C960" i="5"/>
  <c r="A960" i="5"/>
  <c r="AL959" i="5"/>
  <c r="AK959" i="5"/>
  <c r="AJ959" i="5"/>
  <c r="AN959" i="5" s="1"/>
  <c r="AI959" i="5"/>
  <c r="M959" i="5"/>
  <c r="L959" i="5"/>
  <c r="K959" i="5"/>
  <c r="J959" i="5"/>
  <c r="I959" i="5"/>
  <c r="H959" i="5"/>
  <c r="E959" i="9" s="1"/>
  <c r="G959" i="5"/>
  <c r="D959" i="5"/>
  <c r="C959" i="5"/>
  <c r="A959" i="5"/>
  <c r="AL958" i="5"/>
  <c r="AK958" i="5"/>
  <c r="AJ958" i="5"/>
  <c r="AN958" i="5" s="1"/>
  <c r="AI958" i="5"/>
  <c r="M958" i="5"/>
  <c r="L958" i="5"/>
  <c r="K958" i="5"/>
  <c r="J958" i="5"/>
  <c r="I958" i="5"/>
  <c r="H958" i="5"/>
  <c r="E958" i="9" s="1"/>
  <c r="G958" i="5"/>
  <c r="D958" i="5"/>
  <c r="C958" i="5"/>
  <c r="A958" i="5"/>
  <c r="AL957" i="5"/>
  <c r="AK957" i="5"/>
  <c r="AJ957" i="5"/>
  <c r="AN957" i="5" s="1"/>
  <c r="AI957" i="5"/>
  <c r="M957" i="5"/>
  <c r="L957" i="5"/>
  <c r="K957" i="5"/>
  <c r="J957" i="5"/>
  <c r="I957" i="5"/>
  <c r="H957" i="5"/>
  <c r="E957" i="9" s="1"/>
  <c r="G957" i="5"/>
  <c r="D957" i="5"/>
  <c r="C957" i="5"/>
  <c r="A957" i="5"/>
  <c r="AL956" i="5"/>
  <c r="AK956" i="5"/>
  <c r="AJ956" i="5"/>
  <c r="AN956" i="5" s="1"/>
  <c r="AI956" i="5"/>
  <c r="M956" i="5"/>
  <c r="L956" i="5"/>
  <c r="K956" i="5"/>
  <c r="J956" i="5"/>
  <c r="I956" i="5"/>
  <c r="H956" i="5"/>
  <c r="E956" i="9" s="1"/>
  <c r="G956" i="5"/>
  <c r="D956" i="5"/>
  <c r="C956" i="5"/>
  <c r="A956" i="5"/>
  <c r="AL955" i="5"/>
  <c r="AK955" i="5"/>
  <c r="AJ955" i="5"/>
  <c r="AN955" i="5" s="1"/>
  <c r="AI955" i="5"/>
  <c r="M955" i="5"/>
  <c r="L955" i="5"/>
  <c r="K955" i="5"/>
  <c r="J955" i="5"/>
  <c r="I955" i="5"/>
  <c r="H955" i="5"/>
  <c r="E955" i="9" s="1"/>
  <c r="G955" i="5"/>
  <c r="D955" i="5"/>
  <c r="C955" i="5"/>
  <c r="A955" i="5"/>
  <c r="AL954" i="5"/>
  <c r="AK954" i="5"/>
  <c r="AJ954" i="5"/>
  <c r="AI954" i="5"/>
  <c r="M954" i="5"/>
  <c r="L954" i="5"/>
  <c r="K954" i="5"/>
  <c r="J954" i="5"/>
  <c r="I954" i="5"/>
  <c r="H954" i="5"/>
  <c r="E954" i="9" s="1"/>
  <c r="G954" i="5"/>
  <c r="D954" i="5"/>
  <c r="C954" i="5"/>
  <c r="A954" i="5"/>
  <c r="AL953" i="5"/>
  <c r="AK953" i="5"/>
  <c r="AJ953" i="5"/>
  <c r="AI953" i="5"/>
  <c r="M953" i="5"/>
  <c r="L953" i="5"/>
  <c r="K953" i="5"/>
  <c r="J953" i="5"/>
  <c r="I953" i="5"/>
  <c r="H953" i="5"/>
  <c r="E953" i="9" s="1"/>
  <c r="G953" i="5"/>
  <c r="D953" i="5"/>
  <c r="C953" i="5"/>
  <c r="A953" i="5"/>
  <c r="AL952" i="5"/>
  <c r="AK952" i="5"/>
  <c r="AJ952" i="5"/>
  <c r="AI952" i="5"/>
  <c r="M952" i="5"/>
  <c r="L952" i="5"/>
  <c r="K952" i="5"/>
  <c r="J952" i="5"/>
  <c r="I952" i="5"/>
  <c r="H952" i="5"/>
  <c r="E952" i="9" s="1"/>
  <c r="G952" i="5"/>
  <c r="D952" i="5"/>
  <c r="C952" i="5"/>
  <c r="A952" i="5"/>
  <c r="AL951" i="5"/>
  <c r="AK951" i="5"/>
  <c r="AJ951" i="5"/>
  <c r="AI951" i="5"/>
  <c r="M951" i="5"/>
  <c r="L951" i="5"/>
  <c r="K951" i="5"/>
  <c r="J951" i="5"/>
  <c r="I951" i="5"/>
  <c r="H951" i="5"/>
  <c r="E951" i="9" s="1"/>
  <c r="G951" i="5"/>
  <c r="D951" i="5"/>
  <c r="C951" i="5"/>
  <c r="A951" i="5"/>
  <c r="AL950" i="5"/>
  <c r="AK950" i="5"/>
  <c r="AJ950" i="5"/>
  <c r="AI950" i="5"/>
  <c r="M950" i="5"/>
  <c r="L950" i="5"/>
  <c r="K950" i="5"/>
  <c r="J950" i="5"/>
  <c r="I950" i="5"/>
  <c r="H950" i="5"/>
  <c r="E950" i="9" s="1"/>
  <c r="G950" i="5"/>
  <c r="D950" i="5"/>
  <c r="C950" i="5"/>
  <c r="A950" i="5"/>
  <c r="AL949" i="5"/>
  <c r="AK949" i="5"/>
  <c r="AJ949" i="5"/>
  <c r="AI949" i="5"/>
  <c r="M949" i="5"/>
  <c r="L949" i="5"/>
  <c r="K949" i="5"/>
  <c r="J949" i="5"/>
  <c r="I949" i="5"/>
  <c r="H949" i="5"/>
  <c r="E949" i="9" s="1"/>
  <c r="G949" i="5"/>
  <c r="D949" i="5"/>
  <c r="C949" i="5"/>
  <c r="A949" i="5"/>
  <c r="AL948" i="5"/>
  <c r="AK948" i="5"/>
  <c r="AJ948" i="5"/>
  <c r="AI948" i="5"/>
  <c r="M948" i="5"/>
  <c r="L948" i="5"/>
  <c r="K948" i="5"/>
  <c r="J948" i="5"/>
  <c r="I948" i="5"/>
  <c r="H948" i="5"/>
  <c r="E948" i="9" s="1"/>
  <c r="G948" i="5"/>
  <c r="D948" i="5"/>
  <c r="C948" i="5"/>
  <c r="A948" i="5"/>
  <c r="AL947" i="5"/>
  <c r="AK947" i="5"/>
  <c r="AJ947" i="5"/>
  <c r="AI947" i="5"/>
  <c r="M947" i="5"/>
  <c r="L947" i="5"/>
  <c r="K947" i="5"/>
  <c r="J947" i="5"/>
  <c r="I947" i="5"/>
  <c r="H947" i="5"/>
  <c r="E947" i="9" s="1"/>
  <c r="G947" i="5"/>
  <c r="D947" i="5"/>
  <c r="C947" i="5"/>
  <c r="A947" i="5"/>
  <c r="AL946" i="5"/>
  <c r="AK946" i="5"/>
  <c r="AJ946" i="5"/>
  <c r="AI946" i="5"/>
  <c r="M946" i="5"/>
  <c r="L946" i="5"/>
  <c r="K946" i="5"/>
  <c r="J946" i="5"/>
  <c r="I946" i="5"/>
  <c r="H946" i="5"/>
  <c r="E946" i="9" s="1"/>
  <c r="G946" i="5"/>
  <c r="D946" i="5"/>
  <c r="C946" i="5"/>
  <c r="A946" i="5"/>
  <c r="AL945" i="5"/>
  <c r="AK945" i="5"/>
  <c r="AJ945" i="5"/>
  <c r="AI945" i="5"/>
  <c r="M945" i="5"/>
  <c r="L945" i="5"/>
  <c r="K945" i="5"/>
  <c r="J945" i="5"/>
  <c r="I945" i="5"/>
  <c r="H945" i="5"/>
  <c r="E945" i="9" s="1"/>
  <c r="G945" i="5"/>
  <c r="D945" i="5"/>
  <c r="C945" i="5"/>
  <c r="A945" i="5"/>
  <c r="AL944" i="5"/>
  <c r="AK944" i="5"/>
  <c r="AJ944" i="5"/>
  <c r="AI944" i="5"/>
  <c r="M944" i="5"/>
  <c r="L944" i="5"/>
  <c r="K944" i="5"/>
  <c r="J944" i="5"/>
  <c r="I944" i="5"/>
  <c r="H944" i="5"/>
  <c r="E944" i="9" s="1"/>
  <c r="G944" i="5"/>
  <c r="D944" i="5"/>
  <c r="C944" i="5"/>
  <c r="A944" i="5"/>
  <c r="AL943" i="5"/>
  <c r="AK943" i="5"/>
  <c r="AJ943" i="5"/>
  <c r="AI943" i="5"/>
  <c r="M943" i="5"/>
  <c r="L943" i="5"/>
  <c r="K943" i="5"/>
  <c r="J943" i="5"/>
  <c r="I943" i="5"/>
  <c r="H943" i="5"/>
  <c r="E943" i="9" s="1"/>
  <c r="G943" i="5"/>
  <c r="D943" i="5"/>
  <c r="C943" i="5"/>
  <c r="A943" i="5"/>
  <c r="AL942" i="5"/>
  <c r="AK942" i="5"/>
  <c r="AJ942" i="5"/>
  <c r="AI942" i="5"/>
  <c r="M942" i="5"/>
  <c r="L942" i="5"/>
  <c r="K942" i="5"/>
  <c r="J942" i="5"/>
  <c r="I942" i="5"/>
  <c r="H942" i="5"/>
  <c r="E942" i="9" s="1"/>
  <c r="G942" i="5"/>
  <c r="D942" i="5"/>
  <c r="C942" i="5"/>
  <c r="A942" i="5"/>
  <c r="AL941" i="5"/>
  <c r="AK941" i="5"/>
  <c r="AJ941" i="5"/>
  <c r="AI941" i="5"/>
  <c r="M941" i="5"/>
  <c r="L941" i="5"/>
  <c r="K941" i="5"/>
  <c r="J941" i="5"/>
  <c r="I941" i="5"/>
  <c r="H941" i="5"/>
  <c r="E941" i="9" s="1"/>
  <c r="G941" i="5"/>
  <c r="D941" i="5"/>
  <c r="C941" i="5"/>
  <c r="A941" i="5"/>
  <c r="AL940" i="5"/>
  <c r="AK940" i="5"/>
  <c r="AJ940" i="5"/>
  <c r="AI940" i="5"/>
  <c r="M940" i="5"/>
  <c r="L940" i="5"/>
  <c r="K940" i="5"/>
  <c r="J940" i="5"/>
  <c r="I940" i="5"/>
  <c r="H940" i="5"/>
  <c r="E940" i="9" s="1"/>
  <c r="G940" i="5"/>
  <c r="D940" i="5"/>
  <c r="C940" i="5"/>
  <c r="A940" i="5"/>
  <c r="AL939" i="5"/>
  <c r="AK939" i="5"/>
  <c r="AJ939" i="5"/>
  <c r="AI939" i="5"/>
  <c r="M939" i="5"/>
  <c r="L939" i="5"/>
  <c r="K939" i="5"/>
  <c r="J939" i="5"/>
  <c r="I939" i="5"/>
  <c r="H939" i="5"/>
  <c r="E939" i="9" s="1"/>
  <c r="G939" i="5"/>
  <c r="D939" i="5"/>
  <c r="C939" i="5"/>
  <c r="A939" i="5"/>
  <c r="AL938" i="5"/>
  <c r="AK938" i="5"/>
  <c r="AJ938" i="5"/>
  <c r="AI938" i="5"/>
  <c r="M938" i="5"/>
  <c r="L938" i="5"/>
  <c r="K938" i="5"/>
  <c r="J938" i="5"/>
  <c r="I938" i="5"/>
  <c r="H938" i="5"/>
  <c r="E938" i="9" s="1"/>
  <c r="G938" i="5"/>
  <c r="D938" i="5"/>
  <c r="C938" i="5"/>
  <c r="A938" i="5"/>
  <c r="AL937" i="5"/>
  <c r="AK937" i="5"/>
  <c r="AJ937" i="5"/>
  <c r="AI937" i="5"/>
  <c r="M937" i="5"/>
  <c r="L937" i="5"/>
  <c r="K937" i="5"/>
  <c r="J937" i="5"/>
  <c r="I937" i="5"/>
  <c r="H937" i="5"/>
  <c r="E937" i="9" s="1"/>
  <c r="G937" i="5"/>
  <c r="D937" i="5"/>
  <c r="C937" i="5"/>
  <c r="A937" i="5"/>
  <c r="AL936" i="5"/>
  <c r="AK936" i="5"/>
  <c r="AJ936" i="5"/>
  <c r="AI936" i="5"/>
  <c r="M936" i="5"/>
  <c r="L936" i="5"/>
  <c r="K936" i="5"/>
  <c r="J936" i="5"/>
  <c r="I936" i="5"/>
  <c r="H936" i="5"/>
  <c r="E936" i="9" s="1"/>
  <c r="G936" i="5"/>
  <c r="D936" i="5"/>
  <c r="C936" i="5"/>
  <c r="A936" i="5"/>
  <c r="AL935" i="5"/>
  <c r="AK935" i="5"/>
  <c r="AJ935" i="5"/>
  <c r="AI935" i="5"/>
  <c r="M935" i="5"/>
  <c r="L935" i="5"/>
  <c r="K935" i="5"/>
  <c r="J935" i="5"/>
  <c r="I935" i="5"/>
  <c r="H935" i="5"/>
  <c r="E935" i="9" s="1"/>
  <c r="G935" i="5"/>
  <c r="D935" i="5"/>
  <c r="C935" i="5"/>
  <c r="A935" i="5"/>
  <c r="AL934" i="5"/>
  <c r="AK934" i="5"/>
  <c r="AJ934" i="5"/>
  <c r="AI934" i="5"/>
  <c r="M934" i="5"/>
  <c r="L934" i="5"/>
  <c r="K934" i="5"/>
  <c r="J934" i="5"/>
  <c r="I934" i="5"/>
  <c r="H934" i="5"/>
  <c r="E934" i="9" s="1"/>
  <c r="G934" i="5"/>
  <c r="D934" i="5"/>
  <c r="C934" i="5"/>
  <c r="A934" i="5"/>
  <c r="AL933" i="5"/>
  <c r="AK933" i="5"/>
  <c r="AJ933" i="5"/>
  <c r="AI933" i="5"/>
  <c r="M933" i="5"/>
  <c r="L933" i="5"/>
  <c r="K933" i="5"/>
  <c r="J933" i="5"/>
  <c r="I933" i="5"/>
  <c r="H933" i="5"/>
  <c r="E933" i="9" s="1"/>
  <c r="G933" i="5"/>
  <c r="D933" i="5"/>
  <c r="C933" i="5"/>
  <c r="A933" i="5"/>
  <c r="AL932" i="5"/>
  <c r="AK932" i="5"/>
  <c r="AJ932" i="5"/>
  <c r="AI932" i="5"/>
  <c r="M932" i="5"/>
  <c r="L932" i="5"/>
  <c r="K932" i="5"/>
  <c r="J932" i="5"/>
  <c r="I932" i="5"/>
  <c r="H932" i="5"/>
  <c r="E932" i="9" s="1"/>
  <c r="G932" i="5"/>
  <c r="D932" i="5"/>
  <c r="C932" i="5"/>
  <c r="A932" i="5"/>
  <c r="AL931" i="5"/>
  <c r="AK931" i="5"/>
  <c r="AJ931" i="5"/>
  <c r="AI931" i="5"/>
  <c r="M931" i="5"/>
  <c r="L931" i="5"/>
  <c r="K931" i="5"/>
  <c r="J931" i="5"/>
  <c r="I931" i="5"/>
  <c r="H931" i="5"/>
  <c r="E931" i="9" s="1"/>
  <c r="G931" i="5"/>
  <c r="D931" i="5"/>
  <c r="C931" i="5"/>
  <c r="A931" i="5"/>
  <c r="AL930" i="5"/>
  <c r="AK930" i="5"/>
  <c r="AJ930" i="5"/>
  <c r="AI930" i="5"/>
  <c r="M930" i="5"/>
  <c r="L930" i="5"/>
  <c r="K930" i="5"/>
  <c r="J930" i="5"/>
  <c r="I930" i="5"/>
  <c r="H930" i="5"/>
  <c r="E930" i="9" s="1"/>
  <c r="G930" i="5"/>
  <c r="D930" i="5"/>
  <c r="C930" i="5"/>
  <c r="A930" i="5"/>
  <c r="AL929" i="5"/>
  <c r="AK929" i="5"/>
  <c r="AJ929" i="5"/>
  <c r="AI929" i="5"/>
  <c r="M929" i="5"/>
  <c r="L929" i="5"/>
  <c r="K929" i="5"/>
  <c r="J929" i="5"/>
  <c r="I929" i="5"/>
  <c r="H929" i="5"/>
  <c r="E929" i="9" s="1"/>
  <c r="G929" i="5"/>
  <c r="D929" i="5"/>
  <c r="C929" i="5"/>
  <c r="A929" i="5"/>
  <c r="AL928" i="5"/>
  <c r="AK928" i="5"/>
  <c r="AJ928" i="5"/>
  <c r="AI928" i="5"/>
  <c r="M928" i="5"/>
  <c r="L928" i="5"/>
  <c r="K928" i="5"/>
  <c r="J928" i="5"/>
  <c r="I928" i="5"/>
  <c r="H928" i="5"/>
  <c r="E928" i="9" s="1"/>
  <c r="G928" i="5"/>
  <c r="D928" i="5"/>
  <c r="C928" i="5"/>
  <c r="A928" i="5"/>
  <c r="AL927" i="5"/>
  <c r="AK927" i="5"/>
  <c r="AJ927" i="5"/>
  <c r="AI927" i="5"/>
  <c r="M927" i="5"/>
  <c r="L927" i="5"/>
  <c r="K927" i="5"/>
  <c r="J927" i="5"/>
  <c r="I927" i="5"/>
  <c r="H927" i="5"/>
  <c r="E927" i="9" s="1"/>
  <c r="G927" i="5"/>
  <c r="D927" i="5"/>
  <c r="C927" i="5"/>
  <c r="A927" i="5"/>
  <c r="AL926" i="5"/>
  <c r="AK926" i="5"/>
  <c r="AJ926" i="5"/>
  <c r="AI926" i="5"/>
  <c r="M926" i="5"/>
  <c r="L926" i="5"/>
  <c r="K926" i="5"/>
  <c r="J926" i="5"/>
  <c r="I926" i="5"/>
  <c r="H926" i="5"/>
  <c r="E926" i="9" s="1"/>
  <c r="G926" i="5"/>
  <c r="D926" i="5"/>
  <c r="C926" i="5"/>
  <c r="A926" i="5"/>
  <c r="AL925" i="5"/>
  <c r="AK925" i="5"/>
  <c r="AJ925" i="5"/>
  <c r="AI925" i="5"/>
  <c r="M925" i="5"/>
  <c r="L925" i="5"/>
  <c r="K925" i="5"/>
  <c r="J925" i="5"/>
  <c r="I925" i="5"/>
  <c r="H925" i="5"/>
  <c r="E925" i="9" s="1"/>
  <c r="G925" i="5"/>
  <c r="D925" i="5"/>
  <c r="C925" i="5"/>
  <c r="A925" i="5"/>
  <c r="AL924" i="5"/>
  <c r="AK924" i="5"/>
  <c r="AJ924" i="5"/>
  <c r="AI924" i="5"/>
  <c r="M924" i="5"/>
  <c r="L924" i="5"/>
  <c r="K924" i="5"/>
  <c r="J924" i="5"/>
  <c r="I924" i="5"/>
  <c r="H924" i="5"/>
  <c r="E924" i="9" s="1"/>
  <c r="G924" i="5"/>
  <c r="D924" i="5"/>
  <c r="C924" i="5"/>
  <c r="A924" i="5"/>
  <c r="AL923" i="5"/>
  <c r="AK923" i="5"/>
  <c r="AJ923" i="5"/>
  <c r="AI923" i="5"/>
  <c r="M923" i="5"/>
  <c r="L923" i="5"/>
  <c r="K923" i="5"/>
  <c r="J923" i="5"/>
  <c r="I923" i="5"/>
  <c r="H923" i="5"/>
  <c r="E923" i="9" s="1"/>
  <c r="G923" i="5"/>
  <c r="D923" i="5"/>
  <c r="C923" i="5"/>
  <c r="A923" i="5"/>
  <c r="AL922" i="5"/>
  <c r="AK922" i="5"/>
  <c r="AJ922" i="5"/>
  <c r="AI922" i="5"/>
  <c r="M922" i="5"/>
  <c r="L922" i="5"/>
  <c r="K922" i="5"/>
  <c r="J922" i="5"/>
  <c r="I922" i="5"/>
  <c r="H922" i="5"/>
  <c r="E922" i="9" s="1"/>
  <c r="G922" i="5"/>
  <c r="D922" i="5"/>
  <c r="C922" i="5"/>
  <c r="A922" i="5"/>
  <c r="AL921" i="5"/>
  <c r="AK921" i="5"/>
  <c r="AJ921" i="5"/>
  <c r="AI921" i="5"/>
  <c r="M921" i="5"/>
  <c r="L921" i="5"/>
  <c r="K921" i="5"/>
  <c r="J921" i="5"/>
  <c r="I921" i="5"/>
  <c r="H921" i="5"/>
  <c r="E921" i="9" s="1"/>
  <c r="G921" i="5"/>
  <c r="D921" i="5"/>
  <c r="C921" i="5"/>
  <c r="A921" i="5"/>
  <c r="AL920" i="5"/>
  <c r="AK920" i="5"/>
  <c r="AJ920" i="5"/>
  <c r="AI920" i="5"/>
  <c r="M920" i="5"/>
  <c r="L920" i="5"/>
  <c r="K920" i="5"/>
  <c r="J920" i="5"/>
  <c r="I920" i="5"/>
  <c r="H920" i="5"/>
  <c r="E920" i="9" s="1"/>
  <c r="G920" i="5"/>
  <c r="D920" i="5"/>
  <c r="C920" i="5"/>
  <c r="A920" i="5"/>
  <c r="AL919" i="5"/>
  <c r="AK919" i="5"/>
  <c r="AJ919" i="5"/>
  <c r="AI919" i="5"/>
  <c r="M919" i="5"/>
  <c r="L919" i="5"/>
  <c r="K919" i="5"/>
  <c r="J919" i="5"/>
  <c r="I919" i="5"/>
  <c r="H919" i="5"/>
  <c r="E919" i="9" s="1"/>
  <c r="G919" i="5"/>
  <c r="D919" i="5"/>
  <c r="C919" i="5"/>
  <c r="A919" i="5"/>
  <c r="AL918" i="5"/>
  <c r="AK918" i="5"/>
  <c r="AJ918" i="5"/>
  <c r="AI918" i="5"/>
  <c r="M918" i="5"/>
  <c r="L918" i="5"/>
  <c r="K918" i="5"/>
  <c r="J918" i="5"/>
  <c r="I918" i="5"/>
  <c r="H918" i="5"/>
  <c r="E918" i="9" s="1"/>
  <c r="G918" i="5"/>
  <c r="D918" i="5"/>
  <c r="C918" i="5"/>
  <c r="A918" i="5"/>
  <c r="AL917" i="5"/>
  <c r="AK917" i="5"/>
  <c r="AJ917" i="5"/>
  <c r="AI917" i="5"/>
  <c r="M917" i="5"/>
  <c r="L917" i="5"/>
  <c r="K917" i="5"/>
  <c r="J917" i="5"/>
  <c r="I917" i="5"/>
  <c r="H917" i="5"/>
  <c r="E917" i="9" s="1"/>
  <c r="G917" i="5"/>
  <c r="D917" i="5"/>
  <c r="C917" i="5"/>
  <c r="A917" i="5"/>
  <c r="AL916" i="5"/>
  <c r="AK916" i="5"/>
  <c r="AJ916" i="5"/>
  <c r="AI916" i="5"/>
  <c r="M916" i="5"/>
  <c r="L916" i="5"/>
  <c r="K916" i="5"/>
  <c r="J916" i="5"/>
  <c r="I916" i="5"/>
  <c r="H916" i="5"/>
  <c r="E916" i="9" s="1"/>
  <c r="G916" i="5"/>
  <c r="D916" i="5"/>
  <c r="C916" i="5"/>
  <c r="A916" i="5"/>
  <c r="AL915" i="5"/>
  <c r="AK915" i="5"/>
  <c r="AJ915" i="5"/>
  <c r="AI915" i="5"/>
  <c r="M915" i="5"/>
  <c r="L915" i="5"/>
  <c r="K915" i="5"/>
  <c r="J915" i="5"/>
  <c r="I915" i="5"/>
  <c r="H915" i="5"/>
  <c r="E915" i="9" s="1"/>
  <c r="G915" i="5"/>
  <c r="D915" i="5"/>
  <c r="C915" i="5"/>
  <c r="A915" i="5"/>
  <c r="AL914" i="5"/>
  <c r="AK914" i="5"/>
  <c r="AJ914" i="5"/>
  <c r="AI914" i="5"/>
  <c r="M914" i="5"/>
  <c r="L914" i="5"/>
  <c r="K914" i="5"/>
  <c r="J914" i="5"/>
  <c r="I914" i="5"/>
  <c r="H914" i="5"/>
  <c r="E914" i="9" s="1"/>
  <c r="G914" i="5"/>
  <c r="D914" i="5"/>
  <c r="C914" i="5"/>
  <c r="A914" i="5"/>
  <c r="AL913" i="5"/>
  <c r="AK913" i="5"/>
  <c r="AJ913" i="5"/>
  <c r="AI913" i="5"/>
  <c r="M913" i="5"/>
  <c r="L913" i="5"/>
  <c r="K913" i="5"/>
  <c r="J913" i="5"/>
  <c r="I913" i="5"/>
  <c r="H913" i="5"/>
  <c r="E913" i="9" s="1"/>
  <c r="G913" i="5"/>
  <c r="D913" i="5"/>
  <c r="C913" i="5"/>
  <c r="A913" i="5"/>
  <c r="AL912" i="5"/>
  <c r="AK912" i="5"/>
  <c r="AJ912" i="5"/>
  <c r="AI912" i="5"/>
  <c r="M912" i="5"/>
  <c r="L912" i="5"/>
  <c r="K912" i="5"/>
  <c r="J912" i="5"/>
  <c r="I912" i="5"/>
  <c r="H912" i="5"/>
  <c r="E912" i="9" s="1"/>
  <c r="G912" i="5"/>
  <c r="D912" i="5"/>
  <c r="C912" i="5"/>
  <c r="A912" i="5"/>
  <c r="AL911" i="5"/>
  <c r="AK911" i="5"/>
  <c r="AJ911" i="5"/>
  <c r="AI911" i="5"/>
  <c r="M911" i="5"/>
  <c r="L911" i="5"/>
  <c r="K911" i="5"/>
  <c r="J911" i="5"/>
  <c r="I911" i="5"/>
  <c r="H911" i="5"/>
  <c r="E911" i="9" s="1"/>
  <c r="G911" i="5"/>
  <c r="D911" i="5"/>
  <c r="C911" i="5"/>
  <c r="A911" i="5"/>
  <c r="AL910" i="5"/>
  <c r="AK910" i="5"/>
  <c r="AJ910" i="5"/>
  <c r="AI910" i="5"/>
  <c r="M910" i="5"/>
  <c r="L910" i="5"/>
  <c r="K910" i="5"/>
  <c r="J910" i="5"/>
  <c r="I910" i="5"/>
  <c r="H910" i="5"/>
  <c r="E910" i="9" s="1"/>
  <c r="G910" i="5"/>
  <c r="D910" i="5"/>
  <c r="C910" i="5"/>
  <c r="A910" i="5"/>
  <c r="AL909" i="5"/>
  <c r="AK909" i="5"/>
  <c r="AJ909" i="5"/>
  <c r="AI909" i="5"/>
  <c r="M909" i="5"/>
  <c r="L909" i="5"/>
  <c r="K909" i="5"/>
  <c r="J909" i="5"/>
  <c r="I909" i="5"/>
  <c r="H909" i="5"/>
  <c r="E909" i="9" s="1"/>
  <c r="G909" i="5"/>
  <c r="D909" i="5"/>
  <c r="C909" i="5"/>
  <c r="A909" i="5"/>
  <c r="AM908" i="5"/>
  <c r="AL908" i="5"/>
  <c r="AK908" i="5"/>
  <c r="AJ908" i="5"/>
  <c r="AN908" i="5" s="1"/>
  <c r="AI908" i="5"/>
  <c r="M908" i="5"/>
  <c r="L908" i="5"/>
  <c r="K908" i="5"/>
  <c r="J908" i="5"/>
  <c r="I908" i="5"/>
  <c r="H908" i="5"/>
  <c r="E908" i="9" s="1"/>
  <c r="G908" i="5"/>
  <c r="D908" i="5"/>
  <c r="C908" i="5"/>
  <c r="A908" i="5"/>
  <c r="AL907" i="5"/>
  <c r="AK907" i="5"/>
  <c r="AJ907" i="5"/>
  <c r="AN907" i="5" s="1"/>
  <c r="AI907" i="5"/>
  <c r="M907" i="5"/>
  <c r="L907" i="5"/>
  <c r="K907" i="5"/>
  <c r="J907" i="5"/>
  <c r="I907" i="5"/>
  <c r="H907" i="5"/>
  <c r="E907" i="9" s="1"/>
  <c r="G907" i="5"/>
  <c r="D907" i="5"/>
  <c r="C907" i="5"/>
  <c r="A907" i="5"/>
  <c r="AL906" i="5"/>
  <c r="AK906" i="5"/>
  <c r="AJ906" i="5"/>
  <c r="AN906" i="5" s="1"/>
  <c r="AI906" i="5"/>
  <c r="M906" i="5"/>
  <c r="L906" i="5"/>
  <c r="K906" i="5"/>
  <c r="J906" i="5"/>
  <c r="I906" i="5"/>
  <c r="H906" i="5"/>
  <c r="E906" i="9" s="1"/>
  <c r="G906" i="5"/>
  <c r="D906" i="5"/>
  <c r="C906" i="5"/>
  <c r="A906" i="5"/>
  <c r="AL905" i="5"/>
  <c r="AK905" i="5"/>
  <c r="AJ905" i="5"/>
  <c r="AN905" i="5" s="1"/>
  <c r="AI905" i="5"/>
  <c r="M905" i="5"/>
  <c r="L905" i="5"/>
  <c r="K905" i="5"/>
  <c r="J905" i="5"/>
  <c r="I905" i="5"/>
  <c r="H905" i="5"/>
  <c r="E905" i="9" s="1"/>
  <c r="G905" i="5"/>
  <c r="D905" i="5"/>
  <c r="C905" i="5"/>
  <c r="A905" i="5"/>
  <c r="AM904" i="5"/>
  <c r="AL904" i="5"/>
  <c r="AK904" i="5"/>
  <c r="AJ904" i="5"/>
  <c r="AN904" i="5" s="1"/>
  <c r="AI904" i="5"/>
  <c r="M904" i="5"/>
  <c r="L904" i="5"/>
  <c r="K904" i="5"/>
  <c r="J904" i="5"/>
  <c r="I904" i="5"/>
  <c r="H904" i="5"/>
  <c r="E904" i="9" s="1"/>
  <c r="G904" i="5"/>
  <c r="D904" i="5"/>
  <c r="C904" i="5"/>
  <c r="A904" i="5"/>
  <c r="AL903" i="5"/>
  <c r="AK903" i="5"/>
  <c r="AJ903" i="5"/>
  <c r="AN903" i="5" s="1"/>
  <c r="AI903" i="5"/>
  <c r="M903" i="5"/>
  <c r="L903" i="5"/>
  <c r="K903" i="5"/>
  <c r="J903" i="5"/>
  <c r="I903" i="5"/>
  <c r="H903" i="5"/>
  <c r="E903" i="9" s="1"/>
  <c r="G903" i="5"/>
  <c r="D903" i="5"/>
  <c r="C903" i="5"/>
  <c r="A903" i="5"/>
  <c r="AM902" i="5"/>
  <c r="AL902" i="5"/>
  <c r="AK902" i="5"/>
  <c r="AJ902" i="5"/>
  <c r="AN902" i="5" s="1"/>
  <c r="AI902" i="5"/>
  <c r="M902" i="5"/>
  <c r="L902" i="5"/>
  <c r="K902" i="5"/>
  <c r="J902" i="5"/>
  <c r="I902" i="5"/>
  <c r="H902" i="5"/>
  <c r="E902" i="9" s="1"/>
  <c r="G902" i="5"/>
  <c r="D902" i="5"/>
  <c r="C902" i="5"/>
  <c r="A902" i="5"/>
  <c r="AL901" i="5"/>
  <c r="AK901" i="5"/>
  <c r="AJ901" i="5"/>
  <c r="AN901" i="5" s="1"/>
  <c r="AI901" i="5"/>
  <c r="M901" i="5"/>
  <c r="L901" i="5"/>
  <c r="K901" i="5"/>
  <c r="J901" i="5"/>
  <c r="I901" i="5"/>
  <c r="H901" i="5"/>
  <c r="E901" i="9" s="1"/>
  <c r="G901" i="5"/>
  <c r="D901" i="5"/>
  <c r="C901" i="5"/>
  <c r="A901" i="5"/>
  <c r="AL900" i="5"/>
  <c r="AK900" i="5"/>
  <c r="AJ900" i="5"/>
  <c r="AI900" i="5"/>
  <c r="M900" i="5"/>
  <c r="L900" i="5"/>
  <c r="K900" i="5"/>
  <c r="J900" i="5"/>
  <c r="I900" i="5"/>
  <c r="H900" i="5"/>
  <c r="E900" i="9" s="1"/>
  <c r="G900" i="5"/>
  <c r="D900" i="5"/>
  <c r="C900" i="5"/>
  <c r="A900" i="5"/>
  <c r="AL899" i="5"/>
  <c r="AK899" i="5"/>
  <c r="AJ899" i="5"/>
  <c r="AN899" i="5" s="1"/>
  <c r="AI899" i="5"/>
  <c r="M899" i="5"/>
  <c r="L899" i="5"/>
  <c r="K899" i="5"/>
  <c r="J899" i="5"/>
  <c r="I899" i="5"/>
  <c r="H899" i="5"/>
  <c r="E899" i="9" s="1"/>
  <c r="G899" i="5"/>
  <c r="D899" i="5"/>
  <c r="C899" i="5"/>
  <c r="A899" i="5"/>
  <c r="AL898" i="5"/>
  <c r="AK898" i="5"/>
  <c r="AJ898" i="5"/>
  <c r="AN898" i="5" s="1"/>
  <c r="AI898" i="5"/>
  <c r="M898" i="5"/>
  <c r="L898" i="5"/>
  <c r="K898" i="5"/>
  <c r="J898" i="5"/>
  <c r="I898" i="5"/>
  <c r="H898" i="5"/>
  <c r="E898" i="9" s="1"/>
  <c r="G898" i="5"/>
  <c r="D898" i="5"/>
  <c r="C898" i="5"/>
  <c r="A898" i="5"/>
  <c r="AL897" i="5"/>
  <c r="AK897" i="5"/>
  <c r="AJ897" i="5"/>
  <c r="AN897" i="5" s="1"/>
  <c r="AI897" i="5"/>
  <c r="M897" i="5"/>
  <c r="L897" i="5"/>
  <c r="K897" i="5"/>
  <c r="J897" i="5"/>
  <c r="I897" i="5"/>
  <c r="H897" i="5"/>
  <c r="E897" i="9" s="1"/>
  <c r="G897" i="5"/>
  <c r="D897" i="5"/>
  <c r="C897" i="5"/>
  <c r="A897" i="5"/>
  <c r="AL896" i="5"/>
  <c r="AK896" i="5"/>
  <c r="AJ896" i="5"/>
  <c r="AI896" i="5"/>
  <c r="M896" i="5"/>
  <c r="L896" i="5"/>
  <c r="K896" i="5"/>
  <c r="J896" i="5"/>
  <c r="I896" i="5"/>
  <c r="H896" i="5"/>
  <c r="E896" i="9" s="1"/>
  <c r="G896" i="5"/>
  <c r="D896" i="5"/>
  <c r="C896" i="5"/>
  <c r="A896" i="5"/>
  <c r="AL895" i="5"/>
  <c r="AK895" i="5"/>
  <c r="AJ895" i="5"/>
  <c r="AN895" i="5" s="1"/>
  <c r="AI895" i="5"/>
  <c r="M895" i="5"/>
  <c r="L895" i="5"/>
  <c r="K895" i="5"/>
  <c r="J895" i="5"/>
  <c r="I895" i="5"/>
  <c r="H895" i="5"/>
  <c r="E895" i="9" s="1"/>
  <c r="G895" i="5"/>
  <c r="D895" i="5"/>
  <c r="C895" i="5"/>
  <c r="A895" i="5"/>
  <c r="AM894" i="5"/>
  <c r="AL894" i="5"/>
  <c r="AK894" i="5"/>
  <c r="AJ894" i="5"/>
  <c r="AN894" i="5" s="1"/>
  <c r="AI894" i="5"/>
  <c r="M894" i="5"/>
  <c r="L894" i="5"/>
  <c r="K894" i="5"/>
  <c r="J894" i="5"/>
  <c r="I894" i="5"/>
  <c r="H894" i="5"/>
  <c r="E894" i="9" s="1"/>
  <c r="G894" i="5"/>
  <c r="D894" i="5"/>
  <c r="C894" i="5"/>
  <c r="A894" i="5"/>
  <c r="AL893" i="5"/>
  <c r="AK893" i="5"/>
  <c r="AJ893" i="5"/>
  <c r="AN893" i="5" s="1"/>
  <c r="AI893" i="5"/>
  <c r="M893" i="5"/>
  <c r="L893" i="5"/>
  <c r="K893" i="5"/>
  <c r="J893" i="5"/>
  <c r="I893" i="5"/>
  <c r="H893" i="5"/>
  <c r="E893" i="9" s="1"/>
  <c r="G893" i="5"/>
  <c r="D893" i="5"/>
  <c r="C893" i="5"/>
  <c r="A893" i="5"/>
  <c r="AL892" i="5"/>
  <c r="AK892" i="5"/>
  <c r="AJ892" i="5"/>
  <c r="AN892" i="5" s="1"/>
  <c r="AI892" i="5"/>
  <c r="M892" i="5"/>
  <c r="L892" i="5"/>
  <c r="K892" i="5"/>
  <c r="J892" i="5"/>
  <c r="I892" i="5"/>
  <c r="H892" i="5"/>
  <c r="E892" i="9" s="1"/>
  <c r="G892" i="5"/>
  <c r="D892" i="5"/>
  <c r="C892" i="5"/>
  <c r="A892" i="5"/>
  <c r="AL891" i="5"/>
  <c r="AK891" i="5"/>
  <c r="AJ891" i="5"/>
  <c r="AN891" i="5" s="1"/>
  <c r="AI891" i="5"/>
  <c r="M891" i="5"/>
  <c r="L891" i="5"/>
  <c r="K891" i="5"/>
  <c r="J891" i="5"/>
  <c r="I891" i="5"/>
  <c r="H891" i="5"/>
  <c r="E891" i="9" s="1"/>
  <c r="G891" i="5"/>
  <c r="D891" i="5"/>
  <c r="C891" i="5"/>
  <c r="A891" i="5"/>
  <c r="AL890" i="5"/>
  <c r="AK890" i="5"/>
  <c r="AJ890" i="5"/>
  <c r="AN890" i="5" s="1"/>
  <c r="AI890" i="5"/>
  <c r="M890" i="5"/>
  <c r="L890" i="5"/>
  <c r="K890" i="5"/>
  <c r="J890" i="5"/>
  <c r="I890" i="5"/>
  <c r="H890" i="5"/>
  <c r="E890" i="9" s="1"/>
  <c r="G890" i="5"/>
  <c r="D890" i="5"/>
  <c r="C890" i="5"/>
  <c r="A890" i="5"/>
  <c r="AL889" i="5"/>
  <c r="AK889" i="5"/>
  <c r="AJ889" i="5"/>
  <c r="AN889" i="5" s="1"/>
  <c r="AI889" i="5"/>
  <c r="M889" i="5"/>
  <c r="L889" i="5"/>
  <c r="K889" i="5"/>
  <c r="J889" i="5"/>
  <c r="I889" i="5"/>
  <c r="H889" i="5"/>
  <c r="E889" i="9" s="1"/>
  <c r="G889" i="5"/>
  <c r="D889" i="5"/>
  <c r="C889" i="5"/>
  <c r="A889" i="5"/>
  <c r="AL888" i="5"/>
  <c r="AK888" i="5"/>
  <c r="AJ888" i="5"/>
  <c r="AN888" i="5" s="1"/>
  <c r="AI888" i="5"/>
  <c r="M888" i="5"/>
  <c r="L888" i="5"/>
  <c r="K888" i="5"/>
  <c r="J888" i="5"/>
  <c r="I888" i="5"/>
  <c r="H888" i="5"/>
  <c r="E888" i="9" s="1"/>
  <c r="G888" i="5"/>
  <c r="D888" i="5"/>
  <c r="C888" i="5"/>
  <c r="A888" i="5"/>
  <c r="AL887" i="5"/>
  <c r="AK887" i="5"/>
  <c r="AJ887" i="5"/>
  <c r="AN887" i="5" s="1"/>
  <c r="AI887" i="5"/>
  <c r="M887" i="5"/>
  <c r="L887" i="5"/>
  <c r="K887" i="5"/>
  <c r="J887" i="5"/>
  <c r="I887" i="5"/>
  <c r="H887" i="5"/>
  <c r="E887" i="9" s="1"/>
  <c r="G887" i="5"/>
  <c r="D887" i="5"/>
  <c r="C887" i="5"/>
  <c r="A887" i="5"/>
  <c r="AL886" i="5"/>
  <c r="AK886" i="5"/>
  <c r="AJ886" i="5"/>
  <c r="AI886" i="5"/>
  <c r="M886" i="5"/>
  <c r="L886" i="5"/>
  <c r="K886" i="5"/>
  <c r="J886" i="5"/>
  <c r="I886" i="5"/>
  <c r="H886" i="5"/>
  <c r="E886" i="9" s="1"/>
  <c r="G886" i="5"/>
  <c r="D886" i="5"/>
  <c r="C886" i="5"/>
  <c r="A886" i="5"/>
  <c r="AL885" i="5"/>
  <c r="AK885" i="5"/>
  <c r="AJ885" i="5"/>
  <c r="AN885" i="5" s="1"/>
  <c r="AI885" i="5"/>
  <c r="M885" i="5"/>
  <c r="L885" i="5"/>
  <c r="K885" i="5"/>
  <c r="J885" i="5"/>
  <c r="I885" i="5"/>
  <c r="H885" i="5"/>
  <c r="E885" i="9" s="1"/>
  <c r="G885" i="5"/>
  <c r="D885" i="5"/>
  <c r="C885" i="5"/>
  <c r="A885" i="5"/>
  <c r="AM884" i="5"/>
  <c r="AL884" i="5"/>
  <c r="AK884" i="5"/>
  <c r="AJ884" i="5"/>
  <c r="AN884" i="5" s="1"/>
  <c r="AI884" i="5"/>
  <c r="M884" i="5"/>
  <c r="L884" i="5"/>
  <c r="K884" i="5"/>
  <c r="J884" i="5"/>
  <c r="I884" i="5"/>
  <c r="H884" i="5"/>
  <c r="E884" i="9" s="1"/>
  <c r="G884" i="5"/>
  <c r="D884" i="5"/>
  <c r="C884" i="5"/>
  <c r="A884" i="5"/>
  <c r="AL883" i="5"/>
  <c r="AK883" i="5"/>
  <c r="AJ883" i="5"/>
  <c r="AN883" i="5" s="1"/>
  <c r="AI883" i="5"/>
  <c r="M883" i="5"/>
  <c r="L883" i="5"/>
  <c r="K883" i="5"/>
  <c r="J883" i="5"/>
  <c r="I883" i="5"/>
  <c r="H883" i="5"/>
  <c r="E883" i="9" s="1"/>
  <c r="G883" i="5"/>
  <c r="D883" i="5"/>
  <c r="C883" i="5"/>
  <c r="A883" i="5"/>
  <c r="AL882" i="5"/>
  <c r="AK882" i="5"/>
  <c r="AJ882" i="5"/>
  <c r="AN882" i="5" s="1"/>
  <c r="AI882" i="5"/>
  <c r="M882" i="5"/>
  <c r="L882" i="5"/>
  <c r="K882" i="5"/>
  <c r="J882" i="5"/>
  <c r="I882" i="5"/>
  <c r="H882" i="5"/>
  <c r="E882" i="9" s="1"/>
  <c r="G882" i="5"/>
  <c r="D882" i="5"/>
  <c r="C882" i="5"/>
  <c r="A882" i="5"/>
  <c r="AL881" i="5"/>
  <c r="AK881" i="5"/>
  <c r="AJ881" i="5"/>
  <c r="AN881" i="5" s="1"/>
  <c r="AI881" i="5"/>
  <c r="M881" i="5"/>
  <c r="L881" i="5"/>
  <c r="K881" i="5"/>
  <c r="J881" i="5"/>
  <c r="I881" i="5"/>
  <c r="H881" i="5"/>
  <c r="E881" i="9" s="1"/>
  <c r="G881" i="5"/>
  <c r="D881" i="5"/>
  <c r="C881" i="5"/>
  <c r="A881" i="5"/>
  <c r="AM880" i="5"/>
  <c r="AL880" i="5"/>
  <c r="AK880" i="5"/>
  <c r="AJ880" i="5"/>
  <c r="AN880" i="5" s="1"/>
  <c r="AI880" i="5"/>
  <c r="M880" i="5"/>
  <c r="L880" i="5"/>
  <c r="K880" i="5"/>
  <c r="J880" i="5"/>
  <c r="I880" i="5"/>
  <c r="H880" i="5"/>
  <c r="E880" i="9" s="1"/>
  <c r="G880" i="5"/>
  <c r="D880" i="5"/>
  <c r="C880" i="5"/>
  <c r="A880" i="5"/>
  <c r="AL879" i="5"/>
  <c r="AK879" i="5"/>
  <c r="AJ879" i="5"/>
  <c r="AN879" i="5" s="1"/>
  <c r="AI879" i="5"/>
  <c r="M879" i="5"/>
  <c r="L879" i="5"/>
  <c r="K879" i="5"/>
  <c r="J879" i="5"/>
  <c r="I879" i="5"/>
  <c r="H879" i="5"/>
  <c r="E879" i="9" s="1"/>
  <c r="G879" i="5"/>
  <c r="D879" i="5"/>
  <c r="C879" i="5"/>
  <c r="A879" i="5"/>
  <c r="AL878" i="5"/>
  <c r="AK878" i="5"/>
  <c r="AJ878" i="5"/>
  <c r="AN878" i="5" s="1"/>
  <c r="AI878" i="5"/>
  <c r="M878" i="5"/>
  <c r="L878" i="5"/>
  <c r="K878" i="5"/>
  <c r="J878" i="5"/>
  <c r="I878" i="5"/>
  <c r="H878" i="5"/>
  <c r="E878" i="9" s="1"/>
  <c r="G878" i="5"/>
  <c r="D878" i="5"/>
  <c r="C878" i="5"/>
  <c r="A878" i="5"/>
  <c r="AL877" i="5"/>
  <c r="AK877" i="5"/>
  <c r="AJ877" i="5"/>
  <c r="AN877" i="5" s="1"/>
  <c r="AI877" i="5"/>
  <c r="M877" i="5"/>
  <c r="L877" i="5"/>
  <c r="K877" i="5"/>
  <c r="J877" i="5"/>
  <c r="I877" i="5"/>
  <c r="H877" i="5"/>
  <c r="E877" i="9" s="1"/>
  <c r="G877" i="5"/>
  <c r="D877" i="5"/>
  <c r="C877" i="5"/>
  <c r="A877" i="5"/>
  <c r="AL876" i="5"/>
  <c r="AK876" i="5"/>
  <c r="AJ876" i="5"/>
  <c r="AI876" i="5"/>
  <c r="M876" i="5"/>
  <c r="L876" i="5"/>
  <c r="K876" i="5"/>
  <c r="J876" i="5"/>
  <c r="I876" i="5"/>
  <c r="H876" i="5"/>
  <c r="E876" i="9" s="1"/>
  <c r="G876" i="5"/>
  <c r="D876" i="5"/>
  <c r="C876" i="5"/>
  <c r="A876" i="5"/>
  <c r="AL875" i="5"/>
  <c r="AK875" i="5"/>
  <c r="AJ875" i="5"/>
  <c r="AN875" i="5" s="1"/>
  <c r="AI875" i="5"/>
  <c r="M875" i="5"/>
  <c r="L875" i="5"/>
  <c r="K875" i="5"/>
  <c r="J875" i="5"/>
  <c r="I875" i="5"/>
  <c r="H875" i="5"/>
  <c r="E875" i="9" s="1"/>
  <c r="G875" i="5"/>
  <c r="D875" i="5"/>
  <c r="C875" i="5"/>
  <c r="A875" i="5"/>
  <c r="AL874" i="5"/>
  <c r="AK874" i="5"/>
  <c r="AJ874" i="5"/>
  <c r="AN874" i="5" s="1"/>
  <c r="AI874" i="5"/>
  <c r="M874" i="5"/>
  <c r="L874" i="5"/>
  <c r="K874" i="5"/>
  <c r="J874" i="5"/>
  <c r="I874" i="5"/>
  <c r="H874" i="5"/>
  <c r="E874" i="9" s="1"/>
  <c r="G874" i="5"/>
  <c r="D874" i="5"/>
  <c r="C874" i="5"/>
  <c r="A874" i="5"/>
  <c r="AL873" i="5"/>
  <c r="AK873" i="5"/>
  <c r="AJ873" i="5"/>
  <c r="AN873" i="5" s="1"/>
  <c r="AI873" i="5"/>
  <c r="M873" i="5"/>
  <c r="L873" i="5"/>
  <c r="K873" i="5"/>
  <c r="J873" i="5"/>
  <c r="I873" i="5"/>
  <c r="H873" i="5"/>
  <c r="E873" i="9" s="1"/>
  <c r="G873" i="5"/>
  <c r="D873" i="5"/>
  <c r="C873" i="5"/>
  <c r="A873" i="5"/>
  <c r="AL872" i="5"/>
  <c r="AK872" i="5"/>
  <c r="AJ872" i="5"/>
  <c r="AN872" i="5" s="1"/>
  <c r="AI872" i="5"/>
  <c r="M872" i="5"/>
  <c r="L872" i="5"/>
  <c r="K872" i="5"/>
  <c r="J872" i="5"/>
  <c r="I872" i="5"/>
  <c r="H872" i="5"/>
  <c r="E872" i="9" s="1"/>
  <c r="G872" i="5"/>
  <c r="D872" i="5"/>
  <c r="C872" i="5"/>
  <c r="A872" i="5"/>
  <c r="AL871" i="5"/>
  <c r="AK871" i="5"/>
  <c r="AJ871" i="5"/>
  <c r="AN871" i="5" s="1"/>
  <c r="AI871" i="5"/>
  <c r="M871" i="5"/>
  <c r="L871" i="5"/>
  <c r="K871" i="5"/>
  <c r="J871" i="5"/>
  <c r="I871" i="5"/>
  <c r="H871" i="5"/>
  <c r="E871" i="9" s="1"/>
  <c r="G871" i="5"/>
  <c r="D871" i="5"/>
  <c r="C871" i="5"/>
  <c r="A871" i="5"/>
  <c r="AM870" i="5"/>
  <c r="AL870" i="5"/>
  <c r="AK870" i="5"/>
  <c r="AJ870" i="5"/>
  <c r="AN870" i="5" s="1"/>
  <c r="AI870" i="5"/>
  <c r="M870" i="5"/>
  <c r="L870" i="5"/>
  <c r="K870" i="5"/>
  <c r="J870" i="5"/>
  <c r="I870" i="5"/>
  <c r="H870" i="5"/>
  <c r="E870" i="9" s="1"/>
  <c r="G870" i="5"/>
  <c r="D870" i="5"/>
  <c r="C870" i="5"/>
  <c r="A870" i="5"/>
  <c r="AL869" i="5"/>
  <c r="AK869" i="5"/>
  <c r="AJ869" i="5"/>
  <c r="AN869" i="5" s="1"/>
  <c r="AI869" i="5"/>
  <c r="M869" i="5"/>
  <c r="L869" i="5"/>
  <c r="K869" i="5"/>
  <c r="J869" i="5"/>
  <c r="I869" i="5"/>
  <c r="H869" i="5"/>
  <c r="E869" i="9" s="1"/>
  <c r="G869" i="5"/>
  <c r="D869" i="5"/>
  <c r="C869" i="5"/>
  <c r="A869" i="5"/>
  <c r="AL868" i="5"/>
  <c r="AK868" i="5"/>
  <c r="AJ868" i="5"/>
  <c r="AN868" i="5" s="1"/>
  <c r="AI868" i="5"/>
  <c r="M868" i="5"/>
  <c r="L868" i="5"/>
  <c r="K868" i="5"/>
  <c r="J868" i="5"/>
  <c r="I868" i="5"/>
  <c r="H868" i="5"/>
  <c r="E868" i="9" s="1"/>
  <c r="G868" i="5"/>
  <c r="D868" i="5"/>
  <c r="C868" i="5"/>
  <c r="A868" i="5"/>
  <c r="AL867" i="5"/>
  <c r="AK867" i="5"/>
  <c r="AJ867" i="5"/>
  <c r="AN867" i="5" s="1"/>
  <c r="AI867" i="5"/>
  <c r="M867" i="5"/>
  <c r="L867" i="5"/>
  <c r="K867" i="5"/>
  <c r="J867" i="5"/>
  <c r="I867" i="5"/>
  <c r="H867" i="5"/>
  <c r="E867" i="9" s="1"/>
  <c r="G867" i="5"/>
  <c r="D867" i="5"/>
  <c r="C867" i="5"/>
  <c r="A867" i="5"/>
  <c r="AL866" i="5"/>
  <c r="AK866" i="5"/>
  <c r="AJ866" i="5"/>
  <c r="AN866" i="5" s="1"/>
  <c r="AI866" i="5"/>
  <c r="M866" i="5"/>
  <c r="L866" i="5"/>
  <c r="K866" i="5"/>
  <c r="J866" i="5"/>
  <c r="I866" i="5"/>
  <c r="H866" i="5"/>
  <c r="E866" i="9" s="1"/>
  <c r="G866" i="5"/>
  <c r="D866" i="5"/>
  <c r="C866" i="5"/>
  <c r="A866" i="5"/>
  <c r="AL865" i="5"/>
  <c r="AK865" i="5"/>
  <c r="AJ865" i="5"/>
  <c r="AN865" i="5" s="1"/>
  <c r="AI865" i="5"/>
  <c r="M865" i="5"/>
  <c r="L865" i="5"/>
  <c r="K865" i="5"/>
  <c r="J865" i="5"/>
  <c r="I865" i="5"/>
  <c r="H865" i="5"/>
  <c r="E865" i="9" s="1"/>
  <c r="G865" i="5"/>
  <c r="D865" i="5"/>
  <c r="C865" i="5"/>
  <c r="A865" i="5"/>
  <c r="AM864" i="5"/>
  <c r="AL864" i="5"/>
  <c r="AK864" i="5"/>
  <c r="AJ864" i="5"/>
  <c r="AN864" i="5" s="1"/>
  <c r="AI864" i="5"/>
  <c r="M864" i="5"/>
  <c r="L864" i="5"/>
  <c r="K864" i="5"/>
  <c r="J864" i="5"/>
  <c r="I864" i="5"/>
  <c r="H864" i="5"/>
  <c r="E864" i="9" s="1"/>
  <c r="G864" i="5"/>
  <c r="D864" i="5"/>
  <c r="C864" i="5"/>
  <c r="A864" i="5"/>
  <c r="AL863" i="5"/>
  <c r="AK863" i="5"/>
  <c r="AJ863" i="5"/>
  <c r="AN863" i="5" s="1"/>
  <c r="AI863" i="5"/>
  <c r="M863" i="5"/>
  <c r="L863" i="5"/>
  <c r="K863" i="5"/>
  <c r="J863" i="5"/>
  <c r="I863" i="5"/>
  <c r="H863" i="5"/>
  <c r="E863" i="9" s="1"/>
  <c r="G863" i="5"/>
  <c r="D863" i="5"/>
  <c r="C863" i="5"/>
  <c r="A863" i="5"/>
  <c r="AL862" i="5"/>
  <c r="AK862" i="5"/>
  <c r="AJ862" i="5"/>
  <c r="AI862" i="5"/>
  <c r="M862" i="5"/>
  <c r="L862" i="5"/>
  <c r="K862" i="5"/>
  <c r="J862" i="5"/>
  <c r="I862" i="5"/>
  <c r="H862" i="5"/>
  <c r="E862" i="9" s="1"/>
  <c r="G862" i="5"/>
  <c r="D862" i="5"/>
  <c r="C862" i="5"/>
  <c r="A862" i="5"/>
  <c r="AL861" i="5"/>
  <c r="AK861" i="5"/>
  <c r="AJ861" i="5"/>
  <c r="AN861" i="5" s="1"/>
  <c r="AI861" i="5"/>
  <c r="M861" i="5"/>
  <c r="L861" i="5"/>
  <c r="K861" i="5"/>
  <c r="J861" i="5"/>
  <c r="I861" i="5"/>
  <c r="H861" i="5"/>
  <c r="E861" i="9" s="1"/>
  <c r="G861" i="5"/>
  <c r="D861" i="5"/>
  <c r="C861" i="5"/>
  <c r="A861" i="5"/>
  <c r="AL860" i="5"/>
  <c r="AK860" i="5"/>
  <c r="AJ860" i="5"/>
  <c r="AN860" i="5" s="1"/>
  <c r="AI860" i="5"/>
  <c r="M860" i="5"/>
  <c r="L860" i="5"/>
  <c r="K860" i="5"/>
  <c r="J860" i="5"/>
  <c r="I860" i="5"/>
  <c r="H860" i="5"/>
  <c r="E860" i="9" s="1"/>
  <c r="G860" i="5"/>
  <c r="D860" i="5"/>
  <c r="C860" i="5"/>
  <c r="A860" i="5"/>
  <c r="AL859" i="5"/>
  <c r="AK859" i="5"/>
  <c r="AJ859" i="5"/>
  <c r="AN859" i="5" s="1"/>
  <c r="AI859" i="5"/>
  <c r="M859" i="5"/>
  <c r="L859" i="5"/>
  <c r="K859" i="5"/>
  <c r="J859" i="5"/>
  <c r="I859" i="5"/>
  <c r="H859" i="5"/>
  <c r="E859" i="9" s="1"/>
  <c r="G859" i="5"/>
  <c r="D859" i="5"/>
  <c r="C859" i="5"/>
  <c r="A859" i="5"/>
  <c r="AL858" i="5"/>
  <c r="AK858" i="5"/>
  <c r="AJ858" i="5"/>
  <c r="AN858" i="5" s="1"/>
  <c r="AI858" i="5"/>
  <c r="M858" i="5"/>
  <c r="L858" i="5"/>
  <c r="K858" i="5"/>
  <c r="J858" i="5"/>
  <c r="I858" i="5"/>
  <c r="H858" i="5"/>
  <c r="E858" i="9" s="1"/>
  <c r="G858" i="5"/>
  <c r="D858" i="5"/>
  <c r="C858" i="5"/>
  <c r="A858" i="5"/>
  <c r="AL857" i="5"/>
  <c r="AK857" i="5"/>
  <c r="AJ857" i="5"/>
  <c r="AN857" i="5" s="1"/>
  <c r="AI857" i="5"/>
  <c r="M857" i="5"/>
  <c r="L857" i="5"/>
  <c r="K857" i="5"/>
  <c r="J857" i="5"/>
  <c r="I857" i="5"/>
  <c r="H857" i="5"/>
  <c r="E857" i="9" s="1"/>
  <c r="G857" i="5"/>
  <c r="D857" i="5"/>
  <c r="C857" i="5"/>
  <c r="A857" i="5"/>
  <c r="AM856" i="5"/>
  <c r="AL856" i="5"/>
  <c r="AK856" i="5"/>
  <c r="AJ856" i="5"/>
  <c r="AN856" i="5" s="1"/>
  <c r="AI856" i="5"/>
  <c r="M856" i="5"/>
  <c r="L856" i="5"/>
  <c r="K856" i="5"/>
  <c r="J856" i="5"/>
  <c r="I856" i="5"/>
  <c r="H856" i="5"/>
  <c r="E856" i="9" s="1"/>
  <c r="G856" i="5"/>
  <c r="D856" i="5"/>
  <c r="C856" i="5"/>
  <c r="A856" i="5"/>
  <c r="AL855" i="5"/>
  <c r="AK855" i="5"/>
  <c r="AJ855" i="5"/>
  <c r="AN855" i="5" s="1"/>
  <c r="AI855" i="5"/>
  <c r="M855" i="5"/>
  <c r="L855" i="5"/>
  <c r="K855" i="5"/>
  <c r="J855" i="5"/>
  <c r="I855" i="5"/>
  <c r="H855" i="5"/>
  <c r="E855" i="9" s="1"/>
  <c r="G855" i="5"/>
  <c r="D855" i="5"/>
  <c r="C855" i="5"/>
  <c r="A855" i="5"/>
  <c r="AL854" i="5"/>
  <c r="AK854" i="5"/>
  <c r="AJ854" i="5"/>
  <c r="AI854" i="5"/>
  <c r="M854" i="5"/>
  <c r="L854" i="5"/>
  <c r="K854" i="5"/>
  <c r="J854" i="5"/>
  <c r="I854" i="5"/>
  <c r="H854" i="5"/>
  <c r="E854" i="9" s="1"/>
  <c r="G854" i="5"/>
  <c r="D854" i="5"/>
  <c r="C854" i="5"/>
  <c r="A854" i="5"/>
  <c r="AL853" i="5"/>
  <c r="AK853" i="5"/>
  <c r="AJ853" i="5"/>
  <c r="AN853" i="5" s="1"/>
  <c r="AI853" i="5"/>
  <c r="M853" i="5"/>
  <c r="L853" i="5"/>
  <c r="K853" i="5"/>
  <c r="J853" i="5"/>
  <c r="I853" i="5"/>
  <c r="H853" i="5"/>
  <c r="E853" i="9" s="1"/>
  <c r="G853" i="5"/>
  <c r="D853" i="5"/>
  <c r="C853" i="5"/>
  <c r="A853" i="5"/>
  <c r="AL852" i="5"/>
  <c r="AK852" i="5"/>
  <c r="AJ852" i="5"/>
  <c r="AN852" i="5" s="1"/>
  <c r="AI852" i="5"/>
  <c r="M852" i="5"/>
  <c r="L852" i="5"/>
  <c r="K852" i="5"/>
  <c r="J852" i="5"/>
  <c r="I852" i="5"/>
  <c r="H852" i="5"/>
  <c r="E852" i="9" s="1"/>
  <c r="G852" i="5"/>
  <c r="D852" i="5"/>
  <c r="C852" i="5"/>
  <c r="A852" i="5"/>
  <c r="AL851" i="5"/>
  <c r="AK851" i="5"/>
  <c r="AJ851" i="5"/>
  <c r="AN851" i="5" s="1"/>
  <c r="AI851" i="5"/>
  <c r="M851" i="5"/>
  <c r="L851" i="5"/>
  <c r="K851" i="5"/>
  <c r="J851" i="5"/>
  <c r="I851" i="5"/>
  <c r="H851" i="5"/>
  <c r="E851" i="9" s="1"/>
  <c r="G851" i="5"/>
  <c r="D851" i="5"/>
  <c r="C851" i="5"/>
  <c r="A851" i="5"/>
  <c r="AL850" i="5"/>
  <c r="AK850" i="5"/>
  <c r="AJ850" i="5"/>
  <c r="AN850" i="5" s="1"/>
  <c r="AI850" i="5"/>
  <c r="M850" i="5"/>
  <c r="L850" i="5"/>
  <c r="K850" i="5"/>
  <c r="J850" i="5"/>
  <c r="I850" i="5"/>
  <c r="H850" i="5"/>
  <c r="E850" i="9" s="1"/>
  <c r="G850" i="5"/>
  <c r="D850" i="5"/>
  <c r="C850" i="5"/>
  <c r="A850" i="5"/>
  <c r="AL849" i="5"/>
  <c r="AK849" i="5"/>
  <c r="AJ849" i="5"/>
  <c r="AN849" i="5" s="1"/>
  <c r="AI849" i="5"/>
  <c r="M849" i="5"/>
  <c r="L849" i="5"/>
  <c r="K849" i="5"/>
  <c r="J849" i="5"/>
  <c r="I849" i="5"/>
  <c r="H849" i="5"/>
  <c r="E849" i="9" s="1"/>
  <c r="G849" i="5"/>
  <c r="D849" i="5"/>
  <c r="C849" i="5"/>
  <c r="A849" i="5"/>
  <c r="AL848" i="5"/>
  <c r="AK848" i="5"/>
  <c r="AJ848" i="5"/>
  <c r="AI848" i="5"/>
  <c r="M848" i="5"/>
  <c r="L848" i="5"/>
  <c r="K848" i="5"/>
  <c r="J848" i="5"/>
  <c r="I848" i="5"/>
  <c r="H848" i="5"/>
  <c r="E848" i="9" s="1"/>
  <c r="G848" i="5"/>
  <c r="D848" i="5"/>
  <c r="C848" i="5"/>
  <c r="A848" i="5"/>
  <c r="AL847" i="5"/>
  <c r="AK847" i="5"/>
  <c r="AJ847" i="5"/>
  <c r="AN847" i="5" s="1"/>
  <c r="AI847" i="5"/>
  <c r="M847" i="5"/>
  <c r="L847" i="5"/>
  <c r="K847" i="5"/>
  <c r="J847" i="5"/>
  <c r="I847" i="5"/>
  <c r="H847" i="5"/>
  <c r="E847" i="9" s="1"/>
  <c r="G847" i="5"/>
  <c r="D847" i="5"/>
  <c r="C847" i="5"/>
  <c r="A847" i="5"/>
  <c r="AM846" i="5"/>
  <c r="AL846" i="5"/>
  <c r="AK846" i="5"/>
  <c r="AJ846" i="5"/>
  <c r="AN846" i="5" s="1"/>
  <c r="AI846" i="5"/>
  <c r="M846" i="5"/>
  <c r="L846" i="5"/>
  <c r="K846" i="5"/>
  <c r="J846" i="5"/>
  <c r="I846" i="5"/>
  <c r="H846" i="5"/>
  <c r="E846" i="9" s="1"/>
  <c r="G846" i="5"/>
  <c r="D846" i="5"/>
  <c r="C846" i="5"/>
  <c r="A846" i="5"/>
  <c r="AL845" i="5"/>
  <c r="AK845" i="5"/>
  <c r="AJ845" i="5"/>
  <c r="AN845" i="5" s="1"/>
  <c r="AI845" i="5"/>
  <c r="M845" i="5"/>
  <c r="L845" i="5"/>
  <c r="K845" i="5"/>
  <c r="J845" i="5"/>
  <c r="I845" i="5"/>
  <c r="H845" i="5"/>
  <c r="E845" i="9" s="1"/>
  <c r="G845" i="5"/>
  <c r="D845" i="5"/>
  <c r="C845" i="5"/>
  <c r="A845" i="5"/>
  <c r="AL844" i="5"/>
  <c r="AK844" i="5"/>
  <c r="AJ844" i="5"/>
  <c r="AN844" i="5" s="1"/>
  <c r="AI844" i="5"/>
  <c r="M844" i="5"/>
  <c r="L844" i="5"/>
  <c r="K844" i="5"/>
  <c r="J844" i="5"/>
  <c r="I844" i="5"/>
  <c r="H844" i="5"/>
  <c r="E844" i="9" s="1"/>
  <c r="G844" i="5"/>
  <c r="D844" i="5"/>
  <c r="C844" i="5"/>
  <c r="A844" i="5"/>
  <c r="AL843" i="5"/>
  <c r="AK843" i="5"/>
  <c r="AJ843" i="5"/>
  <c r="AN843" i="5" s="1"/>
  <c r="AI843" i="5"/>
  <c r="M843" i="5"/>
  <c r="L843" i="5"/>
  <c r="K843" i="5"/>
  <c r="J843" i="5"/>
  <c r="I843" i="5"/>
  <c r="H843" i="5"/>
  <c r="E843" i="9" s="1"/>
  <c r="G843" i="5"/>
  <c r="D843" i="5"/>
  <c r="C843" i="5"/>
  <c r="A843" i="5"/>
  <c r="AL842" i="5"/>
  <c r="AK842" i="5"/>
  <c r="AJ842" i="5"/>
  <c r="AN842" i="5" s="1"/>
  <c r="AI842" i="5"/>
  <c r="M842" i="5"/>
  <c r="L842" i="5"/>
  <c r="K842" i="5"/>
  <c r="J842" i="5"/>
  <c r="I842" i="5"/>
  <c r="H842" i="5"/>
  <c r="E842" i="9" s="1"/>
  <c r="G842" i="5"/>
  <c r="D842" i="5"/>
  <c r="C842" i="5"/>
  <c r="A842" i="5"/>
  <c r="AL841" i="5"/>
  <c r="AK841" i="5"/>
  <c r="AJ841" i="5"/>
  <c r="AN841" i="5" s="1"/>
  <c r="AI841" i="5"/>
  <c r="M841" i="5"/>
  <c r="L841" i="5"/>
  <c r="K841" i="5"/>
  <c r="J841" i="5"/>
  <c r="I841" i="5"/>
  <c r="H841" i="5"/>
  <c r="E841" i="9" s="1"/>
  <c r="G841" i="5"/>
  <c r="D841" i="5"/>
  <c r="C841" i="5"/>
  <c r="A841" i="5"/>
  <c r="AL840" i="5"/>
  <c r="AK840" i="5"/>
  <c r="AJ840" i="5"/>
  <c r="AN840" i="5" s="1"/>
  <c r="AI840" i="5"/>
  <c r="M840" i="5"/>
  <c r="L840" i="5"/>
  <c r="K840" i="5"/>
  <c r="J840" i="5"/>
  <c r="I840" i="5"/>
  <c r="H840" i="5"/>
  <c r="E840" i="9" s="1"/>
  <c r="G840" i="5"/>
  <c r="D840" i="5"/>
  <c r="C840" i="5"/>
  <c r="A840" i="5"/>
  <c r="AL839" i="5"/>
  <c r="AK839" i="5"/>
  <c r="AJ839" i="5"/>
  <c r="AN839" i="5" s="1"/>
  <c r="AI839" i="5"/>
  <c r="M839" i="5"/>
  <c r="L839" i="5"/>
  <c r="K839" i="5"/>
  <c r="J839" i="5"/>
  <c r="I839" i="5"/>
  <c r="H839" i="5"/>
  <c r="E839" i="9" s="1"/>
  <c r="G839" i="5"/>
  <c r="D839" i="5"/>
  <c r="C839" i="5"/>
  <c r="A839" i="5"/>
  <c r="AM838" i="5"/>
  <c r="AL838" i="5"/>
  <c r="AK838" i="5"/>
  <c r="AJ838" i="5"/>
  <c r="AN838" i="5" s="1"/>
  <c r="AI838" i="5"/>
  <c r="M838" i="5"/>
  <c r="L838" i="5"/>
  <c r="K838" i="5"/>
  <c r="J838" i="5"/>
  <c r="I838" i="5"/>
  <c r="H838" i="5"/>
  <c r="E838" i="9" s="1"/>
  <c r="G838" i="5"/>
  <c r="D838" i="5"/>
  <c r="C838" i="5"/>
  <c r="A838" i="5"/>
  <c r="AL837" i="5"/>
  <c r="AK837" i="5"/>
  <c r="AJ837" i="5"/>
  <c r="AN837" i="5" s="1"/>
  <c r="AI837" i="5"/>
  <c r="M837" i="5"/>
  <c r="L837" i="5"/>
  <c r="K837" i="5"/>
  <c r="J837" i="5"/>
  <c r="I837" i="5"/>
  <c r="H837" i="5"/>
  <c r="E837" i="9" s="1"/>
  <c r="G837" i="5"/>
  <c r="D837" i="5"/>
  <c r="C837" i="5"/>
  <c r="A837" i="5"/>
  <c r="AL836" i="5"/>
  <c r="AK836" i="5"/>
  <c r="AJ836" i="5"/>
  <c r="AN836" i="5" s="1"/>
  <c r="AI836" i="5"/>
  <c r="M836" i="5"/>
  <c r="L836" i="5"/>
  <c r="K836" i="5"/>
  <c r="J836" i="5"/>
  <c r="I836" i="5"/>
  <c r="H836" i="5"/>
  <c r="E836" i="9" s="1"/>
  <c r="G836" i="5"/>
  <c r="D836" i="5"/>
  <c r="C836" i="5"/>
  <c r="A836" i="5"/>
  <c r="AL835" i="5"/>
  <c r="AK835" i="5"/>
  <c r="AJ835" i="5"/>
  <c r="AN835" i="5" s="1"/>
  <c r="AI835" i="5"/>
  <c r="M835" i="5"/>
  <c r="L835" i="5"/>
  <c r="K835" i="5"/>
  <c r="J835" i="5"/>
  <c r="I835" i="5"/>
  <c r="H835" i="5"/>
  <c r="E835" i="9" s="1"/>
  <c r="G835" i="5"/>
  <c r="D835" i="5"/>
  <c r="C835" i="5"/>
  <c r="A835" i="5"/>
  <c r="AL834" i="5"/>
  <c r="AK834" i="5"/>
  <c r="AJ834" i="5"/>
  <c r="AI834" i="5"/>
  <c r="M834" i="5"/>
  <c r="L834" i="5"/>
  <c r="K834" i="5"/>
  <c r="J834" i="5"/>
  <c r="I834" i="5"/>
  <c r="H834" i="5"/>
  <c r="E834" i="9" s="1"/>
  <c r="G834" i="5"/>
  <c r="D834" i="5"/>
  <c r="C834" i="5"/>
  <c r="A834" i="5"/>
  <c r="AN833" i="5"/>
  <c r="AL833" i="5"/>
  <c r="AK833" i="5"/>
  <c r="AJ833" i="5"/>
  <c r="AM833" i="5" s="1"/>
  <c r="AI833" i="5"/>
  <c r="M833" i="5"/>
  <c r="L833" i="5"/>
  <c r="K833" i="5"/>
  <c r="J833" i="5"/>
  <c r="I833" i="5"/>
  <c r="H833" i="5"/>
  <c r="E833" i="9" s="1"/>
  <c r="G833" i="5"/>
  <c r="D833" i="5"/>
  <c r="C833" i="5"/>
  <c r="A833" i="5"/>
  <c r="AN832" i="5"/>
  <c r="AL832" i="5"/>
  <c r="AK832" i="5"/>
  <c r="AJ832" i="5"/>
  <c r="AM832" i="5" s="1"/>
  <c r="AI832" i="5"/>
  <c r="M832" i="5"/>
  <c r="L832" i="5"/>
  <c r="K832" i="5"/>
  <c r="J832" i="5"/>
  <c r="I832" i="5"/>
  <c r="H832" i="5"/>
  <c r="E832" i="9" s="1"/>
  <c r="G832" i="5"/>
  <c r="D832" i="5"/>
  <c r="C832" i="5"/>
  <c r="A832" i="5"/>
  <c r="AN831" i="5"/>
  <c r="AL831" i="5"/>
  <c r="AK831" i="5"/>
  <c r="AJ831" i="5"/>
  <c r="AM831" i="5" s="1"/>
  <c r="AI831" i="5"/>
  <c r="M831" i="5"/>
  <c r="L831" i="5"/>
  <c r="K831" i="5"/>
  <c r="J831" i="5"/>
  <c r="I831" i="5"/>
  <c r="H831" i="5"/>
  <c r="E831" i="9" s="1"/>
  <c r="G831" i="5"/>
  <c r="D831" i="5"/>
  <c r="C831" i="5"/>
  <c r="A831" i="5"/>
  <c r="AN830" i="5"/>
  <c r="AL830" i="5"/>
  <c r="AK830" i="5"/>
  <c r="AJ830" i="5"/>
  <c r="AM830" i="5" s="1"/>
  <c r="AI830" i="5"/>
  <c r="M830" i="5"/>
  <c r="L830" i="5"/>
  <c r="K830" i="5"/>
  <c r="J830" i="5"/>
  <c r="I830" i="5"/>
  <c r="H830" i="5"/>
  <c r="E830" i="9" s="1"/>
  <c r="G830" i="5"/>
  <c r="D830" i="5"/>
  <c r="C830" i="5"/>
  <c r="A830" i="5"/>
  <c r="AL829" i="5"/>
  <c r="AK829" i="5"/>
  <c r="AJ829" i="5"/>
  <c r="AM829" i="5" s="1"/>
  <c r="AI829" i="5"/>
  <c r="M829" i="5"/>
  <c r="L829" i="5"/>
  <c r="K829" i="5"/>
  <c r="J829" i="5"/>
  <c r="I829" i="5"/>
  <c r="H829" i="5"/>
  <c r="E829" i="9" s="1"/>
  <c r="G829" i="5"/>
  <c r="D829" i="5"/>
  <c r="C829" i="5"/>
  <c r="A829" i="5"/>
  <c r="AL828" i="5"/>
  <c r="AK828" i="5"/>
  <c r="AJ828" i="5"/>
  <c r="AM828" i="5" s="1"/>
  <c r="AI828" i="5"/>
  <c r="M828" i="5"/>
  <c r="L828" i="5"/>
  <c r="K828" i="5"/>
  <c r="J828" i="5"/>
  <c r="I828" i="5"/>
  <c r="H828" i="5"/>
  <c r="E828" i="9" s="1"/>
  <c r="G828" i="5"/>
  <c r="D828" i="5"/>
  <c r="C828" i="5"/>
  <c r="A828" i="5"/>
  <c r="AL827" i="5"/>
  <c r="AK827" i="5"/>
  <c r="AJ827" i="5"/>
  <c r="AI827" i="5"/>
  <c r="M827" i="5"/>
  <c r="L827" i="5"/>
  <c r="K827" i="5"/>
  <c r="J827" i="5"/>
  <c r="I827" i="5"/>
  <c r="H827" i="5"/>
  <c r="E827" i="9" s="1"/>
  <c r="G827" i="5"/>
  <c r="D827" i="5"/>
  <c r="C827" i="5"/>
  <c r="A827" i="5"/>
  <c r="AL826" i="5"/>
  <c r="AK826" i="5"/>
  <c r="AJ826" i="5"/>
  <c r="AI826" i="5"/>
  <c r="M826" i="5"/>
  <c r="L826" i="5"/>
  <c r="K826" i="5"/>
  <c r="J826" i="5"/>
  <c r="I826" i="5"/>
  <c r="H826" i="5"/>
  <c r="E826" i="9" s="1"/>
  <c r="G826" i="5"/>
  <c r="D826" i="5"/>
  <c r="C826" i="5"/>
  <c r="A826" i="5"/>
  <c r="AN825" i="5"/>
  <c r="AL825" i="5"/>
  <c r="AK825" i="5"/>
  <c r="AJ825" i="5"/>
  <c r="AM825" i="5" s="1"/>
  <c r="AI825" i="5"/>
  <c r="M825" i="5"/>
  <c r="L825" i="5"/>
  <c r="K825" i="5"/>
  <c r="J825" i="5"/>
  <c r="I825" i="5"/>
  <c r="H825" i="5"/>
  <c r="E825" i="9" s="1"/>
  <c r="G825" i="5"/>
  <c r="D825" i="5"/>
  <c r="C825" i="5"/>
  <c r="A825" i="5"/>
  <c r="AN824" i="5"/>
  <c r="AL824" i="5"/>
  <c r="AK824" i="5"/>
  <c r="AJ824" i="5"/>
  <c r="AM824" i="5" s="1"/>
  <c r="AI824" i="5"/>
  <c r="M824" i="5"/>
  <c r="L824" i="5"/>
  <c r="K824" i="5"/>
  <c r="J824" i="5"/>
  <c r="I824" i="5"/>
  <c r="H824" i="5"/>
  <c r="E824" i="9" s="1"/>
  <c r="G824" i="5"/>
  <c r="D824" i="5"/>
  <c r="C824" i="5"/>
  <c r="A824" i="5"/>
  <c r="AN823" i="5"/>
  <c r="AL823" i="5"/>
  <c r="AK823" i="5"/>
  <c r="AJ823" i="5"/>
  <c r="AM823" i="5" s="1"/>
  <c r="AI823" i="5"/>
  <c r="M823" i="5"/>
  <c r="L823" i="5"/>
  <c r="K823" i="5"/>
  <c r="J823" i="5"/>
  <c r="I823" i="5"/>
  <c r="H823" i="5"/>
  <c r="E823" i="9" s="1"/>
  <c r="G823" i="5"/>
  <c r="D823" i="5"/>
  <c r="C823" i="5"/>
  <c r="A823" i="5"/>
  <c r="AN822" i="5"/>
  <c r="AL822" i="5"/>
  <c r="AK822" i="5"/>
  <c r="AJ822" i="5"/>
  <c r="AM822" i="5" s="1"/>
  <c r="AI822" i="5"/>
  <c r="M822" i="5"/>
  <c r="L822" i="5"/>
  <c r="K822" i="5"/>
  <c r="J822" i="5"/>
  <c r="I822" i="5"/>
  <c r="H822" i="5"/>
  <c r="E822" i="9" s="1"/>
  <c r="G822" i="5"/>
  <c r="D822" i="5"/>
  <c r="C822" i="5"/>
  <c r="A822" i="5"/>
  <c r="AN821" i="5"/>
  <c r="AL821" i="5"/>
  <c r="AK821" i="5"/>
  <c r="AJ821" i="5"/>
  <c r="AM821" i="5" s="1"/>
  <c r="AI821" i="5"/>
  <c r="M821" i="5"/>
  <c r="L821" i="5"/>
  <c r="K821" i="5"/>
  <c r="J821" i="5"/>
  <c r="I821" i="5"/>
  <c r="H821" i="5"/>
  <c r="E821" i="9" s="1"/>
  <c r="G821" i="5"/>
  <c r="D821" i="5"/>
  <c r="C821" i="5"/>
  <c r="A821" i="5"/>
  <c r="AL820" i="5"/>
  <c r="AK820" i="5"/>
  <c r="AJ820" i="5"/>
  <c r="AM820" i="5" s="1"/>
  <c r="AI820" i="5"/>
  <c r="M820" i="5"/>
  <c r="L820" i="5"/>
  <c r="K820" i="5"/>
  <c r="J820" i="5"/>
  <c r="I820" i="5"/>
  <c r="H820" i="5"/>
  <c r="E820" i="9" s="1"/>
  <c r="G820" i="5"/>
  <c r="D820" i="5"/>
  <c r="C820" i="5"/>
  <c r="A820" i="5"/>
  <c r="AL819" i="5"/>
  <c r="AK819" i="5"/>
  <c r="AJ819" i="5"/>
  <c r="AI819" i="5"/>
  <c r="M819" i="5"/>
  <c r="L819" i="5"/>
  <c r="K819" i="5"/>
  <c r="J819" i="5"/>
  <c r="I819" i="5"/>
  <c r="H819" i="5"/>
  <c r="E819" i="9" s="1"/>
  <c r="G819" i="5"/>
  <c r="D819" i="5"/>
  <c r="C819" i="5"/>
  <c r="A819" i="5"/>
  <c r="AL818" i="5"/>
  <c r="AK818" i="5"/>
  <c r="AJ818" i="5"/>
  <c r="AI818" i="5"/>
  <c r="M818" i="5"/>
  <c r="L818" i="5"/>
  <c r="K818" i="5"/>
  <c r="J818" i="5"/>
  <c r="I818" i="5"/>
  <c r="H818" i="5"/>
  <c r="E818" i="9" s="1"/>
  <c r="G818" i="5"/>
  <c r="D818" i="5"/>
  <c r="C818" i="5"/>
  <c r="A818" i="5"/>
  <c r="AN817" i="5"/>
  <c r="AL817" i="5"/>
  <c r="AK817" i="5"/>
  <c r="AJ817" i="5"/>
  <c r="AM817" i="5" s="1"/>
  <c r="AI817" i="5"/>
  <c r="M817" i="5"/>
  <c r="L817" i="5"/>
  <c r="K817" i="5"/>
  <c r="J817" i="5"/>
  <c r="I817" i="5"/>
  <c r="H817" i="5"/>
  <c r="E817" i="9" s="1"/>
  <c r="G817" i="5"/>
  <c r="D817" i="5"/>
  <c r="C817" i="5"/>
  <c r="A817" i="5"/>
  <c r="AN816" i="5"/>
  <c r="AL816" i="5"/>
  <c r="AK816" i="5"/>
  <c r="AJ816" i="5"/>
  <c r="AM816" i="5" s="1"/>
  <c r="AI816" i="5"/>
  <c r="M816" i="5"/>
  <c r="L816" i="5"/>
  <c r="K816" i="5"/>
  <c r="J816" i="5"/>
  <c r="I816" i="5"/>
  <c r="H816" i="5"/>
  <c r="E816" i="9" s="1"/>
  <c r="G816" i="5"/>
  <c r="D816" i="5"/>
  <c r="C816" i="5"/>
  <c r="A816" i="5"/>
  <c r="AN815" i="5"/>
  <c r="AL815" i="5"/>
  <c r="AK815" i="5"/>
  <c r="AJ815" i="5"/>
  <c r="AM815" i="5" s="1"/>
  <c r="AI815" i="5"/>
  <c r="M815" i="5"/>
  <c r="L815" i="5"/>
  <c r="K815" i="5"/>
  <c r="J815" i="5"/>
  <c r="I815" i="5"/>
  <c r="H815" i="5"/>
  <c r="E815" i="9" s="1"/>
  <c r="G815" i="5"/>
  <c r="D815" i="5"/>
  <c r="C815" i="5"/>
  <c r="A815" i="5"/>
  <c r="AL814" i="5"/>
  <c r="AK814" i="5"/>
  <c r="AJ814" i="5"/>
  <c r="AI814" i="5"/>
  <c r="M814" i="5"/>
  <c r="L814" i="5"/>
  <c r="K814" i="5"/>
  <c r="J814" i="5"/>
  <c r="I814" i="5"/>
  <c r="H814" i="5"/>
  <c r="E814" i="9" s="1"/>
  <c r="G814" i="5"/>
  <c r="D814" i="5"/>
  <c r="C814" i="5"/>
  <c r="A814" i="5"/>
  <c r="AL813" i="5"/>
  <c r="AK813" i="5"/>
  <c r="AJ813" i="5"/>
  <c r="AM813" i="5" s="1"/>
  <c r="AI813" i="5"/>
  <c r="M813" i="5"/>
  <c r="L813" i="5"/>
  <c r="K813" i="5"/>
  <c r="J813" i="5"/>
  <c r="I813" i="5"/>
  <c r="H813" i="5"/>
  <c r="E813" i="9" s="1"/>
  <c r="G813" i="5"/>
  <c r="D813" i="5"/>
  <c r="C813" i="5"/>
  <c r="A813" i="5"/>
  <c r="AL812" i="5"/>
  <c r="AK812" i="5"/>
  <c r="AJ812" i="5"/>
  <c r="AM812" i="5" s="1"/>
  <c r="AI812" i="5"/>
  <c r="M812" i="5"/>
  <c r="L812" i="5"/>
  <c r="K812" i="5"/>
  <c r="J812" i="5"/>
  <c r="I812" i="5"/>
  <c r="H812" i="5"/>
  <c r="E812" i="9" s="1"/>
  <c r="G812" i="5"/>
  <c r="D812" i="5"/>
  <c r="C812" i="5"/>
  <c r="A812" i="5"/>
  <c r="AL811" i="5"/>
  <c r="AK811" i="5"/>
  <c r="AJ811" i="5"/>
  <c r="AI811" i="5"/>
  <c r="M811" i="5"/>
  <c r="L811" i="5"/>
  <c r="K811" i="5"/>
  <c r="J811" i="5"/>
  <c r="I811" i="5"/>
  <c r="H811" i="5"/>
  <c r="E811" i="9" s="1"/>
  <c r="G811" i="5"/>
  <c r="D811" i="5"/>
  <c r="C811" i="5"/>
  <c r="A811" i="5"/>
  <c r="AL810" i="5"/>
  <c r="AK810" i="5"/>
  <c r="AJ810" i="5"/>
  <c r="AI810" i="5"/>
  <c r="M810" i="5"/>
  <c r="L810" i="5"/>
  <c r="K810" i="5"/>
  <c r="J810" i="5"/>
  <c r="I810" i="5"/>
  <c r="H810" i="5"/>
  <c r="E810" i="9" s="1"/>
  <c r="G810" i="5"/>
  <c r="D810" i="5"/>
  <c r="C810" i="5"/>
  <c r="A810" i="5"/>
  <c r="AN809" i="5"/>
  <c r="AL809" i="5"/>
  <c r="AK809" i="5"/>
  <c r="AJ809" i="5"/>
  <c r="AM809" i="5" s="1"/>
  <c r="AI809" i="5"/>
  <c r="M809" i="5"/>
  <c r="L809" i="5"/>
  <c r="K809" i="5"/>
  <c r="J809" i="5"/>
  <c r="I809" i="5"/>
  <c r="H809" i="5"/>
  <c r="E809" i="9" s="1"/>
  <c r="G809" i="5"/>
  <c r="D809" i="5"/>
  <c r="C809" i="5"/>
  <c r="A809" i="5"/>
  <c r="AN808" i="5"/>
  <c r="AL808" i="5"/>
  <c r="AK808" i="5"/>
  <c r="AJ808" i="5"/>
  <c r="AM808" i="5" s="1"/>
  <c r="AI808" i="5"/>
  <c r="M808" i="5"/>
  <c r="L808" i="5"/>
  <c r="K808" i="5"/>
  <c r="J808" i="5"/>
  <c r="I808" i="5"/>
  <c r="H808" i="5"/>
  <c r="E808" i="9" s="1"/>
  <c r="G808" i="5"/>
  <c r="D808" i="5"/>
  <c r="C808" i="5"/>
  <c r="A808" i="5"/>
  <c r="AN807" i="5"/>
  <c r="AL807" i="5"/>
  <c r="AK807" i="5"/>
  <c r="AJ807" i="5"/>
  <c r="AM807" i="5" s="1"/>
  <c r="AI807" i="5"/>
  <c r="M807" i="5"/>
  <c r="L807" i="5"/>
  <c r="K807" i="5"/>
  <c r="J807" i="5"/>
  <c r="I807" i="5"/>
  <c r="H807" i="5"/>
  <c r="E807" i="9" s="1"/>
  <c r="G807" i="5"/>
  <c r="D807" i="5"/>
  <c r="C807" i="5"/>
  <c r="A807" i="5"/>
  <c r="AL806" i="5"/>
  <c r="AK806" i="5"/>
  <c r="AJ806" i="5"/>
  <c r="AM806" i="5" s="1"/>
  <c r="AI806" i="5"/>
  <c r="M806" i="5"/>
  <c r="L806" i="5"/>
  <c r="K806" i="5"/>
  <c r="J806" i="5"/>
  <c r="I806" i="5"/>
  <c r="H806" i="5"/>
  <c r="E806" i="9" s="1"/>
  <c r="G806" i="5"/>
  <c r="D806" i="5"/>
  <c r="C806" i="5"/>
  <c r="A806" i="5"/>
  <c r="AN805" i="5"/>
  <c r="AL805" i="5"/>
  <c r="AK805" i="5"/>
  <c r="AJ805" i="5"/>
  <c r="AM805" i="5" s="1"/>
  <c r="AI805" i="5"/>
  <c r="M805" i="5"/>
  <c r="L805" i="5"/>
  <c r="K805" i="5"/>
  <c r="J805" i="5"/>
  <c r="I805" i="5"/>
  <c r="H805" i="5"/>
  <c r="E805" i="9" s="1"/>
  <c r="G805" i="5"/>
  <c r="D805" i="5"/>
  <c r="C805" i="5"/>
  <c r="A805" i="5"/>
  <c r="AL804" i="5"/>
  <c r="AK804" i="5"/>
  <c r="AJ804" i="5"/>
  <c r="AM804" i="5" s="1"/>
  <c r="AI804" i="5"/>
  <c r="M804" i="5"/>
  <c r="L804" i="5"/>
  <c r="K804" i="5"/>
  <c r="J804" i="5"/>
  <c r="I804" i="5"/>
  <c r="H804" i="5"/>
  <c r="E804" i="9" s="1"/>
  <c r="G804" i="5"/>
  <c r="D804" i="5"/>
  <c r="C804" i="5"/>
  <c r="A804" i="5"/>
  <c r="AL803" i="5"/>
  <c r="AK803" i="5"/>
  <c r="AJ803" i="5"/>
  <c r="AI803" i="5"/>
  <c r="M803" i="5"/>
  <c r="L803" i="5"/>
  <c r="K803" i="5"/>
  <c r="J803" i="5"/>
  <c r="I803" i="5"/>
  <c r="H803" i="5"/>
  <c r="E803" i="9" s="1"/>
  <c r="G803" i="5"/>
  <c r="D803" i="5"/>
  <c r="C803" i="5"/>
  <c r="A803" i="5"/>
  <c r="AL802" i="5"/>
  <c r="AK802" i="5"/>
  <c r="AJ802" i="5"/>
  <c r="AI802" i="5"/>
  <c r="M802" i="5"/>
  <c r="L802" i="5"/>
  <c r="K802" i="5"/>
  <c r="J802" i="5"/>
  <c r="I802" i="5"/>
  <c r="H802" i="5"/>
  <c r="E802" i="9" s="1"/>
  <c r="G802" i="5"/>
  <c r="D802" i="5"/>
  <c r="C802" i="5"/>
  <c r="A802" i="5"/>
  <c r="AN801" i="5"/>
  <c r="AL801" i="5"/>
  <c r="AK801" i="5"/>
  <c r="AJ801" i="5"/>
  <c r="AM801" i="5" s="1"/>
  <c r="AI801" i="5"/>
  <c r="M801" i="5"/>
  <c r="L801" i="5"/>
  <c r="K801" i="5"/>
  <c r="J801" i="5"/>
  <c r="I801" i="5"/>
  <c r="H801" i="5"/>
  <c r="E801" i="9" s="1"/>
  <c r="G801" i="5"/>
  <c r="D801" i="5"/>
  <c r="C801" i="5"/>
  <c r="A801" i="5"/>
  <c r="AN800" i="5"/>
  <c r="AL800" i="5"/>
  <c r="AK800" i="5"/>
  <c r="AJ800" i="5"/>
  <c r="AM800" i="5" s="1"/>
  <c r="AI800" i="5"/>
  <c r="M800" i="5"/>
  <c r="L800" i="5"/>
  <c r="K800" i="5"/>
  <c r="J800" i="5"/>
  <c r="I800" i="5"/>
  <c r="H800" i="5"/>
  <c r="E800" i="9" s="1"/>
  <c r="G800" i="5"/>
  <c r="D800" i="5"/>
  <c r="C800" i="5"/>
  <c r="A800" i="5"/>
  <c r="AN799" i="5"/>
  <c r="AL799" i="5"/>
  <c r="AK799" i="5"/>
  <c r="AJ799" i="5"/>
  <c r="AM799" i="5" s="1"/>
  <c r="AI799" i="5"/>
  <c r="M799" i="5"/>
  <c r="L799" i="5"/>
  <c r="K799" i="5"/>
  <c r="J799" i="5"/>
  <c r="I799" i="5"/>
  <c r="H799" i="5"/>
  <c r="E799" i="9" s="1"/>
  <c r="G799" i="5"/>
  <c r="D799" i="5"/>
  <c r="C799" i="5"/>
  <c r="A799" i="5"/>
  <c r="AN798" i="5"/>
  <c r="AL798" i="5"/>
  <c r="AK798" i="5"/>
  <c r="AJ798" i="5"/>
  <c r="AM798" i="5" s="1"/>
  <c r="AI798" i="5"/>
  <c r="M798" i="5"/>
  <c r="L798" i="5"/>
  <c r="K798" i="5"/>
  <c r="J798" i="5"/>
  <c r="I798" i="5"/>
  <c r="H798" i="5"/>
  <c r="E798" i="9" s="1"/>
  <c r="G798" i="5"/>
  <c r="D798" i="5"/>
  <c r="C798" i="5"/>
  <c r="A798" i="5"/>
  <c r="AL797" i="5"/>
  <c r="AK797" i="5"/>
  <c r="AJ797" i="5"/>
  <c r="AI797" i="5"/>
  <c r="M797" i="5"/>
  <c r="L797" i="5"/>
  <c r="K797" i="5"/>
  <c r="J797" i="5"/>
  <c r="I797" i="5"/>
  <c r="H797" i="5"/>
  <c r="E797" i="9" s="1"/>
  <c r="G797" i="5"/>
  <c r="D797" i="5"/>
  <c r="C797" i="5"/>
  <c r="A797" i="5"/>
  <c r="AL796" i="5"/>
  <c r="AK796" i="5"/>
  <c r="AJ796" i="5"/>
  <c r="AM796" i="5" s="1"/>
  <c r="AI796" i="5"/>
  <c r="M796" i="5"/>
  <c r="L796" i="5"/>
  <c r="K796" i="5"/>
  <c r="J796" i="5"/>
  <c r="I796" i="5"/>
  <c r="H796" i="5"/>
  <c r="E796" i="9" s="1"/>
  <c r="G796" i="5"/>
  <c r="D796" i="5"/>
  <c r="C796" i="5"/>
  <c r="A796" i="5"/>
  <c r="AL795" i="5"/>
  <c r="AK795" i="5"/>
  <c r="AJ795" i="5"/>
  <c r="AI795" i="5"/>
  <c r="M795" i="5"/>
  <c r="L795" i="5"/>
  <c r="K795" i="5"/>
  <c r="J795" i="5"/>
  <c r="I795" i="5"/>
  <c r="H795" i="5"/>
  <c r="E795" i="9" s="1"/>
  <c r="G795" i="5"/>
  <c r="D795" i="5"/>
  <c r="C795" i="5"/>
  <c r="A795" i="5"/>
  <c r="AL794" i="5"/>
  <c r="AK794" i="5"/>
  <c r="AJ794" i="5"/>
  <c r="AI794" i="5"/>
  <c r="M794" i="5"/>
  <c r="L794" i="5"/>
  <c r="K794" i="5"/>
  <c r="J794" i="5"/>
  <c r="I794" i="5"/>
  <c r="H794" i="5"/>
  <c r="E794" i="9" s="1"/>
  <c r="G794" i="5"/>
  <c r="D794" i="5"/>
  <c r="C794" i="5"/>
  <c r="A794" i="5"/>
  <c r="AN793" i="5"/>
  <c r="AL793" i="5"/>
  <c r="AK793" i="5"/>
  <c r="AJ793" i="5"/>
  <c r="AM793" i="5" s="1"/>
  <c r="AI793" i="5"/>
  <c r="M793" i="5"/>
  <c r="L793" i="5"/>
  <c r="K793" i="5"/>
  <c r="J793" i="5"/>
  <c r="I793" i="5"/>
  <c r="H793" i="5"/>
  <c r="E793" i="9" s="1"/>
  <c r="G793" i="5"/>
  <c r="D793" i="5"/>
  <c r="C793" i="5"/>
  <c r="A793" i="5"/>
  <c r="AN792" i="5"/>
  <c r="AL792" i="5"/>
  <c r="AK792" i="5"/>
  <c r="AJ792" i="5"/>
  <c r="AM792" i="5" s="1"/>
  <c r="AI792" i="5"/>
  <c r="M792" i="5"/>
  <c r="L792" i="5"/>
  <c r="K792" i="5"/>
  <c r="J792" i="5"/>
  <c r="I792" i="5"/>
  <c r="H792" i="5"/>
  <c r="E792" i="9" s="1"/>
  <c r="G792" i="5"/>
  <c r="D792" i="5"/>
  <c r="C792" i="5"/>
  <c r="A792" i="5"/>
  <c r="AN791" i="5"/>
  <c r="AL791" i="5"/>
  <c r="AK791" i="5"/>
  <c r="AJ791" i="5"/>
  <c r="AM791" i="5" s="1"/>
  <c r="AI791" i="5"/>
  <c r="M791" i="5"/>
  <c r="L791" i="5"/>
  <c r="K791" i="5"/>
  <c r="J791" i="5"/>
  <c r="I791" i="5"/>
  <c r="H791" i="5"/>
  <c r="E791" i="9" s="1"/>
  <c r="G791" i="5"/>
  <c r="D791" i="5"/>
  <c r="C791" i="5"/>
  <c r="A791" i="5"/>
  <c r="AL790" i="5"/>
  <c r="AK790" i="5"/>
  <c r="AJ790" i="5"/>
  <c r="AM790" i="5" s="1"/>
  <c r="AI790" i="5"/>
  <c r="M790" i="5"/>
  <c r="L790" i="5"/>
  <c r="K790" i="5"/>
  <c r="J790" i="5"/>
  <c r="I790" i="5"/>
  <c r="H790" i="5"/>
  <c r="E790" i="9" s="1"/>
  <c r="G790" i="5"/>
  <c r="D790" i="5"/>
  <c r="C790" i="5"/>
  <c r="A790" i="5"/>
  <c r="AN789" i="5"/>
  <c r="AL789" i="5"/>
  <c r="AK789" i="5"/>
  <c r="AJ789" i="5"/>
  <c r="AM789" i="5" s="1"/>
  <c r="AI789" i="5"/>
  <c r="M789" i="5"/>
  <c r="L789" i="5"/>
  <c r="K789" i="5"/>
  <c r="J789" i="5"/>
  <c r="I789" i="5"/>
  <c r="H789" i="5"/>
  <c r="E789" i="9" s="1"/>
  <c r="G789" i="5"/>
  <c r="D789" i="5"/>
  <c r="C789" i="5"/>
  <c r="A789" i="5"/>
  <c r="AL788" i="5"/>
  <c r="AK788" i="5"/>
  <c r="AJ788" i="5"/>
  <c r="AM788" i="5" s="1"/>
  <c r="AI788" i="5"/>
  <c r="M788" i="5"/>
  <c r="L788" i="5"/>
  <c r="K788" i="5"/>
  <c r="J788" i="5"/>
  <c r="I788" i="5"/>
  <c r="H788" i="5"/>
  <c r="E788" i="9" s="1"/>
  <c r="G788" i="5"/>
  <c r="D788" i="5"/>
  <c r="C788" i="5"/>
  <c r="A788" i="5"/>
  <c r="AL787" i="5"/>
  <c r="AK787" i="5"/>
  <c r="AJ787" i="5"/>
  <c r="AI787" i="5"/>
  <c r="M787" i="5"/>
  <c r="L787" i="5"/>
  <c r="K787" i="5"/>
  <c r="J787" i="5"/>
  <c r="I787" i="5"/>
  <c r="H787" i="5"/>
  <c r="E787" i="9" s="1"/>
  <c r="G787" i="5"/>
  <c r="D787" i="5"/>
  <c r="C787" i="5"/>
  <c r="A787" i="5"/>
  <c r="AL786" i="5"/>
  <c r="AK786" i="5"/>
  <c r="AJ786" i="5"/>
  <c r="AI786" i="5"/>
  <c r="M786" i="5"/>
  <c r="L786" i="5"/>
  <c r="K786" i="5"/>
  <c r="J786" i="5"/>
  <c r="I786" i="5"/>
  <c r="H786" i="5"/>
  <c r="E786" i="9" s="1"/>
  <c r="G786" i="5"/>
  <c r="D786" i="5"/>
  <c r="C786" i="5"/>
  <c r="A786" i="5"/>
  <c r="AN785" i="5"/>
  <c r="AL785" i="5"/>
  <c r="AK785" i="5"/>
  <c r="AJ785" i="5"/>
  <c r="AM785" i="5" s="1"/>
  <c r="AI785" i="5"/>
  <c r="M785" i="5"/>
  <c r="L785" i="5"/>
  <c r="K785" i="5"/>
  <c r="J785" i="5"/>
  <c r="I785" i="5"/>
  <c r="H785" i="5"/>
  <c r="E785" i="9" s="1"/>
  <c r="G785" i="5"/>
  <c r="D785" i="5"/>
  <c r="C785" i="5"/>
  <c r="A785" i="5"/>
  <c r="AN784" i="5"/>
  <c r="AL784" i="5"/>
  <c r="AK784" i="5"/>
  <c r="AJ784" i="5"/>
  <c r="AM784" i="5" s="1"/>
  <c r="AI784" i="5"/>
  <c r="M784" i="5"/>
  <c r="L784" i="5"/>
  <c r="K784" i="5"/>
  <c r="J784" i="5"/>
  <c r="I784" i="5"/>
  <c r="H784" i="5"/>
  <c r="E784" i="9" s="1"/>
  <c r="G784" i="5"/>
  <c r="D784" i="5"/>
  <c r="C784" i="5"/>
  <c r="A784" i="5"/>
  <c r="AN783" i="5"/>
  <c r="AL783" i="5"/>
  <c r="AK783" i="5"/>
  <c r="AJ783" i="5"/>
  <c r="AM783" i="5" s="1"/>
  <c r="AI783" i="5"/>
  <c r="M783" i="5"/>
  <c r="L783" i="5"/>
  <c r="K783" i="5"/>
  <c r="J783" i="5"/>
  <c r="I783" i="5"/>
  <c r="H783" i="5"/>
  <c r="E783" i="9" s="1"/>
  <c r="G783" i="5"/>
  <c r="D783" i="5"/>
  <c r="C783" i="5"/>
  <c r="A783" i="5"/>
  <c r="AN782" i="5"/>
  <c r="AL782" i="5"/>
  <c r="AK782" i="5"/>
  <c r="AJ782" i="5"/>
  <c r="AM782" i="5" s="1"/>
  <c r="AI782" i="5"/>
  <c r="M782" i="5"/>
  <c r="L782" i="5"/>
  <c r="K782" i="5"/>
  <c r="J782" i="5"/>
  <c r="I782" i="5"/>
  <c r="H782" i="5"/>
  <c r="E782" i="9" s="1"/>
  <c r="G782" i="5"/>
  <c r="D782" i="5"/>
  <c r="C782" i="5"/>
  <c r="A782" i="5"/>
  <c r="AL781" i="5"/>
  <c r="AK781" i="5"/>
  <c r="AJ781" i="5"/>
  <c r="AM781" i="5" s="1"/>
  <c r="AI781" i="5"/>
  <c r="M781" i="5"/>
  <c r="L781" i="5"/>
  <c r="K781" i="5"/>
  <c r="J781" i="5"/>
  <c r="I781" i="5"/>
  <c r="H781" i="5"/>
  <c r="E781" i="9" s="1"/>
  <c r="G781" i="5"/>
  <c r="D781" i="5"/>
  <c r="C781" i="5"/>
  <c r="A781" i="5"/>
  <c r="AL780" i="5"/>
  <c r="AK780" i="5"/>
  <c r="AJ780" i="5"/>
  <c r="AM780" i="5" s="1"/>
  <c r="AI780" i="5"/>
  <c r="M780" i="5"/>
  <c r="L780" i="5"/>
  <c r="K780" i="5"/>
  <c r="J780" i="5"/>
  <c r="I780" i="5"/>
  <c r="H780" i="5"/>
  <c r="E780" i="9" s="1"/>
  <c r="G780" i="5"/>
  <c r="D780" i="5"/>
  <c r="C780" i="5"/>
  <c r="A780" i="5"/>
  <c r="AL779" i="5"/>
  <c r="AK779" i="5"/>
  <c r="AJ779" i="5"/>
  <c r="AI779" i="5"/>
  <c r="M779" i="5"/>
  <c r="L779" i="5"/>
  <c r="K779" i="5"/>
  <c r="J779" i="5"/>
  <c r="I779" i="5"/>
  <c r="H779" i="5"/>
  <c r="E779" i="9" s="1"/>
  <c r="G779" i="5"/>
  <c r="D779" i="5"/>
  <c r="C779" i="5"/>
  <c r="A779" i="5"/>
  <c r="AL778" i="5"/>
  <c r="AK778" i="5"/>
  <c r="AJ778" i="5"/>
  <c r="AI778" i="5"/>
  <c r="M778" i="5"/>
  <c r="L778" i="5"/>
  <c r="K778" i="5"/>
  <c r="J778" i="5"/>
  <c r="I778" i="5"/>
  <c r="H778" i="5"/>
  <c r="E778" i="9" s="1"/>
  <c r="G778" i="5"/>
  <c r="D778" i="5"/>
  <c r="C778" i="5"/>
  <c r="A778" i="5"/>
  <c r="AN777" i="5"/>
  <c r="AL777" i="5"/>
  <c r="AK777" i="5"/>
  <c r="AJ777" i="5"/>
  <c r="AM777" i="5" s="1"/>
  <c r="AI777" i="5"/>
  <c r="M777" i="5"/>
  <c r="L777" i="5"/>
  <c r="K777" i="5"/>
  <c r="J777" i="5"/>
  <c r="I777" i="5"/>
  <c r="H777" i="5"/>
  <c r="E777" i="9" s="1"/>
  <c r="G777" i="5"/>
  <c r="D777" i="5"/>
  <c r="C777" i="5"/>
  <c r="A777" i="5"/>
  <c r="AL776" i="5"/>
  <c r="AK776" i="5"/>
  <c r="AJ776" i="5"/>
  <c r="AM776" i="5" s="1"/>
  <c r="AI776" i="5"/>
  <c r="M776" i="5"/>
  <c r="L776" i="5"/>
  <c r="K776" i="5"/>
  <c r="J776" i="5"/>
  <c r="I776" i="5"/>
  <c r="H776" i="5"/>
  <c r="E776" i="9" s="1"/>
  <c r="G776" i="5"/>
  <c r="D776" i="5"/>
  <c r="C776" i="5"/>
  <c r="A776" i="5"/>
  <c r="AN775" i="5"/>
  <c r="AL775" i="5"/>
  <c r="AK775" i="5"/>
  <c r="AJ775" i="5"/>
  <c r="AM775" i="5" s="1"/>
  <c r="AI775" i="5"/>
  <c r="M775" i="5"/>
  <c r="L775" i="5"/>
  <c r="K775" i="5"/>
  <c r="J775" i="5"/>
  <c r="I775" i="5"/>
  <c r="H775" i="5"/>
  <c r="E775" i="9" s="1"/>
  <c r="G775" i="5"/>
  <c r="D775" i="5"/>
  <c r="C775" i="5"/>
  <c r="A775" i="5"/>
  <c r="AL774" i="5"/>
  <c r="AK774" i="5"/>
  <c r="AJ774" i="5"/>
  <c r="AI774" i="5"/>
  <c r="M774" i="5"/>
  <c r="L774" i="5"/>
  <c r="K774" i="5"/>
  <c r="J774" i="5"/>
  <c r="I774" i="5"/>
  <c r="H774" i="5"/>
  <c r="E774" i="9" s="1"/>
  <c r="G774" i="5"/>
  <c r="D774" i="5"/>
  <c r="C774" i="5"/>
  <c r="A774" i="5"/>
  <c r="AL773" i="5"/>
  <c r="AK773" i="5"/>
  <c r="AJ773" i="5"/>
  <c r="AI773" i="5"/>
  <c r="M773" i="5"/>
  <c r="L773" i="5"/>
  <c r="K773" i="5"/>
  <c r="J773" i="5"/>
  <c r="I773" i="5"/>
  <c r="H773" i="5"/>
  <c r="E773" i="9" s="1"/>
  <c r="G773" i="5"/>
  <c r="D773" i="5"/>
  <c r="C773" i="5"/>
  <c r="A773" i="5"/>
  <c r="AN772" i="5"/>
  <c r="AL772" i="5"/>
  <c r="AK772" i="5"/>
  <c r="AJ772" i="5"/>
  <c r="AM772" i="5" s="1"/>
  <c r="AI772" i="5"/>
  <c r="M772" i="5"/>
  <c r="L772" i="5"/>
  <c r="K772" i="5"/>
  <c r="J772" i="5"/>
  <c r="I772" i="5"/>
  <c r="H772" i="5"/>
  <c r="E772" i="9" s="1"/>
  <c r="G772" i="5"/>
  <c r="D772" i="5"/>
  <c r="C772" i="5"/>
  <c r="A772" i="5"/>
  <c r="AN771" i="5"/>
  <c r="AL771" i="5"/>
  <c r="AK771" i="5"/>
  <c r="AJ771" i="5"/>
  <c r="AM771" i="5" s="1"/>
  <c r="AI771" i="5"/>
  <c r="M771" i="5"/>
  <c r="L771" i="5"/>
  <c r="K771" i="5"/>
  <c r="J771" i="5"/>
  <c r="I771" i="5"/>
  <c r="H771" i="5"/>
  <c r="E771" i="9" s="1"/>
  <c r="G771" i="5"/>
  <c r="D771" i="5"/>
  <c r="C771" i="5"/>
  <c r="A771" i="5"/>
  <c r="AL770" i="5"/>
  <c r="AK770" i="5"/>
  <c r="AJ770" i="5"/>
  <c r="AM770" i="5" s="1"/>
  <c r="AI770" i="5"/>
  <c r="M770" i="5"/>
  <c r="L770" i="5"/>
  <c r="K770" i="5"/>
  <c r="J770" i="5"/>
  <c r="I770" i="5"/>
  <c r="H770" i="5"/>
  <c r="E770" i="9" s="1"/>
  <c r="G770" i="5"/>
  <c r="D770" i="5"/>
  <c r="C770" i="5"/>
  <c r="A770" i="5"/>
  <c r="AL769" i="5"/>
  <c r="AK769" i="5"/>
  <c r="AJ769" i="5"/>
  <c r="AM769" i="5" s="1"/>
  <c r="AI769" i="5"/>
  <c r="M769" i="5"/>
  <c r="L769" i="5"/>
  <c r="K769" i="5"/>
  <c r="J769" i="5"/>
  <c r="I769" i="5"/>
  <c r="H769" i="5"/>
  <c r="E769" i="9" s="1"/>
  <c r="G769" i="5"/>
  <c r="D769" i="5"/>
  <c r="C769" i="5"/>
  <c r="A769" i="5"/>
  <c r="AL768" i="5"/>
  <c r="AK768" i="5"/>
  <c r="AJ768" i="5"/>
  <c r="AM768" i="5" s="1"/>
  <c r="AI768" i="5"/>
  <c r="M768" i="5"/>
  <c r="L768" i="5"/>
  <c r="K768" i="5"/>
  <c r="J768" i="5"/>
  <c r="I768" i="5"/>
  <c r="H768" i="5"/>
  <c r="E768" i="9" s="1"/>
  <c r="G768" i="5"/>
  <c r="D768" i="5"/>
  <c r="C768" i="5"/>
  <c r="A768" i="5"/>
  <c r="AN767" i="5"/>
  <c r="AL767" i="5"/>
  <c r="AK767" i="5"/>
  <c r="AJ767" i="5"/>
  <c r="AM767" i="5" s="1"/>
  <c r="AI767" i="5"/>
  <c r="M767" i="5"/>
  <c r="L767" i="5"/>
  <c r="K767" i="5"/>
  <c r="J767" i="5"/>
  <c r="I767" i="5"/>
  <c r="H767" i="5"/>
  <c r="E767" i="9" s="1"/>
  <c r="G767" i="5"/>
  <c r="D767" i="5"/>
  <c r="C767" i="5"/>
  <c r="A767" i="5"/>
  <c r="AL766" i="5"/>
  <c r="AK766" i="5"/>
  <c r="AJ766" i="5"/>
  <c r="AI766" i="5"/>
  <c r="M766" i="5"/>
  <c r="L766" i="5"/>
  <c r="K766" i="5"/>
  <c r="J766" i="5"/>
  <c r="I766" i="5"/>
  <c r="H766" i="5"/>
  <c r="E766" i="9" s="1"/>
  <c r="G766" i="5"/>
  <c r="D766" i="5"/>
  <c r="C766" i="5"/>
  <c r="A766" i="5"/>
  <c r="AL765" i="5"/>
  <c r="AK765" i="5"/>
  <c r="AJ765" i="5"/>
  <c r="AI765" i="5"/>
  <c r="M765" i="5"/>
  <c r="L765" i="5"/>
  <c r="K765" i="5"/>
  <c r="J765" i="5"/>
  <c r="I765" i="5"/>
  <c r="H765" i="5"/>
  <c r="E765" i="9" s="1"/>
  <c r="G765" i="5"/>
  <c r="D765" i="5"/>
  <c r="C765" i="5"/>
  <c r="A765" i="5"/>
  <c r="AL764" i="5"/>
  <c r="AK764" i="5"/>
  <c r="AJ764" i="5"/>
  <c r="AM764" i="5" s="1"/>
  <c r="AI764" i="5"/>
  <c r="M764" i="5"/>
  <c r="L764" i="5"/>
  <c r="K764" i="5"/>
  <c r="J764" i="5"/>
  <c r="I764" i="5"/>
  <c r="H764" i="5"/>
  <c r="E764" i="9" s="1"/>
  <c r="G764" i="5"/>
  <c r="D764" i="5"/>
  <c r="C764" i="5"/>
  <c r="A764" i="5"/>
  <c r="AN763" i="5"/>
  <c r="AL763" i="5"/>
  <c r="AK763" i="5"/>
  <c r="AJ763" i="5"/>
  <c r="AM763" i="5" s="1"/>
  <c r="AI763" i="5"/>
  <c r="M763" i="5"/>
  <c r="L763" i="5"/>
  <c r="K763" i="5"/>
  <c r="J763" i="5"/>
  <c r="I763" i="5"/>
  <c r="H763" i="5"/>
  <c r="E763" i="9" s="1"/>
  <c r="G763" i="5"/>
  <c r="D763" i="5"/>
  <c r="C763" i="5"/>
  <c r="A763" i="5"/>
  <c r="AL762" i="5"/>
  <c r="AK762" i="5"/>
  <c r="AJ762" i="5"/>
  <c r="AM762" i="5" s="1"/>
  <c r="AI762" i="5"/>
  <c r="M762" i="5"/>
  <c r="L762" i="5"/>
  <c r="K762" i="5"/>
  <c r="J762" i="5"/>
  <c r="I762" i="5"/>
  <c r="H762" i="5"/>
  <c r="E762" i="9" s="1"/>
  <c r="G762" i="5"/>
  <c r="D762" i="5"/>
  <c r="C762" i="5"/>
  <c r="A762" i="5"/>
  <c r="AN761" i="5"/>
  <c r="AL761" i="5"/>
  <c r="AK761" i="5"/>
  <c r="AJ761" i="5"/>
  <c r="AM761" i="5" s="1"/>
  <c r="AI761" i="5"/>
  <c r="M761" i="5"/>
  <c r="L761" i="5"/>
  <c r="K761" i="5"/>
  <c r="J761" i="5"/>
  <c r="I761" i="5"/>
  <c r="H761" i="5"/>
  <c r="E761" i="9" s="1"/>
  <c r="G761" i="5"/>
  <c r="D761" i="5"/>
  <c r="C761" i="5"/>
  <c r="A761" i="5"/>
  <c r="AN760" i="5"/>
  <c r="AL760" i="5"/>
  <c r="AK760" i="5"/>
  <c r="AJ760" i="5"/>
  <c r="AM760" i="5" s="1"/>
  <c r="AI760" i="5"/>
  <c r="M760" i="5"/>
  <c r="L760" i="5"/>
  <c r="K760" i="5"/>
  <c r="J760" i="5"/>
  <c r="I760" i="5"/>
  <c r="H760" i="5"/>
  <c r="E760" i="9" s="1"/>
  <c r="G760" i="5"/>
  <c r="D760" i="5"/>
  <c r="C760" i="5"/>
  <c r="A760" i="5"/>
  <c r="AN759" i="5"/>
  <c r="AL759" i="5"/>
  <c r="AK759" i="5"/>
  <c r="AJ759" i="5"/>
  <c r="AM759" i="5" s="1"/>
  <c r="AI759" i="5"/>
  <c r="M759" i="5"/>
  <c r="L759" i="5"/>
  <c r="K759" i="5"/>
  <c r="J759" i="5"/>
  <c r="I759" i="5"/>
  <c r="H759" i="5"/>
  <c r="E759" i="9" s="1"/>
  <c r="G759" i="5"/>
  <c r="D759" i="5"/>
  <c r="C759" i="5"/>
  <c r="A759" i="5"/>
  <c r="AL758" i="5"/>
  <c r="AK758" i="5"/>
  <c r="AJ758" i="5"/>
  <c r="AI758" i="5"/>
  <c r="M758" i="5"/>
  <c r="L758" i="5"/>
  <c r="K758" i="5"/>
  <c r="J758" i="5"/>
  <c r="I758" i="5"/>
  <c r="H758" i="5"/>
  <c r="E758" i="9" s="1"/>
  <c r="G758" i="5"/>
  <c r="D758" i="5"/>
  <c r="C758" i="5"/>
  <c r="A758" i="5"/>
  <c r="AL757" i="5"/>
  <c r="AK757" i="5"/>
  <c r="AJ757" i="5"/>
  <c r="AI757" i="5"/>
  <c r="M757" i="5"/>
  <c r="L757" i="5"/>
  <c r="K757" i="5"/>
  <c r="J757" i="5"/>
  <c r="I757" i="5"/>
  <c r="H757" i="5"/>
  <c r="E757" i="9" s="1"/>
  <c r="G757" i="5"/>
  <c r="D757" i="5"/>
  <c r="C757" i="5"/>
  <c r="A757" i="5"/>
  <c r="AL756" i="5"/>
  <c r="AK756" i="5"/>
  <c r="AJ756" i="5"/>
  <c r="AM756" i="5" s="1"/>
  <c r="AI756" i="5"/>
  <c r="M756" i="5"/>
  <c r="L756" i="5"/>
  <c r="K756" i="5"/>
  <c r="J756" i="5"/>
  <c r="I756" i="5"/>
  <c r="H756" i="5"/>
  <c r="E756" i="9" s="1"/>
  <c r="G756" i="5"/>
  <c r="D756" i="5"/>
  <c r="C756" i="5"/>
  <c r="A756" i="5"/>
  <c r="AN755" i="5"/>
  <c r="AL755" i="5"/>
  <c r="AK755" i="5"/>
  <c r="AJ755" i="5"/>
  <c r="AM755" i="5" s="1"/>
  <c r="AI755" i="5"/>
  <c r="M755" i="5"/>
  <c r="L755" i="5"/>
  <c r="K755" i="5"/>
  <c r="J755" i="5"/>
  <c r="I755" i="5"/>
  <c r="H755" i="5"/>
  <c r="E755" i="9" s="1"/>
  <c r="G755" i="5"/>
  <c r="D755" i="5"/>
  <c r="C755" i="5"/>
  <c r="A755" i="5"/>
  <c r="AL754" i="5"/>
  <c r="AK754" i="5"/>
  <c r="AJ754" i="5"/>
  <c r="AM754" i="5" s="1"/>
  <c r="AI754" i="5"/>
  <c r="M754" i="5"/>
  <c r="L754" i="5"/>
  <c r="K754" i="5"/>
  <c r="J754" i="5"/>
  <c r="I754" i="5"/>
  <c r="H754" i="5"/>
  <c r="E754" i="9" s="1"/>
  <c r="G754" i="5"/>
  <c r="D754" i="5"/>
  <c r="C754" i="5"/>
  <c r="A754" i="5"/>
  <c r="AL753" i="5"/>
  <c r="AK753" i="5"/>
  <c r="AJ753" i="5"/>
  <c r="AM753" i="5" s="1"/>
  <c r="AI753" i="5"/>
  <c r="M753" i="5"/>
  <c r="L753" i="5"/>
  <c r="K753" i="5"/>
  <c r="J753" i="5"/>
  <c r="I753" i="5"/>
  <c r="H753" i="5"/>
  <c r="E753" i="9" s="1"/>
  <c r="G753" i="5"/>
  <c r="D753" i="5"/>
  <c r="C753" i="5"/>
  <c r="A753" i="5"/>
  <c r="AL752" i="5"/>
  <c r="AK752" i="5"/>
  <c r="AJ752" i="5"/>
  <c r="AM752" i="5" s="1"/>
  <c r="AI752" i="5"/>
  <c r="M752" i="5"/>
  <c r="L752" i="5"/>
  <c r="K752" i="5"/>
  <c r="J752" i="5"/>
  <c r="I752" i="5"/>
  <c r="H752" i="5"/>
  <c r="E752" i="9" s="1"/>
  <c r="G752" i="5"/>
  <c r="D752" i="5"/>
  <c r="C752" i="5"/>
  <c r="A752" i="5"/>
  <c r="AN751" i="5"/>
  <c r="AL751" i="5"/>
  <c r="AK751" i="5"/>
  <c r="AJ751" i="5"/>
  <c r="AM751" i="5" s="1"/>
  <c r="AI751" i="5"/>
  <c r="M751" i="5"/>
  <c r="L751" i="5"/>
  <c r="K751" i="5"/>
  <c r="J751" i="5"/>
  <c r="I751" i="5"/>
  <c r="H751" i="5"/>
  <c r="E751" i="9" s="1"/>
  <c r="G751" i="5"/>
  <c r="D751" i="5"/>
  <c r="C751" i="5"/>
  <c r="A751" i="5"/>
  <c r="AL750" i="5"/>
  <c r="AK750" i="5"/>
  <c r="AJ750" i="5"/>
  <c r="AI750" i="5"/>
  <c r="M750" i="5"/>
  <c r="L750" i="5"/>
  <c r="K750" i="5"/>
  <c r="J750" i="5"/>
  <c r="I750" i="5"/>
  <c r="H750" i="5"/>
  <c r="E750" i="9" s="1"/>
  <c r="G750" i="5"/>
  <c r="D750" i="5"/>
  <c r="C750" i="5"/>
  <c r="A750" i="5"/>
  <c r="AL749" i="5"/>
  <c r="AK749" i="5"/>
  <c r="AJ749" i="5"/>
  <c r="AI749" i="5"/>
  <c r="M749" i="5"/>
  <c r="L749" i="5"/>
  <c r="K749" i="5"/>
  <c r="J749" i="5"/>
  <c r="I749" i="5"/>
  <c r="H749" i="5"/>
  <c r="E749" i="9" s="1"/>
  <c r="G749" i="5"/>
  <c r="D749" i="5"/>
  <c r="C749" i="5"/>
  <c r="A749" i="5"/>
  <c r="AN748" i="5"/>
  <c r="AL748" i="5"/>
  <c r="AK748" i="5"/>
  <c r="AJ748" i="5"/>
  <c r="AM748" i="5" s="1"/>
  <c r="AI748" i="5"/>
  <c r="M748" i="5"/>
  <c r="L748" i="5"/>
  <c r="K748" i="5"/>
  <c r="J748" i="5"/>
  <c r="I748" i="5"/>
  <c r="H748" i="5"/>
  <c r="E748" i="9" s="1"/>
  <c r="G748" i="5"/>
  <c r="D748" i="5"/>
  <c r="C748" i="5"/>
  <c r="A748" i="5"/>
  <c r="AN747" i="5"/>
  <c r="AL747" i="5"/>
  <c r="AK747" i="5"/>
  <c r="AJ747" i="5"/>
  <c r="AM747" i="5" s="1"/>
  <c r="AI747" i="5"/>
  <c r="M747" i="5"/>
  <c r="L747" i="5"/>
  <c r="K747" i="5"/>
  <c r="J747" i="5"/>
  <c r="I747" i="5"/>
  <c r="H747" i="5"/>
  <c r="E747" i="9" s="1"/>
  <c r="G747" i="5"/>
  <c r="D747" i="5"/>
  <c r="C747" i="5"/>
  <c r="A747" i="5"/>
  <c r="AL746" i="5"/>
  <c r="AK746" i="5"/>
  <c r="AJ746" i="5"/>
  <c r="AM746" i="5" s="1"/>
  <c r="AI746" i="5"/>
  <c r="M746" i="5"/>
  <c r="L746" i="5"/>
  <c r="K746" i="5"/>
  <c r="J746" i="5"/>
  <c r="I746" i="5"/>
  <c r="H746" i="5"/>
  <c r="E746" i="9" s="1"/>
  <c r="G746" i="5"/>
  <c r="D746" i="5"/>
  <c r="C746" i="5"/>
  <c r="A746" i="5"/>
  <c r="AL745" i="5"/>
  <c r="AK745" i="5"/>
  <c r="AJ745" i="5"/>
  <c r="AM745" i="5" s="1"/>
  <c r="AI745" i="5"/>
  <c r="M745" i="5"/>
  <c r="L745" i="5"/>
  <c r="K745" i="5"/>
  <c r="J745" i="5"/>
  <c r="I745" i="5"/>
  <c r="H745" i="5"/>
  <c r="E745" i="9" s="1"/>
  <c r="G745" i="5"/>
  <c r="D745" i="5"/>
  <c r="C745" i="5"/>
  <c r="A745" i="5"/>
  <c r="AL744" i="5"/>
  <c r="AK744" i="5"/>
  <c r="AJ744" i="5"/>
  <c r="AM744" i="5" s="1"/>
  <c r="AI744" i="5"/>
  <c r="M744" i="5"/>
  <c r="L744" i="5"/>
  <c r="K744" i="5"/>
  <c r="J744" i="5"/>
  <c r="I744" i="5"/>
  <c r="H744" i="5"/>
  <c r="E744" i="9" s="1"/>
  <c r="G744" i="5"/>
  <c r="D744" i="5"/>
  <c r="C744" i="5"/>
  <c r="A744" i="5"/>
  <c r="AN743" i="5"/>
  <c r="AL743" i="5"/>
  <c r="AK743" i="5"/>
  <c r="AJ743" i="5"/>
  <c r="AM743" i="5" s="1"/>
  <c r="AI743" i="5"/>
  <c r="M743" i="5"/>
  <c r="L743" i="5"/>
  <c r="K743" i="5"/>
  <c r="J743" i="5"/>
  <c r="I743" i="5"/>
  <c r="H743" i="5"/>
  <c r="E743" i="9" s="1"/>
  <c r="G743" i="5"/>
  <c r="D743" i="5"/>
  <c r="C743" i="5"/>
  <c r="A743" i="5"/>
  <c r="AL742" i="5"/>
  <c r="AK742" i="5"/>
  <c r="AJ742" i="5"/>
  <c r="AI742" i="5"/>
  <c r="M742" i="5"/>
  <c r="L742" i="5"/>
  <c r="K742" i="5"/>
  <c r="J742" i="5"/>
  <c r="I742" i="5"/>
  <c r="H742" i="5"/>
  <c r="E742" i="9" s="1"/>
  <c r="G742" i="5"/>
  <c r="D742" i="5"/>
  <c r="C742" i="5"/>
  <c r="A742" i="5"/>
  <c r="AL741" i="5"/>
  <c r="AK741" i="5"/>
  <c r="AJ741" i="5"/>
  <c r="AI741" i="5"/>
  <c r="M741" i="5"/>
  <c r="L741" i="5"/>
  <c r="K741" i="5"/>
  <c r="J741" i="5"/>
  <c r="I741" i="5"/>
  <c r="H741" i="5"/>
  <c r="E741" i="9" s="1"/>
  <c r="G741" i="5"/>
  <c r="D741" i="5"/>
  <c r="C741" i="5"/>
  <c r="A741" i="5"/>
  <c r="AL740" i="5"/>
  <c r="AK740" i="5"/>
  <c r="AJ740" i="5"/>
  <c r="AM740" i="5" s="1"/>
  <c r="AI740" i="5"/>
  <c r="M740" i="5"/>
  <c r="L740" i="5"/>
  <c r="K740" i="5"/>
  <c r="J740" i="5"/>
  <c r="I740" i="5"/>
  <c r="H740" i="5"/>
  <c r="E740" i="9" s="1"/>
  <c r="G740" i="5"/>
  <c r="D740" i="5"/>
  <c r="C740" i="5"/>
  <c r="A740" i="5"/>
  <c r="AN739" i="5"/>
  <c r="AL739" i="5"/>
  <c r="AK739" i="5"/>
  <c r="AJ739" i="5"/>
  <c r="AM739" i="5" s="1"/>
  <c r="AI739" i="5"/>
  <c r="M739" i="5"/>
  <c r="L739" i="5"/>
  <c r="K739" i="5"/>
  <c r="J739" i="5"/>
  <c r="I739" i="5"/>
  <c r="H739" i="5"/>
  <c r="E739" i="9" s="1"/>
  <c r="G739" i="5"/>
  <c r="D739" i="5"/>
  <c r="C739" i="5"/>
  <c r="A739" i="5"/>
  <c r="AL738" i="5"/>
  <c r="AK738" i="5"/>
  <c r="AJ738" i="5"/>
  <c r="AM738" i="5" s="1"/>
  <c r="AI738" i="5"/>
  <c r="M738" i="5"/>
  <c r="L738" i="5"/>
  <c r="K738" i="5"/>
  <c r="J738" i="5"/>
  <c r="I738" i="5"/>
  <c r="H738" i="5"/>
  <c r="E738" i="9" s="1"/>
  <c r="G738" i="5"/>
  <c r="D738" i="5"/>
  <c r="C738" i="5"/>
  <c r="A738" i="5"/>
  <c r="AN737" i="5"/>
  <c r="AL737" i="5"/>
  <c r="AK737" i="5"/>
  <c r="AJ737" i="5"/>
  <c r="AM737" i="5" s="1"/>
  <c r="AI737" i="5"/>
  <c r="M737" i="5"/>
  <c r="L737" i="5"/>
  <c r="K737" i="5"/>
  <c r="J737" i="5"/>
  <c r="I737" i="5"/>
  <c r="H737" i="5"/>
  <c r="E737" i="9" s="1"/>
  <c r="G737" i="5"/>
  <c r="D737" i="5"/>
  <c r="C737" i="5"/>
  <c r="A737" i="5"/>
  <c r="AN736" i="5"/>
  <c r="AL736" i="5"/>
  <c r="AK736" i="5"/>
  <c r="AJ736" i="5"/>
  <c r="AM736" i="5" s="1"/>
  <c r="AI736" i="5"/>
  <c r="M736" i="5"/>
  <c r="L736" i="5"/>
  <c r="K736" i="5"/>
  <c r="J736" i="5"/>
  <c r="I736" i="5"/>
  <c r="H736" i="5"/>
  <c r="E736" i="9" s="1"/>
  <c r="G736" i="5"/>
  <c r="D736" i="5"/>
  <c r="C736" i="5"/>
  <c r="A736" i="5"/>
  <c r="AN735" i="5"/>
  <c r="AL735" i="5"/>
  <c r="AK735" i="5"/>
  <c r="AJ735" i="5"/>
  <c r="AM735" i="5" s="1"/>
  <c r="AI735" i="5"/>
  <c r="M735" i="5"/>
  <c r="L735" i="5"/>
  <c r="K735" i="5"/>
  <c r="J735" i="5"/>
  <c r="I735" i="5"/>
  <c r="H735" i="5"/>
  <c r="E735" i="9" s="1"/>
  <c r="G735" i="5"/>
  <c r="D735" i="5"/>
  <c r="C735" i="5"/>
  <c r="A735" i="5"/>
  <c r="AL734" i="5"/>
  <c r="AK734" i="5"/>
  <c r="AJ734" i="5"/>
  <c r="AI734" i="5"/>
  <c r="M734" i="5"/>
  <c r="L734" i="5"/>
  <c r="K734" i="5"/>
  <c r="J734" i="5"/>
  <c r="I734" i="5"/>
  <c r="H734" i="5"/>
  <c r="E734" i="9" s="1"/>
  <c r="G734" i="5"/>
  <c r="D734" i="5"/>
  <c r="C734" i="5"/>
  <c r="A734" i="5"/>
  <c r="AL733" i="5"/>
  <c r="AK733" i="5"/>
  <c r="AJ733" i="5"/>
  <c r="AI733" i="5"/>
  <c r="M733" i="5"/>
  <c r="L733" i="5"/>
  <c r="K733" i="5"/>
  <c r="J733" i="5"/>
  <c r="I733" i="5"/>
  <c r="H733" i="5"/>
  <c r="E733" i="9" s="1"/>
  <c r="G733" i="5"/>
  <c r="D733" i="5"/>
  <c r="C733" i="5"/>
  <c r="A733" i="5"/>
  <c r="AN732" i="5"/>
  <c r="AL732" i="5"/>
  <c r="AK732" i="5"/>
  <c r="AJ732" i="5"/>
  <c r="AM732" i="5" s="1"/>
  <c r="AI732" i="5"/>
  <c r="M732" i="5"/>
  <c r="L732" i="5"/>
  <c r="K732" i="5"/>
  <c r="J732" i="5"/>
  <c r="I732" i="5"/>
  <c r="H732" i="5"/>
  <c r="E732" i="9" s="1"/>
  <c r="G732" i="5"/>
  <c r="D732" i="5"/>
  <c r="C732" i="5"/>
  <c r="A732" i="5"/>
  <c r="AN731" i="5"/>
  <c r="AL731" i="5"/>
  <c r="AK731" i="5"/>
  <c r="AJ731" i="5"/>
  <c r="AM731" i="5" s="1"/>
  <c r="AI731" i="5"/>
  <c r="M731" i="5"/>
  <c r="L731" i="5"/>
  <c r="K731" i="5"/>
  <c r="J731" i="5"/>
  <c r="I731" i="5"/>
  <c r="H731" i="5"/>
  <c r="E731" i="9" s="1"/>
  <c r="G731" i="5"/>
  <c r="D731" i="5"/>
  <c r="C731" i="5"/>
  <c r="A731" i="5"/>
  <c r="AL730" i="5"/>
  <c r="AK730" i="5"/>
  <c r="AJ730" i="5"/>
  <c r="AM730" i="5" s="1"/>
  <c r="AI730" i="5"/>
  <c r="M730" i="5"/>
  <c r="L730" i="5"/>
  <c r="K730" i="5"/>
  <c r="J730" i="5"/>
  <c r="I730" i="5"/>
  <c r="H730" i="5"/>
  <c r="E730" i="9" s="1"/>
  <c r="G730" i="5"/>
  <c r="D730" i="5"/>
  <c r="C730" i="5"/>
  <c r="A730" i="5"/>
  <c r="AL729" i="5"/>
  <c r="AK729" i="5"/>
  <c r="AJ729" i="5"/>
  <c r="AM729" i="5" s="1"/>
  <c r="AI729" i="5"/>
  <c r="M729" i="5"/>
  <c r="L729" i="5"/>
  <c r="K729" i="5"/>
  <c r="J729" i="5"/>
  <c r="I729" i="5"/>
  <c r="H729" i="5"/>
  <c r="E729" i="9" s="1"/>
  <c r="G729" i="5"/>
  <c r="D729" i="5"/>
  <c r="C729" i="5"/>
  <c r="A729" i="5"/>
  <c r="AL728" i="5"/>
  <c r="AK728" i="5"/>
  <c r="AJ728" i="5"/>
  <c r="AM728" i="5" s="1"/>
  <c r="AI728" i="5"/>
  <c r="M728" i="5"/>
  <c r="L728" i="5"/>
  <c r="K728" i="5"/>
  <c r="J728" i="5"/>
  <c r="I728" i="5"/>
  <c r="H728" i="5"/>
  <c r="E728" i="9" s="1"/>
  <c r="G728" i="5"/>
  <c r="D728" i="5"/>
  <c r="C728" i="5"/>
  <c r="A728" i="5"/>
  <c r="AN727" i="5"/>
  <c r="AL727" i="5"/>
  <c r="AK727" i="5"/>
  <c r="AJ727" i="5"/>
  <c r="AM727" i="5" s="1"/>
  <c r="AI727" i="5"/>
  <c r="M727" i="5"/>
  <c r="L727" i="5"/>
  <c r="K727" i="5"/>
  <c r="J727" i="5"/>
  <c r="I727" i="5"/>
  <c r="H727" i="5"/>
  <c r="E727" i="9" s="1"/>
  <c r="G727" i="5"/>
  <c r="D727" i="5"/>
  <c r="C727" i="5"/>
  <c r="A727" i="5"/>
  <c r="AL726" i="5"/>
  <c r="AK726" i="5"/>
  <c r="AJ726" i="5"/>
  <c r="AI726" i="5"/>
  <c r="M726" i="5"/>
  <c r="L726" i="5"/>
  <c r="K726" i="5"/>
  <c r="J726" i="5"/>
  <c r="I726" i="5"/>
  <c r="H726" i="5"/>
  <c r="E726" i="9" s="1"/>
  <c r="G726" i="5"/>
  <c r="D726" i="5"/>
  <c r="C726" i="5"/>
  <c r="A726" i="5"/>
  <c r="AL725" i="5"/>
  <c r="AK725" i="5"/>
  <c r="AJ725" i="5"/>
  <c r="AI725" i="5"/>
  <c r="M725" i="5"/>
  <c r="L725" i="5"/>
  <c r="K725" i="5"/>
  <c r="J725" i="5"/>
  <c r="I725" i="5"/>
  <c r="H725" i="5"/>
  <c r="E725" i="9" s="1"/>
  <c r="G725" i="5"/>
  <c r="D725" i="5"/>
  <c r="C725" i="5"/>
  <c r="A725" i="5"/>
  <c r="AL724" i="5"/>
  <c r="AK724" i="5"/>
  <c r="AJ724" i="5"/>
  <c r="AM724" i="5" s="1"/>
  <c r="AI724" i="5"/>
  <c r="M724" i="5"/>
  <c r="L724" i="5"/>
  <c r="K724" i="5"/>
  <c r="J724" i="5"/>
  <c r="I724" i="5"/>
  <c r="H724" i="5"/>
  <c r="E724" i="9" s="1"/>
  <c r="G724" i="5"/>
  <c r="D724" i="5"/>
  <c r="C724" i="5"/>
  <c r="A724" i="5"/>
  <c r="AN723" i="5"/>
  <c r="AL723" i="5"/>
  <c r="AK723" i="5"/>
  <c r="AJ723" i="5"/>
  <c r="AM723" i="5" s="1"/>
  <c r="AI723" i="5"/>
  <c r="M723" i="5"/>
  <c r="L723" i="5"/>
  <c r="K723" i="5"/>
  <c r="J723" i="5"/>
  <c r="I723" i="5"/>
  <c r="H723" i="5"/>
  <c r="E723" i="9" s="1"/>
  <c r="G723" i="5"/>
  <c r="D723" i="5"/>
  <c r="C723" i="5"/>
  <c r="A723" i="5"/>
  <c r="AL722" i="5"/>
  <c r="AK722" i="5"/>
  <c r="AJ722" i="5"/>
  <c r="AM722" i="5" s="1"/>
  <c r="AI722" i="5"/>
  <c r="M722" i="5"/>
  <c r="L722" i="5"/>
  <c r="K722" i="5"/>
  <c r="J722" i="5"/>
  <c r="I722" i="5"/>
  <c r="H722" i="5"/>
  <c r="E722" i="9" s="1"/>
  <c r="G722" i="5"/>
  <c r="D722" i="5"/>
  <c r="C722" i="5"/>
  <c r="A722" i="5"/>
  <c r="AL721" i="5"/>
  <c r="AK721" i="5"/>
  <c r="AJ721" i="5"/>
  <c r="AM721" i="5" s="1"/>
  <c r="AI721" i="5"/>
  <c r="M721" i="5"/>
  <c r="L721" i="5"/>
  <c r="K721" i="5"/>
  <c r="J721" i="5"/>
  <c r="I721" i="5"/>
  <c r="H721" i="5"/>
  <c r="E721" i="9" s="1"/>
  <c r="G721" i="5"/>
  <c r="D721" i="5"/>
  <c r="C721" i="5"/>
  <c r="A721" i="5"/>
  <c r="AN720" i="5"/>
  <c r="AL720" i="5"/>
  <c r="AK720" i="5"/>
  <c r="AJ720" i="5"/>
  <c r="AM720" i="5" s="1"/>
  <c r="AI720" i="5"/>
  <c r="M720" i="5"/>
  <c r="L720" i="5"/>
  <c r="K720" i="5"/>
  <c r="J720" i="5"/>
  <c r="I720" i="5"/>
  <c r="H720" i="5"/>
  <c r="E720" i="9" s="1"/>
  <c r="G720" i="5"/>
  <c r="D720" i="5"/>
  <c r="C720" i="5"/>
  <c r="A720" i="5"/>
  <c r="AN719" i="5"/>
  <c r="AL719" i="5"/>
  <c r="AK719" i="5"/>
  <c r="AJ719" i="5"/>
  <c r="AM719" i="5" s="1"/>
  <c r="AI719" i="5"/>
  <c r="M719" i="5"/>
  <c r="L719" i="5"/>
  <c r="K719" i="5"/>
  <c r="J719" i="5"/>
  <c r="I719" i="5"/>
  <c r="H719" i="5"/>
  <c r="E719" i="9" s="1"/>
  <c r="G719" i="5"/>
  <c r="D719" i="5"/>
  <c r="C719" i="5"/>
  <c r="A719" i="5"/>
  <c r="AL718" i="5"/>
  <c r="AK718" i="5"/>
  <c r="AJ718" i="5"/>
  <c r="AI718" i="5"/>
  <c r="M718" i="5"/>
  <c r="L718" i="5"/>
  <c r="K718" i="5"/>
  <c r="J718" i="5"/>
  <c r="I718" i="5"/>
  <c r="H718" i="5"/>
  <c r="E718" i="9" s="1"/>
  <c r="G718" i="5"/>
  <c r="D718" i="5"/>
  <c r="C718" i="5"/>
  <c r="A718" i="5"/>
  <c r="AL717" i="5"/>
  <c r="AK717" i="5"/>
  <c r="AJ717" i="5"/>
  <c r="AI717" i="5"/>
  <c r="M717" i="5"/>
  <c r="L717" i="5"/>
  <c r="K717" i="5"/>
  <c r="J717" i="5"/>
  <c r="I717" i="5"/>
  <c r="H717" i="5"/>
  <c r="E717" i="9" s="1"/>
  <c r="G717" i="5"/>
  <c r="D717" i="5"/>
  <c r="C717" i="5"/>
  <c r="A717" i="5"/>
  <c r="AL716" i="5"/>
  <c r="AK716" i="5"/>
  <c r="AJ716" i="5"/>
  <c r="AM716" i="5" s="1"/>
  <c r="AI716" i="5"/>
  <c r="M716" i="5"/>
  <c r="L716" i="5"/>
  <c r="K716" i="5"/>
  <c r="J716" i="5"/>
  <c r="I716" i="5"/>
  <c r="H716" i="5"/>
  <c r="E716" i="9" s="1"/>
  <c r="G716" i="5"/>
  <c r="D716" i="5"/>
  <c r="C716" i="5"/>
  <c r="A716" i="5"/>
  <c r="AN715" i="5"/>
  <c r="AL715" i="5"/>
  <c r="AK715" i="5"/>
  <c r="AJ715" i="5"/>
  <c r="AM715" i="5" s="1"/>
  <c r="AI715" i="5"/>
  <c r="M715" i="5"/>
  <c r="L715" i="5"/>
  <c r="K715" i="5"/>
  <c r="J715" i="5"/>
  <c r="I715" i="5"/>
  <c r="H715" i="5"/>
  <c r="E715" i="9" s="1"/>
  <c r="G715" i="5"/>
  <c r="D715" i="5"/>
  <c r="C715" i="5"/>
  <c r="A715" i="5"/>
  <c r="AL714" i="5"/>
  <c r="AK714" i="5"/>
  <c r="AJ714" i="5"/>
  <c r="AM714" i="5" s="1"/>
  <c r="AI714" i="5"/>
  <c r="M714" i="5"/>
  <c r="L714" i="5"/>
  <c r="K714" i="5"/>
  <c r="J714" i="5"/>
  <c r="I714" i="5"/>
  <c r="H714" i="5"/>
  <c r="E714" i="9" s="1"/>
  <c r="G714" i="5"/>
  <c r="D714" i="5"/>
  <c r="C714" i="5"/>
  <c r="A714" i="5"/>
  <c r="AN713" i="5"/>
  <c r="AL713" i="5"/>
  <c r="AK713" i="5"/>
  <c r="AJ713" i="5"/>
  <c r="AM713" i="5" s="1"/>
  <c r="AI713" i="5"/>
  <c r="M713" i="5"/>
  <c r="L713" i="5"/>
  <c r="K713" i="5"/>
  <c r="J713" i="5"/>
  <c r="I713" i="5"/>
  <c r="H713" i="5"/>
  <c r="E713" i="9" s="1"/>
  <c r="G713" i="5"/>
  <c r="D713" i="5"/>
  <c r="C713" i="5"/>
  <c r="A713" i="5"/>
  <c r="AL712" i="5"/>
  <c r="AK712" i="5"/>
  <c r="AJ712" i="5"/>
  <c r="AM712" i="5" s="1"/>
  <c r="AI712" i="5"/>
  <c r="M712" i="5"/>
  <c r="L712" i="5"/>
  <c r="K712" i="5"/>
  <c r="J712" i="5"/>
  <c r="I712" i="5"/>
  <c r="H712" i="5"/>
  <c r="E712" i="9" s="1"/>
  <c r="G712" i="5"/>
  <c r="D712" i="5"/>
  <c r="C712" i="5"/>
  <c r="A712" i="5"/>
  <c r="AN711" i="5"/>
  <c r="AL711" i="5"/>
  <c r="AK711" i="5"/>
  <c r="AJ711" i="5"/>
  <c r="AM711" i="5" s="1"/>
  <c r="AI711" i="5"/>
  <c r="M711" i="5"/>
  <c r="L711" i="5"/>
  <c r="K711" i="5"/>
  <c r="J711" i="5"/>
  <c r="I711" i="5"/>
  <c r="H711" i="5"/>
  <c r="E711" i="9" s="1"/>
  <c r="G711" i="5"/>
  <c r="D711" i="5"/>
  <c r="C711" i="5"/>
  <c r="A711" i="5"/>
  <c r="AL710" i="5"/>
  <c r="AK710" i="5"/>
  <c r="AJ710" i="5"/>
  <c r="AI710" i="5"/>
  <c r="M710" i="5"/>
  <c r="L710" i="5"/>
  <c r="K710" i="5"/>
  <c r="J710" i="5"/>
  <c r="I710" i="5"/>
  <c r="H710" i="5"/>
  <c r="E710" i="9" s="1"/>
  <c r="G710" i="5"/>
  <c r="D710" i="5"/>
  <c r="C710" i="5"/>
  <c r="A710" i="5"/>
  <c r="AL709" i="5"/>
  <c r="AK709" i="5"/>
  <c r="AJ709" i="5"/>
  <c r="AI709" i="5"/>
  <c r="M709" i="5"/>
  <c r="L709" i="5"/>
  <c r="K709" i="5"/>
  <c r="J709" i="5"/>
  <c r="I709" i="5"/>
  <c r="H709" i="5"/>
  <c r="E709" i="9" s="1"/>
  <c r="G709" i="5"/>
  <c r="D709" i="5"/>
  <c r="C709" i="5"/>
  <c r="A709" i="5"/>
  <c r="AN708" i="5"/>
  <c r="AL708" i="5"/>
  <c r="AK708" i="5"/>
  <c r="AJ708" i="5"/>
  <c r="AM708" i="5" s="1"/>
  <c r="AI708" i="5"/>
  <c r="M708" i="5"/>
  <c r="L708" i="5"/>
  <c r="K708" i="5"/>
  <c r="J708" i="5"/>
  <c r="I708" i="5"/>
  <c r="H708" i="5"/>
  <c r="E708" i="9" s="1"/>
  <c r="G708" i="5"/>
  <c r="D708" i="5"/>
  <c r="C708" i="5"/>
  <c r="A708" i="5"/>
  <c r="AN707" i="5"/>
  <c r="AL707" i="5"/>
  <c r="AK707" i="5"/>
  <c r="AJ707" i="5"/>
  <c r="AM707" i="5" s="1"/>
  <c r="AI707" i="5"/>
  <c r="M707" i="5"/>
  <c r="L707" i="5"/>
  <c r="K707" i="5"/>
  <c r="J707" i="5"/>
  <c r="I707" i="5"/>
  <c r="H707" i="5"/>
  <c r="E707" i="9" s="1"/>
  <c r="G707" i="5"/>
  <c r="D707" i="5"/>
  <c r="C707" i="5"/>
  <c r="A707" i="5"/>
  <c r="AL706" i="5"/>
  <c r="AK706" i="5"/>
  <c r="AJ706" i="5"/>
  <c r="AM706" i="5" s="1"/>
  <c r="AI706" i="5"/>
  <c r="M706" i="5"/>
  <c r="L706" i="5"/>
  <c r="K706" i="5"/>
  <c r="J706" i="5"/>
  <c r="I706" i="5"/>
  <c r="H706" i="5"/>
  <c r="E706" i="9" s="1"/>
  <c r="G706" i="5"/>
  <c r="D706" i="5"/>
  <c r="C706" i="5"/>
  <c r="A706" i="5"/>
  <c r="AL705" i="5"/>
  <c r="AK705" i="5"/>
  <c r="AJ705" i="5"/>
  <c r="AM705" i="5" s="1"/>
  <c r="AI705" i="5"/>
  <c r="M705" i="5"/>
  <c r="L705" i="5"/>
  <c r="K705" i="5"/>
  <c r="J705" i="5"/>
  <c r="I705" i="5"/>
  <c r="H705" i="5"/>
  <c r="E705" i="9" s="1"/>
  <c r="G705" i="5"/>
  <c r="D705" i="5"/>
  <c r="C705" i="5"/>
  <c r="A705" i="5"/>
  <c r="AL704" i="5"/>
  <c r="AK704" i="5"/>
  <c r="AJ704" i="5"/>
  <c r="AM704" i="5" s="1"/>
  <c r="AI704" i="5"/>
  <c r="M704" i="5"/>
  <c r="L704" i="5"/>
  <c r="K704" i="5"/>
  <c r="J704" i="5"/>
  <c r="I704" i="5"/>
  <c r="H704" i="5"/>
  <c r="E704" i="9" s="1"/>
  <c r="G704" i="5"/>
  <c r="D704" i="5"/>
  <c r="C704" i="5"/>
  <c r="A704" i="5"/>
  <c r="AN703" i="5"/>
  <c r="AL703" i="5"/>
  <c r="AK703" i="5"/>
  <c r="AJ703" i="5"/>
  <c r="AM703" i="5" s="1"/>
  <c r="AI703" i="5"/>
  <c r="M703" i="5"/>
  <c r="L703" i="5"/>
  <c r="K703" i="5"/>
  <c r="J703" i="5"/>
  <c r="I703" i="5"/>
  <c r="H703" i="5"/>
  <c r="E703" i="9" s="1"/>
  <c r="G703" i="5"/>
  <c r="D703" i="5"/>
  <c r="C703" i="5"/>
  <c r="A703" i="5"/>
  <c r="AL702" i="5"/>
  <c r="AK702" i="5"/>
  <c r="AJ702" i="5"/>
  <c r="AI702" i="5"/>
  <c r="M702" i="5"/>
  <c r="L702" i="5"/>
  <c r="K702" i="5"/>
  <c r="J702" i="5"/>
  <c r="I702" i="5"/>
  <c r="H702" i="5"/>
  <c r="E702" i="9" s="1"/>
  <c r="G702" i="5"/>
  <c r="D702" i="5"/>
  <c r="C702" i="5"/>
  <c r="A702" i="5"/>
  <c r="AL701" i="5"/>
  <c r="AK701" i="5"/>
  <c r="AJ701" i="5"/>
  <c r="AI701" i="5"/>
  <c r="M701" i="5"/>
  <c r="L701" i="5"/>
  <c r="K701" i="5"/>
  <c r="J701" i="5"/>
  <c r="I701" i="5"/>
  <c r="H701" i="5"/>
  <c r="E701" i="9" s="1"/>
  <c r="G701" i="5"/>
  <c r="D701" i="5"/>
  <c r="C701" i="5"/>
  <c r="A701" i="5"/>
  <c r="AL700" i="5"/>
  <c r="AK700" i="5"/>
  <c r="AJ700" i="5"/>
  <c r="AM700" i="5" s="1"/>
  <c r="AI700" i="5"/>
  <c r="M700" i="5"/>
  <c r="L700" i="5"/>
  <c r="K700" i="5"/>
  <c r="J700" i="5"/>
  <c r="I700" i="5"/>
  <c r="H700" i="5"/>
  <c r="E700" i="9" s="1"/>
  <c r="G700" i="5"/>
  <c r="D700" i="5"/>
  <c r="C700" i="5"/>
  <c r="A700" i="5"/>
  <c r="AN699" i="5"/>
  <c r="AL699" i="5"/>
  <c r="AK699" i="5"/>
  <c r="AJ699" i="5"/>
  <c r="AM699" i="5" s="1"/>
  <c r="AI699" i="5"/>
  <c r="M699" i="5"/>
  <c r="L699" i="5"/>
  <c r="K699" i="5"/>
  <c r="J699" i="5"/>
  <c r="I699" i="5"/>
  <c r="H699" i="5"/>
  <c r="E699" i="9" s="1"/>
  <c r="G699" i="5"/>
  <c r="D699" i="5"/>
  <c r="C699" i="5"/>
  <c r="A699" i="5"/>
  <c r="AL698" i="5"/>
  <c r="AK698" i="5"/>
  <c r="AJ698" i="5"/>
  <c r="AM698" i="5" s="1"/>
  <c r="AI698" i="5"/>
  <c r="M698" i="5"/>
  <c r="L698" i="5"/>
  <c r="K698" i="5"/>
  <c r="J698" i="5"/>
  <c r="I698" i="5"/>
  <c r="H698" i="5"/>
  <c r="E698" i="9" s="1"/>
  <c r="G698" i="5"/>
  <c r="D698" i="5"/>
  <c r="C698" i="5"/>
  <c r="A698" i="5"/>
  <c r="AN697" i="5"/>
  <c r="AL697" i="5"/>
  <c r="AK697" i="5"/>
  <c r="AJ697" i="5"/>
  <c r="AM697" i="5" s="1"/>
  <c r="AI697" i="5"/>
  <c r="M697" i="5"/>
  <c r="L697" i="5"/>
  <c r="K697" i="5"/>
  <c r="J697" i="5"/>
  <c r="I697" i="5"/>
  <c r="H697" i="5"/>
  <c r="E697" i="9" s="1"/>
  <c r="G697" i="5"/>
  <c r="D697" i="5"/>
  <c r="C697" i="5"/>
  <c r="A697" i="5"/>
  <c r="AN696" i="5"/>
  <c r="AL696" i="5"/>
  <c r="AK696" i="5"/>
  <c r="AJ696" i="5"/>
  <c r="AM696" i="5" s="1"/>
  <c r="AI696" i="5"/>
  <c r="M696" i="5"/>
  <c r="L696" i="5"/>
  <c r="K696" i="5"/>
  <c r="J696" i="5"/>
  <c r="I696" i="5"/>
  <c r="H696" i="5"/>
  <c r="E696" i="9" s="1"/>
  <c r="G696" i="5"/>
  <c r="D696" i="5"/>
  <c r="C696" i="5"/>
  <c r="A696" i="5"/>
  <c r="AN695" i="5"/>
  <c r="AL695" i="5"/>
  <c r="AK695" i="5"/>
  <c r="AJ695" i="5"/>
  <c r="AM695" i="5" s="1"/>
  <c r="AI695" i="5"/>
  <c r="M695" i="5"/>
  <c r="L695" i="5"/>
  <c r="K695" i="5"/>
  <c r="J695" i="5"/>
  <c r="I695" i="5"/>
  <c r="H695" i="5"/>
  <c r="E695" i="9" s="1"/>
  <c r="G695" i="5"/>
  <c r="D695" i="5"/>
  <c r="C695" i="5"/>
  <c r="A695" i="5"/>
  <c r="AL694" i="5"/>
  <c r="AK694" i="5"/>
  <c r="AJ694" i="5"/>
  <c r="AI694" i="5"/>
  <c r="M694" i="5"/>
  <c r="L694" i="5"/>
  <c r="K694" i="5"/>
  <c r="J694" i="5"/>
  <c r="I694" i="5"/>
  <c r="H694" i="5"/>
  <c r="E694" i="9" s="1"/>
  <c r="G694" i="5"/>
  <c r="D694" i="5"/>
  <c r="C694" i="5"/>
  <c r="A694" i="5"/>
  <c r="AL693" i="5"/>
  <c r="AK693" i="5"/>
  <c r="AJ693" i="5"/>
  <c r="AI693" i="5"/>
  <c r="M693" i="5"/>
  <c r="L693" i="5"/>
  <c r="K693" i="5"/>
  <c r="J693" i="5"/>
  <c r="I693" i="5"/>
  <c r="H693" i="5"/>
  <c r="E693" i="9" s="1"/>
  <c r="G693" i="5"/>
  <c r="D693" i="5"/>
  <c r="C693" i="5"/>
  <c r="A693" i="5"/>
  <c r="AL692" i="5"/>
  <c r="AK692" i="5"/>
  <c r="AJ692" i="5"/>
  <c r="AM692" i="5" s="1"/>
  <c r="AI692" i="5"/>
  <c r="M692" i="5"/>
  <c r="L692" i="5"/>
  <c r="K692" i="5"/>
  <c r="J692" i="5"/>
  <c r="I692" i="5"/>
  <c r="H692" i="5"/>
  <c r="E692" i="9" s="1"/>
  <c r="G692" i="5"/>
  <c r="D692" i="5"/>
  <c r="C692" i="5"/>
  <c r="A692" i="5"/>
  <c r="AN691" i="5"/>
  <c r="AL691" i="5"/>
  <c r="AK691" i="5"/>
  <c r="AJ691" i="5"/>
  <c r="AM691" i="5" s="1"/>
  <c r="AI691" i="5"/>
  <c r="M691" i="5"/>
  <c r="L691" i="5"/>
  <c r="K691" i="5"/>
  <c r="J691" i="5"/>
  <c r="I691" i="5"/>
  <c r="H691" i="5"/>
  <c r="E691" i="9" s="1"/>
  <c r="G691" i="5"/>
  <c r="D691" i="5"/>
  <c r="C691" i="5"/>
  <c r="A691" i="5"/>
  <c r="AN690" i="5"/>
  <c r="AL690" i="5"/>
  <c r="AK690" i="5"/>
  <c r="AJ690" i="5"/>
  <c r="AM690" i="5" s="1"/>
  <c r="AI690" i="5"/>
  <c r="M690" i="5"/>
  <c r="L690" i="5"/>
  <c r="K690" i="5"/>
  <c r="J690" i="5"/>
  <c r="I690" i="5"/>
  <c r="H690" i="5"/>
  <c r="E690" i="9" s="1"/>
  <c r="G690" i="5"/>
  <c r="D690" i="5"/>
  <c r="C690" i="5"/>
  <c r="A690" i="5"/>
  <c r="AN689" i="5"/>
  <c r="AL689" i="5"/>
  <c r="AK689" i="5"/>
  <c r="AJ689" i="5"/>
  <c r="AM689" i="5" s="1"/>
  <c r="AI689" i="5"/>
  <c r="M689" i="5"/>
  <c r="L689" i="5"/>
  <c r="K689" i="5"/>
  <c r="J689" i="5"/>
  <c r="I689" i="5"/>
  <c r="H689" i="5"/>
  <c r="E689" i="9" s="1"/>
  <c r="G689" i="5"/>
  <c r="D689" i="5"/>
  <c r="C689" i="5"/>
  <c r="A689" i="5"/>
  <c r="AL688" i="5"/>
  <c r="AK688" i="5"/>
  <c r="AJ688" i="5"/>
  <c r="AM688" i="5" s="1"/>
  <c r="AI688" i="5"/>
  <c r="M688" i="5"/>
  <c r="L688" i="5"/>
  <c r="K688" i="5"/>
  <c r="J688" i="5"/>
  <c r="I688" i="5"/>
  <c r="H688" i="5"/>
  <c r="E688" i="9" s="1"/>
  <c r="G688" i="5"/>
  <c r="D688" i="5"/>
  <c r="C688" i="5"/>
  <c r="A688" i="5"/>
  <c r="AN687" i="5"/>
  <c r="AL687" i="5"/>
  <c r="AK687" i="5"/>
  <c r="AJ687" i="5"/>
  <c r="AM687" i="5" s="1"/>
  <c r="AI687" i="5"/>
  <c r="M687" i="5"/>
  <c r="L687" i="5"/>
  <c r="K687" i="5"/>
  <c r="J687" i="5"/>
  <c r="I687" i="5"/>
  <c r="H687" i="5"/>
  <c r="E687" i="9" s="1"/>
  <c r="G687" i="5"/>
  <c r="D687" i="5"/>
  <c r="C687" i="5"/>
  <c r="A687" i="5"/>
  <c r="AL686" i="5"/>
  <c r="AK686" i="5"/>
  <c r="AJ686" i="5"/>
  <c r="AI686" i="5"/>
  <c r="M686" i="5"/>
  <c r="L686" i="5"/>
  <c r="K686" i="5"/>
  <c r="J686" i="5"/>
  <c r="I686" i="5"/>
  <c r="H686" i="5"/>
  <c r="E686" i="9" s="1"/>
  <c r="G686" i="5"/>
  <c r="D686" i="5"/>
  <c r="C686" i="5"/>
  <c r="A686" i="5"/>
  <c r="AL685" i="5"/>
  <c r="AK685" i="5"/>
  <c r="AJ685" i="5"/>
  <c r="AI685" i="5"/>
  <c r="M685" i="5"/>
  <c r="L685" i="5"/>
  <c r="K685" i="5"/>
  <c r="J685" i="5"/>
  <c r="I685" i="5"/>
  <c r="H685" i="5"/>
  <c r="E685" i="9" s="1"/>
  <c r="G685" i="5"/>
  <c r="D685" i="5"/>
  <c r="C685" i="5"/>
  <c r="A685" i="5"/>
  <c r="AN684" i="5"/>
  <c r="AL684" i="5"/>
  <c r="AK684" i="5"/>
  <c r="AJ684" i="5"/>
  <c r="AM684" i="5" s="1"/>
  <c r="AI684" i="5"/>
  <c r="M684" i="5"/>
  <c r="L684" i="5"/>
  <c r="K684" i="5"/>
  <c r="J684" i="5"/>
  <c r="I684" i="5"/>
  <c r="H684" i="5"/>
  <c r="E684" i="9" s="1"/>
  <c r="G684" i="5"/>
  <c r="D684" i="5"/>
  <c r="C684" i="5"/>
  <c r="A684" i="5"/>
  <c r="AN683" i="5"/>
  <c r="AL683" i="5"/>
  <c r="AK683" i="5"/>
  <c r="AJ683" i="5"/>
  <c r="AM683" i="5" s="1"/>
  <c r="AI683" i="5"/>
  <c r="M683" i="5"/>
  <c r="L683" i="5"/>
  <c r="K683" i="5"/>
  <c r="J683" i="5"/>
  <c r="I683" i="5"/>
  <c r="H683" i="5"/>
  <c r="E683" i="9" s="1"/>
  <c r="G683" i="5"/>
  <c r="D683" i="5"/>
  <c r="C683" i="5"/>
  <c r="A683" i="5"/>
  <c r="AN682" i="5"/>
  <c r="AL682" i="5"/>
  <c r="AK682" i="5"/>
  <c r="AJ682" i="5"/>
  <c r="AM682" i="5" s="1"/>
  <c r="AI682" i="5"/>
  <c r="M682" i="5"/>
  <c r="L682" i="5"/>
  <c r="K682" i="5"/>
  <c r="J682" i="5"/>
  <c r="I682" i="5"/>
  <c r="H682" i="5"/>
  <c r="E682" i="9" s="1"/>
  <c r="G682" i="5"/>
  <c r="D682" i="5"/>
  <c r="C682" i="5"/>
  <c r="A682" i="5"/>
  <c r="AL681" i="5"/>
  <c r="AK681" i="5"/>
  <c r="AJ681" i="5"/>
  <c r="AM681" i="5" s="1"/>
  <c r="AI681" i="5"/>
  <c r="M681" i="5"/>
  <c r="L681" i="5"/>
  <c r="K681" i="5"/>
  <c r="J681" i="5"/>
  <c r="I681" i="5"/>
  <c r="H681" i="5"/>
  <c r="E681" i="9" s="1"/>
  <c r="G681" i="5"/>
  <c r="D681" i="5"/>
  <c r="C681" i="5"/>
  <c r="A681" i="5"/>
  <c r="AL680" i="5"/>
  <c r="AK680" i="5"/>
  <c r="AJ680" i="5"/>
  <c r="AM680" i="5" s="1"/>
  <c r="AI680" i="5"/>
  <c r="M680" i="5"/>
  <c r="L680" i="5"/>
  <c r="K680" i="5"/>
  <c r="J680" i="5"/>
  <c r="I680" i="5"/>
  <c r="H680" i="5"/>
  <c r="E680" i="9" s="1"/>
  <c r="G680" i="5"/>
  <c r="D680" i="5"/>
  <c r="C680" i="5"/>
  <c r="A680" i="5"/>
  <c r="AN679" i="5"/>
  <c r="AL679" i="5"/>
  <c r="AK679" i="5"/>
  <c r="AJ679" i="5"/>
  <c r="AM679" i="5" s="1"/>
  <c r="AI679" i="5"/>
  <c r="M679" i="5"/>
  <c r="L679" i="5"/>
  <c r="K679" i="5"/>
  <c r="J679" i="5"/>
  <c r="I679" i="5"/>
  <c r="H679" i="5"/>
  <c r="E679" i="9" s="1"/>
  <c r="G679" i="5"/>
  <c r="D679" i="5"/>
  <c r="C679" i="5"/>
  <c r="A679" i="5"/>
  <c r="AL678" i="5"/>
  <c r="AK678" i="5"/>
  <c r="AJ678" i="5"/>
  <c r="AI678" i="5"/>
  <c r="M678" i="5"/>
  <c r="L678" i="5"/>
  <c r="K678" i="5"/>
  <c r="J678" i="5"/>
  <c r="I678" i="5"/>
  <c r="H678" i="5"/>
  <c r="E678" i="9" s="1"/>
  <c r="G678" i="5"/>
  <c r="D678" i="5"/>
  <c r="C678" i="5"/>
  <c r="A678" i="5"/>
  <c r="AL677" i="5"/>
  <c r="AK677" i="5"/>
  <c r="AJ677" i="5"/>
  <c r="AI677" i="5"/>
  <c r="M677" i="5"/>
  <c r="L677" i="5"/>
  <c r="K677" i="5"/>
  <c r="J677" i="5"/>
  <c r="I677" i="5"/>
  <c r="H677" i="5"/>
  <c r="E677" i="9" s="1"/>
  <c r="G677" i="5"/>
  <c r="D677" i="5"/>
  <c r="C677" i="5"/>
  <c r="A677" i="5"/>
  <c r="AL676" i="5"/>
  <c r="AK676" i="5"/>
  <c r="AJ676" i="5"/>
  <c r="AM676" i="5" s="1"/>
  <c r="AI676" i="5"/>
  <c r="M676" i="5"/>
  <c r="L676" i="5"/>
  <c r="K676" i="5"/>
  <c r="J676" i="5"/>
  <c r="I676" i="5"/>
  <c r="H676" i="5"/>
  <c r="E676" i="9" s="1"/>
  <c r="G676" i="5"/>
  <c r="D676" i="5"/>
  <c r="C676" i="5"/>
  <c r="A676" i="5"/>
  <c r="AN675" i="5"/>
  <c r="AL675" i="5"/>
  <c r="AK675" i="5"/>
  <c r="AJ675" i="5"/>
  <c r="AM675" i="5" s="1"/>
  <c r="AI675" i="5"/>
  <c r="M675" i="5"/>
  <c r="L675" i="5"/>
  <c r="K675" i="5"/>
  <c r="J675" i="5"/>
  <c r="I675" i="5"/>
  <c r="H675" i="5"/>
  <c r="E675" i="9" s="1"/>
  <c r="G675" i="5"/>
  <c r="D675" i="5"/>
  <c r="C675" i="5"/>
  <c r="A675" i="5"/>
  <c r="AN674" i="5"/>
  <c r="AL674" i="5"/>
  <c r="AK674" i="5"/>
  <c r="AJ674" i="5"/>
  <c r="AM674" i="5" s="1"/>
  <c r="AI674" i="5"/>
  <c r="M674" i="5"/>
  <c r="L674" i="5"/>
  <c r="K674" i="5"/>
  <c r="J674" i="5"/>
  <c r="I674" i="5"/>
  <c r="H674" i="5"/>
  <c r="E674" i="9" s="1"/>
  <c r="G674" i="5"/>
  <c r="D674" i="5"/>
  <c r="C674" i="5"/>
  <c r="A674" i="5"/>
  <c r="AL673" i="5"/>
  <c r="AK673" i="5"/>
  <c r="AJ673" i="5"/>
  <c r="AM673" i="5" s="1"/>
  <c r="AI673" i="5"/>
  <c r="M673" i="5"/>
  <c r="L673" i="5"/>
  <c r="K673" i="5"/>
  <c r="J673" i="5"/>
  <c r="I673" i="5"/>
  <c r="H673" i="5"/>
  <c r="E673" i="9" s="1"/>
  <c r="G673" i="5"/>
  <c r="D673" i="5"/>
  <c r="C673" i="5"/>
  <c r="A673" i="5"/>
  <c r="AL672" i="5"/>
  <c r="AK672" i="5"/>
  <c r="AJ672" i="5"/>
  <c r="AM672" i="5" s="1"/>
  <c r="AI672" i="5"/>
  <c r="M672" i="5"/>
  <c r="L672" i="5"/>
  <c r="K672" i="5"/>
  <c r="J672" i="5"/>
  <c r="I672" i="5"/>
  <c r="H672" i="5"/>
  <c r="E672" i="9" s="1"/>
  <c r="G672" i="5"/>
  <c r="D672" i="5"/>
  <c r="C672" i="5"/>
  <c r="A672" i="5"/>
  <c r="AN671" i="5"/>
  <c r="AL671" i="5"/>
  <c r="AK671" i="5"/>
  <c r="AJ671" i="5"/>
  <c r="AM671" i="5" s="1"/>
  <c r="AI671" i="5"/>
  <c r="M671" i="5"/>
  <c r="L671" i="5"/>
  <c r="K671" i="5"/>
  <c r="J671" i="5"/>
  <c r="I671" i="5"/>
  <c r="H671" i="5"/>
  <c r="E671" i="9" s="1"/>
  <c r="G671" i="5"/>
  <c r="D671" i="5"/>
  <c r="C671" i="5"/>
  <c r="A671" i="5"/>
  <c r="AL670" i="5"/>
  <c r="AK670" i="5"/>
  <c r="AJ670" i="5"/>
  <c r="AI670" i="5"/>
  <c r="M670" i="5"/>
  <c r="L670" i="5"/>
  <c r="K670" i="5"/>
  <c r="J670" i="5"/>
  <c r="I670" i="5"/>
  <c r="H670" i="5"/>
  <c r="E670" i="9" s="1"/>
  <c r="G670" i="5"/>
  <c r="D670" i="5"/>
  <c r="C670" i="5"/>
  <c r="A670" i="5"/>
  <c r="AL669" i="5"/>
  <c r="AK669" i="5"/>
  <c r="AJ669" i="5"/>
  <c r="AI669" i="5"/>
  <c r="M669" i="5"/>
  <c r="L669" i="5"/>
  <c r="K669" i="5"/>
  <c r="J669" i="5"/>
  <c r="I669" i="5"/>
  <c r="H669" i="5"/>
  <c r="E669" i="9" s="1"/>
  <c r="G669" i="5"/>
  <c r="D669" i="5"/>
  <c r="C669" i="5"/>
  <c r="A669" i="5"/>
  <c r="AL668" i="5"/>
  <c r="AK668" i="5"/>
  <c r="AJ668" i="5"/>
  <c r="AM668" i="5" s="1"/>
  <c r="AI668" i="5"/>
  <c r="M668" i="5"/>
  <c r="L668" i="5"/>
  <c r="K668" i="5"/>
  <c r="J668" i="5"/>
  <c r="I668" i="5"/>
  <c r="H668" i="5"/>
  <c r="E668" i="9" s="1"/>
  <c r="G668" i="5"/>
  <c r="D668" i="5"/>
  <c r="C668" i="5"/>
  <c r="A668" i="5"/>
  <c r="AN667" i="5"/>
  <c r="AL667" i="5"/>
  <c r="AK667" i="5"/>
  <c r="AJ667" i="5"/>
  <c r="AM667" i="5" s="1"/>
  <c r="AI667" i="5"/>
  <c r="M667" i="5"/>
  <c r="L667" i="5"/>
  <c r="K667" i="5"/>
  <c r="J667" i="5"/>
  <c r="I667" i="5"/>
  <c r="H667" i="5"/>
  <c r="E667" i="9" s="1"/>
  <c r="G667" i="5"/>
  <c r="D667" i="5"/>
  <c r="C667" i="5"/>
  <c r="A667" i="5"/>
  <c r="AN666" i="5"/>
  <c r="AL666" i="5"/>
  <c r="AK666" i="5"/>
  <c r="AJ666" i="5"/>
  <c r="AM666" i="5" s="1"/>
  <c r="AI666" i="5"/>
  <c r="M666" i="5"/>
  <c r="L666" i="5"/>
  <c r="K666" i="5"/>
  <c r="J666" i="5"/>
  <c r="I666" i="5"/>
  <c r="H666" i="5"/>
  <c r="E666" i="9" s="1"/>
  <c r="G666" i="5"/>
  <c r="D666" i="5"/>
  <c r="C666" i="5"/>
  <c r="A666" i="5"/>
  <c r="AN665" i="5"/>
  <c r="AL665" i="5"/>
  <c r="AK665" i="5"/>
  <c r="AJ665" i="5"/>
  <c r="AM665" i="5" s="1"/>
  <c r="AI665" i="5"/>
  <c r="M665" i="5"/>
  <c r="L665" i="5"/>
  <c r="K665" i="5"/>
  <c r="J665" i="5"/>
  <c r="I665" i="5"/>
  <c r="H665" i="5"/>
  <c r="E665" i="9" s="1"/>
  <c r="G665" i="5"/>
  <c r="D665" i="5"/>
  <c r="C665" i="5"/>
  <c r="A665" i="5"/>
  <c r="AN664" i="5"/>
  <c r="AL664" i="5"/>
  <c r="AK664" i="5"/>
  <c r="AJ664" i="5"/>
  <c r="AM664" i="5" s="1"/>
  <c r="AI664" i="5"/>
  <c r="M664" i="5"/>
  <c r="L664" i="5"/>
  <c r="K664" i="5"/>
  <c r="J664" i="5"/>
  <c r="I664" i="5"/>
  <c r="H664" i="5"/>
  <c r="E664" i="9" s="1"/>
  <c r="G664" i="5"/>
  <c r="D664" i="5"/>
  <c r="C664" i="5"/>
  <c r="A664" i="5"/>
  <c r="AN663" i="5"/>
  <c r="AL663" i="5"/>
  <c r="AK663" i="5"/>
  <c r="AJ663" i="5"/>
  <c r="AM663" i="5" s="1"/>
  <c r="AI663" i="5"/>
  <c r="M663" i="5"/>
  <c r="L663" i="5"/>
  <c r="K663" i="5"/>
  <c r="J663" i="5"/>
  <c r="I663" i="5"/>
  <c r="H663" i="5"/>
  <c r="E663" i="9" s="1"/>
  <c r="G663" i="5"/>
  <c r="D663" i="5"/>
  <c r="C663" i="5"/>
  <c r="A663" i="5"/>
  <c r="AL662" i="5"/>
  <c r="AK662" i="5"/>
  <c r="AJ662" i="5"/>
  <c r="AN662" i="5" s="1"/>
  <c r="AI662" i="5"/>
  <c r="M662" i="5"/>
  <c r="L662" i="5"/>
  <c r="K662" i="5"/>
  <c r="J662" i="5"/>
  <c r="I662" i="5"/>
  <c r="H662" i="5"/>
  <c r="E662" i="9" s="1"/>
  <c r="G662" i="5"/>
  <c r="D662" i="5"/>
  <c r="C662" i="5"/>
  <c r="A662" i="5"/>
  <c r="AL661" i="5"/>
  <c r="AK661" i="5"/>
  <c r="AJ661" i="5"/>
  <c r="AN661" i="5" s="1"/>
  <c r="AI661" i="5"/>
  <c r="M661" i="5"/>
  <c r="L661" i="5"/>
  <c r="K661" i="5"/>
  <c r="J661" i="5"/>
  <c r="I661" i="5"/>
  <c r="H661" i="5"/>
  <c r="E661" i="9" s="1"/>
  <c r="G661" i="5"/>
  <c r="D661" i="5"/>
  <c r="C661" i="5"/>
  <c r="A661" i="5"/>
  <c r="AL660" i="5"/>
  <c r="AK660" i="5"/>
  <c r="AJ660" i="5"/>
  <c r="AN660" i="5" s="1"/>
  <c r="AI660" i="5"/>
  <c r="M660" i="5"/>
  <c r="L660" i="5"/>
  <c r="K660" i="5"/>
  <c r="J660" i="5"/>
  <c r="I660" i="5"/>
  <c r="H660" i="5"/>
  <c r="E660" i="9" s="1"/>
  <c r="G660" i="5"/>
  <c r="D660" i="5"/>
  <c r="C660" i="5"/>
  <c r="A660" i="5"/>
  <c r="AL659" i="5"/>
  <c r="AK659" i="5"/>
  <c r="AJ659" i="5"/>
  <c r="AN659" i="5" s="1"/>
  <c r="AI659" i="5"/>
  <c r="M659" i="5"/>
  <c r="L659" i="5"/>
  <c r="K659" i="5"/>
  <c r="J659" i="5"/>
  <c r="I659" i="5"/>
  <c r="H659" i="5"/>
  <c r="E659" i="9" s="1"/>
  <c r="G659" i="5"/>
  <c r="D659" i="5"/>
  <c r="C659" i="5"/>
  <c r="A659" i="5"/>
  <c r="AL658" i="5"/>
  <c r="AK658" i="5"/>
  <c r="AJ658" i="5"/>
  <c r="AN658" i="5" s="1"/>
  <c r="AI658" i="5"/>
  <c r="M658" i="5"/>
  <c r="L658" i="5"/>
  <c r="K658" i="5"/>
  <c r="J658" i="5"/>
  <c r="I658" i="5"/>
  <c r="H658" i="5"/>
  <c r="E658" i="9" s="1"/>
  <c r="G658" i="5"/>
  <c r="D658" i="5"/>
  <c r="C658" i="5"/>
  <c r="A658" i="5"/>
  <c r="AM657" i="5"/>
  <c r="AL657" i="5"/>
  <c r="AK657" i="5"/>
  <c r="AJ657" i="5"/>
  <c r="AN657" i="5" s="1"/>
  <c r="AI657" i="5"/>
  <c r="M657" i="5"/>
  <c r="L657" i="5"/>
  <c r="K657" i="5"/>
  <c r="J657" i="5"/>
  <c r="I657" i="5"/>
  <c r="H657" i="5"/>
  <c r="E657" i="9" s="1"/>
  <c r="G657" i="5"/>
  <c r="D657" i="5"/>
  <c r="C657" i="5"/>
  <c r="A657" i="5"/>
  <c r="AM656" i="5"/>
  <c r="AL656" i="5"/>
  <c r="AK656" i="5"/>
  <c r="AJ656" i="5"/>
  <c r="AN656" i="5" s="1"/>
  <c r="AI656" i="5"/>
  <c r="M656" i="5"/>
  <c r="L656" i="5"/>
  <c r="K656" i="5"/>
  <c r="J656" i="5"/>
  <c r="I656" i="5"/>
  <c r="H656" i="5"/>
  <c r="E656" i="9" s="1"/>
  <c r="G656" i="5"/>
  <c r="D656" i="5"/>
  <c r="C656" i="5"/>
  <c r="A656" i="5"/>
  <c r="AM655" i="5"/>
  <c r="AL655" i="5"/>
  <c r="AK655" i="5"/>
  <c r="AJ655" i="5"/>
  <c r="AN655" i="5" s="1"/>
  <c r="AI655" i="5"/>
  <c r="M655" i="5"/>
  <c r="L655" i="5"/>
  <c r="K655" i="5"/>
  <c r="J655" i="5"/>
  <c r="I655" i="5"/>
  <c r="H655" i="5"/>
  <c r="E655" i="9" s="1"/>
  <c r="G655" i="5"/>
  <c r="D655" i="5"/>
  <c r="C655" i="5"/>
  <c r="A655" i="5"/>
  <c r="AL654" i="5"/>
  <c r="AK654" i="5"/>
  <c r="AJ654" i="5"/>
  <c r="AN654" i="5" s="1"/>
  <c r="AI654" i="5"/>
  <c r="M654" i="5"/>
  <c r="L654" i="5"/>
  <c r="K654" i="5"/>
  <c r="J654" i="5"/>
  <c r="I654" i="5"/>
  <c r="H654" i="5"/>
  <c r="E654" i="9" s="1"/>
  <c r="G654" i="5"/>
  <c r="D654" i="5"/>
  <c r="C654" i="5"/>
  <c r="A654" i="5"/>
  <c r="AL653" i="5"/>
  <c r="AK653" i="5"/>
  <c r="AJ653" i="5"/>
  <c r="AN653" i="5" s="1"/>
  <c r="AI653" i="5"/>
  <c r="M653" i="5"/>
  <c r="L653" i="5"/>
  <c r="K653" i="5"/>
  <c r="J653" i="5"/>
  <c r="I653" i="5"/>
  <c r="H653" i="5"/>
  <c r="E653" i="9" s="1"/>
  <c r="G653" i="5"/>
  <c r="D653" i="5"/>
  <c r="C653" i="5"/>
  <c r="A653" i="5"/>
  <c r="AL652" i="5"/>
  <c r="AK652" i="5"/>
  <c r="AJ652" i="5"/>
  <c r="AN652" i="5" s="1"/>
  <c r="AI652" i="5"/>
  <c r="M652" i="5"/>
  <c r="L652" i="5"/>
  <c r="K652" i="5"/>
  <c r="J652" i="5"/>
  <c r="I652" i="5"/>
  <c r="H652" i="5"/>
  <c r="E652" i="9" s="1"/>
  <c r="G652" i="5"/>
  <c r="D652" i="5"/>
  <c r="C652" i="5"/>
  <c r="A652" i="5"/>
  <c r="AL651" i="5"/>
  <c r="AK651" i="5"/>
  <c r="AJ651" i="5"/>
  <c r="AN651" i="5" s="1"/>
  <c r="AI651" i="5"/>
  <c r="M651" i="5"/>
  <c r="L651" i="5"/>
  <c r="K651" i="5"/>
  <c r="J651" i="5"/>
  <c r="I651" i="5"/>
  <c r="H651" i="5"/>
  <c r="E651" i="9" s="1"/>
  <c r="G651" i="5"/>
  <c r="D651" i="5"/>
  <c r="C651" i="5"/>
  <c r="A651" i="5"/>
  <c r="AL650" i="5"/>
  <c r="AK650" i="5"/>
  <c r="AJ650" i="5"/>
  <c r="AN650" i="5" s="1"/>
  <c r="AI650" i="5"/>
  <c r="M650" i="5"/>
  <c r="L650" i="5"/>
  <c r="K650" i="5"/>
  <c r="J650" i="5"/>
  <c r="I650" i="5"/>
  <c r="H650" i="5"/>
  <c r="E650" i="9" s="1"/>
  <c r="G650" i="5"/>
  <c r="D650" i="5"/>
  <c r="C650" i="5"/>
  <c r="A650" i="5"/>
  <c r="AM649" i="5"/>
  <c r="AL649" i="5"/>
  <c r="AK649" i="5"/>
  <c r="AJ649" i="5"/>
  <c r="AN649" i="5" s="1"/>
  <c r="AI649" i="5"/>
  <c r="M649" i="5"/>
  <c r="L649" i="5"/>
  <c r="K649" i="5"/>
  <c r="J649" i="5"/>
  <c r="I649" i="5"/>
  <c r="H649" i="5"/>
  <c r="E649" i="9" s="1"/>
  <c r="G649" i="5"/>
  <c r="D649" i="5"/>
  <c r="C649" i="5"/>
  <c r="A649" i="5"/>
  <c r="AM648" i="5"/>
  <c r="AL648" i="5"/>
  <c r="AK648" i="5"/>
  <c r="AJ648" i="5"/>
  <c r="AN648" i="5" s="1"/>
  <c r="AI648" i="5"/>
  <c r="M648" i="5"/>
  <c r="L648" i="5"/>
  <c r="K648" i="5"/>
  <c r="J648" i="5"/>
  <c r="I648" i="5"/>
  <c r="H648" i="5"/>
  <c r="E648" i="9" s="1"/>
  <c r="G648" i="5"/>
  <c r="D648" i="5"/>
  <c r="C648" i="5"/>
  <c r="A648" i="5"/>
  <c r="AM647" i="5"/>
  <c r="AL647" i="5"/>
  <c r="AK647" i="5"/>
  <c r="AJ647" i="5"/>
  <c r="AN647" i="5" s="1"/>
  <c r="AI647" i="5"/>
  <c r="M647" i="5"/>
  <c r="L647" i="5"/>
  <c r="K647" i="5"/>
  <c r="J647" i="5"/>
  <c r="I647" i="5"/>
  <c r="H647" i="5"/>
  <c r="E647" i="9" s="1"/>
  <c r="G647" i="5"/>
  <c r="D647" i="5"/>
  <c r="C647" i="5"/>
  <c r="A647" i="5"/>
  <c r="AL646" i="5"/>
  <c r="AK646" i="5"/>
  <c r="AJ646" i="5"/>
  <c r="AN646" i="5" s="1"/>
  <c r="AI646" i="5"/>
  <c r="M646" i="5"/>
  <c r="L646" i="5"/>
  <c r="K646" i="5"/>
  <c r="J646" i="5"/>
  <c r="I646" i="5"/>
  <c r="H646" i="5"/>
  <c r="E646" i="9" s="1"/>
  <c r="G646" i="5"/>
  <c r="D646" i="5"/>
  <c r="C646" i="5"/>
  <c r="A646" i="5"/>
  <c r="AL645" i="5"/>
  <c r="AK645" i="5"/>
  <c r="AJ645" i="5"/>
  <c r="AN645" i="5" s="1"/>
  <c r="AI645" i="5"/>
  <c r="M645" i="5"/>
  <c r="L645" i="5"/>
  <c r="K645" i="5"/>
  <c r="J645" i="5"/>
  <c r="I645" i="5"/>
  <c r="H645" i="5"/>
  <c r="E645" i="9" s="1"/>
  <c r="G645" i="5"/>
  <c r="D645" i="5"/>
  <c r="C645" i="5"/>
  <c r="A645" i="5"/>
  <c r="AL644" i="5"/>
  <c r="AK644" i="5"/>
  <c r="AJ644" i="5"/>
  <c r="AN644" i="5" s="1"/>
  <c r="AI644" i="5"/>
  <c r="M644" i="5"/>
  <c r="L644" i="5"/>
  <c r="K644" i="5"/>
  <c r="J644" i="5"/>
  <c r="I644" i="5"/>
  <c r="H644" i="5"/>
  <c r="E644" i="9" s="1"/>
  <c r="G644" i="5"/>
  <c r="D644" i="5"/>
  <c r="C644" i="5"/>
  <c r="A644" i="5"/>
  <c r="AL643" i="5"/>
  <c r="AK643" i="5"/>
  <c r="AJ643" i="5"/>
  <c r="AN643" i="5" s="1"/>
  <c r="AI643" i="5"/>
  <c r="M643" i="5"/>
  <c r="L643" i="5"/>
  <c r="K643" i="5"/>
  <c r="J643" i="5"/>
  <c r="I643" i="5"/>
  <c r="H643" i="5"/>
  <c r="E643" i="9" s="1"/>
  <c r="G643" i="5"/>
  <c r="D643" i="5"/>
  <c r="C643" i="5"/>
  <c r="A643" i="5"/>
  <c r="AL642" i="5"/>
  <c r="AK642" i="5"/>
  <c r="AJ642" i="5"/>
  <c r="AN642" i="5" s="1"/>
  <c r="AI642" i="5"/>
  <c r="M642" i="5"/>
  <c r="L642" i="5"/>
  <c r="K642" i="5"/>
  <c r="J642" i="5"/>
  <c r="I642" i="5"/>
  <c r="H642" i="5"/>
  <c r="E642" i="9" s="1"/>
  <c r="G642" i="5"/>
  <c r="D642" i="5"/>
  <c r="C642" i="5"/>
  <c r="A642" i="5"/>
  <c r="AM641" i="5"/>
  <c r="AL641" i="5"/>
  <c r="AK641" i="5"/>
  <c r="AJ641" i="5"/>
  <c r="AN641" i="5" s="1"/>
  <c r="AI641" i="5"/>
  <c r="M641" i="5"/>
  <c r="L641" i="5"/>
  <c r="K641" i="5"/>
  <c r="J641" i="5"/>
  <c r="I641" i="5"/>
  <c r="H641" i="5"/>
  <c r="E641" i="9" s="1"/>
  <c r="G641" i="5"/>
  <c r="D641" i="5"/>
  <c r="C641" i="5"/>
  <c r="A641" i="5"/>
  <c r="AM640" i="5"/>
  <c r="AL640" i="5"/>
  <c r="AK640" i="5"/>
  <c r="AJ640" i="5"/>
  <c r="AN640" i="5" s="1"/>
  <c r="AI640" i="5"/>
  <c r="M640" i="5"/>
  <c r="L640" i="5"/>
  <c r="K640" i="5"/>
  <c r="J640" i="5"/>
  <c r="I640" i="5"/>
  <c r="H640" i="5"/>
  <c r="E640" i="9" s="1"/>
  <c r="G640" i="5"/>
  <c r="D640" i="5"/>
  <c r="C640" i="5"/>
  <c r="A640" i="5"/>
  <c r="AM639" i="5"/>
  <c r="AL639" i="5"/>
  <c r="AK639" i="5"/>
  <c r="AJ639" i="5"/>
  <c r="AN639" i="5" s="1"/>
  <c r="AI639" i="5"/>
  <c r="M639" i="5"/>
  <c r="L639" i="5"/>
  <c r="K639" i="5"/>
  <c r="J639" i="5"/>
  <c r="I639" i="5"/>
  <c r="H639" i="5"/>
  <c r="E639" i="9" s="1"/>
  <c r="G639" i="5"/>
  <c r="D639" i="5"/>
  <c r="C639" i="5"/>
  <c r="A639" i="5"/>
  <c r="AL638" i="5"/>
  <c r="AK638" i="5"/>
  <c r="AJ638" i="5"/>
  <c r="AN638" i="5" s="1"/>
  <c r="AI638" i="5"/>
  <c r="M638" i="5"/>
  <c r="L638" i="5"/>
  <c r="K638" i="5"/>
  <c r="J638" i="5"/>
  <c r="I638" i="5"/>
  <c r="H638" i="5"/>
  <c r="E638" i="9" s="1"/>
  <c r="G638" i="5"/>
  <c r="D638" i="5"/>
  <c r="C638" i="5"/>
  <c r="A638" i="5"/>
  <c r="AL637" i="5"/>
  <c r="AK637" i="5"/>
  <c r="AJ637" i="5"/>
  <c r="AN637" i="5" s="1"/>
  <c r="AI637" i="5"/>
  <c r="M637" i="5"/>
  <c r="L637" i="5"/>
  <c r="K637" i="5"/>
  <c r="J637" i="5"/>
  <c r="I637" i="5"/>
  <c r="H637" i="5"/>
  <c r="E637" i="9" s="1"/>
  <c r="G637" i="5"/>
  <c r="D637" i="5"/>
  <c r="C637" i="5"/>
  <c r="A637" i="5"/>
  <c r="AL636" i="5"/>
  <c r="AK636" i="5"/>
  <c r="AJ636" i="5"/>
  <c r="AN636" i="5" s="1"/>
  <c r="AI636" i="5"/>
  <c r="M636" i="5"/>
  <c r="L636" i="5"/>
  <c r="K636" i="5"/>
  <c r="J636" i="5"/>
  <c r="I636" i="5"/>
  <c r="H636" i="5"/>
  <c r="E636" i="9" s="1"/>
  <c r="G636" i="5"/>
  <c r="D636" i="5"/>
  <c r="C636" i="5"/>
  <c r="A636" i="5"/>
  <c r="AL635" i="5"/>
  <c r="AK635" i="5"/>
  <c r="AJ635" i="5"/>
  <c r="AN635" i="5" s="1"/>
  <c r="AI635" i="5"/>
  <c r="M635" i="5"/>
  <c r="L635" i="5"/>
  <c r="K635" i="5"/>
  <c r="J635" i="5"/>
  <c r="I635" i="5"/>
  <c r="H635" i="5"/>
  <c r="E635" i="9" s="1"/>
  <c r="G635" i="5"/>
  <c r="D635" i="5"/>
  <c r="C635" i="5"/>
  <c r="A635" i="5"/>
  <c r="AL634" i="5"/>
  <c r="AK634" i="5"/>
  <c r="AJ634" i="5"/>
  <c r="AN634" i="5" s="1"/>
  <c r="AI634" i="5"/>
  <c r="M634" i="5"/>
  <c r="L634" i="5"/>
  <c r="K634" i="5"/>
  <c r="J634" i="5"/>
  <c r="I634" i="5"/>
  <c r="H634" i="5"/>
  <c r="E634" i="9" s="1"/>
  <c r="G634" i="5"/>
  <c r="D634" i="5"/>
  <c r="C634" i="5"/>
  <c r="A634" i="5"/>
  <c r="AM633" i="5"/>
  <c r="AL633" i="5"/>
  <c r="AK633" i="5"/>
  <c r="AJ633" i="5"/>
  <c r="AN633" i="5" s="1"/>
  <c r="AI633" i="5"/>
  <c r="M633" i="5"/>
  <c r="L633" i="5"/>
  <c r="K633" i="5"/>
  <c r="J633" i="5"/>
  <c r="I633" i="5"/>
  <c r="H633" i="5"/>
  <c r="E633" i="9" s="1"/>
  <c r="G633" i="5"/>
  <c r="D633" i="5"/>
  <c r="C633" i="5"/>
  <c r="A633" i="5"/>
  <c r="AM632" i="5"/>
  <c r="AL632" i="5"/>
  <c r="AK632" i="5"/>
  <c r="AJ632" i="5"/>
  <c r="AN632" i="5" s="1"/>
  <c r="AI632" i="5"/>
  <c r="M632" i="5"/>
  <c r="L632" i="5"/>
  <c r="K632" i="5"/>
  <c r="J632" i="5"/>
  <c r="I632" i="5"/>
  <c r="H632" i="5"/>
  <c r="E632" i="9" s="1"/>
  <c r="G632" i="5"/>
  <c r="D632" i="5"/>
  <c r="C632" i="5"/>
  <c r="A632" i="5"/>
  <c r="AM631" i="5"/>
  <c r="AL631" i="5"/>
  <c r="AK631" i="5"/>
  <c r="AJ631" i="5"/>
  <c r="AN631" i="5" s="1"/>
  <c r="AI631" i="5"/>
  <c r="M631" i="5"/>
  <c r="L631" i="5"/>
  <c r="K631" i="5"/>
  <c r="J631" i="5"/>
  <c r="I631" i="5"/>
  <c r="H631" i="5"/>
  <c r="E631" i="9" s="1"/>
  <c r="G631" i="5"/>
  <c r="D631" i="5"/>
  <c r="C631" i="5"/>
  <c r="A631" i="5"/>
  <c r="AL630" i="5"/>
  <c r="AK630" i="5"/>
  <c r="AJ630" i="5"/>
  <c r="AN630" i="5" s="1"/>
  <c r="AI630" i="5"/>
  <c r="M630" i="5"/>
  <c r="L630" i="5"/>
  <c r="K630" i="5"/>
  <c r="J630" i="5"/>
  <c r="I630" i="5"/>
  <c r="H630" i="5"/>
  <c r="E630" i="9" s="1"/>
  <c r="G630" i="5"/>
  <c r="D630" i="5"/>
  <c r="C630" i="5"/>
  <c r="A630" i="5"/>
  <c r="AL629" i="5"/>
  <c r="AK629" i="5"/>
  <c r="AJ629" i="5"/>
  <c r="AN629" i="5" s="1"/>
  <c r="AI629" i="5"/>
  <c r="M629" i="5"/>
  <c r="L629" i="5"/>
  <c r="K629" i="5"/>
  <c r="J629" i="5"/>
  <c r="I629" i="5"/>
  <c r="H629" i="5"/>
  <c r="E629" i="9" s="1"/>
  <c r="G629" i="5"/>
  <c r="D629" i="5"/>
  <c r="C629" i="5"/>
  <c r="A629" i="5"/>
  <c r="AL628" i="5"/>
  <c r="AK628" i="5"/>
  <c r="AJ628" i="5"/>
  <c r="AN628" i="5" s="1"/>
  <c r="AI628" i="5"/>
  <c r="M628" i="5"/>
  <c r="L628" i="5"/>
  <c r="K628" i="5"/>
  <c r="J628" i="5"/>
  <c r="I628" i="5"/>
  <c r="H628" i="5"/>
  <c r="E628" i="9" s="1"/>
  <c r="G628" i="5"/>
  <c r="D628" i="5"/>
  <c r="C628" i="5"/>
  <c r="A628" i="5"/>
  <c r="AL627" i="5"/>
  <c r="AK627" i="5"/>
  <c r="AJ627" i="5"/>
  <c r="AN627" i="5" s="1"/>
  <c r="AI627" i="5"/>
  <c r="M627" i="5"/>
  <c r="L627" i="5"/>
  <c r="K627" i="5"/>
  <c r="J627" i="5"/>
  <c r="I627" i="5"/>
  <c r="H627" i="5"/>
  <c r="E627" i="9" s="1"/>
  <c r="G627" i="5"/>
  <c r="D627" i="5"/>
  <c r="C627" i="5"/>
  <c r="A627" i="5"/>
  <c r="AL626" i="5"/>
  <c r="AK626" i="5"/>
  <c r="AJ626" i="5"/>
  <c r="AN626" i="5" s="1"/>
  <c r="AI626" i="5"/>
  <c r="M626" i="5"/>
  <c r="L626" i="5"/>
  <c r="K626" i="5"/>
  <c r="J626" i="5"/>
  <c r="I626" i="5"/>
  <c r="H626" i="5"/>
  <c r="E626" i="9" s="1"/>
  <c r="G626" i="5"/>
  <c r="D626" i="5"/>
  <c r="C626" i="5"/>
  <c r="A626" i="5"/>
  <c r="AM625" i="5"/>
  <c r="AL625" i="5"/>
  <c r="AK625" i="5"/>
  <c r="AJ625" i="5"/>
  <c r="AN625" i="5" s="1"/>
  <c r="AI625" i="5"/>
  <c r="M625" i="5"/>
  <c r="L625" i="5"/>
  <c r="K625" i="5"/>
  <c r="J625" i="5"/>
  <c r="I625" i="5"/>
  <c r="H625" i="5"/>
  <c r="E625" i="9" s="1"/>
  <c r="G625" i="5"/>
  <c r="D625" i="5"/>
  <c r="C625" i="5"/>
  <c r="A625" i="5"/>
  <c r="AM624" i="5"/>
  <c r="AL624" i="5"/>
  <c r="AK624" i="5"/>
  <c r="AJ624" i="5"/>
  <c r="AN624" i="5" s="1"/>
  <c r="AI624" i="5"/>
  <c r="M624" i="5"/>
  <c r="L624" i="5"/>
  <c r="K624" i="5"/>
  <c r="J624" i="5"/>
  <c r="I624" i="5"/>
  <c r="H624" i="5"/>
  <c r="E624" i="9" s="1"/>
  <c r="G624" i="5"/>
  <c r="D624" i="5"/>
  <c r="C624" i="5"/>
  <c r="A624" i="5"/>
  <c r="AM623" i="5"/>
  <c r="AL623" i="5"/>
  <c r="AK623" i="5"/>
  <c r="AJ623" i="5"/>
  <c r="AN623" i="5" s="1"/>
  <c r="AI623" i="5"/>
  <c r="M623" i="5"/>
  <c r="L623" i="5"/>
  <c r="K623" i="5"/>
  <c r="J623" i="5"/>
  <c r="I623" i="5"/>
  <c r="H623" i="5"/>
  <c r="E623" i="9" s="1"/>
  <c r="G623" i="5"/>
  <c r="D623" i="5"/>
  <c r="C623" i="5"/>
  <c r="A623" i="5"/>
  <c r="AL622" i="5"/>
  <c r="AK622" i="5"/>
  <c r="AJ622" i="5"/>
  <c r="AN622" i="5" s="1"/>
  <c r="AI622" i="5"/>
  <c r="M622" i="5"/>
  <c r="L622" i="5"/>
  <c r="K622" i="5"/>
  <c r="J622" i="5"/>
  <c r="I622" i="5"/>
  <c r="H622" i="5"/>
  <c r="E622" i="9" s="1"/>
  <c r="G622" i="5"/>
  <c r="D622" i="5"/>
  <c r="C622" i="5"/>
  <c r="A622" i="5"/>
  <c r="AL621" i="5"/>
  <c r="AK621" i="5"/>
  <c r="AJ621" i="5"/>
  <c r="AN621" i="5" s="1"/>
  <c r="AI621" i="5"/>
  <c r="M621" i="5"/>
  <c r="L621" i="5"/>
  <c r="K621" i="5"/>
  <c r="J621" i="5"/>
  <c r="I621" i="5"/>
  <c r="H621" i="5"/>
  <c r="E621" i="9" s="1"/>
  <c r="G621" i="5"/>
  <c r="D621" i="5"/>
  <c r="C621" i="5"/>
  <c r="A621" i="5"/>
  <c r="AL620" i="5"/>
  <c r="AK620" i="5"/>
  <c r="AJ620" i="5"/>
  <c r="AN620" i="5" s="1"/>
  <c r="AI620" i="5"/>
  <c r="M620" i="5"/>
  <c r="L620" i="5"/>
  <c r="K620" i="5"/>
  <c r="J620" i="5"/>
  <c r="I620" i="5"/>
  <c r="H620" i="5"/>
  <c r="E620" i="9" s="1"/>
  <c r="G620" i="5"/>
  <c r="D620" i="5"/>
  <c r="C620" i="5"/>
  <c r="A620" i="5"/>
  <c r="AL619" i="5"/>
  <c r="AK619" i="5"/>
  <c r="AJ619" i="5"/>
  <c r="AN619" i="5" s="1"/>
  <c r="AI619" i="5"/>
  <c r="M619" i="5"/>
  <c r="L619" i="5"/>
  <c r="K619" i="5"/>
  <c r="J619" i="5"/>
  <c r="I619" i="5"/>
  <c r="H619" i="5"/>
  <c r="E619" i="9" s="1"/>
  <c r="G619" i="5"/>
  <c r="D619" i="5"/>
  <c r="C619" i="5"/>
  <c r="A619" i="5"/>
  <c r="AL618" i="5"/>
  <c r="AK618" i="5"/>
  <c r="AJ618" i="5"/>
  <c r="AN618" i="5" s="1"/>
  <c r="AI618" i="5"/>
  <c r="M618" i="5"/>
  <c r="L618" i="5"/>
  <c r="K618" i="5"/>
  <c r="J618" i="5"/>
  <c r="I618" i="5"/>
  <c r="H618" i="5"/>
  <c r="E618" i="9" s="1"/>
  <c r="G618" i="5"/>
  <c r="D618" i="5"/>
  <c r="C618" i="5"/>
  <c r="A618" i="5"/>
  <c r="AM617" i="5"/>
  <c r="AL617" i="5"/>
  <c r="AK617" i="5"/>
  <c r="AJ617" i="5"/>
  <c r="AN617" i="5" s="1"/>
  <c r="AI617" i="5"/>
  <c r="M617" i="5"/>
  <c r="L617" i="5"/>
  <c r="K617" i="5"/>
  <c r="J617" i="5"/>
  <c r="I617" i="5"/>
  <c r="H617" i="5"/>
  <c r="E617" i="9" s="1"/>
  <c r="G617" i="5"/>
  <c r="D617" i="5"/>
  <c r="C617" i="5"/>
  <c r="A617" i="5"/>
  <c r="AM616" i="5"/>
  <c r="AL616" i="5"/>
  <c r="AK616" i="5"/>
  <c r="AJ616" i="5"/>
  <c r="AN616" i="5" s="1"/>
  <c r="AI616" i="5"/>
  <c r="M616" i="5"/>
  <c r="L616" i="5"/>
  <c r="K616" i="5"/>
  <c r="J616" i="5"/>
  <c r="I616" i="5"/>
  <c r="H616" i="5"/>
  <c r="E616" i="9" s="1"/>
  <c r="G616" i="5"/>
  <c r="D616" i="5"/>
  <c r="C616" i="5"/>
  <c r="A616" i="5"/>
  <c r="AM615" i="5"/>
  <c r="AL615" i="5"/>
  <c r="AK615" i="5"/>
  <c r="AJ615" i="5"/>
  <c r="AN615" i="5" s="1"/>
  <c r="AI615" i="5"/>
  <c r="M615" i="5"/>
  <c r="L615" i="5"/>
  <c r="K615" i="5"/>
  <c r="J615" i="5"/>
  <c r="I615" i="5"/>
  <c r="H615" i="5"/>
  <c r="E615" i="9" s="1"/>
  <c r="G615" i="5"/>
  <c r="D615" i="5"/>
  <c r="C615" i="5"/>
  <c r="A615" i="5"/>
  <c r="AL614" i="5"/>
  <c r="AK614" i="5"/>
  <c r="AJ614" i="5"/>
  <c r="AN614" i="5" s="1"/>
  <c r="AI614" i="5"/>
  <c r="M614" i="5"/>
  <c r="L614" i="5"/>
  <c r="K614" i="5"/>
  <c r="J614" i="5"/>
  <c r="I614" i="5"/>
  <c r="H614" i="5"/>
  <c r="E614" i="9" s="1"/>
  <c r="G614" i="5"/>
  <c r="D614" i="5"/>
  <c r="C614" i="5"/>
  <c r="A614" i="5"/>
  <c r="AL613" i="5"/>
  <c r="AK613" i="5"/>
  <c r="AJ613" i="5"/>
  <c r="AN613" i="5" s="1"/>
  <c r="AI613" i="5"/>
  <c r="M613" i="5"/>
  <c r="L613" i="5"/>
  <c r="K613" i="5"/>
  <c r="J613" i="5"/>
  <c r="I613" i="5"/>
  <c r="H613" i="5"/>
  <c r="E613" i="9" s="1"/>
  <c r="G613" i="5"/>
  <c r="D613" i="5"/>
  <c r="C613" i="5"/>
  <c r="A613" i="5"/>
  <c r="AL612" i="5"/>
  <c r="AK612" i="5"/>
  <c r="AJ612" i="5"/>
  <c r="AN612" i="5" s="1"/>
  <c r="AI612" i="5"/>
  <c r="M612" i="5"/>
  <c r="L612" i="5"/>
  <c r="K612" i="5"/>
  <c r="J612" i="5"/>
  <c r="I612" i="5"/>
  <c r="H612" i="5"/>
  <c r="E612" i="9" s="1"/>
  <c r="G612" i="5"/>
  <c r="D612" i="5"/>
  <c r="C612" i="5"/>
  <c r="A612" i="5"/>
  <c r="AL611" i="5"/>
  <c r="AK611" i="5"/>
  <c r="AJ611" i="5"/>
  <c r="AN611" i="5" s="1"/>
  <c r="AI611" i="5"/>
  <c r="M611" i="5"/>
  <c r="L611" i="5"/>
  <c r="K611" i="5"/>
  <c r="J611" i="5"/>
  <c r="I611" i="5"/>
  <c r="H611" i="5"/>
  <c r="E611" i="9" s="1"/>
  <c r="G611" i="5"/>
  <c r="D611" i="5"/>
  <c r="C611" i="5"/>
  <c r="A611" i="5"/>
  <c r="AL610" i="5"/>
  <c r="AK610" i="5"/>
  <c r="AJ610" i="5"/>
  <c r="AN610" i="5" s="1"/>
  <c r="AI610" i="5"/>
  <c r="M610" i="5"/>
  <c r="L610" i="5"/>
  <c r="K610" i="5"/>
  <c r="J610" i="5"/>
  <c r="I610" i="5"/>
  <c r="H610" i="5"/>
  <c r="E610" i="9" s="1"/>
  <c r="G610" i="5"/>
  <c r="D610" i="5"/>
  <c r="C610" i="5"/>
  <c r="A610" i="5"/>
  <c r="AM609" i="5"/>
  <c r="AL609" i="5"/>
  <c r="AK609" i="5"/>
  <c r="AJ609" i="5"/>
  <c r="AN609" i="5" s="1"/>
  <c r="AI609" i="5"/>
  <c r="M609" i="5"/>
  <c r="L609" i="5"/>
  <c r="K609" i="5"/>
  <c r="J609" i="5"/>
  <c r="I609" i="5"/>
  <c r="H609" i="5"/>
  <c r="E609" i="9" s="1"/>
  <c r="G609" i="5"/>
  <c r="D609" i="5"/>
  <c r="C609" i="5"/>
  <c r="A609" i="5"/>
  <c r="AM608" i="5"/>
  <c r="AL608" i="5"/>
  <c r="AK608" i="5"/>
  <c r="AJ608" i="5"/>
  <c r="AN608" i="5" s="1"/>
  <c r="AI608" i="5"/>
  <c r="M608" i="5"/>
  <c r="L608" i="5"/>
  <c r="K608" i="5"/>
  <c r="J608" i="5"/>
  <c r="I608" i="5"/>
  <c r="H608" i="5"/>
  <c r="E608" i="9" s="1"/>
  <c r="G608" i="5"/>
  <c r="D608" i="5"/>
  <c r="C608" i="5"/>
  <c r="A608" i="5"/>
  <c r="AM607" i="5"/>
  <c r="AL607" i="5"/>
  <c r="AK607" i="5"/>
  <c r="AJ607" i="5"/>
  <c r="AN607" i="5" s="1"/>
  <c r="AI607" i="5"/>
  <c r="M607" i="5"/>
  <c r="L607" i="5"/>
  <c r="K607" i="5"/>
  <c r="J607" i="5"/>
  <c r="I607" i="5"/>
  <c r="H607" i="5"/>
  <c r="E607" i="9" s="1"/>
  <c r="G607" i="5"/>
  <c r="D607" i="5"/>
  <c r="C607" i="5"/>
  <c r="A607" i="5"/>
  <c r="AL606" i="5"/>
  <c r="AK606" i="5"/>
  <c r="AJ606" i="5"/>
  <c r="AN606" i="5" s="1"/>
  <c r="AI606" i="5"/>
  <c r="M606" i="5"/>
  <c r="L606" i="5"/>
  <c r="K606" i="5"/>
  <c r="J606" i="5"/>
  <c r="I606" i="5"/>
  <c r="H606" i="5"/>
  <c r="E606" i="9" s="1"/>
  <c r="G606" i="5"/>
  <c r="D606" i="5"/>
  <c r="C606" i="5"/>
  <c r="A606" i="5"/>
  <c r="AL605" i="5"/>
  <c r="AK605" i="5"/>
  <c r="AJ605" i="5"/>
  <c r="AN605" i="5" s="1"/>
  <c r="AI605" i="5"/>
  <c r="M605" i="5"/>
  <c r="L605" i="5"/>
  <c r="K605" i="5"/>
  <c r="J605" i="5"/>
  <c r="I605" i="5"/>
  <c r="H605" i="5"/>
  <c r="E605" i="9" s="1"/>
  <c r="G605" i="5"/>
  <c r="D605" i="5"/>
  <c r="C605" i="5"/>
  <c r="A605" i="5"/>
  <c r="AL604" i="5"/>
  <c r="AK604" i="5"/>
  <c r="AJ604" i="5"/>
  <c r="AN604" i="5" s="1"/>
  <c r="AI604" i="5"/>
  <c r="M604" i="5"/>
  <c r="L604" i="5"/>
  <c r="K604" i="5"/>
  <c r="J604" i="5"/>
  <c r="I604" i="5"/>
  <c r="H604" i="5"/>
  <c r="E604" i="9" s="1"/>
  <c r="G604" i="5"/>
  <c r="D604" i="5"/>
  <c r="C604" i="5"/>
  <c r="A604" i="5"/>
  <c r="AL603" i="5"/>
  <c r="AK603" i="5"/>
  <c r="AJ603" i="5"/>
  <c r="AN603" i="5" s="1"/>
  <c r="AI603" i="5"/>
  <c r="M603" i="5"/>
  <c r="L603" i="5"/>
  <c r="K603" i="5"/>
  <c r="J603" i="5"/>
  <c r="I603" i="5"/>
  <c r="H603" i="5"/>
  <c r="E603" i="9" s="1"/>
  <c r="G603" i="5"/>
  <c r="D603" i="5"/>
  <c r="C603" i="5"/>
  <c r="A603" i="5"/>
  <c r="AL602" i="5"/>
  <c r="AK602" i="5"/>
  <c r="AJ602" i="5"/>
  <c r="AN602" i="5" s="1"/>
  <c r="AI602" i="5"/>
  <c r="M602" i="5"/>
  <c r="L602" i="5"/>
  <c r="K602" i="5"/>
  <c r="J602" i="5"/>
  <c r="I602" i="5"/>
  <c r="H602" i="5"/>
  <c r="E602" i="9" s="1"/>
  <c r="G602" i="5"/>
  <c r="D602" i="5"/>
  <c r="C602" i="5"/>
  <c r="A602" i="5"/>
  <c r="AM601" i="5"/>
  <c r="AL601" i="5"/>
  <c r="AK601" i="5"/>
  <c r="AJ601" i="5"/>
  <c r="AN601" i="5" s="1"/>
  <c r="AI601" i="5"/>
  <c r="M601" i="5"/>
  <c r="L601" i="5"/>
  <c r="K601" i="5"/>
  <c r="J601" i="5"/>
  <c r="I601" i="5"/>
  <c r="H601" i="5"/>
  <c r="E601" i="9" s="1"/>
  <c r="G601" i="5"/>
  <c r="D601" i="5"/>
  <c r="C601" i="5"/>
  <c r="A601" i="5"/>
  <c r="AM600" i="5"/>
  <c r="AL600" i="5"/>
  <c r="AK600" i="5"/>
  <c r="AJ600" i="5"/>
  <c r="AN600" i="5" s="1"/>
  <c r="AI600" i="5"/>
  <c r="M600" i="5"/>
  <c r="L600" i="5"/>
  <c r="K600" i="5"/>
  <c r="J600" i="5"/>
  <c r="I600" i="5"/>
  <c r="H600" i="5"/>
  <c r="E600" i="9" s="1"/>
  <c r="G600" i="5"/>
  <c r="D600" i="5"/>
  <c r="C600" i="5"/>
  <c r="A600" i="5"/>
  <c r="AN599" i="5"/>
  <c r="AM599" i="5"/>
  <c r="AL599" i="5"/>
  <c r="AK599" i="5"/>
  <c r="AJ599" i="5"/>
  <c r="AI599" i="5"/>
  <c r="M599" i="5"/>
  <c r="L599" i="5"/>
  <c r="K599" i="5"/>
  <c r="J599" i="5"/>
  <c r="I599" i="5"/>
  <c r="H599" i="5"/>
  <c r="E599" i="9" s="1"/>
  <c r="G599" i="5"/>
  <c r="D599" i="5"/>
  <c r="C599" i="5"/>
  <c r="A599" i="5"/>
  <c r="AN598" i="5"/>
  <c r="AM598" i="5"/>
  <c r="AL598" i="5"/>
  <c r="AK598" i="5"/>
  <c r="AJ598" i="5"/>
  <c r="AI598" i="5"/>
  <c r="M598" i="5"/>
  <c r="L598" i="5"/>
  <c r="K598" i="5"/>
  <c r="J598" i="5"/>
  <c r="I598" i="5"/>
  <c r="H598" i="5"/>
  <c r="E598" i="9" s="1"/>
  <c r="G598" i="5"/>
  <c r="D598" i="5"/>
  <c r="C598" i="5"/>
  <c r="A598" i="5"/>
  <c r="AN597" i="5"/>
  <c r="AM597" i="5"/>
  <c r="AL597" i="5"/>
  <c r="AK597" i="5"/>
  <c r="AJ597" i="5"/>
  <c r="AI597" i="5"/>
  <c r="M597" i="5"/>
  <c r="L597" i="5"/>
  <c r="K597" i="5"/>
  <c r="J597" i="5"/>
  <c r="I597" i="5"/>
  <c r="H597" i="5"/>
  <c r="E597" i="9" s="1"/>
  <c r="G597" i="5"/>
  <c r="D597" i="5"/>
  <c r="C597" i="5"/>
  <c r="A597" i="5"/>
  <c r="AN596" i="5"/>
  <c r="AM596" i="5"/>
  <c r="AL596" i="5"/>
  <c r="AK596" i="5"/>
  <c r="AJ596" i="5"/>
  <c r="AI596" i="5"/>
  <c r="M596" i="5"/>
  <c r="L596" i="5"/>
  <c r="K596" i="5"/>
  <c r="J596" i="5"/>
  <c r="I596" i="5"/>
  <c r="H596" i="5"/>
  <c r="E596" i="9" s="1"/>
  <c r="G596" i="5"/>
  <c r="D596" i="5"/>
  <c r="C596" i="5"/>
  <c r="A596" i="5"/>
  <c r="AN595" i="5"/>
  <c r="AM595" i="5"/>
  <c r="AL595" i="5"/>
  <c r="AK595" i="5"/>
  <c r="AJ595" i="5"/>
  <c r="AI595" i="5"/>
  <c r="M595" i="5"/>
  <c r="L595" i="5"/>
  <c r="K595" i="5"/>
  <c r="J595" i="5"/>
  <c r="I595" i="5"/>
  <c r="H595" i="5"/>
  <c r="E595" i="9" s="1"/>
  <c r="G595" i="5"/>
  <c r="D595" i="5"/>
  <c r="C595" i="5"/>
  <c r="A595" i="5"/>
  <c r="AN594" i="5"/>
  <c r="AM594" i="5"/>
  <c r="AL594" i="5"/>
  <c r="AK594" i="5"/>
  <c r="AJ594" i="5"/>
  <c r="AI594" i="5"/>
  <c r="M594" i="5"/>
  <c r="L594" i="5"/>
  <c r="K594" i="5"/>
  <c r="J594" i="5"/>
  <c r="I594" i="5"/>
  <c r="H594" i="5"/>
  <c r="E594" i="9" s="1"/>
  <c r="G594" i="5"/>
  <c r="D594" i="5"/>
  <c r="C594" i="5"/>
  <c r="A594" i="5"/>
  <c r="AN593" i="5"/>
  <c r="AM593" i="5"/>
  <c r="AL593" i="5"/>
  <c r="AK593" i="5"/>
  <c r="AJ593" i="5"/>
  <c r="AI593" i="5"/>
  <c r="M593" i="5"/>
  <c r="L593" i="5"/>
  <c r="K593" i="5"/>
  <c r="J593" i="5"/>
  <c r="I593" i="5"/>
  <c r="H593" i="5"/>
  <c r="E593" i="9" s="1"/>
  <c r="G593" i="5"/>
  <c r="D593" i="5"/>
  <c r="C593" i="5"/>
  <c r="A593" i="5"/>
  <c r="AN592" i="5"/>
  <c r="AM592" i="5"/>
  <c r="AL592" i="5"/>
  <c r="AK592" i="5"/>
  <c r="AJ592" i="5"/>
  <c r="AI592" i="5"/>
  <c r="M592" i="5"/>
  <c r="L592" i="5"/>
  <c r="K592" i="5"/>
  <c r="J592" i="5"/>
  <c r="I592" i="5"/>
  <c r="H592" i="5"/>
  <c r="E592" i="9" s="1"/>
  <c r="G592" i="5"/>
  <c r="D592" i="5"/>
  <c r="C592" i="5"/>
  <c r="A592" i="5"/>
  <c r="AN591" i="5"/>
  <c r="AM591" i="5"/>
  <c r="AL591" i="5"/>
  <c r="AK591" i="5"/>
  <c r="AJ591" i="5"/>
  <c r="AI591" i="5"/>
  <c r="M591" i="5"/>
  <c r="L591" i="5"/>
  <c r="K591" i="5"/>
  <c r="J591" i="5"/>
  <c r="I591" i="5"/>
  <c r="H591" i="5"/>
  <c r="E591" i="9" s="1"/>
  <c r="G591" i="5"/>
  <c r="D591" i="5"/>
  <c r="C591" i="5"/>
  <c r="A591" i="5"/>
  <c r="AN590" i="5"/>
  <c r="AM590" i="5"/>
  <c r="AL590" i="5"/>
  <c r="AK590" i="5"/>
  <c r="AJ590" i="5"/>
  <c r="AI590" i="5"/>
  <c r="M590" i="5"/>
  <c r="L590" i="5"/>
  <c r="K590" i="5"/>
  <c r="J590" i="5"/>
  <c r="I590" i="5"/>
  <c r="H590" i="5"/>
  <c r="E590" i="9" s="1"/>
  <c r="G590" i="5"/>
  <c r="D590" i="5"/>
  <c r="C590" i="5"/>
  <c r="A590" i="5"/>
  <c r="AN589" i="5"/>
  <c r="AM589" i="5"/>
  <c r="AL589" i="5"/>
  <c r="AK589" i="5"/>
  <c r="AJ589" i="5"/>
  <c r="AI589" i="5"/>
  <c r="M589" i="5"/>
  <c r="L589" i="5"/>
  <c r="K589" i="5"/>
  <c r="J589" i="5"/>
  <c r="I589" i="5"/>
  <c r="H589" i="5"/>
  <c r="E589" i="9" s="1"/>
  <c r="G589" i="5"/>
  <c r="D589" i="5"/>
  <c r="C589" i="5"/>
  <c r="A589" i="5"/>
  <c r="AN588" i="5"/>
  <c r="AM588" i="5"/>
  <c r="AL588" i="5"/>
  <c r="AK588" i="5"/>
  <c r="AJ588" i="5"/>
  <c r="AI588" i="5"/>
  <c r="M588" i="5"/>
  <c r="L588" i="5"/>
  <c r="K588" i="5"/>
  <c r="J588" i="5"/>
  <c r="I588" i="5"/>
  <c r="H588" i="5"/>
  <c r="E588" i="9" s="1"/>
  <c r="G588" i="5"/>
  <c r="D588" i="5"/>
  <c r="C588" i="5"/>
  <c r="A588" i="5"/>
  <c r="AN587" i="5"/>
  <c r="AM587" i="5"/>
  <c r="AL587" i="5"/>
  <c r="AK587" i="5"/>
  <c r="AJ587" i="5"/>
  <c r="AI587" i="5"/>
  <c r="M587" i="5"/>
  <c r="L587" i="5"/>
  <c r="K587" i="5"/>
  <c r="J587" i="5"/>
  <c r="I587" i="5"/>
  <c r="H587" i="5"/>
  <c r="E587" i="9" s="1"/>
  <c r="G587" i="5"/>
  <c r="D587" i="5"/>
  <c r="C587" i="5"/>
  <c r="A587" i="5"/>
  <c r="AN586" i="5"/>
  <c r="AM586" i="5"/>
  <c r="AL586" i="5"/>
  <c r="AK586" i="5"/>
  <c r="AJ586" i="5"/>
  <c r="AI586" i="5"/>
  <c r="M586" i="5"/>
  <c r="L586" i="5"/>
  <c r="K586" i="5"/>
  <c r="J586" i="5"/>
  <c r="I586" i="5"/>
  <c r="H586" i="5"/>
  <c r="E586" i="9" s="1"/>
  <c r="G586" i="5"/>
  <c r="D586" i="5"/>
  <c r="C586" i="5"/>
  <c r="A586" i="5"/>
  <c r="AN585" i="5"/>
  <c r="AM585" i="5"/>
  <c r="AL585" i="5"/>
  <c r="AK585" i="5"/>
  <c r="AJ585" i="5"/>
  <c r="AI585" i="5"/>
  <c r="M585" i="5"/>
  <c r="L585" i="5"/>
  <c r="K585" i="5"/>
  <c r="J585" i="5"/>
  <c r="I585" i="5"/>
  <c r="H585" i="5"/>
  <c r="E585" i="9" s="1"/>
  <c r="G585" i="5"/>
  <c r="D585" i="5"/>
  <c r="C585" i="5"/>
  <c r="A585" i="5"/>
  <c r="AN584" i="5"/>
  <c r="AM584" i="5"/>
  <c r="AL584" i="5"/>
  <c r="AK584" i="5"/>
  <c r="AJ584" i="5"/>
  <c r="AI584" i="5"/>
  <c r="M584" i="5"/>
  <c r="L584" i="5"/>
  <c r="K584" i="5"/>
  <c r="J584" i="5"/>
  <c r="I584" i="5"/>
  <c r="H584" i="5"/>
  <c r="E584" i="9" s="1"/>
  <c r="G584" i="5"/>
  <c r="D584" i="5"/>
  <c r="C584" i="5"/>
  <c r="A584" i="5"/>
  <c r="AN583" i="5"/>
  <c r="AM583" i="5"/>
  <c r="AL583" i="5"/>
  <c r="AK583" i="5"/>
  <c r="AJ583" i="5"/>
  <c r="AI583" i="5"/>
  <c r="M583" i="5"/>
  <c r="L583" i="5"/>
  <c r="K583" i="5"/>
  <c r="J583" i="5"/>
  <c r="I583" i="5"/>
  <c r="H583" i="5"/>
  <c r="E583" i="9" s="1"/>
  <c r="G583" i="5"/>
  <c r="D583" i="5"/>
  <c r="C583" i="5"/>
  <c r="A583" i="5"/>
  <c r="AN582" i="5"/>
  <c r="AM582" i="5"/>
  <c r="AL582" i="5"/>
  <c r="AK582" i="5"/>
  <c r="AJ582" i="5"/>
  <c r="AI582" i="5"/>
  <c r="M582" i="5"/>
  <c r="L582" i="5"/>
  <c r="K582" i="5"/>
  <c r="J582" i="5"/>
  <c r="I582" i="5"/>
  <c r="H582" i="5"/>
  <c r="E582" i="9" s="1"/>
  <c r="G582" i="5"/>
  <c r="D582" i="5"/>
  <c r="C582" i="5"/>
  <c r="A582" i="5"/>
  <c r="AN581" i="5"/>
  <c r="AM581" i="5"/>
  <c r="AL581" i="5"/>
  <c r="AK581" i="5"/>
  <c r="AJ581" i="5"/>
  <c r="AI581" i="5"/>
  <c r="M581" i="5"/>
  <c r="L581" i="5"/>
  <c r="K581" i="5"/>
  <c r="J581" i="5"/>
  <c r="I581" i="5"/>
  <c r="H581" i="5"/>
  <c r="E581" i="9" s="1"/>
  <c r="G581" i="5"/>
  <c r="D581" i="5"/>
  <c r="C581" i="5"/>
  <c r="A581" i="5"/>
  <c r="AN580" i="5"/>
  <c r="AM580" i="5"/>
  <c r="AL580" i="5"/>
  <c r="AK580" i="5"/>
  <c r="AJ580" i="5"/>
  <c r="AI580" i="5"/>
  <c r="M580" i="5"/>
  <c r="L580" i="5"/>
  <c r="K580" i="5"/>
  <c r="J580" i="5"/>
  <c r="I580" i="5"/>
  <c r="H580" i="5"/>
  <c r="E580" i="9" s="1"/>
  <c r="G580" i="5"/>
  <c r="D580" i="5"/>
  <c r="C580" i="5"/>
  <c r="A580" i="5"/>
  <c r="AN579" i="5"/>
  <c r="AM579" i="5"/>
  <c r="AL579" i="5"/>
  <c r="AK579" i="5"/>
  <c r="AJ579" i="5"/>
  <c r="AI579" i="5"/>
  <c r="M579" i="5"/>
  <c r="L579" i="5"/>
  <c r="K579" i="5"/>
  <c r="J579" i="5"/>
  <c r="I579" i="5"/>
  <c r="H579" i="5"/>
  <c r="E579" i="9" s="1"/>
  <c r="G579" i="5"/>
  <c r="D579" i="5"/>
  <c r="C579" i="5"/>
  <c r="A579" i="5"/>
  <c r="AN578" i="5"/>
  <c r="AM578" i="5"/>
  <c r="AL578" i="5"/>
  <c r="AK578" i="5"/>
  <c r="AJ578" i="5"/>
  <c r="AI578" i="5"/>
  <c r="M578" i="5"/>
  <c r="L578" i="5"/>
  <c r="K578" i="5"/>
  <c r="J578" i="5"/>
  <c r="I578" i="5"/>
  <c r="H578" i="5"/>
  <c r="E578" i="9" s="1"/>
  <c r="G578" i="5"/>
  <c r="D578" i="5"/>
  <c r="C578" i="5"/>
  <c r="A578" i="5"/>
  <c r="AN577" i="5"/>
  <c r="AM577" i="5"/>
  <c r="AL577" i="5"/>
  <c r="AK577" i="5"/>
  <c r="AJ577" i="5"/>
  <c r="AI577" i="5"/>
  <c r="M577" i="5"/>
  <c r="L577" i="5"/>
  <c r="K577" i="5"/>
  <c r="J577" i="5"/>
  <c r="I577" i="5"/>
  <c r="H577" i="5"/>
  <c r="E577" i="9" s="1"/>
  <c r="G577" i="5"/>
  <c r="D577" i="5"/>
  <c r="C577" i="5"/>
  <c r="A577" i="5"/>
  <c r="AN576" i="5"/>
  <c r="AM576" i="5"/>
  <c r="AL576" i="5"/>
  <c r="AK576" i="5"/>
  <c r="AJ576" i="5"/>
  <c r="AI576" i="5"/>
  <c r="M576" i="5"/>
  <c r="L576" i="5"/>
  <c r="K576" i="5"/>
  <c r="J576" i="5"/>
  <c r="I576" i="5"/>
  <c r="H576" i="5"/>
  <c r="E576" i="9" s="1"/>
  <c r="G576" i="5"/>
  <c r="D576" i="5"/>
  <c r="C576" i="5"/>
  <c r="A576" i="5"/>
  <c r="AN575" i="5"/>
  <c r="AM575" i="5"/>
  <c r="AL575" i="5"/>
  <c r="AK575" i="5"/>
  <c r="AJ575" i="5"/>
  <c r="AI575" i="5"/>
  <c r="M575" i="5"/>
  <c r="L575" i="5"/>
  <c r="K575" i="5"/>
  <c r="J575" i="5"/>
  <c r="I575" i="5"/>
  <c r="H575" i="5"/>
  <c r="E575" i="9" s="1"/>
  <c r="G575" i="5"/>
  <c r="D575" i="5"/>
  <c r="C575" i="5"/>
  <c r="A575" i="5"/>
  <c r="AN574" i="5"/>
  <c r="AM574" i="5"/>
  <c r="AL574" i="5"/>
  <c r="AK574" i="5"/>
  <c r="AJ574" i="5"/>
  <c r="AI574" i="5"/>
  <c r="M574" i="5"/>
  <c r="L574" i="5"/>
  <c r="K574" i="5"/>
  <c r="J574" i="5"/>
  <c r="I574" i="5"/>
  <c r="H574" i="5"/>
  <c r="E574" i="9" s="1"/>
  <c r="G574" i="5"/>
  <c r="D574" i="5"/>
  <c r="C574" i="5"/>
  <c r="A574" i="5"/>
  <c r="AN573" i="5"/>
  <c r="AM573" i="5"/>
  <c r="AL573" i="5"/>
  <c r="AK573" i="5"/>
  <c r="AJ573" i="5"/>
  <c r="AI573" i="5"/>
  <c r="M573" i="5"/>
  <c r="L573" i="5"/>
  <c r="K573" i="5"/>
  <c r="J573" i="5"/>
  <c r="I573" i="5"/>
  <c r="H573" i="5"/>
  <c r="E573" i="9" s="1"/>
  <c r="G573" i="5"/>
  <c r="D573" i="5"/>
  <c r="C573" i="5"/>
  <c r="A573" i="5"/>
  <c r="AN572" i="5"/>
  <c r="AM572" i="5"/>
  <c r="AL572" i="5"/>
  <c r="AK572" i="5"/>
  <c r="AJ572" i="5"/>
  <c r="AI572" i="5"/>
  <c r="M572" i="5"/>
  <c r="L572" i="5"/>
  <c r="K572" i="5"/>
  <c r="J572" i="5"/>
  <c r="I572" i="5"/>
  <c r="H572" i="5"/>
  <c r="E572" i="9" s="1"/>
  <c r="G572" i="5"/>
  <c r="D572" i="5"/>
  <c r="C572" i="5"/>
  <c r="A572" i="5"/>
  <c r="AN571" i="5"/>
  <c r="AM571" i="5"/>
  <c r="AL571" i="5"/>
  <c r="AK571" i="5"/>
  <c r="AJ571" i="5"/>
  <c r="AI571" i="5"/>
  <c r="M571" i="5"/>
  <c r="L571" i="5"/>
  <c r="K571" i="5"/>
  <c r="J571" i="5"/>
  <c r="I571" i="5"/>
  <c r="H571" i="5"/>
  <c r="E571" i="9" s="1"/>
  <c r="G571" i="5"/>
  <c r="D571" i="5"/>
  <c r="C571" i="5"/>
  <c r="A571" i="5"/>
  <c r="AN570" i="5"/>
  <c r="AM570" i="5"/>
  <c r="AL570" i="5"/>
  <c r="AK570" i="5"/>
  <c r="AJ570" i="5"/>
  <c r="AI570" i="5"/>
  <c r="M570" i="5"/>
  <c r="L570" i="5"/>
  <c r="K570" i="5"/>
  <c r="J570" i="5"/>
  <c r="I570" i="5"/>
  <c r="H570" i="5"/>
  <c r="E570" i="9" s="1"/>
  <c r="G570" i="5"/>
  <c r="D570" i="5"/>
  <c r="C570" i="5"/>
  <c r="A570" i="5"/>
  <c r="AN569" i="5"/>
  <c r="AM569" i="5"/>
  <c r="AL569" i="5"/>
  <c r="AK569" i="5"/>
  <c r="AJ569" i="5"/>
  <c r="AI569" i="5"/>
  <c r="M569" i="5"/>
  <c r="L569" i="5"/>
  <c r="K569" i="5"/>
  <c r="J569" i="5"/>
  <c r="I569" i="5"/>
  <c r="H569" i="5"/>
  <c r="E569" i="9" s="1"/>
  <c r="G569" i="5"/>
  <c r="D569" i="5"/>
  <c r="C569" i="5"/>
  <c r="A569" i="5"/>
  <c r="AN568" i="5"/>
  <c r="AM568" i="5"/>
  <c r="AL568" i="5"/>
  <c r="AK568" i="5"/>
  <c r="AJ568" i="5"/>
  <c r="AI568" i="5"/>
  <c r="M568" i="5"/>
  <c r="L568" i="5"/>
  <c r="K568" i="5"/>
  <c r="J568" i="5"/>
  <c r="I568" i="5"/>
  <c r="H568" i="5"/>
  <c r="E568" i="9" s="1"/>
  <c r="G568" i="5"/>
  <c r="D568" i="5"/>
  <c r="C568" i="5"/>
  <c r="A568" i="5"/>
  <c r="AN567" i="5"/>
  <c r="AM567" i="5"/>
  <c r="AL567" i="5"/>
  <c r="AK567" i="5"/>
  <c r="AJ567" i="5"/>
  <c r="AI567" i="5"/>
  <c r="M567" i="5"/>
  <c r="L567" i="5"/>
  <c r="K567" i="5"/>
  <c r="J567" i="5"/>
  <c r="I567" i="5"/>
  <c r="H567" i="5"/>
  <c r="E567" i="9" s="1"/>
  <c r="G567" i="5"/>
  <c r="D567" i="5"/>
  <c r="C567" i="5"/>
  <c r="A567" i="5"/>
  <c r="AN566" i="5"/>
  <c r="AM566" i="5"/>
  <c r="AL566" i="5"/>
  <c r="AK566" i="5"/>
  <c r="AJ566" i="5"/>
  <c r="AI566" i="5"/>
  <c r="M566" i="5"/>
  <c r="L566" i="5"/>
  <c r="K566" i="5"/>
  <c r="J566" i="5"/>
  <c r="I566" i="5"/>
  <c r="H566" i="5"/>
  <c r="E566" i="9" s="1"/>
  <c r="G566" i="5"/>
  <c r="D566" i="5"/>
  <c r="C566" i="5"/>
  <c r="A566" i="5"/>
  <c r="AN565" i="5"/>
  <c r="AM565" i="5"/>
  <c r="AL565" i="5"/>
  <c r="AK565" i="5"/>
  <c r="AJ565" i="5"/>
  <c r="AI565" i="5"/>
  <c r="M565" i="5"/>
  <c r="L565" i="5"/>
  <c r="K565" i="5"/>
  <c r="J565" i="5"/>
  <c r="I565" i="5"/>
  <c r="H565" i="5"/>
  <c r="E565" i="9" s="1"/>
  <c r="G565" i="5"/>
  <c r="D565" i="5"/>
  <c r="C565" i="5"/>
  <c r="A565" i="5"/>
  <c r="AN564" i="5"/>
  <c r="AM564" i="5"/>
  <c r="AL564" i="5"/>
  <c r="AK564" i="5"/>
  <c r="AJ564" i="5"/>
  <c r="AI564" i="5"/>
  <c r="M564" i="5"/>
  <c r="L564" i="5"/>
  <c r="K564" i="5"/>
  <c r="J564" i="5"/>
  <c r="I564" i="5"/>
  <c r="H564" i="5"/>
  <c r="E564" i="9" s="1"/>
  <c r="G564" i="5"/>
  <c r="D564" i="5"/>
  <c r="C564" i="5"/>
  <c r="A564" i="5"/>
  <c r="AN563" i="5"/>
  <c r="AM563" i="5"/>
  <c r="AL563" i="5"/>
  <c r="AK563" i="5"/>
  <c r="AJ563" i="5"/>
  <c r="AI563" i="5"/>
  <c r="M563" i="5"/>
  <c r="L563" i="5"/>
  <c r="K563" i="5"/>
  <c r="J563" i="5"/>
  <c r="I563" i="5"/>
  <c r="H563" i="5"/>
  <c r="E563" i="9" s="1"/>
  <c r="G563" i="5"/>
  <c r="D563" i="5"/>
  <c r="C563" i="5"/>
  <c r="A563" i="5"/>
  <c r="AN562" i="5"/>
  <c r="AM562" i="5"/>
  <c r="AL562" i="5"/>
  <c r="AK562" i="5"/>
  <c r="AJ562" i="5"/>
  <c r="AI562" i="5"/>
  <c r="M562" i="5"/>
  <c r="L562" i="5"/>
  <c r="K562" i="5"/>
  <c r="J562" i="5"/>
  <c r="I562" i="5"/>
  <c r="H562" i="5"/>
  <c r="E562" i="9" s="1"/>
  <c r="G562" i="5"/>
  <c r="D562" i="5"/>
  <c r="C562" i="5"/>
  <c r="A562" i="5"/>
  <c r="AN561" i="5"/>
  <c r="AM561" i="5"/>
  <c r="AL561" i="5"/>
  <c r="AK561" i="5"/>
  <c r="AJ561" i="5"/>
  <c r="AI561" i="5"/>
  <c r="M561" i="5"/>
  <c r="L561" i="5"/>
  <c r="K561" i="5"/>
  <c r="J561" i="5"/>
  <c r="I561" i="5"/>
  <c r="H561" i="5"/>
  <c r="E561" i="9" s="1"/>
  <c r="G561" i="5"/>
  <c r="D561" i="5"/>
  <c r="C561" i="5"/>
  <c r="A561" i="5"/>
  <c r="AN560" i="5"/>
  <c r="AM560" i="5"/>
  <c r="AL560" i="5"/>
  <c r="AK560" i="5"/>
  <c r="AJ560" i="5"/>
  <c r="AI560" i="5"/>
  <c r="M560" i="5"/>
  <c r="L560" i="5"/>
  <c r="K560" i="5"/>
  <c r="J560" i="5"/>
  <c r="I560" i="5"/>
  <c r="H560" i="5"/>
  <c r="E560" i="9" s="1"/>
  <c r="G560" i="5"/>
  <c r="D560" i="5"/>
  <c r="C560" i="5"/>
  <c r="A560" i="5"/>
  <c r="AN559" i="5"/>
  <c r="AM559" i="5"/>
  <c r="AL559" i="5"/>
  <c r="AK559" i="5"/>
  <c r="AJ559" i="5"/>
  <c r="AI559" i="5"/>
  <c r="M559" i="5"/>
  <c r="L559" i="5"/>
  <c r="K559" i="5"/>
  <c r="J559" i="5"/>
  <c r="I559" i="5"/>
  <c r="H559" i="5"/>
  <c r="E559" i="9" s="1"/>
  <c r="G559" i="5"/>
  <c r="D559" i="5"/>
  <c r="C559" i="5"/>
  <c r="A559" i="5"/>
  <c r="AN558" i="5"/>
  <c r="AM558" i="5"/>
  <c r="AL558" i="5"/>
  <c r="AK558" i="5"/>
  <c r="AJ558" i="5"/>
  <c r="AI558" i="5"/>
  <c r="M558" i="5"/>
  <c r="L558" i="5"/>
  <c r="K558" i="5"/>
  <c r="J558" i="5"/>
  <c r="I558" i="5"/>
  <c r="H558" i="5"/>
  <c r="E558" i="9" s="1"/>
  <c r="G558" i="5"/>
  <c r="D558" i="5"/>
  <c r="C558" i="5"/>
  <c r="A558" i="5"/>
  <c r="AN557" i="5"/>
  <c r="AM557" i="5"/>
  <c r="AL557" i="5"/>
  <c r="AK557" i="5"/>
  <c r="AJ557" i="5"/>
  <c r="AI557" i="5"/>
  <c r="M557" i="5"/>
  <c r="L557" i="5"/>
  <c r="K557" i="5"/>
  <c r="J557" i="5"/>
  <c r="I557" i="5"/>
  <c r="H557" i="5"/>
  <c r="E557" i="9" s="1"/>
  <c r="G557" i="5"/>
  <c r="D557" i="5"/>
  <c r="C557" i="5"/>
  <c r="A557" i="5"/>
  <c r="AN556" i="5"/>
  <c r="AM556" i="5"/>
  <c r="AL556" i="5"/>
  <c r="AK556" i="5"/>
  <c r="AJ556" i="5"/>
  <c r="AI556" i="5"/>
  <c r="M556" i="5"/>
  <c r="L556" i="5"/>
  <c r="K556" i="5"/>
  <c r="J556" i="5"/>
  <c r="I556" i="5"/>
  <c r="H556" i="5"/>
  <c r="E556" i="9" s="1"/>
  <c r="G556" i="5"/>
  <c r="D556" i="5"/>
  <c r="C556" i="5"/>
  <c r="A556" i="5"/>
  <c r="AN555" i="5"/>
  <c r="AM555" i="5"/>
  <c r="AL555" i="5"/>
  <c r="AK555" i="5"/>
  <c r="AJ555" i="5"/>
  <c r="AI555" i="5"/>
  <c r="M555" i="5"/>
  <c r="L555" i="5"/>
  <c r="K555" i="5"/>
  <c r="J555" i="5"/>
  <c r="I555" i="5"/>
  <c r="H555" i="5"/>
  <c r="E555" i="9" s="1"/>
  <c r="G555" i="5"/>
  <c r="D555" i="5"/>
  <c r="C555" i="5"/>
  <c r="A555" i="5"/>
  <c r="AN554" i="5"/>
  <c r="AM554" i="5"/>
  <c r="AL554" i="5"/>
  <c r="AK554" i="5"/>
  <c r="AJ554" i="5"/>
  <c r="AI554" i="5"/>
  <c r="M554" i="5"/>
  <c r="L554" i="5"/>
  <c r="K554" i="5"/>
  <c r="J554" i="5"/>
  <c r="I554" i="5"/>
  <c r="H554" i="5"/>
  <c r="E554" i="9" s="1"/>
  <c r="G554" i="5"/>
  <c r="D554" i="5"/>
  <c r="C554" i="5"/>
  <c r="A554" i="5"/>
  <c r="AN553" i="5"/>
  <c r="AM553" i="5"/>
  <c r="AL553" i="5"/>
  <c r="AK553" i="5"/>
  <c r="AJ553" i="5"/>
  <c r="AI553" i="5"/>
  <c r="M553" i="5"/>
  <c r="L553" i="5"/>
  <c r="K553" i="5"/>
  <c r="J553" i="5"/>
  <c r="I553" i="5"/>
  <c r="H553" i="5"/>
  <c r="E553" i="9" s="1"/>
  <c r="G553" i="5"/>
  <c r="D553" i="5"/>
  <c r="C553" i="5"/>
  <c r="A553" i="5"/>
  <c r="AN552" i="5"/>
  <c r="AM552" i="5"/>
  <c r="AL552" i="5"/>
  <c r="AK552" i="5"/>
  <c r="AJ552" i="5"/>
  <c r="AI552" i="5"/>
  <c r="M552" i="5"/>
  <c r="L552" i="5"/>
  <c r="K552" i="5"/>
  <c r="J552" i="5"/>
  <c r="I552" i="5"/>
  <c r="H552" i="5"/>
  <c r="E552" i="9" s="1"/>
  <c r="G552" i="5"/>
  <c r="D552" i="5"/>
  <c r="C552" i="5"/>
  <c r="A552" i="5"/>
  <c r="AN551" i="5"/>
  <c r="AM551" i="5"/>
  <c r="AL551" i="5"/>
  <c r="AK551" i="5"/>
  <c r="AJ551" i="5"/>
  <c r="AI551" i="5"/>
  <c r="M551" i="5"/>
  <c r="L551" i="5"/>
  <c r="K551" i="5"/>
  <c r="J551" i="5"/>
  <c r="I551" i="5"/>
  <c r="H551" i="5"/>
  <c r="E551" i="9" s="1"/>
  <c r="G551" i="5"/>
  <c r="D551" i="5"/>
  <c r="C551" i="5"/>
  <c r="A551" i="5"/>
  <c r="AN550" i="5"/>
  <c r="AM550" i="5"/>
  <c r="AL550" i="5"/>
  <c r="AK550" i="5"/>
  <c r="AJ550" i="5"/>
  <c r="AI550" i="5"/>
  <c r="M550" i="5"/>
  <c r="L550" i="5"/>
  <c r="K550" i="5"/>
  <c r="J550" i="5"/>
  <c r="I550" i="5"/>
  <c r="H550" i="5"/>
  <c r="E550" i="9" s="1"/>
  <c r="G550" i="5"/>
  <c r="D550" i="5"/>
  <c r="C550" i="5"/>
  <c r="A550" i="5"/>
  <c r="AN549" i="5"/>
  <c r="AM549" i="5"/>
  <c r="AL549" i="5"/>
  <c r="AK549" i="5"/>
  <c r="AJ549" i="5"/>
  <c r="AI549" i="5"/>
  <c r="M549" i="5"/>
  <c r="L549" i="5"/>
  <c r="K549" i="5"/>
  <c r="J549" i="5"/>
  <c r="I549" i="5"/>
  <c r="H549" i="5"/>
  <c r="E549" i="9" s="1"/>
  <c r="G549" i="5"/>
  <c r="D549" i="5"/>
  <c r="C549" i="5"/>
  <c r="A549" i="5"/>
  <c r="AN548" i="5"/>
  <c r="AM548" i="5"/>
  <c r="AL548" i="5"/>
  <c r="AK548" i="5"/>
  <c r="AJ548" i="5"/>
  <c r="AI548" i="5"/>
  <c r="M548" i="5"/>
  <c r="L548" i="5"/>
  <c r="K548" i="5"/>
  <c r="J548" i="5"/>
  <c r="I548" i="5"/>
  <c r="H548" i="5"/>
  <c r="E548" i="9" s="1"/>
  <c r="G548" i="5"/>
  <c r="D548" i="5"/>
  <c r="C548" i="5"/>
  <c r="A548" i="5"/>
  <c r="AN547" i="5"/>
  <c r="AM547" i="5"/>
  <c r="AL547" i="5"/>
  <c r="AK547" i="5"/>
  <c r="AJ547" i="5"/>
  <c r="AI547" i="5"/>
  <c r="M547" i="5"/>
  <c r="L547" i="5"/>
  <c r="K547" i="5"/>
  <c r="J547" i="5"/>
  <c r="I547" i="5"/>
  <c r="H547" i="5"/>
  <c r="E547" i="9" s="1"/>
  <c r="G547" i="5"/>
  <c r="D547" i="5"/>
  <c r="C547" i="5"/>
  <c r="A547" i="5"/>
  <c r="AN546" i="5"/>
  <c r="AM546" i="5"/>
  <c r="AL546" i="5"/>
  <c r="AK546" i="5"/>
  <c r="AJ546" i="5"/>
  <c r="AI546" i="5"/>
  <c r="M546" i="5"/>
  <c r="L546" i="5"/>
  <c r="K546" i="5"/>
  <c r="J546" i="5"/>
  <c r="I546" i="5"/>
  <c r="H546" i="5"/>
  <c r="E546" i="9" s="1"/>
  <c r="G546" i="5"/>
  <c r="D546" i="5"/>
  <c r="C546" i="5"/>
  <c r="A546" i="5"/>
  <c r="AN545" i="5"/>
  <c r="AM545" i="5"/>
  <c r="AL545" i="5"/>
  <c r="AK545" i="5"/>
  <c r="AJ545" i="5"/>
  <c r="AI545" i="5"/>
  <c r="M545" i="5"/>
  <c r="L545" i="5"/>
  <c r="K545" i="5"/>
  <c r="J545" i="5"/>
  <c r="I545" i="5"/>
  <c r="H545" i="5"/>
  <c r="E545" i="9" s="1"/>
  <c r="G545" i="5"/>
  <c r="D545" i="5"/>
  <c r="C545" i="5"/>
  <c r="A545" i="5"/>
  <c r="AN544" i="5"/>
  <c r="AM544" i="5"/>
  <c r="AL544" i="5"/>
  <c r="AK544" i="5"/>
  <c r="AJ544" i="5"/>
  <c r="AI544" i="5"/>
  <c r="M544" i="5"/>
  <c r="L544" i="5"/>
  <c r="K544" i="5"/>
  <c r="J544" i="5"/>
  <c r="I544" i="5"/>
  <c r="H544" i="5"/>
  <c r="E544" i="9" s="1"/>
  <c r="G544" i="5"/>
  <c r="D544" i="5"/>
  <c r="C544" i="5"/>
  <c r="A544" i="5"/>
  <c r="AN543" i="5"/>
  <c r="AM543" i="5"/>
  <c r="AL543" i="5"/>
  <c r="AK543" i="5"/>
  <c r="AJ543" i="5"/>
  <c r="AI543" i="5"/>
  <c r="M543" i="5"/>
  <c r="L543" i="5"/>
  <c r="K543" i="5"/>
  <c r="J543" i="5"/>
  <c r="I543" i="5"/>
  <c r="H543" i="5"/>
  <c r="E543" i="9" s="1"/>
  <c r="G543" i="5"/>
  <c r="D543" i="5"/>
  <c r="C543" i="5"/>
  <c r="A543" i="5"/>
  <c r="AN542" i="5"/>
  <c r="AM542" i="5"/>
  <c r="AL542" i="5"/>
  <c r="AK542" i="5"/>
  <c r="AJ542" i="5"/>
  <c r="AI542" i="5"/>
  <c r="M542" i="5"/>
  <c r="L542" i="5"/>
  <c r="K542" i="5"/>
  <c r="J542" i="5"/>
  <c r="I542" i="5"/>
  <c r="H542" i="5"/>
  <c r="E542" i="9" s="1"/>
  <c r="G542" i="5"/>
  <c r="D542" i="5"/>
  <c r="C542" i="5"/>
  <c r="A542" i="5"/>
  <c r="AN541" i="5"/>
  <c r="AM541" i="5"/>
  <c r="AL541" i="5"/>
  <c r="AK541" i="5"/>
  <c r="AJ541" i="5"/>
  <c r="AI541" i="5"/>
  <c r="M541" i="5"/>
  <c r="L541" i="5"/>
  <c r="K541" i="5"/>
  <c r="J541" i="5"/>
  <c r="I541" i="5"/>
  <c r="H541" i="5"/>
  <c r="E541" i="9" s="1"/>
  <c r="G541" i="5"/>
  <c r="D541" i="5"/>
  <c r="C541" i="5"/>
  <c r="A541" i="5"/>
  <c r="AN540" i="5"/>
  <c r="AM540" i="5"/>
  <c r="AL540" i="5"/>
  <c r="AK540" i="5"/>
  <c r="AJ540" i="5"/>
  <c r="AI540" i="5"/>
  <c r="M540" i="5"/>
  <c r="L540" i="5"/>
  <c r="K540" i="5"/>
  <c r="J540" i="5"/>
  <c r="I540" i="5"/>
  <c r="H540" i="5"/>
  <c r="E540" i="9" s="1"/>
  <c r="G540" i="5"/>
  <c r="D540" i="5"/>
  <c r="C540" i="5"/>
  <c r="A540" i="5"/>
  <c r="AN539" i="5"/>
  <c r="AM539" i="5"/>
  <c r="AL539" i="5"/>
  <c r="AK539" i="5"/>
  <c r="AJ539" i="5"/>
  <c r="AI539" i="5"/>
  <c r="M539" i="5"/>
  <c r="L539" i="5"/>
  <c r="K539" i="5"/>
  <c r="J539" i="5"/>
  <c r="I539" i="5"/>
  <c r="H539" i="5"/>
  <c r="E539" i="9" s="1"/>
  <c r="G539" i="5"/>
  <c r="D539" i="5"/>
  <c r="C539" i="5"/>
  <c r="A539" i="5"/>
  <c r="AN538" i="5"/>
  <c r="AM538" i="5"/>
  <c r="AL538" i="5"/>
  <c r="AK538" i="5"/>
  <c r="AJ538" i="5"/>
  <c r="AI538" i="5"/>
  <c r="M538" i="5"/>
  <c r="L538" i="5"/>
  <c r="K538" i="5"/>
  <c r="J538" i="5"/>
  <c r="I538" i="5"/>
  <c r="H538" i="5"/>
  <c r="E538" i="9" s="1"/>
  <c r="G538" i="5"/>
  <c r="D538" i="5"/>
  <c r="C538" i="5"/>
  <c r="A538" i="5"/>
  <c r="AN537" i="5"/>
  <c r="AM537" i="5"/>
  <c r="AL537" i="5"/>
  <c r="AK537" i="5"/>
  <c r="AJ537" i="5"/>
  <c r="AI537" i="5"/>
  <c r="M537" i="5"/>
  <c r="L537" i="5"/>
  <c r="K537" i="5"/>
  <c r="J537" i="5"/>
  <c r="I537" i="5"/>
  <c r="H537" i="5"/>
  <c r="E537" i="9" s="1"/>
  <c r="G537" i="5"/>
  <c r="D537" i="5"/>
  <c r="C537" i="5"/>
  <c r="A537" i="5"/>
  <c r="AN536" i="5"/>
  <c r="AM536" i="5"/>
  <c r="AL536" i="5"/>
  <c r="AK536" i="5"/>
  <c r="AJ536" i="5"/>
  <c r="AI536" i="5"/>
  <c r="M536" i="5"/>
  <c r="L536" i="5"/>
  <c r="K536" i="5"/>
  <c r="J536" i="5"/>
  <c r="I536" i="5"/>
  <c r="H536" i="5"/>
  <c r="E536" i="9" s="1"/>
  <c r="G536" i="5"/>
  <c r="D536" i="5"/>
  <c r="C536" i="5"/>
  <c r="A536" i="5"/>
  <c r="AN535" i="5"/>
  <c r="AM535" i="5"/>
  <c r="AL535" i="5"/>
  <c r="AK535" i="5"/>
  <c r="AJ535" i="5"/>
  <c r="AI535" i="5"/>
  <c r="M535" i="5"/>
  <c r="L535" i="5"/>
  <c r="K535" i="5"/>
  <c r="J535" i="5"/>
  <c r="I535" i="5"/>
  <c r="H535" i="5"/>
  <c r="E535" i="9" s="1"/>
  <c r="G535" i="5"/>
  <c r="D535" i="5"/>
  <c r="C535" i="5"/>
  <c r="A535" i="5"/>
  <c r="AN534" i="5"/>
  <c r="AM534" i="5"/>
  <c r="AL534" i="5"/>
  <c r="AK534" i="5"/>
  <c r="AJ534" i="5"/>
  <c r="AI534" i="5"/>
  <c r="M534" i="5"/>
  <c r="L534" i="5"/>
  <c r="K534" i="5"/>
  <c r="J534" i="5"/>
  <c r="I534" i="5"/>
  <c r="H534" i="5"/>
  <c r="E534" i="9" s="1"/>
  <c r="G534" i="5"/>
  <c r="D534" i="5"/>
  <c r="C534" i="5"/>
  <c r="A534" i="5"/>
  <c r="AN533" i="5"/>
  <c r="AM533" i="5"/>
  <c r="AL533" i="5"/>
  <c r="AK533" i="5"/>
  <c r="AJ533" i="5"/>
  <c r="AI533" i="5"/>
  <c r="M533" i="5"/>
  <c r="L533" i="5"/>
  <c r="K533" i="5"/>
  <c r="J533" i="5"/>
  <c r="I533" i="5"/>
  <c r="H533" i="5"/>
  <c r="E533" i="9" s="1"/>
  <c r="G533" i="5"/>
  <c r="D533" i="5"/>
  <c r="C533" i="5"/>
  <c r="A533" i="5"/>
  <c r="AN532" i="5"/>
  <c r="AM532" i="5"/>
  <c r="AL532" i="5"/>
  <c r="AK532" i="5"/>
  <c r="AJ532" i="5"/>
  <c r="AI532" i="5"/>
  <c r="M532" i="5"/>
  <c r="L532" i="5"/>
  <c r="K532" i="5"/>
  <c r="J532" i="5"/>
  <c r="I532" i="5"/>
  <c r="H532" i="5"/>
  <c r="E532" i="9" s="1"/>
  <c r="G532" i="5"/>
  <c r="D532" i="5"/>
  <c r="C532" i="5"/>
  <c r="A532" i="5"/>
  <c r="AN531" i="5"/>
  <c r="AM531" i="5"/>
  <c r="AL531" i="5"/>
  <c r="AK531" i="5"/>
  <c r="AJ531" i="5"/>
  <c r="AI531" i="5"/>
  <c r="M531" i="5"/>
  <c r="L531" i="5"/>
  <c r="K531" i="5"/>
  <c r="J531" i="5"/>
  <c r="I531" i="5"/>
  <c r="H531" i="5"/>
  <c r="E531" i="9" s="1"/>
  <c r="G531" i="5"/>
  <c r="D531" i="5"/>
  <c r="C531" i="5"/>
  <c r="A531" i="5"/>
  <c r="AN530" i="5"/>
  <c r="AM530" i="5"/>
  <c r="AL530" i="5"/>
  <c r="AK530" i="5"/>
  <c r="AJ530" i="5"/>
  <c r="AI530" i="5"/>
  <c r="M530" i="5"/>
  <c r="L530" i="5"/>
  <c r="K530" i="5"/>
  <c r="J530" i="5"/>
  <c r="I530" i="5"/>
  <c r="H530" i="5"/>
  <c r="E530" i="9" s="1"/>
  <c r="G530" i="5"/>
  <c r="D530" i="5"/>
  <c r="C530" i="5"/>
  <c r="A530" i="5"/>
  <c r="AN529" i="5"/>
  <c r="AM529" i="5"/>
  <c r="AL529" i="5"/>
  <c r="AK529" i="5"/>
  <c r="AJ529" i="5"/>
  <c r="AI529" i="5"/>
  <c r="M529" i="5"/>
  <c r="L529" i="5"/>
  <c r="K529" i="5"/>
  <c r="J529" i="5"/>
  <c r="I529" i="5"/>
  <c r="H529" i="5"/>
  <c r="E529" i="9" s="1"/>
  <c r="G529" i="5"/>
  <c r="D529" i="5"/>
  <c r="C529" i="5"/>
  <c r="A529" i="5"/>
  <c r="AN528" i="5"/>
  <c r="AM528" i="5"/>
  <c r="AL528" i="5"/>
  <c r="AK528" i="5"/>
  <c r="AJ528" i="5"/>
  <c r="AI528" i="5"/>
  <c r="M528" i="5"/>
  <c r="L528" i="5"/>
  <c r="K528" i="5"/>
  <c r="J528" i="5"/>
  <c r="I528" i="5"/>
  <c r="H528" i="5"/>
  <c r="E528" i="9" s="1"/>
  <c r="G528" i="5"/>
  <c r="D528" i="5"/>
  <c r="C528" i="5"/>
  <c r="A528" i="5"/>
  <c r="AN527" i="5"/>
  <c r="AM527" i="5"/>
  <c r="AL527" i="5"/>
  <c r="AK527" i="5"/>
  <c r="AJ527" i="5"/>
  <c r="AI527" i="5"/>
  <c r="M527" i="5"/>
  <c r="L527" i="5"/>
  <c r="K527" i="5"/>
  <c r="J527" i="5"/>
  <c r="I527" i="5"/>
  <c r="H527" i="5"/>
  <c r="E527" i="9" s="1"/>
  <c r="G527" i="5"/>
  <c r="D527" i="5"/>
  <c r="C527" i="5"/>
  <c r="A527" i="5"/>
  <c r="AN526" i="5"/>
  <c r="AM526" i="5"/>
  <c r="AL526" i="5"/>
  <c r="AK526" i="5"/>
  <c r="AJ526" i="5"/>
  <c r="AI526" i="5"/>
  <c r="M526" i="5"/>
  <c r="L526" i="5"/>
  <c r="K526" i="5"/>
  <c r="J526" i="5"/>
  <c r="I526" i="5"/>
  <c r="H526" i="5"/>
  <c r="E526" i="9" s="1"/>
  <c r="G526" i="5"/>
  <c r="D526" i="5"/>
  <c r="C526" i="5"/>
  <c r="A526" i="5"/>
  <c r="AN525" i="5"/>
  <c r="AM525" i="5"/>
  <c r="AL525" i="5"/>
  <c r="AK525" i="5"/>
  <c r="AJ525" i="5"/>
  <c r="AI525" i="5"/>
  <c r="M525" i="5"/>
  <c r="L525" i="5"/>
  <c r="K525" i="5"/>
  <c r="J525" i="5"/>
  <c r="I525" i="5"/>
  <c r="H525" i="5"/>
  <c r="E525" i="9" s="1"/>
  <c r="G525" i="5"/>
  <c r="D525" i="5"/>
  <c r="C525" i="5"/>
  <c r="A525" i="5"/>
  <c r="AN524" i="5"/>
  <c r="AM524" i="5"/>
  <c r="AL524" i="5"/>
  <c r="AK524" i="5"/>
  <c r="AJ524" i="5"/>
  <c r="AI524" i="5"/>
  <c r="M524" i="5"/>
  <c r="L524" i="5"/>
  <c r="K524" i="5"/>
  <c r="J524" i="5"/>
  <c r="I524" i="5"/>
  <c r="H524" i="5"/>
  <c r="E524" i="9" s="1"/>
  <c r="G524" i="5"/>
  <c r="D524" i="5"/>
  <c r="C524" i="5"/>
  <c r="A524" i="5"/>
  <c r="AN523" i="5"/>
  <c r="AM523" i="5"/>
  <c r="AL523" i="5"/>
  <c r="AK523" i="5"/>
  <c r="AJ523" i="5"/>
  <c r="AI523" i="5"/>
  <c r="M523" i="5"/>
  <c r="L523" i="5"/>
  <c r="K523" i="5"/>
  <c r="J523" i="5"/>
  <c r="I523" i="5"/>
  <c r="H523" i="5"/>
  <c r="E523" i="9" s="1"/>
  <c r="G523" i="5"/>
  <c r="D523" i="5"/>
  <c r="C523" i="5"/>
  <c r="A523" i="5"/>
  <c r="AN522" i="5"/>
  <c r="AM522" i="5"/>
  <c r="AL522" i="5"/>
  <c r="AK522" i="5"/>
  <c r="AJ522" i="5"/>
  <c r="AI522" i="5"/>
  <c r="M522" i="5"/>
  <c r="L522" i="5"/>
  <c r="K522" i="5"/>
  <c r="J522" i="5"/>
  <c r="I522" i="5"/>
  <c r="H522" i="5"/>
  <c r="E522" i="9" s="1"/>
  <c r="G522" i="5"/>
  <c r="D522" i="5"/>
  <c r="C522" i="5"/>
  <c r="A522" i="5"/>
  <c r="AN521" i="5"/>
  <c r="AM521" i="5"/>
  <c r="AL521" i="5"/>
  <c r="AK521" i="5"/>
  <c r="AJ521" i="5"/>
  <c r="AI521" i="5"/>
  <c r="M521" i="5"/>
  <c r="L521" i="5"/>
  <c r="K521" i="5"/>
  <c r="J521" i="5"/>
  <c r="I521" i="5"/>
  <c r="H521" i="5"/>
  <c r="E521" i="9" s="1"/>
  <c r="G521" i="5"/>
  <c r="D521" i="5"/>
  <c r="C521" i="5"/>
  <c r="A521" i="5"/>
  <c r="AN520" i="5"/>
  <c r="AM520" i="5"/>
  <c r="AL520" i="5"/>
  <c r="AK520" i="5"/>
  <c r="AJ520" i="5"/>
  <c r="AI520" i="5"/>
  <c r="M520" i="5"/>
  <c r="L520" i="5"/>
  <c r="K520" i="5"/>
  <c r="J520" i="5"/>
  <c r="I520" i="5"/>
  <c r="H520" i="5"/>
  <c r="E520" i="9" s="1"/>
  <c r="G520" i="5"/>
  <c r="D520" i="5"/>
  <c r="C520" i="5"/>
  <c r="A520" i="5"/>
  <c r="AN519" i="5"/>
  <c r="AM519" i="5"/>
  <c r="AL519" i="5"/>
  <c r="AK519" i="5"/>
  <c r="AJ519" i="5"/>
  <c r="AI519" i="5"/>
  <c r="M519" i="5"/>
  <c r="L519" i="5"/>
  <c r="K519" i="5"/>
  <c r="J519" i="5"/>
  <c r="I519" i="5"/>
  <c r="H519" i="5"/>
  <c r="E519" i="9" s="1"/>
  <c r="G519" i="5"/>
  <c r="D519" i="5"/>
  <c r="C519" i="5"/>
  <c r="A519" i="5"/>
  <c r="AN518" i="5"/>
  <c r="AM518" i="5"/>
  <c r="AL518" i="5"/>
  <c r="AK518" i="5"/>
  <c r="AJ518" i="5"/>
  <c r="AI518" i="5"/>
  <c r="M518" i="5"/>
  <c r="L518" i="5"/>
  <c r="K518" i="5"/>
  <c r="J518" i="5"/>
  <c r="I518" i="5"/>
  <c r="H518" i="5"/>
  <c r="E518" i="9" s="1"/>
  <c r="G518" i="5"/>
  <c r="D518" i="5"/>
  <c r="C518" i="5"/>
  <c r="A518" i="5"/>
  <c r="AN517" i="5"/>
  <c r="AM517" i="5"/>
  <c r="AL517" i="5"/>
  <c r="AK517" i="5"/>
  <c r="AJ517" i="5"/>
  <c r="AI517" i="5"/>
  <c r="M517" i="5"/>
  <c r="L517" i="5"/>
  <c r="K517" i="5"/>
  <c r="J517" i="5"/>
  <c r="I517" i="5"/>
  <c r="H517" i="5"/>
  <c r="E517" i="9" s="1"/>
  <c r="G517" i="5"/>
  <c r="D517" i="5"/>
  <c r="C517" i="5"/>
  <c r="A517" i="5"/>
  <c r="AN516" i="5"/>
  <c r="AM516" i="5"/>
  <c r="AL516" i="5"/>
  <c r="AK516" i="5"/>
  <c r="AJ516" i="5"/>
  <c r="AI516" i="5"/>
  <c r="M516" i="5"/>
  <c r="L516" i="5"/>
  <c r="K516" i="5"/>
  <c r="J516" i="5"/>
  <c r="I516" i="5"/>
  <c r="H516" i="5"/>
  <c r="E516" i="9" s="1"/>
  <c r="G516" i="5"/>
  <c r="D516" i="5"/>
  <c r="C516" i="5"/>
  <c r="A516" i="5"/>
  <c r="AN515" i="5"/>
  <c r="AM515" i="5"/>
  <c r="AL515" i="5"/>
  <c r="AK515" i="5"/>
  <c r="AJ515" i="5"/>
  <c r="AI515" i="5"/>
  <c r="M515" i="5"/>
  <c r="L515" i="5"/>
  <c r="K515" i="5"/>
  <c r="J515" i="5"/>
  <c r="I515" i="5"/>
  <c r="H515" i="5"/>
  <c r="E515" i="9" s="1"/>
  <c r="G515" i="5"/>
  <c r="D515" i="5"/>
  <c r="C515" i="5"/>
  <c r="A515" i="5"/>
  <c r="AN514" i="5"/>
  <c r="AM514" i="5"/>
  <c r="AL514" i="5"/>
  <c r="AK514" i="5"/>
  <c r="AJ514" i="5"/>
  <c r="AI514" i="5"/>
  <c r="M514" i="5"/>
  <c r="L514" i="5"/>
  <c r="K514" i="5"/>
  <c r="J514" i="5"/>
  <c r="I514" i="5"/>
  <c r="H514" i="5"/>
  <c r="E514" i="9" s="1"/>
  <c r="G514" i="5"/>
  <c r="D514" i="5"/>
  <c r="C514" i="5"/>
  <c r="A514" i="5"/>
  <c r="AN513" i="5"/>
  <c r="AM513" i="5"/>
  <c r="AL513" i="5"/>
  <c r="AK513" i="5"/>
  <c r="AJ513" i="5"/>
  <c r="AI513" i="5"/>
  <c r="M513" i="5"/>
  <c r="L513" i="5"/>
  <c r="K513" i="5"/>
  <c r="J513" i="5"/>
  <c r="I513" i="5"/>
  <c r="H513" i="5"/>
  <c r="E513" i="9" s="1"/>
  <c r="G513" i="5"/>
  <c r="D513" i="5"/>
  <c r="C513" i="5"/>
  <c r="A513" i="5"/>
  <c r="AN512" i="5"/>
  <c r="AM512" i="5"/>
  <c r="AL512" i="5"/>
  <c r="AK512" i="5"/>
  <c r="AJ512" i="5"/>
  <c r="AI512" i="5"/>
  <c r="M512" i="5"/>
  <c r="L512" i="5"/>
  <c r="K512" i="5"/>
  <c r="J512" i="5"/>
  <c r="I512" i="5"/>
  <c r="H512" i="5"/>
  <c r="E512" i="9" s="1"/>
  <c r="G512" i="5"/>
  <c r="D512" i="5"/>
  <c r="C512" i="5"/>
  <c r="A512" i="5"/>
  <c r="AN511" i="5"/>
  <c r="AM511" i="5"/>
  <c r="AL511" i="5"/>
  <c r="AK511" i="5"/>
  <c r="AJ511" i="5"/>
  <c r="AI511" i="5"/>
  <c r="M511" i="5"/>
  <c r="L511" i="5"/>
  <c r="K511" i="5"/>
  <c r="J511" i="5"/>
  <c r="I511" i="5"/>
  <c r="H511" i="5"/>
  <c r="E511" i="9" s="1"/>
  <c r="G511" i="5"/>
  <c r="D511" i="5"/>
  <c r="C511" i="5"/>
  <c r="A511" i="5"/>
  <c r="AN510" i="5"/>
  <c r="AM510" i="5"/>
  <c r="AL510" i="5"/>
  <c r="AK510" i="5"/>
  <c r="AJ510" i="5"/>
  <c r="AI510" i="5"/>
  <c r="M510" i="5"/>
  <c r="L510" i="5"/>
  <c r="K510" i="5"/>
  <c r="J510" i="5"/>
  <c r="I510" i="5"/>
  <c r="H510" i="5"/>
  <c r="E510" i="9" s="1"/>
  <c r="G510" i="5"/>
  <c r="D510" i="5"/>
  <c r="C510" i="5"/>
  <c r="A510" i="5"/>
  <c r="AN509" i="5"/>
  <c r="AM509" i="5"/>
  <c r="AL509" i="5"/>
  <c r="AK509" i="5"/>
  <c r="AJ509" i="5"/>
  <c r="AI509" i="5"/>
  <c r="M509" i="5"/>
  <c r="L509" i="5"/>
  <c r="K509" i="5"/>
  <c r="J509" i="5"/>
  <c r="I509" i="5"/>
  <c r="H509" i="5"/>
  <c r="E509" i="9" s="1"/>
  <c r="G509" i="5"/>
  <c r="D509" i="5"/>
  <c r="C509" i="5"/>
  <c r="A509" i="5"/>
  <c r="AN508" i="5"/>
  <c r="AM508" i="5"/>
  <c r="AL508" i="5"/>
  <c r="AK508" i="5"/>
  <c r="AJ508" i="5"/>
  <c r="AI508" i="5"/>
  <c r="M508" i="5"/>
  <c r="L508" i="5"/>
  <c r="K508" i="5"/>
  <c r="J508" i="5"/>
  <c r="I508" i="5"/>
  <c r="H508" i="5"/>
  <c r="E508" i="9" s="1"/>
  <c r="G508" i="5"/>
  <c r="D508" i="5"/>
  <c r="C508" i="5"/>
  <c r="A508" i="5"/>
  <c r="AN507" i="5"/>
  <c r="AM507" i="5"/>
  <c r="AL507" i="5"/>
  <c r="AK507" i="5"/>
  <c r="AJ507" i="5"/>
  <c r="AI507" i="5"/>
  <c r="M507" i="5"/>
  <c r="L507" i="5"/>
  <c r="K507" i="5"/>
  <c r="J507" i="5"/>
  <c r="I507" i="5"/>
  <c r="H507" i="5"/>
  <c r="E507" i="9" s="1"/>
  <c r="G507" i="5"/>
  <c r="D507" i="5"/>
  <c r="C507" i="5"/>
  <c r="A507" i="5"/>
  <c r="AN506" i="5"/>
  <c r="AM506" i="5"/>
  <c r="AL506" i="5"/>
  <c r="AK506" i="5"/>
  <c r="AJ506" i="5"/>
  <c r="AI506" i="5"/>
  <c r="M506" i="5"/>
  <c r="L506" i="5"/>
  <c r="K506" i="5"/>
  <c r="J506" i="5"/>
  <c r="I506" i="5"/>
  <c r="H506" i="5"/>
  <c r="E506" i="9" s="1"/>
  <c r="G506" i="5"/>
  <c r="D506" i="5"/>
  <c r="C506" i="5"/>
  <c r="A506" i="5"/>
  <c r="AN505" i="5"/>
  <c r="AM505" i="5"/>
  <c r="AL505" i="5"/>
  <c r="AK505" i="5"/>
  <c r="AJ505" i="5"/>
  <c r="AI505" i="5"/>
  <c r="M505" i="5"/>
  <c r="L505" i="5"/>
  <c r="K505" i="5"/>
  <c r="J505" i="5"/>
  <c r="I505" i="5"/>
  <c r="H505" i="5"/>
  <c r="E505" i="9" s="1"/>
  <c r="G505" i="5"/>
  <c r="D505" i="5"/>
  <c r="C505" i="5"/>
  <c r="A505" i="5"/>
  <c r="AN504" i="5"/>
  <c r="AM504" i="5"/>
  <c r="AL504" i="5"/>
  <c r="AK504" i="5"/>
  <c r="AJ504" i="5"/>
  <c r="AI504" i="5"/>
  <c r="M504" i="5"/>
  <c r="L504" i="5"/>
  <c r="K504" i="5"/>
  <c r="J504" i="5"/>
  <c r="I504" i="5"/>
  <c r="H504" i="5"/>
  <c r="E504" i="9" s="1"/>
  <c r="G504" i="5"/>
  <c r="D504" i="5"/>
  <c r="C504" i="5"/>
  <c r="A504" i="5"/>
  <c r="AN503" i="5"/>
  <c r="AM503" i="5"/>
  <c r="AL503" i="5"/>
  <c r="AK503" i="5"/>
  <c r="AJ503" i="5"/>
  <c r="AI503" i="5"/>
  <c r="M503" i="5"/>
  <c r="L503" i="5"/>
  <c r="K503" i="5"/>
  <c r="J503" i="5"/>
  <c r="I503" i="5"/>
  <c r="H503" i="5"/>
  <c r="E503" i="9" s="1"/>
  <c r="G503" i="5"/>
  <c r="D503" i="5"/>
  <c r="C503" i="5"/>
  <c r="A503" i="5"/>
  <c r="AN502" i="5"/>
  <c r="AM502" i="5"/>
  <c r="AL502" i="5"/>
  <c r="AK502" i="5"/>
  <c r="AJ502" i="5"/>
  <c r="AI502" i="5"/>
  <c r="M502" i="5"/>
  <c r="L502" i="5"/>
  <c r="K502" i="5"/>
  <c r="J502" i="5"/>
  <c r="I502" i="5"/>
  <c r="H502" i="5"/>
  <c r="E502" i="9" s="1"/>
  <c r="G502" i="5"/>
  <c r="D502" i="5"/>
  <c r="C502" i="5"/>
  <c r="A502" i="5"/>
  <c r="AN501" i="5"/>
  <c r="AM501" i="5"/>
  <c r="AL501" i="5"/>
  <c r="AK501" i="5"/>
  <c r="AJ501" i="5"/>
  <c r="AI501" i="5"/>
  <c r="M501" i="5"/>
  <c r="L501" i="5"/>
  <c r="K501" i="5"/>
  <c r="J501" i="5"/>
  <c r="I501" i="5"/>
  <c r="H501" i="5"/>
  <c r="E501" i="9" s="1"/>
  <c r="G501" i="5"/>
  <c r="D501" i="5"/>
  <c r="C501" i="5"/>
  <c r="A501" i="5"/>
  <c r="AN500" i="5"/>
  <c r="AM500" i="5"/>
  <c r="AL500" i="5"/>
  <c r="AK500" i="5"/>
  <c r="AJ500" i="5"/>
  <c r="AI500" i="5"/>
  <c r="M500" i="5"/>
  <c r="L500" i="5"/>
  <c r="K500" i="5"/>
  <c r="J500" i="5"/>
  <c r="I500" i="5"/>
  <c r="H500" i="5"/>
  <c r="E500" i="9" s="1"/>
  <c r="G500" i="5"/>
  <c r="D500" i="5"/>
  <c r="C500" i="5"/>
  <c r="A500" i="5"/>
  <c r="AN499" i="5"/>
  <c r="AM499" i="5"/>
  <c r="AL499" i="5"/>
  <c r="AK499" i="5"/>
  <c r="AJ499" i="5"/>
  <c r="AI499" i="5"/>
  <c r="M499" i="5"/>
  <c r="L499" i="5"/>
  <c r="K499" i="5"/>
  <c r="J499" i="5"/>
  <c r="I499" i="5"/>
  <c r="H499" i="5"/>
  <c r="E499" i="9" s="1"/>
  <c r="G499" i="5"/>
  <c r="D499" i="5"/>
  <c r="C499" i="5"/>
  <c r="A499" i="5"/>
  <c r="AN498" i="5"/>
  <c r="AM498" i="5"/>
  <c r="AL498" i="5"/>
  <c r="AK498" i="5"/>
  <c r="AJ498" i="5"/>
  <c r="AI498" i="5"/>
  <c r="M498" i="5"/>
  <c r="L498" i="5"/>
  <c r="K498" i="5"/>
  <c r="J498" i="5"/>
  <c r="I498" i="5"/>
  <c r="H498" i="5"/>
  <c r="E498" i="9" s="1"/>
  <c r="G498" i="5"/>
  <c r="D498" i="5"/>
  <c r="C498" i="5"/>
  <c r="A498" i="5"/>
  <c r="AN497" i="5"/>
  <c r="AM497" i="5"/>
  <c r="AL497" i="5"/>
  <c r="AK497" i="5"/>
  <c r="AJ497" i="5"/>
  <c r="AI497" i="5"/>
  <c r="M497" i="5"/>
  <c r="L497" i="5"/>
  <c r="K497" i="5"/>
  <c r="J497" i="5"/>
  <c r="I497" i="5"/>
  <c r="H497" i="5"/>
  <c r="E497" i="9" s="1"/>
  <c r="G497" i="5"/>
  <c r="D497" i="5"/>
  <c r="C497" i="5"/>
  <c r="A497" i="5"/>
  <c r="AN496" i="5"/>
  <c r="AM496" i="5"/>
  <c r="AL496" i="5"/>
  <c r="AK496" i="5"/>
  <c r="AJ496" i="5"/>
  <c r="AI496" i="5"/>
  <c r="M496" i="5"/>
  <c r="L496" i="5"/>
  <c r="K496" i="5"/>
  <c r="J496" i="5"/>
  <c r="I496" i="5"/>
  <c r="H496" i="5"/>
  <c r="E496" i="9" s="1"/>
  <c r="G496" i="5"/>
  <c r="D496" i="5"/>
  <c r="C496" i="5"/>
  <c r="A496" i="5"/>
  <c r="AN495" i="5"/>
  <c r="AM495" i="5"/>
  <c r="AL495" i="5"/>
  <c r="AK495" i="5"/>
  <c r="AJ495" i="5"/>
  <c r="AI495" i="5"/>
  <c r="M495" i="5"/>
  <c r="L495" i="5"/>
  <c r="K495" i="5"/>
  <c r="J495" i="5"/>
  <c r="I495" i="5"/>
  <c r="H495" i="5"/>
  <c r="E495" i="9" s="1"/>
  <c r="G495" i="5"/>
  <c r="D495" i="5"/>
  <c r="C495" i="5"/>
  <c r="A495" i="5"/>
  <c r="AN494" i="5"/>
  <c r="AM494" i="5"/>
  <c r="AL494" i="5"/>
  <c r="AK494" i="5"/>
  <c r="AJ494" i="5"/>
  <c r="AI494" i="5"/>
  <c r="M494" i="5"/>
  <c r="L494" i="5"/>
  <c r="K494" i="5"/>
  <c r="J494" i="5"/>
  <c r="I494" i="5"/>
  <c r="H494" i="5"/>
  <c r="E494" i="9" s="1"/>
  <c r="G494" i="5"/>
  <c r="D494" i="5"/>
  <c r="C494" i="5"/>
  <c r="A494" i="5"/>
  <c r="AN493" i="5"/>
  <c r="AM493" i="5"/>
  <c r="AL493" i="5"/>
  <c r="AK493" i="5"/>
  <c r="AJ493" i="5"/>
  <c r="AI493" i="5"/>
  <c r="M493" i="5"/>
  <c r="L493" i="5"/>
  <c r="K493" i="5"/>
  <c r="J493" i="5"/>
  <c r="I493" i="5"/>
  <c r="H493" i="5"/>
  <c r="E493" i="9" s="1"/>
  <c r="G493" i="5"/>
  <c r="D493" i="5"/>
  <c r="C493" i="5"/>
  <c r="A493" i="5"/>
  <c r="AN492" i="5"/>
  <c r="AM492" i="5"/>
  <c r="AL492" i="5"/>
  <c r="AK492" i="5"/>
  <c r="AJ492" i="5"/>
  <c r="AI492" i="5"/>
  <c r="M492" i="5"/>
  <c r="L492" i="5"/>
  <c r="K492" i="5"/>
  <c r="J492" i="5"/>
  <c r="I492" i="5"/>
  <c r="H492" i="5"/>
  <c r="E492" i="9" s="1"/>
  <c r="G492" i="5"/>
  <c r="D492" i="5"/>
  <c r="C492" i="5"/>
  <c r="A492" i="5"/>
  <c r="AN491" i="5"/>
  <c r="AM491" i="5"/>
  <c r="AL491" i="5"/>
  <c r="AK491" i="5"/>
  <c r="AJ491" i="5"/>
  <c r="AI491" i="5"/>
  <c r="M491" i="5"/>
  <c r="L491" i="5"/>
  <c r="K491" i="5"/>
  <c r="J491" i="5"/>
  <c r="I491" i="5"/>
  <c r="H491" i="5"/>
  <c r="E491" i="9" s="1"/>
  <c r="G491" i="5"/>
  <c r="D491" i="5"/>
  <c r="C491" i="5"/>
  <c r="A491" i="5"/>
  <c r="AN490" i="5"/>
  <c r="AM490" i="5"/>
  <c r="AL490" i="5"/>
  <c r="AK490" i="5"/>
  <c r="AJ490" i="5"/>
  <c r="AI490" i="5"/>
  <c r="M490" i="5"/>
  <c r="L490" i="5"/>
  <c r="K490" i="5"/>
  <c r="J490" i="5"/>
  <c r="I490" i="5"/>
  <c r="H490" i="5"/>
  <c r="E490" i="9" s="1"/>
  <c r="G490" i="5"/>
  <c r="D490" i="5"/>
  <c r="C490" i="5"/>
  <c r="A490" i="5"/>
  <c r="AN489" i="5"/>
  <c r="AM489" i="5"/>
  <c r="AL489" i="5"/>
  <c r="AK489" i="5"/>
  <c r="AJ489" i="5"/>
  <c r="AI489" i="5"/>
  <c r="M489" i="5"/>
  <c r="L489" i="5"/>
  <c r="K489" i="5"/>
  <c r="J489" i="5"/>
  <c r="I489" i="5"/>
  <c r="H489" i="5"/>
  <c r="E489" i="9" s="1"/>
  <c r="G489" i="5"/>
  <c r="D489" i="5"/>
  <c r="C489" i="5"/>
  <c r="A489" i="5"/>
  <c r="AN488" i="5"/>
  <c r="AM488" i="5"/>
  <c r="AL488" i="5"/>
  <c r="AK488" i="5"/>
  <c r="AJ488" i="5"/>
  <c r="AI488" i="5"/>
  <c r="M488" i="5"/>
  <c r="L488" i="5"/>
  <c r="K488" i="5"/>
  <c r="J488" i="5"/>
  <c r="I488" i="5"/>
  <c r="H488" i="5"/>
  <c r="E488" i="9" s="1"/>
  <c r="G488" i="5"/>
  <c r="D488" i="5"/>
  <c r="C488" i="5"/>
  <c r="A488" i="5"/>
  <c r="AN487" i="5"/>
  <c r="AM487" i="5"/>
  <c r="AL487" i="5"/>
  <c r="AK487" i="5"/>
  <c r="AJ487" i="5"/>
  <c r="AI487" i="5"/>
  <c r="M487" i="5"/>
  <c r="L487" i="5"/>
  <c r="K487" i="5"/>
  <c r="J487" i="5"/>
  <c r="I487" i="5"/>
  <c r="H487" i="5"/>
  <c r="E487" i="9" s="1"/>
  <c r="G487" i="5"/>
  <c r="D487" i="5"/>
  <c r="C487" i="5"/>
  <c r="A487" i="5"/>
  <c r="AN486" i="5"/>
  <c r="AM486" i="5"/>
  <c r="AL486" i="5"/>
  <c r="AK486" i="5"/>
  <c r="AJ486" i="5"/>
  <c r="AI486" i="5"/>
  <c r="M486" i="5"/>
  <c r="L486" i="5"/>
  <c r="K486" i="5"/>
  <c r="J486" i="5"/>
  <c r="I486" i="5"/>
  <c r="H486" i="5"/>
  <c r="E486" i="9" s="1"/>
  <c r="G486" i="5"/>
  <c r="D486" i="5"/>
  <c r="C486" i="5"/>
  <c r="A486" i="5"/>
  <c r="AN485" i="5"/>
  <c r="AM485" i="5"/>
  <c r="AL485" i="5"/>
  <c r="AK485" i="5"/>
  <c r="AJ485" i="5"/>
  <c r="AI485" i="5"/>
  <c r="M485" i="5"/>
  <c r="L485" i="5"/>
  <c r="K485" i="5"/>
  <c r="J485" i="5"/>
  <c r="I485" i="5"/>
  <c r="H485" i="5"/>
  <c r="E485" i="9" s="1"/>
  <c r="G485" i="5"/>
  <c r="D485" i="5"/>
  <c r="C485" i="5"/>
  <c r="A485" i="5"/>
  <c r="AN484" i="5"/>
  <c r="AM484" i="5"/>
  <c r="AL484" i="5"/>
  <c r="AK484" i="5"/>
  <c r="AJ484" i="5"/>
  <c r="AI484" i="5"/>
  <c r="M484" i="5"/>
  <c r="L484" i="5"/>
  <c r="K484" i="5"/>
  <c r="J484" i="5"/>
  <c r="I484" i="5"/>
  <c r="H484" i="5"/>
  <c r="E484" i="9" s="1"/>
  <c r="G484" i="5"/>
  <c r="D484" i="5"/>
  <c r="C484" i="5"/>
  <c r="A484" i="5"/>
  <c r="AN483" i="5"/>
  <c r="AM483" i="5"/>
  <c r="AL483" i="5"/>
  <c r="AK483" i="5"/>
  <c r="AJ483" i="5"/>
  <c r="AI483" i="5"/>
  <c r="M483" i="5"/>
  <c r="L483" i="5"/>
  <c r="K483" i="5"/>
  <c r="J483" i="5"/>
  <c r="I483" i="5"/>
  <c r="H483" i="5"/>
  <c r="E483" i="9" s="1"/>
  <c r="G483" i="5"/>
  <c r="D483" i="5"/>
  <c r="C483" i="5"/>
  <c r="A483" i="5"/>
  <c r="AN482" i="5"/>
  <c r="AM482" i="5"/>
  <c r="AL482" i="5"/>
  <c r="AK482" i="5"/>
  <c r="AJ482" i="5"/>
  <c r="AI482" i="5"/>
  <c r="M482" i="5"/>
  <c r="L482" i="5"/>
  <c r="K482" i="5"/>
  <c r="J482" i="5"/>
  <c r="I482" i="5"/>
  <c r="H482" i="5"/>
  <c r="E482" i="9" s="1"/>
  <c r="G482" i="5"/>
  <c r="D482" i="5"/>
  <c r="C482" i="5"/>
  <c r="A482" i="5"/>
  <c r="AN481" i="5"/>
  <c r="AM481" i="5"/>
  <c r="AL481" i="5"/>
  <c r="AK481" i="5"/>
  <c r="AJ481" i="5"/>
  <c r="AI481" i="5"/>
  <c r="M481" i="5"/>
  <c r="L481" i="5"/>
  <c r="K481" i="5"/>
  <c r="J481" i="5"/>
  <c r="I481" i="5"/>
  <c r="H481" i="5"/>
  <c r="E481" i="9" s="1"/>
  <c r="G481" i="5"/>
  <c r="D481" i="5"/>
  <c r="C481" i="5"/>
  <c r="A481" i="5"/>
  <c r="AN480" i="5"/>
  <c r="AM480" i="5"/>
  <c r="AL480" i="5"/>
  <c r="AK480" i="5"/>
  <c r="AJ480" i="5"/>
  <c r="AI480" i="5"/>
  <c r="M480" i="5"/>
  <c r="L480" i="5"/>
  <c r="K480" i="5"/>
  <c r="J480" i="5"/>
  <c r="I480" i="5"/>
  <c r="H480" i="5"/>
  <c r="E480" i="9" s="1"/>
  <c r="G480" i="5"/>
  <c r="D480" i="5"/>
  <c r="C480" i="5"/>
  <c r="A480" i="5"/>
  <c r="AN479" i="5"/>
  <c r="AM479" i="5"/>
  <c r="AL479" i="5"/>
  <c r="AK479" i="5"/>
  <c r="AJ479" i="5"/>
  <c r="AI479" i="5"/>
  <c r="M479" i="5"/>
  <c r="L479" i="5"/>
  <c r="K479" i="5"/>
  <c r="J479" i="5"/>
  <c r="I479" i="5"/>
  <c r="H479" i="5"/>
  <c r="E479" i="9" s="1"/>
  <c r="G479" i="5"/>
  <c r="D479" i="5"/>
  <c r="C479" i="5"/>
  <c r="A479" i="5"/>
  <c r="AN478" i="5"/>
  <c r="AM478" i="5"/>
  <c r="AL478" i="5"/>
  <c r="AK478" i="5"/>
  <c r="AJ478" i="5"/>
  <c r="AI478" i="5"/>
  <c r="M478" i="5"/>
  <c r="L478" i="5"/>
  <c r="K478" i="5"/>
  <c r="J478" i="5"/>
  <c r="I478" i="5"/>
  <c r="H478" i="5"/>
  <c r="E478" i="9" s="1"/>
  <c r="G478" i="5"/>
  <c r="D478" i="5"/>
  <c r="C478" i="5"/>
  <c r="A478" i="5"/>
  <c r="AN477" i="5"/>
  <c r="AM477" i="5"/>
  <c r="AL477" i="5"/>
  <c r="AK477" i="5"/>
  <c r="AJ477" i="5"/>
  <c r="AI477" i="5"/>
  <c r="M477" i="5"/>
  <c r="L477" i="5"/>
  <c r="K477" i="5"/>
  <c r="J477" i="5"/>
  <c r="I477" i="5"/>
  <c r="H477" i="5"/>
  <c r="E477" i="9" s="1"/>
  <c r="G477" i="5"/>
  <c r="D477" i="5"/>
  <c r="C477" i="5"/>
  <c r="A477" i="5"/>
  <c r="AN476" i="5"/>
  <c r="AM476" i="5"/>
  <c r="AL476" i="5"/>
  <c r="AK476" i="5"/>
  <c r="AJ476" i="5"/>
  <c r="AI476" i="5"/>
  <c r="M476" i="5"/>
  <c r="L476" i="5"/>
  <c r="K476" i="5"/>
  <c r="J476" i="5"/>
  <c r="I476" i="5"/>
  <c r="H476" i="5"/>
  <c r="E476" i="9" s="1"/>
  <c r="G476" i="5"/>
  <c r="D476" i="5"/>
  <c r="C476" i="5"/>
  <c r="A476" i="5"/>
  <c r="AN475" i="5"/>
  <c r="AM475" i="5"/>
  <c r="AL475" i="5"/>
  <c r="AK475" i="5"/>
  <c r="AJ475" i="5"/>
  <c r="AI475" i="5"/>
  <c r="M475" i="5"/>
  <c r="L475" i="5"/>
  <c r="K475" i="5"/>
  <c r="J475" i="5"/>
  <c r="I475" i="5"/>
  <c r="H475" i="5"/>
  <c r="E475" i="9" s="1"/>
  <c r="G475" i="5"/>
  <c r="D475" i="5"/>
  <c r="C475" i="5"/>
  <c r="A475" i="5"/>
  <c r="AN474" i="5"/>
  <c r="AM474" i="5"/>
  <c r="AL474" i="5"/>
  <c r="AK474" i="5"/>
  <c r="AJ474" i="5"/>
  <c r="AI474" i="5"/>
  <c r="M474" i="5"/>
  <c r="L474" i="5"/>
  <c r="K474" i="5"/>
  <c r="J474" i="5"/>
  <c r="I474" i="5"/>
  <c r="H474" i="5"/>
  <c r="E474" i="9" s="1"/>
  <c r="G474" i="5"/>
  <c r="D474" i="5"/>
  <c r="C474" i="5"/>
  <c r="A474" i="5"/>
  <c r="AN473" i="5"/>
  <c r="AM473" i="5"/>
  <c r="AL473" i="5"/>
  <c r="AK473" i="5"/>
  <c r="AJ473" i="5"/>
  <c r="AI473" i="5"/>
  <c r="M473" i="5"/>
  <c r="L473" i="5"/>
  <c r="K473" i="5"/>
  <c r="J473" i="5"/>
  <c r="I473" i="5"/>
  <c r="H473" i="5"/>
  <c r="E473" i="9" s="1"/>
  <c r="G473" i="5"/>
  <c r="D473" i="5"/>
  <c r="C473" i="5"/>
  <c r="A473" i="5"/>
  <c r="AN472" i="5"/>
  <c r="AM472" i="5"/>
  <c r="AL472" i="5"/>
  <c r="AK472" i="5"/>
  <c r="AJ472" i="5"/>
  <c r="AI472" i="5"/>
  <c r="M472" i="5"/>
  <c r="L472" i="5"/>
  <c r="K472" i="5"/>
  <c r="J472" i="5"/>
  <c r="I472" i="5"/>
  <c r="H472" i="5"/>
  <c r="E472" i="9" s="1"/>
  <c r="G472" i="5"/>
  <c r="D472" i="5"/>
  <c r="C472" i="5"/>
  <c r="A472" i="5"/>
  <c r="AN471" i="5"/>
  <c r="AM471" i="5"/>
  <c r="AL471" i="5"/>
  <c r="AK471" i="5"/>
  <c r="AJ471" i="5"/>
  <c r="AI471" i="5"/>
  <c r="M471" i="5"/>
  <c r="L471" i="5"/>
  <c r="K471" i="5"/>
  <c r="J471" i="5"/>
  <c r="I471" i="5"/>
  <c r="H471" i="5"/>
  <c r="E471" i="9" s="1"/>
  <c r="G471" i="5"/>
  <c r="D471" i="5"/>
  <c r="C471" i="5"/>
  <c r="A471" i="5"/>
  <c r="AN470" i="5"/>
  <c r="AM470" i="5"/>
  <c r="AL470" i="5"/>
  <c r="AK470" i="5"/>
  <c r="AJ470" i="5"/>
  <c r="AI470" i="5"/>
  <c r="M470" i="5"/>
  <c r="L470" i="5"/>
  <c r="K470" i="5"/>
  <c r="J470" i="5"/>
  <c r="I470" i="5"/>
  <c r="H470" i="5"/>
  <c r="E470" i="9" s="1"/>
  <c r="G470" i="5"/>
  <c r="D470" i="5"/>
  <c r="C470" i="5"/>
  <c r="A470" i="5"/>
  <c r="AN469" i="5"/>
  <c r="AM469" i="5"/>
  <c r="AL469" i="5"/>
  <c r="AK469" i="5"/>
  <c r="AJ469" i="5"/>
  <c r="AI469" i="5"/>
  <c r="M469" i="5"/>
  <c r="L469" i="5"/>
  <c r="K469" i="5"/>
  <c r="J469" i="5"/>
  <c r="I469" i="5"/>
  <c r="H469" i="5"/>
  <c r="E469" i="9" s="1"/>
  <c r="G469" i="5"/>
  <c r="D469" i="5"/>
  <c r="C469" i="5"/>
  <c r="A469" i="5"/>
  <c r="AN468" i="5"/>
  <c r="AM468" i="5"/>
  <c r="AL468" i="5"/>
  <c r="AK468" i="5"/>
  <c r="AJ468" i="5"/>
  <c r="AI468" i="5"/>
  <c r="M468" i="5"/>
  <c r="L468" i="5"/>
  <c r="K468" i="5"/>
  <c r="J468" i="5"/>
  <c r="I468" i="5"/>
  <c r="H468" i="5"/>
  <c r="E468" i="9" s="1"/>
  <c r="G468" i="5"/>
  <c r="D468" i="5"/>
  <c r="C468" i="5"/>
  <c r="A468" i="5"/>
  <c r="AN467" i="5"/>
  <c r="AM467" i="5"/>
  <c r="AL467" i="5"/>
  <c r="AK467" i="5"/>
  <c r="AJ467" i="5"/>
  <c r="AI467" i="5"/>
  <c r="M467" i="5"/>
  <c r="L467" i="5"/>
  <c r="K467" i="5"/>
  <c r="J467" i="5"/>
  <c r="I467" i="5"/>
  <c r="H467" i="5"/>
  <c r="E467" i="9" s="1"/>
  <c r="G467" i="5"/>
  <c r="D467" i="5"/>
  <c r="C467" i="5"/>
  <c r="A467" i="5"/>
  <c r="AN466" i="5"/>
  <c r="AM466" i="5"/>
  <c r="AL466" i="5"/>
  <c r="AK466" i="5"/>
  <c r="AJ466" i="5"/>
  <c r="AI466" i="5"/>
  <c r="M466" i="5"/>
  <c r="L466" i="5"/>
  <c r="K466" i="5"/>
  <c r="J466" i="5"/>
  <c r="I466" i="5"/>
  <c r="H466" i="5"/>
  <c r="E466" i="9" s="1"/>
  <c r="G466" i="5"/>
  <c r="D466" i="5"/>
  <c r="C466" i="5"/>
  <c r="A466" i="5"/>
  <c r="AN465" i="5"/>
  <c r="AM465" i="5"/>
  <c r="AL465" i="5"/>
  <c r="AK465" i="5"/>
  <c r="AJ465" i="5"/>
  <c r="AI465" i="5"/>
  <c r="M465" i="5"/>
  <c r="L465" i="5"/>
  <c r="K465" i="5"/>
  <c r="J465" i="5"/>
  <c r="I465" i="5"/>
  <c r="H465" i="5"/>
  <c r="E465" i="9" s="1"/>
  <c r="G465" i="5"/>
  <c r="D465" i="5"/>
  <c r="C465" i="5"/>
  <c r="A465" i="5"/>
  <c r="AN464" i="5"/>
  <c r="AM464" i="5"/>
  <c r="AL464" i="5"/>
  <c r="AK464" i="5"/>
  <c r="AJ464" i="5"/>
  <c r="AI464" i="5"/>
  <c r="M464" i="5"/>
  <c r="L464" i="5"/>
  <c r="K464" i="5"/>
  <c r="J464" i="5"/>
  <c r="I464" i="5"/>
  <c r="H464" i="5"/>
  <c r="E464" i="9" s="1"/>
  <c r="G464" i="5"/>
  <c r="D464" i="5"/>
  <c r="C464" i="5"/>
  <c r="A464" i="5"/>
  <c r="AN463" i="5"/>
  <c r="AM463" i="5"/>
  <c r="AL463" i="5"/>
  <c r="AK463" i="5"/>
  <c r="AJ463" i="5"/>
  <c r="AI463" i="5"/>
  <c r="M463" i="5"/>
  <c r="L463" i="5"/>
  <c r="K463" i="5"/>
  <c r="J463" i="5"/>
  <c r="I463" i="5"/>
  <c r="H463" i="5"/>
  <c r="E463" i="9" s="1"/>
  <c r="G463" i="5"/>
  <c r="D463" i="5"/>
  <c r="C463" i="5"/>
  <c r="A463" i="5"/>
  <c r="AN462" i="5"/>
  <c r="AM462" i="5"/>
  <c r="AL462" i="5"/>
  <c r="AK462" i="5"/>
  <c r="AJ462" i="5"/>
  <c r="AI462" i="5"/>
  <c r="M462" i="5"/>
  <c r="L462" i="5"/>
  <c r="K462" i="5"/>
  <c r="J462" i="5"/>
  <c r="I462" i="5"/>
  <c r="H462" i="5"/>
  <c r="E462" i="9" s="1"/>
  <c r="G462" i="5"/>
  <c r="D462" i="5"/>
  <c r="C462" i="5"/>
  <c r="A462" i="5"/>
  <c r="AN461" i="5"/>
  <c r="AM461" i="5"/>
  <c r="AL461" i="5"/>
  <c r="AK461" i="5"/>
  <c r="AJ461" i="5"/>
  <c r="AI461" i="5"/>
  <c r="M461" i="5"/>
  <c r="L461" i="5"/>
  <c r="K461" i="5"/>
  <c r="J461" i="5"/>
  <c r="I461" i="5"/>
  <c r="H461" i="5"/>
  <c r="E461" i="9" s="1"/>
  <c r="G461" i="5"/>
  <c r="D461" i="5"/>
  <c r="C461" i="5"/>
  <c r="A461" i="5"/>
  <c r="AN460" i="5"/>
  <c r="AM460" i="5"/>
  <c r="AL460" i="5"/>
  <c r="AK460" i="5"/>
  <c r="AJ460" i="5"/>
  <c r="AI460" i="5"/>
  <c r="M460" i="5"/>
  <c r="L460" i="5"/>
  <c r="K460" i="5"/>
  <c r="J460" i="5"/>
  <c r="I460" i="5"/>
  <c r="H460" i="5"/>
  <c r="E460" i="9" s="1"/>
  <c r="G460" i="5"/>
  <c r="D460" i="5"/>
  <c r="C460" i="5"/>
  <c r="A460" i="5"/>
  <c r="AN459" i="5"/>
  <c r="AM459" i="5"/>
  <c r="AL459" i="5"/>
  <c r="AK459" i="5"/>
  <c r="AJ459" i="5"/>
  <c r="AI459" i="5"/>
  <c r="M459" i="5"/>
  <c r="L459" i="5"/>
  <c r="K459" i="5"/>
  <c r="J459" i="5"/>
  <c r="I459" i="5"/>
  <c r="H459" i="5"/>
  <c r="E459" i="9" s="1"/>
  <c r="G459" i="5"/>
  <c r="D459" i="5"/>
  <c r="C459" i="5"/>
  <c r="A459" i="5"/>
  <c r="AN458" i="5"/>
  <c r="AM458" i="5"/>
  <c r="AL458" i="5"/>
  <c r="AK458" i="5"/>
  <c r="AJ458" i="5"/>
  <c r="AI458" i="5"/>
  <c r="M458" i="5"/>
  <c r="L458" i="5"/>
  <c r="K458" i="5"/>
  <c r="J458" i="5"/>
  <c r="I458" i="5"/>
  <c r="H458" i="5"/>
  <c r="E458" i="9" s="1"/>
  <c r="G458" i="5"/>
  <c r="D458" i="5"/>
  <c r="C458" i="5"/>
  <c r="A458" i="5"/>
  <c r="AN457" i="5"/>
  <c r="AM457" i="5"/>
  <c r="AL457" i="5"/>
  <c r="AK457" i="5"/>
  <c r="AJ457" i="5"/>
  <c r="AI457" i="5"/>
  <c r="M457" i="5"/>
  <c r="L457" i="5"/>
  <c r="K457" i="5"/>
  <c r="J457" i="5"/>
  <c r="I457" i="5"/>
  <c r="H457" i="5"/>
  <c r="E457" i="9" s="1"/>
  <c r="G457" i="5"/>
  <c r="D457" i="5"/>
  <c r="C457" i="5"/>
  <c r="A457" i="5"/>
  <c r="AN456" i="5"/>
  <c r="AM456" i="5"/>
  <c r="AL456" i="5"/>
  <c r="AK456" i="5"/>
  <c r="AJ456" i="5"/>
  <c r="AI456" i="5"/>
  <c r="M456" i="5"/>
  <c r="L456" i="5"/>
  <c r="K456" i="5"/>
  <c r="J456" i="5"/>
  <c r="I456" i="5"/>
  <c r="H456" i="5"/>
  <c r="E456" i="9" s="1"/>
  <c r="G456" i="5"/>
  <c r="D456" i="5"/>
  <c r="C456" i="5"/>
  <c r="A456" i="5"/>
  <c r="AN455" i="5"/>
  <c r="AM455" i="5"/>
  <c r="AL455" i="5"/>
  <c r="AK455" i="5"/>
  <c r="AJ455" i="5"/>
  <c r="AI455" i="5"/>
  <c r="M455" i="5"/>
  <c r="L455" i="5"/>
  <c r="K455" i="5"/>
  <c r="J455" i="5"/>
  <c r="I455" i="5"/>
  <c r="H455" i="5"/>
  <c r="E455" i="9" s="1"/>
  <c r="G455" i="5"/>
  <c r="D455" i="5"/>
  <c r="C455" i="5"/>
  <c r="A455" i="5"/>
  <c r="AN454" i="5"/>
  <c r="AM454" i="5"/>
  <c r="AL454" i="5"/>
  <c r="AK454" i="5"/>
  <c r="AJ454" i="5"/>
  <c r="AI454" i="5"/>
  <c r="M454" i="5"/>
  <c r="L454" i="5"/>
  <c r="K454" i="5"/>
  <c r="J454" i="5"/>
  <c r="I454" i="5"/>
  <c r="H454" i="5"/>
  <c r="E454" i="9" s="1"/>
  <c r="G454" i="5"/>
  <c r="D454" i="5"/>
  <c r="C454" i="5"/>
  <c r="A454" i="5"/>
  <c r="AN453" i="5"/>
  <c r="AM453" i="5"/>
  <c r="AL453" i="5"/>
  <c r="AK453" i="5"/>
  <c r="AJ453" i="5"/>
  <c r="AI453" i="5"/>
  <c r="M453" i="5"/>
  <c r="L453" i="5"/>
  <c r="K453" i="5"/>
  <c r="J453" i="5"/>
  <c r="I453" i="5"/>
  <c r="H453" i="5"/>
  <c r="E453" i="9" s="1"/>
  <c r="G453" i="5"/>
  <c r="D453" i="5"/>
  <c r="C453" i="5"/>
  <c r="A453" i="5"/>
  <c r="AN452" i="5"/>
  <c r="AM452" i="5"/>
  <c r="AL452" i="5"/>
  <c r="AK452" i="5"/>
  <c r="AJ452" i="5"/>
  <c r="AI452" i="5"/>
  <c r="M452" i="5"/>
  <c r="L452" i="5"/>
  <c r="K452" i="5"/>
  <c r="J452" i="5"/>
  <c r="I452" i="5"/>
  <c r="H452" i="5"/>
  <c r="E452" i="9" s="1"/>
  <c r="G452" i="5"/>
  <c r="D452" i="5"/>
  <c r="C452" i="5"/>
  <c r="A452" i="5"/>
  <c r="AN451" i="5"/>
  <c r="AM451" i="5"/>
  <c r="AL451" i="5"/>
  <c r="AK451" i="5"/>
  <c r="AJ451" i="5"/>
  <c r="AI451" i="5"/>
  <c r="M451" i="5"/>
  <c r="L451" i="5"/>
  <c r="K451" i="5"/>
  <c r="J451" i="5"/>
  <c r="I451" i="5"/>
  <c r="H451" i="5"/>
  <c r="E451" i="9" s="1"/>
  <c r="G451" i="5"/>
  <c r="D451" i="5"/>
  <c r="C451" i="5"/>
  <c r="A451" i="5"/>
  <c r="AN450" i="5"/>
  <c r="AM450" i="5"/>
  <c r="AL450" i="5"/>
  <c r="AK450" i="5"/>
  <c r="AJ450" i="5"/>
  <c r="AI450" i="5"/>
  <c r="M450" i="5"/>
  <c r="L450" i="5"/>
  <c r="K450" i="5"/>
  <c r="J450" i="5"/>
  <c r="I450" i="5"/>
  <c r="H450" i="5"/>
  <c r="E450" i="9" s="1"/>
  <c r="G450" i="5"/>
  <c r="D450" i="5"/>
  <c r="C450" i="5"/>
  <c r="A450" i="5"/>
  <c r="AN449" i="5"/>
  <c r="AM449" i="5"/>
  <c r="AL449" i="5"/>
  <c r="AK449" i="5"/>
  <c r="AJ449" i="5"/>
  <c r="AI449" i="5"/>
  <c r="M449" i="5"/>
  <c r="L449" i="5"/>
  <c r="K449" i="5"/>
  <c r="J449" i="5"/>
  <c r="I449" i="5"/>
  <c r="H449" i="5"/>
  <c r="E449" i="9" s="1"/>
  <c r="G449" i="5"/>
  <c r="D449" i="5"/>
  <c r="C449" i="5"/>
  <c r="A449" i="5"/>
  <c r="AN448" i="5"/>
  <c r="AM448" i="5"/>
  <c r="AL448" i="5"/>
  <c r="AK448" i="5"/>
  <c r="AJ448" i="5"/>
  <c r="AI448" i="5"/>
  <c r="M448" i="5"/>
  <c r="L448" i="5"/>
  <c r="K448" i="5"/>
  <c r="J448" i="5"/>
  <c r="I448" i="5"/>
  <c r="H448" i="5"/>
  <c r="E448" i="9" s="1"/>
  <c r="G448" i="5"/>
  <c r="D448" i="5"/>
  <c r="C448" i="5"/>
  <c r="A448" i="5"/>
  <c r="AN447" i="5"/>
  <c r="AM447" i="5"/>
  <c r="AL447" i="5"/>
  <c r="AK447" i="5"/>
  <c r="AJ447" i="5"/>
  <c r="AI447" i="5"/>
  <c r="M447" i="5"/>
  <c r="L447" i="5"/>
  <c r="K447" i="5"/>
  <c r="J447" i="5"/>
  <c r="I447" i="5"/>
  <c r="H447" i="5"/>
  <c r="E447" i="9" s="1"/>
  <c r="G447" i="5"/>
  <c r="D447" i="5"/>
  <c r="C447" i="5"/>
  <c r="A447" i="5"/>
  <c r="AN446" i="5"/>
  <c r="AM446" i="5"/>
  <c r="AL446" i="5"/>
  <c r="AK446" i="5"/>
  <c r="AJ446" i="5"/>
  <c r="AI446" i="5"/>
  <c r="M446" i="5"/>
  <c r="L446" i="5"/>
  <c r="K446" i="5"/>
  <c r="J446" i="5"/>
  <c r="I446" i="5"/>
  <c r="H446" i="5"/>
  <c r="E446" i="9" s="1"/>
  <c r="G446" i="5"/>
  <c r="D446" i="5"/>
  <c r="C446" i="5"/>
  <c r="A446" i="5"/>
  <c r="AN445" i="5"/>
  <c r="AM445" i="5"/>
  <c r="AL445" i="5"/>
  <c r="AK445" i="5"/>
  <c r="AJ445" i="5"/>
  <c r="AI445" i="5"/>
  <c r="M445" i="5"/>
  <c r="L445" i="5"/>
  <c r="K445" i="5"/>
  <c r="J445" i="5"/>
  <c r="I445" i="5"/>
  <c r="H445" i="5"/>
  <c r="E445" i="9" s="1"/>
  <c r="G445" i="5"/>
  <c r="D445" i="5"/>
  <c r="C445" i="5"/>
  <c r="A445" i="5"/>
  <c r="AN444" i="5"/>
  <c r="AM444" i="5"/>
  <c r="AL444" i="5"/>
  <c r="AK444" i="5"/>
  <c r="AJ444" i="5"/>
  <c r="AI444" i="5"/>
  <c r="M444" i="5"/>
  <c r="L444" i="5"/>
  <c r="K444" i="5"/>
  <c r="J444" i="5"/>
  <c r="I444" i="5"/>
  <c r="H444" i="5"/>
  <c r="E444" i="9" s="1"/>
  <c r="G444" i="5"/>
  <c r="D444" i="5"/>
  <c r="C444" i="5"/>
  <c r="A444" i="5"/>
  <c r="AN443" i="5"/>
  <c r="AM443" i="5"/>
  <c r="AL443" i="5"/>
  <c r="AK443" i="5"/>
  <c r="AJ443" i="5"/>
  <c r="AI443" i="5"/>
  <c r="M443" i="5"/>
  <c r="L443" i="5"/>
  <c r="K443" i="5"/>
  <c r="J443" i="5"/>
  <c r="I443" i="5"/>
  <c r="H443" i="5"/>
  <c r="E443" i="9" s="1"/>
  <c r="G443" i="5"/>
  <c r="D443" i="5"/>
  <c r="C443" i="5"/>
  <c r="A443" i="5"/>
  <c r="AN442" i="5"/>
  <c r="AM442" i="5"/>
  <c r="AL442" i="5"/>
  <c r="AK442" i="5"/>
  <c r="AJ442" i="5"/>
  <c r="AI442" i="5"/>
  <c r="M442" i="5"/>
  <c r="L442" i="5"/>
  <c r="K442" i="5"/>
  <c r="J442" i="5"/>
  <c r="I442" i="5"/>
  <c r="H442" i="5"/>
  <c r="E442" i="9" s="1"/>
  <c r="G442" i="5"/>
  <c r="D442" i="5"/>
  <c r="C442" i="5"/>
  <c r="A442" i="5"/>
  <c r="AN441" i="5"/>
  <c r="AM441" i="5"/>
  <c r="AL441" i="5"/>
  <c r="AK441" i="5"/>
  <c r="AJ441" i="5"/>
  <c r="AI441" i="5"/>
  <c r="M441" i="5"/>
  <c r="L441" i="5"/>
  <c r="K441" i="5"/>
  <c r="J441" i="5"/>
  <c r="I441" i="5"/>
  <c r="H441" i="5"/>
  <c r="E441" i="9" s="1"/>
  <c r="G441" i="5"/>
  <c r="D441" i="5"/>
  <c r="C441" i="5"/>
  <c r="A441" i="5"/>
  <c r="AN440" i="5"/>
  <c r="AM440" i="5"/>
  <c r="AL440" i="5"/>
  <c r="AK440" i="5"/>
  <c r="AJ440" i="5"/>
  <c r="AI440" i="5"/>
  <c r="M440" i="5"/>
  <c r="L440" i="5"/>
  <c r="K440" i="5"/>
  <c r="J440" i="5"/>
  <c r="I440" i="5"/>
  <c r="H440" i="5"/>
  <c r="E440" i="9" s="1"/>
  <c r="G440" i="5"/>
  <c r="D440" i="5"/>
  <c r="C440" i="5"/>
  <c r="A440" i="5"/>
  <c r="AN439" i="5"/>
  <c r="AM439" i="5"/>
  <c r="AL439" i="5"/>
  <c r="AK439" i="5"/>
  <c r="AJ439" i="5"/>
  <c r="AI439" i="5"/>
  <c r="M439" i="5"/>
  <c r="L439" i="5"/>
  <c r="K439" i="5"/>
  <c r="J439" i="5"/>
  <c r="I439" i="5"/>
  <c r="H439" i="5"/>
  <c r="E439" i="9" s="1"/>
  <c r="G439" i="5"/>
  <c r="D439" i="5"/>
  <c r="C439" i="5"/>
  <c r="A439" i="5"/>
  <c r="AN438" i="5"/>
  <c r="AM438" i="5"/>
  <c r="AL438" i="5"/>
  <c r="AK438" i="5"/>
  <c r="AJ438" i="5"/>
  <c r="AI438" i="5"/>
  <c r="M438" i="5"/>
  <c r="L438" i="5"/>
  <c r="K438" i="5"/>
  <c r="J438" i="5"/>
  <c r="I438" i="5"/>
  <c r="H438" i="5"/>
  <c r="E438" i="9" s="1"/>
  <c r="G438" i="5"/>
  <c r="D438" i="5"/>
  <c r="C438" i="5"/>
  <c r="A438" i="5"/>
  <c r="AN437" i="5"/>
  <c r="AM437" i="5"/>
  <c r="AL437" i="5"/>
  <c r="AK437" i="5"/>
  <c r="AJ437" i="5"/>
  <c r="AI437" i="5"/>
  <c r="M437" i="5"/>
  <c r="L437" i="5"/>
  <c r="K437" i="5"/>
  <c r="J437" i="5"/>
  <c r="I437" i="5"/>
  <c r="H437" i="5"/>
  <c r="E437" i="9" s="1"/>
  <c r="G437" i="5"/>
  <c r="D437" i="5"/>
  <c r="C437" i="5"/>
  <c r="A437" i="5"/>
  <c r="AN436" i="5"/>
  <c r="AM436" i="5"/>
  <c r="AL436" i="5"/>
  <c r="AK436" i="5"/>
  <c r="AJ436" i="5"/>
  <c r="AI436" i="5"/>
  <c r="M436" i="5"/>
  <c r="L436" i="5"/>
  <c r="K436" i="5"/>
  <c r="J436" i="5"/>
  <c r="I436" i="5"/>
  <c r="H436" i="5"/>
  <c r="E436" i="9" s="1"/>
  <c r="G436" i="5"/>
  <c r="D436" i="5"/>
  <c r="C436" i="5"/>
  <c r="A436" i="5"/>
  <c r="AN435" i="5"/>
  <c r="AM435" i="5"/>
  <c r="AL435" i="5"/>
  <c r="AK435" i="5"/>
  <c r="AJ435" i="5"/>
  <c r="AI435" i="5"/>
  <c r="M435" i="5"/>
  <c r="L435" i="5"/>
  <c r="K435" i="5"/>
  <c r="J435" i="5"/>
  <c r="I435" i="5"/>
  <c r="H435" i="5"/>
  <c r="E435" i="9" s="1"/>
  <c r="G435" i="5"/>
  <c r="D435" i="5"/>
  <c r="C435" i="5"/>
  <c r="A435" i="5"/>
  <c r="AN434" i="5"/>
  <c r="AM434" i="5"/>
  <c r="AL434" i="5"/>
  <c r="AK434" i="5"/>
  <c r="AJ434" i="5"/>
  <c r="AI434" i="5"/>
  <c r="M434" i="5"/>
  <c r="L434" i="5"/>
  <c r="K434" i="5"/>
  <c r="J434" i="5"/>
  <c r="I434" i="5"/>
  <c r="H434" i="5"/>
  <c r="E434" i="9" s="1"/>
  <c r="G434" i="5"/>
  <c r="D434" i="5"/>
  <c r="C434" i="5"/>
  <c r="A434" i="5"/>
  <c r="AN433" i="5"/>
  <c r="AM433" i="5"/>
  <c r="AL433" i="5"/>
  <c r="AK433" i="5"/>
  <c r="AJ433" i="5"/>
  <c r="AI433" i="5"/>
  <c r="M433" i="5"/>
  <c r="L433" i="5"/>
  <c r="K433" i="5"/>
  <c r="J433" i="5"/>
  <c r="I433" i="5"/>
  <c r="H433" i="5"/>
  <c r="E433" i="9" s="1"/>
  <c r="G433" i="5"/>
  <c r="D433" i="5"/>
  <c r="C433" i="5"/>
  <c r="A433" i="5"/>
  <c r="AN432" i="5"/>
  <c r="AM432" i="5"/>
  <c r="AL432" i="5"/>
  <c r="AK432" i="5"/>
  <c r="AJ432" i="5"/>
  <c r="AI432" i="5"/>
  <c r="M432" i="5"/>
  <c r="L432" i="5"/>
  <c r="K432" i="5"/>
  <c r="J432" i="5"/>
  <c r="I432" i="5"/>
  <c r="H432" i="5"/>
  <c r="E432" i="9" s="1"/>
  <c r="G432" i="5"/>
  <c r="D432" i="5"/>
  <c r="C432" i="5"/>
  <c r="A432" i="5"/>
  <c r="AN431" i="5"/>
  <c r="AM431" i="5"/>
  <c r="AL431" i="5"/>
  <c r="AK431" i="5"/>
  <c r="AJ431" i="5"/>
  <c r="AI431" i="5"/>
  <c r="M431" i="5"/>
  <c r="L431" i="5"/>
  <c r="K431" i="5"/>
  <c r="J431" i="5"/>
  <c r="I431" i="5"/>
  <c r="H431" i="5"/>
  <c r="E431" i="9" s="1"/>
  <c r="G431" i="5"/>
  <c r="D431" i="5"/>
  <c r="C431" i="5"/>
  <c r="A431" i="5"/>
  <c r="AN430" i="5"/>
  <c r="AM430" i="5"/>
  <c r="AL430" i="5"/>
  <c r="AK430" i="5"/>
  <c r="AJ430" i="5"/>
  <c r="AI430" i="5"/>
  <c r="M430" i="5"/>
  <c r="L430" i="5"/>
  <c r="K430" i="5"/>
  <c r="J430" i="5"/>
  <c r="I430" i="5"/>
  <c r="H430" i="5"/>
  <c r="E430" i="9" s="1"/>
  <c r="G430" i="5"/>
  <c r="D430" i="5"/>
  <c r="C430" i="5"/>
  <c r="A430" i="5"/>
  <c r="AN429" i="5"/>
  <c r="AM429" i="5"/>
  <c r="AL429" i="5"/>
  <c r="AK429" i="5"/>
  <c r="AJ429" i="5"/>
  <c r="AI429" i="5"/>
  <c r="M429" i="5"/>
  <c r="L429" i="5"/>
  <c r="K429" i="5"/>
  <c r="J429" i="5"/>
  <c r="I429" i="5"/>
  <c r="H429" i="5"/>
  <c r="E429" i="9" s="1"/>
  <c r="G429" i="5"/>
  <c r="D429" i="5"/>
  <c r="C429" i="5"/>
  <c r="A429" i="5"/>
  <c r="AN428" i="5"/>
  <c r="AM428" i="5"/>
  <c r="AL428" i="5"/>
  <c r="AK428" i="5"/>
  <c r="AJ428" i="5"/>
  <c r="AI428" i="5"/>
  <c r="M428" i="5"/>
  <c r="L428" i="5"/>
  <c r="K428" i="5"/>
  <c r="J428" i="5"/>
  <c r="I428" i="5"/>
  <c r="H428" i="5"/>
  <c r="E428" i="9" s="1"/>
  <c r="G428" i="5"/>
  <c r="D428" i="5"/>
  <c r="C428" i="5"/>
  <c r="A428" i="5"/>
  <c r="AN427" i="5"/>
  <c r="AM427" i="5"/>
  <c r="AL427" i="5"/>
  <c r="AK427" i="5"/>
  <c r="AJ427" i="5"/>
  <c r="AI427" i="5"/>
  <c r="M427" i="5"/>
  <c r="L427" i="5"/>
  <c r="K427" i="5"/>
  <c r="J427" i="5"/>
  <c r="I427" i="5"/>
  <c r="H427" i="5"/>
  <c r="E427" i="9" s="1"/>
  <c r="G427" i="5"/>
  <c r="D427" i="5"/>
  <c r="C427" i="5"/>
  <c r="A427" i="5"/>
  <c r="AN426" i="5"/>
  <c r="AM426" i="5"/>
  <c r="AL426" i="5"/>
  <c r="AK426" i="5"/>
  <c r="AJ426" i="5"/>
  <c r="AI426" i="5"/>
  <c r="M426" i="5"/>
  <c r="L426" i="5"/>
  <c r="K426" i="5"/>
  <c r="J426" i="5"/>
  <c r="I426" i="5"/>
  <c r="H426" i="5"/>
  <c r="E426" i="9" s="1"/>
  <c r="G426" i="5"/>
  <c r="D426" i="5"/>
  <c r="C426" i="5"/>
  <c r="A426" i="5"/>
  <c r="AN425" i="5"/>
  <c r="AM425" i="5"/>
  <c r="AL425" i="5"/>
  <c r="AK425" i="5"/>
  <c r="AJ425" i="5"/>
  <c r="AI425" i="5"/>
  <c r="M425" i="5"/>
  <c r="L425" i="5"/>
  <c r="K425" i="5"/>
  <c r="J425" i="5"/>
  <c r="I425" i="5"/>
  <c r="H425" i="5"/>
  <c r="E425" i="9" s="1"/>
  <c r="G425" i="5"/>
  <c r="D425" i="5"/>
  <c r="C425" i="5"/>
  <c r="A425" i="5"/>
  <c r="AN424" i="5"/>
  <c r="AM424" i="5"/>
  <c r="AL424" i="5"/>
  <c r="AK424" i="5"/>
  <c r="AJ424" i="5"/>
  <c r="AI424" i="5"/>
  <c r="M424" i="5"/>
  <c r="L424" i="5"/>
  <c r="K424" i="5"/>
  <c r="J424" i="5"/>
  <c r="I424" i="5"/>
  <c r="H424" i="5"/>
  <c r="E424" i="9" s="1"/>
  <c r="G424" i="5"/>
  <c r="D424" i="5"/>
  <c r="C424" i="5"/>
  <c r="A424" i="5"/>
  <c r="AN423" i="5"/>
  <c r="AM423" i="5"/>
  <c r="AL423" i="5"/>
  <c r="AK423" i="5"/>
  <c r="AJ423" i="5"/>
  <c r="AI423" i="5"/>
  <c r="M423" i="5"/>
  <c r="L423" i="5"/>
  <c r="K423" i="5"/>
  <c r="J423" i="5"/>
  <c r="I423" i="5"/>
  <c r="H423" i="5"/>
  <c r="E423" i="9" s="1"/>
  <c r="G423" i="5"/>
  <c r="D423" i="5"/>
  <c r="C423" i="5"/>
  <c r="A423" i="5"/>
  <c r="AN422" i="5"/>
  <c r="AM422" i="5"/>
  <c r="AL422" i="5"/>
  <c r="AK422" i="5"/>
  <c r="AJ422" i="5"/>
  <c r="AI422" i="5"/>
  <c r="M422" i="5"/>
  <c r="L422" i="5"/>
  <c r="K422" i="5"/>
  <c r="J422" i="5"/>
  <c r="I422" i="5"/>
  <c r="H422" i="5"/>
  <c r="E422" i="9" s="1"/>
  <c r="G422" i="5"/>
  <c r="D422" i="5"/>
  <c r="C422" i="5"/>
  <c r="A422" i="5"/>
  <c r="AN421" i="5"/>
  <c r="AM421" i="5"/>
  <c r="AL421" i="5"/>
  <c r="AK421" i="5"/>
  <c r="AJ421" i="5"/>
  <c r="AI421" i="5"/>
  <c r="M421" i="5"/>
  <c r="L421" i="5"/>
  <c r="K421" i="5"/>
  <c r="J421" i="5"/>
  <c r="I421" i="5"/>
  <c r="H421" i="5"/>
  <c r="E421" i="9" s="1"/>
  <c r="G421" i="5"/>
  <c r="D421" i="5"/>
  <c r="C421" i="5"/>
  <c r="A421" i="5"/>
  <c r="AN420" i="5"/>
  <c r="AM420" i="5"/>
  <c r="AL420" i="5"/>
  <c r="AK420" i="5"/>
  <c r="AJ420" i="5"/>
  <c r="AI420" i="5"/>
  <c r="M420" i="5"/>
  <c r="L420" i="5"/>
  <c r="K420" i="5"/>
  <c r="J420" i="5"/>
  <c r="I420" i="5"/>
  <c r="H420" i="5"/>
  <c r="E420" i="9" s="1"/>
  <c r="G420" i="5"/>
  <c r="D420" i="5"/>
  <c r="C420" i="5"/>
  <c r="A420" i="5"/>
  <c r="AN419" i="5"/>
  <c r="AM419" i="5"/>
  <c r="AL419" i="5"/>
  <c r="AK419" i="5"/>
  <c r="AJ419" i="5"/>
  <c r="AI419" i="5"/>
  <c r="M419" i="5"/>
  <c r="L419" i="5"/>
  <c r="K419" i="5"/>
  <c r="J419" i="5"/>
  <c r="I419" i="5"/>
  <c r="H419" i="5"/>
  <c r="E419" i="9" s="1"/>
  <c r="G419" i="5"/>
  <c r="D419" i="5"/>
  <c r="C419" i="5"/>
  <c r="A419" i="5"/>
  <c r="AN418" i="5"/>
  <c r="AM418" i="5"/>
  <c r="AL418" i="5"/>
  <c r="AK418" i="5"/>
  <c r="AJ418" i="5"/>
  <c r="AI418" i="5"/>
  <c r="M418" i="5"/>
  <c r="L418" i="5"/>
  <c r="K418" i="5"/>
  <c r="J418" i="5"/>
  <c r="I418" i="5"/>
  <c r="H418" i="5"/>
  <c r="E418" i="9" s="1"/>
  <c r="G418" i="5"/>
  <c r="D418" i="5"/>
  <c r="C418" i="5"/>
  <c r="A418" i="5"/>
  <c r="AN417" i="5"/>
  <c r="AM417" i="5"/>
  <c r="AL417" i="5"/>
  <c r="AK417" i="5"/>
  <c r="AJ417" i="5"/>
  <c r="AI417" i="5"/>
  <c r="M417" i="5"/>
  <c r="L417" i="5"/>
  <c r="K417" i="5"/>
  <c r="J417" i="5"/>
  <c r="I417" i="5"/>
  <c r="H417" i="5"/>
  <c r="E417" i="9" s="1"/>
  <c r="G417" i="5"/>
  <c r="D417" i="5"/>
  <c r="C417" i="5"/>
  <c r="A417" i="5"/>
  <c r="AN416" i="5"/>
  <c r="AM416" i="5"/>
  <c r="AL416" i="5"/>
  <c r="AK416" i="5"/>
  <c r="AJ416" i="5"/>
  <c r="AI416" i="5"/>
  <c r="M416" i="5"/>
  <c r="L416" i="5"/>
  <c r="K416" i="5"/>
  <c r="J416" i="5"/>
  <c r="I416" i="5"/>
  <c r="H416" i="5"/>
  <c r="E416" i="9" s="1"/>
  <c r="G416" i="5"/>
  <c r="D416" i="5"/>
  <c r="C416" i="5"/>
  <c r="A416" i="5"/>
  <c r="AN415" i="5"/>
  <c r="AM415" i="5"/>
  <c r="AL415" i="5"/>
  <c r="AK415" i="5"/>
  <c r="AJ415" i="5"/>
  <c r="AI415" i="5"/>
  <c r="M415" i="5"/>
  <c r="L415" i="5"/>
  <c r="K415" i="5"/>
  <c r="J415" i="5"/>
  <c r="I415" i="5"/>
  <c r="H415" i="5"/>
  <c r="E415" i="9" s="1"/>
  <c r="G415" i="5"/>
  <c r="D415" i="5"/>
  <c r="C415" i="5"/>
  <c r="A415" i="5"/>
  <c r="AN414" i="5"/>
  <c r="AM414" i="5"/>
  <c r="AL414" i="5"/>
  <c r="AK414" i="5"/>
  <c r="AJ414" i="5"/>
  <c r="AI414" i="5"/>
  <c r="M414" i="5"/>
  <c r="L414" i="5"/>
  <c r="K414" i="5"/>
  <c r="J414" i="5"/>
  <c r="I414" i="5"/>
  <c r="H414" i="5"/>
  <c r="E414" i="9" s="1"/>
  <c r="G414" i="5"/>
  <c r="D414" i="5"/>
  <c r="C414" i="5"/>
  <c r="A414" i="5"/>
  <c r="AN413" i="5"/>
  <c r="AM413" i="5"/>
  <c r="AL413" i="5"/>
  <c r="AK413" i="5"/>
  <c r="AJ413" i="5"/>
  <c r="AI413" i="5"/>
  <c r="M413" i="5"/>
  <c r="L413" i="5"/>
  <c r="K413" i="5"/>
  <c r="J413" i="5"/>
  <c r="I413" i="5"/>
  <c r="H413" i="5"/>
  <c r="E413" i="9" s="1"/>
  <c r="G413" i="5"/>
  <c r="D413" i="5"/>
  <c r="C413" i="5"/>
  <c r="A413" i="5"/>
  <c r="AN412" i="5"/>
  <c r="AM412" i="5"/>
  <c r="AL412" i="5"/>
  <c r="AK412" i="5"/>
  <c r="AJ412" i="5"/>
  <c r="AI412" i="5"/>
  <c r="M412" i="5"/>
  <c r="L412" i="5"/>
  <c r="K412" i="5"/>
  <c r="J412" i="5"/>
  <c r="I412" i="5"/>
  <c r="H412" i="5"/>
  <c r="E412" i="9" s="1"/>
  <c r="G412" i="5"/>
  <c r="D412" i="5"/>
  <c r="C412" i="5"/>
  <c r="A412" i="5"/>
  <c r="AN411" i="5"/>
  <c r="AM411" i="5"/>
  <c r="AL411" i="5"/>
  <c r="AK411" i="5"/>
  <c r="AJ411" i="5"/>
  <c r="AI411" i="5"/>
  <c r="M411" i="5"/>
  <c r="L411" i="5"/>
  <c r="K411" i="5"/>
  <c r="J411" i="5"/>
  <c r="I411" i="5"/>
  <c r="H411" i="5"/>
  <c r="E411" i="9" s="1"/>
  <c r="G411" i="5"/>
  <c r="D411" i="5"/>
  <c r="C411" i="5"/>
  <c r="A411" i="5"/>
  <c r="AN410" i="5"/>
  <c r="AM410" i="5"/>
  <c r="AL410" i="5"/>
  <c r="AK410" i="5"/>
  <c r="AJ410" i="5"/>
  <c r="AI410" i="5"/>
  <c r="M410" i="5"/>
  <c r="L410" i="5"/>
  <c r="K410" i="5"/>
  <c r="J410" i="5"/>
  <c r="I410" i="5"/>
  <c r="H410" i="5"/>
  <c r="E410" i="9" s="1"/>
  <c r="G410" i="5"/>
  <c r="D410" i="5"/>
  <c r="C410" i="5"/>
  <c r="A410" i="5"/>
  <c r="AN409" i="5"/>
  <c r="AM409" i="5"/>
  <c r="AL409" i="5"/>
  <c r="AK409" i="5"/>
  <c r="AJ409" i="5"/>
  <c r="AI409" i="5"/>
  <c r="M409" i="5"/>
  <c r="L409" i="5"/>
  <c r="K409" i="5"/>
  <c r="J409" i="5"/>
  <c r="I409" i="5"/>
  <c r="H409" i="5"/>
  <c r="E409" i="9" s="1"/>
  <c r="G409" i="5"/>
  <c r="D409" i="5"/>
  <c r="C409" i="5"/>
  <c r="A409" i="5"/>
  <c r="AN408" i="5"/>
  <c r="AM408" i="5"/>
  <c r="AL408" i="5"/>
  <c r="AK408" i="5"/>
  <c r="AJ408" i="5"/>
  <c r="AI408" i="5"/>
  <c r="M408" i="5"/>
  <c r="L408" i="5"/>
  <c r="K408" i="5"/>
  <c r="J408" i="5"/>
  <c r="I408" i="5"/>
  <c r="H408" i="5"/>
  <c r="E408" i="9" s="1"/>
  <c r="G408" i="5"/>
  <c r="D408" i="5"/>
  <c r="C408" i="5"/>
  <c r="A408" i="5"/>
  <c r="AN407" i="5"/>
  <c r="AM407" i="5"/>
  <c r="AL407" i="5"/>
  <c r="AK407" i="5"/>
  <c r="AJ407" i="5"/>
  <c r="AI407" i="5"/>
  <c r="M407" i="5"/>
  <c r="L407" i="5"/>
  <c r="K407" i="5"/>
  <c r="J407" i="5"/>
  <c r="I407" i="5"/>
  <c r="H407" i="5"/>
  <c r="E407" i="9" s="1"/>
  <c r="G407" i="5"/>
  <c r="D407" i="5"/>
  <c r="C407" i="5"/>
  <c r="A407" i="5"/>
  <c r="AN406" i="5"/>
  <c r="AM406" i="5"/>
  <c r="AL406" i="5"/>
  <c r="AK406" i="5"/>
  <c r="AJ406" i="5"/>
  <c r="AI406" i="5"/>
  <c r="M406" i="5"/>
  <c r="L406" i="5"/>
  <c r="K406" i="5"/>
  <c r="J406" i="5"/>
  <c r="I406" i="5"/>
  <c r="H406" i="5"/>
  <c r="E406" i="9" s="1"/>
  <c r="G406" i="5"/>
  <c r="D406" i="5"/>
  <c r="C406" i="5"/>
  <c r="A406" i="5"/>
  <c r="AN405" i="5"/>
  <c r="AM405" i="5"/>
  <c r="AL405" i="5"/>
  <c r="AK405" i="5"/>
  <c r="AJ405" i="5"/>
  <c r="AI405" i="5"/>
  <c r="M405" i="5"/>
  <c r="L405" i="5"/>
  <c r="K405" i="5"/>
  <c r="J405" i="5"/>
  <c r="I405" i="5"/>
  <c r="H405" i="5"/>
  <c r="E405" i="9" s="1"/>
  <c r="G405" i="5"/>
  <c r="D405" i="5"/>
  <c r="C405" i="5"/>
  <c r="A405" i="5"/>
  <c r="AN404" i="5"/>
  <c r="AM404" i="5"/>
  <c r="AL404" i="5"/>
  <c r="AK404" i="5"/>
  <c r="AJ404" i="5"/>
  <c r="AI404" i="5"/>
  <c r="M404" i="5"/>
  <c r="L404" i="5"/>
  <c r="K404" i="5"/>
  <c r="J404" i="5"/>
  <c r="I404" i="5"/>
  <c r="H404" i="5"/>
  <c r="E404" i="9" s="1"/>
  <c r="G404" i="5"/>
  <c r="D404" i="5"/>
  <c r="C404" i="5"/>
  <c r="A404" i="5"/>
  <c r="AN403" i="5"/>
  <c r="AM403" i="5"/>
  <c r="AL403" i="5"/>
  <c r="AK403" i="5"/>
  <c r="AJ403" i="5"/>
  <c r="AI403" i="5"/>
  <c r="M403" i="5"/>
  <c r="L403" i="5"/>
  <c r="K403" i="5"/>
  <c r="J403" i="5"/>
  <c r="I403" i="5"/>
  <c r="H403" i="5"/>
  <c r="E403" i="9" s="1"/>
  <c r="G403" i="5"/>
  <c r="D403" i="5"/>
  <c r="C403" i="5"/>
  <c r="A403" i="5"/>
  <c r="AN402" i="5"/>
  <c r="AM402" i="5"/>
  <c r="AL402" i="5"/>
  <c r="AK402" i="5"/>
  <c r="AJ402" i="5"/>
  <c r="AI402" i="5"/>
  <c r="M402" i="5"/>
  <c r="L402" i="5"/>
  <c r="K402" i="5"/>
  <c r="J402" i="5"/>
  <c r="I402" i="5"/>
  <c r="H402" i="5"/>
  <c r="E402" i="9" s="1"/>
  <c r="G402" i="5"/>
  <c r="D402" i="5"/>
  <c r="C402" i="5"/>
  <c r="A402" i="5"/>
  <c r="AN401" i="5"/>
  <c r="AM401" i="5"/>
  <c r="AL401" i="5"/>
  <c r="AK401" i="5"/>
  <c r="AJ401" i="5"/>
  <c r="AI401" i="5"/>
  <c r="M401" i="5"/>
  <c r="L401" i="5"/>
  <c r="K401" i="5"/>
  <c r="J401" i="5"/>
  <c r="I401" i="5"/>
  <c r="H401" i="5"/>
  <c r="E401" i="9" s="1"/>
  <c r="G401" i="5"/>
  <c r="D401" i="5"/>
  <c r="C401" i="5"/>
  <c r="A401" i="5"/>
  <c r="AN400" i="5"/>
  <c r="AM400" i="5"/>
  <c r="AL400" i="5"/>
  <c r="AK400" i="5"/>
  <c r="AJ400" i="5"/>
  <c r="AI400" i="5"/>
  <c r="M400" i="5"/>
  <c r="L400" i="5"/>
  <c r="K400" i="5"/>
  <c r="J400" i="5"/>
  <c r="I400" i="5"/>
  <c r="H400" i="5"/>
  <c r="E400" i="9" s="1"/>
  <c r="G400" i="5"/>
  <c r="D400" i="5"/>
  <c r="C400" i="5"/>
  <c r="A400" i="5"/>
  <c r="AN399" i="5"/>
  <c r="AM399" i="5"/>
  <c r="AL399" i="5"/>
  <c r="AK399" i="5"/>
  <c r="AJ399" i="5"/>
  <c r="AI399" i="5"/>
  <c r="M399" i="5"/>
  <c r="L399" i="5"/>
  <c r="K399" i="5"/>
  <c r="J399" i="5"/>
  <c r="I399" i="5"/>
  <c r="H399" i="5"/>
  <c r="E399" i="9" s="1"/>
  <c r="G399" i="5"/>
  <c r="D399" i="5"/>
  <c r="C399" i="5"/>
  <c r="A399" i="5"/>
  <c r="AN398" i="5"/>
  <c r="AM398" i="5"/>
  <c r="AL398" i="5"/>
  <c r="AK398" i="5"/>
  <c r="AJ398" i="5"/>
  <c r="AI398" i="5"/>
  <c r="M398" i="5"/>
  <c r="L398" i="5"/>
  <c r="K398" i="5"/>
  <c r="J398" i="5"/>
  <c r="I398" i="5"/>
  <c r="H398" i="5"/>
  <c r="E398" i="9" s="1"/>
  <c r="G398" i="5"/>
  <c r="D398" i="5"/>
  <c r="C398" i="5"/>
  <c r="A398" i="5"/>
  <c r="AN397" i="5"/>
  <c r="AM397" i="5"/>
  <c r="AL397" i="5"/>
  <c r="AK397" i="5"/>
  <c r="AJ397" i="5"/>
  <c r="AI397" i="5"/>
  <c r="M397" i="5"/>
  <c r="L397" i="5"/>
  <c r="K397" i="5"/>
  <c r="J397" i="5"/>
  <c r="I397" i="5"/>
  <c r="H397" i="5"/>
  <c r="E397" i="9" s="1"/>
  <c r="G397" i="5"/>
  <c r="D397" i="5"/>
  <c r="C397" i="5"/>
  <c r="A397" i="5"/>
  <c r="AN396" i="5"/>
  <c r="AM396" i="5"/>
  <c r="AL396" i="5"/>
  <c r="AK396" i="5"/>
  <c r="AJ396" i="5"/>
  <c r="AI396" i="5"/>
  <c r="M396" i="5"/>
  <c r="L396" i="5"/>
  <c r="K396" i="5"/>
  <c r="J396" i="5"/>
  <c r="I396" i="5"/>
  <c r="H396" i="5"/>
  <c r="E396" i="9" s="1"/>
  <c r="G396" i="5"/>
  <c r="D396" i="5"/>
  <c r="C396" i="5"/>
  <c r="A396" i="5"/>
  <c r="AN395" i="5"/>
  <c r="AM395" i="5"/>
  <c r="AL395" i="5"/>
  <c r="AK395" i="5"/>
  <c r="AJ395" i="5"/>
  <c r="AI395" i="5"/>
  <c r="M395" i="5"/>
  <c r="L395" i="5"/>
  <c r="K395" i="5"/>
  <c r="J395" i="5"/>
  <c r="I395" i="5"/>
  <c r="H395" i="5"/>
  <c r="E395" i="9" s="1"/>
  <c r="G395" i="5"/>
  <c r="D395" i="5"/>
  <c r="C395" i="5"/>
  <c r="A395" i="5"/>
  <c r="AN394" i="5"/>
  <c r="AM394" i="5"/>
  <c r="AL394" i="5"/>
  <c r="AK394" i="5"/>
  <c r="AJ394" i="5"/>
  <c r="AI394" i="5"/>
  <c r="M394" i="5"/>
  <c r="L394" i="5"/>
  <c r="K394" i="5"/>
  <c r="J394" i="5"/>
  <c r="I394" i="5"/>
  <c r="H394" i="5"/>
  <c r="E394" i="9" s="1"/>
  <c r="G394" i="5"/>
  <c r="D394" i="5"/>
  <c r="C394" i="5"/>
  <c r="A394" i="5"/>
  <c r="AN393" i="5"/>
  <c r="AM393" i="5"/>
  <c r="AL393" i="5"/>
  <c r="AK393" i="5"/>
  <c r="AJ393" i="5"/>
  <c r="AI393" i="5"/>
  <c r="M393" i="5"/>
  <c r="L393" i="5"/>
  <c r="K393" i="5"/>
  <c r="J393" i="5"/>
  <c r="I393" i="5"/>
  <c r="H393" i="5"/>
  <c r="E393" i="9" s="1"/>
  <c r="G393" i="5"/>
  <c r="D393" i="5"/>
  <c r="C393" i="5"/>
  <c r="A393" i="5"/>
  <c r="AN392" i="5"/>
  <c r="AM392" i="5"/>
  <c r="AL392" i="5"/>
  <c r="AK392" i="5"/>
  <c r="AJ392" i="5"/>
  <c r="AI392" i="5"/>
  <c r="M392" i="5"/>
  <c r="L392" i="5"/>
  <c r="K392" i="5"/>
  <c r="J392" i="5"/>
  <c r="I392" i="5"/>
  <c r="H392" i="5"/>
  <c r="E392" i="9" s="1"/>
  <c r="G392" i="5"/>
  <c r="D392" i="5"/>
  <c r="C392" i="5"/>
  <c r="A392" i="5"/>
  <c r="AN391" i="5"/>
  <c r="AM391" i="5"/>
  <c r="AL391" i="5"/>
  <c r="AK391" i="5"/>
  <c r="AJ391" i="5"/>
  <c r="AI391" i="5"/>
  <c r="M391" i="5"/>
  <c r="L391" i="5"/>
  <c r="K391" i="5"/>
  <c r="J391" i="5"/>
  <c r="I391" i="5"/>
  <c r="H391" i="5"/>
  <c r="E391" i="9" s="1"/>
  <c r="G391" i="5"/>
  <c r="D391" i="5"/>
  <c r="C391" i="5"/>
  <c r="A391" i="5"/>
  <c r="AN390" i="5"/>
  <c r="AM390" i="5"/>
  <c r="AL390" i="5"/>
  <c r="AK390" i="5"/>
  <c r="AJ390" i="5"/>
  <c r="AI390" i="5"/>
  <c r="M390" i="5"/>
  <c r="L390" i="5"/>
  <c r="K390" i="5"/>
  <c r="J390" i="5"/>
  <c r="I390" i="5"/>
  <c r="H390" i="5"/>
  <c r="E390" i="9" s="1"/>
  <c r="G390" i="5"/>
  <c r="D390" i="5"/>
  <c r="C390" i="5"/>
  <c r="A390" i="5"/>
  <c r="AN389" i="5"/>
  <c r="AM389" i="5"/>
  <c r="AL389" i="5"/>
  <c r="AK389" i="5"/>
  <c r="AJ389" i="5"/>
  <c r="AI389" i="5"/>
  <c r="M389" i="5"/>
  <c r="L389" i="5"/>
  <c r="K389" i="5"/>
  <c r="J389" i="5"/>
  <c r="I389" i="5"/>
  <c r="H389" i="5"/>
  <c r="E389" i="9" s="1"/>
  <c r="G389" i="5"/>
  <c r="D389" i="5"/>
  <c r="C389" i="5"/>
  <c r="A389" i="5"/>
  <c r="AN388" i="5"/>
  <c r="AM388" i="5"/>
  <c r="AL388" i="5"/>
  <c r="AK388" i="5"/>
  <c r="AJ388" i="5"/>
  <c r="AI388" i="5"/>
  <c r="M388" i="5"/>
  <c r="L388" i="5"/>
  <c r="K388" i="5"/>
  <c r="J388" i="5"/>
  <c r="I388" i="5"/>
  <c r="H388" i="5"/>
  <c r="E388" i="9" s="1"/>
  <c r="G388" i="5"/>
  <c r="D388" i="5"/>
  <c r="C388" i="5"/>
  <c r="A388" i="5"/>
  <c r="AN387" i="5"/>
  <c r="AM387" i="5"/>
  <c r="AL387" i="5"/>
  <c r="AK387" i="5"/>
  <c r="AJ387" i="5"/>
  <c r="AI387" i="5"/>
  <c r="M387" i="5"/>
  <c r="L387" i="5"/>
  <c r="K387" i="5"/>
  <c r="J387" i="5"/>
  <c r="I387" i="5"/>
  <c r="H387" i="5"/>
  <c r="E387" i="9" s="1"/>
  <c r="G387" i="5"/>
  <c r="D387" i="5"/>
  <c r="C387" i="5"/>
  <c r="A387" i="5"/>
  <c r="AN386" i="5"/>
  <c r="AM386" i="5"/>
  <c r="AL386" i="5"/>
  <c r="AK386" i="5"/>
  <c r="AJ386" i="5"/>
  <c r="AI386" i="5"/>
  <c r="M386" i="5"/>
  <c r="L386" i="5"/>
  <c r="K386" i="5"/>
  <c r="J386" i="5"/>
  <c r="I386" i="5"/>
  <c r="H386" i="5"/>
  <c r="E386" i="9" s="1"/>
  <c r="G386" i="5"/>
  <c r="D386" i="5"/>
  <c r="C386" i="5"/>
  <c r="A386" i="5"/>
  <c r="AN385" i="5"/>
  <c r="AM385" i="5"/>
  <c r="AL385" i="5"/>
  <c r="AK385" i="5"/>
  <c r="AJ385" i="5"/>
  <c r="AI385" i="5"/>
  <c r="M385" i="5"/>
  <c r="L385" i="5"/>
  <c r="K385" i="5"/>
  <c r="J385" i="5"/>
  <c r="I385" i="5"/>
  <c r="H385" i="5"/>
  <c r="E385" i="9" s="1"/>
  <c r="G385" i="5"/>
  <c r="D385" i="5"/>
  <c r="C385" i="5"/>
  <c r="A385" i="5"/>
  <c r="AN384" i="5"/>
  <c r="AM384" i="5"/>
  <c r="AL384" i="5"/>
  <c r="AK384" i="5"/>
  <c r="AJ384" i="5"/>
  <c r="AI384" i="5"/>
  <c r="M384" i="5"/>
  <c r="L384" i="5"/>
  <c r="K384" i="5"/>
  <c r="J384" i="5"/>
  <c r="I384" i="5"/>
  <c r="H384" i="5"/>
  <c r="E384" i="9" s="1"/>
  <c r="G384" i="5"/>
  <c r="D384" i="5"/>
  <c r="C384" i="5"/>
  <c r="A384" i="5"/>
  <c r="AN383" i="5"/>
  <c r="AM383" i="5"/>
  <c r="AL383" i="5"/>
  <c r="AK383" i="5"/>
  <c r="AJ383" i="5"/>
  <c r="AI383" i="5"/>
  <c r="M383" i="5"/>
  <c r="L383" i="5"/>
  <c r="K383" i="5"/>
  <c r="J383" i="5"/>
  <c r="I383" i="5"/>
  <c r="H383" i="5"/>
  <c r="E383" i="9" s="1"/>
  <c r="G383" i="5"/>
  <c r="D383" i="5"/>
  <c r="C383" i="5"/>
  <c r="A383" i="5"/>
  <c r="AN382" i="5"/>
  <c r="AM382" i="5"/>
  <c r="AL382" i="5"/>
  <c r="AK382" i="5"/>
  <c r="AJ382" i="5"/>
  <c r="AI382" i="5"/>
  <c r="M382" i="5"/>
  <c r="L382" i="5"/>
  <c r="K382" i="5"/>
  <c r="J382" i="5"/>
  <c r="I382" i="5"/>
  <c r="H382" i="5"/>
  <c r="E382" i="9" s="1"/>
  <c r="G382" i="5"/>
  <c r="D382" i="5"/>
  <c r="C382" i="5"/>
  <c r="A382" i="5"/>
  <c r="AN381" i="5"/>
  <c r="AM381" i="5"/>
  <c r="AL381" i="5"/>
  <c r="AK381" i="5"/>
  <c r="AJ381" i="5"/>
  <c r="AI381" i="5"/>
  <c r="M381" i="5"/>
  <c r="L381" i="5"/>
  <c r="K381" i="5"/>
  <c r="J381" i="5"/>
  <c r="I381" i="5"/>
  <c r="H381" i="5"/>
  <c r="E381" i="9" s="1"/>
  <c r="G381" i="5"/>
  <c r="D381" i="5"/>
  <c r="C381" i="5"/>
  <c r="A381" i="5"/>
  <c r="AN380" i="5"/>
  <c r="AM380" i="5"/>
  <c r="AL380" i="5"/>
  <c r="AK380" i="5"/>
  <c r="AJ380" i="5"/>
  <c r="AI380" i="5"/>
  <c r="M380" i="5"/>
  <c r="L380" i="5"/>
  <c r="K380" i="5"/>
  <c r="J380" i="5"/>
  <c r="I380" i="5"/>
  <c r="H380" i="5"/>
  <c r="E380" i="9" s="1"/>
  <c r="G380" i="5"/>
  <c r="D380" i="5"/>
  <c r="C380" i="5"/>
  <c r="A380" i="5"/>
  <c r="AN379" i="5"/>
  <c r="AM379" i="5"/>
  <c r="AL379" i="5"/>
  <c r="AK379" i="5"/>
  <c r="AJ379" i="5"/>
  <c r="AI379" i="5"/>
  <c r="M379" i="5"/>
  <c r="L379" i="5"/>
  <c r="K379" i="5"/>
  <c r="J379" i="5"/>
  <c r="I379" i="5"/>
  <c r="H379" i="5"/>
  <c r="E379" i="9" s="1"/>
  <c r="G379" i="5"/>
  <c r="D379" i="5"/>
  <c r="C379" i="5"/>
  <c r="A379" i="5"/>
  <c r="AN378" i="5"/>
  <c r="AM378" i="5"/>
  <c r="AL378" i="5"/>
  <c r="AK378" i="5"/>
  <c r="AJ378" i="5"/>
  <c r="AI378" i="5"/>
  <c r="M378" i="5"/>
  <c r="L378" i="5"/>
  <c r="K378" i="5"/>
  <c r="J378" i="5"/>
  <c r="I378" i="5"/>
  <c r="H378" i="5"/>
  <c r="E378" i="9" s="1"/>
  <c r="G378" i="5"/>
  <c r="D378" i="5"/>
  <c r="C378" i="5"/>
  <c r="A378" i="5"/>
  <c r="AN377" i="5"/>
  <c r="AM377" i="5"/>
  <c r="AL377" i="5"/>
  <c r="AK377" i="5"/>
  <c r="AJ377" i="5"/>
  <c r="AI377" i="5"/>
  <c r="M377" i="5"/>
  <c r="L377" i="5"/>
  <c r="K377" i="5"/>
  <c r="J377" i="5"/>
  <c r="I377" i="5"/>
  <c r="H377" i="5"/>
  <c r="E377" i="9" s="1"/>
  <c r="G377" i="5"/>
  <c r="D377" i="5"/>
  <c r="C377" i="5"/>
  <c r="A377" i="5"/>
  <c r="AN376" i="5"/>
  <c r="AM376" i="5"/>
  <c r="AL376" i="5"/>
  <c r="AK376" i="5"/>
  <c r="AJ376" i="5"/>
  <c r="AI376" i="5"/>
  <c r="M376" i="5"/>
  <c r="L376" i="5"/>
  <c r="K376" i="5"/>
  <c r="J376" i="5"/>
  <c r="I376" i="5"/>
  <c r="H376" i="5"/>
  <c r="E376" i="9" s="1"/>
  <c r="G376" i="5"/>
  <c r="D376" i="5"/>
  <c r="C376" i="5"/>
  <c r="A376" i="5"/>
  <c r="AN375" i="5"/>
  <c r="AM375" i="5"/>
  <c r="AL375" i="5"/>
  <c r="AK375" i="5"/>
  <c r="AJ375" i="5"/>
  <c r="AI375" i="5"/>
  <c r="M375" i="5"/>
  <c r="L375" i="5"/>
  <c r="K375" i="5"/>
  <c r="J375" i="5"/>
  <c r="I375" i="5"/>
  <c r="H375" i="5"/>
  <c r="E375" i="9" s="1"/>
  <c r="G375" i="5"/>
  <c r="D375" i="5"/>
  <c r="C375" i="5"/>
  <c r="A375" i="5"/>
  <c r="AN374" i="5"/>
  <c r="AM374" i="5"/>
  <c r="AL374" i="5"/>
  <c r="AK374" i="5"/>
  <c r="AJ374" i="5"/>
  <c r="AI374" i="5"/>
  <c r="M374" i="5"/>
  <c r="L374" i="5"/>
  <c r="K374" i="5"/>
  <c r="J374" i="5"/>
  <c r="I374" i="5"/>
  <c r="H374" i="5"/>
  <c r="E374" i="9" s="1"/>
  <c r="G374" i="5"/>
  <c r="D374" i="5"/>
  <c r="C374" i="5"/>
  <c r="A374" i="5"/>
  <c r="AN373" i="5"/>
  <c r="AM373" i="5"/>
  <c r="AL373" i="5"/>
  <c r="AK373" i="5"/>
  <c r="AJ373" i="5"/>
  <c r="AI373" i="5"/>
  <c r="M373" i="5"/>
  <c r="L373" i="5"/>
  <c r="K373" i="5"/>
  <c r="J373" i="5"/>
  <c r="I373" i="5"/>
  <c r="H373" i="5"/>
  <c r="E373" i="9" s="1"/>
  <c r="G373" i="5"/>
  <c r="D373" i="5"/>
  <c r="C373" i="5"/>
  <c r="A373" i="5"/>
  <c r="AN372" i="5"/>
  <c r="AM372" i="5"/>
  <c r="AL372" i="5"/>
  <c r="AK372" i="5"/>
  <c r="AJ372" i="5"/>
  <c r="AI372" i="5"/>
  <c r="M372" i="5"/>
  <c r="L372" i="5"/>
  <c r="K372" i="5"/>
  <c r="J372" i="5"/>
  <c r="I372" i="5"/>
  <c r="H372" i="5"/>
  <c r="E372" i="9" s="1"/>
  <c r="G372" i="5"/>
  <c r="D372" i="5"/>
  <c r="C372" i="5"/>
  <c r="A372" i="5"/>
  <c r="AN371" i="5"/>
  <c r="AM371" i="5"/>
  <c r="AL371" i="5"/>
  <c r="AK371" i="5"/>
  <c r="AJ371" i="5"/>
  <c r="AI371" i="5"/>
  <c r="M371" i="5"/>
  <c r="L371" i="5"/>
  <c r="K371" i="5"/>
  <c r="J371" i="5"/>
  <c r="I371" i="5"/>
  <c r="H371" i="5"/>
  <c r="E371" i="9" s="1"/>
  <c r="G371" i="5"/>
  <c r="D371" i="5"/>
  <c r="C371" i="5"/>
  <c r="A371" i="5"/>
  <c r="AN370" i="5"/>
  <c r="AM370" i="5"/>
  <c r="AL370" i="5"/>
  <c r="AK370" i="5"/>
  <c r="AJ370" i="5"/>
  <c r="AI370" i="5"/>
  <c r="M370" i="5"/>
  <c r="L370" i="5"/>
  <c r="K370" i="5"/>
  <c r="J370" i="5"/>
  <c r="I370" i="5"/>
  <c r="H370" i="5"/>
  <c r="E370" i="9" s="1"/>
  <c r="G370" i="5"/>
  <c r="D370" i="5"/>
  <c r="C370" i="5"/>
  <c r="A370" i="5"/>
  <c r="AN369" i="5"/>
  <c r="AM369" i="5"/>
  <c r="AL369" i="5"/>
  <c r="AK369" i="5"/>
  <c r="AJ369" i="5"/>
  <c r="AI369" i="5"/>
  <c r="M369" i="5"/>
  <c r="L369" i="5"/>
  <c r="K369" i="5"/>
  <c r="J369" i="5"/>
  <c r="I369" i="5"/>
  <c r="H369" i="5"/>
  <c r="E369" i="9" s="1"/>
  <c r="G369" i="5"/>
  <c r="D369" i="5"/>
  <c r="C369" i="5"/>
  <c r="A369" i="5"/>
  <c r="AN368" i="5"/>
  <c r="AM368" i="5"/>
  <c r="AL368" i="5"/>
  <c r="AK368" i="5"/>
  <c r="AJ368" i="5"/>
  <c r="AI368" i="5"/>
  <c r="M368" i="5"/>
  <c r="L368" i="5"/>
  <c r="K368" i="5"/>
  <c r="J368" i="5"/>
  <c r="I368" i="5"/>
  <c r="H368" i="5"/>
  <c r="E368" i="9" s="1"/>
  <c r="G368" i="5"/>
  <c r="D368" i="5"/>
  <c r="C368" i="5"/>
  <c r="A368" i="5"/>
  <c r="AN367" i="5"/>
  <c r="AM367" i="5"/>
  <c r="AL367" i="5"/>
  <c r="AK367" i="5"/>
  <c r="AJ367" i="5"/>
  <c r="AI367" i="5"/>
  <c r="M367" i="5"/>
  <c r="L367" i="5"/>
  <c r="K367" i="5"/>
  <c r="J367" i="5"/>
  <c r="I367" i="5"/>
  <c r="H367" i="5"/>
  <c r="E367" i="9" s="1"/>
  <c r="G367" i="5"/>
  <c r="D367" i="5"/>
  <c r="C367" i="5"/>
  <c r="A367" i="5"/>
  <c r="AN366" i="5"/>
  <c r="AM366" i="5"/>
  <c r="AL366" i="5"/>
  <c r="AK366" i="5"/>
  <c r="AJ366" i="5"/>
  <c r="AI366" i="5"/>
  <c r="M366" i="5"/>
  <c r="L366" i="5"/>
  <c r="K366" i="5"/>
  <c r="J366" i="5"/>
  <c r="I366" i="5"/>
  <c r="H366" i="5"/>
  <c r="E366" i="9" s="1"/>
  <c r="G366" i="5"/>
  <c r="D366" i="5"/>
  <c r="C366" i="5"/>
  <c r="A366" i="5"/>
  <c r="AN365" i="5"/>
  <c r="AM365" i="5"/>
  <c r="AL365" i="5"/>
  <c r="AK365" i="5"/>
  <c r="AJ365" i="5"/>
  <c r="AI365" i="5"/>
  <c r="M365" i="5"/>
  <c r="L365" i="5"/>
  <c r="K365" i="5"/>
  <c r="J365" i="5"/>
  <c r="I365" i="5"/>
  <c r="H365" i="5"/>
  <c r="E365" i="9" s="1"/>
  <c r="G365" i="5"/>
  <c r="D365" i="5"/>
  <c r="C365" i="5"/>
  <c r="A365" i="5"/>
  <c r="AN364" i="5"/>
  <c r="AM364" i="5"/>
  <c r="AL364" i="5"/>
  <c r="AK364" i="5"/>
  <c r="AJ364" i="5"/>
  <c r="AI364" i="5"/>
  <c r="M364" i="5"/>
  <c r="L364" i="5"/>
  <c r="K364" i="5"/>
  <c r="J364" i="5"/>
  <c r="I364" i="5"/>
  <c r="H364" i="5"/>
  <c r="E364" i="9" s="1"/>
  <c r="G364" i="5"/>
  <c r="D364" i="5"/>
  <c r="C364" i="5"/>
  <c r="A364" i="5"/>
  <c r="AN363" i="5"/>
  <c r="AM363" i="5"/>
  <c r="AL363" i="5"/>
  <c r="AK363" i="5"/>
  <c r="AJ363" i="5"/>
  <c r="AI363" i="5"/>
  <c r="M363" i="5"/>
  <c r="L363" i="5"/>
  <c r="K363" i="5"/>
  <c r="J363" i="5"/>
  <c r="I363" i="5"/>
  <c r="H363" i="5"/>
  <c r="E363" i="9" s="1"/>
  <c r="G363" i="5"/>
  <c r="D363" i="5"/>
  <c r="C363" i="5"/>
  <c r="A363" i="5"/>
  <c r="AN362" i="5"/>
  <c r="AM362" i="5"/>
  <c r="AL362" i="5"/>
  <c r="AK362" i="5"/>
  <c r="AJ362" i="5"/>
  <c r="AI362" i="5"/>
  <c r="M362" i="5"/>
  <c r="L362" i="5"/>
  <c r="K362" i="5"/>
  <c r="J362" i="5"/>
  <c r="I362" i="5"/>
  <c r="H362" i="5"/>
  <c r="E362" i="9" s="1"/>
  <c r="G362" i="5"/>
  <c r="D362" i="5"/>
  <c r="C362" i="5"/>
  <c r="A362" i="5"/>
  <c r="AN361" i="5"/>
  <c r="AM361" i="5"/>
  <c r="AL361" i="5"/>
  <c r="AK361" i="5"/>
  <c r="AJ361" i="5"/>
  <c r="AI361" i="5"/>
  <c r="M361" i="5"/>
  <c r="L361" i="5"/>
  <c r="K361" i="5"/>
  <c r="J361" i="5"/>
  <c r="I361" i="5"/>
  <c r="H361" i="5"/>
  <c r="E361" i="9" s="1"/>
  <c r="G361" i="5"/>
  <c r="D361" i="5"/>
  <c r="C361" i="5"/>
  <c r="A361" i="5"/>
  <c r="AN360" i="5"/>
  <c r="AM360" i="5"/>
  <c r="AL360" i="5"/>
  <c r="AK360" i="5"/>
  <c r="AJ360" i="5"/>
  <c r="AI360" i="5"/>
  <c r="M360" i="5"/>
  <c r="L360" i="5"/>
  <c r="K360" i="5"/>
  <c r="J360" i="5"/>
  <c r="I360" i="5"/>
  <c r="H360" i="5"/>
  <c r="E360" i="9" s="1"/>
  <c r="G360" i="5"/>
  <c r="D360" i="5"/>
  <c r="C360" i="5"/>
  <c r="A360" i="5"/>
  <c r="AN359" i="5"/>
  <c r="AM359" i="5"/>
  <c r="AL359" i="5"/>
  <c r="AK359" i="5"/>
  <c r="AJ359" i="5"/>
  <c r="AI359" i="5"/>
  <c r="M359" i="5"/>
  <c r="L359" i="5"/>
  <c r="K359" i="5"/>
  <c r="J359" i="5"/>
  <c r="I359" i="5"/>
  <c r="H359" i="5"/>
  <c r="E359" i="9" s="1"/>
  <c r="G359" i="5"/>
  <c r="D359" i="5"/>
  <c r="C359" i="5"/>
  <c r="A359" i="5"/>
  <c r="AN358" i="5"/>
  <c r="AM358" i="5"/>
  <c r="AL358" i="5"/>
  <c r="AK358" i="5"/>
  <c r="AJ358" i="5"/>
  <c r="AI358" i="5"/>
  <c r="M358" i="5"/>
  <c r="L358" i="5"/>
  <c r="K358" i="5"/>
  <c r="J358" i="5"/>
  <c r="I358" i="5"/>
  <c r="H358" i="5"/>
  <c r="E358" i="9" s="1"/>
  <c r="G358" i="5"/>
  <c r="D358" i="5"/>
  <c r="C358" i="5"/>
  <c r="A358" i="5"/>
  <c r="AN357" i="5"/>
  <c r="AM357" i="5"/>
  <c r="AL357" i="5"/>
  <c r="AK357" i="5"/>
  <c r="AJ357" i="5"/>
  <c r="AI357" i="5"/>
  <c r="M357" i="5"/>
  <c r="L357" i="5"/>
  <c r="K357" i="5"/>
  <c r="J357" i="5"/>
  <c r="I357" i="5"/>
  <c r="H357" i="5"/>
  <c r="E357" i="9" s="1"/>
  <c r="G357" i="5"/>
  <c r="D357" i="5"/>
  <c r="C357" i="5"/>
  <c r="A357" i="5"/>
  <c r="AN356" i="5"/>
  <c r="AM356" i="5"/>
  <c r="AL356" i="5"/>
  <c r="AK356" i="5"/>
  <c r="AJ356" i="5"/>
  <c r="AI356" i="5"/>
  <c r="M356" i="5"/>
  <c r="L356" i="5"/>
  <c r="K356" i="5"/>
  <c r="J356" i="5"/>
  <c r="I356" i="5"/>
  <c r="H356" i="5"/>
  <c r="E356" i="9" s="1"/>
  <c r="G356" i="5"/>
  <c r="D356" i="5"/>
  <c r="C356" i="5"/>
  <c r="A356" i="5"/>
  <c r="AN355" i="5"/>
  <c r="AM355" i="5"/>
  <c r="AL355" i="5"/>
  <c r="AK355" i="5"/>
  <c r="AJ355" i="5"/>
  <c r="AI355" i="5"/>
  <c r="M355" i="5"/>
  <c r="L355" i="5"/>
  <c r="K355" i="5"/>
  <c r="J355" i="5"/>
  <c r="I355" i="5"/>
  <c r="H355" i="5"/>
  <c r="E355" i="9" s="1"/>
  <c r="G355" i="5"/>
  <c r="D355" i="5"/>
  <c r="C355" i="5"/>
  <c r="A355" i="5"/>
  <c r="AN354" i="5"/>
  <c r="AM354" i="5"/>
  <c r="AL354" i="5"/>
  <c r="AK354" i="5"/>
  <c r="AJ354" i="5"/>
  <c r="AI354" i="5"/>
  <c r="M354" i="5"/>
  <c r="L354" i="5"/>
  <c r="K354" i="5"/>
  <c r="J354" i="5"/>
  <c r="I354" i="5"/>
  <c r="H354" i="5"/>
  <c r="E354" i="9" s="1"/>
  <c r="G354" i="5"/>
  <c r="D354" i="5"/>
  <c r="C354" i="5"/>
  <c r="A354" i="5"/>
  <c r="AN353" i="5"/>
  <c r="AM353" i="5"/>
  <c r="AL353" i="5"/>
  <c r="AK353" i="5"/>
  <c r="AJ353" i="5"/>
  <c r="AI353" i="5"/>
  <c r="M353" i="5"/>
  <c r="L353" i="5"/>
  <c r="K353" i="5"/>
  <c r="J353" i="5"/>
  <c r="I353" i="5"/>
  <c r="H353" i="5"/>
  <c r="E353" i="9" s="1"/>
  <c r="G353" i="5"/>
  <c r="D353" i="5"/>
  <c r="C353" i="5"/>
  <c r="A353" i="5"/>
  <c r="AN352" i="5"/>
  <c r="AM352" i="5"/>
  <c r="AL352" i="5"/>
  <c r="AK352" i="5"/>
  <c r="AJ352" i="5"/>
  <c r="AI352" i="5"/>
  <c r="M352" i="5"/>
  <c r="L352" i="5"/>
  <c r="K352" i="5"/>
  <c r="J352" i="5"/>
  <c r="I352" i="5"/>
  <c r="H352" i="5"/>
  <c r="E352" i="9" s="1"/>
  <c r="G352" i="5"/>
  <c r="D352" i="5"/>
  <c r="C352" i="5"/>
  <c r="A352" i="5"/>
  <c r="AN351" i="5"/>
  <c r="AM351" i="5"/>
  <c r="AL351" i="5"/>
  <c r="AK351" i="5"/>
  <c r="AJ351" i="5"/>
  <c r="AI351" i="5"/>
  <c r="M351" i="5"/>
  <c r="L351" i="5"/>
  <c r="K351" i="5"/>
  <c r="J351" i="5"/>
  <c r="I351" i="5"/>
  <c r="H351" i="5"/>
  <c r="E351" i="9" s="1"/>
  <c r="G351" i="5"/>
  <c r="D351" i="5"/>
  <c r="C351" i="5"/>
  <c r="A351" i="5"/>
  <c r="AN350" i="5"/>
  <c r="AM350" i="5"/>
  <c r="AL350" i="5"/>
  <c r="AK350" i="5"/>
  <c r="AJ350" i="5"/>
  <c r="AI350" i="5"/>
  <c r="M350" i="5"/>
  <c r="L350" i="5"/>
  <c r="K350" i="5"/>
  <c r="J350" i="5"/>
  <c r="I350" i="5"/>
  <c r="H350" i="5"/>
  <c r="E350" i="9" s="1"/>
  <c r="G350" i="5"/>
  <c r="D350" i="5"/>
  <c r="C350" i="5"/>
  <c r="A350" i="5"/>
  <c r="AN349" i="5"/>
  <c r="AM349" i="5"/>
  <c r="AL349" i="5"/>
  <c r="AK349" i="5"/>
  <c r="AJ349" i="5"/>
  <c r="AI349" i="5"/>
  <c r="M349" i="5"/>
  <c r="L349" i="5"/>
  <c r="K349" i="5"/>
  <c r="J349" i="5"/>
  <c r="I349" i="5"/>
  <c r="H349" i="5"/>
  <c r="E349" i="9" s="1"/>
  <c r="G349" i="5"/>
  <c r="D349" i="5"/>
  <c r="C349" i="5"/>
  <c r="A349" i="5"/>
  <c r="AN348" i="5"/>
  <c r="AM348" i="5"/>
  <c r="AL348" i="5"/>
  <c r="AK348" i="5"/>
  <c r="AJ348" i="5"/>
  <c r="AI348" i="5"/>
  <c r="M348" i="5"/>
  <c r="L348" i="5"/>
  <c r="K348" i="5"/>
  <c r="J348" i="5"/>
  <c r="I348" i="5"/>
  <c r="H348" i="5"/>
  <c r="E348" i="9" s="1"/>
  <c r="G348" i="5"/>
  <c r="D348" i="5"/>
  <c r="C348" i="5"/>
  <c r="A348" i="5"/>
  <c r="AN347" i="5"/>
  <c r="AM347" i="5"/>
  <c r="AL347" i="5"/>
  <c r="AK347" i="5"/>
  <c r="AJ347" i="5"/>
  <c r="AI347" i="5"/>
  <c r="M347" i="5"/>
  <c r="L347" i="5"/>
  <c r="K347" i="5"/>
  <c r="J347" i="5"/>
  <c r="I347" i="5"/>
  <c r="H347" i="5"/>
  <c r="E347" i="9" s="1"/>
  <c r="G347" i="5"/>
  <c r="D347" i="5"/>
  <c r="C347" i="5"/>
  <c r="A347" i="5"/>
  <c r="AN346" i="5"/>
  <c r="AM346" i="5"/>
  <c r="AL346" i="5"/>
  <c r="AK346" i="5"/>
  <c r="AJ346" i="5"/>
  <c r="AI346" i="5"/>
  <c r="M346" i="5"/>
  <c r="L346" i="5"/>
  <c r="K346" i="5"/>
  <c r="J346" i="5"/>
  <c r="I346" i="5"/>
  <c r="H346" i="5"/>
  <c r="E346" i="9" s="1"/>
  <c r="G346" i="5"/>
  <c r="D346" i="5"/>
  <c r="C346" i="5"/>
  <c r="A346" i="5"/>
  <c r="AN345" i="5"/>
  <c r="AM345" i="5"/>
  <c r="AL345" i="5"/>
  <c r="AK345" i="5"/>
  <c r="AJ345" i="5"/>
  <c r="AI345" i="5"/>
  <c r="M345" i="5"/>
  <c r="L345" i="5"/>
  <c r="K345" i="5"/>
  <c r="J345" i="5"/>
  <c r="I345" i="5"/>
  <c r="H345" i="5"/>
  <c r="E345" i="9" s="1"/>
  <c r="G345" i="5"/>
  <c r="D345" i="5"/>
  <c r="C345" i="5"/>
  <c r="A345" i="5"/>
  <c r="AN344" i="5"/>
  <c r="AM344" i="5"/>
  <c r="AL344" i="5"/>
  <c r="AK344" i="5"/>
  <c r="AJ344" i="5"/>
  <c r="AI344" i="5"/>
  <c r="M344" i="5"/>
  <c r="L344" i="5"/>
  <c r="K344" i="5"/>
  <c r="J344" i="5"/>
  <c r="I344" i="5"/>
  <c r="H344" i="5"/>
  <c r="E344" i="9" s="1"/>
  <c r="G344" i="5"/>
  <c r="D344" i="5"/>
  <c r="C344" i="5"/>
  <c r="A344" i="5"/>
  <c r="AN343" i="5"/>
  <c r="AM343" i="5"/>
  <c r="AL343" i="5"/>
  <c r="AK343" i="5"/>
  <c r="AJ343" i="5"/>
  <c r="AI343" i="5"/>
  <c r="M343" i="5"/>
  <c r="L343" i="5"/>
  <c r="K343" i="5"/>
  <c r="J343" i="5"/>
  <c r="I343" i="5"/>
  <c r="H343" i="5"/>
  <c r="E343" i="9" s="1"/>
  <c r="G343" i="5"/>
  <c r="D343" i="5"/>
  <c r="C343" i="5"/>
  <c r="A343" i="5"/>
  <c r="AN342" i="5"/>
  <c r="AM342" i="5"/>
  <c r="AL342" i="5"/>
  <c r="AK342" i="5"/>
  <c r="AJ342" i="5"/>
  <c r="AI342" i="5"/>
  <c r="M342" i="5"/>
  <c r="L342" i="5"/>
  <c r="K342" i="5"/>
  <c r="J342" i="5"/>
  <c r="I342" i="5"/>
  <c r="H342" i="5"/>
  <c r="E342" i="9" s="1"/>
  <c r="G342" i="5"/>
  <c r="D342" i="5"/>
  <c r="C342" i="5"/>
  <c r="A342" i="5"/>
  <c r="AN341" i="5"/>
  <c r="AM341" i="5"/>
  <c r="AL341" i="5"/>
  <c r="AK341" i="5"/>
  <c r="AJ341" i="5"/>
  <c r="AI341" i="5"/>
  <c r="M341" i="5"/>
  <c r="L341" i="5"/>
  <c r="K341" i="5"/>
  <c r="J341" i="5"/>
  <c r="I341" i="5"/>
  <c r="H341" i="5"/>
  <c r="E341" i="9" s="1"/>
  <c r="G341" i="5"/>
  <c r="D341" i="5"/>
  <c r="C341" i="5"/>
  <c r="A341" i="5"/>
  <c r="AN340" i="5"/>
  <c r="AM340" i="5"/>
  <c r="AL340" i="5"/>
  <c r="AK340" i="5"/>
  <c r="AJ340" i="5"/>
  <c r="AI340" i="5"/>
  <c r="M340" i="5"/>
  <c r="L340" i="5"/>
  <c r="K340" i="5"/>
  <c r="J340" i="5"/>
  <c r="I340" i="5"/>
  <c r="H340" i="5"/>
  <c r="E340" i="9" s="1"/>
  <c r="G340" i="5"/>
  <c r="D340" i="5"/>
  <c r="C340" i="5"/>
  <c r="A340" i="5"/>
  <c r="AN339" i="5"/>
  <c r="AM339" i="5"/>
  <c r="AL339" i="5"/>
  <c r="AK339" i="5"/>
  <c r="AJ339" i="5"/>
  <c r="AI339" i="5"/>
  <c r="M339" i="5"/>
  <c r="L339" i="5"/>
  <c r="K339" i="5"/>
  <c r="J339" i="5"/>
  <c r="I339" i="5"/>
  <c r="H339" i="5"/>
  <c r="E339" i="9" s="1"/>
  <c r="G339" i="5"/>
  <c r="D339" i="5"/>
  <c r="C339" i="5"/>
  <c r="A339" i="5"/>
  <c r="AN338" i="5"/>
  <c r="AM338" i="5"/>
  <c r="AL338" i="5"/>
  <c r="AK338" i="5"/>
  <c r="AJ338" i="5"/>
  <c r="AI338" i="5"/>
  <c r="M338" i="5"/>
  <c r="L338" i="5"/>
  <c r="K338" i="5"/>
  <c r="J338" i="5"/>
  <c r="I338" i="5"/>
  <c r="H338" i="5"/>
  <c r="E338" i="9" s="1"/>
  <c r="G338" i="5"/>
  <c r="D338" i="5"/>
  <c r="C338" i="5"/>
  <c r="A338" i="5"/>
  <c r="AN337" i="5"/>
  <c r="AM337" i="5"/>
  <c r="AL337" i="5"/>
  <c r="AK337" i="5"/>
  <c r="AJ337" i="5"/>
  <c r="AI337" i="5"/>
  <c r="M337" i="5"/>
  <c r="L337" i="5"/>
  <c r="K337" i="5"/>
  <c r="J337" i="5"/>
  <c r="I337" i="5"/>
  <c r="H337" i="5"/>
  <c r="E337" i="9" s="1"/>
  <c r="G337" i="5"/>
  <c r="D337" i="5"/>
  <c r="C337" i="5"/>
  <c r="A337" i="5"/>
  <c r="AN336" i="5"/>
  <c r="AM336" i="5"/>
  <c r="AL336" i="5"/>
  <c r="AK336" i="5"/>
  <c r="AJ336" i="5"/>
  <c r="AI336" i="5"/>
  <c r="M336" i="5"/>
  <c r="L336" i="5"/>
  <c r="K336" i="5"/>
  <c r="J336" i="5"/>
  <c r="I336" i="5"/>
  <c r="H336" i="5"/>
  <c r="E336" i="9" s="1"/>
  <c r="G336" i="5"/>
  <c r="D336" i="5"/>
  <c r="C336" i="5"/>
  <c r="A336" i="5"/>
  <c r="AN335" i="5"/>
  <c r="AM335" i="5"/>
  <c r="AL335" i="5"/>
  <c r="AK335" i="5"/>
  <c r="AJ335" i="5"/>
  <c r="AI335" i="5"/>
  <c r="M335" i="5"/>
  <c r="L335" i="5"/>
  <c r="K335" i="5"/>
  <c r="J335" i="5"/>
  <c r="I335" i="5"/>
  <c r="H335" i="5"/>
  <c r="E335" i="9" s="1"/>
  <c r="G335" i="5"/>
  <c r="D335" i="5"/>
  <c r="C335" i="5"/>
  <c r="A335" i="5"/>
  <c r="AN334" i="5"/>
  <c r="AM334" i="5"/>
  <c r="AL334" i="5"/>
  <c r="AK334" i="5"/>
  <c r="AJ334" i="5"/>
  <c r="AI334" i="5"/>
  <c r="M334" i="5"/>
  <c r="L334" i="5"/>
  <c r="K334" i="5"/>
  <c r="J334" i="5"/>
  <c r="I334" i="5"/>
  <c r="H334" i="5"/>
  <c r="E334" i="9" s="1"/>
  <c r="G334" i="5"/>
  <c r="D334" i="5"/>
  <c r="C334" i="5"/>
  <c r="A334" i="5"/>
  <c r="AN333" i="5"/>
  <c r="AM333" i="5"/>
  <c r="AL333" i="5"/>
  <c r="AK333" i="5"/>
  <c r="AJ333" i="5"/>
  <c r="AI333" i="5"/>
  <c r="M333" i="5"/>
  <c r="L333" i="5"/>
  <c r="K333" i="5"/>
  <c r="J333" i="5"/>
  <c r="I333" i="5"/>
  <c r="H333" i="5"/>
  <c r="E333" i="9" s="1"/>
  <c r="G333" i="5"/>
  <c r="D333" i="5"/>
  <c r="C333" i="5"/>
  <c r="A333" i="5"/>
  <c r="AN332" i="5"/>
  <c r="AM332" i="5"/>
  <c r="AL332" i="5"/>
  <c r="AK332" i="5"/>
  <c r="AJ332" i="5"/>
  <c r="AI332" i="5"/>
  <c r="M332" i="5"/>
  <c r="L332" i="5"/>
  <c r="K332" i="5"/>
  <c r="J332" i="5"/>
  <c r="I332" i="5"/>
  <c r="H332" i="5"/>
  <c r="E332" i="9" s="1"/>
  <c r="G332" i="5"/>
  <c r="D332" i="5"/>
  <c r="C332" i="5"/>
  <c r="A332" i="5"/>
  <c r="AN331" i="5"/>
  <c r="AM331" i="5"/>
  <c r="AL331" i="5"/>
  <c r="AK331" i="5"/>
  <c r="AJ331" i="5"/>
  <c r="AI331" i="5"/>
  <c r="M331" i="5"/>
  <c r="L331" i="5"/>
  <c r="K331" i="5"/>
  <c r="J331" i="5"/>
  <c r="I331" i="5"/>
  <c r="H331" i="5"/>
  <c r="E331" i="9" s="1"/>
  <c r="G331" i="5"/>
  <c r="D331" i="5"/>
  <c r="C331" i="5"/>
  <c r="A331" i="5"/>
  <c r="AN330" i="5"/>
  <c r="AM330" i="5"/>
  <c r="AL330" i="5"/>
  <c r="AK330" i="5"/>
  <c r="AJ330" i="5"/>
  <c r="AI330" i="5"/>
  <c r="M330" i="5"/>
  <c r="L330" i="5"/>
  <c r="K330" i="5"/>
  <c r="J330" i="5"/>
  <c r="I330" i="5"/>
  <c r="H330" i="5"/>
  <c r="E330" i="9" s="1"/>
  <c r="G330" i="5"/>
  <c r="D330" i="5"/>
  <c r="C330" i="5"/>
  <c r="A330" i="5"/>
  <c r="AN329" i="5"/>
  <c r="AM329" i="5"/>
  <c r="AL329" i="5"/>
  <c r="AK329" i="5"/>
  <c r="AJ329" i="5"/>
  <c r="AI329" i="5"/>
  <c r="M329" i="5"/>
  <c r="L329" i="5"/>
  <c r="K329" i="5"/>
  <c r="J329" i="5"/>
  <c r="I329" i="5"/>
  <c r="H329" i="5"/>
  <c r="E329" i="9" s="1"/>
  <c r="G329" i="5"/>
  <c r="D329" i="5"/>
  <c r="C329" i="5"/>
  <c r="A329" i="5"/>
  <c r="AN328" i="5"/>
  <c r="AM328" i="5"/>
  <c r="AL328" i="5"/>
  <c r="AK328" i="5"/>
  <c r="AJ328" i="5"/>
  <c r="AI328" i="5"/>
  <c r="M328" i="5"/>
  <c r="L328" i="5"/>
  <c r="K328" i="5"/>
  <c r="J328" i="5"/>
  <c r="I328" i="5"/>
  <c r="H328" i="5"/>
  <c r="E328" i="9" s="1"/>
  <c r="G328" i="5"/>
  <c r="D328" i="5"/>
  <c r="C328" i="5"/>
  <c r="A328" i="5"/>
  <c r="AN327" i="5"/>
  <c r="AM327" i="5"/>
  <c r="AL327" i="5"/>
  <c r="AK327" i="5"/>
  <c r="AJ327" i="5"/>
  <c r="AI327" i="5"/>
  <c r="M327" i="5"/>
  <c r="L327" i="5"/>
  <c r="K327" i="5"/>
  <c r="J327" i="5"/>
  <c r="I327" i="5"/>
  <c r="H327" i="5"/>
  <c r="E327" i="9" s="1"/>
  <c r="G327" i="5"/>
  <c r="D327" i="5"/>
  <c r="C327" i="5"/>
  <c r="A327" i="5"/>
  <c r="AN326" i="5"/>
  <c r="AM326" i="5"/>
  <c r="AL326" i="5"/>
  <c r="AK326" i="5"/>
  <c r="AJ326" i="5"/>
  <c r="AI326" i="5"/>
  <c r="M326" i="5"/>
  <c r="L326" i="5"/>
  <c r="K326" i="5"/>
  <c r="J326" i="5"/>
  <c r="I326" i="5"/>
  <c r="H326" i="5"/>
  <c r="E326" i="9" s="1"/>
  <c r="G326" i="5"/>
  <c r="D326" i="5"/>
  <c r="C326" i="5"/>
  <c r="A326" i="5"/>
  <c r="AN325" i="5"/>
  <c r="AM325" i="5"/>
  <c r="AL325" i="5"/>
  <c r="AK325" i="5"/>
  <c r="AJ325" i="5"/>
  <c r="AI325" i="5"/>
  <c r="M325" i="5"/>
  <c r="L325" i="5"/>
  <c r="K325" i="5"/>
  <c r="J325" i="5"/>
  <c r="I325" i="5"/>
  <c r="H325" i="5"/>
  <c r="E325" i="9" s="1"/>
  <c r="G325" i="5"/>
  <c r="D325" i="5"/>
  <c r="C325" i="5"/>
  <c r="A325" i="5"/>
  <c r="AN324" i="5"/>
  <c r="AM324" i="5"/>
  <c r="AL324" i="5"/>
  <c r="AK324" i="5"/>
  <c r="AJ324" i="5"/>
  <c r="AI324" i="5"/>
  <c r="M324" i="5"/>
  <c r="L324" i="5"/>
  <c r="K324" i="5"/>
  <c r="J324" i="5"/>
  <c r="I324" i="5"/>
  <c r="H324" i="5"/>
  <c r="E324" i="9" s="1"/>
  <c r="G324" i="5"/>
  <c r="D324" i="5"/>
  <c r="C324" i="5"/>
  <c r="A324" i="5"/>
  <c r="AN323" i="5"/>
  <c r="AM323" i="5"/>
  <c r="AL323" i="5"/>
  <c r="AK323" i="5"/>
  <c r="AJ323" i="5"/>
  <c r="AI323" i="5"/>
  <c r="M323" i="5"/>
  <c r="L323" i="5"/>
  <c r="K323" i="5"/>
  <c r="J323" i="5"/>
  <c r="I323" i="5"/>
  <c r="H323" i="5"/>
  <c r="E323" i="9" s="1"/>
  <c r="G323" i="5"/>
  <c r="D323" i="5"/>
  <c r="C323" i="5"/>
  <c r="A323" i="5"/>
  <c r="AN322" i="5"/>
  <c r="AM322" i="5"/>
  <c r="AL322" i="5"/>
  <c r="AK322" i="5"/>
  <c r="AJ322" i="5"/>
  <c r="AI322" i="5"/>
  <c r="M322" i="5"/>
  <c r="L322" i="5"/>
  <c r="K322" i="5"/>
  <c r="J322" i="5"/>
  <c r="I322" i="5"/>
  <c r="H322" i="5"/>
  <c r="E322" i="9" s="1"/>
  <c r="G322" i="5"/>
  <c r="D322" i="5"/>
  <c r="C322" i="5"/>
  <c r="A322" i="5"/>
  <c r="AN321" i="5"/>
  <c r="AM321" i="5"/>
  <c r="AL321" i="5"/>
  <c r="AK321" i="5"/>
  <c r="AJ321" i="5"/>
  <c r="AI321" i="5"/>
  <c r="M321" i="5"/>
  <c r="L321" i="5"/>
  <c r="K321" i="5"/>
  <c r="J321" i="5"/>
  <c r="I321" i="5"/>
  <c r="H321" i="5"/>
  <c r="E321" i="9" s="1"/>
  <c r="G321" i="5"/>
  <c r="D321" i="5"/>
  <c r="C321" i="5"/>
  <c r="A321" i="5"/>
  <c r="AN320" i="5"/>
  <c r="AM320" i="5"/>
  <c r="AL320" i="5"/>
  <c r="AK320" i="5"/>
  <c r="AJ320" i="5"/>
  <c r="AI320" i="5"/>
  <c r="M320" i="5"/>
  <c r="L320" i="5"/>
  <c r="K320" i="5"/>
  <c r="J320" i="5"/>
  <c r="I320" i="5"/>
  <c r="H320" i="5"/>
  <c r="E320" i="9" s="1"/>
  <c r="G320" i="5"/>
  <c r="D320" i="5"/>
  <c r="C320" i="5"/>
  <c r="A320" i="5"/>
  <c r="AN319" i="5"/>
  <c r="AM319" i="5"/>
  <c r="AL319" i="5"/>
  <c r="AK319" i="5"/>
  <c r="AJ319" i="5"/>
  <c r="AI319" i="5"/>
  <c r="M319" i="5"/>
  <c r="L319" i="5"/>
  <c r="K319" i="5"/>
  <c r="J319" i="5"/>
  <c r="I319" i="5"/>
  <c r="H319" i="5"/>
  <c r="E319" i="9" s="1"/>
  <c r="G319" i="5"/>
  <c r="D319" i="5"/>
  <c r="C319" i="5"/>
  <c r="A319" i="5"/>
  <c r="AN318" i="5"/>
  <c r="AM318" i="5"/>
  <c r="AL318" i="5"/>
  <c r="AK318" i="5"/>
  <c r="AJ318" i="5"/>
  <c r="AI318" i="5"/>
  <c r="M318" i="5"/>
  <c r="L318" i="5"/>
  <c r="K318" i="5"/>
  <c r="J318" i="5"/>
  <c r="I318" i="5"/>
  <c r="H318" i="5"/>
  <c r="E318" i="9" s="1"/>
  <c r="G318" i="5"/>
  <c r="D318" i="5"/>
  <c r="C318" i="5"/>
  <c r="A318" i="5"/>
  <c r="AN317" i="5"/>
  <c r="AM317" i="5"/>
  <c r="AL317" i="5"/>
  <c r="AK317" i="5"/>
  <c r="AJ317" i="5"/>
  <c r="AI317" i="5"/>
  <c r="M317" i="5"/>
  <c r="L317" i="5"/>
  <c r="K317" i="5"/>
  <c r="J317" i="5"/>
  <c r="I317" i="5"/>
  <c r="H317" i="5"/>
  <c r="E317" i="9" s="1"/>
  <c r="G317" i="5"/>
  <c r="D317" i="5"/>
  <c r="C317" i="5"/>
  <c r="A317" i="5"/>
  <c r="AN316" i="5"/>
  <c r="AM316" i="5"/>
  <c r="AL316" i="5"/>
  <c r="AK316" i="5"/>
  <c r="AJ316" i="5"/>
  <c r="AI316" i="5"/>
  <c r="M316" i="5"/>
  <c r="L316" i="5"/>
  <c r="K316" i="5"/>
  <c r="J316" i="5"/>
  <c r="I316" i="5"/>
  <c r="H316" i="5"/>
  <c r="E316" i="9" s="1"/>
  <c r="G316" i="5"/>
  <c r="D316" i="5"/>
  <c r="C316" i="5"/>
  <c r="A316" i="5"/>
  <c r="AN315" i="5"/>
  <c r="AM315" i="5"/>
  <c r="AL315" i="5"/>
  <c r="AK315" i="5"/>
  <c r="AJ315" i="5"/>
  <c r="AI315" i="5"/>
  <c r="M315" i="5"/>
  <c r="L315" i="5"/>
  <c r="K315" i="5"/>
  <c r="J315" i="5"/>
  <c r="I315" i="5"/>
  <c r="H315" i="5"/>
  <c r="E315" i="9" s="1"/>
  <c r="G315" i="5"/>
  <c r="D315" i="5"/>
  <c r="C315" i="5"/>
  <c r="A315" i="5"/>
  <c r="AN314" i="5"/>
  <c r="AM314" i="5"/>
  <c r="AL314" i="5"/>
  <c r="AK314" i="5"/>
  <c r="AJ314" i="5"/>
  <c r="AI314" i="5"/>
  <c r="M314" i="5"/>
  <c r="L314" i="5"/>
  <c r="K314" i="5"/>
  <c r="J314" i="5"/>
  <c r="I314" i="5"/>
  <c r="H314" i="5"/>
  <c r="E314" i="9" s="1"/>
  <c r="G314" i="5"/>
  <c r="D314" i="5"/>
  <c r="C314" i="5"/>
  <c r="A314" i="5"/>
  <c r="AN313" i="5"/>
  <c r="AM313" i="5"/>
  <c r="AL313" i="5"/>
  <c r="AK313" i="5"/>
  <c r="AJ313" i="5"/>
  <c r="AI313" i="5"/>
  <c r="M313" i="5"/>
  <c r="L313" i="5"/>
  <c r="K313" i="5"/>
  <c r="J313" i="5"/>
  <c r="I313" i="5"/>
  <c r="H313" i="5"/>
  <c r="E313" i="9" s="1"/>
  <c r="G313" i="5"/>
  <c r="D313" i="5"/>
  <c r="C313" i="5"/>
  <c r="A313" i="5"/>
  <c r="AN312" i="5"/>
  <c r="AM312" i="5"/>
  <c r="AL312" i="5"/>
  <c r="AK312" i="5"/>
  <c r="AJ312" i="5"/>
  <c r="AI312" i="5"/>
  <c r="M312" i="5"/>
  <c r="L312" i="5"/>
  <c r="K312" i="5"/>
  <c r="J312" i="5"/>
  <c r="I312" i="5"/>
  <c r="H312" i="5"/>
  <c r="E312" i="9" s="1"/>
  <c r="G312" i="5"/>
  <c r="D312" i="5"/>
  <c r="C312" i="5"/>
  <c r="A312" i="5"/>
  <c r="AN311" i="5"/>
  <c r="AM311" i="5"/>
  <c r="AL311" i="5"/>
  <c r="AK311" i="5"/>
  <c r="AJ311" i="5"/>
  <c r="AI311" i="5"/>
  <c r="M311" i="5"/>
  <c r="L311" i="5"/>
  <c r="K311" i="5"/>
  <c r="J311" i="5"/>
  <c r="I311" i="5"/>
  <c r="H311" i="5"/>
  <c r="E311" i="9" s="1"/>
  <c r="G311" i="5"/>
  <c r="D311" i="5"/>
  <c r="C311" i="5"/>
  <c r="A311" i="5"/>
  <c r="AN310" i="5"/>
  <c r="AM310" i="5"/>
  <c r="AL310" i="5"/>
  <c r="AK310" i="5"/>
  <c r="AJ310" i="5"/>
  <c r="AI310" i="5"/>
  <c r="M310" i="5"/>
  <c r="L310" i="5"/>
  <c r="K310" i="5"/>
  <c r="J310" i="5"/>
  <c r="I310" i="5"/>
  <c r="H310" i="5"/>
  <c r="E310" i="9" s="1"/>
  <c r="G310" i="5"/>
  <c r="D310" i="5"/>
  <c r="C310" i="5"/>
  <c r="A310" i="5"/>
  <c r="AN309" i="5"/>
  <c r="AM309" i="5"/>
  <c r="AL309" i="5"/>
  <c r="AK309" i="5"/>
  <c r="AJ309" i="5"/>
  <c r="AI309" i="5"/>
  <c r="M309" i="5"/>
  <c r="L309" i="5"/>
  <c r="K309" i="5"/>
  <c r="J309" i="5"/>
  <c r="I309" i="5"/>
  <c r="H309" i="5"/>
  <c r="E309" i="9" s="1"/>
  <c r="G309" i="5"/>
  <c r="D309" i="5"/>
  <c r="C309" i="5"/>
  <c r="A309" i="5"/>
  <c r="AN308" i="5"/>
  <c r="AM308" i="5"/>
  <c r="AL308" i="5"/>
  <c r="AK308" i="5"/>
  <c r="AJ308" i="5"/>
  <c r="AI308" i="5"/>
  <c r="M308" i="5"/>
  <c r="L308" i="5"/>
  <c r="K308" i="5"/>
  <c r="J308" i="5"/>
  <c r="I308" i="5"/>
  <c r="H308" i="5"/>
  <c r="E308" i="9" s="1"/>
  <c r="G308" i="5"/>
  <c r="D308" i="5"/>
  <c r="C308" i="5"/>
  <c r="A308" i="5"/>
  <c r="AN307" i="5"/>
  <c r="AM307" i="5"/>
  <c r="AL307" i="5"/>
  <c r="AK307" i="5"/>
  <c r="AJ307" i="5"/>
  <c r="AI307" i="5"/>
  <c r="M307" i="5"/>
  <c r="L307" i="5"/>
  <c r="K307" i="5"/>
  <c r="J307" i="5"/>
  <c r="I307" i="5"/>
  <c r="H307" i="5"/>
  <c r="E307" i="9" s="1"/>
  <c r="G307" i="5"/>
  <c r="D307" i="5"/>
  <c r="C307" i="5"/>
  <c r="A307" i="5"/>
  <c r="AN306" i="5"/>
  <c r="AM306" i="5"/>
  <c r="AL306" i="5"/>
  <c r="AK306" i="5"/>
  <c r="AJ306" i="5"/>
  <c r="AI306" i="5"/>
  <c r="M306" i="5"/>
  <c r="L306" i="5"/>
  <c r="K306" i="5"/>
  <c r="J306" i="5"/>
  <c r="I306" i="5"/>
  <c r="H306" i="5"/>
  <c r="E306" i="9" s="1"/>
  <c r="G306" i="5"/>
  <c r="D306" i="5"/>
  <c r="C306" i="5"/>
  <c r="A306" i="5"/>
  <c r="AN305" i="5"/>
  <c r="AM305" i="5"/>
  <c r="AL305" i="5"/>
  <c r="AK305" i="5"/>
  <c r="AJ305" i="5"/>
  <c r="AI305" i="5"/>
  <c r="M305" i="5"/>
  <c r="L305" i="5"/>
  <c r="K305" i="5"/>
  <c r="J305" i="5"/>
  <c r="I305" i="5"/>
  <c r="H305" i="5"/>
  <c r="E305" i="9" s="1"/>
  <c r="G305" i="5"/>
  <c r="D305" i="5"/>
  <c r="C305" i="5"/>
  <c r="A305" i="5"/>
  <c r="AN304" i="5"/>
  <c r="AM304" i="5"/>
  <c r="AL304" i="5"/>
  <c r="AK304" i="5"/>
  <c r="AJ304" i="5"/>
  <c r="AI304" i="5"/>
  <c r="M304" i="5"/>
  <c r="L304" i="5"/>
  <c r="K304" i="5"/>
  <c r="J304" i="5"/>
  <c r="I304" i="5"/>
  <c r="H304" i="5"/>
  <c r="E304" i="9" s="1"/>
  <c r="G304" i="5"/>
  <c r="D304" i="5"/>
  <c r="C304" i="5"/>
  <c r="A304" i="5"/>
  <c r="AN303" i="5"/>
  <c r="AM303" i="5"/>
  <c r="AL303" i="5"/>
  <c r="AK303" i="5"/>
  <c r="AJ303" i="5"/>
  <c r="AI303" i="5"/>
  <c r="M303" i="5"/>
  <c r="L303" i="5"/>
  <c r="K303" i="5"/>
  <c r="J303" i="5"/>
  <c r="I303" i="5"/>
  <c r="H303" i="5"/>
  <c r="E303" i="9" s="1"/>
  <c r="G303" i="5"/>
  <c r="D303" i="5"/>
  <c r="C303" i="5"/>
  <c r="A303" i="5"/>
  <c r="AN302" i="5"/>
  <c r="AM302" i="5"/>
  <c r="AL302" i="5"/>
  <c r="AK302" i="5"/>
  <c r="AJ302" i="5"/>
  <c r="AI302" i="5"/>
  <c r="M302" i="5"/>
  <c r="L302" i="5"/>
  <c r="K302" i="5"/>
  <c r="J302" i="5"/>
  <c r="I302" i="5"/>
  <c r="H302" i="5"/>
  <c r="E302" i="9" s="1"/>
  <c r="G302" i="5"/>
  <c r="D302" i="5"/>
  <c r="C302" i="5"/>
  <c r="A302" i="5"/>
  <c r="AN301" i="5"/>
  <c r="AM301" i="5"/>
  <c r="AL301" i="5"/>
  <c r="AK301" i="5"/>
  <c r="AJ301" i="5"/>
  <c r="AI301" i="5"/>
  <c r="M301" i="5"/>
  <c r="L301" i="5"/>
  <c r="K301" i="5"/>
  <c r="J301" i="5"/>
  <c r="I301" i="5"/>
  <c r="H301" i="5"/>
  <c r="E301" i="9" s="1"/>
  <c r="G301" i="5"/>
  <c r="D301" i="5"/>
  <c r="C301" i="5"/>
  <c r="A301" i="5"/>
  <c r="AN300" i="5"/>
  <c r="AM300" i="5"/>
  <c r="AL300" i="5"/>
  <c r="AK300" i="5"/>
  <c r="AJ300" i="5"/>
  <c r="AI300" i="5"/>
  <c r="M300" i="5"/>
  <c r="L300" i="5"/>
  <c r="K300" i="5"/>
  <c r="J300" i="5"/>
  <c r="I300" i="5"/>
  <c r="H300" i="5"/>
  <c r="E300" i="9" s="1"/>
  <c r="G300" i="5"/>
  <c r="D300" i="5"/>
  <c r="C300" i="5"/>
  <c r="A300" i="5"/>
  <c r="AN299" i="5"/>
  <c r="AM299" i="5"/>
  <c r="AL299" i="5"/>
  <c r="AK299" i="5"/>
  <c r="AJ299" i="5"/>
  <c r="AI299" i="5"/>
  <c r="M299" i="5"/>
  <c r="L299" i="5"/>
  <c r="K299" i="5"/>
  <c r="J299" i="5"/>
  <c r="I299" i="5"/>
  <c r="H299" i="5"/>
  <c r="E299" i="9" s="1"/>
  <c r="G299" i="5"/>
  <c r="D299" i="5"/>
  <c r="C299" i="5"/>
  <c r="A299" i="5"/>
  <c r="AN298" i="5"/>
  <c r="AM298" i="5"/>
  <c r="AL298" i="5"/>
  <c r="AK298" i="5"/>
  <c r="AJ298" i="5"/>
  <c r="AI298" i="5"/>
  <c r="M298" i="5"/>
  <c r="L298" i="5"/>
  <c r="K298" i="5"/>
  <c r="J298" i="5"/>
  <c r="I298" i="5"/>
  <c r="H298" i="5"/>
  <c r="E298" i="9" s="1"/>
  <c r="G298" i="5"/>
  <c r="D298" i="5"/>
  <c r="C298" i="5"/>
  <c r="A298" i="5"/>
  <c r="AN297" i="5"/>
  <c r="AM297" i="5"/>
  <c r="AL297" i="5"/>
  <c r="AK297" i="5"/>
  <c r="AJ297" i="5"/>
  <c r="AI297" i="5"/>
  <c r="M297" i="5"/>
  <c r="L297" i="5"/>
  <c r="K297" i="5"/>
  <c r="J297" i="5"/>
  <c r="I297" i="5"/>
  <c r="H297" i="5"/>
  <c r="E297" i="9" s="1"/>
  <c r="G297" i="5"/>
  <c r="D297" i="5"/>
  <c r="C297" i="5"/>
  <c r="A297" i="5"/>
  <c r="AN296" i="5"/>
  <c r="AM296" i="5"/>
  <c r="AL296" i="5"/>
  <c r="AK296" i="5"/>
  <c r="AJ296" i="5"/>
  <c r="AI296" i="5"/>
  <c r="M296" i="5"/>
  <c r="L296" i="5"/>
  <c r="K296" i="5"/>
  <c r="J296" i="5"/>
  <c r="I296" i="5"/>
  <c r="H296" i="5"/>
  <c r="E296" i="9" s="1"/>
  <c r="G296" i="5"/>
  <c r="D296" i="5"/>
  <c r="C296" i="5"/>
  <c r="A296" i="5"/>
  <c r="AN295" i="5"/>
  <c r="AM295" i="5"/>
  <c r="AL295" i="5"/>
  <c r="AK295" i="5"/>
  <c r="AJ295" i="5"/>
  <c r="AI295" i="5"/>
  <c r="M295" i="5"/>
  <c r="L295" i="5"/>
  <c r="K295" i="5"/>
  <c r="J295" i="5"/>
  <c r="I295" i="5"/>
  <c r="H295" i="5"/>
  <c r="E295" i="9" s="1"/>
  <c r="G295" i="5"/>
  <c r="D295" i="5"/>
  <c r="C295" i="5"/>
  <c r="A295" i="5"/>
  <c r="AN294" i="5"/>
  <c r="AM294" i="5"/>
  <c r="AL294" i="5"/>
  <c r="AK294" i="5"/>
  <c r="AJ294" i="5"/>
  <c r="AI294" i="5"/>
  <c r="M294" i="5"/>
  <c r="L294" i="5"/>
  <c r="K294" i="5"/>
  <c r="J294" i="5"/>
  <c r="I294" i="5"/>
  <c r="H294" i="5"/>
  <c r="E294" i="9" s="1"/>
  <c r="G294" i="5"/>
  <c r="D294" i="5"/>
  <c r="C294" i="5"/>
  <c r="A294" i="5"/>
  <c r="AN293" i="5"/>
  <c r="AM293" i="5"/>
  <c r="AL293" i="5"/>
  <c r="AK293" i="5"/>
  <c r="AJ293" i="5"/>
  <c r="AI293" i="5"/>
  <c r="M293" i="5"/>
  <c r="L293" i="5"/>
  <c r="K293" i="5"/>
  <c r="J293" i="5"/>
  <c r="I293" i="5"/>
  <c r="H293" i="5"/>
  <c r="E293" i="9" s="1"/>
  <c r="G293" i="5"/>
  <c r="D293" i="5"/>
  <c r="C293" i="5"/>
  <c r="A293" i="5"/>
  <c r="AN292" i="5"/>
  <c r="AM292" i="5"/>
  <c r="AL292" i="5"/>
  <c r="AK292" i="5"/>
  <c r="AJ292" i="5"/>
  <c r="AI292" i="5"/>
  <c r="M292" i="5"/>
  <c r="L292" i="5"/>
  <c r="K292" i="5"/>
  <c r="J292" i="5"/>
  <c r="I292" i="5"/>
  <c r="H292" i="5"/>
  <c r="E292" i="9" s="1"/>
  <c r="G292" i="5"/>
  <c r="D292" i="5"/>
  <c r="C292" i="5"/>
  <c r="A292" i="5"/>
  <c r="AN291" i="5"/>
  <c r="AM291" i="5"/>
  <c r="AL291" i="5"/>
  <c r="AK291" i="5"/>
  <c r="AJ291" i="5"/>
  <c r="AI291" i="5"/>
  <c r="M291" i="5"/>
  <c r="L291" i="5"/>
  <c r="K291" i="5"/>
  <c r="J291" i="5"/>
  <c r="I291" i="5"/>
  <c r="H291" i="5"/>
  <c r="E291" i="9" s="1"/>
  <c r="G291" i="5"/>
  <c r="D291" i="5"/>
  <c r="C291" i="5"/>
  <c r="A291" i="5"/>
  <c r="AN290" i="5"/>
  <c r="AM290" i="5"/>
  <c r="AL290" i="5"/>
  <c r="AK290" i="5"/>
  <c r="AJ290" i="5"/>
  <c r="AI290" i="5"/>
  <c r="M290" i="5"/>
  <c r="L290" i="5"/>
  <c r="K290" i="5"/>
  <c r="J290" i="5"/>
  <c r="I290" i="5"/>
  <c r="H290" i="5"/>
  <c r="E290" i="9" s="1"/>
  <c r="G290" i="5"/>
  <c r="D290" i="5"/>
  <c r="C290" i="5"/>
  <c r="A290" i="5"/>
  <c r="AN289" i="5"/>
  <c r="AM289" i="5"/>
  <c r="AL289" i="5"/>
  <c r="AK289" i="5"/>
  <c r="AJ289" i="5"/>
  <c r="AI289" i="5"/>
  <c r="M289" i="5"/>
  <c r="L289" i="5"/>
  <c r="K289" i="5"/>
  <c r="J289" i="5"/>
  <c r="I289" i="5"/>
  <c r="H289" i="5"/>
  <c r="E289" i="9" s="1"/>
  <c r="G289" i="5"/>
  <c r="D289" i="5"/>
  <c r="C289" i="5"/>
  <c r="A289" i="5"/>
  <c r="AN288" i="5"/>
  <c r="AM288" i="5"/>
  <c r="AL288" i="5"/>
  <c r="AK288" i="5"/>
  <c r="AJ288" i="5"/>
  <c r="AI288" i="5"/>
  <c r="M288" i="5"/>
  <c r="L288" i="5"/>
  <c r="K288" i="5"/>
  <c r="J288" i="5"/>
  <c r="I288" i="5"/>
  <c r="H288" i="5"/>
  <c r="E288" i="9" s="1"/>
  <c r="G288" i="5"/>
  <c r="D288" i="5"/>
  <c r="C288" i="5"/>
  <c r="A288" i="5"/>
  <c r="AN287" i="5"/>
  <c r="AM287" i="5"/>
  <c r="AL287" i="5"/>
  <c r="AK287" i="5"/>
  <c r="AJ287" i="5"/>
  <c r="AI287" i="5"/>
  <c r="M287" i="5"/>
  <c r="L287" i="5"/>
  <c r="K287" i="5"/>
  <c r="J287" i="5"/>
  <c r="I287" i="5"/>
  <c r="H287" i="5"/>
  <c r="E287" i="9" s="1"/>
  <c r="G287" i="5"/>
  <c r="D287" i="5"/>
  <c r="C287" i="5"/>
  <c r="A287" i="5"/>
  <c r="AN286" i="5"/>
  <c r="AM286" i="5"/>
  <c r="AL286" i="5"/>
  <c r="AK286" i="5"/>
  <c r="AJ286" i="5"/>
  <c r="AI286" i="5"/>
  <c r="M286" i="5"/>
  <c r="L286" i="5"/>
  <c r="K286" i="5"/>
  <c r="J286" i="5"/>
  <c r="I286" i="5"/>
  <c r="H286" i="5"/>
  <c r="E286" i="9" s="1"/>
  <c r="G286" i="5"/>
  <c r="D286" i="5"/>
  <c r="C286" i="5"/>
  <c r="A286" i="5"/>
  <c r="AN285" i="5"/>
  <c r="AM285" i="5"/>
  <c r="AL285" i="5"/>
  <c r="AK285" i="5"/>
  <c r="AJ285" i="5"/>
  <c r="AI285" i="5"/>
  <c r="M285" i="5"/>
  <c r="L285" i="5"/>
  <c r="K285" i="5"/>
  <c r="J285" i="5"/>
  <c r="I285" i="5"/>
  <c r="H285" i="5"/>
  <c r="E285" i="9" s="1"/>
  <c r="G285" i="5"/>
  <c r="D285" i="5"/>
  <c r="C285" i="5"/>
  <c r="A285" i="5"/>
  <c r="AN284" i="5"/>
  <c r="AM284" i="5"/>
  <c r="AL284" i="5"/>
  <c r="AK284" i="5"/>
  <c r="AJ284" i="5"/>
  <c r="AI284" i="5"/>
  <c r="M284" i="5"/>
  <c r="L284" i="5"/>
  <c r="K284" i="5"/>
  <c r="J284" i="5"/>
  <c r="I284" i="5"/>
  <c r="H284" i="5"/>
  <c r="E284" i="9" s="1"/>
  <c r="G284" i="5"/>
  <c r="D284" i="5"/>
  <c r="C284" i="5"/>
  <c r="A284" i="5"/>
  <c r="AN283" i="5"/>
  <c r="AM283" i="5"/>
  <c r="AL283" i="5"/>
  <c r="AK283" i="5"/>
  <c r="AJ283" i="5"/>
  <c r="AI283" i="5"/>
  <c r="M283" i="5"/>
  <c r="L283" i="5"/>
  <c r="K283" i="5"/>
  <c r="J283" i="5"/>
  <c r="I283" i="5"/>
  <c r="H283" i="5"/>
  <c r="E283" i="9" s="1"/>
  <c r="G283" i="5"/>
  <c r="D283" i="5"/>
  <c r="C283" i="5"/>
  <c r="A283" i="5"/>
  <c r="AN282" i="5"/>
  <c r="AM282" i="5"/>
  <c r="AL282" i="5"/>
  <c r="AK282" i="5"/>
  <c r="AJ282" i="5"/>
  <c r="AI282" i="5"/>
  <c r="M282" i="5"/>
  <c r="L282" i="5"/>
  <c r="K282" i="5"/>
  <c r="J282" i="5"/>
  <c r="I282" i="5"/>
  <c r="H282" i="5"/>
  <c r="E282" i="9" s="1"/>
  <c r="G282" i="5"/>
  <c r="D282" i="5"/>
  <c r="C282" i="5"/>
  <c r="A282" i="5"/>
  <c r="AN281" i="5"/>
  <c r="AM281" i="5"/>
  <c r="AL281" i="5"/>
  <c r="AK281" i="5"/>
  <c r="AJ281" i="5"/>
  <c r="AI281" i="5"/>
  <c r="M281" i="5"/>
  <c r="L281" i="5"/>
  <c r="K281" i="5"/>
  <c r="J281" i="5"/>
  <c r="I281" i="5"/>
  <c r="H281" i="5"/>
  <c r="E281" i="9" s="1"/>
  <c r="G281" i="5"/>
  <c r="D281" i="5"/>
  <c r="C281" i="5"/>
  <c r="A281" i="5"/>
  <c r="AN280" i="5"/>
  <c r="AM280" i="5"/>
  <c r="AL280" i="5"/>
  <c r="AK280" i="5"/>
  <c r="AJ280" i="5"/>
  <c r="AI280" i="5"/>
  <c r="M280" i="5"/>
  <c r="L280" i="5"/>
  <c r="K280" i="5"/>
  <c r="J280" i="5"/>
  <c r="I280" i="5"/>
  <c r="H280" i="5"/>
  <c r="E280" i="9" s="1"/>
  <c r="G280" i="5"/>
  <c r="D280" i="5"/>
  <c r="C280" i="5"/>
  <c r="A280" i="5"/>
  <c r="AN279" i="5"/>
  <c r="AM279" i="5"/>
  <c r="AL279" i="5"/>
  <c r="AK279" i="5"/>
  <c r="AJ279" i="5"/>
  <c r="AI279" i="5"/>
  <c r="M279" i="5"/>
  <c r="L279" i="5"/>
  <c r="K279" i="5"/>
  <c r="J279" i="5"/>
  <c r="I279" i="5"/>
  <c r="H279" i="5"/>
  <c r="E279" i="9" s="1"/>
  <c r="G279" i="5"/>
  <c r="D279" i="5"/>
  <c r="C279" i="5"/>
  <c r="A279" i="5"/>
  <c r="AN278" i="5"/>
  <c r="AM278" i="5"/>
  <c r="AL278" i="5"/>
  <c r="AK278" i="5"/>
  <c r="AJ278" i="5"/>
  <c r="AI278" i="5"/>
  <c r="M278" i="5"/>
  <c r="L278" i="5"/>
  <c r="K278" i="5"/>
  <c r="J278" i="5"/>
  <c r="I278" i="5"/>
  <c r="H278" i="5"/>
  <c r="E278" i="9" s="1"/>
  <c r="G278" i="5"/>
  <c r="D278" i="5"/>
  <c r="C278" i="5"/>
  <c r="A278" i="5"/>
  <c r="AN277" i="5"/>
  <c r="AM277" i="5"/>
  <c r="AL277" i="5"/>
  <c r="AK277" i="5"/>
  <c r="AJ277" i="5"/>
  <c r="AI277" i="5"/>
  <c r="M277" i="5"/>
  <c r="L277" i="5"/>
  <c r="K277" i="5"/>
  <c r="J277" i="5"/>
  <c r="I277" i="5"/>
  <c r="H277" i="5"/>
  <c r="E277" i="9" s="1"/>
  <c r="G277" i="5"/>
  <c r="D277" i="5"/>
  <c r="C277" i="5"/>
  <c r="A277" i="5"/>
  <c r="AN276" i="5"/>
  <c r="AM276" i="5"/>
  <c r="AL276" i="5"/>
  <c r="AK276" i="5"/>
  <c r="AJ276" i="5"/>
  <c r="AI276" i="5"/>
  <c r="M276" i="5"/>
  <c r="L276" i="5"/>
  <c r="K276" i="5"/>
  <c r="J276" i="5"/>
  <c r="I276" i="5"/>
  <c r="H276" i="5"/>
  <c r="E276" i="9" s="1"/>
  <c r="G276" i="5"/>
  <c r="D276" i="5"/>
  <c r="C276" i="5"/>
  <c r="A276" i="5"/>
  <c r="AN275" i="5"/>
  <c r="AM275" i="5"/>
  <c r="AL275" i="5"/>
  <c r="AK275" i="5"/>
  <c r="AJ275" i="5"/>
  <c r="AI275" i="5"/>
  <c r="M275" i="5"/>
  <c r="L275" i="5"/>
  <c r="K275" i="5"/>
  <c r="J275" i="5"/>
  <c r="I275" i="5"/>
  <c r="H275" i="5"/>
  <c r="E275" i="9" s="1"/>
  <c r="G275" i="5"/>
  <c r="D275" i="5"/>
  <c r="C275" i="5"/>
  <c r="A275" i="5"/>
  <c r="AN274" i="5"/>
  <c r="AM274" i="5"/>
  <c r="AL274" i="5"/>
  <c r="AK274" i="5"/>
  <c r="AJ274" i="5"/>
  <c r="AI274" i="5"/>
  <c r="M274" i="5"/>
  <c r="L274" i="5"/>
  <c r="K274" i="5"/>
  <c r="J274" i="5"/>
  <c r="I274" i="5"/>
  <c r="H274" i="5"/>
  <c r="E274" i="9" s="1"/>
  <c r="G274" i="5"/>
  <c r="D274" i="5"/>
  <c r="C274" i="5"/>
  <c r="A274" i="5"/>
  <c r="AN273" i="5"/>
  <c r="AM273" i="5"/>
  <c r="AL273" i="5"/>
  <c r="AK273" i="5"/>
  <c r="AJ273" i="5"/>
  <c r="AI273" i="5"/>
  <c r="M273" i="5"/>
  <c r="L273" i="5"/>
  <c r="K273" i="5"/>
  <c r="J273" i="5"/>
  <c r="I273" i="5"/>
  <c r="H273" i="5"/>
  <c r="E273" i="9" s="1"/>
  <c r="G273" i="5"/>
  <c r="D273" i="5"/>
  <c r="C273" i="5"/>
  <c r="A273" i="5"/>
  <c r="AN272" i="5"/>
  <c r="AM272" i="5"/>
  <c r="AL272" i="5"/>
  <c r="AK272" i="5"/>
  <c r="AJ272" i="5"/>
  <c r="AI272" i="5"/>
  <c r="M272" i="5"/>
  <c r="L272" i="5"/>
  <c r="K272" i="5"/>
  <c r="J272" i="5"/>
  <c r="I272" i="5"/>
  <c r="H272" i="5"/>
  <c r="E272" i="9" s="1"/>
  <c r="G272" i="5"/>
  <c r="D272" i="5"/>
  <c r="C272" i="5"/>
  <c r="A272" i="5"/>
  <c r="AN271" i="5"/>
  <c r="AM271" i="5"/>
  <c r="AL271" i="5"/>
  <c r="AK271" i="5"/>
  <c r="AJ271" i="5"/>
  <c r="AI271" i="5"/>
  <c r="M271" i="5"/>
  <c r="L271" i="5"/>
  <c r="K271" i="5"/>
  <c r="J271" i="5"/>
  <c r="I271" i="5"/>
  <c r="H271" i="5"/>
  <c r="E271" i="9" s="1"/>
  <c r="G271" i="5"/>
  <c r="D271" i="5"/>
  <c r="C271" i="5"/>
  <c r="A271" i="5"/>
  <c r="AN270" i="5"/>
  <c r="AM270" i="5"/>
  <c r="AL270" i="5"/>
  <c r="AK270" i="5"/>
  <c r="AJ270" i="5"/>
  <c r="AI270" i="5"/>
  <c r="M270" i="5"/>
  <c r="L270" i="5"/>
  <c r="K270" i="5"/>
  <c r="J270" i="5"/>
  <c r="I270" i="5"/>
  <c r="H270" i="5"/>
  <c r="E270" i="9" s="1"/>
  <c r="G270" i="5"/>
  <c r="D270" i="5"/>
  <c r="C270" i="5"/>
  <c r="A270" i="5"/>
  <c r="AN269" i="5"/>
  <c r="AM269" i="5"/>
  <c r="AL269" i="5"/>
  <c r="AK269" i="5"/>
  <c r="AJ269" i="5"/>
  <c r="AI269" i="5"/>
  <c r="M269" i="5"/>
  <c r="L269" i="5"/>
  <c r="K269" i="5"/>
  <c r="J269" i="5"/>
  <c r="I269" i="5"/>
  <c r="H269" i="5"/>
  <c r="E269" i="9" s="1"/>
  <c r="G269" i="5"/>
  <c r="D269" i="5"/>
  <c r="C269" i="5"/>
  <c r="A269" i="5"/>
  <c r="AN268" i="5"/>
  <c r="AM268" i="5"/>
  <c r="AL268" i="5"/>
  <c r="AK268" i="5"/>
  <c r="AJ268" i="5"/>
  <c r="AI268" i="5"/>
  <c r="M268" i="5"/>
  <c r="L268" i="5"/>
  <c r="K268" i="5"/>
  <c r="J268" i="5"/>
  <c r="I268" i="5"/>
  <c r="H268" i="5"/>
  <c r="E268" i="9" s="1"/>
  <c r="G268" i="5"/>
  <c r="D268" i="5"/>
  <c r="C268" i="5"/>
  <c r="A268" i="5"/>
  <c r="AN267" i="5"/>
  <c r="AM267" i="5"/>
  <c r="AL267" i="5"/>
  <c r="AK267" i="5"/>
  <c r="AJ267" i="5"/>
  <c r="AI267" i="5"/>
  <c r="M267" i="5"/>
  <c r="L267" i="5"/>
  <c r="K267" i="5"/>
  <c r="J267" i="5"/>
  <c r="I267" i="5"/>
  <c r="H267" i="5"/>
  <c r="E267" i="9" s="1"/>
  <c r="G267" i="5"/>
  <c r="D267" i="5"/>
  <c r="C267" i="5"/>
  <c r="A267" i="5"/>
  <c r="AN266" i="5"/>
  <c r="AM266" i="5"/>
  <c r="AL266" i="5"/>
  <c r="AK266" i="5"/>
  <c r="AJ266" i="5"/>
  <c r="AI266" i="5"/>
  <c r="M266" i="5"/>
  <c r="L266" i="5"/>
  <c r="K266" i="5"/>
  <c r="J266" i="5"/>
  <c r="I266" i="5"/>
  <c r="H266" i="5"/>
  <c r="E266" i="9" s="1"/>
  <c r="G266" i="5"/>
  <c r="D266" i="5"/>
  <c r="C266" i="5"/>
  <c r="A266" i="5"/>
  <c r="AN265" i="5"/>
  <c r="AM265" i="5"/>
  <c r="AL265" i="5"/>
  <c r="AK265" i="5"/>
  <c r="AJ265" i="5"/>
  <c r="AI265" i="5"/>
  <c r="M265" i="5"/>
  <c r="L265" i="5"/>
  <c r="K265" i="5"/>
  <c r="J265" i="5"/>
  <c r="I265" i="5"/>
  <c r="H265" i="5"/>
  <c r="E265" i="9" s="1"/>
  <c r="G265" i="5"/>
  <c r="D265" i="5"/>
  <c r="C265" i="5"/>
  <c r="A265" i="5"/>
  <c r="AN264" i="5"/>
  <c r="AM264" i="5"/>
  <c r="AL264" i="5"/>
  <c r="AK264" i="5"/>
  <c r="AJ264" i="5"/>
  <c r="AI264" i="5"/>
  <c r="M264" i="5"/>
  <c r="L264" i="5"/>
  <c r="K264" i="5"/>
  <c r="J264" i="5"/>
  <c r="I264" i="5"/>
  <c r="H264" i="5"/>
  <c r="E264" i="9" s="1"/>
  <c r="G264" i="5"/>
  <c r="D264" i="5"/>
  <c r="C264" i="5"/>
  <c r="A264" i="5"/>
  <c r="AN263" i="5"/>
  <c r="AM263" i="5"/>
  <c r="AL263" i="5"/>
  <c r="AK263" i="5"/>
  <c r="AJ263" i="5"/>
  <c r="AI263" i="5"/>
  <c r="M263" i="5"/>
  <c r="L263" i="5"/>
  <c r="K263" i="5"/>
  <c r="J263" i="5"/>
  <c r="I263" i="5"/>
  <c r="H263" i="5"/>
  <c r="E263" i="9" s="1"/>
  <c r="G263" i="5"/>
  <c r="D263" i="5"/>
  <c r="C263" i="5"/>
  <c r="A263" i="5"/>
  <c r="AN262" i="5"/>
  <c r="AM262" i="5"/>
  <c r="AL262" i="5"/>
  <c r="AK262" i="5"/>
  <c r="AJ262" i="5"/>
  <c r="AI262" i="5"/>
  <c r="M262" i="5"/>
  <c r="L262" i="5"/>
  <c r="K262" i="5"/>
  <c r="J262" i="5"/>
  <c r="I262" i="5"/>
  <c r="H262" i="5"/>
  <c r="E262" i="9" s="1"/>
  <c r="G262" i="5"/>
  <c r="D262" i="5"/>
  <c r="C262" i="5"/>
  <c r="A262" i="5"/>
  <c r="AN261" i="5"/>
  <c r="AM261" i="5"/>
  <c r="AL261" i="5"/>
  <c r="AK261" i="5"/>
  <c r="AJ261" i="5"/>
  <c r="AI261" i="5"/>
  <c r="M261" i="5"/>
  <c r="L261" i="5"/>
  <c r="K261" i="5"/>
  <c r="J261" i="5"/>
  <c r="I261" i="5"/>
  <c r="H261" i="5"/>
  <c r="E261" i="9" s="1"/>
  <c r="G261" i="5"/>
  <c r="D261" i="5"/>
  <c r="C261" i="5"/>
  <c r="A261" i="5"/>
  <c r="AN260" i="5"/>
  <c r="AM260" i="5"/>
  <c r="AL260" i="5"/>
  <c r="AK260" i="5"/>
  <c r="AJ260" i="5"/>
  <c r="AI260" i="5"/>
  <c r="M260" i="5"/>
  <c r="L260" i="5"/>
  <c r="K260" i="5"/>
  <c r="J260" i="5"/>
  <c r="I260" i="5"/>
  <c r="H260" i="5"/>
  <c r="E260" i="9" s="1"/>
  <c r="G260" i="5"/>
  <c r="D260" i="5"/>
  <c r="C260" i="5"/>
  <c r="A260" i="5"/>
  <c r="AN259" i="5"/>
  <c r="AM259" i="5"/>
  <c r="AL259" i="5"/>
  <c r="AK259" i="5"/>
  <c r="AJ259" i="5"/>
  <c r="AI259" i="5"/>
  <c r="M259" i="5"/>
  <c r="L259" i="5"/>
  <c r="K259" i="5"/>
  <c r="J259" i="5"/>
  <c r="I259" i="5"/>
  <c r="H259" i="5"/>
  <c r="E259" i="9" s="1"/>
  <c r="G259" i="5"/>
  <c r="D259" i="5"/>
  <c r="C259" i="5"/>
  <c r="A259" i="5"/>
  <c r="AN258" i="5"/>
  <c r="AM258" i="5"/>
  <c r="AL258" i="5"/>
  <c r="AK258" i="5"/>
  <c r="AJ258" i="5"/>
  <c r="AI258" i="5"/>
  <c r="M258" i="5"/>
  <c r="L258" i="5"/>
  <c r="K258" i="5"/>
  <c r="J258" i="5"/>
  <c r="I258" i="5"/>
  <c r="H258" i="5"/>
  <c r="E258" i="9" s="1"/>
  <c r="G258" i="5"/>
  <c r="D258" i="5"/>
  <c r="C258" i="5"/>
  <c r="A258" i="5"/>
  <c r="AN257" i="5"/>
  <c r="AM257" i="5"/>
  <c r="AL257" i="5"/>
  <c r="AK257" i="5"/>
  <c r="AJ257" i="5"/>
  <c r="AI257" i="5"/>
  <c r="M257" i="5"/>
  <c r="L257" i="5"/>
  <c r="K257" i="5"/>
  <c r="J257" i="5"/>
  <c r="I257" i="5"/>
  <c r="H257" i="5"/>
  <c r="E257" i="9" s="1"/>
  <c r="G257" i="5"/>
  <c r="D257" i="5"/>
  <c r="C257" i="5"/>
  <c r="A257" i="5"/>
  <c r="AN256" i="5"/>
  <c r="AM256" i="5"/>
  <c r="AL256" i="5"/>
  <c r="AK256" i="5"/>
  <c r="AJ256" i="5"/>
  <c r="AI256" i="5"/>
  <c r="M256" i="5"/>
  <c r="L256" i="5"/>
  <c r="K256" i="5"/>
  <c r="J256" i="5"/>
  <c r="I256" i="5"/>
  <c r="H256" i="5"/>
  <c r="E256" i="9" s="1"/>
  <c r="G256" i="5"/>
  <c r="D256" i="5"/>
  <c r="C256" i="5"/>
  <c r="A256" i="5"/>
  <c r="AN255" i="5"/>
  <c r="AM255" i="5"/>
  <c r="AL255" i="5"/>
  <c r="AK255" i="5"/>
  <c r="AJ255" i="5"/>
  <c r="AI255" i="5"/>
  <c r="M255" i="5"/>
  <c r="L255" i="5"/>
  <c r="K255" i="5"/>
  <c r="J255" i="5"/>
  <c r="I255" i="5"/>
  <c r="H255" i="5"/>
  <c r="E255" i="9" s="1"/>
  <c r="G255" i="5"/>
  <c r="D255" i="5"/>
  <c r="C255" i="5"/>
  <c r="A255" i="5"/>
  <c r="AN254" i="5"/>
  <c r="AM254" i="5"/>
  <c r="AL254" i="5"/>
  <c r="AK254" i="5"/>
  <c r="AJ254" i="5"/>
  <c r="AI254" i="5"/>
  <c r="M254" i="5"/>
  <c r="L254" i="5"/>
  <c r="K254" i="5"/>
  <c r="J254" i="5"/>
  <c r="I254" i="5"/>
  <c r="H254" i="5"/>
  <c r="E254" i="9" s="1"/>
  <c r="G254" i="5"/>
  <c r="D254" i="5"/>
  <c r="C254" i="5"/>
  <c r="A254" i="5"/>
  <c r="AN253" i="5"/>
  <c r="AM253" i="5"/>
  <c r="AL253" i="5"/>
  <c r="AK253" i="5"/>
  <c r="AJ253" i="5"/>
  <c r="AI253" i="5"/>
  <c r="M253" i="5"/>
  <c r="L253" i="5"/>
  <c r="K253" i="5"/>
  <c r="J253" i="5"/>
  <c r="I253" i="5"/>
  <c r="H253" i="5"/>
  <c r="E253" i="9" s="1"/>
  <c r="G253" i="5"/>
  <c r="D253" i="5"/>
  <c r="C253" i="5"/>
  <c r="A253" i="5"/>
  <c r="AN252" i="5"/>
  <c r="AM252" i="5"/>
  <c r="AL252" i="5"/>
  <c r="AK252" i="5"/>
  <c r="AJ252" i="5"/>
  <c r="AI252" i="5"/>
  <c r="M252" i="5"/>
  <c r="L252" i="5"/>
  <c r="K252" i="5"/>
  <c r="J252" i="5"/>
  <c r="I252" i="5"/>
  <c r="H252" i="5"/>
  <c r="E252" i="9" s="1"/>
  <c r="G252" i="5"/>
  <c r="D252" i="5"/>
  <c r="C252" i="5"/>
  <c r="A252" i="5"/>
  <c r="AN251" i="5"/>
  <c r="AM251" i="5"/>
  <c r="AL251" i="5"/>
  <c r="AK251" i="5"/>
  <c r="AJ251" i="5"/>
  <c r="AI251" i="5"/>
  <c r="M251" i="5"/>
  <c r="L251" i="5"/>
  <c r="K251" i="5"/>
  <c r="J251" i="5"/>
  <c r="I251" i="5"/>
  <c r="H251" i="5"/>
  <c r="E251" i="9" s="1"/>
  <c r="G251" i="5"/>
  <c r="D251" i="5"/>
  <c r="C251" i="5"/>
  <c r="A251" i="5"/>
  <c r="AN250" i="5"/>
  <c r="AM250" i="5"/>
  <c r="AL250" i="5"/>
  <c r="AK250" i="5"/>
  <c r="AJ250" i="5"/>
  <c r="AI250" i="5"/>
  <c r="M250" i="5"/>
  <c r="L250" i="5"/>
  <c r="K250" i="5"/>
  <c r="J250" i="5"/>
  <c r="I250" i="5"/>
  <c r="H250" i="5"/>
  <c r="E250" i="9" s="1"/>
  <c r="G250" i="5"/>
  <c r="D250" i="5"/>
  <c r="C250" i="5"/>
  <c r="A250" i="5"/>
  <c r="AN249" i="5"/>
  <c r="AM249" i="5"/>
  <c r="AL249" i="5"/>
  <c r="AK249" i="5"/>
  <c r="AJ249" i="5"/>
  <c r="AI249" i="5"/>
  <c r="M249" i="5"/>
  <c r="L249" i="5"/>
  <c r="K249" i="5"/>
  <c r="J249" i="5"/>
  <c r="I249" i="5"/>
  <c r="H249" i="5"/>
  <c r="E249" i="9" s="1"/>
  <c r="G249" i="5"/>
  <c r="D249" i="5"/>
  <c r="C249" i="5"/>
  <c r="A249" i="5"/>
  <c r="AN248" i="5"/>
  <c r="AM248" i="5"/>
  <c r="AL248" i="5"/>
  <c r="AK248" i="5"/>
  <c r="AJ248" i="5"/>
  <c r="AI248" i="5"/>
  <c r="M248" i="5"/>
  <c r="L248" i="5"/>
  <c r="K248" i="5"/>
  <c r="J248" i="5"/>
  <c r="I248" i="5"/>
  <c r="H248" i="5"/>
  <c r="E248" i="9" s="1"/>
  <c r="G248" i="5"/>
  <c r="D248" i="5"/>
  <c r="C248" i="5"/>
  <c r="A248" i="5"/>
  <c r="AN247" i="5"/>
  <c r="AM247" i="5"/>
  <c r="AL247" i="5"/>
  <c r="AK247" i="5"/>
  <c r="AJ247" i="5"/>
  <c r="AI247" i="5"/>
  <c r="M247" i="5"/>
  <c r="L247" i="5"/>
  <c r="K247" i="5"/>
  <c r="J247" i="5"/>
  <c r="I247" i="5"/>
  <c r="H247" i="5"/>
  <c r="E247" i="9" s="1"/>
  <c r="G247" i="5"/>
  <c r="D247" i="5"/>
  <c r="C247" i="5"/>
  <c r="A247" i="5"/>
  <c r="AN246" i="5"/>
  <c r="AM246" i="5"/>
  <c r="AL246" i="5"/>
  <c r="AK246" i="5"/>
  <c r="AJ246" i="5"/>
  <c r="AI246" i="5"/>
  <c r="M246" i="5"/>
  <c r="L246" i="5"/>
  <c r="K246" i="5"/>
  <c r="J246" i="5"/>
  <c r="I246" i="5"/>
  <c r="H246" i="5"/>
  <c r="E246" i="9" s="1"/>
  <c r="G246" i="5"/>
  <c r="D246" i="5"/>
  <c r="C246" i="5"/>
  <c r="A246" i="5"/>
  <c r="AN245" i="5"/>
  <c r="AM245" i="5"/>
  <c r="AL245" i="5"/>
  <c r="AK245" i="5"/>
  <c r="AJ245" i="5"/>
  <c r="AI245" i="5"/>
  <c r="M245" i="5"/>
  <c r="L245" i="5"/>
  <c r="K245" i="5"/>
  <c r="J245" i="5"/>
  <c r="I245" i="5"/>
  <c r="H245" i="5"/>
  <c r="E245" i="9" s="1"/>
  <c r="G245" i="5"/>
  <c r="D245" i="5"/>
  <c r="C245" i="5"/>
  <c r="A245" i="5"/>
  <c r="AN244" i="5"/>
  <c r="AM244" i="5"/>
  <c r="AL244" i="5"/>
  <c r="AK244" i="5"/>
  <c r="AJ244" i="5"/>
  <c r="AI244" i="5"/>
  <c r="M244" i="5"/>
  <c r="L244" i="5"/>
  <c r="K244" i="5"/>
  <c r="J244" i="5"/>
  <c r="I244" i="5"/>
  <c r="H244" i="5"/>
  <c r="E244" i="9" s="1"/>
  <c r="G244" i="5"/>
  <c r="D244" i="5"/>
  <c r="C244" i="5"/>
  <c r="A244" i="5"/>
  <c r="AN243" i="5"/>
  <c r="AM243" i="5"/>
  <c r="AL243" i="5"/>
  <c r="AK243" i="5"/>
  <c r="AJ243" i="5"/>
  <c r="AI243" i="5"/>
  <c r="M243" i="5"/>
  <c r="L243" i="5"/>
  <c r="K243" i="5"/>
  <c r="J243" i="5"/>
  <c r="I243" i="5"/>
  <c r="H243" i="5"/>
  <c r="E243" i="9" s="1"/>
  <c r="G243" i="5"/>
  <c r="D243" i="5"/>
  <c r="C243" i="5"/>
  <c r="A243" i="5"/>
  <c r="AN242" i="5"/>
  <c r="AM242" i="5"/>
  <c r="AL242" i="5"/>
  <c r="AK242" i="5"/>
  <c r="AJ242" i="5"/>
  <c r="AI242" i="5"/>
  <c r="M242" i="5"/>
  <c r="L242" i="5"/>
  <c r="K242" i="5"/>
  <c r="J242" i="5"/>
  <c r="I242" i="5"/>
  <c r="H242" i="5"/>
  <c r="E242" i="9" s="1"/>
  <c r="G242" i="5"/>
  <c r="D242" i="5"/>
  <c r="C242" i="5"/>
  <c r="A242" i="5"/>
  <c r="AN241" i="5"/>
  <c r="AM241" i="5"/>
  <c r="AL241" i="5"/>
  <c r="AK241" i="5"/>
  <c r="AJ241" i="5"/>
  <c r="AI241" i="5"/>
  <c r="M241" i="5"/>
  <c r="L241" i="5"/>
  <c r="K241" i="5"/>
  <c r="J241" i="5"/>
  <c r="I241" i="5"/>
  <c r="H241" i="5"/>
  <c r="E241" i="9" s="1"/>
  <c r="G241" i="5"/>
  <c r="D241" i="5"/>
  <c r="C241" i="5"/>
  <c r="A241" i="5"/>
  <c r="AN240" i="5"/>
  <c r="AM240" i="5"/>
  <c r="AL240" i="5"/>
  <c r="AK240" i="5"/>
  <c r="AJ240" i="5"/>
  <c r="AI240" i="5"/>
  <c r="M240" i="5"/>
  <c r="L240" i="5"/>
  <c r="K240" i="5"/>
  <c r="J240" i="5"/>
  <c r="I240" i="5"/>
  <c r="H240" i="5"/>
  <c r="E240" i="9" s="1"/>
  <c r="G240" i="5"/>
  <c r="D240" i="5"/>
  <c r="C240" i="5"/>
  <c r="A240" i="5"/>
  <c r="AN239" i="5"/>
  <c r="AM239" i="5"/>
  <c r="AL239" i="5"/>
  <c r="AK239" i="5"/>
  <c r="AJ239" i="5"/>
  <c r="AI239" i="5"/>
  <c r="M239" i="5"/>
  <c r="L239" i="5"/>
  <c r="K239" i="5"/>
  <c r="J239" i="5"/>
  <c r="I239" i="5"/>
  <c r="H239" i="5"/>
  <c r="E239" i="9" s="1"/>
  <c r="G239" i="5"/>
  <c r="D239" i="5"/>
  <c r="C239" i="5"/>
  <c r="A239" i="5"/>
  <c r="AN238" i="5"/>
  <c r="AM238" i="5"/>
  <c r="AL238" i="5"/>
  <c r="AK238" i="5"/>
  <c r="AJ238" i="5"/>
  <c r="AI238" i="5"/>
  <c r="M238" i="5"/>
  <c r="L238" i="5"/>
  <c r="K238" i="5"/>
  <c r="J238" i="5"/>
  <c r="I238" i="5"/>
  <c r="H238" i="5"/>
  <c r="E238" i="9" s="1"/>
  <c r="G238" i="5"/>
  <c r="D238" i="5"/>
  <c r="C238" i="5"/>
  <c r="A238" i="5"/>
  <c r="AN237" i="5"/>
  <c r="AM237" i="5"/>
  <c r="AL237" i="5"/>
  <c r="AK237" i="5"/>
  <c r="AJ237" i="5"/>
  <c r="AI237" i="5"/>
  <c r="M237" i="5"/>
  <c r="L237" i="5"/>
  <c r="K237" i="5"/>
  <c r="J237" i="5"/>
  <c r="I237" i="5"/>
  <c r="H237" i="5"/>
  <c r="E237" i="9" s="1"/>
  <c r="G237" i="5"/>
  <c r="D237" i="5"/>
  <c r="C237" i="5"/>
  <c r="A237" i="5"/>
  <c r="AN236" i="5"/>
  <c r="AM236" i="5"/>
  <c r="AL236" i="5"/>
  <c r="AK236" i="5"/>
  <c r="AJ236" i="5"/>
  <c r="AI236" i="5"/>
  <c r="M236" i="5"/>
  <c r="L236" i="5"/>
  <c r="K236" i="5"/>
  <c r="J236" i="5"/>
  <c r="I236" i="5"/>
  <c r="H236" i="5"/>
  <c r="E236" i="9" s="1"/>
  <c r="G236" i="5"/>
  <c r="D236" i="5"/>
  <c r="C236" i="5"/>
  <c r="A236" i="5"/>
  <c r="AN235" i="5"/>
  <c r="AM235" i="5"/>
  <c r="AL235" i="5"/>
  <c r="AK235" i="5"/>
  <c r="AJ235" i="5"/>
  <c r="AI235" i="5"/>
  <c r="M235" i="5"/>
  <c r="L235" i="5"/>
  <c r="K235" i="5"/>
  <c r="J235" i="5"/>
  <c r="I235" i="5"/>
  <c r="H235" i="5"/>
  <c r="E235" i="9" s="1"/>
  <c r="G235" i="5"/>
  <c r="D235" i="5"/>
  <c r="C235" i="5"/>
  <c r="A235" i="5"/>
  <c r="AN234" i="5"/>
  <c r="AM234" i="5"/>
  <c r="AL234" i="5"/>
  <c r="AK234" i="5"/>
  <c r="AJ234" i="5"/>
  <c r="AI234" i="5"/>
  <c r="M234" i="5"/>
  <c r="L234" i="5"/>
  <c r="K234" i="5"/>
  <c r="J234" i="5"/>
  <c r="I234" i="5"/>
  <c r="H234" i="5"/>
  <c r="E234" i="9" s="1"/>
  <c r="G234" i="5"/>
  <c r="D234" i="5"/>
  <c r="C234" i="5"/>
  <c r="A234" i="5"/>
  <c r="AN233" i="5"/>
  <c r="AM233" i="5"/>
  <c r="AL233" i="5"/>
  <c r="AK233" i="5"/>
  <c r="AJ233" i="5"/>
  <c r="AI233" i="5"/>
  <c r="M233" i="5"/>
  <c r="L233" i="5"/>
  <c r="K233" i="5"/>
  <c r="J233" i="5"/>
  <c r="I233" i="5"/>
  <c r="H233" i="5"/>
  <c r="E233" i="9" s="1"/>
  <c r="G233" i="5"/>
  <c r="D233" i="5"/>
  <c r="C233" i="5"/>
  <c r="A233" i="5"/>
  <c r="AN232" i="5"/>
  <c r="AM232" i="5"/>
  <c r="AL232" i="5"/>
  <c r="AK232" i="5"/>
  <c r="AJ232" i="5"/>
  <c r="AI232" i="5"/>
  <c r="M232" i="5"/>
  <c r="L232" i="5"/>
  <c r="K232" i="5"/>
  <c r="J232" i="5"/>
  <c r="I232" i="5"/>
  <c r="H232" i="5"/>
  <c r="E232" i="9" s="1"/>
  <c r="G232" i="5"/>
  <c r="D232" i="5"/>
  <c r="C232" i="5"/>
  <c r="A232" i="5"/>
  <c r="AN231" i="5"/>
  <c r="AM231" i="5"/>
  <c r="AL231" i="5"/>
  <c r="AK231" i="5"/>
  <c r="AJ231" i="5"/>
  <c r="AI231" i="5"/>
  <c r="M231" i="5"/>
  <c r="L231" i="5"/>
  <c r="K231" i="5"/>
  <c r="J231" i="5"/>
  <c r="I231" i="5"/>
  <c r="H231" i="5"/>
  <c r="E231" i="9" s="1"/>
  <c r="G231" i="5"/>
  <c r="D231" i="5"/>
  <c r="C231" i="5"/>
  <c r="A231" i="5"/>
  <c r="AN230" i="5"/>
  <c r="AM230" i="5"/>
  <c r="AL230" i="5"/>
  <c r="AK230" i="5"/>
  <c r="AJ230" i="5"/>
  <c r="AI230" i="5"/>
  <c r="M230" i="5"/>
  <c r="L230" i="5"/>
  <c r="K230" i="5"/>
  <c r="J230" i="5"/>
  <c r="I230" i="5"/>
  <c r="H230" i="5"/>
  <c r="E230" i="9" s="1"/>
  <c r="G230" i="5"/>
  <c r="D230" i="5"/>
  <c r="C230" i="5"/>
  <c r="A230" i="5"/>
  <c r="AN229" i="5"/>
  <c r="AM229" i="5"/>
  <c r="AL229" i="5"/>
  <c r="AK229" i="5"/>
  <c r="AJ229" i="5"/>
  <c r="AI229" i="5"/>
  <c r="M229" i="5"/>
  <c r="L229" i="5"/>
  <c r="K229" i="5"/>
  <c r="J229" i="5"/>
  <c r="I229" i="5"/>
  <c r="H229" i="5"/>
  <c r="E229" i="9" s="1"/>
  <c r="G229" i="5"/>
  <c r="D229" i="5"/>
  <c r="C229" i="5"/>
  <c r="A229" i="5"/>
  <c r="AN228" i="5"/>
  <c r="AM228" i="5"/>
  <c r="AL228" i="5"/>
  <c r="AK228" i="5"/>
  <c r="AJ228" i="5"/>
  <c r="AI228" i="5"/>
  <c r="M228" i="5"/>
  <c r="L228" i="5"/>
  <c r="K228" i="5"/>
  <c r="J228" i="5"/>
  <c r="I228" i="5"/>
  <c r="H228" i="5"/>
  <c r="E228" i="9" s="1"/>
  <c r="G228" i="5"/>
  <c r="D228" i="5"/>
  <c r="C228" i="5"/>
  <c r="A228" i="5"/>
  <c r="AN227" i="5"/>
  <c r="AM227" i="5"/>
  <c r="AL227" i="5"/>
  <c r="AK227" i="5"/>
  <c r="AJ227" i="5"/>
  <c r="AI227" i="5"/>
  <c r="M227" i="5"/>
  <c r="L227" i="5"/>
  <c r="K227" i="5"/>
  <c r="J227" i="5"/>
  <c r="I227" i="5"/>
  <c r="H227" i="5"/>
  <c r="E227" i="9" s="1"/>
  <c r="G227" i="5"/>
  <c r="D227" i="5"/>
  <c r="C227" i="5"/>
  <c r="A227" i="5"/>
  <c r="AN226" i="5"/>
  <c r="AM226" i="5"/>
  <c r="AL226" i="5"/>
  <c r="AK226" i="5"/>
  <c r="AJ226" i="5"/>
  <c r="AI226" i="5"/>
  <c r="M226" i="5"/>
  <c r="L226" i="5"/>
  <c r="K226" i="5"/>
  <c r="J226" i="5"/>
  <c r="I226" i="5"/>
  <c r="H226" i="5"/>
  <c r="E226" i="9" s="1"/>
  <c r="G226" i="5"/>
  <c r="D226" i="5"/>
  <c r="C226" i="5"/>
  <c r="A226" i="5"/>
  <c r="AN225" i="5"/>
  <c r="AM225" i="5"/>
  <c r="AL225" i="5"/>
  <c r="AK225" i="5"/>
  <c r="AJ225" i="5"/>
  <c r="AI225" i="5"/>
  <c r="M225" i="5"/>
  <c r="L225" i="5"/>
  <c r="K225" i="5"/>
  <c r="J225" i="5"/>
  <c r="I225" i="5"/>
  <c r="H225" i="5"/>
  <c r="E225" i="9" s="1"/>
  <c r="G225" i="5"/>
  <c r="D225" i="5"/>
  <c r="C225" i="5"/>
  <c r="A225" i="5"/>
  <c r="AN224" i="5"/>
  <c r="AM224" i="5"/>
  <c r="AL224" i="5"/>
  <c r="AK224" i="5"/>
  <c r="AJ224" i="5"/>
  <c r="AI224" i="5"/>
  <c r="M224" i="5"/>
  <c r="L224" i="5"/>
  <c r="K224" i="5"/>
  <c r="J224" i="5"/>
  <c r="I224" i="5"/>
  <c r="H224" i="5"/>
  <c r="E224" i="9" s="1"/>
  <c r="G224" i="5"/>
  <c r="D224" i="5"/>
  <c r="C224" i="5"/>
  <c r="A224" i="5"/>
  <c r="AN223" i="5"/>
  <c r="AM223" i="5"/>
  <c r="AL223" i="5"/>
  <c r="AK223" i="5"/>
  <c r="AJ223" i="5"/>
  <c r="AI223" i="5"/>
  <c r="M223" i="5"/>
  <c r="L223" i="5"/>
  <c r="K223" i="5"/>
  <c r="J223" i="5"/>
  <c r="I223" i="5"/>
  <c r="H223" i="5"/>
  <c r="E223" i="9" s="1"/>
  <c r="G223" i="5"/>
  <c r="D223" i="5"/>
  <c r="C223" i="5"/>
  <c r="A223" i="5"/>
  <c r="AN222" i="5"/>
  <c r="AM222" i="5"/>
  <c r="AL222" i="5"/>
  <c r="AK222" i="5"/>
  <c r="AJ222" i="5"/>
  <c r="AI222" i="5"/>
  <c r="M222" i="5"/>
  <c r="L222" i="5"/>
  <c r="K222" i="5"/>
  <c r="J222" i="5"/>
  <c r="I222" i="5"/>
  <c r="H222" i="5"/>
  <c r="E222" i="9" s="1"/>
  <c r="G222" i="5"/>
  <c r="D222" i="5"/>
  <c r="C222" i="5"/>
  <c r="A222" i="5"/>
  <c r="AN221" i="5"/>
  <c r="AM221" i="5"/>
  <c r="AL221" i="5"/>
  <c r="AK221" i="5"/>
  <c r="AJ221" i="5"/>
  <c r="AI221" i="5"/>
  <c r="M221" i="5"/>
  <c r="L221" i="5"/>
  <c r="K221" i="5"/>
  <c r="J221" i="5"/>
  <c r="I221" i="5"/>
  <c r="H221" i="5"/>
  <c r="E221" i="9" s="1"/>
  <c r="G221" i="5"/>
  <c r="D221" i="5"/>
  <c r="C221" i="5"/>
  <c r="A221" i="5"/>
  <c r="AN220" i="5"/>
  <c r="AM220" i="5"/>
  <c r="AL220" i="5"/>
  <c r="AK220" i="5"/>
  <c r="AJ220" i="5"/>
  <c r="AI220" i="5"/>
  <c r="M220" i="5"/>
  <c r="L220" i="5"/>
  <c r="K220" i="5"/>
  <c r="J220" i="5"/>
  <c r="I220" i="5"/>
  <c r="H220" i="5"/>
  <c r="E220" i="9" s="1"/>
  <c r="G220" i="5"/>
  <c r="D220" i="5"/>
  <c r="C220" i="5"/>
  <c r="A220" i="5"/>
  <c r="AN219" i="5"/>
  <c r="AM219" i="5"/>
  <c r="AL219" i="5"/>
  <c r="AK219" i="5"/>
  <c r="AJ219" i="5"/>
  <c r="AI219" i="5"/>
  <c r="M219" i="5"/>
  <c r="L219" i="5"/>
  <c r="K219" i="5"/>
  <c r="J219" i="5"/>
  <c r="I219" i="5"/>
  <c r="H219" i="5"/>
  <c r="E219" i="9" s="1"/>
  <c r="G219" i="5"/>
  <c r="D219" i="5"/>
  <c r="C219" i="5"/>
  <c r="A219" i="5"/>
  <c r="AN218" i="5"/>
  <c r="AM218" i="5"/>
  <c r="AL218" i="5"/>
  <c r="AK218" i="5"/>
  <c r="AJ218" i="5"/>
  <c r="AI218" i="5"/>
  <c r="M218" i="5"/>
  <c r="L218" i="5"/>
  <c r="K218" i="5"/>
  <c r="J218" i="5"/>
  <c r="I218" i="5"/>
  <c r="H218" i="5"/>
  <c r="E218" i="9" s="1"/>
  <c r="G218" i="5"/>
  <c r="D218" i="5"/>
  <c r="C218" i="5"/>
  <c r="A218" i="5"/>
  <c r="AN217" i="5"/>
  <c r="AM217" i="5"/>
  <c r="AL217" i="5"/>
  <c r="AK217" i="5"/>
  <c r="AJ217" i="5"/>
  <c r="AI217" i="5"/>
  <c r="M217" i="5"/>
  <c r="L217" i="5"/>
  <c r="K217" i="5"/>
  <c r="J217" i="5"/>
  <c r="I217" i="5"/>
  <c r="H217" i="5"/>
  <c r="E217" i="9" s="1"/>
  <c r="G217" i="5"/>
  <c r="D217" i="5"/>
  <c r="C217" i="5"/>
  <c r="A217" i="5"/>
  <c r="AN216" i="5"/>
  <c r="AM216" i="5"/>
  <c r="AL216" i="5"/>
  <c r="AK216" i="5"/>
  <c r="AJ216" i="5"/>
  <c r="AI216" i="5"/>
  <c r="M216" i="5"/>
  <c r="L216" i="5"/>
  <c r="K216" i="5"/>
  <c r="J216" i="5"/>
  <c r="I216" i="5"/>
  <c r="H216" i="5"/>
  <c r="E216" i="9" s="1"/>
  <c r="G216" i="5"/>
  <c r="D216" i="5"/>
  <c r="C216" i="5"/>
  <c r="A216" i="5"/>
  <c r="AN215" i="5"/>
  <c r="AM215" i="5"/>
  <c r="AL215" i="5"/>
  <c r="AK215" i="5"/>
  <c r="AJ215" i="5"/>
  <c r="AI215" i="5"/>
  <c r="M215" i="5"/>
  <c r="L215" i="5"/>
  <c r="K215" i="5"/>
  <c r="J215" i="5"/>
  <c r="I215" i="5"/>
  <c r="H215" i="5"/>
  <c r="E215" i="9" s="1"/>
  <c r="G215" i="5"/>
  <c r="D215" i="5"/>
  <c r="C215" i="5"/>
  <c r="A215" i="5"/>
  <c r="AN214" i="5"/>
  <c r="AM214" i="5"/>
  <c r="AL214" i="5"/>
  <c r="AK214" i="5"/>
  <c r="AJ214" i="5"/>
  <c r="AI214" i="5"/>
  <c r="M214" i="5"/>
  <c r="L214" i="5"/>
  <c r="K214" i="5"/>
  <c r="J214" i="5"/>
  <c r="I214" i="5"/>
  <c r="H214" i="5"/>
  <c r="E214" i="9" s="1"/>
  <c r="G214" i="5"/>
  <c r="D214" i="5"/>
  <c r="C214" i="5"/>
  <c r="A214" i="5"/>
  <c r="AN213" i="5"/>
  <c r="AM213" i="5"/>
  <c r="AL213" i="5"/>
  <c r="AK213" i="5"/>
  <c r="AJ213" i="5"/>
  <c r="AI213" i="5"/>
  <c r="M213" i="5"/>
  <c r="L213" i="5"/>
  <c r="K213" i="5"/>
  <c r="J213" i="5"/>
  <c r="I213" i="5"/>
  <c r="H213" i="5"/>
  <c r="E213" i="9" s="1"/>
  <c r="G213" i="5"/>
  <c r="D213" i="5"/>
  <c r="C213" i="5"/>
  <c r="A213" i="5"/>
  <c r="AN212" i="5"/>
  <c r="AM212" i="5"/>
  <c r="AL212" i="5"/>
  <c r="AK212" i="5"/>
  <c r="AJ212" i="5"/>
  <c r="AI212" i="5"/>
  <c r="M212" i="5"/>
  <c r="L212" i="5"/>
  <c r="K212" i="5"/>
  <c r="J212" i="5"/>
  <c r="I212" i="5"/>
  <c r="H212" i="5"/>
  <c r="E212" i="9" s="1"/>
  <c r="G212" i="5"/>
  <c r="D212" i="5"/>
  <c r="C212" i="5"/>
  <c r="A212" i="5"/>
  <c r="AN211" i="5"/>
  <c r="AM211" i="5"/>
  <c r="AL211" i="5"/>
  <c r="AK211" i="5"/>
  <c r="AJ211" i="5"/>
  <c r="AI211" i="5"/>
  <c r="M211" i="5"/>
  <c r="L211" i="5"/>
  <c r="K211" i="5"/>
  <c r="J211" i="5"/>
  <c r="I211" i="5"/>
  <c r="H211" i="5"/>
  <c r="E211" i="9" s="1"/>
  <c r="G211" i="5"/>
  <c r="D211" i="5"/>
  <c r="C211" i="5"/>
  <c r="A211" i="5"/>
  <c r="AN210" i="5"/>
  <c r="AM210" i="5"/>
  <c r="AL210" i="5"/>
  <c r="AK210" i="5"/>
  <c r="AJ210" i="5"/>
  <c r="AI210" i="5"/>
  <c r="M210" i="5"/>
  <c r="L210" i="5"/>
  <c r="K210" i="5"/>
  <c r="J210" i="5"/>
  <c r="I210" i="5"/>
  <c r="H210" i="5"/>
  <c r="E210" i="9" s="1"/>
  <c r="G210" i="5"/>
  <c r="D210" i="5"/>
  <c r="C210" i="5"/>
  <c r="A210" i="5"/>
  <c r="AN209" i="5"/>
  <c r="AM209" i="5"/>
  <c r="AL209" i="5"/>
  <c r="AK209" i="5"/>
  <c r="AJ209" i="5"/>
  <c r="AI209" i="5"/>
  <c r="M209" i="5"/>
  <c r="L209" i="5"/>
  <c r="K209" i="5"/>
  <c r="J209" i="5"/>
  <c r="I209" i="5"/>
  <c r="H209" i="5"/>
  <c r="E209" i="9" s="1"/>
  <c r="G209" i="5"/>
  <c r="D209" i="5"/>
  <c r="C209" i="5"/>
  <c r="A209" i="5"/>
  <c r="AN208" i="5"/>
  <c r="AM208" i="5"/>
  <c r="AL208" i="5"/>
  <c r="AK208" i="5"/>
  <c r="AJ208" i="5"/>
  <c r="AI208" i="5"/>
  <c r="M208" i="5"/>
  <c r="L208" i="5"/>
  <c r="K208" i="5"/>
  <c r="J208" i="5"/>
  <c r="I208" i="5"/>
  <c r="H208" i="5"/>
  <c r="E208" i="9" s="1"/>
  <c r="G208" i="5"/>
  <c r="D208" i="5"/>
  <c r="C208" i="5"/>
  <c r="A208" i="5"/>
  <c r="AN207" i="5"/>
  <c r="AM207" i="5"/>
  <c r="AL207" i="5"/>
  <c r="AK207" i="5"/>
  <c r="AJ207" i="5"/>
  <c r="AI207" i="5"/>
  <c r="M207" i="5"/>
  <c r="L207" i="5"/>
  <c r="K207" i="5"/>
  <c r="J207" i="5"/>
  <c r="I207" i="5"/>
  <c r="H207" i="5"/>
  <c r="E207" i="9" s="1"/>
  <c r="G207" i="5"/>
  <c r="D207" i="5"/>
  <c r="C207" i="5"/>
  <c r="A207" i="5"/>
  <c r="AN206" i="5"/>
  <c r="AM206" i="5"/>
  <c r="AL206" i="5"/>
  <c r="AK206" i="5"/>
  <c r="AJ206" i="5"/>
  <c r="AI206" i="5"/>
  <c r="M206" i="5"/>
  <c r="L206" i="5"/>
  <c r="K206" i="5"/>
  <c r="J206" i="5"/>
  <c r="I206" i="5"/>
  <c r="H206" i="5"/>
  <c r="E206" i="9" s="1"/>
  <c r="G206" i="5"/>
  <c r="D206" i="5"/>
  <c r="C206" i="5"/>
  <c r="A206" i="5"/>
  <c r="AN205" i="5"/>
  <c r="AM205" i="5"/>
  <c r="AL205" i="5"/>
  <c r="AK205" i="5"/>
  <c r="AJ205" i="5"/>
  <c r="AI205" i="5"/>
  <c r="M205" i="5"/>
  <c r="L205" i="5"/>
  <c r="K205" i="5"/>
  <c r="J205" i="5"/>
  <c r="I205" i="5"/>
  <c r="H205" i="5"/>
  <c r="E205" i="9" s="1"/>
  <c r="G205" i="5"/>
  <c r="D205" i="5"/>
  <c r="C205" i="5"/>
  <c r="A205" i="5"/>
  <c r="AN204" i="5"/>
  <c r="AM204" i="5"/>
  <c r="AL204" i="5"/>
  <c r="AK204" i="5"/>
  <c r="AJ204" i="5"/>
  <c r="AI204" i="5"/>
  <c r="M204" i="5"/>
  <c r="L204" i="5"/>
  <c r="K204" i="5"/>
  <c r="J204" i="5"/>
  <c r="I204" i="5"/>
  <c r="H204" i="5"/>
  <c r="E204" i="9" s="1"/>
  <c r="G204" i="5"/>
  <c r="D204" i="5"/>
  <c r="C204" i="5"/>
  <c r="A204" i="5"/>
  <c r="AN203" i="5"/>
  <c r="AM203" i="5"/>
  <c r="AL203" i="5"/>
  <c r="AK203" i="5"/>
  <c r="AJ203" i="5"/>
  <c r="AI203" i="5"/>
  <c r="M203" i="5"/>
  <c r="L203" i="5"/>
  <c r="K203" i="5"/>
  <c r="J203" i="5"/>
  <c r="I203" i="5"/>
  <c r="H203" i="5"/>
  <c r="E203" i="9" s="1"/>
  <c r="G203" i="5"/>
  <c r="D203" i="5"/>
  <c r="C203" i="5"/>
  <c r="A203" i="5"/>
  <c r="AN202" i="5"/>
  <c r="AM202" i="5"/>
  <c r="AL202" i="5"/>
  <c r="AK202" i="5"/>
  <c r="AJ202" i="5"/>
  <c r="AI202" i="5"/>
  <c r="M202" i="5"/>
  <c r="L202" i="5"/>
  <c r="K202" i="5"/>
  <c r="J202" i="5"/>
  <c r="I202" i="5"/>
  <c r="H202" i="5"/>
  <c r="E202" i="9" s="1"/>
  <c r="G202" i="5"/>
  <c r="D202" i="5"/>
  <c r="C202" i="5"/>
  <c r="A202" i="5"/>
  <c r="AN201" i="5"/>
  <c r="AM201" i="5"/>
  <c r="AL201" i="5"/>
  <c r="AK201" i="5"/>
  <c r="AJ201" i="5"/>
  <c r="AI201" i="5"/>
  <c r="M201" i="5"/>
  <c r="L201" i="5"/>
  <c r="K201" i="5"/>
  <c r="J201" i="5"/>
  <c r="I201" i="5"/>
  <c r="H201" i="5"/>
  <c r="E201" i="9" s="1"/>
  <c r="G201" i="5"/>
  <c r="D201" i="5"/>
  <c r="C201" i="5"/>
  <c r="A201" i="5"/>
  <c r="AN200" i="5"/>
  <c r="AM200" i="5"/>
  <c r="AL200" i="5"/>
  <c r="AK200" i="5"/>
  <c r="AJ200" i="5"/>
  <c r="AI200" i="5"/>
  <c r="M200" i="5"/>
  <c r="L200" i="5"/>
  <c r="K200" i="5"/>
  <c r="J200" i="5"/>
  <c r="I200" i="5"/>
  <c r="H200" i="5"/>
  <c r="E200" i="9" s="1"/>
  <c r="G200" i="5"/>
  <c r="D200" i="5"/>
  <c r="C200" i="5"/>
  <c r="A200" i="5"/>
  <c r="AN199" i="5"/>
  <c r="AM199" i="5"/>
  <c r="AL199" i="5"/>
  <c r="AK199" i="5"/>
  <c r="AJ199" i="5"/>
  <c r="AI199" i="5"/>
  <c r="M199" i="5"/>
  <c r="L199" i="5"/>
  <c r="K199" i="5"/>
  <c r="J199" i="5"/>
  <c r="I199" i="5"/>
  <c r="H199" i="5"/>
  <c r="E199" i="9" s="1"/>
  <c r="G199" i="5"/>
  <c r="D199" i="5"/>
  <c r="C199" i="5"/>
  <c r="A199" i="5"/>
  <c r="AN198" i="5"/>
  <c r="AM198" i="5"/>
  <c r="AL198" i="5"/>
  <c r="AK198" i="5"/>
  <c r="AJ198" i="5"/>
  <c r="AI198" i="5"/>
  <c r="M198" i="5"/>
  <c r="L198" i="5"/>
  <c r="K198" i="5"/>
  <c r="J198" i="5"/>
  <c r="I198" i="5"/>
  <c r="H198" i="5"/>
  <c r="E198" i="9" s="1"/>
  <c r="G198" i="5"/>
  <c r="D198" i="5"/>
  <c r="C198" i="5"/>
  <c r="A198" i="5"/>
  <c r="AN197" i="5"/>
  <c r="AM197" i="5"/>
  <c r="AL197" i="5"/>
  <c r="AK197" i="5"/>
  <c r="AJ197" i="5"/>
  <c r="AI197" i="5"/>
  <c r="M197" i="5"/>
  <c r="L197" i="5"/>
  <c r="K197" i="5"/>
  <c r="J197" i="5"/>
  <c r="I197" i="5"/>
  <c r="H197" i="5"/>
  <c r="E197" i="9" s="1"/>
  <c r="G197" i="5"/>
  <c r="D197" i="5"/>
  <c r="C197" i="5"/>
  <c r="A197" i="5"/>
  <c r="AN196" i="5"/>
  <c r="AM196" i="5"/>
  <c r="AL196" i="5"/>
  <c r="AK196" i="5"/>
  <c r="AJ196" i="5"/>
  <c r="AI196" i="5"/>
  <c r="M196" i="5"/>
  <c r="L196" i="5"/>
  <c r="K196" i="5"/>
  <c r="J196" i="5"/>
  <c r="I196" i="5"/>
  <c r="H196" i="5"/>
  <c r="E196" i="9" s="1"/>
  <c r="G196" i="5"/>
  <c r="D196" i="5"/>
  <c r="C196" i="5"/>
  <c r="A196" i="5"/>
  <c r="AN195" i="5"/>
  <c r="AM195" i="5"/>
  <c r="AL195" i="5"/>
  <c r="AK195" i="5"/>
  <c r="AJ195" i="5"/>
  <c r="AI195" i="5"/>
  <c r="M195" i="5"/>
  <c r="L195" i="5"/>
  <c r="K195" i="5"/>
  <c r="J195" i="5"/>
  <c r="I195" i="5"/>
  <c r="H195" i="5"/>
  <c r="E195" i="9" s="1"/>
  <c r="G195" i="5"/>
  <c r="D195" i="5"/>
  <c r="C195" i="5"/>
  <c r="A195" i="5"/>
  <c r="AN194" i="5"/>
  <c r="AM194" i="5"/>
  <c r="AL194" i="5"/>
  <c r="AK194" i="5"/>
  <c r="AJ194" i="5"/>
  <c r="AI194" i="5"/>
  <c r="M194" i="5"/>
  <c r="L194" i="5"/>
  <c r="K194" i="5"/>
  <c r="J194" i="5"/>
  <c r="I194" i="5"/>
  <c r="H194" i="5"/>
  <c r="E194" i="9" s="1"/>
  <c r="G194" i="5"/>
  <c r="D194" i="5"/>
  <c r="C194" i="5"/>
  <c r="A194" i="5"/>
  <c r="AN193" i="5"/>
  <c r="AM193" i="5"/>
  <c r="AL193" i="5"/>
  <c r="AK193" i="5"/>
  <c r="AJ193" i="5"/>
  <c r="AI193" i="5"/>
  <c r="M193" i="5"/>
  <c r="L193" i="5"/>
  <c r="K193" i="5"/>
  <c r="J193" i="5"/>
  <c r="I193" i="5"/>
  <c r="H193" i="5"/>
  <c r="E193" i="9" s="1"/>
  <c r="G193" i="5"/>
  <c r="D193" i="5"/>
  <c r="C193" i="5"/>
  <c r="A193" i="5"/>
  <c r="AN192" i="5"/>
  <c r="AM192" i="5"/>
  <c r="AL192" i="5"/>
  <c r="AK192" i="5"/>
  <c r="AJ192" i="5"/>
  <c r="AI192" i="5"/>
  <c r="M192" i="5"/>
  <c r="L192" i="5"/>
  <c r="K192" i="5"/>
  <c r="J192" i="5"/>
  <c r="I192" i="5"/>
  <c r="H192" i="5"/>
  <c r="E192" i="9" s="1"/>
  <c r="G192" i="5"/>
  <c r="D192" i="5"/>
  <c r="C192" i="5"/>
  <c r="A192" i="5"/>
  <c r="AN191" i="5"/>
  <c r="AM191" i="5"/>
  <c r="AL191" i="5"/>
  <c r="AK191" i="5"/>
  <c r="AJ191" i="5"/>
  <c r="AI191" i="5"/>
  <c r="M191" i="5"/>
  <c r="L191" i="5"/>
  <c r="K191" i="5"/>
  <c r="J191" i="5"/>
  <c r="I191" i="5"/>
  <c r="H191" i="5"/>
  <c r="E191" i="9" s="1"/>
  <c r="G191" i="5"/>
  <c r="D191" i="5"/>
  <c r="C191" i="5"/>
  <c r="A191" i="5"/>
  <c r="AN190" i="5"/>
  <c r="AM190" i="5"/>
  <c r="AL190" i="5"/>
  <c r="AK190" i="5"/>
  <c r="AJ190" i="5"/>
  <c r="AI190" i="5"/>
  <c r="M190" i="5"/>
  <c r="L190" i="5"/>
  <c r="K190" i="5"/>
  <c r="J190" i="5"/>
  <c r="I190" i="5"/>
  <c r="H190" i="5"/>
  <c r="E190" i="9" s="1"/>
  <c r="G190" i="5"/>
  <c r="D190" i="5"/>
  <c r="C190" i="5"/>
  <c r="A190" i="5"/>
  <c r="AN189" i="5"/>
  <c r="AM189" i="5"/>
  <c r="AL189" i="5"/>
  <c r="AK189" i="5"/>
  <c r="AJ189" i="5"/>
  <c r="AI189" i="5"/>
  <c r="M189" i="5"/>
  <c r="L189" i="5"/>
  <c r="K189" i="5"/>
  <c r="J189" i="5"/>
  <c r="I189" i="5"/>
  <c r="H189" i="5"/>
  <c r="E189" i="9" s="1"/>
  <c r="G189" i="5"/>
  <c r="D189" i="5"/>
  <c r="C189" i="5"/>
  <c r="A189" i="5"/>
  <c r="AN188" i="5"/>
  <c r="AM188" i="5"/>
  <c r="AL188" i="5"/>
  <c r="AK188" i="5"/>
  <c r="AJ188" i="5"/>
  <c r="AI188" i="5"/>
  <c r="M188" i="5"/>
  <c r="L188" i="5"/>
  <c r="K188" i="5"/>
  <c r="J188" i="5"/>
  <c r="I188" i="5"/>
  <c r="H188" i="5"/>
  <c r="E188" i="9" s="1"/>
  <c r="G188" i="5"/>
  <c r="D188" i="5"/>
  <c r="C188" i="5"/>
  <c r="A188" i="5"/>
  <c r="AN187" i="5"/>
  <c r="AM187" i="5"/>
  <c r="AL187" i="5"/>
  <c r="AK187" i="5"/>
  <c r="AJ187" i="5"/>
  <c r="AI187" i="5"/>
  <c r="M187" i="5"/>
  <c r="L187" i="5"/>
  <c r="K187" i="5"/>
  <c r="J187" i="5"/>
  <c r="I187" i="5"/>
  <c r="H187" i="5"/>
  <c r="E187" i="9" s="1"/>
  <c r="G187" i="5"/>
  <c r="D187" i="5"/>
  <c r="C187" i="5"/>
  <c r="A187" i="5"/>
  <c r="AN186" i="5"/>
  <c r="AM186" i="5"/>
  <c r="AL186" i="5"/>
  <c r="AK186" i="5"/>
  <c r="AJ186" i="5"/>
  <c r="AI186" i="5"/>
  <c r="M186" i="5"/>
  <c r="L186" i="5"/>
  <c r="K186" i="5"/>
  <c r="J186" i="5"/>
  <c r="I186" i="5"/>
  <c r="H186" i="5"/>
  <c r="E186" i="9" s="1"/>
  <c r="G186" i="5"/>
  <c r="D186" i="5"/>
  <c r="C186" i="5"/>
  <c r="A186" i="5"/>
  <c r="AN185" i="5"/>
  <c r="AM185" i="5"/>
  <c r="AL185" i="5"/>
  <c r="AK185" i="5"/>
  <c r="AJ185" i="5"/>
  <c r="AI185" i="5"/>
  <c r="M185" i="5"/>
  <c r="L185" i="5"/>
  <c r="K185" i="5"/>
  <c r="J185" i="5"/>
  <c r="I185" i="5"/>
  <c r="H185" i="5"/>
  <c r="E185" i="9" s="1"/>
  <c r="G185" i="5"/>
  <c r="D185" i="5"/>
  <c r="C185" i="5"/>
  <c r="A185" i="5"/>
  <c r="AN184" i="5"/>
  <c r="AM184" i="5"/>
  <c r="AL184" i="5"/>
  <c r="AK184" i="5"/>
  <c r="AJ184" i="5"/>
  <c r="AI184" i="5"/>
  <c r="M184" i="5"/>
  <c r="L184" i="5"/>
  <c r="K184" i="5"/>
  <c r="J184" i="5"/>
  <c r="I184" i="5"/>
  <c r="H184" i="5"/>
  <c r="E184" i="9" s="1"/>
  <c r="G184" i="5"/>
  <c r="D184" i="5"/>
  <c r="C184" i="5"/>
  <c r="A184" i="5"/>
  <c r="AN183" i="5"/>
  <c r="AM183" i="5"/>
  <c r="AL183" i="5"/>
  <c r="AK183" i="5"/>
  <c r="AJ183" i="5"/>
  <c r="AI183" i="5"/>
  <c r="M183" i="5"/>
  <c r="L183" i="5"/>
  <c r="K183" i="5"/>
  <c r="J183" i="5"/>
  <c r="I183" i="5"/>
  <c r="H183" i="5"/>
  <c r="E183" i="9" s="1"/>
  <c r="G183" i="5"/>
  <c r="D183" i="5"/>
  <c r="C183" i="5"/>
  <c r="A183" i="5"/>
  <c r="AN182" i="5"/>
  <c r="AM182" i="5"/>
  <c r="AL182" i="5"/>
  <c r="AK182" i="5"/>
  <c r="AJ182" i="5"/>
  <c r="AI182" i="5"/>
  <c r="M182" i="5"/>
  <c r="L182" i="5"/>
  <c r="K182" i="5"/>
  <c r="J182" i="5"/>
  <c r="I182" i="5"/>
  <c r="H182" i="5"/>
  <c r="E182" i="9" s="1"/>
  <c r="G182" i="5"/>
  <c r="D182" i="5"/>
  <c r="C182" i="5"/>
  <c r="A182" i="5"/>
  <c r="AN181" i="5"/>
  <c r="AM181" i="5"/>
  <c r="AL181" i="5"/>
  <c r="AK181" i="5"/>
  <c r="AJ181" i="5"/>
  <c r="AI181" i="5"/>
  <c r="M181" i="5"/>
  <c r="L181" i="5"/>
  <c r="K181" i="5"/>
  <c r="J181" i="5"/>
  <c r="I181" i="5"/>
  <c r="H181" i="5"/>
  <c r="E181" i="9" s="1"/>
  <c r="G181" i="5"/>
  <c r="D181" i="5"/>
  <c r="C181" i="5"/>
  <c r="A181" i="5"/>
  <c r="AN180" i="5"/>
  <c r="AM180" i="5"/>
  <c r="AL180" i="5"/>
  <c r="AK180" i="5"/>
  <c r="AJ180" i="5"/>
  <c r="AI180" i="5"/>
  <c r="M180" i="5"/>
  <c r="L180" i="5"/>
  <c r="K180" i="5"/>
  <c r="J180" i="5"/>
  <c r="I180" i="5"/>
  <c r="H180" i="5"/>
  <c r="E180" i="9" s="1"/>
  <c r="G180" i="5"/>
  <c r="D180" i="5"/>
  <c r="C180" i="5"/>
  <c r="A180" i="5"/>
  <c r="AN179" i="5"/>
  <c r="AM179" i="5"/>
  <c r="AL179" i="5"/>
  <c r="AK179" i="5"/>
  <c r="AJ179" i="5"/>
  <c r="AI179" i="5"/>
  <c r="M179" i="5"/>
  <c r="L179" i="5"/>
  <c r="K179" i="5"/>
  <c r="J179" i="5"/>
  <c r="I179" i="5"/>
  <c r="H179" i="5"/>
  <c r="E179" i="9" s="1"/>
  <c r="G179" i="5"/>
  <c r="D179" i="5"/>
  <c r="C179" i="5"/>
  <c r="A179" i="5"/>
  <c r="AN178" i="5"/>
  <c r="AM178" i="5"/>
  <c r="AL178" i="5"/>
  <c r="AK178" i="5"/>
  <c r="AJ178" i="5"/>
  <c r="AI178" i="5"/>
  <c r="M178" i="5"/>
  <c r="L178" i="5"/>
  <c r="K178" i="5"/>
  <c r="J178" i="5"/>
  <c r="I178" i="5"/>
  <c r="H178" i="5"/>
  <c r="E178" i="9" s="1"/>
  <c r="G178" i="5"/>
  <c r="D178" i="5"/>
  <c r="C178" i="5"/>
  <c r="A178" i="5"/>
  <c r="AN177" i="5"/>
  <c r="AM177" i="5"/>
  <c r="AL177" i="5"/>
  <c r="AK177" i="5"/>
  <c r="AJ177" i="5"/>
  <c r="AI177" i="5"/>
  <c r="M177" i="5"/>
  <c r="L177" i="5"/>
  <c r="K177" i="5"/>
  <c r="J177" i="5"/>
  <c r="I177" i="5"/>
  <c r="H177" i="5"/>
  <c r="E177" i="9" s="1"/>
  <c r="G177" i="5"/>
  <c r="D177" i="5"/>
  <c r="C177" i="5"/>
  <c r="A177" i="5"/>
  <c r="AN176" i="5"/>
  <c r="AM176" i="5"/>
  <c r="AL176" i="5"/>
  <c r="AK176" i="5"/>
  <c r="AJ176" i="5"/>
  <c r="AI176" i="5"/>
  <c r="M176" i="5"/>
  <c r="L176" i="5"/>
  <c r="K176" i="5"/>
  <c r="J176" i="5"/>
  <c r="I176" i="5"/>
  <c r="H176" i="5"/>
  <c r="E176" i="9" s="1"/>
  <c r="G176" i="5"/>
  <c r="D176" i="5"/>
  <c r="C176" i="5"/>
  <c r="A176" i="5"/>
  <c r="AN175" i="5"/>
  <c r="AM175" i="5"/>
  <c r="AL175" i="5"/>
  <c r="AK175" i="5"/>
  <c r="AJ175" i="5"/>
  <c r="AI175" i="5"/>
  <c r="M175" i="5"/>
  <c r="L175" i="5"/>
  <c r="K175" i="5"/>
  <c r="J175" i="5"/>
  <c r="I175" i="5"/>
  <c r="H175" i="5"/>
  <c r="E175" i="9" s="1"/>
  <c r="G175" i="5"/>
  <c r="D175" i="5"/>
  <c r="C175" i="5"/>
  <c r="A175" i="5"/>
  <c r="AN174" i="5"/>
  <c r="AM174" i="5"/>
  <c r="AL174" i="5"/>
  <c r="AK174" i="5"/>
  <c r="AJ174" i="5"/>
  <c r="AI174" i="5"/>
  <c r="M174" i="5"/>
  <c r="L174" i="5"/>
  <c r="K174" i="5"/>
  <c r="J174" i="5"/>
  <c r="I174" i="5"/>
  <c r="H174" i="5"/>
  <c r="E174" i="9" s="1"/>
  <c r="G174" i="5"/>
  <c r="D174" i="5"/>
  <c r="C174" i="5"/>
  <c r="A174" i="5"/>
  <c r="AN173" i="5"/>
  <c r="AM173" i="5"/>
  <c r="AL173" i="5"/>
  <c r="AK173" i="5"/>
  <c r="AJ173" i="5"/>
  <c r="AI173" i="5"/>
  <c r="M173" i="5"/>
  <c r="L173" i="5"/>
  <c r="K173" i="5"/>
  <c r="J173" i="5"/>
  <c r="I173" i="5"/>
  <c r="H173" i="5"/>
  <c r="E173" i="9" s="1"/>
  <c r="G173" i="5"/>
  <c r="D173" i="5"/>
  <c r="C173" i="5"/>
  <c r="A173" i="5"/>
  <c r="AN172" i="5"/>
  <c r="AM172" i="5"/>
  <c r="AL172" i="5"/>
  <c r="AK172" i="5"/>
  <c r="AJ172" i="5"/>
  <c r="AI172" i="5"/>
  <c r="M172" i="5"/>
  <c r="L172" i="5"/>
  <c r="K172" i="5"/>
  <c r="J172" i="5"/>
  <c r="I172" i="5"/>
  <c r="H172" i="5"/>
  <c r="E172" i="9" s="1"/>
  <c r="G172" i="5"/>
  <c r="D172" i="5"/>
  <c r="C172" i="5"/>
  <c r="A172" i="5"/>
  <c r="AN171" i="5"/>
  <c r="AM171" i="5"/>
  <c r="AL171" i="5"/>
  <c r="AK171" i="5"/>
  <c r="AJ171" i="5"/>
  <c r="AI171" i="5"/>
  <c r="M171" i="5"/>
  <c r="L171" i="5"/>
  <c r="K171" i="5"/>
  <c r="J171" i="5"/>
  <c r="I171" i="5"/>
  <c r="H171" i="5"/>
  <c r="E171" i="9" s="1"/>
  <c r="G171" i="5"/>
  <c r="D171" i="5"/>
  <c r="C171" i="5"/>
  <c r="A171" i="5"/>
  <c r="AN170" i="5"/>
  <c r="AM170" i="5"/>
  <c r="AL170" i="5"/>
  <c r="AK170" i="5"/>
  <c r="AJ170" i="5"/>
  <c r="AI170" i="5"/>
  <c r="M170" i="5"/>
  <c r="L170" i="5"/>
  <c r="K170" i="5"/>
  <c r="J170" i="5"/>
  <c r="I170" i="5"/>
  <c r="H170" i="5"/>
  <c r="E170" i="9" s="1"/>
  <c r="G170" i="5"/>
  <c r="D170" i="5"/>
  <c r="C170" i="5"/>
  <c r="A170" i="5"/>
  <c r="AN169" i="5"/>
  <c r="AM169" i="5"/>
  <c r="AL169" i="5"/>
  <c r="AK169" i="5"/>
  <c r="AJ169" i="5"/>
  <c r="AI169" i="5"/>
  <c r="M169" i="5"/>
  <c r="L169" i="5"/>
  <c r="K169" i="5"/>
  <c r="J169" i="5"/>
  <c r="I169" i="5"/>
  <c r="H169" i="5"/>
  <c r="E169" i="9" s="1"/>
  <c r="G169" i="5"/>
  <c r="D169" i="5"/>
  <c r="C169" i="5"/>
  <c r="A169" i="5"/>
  <c r="AN168" i="5"/>
  <c r="AM168" i="5"/>
  <c r="AL168" i="5"/>
  <c r="AK168" i="5"/>
  <c r="AJ168" i="5"/>
  <c r="AI168" i="5"/>
  <c r="M168" i="5"/>
  <c r="L168" i="5"/>
  <c r="K168" i="5"/>
  <c r="J168" i="5"/>
  <c r="I168" i="5"/>
  <c r="H168" i="5"/>
  <c r="E168" i="9" s="1"/>
  <c r="G168" i="5"/>
  <c r="D168" i="5"/>
  <c r="C168" i="5"/>
  <c r="A168" i="5"/>
  <c r="AN167" i="5"/>
  <c r="AM167" i="5"/>
  <c r="AL167" i="5"/>
  <c r="AK167" i="5"/>
  <c r="AJ167" i="5"/>
  <c r="AI167" i="5"/>
  <c r="M167" i="5"/>
  <c r="L167" i="5"/>
  <c r="K167" i="5"/>
  <c r="J167" i="5"/>
  <c r="I167" i="5"/>
  <c r="H167" i="5"/>
  <c r="E167" i="9" s="1"/>
  <c r="G167" i="5"/>
  <c r="D167" i="5"/>
  <c r="C167" i="5"/>
  <c r="A167" i="5"/>
  <c r="AN166" i="5"/>
  <c r="AM166" i="5"/>
  <c r="AL166" i="5"/>
  <c r="AK166" i="5"/>
  <c r="AJ166" i="5"/>
  <c r="AI166" i="5"/>
  <c r="M166" i="5"/>
  <c r="L166" i="5"/>
  <c r="K166" i="5"/>
  <c r="J166" i="5"/>
  <c r="I166" i="5"/>
  <c r="H166" i="5"/>
  <c r="E166" i="9" s="1"/>
  <c r="G166" i="5"/>
  <c r="D166" i="5"/>
  <c r="C166" i="5"/>
  <c r="A166" i="5"/>
  <c r="AN165" i="5"/>
  <c r="AM165" i="5"/>
  <c r="AL165" i="5"/>
  <c r="AK165" i="5"/>
  <c r="AJ165" i="5"/>
  <c r="AI165" i="5"/>
  <c r="M165" i="5"/>
  <c r="L165" i="5"/>
  <c r="K165" i="5"/>
  <c r="J165" i="5"/>
  <c r="I165" i="5"/>
  <c r="H165" i="5"/>
  <c r="E165" i="9" s="1"/>
  <c r="G165" i="5"/>
  <c r="D165" i="5"/>
  <c r="C165" i="5"/>
  <c r="A165" i="5"/>
  <c r="AN164" i="5"/>
  <c r="AM164" i="5"/>
  <c r="AL164" i="5"/>
  <c r="AK164" i="5"/>
  <c r="AJ164" i="5"/>
  <c r="AI164" i="5"/>
  <c r="M164" i="5"/>
  <c r="L164" i="5"/>
  <c r="K164" i="5"/>
  <c r="J164" i="5"/>
  <c r="I164" i="5"/>
  <c r="H164" i="5"/>
  <c r="E164" i="9" s="1"/>
  <c r="G164" i="5"/>
  <c r="D164" i="5"/>
  <c r="C164" i="5"/>
  <c r="A164" i="5"/>
  <c r="AN163" i="5"/>
  <c r="AM163" i="5"/>
  <c r="AL163" i="5"/>
  <c r="AK163" i="5"/>
  <c r="AJ163" i="5"/>
  <c r="AI163" i="5"/>
  <c r="M163" i="5"/>
  <c r="L163" i="5"/>
  <c r="K163" i="5"/>
  <c r="J163" i="5"/>
  <c r="I163" i="5"/>
  <c r="H163" i="5"/>
  <c r="E163" i="9" s="1"/>
  <c r="G163" i="5"/>
  <c r="D163" i="5"/>
  <c r="C163" i="5"/>
  <c r="A163" i="5"/>
  <c r="AN162" i="5"/>
  <c r="AM162" i="5"/>
  <c r="AL162" i="5"/>
  <c r="AK162" i="5"/>
  <c r="AJ162" i="5"/>
  <c r="AI162" i="5"/>
  <c r="M162" i="5"/>
  <c r="L162" i="5"/>
  <c r="K162" i="5"/>
  <c r="J162" i="5"/>
  <c r="I162" i="5"/>
  <c r="H162" i="5"/>
  <c r="E162" i="9" s="1"/>
  <c r="G162" i="5"/>
  <c r="D162" i="5"/>
  <c r="C162" i="5"/>
  <c r="A162" i="5"/>
  <c r="AN161" i="5"/>
  <c r="AM161" i="5"/>
  <c r="AL161" i="5"/>
  <c r="AK161" i="5"/>
  <c r="AJ161" i="5"/>
  <c r="AI161" i="5"/>
  <c r="M161" i="5"/>
  <c r="L161" i="5"/>
  <c r="K161" i="5"/>
  <c r="J161" i="5"/>
  <c r="I161" i="5"/>
  <c r="H161" i="5"/>
  <c r="E161" i="9" s="1"/>
  <c r="G161" i="5"/>
  <c r="D161" i="5"/>
  <c r="C161" i="5"/>
  <c r="A161" i="5"/>
  <c r="AN160" i="5"/>
  <c r="AM160" i="5"/>
  <c r="AL160" i="5"/>
  <c r="AK160" i="5"/>
  <c r="AJ160" i="5"/>
  <c r="AI160" i="5"/>
  <c r="M160" i="5"/>
  <c r="L160" i="5"/>
  <c r="K160" i="5"/>
  <c r="J160" i="5"/>
  <c r="I160" i="5"/>
  <c r="H160" i="5"/>
  <c r="E160" i="9" s="1"/>
  <c r="G160" i="5"/>
  <c r="D160" i="5"/>
  <c r="C160" i="5"/>
  <c r="A160" i="5"/>
  <c r="AN159" i="5"/>
  <c r="AM159" i="5"/>
  <c r="AL159" i="5"/>
  <c r="AK159" i="5"/>
  <c r="AJ159" i="5"/>
  <c r="AI159" i="5"/>
  <c r="M159" i="5"/>
  <c r="L159" i="5"/>
  <c r="K159" i="5"/>
  <c r="J159" i="5"/>
  <c r="I159" i="5"/>
  <c r="H159" i="5"/>
  <c r="E159" i="9" s="1"/>
  <c r="G159" i="5"/>
  <c r="D159" i="5"/>
  <c r="C159" i="5"/>
  <c r="A159" i="5"/>
  <c r="AN158" i="5"/>
  <c r="AM158" i="5"/>
  <c r="AL158" i="5"/>
  <c r="AK158" i="5"/>
  <c r="AJ158" i="5"/>
  <c r="AI158" i="5"/>
  <c r="M158" i="5"/>
  <c r="L158" i="5"/>
  <c r="K158" i="5"/>
  <c r="J158" i="5"/>
  <c r="I158" i="5"/>
  <c r="H158" i="5"/>
  <c r="E158" i="9" s="1"/>
  <c r="G158" i="5"/>
  <c r="D158" i="5"/>
  <c r="C158" i="5"/>
  <c r="A158" i="5"/>
  <c r="AN157" i="5"/>
  <c r="AM157" i="5"/>
  <c r="AL157" i="5"/>
  <c r="AK157" i="5"/>
  <c r="AJ157" i="5"/>
  <c r="AI157" i="5"/>
  <c r="M157" i="5"/>
  <c r="L157" i="5"/>
  <c r="K157" i="5"/>
  <c r="J157" i="5"/>
  <c r="I157" i="5"/>
  <c r="H157" i="5"/>
  <c r="E157" i="9" s="1"/>
  <c r="G157" i="5"/>
  <c r="D157" i="5"/>
  <c r="C157" i="5"/>
  <c r="A157" i="5"/>
  <c r="AN156" i="5"/>
  <c r="AM156" i="5"/>
  <c r="AL156" i="5"/>
  <c r="AK156" i="5"/>
  <c r="AJ156" i="5"/>
  <c r="AI156" i="5"/>
  <c r="M156" i="5"/>
  <c r="L156" i="5"/>
  <c r="K156" i="5"/>
  <c r="J156" i="5"/>
  <c r="I156" i="5"/>
  <c r="H156" i="5"/>
  <c r="E156" i="9" s="1"/>
  <c r="G156" i="5"/>
  <c r="D156" i="5"/>
  <c r="C156" i="5"/>
  <c r="A156" i="5"/>
  <c r="AN155" i="5"/>
  <c r="AM155" i="5"/>
  <c r="AL155" i="5"/>
  <c r="AK155" i="5"/>
  <c r="AJ155" i="5"/>
  <c r="AI155" i="5"/>
  <c r="M155" i="5"/>
  <c r="L155" i="5"/>
  <c r="K155" i="5"/>
  <c r="J155" i="5"/>
  <c r="I155" i="5"/>
  <c r="H155" i="5"/>
  <c r="E155" i="9" s="1"/>
  <c r="G155" i="5"/>
  <c r="D155" i="5"/>
  <c r="C155" i="5"/>
  <c r="A155" i="5"/>
  <c r="AN154" i="5"/>
  <c r="AM154" i="5"/>
  <c r="AL154" i="5"/>
  <c r="AK154" i="5"/>
  <c r="AJ154" i="5"/>
  <c r="AI154" i="5"/>
  <c r="M154" i="5"/>
  <c r="L154" i="5"/>
  <c r="K154" i="5"/>
  <c r="J154" i="5"/>
  <c r="I154" i="5"/>
  <c r="H154" i="5"/>
  <c r="E154" i="9" s="1"/>
  <c r="G154" i="5"/>
  <c r="D154" i="5"/>
  <c r="C154" i="5"/>
  <c r="A154" i="5"/>
  <c r="AN153" i="5"/>
  <c r="AM153" i="5"/>
  <c r="AL153" i="5"/>
  <c r="AK153" i="5"/>
  <c r="AJ153" i="5"/>
  <c r="AI153" i="5"/>
  <c r="M153" i="5"/>
  <c r="L153" i="5"/>
  <c r="K153" i="5"/>
  <c r="J153" i="5"/>
  <c r="I153" i="5"/>
  <c r="H153" i="5"/>
  <c r="E153" i="9" s="1"/>
  <c r="G153" i="5"/>
  <c r="D153" i="5"/>
  <c r="C153" i="5"/>
  <c r="A153" i="5"/>
  <c r="AN152" i="5"/>
  <c r="AM152" i="5"/>
  <c r="AL152" i="5"/>
  <c r="AK152" i="5"/>
  <c r="AJ152" i="5"/>
  <c r="AI152" i="5"/>
  <c r="M152" i="5"/>
  <c r="L152" i="5"/>
  <c r="K152" i="5"/>
  <c r="J152" i="5"/>
  <c r="I152" i="5"/>
  <c r="H152" i="5"/>
  <c r="E152" i="9" s="1"/>
  <c r="G152" i="5"/>
  <c r="D152" i="5"/>
  <c r="C152" i="5"/>
  <c r="A152" i="5"/>
  <c r="AN151" i="5"/>
  <c r="AM151" i="5"/>
  <c r="AL151" i="5"/>
  <c r="AK151" i="5"/>
  <c r="AJ151" i="5"/>
  <c r="AI151" i="5"/>
  <c r="M151" i="5"/>
  <c r="L151" i="5"/>
  <c r="K151" i="5"/>
  <c r="J151" i="5"/>
  <c r="I151" i="5"/>
  <c r="H151" i="5"/>
  <c r="E151" i="9" s="1"/>
  <c r="G151" i="5"/>
  <c r="D151" i="5"/>
  <c r="C151" i="5"/>
  <c r="A151" i="5"/>
  <c r="AN150" i="5"/>
  <c r="AM150" i="5"/>
  <c r="AL150" i="5"/>
  <c r="AK150" i="5"/>
  <c r="AJ150" i="5"/>
  <c r="AI150" i="5"/>
  <c r="M150" i="5"/>
  <c r="L150" i="5"/>
  <c r="K150" i="5"/>
  <c r="J150" i="5"/>
  <c r="I150" i="5"/>
  <c r="H150" i="5"/>
  <c r="E150" i="9" s="1"/>
  <c r="G150" i="5"/>
  <c r="D150" i="5"/>
  <c r="C150" i="5"/>
  <c r="A150" i="5"/>
  <c r="AN149" i="5"/>
  <c r="AM149" i="5"/>
  <c r="AL149" i="5"/>
  <c r="AK149" i="5"/>
  <c r="AJ149" i="5"/>
  <c r="AI149" i="5"/>
  <c r="M149" i="5"/>
  <c r="L149" i="5"/>
  <c r="K149" i="5"/>
  <c r="J149" i="5"/>
  <c r="I149" i="5"/>
  <c r="H149" i="5"/>
  <c r="E149" i="9" s="1"/>
  <c r="G149" i="5"/>
  <c r="D149" i="5"/>
  <c r="C149" i="5"/>
  <c r="A149" i="5"/>
  <c r="AN148" i="5"/>
  <c r="AM148" i="5"/>
  <c r="AL148" i="5"/>
  <c r="AK148" i="5"/>
  <c r="AJ148" i="5"/>
  <c r="AI148" i="5"/>
  <c r="M148" i="5"/>
  <c r="L148" i="5"/>
  <c r="K148" i="5"/>
  <c r="J148" i="5"/>
  <c r="I148" i="5"/>
  <c r="H148" i="5"/>
  <c r="E148" i="9" s="1"/>
  <c r="G148" i="5"/>
  <c r="D148" i="5"/>
  <c r="C148" i="5"/>
  <c r="A148" i="5"/>
  <c r="AN147" i="5"/>
  <c r="AM147" i="5"/>
  <c r="AL147" i="5"/>
  <c r="AK147" i="5"/>
  <c r="AJ147" i="5"/>
  <c r="AI147" i="5"/>
  <c r="M147" i="5"/>
  <c r="L147" i="5"/>
  <c r="K147" i="5"/>
  <c r="J147" i="5"/>
  <c r="I147" i="5"/>
  <c r="H147" i="5"/>
  <c r="E147" i="9" s="1"/>
  <c r="G147" i="5"/>
  <c r="D147" i="5"/>
  <c r="C147" i="5"/>
  <c r="A147" i="5"/>
  <c r="AN146" i="5"/>
  <c r="AM146" i="5"/>
  <c r="AL146" i="5"/>
  <c r="AK146" i="5"/>
  <c r="AJ146" i="5"/>
  <c r="AI146" i="5"/>
  <c r="M146" i="5"/>
  <c r="L146" i="5"/>
  <c r="K146" i="5"/>
  <c r="J146" i="5"/>
  <c r="I146" i="5"/>
  <c r="H146" i="5"/>
  <c r="E146" i="9" s="1"/>
  <c r="G146" i="5"/>
  <c r="D146" i="5"/>
  <c r="C146" i="5"/>
  <c r="A146" i="5"/>
  <c r="AN145" i="5"/>
  <c r="AM145" i="5"/>
  <c r="AL145" i="5"/>
  <c r="AK145" i="5"/>
  <c r="AJ145" i="5"/>
  <c r="AI145" i="5"/>
  <c r="M145" i="5"/>
  <c r="L145" i="5"/>
  <c r="K145" i="5"/>
  <c r="J145" i="5"/>
  <c r="I145" i="5"/>
  <c r="H145" i="5"/>
  <c r="E145" i="9" s="1"/>
  <c r="G145" i="5"/>
  <c r="D145" i="5"/>
  <c r="C145" i="5"/>
  <c r="A145" i="5"/>
  <c r="AN144" i="5"/>
  <c r="AM144" i="5"/>
  <c r="AL144" i="5"/>
  <c r="AK144" i="5"/>
  <c r="AJ144" i="5"/>
  <c r="AI144" i="5"/>
  <c r="M144" i="5"/>
  <c r="L144" i="5"/>
  <c r="K144" i="5"/>
  <c r="J144" i="5"/>
  <c r="I144" i="5"/>
  <c r="H144" i="5"/>
  <c r="E144" i="9" s="1"/>
  <c r="G144" i="5"/>
  <c r="D144" i="5"/>
  <c r="C144" i="5"/>
  <c r="A144" i="5"/>
  <c r="AN143" i="5"/>
  <c r="AM143" i="5"/>
  <c r="AL143" i="5"/>
  <c r="AK143" i="5"/>
  <c r="AJ143" i="5"/>
  <c r="AI143" i="5"/>
  <c r="M143" i="5"/>
  <c r="L143" i="5"/>
  <c r="K143" i="5"/>
  <c r="J143" i="5"/>
  <c r="I143" i="5"/>
  <c r="H143" i="5"/>
  <c r="E143" i="9" s="1"/>
  <c r="G143" i="5"/>
  <c r="D143" i="5"/>
  <c r="C143" i="5"/>
  <c r="A143" i="5"/>
  <c r="AN142" i="5"/>
  <c r="AM142" i="5"/>
  <c r="AL142" i="5"/>
  <c r="AK142" i="5"/>
  <c r="AJ142" i="5"/>
  <c r="AI142" i="5"/>
  <c r="M142" i="5"/>
  <c r="L142" i="5"/>
  <c r="K142" i="5"/>
  <c r="J142" i="5"/>
  <c r="I142" i="5"/>
  <c r="H142" i="5"/>
  <c r="E142" i="9" s="1"/>
  <c r="G142" i="5"/>
  <c r="D142" i="5"/>
  <c r="C142" i="5"/>
  <c r="A142" i="5"/>
  <c r="AN141" i="5"/>
  <c r="AM141" i="5"/>
  <c r="AL141" i="5"/>
  <c r="AK141" i="5"/>
  <c r="AJ141" i="5"/>
  <c r="AI141" i="5"/>
  <c r="M141" i="5"/>
  <c r="L141" i="5"/>
  <c r="K141" i="5"/>
  <c r="J141" i="5"/>
  <c r="I141" i="5"/>
  <c r="H141" i="5"/>
  <c r="E141" i="9" s="1"/>
  <c r="G141" i="5"/>
  <c r="D141" i="5"/>
  <c r="C141" i="5"/>
  <c r="A141" i="5"/>
  <c r="AN140" i="5"/>
  <c r="AM140" i="5"/>
  <c r="AL140" i="5"/>
  <c r="AK140" i="5"/>
  <c r="AJ140" i="5"/>
  <c r="AI140" i="5"/>
  <c r="M140" i="5"/>
  <c r="L140" i="5"/>
  <c r="K140" i="5"/>
  <c r="J140" i="5"/>
  <c r="I140" i="5"/>
  <c r="H140" i="5"/>
  <c r="E140" i="9" s="1"/>
  <c r="G140" i="5"/>
  <c r="D140" i="5"/>
  <c r="C140" i="5"/>
  <c r="A140" i="5"/>
  <c r="AN139" i="5"/>
  <c r="AM139" i="5"/>
  <c r="AL139" i="5"/>
  <c r="AK139" i="5"/>
  <c r="AJ139" i="5"/>
  <c r="AI139" i="5"/>
  <c r="M139" i="5"/>
  <c r="L139" i="5"/>
  <c r="K139" i="5"/>
  <c r="J139" i="5"/>
  <c r="I139" i="5"/>
  <c r="H139" i="5"/>
  <c r="E139" i="9" s="1"/>
  <c r="G139" i="5"/>
  <c r="D139" i="5"/>
  <c r="C139" i="5"/>
  <c r="A139" i="5"/>
  <c r="AN138" i="5"/>
  <c r="AM138" i="5"/>
  <c r="AL138" i="5"/>
  <c r="AK138" i="5"/>
  <c r="AJ138" i="5"/>
  <c r="AI138" i="5"/>
  <c r="M138" i="5"/>
  <c r="L138" i="5"/>
  <c r="K138" i="5"/>
  <c r="J138" i="5"/>
  <c r="I138" i="5"/>
  <c r="H138" i="5"/>
  <c r="E138" i="9" s="1"/>
  <c r="G138" i="5"/>
  <c r="D138" i="5"/>
  <c r="C138" i="5"/>
  <c r="A138" i="5"/>
  <c r="AN137" i="5"/>
  <c r="AM137" i="5"/>
  <c r="AL137" i="5"/>
  <c r="AK137" i="5"/>
  <c r="AJ137" i="5"/>
  <c r="AI137" i="5"/>
  <c r="M137" i="5"/>
  <c r="L137" i="5"/>
  <c r="K137" i="5"/>
  <c r="J137" i="5"/>
  <c r="I137" i="5"/>
  <c r="H137" i="5"/>
  <c r="E137" i="9" s="1"/>
  <c r="G137" i="5"/>
  <c r="D137" i="5"/>
  <c r="C137" i="5"/>
  <c r="A137" i="5"/>
  <c r="AN136" i="5"/>
  <c r="AM136" i="5"/>
  <c r="AL136" i="5"/>
  <c r="AK136" i="5"/>
  <c r="AJ136" i="5"/>
  <c r="AI136" i="5"/>
  <c r="M136" i="5"/>
  <c r="L136" i="5"/>
  <c r="K136" i="5"/>
  <c r="J136" i="5"/>
  <c r="I136" i="5"/>
  <c r="H136" i="5"/>
  <c r="E136" i="9" s="1"/>
  <c r="G136" i="5"/>
  <c r="D136" i="5"/>
  <c r="C136" i="5"/>
  <c r="A136" i="5"/>
  <c r="AN135" i="5"/>
  <c r="AM135" i="5"/>
  <c r="AL135" i="5"/>
  <c r="AK135" i="5"/>
  <c r="AJ135" i="5"/>
  <c r="AI135" i="5"/>
  <c r="M135" i="5"/>
  <c r="L135" i="5"/>
  <c r="K135" i="5"/>
  <c r="J135" i="5"/>
  <c r="I135" i="5"/>
  <c r="H135" i="5"/>
  <c r="E135" i="9" s="1"/>
  <c r="G135" i="5"/>
  <c r="D135" i="5"/>
  <c r="C135" i="5"/>
  <c r="A135" i="5"/>
  <c r="AN134" i="5"/>
  <c r="AM134" i="5"/>
  <c r="AL134" i="5"/>
  <c r="AK134" i="5"/>
  <c r="AJ134" i="5"/>
  <c r="AI134" i="5"/>
  <c r="M134" i="5"/>
  <c r="L134" i="5"/>
  <c r="K134" i="5"/>
  <c r="J134" i="5"/>
  <c r="I134" i="5"/>
  <c r="H134" i="5"/>
  <c r="E134" i="9" s="1"/>
  <c r="G134" i="5"/>
  <c r="D134" i="5"/>
  <c r="C134" i="5"/>
  <c r="A134" i="5"/>
  <c r="AN133" i="5"/>
  <c r="AM133" i="5"/>
  <c r="AL133" i="5"/>
  <c r="AK133" i="5"/>
  <c r="AJ133" i="5"/>
  <c r="AI133" i="5"/>
  <c r="M133" i="5"/>
  <c r="L133" i="5"/>
  <c r="K133" i="5"/>
  <c r="J133" i="5"/>
  <c r="I133" i="5"/>
  <c r="H133" i="5"/>
  <c r="E133" i="9" s="1"/>
  <c r="G133" i="5"/>
  <c r="D133" i="5"/>
  <c r="C133" i="5"/>
  <c r="A133" i="5"/>
  <c r="AN132" i="5"/>
  <c r="AM132" i="5"/>
  <c r="AL132" i="5"/>
  <c r="AK132" i="5"/>
  <c r="AJ132" i="5"/>
  <c r="AI132" i="5"/>
  <c r="M132" i="5"/>
  <c r="L132" i="5"/>
  <c r="K132" i="5"/>
  <c r="J132" i="5"/>
  <c r="I132" i="5"/>
  <c r="H132" i="5"/>
  <c r="E132" i="9" s="1"/>
  <c r="G132" i="5"/>
  <c r="D132" i="5"/>
  <c r="C132" i="5"/>
  <c r="A132" i="5"/>
  <c r="AN131" i="5"/>
  <c r="AM131" i="5"/>
  <c r="AL131" i="5"/>
  <c r="AK131" i="5"/>
  <c r="AJ131" i="5"/>
  <c r="AI131" i="5"/>
  <c r="M131" i="5"/>
  <c r="L131" i="5"/>
  <c r="K131" i="5"/>
  <c r="J131" i="5"/>
  <c r="I131" i="5"/>
  <c r="H131" i="5"/>
  <c r="E131" i="9" s="1"/>
  <c r="G131" i="5"/>
  <c r="D131" i="5"/>
  <c r="C131" i="5"/>
  <c r="A131" i="5"/>
  <c r="AN130" i="5"/>
  <c r="AM130" i="5"/>
  <c r="AL130" i="5"/>
  <c r="AK130" i="5"/>
  <c r="AJ130" i="5"/>
  <c r="AI130" i="5"/>
  <c r="M130" i="5"/>
  <c r="L130" i="5"/>
  <c r="K130" i="5"/>
  <c r="J130" i="5"/>
  <c r="I130" i="5"/>
  <c r="H130" i="5"/>
  <c r="E130" i="9" s="1"/>
  <c r="G130" i="5"/>
  <c r="D130" i="5"/>
  <c r="C130" i="5"/>
  <c r="A130" i="5"/>
  <c r="AN129" i="5"/>
  <c r="AM129" i="5"/>
  <c r="AL129" i="5"/>
  <c r="AK129" i="5"/>
  <c r="AJ129" i="5"/>
  <c r="AI129" i="5"/>
  <c r="M129" i="5"/>
  <c r="L129" i="5"/>
  <c r="K129" i="5"/>
  <c r="J129" i="5"/>
  <c r="I129" i="5"/>
  <c r="H129" i="5"/>
  <c r="E129" i="9" s="1"/>
  <c r="G129" i="5"/>
  <c r="D129" i="5"/>
  <c r="C129" i="5"/>
  <c r="A129" i="5"/>
  <c r="AN128" i="5"/>
  <c r="AM128" i="5"/>
  <c r="AL128" i="5"/>
  <c r="AK128" i="5"/>
  <c r="AJ128" i="5"/>
  <c r="AI128" i="5"/>
  <c r="M128" i="5"/>
  <c r="L128" i="5"/>
  <c r="K128" i="5"/>
  <c r="J128" i="5"/>
  <c r="I128" i="5"/>
  <c r="H128" i="5"/>
  <c r="E128" i="9" s="1"/>
  <c r="G128" i="5"/>
  <c r="D128" i="5"/>
  <c r="C128" i="5"/>
  <c r="A128" i="5"/>
  <c r="AN127" i="5"/>
  <c r="AM127" i="5"/>
  <c r="AL127" i="5"/>
  <c r="AK127" i="5"/>
  <c r="AJ127" i="5"/>
  <c r="AI127" i="5"/>
  <c r="M127" i="5"/>
  <c r="L127" i="5"/>
  <c r="K127" i="5"/>
  <c r="J127" i="5"/>
  <c r="I127" i="5"/>
  <c r="H127" i="5"/>
  <c r="E127" i="9" s="1"/>
  <c r="G127" i="5"/>
  <c r="D127" i="5"/>
  <c r="C127" i="5"/>
  <c r="A127" i="5"/>
  <c r="AN126" i="5"/>
  <c r="AM126" i="5"/>
  <c r="AL126" i="5"/>
  <c r="AK126" i="5"/>
  <c r="AJ126" i="5"/>
  <c r="AI126" i="5"/>
  <c r="M126" i="5"/>
  <c r="L126" i="5"/>
  <c r="K126" i="5"/>
  <c r="J126" i="5"/>
  <c r="I126" i="5"/>
  <c r="H126" i="5"/>
  <c r="E126" i="9" s="1"/>
  <c r="G126" i="5"/>
  <c r="D126" i="5"/>
  <c r="C126" i="5"/>
  <c r="A126" i="5"/>
  <c r="AN125" i="5"/>
  <c r="AM125" i="5"/>
  <c r="AL125" i="5"/>
  <c r="AK125" i="5"/>
  <c r="AJ125" i="5"/>
  <c r="AI125" i="5"/>
  <c r="M125" i="5"/>
  <c r="L125" i="5"/>
  <c r="K125" i="5"/>
  <c r="J125" i="5"/>
  <c r="I125" i="5"/>
  <c r="H125" i="5"/>
  <c r="E125" i="9" s="1"/>
  <c r="G125" i="5"/>
  <c r="D125" i="5"/>
  <c r="C125" i="5"/>
  <c r="A125" i="5"/>
  <c r="AN124" i="5"/>
  <c r="AM124" i="5"/>
  <c r="AL124" i="5"/>
  <c r="AK124" i="5"/>
  <c r="AJ124" i="5"/>
  <c r="AI124" i="5"/>
  <c r="M124" i="5"/>
  <c r="L124" i="5"/>
  <c r="K124" i="5"/>
  <c r="J124" i="5"/>
  <c r="I124" i="5"/>
  <c r="H124" i="5"/>
  <c r="E124" i="9" s="1"/>
  <c r="G124" i="5"/>
  <c r="D124" i="5"/>
  <c r="C124" i="5"/>
  <c r="A124" i="5"/>
  <c r="AN123" i="5"/>
  <c r="AM123" i="5"/>
  <c r="AL123" i="5"/>
  <c r="AK123" i="5"/>
  <c r="AJ123" i="5"/>
  <c r="AI123" i="5"/>
  <c r="M123" i="5"/>
  <c r="L123" i="5"/>
  <c r="K123" i="5"/>
  <c r="J123" i="5"/>
  <c r="I123" i="5"/>
  <c r="H123" i="5"/>
  <c r="E123" i="9" s="1"/>
  <c r="G123" i="5"/>
  <c r="D123" i="5"/>
  <c r="C123" i="5"/>
  <c r="A123" i="5"/>
  <c r="AN122" i="5"/>
  <c r="AM122" i="5"/>
  <c r="AL122" i="5"/>
  <c r="AK122" i="5"/>
  <c r="AJ122" i="5"/>
  <c r="AI122" i="5"/>
  <c r="M122" i="5"/>
  <c r="L122" i="5"/>
  <c r="K122" i="5"/>
  <c r="J122" i="5"/>
  <c r="I122" i="5"/>
  <c r="H122" i="5"/>
  <c r="E122" i="9" s="1"/>
  <c r="G122" i="5"/>
  <c r="D122" i="5"/>
  <c r="C122" i="5"/>
  <c r="A122" i="5"/>
  <c r="AN121" i="5"/>
  <c r="AM121" i="5"/>
  <c r="AL121" i="5"/>
  <c r="AK121" i="5"/>
  <c r="AJ121" i="5"/>
  <c r="AI121" i="5"/>
  <c r="M121" i="5"/>
  <c r="L121" i="5"/>
  <c r="K121" i="5"/>
  <c r="J121" i="5"/>
  <c r="I121" i="5"/>
  <c r="H121" i="5"/>
  <c r="E121" i="9" s="1"/>
  <c r="G121" i="5"/>
  <c r="D121" i="5"/>
  <c r="C121" i="5"/>
  <c r="A121" i="5"/>
  <c r="AN120" i="5"/>
  <c r="AM120" i="5"/>
  <c r="AL120" i="5"/>
  <c r="AK120" i="5"/>
  <c r="AJ120" i="5"/>
  <c r="AI120" i="5"/>
  <c r="M120" i="5"/>
  <c r="L120" i="5"/>
  <c r="K120" i="5"/>
  <c r="J120" i="5"/>
  <c r="I120" i="5"/>
  <c r="H120" i="5"/>
  <c r="E120" i="9" s="1"/>
  <c r="G120" i="5"/>
  <c r="D120" i="5"/>
  <c r="C120" i="5"/>
  <c r="A120" i="5"/>
  <c r="AN119" i="5"/>
  <c r="AM119" i="5"/>
  <c r="AL119" i="5"/>
  <c r="AK119" i="5"/>
  <c r="AJ119" i="5"/>
  <c r="AI119" i="5"/>
  <c r="M119" i="5"/>
  <c r="L119" i="5"/>
  <c r="K119" i="5"/>
  <c r="J119" i="5"/>
  <c r="I119" i="5"/>
  <c r="H119" i="5"/>
  <c r="E119" i="9" s="1"/>
  <c r="G119" i="5"/>
  <c r="D119" i="5"/>
  <c r="C119" i="5"/>
  <c r="A119" i="5"/>
  <c r="AN118" i="5"/>
  <c r="AM118" i="5"/>
  <c r="AL118" i="5"/>
  <c r="AK118" i="5"/>
  <c r="AJ118" i="5"/>
  <c r="AI118" i="5"/>
  <c r="M118" i="5"/>
  <c r="L118" i="5"/>
  <c r="K118" i="5"/>
  <c r="J118" i="5"/>
  <c r="I118" i="5"/>
  <c r="H118" i="5"/>
  <c r="E118" i="9" s="1"/>
  <c r="G118" i="5"/>
  <c r="D118" i="5"/>
  <c r="C118" i="5"/>
  <c r="A118" i="5"/>
  <c r="AN117" i="5"/>
  <c r="AM117" i="5"/>
  <c r="AL117" i="5"/>
  <c r="AK117" i="5"/>
  <c r="AJ117" i="5"/>
  <c r="AI117" i="5"/>
  <c r="M117" i="5"/>
  <c r="L117" i="5"/>
  <c r="K117" i="5"/>
  <c r="J117" i="5"/>
  <c r="I117" i="5"/>
  <c r="H117" i="5"/>
  <c r="E117" i="9" s="1"/>
  <c r="G117" i="5"/>
  <c r="D117" i="5"/>
  <c r="C117" i="5"/>
  <c r="A117" i="5"/>
  <c r="AN116" i="5"/>
  <c r="AM116" i="5"/>
  <c r="AL116" i="5"/>
  <c r="AK116" i="5"/>
  <c r="AJ116" i="5"/>
  <c r="AI116" i="5"/>
  <c r="M116" i="5"/>
  <c r="L116" i="5"/>
  <c r="K116" i="5"/>
  <c r="J116" i="5"/>
  <c r="I116" i="5"/>
  <c r="H116" i="5"/>
  <c r="E116" i="9" s="1"/>
  <c r="G116" i="5"/>
  <c r="D116" i="5"/>
  <c r="C116" i="5"/>
  <c r="A116" i="5"/>
  <c r="AN115" i="5"/>
  <c r="AM115" i="5"/>
  <c r="AL115" i="5"/>
  <c r="AK115" i="5"/>
  <c r="AJ115" i="5"/>
  <c r="AI115" i="5"/>
  <c r="M115" i="5"/>
  <c r="L115" i="5"/>
  <c r="K115" i="5"/>
  <c r="J115" i="5"/>
  <c r="I115" i="5"/>
  <c r="H115" i="5"/>
  <c r="E115" i="9" s="1"/>
  <c r="G115" i="5"/>
  <c r="D115" i="5"/>
  <c r="C115" i="5"/>
  <c r="A115" i="5"/>
  <c r="AN114" i="5"/>
  <c r="AM114" i="5"/>
  <c r="AL114" i="5"/>
  <c r="AK114" i="5"/>
  <c r="AJ114" i="5"/>
  <c r="AI114" i="5"/>
  <c r="M114" i="5"/>
  <c r="L114" i="5"/>
  <c r="K114" i="5"/>
  <c r="J114" i="5"/>
  <c r="I114" i="5"/>
  <c r="H114" i="5"/>
  <c r="E114" i="9" s="1"/>
  <c r="G114" i="5"/>
  <c r="D114" i="5"/>
  <c r="C114" i="5"/>
  <c r="A114" i="5"/>
  <c r="AN113" i="5"/>
  <c r="AM113" i="5"/>
  <c r="AL113" i="5"/>
  <c r="AK113" i="5"/>
  <c r="AJ113" i="5"/>
  <c r="AI113" i="5"/>
  <c r="M113" i="5"/>
  <c r="L113" i="5"/>
  <c r="K113" i="5"/>
  <c r="J113" i="5"/>
  <c r="I113" i="5"/>
  <c r="H113" i="5"/>
  <c r="E113" i="9" s="1"/>
  <c r="G113" i="5"/>
  <c r="D113" i="5"/>
  <c r="C113" i="5"/>
  <c r="A113" i="5"/>
  <c r="AN112" i="5"/>
  <c r="AM112" i="5"/>
  <c r="AL112" i="5"/>
  <c r="AK112" i="5"/>
  <c r="AJ112" i="5"/>
  <c r="AI112" i="5"/>
  <c r="M112" i="5"/>
  <c r="L112" i="5"/>
  <c r="K112" i="5"/>
  <c r="J112" i="5"/>
  <c r="I112" i="5"/>
  <c r="H112" i="5"/>
  <c r="E112" i="9" s="1"/>
  <c r="G112" i="5"/>
  <c r="D112" i="5"/>
  <c r="C112" i="5"/>
  <c r="A112" i="5"/>
  <c r="AN111" i="5"/>
  <c r="AM111" i="5"/>
  <c r="AL111" i="5"/>
  <c r="AK111" i="5"/>
  <c r="AJ111" i="5"/>
  <c r="AI111" i="5"/>
  <c r="M111" i="5"/>
  <c r="L111" i="5"/>
  <c r="K111" i="5"/>
  <c r="J111" i="5"/>
  <c r="I111" i="5"/>
  <c r="H111" i="5"/>
  <c r="E111" i="9" s="1"/>
  <c r="G111" i="5"/>
  <c r="D111" i="5"/>
  <c r="C111" i="5"/>
  <c r="A111" i="5"/>
  <c r="AN110" i="5"/>
  <c r="AM110" i="5"/>
  <c r="AL110" i="5"/>
  <c r="AK110" i="5"/>
  <c r="AJ110" i="5"/>
  <c r="AI110" i="5"/>
  <c r="M110" i="5"/>
  <c r="L110" i="5"/>
  <c r="K110" i="5"/>
  <c r="J110" i="5"/>
  <c r="I110" i="5"/>
  <c r="H110" i="5"/>
  <c r="E110" i="9" s="1"/>
  <c r="G110" i="5"/>
  <c r="D110" i="5"/>
  <c r="C110" i="5"/>
  <c r="A110" i="5"/>
  <c r="AN109" i="5"/>
  <c r="AM109" i="5"/>
  <c r="AL109" i="5"/>
  <c r="AK109" i="5"/>
  <c r="AJ109" i="5"/>
  <c r="AI109" i="5"/>
  <c r="M109" i="5"/>
  <c r="L109" i="5"/>
  <c r="K109" i="5"/>
  <c r="J109" i="5"/>
  <c r="I109" i="5"/>
  <c r="H109" i="5"/>
  <c r="E109" i="9" s="1"/>
  <c r="G109" i="5"/>
  <c r="D109" i="5"/>
  <c r="C109" i="5"/>
  <c r="A109" i="5"/>
  <c r="AN108" i="5"/>
  <c r="AM108" i="5"/>
  <c r="AL108" i="5"/>
  <c r="AK108" i="5"/>
  <c r="AJ108" i="5"/>
  <c r="AI108" i="5"/>
  <c r="M108" i="5"/>
  <c r="L108" i="5"/>
  <c r="K108" i="5"/>
  <c r="J108" i="5"/>
  <c r="I108" i="5"/>
  <c r="H108" i="5"/>
  <c r="E108" i="9" s="1"/>
  <c r="G108" i="5"/>
  <c r="D108" i="5"/>
  <c r="C108" i="5"/>
  <c r="A108" i="5"/>
  <c r="AN107" i="5"/>
  <c r="AM107" i="5"/>
  <c r="AL107" i="5"/>
  <c r="AK107" i="5"/>
  <c r="AJ107" i="5"/>
  <c r="AI107" i="5"/>
  <c r="M107" i="5"/>
  <c r="L107" i="5"/>
  <c r="K107" i="5"/>
  <c r="J107" i="5"/>
  <c r="I107" i="5"/>
  <c r="H107" i="5"/>
  <c r="E107" i="9" s="1"/>
  <c r="G107" i="5"/>
  <c r="D107" i="5"/>
  <c r="C107" i="5"/>
  <c r="A107" i="5"/>
  <c r="AN106" i="5"/>
  <c r="AM106" i="5"/>
  <c r="AL106" i="5"/>
  <c r="AK106" i="5"/>
  <c r="AJ106" i="5"/>
  <c r="AI106" i="5"/>
  <c r="M106" i="5"/>
  <c r="L106" i="5"/>
  <c r="K106" i="5"/>
  <c r="J106" i="5"/>
  <c r="I106" i="5"/>
  <c r="H106" i="5"/>
  <c r="E106" i="9" s="1"/>
  <c r="G106" i="5"/>
  <c r="D106" i="5"/>
  <c r="C106" i="5"/>
  <c r="A106" i="5"/>
  <c r="AN105" i="5"/>
  <c r="AM105" i="5"/>
  <c r="AL105" i="5"/>
  <c r="AK105" i="5"/>
  <c r="AJ105" i="5"/>
  <c r="AI105" i="5"/>
  <c r="M105" i="5"/>
  <c r="L105" i="5"/>
  <c r="K105" i="5"/>
  <c r="J105" i="5"/>
  <c r="I105" i="5"/>
  <c r="H105" i="5"/>
  <c r="E105" i="9" s="1"/>
  <c r="G105" i="5"/>
  <c r="D105" i="5"/>
  <c r="C105" i="5"/>
  <c r="A105" i="5"/>
  <c r="AN104" i="5"/>
  <c r="AM104" i="5"/>
  <c r="AL104" i="5"/>
  <c r="AK104" i="5"/>
  <c r="AJ104" i="5"/>
  <c r="AI104" i="5"/>
  <c r="M104" i="5"/>
  <c r="L104" i="5"/>
  <c r="K104" i="5"/>
  <c r="J104" i="5"/>
  <c r="I104" i="5"/>
  <c r="H104" i="5"/>
  <c r="E104" i="9" s="1"/>
  <c r="G104" i="5"/>
  <c r="D104" i="5"/>
  <c r="C104" i="5"/>
  <c r="A104" i="5"/>
  <c r="AN103" i="5"/>
  <c r="AM103" i="5"/>
  <c r="AL103" i="5"/>
  <c r="AK103" i="5"/>
  <c r="AJ103" i="5"/>
  <c r="AI103" i="5"/>
  <c r="M103" i="5"/>
  <c r="L103" i="5"/>
  <c r="K103" i="5"/>
  <c r="J103" i="5"/>
  <c r="I103" i="5"/>
  <c r="H103" i="5"/>
  <c r="E103" i="9" s="1"/>
  <c r="G103" i="5"/>
  <c r="D103" i="5"/>
  <c r="C103" i="5"/>
  <c r="A103" i="5"/>
  <c r="AN102" i="5"/>
  <c r="AM102" i="5"/>
  <c r="AL102" i="5"/>
  <c r="AK102" i="5"/>
  <c r="AJ102" i="5"/>
  <c r="AI102" i="5"/>
  <c r="M102" i="5"/>
  <c r="L102" i="5"/>
  <c r="K102" i="5"/>
  <c r="J102" i="5"/>
  <c r="I102" i="5"/>
  <c r="H102" i="5"/>
  <c r="E102" i="9" s="1"/>
  <c r="G102" i="5"/>
  <c r="D102" i="5"/>
  <c r="C102" i="5"/>
  <c r="A102" i="5"/>
  <c r="AN101" i="5"/>
  <c r="AM101" i="5"/>
  <c r="AL101" i="5"/>
  <c r="AK101" i="5"/>
  <c r="AJ101" i="5"/>
  <c r="AI101" i="5"/>
  <c r="M101" i="5"/>
  <c r="L101" i="5"/>
  <c r="K101" i="5"/>
  <c r="J101" i="5"/>
  <c r="I101" i="5"/>
  <c r="H101" i="5"/>
  <c r="E101" i="9" s="1"/>
  <c r="G101" i="5"/>
  <c r="D101" i="5"/>
  <c r="C101" i="5"/>
  <c r="A101" i="5"/>
  <c r="AN100" i="5"/>
  <c r="AM100" i="5"/>
  <c r="AL100" i="5"/>
  <c r="AK100" i="5"/>
  <c r="AJ100" i="5"/>
  <c r="AI100" i="5"/>
  <c r="M100" i="5"/>
  <c r="L100" i="5"/>
  <c r="K100" i="5"/>
  <c r="J100" i="5"/>
  <c r="I100" i="5"/>
  <c r="H100" i="5"/>
  <c r="E100" i="9" s="1"/>
  <c r="G100" i="5"/>
  <c r="D100" i="5"/>
  <c r="C100" i="5"/>
  <c r="A100" i="5"/>
  <c r="AN99" i="5"/>
  <c r="AM99" i="5"/>
  <c r="AL99" i="5"/>
  <c r="AK99" i="5"/>
  <c r="AJ99" i="5"/>
  <c r="AI99" i="5"/>
  <c r="M99" i="5"/>
  <c r="L99" i="5"/>
  <c r="K99" i="5"/>
  <c r="J99" i="5"/>
  <c r="I99" i="5"/>
  <c r="H99" i="5"/>
  <c r="E99" i="9" s="1"/>
  <c r="G99" i="5"/>
  <c r="D99" i="5"/>
  <c r="C99" i="5"/>
  <c r="A99" i="5"/>
  <c r="AN98" i="5"/>
  <c r="AM98" i="5"/>
  <c r="AL98" i="5"/>
  <c r="AK98" i="5"/>
  <c r="AJ98" i="5"/>
  <c r="AI98" i="5"/>
  <c r="M98" i="5"/>
  <c r="L98" i="5"/>
  <c r="K98" i="5"/>
  <c r="J98" i="5"/>
  <c r="I98" i="5"/>
  <c r="H98" i="5"/>
  <c r="E98" i="9" s="1"/>
  <c r="G98" i="5"/>
  <c r="D98" i="5"/>
  <c r="C98" i="5"/>
  <c r="A98" i="5"/>
  <c r="AN97" i="5"/>
  <c r="AM97" i="5"/>
  <c r="AL97" i="5"/>
  <c r="AK97" i="5"/>
  <c r="AJ97" i="5"/>
  <c r="AI97" i="5"/>
  <c r="M97" i="5"/>
  <c r="L97" i="5"/>
  <c r="K97" i="5"/>
  <c r="J97" i="5"/>
  <c r="I97" i="5"/>
  <c r="H97" i="5"/>
  <c r="E97" i="9" s="1"/>
  <c r="G97" i="5"/>
  <c r="D97" i="5"/>
  <c r="C97" i="5"/>
  <c r="A97" i="5"/>
  <c r="AN96" i="5"/>
  <c r="AM96" i="5"/>
  <c r="AL96" i="5"/>
  <c r="AK96" i="5"/>
  <c r="AJ96" i="5"/>
  <c r="AI96" i="5"/>
  <c r="M96" i="5"/>
  <c r="L96" i="5"/>
  <c r="K96" i="5"/>
  <c r="J96" i="5"/>
  <c r="I96" i="5"/>
  <c r="H96" i="5"/>
  <c r="E96" i="9" s="1"/>
  <c r="G96" i="5"/>
  <c r="D96" i="5"/>
  <c r="C96" i="5"/>
  <c r="A96" i="5"/>
  <c r="AN95" i="5"/>
  <c r="AM95" i="5"/>
  <c r="AL95" i="5"/>
  <c r="AK95" i="5"/>
  <c r="AJ95" i="5"/>
  <c r="AI95" i="5"/>
  <c r="M95" i="5"/>
  <c r="L95" i="5"/>
  <c r="K95" i="5"/>
  <c r="J95" i="5"/>
  <c r="I95" i="5"/>
  <c r="H95" i="5"/>
  <c r="E95" i="9" s="1"/>
  <c r="G95" i="5"/>
  <c r="D95" i="5"/>
  <c r="C95" i="5"/>
  <c r="A95" i="5"/>
  <c r="AN94" i="5"/>
  <c r="AM94" i="5"/>
  <c r="AL94" i="5"/>
  <c r="AK94" i="5"/>
  <c r="AJ94" i="5"/>
  <c r="AI94" i="5"/>
  <c r="M94" i="5"/>
  <c r="L94" i="5"/>
  <c r="K94" i="5"/>
  <c r="J94" i="5"/>
  <c r="I94" i="5"/>
  <c r="H94" i="5"/>
  <c r="E94" i="9" s="1"/>
  <c r="G94" i="5"/>
  <c r="D94" i="5"/>
  <c r="C94" i="5"/>
  <c r="A94" i="5"/>
  <c r="AN93" i="5"/>
  <c r="AM93" i="5"/>
  <c r="AL93" i="5"/>
  <c r="AK93" i="5"/>
  <c r="AJ93" i="5"/>
  <c r="AI93" i="5"/>
  <c r="M93" i="5"/>
  <c r="L93" i="5"/>
  <c r="K93" i="5"/>
  <c r="J93" i="5"/>
  <c r="I93" i="5"/>
  <c r="H93" i="5"/>
  <c r="E93" i="9" s="1"/>
  <c r="G93" i="5"/>
  <c r="D93" i="5"/>
  <c r="C93" i="5"/>
  <c r="A93" i="5"/>
  <c r="AN92" i="5"/>
  <c r="AM92" i="5"/>
  <c r="AL92" i="5"/>
  <c r="AK92" i="5"/>
  <c r="AJ92" i="5"/>
  <c r="AI92" i="5"/>
  <c r="M92" i="5"/>
  <c r="L92" i="5"/>
  <c r="K92" i="5"/>
  <c r="J92" i="5"/>
  <c r="I92" i="5"/>
  <c r="H92" i="5"/>
  <c r="E92" i="9" s="1"/>
  <c r="G92" i="5"/>
  <c r="D92" i="5"/>
  <c r="C92" i="5"/>
  <c r="A92" i="5"/>
  <c r="AN91" i="5"/>
  <c r="AM91" i="5"/>
  <c r="AL91" i="5"/>
  <c r="AK91" i="5"/>
  <c r="AJ91" i="5"/>
  <c r="AI91" i="5"/>
  <c r="M91" i="5"/>
  <c r="L91" i="5"/>
  <c r="K91" i="5"/>
  <c r="J91" i="5"/>
  <c r="I91" i="5"/>
  <c r="H91" i="5"/>
  <c r="E91" i="9" s="1"/>
  <c r="G91" i="5"/>
  <c r="D91" i="5"/>
  <c r="C91" i="5"/>
  <c r="A91" i="5"/>
  <c r="AN90" i="5"/>
  <c r="AM90" i="5"/>
  <c r="AL90" i="5"/>
  <c r="AK90" i="5"/>
  <c r="AJ90" i="5"/>
  <c r="AI90" i="5"/>
  <c r="M90" i="5"/>
  <c r="L90" i="5"/>
  <c r="K90" i="5"/>
  <c r="J90" i="5"/>
  <c r="I90" i="5"/>
  <c r="H90" i="5"/>
  <c r="E90" i="9" s="1"/>
  <c r="G90" i="5"/>
  <c r="D90" i="5"/>
  <c r="C90" i="5"/>
  <c r="A90" i="5"/>
  <c r="AN89" i="5"/>
  <c r="AM89" i="5"/>
  <c r="AL89" i="5"/>
  <c r="AK89" i="5"/>
  <c r="AJ89" i="5"/>
  <c r="AI89" i="5"/>
  <c r="M89" i="5"/>
  <c r="L89" i="5"/>
  <c r="K89" i="5"/>
  <c r="J89" i="5"/>
  <c r="I89" i="5"/>
  <c r="H89" i="5"/>
  <c r="E89" i="9" s="1"/>
  <c r="G89" i="5"/>
  <c r="D89" i="5"/>
  <c r="C89" i="5"/>
  <c r="A89" i="5"/>
  <c r="AN88" i="5"/>
  <c r="AM88" i="5"/>
  <c r="AL88" i="5"/>
  <c r="AK88" i="5"/>
  <c r="AJ88" i="5"/>
  <c r="AI88" i="5"/>
  <c r="M88" i="5"/>
  <c r="L88" i="5"/>
  <c r="K88" i="5"/>
  <c r="J88" i="5"/>
  <c r="I88" i="5"/>
  <c r="H88" i="5"/>
  <c r="E88" i="9" s="1"/>
  <c r="G88" i="5"/>
  <c r="D88" i="5"/>
  <c r="C88" i="5"/>
  <c r="A88" i="5"/>
  <c r="AN87" i="5"/>
  <c r="AM87" i="5"/>
  <c r="AL87" i="5"/>
  <c r="AK87" i="5"/>
  <c r="AJ87" i="5"/>
  <c r="AI87" i="5"/>
  <c r="M87" i="5"/>
  <c r="L87" i="5"/>
  <c r="K87" i="5"/>
  <c r="J87" i="5"/>
  <c r="I87" i="5"/>
  <c r="H87" i="5"/>
  <c r="E87" i="9" s="1"/>
  <c r="G87" i="5"/>
  <c r="D87" i="5"/>
  <c r="C87" i="5"/>
  <c r="A87" i="5"/>
  <c r="AN86" i="5"/>
  <c r="AM86" i="5"/>
  <c r="AL86" i="5"/>
  <c r="AK86" i="5"/>
  <c r="AJ86" i="5"/>
  <c r="AI86" i="5"/>
  <c r="M86" i="5"/>
  <c r="L86" i="5"/>
  <c r="K86" i="5"/>
  <c r="J86" i="5"/>
  <c r="I86" i="5"/>
  <c r="H86" i="5"/>
  <c r="E86" i="9" s="1"/>
  <c r="G86" i="5"/>
  <c r="D86" i="5"/>
  <c r="C86" i="5"/>
  <c r="A86" i="5"/>
  <c r="AN85" i="5"/>
  <c r="AM85" i="5"/>
  <c r="AL85" i="5"/>
  <c r="AK85" i="5"/>
  <c r="AJ85" i="5"/>
  <c r="AI85" i="5"/>
  <c r="M85" i="5"/>
  <c r="L85" i="5"/>
  <c r="K85" i="5"/>
  <c r="J85" i="5"/>
  <c r="I85" i="5"/>
  <c r="H85" i="5"/>
  <c r="E85" i="9" s="1"/>
  <c r="G85" i="5"/>
  <c r="D85" i="5"/>
  <c r="C85" i="5"/>
  <c r="A85" i="5"/>
  <c r="AN84" i="5"/>
  <c r="AM84" i="5"/>
  <c r="AL84" i="5"/>
  <c r="AK84" i="5"/>
  <c r="AJ84" i="5"/>
  <c r="AI84" i="5"/>
  <c r="M84" i="5"/>
  <c r="L84" i="5"/>
  <c r="K84" i="5"/>
  <c r="J84" i="5"/>
  <c r="I84" i="5"/>
  <c r="H84" i="5"/>
  <c r="E84" i="9" s="1"/>
  <c r="G84" i="5"/>
  <c r="D84" i="5"/>
  <c r="C84" i="5"/>
  <c r="A84" i="5"/>
  <c r="AN83" i="5"/>
  <c r="AM83" i="5"/>
  <c r="AL83" i="5"/>
  <c r="AK83" i="5"/>
  <c r="AJ83" i="5"/>
  <c r="AI83" i="5"/>
  <c r="M83" i="5"/>
  <c r="L83" i="5"/>
  <c r="K83" i="5"/>
  <c r="J83" i="5"/>
  <c r="I83" i="5"/>
  <c r="H83" i="5"/>
  <c r="E83" i="9" s="1"/>
  <c r="G83" i="5"/>
  <c r="D83" i="5"/>
  <c r="C83" i="5"/>
  <c r="A83" i="5"/>
  <c r="AN82" i="5"/>
  <c r="AM82" i="5"/>
  <c r="AL82" i="5"/>
  <c r="AK82" i="5"/>
  <c r="AJ82" i="5"/>
  <c r="AI82" i="5"/>
  <c r="M82" i="5"/>
  <c r="L82" i="5"/>
  <c r="K82" i="5"/>
  <c r="J82" i="5"/>
  <c r="I82" i="5"/>
  <c r="H82" i="5"/>
  <c r="E82" i="9" s="1"/>
  <c r="G82" i="5"/>
  <c r="D82" i="5"/>
  <c r="C82" i="5"/>
  <c r="A82" i="5"/>
  <c r="AN81" i="5"/>
  <c r="AM81" i="5"/>
  <c r="AL81" i="5"/>
  <c r="AK81" i="5"/>
  <c r="AJ81" i="5"/>
  <c r="AI81" i="5"/>
  <c r="M81" i="5"/>
  <c r="L81" i="5"/>
  <c r="K81" i="5"/>
  <c r="J81" i="5"/>
  <c r="I81" i="5"/>
  <c r="H81" i="5"/>
  <c r="E81" i="9" s="1"/>
  <c r="G81" i="5"/>
  <c r="D81" i="5"/>
  <c r="C81" i="5"/>
  <c r="A81" i="5"/>
  <c r="AN80" i="5"/>
  <c r="AM80" i="5"/>
  <c r="AL80" i="5"/>
  <c r="AK80" i="5"/>
  <c r="AJ80" i="5"/>
  <c r="AI80" i="5"/>
  <c r="M80" i="5"/>
  <c r="L80" i="5"/>
  <c r="K80" i="5"/>
  <c r="J80" i="5"/>
  <c r="I80" i="5"/>
  <c r="H80" i="5"/>
  <c r="E80" i="9" s="1"/>
  <c r="G80" i="5"/>
  <c r="D80" i="5"/>
  <c r="C80" i="5"/>
  <c r="A80" i="5"/>
  <c r="AN79" i="5"/>
  <c r="AM79" i="5"/>
  <c r="AL79" i="5"/>
  <c r="AK79" i="5"/>
  <c r="AJ79" i="5"/>
  <c r="AI79" i="5"/>
  <c r="M79" i="5"/>
  <c r="L79" i="5"/>
  <c r="K79" i="5"/>
  <c r="J79" i="5"/>
  <c r="I79" i="5"/>
  <c r="H79" i="5"/>
  <c r="E79" i="9" s="1"/>
  <c r="G79" i="5"/>
  <c r="D79" i="5"/>
  <c r="C79" i="5"/>
  <c r="A79" i="5"/>
  <c r="AN78" i="5"/>
  <c r="AM78" i="5"/>
  <c r="AL78" i="5"/>
  <c r="AK78" i="5"/>
  <c r="AJ78" i="5"/>
  <c r="AI78" i="5"/>
  <c r="M78" i="5"/>
  <c r="L78" i="5"/>
  <c r="K78" i="5"/>
  <c r="J78" i="5"/>
  <c r="I78" i="5"/>
  <c r="H78" i="5"/>
  <c r="E78" i="9" s="1"/>
  <c r="G78" i="5"/>
  <c r="D78" i="5"/>
  <c r="C78" i="5"/>
  <c r="A78" i="5"/>
  <c r="AN77" i="5"/>
  <c r="AM77" i="5"/>
  <c r="AL77" i="5"/>
  <c r="AK77" i="5"/>
  <c r="AJ77" i="5"/>
  <c r="AI77" i="5"/>
  <c r="M77" i="5"/>
  <c r="L77" i="5"/>
  <c r="K77" i="5"/>
  <c r="J77" i="5"/>
  <c r="I77" i="5"/>
  <c r="H77" i="5"/>
  <c r="E77" i="9" s="1"/>
  <c r="G77" i="5"/>
  <c r="D77" i="5"/>
  <c r="C77" i="5"/>
  <c r="A77" i="5"/>
  <c r="AN76" i="5"/>
  <c r="AM76" i="5"/>
  <c r="AL76" i="5"/>
  <c r="AK76" i="5"/>
  <c r="AJ76" i="5"/>
  <c r="AI76" i="5"/>
  <c r="M76" i="5"/>
  <c r="L76" i="5"/>
  <c r="K76" i="5"/>
  <c r="J76" i="5"/>
  <c r="I76" i="5"/>
  <c r="H76" i="5"/>
  <c r="E76" i="9" s="1"/>
  <c r="G76" i="5"/>
  <c r="D76" i="5"/>
  <c r="C76" i="5"/>
  <c r="A76" i="5"/>
  <c r="AN75" i="5"/>
  <c r="AM75" i="5"/>
  <c r="AL75" i="5"/>
  <c r="AK75" i="5"/>
  <c r="AJ75" i="5"/>
  <c r="AI75" i="5"/>
  <c r="M75" i="5"/>
  <c r="L75" i="5"/>
  <c r="K75" i="5"/>
  <c r="J75" i="5"/>
  <c r="I75" i="5"/>
  <c r="H75" i="5"/>
  <c r="E75" i="9" s="1"/>
  <c r="G75" i="5"/>
  <c r="D75" i="5"/>
  <c r="C75" i="5"/>
  <c r="A75" i="5"/>
  <c r="AN74" i="5"/>
  <c r="AM74" i="5"/>
  <c r="AL74" i="5"/>
  <c r="AK74" i="5"/>
  <c r="AJ74" i="5"/>
  <c r="AI74" i="5"/>
  <c r="M74" i="5"/>
  <c r="L74" i="5"/>
  <c r="K74" i="5"/>
  <c r="J74" i="5"/>
  <c r="I74" i="5"/>
  <c r="H74" i="5"/>
  <c r="E74" i="9" s="1"/>
  <c r="G74" i="5"/>
  <c r="D74" i="5"/>
  <c r="C74" i="5"/>
  <c r="A74" i="5"/>
  <c r="AN73" i="5"/>
  <c r="AM73" i="5"/>
  <c r="AL73" i="5"/>
  <c r="AK73" i="5"/>
  <c r="AJ73" i="5"/>
  <c r="AI73" i="5"/>
  <c r="M73" i="5"/>
  <c r="L73" i="5"/>
  <c r="K73" i="5"/>
  <c r="J73" i="5"/>
  <c r="I73" i="5"/>
  <c r="H73" i="5"/>
  <c r="E73" i="9" s="1"/>
  <c r="G73" i="5"/>
  <c r="D73" i="5"/>
  <c r="C73" i="5"/>
  <c r="A73" i="5"/>
  <c r="AN72" i="5"/>
  <c r="AM72" i="5"/>
  <c r="AL72" i="5"/>
  <c r="AK72" i="5"/>
  <c r="AJ72" i="5"/>
  <c r="AI72" i="5"/>
  <c r="M72" i="5"/>
  <c r="L72" i="5"/>
  <c r="K72" i="5"/>
  <c r="J72" i="5"/>
  <c r="I72" i="5"/>
  <c r="H72" i="5"/>
  <c r="E72" i="9" s="1"/>
  <c r="G72" i="5"/>
  <c r="D72" i="5"/>
  <c r="C72" i="5"/>
  <c r="A72" i="5"/>
  <c r="AN71" i="5"/>
  <c r="AM71" i="5"/>
  <c r="AL71" i="5"/>
  <c r="AK71" i="5"/>
  <c r="AJ71" i="5"/>
  <c r="AI71" i="5"/>
  <c r="M71" i="5"/>
  <c r="L71" i="5"/>
  <c r="K71" i="5"/>
  <c r="J71" i="5"/>
  <c r="I71" i="5"/>
  <c r="H71" i="5"/>
  <c r="E71" i="9" s="1"/>
  <c r="G71" i="5"/>
  <c r="D71" i="5"/>
  <c r="C71" i="5"/>
  <c r="A71" i="5"/>
  <c r="AN70" i="5"/>
  <c r="AM70" i="5"/>
  <c r="AL70" i="5"/>
  <c r="AK70" i="5"/>
  <c r="AJ70" i="5"/>
  <c r="AI70" i="5"/>
  <c r="M70" i="5"/>
  <c r="L70" i="5"/>
  <c r="K70" i="5"/>
  <c r="J70" i="5"/>
  <c r="I70" i="5"/>
  <c r="H70" i="5"/>
  <c r="E70" i="9" s="1"/>
  <c r="G70" i="5"/>
  <c r="D70" i="5"/>
  <c r="C70" i="5"/>
  <c r="A70" i="5"/>
  <c r="AN69" i="5"/>
  <c r="AM69" i="5"/>
  <c r="AL69" i="5"/>
  <c r="AK69" i="5"/>
  <c r="AJ69" i="5"/>
  <c r="AI69" i="5"/>
  <c r="M69" i="5"/>
  <c r="L69" i="5"/>
  <c r="K69" i="5"/>
  <c r="J69" i="5"/>
  <c r="I69" i="5"/>
  <c r="H69" i="5"/>
  <c r="E69" i="9" s="1"/>
  <c r="G69" i="5"/>
  <c r="D69" i="5"/>
  <c r="C69" i="5"/>
  <c r="A69" i="5"/>
  <c r="AN68" i="5"/>
  <c r="AM68" i="5"/>
  <c r="AL68" i="5"/>
  <c r="AK68" i="5"/>
  <c r="AJ68" i="5"/>
  <c r="AI68" i="5"/>
  <c r="M68" i="5"/>
  <c r="L68" i="5"/>
  <c r="K68" i="5"/>
  <c r="J68" i="5"/>
  <c r="I68" i="5"/>
  <c r="H68" i="5"/>
  <c r="E68" i="9" s="1"/>
  <c r="G68" i="5"/>
  <c r="D68" i="5"/>
  <c r="C68" i="5"/>
  <c r="A68" i="5"/>
  <c r="AN67" i="5"/>
  <c r="AM67" i="5"/>
  <c r="AL67" i="5"/>
  <c r="AK67" i="5"/>
  <c r="AJ67" i="5"/>
  <c r="AI67" i="5"/>
  <c r="M67" i="5"/>
  <c r="L67" i="5"/>
  <c r="K67" i="5"/>
  <c r="J67" i="5"/>
  <c r="I67" i="5"/>
  <c r="H67" i="5"/>
  <c r="E67" i="9" s="1"/>
  <c r="G67" i="5"/>
  <c r="D67" i="5"/>
  <c r="C67" i="5"/>
  <c r="A67" i="5"/>
  <c r="AN66" i="5"/>
  <c r="AM66" i="5"/>
  <c r="AL66" i="5"/>
  <c r="AK66" i="5"/>
  <c r="AJ66" i="5"/>
  <c r="AI66" i="5"/>
  <c r="M66" i="5"/>
  <c r="L66" i="5"/>
  <c r="K66" i="5"/>
  <c r="J66" i="5"/>
  <c r="I66" i="5"/>
  <c r="H66" i="5"/>
  <c r="E66" i="9" s="1"/>
  <c r="G66" i="5"/>
  <c r="D66" i="5"/>
  <c r="C66" i="5"/>
  <c r="A66" i="5"/>
  <c r="AN65" i="5"/>
  <c r="AM65" i="5"/>
  <c r="AL65" i="5"/>
  <c r="AK65" i="5"/>
  <c r="AJ65" i="5"/>
  <c r="AI65" i="5"/>
  <c r="M65" i="5"/>
  <c r="L65" i="5"/>
  <c r="K65" i="5"/>
  <c r="J65" i="5"/>
  <c r="I65" i="5"/>
  <c r="H65" i="5"/>
  <c r="E65" i="9" s="1"/>
  <c r="G65" i="5"/>
  <c r="D65" i="5"/>
  <c r="C65" i="5"/>
  <c r="A65" i="5"/>
  <c r="AN64" i="5"/>
  <c r="AM64" i="5"/>
  <c r="AL64" i="5"/>
  <c r="AK64" i="5"/>
  <c r="AJ64" i="5"/>
  <c r="AI64" i="5"/>
  <c r="M64" i="5"/>
  <c r="L64" i="5"/>
  <c r="K64" i="5"/>
  <c r="J64" i="5"/>
  <c r="I64" i="5"/>
  <c r="H64" i="5"/>
  <c r="E64" i="9" s="1"/>
  <c r="G64" i="5"/>
  <c r="D64" i="5"/>
  <c r="C64" i="5"/>
  <c r="A64" i="5"/>
  <c r="AN63" i="5"/>
  <c r="AM63" i="5"/>
  <c r="AL63" i="5"/>
  <c r="AK63" i="5"/>
  <c r="AJ63" i="5"/>
  <c r="AI63" i="5"/>
  <c r="M63" i="5"/>
  <c r="L63" i="5"/>
  <c r="K63" i="5"/>
  <c r="J63" i="5"/>
  <c r="I63" i="5"/>
  <c r="H63" i="5"/>
  <c r="E63" i="9" s="1"/>
  <c r="G63" i="5"/>
  <c r="D63" i="5"/>
  <c r="C63" i="5"/>
  <c r="A63" i="5"/>
  <c r="AN62" i="5"/>
  <c r="AM62" i="5"/>
  <c r="AL62" i="5"/>
  <c r="AK62" i="5"/>
  <c r="AJ62" i="5"/>
  <c r="AI62" i="5"/>
  <c r="M62" i="5"/>
  <c r="L62" i="5"/>
  <c r="K62" i="5"/>
  <c r="J62" i="5"/>
  <c r="I62" i="5"/>
  <c r="H62" i="5"/>
  <c r="E62" i="9" s="1"/>
  <c r="G62" i="5"/>
  <c r="D62" i="5"/>
  <c r="C62" i="5"/>
  <c r="A62" i="5"/>
  <c r="AN61" i="5"/>
  <c r="AM61" i="5"/>
  <c r="AL61" i="5"/>
  <c r="AK61" i="5"/>
  <c r="AJ61" i="5"/>
  <c r="AI61" i="5"/>
  <c r="M61" i="5"/>
  <c r="L61" i="5"/>
  <c r="K61" i="5"/>
  <c r="J61" i="5"/>
  <c r="I61" i="5"/>
  <c r="H61" i="5"/>
  <c r="E61" i="9" s="1"/>
  <c r="G61" i="5"/>
  <c r="D61" i="5"/>
  <c r="C61" i="5"/>
  <c r="A61" i="5"/>
  <c r="AN60" i="5"/>
  <c r="AM60" i="5"/>
  <c r="AL60" i="5"/>
  <c r="AK60" i="5"/>
  <c r="AJ60" i="5"/>
  <c r="AI60" i="5"/>
  <c r="M60" i="5"/>
  <c r="L60" i="5"/>
  <c r="K60" i="5"/>
  <c r="J60" i="5"/>
  <c r="I60" i="5"/>
  <c r="H60" i="5"/>
  <c r="E60" i="9" s="1"/>
  <c r="G60" i="5"/>
  <c r="D60" i="5"/>
  <c r="C60" i="5"/>
  <c r="A60" i="5"/>
  <c r="AN59" i="5"/>
  <c r="AM59" i="5"/>
  <c r="AL59" i="5"/>
  <c r="AK59" i="5"/>
  <c r="AJ59" i="5"/>
  <c r="AI59" i="5"/>
  <c r="M59" i="5"/>
  <c r="L59" i="5"/>
  <c r="K59" i="5"/>
  <c r="J59" i="5"/>
  <c r="I59" i="5"/>
  <c r="H59" i="5"/>
  <c r="E59" i="9" s="1"/>
  <c r="G59" i="5"/>
  <c r="D59" i="5"/>
  <c r="C59" i="5"/>
  <c r="A59" i="5"/>
  <c r="AN58" i="5"/>
  <c r="AM58" i="5"/>
  <c r="AL58" i="5"/>
  <c r="AK58" i="5"/>
  <c r="AJ58" i="5"/>
  <c r="AI58" i="5"/>
  <c r="M58" i="5"/>
  <c r="L58" i="5"/>
  <c r="K58" i="5"/>
  <c r="J58" i="5"/>
  <c r="I58" i="5"/>
  <c r="H58" i="5"/>
  <c r="E58" i="9" s="1"/>
  <c r="G58" i="5"/>
  <c r="D58" i="5"/>
  <c r="C58" i="5"/>
  <c r="A58" i="5"/>
  <c r="AN57" i="5"/>
  <c r="AM57" i="5"/>
  <c r="AL57" i="5"/>
  <c r="AK57" i="5"/>
  <c r="AJ57" i="5"/>
  <c r="AI57" i="5"/>
  <c r="M57" i="5"/>
  <c r="L57" i="5"/>
  <c r="K57" i="5"/>
  <c r="J57" i="5"/>
  <c r="I57" i="5"/>
  <c r="H57" i="5"/>
  <c r="E57" i="9" s="1"/>
  <c r="G57" i="5"/>
  <c r="D57" i="5"/>
  <c r="C57" i="5"/>
  <c r="A57" i="5"/>
  <c r="AN56" i="5"/>
  <c r="AM56" i="5"/>
  <c r="AL56" i="5"/>
  <c r="AK56" i="5"/>
  <c r="AJ56" i="5"/>
  <c r="AI56" i="5"/>
  <c r="M56" i="5"/>
  <c r="L56" i="5"/>
  <c r="K56" i="5"/>
  <c r="J56" i="5"/>
  <c r="I56" i="5"/>
  <c r="H56" i="5"/>
  <c r="E56" i="9" s="1"/>
  <c r="G56" i="5"/>
  <c r="D56" i="5"/>
  <c r="C56" i="5"/>
  <c r="A56" i="5"/>
  <c r="AN55" i="5"/>
  <c r="AM55" i="5"/>
  <c r="AL55" i="5"/>
  <c r="AK55" i="5"/>
  <c r="AJ55" i="5"/>
  <c r="AI55" i="5"/>
  <c r="M55" i="5"/>
  <c r="L55" i="5"/>
  <c r="K55" i="5"/>
  <c r="J55" i="5"/>
  <c r="I55" i="5"/>
  <c r="H55" i="5"/>
  <c r="E55" i="9" s="1"/>
  <c r="G55" i="5"/>
  <c r="D55" i="5"/>
  <c r="C55" i="5"/>
  <c r="A55" i="5"/>
  <c r="AN54" i="5"/>
  <c r="AM54" i="5"/>
  <c r="AL54" i="5"/>
  <c r="AK54" i="5"/>
  <c r="AJ54" i="5"/>
  <c r="AI54" i="5"/>
  <c r="M54" i="5"/>
  <c r="L54" i="5"/>
  <c r="K54" i="5"/>
  <c r="J54" i="5"/>
  <c r="I54" i="5"/>
  <c r="H54" i="5"/>
  <c r="E54" i="9" s="1"/>
  <c r="G54" i="5"/>
  <c r="D54" i="5"/>
  <c r="C54" i="5"/>
  <c r="A54" i="5"/>
  <c r="AN53" i="5"/>
  <c r="AM53" i="5"/>
  <c r="AL53" i="5"/>
  <c r="AK53" i="5"/>
  <c r="AJ53" i="5"/>
  <c r="AI53" i="5"/>
  <c r="M53" i="5"/>
  <c r="L53" i="5"/>
  <c r="K53" i="5"/>
  <c r="J53" i="5"/>
  <c r="I53" i="5"/>
  <c r="H53" i="5"/>
  <c r="E53" i="9" s="1"/>
  <c r="G53" i="5"/>
  <c r="D53" i="5"/>
  <c r="C53" i="5"/>
  <c r="A53" i="5"/>
  <c r="AN52" i="5"/>
  <c r="AM52" i="5"/>
  <c r="AL52" i="5"/>
  <c r="AK52" i="5"/>
  <c r="AJ52" i="5"/>
  <c r="AI52" i="5"/>
  <c r="M52" i="5"/>
  <c r="L52" i="5"/>
  <c r="K52" i="5"/>
  <c r="J52" i="5"/>
  <c r="I52" i="5"/>
  <c r="H52" i="5"/>
  <c r="E52" i="9" s="1"/>
  <c r="G52" i="5"/>
  <c r="D52" i="5"/>
  <c r="C52" i="5"/>
  <c r="A52" i="5"/>
  <c r="AN51" i="5"/>
  <c r="AM51" i="5"/>
  <c r="AL51" i="5"/>
  <c r="AK51" i="5"/>
  <c r="AJ51" i="5"/>
  <c r="AI51" i="5"/>
  <c r="M51" i="5"/>
  <c r="L51" i="5"/>
  <c r="K51" i="5"/>
  <c r="J51" i="5"/>
  <c r="I51" i="5"/>
  <c r="H51" i="5"/>
  <c r="E51" i="9" s="1"/>
  <c r="G51" i="5"/>
  <c r="D51" i="5"/>
  <c r="C51" i="5"/>
  <c r="A51" i="5"/>
  <c r="AN50" i="5"/>
  <c r="AM50" i="5"/>
  <c r="AL50" i="5"/>
  <c r="AK50" i="5"/>
  <c r="AJ50" i="5"/>
  <c r="AI50" i="5"/>
  <c r="M50" i="5"/>
  <c r="L50" i="5"/>
  <c r="K50" i="5"/>
  <c r="J50" i="5"/>
  <c r="I50" i="5"/>
  <c r="H50" i="5"/>
  <c r="E50" i="9" s="1"/>
  <c r="G50" i="5"/>
  <c r="D50" i="5"/>
  <c r="C50" i="5"/>
  <c r="A50" i="5"/>
  <c r="AN49" i="5"/>
  <c r="AM49" i="5"/>
  <c r="AL49" i="5"/>
  <c r="AK49" i="5"/>
  <c r="AJ49" i="5"/>
  <c r="AI49" i="5"/>
  <c r="M49" i="5"/>
  <c r="L49" i="5"/>
  <c r="K49" i="5"/>
  <c r="J49" i="5"/>
  <c r="I49" i="5"/>
  <c r="H49" i="5"/>
  <c r="E49" i="9" s="1"/>
  <c r="G49" i="5"/>
  <c r="D49" i="5"/>
  <c r="C49" i="5"/>
  <c r="A49" i="5"/>
  <c r="AN48" i="5"/>
  <c r="AM48" i="5"/>
  <c r="AL48" i="5"/>
  <c r="AK48" i="5"/>
  <c r="AJ48" i="5"/>
  <c r="AI48" i="5"/>
  <c r="M48" i="5"/>
  <c r="L48" i="5"/>
  <c r="K48" i="5"/>
  <c r="J48" i="5"/>
  <c r="I48" i="5"/>
  <c r="H48" i="5"/>
  <c r="E48" i="9" s="1"/>
  <c r="G48" i="5"/>
  <c r="D48" i="5"/>
  <c r="C48" i="5"/>
  <c r="A48" i="5"/>
  <c r="AN47" i="5"/>
  <c r="AM47" i="5"/>
  <c r="AL47" i="5"/>
  <c r="AK47" i="5"/>
  <c r="AJ47" i="5"/>
  <c r="AI47" i="5"/>
  <c r="M47" i="5"/>
  <c r="L47" i="5"/>
  <c r="K47" i="5"/>
  <c r="J47" i="5"/>
  <c r="I47" i="5"/>
  <c r="H47" i="5"/>
  <c r="E47" i="9" s="1"/>
  <c r="G47" i="5"/>
  <c r="D47" i="5"/>
  <c r="C47" i="5"/>
  <c r="A47" i="5"/>
  <c r="AN46" i="5"/>
  <c r="AM46" i="5"/>
  <c r="AL46" i="5"/>
  <c r="AK46" i="5"/>
  <c r="AJ46" i="5"/>
  <c r="AI46" i="5"/>
  <c r="M46" i="5"/>
  <c r="L46" i="5"/>
  <c r="K46" i="5"/>
  <c r="J46" i="5"/>
  <c r="I46" i="5"/>
  <c r="H46" i="5"/>
  <c r="E46" i="9" s="1"/>
  <c r="G46" i="5"/>
  <c r="D46" i="5"/>
  <c r="C46" i="5"/>
  <c r="A46" i="5"/>
  <c r="AN45" i="5"/>
  <c r="AM45" i="5"/>
  <c r="AL45" i="5"/>
  <c r="AK45" i="5"/>
  <c r="AJ45" i="5"/>
  <c r="AI45" i="5"/>
  <c r="M45" i="5"/>
  <c r="L45" i="5"/>
  <c r="K45" i="5"/>
  <c r="J45" i="5"/>
  <c r="I45" i="5"/>
  <c r="H45" i="5"/>
  <c r="E45" i="9" s="1"/>
  <c r="G45" i="5"/>
  <c r="D45" i="5"/>
  <c r="C45" i="5"/>
  <c r="A45" i="5"/>
  <c r="AN44" i="5"/>
  <c r="AM44" i="5"/>
  <c r="AL44" i="5"/>
  <c r="AK44" i="5"/>
  <c r="AJ44" i="5"/>
  <c r="AI44" i="5"/>
  <c r="M44" i="5"/>
  <c r="L44" i="5"/>
  <c r="K44" i="5"/>
  <c r="J44" i="5"/>
  <c r="I44" i="5"/>
  <c r="H44" i="5"/>
  <c r="E44" i="9" s="1"/>
  <c r="G44" i="5"/>
  <c r="D44" i="5"/>
  <c r="C44" i="5"/>
  <c r="A44" i="5"/>
  <c r="AN43" i="5"/>
  <c r="AM43" i="5"/>
  <c r="AL43" i="5"/>
  <c r="AK43" i="5"/>
  <c r="AJ43" i="5"/>
  <c r="AI43" i="5"/>
  <c r="M43" i="5"/>
  <c r="L43" i="5"/>
  <c r="K43" i="5"/>
  <c r="J43" i="5"/>
  <c r="I43" i="5"/>
  <c r="H43" i="5"/>
  <c r="E43" i="9" s="1"/>
  <c r="G43" i="5"/>
  <c r="D43" i="5"/>
  <c r="C43" i="5"/>
  <c r="A43" i="5"/>
  <c r="AN42" i="5"/>
  <c r="AM42" i="5"/>
  <c r="AL42" i="5"/>
  <c r="AK42" i="5"/>
  <c r="AJ42" i="5"/>
  <c r="AI42" i="5"/>
  <c r="M42" i="5"/>
  <c r="L42" i="5"/>
  <c r="K42" i="5"/>
  <c r="J42" i="5"/>
  <c r="I42" i="5"/>
  <c r="H42" i="5"/>
  <c r="E42" i="9" s="1"/>
  <c r="G42" i="5"/>
  <c r="D42" i="5"/>
  <c r="C42" i="5"/>
  <c r="A42" i="5"/>
  <c r="AN41" i="5"/>
  <c r="AM41" i="5"/>
  <c r="AL41" i="5"/>
  <c r="AK41" i="5"/>
  <c r="AJ41" i="5"/>
  <c r="AI41" i="5"/>
  <c r="M41" i="5"/>
  <c r="L41" i="5"/>
  <c r="K41" i="5"/>
  <c r="J41" i="5"/>
  <c r="I41" i="5"/>
  <c r="H41" i="5"/>
  <c r="E41" i="9" s="1"/>
  <c r="G41" i="5"/>
  <c r="D41" i="5"/>
  <c r="C41" i="5"/>
  <c r="A41" i="5"/>
  <c r="AN40" i="5"/>
  <c r="AM40" i="5"/>
  <c r="AL40" i="5"/>
  <c r="AK40" i="5"/>
  <c r="AJ40" i="5"/>
  <c r="AI40" i="5"/>
  <c r="M40" i="5"/>
  <c r="L40" i="5"/>
  <c r="K40" i="5"/>
  <c r="J40" i="5"/>
  <c r="I40" i="5"/>
  <c r="H40" i="5"/>
  <c r="E40" i="9" s="1"/>
  <c r="G40" i="5"/>
  <c r="D40" i="5"/>
  <c r="C40" i="5"/>
  <c r="A40" i="5"/>
  <c r="AN39" i="5"/>
  <c r="AM39" i="5"/>
  <c r="AL39" i="5"/>
  <c r="AK39" i="5"/>
  <c r="AJ39" i="5"/>
  <c r="AI39" i="5"/>
  <c r="M39" i="5"/>
  <c r="L39" i="5"/>
  <c r="K39" i="5"/>
  <c r="J39" i="5"/>
  <c r="I39" i="5"/>
  <c r="H39" i="5"/>
  <c r="E39" i="9" s="1"/>
  <c r="G39" i="5"/>
  <c r="D39" i="5"/>
  <c r="C39" i="5"/>
  <c r="A39" i="5"/>
  <c r="AN38" i="5"/>
  <c r="AM38" i="5"/>
  <c r="AL38" i="5"/>
  <c r="AK38" i="5"/>
  <c r="AJ38" i="5"/>
  <c r="AI38" i="5"/>
  <c r="M38" i="5"/>
  <c r="L38" i="5"/>
  <c r="K38" i="5"/>
  <c r="J38" i="5"/>
  <c r="I38" i="5"/>
  <c r="H38" i="5"/>
  <c r="E38" i="9" s="1"/>
  <c r="G38" i="5"/>
  <c r="D38" i="5"/>
  <c r="C38" i="5"/>
  <c r="A38" i="5"/>
  <c r="AN37" i="5"/>
  <c r="AM37" i="5"/>
  <c r="AL37" i="5"/>
  <c r="AK37" i="5"/>
  <c r="AJ37" i="5"/>
  <c r="AI37" i="5"/>
  <c r="M37" i="5"/>
  <c r="L37" i="5"/>
  <c r="K37" i="5"/>
  <c r="J37" i="5"/>
  <c r="I37" i="5"/>
  <c r="H37" i="5"/>
  <c r="E37" i="9" s="1"/>
  <c r="G37" i="5"/>
  <c r="D37" i="5"/>
  <c r="C37" i="5"/>
  <c r="A37" i="5"/>
  <c r="AN36" i="5"/>
  <c r="AM36" i="5"/>
  <c r="AL36" i="5"/>
  <c r="AK36" i="5"/>
  <c r="AJ36" i="5"/>
  <c r="AI36" i="5"/>
  <c r="M36" i="5"/>
  <c r="L36" i="5"/>
  <c r="K36" i="5"/>
  <c r="J36" i="5"/>
  <c r="I36" i="5"/>
  <c r="H36" i="5"/>
  <c r="E36" i="9" s="1"/>
  <c r="G36" i="5"/>
  <c r="D36" i="5"/>
  <c r="C36" i="5"/>
  <c r="A36" i="5"/>
  <c r="AN35" i="5"/>
  <c r="AM35" i="5"/>
  <c r="AL35" i="5"/>
  <c r="AK35" i="5"/>
  <c r="AJ35" i="5"/>
  <c r="AI35" i="5"/>
  <c r="M35" i="5"/>
  <c r="L35" i="5"/>
  <c r="K35" i="5"/>
  <c r="J35" i="5"/>
  <c r="I35" i="5"/>
  <c r="H35" i="5"/>
  <c r="E35" i="9" s="1"/>
  <c r="G35" i="5"/>
  <c r="D35" i="5"/>
  <c r="C35" i="5"/>
  <c r="A35" i="5"/>
  <c r="AN34" i="5"/>
  <c r="AM34" i="5"/>
  <c r="AL34" i="5"/>
  <c r="AK34" i="5"/>
  <c r="AJ34" i="5"/>
  <c r="AI34" i="5"/>
  <c r="M34" i="5"/>
  <c r="L34" i="5"/>
  <c r="K34" i="5"/>
  <c r="J34" i="5"/>
  <c r="I34" i="5"/>
  <c r="H34" i="5"/>
  <c r="E34" i="9" s="1"/>
  <c r="G34" i="5"/>
  <c r="D34" i="5"/>
  <c r="C34" i="5"/>
  <c r="A34" i="5"/>
  <c r="AN33" i="5"/>
  <c r="AM33" i="5"/>
  <c r="AL33" i="5"/>
  <c r="AK33" i="5"/>
  <c r="AJ33" i="5"/>
  <c r="AI33" i="5"/>
  <c r="M33" i="5"/>
  <c r="L33" i="5"/>
  <c r="K33" i="5"/>
  <c r="J33" i="5"/>
  <c r="I33" i="5"/>
  <c r="H33" i="5"/>
  <c r="E33" i="9" s="1"/>
  <c r="G33" i="5"/>
  <c r="D33" i="5"/>
  <c r="C33" i="5"/>
  <c r="A33" i="5"/>
  <c r="AN32" i="5"/>
  <c r="AM32" i="5"/>
  <c r="AL32" i="5"/>
  <c r="AK32" i="5"/>
  <c r="AJ32" i="5"/>
  <c r="AI32" i="5"/>
  <c r="M32" i="5"/>
  <c r="L32" i="5"/>
  <c r="K32" i="5"/>
  <c r="J32" i="5"/>
  <c r="I32" i="5"/>
  <c r="H32" i="5"/>
  <c r="E32" i="9" s="1"/>
  <c r="G32" i="5"/>
  <c r="D32" i="5"/>
  <c r="C32" i="5"/>
  <c r="A32" i="5"/>
  <c r="AN31" i="5"/>
  <c r="AM31" i="5"/>
  <c r="AL31" i="5"/>
  <c r="AK31" i="5"/>
  <c r="AJ31" i="5"/>
  <c r="AI31" i="5"/>
  <c r="M31" i="5"/>
  <c r="L31" i="5"/>
  <c r="K31" i="5"/>
  <c r="J31" i="5"/>
  <c r="I31" i="5"/>
  <c r="H31" i="5"/>
  <c r="E31" i="9" s="1"/>
  <c r="G31" i="5"/>
  <c r="D31" i="5"/>
  <c r="C31" i="5"/>
  <c r="A31" i="5"/>
  <c r="AN30" i="5"/>
  <c r="AM30" i="5"/>
  <c r="AL30" i="5"/>
  <c r="AK30" i="5"/>
  <c r="AJ30" i="5"/>
  <c r="AI30" i="5"/>
  <c r="M30" i="5"/>
  <c r="L30" i="5"/>
  <c r="K30" i="5"/>
  <c r="J30" i="5"/>
  <c r="I30" i="5"/>
  <c r="H30" i="5"/>
  <c r="E30" i="9" s="1"/>
  <c r="G30" i="5"/>
  <c r="D30" i="5"/>
  <c r="C30" i="5"/>
  <c r="A30" i="5"/>
  <c r="AN29" i="5"/>
  <c r="AM29" i="5"/>
  <c r="AL29" i="5"/>
  <c r="AK29" i="5"/>
  <c r="AJ29" i="5"/>
  <c r="AI29" i="5"/>
  <c r="M29" i="5"/>
  <c r="L29" i="5"/>
  <c r="K29" i="5"/>
  <c r="J29" i="5"/>
  <c r="I29" i="5"/>
  <c r="H29" i="5"/>
  <c r="E29" i="9" s="1"/>
  <c r="G29" i="5"/>
  <c r="D29" i="5"/>
  <c r="C29" i="5"/>
  <c r="A29" i="5"/>
  <c r="AN28" i="5"/>
  <c r="AM28" i="5"/>
  <c r="AL28" i="5"/>
  <c r="AK28" i="5"/>
  <c r="AJ28" i="5"/>
  <c r="AI28" i="5"/>
  <c r="M28" i="5"/>
  <c r="L28" i="5"/>
  <c r="K28" i="5"/>
  <c r="J28" i="5"/>
  <c r="I28" i="5"/>
  <c r="H28" i="5"/>
  <c r="E28" i="9" s="1"/>
  <c r="G28" i="5"/>
  <c r="D28" i="5"/>
  <c r="C28" i="5"/>
  <c r="A28" i="5"/>
  <c r="AN27" i="5"/>
  <c r="AM27" i="5"/>
  <c r="AL27" i="5"/>
  <c r="AK27" i="5"/>
  <c r="AJ27" i="5"/>
  <c r="AI27" i="5"/>
  <c r="M27" i="5"/>
  <c r="L27" i="5"/>
  <c r="K27" i="5"/>
  <c r="J27" i="5"/>
  <c r="I27" i="5"/>
  <c r="H27" i="5"/>
  <c r="E27" i="9" s="1"/>
  <c r="G27" i="5"/>
  <c r="D27" i="5"/>
  <c r="C27" i="5"/>
  <c r="A27" i="5"/>
  <c r="AN26" i="5"/>
  <c r="AM26" i="5"/>
  <c r="AL26" i="5"/>
  <c r="AK26" i="5"/>
  <c r="AJ26" i="5"/>
  <c r="AI26" i="5"/>
  <c r="M26" i="5"/>
  <c r="L26" i="5"/>
  <c r="K26" i="5"/>
  <c r="J26" i="5"/>
  <c r="I26" i="5"/>
  <c r="H26" i="5"/>
  <c r="E26" i="9" s="1"/>
  <c r="G26" i="5"/>
  <c r="D26" i="5"/>
  <c r="C26" i="5"/>
  <c r="A26" i="5"/>
  <c r="AN25" i="5"/>
  <c r="AM25" i="5"/>
  <c r="AL25" i="5"/>
  <c r="AK25" i="5"/>
  <c r="AJ25" i="5"/>
  <c r="AI25" i="5"/>
  <c r="M25" i="5"/>
  <c r="L25" i="5"/>
  <c r="K25" i="5"/>
  <c r="J25" i="5"/>
  <c r="I25" i="5"/>
  <c r="H25" i="5"/>
  <c r="E25" i="9" s="1"/>
  <c r="G25" i="5"/>
  <c r="D25" i="5"/>
  <c r="C25" i="5"/>
  <c r="A25" i="5"/>
  <c r="AN24" i="5"/>
  <c r="AM24" i="5"/>
  <c r="AL24" i="5"/>
  <c r="AK24" i="5"/>
  <c r="AJ24" i="5"/>
  <c r="AI24" i="5"/>
  <c r="M24" i="5"/>
  <c r="L24" i="5"/>
  <c r="K24" i="5"/>
  <c r="J24" i="5"/>
  <c r="I24" i="5"/>
  <c r="H24" i="5"/>
  <c r="E24" i="9" s="1"/>
  <c r="G24" i="5"/>
  <c r="D24" i="5"/>
  <c r="C24" i="5"/>
  <c r="A24" i="5"/>
  <c r="AN23" i="5"/>
  <c r="AM23" i="5"/>
  <c r="AL23" i="5"/>
  <c r="AK23" i="5"/>
  <c r="AJ23" i="5"/>
  <c r="AI23" i="5"/>
  <c r="M23" i="5"/>
  <c r="L23" i="5"/>
  <c r="K23" i="5"/>
  <c r="J23" i="5"/>
  <c r="I23" i="5"/>
  <c r="H23" i="5"/>
  <c r="E23" i="9" s="1"/>
  <c r="G23" i="5"/>
  <c r="D23" i="5"/>
  <c r="C23" i="5"/>
  <c r="A23" i="5"/>
  <c r="AN22" i="5"/>
  <c r="AM22" i="5"/>
  <c r="AL22" i="5"/>
  <c r="AK22" i="5"/>
  <c r="AJ22" i="5"/>
  <c r="AI22" i="5"/>
  <c r="M22" i="5"/>
  <c r="L22" i="5"/>
  <c r="K22" i="5"/>
  <c r="J22" i="5"/>
  <c r="I22" i="5"/>
  <c r="H22" i="5"/>
  <c r="E22" i="9" s="1"/>
  <c r="G22" i="5"/>
  <c r="D22" i="5"/>
  <c r="C22" i="5"/>
  <c r="A22" i="5"/>
  <c r="AN21" i="5"/>
  <c r="AM21" i="5"/>
  <c r="AL21" i="5"/>
  <c r="AK21" i="5"/>
  <c r="AJ21" i="5"/>
  <c r="AI21" i="5"/>
  <c r="M21" i="5"/>
  <c r="L21" i="5"/>
  <c r="K21" i="5"/>
  <c r="J21" i="5"/>
  <c r="I21" i="5"/>
  <c r="H21" i="5"/>
  <c r="E21" i="9" s="1"/>
  <c r="G21" i="5"/>
  <c r="D21" i="5"/>
  <c r="C21" i="5"/>
  <c r="A21" i="5"/>
  <c r="AN20" i="5"/>
  <c r="AM20" i="5"/>
  <c r="AL20" i="5"/>
  <c r="AK20" i="5"/>
  <c r="AJ20" i="5"/>
  <c r="AI20" i="5"/>
  <c r="M20" i="5"/>
  <c r="L20" i="5"/>
  <c r="K20" i="5"/>
  <c r="J20" i="5"/>
  <c r="I20" i="5"/>
  <c r="H20" i="5"/>
  <c r="E20" i="9" s="1"/>
  <c r="G20" i="5"/>
  <c r="D20" i="5"/>
  <c r="C20" i="5"/>
  <c r="A20" i="5"/>
  <c r="AN19" i="5"/>
  <c r="AM19" i="5"/>
  <c r="AL19" i="5"/>
  <c r="AK19" i="5"/>
  <c r="AJ19" i="5"/>
  <c r="AI19" i="5"/>
  <c r="M19" i="5"/>
  <c r="L19" i="5"/>
  <c r="K19" i="5"/>
  <c r="J19" i="5"/>
  <c r="I19" i="5"/>
  <c r="H19" i="5"/>
  <c r="E19" i="9" s="1"/>
  <c r="G19" i="5"/>
  <c r="D19" i="5"/>
  <c r="C19" i="5"/>
  <c r="A19" i="5"/>
  <c r="AN18" i="5"/>
  <c r="AM18" i="5"/>
  <c r="AL18" i="5"/>
  <c r="AK18" i="5"/>
  <c r="AJ18" i="5"/>
  <c r="AI18" i="5"/>
  <c r="M18" i="5"/>
  <c r="L18" i="5"/>
  <c r="K18" i="5"/>
  <c r="J18" i="5"/>
  <c r="I18" i="5"/>
  <c r="H18" i="5"/>
  <c r="E18" i="9" s="1"/>
  <c r="G18" i="5"/>
  <c r="D18" i="5"/>
  <c r="C18" i="5"/>
  <c r="A18" i="5"/>
  <c r="AN17" i="5"/>
  <c r="AM17" i="5"/>
  <c r="AL17" i="5"/>
  <c r="AK17" i="5"/>
  <c r="AJ17" i="5"/>
  <c r="AI17" i="5"/>
  <c r="M17" i="5"/>
  <c r="L17" i="5"/>
  <c r="K17" i="5"/>
  <c r="J17" i="5"/>
  <c r="I17" i="5"/>
  <c r="H17" i="5"/>
  <c r="E17" i="9" s="1"/>
  <c r="G17" i="5"/>
  <c r="D17" i="5"/>
  <c r="C17" i="5"/>
  <c r="A17" i="5"/>
  <c r="AN16" i="5"/>
  <c r="AM16" i="5"/>
  <c r="AL16" i="5"/>
  <c r="AK16" i="5"/>
  <c r="AJ16" i="5"/>
  <c r="AI16" i="5"/>
  <c r="M16" i="5"/>
  <c r="L16" i="5"/>
  <c r="K16" i="5"/>
  <c r="J16" i="5"/>
  <c r="I16" i="5"/>
  <c r="H16" i="5"/>
  <c r="E16" i="9" s="1"/>
  <c r="G16" i="5"/>
  <c r="D16" i="5"/>
  <c r="C16" i="5"/>
  <c r="A16" i="5"/>
  <c r="AN15" i="5"/>
  <c r="AM15" i="5"/>
  <c r="AL15" i="5"/>
  <c r="AK15" i="5"/>
  <c r="AJ15" i="5"/>
  <c r="AI15" i="5"/>
  <c r="M15" i="5"/>
  <c r="L15" i="5"/>
  <c r="K15" i="5"/>
  <c r="J15" i="5"/>
  <c r="I15" i="5"/>
  <c r="H15" i="5"/>
  <c r="E15" i="9" s="1"/>
  <c r="G15" i="5"/>
  <c r="D15" i="5"/>
  <c r="C15" i="5"/>
  <c r="A15" i="5"/>
  <c r="AN14" i="5"/>
  <c r="AM14" i="5"/>
  <c r="AL14" i="5"/>
  <c r="AK14" i="5"/>
  <c r="AJ14" i="5"/>
  <c r="AI14" i="5"/>
  <c r="M14" i="5"/>
  <c r="L14" i="5"/>
  <c r="K14" i="5"/>
  <c r="J14" i="5"/>
  <c r="I14" i="5"/>
  <c r="H14" i="5"/>
  <c r="E14" i="9" s="1"/>
  <c r="G14" i="5"/>
  <c r="D14" i="5"/>
  <c r="C14" i="5"/>
  <c r="A14" i="5"/>
  <c r="AN13" i="5"/>
  <c r="AM13" i="5"/>
  <c r="AL13" i="5"/>
  <c r="AK13" i="5"/>
  <c r="AJ13" i="5"/>
  <c r="AI13" i="5"/>
  <c r="M13" i="5"/>
  <c r="L13" i="5"/>
  <c r="K13" i="5"/>
  <c r="J13" i="5"/>
  <c r="I13" i="5"/>
  <c r="H13" i="5"/>
  <c r="E13" i="9" s="1"/>
  <c r="G13" i="5"/>
  <c r="D13" i="5"/>
  <c r="C13" i="5"/>
  <c r="A13" i="5"/>
  <c r="AN12" i="5"/>
  <c r="AM12" i="5"/>
  <c r="AL12" i="5"/>
  <c r="AK12" i="5"/>
  <c r="AJ12" i="5"/>
  <c r="AI12" i="5"/>
  <c r="M12" i="5"/>
  <c r="L12" i="5"/>
  <c r="K12" i="5"/>
  <c r="J12" i="5"/>
  <c r="I12" i="5"/>
  <c r="H12" i="5"/>
  <c r="E12" i="9" s="1"/>
  <c r="G12" i="5"/>
  <c r="D12" i="5"/>
  <c r="C12" i="5"/>
  <c r="A12" i="5"/>
  <c r="AN11" i="5"/>
  <c r="AM11" i="5"/>
  <c r="AL11" i="5"/>
  <c r="AK11" i="5"/>
  <c r="AJ11" i="5"/>
  <c r="AI11" i="5"/>
  <c r="M11" i="5"/>
  <c r="L11" i="5"/>
  <c r="K11" i="5"/>
  <c r="J11" i="5"/>
  <c r="I11" i="5"/>
  <c r="H11" i="5"/>
  <c r="E11" i="9" s="1"/>
  <c r="G11" i="5"/>
  <c r="D11" i="5"/>
  <c r="C11" i="5"/>
  <c r="A11" i="5"/>
  <c r="AN10" i="5"/>
  <c r="AM10" i="5"/>
  <c r="AL10" i="5"/>
  <c r="AK10" i="5"/>
  <c r="AJ10" i="5"/>
  <c r="AI10" i="5"/>
  <c r="M10" i="5"/>
  <c r="L10" i="5"/>
  <c r="K10" i="5"/>
  <c r="J10" i="5"/>
  <c r="I10" i="5"/>
  <c r="H10" i="5"/>
  <c r="E10" i="9" s="1"/>
  <c r="G10" i="5"/>
  <c r="D10" i="5"/>
  <c r="C10" i="5"/>
  <c r="A10" i="5"/>
  <c r="E9" i="9"/>
  <c r="E8" i="9"/>
  <c r="E7" i="9"/>
  <c r="AL6" i="5"/>
  <c r="AK6" i="5"/>
  <c r="AI6" i="5"/>
  <c r="AJ6" i="5" s="1"/>
  <c r="M6" i="5"/>
  <c r="L6" i="5"/>
  <c r="K6" i="5"/>
  <c r="J6" i="5"/>
  <c r="I6" i="5"/>
  <c r="H6" i="5"/>
  <c r="E6" i="9" s="1"/>
  <c r="G6" i="5"/>
  <c r="D6" i="5"/>
  <c r="C6" i="5"/>
  <c r="A6" i="9"/>
  <c r="AL5" i="5"/>
  <c r="AK5" i="5"/>
  <c r="AI5" i="5"/>
  <c r="AJ5" i="5" s="1"/>
  <c r="M5" i="5"/>
  <c r="L5" i="5"/>
  <c r="K5" i="5"/>
  <c r="J5" i="5"/>
  <c r="I5" i="5"/>
  <c r="H5" i="5"/>
  <c r="E5" i="9" s="1"/>
  <c r="G5" i="5"/>
  <c r="D5" i="5"/>
  <c r="C5" i="5"/>
  <c r="A5" i="5"/>
  <c r="AL4" i="5"/>
  <c r="AK4" i="5"/>
  <c r="AI4" i="5"/>
  <c r="AJ4" i="5" s="1"/>
  <c r="M4" i="5"/>
  <c r="L4" i="5"/>
  <c r="K4" i="5"/>
  <c r="J4" i="5"/>
  <c r="I4" i="5"/>
  <c r="H4" i="5"/>
  <c r="E4" i="9" s="1"/>
  <c r="G4" i="5"/>
  <c r="D4" i="5"/>
  <c r="C4" i="5"/>
  <c r="A4" i="5"/>
  <c r="A4" i="9" s="1"/>
  <c r="B20" i="4"/>
  <c r="M6" i="9" l="1"/>
  <c r="AN6" i="5"/>
  <c r="AM6" i="5"/>
  <c r="O297" i="9"/>
  <c r="O703" i="9"/>
  <c r="P828" i="9"/>
  <c r="O828" i="9"/>
  <c r="P784" i="9"/>
  <c r="O784" i="9"/>
  <c r="P596" i="9"/>
  <c r="M28" i="9"/>
  <c r="P28" i="9" s="1"/>
  <c r="M302" i="9"/>
  <c r="P302" i="9" s="1"/>
  <c r="P311" i="9"/>
  <c r="P361" i="9"/>
  <c r="P439" i="9"/>
  <c r="M694" i="9"/>
  <c r="O694" i="9" s="1"/>
  <c r="M710" i="9"/>
  <c r="O710" i="9" s="1"/>
  <c r="M714" i="9"/>
  <c r="O714" i="9" s="1"/>
  <c r="M738" i="9"/>
  <c r="P738" i="9" s="1"/>
  <c r="O816" i="9"/>
  <c r="P840" i="9"/>
  <c r="M51" i="9"/>
  <c r="P51" i="9" s="1"/>
  <c r="M55" i="9"/>
  <c r="P55" i="9" s="1"/>
  <c r="M266" i="9"/>
  <c r="M273" i="9"/>
  <c r="P273" i="9" s="1"/>
  <c r="M286" i="9"/>
  <c r="O286" i="9" s="1"/>
  <c r="M292" i="9"/>
  <c r="M377" i="9"/>
  <c r="M385" i="9"/>
  <c r="M421" i="9"/>
  <c r="P421" i="9" s="1"/>
  <c r="M436" i="9"/>
  <c r="P436" i="9" s="1"/>
  <c r="M457" i="9"/>
  <c r="O457" i="9" s="1"/>
  <c r="M703" i="9"/>
  <c r="M742" i="9"/>
  <c r="P742" i="9" s="1"/>
  <c r="M780" i="9"/>
  <c r="M782" i="9"/>
  <c r="M800" i="9"/>
  <c r="M804" i="9"/>
  <c r="O804" i="9" s="1"/>
  <c r="O840" i="9"/>
  <c r="P254" i="9"/>
  <c r="M9" i="9"/>
  <c r="P9" i="9" s="1"/>
  <c r="M13" i="9"/>
  <c r="P13" i="9" s="1"/>
  <c r="M36" i="9"/>
  <c r="P36" i="9" s="1"/>
  <c r="M73" i="9"/>
  <c r="P73" i="9" s="1"/>
  <c r="M157" i="9"/>
  <c r="P157" i="9" s="1"/>
  <c r="M21" i="9"/>
  <c r="P21" i="9" s="1"/>
  <c r="M25" i="9"/>
  <c r="P25" i="9" s="1"/>
  <c r="M66" i="9"/>
  <c r="P66" i="9" s="1"/>
  <c r="M135" i="9"/>
  <c r="M263" i="9"/>
  <c r="P263" i="9" s="1"/>
  <c r="M268" i="9"/>
  <c r="P268" i="9" s="1"/>
  <c r="M283" i="9"/>
  <c r="M293" i="9"/>
  <c r="O293" i="9" s="1"/>
  <c r="M309" i="9"/>
  <c r="P309" i="9" s="1"/>
  <c r="M320" i="9"/>
  <c r="P320" i="9" s="1"/>
  <c r="M322" i="9"/>
  <c r="M334" i="9"/>
  <c r="P334" i="9" s="1"/>
  <c r="M346" i="9"/>
  <c r="P346" i="9" s="1"/>
  <c r="M364" i="9"/>
  <c r="M387" i="9"/>
  <c r="M395" i="9"/>
  <c r="M399" i="9"/>
  <c r="P399" i="9" s="1"/>
  <c r="M452" i="9"/>
  <c r="O452" i="9" s="1"/>
  <c r="M615" i="9"/>
  <c r="M617" i="9"/>
  <c r="M625" i="9"/>
  <c r="M674" i="9"/>
  <c r="M676" i="9"/>
  <c r="O676" i="9" s="1"/>
  <c r="M737" i="9"/>
  <c r="P737" i="9" s="1"/>
  <c r="M751" i="9"/>
  <c r="M770" i="9"/>
  <c r="M796" i="9"/>
  <c r="P796" i="9" s="1"/>
  <c r="M22" i="9"/>
  <c r="P265" i="9"/>
  <c r="M7" i="9"/>
  <c r="P7" i="9" s="1"/>
  <c r="M10" i="9"/>
  <c r="P10" i="9" s="1"/>
  <c r="M38" i="9"/>
  <c r="O38" i="9" s="1"/>
  <c r="M71" i="9"/>
  <c r="P71" i="9" s="1"/>
  <c r="M74" i="9"/>
  <c r="P74" i="9" s="1"/>
  <c r="M80" i="9"/>
  <c r="M82" i="9"/>
  <c r="O82" i="9" s="1"/>
  <c r="M84" i="9"/>
  <c r="O84" i="9" s="1"/>
  <c r="M86" i="9"/>
  <c r="O86" i="9" s="1"/>
  <c r="M92" i="9"/>
  <c r="O92" i="9" s="1"/>
  <c r="M118" i="9"/>
  <c r="P118" i="9" s="1"/>
  <c r="M132" i="9"/>
  <c r="O132" i="9" s="1"/>
  <c r="M284" i="9"/>
  <c r="M316" i="9"/>
  <c r="P316" i="9" s="1"/>
  <c r="M410" i="9"/>
  <c r="M418" i="9"/>
  <c r="P418" i="9" s="1"/>
  <c r="M486" i="9"/>
  <c r="M580" i="9"/>
  <c r="M588" i="9"/>
  <c r="P588" i="9" s="1"/>
  <c r="M596" i="9"/>
  <c r="O596" i="9" s="1"/>
  <c r="M635" i="9"/>
  <c r="M637" i="9"/>
  <c r="O637" i="9" s="1"/>
  <c r="M682" i="9"/>
  <c r="O682" i="9" s="1"/>
  <c r="M686" i="9"/>
  <c r="M691" i="9"/>
  <c r="O691" i="9" s="1"/>
  <c r="M698" i="9"/>
  <c r="O698" i="9" s="1"/>
  <c r="M733" i="9"/>
  <c r="M753" i="9"/>
  <c r="M776" i="9"/>
  <c r="P776" i="9" s="1"/>
  <c r="M777" i="9"/>
  <c r="M810" i="9"/>
  <c r="M812" i="9"/>
  <c r="M814" i="9"/>
  <c r="M832" i="9"/>
  <c r="P832" i="9" s="1"/>
  <c r="M834" i="9"/>
  <c r="M836" i="9"/>
  <c r="M889" i="9"/>
  <c r="M893" i="9"/>
  <c r="M897" i="9"/>
  <c r="O897" i="9" s="1"/>
  <c r="P190" i="9"/>
  <c r="M18" i="9"/>
  <c r="P18" i="9" s="1"/>
  <c r="M19" i="9"/>
  <c r="P19" i="9" s="1"/>
  <c r="M23" i="9"/>
  <c r="P23" i="9" s="1"/>
  <c r="M26" i="9"/>
  <c r="P26" i="9" s="1"/>
  <c r="M46" i="9"/>
  <c r="P46" i="9" s="1"/>
  <c r="M48" i="9"/>
  <c r="P48" i="9" s="1"/>
  <c r="M52" i="9"/>
  <c r="P52" i="9" s="1"/>
  <c r="P79" i="9"/>
  <c r="M154" i="9"/>
  <c r="P154" i="9" s="1"/>
  <c r="M184" i="9"/>
  <c r="P184" i="9" s="1"/>
  <c r="M188" i="9"/>
  <c r="M216" i="9"/>
  <c r="M220" i="9"/>
  <c r="M248" i="9"/>
  <c r="M252" i="9"/>
  <c r="M352" i="9"/>
  <c r="P352" i="9" s="1"/>
  <c r="M353" i="9"/>
  <c r="M354" i="9"/>
  <c r="O354" i="9" s="1"/>
  <c r="M382" i="9"/>
  <c r="M386" i="9"/>
  <c r="M397" i="9"/>
  <c r="M398" i="9"/>
  <c r="M411" i="9"/>
  <c r="P411" i="9" s="1"/>
  <c r="M413" i="9"/>
  <c r="M431" i="9"/>
  <c r="P431" i="9" s="1"/>
  <c r="M433" i="9"/>
  <c r="P433" i="9" s="1"/>
  <c r="M450" i="9"/>
  <c r="O450" i="9" s="1"/>
  <c r="M472" i="9"/>
  <c r="M473" i="9"/>
  <c r="O473" i="9" s="1"/>
  <c r="M531" i="9"/>
  <c r="M541" i="9"/>
  <c r="P541" i="9" s="1"/>
  <c r="M551" i="9"/>
  <c r="M553" i="9"/>
  <c r="P553" i="9" s="1"/>
  <c r="M612" i="9"/>
  <c r="O612" i="9" s="1"/>
  <c r="M614" i="9"/>
  <c r="P614" i="9" s="1"/>
  <c r="M643" i="9"/>
  <c r="M655" i="9"/>
  <c r="M661" i="9"/>
  <c r="O661" i="9" s="1"/>
  <c r="P700" i="9"/>
  <c r="P709" i="9"/>
  <c r="M711" i="9"/>
  <c r="O711" i="9" s="1"/>
  <c r="M720" i="9"/>
  <c r="O720" i="9" s="1"/>
  <c r="M728" i="9"/>
  <c r="O728" i="9" s="1"/>
  <c r="M739" i="9"/>
  <c r="P739" i="9" s="1"/>
  <c r="M759" i="9"/>
  <c r="M761" i="9"/>
  <c r="M846" i="9"/>
  <c r="P892" i="9"/>
  <c r="M907" i="9"/>
  <c r="P907" i="9" s="1"/>
  <c r="M911" i="9"/>
  <c r="P911" i="9" s="1"/>
  <c r="M913" i="9"/>
  <c r="M915" i="9"/>
  <c r="O915" i="9" s="1"/>
  <c r="M937" i="9"/>
  <c r="M945" i="9"/>
  <c r="M949" i="9"/>
  <c r="P682" i="9"/>
  <c r="P158" i="9"/>
  <c r="P222" i="9"/>
  <c r="P335" i="9"/>
  <c r="M41" i="9"/>
  <c r="P41" i="9" s="1"/>
  <c r="M54" i="9"/>
  <c r="M68" i="9"/>
  <c r="P68" i="9" s="1"/>
  <c r="M147" i="9"/>
  <c r="M261" i="9"/>
  <c r="M278" i="9"/>
  <c r="M304" i="9"/>
  <c r="P304" i="9" s="1"/>
  <c r="M305" i="9"/>
  <c r="M306" i="9"/>
  <c r="P306" i="9" s="1"/>
  <c r="M318" i="9"/>
  <c r="P318" i="9" s="1"/>
  <c r="M330" i="9"/>
  <c r="P330" i="9" s="1"/>
  <c r="M348" i="9"/>
  <c r="P348" i="9" s="1"/>
  <c r="M375" i="9"/>
  <c r="M390" i="9"/>
  <c r="M405" i="9"/>
  <c r="P405" i="9" s="1"/>
  <c r="M419" i="9"/>
  <c r="M561" i="9"/>
  <c r="P561" i="9" s="1"/>
  <c r="M563" i="9"/>
  <c r="P568" i="9"/>
  <c r="P664" i="9"/>
  <c r="M673" i="9"/>
  <c r="O673" i="9" s="1"/>
  <c r="M697" i="9"/>
  <c r="O697" i="9" s="1"/>
  <c r="M792" i="9"/>
  <c r="P792" i="9" s="1"/>
  <c r="M852" i="9"/>
  <c r="O852" i="9" s="1"/>
  <c r="M854" i="9"/>
  <c r="M856" i="9"/>
  <c r="M864" i="9"/>
  <c r="P37" i="9"/>
  <c r="M315" i="9"/>
  <c r="P315" i="9" s="1"/>
  <c r="M332" i="9"/>
  <c r="P332" i="9" s="1"/>
  <c r="M367" i="9"/>
  <c r="P367" i="9" s="1"/>
  <c r="M34" i="9"/>
  <c r="P34" i="9" s="1"/>
  <c r="M45" i="9"/>
  <c r="P45" i="9" s="1"/>
  <c r="M153" i="9"/>
  <c r="P153" i="9" s="1"/>
  <c r="M155" i="9"/>
  <c r="M275" i="9"/>
  <c r="O275" i="9" s="1"/>
  <c r="M280" i="9"/>
  <c r="P280" i="9" s="1"/>
  <c r="M297" i="9"/>
  <c r="P297" i="9" s="1"/>
  <c r="M300" i="9"/>
  <c r="P300" i="9" s="1"/>
  <c r="M383" i="9"/>
  <c r="M430" i="9"/>
  <c r="P430" i="9" s="1"/>
  <c r="M449" i="9"/>
  <c r="O449" i="9" s="1"/>
  <c r="M622" i="9"/>
  <c r="M628" i="9"/>
  <c r="P628" i="9" s="1"/>
  <c r="M632" i="9"/>
  <c r="M634" i="9"/>
  <c r="O634" i="9" s="1"/>
  <c r="M699" i="9"/>
  <c r="O699" i="9" s="1"/>
  <c r="O715" i="9"/>
  <c r="P745" i="9"/>
  <c r="M760" i="9"/>
  <c r="M764" i="9"/>
  <c r="P773" i="9"/>
  <c r="M874" i="9"/>
  <c r="P874" i="9" s="1"/>
  <c r="M878" i="9"/>
  <c r="P878" i="9" s="1"/>
  <c r="M880" i="9"/>
  <c r="O880" i="9" s="1"/>
  <c r="M882" i="9"/>
  <c r="M884" i="9"/>
  <c r="O884" i="9" s="1"/>
  <c r="M5" i="9"/>
  <c r="P5" i="9" s="1"/>
  <c r="AM5" i="5"/>
  <c r="AN5" i="5"/>
  <c r="AN4" i="5"/>
  <c r="AM4" i="5"/>
  <c r="M4" i="9"/>
  <c r="P4" i="9" s="1"/>
  <c r="K20" i="7" s="1"/>
  <c r="AM810" i="5"/>
  <c r="AN810" i="5"/>
  <c r="AM669" i="5"/>
  <c r="AN669" i="5"/>
  <c r="AM694" i="5"/>
  <c r="AN694" i="5"/>
  <c r="AM741" i="5"/>
  <c r="AN741" i="5"/>
  <c r="AM758" i="5"/>
  <c r="AN758" i="5"/>
  <c r="AM814" i="5"/>
  <c r="AN814" i="5"/>
  <c r="AM826" i="5"/>
  <c r="AN826" i="5"/>
  <c r="AN979" i="5"/>
  <c r="AM979" i="5"/>
  <c r="AN983" i="5"/>
  <c r="AM983" i="5"/>
  <c r="M35" i="9"/>
  <c r="P35" i="9" s="1"/>
  <c r="M60" i="9"/>
  <c r="P60" i="9" s="1"/>
  <c r="M134" i="9"/>
  <c r="P134" i="9" s="1"/>
  <c r="M143" i="9"/>
  <c r="P143" i="9" s="1"/>
  <c r="O175" i="9"/>
  <c r="M175" i="9"/>
  <c r="P175" i="9" s="1"/>
  <c r="O207" i="9"/>
  <c r="M207" i="9"/>
  <c r="P207" i="9" s="1"/>
  <c r="O239" i="9"/>
  <c r="M239" i="9"/>
  <c r="P239" i="9" s="1"/>
  <c r="O267" i="9"/>
  <c r="M267" i="9"/>
  <c r="P267" i="9" s="1"/>
  <c r="P272" i="9"/>
  <c r="O272" i="9"/>
  <c r="P275" i="9"/>
  <c r="O291" i="9"/>
  <c r="M291" i="9"/>
  <c r="P291" i="9" s="1"/>
  <c r="AM701" i="5"/>
  <c r="AN701" i="5"/>
  <c r="AM717" i="5"/>
  <c r="AN717" i="5"/>
  <c r="AM734" i="5"/>
  <c r="AN734" i="5"/>
  <c r="AM797" i="5"/>
  <c r="AN797" i="5"/>
  <c r="AM803" i="5"/>
  <c r="AN803" i="5"/>
  <c r="M14" i="9"/>
  <c r="P14" i="9" s="1"/>
  <c r="M16" i="9"/>
  <c r="P16" i="9" s="1"/>
  <c r="P33" i="9"/>
  <c r="M136" i="9"/>
  <c r="P136" i="9" s="1"/>
  <c r="M162" i="9"/>
  <c r="P162" i="9" s="1"/>
  <c r="P168" i="9"/>
  <c r="O168" i="9"/>
  <c r="P172" i="9"/>
  <c r="O172" i="9"/>
  <c r="M179" i="9"/>
  <c r="P179" i="9" s="1"/>
  <c r="O179" i="9"/>
  <c r="M194" i="9"/>
  <c r="P194" i="9" s="1"/>
  <c r="P200" i="9"/>
  <c r="O200" i="9"/>
  <c r="P204" i="9"/>
  <c r="O204" i="9"/>
  <c r="M211" i="9"/>
  <c r="P211" i="9" s="1"/>
  <c r="M226" i="9"/>
  <c r="P226" i="9" s="1"/>
  <c r="P232" i="9"/>
  <c r="O232" i="9"/>
  <c r="P236" i="9"/>
  <c r="O236" i="9"/>
  <c r="M243" i="9"/>
  <c r="P243" i="9" s="1"/>
  <c r="M258" i="9"/>
  <c r="P258" i="9" s="1"/>
  <c r="M445" i="9"/>
  <c r="O445" i="9" s="1"/>
  <c r="AM614" i="5"/>
  <c r="AM622" i="5"/>
  <c r="AM638" i="5"/>
  <c r="AM646" i="5"/>
  <c r="AM654" i="5"/>
  <c r="AM662" i="5"/>
  <c r="AM686" i="5"/>
  <c r="AN686" i="5"/>
  <c r="AN688" i="5"/>
  <c r="AM710" i="5"/>
  <c r="AN710" i="5"/>
  <c r="AN848" i="5"/>
  <c r="AM848" i="5"/>
  <c r="AN995" i="5"/>
  <c r="AM995" i="5"/>
  <c r="AM630" i="5"/>
  <c r="AM605" i="5"/>
  <c r="AM613" i="5"/>
  <c r="AM621" i="5"/>
  <c r="AM629" i="5"/>
  <c r="AM637" i="5"/>
  <c r="AM645" i="5"/>
  <c r="AM653" i="5"/>
  <c r="AM661" i="5"/>
  <c r="AN681" i="5"/>
  <c r="AN700" i="5"/>
  <c r="AN729" i="5"/>
  <c r="AM733" i="5"/>
  <c r="AN733" i="5"/>
  <c r="AM750" i="5"/>
  <c r="AN750" i="5"/>
  <c r="AN752" i="5"/>
  <c r="AN764" i="5"/>
  <c r="AM779" i="5"/>
  <c r="AN779" i="5"/>
  <c r="AM818" i="5"/>
  <c r="AN818" i="5"/>
  <c r="AM892" i="5"/>
  <c r="P132" i="9"/>
  <c r="P164" i="9"/>
  <c r="O164" i="9"/>
  <c r="M170" i="9"/>
  <c r="P170" i="9" s="1"/>
  <c r="M187" i="9"/>
  <c r="P187" i="9" s="1"/>
  <c r="P196" i="9"/>
  <c r="O196" i="9"/>
  <c r="O202" i="9"/>
  <c r="M202" i="9"/>
  <c r="P202" i="9" s="1"/>
  <c r="M219" i="9"/>
  <c r="P219" i="9" s="1"/>
  <c r="P228" i="9"/>
  <c r="O228" i="9"/>
  <c r="M234" i="9"/>
  <c r="P234" i="9" s="1"/>
  <c r="M251" i="9"/>
  <c r="P251" i="9" s="1"/>
  <c r="P292" i="9"/>
  <c r="O292" i="9"/>
  <c r="P365" i="9"/>
  <c r="O365" i="9"/>
  <c r="P538" i="9"/>
  <c r="O538" i="9"/>
  <c r="AN676" i="5"/>
  <c r="AN712" i="5"/>
  <c r="AN724" i="5"/>
  <c r="AN753" i="5"/>
  <c r="AM774" i="5"/>
  <c r="AN774" i="5"/>
  <c r="AN776" i="5"/>
  <c r="AN781" i="5"/>
  <c r="AM786" i="5"/>
  <c r="AN786" i="5"/>
  <c r="AM604" i="5"/>
  <c r="AM612" i="5"/>
  <c r="AM620" i="5"/>
  <c r="AM628" i="5"/>
  <c r="AM636" i="5"/>
  <c r="AM644" i="5"/>
  <c r="AM652" i="5"/>
  <c r="AM660" i="5"/>
  <c r="AN668" i="5"/>
  <c r="AM678" i="5"/>
  <c r="AN678" i="5"/>
  <c r="AN680" i="5"/>
  <c r="AM685" i="5"/>
  <c r="AN685" i="5"/>
  <c r="AN705" i="5"/>
  <c r="AM709" i="5"/>
  <c r="AN709" i="5"/>
  <c r="AM726" i="5"/>
  <c r="AN726" i="5"/>
  <c r="AN728" i="5"/>
  <c r="AN740" i="5"/>
  <c r="AN769" i="5"/>
  <c r="AM773" i="5"/>
  <c r="AN773" i="5"/>
  <c r="AN813" i="5"/>
  <c r="AM878" i="5"/>
  <c r="AN886" i="5"/>
  <c r="AM886" i="5"/>
  <c r="AN985" i="5"/>
  <c r="AM985" i="5"/>
  <c r="O133" i="9"/>
  <c r="M133" i="9"/>
  <c r="P133" i="9" s="1"/>
  <c r="M159" i="9"/>
  <c r="P159" i="9" s="1"/>
  <c r="P166" i="9"/>
  <c r="O191" i="9"/>
  <c r="M191" i="9"/>
  <c r="P191" i="9" s="1"/>
  <c r="P198" i="9"/>
  <c r="O223" i="9"/>
  <c r="M223" i="9"/>
  <c r="P223" i="9" s="1"/>
  <c r="P230" i="9"/>
  <c r="O255" i="9"/>
  <c r="M255" i="9"/>
  <c r="P255" i="9" s="1"/>
  <c r="P262" i="9"/>
  <c r="O262" i="9"/>
  <c r="P283" i="9"/>
  <c r="O283" i="9"/>
  <c r="AM765" i="5"/>
  <c r="AN765" i="5"/>
  <c r="AM606" i="5"/>
  <c r="AM693" i="5"/>
  <c r="AN693" i="5"/>
  <c r="AM757" i="5"/>
  <c r="AN757" i="5"/>
  <c r="AM603" i="5"/>
  <c r="AM611" i="5"/>
  <c r="AM619" i="5"/>
  <c r="AM627" i="5"/>
  <c r="AM635" i="5"/>
  <c r="AM643" i="5"/>
  <c r="AM651" i="5"/>
  <c r="AM659" i="5"/>
  <c r="AN673" i="5"/>
  <c r="AM702" i="5"/>
  <c r="AN702" i="5"/>
  <c r="AN704" i="5"/>
  <c r="AN716" i="5"/>
  <c r="AN745" i="5"/>
  <c r="AM749" i="5"/>
  <c r="AN749" i="5"/>
  <c r="AM766" i="5"/>
  <c r="AN766" i="5"/>
  <c r="AN768" i="5"/>
  <c r="AM811" i="5"/>
  <c r="AN811" i="5"/>
  <c r="AN876" i="5"/>
  <c r="AM876" i="5"/>
  <c r="P49" i="9"/>
  <c r="M146" i="9"/>
  <c r="P146" i="9" s="1"/>
  <c r="P147" i="9"/>
  <c r="O147" i="9"/>
  <c r="AM718" i="5"/>
  <c r="AN718" i="5"/>
  <c r="AM794" i="5"/>
  <c r="AN794" i="5"/>
  <c r="AM602" i="5"/>
  <c r="AM610" i="5"/>
  <c r="AM618" i="5"/>
  <c r="AM626" i="5"/>
  <c r="AM634" i="5"/>
  <c r="AM642" i="5"/>
  <c r="AM650" i="5"/>
  <c r="AM658" i="5"/>
  <c r="AM670" i="5"/>
  <c r="AN670" i="5"/>
  <c r="AN672" i="5"/>
  <c r="AM677" i="5"/>
  <c r="AN677" i="5"/>
  <c r="AN692" i="5"/>
  <c r="AN721" i="5"/>
  <c r="AM725" i="5"/>
  <c r="AN725" i="5"/>
  <c r="AM742" i="5"/>
  <c r="AN742" i="5"/>
  <c r="AN744" i="5"/>
  <c r="AN756" i="5"/>
  <c r="AN790" i="5"/>
  <c r="AM827" i="5"/>
  <c r="AN827" i="5"/>
  <c r="AN854" i="5"/>
  <c r="AM854" i="5"/>
  <c r="M67" i="9"/>
  <c r="P67" i="9" s="1"/>
  <c r="M81" i="9"/>
  <c r="O81" i="9" s="1"/>
  <c r="P82" i="9"/>
  <c r="AN698" i="5"/>
  <c r="AN706" i="5"/>
  <c r="AN714" i="5"/>
  <c r="AN722" i="5"/>
  <c r="AN730" i="5"/>
  <c r="AN738" i="5"/>
  <c r="AN746" i="5"/>
  <c r="AN754" i="5"/>
  <c r="AN762" i="5"/>
  <c r="AN770" i="5"/>
  <c r="AM787" i="5"/>
  <c r="AN787" i="5"/>
  <c r="AN806" i="5"/>
  <c r="AN829" i="5"/>
  <c r="AM834" i="5"/>
  <c r="AN834" i="5"/>
  <c r="AM888" i="5"/>
  <c r="AN896" i="5"/>
  <c r="AM896" i="5"/>
  <c r="AN900" i="5"/>
  <c r="AM900" i="5"/>
  <c r="P103" i="9"/>
  <c r="M120" i="9"/>
  <c r="O120" i="9" s="1"/>
  <c r="M156" i="9"/>
  <c r="P156" i="9" s="1"/>
  <c r="P160" i="9"/>
  <c r="O160" i="9"/>
  <c r="P192" i="9"/>
  <c r="O192" i="9"/>
  <c r="P224" i="9"/>
  <c r="O224" i="9"/>
  <c r="P256" i="9"/>
  <c r="O256" i="9"/>
  <c r="M295" i="9"/>
  <c r="P295" i="9" s="1"/>
  <c r="P368" i="9"/>
  <c r="O368" i="9"/>
  <c r="M432" i="9"/>
  <c r="P432" i="9" s="1"/>
  <c r="M163" i="9"/>
  <c r="P163" i="9" s="1"/>
  <c r="M178" i="9"/>
  <c r="P178" i="9" s="1"/>
  <c r="O184" i="9"/>
  <c r="P188" i="9"/>
  <c r="O188" i="9"/>
  <c r="M195" i="9"/>
  <c r="P195" i="9" s="1"/>
  <c r="O210" i="9"/>
  <c r="M210" i="9"/>
  <c r="P210" i="9" s="1"/>
  <c r="P216" i="9"/>
  <c r="O216" i="9"/>
  <c r="P220" i="9"/>
  <c r="O220" i="9"/>
  <c r="M227" i="9"/>
  <c r="P227" i="9" s="1"/>
  <c r="M242" i="9"/>
  <c r="P242" i="9" s="1"/>
  <c r="P248" i="9"/>
  <c r="O248" i="9"/>
  <c r="P252" i="9"/>
  <c r="O252" i="9"/>
  <c r="M259" i="9"/>
  <c r="P259" i="9" s="1"/>
  <c r="AM802" i="5"/>
  <c r="AN802" i="5"/>
  <c r="AM819" i="5"/>
  <c r="AN819" i="5"/>
  <c r="AN862" i="5"/>
  <c r="AM862" i="5"/>
  <c r="P120" i="9"/>
  <c r="M139" i="9"/>
  <c r="P139" i="9" s="1"/>
  <c r="M152" i="9"/>
  <c r="P152" i="9" s="1"/>
  <c r="P155" i="9"/>
  <c r="O155" i="9"/>
  <c r="P176" i="9"/>
  <c r="O176" i="9"/>
  <c r="P208" i="9"/>
  <c r="O208" i="9"/>
  <c r="P240" i="9"/>
  <c r="O240" i="9"/>
  <c r="O662" i="9"/>
  <c r="P662" i="9"/>
  <c r="M747" i="9"/>
  <c r="P747" i="9" s="1"/>
  <c r="P788" i="9"/>
  <c r="O788" i="9"/>
  <c r="AM778" i="5"/>
  <c r="AN778" i="5"/>
  <c r="AM795" i="5"/>
  <c r="AN795" i="5"/>
  <c r="M30" i="9"/>
  <c r="P30" i="9" s="1"/>
  <c r="M32" i="9"/>
  <c r="P32" i="9" s="1"/>
  <c r="M62" i="9"/>
  <c r="P62" i="9" s="1"/>
  <c r="M64" i="9"/>
  <c r="P64" i="9" s="1"/>
  <c r="M171" i="9"/>
  <c r="P171" i="9" s="1"/>
  <c r="P180" i="9"/>
  <c r="O180" i="9"/>
  <c r="M186" i="9"/>
  <c r="P186" i="9" s="1"/>
  <c r="M203" i="9"/>
  <c r="P203" i="9" s="1"/>
  <c r="O203" i="9"/>
  <c r="P212" i="9"/>
  <c r="O212" i="9"/>
  <c r="M218" i="9"/>
  <c r="P218" i="9" s="1"/>
  <c r="M235" i="9"/>
  <c r="P235" i="9" s="1"/>
  <c r="P244" i="9"/>
  <c r="O244" i="9"/>
  <c r="O250" i="9"/>
  <c r="M250" i="9"/>
  <c r="P250" i="9" s="1"/>
  <c r="P305" i="9"/>
  <c r="M307" i="9"/>
  <c r="P307" i="9" s="1"/>
  <c r="M331" i="9"/>
  <c r="P331" i="9" s="1"/>
  <c r="M539" i="9"/>
  <c r="O539" i="9" s="1"/>
  <c r="AN994" i="5"/>
  <c r="AM994" i="5"/>
  <c r="M128" i="9"/>
  <c r="M148" i="9"/>
  <c r="P148" i="9" s="1"/>
  <c r="M173" i="9"/>
  <c r="P173" i="9" s="1"/>
  <c r="M189" i="9"/>
  <c r="P189" i="9" s="1"/>
  <c r="O205" i="9"/>
  <c r="M205" i="9"/>
  <c r="P205" i="9" s="1"/>
  <c r="M221" i="9"/>
  <c r="P221" i="9" s="1"/>
  <c r="M237" i="9"/>
  <c r="P237" i="9" s="1"/>
  <c r="M253" i="9"/>
  <c r="P253" i="9" s="1"/>
  <c r="M325" i="9"/>
  <c r="P325" i="9" s="1"/>
  <c r="M337" i="9"/>
  <c r="P337" i="9" s="1"/>
  <c r="M339" i="9"/>
  <c r="P339" i="9" s="1"/>
  <c r="P410" i="9"/>
  <c r="M695" i="9"/>
  <c r="O695" i="9" s="1"/>
  <c r="AN780" i="5"/>
  <c r="AN788" i="5"/>
  <c r="AN796" i="5"/>
  <c r="AN804" i="5"/>
  <c r="AN812" i="5"/>
  <c r="AN820" i="5"/>
  <c r="AN828" i="5"/>
  <c r="AM840" i="5"/>
  <c r="AM872" i="5"/>
  <c r="M11" i="9"/>
  <c r="P11" i="9" s="1"/>
  <c r="M27" i="9"/>
  <c r="P27" i="9" s="1"/>
  <c r="M43" i="9"/>
  <c r="P43" i="9" s="1"/>
  <c r="M59" i="9"/>
  <c r="P59" i="9" s="1"/>
  <c r="M75" i="9"/>
  <c r="P75" i="9" s="1"/>
  <c r="M104" i="9"/>
  <c r="M106" i="9"/>
  <c r="O140" i="9"/>
  <c r="M145" i="9"/>
  <c r="P145" i="9" s="1"/>
  <c r="M279" i="9"/>
  <c r="P279" i="9" s="1"/>
  <c r="M321" i="9"/>
  <c r="P321" i="9" s="1"/>
  <c r="P322" i="9"/>
  <c r="M323" i="9"/>
  <c r="P323" i="9" s="1"/>
  <c r="M347" i="9"/>
  <c r="P347" i="9" s="1"/>
  <c r="O813" i="9"/>
  <c r="M813" i="9"/>
  <c r="P813" i="9" s="1"/>
  <c r="O815" i="9"/>
  <c r="M815" i="9"/>
  <c r="P815" i="9" s="1"/>
  <c r="P818" i="9"/>
  <c r="O818" i="9"/>
  <c r="O835" i="9"/>
  <c r="M835" i="9"/>
  <c r="P835" i="9" s="1"/>
  <c r="O837" i="9"/>
  <c r="M837" i="9"/>
  <c r="P837" i="9" s="1"/>
  <c r="M93" i="9"/>
  <c r="O93" i="9" s="1"/>
  <c r="M95" i="9"/>
  <c r="M97" i="9"/>
  <c r="O97" i="9" s="1"/>
  <c r="M149" i="9"/>
  <c r="P149" i="9" s="1"/>
  <c r="M150" i="9"/>
  <c r="P150" i="9" s="1"/>
  <c r="O151" i="9"/>
  <c r="O165" i="9"/>
  <c r="M165" i="9"/>
  <c r="P165" i="9" s="1"/>
  <c r="M181" i="9"/>
  <c r="P181" i="9" s="1"/>
  <c r="M197" i="9"/>
  <c r="P197" i="9" s="1"/>
  <c r="M213" i="9"/>
  <c r="P213" i="9" s="1"/>
  <c r="O229" i="9"/>
  <c r="M229" i="9"/>
  <c r="P229" i="9" s="1"/>
  <c r="M245" i="9"/>
  <c r="P245" i="9" s="1"/>
  <c r="P284" i="9"/>
  <c r="M285" i="9"/>
  <c r="O285" i="9" s="1"/>
  <c r="M299" i="9"/>
  <c r="P299" i="9" s="1"/>
  <c r="P345" i="9"/>
  <c r="M362" i="9"/>
  <c r="P362" i="9" s="1"/>
  <c r="M376" i="9"/>
  <c r="P6" i="9"/>
  <c r="K15" i="7" s="1"/>
  <c r="M8" i="9"/>
  <c r="P8" i="9" s="1"/>
  <c r="M15" i="9"/>
  <c r="P15" i="9" s="1"/>
  <c r="P22" i="9"/>
  <c r="M24" i="9"/>
  <c r="P24" i="9" s="1"/>
  <c r="M31" i="9"/>
  <c r="P31" i="9" s="1"/>
  <c r="P38" i="9"/>
  <c r="M40" i="9"/>
  <c r="P40" i="9" s="1"/>
  <c r="M47" i="9"/>
  <c r="P47" i="9" s="1"/>
  <c r="P54" i="9"/>
  <c r="M56" i="9"/>
  <c r="P56" i="9" s="1"/>
  <c r="M63" i="9"/>
  <c r="P63" i="9" s="1"/>
  <c r="P70" i="9"/>
  <c r="M72" i="9"/>
  <c r="P72" i="9" s="1"/>
  <c r="O137" i="9"/>
  <c r="M142" i="9"/>
  <c r="P142" i="9" s="1"/>
  <c r="M167" i="9"/>
  <c r="P167" i="9" s="1"/>
  <c r="M183" i="9"/>
  <c r="P183" i="9" s="1"/>
  <c r="M199" i="9"/>
  <c r="P199" i="9" s="1"/>
  <c r="M215" i="9"/>
  <c r="P215" i="9" s="1"/>
  <c r="M231" i="9"/>
  <c r="P231" i="9" s="1"/>
  <c r="O247" i="9"/>
  <c r="M247" i="9"/>
  <c r="P247" i="9" s="1"/>
  <c r="P278" i="9"/>
  <c r="O278" i="9"/>
  <c r="M341" i="9"/>
  <c r="P341" i="9" s="1"/>
  <c r="P353" i="9"/>
  <c r="M355" i="9"/>
  <c r="P355" i="9" s="1"/>
  <c r="M414" i="9"/>
  <c r="P414" i="9" s="1"/>
  <c r="P450" i="9"/>
  <c r="M112" i="9"/>
  <c r="M114" i="9"/>
  <c r="M121" i="9"/>
  <c r="P121" i="9" s="1"/>
  <c r="M130" i="9"/>
  <c r="O154" i="9"/>
  <c r="O157" i="9"/>
  <c r="M264" i="9"/>
  <c r="P264" i="9" s="1"/>
  <c r="M276" i="9"/>
  <c r="P276" i="9" s="1"/>
  <c r="P286" i="9"/>
  <c r="M288" i="9"/>
  <c r="P288" i="9" s="1"/>
  <c r="P296" i="9"/>
  <c r="P308" i="9"/>
  <c r="M310" i="9"/>
  <c r="P310" i="9" s="1"/>
  <c r="P324" i="9"/>
  <c r="M326" i="9"/>
  <c r="P326" i="9" s="1"/>
  <c r="P340" i="9"/>
  <c r="M342" i="9"/>
  <c r="P342" i="9" s="1"/>
  <c r="P356" i="9"/>
  <c r="M358" i="9"/>
  <c r="P358" i="9" s="1"/>
  <c r="M371" i="9"/>
  <c r="P371" i="9" s="1"/>
  <c r="M372" i="9"/>
  <c r="O372" i="9" s="1"/>
  <c r="M379" i="9"/>
  <c r="M394" i="9"/>
  <c r="P394" i="9" s="1"/>
  <c r="M417" i="9"/>
  <c r="P417" i="9" s="1"/>
  <c r="M578" i="9"/>
  <c r="O578" i="9" s="1"/>
  <c r="O580" i="9"/>
  <c r="P580" i="9"/>
  <c r="M620" i="9"/>
  <c r="P620" i="9" s="1"/>
  <c r="P622" i="9"/>
  <c r="O622" i="9"/>
  <c r="P822" i="9"/>
  <c r="O822" i="9"/>
  <c r="P824" i="9"/>
  <c r="O824" i="9"/>
  <c r="P838" i="9"/>
  <c r="O838" i="9"/>
  <c r="O913" i="9"/>
  <c r="P913" i="9"/>
  <c r="M76" i="9"/>
  <c r="P76" i="9" s="1"/>
  <c r="M83" i="9"/>
  <c r="O83" i="9" s="1"/>
  <c r="M85" i="9"/>
  <c r="O85" i="9" s="1"/>
  <c r="M87" i="9"/>
  <c r="O87" i="9" s="1"/>
  <c r="M96" i="9"/>
  <c r="M98" i="9"/>
  <c r="M107" i="9"/>
  <c r="M125" i="9"/>
  <c r="P125" i="9" s="1"/>
  <c r="M127" i="9"/>
  <c r="P128" i="9"/>
  <c r="O150" i="9"/>
  <c r="O153" i="9"/>
  <c r="O156" i="9"/>
  <c r="M369" i="9"/>
  <c r="P369" i="9" s="1"/>
  <c r="M389" i="9"/>
  <c r="P389" i="9" s="1"/>
  <c r="M412" i="9"/>
  <c r="P412" i="9" s="1"/>
  <c r="P413" i="9"/>
  <c r="M442" i="9"/>
  <c r="M488" i="9"/>
  <c r="P820" i="9"/>
  <c r="O820" i="9"/>
  <c r="P867" i="9"/>
  <c r="O867" i="9"/>
  <c r="K22" i="7"/>
  <c r="M89" i="9"/>
  <c r="O89" i="9" s="1"/>
  <c r="M109" i="9"/>
  <c r="O109" i="9" s="1"/>
  <c r="M111" i="9"/>
  <c r="O111" i="9" s="1"/>
  <c r="M113" i="9"/>
  <c r="O113" i="9" s="1"/>
  <c r="M122" i="9"/>
  <c r="M129" i="9"/>
  <c r="P129" i="9" s="1"/>
  <c r="O138" i="9"/>
  <c r="O141" i="9"/>
  <c r="O144" i="9"/>
  <c r="O270" i="9"/>
  <c r="M270" i="9"/>
  <c r="P270" i="9" s="1"/>
  <c r="P281" i="9"/>
  <c r="M282" i="9"/>
  <c r="P293" i="9"/>
  <c r="M381" i="9"/>
  <c r="M556" i="9"/>
  <c r="O556" i="9" s="1"/>
  <c r="P617" i="9"/>
  <c r="O617" i="9"/>
  <c r="M793" i="9"/>
  <c r="P793" i="9" s="1"/>
  <c r="P810" i="9"/>
  <c r="O810" i="9"/>
  <c r="P812" i="9"/>
  <c r="O812" i="9"/>
  <c r="P814" i="9"/>
  <c r="O814" i="9"/>
  <c r="P834" i="9"/>
  <c r="O834" i="9"/>
  <c r="P836" i="9"/>
  <c r="O836" i="9"/>
  <c r="M78" i="9"/>
  <c r="O78" i="9" s="1"/>
  <c r="M91" i="9"/>
  <c r="O91" i="9" s="1"/>
  <c r="M100" i="9"/>
  <c r="O100" i="9" s="1"/>
  <c r="M102" i="9"/>
  <c r="O102" i="9" s="1"/>
  <c r="M115" i="9"/>
  <c r="P115" i="9" s="1"/>
  <c r="O128" i="9"/>
  <c r="O158" i="9"/>
  <c r="M161" i="9"/>
  <c r="P161" i="9" s="1"/>
  <c r="O166" i="9"/>
  <c r="M169" i="9"/>
  <c r="P169" i="9" s="1"/>
  <c r="O174" i="9"/>
  <c r="O177" i="9"/>
  <c r="M177" i="9"/>
  <c r="P177" i="9" s="1"/>
  <c r="O182" i="9"/>
  <c r="M185" i="9"/>
  <c r="P185" i="9" s="1"/>
  <c r="O190" i="9"/>
  <c r="M193" i="9"/>
  <c r="P193" i="9" s="1"/>
  <c r="O198" i="9"/>
  <c r="M201" i="9"/>
  <c r="P201" i="9" s="1"/>
  <c r="O206" i="9"/>
  <c r="O209" i="9"/>
  <c r="M209" i="9"/>
  <c r="P209" i="9" s="1"/>
  <c r="O214" i="9"/>
  <c r="M217" i="9"/>
  <c r="P217" i="9" s="1"/>
  <c r="O222" i="9"/>
  <c r="M225" i="9"/>
  <c r="P225" i="9" s="1"/>
  <c r="O230" i="9"/>
  <c r="M233" i="9"/>
  <c r="P233" i="9" s="1"/>
  <c r="O238" i="9"/>
  <c r="O241" i="9"/>
  <c r="M241" i="9"/>
  <c r="P241" i="9" s="1"/>
  <c r="O246" i="9"/>
  <c r="M249" i="9"/>
  <c r="P249" i="9" s="1"/>
  <c r="O254" i="9"/>
  <c r="M257" i="9"/>
  <c r="P257" i="9" s="1"/>
  <c r="M298" i="9"/>
  <c r="M312" i="9"/>
  <c r="P312" i="9" s="1"/>
  <c r="M328" i="9"/>
  <c r="P328" i="9" s="1"/>
  <c r="M344" i="9"/>
  <c r="P344" i="9" s="1"/>
  <c r="M360" i="9"/>
  <c r="P360" i="9" s="1"/>
  <c r="O361" i="9"/>
  <c r="M366" i="9"/>
  <c r="P366" i="9" s="1"/>
  <c r="M374" i="9"/>
  <c r="M384" i="9"/>
  <c r="O384" i="9" s="1"/>
  <c r="M402" i="9"/>
  <c r="P419" i="9"/>
  <c r="M420" i="9"/>
  <c r="P420" i="9" s="1"/>
  <c r="M426" i="9"/>
  <c r="P426" i="9" s="1"/>
  <c r="O466" i="9"/>
  <c r="P466" i="9"/>
  <c r="P536" i="9"/>
  <c r="M717" i="9"/>
  <c r="O717" i="9" s="1"/>
  <c r="M724" i="9"/>
  <c r="O724" i="9" s="1"/>
  <c r="O731" i="9"/>
  <c r="M795" i="9"/>
  <c r="P795" i="9" s="1"/>
  <c r="P798" i="9"/>
  <c r="O798" i="9"/>
  <c r="M88" i="9"/>
  <c r="M90" i="9"/>
  <c r="M99" i="9"/>
  <c r="M108" i="9"/>
  <c r="O108" i="9" s="1"/>
  <c r="M110" i="9"/>
  <c r="O110" i="9" s="1"/>
  <c r="M117" i="9"/>
  <c r="P117" i="9" s="1"/>
  <c r="M124" i="9"/>
  <c r="P124" i="9" s="1"/>
  <c r="M363" i="9"/>
  <c r="P363" i="9" s="1"/>
  <c r="M404" i="9"/>
  <c r="M409" i="9"/>
  <c r="M428" i="9"/>
  <c r="P428" i="9" s="1"/>
  <c r="M440" i="9"/>
  <c r="P440" i="9" s="1"/>
  <c r="M448" i="9"/>
  <c r="M454" i="9"/>
  <c r="M469" i="9"/>
  <c r="O469" i="9" s="1"/>
  <c r="M470" i="9"/>
  <c r="M485" i="9"/>
  <c r="P548" i="9"/>
  <c r="P578" i="9"/>
  <c r="P673" i="9"/>
  <c r="P695" i="9"/>
  <c r="P715" i="9"/>
  <c r="M756" i="9"/>
  <c r="M767" i="9"/>
  <c r="M790" i="9"/>
  <c r="P806" i="9"/>
  <c r="O806" i="9"/>
  <c r="O881" i="9"/>
  <c r="M416" i="9"/>
  <c r="P416" i="9" s="1"/>
  <c r="P461" i="9"/>
  <c r="M464" i="9"/>
  <c r="M482" i="9"/>
  <c r="O482" i="9" s="1"/>
  <c r="O558" i="9"/>
  <c r="M623" i="9"/>
  <c r="P623" i="9" s="1"/>
  <c r="M638" i="9"/>
  <c r="O638" i="9" s="1"/>
  <c r="M640" i="9"/>
  <c r="O641" i="9"/>
  <c r="O674" i="9"/>
  <c r="P674" i="9"/>
  <c r="M825" i="9"/>
  <c r="P825" i="9" s="1"/>
  <c r="M94" i="9"/>
  <c r="O94" i="9" s="1"/>
  <c r="M105" i="9"/>
  <c r="O105" i="9" s="1"/>
  <c r="M116" i="9"/>
  <c r="P116" i="9" s="1"/>
  <c r="M126" i="9"/>
  <c r="P126" i="9" s="1"/>
  <c r="M131" i="9"/>
  <c r="M396" i="9"/>
  <c r="M401" i="9"/>
  <c r="M425" i="9"/>
  <c r="P425" i="9" s="1"/>
  <c r="M443" i="9"/>
  <c r="M458" i="9"/>
  <c r="M474" i="9"/>
  <c r="P528" i="9"/>
  <c r="M546" i="9"/>
  <c r="O546" i="9" s="1"/>
  <c r="P625" i="9"/>
  <c r="O625" i="9"/>
  <c r="O656" i="9"/>
  <c r="M692" i="9"/>
  <c r="O692" i="9" s="1"/>
  <c r="M705" i="9"/>
  <c r="O705" i="9" s="1"/>
  <c r="O743" i="9"/>
  <c r="M781" i="9"/>
  <c r="P781" i="9" s="1"/>
  <c r="M783" i="9"/>
  <c r="P783" i="9" s="1"/>
  <c r="P786" i="9"/>
  <c r="O786" i="9"/>
  <c r="M803" i="9"/>
  <c r="P803" i="9" s="1"/>
  <c r="M805" i="9"/>
  <c r="P805" i="9" s="1"/>
  <c r="O808" i="9"/>
  <c r="M827" i="9"/>
  <c r="P827" i="9" s="1"/>
  <c r="P830" i="9"/>
  <c r="O830" i="9"/>
  <c r="M842" i="9"/>
  <c r="M380" i="9"/>
  <c r="O380" i="9" s="1"/>
  <c r="M441" i="9"/>
  <c r="O441" i="9" s="1"/>
  <c r="P453" i="9"/>
  <c r="M461" i="9"/>
  <c r="O461" i="9" s="1"/>
  <c r="M462" i="9"/>
  <c r="M477" i="9"/>
  <c r="O477" i="9" s="1"/>
  <c r="M478" i="9"/>
  <c r="M490" i="9"/>
  <c r="M491" i="9"/>
  <c r="O491" i="9" s="1"/>
  <c r="O653" i="9"/>
  <c r="M665" i="9"/>
  <c r="M702" i="9"/>
  <c r="O702" i="9" s="1"/>
  <c r="M778" i="9"/>
  <c r="P780" i="9"/>
  <c r="O780" i="9"/>
  <c r="P782" i="9"/>
  <c r="O782" i="9"/>
  <c r="P800" i="9"/>
  <c r="O800" i="9"/>
  <c r="M802" i="9"/>
  <c r="P804" i="9"/>
  <c r="M455" i="9"/>
  <c r="O455" i="9" s="1"/>
  <c r="M463" i="9"/>
  <c r="O463" i="9" s="1"/>
  <c r="M471" i="9"/>
  <c r="M479" i="9"/>
  <c r="O479" i="9" s="1"/>
  <c r="M530" i="9"/>
  <c r="M533" i="9"/>
  <c r="P533" i="9" s="1"/>
  <c r="M543" i="9"/>
  <c r="O543" i="9" s="1"/>
  <c r="M550" i="9"/>
  <c r="M560" i="9"/>
  <c r="O560" i="9" s="1"/>
  <c r="M565" i="9"/>
  <c r="P565" i="9" s="1"/>
  <c r="M575" i="9"/>
  <c r="M582" i="9"/>
  <c r="M585" i="9"/>
  <c r="P585" i="9" s="1"/>
  <c r="M590" i="9"/>
  <c r="M593" i="9"/>
  <c r="P593" i="9" s="1"/>
  <c r="M598" i="9"/>
  <c r="O598" i="9" s="1"/>
  <c r="M601" i="9"/>
  <c r="P601" i="9" s="1"/>
  <c r="M606" i="9"/>
  <c r="P606" i="9" s="1"/>
  <c r="P637" i="9"/>
  <c r="M647" i="9"/>
  <c r="O648" i="9"/>
  <c r="P658" i="9"/>
  <c r="M659" i="9"/>
  <c r="O659" i="9" s="1"/>
  <c r="M683" i="9"/>
  <c r="O683" i="9" s="1"/>
  <c r="M689" i="9"/>
  <c r="O689" i="9" s="1"/>
  <c r="M707" i="9"/>
  <c r="O707" i="9" s="1"/>
  <c r="M730" i="9"/>
  <c r="P730" i="9" s="1"/>
  <c r="P740" i="9"/>
  <c r="M758" i="9"/>
  <c r="M769" i="9"/>
  <c r="M785" i="9"/>
  <c r="P785" i="9" s="1"/>
  <c r="M807" i="9"/>
  <c r="P807" i="9" s="1"/>
  <c r="M817" i="9"/>
  <c r="P817" i="9" s="1"/>
  <c r="O839" i="9"/>
  <c r="M839" i="9"/>
  <c r="P839" i="9" s="1"/>
  <c r="M847" i="9"/>
  <c r="P847" i="9" s="1"/>
  <c r="M849" i="9"/>
  <c r="P861" i="9"/>
  <c r="O861" i="9"/>
  <c r="M875" i="9"/>
  <c r="P875" i="9" s="1"/>
  <c r="M906" i="9"/>
  <c r="P906" i="9" s="1"/>
  <c r="O907" i="9"/>
  <c r="M908" i="9"/>
  <c r="M447" i="9"/>
  <c r="O447" i="9" s="1"/>
  <c r="M540" i="9"/>
  <c r="M545" i="9"/>
  <c r="P545" i="9" s="1"/>
  <c r="M555" i="9"/>
  <c r="M562" i="9"/>
  <c r="P562" i="9" s="1"/>
  <c r="M572" i="9"/>
  <c r="O572" i="9" s="1"/>
  <c r="M577" i="9"/>
  <c r="P577" i="9" s="1"/>
  <c r="M608" i="9"/>
  <c r="O608" i="9" s="1"/>
  <c r="M611" i="9"/>
  <c r="M616" i="9"/>
  <c r="O616" i="9" s="1"/>
  <c r="M619" i="9"/>
  <c r="O620" i="9"/>
  <c r="M680" i="9"/>
  <c r="O680" i="9" s="1"/>
  <c r="P689" i="9"/>
  <c r="O721" i="9"/>
  <c r="M721" i="9"/>
  <c r="M744" i="9"/>
  <c r="P744" i="9" s="1"/>
  <c r="M762" i="9"/>
  <c r="M763" i="9"/>
  <c r="M787" i="9"/>
  <c r="P787" i="9" s="1"/>
  <c r="M797" i="9"/>
  <c r="P797" i="9" s="1"/>
  <c r="M819" i="9"/>
  <c r="P819" i="9" s="1"/>
  <c r="M829" i="9"/>
  <c r="P829" i="9" s="1"/>
  <c r="M888" i="9"/>
  <c r="P889" i="9"/>
  <c r="O889" i="9"/>
  <c r="M910" i="9"/>
  <c r="P910" i="9" s="1"/>
  <c r="M532" i="9"/>
  <c r="P532" i="9" s="1"/>
  <c r="M535" i="9"/>
  <c r="M542" i="9"/>
  <c r="P542" i="9" s="1"/>
  <c r="M552" i="9"/>
  <c r="O552" i="9" s="1"/>
  <c r="M557" i="9"/>
  <c r="P557" i="9" s="1"/>
  <c r="M567" i="9"/>
  <c r="M574" i="9"/>
  <c r="P574" i="9" s="1"/>
  <c r="M584" i="9"/>
  <c r="P584" i="9" s="1"/>
  <c r="M587" i="9"/>
  <c r="O587" i="9" s="1"/>
  <c r="M592" i="9"/>
  <c r="P592" i="9" s="1"/>
  <c r="M595" i="9"/>
  <c r="O595" i="9" s="1"/>
  <c r="M600" i="9"/>
  <c r="P600" i="9" s="1"/>
  <c r="M603" i="9"/>
  <c r="O603" i="9" s="1"/>
  <c r="M613" i="9"/>
  <c r="P613" i="9" s="1"/>
  <c r="O628" i="9"/>
  <c r="M629" i="9"/>
  <c r="P629" i="9" s="1"/>
  <c r="P630" i="9"/>
  <c r="O652" i="9"/>
  <c r="M668" i="9"/>
  <c r="M704" i="9"/>
  <c r="O704" i="9" s="1"/>
  <c r="P721" i="9"/>
  <c r="M732" i="9"/>
  <c r="P732" i="9" s="1"/>
  <c r="M799" i="9"/>
  <c r="P799" i="9" s="1"/>
  <c r="M809" i="9"/>
  <c r="P809" i="9" s="1"/>
  <c r="M831" i="9"/>
  <c r="P831" i="9" s="1"/>
  <c r="M841" i="9"/>
  <c r="P841" i="9" s="1"/>
  <c r="P852" i="9"/>
  <c r="P869" i="9"/>
  <c r="M879" i="9"/>
  <c r="P879" i="9" s="1"/>
  <c r="M903" i="9"/>
  <c r="M916" i="9"/>
  <c r="O916" i="9" s="1"/>
  <c r="M483" i="9"/>
  <c r="M493" i="9"/>
  <c r="M495" i="9"/>
  <c r="M497" i="9"/>
  <c r="M499" i="9"/>
  <c r="O499" i="9" s="1"/>
  <c r="M501" i="9"/>
  <c r="O501" i="9" s="1"/>
  <c r="M503" i="9"/>
  <c r="M505" i="9"/>
  <c r="M507" i="9"/>
  <c r="M509" i="9"/>
  <c r="M511" i="9"/>
  <c r="M513" i="9"/>
  <c r="M515" i="9"/>
  <c r="P515" i="9" s="1"/>
  <c r="M517" i="9"/>
  <c r="O517" i="9" s="1"/>
  <c r="M519" i="9"/>
  <c r="M521" i="9"/>
  <c r="M523" i="9"/>
  <c r="M525" i="9"/>
  <c r="M527" i="9"/>
  <c r="M537" i="9"/>
  <c r="P537" i="9" s="1"/>
  <c r="M547" i="9"/>
  <c r="O547" i="9" s="1"/>
  <c r="M554" i="9"/>
  <c r="P554" i="9" s="1"/>
  <c r="M564" i="9"/>
  <c r="O564" i="9" s="1"/>
  <c r="M569" i="9"/>
  <c r="P569" i="9" s="1"/>
  <c r="M579" i="9"/>
  <c r="O609" i="9"/>
  <c r="M610" i="9"/>
  <c r="P610" i="9" s="1"/>
  <c r="M626" i="9"/>
  <c r="P626" i="9" s="1"/>
  <c r="M631" i="9"/>
  <c r="P631" i="9" s="1"/>
  <c r="P632" i="9"/>
  <c r="O632" i="9"/>
  <c r="M641" i="9"/>
  <c r="P641" i="9" s="1"/>
  <c r="M670" i="9"/>
  <c r="P670" i="9" s="1"/>
  <c r="P686" i="9"/>
  <c r="O686" i="9"/>
  <c r="M701" i="9"/>
  <c r="O701" i="9" s="1"/>
  <c r="O718" i="9"/>
  <c r="M727" i="9"/>
  <c r="O727" i="9" s="1"/>
  <c r="M736" i="9"/>
  <c r="P736" i="9" s="1"/>
  <c r="O739" i="9"/>
  <c r="M741" i="9"/>
  <c r="M766" i="9"/>
  <c r="M779" i="9"/>
  <c r="P779" i="9" s="1"/>
  <c r="M789" i="9"/>
  <c r="P789" i="9" s="1"/>
  <c r="M811" i="9"/>
  <c r="P811" i="9" s="1"/>
  <c r="M821" i="9"/>
  <c r="P821" i="9" s="1"/>
  <c r="O843" i="9"/>
  <c r="M844" i="9"/>
  <c r="M857" i="9"/>
  <c r="P857" i="9" s="1"/>
  <c r="M870" i="9"/>
  <c r="P870" i="9" s="1"/>
  <c r="P884" i="9"/>
  <c r="M885" i="9"/>
  <c r="P893" i="9"/>
  <c r="O893" i="9"/>
  <c r="M451" i="9"/>
  <c r="M459" i="9"/>
  <c r="M467" i="9"/>
  <c r="M475" i="9"/>
  <c r="O475" i="9" s="1"/>
  <c r="M480" i="9"/>
  <c r="O480" i="9" s="1"/>
  <c r="M529" i="9"/>
  <c r="P529" i="9" s="1"/>
  <c r="M534" i="9"/>
  <c r="M544" i="9"/>
  <c r="M549" i="9"/>
  <c r="P549" i="9" s="1"/>
  <c r="M559" i="9"/>
  <c r="M566" i="9"/>
  <c r="M576" i="9"/>
  <c r="M581" i="9"/>
  <c r="P581" i="9" s="1"/>
  <c r="M586" i="9"/>
  <c r="M589" i="9"/>
  <c r="P589" i="9" s="1"/>
  <c r="M594" i="9"/>
  <c r="M597" i="9"/>
  <c r="P597" i="9" s="1"/>
  <c r="M602" i="9"/>
  <c r="M605" i="9"/>
  <c r="P605" i="9" s="1"/>
  <c r="M618" i="9"/>
  <c r="O618" i="9" s="1"/>
  <c r="M677" i="9"/>
  <c r="P677" i="9" s="1"/>
  <c r="M713" i="9"/>
  <c r="O713" i="9" s="1"/>
  <c r="M719" i="9"/>
  <c r="O719" i="9" s="1"/>
  <c r="P770" i="9"/>
  <c r="M771" i="9"/>
  <c r="O791" i="9"/>
  <c r="M791" i="9"/>
  <c r="P791" i="9" s="1"/>
  <c r="P794" i="9"/>
  <c r="O794" i="9"/>
  <c r="O801" i="9"/>
  <c r="M801" i="9"/>
  <c r="P801" i="9" s="1"/>
  <c r="O823" i="9"/>
  <c r="M823" i="9"/>
  <c r="P823" i="9" s="1"/>
  <c r="P826" i="9"/>
  <c r="O826" i="9"/>
  <c r="O833" i="9"/>
  <c r="M833" i="9"/>
  <c r="P833" i="9" s="1"/>
  <c r="P860" i="9"/>
  <c r="O875" i="9"/>
  <c r="P897" i="9"/>
  <c r="M636" i="9"/>
  <c r="P636" i="9" s="1"/>
  <c r="M642" i="9"/>
  <c r="M645" i="9"/>
  <c r="M651" i="9"/>
  <c r="O651" i="9" s="1"/>
  <c r="M654" i="9"/>
  <c r="M657" i="9"/>
  <c r="M660" i="9"/>
  <c r="M667" i="9"/>
  <c r="M681" i="9"/>
  <c r="M684" i="9"/>
  <c r="P707" i="9"/>
  <c r="M723" i="9"/>
  <c r="O723" i="9" s="1"/>
  <c r="M729" i="9"/>
  <c r="P729" i="9" s="1"/>
  <c r="M735" i="9"/>
  <c r="P735" i="9" s="1"/>
  <c r="M772" i="9"/>
  <c r="P772" i="9" s="1"/>
  <c r="M848" i="9"/>
  <c r="M853" i="9"/>
  <c r="O853" i="9" s="1"/>
  <c r="M866" i="9"/>
  <c r="P866" i="9" s="1"/>
  <c r="M871" i="9"/>
  <c r="P871" i="9" s="1"/>
  <c r="M876" i="9"/>
  <c r="O876" i="9" s="1"/>
  <c r="M881" i="9"/>
  <c r="P881" i="9" s="1"/>
  <c r="M899" i="9"/>
  <c r="P899" i="9" s="1"/>
  <c r="M902" i="9"/>
  <c r="P902" i="9" s="1"/>
  <c r="M912" i="9"/>
  <c r="M917" i="9"/>
  <c r="M941" i="9"/>
  <c r="P941" i="9" s="1"/>
  <c r="M604" i="9"/>
  <c r="M607" i="9"/>
  <c r="M624" i="9"/>
  <c r="O624" i="9" s="1"/>
  <c r="M630" i="9"/>
  <c r="O630" i="9" s="1"/>
  <c r="M633" i="9"/>
  <c r="P633" i="9" s="1"/>
  <c r="M639" i="9"/>
  <c r="M669" i="9"/>
  <c r="O669" i="9" s="1"/>
  <c r="M672" i="9"/>
  <c r="M678" i="9"/>
  <c r="O678" i="9" s="1"/>
  <c r="M687" i="9"/>
  <c r="O687" i="9" s="1"/>
  <c r="P716" i="9"/>
  <c r="P719" i="9"/>
  <c r="M845" i="9"/>
  <c r="O845" i="9" s="1"/>
  <c r="M858" i="9"/>
  <c r="M863" i="9"/>
  <c r="M868" i="9"/>
  <c r="M873" i="9"/>
  <c r="O873" i="9" s="1"/>
  <c r="M891" i="9"/>
  <c r="M894" i="9"/>
  <c r="P894" i="9" s="1"/>
  <c r="M904" i="9"/>
  <c r="M909" i="9"/>
  <c r="O909" i="9" s="1"/>
  <c r="P949" i="9"/>
  <c r="M621" i="9"/>
  <c r="P621" i="9" s="1"/>
  <c r="M627" i="9"/>
  <c r="O627" i="9" s="1"/>
  <c r="M644" i="9"/>
  <c r="P644" i="9" s="1"/>
  <c r="M650" i="9"/>
  <c r="P650" i="9" s="1"/>
  <c r="M653" i="9"/>
  <c r="P653" i="9" s="1"/>
  <c r="M656" i="9"/>
  <c r="P656" i="9" s="1"/>
  <c r="M663" i="9"/>
  <c r="M666" i="9"/>
  <c r="P666" i="9" s="1"/>
  <c r="M675" i="9"/>
  <c r="P675" i="9" s="1"/>
  <c r="P691" i="9"/>
  <c r="P697" i="9"/>
  <c r="P703" i="9"/>
  <c r="M850" i="9"/>
  <c r="M855" i="9"/>
  <c r="P855" i="9" s="1"/>
  <c r="M860" i="9"/>
  <c r="O860" i="9" s="1"/>
  <c r="M865" i="9"/>
  <c r="P865" i="9" s="1"/>
  <c r="M883" i="9"/>
  <c r="P883" i="9" s="1"/>
  <c r="M886" i="9"/>
  <c r="P886" i="9" s="1"/>
  <c r="M896" i="9"/>
  <c r="M901" i="9"/>
  <c r="P901" i="9" s="1"/>
  <c r="M914" i="9"/>
  <c r="P914" i="9" s="1"/>
  <c r="M919" i="9"/>
  <c r="P919" i="9" s="1"/>
  <c r="M921" i="9"/>
  <c r="P921" i="9" s="1"/>
  <c r="M926" i="9"/>
  <c r="O926" i="9" s="1"/>
  <c r="M932" i="9"/>
  <c r="M934" i="9"/>
  <c r="M940" i="9"/>
  <c r="M942" i="9"/>
  <c r="P942" i="9" s="1"/>
  <c r="M953" i="9"/>
  <c r="O953" i="9" s="1"/>
  <c r="M646" i="9"/>
  <c r="M649" i="9"/>
  <c r="M671" i="9"/>
  <c r="O671" i="9" s="1"/>
  <c r="M685" i="9"/>
  <c r="P699" i="9"/>
  <c r="P711" i="9"/>
  <c r="M859" i="9"/>
  <c r="M862" i="9"/>
  <c r="M872" i="9"/>
  <c r="O872" i="9" s="1"/>
  <c r="M877" i="9"/>
  <c r="M890" i="9"/>
  <c r="P890" i="9" s="1"/>
  <c r="M895" i="9"/>
  <c r="M900" i="9"/>
  <c r="M905" i="9"/>
  <c r="M925" i="9"/>
  <c r="P925" i="9" s="1"/>
  <c r="M948" i="9"/>
  <c r="M950" i="9"/>
  <c r="P950" i="9" s="1"/>
  <c r="P708" i="9"/>
  <c r="P717" i="9"/>
  <c r="P851" i="9"/>
  <c r="P882" i="9"/>
  <c r="P887" i="9"/>
  <c r="P915" i="9"/>
  <c r="P953" i="9"/>
  <c r="M929" i="9"/>
  <c r="P929" i="9" s="1"/>
  <c r="M933" i="9"/>
  <c r="P933" i="9" s="1"/>
  <c r="J18" i="7"/>
  <c r="K8" i="7"/>
  <c r="J8" i="7"/>
  <c r="J9" i="7"/>
  <c r="K11" i="7"/>
  <c r="J16" i="7"/>
  <c r="J21" i="7"/>
  <c r="K16" i="7"/>
  <c r="K21" i="7"/>
  <c r="J15" i="7"/>
  <c r="J14" i="7"/>
  <c r="J19" i="7"/>
  <c r="J13" i="7"/>
  <c r="J10" i="7"/>
  <c r="J12" i="7"/>
  <c r="K19" i="7"/>
  <c r="J11" i="7"/>
  <c r="K12" i="7"/>
  <c r="J22" i="7"/>
  <c r="K18" i="7"/>
  <c r="B5" i="6"/>
  <c r="AN909" i="5"/>
  <c r="AM909" i="5"/>
  <c r="AN913" i="5"/>
  <c r="AM913" i="5"/>
  <c r="AN917" i="5"/>
  <c r="AM917" i="5"/>
  <c r="AN921" i="5"/>
  <c r="AM921" i="5"/>
  <c r="AN933" i="5"/>
  <c r="AM933" i="5"/>
  <c r="AN949" i="5"/>
  <c r="AM949" i="5"/>
  <c r="O567" i="9"/>
  <c r="P567" i="9"/>
  <c r="B6" i="6"/>
  <c r="B4" i="7"/>
  <c r="AM839" i="5"/>
  <c r="AM847" i="5"/>
  <c r="AM855" i="5"/>
  <c r="AM863" i="5"/>
  <c r="AM871" i="5"/>
  <c r="AM879" i="5"/>
  <c r="AM887" i="5"/>
  <c r="AM895" i="5"/>
  <c r="AM903" i="5"/>
  <c r="O104" i="9"/>
  <c r="P104" i="9"/>
  <c r="AN925" i="5"/>
  <c r="AM925" i="5"/>
  <c r="AN929" i="5"/>
  <c r="AM929" i="5"/>
  <c r="AN937" i="5"/>
  <c r="AM937" i="5"/>
  <c r="AN941" i="5"/>
  <c r="AM941" i="5"/>
  <c r="AN945" i="5"/>
  <c r="AM945" i="5"/>
  <c r="AN953" i="5"/>
  <c r="AM953" i="5"/>
  <c r="AN982" i="5"/>
  <c r="AM982" i="5"/>
  <c r="O80" i="9"/>
  <c r="P80" i="9"/>
  <c r="O535" i="9"/>
  <c r="P535" i="9"/>
  <c r="P595" i="9"/>
  <c r="O623" i="9"/>
  <c r="AN912" i="5"/>
  <c r="AM912" i="5"/>
  <c r="AN916" i="5"/>
  <c r="AM916" i="5"/>
  <c r="AN920" i="5"/>
  <c r="AM920" i="5"/>
  <c r="AN924" i="5"/>
  <c r="AM924" i="5"/>
  <c r="AN928" i="5"/>
  <c r="AM928" i="5"/>
  <c r="AN932" i="5"/>
  <c r="AM932" i="5"/>
  <c r="AN936" i="5"/>
  <c r="AM936" i="5"/>
  <c r="AN940" i="5"/>
  <c r="AM940" i="5"/>
  <c r="AN944" i="5"/>
  <c r="AM944" i="5"/>
  <c r="AN948" i="5"/>
  <c r="AM948" i="5"/>
  <c r="AN952" i="5"/>
  <c r="AM952" i="5"/>
  <c r="P127" i="9"/>
  <c r="O127" i="9"/>
  <c r="AM837" i="5"/>
  <c r="AM845" i="5"/>
  <c r="AM853" i="5"/>
  <c r="AM861" i="5"/>
  <c r="AM869" i="5"/>
  <c r="AM877" i="5"/>
  <c r="AM885" i="5"/>
  <c r="AM893" i="5"/>
  <c r="AM901" i="5"/>
  <c r="AN990" i="5"/>
  <c r="AM990" i="5"/>
  <c r="P77" i="9"/>
  <c r="O77" i="9"/>
  <c r="O88" i="9"/>
  <c r="P88" i="9"/>
  <c r="AM836" i="5"/>
  <c r="AM844" i="5"/>
  <c r="AM852" i="5"/>
  <c r="AM860" i="5"/>
  <c r="AM868" i="5"/>
  <c r="AN911" i="5"/>
  <c r="AM911" i="5"/>
  <c r="AN915" i="5"/>
  <c r="AM915" i="5"/>
  <c r="AN919" i="5"/>
  <c r="AM919" i="5"/>
  <c r="AN923" i="5"/>
  <c r="AM923" i="5"/>
  <c r="AN927" i="5"/>
  <c r="AM927" i="5"/>
  <c r="AN931" i="5"/>
  <c r="AM931" i="5"/>
  <c r="AN935" i="5"/>
  <c r="AM935" i="5"/>
  <c r="AN939" i="5"/>
  <c r="AM939" i="5"/>
  <c r="AN943" i="5"/>
  <c r="AM943" i="5"/>
  <c r="AN947" i="5"/>
  <c r="AM947" i="5"/>
  <c r="AN951" i="5"/>
  <c r="AM951" i="5"/>
  <c r="O112" i="9"/>
  <c r="P112" i="9"/>
  <c r="AM835" i="5"/>
  <c r="AM843" i="5"/>
  <c r="AM851" i="5"/>
  <c r="AM859" i="5"/>
  <c r="AM867" i="5"/>
  <c r="AM875" i="5"/>
  <c r="AM883" i="5"/>
  <c r="AM891" i="5"/>
  <c r="AM899" i="5"/>
  <c r="AM907" i="5"/>
  <c r="AM842" i="5"/>
  <c r="AM850" i="5"/>
  <c r="AM858" i="5"/>
  <c r="AM866" i="5"/>
  <c r="AM874" i="5"/>
  <c r="AM882" i="5"/>
  <c r="AM890" i="5"/>
  <c r="AM898" i="5"/>
  <c r="AM906" i="5"/>
  <c r="AN910" i="5"/>
  <c r="AM910" i="5"/>
  <c r="AN914" i="5"/>
  <c r="AM914" i="5"/>
  <c r="AN918" i="5"/>
  <c r="AM918" i="5"/>
  <c r="AN922" i="5"/>
  <c r="AM922" i="5"/>
  <c r="AN926" i="5"/>
  <c r="AM926" i="5"/>
  <c r="AN930" i="5"/>
  <c r="AM930" i="5"/>
  <c r="AN934" i="5"/>
  <c r="AM934" i="5"/>
  <c r="AN938" i="5"/>
  <c r="AM938" i="5"/>
  <c r="AN942" i="5"/>
  <c r="AM942" i="5"/>
  <c r="AN946" i="5"/>
  <c r="AM946" i="5"/>
  <c r="AN950" i="5"/>
  <c r="AM950" i="5"/>
  <c r="AN954" i="5"/>
  <c r="AM954" i="5"/>
  <c r="O96" i="9"/>
  <c r="P96" i="9"/>
  <c r="AM841" i="5"/>
  <c r="AM849" i="5"/>
  <c r="AM857" i="5"/>
  <c r="AM865" i="5"/>
  <c r="AM873" i="5"/>
  <c r="AM881" i="5"/>
  <c r="AM889" i="5"/>
  <c r="AM897" i="5"/>
  <c r="AM905" i="5"/>
  <c r="AM955" i="5"/>
  <c r="AM956" i="5"/>
  <c r="AM957" i="5"/>
  <c r="AM958" i="5"/>
  <c r="AM959" i="5"/>
  <c r="AM960" i="5"/>
  <c r="AM961" i="5"/>
  <c r="AM962" i="5"/>
  <c r="AM963" i="5"/>
  <c r="AM964" i="5"/>
  <c r="AM965" i="5"/>
  <c r="AM966" i="5"/>
  <c r="AM967" i="5"/>
  <c r="AM968" i="5"/>
  <c r="AM969" i="5"/>
  <c r="AM970" i="5"/>
  <c r="AM971" i="5"/>
  <c r="AM972" i="5"/>
  <c r="AM973" i="5"/>
  <c r="AM974" i="5"/>
  <c r="AM975" i="5"/>
  <c r="AM976" i="5"/>
  <c r="AM984" i="5"/>
  <c r="AM991" i="5"/>
  <c r="O4" i="9"/>
  <c r="O5" i="9"/>
  <c r="O6" i="9"/>
  <c r="O7" i="9"/>
  <c r="O9" i="9"/>
  <c r="O10" i="9"/>
  <c r="O11" i="9"/>
  <c r="O12" i="9"/>
  <c r="O13" i="9"/>
  <c r="O14" i="9"/>
  <c r="O15" i="9"/>
  <c r="O16" i="9"/>
  <c r="O17" i="9"/>
  <c r="O18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9" i="9"/>
  <c r="O40" i="9"/>
  <c r="O41" i="9"/>
  <c r="O42" i="9"/>
  <c r="O44" i="9"/>
  <c r="O45" i="9"/>
  <c r="O46" i="9"/>
  <c r="O47" i="9"/>
  <c r="O48" i="9"/>
  <c r="O49" i="9"/>
  <c r="O50" i="9"/>
  <c r="O51" i="9"/>
  <c r="O52" i="9"/>
  <c r="O53" i="9"/>
  <c r="O54" i="9"/>
  <c r="O56" i="9"/>
  <c r="O57" i="9"/>
  <c r="O58" i="9"/>
  <c r="O59" i="9"/>
  <c r="O60" i="9"/>
  <c r="O61" i="9"/>
  <c r="O63" i="9"/>
  <c r="O65" i="9"/>
  <c r="O66" i="9"/>
  <c r="O67" i="9"/>
  <c r="O68" i="9"/>
  <c r="O69" i="9"/>
  <c r="O70" i="9"/>
  <c r="O71" i="9"/>
  <c r="O72" i="9"/>
  <c r="O73" i="9"/>
  <c r="O74" i="9"/>
  <c r="O75" i="9"/>
  <c r="P84" i="9"/>
  <c r="P92" i="9"/>
  <c r="P100" i="9"/>
  <c r="P108" i="9"/>
  <c r="P119" i="9"/>
  <c r="O119" i="9"/>
  <c r="P81" i="9"/>
  <c r="P89" i="9"/>
  <c r="P105" i="9"/>
  <c r="P131" i="9"/>
  <c r="O131" i="9"/>
  <c r="O464" i="9"/>
  <c r="P464" i="9"/>
  <c r="AM981" i="5"/>
  <c r="AM989" i="5"/>
  <c r="AM996" i="5"/>
  <c r="P78" i="9"/>
  <c r="P86" i="9"/>
  <c r="P94" i="9"/>
  <c r="P102" i="9"/>
  <c r="P110" i="9"/>
  <c r="P285" i="9"/>
  <c r="AM980" i="5"/>
  <c r="AM988" i="5"/>
  <c r="P123" i="9"/>
  <c r="O123" i="9"/>
  <c r="P266" i="9"/>
  <c r="O266" i="9"/>
  <c r="AM978" i="5"/>
  <c r="AM986" i="5"/>
  <c r="AM993" i="5"/>
  <c r="P93" i="9"/>
  <c r="P101" i="9"/>
  <c r="P109" i="9"/>
  <c r="P269" i="9"/>
  <c r="O269" i="9"/>
  <c r="P282" i="9"/>
  <c r="O282" i="9"/>
  <c r="P261" i="9"/>
  <c r="O261" i="9"/>
  <c r="O117" i="9"/>
  <c r="O121" i="9"/>
  <c r="O125" i="9"/>
  <c r="P274" i="9"/>
  <c r="O274" i="9"/>
  <c r="P277" i="9"/>
  <c r="O277" i="9"/>
  <c r="P290" i="9"/>
  <c r="O290" i="9"/>
  <c r="O260" i="9"/>
  <c r="O268" i="9"/>
  <c r="O276" i="9"/>
  <c r="O284" i="9"/>
  <c r="P364" i="9"/>
  <c r="O364" i="9"/>
  <c r="O265" i="9"/>
  <c r="O273" i="9"/>
  <c r="O281" i="9"/>
  <c r="O289" i="9"/>
  <c r="O288" i="9"/>
  <c r="P372" i="9"/>
  <c r="O263" i="9"/>
  <c r="O271" i="9"/>
  <c r="O279" i="9"/>
  <c r="O287" i="9"/>
  <c r="P376" i="9"/>
  <c r="O376" i="9"/>
  <c r="P380" i="9"/>
  <c r="P384" i="9"/>
  <c r="P388" i="9"/>
  <c r="O388" i="9"/>
  <c r="P392" i="9"/>
  <c r="O392" i="9"/>
  <c r="P396" i="9"/>
  <c r="O396" i="9"/>
  <c r="P400" i="9"/>
  <c r="O400" i="9"/>
  <c r="P404" i="9"/>
  <c r="O404" i="9"/>
  <c r="P408" i="9"/>
  <c r="O408" i="9"/>
  <c r="O444" i="9"/>
  <c r="P444" i="9"/>
  <c r="O472" i="9"/>
  <c r="P472" i="9"/>
  <c r="O483" i="9"/>
  <c r="P483" i="9"/>
  <c r="O363" i="9"/>
  <c r="O371" i="9"/>
  <c r="O446" i="9"/>
  <c r="P446" i="9"/>
  <c r="K9" i="7"/>
  <c r="K14" i="7"/>
  <c r="O370" i="9"/>
  <c r="P375" i="9"/>
  <c r="O375" i="9"/>
  <c r="P379" i="9"/>
  <c r="O379" i="9"/>
  <c r="P383" i="9"/>
  <c r="O383" i="9"/>
  <c r="P387" i="9"/>
  <c r="O387" i="9"/>
  <c r="P391" i="9"/>
  <c r="O391" i="9"/>
  <c r="P395" i="9"/>
  <c r="O395" i="9"/>
  <c r="O399" i="9"/>
  <c r="P403" i="9"/>
  <c r="O403" i="9"/>
  <c r="P407" i="9"/>
  <c r="O407" i="9"/>
  <c r="O454" i="9"/>
  <c r="P454" i="9"/>
  <c r="P479" i="9"/>
  <c r="K17" i="7"/>
  <c r="K13" i="7"/>
  <c r="J17" i="7"/>
  <c r="O462" i="9"/>
  <c r="P462" i="9"/>
  <c r="P374" i="9"/>
  <c r="O374" i="9"/>
  <c r="P378" i="9"/>
  <c r="O378" i="9"/>
  <c r="P382" i="9"/>
  <c r="O382" i="9"/>
  <c r="P386" i="9"/>
  <c r="O386" i="9"/>
  <c r="P390" i="9"/>
  <c r="O390" i="9"/>
  <c r="P398" i="9"/>
  <c r="O398" i="9"/>
  <c r="P402" i="9"/>
  <c r="O402" i="9"/>
  <c r="P406" i="9"/>
  <c r="O406" i="9"/>
  <c r="O443" i="9"/>
  <c r="P443" i="9"/>
  <c r="O451" i="9"/>
  <c r="P451" i="9"/>
  <c r="O470" i="9"/>
  <c r="P470" i="9"/>
  <c r="O301" i="9"/>
  <c r="O302" i="9"/>
  <c r="O303" i="9"/>
  <c r="O305" i="9"/>
  <c r="O306" i="9"/>
  <c r="O307" i="9"/>
  <c r="O308" i="9"/>
  <c r="O310" i="9"/>
  <c r="O311" i="9"/>
  <c r="O312" i="9"/>
  <c r="O313" i="9"/>
  <c r="O314" i="9"/>
  <c r="O315" i="9"/>
  <c r="O316" i="9"/>
  <c r="O317" i="9"/>
  <c r="O318" i="9"/>
  <c r="O319" i="9"/>
  <c r="O320" i="9"/>
  <c r="O322" i="9"/>
  <c r="O323" i="9"/>
  <c r="O324" i="9"/>
  <c r="O325" i="9"/>
  <c r="O327" i="9"/>
  <c r="O328" i="9"/>
  <c r="O329" i="9"/>
  <c r="O330" i="9"/>
  <c r="O331" i="9"/>
  <c r="O332" i="9"/>
  <c r="O333" i="9"/>
  <c r="O334" i="9"/>
  <c r="O335" i="9"/>
  <c r="O336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5" i="9"/>
  <c r="O356" i="9"/>
  <c r="O357" i="9"/>
  <c r="O358" i="9"/>
  <c r="O359" i="9"/>
  <c r="O448" i="9"/>
  <c r="P448" i="9"/>
  <c r="O459" i="9"/>
  <c r="P459" i="9"/>
  <c r="O478" i="9"/>
  <c r="P478" i="9"/>
  <c r="O366" i="9"/>
  <c r="P373" i="9"/>
  <c r="O373" i="9"/>
  <c r="P377" i="9"/>
  <c r="O377" i="9"/>
  <c r="P381" i="9"/>
  <c r="O381" i="9"/>
  <c r="P385" i="9"/>
  <c r="O385" i="9"/>
  <c r="P393" i="9"/>
  <c r="O393" i="9"/>
  <c r="P397" i="9"/>
  <c r="O397" i="9"/>
  <c r="P401" i="9"/>
  <c r="O401" i="9"/>
  <c r="O405" i="9"/>
  <c r="P409" i="9"/>
  <c r="O409" i="9"/>
  <c r="P447" i="9"/>
  <c r="O456" i="9"/>
  <c r="P456" i="9"/>
  <c r="O467" i="9"/>
  <c r="P467" i="9"/>
  <c r="O485" i="9"/>
  <c r="P485" i="9"/>
  <c r="O489" i="9"/>
  <c r="P489" i="9"/>
  <c r="O493" i="9"/>
  <c r="P493" i="9"/>
  <c r="O495" i="9"/>
  <c r="P495" i="9"/>
  <c r="O497" i="9"/>
  <c r="P497" i="9"/>
  <c r="O503" i="9"/>
  <c r="P503" i="9"/>
  <c r="O505" i="9"/>
  <c r="P505" i="9"/>
  <c r="O507" i="9"/>
  <c r="P507" i="9"/>
  <c r="O509" i="9"/>
  <c r="P509" i="9"/>
  <c r="O511" i="9"/>
  <c r="P511" i="9"/>
  <c r="O513" i="9"/>
  <c r="P513" i="9"/>
  <c r="O519" i="9"/>
  <c r="P519" i="9"/>
  <c r="O521" i="9"/>
  <c r="P521" i="9"/>
  <c r="O523" i="9"/>
  <c r="P523" i="9"/>
  <c r="O525" i="9"/>
  <c r="P525" i="9"/>
  <c r="O527" i="9"/>
  <c r="P527" i="9"/>
  <c r="O579" i="9"/>
  <c r="P579" i="9"/>
  <c r="O611" i="9"/>
  <c r="P611" i="9"/>
  <c r="O643" i="9"/>
  <c r="P643" i="9"/>
  <c r="O655" i="9"/>
  <c r="P655" i="9"/>
  <c r="O559" i="9"/>
  <c r="P559" i="9"/>
  <c r="P452" i="9"/>
  <c r="P460" i="9"/>
  <c r="P468" i="9"/>
  <c r="P476" i="9"/>
  <c r="P484" i="9"/>
  <c r="O488" i="9"/>
  <c r="P488" i="9"/>
  <c r="O571" i="9"/>
  <c r="P571" i="9"/>
  <c r="O619" i="9"/>
  <c r="P619" i="9"/>
  <c r="P651" i="9"/>
  <c r="O667" i="9"/>
  <c r="P667" i="9"/>
  <c r="O531" i="9"/>
  <c r="P531" i="9"/>
  <c r="O551" i="9"/>
  <c r="P551" i="9"/>
  <c r="O583" i="9"/>
  <c r="P583" i="9"/>
  <c r="O591" i="9"/>
  <c r="P591" i="9"/>
  <c r="O599" i="9"/>
  <c r="P599" i="9"/>
  <c r="O607" i="9"/>
  <c r="P607" i="9"/>
  <c r="O639" i="9"/>
  <c r="P639" i="9"/>
  <c r="O487" i="9"/>
  <c r="P487" i="9"/>
  <c r="O492" i="9"/>
  <c r="P492" i="9"/>
  <c r="O494" i="9"/>
  <c r="P494" i="9"/>
  <c r="O496" i="9"/>
  <c r="P496" i="9"/>
  <c r="O498" i="9"/>
  <c r="P498" i="9"/>
  <c r="O500" i="9"/>
  <c r="P500" i="9"/>
  <c r="O502" i="9"/>
  <c r="P502" i="9"/>
  <c r="O504" i="9"/>
  <c r="P504" i="9"/>
  <c r="O506" i="9"/>
  <c r="P506" i="9"/>
  <c r="O508" i="9"/>
  <c r="P508" i="9"/>
  <c r="O510" i="9"/>
  <c r="P510" i="9"/>
  <c r="O512" i="9"/>
  <c r="P512" i="9"/>
  <c r="O514" i="9"/>
  <c r="P514" i="9"/>
  <c r="O516" i="9"/>
  <c r="P516" i="9"/>
  <c r="O518" i="9"/>
  <c r="P518" i="9"/>
  <c r="O520" i="9"/>
  <c r="P520" i="9"/>
  <c r="O522" i="9"/>
  <c r="P522" i="9"/>
  <c r="O524" i="9"/>
  <c r="P524" i="9"/>
  <c r="O526" i="9"/>
  <c r="P526" i="9"/>
  <c r="O563" i="9"/>
  <c r="P563" i="9"/>
  <c r="O663" i="9"/>
  <c r="P663" i="9"/>
  <c r="O675" i="9"/>
  <c r="O410" i="9"/>
  <c r="O411" i="9"/>
  <c r="O412" i="9"/>
  <c r="O413" i="9"/>
  <c r="O415" i="9"/>
  <c r="O416" i="9"/>
  <c r="O417" i="9"/>
  <c r="O418" i="9"/>
  <c r="O419" i="9"/>
  <c r="O420" i="9"/>
  <c r="O421" i="9"/>
  <c r="O422" i="9"/>
  <c r="O423" i="9"/>
  <c r="O424" i="9"/>
  <c r="O426" i="9"/>
  <c r="O427" i="9"/>
  <c r="O428" i="9"/>
  <c r="O429" i="9"/>
  <c r="O430" i="9"/>
  <c r="O431" i="9"/>
  <c r="O432" i="9"/>
  <c r="O434" i="9"/>
  <c r="O435" i="9"/>
  <c r="O436" i="9"/>
  <c r="O437" i="9"/>
  <c r="O438" i="9"/>
  <c r="O439" i="9"/>
  <c r="O440" i="9"/>
  <c r="P441" i="9"/>
  <c r="P449" i="9"/>
  <c r="P457" i="9"/>
  <c r="P465" i="9"/>
  <c r="P473" i="9"/>
  <c r="P481" i="9"/>
  <c r="O575" i="9"/>
  <c r="P575" i="9"/>
  <c r="O615" i="9"/>
  <c r="P615" i="9"/>
  <c r="O647" i="9"/>
  <c r="P647" i="9"/>
  <c r="O486" i="9"/>
  <c r="P486" i="9"/>
  <c r="O490" i="9"/>
  <c r="P490" i="9"/>
  <c r="O555" i="9"/>
  <c r="P555" i="9"/>
  <c r="O635" i="9"/>
  <c r="P635" i="9"/>
  <c r="P679" i="9"/>
  <c r="P683" i="9"/>
  <c r="P761" i="9"/>
  <c r="O761" i="9"/>
  <c r="O864" i="9"/>
  <c r="P864" i="9"/>
  <c r="M991" i="9"/>
  <c r="O991" i="9" s="1"/>
  <c r="P749" i="9"/>
  <c r="O749" i="9"/>
  <c r="O529" i="9"/>
  <c r="O537" i="9"/>
  <c r="O541" i="9"/>
  <c r="O545" i="9"/>
  <c r="O549" i="9"/>
  <c r="O553" i="9"/>
  <c r="O557" i="9"/>
  <c r="O561" i="9"/>
  <c r="O565" i="9"/>
  <c r="O569" i="9"/>
  <c r="O573" i="9"/>
  <c r="O585" i="9"/>
  <c r="O589" i="9"/>
  <c r="O597" i="9"/>
  <c r="O601" i="9"/>
  <c r="O605" i="9"/>
  <c r="O742" i="9"/>
  <c r="P769" i="9"/>
  <c r="O769" i="9"/>
  <c r="P741" i="9"/>
  <c r="O741" i="9"/>
  <c r="P757" i="9"/>
  <c r="O757" i="9"/>
  <c r="P701" i="9"/>
  <c r="O734" i="9"/>
  <c r="P733" i="9"/>
  <c r="O733" i="9"/>
  <c r="P765" i="9"/>
  <c r="O765" i="9"/>
  <c r="P693" i="9"/>
  <c r="P725" i="9"/>
  <c r="P753" i="9"/>
  <c r="O753" i="9"/>
  <c r="P748" i="9"/>
  <c r="O748" i="9"/>
  <c r="P752" i="9"/>
  <c r="O752" i="9"/>
  <c r="P756" i="9"/>
  <c r="O756" i="9"/>
  <c r="P760" i="9"/>
  <c r="O760" i="9"/>
  <c r="P764" i="9"/>
  <c r="O764" i="9"/>
  <c r="P768" i="9"/>
  <c r="O768" i="9"/>
  <c r="O856" i="9"/>
  <c r="P856" i="9"/>
  <c r="O920" i="9"/>
  <c r="P920" i="9"/>
  <c r="P690" i="9"/>
  <c r="P706" i="9"/>
  <c r="P714" i="9"/>
  <c r="P722" i="9"/>
  <c r="O732" i="9"/>
  <c r="O740" i="9"/>
  <c r="O848" i="9"/>
  <c r="P848" i="9"/>
  <c r="O912" i="9"/>
  <c r="P912" i="9"/>
  <c r="P751" i="9"/>
  <c r="O751" i="9"/>
  <c r="P755" i="9"/>
  <c r="O755" i="9"/>
  <c r="P759" i="9"/>
  <c r="O759" i="9"/>
  <c r="P763" i="9"/>
  <c r="O763" i="9"/>
  <c r="P767" i="9"/>
  <c r="O767" i="9"/>
  <c r="O904" i="9"/>
  <c r="P904" i="9"/>
  <c r="P688" i="9"/>
  <c r="P696" i="9"/>
  <c r="P704" i="9"/>
  <c r="P712" i="9"/>
  <c r="P728" i="9"/>
  <c r="O730" i="9"/>
  <c r="O738" i="9"/>
  <c r="O746" i="9"/>
  <c r="P777" i="9"/>
  <c r="O777" i="9"/>
  <c r="O896" i="9"/>
  <c r="P896" i="9"/>
  <c r="P687" i="9"/>
  <c r="P750" i="9"/>
  <c r="O750" i="9"/>
  <c r="P754" i="9"/>
  <c r="O754" i="9"/>
  <c r="P758" i="9"/>
  <c r="O758" i="9"/>
  <c r="P762" i="9"/>
  <c r="O762" i="9"/>
  <c r="P766" i="9"/>
  <c r="O766" i="9"/>
  <c r="O888" i="9"/>
  <c r="P888" i="9"/>
  <c r="P702" i="9"/>
  <c r="P710" i="9"/>
  <c r="P718" i="9"/>
  <c r="P726" i="9"/>
  <c r="O736" i="9"/>
  <c r="O744" i="9"/>
  <c r="O770" i="9"/>
  <c r="O776" i="9"/>
  <c r="P850" i="9"/>
  <c r="O850" i="9"/>
  <c r="P858" i="9"/>
  <c r="O858" i="9"/>
  <c r="O775" i="9"/>
  <c r="O774" i="9"/>
  <c r="O773" i="9"/>
  <c r="P932" i="9"/>
  <c r="O932" i="9"/>
  <c r="P846" i="9"/>
  <c r="O846" i="9"/>
  <c r="P854" i="9"/>
  <c r="O854" i="9"/>
  <c r="P862" i="9"/>
  <c r="O862" i="9"/>
  <c r="P940" i="9"/>
  <c r="O940" i="9"/>
  <c r="O870" i="9"/>
  <c r="O874" i="9"/>
  <c r="O878" i="9"/>
  <c r="O882" i="9"/>
  <c r="O890" i="9"/>
  <c r="O894" i="9"/>
  <c r="O898" i="9"/>
  <c r="O902" i="9"/>
  <c r="O906" i="9"/>
  <c r="O910" i="9"/>
  <c r="O914" i="9"/>
  <c r="O918" i="9"/>
  <c r="P948" i="9"/>
  <c r="O948" i="9"/>
  <c r="P922" i="9"/>
  <c r="O922" i="9"/>
  <c r="P937" i="9"/>
  <c r="O937" i="9"/>
  <c r="M959" i="9"/>
  <c r="P959" i="9" s="1"/>
  <c r="P926" i="9"/>
  <c r="P945" i="9"/>
  <c r="O945" i="9"/>
  <c r="M975" i="9"/>
  <c r="P975" i="9" s="1"/>
  <c r="M931" i="9"/>
  <c r="O933" i="9"/>
  <c r="M939" i="9"/>
  <c r="M947" i="9"/>
  <c r="O949" i="9"/>
  <c r="M963" i="9"/>
  <c r="P963" i="9" s="1"/>
  <c r="M979" i="9"/>
  <c r="O979" i="9" s="1"/>
  <c r="M924" i="9"/>
  <c r="M928" i="9"/>
  <c r="M936" i="9"/>
  <c r="M944" i="9"/>
  <c r="M952" i="9"/>
  <c r="M967" i="9"/>
  <c r="O967" i="9" s="1"/>
  <c r="P967" i="9"/>
  <c r="M983" i="9"/>
  <c r="O983" i="9" s="1"/>
  <c r="P983" i="9"/>
  <c r="M992" i="9"/>
  <c r="O992" i="9" s="1"/>
  <c r="M923" i="9"/>
  <c r="M927" i="9"/>
  <c r="M930" i="9"/>
  <c r="M938" i="9"/>
  <c r="M946" i="9"/>
  <c r="M935" i="9"/>
  <c r="M943" i="9"/>
  <c r="M951" i="9"/>
  <c r="M955" i="9"/>
  <c r="P955" i="9" s="1"/>
  <c r="M971" i="9"/>
  <c r="P971" i="9" s="1"/>
  <c r="M987" i="9"/>
  <c r="P987" i="9" s="1"/>
  <c r="O987" i="9"/>
  <c r="M956" i="9"/>
  <c r="O956" i="9" s="1"/>
  <c r="M960" i="9"/>
  <c r="O960" i="9" s="1"/>
  <c r="M964" i="9"/>
  <c r="O964" i="9" s="1"/>
  <c r="M968" i="9"/>
  <c r="O968" i="9" s="1"/>
  <c r="M972" i="9"/>
  <c r="O972" i="9" s="1"/>
  <c r="M976" i="9"/>
  <c r="O976" i="9" s="1"/>
  <c r="M980" i="9"/>
  <c r="O980" i="9" s="1"/>
  <c r="M984" i="9"/>
  <c r="O984" i="9" s="1"/>
  <c r="M988" i="9"/>
  <c r="O988" i="9" s="1"/>
  <c r="M994" i="9"/>
  <c r="P994" i="9" s="1"/>
  <c r="M954" i="9"/>
  <c r="M996" i="9"/>
  <c r="P996" i="9" s="1"/>
  <c r="M958" i="9"/>
  <c r="M962" i="9"/>
  <c r="M966" i="9"/>
  <c r="M970" i="9"/>
  <c r="M974" i="9"/>
  <c r="M978" i="9"/>
  <c r="M982" i="9"/>
  <c r="M986" i="9"/>
  <c r="M990" i="9"/>
  <c r="M993" i="9"/>
  <c r="P993" i="9" s="1"/>
  <c r="M957" i="9"/>
  <c r="P957" i="9" s="1"/>
  <c r="M961" i="9"/>
  <c r="M965" i="9"/>
  <c r="M969" i="9"/>
  <c r="M973" i="9"/>
  <c r="M977" i="9"/>
  <c r="M981" i="9"/>
  <c r="M985" i="9"/>
  <c r="M989" i="9"/>
  <c r="P989" i="9" s="1"/>
  <c r="M995" i="9"/>
  <c r="O995" i="9" s="1"/>
  <c r="O631" i="9" l="1"/>
  <c r="O389" i="9"/>
  <c r="O337" i="9"/>
  <c r="O304" i="9"/>
  <c r="J20" i="7"/>
  <c r="P475" i="9"/>
  <c r="O115" i="9"/>
  <c r="O64" i="9"/>
  <c r="O55" i="9"/>
  <c r="P587" i="9"/>
  <c r="O532" i="9"/>
  <c r="O592" i="9"/>
  <c r="O243" i="9"/>
  <c r="P634" i="9"/>
  <c r="O614" i="9"/>
  <c r="P661" i="9"/>
  <c r="O577" i="9"/>
  <c r="O515" i="9"/>
  <c r="P979" i="9"/>
  <c r="O367" i="9"/>
  <c r="P713" i="9"/>
  <c r="P723" i="9"/>
  <c r="O809" i="9"/>
  <c r="O677" i="9"/>
  <c r="P564" i="9"/>
  <c r="O257" i="9"/>
  <c r="O187" i="9"/>
  <c r="O866" i="9"/>
  <c r="P547" i="9"/>
  <c r="O309" i="9"/>
  <c r="P692" i="9"/>
  <c r="O871" i="9"/>
  <c r="O799" i="9"/>
  <c r="O911" i="9"/>
  <c r="P638" i="9"/>
  <c r="O737" i="9"/>
  <c r="O626" i="9"/>
  <c r="O225" i="9"/>
  <c r="O295" i="9"/>
  <c r="O219" i="9"/>
  <c r="P97" i="9"/>
  <c r="O19" i="9"/>
  <c r="O832" i="9"/>
  <c r="P354" i="9"/>
  <c r="O300" i="9"/>
  <c r="O43" i="9"/>
  <c r="P968" i="9"/>
  <c r="P720" i="9"/>
  <c r="O593" i="9"/>
  <c r="P659" i="9"/>
  <c r="P543" i="9"/>
  <c r="P499" i="9"/>
  <c r="O841" i="9"/>
  <c r="O807" i="9"/>
  <c r="P552" i="9"/>
  <c r="O792" i="9"/>
  <c r="O600" i="9"/>
  <c r="O193" i="9"/>
  <c r="O793" i="9"/>
  <c r="O747" i="9"/>
  <c r="O178" i="9"/>
  <c r="O280" i="9"/>
  <c r="O134" i="9"/>
  <c r="O941" i="9"/>
  <c r="O129" i="9"/>
  <c r="O919" i="9"/>
  <c r="O670" i="9"/>
  <c r="O588" i="9"/>
  <c r="O118" i="9"/>
  <c r="P87" i="9"/>
  <c r="O796" i="9"/>
  <c r="P988" i="9"/>
  <c r="O433" i="9"/>
  <c r="P956" i="9"/>
  <c r="O886" i="9"/>
  <c r="P880" i="9"/>
  <c r="O414" i="9"/>
  <c r="P627" i="9"/>
  <c r="P491" i="9"/>
  <c r="O957" i="9"/>
  <c r="P694" i="9"/>
  <c r="P698" i="9"/>
  <c r="O321" i="9"/>
  <c r="O362" i="9"/>
  <c r="O831" i="9"/>
  <c r="P612" i="9"/>
  <c r="O785" i="9"/>
  <c r="O827" i="9"/>
  <c r="O584" i="9"/>
  <c r="O161" i="9"/>
  <c r="O899" i="9"/>
  <c r="O644" i="9"/>
  <c r="O183" i="9"/>
  <c r="O235" i="9"/>
  <c r="O242" i="9"/>
  <c r="O211" i="9"/>
  <c r="P135" i="9"/>
  <c r="O135" i="9"/>
  <c r="P676" i="9"/>
  <c r="P863" i="9"/>
  <c r="O863" i="9"/>
  <c r="O654" i="9"/>
  <c r="P654" i="9"/>
  <c r="O844" i="9"/>
  <c r="P844" i="9"/>
  <c r="P590" i="9"/>
  <c r="O590" i="9"/>
  <c r="P802" i="9"/>
  <c r="O802" i="9"/>
  <c r="O621" i="9"/>
  <c r="O917" i="9"/>
  <c r="P917" i="9"/>
  <c r="O668" i="9"/>
  <c r="P668" i="9"/>
  <c r="O540" i="9"/>
  <c r="P540" i="9"/>
  <c r="P298" i="9"/>
  <c r="O298" i="9"/>
  <c r="O929" i="9"/>
  <c r="O533" i="9"/>
  <c r="P480" i="9"/>
  <c r="P649" i="9"/>
  <c r="O649" i="9"/>
  <c r="O925" i="9"/>
  <c r="O865" i="9"/>
  <c r="O847" i="9"/>
  <c r="O729" i="9"/>
  <c r="O606" i="9"/>
  <c r="O576" i="9"/>
  <c r="P576" i="9"/>
  <c r="O779" i="9"/>
  <c r="O797" i="9"/>
  <c r="O849" i="9"/>
  <c r="P849" i="9"/>
  <c r="P530" i="9"/>
  <c r="O530" i="9"/>
  <c r="O825" i="9"/>
  <c r="O795" i="9"/>
  <c r="O217" i="9"/>
  <c r="O116" i="9"/>
  <c r="O574" i="9"/>
  <c r="O772" i="9"/>
  <c r="O264" i="9"/>
  <c r="O215" i="9"/>
  <c r="O142" i="9"/>
  <c r="O197" i="9"/>
  <c r="O149" i="9"/>
  <c r="O106" i="9"/>
  <c r="P106" i="9"/>
  <c r="P608" i="9"/>
  <c r="O237" i="9"/>
  <c r="O173" i="9"/>
  <c r="O186" i="9"/>
  <c r="O139" i="9"/>
  <c r="P83" i="9"/>
  <c r="O562" i="9"/>
  <c r="O136" i="9"/>
  <c r="P859" i="9"/>
  <c r="O859" i="9"/>
  <c r="P646" i="9"/>
  <c r="O646" i="9"/>
  <c r="P645" i="9"/>
  <c r="O645" i="9"/>
  <c r="P845" i="9"/>
  <c r="P727" i="9"/>
  <c r="P566" i="9"/>
  <c r="O566" i="9"/>
  <c r="O650" i="9"/>
  <c r="O908" i="9"/>
  <c r="P908" i="9"/>
  <c r="O582" i="9"/>
  <c r="P582" i="9"/>
  <c r="O636" i="9"/>
  <c r="P556" i="9"/>
  <c r="O554" i="9"/>
  <c r="O883" i="9"/>
  <c r="P790" i="9"/>
  <c r="O790" i="9"/>
  <c r="O735" i="9"/>
  <c r="P616" i="9"/>
  <c r="O126" i="9"/>
  <c r="P463" i="9"/>
  <c r="O124" i="9"/>
  <c r="O857" i="9"/>
  <c r="P680" i="9"/>
  <c r="P905" i="9"/>
  <c r="O905" i="9"/>
  <c r="P724" i="9"/>
  <c r="O901" i="9"/>
  <c r="O684" i="9"/>
  <c r="P684" i="9"/>
  <c r="P642" i="9"/>
  <c r="O642" i="9"/>
  <c r="P602" i="9"/>
  <c r="O602" i="9"/>
  <c r="O885" i="9"/>
  <c r="P885" i="9"/>
  <c r="O821" i="9"/>
  <c r="O787" i="9"/>
  <c r="P618" i="9"/>
  <c r="O471" i="9"/>
  <c r="P471" i="9"/>
  <c r="O783" i="9"/>
  <c r="O99" i="9"/>
  <c r="P99" i="9"/>
  <c r="O233" i="9"/>
  <c r="O169" i="9"/>
  <c r="P572" i="9"/>
  <c r="O369" i="9"/>
  <c r="O950" i="9"/>
  <c r="O199" i="9"/>
  <c r="P111" i="9"/>
  <c r="O245" i="9"/>
  <c r="O181" i="9"/>
  <c r="O221" i="9"/>
  <c r="O148" i="9"/>
  <c r="O218" i="9"/>
  <c r="O610" i="9"/>
  <c r="O146" i="9"/>
  <c r="O159" i="9"/>
  <c r="O170" i="9"/>
  <c r="P546" i="9"/>
  <c r="P980" i="9"/>
  <c r="P671" i="9"/>
  <c r="O900" i="9"/>
  <c r="P900" i="9"/>
  <c r="P681" i="9"/>
  <c r="O681" i="9"/>
  <c r="O90" i="9"/>
  <c r="P90" i="9"/>
  <c r="P482" i="9"/>
  <c r="O107" i="9"/>
  <c r="P107" i="9"/>
  <c r="O942" i="9"/>
  <c r="P130" i="9"/>
  <c r="O130" i="9"/>
  <c r="O855" i="9"/>
  <c r="O171" i="9"/>
  <c r="O76" i="9"/>
  <c r="P455" i="9"/>
  <c r="O251" i="9"/>
  <c r="P445" i="9"/>
  <c r="P872" i="9"/>
  <c r="P960" i="9"/>
  <c r="O581" i="9"/>
  <c r="P995" i="9"/>
  <c r="P539" i="9"/>
  <c r="O394" i="9"/>
  <c r="O8" i="9"/>
  <c r="P895" i="9"/>
  <c r="O895" i="9"/>
  <c r="P705" i="9"/>
  <c r="P891" i="9"/>
  <c r="O891" i="9"/>
  <c r="P594" i="9"/>
  <c r="O594" i="9"/>
  <c r="O544" i="9"/>
  <c r="P544" i="9"/>
  <c r="O811" i="9"/>
  <c r="O829" i="9"/>
  <c r="P876" i="9"/>
  <c r="O666" i="9"/>
  <c r="O805" i="9"/>
  <c r="O781" i="9"/>
  <c r="O474" i="9"/>
  <c r="P474" i="9"/>
  <c r="P640" i="9"/>
  <c r="O640" i="9"/>
  <c r="O879" i="9"/>
  <c r="O249" i="9"/>
  <c r="O185" i="9"/>
  <c r="P469" i="9"/>
  <c r="O98" i="9"/>
  <c r="P98" i="9"/>
  <c r="P916" i="9"/>
  <c r="O542" i="9"/>
  <c r="O95" i="9"/>
  <c r="P95" i="9"/>
  <c r="P853" i="9"/>
  <c r="P91" i="9"/>
  <c r="P598" i="9"/>
  <c r="O259" i="9"/>
  <c r="O227" i="9"/>
  <c r="O195" i="9"/>
  <c r="O163" i="9"/>
  <c r="P991" i="9"/>
  <c r="P517" i="9"/>
  <c r="P501" i="9"/>
  <c r="O326" i="9"/>
  <c r="P603" i="9"/>
  <c r="P934" i="9"/>
  <c r="O934" i="9"/>
  <c r="O604" i="9"/>
  <c r="P604" i="9"/>
  <c r="P660" i="9"/>
  <c r="O660" i="9"/>
  <c r="P678" i="9"/>
  <c r="P534" i="9"/>
  <c r="O534" i="9"/>
  <c r="O921" i="9"/>
  <c r="O817" i="9"/>
  <c r="P550" i="9"/>
  <c r="O550" i="9"/>
  <c r="P842" i="9"/>
  <c r="O842" i="9"/>
  <c r="O458" i="9"/>
  <c r="P458" i="9"/>
  <c r="P477" i="9"/>
  <c r="O360" i="9"/>
  <c r="O613" i="9"/>
  <c r="O442" i="9"/>
  <c r="P442" i="9"/>
  <c r="O114" i="9"/>
  <c r="P114" i="9"/>
  <c r="O633" i="9"/>
  <c r="P992" i="9"/>
  <c r="O425" i="9"/>
  <c r="P85" i="9"/>
  <c r="P113" i="9"/>
  <c r="O62" i="9"/>
  <c r="P877" i="9"/>
  <c r="O877" i="9"/>
  <c r="P685" i="9"/>
  <c r="O685" i="9"/>
  <c r="O868" i="9"/>
  <c r="P868" i="9"/>
  <c r="O672" i="9"/>
  <c r="P672" i="9"/>
  <c r="P657" i="9"/>
  <c r="O657" i="9"/>
  <c r="P873" i="9"/>
  <c r="P771" i="9"/>
  <c r="O771" i="9"/>
  <c r="P586" i="9"/>
  <c r="O586" i="9"/>
  <c r="O789" i="9"/>
  <c r="P903" i="9"/>
  <c r="O903" i="9"/>
  <c r="P669" i="9"/>
  <c r="P909" i="9"/>
  <c r="O819" i="9"/>
  <c r="P778" i="9"/>
  <c r="O778" i="9"/>
  <c r="O665" i="9"/>
  <c r="P665" i="9"/>
  <c r="O803" i="9"/>
  <c r="P624" i="9"/>
  <c r="O201" i="9"/>
  <c r="P122" i="9"/>
  <c r="O122" i="9"/>
  <c r="O231" i="9"/>
  <c r="O167" i="9"/>
  <c r="O299" i="9"/>
  <c r="O213" i="9"/>
  <c r="O145" i="9"/>
  <c r="O253" i="9"/>
  <c r="O189" i="9"/>
  <c r="O152" i="9"/>
  <c r="P560" i="9"/>
  <c r="O234" i="9"/>
  <c r="O629" i="9"/>
  <c r="O258" i="9"/>
  <c r="O226" i="9"/>
  <c r="O194" i="9"/>
  <c r="O162" i="9"/>
  <c r="O143" i="9"/>
  <c r="K10" i="7"/>
  <c r="P981" i="9"/>
  <c r="O981" i="9"/>
  <c r="O993" i="9"/>
  <c r="O962" i="9"/>
  <c r="P962" i="9"/>
  <c r="P976" i="9"/>
  <c r="O994" i="9"/>
  <c r="O955" i="9"/>
  <c r="P930" i="9"/>
  <c r="O930" i="9"/>
  <c r="P924" i="9"/>
  <c r="O924" i="9"/>
  <c r="P947" i="9"/>
  <c r="O947" i="9"/>
  <c r="P985" i="9"/>
  <c r="O985" i="9"/>
  <c r="P938" i="9"/>
  <c r="O938" i="9"/>
  <c r="P977" i="9"/>
  <c r="O977" i="9"/>
  <c r="O990" i="9"/>
  <c r="P990" i="9"/>
  <c r="O958" i="9"/>
  <c r="P958" i="9"/>
  <c r="P972" i="9"/>
  <c r="P927" i="9"/>
  <c r="O927" i="9"/>
  <c r="O966" i="9"/>
  <c r="P966" i="9"/>
  <c r="P973" i="9"/>
  <c r="O973" i="9"/>
  <c r="P923" i="9"/>
  <c r="O923" i="9"/>
  <c r="F22" i="7"/>
  <c r="E22" i="7"/>
  <c r="E21" i="7"/>
  <c r="E20" i="7"/>
  <c r="E16" i="7"/>
  <c r="D22" i="7"/>
  <c r="D21" i="7"/>
  <c r="D20" i="7"/>
  <c r="F19" i="7"/>
  <c r="E12" i="7"/>
  <c r="E8" i="7"/>
  <c r="F18" i="7"/>
  <c r="F17" i="7"/>
  <c r="F21" i="7"/>
  <c r="D18" i="7"/>
  <c r="D10" i="7"/>
  <c r="E9" i="7"/>
  <c r="E19" i="7"/>
  <c r="D19" i="7"/>
  <c r="F15" i="7"/>
  <c r="F14" i="7"/>
  <c r="D8" i="7"/>
  <c r="E17" i="7"/>
  <c r="D16" i="7"/>
  <c r="D13" i="7"/>
  <c r="D12" i="7"/>
  <c r="E11" i="7"/>
  <c r="F10" i="7"/>
  <c r="F9" i="7"/>
  <c r="F8" i="7"/>
  <c r="F20" i="7"/>
  <c r="D14" i="7"/>
  <c r="E14" i="7"/>
  <c r="D17" i="7"/>
  <c r="D9" i="7"/>
  <c r="E15" i="7"/>
  <c r="F11" i="7"/>
  <c r="E10" i="7"/>
  <c r="B5" i="7"/>
  <c r="E18" i="7"/>
  <c r="D15" i="7"/>
  <c r="F13" i="7"/>
  <c r="F12" i="7"/>
  <c r="D11" i="7"/>
  <c r="E13" i="7"/>
  <c r="F16" i="7"/>
  <c r="O996" i="9"/>
  <c r="P951" i="9"/>
  <c r="O951" i="9"/>
  <c r="C43" i="6"/>
  <c r="E43" i="6" s="1"/>
  <c r="C41" i="6"/>
  <c r="E41" i="6" s="1"/>
  <c r="C38" i="6"/>
  <c r="E38" i="6" s="1"/>
  <c r="I36" i="6"/>
  <c r="C34" i="6"/>
  <c r="E34" i="6" s="1"/>
  <c r="I32" i="6"/>
  <c r="C30" i="6"/>
  <c r="E30" i="6" s="1"/>
  <c r="G23" i="6"/>
  <c r="H20" i="6"/>
  <c r="I17" i="6"/>
  <c r="G15" i="6"/>
  <c r="H12" i="6"/>
  <c r="C39" i="6"/>
  <c r="E39" i="6" s="1"/>
  <c r="C36" i="6"/>
  <c r="E36" i="6" s="1"/>
  <c r="C33" i="6"/>
  <c r="E33" i="6" s="1"/>
  <c r="H21" i="6"/>
  <c r="G17" i="6"/>
  <c r="I16" i="6"/>
  <c r="G13" i="6"/>
  <c r="I12" i="6"/>
  <c r="I38" i="6"/>
  <c r="I35" i="6"/>
  <c r="C31" i="6"/>
  <c r="E31" i="6" s="1"/>
  <c r="C42" i="6"/>
  <c r="E42" i="6" s="1"/>
  <c r="G22" i="6"/>
  <c r="I21" i="6"/>
  <c r="I20" i="6"/>
  <c r="I19" i="6"/>
  <c r="B5" i="8"/>
  <c r="I33" i="6"/>
  <c r="I31" i="6"/>
  <c r="C29" i="6"/>
  <c r="E29" i="6" s="1"/>
  <c r="H13" i="6"/>
  <c r="G12" i="6"/>
  <c r="H11" i="6"/>
  <c r="B7" i="6"/>
  <c r="G11" i="6"/>
  <c r="I30" i="6"/>
  <c r="H19" i="6"/>
  <c r="I10" i="6"/>
  <c r="C40" i="6"/>
  <c r="E40" i="6" s="1"/>
  <c r="I37" i="6"/>
  <c r="C35" i="6"/>
  <c r="E35" i="6" s="1"/>
  <c r="I24" i="6"/>
  <c r="I23" i="6"/>
  <c r="I22" i="6"/>
  <c r="G20" i="6"/>
  <c r="G19" i="6"/>
  <c r="I18" i="6"/>
  <c r="H10" i="6"/>
  <c r="C37" i="6"/>
  <c r="E37" i="6" s="1"/>
  <c r="H24" i="6"/>
  <c r="H23" i="6"/>
  <c r="H22" i="6"/>
  <c r="G21" i="6"/>
  <c r="H18" i="6"/>
  <c r="H17" i="6"/>
  <c r="H16" i="6"/>
  <c r="I15" i="6"/>
  <c r="G10" i="6"/>
  <c r="I39" i="6"/>
  <c r="I34" i="6"/>
  <c r="G24" i="6"/>
  <c r="G18" i="6"/>
  <c r="G16" i="6"/>
  <c r="H15" i="6"/>
  <c r="I14" i="6"/>
  <c r="C32" i="6"/>
  <c r="E32" i="6" s="1"/>
  <c r="I29" i="6"/>
  <c r="H14" i="6"/>
  <c r="G14" i="6"/>
  <c r="I11" i="6"/>
  <c r="I13" i="6"/>
  <c r="P928" i="9"/>
  <c r="O928" i="9"/>
  <c r="P939" i="9"/>
  <c r="O939" i="9"/>
  <c r="P965" i="9"/>
  <c r="O965" i="9"/>
  <c r="O978" i="9"/>
  <c r="P978" i="9"/>
  <c r="P943" i="9"/>
  <c r="O943" i="9"/>
  <c r="P952" i="9"/>
  <c r="O952" i="9"/>
  <c r="O963" i="9"/>
  <c r="P931" i="9"/>
  <c r="O931" i="9"/>
  <c r="O959" i="9"/>
  <c r="O982" i="9"/>
  <c r="P982" i="9"/>
  <c r="P964" i="9"/>
  <c r="P961" i="9"/>
  <c r="O961" i="9"/>
  <c r="O974" i="9"/>
  <c r="P974" i="9"/>
  <c r="O971" i="9"/>
  <c r="P935" i="9"/>
  <c r="O935" i="9"/>
  <c r="P944" i="9"/>
  <c r="O944" i="9"/>
  <c r="O975" i="9"/>
  <c r="O986" i="9"/>
  <c r="P986" i="9"/>
  <c r="P969" i="9"/>
  <c r="O969" i="9"/>
  <c r="O970" i="9"/>
  <c r="P970" i="9"/>
  <c r="P984" i="9"/>
  <c r="O954" i="9"/>
  <c r="P954" i="9"/>
  <c r="P946" i="9"/>
  <c r="O946" i="9"/>
  <c r="P936" i="9"/>
  <c r="O936" i="9"/>
  <c r="O989" i="9"/>
  <c r="D24" i="6"/>
  <c r="E21" i="6"/>
  <c r="F18" i="6"/>
  <c r="D16" i="6"/>
  <c r="E13" i="6"/>
  <c r="F10" i="6"/>
  <c r="B41" i="6"/>
  <c r="D41" i="6" s="1"/>
  <c r="H37" i="6"/>
  <c r="H34" i="6"/>
  <c r="H31" i="6"/>
  <c r="B30" i="6"/>
  <c r="D30" i="6" s="1"/>
  <c r="E22" i="6"/>
  <c r="E18" i="6"/>
  <c r="D14" i="6"/>
  <c r="D10" i="6"/>
  <c r="H32" i="6"/>
  <c r="H29" i="6"/>
  <c r="H39" i="6"/>
  <c r="E24" i="6"/>
  <c r="E23" i="6"/>
  <c r="B39" i="6"/>
  <c r="D39" i="6" s="1"/>
  <c r="B42" i="6"/>
  <c r="D42" i="6" s="1"/>
  <c r="D15" i="6"/>
  <c r="F14" i="6"/>
  <c r="B4" i="8"/>
  <c r="B36" i="6"/>
  <c r="D36" i="6" s="1"/>
  <c r="H33" i="6"/>
  <c r="B31" i="6"/>
  <c r="D31" i="6" s="1"/>
  <c r="B29" i="6"/>
  <c r="D29" i="6" s="1"/>
  <c r="E14" i="6"/>
  <c r="F13" i="6"/>
  <c r="F12" i="6"/>
  <c r="B38" i="6"/>
  <c r="D38" i="6" s="1"/>
  <c r="H35" i="6"/>
  <c r="D13" i="6"/>
  <c r="E12" i="6"/>
  <c r="F11" i="6"/>
  <c r="B33" i="6"/>
  <c r="D33" i="6" s="1"/>
  <c r="H30" i="6"/>
  <c r="D12" i="6"/>
  <c r="E11" i="6"/>
  <c r="B40" i="6"/>
  <c r="D40" i="6" s="1"/>
  <c r="B35" i="6"/>
  <c r="D35" i="6" s="1"/>
  <c r="F20" i="6"/>
  <c r="F19" i="6"/>
  <c r="D11" i="6"/>
  <c r="B37" i="6"/>
  <c r="D37" i="6" s="1"/>
  <c r="F23" i="6"/>
  <c r="F22" i="6"/>
  <c r="F21" i="6"/>
  <c r="E20" i="6"/>
  <c r="E19" i="6"/>
  <c r="F17" i="6"/>
  <c r="E10" i="6"/>
  <c r="B43" i="6"/>
  <c r="D43" i="6" s="1"/>
  <c r="H36" i="6"/>
  <c r="F24" i="6"/>
  <c r="D23" i="6"/>
  <c r="D22" i="6"/>
  <c r="D21" i="6"/>
  <c r="D20" i="6"/>
  <c r="D19" i="6"/>
  <c r="D18" i="6"/>
  <c r="E17" i="6"/>
  <c r="F16" i="6"/>
  <c r="F15" i="6"/>
  <c r="H38" i="6"/>
  <c r="E15" i="6"/>
  <c r="B34" i="6"/>
  <c r="D34" i="6" s="1"/>
  <c r="B32" i="6"/>
  <c r="D32" i="6" s="1"/>
  <c r="D17" i="6"/>
  <c r="E16" i="6"/>
  <c r="G15" i="7" l="1"/>
  <c r="J18" i="6"/>
  <c r="G16" i="7"/>
  <c r="J13" i="6"/>
  <c r="J12" i="6"/>
  <c r="J17" i="6"/>
  <c r="J20" i="6"/>
  <c r="J16" i="6"/>
  <c r="J10" i="6"/>
  <c r="L13" i="6"/>
  <c r="K13" i="6"/>
  <c r="L14" i="6"/>
  <c r="K14" i="6"/>
  <c r="L16" i="6"/>
  <c r="K16" i="6"/>
  <c r="J15" i="6"/>
  <c r="J23" i="6"/>
  <c r="L22" i="6"/>
  <c r="K22" i="6"/>
  <c r="G10" i="7"/>
  <c r="G13" i="7"/>
  <c r="I10" i="7"/>
  <c r="H10" i="7"/>
  <c r="G17" i="7"/>
  <c r="G19" i="7"/>
  <c r="L18" i="6"/>
  <c r="K18" i="6"/>
  <c r="L17" i="6"/>
  <c r="K17" i="6"/>
  <c r="J14" i="6"/>
  <c r="G9" i="7"/>
  <c r="I18" i="7"/>
  <c r="H18" i="7"/>
  <c r="G18" i="7"/>
  <c r="L12" i="6"/>
  <c r="K12" i="6"/>
  <c r="I15" i="7"/>
  <c r="H15" i="7"/>
  <c r="H8" i="7"/>
  <c r="I8" i="7"/>
  <c r="B34" i="8"/>
  <c r="B30" i="8"/>
  <c r="B26" i="8"/>
  <c r="F19" i="8"/>
  <c r="B15" i="8"/>
  <c r="D15" i="8" s="1"/>
  <c r="F11" i="8"/>
  <c r="F20" i="8"/>
  <c r="B16" i="8"/>
  <c r="D16" i="8" s="1"/>
  <c r="F12" i="8"/>
  <c r="B8" i="8"/>
  <c r="D8" i="8" s="1"/>
  <c r="B33" i="8"/>
  <c r="B28" i="8"/>
  <c r="B19" i="8"/>
  <c r="D19" i="8" s="1"/>
  <c r="F17" i="8"/>
  <c r="B13" i="8"/>
  <c r="D13" i="8" s="1"/>
  <c r="B22" i="8"/>
  <c r="D22" i="8" s="1"/>
  <c r="B32" i="8"/>
  <c r="B21" i="8"/>
  <c r="D21" i="8" s="1"/>
  <c r="F22" i="8"/>
  <c r="F18" i="8"/>
  <c r="F16" i="8"/>
  <c r="F14" i="8"/>
  <c r="F10" i="8"/>
  <c r="F8" i="8"/>
  <c r="B29" i="8"/>
  <c r="B14" i="8"/>
  <c r="D14" i="8" s="1"/>
  <c r="B11" i="8"/>
  <c r="D11" i="8" s="1"/>
  <c r="B20" i="8"/>
  <c r="D20" i="8" s="1"/>
  <c r="B17" i="8"/>
  <c r="D17" i="8" s="1"/>
  <c r="F13" i="8"/>
  <c r="B27" i="8"/>
  <c r="B10" i="8"/>
  <c r="D10" i="8" s="1"/>
  <c r="B12" i="8"/>
  <c r="D12" i="8" s="1"/>
  <c r="B36" i="8"/>
  <c r="F15" i="8"/>
  <c r="F21" i="8"/>
  <c r="B35" i="8"/>
  <c r="B31" i="8"/>
  <c r="B18" i="8"/>
  <c r="D18" i="8" s="1"/>
  <c r="F9" i="8"/>
  <c r="B9" i="8"/>
  <c r="D9" i="8" s="1"/>
  <c r="L24" i="6"/>
  <c r="K24" i="6"/>
  <c r="L21" i="6"/>
  <c r="K21" i="6"/>
  <c r="K15" i="6"/>
  <c r="L15" i="6"/>
  <c r="H17" i="7"/>
  <c r="I17" i="7"/>
  <c r="H9" i="7"/>
  <c r="I9" i="7"/>
  <c r="K11" i="6"/>
  <c r="L11" i="6"/>
  <c r="I12" i="7"/>
  <c r="H12" i="7"/>
  <c r="I19" i="7"/>
  <c r="H19" i="7"/>
  <c r="I20" i="7"/>
  <c r="H20" i="7"/>
  <c r="K19" i="6"/>
  <c r="L19" i="6"/>
  <c r="J19" i="6"/>
  <c r="G20" i="8"/>
  <c r="C16" i="8"/>
  <c r="E16" i="8" s="1"/>
  <c r="G12" i="8"/>
  <c r="C8" i="8"/>
  <c r="E8" i="8" s="1"/>
  <c r="C33" i="8"/>
  <c r="C29" i="8"/>
  <c r="G21" i="8"/>
  <c r="C17" i="8"/>
  <c r="E17" i="8" s="1"/>
  <c r="G13" i="8"/>
  <c r="C9" i="8"/>
  <c r="E9" i="8" s="1"/>
  <c r="C22" i="8"/>
  <c r="E22" i="8" s="1"/>
  <c r="C32" i="8"/>
  <c r="C27" i="8"/>
  <c r="G15" i="8"/>
  <c r="C11" i="8"/>
  <c r="E11" i="8" s="1"/>
  <c r="G9" i="8"/>
  <c r="C34" i="8"/>
  <c r="C26" i="8"/>
  <c r="C21" i="8"/>
  <c r="E21" i="8" s="1"/>
  <c r="C19" i="8"/>
  <c r="E19" i="8" s="1"/>
  <c r="C15" i="8"/>
  <c r="E15" i="8" s="1"/>
  <c r="C13" i="8"/>
  <c r="E13" i="8" s="1"/>
  <c r="G22" i="8"/>
  <c r="G18" i="8"/>
  <c r="G16" i="8"/>
  <c r="G14" i="8"/>
  <c r="G10" i="8"/>
  <c r="G8" i="8"/>
  <c r="C31" i="8"/>
  <c r="C20" i="8"/>
  <c r="E20" i="8" s="1"/>
  <c r="G17" i="8"/>
  <c r="C28" i="8"/>
  <c r="C10" i="8"/>
  <c r="E10" i="8" s="1"/>
  <c r="C36" i="8"/>
  <c r="G11" i="8"/>
  <c r="C14" i="8"/>
  <c r="E14" i="8" s="1"/>
  <c r="G19" i="8"/>
  <c r="C35" i="8"/>
  <c r="C12" i="8"/>
  <c r="E12" i="8" s="1"/>
  <c r="C18" i="8"/>
  <c r="E18" i="8" s="1"/>
  <c r="C30" i="8"/>
  <c r="J24" i="6"/>
  <c r="I11" i="7"/>
  <c r="H11" i="7"/>
  <c r="G12" i="7"/>
  <c r="G21" i="7"/>
  <c r="I13" i="7"/>
  <c r="H13" i="7"/>
  <c r="G14" i="7"/>
  <c r="I21" i="7"/>
  <c r="H21" i="7"/>
  <c r="K10" i="6"/>
  <c r="L10" i="6"/>
  <c r="L20" i="6"/>
  <c r="K20" i="6"/>
  <c r="J11" i="6"/>
  <c r="J22" i="6"/>
  <c r="I14" i="7"/>
  <c r="H14" i="7"/>
  <c r="I16" i="7"/>
  <c r="H16" i="7"/>
  <c r="H22" i="7"/>
  <c r="I22" i="7"/>
  <c r="G22" i="7"/>
  <c r="J21" i="6"/>
  <c r="L23" i="6"/>
  <c r="K23" i="6"/>
  <c r="G20" i="7"/>
  <c r="G8" i="7"/>
  <c r="G11" i="7"/>
  <c r="H12" i="8" l="1"/>
  <c r="H10" i="8"/>
  <c r="H18" i="8"/>
  <c r="H9" i="8"/>
  <c r="H22" i="8"/>
  <c r="H16" i="8"/>
  <c r="H13" i="8"/>
  <c r="H17" i="8"/>
  <c r="H19" i="8"/>
  <c r="H15" i="8"/>
  <c r="H20" i="8"/>
  <c r="H11" i="8"/>
  <c r="H14" i="8"/>
  <c r="H21" i="8"/>
  <c r="H8" i="8"/>
</calcChain>
</file>

<file path=xl/sharedStrings.xml><?xml version="1.0" encoding="utf-8"?>
<sst xmlns="http://schemas.openxmlformats.org/spreadsheetml/2006/main" count="1208" uniqueCount="410">
  <si>
    <t>Cluster Master Register</t>
  </si>
  <si>
    <t>Reference data used for package/cluster selection and automatic population of contractor and leadership accountability details.</t>
  </si>
  <si>
    <t>Package</t>
  </si>
  <si>
    <t>Cluster</t>
  </si>
  <si>
    <t>Contractor</t>
  </si>
  <si>
    <t>Project Director (PD)</t>
  </si>
  <si>
    <t>Project Manager (PM)</t>
  </si>
  <si>
    <t>Construction Manager (CM)</t>
  </si>
  <si>
    <t>HSE Manager (HSEM)</t>
  </si>
  <si>
    <t>Section Engineer (SE)</t>
  </si>
  <si>
    <t>Cluster 7A</t>
  </si>
  <si>
    <t>TAJV</t>
  </si>
  <si>
    <t>Hicham Adel Narch</t>
  </si>
  <si>
    <t>Ghaidh Alfaour</t>
  </si>
  <si>
    <t>George Deeb</t>
  </si>
  <si>
    <t>Timur</t>
  </si>
  <si>
    <t>Liqat</t>
  </si>
  <si>
    <t>Cluster 7B</t>
  </si>
  <si>
    <t>Eyad</t>
  </si>
  <si>
    <t>Cluster 8A</t>
  </si>
  <si>
    <t>Ahmad Adel</t>
  </si>
  <si>
    <t>Cluster 8B</t>
  </si>
  <si>
    <t>Cluster 8C</t>
  </si>
  <si>
    <t>Cluster 8D</t>
  </si>
  <si>
    <t>Cluster 3</t>
  </si>
  <si>
    <t>INNOVO</t>
  </si>
  <si>
    <t>Kahtan Tikriti</t>
  </si>
  <si>
    <t>Aiman Abdullah</t>
  </si>
  <si>
    <t>Salama Al Samdy</t>
  </si>
  <si>
    <t>Mazen Al Atwani</t>
  </si>
  <si>
    <t>Cluster 4</t>
  </si>
  <si>
    <t>Baha Basheer</t>
  </si>
  <si>
    <t>Cluster 5</t>
  </si>
  <si>
    <t>Michael Ghali</t>
  </si>
  <si>
    <t>Robair Louies</t>
  </si>
  <si>
    <t>Cluster 6</t>
  </si>
  <si>
    <t>Remon Karas</t>
  </si>
  <si>
    <t>Cluster 1A</t>
  </si>
  <si>
    <t>Alaa Hegab</t>
  </si>
  <si>
    <t>Timur Terakopov</t>
  </si>
  <si>
    <t>Amr Taha</t>
  </si>
  <si>
    <t>Cluster 1B</t>
  </si>
  <si>
    <t>Hossam Ali Maher</t>
  </si>
  <si>
    <t>Md Ramadan / Osama Said</t>
  </si>
  <si>
    <t>Cluster 2A</t>
  </si>
  <si>
    <t>Ahmed Salah Hassan Dewidar</t>
  </si>
  <si>
    <t>Rami Issa</t>
  </si>
  <si>
    <t>Cluster 2B</t>
  </si>
  <si>
    <t>Cluster 2C</t>
  </si>
  <si>
    <t>Salah Nayef</t>
  </si>
  <si>
    <t>Lookup Lists</t>
  </si>
  <si>
    <t>Score_List</t>
  </si>
  <si>
    <t>Lists used for dropdowns in the Weekly_Inspections and CAPA_Tracker sheets.</t>
  </si>
  <si>
    <t>Package_List</t>
  </si>
  <si>
    <t>Cluster_List</t>
  </si>
  <si>
    <t>Evaluator_Role_List</t>
  </si>
  <si>
    <t>High_Risk_Activity_List</t>
  </si>
  <si>
    <t>Yes_No_List</t>
  </si>
  <si>
    <t>Root_Cause_List</t>
  </si>
  <si>
    <t>Status_List</t>
  </si>
  <si>
    <t>KPI_List</t>
  </si>
  <si>
    <t>Project Director</t>
  </si>
  <si>
    <t>Work at Height</t>
  </si>
  <si>
    <t>YES</t>
  </si>
  <si>
    <t>Leadership failure</t>
  </si>
  <si>
    <t>Open</t>
  </si>
  <si>
    <t>Work at Height Control</t>
  </si>
  <si>
    <t>Project Manager</t>
  </si>
  <si>
    <t>Edge Protection</t>
  </si>
  <si>
    <t>NO</t>
  </si>
  <si>
    <t>Poor supervision</t>
  </si>
  <si>
    <t>In Progress</t>
  </si>
  <si>
    <t>Construction Manager</t>
  </si>
  <si>
    <t>Falling Objects</t>
  </si>
  <si>
    <t>Poor planning</t>
  </si>
  <si>
    <t>Closed</t>
  </si>
  <si>
    <t>Falling Object Prevention</t>
  </si>
  <si>
    <t>HSE Manager</t>
  </si>
  <si>
    <t>Excavation</t>
  </si>
  <si>
    <t>PTW failure</t>
  </si>
  <si>
    <t>On Hold</t>
  </si>
  <si>
    <t>Excavation Safety</t>
  </si>
  <si>
    <t>Section Engineer</t>
  </si>
  <si>
    <t>Scaffolding</t>
  </si>
  <si>
    <t>Weak MSRA</t>
  </si>
  <si>
    <t>Scaffolding Compliance</t>
  </si>
  <si>
    <t>QA/QC</t>
  </si>
  <si>
    <t>Permit to Work</t>
  </si>
  <si>
    <t>Poor subcontractor control</t>
  </si>
  <si>
    <t>PTW Implementation</t>
  </si>
  <si>
    <t>MSRA / Risk Assessment</t>
  </si>
  <si>
    <t>Resource constraint</t>
  </si>
  <si>
    <t>PTW Field Verification</t>
  </si>
  <si>
    <t>Client</t>
  </si>
  <si>
    <t>Lifting Operations</t>
  </si>
  <si>
    <t>Inadequate competence</t>
  </si>
  <si>
    <t>MSRA Quality</t>
  </si>
  <si>
    <t>Other</t>
  </si>
  <si>
    <t>Traffic Management</t>
  </si>
  <si>
    <t>Poor housekeeping culture</t>
  </si>
  <si>
    <t>Housekeeping</t>
  </si>
  <si>
    <t>Interface / simultaneous activity conflict</t>
  </si>
  <si>
    <t>Traffic &amp; Man-Machine Interface</t>
  </si>
  <si>
    <t>Waste Management</t>
  </si>
  <si>
    <t>Housekeeping Standard</t>
  </si>
  <si>
    <t>Fire Readiness</t>
  </si>
  <si>
    <t>Electrical Safety</t>
  </si>
  <si>
    <t>Portable Power Tools</t>
  </si>
  <si>
    <t>Supervision &amp; Subcontractor Control</t>
  </si>
  <si>
    <t>Heat Stress</t>
  </si>
  <si>
    <t>Temporary Electrical &amp; Tool Safety</t>
  </si>
  <si>
    <t>KPI Weights and Gate Rules</t>
  </si>
  <si>
    <t>Weights sum to 100%. Critical gate KPIs trigger a red flag if scored 0 or 1 in any inspection.</t>
  </si>
  <si>
    <t>KPI</t>
  </si>
  <si>
    <t>Weight</t>
  </si>
  <si>
    <t>Critical Gate KPI?</t>
  </si>
  <si>
    <t>Notes</t>
  </si>
  <si>
    <t>Primary fall prevention and work at height control</t>
  </si>
  <si>
    <t>Continuity and quality of edge protection</t>
  </si>
  <si>
    <t>Exclusion zones, toe boards, debris/tool control</t>
  </si>
  <si>
    <t>Barricading, access, services, support, spoil setback</t>
  </si>
  <si>
    <t>Tagging, inspection, full planking, access, stability</t>
  </si>
  <si>
    <t>Valid PTW, correct scope, signatories, controls</t>
  </si>
  <si>
    <t>Physical field verification before permit approval</t>
  </si>
  <si>
    <t>Task-specific risk assessment and understanding</t>
  </si>
  <si>
    <t>Lift plan, appointed person, exclusion, rigging</t>
  </si>
  <si>
    <t>Pedestrian segregation, routes, signage, reversing</t>
  </si>
  <si>
    <t>Cleanliness, stacking, access routes, slip/trip control</t>
  </si>
  <si>
    <t>Segregation, storage, transfer/disposal control</t>
  </si>
  <si>
    <t>Fire points, extinguishers, hot work readiness</t>
  </si>
  <si>
    <t>Visible supervision and subcontractor control</t>
  </si>
  <si>
    <t>Temporary power, RCD, condition of tools/cables</t>
  </si>
  <si>
    <t>Total</t>
  </si>
  <si>
    <t>Weekly Inspection Entry Sheet - Google Form Ready</t>
  </si>
  <si>
    <t>Complete only visible fields. Use the 0-5 dropdown for each KPI. Package and Cluster auto-fill contractor leadership and the dashboard updates automatically.</t>
  </si>
  <si>
    <t>Inspection_ID</t>
  </si>
  <si>
    <t>Inspection_Date</t>
  </si>
  <si>
    <t>Week_No</t>
  </si>
  <si>
    <t>Month</t>
  </si>
  <si>
    <t>Package_Cluster_Check</t>
  </si>
  <si>
    <t>Your_Name</t>
  </si>
  <si>
    <t>Your_Role</t>
  </si>
  <si>
    <t>Area_or_Villa</t>
  </si>
  <si>
    <t>Workers_Observed</t>
  </si>
  <si>
    <t>Main_High_Risk_Activity</t>
  </si>
  <si>
    <t>Stop_Work</t>
  </si>
  <si>
    <t>Work_at_Height</t>
  </si>
  <si>
    <t>Edge_Protection</t>
  </si>
  <si>
    <t>Falling_Object_Prevention</t>
  </si>
  <si>
    <t>Excavation_Safety</t>
  </si>
  <si>
    <t>Scaffolding_Compliance</t>
  </si>
  <si>
    <t>PTW_Implementation</t>
  </si>
  <si>
    <t>PTW_Field_Verification</t>
  </si>
  <si>
    <t>MSRA_Quality</t>
  </si>
  <si>
    <t>Traffic_Interface</t>
  </si>
  <si>
    <t>Fire_Readiness</t>
  </si>
  <si>
    <t>Supervision_Subcontractor</t>
  </si>
  <si>
    <t>Electrical_Tool_Safety</t>
  </si>
  <si>
    <t>Total_Score</t>
  </si>
  <si>
    <t>Raw_Score_%</t>
  </si>
  <si>
    <t>Weighted_Score_%</t>
  </si>
  <si>
    <t>Critical_Red_Flag</t>
  </si>
  <si>
    <t>Award_Eligible</t>
  </si>
  <si>
    <t>Rating_Band</t>
  </si>
  <si>
    <t>Repeat_Issue_Seen</t>
  </si>
  <si>
    <t>Likely_Root_Cause</t>
  </si>
  <si>
    <t>Top_3_Gaps_Observed</t>
  </si>
  <si>
    <t>Immediate_Action_Taken</t>
  </si>
  <si>
    <t>Preventive_Action_Required</t>
  </si>
  <si>
    <t>Positive_Observations</t>
  </si>
  <si>
    <t>Action_Owner</t>
  </si>
  <si>
    <t>Target_Closeout_Date</t>
  </si>
  <si>
    <t>Evidence_Link_or_Photo</t>
  </si>
  <si>
    <t>KPI_for_PD_Attention</t>
  </si>
  <si>
    <t>KPI_for_PM_Attention</t>
  </si>
  <si>
    <t>KPI_for_CM_Attention</t>
  </si>
  <si>
    <t>KPI_for_HSEM_Followup</t>
  </si>
  <si>
    <t>KPI_for_SE_Supervision</t>
  </si>
  <si>
    <t>Leadership_Visible_Effective</t>
  </si>
  <si>
    <t>Unsafe_Work_Corrected_Immediately</t>
  </si>
  <si>
    <t>Best_Improved_Cluster_this_Week</t>
  </si>
  <si>
    <t>Cluster_Needing_Immediate_Intervention</t>
  </si>
  <si>
    <t>Weekly Dashboard</t>
  </si>
  <si>
    <t>Set the control week and month in blue-font cells. This sheet summarizes weekly and current month performance by cluster and highlights weak KPIs / root causes.</t>
  </si>
  <si>
    <t>Control inputs</t>
  </si>
  <si>
    <t>Selected Week No</t>
  </si>
  <si>
    <t>Selected Month (yyyy-mm)</t>
  </si>
  <si>
    <t>Previous Month (yyyy-mm)</t>
  </si>
  <si>
    <t>Week Avg Raw %</t>
  </si>
  <si>
    <t>Week Avg Weighted %</t>
  </si>
  <si>
    <t>Week Red Flags</t>
  </si>
  <si>
    <t>Month Avg Raw %</t>
  </si>
  <si>
    <t>Month Avg Weighted %</t>
  </si>
  <si>
    <t>Month Red Flags</t>
  </si>
  <si>
    <t>Month Improvement</t>
  </si>
  <si>
    <t>Award Eligible</t>
  </si>
  <si>
    <t>Rank</t>
  </si>
  <si>
    <t>KPI performance snapshot</t>
  </si>
  <si>
    <t>Selected Week Avg Score</t>
  </si>
  <si>
    <t>Selected Month Avg Score</t>
  </si>
  <si>
    <t>Gap to 5 (Week)</t>
  </si>
  <si>
    <t>Gap to 5 (Month)</t>
  </si>
  <si>
    <t>Root Cause</t>
  </si>
  <si>
    <t>Selected Week Count</t>
  </si>
  <si>
    <t>Selected Month Count</t>
  </si>
  <si>
    <t>Monthly Dashboard</t>
  </si>
  <si>
    <t>Set the selected month and previous month in blue-font cells. Use this view for monthly recognition and improvement review.</t>
  </si>
  <si>
    <t>Red Flags</t>
  </si>
  <si>
    <t>Improvement vs Prev Month</t>
  </si>
  <si>
    <t>Open Actions</t>
  </si>
  <si>
    <t>Overdue Actions</t>
  </si>
  <si>
    <t>Gap Analysis</t>
  </si>
  <si>
    <t>Use the control week and month to identify recurring gaps, weak KPIs and likely root causes. This supports weekly corrective and preventive action planning.</t>
  </si>
  <si>
    <t>Week Avg Score</t>
  </si>
  <si>
    <t>Month Avg Score</t>
  </si>
  <si>
    <t>Week Gap to 5</t>
  </si>
  <si>
    <t>Month Gap to 5</t>
  </si>
  <si>
    <t>Focus</t>
  </si>
  <si>
    <t>Week Count</t>
  </si>
  <si>
    <t>Month Count</t>
  </si>
  <si>
    <t>Comment</t>
  </si>
  <si>
    <t>Corrective and Preventive Action (CAPA) Tracker</t>
  </si>
  <si>
    <t>Automated from Weekly_Inspections. Each inspection row with a recorded gap/action appears here automatically. Close Date can be updated manually if you want to mark an action closed.</t>
  </si>
  <si>
    <t>Action_ID</t>
  </si>
  <si>
    <t>Date_Raised</t>
  </si>
  <si>
    <t>KPI_Area</t>
  </si>
  <si>
    <t>Finding</t>
  </si>
  <si>
    <t>Root_Cause</t>
  </si>
  <si>
    <t>Immediate_Action</t>
  </si>
  <si>
    <t>Preventive_Action</t>
  </si>
  <si>
    <t>Target_Date</t>
  </si>
  <si>
    <t>Status</t>
  </si>
  <si>
    <t>Close_Date</t>
  </si>
  <si>
    <t>Days_Open</t>
  </si>
  <si>
    <t>Overdue_Flag</t>
  </si>
  <si>
    <t>Evidence_Link</t>
  </si>
  <si>
    <t>Mohamed Salama</t>
  </si>
  <si>
    <t>Godwin</t>
  </si>
  <si>
    <t>Villa 8 to 16</t>
  </si>
  <si>
    <t>1. Leadership failure
2. Poor supervision
3. Poor sub-contractor control
4. PTW failure</t>
  </si>
  <si>
    <t>Unsafe work practices were suspended immediately. The CM of the cluster was called but he refused to visit the location.</t>
  </si>
  <si>
    <t>1. PTW must be controlled by the main contractor.
2. Close supervision of sub-contractors by main contractor shall be ensured.
3. Non-performing subcontractors shall not be paid and shall be removed from project.
4. Non-performing construction team shall be replaced without delays</t>
  </si>
  <si>
    <t>1-3rd recommendation by the cluster CM
4th recommendation by the PD.</t>
  </si>
  <si>
    <t xml:space="preserve">General </t>
  </si>
  <si>
    <t>No significant gap observed</t>
  </si>
  <si>
    <t>The team was commended for their visible leadership in driving transformation at Cluster 8A.</t>
  </si>
  <si>
    <t>The Construction Manager and his team were advised to ensure that sub-contractors do not mess up with their site. The following advise was given:
1. No payment for work if site condition is below the acceptable standard.
2. Close supervision of sub-contractors by the construction team of the main contractor.
3. Housekeeping shall be maintined for all shift.
4. Provide a temporary storage area for waste for each villa.
5. PTW shall remain under the control of the main contractor.</t>
  </si>
  <si>
    <t>Construction Manager of Cluster 8A 
HSE Manager of TAJV</t>
  </si>
  <si>
    <t>Always</t>
  </si>
  <si>
    <t>Lifting/Precast Installation</t>
  </si>
  <si>
    <t>Welfare Arrangement</t>
  </si>
  <si>
    <t>Housekeeping/Waste Management</t>
  </si>
  <si>
    <t>Shinoj</t>
  </si>
  <si>
    <t>KEO</t>
  </si>
  <si>
    <t>Block work</t>
  </si>
  <si>
    <t>sretybhy</t>
  </si>
  <si>
    <t>hfidjdgkjdfkdfgb</t>
  </si>
  <si>
    <t>Javed</t>
  </si>
  <si>
    <t>Tuesday = Package 3 only | Thursday = Package 2 &amp; 4 only | Other days = mixed packages</t>
  </si>
  <si>
    <t>Cluster HSE Attended</t>
  </si>
  <si>
    <t>Cluster Engineers + Supervision team attended</t>
  </si>
  <si>
    <t>Cluster CM Attended</t>
  </si>
  <si>
    <t>10-11 | G3 | Cluster 1B</t>
  </si>
  <si>
    <t>10-11 | G3 | Cluster 2A</t>
  </si>
  <si>
    <t>10-11 | G3 | Cluster 3</t>
  </si>
  <si>
    <t>10-11 | G3 | Cluster 2C</t>
  </si>
  <si>
    <t>10-11 | G2 | Cluster 1A</t>
  </si>
  <si>
    <t>10-11 | G2 | Cluster 1B</t>
  </si>
  <si>
    <t>10-11 | G2 | Cluster 6</t>
  </si>
  <si>
    <t>10-11 | G2 | Cluster 2B</t>
  </si>
  <si>
    <t>10-11 | G1 | Cluster 2C</t>
  </si>
  <si>
    <t>10-11 | G1 | Cluster 6</t>
  </si>
  <si>
    <t>10-11 | G1 | Cluster 5</t>
  </si>
  <si>
    <t>10-11 | G1 | Cluster 3</t>
  </si>
  <si>
    <t>09-10 | G3 | Cluster 7A</t>
  </si>
  <si>
    <t>09-10 | G3 | Cluster 5</t>
  </si>
  <si>
    <t>09-10 | G3 | Cluster 4</t>
  </si>
  <si>
    <t>09-10 | G3 | Cluster 6</t>
  </si>
  <si>
    <t>09-10 | G2 | Cluster 8D</t>
  </si>
  <si>
    <t>09-10 | G2 | Cluster 7B</t>
  </si>
  <si>
    <t>09-10 | G2 | Cluster 3</t>
  </si>
  <si>
    <t>09-10 | G2 | Cluster 8C</t>
  </si>
  <si>
    <t>09-10 | G1 | Cluster 8C</t>
  </si>
  <si>
    <t>09-10 | G1 | Cluster 7A</t>
  </si>
  <si>
    <t>09-10 | G1 | Cluster 6</t>
  </si>
  <si>
    <t>09-10 | G1 | Cluster 8B</t>
  </si>
  <si>
    <t>30 Apr 2026</t>
  </si>
  <si>
    <t>29 Apr 2026</t>
  </si>
  <si>
    <t>28 Apr 2026</t>
  </si>
  <si>
    <t>27 Apr 2026</t>
  </si>
  <si>
    <t>10-11 | G3 | Cluster 1A</t>
  </si>
  <si>
    <t>10-11 | G3 | Cluster 2B</t>
  </si>
  <si>
    <t>10-11 | G3 | Cluster 6</t>
  </si>
  <si>
    <t>10-11 | G2 | Cluster 2C</t>
  </si>
  <si>
    <t>10-11 | G2 | Cluster 2A</t>
  </si>
  <si>
    <t>10-11 | G2 | Cluster 5</t>
  </si>
  <si>
    <t>10-11 | G1 | Cluster 2B</t>
  </si>
  <si>
    <t>10-11 | G1 | Cluster 4</t>
  </si>
  <si>
    <t>09-10 | G3 | Cluster 8D</t>
  </si>
  <si>
    <t>09-10 | G3 | Cluster 3</t>
  </si>
  <si>
    <t>09-10 | G2 | Cluster 8A</t>
  </si>
  <si>
    <t>09-10 | G2 | Cluster 7A</t>
  </si>
  <si>
    <t>09-10 | G2 | Cluster 6</t>
  </si>
  <si>
    <t>09-10 | G2 | Cluster 8B</t>
  </si>
  <si>
    <t>09-10 | G1 | Cluster 7B</t>
  </si>
  <si>
    <t>09-10 | G1 | Cluster 8D</t>
  </si>
  <si>
    <t>09-10 | G1 | Cluster 5</t>
  </si>
  <si>
    <t>09-10 | G1 | Cluster 8A</t>
  </si>
  <si>
    <t>25 Apr 2026</t>
  </si>
  <si>
    <t>24 Apr 2026</t>
  </si>
  <si>
    <t>23 Apr 2026</t>
  </si>
  <si>
    <t>22 Apr 2026</t>
  </si>
  <si>
    <t>21 Apr 2026</t>
  </si>
  <si>
    <t>20 Apr 2026</t>
  </si>
  <si>
    <t>10-11 | G3 | Cluster 5</t>
  </si>
  <si>
    <t>10-11 | G2 | Cluster 4</t>
  </si>
  <si>
    <t>10-11 | G1 | Cluster 2A</t>
  </si>
  <si>
    <t>09-10 | G3 | Cluster 8C</t>
  </si>
  <si>
    <t>09-10 | G2 | Cluster 5</t>
  </si>
  <si>
    <t>09-10 | G1 | Cluster 4</t>
  </si>
  <si>
    <t>18 Apr 2026</t>
  </si>
  <si>
    <t>17 Apr 2026</t>
  </si>
  <si>
    <t>16 Apr 2026</t>
  </si>
  <si>
    <t>15 Apr 2026</t>
  </si>
  <si>
    <t>14 Apr 2026</t>
  </si>
  <si>
    <t>13 Apr 2026</t>
  </si>
  <si>
    <t>10-11 | G3 | Cluster 4</t>
  </si>
  <si>
    <t>10-11 | G2 | Cluster 3</t>
  </si>
  <si>
    <t>10-11 | G1 | Cluster 1B</t>
  </si>
  <si>
    <t>09-10 | G3 | Cluster 8B</t>
  </si>
  <si>
    <t>09-10 | G2 | Cluster 4</t>
  </si>
  <si>
    <t>09-10 | G1 | Cluster 3</t>
  </si>
  <si>
    <t>11 Apr 2026</t>
  </si>
  <si>
    <t>10 Apr 2026</t>
  </si>
  <si>
    <t>09 Apr 2026</t>
  </si>
  <si>
    <t>08 Apr 2026</t>
  </si>
  <si>
    <t>07 Apr 2026</t>
  </si>
  <si>
    <t>06 Apr 2026</t>
  </si>
  <si>
    <t>10-11 | G1 | Cluster 1A</t>
  </si>
  <si>
    <t>09-10 | G3 | Cluster 8A</t>
  </si>
  <si>
    <t>04 Apr 2026</t>
  </si>
  <si>
    <t>03 Apr 2026</t>
  </si>
  <si>
    <t>02 Apr 2026</t>
  </si>
  <si>
    <t>01 Apr 2026</t>
  </si>
  <si>
    <t>Attendance / Status</t>
  </si>
  <si>
    <t>Saturday</t>
  </si>
  <si>
    <t>Friday</t>
  </si>
  <si>
    <t>Thursday</t>
  </si>
  <si>
    <t>Wednesday</t>
  </si>
  <si>
    <t>Tuesday</t>
  </si>
  <si>
    <t>Monday</t>
  </si>
  <si>
    <t>April 2026 | 09:00-11:00 | 3 Simultaneous Site Walk Groups</t>
  </si>
  <si>
    <t>30 May 2026</t>
  </si>
  <si>
    <t>29 May 2026</t>
  </si>
  <si>
    <t>28 May 2026</t>
  </si>
  <si>
    <t>27 May 2026</t>
  </si>
  <si>
    <t>26 May 2026</t>
  </si>
  <si>
    <t>25 May 2026</t>
  </si>
  <si>
    <t>23 May 2026</t>
  </si>
  <si>
    <t>22 May 2026</t>
  </si>
  <si>
    <t>21 May 2026</t>
  </si>
  <si>
    <t>20 May 2026</t>
  </si>
  <si>
    <t>19 May 2026</t>
  </si>
  <si>
    <t>18 May 2026</t>
  </si>
  <si>
    <t>16 May 2026</t>
  </si>
  <si>
    <t>15 May 2026</t>
  </si>
  <si>
    <t>14 May 2026</t>
  </si>
  <si>
    <t>13 May 2026</t>
  </si>
  <si>
    <t>12 May 2026</t>
  </si>
  <si>
    <t>11 May 2026</t>
  </si>
  <si>
    <t>09-10 | G3 | Cluster 7B</t>
  </si>
  <si>
    <t>09 May 2026</t>
  </si>
  <si>
    <t>08 May 2026</t>
  </si>
  <si>
    <t>07 May 2026</t>
  </si>
  <si>
    <t>06 May 2026</t>
  </si>
  <si>
    <t>05 May 2026</t>
  </si>
  <si>
    <t>04 May 2026</t>
  </si>
  <si>
    <t>02 May 2026</t>
  </si>
  <si>
    <t>01 May 2026</t>
  </si>
  <si>
    <t>May 2026 | 09:00-11:00 | 3 Simultaneous Site Walk Groups</t>
  </si>
  <si>
    <t>30 Jun 2026</t>
  </si>
  <si>
    <t>29 Jun 2026</t>
  </si>
  <si>
    <t>27 Jun 2026</t>
  </si>
  <si>
    <t>26 Jun 2026</t>
  </si>
  <si>
    <t>25 Jun 2026</t>
  </si>
  <si>
    <t>24 Jun 2026</t>
  </si>
  <si>
    <t>23 Jun 2026</t>
  </si>
  <si>
    <t>22 Jun 2026</t>
  </si>
  <si>
    <t>20 Jun 2026</t>
  </si>
  <si>
    <t>19 Jun 2026</t>
  </si>
  <si>
    <t>18 Jun 2026</t>
  </si>
  <si>
    <t>17 Jun 2026</t>
  </si>
  <si>
    <t>16 Jun 2026</t>
  </si>
  <si>
    <t>15 Jun 2026</t>
  </si>
  <si>
    <t>13 Jun 2026</t>
  </si>
  <si>
    <t>12 Jun 2026</t>
  </si>
  <si>
    <t>11 Jun 2026</t>
  </si>
  <si>
    <t>10 Jun 2026</t>
  </si>
  <si>
    <t>09 Jun 2026</t>
  </si>
  <si>
    <t>08 Jun 2026</t>
  </si>
  <si>
    <t>06 Jun 2026</t>
  </si>
  <si>
    <t>05 Jun 2026</t>
  </si>
  <si>
    <t>04 Jun 2026</t>
  </si>
  <si>
    <t>03 Jun 2026</t>
  </si>
  <si>
    <t>02 Jun 2026</t>
  </si>
  <si>
    <t>01 Jun 2026</t>
  </si>
  <si>
    <t>June 2026 | 09:00-11:00 | 3 Simultaneous Site Walk Groups</t>
  </si>
  <si>
    <t>Waste_Management</t>
  </si>
  <si>
    <t>Housekeeping_Standard</t>
  </si>
  <si>
    <t>Lifting_Operations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</si>
</sst>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18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name val="Cambria"/>
      <family val="1"/>
    </font>
    <font>
      <b/>
      <sz val="10"/>
      <color rgb="FFFFFFFF"/>
      <name val="Calibri"/>
      <family val="2"/>
    </font>
    <font>
      <b/>
      <sz val="11"/>
      <color rgb="FFFFFFFF"/>
      <name val="Cambria"/>
      <family val="1"/>
    </font>
    <font>
      <i/>
      <sz val="11"/>
      <color rgb="FF40404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  <charset val="1"/>
    </font>
    <font>
      <b/>
      <sz val="14"/>
      <name val="Cambria"/>
      <family val="1"/>
    </font>
    <font>
      <i/>
      <sz val="11"/>
      <color rgb="FF666666"/>
      <name val="Cambria"/>
      <family val="1"/>
    </font>
    <font>
      <sz val="10"/>
      <color rgb="FF0000FF"/>
      <name val="Calibri"/>
      <family val="2"/>
    </font>
    <font>
      <i/>
      <sz val="11"/>
      <color rgb="FFFFFFFF"/>
      <name val="Calibri"/>
      <family val="2"/>
    </font>
    <font>
      <b/>
      <sz val="10"/>
      <color rgb="FF1F1F1F"/>
      <name val="Calibri"/>
      <family val="2"/>
    </font>
    <font>
      <b/>
      <sz val="11"/>
      <color rgb="FF7F7F7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DEBF7"/>
      </patternFill>
    </fill>
    <fill>
      <patternFill patternType="solid">
        <fgColor rgb="FFDDEBF7"/>
        <bgColor rgb="FFD9EAF7"/>
      </patternFill>
    </fill>
    <fill>
      <patternFill patternType="solid">
        <fgColor rgb="FFEDF3F8"/>
        <bgColor rgb="FFEAF3FF"/>
      </patternFill>
    </fill>
    <fill>
      <patternFill patternType="solid">
        <fgColor rgb="FFE7E6E6"/>
        <bgColor rgb="FFDDEBF7"/>
      </patternFill>
    </fill>
    <fill>
      <patternFill patternType="solid">
        <fgColor rgb="FFF2F2F2"/>
        <bgColor rgb="FFF3F3F3"/>
      </patternFill>
    </fill>
    <fill>
      <patternFill patternType="solid">
        <fgColor rgb="FFEAF3FF"/>
        <bgColor rgb="FFEDF3F8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2F2F2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F8FBFF"/>
      </patternFill>
    </fill>
    <fill>
      <patternFill patternType="solid">
        <fgColor rgb="FFDDEBF7"/>
      </patternFill>
    </fill>
  </fills>
  <borders count="17">
    <border>
      <left/>
      <right/>
      <top/>
      <bottom/>
      <diagonal/>
    </border>
    <border>
      <left/>
      <right/>
      <top style="medium">
        <color rgb="FF1F4E78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 style="medium">
        <color rgb="FF7F7F7F"/>
      </right>
      <top style="thin">
        <color rgb="FFB7B7B7"/>
      </top>
      <bottom style="medium">
        <color rgb="FF7F7F7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7F7F7F"/>
      </bottom>
      <diagonal/>
    </border>
    <border>
      <left style="medium">
        <color rgb="FF7F7F7F"/>
      </left>
      <right style="thin">
        <color rgb="FFB7B7B7"/>
      </right>
      <top style="thin">
        <color rgb="FFB7B7B7"/>
      </top>
      <bottom style="medium">
        <color rgb="FF7F7F7F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7B7B7"/>
      </left>
      <right style="medium">
        <color rgb="FF7F7F7F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7F7F7F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rgb="FF7F7F7F"/>
      </right>
      <top style="medium">
        <color rgb="FF7F7F7F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7F7F7F"/>
      </top>
      <bottom style="thin">
        <color rgb="FFB7B7B7"/>
      </bottom>
      <diagonal/>
    </border>
    <border>
      <left style="medium">
        <color rgb="FF7F7F7F"/>
      </left>
      <right style="thin">
        <color rgb="FFB7B7B7"/>
      </right>
      <top style="medium">
        <color rgb="FF7F7F7F"/>
      </top>
      <bottom style="thin">
        <color rgb="FFB7B7B7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69">
    <xf numFmtId="0" fontId="0" fillId="0" borderId="0" xfId="0"/>
    <xf numFmtId="0" fontId="3" fillId="4" borderId="1" xfId="0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7" fillId="6" borderId="1" xfId="0" applyFont="1" applyFill="1" applyBorder="1"/>
    <xf numFmtId="164" fontId="8" fillId="6" borderId="1" xfId="0" applyNumberFormat="1" applyFont="1" applyFill="1" applyBorder="1"/>
    <xf numFmtId="0" fontId="5" fillId="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top" wrapText="1"/>
    </xf>
    <xf numFmtId="165" fontId="2" fillId="8" borderId="4" xfId="0" applyNumberFormat="1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/>
    </xf>
    <xf numFmtId="0" fontId="11" fillId="8" borderId="4" xfId="0" applyFont="1" applyFill="1" applyBorder="1" applyAlignment="1">
      <alignment vertical="center" wrapText="1"/>
    </xf>
    <xf numFmtId="0" fontId="11" fillId="8" borderId="4" xfId="0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>
      <alignment vertical="top" wrapText="1"/>
    </xf>
    <xf numFmtId="0" fontId="11" fillId="9" borderId="2" xfId="0" applyFont="1" applyFill="1" applyBorder="1" applyAlignment="1">
      <alignment vertical="top" wrapText="1"/>
    </xf>
    <xf numFmtId="165" fontId="11" fillId="8" borderId="4" xfId="0" applyNumberFormat="1" applyFont="1" applyFill="1" applyBorder="1" applyAlignment="1">
      <alignment vertical="center" wrapText="1"/>
    </xf>
    <xf numFmtId="0" fontId="7" fillId="0" borderId="0" xfId="0" applyFont="1"/>
    <xf numFmtId="0" fontId="11" fillId="9" borderId="2" xfId="0" applyFont="1" applyFill="1" applyBorder="1"/>
    <xf numFmtId="0" fontId="7" fillId="0" borderId="2" xfId="0" applyFont="1" applyBorder="1" applyAlignment="1">
      <alignment vertical="top" wrapText="1"/>
    </xf>
    <xf numFmtId="0" fontId="11" fillId="0" borderId="2" xfId="0" applyFont="1" applyBorder="1"/>
    <xf numFmtId="0" fontId="2" fillId="10" borderId="2" xfId="0" applyFont="1" applyFill="1" applyBorder="1" applyAlignment="1">
      <alignment vertical="top" wrapText="1"/>
    </xf>
    <xf numFmtId="165" fontId="11" fillId="0" borderId="2" xfId="0" applyNumberFormat="1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165" fontId="0" fillId="0" borderId="0" xfId="0" applyNumberFormat="1"/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1" fillId="0" borderId="0" xfId="2"/>
    <xf numFmtId="0" fontId="1" fillId="0" borderId="0" xfId="2"/>
    <xf numFmtId="0" fontId="12" fillId="12" borderId="0" xfId="2" applyFont="1" applyFill="1" applyAlignment="1">
      <alignment horizontal="center"/>
    </xf>
    <xf numFmtId="0" fontId="1" fillId="11" borderId="5" xfId="2" applyFill="1" applyBorder="1"/>
    <xf numFmtId="0" fontId="1" fillId="11" borderId="6" xfId="2" applyFill="1" applyBorder="1"/>
    <xf numFmtId="0" fontId="1" fillId="13" borderId="6" xfId="2" applyFill="1" applyBorder="1"/>
    <xf numFmtId="0" fontId="1" fillId="13" borderId="7" xfId="2" applyFill="1" applyBorder="1"/>
    <xf numFmtId="0" fontId="13" fillId="14" borderId="8" xfId="2" applyFont="1" applyFill="1" applyBorder="1" applyAlignment="1">
      <alignment horizontal="left" vertical="center" wrapText="1"/>
    </xf>
    <xf numFmtId="0" fontId="1" fillId="15" borderId="8" xfId="2" applyFill="1" applyBorder="1" applyAlignment="1">
      <alignment horizontal="center" vertical="center"/>
    </xf>
    <xf numFmtId="0" fontId="1" fillId="11" borderId="9" xfId="2" applyFill="1" applyBorder="1" applyAlignment="1">
      <alignment vertical="top" wrapText="1"/>
    </xf>
    <xf numFmtId="0" fontId="1" fillId="11" borderId="10" xfId="2" applyFill="1" applyBorder="1" applyAlignment="1">
      <alignment vertical="top" wrapText="1"/>
    </xf>
    <xf numFmtId="0" fontId="1" fillId="13" borderId="10" xfId="2" applyFill="1" applyBorder="1" applyAlignment="1">
      <alignment vertical="top" wrapText="1"/>
    </xf>
    <xf numFmtId="0" fontId="1" fillId="13" borderId="11" xfId="2" applyFill="1" applyBorder="1" applyAlignment="1">
      <alignment vertical="top" wrapText="1"/>
    </xf>
    <xf numFmtId="0" fontId="14" fillId="16" borderId="12" xfId="2" applyFont="1" applyFill="1" applyBorder="1" applyAlignment="1">
      <alignment horizontal="center"/>
    </xf>
    <xf numFmtId="0" fontId="14" fillId="16" borderId="13" xfId="2" applyFont="1" applyFill="1" applyBorder="1" applyAlignment="1">
      <alignment horizontal="center"/>
    </xf>
    <xf numFmtId="0" fontId="15" fillId="17" borderId="13" xfId="2" applyFont="1" applyFill="1" applyBorder="1" applyAlignment="1">
      <alignment horizontal="center"/>
    </xf>
    <xf numFmtId="0" fontId="15" fillId="18" borderId="13" xfId="2" applyFont="1" applyFill="1" applyBorder="1" applyAlignment="1">
      <alignment horizontal="center"/>
    </xf>
    <xf numFmtId="0" fontId="15" fillId="19" borderId="13" xfId="2" applyFont="1" applyFill="1" applyBorder="1" applyAlignment="1">
      <alignment horizontal="center"/>
    </xf>
    <xf numFmtId="0" fontId="15" fillId="18" borderId="14" xfId="2" applyFont="1" applyFill="1" applyBorder="1" applyAlignment="1">
      <alignment horizontal="center"/>
    </xf>
    <xf numFmtId="0" fontId="1" fillId="13" borderId="5" xfId="2" applyFill="1" applyBorder="1"/>
    <xf numFmtId="0" fontId="1" fillId="13" borderId="9" xfId="2" applyFill="1" applyBorder="1" applyAlignment="1">
      <alignment vertical="top" wrapText="1"/>
    </xf>
    <xf numFmtId="0" fontId="15" fillId="18" borderId="12" xfId="2" applyFont="1" applyFill="1" applyBorder="1" applyAlignment="1">
      <alignment horizontal="center"/>
    </xf>
    <xf numFmtId="0" fontId="1" fillId="11" borderId="7" xfId="2" applyFill="1" applyBorder="1"/>
    <xf numFmtId="0" fontId="1" fillId="11" borderId="11" xfId="2" applyFill="1" applyBorder="1" applyAlignment="1">
      <alignment vertical="top" wrapText="1"/>
    </xf>
    <xf numFmtId="0" fontId="14" fillId="16" borderId="14" xfId="2" applyFont="1" applyFill="1" applyBorder="1" applyAlignment="1">
      <alignment horizontal="center"/>
    </xf>
    <xf numFmtId="0" fontId="16" fillId="12" borderId="8" xfId="2" applyFont="1" applyFill="1" applyBorder="1" applyAlignment="1">
      <alignment horizontal="center" vertical="center" wrapText="1"/>
    </xf>
    <xf numFmtId="0" fontId="16" fillId="12" borderId="15" xfId="2" applyFont="1" applyFill="1" applyBorder="1" applyAlignment="1">
      <alignment horizontal="center"/>
    </xf>
    <xf numFmtId="0" fontId="17" fillId="12" borderId="0" xfId="2" applyFont="1" applyFill="1" applyAlignment="1">
      <alignment horizontal="center"/>
    </xf>
    <xf numFmtId="0" fontId="1" fillId="0" borderId="16" xfId="2" applyBorder="1"/>
    <xf numFmtId="0" fontId="11" fillId="9" borderId="16" xfId="2" applyFont="1" applyFill="1" applyBorder="1" applyAlignment="1">
      <alignment vertical="top" wrapText="1"/>
    </xf>
    <xf numFmtId="0" fontId="11" fillId="8" borderId="16" xfId="2" applyFont="1" applyFill="1" applyBorder="1" applyAlignment="1">
      <alignment vertical="center" wrapText="1"/>
    </xf>
    <xf numFmtId="0" fontId="2" fillId="7" borderId="16" xfId="2" applyFont="1" applyFill="1" applyBorder="1" applyAlignment="1">
      <alignment vertical="top" wrapText="1"/>
    </xf>
    <xf numFmtId="164" fontId="2" fillId="7" borderId="16" xfId="2" applyNumberFormat="1" applyFont="1" applyFill="1" applyBorder="1" applyAlignment="1">
      <alignment vertical="top" wrapText="1"/>
    </xf>
    <xf numFmtId="0" fontId="11" fillId="8" borderId="16" xfId="2" applyFont="1" applyFill="1" applyBorder="1" applyAlignment="1">
      <alignment horizontal="center" vertical="center"/>
    </xf>
    <xf numFmtId="0" fontId="2" fillId="7" borderId="16" xfId="2" applyFont="1" applyFill="1" applyBorder="1" applyAlignment="1">
      <alignment vertical="center"/>
    </xf>
    <xf numFmtId="0" fontId="2" fillId="8" borderId="16" xfId="2" applyFont="1" applyFill="1" applyBorder="1" applyAlignment="1">
      <alignment vertical="center" wrapText="1"/>
    </xf>
    <xf numFmtId="165" fontId="2" fillId="8" borderId="16" xfId="2" applyNumberFormat="1" applyFont="1" applyFill="1" applyBorder="1" applyAlignment="1">
      <alignment vertical="center" wrapText="1"/>
    </xf>
    <xf numFmtId="0" fontId="5" fillId="2" borderId="16" xfId="2" applyFont="1" applyFill="1" applyBorder="1" applyAlignment="1">
      <alignment horizontal="center" vertical="center" wrapText="1"/>
    </xf>
    <xf numFmtId="0" fontId="10" fillId="3" borderId="16" xfId="2" applyFont="1" applyFill="1" applyBorder="1" applyAlignment="1">
      <alignment horizontal="left" vertical="center" wrapText="1"/>
    </xf>
    <xf numFmtId="0" fontId="9" fillId="2" borderId="16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247D6CA1-AB93-4F91-BB2B-3248D333BF40}"/>
    <cellStyle name="Normal 3" xfId="2" xr:uid="{9243987D-AB21-42E1-B981-46B3E690E0A8}"/>
  </cellStyles>
  <dxfs count="27">
    <dxf>
      <fill>
        <patternFill>
          <bgColor rgb="FFE2F0D9"/>
        </patternFill>
      </fill>
    </dxf>
    <dxf>
      <fill>
        <patternFill>
          <bgColor rgb="FFFDE9E7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DE9E7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DE9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EAF3FF"/>
      <rgbColor rgb="FFAB4744"/>
      <rgbColor rgb="FFFFF2CC"/>
      <rgbColor rgb="FFD9EAF7"/>
      <rgbColor rgb="FF660066"/>
      <rgbColor rgb="FFD09493"/>
      <rgbColor rgb="FF0066CC"/>
      <rgbColor rgb="FFD9D9D9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CE4D6"/>
      <rgbColor rgb="FFD9EAD3"/>
      <rgbColor rgb="FFE7E6E6"/>
      <rgbColor rgb="FFFDE9E7"/>
      <rgbColor rgb="FFF4CCCC"/>
      <rgbColor rgb="FF3366FF"/>
      <rgbColor rgb="FF33CCCC"/>
      <rgbColor rgb="FF99CC00"/>
      <rgbColor rgb="FFEDF3F8"/>
      <rgbColor rgb="FFFF9900"/>
      <rgbColor rgb="FFFF6600"/>
      <rgbColor rgb="FF666666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Weekly Cluster Raw Score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60358403475428"/>
          <c:y val="0.17861718880884569"/>
          <c:w val="0.68661430668624046"/>
          <c:h val="0.728348053856351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Weekly_Dashboard!$D$9</c:f>
              <c:strCache>
                <c:ptCount val="1"/>
                <c:pt idx="0">
                  <c:v>Week Avg Raw %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Weekly_Dashboard!$A$10:$A$24</c:f>
              <c:strCache>
                <c:ptCount val="15"/>
                <c:pt idx="0">
                  <c:v>Cluster 7A</c:v>
                </c:pt>
                <c:pt idx="1">
                  <c:v>Cluster 7B</c:v>
                </c:pt>
                <c:pt idx="2">
                  <c:v>Cluster 8A</c:v>
                </c:pt>
                <c:pt idx="3">
                  <c:v>Cluster 8B</c:v>
                </c:pt>
                <c:pt idx="4">
                  <c:v>Cluster 8C</c:v>
                </c:pt>
                <c:pt idx="5">
                  <c:v>Cluster 8D</c:v>
                </c:pt>
                <c:pt idx="6">
                  <c:v>Cluster 3</c:v>
                </c:pt>
                <c:pt idx="7">
                  <c:v>Cluster 4</c:v>
                </c:pt>
                <c:pt idx="8">
                  <c:v>Cluster 5</c:v>
                </c:pt>
                <c:pt idx="9">
                  <c:v>Cluster 6</c:v>
                </c:pt>
                <c:pt idx="10">
                  <c:v>Cluster 1A</c:v>
                </c:pt>
                <c:pt idx="11">
                  <c:v>Cluster 1B</c:v>
                </c:pt>
                <c:pt idx="12">
                  <c:v>Cluster 2A</c:v>
                </c:pt>
                <c:pt idx="13">
                  <c:v>Cluster 2B</c:v>
                </c:pt>
                <c:pt idx="14">
                  <c:v>Cluster 2C</c:v>
                </c:pt>
              </c:strCache>
            </c:strRef>
          </c:cat>
          <c:val>
            <c:numRef>
              <c:f>Weekly_Dashboard!$D$10:$D$24</c:f>
              <c:numCache>
                <c:formatCode>0.0%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0.54666666666666663</c:v>
                </c:pt>
                <c:pt idx="8">
                  <c:v>0</c:v>
                </c:pt>
                <c:pt idx="9">
                  <c:v>0.54666666666666663</c:v>
                </c:pt>
                <c:pt idx="10">
                  <c:v>0.54666666666666663</c:v>
                </c:pt>
                <c:pt idx="11">
                  <c:v>0.54666666666666663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F-418A-91F1-3302B3E3C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65694"/>
        <c:axId val="73506518"/>
      </c:barChart>
      <c:catAx>
        <c:axId val="7376569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Score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3506518"/>
        <c:crosses val="autoZero"/>
        <c:auto val="1"/>
        <c:lblAlgn val="ctr"/>
        <c:lblOffset val="100"/>
        <c:noMultiLvlLbl val="0"/>
      </c:catAx>
      <c:valAx>
        <c:axId val="7350651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Cluster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37656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Month Red Flags by Cluster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Weekly_Dashboard!$I$9</c:f>
              <c:strCache>
                <c:ptCount val="1"/>
                <c:pt idx="0">
                  <c:v>Month Red Flags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Weekly_Dashboard!$A$10:$A$24</c:f>
              <c:strCache>
                <c:ptCount val="15"/>
                <c:pt idx="0">
                  <c:v>Cluster 7A</c:v>
                </c:pt>
                <c:pt idx="1">
                  <c:v>Cluster 7B</c:v>
                </c:pt>
                <c:pt idx="2">
                  <c:v>Cluster 8A</c:v>
                </c:pt>
                <c:pt idx="3">
                  <c:v>Cluster 8B</c:v>
                </c:pt>
                <c:pt idx="4">
                  <c:v>Cluster 8C</c:v>
                </c:pt>
                <c:pt idx="5">
                  <c:v>Cluster 8D</c:v>
                </c:pt>
                <c:pt idx="6">
                  <c:v>Cluster 3</c:v>
                </c:pt>
                <c:pt idx="7">
                  <c:v>Cluster 4</c:v>
                </c:pt>
                <c:pt idx="8">
                  <c:v>Cluster 5</c:v>
                </c:pt>
                <c:pt idx="9">
                  <c:v>Cluster 6</c:v>
                </c:pt>
                <c:pt idx="10">
                  <c:v>Cluster 1A</c:v>
                </c:pt>
                <c:pt idx="11">
                  <c:v>Cluster 1B</c:v>
                </c:pt>
                <c:pt idx="12">
                  <c:v>Cluster 2A</c:v>
                </c:pt>
                <c:pt idx="13">
                  <c:v>Cluster 2B</c:v>
                </c:pt>
                <c:pt idx="14">
                  <c:v>Cluster 2C</c:v>
                </c:pt>
              </c:strCache>
            </c:strRef>
          </c:cat>
          <c:val>
            <c:numRef>
              <c:f>Weekly_Dashboard!$I$10:$I$24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9-4B8E-9797-470A193C9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123269"/>
        <c:axId val="29054356"/>
      </c:barChart>
      <c:catAx>
        <c:axId val="751232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29054356"/>
        <c:crosses val="autoZero"/>
        <c:auto val="1"/>
        <c:lblAlgn val="ctr"/>
        <c:lblOffset val="100"/>
        <c:noMultiLvlLbl val="0"/>
      </c:catAx>
      <c:valAx>
        <c:axId val="290543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51232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Monthly Cluster Raw Score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Monthly_Dashboard!$D$7</c:f>
              <c:strCache>
                <c:ptCount val="1"/>
                <c:pt idx="0">
                  <c:v>Month Avg Raw %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Monthly_Dashboard!$A$8:$A$22</c:f>
              <c:strCache>
                <c:ptCount val="15"/>
                <c:pt idx="0">
                  <c:v>Cluster 7A</c:v>
                </c:pt>
                <c:pt idx="1">
                  <c:v>Cluster 7B</c:v>
                </c:pt>
                <c:pt idx="2">
                  <c:v>Cluster 8A</c:v>
                </c:pt>
                <c:pt idx="3">
                  <c:v>Cluster 8B</c:v>
                </c:pt>
                <c:pt idx="4">
                  <c:v>Cluster 8C</c:v>
                </c:pt>
                <c:pt idx="5">
                  <c:v>Cluster 8D</c:v>
                </c:pt>
                <c:pt idx="6">
                  <c:v>Cluster 3</c:v>
                </c:pt>
                <c:pt idx="7">
                  <c:v>Cluster 4</c:v>
                </c:pt>
                <c:pt idx="8">
                  <c:v>Cluster 5</c:v>
                </c:pt>
                <c:pt idx="9">
                  <c:v>Cluster 6</c:v>
                </c:pt>
                <c:pt idx="10">
                  <c:v>Cluster 1A</c:v>
                </c:pt>
                <c:pt idx="11">
                  <c:v>Cluster 1B</c:v>
                </c:pt>
                <c:pt idx="12">
                  <c:v>Cluster 2A</c:v>
                </c:pt>
                <c:pt idx="13">
                  <c:v>Cluster 2B</c:v>
                </c:pt>
                <c:pt idx="14">
                  <c:v>Cluster 2C</c:v>
                </c:pt>
              </c:strCache>
            </c:strRef>
          </c:cat>
          <c:val>
            <c:numRef>
              <c:f>Monthly_Dashboard!$D$8:$D$22</c:f>
              <c:numCache>
                <c:formatCode>0.0%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0.78666666666666663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0.54666666666666663</c:v>
                </c:pt>
                <c:pt idx="8">
                  <c:v>0</c:v>
                </c:pt>
                <c:pt idx="9">
                  <c:v>0.54666666666666663</c:v>
                </c:pt>
                <c:pt idx="10">
                  <c:v>0.54666666666666663</c:v>
                </c:pt>
                <c:pt idx="11">
                  <c:v>0.54666666666666663</c:v>
                </c:pt>
                <c:pt idx="12">
                  <c:v>0.38666666666666666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B-4112-9B8B-128B2B8D7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00232"/>
        <c:axId val="97834885"/>
      </c:barChart>
      <c:catAx>
        <c:axId val="1130023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Score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7834885"/>
        <c:crosses val="autoZero"/>
        <c:auto val="1"/>
        <c:lblAlgn val="ctr"/>
        <c:lblOffset val="100"/>
        <c:noMultiLvlLbl val="0"/>
      </c:catAx>
      <c:valAx>
        <c:axId val="9783488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Cluster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13002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Open vs Overdue Actions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Monthly_Dashboard!$J$7</c:f>
              <c:strCache>
                <c:ptCount val="1"/>
                <c:pt idx="0">
                  <c:v>Open Actions</c:v>
                </c:pt>
              </c:strCache>
            </c:strRef>
          </c:tx>
          <c:spPr>
            <a:solidFill>
              <a:srgbClr val="AB474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Monthly_Dashboard!$A$8:$A$22</c:f>
              <c:strCache>
                <c:ptCount val="15"/>
                <c:pt idx="0">
                  <c:v>Cluster 7A</c:v>
                </c:pt>
                <c:pt idx="1">
                  <c:v>Cluster 7B</c:v>
                </c:pt>
                <c:pt idx="2">
                  <c:v>Cluster 8A</c:v>
                </c:pt>
                <c:pt idx="3">
                  <c:v>Cluster 8B</c:v>
                </c:pt>
                <c:pt idx="4">
                  <c:v>Cluster 8C</c:v>
                </c:pt>
                <c:pt idx="5">
                  <c:v>Cluster 8D</c:v>
                </c:pt>
                <c:pt idx="6">
                  <c:v>Cluster 3</c:v>
                </c:pt>
                <c:pt idx="7">
                  <c:v>Cluster 4</c:v>
                </c:pt>
                <c:pt idx="8">
                  <c:v>Cluster 5</c:v>
                </c:pt>
                <c:pt idx="9">
                  <c:v>Cluster 6</c:v>
                </c:pt>
                <c:pt idx="10">
                  <c:v>Cluster 1A</c:v>
                </c:pt>
                <c:pt idx="11">
                  <c:v>Cluster 1B</c:v>
                </c:pt>
                <c:pt idx="12">
                  <c:v>Cluster 2A</c:v>
                </c:pt>
                <c:pt idx="13">
                  <c:v>Cluster 2B</c:v>
                </c:pt>
                <c:pt idx="14">
                  <c:v>Cluster 2C</c:v>
                </c:pt>
              </c:strCache>
            </c:strRef>
          </c:cat>
          <c:val>
            <c:numRef>
              <c:f>Monthly_Dashboard!$J$8:$J$22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C-40E2-BCD6-72C200E3C202}"/>
            </c:ext>
          </c:extLst>
        </c:ser>
        <c:ser>
          <c:idx val="1"/>
          <c:order val="1"/>
          <c:tx>
            <c:strRef>
              <c:f>Monthly_Dashboard!$K$7</c:f>
              <c:strCache>
                <c:ptCount val="1"/>
                <c:pt idx="0">
                  <c:v>Overdue Actions</c:v>
                </c:pt>
              </c:strCache>
            </c:strRef>
          </c:tx>
          <c:spPr>
            <a:solidFill>
              <a:srgbClr val="D0949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Monthly_Dashboard!$A$8:$A$22</c:f>
              <c:strCache>
                <c:ptCount val="15"/>
                <c:pt idx="0">
                  <c:v>Cluster 7A</c:v>
                </c:pt>
                <c:pt idx="1">
                  <c:v>Cluster 7B</c:v>
                </c:pt>
                <c:pt idx="2">
                  <c:v>Cluster 8A</c:v>
                </c:pt>
                <c:pt idx="3">
                  <c:v>Cluster 8B</c:v>
                </c:pt>
                <c:pt idx="4">
                  <c:v>Cluster 8C</c:v>
                </c:pt>
                <c:pt idx="5">
                  <c:v>Cluster 8D</c:v>
                </c:pt>
                <c:pt idx="6">
                  <c:v>Cluster 3</c:v>
                </c:pt>
                <c:pt idx="7">
                  <c:v>Cluster 4</c:v>
                </c:pt>
                <c:pt idx="8">
                  <c:v>Cluster 5</c:v>
                </c:pt>
                <c:pt idx="9">
                  <c:v>Cluster 6</c:v>
                </c:pt>
                <c:pt idx="10">
                  <c:v>Cluster 1A</c:v>
                </c:pt>
                <c:pt idx="11">
                  <c:v>Cluster 1B</c:v>
                </c:pt>
                <c:pt idx="12">
                  <c:v>Cluster 2A</c:v>
                </c:pt>
                <c:pt idx="13">
                  <c:v>Cluster 2B</c:v>
                </c:pt>
                <c:pt idx="14">
                  <c:v>Cluster 2C</c:v>
                </c:pt>
              </c:strCache>
            </c:strRef>
          </c:cat>
          <c:val>
            <c:numRef>
              <c:f>Monthly_Dashboard!$K$8:$K$22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2C-40E2-BCD6-72C200E3C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87392"/>
        <c:axId val="73449711"/>
      </c:barChart>
      <c:catAx>
        <c:axId val="102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3449711"/>
        <c:crosses val="autoZero"/>
        <c:auto val="1"/>
        <c:lblAlgn val="ctr"/>
        <c:lblOffset val="100"/>
        <c:noMultiLvlLbl val="0"/>
      </c:catAx>
      <c:valAx>
        <c:axId val="734497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02873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103415</xdr:colOff>
      <xdr:row>3</xdr:row>
      <xdr:rowOff>133350</xdr:rowOff>
    </xdr:from>
    <xdr:to>
      <xdr:col>23</xdr:col>
      <xdr:colOff>1815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272142</xdr:colOff>
      <xdr:row>28</xdr:row>
      <xdr:rowOff>48079</xdr:rowOff>
    </xdr:from>
    <xdr:to>
      <xdr:col>18</xdr:col>
      <xdr:colOff>907143</xdr:colOff>
      <xdr:row>41</xdr:row>
      <xdr:rowOff>272143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23</xdr:col>
      <xdr:colOff>234950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21</xdr:row>
      <xdr:rowOff>0</xdr:rowOff>
    </xdr:from>
    <xdr:to>
      <xdr:col>25</xdr:col>
      <xdr:colOff>146050</xdr:colOff>
      <xdr:row>40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5409/Desktop/SAADIYAT%20LAGOON%20PROJECT%20KEO%20HSE%20DOCUMENTS%20&amp;%20RECORDS/Saadiyat_Lagoons_HSE_Weekly%20Cluster%20KPI%20&amp;%20Gap%20Analysis.xlsx" TargetMode="External"/><Relationship Id="rId2" Type="http://schemas.openxmlformats.org/officeDocument/2006/relationships/externalLinkPath" Target="file:///C:\Users\U5409\Desktop\SAADIYAT%20LAGOON%20PROJECT%20KEO%20HSE%20DOCUMENTS%20&amp;%20RECORDS\Saadiyat_Lagoons_HSE_Weekly%20Cluster%20KPI%20&amp;%20Gap%20Analysis.xlsx" TargetMode="External"/><Relationship Id="rId1" Type="http://schemas.openxmlformats.org/officeDocument/2006/relationships/externalLinkPath" Target="/Users/U5409/Desktop/SAADIYAT%20LAGOON%20PROJECT%20KEO%20HSE%20DOCUMENTS%20&amp;%20RECORDS/Saadiyat_Lagoons_HSE_Weekly%20Cluster%20KPI%20&amp;%20Gap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ctions"/>
      <sheetName val="Cluster_Master"/>
      <sheetName val="Lookups"/>
      <sheetName val="KPI_Weights"/>
      <sheetName val="Weekly_Inspections"/>
      <sheetName val="Weekly_Dashboard"/>
      <sheetName val="Monthly_Dashboard"/>
      <sheetName val="Gap_Analysis"/>
      <sheetName val="CAPA_Tracker"/>
    </sheetNames>
    <sheetDataSet>
      <sheetData sheetId="0"/>
      <sheetData sheetId="1">
        <row r="4">
          <cell r="A4">
            <v>2</v>
          </cell>
          <cell r="B4" t="str">
            <v>Cluster 7A</v>
          </cell>
          <cell r="C4" t="str">
            <v>TAJV</v>
          </cell>
          <cell r="D4" t="str">
            <v>Hicham Adel Narch</v>
          </cell>
          <cell r="E4" t="str">
            <v>Ghaidh Alfaour</v>
          </cell>
          <cell r="F4" t="str">
            <v>George Deeb</v>
          </cell>
          <cell r="G4" t="str">
            <v>Timur</v>
          </cell>
          <cell r="H4" t="str">
            <v>Liqat</v>
          </cell>
        </row>
        <row r="5">
          <cell r="A5">
            <v>2</v>
          </cell>
          <cell r="B5" t="str">
            <v>Cluster 7B</v>
          </cell>
          <cell r="C5" t="str">
            <v>TAJV</v>
          </cell>
          <cell r="D5" t="str">
            <v>Hicham Adel Narch</v>
          </cell>
          <cell r="E5" t="str">
            <v>Ghaidh Alfaour</v>
          </cell>
          <cell r="F5" t="str">
            <v>George Deeb</v>
          </cell>
          <cell r="G5" t="str">
            <v>Timur</v>
          </cell>
          <cell r="H5" t="str">
            <v>Eyad</v>
          </cell>
        </row>
        <row r="6">
          <cell r="A6">
            <v>2</v>
          </cell>
          <cell r="B6" t="str">
            <v>Cluster 8A</v>
          </cell>
          <cell r="C6" t="str">
            <v>TAJV</v>
          </cell>
          <cell r="D6" t="str">
            <v>Hicham Adel Narch</v>
          </cell>
          <cell r="E6" t="str">
            <v>Ghaidh Alfaour</v>
          </cell>
          <cell r="F6" t="str">
            <v>Mohamed Salama</v>
          </cell>
          <cell r="G6" t="str">
            <v>Timur</v>
          </cell>
          <cell r="H6" t="str">
            <v>Ahmad Adel</v>
          </cell>
        </row>
        <row r="7">
          <cell r="A7">
            <v>2</v>
          </cell>
          <cell r="B7" t="str">
            <v>Cluster 8B</v>
          </cell>
          <cell r="C7" t="str">
            <v>TAJV</v>
          </cell>
          <cell r="D7" t="str">
            <v>Hicham Adel Narch</v>
          </cell>
          <cell r="E7" t="str">
            <v>Ghaidh Alfaour</v>
          </cell>
          <cell r="F7" t="str">
            <v>Mohamed Salama</v>
          </cell>
          <cell r="G7" t="str">
            <v>Timur</v>
          </cell>
          <cell r="H7" t="str">
            <v>Ahmad Adel</v>
          </cell>
        </row>
        <row r="8">
          <cell r="A8">
            <v>2</v>
          </cell>
          <cell r="B8" t="str">
            <v>Cluster 8C</v>
          </cell>
          <cell r="C8" t="str">
            <v>TAJV</v>
          </cell>
          <cell r="D8" t="str">
            <v>Hicham Adel Narch</v>
          </cell>
          <cell r="E8" t="str">
            <v>Ghaidh Alfaour</v>
          </cell>
          <cell r="F8" t="str">
            <v>George Deeb</v>
          </cell>
          <cell r="G8" t="str">
            <v>Timur</v>
          </cell>
          <cell r="H8" t="str">
            <v>Ahmad Adel</v>
          </cell>
        </row>
        <row r="9">
          <cell r="A9">
            <v>2</v>
          </cell>
          <cell r="B9" t="str">
            <v>Cluster 8D</v>
          </cell>
          <cell r="C9" t="str">
            <v>TAJV</v>
          </cell>
          <cell r="D9" t="str">
            <v>Hicham Adel Narch</v>
          </cell>
          <cell r="E9" t="str">
            <v>Ghaidh Alfaour</v>
          </cell>
          <cell r="F9" t="str">
            <v>George Deeb</v>
          </cell>
          <cell r="G9" t="str">
            <v>Timur</v>
          </cell>
          <cell r="H9" t="str">
            <v>Ahmad Adel</v>
          </cell>
        </row>
        <row r="10">
          <cell r="A10">
            <v>3</v>
          </cell>
          <cell r="B10" t="str">
            <v>Cluster 3</v>
          </cell>
          <cell r="C10" t="str">
            <v>INNOVO</v>
          </cell>
          <cell r="D10" t="str">
            <v>Kahtan Tikriti</v>
          </cell>
          <cell r="E10" t="str">
            <v>Aiman Abdullah</v>
          </cell>
          <cell r="F10" t="str">
            <v>Salama Al Samdy</v>
          </cell>
          <cell r="G10" t="str">
            <v>Mazen Al Atwani</v>
          </cell>
        </row>
        <row r="11">
          <cell r="A11">
            <v>3</v>
          </cell>
          <cell r="B11" t="str">
            <v>Cluster 4</v>
          </cell>
          <cell r="C11" t="str">
            <v>INNOVO</v>
          </cell>
          <cell r="D11" t="str">
            <v>Kahtan Tikriti</v>
          </cell>
          <cell r="E11" t="str">
            <v>Aiman Abdullah</v>
          </cell>
          <cell r="F11" t="str">
            <v>Baha Basheer</v>
          </cell>
          <cell r="G11" t="str">
            <v>Mazen Al Atwani</v>
          </cell>
        </row>
        <row r="12">
          <cell r="A12">
            <v>3</v>
          </cell>
          <cell r="B12" t="str">
            <v>Cluster 5</v>
          </cell>
          <cell r="C12" t="str">
            <v>INNOVO</v>
          </cell>
          <cell r="D12" t="str">
            <v>Kahtan Tikriti</v>
          </cell>
          <cell r="E12" t="str">
            <v>Michael Ghali</v>
          </cell>
          <cell r="F12" t="str">
            <v>Robair Louies</v>
          </cell>
          <cell r="G12" t="str">
            <v>Mazen Al Atwani</v>
          </cell>
        </row>
        <row r="13">
          <cell r="A13">
            <v>3</v>
          </cell>
          <cell r="B13" t="str">
            <v>Cluster 6</v>
          </cell>
          <cell r="C13" t="str">
            <v>INNOVO</v>
          </cell>
          <cell r="D13" t="str">
            <v>Kahtan Tikriti</v>
          </cell>
          <cell r="E13" t="str">
            <v>Michael Ghali</v>
          </cell>
          <cell r="F13" t="str">
            <v>Remon Karas</v>
          </cell>
          <cell r="G13" t="str">
            <v>Mazen Al Atwani</v>
          </cell>
        </row>
        <row r="14">
          <cell r="A14">
            <v>4</v>
          </cell>
          <cell r="B14" t="str">
            <v>Cluster 1A</v>
          </cell>
          <cell r="C14" t="str">
            <v>TAJV</v>
          </cell>
          <cell r="D14" t="str">
            <v>Hicham Adel Narch</v>
          </cell>
          <cell r="E14" t="str">
            <v>Ghaidh Alfaour</v>
          </cell>
          <cell r="F14" t="str">
            <v>Alaa Hegab</v>
          </cell>
          <cell r="G14" t="str">
            <v>Timur Terakopov</v>
          </cell>
          <cell r="H14" t="str">
            <v>Amr Taha</v>
          </cell>
        </row>
        <row r="15">
          <cell r="A15">
            <v>4</v>
          </cell>
          <cell r="B15" t="str">
            <v>Cluster 1B</v>
          </cell>
          <cell r="C15" t="str">
            <v>TAJV</v>
          </cell>
          <cell r="D15" t="str">
            <v>Hicham Adel Narch</v>
          </cell>
          <cell r="E15" t="str">
            <v>Ghaidh Alfaour</v>
          </cell>
          <cell r="F15" t="str">
            <v>Hossam Ali Maher</v>
          </cell>
          <cell r="G15" t="str">
            <v>Timur Terakopov</v>
          </cell>
          <cell r="H15" t="str">
            <v>Md Ramadan / Osama Said</v>
          </cell>
        </row>
        <row r="16">
          <cell r="A16">
            <v>4</v>
          </cell>
          <cell r="B16" t="str">
            <v>Cluster 2A</v>
          </cell>
          <cell r="C16" t="str">
            <v>TAJV</v>
          </cell>
          <cell r="D16" t="str">
            <v>Hicham Adel Narch</v>
          </cell>
          <cell r="E16" t="str">
            <v>Ghaidh Alfaour</v>
          </cell>
          <cell r="F16" t="str">
            <v>Ahmed Salah Hassan Dewidar</v>
          </cell>
          <cell r="G16" t="str">
            <v>Timur Terakopov</v>
          </cell>
          <cell r="H16" t="str">
            <v>Rami Issa</v>
          </cell>
        </row>
        <row r="17">
          <cell r="A17">
            <v>4</v>
          </cell>
          <cell r="B17" t="str">
            <v>Cluster 2B</v>
          </cell>
          <cell r="C17" t="str">
            <v>TAJV</v>
          </cell>
          <cell r="D17" t="str">
            <v>Hicham Adel Narch</v>
          </cell>
          <cell r="E17" t="str">
            <v>Ghaidh Alfaour</v>
          </cell>
          <cell r="F17" t="str">
            <v>Ahmed Salah Hassan Dewidar</v>
          </cell>
          <cell r="G17" t="str">
            <v>Timur Terakopov</v>
          </cell>
          <cell r="H17" t="str">
            <v>Rami Issa</v>
          </cell>
        </row>
        <row r="18">
          <cell r="A18">
            <v>4</v>
          </cell>
          <cell r="B18" t="str">
            <v>Cluster 2C</v>
          </cell>
          <cell r="C18" t="str">
            <v>TAJV</v>
          </cell>
          <cell r="D18" t="str">
            <v>Hicham Adel Narch</v>
          </cell>
          <cell r="E18" t="str">
            <v>Ghaidh Alfaour</v>
          </cell>
          <cell r="F18" t="str">
            <v>Ahmed Salah Hassan Dewidar</v>
          </cell>
          <cell r="G18" t="str">
            <v>Timur Terakopov</v>
          </cell>
          <cell r="H18" t="str">
            <v>Salah Nayef</v>
          </cell>
        </row>
      </sheetData>
      <sheetData sheetId="2">
        <row r="4">
          <cell r="A4">
            <v>2</v>
          </cell>
          <cell r="B4" t="str">
            <v>Cluster 7A</v>
          </cell>
          <cell r="C4" t="str">
            <v>Project Director</v>
          </cell>
          <cell r="D4" t="str">
            <v>Work at Height</v>
          </cell>
          <cell r="E4" t="str">
            <v>YES</v>
          </cell>
          <cell r="F4" t="str">
            <v>Leadership failure</v>
          </cell>
          <cell r="H4" t="str">
            <v>Work at Height Control</v>
          </cell>
        </row>
        <row r="5">
          <cell r="A5">
            <v>3</v>
          </cell>
          <cell r="B5" t="str">
            <v>Cluster 7B</v>
          </cell>
          <cell r="C5" t="str">
            <v>Project Manager</v>
          </cell>
          <cell r="D5" t="str">
            <v>Edge Protection</v>
          </cell>
          <cell r="E5" t="str">
            <v>NO</v>
          </cell>
          <cell r="F5" t="str">
            <v>Poor supervision</v>
          </cell>
          <cell r="H5" t="str">
            <v>Edge Protection</v>
          </cell>
        </row>
        <row r="6">
          <cell r="A6">
            <v>4</v>
          </cell>
          <cell r="B6" t="str">
            <v>Cluster 8A</v>
          </cell>
          <cell r="C6" t="str">
            <v>Construction Manager</v>
          </cell>
          <cell r="D6" t="str">
            <v>Falling Objects</v>
          </cell>
          <cell r="F6" t="str">
            <v>Poor planning</v>
          </cell>
          <cell r="H6" t="str">
            <v>Falling Object Prevention</v>
          </cell>
        </row>
        <row r="7">
          <cell r="B7" t="str">
            <v>Cluster 8B</v>
          </cell>
          <cell r="C7" t="str">
            <v>HSE Manager</v>
          </cell>
          <cell r="D7" t="str">
            <v>Excavation</v>
          </cell>
          <cell r="F7" t="str">
            <v>PTW failure</v>
          </cell>
          <cell r="H7" t="str">
            <v>Excavation Safety</v>
          </cell>
        </row>
        <row r="8">
          <cell r="B8" t="str">
            <v>Cluster 8C</v>
          </cell>
          <cell r="C8" t="str">
            <v>Section Engineer</v>
          </cell>
          <cell r="D8" t="str">
            <v>Scaffolding</v>
          </cell>
          <cell r="F8" t="str">
            <v>Weak MSRA</v>
          </cell>
          <cell r="H8" t="str">
            <v>Scaffolding Compliance</v>
          </cell>
        </row>
        <row r="9">
          <cell r="B9" t="str">
            <v>Cluster 8D</v>
          </cell>
          <cell r="C9" t="str">
            <v>QA/QC</v>
          </cell>
          <cell r="D9" t="str">
            <v>Permit to Work</v>
          </cell>
          <cell r="F9" t="str">
            <v>Poor subcontractor control</v>
          </cell>
          <cell r="H9" t="str">
            <v>PTW Implementation</v>
          </cell>
        </row>
        <row r="10">
          <cell r="B10" t="str">
            <v>Cluster 3</v>
          </cell>
          <cell r="C10" t="str">
            <v>Consultant</v>
          </cell>
          <cell r="D10" t="str">
            <v>MSRA / Risk Assessment</v>
          </cell>
          <cell r="F10" t="str">
            <v>Resource constraint</v>
          </cell>
          <cell r="H10" t="str">
            <v>PTW Field Verification</v>
          </cell>
        </row>
        <row r="11">
          <cell r="B11" t="str">
            <v>Cluster 4</v>
          </cell>
          <cell r="C11" t="str">
            <v>Client</v>
          </cell>
          <cell r="D11" t="str">
            <v>Lifting Operations</v>
          </cell>
          <cell r="F11" t="str">
            <v>Inadequate competence</v>
          </cell>
          <cell r="H11" t="str">
            <v>MSRA Quality</v>
          </cell>
        </row>
        <row r="12">
          <cell r="B12" t="str">
            <v>Cluster 5</v>
          </cell>
          <cell r="C12" t="str">
            <v>Other</v>
          </cell>
          <cell r="D12" t="str">
            <v>Traffic Management</v>
          </cell>
          <cell r="F12" t="str">
            <v>Poor housekeeping culture</v>
          </cell>
          <cell r="H12" t="str">
            <v>Lifting Operations</v>
          </cell>
        </row>
        <row r="13">
          <cell r="B13" t="str">
            <v>Cluster 6</v>
          </cell>
          <cell r="D13" t="str">
            <v>Housekeeping</v>
          </cell>
          <cell r="F13" t="str">
            <v>Interface / simultaneous activity conflict</v>
          </cell>
          <cell r="H13" t="str">
            <v>Traffic &amp; Man-Machine Interface</v>
          </cell>
        </row>
        <row r="14">
          <cell r="B14" t="str">
            <v>Cluster 1A</v>
          </cell>
          <cell r="D14" t="str">
            <v>Waste Management</v>
          </cell>
          <cell r="F14" t="str">
            <v>Other</v>
          </cell>
          <cell r="H14" t="str">
            <v>Housekeeping Standard</v>
          </cell>
        </row>
        <row r="15">
          <cell r="B15" t="str">
            <v>Cluster 1B</v>
          </cell>
          <cell r="D15" t="str">
            <v>Fire Readiness</v>
          </cell>
          <cell r="H15" t="str">
            <v>Waste Management</v>
          </cell>
        </row>
        <row r="16">
          <cell r="B16" t="str">
            <v>Cluster 2A</v>
          </cell>
          <cell r="D16" t="str">
            <v>Electrical Safety</v>
          </cell>
          <cell r="H16" t="str">
            <v>Fire Readiness</v>
          </cell>
        </row>
        <row r="17">
          <cell r="B17" t="str">
            <v>Cluster 2B</v>
          </cell>
          <cell r="D17" t="str">
            <v>Portable Power Tools</v>
          </cell>
          <cell r="H17" t="str">
            <v>Supervision &amp; Subcontractor Control</v>
          </cell>
        </row>
        <row r="18">
          <cell r="B18" t="str">
            <v>Cluster 2C</v>
          </cell>
          <cell r="D18" t="str">
            <v>Heat Stress</v>
          </cell>
          <cell r="H18" t="str">
            <v>Temporary Electrical &amp; Tool Safety</v>
          </cell>
        </row>
        <row r="19">
          <cell r="D19" t="str">
            <v>Other</v>
          </cell>
        </row>
      </sheetData>
      <sheetData sheetId="3">
        <row r="4">
          <cell r="B4">
            <v>0.12</v>
          </cell>
        </row>
        <row r="5">
          <cell r="B5">
            <v>0.08</v>
          </cell>
        </row>
        <row r="6">
          <cell r="B6">
            <v>0.05</v>
          </cell>
        </row>
        <row r="7">
          <cell r="B7">
            <v>0.12</v>
          </cell>
        </row>
        <row r="8">
          <cell r="B8">
            <v>0.1</v>
          </cell>
        </row>
        <row r="9">
          <cell r="B9">
            <v>0.12</v>
          </cell>
        </row>
        <row r="10">
          <cell r="B10">
            <v>0.08</v>
          </cell>
        </row>
        <row r="11">
          <cell r="B11">
            <v>0.05</v>
          </cell>
        </row>
        <row r="12">
          <cell r="B12">
            <v>0.06</v>
          </cell>
        </row>
        <row r="13">
          <cell r="B13">
            <v>0.06</v>
          </cell>
        </row>
        <row r="14">
          <cell r="B14">
            <v>0.05</v>
          </cell>
        </row>
        <row r="15">
          <cell r="B15">
            <v>0.03</v>
          </cell>
        </row>
        <row r="16">
          <cell r="B16">
            <v>0.03</v>
          </cell>
        </row>
        <row r="17">
          <cell r="B17">
            <v>0.03</v>
          </cell>
        </row>
        <row r="18">
          <cell r="B18">
            <v>0.02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zoomScaleNormal="100" workbookViewId="0">
      <pane ySplit="1" topLeftCell="A2" activePane="bottomLeft" state="frozen"/>
      <selection pane="bottomLeft" activeCell="B16" sqref="B16"/>
    </sheetView>
  </sheetViews>
  <sheetFormatPr defaultColWidth="8.5703125" defaultRowHeight="15" customHeight="1" x14ac:dyDescent="0.2"/>
  <cols>
    <col min="1" max="1" width="10" customWidth="1"/>
    <col min="2" max="2" width="16" customWidth="1"/>
    <col min="3" max="3" width="12" customWidth="1"/>
    <col min="4" max="4" width="24" customWidth="1"/>
    <col min="5" max="5" width="22" customWidth="1"/>
    <col min="6" max="6" width="28" customWidth="1"/>
    <col min="7" max="8" width="24" customWidth="1"/>
  </cols>
  <sheetData>
    <row r="1" spans="1:8" ht="24" customHeight="1" x14ac:dyDescent="0.2">
      <c r="A1" s="27" t="s">
        <v>0</v>
      </c>
      <c r="B1" s="27"/>
      <c r="C1" s="27"/>
      <c r="D1" s="27"/>
      <c r="E1" s="27"/>
      <c r="F1" s="27"/>
      <c r="G1" s="27"/>
      <c r="H1" s="27"/>
    </row>
    <row r="2" spans="1:8" ht="36" customHeight="1" x14ac:dyDescent="0.2">
      <c r="A2" s="28" t="s">
        <v>1</v>
      </c>
      <c r="B2" s="28"/>
      <c r="C2" s="28"/>
      <c r="D2" s="28"/>
      <c r="E2" s="28"/>
      <c r="F2" s="28"/>
      <c r="G2" s="28"/>
      <c r="H2" s="28"/>
    </row>
    <row r="3" spans="1:8" ht="33.75" customHeight="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15" customHeight="1" x14ac:dyDescent="0.2">
      <c r="A4" s="3">
        <v>2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</row>
    <row r="5" spans="1:8" ht="15" customHeight="1" x14ac:dyDescent="0.2">
      <c r="A5" s="3">
        <v>2</v>
      </c>
      <c r="B5" s="3" t="s">
        <v>17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18</v>
      </c>
    </row>
    <row r="6" spans="1:8" ht="15" customHeight="1" x14ac:dyDescent="0.2">
      <c r="A6" s="3">
        <v>2</v>
      </c>
      <c r="B6" s="3" t="s">
        <v>19</v>
      </c>
      <c r="C6" s="3" t="s">
        <v>11</v>
      </c>
      <c r="D6" s="3" t="s">
        <v>12</v>
      </c>
      <c r="E6" s="3" t="s">
        <v>13</v>
      </c>
      <c r="F6" s="3" t="s">
        <v>236</v>
      </c>
      <c r="G6" s="3" t="s">
        <v>15</v>
      </c>
      <c r="H6" s="3" t="s">
        <v>20</v>
      </c>
    </row>
    <row r="7" spans="1:8" ht="15" customHeight="1" x14ac:dyDescent="0.2">
      <c r="A7" s="3">
        <v>2</v>
      </c>
      <c r="B7" s="3" t="s">
        <v>21</v>
      </c>
      <c r="C7" s="3" t="s">
        <v>11</v>
      </c>
      <c r="D7" s="3" t="s">
        <v>12</v>
      </c>
      <c r="E7" s="3" t="s">
        <v>13</v>
      </c>
      <c r="F7" s="3" t="s">
        <v>236</v>
      </c>
      <c r="G7" s="3" t="s">
        <v>15</v>
      </c>
      <c r="H7" s="3" t="s">
        <v>20</v>
      </c>
    </row>
    <row r="8" spans="1:8" ht="15" customHeight="1" x14ac:dyDescent="0.2">
      <c r="A8" s="3">
        <v>2</v>
      </c>
      <c r="B8" s="3" t="s">
        <v>22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20</v>
      </c>
    </row>
    <row r="9" spans="1:8" ht="15" customHeight="1" x14ac:dyDescent="0.2">
      <c r="A9" s="3">
        <v>2</v>
      </c>
      <c r="B9" s="3" t="s">
        <v>23</v>
      </c>
      <c r="C9" s="3" t="s">
        <v>11</v>
      </c>
      <c r="D9" s="3" t="s">
        <v>12</v>
      </c>
      <c r="E9" s="3" t="s">
        <v>13</v>
      </c>
      <c r="F9" s="3" t="s">
        <v>14</v>
      </c>
      <c r="G9" s="3" t="s">
        <v>15</v>
      </c>
      <c r="H9" s="3" t="s">
        <v>20</v>
      </c>
    </row>
    <row r="10" spans="1:8" ht="15" customHeight="1" x14ac:dyDescent="0.2">
      <c r="A10" s="3">
        <v>3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28</v>
      </c>
      <c r="G10" s="3" t="s">
        <v>29</v>
      </c>
      <c r="H10" s="3"/>
    </row>
    <row r="11" spans="1:8" ht="15" customHeight="1" x14ac:dyDescent="0.2">
      <c r="A11" s="3">
        <v>3</v>
      </c>
      <c r="B11" s="3" t="s">
        <v>30</v>
      </c>
      <c r="C11" s="3" t="s">
        <v>25</v>
      </c>
      <c r="D11" s="3" t="s">
        <v>26</v>
      </c>
      <c r="E11" s="3" t="s">
        <v>27</v>
      </c>
      <c r="F11" s="3" t="s">
        <v>31</v>
      </c>
      <c r="G11" s="3" t="s">
        <v>29</v>
      </c>
      <c r="H11" s="3"/>
    </row>
    <row r="12" spans="1:8" ht="15" customHeight="1" x14ac:dyDescent="0.2">
      <c r="A12" s="3">
        <v>3</v>
      </c>
      <c r="B12" s="3" t="s">
        <v>32</v>
      </c>
      <c r="C12" s="3" t="s">
        <v>25</v>
      </c>
      <c r="D12" s="3" t="s">
        <v>26</v>
      </c>
      <c r="E12" s="3" t="s">
        <v>33</v>
      </c>
      <c r="F12" s="3" t="s">
        <v>34</v>
      </c>
      <c r="G12" s="3" t="s">
        <v>29</v>
      </c>
      <c r="H12" s="3"/>
    </row>
    <row r="13" spans="1:8" ht="15" customHeight="1" x14ac:dyDescent="0.2">
      <c r="A13" s="3">
        <v>3</v>
      </c>
      <c r="B13" s="3" t="s">
        <v>35</v>
      </c>
      <c r="C13" s="3" t="s">
        <v>25</v>
      </c>
      <c r="D13" s="3" t="s">
        <v>26</v>
      </c>
      <c r="E13" s="3" t="s">
        <v>33</v>
      </c>
      <c r="F13" s="3" t="s">
        <v>36</v>
      </c>
      <c r="G13" s="3" t="s">
        <v>29</v>
      </c>
      <c r="H13" s="3"/>
    </row>
    <row r="14" spans="1:8" ht="15" customHeight="1" x14ac:dyDescent="0.2">
      <c r="A14" s="3">
        <v>4</v>
      </c>
      <c r="B14" s="3" t="s">
        <v>37</v>
      </c>
      <c r="C14" s="3" t="s">
        <v>11</v>
      </c>
      <c r="D14" s="3" t="s">
        <v>12</v>
      </c>
      <c r="E14" s="3" t="s">
        <v>13</v>
      </c>
      <c r="F14" s="3" t="s">
        <v>38</v>
      </c>
      <c r="G14" s="3" t="s">
        <v>39</v>
      </c>
      <c r="H14" s="3" t="s">
        <v>40</v>
      </c>
    </row>
    <row r="15" spans="1:8" ht="15" customHeight="1" x14ac:dyDescent="0.2">
      <c r="A15" s="3">
        <v>4</v>
      </c>
      <c r="B15" s="3" t="s">
        <v>41</v>
      </c>
      <c r="C15" s="3" t="s">
        <v>11</v>
      </c>
      <c r="D15" s="3" t="s">
        <v>12</v>
      </c>
      <c r="E15" s="3" t="s">
        <v>13</v>
      </c>
      <c r="F15" s="3" t="s">
        <v>42</v>
      </c>
      <c r="G15" s="3" t="s">
        <v>39</v>
      </c>
      <c r="H15" s="3" t="s">
        <v>43</v>
      </c>
    </row>
    <row r="16" spans="1:8" ht="15" customHeight="1" x14ac:dyDescent="0.2">
      <c r="A16" s="3">
        <v>4</v>
      </c>
      <c r="B16" s="3" t="s">
        <v>44</v>
      </c>
      <c r="C16" s="3" t="s">
        <v>11</v>
      </c>
      <c r="D16" s="3" t="s">
        <v>12</v>
      </c>
      <c r="E16" s="3" t="s">
        <v>13</v>
      </c>
      <c r="F16" s="3" t="s">
        <v>45</v>
      </c>
      <c r="G16" s="3" t="s">
        <v>39</v>
      </c>
      <c r="H16" s="3" t="s">
        <v>46</v>
      </c>
    </row>
    <row r="17" spans="1:8" ht="15" customHeight="1" x14ac:dyDescent="0.2">
      <c r="A17" s="3">
        <v>4</v>
      </c>
      <c r="B17" s="3" t="s">
        <v>47</v>
      </c>
      <c r="C17" s="3" t="s">
        <v>11</v>
      </c>
      <c r="D17" s="3" t="s">
        <v>12</v>
      </c>
      <c r="E17" s="3" t="s">
        <v>13</v>
      </c>
      <c r="F17" s="3" t="s">
        <v>45</v>
      </c>
      <c r="G17" s="3" t="s">
        <v>39</v>
      </c>
      <c r="H17" s="3" t="s">
        <v>46</v>
      </c>
    </row>
    <row r="18" spans="1:8" ht="15" customHeight="1" x14ac:dyDescent="0.2">
      <c r="A18" s="3">
        <v>4</v>
      </c>
      <c r="B18" s="3" t="s">
        <v>48</v>
      </c>
      <c r="C18" s="3" t="s">
        <v>11</v>
      </c>
      <c r="D18" s="3" t="s">
        <v>12</v>
      </c>
      <c r="E18" s="3" t="s">
        <v>13</v>
      </c>
      <c r="F18" s="3" t="s">
        <v>45</v>
      </c>
      <c r="G18" s="3" t="s">
        <v>39</v>
      </c>
      <c r="H18" s="3" t="s">
        <v>49</v>
      </c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showGridLines="0" zoomScaleNormal="100" workbookViewId="0">
      <pane ySplit="1" topLeftCell="A3" activePane="bottomLeft" state="frozen"/>
      <selection pane="bottomLeft" activeCell="C16" sqref="C16"/>
    </sheetView>
  </sheetViews>
  <sheetFormatPr defaultColWidth="8.5703125" defaultRowHeight="15" customHeight="1" x14ac:dyDescent="0.2"/>
  <cols>
    <col min="1" max="1" width="14" customWidth="1"/>
    <col min="2" max="2" width="18" customWidth="1"/>
    <col min="3" max="4" width="24" customWidth="1"/>
    <col min="5" max="5" width="12" customWidth="1"/>
    <col min="6" max="6" width="32" customWidth="1"/>
    <col min="7" max="7" width="14" customWidth="1"/>
    <col min="8" max="8" width="32" customWidth="1"/>
  </cols>
  <sheetData>
    <row r="1" spans="1:9" ht="24" customHeight="1" x14ac:dyDescent="0.2">
      <c r="A1" s="27" t="s">
        <v>50</v>
      </c>
      <c r="B1" s="27"/>
      <c r="C1" s="27"/>
      <c r="D1" s="27"/>
      <c r="E1" s="27"/>
      <c r="F1" s="27"/>
      <c r="G1" s="27"/>
      <c r="H1" s="27"/>
      <c r="I1" t="s">
        <v>51</v>
      </c>
    </row>
    <row r="2" spans="1:9" ht="36" customHeight="1" x14ac:dyDescent="0.2">
      <c r="A2" s="28" t="s">
        <v>52</v>
      </c>
      <c r="B2" s="28"/>
      <c r="C2" s="28"/>
      <c r="D2" s="28"/>
      <c r="E2" s="28"/>
      <c r="F2" s="28"/>
      <c r="G2" s="28"/>
      <c r="H2" s="28"/>
      <c r="I2">
        <v>0</v>
      </c>
    </row>
    <row r="3" spans="1:9" ht="33.75" customHeight="1" x14ac:dyDescent="0.2">
      <c r="A3" s="2" t="s">
        <v>53</v>
      </c>
      <c r="B3" s="2" t="s">
        <v>54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>
        <v>1</v>
      </c>
    </row>
    <row r="4" spans="1:9" ht="15" customHeight="1" x14ac:dyDescent="0.2">
      <c r="A4" s="3">
        <v>2</v>
      </c>
      <c r="B4" s="3" t="s">
        <v>10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65</v>
      </c>
      <c r="H4" s="3" t="s">
        <v>66</v>
      </c>
      <c r="I4">
        <v>2</v>
      </c>
    </row>
    <row r="5" spans="1:9" ht="15" customHeight="1" x14ac:dyDescent="0.2">
      <c r="A5" s="3">
        <v>3</v>
      </c>
      <c r="B5" s="3" t="s">
        <v>17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68</v>
      </c>
      <c r="I5">
        <v>3</v>
      </c>
    </row>
    <row r="6" spans="1:9" ht="15" customHeight="1" x14ac:dyDescent="0.2">
      <c r="A6" s="3">
        <v>4</v>
      </c>
      <c r="B6" s="3" t="s">
        <v>19</v>
      </c>
      <c r="C6" s="3" t="s">
        <v>72</v>
      </c>
      <c r="D6" s="3" t="s">
        <v>73</v>
      </c>
      <c r="F6" s="3" t="s">
        <v>74</v>
      </c>
      <c r="G6" s="3" t="s">
        <v>75</v>
      </c>
      <c r="H6" s="3" t="s">
        <v>76</v>
      </c>
      <c r="I6">
        <v>4</v>
      </c>
    </row>
    <row r="7" spans="1:9" ht="15" customHeight="1" x14ac:dyDescent="0.2">
      <c r="B7" s="3" t="s">
        <v>21</v>
      </c>
      <c r="C7" s="3" t="s">
        <v>77</v>
      </c>
      <c r="D7" s="3" t="s">
        <v>78</v>
      </c>
      <c r="F7" s="3" t="s">
        <v>79</v>
      </c>
      <c r="G7" s="3" t="s">
        <v>80</v>
      </c>
      <c r="H7" s="3" t="s">
        <v>81</v>
      </c>
      <c r="I7">
        <v>5</v>
      </c>
    </row>
    <row r="8" spans="1:9" ht="15" customHeight="1" x14ac:dyDescent="0.2">
      <c r="B8" s="3" t="s">
        <v>22</v>
      </c>
      <c r="C8" s="3" t="s">
        <v>82</v>
      </c>
      <c r="D8" s="3" t="s">
        <v>83</v>
      </c>
      <c r="F8" s="3" t="s">
        <v>84</v>
      </c>
      <c r="H8" s="3" t="s">
        <v>85</v>
      </c>
    </row>
    <row r="9" spans="1:9" ht="15" customHeight="1" x14ac:dyDescent="0.2">
      <c r="B9" s="3" t="s">
        <v>23</v>
      </c>
      <c r="C9" s="3" t="s">
        <v>86</v>
      </c>
      <c r="D9" s="3" t="s">
        <v>87</v>
      </c>
      <c r="F9" s="3" t="s">
        <v>88</v>
      </c>
      <c r="H9" s="3" t="s">
        <v>89</v>
      </c>
    </row>
    <row r="10" spans="1:9" ht="15" customHeight="1" x14ac:dyDescent="0.2">
      <c r="B10" s="3" t="s">
        <v>24</v>
      </c>
      <c r="C10" s="3" t="s">
        <v>253</v>
      </c>
      <c r="D10" s="3" t="s">
        <v>90</v>
      </c>
      <c r="F10" s="3" t="s">
        <v>91</v>
      </c>
      <c r="H10" s="3" t="s">
        <v>92</v>
      </c>
    </row>
    <row r="11" spans="1:9" ht="15" customHeight="1" x14ac:dyDescent="0.2">
      <c r="B11" s="3" t="s">
        <v>30</v>
      </c>
      <c r="C11" s="3" t="s">
        <v>93</v>
      </c>
      <c r="D11" s="3" t="s">
        <v>94</v>
      </c>
      <c r="F11" s="3" t="s">
        <v>95</v>
      </c>
      <c r="H11" s="3" t="s">
        <v>96</v>
      </c>
    </row>
    <row r="12" spans="1:9" ht="15" customHeight="1" x14ac:dyDescent="0.2">
      <c r="B12" s="3" t="s">
        <v>32</v>
      </c>
      <c r="C12" s="3" t="s">
        <v>97</v>
      </c>
      <c r="D12" s="3" t="s">
        <v>98</v>
      </c>
      <c r="F12" s="3" t="s">
        <v>99</v>
      </c>
      <c r="H12" s="3" t="s">
        <v>94</v>
      </c>
    </row>
    <row r="13" spans="1:9" ht="15" customHeight="1" x14ac:dyDescent="0.2">
      <c r="B13" s="3" t="s">
        <v>35</v>
      </c>
      <c r="D13" s="3" t="s">
        <v>100</v>
      </c>
      <c r="F13" s="3" t="s">
        <v>101</v>
      </c>
      <c r="H13" s="3" t="s">
        <v>102</v>
      </c>
    </row>
    <row r="14" spans="1:9" ht="15" customHeight="1" x14ac:dyDescent="0.2">
      <c r="B14" s="3" t="s">
        <v>37</v>
      </c>
      <c r="D14" s="3" t="s">
        <v>103</v>
      </c>
      <c r="F14" s="3" t="s">
        <v>97</v>
      </c>
      <c r="H14" s="3" t="s">
        <v>104</v>
      </c>
    </row>
    <row r="15" spans="1:9" ht="15" customHeight="1" x14ac:dyDescent="0.2">
      <c r="B15" s="3" t="s">
        <v>41</v>
      </c>
      <c r="D15" s="3" t="s">
        <v>105</v>
      </c>
      <c r="H15" s="3" t="s">
        <v>103</v>
      </c>
    </row>
    <row r="16" spans="1:9" ht="15" customHeight="1" x14ac:dyDescent="0.2">
      <c r="B16" s="3" t="s">
        <v>44</v>
      </c>
      <c r="D16" s="3" t="s">
        <v>106</v>
      </c>
      <c r="H16" s="3" t="s">
        <v>105</v>
      </c>
    </row>
    <row r="17" spans="2:8" ht="15" customHeight="1" x14ac:dyDescent="0.2">
      <c r="B17" s="3" t="s">
        <v>47</v>
      </c>
      <c r="D17" s="3" t="s">
        <v>107</v>
      </c>
      <c r="H17" s="3" t="s">
        <v>108</v>
      </c>
    </row>
    <row r="18" spans="2:8" ht="15" customHeight="1" x14ac:dyDescent="0.2">
      <c r="B18" s="3" t="s">
        <v>48</v>
      </c>
      <c r="D18" s="3" t="s">
        <v>109</v>
      </c>
      <c r="H18" s="3" t="s">
        <v>110</v>
      </c>
    </row>
    <row r="19" spans="2:8" ht="15" customHeight="1" x14ac:dyDescent="0.2">
      <c r="D19" s="3" t="s">
        <v>97</v>
      </c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zoomScaleNormal="100" workbookViewId="0">
      <pane ySplit="1" topLeftCell="A2" activePane="bottomLeft" state="frozen"/>
      <selection pane="bottomLeft" activeCell="C17" sqref="C17"/>
    </sheetView>
  </sheetViews>
  <sheetFormatPr defaultColWidth="8.5703125" defaultRowHeight="15" customHeight="1" x14ac:dyDescent="0.2"/>
  <cols>
    <col min="1" max="1" width="34" customWidth="1"/>
    <col min="2" max="2" width="12" customWidth="1"/>
    <col min="3" max="3" width="16" customWidth="1"/>
    <col min="4" max="4" width="48" customWidth="1"/>
  </cols>
  <sheetData>
    <row r="1" spans="1:4" ht="24" customHeight="1" x14ac:dyDescent="0.2">
      <c r="A1" s="27" t="s">
        <v>111</v>
      </c>
      <c r="B1" s="27"/>
      <c r="C1" s="27"/>
      <c r="D1" s="27"/>
    </row>
    <row r="2" spans="1:4" ht="36" customHeight="1" x14ac:dyDescent="0.2">
      <c r="A2" s="28" t="s">
        <v>112</v>
      </c>
      <c r="B2" s="28"/>
      <c r="C2" s="28"/>
      <c r="D2" s="28"/>
    </row>
    <row r="3" spans="1:4" ht="33.75" customHeight="1" x14ac:dyDescent="0.2">
      <c r="A3" s="2" t="s">
        <v>113</v>
      </c>
      <c r="B3" s="2" t="s">
        <v>114</v>
      </c>
      <c r="C3" s="2" t="s">
        <v>115</v>
      </c>
      <c r="D3" s="2" t="s">
        <v>116</v>
      </c>
    </row>
    <row r="4" spans="1:4" ht="15" customHeight="1" x14ac:dyDescent="0.2">
      <c r="A4" s="3" t="s">
        <v>66</v>
      </c>
      <c r="B4" s="4">
        <v>0.12</v>
      </c>
      <c r="C4" s="3" t="s">
        <v>63</v>
      </c>
      <c r="D4" s="3" t="s">
        <v>117</v>
      </c>
    </row>
    <row r="5" spans="1:4" ht="15" customHeight="1" x14ac:dyDescent="0.2">
      <c r="A5" s="3" t="s">
        <v>68</v>
      </c>
      <c r="B5" s="4">
        <v>0.12</v>
      </c>
      <c r="C5" s="3" t="s">
        <v>69</v>
      </c>
      <c r="D5" s="3" t="s">
        <v>118</v>
      </c>
    </row>
    <row r="6" spans="1:4" ht="15" customHeight="1" x14ac:dyDescent="0.2">
      <c r="A6" s="3" t="s">
        <v>76</v>
      </c>
      <c r="B6" s="4">
        <v>0.05</v>
      </c>
      <c r="C6" s="3" t="s">
        <v>69</v>
      </c>
      <c r="D6" s="3" t="s">
        <v>119</v>
      </c>
    </row>
    <row r="7" spans="1:4" ht="15" customHeight="1" x14ac:dyDescent="0.2">
      <c r="A7" s="3" t="s">
        <v>81</v>
      </c>
      <c r="B7" s="4">
        <v>0.08</v>
      </c>
      <c r="C7" s="3" t="s">
        <v>63</v>
      </c>
      <c r="D7" s="3" t="s">
        <v>120</v>
      </c>
    </row>
    <row r="8" spans="1:4" ht="15" customHeight="1" x14ac:dyDescent="0.2">
      <c r="A8" s="3" t="s">
        <v>85</v>
      </c>
      <c r="B8" s="4">
        <v>0.1</v>
      </c>
      <c r="C8" s="3" t="s">
        <v>63</v>
      </c>
      <c r="D8" s="3" t="s">
        <v>121</v>
      </c>
    </row>
    <row r="9" spans="1:4" ht="15" customHeight="1" x14ac:dyDescent="0.2">
      <c r="A9" s="3" t="s">
        <v>89</v>
      </c>
      <c r="B9" s="4">
        <v>0.08</v>
      </c>
      <c r="C9" s="3" t="s">
        <v>63</v>
      </c>
      <c r="D9" s="3" t="s">
        <v>122</v>
      </c>
    </row>
    <row r="10" spans="1:4" ht="15" customHeight="1" x14ac:dyDescent="0.2">
      <c r="A10" s="3" t="s">
        <v>92</v>
      </c>
      <c r="B10" s="4">
        <v>0.06</v>
      </c>
      <c r="C10" s="3" t="s">
        <v>69</v>
      </c>
      <c r="D10" s="3" t="s">
        <v>123</v>
      </c>
    </row>
    <row r="11" spans="1:4" ht="15" customHeight="1" x14ac:dyDescent="0.2">
      <c r="A11" s="3" t="s">
        <v>96</v>
      </c>
      <c r="B11" s="4">
        <v>0.03</v>
      </c>
      <c r="C11" s="3" t="s">
        <v>69</v>
      </c>
      <c r="D11" s="3" t="s">
        <v>124</v>
      </c>
    </row>
    <row r="12" spans="1:4" ht="15" customHeight="1" x14ac:dyDescent="0.2">
      <c r="A12" s="3" t="s">
        <v>249</v>
      </c>
      <c r="B12" s="4">
        <v>0.1</v>
      </c>
      <c r="C12" s="3" t="s">
        <v>63</v>
      </c>
      <c r="D12" s="3" t="s">
        <v>125</v>
      </c>
    </row>
    <row r="13" spans="1:4" ht="15" customHeight="1" x14ac:dyDescent="0.2">
      <c r="A13" s="3" t="s">
        <v>102</v>
      </c>
      <c r="B13" s="4">
        <v>0.06</v>
      </c>
      <c r="C13" s="3" t="s">
        <v>69</v>
      </c>
      <c r="D13" s="3" t="s">
        <v>126</v>
      </c>
    </row>
    <row r="14" spans="1:4" ht="15" customHeight="1" x14ac:dyDescent="0.2">
      <c r="A14" s="3" t="s">
        <v>251</v>
      </c>
      <c r="B14" s="4">
        <v>0.03</v>
      </c>
      <c r="C14" s="3" t="s">
        <v>69</v>
      </c>
      <c r="D14" s="3" t="s">
        <v>127</v>
      </c>
    </row>
    <row r="15" spans="1:4" ht="15" customHeight="1" x14ac:dyDescent="0.2">
      <c r="A15" s="3" t="s">
        <v>250</v>
      </c>
      <c r="B15" s="4">
        <v>0.03</v>
      </c>
      <c r="C15" s="3" t="s">
        <v>69</v>
      </c>
      <c r="D15" s="3" t="s">
        <v>128</v>
      </c>
    </row>
    <row r="16" spans="1:4" ht="15" customHeight="1" x14ac:dyDescent="0.2">
      <c r="A16" s="3" t="s">
        <v>105</v>
      </c>
      <c r="B16" s="4">
        <v>0.05</v>
      </c>
      <c r="C16" s="3" t="s">
        <v>69</v>
      </c>
      <c r="D16" s="3" t="s">
        <v>129</v>
      </c>
    </row>
    <row r="17" spans="1:4" ht="15" customHeight="1" x14ac:dyDescent="0.2">
      <c r="A17" s="3" t="s">
        <v>108</v>
      </c>
      <c r="B17" s="4">
        <v>0.03</v>
      </c>
      <c r="C17" s="3" t="s">
        <v>69</v>
      </c>
      <c r="D17" s="3" t="s">
        <v>130</v>
      </c>
    </row>
    <row r="18" spans="1:4" ht="15" customHeight="1" x14ac:dyDescent="0.2">
      <c r="A18" s="3" t="s">
        <v>110</v>
      </c>
      <c r="B18" s="4">
        <v>0.06</v>
      </c>
      <c r="C18" s="3" t="s">
        <v>69</v>
      </c>
      <c r="D18" s="3" t="s">
        <v>131</v>
      </c>
    </row>
    <row r="20" spans="1:4" ht="15" customHeight="1" x14ac:dyDescent="0.25">
      <c r="A20" s="5" t="s">
        <v>132</v>
      </c>
      <c r="B20" s="6">
        <f>SUM(B4:B18)</f>
        <v>1</v>
      </c>
    </row>
  </sheetData>
  <mergeCells count="2">
    <mergeCell ref="A1:D1"/>
    <mergeCell ref="A2:D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996"/>
  <sheetViews>
    <sheetView showGridLines="0" zoomScale="70" zoomScaleNormal="70" workbookViewId="0">
      <pane xSplit="13" ySplit="3" topLeftCell="N4" activePane="bottomRight" state="frozen"/>
      <selection pane="topRight" activeCell="N1" sqref="N1"/>
      <selection pane="bottomLeft" activeCell="A4" sqref="A4"/>
      <selection pane="bottomRight" activeCell="F17" sqref="F17"/>
    </sheetView>
  </sheetViews>
  <sheetFormatPr defaultColWidth="8.5703125" defaultRowHeight="15" customHeight="1" x14ac:dyDescent="0.2"/>
  <cols>
    <col min="1" max="1" width="20.85546875" customWidth="1"/>
    <col min="2" max="2" width="12" customWidth="1"/>
    <col min="3" max="3" width="9" customWidth="1"/>
    <col min="4" max="4" width="10" customWidth="1"/>
    <col min="5" max="5" width="9" customWidth="1"/>
    <col min="6" max="6" width="14" customWidth="1"/>
    <col min="7" max="7" width="18" hidden="1" customWidth="1"/>
    <col min="8" max="8" width="12" hidden="1" customWidth="1"/>
    <col min="9" max="9" width="24" hidden="1" customWidth="1"/>
    <col min="10" max="10" width="22" hidden="1" customWidth="1"/>
    <col min="11" max="11" width="28" hidden="1" customWidth="1"/>
    <col min="12" max="12" width="22" hidden="1" customWidth="1"/>
    <col min="13" max="13" width="24" hidden="1" customWidth="1"/>
    <col min="14" max="14" width="16" customWidth="1"/>
    <col min="15" max="15" width="15" customWidth="1"/>
    <col min="16" max="16" width="16" customWidth="1"/>
    <col min="17" max="17" width="10" customWidth="1"/>
    <col min="18" max="18" width="18" customWidth="1"/>
    <col min="19" max="19" width="11" customWidth="1"/>
    <col min="20" max="21" width="10" customWidth="1"/>
    <col min="22" max="22" width="12" customWidth="1"/>
    <col min="23" max="23" width="11" customWidth="1"/>
    <col min="24" max="24" width="12" customWidth="1"/>
    <col min="25" max="30" width="10" customWidth="1"/>
    <col min="31" max="32" width="9" customWidth="1"/>
    <col min="33" max="33" width="16" customWidth="1"/>
    <col min="34" max="34" width="11" customWidth="1"/>
    <col min="35" max="36" width="11" hidden="1" customWidth="1"/>
    <col min="37" max="37" width="13" hidden="1" customWidth="1"/>
    <col min="38" max="39" width="12" hidden="1" customWidth="1"/>
    <col min="40" max="40" width="16" hidden="1" customWidth="1"/>
    <col min="41" max="41" width="12" customWidth="1"/>
    <col min="42" max="42" width="18" customWidth="1"/>
    <col min="43" max="43" width="28" customWidth="1"/>
    <col min="44" max="45" width="24" customWidth="1"/>
    <col min="46" max="46" width="24" hidden="1" customWidth="1"/>
    <col min="47" max="47" width="18" customWidth="1"/>
    <col min="48" max="48" width="14" customWidth="1"/>
    <col min="49" max="49" width="24" customWidth="1"/>
    <col min="50" max="54" width="18" hidden="1" customWidth="1"/>
    <col min="55" max="55" width="16" hidden="1" customWidth="1"/>
    <col min="56" max="58" width="18" hidden="1" customWidth="1"/>
  </cols>
  <sheetData>
    <row r="1" spans="1:58" ht="24" customHeight="1" x14ac:dyDescent="0.2">
      <c r="A1" s="25" t="s">
        <v>133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</row>
    <row r="2" spans="1:58" ht="33.75" customHeight="1" x14ac:dyDescent="0.2">
      <c r="A2" s="26" t="s">
        <v>134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</row>
    <row r="3" spans="1:58" ht="39.75" customHeight="1" x14ac:dyDescent="0.2">
      <c r="A3" s="7" t="s">
        <v>135</v>
      </c>
      <c r="B3" s="7" t="s">
        <v>136</v>
      </c>
      <c r="C3" s="7" t="s">
        <v>137</v>
      </c>
      <c r="D3" s="7" t="s">
        <v>138</v>
      </c>
      <c r="E3" s="7" t="s">
        <v>2</v>
      </c>
      <c r="F3" s="7" t="s">
        <v>3</v>
      </c>
      <c r="G3" s="7" t="s">
        <v>139</v>
      </c>
      <c r="H3" s="7" t="s">
        <v>4</v>
      </c>
      <c r="I3" s="7" t="s">
        <v>5</v>
      </c>
      <c r="J3" s="7" t="s">
        <v>6</v>
      </c>
      <c r="K3" s="7" t="s">
        <v>7</v>
      </c>
      <c r="L3" s="7" t="s">
        <v>8</v>
      </c>
      <c r="M3" s="7" t="s">
        <v>9</v>
      </c>
      <c r="N3" s="7" t="s">
        <v>140</v>
      </c>
      <c r="O3" s="7" t="s">
        <v>141</v>
      </c>
      <c r="P3" s="7" t="s">
        <v>142</v>
      </c>
      <c r="Q3" s="7" t="s">
        <v>143</v>
      </c>
      <c r="R3" s="7" t="s">
        <v>144</v>
      </c>
      <c r="S3" s="7" t="s">
        <v>145</v>
      </c>
      <c r="T3" s="7" t="s">
        <v>146</v>
      </c>
      <c r="U3" s="7" t="s">
        <v>147</v>
      </c>
      <c r="V3" s="7" t="s">
        <v>148</v>
      </c>
      <c r="W3" s="7" t="s">
        <v>149</v>
      </c>
      <c r="X3" s="7" t="s">
        <v>150</v>
      </c>
      <c r="Y3" s="7" t="s">
        <v>151</v>
      </c>
      <c r="Z3" s="7" t="s">
        <v>152</v>
      </c>
      <c r="AA3" s="7" t="s">
        <v>153</v>
      </c>
      <c r="AB3" s="7" t="s">
        <v>249</v>
      </c>
      <c r="AC3" s="7" t="s">
        <v>154</v>
      </c>
      <c r="AD3" s="7" t="s">
        <v>251</v>
      </c>
      <c r="AE3" s="7" t="s">
        <v>250</v>
      </c>
      <c r="AF3" s="7" t="s">
        <v>155</v>
      </c>
      <c r="AG3" s="7" t="s">
        <v>156</v>
      </c>
      <c r="AH3" s="7" t="s">
        <v>157</v>
      </c>
      <c r="AI3" s="7" t="s">
        <v>158</v>
      </c>
      <c r="AJ3" s="7" t="s">
        <v>159</v>
      </c>
      <c r="AK3" s="7" t="s">
        <v>160</v>
      </c>
      <c r="AL3" s="7" t="s">
        <v>161</v>
      </c>
      <c r="AM3" s="7" t="s">
        <v>162</v>
      </c>
      <c r="AN3" s="7" t="s">
        <v>163</v>
      </c>
      <c r="AO3" s="7" t="s">
        <v>164</v>
      </c>
      <c r="AP3" s="7" t="s">
        <v>165</v>
      </c>
      <c r="AQ3" s="7" t="s">
        <v>166</v>
      </c>
      <c r="AR3" s="7" t="s">
        <v>167</v>
      </c>
      <c r="AS3" s="7" t="s">
        <v>168</v>
      </c>
      <c r="AT3" s="7" t="s">
        <v>169</v>
      </c>
      <c r="AU3" s="7" t="s">
        <v>170</v>
      </c>
      <c r="AV3" s="7" t="s">
        <v>171</v>
      </c>
      <c r="AW3" s="7" t="s">
        <v>172</v>
      </c>
      <c r="AX3" s="7" t="s">
        <v>173</v>
      </c>
      <c r="AY3" s="7" t="s">
        <v>174</v>
      </c>
      <c r="AZ3" s="7" t="s">
        <v>175</v>
      </c>
      <c r="BA3" s="7" t="s">
        <v>176</v>
      </c>
      <c r="BB3" s="7" t="s">
        <v>177</v>
      </c>
      <c r="BC3" s="7" t="s">
        <v>178</v>
      </c>
      <c r="BD3" s="7" t="s">
        <v>179</v>
      </c>
      <c r="BE3" s="7" t="s">
        <v>180</v>
      </c>
      <c r="BF3" s="7" t="s">
        <v>181</v>
      </c>
    </row>
    <row r="4" spans="1:58" ht="19.5" customHeight="1" x14ac:dyDescent="0.2">
      <c r="A4" s="8" t="str">
        <f>IF($B4="","",TEXT($B4,"yyyymmdd")&amp;"-"&amp;SUBSTITUTE($F4," ","")&amp;"-"&amp;TEXT(COUNTIF($F$4:F4,$F4),"00"))</f>
        <v>20260326-Cluster2A-01</v>
      </c>
      <c r="B4" s="9">
        <v>46107</v>
      </c>
      <c r="C4" s="8">
        <f t="shared" ref="C4:C63" si="0">IF($B4="","",WEEKNUM($B4,2))</f>
        <v>13</v>
      </c>
      <c r="D4" s="8" t="str">
        <f t="shared" ref="D4:D63" si="1">IF($B4="","",TEXT($B4,"yyyy-mm"))</f>
        <v>2026-03</v>
      </c>
      <c r="E4" s="10">
        <v>4</v>
      </c>
      <c r="F4" s="10" t="s">
        <v>44</v>
      </c>
      <c r="G4" s="8" t="str">
        <f>IF(OR($E4="",$F4=""),"",IFERROR(IF($E4=INDEX(Cluster_Master!$A$4:$A$18,MATCH($F4,Cluster_Master!$B$4:$B$18,0)),"OK","CHECK"),"CHECK"))</f>
        <v>OK</v>
      </c>
      <c r="H4" s="11" t="str">
        <f>IFERROR(INDEX(Cluster_Master!$C$4:$C$18,MATCH($F4,Cluster_Master!$B$4:$B$18,0)),"")</f>
        <v>TAJV</v>
      </c>
      <c r="I4" s="8" t="str">
        <f>IFERROR(INDEX(Cluster_Master!$D$4:$D$18,MATCH($F4,Cluster_Master!$B$4:$B$18,0)),"")</f>
        <v>Hicham Adel Narch</v>
      </c>
      <c r="J4" s="8" t="str">
        <f>IFERROR(INDEX(Cluster_Master!$E$4:$E$18,MATCH($F4,Cluster_Master!$B$4:$B$18,0)),"")</f>
        <v>Ghaidh Alfaour</v>
      </c>
      <c r="K4" s="8" t="str">
        <f>IFERROR(INDEX(Cluster_Master!$F$4:$F$18,MATCH($F4,Cluster_Master!$B$4:$B$18,0)),"")</f>
        <v>Ahmed Salah Hassan Dewidar</v>
      </c>
      <c r="L4" s="8" t="str">
        <f>IFERROR(INDEX(Cluster_Master!$G$4:$G$18,MATCH($F4,Cluster_Master!$B$4:$B$18,0)),"")</f>
        <v>Timur Terakopov</v>
      </c>
      <c r="M4" s="8" t="str">
        <f>IFERROR(INDEX(Cluster_Master!$H$4:$H$18,MATCH($F4,Cluster_Master!$B$4:$B$18,0)),"")</f>
        <v>Rami Issa</v>
      </c>
      <c r="N4" s="12" t="s">
        <v>237</v>
      </c>
      <c r="O4" s="12" t="s">
        <v>253</v>
      </c>
      <c r="P4" s="12" t="s">
        <v>238</v>
      </c>
      <c r="Q4" s="12"/>
      <c r="R4" s="12" t="s">
        <v>62</v>
      </c>
      <c r="S4" s="12" t="s">
        <v>63</v>
      </c>
      <c r="T4" s="13">
        <v>2</v>
      </c>
      <c r="U4" s="13">
        <v>2</v>
      </c>
      <c r="V4" s="13">
        <v>3</v>
      </c>
      <c r="W4" s="13">
        <v>3</v>
      </c>
      <c r="X4" s="13">
        <v>2</v>
      </c>
      <c r="Y4" s="13">
        <v>3</v>
      </c>
      <c r="Z4" s="13">
        <v>1</v>
      </c>
      <c r="AA4" s="13">
        <v>3</v>
      </c>
      <c r="AB4" s="13"/>
      <c r="AC4" s="13">
        <v>3</v>
      </c>
      <c r="AD4" s="13">
        <v>1</v>
      </c>
      <c r="AE4" s="13">
        <v>1</v>
      </c>
      <c r="AF4" s="13">
        <v>2</v>
      </c>
      <c r="AG4" s="13">
        <v>1</v>
      </c>
      <c r="AH4" s="13">
        <v>2</v>
      </c>
      <c r="AI4" s="8">
        <f t="shared" ref="AI4:AI63" si="2">IF(COUNTA(T4:AH4)=0,"",SUM(T4:AH4))</f>
        <v>29</v>
      </c>
      <c r="AJ4" s="14">
        <f t="shared" ref="AJ4:AJ63" si="3">IF(COUNTA(T4:AH4)=0,"",AI4/75)</f>
        <v>0.38666666666666666</v>
      </c>
      <c r="AK4" s="14">
        <f>IF(COUNTA(T4:AH4)=0,"",(SUM(T4*KPI_Weights!$B$4,U4*KPI_Weights!$B$5,V4*KPI_Weights!$B$6,W4*KPI_Weights!$B$7,X4*KPI_Weights!$B$8,Y4*KPI_Weights!$B$9,Z4*KPI_Weights!$B$10,AA4*KPI_Weights!$B$11,AB4*KPI_Weights!$B$12,AC4*KPI_Weights!$B$13,AD4*KPI_Weights!$B$14,AE4*KPI_Weights!$B$15,AF4*KPI_Weights!$B$16,AG4*KPI_Weights!$B$17,AH4*KPI_Weights!$B$18))/5)</f>
        <v>0.39</v>
      </c>
      <c r="AL4" s="8" t="str">
        <f t="shared" ref="AL4:AL63" si="4">IF(COUNTA(T4:AH4)=0,"",IF(OR(T4&lt;=1,W4&lt;=1,X4&lt;=1,Y4&lt;=1,AB4&lt;=1),"YES","NO"))</f>
        <v>YES</v>
      </c>
      <c r="AM4" s="8" t="str">
        <f t="shared" ref="AM4:AM63" si="5">IF(AJ4="","",IF(AND(AL4="NO",AJ4&gt;=0.75),"YES","NO"))</f>
        <v>NO</v>
      </c>
      <c r="AN4" s="8" t="str">
        <f t="shared" ref="AN4:AN63" si="6">IF(AJ4="","",IF(AJ4&lt;0.4,"Critical",IF(AJ4&lt;0.6,"Poor",IF(AJ4&lt;0.75,"Needs Improvement",IF(AJ4&lt;0.9,"Good","Excellent")))))</f>
        <v>Critical</v>
      </c>
      <c r="AO4" s="12" t="s">
        <v>63</v>
      </c>
      <c r="AP4" s="12" t="s">
        <v>64</v>
      </c>
      <c r="AQ4" s="12" t="s">
        <v>239</v>
      </c>
      <c r="AR4" s="12" t="s">
        <v>240</v>
      </c>
      <c r="AS4" s="12" t="s">
        <v>241</v>
      </c>
      <c r="AT4" s="15"/>
      <c r="AU4" s="12" t="s">
        <v>242</v>
      </c>
      <c r="AV4" s="16">
        <v>46114</v>
      </c>
      <c r="AW4" s="12"/>
      <c r="AX4" s="15"/>
      <c r="AY4" s="15"/>
      <c r="AZ4" s="15"/>
      <c r="BA4" s="15"/>
      <c r="BB4" s="15"/>
      <c r="BC4" s="15"/>
      <c r="BD4" s="15"/>
      <c r="BE4" s="15"/>
      <c r="BF4" s="15"/>
    </row>
    <row r="5" spans="1:58" ht="19.5" customHeight="1" x14ac:dyDescent="0.2">
      <c r="A5" s="8" t="str">
        <f>IF($B5="","",TEXT($B5,"yyyymmdd")&amp;"-"&amp;SUBSTITUTE($F5," ","")&amp;"-"&amp;TEXT(COUNTIF($F$4:F5,$F5),"00"))</f>
        <v>20260326-Cluster8A-01</v>
      </c>
      <c r="B5" s="9">
        <v>46107</v>
      </c>
      <c r="C5" s="8">
        <f t="shared" si="0"/>
        <v>13</v>
      </c>
      <c r="D5" s="8" t="str">
        <f t="shared" si="1"/>
        <v>2026-03</v>
      </c>
      <c r="E5" s="10">
        <v>2</v>
      </c>
      <c r="F5" s="10" t="s">
        <v>19</v>
      </c>
      <c r="G5" s="8" t="str">
        <f>IF(OR($E5="",$F5=""),"",IFERROR(IF($E5=INDEX(Cluster_Master!$A$4:$A$18,MATCH($F5,Cluster_Master!$B$4:$B$18,0)),"OK","CHECK"),"CHECK"))</f>
        <v>OK</v>
      </c>
      <c r="H5" s="11" t="str">
        <f>IFERROR(INDEX(Cluster_Master!$C$4:$C$18,MATCH($F5,Cluster_Master!$B$4:$B$18,0)),"")</f>
        <v>TAJV</v>
      </c>
      <c r="I5" s="8" t="str">
        <f>IFERROR(INDEX(Cluster_Master!$D$4:$D$18,MATCH($F5,Cluster_Master!$B$4:$B$18,0)),"")</f>
        <v>Hicham Adel Narch</v>
      </c>
      <c r="J5" s="8" t="str">
        <f>IFERROR(INDEX(Cluster_Master!$E$4:$E$18,MATCH($F5,Cluster_Master!$B$4:$B$18,0)),"")</f>
        <v>Ghaidh Alfaour</v>
      </c>
      <c r="K5" s="8" t="str">
        <f>IFERROR(INDEX(Cluster_Master!$F$4:$F$18,MATCH($F5,Cluster_Master!$B$4:$B$18,0)),"")</f>
        <v>Mohamed Salama</v>
      </c>
      <c r="L5" s="8" t="str">
        <f>IFERROR(INDEX(Cluster_Master!$G$4:$G$18,MATCH($F5,Cluster_Master!$B$4:$B$18,0)),"")</f>
        <v>Timur</v>
      </c>
      <c r="M5" s="8" t="str">
        <f>IFERROR(INDEX(Cluster_Master!$H$4:$H$18,MATCH($F5,Cluster_Master!$B$4:$B$18,0)),"")</f>
        <v>Ahmad Adel</v>
      </c>
      <c r="N5" s="12" t="s">
        <v>237</v>
      </c>
      <c r="O5" s="12" t="s">
        <v>253</v>
      </c>
      <c r="P5" s="12" t="s">
        <v>243</v>
      </c>
      <c r="Q5" s="12"/>
      <c r="R5" s="12" t="s">
        <v>83</v>
      </c>
      <c r="S5" s="12" t="s">
        <v>69</v>
      </c>
      <c r="T5" s="13">
        <v>4</v>
      </c>
      <c r="U5" s="13">
        <v>4</v>
      </c>
      <c r="V5" s="13">
        <v>4</v>
      </c>
      <c r="W5" s="13">
        <v>4</v>
      </c>
      <c r="X5" s="13">
        <v>4</v>
      </c>
      <c r="Y5" s="13">
        <v>4</v>
      </c>
      <c r="Z5" s="13">
        <v>4</v>
      </c>
      <c r="AA5" s="13">
        <v>4</v>
      </c>
      <c r="AB5" s="13">
        <v>4</v>
      </c>
      <c r="AC5" s="13">
        <v>4</v>
      </c>
      <c r="AD5" s="13">
        <v>4</v>
      </c>
      <c r="AE5" s="13">
        <v>3</v>
      </c>
      <c r="AF5" s="13">
        <v>4</v>
      </c>
      <c r="AG5" s="13">
        <v>4</v>
      </c>
      <c r="AH5" s="13">
        <v>4</v>
      </c>
      <c r="AI5" s="8">
        <f t="shared" si="2"/>
        <v>59</v>
      </c>
      <c r="AJ5" s="14">
        <f t="shared" si="3"/>
        <v>0.78666666666666663</v>
      </c>
      <c r="AK5" s="14">
        <f>IF(COUNTA(T5:AH5)=0,"",(SUM(T5*KPI_Weights!$B$4,U5*KPI_Weights!$B$5,V5*KPI_Weights!$B$6,W5*KPI_Weights!$B$7,X5*KPI_Weights!$B$8,Y5*KPI_Weights!$B$9,Z5*KPI_Weights!$B$10,AA5*KPI_Weights!$B$11,AB5*KPI_Weights!$B$12,AC5*KPI_Weights!$B$13,AD5*KPI_Weights!$B$14,AE5*KPI_Weights!$B$15,AF5*KPI_Weights!$B$16,AG5*KPI_Weights!$B$17,AH5*KPI_Weights!$B$18))/5)</f>
        <v>0.79399999999999993</v>
      </c>
      <c r="AL5" s="8" t="str">
        <f t="shared" si="4"/>
        <v>NO</v>
      </c>
      <c r="AM5" s="8" t="str">
        <f t="shared" si="5"/>
        <v>YES</v>
      </c>
      <c r="AN5" s="8" t="str">
        <f t="shared" si="6"/>
        <v>Good</v>
      </c>
      <c r="AO5" s="12" t="s">
        <v>69</v>
      </c>
      <c r="AP5" s="12" t="s">
        <v>97</v>
      </c>
      <c r="AQ5" s="12" t="s">
        <v>244</v>
      </c>
      <c r="AR5" s="12" t="s">
        <v>245</v>
      </c>
      <c r="AS5" s="12" t="s">
        <v>246</v>
      </c>
      <c r="AT5" s="15"/>
      <c r="AU5" s="12" t="s">
        <v>247</v>
      </c>
      <c r="AV5" s="16" t="s">
        <v>248</v>
      </c>
      <c r="AW5" s="12"/>
      <c r="AX5" s="15"/>
      <c r="AY5" s="15"/>
      <c r="AZ5" s="15"/>
      <c r="BA5" s="15"/>
      <c r="BB5" s="15"/>
      <c r="BC5" s="15"/>
      <c r="BD5" s="15"/>
      <c r="BE5" s="15"/>
      <c r="BF5" s="15"/>
    </row>
    <row r="6" spans="1:58" ht="19.5" customHeight="1" x14ac:dyDescent="0.2">
      <c r="A6" s="8" t="str">
        <f>IF($B6="","",TEXT($B6,"yyyymmdd")&amp;"-"&amp;SUBSTITUTE($F6," ","")&amp;"-"&amp;TEXT(COUNTIF($F$4:F6,$F6),"00"))</f>
        <v>20260330-Cluster4-01</v>
      </c>
      <c r="B6" s="9">
        <v>46111</v>
      </c>
      <c r="C6" s="8">
        <f t="shared" si="0"/>
        <v>14</v>
      </c>
      <c r="D6" s="8" t="str">
        <f t="shared" si="1"/>
        <v>2026-03</v>
      </c>
      <c r="E6" s="10">
        <v>3</v>
      </c>
      <c r="F6" s="10" t="s">
        <v>30</v>
      </c>
      <c r="G6" s="8" t="str">
        <f>IF(OR($E6="",$F6=""),"",IFERROR(IF($E6=INDEX(Cluster_Master!$A$4:$A$18,MATCH($F6,Cluster_Master!$B$4:$B$18,0)),"OK","CHECK"),"CHECK"))</f>
        <v>OK</v>
      </c>
      <c r="H6" s="11" t="str">
        <f>IFERROR(INDEX(Cluster_Master!$C$4:$C$18,MATCH($F6,Cluster_Master!$B$4:$B$18,0)),"")</f>
        <v>INNOVO</v>
      </c>
      <c r="I6" s="8" t="str">
        <f>IFERROR(INDEX(Cluster_Master!$D$4:$D$18,MATCH($F6,Cluster_Master!$B$4:$B$18,0)),"")</f>
        <v>Kahtan Tikriti</v>
      </c>
      <c r="J6" s="8" t="str">
        <f>IFERROR(INDEX(Cluster_Master!$E$4:$E$18,MATCH($F6,Cluster_Master!$B$4:$B$18,0)),"")</f>
        <v>Aiman Abdullah</v>
      </c>
      <c r="K6" s="8" t="str">
        <f>IFERROR(INDEX(Cluster_Master!$F$4:$F$18,MATCH($F6,Cluster_Master!$B$4:$B$18,0)),"")</f>
        <v>Baha Basheer</v>
      </c>
      <c r="L6" s="8" t="str">
        <f>IFERROR(INDEX(Cluster_Master!$G$4:$G$18,MATCH($F6,Cluster_Master!$B$4:$B$18,0)),"")</f>
        <v>Mazen Al Atwani</v>
      </c>
      <c r="M6" s="8">
        <f>IFERROR(INDEX(Cluster_Master!$H$4:$H$18,MATCH($F6,Cluster_Master!$B$4:$B$18,0)),"")</f>
        <v>0</v>
      </c>
      <c r="N6" s="12" t="s">
        <v>252</v>
      </c>
      <c r="O6" s="12" t="s">
        <v>253</v>
      </c>
      <c r="P6" s="12" t="s">
        <v>238</v>
      </c>
      <c r="Q6" s="12" t="s">
        <v>254</v>
      </c>
      <c r="R6" s="12" t="s">
        <v>68</v>
      </c>
      <c r="S6" s="12" t="s">
        <v>69</v>
      </c>
      <c r="T6" s="13">
        <v>3</v>
      </c>
      <c r="U6" s="13">
        <v>2</v>
      </c>
      <c r="V6" s="13">
        <v>3</v>
      </c>
      <c r="W6" s="13">
        <v>3</v>
      </c>
      <c r="X6" s="13">
        <v>2</v>
      </c>
      <c r="Y6" s="13">
        <v>4</v>
      </c>
      <c r="Z6" s="13">
        <v>3</v>
      </c>
      <c r="AA6" s="13">
        <v>5</v>
      </c>
      <c r="AB6" s="13">
        <v>1</v>
      </c>
      <c r="AC6" s="13">
        <v>2</v>
      </c>
      <c r="AD6" s="13">
        <v>4</v>
      </c>
      <c r="AE6" s="13">
        <v>2</v>
      </c>
      <c r="AF6" s="13">
        <v>3</v>
      </c>
      <c r="AG6" s="13">
        <v>1</v>
      </c>
      <c r="AH6" s="13">
        <v>3</v>
      </c>
      <c r="AI6" s="8">
        <f t="shared" si="2"/>
        <v>41</v>
      </c>
      <c r="AJ6" s="14">
        <f t="shared" si="3"/>
        <v>0.54666666666666663</v>
      </c>
      <c r="AK6" s="14">
        <f>IF(COUNTA(T6:AH6)=0,"",(SUM(T6*KPI_Weights!$B$4,U6*KPI_Weights!$B$5,V6*KPI_Weights!$B$6,W6*KPI_Weights!$B$7,X6*KPI_Weights!$B$8,Y6*KPI_Weights!$B$9,Z6*KPI_Weights!$B$10,AA6*KPI_Weights!$B$11,AB6*KPI_Weights!$B$12,AC6*KPI_Weights!$B$13,AD6*KPI_Weights!$B$14,AE6*KPI_Weights!$B$15,AF6*KPI_Weights!$B$16,AG6*KPI_Weights!$B$17,AH6*KPI_Weights!$B$18))/5)</f>
        <v>0.52</v>
      </c>
      <c r="AL6" s="8" t="str">
        <f t="shared" si="4"/>
        <v>YES</v>
      </c>
      <c r="AM6" s="8" t="str">
        <f t="shared" si="5"/>
        <v>NO</v>
      </c>
      <c r="AN6" s="8" t="str">
        <f t="shared" si="6"/>
        <v>Poor</v>
      </c>
      <c r="AO6" s="12" t="s">
        <v>69</v>
      </c>
      <c r="AP6" s="12" t="s">
        <v>70</v>
      </c>
      <c r="AQ6" s="12"/>
      <c r="AR6" s="12" t="s">
        <v>255</v>
      </c>
      <c r="AS6" s="12" t="s">
        <v>256</v>
      </c>
      <c r="AT6" s="15"/>
      <c r="AU6" s="12"/>
      <c r="AV6" s="16">
        <v>46112</v>
      </c>
      <c r="AW6" s="12"/>
      <c r="AX6" s="15"/>
      <c r="AY6" s="15"/>
      <c r="AZ6" s="15"/>
      <c r="BA6" s="15"/>
      <c r="BB6" s="15"/>
      <c r="BC6" s="15"/>
      <c r="BD6" s="15"/>
      <c r="BE6" s="15"/>
      <c r="BF6" s="15"/>
    </row>
    <row r="7" spans="1:58" ht="19.5" customHeight="1" x14ac:dyDescent="0.2">
      <c r="A7" s="8" t="str">
        <f>IF($B7="","",TEXT($B7,"yyyymmdd")&amp;"-"&amp;SUBSTITUTE($F7," ","")&amp;"-"&amp;TEXT(COUNTIF($F$4:F7,$F7),"00"))</f>
        <v>20260331-Cluster1A-01</v>
      </c>
      <c r="B7" s="9">
        <v>46112</v>
      </c>
      <c r="C7" s="8">
        <f t="shared" si="0"/>
        <v>14</v>
      </c>
      <c r="D7" s="8" t="str">
        <f t="shared" si="1"/>
        <v>2026-03</v>
      </c>
      <c r="E7" s="10">
        <v>3</v>
      </c>
      <c r="F7" s="10" t="s">
        <v>37</v>
      </c>
      <c r="G7" s="8" t="str">
        <f>IF(OR($E7="",$F7=""),"",IFERROR(IF($E7=INDEX(Cluster_Master!$A$4:$A$18,MATCH($F7,Cluster_Master!$B$4:$B$18,0)),"OK","CHECK"),"CHECK"))</f>
        <v>CHECK</v>
      </c>
      <c r="H7" s="11" t="str">
        <f>IFERROR(INDEX(Cluster_Master!$C$4:$C$18,MATCH($F7,Cluster_Master!$B$4:$B$18,0)),"")</f>
        <v>TAJV</v>
      </c>
      <c r="I7" s="8" t="str">
        <f>IFERROR(INDEX(Cluster_Master!$D$4:$D$18,MATCH($F7,Cluster_Master!$B$4:$B$18,0)),"")</f>
        <v>Hicham Adel Narch</v>
      </c>
      <c r="J7" s="8" t="str">
        <f>IFERROR(INDEX(Cluster_Master!$E$4:$E$18,MATCH($F7,Cluster_Master!$B$4:$B$18,0)),"")</f>
        <v>Ghaidh Alfaour</v>
      </c>
      <c r="K7" s="8" t="str">
        <f>IFERROR(INDEX(Cluster_Master!$F$4:$F$18,MATCH($F7,Cluster_Master!$B$4:$B$18,0)),"")</f>
        <v>Alaa Hegab</v>
      </c>
      <c r="L7" s="8" t="str">
        <f>IFERROR(INDEX(Cluster_Master!$G$4:$G$18,MATCH($F7,Cluster_Master!$B$4:$B$18,0)),"")</f>
        <v>Timur Terakopov</v>
      </c>
      <c r="M7" s="8" t="str">
        <f>IFERROR(INDEX(Cluster_Master!$H$4:$H$18,MATCH($F7,Cluster_Master!$B$4:$B$18,0)),"")</f>
        <v>Amr Taha</v>
      </c>
      <c r="N7" s="12" t="s">
        <v>257</v>
      </c>
      <c r="O7" s="12" t="s">
        <v>253</v>
      </c>
      <c r="P7" s="12" t="s">
        <v>238</v>
      </c>
      <c r="Q7" s="12" t="s">
        <v>254</v>
      </c>
      <c r="R7" s="12" t="s">
        <v>68</v>
      </c>
      <c r="S7" s="12" t="s">
        <v>69</v>
      </c>
      <c r="T7" s="13">
        <v>3</v>
      </c>
      <c r="U7" s="13">
        <v>2</v>
      </c>
      <c r="V7" s="13">
        <v>3</v>
      </c>
      <c r="W7" s="13">
        <v>3</v>
      </c>
      <c r="X7" s="13">
        <v>2</v>
      </c>
      <c r="Y7" s="13">
        <v>4</v>
      </c>
      <c r="Z7" s="13">
        <v>3</v>
      </c>
      <c r="AA7" s="13">
        <v>5</v>
      </c>
      <c r="AB7" s="13">
        <v>1</v>
      </c>
      <c r="AC7" s="13">
        <v>2</v>
      </c>
      <c r="AD7" s="13">
        <v>4</v>
      </c>
      <c r="AE7" s="13">
        <v>2</v>
      </c>
      <c r="AF7" s="13">
        <v>3</v>
      </c>
      <c r="AG7" s="13">
        <v>1</v>
      </c>
      <c r="AH7" s="13">
        <v>3</v>
      </c>
      <c r="AI7" s="8">
        <f t="shared" ref="AI7" si="7">IF(COUNTA(T7:AH7)=0,"",SUM(T7:AH7))</f>
        <v>41</v>
      </c>
      <c r="AJ7" s="14">
        <f t="shared" ref="AJ7" si="8">IF(COUNTA(T7:AH7)=0,"",AI7/75)</f>
        <v>0.54666666666666663</v>
      </c>
      <c r="AK7" s="14">
        <f>IF(COUNTA(T7:AH7)=0,"",(SUM(T7*KPI_Weights!$B$4,U7*KPI_Weights!$B$5,V7*KPI_Weights!$B$6,W7*KPI_Weights!$B$7,X7*KPI_Weights!$B$8,Y7*KPI_Weights!$B$9,Z7*KPI_Weights!$B$10,AA7*KPI_Weights!$B$11,AB7*KPI_Weights!$B$12,AC7*KPI_Weights!$B$13,AD7*KPI_Weights!$B$14,AE7*KPI_Weights!$B$15,AF7*KPI_Weights!$B$16,AG7*KPI_Weights!$B$17,AH7*KPI_Weights!$B$18))/5)</f>
        <v>0.52</v>
      </c>
      <c r="AL7" s="8" t="str">
        <f t="shared" ref="AL7" si="9">IF(COUNTA(T7:AH7)=0,"",IF(OR(T7&lt;=1,W7&lt;=1,X7&lt;=1,Y7&lt;=1,AB7&lt;=1),"YES","NO"))</f>
        <v>YES</v>
      </c>
      <c r="AM7" s="8" t="str">
        <f t="shared" ref="AM7" si="10">IF(AJ7="","",IF(AND(AL7="NO",AJ7&gt;=0.75),"YES","NO"))</f>
        <v>NO</v>
      </c>
      <c r="AN7" s="8" t="str">
        <f t="shared" ref="AN7" si="11">IF(AJ7="","",IF(AJ7&lt;0.4,"Critical",IF(AJ7&lt;0.6,"Poor",IF(AJ7&lt;0.75,"Needs Improvement",IF(AJ7&lt;0.9,"Good","Excellent")))))</f>
        <v>Poor</v>
      </c>
      <c r="AO7" s="12" t="s">
        <v>69</v>
      </c>
      <c r="AP7" s="12" t="s">
        <v>70</v>
      </c>
      <c r="AQ7" s="12"/>
      <c r="AR7" s="12" t="s">
        <v>255</v>
      </c>
      <c r="AS7" s="12" t="s">
        <v>256</v>
      </c>
      <c r="AT7" s="15"/>
      <c r="AU7" s="12"/>
      <c r="AV7" s="16">
        <v>46112</v>
      </c>
      <c r="AW7" s="12"/>
      <c r="AX7" s="15"/>
      <c r="AY7" s="15"/>
      <c r="AZ7" s="15"/>
      <c r="BA7" s="15"/>
      <c r="BB7" s="15"/>
      <c r="BC7" s="15"/>
      <c r="BD7" s="15"/>
      <c r="BE7" s="15"/>
      <c r="BF7" s="15"/>
    </row>
    <row r="8" spans="1:58" ht="19.5" customHeight="1" x14ac:dyDescent="0.2">
      <c r="A8" s="8" t="str">
        <f>IF($B8="","",TEXT($B8,"yyyymmdd")&amp;"-"&amp;SUBSTITUTE($F8," ","")&amp;"-"&amp;TEXT(COUNTIF($F$4:F8,$F8),"00"))</f>
        <v>20260331-Cluster1B-01</v>
      </c>
      <c r="B8" s="9">
        <v>46112</v>
      </c>
      <c r="C8" s="8">
        <f t="shared" si="0"/>
        <v>14</v>
      </c>
      <c r="D8" s="8" t="str">
        <f t="shared" si="1"/>
        <v>2026-03</v>
      </c>
      <c r="E8" s="10">
        <v>3</v>
      </c>
      <c r="F8" s="10" t="s">
        <v>41</v>
      </c>
      <c r="G8" s="8" t="str">
        <f>IF(OR($E8="",$F8=""),"",IFERROR(IF($E8=INDEX(Cluster_Master!$A$4:$A$18,MATCH($F8,Cluster_Master!$B$4:$B$18,0)),"OK","CHECK"),"CHECK"))</f>
        <v>CHECK</v>
      </c>
      <c r="H8" s="11" t="str">
        <f>IFERROR(INDEX(Cluster_Master!$C$4:$C$18,MATCH($F8,Cluster_Master!$B$4:$B$18,0)),"")</f>
        <v>TAJV</v>
      </c>
      <c r="I8" s="8" t="str">
        <f>IFERROR(INDEX(Cluster_Master!$D$4:$D$18,MATCH($F8,Cluster_Master!$B$4:$B$18,0)),"")</f>
        <v>Hicham Adel Narch</v>
      </c>
      <c r="J8" s="8" t="str">
        <f>IFERROR(INDEX(Cluster_Master!$E$4:$E$18,MATCH($F8,Cluster_Master!$B$4:$B$18,0)),"")</f>
        <v>Ghaidh Alfaour</v>
      </c>
      <c r="K8" s="8" t="str">
        <f>IFERROR(INDEX(Cluster_Master!$F$4:$F$18,MATCH($F8,Cluster_Master!$B$4:$B$18,0)),"")</f>
        <v>Hossam Ali Maher</v>
      </c>
      <c r="L8" s="8" t="str">
        <f>IFERROR(INDEX(Cluster_Master!$G$4:$G$18,MATCH($F8,Cluster_Master!$B$4:$B$18,0)),"")</f>
        <v>Timur Terakopov</v>
      </c>
      <c r="M8" s="8" t="str">
        <f>IFERROR(INDEX(Cluster_Master!$H$4:$H$18,MATCH($F8,Cluster_Master!$B$4:$B$18,0)),"")</f>
        <v>Md Ramadan / Osama Said</v>
      </c>
      <c r="N8" s="12" t="s">
        <v>257</v>
      </c>
      <c r="O8" s="12" t="s">
        <v>253</v>
      </c>
      <c r="P8" s="12" t="s">
        <v>238</v>
      </c>
      <c r="Q8" s="12" t="s">
        <v>254</v>
      </c>
      <c r="R8" s="12" t="s">
        <v>68</v>
      </c>
      <c r="S8" s="12" t="s">
        <v>69</v>
      </c>
      <c r="T8" s="13">
        <v>3</v>
      </c>
      <c r="U8" s="13">
        <v>2</v>
      </c>
      <c r="V8" s="13">
        <v>3</v>
      </c>
      <c r="W8" s="13">
        <v>3</v>
      </c>
      <c r="X8" s="13">
        <v>2</v>
      </c>
      <c r="Y8" s="13">
        <v>4</v>
      </c>
      <c r="Z8" s="13">
        <v>3</v>
      </c>
      <c r="AA8" s="13">
        <v>5</v>
      </c>
      <c r="AB8" s="13">
        <v>1</v>
      </c>
      <c r="AC8" s="13">
        <v>2</v>
      </c>
      <c r="AD8" s="13">
        <v>4</v>
      </c>
      <c r="AE8" s="13">
        <v>2</v>
      </c>
      <c r="AF8" s="13">
        <v>3</v>
      </c>
      <c r="AG8" s="13">
        <v>1</v>
      </c>
      <c r="AH8" s="13">
        <v>3</v>
      </c>
      <c r="AI8" s="8">
        <f t="shared" ref="AI8:AI9" si="12">IF(COUNTA(T8:AH8)=0,"",SUM(T8:AH8))</f>
        <v>41</v>
      </c>
      <c r="AJ8" s="14">
        <f t="shared" ref="AJ8:AJ9" si="13">IF(COUNTA(T8:AH8)=0,"",AI8/75)</f>
        <v>0.54666666666666663</v>
      </c>
      <c r="AK8" s="14">
        <f>IF(COUNTA(T8:AH8)=0,"",(SUM(T8*KPI_Weights!$B$4,U8*KPI_Weights!$B$5,V8*KPI_Weights!$B$6,W8*KPI_Weights!$B$7,X8*KPI_Weights!$B$8,Y8*KPI_Weights!$B$9,Z8*KPI_Weights!$B$10,AA8*KPI_Weights!$B$11,AB8*KPI_Weights!$B$12,AC8*KPI_Weights!$B$13,AD8*KPI_Weights!$B$14,AE8*KPI_Weights!$B$15,AF8*KPI_Weights!$B$16,AG8*KPI_Weights!$B$17,AH8*KPI_Weights!$B$18))/5)</f>
        <v>0.52</v>
      </c>
      <c r="AL8" s="8" t="str">
        <f t="shared" ref="AL8:AL9" si="14">IF(COUNTA(T8:AH8)=0,"",IF(OR(T8&lt;=1,W8&lt;=1,X8&lt;=1,Y8&lt;=1,AB8&lt;=1),"YES","NO"))</f>
        <v>YES</v>
      </c>
      <c r="AM8" s="8" t="str">
        <f t="shared" ref="AM8:AM9" si="15">IF(AJ8="","",IF(AND(AL8="NO",AJ8&gt;=0.75),"YES","NO"))</f>
        <v>NO</v>
      </c>
      <c r="AN8" s="8" t="str">
        <f t="shared" ref="AN8:AN9" si="16">IF(AJ8="","",IF(AJ8&lt;0.4,"Critical",IF(AJ8&lt;0.6,"Poor",IF(AJ8&lt;0.75,"Needs Improvement",IF(AJ8&lt;0.9,"Good","Excellent")))))</f>
        <v>Poor</v>
      </c>
      <c r="AO8" s="12" t="s">
        <v>69</v>
      </c>
      <c r="AP8" s="12" t="s">
        <v>70</v>
      </c>
      <c r="AQ8" s="12"/>
      <c r="AR8" s="12" t="s">
        <v>255</v>
      </c>
      <c r="AS8" s="12" t="s">
        <v>256</v>
      </c>
      <c r="AT8" s="15"/>
      <c r="AU8" s="12"/>
      <c r="AV8" s="16">
        <v>46112</v>
      </c>
      <c r="AW8" s="12"/>
      <c r="AX8" s="15"/>
      <c r="AY8" s="15"/>
      <c r="AZ8" s="15"/>
      <c r="BA8" s="15"/>
      <c r="BB8" s="15"/>
      <c r="BC8" s="15"/>
      <c r="BD8" s="15"/>
      <c r="BE8" s="15"/>
      <c r="BF8" s="15"/>
    </row>
    <row r="9" spans="1:58" ht="19.5" customHeight="1" x14ac:dyDescent="0.2">
      <c r="A9" s="8" t="str">
        <f>IF($B9="","",TEXT($B9,"yyyymmdd")&amp;"-"&amp;SUBSTITUTE($F9," ","")&amp;"-"&amp;TEXT(COUNTIF($F$4:F9,$F9),"00"))</f>
        <v>20260331-Cluster6-01</v>
      </c>
      <c r="B9" s="9">
        <v>46112</v>
      </c>
      <c r="C9" s="8">
        <f t="shared" si="0"/>
        <v>14</v>
      </c>
      <c r="D9" s="8" t="str">
        <f t="shared" si="1"/>
        <v>2026-03</v>
      </c>
      <c r="E9" s="10">
        <v>3</v>
      </c>
      <c r="F9" s="10" t="s">
        <v>35</v>
      </c>
      <c r="G9" s="8" t="str">
        <f>IF(OR($E9="",$F9=""),"",IFERROR(IF($E9=INDEX(Cluster_Master!$A$4:$A$18,MATCH($F9,Cluster_Master!$B$4:$B$18,0)),"OK","CHECK"),"CHECK"))</f>
        <v>OK</v>
      </c>
      <c r="H9" s="11" t="str">
        <f>IFERROR(INDEX(Cluster_Master!$C$4:$C$18,MATCH($F9,Cluster_Master!$B$4:$B$18,0)),"")</f>
        <v>INNOVO</v>
      </c>
      <c r="I9" s="8" t="str">
        <f>IFERROR(INDEX(Cluster_Master!$D$4:$D$18,MATCH($F9,Cluster_Master!$B$4:$B$18,0)),"")</f>
        <v>Kahtan Tikriti</v>
      </c>
      <c r="J9" s="8" t="str">
        <f>IFERROR(INDEX(Cluster_Master!$E$4:$E$18,MATCH($F9,Cluster_Master!$B$4:$B$18,0)),"")</f>
        <v>Michael Ghali</v>
      </c>
      <c r="K9" s="8" t="str">
        <f>IFERROR(INDEX(Cluster_Master!$F$4:$F$18,MATCH($F9,Cluster_Master!$B$4:$B$18,0)),"")</f>
        <v>Remon Karas</v>
      </c>
      <c r="L9" s="8" t="str">
        <f>IFERROR(INDEX(Cluster_Master!$G$4:$G$18,MATCH($F9,Cluster_Master!$B$4:$B$18,0)),"")</f>
        <v>Mazen Al Atwani</v>
      </c>
      <c r="M9" s="8">
        <f>IFERROR(INDEX(Cluster_Master!$H$4:$H$18,MATCH($F9,Cluster_Master!$B$4:$B$18,0)),"")</f>
        <v>0</v>
      </c>
      <c r="N9" s="12" t="s">
        <v>257</v>
      </c>
      <c r="O9" s="12" t="s">
        <v>253</v>
      </c>
      <c r="P9" s="12" t="s">
        <v>238</v>
      </c>
      <c r="Q9" s="12" t="s">
        <v>254</v>
      </c>
      <c r="R9" s="12" t="s">
        <v>68</v>
      </c>
      <c r="S9" s="12" t="s">
        <v>69</v>
      </c>
      <c r="T9" s="13">
        <v>3</v>
      </c>
      <c r="U9" s="13">
        <v>2</v>
      </c>
      <c r="V9" s="13">
        <v>3</v>
      </c>
      <c r="W9" s="13">
        <v>3</v>
      </c>
      <c r="X9" s="13">
        <v>2</v>
      </c>
      <c r="Y9" s="13">
        <v>4</v>
      </c>
      <c r="Z9" s="13">
        <v>3</v>
      </c>
      <c r="AA9" s="13">
        <v>5</v>
      </c>
      <c r="AB9" s="13">
        <v>1</v>
      </c>
      <c r="AC9" s="13">
        <v>2</v>
      </c>
      <c r="AD9" s="13">
        <v>4</v>
      </c>
      <c r="AE9" s="13">
        <v>2</v>
      </c>
      <c r="AF9" s="13">
        <v>3</v>
      </c>
      <c r="AG9" s="13">
        <v>1</v>
      </c>
      <c r="AH9" s="13">
        <v>3</v>
      </c>
      <c r="AI9" s="8">
        <f t="shared" si="12"/>
        <v>41</v>
      </c>
      <c r="AJ9" s="14">
        <f t="shared" si="13"/>
        <v>0.54666666666666663</v>
      </c>
      <c r="AK9" s="14">
        <f>IF(COUNTA(T9:AH9)=0,"",(SUM(T9*KPI_Weights!$B$4,U9*KPI_Weights!$B$5,V9*KPI_Weights!$B$6,W9*KPI_Weights!$B$7,X9*KPI_Weights!$B$8,Y9*KPI_Weights!$B$9,Z9*KPI_Weights!$B$10,AA9*KPI_Weights!$B$11,AB9*KPI_Weights!$B$12,AC9*KPI_Weights!$B$13,AD9*KPI_Weights!$B$14,AE9*KPI_Weights!$B$15,AF9*KPI_Weights!$B$16,AG9*KPI_Weights!$B$17,AH9*KPI_Weights!$B$18))/5)</f>
        <v>0.52</v>
      </c>
      <c r="AL9" s="8" t="str">
        <f t="shared" si="14"/>
        <v>YES</v>
      </c>
      <c r="AM9" s="8" t="str">
        <f t="shared" si="15"/>
        <v>NO</v>
      </c>
      <c r="AN9" s="8" t="str">
        <f t="shared" si="16"/>
        <v>Poor</v>
      </c>
      <c r="AO9" s="12" t="s">
        <v>69</v>
      </c>
      <c r="AP9" s="12" t="s">
        <v>70</v>
      </c>
      <c r="AQ9" s="12"/>
      <c r="AR9" s="12" t="s">
        <v>255</v>
      </c>
      <c r="AS9" s="12" t="s">
        <v>256</v>
      </c>
      <c r="AT9" s="15"/>
      <c r="AU9" s="12"/>
      <c r="AV9" s="16">
        <v>46112</v>
      </c>
      <c r="AW9" s="12"/>
      <c r="AX9" s="15"/>
      <c r="AY9" s="15"/>
      <c r="AZ9" s="15"/>
      <c r="BA9" s="15"/>
      <c r="BB9" s="15"/>
      <c r="BC9" s="15"/>
      <c r="BD9" s="15"/>
      <c r="BE9" s="15"/>
      <c r="BF9" s="15"/>
    </row>
    <row r="10" spans="1:58" ht="19.5" customHeight="1" x14ac:dyDescent="0.2">
      <c r="A10" s="8" t="str">
        <f>IF($B10="","",TEXT($B10,"yyyymmdd")&amp;"-"&amp;SUBSTITUTE($F10," ","")&amp;"-"&amp;TEXT(COUNTIF($F$4:F10,$F10),"00"))</f>
        <v/>
      </c>
      <c r="B10" s="9"/>
      <c r="C10" s="8" t="str">
        <f t="shared" si="0"/>
        <v/>
      </c>
      <c r="D10" s="8" t="str">
        <f t="shared" si="1"/>
        <v/>
      </c>
      <c r="E10" s="10"/>
      <c r="F10" s="10"/>
      <c r="G10" s="8" t="str">
        <f>IF(OR($E10="",$F10=""),"",IFERROR(IF($E10=INDEX(Cluster_Master!$A$4:$A$18,MATCH($F10,Cluster_Master!$B$4:$B$18,0)),"OK","CHECK"),"CHECK"))</f>
        <v/>
      </c>
      <c r="H10" s="11" t="str">
        <f>IFERROR(INDEX(Cluster_Master!$C$4:$C$18,MATCH($F10,Cluster_Master!$B$4:$B$18,0)),"")</f>
        <v/>
      </c>
      <c r="I10" s="8" t="str">
        <f>IFERROR(INDEX(Cluster_Master!$D$4:$D$18,MATCH($F10,Cluster_Master!$B$4:$B$18,0)),"")</f>
        <v/>
      </c>
      <c r="J10" s="8" t="str">
        <f>IFERROR(INDEX(Cluster_Master!$E$4:$E$18,MATCH($F10,Cluster_Master!$B$4:$B$18,0)),"")</f>
        <v/>
      </c>
      <c r="K10" s="8" t="str">
        <f>IFERROR(INDEX(Cluster_Master!$F$4:$F$18,MATCH($F10,Cluster_Master!$B$4:$B$18,0)),"")</f>
        <v/>
      </c>
      <c r="L10" s="8" t="str">
        <f>IFERROR(INDEX(Cluster_Master!$G$4:$G$18,MATCH($F10,Cluster_Master!$B$4:$B$18,0)),"")</f>
        <v/>
      </c>
      <c r="M10" s="8" t="str">
        <f>IFERROR(INDEX(Cluster_Master!$H$4:$H$18,MATCH($F10,Cluster_Master!$B$4:$B$18,0)),"")</f>
        <v/>
      </c>
      <c r="N10" s="12"/>
      <c r="O10" s="12"/>
      <c r="P10" s="12"/>
      <c r="Q10" s="12"/>
      <c r="R10" s="12"/>
      <c r="S10" s="12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8" t="str">
        <f t="shared" si="2"/>
        <v/>
      </c>
      <c r="AJ10" s="14" t="str">
        <f t="shared" si="3"/>
        <v/>
      </c>
      <c r="AK10" s="14" t="str">
        <f>IF(COUNTA(T10:AH10)=0,"",(SUM(T10*KPI_Weights!$B$4,U10*KPI_Weights!$B$5,V10*KPI_Weights!$B$6,W10*KPI_Weights!$B$7,X10*KPI_Weights!$B$8,Y10*KPI_Weights!$B$9,Z10*KPI_Weights!$B$10,AA10*KPI_Weights!$B$11,AB10*KPI_Weights!$B$12,AC10*KPI_Weights!$B$13,AD10*KPI_Weights!$B$14,AE10*KPI_Weights!$B$15,AF10*KPI_Weights!$B$16,AG10*KPI_Weights!$B$17,AH10*KPI_Weights!$B$18))/5)</f>
        <v/>
      </c>
      <c r="AL10" s="8" t="str">
        <f t="shared" si="4"/>
        <v/>
      </c>
      <c r="AM10" s="8" t="str">
        <f t="shared" si="5"/>
        <v/>
      </c>
      <c r="AN10" s="8" t="str">
        <f t="shared" si="6"/>
        <v/>
      </c>
      <c r="AO10" s="12"/>
      <c r="AP10" s="12"/>
      <c r="AQ10" s="12"/>
      <c r="AR10" s="12"/>
      <c r="AS10" s="12"/>
      <c r="AT10" s="15"/>
      <c r="AU10" s="12"/>
      <c r="AV10" s="16"/>
      <c r="AW10" s="12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8" ht="19.5" customHeight="1" x14ac:dyDescent="0.2">
      <c r="A11" s="8" t="str">
        <f>IF($B11="","",TEXT($B11,"yyyymmdd")&amp;"-"&amp;SUBSTITUTE($F11," ","")&amp;"-"&amp;TEXT(COUNTIF($F$4:F11,$F11),"00"))</f>
        <v/>
      </c>
      <c r="B11" s="9"/>
      <c r="C11" s="8" t="str">
        <f t="shared" si="0"/>
        <v/>
      </c>
      <c r="D11" s="8" t="str">
        <f t="shared" si="1"/>
        <v/>
      </c>
      <c r="E11" s="10"/>
      <c r="F11" s="10"/>
      <c r="G11" s="8" t="str">
        <f>IF(OR($E11="",$F11=""),"",IFERROR(IF($E11=INDEX(Cluster_Master!$A$4:$A$18,MATCH($F11,Cluster_Master!$B$4:$B$18,0)),"OK","CHECK"),"CHECK"))</f>
        <v/>
      </c>
      <c r="H11" s="11" t="str">
        <f>IFERROR(INDEX(Cluster_Master!$C$4:$C$18,MATCH($F11,Cluster_Master!$B$4:$B$18,0)),"")</f>
        <v/>
      </c>
      <c r="I11" s="8" t="str">
        <f>IFERROR(INDEX(Cluster_Master!$D$4:$D$18,MATCH($F11,Cluster_Master!$B$4:$B$18,0)),"")</f>
        <v/>
      </c>
      <c r="J11" s="8" t="str">
        <f>IFERROR(INDEX(Cluster_Master!$E$4:$E$18,MATCH($F11,Cluster_Master!$B$4:$B$18,0)),"")</f>
        <v/>
      </c>
      <c r="K11" s="8" t="str">
        <f>IFERROR(INDEX(Cluster_Master!$F$4:$F$18,MATCH($F11,Cluster_Master!$B$4:$B$18,0)),"")</f>
        <v/>
      </c>
      <c r="L11" s="8" t="str">
        <f>IFERROR(INDEX(Cluster_Master!$G$4:$G$18,MATCH($F11,Cluster_Master!$B$4:$B$18,0)),"")</f>
        <v/>
      </c>
      <c r="M11" s="8" t="str">
        <f>IFERROR(INDEX(Cluster_Master!$H$4:$H$18,MATCH($F11,Cluster_Master!$B$4:$B$18,0)),"")</f>
        <v/>
      </c>
      <c r="N11" s="12"/>
      <c r="O11" s="12"/>
      <c r="P11" s="12"/>
      <c r="Q11" s="12"/>
      <c r="R11" s="12"/>
      <c r="S11" s="12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8" t="str">
        <f t="shared" si="2"/>
        <v/>
      </c>
      <c r="AJ11" s="14" t="str">
        <f t="shared" si="3"/>
        <v/>
      </c>
      <c r="AK11" s="14" t="str">
        <f>IF(COUNTA(T11:AH11)=0,"",(SUM(T11*KPI_Weights!$B$4,U11*KPI_Weights!$B$5,V11*KPI_Weights!$B$6,W11*KPI_Weights!$B$7,X11*KPI_Weights!$B$8,Y11*KPI_Weights!$B$9,Z11*KPI_Weights!$B$10,AA11*KPI_Weights!$B$11,AB11*KPI_Weights!$B$12,AC11*KPI_Weights!$B$13,AD11*KPI_Weights!$B$14,AE11*KPI_Weights!$B$15,AF11*KPI_Weights!$B$16,AG11*KPI_Weights!$B$17,AH11*KPI_Weights!$B$18))/5)</f>
        <v/>
      </c>
      <c r="AL11" s="8" t="str">
        <f t="shared" si="4"/>
        <v/>
      </c>
      <c r="AM11" s="8" t="str">
        <f t="shared" si="5"/>
        <v/>
      </c>
      <c r="AN11" s="8" t="str">
        <f t="shared" si="6"/>
        <v/>
      </c>
      <c r="AO11" s="12"/>
      <c r="AP11" s="12"/>
      <c r="AQ11" s="12"/>
      <c r="AR11" s="12"/>
      <c r="AS11" s="12"/>
      <c r="AT11" s="15"/>
      <c r="AU11" s="12"/>
      <c r="AV11" s="16"/>
      <c r="AW11" s="12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8" ht="19.5" customHeight="1" x14ac:dyDescent="0.2">
      <c r="A12" s="8" t="str">
        <f>IF($B12="","",TEXT($B12,"yyyymmdd")&amp;"-"&amp;SUBSTITUTE($F12," ","")&amp;"-"&amp;TEXT(COUNTIF($F$4:F12,$F12),"00"))</f>
        <v/>
      </c>
      <c r="B12" s="9"/>
      <c r="C12" s="8" t="str">
        <f t="shared" si="0"/>
        <v/>
      </c>
      <c r="D12" s="8" t="str">
        <f t="shared" si="1"/>
        <v/>
      </c>
      <c r="E12" s="10"/>
      <c r="F12" s="10"/>
      <c r="G12" s="8" t="str">
        <f>IF(OR($E12="",$F12=""),"",IFERROR(IF($E12=INDEX(Cluster_Master!$A$4:$A$18,MATCH($F12,Cluster_Master!$B$4:$B$18,0)),"OK","CHECK"),"CHECK"))</f>
        <v/>
      </c>
      <c r="H12" s="11" t="str">
        <f>IFERROR(INDEX(Cluster_Master!$C$4:$C$18,MATCH($F12,Cluster_Master!$B$4:$B$18,0)),"")</f>
        <v/>
      </c>
      <c r="I12" s="8" t="str">
        <f>IFERROR(INDEX(Cluster_Master!$D$4:$D$18,MATCH($F12,Cluster_Master!$B$4:$B$18,0)),"")</f>
        <v/>
      </c>
      <c r="J12" s="8" t="str">
        <f>IFERROR(INDEX(Cluster_Master!$E$4:$E$18,MATCH($F12,Cluster_Master!$B$4:$B$18,0)),"")</f>
        <v/>
      </c>
      <c r="K12" s="8" t="str">
        <f>IFERROR(INDEX(Cluster_Master!$F$4:$F$18,MATCH($F12,Cluster_Master!$B$4:$B$18,0)),"")</f>
        <v/>
      </c>
      <c r="L12" s="8" t="str">
        <f>IFERROR(INDEX(Cluster_Master!$G$4:$G$18,MATCH($F12,Cluster_Master!$B$4:$B$18,0)),"")</f>
        <v/>
      </c>
      <c r="M12" s="8" t="str">
        <f>IFERROR(INDEX(Cluster_Master!$H$4:$H$18,MATCH($F12,Cluster_Master!$B$4:$B$18,0)),"")</f>
        <v/>
      </c>
      <c r="N12" s="12"/>
      <c r="O12" s="12"/>
      <c r="P12" s="12"/>
      <c r="Q12" s="12"/>
      <c r="R12" s="12"/>
      <c r="S12" s="12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8" t="str">
        <f t="shared" si="2"/>
        <v/>
      </c>
      <c r="AJ12" s="14" t="str">
        <f t="shared" si="3"/>
        <v/>
      </c>
      <c r="AK12" s="14" t="str">
        <f>IF(COUNTA(T12:AH12)=0,"",(SUM(T12*KPI_Weights!$B$4,U12*KPI_Weights!$B$5,V12*KPI_Weights!$B$6,W12*KPI_Weights!$B$7,X12*KPI_Weights!$B$8,Y12*KPI_Weights!$B$9,Z12*KPI_Weights!$B$10,AA12*KPI_Weights!$B$11,AB12*KPI_Weights!$B$12,AC12*KPI_Weights!$B$13,AD12*KPI_Weights!$B$14,AE12*KPI_Weights!$B$15,AF12*KPI_Weights!$B$16,AG12*KPI_Weights!$B$17,AH12*KPI_Weights!$B$18))/5)</f>
        <v/>
      </c>
      <c r="AL12" s="8" t="str">
        <f t="shared" si="4"/>
        <v/>
      </c>
      <c r="AM12" s="8" t="str">
        <f t="shared" si="5"/>
        <v/>
      </c>
      <c r="AN12" s="8" t="str">
        <f t="shared" si="6"/>
        <v/>
      </c>
      <c r="AO12" s="12"/>
      <c r="AP12" s="12"/>
      <c r="AQ12" s="12"/>
      <c r="AR12" s="12"/>
      <c r="AS12" s="12"/>
      <c r="AT12" s="15"/>
      <c r="AU12" s="12"/>
      <c r="AV12" s="16"/>
      <c r="AW12" s="12"/>
      <c r="AX12" s="15"/>
      <c r="AY12" s="15"/>
      <c r="AZ12" s="15"/>
      <c r="BA12" s="15"/>
      <c r="BB12" s="15"/>
      <c r="BC12" s="15"/>
      <c r="BD12" s="15"/>
      <c r="BE12" s="15"/>
      <c r="BF12" s="15"/>
    </row>
    <row r="13" spans="1:58" ht="19.5" customHeight="1" x14ac:dyDescent="0.2">
      <c r="A13" s="8" t="str">
        <f>IF($B13="","",TEXT($B13,"yyyymmdd")&amp;"-"&amp;SUBSTITUTE($F13," ","")&amp;"-"&amp;TEXT(COUNTIF($F$4:F13,$F13),"00"))</f>
        <v/>
      </c>
      <c r="B13" s="9"/>
      <c r="C13" s="8" t="str">
        <f t="shared" si="0"/>
        <v/>
      </c>
      <c r="D13" s="8" t="str">
        <f t="shared" si="1"/>
        <v/>
      </c>
      <c r="E13" s="10"/>
      <c r="F13" s="10"/>
      <c r="G13" s="8" t="str">
        <f>IF(OR($E13="",$F13=""),"",IFERROR(IF($E13=INDEX(Cluster_Master!$A$4:$A$18,MATCH($F13,Cluster_Master!$B$4:$B$18,0)),"OK","CHECK"),"CHECK"))</f>
        <v/>
      </c>
      <c r="H13" s="11" t="str">
        <f>IFERROR(INDEX(Cluster_Master!$C$4:$C$18,MATCH($F13,Cluster_Master!$B$4:$B$18,0)),"")</f>
        <v/>
      </c>
      <c r="I13" s="8" t="str">
        <f>IFERROR(INDEX(Cluster_Master!$D$4:$D$18,MATCH($F13,Cluster_Master!$B$4:$B$18,0)),"")</f>
        <v/>
      </c>
      <c r="J13" s="8" t="str">
        <f>IFERROR(INDEX(Cluster_Master!$E$4:$E$18,MATCH($F13,Cluster_Master!$B$4:$B$18,0)),"")</f>
        <v/>
      </c>
      <c r="K13" s="8" t="str">
        <f>IFERROR(INDEX(Cluster_Master!$F$4:$F$18,MATCH($F13,Cluster_Master!$B$4:$B$18,0)),"")</f>
        <v/>
      </c>
      <c r="L13" s="8" t="str">
        <f>IFERROR(INDEX(Cluster_Master!$G$4:$G$18,MATCH($F13,Cluster_Master!$B$4:$B$18,0)),"")</f>
        <v/>
      </c>
      <c r="M13" s="8" t="str">
        <f>IFERROR(INDEX(Cluster_Master!$H$4:$H$18,MATCH($F13,Cluster_Master!$B$4:$B$18,0)),"")</f>
        <v/>
      </c>
      <c r="N13" s="12"/>
      <c r="O13" s="12"/>
      <c r="P13" s="12"/>
      <c r="Q13" s="12"/>
      <c r="R13" s="12"/>
      <c r="S13" s="12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8" t="str">
        <f t="shared" si="2"/>
        <v/>
      </c>
      <c r="AJ13" s="14" t="str">
        <f t="shared" si="3"/>
        <v/>
      </c>
      <c r="AK13" s="14" t="str">
        <f>IF(COUNTA(T13:AH13)=0,"",(SUM(T13*KPI_Weights!$B$4,U13*KPI_Weights!$B$5,V13*KPI_Weights!$B$6,W13*KPI_Weights!$B$7,X13*KPI_Weights!$B$8,Y13*KPI_Weights!$B$9,Z13*KPI_Weights!$B$10,AA13*KPI_Weights!$B$11,AB13*KPI_Weights!$B$12,AC13*KPI_Weights!$B$13,AD13*KPI_Weights!$B$14,AE13*KPI_Weights!$B$15,AF13*KPI_Weights!$B$16,AG13*KPI_Weights!$B$17,AH13*KPI_Weights!$B$18))/5)</f>
        <v/>
      </c>
      <c r="AL13" s="8" t="str">
        <f t="shared" si="4"/>
        <v/>
      </c>
      <c r="AM13" s="8" t="str">
        <f t="shared" si="5"/>
        <v/>
      </c>
      <c r="AN13" s="8" t="str">
        <f t="shared" si="6"/>
        <v/>
      </c>
      <c r="AO13" s="12"/>
      <c r="AP13" s="12"/>
      <c r="AQ13" s="12"/>
      <c r="AR13" s="12"/>
      <c r="AS13" s="12"/>
      <c r="AT13" s="15"/>
      <c r="AU13" s="12"/>
      <c r="AV13" s="16"/>
      <c r="AW13" s="12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8" ht="19.5" customHeight="1" x14ac:dyDescent="0.2">
      <c r="A14" s="8" t="str">
        <f>IF($B14="","",TEXT($B14,"yyyymmdd")&amp;"-"&amp;SUBSTITUTE($F14," ","")&amp;"-"&amp;TEXT(COUNTIF($F$4:F14,$F14),"00"))</f>
        <v/>
      </c>
      <c r="B14" s="9"/>
      <c r="C14" s="8" t="str">
        <f t="shared" si="0"/>
        <v/>
      </c>
      <c r="D14" s="8" t="str">
        <f t="shared" si="1"/>
        <v/>
      </c>
      <c r="E14" s="10"/>
      <c r="F14" s="10"/>
      <c r="G14" s="8" t="str">
        <f>IF(OR($E14="",$F14=""),"",IFERROR(IF($E14=INDEX(Cluster_Master!$A$4:$A$18,MATCH($F14,Cluster_Master!$B$4:$B$18,0)),"OK","CHECK"),"CHECK"))</f>
        <v/>
      </c>
      <c r="H14" s="11" t="str">
        <f>IFERROR(INDEX(Cluster_Master!$C$4:$C$18,MATCH($F14,Cluster_Master!$B$4:$B$18,0)),"")</f>
        <v/>
      </c>
      <c r="I14" s="8" t="str">
        <f>IFERROR(INDEX(Cluster_Master!$D$4:$D$18,MATCH($F14,Cluster_Master!$B$4:$B$18,0)),"")</f>
        <v/>
      </c>
      <c r="J14" s="8" t="str">
        <f>IFERROR(INDEX(Cluster_Master!$E$4:$E$18,MATCH($F14,Cluster_Master!$B$4:$B$18,0)),"")</f>
        <v/>
      </c>
      <c r="K14" s="8" t="str">
        <f>IFERROR(INDEX(Cluster_Master!$F$4:$F$18,MATCH($F14,Cluster_Master!$B$4:$B$18,0)),"")</f>
        <v/>
      </c>
      <c r="L14" s="8" t="str">
        <f>IFERROR(INDEX(Cluster_Master!$G$4:$G$18,MATCH($F14,Cluster_Master!$B$4:$B$18,0)),"")</f>
        <v/>
      </c>
      <c r="M14" s="8" t="str">
        <f>IFERROR(INDEX(Cluster_Master!$H$4:$H$18,MATCH($F14,Cluster_Master!$B$4:$B$18,0)),"")</f>
        <v/>
      </c>
      <c r="N14" s="12"/>
      <c r="O14" s="12"/>
      <c r="P14" s="12"/>
      <c r="Q14" s="12"/>
      <c r="R14" s="12"/>
      <c r="S14" s="12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8" t="str">
        <f t="shared" si="2"/>
        <v/>
      </c>
      <c r="AJ14" s="14" t="str">
        <f t="shared" si="3"/>
        <v/>
      </c>
      <c r="AK14" s="14" t="str">
        <f>IF(COUNTA(T14:AH14)=0,"",(SUM(T14*KPI_Weights!$B$4,U14*KPI_Weights!$B$5,V14*KPI_Weights!$B$6,W14*KPI_Weights!$B$7,X14*KPI_Weights!$B$8,Y14*KPI_Weights!$B$9,Z14*KPI_Weights!$B$10,AA14*KPI_Weights!$B$11,AB14*KPI_Weights!$B$12,AC14*KPI_Weights!$B$13,AD14*KPI_Weights!$B$14,AE14*KPI_Weights!$B$15,AF14*KPI_Weights!$B$16,AG14*KPI_Weights!$B$17,AH14*KPI_Weights!$B$18))/5)</f>
        <v/>
      </c>
      <c r="AL14" s="8" t="str">
        <f t="shared" si="4"/>
        <v/>
      </c>
      <c r="AM14" s="8" t="str">
        <f t="shared" si="5"/>
        <v/>
      </c>
      <c r="AN14" s="8" t="str">
        <f t="shared" si="6"/>
        <v/>
      </c>
      <c r="AO14" s="12"/>
      <c r="AP14" s="12"/>
      <c r="AQ14" s="12"/>
      <c r="AR14" s="12"/>
      <c r="AS14" s="12"/>
      <c r="AT14" s="15"/>
      <c r="AU14" s="12"/>
      <c r="AV14" s="16"/>
      <c r="AW14" s="12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8" ht="19.5" customHeight="1" x14ac:dyDescent="0.2">
      <c r="A15" s="8" t="str">
        <f>IF($B15="","",TEXT($B15,"yyyymmdd")&amp;"-"&amp;SUBSTITUTE($F15," ","")&amp;"-"&amp;TEXT(COUNTIF($F$4:F15,$F15),"00"))</f>
        <v/>
      </c>
      <c r="B15" s="9"/>
      <c r="C15" s="8" t="str">
        <f t="shared" si="0"/>
        <v/>
      </c>
      <c r="D15" s="8" t="str">
        <f t="shared" si="1"/>
        <v/>
      </c>
      <c r="E15" s="10"/>
      <c r="F15" s="10"/>
      <c r="G15" s="8" t="str">
        <f>IF(OR($E15="",$F15=""),"",IFERROR(IF($E15=INDEX(Cluster_Master!$A$4:$A$18,MATCH($F15,Cluster_Master!$B$4:$B$18,0)),"OK","CHECK"),"CHECK"))</f>
        <v/>
      </c>
      <c r="H15" s="11" t="str">
        <f>IFERROR(INDEX(Cluster_Master!$C$4:$C$18,MATCH($F15,Cluster_Master!$B$4:$B$18,0)),"")</f>
        <v/>
      </c>
      <c r="I15" s="8" t="str">
        <f>IFERROR(INDEX(Cluster_Master!$D$4:$D$18,MATCH($F15,Cluster_Master!$B$4:$B$18,0)),"")</f>
        <v/>
      </c>
      <c r="J15" s="8" t="str">
        <f>IFERROR(INDEX(Cluster_Master!$E$4:$E$18,MATCH($F15,Cluster_Master!$B$4:$B$18,0)),"")</f>
        <v/>
      </c>
      <c r="K15" s="8" t="str">
        <f>IFERROR(INDEX(Cluster_Master!$F$4:$F$18,MATCH($F15,Cluster_Master!$B$4:$B$18,0)),"")</f>
        <v/>
      </c>
      <c r="L15" s="8" t="str">
        <f>IFERROR(INDEX(Cluster_Master!$G$4:$G$18,MATCH($F15,Cluster_Master!$B$4:$B$18,0)),"")</f>
        <v/>
      </c>
      <c r="M15" s="8" t="str">
        <f>IFERROR(INDEX(Cluster_Master!$H$4:$H$18,MATCH($F15,Cluster_Master!$B$4:$B$18,0)),"")</f>
        <v/>
      </c>
      <c r="N15" s="12"/>
      <c r="O15" s="12"/>
      <c r="P15" s="12"/>
      <c r="Q15" s="12"/>
      <c r="R15" s="12"/>
      <c r="S15" s="12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8" t="str">
        <f t="shared" si="2"/>
        <v/>
      </c>
      <c r="AJ15" s="14" t="str">
        <f t="shared" si="3"/>
        <v/>
      </c>
      <c r="AK15" s="14" t="str">
        <f>IF(COUNTA(T15:AH15)=0,"",(SUM(T15*KPI_Weights!$B$4,U15*KPI_Weights!$B$5,V15*KPI_Weights!$B$6,W15*KPI_Weights!$B$7,X15*KPI_Weights!$B$8,Y15*KPI_Weights!$B$9,Z15*KPI_Weights!$B$10,AA15*KPI_Weights!$B$11,AB15*KPI_Weights!$B$12,AC15*KPI_Weights!$B$13,AD15*KPI_Weights!$B$14,AE15*KPI_Weights!$B$15,AF15*KPI_Weights!$B$16,AG15*KPI_Weights!$B$17,AH15*KPI_Weights!$B$18))/5)</f>
        <v/>
      </c>
      <c r="AL15" s="8" t="str">
        <f t="shared" si="4"/>
        <v/>
      </c>
      <c r="AM15" s="8" t="str">
        <f t="shared" si="5"/>
        <v/>
      </c>
      <c r="AN15" s="8" t="str">
        <f t="shared" si="6"/>
        <v/>
      </c>
      <c r="AO15" s="12"/>
      <c r="AP15" s="12"/>
      <c r="AQ15" s="12"/>
      <c r="AR15" s="12"/>
      <c r="AS15" s="12"/>
      <c r="AT15" s="15"/>
      <c r="AU15" s="12"/>
      <c r="AV15" s="16"/>
      <c r="AW15" s="12"/>
      <c r="AX15" s="15"/>
      <c r="AY15" s="15"/>
      <c r="AZ15" s="15"/>
      <c r="BA15" s="15"/>
      <c r="BB15" s="15"/>
      <c r="BC15" s="15"/>
      <c r="BD15" s="15"/>
      <c r="BE15" s="15"/>
      <c r="BF15" s="15"/>
    </row>
    <row r="16" spans="1:58" ht="19.5" customHeight="1" x14ac:dyDescent="0.2">
      <c r="A16" s="8" t="str">
        <f>IF($B16="","",TEXT($B16,"yyyymmdd")&amp;"-"&amp;SUBSTITUTE($F16," ","")&amp;"-"&amp;TEXT(COUNTIF($F$4:F16,$F16),"00"))</f>
        <v/>
      </c>
      <c r="B16" s="9"/>
      <c r="C16" s="8" t="str">
        <f t="shared" si="0"/>
        <v/>
      </c>
      <c r="D16" s="8" t="str">
        <f t="shared" si="1"/>
        <v/>
      </c>
      <c r="E16" s="10"/>
      <c r="F16" s="10"/>
      <c r="G16" s="8" t="str">
        <f>IF(OR($E16="",$F16=""),"",IFERROR(IF($E16=INDEX(Cluster_Master!$A$4:$A$18,MATCH($F16,Cluster_Master!$B$4:$B$18,0)),"OK","CHECK"),"CHECK"))</f>
        <v/>
      </c>
      <c r="H16" s="11" t="str">
        <f>IFERROR(INDEX(Cluster_Master!$C$4:$C$18,MATCH($F16,Cluster_Master!$B$4:$B$18,0)),"")</f>
        <v/>
      </c>
      <c r="I16" s="8" t="str">
        <f>IFERROR(INDEX(Cluster_Master!$D$4:$D$18,MATCH($F16,Cluster_Master!$B$4:$B$18,0)),"")</f>
        <v/>
      </c>
      <c r="J16" s="8" t="str">
        <f>IFERROR(INDEX(Cluster_Master!$E$4:$E$18,MATCH($F16,Cluster_Master!$B$4:$B$18,0)),"")</f>
        <v/>
      </c>
      <c r="K16" s="8" t="str">
        <f>IFERROR(INDEX(Cluster_Master!$F$4:$F$18,MATCH($F16,Cluster_Master!$B$4:$B$18,0)),"")</f>
        <v/>
      </c>
      <c r="L16" s="8" t="str">
        <f>IFERROR(INDEX(Cluster_Master!$G$4:$G$18,MATCH($F16,Cluster_Master!$B$4:$B$18,0)),"")</f>
        <v/>
      </c>
      <c r="M16" s="8" t="str">
        <f>IFERROR(INDEX(Cluster_Master!$H$4:$H$18,MATCH($F16,Cluster_Master!$B$4:$B$18,0)),"")</f>
        <v/>
      </c>
      <c r="N16" s="12"/>
      <c r="O16" s="12"/>
      <c r="P16" s="12"/>
      <c r="Q16" s="12"/>
      <c r="R16" s="12"/>
      <c r="S16" s="12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8" t="str">
        <f t="shared" si="2"/>
        <v/>
      </c>
      <c r="AJ16" s="14" t="str">
        <f t="shared" si="3"/>
        <v/>
      </c>
      <c r="AK16" s="14" t="str">
        <f>IF(COUNTA(T16:AH16)=0,"",(SUM(T16*KPI_Weights!$B$4,U16*KPI_Weights!$B$5,V16*KPI_Weights!$B$6,W16*KPI_Weights!$B$7,X16*KPI_Weights!$B$8,Y16*KPI_Weights!$B$9,Z16*KPI_Weights!$B$10,AA16*KPI_Weights!$B$11,AB16*KPI_Weights!$B$12,AC16*KPI_Weights!$B$13,AD16*KPI_Weights!$B$14,AE16*KPI_Weights!$B$15,AF16*KPI_Weights!$B$16,AG16*KPI_Weights!$B$17,AH16*KPI_Weights!$B$18))/5)</f>
        <v/>
      </c>
      <c r="AL16" s="8" t="str">
        <f t="shared" si="4"/>
        <v/>
      </c>
      <c r="AM16" s="8" t="str">
        <f t="shared" si="5"/>
        <v/>
      </c>
      <c r="AN16" s="8" t="str">
        <f t="shared" si="6"/>
        <v/>
      </c>
      <c r="AO16" s="12"/>
      <c r="AP16" s="12"/>
      <c r="AQ16" s="12"/>
      <c r="AR16" s="12"/>
      <c r="AS16" s="12"/>
      <c r="AT16" s="15"/>
      <c r="AU16" s="12"/>
      <c r="AV16" s="16"/>
      <c r="AW16" s="12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ht="19.5" customHeight="1" x14ac:dyDescent="0.2">
      <c r="A17" s="8" t="str">
        <f>IF($B17="","",TEXT($B17,"yyyymmdd")&amp;"-"&amp;SUBSTITUTE($F17," ","")&amp;"-"&amp;TEXT(COUNTIF($F$4:F17,$F17),"00"))</f>
        <v/>
      </c>
      <c r="B17" s="9"/>
      <c r="C17" s="8" t="str">
        <f t="shared" si="0"/>
        <v/>
      </c>
      <c r="D17" s="8" t="str">
        <f t="shared" si="1"/>
        <v/>
      </c>
      <c r="E17" s="10"/>
      <c r="F17" s="10"/>
      <c r="G17" s="8" t="str">
        <f>IF(OR($E17="",$F17=""),"",IFERROR(IF($E17=INDEX(Cluster_Master!$A$4:$A$18,MATCH($F17,Cluster_Master!$B$4:$B$18,0)),"OK","CHECK"),"CHECK"))</f>
        <v/>
      </c>
      <c r="H17" s="11" t="str">
        <f>IFERROR(INDEX(Cluster_Master!$C$4:$C$18,MATCH($F17,Cluster_Master!$B$4:$B$18,0)),"")</f>
        <v/>
      </c>
      <c r="I17" s="8" t="str">
        <f>IFERROR(INDEX(Cluster_Master!$D$4:$D$18,MATCH($F17,Cluster_Master!$B$4:$B$18,0)),"")</f>
        <v/>
      </c>
      <c r="J17" s="8" t="str">
        <f>IFERROR(INDEX(Cluster_Master!$E$4:$E$18,MATCH($F17,Cluster_Master!$B$4:$B$18,0)),"")</f>
        <v/>
      </c>
      <c r="K17" s="8" t="str">
        <f>IFERROR(INDEX(Cluster_Master!$F$4:$F$18,MATCH($F17,Cluster_Master!$B$4:$B$18,0)),"")</f>
        <v/>
      </c>
      <c r="L17" s="8" t="str">
        <f>IFERROR(INDEX(Cluster_Master!$G$4:$G$18,MATCH($F17,Cluster_Master!$B$4:$B$18,0)),"")</f>
        <v/>
      </c>
      <c r="M17" s="8" t="str">
        <f>IFERROR(INDEX(Cluster_Master!$H$4:$H$18,MATCH($F17,Cluster_Master!$B$4:$B$18,0)),"")</f>
        <v/>
      </c>
      <c r="N17" s="12"/>
      <c r="O17" s="12"/>
      <c r="P17" s="12"/>
      <c r="Q17" s="12"/>
      <c r="R17" s="12"/>
      <c r="S17" s="12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8" t="str">
        <f t="shared" si="2"/>
        <v/>
      </c>
      <c r="AJ17" s="14" t="str">
        <f t="shared" si="3"/>
        <v/>
      </c>
      <c r="AK17" s="14" t="str">
        <f>IF(COUNTA(T17:AH17)=0,"",(SUM(T17*KPI_Weights!$B$4,U17*KPI_Weights!$B$5,V17*KPI_Weights!$B$6,W17*KPI_Weights!$B$7,X17*KPI_Weights!$B$8,Y17*KPI_Weights!$B$9,Z17*KPI_Weights!$B$10,AA17*KPI_Weights!$B$11,AB17*KPI_Weights!$B$12,AC17*KPI_Weights!$B$13,AD17*KPI_Weights!$B$14,AE17*KPI_Weights!$B$15,AF17*KPI_Weights!$B$16,AG17*KPI_Weights!$B$17,AH17*KPI_Weights!$B$18))/5)</f>
        <v/>
      </c>
      <c r="AL17" s="8" t="str">
        <f t="shared" si="4"/>
        <v/>
      </c>
      <c r="AM17" s="8" t="str">
        <f t="shared" si="5"/>
        <v/>
      </c>
      <c r="AN17" s="8" t="str">
        <f t="shared" si="6"/>
        <v/>
      </c>
      <c r="AO17" s="12"/>
      <c r="AP17" s="12"/>
      <c r="AQ17" s="12"/>
      <c r="AR17" s="12"/>
      <c r="AS17" s="12"/>
      <c r="AT17" s="15"/>
      <c r="AU17" s="12"/>
      <c r="AV17" s="16"/>
      <c r="AW17" s="12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ht="19.5" customHeight="1" x14ac:dyDescent="0.2">
      <c r="A18" s="8" t="str">
        <f>IF($B18="","",TEXT($B18,"yyyymmdd")&amp;"-"&amp;SUBSTITUTE($F18," ","")&amp;"-"&amp;TEXT(COUNTIF($F$4:F18,$F18),"00"))</f>
        <v/>
      </c>
      <c r="B18" s="9"/>
      <c r="C18" s="8" t="str">
        <f t="shared" si="0"/>
        <v/>
      </c>
      <c r="D18" s="8" t="str">
        <f t="shared" si="1"/>
        <v/>
      </c>
      <c r="E18" s="10"/>
      <c r="F18" s="10"/>
      <c r="G18" s="8" t="str">
        <f>IF(OR($E18="",$F18=""),"",IFERROR(IF($E18=INDEX(Cluster_Master!$A$4:$A$18,MATCH($F18,Cluster_Master!$B$4:$B$18,0)),"OK","CHECK"),"CHECK"))</f>
        <v/>
      </c>
      <c r="H18" s="11" t="str">
        <f>IFERROR(INDEX(Cluster_Master!$C$4:$C$18,MATCH($F18,Cluster_Master!$B$4:$B$18,0)),"")</f>
        <v/>
      </c>
      <c r="I18" s="8" t="str">
        <f>IFERROR(INDEX(Cluster_Master!$D$4:$D$18,MATCH($F18,Cluster_Master!$B$4:$B$18,0)),"")</f>
        <v/>
      </c>
      <c r="J18" s="8" t="str">
        <f>IFERROR(INDEX(Cluster_Master!$E$4:$E$18,MATCH($F18,Cluster_Master!$B$4:$B$18,0)),"")</f>
        <v/>
      </c>
      <c r="K18" s="8" t="str">
        <f>IFERROR(INDEX(Cluster_Master!$F$4:$F$18,MATCH($F18,Cluster_Master!$B$4:$B$18,0)),"")</f>
        <v/>
      </c>
      <c r="L18" s="8" t="str">
        <f>IFERROR(INDEX(Cluster_Master!$G$4:$G$18,MATCH($F18,Cluster_Master!$B$4:$B$18,0)),"")</f>
        <v/>
      </c>
      <c r="M18" s="8" t="str">
        <f>IFERROR(INDEX(Cluster_Master!$H$4:$H$18,MATCH($F18,Cluster_Master!$B$4:$B$18,0)),"")</f>
        <v/>
      </c>
      <c r="N18" s="12"/>
      <c r="O18" s="12"/>
      <c r="P18" s="12"/>
      <c r="Q18" s="12"/>
      <c r="R18" s="12"/>
      <c r="S18" s="12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8" t="str">
        <f t="shared" si="2"/>
        <v/>
      </c>
      <c r="AJ18" s="14" t="str">
        <f t="shared" si="3"/>
        <v/>
      </c>
      <c r="AK18" s="14" t="str">
        <f>IF(COUNTA(T18:AH18)=0,"",(SUM(T18*KPI_Weights!$B$4,U18*KPI_Weights!$B$5,V18*KPI_Weights!$B$6,W18*KPI_Weights!$B$7,X18*KPI_Weights!$B$8,Y18*KPI_Weights!$B$9,Z18*KPI_Weights!$B$10,AA18*KPI_Weights!$B$11,AB18*KPI_Weights!$B$12,AC18*KPI_Weights!$B$13,AD18*KPI_Weights!$B$14,AE18*KPI_Weights!$B$15,AF18*KPI_Weights!$B$16,AG18*KPI_Weights!$B$17,AH18*KPI_Weights!$B$18))/5)</f>
        <v/>
      </c>
      <c r="AL18" s="8" t="str">
        <f t="shared" si="4"/>
        <v/>
      </c>
      <c r="AM18" s="8" t="str">
        <f t="shared" si="5"/>
        <v/>
      </c>
      <c r="AN18" s="8" t="str">
        <f t="shared" si="6"/>
        <v/>
      </c>
      <c r="AO18" s="12"/>
      <c r="AP18" s="12"/>
      <c r="AQ18" s="12"/>
      <c r="AR18" s="12"/>
      <c r="AS18" s="12"/>
      <c r="AT18" s="15"/>
      <c r="AU18" s="12"/>
      <c r="AV18" s="16"/>
      <c r="AW18" s="12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ht="19.5" customHeight="1" x14ac:dyDescent="0.2">
      <c r="A19" s="8" t="str">
        <f>IF($B19="","",TEXT($B19,"yyyymmdd")&amp;"-"&amp;SUBSTITUTE($F19," ","")&amp;"-"&amp;TEXT(COUNTIF($F$4:F19,$F19),"00"))</f>
        <v/>
      </c>
      <c r="B19" s="9"/>
      <c r="C19" s="8" t="str">
        <f t="shared" si="0"/>
        <v/>
      </c>
      <c r="D19" s="8" t="str">
        <f t="shared" si="1"/>
        <v/>
      </c>
      <c r="E19" s="10"/>
      <c r="F19" s="10"/>
      <c r="G19" s="8" t="str">
        <f>IF(OR($E19="",$F19=""),"",IFERROR(IF($E19=INDEX(Cluster_Master!$A$4:$A$18,MATCH($F19,Cluster_Master!$B$4:$B$18,0)),"OK","CHECK"),"CHECK"))</f>
        <v/>
      </c>
      <c r="H19" s="11" t="str">
        <f>IFERROR(INDEX(Cluster_Master!$C$4:$C$18,MATCH($F19,Cluster_Master!$B$4:$B$18,0)),"")</f>
        <v/>
      </c>
      <c r="I19" s="8" t="str">
        <f>IFERROR(INDEX(Cluster_Master!$D$4:$D$18,MATCH($F19,Cluster_Master!$B$4:$B$18,0)),"")</f>
        <v/>
      </c>
      <c r="J19" s="8" t="str">
        <f>IFERROR(INDEX(Cluster_Master!$E$4:$E$18,MATCH($F19,Cluster_Master!$B$4:$B$18,0)),"")</f>
        <v/>
      </c>
      <c r="K19" s="8" t="str">
        <f>IFERROR(INDEX(Cluster_Master!$F$4:$F$18,MATCH($F19,Cluster_Master!$B$4:$B$18,0)),"")</f>
        <v/>
      </c>
      <c r="L19" s="8" t="str">
        <f>IFERROR(INDEX(Cluster_Master!$G$4:$G$18,MATCH($F19,Cluster_Master!$B$4:$B$18,0)),"")</f>
        <v/>
      </c>
      <c r="M19" s="8" t="str">
        <f>IFERROR(INDEX(Cluster_Master!$H$4:$H$18,MATCH($F19,Cluster_Master!$B$4:$B$18,0)),"")</f>
        <v/>
      </c>
      <c r="N19" s="12"/>
      <c r="O19" s="12"/>
      <c r="P19" s="12"/>
      <c r="Q19" s="12"/>
      <c r="R19" s="12"/>
      <c r="S19" s="12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8" t="str">
        <f t="shared" si="2"/>
        <v/>
      </c>
      <c r="AJ19" s="14" t="str">
        <f t="shared" si="3"/>
        <v/>
      </c>
      <c r="AK19" s="14" t="str">
        <f>IF(COUNTA(T19:AH19)=0,"",(SUM(T19*KPI_Weights!$B$4,U19*KPI_Weights!$B$5,V19*KPI_Weights!$B$6,W19*KPI_Weights!$B$7,X19*KPI_Weights!$B$8,Y19*KPI_Weights!$B$9,Z19*KPI_Weights!$B$10,AA19*KPI_Weights!$B$11,AB19*KPI_Weights!$B$12,AC19*KPI_Weights!$B$13,AD19*KPI_Weights!$B$14,AE19*KPI_Weights!$B$15,AF19*KPI_Weights!$B$16,AG19*KPI_Weights!$B$17,AH19*KPI_Weights!$B$18))/5)</f>
        <v/>
      </c>
      <c r="AL19" s="8" t="str">
        <f t="shared" si="4"/>
        <v/>
      </c>
      <c r="AM19" s="8" t="str">
        <f t="shared" si="5"/>
        <v/>
      </c>
      <c r="AN19" s="8" t="str">
        <f t="shared" si="6"/>
        <v/>
      </c>
      <c r="AO19" s="12"/>
      <c r="AP19" s="12"/>
      <c r="AQ19" s="12"/>
      <c r="AR19" s="12"/>
      <c r="AS19" s="12"/>
      <c r="AT19" s="15"/>
      <c r="AU19" s="12"/>
      <c r="AV19" s="16"/>
      <c r="AW19" s="12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ht="19.5" customHeight="1" x14ac:dyDescent="0.2">
      <c r="A20" s="8" t="str">
        <f>IF($B20="","",TEXT($B20,"yyyymmdd")&amp;"-"&amp;SUBSTITUTE($F20," ","")&amp;"-"&amp;TEXT(COUNTIF($F$4:F20,$F20),"00"))</f>
        <v/>
      </c>
      <c r="B20" s="9"/>
      <c r="C20" s="8" t="str">
        <f t="shared" si="0"/>
        <v/>
      </c>
      <c r="D20" s="8" t="str">
        <f t="shared" si="1"/>
        <v/>
      </c>
      <c r="E20" s="10"/>
      <c r="F20" s="10"/>
      <c r="G20" s="8" t="str">
        <f>IF(OR($E20="",$F20=""),"",IFERROR(IF($E20=INDEX(Cluster_Master!$A$4:$A$18,MATCH($F20,Cluster_Master!$B$4:$B$18,0)),"OK","CHECK"),"CHECK"))</f>
        <v/>
      </c>
      <c r="H20" s="11" t="str">
        <f>IFERROR(INDEX(Cluster_Master!$C$4:$C$18,MATCH($F20,Cluster_Master!$B$4:$B$18,0)),"")</f>
        <v/>
      </c>
      <c r="I20" s="8" t="str">
        <f>IFERROR(INDEX(Cluster_Master!$D$4:$D$18,MATCH($F20,Cluster_Master!$B$4:$B$18,0)),"")</f>
        <v/>
      </c>
      <c r="J20" s="8" t="str">
        <f>IFERROR(INDEX(Cluster_Master!$E$4:$E$18,MATCH($F20,Cluster_Master!$B$4:$B$18,0)),"")</f>
        <v/>
      </c>
      <c r="K20" s="8" t="str">
        <f>IFERROR(INDEX(Cluster_Master!$F$4:$F$18,MATCH($F20,Cluster_Master!$B$4:$B$18,0)),"")</f>
        <v/>
      </c>
      <c r="L20" s="8" t="str">
        <f>IFERROR(INDEX(Cluster_Master!$G$4:$G$18,MATCH($F20,Cluster_Master!$B$4:$B$18,0)),"")</f>
        <v/>
      </c>
      <c r="M20" s="8" t="str">
        <f>IFERROR(INDEX(Cluster_Master!$H$4:$H$18,MATCH($F20,Cluster_Master!$B$4:$B$18,0)),"")</f>
        <v/>
      </c>
      <c r="N20" s="12"/>
      <c r="O20" s="12"/>
      <c r="P20" s="12"/>
      <c r="Q20" s="12"/>
      <c r="R20" s="12"/>
      <c r="S20" s="12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8" t="str">
        <f t="shared" si="2"/>
        <v/>
      </c>
      <c r="AJ20" s="14" t="str">
        <f t="shared" si="3"/>
        <v/>
      </c>
      <c r="AK20" s="14" t="str">
        <f>IF(COUNTA(T20:AH20)=0,"",(SUM(T20*KPI_Weights!$B$4,U20*KPI_Weights!$B$5,V20*KPI_Weights!$B$6,W20*KPI_Weights!$B$7,X20*KPI_Weights!$B$8,Y20*KPI_Weights!$B$9,Z20*KPI_Weights!$B$10,AA20*KPI_Weights!$B$11,AB20*KPI_Weights!$B$12,AC20*KPI_Weights!$B$13,AD20*KPI_Weights!$B$14,AE20*KPI_Weights!$B$15,AF20*KPI_Weights!$B$16,AG20*KPI_Weights!$B$17,AH20*KPI_Weights!$B$18))/5)</f>
        <v/>
      </c>
      <c r="AL20" s="8" t="str">
        <f t="shared" si="4"/>
        <v/>
      </c>
      <c r="AM20" s="8" t="str">
        <f t="shared" si="5"/>
        <v/>
      </c>
      <c r="AN20" s="8" t="str">
        <f t="shared" si="6"/>
        <v/>
      </c>
      <c r="AO20" s="12"/>
      <c r="AP20" s="12"/>
      <c r="AQ20" s="12"/>
      <c r="AR20" s="12"/>
      <c r="AS20" s="12"/>
      <c r="AT20" s="15"/>
      <c r="AU20" s="12"/>
      <c r="AV20" s="16"/>
      <c r="AW20" s="12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ht="19.5" customHeight="1" x14ac:dyDescent="0.2">
      <c r="A21" s="8" t="str">
        <f>IF($B21="","",TEXT($B21,"yyyymmdd")&amp;"-"&amp;SUBSTITUTE($F21," ","")&amp;"-"&amp;TEXT(COUNTIF($F$4:F21,$F21),"00"))</f>
        <v/>
      </c>
      <c r="B21" s="9"/>
      <c r="C21" s="8" t="str">
        <f t="shared" si="0"/>
        <v/>
      </c>
      <c r="D21" s="8" t="str">
        <f t="shared" si="1"/>
        <v/>
      </c>
      <c r="E21" s="10"/>
      <c r="F21" s="10"/>
      <c r="G21" s="8" t="str">
        <f>IF(OR($E21="",$F21=""),"",IFERROR(IF($E21=INDEX(Cluster_Master!$A$4:$A$18,MATCH($F21,Cluster_Master!$B$4:$B$18,0)),"OK","CHECK"),"CHECK"))</f>
        <v/>
      </c>
      <c r="H21" s="11" t="str">
        <f>IFERROR(INDEX(Cluster_Master!$C$4:$C$18,MATCH($F21,Cluster_Master!$B$4:$B$18,0)),"")</f>
        <v/>
      </c>
      <c r="I21" s="8" t="str">
        <f>IFERROR(INDEX(Cluster_Master!$D$4:$D$18,MATCH($F21,Cluster_Master!$B$4:$B$18,0)),"")</f>
        <v/>
      </c>
      <c r="J21" s="8" t="str">
        <f>IFERROR(INDEX(Cluster_Master!$E$4:$E$18,MATCH($F21,Cluster_Master!$B$4:$B$18,0)),"")</f>
        <v/>
      </c>
      <c r="K21" s="8" t="str">
        <f>IFERROR(INDEX(Cluster_Master!$F$4:$F$18,MATCH($F21,Cluster_Master!$B$4:$B$18,0)),"")</f>
        <v/>
      </c>
      <c r="L21" s="8" t="str">
        <f>IFERROR(INDEX(Cluster_Master!$G$4:$G$18,MATCH($F21,Cluster_Master!$B$4:$B$18,0)),"")</f>
        <v/>
      </c>
      <c r="M21" s="8" t="str">
        <f>IFERROR(INDEX(Cluster_Master!$H$4:$H$18,MATCH($F21,Cluster_Master!$B$4:$B$18,0)),"")</f>
        <v/>
      </c>
      <c r="N21" s="12"/>
      <c r="O21" s="12"/>
      <c r="P21" s="12"/>
      <c r="Q21" s="12"/>
      <c r="R21" s="12"/>
      <c r="S21" s="12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8" t="str">
        <f t="shared" si="2"/>
        <v/>
      </c>
      <c r="AJ21" s="14" t="str">
        <f t="shared" si="3"/>
        <v/>
      </c>
      <c r="AK21" s="14" t="str">
        <f>IF(COUNTA(T21:AH21)=0,"",(SUM(T21*KPI_Weights!$B$4,U21*KPI_Weights!$B$5,V21*KPI_Weights!$B$6,W21*KPI_Weights!$B$7,X21*KPI_Weights!$B$8,Y21*KPI_Weights!$B$9,Z21*KPI_Weights!$B$10,AA21*KPI_Weights!$B$11,AB21*KPI_Weights!$B$12,AC21*KPI_Weights!$B$13,AD21*KPI_Weights!$B$14,AE21*KPI_Weights!$B$15,AF21*KPI_Weights!$B$16,AG21*KPI_Weights!$B$17,AH21*KPI_Weights!$B$18))/5)</f>
        <v/>
      </c>
      <c r="AL21" s="8" t="str">
        <f t="shared" si="4"/>
        <v/>
      </c>
      <c r="AM21" s="8" t="str">
        <f t="shared" si="5"/>
        <v/>
      </c>
      <c r="AN21" s="8" t="str">
        <f t="shared" si="6"/>
        <v/>
      </c>
      <c r="AO21" s="12"/>
      <c r="AP21" s="12"/>
      <c r="AQ21" s="12"/>
      <c r="AR21" s="12"/>
      <c r="AS21" s="12"/>
      <c r="AT21" s="15"/>
      <c r="AU21" s="12"/>
      <c r="AV21" s="16"/>
      <c r="AW21" s="12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ht="19.5" customHeight="1" x14ac:dyDescent="0.2">
      <c r="A22" s="8" t="str">
        <f>IF($B22="","",TEXT($B22,"yyyymmdd")&amp;"-"&amp;SUBSTITUTE($F22," ","")&amp;"-"&amp;TEXT(COUNTIF($F$4:F22,$F22),"00"))</f>
        <v/>
      </c>
      <c r="B22" s="9"/>
      <c r="C22" s="8" t="str">
        <f t="shared" si="0"/>
        <v/>
      </c>
      <c r="D22" s="8" t="str">
        <f t="shared" si="1"/>
        <v/>
      </c>
      <c r="E22" s="10"/>
      <c r="F22" s="10"/>
      <c r="G22" s="8" t="str">
        <f>IF(OR($E22="",$F22=""),"",IFERROR(IF($E22=INDEX(Cluster_Master!$A$4:$A$18,MATCH($F22,Cluster_Master!$B$4:$B$18,0)),"OK","CHECK"),"CHECK"))</f>
        <v/>
      </c>
      <c r="H22" s="11" t="str">
        <f>IFERROR(INDEX(Cluster_Master!$C$4:$C$18,MATCH($F22,Cluster_Master!$B$4:$B$18,0)),"")</f>
        <v/>
      </c>
      <c r="I22" s="8" t="str">
        <f>IFERROR(INDEX(Cluster_Master!$D$4:$D$18,MATCH($F22,Cluster_Master!$B$4:$B$18,0)),"")</f>
        <v/>
      </c>
      <c r="J22" s="8" t="str">
        <f>IFERROR(INDEX(Cluster_Master!$E$4:$E$18,MATCH($F22,Cluster_Master!$B$4:$B$18,0)),"")</f>
        <v/>
      </c>
      <c r="K22" s="8" t="str">
        <f>IFERROR(INDEX(Cluster_Master!$F$4:$F$18,MATCH($F22,Cluster_Master!$B$4:$B$18,0)),"")</f>
        <v/>
      </c>
      <c r="L22" s="8" t="str">
        <f>IFERROR(INDEX(Cluster_Master!$G$4:$G$18,MATCH($F22,Cluster_Master!$B$4:$B$18,0)),"")</f>
        <v/>
      </c>
      <c r="M22" s="8" t="str">
        <f>IFERROR(INDEX(Cluster_Master!$H$4:$H$18,MATCH($F22,Cluster_Master!$B$4:$B$18,0)),"")</f>
        <v/>
      </c>
      <c r="N22" s="12"/>
      <c r="O22" s="12"/>
      <c r="P22" s="12"/>
      <c r="Q22" s="12"/>
      <c r="R22" s="12"/>
      <c r="S22" s="12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8" t="str">
        <f t="shared" si="2"/>
        <v/>
      </c>
      <c r="AJ22" s="14" t="str">
        <f t="shared" si="3"/>
        <v/>
      </c>
      <c r="AK22" s="14" t="str">
        <f>IF(COUNTA(T22:AH22)=0,"",(SUM(T22*KPI_Weights!$B$4,U22*KPI_Weights!$B$5,V22*KPI_Weights!$B$6,W22*KPI_Weights!$B$7,X22*KPI_Weights!$B$8,Y22*KPI_Weights!$B$9,Z22*KPI_Weights!$B$10,AA22*KPI_Weights!$B$11,AB22*KPI_Weights!$B$12,AC22*KPI_Weights!$B$13,AD22*KPI_Weights!$B$14,AE22*KPI_Weights!$B$15,AF22*KPI_Weights!$B$16,AG22*KPI_Weights!$B$17,AH22*KPI_Weights!$B$18))/5)</f>
        <v/>
      </c>
      <c r="AL22" s="8" t="str">
        <f t="shared" si="4"/>
        <v/>
      </c>
      <c r="AM22" s="8" t="str">
        <f t="shared" si="5"/>
        <v/>
      </c>
      <c r="AN22" s="8" t="str">
        <f t="shared" si="6"/>
        <v/>
      </c>
      <c r="AO22" s="12"/>
      <c r="AP22" s="12"/>
      <c r="AQ22" s="12"/>
      <c r="AR22" s="12"/>
      <c r="AS22" s="12"/>
      <c r="AT22" s="15"/>
      <c r="AU22" s="12"/>
      <c r="AV22" s="16"/>
      <c r="AW22" s="12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ht="19.5" customHeight="1" x14ac:dyDescent="0.2">
      <c r="A23" s="8" t="str">
        <f>IF($B23="","",TEXT($B23,"yyyymmdd")&amp;"-"&amp;SUBSTITUTE($F23," ","")&amp;"-"&amp;TEXT(COUNTIF($F$4:F23,$F23),"00"))</f>
        <v/>
      </c>
      <c r="B23" s="9"/>
      <c r="C23" s="8" t="str">
        <f t="shared" si="0"/>
        <v/>
      </c>
      <c r="D23" s="8" t="str">
        <f t="shared" si="1"/>
        <v/>
      </c>
      <c r="E23" s="10"/>
      <c r="F23" s="10"/>
      <c r="G23" s="8" t="str">
        <f>IF(OR($E23="",$F23=""),"",IFERROR(IF($E23=INDEX(Cluster_Master!$A$4:$A$18,MATCH($F23,Cluster_Master!$B$4:$B$18,0)),"OK","CHECK"),"CHECK"))</f>
        <v/>
      </c>
      <c r="H23" s="11" t="str">
        <f>IFERROR(INDEX(Cluster_Master!$C$4:$C$18,MATCH($F23,Cluster_Master!$B$4:$B$18,0)),"")</f>
        <v/>
      </c>
      <c r="I23" s="8" t="str">
        <f>IFERROR(INDEX(Cluster_Master!$D$4:$D$18,MATCH($F23,Cluster_Master!$B$4:$B$18,0)),"")</f>
        <v/>
      </c>
      <c r="J23" s="8" t="str">
        <f>IFERROR(INDEX(Cluster_Master!$E$4:$E$18,MATCH($F23,Cluster_Master!$B$4:$B$18,0)),"")</f>
        <v/>
      </c>
      <c r="K23" s="8" t="str">
        <f>IFERROR(INDEX(Cluster_Master!$F$4:$F$18,MATCH($F23,Cluster_Master!$B$4:$B$18,0)),"")</f>
        <v/>
      </c>
      <c r="L23" s="8" t="str">
        <f>IFERROR(INDEX(Cluster_Master!$G$4:$G$18,MATCH($F23,Cluster_Master!$B$4:$B$18,0)),"")</f>
        <v/>
      </c>
      <c r="M23" s="8" t="str">
        <f>IFERROR(INDEX(Cluster_Master!$H$4:$H$18,MATCH($F23,Cluster_Master!$B$4:$B$18,0)),"")</f>
        <v/>
      </c>
      <c r="N23" s="12"/>
      <c r="O23" s="12"/>
      <c r="P23" s="12"/>
      <c r="Q23" s="12"/>
      <c r="R23" s="12"/>
      <c r="S23" s="12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8" t="str">
        <f t="shared" si="2"/>
        <v/>
      </c>
      <c r="AJ23" s="14" t="str">
        <f t="shared" si="3"/>
        <v/>
      </c>
      <c r="AK23" s="14" t="str">
        <f>IF(COUNTA(T23:AH23)=0,"",(SUM(T23*KPI_Weights!$B$4,U23*KPI_Weights!$B$5,V23*KPI_Weights!$B$6,W23*KPI_Weights!$B$7,X23*KPI_Weights!$B$8,Y23*KPI_Weights!$B$9,Z23*KPI_Weights!$B$10,AA23*KPI_Weights!$B$11,AB23*KPI_Weights!$B$12,AC23*KPI_Weights!$B$13,AD23*KPI_Weights!$B$14,AE23*KPI_Weights!$B$15,AF23*KPI_Weights!$B$16,AG23*KPI_Weights!$B$17,AH23*KPI_Weights!$B$18))/5)</f>
        <v/>
      </c>
      <c r="AL23" s="8" t="str">
        <f t="shared" si="4"/>
        <v/>
      </c>
      <c r="AM23" s="8" t="str">
        <f t="shared" si="5"/>
        <v/>
      </c>
      <c r="AN23" s="8" t="str">
        <f t="shared" si="6"/>
        <v/>
      </c>
      <c r="AO23" s="12"/>
      <c r="AP23" s="12"/>
      <c r="AQ23" s="12"/>
      <c r="AR23" s="12"/>
      <c r="AS23" s="12"/>
      <c r="AT23" s="15"/>
      <c r="AU23" s="12"/>
      <c r="AV23" s="16"/>
      <c r="AW23" s="12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ht="19.5" customHeight="1" x14ac:dyDescent="0.2">
      <c r="A24" s="8" t="str">
        <f>IF($B24="","",TEXT($B24,"yyyymmdd")&amp;"-"&amp;SUBSTITUTE($F24," ","")&amp;"-"&amp;TEXT(COUNTIF($F$4:F24,$F24),"00"))</f>
        <v/>
      </c>
      <c r="B24" s="9"/>
      <c r="C24" s="8" t="str">
        <f t="shared" si="0"/>
        <v/>
      </c>
      <c r="D24" s="8" t="str">
        <f t="shared" si="1"/>
        <v/>
      </c>
      <c r="E24" s="10"/>
      <c r="F24" s="10"/>
      <c r="G24" s="8" t="str">
        <f>IF(OR($E24="",$F24=""),"",IFERROR(IF($E24=INDEX(Cluster_Master!$A$4:$A$18,MATCH($F24,Cluster_Master!$B$4:$B$18,0)),"OK","CHECK"),"CHECK"))</f>
        <v/>
      </c>
      <c r="H24" s="11" t="str">
        <f>IFERROR(INDEX(Cluster_Master!$C$4:$C$18,MATCH($F24,Cluster_Master!$B$4:$B$18,0)),"")</f>
        <v/>
      </c>
      <c r="I24" s="8" t="str">
        <f>IFERROR(INDEX(Cluster_Master!$D$4:$D$18,MATCH($F24,Cluster_Master!$B$4:$B$18,0)),"")</f>
        <v/>
      </c>
      <c r="J24" s="8" t="str">
        <f>IFERROR(INDEX(Cluster_Master!$E$4:$E$18,MATCH($F24,Cluster_Master!$B$4:$B$18,0)),"")</f>
        <v/>
      </c>
      <c r="K24" s="8" t="str">
        <f>IFERROR(INDEX(Cluster_Master!$F$4:$F$18,MATCH($F24,Cluster_Master!$B$4:$B$18,0)),"")</f>
        <v/>
      </c>
      <c r="L24" s="8" t="str">
        <f>IFERROR(INDEX(Cluster_Master!$G$4:$G$18,MATCH($F24,Cluster_Master!$B$4:$B$18,0)),"")</f>
        <v/>
      </c>
      <c r="M24" s="8" t="str">
        <f>IFERROR(INDEX(Cluster_Master!$H$4:$H$18,MATCH($F24,Cluster_Master!$B$4:$B$18,0)),"")</f>
        <v/>
      </c>
      <c r="N24" s="12"/>
      <c r="O24" s="12"/>
      <c r="P24" s="12"/>
      <c r="Q24" s="12"/>
      <c r="R24" s="12"/>
      <c r="S24" s="12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8" t="str">
        <f t="shared" si="2"/>
        <v/>
      </c>
      <c r="AJ24" s="14" t="str">
        <f t="shared" si="3"/>
        <v/>
      </c>
      <c r="AK24" s="14" t="str">
        <f>IF(COUNTA(T24:AH24)=0,"",(SUM(T24*KPI_Weights!$B$4,U24*KPI_Weights!$B$5,V24*KPI_Weights!$B$6,W24*KPI_Weights!$B$7,X24*KPI_Weights!$B$8,Y24*KPI_Weights!$B$9,Z24*KPI_Weights!$B$10,AA24*KPI_Weights!$B$11,AB24*KPI_Weights!$B$12,AC24*KPI_Weights!$B$13,AD24*KPI_Weights!$B$14,AE24*KPI_Weights!$B$15,AF24*KPI_Weights!$B$16,AG24*KPI_Weights!$B$17,AH24*KPI_Weights!$B$18))/5)</f>
        <v/>
      </c>
      <c r="AL24" s="8" t="str">
        <f t="shared" si="4"/>
        <v/>
      </c>
      <c r="AM24" s="8" t="str">
        <f t="shared" si="5"/>
        <v/>
      </c>
      <c r="AN24" s="8" t="str">
        <f t="shared" si="6"/>
        <v/>
      </c>
      <c r="AO24" s="12"/>
      <c r="AP24" s="12"/>
      <c r="AQ24" s="12"/>
      <c r="AR24" s="12"/>
      <c r="AS24" s="12"/>
      <c r="AT24" s="15"/>
      <c r="AU24" s="12"/>
      <c r="AV24" s="16"/>
      <c r="AW24" s="12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ht="19.5" customHeight="1" x14ac:dyDescent="0.2">
      <c r="A25" s="8" t="str">
        <f>IF($B25="","",TEXT($B25,"yyyymmdd")&amp;"-"&amp;SUBSTITUTE($F25," ","")&amp;"-"&amp;TEXT(COUNTIF($F$4:F25,$F25),"00"))</f>
        <v/>
      </c>
      <c r="B25" s="9"/>
      <c r="C25" s="8" t="str">
        <f t="shared" si="0"/>
        <v/>
      </c>
      <c r="D25" s="8" t="str">
        <f t="shared" si="1"/>
        <v/>
      </c>
      <c r="E25" s="10"/>
      <c r="F25" s="10"/>
      <c r="G25" s="8" t="str">
        <f>IF(OR($E25="",$F25=""),"",IFERROR(IF($E25=INDEX(Cluster_Master!$A$4:$A$18,MATCH($F25,Cluster_Master!$B$4:$B$18,0)),"OK","CHECK"),"CHECK"))</f>
        <v/>
      </c>
      <c r="H25" s="11" t="str">
        <f>IFERROR(INDEX(Cluster_Master!$C$4:$C$18,MATCH($F25,Cluster_Master!$B$4:$B$18,0)),"")</f>
        <v/>
      </c>
      <c r="I25" s="8" t="str">
        <f>IFERROR(INDEX(Cluster_Master!$D$4:$D$18,MATCH($F25,Cluster_Master!$B$4:$B$18,0)),"")</f>
        <v/>
      </c>
      <c r="J25" s="8" t="str">
        <f>IFERROR(INDEX(Cluster_Master!$E$4:$E$18,MATCH($F25,Cluster_Master!$B$4:$B$18,0)),"")</f>
        <v/>
      </c>
      <c r="K25" s="8" t="str">
        <f>IFERROR(INDEX(Cluster_Master!$F$4:$F$18,MATCH($F25,Cluster_Master!$B$4:$B$18,0)),"")</f>
        <v/>
      </c>
      <c r="L25" s="8" t="str">
        <f>IFERROR(INDEX(Cluster_Master!$G$4:$G$18,MATCH($F25,Cluster_Master!$B$4:$B$18,0)),"")</f>
        <v/>
      </c>
      <c r="M25" s="8" t="str">
        <f>IFERROR(INDEX(Cluster_Master!$H$4:$H$18,MATCH($F25,Cluster_Master!$B$4:$B$18,0)),"")</f>
        <v/>
      </c>
      <c r="N25" s="12"/>
      <c r="O25" s="12"/>
      <c r="P25" s="12"/>
      <c r="Q25" s="12"/>
      <c r="R25" s="12"/>
      <c r="S25" s="12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8" t="str">
        <f t="shared" si="2"/>
        <v/>
      </c>
      <c r="AJ25" s="14" t="str">
        <f t="shared" si="3"/>
        <v/>
      </c>
      <c r="AK25" s="14" t="str">
        <f>IF(COUNTA(T25:AH25)=0,"",(SUM(T25*KPI_Weights!$B$4,U25*KPI_Weights!$B$5,V25*KPI_Weights!$B$6,W25*KPI_Weights!$B$7,X25*KPI_Weights!$B$8,Y25*KPI_Weights!$B$9,Z25*KPI_Weights!$B$10,AA25*KPI_Weights!$B$11,AB25*KPI_Weights!$B$12,AC25*KPI_Weights!$B$13,AD25*KPI_Weights!$B$14,AE25*KPI_Weights!$B$15,AF25*KPI_Weights!$B$16,AG25*KPI_Weights!$B$17,AH25*KPI_Weights!$B$18))/5)</f>
        <v/>
      </c>
      <c r="AL25" s="8" t="str">
        <f t="shared" si="4"/>
        <v/>
      </c>
      <c r="AM25" s="8" t="str">
        <f t="shared" si="5"/>
        <v/>
      </c>
      <c r="AN25" s="8" t="str">
        <f t="shared" si="6"/>
        <v/>
      </c>
      <c r="AO25" s="12"/>
      <c r="AP25" s="12"/>
      <c r="AQ25" s="12"/>
      <c r="AR25" s="12"/>
      <c r="AS25" s="12"/>
      <c r="AT25" s="15"/>
      <c r="AU25" s="12"/>
      <c r="AV25" s="16"/>
      <c r="AW25" s="12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ht="19.5" customHeight="1" x14ac:dyDescent="0.2">
      <c r="A26" s="8" t="str">
        <f>IF($B26="","",TEXT($B26,"yyyymmdd")&amp;"-"&amp;SUBSTITUTE($F26," ","")&amp;"-"&amp;TEXT(COUNTIF($F$4:F26,$F26),"00"))</f>
        <v/>
      </c>
      <c r="B26" s="9"/>
      <c r="C26" s="8" t="str">
        <f t="shared" si="0"/>
        <v/>
      </c>
      <c r="D26" s="8" t="str">
        <f t="shared" si="1"/>
        <v/>
      </c>
      <c r="E26" s="10"/>
      <c r="F26" s="10"/>
      <c r="G26" s="8" t="str">
        <f>IF(OR($E26="",$F26=""),"",IFERROR(IF($E26=INDEX(Cluster_Master!$A$4:$A$18,MATCH($F26,Cluster_Master!$B$4:$B$18,0)),"OK","CHECK"),"CHECK"))</f>
        <v/>
      </c>
      <c r="H26" s="11" t="str">
        <f>IFERROR(INDEX(Cluster_Master!$C$4:$C$18,MATCH($F26,Cluster_Master!$B$4:$B$18,0)),"")</f>
        <v/>
      </c>
      <c r="I26" s="8" t="str">
        <f>IFERROR(INDEX(Cluster_Master!$D$4:$D$18,MATCH($F26,Cluster_Master!$B$4:$B$18,0)),"")</f>
        <v/>
      </c>
      <c r="J26" s="8" t="str">
        <f>IFERROR(INDEX(Cluster_Master!$E$4:$E$18,MATCH($F26,Cluster_Master!$B$4:$B$18,0)),"")</f>
        <v/>
      </c>
      <c r="K26" s="8" t="str">
        <f>IFERROR(INDEX(Cluster_Master!$F$4:$F$18,MATCH($F26,Cluster_Master!$B$4:$B$18,0)),"")</f>
        <v/>
      </c>
      <c r="L26" s="8" t="str">
        <f>IFERROR(INDEX(Cluster_Master!$G$4:$G$18,MATCH($F26,Cluster_Master!$B$4:$B$18,0)),"")</f>
        <v/>
      </c>
      <c r="M26" s="8" t="str">
        <f>IFERROR(INDEX(Cluster_Master!$H$4:$H$18,MATCH($F26,Cluster_Master!$B$4:$B$18,0)),"")</f>
        <v/>
      </c>
      <c r="N26" s="12"/>
      <c r="O26" s="12"/>
      <c r="P26" s="12"/>
      <c r="Q26" s="12"/>
      <c r="R26" s="12"/>
      <c r="S26" s="12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8" t="str">
        <f t="shared" si="2"/>
        <v/>
      </c>
      <c r="AJ26" s="14" t="str">
        <f t="shared" si="3"/>
        <v/>
      </c>
      <c r="AK26" s="14" t="str">
        <f>IF(COUNTA(T26:AH26)=0,"",(SUM(T26*KPI_Weights!$B$4,U26*KPI_Weights!$B$5,V26*KPI_Weights!$B$6,W26*KPI_Weights!$B$7,X26*KPI_Weights!$B$8,Y26*KPI_Weights!$B$9,Z26*KPI_Weights!$B$10,AA26*KPI_Weights!$B$11,AB26*KPI_Weights!$B$12,AC26*KPI_Weights!$B$13,AD26*KPI_Weights!$B$14,AE26*KPI_Weights!$B$15,AF26*KPI_Weights!$B$16,AG26*KPI_Weights!$B$17,AH26*KPI_Weights!$B$18))/5)</f>
        <v/>
      </c>
      <c r="AL26" s="8" t="str">
        <f t="shared" si="4"/>
        <v/>
      </c>
      <c r="AM26" s="8" t="str">
        <f t="shared" si="5"/>
        <v/>
      </c>
      <c r="AN26" s="8" t="str">
        <f t="shared" si="6"/>
        <v/>
      </c>
      <c r="AO26" s="12"/>
      <c r="AP26" s="12"/>
      <c r="AQ26" s="12"/>
      <c r="AR26" s="12"/>
      <c r="AS26" s="12"/>
      <c r="AT26" s="15"/>
      <c r="AU26" s="12"/>
      <c r="AV26" s="16"/>
      <c r="AW26" s="12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ht="19.5" customHeight="1" x14ac:dyDescent="0.2">
      <c r="A27" s="8" t="str">
        <f>IF($B27="","",TEXT($B27,"yyyymmdd")&amp;"-"&amp;SUBSTITUTE($F27," ","")&amp;"-"&amp;TEXT(COUNTIF($F$4:F27,$F27),"00"))</f>
        <v/>
      </c>
      <c r="B27" s="9"/>
      <c r="C27" s="8" t="str">
        <f t="shared" si="0"/>
        <v/>
      </c>
      <c r="D27" s="8" t="str">
        <f t="shared" si="1"/>
        <v/>
      </c>
      <c r="E27" s="10"/>
      <c r="F27" s="10"/>
      <c r="G27" s="8" t="str">
        <f>IF(OR($E27="",$F27=""),"",IFERROR(IF($E27=INDEX(Cluster_Master!$A$4:$A$18,MATCH($F27,Cluster_Master!$B$4:$B$18,0)),"OK","CHECK"),"CHECK"))</f>
        <v/>
      </c>
      <c r="H27" s="11" t="str">
        <f>IFERROR(INDEX(Cluster_Master!$C$4:$C$18,MATCH($F27,Cluster_Master!$B$4:$B$18,0)),"")</f>
        <v/>
      </c>
      <c r="I27" s="8" t="str">
        <f>IFERROR(INDEX(Cluster_Master!$D$4:$D$18,MATCH($F27,Cluster_Master!$B$4:$B$18,0)),"")</f>
        <v/>
      </c>
      <c r="J27" s="8" t="str">
        <f>IFERROR(INDEX(Cluster_Master!$E$4:$E$18,MATCH($F27,Cluster_Master!$B$4:$B$18,0)),"")</f>
        <v/>
      </c>
      <c r="K27" s="8" t="str">
        <f>IFERROR(INDEX(Cluster_Master!$F$4:$F$18,MATCH($F27,Cluster_Master!$B$4:$B$18,0)),"")</f>
        <v/>
      </c>
      <c r="L27" s="8" t="str">
        <f>IFERROR(INDEX(Cluster_Master!$G$4:$G$18,MATCH($F27,Cluster_Master!$B$4:$B$18,0)),"")</f>
        <v/>
      </c>
      <c r="M27" s="8" t="str">
        <f>IFERROR(INDEX(Cluster_Master!$H$4:$H$18,MATCH($F27,Cluster_Master!$B$4:$B$18,0)),"")</f>
        <v/>
      </c>
      <c r="N27" s="12"/>
      <c r="O27" s="12"/>
      <c r="P27" s="12"/>
      <c r="Q27" s="12"/>
      <c r="R27" s="12"/>
      <c r="S27" s="12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8" t="str">
        <f t="shared" si="2"/>
        <v/>
      </c>
      <c r="AJ27" s="14" t="str">
        <f t="shared" si="3"/>
        <v/>
      </c>
      <c r="AK27" s="14" t="str">
        <f>IF(COUNTA(T27:AH27)=0,"",(SUM(T27*KPI_Weights!$B$4,U27*KPI_Weights!$B$5,V27*KPI_Weights!$B$6,W27*KPI_Weights!$B$7,X27*KPI_Weights!$B$8,Y27*KPI_Weights!$B$9,Z27*KPI_Weights!$B$10,AA27*KPI_Weights!$B$11,AB27*KPI_Weights!$B$12,AC27*KPI_Weights!$B$13,AD27*KPI_Weights!$B$14,AE27*KPI_Weights!$B$15,AF27*KPI_Weights!$B$16,AG27*KPI_Weights!$B$17,AH27*KPI_Weights!$B$18))/5)</f>
        <v/>
      </c>
      <c r="AL27" s="8" t="str">
        <f t="shared" si="4"/>
        <v/>
      </c>
      <c r="AM27" s="8" t="str">
        <f t="shared" si="5"/>
        <v/>
      </c>
      <c r="AN27" s="8" t="str">
        <f t="shared" si="6"/>
        <v/>
      </c>
      <c r="AO27" s="12"/>
      <c r="AP27" s="12"/>
      <c r="AQ27" s="12"/>
      <c r="AR27" s="12"/>
      <c r="AS27" s="12"/>
      <c r="AT27" s="15"/>
      <c r="AU27" s="12"/>
      <c r="AV27" s="16"/>
      <c r="AW27" s="12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ht="19.5" customHeight="1" x14ac:dyDescent="0.2">
      <c r="A28" s="8" t="str">
        <f>IF($B28="","",TEXT($B28,"yyyymmdd")&amp;"-"&amp;SUBSTITUTE($F28," ","")&amp;"-"&amp;TEXT(COUNTIF($F$4:F28,$F28),"00"))</f>
        <v/>
      </c>
      <c r="B28" s="9"/>
      <c r="C28" s="8" t="str">
        <f t="shared" si="0"/>
        <v/>
      </c>
      <c r="D28" s="8" t="str">
        <f t="shared" si="1"/>
        <v/>
      </c>
      <c r="E28" s="10"/>
      <c r="F28" s="10"/>
      <c r="G28" s="8" t="str">
        <f>IF(OR($E28="",$F28=""),"",IFERROR(IF($E28=INDEX(Cluster_Master!$A$4:$A$18,MATCH($F28,Cluster_Master!$B$4:$B$18,0)),"OK","CHECK"),"CHECK"))</f>
        <v/>
      </c>
      <c r="H28" s="11" t="str">
        <f>IFERROR(INDEX(Cluster_Master!$C$4:$C$18,MATCH($F28,Cluster_Master!$B$4:$B$18,0)),"")</f>
        <v/>
      </c>
      <c r="I28" s="8" t="str">
        <f>IFERROR(INDEX(Cluster_Master!$D$4:$D$18,MATCH($F28,Cluster_Master!$B$4:$B$18,0)),"")</f>
        <v/>
      </c>
      <c r="J28" s="8" t="str">
        <f>IFERROR(INDEX(Cluster_Master!$E$4:$E$18,MATCH($F28,Cluster_Master!$B$4:$B$18,0)),"")</f>
        <v/>
      </c>
      <c r="K28" s="8" t="str">
        <f>IFERROR(INDEX(Cluster_Master!$F$4:$F$18,MATCH($F28,Cluster_Master!$B$4:$B$18,0)),"")</f>
        <v/>
      </c>
      <c r="L28" s="8" t="str">
        <f>IFERROR(INDEX(Cluster_Master!$G$4:$G$18,MATCH($F28,Cluster_Master!$B$4:$B$18,0)),"")</f>
        <v/>
      </c>
      <c r="M28" s="8" t="str">
        <f>IFERROR(INDEX(Cluster_Master!$H$4:$H$18,MATCH($F28,Cluster_Master!$B$4:$B$18,0)),"")</f>
        <v/>
      </c>
      <c r="N28" s="12"/>
      <c r="O28" s="12"/>
      <c r="P28" s="12"/>
      <c r="Q28" s="12"/>
      <c r="R28" s="12"/>
      <c r="S28" s="12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8" t="str">
        <f t="shared" si="2"/>
        <v/>
      </c>
      <c r="AJ28" s="14" t="str">
        <f t="shared" si="3"/>
        <v/>
      </c>
      <c r="AK28" s="14" t="str">
        <f>IF(COUNTA(T28:AH28)=0,"",(SUM(T28*KPI_Weights!$B$4,U28*KPI_Weights!$B$5,V28*KPI_Weights!$B$6,W28*KPI_Weights!$B$7,X28*KPI_Weights!$B$8,Y28*KPI_Weights!$B$9,Z28*KPI_Weights!$B$10,AA28*KPI_Weights!$B$11,AB28*KPI_Weights!$B$12,AC28*KPI_Weights!$B$13,AD28*KPI_Weights!$B$14,AE28*KPI_Weights!$B$15,AF28*KPI_Weights!$B$16,AG28*KPI_Weights!$B$17,AH28*KPI_Weights!$B$18))/5)</f>
        <v/>
      </c>
      <c r="AL28" s="8" t="str">
        <f t="shared" si="4"/>
        <v/>
      </c>
      <c r="AM28" s="8" t="str">
        <f t="shared" si="5"/>
        <v/>
      </c>
      <c r="AN28" s="8" t="str">
        <f t="shared" si="6"/>
        <v/>
      </c>
      <c r="AO28" s="12"/>
      <c r="AP28" s="12"/>
      <c r="AQ28" s="12"/>
      <c r="AR28" s="12"/>
      <c r="AS28" s="12"/>
      <c r="AT28" s="15"/>
      <c r="AU28" s="12"/>
      <c r="AV28" s="16"/>
      <c r="AW28" s="12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ht="19.5" customHeight="1" x14ac:dyDescent="0.2">
      <c r="A29" s="8" t="str">
        <f>IF($B29="","",TEXT($B29,"yyyymmdd")&amp;"-"&amp;SUBSTITUTE($F29," ","")&amp;"-"&amp;TEXT(COUNTIF($F$4:F29,$F29),"00"))</f>
        <v/>
      </c>
      <c r="B29" s="9"/>
      <c r="C29" s="8" t="str">
        <f t="shared" si="0"/>
        <v/>
      </c>
      <c r="D29" s="8" t="str">
        <f t="shared" si="1"/>
        <v/>
      </c>
      <c r="E29" s="10"/>
      <c r="F29" s="10"/>
      <c r="G29" s="8" t="str">
        <f>IF(OR($E29="",$F29=""),"",IFERROR(IF($E29=INDEX(Cluster_Master!$A$4:$A$18,MATCH($F29,Cluster_Master!$B$4:$B$18,0)),"OK","CHECK"),"CHECK"))</f>
        <v/>
      </c>
      <c r="H29" s="11" t="str">
        <f>IFERROR(INDEX(Cluster_Master!$C$4:$C$18,MATCH($F29,Cluster_Master!$B$4:$B$18,0)),"")</f>
        <v/>
      </c>
      <c r="I29" s="8" t="str">
        <f>IFERROR(INDEX(Cluster_Master!$D$4:$D$18,MATCH($F29,Cluster_Master!$B$4:$B$18,0)),"")</f>
        <v/>
      </c>
      <c r="J29" s="8" t="str">
        <f>IFERROR(INDEX(Cluster_Master!$E$4:$E$18,MATCH($F29,Cluster_Master!$B$4:$B$18,0)),"")</f>
        <v/>
      </c>
      <c r="K29" s="8" t="str">
        <f>IFERROR(INDEX(Cluster_Master!$F$4:$F$18,MATCH($F29,Cluster_Master!$B$4:$B$18,0)),"")</f>
        <v/>
      </c>
      <c r="L29" s="8" t="str">
        <f>IFERROR(INDEX(Cluster_Master!$G$4:$G$18,MATCH($F29,Cluster_Master!$B$4:$B$18,0)),"")</f>
        <v/>
      </c>
      <c r="M29" s="8" t="str">
        <f>IFERROR(INDEX(Cluster_Master!$H$4:$H$18,MATCH($F29,Cluster_Master!$B$4:$B$18,0)),"")</f>
        <v/>
      </c>
      <c r="N29" s="12"/>
      <c r="O29" s="12"/>
      <c r="P29" s="12"/>
      <c r="Q29" s="12"/>
      <c r="R29" s="12"/>
      <c r="S29" s="12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8" t="str">
        <f t="shared" si="2"/>
        <v/>
      </c>
      <c r="AJ29" s="14" t="str">
        <f t="shared" si="3"/>
        <v/>
      </c>
      <c r="AK29" s="14" t="str">
        <f>IF(COUNTA(T29:AH29)=0,"",(SUM(T29*KPI_Weights!$B$4,U29*KPI_Weights!$B$5,V29*KPI_Weights!$B$6,W29*KPI_Weights!$B$7,X29*KPI_Weights!$B$8,Y29*KPI_Weights!$B$9,Z29*KPI_Weights!$B$10,AA29*KPI_Weights!$B$11,AB29*KPI_Weights!$B$12,AC29*KPI_Weights!$B$13,AD29*KPI_Weights!$B$14,AE29*KPI_Weights!$B$15,AF29*KPI_Weights!$B$16,AG29*KPI_Weights!$B$17,AH29*KPI_Weights!$B$18))/5)</f>
        <v/>
      </c>
      <c r="AL29" s="8" t="str">
        <f t="shared" si="4"/>
        <v/>
      </c>
      <c r="AM29" s="8" t="str">
        <f t="shared" si="5"/>
        <v/>
      </c>
      <c r="AN29" s="8" t="str">
        <f t="shared" si="6"/>
        <v/>
      </c>
      <c r="AO29" s="12"/>
      <c r="AP29" s="12"/>
      <c r="AQ29" s="12"/>
      <c r="AR29" s="12"/>
      <c r="AS29" s="12"/>
      <c r="AT29" s="15"/>
      <c r="AU29" s="12"/>
      <c r="AV29" s="16"/>
      <c r="AW29" s="12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ht="19.5" customHeight="1" x14ac:dyDescent="0.2">
      <c r="A30" s="8" t="str">
        <f>IF($B30="","",TEXT($B30,"yyyymmdd")&amp;"-"&amp;SUBSTITUTE($F30," ","")&amp;"-"&amp;TEXT(COUNTIF($F$4:F30,$F30),"00"))</f>
        <v/>
      </c>
      <c r="B30" s="9"/>
      <c r="C30" s="8" t="str">
        <f t="shared" si="0"/>
        <v/>
      </c>
      <c r="D30" s="8" t="str">
        <f t="shared" si="1"/>
        <v/>
      </c>
      <c r="E30" s="10"/>
      <c r="F30" s="10"/>
      <c r="G30" s="8" t="str">
        <f>IF(OR($E30="",$F30=""),"",IFERROR(IF($E30=INDEX(Cluster_Master!$A$4:$A$18,MATCH($F30,Cluster_Master!$B$4:$B$18,0)),"OK","CHECK"),"CHECK"))</f>
        <v/>
      </c>
      <c r="H30" s="11" t="str">
        <f>IFERROR(INDEX(Cluster_Master!$C$4:$C$18,MATCH($F30,Cluster_Master!$B$4:$B$18,0)),"")</f>
        <v/>
      </c>
      <c r="I30" s="8" t="str">
        <f>IFERROR(INDEX(Cluster_Master!$D$4:$D$18,MATCH($F30,Cluster_Master!$B$4:$B$18,0)),"")</f>
        <v/>
      </c>
      <c r="J30" s="8" t="str">
        <f>IFERROR(INDEX(Cluster_Master!$E$4:$E$18,MATCH($F30,Cluster_Master!$B$4:$B$18,0)),"")</f>
        <v/>
      </c>
      <c r="K30" s="8" t="str">
        <f>IFERROR(INDEX(Cluster_Master!$F$4:$F$18,MATCH($F30,Cluster_Master!$B$4:$B$18,0)),"")</f>
        <v/>
      </c>
      <c r="L30" s="8" t="str">
        <f>IFERROR(INDEX(Cluster_Master!$G$4:$G$18,MATCH($F30,Cluster_Master!$B$4:$B$18,0)),"")</f>
        <v/>
      </c>
      <c r="M30" s="8" t="str">
        <f>IFERROR(INDEX(Cluster_Master!$H$4:$H$18,MATCH($F30,Cluster_Master!$B$4:$B$18,0)),"")</f>
        <v/>
      </c>
      <c r="N30" s="12"/>
      <c r="O30" s="12"/>
      <c r="P30" s="12"/>
      <c r="Q30" s="12"/>
      <c r="R30" s="12"/>
      <c r="S30" s="12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8" t="str">
        <f t="shared" si="2"/>
        <v/>
      </c>
      <c r="AJ30" s="14" t="str">
        <f t="shared" si="3"/>
        <v/>
      </c>
      <c r="AK30" s="14" t="str">
        <f>IF(COUNTA(T30:AH30)=0,"",(SUM(T30*KPI_Weights!$B$4,U30*KPI_Weights!$B$5,V30*KPI_Weights!$B$6,W30*KPI_Weights!$B$7,X30*KPI_Weights!$B$8,Y30*KPI_Weights!$B$9,Z30*KPI_Weights!$B$10,AA30*KPI_Weights!$B$11,AB30*KPI_Weights!$B$12,AC30*KPI_Weights!$B$13,AD30*KPI_Weights!$B$14,AE30*KPI_Weights!$B$15,AF30*KPI_Weights!$B$16,AG30*KPI_Weights!$B$17,AH30*KPI_Weights!$B$18))/5)</f>
        <v/>
      </c>
      <c r="AL30" s="8" t="str">
        <f t="shared" si="4"/>
        <v/>
      </c>
      <c r="AM30" s="8" t="str">
        <f t="shared" si="5"/>
        <v/>
      </c>
      <c r="AN30" s="8" t="str">
        <f t="shared" si="6"/>
        <v/>
      </c>
      <c r="AO30" s="12"/>
      <c r="AP30" s="12"/>
      <c r="AQ30" s="12"/>
      <c r="AR30" s="12"/>
      <c r="AS30" s="12"/>
      <c r="AT30" s="15"/>
      <c r="AU30" s="12"/>
      <c r="AV30" s="16"/>
      <c r="AW30" s="12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ht="19.5" customHeight="1" x14ac:dyDescent="0.2">
      <c r="A31" s="8" t="str">
        <f>IF($B31="","",TEXT($B31,"yyyymmdd")&amp;"-"&amp;SUBSTITUTE($F31," ","")&amp;"-"&amp;TEXT(COUNTIF($F$4:F31,$F31),"00"))</f>
        <v/>
      </c>
      <c r="B31" s="9"/>
      <c r="C31" s="8" t="str">
        <f t="shared" si="0"/>
        <v/>
      </c>
      <c r="D31" s="8" t="str">
        <f t="shared" si="1"/>
        <v/>
      </c>
      <c r="E31" s="10"/>
      <c r="F31" s="10"/>
      <c r="G31" s="8" t="str">
        <f>IF(OR($E31="",$F31=""),"",IFERROR(IF($E31=INDEX(Cluster_Master!$A$4:$A$18,MATCH($F31,Cluster_Master!$B$4:$B$18,0)),"OK","CHECK"),"CHECK"))</f>
        <v/>
      </c>
      <c r="H31" s="11" t="str">
        <f>IFERROR(INDEX(Cluster_Master!$C$4:$C$18,MATCH($F31,Cluster_Master!$B$4:$B$18,0)),"")</f>
        <v/>
      </c>
      <c r="I31" s="8" t="str">
        <f>IFERROR(INDEX(Cluster_Master!$D$4:$D$18,MATCH($F31,Cluster_Master!$B$4:$B$18,0)),"")</f>
        <v/>
      </c>
      <c r="J31" s="8" t="str">
        <f>IFERROR(INDEX(Cluster_Master!$E$4:$E$18,MATCH($F31,Cluster_Master!$B$4:$B$18,0)),"")</f>
        <v/>
      </c>
      <c r="K31" s="8" t="str">
        <f>IFERROR(INDEX(Cluster_Master!$F$4:$F$18,MATCH($F31,Cluster_Master!$B$4:$B$18,0)),"")</f>
        <v/>
      </c>
      <c r="L31" s="8" t="str">
        <f>IFERROR(INDEX(Cluster_Master!$G$4:$G$18,MATCH($F31,Cluster_Master!$B$4:$B$18,0)),"")</f>
        <v/>
      </c>
      <c r="M31" s="8" t="str">
        <f>IFERROR(INDEX(Cluster_Master!$H$4:$H$18,MATCH($F31,Cluster_Master!$B$4:$B$18,0)),"")</f>
        <v/>
      </c>
      <c r="N31" s="12"/>
      <c r="O31" s="12"/>
      <c r="P31" s="12"/>
      <c r="Q31" s="12"/>
      <c r="R31" s="12"/>
      <c r="S31" s="12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8" t="str">
        <f t="shared" si="2"/>
        <v/>
      </c>
      <c r="AJ31" s="14" t="str">
        <f t="shared" si="3"/>
        <v/>
      </c>
      <c r="AK31" s="14" t="str">
        <f>IF(COUNTA(T31:AH31)=0,"",(SUM(T31*KPI_Weights!$B$4,U31*KPI_Weights!$B$5,V31*KPI_Weights!$B$6,W31*KPI_Weights!$B$7,X31*KPI_Weights!$B$8,Y31*KPI_Weights!$B$9,Z31*KPI_Weights!$B$10,AA31*KPI_Weights!$B$11,AB31*KPI_Weights!$B$12,AC31*KPI_Weights!$B$13,AD31*KPI_Weights!$B$14,AE31*KPI_Weights!$B$15,AF31*KPI_Weights!$B$16,AG31*KPI_Weights!$B$17,AH31*KPI_Weights!$B$18))/5)</f>
        <v/>
      </c>
      <c r="AL31" s="8" t="str">
        <f t="shared" si="4"/>
        <v/>
      </c>
      <c r="AM31" s="8" t="str">
        <f t="shared" si="5"/>
        <v/>
      </c>
      <c r="AN31" s="8" t="str">
        <f t="shared" si="6"/>
        <v/>
      </c>
      <c r="AO31" s="12"/>
      <c r="AP31" s="12"/>
      <c r="AQ31" s="12"/>
      <c r="AR31" s="12"/>
      <c r="AS31" s="12"/>
      <c r="AT31" s="15"/>
      <c r="AU31" s="12"/>
      <c r="AV31" s="16"/>
      <c r="AW31" s="12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ht="19.5" customHeight="1" x14ac:dyDescent="0.2">
      <c r="A32" s="8" t="str">
        <f>IF($B32="","",TEXT($B32,"yyyymmdd")&amp;"-"&amp;SUBSTITUTE($F32," ","")&amp;"-"&amp;TEXT(COUNTIF($F$4:F32,$F32),"00"))</f>
        <v/>
      </c>
      <c r="B32" s="9"/>
      <c r="C32" s="8" t="str">
        <f t="shared" si="0"/>
        <v/>
      </c>
      <c r="D32" s="8" t="str">
        <f t="shared" si="1"/>
        <v/>
      </c>
      <c r="E32" s="10"/>
      <c r="F32" s="10"/>
      <c r="G32" s="8" t="str">
        <f>IF(OR($E32="",$F32=""),"",IFERROR(IF($E32=INDEX(Cluster_Master!$A$4:$A$18,MATCH($F32,Cluster_Master!$B$4:$B$18,0)),"OK","CHECK"),"CHECK"))</f>
        <v/>
      </c>
      <c r="H32" s="11" t="str">
        <f>IFERROR(INDEX(Cluster_Master!$C$4:$C$18,MATCH($F32,Cluster_Master!$B$4:$B$18,0)),"")</f>
        <v/>
      </c>
      <c r="I32" s="8" t="str">
        <f>IFERROR(INDEX(Cluster_Master!$D$4:$D$18,MATCH($F32,Cluster_Master!$B$4:$B$18,0)),"")</f>
        <v/>
      </c>
      <c r="J32" s="8" t="str">
        <f>IFERROR(INDEX(Cluster_Master!$E$4:$E$18,MATCH($F32,Cluster_Master!$B$4:$B$18,0)),"")</f>
        <v/>
      </c>
      <c r="K32" s="8" t="str">
        <f>IFERROR(INDEX(Cluster_Master!$F$4:$F$18,MATCH($F32,Cluster_Master!$B$4:$B$18,0)),"")</f>
        <v/>
      </c>
      <c r="L32" s="8" t="str">
        <f>IFERROR(INDEX(Cluster_Master!$G$4:$G$18,MATCH($F32,Cluster_Master!$B$4:$B$18,0)),"")</f>
        <v/>
      </c>
      <c r="M32" s="8" t="str">
        <f>IFERROR(INDEX(Cluster_Master!$H$4:$H$18,MATCH($F32,Cluster_Master!$B$4:$B$18,0)),"")</f>
        <v/>
      </c>
      <c r="N32" s="12"/>
      <c r="O32" s="12"/>
      <c r="P32" s="12"/>
      <c r="Q32" s="12"/>
      <c r="R32" s="12"/>
      <c r="S32" s="12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8" t="str">
        <f t="shared" si="2"/>
        <v/>
      </c>
      <c r="AJ32" s="14" t="str">
        <f t="shared" si="3"/>
        <v/>
      </c>
      <c r="AK32" s="14" t="str">
        <f>IF(COUNTA(T32:AH32)=0,"",(SUM(T32*KPI_Weights!$B$4,U32*KPI_Weights!$B$5,V32*KPI_Weights!$B$6,W32*KPI_Weights!$B$7,X32*KPI_Weights!$B$8,Y32*KPI_Weights!$B$9,Z32*KPI_Weights!$B$10,AA32*KPI_Weights!$B$11,AB32*KPI_Weights!$B$12,AC32*KPI_Weights!$B$13,AD32*KPI_Weights!$B$14,AE32*KPI_Weights!$B$15,AF32*KPI_Weights!$B$16,AG32*KPI_Weights!$B$17,AH32*KPI_Weights!$B$18))/5)</f>
        <v/>
      </c>
      <c r="AL32" s="8" t="str">
        <f t="shared" si="4"/>
        <v/>
      </c>
      <c r="AM32" s="8" t="str">
        <f t="shared" si="5"/>
        <v/>
      </c>
      <c r="AN32" s="8" t="str">
        <f t="shared" si="6"/>
        <v/>
      </c>
      <c r="AO32" s="12"/>
      <c r="AP32" s="12"/>
      <c r="AQ32" s="12"/>
      <c r="AR32" s="12"/>
      <c r="AS32" s="12"/>
      <c r="AT32" s="15"/>
      <c r="AU32" s="12"/>
      <c r="AV32" s="16"/>
      <c r="AW32" s="12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ht="19.5" customHeight="1" x14ac:dyDescent="0.2">
      <c r="A33" s="8" t="str">
        <f>IF($B33="","",TEXT($B33,"yyyymmdd")&amp;"-"&amp;SUBSTITUTE($F33," ","")&amp;"-"&amp;TEXT(COUNTIF($F$4:F33,$F33),"00"))</f>
        <v/>
      </c>
      <c r="B33" s="9"/>
      <c r="C33" s="8" t="str">
        <f t="shared" si="0"/>
        <v/>
      </c>
      <c r="D33" s="8" t="str">
        <f t="shared" si="1"/>
        <v/>
      </c>
      <c r="E33" s="10"/>
      <c r="F33" s="10"/>
      <c r="G33" s="8" t="str">
        <f>IF(OR($E33="",$F33=""),"",IFERROR(IF($E33=INDEX(Cluster_Master!$A$4:$A$18,MATCH($F33,Cluster_Master!$B$4:$B$18,0)),"OK","CHECK"),"CHECK"))</f>
        <v/>
      </c>
      <c r="H33" s="11" t="str">
        <f>IFERROR(INDEX(Cluster_Master!$C$4:$C$18,MATCH($F33,Cluster_Master!$B$4:$B$18,0)),"")</f>
        <v/>
      </c>
      <c r="I33" s="8" t="str">
        <f>IFERROR(INDEX(Cluster_Master!$D$4:$D$18,MATCH($F33,Cluster_Master!$B$4:$B$18,0)),"")</f>
        <v/>
      </c>
      <c r="J33" s="8" t="str">
        <f>IFERROR(INDEX(Cluster_Master!$E$4:$E$18,MATCH($F33,Cluster_Master!$B$4:$B$18,0)),"")</f>
        <v/>
      </c>
      <c r="K33" s="8" t="str">
        <f>IFERROR(INDEX(Cluster_Master!$F$4:$F$18,MATCH($F33,Cluster_Master!$B$4:$B$18,0)),"")</f>
        <v/>
      </c>
      <c r="L33" s="8" t="str">
        <f>IFERROR(INDEX(Cluster_Master!$G$4:$G$18,MATCH($F33,Cluster_Master!$B$4:$B$18,0)),"")</f>
        <v/>
      </c>
      <c r="M33" s="8" t="str">
        <f>IFERROR(INDEX(Cluster_Master!$H$4:$H$18,MATCH($F33,Cluster_Master!$B$4:$B$18,0)),"")</f>
        <v/>
      </c>
      <c r="N33" s="12"/>
      <c r="O33" s="12"/>
      <c r="P33" s="12"/>
      <c r="Q33" s="12"/>
      <c r="R33" s="12"/>
      <c r="S33" s="12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8" t="str">
        <f t="shared" si="2"/>
        <v/>
      </c>
      <c r="AJ33" s="14" t="str">
        <f t="shared" si="3"/>
        <v/>
      </c>
      <c r="AK33" s="14" t="str">
        <f>IF(COUNTA(T33:AH33)=0,"",(SUM(T33*KPI_Weights!$B$4,U33*KPI_Weights!$B$5,V33*KPI_Weights!$B$6,W33*KPI_Weights!$B$7,X33*KPI_Weights!$B$8,Y33*KPI_Weights!$B$9,Z33*KPI_Weights!$B$10,AA33*KPI_Weights!$B$11,AB33*KPI_Weights!$B$12,AC33*KPI_Weights!$B$13,AD33*KPI_Weights!$B$14,AE33*KPI_Weights!$B$15,AF33*KPI_Weights!$B$16,AG33*KPI_Weights!$B$17,AH33*KPI_Weights!$B$18))/5)</f>
        <v/>
      </c>
      <c r="AL33" s="8" t="str">
        <f t="shared" si="4"/>
        <v/>
      </c>
      <c r="AM33" s="8" t="str">
        <f t="shared" si="5"/>
        <v/>
      </c>
      <c r="AN33" s="8" t="str">
        <f t="shared" si="6"/>
        <v/>
      </c>
      <c r="AO33" s="12"/>
      <c r="AP33" s="12"/>
      <c r="AQ33" s="12"/>
      <c r="AR33" s="12"/>
      <c r="AS33" s="12"/>
      <c r="AT33" s="15"/>
      <c r="AU33" s="12"/>
      <c r="AV33" s="16"/>
      <c r="AW33" s="12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ht="19.5" customHeight="1" x14ac:dyDescent="0.2">
      <c r="A34" s="8" t="str">
        <f>IF($B34="","",TEXT($B34,"yyyymmdd")&amp;"-"&amp;SUBSTITUTE($F34," ","")&amp;"-"&amp;TEXT(COUNTIF($F$4:F34,$F34),"00"))</f>
        <v/>
      </c>
      <c r="B34" s="9"/>
      <c r="C34" s="8" t="str">
        <f t="shared" si="0"/>
        <v/>
      </c>
      <c r="D34" s="8" t="str">
        <f t="shared" si="1"/>
        <v/>
      </c>
      <c r="E34" s="10"/>
      <c r="F34" s="10"/>
      <c r="G34" s="8" t="str">
        <f>IF(OR($E34="",$F34=""),"",IFERROR(IF($E34=INDEX(Cluster_Master!$A$4:$A$18,MATCH($F34,Cluster_Master!$B$4:$B$18,0)),"OK","CHECK"),"CHECK"))</f>
        <v/>
      </c>
      <c r="H34" s="11" t="str">
        <f>IFERROR(INDEX(Cluster_Master!$C$4:$C$18,MATCH($F34,Cluster_Master!$B$4:$B$18,0)),"")</f>
        <v/>
      </c>
      <c r="I34" s="8" t="str">
        <f>IFERROR(INDEX(Cluster_Master!$D$4:$D$18,MATCH($F34,Cluster_Master!$B$4:$B$18,0)),"")</f>
        <v/>
      </c>
      <c r="J34" s="8" t="str">
        <f>IFERROR(INDEX(Cluster_Master!$E$4:$E$18,MATCH($F34,Cluster_Master!$B$4:$B$18,0)),"")</f>
        <v/>
      </c>
      <c r="K34" s="8" t="str">
        <f>IFERROR(INDEX(Cluster_Master!$F$4:$F$18,MATCH($F34,Cluster_Master!$B$4:$B$18,0)),"")</f>
        <v/>
      </c>
      <c r="L34" s="8" t="str">
        <f>IFERROR(INDEX(Cluster_Master!$G$4:$G$18,MATCH($F34,Cluster_Master!$B$4:$B$18,0)),"")</f>
        <v/>
      </c>
      <c r="M34" s="8" t="str">
        <f>IFERROR(INDEX(Cluster_Master!$H$4:$H$18,MATCH($F34,Cluster_Master!$B$4:$B$18,0)),"")</f>
        <v/>
      </c>
      <c r="N34" s="12"/>
      <c r="O34" s="12"/>
      <c r="P34" s="12"/>
      <c r="Q34" s="12"/>
      <c r="R34" s="12"/>
      <c r="S34" s="12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8" t="str">
        <f t="shared" si="2"/>
        <v/>
      </c>
      <c r="AJ34" s="14" t="str">
        <f t="shared" si="3"/>
        <v/>
      </c>
      <c r="AK34" s="14" t="str">
        <f>IF(COUNTA(T34:AH34)=0,"",(SUM(T34*KPI_Weights!$B$4,U34*KPI_Weights!$B$5,V34*KPI_Weights!$B$6,W34*KPI_Weights!$B$7,X34*KPI_Weights!$B$8,Y34*KPI_Weights!$B$9,Z34*KPI_Weights!$B$10,AA34*KPI_Weights!$B$11,AB34*KPI_Weights!$B$12,AC34*KPI_Weights!$B$13,AD34*KPI_Weights!$B$14,AE34*KPI_Weights!$B$15,AF34*KPI_Weights!$B$16,AG34*KPI_Weights!$B$17,AH34*KPI_Weights!$B$18))/5)</f>
        <v/>
      </c>
      <c r="AL34" s="8" t="str">
        <f t="shared" si="4"/>
        <v/>
      </c>
      <c r="AM34" s="8" t="str">
        <f t="shared" si="5"/>
        <v/>
      </c>
      <c r="AN34" s="8" t="str">
        <f t="shared" si="6"/>
        <v/>
      </c>
      <c r="AO34" s="12"/>
      <c r="AP34" s="12"/>
      <c r="AQ34" s="12"/>
      <c r="AR34" s="12"/>
      <c r="AS34" s="12"/>
      <c r="AT34" s="15"/>
      <c r="AU34" s="12"/>
      <c r="AV34" s="16"/>
      <c r="AW34" s="12"/>
      <c r="AX34" s="15"/>
      <c r="AY34" s="15"/>
      <c r="AZ34" s="15"/>
      <c r="BA34" s="15"/>
      <c r="BB34" s="15"/>
      <c r="BC34" s="15"/>
      <c r="BD34" s="15"/>
      <c r="BE34" s="15"/>
      <c r="BF34" s="15"/>
    </row>
    <row r="35" spans="1:58" ht="19.5" customHeight="1" x14ac:dyDescent="0.2">
      <c r="A35" s="8" t="str">
        <f>IF($B35="","",TEXT($B35,"yyyymmdd")&amp;"-"&amp;SUBSTITUTE($F35," ","")&amp;"-"&amp;TEXT(COUNTIF($F$4:F35,$F35),"00"))</f>
        <v/>
      </c>
      <c r="B35" s="9"/>
      <c r="C35" s="8" t="str">
        <f t="shared" si="0"/>
        <v/>
      </c>
      <c r="D35" s="8" t="str">
        <f t="shared" si="1"/>
        <v/>
      </c>
      <c r="E35" s="10"/>
      <c r="F35" s="10"/>
      <c r="G35" s="8" t="str">
        <f>IF(OR($E35="",$F35=""),"",IFERROR(IF($E35=INDEX(Cluster_Master!$A$4:$A$18,MATCH($F35,Cluster_Master!$B$4:$B$18,0)),"OK","CHECK"),"CHECK"))</f>
        <v/>
      </c>
      <c r="H35" s="11" t="str">
        <f>IFERROR(INDEX(Cluster_Master!$C$4:$C$18,MATCH($F35,Cluster_Master!$B$4:$B$18,0)),"")</f>
        <v/>
      </c>
      <c r="I35" s="8" t="str">
        <f>IFERROR(INDEX(Cluster_Master!$D$4:$D$18,MATCH($F35,Cluster_Master!$B$4:$B$18,0)),"")</f>
        <v/>
      </c>
      <c r="J35" s="8" t="str">
        <f>IFERROR(INDEX(Cluster_Master!$E$4:$E$18,MATCH($F35,Cluster_Master!$B$4:$B$18,0)),"")</f>
        <v/>
      </c>
      <c r="K35" s="8" t="str">
        <f>IFERROR(INDEX(Cluster_Master!$F$4:$F$18,MATCH($F35,Cluster_Master!$B$4:$B$18,0)),"")</f>
        <v/>
      </c>
      <c r="L35" s="8" t="str">
        <f>IFERROR(INDEX(Cluster_Master!$G$4:$G$18,MATCH($F35,Cluster_Master!$B$4:$B$18,0)),"")</f>
        <v/>
      </c>
      <c r="M35" s="8" t="str">
        <f>IFERROR(INDEX(Cluster_Master!$H$4:$H$18,MATCH($F35,Cluster_Master!$B$4:$B$18,0)),"")</f>
        <v/>
      </c>
      <c r="N35" s="12"/>
      <c r="O35" s="12"/>
      <c r="P35" s="12"/>
      <c r="Q35" s="12"/>
      <c r="R35" s="12"/>
      <c r="S35" s="12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8" t="str">
        <f t="shared" si="2"/>
        <v/>
      </c>
      <c r="AJ35" s="14" t="str">
        <f t="shared" si="3"/>
        <v/>
      </c>
      <c r="AK35" s="14" t="str">
        <f>IF(COUNTA(T35:AH35)=0,"",(SUM(T35*KPI_Weights!$B$4,U35*KPI_Weights!$B$5,V35*KPI_Weights!$B$6,W35*KPI_Weights!$B$7,X35*KPI_Weights!$B$8,Y35*KPI_Weights!$B$9,Z35*KPI_Weights!$B$10,AA35*KPI_Weights!$B$11,AB35*KPI_Weights!$B$12,AC35*KPI_Weights!$B$13,AD35*KPI_Weights!$B$14,AE35*KPI_Weights!$B$15,AF35*KPI_Weights!$B$16,AG35*KPI_Weights!$B$17,AH35*KPI_Weights!$B$18))/5)</f>
        <v/>
      </c>
      <c r="AL35" s="8" t="str">
        <f t="shared" si="4"/>
        <v/>
      </c>
      <c r="AM35" s="8" t="str">
        <f t="shared" si="5"/>
        <v/>
      </c>
      <c r="AN35" s="8" t="str">
        <f t="shared" si="6"/>
        <v/>
      </c>
      <c r="AO35" s="12"/>
      <c r="AP35" s="12"/>
      <c r="AQ35" s="12"/>
      <c r="AR35" s="12"/>
      <c r="AS35" s="12"/>
      <c r="AT35" s="15"/>
      <c r="AU35" s="12"/>
      <c r="AV35" s="16"/>
      <c r="AW35" s="12"/>
      <c r="AX35" s="15"/>
      <c r="AY35" s="15"/>
      <c r="AZ35" s="15"/>
      <c r="BA35" s="15"/>
      <c r="BB35" s="15"/>
      <c r="BC35" s="15"/>
      <c r="BD35" s="15"/>
      <c r="BE35" s="15"/>
      <c r="BF35" s="15"/>
    </row>
    <row r="36" spans="1:58" ht="19.5" customHeight="1" x14ac:dyDescent="0.2">
      <c r="A36" s="8" t="str">
        <f>IF($B36="","",TEXT($B36,"yyyymmdd")&amp;"-"&amp;SUBSTITUTE($F36," ","")&amp;"-"&amp;TEXT(COUNTIF($F$4:F36,$F36),"00"))</f>
        <v/>
      </c>
      <c r="B36" s="9"/>
      <c r="C36" s="8" t="str">
        <f t="shared" si="0"/>
        <v/>
      </c>
      <c r="D36" s="8" t="str">
        <f t="shared" si="1"/>
        <v/>
      </c>
      <c r="E36" s="10"/>
      <c r="F36" s="10"/>
      <c r="G36" s="8" t="str">
        <f>IF(OR($E36="",$F36=""),"",IFERROR(IF($E36=INDEX(Cluster_Master!$A$4:$A$18,MATCH($F36,Cluster_Master!$B$4:$B$18,0)),"OK","CHECK"),"CHECK"))</f>
        <v/>
      </c>
      <c r="H36" s="11" t="str">
        <f>IFERROR(INDEX(Cluster_Master!$C$4:$C$18,MATCH($F36,Cluster_Master!$B$4:$B$18,0)),"")</f>
        <v/>
      </c>
      <c r="I36" s="8" t="str">
        <f>IFERROR(INDEX(Cluster_Master!$D$4:$D$18,MATCH($F36,Cluster_Master!$B$4:$B$18,0)),"")</f>
        <v/>
      </c>
      <c r="J36" s="8" t="str">
        <f>IFERROR(INDEX(Cluster_Master!$E$4:$E$18,MATCH($F36,Cluster_Master!$B$4:$B$18,0)),"")</f>
        <v/>
      </c>
      <c r="K36" s="8" t="str">
        <f>IFERROR(INDEX(Cluster_Master!$F$4:$F$18,MATCH($F36,Cluster_Master!$B$4:$B$18,0)),"")</f>
        <v/>
      </c>
      <c r="L36" s="8" t="str">
        <f>IFERROR(INDEX(Cluster_Master!$G$4:$G$18,MATCH($F36,Cluster_Master!$B$4:$B$18,0)),"")</f>
        <v/>
      </c>
      <c r="M36" s="8" t="str">
        <f>IFERROR(INDEX(Cluster_Master!$H$4:$H$18,MATCH($F36,Cluster_Master!$B$4:$B$18,0)),"")</f>
        <v/>
      </c>
      <c r="N36" s="12"/>
      <c r="O36" s="12"/>
      <c r="P36" s="12"/>
      <c r="Q36" s="12"/>
      <c r="R36" s="12"/>
      <c r="S36" s="12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8" t="str">
        <f t="shared" si="2"/>
        <v/>
      </c>
      <c r="AJ36" s="14" t="str">
        <f t="shared" si="3"/>
        <v/>
      </c>
      <c r="AK36" s="14" t="str">
        <f>IF(COUNTA(T36:AH36)=0,"",(SUM(T36*KPI_Weights!$B$4,U36*KPI_Weights!$B$5,V36*KPI_Weights!$B$6,W36*KPI_Weights!$B$7,X36*KPI_Weights!$B$8,Y36*KPI_Weights!$B$9,Z36*KPI_Weights!$B$10,AA36*KPI_Weights!$B$11,AB36*KPI_Weights!$B$12,AC36*KPI_Weights!$B$13,AD36*KPI_Weights!$B$14,AE36*KPI_Weights!$B$15,AF36*KPI_Weights!$B$16,AG36*KPI_Weights!$B$17,AH36*KPI_Weights!$B$18))/5)</f>
        <v/>
      </c>
      <c r="AL36" s="8" t="str">
        <f t="shared" si="4"/>
        <v/>
      </c>
      <c r="AM36" s="8" t="str">
        <f t="shared" si="5"/>
        <v/>
      </c>
      <c r="AN36" s="8" t="str">
        <f t="shared" si="6"/>
        <v/>
      </c>
      <c r="AO36" s="12"/>
      <c r="AP36" s="12"/>
      <c r="AQ36" s="12"/>
      <c r="AR36" s="12"/>
      <c r="AS36" s="12"/>
      <c r="AT36" s="15"/>
      <c r="AU36" s="12"/>
      <c r="AV36" s="16"/>
      <c r="AW36" s="12"/>
      <c r="AX36" s="15"/>
      <c r="AY36" s="15"/>
      <c r="AZ36" s="15"/>
      <c r="BA36" s="15"/>
      <c r="BB36" s="15"/>
      <c r="BC36" s="15"/>
      <c r="BD36" s="15"/>
      <c r="BE36" s="15"/>
      <c r="BF36" s="15"/>
    </row>
    <row r="37" spans="1:58" ht="19.5" customHeight="1" x14ac:dyDescent="0.2">
      <c r="A37" s="8" t="str">
        <f>IF($B37="","",TEXT($B37,"yyyymmdd")&amp;"-"&amp;SUBSTITUTE($F37," ","")&amp;"-"&amp;TEXT(COUNTIF($F$4:F37,$F37),"00"))</f>
        <v/>
      </c>
      <c r="B37" s="9"/>
      <c r="C37" s="8" t="str">
        <f t="shared" si="0"/>
        <v/>
      </c>
      <c r="D37" s="8" t="str">
        <f t="shared" si="1"/>
        <v/>
      </c>
      <c r="E37" s="10"/>
      <c r="F37" s="10"/>
      <c r="G37" s="8" t="str">
        <f>IF(OR($E37="",$F37=""),"",IFERROR(IF($E37=INDEX(Cluster_Master!$A$4:$A$18,MATCH($F37,Cluster_Master!$B$4:$B$18,0)),"OK","CHECK"),"CHECK"))</f>
        <v/>
      </c>
      <c r="H37" s="11" t="str">
        <f>IFERROR(INDEX(Cluster_Master!$C$4:$C$18,MATCH($F37,Cluster_Master!$B$4:$B$18,0)),"")</f>
        <v/>
      </c>
      <c r="I37" s="8" t="str">
        <f>IFERROR(INDEX(Cluster_Master!$D$4:$D$18,MATCH($F37,Cluster_Master!$B$4:$B$18,0)),"")</f>
        <v/>
      </c>
      <c r="J37" s="8" t="str">
        <f>IFERROR(INDEX(Cluster_Master!$E$4:$E$18,MATCH($F37,Cluster_Master!$B$4:$B$18,0)),"")</f>
        <v/>
      </c>
      <c r="K37" s="8" t="str">
        <f>IFERROR(INDEX(Cluster_Master!$F$4:$F$18,MATCH($F37,Cluster_Master!$B$4:$B$18,0)),"")</f>
        <v/>
      </c>
      <c r="L37" s="8" t="str">
        <f>IFERROR(INDEX(Cluster_Master!$G$4:$G$18,MATCH($F37,Cluster_Master!$B$4:$B$18,0)),"")</f>
        <v/>
      </c>
      <c r="M37" s="8" t="str">
        <f>IFERROR(INDEX(Cluster_Master!$H$4:$H$18,MATCH($F37,Cluster_Master!$B$4:$B$18,0)),"")</f>
        <v/>
      </c>
      <c r="N37" s="12"/>
      <c r="O37" s="12"/>
      <c r="P37" s="12"/>
      <c r="Q37" s="12"/>
      <c r="R37" s="12"/>
      <c r="S37" s="12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8" t="str">
        <f t="shared" si="2"/>
        <v/>
      </c>
      <c r="AJ37" s="14" t="str">
        <f t="shared" si="3"/>
        <v/>
      </c>
      <c r="AK37" s="14" t="str">
        <f>IF(COUNTA(T37:AH37)=0,"",(SUM(T37*KPI_Weights!$B$4,U37*KPI_Weights!$B$5,V37*KPI_Weights!$B$6,W37*KPI_Weights!$B$7,X37*KPI_Weights!$B$8,Y37*KPI_Weights!$B$9,Z37*KPI_Weights!$B$10,AA37*KPI_Weights!$B$11,AB37*KPI_Weights!$B$12,AC37*KPI_Weights!$B$13,AD37*KPI_Weights!$B$14,AE37*KPI_Weights!$B$15,AF37*KPI_Weights!$B$16,AG37*KPI_Weights!$B$17,AH37*KPI_Weights!$B$18))/5)</f>
        <v/>
      </c>
      <c r="AL37" s="8" t="str">
        <f t="shared" si="4"/>
        <v/>
      </c>
      <c r="AM37" s="8" t="str">
        <f t="shared" si="5"/>
        <v/>
      </c>
      <c r="AN37" s="8" t="str">
        <f t="shared" si="6"/>
        <v/>
      </c>
      <c r="AO37" s="12"/>
      <c r="AP37" s="12"/>
      <c r="AQ37" s="12"/>
      <c r="AR37" s="12"/>
      <c r="AS37" s="12"/>
      <c r="AT37" s="15"/>
      <c r="AU37" s="12"/>
      <c r="AV37" s="16"/>
      <c r="AW37" s="12"/>
      <c r="AX37" s="15"/>
      <c r="AY37" s="15"/>
      <c r="AZ37" s="15"/>
      <c r="BA37" s="15"/>
      <c r="BB37" s="15"/>
      <c r="BC37" s="15"/>
      <c r="BD37" s="15"/>
      <c r="BE37" s="15"/>
      <c r="BF37" s="15"/>
    </row>
    <row r="38" spans="1:58" ht="19.5" customHeight="1" x14ac:dyDescent="0.2">
      <c r="A38" s="8" t="str">
        <f>IF($B38="","",TEXT($B38,"yyyymmdd")&amp;"-"&amp;SUBSTITUTE($F38," ","")&amp;"-"&amp;TEXT(COUNTIF($F$4:F38,$F38),"00"))</f>
        <v/>
      </c>
      <c r="B38" s="9"/>
      <c r="C38" s="8" t="str">
        <f t="shared" si="0"/>
        <v/>
      </c>
      <c r="D38" s="8" t="str">
        <f t="shared" si="1"/>
        <v/>
      </c>
      <c r="E38" s="10"/>
      <c r="F38" s="10"/>
      <c r="G38" s="8" t="str">
        <f>IF(OR($E38="",$F38=""),"",IFERROR(IF($E38=INDEX(Cluster_Master!$A$4:$A$18,MATCH($F38,Cluster_Master!$B$4:$B$18,0)),"OK","CHECK"),"CHECK"))</f>
        <v/>
      </c>
      <c r="H38" s="11" t="str">
        <f>IFERROR(INDEX(Cluster_Master!$C$4:$C$18,MATCH($F38,Cluster_Master!$B$4:$B$18,0)),"")</f>
        <v/>
      </c>
      <c r="I38" s="8" t="str">
        <f>IFERROR(INDEX(Cluster_Master!$D$4:$D$18,MATCH($F38,Cluster_Master!$B$4:$B$18,0)),"")</f>
        <v/>
      </c>
      <c r="J38" s="8" t="str">
        <f>IFERROR(INDEX(Cluster_Master!$E$4:$E$18,MATCH($F38,Cluster_Master!$B$4:$B$18,0)),"")</f>
        <v/>
      </c>
      <c r="K38" s="8" t="str">
        <f>IFERROR(INDEX(Cluster_Master!$F$4:$F$18,MATCH($F38,Cluster_Master!$B$4:$B$18,0)),"")</f>
        <v/>
      </c>
      <c r="L38" s="8" t="str">
        <f>IFERROR(INDEX(Cluster_Master!$G$4:$G$18,MATCH($F38,Cluster_Master!$B$4:$B$18,0)),"")</f>
        <v/>
      </c>
      <c r="M38" s="8" t="str">
        <f>IFERROR(INDEX(Cluster_Master!$H$4:$H$18,MATCH($F38,Cluster_Master!$B$4:$B$18,0)),"")</f>
        <v/>
      </c>
      <c r="N38" s="12"/>
      <c r="O38" s="12"/>
      <c r="P38" s="12"/>
      <c r="Q38" s="12"/>
      <c r="R38" s="12"/>
      <c r="S38" s="12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8" t="str">
        <f t="shared" si="2"/>
        <v/>
      </c>
      <c r="AJ38" s="14" t="str">
        <f t="shared" si="3"/>
        <v/>
      </c>
      <c r="AK38" s="14" t="str">
        <f>IF(COUNTA(T38:AH38)=0,"",(SUM(T38*KPI_Weights!$B$4,U38*KPI_Weights!$B$5,V38*KPI_Weights!$B$6,W38*KPI_Weights!$B$7,X38*KPI_Weights!$B$8,Y38*KPI_Weights!$B$9,Z38*KPI_Weights!$B$10,AA38*KPI_Weights!$B$11,AB38*KPI_Weights!$B$12,AC38*KPI_Weights!$B$13,AD38*KPI_Weights!$B$14,AE38*KPI_Weights!$B$15,AF38*KPI_Weights!$B$16,AG38*KPI_Weights!$B$17,AH38*KPI_Weights!$B$18))/5)</f>
        <v/>
      </c>
      <c r="AL38" s="8" t="str">
        <f t="shared" si="4"/>
        <v/>
      </c>
      <c r="AM38" s="8" t="str">
        <f t="shared" si="5"/>
        <v/>
      </c>
      <c r="AN38" s="8" t="str">
        <f t="shared" si="6"/>
        <v/>
      </c>
      <c r="AO38" s="12"/>
      <c r="AP38" s="12"/>
      <c r="AQ38" s="12"/>
      <c r="AR38" s="12"/>
      <c r="AS38" s="12"/>
      <c r="AT38" s="15"/>
      <c r="AU38" s="12"/>
      <c r="AV38" s="16"/>
      <c r="AW38" s="12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ht="19.5" customHeight="1" x14ac:dyDescent="0.2">
      <c r="A39" s="8" t="str">
        <f>IF($B39="","",TEXT($B39,"yyyymmdd")&amp;"-"&amp;SUBSTITUTE($F39," ","")&amp;"-"&amp;TEXT(COUNTIF($F$4:F39,$F39),"00"))</f>
        <v/>
      </c>
      <c r="B39" s="9"/>
      <c r="C39" s="8" t="str">
        <f t="shared" si="0"/>
        <v/>
      </c>
      <c r="D39" s="8" t="str">
        <f t="shared" si="1"/>
        <v/>
      </c>
      <c r="E39" s="10"/>
      <c r="F39" s="10"/>
      <c r="G39" s="8" t="str">
        <f>IF(OR($E39="",$F39=""),"",IFERROR(IF($E39=INDEX(Cluster_Master!$A$4:$A$18,MATCH($F39,Cluster_Master!$B$4:$B$18,0)),"OK","CHECK"),"CHECK"))</f>
        <v/>
      </c>
      <c r="H39" s="11" t="str">
        <f>IFERROR(INDEX(Cluster_Master!$C$4:$C$18,MATCH($F39,Cluster_Master!$B$4:$B$18,0)),"")</f>
        <v/>
      </c>
      <c r="I39" s="8" t="str">
        <f>IFERROR(INDEX(Cluster_Master!$D$4:$D$18,MATCH($F39,Cluster_Master!$B$4:$B$18,0)),"")</f>
        <v/>
      </c>
      <c r="J39" s="8" t="str">
        <f>IFERROR(INDEX(Cluster_Master!$E$4:$E$18,MATCH($F39,Cluster_Master!$B$4:$B$18,0)),"")</f>
        <v/>
      </c>
      <c r="K39" s="8" t="str">
        <f>IFERROR(INDEX(Cluster_Master!$F$4:$F$18,MATCH($F39,Cluster_Master!$B$4:$B$18,0)),"")</f>
        <v/>
      </c>
      <c r="L39" s="8" t="str">
        <f>IFERROR(INDEX(Cluster_Master!$G$4:$G$18,MATCH($F39,Cluster_Master!$B$4:$B$18,0)),"")</f>
        <v/>
      </c>
      <c r="M39" s="8" t="str">
        <f>IFERROR(INDEX(Cluster_Master!$H$4:$H$18,MATCH($F39,Cluster_Master!$B$4:$B$18,0)),"")</f>
        <v/>
      </c>
      <c r="N39" s="12"/>
      <c r="O39" s="12"/>
      <c r="P39" s="12"/>
      <c r="Q39" s="12"/>
      <c r="R39" s="12"/>
      <c r="S39" s="12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8" t="str">
        <f t="shared" si="2"/>
        <v/>
      </c>
      <c r="AJ39" s="14" t="str">
        <f t="shared" si="3"/>
        <v/>
      </c>
      <c r="AK39" s="14" t="str">
        <f>IF(COUNTA(T39:AH39)=0,"",(SUM(T39*KPI_Weights!$B$4,U39*KPI_Weights!$B$5,V39*KPI_Weights!$B$6,W39*KPI_Weights!$B$7,X39*KPI_Weights!$B$8,Y39*KPI_Weights!$B$9,Z39*KPI_Weights!$B$10,AA39*KPI_Weights!$B$11,AB39*KPI_Weights!$B$12,AC39*KPI_Weights!$B$13,AD39*KPI_Weights!$B$14,AE39*KPI_Weights!$B$15,AF39*KPI_Weights!$B$16,AG39*KPI_Weights!$B$17,AH39*KPI_Weights!$B$18))/5)</f>
        <v/>
      </c>
      <c r="AL39" s="8" t="str">
        <f t="shared" si="4"/>
        <v/>
      </c>
      <c r="AM39" s="8" t="str">
        <f t="shared" si="5"/>
        <v/>
      </c>
      <c r="AN39" s="8" t="str">
        <f t="shared" si="6"/>
        <v/>
      </c>
      <c r="AO39" s="12"/>
      <c r="AP39" s="12"/>
      <c r="AQ39" s="12"/>
      <c r="AR39" s="12"/>
      <c r="AS39" s="12"/>
      <c r="AT39" s="15"/>
      <c r="AU39" s="12"/>
      <c r="AV39" s="16"/>
      <c r="AW39" s="12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ht="19.5" customHeight="1" x14ac:dyDescent="0.2">
      <c r="A40" s="8" t="str">
        <f>IF($B40="","",TEXT($B40,"yyyymmdd")&amp;"-"&amp;SUBSTITUTE($F40," ","")&amp;"-"&amp;TEXT(COUNTIF($F$4:F40,$F40),"00"))</f>
        <v/>
      </c>
      <c r="B40" s="9"/>
      <c r="C40" s="8" t="str">
        <f t="shared" si="0"/>
        <v/>
      </c>
      <c r="D40" s="8" t="str">
        <f t="shared" si="1"/>
        <v/>
      </c>
      <c r="E40" s="10"/>
      <c r="F40" s="10"/>
      <c r="G40" s="8" t="str">
        <f>IF(OR($E40="",$F40=""),"",IFERROR(IF($E40=INDEX(Cluster_Master!$A$4:$A$18,MATCH($F40,Cluster_Master!$B$4:$B$18,0)),"OK","CHECK"),"CHECK"))</f>
        <v/>
      </c>
      <c r="H40" s="11" t="str">
        <f>IFERROR(INDEX(Cluster_Master!$C$4:$C$18,MATCH($F40,Cluster_Master!$B$4:$B$18,0)),"")</f>
        <v/>
      </c>
      <c r="I40" s="8" t="str">
        <f>IFERROR(INDEX(Cluster_Master!$D$4:$D$18,MATCH($F40,Cluster_Master!$B$4:$B$18,0)),"")</f>
        <v/>
      </c>
      <c r="J40" s="8" t="str">
        <f>IFERROR(INDEX(Cluster_Master!$E$4:$E$18,MATCH($F40,Cluster_Master!$B$4:$B$18,0)),"")</f>
        <v/>
      </c>
      <c r="K40" s="8" t="str">
        <f>IFERROR(INDEX(Cluster_Master!$F$4:$F$18,MATCH($F40,Cluster_Master!$B$4:$B$18,0)),"")</f>
        <v/>
      </c>
      <c r="L40" s="8" t="str">
        <f>IFERROR(INDEX(Cluster_Master!$G$4:$G$18,MATCH($F40,Cluster_Master!$B$4:$B$18,0)),"")</f>
        <v/>
      </c>
      <c r="M40" s="8" t="str">
        <f>IFERROR(INDEX(Cluster_Master!$H$4:$H$18,MATCH($F40,Cluster_Master!$B$4:$B$18,0)),"")</f>
        <v/>
      </c>
      <c r="N40" s="12"/>
      <c r="O40" s="12"/>
      <c r="P40" s="12"/>
      <c r="Q40" s="12"/>
      <c r="R40" s="12"/>
      <c r="S40" s="12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8" t="str">
        <f t="shared" si="2"/>
        <v/>
      </c>
      <c r="AJ40" s="14" t="str">
        <f t="shared" si="3"/>
        <v/>
      </c>
      <c r="AK40" s="14" t="str">
        <f>IF(COUNTA(T40:AH40)=0,"",(SUM(T40*KPI_Weights!$B$4,U40*KPI_Weights!$B$5,V40*KPI_Weights!$B$6,W40*KPI_Weights!$B$7,X40*KPI_Weights!$B$8,Y40*KPI_Weights!$B$9,Z40*KPI_Weights!$B$10,AA40*KPI_Weights!$B$11,AB40*KPI_Weights!$B$12,AC40*KPI_Weights!$B$13,AD40*KPI_Weights!$B$14,AE40*KPI_Weights!$B$15,AF40*KPI_Weights!$B$16,AG40*KPI_Weights!$B$17,AH40*KPI_Weights!$B$18))/5)</f>
        <v/>
      </c>
      <c r="AL40" s="8" t="str">
        <f t="shared" si="4"/>
        <v/>
      </c>
      <c r="AM40" s="8" t="str">
        <f t="shared" si="5"/>
        <v/>
      </c>
      <c r="AN40" s="8" t="str">
        <f t="shared" si="6"/>
        <v/>
      </c>
      <c r="AO40" s="12"/>
      <c r="AP40" s="12"/>
      <c r="AQ40" s="12"/>
      <c r="AR40" s="12"/>
      <c r="AS40" s="12"/>
      <c r="AT40" s="15"/>
      <c r="AU40" s="12"/>
      <c r="AV40" s="16"/>
      <c r="AW40" s="12"/>
      <c r="AX40" s="15"/>
      <c r="AY40" s="15"/>
      <c r="AZ40" s="15"/>
      <c r="BA40" s="15"/>
      <c r="BB40" s="15"/>
      <c r="BC40" s="15"/>
      <c r="BD40" s="15"/>
      <c r="BE40" s="15"/>
      <c r="BF40" s="15"/>
    </row>
    <row r="41" spans="1:58" ht="19.5" customHeight="1" x14ac:dyDescent="0.2">
      <c r="A41" s="8" t="str">
        <f>IF($B41="","",TEXT($B41,"yyyymmdd")&amp;"-"&amp;SUBSTITUTE($F41," ","")&amp;"-"&amp;TEXT(COUNTIF($F$4:F41,$F41),"00"))</f>
        <v/>
      </c>
      <c r="B41" s="9"/>
      <c r="C41" s="8" t="str">
        <f t="shared" si="0"/>
        <v/>
      </c>
      <c r="D41" s="8" t="str">
        <f t="shared" si="1"/>
        <v/>
      </c>
      <c r="E41" s="10"/>
      <c r="F41" s="10"/>
      <c r="G41" s="8" t="str">
        <f>IF(OR($E41="",$F41=""),"",IFERROR(IF($E41=INDEX(Cluster_Master!$A$4:$A$18,MATCH($F41,Cluster_Master!$B$4:$B$18,0)),"OK","CHECK"),"CHECK"))</f>
        <v/>
      </c>
      <c r="H41" s="11" t="str">
        <f>IFERROR(INDEX(Cluster_Master!$C$4:$C$18,MATCH($F41,Cluster_Master!$B$4:$B$18,0)),"")</f>
        <v/>
      </c>
      <c r="I41" s="8" t="str">
        <f>IFERROR(INDEX(Cluster_Master!$D$4:$D$18,MATCH($F41,Cluster_Master!$B$4:$B$18,0)),"")</f>
        <v/>
      </c>
      <c r="J41" s="8" t="str">
        <f>IFERROR(INDEX(Cluster_Master!$E$4:$E$18,MATCH($F41,Cluster_Master!$B$4:$B$18,0)),"")</f>
        <v/>
      </c>
      <c r="K41" s="8" t="str">
        <f>IFERROR(INDEX(Cluster_Master!$F$4:$F$18,MATCH($F41,Cluster_Master!$B$4:$B$18,0)),"")</f>
        <v/>
      </c>
      <c r="L41" s="8" t="str">
        <f>IFERROR(INDEX(Cluster_Master!$G$4:$G$18,MATCH($F41,Cluster_Master!$B$4:$B$18,0)),"")</f>
        <v/>
      </c>
      <c r="M41" s="8" t="str">
        <f>IFERROR(INDEX(Cluster_Master!$H$4:$H$18,MATCH($F41,Cluster_Master!$B$4:$B$18,0)),"")</f>
        <v/>
      </c>
      <c r="N41" s="12"/>
      <c r="O41" s="12"/>
      <c r="P41" s="12"/>
      <c r="Q41" s="12"/>
      <c r="R41" s="12"/>
      <c r="S41" s="12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8" t="str">
        <f t="shared" si="2"/>
        <v/>
      </c>
      <c r="AJ41" s="14" t="str">
        <f t="shared" si="3"/>
        <v/>
      </c>
      <c r="AK41" s="14" t="str">
        <f>IF(COUNTA(T41:AH41)=0,"",(SUM(T41*KPI_Weights!$B$4,U41*KPI_Weights!$B$5,V41*KPI_Weights!$B$6,W41*KPI_Weights!$B$7,X41*KPI_Weights!$B$8,Y41*KPI_Weights!$B$9,Z41*KPI_Weights!$B$10,AA41*KPI_Weights!$B$11,AB41*KPI_Weights!$B$12,AC41*KPI_Weights!$B$13,AD41*KPI_Weights!$B$14,AE41*KPI_Weights!$B$15,AF41*KPI_Weights!$B$16,AG41*KPI_Weights!$B$17,AH41*KPI_Weights!$B$18))/5)</f>
        <v/>
      </c>
      <c r="AL41" s="8" t="str">
        <f t="shared" si="4"/>
        <v/>
      </c>
      <c r="AM41" s="8" t="str">
        <f t="shared" si="5"/>
        <v/>
      </c>
      <c r="AN41" s="8" t="str">
        <f t="shared" si="6"/>
        <v/>
      </c>
      <c r="AO41" s="12"/>
      <c r="AP41" s="12"/>
      <c r="AQ41" s="12"/>
      <c r="AR41" s="12"/>
      <c r="AS41" s="12"/>
      <c r="AT41" s="15"/>
      <c r="AU41" s="12"/>
      <c r="AV41" s="16"/>
      <c r="AW41" s="12"/>
      <c r="AX41" s="15"/>
      <c r="AY41" s="15"/>
      <c r="AZ41" s="15"/>
      <c r="BA41" s="15"/>
      <c r="BB41" s="15"/>
      <c r="BC41" s="15"/>
      <c r="BD41" s="15"/>
      <c r="BE41" s="15"/>
      <c r="BF41" s="15"/>
    </row>
    <row r="42" spans="1:58" ht="19.5" customHeight="1" x14ac:dyDescent="0.2">
      <c r="A42" s="8" t="str">
        <f>IF($B42="","",TEXT($B42,"yyyymmdd")&amp;"-"&amp;SUBSTITUTE($F42," ","")&amp;"-"&amp;TEXT(COUNTIF($F$4:F42,$F42),"00"))</f>
        <v/>
      </c>
      <c r="B42" s="9"/>
      <c r="C42" s="8" t="str">
        <f t="shared" si="0"/>
        <v/>
      </c>
      <c r="D42" s="8" t="str">
        <f t="shared" si="1"/>
        <v/>
      </c>
      <c r="E42" s="10"/>
      <c r="F42" s="10"/>
      <c r="G42" s="8" t="str">
        <f>IF(OR($E42="",$F42=""),"",IFERROR(IF($E42=INDEX(Cluster_Master!$A$4:$A$18,MATCH($F42,Cluster_Master!$B$4:$B$18,0)),"OK","CHECK"),"CHECK"))</f>
        <v/>
      </c>
      <c r="H42" s="11" t="str">
        <f>IFERROR(INDEX(Cluster_Master!$C$4:$C$18,MATCH($F42,Cluster_Master!$B$4:$B$18,0)),"")</f>
        <v/>
      </c>
      <c r="I42" s="8" t="str">
        <f>IFERROR(INDEX(Cluster_Master!$D$4:$D$18,MATCH($F42,Cluster_Master!$B$4:$B$18,0)),"")</f>
        <v/>
      </c>
      <c r="J42" s="8" t="str">
        <f>IFERROR(INDEX(Cluster_Master!$E$4:$E$18,MATCH($F42,Cluster_Master!$B$4:$B$18,0)),"")</f>
        <v/>
      </c>
      <c r="K42" s="8" t="str">
        <f>IFERROR(INDEX(Cluster_Master!$F$4:$F$18,MATCH($F42,Cluster_Master!$B$4:$B$18,0)),"")</f>
        <v/>
      </c>
      <c r="L42" s="8" t="str">
        <f>IFERROR(INDEX(Cluster_Master!$G$4:$G$18,MATCH($F42,Cluster_Master!$B$4:$B$18,0)),"")</f>
        <v/>
      </c>
      <c r="M42" s="8" t="str">
        <f>IFERROR(INDEX(Cluster_Master!$H$4:$H$18,MATCH($F42,Cluster_Master!$B$4:$B$18,0)),"")</f>
        <v/>
      </c>
      <c r="N42" s="12"/>
      <c r="O42" s="12"/>
      <c r="P42" s="12"/>
      <c r="Q42" s="12"/>
      <c r="R42" s="12"/>
      <c r="S42" s="12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8" t="str">
        <f t="shared" si="2"/>
        <v/>
      </c>
      <c r="AJ42" s="14" t="str">
        <f t="shared" si="3"/>
        <v/>
      </c>
      <c r="AK42" s="14" t="str">
        <f>IF(COUNTA(T42:AH42)=0,"",(SUM(T42*KPI_Weights!$B$4,U42*KPI_Weights!$B$5,V42*KPI_Weights!$B$6,W42*KPI_Weights!$B$7,X42*KPI_Weights!$B$8,Y42*KPI_Weights!$B$9,Z42*KPI_Weights!$B$10,AA42*KPI_Weights!$B$11,AB42*KPI_Weights!$B$12,AC42*KPI_Weights!$B$13,AD42*KPI_Weights!$B$14,AE42*KPI_Weights!$B$15,AF42*KPI_Weights!$B$16,AG42*KPI_Weights!$B$17,AH42*KPI_Weights!$B$18))/5)</f>
        <v/>
      </c>
      <c r="AL42" s="8" t="str">
        <f t="shared" si="4"/>
        <v/>
      </c>
      <c r="AM42" s="8" t="str">
        <f t="shared" si="5"/>
        <v/>
      </c>
      <c r="AN42" s="8" t="str">
        <f t="shared" si="6"/>
        <v/>
      </c>
      <c r="AO42" s="12"/>
      <c r="AP42" s="12"/>
      <c r="AQ42" s="12"/>
      <c r="AR42" s="12"/>
      <c r="AS42" s="12"/>
      <c r="AT42" s="15"/>
      <c r="AU42" s="12"/>
      <c r="AV42" s="16"/>
      <c r="AW42" s="12"/>
      <c r="AX42" s="15"/>
      <c r="AY42" s="15"/>
      <c r="AZ42" s="15"/>
      <c r="BA42" s="15"/>
      <c r="BB42" s="15"/>
      <c r="BC42" s="15"/>
      <c r="BD42" s="15"/>
      <c r="BE42" s="15"/>
      <c r="BF42" s="15"/>
    </row>
    <row r="43" spans="1:58" ht="19.5" customHeight="1" x14ac:dyDescent="0.2">
      <c r="A43" s="8" t="str">
        <f>IF($B43="","",TEXT($B43,"yyyymmdd")&amp;"-"&amp;SUBSTITUTE($F43," ","")&amp;"-"&amp;TEXT(COUNTIF($F$4:F43,$F43),"00"))</f>
        <v/>
      </c>
      <c r="B43" s="9"/>
      <c r="C43" s="8" t="str">
        <f t="shared" si="0"/>
        <v/>
      </c>
      <c r="D43" s="8" t="str">
        <f t="shared" si="1"/>
        <v/>
      </c>
      <c r="E43" s="10"/>
      <c r="F43" s="10"/>
      <c r="G43" s="8" t="str">
        <f>IF(OR($E43="",$F43=""),"",IFERROR(IF($E43=INDEX(Cluster_Master!$A$4:$A$18,MATCH($F43,Cluster_Master!$B$4:$B$18,0)),"OK","CHECK"),"CHECK"))</f>
        <v/>
      </c>
      <c r="H43" s="11" t="str">
        <f>IFERROR(INDEX(Cluster_Master!$C$4:$C$18,MATCH($F43,Cluster_Master!$B$4:$B$18,0)),"")</f>
        <v/>
      </c>
      <c r="I43" s="8" t="str">
        <f>IFERROR(INDEX(Cluster_Master!$D$4:$D$18,MATCH($F43,Cluster_Master!$B$4:$B$18,0)),"")</f>
        <v/>
      </c>
      <c r="J43" s="8" t="str">
        <f>IFERROR(INDEX(Cluster_Master!$E$4:$E$18,MATCH($F43,Cluster_Master!$B$4:$B$18,0)),"")</f>
        <v/>
      </c>
      <c r="K43" s="8" t="str">
        <f>IFERROR(INDEX(Cluster_Master!$F$4:$F$18,MATCH($F43,Cluster_Master!$B$4:$B$18,0)),"")</f>
        <v/>
      </c>
      <c r="L43" s="8" t="str">
        <f>IFERROR(INDEX(Cluster_Master!$G$4:$G$18,MATCH($F43,Cluster_Master!$B$4:$B$18,0)),"")</f>
        <v/>
      </c>
      <c r="M43" s="8" t="str">
        <f>IFERROR(INDEX(Cluster_Master!$H$4:$H$18,MATCH($F43,Cluster_Master!$B$4:$B$18,0)),"")</f>
        <v/>
      </c>
      <c r="N43" s="12"/>
      <c r="O43" s="12"/>
      <c r="P43" s="12"/>
      <c r="Q43" s="12"/>
      <c r="R43" s="12"/>
      <c r="S43" s="12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8" t="str">
        <f t="shared" si="2"/>
        <v/>
      </c>
      <c r="AJ43" s="14" t="str">
        <f t="shared" si="3"/>
        <v/>
      </c>
      <c r="AK43" s="14" t="str">
        <f>IF(COUNTA(T43:AH43)=0,"",(SUM(T43*KPI_Weights!$B$4,U43*KPI_Weights!$B$5,V43*KPI_Weights!$B$6,W43*KPI_Weights!$B$7,X43*KPI_Weights!$B$8,Y43*KPI_Weights!$B$9,Z43*KPI_Weights!$B$10,AA43*KPI_Weights!$B$11,AB43*KPI_Weights!$B$12,AC43*KPI_Weights!$B$13,AD43*KPI_Weights!$B$14,AE43*KPI_Weights!$B$15,AF43*KPI_Weights!$B$16,AG43*KPI_Weights!$B$17,AH43*KPI_Weights!$B$18))/5)</f>
        <v/>
      </c>
      <c r="AL43" s="8" t="str">
        <f t="shared" si="4"/>
        <v/>
      </c>
      <c r="AM43" s="8" t="str">
        <f t="shared" si="5"/>
        <v/>
      </c>
      <c r="AN43" s="8" t="str">
        <f t="shared" si="6"/>
        <v/>
      </c>
      <c r="AO43" s="12"/>
      <c r="AP43" s="12"/>
      <c r="AQ43" s="12"/>
      <c r="AR43" s="12"/>
      <c r="AS43" s="12"/>
      <c r="AT43" s="15"/>
      <c r="AU43" s="12"/>
      <c r="AV43" s="16"/>
      <c r="AW43" s="12"/>
      <c r="AX43" s="15"/>
      <c r="AY43" s="15"/>
      <c r="AZ43" s="15"/>
      <c r="BA43" s="15"/>
      <c r="BB43" s="15"/>
      <c r="BC43" s="15"/>
      <c r="BD43" s="15"/>
      <c r="BE43" s="15"/>
      <c r="BF43" s="15"/>
    </row>
    <row r="44" spans="1:58" ht="19.5" customHeight="1" x14ac:dyDescent="0.2">
      <c r="A44" s="8" t="str">
        <f>IF($B44="","",TEXT($B44,"yyyymmdd")&amp;"-"&amp;SUBSTITUTE($F44," ","")&amp;"-"&amp;TEXT(COUNTIF($F$4:F44,$F44),"00"))</f>
        <v/>
      </c>
      <c r="B44" s="9"/>
      <c r="C44" s="8" t="str">
        <f t="shared" si="0"/>
        <v/>
      </c>
      <c r="D44" s="8" t="str">
        <f t="shared" si="1"/>
        <v/>
      </c>
      <c r="E44" s="10"/>
      <c r="F44" s="10"/>
      <c r="G44" s="8" t="str">
        <f>IF(OR($E44="",$F44=""),"",IFERROR(IF($E44=INDEX(Cluster_Master!$A$4:$A$18,MATCH($F44,Cluster_Master!$B$4:$B$18,0)),"OK","CHECK"),"CHECK"))</f>
        <v/>
      </c>
      <c r="H44" s="11" t="str">
        <f>IFERROR(INDEX(Cluster_Master!$C$4:$C$18,MATCH($F44,Cluster_Master!$B$4:$B$18,0)),"")</f>
        <v/>
      </c>
      <c r="I44" s="8" t="str">
        <f>IFERROR(INDEX(Cluster_Master!$D$4:$D$18,MATCH($F44,Cluster_Master!$B$4:$B$18,0)),"")</f>
        <v/>
      </c>
      <c r="J44" s="8" t="str">
        <f>IFERROR(INDEX(Cluster_Master!$E$4:$E$18,MATCH($F44,Cluster_Master!$B$4:$B$18,0)),"")</f>
        <v/>
      </c>
      <c r="K44" s="8" t="str">
        <f>IFERROR(INDEX(Cluster_Master!$F$4:$F$18,MATCH($F44,Cluster_Master!$B$4:$B$18,0)),"")</f>
        <v/>
      </c>
      <c r="L44" s="8" t="str">
        <f>IFERROR(INDEX(Cluster_Master!$G$4:$G$18,MATCH($F44,Cluster_Master!$B$4:$B$18,0)),"")</f>
        <v/>
      </c>
      <c r="M44" s="8" t="str">
        <f>IFERROR(INDEX(Cluster_Master!$H$4:$H$18,MATCH($F44,Cluster_Master!$B$4:$B$18,0)),"")</f>
        <v/>
      </c>
      <c r="N44" s="12"/>
      <c r="O44" s="12"/>
      <c r="P44" s="12"/>
      <c r="Q44" s="12"/>
      <c r="R44" s="12"/>
      <c r="S44" s="12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8" t="str">
        <f t="shared" si="2"/>
        <v/>
      </c>
      <c r="AJ44" s="14" t="str">
        <f t="shared" si="3"/>
        <v/>
      </c>
      <c r="AK44" s="14" t="str">
        <f>IF(COUNTA(T44:AH44)=0,"",(SUM(T44*KPI_Weights!$B$4,U44*KPI_Weights!$B$5,V44*KPI_Weights!$B$6,W44*KPI_Weights!$B$7,X44*KPI_Weights!$B$8,Y44*KPI_Weights!$B$9,Z44*KPI_Weights!$B$10,AA44*KPI_Weights!$B$11,AB44*KPI_Weights!$B$12,AC44*KPI_Weights!$B$13,AD44*KPI_Weights!$B$14,AE44*KPI_Weights!$B$15,AF44*KPI_Weights!$B$16,AG44*KPI_Weights!$B$17,AH44*KPI_Weights!$B$18))/5)</f>
        <v/>
      </c>
      <c r="AL44" s="8" t="str">
        <f t="shared" si="4"/>
        <v/>
      </c>
      <c r="AM44" s="8" t="str">
        <f t="shared" si="5"/>
        <v/>
      </c>
      <c r="AN44" s="8" t="str">
        <f t="shared" si="6"/>
        <v/>
      </c>
      <c r="AO44" s="12"/>
      <c r="AP44" s="12"/>
      <c r="AQ44" s="12"/>
      <c r="AR44" s="12"/>
      <c r="AS44" s="12"/>
      <c r="AT44" s="15"/>
      <c r="AU44" s="12"/>
      <c r="AV44" s="16"/>
      <c r="AW44" s="12"/>
      <c r="AX44" s="15"/>
      <c r="AY44" s="15"/>
      <c r="AZ44" s="15"/>
      <c r="BA44" s="15"/>
      <c r="BB44" s="15"/>
      <c r="BC44" s="15"/>
      <c r="BD44" s="15"/>
      <c r="BE44" s="15"/>
      <c r="BF44" s="15"/>
    </row>
    <row r="45" spans="1:58" ht="19.5" customHeight="1" x14ac:dyDescent="0.2">
      <c r="A45" s="8" t="str">
        <f>IF($B45="","",TEXT($B45,"yyyymmdd")&amp;"-"&amp;SUBSTITUTE($F45," ","")&amp;"-"&amp;TEXT(COUNTIF($F$4:F45,$F45),"00"))</f>
        <v/>
      </c>
      <c r="B45" s="9"/>
      <c r="C45" s="8" t="str">
        <f t="shared" si="0"/>
        <v/>
      </c>
      <c r="D45" s="8" t="str">
        <f t="shared" si="1"/>
        <v/>
      </c>
      <c r="E45" s="10"/>
      <c r="F45" s="10"/>
      <c r="G45" s="8" t="str">
        <f>IF(OR($E45="",$F45=""),"",IFERROR(IF($E45=INDEX(Cluster_Master!$A$4:$A$18,MATCH($F45,Cluster_Master!$B$4:$B$18,0)),"OK","CHECK"),"CHECK"))</f>
        <v/>
      </c>
      <c r="H45" s="11" t="str">
        <f>IFERROR(INDEX(Cluster_Master!$C$4:$C$18,MATCH($F45,Cluster_Master!$B$4:$B$18,0)),"")</f>
        <v/>
      </c>
      <c r="I45" s="8" t="str">
        <f>IFERROR(INDEX(Cluster_Master!$D$4:$D$18,MATCH($F45,Cluster_Master!$B$4:$B$18,0)),"")</f>
        <v/>
      </c>
      <c r="J45" s="8" t="str">
        <f>IFERROR(INDEX(Cluster_Master!$E$4:$E$18,MATCH($F45,Cluster_Master!$B$4:$B$18,0)),"")</f>
        <v/>
      </c>
      <c r="K45" s="8" t="str">
        <f>IFERROR(INDEX(Cluster_Master!$F$4:$F$18,MATCH($F45,Cluster_Master!$B$4:$B$18,0)),"")</f>
        <v/>
      </c>
      <c r="L45" s="8" t="str">
        <f>IFERROR(INDEX(Cluster_Master!$G$4:$G$18,MATCH($F45,Cluster_Master!$B$4:$B$18,0)),"")</f>
        <v/>
      </c>
      <c r="M45" s="8" t="str">
        <f>IFERROR(INDEX(Cluster_Master!$H$4:$H$18,MATCH($F45,Cluster_Master!$B$4:$B$18,0)),"")</f>
        <v/>
      </c>
      <c r="N45" s="12"/>
      <c r="O45" s="12"/>
      <c r="P45" s="12"/>
      <c r="Q45" s="12"/>
      <c r="R45" s="12"/>
      <c r="S45" s="12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8" t="str">
        <f t="shared" si="2"/>
        <v/>
      </c>
      <c r="AJ45" s="14" t="str">
        <f t="shared" si="3"/>
        <v/>
      </c>
      <c r="AK45" s="14" t="str">
        <f>IF(COUNTA(T45:AH45)=0,"",(SUM(T45*KPI_Weights!$B$4,U45*KPI_Weights!$B$5,V45*KPI_Weights!$B$6,W45*KPI_Weights!$B$7,X45*KPI_Weights!$B$8,Y45*KPI_Weights!$B$9,Z45*KPI_Weights!$B$10,AA45*KPI_Weights!$B$11,AB45*KPI_Weights!$B$12,AC45*KPI_Weights!$B$13,AD45*KPI_Weights!$B$14,AE45*KPI_Weights!$B$15,AF45*KPI_Weights!$B$16,AG45*KPI_Weights!$B$17,AH45*KPI_Weights!$B$18))/5)</f>
        <v/>
      </c>
      <c r="AL45" s="8" t="str">
        <f t="shared" si="4"/>
        <v/>
      </c>
      <c r="AM45" s="8" t="str">
        <f t="shared" si="5"/>
        <v/>
      </c>
      <c r="AN45" s="8" t="str">
        <f t="shared" si="6"/>
        <v/>
      </c>
      <c r="AO45" s="12"/>
      <c r="AP45" s="12"/>
      <c r="AQ45" s="12"/>
      <c r="AR45" s="12"/>
      <c r="AS45" s="12"/>
      <c r="AT45" s="15"/>
      <c r="AU45" s="12"/>
      <c r="AV45" s="16"/>
      <c r="AW45" s="12"/>
      <c r="AX45" s="15"/>
      <c r="AY45" s="15"/>
      <c r="AZ45" s="15"/>
      <c r="BA45" s="15"/>
      <c r="BB45" s="15"/>
      <c r="BC45" s="15"/>
      <c r="BD45" s="15"/>
      <c r="BE45" s="15"/>
      <c r="BF45" s="15"/>
    </row>
    <row r="46" spans="1:58" ht="19.5" customHeight="1" x14ac:dyDescent="0.2">
      <c r="A46" s="8" t="str">
        <f>IF($B46="","",TEXT($B46,"yyyymmdd")&amp;"-"&amp;SUBSTITUTE($F46," ","")&amp;"-"&amp;TEXT(COUNTIF($F$4:F46,$F46),"00"))</f>
        <v/>
      </c>
      <c r="B46" s="9"/>
      <c r="C46" s="8" t="str">
        <f t="shared" si="0"/>
        <v/>
      </c>
      <c r="D46" s="8" t="str">
        <f t="shared" si="1"/>
        <v/>
      </c>
      <c r="E46" s="10"/>
      <c r="F46" s="10"/>
      <c r="G46" s="8" t="str">
        <f>IF(OR($E46="",$F46=""),"",IFERROR(IF($E46=INDEX(Cluster_Master!$A$4:$A$18,MATCH($F46,Cluster_Master!$B$4:$B$18,0)),"OK","CHECK"),"CHECK"))</f>
        <v/>
      </c>
      <c r="H46" s="11" t="str">
        <f>IFERROR(INDEX(Cluster_Master!$C$4:$C$18,MATCH($F46,Cluster_Master!$B$4:$B$18,0)),"")</f>
        <v/>
      </c>
      <c r="I46" s="8" t="str">
        <f>IFERROR(INDEX(Cluster_Master!$D$4:$D$18,MATCH($F46,Cluster_Master!$B$4:$B$18,0)),"")</f>
        <v/>
      </c>
      <c r="J46" s="8" t="str">
        <f>IFERROR(INDEX(Cluster_Master!$E$4:$E$18,MATCH($F46,Cluster_Master!$B$4:$B$18,0)),"")</f>
        <v/>
      </c>
      <c r="K46" s="8" t="str">
        <f>IFERROR(INDEX(Cluster_Master!$F$4:$F$18,MATCH($F46,Cluster_Master!$B$4:$B$18,0)),"")</f>
        <v/>
      </c>
      <c r="L46" s="8" t="str">
        <f>IFERROR(INDEX(Cluster_Master!$G$4:$G$18,MATCH($F46,Cluster_Master!$B$4:$B$18,0)),"")</f>
        <v/>
      </c>
      <c r="M46" s="8" t="str">
        <f>IFERROR(INDEX(Cluster_Master!$H$4:$H$18,MATCH($F46,Cluster_Master!$B$4:$B$18,0)),"")</f>
        <v/>
      </c>
      <c r="N46" s="12"/>
      <c r="O46" s="12"/>
      <c r="P46" s="12"/>
      <c r="Q46" s="12"/>
      <c r="R46" s="12"/>
      <c r="S46" s="12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8" t="str">
        <f t="shared" si="2"/>
        <v/>
      </c>
      <c r="AJ46" s="14" t="str">
        <f t="shared" si="3"/>
        <v/>
      </c>
      <c r="AK46" s="14" t="str">
        <f>IF(COUNTA(T46:AH46)=0,"",(SUM(T46*KPI_Weights!$B$4,U46*KPI_Weights!$B$5,V46*KPI_Weights!$B$6,W46*KPI_Weights!$B$7,X46*KPI_Weights!$B$8,Y46*KPI_Weights!$B$9,Z46*KPI_Weights!$B$10,AA46*KPI_Weights!$B$11,AB46*KPI_Weights!$B$12,AC46*KPI_Weights!$B$13,AD46*KPI_Weights!$B$14,AE46*KPI_Weights!$B$15,AF46*KPI_Weights!$B$16,AG46*KPI_Weights!$B$17,AH46*KPI_Weights!$B$18))/5)</f>
        <v/>
      </c>
      <c r="AL46" s="8" t="str">
        <f t="shared" si="4"/>
        <v/>
      </c>
      <c r="AM46" s="8" t="str">
        <f t="shared" si="5"/>
        <v/>
      </c>
      <c r="AN46" s="8" t="str">
        <f t="shared" si="6"/>
        <v/>
      </c>
      <c r="AO46" s="12"/>
      <c r="AP46" s="12"/>
      <c r="AQ46" s="12"/>
      <c r="AR46" s="12"/>
      <c r="AS46" s="12"/>
      <c r="AT46" s="15"/>
      <c r="AU46" s="12"/>
      <c r="AV46" s="16"/>
      <c r="AW46" s="12"/>
      <c r="AX46" s="15"/>
      <c r="AY46" s="15"/>
      <c r="AZ46" s="15"/>
      <c r="BA46" s="15"/>
      <c r="BB46" s="15"/>
      <c r="BC46" s="15"/>
      <c r="BD46" s="15"/>
      <c r="BE46" s="15"/>
      <c r="BF46" s="15"/>
    </row>
    <row r="47" spans="1:58" ht="19.5" customHeight="1" x14ac:dyDescent="0.2">
      <c r="A47" s="8" t="str">
        <f>IF($B47="","",TEXT($B47,"yyyymmdd")&amp;"-"&amp;SUBSTITUTE($F47," ","")&amp;"-"&amp;TEXT(COUNTIF($F$4:F47,$F47),"00"))</f>
        <v/>
      </c>
      <c r="B47" s="9"/>
      <c r="C47" s="8" t="str">
        <f t="shared" si="0"/>
        <v/>
      </c>
      <c r="D47" s="8" t="str">
        <f t="shared" si="1"/>
        <v/>
      </c>
      <c r="E47" s="10"/>
      <c r="F47" s="10"/>
      <c r="G47" s="8" t="str">
        <f>IF(OR($E47="",$F47=""),"",IFERROR(IF($E47=INDEX(Cluster_Master!$A$4:$A$18,MATCH($F47,Cluster_Master!$B$4:$B$18,0)),"OK","CHECK"),"CHECK"))</f>
        <v/>
      </c>
      <c r="H47" s="11" t="str">
        <f>IFERROR(INDEX(Cluster_Master!$C$4:$C$18,MATCH($F47,Cluster_Master!$B$4:$B$18,0)),"")</f>
        <v/>
      </c>
      <c r="I47" s="8" t="str">
        <f>IFERROR(INDEX(Cluster_Master!$D$4:$D$18,MATCH($F47,Cluster_Master!$B$4:$B$18,0)),"")</f>
        <v/>
      </c>
      <c r="J47" s="8" t="str">
        <f>IFERROR(INDEX(Cluster_Master!$E$4:$E$18,MATCH($F47,Cluster_Master!$B$4:$B$18,0)),"")</f>
        <v/>
      </c>
      <c r="K47" s="8" t="str">
        <f>IFERROR(INDEX(Cluster_Master!$F$4:$F$18,MATCH($F47,Cluster_Master!$B$4:$B$18,0)),"")</f>
        <v/>
      </c>
      <c r="L47" s="8" t="str">
        <f>IFERROR(INDEX(Cluster_Master!$G$4:$G$18,MATCH($F47,Cluster_Master!$B$4:$B$18,0)),"")</f>
        <v/>
      </c>
      <c r="M47" s="8" t="str">
        <f>IFERROR(INDEX(Cluster_Master!$H$4:$H$18,MATCH($F47,Cluster_Master!$B$4:$B$18,0)),"")</f>
        <v/>
      </c>
      <c r="N47" s="12"/>
      <c r="O47" s="12"/>
      <c r="P47" s="12"/>
      <c r="Q47" s="12"/>
      <c r="R47" s="12"/>
      <c r="S47" s="12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8" t="str">
        <f t="shared" si="2"/>
        <v/>
      </c>
      <c r="AJ47" s="14" t="str">
        <f t="shared" si="3"/>
        <v/>
      </c>
      <c r="AK47" s="14" t="str">
        <f>IF(COUNTA(T47:AH47)=0,"",(SUM(T47*KPI_Weights!$B$4,U47*KPI_Weights!$B$5,V47*KPI_Weights!$B$6,W47*KPI_Weights!$B$7,X47*KPI_Weights!$B$8,Y47*KPI_Weights!$B$9,Z47*KPI_Weights!$B$10,AA47*KPI_Weights!$B$11,AB47*KPI_Weights!$B$12,AC47*KPI_Weights!$B$13,AD47*KPI_Weights!$B$14,AE47*KPI_Weights!$B$15,AF47*KPI_Weights!$B$16,AG47*KPI_Weights!$B$17,AH47*KPI_Weights!$B$18))/5)</f>
        <v/>
      </c>
      <c r="AL47" s="8" t="str">
        <f t="shared" si="4"/>
        <v/>
      </c>
      <c r="AM47" s="8" t="str">
        <f t="shared" si="5"/>
        <v/>
      </c>
      <c r="AN47" s="8" t="str">
        <f t="shared" si="6"/>
        <v/>
      </c>
      <c r="AO47" s="12"/>
      <c r="AP47" s="12"/>
      <c r="AQ47" s="12"/>
      <c r="AR47" s="12"/>
      <c r="AS47" s="12"/>
      <c r="AT47" s="15"/>
      <c r="AU47" s="12"/>
      <c r="AV47" s="16"/>
      <c r="AW47" s="12"/>
      <c r="AX47" s="15"/>
      <c r="AY47" s="15"/>
      <c r="AZ47" s="15"/>
      <c r="BA47" s="15"/>
      <c r="BB47" s="15"/>
      <c r="BC47" s="15"/>
      <c r="BD47" s="15"/>
      <c r="BE47" s="15"/>
      <c r="BF47" s="15"/>
    </row>
    <row r="48" spans="1:58" ht="19.5" customHeight="1" x14ac:dyDescent="0.2">
      <c r="A48" s="8" t="str">
        <f>IF($B48="","",TEXT($B48,"yyyymmdd")&amp;"-"&amp;SUBSTITUTE($F48," ","")&amp;"-"&amp;TEXT(COUNTIF($F$4:F48,$F48),"00"))</f>
        <v/>
      </c>
      <c r="B48" s="9"/>
      <c r="C48" s="8" t="str">
        <f t="shared" si="0"/>
        <v/>
      </c>
      <c r="D48" s="8" t="str">
        <f t="shared" si="1"/>
        <v/>
      </c>
      <c r="E48" s="10"/>
      <c r="F48" s="10"/>
      <c r="G48" s="8" t="str">
        <f>IF(OR($E48="",$F48=""),"",IFERROR(IF($E48=INDEX(Cluster_Master!$A$4:$A$18,MATCH($F48,Cluster_Master!$B$4:$B$18,0)),"OK","CHECK"),"CHECK"))</f>
        <v/>
      </c>
      <c r="H48" s="11" t="str">
        <f>IFERROR(INDEX(Cluster_Master!$C$4:$C$18,MATCH($F48,Cluster_Master!$B$4:$B$18,0)),"")</f>
        <v/>
      </c>
      <c r="I48" s="8" t="str">
        <f>IFERROR(INDEX(Cluster_Master!$D$4:$D$18,MATCH($F48,Cluster_Master!$B$4:$B$18,0)),"")</f>
        <v/>
      </c>
      <c r="J48" s="8" t="str">
        <f>IFERROR(INDEX(Cluster_Master!$E$4:$E$18,MATCH($F48,Cluster_Master!$B$4:$B$18,0)),"")</f>
        <v/>
      </c>
      <c r="K48" s="8" t="str">
        <f>IFERROR(INDEX(Cluster_Master!$F$4:$F$18,MATCH($F48,Cluster_Master!$B$4:$B$18,0)),"")</f>
        <v/>
      </c>
      <c r="L48" s="8" t="str">
        <f>IFERROR(INDEX(Cluster_Master!$G$4:$G$18,MATCH($F48,Cluster_Master!$B$4:$B$18,0)),"")</f>
        <v/>
      </c>
      <c r="M48" s="8" t="str">
        <f>IFERROR(INDEX(Cluster_Master!$H$4:$H$18,MATCH($F48,Cluster_Master!$B$4:$B$18,0)),"")</f>
        <v/>
      </c>
      <c r="N48" s="12"/>
      <c r="O48" s="12"/>
      <c r="P48" s="12"/>
      <c r="Q48" s="12"/>
      <c r="R48" s="12"/>
      <c r="S48" s="12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8" t="str">
        <f t="shared" si="2"/>
        <v/>
      </c>
      <c r="AJ48" s="14" t="str">
        <f t="shared" si="3"/>
        <v/>
      </c>
      <c r="AK48" s="14" t="str">
        <f>IF(COUNTA(T48:AH48)=0,"",(SUM(T48*KPI_Weights!$B$4,U48*KPI_Weights!$B$5,V48*KPI_Weights!$B$6,W48*KPI_Weights!$B$7,X48*KPI_Weights!$B$8,Y48*KPI_Weights!$B$9,Z48*KPI_Weights!$B$10,AA48*KPI_Weights!$B$11,AB48*KPI_Weights!$B$12,AC48*KPI_Weights!$B$13,AD48*KPI_Weights!$B$14,AE48*KPI_Weights!$B$15,AF48*KPI_Weights!$B$16,AG48*KPI_Weights!$B$17,AH48*KPI_Weights!$B$18))/5)</f>
        <v/>
      </c>
      <c r="AL48" s="8" t="str">
        <f t="shared" si="4"/>
        <v/>
      </c>
      <c r="AM48" s="8" t="str">
        <f t="shared" si="5"/>
        <v/>
      </c>
      <c r="AN48" s="8" t="str">
        <f t="shared" si="6"/>
        <v/>
      </c>
      <c r="AO48" s="12"/>
      <c r="AP48" s="12"/>
      <c r="AQ48" s="12"/>
      <c r="AR48" s="12"/>
      <c r="AS48" s="12"/>
      <c r="AT48" s="15"/>
      <c r="AU48" s="12"/>
      <c r="AV48" s="16"/>
      <c r="AW48" s="12"/>
      <c r="AX48" s="15"/>
      <c r="AY48" s="15"/>
      <c r="AZ48" s="15"/>
      <c r="BA48" s="15"/>
      <c r="BB48" s="15"/>
      <c r="BC48" s="15"/>
      <c r="BD48" s="15"/>
      <c r="BE48" s="15"/>
      <c r="BF48" s="15"/>
    </row>
    <row r="49" spans="1:58" ht="19.5" customHeight="1" x14ac:dyDescent="0.2">
      <c r="A49" s="8" t="str">
        <f>IF($B49="","",TEXT($B49,"yyyymmdd")&amp;"-"&amp;SUBSTITUTE($F49," ","")&amp;"-"&amp;TEXT(COUNTIF($F$4:F49,$F49),"00"))</f>
        <v/>
      </c>
      <c r="B49" s="9"/>
      <c r="C49" s="8" t="str">
        <f t="shared" si="0"/>
        <v/>
      </c>
      <c r="D49" s="8" t="str">
        <f t="shared" si="1"/>
        <v/>
      </c>
      <c r="E49" s="10"/>
      <c r="F49" s="10"/>
      <c r="G49" s="8" t="str">
        <f>IF(OR($E49="",$F49=""),"",IFERROR(IF($E49=INDEX(Cluster_Master!$A$4:$A$18,MATCH($F49,Cluster_Master!$B$4:$B$18,0)),"OK","CHECK"),"CHECK"))</f>
        <v/>
      </c>
      <c r="H49" s="11" t="str">
        <f>IFERROR(INDEX(Cluster_Master!$C$4:$C$18,MATCH($F49,Cluster_Master!$B$4:$B$18,0)),"")</f>
        <v/>
      </c>
      <c r="I49" s="8" t="str">
        <f>IFERROR(INDEX(Cluster_Master!$D$4:$D$18,MATCH($F49,Cluster_Master!$B$4:$B$18,0)),"")</f>
        <v/>
      </c>
      <c r="J49" s="8" t="str">
        <f>IFERROR(INDEX(Cluster_Master!$E$4:$E$18,MATCH($F49,Cluster_Master!$B$4:$B$18,0)),"")</f>
        <v/>
      </c>
      <c r="K49" s="8" t="str">
        <f>IFERROR(INDEX(Cluster_Master!$F$4:$F$18,MATCH($F49,Cluster_Master!$B$4:$B$18,0)),"")</f>
        <v/>
      </c>
      <c r="L49" s="8" t="str">
        <f>IFERROR(INDEX(Cluster_Master!$G$4:$G$18,MATCH($F49,Cluster_Master!$B$4:$B$18,0)),"")</f>
        <v/>
      </c>
      <c r="M49" s="8" t="str">
        <f>IFERROR(INDEX(Cluster_Master!$H$4:$H$18,MATCH($F49,Cluster_Master!$B$4:$B$18,0)),"")</f>
        <v/>
      </c>
      <c r="N49" s="12"/>
      <c r="O49" s="12"/>
      <c r="P49" s="12"/>
      <c r="Q49" s="12"/>
      <c r="R49" s="12"/>
      <c r="S49" s="12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8" t="str">
        <f t="shared" si="2"/>
        <v/>
      </c>
      <c r="AJ49" s="14" t="str">
        <f t="shared" si="3"/>
        <v/>
      </c>
      <c r="AK49" s="14" t="str">
        <f>IF(COUNTA(T49:AH49)=0,"",(SUM(T49*KPI_Weights!$B$4,U49*KPI_Weights!$B$5,V49*KPI_Weights!$B$6,W49*KPI_Weights!$B$7,X49*KPI_Weights!$B$8,Y49*KPI_Weights!$B$9,Z49*KPI_Weights!$B$10,AA49*KPI_Weights!$B$11,AB49*KPI_Weights!$B$12,AC49*KPI_Weights!$B$13,AD49*KPI_Weights!$B$14,AE49*KPI_Weights!$B$15,AF49*KPI_Weights!$B$16,AG49*KPI_Weights!$B$17,AH49*KPI_Weights!$B$18))/5)</f>
        <v/>
      </c>
      <c r="AL49" s="8" t="str">
        <f t="shared" si="4"/>
        <v/>
      </c>
      <c r="AM49" s="8" t="str">
        <f t="shared" si="5"/>
        <v/>
      </c>
      <c r="AN49" s="8" t="str">
        <f t="shared" si="6"/>
        <v/>
      </c>
      <c r="AO49" s="12"/>
      <c r="AP49" s="12"/>
      <c r="AQ49" s="12"/>
      <c r="AR49" s="12"/>
      <c r="AS49" s="12"/>
      <c r="AT49" s="15"/>
      <c r="AU49" s="12"/>
      <c r="AV49" s="16"/>
      <c r="AW49" s="12"/>
      <c r="AX49" s="15"/>
      <c r="AY49" s="15"/>
      <c r="AZ49" s="15"/>
      <c r="BA49" s="15"/>
      <c r="BB49" s="15"/>
      <c r="BC49" s="15"/>
      <c r="BD49" s="15"/>
      <c r="BE49" s="15"/>
      <c r="BF49" s="15"/>
    </row>
    <row r="50" spans="1:58" ht="19.5" customHeight="1" x14ac:dyDescent="0.2">
      <c r="A50" s="8" t="str">
        <f>IF($B50="","",TEXT($B50,"yyyymmdd")&amp;"-"&amp;SUBSTITUTE($F50," ","")&amp;"-"&amp;TEXT(COUNTIF($F$4:F50,$F50),"00"))</f>
        <v/>
      </c>
      <c r="B50" s="9"/>
      <c r="C50" s="8" t="str">
        <f t="shared" si="0"/>
        <v/>
      </c>
      <c r="D50" s="8" t="str">
        <f t="shared" si="1"/>
        <v/>
      </c>
      <c r="E50" s="10"/>
      <c r="F50" s="10"/>
      <c r="G50" s="8" t="str">
        <f>IF(OR($E50="",$F50=""),"",IFERROR(IF($E50=INDEX(Cluster_Master!$A$4:$A$18,MATCH($F50,Cluster_Master!$B$4:$B$18,0)),"OK","CHECK"),"CHECK"))</f>
        <v/>
      </c>
      <c r="H50" s="11" t="str">
        <f>IFERROR(INDEX(Cluster_Master!$C$4:$C$18,MATCH($F50,Cluster_Master!$B$4:$B$18,0)),"")</f>
        <v/>
      </c>
      <c r="I50" s="8" t="str">
        <f>IFERROR(INDEX(Cluster_Master!$D$4:$D$18,MATCH($F50,Cluster_Master!$B$4:$B$18,0)),"")</f>
        <v/>
      </c>
      <c r="J50" s="8" t="str">
        <f>IFERROR(INDEX(Cluster_Master!$E$4:$E$18,MATCH($F50,Cluster_Master!$B$4:$B$18,0)),"")</f>
        <v/>
      </c>
      <c r="K50" s="8" t="str">
        <f>IFERROR(INDEX(Cluster_Master!$F$4:$F$18,MATCH($F50,Cluster_Master!$B$4:$B$18,0)),"")</f>
        <v/>
      </c>
      <c r="L50" s="8" t="str">
        <f>IFERROR(INDEX(Cluster_Master!$G$4:$G$18,MATCH($F50,Cluster_Master!$B$4:$B$18,0)),"")</f>
        <v/>
      </c>
      <c r="M50" s="8" t="str">
        <f>IFERROR(INDEX(Cluster_Master!$H$4:$H$18,MATCH($F50,Cluster_Master!$B$4:$B$18,0)),"")</f>
        <v/>
      </c>
      <c r="N50" s="12"/>
      <c r="O50" s="12"/>
      <c r="P50" s="12"/>
      <c r="Q50" s="12"/>
      <c r="R50" s="12"/>
      <c r="S50" s="12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8" t="str">
        <f t="shared" si="2"/>
        <v/>
      </c>
      <c r="AJ50" s="14" t="str">
        <f t="shared" si="3"/>
        <v/>
      </c>
      <c r="AK50" s="14" t="str">
        <f>IF(COUNTA(T50:AH50)=0,"",(SUM(T50*KPI_Weights!$B$4,U50*KPI_Weights!$B$5,V50*KPI_Weights!$B$6,W50*KPI_Weights!$B$7,X50*KPI_Weights!$B$8,Y50*KPI_Weights!$B$9,Z50*KPI_Weights!$B$10,AA50*KPI_Weights!$B$11,AB50*KPI_Weights!$B$12,AC50*KPI_Weights!$B$13,AD50*KPI_Weights!$B$14,AE50*KPI_Weights!$B$15,AF50*KPI_Weights!$B$16,AG50*KPI_Weights!$B$17,AH50*KPI_Weights!$B$18))/5)</f>
        <v/>
      </c>
      <c r="AL50" s="8" t="str">
        <f t="shared" si="4"/>
        <v/>
      </c>
      <c r="AM50" s="8" t="str">
        <f t="shared" si="5"/>
        <v/>
      </c>
      <c r="AN50" s="8" t="str">
        <f t="shared" si="6"/>
        <v/>
      </c>
      <c r="AO50" s="12"/>
      <c r="AP50" s="12"/>
      <c r="AQ50" s="12"/>
      <c r="AR50" s="12"/>
      <c r="AS50" s="12"/>
      <c r="AT50" s="15"/>
      <c r="AU50" s="12"/>
      <c r="AV50" s="16"/>
      <c r="AW50" s="12"/>
      <c r="AX50" s="15"/>
      <c r="AY50" s="15"/>
      <c r="AZ50" s="15"/>
      <c r="BA50" s="15"/>
      <c r="BB50" s="15"/>
      <c r="BC50" s="15"/>
      <c r="BD50" s="15"/>
      <c r="BE50" s="15"/>
      <c r="BF50" s="15"/>
    </row>
    <row r="51" spans="1:58" ht="19.5" customHeight="1" x14ac:dyDescent="0.2">
      <c r="A51" s="8" t="str">
        <f>IF($B51="","",TEXT($B51,"yyyymmdd")&amp;"-"&amp;SUBSTITUTE($F51," ","")&amp;"-"&amp;TEXT(COUNTIF($F$4:F51,$F51),"00"))</f>
        <v/>
      </c>
      <c r="B51" s="9"/>
      <c r="C51" s="8" t="str">
        <f t="shared" si="0"/>
        <v/>
      </c>
      <c r="D51" s="8" t="str">
        <f t="shared" si="1"/>
        <v/>
      </c>
      <c r="E51" s="10"/>
      <c r="F51" s="10"/>
      <c r="G51" s="8" t="str">
        <f>IF(OR($E51="",$F51=""),"",IFERROR(IF($E51=INDEX(Cluster_Master!$A$4:$A$18,MATCH($F51,Cluster_Master!$B$4:$B$18,0)),"OK","CHECK"),"CHECK"))</f>
        <v/>
      </c>
      <c r="H51" s="11" t="str">
        <f>IFERROR(INDEX(Cluster_Master!$C$4:$C$18,MATCH($F51,Cluster_Master!$B$4:$B$18,0)),"")</f>
        <v/>
      </c>
      <c r="I51" s="8" t="str">
        <f>IFERROR(INDEX(Cluster_Master!$D$4:$D$18,MATCH($F51,Cluster_Master!$B$4:$B$18,0)),"")</f>
        <v/>
      </c>
      <c r="J51" s="8" t="str">
        <f>IFERROR(INDEX(Cluster_Master!$E$4:$E$18,MATCH($F51,Cluster_Master!$B$4:$B$18,0)),"")</f>
        <v/>
      </c>
      <c r="K51" s="8" t="str">
        <f>IFERROR(INDEX(Cluster_Master!$F$4:$F$18,MATCH($F51,Cluster_Master!$B$4:$B$18,0)),"")</f>
        <v/>
      </c>
      <c r="L51" s="8" t="str">
        <f>IFERROR(INDEX(Cluster_Master!$G$4:$G$18,MATCH($F51,Cluster_Master!$B$4:$B$18,0)),"")</f>
        <v/>
      </c>
      <c r="M51" s="8" t="str">
        <f>IFERROR(INDEX(Cluster_Master!$H$4:$H$18,MATCH($F51,Cluster_Master!$B$4:$B$18,0)),"")</f>
        <v/>
      </c>
      <c r="N51" s="12"/>
      <c r="O51" s="12"/>
      <c r="P51" s="12"/>
      <c r="Q51" s="12"/>
      <c r="R51" s="12"/>
      <c r="S51" s="12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8" t="str">
        <f t="shared" si="2"/>
        <v/>
      </c>
      <c r="AJ51" s="14" t="str">
        <f t="shared" si="3"/>
        <v/>
      </c>
      <c r="AK51" s="14" t="str">
        <f>IF(COUNTA(T51:AH51)=0,"",(SUM(T51*KPI_Weights!$B$4,U51*KPI_Weights!$B$5,V51*KPI_Weights!$B$6,W51*KPI_Weights!$B$7,X51*KPI_Weights!$B$8,Y51*KPI_Weights!$B$9,Z51*KPI_Weights!$B$10,AA51*KPI_Weights!$B$11,AB51*KPI_Weights!$B$12,AC51*KPI_Weights!$B$13,AD51*KPI_Weights!$B$14,AE51*KPI_Weights!$B$15,AF51*KPI_Weights!$B$16,AG51*KPI_Weights!$B$17,AH51*KPI_Weights!$B$18))/5)</f>
        <v/>
      </c>
      <c r="AL51" s="8" t="str">
        <f t="shared" si="4"/>
        <v/>
      </c>
      <c r="AM51" s="8" t="str">
        <f t="shared" si="5"/>
        <v/>
      </c>
      <c r="AN51" s="8" t="str">
        <f t="shared" si="6"/>
        <v/>
      </c>
      <c r="AO51" s="12"/>
      <c r="AP51" s="12"/>
      <c r="AQ51" s="12"/>
      <c r="AR51" s="12"/>
      <c r="AS51" s="12"/>
      <c r="AT51" s="15"/>
      <c r="AU51" s="12"/>
      <c r="AV51" s="16"/>
      <c r="AW51" s="12"/>
      <c r="AX51" s="15"/>
      <c r="AY51" s="15"/>
      <c r="AZ51" s="15"/>
      <c r="BA51" s="15"/>
      <c r="BB51" s="15"/>
      <c r="BC51" s="15"/>
      <c r="BD51" s="15"/>
      <c r="BE51" s="15"/>
      <c r="BF51" s="15"/>
    </row>
    <row r="52" spans="1:58" ht="19.5" customHeight="1" x14ac:dyDescent="0.2">
      <c r="A52" s="8" t="str">
        <f>IF($B52="","",TEXT($B52,"yyyymmdd")&amp;"-"&amp;SUBSTITUTE($F52," ","")&amp;"-"&amp;TEXT(COUNTIF($F$4:F52,$F52),"00"))</f>
        <v/>
      </c>
      <c r="B52" s="9"/>
      <c r="C52" s="8" t="str">
        <f t="shared" si="0"/>
        <v/>
      </c>
      <c r="D52" s="8" t="str">
        <f t="shared" si="1"/>
        <v/>
      </c>
      <c r="E52" s="10"/>
      <c r="F52" s="10"/>
      <c r="G52" s="8" t="str">
        <f>IF(OR($E52="",$F52=""),"",IFERROR(IF($E52=INDEX(Cluster_Master!$A$4:$A$18,MATCH($F52,Cluster_Master!$B$4:$B$18,0)),"OK","CHECK"),"CHECK"))</f>
        <v/>
      </c>
      <c r="H52" s="11" t="str">
        <f>IFERROR(INDEX(Cluster_Master!$C$4:$C$18,MATCH($F52,Cluster_Master!$B$4:$B$18,0)),"")</f>
        <v/>
      </c>
      <c r="I52" s="8" t="str">
        <f>IFERROR(INDEX(Cluster_Master!$D$4:$D$18,MATCH($F52,Cluster_Master!$B$4:$B$18,0)),"")</f>
        <v/>
      </c>
      <c r="J52" s="8" t="str">
        <f>IFERROR(INDEX(Cluster_Master!$E$4:$E$18,MATCH($F52,Cluster_Master!$B$4:$B$18,0)),"")</f>
        <v/>
      </c>
      <c r="K52" s="8" t="str">
        <f>IFERROR(INDEX(Cluster_Master!$F$4:$F$18,MATCH($F52,Cluster_Master!$B$4:$B$18,0)),"")</f>
        <v/>
      </c>
      <c r="L52" s="8" t="str">
        <f>IFERROR(INDEX(Cluster_Master!$G$4:$G$18,MATCH($F52,Cluster_Master!$B$4:$B$18,0)),"")</f>
        <v/>
      </c>
      <c r="M52" s="8" t="str">
        <f>IFERROR(INDEX(Cluster_Master!$H$4:$H$18,MATCH($F52,Cluster_Master!$B$4:$B$18,0)),"")</f>
        <v/>
      </c>
      <c r="N52" s="12"/>
      <c r="O52" s="12"/>
      <c r="P52" s="12"/>
      <c r="Q52" s="12"/>
      <c r="R52" s="12"/>
      <c r="S52" s="12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8" t="str">
        <f t="shared" si="2"/>
        <v/>
      </c>
      <c r="AJ52" s="14" t="str">
        <f t="shared" si="3"/>
        <v/>
      </c>
      <c r="AK52" s="14" t="str">
        <f>IF(COUNTA(T52:AH52)=0,"",(SUM(T52*KPI_Weights!$B$4,U52*KPI_Weights!$B$5,V52*KPI_Weights!$B$6,W52*KPI_Weights!$B$7,X52*KPI_Weights!$B$8,Y52*KPI_Weights!$B$9,Z52*KPI_Weights!$B$10,AA52*KPI_Weights!$B$11,AB52*KPI_Weights!$B$12,AC52*KPI_Weights!$B$13,AD52*KPI_Weights!$B$14,AE52*KPI_Weights!$B$15,AF52*KPI_Weights!$B$16,AG52*KPI_Weights!$B$17,AH52*KPI_Weights!$B$18))/5)</f>
        <v/>
      </c>
      <c r="AL52" s="8" t="str">
        <f t="shared" si="4"/>
        <v/>
      </c>
      <c r="AM52" s="8" t="str">
        <f t="shared" si="5"/>
        <v/>
      </c>
      <c r="AN52" s="8" t="str">
        <f t="shared" si="6"/>
        <v/>
      </c>
      <c r="AO52" s="12"/>
      <c r="AP52" s="12"/>
      <c r="AQ52" s="12"/>
      <c r="AR52" s="12"/>
      <c r="AS52" s="12"/>
      <c r="AT52" s="15"/>
      <c r="AU52" s="12"/>
      <c r="AV52" s="16"/>
      <c r="AW52" s="12"/>
      <c r="AX52" s="15"/>
      <c r="AY52" s="15"/>
      <c r="AZ52" s="15"/>
      <c r="BA52" s="15"/>
      <c r="BB52" s="15"/>
      <c r="BC52" s="15"/>
      <c r="BD52" s="15"/>
      <c r="BE52" s="15"/>
      <c r="BF52" s="15"/>
    </row>
    <row r="53" spans="1:58" ht="19.5" customHeight="1" x14ac:dyDescent="0.2">
      <c r="A53" s="8" t="str">
        <f>IF($B53="","",TEXT($B53,"yyyymmdd")&amp;"-"&amp;SUBSTITUTE($F53," ","")&amp;"-"&amp;TEXT(COUNTIF($F$4:F53,$F53),"00"))</f>
        <v/>
      </c>
      <c r="B53" s="9"/>
      <c r="C53" s="8" t="str">
        <f t="shared" si="0"/>
        <v/>
      </c>
      <c r="D53" s="8" t="str">
        <f t="shared" si="1"/>
        <v/>
      </c>
      <c r="E53" s="10"/>
      <c r="F53" s="10"/>
      <c r="G53" s="8" t="str">
        <f>IF(OR($E53="",$F53=""),"",IFERROR(IF($E53=INDEX(Cluster_Master!$A$4:$A$18,MATCH($F53,Cluster_Master!$B$4:$B$18,0)),"OK","CHECK"),"CHECK"))</f>
        <v/>
      </c>
      <c r="H53" s="11" t="str">
        <f>IFERROR(INDEX(Cluster_Master!$C$4:$C$18,MATCH($F53,Cluster_Master!$B$4:$B$18,0)),"")</f>
        <v/>
      </c>
      <c r="I53" s="8" t="str">
        <f>IFERROR(INDEX(Cluster_Master!$D$4:$D$18,MATCH($F53,Cluster_Master!$B$4:$B$18,0)),"")</f>
        <v/>
      </c>
      <c r="J53" s="8" t="str">
        <f>IFERROR(INDEX(Cluster_Master!$E$4:$E$18,MATCH($F53,Cluster_Master!$B$4:$B$18,0)),"")</f>
        <v/>
      </c>
      <c r="K53" s="8" t="str">
        <f>IFERROR(INDEX(Cluster_Master!$F$4:$F$18,MATCH($F53,Cluster_Master!$B$4:$B$18,0)),"")</f>
        <v/>
      </c>
      <c r="L53" s="8" t="str">
        <f>IFERROR(INDEX(Cluster_Master!$G$4:$G$18,MATCH($F53,Cluster_Master!$B$4:$B$18,0)),"")</f>
        <v/>
      </c>
      <c r="M53" s="8" t="str">
        <f>IFERROR(INDEX(Cluster_Master!$H$4:$H$18,MATCH($F53,Cluster_Master!$B$4:$B$18,0)),"")</f>
        <v/>
      </c>
      <c r="N53" s="12"/>
      <c r="O53" s="12"/>
      <c r="P53" s="12"/>
      <c r="Q53" s="12"/>
      <c r="R53" s="12"/>
      <c r="S53" s="12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8" t="str">
        <f t="shared" si="2"/>
        <v/>
      </c>
      <c r="AJ53" s="14" t="str">
        <f t="shared" si="3"/>
        <v/>
      </c>
      <c r="AK53" s="14" t="str">
        <f>IF(COUNTA(T53:AH53)=0,"",(SUM(T53*KPI_Weights!$B$4,U53*KPI_Weights!$B$5,V53*KPI_Weights!$B$6,W53*KPI_Weights!$B$7,X53*KPI_Weights!$B$8,Y53*KPI_Weights!$B$9,Z53*KPI_Weights!$B$10,AA53*KPI_Weights!$B$11,AB53*KPI_Weights!$B$12,AC53*KPI_Weights!$B$13,AD53*KPI_Weights!$B$14,AE53*KPI_Weights!$B$15,AF53*KPI_Weights!$B$16,AG53*KPI_Weights!$B$17,AH53*KPI_Weights!$B$18))/5)</f>
        <v/>
      </c>
      <c r="AL53" s="8" t="str">
        <f t="shared" si="4"/>
        <v/>
      </c>
      <c r="AM53" s="8" t="str">
        <f t="shared" si="5"/>
        <v/>
      </c>
      <c r="AN53" s="8" t="str">
        <f t="shared" si="6"/>
        <v/>
      </c>
      <c r="AO53" s="12"/>
      <c r="AP53" s="12"/>
      <c r="AQ53" s="12"/>
      <c r="AR53" s="12"/>
      <c r="AS53" s="12"/>
      <c r="AT53" s="15"/>
      <c r="AU53" s="12"/>
      <c r="AV53" s="16"/>
      <c r="AW53" s="12"/>
      <c r="AX53" s="15"/>
      <c r="AY53" s="15"/>
      <c r="AZ53" s="15"/>
      <c r="BA53" s="15"/>
      <c r="BB53" s="15"/>
      <c r="BC53" s="15"/>
      <c r="BD53" s="15"/>
      <c r="BE53" s="15"/>
      <c r="BF53" s="15"/>
    </row>
    <row r="54" spans="1:58" ht="19.5" customHeight="1" x14ac:dyDescent="0.2">
      <c r="A54" s="8" t="str">
        <f>IF($B54="","",TEXT($B54,"yyyymmdd")&amp;"-"&amp;SUBSTITUTE($F54," ","")&amp;"-"&amp;TEXT(COUNTIF($F$4:F54,$F54),"00"))</f>
        <v/>
      </c>
      <c r="B54" s="9"/>
      <c r="C54" s="8" t="str">
        <f t="shared" si="0"/>
        <v/>
      </c>
      <c r="D54" s="8" t="str">
        <f t="shared" si="1"/>
        <v/>
      </c>
      <c r="E54" s="10"/>
      <c r="F54" s="10"/>
      <c r="G54" s="8" t="str">
        <f>IF(OR($E54="",$F54=""),"",IFERROR(IF($E54=INDEX(Cluster_Master!$A$4:$A$18,MATCH($F54,Cluster_Master!$B$4:$B$18,0)),"OK","CHECK"),"CHECK"))</f>
        <v/>
      </c>
      <c r="H54" s="11" t="str">
        <f>IFERROR(INDEX(Cluster_Master!$C$4:$C$18,MATCH($F54,Cluster_Master!$B$4:$B$18,0)),"")</f>
        <v/>
      </c>
      <c r="I54" s="8" t="str">
        <f>IFERROR(INDEX(Cluster_Master!$D$4:$D$18,MATCH($F54,Cluster_Master!$B$4:$B$18,0)),"")</f>
        <v/>
      </c>
      <c r="J54" s="8" t="str">
        <f>IFERROR(INDEX(Cluster_Master!$E$4:$E$18,MATCH($F54,Cluster_Master!$B$4:$B$18,0)),"")</f>
        <v/>
      </c>
      <c r="K54" s="8" t="str">
        <f>IFERROR(INDEX(Cluster_Master!$F$4:$F$18,MATCH($F54,Cluster_Master!$B$4:$B$18,0)),"")</f>
        <v/>
      </c>
      <c r="L54" s="8" t="str">
        <f>IFERROR(INDEX(Cluster_Master!$G$4:$G$18,MATCH($F54,Cluster_Master!$B$4:$B$18,0)),"")</f>
        <v/>
      </c>
      <c r="M54" s="8" t="str">
        <f>IFERROR(INDEX(Cluster_Master!$H$4:$H$18,MATCH($F54,Cluster_Master!$B$4:$B$18,0)),"")</f>
        <v/>
      </c>
      <c r="N54" s="12"/>
      <c r="O54" s="12"/>
      <c r="P54" s="12"/>
      <c r="Q54" s="12"/>
      <c r="R54" s="12"/>
      <c r="S54" s="12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8" t="str">
        <f t="shared" si="2"/>
        <v/>
      </c>
      <c r="AJ54" s="14" t="str">
        <f t="shared" si="3"/>
        <v/>
      </c>
      <c r="AK54" s="14" t="str">
        <f>IF(COUNTA(T54:AH54)=0,"",(SUM(T54*KPI_Weights!$B$4,U54*KPI_Weights!$B$5,V54*KPI_Weights!$B$6,W54*KPI_Weights!$B$7,X54*KPI_Weights!$B$8,Y54*KPI_Weights!$B$9,Z54*KPI_Weights!$B$10,AA54*KPI_Weights!$B$11,AB54*KPI_Weights!$B$12,AC54*KPI_Weights!$B$13,AD54*KPI_Weights!$B$14,AE54*KPI_Weights!$B$15,AF54*KPI_Weights!$B$16,AG54*KPI_Weights!$B$17,AH54*KPI_Weights!$B$18))/5)</f>
        <v/>
      </c>
      <c r="AL54" s="8" t="str">
        <f t="shared" si="4"/>
        <v/>
      </c>
      <c r="AM54" s="8" t="str">
        <f t="shared" si="5"/>
        <v/>
      </c>
      <c r="AN54" s="8" t="str">
        <f t="shared" si="6"/>
        <v/>
      </c>
      <c r="AO54" s="12"/>
      <c r="AP54" s="12"/>
      <c r="AQ54" s="12"/>
      <c r="AR54" s="12"/>
      <c r="AS54" s="12"/>
      <c r="AT54" s="15"/>
      <c r="AU54" s="12"/>
      <c r="AV54" s="16"/>
      <c r="AW54" s="12"/>
      <c r="AX54" s="15"/>
      <c r="AY54" s="15"/>
      <c r="AZ54" s="15"/>
      <c r="BA54" s="15"/>
      <c r="BB54" s="15"/>
      <c r="BC54" s="15"/>
      <c r="BD54" s="15"/>
      <c r="BE54" s="15"/>
      <c r="BF54" s="15"/>
    </row>
    <row r="55" spans="1:58" ht="19.5" customHeight="1" x14ac:dyDescent="0.2">
      <c r="A55" s="8" t="str">
        <f>IF($B55="","",TEXT($B55,"yyyymmdd")&amp;"-"&amp;SUBSTITUTE($F55," ","")&amp;"-"&amp;TEXT(COUNTIF($F$4:F55,$F55),"00"))</f>
        <v/>
      </c>
      <c r="B55" s="9"/>
      <c r="C55" s="8" t="str">
        <f t="shared" si="0"/>
        <v/>
      </c>
      <c r="D55" s="8" t="str">
        <f t="shared" si="1"/>
        <v/>
      </c>
      <c r="E55" s="10"/>
      <c r="F55" s="10"/>
      <c r="G55" s="8" t="str">
        <f>IF(OR($E55="",$F55=""),"",IFERROR(IF($E55=INDEX(Cluster_Master!$A$4:$A$18,MATCH($F55,Cluster_Master!$B$4:$B$18,0)),"OK","CHECK"),"CHECK"))</f>
        <v/>
      </c>
      <c r="H55" s="11" t="str">
        <f>IFERROR(INDEX(Cluster_Master!$C$4:$C$18,MATCH($F55,Cluster_Master!$B$4:$B$18,0)),"")</f>
        <v/>
      </c>
      <c r="I55" s="8" t="str">
        <f>IFERROR(INDEX(Cluster_Master!$D$4:$D$18,MATCH($F55,Cluster_Master!$B$4:$B$18,0)),"")</f>
        <v/>
      </c>
      <c r="J55" s="8" t="str">
        <f>IFERROR(INDEX(Cluster_Master!$E$4:$E$18,MATCH($F55,Cluster_Master!$B$4:$B$18,0)),"")</f>
        <v/>
      </c>
      <c r="K55" s="8" t="str">
        <f>IFERROR(INDEX(Cluster_Master!$F$4:$F$18,MATCH($F55,Cluster_Master!$B$4:$B$18,0)),"")</f>
        <v/>
      </c>
      <c r="L55" s="8" t="str">
        <f>IFERROR(INDEX(Cluster_Master!$G$4:$G$18,MATCH($F55,Cluster_Master!$B$4:$B$18,0)),"")</f>
        <v/>
      </c>
      <c r="M55" s="8" t="str">
        <f>IFERROR(INDEX(Cluster_Master!$H$4:$H$18,MATCH($F55,Cluster_Master!$B$4:$B$18,0)),"")</f>
        <v/>
      </c>
      <c r="N55" s="12"/>
      <c r="O55" s="12"/>
      <c r="P55" s="12"/>
      <c r="Q55" s="12"/>
      <c r="R55" s="12"/>
      <c r="S55" s="12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8" t="str">
        <f t="shared" si="2"/>
        <v/>
      </c>
      <c r="AJ55" s="14" t="str">
        <f t="shared" si="3"/>
        <v/>
      </c>
      <c r="AK55" s="14" t="str">
        <f>IF(COUNTA(T55:AH55)=0,"",(SUM(T55*KPI_Weights!$B$4,U55*KPI_Weights!$B$5,V55*KPI_Weights!$B$6,W55*KPI_Weights!$B$7,X55*KPI_Weights!$B$8,Y55*KPI_Weights!$B$9,Z55*KPI_Weights!$B$10,AA55*KPI_Weights!$B$11,AB55*KPI_Weights!$B$12,AC55*KPI_Weights!$B$13,AD55*KPI_Weights!$B$14,AE55*KPI_Weights!$B$15,AF55*KPI_Weights!$B$16,AG55*KPI_Weights!$B$17,AH55*KPI_Weights!$B$18))/5)</f>
        <v/>
      </c>
      <c r="AL55" s="8" t="str">
        <f t="shared" si="4"/>
        <v/>
      </c>
      <c r="AM55" s="8" t="str">
        <f t="shared" si="5"/>
        <v/>
      </c>
      <c r="AN55" s="8" t="str">
        <f t="shared" si="6"/>
        <v/>
      </c>
      <c r="AO55" s="12"/>
      <c r="AP55" s="12"/>
      <c r="AQ55" s="12"/>
      <c r="AR55" s="12"/>
      <c r="AS55" s="12"/>
      <c r="AT55" s="15"/>
      <c r="AU55" s="12"/>
      <c r="AV55" s="16"/>
      <c r="AW55" s="12"/>
      <c r="AX55" s="15"/>
      <c r="AY55" s="15"/>
      <c r="AZ55" s="15"/>
      <c r="BA55" s="15"/>
      <c r="BB55" s="15"/>
      <c r="BC55" s="15"/>
      <c r="BD55" s="15"/>
      <c r="BE55" s="15"/>
      <c r="BF55" s="15"/>
    </row>
    <row r="56" spans="1:58" ht="19.5" customHeight="1" x14ac:dyDescent="0.2">
      <c r="A56" s="8" t="str">
        <f>IF($B56="","",TEXT($B56,"yyyymmdd")&amp;"-"&amp;SUBSTITUTE($F56," ","")&amp;"-"&amp;TEXT(COUNTIF($F$4:F56,$F56),"00"))</f>
        <v/>
      </c>
      <c r="B56" s="9"/>
      <c r="C56" s="8" t="str">
        <f t="shared" si="0"/>
        <v/>
      </c>
      <c r="D56" s="8" t="str">
        <f t="shared" si="1"/>
        <v/>
      </c>
      <c r="E56" s="10"/>
      <c r="F56" s="10"/>
      <c r="G56" s="8" t="str">
        <f>IF(OR($E56="",$F56=""),"",IFERROR(IF($E56=INDEX(Cluster_Master!$A$4:$A$18,MATCH($F56,Cluster_Master!$B$4:$B$18,0)),"OK","CHECK"),"CHECK"))</f>
        <v/>
      </c>
      <c r="H56" s="11" t="str">
        <f>IFERROR(INDEX(Cluster_Master!$C$4:$C$18,MATCH($F56,Cluster_Master!$B$4:$B$18,0)),"")</f>
        <v/>
      </c>
      <c r="I56" s="8" t="str">
        <f>IFERROR(INDEX(Cluster_Master!$D$4:$D$18,MATCH($F56,Cluster_Master!$B$4:$B$18,0)),"")</f>
        <v/>
      </c>
      <c r="J56" s="8" t="str">
        <f>IFERROR(INDEX(Cluster_Master!$E$4:$E$18,MATCH($F56,Cluster_Master!$B$4:$B$18,0)),"")</f>
        <v/>
      </c>
      <c r="K56" s="8" t="str">
        <f>IFERROR(INDEX(Cluster_Master!$F$4:$F$18,MATCH($F56,Cluster_Master!$B$4:$B$18,0)),"")</f>
        <v/>
      </c>
      <c r="L56" s="8" t="str">
        <f>IFERROR(INDEX(Cluster_Master!$G$4:$G$18,MATCH($F56,Cluster_Master!$B$4:$B$18,0)),"")</f>
        <v/>
      </c>
      <c r="M56" s="8" t="str">
        <f>IFERROR(INDEX(Cluster_Master!$H$4:$H$18,MATCH($F56,Cluster_Master!$B$4:$B$18,0)),"")</f>
        <v/>
      </c>
      <c r="N56" s="12"/>
      <c r="O56" s="12"/>
      <c r="P56" s="12"/>
      <c r="Q56" s="12"/>
      <c r="R56" s="12"/>
      <c r="S56" s="12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8" t="str">
        <f t="shared" si="2"/>
        <v/>
      </c>
      <c r="AJ56" s="14" t="str">
        <f t="shared" si="3"/>
        <v/>
      </c>
      <c r="AK56" s="14" t="str">
        <f>IF(COUNTA(T56:AH56)=0,"",(SUM(T56*KPI_Weights!$B$4,U56*KPI_Weights!$B$5,V56*KPI_Weights!$B$6,W56*KPI_Weights!$B$7,X56*KPI_Weights!$B$8,Y56*KPI_Weights!$B$9,Z56*KPI_Weights!$B$10,AA56*KPI_Weights!$B$11,AB56*KPI_Weights!$B$12,AC56*KPI_Weights!$B$13,AD56*KPI_Weights!$B$14,AE56*KPI_Weights!$B$15,AF56*KPI_Weights!$B$16,AG56*KPI_Weights!$B$17,AH56*KPI_Weights!$B$18))/5)</f>
        <v/>
      </c>
      <c r="AL56" s="8" t="str">
        <f t="shared" si="4"/>
        <v/>
      </c>
      <c r="AM56" s="8" t="str">
        <f t="shared" si="5"/>
        <v/>
      </c>
      <c r="AN56" s="8" t="str">
        <f t="shared" si="6"/>
        <v/>
      </c>
      <c r="AO56" s="12"/>
      <c r="AP56" s="12"/>
      <c r="AQ56" s="12"/>
      <c r="AR56" s="12"/>
      <c r="AS56" s="12"/>
      <c r="AT56" s="15"/>
      <c r="AU56" s="12"/>
      <c r="AV56" s="16"/>
      <c r="AW56" s="12"/>
      <c r="AX56" s="15"/>
      <c r="AY56" s="15"/>
      <c r="AZ56" s="15"/>
      <c r="BA56" s="15"/>
      <c r="BB56" s="15"/>
      <c r="BC56" s="15"/>
      <c r="BD56" s="15"/>
      <c r="BE56" s="15"/>
      <c r="BF56" s="15"/>
    </row>
    <row r="57" spans="1:58" ht="19.5" customHeight="1" x14ac:dyDescent="0.2">
      <c r="A57" s="8" t="str">
        <f>IF($B57="","",TEXT($B57,"yyyymmdd")&amp;"-"&amp;SUBSTITUTE($F57," ","")&amp;"-"&amp;TEXT(COUNTIF($F$4:F57,$F57),"00"))</f>
        <v/>
      </c>
      <c r="B57" s="9"/>
      <c r="C57" s="8" t="str">
        <f t="shared" si="0"/>
        <v/>
      </c>
      <c r="D57" s="8" t="str">
        <f t="shared" si="1"/>
        <v/>
      </c>
      <c r="E57" s="10"/>
      <c r="F57" s="10"/>
      <c r="G57" s="8" t="str">
        <f>IF(OR($E57="",$F57=""),"",IFERROR(IF($E57=INDEX(Cluster_Master!$A$4:$A$18,MATCH($F57,Cluster_Master!$B$4:$B$18,0)),"OK","CHECK"),"CHECK"))</f>
        <v/>
      </c>
      <c r="H57" s="11" t="str">
        <f>IFERROR(INDEX(Cluster_Master!$C$4:$C$18,MATCH($F57,Cluster_Master!$B$4:$B$18,0)),"")</f>
        <v/>
      </c>
      <c r="I57" s="8" t="str">
        <f>IFERROR(INDEX(Cluster_Master!$D$4:$D$18,MATCH($F57,Cluster_Master!$B$4:$B$18,0)),"")</f>
        <v/>
      </c>
      <c r="J57" s="8" t="str">
        <f>IFERROR(INDEX(Cluster_Master!$E$4:$E$18,MATCH($F57,Cluster_Master!$B$4:$B$18,0)),"")</f>
        <v/>
      </c>
      <c r="K57" s="8" t="str">
        <f>IFERROR(INDEX(Cluster_Master!$F$4:$F$18,MATCH($F57,Cluster_Master!$B$4:$B$18,0)),"")</f>
        <v/>
      </c>
      <c r="L57" s="8" t="str">
        <f>IFERROR(INDEX(Cluster_Master!$G$4:$G$18,MATCH($F57,Cluster_Master!$B$4:$B$18,0)),"")</f>
        <v/>
      </c>
      <c r="M57" s="8" t="str">
        <f>IFERROR(INDEX(Cluster_Master!$H$4:$H$18,MATCH($F57,Cluster_Master!$B$4:$B$18,0)),"")</f>
        <v/>
      </c>
      <c r="N57" s="12"/>
      <c r="O57" s="12"/>
      <c r="P57" s="12"/>
      <c r="Q57" s="12"/>
      <c r="R57" s="12"/>
      <c r="S57" s="12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8" t="str">
        <f t="shared" si="2"/>
        <v/>
      </c>
      <c r="AJ57" s="14" t="str">
        <f t="shared" si="3"/>
        <v/>
      </c>
      <c r="AK57" s="14" t="str">
        <f>IF(COUNTA(T57:AH57)=0,"",(SUM(T57*KPI_Weights!$B$4,U57*KPI_Weights!$B$5,V57*KPI_Weights!$B$6,W57*KPI_Weights!$B$7,X57*KPI_Weights!$B$8,Y57*KPI_Weights!$B$9,Z57*KPI_Weights!$B$10,AA57*KPI_Weights!$B$11,AB57*KPI_Weights!$B$12,AC57*KPI_Weights!$B$13,AD57*KPI_Weights!$B$14,AE57*KPI_Weights!$B$15,AF57*KPI_Weights!$B$16,AG57*KPI_Weights!$B$17,AH57*KPI_Weights!$B$18))/5)</f>
        <v/>
      </c>
      <c r="AL57" s="8" t="str">
        <f t="shared" si="4"/>
        <v/>
      </c>
      <c r="AM57" s="8" t="str">
        <f t="shared" si="5"/>
        <v/>
      </c>
      <c r="AN57" s="8" t="str">
        <f t="shared" si="6"/>
        <v/>
      </c>
      <c r="AO57" s="12"/>
      <c r="AP57" s="12"/>
      <c r="AQ57" s="12"/>
      <c r="AR57" s="12"/>
      <c r="AS57" s="12"/>
      <c r="AT57" s="15"/>
      <c r="AU57" s="12"/>
      <c r="AV57" s="16"/>
      <c r="AW57" s="12"/>
      <c r="AX57" s="15"/>
      <c r="AY57" s="15"/>
      <c r="AZ57" s="15"/>
      <c r="BA57" s="15"/>
      <c r="BB57" s="15"/>
      <c r="BC57" s="15"/>
      <c r="BD57" s="15"/>
      <c r="BE57" s="15"/>
      <c r="BF57" s="15"/>
    </row>
    <row r="58" spans="1:58" ht="19.5" customHeight="1" x14ac:dyDescent="0.2">
      <c r="A58" s="8" t="str">
        <f>IF($B58="","",TEXT($B58,"yyyymmdd")&amp;"-"&amp;SUBSTITUTE($F58," ","")&amp;"-"&amp;TEXT(COUNTIF($F$4:F58,$F58),"00"))</f>
        <v/>
      </c>
      <c r="B58" s="9"/>
      <c r="C58" s="8" t="str">
        <f t="shared" si="0"/>
        <v/>
      </c>
      <c r="D58" s="8" t="str">
        <f t="shared" si="1"/>
        <v/>
      </c>
      <c r="E58" s="10"/>
      <c r="F58" s="10"/>
      <c r="G58" s="8" t="str">
        <f>IF(OR($E58="",$F58=""),"",IFERROR(IF($E58=INDEX(Cluster_Master!$A$4:$A$18,MATCH($F58,Cluster_Master!$B$4:$B$18,0)),"OK","CHECK"),"CHECK"))</f>
        <v/>
      </c>
      <c r="H58" s="11" t="str">
        <f>IFERROR(INDEX(Cluster_Master!$C$4:$C$18,MATCH($F58,Cluster_Master!$B$4:$B$18,0)),"")</f>
        <v/>
      </c>
      <c r="I58" s="8" t="str">
        <f>IFERROR(INDEX(Cluster_Master!$D$4:$D$18,MATCH($F58,Cluster_Master!$B$4:$B$18,0)),"")</f>
        <v/>
      </c>
      <c r="J58" s="8" t="str">
        <f>IFERROR(INDEX(Cluster_Master!$E$4:$E$18,MATCH($F58,Cluster_Master!$B$4:$B$18,0)),"")</f>
        <v/>
      </c>
      <c r="K58" s="8" t="str">
        <f>IFERROR(INDEX(Cluster_Master!$F$4:$F$18,MATCH($F58,Cluster_Master!$B$4:$B$18,0)),"")</f>
        <v/>
      </c>
      <c r="L58" s="8" t="str">
        <f>IFERROR(INDEX(Cluster_Master!$G$4:$G$18,MATCH($F58,Cluster_Master!$B$4:$B$18,0)),"")</f>
        <v/>
      </c>
      <c r="M58" s="8" t="str">
        <f>IFERROR(INDEX(Cluster_Master!$H$4:$H$18,MATCH($F58,Cluster_Master!$B$4:$B$18,0)),"")</f>
        <v/>
      </c>
      <c r="N58" s="12"/>
      <c r="O58" s="12"/>
      <c r="P58" s="12"/>
      <c r="Q58" s="12"/>
      <c r="R58" s="12"/>
      <c r="S58" s="12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8" t="str">
        <f t="shared" si="2"/>
        <v/>
      </c>
      <c r="AJ58" s="14" t="str">
        <f t="shared" si="3"/>
        <v/>
      </c>
      <c r="AK58" s="14" t="str">
        <f>IF(COUNTA(T58:AH58)=0,"",(SUM(T58*KPI_Weights!$B$4,U58*KPI_Weights!$B$5,V58*KPI_Weights!$B$6,W58*KPI_Weights!$B$7,X58*KPI_Weights!$B$8,Y58*KPI_Weights!$B$9,Z58*KPI_Weights!$B$10,AA58*KPI_Weights!$B$11,AB58*KPI_Weights!$B$12,AC58*KPI_Weights!$B$13,AD58*KPI_Weights!$B$14,AE58*KPI_Weights!$B$15,AF58*KPI_Weights!$B$16,AG58*KPI_Weights!$B$17,AH58*KPI_Weights!$B$18))/5)</f>
        <v/>
      </c>
      <c r="AL58" s="8" t="str">
        <f t="shared" si="4"/>
        <v/>
      </c>
      <c r="AM58" s="8" t="str">
        <f t="shared" si="5"/>
        <v/>
      </c>
      <c r="AN58" s="8" t="str">
        <f t="shared" si="6"/>
        <v/>
      </c>
      <c r="AO58" s="12"/>
      <c r="AP58" s="12"/>
      <c r="AQ58" s="12"/>
      <c r="AR58" s="12"/>
      <c r="AS58" s="12"/>
      <c r="AT58" s="15"/>
      <c r="AU58" s="12"/>
      <c r="AV58" s="16"/>
      <c r="AW58" s="12"/>
      <c r="AX58" s="15"/>
      <c r="AY58" s="15"/>
      <c r="AZ58" s="15"/>
      <c r="BA58" s="15"/>
      <c r="BB58" s="15"/>
      <c r="BC58" s="15"/>
      <c r="BD58" s="15"/>
      <c r="BE58" s="15"/>
      <c r="BF58" s="15"/>
    </row>
    <row r="59" spans="1:58" ht="19.5" customHeight="1" x14ac:dyDescent="0.2">
      <c r="A59" s="8" t="str">
        <f>IF($B59="","",TEXT($B59,"yyyymmdd")&amp;"-"&amp;SUBSTITUTE($F59," ","")&amp;"-"&amp;TEXT(COUNTIF($F$4:F59,$F59),"00"))</f>
        <v/>
      </c>
      <c r="B59" s="9"/>
      <c r="C59" s="8" t="str">
        <f t="shared" si="0"/>
        <v/>
      </c>
      <c r="D59" s="8" t="str">
        <f t="shared" si="1"/>
        <v/>
      </c>
      <c r="E59" s="10"/>
      <c r="F59" s="10"/>
      <c r="G59" s="8" t="str">
        <f>IF(OR($E59="",$F59=""),"",IFERROR(IF($E59=INDEX(Cluster_Master!$A$4:$A$18,MATCH($F59,Cluster_Master!$B$4:$B$18,0)),"OK","CHECK"),"CHECK"))</f>
        <v/>
      </c>
      <c r="H59" s="11" t="str">
        <f>IFERROR(INDEX(Cluster_Master!$C$4:$C$18,MATCH($F59,Cluster_Master!$B$4:$B$18,0)),"")</f>
        <v/>
      </c>
      <c r="I59" s="8" t="str">
        <f>IFERROR(INDEX(Cluster_Master!$D$4:$D$18,MATCH($F59,Cluster_Master!$B$4:$B$18,0)),"")</f>
        <v/>
      </c>
      <c r="J59" s="8" t="str">
        <f>IFERROR(INDEX(Cluster_Master!$E$4:$E$18,MATCH($F59,Cluster_Master!$B$4:$B$18,0)),"")</f>
        <v/>
      </c>
      <c r="K59" s="8" t="str">
        <f>IFERROR(INDEX(Cluster_Master!$F$4:$F$18,MATCH($F59,Cluster_Master!$B$4:$B$18,0)),"")</f>
        <v/>
      </c>
      <c r="L59" s="8" t="str">
        <f>IFERROR(INDEX(Cluster_Master!$G$4:$G$18,MATCH($F59,Cluster_Master!$B$4:$B$18,0)),"")</f>
        <v/>
      </c>
      <c r="M59" s="8" t="str">
        <f>IFERROR(INDEX(Cluster_Master!$H$4:$H$18,MATCH($F59,Cluster_Master!$B$4:$B$18,0)),"")</f>
        <v/>
      </c>
      <c r="N59" s="12"/>
      <c r="O59" s="12"/>
      <c r="P59" s="12"/>
      <c r="Q59" s="12"/>
      <c r="R59" s="12"/>
      <c r="S59" s="12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8" t="str">
        <f t="shared" si="2"/>
        <v/>
      </c>
      <c r="AJ59" s="14" t="str">
        <f t="shared" si="3"/>
        <v/>
      </c>
      <c r="AK59" s="14" t="str">
        <f>IF(COUNTA(T59:AH59)=0,"",(SUM(T59*KPI_Weights!$B$4,U59*KPI_Weights!$B$5,V59*KPI_Weights!$B$6,W59*KPI_Weights!$B$7,X59*KPI_Weights!$B$8,Y59*KPI_Weights!$B$9,Z59*KPI_Weights!$B$10,AA59*KPI_Weights!$B$11,AB59*KPI_Weights!$B$12,AC59*KPI_Weights!$B$13,AD59*KPI_Weights!$B$14,AE59*KPI_Weights!$B$15,AF59*KPI_Weights!$B$16,AG59*KPI_Weights!$B$17,AH59*KPI_Weights!$B$18))/5)</f>
        <v/>
      </c>
      <c r="AL59" s="8" t="str">
        <f t="shared" si="4"/>
        <v/>
      </c>
      <c r="AM59" s="8" t="str">
        <f t="shared" si="5"/>
        <v/>
      </c>
      <c r="AN59" s="8" t="str">
        <f t="shared" si="6"/>
        <v/>
      </c>
      <c r="AO59" s="12"/>
      <c r="AP59" s="12"/>
      <c r="AQ59" s="12"/>
      <c r="AR59" s="12"/>
      <c r="AS59" s="12"/>
      <c r="AT59" s="15"/>
      <c r="AU59" s="12"/>
      <c r="AV59" s="16"/>
      <c r="AW59" s="12"/>
      <c r="AX59" s="15"/>
      <c r="AY59" s="15"/>
      <c r="AZ59" s="15"/>
      <c r="BA59" s="15"/>
      <c r="BB59" s="15"/>
      <c r="BC59" s="15"/>
      <c r="BD59" s="15"/>
      <c r="BE59" s="15"/>
      <c r="BF59" s="15"/>
    </row>
    <row r="60" spans="1:58" ht="19.5" customHeight="1" x14ac:dyDescent="0.2">
      <c r="A60" s="8" t="str">
        <f>IF($B60="","",TEXT($B60,"yyyymmdd")&amp;"-"&amp;SUBSTITUTE($F60," ","")&amp;"-"&amp;TEXT(COUNTIF($F$4:F60,$F60),"00"))</f>
        <v/>
      </c>
      <c r="B60" s="9"/>
      <c r="C60" s="8" t="str">
        <f t="shared" si="0"/>
        <v/>
      </c>
      <c r="D60" s="8" t="str">
        <f t="shared" si="1"/>
        <v/>
      </c>
      <c r="E60" s="10"/>
      <c r="F60" s="10"/>
      <c r="G60" s="8" t="str">
        <f>IF(OR($E60="",$F60=""),"",IFERROR(IF($E60=INDEX(Cluster_Master!$A$4:$A$18,MATCH($F60,Cluster_Master!$B$4:$B$18,0)),"OK","CHECK"),"CHECK"))</f>
        <v/>
      </c>
      <c r="H60" s="11" t="str">
        <f>IFERROR(INDEX(Cluster_Master!$C$4:$C$18,MATCH($F60,Cluster_Master!$B$4:$B$18,0)),"")</f>
        <v/>
      </c>
      <c r="I60" s="8" t="str">
        <f>IFERROR(INDEX(Cluster_Master!$D$4:$D$18,MATCH($F60,Cluster_Master!$B$4:$B$18,0)),"")</f>
        <v/>
      </c>
      <c r="J60" s="8" t="str">
        <f>IFERROR(INDEX(Cluster_Master!$E$4:$E$18,MATCH($F60,Cluster_Master!$B$4:$B$18,0)),"")</f>
        <v/>
      </c>
      <c r="K60" s="8" t="str">
        <f>IFERROR(INDEX(Cluster_Master!$F$4:$F$18,MATCH($F60,Cluster_Master!$B$4:$B$18,0)),"")</f>
        <v/>
      </c>
      <c r="L60" s="8" t="str">
        <f>IFERROR(INDEX(Cluster_Master!$G$4:$G$18,MATCH($F60,Cluster_Master!$B$4:$B$18,0)),"")</f>
        <v/>
      </c>
      <c r="M60" s="8" t="str">
        <f>IFERROR(INDEX(Cluster_Master!$H$4:$H$18,MATCH($F60,Cluster_Master!$B$4:$B$18,0)),"")</f>
        <v/>
      </c>
      <c r="N60" s="12"/>
      <c r="O60" s="12"/>
      <c r="P60" s="12"/>
      <c r="Q60" s="12"/>
      <c r="R60" s="12"/>
      <c r="S60" s="12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8" t="str">
        <f t="shared" si="2"/>
        <v/>
      </c>
      <c r="AJ60" s="14" t="str">
        <f t="shared" si="3"/>
        <v/>
      </c>
      <c r="AK60" s="14" t="str">
        <f>IF(COUNTA(T60:AH60)=0,"",(SUM(T60*KPI_Weights!$B$4,U60*KPI_Weights!$B$5,V60*KPI_Weights!$B$6,W60*KPI_Weights!$B$7,X60*KPI_Weights!$B$8,Y60*KPI_Weights!$B$9,Z60*KPI_Weights!$B$10,AA60*KPI_Weights!$B$11,AB60*KPI_Weights!$B$12,AC60*KPI_Weights!$B$13,AD60*KPI_Weights!$B$14,AE60*KPI_Weights!$B$15,AF60*KPI_Weights!$B$16,AG60*KPI_Weights!$B$17,AH60*KPI_Weights!$B$18))/5)</f>
        <v/>
      </c>
      <c r="AL60" s="8" t="str">
        <f t="shared" si="4"/>
        <v/>
      </c>
      <c r="AM60" s="8" t="str">
        <f t="shared" si="5"/>
        <v/>
      </c>
      <c r="AN60" s="8" t="str">
        <f t="shared" si="6"/>
        <v/>
      </c>
      <c r="AO60" s="12"/>
      <c r="AP60" s="12"/>
      <c r="AQ60" s="12"/>
      <c r="AR60" s="12"/>
      <c r="AS60" s="12"/>
      <c r="AT60" s="15"/>
      <c r="AU60" s="12"/>
      <c r="AV60" s="16"/>
      <c r="AW60" s="12"/>
      <c r="AX60" s="15"/>
      <c r="AY60" s="15"/>
      <c r="AZ60" s="15"/>
      <c r="BA60" s="15"/>
      <c r="BB60" s="15"/>
      <c r="BC60" s="15"/>
      <c r="BD60" s="15"/>
      <c r="BE60" s="15"/>
      <c r="BF60" s="15"/>
    </row>
    <row r="61" spans="1:58" ht="19.5" customHeight="1" x14ac:dyDescent="0.2">
      <c r="A61" s="8" t="str">
        <f>IF($B61="","",TEXT($B61,"yyyymmdd")&amp;"-"&amp;SUBSTITUTE($F61," ","")&amp;"-"&amp;TEXT(COUNTIF($F$4:F61,$F61),"00"))</f>
        <v/>
      </c>
      <c r="B61" s="9"/>
      <c r="C61" s="8" t="str">
        <f t="shared" si="0"/>
        <v/>
      </c>
      <c r="D61" s="8" t="str">
        <f t="shared" si="1"/>
        <v/>
      </c>
      <c r="E61" s="10"/>
      <c r="F61" s="10"/>
      <c r="G61" s="8" t="str">
        <f>IF(OR($E61="",$F61=""),"",IFERROR(IF($E61=INDEX(Cluster_Master!$A$4:$A$18,MATCH($F61,Cluster_Master!$B$4:$B$18,0)),"OK","CHECK"),"CHECK"))</f>
        <v/>
      </c>
      <c r="H61" s="11" t="str">
        <f>IFERROR(INDEX(Cluster_Master!$C$4:$C$18,MATCH($F61,Cluster_Master!$B$4:$B$18,0)),"")</f>
        <v/>
      </c>
      <c r="I61" s="8" t="str">
        <f>IFERROR(INDEX(Cluster_Master!$D$4:$D$18,MATCH($F61,Cluster_Master!$B$4:$B$18,0)),"")</f>
        <v/>
      </c>
      <c r="J61" s="8" t="str">
        <f>IFERROR(INDEX(Cluster_Master!$E$4:$E$18,MATCH($F61,Cluster_Master!$B$4:$B$18,0)),"")</f>
        <v/>
      </c>
      <c r="K61" s="8" t="str">
        <f>IFERROR(INDEX(Cluster_Master!$F$4:$F$18,MATCH($F61,Cluster_Master!$B$4:$B$18,0)),"")</f>
        <v/>
      </c>
      <c r="L61" s="8" t="str">
        <f>IFERROR(INDEX(Cluster_Master!$G$4:$G$18,MATCH($F61,Cluster_Master!$B$4:$B$18,0)),"")</f>
        <v/>
      </c>
      <c r="M61" s="8" t="str">
        <f>IFERROR(INDEX(Cluster_Master!$H$4:$H$18,MATCH($F61,Cluster_Master!$B$4:$B$18,0)),"")</f>
        <v/>
      </c>
      <c r="N61" s="12"/>
      <c r="O61" s="12"/>
      <c r="P61" s="12"/>
      <c r="Q61" s="12"/>
      <c r="R61" s="12"/>
      <c r="S61" s="12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8" t="str">
        <f t="shared" si="2"/>
        <v/>
      </c>
      <c r="AJ61" s="14" t="str">
        <f t="shared" si="3"/>
        <v/>
      </c>
      <c r="AK61" s="14" t="str">
        <f>IF(COUNTA(T61:AH61)=0,"",(SUM(T61*KPI_Weights!$B$4,U61*KPI_Weights!$B$5,V61*KPI_Weights!$B$6,W61*KPI_Weights!$B$7,X61*KPI_Weights!$B$8,Y61*KPI_Weights!$B$9,Z61*KPI_Weights!$B$10,AA61*KPI_Weights!$B$11,AB61*KPI_Weights!$B$12,AC61*KPI_Weights!$B$13,AD61*KPI_Weights!$B$14,AE61*KPI_Weights!$B$15,AF61*KPI_Weights!$B$16,AG61*KPI_Weights!$B$17,AH61*KPI_Weights!$B$18))/5)</f>
        <v/>
      </c>
      <c r="AL61" s="8" t="str">
        <f t="shared" si="4"/>
        <v/>
      </c>
      <c r="AM61" s="8" t="str">
        <f t="shared" si="5"/>
        <v/>
      </c>
      <c r="AN61" s="8" t="str">
        <f t="shared" si="6"/>
        <v/>
      </c>
      <c r="AO61" s="12"/>
      <c r="AP61" s="12"/>
      <c r="AQ61" s="12"/>
      <c r="AR61" s="12"/>
      <c r="AS61" s="12"/>
      <c r="AT61" s="15"/>
      <c r="AU61" s="12"/>
      <c r="AV61" s="16"/>
      <c r="AW61" s="12"/>
      <c r="AX61" s="15"/>
      <c r="AY61" s="15"/>
      <c r="AZ61" s="15"/>
      <c r="BA61" s="15"/>
      <c r="BB61" s="15"/>
      <c r="BC61" s="15"/>
      <c r="BD61" s="15"/>
      <c r="BE61" s="15"/>
      <c r="BF61" s="15"/>
    </row>
    <row r="62" spans="1:58" ht="19.5" customHeight="1" x14ac:dyDescent="0.2">
      <c r="A62" s="8" t="str">
        <f>IF($B62="","",TEXT($B62,"yyyymmdd")&amp;"-"&amp;SUBSTITUTE($F62," ","")&amp;"-"&amp;TEXT(COUNTIF($F$4:F62,$F62),"00"))</f>
        <v/>
      </c>
      <c r="B62" s="9"/>
      <c r="C62" s="8" t="str">
        <f t="shared" si="0"/>
        <v/>
      </c>
      <c r="D62" s="8" t="str">
        <f t="shared" si="1"/>
        <v/>
      </c>
      <c r="E62" s="10"/>
      <c r="F62" s="10"/>
      <c r="G62" s="8" t="str">
        <f>IF(OR($E62="",$F62=""),"",IFERROR(IF($E62=INDEX(Cluster_Master!$A$4:$A$18,MATCH($F62,Cluster_Master!$B$4:$B$18,0)),"OK","CHECK"),"CHECK"))</f>
        <v/>
      </c>
      <c r="H62" s="11" t="str">
        <f>IFERROR(INDEX(Cluster_Master!$C$4:$C$18,MATCH($F62,Cluster_Master!$B$4:$B$18,0)),"")</f>
        <v/>
      </c>
      <c r="I62" s="8" t="str">
        <f>IFERROR(INDEX(Cluster_Master!$D$4:$D$18,MATCH($F62,Cluster_Master!$B$4:$B$18,0)),"")</f>
        <v/>
      </c>
      <c r="J62" s="8" t="str">
        <f>IFERROR(INDEX(Cluster_Master!$E$4:$E$18,MATCH($F62,Cluster_Master!$B$4:$B$18,0)),"")</f>
        <v/>
      </c>
      <c r="K62" s="8" t="str">
        <f>IFERROR(INDEX(Cluster_Master!$F$4:$F$18,MATCH($F62,Cluster_Master!$B$4:$B$18,0)),"")</f>
        <v/>
      </c>
      <c r="L62" s="8" t="str">
        <f>IFERROR(INDEX(Cluster_Master!$G$4:$G$18,MATCH($F62,Cluster_Master!$B$4:$B$18,0)),"")</f>
        <v/>
      </c>
      <c r="M62" s="8" t="str">
        <f>IFERROR(INDEX(Cluster_Master!$H$4:$H$18,MATCH($F62,Cluster_Master!$B$4:$B$18,0)),"")</f>
        <v/>
      </c>
      <c r="N62" s="12"/>
      <c r="O62" s="12"/>
      <c r="P62" s="12"/>
      <c r="Q62" s="12"/>
      <c r="R62" s="12"/>
      <c r="S62" s="12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8" t="str">
        <f t="shared" si="2"/>
        <v/>
      </c>
      <c r="AJ62" s="14" t="str">
        <f t="shared" si="3"/>
        <v/>
      </c>
      <c r="AK62" s="14" t="str">
        <f>IF(COUNTA(T62:AH62)=0,"",(SUM(T62*KPI_Weights!$B$4,U62*KPI_Weights!$B$5,V62*KPI_Weights!$B$6,W62*KPI_Weights!$B$7,X62*KPI_Weights!$B$8,Y62*KPI_Weights!$B$9,Z62*KPI_Weights!$B$10,AA62*KPI_Weights!$B$11,AB62*KPI_Weights!$B$12,AC62*KPI_Weights!$B$13,AD62*KPI_Weights!$B$14,AE62*KPI_Weights!$B$15,AF62*KPI_Weights!$B$16,AG62*KPI_Weights!$B$17,AH62*KPI_Weights!$B$18))/5)</f>
        <v/>
      </c>
      <c r="AL62" s="8" t="str">
        <f t="shared" si="4"/>
        <v/>
      </c>
      <c r="AM62" s="8" t="str">
        <f t="shared" si="5"/>
        <v/>
      </c>
      <c r="AN62" s="8" t="str">
        <f t="shared" si="6"/>
        <v/>
      </c>
      <c r="AO62" s="12"/>
      <c r="AP62" s="12"/>
      <c r="AQ62" s="12"/>
      <c r="AR62" s="12"/>
      <c r="AS62" s="12"/>
      <c r="AT62" s="15"/>
      <c r="AU62" s="12"/>
      <c r="AV62" s="16"/>
      <c r="AW62" s="12"/>
      <c r="AX62" s="15"/>
      <c r="AY62" s="15"/>
      <c r="AZ62" s="15"/>
      <c r="BA62" s="15"/>
      <c r="BB62" s="15"/>
      <c r="BC62" s="15"/>
      <c r="BD62" s="15"/>
      <c r="BE62" s="15"/>
      <c r="BF62" s="15"/>
    </row>
    <row r="63" spans="1:58" ht="19.5" customHeight="1" x14ac:dyDescent="0.2">
      <c r="A63" s="8" t="str">
        <f>IF($B63="","",TEXT($B63,"yyyymmdd")&amp;"-"&amp;SUBSTITUTE($F63," ","")&amp;"-"&amp;TEXT(COUNTIF($F$4:F63,$F63),"00"))</f>
        <v/>
      </c>
      <c r="B63" s="9"/>
      <c r="C63" s="8" t="str">
        <f t="shared" si="0"/>
        <v/>
      </c>
      <c r="D63" s="8" t="str">
        <f t="shared" si="1"/>
        <v/>
      </c>
      <c r="E63" s="10"/>
      <c r="F63" s="10"/>
      <c r="G63" s="8" t="str">
        <f>IF(OR($E63="",$F63=""),"",IFERROR(IF($E63=INDEX(Cluster_Master!$A$4:$A$18,MATCH($F63,Cluster_Master!$B$4:$B$18,0)),"OK","CHECK"),"CHECK"))</f>
        <v/>
      </c>
      <c r="H63" s="11" t="str">
        <f>IFERROR(INDEX(Cluster_Master!$C$4:$C$18,MATCH($F63,Cluster_Master!$B$4:$B$18,0)),"")</f>
        <v/>
      </c>
      <c r="I63" s="8" t="str">
        <f>IFERROR(INDEX(Cluster_Master!$D$4:$D$18,MATCH($F63,Cluster_Master!$B$4:$B$18,0)),"")</f>
        <v/>
      </c>
      <c r="J63" s="8" t="str">
        <f>IFERROR(INDEX(Cluster_Master!$E$4:$E$18,MATCH($F63,Cluster_Master!$B$4:$B$18,0)),"")</f>
        <v/>
      </c>
      <c r="K63" s="8" t="str">
        <f>IFERROR(INDEX(Cluster_Master!$F$4:$F$18,MATCH($F63,Cluster_Master!$B$4:$B$18,0)),"")</f>
        <v/>
      </c>
      <c r="L63" s="8" t="str">
        <f>IFERROR(INDEX(Cluster_Master!$G$4:$G$18,MATCH($F63,Cluster_Master!$B$4:$B$18,0)),"")</f>
        <v/>
      </c>
      <c r="M63" s="8" t="str">
        <f>IFERROR(INDEX(Cluster_Master!$H$4:$H$18,MATCH($F63,Cluster_Master!$B$4:$B$18,0)),"")</f>
        <v/>
      </c>
      <c r="N63" s="12"/>
      <c r="O63" s="12"/>
      <c r="P63" s="12"/>
      <c r="Q63" s="12"/>
      <c r="R63" s="12"/>
      <c r="S63" s="12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8" t="str">
        <f t="shared" si="2"/>
        <v/>
      </c>
      <c r="AJ63" s="14" t="str">
        <f t="shared" si="3"/>
        <v/>
      </c>
      <c r="AK63" s="14" t="str">
        <f>IF(COUNTA(T63:AH63)=0,"",(SUM(T63*KPI_Weights!$B$4,U63*KPI_Weights!$B$5,V63*KPI_Weights!$B$6,W63*KPI_Weights!$B$7,X63*KPI_Weights!$B$8,Y63*KPI_Weights!$B$9,Z63*KPI_Weights!$B$10,AA63*KPI_Weights!$B$11,AB63*KPI_Weights!$B$12,AC63*KPI_Weights!$B$13,AD63*KPI_Weights!$B$14,AE63*KPI_Weights!$B$15,AF63*KPI_Weights!$B$16,AG63*KPI_Weights!$B$17,AH63*KPI_Weights!$B$18))/5)</f>
        <v/>
      </c>
      <c r="AL63" s="8" t="str">
        <f t="shared" si="4"/>
        <v/>
      </c>
      <c r="AM63" s="8" t="str">
        <f t="shared" si="5"/>
        <v/>
      </c>
      <c r="AN63" s="8" t="str">
        <f t="shared" si="6"/>
        <v/>
      </c>
      <c r="AO63" s="12"/>
      <c r="AP63" s="12"/>
      <c r="AQ63" s="12"/>
      <c r="AR63" s="12"/>
      <c r="AS63" s="12"/>
      <c r="AT63" s="15"/>
      <c r="AU63" s="12"/>
      <c r="AV63" s="16"/>
      <c r="AW63" s="12"/>
      <c r="AX63" s="15"/>
      <c r="AY63" s="15"/>
      <c r="AZ63" s="15"/>
      <c r="BA63" s="15"/>
      <c r="BB63" s="15"/>
      <c r="BC63" s="15"/>
      <c r="BD63" s="15"/>
      <c r="BE63" s="15"/>
      <c r="BF63" s="15"/>
    </row>
    <row r="64" spans="1:58" ht="19.5" customHeight="1" x14ac:dyDescent="0.2">
      <c r="A64" s="8" t="str">
        <f>IF($B64="","",TEXT($B64,"yyyymmdd")&amp;"-"&amp;SUBSTITUTE($F64," ","")&amp;"-"&amp;TEXT(COUNTIF($F$4:F64,$F64),"00"))</f>
        <v/>
      </c>
      <c r="B64" s="9"/>
      <c r="C64" s="8" t="str">
        <f t="shared" ref="C64:C127" si="17">IF($B64="","",WEEKNUM($B64,2))</f>
        <v/>
      </c>
      <c r="D64" s="8" t="str">
        <f t="shared" ref="D64:D127" si="18">IF($B64="","",TEXT($B64,"yyyy-mm"))</f>
        <v/>
      </c>
      <c r="E64" s="10"/>
      <c r="F64" s="10"/>
      <c r="G64" s="8" t="str">
        <f>IF(OR($E64="",$F64=""),"",IFERROR(IF($E64=INDEX(Cluster_Master!$A$4:$A$18,MATCH($F64,Cluster_Master!$B$4:$B$18,0)),"OK","CHECK"),"CHECK"))</f>
        <v/>
      </c>
      <c r="H64" s="11" t="str">
        <f>IFERROR(INDEX(Cluster_Master!$C$4:$C$18,MATCH($F64,Cluster_Master!$B$4:$B$18,0)),"")</f>
        <v/>
      </c>
      <c r="I64" s="8" t="str">
        <f>IFERROR(INDEX(Cluster_Master!$D$4:$D$18,MATCH($F64,Cluster_Master!$B$4:$B$18,0)),"")</f>
        <v/>
      </c>
      <c r="J64" s="8" t="str">
        <f>IFERROR(INDEX(Cluster_Master!$E$4:$E$18,MATCH($F64,Cluster_Master!$B$4:$B$18,0)),"")</f>
        <v/>
      </c>
      <c r="K64" s="8" t="str">
        <f>IFERROR(INDEX(Cluster_Master!$F$4:$F$18,MATCH($F64,Cluster_Master!$B$4:$B$18,0)),"")</f>
        <v/>
      </c>
      <c r="L64" s="8" t="str">
        <f>IFERROR(INDEX(Cluster_Master!$G$4:$G$18,MATCH($F64,Cluster_Master!$B$4:$B$18,0)),"")</f>
        <v/>
      </c>
      <c r="M64" s="8" t="str">
        <f>IFERROR(INDEX(Cluster_Master!$H$4:$H$18,MATCH($F64,Cluster_Master!$B$4:$B$18,0)),"")</f>
        <v/>
      </c>
      <c r="N64" s="12"/>
      <c r="O64" s="12"/>
      <c r="P64" s="12"/>
      <c r="Q64" s="12"/>
      <c r="R64" s="12"/>
      <c r="S64" s="12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8" t="str">
        <f t="shared" ref="AI64:AI127" si="19">IF(COUNTA(T64:AH64)=0,"",SUM(T64:AH64))</f>
        <v/>
      </c>
      <c r="AJ64" s="14" t="str">
        <f t="shared" ref="AJ64:AJ127" si="20">IF(COUNTA(T64:AH64)=0,"",AI64/75)</f>
        <v/>
      </c>
      <c r="AK64" s="14" t="str">
        <f>IF(COUNTA(T64:AH64)=0,"",(SUM(T64*KPI_Weights!$B$4,U64*KPI_Weights!$B$5,V64*KPI_Weights!$B$6,W64*KPI_Weights!$B$7,X64*KPI_Weights!$B$8,Y64*KPI_Weights!$B$9,Z64*KPI_Weights!$B$10,AA64*KPI_Weights!$B$11,AB64*KPI_Weights!$B$12,AC64*KPI_Weights!$B$13,AD64*KPI_Weights!$B$14,AE64*KPI_Weights!$B$15,AF64*KPI_Weights!$B$16,AG64*KPI_Weights!$B$17,AH64*KPI_Weights!$B$18))/5)</f>
        <v/>
      </c>
      <c r="AL64" s="8" t="str">
        <f t="shared" ref="AL64:AL127" si="21">IF(COUNTA(T64:AH64)=0,"",IF(OR(T64&lt;=1,W64&lt;=1,X64&lt;=1,Y64&lt;=1,AB64&lt;=1),"YES","NO"))</f>
        <v/>
      </c>
      <c r="AM64" s="8" t="str">
        <f t="shared" ref="AM64:AM127" si="22">IF(AJ64="","",IF(AND(AL64="NO",AJ64&gt;=0.75),"YES","NO"))</f>
        <v/>
      </c>
      <c r="AN64" s="8" t="str">
        <f t="shared" ref="AN64:AN127" si="23">IF(AJ64="","",IF(AJ64&lt;0.4,"Critical",IF(AJ64&lt;0.6,"Poor",IF(AJ64&lt;0.75,"Needs Improvement",IF(AJ64&lt;0.9,"Good","Excellent")))))</f>
        <v/>
      </c>
      <c r="AO64" s="12"/>
      <c r="AP64" s="12"/>
      <c r="AQ64" s="12"/>
      <c r="AR64" s="12"/>
      <c r="AS64" s="12"/>
      <c r="AT64" s="15"/>
      <c r="AU64" s="12"/>
      <c r="AV64" s="16"/>
      <c r="AW64" s="12"/>
      <c r="AX64" s="15"/>
      <c r="AY64" s="15"/>
      <c r="AZ64" s="15"/>
      <c r="BA64" s="15"/>
      <c r="BB64" s="15"/>
      <c r="BC64" s="15"/>
      <c r="BD64" s="15"/>
      <c r="BE64" s="15"/>
      <c r="BF64" s="15"/>
    </row>
    <row r="65" spans="1:58" ht="19.5" customHeight="1" x14ac:dyDescent="0.2">
      <c r="A65" s="8" t="str">
        <f>IF($B65="","",TEXT($B65,"yyyymmdd")&amp;"-"&amp;SUBSTITUTE($F65," ","")&amp;"-"&amp;TEXT(COUNTIF($F$4:F65,$F65),"00"))</f>
        <v/>
      </c>
      <c r="B65" s="9"/>
      <c r="C65" s="8" t="str">
        <f t="shared" si="17"/>
        <v/>
      </c>
      <c r="D65" s="8" t="str">
        <f t="shared" si="18"/>
        <v/>
      </c>
      <c r="E65" s="10"/>
      <c r="F65" s="10"/>
      <c r="G65" s="8" t="str">
        <f>IF(OR($E65="",$F65=""),"",IFERROR(IF($E65=INDEX(Cluster_Master!$A$4:$A$18,MATCH($F65,Cluster_Master!$B$4:$B$18,0)),"OK","CHECK"),"CHECK"))</f>
        <v/>
      </c>
      <c r="H65" s="11" t="str">
        <f>IFERROR(INDEX(Cluster_Master!$C$4:$C$18,MATCH($F65,Cluster_Master!$B$4:$B$18,0)),"")</f>
        <v/>
      </c>
      <c r="I65" s="8" t="str">
        <f>IFERROR(INDEX(Cluster_Master!$D$4:$D$18,MATCH($F65,Cluster_Master!$B$4:$B$18,0)),"")</f>
        <v/>
      </c>
      <c r="J65" s="8" t="str">
        <f>IFERROR(INDEX(Cluster_Master!$E$4:$E$18,MATCH($F65,Cluster_Master!$B$4:$B$18,0)),"")</f>
        <v/>
      </c>
      <c r="K65" s="8" t="str">
        <f>IFERROR(INDEX(Cluster_Master!$F$4:$F$18,MATCH($F65,Cluster_Master!$B$4:$B$18,0)),"")</f>
        <v/>
      </c>
      <c r="L65" s="8" t="str">
        <f>IFERROR(INDEX(Cluster_Master!$G$4:$G$18,MATCH($F65,Cluster_Master!$B$4:$B$18,0)),"")</f>
        <v/>
      </c>
      <c r="M65" s="8" t="str">
        <f>IFERROR(INDEX(Cluster_Master!$H$4:$H$18,MATCH($F65,Cluster_Master!$B$4:$B$18,0)),"")</f>
        <v/>
      </c>
      <c r="N65" s="12"/>
      <c r="O65" s="12"/>
      <c r="P65" s="12"/>
      <c r="Q65" s="12"/>
      <c r="R65" s="12"/>
      <c r="S65" s="12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8" t="str">
        <f t="shared" si="19"/>
        <v/>
      </c>
      <c r="AJ65" s="14" t="str">
        <f t="shared" si="20"/>
        <v/>
      </c>
      <c r="AK65" s="14" t="str">
        <f>IF(COUNTA(T65:AH65)=0,"",(SUM(T65*KPI_Weights!$B$4,U65*KPI_Weights!$B$5,V65*KPI_Weights!$B$6,W65*KPI_Weights!$B$7,X65*KPI_Weights!$B$8,Y65*KPI_Weights!$B$9,Z65*KPI_Weights!$B$10,AA65*KPI_Weights!$B$11,AB65*KPI_Weights!$B$12,AC65*KPI_Weights!$B$13,AD65*KPI_Weights!$B$14,AE65*KPI_Weights!$B$15,AF65*KPI_Weights!$B$16,AG65*KPI_Weights!$B$17,AH65*KPI_Weights!$B$18))/5)</f>
        <v/>
      </c>
      <c r="AL65" s="8" t="str">
        <f t="shared" si="21"/>
        <v/>
      </c>
      <c r="AM65" s="8" t="str">
        <f t="shared" si="22"/>
        <v/>
      </c>
      <c r="AN65" s="8" t="str">
        <f t="shared" si="23"/>
        <v/>
      </c>
      <c r="AO65" s="12"/>
      <c r="AP65" s="12"/>
      <c r="AQ65" s="12"/>
      <c r="AR65" s="12"/>
      <c r="AS65" s="12"/>
      <c r="AT65" s="15"/>
      <c r="AU65" s="12"/>
      <c r="AV65" s="16"/>
      <c r="AW65" s="12"/>
      <c r="AX65" s="15"/>
      <c r="AY65" s="15"/>
      <c r="AZ65" s="15"/>
      <c r="BA65" s="15"/>
      <c r="BB65" s="15"/>
      <c r="BC65" s="15"/>
      <c r="BD65" s="15"/>
      <c r="BE65" s="15"/>
      <c r="BF65" s="15"/>
    </row>
    <row r="66" spans="1:58" ht="19.5" customHeight="1" x14ac:dyDescent="0.2">
      <c r="A66" s="8" t="str">
        <f>IF($B66="","",TEXT($B66,"yyyymmdd")&amp;"-"&amp;SUBSTITUTE($F66," ","")&amp;"-"&amp;TEXT(COUNTIF($F$4:F66,$F66),"00"))</f>
        <v/>
      </c>
      <c r="B66" s="9"/>
      <c r="C66" s="8" t="str">
        <f t="shared" si="17"/>
        <v/>
      </c>
      <c r="D66" s="8" t="str">
        <f t="shared" si="18"/>
        <v/>
      </c>
      <c r="E66" s="10"/>
      <c r="F66" s="10"/>
      <c r="G66" s="8" t="str">
        <f>IF(OR($E66="",$F66=""),"",IFERROR(IF($E66=INDEX(Cluster_Master!$A$4:$A$18,MATCH($F66,Cluster_Master!$B$4:$B$18,0)),"OK","CHECK"),"CHECK"))</f>
        <v/>
      </c>
      <c r="H66" s="11" t="str">
        <f>IFERROR(INDEX(Cluster_Master!$C$4:$C$18,MATCH($F66,Cluster_Master!$B$4:$B$18,0)),"")</f>
        <v/>
      </c>
      <c r="I66" s="8" t="str">
        <f>IFERROR(INDEX(Cluster_Master!$D$4:$D$18,MATCH($F66,Cluster_Master!$B$4:$B$18,0)),"")</f>
        <v/>
      </c>
      <c r="J66" s="8" t="str">
        <f>IFERROR(INDEX(Cluster_Master!$E$4:$E$18,MATCH($F66,Cluster_Master!$B$4:$B$18,0)),"")</f>
        <v/>
      </c>
      <c r="K66" s="8" t="str">
        <f>IFERROR(INDEX(Cluster_Master!$F$4:$F$18,MATCH($F66,Cluster_Master!$B$4:$B$18,0)),"")</f>
        <v/>
      </c>
      <c r="L66" s="8" t="str">
        <f>IFERROR(INDEX(Cluster_Master!$G$4:$G$18,MATCH($F66,Cluster_Master!$B$4:$B$18,0)),"")</f>
        <v/>
      </c>
      <c r="M66" s="8" t="str">
        <f>IFERROR(INDEX(Cluster_Master!$H$4:$H$18,MATCH($F66,Cluster_Master!$B$4:$B$18,0)),"")</f>
        <v/>
      </c>
      <c r="N66" s="12"/>
      <c r="O66" s="12"/>
      <c r="P66" s="12"/>
      <c r="Q66" s="12"/>
      <c r="R66" s="12"/>
      <c r="S66" s="12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8" t="str">
        <f t="shared" si="19"/>
        <v/>
      </c>
      <c r="AJ66" s="14" t="str">
        <f t="shared" si="20"/>
        <v/>
      </c>
      <c r="AK66" s="14" t="str">
        <f>IF(COUNTA(T66:AH66)=0,"",(SUM(T66*KPI_Weights!$B$4,U66*KPI_Weights!$B$5,V66*KPI_Weights!$B$6,W66*KPI_Weights!$B$7,X66*KPI_Weights!$B$8,Y66*KPI_Weights!$B$9,Z66*KPI_Weights!$B$10,AA66*KPI_Weights!$B$11,AB66*KPI_Weights!$B$12,AC66*KPI_Weights!$B$13,AD66*KPI_Weights!$B$14,AE66*KPI_Weights!$B$15,AF66*KPI_Weights!$B$16,AG66*KPI_Weights!$B$17,AH66*KPI_Weights!$B$18))/5)</f>
        <v/>
      </c>
      <c r="AL66" s="8" t="str">
        <f t="shared" si="21"/>
        <v/>
      </c>
      <c r="AM66" s="8" t="str">
        <f t="shared" si="22"/>
        <v/>
      </c>
      <c r="AN66" s="8" t="str">
        <f t="shared" si="23"/>
        <v/>
      </c>
      <c r="AO66" s="12"/>
      <c r="AP66" s="12"/>
      <c r="AQ66" s="12"/>
      <c r="AR66" s="12"/>
      <c r="AS66" s="12"/>
      <c r="AT66" s="15"/>
      <c r="AU66" s="12"/>
      <c r="AV66" s="16"/>
      <c r="AW66" s="12"/>
      <c r="AX66" s="15"/>
      <c r="AY66" s="15"/>
      <c r="AZ66" s="15"/>
      <c r="BA66" s="15"/>
      <c r="BB66" s="15"/>
      <c r="BC66" s="15"/>
      <c r="BD66" s="15"/>
      <c r="BE66" s="15"/>
      <c r="BF66" s="15"/>
    </row>
    <row r="67" spans="1:58" ht="19.5" customHeight="1" x14ac:dyDescent="0.2">
      <c r="A67" s="8" t="str">
        <f>IF($B67="","",TEXT($B67,"yyyymmdd")&amp;"-"&amp;SUBSTITUTE($F67," ","")&amp;"-"&amp;TEXT(COUNTIF($F$4:F67,$F67),"00"))</f>
        <v/>
      </c>
      <c r="B67" s="9"/>
      <c r="C67" s="8" t="str">
        <f t="shared" si="17"/>
        <v/>
      </c>
      <c r="D67" s="8" t="str">
        <f t="shared" si="18"/>
        <v/>
      </c>
      <c r="E67" s="10"/>
      <c r="F67" s="10"/>
      <c r="G67" s="8" t="str">
        <f>IF(OR($E67="",$F67=""),"",IFERROR(IF($E67=INDEX(Cluster_Master!$A$4:$A$18,MATCH($F67,Cluster_Master!$B$4:$B$18,0)),"OK","CHECK"),"CHECK"))</f>
        <v/>
      </c>
      <c r="H67" s="11" t="str">
        <f>IFERROR(INDEX(Cluster_Master!$C$4:$C$18,MATCH($F67,Cluster_Master!$B$4:$B$18,0)),"")</f>
        <v/>
      </c>
      <c r="I67" s="8" t="str">
        <f>IFERROR(INDEX(Cluster_Master!$D$4:$D$18,MATCH($F67,Cluster_Master!$B$4:$B$18,0)),"")</f>
        <v/>
      </c>
      <c r="J67" s="8" t="str">
        <f>IFERROR(INDEX(Cluster_Master!$E$4:$E$18,MATCH($F67,Cluster_Master!$B$4:$B$18,0)),"")</f>
        <v/>
      </c>
      <c r="K67" s="8" t="str">
        <f>IFERROR(INDEX(Cluster_Master!$F$4:$F$18,MATCH($F67,Cluster_Master!$B$4:$B$18,0)),"")</f>
        <v/>
      </c>
      <c r="L67" s="8" t="str">
        <f>IFERROR(INDEX(Cluster_Master!$G$4:$G$18,MATCH($F67,Cluster_Master!$B$4:$B$18,0)),"")</f>
        <v/>
      </c>
      <c r="M67" s="8" t="str">
        <f>IFERROR(INDEX(Cluster_Master!$H$4:$H$18,MATCH($F67,Cluster_Master!$B$4:$B$18,0)),"")</f>
        <v/>
      </c>
      <c r="N67" s="12"/>
      <c r="O67" s="12"/>
      <c r="P67" s="12"/>
      <c r="Q67" s="12"/>
      <c r="R67" s="12"/>
      <c r="S67" s="12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8" t="str">
        <f t="shared" si="19"/>
        <v/>
      </c>
      <c r="AJ67" s="14" t="str">
        <f t="shared" si="20"/>
        <v/>
      </c>
      <c r="AK67" s="14" t="str">
        <f>IF(COUNTA(T67:AH67)=0,"",(SUM(T67*KPI_Weights!$B$4,U67*KPI_Weights!$B$5,V67*KPI_Weights!$B$6,W67*KPI_Weights!$B$7,X67*KPI_Weights!$B$8,Y67*KPI_Weights!$B$9,Z67*KPI_Weights!$B$10,AA67*KPI_Weights!$B$11,AB67*KPI_Weights!$B$12,AC67*KPI_Weights!$B$13,AD67*KPI_Weights!$B$14,AE67*KPI_Weights!$B$15,AF67*KPI_Weights!$B$16,AG67*KPI_Weights!$B$17,AH67*KPI_Weights!$B$18))/5)</f>
        <v/>
      </c>
      <c r="AL67" s="8" t="str">
        <f t="shared" si="21"/>
        <v/>
      </c>
      <c r="AM67" s="8" t="str">
        <f t="shared" si="22"/>
        <v/>
      </c>
      <c r="AN67" s="8" t="str">
        <f t="shared" si="23"/>
        <v/>
      </c>
      <c r="AO67" s="12"/>
      <c r="AP67" s="12"/>
      <c r="AQ67" s="12"/>
      <c r="AR67" s="12"/>
      <c r="AS67" s="12"/>
      <c r="AT67" s="15"/>
      <c r="AU67" s="12"/>
      <c r="AV67" s="16"/>
      <c r="AW67" s="12"/>
      <c r="AX67" s="15"/>
      <c r="AY67" s="15"/>
      <c r="AZ67" s="15"/>
      <c r="BA67" s="15"/>
      <c r="BB67" s="15"/>
      <c r="BC67" s="15"/>
      <c r="BD67" s="15"/>
      <c r="BE67" s="15"/>
      <c r="BF67" s="15"/>
    </row>
    <row r="68" spans="1:58" ht="19.5" customHeight="1" x14ac:dyDescent="0.2">
      <c r="A68" s="8" t="str">
        <f>IF($B68="","",TEXT($B68,"yyyymmdd")&amp;"-"&amp;SUBSTITUTE($F68," ","")&amp;"-"&amp;TEXT(COUNTIF($F$4:F68,$F68),"00"))</f>
        <v/>
      </c>
      <c r="B68" s="9"/>
      <c r="C68" s="8" t="str">
        <f t="shared" si="17"/>
        <v/>
      </c>
      <c r="D68" s="8" t="str">
        <f t="shared" si="18"/>
        <v/>
      </c>
      <c r="E68" s="10"/>
      <c r="F68" s="10"/>
      <c r="G68" s="8" t="str">
        <f>IF(OR($E68="",$F68=""),"",IFERROR(IF($E68=INDEX(Cluster_Master!$A$4:$A$18,MATCH($F68,Cluster_Master!$B$4:$B$18,0)),"OK","CHECK"),"CHECK"))</f>
        <v/>
      </c>
      <c r="H68" s="11" t="str">
        <f>IFERROR(INDEX(Cluster_Master!$C$4:$C$18,MATCH($F68,Cluster_Master!$B$4:$B$18,0)),"")</f>
        <v/>
      </c>
      <c r="I68" s="8" t="str">
        <f>IFERROR(INDEX(Cluster_Master!$D$4:$D$18,MATCH($F68,Cluster_Master!$B$4:$B$18,0)),"")</f>
        <v/>
      </c>
      <c r="J68" s="8" t="str">
        <f>IFERROR(INDEX(Cluster_Master!$E$4:$E$18,MATCH($F68,Cluster_Master!$B$4:$B$18,0)),"")</f>
        <v/>
      </c>
      <c r="K68" s="8" t="str">
        <f>IFERROR(INDEX(Cluster_Master!$F$4:$F$18,MATCH($F68,Cluster_Master!$B$4:$B$18,0)),"")</f>
        <v/>
      </c>
      <c r="L68" s="8" t="str">
        <f>IFERROR(INDEX(Cluster_Master!$G$4:$G$18,MATCH($F68,Cluster_Master!$B$4:$B$18,0)),"")</f>
        <v/>
      </c>
      <c r="M68" s="8" t="str">
        <f>IFERROR(INDEX(Cluster_Master!$H$4:$H$18,MATCH($F68,Cluster_Master!$B$4:$B$18,0)),"")</f>
        <v/>
      </c>
      <c r="N68" s="12"/>
      <c r="O68" s="12"/>
      <c r="P68" s="12"/>
      <c r="Q68" s="12"/>
      <c r="R68" s="12"/>
      <c r="S68" s="12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8" t="str">
        <f t="shared" si="19"/>
        <v/>
      </c>
      <c r="AJ68" s="14" t="str">
        <f t="shared" si="20"/>
        <v/>
      </c>
      <c r="AK68" s="14" t="str">
        <f>IF(COUNTA(T68:AH68)=0,"",(SUM(T68*KPI_Weights!$B$4,U68*KPI_Weights!$B$5,V68*KPI_Weights!$B$6,W68*KPI_Weights!$B$7,X68*KPI_Weights!$B$8,Y68*KPI_Weights!$B$9,Z68*KPI_Weights!$B$10,AA68*KPI_Weights!$B$11,AB68*KPI_Weights!$B$12,AC68*KPI_Weights!$B$13,AD68*KPI_Weights!$B$14,AE68*KPI_Weights!$B$15,AF68*KPI_Weights!$B$16,AG68*KPI_Weights!$B$17,AH68*KPI_Weights!$B$18))/5)</f>
        <v/>
      </c>
      <c r="AL68" s="8" t="str">
        <f t="shared" si="21"/>
        <v/>
      </c>
      <c r="AM68" s="8" t="str">
        <f t="shared" si="22"/>
        <v/>
      </c>
      <c r="AN68" s="8" t="str">
        <f t="shared" si="23"/>
        <v/>
      </c>
      <c r="AO68" s="12"/>
      <c r="AP68" s="12"/>
      <c r="AQ68" s="12"/>
      <c r="AR68" s="12"/>
      <c r="AS68" s="12"/>
      <c r="AT68" s="15"/>
      <c r="AU68" s="12"/>
      <c r="AV68" s="16"/>
      <c r="AW68" s="12"/>
      <c r="AX68" s="15"/>
      <c r="AY68" s="15"/>
      <c r="AZ68" s="15"/>
      <c r="BA68" s="15"/>
      <c r="BB68" s="15"/>
      <c r="BC68" s="15"/>
      <c r="BD68" s="15"/>
      <c r="BE68" s="15"/>
      <c r="BF68" s="15"/>
    </row>
    <row r="69" spans="1:58" ht="19.5" customHeight="1" x14ac:dyDescent="0.2">
      <c r="A69" s="8" t="str">
        <f>IF($B69="","",TEXT($B69,"yyyymmdd")&amp;"-"&amp;SUBSTITUTE($F69," ","")&amp;"-"&amp;TEXT(COUNTIF($F$4:F69,$F69),"00"))</f>
        <v/>
      </c>
      <c r="B69" s="9"/>
      <c r="C69" s="8" t="str">
        <f t="shared" si="17"/>
        <v/>
      </c>
      <c r="D69" s="8" t="str">
        <f t="shared" si="18"/>
        <v/>
      </c>
      <c r="E69" s="10"/>
      <c r="F69" s="10"/>
      <c r="G69" s="8" t="str">
        <f>IF(OR($E69="",$F69=""),"",IFERROR(IF($E69=INDEX(Cluster_Master!$A$4:$A$18,MATCH($F69,Cluster_Master!$B$4:$B$18,0)),"OK","CHECK"),"CHECK"))</f>
        <v/>
      </c>
      <c r="H69" s="11" t="str">
        <f>IFERROR(INDEX(Cluster_Master!$C$4:$C$18,MATCH($F69,Cluster_Master!$B$4:$B$18,0)),"")</f>
        <v/>
      </c>
      <c r="I69" s="8" t="str">
        <f>IFERROR(INDEX(Cluster_Master!$D$4:$D$18,MATCH($F69,Cluster_Master!$B$4:$B$18,0)),"")</f>
        <v/>
      </c>
      <c r="J69" s="8" t="str">
        <f>IFERROR(INDEX(Cluster_Master!$E$4:$E$18,MATCH($F69,Cluster_Master!$B$4:$B$18,0)),"")</f>
        <v/>
      </c>
      <c r="K69" s="8" t="str">
        <f>IFERROR(INDEX(Cluster_Master!$F$4:$F$18,MATCH($F69,Cluster_Master!$B$4:$B$18,0)),"")</f>
        <v/>
      </c>
      <c r="L69" s="8" t="str">
        <f>IFERROR(INDEX(Cluster_Master!$G$4:$G$18,MATCH($F69,Cluster_Master!$B$4:$B$18,0)),"")</f>
        <v/>
      </c>
      <c r="M69" s="8" t="str">
        <f>IFERROR(INDEX(Cluster_Master!$H$4:$H$18,MATCH($F69,Cluster_Master!$B$4:$B$18,0)),"")</f>
        <v/>
      </c>
      <c r="N69" s="12"/>
      <c r="O69" s="12"/>
      <c r="P69" s="12"/>
      <c r="Q69" s="12"/>
      <c r="R69" s="12"/>
      <c r="S69" s="12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8" t="str">
        <f t="shared" si="19"/>
        <v/>
      </c>
      <c r="AJ69" s="14" t="str">
        <f t="shared" si="20"/>
        <v/>
      </c>
      <c r="AK69" s="14" t="str">
        <f>IF(COUNTA(T69:AH69)=0,"",(SUM(T69*KPI_Weights!$B$4,U69*KPI_Weights!$B$5,V69*KPI_Weights!$B$6,W69*KPI_Weights!$B$7,X69*KPI_Weights!$B$8,Y69*KPI_Weights!$B$9,Z69*KPI_Weights!$B$10,AA69*KPI_Weights!$B$11,AB69*KPI_Weights!$B$12,AC69*KPI_Weights!$B$13,AD69*KPI_Weights!$B$14,AE69*KPI_Weights!$B$15,AF69*KPI_Weights!$B$16,AG69*KPI_Weights!$B$17,AH69*KPI_Weights!$B$18))/5)</f>
        <v/>
      </c>
      <c r="AL69" s="8" t="str">
        <f t="shared" si="21"/>
        <v/>
      </c>
      <c r="AM69" s="8" t="str">
        <f t="shared" si="22"/>
        <v/>
      </c>
      <c r="AN69" s="8" t="str">
        <f t="shared" si="23"/>
        <v/>
      </c>
      <c r="AO69" s="12"/>
      <c r="AP69" s="12"/>
      <c r="AQ69" s="12"/>
      <c r="AR69" s="12"/>
      <c r="AS69" s="12"/>
      <c r="AT69" s="15"/>
      <c r="AU69" s="12"/>
      <c r="AV69" s="16"/>
      <c r="AW69" s="12"/>
      <c r="AX69" s="15"/>
      <c r="AY69" s="15"/>
      <c r="AZ69" s="15"/>
      <c r="BA69" s="15"/>
      <c r="BB69" s="15"/>
      <c r="BC69" s="15"/>
      <c r="BD69" s="15"/>
      <c r="BE69" s="15"/>
      <c r="BF69" s="15"/>
    </row>
    <row r="70" spans="1:58" ht="19.5" customHeight="1" x14ac:dyDescent="0.2">
      <c r="A70" s="8" t="str">
        <f>IF($B70="","",TEXT($B70,"yyyymmdd")&amp;"-"&amp;SUBSTITUTE($F70," ","")&amp;"-"&amp;TEXT(COUNTIF($F$4:F70,$F70),"00"))</f>
        <v/>
      </c>
      <c r="B70" s="9"/>
      <c r="C70" s="8" t="str">
        <f t="shared" si="17"/>
        <v/>
      </c>
      <c r="D70" s="8" t="str">
        <f t="shared" si="18"/>
        <v/>
      </c>
      <c r="E70" s="10"/>
      <c r="F70" s="10"/>
      <c r="G70" s="8" t="str">
        <f>IF(OR($E70="",$F70=""),"",IFERROR(IF($E70=INDEX(Cluster_Master!$A$4:$A$18,MATCH($F70,Cluster_Master!$B$4:$B$18,0)),"OK","CHECK"),"CHECK"))</f>
        <v/>
      </c>
      <c r="H70" s="11" t="str">
        <f>IFERROR(INDEX(Cluster_Master!$C$4:$C$18,MATCH($F70,Cluster_Master!$B$4:$B$18,0)),"")</f>
        <v/>
      </c>
      <c r="I70" s="8" t="str">
        <f>IFERROR(INDEX(Cluster_Master!$D$4:$D$18,MATCH($F70,Cluster_Master!$B$4:$B$18,0)),"")</f>
        <v/>
      </c>
      <c r="J70" s="8" t="str">
        <f>IFERROR(INDEX(Cluster_Master!$E$4:$E$18,MATCH($F70,Cluster_Master!$B$4:$B$18,0)),"")</f>
        <v/>
      </c>
      <c r="K70" s="8" t="str">
        <f>IFERROR(INDEX(Cluster_Master!$F$4:$F$18,MATCH($F70,Cluster_Master!$B$4:$B$18,0)),"")</f>
        <v/>
      </c>
      <c r="L70" s="8" t="str">
        <f>IFERROR(INDEX(Cluster_Master!$G$4:$G$18,MATCH($F70,Cluster_Master!$B$4:$B$18,0)),"")</f>
        <v/>
      </c>
      <c r="M70" s="8" t="str">
        <f>IFERROR(INDEX(Cluster_Master!$H$4:$H$18,MATCH($F70,Cluster_Master!$B$4:$B$18,0)),"")</f>
        <v/>
      </c>
      <c r="N70" s="12"/>
      <c r="O70" s="12"/>
      <c r="P70" s="12"/>
      <c r="Q70" s="12"/>
      <c r="R70" s="12"/>
      <c r="S70" s="12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8" t="str">
        <f t="shared" si="19"/>
        <v/>
      </c>
      <c r="AJ70" s="14" t="str">
        <f t="shared" si="20"/>
        <v/>
      </c>
      <c r="AK70" s="14" t="str">
        <f>IF(COUNTA(T70:AH70)=0,"",(SUM(T70*KPI_Weights!$B$4,U70*KPI_Weights!$B$5,V70*KPI_Weights!$B$6,W70*KPI_Weights!$B$7,X70*KPI_Weights!$B$8,Y70*KPI_Weights!$B$9,Z70*KPI_Weights!$B$10,AA70*KPI_Weights!$B$11,AB70*KPI_Weights!$B$12,AC70*KPI_Weights!$B$13,AD70*KPI_Weights!$B$14,AE70*KPI_Weights!$B$15,AF70*KPI_Weights!$B$16,AG70*KPI_Weights!$B$17,AH70*KPI_Weights!$B$18))/5)</f>
        <v/>
      </c>
      <c r="AL70" s="8" t="str">
        <f t="shared" si="21"/>
        <v/>
      </c>
      <c r="AM70" s="8" t="str">
        <f t="shared" si="22"/>
        <v/>
      </c>
      <c r="AN70" s="8" t="str">
        <f t="shared" si="23"/>
        <v/>
      </c>
      <c r="AO70" s="12"/>
      <c r="AP70" s="12"/>
      <c r="AQ70" s="12"/>
      <c r="AR70" s="12"/>
      <c r="AS70" s="12"/>
      <c r="AT70" s="15"/>
      <c r="AU70" s="12"/>
      <c r="AV70" s="16"/>
      <c r="AW70" s="12"/>
      <c r="AX70" s="15"/>
      <c r="AY70" s="15"/>
      <c r="AZ70" s="15"/>
      <c r="BA70" s="15"/>
      <c r="BB70" s="15"/>
      <c r="BC70" s="15"/>
      <c r="BD70" s="15"/>
      <c r="BE70" s="15"/>
      <c r="BF70" s="15"/>
    </row>
    <row r="71" spans="1:58" ht="19.5" customHeight="1" x14ac:dyDescent="0.2">
      <c r="A71" s="8" t="str">
        <f>IF($B71="","",TEXT($B71,"yyyymmdd")&amp;"-"&amp;SUBSTITUTE($F71," ","")&amp;"-"&amp;TEXT(COUNTIF($F$4:F71,$F71),"00"))</f>
        <v/>
      </c>
      <c r="B71" s="9"/>
      <c r="C71" s="8" t="str">
        <f t="shared" si="17"/>
        <v/>
      </c>
      <c r="D71" s="8" t="str">
        <f t="shared" si="18"/>
        <v/>
      </c>
      <c r="E71" s="10"/>
      <c r="F71" s="10"/>
      <c r="G71" s="8" t="str">
        <f>IF(OR($E71="",$F71=""),"",IFERROR(IF($E71=INDEX(Cluster_Master!$A$4:$A$18,MATCH($F71,Cluster_Master!$B$4:$B$18,0)),"OK","CHECK"),"CHECK"))</f>
        <v/>
      </c>
      <c r="H71" s="11" t="str">
        <f>IFERROR(INDEX(Cluster_Master!$C$4:$C$18,MATCH($F71,Cluster_Master!$B$4:$B$18,0)),"")</f>
        <v/>
      </c>
      <c r="I71" s="8" t="str">
        <f>IFERROR(INDEX(Cluster_Master!$D$4:$D$18,MATCH($F71,Cluster_Master!$B$4:$B$18,0)),"")</f>
        <v/>
      </c>
      <c r="J71" s="8" t="str">
        <f>IFERROR(INDEX(Cluster_Master!$E$4:$E$18,MATCH($F71,Cluster_Master!$B$4:$B$18,0)),"")</f>
        <v/>
      </c>
      <c r="K71" s="8" t="str">
        <f>IFERROR(INDEX(Cluster_Master!$F$4:$F$18,MATCH($F71,Cluster_Master!$B$4:$B$18,0)),"")</f>
        <v/>
      </c>
      <c r="L71" s="8" t="str">
        <f>IFERROR(INDEX(Cluster_Master!$G$4:$G$18,MATCH($F71,Cluster_Master!$B$4:$B$18,0)),"")</f>
        <v/>
      </c>
      <c r="M71" s="8" t="str">
        <f>IFERROR(INDEX(Cluster_Master!$H$4:$H$18,MATCH($F71,Cluster_Master!$B$4:$B$18,0)),"")</f>
        <v/>
      </c>
      <c r="N71" s="12"/>
      <c r="O71" s="12"/>
      <c r="P71" s="12"/>
      <c r="Q71" s="12"/>
      <c r="R71" s="12"/>
      <c r="S71" s="12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8" t="str">
        <f t="shared" si="19"/>
        <v/>
      </c>
      <c r="AJ71" s="14" t="str">
        <f t="shared" si="20"/>
        <v/>
      </c>
      <c r="AK71" s="14" t="str">
        <f>IF(COUNTA(T71:AH71)=0,"",(SUM(T71*KPI_Weights!$B$4,U71*KPI_Weights!$B$5,V71*KPI_Weights!$B$6,W71*KPI_Weights!$B$7,X71*KPI_Weights!$B$8,Y71*KPI_Weights!$B$9,Z71*KPI_Weights!$B$10,AA71*KPI_Weights!$B$11,AB71*KPI_Weights!$B$12,AC71*KPI_Weights!$B$13,AD71*KPI_Weights!$B$14,AE71*KPI_Weights!$B$15,AF71*KPI_Weights!$B$16,AG71*KPI_Weights!$B$17,AH71*KPI_Weights!$B$18))/5)</f>
        <v/>
      </c>
      <c r="AL71" s="8" t="str">
        <f t="shared" si="21"/>
        <v/>
      </c>
      <c r="AM71" s="8" t="str">
        <f t="shared" si="22"/>
        <v/>
      </c>
      <c r="AN71" s="8" t="str">
        <f t="shared" si="23"/>
        <v/>
      </c>
      <c r="AO71" s="12"/>
      <c r="AP71" s="12"/>
      <c r="AQ71" s="12"/>
      <c r="AR71" s="12"/>
      <c r="AS71" s="12"/>
      <c r="AT71" s="15"/>
      <c r="AU71" s="12"/>
      <c r="AV71" s="16"/>
      <c r="AW71" s="12"/>
      <c r="AX71" s="15"/>
      <c r="AY71" s="15"/>
      <c r="AZ71" s="15"/>
      <c r="BA71" s="15"/>
      <c r="BB71" s="15"/>
      <c r="BC71" s="15"/>
      <c r="BD71" s="15"/>
      <c r="BE71" s="15"/>
      <c r="BF71" s="15"/>
    </row>
    <row r="72" spans="1:58" ht="19.5" customHeight="1" x14ac:dyDescent="0.2">
      <c r="A72" s="8" t="str">
        <f>IF($B72="","",TEXT($B72,"yyyymmdd")&amp;"-"&amp;SUBSTITUTE($F72," ","")&amp;"-"&amp;TEXT(COUNTIF($F$4:F72,$F72),"00"))</f>
        <v/>
      </c>
      <c r="B72" s="9"/>
      <c r="C72" s="8" t="str">
        <f t="shared" si="17"/>
        <v/>
      </c>
      <c r="D72" s="8" t="str">
        <f t="shared" si="18"/>
        <v/>
      </c>
      <c r="E72" s="10"/>
      <c r="F72" s="10"/>
      <c r="G72" s="8" t="str">
        <f>IF(OR($E72="",$F72=""),"",IFERROR(IF($E72=INDEX(Cluster_Master!$A$4:$A$18,MATCH($F72,Cluster_Master!$B$4:$B$18,0)),"OK","CHECK"),"CHECK"))</f>
        <v/>
      </c>
      <c r="H72" s="11" t="str">
        <f>IFERROR(INDEX(Cluster_Master!$C$4:$C$18,MATCH($F72,Cluster_Master!$B$4:$B$18,0)),"")</f>
        <v/>
      </c>
      <c r="I72" s="8" t="str">
        <f>IFERROR(INDEX(Cluster_Master!$D$4:$D$18,MATCH($F72,Cluster_Master!$B$4:$B$18,0)),"")</f>
        <v/>
      </c>
      <c r="J72" s="8" t="str">
        <f>IFERROR(INDEX(Cluster_Master!$E$4:$E$18,MATCH($F72,Cluster_Master!$B$4:$B$18,0)),"")</f>
        <v/>
      </c>
      <c r="K72" s="8" t="str">
        <f>IFERROR(INDEX(Cluster_Master!$F$4:$F$18,MATCH($F72,Cluster_Master!$B$4:$B$18,0)),"")</f>
        <v/>
      </c>
      <c r="L72" s="8" t="str">
        <f>IFERROR(INDEX(Cluster_Master!$G$4:$G$18,MATCH($F72,Cluster_Master!$B$4:$B$18,0)),"")</f>
        <v/>
      </c>
      <c r="M72" s="8" t="str">
        <f>IFERROR(INDEX(Cluster_Master!$H$4:$H$18,MATCH($F72,Cluster_Master!$B$4:$B$18,0)),"")</f>
        <v/>
      </c>
      <c r="N72" s="12"/>
      <c r="O72" s="12"/>
      <c r="P72" s="12"/>
      <c r="Q72" s="12"/>
      <c r="R72" s="12"/>
      <c r="S72" s="12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8" t="str">
        <f t="shared" si="19"/>
        <v/>
      </c>
      <c r="AJ72" s="14" t="str">
        <f t="shared" si="20"/>
        <v/>
      </c>
      <c r="AK72" s="14" t="str">
        <f>IF(COUNTA(T72:AH72)=0,"",(SUM(T72*KPI_Weights!$B$4,U72*KPI_Weights!$B$5,V72*KPI_Weights!$B$6,W72*KPI_Weights!$B$7,X72*KPI_Weights!$B$8,Y72*KPI_Weights!$B$9,Z72*KPI_Weights!$B$10,AA72*KPI_Weights!$B$11,AB72*KPI_Weights!$B$12,AC72*KPI_Weights!$B$13,AD72*KPI_Weights!$B$14,AE72*KPI_Weights!$B$15,AF72*KPI_Weights!$B$16,AG72*KPI_Weights!$B$17,AH72*KPI_Weights!$B$18))/5)</f>
        <v/>
      </c>
      <c r="AL72" s="8" t="str">
        <f t="shared" si="21"/>
        <v/>
      </c>
      <c r="AM72" s="8" t="str">
        <f t="shared" si="22"/>
        <v/>
      </c>
      <c r="AN72" s="8" t="str">
        <f t="shared" si="23"/>
        <v/>
      </c>
      <c r="AO72" s="12"/>
      <c r="AP72" s="12"/>
      <c r="AQ72" s="12"/>
      <c r="AR72" s="12"/>
      <c r="AS72" s="12"/>
      <c r="AT72" s="15"/>
      <c r="AU72" s="12"/>
      <c r="AV72" s="16"/>
      <c r="AW72" s="12"/>
      <c r="AX72" s="15"/>
      <c r="AY72" s="15"/>
      <c r="AZ72" s="15"/>
      <c r="BA72" s="15"/>
      <c r="BB72" s="15"/>
      <c r="BC72" s="15"/>
      <c r="BD72" s="15"/>
      <c r="BE72" s="15"/>
      <c r="BF72" s="15"/>
    </row>
    <row r="73" spans="1:58" ht="19.5" customHeight="1" x14ac:dyDescent="0.2">
      <c r="A73" s="8" t="str">
        <f>IF($B73="","",TEXT($B73,"yyyymmdd")&amp;"-"&amp;SUBSTITUTE($F73," ","")&amp;"-"&amp;TEXT(COUNTIF($F$4:F73,$F73),"00"))</f>
        <v/>
      </c>
      <c r="B73" s="9"/>
      <c r="C73" s="8" t="str">
        <f t="shared" si="17"/>
        <v/>
      </c>
      <c r="D73" s="8" t="str">
        <f t="shared" si="18"/>
        <v/>
      </c>
      <c r="E73" s="10"/>
      <c r="F73" s="10"/>
      <c r="G73" s="8" t="str">
        <f>IF(OR($E73="",$F73=""),"",IFERROR(IF($E73=INDEX(Cluster_Master!$A$4:$A$18,MATCH($F73,Cluster_Master!$B$4:$B$18,0)),"OK","CHECK"),"CHECK"))</f>
        <v/>
      </c>
      <c r="H73" s="11" t="str">
        <f>IFERROR(INDEX(Cluster_Master!$C$4:$C$18,MATCH($F73,Cluster_Master!$B$4:$B$18,0)),"")</f>
        <v/>
      </c>
      <c r="I73" s="8" t="str">
        <f>IFERROR(INDEX(Cluster_Master!$D$4:$D$18,MATCH($F73,Cluster_Master!$B$4:$B$18,0)),"")</f>
        <v/>
      </c>
      <c r="J73" s="8" t="str">
        <f>IFERROR(INDEX(Cluster_Master!$E$4:$E$18,MATCH($F73,Cluster_Master!$B$4:$B$18,0)),"")</f>
        <v/>
      </c>
      <c r="K73" s="8" t="str">
        <f>IFERROR(INDEX(Cluster_Master!$F$4:$F$18,MATCH($F73,Cluster_Master!$B$4:$B$18,0)),"")</f>
        <v/>
      </c>
      <c r="L73" s="8" t="str">
        <f>IFERROR(INDEX(Cluster_Master!$G$4:$G$18,MATCH($F73,Cluster_Master!$B$4:$B$18,0)),"")</f>
        <v/>
      </c>
      <c r="M73" s="8" t="str">
        <f>IFERROR(INDEX(Cluster_Master!$H$4:$H$18,MATCH($F73,Cluster_Master!$B$4:$B$18,0)),"")</f>
        <v/>
      </c>
      <c r="N73" s="12"/>
      <c r="O73" s="12"/>
      <c r="P73" s="12"/>
      <c r="Q73" s="12"/>
      <c r="R73" s="12"/>
      <c r="S73" s="12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8" t="str">
        <f t="shared" si="19"/>
        <v/>
      </c>
      <c r="AJ73" s="14" t="str">
        <f t="shared" si="20"/>
        <v/>
      </c>
      <c r="AK73" s="14" t="str">
        <f>IF(COUNTA(T73:AH73)=0,"",(SUM(T73*KPI_Weights!$B$4,U73*KPI_Weights!$B$5,V73*KPI_Weights!$B$6,W73*KPI_Weights!$B$7,X73*KPI_Weights!$B$8,Y73*KPI_Weights!$B$9,Z73*KPI_Weights!$B$10,AA73*KPI_Weights!$B$11,AB73*KPI_Weights!$B$12,AC73*KPI_Weights!$B$13,AD73*KPI_Weights!$B$14,AE73*KPI_Weights!$B$15,AF73*KPI_Weights!$B$16,AG73*KPI_Weights!$B$17,AH73*KPI_Weights!$B$18))/5)</f>
        <v/>
      </c>
      <c r="AL73" s="8" t="str">
        <f t="shared" si="21"/>
        <v/>
      </c>
      <c r="AM73" s="8" t="str">
        <f t="shared" si="22"/>
        <v/>
      </c>
      <c r="AN73" s="8" t="str">
        <f t="shared" si="23"/>
        <v/>
      </c>
      <c r="AO73" s="12"/>
      <c r="AP73" s="12"/>
      <c r="AQ73" s="12"/>
      <c r="AR73" s="12"/>
      <c r="AS73" s="12"/>
      <c r="AT73" s="15"/>
      <c r="AU73" s="12"/>
      <c r="AV73" s="16"/>
      <c r="AW73" s="12"/>
      <c r="AX73" s="15"/>
      <c r="AY73" s="15"/>
      <c r="AZ73" s="15"/>
      <c r="BA73" s="15"/>
      <c r="BB73" s="15"/>
      <c r="BC73" s="15"/>
      <c r="BD73" s="15"/>
      <c r="BE73" s="15"/>
      <c r="BF73" s="15"/>
    </row>
    <row r="74" spans="1:58" ht="19.5" customHeight="1" x14ac:dyDescent="0.2">
      <c r="A74" s="8" t="str">
        <f>IF($B74="","",TEXT($B74,"yyyymmdd")&amp;"-"&amp;SUBSTITUTE($F74," ","")&amp;"-"&amp;TEXT(COUNTIF($F$4:F74,$F74),"00"))</f>
        <v/>
      </c>
      <c r="B74" s="9"/>
      <c r="C74" s="8" t="str">
        <f t="shared" si="17"/>
        <v/>
      </c>
      <c r="D74" s="8" t="str">
        <f t="shared" si="18"/>
        <v/>
      </c>
      <c r="E74" s="10"/>
      <c r="F74" s="10"/>
      <c r="G74" s="8" t="str">
        <f>IF(OR($E74="",$F74=""),"",IFERROR(IF($E74=INDEX(Cluster_Master!$A$4:$A$18,MATCH($F74,Cluster_Master!$B$4:$B$18,0)),"OK","CHECK"),"CHECK"))</f>
        <v/>
      </c>
      <c r="H74" s="11" t="str">
        <f>IFERROR(INDEX(Cluster_Master!$C$4:$C$18,MATCH($F74,Cluster_Master!$B$4:$B$18,0)),"")</f>
        <v/>
      </c>
      <c r="I74" s="8" t="str">
        <f>IFERROR(INDEX(Cluster_Master!$D$4:$D$18,MATCH($F74,Cluster_Master!$B$4:$B$18,0)),"")</f>
        <v/>
      </c>
      <c r="J74" s="8" t="str">
        <f>IFERROR(INDEX(Cluster_Master!$E$4:$E$18,MATCH($F74,Cluster_Master!$B$4:$B$18,0)),"")</f>
        <v/>
      </c>
      <c r="K74" s="8" t="str">
        <f>IFERROR(INDEX(Cluster_Master!$F$4:$F$18,MATCH($F74,Cluster_Master!$B$4:$B$18,0)),"")</f>
        <v/>
      </c>
      <c r="L74" s="8" t="str">
        <f>IFERROR(INDEX(Cluster_Master!$G$4:$G$18,MATCH($F74,Cluster_Master!$B$4:$B$18,0)),"")</f>
        <v/>
      </c>
      <c r="M74" s="8" t="str">
        <f>IFERROR(INDEX(Cluster_Master!$H$4:$H$18,MATCH($F74,Cluster_Master!$B$4:$B$18,0)),"")</f>
        <v/>
      </c>
      <c r="N74" s="12"/>
      <c r="O74" s="12"/>
      <c r="P74" s="12"/>
      <c r="Q74" s="12"/>
      <c r="R74" s="12"/>
      <c r="S74" s="12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8" t="str">
        <f t="shared" si="19"/>
        <v/>
      </c>
      <c r="AJ74" s="14" t="str">
        <f t="shared" si="20"/>
        <v/>
      </c>
      <c r="AK74" s="14" t="str">
        <f>IF(COUNTA(T74:AH74)=0,"",(SUM(T74*KPI_Weights!$B$4,U74*KPI_Weights!$B$5,V74*KPI_Weights!$B$6,W74*KPI_Weights!$B$7,X74*KPI_Weights!$B$8,Y74*KPI_Weights!$B$9,Z74*KPI_Weights!$B$10,AA74*KPI_Weights!$B$11,AB74*KPI_Weights!$B$12,AC74*KPI_Weights!$B$13,AD74*KPI_Weights!$B$14,AE74*KPI_Weights!$B$15,AF74*KPI_Weights!$B$16,AG74*KPI_Weights!$B$17,AH74*KPI_Weights!$B$18))/5)</f>
        <v/>
      </c>
      <c r="AL74" s="8" t="str">
        <f t="shared" si="21"/>
        <v/>
      </c>
      <c r="AM74" s="8" t="str">
        <f t="shared" si="22"/>
        <v/>
      </c>
      <c r="AN74" s="8" t="str">
        <f t="shared" si="23"/>
        <v/>
      </c>
      <c r="AO74" s="12"/>
      <c r="AP74" s="12"/>
      <c r="AQ74" s="12"/>
      <c r="AR74" s="12"/>
      <c r="AS74" s="12"/>
      <c r="AT74" s="15"/>
      <c r="AU74" s="12"/>
      <c r="AV74" s="16"/>
      <c r="AW74" s="12"/>
      <c r="AX74" s="15"/>
      <c r="AY74" s="15"/>
      <c r="AZ74" s="15"/>
      <c r="BA74" s="15"/>
      <c r="BB74" s="15"/>
      <c r="BC74" s="15"/>
      <c r="BD74" s="15"/>
      <c r="BE74" s="15"/>
      <c r="BF74" s="15"/>
    </row>
    <row r="75" spans="1:58" ht="19.5" customHeight="1" x14ac:dyDescent="0.2">
      <c r="A75" s="8" t="str">
        <f>IF($B75="","",TEXT($B75,"yyyymmdd")&amp;"-"&amp;SUBSTITUTE($F75," ","")&amp;"-"&amp;TEXT(COUNTIF($F$4:F75,$F75),"00"))</f>
        <v/>
      </c>
      <c r="B75" s="9"/>
      <c r="C75" s="8" t="str">
        <f t="shared" si="17"/>
        <v/>
      </c>
      <c r="D75" s="8" t="str">
        <f t="shared" si="18"/>
        <v/>
      </c>
      <c r="E75" s="10"/>
      <c r="F75" s="10"/>
      <c r="G75" s="8" t="str">
        <f>IF(OR($E75="",$F75=""),"",IFERROR(IF($E75=INDEX(Cluster_Master!$A$4:$A$18,MATCH($F75,Cluster_Master!$B$4:$B$18,0)),"OK","CHECK"),"CHECK"))</f>
        <v/>
      </c>
      <c r="H75" s="11" t="str">
        <f>IFERROR(INDEX(Cluster_Master!$C$4:$C$18,MATCH($F75,Cluster_Master!$B$4:$B$18,0)),"")</f>
        <v/>
      </c>
      <c r="I75" s="8" t="str">
        <f>IFERROR(INDEX(Cluster_Master!$D$4:$D$18,MATCH($F75,Cluster_Master!$B$4:$B$18,0)),"")</f>
        <v/>
      </c>
      <c r="J75" s="8" t="str">
        <f>IFERROR(INDEX(Cluster_Master!$E$4:$E$18,MATCH($F75,Cluster_Master!$B$4:$B$18,0)),"")</f>
        <v/>
      </c>
      <c r="K75" s="8" t="str">
        <f>IFERROR(INDEX(Cluster_Master!$F$4:$F$18,MATCH($F75,Cluster_Master!$B$4:$B$18,0)),"")</f>
        <v/>
      </c>
      <c r="L75" s="8" t="str">
        <f>IFERROR(INDEX(Cluster_Master!$G$4:$G$18,MATCH($F75,Cluster_Master!$B$4:$B$18,0)),"")</f>
        <v/>
      </c>
      <c r="M75" s="8" t="str">
        <f>IFERROR(INDEX(Cluster_Master!$H$4:$H$18,MATCH($F75,Cluster_Master!$B$4:$B$18,0)),"")</f>
        <v/>
      </c>
      <c r="N75" s="12"/>
      <c r="O75" s="12"/>
      <c r="P75" s="12"/>
      <c r="Q75" s="12"/>
      <c r="R75" s="12"/>
      <c r="S75" s="12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8" t="str">
        <f t="shared" si="19"/>
        <v/>
      </c>
      <c r="AJ75" s="14" t="str">
        <f t="shared" si="20"/>
        <v/>
      </c>
      <c r="AK75" s="14" t="str">
        <f>IF(COUNTA(T75:AH75)=0,"",(SUM(T75*KPI_Weights!$B$4,U75*KPI_Weights!$B$5,V75*KPI_Weights!$B$6,W75*KPI_Weights!$B$7,X75*KPI_Weights!$B$8,Y75*KPI_Weights!$B$9,Z75*KPI_Weights!$B$10,AA75*KPI_Weights!$B$11,AB75*KPI_Weights!$B$12,AC75*KPI_Weights!$B$13,AD75*KPI_Weights!$B$14,AE75*KPI_Weights!$B$15,AF75*KPI_Weights!$B$16,AG75*KPI_Weights!$B$17,AH75*KPI_Weights!$B$18))/5)</f>
        <v/>
      </c>
      <c r="AL75" s="8" t="str">
        <f t="shared" si="21"/>
        <v/>
      </c>
      <c r="AM75" s="8" t="str">
        <f t="shared" si="22"/>
        <v/>
      </c>
      <c r="AN75" s="8" t="str">
        <f t="shared" si="23"/>
        <v/>
      </c>
      <c r="AO75" s="12"/>
      <c r="AP75" s="12"/>
      <c r="AQ75" s="12"/>
      <c r="AR75" s="12"/>
      <c r="AS75" s="12"/>
      <c r="AT75" s="15"/>
      <c r="AU75" s="12"/>
      <c r="AV75" s="16"/>
      <c r="AW75" s="12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1:58" ht="19.5" customHeight="1" x14ac:dyDescent="0.2">
      <c r="A76" s="8" t="str">
        <f>IF($B76="","",TEXT($B76,"yyyymmdd")&amp;"-"&amp;SUBSTITUTE($F76," ","")&amp;"-"&amp;TEXT(COUNTIF($F$4:F76,$F76),"00"))</f>
        <v/>
      </c>
      <c r="B76" s="9"/>
      <c r="C76" s="8" t="str">
        <f t="shared" si="17"/>
        <v/>
      </c>
      <c r="D76" s="8" t="str">
        <f t="shared" si="18"/>
        <v/>
      </c>
      <c r="E76" s="10"/>
      <c r="F76" s="10"/>
      <c r="G76" s="8" t="str">
        <f>IF(OR($E76="",$F76=""),"",IFERROR(IF($E76=INDEX(Cluster_Master!$A$4:$A$18,MATCH($F76,Cluster_Master!$B$4:$B$18,0)),"OK","CHECK"),"CHECK"))</f>
        <v/>
      </c>
      <c r="H76" s="11" t="str">
        <f>IFERROR(INDEX(Cluster_Master!$C$4:$C$18,MATCH($F76,Cluster_Master!$B$4:$B$18,0)),"")</f>
        <v/>
      </c>
      <c r="I76" s="8" t="str">
        <f>IFERROR(INDEX(Cluster_Master!$D$4:$D$18,MATCH($F76,Cluster_Master!$B$4:$B$18,0)),"")</f>
        <v/>
      </c>
      <c r="J76" s="8" t="str">
        <f>IFERROR(INDEX(Cluster_Master!$E$4:$E$18,MATCH($F76,Cluster_Master!$B$4:$B$18,0)),"")</f>
        <v/>
      </c>
      <c r="K76" s="8" t="str">
        <f>IFERROR(INDEX(Cluster_Master!$F$4:$F$18,MATCH($F76,Cluster_Master!$B$4:$B$18,0)),"")</f>
        <v/>
      </c>
      <c r="L76" s="8" t="str">
        <f>IFERROR(INDEX(Cluster_Master!$G$4:$G$18,MATCH($F76,Cluster_Master!$B$4:$B$18,0)),"")</f>
        <v/>
      </c>
      <c r="M76" s="8" t="str">
        <f>IFERROR(INDEX(Cluster_Master!$H$4:$H$18,MATCH($F76,Cluster_Master!$B$4:$B$18,0)),"")</f>
        <v/>
      </c>
      <c r="N76" s="12"/>
      <c r="O76" s="12"/>
      <c r="P76" s="12"/>
      <c r="Q76" s="12"/>
      <c r="R76" s="12"/>
      <c r="S76" s="12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8" t="str">
        <f t="shared" si="19"/>
        <v/>
      </c>
      <c r="AJ76" s="14" t="str">
        <f t="shared" si="20"/>
        <v/>
      </c>
      <c r="AK76" s="14" t="str">
        <f>IF(COUNTA(T76:AH76)=0,"",(SUM(T76*KPI_Weights!$B$4,U76*KPI_Weights!$B$5,V76*KPI_Weights!$B$6,W76*KPI_Weights!$B$7,X76*KPI_Weights!$B$8,Y76*KPI_Weights!$B$9,Z76*KPI_Weights!$B$10,AA76*KPI_Weights!$B$11,AB76*KPI_Weights!$B$12,AC76*KPI_Weights!$B$13,AD76*KPI_Weights!$B$14,AE76*KPI_Weights!$B$15,AF76*KPI_Weights!$B$16,AG76*KPI_Weights!$B$17,AH76*KPI_Weights!$B$18))/5)</f>
        <v/>
      </c>
      <c r="AL76" s="8" t="str">
        <f t="shared" si="21"/>
        <v/>
      </c>
      <c r="AM76" s="8" t="str">
        <f t="shared" si="22"/>
        <v/>
      </c>
      <c r="AN76" s="8" t="str">
        <f t="shared" si="23"/>
        <v/>
      </c>
      <c r="AO76" s="12"/>
      <c r="AP76" s="12"/>
      <c r="AQ76" s="12"/>
      <c r="AR76" s="12"/>
      <c r="AS76" s="12"/>
      <c r="AT76" s="15"/>
      <c r="AU76" s="12"/>
      <c r="AV76" s="16"/>
      <c r="AW76" s="12"/>
      <c r="AX76" s="15"/>
      <c r="AY76" s="15"/>
      <c r="AZ76" s="15"/>
      <c r="BA76" s="15"/>
      <c r="BB76" s="15"/>
      <c r="BC76" s="15"/>
      <c r="BD76" s="15"/>
      <c r="BE76" s="15"/>
      <c r="BF76" s="15"/>
    </row>
    <row r="77" spans="1:58" ht="19.5" customHeight="1" x14ac:dyDescent="0.2">
      <c r="A77" s="8" t="str">
        <f>IF($B77="","",TEXT($B77,"yyyymmdd")&amp;"-"&amp;SUBSTITUTE($F77," ","")&amp;"-"&amp;TEXT(COUNTIF($F$4:F77,$F77),"00"))</f>
        <v/>
      </c>
      <c r="B77" s="9"/>
      <c r="C77" s="8" t="str">
        <f t="shared" si="17"/>
        <v/>
      </c>
      <c r="D77" s="8" t="str">
        <f t="shared" si="18"/>
        <v/>
      </c>
      <c r="E77" s="10"/>
      <c r="F77" s="10"/>
      <c r="G77" s="8" t="str">
        <f>IF(OR($E77="",$F77=""),"",IFERROR(IF($E77=INDEX(Cluster_Master!$A$4:$A$18,MATCH($F77,Cluster_Master!$B$4:$B$18,0)),"OK","CHECK"),"CHECK"))</f>
        <v/>
      </c>
      <c r="H77" s="11" t="str">
        <f>IFERROR(INDEX(Cluster_Master!$C$4:$C$18,MATCH($F77,Cluster_Master!$B$4:$B$18,0)),"")</f>
        <v/>
      </c>
      <c r="I77" s="8" t="str">
        <f>IFERROR(INDEX(Cluster_Master!$D$4:$D$18,MATCH($F77,Cluster_Master!$B$4:$B$18,0)),"")</f>
        <v/>
      </c>
      <c r="J77" s="8" t="str">
        <f>IFERROR(INDEX(Cluster_Master!$E$4:$E$18,MATCH($F77,Cluster_Master!$B$4:$B$18,0)),"")</f>
        <v/>
      </c>
      <c r="K77" s="8" t="str">
        <f>IFERROR(INDEX(Cluster_Master!$F$4:$F$18,MATCH($F77,Cluster_Master!$B$4:$B$18,0)),"")</f>
        <v/>
      </c>
      <c r="L77" s="8" t="str">
        <f>IFERROR(INDEX(Cluster_Master!$G$4:$G$18,MATCH($F77,Cluster_Master!$B$4:$B$18,0)),"")</f>
        <v/>
      </c>
      <c r="M77" s="8" t="str">
        <f>IFERROR(INDEX(Cluster_Master!$H$4:$H$18,MATCH($F77,Cluster_Master!$B$4:$B$18,0)),"")</f>
        <v/>
      </c>
      <c r="N77" s="12"/>
      <c r="O77" s="12"/>
      <c r="P77" s="12"/>
      <c r="Q77" s="12"/>
      <c r="R77" s="12"/>
      <c r="S77" s="12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8" t="str">
        <f t="shared" si="19"/>
        <v/>
      </c>
      <c r="AJ77" s="14" t="str">
        <f t="shared" si="20"/>
        <v/>
      </c>
      <c r="AK77" s="14" t="str">
        <f>IF(COUNTA(T77:AH77)=0,"",(SUM(T77*KPI_Weights!$B$4,U77*KPI_Weights!$B$5,V77*KPI_Weights!$B$6,W77*KPI_Weights!$B$7,X77*KPI_Weights!$B$8,Y77*KPI_Weights!$B$9,Z77*KPI_Weights!$B$10,AA77*KPI_Weights!$B$11,AB77*KPI_Weights!$B$12,AC77*KPI_Weights!$B$13,AD77*KPI_Weights!$B$14,AE77*KPI_Weights!$B$15,AF77*KPI_Weights!$B$16,AG77*KPI_Weights!$B$17,AH77*KPI_Weights!$B$18))/5)</f>
        <v/>
      </c>
      <c r="AL77" s="8" t="str">
        <f t="shared" si="21"/>
        <v/>
      </c>
      <c r="AM77" s="8" t="str">
        <f t="shared" si="22"/>
        <v/>
      </c>
      <c r="AN77" s="8" t="str">
        <f t="shared" si="23"/>
        <v/>
      </c>
      <c r="AO77" s="12"/>
      <c r="AP77" s="12"/>
      <c r="AQ77" s="12"/>
      <c r="AR77" s="12"/>
      <c r="AS77" s="12"/>
      <c r="AT77" s="15"/>
      <c r="AU77" s="12"/>
      <c r="AV77" s="16"/>
      <c r="AW77" s="12"/>
      <c r="AX77" s="15"/>
      <c r="AY77" s="15"/>
      <c r="AZ77" s="15"/>
      <c r="BA77" s="15"/>
      <c r="BB77" s="15"/>
      <c r="BC77" s="15"/>
      <c r="BD77" s="15"/>
      <c r="BE77" s="15"/>
      <c r="BF77" s="15"/>
    </row>
    <row r="78" spans="1:58" ht="19.5" customHeight="1" x14ac:dyDescent="0.2">
      <c r="A78" s="8" t="str">
        <f>IF($B78="","",TEXT($B78,"yyyymmdd")&amp;"-"&amp;SUBSTITUTE($F78," ","")&amp;"-"&amp;TEXT(COUNTIF($F$4:F78,$F78),"00"))</f>
        <v/>
      </c>
      <c r="B78" s="9"/>
      <c r="C78" s="8" t="str">
        <f t="shared" si="17"/>
        <v/>
      </c>
      <c r="D78" s="8" t="str">
        <f t="shared" si="18"/>
        <v/>
      </c>
      <c r="E78" s="10"/>
      <c r="F78" s="10"/>
      <c r="G78" s="8" t="str">
        <f>IF(OR($E78="",$F78=""),"",IFERROR(IF($E78=INDEX(Cluster_Master!$A$4:$A$18,MATCH($F78,Cluster_Master!$B$4:$B$18,0)),"OK","CHECK"),"CHECK"))</f>
        <v/>
      </c>
      <c r="H78" s="11" t="str">
        <f>IFERROR(INDEX(Cluster_Master!$C$4:$C$18,MATCH($F78,Cluster_Master!$B$4:$B$18,0)),"")</f>
        <v/>
      </c>
      <c r="I78" s="8" t="str">
        <f>IFERROR(INDEX(Cluster_Master!$D$4:$D$18,MATCH($F78,Cluster_Master!$B$4:$B$18,0)),"")</f>
        <v/>
      </c>
      <c r="J78" s="8" t="str">
        <f>IFERROR(INDEX(Cluster_Master!$E$4:$E$18,MATCH($F78,Cluster_Master!$B$4:$B$18,0)),"")</f>
        <v/>
      </c>
      <c r="K78" s="8" t="str">
        <f>IFERROR(INDEX(Cluster_Master!$F$4:$F$18,MATCH($F78,Cluster_Master!$B$4:$B$18,0)),"")</f>
        <v/>
      </c>
      <c r="L78" s="8" t="str">
        <f>IFERROR(INDEX(Cluster_Master!$G$4:$G$18,MATCH($F78,Cluster_Master!$B$4:$B$18,0)),"")</f>
        <v/>
      </c>
      <c r="M78" s="8" t="str">
        <f>IFERROR(INDEX(Cluster_Master!$H$4:$H$18,MATCH($F78,Cluster_Master!$B$4:$B$18,0)),"")</f>
        <v/>
      </c>
      <c r="N78" s="12"/>
      <c r="O78" s="12"/>
      <c r="P78" s="12"/>
      <c r="Q78" s="12"/>
      <c r="R78" s="12"/>
      <c r="S78" s="12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8" t="str">
        <f t="shared" si="19"/>
        <v/>
      </c>
      <c r="AJ78" s="14" t="str">
        <f t="shared" si="20"/>
        <v/>
      </c>
      <c r="AK78" s="14" t="str">
        <f>IF(COUNTA(T78:AH78)=0,"",(SUM(T78*KPI_Weights!$B$4,U78*KPI_Weights!$B$5,V78*KPI_Weights!$B$6,W78*KPI_Weights!$B$7,X78*KPI_Weights!$B$8,Y78*KPI_Weights!$B$9,Z78*KPI_Weights!$B$10,AA78*KPI_Weights!$B$11,AB78*KPI_Weights!$B$12,AC78*KPI_Weights!$B$13,AD78*KPI_Weights!$B$14,AE78*KPI_Weights!$B$15,AF78*KPI_Weights!$B$16,AG78*KPI_Weights!$B$17,AH78*KPI_Weights!$B$18))/5)</f>
        <v/>
      </c>
      <c r="AL78" s="8" t="str">
        <f t="shared" si="21"/>
        <v/>
      </c>
      <c r="AM78" s="8" t="str">
        <f t="shared" si="22"/>
        <v/>
      </c>
      <c r="AN78" s="8" t="str">
        <f t="shared" si="23"/>
        <v/>
      </c>
      <c r="AO78" s="12"/>
      <c r="AP78" s="12"/>
      <c r="AQ78" s="12"/>
      <c r="AR78" s="12"/>
      <c r="AS78" s="12"/>
      <c r="AT78" s="15"/>
      <c r="AU78" s="12"/>
      <c r="AV78" s="16"/>
      <c r="AW78" s="12"/>
      <c r="AX78" s="15"/>
      <c r="AY78" s="15"/>
      <c r="AZ78" s="15"/>
      <c r="BA78" s="15"/>
      <c r="BB78" s="15"/>
      <c r="BC78" s="15"/>
      <c r="BD78" s="15"/>
      <c r="BE78" s="15"/>
      <c r="BF78" s="15"/>
    </row>
    <row r="79" spans="1:58" ht="19.5" customHeight="1" x14ac:dyDescent="0.2">
      <c r="A79" s="8" t="str">
        <f>IF($B79="","",TEXT($B79,"yyyymmdd")&amp;"-"&amp;SUBSTITUTE($F79," ","")&amp;"-"&amp;TEXT(COUNTIF($F$4:F79,$F79),"00"))</f>
        <v/>
      </c>
      <c r="B79" s="9"/>
      <c r="C79" s="8" t="str">
        <f t="shared" si="17"/>
        <v/>
      </c>
      <c r="D79" s="8" t="str">
        <f t="shared" si="18"/>
        <v/>
      </c>
      <c r="E79" s="10"/>
      <c r="F79" s="10"/>
      <c r="G79" s="8" t="str">
        <f>IF(OR($E79="",$F79=""),"",IFERROR(IF($E79=INDEX(Cluster_Master!$A$4:$A$18,MATCH($F79,Cluster_Master!$B$4:$B$18,0)),"OK","CHECK"),"CHECK"))</f>
        <v/>
      </c>
      <c r="H79" s="11" t="str">
        <f>IFERROR(INDEX(Cluster_Master!$C$4:$C$18,MATCH($F79,Cluster_Master!$B$4:$B$18,0)),"")</f>
        <v/>
      </c>
      <c r="I79" s="8" t="str">
        <f>IFERROR(INDEX(Cluster_Master!$D$4:$D$18,MATCH($F79,Cluster_Master!$B$4:$B$18,0)),"")</f>
        <v/>
      </c>
      <c r="J79" s="8" t="str">
        <f>IFERROR(INDEX(Cluster_Master!$E$4:$E$18,MATCH($F79,Cluster_Master!$B$4:$B$18,0)),"")</f>
        <v/>
      </c>
      <c r="K79" s="8" t="str">
        <f>IFERROR(INDEX(Cluster_Master!$F$4:$F$18,MATCH($F79,Cluster_Master!$B$4:$B$18,0)),"")</f>
        <v/>
      </c>
      <c r="L79" s="8" t="str">
        <f>IFERROR(INDEX(Cluster_Master!$G$4:$G$18,MATCH($F79,Cluster_Master!$B$4:$B$18,0)),"")</f>
        <v/>
      </c>
      <c r="M79" s="8" t="str">
        <f>IFERROR(INDEX(Cluster_Master!$H$4:$H$18,MATCH($F79,Cluster_Master!$B$4:$B$18,0)),"")</f>
        <v/>
      </c>
      <c r="N79" s="12"/>
      <c r="O79" s="12"/>
      <c r="P79" s="12"/>
      <c r="Q79" s="12"/>
      <c r="R79" s="12"/>
      <c r="S79" s="12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8" t="str">
        <f t="shared" si="19"/>
        <v/>
      </c>
      <c r="AJ79" s="14" t="str">
        <f t="shared" si="20"/>
        <v/>
      </c>
      <c r="AK79" s="14" t="str">
        <f>IF(COUNTA(T79:AH79)=0,"",(SUM(T79*KPI_Weights!$B$4,U79*KPI_Weights!$B$5,V79*KPI_Weights!$B$6,W79*KPI_Weights!$B$7,X79*KPI_Weights!$B$8,Y79*KPI_Weights!$B$9,Z79*KPI_Weights!$B$10,AA79*KPI_Weights!$B$11,AB79*KPI_Weights!$B$12,AC79*KPI_Weights!$B$13,AD79*KPI_Weights!$B$14,AE79*KPI_Weights!$B$15,AF79*KPI_Weights!$B$16,AG79*KPI_Weights!$B$17,AH79*KPI_Weights!$B$18))/5)</f>
        <v/>
      </c>
      <c r="AL79" s="8" t="str">
        <f t="shared" si="21"/>
        <v/>
      </c>
      <c r="AM79" s="8" t="str">
        <f t="shared" si="22"/>
        <v/>
      </c>
      <c r="AN79" s="8" t="str">
        <f t="shared" si="23"/>
        <v/>
      </c>
      <c r="AO79" s="12"/>
      <c r="AP79" s="12"/>
      <c r="AQ79" s="12"/>
      <c r="AR79" s="12"/>
      <c r="AS79" s="12"/>
      <c r="AT79" s="15"/>
      <c r="AU79" s="12"/>
      <c r="AV79" s="16"/>
      <c r="AW79" s="12"/>
      <c r="AX79" s="15"/>
      <c r="AY79" s="15"/>
      <c r="AZ79" s="15"/>
      <c r="BA79" s="15"/>
      <c r="BB79" s="15"/>
      <c r="BC79" s="15"/>
      <c r="BD79" s="15"/>
      <c r="BE79" s="15"/>
      <c r="BF79" s="15"/>
    </row>
    <row r="80" spans="1:58" ht="19.5" customHeight="1" x14ac:dyDescent="0.2">
      <c r="A80" s="8" t="str">
        <f>IF($B80="","",TEXT($B80,"yyyymmdd")&amp;"-"&amp;SUBSTITUTE($F80," ","")&amp;"-"&amp;TEXT(COUNTIF($F$4:F80,$F80),"00"))</f>
        <v/>
      </c>
      <c r="B80" s="9"/>
      <c r="C80" s="8" t="str">
        <f t="shared" si="17"/>
        <v/>
      </c>
      <c r="D80" s="8" t="str">
        <f t="shared" si="18"/>
        <v/>
      </c>
      <c r="E80" s="10"/>
      <c r="F80" s="10"/>
      <c r="G80" s="8" t="str">
        <f>IF(OR($E80="",$F80=""),"",IFERROR(IF($E80=INDEX(Cluster_Master!$A$4:$A$18,MATCH($F80,Cluster_Master!$B$4:$B$18,0)),"OK","CHECK"),"CHECK"))</f>
        <v/>
      </c>
      <c r="H80" s="11" t="str">
        <f>IFERROR(INDEX(Cluster_Master!$C$4:$C$18,MATCH($F80,Cluster_Master!$B$4:$B$18,0)),"")</f>
        <v/>
      </c>
      <c r="I80" s="8" t="str">
        <f>IFERROR(INDEX(Cluster_Master!$D$4:$D$18,MATCH($F80,Cluster_Master!$B$4:$B$18,0)),"")</f>
        <v/>
      </c>
      <c r="J80" s="8" t="str">
        <f>IFERROR(INDEX(Cluster_Master!$E$4:$E$18,MATCH($F80,Cluster_Master!$B$4:$B$18,0)),"")</f>
        <v/>
      </c>
      <c r="K80" s="8" t="str">
        <f>IFERROR(INDEX(Cluster_Master!$F$4:$F$18,MATCH($F80,Cluster_Master!$B$4:$B$18,0)),"")</f>
        <v/>
      </c>
      <c r="L80" s="8" t="str">
        <f>IFERROR(INDEX(Cluster_Master!$G$4:$G$18,MATCH($F80,Cluster_Master!$B$4:$B$18,0)),"")</f>
        <v/>
      </c>
      <c r="M80" s="8" t="str">
        <f>IFERROR(INDEX(Cluster_Master!$H$4:$H$18,MATCH($F80,Cluster_Master!$B$4:$B$18,0)),"")</f>
        <v/>
      </c>
      <c r="N80" s="12"/>
      <c r="O80" s="12"/>
      <c r="P80" s="12"/>
      <c r="Q80" s="12"/>
      <c r="R80" s="12"/>
      <c r="S80" s="12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8" t="str">
        <f t="shared" si="19"/>
        <v/>
      </c>
      <c r="AJ80" s="14" t="str">
        <f t="shared" si="20"/>
        <v/>
      </c>
      <c r="AK80" s="14" t="str">
        <f>IF(COUNTA(T80:AH80)=0,"",(SUM(T80*KPI_Weights!$B$4,U80*KPI_Weights!$B$5,V80*KPI_Weights!$B$6,W80*KPI_Weights!$B$7,X80*KPI_Weights!$B$8,Y80*KPI_Weights!$B$9,Z80*KPI_Weights!$B$10,AA80*KPI_Weights!$B$11,AB80*KPI_Weights!$B$12,AC80*KPI_Weights!$B$13,AD80*KPI_Weights!$B$14,AE80*KPI_Weights!$B$15,AF80*KPI_Weights!$B$16,AG80*KPI_Weights!$B$17,AH80*KPI_Weights!$B$18))/5)</f>
        <v/>
      </c>
      <c r="AL80" s="8" t="str">
        <f t="shared" si="21"/>
        <v/>
      </c>
      <c r="AM80" s="8" t="str">
        <f t="shared" si="22"/>
        <v/>
      </c>
      <c r="AN80" s="8" t="str">
        <f t="shared" si="23"/>
        <v/>
      </c>
      <c r="AO80" s="12"/>
      <c r="AP80" s="12"/>
      <c r="AQ80" s="12"/>
      <c r="AR80" s="12"/>
      <c r="AS80" s="12"/>
      <c r="AT80" s="15"/>
      <c r="AU80" s="12"/>
      <c r="AV80" s="16"/>
      <c r="AW80" s="12"/>
      <c r="AX80" s="15"/>
      <c r="AY80" s="15"/>
      <c r="AZ80" s="15"/>
      <c r="BA80" s="15"/>
      <c r="BB80" s="15"/>
      <c r="BC80" s="15"/>
      <c r="BD80" s="15"/>
      <c r="BE80" s="15"/>
      <c r="BF80" s="15"/>
    </row>
    <row r="81" spans="1:58" ht="19.5" customHeight="1" x14ac:dyDescent="0.2">
      <c r="A81" s="8" t="str">
        <f>IF($B81="","",TEXT($B81,"yyyymmdd")&amp;"-"&amp;SUBSTITUTE($F81," ","")&amp;"-"&amp;TEXT(COUNTIF($F$4:F81,$F81),"00"))</f>
        <v/>
      </c>
      <c r="B81" s="9"/>
      <c r="C81" s="8" t="str">
        <f t="shared" si="17"/>
        <v/>
      </c>
      <c r="D81" s="8" t="str">
        <f t="shared" si="18"/>
        <v/>
      </c>
      <c r="E81" s="10"/>
      <c r="F81" s="10"/>
      <c r="G81" s="8" t="str">
        <f>IF(OR($E81="",$F81=""),"",IFERROR(IF($E81=INDEX(Cluster_Master!$A$4:$A$18,MATCH($F81,Cluster_Master!$B$4:$B$18,0)),"OK","CHECK"),"CHECK"))</f>
        <v/>
      </c>
      <c r="H81" s="11" t="str">
        <f>IFERROR(INDEX(Cluster_Master!$C$4:$C$18,MATCH($F81,Cluster_Master!$B$4:$B$18,0)),"")</f>
        <v/>
      </c>
      <c r="I81" s="8" t="str">
        <f>IFERROR(INDEX(Cluster_Master!$D$4:$D$18,MATCH($F81,Cluster_Master!$B$4:$B$18,0)),"")</f>
        <v/>
      </c>
      <c r="J81" s="8" t="str">
        <f>IFERROR(INDEX(Cluster_Master!$E$4:$E$18,MATCH($F81,Cluster_Master!$B$4:$B$18,0)),"")</f>
        <v/>
      </c>
      <c r="K81" s="8" t="str">
        <f>IFERROR(INDEX(Cluster_Master!$F$4:$F$18,MATCH($F81,Cluster_Master!$B$4:$B$18,0)),"")</f>
        <v/>
      </c>
      <c r="L81" s="8" t="str">
        <f>IFERROR(INDEX(Cluster_Master!$G$4:$G$18,MATCH($F81,Cluster_Master!$B$4:$B$18,0)),"")</f>
        <v/>
      </c>
      <c r="M81" s="8" t="str">
        <f>IFERROR(INDEX(Cluster_Master!$H$4:$H$18,MATCH($F81,Cluster_Master!$B$4:$B$18,0)),"")</f>
        <v/>
      </c>
      <c r="N81" s="12"/>
      <c r="O81" s="12"/>
      <c r="P81" s="12"/>
      <c r="Q81" s="12"/>
      <c r="R81" s="12"/>
      <c r="S81" s="12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8" t="str">
        <f t="shared" si="19"/>
        <v/>
      </c>
      <c r="AJ81" s="14" t="str">
        <f t="shared" si="20"/>
        <v/>
      </c>
      <c r="AK81" s="14" t="str">
        <f>IF(COUNTA(T81:AH81)=0,"",(SUM(T81*KPI_Weights!$B$4,U81*KPI_Weights!$B$5,V81*KPI_Weights!$B$6,W81*KPI_Weights!$B$7,X81*KPI_Weights!$B$8,Y81*KPI_Weights!$B$9,Z81*KPI_Weights!$B$10,AA81*KPI_Weights!$B$11,AB81*KPI_Weights!$B$12,AC81*KPI_Weights!$B$13,AD81*KPI_Weights!$B$14,AE81*KPI_Weights!$B$15,AF81*KPI_Weights!$B$16,AG81*KPI_Weights!$B$17,AH81*KPI_Weights!$B$18))/5)</f>
        <v/>
      </c>
      <c r="AL81" s="8" t="str">
        <f t="shared" si="21"/>
        <v/>
      </c>
      <c r="AM81" s="8" t="str">
        <f t="shared" si="22"/>
        <v/>
      </c>
      <c r="AN81" s="8" t="str">
        <f t="shared" si="23"/>
        <v/>
      </c>
      <c r="AO81" s="12"/>
      <c r="AP81" s="12"/>
      <c r="AQ81" s="12"/>
      <c r="AR81" s="12"/>
      <c r="AS81" s="12"/>
      <c r="AT81" s="15"/>
      <c r="AU81" s="12"/>
      <c r="AV81" s="16"/>
      <c r="AW81" s="12"/>
      <c r="AX81" s="15"/>
      <c r="AY81" s="15"/>
      <c r="AZ81" s="15"/>
      <c r="BA81" s="15"/>
      <c r="BB81" s="15"/>
      <c r="BC81" s="15"/>
      <c r="BD81" s="15"/>
      <c r="BE81" s="15"/>
      <c r="BF81" s="15"/>
    </row>
    <row r="82" spans="1:58" ht="19.5" customHeight="1" x14ac:dyDescent="0.2">
      <c r="A82" s="8" t="str">
        <f>IF($B82="","",TEXT($B82,"yyyymmdd")&amp;"-"&amp;SUBSTITUTE($F82," ","")&amp;"-"&amp;TEXT(COUNTIF($F$4:F82,$F82),"00"))</f>
        <v/>
      </c>
      <c r="B82" s="9"/>
      <c r="C82" s="8" t="str">
        <f t="shared" si="17"/>
        <v/>
      </c>
      <c r="D82" s="8" t="str">
        <f t="shared" si="18"/>
        <v/>
      </c>
      <c r="E82" s="10"/>
      <c r="F82" s="10"/>
      <c r="G82" s="8" t="str">
        <f>IF(OR($E82="",$F82=""),"",IFERROR(IF($E82=INDEX(Cluster_Master!$A$4:$A$18,MATCH($F82,Cluster_Master!$B$4:$B$18,0)),"OK","CHECK"),"CHECK"))</f>
        <v/>
      </c>
      <c r="H82" s="11" t="str">
        <f>IFERROR(INDEX(Cluster_Master!$C$4:$C$18,MATCH($F82,Cluster_Master!$B$4:$B$18,0)),"")</f>
        <v/>
      </c>
      <c r="I82" s="8" t="str">
        <f>IFERROR(INDEX(Cluster_Master!$D$4:$D$18,MATCH($F82,Cluster_Master!$B$4:$B$18,0)),"")</f>
        <v/>
      </c>
      <c r="J82" s="8" t="str">
        <f>IFERROR(INDEX(Cluster_Master!$E$4:$E$18,MATCH($F82,Cluster_Master!$B$4:$B$18,0)),"")</f>
        <v/>
      </c>
      <c r="K82" s="8" t="str">
        <f>IFERROR(INDEX(Cluster_Master!$F$4:$F$18,MATCH($F82,Cluster_Master!$B$4:$B$18,0)),"")</f>
        <v/>
      </c>
      <c r="L82" s="8" t="str">
        <f>IFERROR(INDEX(Cluster_Master!$G$4:$G$18,MATCH($F82,Cluster_Master!$B$4:$B$18,0)),"")</f>
        <v/>
      </c>
      <c r="M82" s="8" t="str">
        <f>IFERROR(INDEX(Cluster_Master!$H$4:$H$18,MATCH($F82,Cluster_Master!$B$4:$B$18,0)),"")</f>
        <v/>
      </c>
      <c r="N82" s="12"/>
      <c r="O82" s="12"/>
      <c r="P82" s="12"/>
      <c r="Q82" s="12"/>
      <c r="R82" s="12"/>
      <c r="S82" s="12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8" t="str">
        <f t="shared" si="19"/>
        <v/>
      </c>
      <c r="AJ82" s="14" t="str">
        <f t="shared" si="20"/>
        <v/>
      </c>
      <c r="AK82" s="14" t="str">
        <f>IF(COUNTA(T82:AH82)=0,"",(SUM(T82*KPI_Weights!$B$4,U82*KPI_Weights!$B$5,V82*KPI_Weights!$B$6,W82*KPI_Weights!$B$7,X82*KPI_Weights!$B$8,Y82*KPI_Weights!$B$9,Z82*KPI_Weights!$B$10,AA82*KPI_Weights!$B$11,AB82*KPI_Weights!$B$12,AC82*KPI_Weights!$B$13,AD82*KPI_Weights!$B$14,AE82*KPI_Weights!$B$15,AF82*KPI_Weights!$B$16,AG82*KPI_Weights!$B$17,AH82*KPI_Weights!$B$18))/5)</f>
        <v/>
      </c>
      <c r="AL82" s="8" t="str">
        <f t="shared" si="21"/>
        <v/>
      </c>
      <c r="AM82" s="8" t="str">
        <f t="shared" si="22"/>
        <v/>
      </c>
      <c r="AN82" s="8" t="str">
        <f t="shared" si="23"/>
        <v/>
      </c>
      <c r="AO82" s="12"/>
      <c r="AP82" s="12"/>
      <c r="AQ82" s="12"/>
      <c r="AR82" s="12"/>
      <c r="AS82" s="12"/>
      <c r="AT82" s="15"/>
      <c r="AU82" s="12"/>
      <c r="AV82" s="16"/>
      <c r="AW82" s="12"/>
      <c r="AX82" s="15"/>
      <c r="AY82" s="15"/>
      <c r="AZ82" s="15"/>
      <c r="BA82" s="15"/>
      <c r="BB82" s="15"/>
      <c r="BC82" s="15"/>
      <c r="BD82" s="15"/>
      <c r="BE82" s="15"/>
      <c r="BF82" s="15"/>
    </row>
    <row r="83" spans="1:58" ht="19.5" customHeight="1" x14ac:dyDescent="0.2">
      <c r="A83" s="8" t="str">
        <f>IF($B83="","",TEXT($B83,"yyyymmdd")&amp;"-"&amp;SUBSTITUTE($F83," ","")&amp;"-"&amp;TEXT(COUNTIF($F$4:F83,$F83),"00"))</f>
        <v/>
      </c>
      <c r="B83" s="9"/>
      <c r="C83" s="8" t="str">
        <f t="shared" si="17"/>
        <v/>
      </c>
      <c r="D83" s="8" t="str">
        <f t="shared" si="18"/>
        <v/>
      </c>
      <c r="E83" s="10"/>
      <c r="F83" s="10"/>
      <c r="G83" s="8" t="str">
        <f>IF(OR($E83="",$F83=""),"",IFERROR(IF($E83=INDEX(Cluster_Master!$A$4:$A$18,MATCH($F83,Cluster_Master!$B$4:$B$18,0)),"OK","CHECK"),"CHECK"))</f>
        <v/>
      </c>
      <c r="H83" s="11" t="str">
        <f>IFERROR(INDEX(Cluster_Master!$C$4:$C$18,MATCH($F83,Cluster_Master!$B$4:$B$18,0)),"")</f>
        <v/>
      </c>
      <c r="I83" s="8" t="str">
        <f>IFERROR(INDEX(Cluster_Master!$D$4:$D$18,MATCH($F83,Cluster_Master!$B$4:$B$18,0)),"")</f>
        <v/>
      </c>
      <c r="J83" s="8" t="str">
        <f>IFERROR(INDEX(Cluster_Master!$E$4:$E$18,MATCH($F83,Cluster_Master!$B$4:$B$18,0)),"")</f>
        <v/>
      </c>
      <c r="K83" s="8" t="str">
        <f>IFERROR(INDEX(Cluster_Master!$F$4:$F$18,MATCH($F83,Cluster_Master!$B$4:$B$18,0)),"")</f>
        <v/>
      </c>
      <c r="L83" s="8" t="str">
        <f>IFERROR(INDEX(Cluster_Master!$G$4:$G$18,MATCH($F83,Cluster_Master!$B$4:$B$18,0)),"")</f>
        <v/>
      </c>
      <c r="M83" s="8" t="str">
        <f>IFERROR(INDEX(Cluster_Master!$H$4:$H$18,MATCH($F83,Cluster_Master!$B$4:$B$18,0)),"")</f>
        <v/>
      </c>
      <c r="N83" s="12"/>
      <c r="O83" s="12"/>
      <c r="P83" s="12"/>
      <c r="Q83" s="12"/>
      <c r="R83" s="12"/>
      <c r="S83" s="12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8" t="str">
        <f t="shared" si="19"/>
        <v/>
      </c>
      <c r="AJ83" s="14" t="str">
        <f t="shared" si="20"/>
        <v/>
      </c>
      <c r="AK83" s="14" t="str">
        <f>IF(COUNTA(T83:AH83)=0,"",(SUM(T83*KPI_Weights!$B$4,U83*KPI_Weights!$B$5,V83*KPI_Weights!$B$6,W83*KPI_Weights!$B$7,X83*KPI_Weights!$B$8,Y83*KPI_Weights!$B$9,Z83*KPI_Weights!$B$10,AA83*KPI_Weights!$B$11,AB83*KPI_Weights!$B$12,AC83*KPI_Weights!$B$13,AD83*KPI_Weights!$B$14,AE83*KPI_Weights!$B$15,AF83*KPI_Weights!$B$16,AG83*KPI_Weights!$B$17,AH83*KPI_Weights!$B$18))/5)</f>
        <v/>
      </c>
      <c r="AL83" s="8" t="str">
        <f t="shared" si="21"/>
        <v/>
      </c>
      <c r="AM83" s="8" t="str">
        <f t="shared" si="22"/>
        <v/>
      </c>
      <c r="AN83" s="8" t="str">
        <f t="shared" si="23"/>
        <v/>
      </c>
      <c r="AO83" s="12"/>
      <c r="AP83" s="12"/>
      <c r="AQ83" s="12"/>
      <c r="AR83" s="12"/>
      <c r="AS83" s="12"/>
      <c r="AT83" s="15"/>
      <c r="AU83" s="12"/>
      <c r="AV83" s="16"/>
      <c r="AW83" s="12"/>
      <c r="AX83" s="15"/>
      <c r="AY83" s="15"/>
      <c r="AZ83" s="15"/>
      <c r="BA83" s="15"/>
      <c r="BB83" s="15"/>
      <c r="BC83" s="15"/>
      <c r="BD83" s="15"/>
      <c r="BE83" s="15"/>
      <c r="BF83" s="15"/>
    </row>
    <row r="84" spans="1:58" ht="19.5" customHeight="1" x14ac:dyDescent="0.2">
      <c r="A84" s="8" t="str">
        <f>IF($B84="","",TEXT($B84,"yyyymmdd")&amp;"-"&amp;SUBSTITUTE($F84," ","")&amp;"-"&amp;TEXT(COUNTIF($F$4:F84,$F84),"00"))</f>
        <v/>
      </c>
      <c r="B84" s="9"/>
      <c r="C84" s="8" t="str">
        <f t="shared" si="17"/>
        <v/>
      </c>
      <c r="D84" s="8" t="str">
        <f t="shared" si="18"/>
        <v/>
      </c>
      <c r="E84" s="10"/>
      <c r="F84" s="10"/>
      <c r="G84" s="8" t="str">
        <f>IF(OR($E84="",$F84=""),"",IFERROR(IF($E84=INDEX(Cluster_Master!$A$4:$A$18,MATCH($F84,Cluster_Master!$B$4:$B$18,0)),"OK","CHECK"),"CHECK"))</f>
        <v/>
      </c>
      <c r="H84" s="11" t="str">
        <f>IFERROR(INDEX(Cluster_Master!$C$4:$C$18,MATCH($F84,Cluster_Master!$B$4:$B$18,0)),"")</f>
        <v/>
      </c>
      <c r="I84" s="8" t="str">
        <f>IFERROR(INDEX(Cluster_Master!$D$4:$D$18,MATCH($F84,Cluster_Master!$B$4:$B$18,0)),"")</f>
        <v/>
      </c>
      <c r="J84" s="8" t="str">
        <f>IFERROR(INDEX(Cluster_Master!$E$4:$E$18,MATCH($F84,Cluster_Master!$B$4:$B$18,0)),"")</f>
        <v/>
      </c>
      <c r="K84" s="8" t="str">
        <f>IFERROR(INDEX(Cluster_Master!$F$4:$F$18,MATCH($F84,Cluster_Master!$B$4:$B$18,0)),"")</f>
        <v/>
      </c>
      <c r="L84" s="8" t="str">
        <f>IFERROR(INDEX(Cluster_Master!$G$4:$G$18,MATCH($F84,Cluster_Master!$B$4:$B$18,0)),"")</f>
        <v/>
      </c>
      <c r="M84" s="8" t="str">
        <f>IFERROR(INDEX(Cluster_Master!$H$4:$H$18,MATCH($F84,Cluster_Master!$B$4:$B$18,0)),"")</f>
        <v/>
      </c>
      <c r="N84" s="12"/>
      <c r="O84" s="12"/>
      <c r="P84" s="12"/>
      <c r="Q84" s="12"/>
      <c r="R84" s="12"/>
      <c r="S84" s="12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8" t="str">
        <f t="shared" si="19"/>
        <v/>
      </c>
      <c r="AJ84" s="14" t="str">
        <f t="shared" si="20"/>
        <v/>
      </c>
      <c r="AK84" s="14" t="str">
        <f>IF(COUNTA(T84:AH84)=0,"",(SUM(T84*KPI_Weights!$B$4,U84*KPI_Weights!$B$5,V84*KPI_Weights!$B$6,W84*KPI_Weights!$B$7,X84*KPI_Weights!$B$8,Y84*KPI_Weights!$B$9,Z84*KPI_Weights!$B$10,AA84*KPI_Weights!$B$11,AB84*KPI_Weights!$B$12,AC84*KPI_Weights!$B$13,AD84*KPI_Weights!$B$14,AE84*KPI_Weights!$B$15,AF84*KPI_Weights!$B$16,AG84*KPI_Weights!$B$17,AH84*KPI_Weights!$B$18))/5)</f>
        <v/>
      </c>
      <c r="AL84" s="8" t="str">
        <f t="shared" si="21"/>
        <v/>
      </c>
      <c r="AM84" s="8" t="str">
        <f t="shared" si="22"/>
        <v/>
      </c>
      <c r="AN84" s="8" t="str">
        <f t="shared" si="23"/>
        <v/>
      </c>
      <c r="AO84" s="12"/>
      <c r="AP84" s="12"/>
      <c r="AQ84" s="12"/>
      <c r="AR84" s="12"/>
      <c r="AS84" s="12"/>
      <c r="AT84" s="15"/>
      <c r="AU84" s="12"/>
      <c r="AV84" s="16"/>
      <c r="AW84" s="12"/>
      <c r="AX84" s="15"/>
      <c r="AY84" s="15"/>
      <c r="AZ84" s="15"/>
      <c r="BA84" s="15"/>
      <c r="BB84" s="15"/>
      <c r="BC84" s="15"/>
      <c r="BD84" s="15"/>
      <c r="BE84" s="15"/>
      <c r="BF84" s="15"/>
    </row>
    <row r="85" spans="1:58" ht="19.5" customHeight="1" x14ac:dyDescent="0.2">
      <c r="A85" s="8" t="str">
        <f>IF($B85="","",TEXT($B85,"yyyymmdd")&amp;"-"&amp;SUBSTITUTE($F85," ","")&amp;"-"&amp;TEXT(COUNTIF($F$4:F85,$F85),"00"))</f>
        <v/>
      </c>
      <c r="B85" s="9"/>
      <c r="C85" s="8" t="str">
        <f t="shared" si="17"/>
        <v/>
      </c>
      <c r="D85" s="8" t="str">
        <f t="shared" si="18"/>
        <v/>
      </c>
      <c r="E85" s="10"/>
      <c r="F85" s="10"/>
      <c r="G85" s="8" t="str">
        <f>IF(OR($E85="",$F85=""),"",IFERROR(IF($E85=INDEX(Cluster_Master!$A$4:$A$18,MATCH($F85,Cluster_Master!$B$4:$B$18,0)),"OK","CHECK"),"CHECK"))</f>
        <v/>
      </c>
      <c r="H85" s="11" t="str">
        <f>IFERROR(INDEX(Cluster_Master!$C$4:$C$18,MATCH($F85,Cluster_Master!$B$4:$B$18,0)),"")</f>
        <v/>
      </c>
      <c r="I85" s="8" t="str">
        <f>IFERROR(INDEX(Cluster_Master!$D$4:$D$18,MATCH($F85,Cluster_Master!$B$4:$B$18,0)),"")</f>
        <v/>
      </c>
      <c r="J85" s="8" t="str">
        <f>IFERROR(INDEX(Cluster_Master!$E$4:$E$18,MATCH($F85,Cluster_Master!$B$4:$B$18,0)),"")</f>
        <v/>
      </c>
      <c r="K85" s="8" t="str">
        <f>IFERROR(INDEX(Cluster_Master!$F$4:$F$18,MATCH($F85,Cluster_Master!$B$4:$B$18,0)),"")</f>
        <v/>
      </c>
      <c r="L85" s="8" t="str">
        <f>IFERROR(INDEX(Cluster_Master!$G$4:$G$18,MATCH($F85,Cluster_Master!$B$4:$B$18,0)),"")</f>
        <v/>
      </c>
      <c r="M85" s="8" t="str">
        <f>IFERROR(INDEX(Cluster_Master!$H$4:$H$18,MATCH($F85,Cluster_Master!$B$4:$B$18,0)),"")</f>
        <v/>
      </c>
      <c r="N85" s="12"/>
      <c r="O85" s="12"/>
      <c r="P85" s="12"/>
      <c r="Q85" s="12"/>
      <c r="R85" s="12"/>
      <c r="S85" s="12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8" t="str">
        <f t="shared" si="19"/>
        <v/>
      </c>
      <c r="AJ85" s="14" t="str">
        <f t="shared" si="20"/>
        <v/>
      </c>
      <c r="AK85" s="14" t="str">
        <f>IF(COUNTA(T85:AH85)=0,"",(SUM(T85*KPI_Weights!$B$4,U85*KPI_Weights!$B$5,V85*KPI_Weights!$B$6,W85*KPI_Weights!$B$7,X85*KPI_Weights!$B$8,Y85*KPI_Weights!$B$9,Z85*KPI_Weights!$B$10,AA85*KPI_Weights!$B$11,AB85*KPI_Weights!$B$12,AC85*KPI_Weights!$B$13,AD85*KPI_Weights!$B$14,AE85*KPI_Weights!$B$15,AF85*KPI_Weights!$B$16,AG85*KPI_Weights!$B$17,AH85*KPI_Weights!$B$18))/5)</f>
        <v/>
      </c>
      <c r="AL85" s="8" t="str">
        <f t="shared" si="21"/>
        <v/>
      </c>
      <c r="AM85" s="8" t="str">
        <f t="shared" si="22"/>
        <v/>
      </c>
      <c r="AN85" s="8" t="str">
        <f t="shared" si="23"/>
        <v/>
      </c>
      <c r="AO85" s="12"/>
      <c r="AP85" s="12"/>
      <c r="AQ85" s="12"/>
      <c r="AR85" s="12"/>
      <c r="AS85" s="12"/>
      <c r="AT85" s="15"/>
      <c r="AU85" s="12"/>
      <c r="AV85" s="16"/>
      <c r="AW85" s="12"/>
      <c r="AX85" s="15"/>
      <c r="AY85" s="15"/>
      <c r="AZ85" s="15"/>
      <c r="BA85" s="15"/>
      <c r="BB85" s="15"/>
      <c r="BC85" s="15"/>
      <c r="BD85" s="15"/>
      <c r="BE85" s="15"/>
      <c r="BF85" s="15"/>
    </row>
    <row r="86" spans="1:58" ht="19.5" customHeight="1" x14ac:dyDescent="0.2">
      <c r="A86" s="8" t="str">
        <f>IF($B86="","",TEXT($B86,"yyyymmdd")&amp;"-"&amp;SUBSTITUTE($F86," ","")&amp;"-"&amp;TEXT(COUNTIF($F$4:F86,$F86),"00"))</f>
        <v/>
      </c>
      <c r="B86" s="9"/>
      <c r="C86" s="8" t="str">
        <f t="shared" si="17"/>
        <v/>
      </c>
      <c r="D86" s="8" t="str">
        <f t="shared" si="18"/>
        <v/>
      </c>
      <c r="E86" s="10"/>
      <c r="F86" s="10"/>
      <c r="G86" s="8" t="str">
        <f>IF(OR($E86="",$F86=""),"",IFERROR(IF($E86=INDEX(Cluster_Master!$A$4:$A$18,MATCH($F86,Cluster_Master!$B$4:$B$18,0)),"OK","CHECK"),"CHECK"))</f>
        <v/>
      </c>
      <c r="H86" s="11" t="str">
        <f>IFERROR(INDEX(Cluster_Master!$C$4:$C$18,MATCH($F86,Cluster_Master!$B$4:$B$18,0)),"")</f>
        <v/>
      </c>
      <c r="I86" s="8" t="str">
        <f>IFERROR(INDEX(Cluster_Master!$D$4:$D$18,MATCH($F86,Cluster_Master!$B$4:$B$18,0)),"")</f>
        <v/>
      </c>
      <c r="J86" s="8" t="str">
        <f>IFERROR(INDEX(Cluster_Master!$E$4:$E$18,MATCH($F86,Cluster_Master!$B$4:$B$18,0)),"")</f>
        <v/>
      </c>
      <c r="K86" s="8" t="str">
        <f>IFERROR(INDEX(Cluster_Master!$F$4:$F$18,MATCH($F86,Cluster_Master!$B$4:$B$18,0)),"")</f>
        <v/>
      </c>
      <c r="L86" s="8" t="str">
        <f>IFERROR(INDEX(Cluster_Master!$G$4:$G$18,MATCH($F86,Cluster_Master!$B$4:$B$18,0)),"")</f>
        <v/>
      </c>
      <c r="M86" s="8" t="str">
        <f>IFERROR(INDEX(Cluster_Master!$H$4:$H$18,MATCH($F86,Cluster_Master!$B$4:$B$18,0)),"")</f>
        <v/>
      </c>
      <c r="N86" s="12"/>
      <c r="O86" s="12"/>
      <c r="P86" s="12"/>
      <c r="Q86" s="12"/>
      <c r="R86" s="12"/>
      <c r="S86" s="12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8" t="str">
        <f t="shared" si="19"/>
        <v/>
      </c>
      <c r="AJ86" s="14" t="str">
        <f t="shared" si="20"/>
        <v/>
      </c>
      <c r="AK86" s="14" t="str">
        <f>IF(COUNTA(T86:AH86)=0,"",(SUM(T86*KPI_Weights!$B$4,U86*KPI_Weights!$B$5,V86*KPI_Weights!$B$6,W86*KPI_Weights!$B$7,X86*KPI_Weights!$B$8,Y86*KPI_Weights!$B$9,Z86*KPI_Weights!$B$10,AA86*KPI_Weights!$B$11,AB86*KPI_Weights!$B$12,AC86*KPI_Weights!$B$13,AD86*KPI_Weights!$B$14,AE86*KPI_Weights!$B$15,AF86*KPI_Weights!$B$16,AG86*KPI_Weights!$B$17,AH86*KPI_Weights!$B$18))/5)</f>
        <v/>
      </c>
      <c r="AL86" s="8" t="str">
        <f t="shared" si="21"/>
        <v/>
      </c>
      <c r="AM86" s="8" t="str">
        <f t="shared" si="22"/>
        <v/>
      </c>
      <c r="AN86" s="8" t="str">
        <f t="shared" si="23"/>
        <v/>
      </c>
      <c r="AO86" s="12"/>
      <c r="AP86" s="12"/>
      <c r="AQ86" s="12"/>
      <c r="AR86" s="12"/>
      <c r="AS86" s="12"/>
      <c r="AT86" s="15"/>
      <c r="AU86" s="12"/>
      <c r="AV86" s="16"/>
      <c r="AW86" s="12"/>
      <c r="AX86" s="15"/>
      <c r="AY86" s="15"/>
      <c r="AZ86" s="15"/>
      <c r="BA86" s="15"/>
      <c r="BB86" s="15"/>
      <c r="BC86" s="15"/>
      <c r="BD86" s="15"/>
      <c r="BE86" s="15"/>
      <c r="BF86" s="15"/>
    </row>
    <row r="87" spans="1:58" ht="19.5" customHeight="1" x14ac:dyDescent="0.2">
      <c r="A87" s="8" t="str">
        <f>IF($B87="","",TEXT($B87,"yyyymmdd")&amp;"-"&amp;SUBSTITUTE($F87," ","")&amp;"-"&amp;TEXT(COUNTIF($F$4:F87,$F87),"00"))</f>
        <v/>
      </c>
      <c r="B87" s="9"/>
      <c r="C87" s="8" t="str">
        <f t="shared" si="17"/>
        <v/>
      </c>
      <c r="D87" s="8" t="str">
        <f t="shared" si="18"/>
        <v/>
      </c>
      <c r="E87" s="10"/>
      <c r="F87" s="10"/>
      <c r="G87" s="8" t="str">
        <f>IF(OR($E87="",$F87=""),"",IFERROR(IF($E87=INDEX(Cluster_Master!$A$4:$A$18,MATCH($F87,Cluster_Master!$B$4:$B$18,0)),"OK","CHECK"),"CHECK"))</f>
        <v/>
      </c>
      <c r="H87" s="11" t="str">
        <f>IFERROR(INDEX(Cluster_Master!$C$4:$C$18,MATCH($F87,Cluster_Master!$B$4:$B$18,0)),"")</f>
        <v/>
      </c>
      <c r="I87" s="8" t="str">
        <f>IFERROR(INDEX(Cluster_Master!$D$4:$D$18,MATCH($F87,Cluster_Master!$B$4:$B$18,0)),"")</f>
        <v/>
      </c>
      <c r="J87" s="8" t="str">
        <f>IFERROR(INDEX(Cluster_Master!$E$4:$E$18,MATCH($F87,Cluster_Master!$B$4:$B$18,0)),"")</f>
        <v/>
      </c>
      <c r="K87" s="8" t="str">
        <f>IFERROR(INDEX(Cluster_Master!$F$4:$F$18,MATCH($F87,Cluster_Master!$B$4:$B$18,0)),"")</f>
        <v/>
      </c>
      <c r="L87" s="8" t="str">
        <f>IFERROR(INDEX(Cluster_Master!$G$4:$G$18,MATCH($F87,Cluster_Master!$B$4:$B$18,0)),"")</f>
        <v/>
      </c>
      <c r="M87" s="8" t="str">
        <f>IFERROR(INDEX(Cluster_Master!$H$4:$H$18,MATCH($F87,Cluster_Master!$B$4:$B$18,0)),"")</f>
        <v/>
      </c>
      <c r="N87" s="12"/>
      <c r="O87" s="12"/>
      <c r="P87" s="12"/>
      <c r="Q87" s="12"/>
      <c r="R87" s="12"/>
      <c r="S87" s="12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8" t="str">
        <f t="shared" si="19"/>
        <v/>
      </c>
      <c r="AJ87" s="14" t="str">
        <f t="shared" si="20"/>
        <v/>
      </c>
      <c r="AK87" s="14" t="str">
        <f>IF(COUNTA(T87:AH87)=0,"",(SUM(T87*KPI_Weights!$B$4,U87*KPI_Weights!$B$5,V87*KPI_Weights!$B$6,W87*KPI_Weights!$B$7,X87*KPI_Weights!$B$8,Y87*KPI_Weights!$B$9,Z87*KPI_Weights!$B$10,AA87*KPI_Weights!$B$11,AB87*KPI_Weights!$B$12,AC87*KPI_Weights!$B$13,AD87*KPI_Weights!$B$14,AE87*KPI_Weights!$B$15,AF87*KPI_Weights!$B$16,AG87*KPI_Weights!$B$17,AH87*KPI_Weights!$B$18))/5)</f>
        <v/>
      </c>
      <c r="AL87" s="8" t="str">
        <f t="shared" si="21"/>
        <v/>
      </c>
      <c r="AM87" s="8" t="str">
        <f t="shared" si="22"/>
        <v/>
      </c>
      <c r="AN87" s="8" t="str">
        <f t="shared" si="23"/>
        <v/>
      </c>
      <c r="AO87" s="12"/>
      <c r="AP87" s="12"/>
      <c r="AQ87" s="12"/>
      <c r="AR87" s="12"/>
      <c r="AS87" s="12"/>
      <c r="AT87" s="15"/>
      <c r="AU87" s="12"/>
      <c r="AV87" s="16"/>
      <c r="AW87" s="12"/>
      <c r="AX87" s="15"/>
      <c r="AY87" s="15"/>
      <c r="AZ87" s="15"/>
      <c r="BA87" s="15"/>
      <c r="BB87" s="15"/>
      <c r="BC87" s="15"/>
      <c r="BD87" s="15"/>
      <c r="BE87" s="15"/>
      <c r="BF87" s="15"/>
    </row>
    <row r="88" spans="1:58" ht="19.5" customHeight="1" x14ac:dyDescent="0.2">
      <c r="A88" s="8" t="str">
        <f>IF($B88="","",TEXT($B88,"yyyymmdd")&amp;"-"&amp;SUBSTITUTE($F88," ","")&amp;"-"&amp;TEXT(COUNTIF($F$4:F88,$F88),"00"))</f>
        <v/>
      </c>
      <c r="B88" s="9"/>
      <c r="C88" s="8" t="str">
        <f t="shared" si="17"/>
        <v/>
      </c>
      <c r="D88" s="8" t="str">
        <f t="shared" si="18"/>
        <v/>
      </c>
      <c r="E88" s="10"/>
      <c r="F88" s="10"/>
      <c r="G88" s="8" t="str">
        <f>IF(OR($E88="",$F88=""),"",IFERROR(IF($E88=INDEX(Cluster_Master!$A$4:$A$18,MATCH($F88,Cluster_Master!$B$4:$B$18,0)),"OK","CHECK"),"CHECK"))</f>
        <v/>
      </c>
      <c r="H88" s="11" t="str">
        <f>IFERROR(INDEX(Cluster_Master!$C$4:$C$18,MATCH($F88,Cluster_Master!$B$4:$B$18,0)),"")</f>
        <v/>
      </c>
      <c r="I88" s="8" t="str">
        <f>IFERROR(INDEX(Cluster_Master!$D$4:$D$18,MATCH($F88,Cluster_Master!$B$4:$B$18,0)),"")</f>
        <v/>
      </c>
      <c r="J88" s="8" t="str">
        <f>IFERROR(INDEX(Cluster_Master!$E$4:$E$18,MATCH($F88,Cluster_Master!$B$4:$B$18,0)),"")</f>
        <v/>
      </c>
      <c r="K88" s="8" t="str">
        <f>IFERROR(INDEX(Cluster_Master!$F$4:$F$18,MATCH($F88,Cluster_Master!$B$4:$B$18,0)),"")</f>
        <v/>
      </c>
      <c r="L88" s="8" t="str">
        <f>IFERROR(INDEX(Cluster_Master!$G$4:$G$18,MATCH($F88,Cluster_Master!$B$4:$B$18,0)),"")</f>
        <v/>
      </c>
      <c r="M88" s="8" t="str">
        <f>IFERROR(INDEX(Cluster_Master!$H$4:$H$18,MATCH($F88,Cluster_Master!$B$4:$B$18,0)),"")</f>
        <v/>
      </c>
      <c r="N88" s="12"/>
      <c r="O88" s="12"/>
      <c r="P88" s="12"/>
      <c r="Q88" s="12"/>
      <c r="R88" s="12"/>
      <c r="S88" s="12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8" t="str">
        <f t="shared" si="19"/>
        <v/>
      </c>
      <c r="AJ88" s="14" t="str">
        <f t="shared" si="20"/>
        <v/>
      </c>
      <c r="AK88" s="14" t="str">
        <f>IF(COUNTA(T88:AH88)=0,"",(SUM(T88*KPI_Weights!$B$4,U88*KPI_Weights!$B$5,V88*KPI_Weights!$B$6,W88*KPI_Weights!$B$7,X88*KPI_Weights!$B$8,Y88*KPI_Weights!$B$9,Z88*KPI_Weights!$B$10,AA88*KPI_Weights!$B$11,AB88*KPI_Weights!$B$12,AC88*KPI_Weights!$B$13,AD88*KPI_Weights!$B$14,AE88*KPI_Weights!$B$15,AF88*KPI_Weights!$B$16,AG88*KPI_Weights!$B$17,AH88*KPI_Weights!$B$18))/5)</f>
        <v/>
      </c>
      <c r="AL88" s="8" t="str">
        <f t="shared" si="21"/>
        <v/>
      </c>
      <c r="AM88" s="8" t="str">
        <f t="shared" si="22"/>
        <v/>
      </c>
      <c r="AN88" s="8" t="str">
        <f t="shared" si="23"/>
        <v/>
      </c>
      <c r="AO88" s="12"/>
      <c r="AP88" s="12"/>
      <c r="AQ88" s="12"/>
      <c r="AR88" s="12"/>
      <c r="AS88" s="12"/>
      <c r="AT88" s="15"/>
      <c r="AU88" s="12"/>
      <c r="AV88" s="16"/>
      <c r="AW88" s="12"/>
      <c r="AX88" s="15"/>
      <c r="AY88" s="15"/>
      <c r="AZ88" s="15"/>
      <c r="BA88" s="15"/>
      <c r="BB88" s="15"/>
      <c r="BC88" s="15"/>
      <c r="BD88" s="15"/>
      <c r="BE88" s="15"/>
      <c r="BF88" s="15"/>
    </row>
    <row r="89" spans="1:58" ht="19.5" customHeight="1" x14ac:dyDescent="0.2">
      <c r="A89" s="8" t="str">
        <f>IF($B89="","",TEXT($B89,"yyyymmdd")&amp;"-"&amp;SUBSTITUTE($F89," ","")&amp;"-"&amp;TEXT(COUNTIF($F$4:F89,$F89),"00"))</f>
        <v/>
      </c>
      <c r="B89" s="9"/>
      <c r="C89" s="8" t="str">
        <f t="shared" si="17"/>
        <v/>
      </c>
      <c r="D89" s="8" t="str">
        <f t="shared" si="18"/>
        <v/>
      </c>
      <c r="E89" s="10"/>
      <c r="F89" s="10"/>
      <c r="G89" s="8" t="str">
        <f>IF(OR($E89="",$F89=""),"",IFERROR(IF($E89=INDEX(Cluster_Master!$A$4:$A$18,MATCH($F89,Cluster_Master!$B$4:$B$18,0)),"OK","CHECK"),"CHECK"))</f>
        <v/>
      </c>
      <c r="H89" s="11" t="str">
        <f>IFERROR(INDEX(Cluster_Master!$C$4:$C$18,MATCH($F89,Cluster_Master!$B$4:$B$18,0)),"")</f>
        <v/>
      </c>
      <c r="I89" s="8" t="str">
        <f>IFERROR(INDEX(Cluster_Master!$D$4:$D$18,MATCH($F89,Cluster_Master!$B$4:$B$18,0)),"")</f>
        <v/>
      </c>
      <c r="J89" s="8" t="str">
        <f>IFERROR(INDEX(Cluster_Master!$E$4:$E$18,MATCH($F89,Cluster_Master!$B$4:$B$18,0)),"")</f>
        <v/>
      </c>
      <c r="K89" s="8" t="str">
        <f>IFERROR(INDEX(Cluster_Master!$F$4:$F$18,MATCH($F89,Cluster_Master!$B$4:$B$18,0)),"")</f>
        <v/>
      </c>
      <c r="L89" s="8" t="str">
        <f>IFERROR(INDEX(Cluster_Master!$G$4:$G$18,MATCH($F89,Cluster_Master!$B$4:$B$18,0)),"")</f>
        <v/>
      </c>
      <c r="M89" s="8" t="str">
        <f>IFERROR(INDEX(Cluster_Master!$H$4:$H$18,MATCH($F89,Cluster_Master!$B$4:$B$18,0)),"")</f>
        <v/>
      </c>
      <c r="N89" s="12"/>
      <c r="O89" s="12"/>
      <c r="P89" s="12"/>
      <c r="Q89" s="12"/>
      <c r="R89" s="12"/>
      <c r="S89" s="12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8" t="str">
        <f t="shared" si="19"/>
        <v/>
      </c>
      <c r="AJ89" s="14" t="str">
        <f t="shared" si="20"/>
        <v/>
      </c>
      <c r="AK89" s="14" t="str">
        <f>IF(COUNTA(T89:AH89)=0,"",(SUM(T89*KPI_Weights!$B$4,U89*KPI_Weights!$B$5,V89*KPI_Weights!$B$6,W89*KPI_Weights!$B$7,X89*KPI_Weights!$B$8,Y89*KPI_Weights!$B$9,Z89*KPI_Weights!$B$10,AA89*KPI_Weights!$B$11,AB89*KPI_Weights!$B$12,AC89*KPI_Weights!$B$13,AD89*KPI_Weights!$B$14,AE89*KPI_Weights!$B$15,AF89*KPI_Weights!$B$16,AG89*KPI_Weights!$B$17,AH89*KPI_Weights!$B$18))/5)</f>
        <v/>
      </c>
      <c r="AL89" s="8" t="str">
        <f t="shared" si="21"/>
        <v/>
      </c>
      <c r="AM89" s="8" t="str">
        <f t="shared" si="22"/>
        <v/>
      </c>
      <c r="AN89" s="8" t="str">
        <f t="shared" si="23"/>
        <v/>
      </c>
      <c r="AO89" s="12"/>
      <c r="AP89" s="12"/>
      <c r="AQ89" s="12"/>
      <c r="AR89" s="12"/>
      <c r="AS89" s="12"/>
      <c r="AT89" s="15"/>
      <c r="AU89" s="12"/>
      <c r="AV89" s="16"/>
      <c r="AW89" s="12"/>
      <c r="AX89" s="15"/>
      <c r="AY89" s="15"/>
      <c r="AZ89" s="15"/>
      <c r="BA89" s="15"/>
      <c r="BB89" s="15"/>
      <c r="BC89" s="15"/>
      <c r="BD89" s="15"/>
      <c r="BE89" s="15"/>
      <c r="BF89" s="15"/>
    </row>
    <row r="90" spans="1:58" ht="19.5" customHeight="1" x14ac:dyDescent="0.2">
      <c r="A90" s="8" t="str">
        <f>IF($B90="","",TEXT($B90,"yyyymmdd")&amp;"-"&amp;SUBSTITUTE($F90," ","")&amp;"-"&amp;TEXT(COUNTIF($F$4:F90,$F90),"00"))</f>
        <v/>
      </c>
      <c r="B90" s="9"/>
      <c r="C90" s="8" t="str">
        <f t="shared" si="17"/>
        <v/>
      </c>
      <c r="D90" s="8" t="str">
        <f t="shared" si="18"/>
        <v/>
      </c>
      <c r="E90" s="10"/>
      <c r="F90" s="10"/>
      <c r="G90" s="8" t="str">
        <f>IF(OR($E90="",$F90=""),"",IFERROR(IF($E90=INDEX(Cluster_Master!$A$4:$A$18,MATCH($F90,Cluster_Master!$B$4:$B$18,0)),"OK","CHECK"),"CHECK"))</f>
        <v/>
      </c>
      <c r="H90" s="11" t="str">
        <f>IFERROR(INDEX(Cluster_Master!$C$4:$C$18,MATCH($F90,Cluster_Master!$B$4:$B$18,0)),"")</f>
        <v/>
      </c>
      <c r="I90" s="8" t="str">
        <f>IFERROR(INDEX(Cluster_Master!$D$4:$D$18,MATCH($F90,Cluster_Master!$B$4:$B$18,0)),"")</f>
        <v/>
      </c>
      <c r="J90" s="8" t="str">
        <f>IFERROR(INDEX(Cluster_Master!$E$4:$E$18,MATCH($F90,Cluster_Master!$B$4:$B$18,0)),"")</f>
        <v/>
      </c>
      <c r="K90" s="8" t="str">
        <f>IFERROR(INDEX(Cluster_Master!$F$4:$F$18,MATCH($F90,Cluster_Master!$B$4:$B$18,0)),"")</f>
        <v/>
      </c>
      <c r="L90" s="8" t="str">
        <f>IFERROR(INDEX(Cluster_Master!$G$4:$G$18,MATCH($F90,Cluster_Master!$B$4:$B$18,0)),"")</f>
        <v/>
      </c>
      <c r="M90" s="8" t="str">
        <f>IFERROR(INDEX(Cluster_Master!$H$4:$H$18,MATCH($F90,Cluster_Master!$B$4:$B$18,0)),"")</f>
        <v/>
      </c>
      <c r="N90" s="12"/>
      <c r="O90" s="12"/>
      <c r="P90" s="12"/>
      <c r="Q90" s="12"/>
      <c r="R90" s="12"/>
      <c r="S90" s="12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8" t="str">
        <f t="shared" si="19"/>
        <v/>
      </c>
      <c r="AJ90" s="14" t="str">
        <f t="shared" si="20"/>
        <v/>
      </c>
      <c r="AK90" s="14" t="str">
        <f>IF(COUNTA(T90:AH90)=0,"",(SUM(T90*KPI_Weights!$B$4,U90*KPI_Weights!$B$5,V90*KPI_Weights!$B$6,W90*KPI_Weights!$B$7,X90*KPI_Weights!$B$8,Y90*KPI_Weights!$B$9,Z90*KPI_Weights!$B$10,AA90*KPI_Weights!$B$11,AB90*KPI_Weights!$B$12,AC90*KPI_Weights!$B$13,AD90*KPI_Weights!$B$14,AE90*KPI_Weights!$B$15,AF90*KPI_Weights!$B$16,AG90*KPI_Weights!$B$17,AH90*KPI_Weights!$B$18))/5)</f>
        <v/>
      </c>
      <c r="AL90" s="8" t="str">
        <f t="shared" si="21"/>
        <v/>
      </c>
      <c r="AM90" s="8" t="str">
        <f t="shared" si="22"/>
        <v/>
      </c>
      <c r="AN90" s="8" t="str">
        <f t="shared" si="23"/>
        <v/>
      </c>
      <c r="AO90" s="12"/>
      <c r="AP90" s="12"/>
      <c r="AQ90" s="12"/>
      <c r="AR90" s="12"/>
      <c r="AS90" s="12"/>
      <c r="AT90" s="15"/>
      <c r="AU90" s="12"/>
      <c r="AV90" s="16"/>
      <c r="AW90" s="12"/>
      <c r="AX90" s="15"/>
      <c r="AY90" s="15"/>
      <c r="AZ90" s="15"/>
      <c r="BA90" s="15"/>
      <c r="BB90" s="15"/>
      <c r="BC90" s="15"/>
      <c r="BD90" s="15"/>
      <c r="BE90" s="15"/>
      <c r="BF90" s="15"/>
    </row>
    <row r="91" spans="1:58" ht="19.5" customHeight="1" x14ac:dyDescent="0.2">
      <c r="A91" s="8" t="str">
        <f>IF($B91="","",TEXT($B91,"yyyymmdd")&amp;"-"&amp;SUBSTITUTE($F91," ","")&amp;"-"&amp;TEXT(COUNTIF($F$4:F91,$F91),"00"))</f>
        <v/>
      </c>
      <c r="B91" s="9"/>
      <c r="C91" s="8" t="str">
        <f t="shared" si="17"/>
        <v/>
      </c>
      <c r="D91" s="8" t="str">
        <f t="shared" si="18"/>
        <v/>
      </c>
      <c r="E91" s="10"/>
      <c r="F91" s="10"/>
      <c r="G91" s="8" t="str">
        <f>IF(OR($E91="",$F91=""),"",IFERROR(IF($E91=INDEX(Cluster_Master!$A$4:$A$18,MATCH($F91,Cluster_Master!$B$4:$B$18,0)),"OK","CHECK"),"CHECK"))</f>
        <v/>
      </c>
      <c r="H91" s="11" t="str">
        <f>IFERROR(INDEX(Cluster_Master!$C$4:$C$18,MATCH($F91,Cluster_Master!$B$4:$B$18,0)),"")</f>
        <v/>
      </c>
      <c r="I91" s="8" t="str">
        <f>IFERROR(INDEX(Cluster_Master!$D$4:$D$18,MATCH($F91,Cluster_Master!$B$4:$B$18,0)),"")</f>
        <v/>
      </c>
      <c r="J91" s="8" t="str">
        <f>IFERROR(INDEX(Cluster_Master!$E$4:$E$18,MATCH($F91,Cluster_Master!$B$4:$B$18,0)),"")</f>
        <v/>
      </c>
      <c r="K91" s="8" t="str">
        <f>IFERROR(INDEX(Cluster_Master!$F$4:$F$18,MATCH($F91,Cluster_Master!$B$4:$B$18,0)),"")</f>
        <v/>
      </c>
      <c r="L91" s="8" t="str">
        <f>IFERROR(INDEX(Cluster_Master!$G$4:$G$18,MATCH($F91,Cluster_Master!$B$4:$B$18,0)),"")</f>
        <v/>
      </c>
      <c r="M91" s="8" t="str">
        <f>IFERROR(INDEX(Cluster_Master!$H$4:$H$18,MATCH($F91,Cluster_Master!$B$4:$B$18,0)),"")</f>
        <v/>
      </c>
      <c r="N91" s="12"/>
      <c r="O91" s="12"/>
      <c r="P91" s="12"/>
      <c r="Q91" s="12"/>
      <c r="R91" s="12"/>
      <c r="S91" s="12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8" t="str">
        <f t="shared" si="19"/>
        <v/>
      </c>
      <c r="AJ91" s="14" t="str">
        <f t="shared" si="20"/>
        <v/>
      </c>
      <c r="AK91" s="14" t="str">
        <f>IF(COUNTA(T91:AH91)=0,"",(SUM(T91*KPI_Weights!$B$4,U91*KPI_Weights!$B$5,V91*KPI_Weights!$B$6,W91*KPI_Weights!$B$7,X91*KPI_Weights!$B$8,Y91*KPI_Weights!$B$9,Z91*KPI_Weights!$B$10,AA91*KPI_Weights!$B$11,AB91*KPI_Weights!$B$12,AC91*KPI_Weights!$B$13,AD91*KPI_Weights!$B$14,AE91*KPI_Weights!$B$15,AF91*KPI_Weights!$B$16,AG91*KPI_Weights!$B$17,AH91*KPI_Weights!$B$18))/5)</f>
        <v/>
      </c>
      <c r="AL91" s="8" t="str">
        <f t="shared" si="21"/>
        <v/>
      </c>
      <c r="AM91" s="8" t="str">
        <f t="shared" si="22"/>
        <v/>
      </c>
      <c r="AN91" s="8" t="str">
        <f t="shared" si="23"/>
        <v/>
      </c>
      <c r="AO91" s="12"/>
      <c r="AP91" s="12"/>
      <c r="AQ91" s="12"/>
      <c r="AR91" s="12"/>
      <c r="AS91" s="12"/>
      <c r="AT91" s="15"/>
      <c r="AU91" s="12"/>
      <c r="AV91" s="16"/>
      <c r="AW91" s="12"/>
      <c r="AX91" s="15"/>
      <c r="AY91" s="15"/>
      <c r="AZ91" s="15"/>
      <c r="BA91" s="15"/>
      <c r="BB91" s="15"/>
      <c r="BC91" s="15"/>
      <c r="BD91" s="15"/>
      <c r="BE91" s="15"/>
      <c r="BF91" s="15"/>
    </row>
    <row r="92" spans="1:58" ht="19.5" customHeight="1" x14ac:dyDescent="0.2">
      <c r="A92" s="8" t="str">
        <f>IF($B92="","",TEXT($B92,"yyyymmdd")&amp;"-"&amp;SUBSTITUTE($F92," ","")&amp;"-"&amp;TEXT(COUNTIF($F$4:F92,$F92),"00"))</f>
        <v/>
      </c>
      <c r="B92" s="9"/>
      <c r="C92" s="8" t="str">
        <f t="shared" si="17"/>
        <v/>
      </c>
      <c r="D92" s="8" t="str">
        <f t="shared" si="18"/>
        <v/>
      </c>
      <c r="E92" s="10"/>
      <c r="F92" s="10"/>
      <c r="G92" s="8" t="str">
        <f>IF(OR($E92="",$F92=""),"",IFERROR(IF($E92=INDEX(Cluster_Master!$A$4:$A$18,MATCH($F92,Cluster_Master!$B$4:$B$18,0)),"OK","CHECK"),"CHECK"))</f>
        <v/>
      </c>
      <c r="H92" s="11" t="str">
        <f>IFERROR(INDEX(Cluster_Master!$C$4:$C$18,MATCH($F92,Cluster_Master!$B$4:$B$18,0)),"")</f>
        <v/>
      </c>
      <c r="I92" s="8" t="str">
        <f>IFERROR(INDEX(Cluster_Master!$D$4:$D$18,MATCH($F92,Cluster_Master!$B$4:$B$18,0)),"")</f>
        <v/>
      </c>
      <c r="J92" s="8" t="str">
        <f>IFERROR(INDEX(Cluster_Master!$E$4:$E$18,MATCH($F92,Cluster_Master!$B$4:$B$18,0)),"")</f>
        <v/>
      </c>
      <c r="K92" s="8" t="str">
        <f>IFERROR(INDEX(Cluster_Master!$F$4:$F$18,MATCH($F92,Cluster_Master!$B$4:$B$18,0)),"")</f>
        <v/>
      </c>
      <c r="L92" s="8" t="str">
        <f>IFERROR(INDEX(Cluster_Master!$G$4:$G$18,MATCH($F92,Cluster_Master!$B$4:$B$18,0)),"")</f>
        <v/>
      </c>
      <c r="M92" s="8" t="str">
        <f>IFERROR(INDEX(Cluster_Master!$H$4:$H$18,MATCH($F92,Cluster_Master!$B$4:$B$18,0)),"")</f>
        <v/>
      </c>
      <c r="N92" s="12"/>
      <c r="O92" s="12"/>
      <c r="P92" s="12"/>
      <c r="Q92" s="12"/>
      <c r="R92" s="12"/>
      <c r="S92" s="12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8" t="str">
        <f t="shared" si="19"/>
        <v/>
      </c>
      <c r="AJ92" s="14" t="str">
        <f t="shared" si="20"/>
        <v/>
      </c>
      <c r="AK92" s="14" t="str">
        <f>IF(COUNTA(T92:AH92)=0,"",(SUM(T92*KPI_Weights!$B$4,U92*KPI_Weights!$B$5,V92*KPI_Weights!$B$6,W92*KPI_Weights!$B$7,X92*KPI_Weights!$B$8,Y92*KPI_Weights!$B$9,Z92*KPI_Weights!$B$10,AA92*KPI_Weights!$B$11,AB92*KPI_Weights!$B$12,AC92*KPI_Weights!$B$13,AD92*KPI_Weights!$B$14,AE92*KPI_Weights!$B$15,AF92*KPI_Weights!$B$16,AG92*KPI_Weights!$B$17,AH92*KPI_Weights!$B$18))/5)</f>
        <v/>
      </c>
      <c r="AL92" s="8" t="str">
        <f t="shared" si="21"/>
        <v/>
      </c>
      <c r="AM92" s="8" t="str">
        <f t="shared" si="22"/>
        <v/>
      </c>
      <c r="AN92" s="8" t="str">
        <f t="shared" si="23"/>
        <v/>
      </c>
      <c r="AO92" s="12"/>
      <c r="AP92" s="12"/>
      <c r="AQ92" s="12"/>
      <c r="AR92" s="12"/>
      <c r="AS92" s="12"/>
      <c r="AT92" s="15"/>
      <c r="AU92" s="12"/>
      <c r="AV92" s="16"/>
      <c r="AW92" s="12"/>
      <c r="AX92" s="15"/>
      <c r="AY92" s="15"/>
      <c r="AZ92" s="15"/>
      <c r="BA92" s="15"/>
      <c r="BB92" s="15"/>
      <c r="BC92" s="15"/>
      <c r="BD92" s="15"/>
      <c r="BE92" s="15"/>
      <c r="BF92" s="15"/>
    </row>
    <row r="93" spans="1:58" ht="19.5" customHeight="1" x14ac:dyDescent="0.2">
      <c r="A93" s="8" t="str">
        <f>IF($B93="","",TEXT($B93,"yyyymmdd")&amp;"-"&amp;SUBSTITUTE($F93," ","")&amp;"-"&amp;TEXT(COUNTIF($F$4:F93,$F93),"00"))</f>
        <v/>
      </c>
      <c r="B93" s="9"/>
      <c r="C93" s="8" t="str">
        <f t="shared" si="17"/>
        <v/>
      </c>
      <c r="D93" s="8" t="str">
        <f t="shared" si="18"/>
        <v/>
      </c>
      <c r="E93" s="10"/>
      <c r="F93" s="10"/>
      <c r="G93" s="8" t="str">
        <f>IF(OR($E93="",$F93=""),"",IFERROR(IF($E93=INDEX(Cluster_Master!$A$4:$A$18,MATCH($F93,Cluster_Master!$B$4:$B$18,0)),"OK","CHECK"),"CHECK"))</f>
        <v/>
      </c>
      <c r="H93" s="11" t="str">
        <f>IFERROR(INDEX(Cluster_Master!$C$4:$C$18,MATCH($F93,Cluster_Master!$B$4:$B$18,0)),"")</f>
        <v/>
      </c>
      <c r="I93" s="8" t="str">
        <f>IFERROR(INDEX(Cluster_Master!$D$4:$D$18,MATCH($F93,Cluster_Master!$B$4:$B$18,0)),"")</f>
        <v/>
      </c>
      <c r="J93" s="8" t="str">
        <f>IFERROR(INDEX(Cluster_Master!$E$4:$E$18,MATCH($F93,Cluster_Master!$B$4:$B$18,0)),"")</f>
        <v/>
      </c>
      <c r="K93" s="8" t="str">
        <f>IFERROR(INDEX(Cluster_Master!$F$4:$F$18,MATCH($F93,Cluster_Master!$B$4:$B$18,0)),"")</f>
        <v/>
      </c>
      <c r="L93" s="8" t="str">
        <f>IFERROR(INDEX(Cluster_Master!$G$4:$G$18,MATCH($F93,Cluster_Master!$B$4:$B$18,0)),"")</f>
        <v/>
      </c>
      <c r="M93" s="8" t="str">
        <f>IFERROR(INDEX(Cluster_Master!$H$4:$H$18,MATCH($F93,Cluster_Master!$B$4:$B$18,0)),"")</f>
        <v/>
      </c>
      <c r="N93" s="12"/>
      <c r="O93" s="12"/>
      <c r="P93" s="12"/>
      <c r="Q93" s="12"/>
      <c r="R93" s="12"/>
      <c r="S93" s="12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8" t="str">
        <f t="shared" si="19"/>
        <v/>
      </c>
      <c r="AJ93" s="14" t="str">
        <f t="shared" si="20"/>
        <v/>
      </c>
      <c r="AK93" s="14" t="str">
        <f>IF(COUNTA(T93:AH93)=0,"",(SUM(T93*KPI_Weights!$B$4,U93*KPI_Weights!$B$5,V93*KPI_Weights!$B$6,W93*KPI_Weights!$B$7,X93*KPI_Weights!$B$8,Y93*KPI_Weights!$B$9,Z93*KPI_Weights!$B$10,AA93*KPI_Weights!$B$11,AB93*KPI_Weights!$B$12,AC93*KPI_Weights!$B$13,AD93*KPI_Weights!$B$14,AE93*KPI_Weights!$B$15,AF93*KPI_Weights!$B$16,AG93*KPI_Weights!$B$17,AH93*KPI_Weights!$B$18))/5)</f>
        <v/>
      </c>
      <c r="AL93" s="8" t="str">
        <f t="shared" si="21"/>
        <v/>
      </c>
      <c r="AM93" s="8" t="str">
        <f t="shared" si="22"/>
        <v/>
      </c>
      <c r="AN93" s="8" t="str">
        <f t="shared" si="23"/>
        <v/>
      </c>
      <c r="AO93" s="12"/>
      <c r="AP93" s="12"/>
      <c r="AQ93" s="12"/>
      <c r="AR93" s="12"/>
      <c r="AS93" s="12"/>
      <c r="AT93" s="15"/>
      <c r="AU93" s="12"/>
      <c r="AV93" s="16"/>
      <c r="AW93" s="12"/>
      <c r="AX93" s="15"/>
      <c r="AY93" s="15"/>
      <c r="AZ93" s="15"/>
      <c r="BA93" s="15"/>
      <c r="BB93" s="15"/>
      <c r="BC93" s="15"/>
      <c r="BD93" s="15"/>
      <c r="BE93" s="15"/>
      <c r="BF93" s="15"/>
    </row>
    <row r="94" spans="1:58" ht="19.5" customHeight="1" x14ac:dyDescent="0.2">
      <c r="A94" s="8" t="str">
        <f>IF($B94="","",TEXT($B94,"yyyymmdd")&amp;"-"&amp;SUBSTITUTE($F94," ","")&amp;"-"&amp;TEXT(COUNTIF($F$4:F94,$F94),"00"))</f>
        <v/>
      </c>
      <c r="B94" s="9"/>
      <c r="C94" s="8" t="str">
        <f t="shared" si="17"/>
        <v/>
      </c>
      <c r="D94" s="8" t="str">
        <f t="shared" si="18"/>
        <v/>
      </c>
      <c r="E94" s="10"/>
      <c r="F94" s="10"/>
      <c r="G94" s="8" t="str">
        <f>IF(OR($E94="",$F94=""),"",IFERROR(IF($E94=INDEX(Cluster_Master!$A$4:$A$18,MATCH($F94,Cluster_Master!$B$4:$B$18,0)),"OK","CHECK"),"CHECK"))</f>
        <v/>
      </c>
      <c r="H94" s="11" t="str">
        <f>IFERROR(INDEX(Cluster_Master!$C$4:$C$18,MATCH($F94,Cluster_Master!$B$4:$B$18,0)),"")</f>
        <v/>
      </c>
      <c r="I94" s="8" t="str">
        <f>IFERROR(INDEX(Cluster_Master!$D$4:$D$18,MATCH($F94,Cluster_Master!$B$4:$B$18,0)),"")</f>
        <v/>
      </c>
      <c r="J94" s="8" t="str">
        <f>IFERROR(INDEX(Cluster_Master!$E$4:$E$18,MATCH($F94,Cluster_Master!$B$4:$B$18,0)),"")</f>
        <v/>
      </c>
      <c r="K94" s="8" t="str">
        <f>IFERROR(INDEX(Cluster_Master!$F$4:$F$18,MATCH($F94,Cluster_Master!$B$4:$B$18,0)),"")</f>
        <v/>
      </c>
      <c r="L94" s="8" t="str">
        <f>IFERROR(INDEX(Cluster_Master!$G$4:$G$18,MATCH($F94,Cluster_Master!$B$4:$B$18,0)),"")</f>
        <v/>
      </c>
      <c r="M94" s="8" t="str">
        <f>IFERROR(INDEX(Cluster_Master!$H$4:$H$18,MATCH($F94,Cluster_Master!$B$4:$B$18,0)),"")</f>
        <v/>
      </c>
      <c r="N94" s="12"/>
      <c r="O94" s="12"/>
      <c r="P94" s="12"/>
      <c r="Q94" s="12"/>
      <c r="R94" s="12"/>
      <c r="S94" s="12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8" t="str">
        <f t="shared" si="19"/>
        <v/>
      </c>
      <c r="AJ94" s="14" t="str">
        <f t="shared" si="20"/>
        <v/>
      </c>
      <c r="AK94" s="14" t="str">
        <f>IF(COUNTA(T94:AH94)=0,"",(SUM(T94*KPI_Weights!$B$4,U94*KPI_Weights!$B$5,V94*KPI_Weights!$B$6,W94*KPI_Weights!$B$7,X94*KPI_Weights!$B$8,Y94*KPI_Weights!$B$9,Z94*KPI_Weights!$B$10,AA94*KPI_Weights!$B$11,AB94*KPI_Weights!$B$12,AC94*KPI_Weights!$B$13,AD94*KPI_Weights!$B$14,AE94*KPI_Weights!$B$15,AF94*KPI_Weights!$B$16,AG94*KPI_Weights!$B$17,AH94*KPI_Weights!$B$18))/5)</f>
        <v/>
      </c>
      <c r="AL94" s="8" t="str">
        <f t="shared" si="21"/>
        <v/>
      </c>
      <c r="AM94" s="8" t="str">
        <f t="shared" si="22"/>
        <v/>
      </c>
      <c r="AN94" s="8" t="str">
        <f t="shared" si="23"/>
        <v/>
      </c>
      <c r="AO94" s="12"/>
      <c r="AP94" s="12"/>
      <c r="AQ94" s="12"/>
      <c r="AR94" s="12"/>
      <c r="AS94" s="12"/>
      <c r="AT94" s="15"/>
      <c r="AU94" s="12"/>
      <c r="AV94" s="16"/>
      <c r="AW94" s="12"/>
      <c r="AX94" s="15"/>
      <c r="AY94" s="15"/>
      <c r="AZ94" s="15"/>
      <c r="BA94" s="15"/>
      <c r="BB94" s="15"/>
      <c r="BC94" s="15"/>
      <c r="BD94" s="15"/>
      <c r="BE94" s="15"/>
      <c r="BF94" s="15"/>
    </row>
    <row r="95" spans="1:58" ht="19.5" customHeight="1" x14ac:dyDescent="0.2">
      <c r="A95" s="8" t="str">
        <f>IF($B95="","",TEXT($B95,"yyyymmdd")&amp;"-"&amp;SUBSTITUTE($F95," ","")&amp;"-"&amp;TEXT(COUNTIF($F$4:F95,$F95),"00"))</f>
        <v/>
      </c>
      <c r="B95" s="9"/>
      <c r="C95" s="8" t="str">
        <f t="shared" si="17"/>
        <v/>
      </c>
      <c r="D95" s="8" t="str">
        <f t="shared" si="18"/>
        <v/>
      </c>
      <c r="E95" s="10"/>
      <c r="F95" s="10"/>
      <c r="G95" s="8" t="str">
        <f>IF(OR($E95="",$F95=""),"",IFERROR(IF($E95=INDEX(Cluster_Master!$A$4:$A$18,MATCH($F95,Cluster_Master!$B$4:$B$18,0)),"OK","CHECK"),"CHECK"))</f>
        <v/>
      </c>
      <c r="H95" s="11" t="str">
        <f>IFERROR(INDEX(Cluster_Master!$C$4:$C$18,MATCH($F95,Cluster_Master!$B$4:$B$18,0)),"")</f>
        <v/>
      </c>
      <c r="I95" s="8" t="str">
        <f>IFERROR(INDEX(Cluster_Master!$D$4:$D$18,MATCH($F95,Cluster_Master!$B$4:$B$18,0)),"")</f>
        <v/>
      </c>
      <c r="J95" s="8" t="str">
        <f>IFERROR(INDEX(Cluster_Master!$E$4:$E$18,MATCH($F95,Cluster_Master!$B$4:$B$18,0)),"")</f>
        <v/>
      </c>
      <c r="K95" s="8" t="str">
        <f>IFERROR(INDEX(Cluster_Master!$F$4:$F$18,MATCH($F95,Cluster_Master!$B$4:$B$18,0)),"")</f>
        <v/>
      </c>
      <c r="L95" s="8" t="str">
        <f>IFERROR(INDEX(Cluster_Master!$G$4:$G$18,MATCH($F95,Cluster_Master!$B$4:$B$18,0)),"")</f>
        <v/>
      </c>
      <c r="M95" s="8" t="str">
        <f>IFERROR(INDEX(Cluster_Master!$H$4:$H$18,MATCH($F95,Cluster_Master!$B$4:$B$18,0)),"")</f>
        <v/>
      </c>
      <c r="N95" s="12"/>
      <c r="O95" s="12"/>
      <c r="P95" s="12"/>
      <c r="Q95" s="12"/>
      <c r="R95" s="12"/>
      <c r="S95" s="12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8" t="str">
        <f t="shared" si="19"/>
        <v/>
      </c>
      <c r="AJ95" s="14" t="str">
        <f t="shared" si="20"/>
        <v/>
      </c>
      <c r="AK95" s="14" t="str">
        <f>IF(COUNTA(T95:AH95)=0,"",(SUM(T95*KPI_Weights!$B$4,U95*KPI_Weights!$B$5,V95*KPI_Weights!$B$6,W95*KPI_Weights!$B$7,X95*KPI_Weights!$B$8,Y95*KPI_Weights!$B$9,Z95*KPI_Weights!$B$10,AA95*KPI_Weights!$B$11,AB95*KPI_Weights!$B$12,AC95*KPI_Weights!$B$13,AD95*KPI_Weights!$B$14,AE95*KPI_Weights!$B$15,AF95*KPI_Weights!$B$16,AG95*KPI_Weights!$B$17,AH95*KPI_Weights!$B$18))/5)</f>
        <v/>
      </c>
      <c r="AL95" s="8" t="str">
        <f t="shared" si="21"/>
        <v/>
      </c>
      <c r="AM95" s="8" t="str">
        <f t="shared" si="22"/>
        <v/>
      </c>
      <c r="AN95" s="8" t="str">
        <f t="shared" si="23"/>
        <v/>
      </c>
      <c r="AO95" s="12"/>
      <c r="AP95" s="12"/>
      <c r="AQ95" s="12"/>
      <c r="AR95" s="12"/>
      <c r="AS95" s="12"/>
      <c r="AT95" s="15"/>
      <c r="AU95" s="12"/>
      <c r="AV95" s="16"/>
      <c r="AW95" s="12"/>
      <c r="AX95" s="15"/>
      <c r="AY95" s="15"/>
      <c r="AZ95" s="15"/>
      <c r="BA95" s="15"/>
      <c r="BB95" s="15"/>
      <c r="BC95" s="15"/>
      <c r="BD95" s="15"/>
      <c r="BE95" s="15"/>
      <c r="BF95" s="15"/>
    </row>
    <row r="96" spans="1:58" ht="19.5" customHeight="1" x14ac:dyDescent="0.2">
      <c r="A96" s="8" t="str">
        <f>IF($B96="","",TEXT($B96,"yyyymmdd")&amp;"-"&amp;SUBSTITUTE($F96," ","")&amp;"-"&amp;TEXT(COUNTIF($F$4:F96,$F96),"00"))</f>
        <v/>
      </c>
      <c r="B96" s="9"/>
      <c r="C96" s="8" t="str">
        <f t="shared" si="17"/>
        <v/>
      </c>
      <c r="D96" s="8" t="str">
        <f t="shared" si="18"/>
        <v/>
      </c>
      <c r="E96" s="10"/>
      <c r="F96" s="10"/>
      <c r="G96" s="8" t="str">
        <f>IF(OR($E96="",$F96=""),"",IFERROR(IF($E96=INDEX(Cluster_Master!$A$4:$A$18,MATCH($F96,Cluster_Master!$B$4:$B$18,0)),"OK","CHECK"),"CHECK"))</f>
        <v/>
      </c>
      <c r="H96" s="11" t="str">
        <f>IFERROR(INDEX(Cluster_Master!$C$4:$C$18,MATCH($F96,Cluster_Master!$B$4:$B$18,0)),"")</f>
        <v/>
      </c>
      <c r="I96" s="8" t="str">
        <f>IFERROR(INDEX(Cluster_Master!$D$4:$D$18,MATCH($F96,Cluster_Master!$B$4:$B$18,0)),"")</f>
        <v/>
      </c>
      <c r="J96" s="8" t="str">
        <f>IFERROR(INDEX(Cluster_Master!$E$4:$E$18,MATCH($F96,Cluster_Master!$B$4:$B$18,0)),"")</f>
        <v/>
      </c>
      <c r="K96" s="8" t="str">
        <f>IFERROR(INDEX(Cluster_Master!$F$4:$F$18,MATCH($F96,Cluster_Master!$B$4:$B$18,0)),"")</f>
        <v/>
      </c>
      <c r="L96" s="8" t="str">
        <f>IFERROR(INDEX(Cluster_Master!$G$4:$G$18,MATCH($F96,Cluster_Master!$B$4:$B$18,0)),"")</f>
        <v/>
      </c>
      <c r="M96" s="8" t="str">
        <f>IFERROR(INDEX(Cluster_Master!$H$4:$H$18,MATCH($F96,Cluster_Master!$B$4:$B$18,0)),"")</f>
        <v/>
      </c>
      <c r="N96" s="12"/>
      <c r="O96" s="12"/>
      <c r="P96" s="12"/>
      <c r="Q96" s="12"/>
      <c r="R96" s="12"/>
      <c r="S96" s="12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8" t="str">
        <f t="shared" si="19"/>
        <v/>
      </c>
      <c r="AJ96" s="14" t="str">
        <f t="shared" si="20"/>
        <v/>
      </c>
      <c r="AK96" s="14" t="str">
        <f>IF(COUNTA(T96:AH96)=0,"",(SUM(T96*KPI_Weights!$B$4,U96*KPI_Weights!$B$5,V96*KPI_Weights!$B$6,W96*KPI_Weights!$B$7,X96*KPI_Weights!$B$8,Y96*KPI_Weights!$B$9,Z96*KPI_Weights!$B$10,AA96*KPI_Weights!$B$11,AB96*KPI_Weights!$B$12,AC96*KPI_Weights!$B$13,AD96*KPI_Weights!$B$14,AE96*KPI_Weights!$B$15,AF96*KPI_Weights!$B$16,AG96*KPI_Weights!$B$17,AH96*KPI_Weights!$B$18))/5)</f>
        <v/>
      </c>
      <c r="AL96" s="8" t="str">
        <f t="shared" si="21"/>
        <v/>
      </c>
      <c r="AM96" s="8" t="str">
        <f t="shared" si="22"/>
        <v/>
      </c>
      <c r="AN96" s="8" t="str">
        <f t="shared" si="23"/>
        <v/>
      </c>
      <c r="AO96" s="12"/>
      <c r="AP96" s="12"/>
      <c r="AQ96" s="12"/>
      <c r="AR96" s="12"/>
      <c r="AS96" s="12"/>
      <c r="AT96" s="15"/>
      <c r="AU96" s="12"/>
      <c r="AV96" s="16"/>
      <c r="AW96" s="12"/>
      <c r="AX96" s="15"/>
      <c r="AY96" s="15"/>
      <c r="AZ96" s="15"/>
      <c r="BA96" s="15"/>
      <c r="BB96" s="15"/>
      <c r="BC96" s="15"/>
      <c r="BD96" s="15"/>
      <c r="BE96" s="15"/>
      <c r="BF96" s="15"/>
    </row>
    <row r="97" spans="1:58" ht="19.5" customHeight="1" x14ac:dyDescent="0.2">
      <c r="A97" s="8" t="str">
        <f>IF($B97="","",TEXT($B97,"yyyymmdd")&amp;"-"&amp;SUBSTITUTE($F97," ","")&amp;"-"&amp;TEXT(COUNTIF($F$4:F97,$F97),"00"))</f>
        <v/>
      </c>
      <c r="B97" s="9"/>
      <c r="C97" s="8" t="str">
        <f t="shared" si="17"/>
        <v/>
      </c>
      <c r="D97" s="8" t="str">
        <f t="shared" si="18"/>
        <v/>
      </c>
      <c r="E97" s="10"/>
      <c r="F97" s="10"/>
      <c r="G97" s="8" t="str">
        <f>IF(OR($E97="",$F97=""),"",IFERROR(IF($E97=INDEX(Cluster_Master!$A$4:$A$18,MATCH($F97,Cluster_Master!$B$4:$B$18,0)),"OK","CHECK"),"CHECK"))</f>
        <v/>
      </c>
      <c r="H97" s="11" t="str">
        <f>IFERROR(INDEX(Cluster_Master!$C$4:$C$18,MATCH($F97,Cluster_Master!$B$4:$B$18,0)),"")</f>
        <v/>
      </c>
      <c r="I97" s="8" t="str">
        <f>IFERROR(INDEX(Cluster_Master!$D$4:$D$18,MATCH($F97,Cluster_Master!$B$4:$B$18,0)),"")</f>
        <v/>
      </c>
      <c r="J97" s="8" t="str">
        <f>IFERROR(INDEX(Cluster_Master!$E$4:$E$18,MATCH($F97,Cluster_Master!$B$4:$B$18,0)),"")</f>
        <v/>
      </c>
      <c r="K97" s="8" t="str">
        <f>IFERROR(INDEX(Cluster_Master!$F$4:$F$18,MATCH($F97,Cluster_Master!$B$4:$B$18,0)),"")</f>
        <v/>
      </c>
      <c r="L97" s="8" t="str">
        <f>IFERROR(INDEX(Cluster_Master!$G$4:$G$18,MATCH($F97,Cluster_Master!$B$4:$B$18,0)),"")</f>
        <v/>
      </c>
      <c r="M97" s="8" t="str">
        <f>IFERROR(INDEX(Cluster_Master!$H$4:$H$18,MATCH($F97,Cluster_Master!$B$4:$B$18,0)),"")</f>
        <v/>
      </c>
      <c r="N97" s="12"/>
      <c r="O97" s="12"/>
      <c r="P97" s="12"/>
      <c r="Q97" s="12"/>
      <c r="R97" s="12"/>
      <c r="S97" s="12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8" t="str">
        <f t="shared" si="19"/>
        <v/>
      </c>
      <c r="AJ97" s="14" t="str">
        <f t="shared" si="20"/>
        <v/>
      </c>
      <c r="AK97" s="14" t="str">
        <f>IF(COUNTA(T97:AH97)=0,"",(SUM(T97*KPI_Weights!$B$4,U97*KPI_Weights!$B$5,V97*KPI_Weights!$B$6,W97*KPI_Weights!$B$7,X97*KPI_Weights!$B$8,Y97*KPI_Weights!$B$9,Z97*KPI_Weights!$B$10,AA97*KPI_Weights!$B$11,AB97*KPI_Weights!$B$12,AC97*KPI_Weights!$B$13,AD97*KPI_Weights!$B$14,AE97*KPI_Weights!$B$15,AF97*KPI_Weights!$B$16,AG97*KPI_Weights!$B$17,AH97*KPI_Weights!$B$18))/5)</f>
        <v/>
      </c>
      <c r="AL97" s="8" t="str">
        <f t="shared" si="21"/>
        <v/>
      </c>
      <c r="AM97" s="8" t="str">
        <f t="shared" si="22"/>
        <v/>
      </c>
      <c r="AN97" s="8" t="str">
        <f t="shared" si="23"/>
        <v/>
      </c>
      <c r="AO97" s="12"/>
      <c r="AP97" s="12"/>
      <c r="AQ97" s="12"/>
      <c r="AR97" s="12"/>
      <c r="AS97" s="12"/>
      <c r="AT97" s="15"/>
      <c r="AU97" s="12"/>
      <c r="AV97" s="16"/>
      <c r="AW97" s="12"/>
      <c r="AX97" s="15"/>
      <c r="AY97" s="15"/>
      <c r="AZ97" s="15"/>
      <c r="BA97" s="15"/>
      <c r="BB97" s="15"/>
      <c r="BC97" s="15"/>
      <c r="BD97" s="15"/>
      <c r="BE97" s="15"/>
      <c r="BF97" s="15"/>
    </row>
    <row r="98" spans="1:58" ht="19.5" customHeight="1" x14ac:dyDescent="0.2">
      <c r="A98" s="8" t="str">
        <f>IF($B98="","",TEXT($B98,"yyyymmdd")&amp;"-"&amp;SUBSTITUTE($F98," ","")&amp;"-"&amp;TEXT(COUNTIF($F$4:F98,$F98),"00"))</f>
        <v/>
      </c>
      <c r="B98" s="9"/>
      <c r="C98" s="8" t="str">
        <f t="shared" si="17"/>
        <v/>
      </c>
      <c r="D98" s="8" t="str">
        <f t="shared" si="18"/>
        <v/>
      </c>
      <c r="E98" s="10"/>
      <c r="F98" s="10"/>
      <c r="G98" s="8" t="str">
        <f>IF(OR($E98="",$F98=""),"",IFERROR(IF($E98=INDEX(Cluster_Master!$A$4:$A$18,MATCH($F98,Cluster_Master!$B$4:$B$18,0)),"OK","CHECK"),"CHECK"))</f>
        <v/>
      </c>
      <c r="H98" s="11" t="str">
        <f>IFERROR(INDEX(Cluster_Master!$C$4:$C$18,MATCH($F98,Cluster_Master!$B$4:$B$18,0)),"")</f>
        <v/>
      </c>
      <c r="I98" s="8" t="str">
        <f>IFERROR(INDEX(Cluster_Master!$D$4:$D$18,MATCH($F98,Cluster_Master!$B$4:$B$18,0)),"")</f>
        <v/>
      </c>
      <c r="J98" s="8" t="str">
        <f>IFERROR(INDEX(Cluster_Master!$E$4:$E$18,MATCH($F98,Cluster_Master!$B$4:$B$18,0)),"")</f>
        <v/>
      </c>
      <c r="K98" s="8" t="str">
        <f>IFERROR(INDEX(Cluster_Master!$F$4:$F$18,MATCH($F98,Cluster_Master!$B$4:$B$18,0)),"")</f>
        <v/>
      </c>
      <c r="L98" s="8" t="str">
        <f>IFERROR(INDEX(Cluster_Master!$G$4:$G$18,MATCH($F98,Cluster_Master!$B$4:$B$18,0)),"")</f>
        <v/>
      </c>
      <c r="M98" s="8" t="str">
        <f>IFERROR(INDEX(Cluster_Master!$H$4:$H$18,MATCH($F98,Cluster_Master!$B$4:$B$18,0)),"")</f>
        <v/>
      </c>
      <c r="N98" s="12"/>
      <c r="O98" s="12"/>
      <c r="P98" s="12"/>
      <c r="Q98" s="12"/>
      <c r="R98" s="12"/>
      <c r="S98" s="12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8" t="str">
        <f t="shared" si="19"/>
        <v/>
      </c>
      <c r="AJ98" s="14" t="str">
        <f t="shared" si="20"/>
        <v/>
      </c>
      <c r="AK98" s="14" t="str">
        <f>IF(COUNTA(T98:AH98)=0,"",(SUM(T98*KPI_Weights!$B$4,U98*KPI_Weights!$B$5,V98*KPI_Weights!$B$6,W98*KPI_Weights!$B$7,X98*KPI_Weights!$B$8,Y98*KPI_Weights!$B$9,Z98*KPI_Weights!$B$10,AA98*KPI_Weights!$B$11,AB98*KPI_Weights!$B$12,AC98*KPI_Weights!$B$13,AD98*KPI_Weights!$B$14,AE98*KPI_Weights!$B$15,AF98*KPI_Weights!$B$16,AG98*KPI_Weights!$B$17,AH98*KPI_Weights!$B$18))/5)</f>
        <v/>
      </c>
      <c r="AL98" s="8" t="str">
        <f t="shared" si="21"/>
        <v/>
      </c>
      <c r="AM98" s="8" t="str">
        <f t="shared" si="22"/>
        <v/>
      </c>
      <c r="AN98" s="8" t="str">
        <f t="shared" si="23"/>
        <v/>
      </c>
      <c r="AO98" s="12"/>
      <c r="AP98" s="12"/>
      <c r="AQ98" s="12"/>
      <c r="AR98" s="12"/>
      <c r="AS98" s="12"/>
      <c r="AT98" s="15"/>
      <c r="AU98" s="12"/>
      <c r="AV98" s="16"/>
      <c r="AW98" s="12"/>
      <c r="AX98" s="15"/>
      <c r="AY98" s="15"/>
      <c r="AZ98" s="15"/>
      <c r="BA98" s="15"/>
      <c r="BB98" s="15"/>
      <c r="BC98" s="15"/>
      <c r="BD98" s="15"/>
      <c r="BE98" s="15"/>
      <c r="BF98" s="15"/>
    </row>
    <row r="99" spans="1:58" ht="19.5" customHeight="1" x14ac:dyDescent="0.2">
      <c r="A99" s="8" t="str">
        <f>IF($B99="","",TEXT($B99,"yyyymmdd")&amp;"-"&amp;SUBSTITUTE($F99," ","")&amp;"-"&amp;TEXT(COUNTIF($F$4:F99,$F99),"00"))</f>
        <v/>
      </c>
      <c r="B99" s="9"/>
      <c r="C99" s="8" t="str">
        <f t="shared" si="17"/>
        <v/>
      </c>
      <c r="D99" s="8" t="str">
        <f t="shared" si="18"/>
        <v/>
      </c>
      <c r="E99" s="10"/>
      <c r="F99" s="10"/>
      <c r="G99" s="8" t="str">
        <f>IF(OR($E99="",$F99=""),"",IFERROR(IF($E99=INDEX(Cluster_Master!$A$4:$A$18,MATCH($F99,Cluster_Master!$B$4:$B$18,0)),"OK","CHECK"),"CHECK"))</f>
        <v/>
      </c>
      <c r="H99" s="11" t="str">
        <f>IFERROR(INDEX(Cluster_Master!$C$4:$C$18,MATCH($F99,Cluster_Master!$B$4:$B$18,0)),"")</f>
        <v/>
      </c>
      <c r="I99" s="8" t="str">
        <f>IFERROR(INDEX(Cluster_Master!$D$4:$D$18,MATCH($F99,Cluster_Master!$B$4:$B$18,0)),"")</f>
        <v/>
      </c>
      <c r="J99" s="8" t="str">
        <f>IFERROR(INDEX(Cluster_Master!$E$4:$E$18,MATCH($F99,Cluster_Master!$B$4:$B$18,0)),"")</f>
        <v/>
      </c>
      <c r="K99" s="8" t="str">
        <f>IFERROR(INDEX(Cluster_Master!$F$4:$F$18,MATCH($F99,Cluster_Master!$B$4:$B$18,0)),"")</f>
        <v/>
      </c>
      <c r="L99" s="8" t="str">
        <f>IFERROR(INDEX(Cluster_Master!$G$4:$G$18,MATCH($F99,Cluster_Master!$B$4:$B$18,0)),"")</f>
        <v/>
      </c>
      <c r="M99" s="8" t="str">
        <f>IFERROR(INDEX(Cluster_Master!$H$4:$H$18,MATCH($F99,Cluster_Master!$B$4:$B$18,0)),"")</f>
        <v/>
      </c>
      <c r="N99" s="12"/>
      <c r="O99" s="12"/>
      <c r="P99" s="12"/>
      <c r="Q99" s="12"/>
      <c r="R99" s="12"/>
      <c r="S99" s="12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8" t="str">
        <f t="shared" si="19"/>
        <v/>
      </c>
      <c r="AJ99" s="14" t="str">
        <f t="shared" si="20"/>
        <v/>
      </c>
      <c r="AK99" s="14" t="str">
        <f>IF(COUNTA(T99:AH99)=0,"",(SUM(T99*KPI_Weights!$B$4,U99*KPI_Weights!$B$5,V99*KPI_Weights!$B$6,W99*KPI_Weights!$B$7,X99*KPI_Weights!$B$8,Y99*KPI_Weights!$B$9,Z99*KPI_Weights!$B$10,AA99*KPI_Weights!$B$11,AB99*KPI_Weights!$B$12,AC99*KPI_Weights!$B$13,AD99*KPI_Weights!$B$14,AE99*KPI_Weights!$B$15,AF99*KPI_Weights!$B$16,AG99*KPI_Weights!$B$17,AH99*KPI_Weights!$B$18))/5)</f>
        <v/>
      </c>
      <c r="AL99" s="8" t="str">
        <f t="shared" si="21"/>
        <v/>
      </c>
      <c r="AM99" s="8" t="str">
        <f t="shared" si="22"/>
        <v/>
      </c>
      <c r="AN99" s="8" t="str">
        <f t="shared" si="23"/>
        <v/>
      </c>
      <c r="AO99" s="12"/>
      <c r="AP99" s="12"/>
      <c r="AQ99" s="12"/>
      <c r="AR99" s="12"/>
      <c r="AS99" s="12"/>
      <c r="AT99" s="15"/>
      <c r="AU99" s="12"/>
      <c r="AV99" s="16"/>
      <c r="AW99" s="12"/>
      <c r="AX99" s="15"/>
      <c r="AY99" s="15"/>
      <c r="AZ99" s="15"/>
      <c r="BA99" s="15"/>
      <c r="BB99" s="15"/>
      <c r="BC99" s="15"/>
      <c r="BD99" s="15"/>
      <c r="BE99" s="15"/>
      <c r="BF99" s="15"/>
    </row>
    <row r="100" spans="1:58" ht="19.5" customHeight="1" x14ac:dyDescent="0.2">
      <c r="A100" s="8" t="str">
        <f>IF($B100="","",TEXT($B100,"yyyymmdd")&amp;"-"&amp;SUBSTITUTE($F100," ","")&amp;"-"&amp;TEXT(COUNTIF($F$4:F100,$F100),"00"))</f>
        <v/>
      </c>
      <c r="B100" s="9"/>
      <c r="C100" s="8" t="str">
        <f t="shared" si="17"/>
        <v/>
      </c>
      <c r="D100" s="8" t="str">
        <f t="shared" si="18"/>
        <v/>
      </c>
      <c r="E100" s="10"/>
      <c r="F100" s="10"/>
      <c r="G100" s="8" t="str">
        <f>IF(OR($E100="",$F100=""),"",IFERROR(IF($E100=INDEX(Cluster_Master!$A$4:$A$18,MATCH($F100,Cluster_Master!$B$4:$B$18,0)),"OK","CHECK"),"CHECK"))</f>
        <v/>
      </c>
      <c r="H100" s="11" t="str">
        <f>IFERROR(INDEX(Cluster_Master!$C$4:$C$18,MATCH($F100,Cluster_Master!$B$4:$B$18,0)),"")</f>
        <v/>
      </c>
      <c r="I100" s="8" t="str">
        <f>IFERROR(INDEX(Cluster_Master!$D$4:$D$18,MATCH($F100,Cluster_Master!$B$4:$B$18,0)),"")</f>
        <v/>
      </c>
      <c r="J100" s="8" t="str">
        <f>IFERROR(INDEX(Cluster_Master!$E$4:$E$18,MATCH($F100,Cluster_Master!$B$4:$B$18,0)),"")</f>
        <v/>
      </c>
      <c r="K100" s="8" t="str">
        <f>IFERROR(INDEX(Cluster_Master!$F$4:$F$18,MATCH($F100,Cluster_Master!$B$4:$B$18,0)),"")</f>
        <v/>
      </c>
      <c r="L100" s="8" t="str">
        <f>IFERROR(INDEX(Cluster_Master!$G$4:$G$18,MATCH($F100,Cluster_Master!$B$4:$B$18,0)),"")</f>
        <v/>
      </c>
      <c r="M100" s="8" t="str">
        <f>IFERROR(INDEX(Cluster_Master!$H$4:$H$18,MATCH($F100,Cluster_Master!$B$4:$B$18,0)),"")</f>
        <v/>
      </c>
      <c r="N100" s="12"/>
      <c r="O100" s="12"/>
      <c r="P100" s="12"/>
      <c r="Q100" s="12"/>
      <c r="R100" s="12"/>
      <c r="S100" s="12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8" t="str">
        <f t="shared" si="19"/>
        <v/>
      </c>
      <c r="AJ100" s="14" t="str">
        <f t="shared" si="20"/>
        <v/>
      </c>
      <c r="AK100" s="14" t="str">
        <f>IF(COUNTA(T100:AH100)=0,"",(SUM(T100*KPI_Weights!$B$4,U100*KPI_Weights!$B$5,V100*KPI_Weights!$B$6,W100*KPI_Weights!$B$7,X100*KPI_Weights!$B$8,Y100*KPI_Weights!$B$9,Z100*KPI_Weights!$B$10,AA100*KPI_Weights!$B$11,AB100*KPI_Weights!$B$12,AC100*KPI_Weights!$B$13,AD100*KPI_Weights!$B$14,AE100*KPI_Weights!$B$15,AF100*KPI_Weights!$B$16,AG100*KPI_Weights!$B$17,AH100*KPI_Weights!$B$18))/5)</f>
        <v/>
      </c>
      <c r="AL100" s="8" t="str">
        <f t="shared" si="21"/>
        <v/>
      </c>
      <c r="AM100" s="8" t="str">
        <f t="shared" si="22"/>
        <v/>
      </c>
      <c r="AN100" s="8" t="str">
        <f t="shared" si="23"/>
        <v/>
      </c>
      <c r="AO100" s="12"/>
      <c r="AP100" s="12"/>
      <c r="AQ100" s="12"/>
      <c r="AR100" s="12"/>
      <c r="AS100" s="12"/>
      <c r="AT100" s="15"/>
      <c r="AU100" s="12"/>
      <c r="AV100" s="16"/>
      <c r="AW100" s="12"/>
      <c r="AX100" s="15"/>
      <c r="AY100" s="15"/>
      <c r="AZ100" s="15"/>
      <c r="BA100" s="15"/>
      <c r="BB100" s="15"/>
      <c r="BC100" s="15"/>
      <c r="BD100" s="15"/>
      <c r="BE100" s="15"/>
      <c r="BF100" s="15"/>
    </row>
    <row r="101" spans="1:58" ht="19.5" customHeight="1" x14ac:dyDescent="0.2">
      <c r="A101" s="8" t="str">
        <f>IF($B101="","",TEXT($B101,"yyyymmdd")&amp;"-"&amp;SUBSTITUTE($F101," ","")&amp;"-"&amp;TEXT(COUNTIF($F$4:F101,$F101),"00"))</f>
        <v/>
      </c>
      <c r="B101" s="9"/>
      <c r="C101" s="8" t="str">
        <f t="shared" si="17"/>
        <v/>
      </c>
      <c r="D101" s="8" t="str">
        <f t="shared" si="18"/>
        <v/>
      </c>
      <c r="E101" s="10"/>
      <c r="F101" s="10"/>
      <c r="G101" s="8" t="str">
        <f>IF(OR($E101="",$F101=""),"",IFERROR(IF($E101=INDEX(Cluster_Master!$A$4:$A$18,MATCH($F101,Cluster_Master!$B$4:$B$18,0)),"OK","CHECK"),"CHECK"))</f>
        <v/>
      </c>
      <c r="H101" s="11" t="str">
        <f>IFERROR(INDEX(Cluster_Master!$C$4:$C$18,MATCH($F101,Cluster_Master!$B$4:$B$18,0)),"")</f>
        <v/>
      </c>
      <c r="I101" s="8" t="str">
        <f>IFERROR(INDEX(Cluster_Master!$D$4:$D$18,MATCH($F101,Cluster_Master!$B$4:$B$18,0)),"")</f>
        <v/>
      </c>
      <c r="J101" s="8" t="str">
        <f>IFERROR(INDEX(Cluster_Master!$E$4:$E$18,MATCH($F101,Cluster_Master!$B$4:$B$18,0)),"")</f>
        <v/>
      </c>
      <c r="K101" s="8" t="str">
        <f>IFERROR(INDEX(Cluster_Master!$F$4:$F$18,MATCH($F101,Cluster_Master!$B$4:$B$18,0)),"")</f>
        <v/>
      </c>
      <c r="L101" s="8" t="str">
        <f>IFERROR(INDEX(Cluster_Master!$G$4:$G$18,MATCH($F101,Cluster_Master!$B$4:$B$18,0)),"")</f>
        <v/>
      </c>
      <c r="M101" s="8" t="str">
        <f>IFERROR(INDEX(Cluster_Master!$H$4:$H$18,MATCH($F101,Cluster_Master!$B$4:$B$18,0)),"")</f>
        <v/>
      </c>
      <c r="N101" s="12"/>
      <c r="O101" s="12"/>
      <c r="P101" s="12"/>
      <c r="Q101" s="12"/>
      <c r="R101" s="12"/>
      <c r="S101" s="12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8" t="str">
        <f t="shared" si="19"/>
        <v/>
      </c>
      <c r="AJ101" s="14" t="str">
        <f t="shared" si="20"/>
        <v/>
      </c>
      <c r="AK101" s="14" t="str">
        <f>IF(COUNTA(T101:AH101)=0,"",(SUM(T101*KPI_Weights!$B$4,U101*KPI_Weights!$B$5,V101*KPI_Weights!$B$6,W101*KPI_Weights!$B$7,X101*KPI_Weights!$B$8,Y101*KPI_Weights!$B$9,Z101*KPI_Weights!$B$10,AA101*KPI_Weights!$B$11,AB101*KPI_Weights!$B$12,AC101*KPI_Weights!$B$13,AD101*KPI_Weights!$B$14,AE101*KPI_Weights!$B$15,AF101*KPI_Weights!$B$16,AG101*KPI_Weights!$B$17,AH101*KPI_Weights!$B$18))/5)</f>
        <v/>
      </c>
      <c r="AL101" s="8" t="str">
        <f t="shared" si="21"/>
        <v/>
      </c>
      <c r="AM101" s="8" t="str">
        <f t="shared" si="22"/>
        <v/>
      </c>
      <c r="AN101" s="8" t="str">
        <f t="shared" si="23"/>
        <v/>
      </c>
      <c r="AO101" s="12"/>
      <c r="AP101" s="12"/>
      <c r="AQ101" s="12"/>
      <c r="AR101" s="12"/>
      <c r="AS101" s="12"/>
      <c r="AT101" s="15"/>
      <c r="AU101" s="12"/>
      <c r="AV101" s="16"/>
      <c r="AW101" s="12"/>
      <c r="AX101" s="15"/>
      <c r="AY101" s="15"/>
      <c r="AZ101" s="15"/>
      <c r="BA101" s="15"/>
      <c r="BB101" s="15"/>
      <c r="BC101" s="15"/>
      <c r="BD101" s="15"/>
      <c r="BE101" s="15"/>
      <c r="BF101" s="15"/>
    </row>
    <row r="102" spans="1:58" ht="19.5" customHeight="1" x14ac:dyDescent="0.2">
      <c r="A102" s="8" t="str">
        <f>IF($B102="","",TEXT($B102,"yyyymmdd")&amp;"-"&amp;SUBSTITUTE($F102," ","")&amp;"-"&amp;TEXT(COUNTIF($F$4:F102,$F102),"00"))</f>
        <v/>
      </c>
      <c r="B102" s="9"/>
      <c r="C102" s="8" t="str">
        <f t="shared" si="17"/>
        <v/>
      </c>
      <c r="D102" s="8" t="str">
        <f t="shared" si="18"/>
        <v/>
      </c>
      <c r="E102" s="10"/>
      <c r="F102" s="10"/>
      <c r="G102" s="8" t="str">
        <f>IF(OR($E102="",$F102=""),"",IFERROR(IF($E102=INDEX(Cluster_Master!$A$4:$A$18,MATCH($F102,Cluster_Master!$B$4:$B$18,0)),"OK","CHECK"),"CHECK"))</f>
        <v/>
      </c>
      <c r="H102" s="11" t="str">
        <f>IFERROR(INDEX(Cluster_Master!$C$4:$C$18,MATCH($F102,Cluster_Master!$B$4:$B$18,0)),"")</f>
        <v/>
      </c>
      <c r="I102" s="8" t="str">
        <f>IFERROR(INDEX(Cluster_Master!$D$4:$D$18,MATCH($F102,Cluster_Master!$B$4:$B$18,0)),"")</f>
        <v/>
      </c>
      <c r="J102" s="8" t="str">
        <f>IFERROR(INDEX(Cluster_Master!$E$4:$E$18,MATCH($F102,Cluster_Master!$B$4:$B$18,0)),"")</f>
        <v/>
      </c>
      <c r="K102" s="8" t="str">
        <f>IFERROR(INDEX(Cluster_Master!$F$4:$F$18,MATCH($F102,Cluster_Master!$B$4:$B$18,0)),"")</f>
        <v/>
      </c>
      <c r="L102" s="8" t="str">
        <f>IFERROR(INDEX(Cluster_Master!$G$4:$G$18,MATCH($F102,Cluster_Master!$B$4:$B$18,0)),"")</f>
        <v/>
      </c>
      <c r="M102" s="8" t="str">
        <f>IFERROR(INDEX(Cluster_Master!$H$4:$H$18,MATCH($F102,Cluster_Master!$B$4:$B$18,0)),"")</f>
        <v/>
      </c>
      <c r="N102" s="12"/>
      <c r="O102" s="12"/>
      <c r="P102" s="12"/>
      <c r="Q102" s="12"/>
      <c r="R102" s="12"/>
      <c r="S102" s="12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8" t="str">
        <f t="shared" si="19"/>
        <v/>
      </c>
      <c r="AJ102" s="14" t="str">
        <f t="shared" si="20"/>
        <v/>
      </c>
      <c r="AK102" s="14" t="str">
        <f>IF(COUNTA(T102:AH102)=0,"",(SUM(T102*KPI_Weights!$B$4,U102*KPI_Weights!$B$5,V102*KPI_Weights!$B$6,W102*KPI_Weights!$B$7,X102*KPI_Weights!$B$8,Y102*KPI_Weights!$B$9,Z102*KPI_Weights!$B$10,AA102*KPI_Weights!$B$11,AB102*KPI_Weights!$B$12,AC102*KPI_Weights!$B$13,AD102*KPI_Weights!$B$14,AE102*KPI_Weights!$B$15,AF102*KPI_Weights!$B$16,AG102*KPI_Weights!$B$17,AH102*KPI_Weights!$B$18))/5)</f>
        <v/>
      </c>
      <c r="AL102" s="8" t="str">
        <f t="shared" si="21"/>
        <v/>
      </c>
      <c r="AM102" s="8" t="str">
        <f t="shared" si="22"/>
        <v/>
      </c>
      <c r="AN102" s="8" t="str">
        <f t="shared" si="23"/>
        <v/>
      </c>
      <c r="AO102" s="12"/>
      <c r="AP102" s="12"/>
      <c r="AQ102" s="12"/>
      <c r="AR102" s="12"/>
      <c r="AS102" s="12"/>
      <c r="AT102" s="15"/>
      <c r="AU102" s="12"/>
      <c r="AV102" s="16"/>
      <c r="AW102" s="12"/>
      <c r="AX102" s="15"/>
      <c r="AY102" s="15"/>
      <c r="AZ102" s="15"/>
      <c r="BA102" s="15"/>
      <c r="BB102" s="15"/>
      <c r="BC102" s="15"/>
      <c r="BD102" s="15"/>
      <c r="BE102" s="15"/>
      <c r="BF102" s="15"/>
    </row>
    <row r="103" spans="1:58" ht="19.5" customHeight="1" x14ac:dyDescent="0.2">
      <c r="A103" s="8" t="str">
        <f>IF($B103="","",TEXT($B103,"yyyymmdd")&amp;"-"&amp;SUBSTITUTE($F103," ","")&amp;"-"&amp;TEXT(COUNTIF($F$4:F103,$F103),"00"))</f>
        <v/>
      </c>
      <c r="B103" s="9"/>
      <c r="C103" s="8" t="str">
        <f t="shared" si="17"/>
        <v/>
      </c>
      <c r="D103" s="8" t="str">
        <f t="shared" si="18"/>
        <v/>
      </c>
      <c r="E103" s="10"/>
      <c r="F103" s="10"/>
      <c r="G103" s="8" t="str">
        <f>IF(OR($E103="",$F103=""),"",IFERROR(IF($E103=INDEX(Cluster_Master!$A$4:$A$18,MATCH($F103,Cluster_Master!$B$4:$B$18,0)),"OK","CHECK"),"CHECK"))</f>
        <v/>
      </c>
      <c r="H103" s="11" t="str">
        <f>IFERROR(INDEX(Cluster_Master!$C$4:$C$18,MATCH($F103,Cluster_Master!$B$4:$B$18,0)),"")</f>
        <v/>
      </c>
      <c r="I103" s="8" t="str">
        <f>IFERROR(INDEX(Cluster_Master!$D$4:$D$18,MATCH($F103,Cluster_Master!$B$4:$B$18,0)),"")</f>
        <v/>
      </c>
      <c r="J103" s="8" t="str">
        <f>IFERROR(INDEX(Cluster_Master!$E$4:$E$18,MATCH($F103,Cluster_Master!$B$4:$B$18,0)),"")</f>
        <v/>
      </c>
      <c r="K103" s="8" t="str">
        <f>IFERROR(INDEX(Cluster_Master!$F$4:$F$18,MATCH($F103,Cluster_Master!$B$4:$B$18,0)),"")</f>
        <v/>
      </c>
      <c r="L103" s="8" t="str">
        <f>IFERROR(INDEX(Cluster_Master!$G$4:$G$18,MATCH($F103,Cluster_Master!$B$4:$B$18,0)),"")</f>
        <v/>
      </c>
      <c r="M103" s="8" t="str">
        <f>IFERROR(INDEX(Cluster_Master!$H$4:$H$18,MATCH($F103,Cluster_Master!$B$4:$B$18,0)),"")</f>
        <v/>
      </c>
      <c r="N103" s="12"/>
      <c r="O103" s="12"/>
      <c r="P103" s="12"/>
      <c r="Q103" s="12"/>
      <c r="R103" s="12"/>
      <c r="S103" s="12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8" t="str">
        <f t="shared" si="19"/>
        <v/>
      </c>
      <c r="AJ103" s="14" t="str">
        <f t="shared" si="20"/>
        <v/>
      </c>
      <c r="AK103" s="14" t="str">
        <f>IF(COUNTA(T103:AH103)=0,"",(SUM(T103*KPI_Weights!$B$4,U103*KPI_Weights!$B$5,V103*KPI_Weights!$B$6,W103*KPI_Weights!$B$7,X103*KPI_Weights!$B$8,Y103*KPI_Weights!$B$9,Z103*KPI_Weights!$B$10,AA103*KPI_Weights!$B$11,AB103*KPI_Weights!$B$12,AC103*KPI_Weights!$B$13,AD103*KPI_Weights!$B$14,AE103*KPI_Weights!$B$15,AF103*KPI_Weights!$B$16,AG103*KPI_Weights!$B$17,AH103*KPI_Weights!$B$18))/5)</f>
        <v/>
      </c>
      <c r="AL103" s="8" t="str">
        <f t="shared" si="21"/>
        <v/>
      </c>
      <c r="AM103" s="8" t="str">
        <f t="shared" si="22"/>
        <v/>
      </c>
      <c r="AN103" s="8" t="str">
        <f t="shared" si="23"/>
        <v/>
      </c>
      <c r="AO103" s="12"/>
      <c r="AP103" s="12"/>
      <c r="AQ103" s="12"/>
      <c r="AR103" s="12"/>
      <c r="AS103" s="12"/>
      <c r="AT103" s="15"/>
      <c r="AU103" s="12"/>
      <c r="AV103" s="16"/>
      <c r="AW103" s="12"/>
      <c r="AX103" s="15"/>
      <c r="AY103" s="15"/>
      <c r="AZ103" s="15"/>
      <c r="BA103" s="15"/>
      <c r="BB103" s="15"/>
      <c r="BC103" s="15"/>
      <c r="BD103" s="15"/>
      <c r="BE103" s="15"/>
      <c r="BF103" s="15"/>
    </row>
    <row r="104" spans="1:58" ht="19.5" customHeight="1" x14ac:dyDescent="0.2">
      <c r="A104" s="8" t="str">
        <f>IF($B104="","",TEXT($B104,"yyyymmdd")&amp;"-"&amp;SUBSTITUTE($F104," ","")&amp;"-"&amp;TEXT(COUNTIF($F$4:F104,$F104),"00"))</f>
        <v/>
      </c>
      <c r="B104" s="9"/>
      <c r="C104" s="8" t="str">
        <f t="shared" si="17"/>
        <v/>
      </c>
      <c r="D104" s="8" t="str">
        <f t="shared" si="18"/>
        <v/>
      </c>
      <c r="E104" s="10"/>
      <c r="F104" s="10"/>
      <c r="G104" s="8" t="str">
        <f>IF(OR($E104="",$F104=""),"",IFERROR(IF($E104=INDEX(Cluster_Master!$A$4:$A$18,MATCH($F104,Cluster_Master!$B$4:$B$18,0)),"OK","CHECK"),"CHECK"))</f>
        <v/>
      </c>
      <c r="H104" s="11" t="str">
        <f>IFERROR(INDEX(Cluster_Master!$C$4:$C$18,MATCH($F104,Cluster_Master!$B$4:$B$18,0)),"")</f>
        <v/>
      </c>
      <c r="I104" s="8" t="str">
        <f>IFERROR(INDEX(Cluster_Master!$D$4:$D$18,MATCH($F104,Cluster_Master!$B$4:$B$18,0)),"")</f>
        <v/>
      </c>
      <c r="J104" s="8" t="str">
        <f>IFERROR(INDEX(Cluster_Master!$E$4:$E$18,MATCH($F104,Cluster_Master!$B$4:$B$18,0)),"")</f>
        <v/>
      </c>
      <c r="K104" s="8" t="str">
        <f>IFERROR(INDEX(Cluster_Master!$F$4:$F$18,MATCH($F104,Cluster_Master!$B$4:$B$18,0)),"")</f>
        <v/>
      </c>
      <c r="L104" s="8" t="str">
        <f>IFERROR(INDEX(Cluster_Master!$G$4:$G$18,MATCH($F104,Cluster_Master!$B$4:$B$18,0)),"")</f>
        <v/>
      </c>
      <c r="M104" s="8" t="str">
        <f>IFERROR(INDEX(Cluster_Master!$H$4:$H$18,MATCH($F104,Cluster_Master!$B$4:$B$18,0)),"")</f>
        <v/>
      </c>
      <c r="N104" s="12"/>
      <c r="O104" s="12"/>
      <c r="P104" s="12"/>
      <c r="Q104" s="12"/>
      <c r="R104" s="12"/>
      <c r="S104" s="12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8" t="str">
        <f t="shared" si="19"/>
        <v/>
      </c>
      <c r="AJ104" s="14" t="str">
        <f t="shared" si="20"/>
        <v/>
      </c>
      <c r="AK104" s="14" t="str">
        <f>IF(COUNTA(T104:AH104)=0,"",(SUM(T104*KPI_Weights!$B$4,U104*KPI_Weights!$B$5,V104*KPI_Weights!$B$6,W104*KPI_Weights!$B$7,X104*KPI_Weights!$B$8,Y104*KPI_Weights!$B$9,Z104*KPI_Weights!$B$10,AA104*KPI_Weights!$B$11,AB104*KPI_Weights!$B$12,AC104*KPI_Weights!$B$13,AD104*KPI_Weights!$B$14,AE104*KPI_Weights!$B$15,AF104*KPI_Weights!$B$16,AG104*KPI_Weights!$B$17,AH104*KPI_Weights!$B$18))/5)</f>
        <v/>
      </c>
      <c r="AL104" s="8" t="str">
        <f t="shared" si="21"/>
        <v/>
      </c>
      <c r="AM104" s="8" t="str">
        <f t="shared" si="22"/>
        <v/>
      </c>
      <c r="AN104" s="8" t="str">
        <f t="shared" si="23"/>
        <v/>
      </c>
      <c r="AO104" s="12"/>
      <c r="AP104" s="12"/>
      <c r="AQ104" s="12"/>
      <c r="AR104" s="12"/>
      <c r="AS104" s="12"/>
      <c r="AT104" s="15"/>
      <c r="AU104" s="12"/>
      <c r="AV104" s="16"/>
      <c r="AW104" s="12"/>
      <c r="AX104" s="15"/>
      <c r="AY104" s="15"/>
      <c r="AZ104" s="15"/>
      <c r="BA104" s="15"/>
      <c r="BB104" s="15"/>
      <c r="BC104" s="15"/>
      <c r="BD104" s="15"/>
      <c r="BE104" s="15"/>
      <c r="BF104" s="15"/>
    </row>
    <row r="105" spans="1:58" ht="19.5" customHeight="1" x14ac:dyDescent="0.2">
      <c r="A105" s="8" t="str">
        <f>IF($B105="","",TEXT($B105,"yyyymmdd")&amp;"-"&amp;SUBSTITUTE($F105," ","")&amp;"-"&amp;TEXT(COUNTIF($F$4:F105,$F105),"00"))</f>
        <v/>
      </c>
      <c r="B105" s="9"/>
      <c r="C105" s="8" t="str">
        <f t="shared" si="17"/>
        <v/>
      </c>
      <c r="D105" s="8" t="str">
        <f t="shared" si="18"/>
        <v/>
      </c>
      <c r="E105" s="10"/>
      <c r="F105" s="10"/>
      <c r="G105" s="8" t="str">
        <f>IF(OR($E105="",$F105=""),"",IFERROR(IF($E105=INDEX(Cluster_Master!$A$4:$A$18,MATCH($F105,Cluster_Master!$B$4:$B$18,0)),"OK","CHECK"),"CHECK"))</f>
        <v/>
      </c>
      <c r="H105" s="11" t="str">
        <f>IFERROR(INDEX(Cluster_Master!$C$4:$C$18,MATCH($F105,Cluster_Master!$B$4:$B$18,0)),"")</f>
        <v/>
      </c>
      <c r="I105" s="8" t="str">
        <f>IFERROR(INDEX(Cluster_Master!$D$4:$D$18,MATCH($F105,Cluster_Master!$B$4:$B$18,0)),"")</f>
        <v/>
      </c>
      <c r="J105" s="8" t="str">
        <f>IFERROR(INDEX(Cluster_Master!$E$4:$E$18,MATCH($F105,Cluster_Master!$B$4:$B$18,0)),"")</f>
        <v/>
      </c>
      <c r="K105" s="8" t="str">
        <f>IFERROR(INDEX(Cluster_Master!$F$4:$F$18,MATCH($F105,Cluster_Master!$B$4:$B$18,0)),"")</f>
        <v/>
      </c>
      <c r="L105" s="8" t="str">
        <f>IFERROR(INDEX(Cluster_Master!$G$4:$G$18,MATCH($F105,Cluster_Master!$B$4:$B$18,0)),"")</f>
        <v/>
      </c>
      <c r="M105" s="8" t="str">
        <f>IFERROR(INDEX(Cluster_Master!$H$4:$H$18,MATCH($F105,Cluster_Master!$B$4:$B$18,0)),"")</f>
        <v/>
      </c>
      <c r="N105" s="12"/>
      <c r="O105" s="12"/>
      <c r="P105" s="12"/>
      <c r="Q105" s="12"/>
      <c r="R105" s="12"/>
      <c r="S105" s="12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8" t="str">
        <f t="shared" si="19"/>
        <v/>
      </c>
      <c r="AJ105" s="14" t="str">
        <f t="shared" si="20"/>
        <v/>
      </c>
      <c r="AK105" s="14" t="str">
        <f>IF(COUNTA(T105:AH105)=0,"",(SUM(T105*KPI_Weights!$B$4,U105*KPI_Weights!$B$5,V105*KPI_Weights!$B$6,W105*KPI_Weights!$B$7,X105*KPI_Weights!$B$8,Y105*KPI_Weights!$B$9,Z105*KPI_Weights!$B$10,AA105*KPI_Weights!$B$11,AB105*KPI_Weights!$B$12,AC105*KPI_Weights!$B$13,AD105*KPI_Weights!$B$14,AE105*KPI_Weights!$B$15,AF105*KPI_Weights!$B$16,AG105*KPI_Weights!$B$17,AH105*KPI_Weights!$B$18))/5)</f>
        <v/>
      </c>
      <c r="AL105" s="8" t="str">
        <f t="shared" si="21"/>
        <v/>
      </c>
      <c r="AM105" s="8" t="str">
        <f t="shared" si="22"/>
        <v/>
      </c>
      <c r="AN105" s="8" t="str">
        <f t="shared" si="23"/>
        <v/>
      </c>
      <c r="AO105" s="12"/>
      <c r="AP105" s="12"/>
      <c r="AQ105" s="12"/>
      <c r="AR105" s="12"/>
      <c r="AS105" s="12"/>
      <c r="AT105" s="15"/>
      <c r="AU105" s="12"/>
      <c r="AV105" s="16"/>
      <c r="AW105" s="12"/>
      <c r="AX105" s="15"/>
      <c r="AY105" s="15"/>
      <c r="AZ105" s="15"/>
      <c r="BA105" s="15"/>
      <c r="BB105" s="15"/>
      <c r="BC105" s="15"/>
      <c r="BD105" s="15"/>
      <c r="BE105" s="15"/>
      <c r="BF105" s="15"/>
    </row>
    <row r="106" spans="1:58" ht="19.5" customHeight="1" x14ac:dyDescent="0.2">
      <c r="A106" s="8" t="str">
        <f>IF($B106="","",TEXT($B106,"yyyymmdd")&amp;"-"&amp;SUBSTITUTE($F106," ","")&amp;"-"&amp;TEXT(COUNTIF($F$4:F106,$F106),"00"))</f>
        <v/>
      </c>
      <c r="B106" s="9"/>
      <c r="C106" s="8" t="str">
        <f t="shared" si="17"/>
        <v/>
      </c>
      <c r="D106" s="8" t="str">
        <f t="shared" si="18"/>
        <v/>
      </c>
      <c r="E106" s="10"/>
      <c r="F106" s="10"/>
      <c r="G106" s="8" t="str">
        <f>IF(OR($E106="",$F106=""),"",IFERROR(IF($E106=INDEX(Cluster_Master!$A$4:$A$18,MATCH($F106,Cluster_Master!$B$4:$B$18,0)),"OK","CHECK"),"CHECK"))</f>
        <v/>
      </c>
      <c r="H106" s="11" t="str">
        <f>IFERROR(INDEX(Cluster_Master!$C$4:$C$18,MATCH($F106,Cluster_Master!$B$4:$B$18,0)),"")</f>
        <v/>
      </c>
      <c r="I106" s="8" t="str">
        <f>IFERROR(INDEX(Cluster_Master!$D$4:$D$18,MATCH($F106,Cluster_Master!$B$4:$B$18,0)),"")</f>
        <v/>
      </c>
      <c r="J106" s="8" t="str">
        <f>IFERROR(INDEX(Cluster_Master!$E$4:$E$18,MATCH($F106,Cluster_Master!$B$4:$B$18,0)),"")</f>
        <v/>
      </c>
      <c r="K106" s="8" t="str">
        <f>IFERROR(INDEX(Cluster_Master!$F$4:$F$18,MATCH($F106,Cluster_Master!$B$4:$B$18,0)),"")</f>
        <v/>
      </c>
      <c r="L106" s="8" t="str">
        <f>IFERROR(INDEX(Cluster_Master!$G$4:$G$18,MATCH($F106,Cluster_Master!$B$4:$B$18,0)),"")</f>
        <v/>
      </c>
      <c r="M106" s="8" t="str">
        <f>IFERROR(INDEX(Cluster_Master!$H$4:$H$18,MATCH($F106,Cluster_Master!$B$4:$B$18,0)),"")</f>
        <v/>
      </c>
      <c r="N106" s="12"/>
      <c r="O106" s="12"/>
      <c r="P106" s="12"/>
      <c r="Q106" s="12"/>
      <c r="R106" s="12"/>
      <c r="S106" s="12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8" t="str">
        <f t="shared" si="19"/>
        <v/>
      </c>
      <c r="AJ106" s="14" t="str">
        <f t="shared" si="20"/>
        <v/>
      </c>
      <c r="AK106" s="14" t="str">
        <f>IF(COUNTA(T106:AH106)=0,"",(SUM(T106*KPI_Weights!$B$4,U106*KPI_Weights!$B$5,V106*KPI_Weights!$B$6,W106*KPI_Weights!$B$7,X106*KPI_Weights!$B$8,Y106*KPI_Weights!$B$9,Z106*KPI_Weights!$B$10,AA106*KPI_Weights!$B$11,AB106*KPI_Weights!$B$12,AC106*KPI_Weights!$B$13,AD106*KPI_Weights!$B$14,AE106*KPI_Weights!$B$15,AF106*KPI_Weights!$B$16,AG106*KPI_Weights!$B$17,AH106*KPI_Weights!$B$18))/5)</f>
        <v/>
      </c>
      <c r="AL106" s="8" t="str">
        <f t="shared" si="21"/>
        <v/>
      </c>
      <c r="AM106" s="8" t="str">
        <f t="shared" si="22"/>
        <v/>
      </c>
      <c r="AN106" s="8" t="str">
        <f t="shared" si="23"/>
        <v/>
      </c>
      <c r="AO106" s="12"/>
      <c r="AP106" s="12"/>
      <c r="AQ106" s="12"/>
      <c r="AR106" s="12"/>
      <c r="AS106" s="12"/>
      <c r="AT106" s="15"/>
      <c r="AU106" s="12"/>
      <c r="AV106" s="16"/>
      <c r="AW106" s="12"/>
      <c r="AX106" s="15"/>
      <c r="AY106" s="15"/>
      <c r="AZ106" s="15"/>
      <c r="BA106" s="15"/>
      <c r="BB106" s="15"/>
      <c r="BC106" s="15"/>
      <c r="BD106" s="15"/>
      <c r="BE106" s="15"/>
      <c r="BF106" s="15"/>
    </row>
    <row r="107" spans="1:58" ht="19.5" customHeight="1" x14ac:dyDescent="0.2">
      <c r="A107" s="8" t="str">
        <f>IF($B107="","",TEXT($B107,"yyyymmdd")&amp;"-"&amp;SUBSTITUTE($F107," ","")&amp;"-"&amp;TEXT(COUNTIF($F$4:F107,$F107),"00"))</f>
        <v/>
      </c>
      <c r="B107" s="9"/>
      <c r="C107" s="8" t="str">
        <f t="shared" si="17"/>
        <v/>
      </c>
      <c r="D107" s="8" t="str">
        <f t="shared" si="18"/>
        <v/>
      </c>
      <c r="E107" s="10"/>
      <c r="F107" s="10"/>
      <c r="G107" s="8" t="str">
        <f>IF(OR($E107="",$F107=""),"",IFERROR(IF($E107=INDEX(Cluster_Master!$A$4:$A$18,MATCH($F107,Cluster_Master!$B$4:$B$18,0)),"OK","CHECK"),"CHECK"))</f>
        <v/>
      </c>
      <c r="H107" s="11" t="str">
        <f>IFERROR(INDEX(Cluster_Master!$C$4:$C$18,MATCH($F107,Cluster_Master!$B$4:$B$18,0)),"")</f>
        <v/>
      </c>
      <c r="I107" s="8" t="str">
        <f>IFERROR(INDEX(Cluster_Master!$D$4:$D$18,MATCH($F107,Cluster_Master!$B$4:$B$18,0)),"")</f>
        <v/>
      </c>
      <c r="J107" s="8" t="str">
        <f>IFERROR(INDEX(Cluster_Master!$E$4:$E$18,MATCH($F107,Cluster_Master!$B$4:$B$18,0)),"")</f>
        <v/>
      </c>
      <c r="K107" s="8" t="str">
        <f>IFERROR(INDEX(Cluster_Master!$F$4:$F$18,MATCH($F107,Cluster_Master!$B$4:$B$18,0)),"")</f>
        <v/>
      </c>
      <c r="L107" s="8" t="str">
        <f>IFERROR(INDEX(Cluster_Master!$G$4:$G$18,MATCH($F107,Cluster_Master!$B$4:$B$18,0)),"")</f>
        <v/>
      </c>
      <c r="M107" s="8" t="str">
        <f>IFERROR(INDEX(Cluster_Master!$H$4:$H$18,MATCH($F107,Cluster_Master!$B$4:$B$18,0)),"")</f>
        <v/>
      </c>
      <c r="N107" s="12"/>
      <c r="O107" s="12"/>
      <c r="P107" s="12"/>
      <c r="Q107" s="12"/>
      <c r="R107" s="12"/>
      <c r="S107" s="12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8" t="str">
        <f t="shared" si="19"/>
        <v/>
      </c>
      <c r="AJ107" s="14" t="str">
        <f t="shared" si="20"/>
        <v/>
      </c>
      <c r="AK107" s="14" t="str">
        <f>IF(COUNTA(T107:AH107)=0,"",(SUM(T107*KPI_Weights!$B$4,U107*KPI_Weights!$B$5,V107*KPI_Weights!$B$6,W107*KPI_Weights!$B$7,X107*KPI_Weights!$B$8,Y107*KPI_Weights!$B$9,Z107*KPI_Weights!$B$10,AA107*KPI_Weights!$B$11,AB107*KPI_Weights!$B$12,AC107*KPI_Weights!$B$13,AD107*KPI_Weights!$B$14,AE107*KPI_Weights!$B$15,AF107*KPI_Weights!$B$16,AG107*KPI_Weights!$B$17,AH107*KPI_Weights!$B$18))/5)</f>
        <v/>
      </c>
      <c r="AL107" s="8" t="str">
        <f t="shared" si="21"/>
        <v/>
      </c>
      <c r="AM107" s="8" t="str">
        <f t="shared" si="22"/>
        <v/>
      </c>
      <c r="AN107" s="8" t="str">
        <f t="shared" si="23"/>
        <v/>
      </c>
      <c r="AO107" s="12"/>
      <c r="AP107" s="12"/>
      <c r="AQ107" s="12"/>
      <c r="AR107" s="12"/>
      <c r="AS107" s="12"/>
      <c r="AT107" s="15"/>
      <c r="AU107" s="12"/>
      <c r="AV107" s="16"/>
      <c r="AW107" s="12"/>
      <c r="AX107" s="15"/>
      <c r="AY107" s="15"/>
      <c r="AZ107" s="15"/>
      <c r="BA107" s="15"/>
      <c r="BB107" s="15"/>
      <c r="BC107" s="15"/>
      <c r="BD107" s="15"/>
      <c r="BE107" s="15"/>
      <c r="BF107" s="15"/>
    </row>
    <row r="108" spans="1:58" ht="19.5" customHeight="1" x14ac:dyDescent="0.2">
      <c r="A108" s="8" t="str">
        <f>IF($B108="","",TEXT($B108,"yyyymmdd")&amp;"-"&amp;SUBSTITUTE($F108," ","")&amp;"-"&amp;TEXT(COUNTIF($F$4:F108,$F108),"00"))</f>
        <v/>
      </c>
      <c r="B108" s="9"/>
      <c r="C108" s="8" t="str">
        <f t="shared" si="17"/>
        <v/>
      </c>
      <c r="D108" s="8" t="str">
        <f t="shared" si="18"/>
        <v/>
      </c>
      <c r="E108" s="10"/>
      <c r="F108" s="10"/>
      <c r="G108" s="8" t="str">
        <f>IF(OR($E108="",$F108=""),"",IFERROR(IF($E108=INDEX(Cluster_Master!$A$4:$A$18,MATCH($F108,Cluster_Master!$B$4:$B$18,0)),"OK","CHECK"),"CHECK"))</f>
        <v/>
      </c>
      <c r="H108" s="11" t="str">
        <f>IFERROR(INDEX(Cluster_Master!$C$4:$C$18,MATCH($F108,Cluster_Master!$B$4:$B$18,0)),"")</f>
        <v/>
      </c>
      <c r="I108" s="8" t="str">
        <f>IFERROR(INDEX(Cluster_Master!$D$4:$D$18,MATCH($F108,Cluster_Master!$B$4:$B$18,0)),"")</f>
        <v/>
      </c>
      <c r="J108" s="8" t="str">
        <f>IFERROR(INDEX(Cluster_Master!$E$4:$E$18,MATCH($F108,Cluster_Master!$B$4:$B$18,0)),"")</f>
        <v/>
      </c>
      <c r="K108" s="8" t="str">
        <f>IFERROR(INDEX(Cluster_Master!$F$4:$F$18,MATCH($F108,Cluster_Master!$B$4:$B$18,0)),"")</f>
        <v/>
      </c>
      <c r="L108" s="8" t="str">
        <f>IFERROR(INDEX(Cluster_Master!$G$4:$G$18,MATCH($F108,Cluster_Master!$B$4:$B$18,0)),"")</f>
        <v/>
      </c>
      <c r="M108" s="8" t="str">
        <f>IFERROR(INDEX(Cluster_Master!$H$4:$H$18,MATCH($F108,Cluster_Master!$B$4:$B$18,0)),"")</f>
        <v/>
      </c>
      <c r="N108" s="12"/>
      <c r="O108" s="12"/>
      <c r="P108" s="12"/>
      <c r="Q108" s="12"/>
      <c r="R108" s="12"/>
      <c r="S108" s="12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8" t="str">
        <f t="shared" si="19"/>
        <v/>
      </c>
      <c r="AJ108" s="14" t="str">
        <f t="shared" si="20"/>
        <v/>
      </c>
      <c r="AK108" s="14" t="str">
        <f>IF(COUNTA(T108:AH108)=0,"",(SUM(T108*KPI_Weights!$B$4,U108*KPI_Weights!$B$5,V108*KPI_Weights!$B$6,W108*KPI_Weights!$B$7,X108*KPI_Weights!$B$8,Y108*KPI_Weights!$B$9,Z108*KPI_Weights!$B$10,AA108*KPI_Weights!$B$11,AB108*KPI_Weights!$B$12,AC108*KPI_Weights!$B$13,AD108*KPI_Weights!$B$14,AE108*KPI_Weights!$B$15,AF108*KPI_Weights!$B$16,AG108*KPI_Weights!$B$17,AH108*KPI_Weights!$B$18))/5)</f>
        <v/>
      </c>
      <c r="AL108" s="8" t="str">
        <f t="shared" si="21"/>
        <v/>
      </c>
      <c r="AM108" s="8" t="str">
        <f t="shared" si="22"/>
        <v/>
      </c>
      <c r="AN108" s="8" t="str">
        <f t="shared" si="23"/>
        <v/>
      </c>
      <c r="AO108" s="12"/>
      <c r="AP108" s="12"/>
      <c r="AQ108" s="12"/>
      <c r="AR108" s="12"/>
      <c r="AS108" s="12"/>
      <c r="AT108" s="15"/>
      <c r="AU108" s="12"/>
      <c r="AV108" s="16"/>
      <c r="AW108" s="12"/>
      <c r="AX108" s="15"/>
      <c r="AY108" s="15"/>
      <c r="AZ108" s="15"/>
      <c r="BA108" s="15"/>
      <c r="BB108" s="15"/>
      <c r="BC108" s="15"/>
      <c r="BD108" s="15"/>
      <c r="BE108" s="15"/>
      <c r="BF108" s="15"/>
    </row>
    <row r="109" spans="1:58" ht="19.5" customHeight="1" x14ac:dyDescent="0.2">
      <c r="A109" s="8" t="str">
        <f>IF($B109="","",TEXT($B109,"yyyymmdd")&amp;"-"&amp;SUBSTITUTE($F109," ","")&amp;"-"&amp;TEXT(COUNTIF($F$4:F109,$F109),"00"))</f>
        <v/>
      </c>
      <c r="B109" s="9"/>
      <c r="C109" s="8" t="str">
        <f t="shared" si="17"/>
        <v/>
      </c>
      <c r="D109" s="8" t="str">
        <f t="shared" si="18"/>
        <v/>
      </c>
      <c r="E109" s="10"/>
      <c r="F109" s="10"/>
      <c r="G109" s="8" t="str">
        <f>IF(OR($E109="",$F109=""),"",IFERROR(IF($E109=INDEX(Cluster_Master!$A$4:$A$18,MATCH($F109,Cluster_Master!$B$4:$B$18,0)),"OK","CHECK"),"CHECK"))</f>
        <v/>
      </c>
      <c r="H109" s="11" t="str">
        <f>IFERROR(INDEX(Cluster_Master!$C$4:$C$18,MATCH($F109,Cluster_Master!$B$4:$B$18,0)),"")</f>
        <v/>
      </c>
      <c r="I109" s="8" t="str">
        <f>IFERROR(INDEX(Cluster_Master!$D$4:$D$18,MATCH($F109,Cluster_Master!$B$4:$B$18,0)),"")</f>
        <v/>
      </c>
      <c r="J109" s="8" t="str">
        <f>IFERROR(INDEX(Cluster_Master!$E$4:$E$18,MATCH($F109,Cluster_Master!$B$4:$B$18,0)),"")</f>
        <v/>
      </c>
      <c r="K109" s="8" t="str">
        <f>IFERROR(INDEX(Cluster_Master!$F$4:$F$18,MATCH($F109,Cluster_Master!$B$4:$B$18,0)),"")</f>
        <v/>
      </c>
      <c r="L109" s="8" t="str">
        <f>IFERROR(INDEX(Cluster_Master!$G$4:$G$18,MATCH($F109,Cluster_Master!$B$4:$B$18,0)),"")</f>
        <v/>
      </c>
      <c r="M109" s="8" t="str">
        <f>IFERROR(INDEX(Cluster_Master!$H$4:$H$18,MATCH($F109,Cluster_Master!$B$4:$B$18,0)),"")</f>
        <v/>
      </c>
      <c r="N109" s="12"/>
      <c r="O109" s="12"/>
      <c r="P109" s="12"/>
      <c r="Q109" s="12"/>
      <c r="R109" s="12"/>
      <c r="S109" s="12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8" t="str">
        <f t="shared" si="19"/>
        <v/>
      </c>
      <c r="AJ109" s="14" t="str">
        <f t="shared" si="20"/>
        <v/>
      </c>
      <c r="AK109" s="14" t="str">
        <f>IF(COUNTA(T109:AH109)=0,"",(SUM(T109*KPI_Weights!$B$4,U109*KPI_Weights!$B$5,V109*KPI_Weights!$B$6,W109*KPI_Weights!$B$7,X109*KPI_Weights!$B$8,Y109*KPI_Weights!$B$9,Z109*KPI_Weights!$B$10,AA109*KPI_Weights!$B$11,AB109*KPI_Weights!$B$12,AC109*KPI_Weights!$B$13,AD109*KPI_Weights!$B$14,AE109*KPI_Weights!$B$15,AF109*KPI_Weights!$B$16,AG109*KPI_Weights!$B$17,AH109*KPI_Weights!$B$18))/5)</f>
        <v/>
      </c>
      <c r="AL109" s="8" t="str">
        <f t="shared" si="21"/>
        <v/>
      </c>
      <c r="AM109" s="8" t="str">
        <f t="shared" si="22"/>
        <v/>
      </c>
      <c r="AN109" s="8" t="str">
        <f t="shared" si="23"/>
        <v/>
      </c>
      <c r="AO109" s="12"/>
      <c r="AP109" s="12"/>
      <c r="AQ109" s="12"/>
      <c r="AR109" s="12"/>
      <c r="AS109" s="12"/>
      <c r="AT109" s="15"/>
      <c r="AU109" s="12"/>
      <c r="AV109" s="16"/>
      <c r="AW109" s="12"/>
      <c r="AX109" s="15"/>
      <c r="AY109" s="15"/>
      <c r="AZ109" s="15"/>
      <c r="BA109" s="15"/>
      <c r="BB109" s="15"/>
      <c r="BC109" s="15"/>
      <c r="BD109" s="15"/>
      <c r="BE109" s="15"/>
      <c r="BF109" s="15"/>
    </row>
    <row r="110" spans="1:58" ht="19.5" customHeight="1" x14ac:dyDescent="0.2">
      <c r="A110" s="8" t="str">
        <f>IF($B110="","",TEXT($B110,"yyyymmdd")&amp;"-"&amp;SUBSTITUTE($F110," ","")&amp;"-"&amp;TEXT(COUNTIF($F$4:F110,$F110),"00"))</f>
        <v/>
      </c>
      <c r="B110" s="9"/>
      <c r="C110" s="8" t="str">
        <f t="shared" si="17"/>
        <v/>
      </c>
      <c r="D110" s="8" t="str">
        <f t="shared" si="18"/>
        <v/>
      </c>
      <c r="E110" s="10"/>
      <c r="F110" s="10"/>
      <c r="G110" s="8" t="str">
        <f>IF(OR($E110="",$F110=""),"",IFERROR(IF($E110=INDEX(Cluster_Master!$A$4:$A$18,MATCH($F110,Cluster_Master!$B$4:$B$18,0)),"OK","CHECK"),"CHECK"))</f>
        <v/>
      </c>
      <c r="H110" s="11" t="str">
        <f>IFERROR(INDEX(Cluster_Master!$C$4:$C$18,MATCH($F110,Cluster_Master!$B$4:$B$18,0)),"")</f>
        <v/>
      </c>
      <c r="I110" s="8" t="str">
        <f>IFERROR(INDEX(Cluster_Master!$D$4:$D$18,MATCH($F110,Cluster_Master!$B$4:$B$18,0)),"")</f>
        <v/>
      </c>
      <c r="J110" s="8" t="str">
        <f>IFERROR(INDEX(Cluster_Master!$E$4:$E$18,MATCH($F110,Cluster_Master!$B$4:$B$18,0)),"")</f>
        <v/>
      </c>
      <c r="K110" s="8" t="str">
        <f>IFERROR(INDEX(Cluster_Master!$F$4:$F$18,MATCH($F110,Cluster_Master!$B$4:$B$18,0)),"")</f>
        <v/>
      </c>
      <c r="L110" s="8" t="str">
        <f>IFERROR(INDEX(Cluster_Master!$G$4:$G$18,MATCH($F110,Cluster_Master!$B$4:$B$18,0)),"")</f>
        <v/>
      </c>
      <c r="M110" s="8" t="str">
        <f>IFERROR(INDEX(Cluster_Master!$H$4:$H$18,MATCH($F110,Cluster_Master!$B$4:$B$18,0)),"")</f>
        <v/>
      </c>
      <c r="N110" s="12"/>
      <c r="O110" s="12"/>
      <c r="P110" s="12"/>
      <c r="Q110" s="12"/>
      <c r="R110" s="12"/>
      <c r="S110" s="12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8" t="str">
        <f t="shared" si="19"/>
        <v/>
      </c>
      <c r="AJ110" s="14" t="str">
        <f t="shared" si="20"/>
        <v/>
      </c>
      <c r="AK110" s="14" t="str">
        <f>IF(COUNTA(T110:AH110)=0,"",(SUM(T110*KPI_Weights!$B$4,U110*KPI_Weights!$B$5,V110*KPI_Weights!$B$6,W110*KPI_Weights!$B$7,X110*KPI_Weights!$B$8,Y110*KPI_Weights!$B$9,Z110*KPI_Weights!$B$10,AA110*KPI_Weights!$B$11,AB110*KPI_Weights!$B$12,AC110*KPI_Weights!$B$13,AD110*KPI_Weights!$B$14,AE110*KPI_Weights!$B$15,AF110*KPI_Weights!$B$16,AG110*KPI_Weights!$B$17,AH110*KPI_Weights!$B$18))/5)</f>
        <v/>
      </c>
      <c r="AL110" s="8" t="str">
        <f t="shared" si="21"/>
        <v/>
      </c>
      <c r="AM110" s="8" t="str">
        <f t="shared" si="22"/>
        <v/>
      </c>
      <c r="AN110" s="8" t="str">
        <f t="shared" si="23"/>
        <v/>
      </c>
      <c r="AO110" s="12"/>
      <c r="AP110" s="12"/>
      <c r="AQ110" s="12"/>
      <c r="AR110" s="12"/>
      <c r="AS110" s="12"/>
      <c r="AT110" s="15"/>
      <c r="AU110" s="12"/>
      <c r="AV110" s="16"/>
      <c r="AW110" s="12"/>
      <c r="AX110" s="15"/>
      <c r="AY110" s="15"/>
      <c r="AZ110" s="15"/>
      <c r="BA110" s="15"/>
      <c r="BB110" s="15"/>
      <c r="BC110" s="15"/>
      <c r="BD110" s="15"/>
      <c r="BE110" s="15"/>
      <c r="BF110" s="15"/>
    </row>
    <row r="111" spans="1:58" ht="19.5" customHeight="1" x14ac:dyDescent="0.2">
      <c r="A111" s="8" t="str">
        <f>IF($B111="","",TEXT($B111,"yyyymmdd")&amp;"-"&amp;SUBSTITUTE($F111," ","")&amp;"-"&amp;TEXT(COUNTIF($F$4:F111,$F111),"00"))</f>
        <v/>
      </c>
      <c r="B111" s="9"/>
      <c r="C111" s="8" t="str">
        <f t="shared" si="17"/>
        <v/>
      </c>
      <c r="D111" s="8" t="str">
        <f t="shared" si="18"/>
        <v/>
      </c>
      <c r="E111" s="10"/>
      <c r="F111" s="10"/>
      <c r="G111" s="8" t="str">
        <f>IF(OR($E111="",$F111=""),"",IFERROR(IF($E111=INDEX(Cluster_Master!$A$4:$A$18,MATCH($F111,Cluster_Master!$B$4:$B$18,0)),"OK","CHECK"),"CHECK"))</f>
        <v/>
      </c>
      <c r="H111" s="11" t="str">
        <f>IFERROR(INDEX(Cluster_Master!$C$4:$C$18,MATCH($F111,Cluster_Master!$B$4:$B$18,0)),"")</f>
        <v/>
      </c>
      <c r="I111" s="8" t="str">
        <f>IFERROR(INDEX(Cluster_Master!$D$4:$D$18,MATCH($F111,Cluster_Master!$B$4:$B$18,0)),"")</f>
        <v/>
      </c>
      <c r="J111" s="8" t="str">
        <f>IFERROR(INDEX(Cluster_Master!$E$4:$E$18,MATCH($F111,Cluster_Master!$B$4:$B$18,0)),"")</f>
        <v/>
      </c>
      <c r="K111" s="8" t="str">
        <f>IFERROR(INDEX(Cluster_Master!$F$4:$F$18,MATCH($F111,Cluster_Master!$B$4:$B$18,0)),"")</f>
        <v/>
      </c>
      <c r="L111" s="8" t="str">
        <f>IFERROR(INDEX(Cluster_Master!$G$4:$G$18,MATCH($F111,Cluster_Master!$B$4:$B$18,0)),"")</f>
        <v/>
      </c>
      <c r="M111" s="8" t="str">
        <f>IFERROR(INDEX(Cluster_Master!$H$4:$H$18,MATCH($F111,Cluster_Master!$B$4:$B$18,0)),"")</f>
        <v/>
      </c>
      <c r="N111" s="12"/>
      <c r="O111" s="12"/>
      <c r="P111" s="12"/>
      <c r="Q111" s="12"/>
      <c r="R111" s="12"/>
      <c r="S111" s="12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8" t="str">
        <f t="shared" si="19"/>
        <v/>
      </c>
      <c r="AJ111" s="14" t="str">
        <f t="shared" si="20"/>
        <v/>
      </c>
      <c r="AK111" s="14" t="str">
        <f>IF(COUNTA(T111:AH111)=0,"",(SUM(T111*KPI_Weights!$B$4,U111*KPI_Weights!$B$5,V111*KPI_Weights!$B$6,W111*KPI_Weights!$B$7,X111*KPI_Weights!$B$8,Y111*KPI_Weights!$B$9,Z111*KPI_Weights!$B$10,AA111*KPI_Weights!$B$11,AB111*KPI_Weights!$B$12,AC111*KPI_Weights!$B$13,AD111*KPI_Weights!$B$14,AE111*KPI_Weights!$B$15,AF111*KPI_Weights!$B$16,AG111*KPI_Weights!$B$17,AH111*KPI_Weights!$B$18))/5)</f>
        <v/>
      </c>
      <c r="AL111" s="8" t="str">
        <f t="shared" si="21"/>
        <v/>
      </c>
      <c r="AM111" s="8" t="str">
        <f t="shared" si="22"/>
        <v/>
      </c>
      <c r="AN111" s="8" t="str">
        <f t="shared" si="23"/>
        <v/>
      </c>
      <c r="AO111" s="12"/>
      <c r="AP111" s="12"/>
      <c r="AQ111" s="12"/>
      <c r="AR111" s="12"/>
      <c r="AS111" s="12"/>
      <c r="AT111" s="15"/>
      <c r="AU111" s="12"/>
      <c r="AV111" s="16"/>
      <c r="AW111" s="12"/>
      <c r="AX111" s="15"/>
      <c r="AY111" s="15"/>
      <c r="AZ111" s="15"/>
      <c r="BA111" s="15"/>
      <c r="BB111" s="15"/>
      <c r="BC111" s="15"/>
      <c r="BD111" s="15"/>
      <c r="BE111" s="15"/>
      <c r="BF111" s="15"/>
    </row>
    <row r="112" spans="1:58" ht="19.5" customHeight="1" x14ac:dyDescent="0.2">
      <c r="A112" s="8" t="str">
        <f>IF($B112="","",TEXT($B112,"yyyymmdd")&amp;"-"&amp;SUBSTITUTE($F112," ","")&amp;"-"&amp;TEXT(COUNTIF($F$4:F112,$F112),"00"))</f>
        <v/>
      </c>
      <c r="B112" s="9"/>
      <c r="C112" s="8" t="str">
        <f t="shared" si="17"/>
        <v/>
      </c>
      <c r="D112" s="8" t="str">
        <f t="shared" si="18"/>
        <v/>
      </c>
      <c r="E112" s="10"/>
      <c r="F112" s="10"/>
      <c r="G112" s="8" t="str">
        <f>IF(OR($E112="",$F112=""),"",IFERROR(IF($E112=INDEX(Cluster_Master!$A$4:$A$18,MATCH($F112,Cluster_Master!$B$4:$B$18,0)),"OK","CHECK"),"CHECK"))</f>
        <v/>
      </c>
      <c r="H112" s="11" t="str">
        <f>IFERROR(INDEX(Cluster_Master!$C$4:$C$18,MATCH($F112,Cluster_Master!$B$4:$B$18,0)),"")</f>
        <v/>
      </c>
      <c r="I112" s="8" t="str">
        <f>IFERROR(INDEX(Cluster_Master!$D$4:$D$18,MATCH($F112,Cluster_Master!$B$4:$B$18,0)),"")</f>
        <v/>
      </c>
      <c r="J112" s="8" t="str">
        <f>IFERROR(INDEX(Cluster_Master!$E$4:$E$18,MATCH($F112,Cluster_Master!$B$4:$B$18,0)),"")</f>
        <v/>
      </c>
      <c r="K112" s="8" t="str">
        <f>IFERROR(INDEX(Cluster_Master!$F$4:$F$18,MATCH($F112,Cluster_Master!$B$4:$B$18,0)),"")</f>
        <v/>
      </c>
      <c r="L112" s="8" t="str">
        <f>IFERROR(INDEX(Cluster_Master!$G$4:$G$18,MATCH($F112,Cluster_Master!$B$4:$B$18,0)),"")</f>
        <v/>
      </c>
      <c r="M112" s="8" t="str">
        <f>IFERROR(INDEX(Cluster_Master!$H$4:$H$18,MATCH($F112,Cluster_Master!$B$4:$B$18,0)),"")</f>
        <v/>
      </c>
      <c r="N112" s="12"/>
      <c r="O112" s="12"/>
      <c r="P112" s="12"/>
      <c r="Q112" s="12"/>
      <c r="R112" s="12"/>
      <c r="S112" s="12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8" t="str">
        <f t="shared" si="19"/>
        <v/>
      </c>
      <c r="AJ112" s="14" t="str">
        <f t="shared" si="20"/>
        <v/>
      </c>
      <c r="AK112" s="14" t="str">
        <f>IF(COUNTA(T112:AH112)=0,"",(SUM(T112*KPI_Weights!$B$4,U112*KPI_Weights!$B$5,V112*KPI_Weights!$B$6,W112*KPI_Weights!$B$7,X112*KPI_Weights!$B$8,Y112*KPI_Weights!$B$9,Z112*KPI_Weights!$B$10,AA112*KPI_Weights!$B$11,AB112*KPI_Weights!$B$12,AC112*KPI_Weights!$B$13,AD112*KPI_Weights!$B$14,AE112*KPI_Weights!$B$15,AF112*KPI_Weights!$B$16,AG112*KPI_Weights!$B$17,AH112*KPI_Weights!$B$18))/5)</f>
        <v/>
      </c>
      <c r="AL112" s="8" t="str">
        <f t="shared" si="21"/>
        <v/>
      </c>
      <c r="AM112" s="8" t="str">
        <f t="shared" si="22"/>
        <v/>
      </c>
      <c r="AN112" s="8" t="str">
        <f t="shared" si="23"/>
        <v/>
      </c>
      <c r="AO112" s="12"/>
      <c r="AP112" s="12"/>
      <c r="AQ112" s="12"/>
      <c r="AR112" s="12"/>
      <c r="AS112" s="12"/>
      <c r="AT112" s="15"/>
      <c r="AU112" s="12"/>
      <c r="AV112" s="16"/>
      <c r="AW112" s="12"/>
      <c r="AX112" s="15"/>
      <c r="AY112" s="15"/>
      <c r="AZ112" s="15"/>
      <c r="BA112" s="15"/>
      <c r="BB112" s="15"/>
      <c r="BC112" s="15"/>
      <c r="BD112" s="15"/>
      <c r="BE112" s="15"/>
      <c r="BF112" s="15"/>
    </row>
    <row r="113" spans="1:58" ht="19.5" customHeight="1" x14ac:dyDescent="0.2">
      <c r="A113" s="8" t="str">
        <f>IF($B113="","",TEXT($B113,"yyyymmdd")&amp;"-"&amp;SUBSTITUTE($F113," ","")&amp;"-"&amp;TEXT(COUNTIF($F$4:F113,$F113),"00"))</f>
        <v/>
      </c>
      <c r="B113" s="9"/>
      <c r="C113" s="8" t="str">
        <f t="shared" si="17"/>
        <v/>
      </c>
      <c r="D113" s="8" t="str">
        <f t="shared" si="18"/>
        <v/>
      </c>
      <c r="E113" s="10"/>
      <c r="F113" s="10"/>
      <c r="G113" s="8" t="str">
        <f>IF(OR($E113="",$F113=""),"",IFERROR(IF($E113=INDEX(Cluster_Master!$A$4:$A$18,MATCH($F113,Cluster_Master!$B$4:$B$18,0)),"OK","CHECK"),"CHECK"))</f>
        <v/>
      </c>
      <c r="H113" s="11" t="str">
        <f>IFERROR(INDEX(Cluster_Master!$C$4:$C$18,MATCH($F113,Cluster_Master!$B$4:$B$18,0)),"")</f>
        <v/>
      </c>
      <c r="I113" s="8" t="str">
        <f>IFERROR(INDEX(Cluster_Master!$D$4:$D$18,MATCH($F113,Cluster_Master!$B$4:$B$18,0)),"")</f>
        <v/>
      </c>
      <c r="J113" s="8" t="str">
        <f>IFERROR(INDEX(Cluster_Master!$E$4:$E$18,MATCH($F113,Cluster_Master!$B$4:$B$18,0)),"")</f>
        <v/>
      </c>
      <c r="K113" s="8" t="str">
        <f>IFERROR(INDEX(Cluster_Master!$F$4:$F$18,MATCH($F113,Cluster_Master!$B$4:$B$18,0)),"")</f>
        <v/>
      </c>
      <c r="L113" s="8" t="str">
        <f>IFERROR(INDEX(Cluster_Master!$G$4:$G$18,MATCH($F113,Cluster_Master!$B$4:$B$18,0)),"")</f>
        <v/>
      </c>
      <c r="M113" s="8" t="str">
        <f>IFERROR(INDEX(Cluster_Master!$H$4:$H$18,MATCH($F113,Cluster_Master!$B$4:$B$18,0)),"")</f>
        <v/>
      </c>
      <c r="N113" s="12"/>
      <c r="O113" s="12"/>
      <c r="P113" s="12"/>
      <c r="Q113" s="12"/>
      <c r="R113" s="12"/>
      <c r="S113" s="12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8" t="str">
        <f t="shared" si="19"/>
        <v/>
      </c>
      <c r="AJ113" s="14" t="str">
        <f t="shared" si="20"/>
        <v/>
      </c>
      <c r="AK113" s="14" t="str">
        <f>IF(COUNTA(T113:AH113)=0,"",(SUM(T113*KPI_Weights!$B$4,U113*KPI_Weights!$B$5,V113*KPI_Weights!$B$6,W113*KPI_Weights!$B$7,X113*KPI_Weights!$B$8,Y113*KPI_Weights!$B$9,Z113*KPI_Weights!$B$10,AA113*KPI_Weights!$B$11,AB113*KPI_Weights!$B$12,AC113*KPI_Weights!$B$13,AD113*KPI_Weights!$B$14,AE113*KPI_Weights!$B$15,AF113*KPI_Weights!$B$16,AG113*KPI_Weights!$B$17,AH113*KPI_Weights!$B$18))/5)</f>
        <v/>
      </c>
      <c r="AL113" s="8" t="str">
        <f t="shared" si="21"/>
        <v/>
      </c>
      <c r="AM113" s="8" t="str">
        <f t="shared" si="22"/>
        <v/>
      </c>
      <c r="AN113" s="8" t="str">
        <f t="shared" si="23"/>
        <v/>
      </c>
      <c r="AO113" s="12"/>
      <c r="AP113" s="12"/>
      <c r="AQ113" s="12"/>
      <c r="AR113" s="12"/>
      <c r="AS113" s="12"/>
      <c r="AT113" s="15"/>
      <c r="AU113" s="12"/>
      <c r="AV113" s="16"/>
      <c r="AW113" s="12"/>
      <c r="AX113" s="15"/>
      <c r="AY113" s="15"/>
      <c r="AZ113" s="15"/>
      <c r="BA113" s="15"/>
      <c r="BB113" s="15"/>
      <c r="BC113" s="15"/>
      <c r="BD113" s="15"/>
      <c r="BE113" s="15"/>
      <c r="BF113" s="15"/>
    </row>
    <row r="114" spans="1:58" ht="19.5" customHeight="1" x14ac:dyDescent="0.2">
      <c r="A114" s="8" t="str">
        <f>IF($B114="","",TEXT($B114,"yyyymmdd")&amp;"-"&amp;SUBSTITUTE($F114," ","")&amp;"-"&amp;TEXT(COUNTIF($F$4:F114,$F114),"00"))</f>
        <v/>
      </c>
      <c r="B114" s="9"/>
      <c r="C114" s="8" t="str">
        <f t="shared" si="17"/>
        <v/>
      </c>
      <c r="D114" s="8" t="str">
        <f t="shared" si="18"/>
        <v/>
      </c>
      <c r="E114" s="10"/>
      <c r="F114" s="10"/>
      <c r="G114" s="8" t="str">
        <f>IF(OR($E114="",$F114=""),"",IFERROR(IF($E114=INDEX(Cluster_Master!$A$4:$A$18,MATCH($F114,Cluster_Master!$B$4:$B$18,0)),"OK","CHECK"),"CHECK"))</f>
        <v/>
      </c>
      <c r="H114" s="11" t="str">
        <f>IFERROR(INDEX(Cluster_Master!$C$4:$C$18,MATCH($F114,Cluster_Master!$B$4:$B$18,0)),"")</f>
        <v/>
      </c>
      <c r="I114" s="8" t="str">
        <f>IFERROR(INDEX(Cluster_Master!$D$4:$D$18,MATCH($F114,Cluster_Master!$B$4:$B$18,0)),"")</f>
        <v/>
      </c>
      <c r="J114" s="8" t="str">
        <f>IFERROR(INDEX(Cluster_Master!$E$4:$E$18,MATCH($F114,Cluster_Master!$B$4:$B$18,0)),"")</f>
        <v/>
      </c>
      <c r="K114" s="8" t="str">
        <f>IFERROR(INDEX(Cluster_Master!$F$4:$F$18,MATCH($F114,Cluster_Master!$B$4:$B$18,0)),"")</f>
        <v/>
      </c>
      <c r="L114" s="8" t="str">
        <f>IFERROR(INDEX(Cluster_Master!$G$4:$G$18,MATCH($F114,Cluster_Master!$B$4:$B$18,0)),"")</f>
        <v/>
      </c>
      <c r="M114" s="8" t="str">
        <f>IFERROR(INDEX(Cluster_Master!$H$4:$H$18,MATCH($F114,Cluster_Master!$B$4:$B$18,0)),"")</f>
        <v/>
      </c>
      <c r="N114" s="12"/>
      <c r="O114" s="12"/>
      <c r="P114" s="12"/>
      <c r="Q114" s="12"/>
      <c r="R114" s="12"/>
      <c r="S114" s="12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8" t="str">
        <f t="shared" si="19"/>
        <v/>
      </c>
      <c r="AJ114" s="14" t="str">
        <f t="shared" si="20"/>
        <v/>
      </c>
      <c r="AK114" s="14" t="str">
        <f>IF(COUNTA(T114:AH114)=0,"",(SUM(T114*KPI_Weights!$B$4,U114*KPI_Weights!$B$5,V114*KPI_Weights!$B$6,W114*KPI_Weights!$B$7,X114*KPI_Weights!$B$8,Y114*KPI_Weights!$B$9,Z114*KPI_Weights!$B$10,AA114*KPI_Weights!$B$11,AB114*KPI_Weights!$B$12,AC114*KPI_Weights!$B$13,AD114*KPI_Weights!$B$14,AE114*KPI_Weights!$B$15,AF114*KPI_Weights!$B$16,AG114*KPI_Weights!$B$17,AH114*KPI_Weights!$B$18))/5)</f>
        <v/>
      </c>
      <c r="AL114" s="8" t="str">
        <f t="shared" si="21"/>
        <v/>
      </c>
      <c r="AM114" s="8" t="str">
        <f t="shared" si="22"/>
        <v/>
      </c>
      <c r="AN114" s="8" t="str">
        <f t="shared" si="23"/>
        <v/>
      </c>
      <c r="AO114" s="12"/>
      <c r="AP114" s="12"/>
      <c r="AQ114" s="12"/>
      <c r="AR114" s="12"/>
      <c r="AS114" s="12"/>
      <c r="AT114" s="15"/>
      <c r="AU114" s="12"/>
      <c r="AV114" s="16"/>
      <c r="AW114" s="12"/>
      <c r="AX114" s="15"/>
      <c r="AY114" s="15"/>
      <c r="AZ114" s="15"/>
      <c r="BA114" s="15"/>
      <c r="BB114" s="15"/>
      <c r="BC114" s="15"/>
      <c r="BD114" s="15"/>
      <c r="BE114" s="15"/>
      <c r="BF114" s="15"/>
    </row>
    <row r="115" spans="1:58" ht="19.5" customHeight="1" x14ac:dyDescent="0.2">
      <c r="A115" s="8" t="str">
        <f>IF($B115="","",TEXT($B115,"yyyymmdd")&amp;"-"&amp;SUBSTITUTE($F115," ","")&amp;"-"&amp;TEXT(COUNTIF($F$4:F115,$F115),"00"))</f>
        <v/>
      </c>
      <c r="B115" s="9"/>
      <c r="C115" s="8" t="str">
        <f t="shared" si="17"/>
        <v/>
      </c>
      <c r="D115" s="8" t="str">
        <f t="shared" si="18"/>
        <v/>
      </c>
      <c r="E115" s="10"/>
      <c r="F115" s="10"/>
      <c r="G115" s="8" t="str">
        <f>IF(OR($E115="",$F115=""),"",IFERROR(IF($E115=INDEX(Cluster_Master!$A$4:$A$18,MATCH($F115,Cluster_Master!$B$4:$B$18,0)),"OK","CHECK"),"CHECK"))</f>
        <v/>
      </c>
      <c r="H115" s="11" t="str">
        <f>IFERROR(INDEX(Cluster_Master!$C$4:$C$18,MATCH($F115,Cluster_Master!$B$4:$B$18,0)),"")</f>
        <v/>
      </c>
      <c r="I115" s="8" t="str">
        <f>IFERROR(INDEX(Cluster_Master!$D$4:$D$18,MATCH($F115,Cluster_Master!$B$4:$B$18,0)),"")</f>
        <v/>
      </c>
      <c r="J115" s="8" t="str">
        <f>IFERROR(INDEX(Cluster_Master!$E$4:$E$18,MATCH($F115,Cluster_Master!$B$4:$B$18,0)),"")</f>
        <v/>
      </c>
      <c r="K115" s="8" t="str">
        <f>IFERROR(INDEX(Cluster_Master!$F$4:$F$18,MATCH($F115,Cluster_Master!$B$4:$B$18,0)),"")</f>
        <v/>
      </c>
      <c r="L115" s="8" t="str">
        <f>IFERROR(INDEX(Cluster_Master!$G$4:$G$18,MATCH($F115,Cluster_Master!$B$4:$B$18,0)),"")</f>
        <v/>
      </c>
      <c r="M115" s="8" t="str">
        <f>IFERROR(INDEX(Cluster_Master!$H$4:$H$18,MATCH($F115,Cluster_Master!$B$4:$B$18,0)),"")</f>
        <v/>
      </c>
      <c r="N115" s="12"/>
      <c r="O115" s="12"/>
      <c r="P115" s="12"/>
      <c r="Q115" s="12"/>
      <c r="R115" s="12"/>
      <c r="S115" s="12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8" t="str">
        <f t="shared" si="19"/>
        <v/>
      </c>
      <c r="AJ115" s="14" t="str">
        <f t="shared" si="20"/>
        <v/>
      </c>
      <c r="AK115" s="14" t="str">
        <f>IF(COUNTA(T115:AH115)=0,"",(SUM(T115*KPI_Weights!$B$4,U115*KPI_Weights!$B$5,V115*KPI_Weights!$B$6,W115*KPI_Weights!$B$7,X115*KPI_Weights!$B$8,Y115*KPI_Weights!$B$9,Z115*KPI_Weights!$B$10,AA115*KPI_Weights!$B$11,AB115*KPI_Weights!$B$12,AC115*KPI_Weights!$B$13,AD115*KPI_Weights!$B$14,AE115*KPI_Weights!$B$15,AF115*KPI_Weights!$B$16,AG115*KPI_Weights!$B$17,AH115*KPI_Weights!$B$18))/5)</f>
        <v/>
      </c>
      <c r="AL115" s="8" t="str">
        <f t="shared" si="21"/>
        <v/>
      </c>
      <c r="AM115" s="8" t="str">
        <f t="shared" si="22"/>
        <v/>
      </c>
      <c r="AN115" s="8" t="str">
        <f t="shared" si="23"/>
        <v/>
      </c>
      <c r="AO115" s="12"/>
      <c r="AP115" s="12"/>
      <c r="AQ115" s="12"/>
      <c r="AR115" s="12"/>
      <c r="AS115" s="12"/>
      <c r="AT115" s="15"/>
      <c r="AU115" s="12"/>
      <c r="AV115" s="16"/>
      <c r="AW115" s="12"/>
      <c r="AX115" s="15"/>
      <c r="AY115" s="15"/>
      <c r="AZ115" s="15"/>
      <c r="BA115" s="15"/>
      <c r="BB115" s="15"/>
      <c r="BC115" s="15"/>
      <c r="BD115" s="15"/>
      <c r="BE115" s="15"/>
      <c r="BF115" s="15"/>
    </row>
    <row r="116" spans="1:58" ht="19.5" customHeight="1" x14ac:dyDescent="0.2">
      <c r="A116" s="8" t="str">
        <f>IF($B116="","",TEXT($B116,"yyyymmdd")&amp;"-"&amp;SUBSTITUTE($F116," ","")&amp;"-"&amp;TEXT(COUNTIF($F$4:F116,$F116),"00"))</f>
        <v/>
      </c>
      <c r="B116" s="9"/>
      <c r="C116" s="8" t="str">
        <f t="shared" si="17"/>
        <v/>
      </c>
      <c r="D116" s="8" t="str">
        <f t="shared" si="18"/>
        <v/>
      </c>
      <c r="E116" s="10"/>
      <c r="F116" s="10"/>
      <c r="G116" s="8" t="str">
        <f>IF(OR($E116="",$F116=""),"",IFERROR(IF($E116=INDEX(Cluster_Master!$A$4:$A$18,MATCH($F116,Cluster_Master!$B$4:$B$18,0)),"OK","CHECK"),"CHECK"))</f>
        <v/>
      </c>
      <c r="H116" s="11" t="str">
        <f>IFERROR(INDEX(Cluster_Master!$C$4:$C$18,MATCH($F116,Cluster_Master!$B$4:$B$18,0)),"")</f>
        <v/>
      </c>
      <c r="I116" s="8" t="str">
        <f>IFERROR(INDEX(Cluster_Master!$D$4:$D$18,MATCH($F116,Cluster_Master!$B$4:$B$18,0)),"")</f>
        <v/>
      </c>
      <c r="J116" s="8" t="str">
        <f>IFERROR(INDEX(Cluster_Master!$E$4:$E$18,MATCH($F116,Cluster_Master!$B$4:$B$18,0)),"")</f>
        <v/>
      </c>
      <c r="K116" s="8" t="str">
        <f>IFERROR(INDEX(Cluster_Master!$F$4:$F$18,MATCH($F116,Cluster_Master!$B$4:$B$18,0)),"")</f>
        <v/>
      </c>
      <c r="L116" s="8" t="str">
        <f>IFERROR(INDEX(Cluster_Master!$G$4:$G$18,MATCH($F116,Cluster_Master!$B$4:$B$18,0)),"")</f>
        <v/>
      </c>
      <c r="M116" s="8" t="str">
        <f>IFERROR(INDEX(Cluster_Master!$H$4:$H$18,MATCH($F116,Cluster_Master!$B$4:$B$18,0)),"")</f>
        <v/>
      </c>
      <c r="N116" s="12"/>
      <c r="O116" s="12"/>
      <c r="P116" s="12"/>
      <c r="Q116" s="12"/>
      <c r="R116" s="12"/>
      <c r="S116" s="12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8" t="str">
        <f t="shared" si="19"/>
        <v/>
      </c>
      <c r="AJ116" s="14" t="str">
        <f t="shared" si="20"/>
        <v/>
      </c>
      <c r="AK116" s="14" t="str">
        <f>IF(COUNTA(T116:AH116)=0,"",(SUM(T116*KPI_Weights!$B$4,U116*KPI_Weights!$B$5,V116*KPI_Weights!$B$6,W116*KPI_Weights!$B$7,X116*KPI_Weights!$B$8,Y116*KPI_Weights!$B$9,Z116*KPI_Weights!$B$10,AA116*KPI_Weights!$B$11,AB116*KPI_Weights!$B$12,AC116*KPI_Weights!$B$13,AD116*KPI_Weights!$B$14,AE116*KPI_Weights!$B$15,AF116*KPI_Weights!$B$16,AG116*KPI_Weights!$B$17,AH116*KPI_Weights!$B$18))/5)</f>
        <v/>
      </c>
      <c r="AL116" s="8" t="str">
        <f t="shared" si="21"/>
        <v/>
      </c>
      <c r="AM116" s="8" t="str">
        <f t="shared" si="22"/>
        <v/>
      </c>
      <c r="AN116" s="8" t="str">
        <f t="shared" si="23"/>
        <v/>
      </c>
      <c r="AO116" s="12"/>
      <c r="AP116" s="12"/>
      <c r="AQ116" s="12"/>
      <c r="AR116" s="12"/>
      <c r="AS116" s="12"/>
      <c r="AT116" s="15"/>
      <c r="AU116" s="12"/>
      <c r="AV116" s="16"/>
      <c r="AW116" s="12"/>
      <c r="AX116" s="15"/>
      <c r="AY116" s="15"/>
      <c r="AZ116" s="15"/>
      <c r="BA116" s="15"/>
      <c r="BB116" s="15"/>
      <c r="BC116" s="15"/>
      <c r="BD116" s="15"/>
      <c r="BE116" s="15"/>
      <c r="BF116" s="15"/>
    </row>
    <row r="117" spans="1:58" ht="19.5" customHeight="1" x14ac:dyDescent="0.2">
      <c r="A117" s="8" t="str">
        <f>IF($B117="","",TEXT($B117,"yyyymmdd")&amp;"-"&amp;SUBSTITUTE($F117," ","")&amp;"-"&amp;TEXT(COUNTIF($F$4:F117,$F117),"00"))</f>
        <v/>
      </c>
      <c r="B117" s="9"/>
      <c r="C117" s="8" t="str">
        <f t="shared" si="17"/>
        <v/>
      </c>
      <c r="D117" s="8" t="str">
        <f t="shared" si="18"/>
        <v/>
      </c>
      <c r="E117" s="10"/>
      <c r="F117" s="10"/>
      <c r="G117" s="8" t="str">
        <f>IF(OR($E117="",$F117=""),"",IFERROR(IF($E117=INDEX(Cluster_Master!$A$4:$A$18,MATCH($F117,Cluster_Master!$B$4:$B$18,0)),"OK","CHECK"),"CHECK"))</f>
        <v/>
      </c>
      <c r="H117" s="11" t="str">
        <f>IFERROR(INDEX(Cluster_Master!$C$4:$C$18,MATCH($F117,Cluster_Master!$B$4:$B$18,0)),"")</f>
        <v/>
      </c>
      <c r="I117" s="8" t="str">
        <f>IFERROR(INDEX(Cluster_Master!$D$4:$D$18,MATCH($F117,Cluster_Master!$B$4:$B$18,0)),"")</f>
        <v/>
      </c>
      <c r="J117" s="8" t="str">
        <f>IFERROR(INDEX(Cluster_Master!$E$4:$E$18,MATCH($F117,Cluster_Master!$B$4:$B$18,0)),"")</f>
        <v/>
      </c>
      <c r="K117" s="8" t="str">
        <f>IFERROR(INDEX(Cluster_Master!$F$4:$F$18,MATCH($F117,Cluster_Master!$B$4:$B$18,0)),"")</f>
        <v/>
      </c>
      <c r="L117" s="8" t="str">
        <f>IFERROR(INDEX(Cluster_Master!$G$4:$G$18,MATCH($F117,Cluster_Master!$B$4:$B$18,0)),"")</f>
        <v/>
      </c>
      <c r="M117" s="8" t="str">
        <f>IFERROR(INDEX(Cluster_Master!$H$4:$H$18,MATCH($F117,Cluster_Master!$B$4:$B$18,0)),"")</f>
        <v/>
      </c>
      <c r="N117" s="12"/>
      <c r="O117" s="12"/>
      <c r="P117" s="12"/>
      <c r="Q117" s="12"/>
      <c r="R117" s="12"/>
      <c r="S117" s="12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8" t="str">
        <f t="shared" si="19"/>
        <v/>
      </c>
      <c r="AJ117" s="14" t="str">
        <f t="shared" si="20"/>
        <v/>
      </c>
      <c r="AK117" s="14" t="str">
        <f>IF(COUNTA(T117:AH117)=0,"",(SUM(T117*KPI_Weights!$B$4,U117*KPI_Weights!$B$5,V117*KPI_Weights!$B$6,W117*KPI_Weights!$B$7,X117*KPI_Weights!$B$8,Y117*KPI_Weights!$B$9,Z117*KPI_Weights!$B$10,AA117*KPI_Weights!$B$11,AB117*KPI_Weights!$B$12,AC117*KPI_Weights!$B$13,AD117*KPI_Weights!$B$14,AE117*KPI_Weights!$B$15,AF117*KPI_Weights!$B$16,AG117*KPI_Weights!$B$17,AH117*KPI_Weights!$B$18))/5)</f>
        <v/>
      </c>
      <c r="AL117" s="8" t="str">
        <f t="shared" si="21"/>
        <v/>
      </c>
      <c r="AM117" s="8" t="str">
        <f t="shared" si="22"/>
        <v/>
      </c>
      <c r="AN117" s="8" t="str">
        <f t="shared" si="23"/>
        <v/>
      </c>
      <c r="AO117" s="12"/>
      <c r="AP117" s="12"/>
      <c r="AQ117" s="12"/>
      <c r="AR117" s="12"/>
      <c r="AS117" s="12"/>
      <c r="AT117" s="15"/>
      <c r="AU117" s="12"/>
      <c r="AV117" s="16"/>
      <c r="AW117" s="12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 spans="1:58" ht="19.5" customHeight="1" x14ac:dyDescent="0.2">
      <c r="A118" s="8" t="str">
        <f>IF($B118="","",TEXT($B118,"yyyymmdd")&amp;"-"&amp;SUBSTITUTE($F118," ","")&amp;"-"&amp;TEXT(COUNTIF($F$4:F118,$F118),"00"))</f>
        <v/>
      </c>
      <c r="B118" s="9"/>
      <c r="C118" s="8" t="str">
        <f t="shared" si="17"/>
        <v/>
      </c>
      <c r="D118" s="8" t="str">
        <f t="shared" si="18"/>
        <v/>
      </c>
      <c r="E118" s="10"/>
      <c r="F118" s="10"/>
      <c r="G118" s="8" t="str">
        <f>IF(OR($E118="",$F118=""),"",IFERROR(IF($E118=INDEX(Cluster_Master!$A$4:$A$18,MATCH($F118,Cluster_Master!$B$4:$B$18,0)),"OK","CHECK"),"CHECK"))</f>
        <v/>
      </c>
      <c r="H118" s="11" t="str">
        <f>IFERROR(INDEX(Cluster_Master!$C$4:$C$18,MATCH($F118,Cluster_Master!$B$4:$B$18,0)),"")</f>
        <v/>
      </c>
      <c r="I118" s="8" t="str">
        <f>IFERROR(INDEX(Cluster_Master!$D$4:$D$18,MATCH($F118,Cluster_Master!$B$4:$B$18,0)),"")</f>
        <v/>
      </c>
      <c r="J118" s="8" t="str">
        <f>IFERROR(INDEX(Cluster_Master!$E$4:$E$18,MATCH($F118,Cluster_Master!$B$4:$B$18,0)),"")</f>
        <v/>
      </c>
      <c r="K118" s="8" t="str">
        <f>IFERROR(INDEX(Cluster_Master!$F$4:$F$18,MATCH($F118,Cluster_Master!$B$4:$B$18,0)),"")</f>
        <v/>
      </c>
      <c r="L118" s="8" t="str">
        <f>IFERROR(INDEX(Cluster_Master!$G$4:$G$18,MATCH($F118,Cluster_Master!$B$4:$B$18,0)),"")</f>
        <v/>
      </c>
      <c r="M118" s="8" t="str">
        <f>IFERROR(INDEX(Cluster_Master!$H$4:$H$18,MATCH($F118,Cluster_Master!$B$4:$B$18,0)),"")</f>
        <v/>
      </c>
      <c r="N118" s="12"/>
      <c r="O118" s="12"/>
      <c r="P118" s="12"/>
      <c r="Q118" s="12"/>
      <c r="R118" s="12"/>
      <c r="S118" s="12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8" t="str">
        <f t="shared" si="19"/>
        <v/>
      </c>
      <c r="AJ118" s="14" t="str">
        <f t="shared" si="20"/>
        <v/>
      </c>
      <c r="AK118" s="14" t="str">
        <f>IF(COUNTA(T118:AH118)=0,"",(SUM(T118*KPI_Weights!$B$4,U118*KPI_Weights!$B$5,V118*KPI_Weights!$B$6,W118*KPI_Weights!$B$7,X118*KPI_Weights!$B$8,Y118*KPI_Weights!$B$9,Z118*KPI_Weights!$B$10,AA118*KPI_Weights!$B$11,AB118*KPI_Weights!$B$12,AC118*KPI_Weights!$B$13,AD118*KPI_Weights!$B$14,AE118*KPI_Weights!$B$15,AF118*KPI_Weights!$B$16,AG118*KPI_Weights!$B$17,AH118*KPI_Weights!$B$18))/5)</f>
        <v/>
      </c>
      <c r="AL118" s="8" t="str">
        <f t="shared" si="21"/>
        <v/>
      </c>
      <c r="AM118" s="8" t="str">
        <f t="shared" si="22"/>
        <v/>
      </c>
      <c r="AN118" s="8" t="str">
        <f t="shared" si="23"/>
        <v/>
      </c>
      <c r="AO118" s="12"/>
      <c r="AP118" s="12"/>
      <c r="AQ118" s="12"/>
      <c r="AR118" s="12"/>
      <c r="AS118" s="12"/>
      <c r="AT118" s="15"/>
      <c r="AU118" s="12"/>
      <c r="AV118" s="16"/>
      <c r="AW118" s="12"/>
      <c r="AX118" s="15"/>
      <c r="AY118" s="15"/>
      <c r="AZ118" s="15"/>
      <c r="BA118" s="15"/>
      <c r="BB118" s="15"/>
      <c r="BC118" s="15"/>
      <c r="BD118" s="15"/>
      <c r="BE118" s="15"/>
      <c r="BF118" s="15"/>
    </row>
    <row r="119" spans="1:58" ht="19.5" customHeight="1" x14ac:dyDescent="0.2">
      <c r="A119" s="8" t="str">
        <f>IF($B119="","",TEXT($B119,"yyyymmdd")&amp;"-"&amp;SUBSTITUTE($F119," ","")&amp;"-"&amp;TEXT(COUNTIF($F$4:F119,$F119),"00"))</f>
        <v/>
      </c>
      <c r="B119" s="9"/>
      <c r="C119" s="8" t="str">
        <f t="shared" si="17"/>
        <v/>
      </c>
      <c r="D119" s="8" t="str">
        <f t="shared" si="18"/>
        <v/>
      </c>
      <c r="E119" s="10"/>
      <c r="F119" s="10"/>
      <c r="G119" s="8" t="str">
        <f>IF(OR($E119="",$F119=""),"",IFERROR(IF($E119=INDEX(Cluster_Master!$A$4:$A$18,MATCH($F119,Cluster_Master!$B$4:$B$18,0)),"OK","CHECK"),"CHECK"))</f>
        <v/>
      </c>
      <c r="H119" s="11" t="str">
        <f>IFERROR(INDEX(Cluster_Master!$C$4:$C$18,MATCH($F119,Cluster_Master!$B$4:$B$18,0)),"")</f>
        <v/>
      </c>
      <c r="I119" s="8" t="str">
        <f>IFERROR(INDEX(Cluster_Master!$D$4:$D$18,MATCH($F119,Cluster_Master!$B$4:$B$18,0)),"")</f>
        <v/>
      </c>
      <c r="J119" s="8" t="str">
        <f>IFERROR(INDEX(Cluster_Master!$E$4:$E$18,MATCH($F119,Cluster_Master!$B$4:$B$18,0)),"")</f>
        <v/>
      </c>
      <c r="K119" s="8" t="str">
        <f>IFERROR(INDEX(Cluster_Master!$F$4:$F$18,MATCH($F119,Cluster_Master!$B$4:$B$18,0)),"")</f>
        <v/>
      </c>
      <c r="L119" s="8" t="str">
        <f>IFERROR(INDEX(Cluster_Master!$G$4:$G$18,MATCH($F119,Cluster_Master!$B$4:$B$18,0)),"")</f>
        <v/>
      </c>
      <c r="M119" s="8" t="str">
        <f>IFERROR(INDEX(Cluster_Master!$H$4:$H$18,MATCH($F119,Cluster_Master!$B$4:$B$18,0)),"")</f>
        <v/>
      </c>
      <c r="N119" s="12"/>
      <c r="O119" s="12"/>
      <c r="P119" s="12"/>
      <c r="Q119" s="12"/>
      <c r="R119" s="12"/>
      <c r="S119" s="12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8" t="str">
        <f t="shared" si="19"/>
        <v/>
      </c>
      <c r="AJ119" s="14" t="str">
        <f t="shared" si="20"/>
        <v/>
      </c>
      <c r="AK119" s="14" t="str">
        <f>IF(COUNTA(T119:AH119)=0,"",(SUM(T119*KPI_Weights!$B$4,U119*KPI_Weights!$B$5,V119*KPI_Weights!$B$6,W119*KPI_Weights!$B$7,X119*KPI_Weights!$B$8,Y119*KPI_Weights!$B$9,Z119*KPI_Weights!$B$10,AA119*KPI_Weights!$B$11,AB119*KPI_Weights!$B$12,AC119*KPI_Weights!$B$13,AD119*KPI_Weights!$B$14,AE119*KPI_Weights!$B$15,AF119*KPI_Weights!$B$16,AG119*KPI_Weights!$B$17,AH119*KPI_Weights!$B$18))/5)</f>
        <v/>
      </c>
      <c r="AL119" s="8" t="str">
        <f t="shared" si="21"/>
        <v/>
      </c>
      <c r="AM119" s="8" t="str">
        <f t="shared" si="22"/>
        <v/>
      </c>
      <c r="AN119" s="8" t="str">
        <f t="shared" si="23"/>
        <v/>
      </c>
      <c r="AO119" s="12"/>
      <c r="AP119" s="12"/>
      <c r="AQ119" s="12"/>
      <c r="AR119" s="12"/>
      <c r="AS119" s="12"/>
      <c r="AT119" s="15"/>
      <c r="AU119" s="12"/>
      <c r="AV119" s="16"/>
      <c r="AW119" s="12"/>
      <c r="AX119" s="15"/>
      <c r="AY119" s="15"/>
      <c r="AZ119" s="15"/>
      <c r="BA119" s="15"/>
      <c r="BB119" s="15"/>
      <c r="BC119" s="15"/>
      <c r="BD119" s="15"/>
      <c r="BE119" s="15"/>
      <c r="BF119" s="15"/>
    </row>
    <row r="120" spans="1:58" ht="19.5" customHeight="1" x14ac:dyDescent="0.2">
      <c r="A120" s="8" t="str">
        <f>IF($B120="","",TEXT($B120,"yyyymmdd")&amp;"-"&amp;SUBSTITUTE($F120," ","")&amp;"-"&amp;TEXT(COUNTIF($F$4:F120,$F120),"00"))</f>
        <v/>
      </c>
      <c r="B120" s="9"/>
      <c r="C120" s="8" t="str">
        <f t="shared" si="17"/>
        <v/>
      </c>
      <c r="D120" s="8" t="str">
        <f t="shared" si="18"/>
        <v/>
      </c>
      <c r="E120" s="10"/>
      <c r="F120" s="10"/>
      <c r="G120" s="8" t="str">
        <f>IF(OR($E120="",$F120=""),"",IFERROR(IF($E120=INDEX(Cluster_Master!$A$4:$A$18,MATCH($F120,Cluster_Master!$B$4:$B$18,0)),"OK","CHECK"),"CHECK"))</f>
        <v/>
      </c>
      <c r="H120" s="11" t="str">
        <f>IFERROR(INDEX(Cluster_Master!$C$4:$C$18,MATCH($F120,Cluster_Master!$B$4:$B$18,0)),"")</f>
        <v/>
      </c>
      <c r="I120" s="8" t="str">
        <f>IFERROR(INDEX(Cluster_Master!$D$4:$D$18,MATCH($F120,Cluster_Master!$B$4:$B$18,0)),"")</f>
        <v/>
      </c>
      <c r="J120" s="8" t="str">
        <f>IFERROR(INDEX(Cluster_Master!$E$4:$E$18,MATCH($F120,Cluster_Master!$B$4:$B$18,0)),"")</f>
        <v/>
      </c>
      <c r="K120" s="8" t="str">
        <f>IFERROR(INDEX(Cluster_Master!$F$4:$F$18,MATCH($F120,Cluster_Master!$B$4:$B$18,0)),"")</f>
        <v/>
      </c>
      <c r="L120" s="8" t="str">
        <f>IFERROR(INDEX(Cluster_Master!$G$4:$G$18,MATCH($F120,Cluster_Master!$B$4:$B$18,0)),"")</f>
        <v/>
      </c>
      <c r="M120" s="8" t="str">
        <f>IFERROR(INDEX(Cluster_Master!$H$4:$H$18,MATCH($F120,Cluster_Master!$B$4:$B$18,0)),"")</f>
        <v/>
      </c>
      <c r="N120" s="12"/>
      <c r="O120" s="12"/>
      <c r="P120" s="12"/>
      <c r="Q120" s="12"/>
      <c r="R120" s="12"/>
      <c r="S120" s="12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8" t="str">
        <f t="shared" si="19"/>
        <v/>
      </c>
      <c r="AJ120" s="14" t="str">
        <f t="shared" si="20"/>
        <v/>
      </c>
      <c r="AK120" s="14" t="str">
        <f>IF(COUNTA(T120:AH120)=0,"",(SUM(T120*KPI_Weights!$B$4,U120*KPI_Weights!$B$5,V120*KPI_Weights!$B$6,W120*KPI_Weights!$B$7,X120*KPI_Weights!$B$8,Y120*KPI_Weights!$B$9,Z120*KPI_Weights!$B$10,AA120*KPI_Weights!$B$11,AB120*KPI_Weights!$B$12,AC120*KPI_Weights!$B$13,AD120*KPI_Weights!$B$14,AE120*KPI_Weights!$B$15,AF120*KPI_Weights!$B$16,AG120*KPI_Weights!$B$17,AH120*KPI_Weights!$B$18))/5)</f>
        <v/>
      </c>
      <c r="AL120" s="8" t="str">
        <f t="shared" si="21"/>
        <v/>
      </c>
      <c r="AM120" s="8" t="str">
        <f t="shared" si="22"/>
        <v/>
      </c>
      <c r="AN120" s="8" t="str">
        <f t="shared" si="23"/>
        <v/>
      </c>
      <c r="AO120" s="12"/>
      <c r="AP120" s="12"/>
      <c r="AQ120" s="12"/>
      <c r="AR120" s="12"/>
      <c r="AS120" s="12"/>
      <c r="AT120" s="15"/>
      <c r="AU120" s="12"/>
      <c r="AV120" s="16"/>
      <c r="AW120" s="12"/>
      <c r="AX120" s="15"/>
      <c r="AY120" s="15"/>
      <c r="AZ120" s="15"/>
      <c r="BA120" s="15"/>
      <c r="BB120" s="15"/>
      <c r="BC120" s="15"/>
      <c r="BD120" s="15"/>
      <c r="BE120" s="15"/>
      <c r="BF120" s="15"/>
    </row>
    <row r="121" spans="1:58" ht="19.5" customHeight="1" x14ac:dyDescent="0.2">
      <c r="A121" s="8" t="str">
        <f>IF($B121="","",TEXT($B121,"yyyymmdd")&amp;"-"&amp;SUBSTITUTE($F121," ","")&amp;"-"&amp;TEXT(COUNTIF($F$4:F121,$F121),"00"))</f>
        <v/>
      </c>
      <c r="B121" s="9"/>
      <c r="C121" s="8" t="str">
        <f t="shared" si="17"/>
        <v/>
      </c>
      <c r="D121" s="8" t="str">
        <f t="shared" si="18"/>
        <v/>
      </c>
      <c r="E121" s="10"/>
      <c r="F121" s="10"/>
      <c r="G121" s="8" t="str">
        <f>IF(OR($E121="",$F121=""),"",IFERROR(IF($E121=INDEX(Cluster_Master!$A$4:$A$18,MATCH($F121,Cluster_Master!$B$4:$B$18,0)),"OK","CHECK"),"CHECK"))</f>
        <v/>
      </c>
      <c r="H121" s="11" t="str">
        <f>IFERROR(INDEX(Cluster_Master!$C$4:$C$18,MATCH($F121,Cluster_Master!$B$4:$B$18,0)),"")</f>
        <v/>
      </c>
      <c r="I121" s="8" t="str">
        <f>IFERROR(INDEX(Cluster_Master!$D$4:$D$18,MATCH($F121,Cluster_Master!$B$4:$B$18,0)),"")</f>
        <v/>
      </c>
      <c r="J121" s="8" t="str">
        <f>IFERROR(INDEX(Cluster_Master!$E$4:$E$18,MATCH($F121,Cluster_Master!$B$4:$B$18,0)),"")</f>
        <v/>
      </c>
      <c r="K121" s="8" t="str">
        <f>IFERROR(INDEX(Cluster_Master!$F$4:$F$18,MATCH($F121,Cluster_Master!$B$4:$B$18,0)),"")</f>
        <v/>
      </c>
      <c r="L121" s="8" t="str">
        <f>IFERROR(INDEX(Cluster_Master!$G$4:$G$18,MATCH($F121,Cluster_Master!$B$4:$B$18,0)),"")</f>
        <v/>
      </c>
      <c r="M121" s="8" t="str">
        <f>IFERROR(INDEX(Cluster_Master!$H$4:$H$18,MATCH($F121,Cluster_Master!$B$4:$B$18,0)),"")</f>
        <v/>
      </c>
      <c r="N121" s="12"/>
      <c r="O121" s="12"/>
      <c r="P121" s="12"/>
      <c r="Q121" s="12"/>
      <c r="R121" s="12"/>
      <c r="S121" s="12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8" t="str">
        <f t="shared" si="19"/>
        <v/>
      </c>
      <c r="AJ121" s="14" t="str">
        <f t="shared" si="20"/>
        <v/>
      </c>
      <c r="AK121" s="14" t="str">
        <f>IF(COUNTA(T121:AH121)=0,"",(SUM(T121*KPI_Weights!$B$4,U121*KPI_Weights!$B$5,V121*KPI_Weights!$B$6,W121*KPI_Weights!$B$7,X121*KPI_Weights!$B$8,Y121*KPI_Weights!$B$9,Z121*KPI_Weights!$B$10,AA121*KPI_Weights!$B$11,AB121*KPI_Weights!$B$12,AC121*KPI_Weights!$B$13,AD121*KPI_Weights!$B$14,AE121*KPI_Weights!$B$15,AF121*KPI_Weights!$B$16,AG121*KPI_Weights!$B$17,AH121*KPI_Weights!$B$18))/5)</f>
        <v/>
      </c>
      <c r="AL121" s="8" t="str">
        <f t="shared" si="21"/>
        <v/>
      </c>
      <c r="AM121" s="8" t="str">
        <f t="shared" si="22"/>
        <v/>
      </c>
      <c r="AN121" s="8" t="str">
        <f t="shared" si="23"/>
        <v/>
      </c>
      <c r="AO121" s="12"/>
      <c r="AP121" s="12"/>
      <c r="AQ121" s="12"/>
      <c r="AR121" s="12"/>
      <c r="AS121" s="12"/>
      <c r="AT121" s="15"/>
      <c r="AU121" s="12"/>
      <c r="AV121" s="16"/>
      <c r="AW121" s="12"/>
      <c r="AX121" s="15"/>
      <c r="AY121" s="15"/>
      <c r="AZ121" s="15"/>
      <c r="BA121" s="15"/>
      <c r="BB121" s="15"/>
      <c r="BC121" s="15"/>
      <c r="BD121" s="15"/>
      <c r="BE121" s="15"/>
      <c r="BF121" s="15"/>
    </row>
    <row r="122" spans="1:58" ht="19.5" customHeight="1" x14ac:dyDescent="0.2">
      <c r="A122" s="8" t="str">
        <f>IF($B122="","",TEXT($B122,"yyyymmdd")&amp;"-"&amp;SUBSTITUTE($F122," ","")&amp;"-"&amp;TEXT(COUNTIF($F$4:F122,$F122),"00"))</f>
        <v/>
      </c>
      <c r="B122" s="9"/>
      <c r="C122" s="8" t="str">
        <f t="shared" si="17"/>
        <v/>
      </c>
      <c r="D122" s="8" t="str">
        <f t="shared" si="18"/>
        <v/>
      </c>
      <c r="E122" s="10"/>
      <c r="F122" s="10"/>
      <c r="G122" s="8" t="str">
        <f>IF(OR($E122="",$F122=""),"",IFERROR(IF($E122=INDEX(Cluster_Master!$A$4:$A$18,MATCH($F122,Cluster_Master!$B$4:$B$18,0)),"OK","CHECK"),"CHECK"))</f>
        <v/>
      </c>
      <c r="H122" s="11" t="str">
        <f>IFERROR(INDEX(Cluster_Master!$C$4:$C$18,MATCH($F122,Cluster_Master!$B$4:$B$18,0)),"")</f>
        <v/>
      </c>
      <c r="I122" s="8" t="str">
        <f>IFERROR(INDEX(Cluster_Master!$D$4:$D$18,MATCH($F122,Cluster_Master!$B$4:$B$18,0)),"")</f>
        <v/>
      </c>
      <c r="J122" s="8" t="str">
        <f>IFERROR(INDEX(Cluster_Master!$E$4:$E$18,MATCH($F122,Cluster_Master!$B$4:$B$18,0)),"")</f>
        <v/>
      </c>
      <c r="K122" s="8" t="str">
        <f>IFERROR(INDEX(Cluster_Master!$F$4:$F$18,MATCH($F122,Cluster_Master!$B$4:$B$18,0)),"")</f>
        <v/>
      </c>
      <c r="L122" s="8" t="str">
        <f>IFERROR(INDEX(Cluster_Master!$G$4:$G$18,MATCH($F122,Cluster_Master!$B$4:$B$18,0)),"")</f>
        <v/>
      </c>
      <c r="M122" s="8" t="str">
        <f>IFERROR(INDEX(Cluster_Master!$H$4:$H$18,MATCH($F122,Cluster_Master!$B$4:$B$18,0)),"")</f>
        <v/>
      </c>
      <c r="N122" s="12"/>
      <c r="O122" s="12"/>
      <c r="P122" s="12"/>
      <c r="Q122" s="12"/>
      <c r="R122" s="12"/>
      <c r="S122" s="12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8" t="str">
        <f t="shared" si="19"/>
        <v/>
      </c>
      <c r="AJ122" s="14" t="str">
        <f t="shared" si="20"/>
        <v/>
      </c>
      <c r="AK122" s="14" t="str">
        <f>IF(COUNTA(T122:AH122)=0,"",(SUM(T122*KPI_Weights!$B$4,U122*KPI_Weights!$B$5,V122*KPI_Weights!$B$6,W122*KPI_Weights!$B$7,X122*KPI_Weights!$B$8,Y122*KPI_Weights!$B$9,Z122*KPI_Weights!$B$10,AA122*KPI_Weights!$B$11,AB122*KPI_Weights!$B$12,AC122*KPI_Weights!$B$13,AD122*KPI_Weights!$B$14,AE122*KPI_Weights!$B$15,AF122*KPI_Weights!$B$16,AG122*KPI_Weights!$B$17,AH122*KPI_Weights!$B$18))/5)</f>
        <v/>
      </c>
      <c r="AL122" s="8" t="str">
        <f t="shared" si="21"/>
        <v/>
      </c>
      <c r="AM122" s="8" t="str">
        <f t="shared" si="22"/>
        <v/>
      </c>
      <c r="AN122" s="8" t="str">
        <f t="shared" si="23"/>
        <v/>
      </c>
      <c r="AO122" s="12"/>
      <c r="AP122" s="12"/>
      <c r="AQ122" s="12"/>
      <c r="AR122" s="12"/>
      <c r="AS122" s="12"/>
      <c r="AT122" s="15"/>
      <c r="AU122" s="12"/>
      <c r="AV122" s="16"/>
      <c r="AW122" s="12"/>
      <c r="AX122" s="15"/>
      <c r="AY122" s="15"/>
      <c r="AZ122" s="15"/>
      <c r="BA122" s="15"/>
      <c r="BB122" s="15"/>
      <c r="BC122" s="15"/>
      <c r="BD122" s="15"/>
      <c r="BE122" s="15"/>
      <c r="BF122" s="15"/>
    </row>
    <row r="123" spans="1:58" ht="19.5" customHeight="1" x14ac:dyDescent="0.2">
      <c r="A123" s="8" t="str">
        <f>IF($B123="","",TEXT($B123,"yyyymmdd")&amp;"-"&amp;SUBSTITUTE($F123," ","")&amp;"-"&amp;TEXT(COUNTIF($F$4:F123,$F123),"00"))</f>
        <v/>
      </c>
      <c r="B123" s="9"/>
      <c r="C123" s="8" t="str">
        <f t="shared" si="17"/>
        <v/>
      </c>
      <c r="D123" s="8" t="str">
        <f t="shared" si="18"/>
        <v/>
      </c>
      <c r="E123" s="10"/>
      <c r="F123" s="10"/>
      <c r="G123" s="8" t="str">
        <f>IF(OR($E123="",$F123=""),"",IFERROR(IF($E123=INDEX(Cluster_Master!$A$4:$A$18,MATCH($F123,Cluster_Master!$B$4:$B$18,0)),"OK","CHECK"),"CHECK"))</f>
        <v/>
      </c>
      <c r="H123" s="11" t="str">
        <f>IFERROR(INDEX(Cluster_Master!$C$4:$C$18,MATCH($F123,Cluster_Master!$B$4:$B$18,0)),"")</f>
        <v/>
      </c>
      <c r="I123" s="8" t="str">
        <f>IFERROR(INDEX(Cluster_Master!$D$4:$D$18,MATCH($F123,Cluster_Master!$B$4:$B$18,0)),"")</f>
        <v/>
      </c>
      <c r="J123" s="8" t="str">
        <f>IFERROR(INDEX(Cluster_Master!$E$4:$E$18,MATCH($F123,Cluster_Master!$B$4:$B$18,0)),"")</f>
        <v/>
      </c>
      <c r="K123" s="8" t="str">
        <f>IFERROR(INDEX(Cluster_Master!$F$4:$F$18,MATCH($F123,Cluster_Master!$B$4:$B$18,0)),"")</f>
        <v/>
      </c>
      <c r="L123" s="8" t="str">
        <f>IFERROR(INDEX(Cluster_Master!$G$4:$G$18,MATCH($F123,Cluster_Master!$B$4:$B$18,0)),"")</f>
        <v/>
      </c>
      <c r="M123" s="8" t="str">
        <f>IFERROR(INDEX(Cluster_Master!$H$4:$H$18,MATCH($F123,Cluster_Master!$B$4:$B$18,0)),"")</f>
        <v/>
      </c>
      <c r="N123" s="12"/>
      <c r="O123" s="12"/>
      <c r="P123" s="12"/>
      <c r="Q123" s="12"/>
      <c r="R123" s="12"/>
      <c r="S123" s="12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8" t="str">
        <f t="shared" si="19"/>
        <v/>
      </c>
      <c r="AJ123" s="14" t="str">
        <f t="shared" si="20"/>
        <v/>
      </c>
      <c r="AK123" s="14" t="str">
        <f>IF(COUNTA(T123:AH123)=0,"",(SUM(T123*KPI_Weights!$B$4,U123*KPI_Weights!$B$5,V123*KPI_Weights!$B$6,W123*KPI_Weights!$B$7,X123*KPI_Weights!$B$8,Y123*KPI_Weights!$B$9,Z123*KPI_Weights!$B$10,AA123*KPI_Weights!$B$11,AB123*KPI_Weights!$B$12,AC123*KPI_Weights!$B$13,AD123*KPI_Weights!$B$14,AE123*KPI_Weights!$B$15,AF123*KPI_Weights!$B$16,AG123*KPI_Weights!$B$17,AH123*KPI_Weights!$B$18))/5)</f>
        <v/>
      </c>
      <c r="AL123" s="8" t="str">
        <f t="shared" si="21"/>
        <v/>
      </c>
      <c r="AM123" s="8" t="str">
        <f t="shared" si="22"/>
        <v/>
      </c>
      <c r="AN123" s="8" t="str">
        <f t="shared" si="23"/>
        <v/>
      </c>
      <c r="AO123" s="12"/>
      <c r="AP123" s="12"/>
      <c r="AQ123" s="12"/>
      <c r="AR123" s="12"/>
      <c r="AS123" s="12"/>
      <c r="AT123" s="15"/>
      <c r="AU123" s="12"/>
      <c r="AV123" s="16"/>
      <c r="AW123" s="12"/>
      <c r="AX123" s="15"/>
      <c r="AY123" s="15"/>
      <c r="AZ123" s="15"/>
      <c r="BA123" s="15"/>
      <c r="BB123" s="15"/>
      <c r="BC123" s="15"/>
      <c r="BD123" s="15"/>
      <c r="BE123" s="15"/>
      <c r="BF123" s="15"/>
    </row>
    <row r="124" spans="1:58" ht="19.5" customHeight="1" x14ac:dyDescent="0.2">
      <c r="A124" s="8" t="str">
        <f>IF($B124="","",TEXT($B124,"yyyymmdd")&amp;"-"&amp;SUBSTITUTE($F124," ","")&amp;"-"&amp;TEXT(COUNTIF($F$4:F124,$F124),"00"))</f>
        <v/>
      </c>
      <c r="B124" s="9"/>
      <c r="C124" s="8" t="str">
        <f t="shared" si="17"/>
        <v/>
      </c>
      <c r="D124" s="8" t="str">
        <f t="shared" si="18"/>
        <v/>
      </c>
      <c r="E124" s="10"/>
      <c r="F124" s="10"/>
      <c r="G124" s="8" t="str">
        <f>IF(OR($E124="",$F124=""),"",IFERROR(IF($E124=INDEX(Cluster_Master!$A$4:$A$18,MATCH($F124,Cluster_Master!$B$4:$B$18,0)),"OK","CHECK"),"CHECK"))</f>
        <v/>
      </c>
      <c r="H124" s="11" t="str">
        <f>IFERROR(INDEX(Cluster_Master!$C$4:$C$18,MATCH($F124,Cluster_Master!$B$4:$B$18,0)),"")</f>
        <v/>
      </c>
      <c r="I124" s="8" t="str">
        <f>IFERROR(INDEX(Cluster_Master!$D$4:$D$18,MATCH($F124,Cluster_Master!$B$4:$B$18,0)),"")</f>
        <v/>
      </c>
      <c r="J124" s="8" t="str">
        <f>IFERROR(INDEX(Cluster_Master!$E$4:$E$18,MATCH($F124,Cluster_Master!$B$4:$B$18,0)),"")</f>
        <v/>
      </c>
      <c r="K124" s="8" t="str">
        <f>IFERROR(INDEX(Cluster_Master!$F$4:$F$18,MATCH($F124,Cluster_Master!$B$4:$B$18,0)),"")</f>
        <v/>
      </c>
      <c r="L124" s="8" t="str">
        <f>IFERROR(INDEX(Cluster_Master!$G$4:$G$18,MATCH($F124,Cluster_Master!$B$4:$B$18,0)),"")</f>
        <v/>
      </c>
      <c r="M124" s="8" t="str">
        <f>IFERROR(INDEX(Cluster_Master!$H$4:$H$18,MATCH($F124,Cluster_Master!$B$4:$B$18,0)),"")</f>
        <v/>
      </c>
      <c r="N124" s="12"/>
      <c r="O124" s="12"/>
      <c r="P124" s="12"/>
      <c r="Q124" s="12"/>
      <c r="R124" s="12"/>
      <c r="S124" s="12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8" t="str">
        <f t="shared" si="19"/>
        <v/>
      </c>
      <c r="AJ124" s="14" t="str">
        <f t="shared" si="20"/>
        <v/>
      </c>
      <c r="AK124" s="14" t="str">
        <f>IF(COUNTA(T124:AH124)=0,"",(SUM(T124*KPI_Weights!$B$4,U124*KPI_Weights!$B$5,V124*KPI_Weights!$B$6,W124*KPI_Weights!$B$7,X124*KPI_Weights!$B$8,Y124*KPI_Weights!$B$9,Z124*KPI_Weights!$B$10,AA124*KPI_Weights!$B$11,AB124*KPI_Weights!$B$12,AC124*KPI_Weights!$B$13,AD124*KPI_Weights!$B$14,AE124*KPI_Weights!$B$15,AF124*KPI_Weights!$B$16,AG124*KPI_Weights!$B$17,AH124*KPI_Weights!$B$18))/5)</f>
        <v/>
      </c>
      <c r="AL124" s="8" t="str">
        <f t="shared" si="21"/>
        <v/>
      </c>
      <c r="AM124" s="8" t="str">
        <f t="shared" si="22"/>
        <v/>
      </c>
      <c r="AN124" s="8" t="str">
        <f t="shared" si="23"/>
        <v/>
      </c>
      <c r="AO124" s="12"/>
      <c r="AP124" s="12"/>
      <c r="AQ124" s="12"/>
      <c r="AR124" s="12"/>
      <c r="AS124" s="12"/>
      <c r="AT124" s="15"/>
      <c r="AU124" s="12"/>
      <c r="AV124" s="16"/>
      <c r="AW124" s="12"/>
      <c r="AX124" s="15"/>
      <c r="AY124" s="15"/>
      <c r="AZ124" s="15"/>
      <c r="BA124" s="15"/>
      <c r="BB124" s="15"/>
      <c r="BC124" s="15"/>
      <c r="BD124" s="15"/>
      <c r="BE124" s="15"/>
      <c r="BF124" s="15"/>
    </row>
    <row r="125" spans="1:58" ht="19.5" customHeight="1" x14ac:dyDescent="0.2">
      <c r="A125" s="8" t="str">
        <f>IF($B125="","",TEXT($B125,"yyyymmdd")&amp;"-"&amp;SUBSTITUTE($F125," ","")&amp;"-"&amp;TEXT(COUNTIF($F$4:F125,$F125),"00"))</f>
        <v/>
      </c>
      <c r="B125" s="9"/>
      <c r="C125" s="8" t="str">
        <f t="shared" si="17"/>
        <v/>
      </c>
      <c r="D125" s="8" t="str">
        <f t="shared" si="18"/>
        <v/>
      </c>
      <c r="E125" s="10"/>
      <c r="F125" s="10"/>
      <c r="G125" s="8" t="str">
        <f>IF(OR($E125="",$F125=""),"",IFERROR(IF($E125=INDEX(Cluster_Master!$A$4:$A$18,MATCH($F125,Cluster_Master!$B$4:$B$18,0)),"OK","CHECK"),"CHECK"))</f>
        <v/>
      </c>
      <c r="H125" s="11" t="str">
        <f>IFERROR(INDEX(Cluster_Master!$C$4:$C$18,MATCH($F125,Cluster_Master!$B$4:$B$18,0)),"")</f>
        <v/>
      </c>
      <c r="I125" s="8" t="str">
        <f>IFERROR(INDEX(Cluster_Master!$D$4:$D$18,MATCH($F125,Cluster_Master!$B$4:$B$18,0)),"")</f>
        <v/>
      </c>
      <c r="J125" s="8" t="str">
        <f>IFERROR(INDEX(Cluster_Master!$E$4:$E$18,MATCH($F125,Cluster_Master!$B$4:$B$18,0)),"")</f>
        <v/>
      </c>
      <c r="K125" s="8" t="str">
        <f>IFERROR(INDEX(Cluster_Master!$F$4:$F$18,MATCH($F125,Cluster_Master!$B$4:$B$18,0)),"")</f>
        <v/>
      </c>
      <c r="L125" s="8" t="str">
        <f>IFERROR(INDEX(Cluster_Master!$G$4:$G$18,MATCH($F125,Cluster_Master!$B$4:$B$18,0)),"")</f>
        <v/>
      </c>
      <c r="M125" s="8" t="str">
        <f>IFERROR(INDEX(Cluster_Master!$H$4:$H$18,MATCH($F125,Cluster_Master!$B$4:$B$18,0)),"")</f>
        <v/>
      </c>
      <c r="N125" s="12"/>
      <c r="O125" s="12"/>
      <c r="P125" s="12"/>
      <c r="Q125" s="12"/>
      <c r="R125" s="12"/>
      <c r="S125" s="12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8" t="str">
        <f t="shared" si="19"/>
        <v/>
      </c>
      <c r="AJ125" s="14" t="str">
        <f t="shared" si="20"/>
        <v/>
      </c>
      <c r="AK125" s="14" t="str">
        <f>IF(COUNTA(T125:AH125)=0,"",(SUM(T125*KPI_Weights!$B$4,U125*KPI_Weights!$B$5,V125*KPI_Weights!$B$6,W125*KPI_Weights!$B$7,X125*KPI_Weights!$B$8,Y125*KPI_Weights!$B$9,Z125*KPI_Weights!$B$10,AA125*KPI_Weights!$B$11,AB125*KPI_Weights!$B$12,AC125*KPI_Weights!$B$13,AD125*KPI_Weights!$B$14,AE125*KPI_Weights!$B$15,AF125*KPI_Weights!$B$16,AG125*KPI_Weights!$B$17,AH125*KPI_Weights!$B$18))/5)</f>
        <v/>
      </c>
      <c r="AL125" s="8" t="str">
        <f t="shared" si="21"/>
        <v/>
      </c>
      <c r="AM125" s="8" t="str">
        <f t="shared" si="22"/>
        <v/>
      </c>
      <c r="AN125" s="8" t="str">
        <f t="shared" si="23"/>
        <v/>
      </c>
      <c r="AO125" s="12"/>
      <c r="AP125" s="12"/>
      <c r="AQ125" s="12"/>
      <c r="AR125" s="12"/>
      <c r="AS125" s="12"/>
      <c r="AT125" s="15"/>
      <c r="AU125" s="12"/>
      <c r="AV125" s="16"/>
      <c r="AW125" s="12"/>
      <c r="AX125" s="15"/>
      <c r="AY125" s="15"/>
      <c r="AZ125" s="15"/>
      <c r="BA125" s="15"/>
      <c r="BB125" s="15"/>
      <c r="BC125" s="15"/>
      <c r="BD125" s="15"/>
      <c r="BE125" s="15"/>
      <c r="BF125" s="15"/>
    </row>
    <row r="126" spans="1:58" ht="19.5" customHeight="1" x14ac:dyDescent="0.2">
      <c r="A126" s="8" t="str">
        <f>IF($B126="","",TEXT($B126,"yyyymmdd")&amp;"-"&amp;SUBSTITUTE($F126," ","")&amp;"-"&amp;TEXT(COUNTIF($F$4:F126,$F126),"00"))</f>
        <v/>
      </c>
      <c r="B126" s="9"/>
      <c r="C126" s="8" t="str">
        <f t="shared" si="17"/>
        <v/>
      </c>
      <c r="D126" s="8" t="str">
        <f t="shared" si="18"/>
        <v/>
      </c>
      <c r="E126" s="10"/>
      <c r="F126" s="10"/>
      <c r="G126" s="8" t="str">
        <f>IF(OR($E126="",$F126=""),"",IFERROR(IF($E126=INDEX(Cluster_Master!$A$4:$A$18,MATCH($F126,Cluster_Master!$B$4:$B$18,0)),"OK","CHECK"),"CHECK"))</f>
        <v/>
      </c>
      <c r="H126" s="11" t="str">
        <f>IFERROR(INDEX(Cluster_Master!$C$4:$C$18,MATCH($F126,Cluster_Master!$B$4:$B$18,0)),"")</f>
        <v/>
      </c>
      <c r="I126" s="8" t="str">
        <f>IFERROR(INDEX(Cluster_Master!$D$4:$D$18,MATCH($F126,Cluster_Master!$B$4:$B$18,0)),"")</f>
        <v/>
      </c>
      <c r="J126" s="8" t="str">
        <f>IFERROR(INDEX(Cluster_Master!$E$4:$E$18,MATCH($F126,Cluster_Master!$B$4:$B$18,0)),"")</f>
        <v/>
      </c>
      <c r="K126" s="8" t="str">
        <f>IFERROR(INDEX(Cluster_Master!$F$4:$F$18,MATCH($F126,Cluster_Master!$B$4:$B$18,0)),"")</f>
        <v/>
      </c>
      <c r="L126" s="8" t="str">
        <f>IFERROR(INDEX(Cluster_Master!$G$4:$G$18,MATCH($F126,Cluster_Master!$B$4:$B$18,0)),"")</f>
        <v/>
      </c>
      <c r="M126" s="8" t="str">
        <f>IFERROR(INDEX(Cluster_Master!$H$4:$H$18,MATCH($F126,Cluster_Master!$B$4:$B$18,0)),"")</f>
        <v/>
      </c>
      <c r="N126" s="12"/>
      <c r="O126" s="12"/>
      <c r="P126" s="12"/>
      <c r="Q126" s="12"/>
      <c r="R126" s="12"/>
      <c r="S126" s="12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8" t="str">
        <f t="shared" si="19"/>
        <v/>
      </c>
      <c r="AJ126" s="14" t="str">
        <f t="shared" si="20"/>
        <v/>
      </c>
      <c r="AK126" s="14" t="str">
        <f>IF(COUNTA(T126:AH126)=0,"",(SUM(T126*KPI_Weights!$B$4,U126*KPI_Weights!$B$5,V126*KPI_Weights!$B$6,W126*KPI_Weights!$B$7,X126*KPI_Weights!$B$8,Y126*KPI_Weights!$B$9,Z126*KPI_Weights!$B$10,AA126*KPI_Weights!$B$11,AB126*KPI_Weights!$B$12,AC126*KPI_Weights!$B$13,AD126*KPI_Weights!$B$14,AE126*KPI_Weights!$B$15,AF126*KPI_Weights!$B$16,AG126*KPI_Weights!$B$17,AH126*KPI_Weights!$B$18))/5)</f>
        <v/>
      </c>
      <c r="AL126" s="8" t="str">
        <f t="shared" si="21"/>
        <v/>
      </c>
      <c r="AM126" s="8" t="str">
        <f t="shared" si="22"/>
        <v/>
      </c>
      <c r="AN126" s="8" t="str">
        <f t="shared" si="23"/>
        <v/>
      </c>
      <c r="AO126" s="12"/>
      <c r="AP126" s="12"/>
      <c r="AQ126" s="12"/>
      <c r="AR126" s="12"/>
      <c r="AS126" s="12"/>
      <c r="AT126" s="15"/>
      <c r="AU126" s="12"/>
      <c r="AV126" s="16"/>
      <c r="AW126" s="12"/>
      <c r="AX126" s="15"/>
      <c r="AY126" s="15"/>
      <c r="AZ126" s="15"/>
      <c r="BA126" s="15"/>
      <c r="BB126" s="15"/>
      <c r="BC126" s="15"/>
      <c r="BD126" s="15"/>
      <c r="BE126" s="15"/>
      <c r="BF126" s="15"/>
    </row>
    <row r="127" spans="1:58" ht="19.5" customHeight="1" x14ac:dyDescent="0.2">
      <c r="A127" s="8" t="str">
        <f>IF($B127="","",TEXT($B127,"yyyymmdd")&amp;"-"&amp;SUBSTITUTE($F127," ","")&amp;"-"&amp;TEXT(COUNTIF($F$4:F127,$F127),"00"))</f>
        <v/>
      </c>
      <c r="B127" s="9"/>
      <c r="C127" s="8" t="str">
        <f t="shared" si="17"/>
        <v/>
      </c>
      <c r="D127" s="8" t="str">
        <f t="shared" si="18"/>
        <v/>
      </c>
      <c r="E127" s="10"/>
      <c r="F127" s="10"/>
      <c r="G127" s="8" t="str">
        <f>IF(OR($E127="",$F127=""),"",IFERROR(IF($E127=INDEX(Cluster_Master!$A$4:$A$18,MATCH($F127,Cluster_Master!$B$4:$B$18,0)),"OK","CHECK"),"CHECK"))</f>
        <v/>
      </c>
      <c r="H127" s="11" t="str">
        <f>IFERROR(INDEX(Cluster_Master!$C$4:$C$18,MATCH($F127,Cluster_Master!$B$4:$B$18,0)),"")</f>
        <v/>
      </c>
      <c r="I127" s="8" t="str">
        <f>IFERROR(INDEX(Cluster_Master!$D$4:$D$18,MATCH($F127,Cluster_Master!$B$4:$B$18,0)),"")</f>
        <v/>
      </c>
      <c r="J127" s="8" t="str">
        <f>IFERROR(INDEX(Cluster_Master!$E$4:$E$18,MATCH($F127,Cluster_Master!$B$4:$B$18,0)),"")</f>
        <v/>
      </c>
      <c r="K127" s="8" t="str">
        <f>IFERROR(INDEX(Cluster_Master!$F$4:$F$18,MATCH($F127,Cluster_Master!$B$4:$B$18,0)),"")</f>
        <v/>
      </c>
      <c r="L127" s="8" t="str">
        <f>IFERROR(INDEX(Cluster_Master!$G$4:$G$18,MATCH($F127,Cluster_Master!$B$4:$B$18,0)),"")</f>
        <v/>
      </c>
      <c r="M127" s="8" t="str">
        <f>IFERROR(INDEX(Cluster_Master!$H$4:$H$18,MATCH($F127,Cluster_Master!$B$4:$B$18,0)),"")</f>
        <v/>
      </c>
      <c r="N127" s="12"/>
      <c r="O127" s="12"/>
      <c r="P127" s="12"/>
      <c r="Q127" s="12"/>
      <c r="R127" s="12"/>
      <c r="S127" s="12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8" t="str">
        <f t="shared" si="19"/>
        <v/>
      </c>
      <c r="AJ127" s="14" t="str">
        <f t="shared" si="20"/>
        <v/>
      </c>
      <c r="AK127" s="14" t="str">
        <f>IF(COUNTA(T127:AH127)=0,"",(SUM(T127*KPI_Weights!$B$4,U127*KPI_Weights!$B$5,V127*KPI_Weights!$B$6,W127*KPI_Weights!$B$7,X127*KPI_Weights!$B$8,Y127*KPI_Weights!$B$9,Z127*KPI_Weights!$B$10,AA127*KPI_Weights!$B$11,AB127*KPI_Weights!$B$12,AC127*KPI_Weights!$B$13,AD127*KPI_Weights!$B$14,AE127*KPI_Weights!$B$15,AF127*KPI_Weights!$B$16,AG127*KPI_Weights!$B$17,AH127*KPI_Weights!$B$18))/5)</f>
        <v/>
      </c>
      <c r="AL127" s="8" t="str">
        <f t="shared" si="21"/>
        <v/>
      </c>
      <c r="AM127" s="8" t="str">
        <f t="shared" si="22"/>
        <v/>
      </c>
      <c r="AN127" s="8" t="str">
        <f t="shared" si="23"/>
        <v/>
      </c>
      <c r="AO127" s="12"/>
      <c r="AP127" s="12"/>
      <c r="AQ127" s="12"/>
      <c r="AR127" s="12"/>
      <c r="AS127" s="12"/>
      <c r="AT127" s="15"/>
      <c r="AU127" s="12"/>
      <c r="AV127" s="16"/>
      <c r="AW127" s="12"/>
      <c r="AX127" s="15"/>
      <c r="AY127" s="15"/>
      <c r="AZ127" s="15"/>
      <c r="BA127" s="15"/>
      <c r="BB127" s="15"/>
      <c r="BC127" s="15"/>
      <c r="BD127" s="15"/>
      <c r="BE127" s="15"/>
      <c r="BF127" s="15"/>
    </row>
    <row r="128" spans="1:58" ht="19.5" customHeight="1" x14ac:dyDescent="0.2">
      <c r="A128" s="8" t="str">
        <f>IF($B128="","",TEXT($B128,"yyyymmdd")&amp;"-"&amp;SUBSTITUTE($F128," ","")&amp;"-"&amp;TEXT(COUNTIF($F$4:F128,$F128),"00"))</f>
        <v/>
      </c>
      <c r="B128" s="9"/>
      <c r="C128" s="8" t="str">
        <f t="shared" ref="C128:C191" si="24">IF($B128="","",WEEKNUM($B128,2))</f>
        <v/>
      </c>
      <c r="D128" s="8" t="str">
        <f t="shared" ref="D128:D191" si="25">IF($B128="","",TEXT($B128,"yyyy-mm"))</f>
        <v/>
      </c>
      <c r="E128" s="10"/>
      <c r="F128" s="10"/>
      <c r="G128" s="8" t="str">
        <f>IF(OR($E128="",$F128=""),"",IFERROR(IF($E128=INDEX(Cluster_Master!$A$4:$A$18,MATCH($F128,Cluster_Master!$B$4:$B$18,0)),"OK","CHECK"),"CHECK"))</f>
        <v/>
      </c>
      <c r="H128" s="11" t="str">
        <f>IFERROR(INDEX(Cluster_Master!$C$4:$C$18,MATCH($F128,Cluster_Master!$B$4:$B$18,0)),"")</f>
        <v/>
      </c>
      <c r="I128" s="8" t="str">
        <f>IFERROR(INDEX(Cluster_Master!$D$4:$D$18,MATCH($F128,Cluster_Master!$B$4:$B$18,0)),"")</f>
        <v/>
      </c>
      <c r="J128" s="8" t="str">
        <f>IFERROR(INDEX(Cluster_Master!$E$4:$E$18,MATCH($F128,Cluster_Master!$B$4:$B$18,0)),"")</f>
        <v/>
      </c>
      <c r="K128" s="8" t="str">
        <f>IFERROR(INDEX(Cluster_Master!$F$4:$F$18,MATCH($F128,Cluster_Master!$B$4:$B$18,0)),"")</f>
        <v/>
      </c>
      <c r="L128" s="8" t="str">
        <f>IFERROR(INDEX(Cluster_Master!$G$4:$G$18,MATCH($F128,Cluster_Master!$B$4:$B$18,0)),"")</f>
        <v/>
      </c>
      <c r="M128" s="8" t="str">
        <f>IFERROR(INDEX(Cluster_Master!$H$4:$H$18,MATCH($F128,Cluster_Master!$B$4:$B$18,0)),"")</f>
        <v/>
      </c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8" t="str">
        <f t="shared" ref="AI128:AI191" si="26">IF(COUNTA(T128:AH128)=0,"",SUM(T128:AH128))</f>
        <v/>
      </c>
      <c r="AJ128" s="14" t="str">
        <f t="shared" ref="AJ128:AJ191" si="27">IF(COUNTA(T128:AH128)=0,"",AI128/75)</f>
        <v/>
      </c>
      <c r="AK128" s="14" t="str">
        <f>IF(COUNTA(T128:AH128)=0,"",(SUM(T128*KPI_Weights!$B$4,U128*KPI_Weights!$B$5,V128*KPI_Weights!$B$6,W128*KPI_Weights!$B$7,X128*KPI_Weights!$B$8,Y128*KPI_Weights!$B$9,Z128*KPI_Weights!$B$10,AA128*KPI_Weights!$B$11,AB128*KPI_Weights!$B$12,AC128*KPI_Weights!$B$13,AD128*KPI_Weights!$B$14,AE128*KPI_Weights!$B$15,AF128*KPI_Weights!$B$16,AG128*KPI_Weights!$B$17,AH128*KPI_Weights!$B$18))/5)</f>
        <v/>
      </c>
      <c r="AL128" s="8" t="str">
        <f t="shared" ref="AL128:AL191" si="28">IF(COUNTA(T128:AH128)=0,"",IF(OR(T128&lt;=1,W128&lt;=1,X128&lt;=1,Y128&lt;=1,AB128&lt;=1),"YES","NO"))</f>
        <v/>
      </c>
      <c r="AM128" s="8" t="str">
        <f t="shared" ref="AM128:AM191" si="29">IF(AJ128="","",IF(AND(AL128="NO",AJ128&gt;=0.75),"YES","NO"))</f>
        <v/>
      </c>
      <c r="AN128" s="8" t="str">
        <f t="shared" ref="AN128:AN191" si="30">IF(AJ128="","",IF(AJ128&lt;0.4,"Critical",IF(AJ128&lt;0.6,"Poor",IF(AJ128&lt;0.75,"Needs Improvement",IF(AJ128&lt;0.9,"Good","Excellent")))))</f>
        <v/>
      </c>
      <c r="AO128" s="12"/>
      <c r="AP128" s="12"/>
      <c r="AQ128" s="12"/>
      <c r="AR128" s="12"/>
      <c r="AS128" s="12"/>
      <c r="AT128" s="15"/>
      <c r="AU128" s="12"/>
      <c r="AV128" s="16"/>
      <c r="AW128" s="12"/>
      <c r="AX128" s="15"/>
      <c r="AY128" s="15"/>
      <c r="AZ128" s="15"/>
      <c r="BA128" s="15"/>
      <c r="BB128" s="15"/>
      <c r="BC128" s="15"/>
      <c r="BD128" s="15"/>
      <c r="BE128" s="15"/>
      <c r="BF128" s="15"/>
    </row>
    <row r="129" spans="1:58" ht="19.5" customHeight="1" x14ac:dyDescent="0.2">
      <c r="A129" s="8" t="str">
        <f>IF($B129="","",TEXT($B129,"yyyymmdd")&amp;"-"&amp;SUBSTITUTE($F129," ","")&amp;"-"&amp;TEXT(COUNTIF($F$4:F129,$F129),"00"))</f>
        <v/>
      </c>
      <c r="B129" s="9"/>
      <c r="C129" s="8" t="str">
        <f t="shared" si="24"/>
        <v/>
      </c>
      <c r="D129" s="8" t="str">
        <f t="shared" si="25"/>
        <v/>
      </c>
      <c r="E129" s="10"/>
      <c r="F129" s="10"/>
      <c r="G129" s="8" t="str">
        <f>IF(OR($E129="",$F129=""),"",IFERROR(IF($E129=INDEX(Cluster_Master!$A$4:$A$18,MATCH($F129,Cluster_Master!$B$4:$B$18,0)),"OK","CHECK"),"CHECK"))</f>
        <v/>
      </c>
      <c r="H129" s="11" t="str">
        <f>IFERROR(INDEX(Cluster_Master!$C$4:$C$18,MATCH($F129,Cluster_Master!$B$4:$B$18,0)),"")</f>
        <v/>
      </c>
      <c r="I129" s="8" t="str">
        <f>IFERROR(INDEX(Cluster_Master!$D$4:$D$18,MATCH($F129,Cluster_Master!$B$4:$B$18,0)),"")</f>
        <v/>
      </c>
      <c r="J129" s="8" t="str">
        <f>IFERROR(INDEX(Cluster_Master!$E$4:$E$18,MATCH($F129,Cluster_Master!$B$4:$B$18,0)),"")</f>
        <v/>
      </c>
      <c r="K129" s="8" t="str">
        <f>IFERROR(INDEX(Cluster_Master!$F$4:$F$18,MATCH($F129,Cluster_Master!$B$4:$B$18,0)),"")</f>
        <v/>
      </c>
      <c r="L129" s="8" t="str">
        <f>IFERROR(INDEX(Cluster_Master!$G$4:$G$18,MATCH($F129,Cluster_Master!$B$4:$B$18,0)),"")</f>
        <v/>
      </c>
      <c r="M129" s="8" t="str">
        <f>IFERROR(INDEX(Cluster_Master!$H$4:$H$18,MATCH($F129,Cluster_Master!$B$4:$B$18,0)),"")</f>
        <v/>
      </c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8" t="str">
        <f t="shared" si="26"/>
        <v/>
      </c>
      <c r="AJ129" s="14" t="str">
        <f t="shared" si="27"/>
        <v/>
      </c>
      <c r="AK129" s="14" t="str">
        <f>IF(COUNTA(T129:AH129)=0,"",(SUM(T129*KPI_Weights!$B$4,U129*KPI_Weights!$B$5,V129*KPI_Weights!$B$6,W129*KPI_Weights!$B$7,X129*KPI_Weights!$B$8,Y129*KPI_Weights!$B$9,Z129*KPI_Weights!$B$10,AA129*KPI_Weights!$B$11,AB129*KPI_Weights!$B$12,AC129*KPI_Weights!$B$13,AD129*KPI_Weights!$B$14,AE129*KPI_Weights!$B$15,AF129*KPI_Weights!$B$16,AG129*KPI_Weights!$B$17,AH129*KPI_Weights!$B$18))/5)</f>
        <v/>
      </c>
      <c r="AL129" s="8" t="str">
        <f t="shared" si="28"/>
        <v/>
      </c>
      <c r="AM129" s="8" t="str">
        <f t="shared" si="29"/>
        <v/>
      </c>
      <c r="AN129" s="8" t="str">
        <f t="shared" si="30"/>
        <v/>
      </c>
      <c r="AO129" s="12"/>
      <c r="AP129" s="12"/>
      <c r="AQ129" s="12"/>
      <c r="AR129" s="12"/>
      <c r="AS129" s="12"/>
      <c r="AT129" s="15"/>
      <c r="AU129" s="12"/>
      <c r="AV129" s="16"/>
      <c r="AW129" s="12"/>
      <c r="AX129" s="15"/>
      <c r="AY129" s="15"/>
      <c r="AZ129" s="15"/>
      <c r="BA129" s="15"/>
      <c r="BB129" s="15"/>
      <c r="BC129" s="15"/>
      <c r="BD129" s="15"/>
      <c r="BE129" s="15"/>
      <c r="BF129" s="15"/>
    </row>
    <row r="130" spans="1:58" ht="19.5" customHeight="1" x14ac:dyDescent="0.2">
      <c r="A130" s="8" t="str">
        <f>IF($B130="","",TEXT($B130,"yyyymmdd")&amp;"-"&amp;SUBSTITUTE($F130," ","")&amp;"-"&amp;TEXT(COUNTIF($F$4:F130,$F130),"00"))</f>
        <v/>
      </c>
      <c r="B130" s="9"/>
      <c r="C130" s="8" t="str">
        <f t="shared" si="24"/>
        <v/>
      </c>
      <c r="D130" s="8" t="str">
        <f t="shared" si="25"/>
        <v/>
      </c>
      <c r="E130" s="10"/>
      <c r="F130" s="10"/>
      <c r="G130" s="8" t="str">
        <f>IF(OR($E130="",$F130=""),"",IFERROR(IF($E130=INDEX(Cluster_Master!$A$4:$A$18,MATCH($F130,Cluster_Master!$B$4:$B$18,0)),"OK","CHECK"),"CHECK"))</f>
        <v/>
      </c>
      <c r="H130" s="11" t="str">
        <f>IFERROR(INDEX(Cluster_Master!$C$4:$C$18,MATCH($F130,Cluster_Master!$B$4:$B$18,0)),"")</f>
        <v/>
      </c>
      <c r="I130" s="8" t="str">
        <f>IFERROR(INDEX(Cluster_Master!$D$4:$D$18,MATCH($F130,Cluster_Master!$B$4:$B$18,0)),"")</f>
        <v/>
      </c>
      <c r="J130" s="8" t="str">
        <f>IFERROR(INDEX(Cluster_Master!$E$4:$E$18,MATCH($F130,Cluster_Master!$B$4:$B$18,0)),"")</f>
        <v/>
      </c>
      <c r="K130" s="8" t="str">
        <f>IFERROR(INDEX(Cluster_Master!$F$4:$F$18,MATCH($F130,Cluster_Master!$B$4:$B$18,0)),"")</f>
        <v/>
      </c>
      <c r="L130" s="8" t="str">
        <f>IFERROR(INDEX(Cluster_Master!$G$4:$G$18,MATCH($F130,Cluster_Master!$B$4:$B$18,0)),"")</f>
        <v/>
      </c>
      <c r="M130" s="8" t="str">
        <f>IFERROR(INDEX(Cluster_Master!$H$4:$H$18,MATCH($F130,Cluster_Master!$B$4:$B$18,0)),"")</f>
        <v/>
      </c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8" t="str">
        <f t="shared" si="26"/>
        <v/>
      </c>
      <c r="AJ130" s="14" t="str">
        <f t="shared" si="27"/>
        <v/>
      </c>
      <c r="AK130" s="14" t="str">
        <f>IF(COUNTA(T130:AH130)=0,"",(SUM(T130*KPI_Weights!$B$4,U130*KPI_Weights!$B$5,V130*KPI_Weights!$B$6,W130*KPI_Weights!$B$7,X130*KPI_Weights!$B$8,Y130*KPI_Weights!$B$9,Z130*KPI_Weights!$B$10,AA130*KPI_Weights!$B$11,AB130*KPI_Weights!$B$12,AC130*KPI_Weights!$B$13,AD130*KPI_Weights!$B$14,AE130*KPI_Weights!$B$15,AF130*KPI_Weights!$B$16,AG130*KPI_Weights!$B$17,AH130*KPI_Weights!$B$18))/5)</f>
        <v/>
      </c>
      <c r="AL130" s="8" t="str">
        <f t="shared" si="28"/>
        <v/>
      </c>
      <c r="AM130" s="8" t="str">
        <f t="shared" si="29"/>
        <v/>
      </c>
      <c r="AN130" s="8" t="str">
        <f t="shared" si="30"/>
        <v/>
      </c>
      <c r="AO130" s="12"/>
      <c r="AP130" s="12"/>
      <c r="AQ130" s="12"/>
      <c r="AR130" s="12"/>
      <c r="AS130" s="12"/>
      <c r="AT130" s="15"/>
      <c r="AU130" s="12"/>
      <c r="AV130" s="16"/>
      <c r="AW130" s="12"/>
      <c r="AX130" s="15"/>
      <c r="AY130" s="15"/>
      <c r="AZ130" s="15"/>
      <c r="BA130" s="15"/>
      <c r="BB130" s="15"/>
      <c r="BC130" s="15"/>
      <c r="BD130" s="15"/>
      <c r="BE130" s="15"/>
      <c r="BF130" s="15"/>
    </row>
    <row r="131" spans="1:58" ht="19.5" customHeight="1" x14ac:dyDescent="0.2">
      <c r="A131" s="8" t="str">
        <f>IF($B131="","",TEXT($B131,"yyyymmdd")&amp;"-"&amp;SUBSTITUTE($F131," ","")&amp;"-"&amp;TEXT(COUNTIF($F$4:F131,$F131),"00"))</f>
        <v/>
      </c>
      <c r="B131" s="9"/>
      <c r="C131" s="8" t="str">
        <f t="shared" si="24"/>
        <v/>
      </c>
      <c r="D131" s="8" t="str">
        <f t="shared" si="25"/>
        <v/>
      </c>
      <c r="E131" s="10"/>
      <c r="F131" s="10"/>
      <c r="G131" s="8" t="str">
        <f>IF(OR($E131="",$F131=""),"",IFERROR(IF($E131=INDEX(Cluster_Master!$A$4:$A$18,MATCH($F131,Cluster_Master!$B$4:$B$18,0)),"OK","CHECK"),"CHECK"))</f>
        <v/>
      </c>
      <c r="H131" s="11" t="str">
        <f>IFERROR(INDEX(Cluster_Master!$C$4:$C$18,MATCH($F131,Cluster_Master!$B$4:$B$18,0)),"")</f>
        <v/>
      </c>
      <c r="I131" s="8" t="str">
        <f>IFERROR(INDEX(Cluster_Master!$D$4:$D$18,MATCH($F131,Cluster_Master!$B$4:$B$18,0)),"")</f>
        <v/>
      </c>
      <c r="J131" s="8" t="str">
        <f>IFERROR(INDEX(Cluster_Master!$E$4:$E$18,MATCH($F131,Cluster_Master!$B$4:$B$18,0)),"")</f>
        <v/>
      </c>
      <c r="K131" s="8" t="str">
        <f>IFERROR(INDEX(Cluster_Master!$F$4:$F$18,MATCH($F131,Cluster_Master!$B$4:$B$18,0)),"")</f>
        <v/>
      </c>
      <c r="L131" s="8" t="str">
        <f>IFERROR(INDEX(Cluster_Master!$G$4:$G$18,MATCH($F131,Cluster_Master!$B$4:$B$18,0)),"")</f>
        <v/>
      </c>
      <c r="M131" s="8" t="str">
        <f>IFERROR(INDEX(Cluster_Master!$H$4:$H$18,MATCH($F131,Cluster_Master!$B$4:$B$18,0)),"")</f>
        <v/>
      </c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8" t="str">
        <f t="shared" si="26"/>
        <v/>
      </c>
      <c r="AJ131" s="14" t="str">
        <f t="shared" si="27"/>
        <v/>
      </c>
      <c r="AK131" s="14" t="str">
        <f>IF(COUNTA(T131:AH131)=0,"",(SUM(T131*KPI_Weights!$B$4,U131*KPI_Weights!$B$5,V131*KPI_Weights!$B$6,W131*KPI_Weights!$B$7,X131*KPI_Weights!$B$8,Y131*KPI_Weights!$B$9,Z131*KPI_Weights!$B$10,AA131*KPI_Weights!$B$11,AB131*KPI_Weights!$B$12,AC131*KPI_Weights!$B$13,AD131*KPI_Weights!$B$14,AE131*KPI_Weights!$B$15,AF131*KPI_Weights!$B$16,AG131*KPI_Weights!$B$17,AH131*KPI_Weights!$B$18))/5)</f>
        <v/>
      </c>
      <c r="AL131" s="8" t="str">
        <f t="shared" si="28"/>
        <v/>
      </c>
      <c r="AM131" s="8" t="str">
        <f t="shared" si="29"/>
        <v/>
      </c>
      <c r="AN131" s="8" t="str">
        <f t="shared" si="30"/>
        <v/>
      </c>
      <c r="AO131" s="12"/>
      <c r="AP131" s="12"/>
      <c r="AQ131" s="12"/>
      <c r="AR131" s="12"/>
      <c r="AS131" s="12"/>
      <c r="AT131" s="15"/>
      <c r="AU131" s="12"/>
      <c r="AV131" s="16"/>
      <c r="AW131" s="12"/>
      <c r="AX131" s="15"/>
      <c r="AY131" s="15"/>
      <c r="AZ131" s="15"/>
      <c r="BA131" s="15"/>
      <c r="BB131" s="15"/>
      <c r="BC131" s="15"/>
      <c r="BD131" s="15"/>
      <c r="BE131" s="15"/>
      <c r="BF131" s="15"/>
    </row>
    <row r="132" spans="1:58" ht="19.5" customHeight="1" x14ac:dyDescent="0.2">
      <c r="A132" s="8" t="str">
        <f>IF($B132="","",TEXT($B132,"yyyymmdd")&amp;"-"&amp;SUBSTITUTE($F132," ","")&amp;"-"&amp;TEXT(COUNTIF($F$4:F132,$F132),"00"))</f>
        <v/>
      </c>
      <c r="B132" s="9"/>
      <c r="C132" s="8" t="str">
        <f t="shared" si="24"/>
        <v/>
      </c>
      <c r="D132" s="8" t="str">
        <f t="shared" si="25"/>
        <v/>
      </c>
      <c r="E132" s="10"/>
      <c r="F132" s="10"/>
      <c r="G132" s="8" t="str">
        <f>IF(OR($E132="",$F132=""),"",IFERROR(IF($E132=INDEX(Cluster_Master!$A$4:$A$18,MATCH($F132,Cluster_Master!$B$4:$B$18,0)),"OK","CHECK"),"CHECK"))</f>
        <v/>
      </c>
      <c r="H132" s="11" t="str">
        <f>IFERROR(INDEX(Cluster_Master!$C$4:$C$18,MATCH($F132,Cluster_Master!$B$4:$B$18,0)),"")</f>
        <v/>
      </c>
      <c r="I132" s="8" t="str">
        <f>IFERROR(INDEX(Cluster_Master!$D$4:$D$18,MATCH($F132,Cluster_Master!$B$4:$B$18,0)),"")</f>
        <v/>
      </c>
      <c r="J132" s="8" t="str">
        <f>IFERROR(INDEX(Cluster_Master!$E$4:$E$18,MATCH($F132,Cluster_Master!$B$4:$B$18,0)),"")</f>
        <v/>
      </c>
      <c r="K132" s="8" t="str">
        <f>IFERROR(INDEX(Cluster_Master!$F$4:$F$18,MATCH($F132,Cluster_Master!$B$4:$B$18,0)),"")</f>
        <v/>
      </c>
      <c r="L132" s="8" t="str">
        <f>IFERROR(INDEX(Cluster_Master!$G$4:$G$18,MATCH($F132,Cluster_Master!$B$4:$B$18,0)),"")</f>
        <v/>
      </c>
      <c r="M132" s="8" t="str">
        <f>IFERROR(INDEX(Cluster_Master!$H$4:$H$18,MATCH($F132,Cluster_Master!$B$4:$B$18,0)),"")</f>
        <v/>
      </c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8" t="str">
        <f t="shared" si="26"/>
        <v/>
      </c>
      <c r="AJ132" s="14" t="str">
        <f t="shared" si="27"/>
        <v/>
      </c>
      <c r="AK132" s="14" t="str">
        <f>IF(COUNTA(T132:AH132)=0,"",(SUM(T132*KPI_Weights!$B$4,U132*KPI_Weights!$B$5,V132*KPI_Weights!$B$6,W132*KPI_Weights!$B$7,X132*KPI_Weights!$B$8,Y132*KPI_Weights!$B$9,Z132*KPI_Weights!$B$10,AA132*KPI_Weights!$B$11,AB132*KPI_Weights!$B$12,AC132*KPI_Weights!$B$13,AD132*KPI_Weights!$B$14,AE132*KPI_Weights!$B$15,AF132*KPI_Weights!$B$16,AG132*KPI_Weights!$B$17,AH132*KPI_Weights!$B$18))/5)</f>
        <v/>
      </c>
      <c r="AL132" s="8" t="str">
        <f t="shared" si="28"/>
        <v/>
      </c>
      <c r="AM132" s="8" t="str">
        <f t="shared" si="29"/>
        <v/>
      </c>
      <c r="AN132" s="8" t="str">
        <f t="shared" si="30"/>
        <v/>
      </c>
      <c r="AO132" s="12"/>
      <c r="AP132" s="12"/>
      <c r="AQ132" s="12"/>
      <c r="AR132" s="12"/>
      <c r="AS132" s="12"/>
      <c r="AT132" s="15"/>
      <c r="AU132" s="12"/>
      <c r="AV132" s="16"/>
      <c r="AW132" s="12"/>
      <c r="AX132" s="15"/>
      <c r="AY132" s="15"/>
      <c r="AZ132" s="15"/>
      <c r="BA132" s="15"/>
      <c r="BB132" s="15"/>
      <c r="BC132" s="15"/>
      <c r="BD132" s="15"/>
      <c r="BE132" s="15"/>
      <c r="BF132" s="15"/>
    </row>
    <row r="133" spans="1:58" ht="19.5" customHeight="1" x14ac:dyDescent="0.2">
      <c r="A133" s="8" t="str">
        <f>IF($B133="","",TEXT($B133,"yyyymmdd")&amp;"-"&amp;SUBSTITUTE($F133," ","")&amp;"-"&amp;TEXT(COUNTIF($F$4:F133,$F133),"00"))</f>
        <v/>
      </c>
      <c r="B133" s="9"/>
      <c r="C133" s="8" t="str">
        <f t="shared" si="24"/>
        <v/>
      </c>
      <c r="D133" s="8" t="str">
        <f t="shared" si="25"/>
        <v/>
      </c>
      <c r="E133" s="10"/>
      <c r="F133" s="10"/>
      <c r="G133" s="8" t="str">
        <f>IF(OR($E133="",$F133=""),"",IFERROR(IF($E133=INDEX(Cluster_Master!$A$4:$A$18,MATCH($F133,Cluster_Master!$B$4:$B$18,0)),"OK","CHECK"),"CHECK"))</f>
        <v/>
      </c>
      <c r="H133" s="11" t="str">
        <f>IFERROR(INDEX(Cluster_Master!$C$4:$C$18,MATCH($F133,Cluster_Master!$B$4:$B$18,0)),"")</f>
        <v/>
      </c>
      <c r="I133" s="8" t="str">
        <f>IFERROR(INDEX(Cluster_Master!$D$4:$D$18,MATCH($F133,Cluster_Master!$B$4:$B$18,0)),"")</f>
        <v/>
      </c>
      <c r="J133" s="8" t="str">
        <f>IFERROR(INDEX(Cluster_Master!$E$4:$E$18,MATCH($F133,Cluster_Master!$B$4:$B$18,0)),"")</f>
        <v/>
      </c>
      <c r="K133" s="8" t="str">
        <f>IFERROR(INDEX(Cluster_Master!$F$4:$F$18,MATCH($F133,Cluster_Master!$B$4:$B$18,0)),"")</f>
        <v/>
      </c>
      <c r="L133" s="8" t="str">
        <f>IFERROR(INDEX(Cluster_Master!$G$4:$G$18,MATCH($F133,Cluster_Master!$B$4:$B$18,0)),"")</f>
        <v/>
      </c>
      <c r="M133" s="8" t="str">
        <f>IFERROR(INDEX(Cluster_Master!$H$4:$H$18,MATCH($F133,Cluster_Master!$B$4:$B$18,0)),"")</f>
        <v/>
      </c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8" t="str">
        <f t="shared" si="26"/>
        <v/>
      </c>
      <c r="AJ133" s="14" t="str">
        <f t="shared" si="27"/>
        <v/>
      </c>
      <c r="AK133" s="14" t="str">
        <f>IF(COUNTA(T133:AH133)=0,"",(SUM(T133*KPI_Weights!$B$4,U133*KPI_Weights!$B$5,V133*KPI_Weights!$B$6,W133*KPI_Weights!$B$7,X133*KPI_Weights!$B$8,Y133*KPI_Weights!$B$9,Z133*KPI_Weights!$B$10,AA133*KPI_Weights!$B$11,AB133*KPI_Weights!$B$12,AC133*KPI_Weights!$B$13,AD133*KPI_Weights!$B$14,AE133*KPI_Weights!$B$15,AF133*KPI_Weights!$B$16,AG133*KPI_Weights!$B$17,AH133*KPI_Weights!$B$18))/5)</f>
        <v/>
      </c>
      <c r="AL133" s="8" t="str">
        <f t="shared" si="28"/>
        <v/>
      </c>
      <c r="AM133" s="8" t="str">
        <f t="shared" si="29"/>
        <v/>
      </c>
      <c r="AN133" s="8" t="str">
        <f t="shared" si="30"/>
        <v/>
      </c>
      <c r="AO133" s="12"/>
      <c r="AP133" s="12"/>
      <c r="AQ133" s="12"/>
      <c r="AR133" s="12"/>
      <c r="AS133" s="12"/>
      <c r="AT133" s="15"/>
      <c r="AU133" s="12"/>
      <c r="AV133" s="16"/>
      <c r="AW133" s="12"/>
      <c r="AX133" s="15"/>
      <c r="AY133" s="15"/>
      <c r="AZ133" s="15"/>
      <c r="BA133" s="15"/>
      <c r="BB133" s="15"/>
      <c r="BC133" s="15"/>
      <c r="BD133" s="15"/>
      <c r="BE133" s="15"/>
      <c r="BF133" s="15"/>
    </row>
    <row r="134" spans="1:58" ht="19.5" customHeight="1" x14ac:dyDescent="0.2">
      <c r="A134" s="8" t="str">
        <f>IF($B134="","",TEXT($B134,"yyyymmdd")&amp;"-"&amp;SUBSTITUTE($F134," ","")&amp;"-"&amp;TEXT(COUNTIF($F$4:F134,$F134),"00"))</f>
        <v/>
      </c>
      <c r="B134" s="9"/>
      <c r="C134" s="8" t="str">
        <f t="shared" si="24"/>
        <v/>
      </c>
      <c r="D134" s="8" t="str">
        <f t="shared" si="25"/>
        <v/>
      </c>
      <c r="E134" s="10"/>
      <c r="F134" s="10"/>
      <c r="G134" s="8" t="str">
        <f>IF(OR($E134="",$F134=""),"",IFERROR(IF($E134=INDEX(Cluster_Master!$A$4:$A$18,MATCH($F134,Cluster_Master!$B$4:$B$18,0)),"OK","CHECK"),"CHECK"))</f>
        <v/>
      </c>
      <c r="H134" s="11" t="str">
        <f>IFERROR(INDEX(Cluster_Master!$C$4:$C$18,MATCH($F134,Cluster_Master!$B$4:$B$18,0)),"")</f>
        <v/>
      </c>
      <c r="I134" s="8" t="str">
        <f>IFERROR(INDEX(Cluster_Master!$D$4:$D$18,MATCH($F134,Cluster_Master!$B$4:$B$18,0)),"")</f>
        <v/>
      </c>
      <c r="J134" s="8" t="str">
        <f>IFERROR(INDEX(Cluster_Master!$E$4:$E$18,MATCH($F134,Cluster_Master!$B$4:$B$18,0)),"")</f>
        <v/>
      </c>
      <c r="K134" s="8" t="str">
        <f>IFERROR(INDEX(Cluster_Master!$F$4:$F$18,MATCH($F134,Cluster_Master!$B$4:$B$18,0)),"")</f>
        <v/>
      </c>
      <c r="L134" s="8" t="str">
        <f>IFERROR(INDEX(Cluster_Master!$G$4:$G$18,MATCH($F134,Cluster_Master!$B$4:$B$18,0)),"")</f>
        <v/>
      </c>
      <c r="M134" s="8" t="str">
        <f>IFERROR(INDEX(Cluster_Master!$H$4:$H$18,MATCH($F134,Cluster_Master!$B$4:$B$18,0)),"")</f>
        <v/>
      </c>
      <c r="N134" s="12"/>
      <c r="O134" s="12"/>
      <c r="P134" s="12"/>
      <c r="Q134" s="12"/>
      <c r="R134" s="12"/>
      <c r="S134" s="12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8" t="str">
        <f t="shared" si="26"/>
        <v/>
      </c>
      <c r="AJ134" s="14" t="str">
        <f t="shared" si="27"/>
        <v/>
      </c>
      <c r="AK134" s="14" t="str">
        <f>IF(COUNTA(T134:AH134)=0,"",(SUM(T134*KPI_Weights!$B$4,U134*KPI_Weights!$B$5,V134*KPI_Weights!$B$6,W134*KPI_Weights!$B$7,X134*KPI_Weights!$B$8,Y134*KPI_Weights!$B$9,Z134*KPI_Weights!$B$10,AA134*KPI_Weights!$B$11,AB134*KPI_Weights!$B$12,AC134*KPI_Weights!$B$13,AD134*KPI_Weights!$B$14,AE134*KPI_Weights!$B$15,AF134*KPI_Weights!$B$16,AG134*KPI_Weights!$B$17,AH134*KPI_Weights!$B$18))/5)</f>
        <v/>
      </c>
      <c r="AL134" s="8" t="str">
        <f t="shared" si="28"/>
        <v/>
      </c>
      <c r="AM134" s="8" t="str">
        <f t="shared" si="29"/>
        <v/>
      </c>
      <c r="AN134" s="8" t="str">
        <f t="shared" si="30"/>
        <v/>
      </c>
      <c r="AO134" s="12"/>
      <c r="AP134" s="12"/>
      <c r="AQ134" s="12"/>
      <c r="AR134" s="12"/>
      <c r="AS134" s="12"/>
      <c r="AT134" s="15"/>
      <c r="AU134" s="12"/>
      <c r="AV134" s="16"/>
      <c r="AW134" s="12"/>
      <c r="AX134" s="15"/>
      <c r="AY134" s="15"/>
      <c r="AZ134" s="15"/>
      <c r="BA134" s="15"/>
      <c r="BB134" s="15"/>
      <c r="BC134" s="15"/>
      <c r="BD134" s="15"/>
      <c r="BE134" s="15"/>
      <c r="BF134" s="15"/>
    </row>
    <row r="135" spans="1:58" ht="19.5" customHeight="1" x14ac:dyDescent="0.2">
      <c r="A135" s="8" t="str">
        <f>IF($B135="","",TEXT($B135,"yyyymmdd")&amp;"-"&amp;SUBSTITUTE($F135," ","")&amp;"-"&amp;TEXT(COUNTIF($F$4:F135,$F135),"00"))</f>
        <v/>
      </c>
      <c r="B135" s="9"/>
      <c r="C135" s="8" t="str">
        <f t="shared" si="24"/>
        <v/>
      </c>
      <c r="D135" s="8" t="str">
        <f t="shared" si="25"/>
        <v/>
      </c>
      <c r="E135" s="10"/>
      <c r="F135" s="10"/>
      <c r="G135" s="8" t="str">
        <f>IF(OR($E135="",$F135=""),"",IFERROR(IF($E135=INDEX(Cluster_Master!$A$4:$A$18,MATCH($F135,Cluster_Master!$B$4:$B$18,0)),"OK","CHECK"),"CHECK"))</f>
        <v/>
      </c>
      <c r="H135" s="11" t="str">
        <f>IFERROR(INDEX(Cluster_Master!$C$4:$C$18,MATCH($F135,Cluster_Master!$B$4:$B$18,0)),"")</f>
        <v/>
      </c>
      <c r="I135" s="8" t="str">
        <f>IFERROR(INDEX(Cluster_Master!$D$4:$D$18,MATCH($F135,Cluster_Master!$B$4:$B$18,0)),"")</f>
        <v/>
      </c>
      <c r="J135" s="8" t="str">
        <f>IFERROR(INDEX(Cluster_Master!$E$4:$E$18,MATCH($F135,Cluster_Master!$B$4:$B$18,0)),"")</f>
        <v/>
      </c>
      <c r="K135" s="8" t="str">
        <f>IFERROR(INDEX(Cluster_Master!$F$4:$F$18,MATCH($F135,Cluster_Master!$B$4:$B$18,0)),"")</f>
        <v/>
      </c>
      <c r="L135" s="8" t="str">
        <f>IFERROR(INDEX(Cluster_Master!$G$4:$G$18,MATCH($F135,Cluster_Master!$B$4:$B$18,0)),"")</f>
        <v/>
      </c>
      <c r="M135" s="8" t="str">
        <f>IFERROR(INDEX(Cluster_Master!$H$4:$H$18,MATCH($F135,Cluster_Master!$B$4:$B$18,0)),"")</f>
        <v/>
      </c>
      <c r="N135" s="12"/>
      <c r="O135" s="12"/>
      <c r="P135" s="12"/>
      <c r="Q135" s="12"/>
      <c r="R135" s="12"/>
      <c r="S135" s="12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8" t="str">
        <f t="shared" si="26"/>
        <v/>
      </c>
      <c r="AJ135" s="14" t="str">
        <f t="shared" si="27"/>
        <v/>
      </c>
      <c r="AK135" s="14" t="str">
        <f>IF(COUNTA(T135:AH135)=0,"",(SUM(T135*KPI_Weights!$B$4,U135*KPI_Weights!$B$5,V135*KPI_Weights!$B$6,W135*KPI_Weights!$B$7,X135*KPI_Weights!$B$8,Y135*KPI_Weights!$B$9,Z135*KPI_Weights!$B$10,AA135*KPI_Weights!$B$11,AB135*KPI_Weights!$B$12,AC135*KPI_Weights!$B$13,AD135*KPI_Weights!$B$14,AE135*KPI_Weights!$B$15,AF135*KPI_Weights!$B$16,AG135*KPI_Weights!$B$17,AH135*KPI_Weights!$B$18))/5)</f>
        <v/>
      </c>
      <c r="AL135" s="8" t="str">
        <f t="shared" si="28"/>
        <v/>
      </c>
      <c r="AM135" s="8" t="str">
        <f t="shared" si="29"/>
        <v/>
      </c>
      <c r="AN135" s="8" t="str">
        <f t="shared" si="30"/>
        <v/>
      </c>
      <c r="AO135" s="12"/>
      <c r="AP135" s="12"/>
      <c r="AQ135" s="12"/>
      <c r="AR135" s="12"/>
      <c r="AS135" s="12"/>
      <c r="AT135" s="15"/>
      <c r="AU135" s="12"/>
      <c r="AV135" s="16"/>
      <c r="AW135" s="12"/>
      <c r="AX135" s="15"/>
      <c r="AY135" s="15"/>
      <c r="AZ135" s="15"/>
      <c r="BA135" s="15"/>
      <c r="BB135" s="15"/>
      <c r="BC135" s="15"/>
      <c r="BD135" s="15"/>
      <c r="BE135" s="15"/>
      <c r="BF135" s="15"/>
    </row>
    <row r="136" spans="1:58" ht="19.5" customHeight="1" x14ac:dyDescent="0.2">
      <c r="A136" s="8" t="str">
        <f>IF($B136="","",TEXT($B136,"yyyymmdd")&amp;"-"&amp;SUBSTITUTE($F136," ","")&amp;"-"&amp;TEXT(COUNTIF($F$4:F136,$F136),"00"))</f>
        <v/>
      </c>
      <c r="B136" s="9"/>
      <c r="C136" s="8" t="str">
        <f t="shared" si="24"/>
        <v/>
      </c>
      <c r="D136" s="8" t="str">
        <f t="shared" si="25"/>
        <v/>
      </c>
      <c r="E136" s="10"/>
      <c r="F136" s="10"/>
      <c r="G136" s="8" t="str">
        <f>IF(OR($E136="",$F136=""),"",IFERROR(IF($E136=INDEX(Cluster_Master!$A$4:$A$18,MATCH($F136,Cluster_Master!$B$4:$B$18,0)),"OK","CHECK"),"CHECK"))</f>
        <v/>
      </c>
      <c r="H136" s="11" t="str">
        <f>IFERROR(INDEX(Cluster_Master!$C$4:$C$18,MATCH($F136,Cluster_Master!$B$4:$B$18,0)),"")</f>
        <v/>
      </c>
      <c r="I136" s="8" t="str">
        <f>IFERROR(INDEX(Cluster_Master!$D$4:$D$18,MATCH($F136,Cluster_Master!$B$4:$B$18,0)),"")</f>
        <v/>
      </c>
      <c r="J136" s="8" t="str">
        <f>IFERROR(INDEX(Cluster_Master!$E$4:$E$18,MATCH($F136,Cluster_Master!$B$4:$B$18,0)),"")</f>
        <v/>
      </c>
      <c r="K136" s="8" t="str">
        <f>IFERROR(INDEX(Cluster_Master!$F$4:$F$18,MATCH($F136,Cluster_Master!$B$4:$B$18,0)),"")</f>
        <v/>
      </c>
      <c r="L136" s="8" t="str">
        <f>IFERROR(INDEX(Cluster_Master!$G$4:$G$18,MATCH($F136,Cluster_Master!$B$4:$B$18,0)),"")</f>
        <v/>
      </c>
      <c r="M136" s="8" t="str">
        <f>IFERROR(INDEX(Cluster_Master!$H$4:$H$18,MATCH($F136,Cluster_Master!$B$4:$B$18,0)),"")</f>
        <v/>
      </c>
      <c r="N136" s="12"/>
      <c r="O136" s="12"/>
      <c r="P136" s="12"/>
      <c r="Q136" s="12"/>
      <c r="R136" s="12"/>
      <c r="S136" s="12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8" t="str">
        <f t="shared" si="26"/>
        <v/>
      </c>
      <c r="AJ136" s="14" t="str">
        <f t="shared" si="27"/>
        <v/>
      </c>
      <c r="AK136" s="14" t="str">
        <f>IF(COUNTA(T136:AH136)=0,"",(SUM(T136*KPI_Weights!$B$4,U136*KPI_Weights!$B$5,V136*KPI_Weights!$B$6,W136*KPI_Weights!$B$7,X136*KPI_Weights!$B$8,Y136*KPI_Weights!$B$9,Z136*KPI_Weights!$B$10,AA136*KPI_Weights!$B$11,AB136*KPI_Weights!$B$12,AC136*KPI_Weights!$B$13,AD136*KPI_Weights!$B$14,AE136*KPI_Weights!$B$15,AF136*KPI_Weights!$B$16,AG136*KPI_Weights!$B$17,AH136*KPI_Weights!$B$18))/5)</f>
        <v/>
      </c>
      <c r="AL136" s="8" t="str">
        <f t="shared" si="28"/>
        <v/>
      </c>
      <c r="AM136" s="8" t="str">
        <f t="shared" si="29"/>
        <v/>
      </c>
      <c r="AN136" s="8" t="str">
        <f t="shared" si="30"/>
        <v/>
      </c>
      <c r="AO136" s="12"/>
      <c r="AP136" s="12"/>
      <c r="AQ136" s="12"/>
      <c r="AR136" s="12"/>
      <c r="AS136" s="12"/>
      <c r="AT136" s="15"/>
      <c r="AU136" s="12"/>
      <c r="AV136" s="16"/>
      <c r="AW136" s="12"/>
      <c r="AX136" s="15"/>
      <c r="AY136" s="15"/>
      <c r="AZ136" s="15"/>
      <c r="BA136" s="15"/>
      <c r="BB136" s="15"/>
      <c r="BC136" s="15"/>
      <c r="BD136" s="15"/>
      <c r="BE136" s="15"/>
      <c r="BF136" s="15"/>
    </row>
    <row r="137" spans="1:58" ht="19.5" customHeight="1" x14ac:dyDescent="0.2">
      <c r="A137" s="8" t="str">
        <f>IF($B137="","",TEXT($B137,"yyyymmdd")&amp;"-"&amp;SUBSTITUTE($F137," ","")&amp;"-"&amp;TEXT(COUNTIF($F$4:F137,$F137),"00"))</f>
        <v/>
      </c>
      <c r="B137" s="9"/>
      <c r="C137" s="8" t="str">
        <f t="shared" si="24"/>
        <v/>
      </c>
      <c r="D137" s="8" t="str">
        <f t="shared" si="25"/>
        <v/>
      </c>
      <c r="E137" s="10"/>
      <c r="F137" s="10"/>
      <c r="G137" s="8" t="str">
        <f>IF(OR($E137="",$F137=""),"",IFERROR(IF($E137=INDEX(Cluster_Master!$A$4:$A$18,MATCH($F137,Cluster_Master!$B$4:$B$18,0)),"OK","CHECK"),"CHECK"))</f>
        <v/>
      </c>
      <c r="H137" s="11" t="str">
        <f>IFERROR(INDEX(Cluster_Master!$C$4:$C$18,MATCH($F137,Cluster_Master!$B$4:$B$18,0)),"")</f>
        <v/>
      </c>
      <c r="I137" s="8" t="str">
        <f>IFERROR(INDEX(Cluster_Master!$D$4:$D$18,MATCH($F137,Cluster_Master!$B$4:$B$18,0)),"")</f>
        <v/>
      </c>
      <c r="J137" s="8" t="str">
        <f>IFERROR(INDEX(Cluster_Master!$E$4:$E$18,MATCH($F137,Cluster_Master!$B$4:$B$18,0)),"")</f>
        <v/>
      </c>
      <c r="K137" s="8" t="str">
        <f>IFERROR(INDEX(Cluster_Master!$F$4:$F$18,MATCH($F137,Cluster_Master!$B$4:$B$18,0)),"")</f>
        <v/>
      </c>
      <c r="L137" s="8" t="str">
        <f>IFERROR(INDEX(Cluster_Master!$G$4:$G$18,MATCH($F137,Cluster_Master!$B$4:$B$18,0)),"")</f>
        <v/>
      </c>
      <c r="M137" s="8" t="str">
        <f>IFERROR(INDEX(Cluster_Master!$H$4:$H$18,MATCH($F137,Cluster_Master!$B$4:$B$18,0)),"")</f>
        <v/>
      </c>
      <c r="N137" s="12"/>
      <c r="O137" s="12"/>
      <c r="P137" s="12"/>
      <c r="Q137" s="12"/>
      <c r="R137" s="12"/>
      <c r="S137" s="12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8" t="str">
        <f t="shared" si="26"/>
        <v/>
      </c>
      <c r="AJ137" s="14" t="str">
        <f t="shared" si="27"/>
        <v/>
      </c>
      <c r="AK137" s="14" t="str">
        <f>IF(COUNTA(T137:AH137)=0,"",(SUM(T137*KPI_Weights!$B$4,U137*KPI_Weights!$B$5,V137*KPI_Weights!$B$6,W137*KPI_Weights!$B$7,X137*KPI_Weights!$B$8,Y137*KPI_Weights!$B$9,Z137*KPI_Weights!$B$10,AA137*KPI_Weights!$B$11,AB137*KPI_Weights!$B$12,AC137*KPI_Weights!$B$13,AD137*KPI_Weights!$B$14,AE137*KPI_Weights!$B$15,AF137*KPI_Weights!$B$16,AG137*KPI_Weights!$B$17,AH137*KPI_Weights!$B$18))/5)</f>
        <v/>
      </c>
      <c r="AL137" s="8" t="str">
        <f t="shared" si="28"/>
        <v/>
      </c>
      <c r="AM137" s="8" t="str">
        <f t="shared" si="29"/>
        <v/>
      </c>
      <c r="AN137" s="8" t="str">
        <f t="shared" si="30"/>
        <v/>
      </c>
      <c r="AO137" s="12"/>
      <c r="AP137" s="12"/>
      <c r="AQ137" s="12"/>
      <c r="AR137" s="12"/>
      <c r="AS137" s="12"/>
      <c r="AT137" s="15"/>
      <c r="AU137" s="12"/>
      <c r="AV137" s="16"/>
      <c r="AW137" s="12"/>
      <c r="AX137" s="15"/>
      <c r="AY137" s="15"/>
      <c r="AZ137" s="15"/>
      <c r="BA137" s="15"/>
      <c r="BB137" s="15"/>
      <c r="BC137" s="15"/>
      <c r="BD137" s="15"/>
      <c r="BE137" s="15"/>
      <c r="BF137" s="15"/>
    </row>
    <row r="138" spans="1:58" ht="19.5" customHeight="1" x14ac:dyDescent="0.2">
      <c r="A138" s="8" t="str">
        <f>IF($B138="","",TEXT($B138,"yyyymmdd")&amp;"-"&amp;SUBSTITUTE($F138," ","")&amp;"-"&amp;TEXT(COUNTIF($F$4:F138,$F138),"00"))</f>
        <v/>
      </c>
      <c r="B138" s="9"/>
      <c r="C138" s="8" t="str">
        <f t="shared" si="24"/>
        <v/>
      </c>
      <c r="D138" s="8" t="str">
        <f t="shared" si="25"/>
        <v/>
      </c>
      <c r="E138" s="10"/>
      <c r="F138" s="10"/>
      <c r="G138" s="8" t="str">
        <f>IF(OR($E138="",$F138=""),"",IFERROR(IF($E138=INDEX(Cluster_Master!$A$4:$A$18,MATCH($F138,Cluster_Master!$B$4:$B$18,0)),"OK","CHECK"),"CHECK"))</f>
        <v/>
      </c>
      <c r="H138" s="11" t="str">
        <f>IFERROR(INDEX(Cluster_Master!$C$4:$C$18,MATCH($F138,Cluster_Master!$B$4:$B$18,0)),"")</f>
        <v/>
      </c>
      <c r="I138" s="8" t="str">
        <f>IFERROR(INDEX(Cluster_Master!$D$4:$D$18,MATCH($F138,Cluster_Master!$B$4:$B$18,0)),"")</f>
        <v/>
      </c>
      <c r="J138" s="8" t="str">
        <f>IFERROR(INDEX(Cluster_Master!$E$4:$E$18,MATCH($F138,Cluster_Master!$B$4:$B$18,0)),"")</f>
        <v/>
      </c>
      <c r="K138" s="8" t="str">
        <f>IFERROR(INDEX(Cluster_Master!$F$4:$F$18,MATCH($F138,Cluster_Master!$B$4:$B$18,0)),"")</f>
        <v/>
      </c>
      <c r="L138" s="8" t="str">
        <f>IFERROR(INDEX(Cluster_Master!$G$4:$G$18,MATCH($F138,Cluster_Master!$B$4:$B$18,0)),"")</f>
        <v/>
      </c>
      <c r="M138" s="8" t="str">
        <f>IFERROR(INDEX(Cluster_Master!$H$4:$H$18,MATCH($F138,Cluster_Master!$B$4:$B$18,0)),"")</f>
        <v/>
      </c>
      <c r="N138" s="12"/>
      <c r="O138" s="12"/>
      <c r="P138" s="12"/>
      <c r="Q138" s="12"/>
      <c r="R138" s="12"/>
      <c r="S138" s="12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8" t="str">
        <f t="shared" si="26"/>
        <v/>
      </c>
      <c r="AJ138" s="14" t="str">
        <f t="shared" si="27"/>
        <v/>
      </c>
      <c r="AK138" s="14" t="str">
        <f>IF(COUNTA(T138:AH138)=0,"",(SUM(T138*KPI_Weights!$B$4,U138*KPI_Weights!$B$5,V138*KPI_Weights!$B$6,W138*KPI_Weights!$B$7,X138*KPI_Weights!$B$8,Y138*KPI_Weights!$B$9,Z138*KPI_Weights!$B$10,AA138*KPI_Weights!$B$11,AB138*KPI_Weights!$B$12,AC138*KPI_Weights!$B$13,AD138*KPI_Weights!$B$14,AE138*KPI_Weights!$B$15,AF138*KPI_Weights!$B$16,AG138*KPI_Weights!$B$17,AH138*KPI_Weights!$B$18))/5)</f>
        <v/>
      </c>
      <c r="AL138" s="8" t="str">
        <f t="shared" si="28"/>
        <v/>
      </c>
      <c r="AM138" s="8" t="str">
        <f t="shared" si="29"/>
        <v/>
      </c>
      <c r="AN138" s="8" t="str">
        <f t="shared" si="30"/>
        <v/>
      </c>
      <c r="AO138" s="12"/>
      <c r="AP138" s="12"/>
      <c r="AQ138" s="12"/>
      <c r="AR138" s="12"/>
      <c r="AS138" s="12"/>
      <c r="AT138" s="15"/>
      <c r="AU138" s="12"/>
      <c r="AV138" s="16"/>
      <c r="AW138" s="12"/>
      <c r="AX138" s="15"/>
      <c r="AY138" s="15"/>
      <c r="AZ138" s="15"/>
      <c r="BA138" s="15"/>
      <c r="BB138" s="15"/>
      <c r="BC138" s="15"/>
      <c r="BD138" s="15"/>
      <c r="BE138" s="15"/>
      <c r="BF138" s="15"/>
    </row>
    <row r="139" spans="1:58" ht="19.5" customHeight="1" x14ac:dyDescent="0.2">
      <c r="A139" s="8" t="str">
        <f>IF($B139="","",TEXT($B139,"yyyymmdd")&amp;"-"&amp;SUBSTITUTE($F139," ","")&amp;"-"&amp;TEXT(COUNTIF($F$4:F139,$F139),"00"))</f>
        <v/>
      </c>
      <c r="B139" s="9"/>
      <c r="C139" s="8" t="str">
        <f t="shared" si="24"/>
        <v/>
      </c>
      <c r="D139" s="8" t="str">
        <f t="shared" si="25"/>
        <v/>
      </c>
      <c r="E139" s="10"/>
      <c r="F139" s="10"/>
      <c r="G139" s="8" t="str">
        <f>IF(OR($E139="",$F139=""),"",IFERROR(IF($E139=INDEX(Cluster_Master!$A$4:$A$18,MATCH($F139,Cluster_Master!$B$4:$B$18,0)),"OK","CHECK"),"CHECK"))</f>
        <v/>
      </c>
      <c r="H139" s="11" t="str">
        <f>IFERROR(INDEX(Cluster_Master!$C$4:$C$18,MATCH($F139,Cluster_Master!$B$4:$B$18,0)),"")</f>
        <v/>
      </c>
      <c r="I139" s="8" t="str">
        <f>IFERROR(INDEX(Cluster_Master!$D$4:$D$18,MATCH($F139,Cluster_Master!$B$4:$B$18,0)),"")</f>
        <v/>
      </c>
      <c r="J139" s="8" t="str">
        <f>IFERROR(INDEX(Cluster_Master!$E$4:$E$18,MATCH($F139,Cluster_Master!$B$4:$B$18,0)),"")</f>
        <v/>
      </c>
      <c r="K139" s="8" t="str">
        <f>IFERROR(INDEX(Cluster_Master!$F$4:$F$18,MATCH($F139,Cluster_Master!$B$4:$B$18,0)),"")</f>
        <v/>
      </c>
      <c r="L139" s="8" t="str">
        <f>IFERROR(INDEX(Cluster_Master!$G$4:$G$18,MATCH($F139,Cluster_Master!$B$4:$B$18,0)),"")</f>
        <v/>
      </c>
      <c r="M139" s="8" t="str">
        <f>IFERROR(INDEX(Cluster_Master!$H$4:$H$18,MATCH($F139,Cluster_Master!$B$4:$B$18,0)),"")</f>
        <v/>
      </c>
      <c r="N139" s="12"/>
      <c r="O139" s="12"/>
      <c r="P139" s="12"/>
      <c r="Q139" s="12"/>
      <c r="R139" s="12"/>
      <c r="S139" s="12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8" t="str">
        <f t="shared" si="26"/>
        <v/>
      </c>
      <c r="AJ139" s="14" t="str">
        <f t="shared" si="27"/>
        <v/>
      </c>
      <c r="AK139" s="14" t="str">
        <f>IF(COUNTA(T139:AH139)=0,"",(SUM(T139*KPI_Weights!$B$4,U139*KPI_Weights!$B$5,V139*KPI_Weights!$B$6,W139*KPI_Weights!$B$7,X139*KPI_Weights!$B$8,Y139*KPI_Weights!$B$9,Z139*KPI_Weights!$B$10,AA139*KPI_Weights!$B$11,AB139*KPI_Weights!$B$12,AC139*KPI_Weights!$B$13,AD139*KPI_Weights!$B$14,AE139*KPI_Weights!$B$15,AF139*KPI_Weights!$B$16,AG139*KPI_Weights!$B$17,AH139*KPI_Weights!$B$18))/5)</f>
        <v/>
      </c>
      <c r="AL139" s="8" t="str">
        <f t="shared" si="28"/>
        <v/>
      </c>
      <c r="AM139" s="8" t="str">
        <f t="shared" si="29"/>
        <v/>
      </c>
      <c r="AN139" s="8" t="str">
        <f t="shared" si="30"/>
        <v/>
      </c>
      <c r="AO139" s="12"/>
      <c r="AP139" s="12"/>
      <c r="AQ139" s="12"/>
      <c r="AR139" s="12"/>
      <c r="AS139" s="12"/>
      <c r="AT139" s="15"/>
      <c r="AU139" s="12"/>
      <c r="AV139" s="16"/>
      <c r="AW139" s="12"/>
      <c r="AX139" s="15"/>
      <c r="AY139" s="15"/>
      <c r="AZ139" s="15"/>
      <c r="BA139" s="15"/>
      <c r="BB139" s="15"/>
      <c r="BC139" s="15"/>
      <c r="BD139" s="15"/>
      <c r="BE139" s="15"/>
      <c r="BF139" s="15"/>
    </row>
    <row r="140" spans="1:58" ht="19.5" customHeight="1" x14ac:dyDescent="0.2">
      <c r="A140" s="8" t="str">
        <f>IF($B140="","",TEXT($B140,"yyyymmdd")&amp;"-"&amp;SUBSTITUTE($F140," ","")&amp;"-"&amp;TEXT(COUNTIF($F$4:F140,$F140),"00"))</f>
        <v/>
      </c>
      <c r="B140" s="9"/>
      <c r="C140" s="8" t="str">
        <f t="shared" si="24"/>
        <v/>
      </c>
      <c r="D140" s="8" t="str">
        <f t="shared" si="25"/>
        <v/>
      </c>
      <c r="E140" s="10"/>
      <c r="F140" s="10"/>
      <c r="G140" s="8" t="str">
        <f>IF(OR($E140="",$F140=""),"",IFERROR(IF($E140=INDEX(Cluster_Master!$A$4:$A$18,MATCH($F140,Cluster_Master!$B$4:$B$18,0)),"OK","CHECK"),"CHECK"))</f>
        <v/>
      </c>
      <c r="H140" s="11" t="str">
        <f>IFERROR(INDEX(Cluster_Master!$C$4:$C$18,MATCH($F140,Cluster_Master!$B$4:$B$18,0)),"")</f>
        <v/>
      </c>
      <c r="I140" s="8" t="str">
        <f>IFERROR(INDEX(Cluster_Master!$D$4:$D$18,MATCH($F140,Cluster_Master!$B$4:$B$18,0)),"")</f>
        <v/>
      </c>
      <c r="J140" s="8" t="str">
        <f>IFERROR(INDEX(Cluster_Master!$E$4:$E$18,MATCH($F140,Cluster_Master!$B$4:$B$18,0)),"")</f>
        <v/>
      </c>
      <c r="K140" s="8" t="str">
        <f>IFERROR(INDEX(Cluster_Master!$F$4:$F$18,MATCH($F140,Cluster_Master!$B$4:$B$18,0)),"")</f>
        <v/>
      </c>
      <c r="L140" s="8" t="str">
        <f>IFERROR(INDEX(Cluster_Master!$G$4:$G$18,MATCH($F140,Cluster_Master!$B$4:$B$18,0)),"")</f>
        <v/>
      </c>
      <c r="M140" s="8" t="str">
        <f>IFERROR(INDEX(Cluster_Master!$H$4:$H$18,MATCH($F140,Cluster_Master!$B$4:$B$18,0)),"")</f>
        <v/>
      </c>
      <c r="N140" s="12"/>
      <c r="O140" s="12"/>
      <c r="P140" s="12"/>
      <c r="Q140" s="12"/>
      <c r="R140" s="12"/>
      <c r="S140" s="12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8" t="str">
        <f t="shared" si="26"/>
        <v/>
      </c>
      <c r="AJ140" s="14" t="str">
        <f t="shared" si="27"/>
        <v/>
      </c>
      <c r="AK140" s="14" t="str">
        <f>IF(COUNTA(T140:AH140)=0,"",(SUM(T140*KPI_Weights!$B$4,U140*KPI_Weights!$B$5,V140*KPI_Weights!$B$6,W140*KPI_Weights!$B$7,X140*KPI_Weights!$B$8,Y140*KPI_Weights!$B$9,Z140*KPI_Weights!$B$10,AA140*KPI_Weights!$B$11,AB140*KPI_Weights!$B$12,AC140*KPI_Weights!$B$13,AD140*KPI_Weights!$B$14,AE140*KPI_Weights!$B$15,AF140*KPI_Weights!$B$16,AG140*KPI_Weights!$B$17,AH140*KPI_Weights!$B$18))/5)</f>
        <v/>
      </c>
      <c r="AL140" s="8" t="str">
        <f t="shared" si="28"/>
        <v/>
      </c>
      <c r="AM140" s="8" t="str">
        <f t="shared" si="29"/>
        <v/>
      </c>
      <c r="AN140" s="8" t="str">
        <f t="shared" si="30"/>
        <v/>
      </c>
      <c r="AO140" s="12"/>
      <c r="AP140" s="12"/>
      <c r="AQ140" s="12"/>
      <c r="AR140" s="12"/>
      <c r="AS140" s="12"/>
      <c r="AT140" s="15"/>
      <c r="AU140" s="12"/>
      <c r="AV140" s="16"/>
      <c r="AW140" s="12"/>
      <c r="AX140" s="15"/>
      <c r="AY140" s="15"/>
      <c r="AZ140" s="15"/>
      <c r="BA140" s="15"/>
      <c r="BB140" s="15"/>
      <c r="BC140" s="15"/>
      <c r="BD140" s="15"/>
      <c r="BE140" s="15"/>
      <c r="BF140" s="15"/>
    </row>
    <row r="141" spans="1:58" ht="19.5" customHeight="1" x14ac:dyDescent="0.2">
      <c r="A141" s="8" t="str">
        <f>IF($B141="","",TEXT($B141,"yyyymmdd")&amp;"-"&amp;SUBSTITUTE($F141," ","")&amp;"-"&amp;TEXT(COUNTIF($F$4:F141,$F141),"00"))</f>
        <v/>
      </c>
      <c r="B141" s="9"/>
      <c r="C141" s="8" t="str">
        <f t="shared" si="24"/>
        <v/>
      </c>
      <c r="D141" s="8" t="str">
        <f t="shared" si="25"/>
        <v/>
      </c>
      <c r="E141" s="10"/>
      <c r="F141" s="10"/>
      <c r="G141" s="8" t="str">
        <f>IF(OR($E141="",$F141=""),"",IFERROR(IF($E141=INDEX(Cluster_Master!$A$4:$A$18,MATCH($F141,Cluster_Master!$B$4:$B$18,0)),"OK","CHECK"),"CHECK"))</f>
        <v/>
      </c>
      <c r="H141" s="11" t="str">
        <f>IFERROR(INDEX(Cluster_Master!$C$4:$C$18,MATCH($F141,Cluster_Master!$B$4:$B$18,0)),"")</f>
        <v/>
      </c>
      <c r="I141" s="8" t="str">
        <f>IFERROR(INDEX(Cluster_Master!$D$4:$D$18,MATCH($F141,Cluster_Master!$B$4:$B$18,0)),"")</f>
        <v/>
      </c>
      <c r="J141" s="8" t="str">
        <f>IFERROR(INDEX(Cluster_Master!$E$4:$E$18,MATCH($F141,Cluster_Master!$B$4:$B$18,0)),"")</f>
        <v/>
      </c>
      <c r="K141" s="8" t="str">
        <f>IFERROR(INDEX(Cluster_Master!$F$4:$F$18,MATCH($F141,Cluster_Master!$B$4:$B$18,0)),"")</f>
        <v/>
      </c>
      <c r="L141" s="8" t="str">
        <f>IFERROR(INDEX(Cluster_Master!$G$4:$G$18,MATCH($F141,Cluster_Master!$B$4:$B$18,0)),"")</f>
        <v/>
      </c>
      <c r="M141" s="8" t="str">
        <f>IFERROR(INDEX(Cluster_Master!$H$4:$H$18,MATCH($F141,Cluster_Master!$B$4:$B$18,0)),"")</f>
        <v/>
      </c>
      <c r="N141" s="12"/>
      <c r="O141" s="12"/>
      <c r="P141" s="12"/>
      <c r="Q141" s="12"/>
      <c r="R141" s="12"/>
      <c r="S141" s="12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8" t="str">
        <f t="shared" si="26"/>
        <v/>
      </c>
      <c r="AJ141" s="14" t="str">
        <f t="shared" si="27"/>
        <v/>
      </c>
      <c r="AK141" s="14" t="str">
        <f>IF(COUNTA(T141:AH141)=0,"",(SUM(T141*KPI_Weights!$B$4,U141*KPI_Weights!$B$5,V141*KPI_Weights!$B$6,W141*KPI_Weights!$B$7,X141*KPI_Weights!$B$8,Y141*KPI_Weights!$B$9,Z141*KPI_Weights!$B$10,AA141*KPI_Weights!$B$11,AB141*KPI_Weights!$B$12,AC141*KPI_Weights!$B$13,AD141*KPI_Weights!$B$14,AE141*KPI_Weights!$B$15,AF141*KPI_Weights!$B$16,AG141*KPI_Weights!$B$17,AH141*KPI_Weights!$B$18))/5)</f>
        <v/>
      </c>
      <c r="AL141" s="8" t="str">
        <f t="shared" si="28"/>
        <v/>
      </c>
      <c r="AM141" s="8" t="str">
        <f t="shared" si="29"/>
        <v/>
      </c>
      <c r="AN141" s="8" t="str">
        <f t="shared" si="30"/>
        <v/>
      </c>
      <c r="AO141" s="12"/>
      <c r="AP141" s="12"/>
      <c r="AQ141" s="12"/>
      <c r="AR141" s="12"/>
      <c r="AS141" s="12"/>
      <c r="AT141" s="15"/>
      <c r="AU141" s="12"/>
      <c r="AV141" s="16"/>
      <c r="AW141" s="12"/>
      <c r="AX141" s="15"/>
      <c r="AY141" s="15"/>
      <c r="AZ141" s="15"/>
      <c r="BA141" s="15"/>
      <c r="BB141" s="15"/>
      <c r="BC141" s="15"/>
      <c r="BD141" s="15"/>
      <c r="BE141" s="15"/>
      <c r="BF141" s="15"/>
    </row>
    <row r="142" spans="1:58" ht="19.5" customHeight="1" x14ac:dyDescent="0.2">
      <c r="A142" s="8" t="str">
        <f>IF($B142="","",TEXT($B142,"yyyymmdd")&amp;"-"&amp;SUBSTITUTE($F142," ","")&amp;"-"&amp;TEXT(COUNTIF($F$4:F142,$F142),"00"))</f>
        <v/>
      </c>
      <c r="B142" s="9"/>
      <c r="C142" s="8" t="str">
        <f t="shared" si="24"/>
        <v/>
      </c>
      <c r="D142" s="8" t="str">
        <f t="shared" si="25"/>
        <v/>
      </c>
      <c r="E142" s="10"/>
      <c r="F142" s="10"/>
      <c r="G142" s="8" t="str">
        <f>IF(OR($E142="",$F142=""),"",IFERROR(IF($E142=INDEX(Cluster_Master!$A$4:$A$18,MATCH($F142,Cluster_Master!$B$4:$B$18,0)),"OK","CHECK"),"CHECK"))</f>
        <v/>
      </c>
      <c r="H142" s="11" t="str">
        <f>IFERROR(INDEX(Cluster_Master!$C$4:$C$18,MATCH($F142,Cluster_Master!$B$4:$B$18,0)),"")</f>
        <v/>
      </c>
      <c r="I142" s="8" t="str">
        <f>IFERROR(INDEX(Cluster_Master!$D$4:$D$18,MATCH($F142,Cluster_Master!$B$4:$B$18,0)),"")</f>
        <v/>
      </c>
      <c r="J142" s="8" t="str">
        <f>IFERROR(INDEX(Cluster_Master!$E$4:$E$18,MATCH($F142,Cluster_Master!$B$4:$B$18,0)),"")</f>
        <v/>
      </c>
      <c r="K142" s="8" t="str">
        <f>IFERROR(INDEX(Cluster_Master!$F$4:$F$18,MATCH($F142,Cluster_Master!$B$4:$B$18,0)),"")</f>
        <v/>
      </c>
      <c r="L142" s="8" t="str">
        <f>IFERROR(INDEX(Cluster_Master!$G$4:$G$18,MATCH($F142,Cluster_Master!$B$4:$B$18,0)),"")</f>
        <v/>
      </c>
      <c r="M142" s="8" t="str">
        <f>IFERROR(INDEX(Cluster_Master!$H$4:$H$18,MATCH($F142,Cluster_Master!$B$4:$B$18,0)),"")</f>
        <v/>
      </c>
      <c r="N142" s="12"/>
      <c r="O142" s="12"/>
      <c r="P142" s="12"/>
      <c r="Q142" s="12"/>
      <c r="R142" s="12"/>
      <c r="S142" s="12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8" t="str">
        <f t="shared" si="26"/>
        <v/>
      </c>
      <c r="AJ142" s="14" t="str">
        <f t="shared" si="27"/>
        <v/>
      </c>
      <c r="AK142" s="14" t="str">
        <f>IF(COUNTA(T142:AH142)=0,"",(SUM(T142*KPI_Weights!$B$4,U142*KPI_Weights!$B$5,V142*KPI_Weights!$B$6,W142*KPI_Weights!$B$7,X142*KPI_Weights!$B$8,Y142*KPI_Weights!$B$9,Z142*KPI_Weights!$B$10,AA142*KPI_Weights!$B$11,AB142*KPI_Weights!$B$12,AC142*KPI_Weights!$B$13,AD142*KPI_Weights!$B$14,AE142*KPI_Weights!$B$15,AF142*KPI_Weights!$B$16,AG142*KPI_Weights!$B$17,AH142*KPI_Weights!$B$18))/5)</f>
        <v/>
      </c>
      <c r="AL142" s="8" t="str">
        <f t="shared" si="28"/>
        <v/>
      </c>
      <c r="AM142" s="8" t="str">
        <f t="shared" si="29"/>
        <v/>
      </c>
      <c r="AN142" s="8" t="str">
        <f t="shared" si="30"/>
        <v/>
      </c>
      <c r="AO142" s="12"/>
      <c r="AP142" s="12"/>
      <c r="AQ142" s="12"/>
      <c r="AR142" s="12"/>
      <c r="AS142" s="12"/>
      <c r="AT142" s="15"/>
      <c r="AU142" s="12"/>
      <c r="AV142" s="16"/>
      <c r="AW142" s="12"/>
      <c r="AX142" s="15"/>
      <c r="AY142" s="15"/>
      <c r="AZ142" s="15"/>
      <c r="BA142" s="15"/>
      <c r="BB142" s="15"/>
      <c r="BC142" s="15"/>
      <c r="BD142" s="15"/>
      <c r="BE142" s="15"/>
      <c r="BF142" s="15"/>
    </row>
    <row r="143" spans="1:58" ht="19.5" customHeight="1" x14ac:dyDescent="0.2">
      <c r="A143" s="8" t="str">
        <f>IF($B143="","",TEXT($B143,"yyyymmdd")&amp;"-"&amp;SUBSTITUTE($F143," ","")&amp;"-"&amp;TEXT(COUNTIF($F$4:F143,$F143),"00"))</f>
        <v/>
      </c>
      <c r="B143" s="9"/>
      <c r="C143" s="8" t="str">
        <f t="shared" si="24"/>
        <v/>
      </c>
      <c r="D143" s="8" t="str">
        <f t="shared" si="25"/>
        <v/>
      </c>
      <c r="E143" s="10"/>
      <c r="F143" s="10"/>
      <c r="G143" s="8" t="str">
        <f>IF(OR($E143="",$F143=""),"",IFERROR(IF($E143=INDEX(Cluster_Master!$A$4:$A$18,MATCH($F143,Cluster_Master!$B$4:$B$18,0)),"OK","CHECK"),"CHECK"))</f>
        <v/>
      </c>
      <c r="H143" s="11" t="str">
        <f>IFERROR(INDEX(Cluster_Master!$C$4:$C$18,MATCH($F143,Cluster_Master!$B$4:$B$18,0)),"")</f>
        <v/>
      </c>
      <c r="I143" s="8" t="str">
        <f>IFERROR(INDEX(Cluster_Master!$D$4:$D$18,MATCH($F143,Cluster_Master!$B$4:$B$18,0)),"")</f>
        <v/>
      </c>
      <c r="J143" s="8" t="str">
        <f>IFERROR(INDEX(Cluster_Master!$E$4:$E$18,MATCH($F143,Cluster_Master!$B$4:$B$18,0)),"")</f>
        <v/>
      </c>
      <c r="K143" s="8" t="str">
        <f>IFERROR(INDEX(Cluster_Master!$F$4:$F$18,MATCH($F143,Cluster_Master!$B$4:$B$18,0)),"")</f>
        <v/>
      </c>
      <c r="L143" s="8" t="str">
        <f>IFERROR(INDEX(Cluster_Master!$G$4:$G$18,MATCH($F143,Cluster_Master!$B$4:$B$18,0)),"")</f>
        <v/>
      </c>
      <c r="M143" s="8" t="str">
        <f>IFERROR(INDEX(Cluster_Master!$H$4:$H$18,MATCH($F143,Cluster_Master!$B$4:$B$18,0)),"")</f>
        <v/>
      </c>
      <c r="N143" s="12"/>
      <c r="O143" s="12"/>
      <c r="P143" s="12"/>
      <c r="Q143" s="12"/>
      <c r="R143" s="12"/>
      <c r="S143" s="12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8" t="str">
        <f t="shared" si="26"/>
        <v/>
      </c>
      <c r="AJ143" s="14" t="str">
        <f t="shared" si="27"/>
        <v/>
      </c>
      <c r="AK143" s="14" t="str">
        <f>IF(COUNTA(T143:AH143)=0,"",(SUM(T143*KPI_Weights!$B$4,U143*KPI_Weights!$B$5,V143*KPI_Weights!$B$6,W143*KPI_Weights!$B$7,X143*KPI_Weights!$B$8,Y143*KPI_Weights!$B$9,Z143*KPI_Weights!$B$10,AA143*KPI_Weights!$B$11,AB143*KPI_Weights!$B$12,AC143*KPI_Weights!$B$13,AD143*KPI_Weights!$B$14,AE143*KPI_Weights!$B$15,AF143*KPI_Weights!$B$16,AG143*KPI_Weights!$B$17,AH143*KPI_Weights!$B$18))/5)</f>
        <v/>
      </c>
      <c r="AL143" s="8" t="str">
        <f t="shared" si="28"/>
        <v/>
      </c>
      <c r="AM143" s="8" t="str">
        <f t="shared" si="29"/>
        <v/>
      </c>
      <c r="AN143" s="8" t="str">
        <f t="shared" si="30"/>
        <v/>
      </c>
      <c r="AO143" s="12"/>
      <c r="AP143" s="12"/>
      <c r="AQ143" s="12"/>
      <c r="AR143" s="12"/>
      <c r="AS143" s="12"/>
      <c r="AT143" s="15"/>
      <c r="AU143" s="12"/>
      <c r="AV143" s="16"/>
      <c r="AW143" s="12"/>
      <c r="AX143" s="15"/>
      <c r="AY143" s="15"/>
      <c r="AZ143" s="15"/>
      <c r="BA143" s="15"/>
      <c r="BB143" s="15"/>
      <c r="BC143" s="15"/>
      <c r="BD143" s="15"/>
      <c r="BE143" s="15"/>
      <c r="BF143" s="15"/>
    </row>
    <row r="144" spans="1:58" ht="19.5" customHeight="1" x14ac:dyDescent="0.2">
      <c r="A144" s="8" t="str">
        <f>IF($B144="","",TEXT($B144,"yyyymmdd")&amp;"-"&amp;SUBSTITUTE($F144," ","")&amp;"-"&amp;TEXT(COUNTIF($F$4:F144,$F144),"00"))</f>
        <v/>
      </c>
      <c r="B144" s="9"/>
      <c r="C144" s="8" t="str">
        <f t="shared" si="24"/>
        <v/>
      </c>
      <c r="D144" s="8" t="str">
        <f t="shared" si="25"/>
        <v/>
      </c>
      <c r="E144" s="10"/>
      <c r="F144" s="10"/>
      <c r="G144" s="8" t="str">
        <f>IF(OR($E144="",$F144=""),"",IFERROR(IF($E144=INDEX(Cluster_Master!$A$4:$A$18,MATCH($F144,Cluster_Master!$B$4:$B$18,0)),"OK","CHECK"),"CHECK"))</f>
        <v/>
      </c>
      <c r="H144" s="11" t="str">
        <f>IFERROR(INDEX(Cluster_Master!$C$4:$C$18,MATCH($F144,Cluster_Master!$B$4:$B$18,0)),"")</f>
        <v/>
      </c>
      <c r="I144" s="8" t="str">
        <f>IFERROR(INDEX(Cluster_Master!$D$4:$D$18,MATCH($F144,Cluster_Master!$B$4:$B$18,0)),"")</f>
        <v/>
      </c>
      <c r="J144" s="8" t="str">
        <f>IFERROR(INDEX(Cluster_Master!$E$4:$E$18,MATCH($F144,Cluster_Master!$B$4:$B$18,0)),"")</f>
        <v/>
      </c>
      <c r="K144" s="8" t="str">
        <f>IFERROR(INDEX(Cluster_Master!$F$4:$F$18,MATCH($F144,Cluster_Master!$B$4:$B$18,0)),"")</f>
        <v/>
      </c>
      <c r="L144" s="8" t="str">
        <f>IFERROR(INDEX(Cluster_Master!$G$4:$G$18,MATCH($F144,Cluster_Master!$B$4:$B$18,0)),"")</f>
        <v/>
      </c>
      <c r="M144" s="8" t="str">
        <f>IFERROR(INDEX(Cluster_Master!$H$4:$H$18,MATCH($F144,Cluster_Master!$B$4:$B$18,0)),"")</f>
        <v/>
      </c>
      <c r="N144" s="12"/>
      <c r="O144" s="12"/>
      <c r="P144" s="12"/>
      <c r="Q144" s="12"/>
      <c r="R144" s="12"/>
      <c r="S144" s="12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8" t="str">
        <f t="shared" si="26"/>
        <v/>
      </c>
      <c r="AJ144" s="14" t="str">
        <f t="shared" si="27"/>
        <v/>
      </c>
      <c r="AK144" s="14" t="str">
        <f>IF(COUNTA(T144:AH144)=0,"",(SUM(T144*KPI_Weights!$B$4,U144*KPI_Weights!$B$5,V144*KPI_Weights!$B$6,W144*KPI_Weights!$B$7,X144*KPI_Weights!$B$8,Y144*KPI_Weights!$B$9,Z144*KPI_Weights!$B$10,AA144*KPI_Weights!$B$11,AB144*KPI_Weights!$B$12,AC144*KPI_Weights!$B$13,AD144*KPI_Weights!$B$14,AE144*KPI_Weights!$B$15,AF144*KPI_Weights!$B$16,AG144*KPI_Weights!$B$17,AH144*KPI_Weights!$B$18))/5)</f>
        <v/>
      </c>
      <c r="AL144" s="8" t="str">
        <f t="shared" si="28"/>
        <v/>
      </c>
      <c r="AM144" s="8" t="str">
        <f t="shared" si="29"/>
        <v/>
      </c>
      <c r="AN144" s="8" t="str">
        <f t="shared" si="30"/>
        <v/>
      </c>
      <c r="AO144" s="12"/>
      <c r="AP144" s="12"/>
      <c r="AQ144" s="12"/>
      <c r="AR144" s="12"/>
      <c r="AS144" s="12"/>
      <c r="AT144" s="15"/>
      <c r="AU144" s="12"/>
      <c r="AV144" s="16"/>
      <c r="AW144" s="12"/>
      <c r="AX144" s="15"/>
      <c r="AY144" s="15"/>
      <c r="AZ144" s="15"/>
      <c r="BA144" s="15"/>
      <c r="BB144" s="15"/>
      <c r="BC144" s="15"/>
      <c r="BD144" s="15"/>
      <c r="BE144" s="15"/>
      <c r="BF144" s="15"/>
    </row>
    <row r="145" spans="1:58" ht="19.5" customHeight="1" x14ac:dyDescent="0.2">
      <c r="A145" s="8" t="str">
        <f>IF($B145="","",TEXT($B145,"yyyymmdd")&amp;"-"&amp;SUBSTITUTE($F145," ","")&amp;"-"&amp;TEXT(COUNTIF($F$4:F145,$F145),"00"))</f>
        <v/>
      </c>
      <c r="B145" s="9"/>
      <c r="C145" s="8" t="str">
        <f t="shared" si="24"/>
        <v/>
      </c>
      <c r="D145" s="8" t="str">
        <f t="shared" si="25"/>
        <v/>
      </c>
      <c r="E145" s="10"/>
      <c r="F145" s="10"/>
      <c r="G145" s="8" t="str">
        <f>IF(OR($E145="",$F145=""),"",IFERROR(IF($E145=INDEX(Cluster_Master!$A$4:$A$18,MATCH($F145,Cluster_Master!$B$4:$B$18,0)),"OK","CHECK"),"CHECK"))</f>
        <v/>
      </c>
      <c r="H145" s="11" t="str">
        <f>IFERROR(INDEX(Cluster_Master!$C$4:$C$18,MATCH($F145,Cluster_Master!$B$4:$B$18,0)),"")</f>
        <v/>
      </c>
      <c r="I145" s="8" t="str">
        <f>IFERROR(INDEX(Cluster_Master!$D$4:$D$18,MATCH($F145,Cluster_Master!$B$4:$B$18,0)),"")</f>
        <v/>
      </c>
      <c r="J145" s="8" t="str">
        <f>IFERROR(INDEX(Cluster_Master!$E$4:$E$18,MATCH($F145,Cluster_Master!$B$4:$B$18,0)),"")</f>
        <v/>
      </c>
      <c r="K145" s="8" t="str">
        <f>IFERROR(INDEX(Cluster_Master!$F$4:$F$18,MATCH($F145,Cluster_Master!$B$4:$B$18,0)),"")</f>
        <v/>
      </c>
      <c r="L145" s="8" t="str">
        <f>IFERROR(INDEX(Cluster_Master!$G$4:$G$18,MATCH($F145,Cluster_Master!$B$4:$B$18,0)),"")</f>
        <v/>
      </c>
      <c r="M145" s="8" t="str">
        <f>IFERROR(INDEX(Cluster_Master!$H$4:$H$18,MATCH($F145,Cluster_Master!$B$4:$B$18,0)),"")</f>
        <v/>
      </c>
      <c r="N145" s="12"/>
      <c r="O145" s="12"/>
      <c r="P145" s="12"/>
      <c r="Q145" s="12"/>
      <c r="R145" s="12"/>
      <c r="S145" s="12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8" t="str">
        <f t="shared" si="26"/>
        <v/>
      </c>
      <c r="AJ145" s="14" t="str">
        <f t="shared" si="27"/>
        <v/>
      </c>
      <c r="AK145" s="14" t="str">
        <f>IF(COUNTA(T145:AH145)=0,"",(SUM(T145*KPI_Weights!$B$4,U145*KPI_Weights!$B$5,V145*KPI_Weights!$B$6,W145*KPI_Weights!$B$7,X145*KPI_Weights!$B$8,Y145*KPI_Weights!$B$9,Z145*KPI_Weights!$B$10,AA145*KPI_Weights!$B$11,AB145*KPI_Weights!$B$12,AC145*KPI_Weights!$B$13,AD145*KPI_Weights!$B$14,AE145*KPI_Weights!$B$15,AF145*KPI_Weights!$B$16,AG145*KPI_Weights!$B$17,AH145*KPI_Weights!$B$18))/5)</f>
        <v/>
      </c>
      <c r="AL145" s="8" t="str">
        <f t="shared" si="28"/>
        <v/>
      </c>
      <c r="AM145" s="8" t="str">
        <f t="shared" si="29"/>
        <v/>
      </c>
      <c r="AN145" s="8" t="str">
        <f t="shared" si="30"/>
        <v/>
      </c>
      <c r="AO145" s="12"/>
      <c r="AP145" s="12"/>
      <c r="AQ145" s="12"/>
      <c r="AR145" s="12"/>
      <c r="AS145" s="12"/>
      <c r="AT145" s="15"/>
      <c r="AU145" s="12"/>
      <c r="AV145" s="16"/>
      <c r="AW145" s="12"/>
      <c r="AX145" s="15"/>
      <c r="AY145" s="15"/>
      <c r="AZ145" s="15"/>
      <c r="BA145" s="15"/>
      <c r="BB145" s="15"/>
      <c r="BC145" s="15"/>
      <c r="BD145" s="15"/>
      <c r="BE145" s="15"/>
      <c r="BF145" s="15"/>
    </row>
    <row r="146" spans="1:58" ht="19.5" customHeight="1" x14ac:dyDescent="0.2">
      <c r="A146" s="8" t="str">
        <f>IF($B146="","",TEXT($B146,"yyyymmdd")&amp;"-"&amp;SUBSTITUTE($F146," ","")&amp;"-"&amp;TEXT(COUNTIF($F$4:F146,$F146),"00"))</f>
        <v/>
      </c>
      <c r="B146" s="9"/>
      <c r="C146" s="8" t="str">
        <f t="shared" si="24"/>
        <v/>
      </c>
      <c r="D146" s="8" t="str">
        <f t="shared" si="25"/>
        <v/>
      </c>
      <c r="E146" s="10"/>
      <c r="F146" s="10"/>
      <c r="G146" s="8" t="str">
        <f>IF(OR($E146="",$F146=""),"",IFERROR(IF($E146=INDEX(Cluster_Master!$A$4:$A$18,MATCH($F146,Cluster_Master!$B$4:$B$18,0)),"OK","CHECK"),"CHECK"))</f>
        <v/>
      </c>
      <c r="H146" s="11" t="str">
        <f>IFERROR(INDEX(Cluster_Master!$C$4:$C$18,MATCH($F146,Cluster_Master!$B$4:$B$18,0)),"")</f>
        <v/>
      </c>
      <c r="I146" s="8" t="str">
        <f>IFERROR(INDEX(Cluster_Master!$D$4:$D$18,MATCH($F146,Cluster_Master!$B$4:$B$18,0)),"")</f>
        <v/>
      </c>
      <c r="J146" s="8" t="str">
        <f>IFERROR(INDEX(Cluster_Master!$E$4:$E$18,MATCH($F146,Cluster_Master!$B$4:$B$18,0)),"")</f>
        <v/>
      </c>
      <c r="K146" s="8" t="str">
        <f>IFERROR(INDEX(Cluster_Master!$F$4:$F$18,MATCH($F146,Cluster_Master!$B$4:$B$18,0)),"")</f>
        <v/>
      </c>
      <c r="L146" s="8" t="str">
        <f>IFERROR(INDEX(Cluster_Master!$G$4:$G$18,MATCH($F146,Cluster_Master!$B$4:$B$18,0)),"")</f>
        <v/>
      </c>
      <c r="M146" s="8" t="str">
        <f>IFERROR(INDEX(Cluster_Master!$H$4:$H$18,MATCH($F146,Cluster_Master!$B$4:$B$18,0)),"")</f>
        <v/>
      </c>
      <c r="N146" s="12"/>
      <c r="O146" s="12"/>
      <c r="P146" s="12"/>
      <c r="Q146" s="12"/>
      <c r="R146" s="12"/>
      <c r="S146" s="12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8" t="str">
        <f t="shared" si="26"/>
        <v/>
      </c>
      <c r="AJ146" s="14" t="str">
        <f t="shared" si="27"/>
        <v/>
      </c>
      <c r="AK146" s="14" t="str">
        <f>IF(COUNTA(T146:AH146)=0,"",(SUM(T146*KPI_Weights!$B$4,U146*KPI_Weights!$B$5,V146*KPI_Weights!$B$6,W146*KPI_Weights!$B$7,X146*KPI_Weights!$B$8,Y146*KPI_Weights!$B$9,Z146*KPI_Weights!$B$10,AA146*KPI_Weights!$B$11,AB146*KPI_Weights!$B$12,AC146*KPI_Weights!$B$13,AD146*KPI_Weights!$B$14,AE146*KPI_Weights!$B$15,AF146*KPI_Weights!$B$16,AG146*KPI_Weights!$B$17,AH146*KPI_Weights!$B$18))/5)</f>
        <v/>
      </c>
      <c r="AL146" s="8" t="str">
        <f t="shared" si="28"/>
        <v/>
      </c>
      <c r="AM146" s="8" t="str">
        <f t="shared" si="29"/>
        <v/>
      </c>
      <c r="AN146" s="8" t="str">
        <f t="shared" si="30"/>
        <v/>
      </c>
      <c r="AO146" s="12"/>
      <c r="AP146" s="12"/>
      <c r="AQ146" s="12"/>
      <c r="AR146" s="12"/>
      <c r="AS146" s="12"/>
      <c r="AT146" s="15"/>
      <c r="AU146" s="12"/>
      <c r="AV146" s="16"/>
      <c r="AW146" s="12"/>
      <c r="AX146" s="15"/>
      <c r="AY146" s="15"/>
      <c r="AZ146" s="15"/>
      <c r="BA146" s="15"/>
      <c r="BB146" s="15"/>
      <c r="BC146" s="15"/>
      <c r="BD146" s="15"/>
      <c r="BE146" s="15"/>
      <c r="BF146" s="15"/>
    </row>
    <row r="147" spans="1:58" ht="19.5" customHeight="1" x14ac:dyDescent="0.2">
      <c r="A147" s="8" t="str">
        <f>IF($B147="","",TEXT($B147,"yyyymmdd")&amp;"-"&amp;SUBSTITUTE($F147," ","")&amp;"-"&amp;TEXT(COUNTIF($F$4:F147,$F147),"00"))</f>
        <v/>
      </c>
      <c r="B147" s="9"/>
      <c r="C147" s="8" t="str">
        <f t="shared" si="24"/>
        <v/>
      </c>
      <c r="D147" s="8" t="str">
        <f t="shared" si="25"/>
        <v/>
      </c>
      <c r="E147" s="10"/>
      <c r="F147" s="10"/>
      <c r="G147" s="8" t="str">
        <f>IF(OR($E147="",$F147=""),"",IFERROR(IF($E147=INDEX(Cluster_Master!$A$4:$A$18,MATCH($F147,Cluster_Master!$B$4:$B$18,0)),"OK","CHECK"),"CHECK"))</f>
        <v/>
      </c>
      <c r="H147" s="11" t="str">
        <f>IFERROR(INDEX(Cluster_Master!$C$4:$C$18,MATCH($F147,Cluster_Master!$B$4:$B$18,0)),"")</f>
        <v/>
      </c>
      <c r="I147" s="8" t="str">
        <f>IFERROR(INDEX(Cluster_Master!$D$4:$D$18,MATCH($F147,Cluster_Master!$B$4:$B$18,0)),"")</f>
        <v/>
      </c>
      <c r="J147" s="8" t="str">
        <f>IFERROR(INDEX(Cluster_Master!$E$4:$E$18,MATCH($F147,Cluster_Master!$B$4:$B$18,0)),"")</f>
        <v/>
      </c>
      <c r="K147" s="8" t="str">
        <f>IFERROR(INDEX(Cluster_Master!$F$4:$F$18,MATCH($F147,Cluster_Master!$B$4:$B$18,0)),"")</f>
        <v/>
      </c>
      <c r="L147" s="8" t="str">
        <f>IFERROR(INDEX(Cluster_Master!$G$4:$G$18,MATCH($F147,Cluster_Master!$B$4:$B$18,0)),"")</f>
        <v/>
      </c>
      <c r="M147" s="8" t="str">
        <f>IFERROR(INDEX(Cluster_Master!$H$4:$H$18,MATCH($F147,Cluster_Master!$B$4:$B$18,0)),"")</f>
        <v/>
      </c>
      <c r="N147" s="12"/>
      <c r="O147" s="12"/>
      <c r="P147" s="12"/>
      <c r="Q147" s="12"/>
      <c r="R147" s="12"/>
      <c r="S147" s="12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8" t="str">
        <f t="shared" si="26"/>
        <v/>
      </c>
      <c r="AJ147" s="14" t="str">
        <f t="shared" si="27"/>
        <v/>
      </c>
      <c r="AK147" s="14" t="str">
        <f>IF(COUNTA(T147:AH147)=0,"",(SUM(T147*KPI_Weights!$B$4,U147*KPI_Weights!$B$5,V147*KPI_Weights!$B$6,W147*KPI_Weights!$B$7,X147*KPI_Weights!$B$8,Y147*KPI_Weights!$B$9,Z147*KPI_Weights!$B$10,AA147*KPI_Weights!$B$11,AB147*KPI_Weights!$B$12,AC147*KPI_Weights!$B$13,AD147*KPI_Weights!$B$14,AE147*KPI_Weights!$B$15,AF147*KPI_Weights!$B$16,AG147*KPI_Weights!$B$17,AH147*KPI_Weights!$B$18))/5)</f>
        <v/>
      </c>
      <c r="AL147" s="8" t="str">
        <f t="shared" si="28"/>
        <v/>
      </c>
      <c r="AM147" s="8" t="str">
        <f t="shared" si="29"/>
        <v/>
      </c>
      <c r="AN147" s="8" t="str">
        <f t="shared" si="30"/>
        <v/>
      </c>
      <c r="AO147" s="12"/>
      <c r="AP147" s="12"/>
      <c r="AQ147" s="12"/>
      <c r="AR147" s="12"/>
      <c r="AS147" s="12"/>
      <c r="AT147" s="15"/>
      <c r="AU147" s="12"/>
      <c r="AV147" s="16"/>
      <c r="AW147" s="12"/>
      <c r="AX147" s="15"/>
      <c r="AY147" s="15"/>
      <c r="AZ147" s="15"/>
      <c r="BA147" s="15"/>
      <c r="BB147" s="15"/>
      <c r="BC147" s="15"/>
      <c r="BD147" s="15"/>
      <c r="BE147" s="15"/>
      <c r="BF147" s="15"/>
    </row>
    <row r="148" spans="1:58" ht="19.5" customHeight="1" x14ac:dyDescent="0.2">
      <c r="A148" s="8" t="str">
        <f>IF($B148="","",TEXT($B148,"yyyymmdd")&amp;"-"&amp;SUBSTITUTE($F148," ","")&amp;"-"&amp;TEXT(COUNTIF($F$4:F148,$F148),"00"))</f>
        <v/>
      </c>
      <c r="B148" s="9"/>
      <c r="C148" s="8" t="str">
        <f t="shared" si="24"/>
        <v/>
      </c>
      <c r="D148" s="8" t="str">
        <f t="shared" si="25"/>
        <v/>
      </c>
      <c r="E148" s="10"/>
      <c r="F148" s="10"/>
      <c r="G148" s="8" t="str">
        <f>IF(OR($E148="",$F148=""),"",IFERROR(IF($E148=INDEX(Cluster_Master!$A$4:$A$18,MATCH($F148,Cluster_Master!$B$4:$B$18,0)),"OK","CHECK"),"CHECK"))</f>
        <v/>
      </c>
      <c r="H148" s="11" t="str">
        <f>IFERROR(INDEX(Cluster_Master!$C$4:$C$18,MATCH($F148,Cluster_Master!$B$4:$B$18,0)),"")</f>
        <v/>
      </c>
      <c r="I148" s="8" t="str">
        <f>IFERROR(INDEX(Cluster_Master!$D$4:$D$18,MATCH($F148,Cluster_Master!$B$4:$B$18,0)),"")</f>
        <v/>
      </c>
      <c r="J148" s="8" t="str">
        <f>IFERROR(INDEX(Cluster_Master!$E$4:$E$18,MATCH($F148,Cluster_Master!$B$4:$B$18,0)),"")</f>
        <v/>
      </c>
      <c r="K148" s="8" t="str">
        <f>IFERROR(INDEX(Cluster_Master!$F$4:$F$18,MATCH($F148,Cluster_Master!$B$4:$B$18,0)),"")</f>
        <v/>
      </c>
      <c r="L148" s="8" t="str">
        <f>IFERROR(INDEX(Cluster_Master!$G$4:$G$18,MATCH($F148,Cluster_Master!$B$4:$B$18,0)),"")</f>
        <v/>
      </c>
      <c r="M148" s="8" t="str">
        <f>IFERROR(INDEX(Cluster_Master!$H$4:$H$18,MATCH($F148,Cluster_Master!$B$4:$B$18,0)),"")</f>
        <v/>
      </c>
      <c r="N148" s="12"/>
      <c r="O148" s="12"/>
      <c r="P148" s="12"/>
      <c r="Q148" s="12"/>
      <c r="R148" s="12"/>
      <c r="S148" s="12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8" t="str">
        <f t="shared" si="26"/>
        <v/>
      </c>
      <c r="AJ148" s="14" t="str">
        <f t="shared" si="27"/>
        <v/>
      </c>
      <c r="AK148" s="14" t="str">
        <f>IF(COUNTA(T148:AH148)=0,"",(SUM(T148*KPI_Weights!$B$4,U148*KPI_Weights!$B$5,V148*KPI_Weights!$B$6,W148*KPI_Weights!$B$7,X148*KPI_Weights!$B$8,Y148*KPI_Weights!$B$9,Z148*KPI_Weights!$B$10,AA148*KPI_Weights!$B$11,AB148*KPI_Weights!$B$12,AC148*KPI_Weights!$B$13,AD148*KPI_Weights!$B$14,AE148*KPI_Weights!$B$15,AF148*KPI_Weights!$B$16,AG148*KPI_Weights!$B$17,AH148*KPI_Weights!$B$18))/5)</f>
        <v/>
      </c>
      <c r="AL148" s="8" t="str">
        <f t="shared" si="28"/>
        <v/>
      </c>
      <c r="AM148" s="8" t="str">
        <f t="shared" si="29"/>
        <v/>
      </c>
      <c r="AN148" s="8" t="str">
        <f t="shared" si="30"/>
        <v/>
      </c>
      <c r="AO148" s="12"/>
      <c r="AP148" s="12"/>
      <c r="AQ148" s="12"/>
      <c r="AR148" s="12"/>
      <c r="AS148" s="12"/>
      <c r="AT148" s="15"/>
      <c r="AU148" s="12"/>
      <c r="AV148" s="16"/>
      <c r="AW148" s="12"/>
      <c r="AX148" s="15"/>
      <c r="AY148" s="15"/>
      <c r="AZ148" s="15"/>
      <c r="BA148" s="15"/>
      <c r="BB148" s="15"/>
      <c r="BC148" s="15"/>
      <c r="BD148" s="15"/>
      <c r="BE148" s="15"/>
      <c r="BF148" s="15"/>
    </row>
    <row r="149" spans="1:58" ht="19.5" customHeight="1" x14ac:dyDescent="0.2">
      <c r="A149" s="8" t="str">
        <f>IF($B149="","",TEXT($B149,"yyyymmdd")&amp;"-"&amp;SUBSTITUTE($F149," ","")&amp;"-"&amp;TEXT(COUNTIF($F$4:F149,$F149),"00"))</f>
        <v/>
      </c>
      <c r="B149" s="9"/>
      <c r="C149" s="8" t="str">
        <f t="shared" si="24"/>
        <v/>
      </c>
      <c r="D149" s="8" t="str">
        <f t="shared" si="25"/>
        <v/>
      </c>
      <c r="E149" s="10"/>
      <c r="F149" s="10"/>
      <c r="G149" s="8" t="str">
        <f>IF(OR($E149="",$F149=""),"",IFERROR(IF($E149=INDEX(Cluster_Master!$A$4:$A$18,MATCH($F149,Cluster_Master!$B$4:$B$18,0)),"OK","CHECK"),"CHECK"))</f>
        <v/>
      </c>
      <c r="H149" s="11" t="str">
        <f>IFERROR(INDEX(Cluster_Master!$C$4:$C$18,MATCH($F149,Cluster_Master!$B$4:$B$18,0)),"")</f>
        <v/>
      </c>
      <c r="I149" s="8" t="str">
        <f>IFERROR(INDEX(Cluster_Master!$D$4:$D$18,MATCH($F149,Cluster_Master!$B$4:$B$18,0)),"")</f>
        <v/>
      </c>
      <c r="J149" s="8" t="str">
        <f>IFERROR(INDEX(Cluster_Master!$E$4:$E$18,MATCH($F149,Cluster_Master!$B$4:$B$18,0)),"")</f>
        <v/>
      </c>
      <c r="K149" s="8" t="str">
        <f>IFERROR(INDEX(Cluster_Master!$F$4:$F$18,MATCH($F149,Cluster_Master!$B$4:$B$18,0)),"")</f>
        <v/>
      </c>
      <c r="L149" s="8" t="str">
        <f>IFERROR(INDEX(Cluster_Master!$G$4:$G$18,MATCH($F149,Cluster_Master!$B$4:$B$18,0)),"")</f>
        <v/>
      </c>
      <c r="M149" s="8" t="str">
        <f>IFERROR(INDEX(Cluster_Master!$H$4:$H$18,MATCH($F149,Cluster_Master!$B$4:$B$18,0)),"")</f>
        <v/>
      </c>
      <c r="N149" s="12"/>
      <c r="O149" s="12"/>
      <c r="P149" s="12"/>
      <c r="Q149" s="12"/>
      <c r="R149" s="12"/>
      <c r="S149" s="12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8" t="str">
        <f t="shared" si="26"/>
        <v/>
      </c>
      <c r="AJ149" s="14" t="str">
        <f t="shared" si="27"/>
        <v/>
      </c>
      <c r="AK149" s="14" t="str">
        <f>IF(COUNTA(T149:AH149)=0,"",(SUM(T149*KPI_Weights!$B$4,U149*KPI_Weights!$B$5,V149*KPI_Weights!$B$6,W149*KPI_Weights!$B$7,X149*KPI_Weights!$B$8,Y149*KPI_Weights!$B$9,Z149*KPI_Weights!$B$10,AA149*KPI_Weights!$B$11,AB149*KPI_Weights!$B$12,AC149*KPI_Weights!$B$13,AD149*KPI_Weights!$B$14,AE149*KPI_Weights!$B$15,AF149*KPI_Weights!$B$16,AG149*KPI_Weights!$B$17,AH149*KPI_Weights!$B$18))/5)</f>
        <v/>
      </c>
      <c r="AL149" s="8" t="str">
        <f t="shared" si="28"/>
        <v/>
      </c>
      <c r="AM149" s="8" t="str">
        <f t="shared" si="29"/>
        <v/>
      </c>
      <c r="AN149" s="8" t="str">
        <f t="shared" si="30"/>
        <v/>
      </c>
      <c r="AO149" s="12"/>
      <c r="AP149" s="12"/>
      <c r="AQ149" s="12"/>
      <c r="AR149" s="12"/>
      <c r="AS149" s="12"/>
      <c r="AT149" s="15"/>
      <c r="AU149" s="12"/>
      <c r="AV149" s="16"/>
      <c r="AW149" s="12"/>
      <c r="AX149" s="15"/>
      <c r="AY149" s="15"/>
      <c r="AZ149" s="15"/>
      <c r="BA149" s="15"/>
      <c r="BB149" s="15"/>
      <c r="BC149" s="15"/>
      <c r="BD149" s="15"/>
      <c r="BE149" s="15"/>
      <c r="BF149" s="15"/>
    </row>
    <row r="150" spans="1:58" ht="19.5" customHeight="1" x14ac:dyDescent="0.2">
      <c r="A150" s="8" t="str">
        <f>IF($B150="","",TEXT($B150,"yyyymmdd")&amp;"-"&amp;SUBSTITUTE($F150," ","")&amp;"-"&amp;TEXT(COUNTIF($F$4:F150,$F150),"00"))</f>
        <v/>
      </c>
      <c r="B150" s="9"/>
      <c r="C150" s="8" t="str">
        <f t="shared" si="24"/>
        <v/>
      </c>
      <c r="D150" s="8" t="str">
        <f t="shared" si="25"/>
        <v/>
      </c>
      <c r="E150" s="10"/>
      <c r="F150" s="10"/>
      <c r="G150" s="8" t="str">
        <f>IF(OR($E150="",$F150=""),"",IFERROR(IF($E150=INDEX(Cluster_Master!$A$4:$A$18,MATCH($F150,Cluster_Master!$B$4:$B$18,0)),"OK","CHECK"),"CHECK"))</f>
        <v/>
      </c>
      <c r="H150" s="11" t="str">
        <f>IFERROR(INDEX(Cluster_Master!$C$4:$C$18,MATCH($F150,Cluster_Master!$B$4:$B$18,0)),"")</f>
        <v/>
      </c>
      <c r="I150" s="8" t="str">
        <f>IFERROR(INDEX(Cluster_Master!$D$4:$D$18,MATCH($F150,Cluster_Master!$B$4:$B$18,0)),"")</f>
        <v/>
      </c>
      <c r="J150" s="8" t="str">
        <f>IFERROR(INDEX(Cluster_Master!$E$4:$E$18,MATCH($F150,Cluster_Master!$B$4:$B$18,0)),"")</f>
        <v/>
      </c>
      <c r="K150" s="8" t="str">
        <f>IFERROR(INDEX(Cluster_Master!$F$4:$F$18,MATCH($F150,Cluster_Master!$B$4:$B$18,0)),"")</f>
        <v/>
      </c>
      <c r="L150" s="8" t="str">
        <f>IFERROR(INDEX(Cluster_Master!$G$4:$G$18,MATCH($F150,Cluster_Master!$B$4:$B$18,0)),"")</f>
        <v/>
      </c>
      <c r="M150" s="8" t="str">
        <f>IFERROR(INDEX(Cluster_Master!$H$4:$H$18,MATCH($F150,Cluster_Master!$B$4:$B$18,0)),"")</f>
        <v/>
      </c>
      <c r="N150" s="12"/>
      <c r="O150" s="12"/>
      <c r="P150" s="12"/>
      <c r="Q150" s="12"/>
      <c r="R150" s="12"/>
      <c r="S150" s="12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8" t="str">
        <f t="shared" si="26"/>
        <v/>
      </c>
      <c r="AJ150" s="14" t="str">
        <f t="shared" si="27"/>
        <v/>
      </c>
      <c r="AK150" s="14" t="str">
        <f>IF(COUNTA(T150:AH150)=0,"",(SUM(T150*KPI_Weights!$B$4,U150*KPI_Weights!$B$5,V150*KPI_Weights!$B$6,W150*KPI_Weights!$B$7,X150*KPI_Weights!$B$8,Y150*KPI_Weights!$B$9,Z150*KPI_Weights!$B$10,AA150*KPI_Weights!$B$11,AB150*KPI_Weights!$B$12,AC150*KPI_Weights!$B$13,AD150*KPI_Weights!$B$14,AE150*KPI_Weights!$B$15,AF150*KPI_Weights!$B$16,AG150*KPI_Weights!$B$17,AH150*KPI_Weights!$B$18))/5)</f>
        <v/>
      </c>
      <c r="AL150" s="8" t="str">
        <f t="shared" si="28"/>
        <v/>
      </c>
      <c r="AM150" s="8" t="str">
        <f t="shared" si="29"/>
        <v/>
      </c>
      <c r="AN150" s="8" t="str">
        <f t="shared" si="30"/>
        <v/>
      </c>
      <c r="AO150" s="12"/>
      <c r="AP150" s="12"/>
      <c r="AQ150" s="12"/>
      <c r="AR150" s="12"/>
      <c r="AS150" s="12"/>
      <c r="AT150" s="15"/>
      <c r="AU150" s="12"/>
      <c r="AV150" s="16"/>
      <c r="AW150" s="12"/>
      <c r="AX150" s="15"/>
      <c r="AY150" s="15"/>
      <c r="AZ150" s="15"/>
      <c r="BA150" s="15"/>
      <c r="BB150" s="15"/>
      <c r="BC150" s="15"/>
      <c r="BD150" s="15"/>
      <c r="BE150" s="15"/>
      <c r="BF150" s="15"/>
    </row>
    <row r="151" spans="1:58" ht="19.5" customHeight="1" x14ac:dyDescent="0.2">
      <c r="A151" s="8" t="str">
        <f>IF($B151="","",TEXT($B151,"yyyymmdd")&amp;"-"&amp;SUBSTITUTE($F151," ","")&amp;"-"&amp;TEXT(COUNTIF($F$4:F151,$F151),"00"))</f>
        <v/>
      </c>
      <c r="B151" s="9"/>
      <c r="C151" s="8" t="str">
        <f t="shared" si="24"/>
        <v/>
      </c>
      <c r="D151" s="8" t="str">
        <f t="shared" si="25"/>
        <v/>
      </c>
      <c r="E151" s="10"/>
      <c r="F151" s="10"/>
      <c r="G151" s="8" t="str">
        <f>IF(OR($E151="",$F151=""),"",IFERROR(IF($E151=INDEX(Cluster_Master!$A$4:$A$18,MATCH($F151,Cluster_Master!$B$4:$B$18,0)),"OK","CHECK"),"CHECK"))</f>
        <v/>
      </c>
      <c r="H151" s="11" t="str">
        <f>IFERROR(INDEX(Cluster_Master!$C$4:$C$18,MATCH($F151,Cluster_Master!$B$4:$B$18,0)),"")</f>
        <v/>
      </c>
      <c r="I151" s="8" t="str">
        <f>IFERROR(INDEX(Cluster_Master!$D$4:$D$18,MATCH($F151,Cluster_Master!$B$4:$B$18,0)),"")</f>
        <v/>
      </c>
      <c r="J151" s="8" t="str">
        <f>IFERROR(INDEX(Cluster_Master!$E$4:$E$18,MATCH($F151,Cluster_Master!$B$4:$B$18,0)),"")</f>
        <v/>
      </c>
      <c r="K151" s="8" t="str">
        <f>IFERROR(INDEX(Cluster_Master!$F$4:$F$18,MATCH($F151,Cluster_Master!$B$4:$B$18,0)),"")</f>
        <v/>
      </c>
      <c r="L151" s="8" t="str">
        <f>IFERROR(INDEX(Cluster_Master!$G$4:$G$18,MATCH($F151,Cluster_Master!$B$4:$B$18,0)),"")</f>
        <v/>
      </c>
      <c r="M151" s="8" t="str">
        <f>IFERROR(INDEX(Cluster_Master!$H$4:$H$18,MATCH($F151,Cluster_Master!$B$4:$B$18,0)),"")</f>
        <v/>
      </c>
      <c r="N151" s="12"/>
      <c r="O151" s="12"/>
      <c r="P151" s="12"/>
      <c r="Q151" s="12"/>
      <c r="R151" s="12"/>
      <c r="S151" s="12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8" t="str">
        <f t="shared" si="26"/>
        <v/>
      </c>
      <c r="AJ151" s="14" t="str">
        <f t="shared" si="27"/>
        <v/>
      </c>
      <c r="AK151" s="14" t="str">
        <f>IF(COUNTA(T151:AH151)=0,"",(SUM(T151*KPI_Weights!$B$4,U151*KPI_Weights!$B$5,V151*KPI_Weights!$B$6,W151*KPI_Weights!$B$7,X151*KPI_Weights!$B$8,Y151*KPI_Weights!$B$9,Z151*KPI_Weights!$B$10,AA151*KPI_Weights!$B$11,AB151*KPI_Weights!$B$12,AC151*KPI_Weights!$B$13,AD151*KPI_Weights!$B$14,AE151*KPI_Weights!$B$15,AF151*KPI_Weights!$B$16,AG151*KPI_Weights!$B$17,AH151*KPI_Weights!$B$18))/5)</f>
        <v/>
      </c>
      <c r="AL151" s="8" t="str">
        <f t="shared" si="28"/>
        <v/>
      </c>
      <c r="AM151" s="8" t="str">
        <f t="shared" si="29"/>
        <v/>
      </c>
      <c r="AN151" s="8" t="str">
        <f t="shared" si="30"/>
        <v/>
      </c>
      <c r="AO151" s="12"/>
      <c r="AP151" s="12"/>
      <c r="AQ151" s="12"/>
      <c r="AR151" s="12"/>
      <c r="AS151" s="12"/>
      <c r="AT151" s="15"/>
      <c r="AU151" s="12"/>
      <c r="AV151" s="16"/>
      <c r="AW151" s="12"/>
      <c r="AX151" s="15"/>
      <c r="AY151" s="15"/>
      <c r="AZ151" s="15"/>
      <c r="BA151" s="15"/>
      <c r="BB151" s="15"/>
      <c r="BC151" s="15"/>
      <c r="BD151" s="15"/>
      <c r="BE151" s="15"/>
      <c r="BF151" s="15"/>
    </row>
    <row r="152" spans="1:58" ht="19.5" customHeight="1" x14ac:dyDescent="0.2">
      <c r="A152" s="8" t="str">
        <f>IF($B152="","",TEXT($B152,"yyyymmdd")&amp;"-"&amp;SUBSTITUTE($F152," ","")&amp;"-"&amp;TEXT(COUNTIF($F$4:F152,$F152),"00"))</f>
        <v/>
      </c>
      <c r="B152" s="9"/>
      <c r="C152" s="8" t="str">
        <f t="shared" si="24"/>
        <v/>
      </c>
      <c r="D152" s="8" t="str">
        <f t="shared" si="25"/>
        <v/>
      </c>
      <c r="E152" s="10"/>
      <c r="F152" s="10"/>
      <c r="G152" s="8" t="str">
        <f>IF(OR($E152="",$F152=""),"",IFERROR(IF($E152=INDEX(Cluster_Master!$A$4:$A$18,MATCH($F152,Cluster_Master!$B$4:$B$18,0)),"OK","CHECK"),"CHECK"))</f>
        <v/>
      </c>
      <c r="H152" s="11" t="str">
        <f>IFERROR(INDEX(Cluster_Master!$C$4:$C$18,MATCH($F152,Cluster_Master!$B$4:$B$18,0)),"")</f>
        <v/>
      </c>
      <c r="I152" s="8" t="str">
        <f>IFERROR(INDEX(Cluster_Master!$D$4:$D$18,MATCH($F152,Cluster_Master!$B$4:$B$18,0)),"")</f>
        <v/>
      </c>
      <c r="J152" s="8" t="str">
        <f>IFERROR(INDEX(Cluster_Master!$E$4:$E$18,MATCH($F152,Cluster_Master!$B$4:$B$18,0)),"")</f>
        <v/>
      </c>
      <c r="K152" s="8" t="str">
        <f>IFERROR(INDEX(Cluster_Master!$F$4:$F$18,MATCH($F152,Cluster_Master!$B$4:$B$18,0)),"")</f>
        <v/>
      </c>
      <c r="L152" s="8" t="str">
        <f>IFERROR(INDEX(Cluster_Master!$G$4:$G$18,MATCH($F152,Cluster_Master!$B$4:$B$18,0)),"")</f>
        <v/>
      </c>
      <c r="M152" s="8" t="str">
        <f>IFERROR(INDEX(Cluster_Master!$H$4:$H$18,MATCH($F152,Cluster_Master!$B$4:$B$18,0)),"")</f>
        <v/>
      </c>
      <c r="N152" s="12"/>
      <c r="O152" s="12"/>
      <c r="P152" s="12"/>
      <c r="Q152" s="12"/>
      <c r="R152" s="12"/>
      <c r="S152" s="12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8" t="str">
        <f t="shared" si="26"/>
        <v/>
      </c>
      <c r="AJ152" s="14" t="str">
        <f t="shared" si="27"/>
        <v/>
      </c>
      <c r="AK152" s="14" t="str">
        <f>IF(COUNTA(T152:AH152)=0,"",(SUM(T152*KPI_Weights!$B$4,U152*KPI_Weights!$B$5,V152*KPI_Weights!$B$6,W152*KPI_Weights!$B$7,X152*KPI_Weights!$B$8,Y152*KPI_Weights!$B$9,Z152*KPI_Weights!$B$10,AA152*KPI_Weights!$B$11,AB152*KPI_Weights!$B$12,AC152*KPI_Weights!$B$13,AD152*KPI_Weights!$B$14,AE152*KPI_Weights!$B$15,AF152*KPI_Weights!$B$16,AG152*KPI_Weights!$B$17,AH152*KPI_Weights!$B$18))/5)</f>
        <v/>
      </c>
      <c r="AL152" s="8" t="str">
        <f t="shared" si="28"/>
        <v/>
      </c>
      <c r="AM152" s="8" t="str">
        <f t="shared" si="29"/>
        <v/>
      </c>
      <c r="AN152" s="8" t="str">
        <f t="shared" si="30"/>
        <v/>
      </c>
      <c r="AO152" s="12"/>
      <c r="AP152" s="12"/>
      <c r="AQ152" s="12"/>
      <c r="AR152" s="12"/>
      <c r="AS152" s="12"/>
      <c r="AT152" s="15"/>
      <c r="AU152" s="12"/>
      <c r="AV152" s="16"/>
      <c r="AW152" s="12"/>
      <c r="AX152" s="15"/>
      <c r="AY152" s="15"/>
      <c r="AZ152" s="15"/>
      <c r="BA152" s="15"/>
      <c r="BB152" s="15"/>
      <c r="BC152" s="15"/>
      <c r="BD152" s="15"/>
      <c r="BE152" s="15"/>
      <c r="BF152" s="15"/>
    </row>
    <row r="153" spans="1:58" ht="19.5" customHeight="1" x14ac:dyDescent="0.2">
      <c r="A153" s="8" t="str">
        <f>IF($B153="","",TEXT($B153,"yyyymmdd")&amp;"-"&amp;SUBSTITUTE($F153," ","")&amp;"-"&amp;TEXT(COUNTIF($F$4:F153,$F153),"00"))</f>
        <v/>
      </c>
      <c r="B153" s="9"/>
      <c r="C153" s="8" t="str">
        <f t="shared" si="24"/>
        <v/>
      </c>
      <c r="D153" s="8" t="str">
        <f t="shared" si="25"/>
        <v/>
      </c>
      <c r="E153" s="10"/>
      <c r="F153" s="10"/>
      <c r="G153" s="8" t="str">
        <f>IF(OR($E153="",$F153=""),"",IFERROR(IF($E153=INDEX(Cluster_Master!$A$4:$A$18,MATCH($F153,Cluster_Master!$B$4:$B$18,0)),"OK","CHECK"),"CHECK"))</f>
        <v/>
      </c>
      <c r="H153" s="11" t="str">
        <f>IFERROR(INDEX(Cluster_Master!$C$4:$C$18,MATCH($F153,Cluster_Master!$B$4:$B$18,0)),"")</f>
        <v/>
      </c>
      <c r="I153" s="8" t="str">
        <f>IFERROR(INDEX(Cluster_Master!$D$4:$D$18,MATCH($F153,Cluster_Master!$B$4:$B$18,0)),"")</f>
        <v/>
      </c>
      <c r="J153" s="8" t="str">
        <f>IFERROR(INDEX(Cluster_Master!$E$4:$E$18,MATCH($F153,Cluster_Master!$B$4:$B$18,0)),"")</f>
        <v/>
      </c>
      <c r="K153" s="8" t="str">
        <f>IFERROR(INDEX(Cluster_Master!$F$4:$F$18,MATCH($F153,Cluster_Master!$B$4:$B$18,0)),"")</f>
        <v/>
      </c>
      <c r="L153" s="8" t="str">
        <f>IFERROR(INDEX(Cluster_Master!$G$4:$G$18,MATCH($F153,Cluster_Master!$B$4:$B$18,0)),"")</f>
        <v/>
      </c>
      <c r="M153" s="8" t="str">
        <f>IFERROR(INDEX(Cluster_Master!$H$4:$H$18,MATCH($F153,Cluster_Master!$B$4:$B$18,0)),"")</f>
        <v/>
      </c>
      <c r="N153" s="12"/>
      <c r="O153" s="12"/>
      <c r="P153" s="12"/>
      <c r="Q153" s="12"/>
      <c r="R153" s="12"/>
      <c r="S153" s="12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8" t="str">
        <f t="shared" si="26"/>
        <v/>
      </c>
      <c r="AJ153" s="14" t="str">
        <f t="shared" si="27"/>
        <v/>
      </c>
      <c r="AK153" s="14" t="str">
        <f>IF(COUNTA(T153:AH153)=0,"",(SUM(T153*KPI_Weights!$B$4,U153*KPI_Weights!$B$5,V153*KPI_Weights!$B$6,W153*KPI_Weights!$B$7,X153*KPI_Weights!$B$8,Y153*KPI_Weights!$B$9,Z153*KPI_Weights!$B$10,AA153*KPI_Weights!$B$11,AB153*KPI_Weights!$B$12,AC153*KPI_Weights!$B$13,AD153*KPI_Weights!$B$14,AE153*KPI_Weights!$B$15,AF153*KPI_Weights!$B$16,AG153*KPI_Weights!$B$17,AH153*KPI_Weights!$B$18))/5)</f>
        <v/>
      </c>
      <c r="AL153" s="8" t="str">
        <f t="shared" si="28"/>
        <v/>
      </c>
      <c r="AM153" s="8" t="str">
        <f t="shared" si="29"/>
        <v/>
      </c>
      <c r="AN153" s="8" t="str">
        <f t="shared" si="30"/>
        <v/>
      </c>
      <c r="AO153" s="12"/>
      <c r="AP153" s="12"/>
      <c r="AQ153" s="12"/>
      <c r="AR153" s="12"/>
      <c r="AS153" s="12"/>
      <c r="AT153" s="15"/>
      <c r="AU153" s="12"/>
      <c r="AV153" s="16"/>
      <c r="AW153" s="12"/>
      <c r="AX153" s="15"/>
      <c r="AY153" s="15"/>
      <c r="AZ153" s="15"/>
      <c r="BA153" s="15"/>
      <c r="BB153" s="15"/>
      <c r="BC153" s="15"/>
      <c r="BD153" s="15"/>
      <c r="BE153" s="15"/>
      <c r="BF153" s="15"/>
    </row>
    <row r="154" spans="1:58" ht="19.5" customHeight="1" x14ac:dyDescent="0.2">
      <c r="A154" s="8" t="str">
        <f>IF($B154="","",TEXT($B154,"yyyymmdd")&amp;"-"&amp;SUBSTITUTE($F154," ","")&amp;"-"&amp;TEXT(COUNTIF($F$4:F154,$F154),"00"))</f>
        <v/>
      </c>
      <c r="B154" s="9"/>
      <c r="C154" s="8" t="str">
        <f t="shared" si="24"/>
        <v/>
      </c>
      <c r="D154" s="8" t="str">
        <f t="shared" si="25"/>
        <v/>
      </c>
      <c r="E154" s="10"/>
      <c r="F154" s="10"/>
      <c r="G154" s="8" t="str">
        <f>IF(OR($E154="",$F154=""),"",IFERROR(IF($E154=INDEX(Cluster_Master!$A$4:$A$18,MATCH($F154,Cluster_Master!$B$4:$B$18,0)),"OK","CHECK"),"CHECK"))</f>
        <v/>
      </c>
      <c r="H154" s="11" t="str">
        <f>IFERROR(INDEX(Cluster_Master!$C$4:$C$18,MATCH($F154,Cluster_Master!$B$4:$B$18,0)),"")</f>
        <v/>
      </c>
      <c r="I154" s="8" t="str">
        <f>IFERROR(INDEX(Cluster_Master!$D$4:$D$18,MATCH($F154,Cluster_Master!$B$4:$B$18,0)),"")</f>
        <v/>
      </c>
      <c r="J154" s="8" t="str">
        <f>IFERROR(INDEX(Cluster_Master!$E$4:$E$18,MATCH($F154,Cluster_Master!$B$4:$B$18,0)),"")</f>
        <v/>
      </c>
      <c r="K154" s="8" t="str">
        <f>IFERROR(INDEX(Cluster_Master!$F$4:$F$18,MATCH($F154,Cluster_Master!$B$4:$B$18,0)),"")</f>
        <v/>
      </c>
      <c r="L154" s="8" t="str">
        <f>IFERROR(INDEX(Cluster_Master!$G$4:$G$18,MATCH($F154,Cluster_Master!$B$4:$B$18,0)),"")</f>
        <v/>
      </c>
      <c r="M154" s="8" t="str">
        <f>IFERROR(INDEX(Cluster_Master!$H$4:$H$18,MATCH($F154,Cluster_Master!$B$4:$B$18,0)),"")</f>
        <v/>
      </c>
      <c r="N154" s="12"/>
      <c r="O154" s="12"/>
      <c r="P154" s="12"/>
      <c r="Q154" s="12"/>
      <c r="R154" s="12"/>
      <c r="S154" s="12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8" t="str">
        <f t="shared" si="26"/>
        <v/>
      </c>
      <c r="AJ154" s="14" t="str">
        <f t="shared" si="27"/>
        <v/>
      </c>
      <c r="AK154" s="14" t="str">
        <f>IF(COUNTA(T154:AH154)=0,"",(SUM(T154*KPI_Weights!$B$4,U154*KPI_Weights!$B$5,V154*KPI_Weights!$B$6,W154*KPI_Weights!$B$7,X154*KPI_Weights!$B$8,Y154*KPI_Weights!$B$9,Z154*KPI_Weights!$B$10,AA154*KPI_Weights!$B$11,AB154*KPI_Weights!$B$12,AC154*KPI_Weights!$B$13,AD154*KPI_Weights!$B$14,AE154*KPI_Weights!$B$15,AF154*KPI_Weights!$B$16,AG154*KPI_Weights!$B$17,AH154*KPI_Weights!$B$18))/5)</f>
        <v/>
      </c>
      <c r="AL154" s="8" t="str">
        <f t="shared" si="28"/>
        <v/>
      </c>
      <c r="AM154" s="8" t="str">
        <f t="shared" si="29"/>
        <v/>
      </c>
      <c r="AN154" s="8" t="str">
        <f t="shared" si="30"/>
        <v/>
      </c>
      <c r="AO154" s="12"/>
      <c r="AP154" s="12"/>
      <c r="AQ154" s="12"/>
      <c r="AR154" s="12"/>
      <c r="AS154" s="12"/>
      <c r="AT154" s="15"/>
      <c r="AU154" s="12"/>
      <c r="AV154" s="16"/>
      <c r="AW154" s="12"/>
      <c r="AX154" s="15"/>
      <c r="AY154" s="15"/>
      <c r="AZ154" s="15"/>
      <c r="BA154" s="15"/>
      <c r="BB154" s="15"/>
      <c r="BC154" s="15"/>
      <c r="BD154" s="15"/>
      <c r="BE154" s="15"/>
      <c r="BF154" s="15"/>
    </row>
    <row r="155" spans="1:58" ht="19.5" customHeight="1" x14ac:dyDescent="0.2">
      <c r="A155" s="8" t="str">
        <f>IF($B155="","",TEXT($B155,"yyyymmdd")&amp;"-"&amp;SUBSTITUTE($F155," ","")&amp;"-"&amp;TEXT(COUNTIF($F$4:F155,$F155),"00"))</f>
        <v/>
      </c>
      <c r="B155" s="9"/>
      <c r="C155" s="8" t="str">
        <f t="shared" si="24"/>
        <v/>
      </c>
      <c r="D155" s="8" t="str">
        <f t="shared" si="25"/>
        <v/>
      </c>
      <c r="E155" s="10"/>
      <c r="F155" s="10"/>
      <c r="G155" s="8" t="str">
        <f>IF(OR($E155="",$F155=""),"",IFERROR(IF($E155=INDEX(Cluster_Master!$A$4:$A$18,MATCH($F155,Cluster_Master!$B$4:$B$18,0)),"OK","CHECK"),"CHECK"))</f>
        <v/>
      </c>
      <c r="H155" s="11" t="str">
        <f>IFERROR(INDEX(Cluster_Master!$C$4:$C$18,MATCH($F155,Cluster_Master!$B$4:$B$18,0)),"")</f>
        <v/>
      </c>
      <c r="I155" s="8" t="str">
        <f>IFERROR(INDEX(Cluster_Master!$D$4:$D$18,MATCH($F155,Cluster_Master!$B$4:$B$18,0)),"")</f>
        <v/>
      </c>
      <c r="J155" s="8" t="str">
        <f>IFERROR(INDEX(Cluster_Master!$E$4:$E$18,MATCH($F155,Cluster_Master!$B$4:$B$18,0)),"")</f>
        <v/>
      </c>
      <c r="K155" s="8" t="str">
        <f>IFERROR(INDEX(Cluster_Master!$F$4:$F$18,MATCH($F155,Cluster_Master!$B$4:$B$18,0)),"")</f>
        <v/>
      </c>
      <c r="L155" s="8" t="str">
        <f>IFERROR(INDEX(Cluster_Master!$G$4:$G$18,MATCH($F155,Cluster_Master!$B$4:$B$18,0)),"")</f>
        <v/>
      </c>
      <c r="M155" s="8" t="str">
        <f>IFERROR(INDEX(Cluster_Master!$H$4:$H$18,MATCH($F155,Cluster_Master!$B$4:$B$18,0)),"")</f>
        <v/>
      </c>
      <c r="N155" s="12"/>
      <c r="O155" s="12"/>
      <c r="P155" s="12"/>
      <c r="Q155" s="12"/>
      <c r="R155" s="12"/>
      <c r="S155" s="12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8" t="str">
        <f t="shared" si="26"/>
        <v/>
      </c>
      <c r="AJ155" s="14" t="str">
        <f t="shared" si="27"/>
        <v/>
      </c>
      <c r="AK155" s="14" t="str">
        <f>IF(COUNTA(T155:AH155)=0,"",(SUM(T155*KPI_Weights!$B$4,U155*KPI_Weights!$B$5,V155*KPI_Weights!$B$6,W155*KPI_Weights!$B$7,X155*KPI_Weights!$B$8,Y155*KPI_Weights!$B$9,Z155*KPI_Weights!$B$10,AA155*KPI_Weights!$B$11,AB155*KPI_Weights!$B$12,AC155*KPI_Weights!$B$13,AD155*KPI_Weights!$B$14,AE155*KPI_Weights!$B$15,AF155*KPI_Weights!$B$16,AG155*KPI_Weights!$B$17,AH155*KPI_Weights!$B$18))/5)</f>
        <v/>
      </c>
      <c r="AL155" s="8" t="str">
        <f t="shared" si="28"/>
        <v/>
      </c>
      <c r="AM155" s="8" t="str">
        <f t="shared" si="29"/>
        <v/>
      </c>
      <c r="AN155" s="8" t="str">
        <f t="shared" si="30"/>
        <v/>
      </c>
      <c r="AO155" s="12"/>
      <c r="AP155" s="12"/>
      <c r="AQ155" s="12"/>
      <c r="AR155" s="12"/>
      <c r="AS155" s="12"/>
      <c r="AT155" s="15"/>
      <c r="AU155" s="12"/>
      <c r="AV155" s="16"/>
      <c r="AW155" s="12"/>
      <c r="AX155" s="15"/>
      <c r="AY155" s="15"/>
      <c r="AZ155" s="15"/>
      <c r="BA155" s="15"/>
      <c r="BB155" s="15"/>
      <c r="BC155" s="15"/>
      <c r="BD155" s="15"/>
      <c r="BE155" s="15"/>
      <c r="BF155" s="15"/>
    </row>
    <row r="156" spans="1:58" ht="19.5" customHeight="1" x14ac:dyDescent="0.2">
      <c r="A156" s="8" t="str">
        <f>IF($B156="","",TEXT($B156,"yyyymmdd")&amp;"-"&amp;SUBSTITUTE($F156," ","")&amp;"-"&amp;TEXT(COUNTIF($F$4:F156,$F156),"00"))</f>
        <v/>
      </c>
      <c r="B156" s="9"/>
      <c r="C156" s="8" t="str">
        <f t="shared" si="24"/>
        <v/>
      </c>
      <c r="D156" s="8" t="str">
        <f t="shared" si="25"/>
        <v/>
      </c>
      <c r="E156" s="10"/>
      <c r="F156" s="10"/>
      <c r="G156" s="8" t="str">
        <f>IF(OR($E156="",$F156=""),"",IFERROR(IF($E156=INDEX(Cluster_Master!$A$4:$A$18,MATCH($F156,Cluster_Master!$B$4:$B$18,0)),"OK","CHECK"),"CHECK"))</f>
        <v/>
      </c>
      <c r="H156" s="11" t="str">
        <f>IFERROR(INDEX(Cluster_Master!$C$4:$C$18,MATCH($F156,Cluster_Master!$B$4:$B$18,0)),"")</f>
        <v/>
      </c>
      <c r="I156" s="8" t="str">
        <f>IFERROR(INDEX(Cluster_Master!$D$4:$D$18,MATCH($F156,Cluster_Master!$B$4:$B$18,0)),"")</f>
        <v/>
      </c>
      <c r="J156" s="8" t="str">
        <f>IFERROR(INDEX(Cluster_Master!$E$4:$E$18,MATCH($F156,Cluster_Master!$B$4:$B$18,0)),"")</f>
        <v/>
      </c>
      <c r="K156" s="8" t="str">
        <f>IFERROR(INDEX(Cluster_Master!$F$4:$F$18,MATCH($F156,Cluster_Master!$B$4:$B$18,0)),"")</f>
        <v/>
      </c>
      <c r="L156" s="8" t="str">
        <f>IFERROR(INDEX(Cluster_Master!$G$4:$G$18,MATCH($F156,Cluster_Master!$B$4:$B$18,0)),"")</f>
        <v/>
      </c>
      <c r="M156" s="8" t="str">
        <f>IFERROR(INDEX(Cluster_Master!$H$4:$H$18,MATCH($F156,Cluster_Master!$B$4:$B$18,0)),"")</f>
        <v/>
      </c>
      <c r="N156" s="12"/>
      <c r="O156" s="12"/>
      <c r="P156" s="12"/>
      <c r="Q156" s="12"/>
      <c r="R156" s="12"/>
      <c r="S156" s="12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8" t="str">
        <f t="shared" si="26"/>
        <v/>
      </c>
      <c r="AJ156" s="14" t="str">
        <f t="shared" si="27"/>
        <v/>
      </c>
      <c r="AK156" s="14" t="str">
        <f>IF(COUNTA(T156:AH156)=0,"",(SUM(T156*KPI_Weights!$B$4,U156*KPI_Weights!$B$5,V156*KPI_Weights!$B$6,W156*KPI_Weights!$B$7,X156*KPI_Weights!$B$8,Y156*KPI_Weights!$B$9,Z156*KPI_Weights!$B$10,AA156*KPI_Weights!$B$11,AB156*KPI_Weights!$B$12,AC156*KPI_Weights!$B$13,AD156*KPI_Weights!$B$14,AE156*KPI_Weights!$B$15,AF156*KPI_Weights!$B$16,AG156*KPI_Weights!$B$17,AH156*KPI_Weights!$B$18))/5)</f>
        <v/>
      </c>
      <c r="AL156" s="8" t="str">
        <f t="shared" si="28"/>
        <v/>
      </c>
      <c r="AM156" s="8" t="str">
        <f t="shared" si="29"/>
        <v/>
      </c>
      <c r="AN156" s="8" t="str">
        <f t="shared" si="30"/>
        <v/>
      </c>
      <c r="AO156" s="12"/>
      <c r="AP156" s="12"/>
      <c r="AQ156" s="12"/>
      <c r="AR156" s="12"/>
      <c r="AS156" s="12"/>
      <c r="AT156" s="15"/>
      <c r="AU156" s="12"/>
      <c r="AV156" s="16"/>
      <c r="AW156" s="12"/>
      <c r="AX156" s="15"/>
      <c r="AY156" s="15"/>
      <c r="AZ156" s="15"/>
      <c r="BA156" s="15"/>
      <c r="BB156" s="15"/>
      <c r="BC156" s="15"/>
      <c r="BD156" s="15"/>
      <c r="BE156" s="15"/>
      <c r="BF156" s="15"/>
    </row>
    <row r="157" spans="1:58" ht="19.5" customHeight="1" x14ac:dyDescent="0.2">
      <c r="A157" s="8" t="str">
        <f>IF($B157="","",TEXT($B157,"yyyymmdd")&amp;"-"&amp;SUBSTITUTE($F157," ","")&amp;"-"&amp;TEXT(COUNTIF($F$4:F157,$F157),"00"))</f>
        <v/>
      </c>
      <c r="B157" s="9"/>
      <c r="C157" s="8" t="str">
        <f t="shared" si="24"/>
        <v/>
      </c>
      <c r="D157" s="8" t="str">
        <f t="shared" si="25"/>
        <v/>
      </c>
      <c r="E157" s="10"/>
      <c r="F157" s="10"/>
      <c r="G157" s="8" t="str">
        <f>IF(OR($E157="",$F157=""),"",IFERROR(IF($E157=INDEX(Cluster_Master!$A$4:$A$18,MATCH($F157,Cluster_Master!$B$4:$B$18,0)),"OK","CHECK"),"CHECK"))</f>
        <v/>
      </c>
      <c r="H157" s="11" t="str">
        <f>IFERROR(INDEX(Cluster_Master!$C$4:$C$18,MATCH($F157,Cluster_Master!$B$4:$B$18,0)),"")</f>
        <v/>
      </c>
      <c r="I157" s="8" t="str">
        <f>IFERROR(INDEX(Cluster_Master!$D$4:$D$18,MATCH($F157,Cluster_Master!$B$4:$B$18,0)),"")</f>
        <v/>
      </c>
      <c r="J157" s="8" t="str">
        <f>IFERROR(INDEX(Cluster_Master!$E$4:$E$18,MATCH($F157,Cluster_Master!$B$4:$B$18,0)),"")</f>
        <v/>
      </c>
      <c r="K157" s="8" t="str">
        <f>IFERROR(INDEX(Cluster_Master!$F$4:$F$18,MATCH($F157,Cluster_Master!$B$4:$B$18,0)),"")</f>
        <v/>
      </c>
      <c r="L157" s="8" t="str">
        <f>IFERROR(INDEX(Cluster_Master!$G$4:$G$18,MATCH($F157,Cluster_Master!$B$4:$B$18,0)),"")</f>
        <v/>
      </c>
      <c r="M157" s="8" t="str">
        <f>IFERROR(INDEX(Cluster_Master!$H$4:$H$18,MATCH($F157,Cluster_Master!$B$4:$B$18,0)),"")</f>
        <v/>
      </c>
      <c r="N157" s="12"/>
      <c r="O157" s="12"/>
      <c r="P157" s="12"/>
      <c r="Q157" s="12"/>
      <c r="R157" s="12"/>
      <c r="S157" s="12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8" t="str">
        <f t="shared" si="26"/>
        <v/>
      </c>
      <c r="AJ157" s="14" t="str">
        <f t="shared" si="27"/>
        <v/>
      </c>
      <c r="AK157" s="14" t="str">
        <f>IF(COUNTA(T157:AH157)=0,"",(SUM(T157*KPI_Weights!$B$4,U157*KPI_Weights!$B$5,V157*KPI_Weights!$B$6,W157*KPI_Weights!$B$7,X157*KPI_Weights!$B$8,Y157*KPI_Weights!$B$9,Z157*KPI_Weights!$B$10,AA157*KPI_Weights!$B$11,AB157*KPI_Weights!$B$12,AC157*KPI_Weights!$B$13,AD157*KPI_Weights!$B$14,AE157*KPI_Weights!$B$15,AF157*KPI_Weights!$B$16,AG157*KPI_Weights!$B$17,AH157*KPI_Weights!$B$18))/5)</f>
        <v/>
      </c>
      <c r="AL157" s="8" t="str">
        <f t="shared" si="28"/>
        <v/>
      </c>
      <c r="AM157" s="8" t="str">
        <f t="shared" si="29"/>
        <v/>
      </c>
      <c r="AN157" s="8" t="str">
        <f t="shared" si="30"/>
        <v/>
      </c>
      <c r="AO157" s="12"/>
      <c r="AP157" s="12"/>
      <c r="AQ157" s="12"/>
      <c r="AR157" s="12"/>
      <c r="AS157" s="12"/>
      <c r="AT157" s="15"/>
      <c r="AU157" s="12"/>
      <c r="AV157" s="16"/>
      <c r="AW157" s="12"/>
      <c r="AX157" s="15"/>
      <c r="AY157" s="15"/>
      <c r="AZ157" s="15"/>
      <c r="BA157" s="15"/>
      <c r="BB157" s="15"/>
      <c r="BC157" s="15"/>
      <c r="BD157" s="15"/>
      <c r="BE157" s="15"/>
      <c r="BF157" s="15"/>
    </row>
    <row r="158" spans="1:58" ht="19.5" customHeight="1" x14ac:dyDescent="0.2">
      <c r="A158" s="8" t="str">
        <f>IF($B158="","",TEXT($B158,"yyyymmdd")&amp;"-"&amp;SUBSTITUTE($F158," ","")&amp;"-"&amp;TEXT(COUNTIF($F$4:F158,$F158),"00"))</f>
        <v/>
      </c>
      <c r="B158" s="9"/>
      <c r="C158" s="8" t="str">
        <f t="shared" si="24"/>
        <v/>
      </c>
      <c r="D158" s="8" t="str">
        <f t="shared" si="25"/>
        <v/>
      </c>
      <c r="E158" s="10"/>
      <c r="F158" s="10"/>
      <c r="G158" s="8" t="str">
        <f>IF(OR($E158="",$F158=""),"",IFERROR(IF($E158=INDEX(Cluster_Master!$A$4:$A$18,MATCH($F158,Cluster_Master!$B$4:$B$18,0)),"OK","CHECK"),"CHECK"))</f>
        <v/>
      </c>
      <c r="H158" s="11" t="str">
        <f>IFERROR(INDEX(Cluster_Master!$C$4:$C$18,MATCH($F158,Cluster_Master!$B$4:$B$18,0)),"")</f>
        <v/>
      </c>
      <c r="I158" s="8" t="str">
        <f>IFERROR(INDEX(Cluster_Master!$D$4:$D$18,MATCH($F158,Cluster_Master!$B$4:$B$18,0)),"")</f>
        <v/>
      </c>
      <c r="J158" s="8" t="str">
        <f>IFERROR(INDEX(Cluster_Master!$E$4:$E$18,MATCH($F158,Cluster_Master!$B$4:$B$18,0)),"")</f>
        <v/>
      </c>
      <c r="K158" s="8" t="str">
        <f>IFERROR(INDEX(Cluster_Master!$F$4:$F$18,MATCH($F158,Cluster_Master!$B$4:$B$18,0)),"")</f>
        <v/>
      </c>
      <c r="L158" s="8" t="str">
        <f>IFERROR(INDEX(Cluster_Master!$G$4:$G$18,MATCH($F158,Cluster_Master!$B$4:$B$18,0)),"")</f>
        <v/>
      </c>
      <c r="M158" s="8" t="str">
        <f>IFERROR(INDEX(Cluster_Master!$H$4:$H$18,MATCH($F158,Cluster_Master!$B$4:$B$18,0)),"")</f>
        <v/>
      </c>
      <c r="N158" s="12"/>
      <c r="O158" s="12"/>
      <c r="P158" s="12"/>
      <c r="Q158" s="12"/>
      <c r="R158" s="12"/>
      <c r="S158" s="12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8" t="str">
        <f t="shared" si="26"/>
        <v/>
      </c>
      <c r="AJ158" s="14" t="str">
        <f t="shared" si="27"/>
        <v/>
      </c>
      <c r="AK158" s="14" t="str">
        <f>IF(COUNTA(T158:AH158)=0,"",(SUM(T158*KPI_Weights!$B$4,U158*KPI_Weights!$B$5,V158*KPI_Weights!$B$6,W158*KPI_Weights!$B$7,X158*KPI_Weights!$B$8,Y158*KPI_Weights!$B$9,Z158*KPI_Weights!$B$10,AA158*KPI_Weights!$B$11,AB158*KPI_Weights!$B$12,AC158*KPI_Weights!$B$13,AD158*KPI_Weights!$B$14,AE158*KPI_Weights!$B$15,AF158*KPI_Weights!$B$16,AG158*KPI_Weights!$B$17,AH158*KPI_Weights!$B$18))/5)</f>
        <v/>
      </c>
      <c r="AL158" s="8" t="str">
        <f t="shared" si="28"/>
        <v/>
      </c>
      <c r="AM158" s="8" t="str">
        <f t="shared" si="29"/>
        <v/>
      </c>
      <c r="AN158" s="8" t="str">
        <f t="shared" si="30"/>
        <v/>
      </c>
      <c r="AO158" s="12"/>
      <c r="AP158" s="12"/>
      <c r="AQ158" s="12"/>
      <c r="AR158" s="12"/>
      <c r="AS158" s="12"/>
      <c r="AT158" s="15"/>
      <c r="AU158" s="12"/>
      <c r="AV158" s="16"/>
      <c r="AW158" s="12"/>
      <c r="AX158" s="15"/>
      <c r="AY158" s="15"/>
      <c r="AZ158" s="15"/>
      <c r="BA158" s="15"/>
      <c r="BB158" s="15"/>
      <c r="BC158" s="15"/>
      <c r="BD158" s="15"/>
      <c r="BE158" s="15"/>
      <c r="BF158" s="15"/>
    </row>
    <row r="159" spans="1:58" ht="19.5" customHeight="1" x14ac:dyDescent="0.2">
      <c r="A159" s="8" t="str">
        <f>IF($B159="","",TEXT($B159,"yyyymmdd")&amp;"-"&amp;SUBSTITUTE($F159," ","")&amp;"-"&amp;TEXT(COUNTIF($F$4:F159,$F159),"00"))</f>
        <v/>
      </c>
      <c r="B159" s="9"/>
      <c r="C159" s="8" t="str">
        <f t="shared" si="24"/>
        <v/>
      </c>
      <c r="D159" s="8" t="str">
        <f t="shared" si="25"/>
        <v/>
      </c>
      <c r="E159" s="10"/>
      <c r="F159" s="10"/>
      <c r="G159" s="8" t="str">
        <f>IF(OR($E159="",$F159=""),"",IFERROR(IF($E159=INDEX(Cluster_Master!$A$4:$A$18,MATCH($F159,Cluster_Master!$B$4:$B$18,0)),"OK","CHECK"),"CHECK"))</f>
        <v/>
      </c>
      <c r="H159" s="11" t="str">
        <f>IFERROR(INDEX(Cluster_Master!$C$4:$C$18,MATCH($F159,Cluster_Master!$B$4:$B$18,0)),"")</f>
        <v/>
      </c>
      <c r="I159" s="8" t="str">
        <f>IFERROR(INDEX(Cluster_Master!$D$4:$D$18,MATCH($F159,Cluster_Master!$B$4:$B$18,0)),"")</f>
        <v/>
      </c>
      <c r="J159" s="8" t="str">
        <f>IFERROR(INDEX(Cluster_Master!$E$4:$E$18,MATCH($F159,Cluster_Master!$B$4:$B$18,0)),"")</f>
        <v/>
      </c>
      <c r="K159" s="8" t="str">
        <f>IFERROR(INDEX(Cluster_Master!$F$4:$F$18,MATCH($F159,Cluster_Master!$B$4:$B$18,0)),"")</f>
        <v/>
      </c>
      <c r="L159" s="8" t="str">
        <f>IFERROR(INDEX(Cluster_Master!$G$4:$G$18,MATCH($F159,Cluster_Master!$B$4:$B$18,0)),"")</f>
        <v/>
      </c>
      <c r="M159" s="8" t="str">
        <f>IFERROR(INDEX(Cluster_Master!$H$4:$H$18,MATCH($F159,Cluster_Master!$B$4:$B$18,0)),"")</f>
        <v/>
      </c>
      <c r="N159" s="12"/>
      <c r="O159" s="12"/>
      <c r="P159" s="12"/>
      <c r="Q159" s="12"/>
      <c r="R159" s="12"/>
      <c r="S159" s="12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8" t="str">
        <f t="shared" si="26"/>
        <v/>
      </c>
      <c r="AJ159" s="14" t="str">
        <f t="shared" si="27"/>
        <v/>
      </c>
      <c r="AK159" s="14" t="str">
        <f>IF(COUNTA(T159:AH159)=0,"",(SUM(T159*KPI_Weights!$B$4,U159*KPI_Weights!$B$5,V159*KPI_Weights!$B$6,W159*KPI_Weights!$B$7,X159*KPI_Weights!$B$8,Y159*KPI_Weights!$B$9,Z159*KPI_Weights!$B$10,AA159*KPI_Weights!$B$11,AB159*KPI_Weights!$B$12,AC159*KPI_Weights!$B$13,AD159*KPI_Weights!$B$14,AE159*KPI_Weights!$B$15,AF159*KPI_Weights!$B$16,AG159*KPI_Weights!$B$17,AH159*KPI_Weights!$B$18))/5)</f>
        <v/>
      </c>
      <c r="AL159" s="8" t="str">
        <f t="shared" si="28"/>
        <v/>
      </c>
      <c r="AM159" s="8" t="str">
        <f t="shared" si="29"/>
        <v/>
      </c>
      <c r="AN159" s="8" t="str">
        <f t="shared" si="30"/>
        <v/>
      </c>
      <c r="AO159" s="12"/>
      <c r="AP159" s="12"/>
      <c r="AQ159" s="12"/>
      <c r="AR159" s="12"/>
      <c r="AS159" s="12"/>
      <c r="AT159" s="15"/>
      <c r="AU159" s="12"/>
      <c r="AV159" s="16"/>
      <c r="AW159" s="12"/>
      <c r="AX159" s="15"/>
      <c r="AY159" s="15"/>
      <c r="AZ159" s="15"/>
      <c r="BA159" s="15"/>
      <c r="BB159" s="15"/>
      <c r="BC159" s="15"/>
      <c r="BD159" s="15"/>
      <c r="BE159" s="15"/>
      <c r="BF159" s="15"/>
    </row>
    <row r="160" spans="1:58" ht="19.5" customHeight="1" x14ac:dyDescent="0.2">
      <c r="A160" s="8" t="str">
        <f>IF($B160="","",TEXT($B160,"yyyymmdd")&amp;"-"&amp;SUBSTITUTE($F160," ","")&amp;"-"&amp;TEXT(COUNTIF($F$4:F160,$F160),"00"))</f>
        <v/>
      </c>
      <c r="B160" s="9"/>
      <c r="C160" s="8" t="str">
        <f t="shared" si="24"/>
        <v/>
      </c>
      <c r="D160" s="8" t="str">
        <f t="shared" si="25"/>
        <v/>
      </c>
      <c r="E160" s="10"/>
      <c r="F160" s="10"/>
      <c r="G160" s="8" t="str">
        <f>IF(OR($E160="",$F160=""),"",IFERROR(IF($E160=INDEX(Cluster_Master!$A$4:$A$18,MATCH($F160,Cluster_Master!$B$4:$B$18,0)),"OK","CHECK"),"CHECK"))</f>
        <v/>
      </c>
      <c r="H160" s="11" t="str">
        <f>IFERROR(INDEX(Cluster_Master!$C$4:$C$18,MATCH($F160,Cluster_Master!$B$4:$B$18,0)),"")</f>
        <v/>
      </c>
      <c r="I160" s="8" t="str">
        <f>IFERROR(INDEX(Cluster_Master!$D$4:$D$18,MATCH($F160,Cluster_Master!$B$4:$B$18,0)),"")</f>
        <v/>
      </c>
      <c r="J160" s="8" t="str">
        <f>IFERROR(INDEX(Cluster_Master!$E$4:$E$18,MATCH($F160,Cluster_Master!$B$4:$B$18,0)),"")</f>
        <v/>
      </c>
      <c r="K160" s="8" t="str">
        <f>IFERROR(INDEX(Cluster_Master!$F$4:$F$18,MATCH($F160,Cluster_Master!$B$4:$B$18,0)),"")</f>
        <v/>
      </c>
      <c r="L160" s="8" t="str">
        <f>IFERROR(INDEX(Cluster_Master!$G$4:$G$18,MATCH($F160,Cluster_Master!$B$4:$B$18,0)),"")</f>
        <v/>
      </c>
      <c r="M160" s="8" t="str">
        <f>IFERROR(INDEX(Cluster_Master!$H$4:$H$18,MATCH($F160,Cluster_Master!$B$4:$B$18,0)),"")</f>
        <v/>
      </c>
      <c r="N160" s="12"/>
      <c r="O160" s="12"/>
      <c r="P160" s="12"/>
      <c r="Q160" s="12"/>
      <c r="R160" s="12"/>
      <c r="S160" s="12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8" t="str">
        <f t="shared" si="26"/>
        <v/>
      </c>
      <c r="AJ160" s="14" t="str">
        <f t="shared" si="27"/>
        <v/>
      </c>
      <c r="AK160" s="14" t="str">
        <f>IF(COUNTA(T160:AH160)=0,"",(SUM(T160*KPI_Weights!$B$4,U160*KPI_Weights!$B$5,V160*KPI_Weights!$B$6,W160*KPI_Weights!$B$7,X160*KPI_Weights!$B$8,Y160*KPI_Weights!$B$9,Z160*KPI_Weights!$B$10,AA160*KPI_Weights!$B$11,AB160*KPI_Weights!$B$12,AC160*KPI_Weights!$B$13,AD160*KPI_Weights!$B$14,AE160*KPI_Weights!$B$15,AF160*KPI_Weights!$B$16,AG160*KPI_Weights!$B$17,AH160*KPI_Weights!$B$18))/5)</f>
        <v/>
      </c>
      <c r="AL160" s="8" t="str">
        <f t="shared" si="28"/>
        <v/>
      </c>
      <c r="AM160" s="8" t="str">
        <f t="shared" si="29"/>
        <v/>
      </c>
      <c r="AN160" s="8" t="str">
        <f t="shared" si="30"/>
        <v/>
      </c>
      <c r="AO160" s="12"/>
      <c r="AP160" s="12"/>
      <c r="AQ160" s="12"/>
      <c r="AR160" s="12"/>
      <c r="AS160" s="12"/>
      <c r="AT160" s="15"/>
      <c r="AU160" s="12"/>
      <c r="AV160" s="16"/>
      <c r="AW160" s="12"/>
      <c r="AX160" s="15"/>
      <c r="AY160" s="15"/>
      <c r="AZ160" s="15"/>
      <c r="BA160" s="15"/>
      <c r="BB160" s="15"/>
      <c r="BC160" s="15"/>
      <c r="BD160" s="15"/>
      <c r="BE160" s="15"/>
      <c r="BF160" s="15"/>
    </row>
    <row r="161" spans="1:58" ht="19.5" customHeight="1" x14ac:dyDescent="0.2">
      <c r="A161" s="8" t="str">
        <f>IF($B161="","",TEXT($B161,"yyyymmdd")&amp;"-"&amp;SUBSTITUTE($F161," ","")&amp;"-"&amp;TEXT(COUNTIF($F$4:F161,$F161),"00"))</f>
        <v/>
      </c>
      <c r="B161" s="9"/>
      <c r="C161" s="8" t="str">
        <f t="shared" si="24"/>
        <v/>
      </c>
      <c r="D161" s="8" t="str">
        <f t="shared" si="25"/>
        <v/>
      </c>
      <c r="E161" s="10"/>
      <c r="F161" s="10"/>
      <c r="G161" s="8" t="str">
        <f>IF(OR($E161="",$F161=""),"",IFERROR(IF($E161=INDEX(Cluster_Master!$A$4:$A$18,MATCH($F161,Cluster_Master!$B$4:$B$18,0)),"OK","CHECK"),"CHECK"))</f>
        <v/>
      </c>
      <c r="H161" s="11" t="str">
        <f>IFERROR(INDEX(Cluster_Master!$C$4:$C$18,MATCH($F161,Cluster_Master!$B$4:$B$18,0)),"")</f>
        <v/>
      </c>
      <c r="I161" s="8" t="str">
        <f>IFERROR(INDEX(Cluster_Master!$D$4:$D$18,MATCH($F161,Cluster_Master!$B$4:$B$18,0)),"")</f>
        <v/>
      </c>
      <c r="J161" s="8" t="str">
        <f>IFERROR(INDEX(Cluster_Master!$E$4:$E$18,MATCH($F161,Cluster_Master!$B$4:$B$18,0)),"")</f>
        <v/>
      </c>
      <c r="K161" s="8" t="str">
        <f>IFERROR(INDEX(Cluster_Master!$F$4:$F$18,MATCH($F161,Cluster_Master!$B$4:$B$18,0)),"")</f>
        <v/>
      </c>
      <c r="L161" s="8" t="str">
        <f>IFERROR(INDEX(Cluster_Master!$G$4:$G$18,MATCH($F161,Cluster_Master!$B$4:$B$18,0)),"")</f>
        <v/>
      </c>
      <c r="M161" s="8" t="str">
        <f>IFERROR(INDEX(Cluster_Master!$H$4:$H$18,MATCH($F161,Cluster_Master!$B$4:$B$18,0)),"")</f>
        <v/>
      </c>
      <c r="N161" s="12"/>
      <c r="O161" s="12"/>
      <c r="P161" s="12"/>
      <c r="Q161" s="12"/>
      <c r="R161" s="12"/>
      <c r="S161" s="12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8" t="str">
        <f t="shared" si="26"/>
        <v/>
      </c>
      <c r="AJ161" s="14" t="str">
        <f t="shared" si="27"/>
        <v/>
      </c>
      <c r="AK161" s="14" t="str">
        <f>IF(COUNTA(T161:AH161)=0,"",(SUM(T161*KPI_Weights!$B$4,U161*KPI_Weights!$B$5,V161*KPI_Weights!$B$6,W161*KPI_Weights!$B$7,X161*KPI_Weights!$B$8,Y161*KPI_Weights!$B$9,Z161*KPI_Weights!$B$10,AA161*KPI_Weights!$B$11,AB161*KPI_Weights!$B$12,AC161*KPI_Weights!$B$13,AD161*KPI_Weights!$B$14,AE161*KPI_Weights!$B$15,AF161*KPI_Weights!$B$16,AG161*KPI_Weights!$B$17,AH161*KPI_Weights!$B$18))/5)</f>
        <v/>
      </c>
      <c r="AL161" s="8" t="str">
        <f t="shared" si="28"/>
        <v/>
      </c>
      <c r="AM161" s="8" t="str">
        <f t="shared" si="29"/>
        <v/>
      </c>
      <c r="AN161" s="8" t="str">
        <f t="shared" si="30"/>
        <v/>
      </c>
      <c r="AO161" s="12"/>
      <c r="AP161" s="12"/>
      <c r="AQ161" s="12"/>
      <c r="AR161" s="12"/>
      <c r="AS161" s="12"/>
      <c r="AT161" s="15"/>
      <c r="AU161" s="12"/>
      <c r="AV161" s="16"/>
      <c r="AW161" s="12"/>
      <c r="AX161" s="15"/>
      <c r="AY161" s="15"/>
      <c r="AZ161" s="15"/>
      <c r="BA161" s="15"/>
      <c r="BB161" s="15"/>
      <c r="BC161" s="15"/>
      <c r="BD161" s="15"/>
      <c r="BE161" s="15"/>
      <c r="BF161" s="15"/>
    </row>
    <row r="162" spans="1:58" ht="19.5" customHeight="1" x14ac:dyDescent="0.2">
      <c r="A162" s="8" t="str">
        <f>IF($B162="","",TEXT($B162,"yyyymmdd")&amp;"-"&amp;SUBSTITUTE($F162," ","")&amp;"-"&amp;TEXT(COUNTIF($F$4:F162,$F162),"00"))</f>
        <v/>
      </c>
      <c r="B162" s="9"/>
      <c r="C162" s="8" t="str">
        <f t="shared" si="24"/>
        <v/>
      </c>
      <c r="D162" s="8" t="str">
        <f t="shared" si="25"/>
        <v/>
      </c>
      <c r="E162" s="10"/>
      <c r="F162" s="10"/>
      <c r="G162" s="8" t="str">
        <f>IF(OR($E162="",$F162=""),"",IFERROR(IF($E162=INDEX(Cluster_Master!$A$4:$A$18,MATCH($F162,Cluster_Master!$B$4:$B$18,0)),"OK","CHECK"),"CHECK"))</f>
        <v/>
      </c>
      <c r="H162" s="11" t="str">
        <f>IFERROR(INDEX(Cluster_Master!$C$4:$C$18,MATCH($F162,Cluster_Master!$B$4:$B$18,0)),"")</f>
        <v/>
      </c>
      <c r="I162" s="8" t="str">
        <f>IFERROR(INDEX(Cluster_Master!$D$4:$D$18,MATCH($F162,Cluster_Master!$B$4:$B$18,0)),"")</f>
        <v/>
      </c>
      <c r="J162" s="8" t="str">
        <f>IFERROR(INDEX(Cluster_Master!$E$4:$E$18,MATCH($F162,Cluster_Master!$B$4:$B$18,0)),"")</f>
        <v/>
      </c>
      <c r="K162" s="8" t="str">
        <f>IFERROR(INDEX(Cluster_Master!$F$4:$F$18,MATCH($F162,Cluster_Master!$B$4:$B$18,0)),"")</f>
        <v/>
      </c>
      <c r="L162" s="8" t="str">
        <f>IFERROR(INDEX(Cluster_Master!$G$4:$G$18,MATCH($F162,Cluster_Master!$B$4:$B$18,0)),"")</f>
        <v/>
      </c>
      <c r="M162" s="8" t="str">
        <f>IFERROR(INDEX(Cluster_Master!$H$4:$H$18,MATCH($F162,Cluster_Master!$B$4:$B$18,0)),"")</f>
        <v/>
      </c>
      <c r="N162" s="12"/>
      <c r="O162" s="12"/>
      <c r="P162" s="12"/>
      <c r="Q162" s="12"/>
      <c r="R162" s="12"/>
      <c r="S162" s="12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8" t="str">
        <f t="shared" si="26"/>
        <v/>
      </c>
      <c r="AJ162" s="14" t="str">
        <f t="shared" si="27"/>
        <v/>
      </c>
      <c r="AK162" s="14" t="str">
        <f>IF(COUNTA(T162:AH162)=0,"",(SUM(T162*KPI_Weights!$B$4,U162*KPI_Weights!$B$5,V162*KPI_Weights!$B$6,W162*KPI_Weights!$B$7,X162*KPI_Weights!$B$8,Y162*KPI_Weights!$B$9,Z162*KPI_Weights!$B$10,AA162*KPI_Weights!$B$11,AB162*KPI_Weights!$B$12,AC162*KPI_Weights!$B$13,AD162*KPI_Weights!$B$14,AE162*KPI_Weights!$B$15,AF162*KPI_Weights!$B$16,AG162*KPI_Weights!$B$17,AH162*KPI_Weights!$B$18))/5)</f>
        <v/>
      </c>
      <c r="AL162" s="8" t="str">
        <f t="shared" si="28"/>
        <v/>
      </c>
      <c r="AM162" s="8" t="str">
        <f t="shared" si="29"/>
        <v/>
      </c>
      <c r="AN162" s="8" t="str">
        <f t="shared" si="30"/>
        <v/>
      </c>
      <c r="AO162" s="12"/>
      <c r="AP162" s="12"/>
      <c r="AQ162" s="12"/>
      <c r="AR162" s="12"/>
      <c r="AS162" s="12"/>
      <c r="AT162" s="15"/>
      <c r="AU162" s="12"/>
      <c r="AV162" s="16"/>
      <c r="AW162" s="12"/>
      <c r="AX162" s="15"/>
      <c r="AY162" s="15"/>
      <c r="AZ162" s="15"/>
      <c r="BA162" s="15"/>
      <c r="BB162" s="15"/>
      <c r="BC162" s="15"/>
      <c r="BD162" s="15"/>
      <c r="BE162" s="15"/>
      <c r="BF162" s="15"/>
    </row>
    <row r="163" spans="1:58" ht="19.5" customHeight="1" x14ac:dyDescent="0.2">
      <c r="A163" s="8" t="str">
        <f>IF($B163="","",TEXT($B163,"yyyymmdd")&amp;"-"&amp;SUBSTITUTE($F163," ","")&amp;"-"&amp;TEXT(COUNTIF($F$4:F163,$F163),"00"))</f>
        <v/>
      </c>
      <c r="B163" s="9"/>
      <c r="C163" s="8" t="str">
        <f t="shared" si="24"/>
        <v/>
      </c>
      <c r="D163" s="8" t="str">
        <f t="shared" si="25"/>
        <v/>
      </c>
      <c r="E163" s="10"/>
      <c r="F163" s="10"/>
      <c r="G163" s="8" t="str">
        <f>IF(OR($E163="",$F163=""),"",IFERROR(IF($E163=INDEX(Cluster_Master!$A$4:$A$18,MATCH($F163,Cluster_Master!$B$4:$B$18,0)),"OK","CHECK"),"CHECK"))</f>
        <v/>
      </c>
      <c r="H163" s="11" t="str">
        <f>IFERROR(INDEX(Cluster_Master!$C$4:$C$18,MATCH($F163,Cluster_Master!$B$4:$B$18,0)),"")</f>
        <v/>
      </c>
      <c r="I163" s="8" t="str">
        <f>IFERROR(INDEX(Cluster_Master!$D$4:$D$18,MATCH($F163,Cluster_Master!$B$4:$B$18,0)),"")</f>
        <v/>
      </c>
      <c r="J163" s="8" t="str">
        <f>IFERROR(INDEX(Cluster_Master!$E$4:$E$18,MATCH($F163,Cluster_Master!$B$4:$B$18,0)),"")</f>
        <v/>
      </c>
      <c r="K163" s="8" t="str">
        <f>IFERROR(INDEX(Cluster_Master!$F$4:$F$18,MATCH($F163,Cluster_Master!$B$4:$B$18,0)),"")</f>
        <v/>
      </c>
      <c r="L163" s="8" t="str">
        <f>IFERROR(INDEX(Cluster_Master!$G$4:$G$18,MATCH($F163,Cluster_Master!$B$4:$B$18,0)),"")</f>
        <v/>
      </c>
      <c r="M163" s="8" t="str">
        <f>IFERROR(INDEX(Cluster_Master!$H$4:$H$18,MATCH($F163,Cluster_Master!$B$4:$B$18,0)),"")</f>
        <v/>
      </c>
      <c r="N163" s="12"/>
      <c r="O163" s="12"/>
      <c r="P163" s="12"/>
      <c r="Q163" s="12"/>
      <c r="R163" s="12"/>
      <c r="S163" s="12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8" t="str">
        <f t="shared" si="26"/>
        <v/>
      </c>
      <c r="AJ163" s="14" t="str">
        <f t="shared" si="27"/>
        <v/>
      </c>
      <c r="AK163" s="14" t="str">
        <f>IF(COUNTA(T163:AH163)=0,"",(SUM(T163*KPI_Weights!$B$4,U163*KPI_Weights!$B$5,V163*KPI_Weights!$B$6,W163*KPI_Weights!$B$7,X163*KPI_Weights!$B$8,Y163*KPI_Weights!$B$9,Z163*KPI_Weights!$B$10,AA163*KPI_Weights!$B$11,AB163*KPI_Weights!$B$12,AC163*KPI_Weights!$B$13,AD163*KPI_Weights!$B$14,AE163*KPI_Weights!$B$15,AF163*KPI_Weights!$B$16,AG163*KPI_Weights!$B$17,AH163*KPI_Weights!$B$18))/5)</f>
        <v/>
      </c>
      <c r="AL163" s="8" t="str">
        <f t="shared" si="28"/>
        <v/>
      </c>
      <c r="AM163" s="8" t="str">
        <f t="shared" si="29"/>
        <v/>
      </c>
      <c r="AN163" s="8" t="str">
        <f t="shared" si="30"/>
        <v/>
      </c>
      <c r="AO163" s="12"/>
      <c r="AP163" s="12"/>
      <c r="AQ163" s="12"/>
      <c r="AR163" s="12"/>
      <c r="AS163" s="12"/>
      <c r="AT163" s="15"/>
      <c r="AU163" s="12"/>
      <c r="AV163" s="16"/>
      <c r="AW163" s="12"/>
      <c r="AX163" s="15"/>
      <c r="AY163" s="15"/>
      <c r="AZ163" s="15"/>
      <c r="BA163" s="15"/>
      <c r="BB163" s="15"/>
      <c r="BC163" s="15"/>
      <c r="BD163" s="15"/>
      <c r="BE163" s="15"/>
      <c r="BF163" s="15"/>
    </row>
    <row r="164" spans="1:58" ht="19.5" customHeight="1" x14ac:dyDescent="0.2">
      <c r="A164" s="8" t="str">
        <f>IF($B164="","",TEXT($B164,"yyyymmdd")&amp;"-"&amp;SUBSTITUTE($F164," ","")&amp;"-"&amp;TEXT(COUNTIF($F$4:F164,$F164),"00"))</f>
        <v/>
      </c>
      <c r="B164" s="9"/>
      <c r="C164" s="8" t="str">
        <f t="shared" si="24"/>
        <v/>
      </c>
      <c r="D164" s="8" t="str">
        <f t="shared" si="25"/>
        <v/>
      </c>
      <c r="E164" s="10"/>
      <c r="F164" s="10"/>
      <c r="G164" s="8" t="str">
        <f>IF(OR($E164="",$F164=""),"",IFERROR(IF($E164=INDEX(Cluster_Master!$A$4:$A$18,MATCH($F164,Cluster_Master!$B$4:$B$18,0)),"OK","CHECK"),"CHECK"))</f>
        <v/>
      </c>
      <c r="H164" s="11" t="str">
        <f>IFERROR(INDEX(Cluster_Master!$C$4:$C$18,MATCH($F164,Cluster_Master!$B$4:$B$18,0)),"")</f>
        <v/>
      </c>
      <c r="I164" s="8" t="str">
        <f>IFERROR(INDEX(Cluster_Master!$D$4:$D$18,MATCH($F164,Cluster_Master!$B$4:$B$18,0)),"")</f>
        <v/>
      </c>
      <c r="J164" s="8" t="str">
        <f>IFERROR(INDEX(Cluster_Master!$E$4:$E$18,MATCH($F164,Cluster_Master!$B$4:$B$18,0)),"")</f>
        <v/>
      </c>
      <c r="K164" s="8" t="str">
        <f>IFERROR(INDEX(Cluster_Master!$F$4:$F$18,MATCH($F164,Cluster_Master!$B$4:$B$18,0)),"")</f>
        <v/>
      </c>
      <c r="L164" s="8" t="str">
        <f>IFERROR(INDEX(Cluster_Master!$G$4:$G$18,MATCH($F164,Cluster_Master!$B$4:$B$18,0)),"")</f>
        <v/>
      </c>
      <c r="M164" s="8" t="str">
        <f>IFERROR(INDEX(Cluster_Master!$H$4:$H$18,MATCH($F164,Cluster_Master!$B$4:$B$18,0)),"")</f>
        <v/>
      </c>
      <c r="N164" s="12"/>
      <c r="O164" s="12"/>
      <c r="P164" s="12"/>
      <c r="Q164" s="12"/>
      <c r="R164" s="12"/>
      <c r="S164" s="12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8" t="str">
        <f t="shared" si="26"/>
        <v/>
      </c>
      <c r="AJ164" s="14" t="str">
        <f t="shared" si="27"/>
        <v/>
      </c>
      <c r="AK164" s="14" t="str">
        <f>IF(COUNTA(T164:AH164)=0,"",(SUM(T164*KPI_Weights!$B$4,U164*KPI_Weights!$B$5,V164*KPI_Weights!$B$6,W164*KPI_Weights!$B$7,X164*KPI_Weights!$B$8,Y164*KPI_Weights!$B$9,Z164*KPI_Weights!$B$10,AA164*KPI_Weights!$B$11,AB164*KPI_Weights!$B$12,AC164*KPI_Weights!$B$13,AD164*KPI_Weights!$B$14,AE164*KPI_Weights!$B$15,AF164*KPI_Weights!$B$16,AG164*KPI_Weights!$B$17,AH164*KPI_Weights!$B$18))/5)</f>
        <v/>
      </c>
      <c r="AL164" s="8" t="str">
        <f t="shared" si="28"/>
        <v/>
      </c>
      <c r="AM164" s="8" t="str">
        <f t="shared" si="29"/>
        <v/>
      </c>
      <c r="AN164" s="8" t="str">
        <f t="shared" si="30"/>
        <v/>
      </c>
      <c r="AO164" s="12"/>
      <c r="AP164" s="12"/>
      <c r="AQ164" s="12"/>
      <c r="AR164" s="12"/>
      <c r="AS164" s="12"/>
      <c r="AT164" s="15"/>
      <c r="AU164" s="12"/>
      <c r="AV164" s="16"/>
      <c r="AW164" s="12"/>
      <c r="AX164" s="15"/>
      <c r="AY164" s="15"/>
      <c r="AZ164" s="15"/>
      <c r="BA164" s="15"/>
      <c r="BB164" s="15"/>
      <c r="BC164" s="15"/>
      <c r="BD164" s="15"/>
      <c r="BE164" s="15"/>
      <c r="BF164" s="15"/>
    </row>
    <row r="165" spans="1:58" ht="19.5" customHeight="1" x14ac:dyDescent="0.2">
      <c r="A165" s="8" t="str">
        <f>IF($B165="","",TEXT($B165,"yyyymmdd")&amp;"-"&amp;SUBSTITUTE($F165," ","")&amp;"-"&amp;TEXT(COUNTIF($F$4:F165,$F165),"00"))</f>
        <v/>
      </c>
      <c r="B165" s="9"/>
      <c r="C165" s="8" t="str">
        <f t="shared" si="24"/>
        <v/>
      </c>
      <c r="D165" s="8" t="str">
        <f t="shared" si="25"/>
        <v/>
      </c>
      <c r="E165" s="10"/>
      <c r="F165" s="10"/>
      <c r="G165" s="8" t="str">
        <f>IF(OR($E165="",$F165=""),"",IFERROR(IF($E165=INDEX(Cluster_Master!$A$4:$A$18,MATCH($F165,Cluster_Master!$B$4:$B$18,0)),"OK","CHECK"),"CHECK"))</f>
        <v/>
      </c>
      <c r="H165" s="11" t="str">
        <f>IFERROR(INDEX(Cluster_Master!$C$4:$C$18,MATCH($F165,Cluster_Master!$B$4:$B$18,0)),"")</f>
        <v/>
      </c>
      <c r="I165" s="8" t="str">
        <f>IFERROR(INDEX(Cluster_Master!$D$4:$D$18,MATCH($F165,Cluster_Master!$B$4:$B$18,0)),"")</f>
        <v/>
      </c>
      <c r="J165" s="8" t="str">
        <f>IFERROR(INDEX(Cluster_Master!$E$4:$E$18,MATCH($F165,Cluster_Master!$B$4:$B$18,0)),"")</f>
        <v/>
      </c>
      <c r="K165" s="8" t="str">
        <f>IFERROR(INDEX(Cluster_Master!$F$4:$F$18,MATCH($F165,Cluster_Master!$B$4:$B$18,0)),"")</f>
        <v/>
      </c>
      <c r="L165" s="8" t="str">
        <f>IFERROR(INDEX(Cluster_Master!$G$4:$G$18,MATCH($F165,Cluster_Master!$B$4:$B$18,0)),"")</f>
        <v/>
      </c>
      <c r="M165" s="8" t="str">
        <f>IFERROR(INDEX(Cluster_Master!$H$4:$H$18,MATCH($F165,Cluster_Master!$B$4:$B$18,0)),"")</f>
        <v/>
      </c>
      <c r="N165" s="12"/>
      <c r="O165" s="12"/>
      <c r="P165" s="12"/>
      <c r="Q165" s="12"/>
      <c r="R165" s="12"/>
      <c r="S165" s="12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8" t="str">
        <f t="shared" si="26"/>
        <v/>
      </c>
      <c r="AJ165" s="14" t="str">
        <f t="shared" si="27"/>
        <v/>
      </c>
      <c r="AK165" s="14" t="str">
        <f>IF(COUNTA(T165:AH165)=0,"",(SUM(T165*KPI_Weights!$B$4,U165*KPI_Weights!$B$5,V165*KPI_Weights!$B$6,W165*KPI_Weights!$B$7,X165*KPI_Weights!$B$8,Y165*KPI_Weights!$B$9,Z165*KPI_Weights!$B$10,AA165*KPI_Weights!$B$11,AB165*KPI_Weights!$B$12,AC165*KPI_Weights!$B$13,AD165*KPI_Weights!$B$14,AE165*KPI_Weights!$B$15,AF165*KPI_Weights!$B$16,AG165*KPI_Weights!$B$17,AH165*KPI_Weights!$B$18))/5)</f>
        <v/>
      </c>
      <c r="AL165" s="8" t="str">
        <f t="shared" si="28"/>
        <v/>
      </c>
      <c r="AM165" s="8" t="str">
        <f t="shared" si="29"/>
        <v/>
      </c>
      <c r="AN165" s="8" t="str">
        <f t="shared" si="30"/>
        <v/>
      </c>
      <c r="AO165" s="12"/>
      <c r="AP165" s="12"/>
      <c r="AQ165" s="12"/>
      <c r="AR165" s="12"/>
      <c r="AS165" s="12"/>
      <c r="AT165" s="15"/>
      <c r="AU165" s="12"/>
      <c r="AV165" s="16"/>
      <c r="AW165" s="12"/>
      <c r="AX165" s="15"/>
      <c r="AY165" s="15"/>
      <c r="AZ165" s="15"/>
      <c r="BA165" s="15"/>
      <c r="BB165" s="15"/>
      <c r="BC165" s="15"/>
      <c r="BD165" s="15"/>
      <c r="BE165" s="15"/>
      <c r="BF165" s="15"/>
    </row>
    <row r="166" spans="1:58" ht="19.5" customHeight="1" x14ac:dyDescent="0.2">
      <c r="A166" s="8" t="str">
        <f>IF($B166="","",TEXT($B166,"yyyymmdd")&amp;"-"&amp;SUBSTITUTE($F166," ","")&amp;"-"&amp;TEXT(COUNTIF($F$4:F166,$F166),"00"))</f>
        <v/>
      </c>
      <c r="B166" s="9"/>
      <c r="C166" s="8" t="str">
        <f t="shared" si="24"/>
        <v/>
      </c>
      <c r="D166" s="8" t="str">
        <f t="shared" si="25"/>
        <v/>
      </c>
      <c r="E166" s="10"/>
      <c r="F166" s="10"/>
      <c r="G166" s="8" t="str">
        <f>IF(OR($E166="",$F166=""),"",IFERROR(IF($E166=INDEX(Cluster_Master!$A$4:$A$18,MATCH($F166,Cluster_Master!$B$4:$B$18,0)),"OK","CHECK"),"CHECK"))</f>
        <v/>
      </c>
      <c r="H166" s="11" t="str">
        <f>IFERROR(INDEX(Cluster_Master!$C$4:$C$18,MATCH($F166,Cluster_Master!$B$4:$B$18,0)),"")</f>
        <v/>
      </c>
      <c r="I166" s="8" t="str">
        <f>IFERROR(INDEX(Cluster_Master!$D$4:$D$18,MATCH($F166,Cluster_Master!$B$4:$B$18,0)),"")</f>
        <v/>
      </c>
      <c r="J166" s="8" t="str">
        <f>IFERROR(INDEX(Cluster_Master!$E$4:$E$18,MATCH($F166,Cluster_Master!$B$4:$B$18,0)),"")</f>
        <v/>
      </c>
      <c r="K166" s="8" t="str">
        <f>IFERROR(INDEX(Cluster_Master!$F$4:$F$18,MATCH($F166,Cluster_Master!$B$4:$B$18,0)),"")</f>
        <v/>
      </c>
      <c r="L166" s="8" t="str">
        <f>IFERROR(INDEX(Cluster_Master!$G$4:$G$18,MATCH($F166,Cluster_Master!$B$4:$B$18,0)),"")</f>
        <v/>
      </c>
      <c r="M166" s="8" t="str">
        <f>IFERROR(INDEX(Cluster_Master!$H$4:$H$18,MATCH($F166,Cluster_Master!$B$4:$B$18,0)),"")</f>
        <v/>
      </c>
      <c r="N166" s="12"/>
      <c r="O166" s="12"/>
      <c r="P166" s="12"/>
      <c r="Q166" s="12"/>
      <c r="R166" s="12"/>
      <c r="S166" s="12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8" t="str">
        <f t="shared" si="26"/>
        <v/>
      </c>
      <c r="AJ166" s="14" t="str">
        <f t="shared" si="27"/>
        <v/>
      </c>
      <c r="AK166" s="14" t="str">
        <f>IF(COUNTA(T166:AH166)=0,"",(SUM(T166*KPI_Weights!$B$4,U166*KPI_Weights!$B$5,V166*KPI_Weights!$B$6,W166*KPI_Weights!$B$7,X166*KPI_Weights!$B$8,Y166*KPI_Weights!$B$9,Z166*KPI_Weights!$B$10,AA166*KPI_Weights!$B$11,AB166*KPI_Weights!$B$12,AC166*KPI_Weights!$B$13,AD166*KPI_Weights!$B$14,AE166*KPI_Weights!$B$15,AF166*KPI_Weights!$B$16,AG166*KPI_Weights!$B$17,AH166*KPI_Weights!$B$18))/5)</f>
        <v/>
      </c>
      <c r="AL166" s="8" t="str">
        <f t="shared" si="28"/>
        <v/>
      </c>
      <c r="AM166" s="8" t="str">
        <f t="shared" si="29"/>
        <v/>
      </c>
      <c r="AN166" s="8" t="str">
        <f t="shared" si="30"/>
        <v/>
      </c>
      <c r="AO166" s="12"/>
      <c r="AP166" s="12"/>
      <c r="AQ166" s="12"/>
      <c r="AR166" s="12"/>
      <c r="AS166" s="12"/>
      <c r="AT166" s="15"/>
      <c r="AU166" s="12"/>
      <c r="AV166" s="16"/>
      <c r="AW166" s="12"/>
      <c r="AX166" s="15"/>
      <c r="AY166" s="15"/>
      <c r="AZ166" s="15"/>
      <c r="BA166" s="15"/>
      <c r="BB166" s="15"/>
      <c r="BC166" s="15"/>
      <c r="BD166" s="15"/>
      <c r="BE166" s="15"/>
      <c r="BF166" s="15"/>
    </row>
    <row r="167" spans="1:58" ht="19.5" customHeight="1" x14ac:dyDescent="0.2">
      <c r="A167" s="8" t="str">
        <f>IF($B167="","",TEXT($B167,"yyyymmdd")&amp;"-"&amp;SUBSTITUTE($F167," ","")&amp;"-"&amp;TEXT(COUNTIF($F$4:F167,$F167),"00"))</f>
        <v/>
      </c>
      <c r="B167" s="9"/>
      <c r="C167" s="8" t="str">
        <f t="shared" si="24"/>
        <v/>
      </c>
      <c r="D167" s="8" t="str">
        <f t="shared" si="25"/>
        <v/>
      </c>
      <c r="E167" s="10"/>
      <c r="F167" s="10"/>
      <c r="G167" s="8" t="str">
        <f>IF(OR($E167="",$F167=""),"",IFERROR(IF($E167=INDEX(Cluster_Master!$A$4:$A$18,MATCH($F167,Cluster_Master!$B$4:$B$18,0)),"OK","CHECK"),"CHECK"))</f>
        <v/>
      </c>
      <c r="H167" s="11" t="str">
        <f>IFERROR(INDEX(Cluster_Master!$C$4:$C$18,MATCH($F167,Cluster_Master!$B$4:$B$18,0)),"")</f>
        <v/>
      </c>
      <c r="I167" s="8" t="str">
        <f>IFERROR(INDEX(Cluster_Master!$D$4:$D$18,MATCH($F167,Cluster_Master!$B$4:$B$18,0)),"")</f>
        <v/>
      </c>
      <c r="J167" s="8" t="str">
        <f>IFERROR(INDEX(Cluster_Master!$E$4:$E$18,MATCH($F167,Cluster_Master!$B$4:$B$18,0)),"")</f>
        <v/>
      </c>
      <c r="K167" s="8" t="str">
        <f>IFERROR(INDEX(Cluster_Master!$F$4:$F$18,MATCH($F167,Cluster_Master!$B$4:$B$18,0)),"")</f>
        <v/>
      </c>
      <c r="L167" s="8" t="str">
        <f>IFERROR(INDEX(Cluster_Master!$G$4:$G$18,MATCH($F167,Cluster_Master!$B$4:$B$18,0)),"")</f>
        <v/>
      </c>
      <c r="M167" s="8" t="str">
        <f>IFERROR(INDEX(Cluster_Master!$H$4:$H$18,MATCH($F167,Cluster_Master!$B$4:$B$18,0)),"")</f>
        <v/>
      </c>
      <c r="N167" s="12"/>
      <c r="O167" s="12"/>
      <c r="P167" s="12"/>
      <c r="Q167" s="12"/>
      <c r="R167" s="12"/>
      <c r="S167" s="12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8" t="str">
        <f t="shared" si="26"/>
        <v/>
      </c>
      <c r="AJ167" s="14" t="str">
        <f t="shared" si="27"/>
        <v/>
      </c>
      <c r="AK167" s="14" t="str">
        <f>IF(COUNTA(T167:AH167)=0,"",(SUM(T167*KPI_Weights!$B$4,U167*KPI_Weights!$B$5,V167*KPI_Weights!$B$6,W167*KPI_Weights!$B$7,X167*KPI_Weights!$B$8,Y167*KPI_Weights!$B$9,Z167*KPI_Weights!$B$10,AA167*KPI_Weights!$B$11,AB167*KPI_Weights!$B$12,AC167*KPI_Weights!$B$13,AD167*KPI_Weights!$B$14,AE167*KPI_Weights!$B$15,AF167*KPI_Weights!$B$16,AG167*KPI_Weights!$B$17,AH167*KPI_Weights!$B$18))/5)</f>
        <v/>
      </c>
      <c r="AL167" s="8" t="str">
        <f t="shared" si="28"/>
        <v/>
      </c>
      <c r="AM167" s="8" t="str">
        <f t="shared" si="29"/>
        <v/>
      </c>
      <c r="AN167" s="8" t="str">
        <f t="shared" si="30"/>
        <v/>
      </c>
      <c r="AO167" s="12"/>
      <c r="AP167" s="12"/>
      <c r="AQ167" s="12"/>
      <c r="AR167" s="12"/>
      <c r="AS167" s="12"/>
      <c r="AT167" s="15"/>
      <c r="AU167" s="12"/>
      <c r="AV167" s="16"/>
      <c r="AW167" s="12"/>
      <c r="AX167" s="15"/>
      <c r="AY167" s="15"/>
      <c r="AZ167" s="15"/>
      <c r="BA167" s="15"/>
      <c r="BB167" s="15"/>
      <c r="BC167" s="15"/>
      <c r="BD167" s="15"/>
      <c r="BE167" s="15"/>
      <c r="BF167" s="15"/>
    </row>
    <row r="168" spans="1:58" ht="19.5" customHeight="1" x14ac:dyDescent="0.2">
      <c r="A168" s="8" t="str">
        <f>IF($B168="","",TEXT($B168,"yyyymmdd")&amp;"-"&amp;SUBSTITUTE($F168," ","")&amp;"-"&amp;TEXT(COUNTIF($F$4:F168,$F168),"00"))</f>
        <v/>
      </c>
      <c r="B168" s="9"/>
      <c r="C168" s="8" t="str">
        <f t="shared" si="24"/>
        <v/>
      </c>
      <c r="D168" s="8" t="str">
        <f t="shared" si="25"/>
        <v/>
      </c>
      <c r="E168" s="10"/>
      <c r="F168" s="10"/>
      <c r="G168" s="8" t="str">
        <f>IF(OR($E168="",$F168=""),"",IFERROR(IF($E168=INDEX(Cluster_Master!$A$4:$A$18,MATCH($F168,Cluster_Master!$B$4:$B$18,0)),"OK","CHECK"),"CHECK"))</f>
        <v/>
      </c>
      <c r="H168" s="11" t="str">
        <f>IFERROR(INDEX(Cluster_Master!$C$4:$C$18,MATCH($F168,Cluster_Master!$B$4:$B$18,0)),"")</f>
        <v/>
      </c>
      <c r="I168" s="8" t="str">
        <f>IFERROR(INDEX(Cluster_Master!$D$4:$D$18,MATCH($F168,Cluster_Master!$B$4:$B$18,0)),"")</f>
        <v/>
      </c>
      <c r="J168" s="8" t="str">
        <f>IFERROR(INDEX(Cluster_Master!$E$4:$E$18,MATCH($F168,Cluster_Master!$B$4:$B$18,0)),"")</f>
        <v/>
      </c>
      <c r="K168" s="8" t="str">
        <f>IFERROR(INDEX(Cluster_Master!$F$4:$F$18,MATCH($F168,Cluster_Master!$B$4:$B$18,0)),"")</f>
        <v/>
      </c>
      <c r="L168" s="8" t="str">
        <f>IFERROR(INDEX(Cluster_Master!$G$4:$G$18,MATCH($F168,Cluster_Master!$B$4:$B$18,0)),"")</f>
        <v/>
      </c>
      <c r="M168" s="8" t="str">
        <f>IFERROR(INDEX(Cluster_Master!$H$4:$H$18,MATCH($F168,Cluster_Master!$B$4:$B$18,0)),"")</f>
        <v/>
      </c>
      <c r="N168" s="12"/>
      <c r="O168" s="12"/>
      <c r="P168" s="12"/>
      <c r="Q168" s="12"/>
      <c r="R168" s="12"/>
      <c r="S168" s="12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8" t="str">
        <f t="shared" si="26"/>
        <v/>
      </c>
      <c r="AJ168" s="14" t="str">
        <f t="shared" si="27"/>
        <v/>
      </c>
      <c r="AK168" s="14" t="str">
        <f>IF(COUNTA(T168:AH168)=0,"",(SUM(T168*KPI_Weights!$B$4,U168*KPI_Weights!$B$5,V168*KPI_Weights!$B$6,W168*KPI_Weights!$B$7,X168*KPI_Weights!$B$8,Y168*KPI_Weights!$B$9,Z168*KPI_Weights!$B$10,AA168*KPI_Weights!$B$11,AB168*KPI_Weights!$B$12,AC168*KPI_Weights!$B$13,AD168*KPI_Weights!$B$14,AE168*KPI_Weights!$B$15,AF168*KPI_Weights!$B$16,AG168*KPI_Weights!$B$17,AH168*KPI_Weights!$B$18))/5)</f>
        <v/>
      </c>
      <c r="AL168" s="8" t="str">
        <f t="shared" si="28"/>
        <v/>
      </c>
      <c r="AM168" s="8" t="str">
        <f t="shared" si="29"/>
        <v/>
      </c>
      <c r="AN168" s="8" t="str">
        <f t="shared" si="30"/>
        <v/>
      </c>
      <c r="AO168" s="12"/>
      <c r="AP168" s="12"/>
      <c r="AQ168" s="12"/>
      <c r="AR168" s="12"/>
      <c r="AS168" s="12"/>
      <c r="AT168" s="15"/>
      <c r="AU168" s="12"/>
      <c r="AV168" s="16"/>
      <c r="AW168" s="12"/>
      <c r="AX168" s="15"/>
      <c r="AY168" s="15"/>
      <c r="AZ168" s="15"/>
      <c r="BA168" s="15"/>
      <c r="BB168" s="15"/>
      <c r="BC168" s="15"/>
      <c r="BD168" s="15"/>
      <c r="BE168" s="15"/>
      <c r="BF168" s="15"/>
    </row>
    <row r="169" spans="1:58" ht="19.5" customHeight="1" x14ac:dyDescent="0.2">
      <c r="A169" s="8" t="str">
        <f>IF($B169="","",TEXT($B169,"yyyymmdd")&amp;"-"&amp;SUBSTITUTE($F169," ","")&amp;"-"&amp;TEXT(COUNTIF($F$4:F169,$F169),"00"))</f>
        <v/>
      </c>
      <c r="B169" s="9"/>
      <c r="C169" s="8" t="str">
        <f t="shared" si="24"/>
        <v/>
      </c>
      <c r="D169" s="8" t="str">
        <f t="shared" si="25"/>
        <v/>
      </c>
      <c r="E169" s="10"/>
      <c r="F169" s="10"/>
      <c r="G169" s="8" t="str">
        <f>IF(OR($E169="",$F169=""),"",IFERROR(IF($E169=INDEX(Cluster_Master!$A$4:$A$18,MATCH($F169,Cluster_Master!$B$4:$B$18,0)),"OK","CHECK"),"CHECK"))</f>
        <v/>
      </c>
      <c r="H169" s="11" t="str">
        <f>IFERROR(INDEX(Cluster_Master!$C$4:$C$18,MATCH($F169,Cluster_Master!$B$4:$B$18,0)),"")</f>
        <v/>
      </c>
      <c r="I169" s="8" t="str">
        <f>IFERROR(INDEX(Cluster_Master!$D$4:$D$18,MATCH($F169,Cluster_Master!$B$4:$B$18,0)),"")</f>
        <v/>
      </c>
      <c r="J169" s="8" t="str">
        <f>IFERROR(INDEX(Cluster_Master!$E$4:$E$18,MATCH($F169,Cluster_Master!$B$4:$B$18,0)),"")</f>
        <v/>
      </c>
      <c r="K169" s="8" t="str">
        <f>IFERROR(INDEX(Cluster_Master!$F$4:$F$18,MATCH($F169,Cluster_Master!$B$4:$B$18,0)),"")</f>
        <v/>
      </c>
      <c r="L169" s="8" t="str">
        <f>IFERROR(INDEX(Cluster_Master!$G$4:$G$18,MATCH($F169,Cluster_Master!$B$4:$B$18,0)),"")</f>
        <v/>
      </c>
      <c r="M169" s="8" t="str">
        <f>IFERROR(INDEX(Cluster_Master!$H$4:$H$18,MATCH($F169,Cluster_Master!$B$4:$B$18,0)),"")</f>
        <v/>
      </c>
      <c r="N169" s="12"/>
      <c r="O169" s="12"/>
      <c r="P169" s="12"/>
      <c r="Q169" s="12"/>
      <c r="R169" s="12"/>
      <c r="S169" s="12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8" t="str">
        <f t="shared" si="26"/>
        <v/>
      </c>
      <c r="AJ169" s="14" t="str">
        <f t="shared" si="27"/>
        <v/>
      </c>
      <c r="AK169" s="14" t="str">
        <f>IF(COUNTA(T169:AH169)=0,"",(SUM(T169*KPI_Weights!$B$4,U169*KPI_Weights!$B$5,V169*KPI_Weights!$B$6,W169*KPI_Weights!$B$7,X169*KPI_Weights!$B$8,Y169*KPI_Weights!$B$9,Z169*KPI_Weights!$B$10,AA169*KPI_Weights!$B$11,AB169*KPI_Weights!$B$12,AC169*KPI_Weights!$B$13,AD169*KPI_Weights!$B$14,AE169*KPI_Weights!$B$15,AF169*KPI_Weights!$B$16,AG169*KPI_Weights!$B$17,AH169*KPI_Weights!$B$18))/5)</f>
        <v/>
      </c>
      <c r="AL169" s="8" t="str">
        <f t="shared" si="28"/>
        <v/>
      </c>
      <c r="AM169" s="8" t="str">
        <f t="shared" si="29"/>
        <v/>
      </c>
      <c r="AN169" s="8" t="str">
        <f t="shared" si="30"/>
        <v/>
      </c>
      <c r="AO169" s="12"/>
      <c r="AP169" s="12"/>
      <c r="AQ169" s="12"/>
      <c r="AR169" s="12"/>
      <c r="AS169" s="12"/>
      <c r="AT169" s="15"/>
      <c r="AU169" s="12"/>
      <c r="AV169" s="16"/>
      <c r="AW169" s="12"/>
      <c r="AX169" s="15"/>
      <c r="AY169" s="15"/>
      <c r="AZ169" s="15"/>
      <c r="BA169" s="15"/>
      <c r="BB169" s="15"/>
      <c r="BC169" s="15"/>
      <c r="BD169" s="15"/>
      <c r="BE169" s="15"/>
      <c r="BF169" s="15"/>
    </row>
    <row r="170" spans="1:58" ht="19.5" customHeight="1" x14ac:dyDescent="0.2">
      <c r="A170" s="8" t="str">
        <f>IF($B170="","",TEXT($B170,"yyyymmdd")&amp;"-"&amp;SUBSTITUTE($F170," ","")&amp;"-"&amp;TEXT(COUNTIF($F$4:F170,$F170),"00"))</f>
        <v/>
      </c>
      <c r="B170" s="9"/>
      <c r="C170" s="8" t="str">
        <f t="shared" si="24"/>
        <v/>
      </c>
      <c r="D170" s="8" t="str">
        <f t="shared" si="25"/>
        <v/>
      </c>
      <c r="E170" s="10"/>
      <c r="F170" s="10"/>
      <c r="G170" s="8" t="str">
        <f>IF(OR($E170="",$F170=""),"",IFERROR(IF($E170=INDEX(Cluster_Master!$A$4:$A$18,MATCH($F170,Cluster_Master!$B$4:$B$18,0)),"OK","CHECK"),"CHECK"))</f>
        <v/>
      </c>
      <c r="H170" s="11" t="str">
        <f>IFERROR(INDEX(Cluster_Master!$C$4:$C$18,MATCH($F170,Cluster_Master!$B$4:$B$18,0)),"")</f>
        <v/>
      </c>
      <c r="I170" s="8" t="str">
        <f>IFERROR(INDEX(Cluster_Master!$D$4:$D$18,MATCH($F170,Cluster_Master!$B$4:$B$18,0)),"")</f>
        <v/>
      </c>
      <c r="J170" s="8" t="str">
        <f>IFERROR(INDEX(Cluster_Master!$E$4:$E$18,MATCH($F170,Cluster_Master!$B$4:$B$18,0)),"")</f>
        <v/>
      </c>
      <c r="K170" s="8" t="str">
        <f>IFERROR(INDEX(Cluster_Master!$F$4:$F$18,MATCH($F170,Cluster_Master!$B$4:$B$18,0)),"")</f>
        <v/>
      </c>
      <c r="L170" s="8" t="str">
        <f>IFERROR(INDEX(Cluster_Master!$G$4:$G$18,MATCH($F170,Cluster_Master!$B$4:$B$18,0)),"")</f>
        <v/>
      </c>
      <c r="M170" s="8" t="str">
        <f>IFERROR(INDEX(Cluster_Master!$H$4:$H$18,MATCH($F170,Cluster_Master!$B$4:$B$18,0)),"")</f>
        <v/>
      </c>
      <c r="N170" s="12"/>
      <c r="O170" s="12"/>
      <c r="P170" s="12"/>
      <c r="Q170" s="12"/>
      <c r="R170" s="12"/>
      <c r="S170" s="12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8" t="str">
        <f t="shared" si="26"/>
        <v/>
      </c>
      <c r="AJ170" s="14" t="str">
        <f t="shared" si="27"/>
        <v/>
      </c>
      <c r="AK170" s="14" t="str">
        <f>IF(COUNTA(T170:AH170)=0,"",(SUM(T170*KPI_Weights!$B$4,U170*KPI_Weights!$B$5,V170*KPI_Weights!$B$6,W170*KPI_Weights!$B$7,X170*KPI_Weights!$B$8,Y170*KPI_Weights!$B$9,Z170*KPI_Weights!$B$10,AA170*KPI_Weights!$B$11,AB170*KPI_Weights!$B$12,AC170*KPI_Weights!$B$13,AD170*KPI_Weights!$B$14,AE170*KPI_Weights!$B$15,AF170*KPI_Weights!$B$16,AG170*KPI_Weights!$B$17,AH170*KPI_Weights!$B$18))/5)</f>
        <v/>
      </c>
      <c r="AL170" s="8" t="str">
        <f t="shared" si="28"/>
        <v/>
      </c>
      <c r="AM170" s="8" t="str">
        <f t="shared" si="29"/>
        <v/>
      </c>
      <c r="AN170" s="8" t="str">
        <f t="shared" si="30"/>
        <v/>
      </c>
      <c r="AO170" s="12"/>
      <c r="AP170" s="12"/>
      <c r="AQ170" s="12"/>
      <c r="AR170" s="12"/>
      <c r="AS170" s="12"/>
      <c r="AT170" s="15"/>
      <c r="AU170" s="12"/>
      <c r="AV170" s="16"/>
      <c r="AW170" s="12"/>
      <c r="AX170" s="15"/>
      <c r="AY170" s="15"/>
      <c r="AZ170" s="15"/>
      <c r="BA170" s="15"/>
      <c r="BB170" s="15"/>
      <c r="BC170" s="15"/>
      <c r="BD170" s="15"/>
      <c r="BE170" s="15"/>
      <c r="BF170" s="15"/>
    </row>
    <row r="171" spans="1:58" ht="19.5" customHeight="1" x14ac:dyDescent="0.2">
      <c r="A171" s="8" t="str">
        <f>IF($B171="","",TEXT($B171,"yyyymmdd")&amp;"-"&amp;SUBSTITUTE($F171," ","")&amp;"-"&amp;TEXT(COUNTIF($F$4:F171,$F171),"00"))</f>
        <v/>
      </c>
      <c r="B171" s="9"/>
      <c r="C171" s="8" t="str">
        <f t="shared" si="24"/>
        <v/>
      </c>
      <c r="D171" s="8" t="str">
        <f t="shared" si="25"/>
        <v/>
      </c>
      <c r="E171" s="10"/>
      <c r="F171" s="10"/>
      <c r="G171" s="8" t="str">
        <f>IF(OR($E171="",$F171=""),"",IFERROR(IF($E171=INDEX(Cluster_Master!$A$4:$A$18,MATCH($F171,Cluster_Master!$B$4:$B$18,0)),"OK","CHECK"),"CHECK"))</f>
        <v/>
      </c>
      <c r="H171" s="11" t="str">
        <f>IFERROR(INDEX(Cluster_Master!$C$4:$C$18,MATCH($F171,Cluster_Master!$B$4:$B$18,0)),"")</f>
        <v/>
      </c>
      <c r="I171" s="8" t="str">
        <f>IFERROR(INDEX(Cluster_Master!$D$4:$D$18,MATCH($F171,Cluster_Master!$B$4:$B$18,0)),"")</f>
        <v/>
      </c>
      <c r="J171" s="8" t="str">
        <f>IFERROR(INDEX(Cluster_Master!$E$4:$E$18,MATCH($F171,Cluster_Master!$B$4:$B$18,0)),"")</f>
        <v/>
      </c>
      <c r="K171" s="8" t="str">
        <f>IFERROR(INDEX(Cluster_Master!$F$4:$F$18,MATCH($F171,Cluster_Master!$B$4:$B$18,0)),"")</f>
        <v/>
      </c>
      <c r="L171" s="8" t="str">
        <f>IFERROR(INDEX(Cluster_Master!$G$4:$G$18,MATCH($F171,Cluster_Master!$B$4:$B$18,0)),"")</f>
        <v/>
      </c>
      <c r="M171" s="8" t="str">
        <f>IFERROR(INDEX(Cluster_Master!$H$4:$H$18,MATCH($F171,Cluster_Master!$B$4:$B$18,0)),"")</f>
        <v/>
      </c>
      <c r="N171" s="12"/>
      <c r="O171" s="12"/>
      <c r="P171" s="12"/>
      <c r="Q171" s="12"/>
      <c r="R171" s="12"/>
      <c r="S171" s="12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8" t="str">
        <f t="shared" si="26"/>
        <v/>
      </c>
      <c r="AJ171" s="14" t="str">
        <f t="shared" si="27"/>
        <v/>
      </c>
      <c r="AK171" s="14" t="str">
        <f>IF(COUNTA(T171:AH171)=0,"",(SUM(T171*KPI_Weights!$B$4,U171*KPI_Weights!$B$5,V171*KPI_Weights!$B$6,W171*KPI_Weights!$B$7,X171*KPI_Weights!$B$8,Y171*KPI_Weights!$B$9,Z171*KPI_Weights!$B$10,AA171*KPI_Weights!$B$11,AB171*KPI_Weights!$B$12,AC171*KPI_Weights!$B$13,AD171*KPI_Weights!$B$14,AE171*KPI_Weights!$B$15,AF171*KPI_Weights!$B$16,AG171*KPI_Weights!$B$17,AH171*KPI_Weights!$B$18))/5)</f>
        <v/>
      </c>
      <c r="AL171" s="8" t="str">
        <f t="shared" si="28"/>
        <v/>
      </c>
      <c r="AM171" s="8" t="str">
        <f t="shared" si="29"/>
        <v/>
      </c>
      <c r="AN171" s="8" t="str">
        <f t="shared" si="30"/>
        <v/>
      </c>
      <c r="AO171" s="12"/>
      <c r="AP171" s="12"/>
      <c r="AQ171" s="12"/>
      <c r="AR171" s="12"/>
      <c r="AS171" s="12"/>
      <c r="AT171" s="15"/>
      <c r="AU171" s="12"/>
      <c r="AV171" s="16"/>
      <c r="AW171" s="12"/>
      <c r="AX171" s="15"/>
      <c r="AY171" s="15"/>
      <c r="AZ171" s="15"/>
      <c r="BA171" s="15"/>
      <c r="BB171" s="15"/>
      <c r="BC171" s="15"/>
      <c r="BD171" s="15"/>
      <c r="BE171" s="15"/>
      <c r="BF171" s="15"/>
    </row>
    <row r="172" spans="1:58" ht="19.5" customHeight="1" x14ac:dyDescent="0.2">
      <c r="A172" s="8" t="str">
        <f>IF($B172="","",TEXT($B172,"yyyymmdd")&amp;"-"&amp;SUBSTITUTE($F172," ","")&amp;"-"&amp;TEXT(COUNTIF($F$4:F172,$F172),"00"))</f>
        <v/>
      </c>
      <c r="B172" s="9"/>
      <c r="C172" s="8" t="str">
        <f t="shared" si="24"/>
        <v/>
      </c>
      <c r="D172" s="8" t="str">
        <f t="shared" si="25"/>
        <v/>
      </c>
      <c r="E172" s="10"/>
      <c r="F172" s="10"/>
      <c r="G172" s="8" t="str">
        <f>IF(OR($E172="",$F172=""),"",IFERROR(IF($E172=INDEX(Cluster_Master!$A$4:$A$18,MATCH($F172,Cluster_Master!$B$4:$B$18,0)),"OK","CHECK"),"CHECK"))</f>
        <v/>
      </c>
      <c r="H172" s="11" t="str">
        <f>IFERROR(INDEX(Cluster_Master!$C$4:$C$18,MATCH($F172,Cluster_Master!$B$4:$B$18,0)),"")</f>
        <v/>
      </c>
      <c r="I172" s="8" t="str">
        <f>IFERROR(INDEX(Cluster_Master!$D$4:$D$18,MATCH($F172,Cluster_Master!$B$4:$B$18,0)),"")</f>
        <v/>
      </c>
      <c r="J172" s="8" t="str">
        <f>IFERROR(INDEX(Cluster_Master!$E$4:$E$18,MATCH($F172,Cluster_Master!$B$4:$B$18,0)),"")</f>
        <v/>
      </c>
      <c r="K172" s="8" t="str">
        <f>IFERROR(INDEX(Cluster_Master!$F$4:$F$18,MATCH($F172,Cluster_Master!$B$4:$B$18,0)),"")</f>
        <v/>
      </c>
      <c r="L172" s="8" t="str">
        <f>IFERROR(INDEX(Cluster_Master!$G$4:$G$18,MATCH($F172,Cluster_Master!$B$4:$B$18,0)),"")</f>
        <v/>
      </c>
      <c r="M172" s="8" t="str">
        <f>IFERROR(INDEX(Cluster_Master!$H$4:$H$18,MATCH($F172,Cluster_Master!$B$4:$B$18,0)),"")</f>
        <v/>
      </c>
      <c r="N172" s="12"/>
      <c r="O172" s="12"/>
      <c r="P172" s="12"/>
      <c r="Q172" s="12"/>
      <c r="R172" s="12"/>
      <c r="S172" s="12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8" t="str">
        <f t="shared" si="26"/>
        <v/>
      </c>
      <c r="AJ172" s="14" t="str">
        <f t="shared" si="27"/>
        <v/>
      </c>
      <c r="AK172" s="14" t="str">
        <f>IF(COUNTA(T172:AH172)=0,"",(SUM(T172*KPI_Weights!$B$4,U172*KPI_Weights!$B$5,V172*KPI_Weights!$B$6,W172*KPI_Weights!$B$7,X172*KPI_Weights!$B$8,Y172*KPI_Weights!$B$9,Z172*KPI_Weights!$B$10,AA172*KPI_Weights!$B$11,AB172*KPI_Weights!$B$12,AC172*KPI_Weights!$B$13,AD172*KPI_Weights!$B$14,AE172*KPI_Weights!$B$15,AF172*KPI_Weights!$B$16,AG172*KPI_Weights!$B$17,AH172*KPI_Weights!$B$18))/5)</f>
        <v/>
      </c>
      <c r="AL172" s="8" t="str">
        <f t="shared" si="28"/>
        <v/>
      </c>
      <c r="AM172" s="8" t="str">
        <f t="shared" si="29"/>
        <v/>
      </c>
      <c r="AN172" s="8" t="str">
        <f t="shared" si="30"/>
        <v/>
      </c>
      <c r="AO172" s="12"/>
      <c r="AP172" s="12"/>
      <c r="AQ172" s="12"/>
      <c r="AR172" s="12"/>
      <c r="AS172" s="12"/>
      <c r="AT172" s="15"/>
      <c r="AU172" s="12"/>
      <c r="AV172" s="16"/>
      <c r="AW172" s="12"/>
      <c r="AX172" s="15"/>
      <c r="AY172" s="15"/>
      <c r="AZ172" s="15"/>
      <c r="BA172" s="15"/>
      <c r="BB172" s="15"/>
      <c r="BC172" s="15"/>
      <c r="BD172" s="15"/>
      <c r="BE172" s="15"/>
      <c r="BF172" s="15"/>
    </row>
    <row r="173" spans="1:58" ht="19.5" customHeight="1" x14ac:dyDescent="0.2">
      <c r="A173" s="8" t="str">
        <f>IF($B173="","",TEXT($B173,"yyyymmdd")&amp;"-"&amp;SUBSTITUTE($F173," ","")&amp;"-"&amp;TEXT(COUNTIF($F$4:F173,$F173),"00"))</f>
        <v/>
      </c>
      <c r="B173" s="9"/>
      <c r="C173" s="8" t="str">
        <f t="shared" si="24"/>
        <v/>
      </c>
      <c r="D173" s="8" t="str">
        <f t="shared" si="25"/>
        <v/>
      </c>
      <c r="E173" s="10"/>
      <c r="F173" s="10"/>
      <c r="G173" s="8" t="str">
        <f>IF(OR($E173="",$F173=""),"",IFERROR(IF($E173=INDEX(Cluster_Master!$A$4:$A$18,MATCH($F173,Cluster_Master!$B$4:$B$18,0)),"OK","CHECK"),"CHECK"))</f>
        <v/>
      </c>
      <c r="H173" s="11" t="str">
        <f>IFERROR(INDEX(Cluster_Master!$C$4:$C$18,MATCH($F173,Cluster_Master!$B$4:$B$18,0)),"")</f>
        <v/>
      </c>
      <c r="I173" s="8" t="str">
        <f>IFERROR(INDEX(Cluster_Master!$D$4:$D$18,MATCH($F173,Cluster_Master!$B$4:$B$18,0)),"")</f>
        <v/>
      </c>
      <c r="J173" s="8" t="str">
        <f>IFERROR(INDEX(Cluster_Master!$E$4:$E$18,MATCH($F173,Cluster_Master!$B$4:$B$18,0)),"")</f>
        <v/>
      </c>
      <c r="K173" s="8" t="str">
        <f>IFERROR(INDEX(Cluster_Master!$F$4:$F$18,MATCH($F173,Cluster_Master!$B$4:$B$18,0)),"")</f>
        <v/>
      </c>
      <c r="L173" s="8" t="str">
        <f>IFERROR(INDEX(Cluster_Master!$G$4:$G$18,MATCH($F173,Cluster_Master!$B$4:$B$18,0)),"")</f>
        <v/>
      </c>
      <c r="M173" s="8" t="str">
        <f>IFERROR(INDEX(Cluster_Master!$H$4:$H$18,MATCH($F173,Cluster_Master!$B$4:$B$18,0)),"")</f>
        <v/>
      </c>
      <c r="N173" s="12"/>
      <c r="O173" s="12"/>
      <c r="P173" s="12"/>
      <c r="Q173" s="12"/>
      <c r="R173" s="12"/>
      <c r="S173" s="12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8" t="str">
        <f t="shared" si="26"/>
        <v/>
      </c>
      <c r="AJ173" s="14" t="str">
        <f t="shared" si="27"/>
        <v/>
      </c>
      <c r="AK173" s="14" t="str">
        <f>IF(COUNTA(T173:AH173)=0,"",(SUM(T173*KPI_Weights!$B$4,U173*KPI_Weights!$B$5,V173*KPI_Weights!$B$6,W173*KPI_Weights!$B$7,X173*KPI_Weights!$B$8,Y173*KPI_Weights!$B$9,Z173*KPI_Weights!$B$10,AA173*KPI_Weights!$B$11,AB173*KPI_Weights!$B$12,AC173*KPI_Weights!$B$13,AD173*KPI_Weights!$B$14,AE173*KPI_Weights!$B$15,AF173*KPI_Weights!$B$16,AG173*KPI_Weights!$B$17,AH173*KPI_Weights!$B$18))/5)</f>
        <v/>
      </c>
      <c r="AL173" s="8" t="str">
        <f t="shared" si="28"/>
        <v/>
      </c>
      <c r="AM173" s="8" t="str">
        <f t="shared" si="29"/>
        <v/>
      </c>
      <c r="AN173" s="8" t="str">
        <f t="shared" si="30"/>
        <v/>
      </c>
      <c r="AO173" s="12"/>
      <c r="AP173" s="12"/>
      <c r="AQ173" s="12"/>
      <c r="AR173" s="12"/>
      <c r="AS173" s="12"/>
      <c r="AT173" s="15"/>
      <c r="AU173" s="12"/>
      <c r="AV173" s="16"/>
      <c r="AW173" s="12"/>
      <c r="AX173" s="15"/>
      <c r="AY173" s="15"/>
      <c r="AZ173" s="15"/>
      <c r="BA173" s="15"/>
      <c r="BB173" s="15"/>
      <c r="BC173" s="15"/>
      <c r="BD173" s="15"/>
      <c r="BE173" s="15"/>
      <c r="BF173" s="15"/>
    </row>
    <row r="174" spans="1:58" ht="19.5" customHeight="1" x14ac:dyDescent="0.2">
      <c r="A174" s="8" t="str">
        <f>IF($B174="","",TEXT($B174,"yyyymmdd")&amp;"-"&amp;SUBSTITUTE($F174," ","")&amp;"-"&amp;TEXT(COUNTIF($F$4:F174,$F174),"00"))</f>
        <v/>
      </c>
      <c r="B174" s="9"/>
      <c r="C174" s="8" t="str">
        <f t="shared" si="24"/>
        <v/>
      </c>
      <c r="D174" s="8" t="str">
        <f t="shared" si="25"/>
        <v/>
      </c>
      <c r="E174" s="10"/>
      <c r="F174" s="10"/>
      <c r="G174" s="8" t="str">
        <f>IF(OR($E174="",$F174=""),"",IFERROR(IF($E174=INDEX(Cluster_Master!$A$4:$A$18,MATCH($F174,Cluster_Master!$B$4:$B$18,0)),"OK","CHECK"),"CHECK"))</f>
        <v/>
      </c>
      <c r="H174" s="11" t="str">
        <f>IFERROR(INDEX(Cluster_Master!$C$4:$C$18,MATCH($F174,Cluster_Master!$B$4:$B$18,0)),"")</f>
        <v/>
      </c>
      <c r="I174" s="8" t="str">
        <f>IFERROR(INDEX(Cluster_Master!$D$4:$D$18,MATCH($F174,Cluster_Master!$B$4:$B$18,0)),"")</f>
        <v/>
      </c>
      <c r="J174" s="8" t="str">
        <f>IFERROR(INDEX(Cluster_Master!$E$4:$E$18,MATCH($F174,Cluster_Master!$B$4:$B$18,0)),"")</f>
        <v/>
      </c>
      <c r="K174" s="8" t="str">
        <f>IFERROR(INDEX(Cluster_Master!$F$4:$F$18,MATCH($F174,Cluster_Master!$B$4:$B$18,0)),"")</f>
        <v/>
      </c>
      <c r="L174" s="8" t="str">
        <f>IFERROR(INDEX(Cluster_Master!$G$4:$G$18,MATCH($F174,Cluster_Master!$B$4:$B$18,0)),"")</f>
        <v/>
      </c>
      <c r="M174" s="8" t="str">
        <f>IFERROR(INDEX(Cluster_Master!$H$4:$H$18,MATCH($F174,Cluster_Master!$B$4:$B$18,0)),"")</f>
        <v/>
      </c>
      <c r="N174" s="12"/>
      <c r="O174" s="12"/>
      <c r="P174" s="12"/>
      <c r="Q174" s="12"/>
      <c r="R174" s="12"/>
      <c r="S174" s="12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8" t="str">
        <f t="shared" si="26"/>
        <v/>
      </c>
      <c r="AJ174" s="14" t="str">
        <f t="shared" si="27"/>
        <v/>
      </c>
      <c r="AK174" s="14" t="str">
        <f>IF(COUNTA(T174:AH174)=0,"",(SUM(T174*KPI_Weights!$B$4,U174*KPI_Weights!$B$5,V174*KPI_Weights!$B$6,W174*KPI_Weights!$B$7,X174*KPI_Weights!$B$8,Y174*KPI_Weights!$B$9,Z174*KPI_Weights!$B$10,AA174*KPI_Weights!$B$11,AB174*KPI_Weights!$B$12,AC174*KPI_Weights!$B$13,AD174*KPI_Weights!$B$14,AE174*KPI_Weights!$B$15,AF174*KPI_Weights!$B$16,AG174*KPI_Weights!$B$17,AH174*KPI_Weights!$B$18))/5)</f>
        <v/>
      </c>
      <c r="AL174" s="8" t="str">
        <f t="shared" si="28"/>
        <v/>
      </c>
      <c r="AM174" s="8" t="str">
        <f t="shared" si="29"/>
        <v/>
      </c>
      <c r="AN174" s="8" t="str">
        <f t="shared" si="30"/>
        <v/>
      </c>
      <c r="AO174" s="12"/>
      <c r="AP174" s="12"/>
      <c r="AQ174" s="12"/>
      <c r="AR174" s="12"/>
      <c r="AS174" s="12"/>
      <c r="AT174" s="15"/>
      <c r="AU174" s="12"/>
      <c r="AV174" s="16"/>
      <c r="AW174" s="12"/>
      <c r="AX174" s="15"/>
      <c r="AY174" s="15"/>
      <c r="AZ174" s="15"/>
      <c r="BA174" s="15"/>
      <c r="BB174" s="15"/>
      <c r="BC174" s="15"/>
      <c r="BD174" s="15"/>
      <c r="BE174" s="15"/>
      <c r="BF174" s="15"/>
    </row>
    <row r="175" spans="1:58" ht="19.5" customHeight="1" x14ac:dyDescent="0.2">
      <c r="A175" s="8" t="str">
        <f>IF($B175="","",TEXT($B175,"yyyymmdd")&amp;"-"&amp;SUBSTITUTE($F175," ","")&amp;"-"&amp;TEXT(COUNTIF($F$4:F175,$F175),"00"))</f>
        <v/>
      </c>
      <c r="B175" s="9"/>
      <c r="C175" s="8" t="str">
        <f t="shared" si="24"/>
        <v/>
      </c>
      <c r="D175" s="8" t="str">
        <f t="shared" si="25"/>
        <v/>
      </c>
      <c r="E175" s="10"/>
      <c r="F175" s="10"/>
      <c r="G175" s="8" t="str">
        <f>IF(OR($E175="",$F175=""),"",IFERROR(IF($E175=INDEX(Cluster_Master!$A$4:$A$18,MATCH($F175,Cluster_Master!$B$4:$B$18,0)),"OK","CHECK"),"CHECK"))</f>
        <v/>
      </c>
      <c r="H175" s="11" t="str">
        <f>IFERROR(INDEX(Cluster_Master!$C$4:$C$18,MATCH($F175,Cluster_Master!$B$4:$B$18,0)),"")</f>
        <v/>
      </c>
      <c r="I175" s="8" t="str">
        <f>IFERROR(INDEX(Cluster_Master!$D$4:$D$18,MATCH($F175,Cluster_Master!$B$4:$B$18,0)),"")</f>
        <v/>
      </c>
      <c r="J175" s="8" t="str">
        <f>IFERROR(INDEX(Cluster_Master!$E$4:$E$18,MATCH($F175,Cluster_Master!$B$4:$B$18,0)),"")</f>
        <v/>
      </c>
      <c r="K175" s="8" t="str">
        <f>IFERROR(INDEX(Cluster_Master!$F$4:$F$18,MATCH($F175,Cluster_Master!$B$4:$B$18,0)),"")</f>
        <v/>
      </c>
      <c r="L175" s="8" t="str">
        <f>IFERROR(INDEX(Cluster_Master!$G$4:$G$18,MATCH($F175,Cluster_Master!$B$4:$B$18,0)),"")</f>
        <v/>
      </c>
      <c r="M175" s="8" t="str">
        <f>IFERROR(INDEX(Cluster_Master!$H$4:$H$18,MATCH($F175,Cluster_Master!$B$4:$B$18,0)),"")</f>
        <v/>
      </c>
      <c r="N175" s="12"/>
      <c r="O175" s="12"/>
      <c r="P175" s="12"/>
      <c r="Q175" s="12"/>
      <c r="R175" s="12"/>
      <c r="S175" s="12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8" t="str">
        <f t="shared" si="26"/>
        <v/>
      </c>
      <c r="AJ175" s="14" t="str">
        <f t="shared" si="27"/>
        <v/>
      </c>
      <c r="AK175" s="14" t="str">
        <f>IF(COUNTA(T175:AH175)=0,"",(SUM(T175*KPI_Weights!$B$4,U175*KPI_Weights!$B$5,V175*KPI_Weights!$B$6,W175*KPI_Weights!$B$7,X175*KPI_Weights!$B$8,Y175*KPI_Weights!$B$9,Z175*KPI_Weights!$B$10,AA175*KPI_Weights!$B$11,AB175*KPI_Weights!$B$12,AC175*KPI_Weights!$B$13,AD175*KPI_Weights!$B$14,AE175*KPI_Weights!$B$15,AF175*KPI_Weights!$B$16,AG175*KPI_Weights!$B$17,AH175*KPI_Weights!$B$18))/5)</f>
        <v/>
      </c>
      <c r="AL175" s="8" t="str">
        <f t="shared" si="28"/>
        <v/>
      </c>
      <c r="AM175" s="8" t="str">
        <f t="shared" si="29"/>
        <v/>
      </c>
      <c r="AN175" s="8" t="str">
        <f t="shared" si="30"/>
        <v/>
      </c>
      <c r="AO175" s="12"/>
      <c r="AP175" s="12"/>
      <c r="AQ175" s="12"/>
      <c r="AR175" s="12"/>
      <c r="AS175" s="12"/>
      <c r="AT175" s="15"/>
      <c r="AU175" s="12"/>
      <c r="AV175" s="16"/>
      <c r="AW175" s="12"/>
      <c r="AX175" s="15"/>
      <c r="AY175" s="15"/>
      <c r="AZ175" s="15"/>
      <c r="BA175" s="15"/>
      <c r="BB175" s="15"/>
      <c r="BC175" s="15"/>
      <c r="BD175" s="15"/>
      <c r="BE175" s="15"/>
      <c r="BF175" s="15"/>
    </row>
    <row r="176" spans="1:58" ht="19.5" customHeight="1" x14ac:dyDescent="0.2">
      <c r="A176" s="8" t="str">
        <f>IF($B176="","",TEXT($B176,"yyyymmdd")&amp;"-"&amp;SUBSTITUTE($F176," ","")&amp;"-"&amp;TEXT(COUNTIF($F$4:F176,$F176),"00"))</f>
        <v/>
      </c>
      <c r="B176" s="9"/>
      <c r="C176" s="8" t="str">
        <f t="shared" si="24"/>
        <v/>
      </c>
      <c r="D176" s="8" t="str">
        <f t="shared" si="25"/>
        <v/>
      </c>
      <c r="E176" s="10"/>
      <c r="F176" s="10"/>
      <c r="G176" s="8" t="str">
        <f>IF(OR($E176="",$F176=""),"",IFERROR(IF($E176=INDEX(Cluster_Master!$A$4:$A$18,MATCH($F176,Cluster_Master!$B$4:$B$18,0)),"OK","CHECK"),"CHECK"))</f>
        <v/>
      </c>
      <c r="H176" s="11" t="str">
        <f>IFERROR(INDEX(Cluster_Master!$C$4:$C$18,MATCH($F176,Cluster_Master!$B$4:$B$18,0)),"")</f>
        <v/>
      </c>
      <c r="I176" s="8" t="str">
        <f>IFERROR(INDEX(Cluster_Master!$D$4:$D$18,MATCH($F176,Cluster_Master!$B$4:$B$18,0)),"")</f>
        <v/>
      </c>
      <c r="J176" s="8" t="str">
        <f>IFERROR(INDEX(Cluster_Master!$E$4:$E$18,MATCH($F176,Cluster_Master!$B$4:$B$18,0)),"")</f>
        <v/>
      </c>
      <c r="K176" s="8" t="str">
        <f>IFERROR(INDEX(Cluster_Master!$F$4:$F$18,MATCH($F176,Cluster_Master!$B$4:$B$18,0)),"")</f>
        <v/>
      </c>
      <c r="L176" s="8" t="str">
        <f>IFERROR(INDEX(Cluster_Master!$G$4:$G$18,MATCH($F176,Cluster_Master!$B$4:$B$18,0)),"")</f>
        <v/>
      </c>
      <c r="M176" s="8" t="str">
        <f>IFERROR(INDEX(Cluster_Master!$H$4:$H$18,MATCH($F176,Cluster_Master!$B$4:$B$18,0)),"")</f>
        <v/>
      </c>
      <c r="N176" s="12"/>
      <c r="O176" s="12"/>
      <c r="P176" s="12"/>
      <c r="Q176" s="12"/>
      <c r="R176" s="12"/>
      <c r="S176" s="12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8" t="str">
        <f t="shared" si="26"/>
        <v/>
      </c>
      <c r="AJ176" s="14" t="str">
        <f t="shared" si="27"/>
        <v/>
      </c>
      <c r="AK176" s="14" t="str">
        <f>IF(COUNTA(T176:AH176)=0,"",(SUM(T176*KPI_Weights!$B$4,U176*KPI_Weights!$B$5,V176*KPI_Weights!$B$6,W176*KPI_Weights!$B$7,X176*KPI_Weights!$B$8,Y176*KPI_Weights!$B$9,Z176*KPI_Weights!$B$10,AA176*KPI_Weights!$B$11,AB176*KPI_Weights!$B$12,AC176*KPI_Weights!$B$13,AD176*KPI_Weights!$B$14,AE176*KPI_Weights!$B$15,AF176*KPI_Weights!$B$16,AG176*KPI_Weights!$B$17,AH176*KPI_Weights!$B$18))/5)</f>
        <v/>
      </c>
      <c r="AL176" s="8" t="str">
        <f t="shared" si="28"/>
        <v/>
      </c>
      <c r="AM176" s="8" t="str">
        <f t="shared" si="29"/>
        <v/>
      </c>
      <c r="AN176" s="8" t="str">
        <f t="shared" si="30"/>
        <v/>
      </c>
      <c r="AO176" s="12"/>
      <c r="AP176" s="12"/>
      <c r="AQ176" s="12"/>
      <c r="AR176" s="12"/>
      <c r="AS176" s="12"/>
      <c r="AT176" s="15"/>
      <c r="AU176" s="12"/>
      <c r="AV176" s="16"/>
      <c r="AW176" s="12"/>
      <c r="AX176" s="15"/>
      <c r="AY176" s="15"/>
      <c r="AZ176" s="15"/>
      <c r="BA176" s="15"/>
      <c r="BB176" s="15"/>
      <c r="BC176" s="15"/>
      <c r="BD176" s="15"/>
      <c r="BE176" s="15"/>
      <c r="BF176" s="15"/>
    </row>
    <row r="177" spans="1:58" ht="19.5" customHeight="1" x14ac:dyDescent="0.2">
      <c r="A177" s="8" t="str">
        <f>IF($B177="","",TEXT($B177,"yyyymmdd")&amp;"-"&amp;SUBSTITUTE($F177," ","")&amp;"-"&amp;TEXT(COUNTIF($F$4:F177,$F177),"00"))</f>
        <v/>
      </c>
      <c r="B177" s="9"/>
      <c r="C177" s="8" t="str">
        <f t="shared" si="24"/>
        <v/>
      </c>
      <c r="D177" s="8" t="str">
        <f t="shared" si="25"/>
        <v/>
      </c>
      <c r="E177" s="10"/>
      <c r="F177" s="10"/>
      <c r="G177" s="8" t="str">
        <f>IF(OR($E177="",$F177=""),"",IFERROR(IF($E177=INDEX(Cluster_Master!$A$4:$A$18,MATCH($F177,Cluster_Master!$B$4:$B$18,0)),"OK","CHECK"),"CHECK"))</f>
        <v/>
      </c>
      <c r="H177" s="11" t="str">
        <f>IFERROR(INDEX(Cluster_Master!$C$4:$C$18,MATCH($F177,Cluster_Master!$B$4:$B$18,0)),"")</f>
        <v/>
      </c>
      <c r="I177" s="8" t="str">
        <f>IFERROR(INDEX(Cluster_Master!$D$4:$D$18,MATCH($F177,Cluster_Master!$B$4:$B$18,0)),"")</f>
        <v/>
      </c>
      <c r="J177" s="8" t="str">
        <f>IFERROR(INDEX(Cluster_Master!$E$4:$E$18,MATCH($F177,Cluster_Master!$B$4:$B$18,0)),"")</f>
        <v/>
      </c>
      <c r="K177" s="8" t="str">
        <f>IFERROR(INDEX(Cluster_Master!$F$4:$F$18,MATCH($F177,Cluster_Master!$B$4:$B$18,0)),"")</f>
        <v/>
      </c>
      <c r="L177" s="8" t="str">
        <f>IFERROR(INDEX(Cluster_Master!$G$4:$G$18,MATCH($F177,Cluster_Master!$B$4:$B$18,0)),"")</f>
        <v/>
      </c>
      <c r="M177" s="8" t="str">
        <f>IFERROR(INDEX(Cluster_Master!$H$4:$H$18,MATCH($F177,Cluster_Master!$B$4:$B$18,0)),"")</f>
        <v/>
      </c>
      <c r="N177" s="12"/>
      <c r="O177" s="12"/>
      <c r="P177" s="12"/>
      <c r="Q177" s="12"/>
      <c r="R177" s="12"/>
      <c r="S177" s="12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8" t="str">
        <f t="shared" si="26"/>
        <v/>
      </c>
      <c r="AJ177" s="14" t="str">
        <f t="shared" si="27"/>
        <v/>
      </c>
      <c r="AK177" s="14" t="str">
        <f>IF(COUNTA(T177:AH177)=0,"",(SUM(T177*KPI_Weights!$B$4,U177*KPI_Weights!$B$5,V177*KPI_Weights!$B$6,W177*KPI_Weights!$B$7,X177*KPI_Weights!$B$8,Y177*KPI_Weights!$B$9,Z177*KPI_Weights!$B$10,AA177*KPI_Weights!$B$11,AB177*KPI_Weights!$B$12,AC177*KPI_Weights!$B$13,AD177*KPI_Weights!$B$14,AE177*KPI_Weights!$B$15,AF177*KPI_Weights!$B$16,AG177*KPI_Weights!$B$17,AH177*KPI_Weights!$B$18))/5)</f>
        <v/>
      </c>
      <c r="AL177" s="8" t="str">
        <f t="shared" si="28"/>
        <v/>
      </c>
      <c r="AM177" s="8" t="str">
        <f t="shared" si="29"/>
        <v/>
      </c>
      <c r="AN177" s="8" t="str">
        <f t="shared" si="30"/>
        <v/>
      </c>
      <c r="AO177" s="12"/>
      <c r="AP177" s="12"/>
      <c r="AQ177" s="12"/>
      <c r="AR177" s="12"/>
      <c r="AS177" s="12"/>
      <c r="AT177" s="15"/>
      <c r="AU177" s="12"/>
      <c r="AV177" s="16"/>
      <c r="AW177" s="12"/>
      <c r="AX177" s="15"/>
      <c r="AY177" s="15"/>
      <c r="AZ177" s="15"/>
      <c r="BA177" s="15"/>
      <c r="BB177" s="15"/>
      <c r="BC177" s="15"/>
      <c r="BD177" s="15"/>
      <c r="BE177" s="15"/>
      <c r="BF177" s="15"/>
    </row>
    <row r="178" spans="1:58" ht="19.5" customHeight="1" x14ac:dyDescent="0.2">
      <c r="A178" s="8" t="str">
        <f>IF($B178="","",TEXT($B178,"yyyymmdd")&amp;"-"&amp;SUBSTITUTE($F178," ","")&amp;"-"&amp;TEXT(COUNTIF($F$4:F178,$F178),"00"))</f>
        <v/>
      </c>
      <c r="B178" s="9"/>
      <c r="C178" s="8" t="str">
        <f t="shared" si="24"/>
        <v/>
      </c>
      <c r="D178" s="8" t="str">
        <f t="shared" si="25"/>
        <v/>
      </c>
      <c r="E178" s="10"/>
      <c r="F178" s="10"/>
      <c r="G178" s="8" t="str">
        <f>IF(OR($E178="",$F178=""),"",IFERROR(IF($E178=INDEX(Cluster_Master!$A$4:$A$18,MATCH($F178,Cluster_Master!$B$4:$B$18,0)),"OK","CHECK"),"CHECK"))</f>
        <v/>
      </c>
      <c r="H178" s="11" t="str">
        <f>IFERROR(INDEX(Cluster_Master!$C$4:$C$18,MATCH($F178,Cluster_Master!$B$4:$B$18,0)),"")</f>
        <v/>
      </c>
      <c r="I178" s="8" t="str">
        <f>IFERROR(INDEX(Cluster_Master!$D$4:$D$18,MATCH($F178,Cluster_Master!$B$4:$B$18,0)),"")</f>
        <v/>
      </c>
      <c r="J178" s="8" t="str">
        <f>IFERROR(INDEX(Cluster_Master!$E$4:$E$18,MATCH($F178,Cluster_Master!$B$4:$B$18,0)),"")</f>
        <v/>
      </c>
      <c r="K178" s="8" t="str">
        <f>IFERROR(INDEX(Cluster_Master!$F$4:$F$18,MATCH($F178,Cluster_Master!$B$4:$B$18,0)),"")</f>
        <v/>
      </c>
      <c r="L178" s="8" t="str">
        <f>IFERROR(INDEX(Cluster_Master!$G$4:$G$18,MATCH($F178,Cluster_Master!$B$4:$B$18,0)),"")</f>
        <v/>
      </c>
      <c r="M178" s="8" t="str">
        <f>IFERROR(INDEX(Cluster_Master!$H$4:$H$18,MATCH($F178,Cluster_Master!$B$4:$B$18,0)),"")</f>
        <v/>
      </c>
      <c r="N178" s="12"/>
      <c r="O178" s="12"/>
      <c r="P178" s="12"/>
      <c r="Q178" s="12"/>
      <c r="R178" s="12"/>
      <c r="S178" s="12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8" t="str">
        <f t="shared" si="26"/>
        <v/>
      </c>
      <c r="AJ178" s="14" t="str">
        <f t="shared" si="27"/>
        <v/>
      </c>
      <c r="AK178" s="14" t="str">
        <f>IF(COUNTA(T178:AH178)=0,"",(SUM(T178*KPI_Weights!$B$4,U178*KPI_Weights!$B$5,V178*KPI_Weights!$B$6,W178*KPI_Weights!$B$7,X178*KPI_Weights!$B$8,Y178*KPI_Weights!$B$9,Z178*KPI_Weights!$B$10,AA178*KPI_Weights!$B$11,AB178*KPI_Weights!$B$12,AC178*KPI_Weights!$B$13,AD178*KPI_Weights!$B$14,AE178*KPI_Weights!$B$15,AF178*KPI_Weights!$B$16,AG178*KPI_Weights!$B$17,AH178*KPI_Weights!$B$18))/5)</f>
        <v/>
      </c>
      <c r="AL178" s="8" t="str">
        <f t="shared" si="28"/>
        <v/>
      </c>
      <c r="AM178" s="8" t="str">
        <f t="shared" si="29"/>
        <v/>
      </c>
      <c r="AN178" s="8" t="str">
        <f t="shared" si="30"/>
        <v/>
      </c>
      <c r="AO178" s="12"/>
      <c r="AP178" s="12"/>
      <c r="AQ178" s="12"/>
      <c r="AR178" s="12"/>
      <c r="AS178" s="12"/>
      <c r="AT178" s="15"/>
      <c r="AU178" s="12"/>
      <c r="AV178" s="16"/>
      <c r="AW178" s="12"/>
      <c r="AX178" s="15"/>
      <c r="AY178" s="15"/>
      <c r="AZ178" s="15"/>
      <c r="BA178" s="15"/>
      <c r="BB178" s="15"/>
      <c r="BC178" s="15"/>
      <c r="BD178" s="15"/>
      <c r="BE178" s="15"/>
      <c r="BF178" s="15"/>
    </row>
    <row r="179" spans="1:58" ht="19.5" customHeight="1" x14ac:dyDescent="0.2">
      <c r="A179" s="8" t="str">
        <f>IF($B179="","",TEXT($B179,"yyyymmdd")&amp;"-"&amp;SUBSTITUTE($F179," ","")&amp;"-"&amp;TEXT(COUNTIF($F$4:F179,$F179),"00"))</f>
        <v/>
      </c>
      <c r="B179" s="9"/>
      <c r="C179" s="8" t="str">
        <f t="shared" si="24"/>
        <v/>
      </c>
      <c r="D179" s="8" t="str">
        <f t="shared" si="25"/>
        <v/>
      </c>
      <c r="E179" s="10"/>
      <c r="F179" s="10"/>
      <c r="G179" s="8" t="str">
        <f>IF(OR($E179="",$F179=""),"",IFERROR(IF($E179=INDEX(Cluster_Master!$A$4:$A$18,MATCH($F179,Cluster_Master!$B$4:$B$18,0)),"OK","CHECK"),"CHECK"))</f>
        <v/>
      </c>
      <c r="H179" s="11" t="str">
        <f>IFERROR(INDEX(Cluster_Master!$C$4:$C$18,MATCH($F179,Cluster_Master!$B$4:$B$18,0)),"")</f>
        <v/>
      </c>
      <c r="I179" s="8" t="str">
        <f>IFERROR(INDEX(Cluster_Master!$D$4:$D$18,MATCH($F179,Cluster_Master!$B$4:$B$18,0)),"")</f>
        <v/>
      </c>
      <c r="J179" s="8" t="str">
        <f>IFERROR(INDEX(Cluster_Master!$E$4:$E$18,MATCH($F179,Cluster_Master!$B$4:$B$18,0)),"")</f>
        <v/>
      </c>
      <c r="K179" s="8" t="str">
        <f>IFERROR(INDEX(Cluster_Master!$F$4:$F$18,MATCH($F179,Cluster_Master!$B$4:$B$18,0)),"")</f>
        <v/>
      </c>
      <c r="L179" s="8" t="str">
        <f>IFERROR(INDEX(Cluster_Master!$G$4:$G$18,MATCH($F179,Cluster_Master!$B$4:$B$18,0)),"")</f>
        <v/>
      </c>
      <c r="M179" s="8" t="str">
        <f>IFERROR(INDEX(Cluster_Master!$H$4:$H$18,MATCH($F179,Cluster_Master!$B$4:$B$18,0)),"")</f>
        <v/>
      </c>
      <c r="N179" s="12"/>
      <c r="O179" s="12"/>
      <c r="P179" s="12"/>
      <c r="Q179" s="12"/>
      <c r="R179" s="12"/>
      <c r="S179" s="12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8" t="str">
        <f t="shared" si="26"/>
        <v/>
      </c>
      <c r="AJ179" s="14" t="str">
        <f t="shared" si="27"/>
        <v/>
      </c>
      <c r="AK179" s="14" t="str">
        <f>IF(COUNTA(T179:AH179)=0,"",(SUM(T179*KPI_Weights!$B$4,U179*KPI_Weights!$B$5,V179*KPI_Weights!$B$6,W179*KPI_Weights!$B$7,X179*KPI_Weights!$B$8,Y179*KPI_Weights!$B$9,Z179*KPI_Weights!$B$10,AA179*KPI_Weights!$B$11,AB179*KPI_Weights!$B$12,AC179*KPI_Weights!$B$13,AD179*KPI_Weights!$B$14,AE179*KPI_Weights!$B$15,AF179*KPI_Weights!$B$16,AG179*KPI_Weights!$B$17,AH179*KPI_Weights!$B$18))/5)</f>
        <v/>
      </c>
      <c r="AL179" s="8" t="str">
        <f t="shared" si="28"/>
        <v/>
      </c>
      <c r="AM179" s="8" t="str">
        <f t="shared" si="29"/>
        <v/>
      </c>
      <c r="AN179" s="8" t="str">
        <f t="shared" si="30"/>
        <v/>
      </c>
      <c r="AO179" s="12"/>
      <c r="AP179" s="12"/>
      <c r="AQ179" s="12"/>
      <c r="AR179" s="12"/>
      <c r="AS179" s="12"/>
      <c r="AT179" s="15"/>
      <c r="AU179" s="12"/>
      <c r="AV179" s="16"/>
      <c r="AW179" s="12"/>
      <c r="AX179" s="15"/>
      <c r="AY179" s="15"/>
      <c r="AZ179" s="15"/>
      <c r="BA179" s="15"/>
      <c r="BB179" s="15"/>
      <c r="BC179" s="15"/>
      <c r="BD179" s="15"/>
      <c r="BE179" s="15"/>
      <c r="BF179" s="15"/>
    </row>
    <row r="180" spans="1:58" ht="19.5" customHeight="1" x14ac:dyDescent="0.2">
      <c r="A180" s="8" t="str">
        <f>IF($B180="","",TEXT($B180,"yyyymmdd")&amp;"-"&amp;SUBSTITUTE($F180," ","")&amp;"-"&amp;TEXT(COUNTIF($F$4:F180,$F180),"00"))</f>
        <v/>
      </c>
      <c r="B180" s="9"/>
      <c r="C180" s="8" t="str">
        <f t="shared" si="24"/>
        <v/>
      </c>
      <c r="D180" s="8" t="str">
        <f t="shared" si="25"/>
        <v/>
      </c>
      <c r="E180" s="10"/>
      <c r="F180" s="10"/>
      <c r="G180" s="8" t="str">
        <f>IF(OR($E180="",$F180=""),"",IFERROR(IF($E180=INDEX(Cluster_Master!$A$4:$A$18,MATCH($F180,Cluster_Master!$B$4:$B$18,0)),"OK","CHECK"),"CHECK"))</f>
        <v/>
      </c>
      <c r="H180" s="11" t="str">
        <f>IFERROR(INDEX(Cluster_Master!$C$4:$C$18,MATCH($F180,Cluster_Master!$B$4:$B$18,0)),"")</f>
        <v/>
      </c>
      <c r="I180" s="8" t="str">
        <f>IFERROR(INDEX(Cluster_Master!$D$4:$D$18,MATCH($F180,Cluster_Master!$B$4:$B$18,0)),"")</f>
        <v/>
      </c>
      <c r="J180" s="8" t="str">
        <f>IFERROR(INDEX(Cluster_Master!$E$4:$E$18,MATCH($F180,Cluster_Master!$B$4:$B$18,0)),"")</f>
        <v/>
      </c>
      <c r="K180" s="8" t="str">
        <f>IFERROR(INDEX(Cluster_Master!$F$4:$F$18,MATCH($F180,Cluster_Master!$B$4:$B$18,0)),"")</f>
        <v/>
      </c>
      <c r="L180" s="8" t="str">
        <f>IFERROR(INDEX(Cluster_Master!$G$4:$G$18,MATCH($F180,Cluster_Master!$B$4:$B$18,0)),"")</f>
        <v/>
      </c>
      <c r="M180" s="8" t="str">
        <f>IFERROR(INDEX(Cluster_Master!$H$4:$H$18,MATCH($F180,Cluster_Master!$B$4:$B$18,0)),"")</f>
        <v/>
      </c>
      <c r="N180" s="12"/>
      <c r="O180" s="12"/>
      <c r="P180" s="12"/>
      <c r="Q180" s="12"/>
      <c r="R180" s="12"/>
      <c r="S180" s="12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8" t="str">
        <f t="shared" si="26"/>
        <v/>
      </c>
      <c r="AJ180" s="14" t="str">
        <f t="shared" si="27"/>
        <v/>
      </c>
      <c r="AK180" s="14" t="str">
        <f>IF(COUNTA(T180:AH180)=0,"",(SUM(T180*KPI_Weights!$B$4,U180*KPI_Weights!$B$5,V180*KPI_Weights!$B$6,W180*KPI_Weights!$B$7,X180*KPI_Weights!$B$8,Y180*KPI_Weights!$B$9,Z180*KPI_Weights!$B$10,AA180*KPI_Weights!$B$11,AB180*KPI_Weights!$B$12,AC180*KPI_Weights!$B$13,AD180*KPI_Weights!$B$14,AE180*KPI_Weights!$B$15,AF180*KPI_Weights!$B$16,AG180*KPI_Weights!$B$17,AH180*KPI_Weights!$B$18))/5)</f>
        <v/>
      </c>
      <c r="AL180" s="8" t="str">
        <f t="shared" si="28"/>
        <v/>
      </c>
      <c r="AM180" s="8" t="str">
        <f t="shared" si="29"/>
        <v/>
      </c>
      <c r="AN180" s="8" t="str">
        <f t="shared" si="30"/>
        <v/>
      </c>
      <c r="AO180" s="12"/>
      <c r="AP180" s="12"/>
      <c r="AQ180" s="12"/>
      <c r="AR180" s="12"/>
      <c r="AS180" s="12"/>
      <c r="AT180" s="15"/>
      <c r="AU180" s="12"/>
      <c r="AV180" s="16"/>
      <c r="AW180" s="12"/>
      <c r="AX180" s="15"/>
      <c r="AY180" s="15"/>
      <c r="AZ180" s="15"/>
      <c r="BA180" s="15"/>
      <c r="BB180" s="15"/>
      <c r="BC180" s="15"/>
      <c r="BD180" s="15"/>
      <c r="BE180" s="15"/>
      <c r="BF180" s="15"/>
    </row>
    <row r="181" spans="1:58" ht="19.5" customHeight="1" x14ac:dyDescent="0.2">
      <c r="A181" s="8" t="str">
        <f>IF($B181="","",TEXT($B181,"yyyymmdd")&amp;"-"&amp;SUBSTITUTE($F181," ","")&amp;"-"&amp;TEXT(COUNTIF($F$4:F181,$F181),"00"))</f>
        <v/>
      </c>
      <c r="B181" s="9"/>
      <c r="C181" s="8" t="str">
        <f t="shared" si="24"/>
        <v/>
      </c>
      <c r="D181" s="8" t="str">
        <f t="shared" si="25"/>
        <v/>
      </c>
      <c r="E181" s="10"/>
      <c r="F181" s="10"/>
      <c r="G181" s="8" t="str">
        <f>IF(OR($E181="",$F181=""),"",IFERROR(IF($E181=INDEX(Cluster_Master!$A$4:$A$18,MATCH($F181,Cluster_Master!$B$4:$B$18,0)),"OK","CHECK"),"CHECK"))</f>
        <v/>
      </c>
      <c r="H181" s="11" t="str">
        <f>IFERROR(INDEX(Cluster_Master!$C$4:$C$18,MATCH($F181,Cluster_Master!$B$4:$B$18,0)),"")</f>
        <v/>
      </c>
      <c r="I181" s="8" t="str">
        <f>IFERROR(INDEX(Cluster_Master!$D$4:$D$18,MATCH($F181,Cluster_Master!$B$4:$B$18,0)),"")</f>
        <v/>
      </c>
      <c r="J181" s="8" t="str">
        <f>IFERROR(INDEX(Cluster_Master!$E$4:$E$18,MATCH($F181,Cluster_Master!$B$4:$B$18,0)),"")</f>
        <v/>
      </c>
      <c r="K181" s="8" t="str">
        <f>IFERROR(INDEX(Cluster_Master!$F$4:$F$18,MATCH($F181,Cluster_Master!$B$4:$B$18,0)),"")</f>
        <v/>
      </c>
      <c r="L181" s="8" t="str">
        <f>IFERROR(INDEX(Cluster_Master!$G$4:$G$18,MATCH($F181,Cluster_Master!$B$4:$B$18,0)),"")</f>
        <v/>
      </c>
      <c r="M181" s="8" t="str">
        <f>IFERROR(INDEX(Cluster_Master!$H$4:$H$18,MATCH($F181,Cluster_Master!$B$4:$B$18,0)),"")</f>
        <v/>
      </c>
      <c r="N181" s="12"/>
      <c r="O181" s="12"/>
      <c r="P181" s="12"/>
      <c r="Q181" s="12"/>
      <c r="R181" s="12"/>
      <c r="S181" s="12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8" t="str">
        <f t="shared" si="26"/>
        <v/>
      </c>
      <c r="AJ181" s="14" t="str">
        <f t="shared" si="27"/>
        <v/>
      </c>
      <c r="AK181" s="14" t="str">
        <f>IF(COUNTA(T181:AH181)=0,"",(SUM(T181*KPI_Weights!$B$4,U181*KPI_Weights!$B$5,V181*KPI_Weights!$B$6,W181*KPI_Weights!$B$7,X181*KPI_Weights!$B$8,Y181*KPI_Weights!$B$9,Z181*KPI_Weights!$B$10,AA181*KPI_Weights!$B$11,AB181*KPI_Weights!$B$12,AC181*KPI_Weights!$B$13,AD181*KPI_Weights!$B$14,AE181*KPI_Weights!$B$15,AF181*KPI_Weights!$B$16,AG181*KPI_Weights!$B$17,AH181*KPI_Weights!$B$18))/5)</f>
        <v/>
      </c>
      <c r="AL181" s="8" t="str">
        <f t="shared" si="28"/>
        <v/>
      </c>
      <c r="AM181" s="8" t="str">
        <f t="shared" si="29"/>
        <v/>
      </c>
      <c r="AN181" s="8" t="str">
        <f t="shared" si="30"/>
        <v/>
      </c>
      <c r="AO181" s="12"/>
      <c r="AP181" s="12"/>
      <c r="AQ181" s="12"/>
      <c r="AR181" s="12"/>
      <c r="AS181" s="12"/>
      <c r="AT181" s="15"/>
      <c r="AU181" s="12"/>
      <c r="AV181" s="16"/>
      <c r="AW181" s="12"/>
      <c r="AX181" s="15"/>
      <c r="AY181" s="15"/>
      <c r="AZ181" s="15"/>
      <c r="BA181" s="15"/>
      <c r="BB181" s="15"/>
      <c r="BC181" s="15"/>
      <c r="BD181" s="15"/>
      <c r="BE181" s="15"/>
      <c r="BF181" s="15"/>
    </row>
    <row r="182" spans="1:58" ht="19.5" customHeight="1" x14ac:dyDescent="0.2">
      <c r="A182" s="8" t="str">
        <f>IF($B182="","",TEXT($B182,"yyyymmdd")&amp;"-"&amp;SUBSTITUTE($F182," ","")&amp;"-"&amp;TEXT(COUNTIF($F$4:F182,$F182),"00"))</f>
        <v/>
      </c>
      <c r="B182" s="9"/>
      <c r="C182" s="8" t="str">
        <f t="shared" si="24"/>
        <v/>
      </c>
      <c r="D182" s="8" t="str">
        <f t="shared" si="25"/>
        <v/>
      </c>
      <c r="E182" s="10"/>
      <c r="F182" s="10"/>
      <c r="G182" s="8" t="str">
        <f>IF(OR($E182="",$F182=""),"",IFERROR(IF($E182=INDEX(Cluster_Master!$A$4:$A$18,MATCH($F182,Cluster_Master!$B$4:$B$18,0)),"OK","CHECK"),"CHECK"))</f>
        <v/>
      </c>
      <c r="H182" s="11" t="str">
        <f>IFERROR(INDEX(Cluster_Master!$C$4:$C$18,MATCH($F182,Cluster_Master!$B$4:$B$18,0)),"")</f>
        <v/>
      </c>
      <c r="I182" s="8" t="str">
        <f>IFERROR(INDEX(Cluster_Master!$D$4:$D$18,MATCH($F182,Cluster_Master!$B$4:$B$18,0)),"")</f>
        <v/>
      </c>
      <c r="J182" s="8" t="str">
        <f>IFERROR(INDEX(Cluster_Master!$E$4:$E$18,MATCH($F182,Cluster_Master!$B$4:$B$18,0)),"")</f>
        <v/>
      </c>
      <c r="K182" s="8" t="str">
        <f>IFERROR(INDEX(Cluster_Master!$F$4:$F$18,MATCH($F182,Cluster_Master!$B$4:$B$18,0)),"")</f>
        <v/>
      </c>
      <c r="L182" s="8" t="str">
        <f>IFERROR(INDEX(Cluster_Master!$G$4:$G$18,MATCH($F182,Cluster_Master!$B$4:$B$18,0)),"")</f>
        <v/>
      </c>
      <c r="M182" s="8" t="str">
        <f>IFERROR(INDEX(Cluster_Master!$H$4:$H$18,MATCH($F182,Cluster_Master!$B$4:$B$18,0)),"")</f>
        <v/>
      </c>
      <c r="N182" s="12"/>
      <c r="O182" s="12"/>
      <c r="P182" s="12"/>
      <c r="Q182" s="12"/>
      <c r="R182" s="12"/>
      <c r="S182" s="12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8" t="str">
        <f t="shared" si="26"/>
        <v/>
      </c>
      <c r="AJ182" s="14" t="str">
        <f t="shared" si="27"/>
        <v/>
      </c>
      <c r="AK182" s="14" t="str">
        <f>IF(COUNTA(T182:AH182)=0,"",(SUM(T182*KPI_Weights!$B$4,U182*KPI_Weights!$B$5,V182*KPI_Weights!$B$6,W182*KPI_Weights!$B$7,X182*KPI_Weights!$B$8,Y182*KPI_Weights!$B$9,Z182*KPI_Weights!$B$10,AA182*KPI_Weights!$B$11,AB182*KPI_Weights!$B$12,AC182*KPI_Weights!$B$13,AD182*KPI_Weights!$B$14,AE182*KPI_Weights!$B$15,AF182*KPI_Weights!$B$16,AG182*KPI_Weights!$B$17,AH182*KPI_Weights!$B$18))/5)</f>
        <v/>
      </c>
      <c r="AL182" s="8" t="str">
        <f t="shared" si="28"/>
        <v/>
      </c>
      <c r="AM182" s="8" t="str">
        <f t="shared" si="29"/>
        <v/>
      </c>
      <c r="AN182" s="8" t="str">
        <f t="shared" si="30"/>
        <v/>
      </c>
      <c r="AO182" s="12"/>
      <c r="AP182" s="12"/>
      <c r="AQ182" s="12"/>
      <c r="AR182" s="12"/>
      <c r="AS182" s="12"/>
      <c r="AT182" s="15"/>
      <c r="AU182" s="12"/>
      <c r="AV182" s="16"/>
      <c r="AW182" s="12"/>
      <c r="AX182" s="15"/>
      <c r="AY182" s="15"/>
      <c r="AZ182" s="15"/>
      <c r="BA182" s="15"/>
      <c r="BB182" s="15"/>
      <c r="BC182" s="15"/>
      <c r="BD182" s="15"/>
      <c r="BE182" s="15"/>
      <c r="BF182" s="15"/>
    </row>
    <row r="183" spans="1:58" ht="19.5" customHeight="1" x14ac:dyDescent="0.2">
      <c r="A183" s="8" t="str">
        <f>IF($B183="","",TEXT($B183,"yyyymmdd")&amp;"-"&amp;SUBSTITUTE($F183," ","")&amp;"-"&amp;TEXT(COUNTIF($F$4:F183,$F183),"00"))</f>
        <v/>
      </c>
      <c r="B183" s="9"/>
      <c r="C183" s="8" t="str">
        <f t="shared" si="24"/>
        <v/>
      </c>
      <c r="D183" s="8" t="str">
        <f t="shared" si="25"/>
        <v/>
      </c>
      <c r="E183" s="10"/>
      <c r="F183" s="10"/>
      <c r="G183" s="8" t="str">
        <f>IF(OR($E183="",$F183=""),"",IFERROR(IF($E183=INDEX(Cluster_Master!$A$4:$A$18,MATCH($F183,Cluster_Master!$B$4:$B$18,0)),"OK","CHECK"),"CHECK"))</f>
        <v/>
      </c>
      <c r="H183" s="11" t="str">
        <f>IFERROR(INDEX(Cluster_Master!$C$4:$C$18,MATCH($F183,Cluster_Master!$B$4:$B$18,0)),"")</f>
        <v/>
      </c>
      <c r="I183" s="8" t="str">
        <f>IFERROR(INDEX(Cluster_Master!$D$4:$D$18,MATCH($F183,Cluster_Master!$B$4:$B$18,0)),"")</f>
        <v/>
      </c>
      <c r="J183" s="8" t="str">
        <f>IFERROR(INDEX(Cluster_Master!$E$4:$E$18,MATCH($F183,Cluster_Master!$B$4:$B$18,0)),"")</f>
        <v/>
      </c>
      <c r="K183" s="8" t="str">
        <f>IFERROR(INDEX(Cluster_Master!$F$4:$F$18,MATCH($F183,Cluster_Master!$B$4:$B$18,0)),"")</f>
        <v/>
      </c>
      <c r="L183" s="8" t="str">
        <f>IFERROR(INDEX(Cluster_Master!$G$4:$G$18,MATCH($F183,Cluster_Master!$B$4:$B$18,0)),"")</f>
        <v/>
      </c>
      <c r="M183" s="8" t="str">
        <f>IFERROR(INDEX(Cluster_Master!$H$4:$H$18,MATCH($F183,Cluster_Master!$B$4:$B$18,0)),"")</f>
        <v/>
      </c>
      <c r="N183" s="12"/>
      <c r="O183" s="12"/>
      <c r="P183" s="12"/>
      <c r="Q183" s="12"/>
      <c r="R183" s="12"/>
      <c r="S183" s="12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8" t="str">
        <f t="shared" si="26"/>
        <v/>
      </c>
      <c r="AJ183" s="14" t="str">
        <f t="shared" si="27"/>
        <v/>
      </c>
      <c r="AK183" s="14" t="str">
        <f>IF(COUNTA(T183:AH183)=0,"",(SUM(T183*KPI_Weights!$B$4,U183*KPI_Weights!$B$5,V183*KPI_Weights!$B$6,W183*KPI_Weights!$B$7,X183*KPI_Weights!$B$8,Y183*KPI_Weights!$B$9,Z183*KPI_Weights!$B$10,AA183*KPI_Weights!$B$11,AB183*KPI_Weights!$B$12,AC183*KPI_Weights!$B$13,AD183*KPI_Weights!$B$14,AE183*KPI_Weights!$B$15,AF183*KPI_Weights!$B$16,AG183*KPI_Weights!$B$17,AH183*KPI_Weights!$B$18))/5)</f>
        <v/>
      </c>
      <c r="AL183" s="8" t="str">
        <f t="shared" si="28"/>
        <v/>
      </c>
      <c r="AM183" s="8" t="str">
        <f t="shared" si="29"/>
        <v/>
      </c>
      <c r="AN183" s="8" t="str">
        <f t="shared" si="30"/>
        <v/>
      </c>
      <c r="AO183" s="12"/>
      <c r="AP183" s="12"/>
      <c r="AQ183" s="12"/>
      <c r="AR183" s="12"/>
      <c r="AS183" s="12"/>
      <c r="AT183" s="15"/>
      <c r="AU183" s="12"/>
      <c r="AV183" s="16"/>
      <c r="AW183" s="12"/>
      <c r="AX183" s="15"/>
      <c r="AY183" s="15"/>
      <c r="AZ183" s="15"/>
      <c r="BA183" s="15"/>
      <c r="BB183" s="15"/>
      <c r="BC183" s="15"/>
      <c r="BD183" s="15"/>
      <c r="BE183" s="15"/>
      <c r="BF183" s="15"/>
    </row>
    <row r="184" spans="1:58" ht="19.5" customHeight="1" x14ac:dyDescent="0.2">
      <c r="A184" s="8" t="str">
        <f>IF($B184="","",TEXT($B184,"yyyymmdd")&amp;"-"&amp;SUBSTITUTE($F184," ","")&amp;"-"&amp;TEXT(COUNTIF($F$4:F184,$F184),"00"))</f>
        <v/>
      </c>
      <c r="B184" s="9"/>
      <c r="C184" s="8" t="str">
        <f t="shared" si="24"/>
        <v/>
      </c>
      <c r="D184" s="8" t="str">
        <f t="shared" si="25"/>
        <v/>
      </c>
      <c r="E184" s="10"/>
      <c r="F184" s="10"/>
      <c r="G184" s="8" t="str">
        <f>IF(OR($E184="",$F184=""),"",IFERROR(IF($E184=INDEX(Cluster_Master!$A$4:$A$18,MATCH($F184,Cluster_Master!$B$4:$B$18,0)),"OK","CHECK"),"CHECK"))</f>
        <v/>
      </c>
      <c r="H184" s="11" t="str">
        <f>IFERROR(INDEX(Cluster_Master!$C$4:$C$18,MATCH($F184,Cluster_Master!$B$4:$B$18,0)),"")</f>
        <v/>
      </c>
      <c r="I184" s="8" t="str">
        <f>IFERROR(INDEX(Cluster_Master!$D$4:$D$18,MATCH($F184,Cluster_Master!$B$4:$B$18,0)),"")</f>
        <v/>
      </c>
      <c r="J184" s="8" t="str">
        <f>IFERROR(INDEX(Cluster_Master!$E$4:$E$18,MATCH($F184,Cluster_Master!$B$4:$B$18,0)),"")</f>
        <v/>
      </c>
      <c r="K184" s="8" t="str">
        <f>IFERROR(INDEX(Cluster_Master!$F$4:$F$18,MATCH($F184,Cluster_Master!$B$4:$B$18,0)),"")</f>
        <v/>
      </c>
      <c r="L184" s="8" t="str">
        <f>IFERROR(INDEX(Cluster_Master!$G$4:$G$18,MATCH($F184,Cluster_Master!$B$4:$B$18,0)),"")</f>
        <v/>
      </c>
      <c r="M184" s="8" t="str">
        <f>IFERROR(INDEX(Cluster_Master!$H$4:$H$18,MATCH($F184,Cluster_Master!$B$4:$B$18,0)),"")</f>
        <v/>
      </c>
      <c r="N184" s="12"/>
      <c r="O184" s="12"/>
      <c r="P184" s="12"/>
      <c r="Q184" s="12"/>
      <c r="R184" s="12"/>
      <c r="S184" s="12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8" t="str">
        <f t="shared" si="26"/>
        <v/>
      </c>
      <c r="AJ184" s="14" t="str">
        <f t="shared" si="27"/>
        <v/>
      </c>
      <c r="AK184" s="14" t="str">
        <f>IF(COUNTA(T184:AH184)=0,"",(SUM(T184*KPI_Weights!$B$4,U184*KPI_Weights!$B$5,V184*KPI_Weights!$B$6,W184*KPI_Weights!$B$7,X184*KPI_Weights!$B$8,Y184*KPI_Weights!$B$9,Z184*KPI_Weights!$B$10,AA184*KPI_Weights!$B$11,AB184*KPI_Weights!$B$12,AC184*KPI_Weights!$B$13,AD184*KPI_Weights!$B$14,AE184*KPI_Weights!$B$15,AF184*KPI_Weights!$B$16,AG184*KPI_Weights!$B$17,AH184*KPI_Weights!$B$18))/5)</f>
        <v/>
      </c>
      <c r="AL184" s="8" t="str">
        <f t="shared" si="28"/>
        <v/>
      </c>
      <c r="AM184" s="8" t="str">
        <f t="shared" si="29"/>
        <v/>
      </c>
      <c r="AN184" s="8" t="str">
        <f t="shared" si="30"/>
        <v/>
      </c>
      <c r="AO184" s="12"/>
      <c r="AP184" s="12"/>
      <c r="AQ184" s="12"/>
      <c r="AR184" s="12"/>
      <c r="AS184" s="12"/>
      <c r="AT184" s="15"/>
      <c r="AU184" s="12"/>
      <c r="AV184" s="16"/>
      <c r="AW184" s="12"/>
      <c r="AX184" s="15"/>
      <c r="AY184" s="15"/>
      <c r="AZ184" s="15"/>
      <c r="BA184" s="15"/>
      <c r="BB184" s="15"/>
      <c r="BC184" s="15"/>
      <c r="BD184" s="15"/>
      <c r="BE184" s="15"/>
      <c r="BF184" s="15"/>
    </row>
    <row r="185" spans="1:58" ht="19.5" customHeight="1" x14ac:dyDescent="0.2">
      <c r="A185" s="8" t="str">
        <f>IF($B185="","",TEXT($B185,"yyyymmdd")&amp;"-"&amp;SUBSTITUTE($F185," ","")&amp;"-"&amp;TEXT(COUNTIF($F$4:F185,$F185),"00"))</f>
        <v/>
      </c>
      <c r="B185" s="9"/>
      <c r="C185" s="8" t="str">
        <f t="shared" si="24"/>
        <v/>
      </c>
      <c r="D185" s="8" t="str">
        <f t="shared" si="25"/>
        <v/>
      </c>
      <c r="E185" s="10"/>
      <c r="F185" s="10"/>
      <c r="G185" s="8" t="str">
        <f>IF(OR($E185="",$F185=""),"",IFERROR(IF($E185=INDEX(Cluster_Master!$A$4:$A$18,MATCH($F185,Cluster_Master!$B$4:$B$18,0)),"OK","CHECK"),"CHECK"))</f>
        <v/>
      </c>
      <c r="H185" s="11" t="str">
        <f>IFERROR(INDEX(Cluster_Master!$C$4:$C$18,MATCH($F185,Cluster_Master!$B$4:$B$18,0)),"")</f>
        <v/>
      </c>
      <c r="I185" s="8" t="str">
        <f>IFERROR(INDEX(Cluster_Master!$D$4:$D$18,MATCH($F185,Cluster_Master!$B$4:$B$18,0)),"")</f>
        <v/>
      </c>
      <c r="J185" s="8" t="str">
        <f>IFERROR(INDEX(Cluster_Master!$E$4:$E$18,MATCH($F185,Cluster_Master!$B$4:$B$18,0)),"")</f>
        <v/>
      </c>
      <c r="K185" s="8" t="str">
        <f>IFERROR(INDEX(Cluster_Master!$F$4:$F$18,MATCH($F185,Cluster_Master!$B$4:$B$18,0)),"")</f>
        <v/>
      </c>
      <c r="L185" s="8" t="str">
        <f>IFERROR(INDEX(Cluster_Master!$G$4:$G$18,MATCH($F185,Cluster_Master!$B$4:$B$18,0)),"")</f>
        <v/>
      </c>
      <c r="M185" s="8" t="str">
        <f>IFERROR(INDEX(Cluster_Master!$H$4:$H$18,MATCH($F185,Cluster_Master!$B$4:$B$18,0)),"")</f>
        <v/>
      </c>
      <c r="N185" s="12"/>
      <c r="O185" s="12"/>
      <c r="P185" s="12"/>
      <c r="Q185" s="12"/>
      <c r="R185" s="12"/>
      <c r="S185" s="12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8" t="str">
        <f t="shared" si="26"/>
        <v/>
      </c>
      <c r="AJ185" s="14" t="str">
        <f t="shared" si="27"/>
        <v/>
      </c>
      <c r="AK185" s="14" t="str">
        <f>IF(COUNTA(T185:AH185)=0,"",(SUM(T185*KPI_Weights!$B$4,U185*KPI_Weights!$B$5,V185*KPI_Weights!$B$6,W185*KPI_Weights!$B$7,X185*KPI_Weights!$B$8,Y185*KPI_Weights!$B$9,Z185*KPI_Weights!$B$10,AA185*KPI_Weights!$B$11,AB185*KPI_Weights!$B$12,AC185*KPI_Weights!$B$13,AD185*KPI_Weights!$B$14,AE185*KPI_Weights!$B$15,AF185*KPI_Weights!$B$16,AG185*KPI_Weights!$B$17,AH185*KPI_Weights!$B$18))/5)</f>
        <v/>
      </c>
      <c r="AL185" s="8" t="str">
        <f t="shared" si="28"/>
        <v/>
      </c>
      <c r="AM185" s="8" t="str">
        <f t="shared" si="29"/>
        <v/>
      </c>
      <c r="AN185" s="8" t="str">
        <f t="shared" si="30"/>
        <v/>
      </c>
      <c r="AO185" s="12"/>
      <c r="AP185" s="12"/>
      <c r="AQ185" s="12"/>
      <c r="AR185" s="12"/>
      <c r="AS185" s="12"/>
      <c r="AT185" s="15"/>
      <c r="AU185" s="12"/>
      <c r="AV185" s="16"/>
      <c r="AW185" s="12"/>
      <c r="AX185" s="15"/>
      <c r="AY185" s="15"/>
      <c r="AZ185" s="15"/>
      <c r="BA185" s="15"/>
      <c r="BB185" s="15"/>
      <c r="BC185" s="15"/>
      <c r="BD185" s="15"/>
      <c r="BE185" s="15"/>
      <c r="BF185" s="15"/>
    </row>
    <row r="186" spans="1:58" ht="19.5" customHeight="1" x14ac:dyDescent="0.2">
      <c r="A186" s="8" t="str">
        <f>IF($B186="","",TEXT($B186,"yyyymmdd")&amp;"-"&amp;SUBSTITUTE($F186," ","")&amp;"-"&amp;TEXT(COUNTIF($F$4:F186,$F186),"00"))</f>
        <v/>
      </c>
      <c r="B186" s="9"/>
      <c r="C186" s="8" t="str">
        <f t="shared" si="24"/>
        <v/>
      </c>
      <c r="D186" s="8" t="str">
        <f t="shared" si="25"/>
        <v/>
      </c>
      <c r="E186" s="10"/>
      <c r="F186" s="10"/>
      <c r="G186" s="8" t="str">
        <f>IF(OR($E186="",$F186=""),"",IFERROR(IF($E186=INDEX(Cluster_Master!$A$4:$A$18,MATCH($F186,Cluster_Master!$B$4:$B$18,0)),"OK","CHECK"),"CHECK"))</f>
        <v/>
      </c>
      <c r="H186" s="11" t="str">
        <f>IFERROR(INDEX(Cluster_Master!$C$4:$C$18,MATCH($F186,Cluster_Master!$B$4:$B$18,0)),"")</f>
        <v/>
      </c>
      <c r="I186" s="8" t="str">
        <f>IFERROR(INDEX(Cluster_Master!$D$4:$D$18,MATCH($F186,Cluster_Master!$B$4:$B$18,0)),"")</f>
        <v/>
      </c>
      <c r="J186" s="8" t="str">
        <f>IFERROR(INDEX(Cluster_Master!$E$4:$E$18,MATCH($F186,Cluster_Master!$B$4:$B$18,0)),"")</f>
        <v/>
      </c>
      <c r="K186" s="8" t="str">
        <f>IFERROR(INDEX(Cluster_Master!$F$4:$F$18,MATCH($F186,Cluster_Master!$B$4:$B$18,0)),"")</f>
        <v/>
      </c>
      <c r="L186" s="8" t="str">
        <f>IFERROR(INDEX(Cluster_Master!$G$4:$G$18,MATCH($F186,Cluster_Master!$B$4:$B$18,0)),"")</f>
        <v/>
      </c>
      <c r="M186" s="8" t="str">
        <f>IFERROR(INDEX(Cluster_Master!$H$4:$H$18,MATCH($F186,Cluster_Master!$B$4:$B$18,0)),"")</f>
        <v/>
      </c>
      <c r="N186" s="12"/>
      <c r="O186" s="12"/>
      <c r="P186" s="12"/>
      <c r="Q186" s="12"/>
      <c r="R186" s="12"/>
      <c r="S186" s="12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8" t="str">
        <f t="shared" si="26"/>
        <v/>
      </c>
      <c r="AJ186" s="14" t="str">
        <f t="shared" si="27"/>
        <v/>
      </c>
      <c r="AK186" s="14" t="str">
        <f>IF(COUNTA(T186:AH186)=0,"",(SUM(T186*KPI_Weights!$B$4,U186*KPI_Weights!$B$5,V186*KPI_Weights!$B$6,W186*KPI_Weights!$B$7,X186*KPI_Weights!$B$8,Y186*KPI_Weights!$B$9,Z186*KPI_Weights!$B$10,AA186*KPI_Weights!$B$11,AB186*KPI_Weights!$B$12,AC186*KPI_Weights!$B$13,AD186*KPI_Weights!$B$14,AE186*KPI_Weights!$B$15,AF186*KPI_Weights!$B$16,AG186*KPI_Weights!$B$17,AH186*KPI_Weights!$B$18))/5)</f>
        <v/>
      </c>
      <c r="AL186" s="8" t="str">
        <f t="shared" si="28"/>
        <v/>
      </c>
      <c r="AM186" s="8" t="str">
        <f t="shared" si="29"/>
        <v/>
      </c>
      <c r="AN186" s="8" t="str">
        <f t="shared" si="30"/>
        <v/>
      </c>
      <c r="AO186" s="12"/>
      <c r="AP186" s="12"/>
      <c r="AQ186" s="12"/>
      <c r="AR186" s="12"/>
      <c r="AS186" s="12"/>
      <c r="AT186" s="15"/>
      <c r="AU186" s="12"/>
      <c r="AV186" s="16"/>
      <c r="AW186" s="12"/>
      <c r="AX186" s="15"/>
      <c r="AY186" s="15"/>
      <c r="AZ186" s="15"/>
      <c r="BA186" s="15"/>
      <c r="BB186" s="15"/>
      <c r="BC186" s="15"/>
      <c r="BD186" s="15"/>
      <c r="BE186" s="15"/>
      <c r="BF186" s="15"/>
    </row>
    <row r="187" spans="1:58" ht="19.5" customHeight="1" x14ac:dyDescent="0.2">
      <c r="A187" s="8" t="str">
        <f>IF($B187="","",TEXT($B187,"yyyymmdd")&amp;"-"&amp;SUBSTITUTE($F187," ","")&amp;"-"&amp;TEXT(COUNTIF($F$4:F187,$F187),"00"))</f>
        <v/>
      </c>
      <c r="B187" s="9"/>
      <c r="C187" s="8" t="str">
        <f t="shared" si="24"/>
        <v/>
      </c>
      <c r="D187" s="8" t="str">
        <f t="shared" si="25"/>
        <v/>
      </c>
      <c r="E187" s="10"/>
      <c r="F187" s="10"/>
      <c r="G187" s="8" t="str">
        <f>IF(OR($E187="",$F187=""),"",IFERROR(IF($E187=INDEX(Cluster_Master!$A$4:$A$18,MATCH($F187,Cluster_Master!$B$4:$B$18,0)),"OK","CHECK"),"CHECK"))</f>
        <v/>
      </c>
      <c r="H187" s="11" t="str">
        <f>IFERROR(INDEX(Cluster_Master!$C$4:$C$18,MATCH($F187,Cluster_Master!$B$4:$B$18,0)),"")</f>
        <v/>
      </c>
      <c r="I187" s="8" t="str">
        <f>IFERROR(INDEX(Cluster_Master!$D$4:$D$18,MATCH($F187,Cluster_Master!$B$4:$B$18,0)),"")</f>
        <v/>
      </c>
      <c r="J187" s="8" t="str">
        <f>IFERROR(INDEX(Cluster_Master!$E$4:$E$18,MATCH($F187,Cluster_Master!$B$4:$B$18,0)),"")</f>
        <v/>
      </c>
      <c r="K187" s="8" t="str">
        <f>IFERROR(INDEX(Cluster_Master!$F$4:$F$18,MATCH($F187,Cluster_Master!$B$4:$B$18,0)),"")</f>
        <v/>
      </c>
      <c r="L187" s="8" t="str">
        <f>IFERROR(INDEX(Cluster_Master!$G$4:$G$18,MATCH($F187,Cluster_Master!$B$4:$B$18,0)),"")</f>
        <v/>
      </c>
      <c r="M187" s="8" t="str">
        <f>IFERROR(INDEX(Cluster_Master!$H$4:$H$18,MATCH($F187,Cluster_Master!$B$4:$B$18,0)),"")</f>
        <v/>
      </c>
      <c r="N187" s="12"/>
      <c r="O187" s="12"/>
      <c r="P187" s="12"/>
      <c r="Q187" s="12"/>
      <c r="R187" s="12"/>
      <c r="S187" s="12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8" t="str">
        <f t="shared" si="26"/>
        <v/>
      </c>
      <c r="AJ187" s="14" t="str">
        <f t="shared" si="27"/>
        <v/>
      </c>
      <c r="AK187" s="14" t="str">
        <f>IF(COUNTA(T187:AH187)=0,"",(SUM(T187*KPI_Weights!$B$4,U187*KPI_Weights!$B$5,V187*KPI_Weights!$B$6,W187*KPI_Weights!$B$7,X187*KPI_Weights!$B$8,Y187*KPI_Weights!$B$9,Z187*KPI_Weights!$B$10,AA187*KPI_Weights!$B$11,AB187*KPI_Weights!$B$12,AC187*KPI_Weights!$B$13,AD187*KPI_Weights!$B$14,AE187*KPI_Weights!$B$15,AF187*KPI_Weights!$B$16,AG187*KPI_Weights!$B$17,AH187*KPI_Weights!$B$18))/5)</f>
        <v/>
      </c>
      <c r="AL187" s="8" t="str">
        <f t="shared" si="28"/>
        <v/>
      </c>
      <c r="AM187" s="8" t="str">
        <f t="shared" si="29"/>
        <v/>
      </c>
      <c r="AN187" s="8" t="str">
        <f t="shared" si="30"/>
        <v/>
      </c>
      <c r="AO187" s="12"/>
      <c r="AP187" s="12"/>
      <c r="AQ187" s="12"/>
      <c r="AR187" s="12"/>
      <c r="AS187" s="12"/>
      <c r="AT187" s="15"/>
      <c r="AU187" s="12"/>
      <c r="AV187" s="16"/>
      <c r="AW187" s="12"/>
      <c r="AX187" s="15"/>
      <c r="AY187" s="15"/>
      <c r="AZ187" s="15"/>
      <c r="BA187" s="15"/>
      <c r="BB187" s="15"/>
      <c r="BC187" s="15"/>
      <c r="BD187" s="15"/>
      <c r="BE187" s="15"/>
      <c r="BF187" s="15"/>
    </row>
    <row r="188" spans="1:58" ht="19.5" customHeight="1" x14ac:dyDescent="0.2">
      <c r="A188" s="8" t="str">
        <f>IF($B188="","",TEXT($B188,"yyyymmdd")&amp;"-"&amp;SUBSTITUTE($F188," ","")&amp;"-"&amp;TEXT(COUNTIF($F$4:F188,$F188),"00"))</f>
        <v/>
      </c>
      <c r="B188" s="9"/>
      <c r="C188" s="8" t="str">
        <f t="shared" si="24"/>
        <v/>
      </c>
      <c r="D188" s="8" t="str">
        <f t="shared" si="25"/>
        <v/>
      </c>
      <c r="E188" s="10"/>
      <c r="F188" s="10"/>
      <c r="G188" s="8" t="str">
        <f>IF(OR($E188="",$F188=""),"",IFERROR(IF($E188=INDEX(Cluster_Master!$A$4:$A$18,MATCH($F188,Cluster_Master!$B$4:$B$18,0)),"OK","CHECK"),"CHECK"))</f>
        <v/>
      </c>
      <c r="H188" s="11" t="str">
        <f>IFERROR(INDEX(Cluster_Master!$C$4:$C$18,MATCH($F188,Cluster_Master!$B$4:$B$18,0)),"")</f>
        <v/>
      </c>
      <c r="I188" s="8" t="str">
        <f>IFERROR(INDEX(Cluster_Master!$D$4:$D$18,MATCH($F188,Cluster_Master!$B$4:$B$18,0)),"")</f>
        <v/>
      </c>
      <c r="J188" s="8" t="str">
        <f>IFERROR(INDEX(Cluster_Master!$E$4:$E$18,MATCH($F188,Cluster_Master!$B$4:$B$18,0)),"")</f>
        <v/>
      </c>
      <c r="K188" s="8" t="str">
        <f>IFERROR(INDEX(Cluster_Master!$F$4:$F$18,MATCH($F188,Cluster_Master!$B$4:$B$18,0)),"")</f>
        <v/>
      </c>
      <c r="L188" s="8" t="str">
        <f>IFERROR(INDEX(Cluster_Master!$G$4:$G$18,MATCH($F188,Cluster_Master!$B$4:$B$18,0)),"")</f>
        <v/>
      </c>
      <c r="M188" s="8" t="str">
        <f>IFERROR(INDEX(Cluster_Master!$H$4:$H$18,MATCH($F188,Cluster_Master!$B$4:$B$18,0)),"")</f>
        <v/>
      </c>
      <c r="N188" s="12"/>
      <c r="O188" s="12"/>
      <c r="P188" s="12"/>
      <c r="Q188" s="12"/>
      <c r="R188" s="12"/>
      <c r="S188" s="12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8" t="str">
        <f t="shared" si="26"/>
        <v/>
      </c>
      <c r="AJ188" s="14" t="str">
        <f t="shared" si="27"/>
        <v/>
      </c>
      <c r="AK188" s="14" t="str">
        <f>IF(COUNTA(T188:AH188)=0,"",(SUM(T188*KPI_Weights!$B$4,U188*KPI_Weights!$B$5,V188*KPI_Weights!$B$6,W188*KPI_Weights!$B$7,X188*KPI_Weights!$B$8,Y188*KPI_Weights!$B$9,Z188*KPI_Weights!$B$10,AA188*KPI_Weights!$B$11,AB188*KPI_Weights!$B$12,AC188*KPI_Weights!$B$13,AD188*KPI_Weights!$B$14,AE188*KPI_Weights!$B$15,AF188*KPI_Weights!$B$16,AG188*KPI_Weights!$B$17,AH188*KPI_Weights!$B$18))/5)</f>
        <v/>
      </c>
      <c r="AL188" s="8" t="str">
        <f t="shared" si="28"/>
        <v/>
      </c>
      <c r="AM188" s="8" t="str">
        <f t="shared" si="29"/>
        <v/>
      </c>
      <c r="AN188" s="8" t="str">
        <f t="shared" si="30"/>
        <v/>
      </c>
      <c r="AO188" s="12"/>
      <c r="AP188" s="12"/>
      <c r="AQ188" s="12"/>
      <c r="AR188" s="12"/>
      <c r="AS188" s="12"/>
      <c r="AT188" s="15"/>
      <c r="AU188" s="12"/>
      <c r="AV188" s="16"/>
      <c r="AW188" s="12"/>
      <c r="AX188" s="15"/>
      <c r="AY188" s="15"/>
      <c r="AZ188" s="15"/>
      <c r="BA188" s="15"/>
      <c r="BB188" s="15"/>
      <c r="BC188" s="15"/>
      <c r="BD188" s="15"/>
      <c r="BE188" s="15"/>
      <c r="BF188" s="15"/>
    </row>
    <row r="189" spans="1:58" ht="19.5" customHeight="1" x14ac:dyDescent="0.2">
      <c r="A189" s="8" t="str">
        <f>IF($B189="","",TEXT($B189,"yyyymmdd")&amp;"-"&amp;SUBSTITUTE($F189," ","")&amp;"-"&amp;TEXT(COUNTIF($F$4:F189,$F189),"00"))</f>
        <v/>
      </c>
      <c r="B189" s="9"/>
      <c r="C189" s="8" t="str">
        <f t="shared" si="24"/>
        <v/>
      </c>
      <c r="D189" s="8" t="str">
        <f t="shared" si="25"/>
        <v/>
      </c>
      <c r="E189" s="10"/>
      <c r="F189" s="10"/>
      <c r="G189" s="8" t="str">
        <f>IF(OR($E189="",$F189=""),"",IFERROR(IF($E189=INDEX(Cluster_Master!$A$4:$A$18,MATCH($F189,Cluster_Master!$B$4:$B$18,0)),"OK","CHECK"),"CHECK"))</f>
        <v/>
      </c>
      <c r="H189" s="11" t="str">
        <f>IFERROR(INDEX(Cluster_Master!$C$4:$C$18,MATCH($F189,Cluster_Master!$B$4:$B$18,0)),"")</f>
        <v/>
      </c>
      <c r="I189" s="8" t="str">
        <f>IFERROR(INDEX(Cluster_Master!$D$4:$D$18,MATCH($F189,Cluster_Master!$B$4:$B$18,0)),"")</f>
        <v/>
      </c>
      <c r="J189" s="8" t="str">
        <f>IFERROR(INDEX(Cluster_Master!$E$4:$E$18,MATCH($F189,Cluster_Master!$B$4:$B$18,0)),"")</f>
        <v/>
      </c>
      <c r="K189" s="8" t="str">
        <f>IFERROR(INDEX(Cluster_Master!$F$4:$F$18,MATCH($F189,Cluster_Master!$B$4:$B$18,0)),"")</f>
        <v/>
      </c>
      <c r="L189" s="8" t="str">
        <f>IFERROR(INDEX(Cluster_Master!$G$4:$G$18,MATCH($F189,Cluster_Master!$B$4:$B$18,0)),"")</f>
        <v/>
      </c>
      <c r="M189" s="8" t="str">
        <f>IFERROR(INDEX(Cluster_Master!$H$4:$H$18,MATCH($F189,Cluster_Master!$B$4:$B$18,0)),"")</f>
        <v/>
      </c>
      <c r="N189" s="12"/>
      <c r="O189" s="12"/>
      <c r="P189" s="12"/>
      <c r="Q189" s="12"/>
      <c r="R189" s="12"/>
      <c r="S189" s="12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8" t="str">
        <f t="shared" si="26"/>
        <v/>
      </c>
      <c r="AJ189" s="14" t="str">
        <f t="shared" si="27"/>
        <v/>
      </c>
      <c r="AK189" s="14" t="str">
        <f>IF(COUNTA(T189:AH189)=0,"",(SUM(T189*KPI_Weights!$B$4,U189*KPI_Weights!$B$5,V189*KPI_Weights!$B$6,W189*KPI_Weights!$B$7,X189*KPI_Weights!$B$8,Y189*KPI_Weights!$B$9,Z189*KPI_Weights!$B$10,AA189*KPI_Weights!$B$11,AB189*KPI_Weights!$B$12,AC189*KPI_Weights!$B$13,AD189*KPI_Weights!$B$14,AE189*KPI_Weights!$B$15,AF189*KPI_Weights!$B$16,AG189*KPI_Weights!$B$17,AH189*KPI_Weights!$B$18))/5)</f>
        <v/>
      </c>
      <c r="AL189" s="8" t="str">
        <f t="shared" si="28"/>
        <v/>
      </c>
      <c r="AM189" s="8" t="str">
        <f t="shared" si="29"/>
        <v/>
      </c>
      <c r="AN189" s="8" t="str">
        <f t="shared" si="30"/>
        <v/>
      </c>
      <c r="AO189" s="12"/>
      <c r="AP189" s="12"/>
      <c r="AQ189" s="12"/>
      <c r="AR189" s="12"/>
      <c r="AS189" s="12"/>
      <c r="AT189" s="15"/>
      <c r="AU189" s="12"/>
      <c r="AV189" s="16"/>
      <c r="AW189" s="12"/>
      <c r="AX189" s="15"/>
      <c r="AY189" s="15"/>
      <c r="AZ189" s="15"/>
      <c r="BA189" s="15"/>
      <c r="BB189" s="15"/>
      <c r="BC189" s="15"/>
      <c r="BD189" s="15"/>
      <c r="BE189" s="15"/>
      <c r="BF189" s="15"/>
    </row>
    <row r="190" spans="1:58" ht="19.5" customHeight="1" x14ac:dyDescent="0.2">
      <c r="A190" s="8" t="str">
        <f>IF($B190="","",TEXT($B190,"yyyymmdd")&amp;"-"&amp;SUBSTITUTE($F190," ","")&amp;"-"&amp;TEXT(COUNTIF($F$4:F190,$F190),"00"))</f>
        <v/>
      </c>
      <c r="B190" s="9"/>
      <c r="C190" s="8" t="str">
        <f t="shared" si="24"/>
        <v/>
      </c>
      <c r="D190" s="8" t="str">
        <f t="shared" si="25"/>
        <v/>
      </c>
      <c r="E190" s="10"/>
      <c r="F190" s="10"/>
      <c r="G190" s="8" t="str">
        <f>IF(OR($E190="",$F190=""),"",IFERROR(IF($E190=INDEX(Cluster_Master!$A$4:$A$18,MATCH($F190,Cluster_Master!$B$4:$B$18,0)),"OK","CHECK"),"CHECK"))</f>
        <v/>
      </c>
      <c r="H190" s="11" t="str">
        <f>IFERROR(INDEX(Cluster_Master!$C$4:$C$18,MATCH($F190,Cluster_Master!$B$4:$B$18,0)),"")</f>
        <v/>
      </c>
      <c r="I190" s="8" t="str">
        <f>IFERROR(INDEX(Cluster_Master!$D$4:$D$18,MATCH($F190,Cluster_Master!$B$4:$B$18,0)),"")</f>
        <v/>
      </c>
      <c r="J190" s="8" t="str">
        <f>IFERROR(INDEX(Cluster_Master!$E$4:$E$18,MATCH($F190,Cluster_Master!$B$4:$B$18,0)),"")</f>
        <v/>
      </c>
      <c r="K190" s="8" t="str">
        <f>IFERROR(INDEX(Cluster_Master!$F$4:$F$18,MATCH($F190,Cluster_Master!$B$4:$B$18,0)),"")</f>
        <v/>
      </c>
      <c r="L190" s="8" t="str">
        <f>IFERROR(INDEX(Cluster_Master!$G$4:$G$18,MATCH($F190,Cluster_Master!$B$4:$B$18,0)),"")</f>
        <v/>
      </c>
      <c r="M190" s="8" t="str">
        <f>IFERROR(INDEX(Cluster_Master!$H$4:$H$18,MATCH($F190,Cluster_Master!$B$4:$B$18,0)),"")</f>
        <v/>
      </c>
      <c r="N190" s="12"/>
      <c r="O190" s="12"/>
      <c r="P190" s="12"/>
      <c r="Q190" s="12"/>
      <c r="R190" s="12"/>
      <c r="S190" s="12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8" t="str">
        <f t="shared" si="26"/>
        <v/>
      </c>
      <c r="AJ190" s="14" t="str">
        <f t="shared" si="27"/>
        <v/>
      </c>
      <c r="AK190" s="14" t="str">
        <f>IF(COUNTA(T190:AH190)=0,"",(SUM(T190*KPI_Weights!$B$4,U190*KPI_Weights!$B$5,V190*KPI_Weights!$B$6,W190*KPI_Weights!$B$7,X190*KPI_Weights!$B$8,Y190*KPI_Weights!$B$9,Z190*KPI_Weights!$B$10,AA190*KPI_Weights!$B$11,AB190*KPI_Weights!$B$12,AC190*KPI_Weights!$B$13,AD190*KPI_Weights!$B$14,AE190*KPI_Weights!$B$15,AF190*KPI_Weights!$B$16,AG190*KPI_Weights!$B$17,AH190*KPI_Weights!$B$18))/5)</f>
        <v/>
      </c>
      <c r="AL190" s="8" t="str">
        <f t="shared" si="28"/>
        <v/>
      </c>
      <c r="AM190" s="8" t="str">
        <f t="shared" si="29"/>
        <v/>
      </c>
      <c r="AN190" s="8" t="str">
        <f t="shared" si="30"/>
        <v/>
      </c>
      <c r="AO190" s="12"/>
      <c r="AP190" s="12"/>
      <c r="AQ190" s="12"/>
      <c r="AR190" s="12"/>
      <c r="AS190" s="12"/>
      <c r="AT190" s="15"/>
      <c r="AU190" s="12"/>
      <c r="AV190" s="16"/>
      <c r="AW190" s="12"/>
      <c r="AX190" s="15"/>
      <c r="AY190" s="15"/>
      <c r="AZ190" s="15"/>
      <c r="BA190" s="15"/>
      <c r="BB190" s="15"/>
      <c r="BC190" s="15"/>
      <c r="BD190" s="15"/>
      <c r="BE190" s="15"/>
      <c r="BF190" s="15"/>
    </row>
    <row r="191" spans="1:58" ht="19.5" customHeight="1" x14ac:dyDescent="0.2">
      <c r="A191" s="8" t="str">
        <f>IF($B191="","",TEXT($B191,"yyyymmdd")&amp;"-"&amp;SUBSTITUTE($F191," ","")&amp;"-"&amp;TEXT(COUNTIF($F$4:F191,$F191),"00"))</f>
        <v/>
      </c>
      <c r="B191" s="9"/>
      <c r="C191" s="8" t="str">
        <f t="shared" si="24"/>
        <v/>
      </c>
      <c r="D191" s="8" t="str">
        <f t="shared" si="25"/>
        <v/>
      </c>
      <c r="E191" s="10"/>
      <c r="F191" s="10"/>
      <c r="G191" s="8" t="str">
        <f>IF(OR($E191="",$F191=""),"",IFERROR(IF($E191=INDEX(Cluster_Master!$A$4:$A$18,MATCH($F191,Cluster_Master!$B$4:$B$18,0)),"OK","CHECK"),"CHECK"))</f>
        <v/>
      </c>
      <c r="H191" s="11" t="str">
        <f>IFERROR(INDEX(Cluster_Master!$C$4:$C$18,MATCH($F191,Cluster_Master!$B$4:$B$18,0)),"")</f>
        <v/>
      </c>
      <c r="I191" s="8" t="str">
        <f>IFERROR(INDEX(Cluster_Master!$D$4:$D$18,MATCH($F191,Cluster_Master!$B$4:$B$18,0)),"")</f>
        <v/>
      </c>
      <c r="J191" s="8" t="str">
        <f>IFERROR(INDEX(Cluster_Master!$E$4:$E$18,MATCH($F191,Cluster_Master!$B$4:$B$18,0)),"")</f>
        <v/>
      </c>
      <c r="K191" s="8" t="str">
        <f>IFERROR(INDEX(Cluster_Master!$F$4:$F$18,MATCH($F191,Cluster_Master!$B$4:$B$18,0)),"")</f>
        <v/>
      </c>
      <c r="L191" s="8" t="str">
        <f>IFERROR(INDEX(Cluster_Master!$G$4:$G$18,MATCH($F191,Cluster_Master!$B$4:$B$18,0)),"")</f>
        <v/>
      </c>
      <c r="M191" s="8" t="str">
        <f>IFERROR(INDEX(Cluster_Master!$H$4:$H$18,MATCH($F191,Cluster_Master!$B$4:$B$18,0)),"")</f>
        <v/>
      </c>
      <c r="N191" s="12"/>
      <c r="O191" s="12"/>
      <c r="P191" s="12"/>
      <c r="Q191" s="12"/>
      <c r="R191" s="12"/>
      <c r="S191" s="12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8" t="str">
        <f t="shared" si="26"/>
        <v/>
      </c>
      <c r="AJ191" s="14" t="str">
        <f t="shared" si="27"/>
        <v/>
      </c>
      <c r="AK191" s="14" t="str">
        <f>IF(COUNTA(T191:AH191)=0,"",(SUM(T191*KPI_Weights!$B$4,U191*KPI_Weights!$B$5,V191*KPI_Weights!$B$6,W191*KPI_Weights!$B$7,X191*KPI_Weights!$B$8,Y191*KPI_Weights!$B$9,Z191*KPI_Weights!$B$10,AA191*KPI_Weights!$B$11,AB191*KPI_Weights!$B$12,AC191*KPI_Weights!$B$13,AD191*KPI_Weights!$B$14,AE191*KPI_Weights!$B$15,AF191*KPI_Weights!$B$16,AG191*KPI_Weights!$B$17,AH191*KPI_Weights!$B$18))/5)</f>
        <v/>
      </c>
      <c r="AL191" s="8" t="str">
        <f t="shared" si="28"/>
        <v/>
      </c>
      <c r="AM191" s="8" t="str">
        <f t="shared" si="29"/>
        <v/>
      </c>
      <c r="AN191" s="8" t="str">
        <f t="shared" si="30"/>
        <v/>
      </c>
      <c r="AO191" s="12"/>
      <c r="AP191" s="12"/>
      <c r="AQ191" s="12"/>
      <c r="AR191" s="12"/>
      <c r="AS191" s="12"/>
      <c r="AT191" s="15"/>
      <c r="AU191" s="12"/>
      <c r="AV191" s="16"/>
      <c r="AW191" s="12"/>
      <c r="AX191" s="15"/>
      <c r="AY191" s="15"/>
      <c r="AZ191" s="15"/>
      <c r="BA191" s="15"/>
      <c r="BB191" s="15"/>
      <c r="BC191" s="15"/>
      <c r="BD191" s="15"/>
      <c r="BE191" s="15"/>
      <c r="BF191" s="15"/>
    </row>
    <row r="192" spans="1:58" ht="19.5" customHeight="1" x14ac:dyDescent="0.2">
      <c r="A192" s="8" t="str">
        <f>IF($B192="","",TEXT($B192,"yyyymmdd")&amp;"-"&amp;SUBSTITUTE($F192," ","")&amp;"-"&amp;TEXT(COUNTIF($F$4:F192,$F192),"00"))</f>
        <v/>
      </c>
      <c r="B192" s="9"/>
      <c r="C192" s="8" t="str">
        <f t="shared" ref="C192:C255" si="31">IF($B192="","",WEEKNUM($B192,2))</f>
        <v/>
      </c>
      <c r="D192" s="8" t="str">
        <f t="shared" ref="D192:D255" si="32">IF($B192="","",TEXT($B192,"yyyy-mm"))</f>
        <v/>
      </c>
      <c r="E192" s="10"/>
      <c r="F192" s="10"/>
      <c r="G192" s="8" t="str">
        <f>IF(OR($E192="",$F192=""),"",IFERROR(IF($E192=INDEX(Cluster_Master!$A$4:$A$18,MATCH($F192,Cluster_Master!$B$4:$B$18,0)),"OK","CHECK"),"CHECK"))</f>
        <v/>
      </c>
      <c r="H192" s="11" t="str">
        <f>IFERROR(INDEX(Cluster_Master!$C$4:$C$18,MATCH($F192,Cluster_Master!$B$4:$B$18,0)),"")</f>
        <v/>
      </c>
      <c r="I192" s="8" t="str">
        <f>IFERROR(INDEX(Cluster_Master!$D$4:$D$18,MATCH($F192,Cluster_Master!$B$4:$B$18,0)),"")</f>
        <v/>
      </c>
      <c r="J192" s="8" t="str">
        <f>IFERROR(INDEX(Cluster_Master!$E$4:$E$18,MATCH($F192,Cluster_Master!$B$4:$B$18,0)),"")</f>
        <v/>
      </c>
      <c r="K192" s="8" t="str">
        <f>IFERROR(INDEX(Cluster_Master!$F$4:$F$18,MATCH($F192,Cluster_Master!$B$4:$B$18,0)),"")</f>
        <v/>
      </c>
      <c r="L192" s="8" t="str">
        <f>IFERROR(INDEX(Cluster_Master!$G$4:$G$18,MATCH($F192,Cluster_Master!$B$4:$B$18,0)),"")</f>
        <v/>
      </c>
      <c r="M192" s="8" t="str">
        <f>IFERROR(INDEX(Cluster_Master!$H$4:$H$18,MATCH($F192,Cluster_Master!$B$4:$B$18,0)),"")</f>
        <v/>
      </c>
      <c r="N192" s="12"/>
      <c r="O192" s="12"/>
      <c r="P192" s="12"/>
      <c r="Q192" s="12"/>
      <c r="R192" s="12"/>
      <c r="S192" s="12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8" t="str">
        <f t="shared" ref="AI192:AI255" si="33">IF(COUNTA(T192:AH192)=0,"",SUM(T192:AH192))</f>
        <v/>
      </c>
      <c r="AJ192" s="14" t="str">
        <f t="shared" ref="AJ192:AJ255" si="34">IF(COUNTA(T192:AH192)=0,"",AI192/75)</f>
        <v/>
      </c>
      <c r="AK192" s="14" t="str">
        <f>IF(COUNTA(T192:AH192)=0,"",(SUM(T192*KPI_Weights!$B$4,U192*KPI_Weights!$B$5,V192*KPI_Weights!$B$6,W192*KPI_Weights!$B$7,X192*KPI_Weights!$B$8,Y192*KPI_Weights!$B$9,Z192*KPI_Weights!$B$10,AA192*KPI_Weights!$B$11,AB192*KPI_Weights!$B$12,AC192*KPI_Weights!$B$13,AD192*KPI_Weights!$B$14,AE192*KPI_Weights!$B$15,AF192*KPI_Weights!$B$16,AG192*KPI_Weights!$B$17,AH192*KPI_Weights!$B$18))/5)</f>
        <v/>
      </c>
      <c r="AL192" s="8" t="str">
        <f t="shared" ref="AL192:AL255" si="35">IF(COUNTA(T192:AH192)=0,"",IF(OR(T192&lt;=1,W192&lt;=1,X192&lt;=1,Y192&lt;=1,AB192&lt;=1),"YES","NO"))</f>
        <v/>
      </c>
      <c r="AM192" s="8" t="str">
        <f t="shared" ref="AM192:AM255" si="36">IF(AJ192="","",IF(AND(AL192="NO",AJ192&gt;=0.75),"YES","NO"))</f>
        <v/>
      </c>
      <c r="AN192" s="8" t="str">
        <f t="shared" ref="AN192:AN255" si="37">IF(AJ192="","",IF(AJ192&lt;0.4,"Critical",IF(AJ192&lt;0.6,"Poor",IF(AJ192&lt;0.75,"Needs Improvement",IF(AJ192&lt;0.9,"Good","Excellent")))))</f>
        <v/>
      </c>
      <c r="AO192" s="12"/>
      <c r="AP192" s="12"/>
      <c r="AQ192" s="12"/>
      <c r="AR192" s="12"/>
      <c r="AS192" s="12"/>
      <c r="AT192" s="15"/>
      <c r="AU192" s="12"/>
      <c r="AV192" s="16"/>
      <c r="AW192" s="12"/>
      <c r="AX192" s="15"/>
      <c r="AY192" s="15"/>
      <c r="AZ192" s="15"/>
      <c r="BA192" s="15"/>
      <c r="BB192" s="15"/>
      <c r="BC192" s="15"/>
      <c r="BD192" s="15"/>
      <c r="BE192" s="15"/>
      <c r="BF192" s="15"/>
    </row>
    <row r="193" spans="1:58" ht="19.5" customHeight="1" x14ac:dyDescent="0.2">
      <c r="A193" s="8" t="str">
        <f>IF($B193="","",TEXT($B193,"yyyymmdd")&amp;"-"&amp;SUBSTITUTE($F193," ","")&amp;"-"&amp;TEXT(COUNTIF($F$4:F193,$F193),"00"))</f>
        <v/>
      </c>
      <c r="B193" s="9"/>
      <c r="C193" s="8" t="str">
        <f t="shared" si="31"/>
        <v/>
      </c>
      <c r="D193" s="8" t="str">
        <f t="shared" si="32"/>
        <v/>
      </c>
      <c r="E193" s="10"/>
      <c r="F193" s="10"/>
      <c r="G193" s="8" t="str">
        <f>IF(OR($E193="",$F193=""),"",IFERROR(IF($E193=INDEX(Cluster_Master!$A$4:$A$18,MATCH($F193,Cluster_Master!$B$4:$B$18,0)),"OK","CHECK"),"CHECK"))</f>
        <v/>
      </c>
      <c r="H193" s="11" t="str">
        <f>IFERROR(INDEX(Cluster_Master!$C$4:$C$18,MATCH($F193,Cluster_Master!$B$4:$B$18,0)),"")</f>
        <v/>
      </c>
      <c r="I193" s="8" t="str">
        <f>IFERROR(INDEX(Cluster_Master!$D$4:$D$18,MATCH($F193,Cluster_Master!$B$4:$B$18,0)),"")</f>
        <v/>
      </c>
      <c r="J193" s="8" t="str">
        <f>IFERROR(INDEX(Cluster_Master!$E$4:$E$18,MATCH($F193,Cluster_Master!$B$4:$B$18,0)),"")</f>
        <v/>
      </c>
      <c r="K193" s="8" t="str">
        <f>IFERROR(INDEX(Cluster_Master!$F$4:$F$18,MATCH($F193,Cluster_Master!$B$4:$B$18,0)),"")</f>
        <v/>
      </c>
      <c r="L193" s="8" t="str">
        <f>IFERROR(INDEX(Cluster_Master!$G$4:$G$18,MATCH($F193,Cluster_Master!$B$4:$B$18,0)),"")</f>
        <v/>
      </c>
      <c r="M193" s="8" t="str">
        <f>IFERROR(INDEX(Cluster_Master!$H$4:$H$18,MATCH($F193,Cluster_Master!$B$4:$B$18,0)),"")</f>
        <v/>
      </c>
      <c r="N193" s="12"/>
      <c r="O193" s="12"/>
      <c r="P193" s="12"/>
      <c r="Q193" s="12"/>
      <c r="R193" s="12"/>
      <c r="S193" s="12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8" t="str">
        <f t="shared" si="33"/>
        <v/>
      </c>
      <c r="AJ193" s="14" t="str">
        <f t="shared" si="34"/>
        <v/>
      </c>
      <c r="AK193" s="14" t="str">
        <f>IF(COUNTA(T193:AH193)=0,"",(SUM(T193*KPI_Weights!$B$4,U193*KPI_Weights!$B$5,V193*KPI_Weights!$B$6,W193*KPI_Weights!$B$7,X193*KPI_Weights!$B$8,Y193*KPI_Weights!$B$9,Z193*KPI_Weights!$B$10,AA193*KPI_Weights!$B$11,AB193*KPI_Weights!$B$12,AC193*KPI_Weights!$B$13,AD193*KPI_Weights!$B$14,AE193*KPI_Weights!$B$15,AF193*KPI_Weights!$B$16,AG193*KPI_Weights!$B$17,AH193*KPI_Weights!$B$18))/5)</f>
        <v/>
      </c>
      <c r="AL193" s="8" t="str">
        <f t="shared" si="35"/>
        <v/>
      </c>
      <c r="AM193" s="8" t="str">
        <f t="shared" si="36"/>
        <v/>
      </c>
      <c r="AN193" s="8" t="str">
        <f t="shared" si="37"/>
        <v/>
      </c>
      <c r="AO193" s="12"/>
      <c r="AP193" s="12"/>
      <c r="AQ193" s="12"/>
      <c r="AR193" s="12"/>
      <c r="AS193" s="12"/>
      <c r="AT193" s="15"/>
      <c r="AU193" s="12"/>
      <c r="AV193" s="16"/>
      <c r="AW193" s="12"/>
      <c r="AX193" s="15"/>
      <c r="AY193" s="15"/>
      <c r="AZ193" s="15"/>
      <c r="BA193" s="15"/>
      <c r="BB193" s="15"/>
      <c r="BC193" s="15"/>
      <c r="BD193" s="15"/>
      <c r="BE193" s="15"/>
      <c r="BF193" s="15"/>
    </row>
    <row r="194" spans="1:58" ht="19.5" customHeight="1" x14ac:dyDescent="0.2">
      <c r="A194" s="8" t="str">
        <f>IF($B194="","",TEXT($B194,"yyyymmdd")&amp;"-"&amp;SUBSTITUTE($F194," ","")&amp;"-"&amp;TEXT(COUNTIF($F$4:F194,$F194),"00"))</f>
        <v/>
      </c>
      <c r="B194" s="9"/>
      <c r="C194" s="8" t="str">
        <f t="shared" si="31"/>
        <v/>
      </c>
      <c r="D194" s="8" t="str">
        <f t="shared" si="32"/>
        <v/>
      </c>
      <c r="E194" s="10"/>
      <c r="F194" s="10"/>
      <c r="G194" s="8" t="str">
        <f>IF(OR($E194="",$F194=""),"",IFERROR(IF($E194=INDEX(Cluster_Master!$A$4:$A$18,MATCH($F194,Cluster_Master!$B$4:$B$18,0)),"OK","CHECK"),"CHECK"))</f>
        <v/>
      </c>
      <c r="H194" s="11" t="str">
        <f>IFERROR(INDEX(Cluster_Master!$C$4:$C$18,MATCH($F194,Cluster_Master!$B$4:$B$18,0)),"")</f>
        <v/>
      </c>
      <c r="I194" s="8" t="str">
        <f>IFERROR(INDEX(Cluster_Master!$D$4:$D$18,MATCH($F194,Cluster_Master!$B$4:$B$18,0)),"")</f>
        <v/>
      </c>
      <c r="J194" s="8" t="str">
        <f>IFERROR(INDEX(Cluster_Master!$E$4:$E$18,MATCH($F194,Cluster_Master!$B$4:$B$18,0)),"")</f>
        <v/>
      </c>
      <c r="K194" s="8" t="str">
        <f>IFERROR(INDEX(Cluster_Master!$F$4:$F$18,MATCH($F194,Cluster_Master!$B$4:$B$18,0)),"")</f>
        <v/>
      </c>
      <c r="L194" s="8" t="str">
        <f>IFERROR(INDEX(Cluster_Master!$G$4:$G$18,MATCH($F194,Cluster_Master!$B$4:$B$18,0)),"")</f>
        <v/>
      </c>
      <c r="M194" s="8" t="str">
        <f>IFERROR(INDEX(Cluster_Master!$H$4:$H$18,MATCH($F194,Cluster_Master!$B$4:$B$18,0)),"")</f>
        <v/>
      </c>
      <c r="N194" s="12"/>
      <c r="O194" s="12"/>
      <c r="P194" s="12"/>
      <c r="Q194" s="12"/>
      <c r="R194" s="12"/>
      <c r="S194" s="12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8" t="str">
        <f t="shared" si="33"/>
        <v/>
      </c>
      <c r="AJ194" s="14" t="str">
        <f t="shared" si="34"/>
        <v/>
      </c>
      <c r="AK194" s="14" t="str">
        <f>IF(COUNTA(T194:AH194)=0,"",(SUM(T194*KPI_Weights!$B$4,U194*KPI_Weights!$B$5,V194*KPI_Weights!$B$6,W194*KPI_Weights!$B$7,X194*KPI_Weights!$B$8,Y194*KPI_Weights!$B$9,Z194*KPI_Weights!$B$10,AA194*KPI_Weights!$B$11,AB194*KPI_Weights!$B$12,AC194*KPI_Weights!$B$13,AD194*KPI_Weights!$B$14,AE194*KPI_Weights!$B$15,AF194*KPI_Weights!$B$16,AG194*KPI_Weights!$B$17,AH194*KPI_Weights!$B$18))/5)</f>
        <v/>
      </c>
      <c r="AL194" s="8" t="str">
        <f t="shared" si="35"/>
        <v/>
      </c>
      <c r="AM194" s="8" t="str">
        <f t="shared" si="36"/>
        <v/>
      </c>
      <c r="AN194" s="8" t="str">
        <f t="shared" si="37"/>
        <v/>
      </c>
      <c r="AO194" s="12"/>
      <c r="AP194" s="12"/>
      <c r="AQ194" s="12"/>
      <c r="AR194" s="12"/>
      <c r="AS194" s="12"/>
      <c r="AT194" s="15"/>
      <c r="AU194" s="12"/>
      <c r="AV194" s="16"/>
      <c r="AW194" s="12"/>
      <c r="AX194" s="15"/>
      <c r="AY194" s="15"/>
      <c r="AZ194" s="15"/>
      <c r="BA194" s="15"/>
      <c r="BB194" s="15"/>
      <c r="BC194" s="15"/>
      <c r="BD194" s="15"/>
      <c r="BE194" s="15"/>
      <c r="BF194" s="15"/>
    </row>
    <row r="195" spans="1:58" ht="19.5" customHeight="1" x14ac:dyDescent="0.2">
      <c r="A195" s="8" t="str">
        <f>IF($B195="","",TEXT($B195,"yyyymmdd")&amp;"-"&amp;SUBSTITUTE($F195," ","")&amp;"-"&amp;TEXT(COUNTIF($F$4:F195,$F195),"00"))</f>
        <v/>
      </c>
      <c r="B195" s="9"/>
      <c r="C195" s="8" t="str">
        <f t="shared" si="31"/>
        <v/>
      </c>
      <c r="D195" s="8" t="str">
        <f t="shared" si="32"/>
        <v/>
      </c>
      <c r="E195" s="10"/>
      <c r="F195" s="10"/>
      <c r="G195" s="8" t="str">
        <f>IF(OR($E195="",$F195=""),"",IFERROR(IF($E195=INDEX(Cluster_Master!$A$4:$A$18,MATCH($F195,Cluster_Master!$B$4:$B$18,0)),"OK","CHECK"),"CHECK"))</f>
        <v/>
      </c>
      <c r="H195" s="11" t="str">
        <f>IFERROR(INDEX(Cluster_Master!$C$4:$C$18,MATCH($F195,Cluster_Master!$B$4:$B$18,0)),"")</f>
        <v/>
      </c>
      <c r="I195" s="8" t="str">
        <f>IFERROR(INDEX(Cluster_Master!$D$4:$D$18,MATCH($F195,Cluster_Master!$B$4:$B$18,0)),"")</f>
        <v/>
      </c>
      <c r="J195" s="8" t="str">
        <f>IFERROR(INDEX(Cluster_Master!$E$4:$E$18,MATCH($F195,Cluster_Master!$B$4:$B$18,0)),"")</f>
        <v/>
      </c>
      <c r="K195" s="8" t="str">
        <f>IFERROR(INDEX(Cluster_Master!$F$4:$F$18,MATCH($F195,Cluster_Master!$B$4:$B$18,0)),"")</f>
        <v/>
      </c>
      <c r="L195" s="8" t="str">
        <f>IFERROR(INDEX(Cluster_Master!$G$4:$G$18,MATCH($F195,Cluster_Master!$B$4:$B$18,0)),"")</f>
        <v/>
      </c>
      <c r="M195" s="8" t="str">
        <f>IFERROR(INDEX(Cluster_Master!$H$4:$H$18,MATCH($F195,Cluster_Master!$B$4:$B$18,0)),"")</f>
        <v/>
      </c>
      <c r="N195" s="12"/>
      <c r="O195" s="12"/>
      <c r="P195" s="12"/>
      <c r="Q195" s="12"/>
      <c r="R195" s="12"/>
      <c r="S195" s="12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8" t="str">
        <f t="shared" si="33"/>
        <v/>
      </c>
      <c r="AJ195" s="14" t="str">
        <f t="shared" si="34"/>
        <v/>
      </c>
      <c r="AK195" s="14" t="str">
        <f>IF(COUNTA(T195:AH195)=0,"",(SUM(T195*KPI_Weights!$B$4,U195*KPI_Weights!$B$5,V195*KPI_Weights!$B$6,W195*KPI_Weights!$B$7,X195*KPI_Weights!$B$8,Y195*KPI_Weights!$B$9,Z195*KPI_Weights!$B$10,AA195*KPI_Weights!$B$11,AB195*KPI_Weights!$B$12,AC195*KPI_Weights!$B$13,AD195*KPI_Weights!$B$14,AE195*KPI_Weights!$B$15,AF195*KPI_Weights!$B$16,AG195*KPI_Weights!$B$17,AH195*KPI_Weights!$B$18))/5)</f>
        <v/>
      </c>
      <c r="AL195" s="8" t="str">
        <f t="shared" si="35"/>
        <v/>
      </c>
      <c r="AM195" s="8" t="str">
        <f t="shared" si="36"/>
        <v/>
      </c>
      <c r="AN195" s="8" t="str">
        <f t="shared" si="37"/>
        <v/>
      </c>
      <c r="AO195" s="12"/>
      <c r="AP195" s="12"/>
      <c r="AQ195" s="12"/>
      <c r="AR195" s="12"/>
      <c r="AS195" s="12"/>
      <c r="AT195" s="15"/>
      <c r="AU195" s="12"/>
      <c r="AV195" s="16"/>
      <c r="AW195" s="12"/>
      <c r="AX195" s="15"/>
      <c r="AY195" s="15"/>
      <c r="AZ195" s="15"/>
      <c r="BA195" s="15"/>
      <c r="BB195" s="15"/>
      <c r="BC195" s="15"/>
      <c r="BD195" s="15"/>
      <c r="BE195" s="15"/>
      <c r="BF195" s="15"/>
    </row>
    <row r="196" spans="1:58" ht="19.5" customHeight="1" x14ac:dyDescent="0.2">
      <c r="A196" s="8" t="str">
        <f>IF($B196="","",TEXT($B196,"yyyymmdd")&amp;"-"&amp;SUBSTITUTE($F196," ","")&amp;"-"&amp;TEXT(COUNTIF($F$4:F196,$F196),"00"))</f>
        <v/>
      </c>
      <c r="B196" s="9"/>
      <c r="C196" s="8" t="str">
        <f t="shared" si="31"/>
        <v/>
      </c>
      <c r="D196" s="8" t="str">
        <f t="shared" si="32"/>
        <v/>
      </c>
      <c r="E196" s="10"/>
      <c r="F196" s="10"/>
      <c r="G196" s="8" t="str">
        <f>IF(OR($E196="",$F196=""),"",IFERROR(IF($E196=INDEX(Cluster_Master!$A$4:$A$18,MATCH($F196,Cluster_Master!$B$4:$B$18,0)),"OK","CHECK"),"CHECK"))</f>
        <v/>
      </c>
      <c r="H196" s="11" t="str">
        <f>IFERROR(INDEX(Cluster_Master!$C$4:$C$18,MATCH($F196,Cluster_Master!$B$4:$B$18,0)),"")</f>
        <v/>
      </c>
      <c r="I196" s="8" t="str">
        <f>IFERROR(INDEX(Cluster_Master!$D$4:$D$18,MATCH($F196,Cluster_Master!$B$4:$B$18,0)),"")</f>
        <v/>
      </c>
      <c r="J196" s="8" t="str">
        <f>IFERROR(INDEX(Cluster_Master!$E$4:$E$18,MATCH($F196,Cluster_Master!$B$4:$B$18,0)),"")</f>
        <v/>
      </c>
      <c r="K196" s="8" t="str">
        <f>IFERROR(INDEX(Cluster_Master!$F$4:$F$18,MATCH($F196,Cluster_Master!$B$4:$B$18,0)),"")</f>
        <v/>
      </c>
      <c r="L196" s="8" t="str">
        <f>IFERROR(INDEX(Cluster_Master!$G$4:$G$18,MATCH($F196,Cluster_Master!$B$4:$B$18,0)),"")</f>
        <v/>
      </c>
      <c r="M196" s="8" t="str">
        <f>IFERROR(INDEX(Cluster_Master!$H$4:$H$18,MATCH($F196,Cluster_Master!$B$4:$B$18,0)),"")</f>
        <v/>
      </c>
      <c r="N196" s="12"/>
      <c r="O196" s="12"/>
      <c r="P196" s="12"/>
      <c r="Q196" s="12"/>
      <c r="R196" s="12"/>
      <c r="S196" s="12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8" t="str">
        <f t="shared" si="33"/>
        <v/>
      </c>
      <c r="AJ196" s="14" t="str">
        <f t="shared" si="34"/>
        <v/>
      </c>
      <c r="AK196" s="14" t="str">
        <f>IF(COUNTA(T196:AH196)=0,"",(SUM(T196*KPI_Weights!$B$4,U196*KPI_Weights!$B$5,V196*KPI_Weights!$B$6,W196*KPI_Weights!$B$7,X196*KPI_Weights!$B$8,Y196*KPI_Weights!$B$9,Z196*KPI_Weights!$B$10,AA196*KPI_Weights!$B$11,AB196*KPI_Weights!$B$12,AC196*KPI_Weights!$B$13,AD196*KPI_Weights!$B$14,AE196*KPI_Weights!$B$15,AF196*KPI_Weights!$B$16,AG196*KPI_Weights!$B$17,AH196*KPI_Weights!$B$18))/5)</f>
        <v/>
      </c>
      <c r="AL196" s="8" t="str">
        <f t="shared" si="35"/>
        <v/>
      </c>
      <c r="AM196" s="8" t="str">
        <f t="shared" si="36"/>
        <v/>
      </c>
      <c r="AN196" s="8" t="str">
        <f t="shared" si="37"/>
        <v/>
      </c>
      <c r="AO196" s="12"/>
      <c r="AP196" s="12"/>
      <c r="AQ196" s="12"/>
      <c r="AR196" s="12"/>
      <c r="AS196" s="12"/>
      <c r="AT196" s="15"/>
      <c r="AU196" s="12"/>
      <c r="AV196" s="16"/>
      <c r="AW196" s="12"/>
      <c r="AX196" s="15"/>
      <c r="AY196" s="15"/>
      <c r="AZ196" s="15"/>
      <c r="BA196" s="15"/>
      <c r="BB196" s="15"/>
      <c r="BC196" s="15"/>
      <c r="BD196" s="15"/>
      <c r="BE196" s="15"/>
      <c r="BF196" s="15"/>
    </row>
    <row r="197" spans="1:58" ht="19.5" customHeight="1" x14ac:dyDescent="0.2">
      <c r="A197" s="8" t="str">
        <f>IF($B197="","",TEXT($B197,"yyyymmdd")&amp;"-"&amp;SUBSTITUTE($F197," ","")&amp;"-"&amp;TEXT(COUNTIF($F$4:F197,$F197),"00"))</f>
        <v/>
      </c>
      <c r="B197" s="9"/>
      <c r="C197" s="8" t="str">
        <f t="shared" si="31"/>
        <v/>
      </c>
      <c r="D197" s="8" t="str">
        <f t="shared" si="32"/>
        <v/>
      </c>
      <c r="E197" s="10"/>
      <c r="F197" s="10"/>
      <c r="G197" s="8" t="str">
        <f>IF(OR($E197="",$F197=""),"",IFERROR(IF($E197=INDEX(Cluster_Master!$A$4:$A$18,MATCH($F197,Cluster_Master!$B$4:$B$18,0)),"OK","CHECK"),"CHECK"))</f>
        <v/>
      </c>
      <c r="H197" s="11" t="str">
        <f>IFERROR(INDEX(Cluster_Master!$C$4:$C$18,MATCH($F197,Cluster_Master!$B$4:$B$18,0)),"")</f>
        <v/>
      </c>
      <c r="I197" s="8" t="str">
        <f>IFERROR(INDEX(Cluster_Master!$D$4:$D$18,MATCH($F197,Cluster_Master!$B$4:$B$18,0)),"")</f>
        <v/>
      </c>
      <c r="J197" s="8" t="str">
        <f>IFERROR(INDEX(Cluster_Master!$E$4:$E$18,MATCH($F197,Cluster_Master!$B$4:$B$18,0)),"")</f>
        <v/>
      </c>
      <c r="K197" s="8" t="str">
        <f>IFERROR(INDEX(Cluster_Master!$F$4:$F$18,MATCH($F197,Cluster_Master!$B$4:$B$18,0)),"")</f>
        <v/>
      </c>
      <c r="L197" s="8" t="str">
        <f>IFERROR(INDEX(Cluster_Master!$G$4:$G$18,MATCH($F197,Cluster_Master!$B$4:$B$18,0)),"")</f>
        <v/>
      </c>
      <c r="M197" s="8" t="str">
        <f>IFERROR(INDEX(Cluster_Master!$H$4:$H$18,MATCH($F197,Cluster_Master!$B$4:$B$18,0)),"")</f>
        <v/>
      </c>
      <c r="N197" s="12"/>
      <c r="O197" s="12"/>
      <c r="P197" s="12"/>
      <c r="Q197" s="12"/>
      <c r="R197" s="12"/>
      <c r="S197" s="12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8" t="str">
        <f t="shared" si="33"/>
        <v/>
      </c>
      <c r="AJ197" s="14" t="str">
        <f t="shared" si="34"/>
        <v/>
      </c>
      <c r="AK197" s="14" t="str">
        <f>IF(COUNTA(T197:AH197)=0,"",(SUM(T197*KPI_Weights!$B$4,U197*KPI_Weights!$B$5,V197*KPI_Weights!$B$6,W197*KPI_Weights!$B$7,X197*KPI_Weights!$B$8,Y197*KPI_Weights!$B$9,Z197*KPI_Weights!$B$10,AA197*KPI_Weights!$B$11,AB197*KPI_Weights!$B$12,AC197*KPI_Weights!$B$13,AD197*KPI_Weights!$B$14,AE197*KPI_Weights!$B$15,AF197*KPI_Weights!$B$16,AG197*KPI_Weights!$B$17,AH197*KPI_Weights!$B$18))/5)</f>
        <v/>
      </c>
      <c r="AL197" s="8" t="str">
        <f t="shared" si="35"/>
        <v/>
      </c>
      <c r="AM197" s="8" t="str">
        <f t="shared" si="36"/>
        <v/>
      </c>
      <c r="AN197" s="8" t="str">
        <f t="shared" si="37"/>
        <v/>
      </c>
      <c r="AO197" s="12"/>
      <c r="AP197" s="12"/>
      <c r="AQ197" s="12"/>
      <c r="AR197" s="12"/>
      <c r="AS197" s="12"/>
      <c r="AT197" s="15"/>
      <c r="AU197" s="12"/>
      <c r="AV197" s="16"/>
      <c r="AW197" s="12"/>
      <c r="AX197" s="15"/>
      <c r="AY197" s="15"/>
      <c r="AZ197" s="15"/>
      <c r="BA197" s="15"/>
      <c r="BB197" s="15"/>
      <c r="BC197" s="15"/>
      <c r="BD197" s="15"/>
      <c r="BE197" s="15"/>
      <c r="BF197" s="15"/>
    </row>
    <row r="198" spans="1:58" ht="19.5" customHeight="1" x14ac:dyDescent="0.2">
      <c r="A198" s="8" t="str">
        <f>IF($B198="","",TEXT($B198,"yyyymmdd")&amp;"-"&amp;SUBSTITUTE($F198," ","")&amp;"-"&amp;TEXT(COUNTIF($F$4:F198,$F198),"00"))</f>
        <v/>
      </c>
      <c r="B198" s="9"/>
      <c r="C198" s="8" t="str">
        <f t="shared" si="31"/>
        <v/>
      </c>
      <c r="D198" s="8" t="str">
        <f t="shared" si="32"/>
        <v/>
      </c>
      <c r="E198" s="10"/>
      <c r="F198" s="10"/>
      <c r="G198" s="8" t="str">
        <f>IF(OR($E198="",$F198=""),"",IFERROR(IF($E198=INDEX(Cluster_Master!$A$4:$A$18,MATCH($F198,Cluster_Master!$B$4:$B$18,0)),"OK","CHECK"),"CHECK"))</f>
        <v/>
      </c>
      <c r="H198" s="11" t="str">
        <f>IFERROR(INDEX(Cluster_Master!$C$4:$C$18,MATCH($F198,Cluster_Master!$B$4:$B$18,0)),"")</f>
        <v/>
      </c>
      <c r="I198" s="8" t="str">
        <f>IFERROR(INDEX(Cluster_Master!$D$4:$D$18,MATCH($F198,Cluster_Master!$B$4:$B$18,0)),"")</f>
        <v/>
      </c>
      <c r="J198" s="8" t="str">
        <f>IFERROR(INDEX(Cluster_Master!$E$4:$E$18,MATCH($F198,Cluster_Master!$B$4:$B$18,0)),"")</f>
        <v/>
      </c>
      <c r="K198" s="8" t="str">
        <f>IFERROR(INDEX(Cluster_Master!$F$4:$F$18,MATCH($F198,Cluster_Master!$B$4:$B$18,0)),"")</f>
        <v/>
      </c>
      <c r="L198" s="8" t="str">
        <f>IFERROR(INDEX(Cluster_Master!$G$4:$G$18,MATCH($F198,Cluster_Master!$B$4:$B$18,0)),"")</f>
        <v/>
      </c>
      <c r="M198" s="8" t="str">
        <f>IFERROR(INDEX(Cluster_Master!$H$4:$H$18,MATCH($F198,Cluster_Master!$B$4:$B$18,0)),"")</f>
        <v/>
      </c>
      <c r="N198" s="12"/>
      <c r="O198" s="12"/>
      <c r="P198" s="12"/>
      <c r="Q198" s="12"/>
      <c r="R198" s="12"/>
      <c r="S198" s="12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8" t="str">
        <f t="shared" si="33"/>
        <v/>
      </c>
      <c r="AJ198" s="14" t="str">
        <f t="shared" si="34"/>
        <v/>
      </c>
      <c r="AK198" s="14" t="str">
        <f>IF(COUNTA(T198:AH198)=0,"",(SUM(T198*KPI_Weights!$B$4,U198*KPI_Weights!$B$5,V198*KPI_Weights!$B$6,W198*KPI_Weights!$B$7,X198*KPI_Weights!$B$8,Y198*KPI_Weights!$B$9,Z198*KPI_Weights!$B$10,AA198*KPI_Weights!$B$11,AB198*KPI_Weights!$B$12,AC198*KPI_Weights!$B$13,AD198*KPI_Weights!$B$14,AE198*KPI_Weights!$B$15,AF198*KPI_Weights!$B$16,AG198*KPI_Weights!$B$17,AH198*KPI_Weights!$B$18))/5)</f>
        <v/>
      </c>
      <c r="AL198" s="8" t="str">
        <f t="shared" si="35"/>
        <v/>
      </c>
      <c r="AM198" s="8" t="str">
        <f t="shared" si="36"/>
        <v/>
      </c>
      <c r="AN198" s="8" t="str">
        <f t="shared" si="37"/>
        <v/>
      </c>
      <c r="AO198" s="12"/>
      <c r="AP198" s="12"/>
      <c r="AQ198" s="12"/>
      <c r="AR198" s="12"/>
      <c r="AS198" s="12"/>
      <c r="AT198" s="15"/>
      <c r="AU198" s="12"/>
      <c r="AV198" s="16"/>
      <c r="AW198" s="12"/>
      <c r="AX198" s="15"/>
      <c r="AY198" s="15"/>
      <c r="AZ198" s="15"/>
      <c r="BA198" s="15"/>
      <c r="BB198" s="15"/>
      <c r="BC198" s="15"/>
      <c r="BD198" s="15"/>
      <c r="BE198" s="15"/>
      <c r="BF198" s="15"/>
    </row>
    <row r="199" spans="1:58" ht="19.5" customHeight="1" x14ac:dyDescent="0.2">
      <c r="A199" s="8" t="str">
        <f>IF($B199="","",TEXT($B199,"yyyymmdd")&amp;"-"&amp;SUBSTITUTE($F199," ","")&amp;"-"&amp;TEXT(COUNTIF($F$4:F199,$F199),"00"))</f>
        <v/>
      </c>
      <c r="B199" s="9"/>
      <c r="C199" s="8" t="str">
        <f t="shared" si="31"/>
        <v/>
      </c>
      <c r="D199" s="8" t="str">
        <f t="shared" si="32"/>
        <v/>
      </c>
      <c r="E199" s="10"/>
      <c r="F199" s="10"/>
      <c r="G199" s="8" t="str">
        <f>IF(OR($E199="",$F199=""),"",IFERROR(IF($E199=INDEX(Cluster_Master!$A$4:$A$18,MATCH($F199,Cluster_Master!$B$4:$B$18,0)),"OK","CHECK"),"CHECK"))</f>
        <v/>
      </c>
      <c r="H199" s="11" t="str">
        <f>IFERROR(INDEX(Cluster_Master!$C$4:$C$18,MATCH($F199,Cluster_Master!$B$4:$B$18,0)),"")</f>
        <v/>
      </c>
      <c r="I199" s="8" t="str">
        <f>IFERROR(INDEX(Cluster_Master!$D$4:$D$18,MATCH($F199,Cluster_Master!$B$4:$B$18,0)),"")</f>
        <v/>
      </c>
      <c r="J199" s="8" t="str">
        <f>IFERROR(INDEX(Cluster_Master!$E$4:$E$18,MATCH($F199,Cluster_Master!$B$4:$B$18,0)),"")</f>
        <v/>
      </c>
      <c r="K199" s="8" t="str">
        <f>IFERROR(INDEX(Cluster_Master!$F$4:$F$18,MATCH($F199,Cluster_Master!$B$4:$B$18,0)),"")</f>
        <v/>
      </c>
      <c r="L199" s="8" t="str">
        <f>IFERROR(INDEX(Cluster_Master!$G$4:$G$18,MATCH($F199,Cluster_Master!$B$4:$B$18,0)),"")</f>
        <v/>
      </c>
      <c r="M199" s="8" t="str">
        <f>IFERROR(INDEX(Cluster_Master!$H$4:$H$18,MATCH($F199,Cluster_Master!$B$4:$B$18,0)),"")</f>
        <v/>
      </c>
      <c r="N199" s="12"/>
      <c r="O199" s="12"/>
      <c r="P199" s="12"/>
      <c r="Q199" s="12"/>
      <c r="R199" s="12"/>
      <c r="S199" s="12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8" t="str">
        <f t="shared" si="33"/>
        <v/>
      </c>
      <c r="AJ199" s="14" t="str">
        <f t="shared" si="34"/>
        <v/>
      </c>
      <c r="AK199" s="14" t="str">
        <f>IF(COUNTA(T199:AH199)=0,"",(SUM(T199*KPI_Weights!$B$4,U199*KPI_Weights!$B$5,V199*KPI_Weights!$B$6,W199*KPI_Weights!$B$7,X199*KPI_Weights!$B$8,Y199*KPI_Weights!$B$9,Z199*KPI_Weights!$B$10,AA199*KPI_Weights!$B$11,AB199*KPI_Weights!$B$12,AC199*KPI_Weights!$B$13,AD199*KPI_Weights!$B$14,AE199*KPI_Weights!$B$15,AF199*KPI_Weights!$B$16,AG199*KPI_Weights!$B$17,AH199*KPI_Weights!$B$18))/5)</f>
        <v/>
      </c>
      <c r="AL199" s="8" t="str">
        <f t="shared" si="35"/>
        <v/>
      </c>
      <c r="AM199" s="8" t="str">
        <f t="shared" si="36"/>
        <v/>
      </c>
      <c r="AN199" s="8" t="str">
        <f t="shared" si="37"/>
        <v/>
      </c>
      <c r="AO199" s="12"/>
      <c r="AP199" s="12"/>
      <c r="AQ199" s="12"/>
      <c r="AR199" s="12"/>
      <c r="AS199" s="12"/>
      <c r="AT199" s="15"/>
      <c r="AU199" s="12"/>
      <c r="AV199" s="16"/>
      <c r="AW199" s="12"/>
      <c r="AX199" s="15"/>
      <c r="AY199" s="15"/>
      <c r="AZ199" s="15"/>
      <c r="BA199" s="15"/>
      <c r="BB199" s="15"/>
      <c r="BC199" s="15"/>
      <c r="BD199" s="15"/>
      <c r="BE199" s="15"/>
      <c r="BF199" s="15"/>
    </row>
    <row r="200" spans="1:58" ht="19.5" customHeight="1" x14ac:dyDescent="0.2">
      <c r="A200" s="8" t="str">
        <f>IF($B200="","",TEXT($B200,"yyyymmdd")&amp;"-"&amp;SUBSTITUTE($F200," ","")&amp;"-"&amp;TEXT(COUNTIF($F$4:F200,$F200),"00"))</f>
        <v/>
      </c>
      <c r="B200" s="9"/>
      <c r="C200" s="8" t="str">
        <f t="shared" si="31"/>
        <v/>
      </c>
      <c r="D200" s="8" t="str">
        <f t="shared" si="32"/>
        <v/>
      </c>
      <c r="E200" s="10"/>
      <c r="F200" s="10"/>
      <c r="G200" s="8" t="str">
        <f>IF(OR($E200="",$F200=""),"",IFERROR(IF($E200=INDEX(Cluster_Master!$A$4:$A$18,MATCH($F200,Cluster_Master!$B$4:$B$18,0)),"OK","CHECK"),"CHECK"))</f>
        <v/>
      </c>
      <c r="H200" s="11" t="str">
        <f>IFERROR(INDEX(Cluster_Master!$C$4:$C$18,MATCH($F200,Cluster_Master!$B$4:$B$18,0)),"")</f>
        <v/>
      </c>
      <c r="I200" s="8" t="str">
        <f>IFERROR(INDEX(Cluster_Master!$D$4:$D$18,MATCH($F200,Cluster_Master!$B$4:$B$18,0)),"")</f>
        <v/>
      </c>
      <c r="J200" s="8" t="str">
        <f>IFERROR(INDEX(Cluster_Master!$E$4:$E$18,MATCH($F200,Cluster_Master!$B$4:$B$18,0)),"")</f>
        <v/>
      </c>
      <c r="K200" s="8" t="str">
        <f>IFERROR(INDEX(Cluster_Master!$F$4:$F$18,MATCH($F200,Cluster_Master!$B$4:$B$18,0)),"")</f>
        <v/>
      </c>
      <c r="L200" s="8" t="str">
        <f>IFERROR(INDEX(Cluster_Master!$G$4:$G$18,MATCH($F200,Cluster_Master!$B$4:$B$18,0)),"")</f>
        <v/>
      </c>
      <c r="M200" s="8" t="str">
        <f>IFERROR(INDEX(Cluster_Master!$H$4:$H$18,MATCH($F200,Cluster_Master!$B$4:$B$18,0)),"")</f>
        <v/>
      </c>
      <c r="N200" s="12"/>
      <c r="O200" s="12"/>
      <c r="P200" s="12"/>
      <c r="Q200" s="12"/>
      <c r="R200" s="12"/>
      <c r="S200" s="12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8" t="str">
        <f t="shared" si="33"/>
        <v/>
      </c>
      <c r="AJ200" s="14" t="str">
        <f t="shared" si="34"/>
        <v/>
      </c>
      <c r="AK200" s="14" t="str">
        <f>IF(COUNTA(T200:AH200)=0,"",(SUM(T200*KPI_Weights!$B$4,U200*KPI_Weights!$B$5,V200*KPI_Weights!$B$6,W200*KPI_Weights!$B$7,X200*KPI_Weights!$B$8,Y200*KPI_Weights!$B$9,Z200*KPI_Weights!$B$10,AA200*KPI_Weights!$B$11,AB200*KPI_Weights!$B$12,AC200*KPI_Weights!$B$13,AD200*KPI_Weights!$B$14,AE200*KPI_Weights!$B$15,AF200*KPI_Weights!$B$16,AG200*KPI_Weights!$B$17,AH200*KPI_Weights!$B$18))/5)</f>
        <v/>
      </c>
      <c r="AL200" s="8" t="str">
        <f t="shared" si="35"/>
        <v/>
      </c>
      <c r="AM200" s="8" t="str">
        <f t="shared" si="36"/>
        <v/>
      </c>
      <c r="AN200" s="8" t="str">
        <f t="shared" si="37"/>
        <v/>
      </c>
      <c r="AO200" s="12"/>
      <c r="AP200" s="12"/>
      <c r="AQ200" s="12"/>
      <c r="AR200" s="12"/>
      <c r="AS200" s="12"/>
      <c r="AT200" s="15"/>
      <c r="AU200" s="12"/>
      <c r="AV200" s="16"/>
      <c r="AW200" s="12"/>
      <c r="AX200" s="15"/>
      <c r="AY200" s="15"/>
      <c r="AZ200" s="15"/>
      <c r="BA200" s="15"/>
      <c r="BB200" s="15"/>
      <c r="BC200" s="15"/>
      <c r="BD200" s="15"/>
      <c r="BE200" s="15"/>
      <c r="BF200" s="15"/>
    </row>
    <row r="201" spans="1:58" ht="19.5" customHeight="1" x14ac:dyDescent="0.2">
      <c r="A201" s="8" t="str">
        <f>IF($B201="","",TEXT($B201,"yyyymmdd")&amp;"-"&amp;SUBSTITUTE($F201," ","")&amp;"-"&amp;TEXT(COUNTIF($F$4:F201,$F201),"00"))</f>
        <v/>
      </c>
      <c r="B201" s="9"/>
      <c r="C201" s="8" t="str">
        <f t="shared" si="31"/>
        <v/>
      </c>
      <c r="D201" s="8" t="str">
        <f t="shared" si="32"/>
        <v/>
      </c>
      <c r="E201" s="10"/>
      <c r="F201" s="10"/>
      <c r="G201" s="8" t="str">
        <f>IF(OR($E201="",$F201=""),"",IFERROR(IF($E201=INDEX(Cluster_Master!$A$4:$A$18,MATCH($F201,Cluster_Master!$B$4:$B$18,0)),"OK","CHECK"),"CHECK"))</f>
        <v/>
      </c>
      <c r="H201" s="11" t="str">
        <f>IFERROR(INDEX(Cluster_Master!$C$4:$C$18,MATCH($F201,Cluster_Master!$B$4:$B$18,0)),"")</f>
        <v/>
      </c>
      <c r="I201" s="8" t="str">
        <f>IFERROR(INDEX(Cluster_Master!$D$4:$D$18,MATCH($F201,Cluster_Master!$B$4:$B$18,0)),"")</f>
        <v/>
      </c>
      <c r="J201" s="8" t="str">
        <f>IFERROR(INDEX(Cluster_Master!$E$4:$E$18,MATCH($F201,Cluster_Master!$B$4:$B$18,0)),"")</f>
        <v/>
      </c>
      <c r="K201" s="8" t="str">
        <f>IFERROR(INDEX(Cluster_Master!$F$4:$F$18,MATCH($F201,Cluster_Master!$B$4:$B$18,0)),"")</f>
        <v/>
      </c>
      <c r="L201" s="8" t="str">
        <f>IFERROR(INDEX(Cluster_Master!$G$4:$G$18,MATCH($F201,Cluster_Master!$B$4:$B$18,0)),"")</f>
        <v/>
      </c>
      <c r="M201" s="8" t="str">
        <f>IFERROR(INDEX(Cluster_Master!$H$4:$H$18,MATCH($F201,Cluster_Master!$B$4:$B$18,0)),"")</f>
        <v/>
      </c>
      <c r="N201" s="12"/>
      <c r="O201" s="12"/>
      <c r="P201" s="12"/>
      <c r="Q201" s="12"/>
      <c r="R201" s="12"/>
      <c r="S201" s="12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8" t="str">
        <f t="shared" si="33"/>
        <v/>
      </c>
      <c r="AJ201" s="14" t="str">
        <f t="shared" si="34"/>
        <v/>
      </c>
      <c r="AK201" s="14" t="str">
        <f>IF(COUNTA(T201:AH201)=0,"",(SUM(T201*KPI_Weights!$B$4,U201*KPI_Weights!$B$5,V201*KPI_Weights!$B$6,W201*KPI_Weights!$B$7,X201*KPI_Weights!$B$8,Y201*KPI_Weights!$B$9,Z201*KPI_Weights!$B$10,AA201*KPI_Weights!$B$11,AB201*KPI_Weights!$B$12,AC201*KPI_Weights!$B$13,AD201*KPI_Weights!$B$14,AE201*KPI_Weights!$B$15,AF201*KPI_Weights!$B$16,AG201*KPI_Weights!$B$17,AH201*KPI_Weights!$B$18))/5)</f>
        <v/>
      </c>
      <c r="AL201" s="8" t="str">
        <f t="shared" si="35"/>
        <v/>
      </c>
      <c r="AM201" s="8" t="str">
        <f t="shared" si="36"/>
        <v/>
      </c>
      <c r="AN201" s="8" t="str">
        <f t="shared" si="37"/>
        <v/>
      </c>
      <c r="AO201" s="12"/>
      <c r="AP201" s="12"/>
      <c r="AQ201" s="12"/>
      <c r="AR201" s="12"/>
      <c r="AS201" s="12"/>
      <c r="AT201" s="15"/>
      <c r="AU201" s="12"/>
      <c r="AV201" s="16"/>
      <c r="AW201" s="12"/>
      <c r="AX201" s="15"/>
      <c r="AY201" s="15"/>
      <c r="AZ201" s="15"/>
      <c r="BA201" s="15"/>
      <c r="BB201" s="15"/>
      <c r="BC201" s="15"/>
      <c r="BD201" s="15"/>
      <c r="BE201" s="15"/>
      <c r="BF201" s="15"/>
    </row>
    <row r="202" spans="1:58" ht="19.5" customHeight="1" x14ac:dyDescent="0.2">
      <c r="A202" s="8" t="str">
        <f>IF($B202="","",TEXT($B202,"yyyymmdd")&amp;"-"&amp;SUBSTITUTE($F202," ","")&amp;"-"&amp;TEXT(COUNTIF($F$4:F202,$F202),"00"))</f>
        <v/>
      </c>
      <c r="B202" s="9"/>
      <c r="C202" s="8" t="str">
        <f t="shared" si="31"/>
        <v/>
      </c>
      <c r="D202" s="8" t="str">
        <f t="shared" si="32"/>
        <v/>
      </c>
      <c r="E202" s="10"/>
      <c r="F202" s="10"/>
      <c r="G202" s="8" t="str">
        <f>IF(OR($E202="",$F202=""),"",IFERROR(IF($E202=INDEX(Cluster_Master!$A$4:$A$18,MATCH($F202,Cluster_Master!$B$4:$B$18,0)),"OK","CHECK"),"CHECK"))</f>
        <v/>
      </c>
      <c r="H202" s="11" t="str">
        <f>IFERROR(INDEX(Cluster_Master!$C$4:$C$18,MATCH($F202,Cluster_Master!$B$4:$B$18,0)),"")</f>
        <v/>
      </c>
      <c r="I202" s="8" t="str">
        <f>IFERROR(INDEX(Cluster_Master!$D$4:$D$18,MATCH($F202,Cluster_Master!$B$4:$B$18,0)),"")</f>
        <v/>
      </c>
      <c r="J202" s="8" t="str">
        <f>IFERROR(INDEX(Cluster_Master!$E$4:$E$18,MATCH($F202,Cluster_Master!$B$4:$B$18,0)),"")</f>
        <v/>
      </c>
      <c r="K202" s="8" t="str">
        <f>IFERROR(INDEX(Cluster_Master!$F$4:$F$18,MATCH($F202,Cluster_Master!$B$4:$B$18,0)),"")</f>
        <v/>
      </c>
      <c r="L202" s="8" t="str">
        <f>IFERROR(INDEX(Cluster_Master!$G$4:$G$18,MATCH($F202,Cluster_Master!$B$4:$B$18,0)),"")</f>
        <v/>
      </c>
      <c r="M202" s="8" t="str">
        <f>IFERROR(INDEX(Cluster_Master!$H$4:$H$18,MATCH($F202,Cluster_Master!$B$4:$B$18,0)),"")</f>
        <v/>
      </c>
      <c r="N202" s="12"/>
      <c r="O202" s="12"/>
      <c r="P202" s="12"/>
      <c r="Q202" s="12"/>
      <c r="R202" s="12"/>
      <c r="S202" s="12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8" t="str">
        <f t="shared" si="33"/>
        <v/>
      </c>
      <c r="AJ202" s="14" t="str">
        <f t="shared" si="34"/>
        <v/>
      </c>
      <c r="AK202" s="14" t="str">
        <f>IF(COUNTA(T202:AH202)=0,"",(SUM(T202*KPI_Weights!$B$4,U202*KPI_Weights!$B$5,V202*KPI_Weights!$B$6,W202*KPI_Weights!$B$7,X202*KPI_Weights!$B$8,Y202*KPI_Weights!$B$9,Z202*KPI_Weights!$B$10,AA202*KPI_Weights!$B$11,AB202*KPI_Weights!$B$12,AC202*KPI_Weights!$B$13,AD202*KPI_Weights!$B$14,AE202*KPI_Weights!$B$15,AF202*KPI_Weights!$B$16,AG202*KPI_Weights!$B$17,AH202*KPI_Weights!$B$18))/5)</f>
        <v/>
      </c>
      <c r="AL202" s="8" t="str">
        <f t="shared" si="35"/>
        <v/>
      </c>
      <c r="AM202" s="8" t="str">
        <f t="shared" si="36"/>
        <v/>
      </c>
      <c r="AN202" s="8" t="str">
        <f t="shared" si="37"/>
        <v/>
      </c>
      <c r="AO202" s="12"/>
      <c r="AP202" s="12"/>
      <c r="AQ202" s="12"/>
      <c r="AR202" s="12"/>
      <c r="AS202" s="12"/>
      <c r="AT202" s="15"/>
      <c r="AU202" s="12"/>
      <c r="AV202" s="16"/>
      <c r="AW202" s="12"/>
      <c r="AX202" s="15"/>
      <c r="AY202" s="15"/>
      <c r="AZ202" s="15"/>
      <c r="BA202" s="15"/>
      <c r="BB202" s="15"/>
      <c r="BC202" s="15"/>
      <c r="BD202" s="15"/>
      <c r="BE202" s="15"/>
      <c r="BF202" s="15"/>
    </row>
    <row r="203" spans="1:58" ht="19.5" customHeight="1" x14ac:dyDescent="0.2">
      <c r="A203" s="8" t="str">
        <f>IF($B203="","",TEXT($B203,"yyyymmdd")&amp;"-"&amp;SUBSTITUTE($F203," ","")&amp;"-"&amp;TEXT(COUNTIF($F$4:F203,$F203),"00"))</f>
        <v/>
      </c>
      <c r="B203" s="9"/>
      <c r="C203" s="8" t="str">
        <f t="shared" si="31"/>
        <v/>
      </c>
      <c r="D203" s="8" t="str">
        <f t="shared" si="32"/>
        <v/>
      </c>
      <c r="E203" s="10"/>
      <c r="F203" s="10"/>
      <c r="G203" s="8" t="str">
        <f>IF(OR($E203="",$F203=""),"",IFERROR(IF($E203=INDEX(Cluster_Master!$A$4:$A$18,MATCH($F203,Cluster_Master!$B$4:$B$18,0)),"OK","CHECK"),"CHECK"))</f>
        <v/>
      </c>
      <c r="H203" s="11" t="str">
        <f>IFERROR(INDEX(Cluster_Master!$C$4:$C$18,MATCH($F203,Cluster_Master!$B$4:$B$18,0)),"")</f>
        <v/>
      </c>
      <c r="I203" s="8" t="str">
        <f>IFERROR(INDEX(Cluster_Master!$D$4:$D$18,MATCH($F203,Cluster_Master!$B$4:$B$18,0)),"")</f>
        <v/>
      </c>
      <c r="J203" s="8" t="str">
        <f>IFERROR(INDEX(Cluster_Master!$E$4:$E$18,MATCH($F203,Cluster_Master!$B$4:$B$18,0)),"")</f>
        <v/>
      </c>
      <c r="K203" s="8" t="str">
        <f>IFERROR(INDEX(Cluster_Master!$F$4:$F$18,MATCH($F203,Cluster_Master!$B$4:$B$18,0)),"")</f>
        <v/>
      </c>
      <c r="L203" s="8" t="str">
        <f>IFERROR(INDEX(Cluster_Master!$G$4:$G$18,MATCH($F203,Cluster_Master!$B$4:$B$18,0)),"")</f>
        <v/>
      </c>
      <c r="M203" s="8" t="str">
        <f>IFERROR(INDEX(Cluster_Master!$H$4:$H$18,MATCH($F203,Cluster_Master!$B$4:$B$18,0)),"")</f>
        <v/>
      </c>
      <c r="N203" s="12"/>
      <c r="O203" s="12"/>
      <c r="P203" s="12"/>
      <c r="Q203" s="12"/>
      <c r="R203" s="12"/>
      <c r="S203" s="12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8" t="str">
        <f t="shared" si="33"/>
        <v/>
      </c>
      <c r="AJ203" s="14" t="str">
        <f t="shared" si="34"/>
        <v/>
      </c>
      <c r="AK203" s="14" t="str">
        <f>IF(COUNTA(T203:AH203)=0,"",(SUM(T203*KPI_Weights!$B$4,U203*KPI_Weights!$B$5,V203*KPI_Weights!$B$6,W203*KPI_Weights!$B$7,X203*KPI_Weights!$B$8,Y203*KPI_Weights!$B$9,Z203*KPI_Weights!$B$10,AA203*KPI_Weights!$B$11,AB203*KPI_Weights!$B$12,AC203*KPI_Weights!$B$13,AD203*KPI_Weights!$B$14,AE203*KPI_Weights!$B$15,AF203*KPI_Weights!$B$16,AG203*KPI_Weights!$B$17,AH203*KPI_Weights!$B$18))/5)</f>
        <v/>
      </c>
      <c r="AL203" s="8" t="str">
        <f t="shared" si="35"/>
        <v/>
      </c>
      <c r="AM203" s="8" t="str">
        <f t="shared" si="36"/>
        <v/>
      </c>
      <c r="AN203" s="8" t="str">
        <f t="shared" si="37"/>
        <v/>
      </c>
      <c r="AO203" s="12"/>
      <c r="AP203" s="12"/>
      <c r="AQ203" s="12"/>
      <c r="AR203" s="12"/>
      <c r="AS203" s="12"/>
      <c r="AT203" s="15"/>
      <c r="AU203" s="12"/>
      <c r="AV203" s="16"/>
      <c r="AW203" s="12"/>
      <c r="AX203" s="15"/>
      <c r="AY203" s="15"/>
      <c r="AZ203" s="15"/>
      <c r="BA203" s="15"/>
      <c r="BB203" s="15"/>
      <c r="BC203" s="15"/>
      <c r="BD203" s="15"/>
      <c r="BE203" s="15"/>
      <c r="BF203" s="15"/>
    </row>
    <row r="204" spans="1:58" ht="19.5" customHeight="1" x14ac:dyDescent="0.2">
      <c r="A204" s="8" t="str">
        <f>IF($B204="","",TEXT($B204,"yyyymmdd")&amp;"-"&amp;SUBSTITUTE($F204," ","")&amp;"-"&amp;TEXT(COUNTIF($F$4:F204,$F204),"00"))</f>
        <v/>
      </c>
      <c r="B204" s="9"/>
      <c r="C204" s="8" t="str">
        <f t="shared" si="31"/>
        <v/>
      </c>
      <c r="D204" s="8" t="str">
        <f t="shared" si="32"/>
        <v/>
      </c>
      <c r="E204" s="10"/>
      <c r="F204" s="10"/>
      <c r="G204" s="8" t="str">
        <f>IF(OR($E204="",$F204=""),"",IFERROR(IF($E204=INDEX(Cluster_Master!$A$4:$A$18,MATCH($F204,Cluster_Master!$B$4:$B$18,0)),"OK","CHECK"),"CHECK"))</f>
        <v/>
      </c>
      <c r="H204" s="11" t="str">
        <f>IFERROR(INDEX(Cluster_Master!$C$4:$C$18,MATCH($F204,Cluster_Master!$B$4:$B$18,0)),"")</f>
        <v/>
      </c>
      <c r="I204" s="8" t="str">
        <f>IFERROR(INDEX(Cluster_Master!$D$4:$D$18,MATCH($F204,Cluster_Master!$B$4:$B$18,0)),"")</f>
        <v/>
      </c>
      <c r="J204" s="8" t="str">
        <f>IFERROR(INDEX(Cluster_Master!$E$4:$E$18,MATCH($F204,Cluster_Master!$B$4:$B$18,0)),"")</f>
        <v/>
      </c>
      <c r="K204" s="8" t="str">
        <f>IFERROR(INDEX(Cluster_Master!$F$4:$F$18,MATCH($F204,Cluster_Master!$B$4:$B$18,0)),"")</f>
        <v/>
      </c>
      <c r="L204" s="8" t="str">
        <f>IFERROR(INDEX(Cluster_Master!$G$4:$G$18,MATCH($F204,Cluster_Master!$B$4:$B$18,0)),"")</f>
        <v/>
      </c>
      <c r="M204" s="8" t="str">
        <f>IFERROR(INDEX(Cluster_Master!$H$4:$H$18,MATCH($F204,Cluster_Master!$B$4:$B$18,0)),"")</f>
        <v/>
      </c>
      <c r="N204" s="12"/>
      <c r="O204" s="12"/>
      <c r="P204" s="12"/>
      <c r="Q204" s="12"/>
      <c r="R204" s="12"/>
      <c r="S204" s="12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8" t="str">
        <f t="shared" si="33"/>
        <v/>
      </c>
      <c r="AJ204" s="14" t="str">
        <f t="shared" si="34"/>
        <v/>
      </c>
      <c r="AK204" s="14" t="str">
        <f>IF(COUNTA(T204:AH204)=0,"",(SUM(T204*KPI_Weights!$B$4,U204*KPI_Weights!$B$5,V204*KPI_Weights!$B$6,W204*KPI_Weights!$B$7,X204*KPI_Weights!$B$8,Y204*KPI_Weights!$B$9,Z204*KPI_Weights!$B$10,AA204*KPI_Weights!$B$11,AB204*KPI_Weights!$B$12,AC204*KPI_Weights!$B$13,AD204*KPI_Weights!$B$14,AE204*KPI_Weights!$B$15,AF204*KPI_Weights!$B$16,AG204*KPI_Weights!$B$17,AH204*KPI_Weights!$B$18))/5)</f>
        <v/>
      </c>
      <c r="AL204" s="8" t="str">
        <f t="shared" si="35"/>
        <v/>
      </c>
      <c r="AM204" s="8" t="str">
        <f t="shared" si="36"/>
        <v/>
      </c>
      <c r="AN204" s="8" t="str">
        <f t="shared" si="37"/>
        <v/>
      </c>
      <c r="AO204" s="12"/>
      <c r="AP204" s="12"/>
      <c r="AQ204" s="12"/>
      <c r="AR204" s="12"/>
      <c r="AS204" s="12"/>
      <c r="AT204" s="15"/>
      <c r="AU204" s="12"/>
      <c r="AV204" s="16"/>
      <c r="AW204" s="12"/>
      <c r="AX204" s="15"/>
      <c r="AY204" s="15"/>
      <c r="AZ204" s="15"/>
      <c r="BA204" s="15"/>
      <c r="BB204" s="15"/>
      <c r="BC204" s="15"/>
      <c r="BD204" s="15"/>
      <c r="BE204" s="15"/>
      <c r="BF204" s="15"/>
    </row>
    <row r="205" spans="1:58" ht="19.5" customHeight="1" x14ac:dyDescent="0.2">
      <c r="A205" s="8" t="str">
        <f>IF($B205="","",TEXT($B205,"yyyymmdd")&amp;"-"&amp;SUBSTITUTE($F205," ","")&amp;"-"&amp;TEXT(COUNTIF($F$4:F205,$F205),"00"))</f>
        <v/>
      </c>
      <c r="B205" s="9"/>
      <c r="C205" s="8" t="str">
        <f t="shared" si="31"/>
        <v/>
      </c>
      <c r="D205" s="8" t="str">
        <f t="shared" si="32"/>
        <v/>
      </c>
      <c r="E205" s="10"/>
      <c r="F205" s="10"/>
      <c r="G205" s="8" t="str">
        <f>IF(OR($E205="",$F205=""),"",IFERROR(IF($E205=INDEX(Cluster_Master!$A$4:$A$18,MATCH($F205,Cluster_Master!$B$4:$B$18,0)),"OK","CHECK"),"CHECK"))</f>
        <v/>
      </c>
      <c r="H205" s="11" t="str">
        <f>IFERROR(INDEX(Cluster_Master!$C$4:$C$18,MATCH($F205,Cluster_Master!$B$4:$B$18,0)),"")</f>
        <v/>
      </c>
      <c r="I205" s="8" t="str">
        <f>IFERROR(INDEX(Cluster_Master!$D$4:$D$18,MATCH($F205,Cluster_Master!$B$4:$B$18,0)),"")</f>
        <v/>
      </c>
      <c r="J205" s="8" t="str">
        <f>IFERROR(INDEX(Cluster_Master!$E$4:$E$18,MATCH($F205,Cluster_Master!$B$4:$B$18,0)),"")</f>
        <v/>
      </c>
      <c r="K205" s="8" t="str">
        <f>IFERROR(INDEX(Cluster_Master!$F$4:$F$18,MATCH($F205,Cluster_Master!$B$4:$B$18,0)),"")</f>
        <v/>
      </c>
      <c r="L205" s="8" t="str">
        <f>IFERROR(INDEX(Cluster_Master!$G$4:$G$18,MATCH($F205,Cluster_Master!$B$4:$B$18,0)),"")</f>
        <v/>
      </c>
      <c r="M205" s="8" t="str">
        <f>IFERROR(INDEX(Cluster_Master!$H$4:$H$18,MATCH($F205,Cluster_Master!$B$4:$B$18,0)),"")</f>
        <v/>
      </c>
      <c r="N205" s="12"/>
      <c r="O205" s="12"/>
      <c r="P205" s="12"/>
      <c r="Q205" s="12"/>
      <c r="R205" s="12"/>
      <c r="S205" s="12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8" t="str">
        <f t="shared" si="33"/>
        <v/>
      </c>
      <c r="AJ205" s="14" t="str">
        <f t="shared" si="34"/>
        <v/>
      </c>
      <c r="AK205" s="14" t="str">
        <f>IF(COUNTA(T205:AH205)=0,"",(SUM(T205*KPI_Weights!$B$4,U205*KPI_Weights!$B$5,V205*KPI_Weights!$B$6,W205*KPI_Weights!$B$7,X205*KPI_Weights!$B$8,Y205*KPI_Weights!$B$9,Z205*KPI_Weights!$B$10,AA205*KPI_Weights!$B$11,AB205*KPI_Weights!$B$12,AC205*KPI_Weights!$B$13,AD205*KPI_Weights!$B$14,AE205*KPI_Weights!$B$15,AF205*KPI_Weights!$B$16,AG205*KPI_Weights!$B$17,AH205*KPI_Weights!$B$18))/5)</f>
        <v/>
      </c>
      <c r="AL205" s="8" t="str">
        <f t="shared" si="35"/>
        <v/>
      </c>
      <c r="AM205" s="8" t="str">
        <f t="shared" si="36"/>
        <v/>
      </c>
      <c r="AN205" s="8" t="str">
        <f t="shared" si="37"/>
        <v/>
      </c>
      <c r="AO205" s="12"/>
      <c r="AP205" s="12"/>
      <c r="AQ205" s="12"/>
      <c r="AR205" s="12"/>
      <c r="AS205" s="12"/>
      <c r="AT205" s="15"/>
      <c r="AU205" s="12"/>
      <c r="AV205" s="16"/>
      <c r="AW205" s="12"/>
      <c r="AX205" s="15"/>
      <c r="AY205" s="15"/>
      <c r="AZ205" s="15"/>
      <c r="BA205" s="15"/>
      <c r="BB205" s="15"/>
      <c r="BC205" s="15"/>
      <c r="BD205" s="15"/>
      <c r="BE205" s="15"/>
      <c r="BF205" s="15"/>
    </row>
    <row r="206" spans="1:58" ht="19.5" customHeight="1" x14ac:dyDescent="0.2">
      <c r="A206" s="8" t="str">
        <f>IF($B206="","",TEXT($B206,"yyyymmdd")&amp;"-"&amp;SUBSTITUTE($F206," ","")&amp;"-"&amp;TEXT(COUNTIF($F$4:F206,$F206),"00"))</f>
        <v/>
      </c>
      <c r="B206" s="9"/>
      <c r="C206" s="8" t="str">
        <f t="shared" si="31"/>
        <v/>
      </c>
      <c r="D206" s="8" t="str">
        <f t="shared" si="32"/>
        <v/>
      </c>
      <c r="E206" s="10"/>
      <c r="F206" s="10"/>
      <c r="G206" s="8" t="str">
        <f>IF(OR($E206="",$F206=""),"",IFERROR(IF($E206=INDEX(Cluster_Master!$A$4:$A$18,MATCH($F206,Cluster_Master!$B$4:$B$18,0)),"OK","CHECK"),"CHECK"))</f>
        <v/>
      </c>
      <c r="H206" s="11" t="str">
        <f>IFERROR(INDEX(Cluster_Master!$C$4:$C$18,MATCH($F206,Cluster_Master!$B$4:$B$18,0)),"")</f>
        <v/>
      </c>
      <c r="I206" s="8" t="str">
        <f>IFERROR(INDEX(Cluster_Master!$D$4:$D$18,MATCH($F206,Cluster_Master!$B$4:$B$18,0)),"")</f>
        <v/>
      </c>
      <c r="J206" s="8" t="str">
        <f>IFERROR(INDEX(Cluster_Master!$E$4:$E$18,MATCH($F206,Cluster_Master!$B$4:$B$18,0)),"")</f>
        <v/>
      </c>
      <c r="K206" s="8" t="str">
        <f>IFERROR(INDEX(Cluster_Master!$F$4:$F$18,MATCH($F206,Cluster_Master!$B$4:$B$18,0)),"")</f>
        <v/>
      </c>
      <c r="L206" s="8" t="str">
        <f>IFERROR(INDEX(Cluster_Master!$G$4:$G$18,MATCH($F206,Cluster_Master!$B$4:$B$18,0)),"")</f>
        <v/>
      </c>
      <c r="M206" s="8" t="str">
        <f>IFERROR(INDEX(Cluster_Master!$H$4:$H$18,MATCH($F206,Cluster_Master!$B$4:$B$18,0)),"")</f>
        <v/>
      </c>
      <c r="N206" s="12"/>
      <c r="O206" s="12"/>
      <c r="P206" s="12"/>
      <c r="Q206" s="12"/>
      <c r="R206" s="12"/>
      <c r="S206" s="12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8" t="str">
        <f t="shared" si="33"/>
        <v/>
      </c>
      <c r="AJ206" s="14" t="str">
        <f t="shared" si="34"/>
        <v/>
      </c>
      <c r="AK206" s="14" t="str">
        <f>IF(COUNTA(T206:AH206)=0,"",(SUM(T206*KPI_Weights!$B$4,U206*KPI_Weights!$B$5,V206*KPI_Weights!$B$6,W206*KPI_Weights!$B$7,X206*KPI_Weights!$B$8,Y206*KPI_Weights!$B$9,Z206*KPI_Weights!$B$10,AA206*KPI_Weights!$B$11,AB206*KPI_Weights!$B$12,AC206*KPI_Weights!$B$13,AD206*KPI_Weights!$B$14,AE206*KPI_Weights!$B$15,AF206*KPI_Weights!$B$16,AG206*KPI_Weights!$B$17,AH206*KPI_Weights!$B$18))/5)</f>
        <v/>
      </c>
      <c r="AL206" s="8" t="str">
        <f t="shared" si="35"/>
        <v/>
      </c>
      <c r="AM206" s="8" t="str">
        <f t="shared" si="36"/>
        <v/>
      </c>
      <c r="AN206" s="8" t="str">
        <f t="shared" si="37"/>
        <v/>
      </c>
      <c r="AO206" s="12"/>
      <c r="AP206" s="12"/>
      <c r="AQ206" s="12"/>
      <c r="AR206" s="12"/>
      <c r="AS206" s="12"/>
      <c r="AT206" s="15"/>
      <c r="AU206" s="12"/>
      <c r="AV206" s="16"/>
      <c r="AW206" s="12"/>
      <c r="AX206" s="15"/>
      <c r="AY206" s="15"/>
      <c r="AZ206" s="15"/>
      <c r="BA206" s="15"/>
      <c r="BB206" s="15"/>
      <c r="BC206" s="15"/>
      <c r="BD206" s="15"/>
      <c r="BE206" s="15"/>
      <c r="BF206" s="15"/>
    </row>
    <row r="207" spans="1:58" ht="19.5" customHeight="1" x14ac:dyDescent="0.2">
      <c r="A207" s="8" t="str">
        <f>IF($B207="","",TEXT($B207,"yyyymmdd")&amp;"-"&amp;SUBSTITUTE($F207," ","")&amp;"-"&amp;TEXT(COUNTIF($F$4:F207,$F207),"00"))</f>
        <v/>
      </c>
      <c r="B207" s="9"/>
      <c r="C207" s="8" t="str">
        <f t="shared" si="31"/>
        <v/>
      </c>
      <c r="D207" s="8" t="str">
        <f t="shared" si="32"/>
        <v/>
      </c>
      <c r="E207" s="10"/>
      <c r="F207" s="10"/>
      <c r="G207" s="8" t="str">
        <f>IF(OR($E207="",$F207=""),"",IFERROR(IF($E207=INDEX(Cluster_Master!$A$4:$A$18,MATCH($F207,Cluster_Master!$B$4:$B$18,0)),"OK","CHECK"),"CHECK"))</f>
        <v/>
      </c>
      <c r="H207" s="11" t="str">
        <f>IFERROR(INDEX(Cluster_Master!$C$4:$C$18,MATCH($F207,Cluster_Master!$B$4:$B$18,0)),"")</f>
        <v/>
      </c>
      <c r="I207" s="8" t="str">
        <f>IFERROR(INDEX(Cluster_Master!$D$4:$D$18,MATCH($F207,Cluster_Master!$B$4:$B$18,0)),"")</f>
        <v/>
      </c>
      <c r="J207" s="8" t="str">
        <f>IFERROR(INDEX(Cluster_Master!$E$4:$E$18,MATCH($F207,Cluster_Master!$B$4:$B$18,0)),"")</f>
        <v/>
      </c>
      <c r="K207" s="8" t="str">
        <f>IFERROR(INDEX(Cluster_Master!$F$4:$F$18,MATCH($F207,Cluster_Master!$B$4:$B$18,0)),"")</f>
        <v/>
      </c>
      <c r="L207" s="8" t="str">
        <f>IFERROR(INDEX(Cluster_Master!$G$4:$G$18,MATCH($F207,Cluster_Master!$B$4:$B$18,0)),"")</f>
        <v/>
      </c>
      <c r="M207" s="8" t="str">
        <f>IFERROR(INDEX(Cluster_Master!$H$4:$H$18,MATCH($F207,Cluster_Master!$B$4:$B$18,0)),"")</f>
        <v/>
      </c>
      <c r="N207" s="12"/>
      <c r="O207" s="12"/>
      <c r="P207" s="12"/>
      <c r="Q207" s="12"/>
      <c r="R207" s="12"/>
      <c r="S207" s="12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8" t="str">
        <f t="shared" si="33"/>
        <v/>
      </c>
      <c r="AJ207" s="14" t="str">
        <f t="shared" si="34"/>
        <v/>
      </c>
      <c r="AK207" s="14" t="str">
        <f>IF(COUNTA(T207:AH207)=0,"",(SUM(T207*KPI_Weights!$B$4,U207*KPI_Weights!$B$5,V207*KPI_Weights!$B$6,W207*KPI_Weights!$B$7,X207*KPI_Weights!$B$8,Y207*KPI_Weights!$B$9,Z207*KPI_Weights!$B$10,AA207*KPI_Weights!$B$11,AB207*KPI_Weights!$B$12,AC207*KPI_Weights!$B$13,AD207*KPI_Weights!$B$14,AE207*KPI_Weights!$B$15,AF207*KPI_Weights!$B$16,AG207*KPI_Weights!$B$17,AH207*KPI_Weights!$B$18))/5)</f>
        <v/>
      </c>
      <c r="AL207" s="8" t="str">
        <f t="shared" si="35"/>
        <v/>
      </c>
      <c r="AM207" s="8" t="str">
        <f t="shared" si="36"/>
        <v/>
      </c>
      <c r="AN207" s="8" t="str">
        <f t="shared" si="37"/>
        <v/>
      </c>
      <c r="AO207" s="12"/>
      <c r="AP207" s="12"/>
      <c r="AQ207" s="12"/>
      <c r="AR207" s="12"/>
      <c r="AS207" s="12"/>
      <c r="AT207" s="15"/>
      <c r="AU207" s="12"/>
      <c r="AV207" s="16"/>
      <c r="AW207" s="12"/>
      <c r="AX207" s="15"/>
      <c r="AY207" s="15"/>
      <c r="AZ207" s="15"/>
      <c r="BA207" s="15"/>
      <c r="BB207" s="15"/>
      <c r="BC207" s="15"/>
      <c r="BD207" s="15"/>
      <c r="BE207" s="15"/>
      <c r="BF207" s="15"/>
    </row>
    <row r="208" spans="1:58" ht="19.5" customHeight="1" x14ac:dyDescent="0.2">
      <c r="A208" s="8" t="str">
        <f>IF($B208="","",TEXT($B208,"yyyymmdd")&amp;"-"&amp;SUBSTITUTE($F208," ","")&amp;"-"&amp;TEXT(COUNTIF($F$4:F208,$F208),"00"))</f>
        <v/>
      </c>
      <c r="B208" s="9"/>
      <c r="C208" s="8" t="str">
        <f t="shared" si="31"/>
        <v/>
      </c>
      <c r="D208" s="8" t="str">
        <f t="shared" si="32"/>
        <v/>
      </c>
      <c r="E208" s="10"/>
      <c r="F208" s="10"/>
      <c r="G208" s="8" t="str">
        <f>IF(OR($E208="",$F208=""),"",IFERROR(IF($E208=INDEX(Cluster_Master!$A$4:$A$18,MATCH($F208,Cluster_Master!$B$4:$B$18,0)),"OK","CHECK"),"CHECK"))</f>
        <v/>
      </c>
      <c r="H208" s="11" t="str">
        <f>IFERROR(INDEX(Cluster_Master!$C$4:$C$18,MATCH($F208,Cluster_Master!$B$4:$B$18,0)),"")</f>
        <v/>
      </c>
      <c r="I208" s="8" t="str">
        <f>IFERROR(INDEX(Cluster_Master!$D$4:$D$18,MATCH($F208,Cluster_Master!$B$4:$B$18,0)),"")</f>
        <v/>
      </c>
      <c r="J208" s="8" t="str">
        <f>IFERROR(INDEX(Cluster_Master!$E$4:$E$18,MATCH($F208,Cluster_Master!$B$4:$B$18,0)),"")</f>
        <v/>
      </c>
      <c r="K208" s="8" t="str">
        <f>IFERROR(INDEX(Cluster_Master!$F$4:$F$18,MATCH($F208,Cluster_Master!$B$4:$B$18,0)),"")</f>
        <v/>
      </c>
      <c r="L208" s="8" t="str">
        <f>IFERROR(INDEX(Cluster_Master!$G$4:$G$18,MATCH($F208,Cluster_Master!$B$4:$B$18,0)),"")</f>
        <v/>
      </c>
      <c r="M208" s="8" t="str">
        <f>IFERROR(INDEX(Cluster_Master!$H$4:$H$18,MATCH($F208,Cluster_Master!$B$4:$B$18,0)),"")</f>
        <v/>
      </c>
      <c r="N208" s="12"/>
      <c r="O208" s="12"/>
      <c r="P208" s="12"/>
      <c r="Q208" s="12"/>
      <c r="R208" s="12"/>
      <c r="S208" s="12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8" t="str">
        <f t="shared" si="33"/>
        <v/>
      </c>
      <c r="AJ208" s="14" t="str">
        <f t="shared" si="34"/>
        <v/>
      </c>
      <c r="AK208" s="14" t="str">
        <f>IF(COUNTA(T208:AH208)=0,"",(SUM(T208*KPI_Weights!$B$4,U208*KPI_Weights!$B$5,V208*KPI_Weights!$B$6,W208*KPI_Weights!$B$7,X208*KPI_Weights!$B$8,Y208*KPI_Weights!$B$9,Z208*KPI_Weights!$B$10,AA208*KPI_Weights!$B$11,AB208*KPI_Weights!$B$12,AC208*KPI_Weights!$B$13,AD208*KPI_Weights!$B$14,AE208*KPI_Weights!$B$15,AF208*KPI_Weights!$B$16,AG208*KPI_Weights!$B$17,AH208*KPI_Weights!$B$18))/5)</f>
        <v/>
      </c>
      <c r="AL208" s="8" t="str">
        <f t="shared" si="35"/>
        <v/>
      </c>
      <c r="AM208" s="8" t="str">
        <f t="shared" si="36"/>
        <v/>
      </c>
      <c r="AN208" s="8" t="str">
        <f t="shared" si="37"/>
        <v/>
      </c>
      <c r="AO208" s="12"/>
      <c r="AP208" s="12"/>
      <c r="AQ208" s="12"/>
      <c r="AR208" s="12"/>
      <c r="AS208" s="12"/>
      <c r="AT208" s="15"/>
      <c r="AU208" s="12"/>
      <c r="AV208" s="16"/>
      <c r="AW208" s="12"/>
      <c r="AX208" s="15"/>
      <c r="AY208" s="15"/>
      <c r="AZ208" s="15"/>
      <c r="BA208" s="15"/>
      <c r="BB208" s="15"/>
      <c r="BC208" s="15"/>
      <c r="BD208" s="15"/>
      <c r="BE208" s="15"/>
      <c r="BF208" s="15"/>
    </row>
    <row r="209" spans="1:58" ht="19.5" customHeight="1" x14ac:dyDescent="0.2">
      <c r="A209" s="8" t="str">
        <f>IF($B209="","",TEXT($B209,"yyyymmdd")&amp;"-"&amp;SUBSTITUTE($F209," ","")&amp;"-"&amp;TEXT(COUNTIF($F$4:F209,$F209),"00"))</f>
        <v/>
      </c>
      <c r="B209" s="9"/>
      <c r="C209" s="8" t="str">
        <f t="shared" si="31"/>
        <v/>
      </c>
      <c r="D209" s="8" t="str">
        <f t="shared" si="32"/>
        <v/>
      </c>
      <c r="E209" s="10"/>
      <c r="F209" s="10"/>
      <c r="G209" s="8" t="str">
        <f>IF(OR($E209="",$F209=""),"",IFERROR(IF($E209=INDEX(Cluster_Master!$A$4:$A$18,MATCH($F209,Cluster_Master!$B$4:$B$18,0)),"OK","CHECK"),"CHECK"))</f>
        <v/>
      </c>
      <c r="H209" s="11" t="str">
        <f>IFERROR(INDEX(Cluster_Master!$C$4:$C$18,MATCH($F209,Cluster_Master!$B$4:$B$18,0)),"")</f>
        <v/>
      </c>
      <c r="I209" s="8" t="str">
        <f>IFERROR(INDEX(Cluster_Master!$D$4:$D$18,MATCH($F209,Cluster_Master!$B$4:$B$18,0)),"")</f>
        <v/>
      </c>
      <c r="J209" s="8" t="str">
        <f>IFERROR(INDEX(Cluster_Master!$E$4:$E$18,MATCH($F209,Cluster_Master!$B$4:$B$18,0)),"")</f>
        <v/>
      </c>
      <c r="K209" s="8" t="str">
        <f>IFERROR(INDEX(Cluster_Master!$F$4:$F$18,MATCH($F209,Cluster_Master!$B$4:$B$18,0)),"")</f>
        <v/>
      </c>
      <c r="L209" s="8" t="str">
        <f>IFERROR(INDEX(Cluster_Master!$G$4:$G$18,MATCH($F209,Cluster_Master!$B$4:$B$18,0)),"")</f>
        <v/>
      </c>
      <c r="M209" s="8" t="str">
        <f>IFERROR(INDEX(Cluster_Master!$H$4:$H$18,MATCH($F209,Cluster_Master!$B$4:$B$18,0)),"")</f>
        <v/>
      </c>
      <c r="N209" s="12"/>
      <c r="O209" s="12"/>
      <c r="P209" s="12"/>
      <c r="Q209" s="12"/>
      <c r="R209" s="12"/>
      <c r="S209" s="12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8" t="str">
        <f t="shared" si="33"/>
        <v/>
      </c>
      <c r="AJ209" s="14" t="str">
        <f t="shared" si="34"/>
        <v/>
      </c>
      <c r="AK209" s="14" t="str">
        <f>IF(COUNTA(T209:AH209)=0,"",(SUM(T209*KPI_Weights!$B$4,U209*KPI_Weights!$B$5,V209*KPI_Weights!$B$6,W209*KPI_Weights!$B$7,X209*KPI_Weights!$B$8,Y209*KPI_Weights!$B$9,Z209*KPI_Weights!$B$10,AA209*KPI_Weights!$B$11,AB209*KPI_Weights!$B$12,AC209*KPI_Weights!$B$13,AD209*KPI_Weights!$B$14,AE209*KPI_Weights!$B$15,AF209*KPI_Weights!$B$16,AG209*KPI_Weights!$B$17,AH209*KPI_Weights!$B$18))/5)</f>
        <v/>
      </c>
      <c r="AL209" s="8" t="str">
        <f t="shared" si="35"/>
        <v/>
      </c>
      <c r="AM209" s="8" t="str">
        <f t="shared" si="36"/>
        <v/>
      </c>
      <c r="AN209" s="8" t="str">
        <f t="shared" si="37"/>
        <v/>
      </c>
      <c r="AO209" s="12"/>
      <c r="AP209" s="12"/>
      <c r="AQ209" s="12"/>
      <c r="AR209" s="12"/>
      <c r="AS209" s="12"/>
      <c r="AT209" s="15"/>
      <c r="AU209" s="12"/>
      <c r="AV209" s="16"/>
      <c r="AW209" s="12"/>
      <c r="AX209" s="15"/>
      <c r="AY209" s="15"/>
      <c r="AZ209" s="15"/>
      <c r="BA209" s="15"/>
      <c r="BB209" s="15"/>
      <c r="BC209" s="15"/>
      <c r="BD209" s="15"/>
      <c r="BE209" s="15"/>
      <c r="BF209" s="15"/>
    </row>
    <row r="210" spans="1:58" ht="19.5" customHeight="1" x14ac:dyDescent="0.2">
      <c r="A210" s="8" t="str">
        <f>IF($B210="","",TEXT($B210,"yyyymmdd")&amp;"-"&amp;SUBSTITUTE($F210," ","")&amp;"-"&amp;TEXT(COUNTIF($F$4:F210,$F210),"00"))</f>
        <v/>
      </c>
      <c r="B210" s="9"/>
      <c r="C210" s="8" t="str">
        <f t="shared" si="31"/>
        <v/>
      </c>
      <c r="D210" s="8" t="str">
        <f t="shared" si="32"/>
        <v/>
      </c>
      <c r="E210" s="10"/>
      <c r="F210" s="10"/>
      <c r="G210" s="8" t="str">
        <f>IF(OR($E210="",$F210=""),"",IFERROR(IF($E210=INDEX(Cluster_Master!$A$4:$A$18,MATCH($F210,Cluster_Master!$B$4:$B$18,0)),"OK","CHECK"),"CHECK"))</f>
        <v/>
      </c>
      <c r="H210" s="11" t="str">
        <f>IFERROR(INDEX(Cluster_Master!$C$4:$C$18,MATCH($F210,Cluster_Master!$B$4:$B$18,0)),"")</f>
        <v/>
      </c>
      <c r="I210" s="8" t="str">
        <f>IFERROR(INDEX(Cluster_Master!$D$4:$D$18,MATCH($F210,Cluster_Master!$B$4:$B$18,0)),"")</f>
        <v/>
      </c>
      <c r="J210" s="8" t="str">
        <f>IFERROR(INDEX(Cluster_Master!$E$4:$E$18,MATCH($F210,Cluster_Master!$B$4:$B$18,0)),"")</f>
        <v/>
      </c>
      <c r="K210" s="8" t="str">
        <f>IFERROR(INDEX(Cluster_Master!$F$4:$F$18,MATCH($F210,Cluster_Master!$B$4:$B$18,0)),"")</f>
        <v/>
      </c>
      <c r="L210" s="8" t="str">
        <f>IFERROR(INDEX(Cluster_Master!$G$4:$G$18,MATCH($F210,Cluster_Master!$B$4:$B$18,0)),"")</f>
        <v/>
      </c>
      <c r="M210" s="8" t="str">
        <f>IFERROR(INDEX(Cluster_Master!$H$4:$H$18,MATCH($F210,Cluster_Master!$B$4:$B$18,0)),"")</f>
        <v/>
      </c>
      <c r="N210" s="12"/>
      <c r="O210" s="12"/>
      <c r="P210" s="12"/>
      <c r="Q210" s="12"/>
      <c r="R210" s="12"/>
      <c r="S210" s="12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8" t="str">
        <f t="shared" si="33"/>
        <v/>
      </c>
      <c r="AJ210" s="14" t="str">
        <f t="shared" si="34"/>
        <v/>
      </c>
      <c r="AK210" s="14" t="str">
        <f>IF(COUNTA(T210:AH210)=0,"",(SUM(T210*KPI_Weights!$B$4,U210*KPI_Weights!$B$5,V210*KPI_Weights!$B$6,W210*KPI_Weights!$B$7,X210*KPI_Weights!$B$8,Y210*KPI_Weights!$B$9,Z210*KPI_Weights!$B$10,AA210*KPI_Weights!$B$11,AB210*KPI_Weights!$B$12,AC210*KPI_Weights!$B$13,AD210*KPI_Weights!$B$14,AE210*KPI_Weights!$B$15,AF210*KPI_Weights!$B$16,AG210*KPI_Weights!$B$17,AH210*KPI_Weights!$B$18))/5)</f>
        <v/>
      </c>
      <c r="AL210" s="8" t="str">
        <f t="shared" si="35"/>
        <v/>
      </c>
      <c r="AM210" s="8" t="str">
        <f t="shared" si="36"/>
        <v/>
      </c>
      <c r="AN210" s="8" t="str">
        <f t="shared" si="37"/>
        <v/>
      </c>
      <c r="AO210" s="12"/>
      <c r="AP210" s="12"/>
      <c r="AQ210" s="12"/>
      <c r="AR210" s="12"/>
      <c r="AS210" s="12"/>
      <c r="AT210" s="15"/>
      <c r="AU210" s="12"/>
      <c r="AV210" s="16"/>
      <c r="AW210" s="12"/>
      <c r="AX210" s="15"/>
      <c r="AY210" s="15"/>
      <c r="AZ210" s="15"/>
      <c r="BA210" s="15"/>
      <c r="BB210" s="15"/>
      <c r="BC210" s="15"/>
      <c r="BD210" s="15"/>
      <c r="BE210" s="15"/>
      <c r="BF210" s="15"/>
    </row>
    <row r="211" spans="1:58" ht="19.5" customHeight="1" x14ac:dyDescent="0.2">
      <c r="A211" s="8" t="str">
        <f>IF($B211="","",TEXT($B211,"yyyymmdd")&amp;"-"&amp;SUBSTITUTE($F211," ","")&amp;"-"&amp;TEXT(COUNTIF($F$4:F211,$F211),"00"))</f>
        <v/>
      </c>
      <c r="B211" s="9"/>
      <c r="C211" s="8" t="str">
        <f t="shared" si="31"/>
        <v/>
      </c>
      <c r="D211" s="8" t="str">
        <f t="shared" si="32"/>
        <v/>
      </c>
      <c r="E211" s="10"/>
      <c r="F211" s="10"/>
      <c r="G211" s="8" t="str">
        <f>IF(OR($E211="",$F211=""),"",IFERROR(IF($E211=INDEX(Cluster_Master!$A$4:$A$18,MATCH($F211,Cluster_Master!$B$4:$B$18,0)),"OK","CHECK"),"CHECK"))</f>
        <v/>
      </c>
      <c r="H211" s="11" t="str">
        <f>IFERROR(INDEX(Cluster_Master!$C$4:$C$18,MATCH($F211,Cluster_Master!$B$4:$B$18,0)),"")</f>
        <v/>
      </c>
      <c r="I211" s="8" t="str">
        <f>IFERROR(INDEX(Cluster_Master!$D$4:$D$18,MATCH($F211,Cluster_Master!$B$4:$B$18,0)),"")</f>
        <v/>
      </c>
      <c r="J211" s="8" t="str">
        <f>IFERROR(INDEX(Cluster_Master!$E$4:$E$18,MATCH($F211,Cluster_Master!$B$4:$B$18,0)),"")</f>
        <v/>
      </c>
      <c r="K211" s="8" t="str">
        <f>IFERROR(INDEX(Cluster_Master!$F$4:$F$18,MATCH($F211,Cluster_Master!$B$4:$B$18,0)),"")</f>
        <v/>
      </c>
      <c r="L211" s="8" t="str">
        <f>IFERROR(INDEX(Cluster_Master!$G$4:$G$18,MATCH($F211,Cluster_Master!$B$4:$B$18,0)),"")</f>
        <v/>
      </c>
      <c r="M211" s="8" t="str">
        <f>IFERROR(INDEX(Cluster_Master!$H$4:$H$18,MATCH($F211,Cluster_Master!$B$4:$B$18,0)),"")</f>
        <v/>
      </c>
      <c r="N211" s="12"/>
      <c r="O211" s="12"/>
      <c r="P211" s="12"/>
      <c r="Q211" s="12"/>
      <c r="R211" s="12"/>
      <c r="S211" s="12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8" t="str">
        <f t="shared" si="33"/>
        <v/>
      </c>
      <c r="AJ211" s="14" t="str">
        <f t="shared" si="34"/>
        <v/>
      </c>
      <c r="AK211" s="14" t="str">
        <f>IF(COUNTA(T211:AH211)=0,"",(SUM(T211*KPI_Weights!$B$4,U211*KPI_Weights!$B$5,V211*KPI_Weights!$B$6,W211*KPI_Weights!$B$7,X211*KPI_Weights!$B$8,Y211*KPI_Weights!$B$9,Z211*KPI_Weights!$B$10,AA211*KPI_Weights!$B$11,AB211*KPI_Weights!$B$12,AC211*KPI_Weights!$B$13,AD211*KPI_Weights!$B$14,AE211*KPI_Weights!$B$15,AF211*KPI_Weights!$B$16,AG211*KPI_Weights!$B$17,AH211*KPI_Weights!$B$18))/5)</f>
        <v/>
      </c>
      <c r="AL211" s="8" t="str">
        <f t="shared" si="35"/>
        <v/>
      </c>
      <c r="AM211" s="8" t="str">
        <f t="shared" si="36"/>
        <v/>
      </c>
      <c r="AN211" s="8" t="str">
        <f t="shared" si="37"/>
        <v/>
      </c>
      <c r="AO211" s="12"/>
      <c r="AP211" s="12"/>
      <c r="AQ211" s="12"/>
      <c r="AR211" s="12"/>
      <c r="AS211" s="12"/>
      <c r="AT211" s="15"/>
      <c r="AU211" s="12"/>
      <c r="AV211" s="16"/>
      <c r="AW211" s="12"/>
      <c r="AX211" s="15"/>
      <c r="AY211" s="15"/>
      <c r="AZ211" s="15"/>
      <c r="BA211" s="15"/>
      <c r="BB211" s="15"/>
      <c r="BC211" s="15"/>
      <c r="BD211" s="15"/>
      <c r="BE211" s="15"/>
      <c r="BF211" s="15"/>
    </row>
    <row r="212" spans="1:58" ht="19.5" customHeight="1" x14ac:dyDescent="0.2">
      <c r="A212" s="8" t="str">
        <f>IF($B212="","",TEXT($B212,"yyyymmdd")&amp;"-"&amp;SUBSTITUTE($F212," ","")&amp;"-"&amp;TEXT(COUNTIF($F$4:F212,$F212),"00"))</f>
        <v/>
      </c>
      <c r="B212" s="9"/>
      <c r="C212" s="8" t="str">
        <f t="shared" si="31"/>
        <v/>
      </c>
      <c r="D212" s="8" t="str">
        <f t="shared" si="32"/>
        <v/>
      </c>
      <c r="E212" s="10"/>
      <c r="F212" s="10"/>
      <c r="G212" s="8" t="str">
        <f>IF(OR($E212="",$F212=""),"",IFERROR(IF($E212=INDEX(Cluster_Master!$A$4:$A$18,MATCH($F212,Cluster_Master!$B$4:$B$18,0)),"OK","CHECK"),"CHECK"))</f>
        <v/>
      </c>
      <c r="H212" s="11" t="str">
        <f>IFERROR(INDEX(Cluster_Master!$C$4:$C$18,MATCH($F212,Cluster_Master!$B$4:$B$18,0)),"")</f>
        <v/>
      </c>
      <c r="I212" s="8" t="str">
        <f>IFERROR(INDEX(Cluster_Master!$D$4:$D$18,MATCH($F212,Cluster_Master!$B$4:$B$18,0)),"")</f>
        <v/>
      </c>
      <c r="J212" s="8" t="str">
        <f>IFERROR(INDEX(Cluster_Master!$E$4:$E$18,MATCH($F212,Cluster_Master!$B$4:$B$18,0)),"")</f>
        <v/>
      </c>
      <c r="K212" s="8" t="str">
        <f>IFERROR(INDEX(Cluster_Master!$F$4:$F$18,MATCH($F212,Cluster_Master!$B$4:$B$18,0)),"")</f>
        <v/>
      </c>
      <c r="L212" s="8" t="str">
        <f>IFERROR(INDEX(Cluster_Master!$G$4:$G$18,MATCH($F212,Cluster_Master!$B$4:$B$18,0)),"")</f>
        <v/>
      </c>
      <c r="M212" s="8" t="str">
        <f>IFERROR(INDEX(Cluster_Master!$H$4:$H$18,MATCH($F212,Cluster_Master!$B$4:$B$18,0)),"")</f>
        <v/>
      </c>
      <c r="N212" s="12"/>
      <c r="O212" s="12"/>
      <c r="P212" s="12"/>
      <c r="Q212" s="12"/>
      <c r="R212" s="12"/>
      <c r="S212" s="12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8" t="str">
        <f t="shared" si="33"/>
        <v/>
      </c>
      <c r="AJ212" s="14" t="str">
        <f t="shared" si="34"/>
        <v/>
      </c>
      <c r="AK212" s="14" t="str">
        <f>IF(COUNTA(T212:AH212)=0,"",(SUM(T212*KPI_Weights!$B$4,U212*KPI_Weights!$B$5,V212*KPI_Weights!$B$6,W212*KPI_Weights!$B$7,X212*KPI_Weights!$B$8,Y212*KPI_Weights!$B$9,Z212*KPI_Weights!$B$10,AA212*KPI_Weights!$B$11,AB212*KPI_Weights!$B$12,AC212*KPI_Weights!$B$13,AD212*KPI_Weights!$B$14,AE212*KPI_Weights!$B$15,AF212*KPI_Weights!$B$16,AG212*KPI_Weights!$B$17,AH212*KPI_Weights!$B$18))/5)</f>
        <v/>
      </c>
      <c r="AL212" s="8" t="str">
        <f t="shared" si="35"/>
        <v/>
      </c>
      <c r="AM212" s="8" t="str">
        <f t="shared" si="36"/>
        <v/>
      </c>
      <c r="AN212" s="8" t="str">
        <f t="shared" si="37"/>
        <v/>
      </c>
      <c r="AO212" s="12"/>
      <c r="AP212" s="12"/>
      <c r="AQ212" s="12"/>
      <c r="AR212" s="12"/>
      <c r="AS212" s="12"/>
      <c r="AT212" s="15"/>
      <c r="AU212" s="12"/>
      <c r="AV212" s="16"/>
      <c r="AW212" s="12"/>
      <c r="AX212" s="15"/>
      <c r="AY212" s="15"/>
      <c r="AZ212" s="15"/>
      <c r="BA212" s="15"/>
      <c r="BB212" s="15"/>
      <c r="BC212" s="15"/>
      <c r="BD212" s="15"/>
      <c r="BE212" s="15"/>
      <c r="BF212" s="15"/>
    </row>
    <row r="213" spans="1:58" ht="19.5" customHeight="1" x14ac:dyDescent="0.2">
      <c r="A213" s="8" t="str">
        <f>IF($B213="","",TEXT($B213,"yyyymmdd")&amp;"-"&amp;SUBSTITUTE($F213," ","")&amp;"-"&amp;TEXT(COUNTIF($F$4:F213,$F213),"00"))</f>
        <v/>
      </c>
      <c r="B213" s="9"/>
      <c r="C213" s="8" t="str">
        <f t="shared" si="31"/>
        <v/>
      </c>
      <c r="D213" s="8" t="str">
        <f t="shared" si="32"/>
        <v/>
      </c>
      <c r="E213" s="10"/>
      <c r="F213" s="10"/>
      <c r="G213" s="8" t="str">
        <f>IF(OR($E213="",$F213=""),"",IFERROR(IF($E213=INDEX(Cluster_Master!$A$4:$A$18,MATCH($F213,Cluster_Master!$B$4:$B$18,0)),"OK","CHECK"),"CHECK"))</f>
        <v/>
      </c>
      <c r="H213" s="11" t="str">
        <f>IFERROR(INDEX(Cluster_Master!$C$4:$C$18,MATCH($F213,Cluster_Master!$B$4:$B$18,0)),"")</f>
        <v/>
      </c>
      <c r="I213" s="8" t="str">
        <f>IFERROR(INDEX(Cluster_Master!$D$4:$D$18,MATCH($F213,Cluster_Master!$B$4:$B$18,0)),"")</f>
        <v/>
      </c>
      <c r="J213" s="8" t="str">
        <f>IFERROR(INDEX(Cluster_Master!$E$4:$E$18,MATCH($F213,Cluster_Master!$B$4:$B$18,0)),"")</f>
        <v/>
      </c>
      <c r="K213" s="8" t="str">
        <f>IFERROR(INDEX(Cluster_Master!$F$4:$F$18,MATCH($F213,Cluster_Master!$B$4:$B$18,0)),"")</f>
        <v/>
      </c>
      <c r="L213" s="8" t="str">
        <f>IFERROR(INDEX(Cluster_Master!$G$4:$G$18,MATCH($F213,Cluster_Master!$B$4:$B$18,0)),"")</f>
        <v/>
      </c>
      <c r="M213" s="8" t="str">
        <f>IFERROR(INDEX(Cluster_Master!$H$4:$H$18,MATCH($F213,Cluster_Master!$B$4:$B$18,0)),"")</f>
        <v/>
      </c>
      <c r="N213" s="12"/>
      <c r="O213" s="12"/>
      <c r="P213" s="12"/>
      <c r="Q213" s="12"/>
      <c r="R213" s="12"/>
      <c r="S213" s="12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8" t="str">
        <f t="shared" si="33"/>
        <v/>
      </c>
      <c r="AJ213" s="14" t="str">
        <f t="shared" si="34"/>
        <v/>
      </c>
      <c r="AK213" s="14" t="str">
        <f>IF(COUNTA(T213:AH213)=0,"",(SUM(T213*KPI_Weights!$B$4,U213*KPI_Weights!$B$5,V213*KPI_Weights!$B$6,W213*KPI_Weights!$B$7,X213*KPI_Weights!$B$8,Y213*KPI_Weights!$B$9,Z213*KPI_Weights!$B$10,AA213*KPI_Weights!$B$11,AB213*KPI_Weights!$B$12,AC213*KPI_Weights!$B$13,AD213*KPI_Weights!$B$14,AE213*KPI_Weights!$B$15,AF213*KPI_Weights!$B$16,AG213*KPI_Weights!$B$17,AH213*KPI_Weights!$B$18))/5)</f>
        <v/>
      </c>
      <c r="AL213" s="8" t="str">
        <f t="shared" si="35"/>
        <v/>
      </c>
      <c r="AM213" s="8" t="str">
        <f t="shared" si="36"/>
        <v/>
      </c>
      <c r="AN213" s="8" t="str">
        <f t="shared" si="37"/>
        <v/>
      </c>
      <c r="AO213" s="12"/>
      <c r="AP213" s="12"/>
      <c r="AQ213" s="12"/>
      <c r="AR213" s="12"/>
      <c r="AS213" s="12"/>
      <c r="AT213" s="15"/>
      <c r="AU213" s="12"/>
      <c r="AV213" s="16"/>
      <c r="AW213" s="12"/>
      <c r="AX213" s="15"/>
      <c r="AY213" s="15"/>
      <c r="AZ213" s="15"/>
      <c r="BA213" s="15"/>
      <c r="BB213" s="15"/>
      <c r="BC213" s="15"/>
      <c r="BD213" s="15"/>
      <c r="BE213" s="15"/>
      <c r="BF213" s="15"/>
    </row>
    <row r="214" spans="1:58" ht="19.5" customHeight="1" x14ac:dyDescent="0.2">
      <c r="A214" s="8" t="str">
        <f>IF($B214="","",TEXT($B214,"yyyymmdd")&amp;"-"&amp;SUBSTITUTE($F214," ","")&amp;"-"&amp;TEXT(COUNTIF($F$4:F214,$F214),"00"))</f>
        <v/>
      </c>
      <c r="B214" s="9"/>
      <c r="C214" s="8" t="str">
        <f t="shared" si="31"/>
        <v/>
      </c>
      <c r="D214" s="8" t="str">
        <f t="shared" si="32"/>
        <v/>
      </c>
      <c r="E214" s="10"/>
      <c r="F214" s="10"/>
      <c r="G214" s="8" t="str">
        <f>IF(OR($E214="",$F214=""),"",IFERROR(IF($E214=INDEX(Cluster_Master!$A$4:$A$18,MATCH($F214,Cluster_Master!$B$4:$B$18,0)),"OK","CHECK"),"CHECK"))</f>
        <v/>
      </c>
      <c r="H214" s="11" t="str">
        <f>IFERROR(INDEX(Cluster_Master!$C$4:$C$18,MATCH($F214,Cluster_Master!$B$4:$B$18,0)),"")</f>
        <v/>
      </c>
      <c r="I214" s="8" t="str">
        <f>IFERROR(INDEX(Cluster_Master!$D$4:$D$18,MATCH($F214,Cluster_Master!$B$4:$B$18,0)),"")</f>
        <v/>
      </c>
      <c r="J214" s="8" t="str">
        <f>IFERROR(INDEX(Cluster_Master!$E$4:$E$18,MATCH($F214,Cluster_Master!$B$4:$B$18,0)),"")</f>
        <v/>
      </c>
      <c r="K214" s="8" t="str">
        <f>IFERROR(INDEX(Cluster_Master!$F$4:$F$18,MATCH($F214,Cluster_Master!$B$4:$B$18,0)),"")</f>
        <v/>
      </c>
      <c r="L214" s="8" t="str">
        <f>IFERROR(INDEX(Cluster_Master!$G$4:$G$18,MATCH($F214,Cluster_Master!$B$4:$B$18,0)),"")</f>
        <v/>
      </c>
      <c r="M214" s="8" t="str">
        <f>IFERROR(INDEX(Cluster_Master!$H$4:$H$18,MATCH($F214,Cluster_Master!$B$4:$B$18,0)),"")</f>
        <v/>
      </c>
      <c r="N214" s="12"/>
      <c r="O214" s="12"/>
      <c r="P214" s="12"/>
      <c r="Q214" s="12"/>
      <c r="R214" s="12"/>
      <c r="S214" s="12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8" t="str">
        <f t="shared" si="33"/>
        <v/>
      </c>
      <c r="AJ214" s="14" t="str">
        <f t="shared" si="34"/>
        <v/>
      </c>
      <c r="AK214" s="14" t="str">
        <f>IF(COUNTA(T214:AH214)=0,"",(SUM(T214*KPI_Weights!$B$4,U214*KPI_Weights!$B$5,V214*KPI_Weights!$B$6,W214*KPI_Weights!$B$7,X214*KPI_Weights!$B$8,Y214*KPI_Weights!$B$9,Z214*KPI_Weights!$B$10,AA214*KPI_Weights!$B$11,AB214*KPI_Weights!$B$12,AC214*KPI_Weights!$B$13,AD214*KPI_Weights!$B$14,AE214*KPI_Weights!$B$15,AF214*KPI_Weights!$B$16,AG214*KPI_Weights!$B$17,AH214*KPI_Weights!$B$18))/5)</f>
        <v/>
      </c>
      <c r="AL214" s="8" t="str">
        <f t="shared" si="35"/>
        <v/>
      </c>
      <c r="AM214" s="8" t="str">
        <f t="shared" si="36"/>
        <v/>
      </c>
      <c r="AN214" s="8" t="str">
        <f t="shared" si="37"/>
        <v/>
      </c>
      <c r="AO214" s="12"/>
      <c r="AP214" s="12"/>
      <c r="AQ214" s="12"/>
      <c r="AR214" s="12"/>
      <c r="AS214" s="12"/>
      <c r="AT214" s="15"/>
      <c r="AU214" s="12"/>
      <c r="AV214" s="16"/>
      <c r="AW214" s="12"/>
      <c r="AX214" s="15"/>
      <c r="AY214" s="15"/>
      <c r="AZ214" s="15"/>
      <c r="BA214" s="15"/>
      <c r="BB214" s="15"/>
      <c r="BC214" s="15"/>
      <c r="BD214" s="15"/>
      <c r="BE214" s="15"/>
      <c r="BF214" s="15"/>
    </row>
    <row r="215" spans="1:58" ht="19.5" customHeight="1" x14ac:dyDescent="0.2">
      <c r="A215" s="8" t="str">
        <f>IF($B215="","",TEXT($B215,"yyyymmdd")&amp;"-"&amp;SUBSTITUTE($F215," ","")&amp;"-"&amp;TEXT(COUNTIF($F$4:F215,$F215),"00"))</f>
        <v/>
      </c>
      <c r="B215" s="9"/>
      <c r="C215" s="8" t="str">
        <f t="shared" si="31"/>
        <v/>
      </c>
      <c r="D215" s="8" t="str">
        <f t="shared" si="32"/>
        <v/>
      </c>
      <c r="E215" s="10"/>
      <c r="F215" s="10"/>
      <c r="G215" s="8" t="str">
        <f>IF(OR($E215="",$F215=""),"",IFERROR(IF($E215=INDEX(Cluster_Master!$A$4:$A$18,MATCH($F215,Cluster_Master!$B$4:$B$18,0)),"OK","CHECK"),"CHECK"))</f>
        <v/>
      </c>
      <c r="H215" s="11" t="str">
        <f>IFERROR(INDEX(Cluster_Master!$C$4:$C$18,MATCH($F215,Cluster_Master!$B$4:$B$18,0)),"")</f>
        <v/>
      </c>
      <c r="I215" s="8" t="str">
        <f>IFERROR(INDEX(Cluster_Master!$D$4:$D$18,MATCH($F215,Cluster_Master!$B$4:$B$18,0)),"")</f>
        <v/>
      </c>
      <c r="J215" s="8" t="str">
        <f>IFERROR(INDEX(Cluster_Master!$E$4:$E$18,MATCH($F215,Cluster_Master!$B$4:$B$18,0)),"")</f>
        <v/>
      </c>
      <c r="K215" s="8" t="str">
        <f>IFERROR(INDEX(Cluster_Master!$F$4:$F$18,MATCH($F215,Cluster_Master!$B$4:$B$18,0)),"")</f>
        <v/>
      </c>
      <c r="L215" s="8" t="str">
        <f>IFERROR(INDEX(Cluster_Master!$G$4:$G$18,MATCH($F215,Cluster_Master!$B$4:$B$18,0)),"")</f>
        <v/>
      </c>
      <c r="M215" s="8" t="str">
        <f>IFERROR(INDEX(Cluster_Master!$H$4:$H$18,MATCH($F215,Cluster_Master!$B$4:$B$18,0)),"")</f>
        <v/>
      </c>
      <c r="N215" s="12"/>
      <c r="O215" s="12"/>
      <c r="P215" s="12"/>
      <c r="Q215" s="12"/>
      <c r="R215" s="12"/>
      <c r="S215" s="12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8" t="str">
        <f t="shared" si="33"/>
        <v/>
      </c>
      <c r="AJ215" s="14" t="str">
        <f t="shared" si="34"/>
        <v/>
      </c>
      <c r="AK215" s="14" t="str">
        <f>IF(COUNTA(T215:AH215)=0,"",(SUM(T215*KPI_Weights!$B$4,U215*KPI_Weights!$B$5,V215*KPI_Weights!$B$6,W215*KPI_Weights!$B$7,X215*KPI_Weights!$B$8,Y215*KPI_Weights!$B$9,Z215*KPI_Weights!$B$10,AA215*KPI_Weights!$B$11,AB215*KPI_Weights!$B$12,AC215*KPI_Weights!$B$13,AD215*KPI_Weights!$B$14,AE215*KPI_Weights!$B$15,AF215*KPI_Weights!$B$16,AG215*KPI_Weights!$B$17,AH215*KPI_Weights!$B$18))/5)</f>
        <v/>
      </c>
      <c r="AL215" s="8" t="str">
        <f t="shared" si="35"/>
        <v/>
      </c>
      <c r="AM215" s="8" t="str">
        <f t="shared" si="36"/>
        <v/>
      </c>
      <c r="AN215" s="8" t="str">
        <f t="shared" si="37"/>
        <v/>
      </c>
      <c r="AO215" s="12"/>
      <c r="AP215" s="12"/>
      <c r="AQ215" s="12"/>
      <c r="AR215" s="12"/>
      <c r="AS215" s="12"/>
      <c r="AT215" s="15"/>
      <c r="AU215" s="12"/>
      <c r="AV215" s="16"/>
      <c r="AW215" s="12"/>
      <c r="AX215" s="15"/>
      <c r="AY215" s="15"/>
      <c r="AZ215" s="15"/>
      <c r="BA215" s="15"/>
      <c r="BB215" s="15"/>
      <c r="BC215" s="15"/>
      <c r="BD215" s="15"/>
      <c r="BE215" s="15"/>
      <c r="BF215" s="15"/>
    </row>
    <row r="216" spans="1:58" ht="19.5" customHeight="1" x14ac:dyDescent="0.2">
      <c r="A216" s="8" t="str">
        <f>IF($B216="","",TEXT($B216,"yyyymmdd")&amp;"-"&amp;SUBSTITUTE($F216," ","")&amp;"-"&amp;TEXT(COUNTIF($F$4:F216,$F216),"00"))</f>
        <v/>
      </c>
      <c r="B216" s="9"/>
      <c r="C216" s="8" t="str">
        <f t="shared" si="31"/>
        <v/>
      </c>
      <c r="D216" s="8" t="str">
        <f t="shared" si="32"/>
        <v/>
      </c>
      <c r="E216" s="10"/>
      <c r="F216" s="10"/>
      <c r="G216" s="8" t="str">
        <f>IF(OR($E216="",$F216=""),"",IFERROR(IF($E216=INDEX(Cluster_Master!$A$4:$A$18,MATCH($F216,Cluster_Master!$B$4:$B$18,0)),"OK","CHECK"),"CHECK"))</f>
        <v/>
      </c>
      <c r="H216" s="11" t="str">
        <f>IFERROR(INDEX(Cluster_Master!$C$4:$C$18,MATCH($F216,Cluster_Master!$B$4:$B$18,0)),"")</f>
        <v/>
      </c>
      <c r="I216" s="8" t="str">
        <f>IFERROR(INDEX(Cluster_Master!$D$4:$D$18,MATCH($F216,Cluster_Master!$B$4:$B$18,0)),"")</f>
        <v/>
      </c>
      <c r="J216" s="8" t="str">
        <f>IFERROR(INDEX(Cluster_Master!$E$4:$E$18,MATCH($F216,Cluster_Master!$B$4:$B$18,0)),"")</f>
        <v/>
      </c>
      <c r="K216" s="8" t="str">
        <f>IFERROR(INDEX(Cluster_Master!$F$4:$F$18,MATCH($F216,Cluster_Master!$B$4:$B$18,0)),"")</f>
        <v/>
      </c>
      <c r="L216" s="8" t="str">
        <f>IFERROR(INDEX(Cluster_Master!$G$4:$G$18,MATCH($F216,Cluster_Master!$B$4:$B$18,0)),"")</f>
        <v/>
      </c>
      <c r="M216" s="8" t="str">
        <f>IFERROR(INDEX(Cluster_Master!$H$4:$H$18,MATCH($F216,Cluster_Master!$B$4:$B$18,0)),"")</f>
        <v/>
      </c>
      <c r="N216" s="12"/>
      <c r="O216" s="12"/>
      <c r="P216" s="12"/>
      <c r="Q216" s="12"/>
      <c r="R216" s="12"/>
      <c r="S216" s="12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8" t="str">
        <f t="shared" si="33"/>
        <v/>
      </c>
      <c r="AJ216" s="14" t="str">
        <f t="shared" si="34"/>
        <v/>
      </c>
      <c r="AK216" s="14" t="str">
        <f>IF(COUNTA(T216:AH216)=0,"",(SUM(T216*KPI_Weights!$B$4,U216*KPI_Weights!$B$5,V216*KPI_Weights!$B$6,W216*KPI_Weights!$B$7,X216*KPI_Weights!$B$8,Y216*KPI_Weights!$B$9,Z216*KPI_Weights!$B$10,AA216*KPI_Weights!$B$11,AB216*KPI_Weights!$B$12,AC216*KPI_Weights!$B$13,AD216*KPI_Weights!$B$14,AE216*KPI_Weights!$B$15,AF216*KPI_Weights!$B$16,AG216*KPI_Weights!$B$17,AH216*KPI_Weights!$B$18))/5)</f>
        <v/>
      </c>
      <c r="AL216" s="8" t="str">
        <f t="shared" si="35"/>
        <v/>
      </c>
      <c r="AM216" s="8" t="str">
        <f t="shared" si="36"/>
        <v/>
      </c>
      <c r="AN216" s="8" t="str">
        <f t="shared" si="37"/>
        <v/>
      </c>
      <c r="AO216" s="12"/>
      <c r="AP216" s="12"/>
      <c r="AQ216" s="12"/>
      <c r="AR216" s="12"/>
      <c r="AS216" s="12"/>
      <c r="AT216" s="15"/>
      <c r="AU216" s="12"/>
      <c r="AV216" s="16"/>
      <c r="AW216" s="12"/>
      <c r="AX216" s="15"/>
      <c r="AY216" s="15"/>
      <c r="AZ216" s="15"/>
      <c r="BA216" s="15"/>
      <c r="BB216" s="15"/>
      <c r="BC216" s="15"/>
      <c r="BD216" s="15"/>
      <c r="BE216" s="15"/>
      <c r="BF216" s="15"/>
    </row>
    <row r="217" spans="1:58" ht="19.5" customHeight="1" x14ac:dyDescent="0.2">
      <c r="A217" s="8" t="str">
        <f>IF($B217="","",TEXT($B217,"yyyymmdd")&amp;"-"&amp;SUBSTITUTE($F217," ","")&amp;"-"&amp;TEXT(COUNTIF($F$4:F217,$F217),"00"))</f>
        <v/>
      </c>
      <c r="B217" s="9"/>
      <c r="C217" s="8" t="str">
        <f t="shared" si="31"/>
        <v/>
      </c>
      <c r="D217" s="8" t="str">
        <f t="shared" si="32"/>
        <v/>
      </c>
      <c r="E217" s="10"/>
      <c r="F217" s="10"/>
      <c r="G217" s="8" t="str">
        <f>IF(OR($E217="",$F217=""),"",IFERROR(IF($E217=INDEX(Cluster_Master!$A$4:$A$18,MATCH($F217,Cluster_Master!$B$4:$B$18,0)),"OK","CHECK"),"CHECK"))</f>
        <v/>
      </c>
      <c r="H217" s="11" t="str">
        <f>IFERROR(INDEX(Cluster_Master!$C$4:$C$18,MATCH($F217,Cluster_Master!$B$4:$B$18,0)),"")</f>
        <v/>
      </c>
      <c r="I217" s="8" t="str">
        <f>IFERROR(INDEX(Cluster_Master!$D$4:$D$18,MATCH($F217,Cluster_Master!$B$4:$B$18,0)),"")</f>
        <v/>
      </c>
      <c r="J217" s="8" t="str">
        <f>IFERROR(INDEX(Cluster_Master!$E$4:$E$18,MATCH($F217,Cluster_Master!$B$4:$B$18,0)),"")</f>
        <v/>
      </c>
      <c r="K217" s="8" t="str">
        <f>IFERROR(INDEX(Cluster_Master!$F$4:$F$18,MATCH($F217,Cluster_Master!$B$4:$B$18,0)),"")</f>
        <v/>
      </c>
      <c r="L217" s="8" t="str">
        <f>IFERROR(INDEX(Cluster_Master!$G$4:$G$18,MATCH($F217,Cluster_Master!$B$4:$B$18,0)),"")</f>
        <v/>
      </c>
      <c r="M217" s="8" t="str">
        <f>IFERROR(INDEX(Cluster_Master!$H$4:$H$18,MATCH($F217,Cluster_Master!$B$4:$B$18,0)),"")</f>
        <v/>
      </c>
      <c r="N217" s="12"/>
      <c r="O217" s="12"/>
      <c r="P217" s="12"/>
      <c r="Q217" s="12"/>
      <c r="R217" s="12"/>
      <c r="S217" s="12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8" t="str">
        <f t="shared" si="33"/>
        <v/>
      </c>
      <c r="AJ217" s="14" t="str">
        <f t="shared" si="34"/>
        <v/>
      </c>
      <c r="AK217" s="14" t="str">
        <f>IF(COUNTA(T217:AH217)=0,"",(SUM(T217*KPI_Weights!$B$4,U217*KPI_Weights!$B$5,V217*KPI_Weights!$B$6,W217*KPI_Weights!$B$7,X217*KPI_Weights!$B$8,Y217*KPI_Weights!$B$9,Z217*KPI_Weights!$B$10,AA217*KPI_Weights!$B$11,AB217*KPI_Weights!$B$12,AC217*KPI_Weights!$B$13,AD217*KPI_Weights!$B$14,AE217*KPI_Weights!$B$15,AF217*KPI_Weights!$B$16,AG217*KPI_Weights!$B$17,AH217*KPI_Weights!$B$18))/5)</f>
        <v/>
      </c>
      <c r="AL217" s="8" t="str">
        <f t="shared" si="35"/>
        <v/>
      </c>
      <c r="AM217" s="8" t="str">
        <f t="shared" si="36"/>
        <v/>
      </c>
      <c r="AN217" s="8" t="str">
        <f t="shared" si="37"/>
        <v/>
      </c>
      <c r="AO217" s="12"/>
      <c r="AP217" s="12"/>
      <c r="AQ217" s="12"/>
      <c r="AR217" s="12"/>
      <c r="AS217" s="12"/>
      <c r="AT217" s="15"/>
      <c r="AU217" s="12"/>
      <c r="AV217" s="16"/>
      <c r="AW217" s="12"/>
      <c r="AX217" s="15"/>
      <c r="AY217" s="15"/>
      <c r="AZ217" s="15"/>
      <c r="BA217" s="15"/>
      <c r="BB217" s="15"/>
      <c r="BC217" s="15"/>
      <c r="BD217" s="15"/>
      <c r="BE217" s="15"/>
      <c r="BF217" s="15"/>
    </row>
    <row r="218" spans="1:58" ht="19.5" customHeight="1" x14ac:dyDescent="0.2">
      <c r="A218" s="8" t="str">
        <f>IF($B218="","",TEXT($B218,"yyyymmdd")&amp;"-"&amp;SUBSTITUTE($F218," ","")&amp;"-"&amp;TEXT(COUNTIF($F$4:F218,$F218),"00"))</f>
        <v/>
      </c>
      <c r="B218" s="9"/>
      <c r="C218" s="8" t="str">
        <f t="shared" si="31"/>
        <v/>
      </c>
      <c r="D218" s="8" t="str">
        <f t="shared" si="32"/>
        <v/>
      </c>
      <c r="E218" s="10"/>
      <c r="F218" s="10"/>
      <c r="G218" s="8" t="str">
        <f>IF(OR($E218="",$F218=""),"",IFERROR(IF($E218=INDEX(Cluster_Master!$A$4:$A$18,MATCH($F218,Cluster_Master!$B$4:$B$18,0)),"OK","CHECK"),"CHECK"))</f>
        <v/>
      </c>
      <c r="H218" s="11" t="str">
        <f>IFERROR(INDEX(Cluster_Master!$C$4:$C$18,MATCH($F218,Cluster_Master!$B$4:$B$18,0)),"")</f>
        <v/>
      </c>
      <c r="I218" s="8" t="str">
        <f>IFERROR(INDEX(Cluster_Master!$D$4:$D$18,MATCH($F218,Cluster_Master!$B$4:$B$18,0)),"")</f>
        <v/>
      </c>
      <c r="J218" s="8" t="str">
        <f>IFERROR(INDEX(Cluster_Master!$E$4:$E$18,MATCH($F218,Cluster_Master!$B$4:$B$18,0)),"")</f>
        <v/>
      </c>
      <c r="K218" s="8" t="str">
        <f>IFERROR(INDEX(Cluster_Master!$F$4:$F$18,MATCH($F218,Cluster_Master!$B$4:$B$18,0)),"")</f>
        <v/>
      </c>
      <c r="L218" s="8" t="str">
        <f>IFERROR(INDEX(Cluster_Master!$G$4:$G$18,MATCH($F218,Cluster_Master!$B$4:$B$18,0)),"")</f>
        <v/>
      </c>
      <c r="M218" s="8" t="str">
        <f>IFERROR(INDEX(Cluster_Master!$H$4:$H$18,MATCH($F218,Cluster_Master!$B$4:$B$18,0)),"")</f>
        <v/>
      </c>
      <c r="N218" s="12"/>
      <c r="O218" s="12"/>
      <c r="P218" s="12"/>
      <c r="Q218" s="12"/>
      <c r="R218" s="12"/>
      <c r="S218" s="12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8" t="str">
        <f t="shared" si="33"/>
        <v/>
      </c>
      <c r="AJ218" s="14" t="str">
        <f t="shared" si="34"/>
        <v/>
      </c>
      <c r="AK218" s="14" t="str">
        <f>IF(COUNTA(T218:AH218)=0,"",(SUM(T218*KPI_Weights!$B$4,U218*KPI_Weights!$B$5,V218*KPI_Weights!$B$6,W218*KPI_Weights!$B$7,X218*KPI_Weights!$B$8,Y218*KPI_Weights!$B$9,Z218*KPI_Weights!$B$10,AA218*KPI_Weights!$B$11,AB218*KPI_Weights!$B$12,AC218*KPI_Weights!$B$13,AD218*KPI_Weights!$B$14,AE218*KPI_Weights!$B$15,AF218*KPI_Weights!$B$16,AG218*KPI_Weights!$B$17,AH218*KPI_Weights!$B$18))/5)</f>
        <v/>
      </c>
      <c r="AL218" s="8" t="str">
        <f t="shared" si="35"/>
        <v/>
      </c>
      <c r="AM218" s="8" t="str">
        <f t="shared" si="36"/>
        <v/>
      </c>
      <c r="AN218" s="8" t="str">
        <f t="shared" si="37"/>
        <v/>
      </c>
      <c r="AO218" s="12"/>
      <c r="AP218" s="12"/>
      <c r="AQ218" s="12"/>
      <c r="AR218" s="12"/>
      <c r="AS218" s="12"/>
      <c r="AT218" s="15"/>
      <c r="AU218" s="12"/>
      <c r="AV218" s="16"/>
      <c r="AW218" s="12"/>
      <c r="AX218" s="15"/>
      <c r="AY218" s="15"/>
      <c r="AZ218" s="15"/>
      <c r="BA218" s="15"/>
      <c r="BB218" s="15"/>
      <c r="BC218" s="15"/>
      <c r="BD218" s="15"/>
      <c r="BE218" s="15"/>
      <c r="BF218" s="15"/>
    </row>
    <row r="219" spans="1:58" ht="19.5" customHeight="1" x14ac:dyDescent="0.2">
      <c r="A219" s="8" t="str">
        <f>IF($B219="","",TEXT($B219,"yyyymmdd")&amp;"-"&amp;SUBSTITUTE($F219," ","")&amp;"-"&amp;TEXT(COUNTIF($F$4:F219,$F219),"00"))</f>
        <v/>
      </c>
      <c r="B219" s="9"/>
      <c r="C219" s="8" t="str">
        <f t="shared" si="31"/>
        <v/>
      </c>
      <c r="D219" s="8" t="str">
        <f t="shared" si="32"/>
        <v/>
      </c>
      <c r="E219" s="10"/>
      <c r="F219" s="10"/>
      <c r="G219" s="8" t="str">
        <f>IF(OR($E219="",$F219=""),"",IFERROR(IF($E219=INDEX(Cluster_Master!$A$4:$A$18,MATCH($F219,Cluster_Master!$B$4:$B$18,0)),"OK","CHECK"),"CHECK"))</f>
        <v/>
      </c>
      <c r="H219" s="11" t="str">
        <f>IFERROR(INDEX(Cluster_Master!$C$4:$C$18,MATCH($F219,Cluster_Master!$B$4:$B$18,0)),"")</f>
        <v/>
      </c>
      <c r="I219" s="8" t="str">
        <f>IFERROR(INDEX(Cluster_Master!$D$4:$D$18,MATCH($F219,Cluster_Master!$B$4:$B$18,0)),"")</f>
        <v/>
      </c>
      <c r="J219" s="8" t="str">
        <f>IFERROR(INDEX(Cluster_Master!$E$4:$E$18,MATCH($F219,Cluster_Master!$B$4:$B$18,0)),"")</f>
        <v/>
      </c>
      <c r="K219" s="8" t="str">
        <f>IFERROR(INDEX(Cluster_Master!$F$4:$F$18,MATCH($F219,Cluster_Master!$B$4:$B$18,0)),"")</f>
        <v/>
      </c>
      <c r="L219" s="8" t="str">
        <f>IFERROR(INDEX(Cluster_Master!$G$4:$G$18,MATCH($F219,Cluster_Master!$B$4:$B$18,0)),"")</f>
        <v/>
      </c>
      <c r="M219" s="8" t="str">
        <f>IFERROR(INDEX(Cluster_Master!$H$4:$H$18,MATCH($F219,Cluster_Master!$B$4:$B$18,0)),"")</f>
        <v/>
      </c>
      <c r="N219" s="12"/>
      <c r="O219" s="12"/>
      <c r="P219" s="12"/>
      <c r="Q219" s="12"/>
      <c r="R219" s="12"/>
      <c r="S219" s="12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8" t="str">
        <f t="shared" si="33"/>
        <v/>
      </c>
      <c r="AJ219" s="14" t="str">
        <f t="shared" si="34"/>
        <v/>
      </c>
      <c r="AK219" s="14" t="str">
        <f>IF(COUNTA(T219:AH219)=0,"",(SUM(T219*KPI_Weights!$B$4,U219*KPI_Weights!$B$5,V219*KPI_Weights!$B$6,W219*KPI_Weights!$B$7,X219*KPI_Weights!$B$8,Y219*KPI_Weights!$B$9,Z219*KPI_Weights!$B$10,AA219*KPI_Weights!$B$11,AB219*KPI_Weights!$B$12,AC219*KPI_Weights!$B$13,AD219*KPI_Weights!$B$14,AE219*KPI_Weights!$B$15,AF219*KPI_Weights!$B$16,AG219*KPI_Weights!$B$17,AH219*KPI_Weights!$B$18))/5)</f>
        <v/>
      </c>
      <c r="AL219" s="8" t="str">
        <f t="shared" si="35"/>
        <v/>
      </c>
      <c r="AM219" s="8" t="str">
        <f t="shared" si="36"/>
        <v/>
      </c>
      <c r="AN219" s="8" t="str">
        <f t="shared" si="37"/>
        <v/>
      </c>
      <c r="AO219" s="12"/>
      <c r="AP219" s="12"/>
      <c r="AQ219" s="12"/>
      <c r="AR219" s="12"/>
      <c r="AS219" s="12"/>
      <c r="AT219" s="15"/>
      <c r="AU219" s="12"/>
      <c r="AV219" s="16"/>
      <c r="AW219" s="12"/>
      <c r="AX219" s="15"/>
      <c r="AY219" s="15"/>
      <c r="AZ219" s="15"/>
      <c r="BA219" s="15"/>
      <c r="BB219" s="15"/>
      <c r="BC219" s="15"/>
      <c r="BD219" s="15"/>
      <c r="BE219" s="15"/>
      <c r="BF219" s="15"/>
    </row>
    <row r="220" spans="1:58" ht="19.5" customHeight="1" x14ac:dyDescent="0.2">
      <c r="A220" s="8" t="str">
        <f>IF($B220="","",TEXT($B220,"yyyymmdd")&amp;"-"&amp;SUBSTITUTE($F220," ","")&amp;"-"&amp;TEXT(COUNTIF($F$4:F220,$F220),"00"))</f>
        <v/>
      </c>
      <c r="B220" s="9"/>
      <c r="C220" s="8" t="str">
        <f t="shared" si="31"/>
        <v/>
      </c>
      <c r="D220" s="8" t="str">
        <f t="shared" si="32"/>
        <v/>
      </c>
      <c r="E220" s="10"/>
      <c r="F220" s="10"/>
      <c r="G220" s="8" t="str">
        <f>IF(OR($E220="",$F220=""),"",IFERROR(IF($E220=INDEX(Cluster_Master!$A$4:$A$18,MATCH($F220,Cluster_Master!$B$4:$B$18,0)),"OK","CHECK"),"CHECK"))</f>
        <v/>
      </c>
      <c r="H220" s="11" t="str">
        <f>IFERROR(INDEX(Cluster_Master!$C$4:$C$18,MATCH($F220,Cluster_Master!$B$4:$B$18,0)),"")</f>
        <v/>
      </c>
      <c r="I220" s="8" t="str">
        <f>IFERROR(INDEX(Cluster_Master!$D$4:$D$18,MATCH($F220,Cluster_Master!$B$4:$B$18,0)),"")</f>
        <v/>
      </c>
      <c r="J220" s="8" t="str">
        <f>IFERROR(INDEX(Cluster_Master!$E$4:$E$18,MATCH($F220,Cluster_Master!$B$4:$B$18,0)),"")</f>
        <v/>
      </c>
      <c r="K220" s="8" t="str">
        <f>IFERROR(INDEX(Cluster_Master!$F$4:$F$18,MATCH($F220,Cluster_Master!$B$4:$B$18,0)),"")</f>
        <v/>
      </c>
      <c r="L220" s="8" t="str">
        <f>IFERROR(INDEX(Cluster_Master!$G$4:$G$18,MATCH($F220,Cluster_Master!$B$4:$B$18,0)),"")</f>
        <v/>
      </c>
      <c r="M220" s="8" t="str">
        <f>IFERROR(INDEX(Cluster_Master!$H$4:$H$18,MATCH($F220,Cluster_Master!$B$4:$B$18,0)),"")</f>
        <v/>
      </c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8" t="str">
        <f t="shared" si="33"/>
        <v/>
      </c>
      <c r="AJ220" s="14" t="str">
        <f t="shared" si="34"/>
        <v/>
      </c>
      <c r="AK220" s="14" t="str">
        <f>IF(COUNTA(T220:AH220)=0,"",(SUM(T220*KPI_Weights!$B$4,U220*KPI_Weights!$B$5,V220*KPI_Weights!$B$6,W220*KPI_Weights!$B$7,X220*KPI_Weights!$B$8,Y220*KPI_Weights!$B$9,Z220*KPI_Weights!$B$10,AA220*KPI_Weights!$B$11,AB220*KPI_Weights!$B$12,AC220*KPI_Weights!$B$13,AD220*KPI_Weights!$B$14,AE220*KPI_Weights!$B$15,AF220*KPI_Weights!$B$16,AG220*KPI_Weights!$B$17,AH220*KPI_Weights!$B$18))/5)</f>
        <v/>
      </c>
      <c r="AL220" s="8" t="str">
        <f t="shared" si="35"/>
        <v/>
      </c>
      <c r="AM220" s="8" t="str">
        <f t="shared" si="36"/>
        <v/>
      </c>
      <c r="AN220" s="8" t="str">
        <f t="shared" si="37"/>
        <v/>
      </c>
      <c r="AO220" s="12"/>
      <c r="AP220" s="12"/>
      <c r="AQ220" s="12"/>
      <c r="AR220" s="12"/>
      <c r="AS220" s="12"/>
      <c r="AT220" s="15"/>
      <c r="AU220" s="12"/>
      <c r="AV220" s="16"/>
      <c r="AW220" s="12"/>
      <c r="AX220" s="15"/>
      <c r="AY220" s="15"/>
      <c r="AZ220" s="15"/>
      <c r="BA220" s="15"/>
      <c r="BB220" s="15"/>
      <c r="BC220" s="15"/>
      <c r="BD220" s="15"/>
      <c r="BE220" s="15"/>
      <c r="BF220" s="15"/>
    </row>
    <row r="221" spans="1:58" ht="19.5" customHeight="1" x14ac:dyDescent="0.2">
      <c r="A221" s="8" t="str">
        <f>IF($B221="","",TEXT($B221,"yyyymmdd")&amp;"-"&amp;SUBSTITUTE($F221," ","")&amp;"-"&amp;TEXT(COUNTIF($F$4:F221,$F221),"00"))</f>
        <v/>
      </c>
      <c r="B221" s="9"/>
      <c r="C221" s="8" t="str">
        <f t="shared" si="31"/>
        <v/>
      </c>
      <c r="D221" s="8" t="str">
        <f t="shared" si="32"/>
        <v/>
      </c>
      <c r="E221" s="10"/>
      <c r="F221" s="10"/>
      <c r="G221" s="8" t="str">
        <f>IF(OR($E221="",$F221=""),"",IFERROR(IF($E221=INDEX(Cluster_Master!$A$4:$A$18,MATCH($F221,Cluster_Master!$B$4:$B$18,0)),"OK","CHECK"),"CHECK"))</f>
        <v/>
      </c>
      <c r="H221" s="11" t="str">
        <f>IFERROR(INDEX(Cluster_Master!$C$4:$C$18,MATCH($F221,Cluster_Master!$B$4:$B$18,0)),"")</f>
        <v/>
      </c>
      <c r="I221" s="8" t="str">
        <f>IFERROR(INDEX(Cluster_Master!$D$4:$D$18,MATCH($F221,Cluster_Master!$B$4:$B$18,0)),"")</f>
        <v/>
      </c>
      <c r="J221" s="8" t="str">
        <f>IFERROR(INDEX(Cluster_Master!$E$4:$E$18,MATCH($F221,Cluster_Master!$B$4:$B$18,0)),"")</f>
        <v/>
      </c>
      <c r="K221" s="8" t="str">
        <f>IFERROR(INDEX(Cluster_Master!$F$4:$F$18,MATCH($F221,Cluster_Master!$B$4:$B$18,0)),"")</f>
        <v/>
      </c>
      <c r="L221" s="8" t="str">
        <f>IFERROR(INDEX(Cluster_Master!$G$4:$G$18,MATCH($F221,Cluster_Master!$B$4:$B$18,0)),"")</f>
        <v/>
      </c>
      <c r="M221" s="8" t="str">
        <f>IFERROR(INDEX(Cluster_Master!$H$4:$H$18,MATCH($F221,Cluster_Master!$B$4:$B$18,0)),"")</f>
        <v/>
      </c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8" t="str">
        <f t="shared" si="33"/>
        <v/>
      </c>
      <c r="AJ221" s="14" t="str">
        <f t="shared" si="34"/>
        <v/>
      </c>
      <c r="AK221" s="14" t="str">
        <f>IF(COUNTA(T221:AH221)=0,"",(SUM(T221*KPI_Weights!$B$4,U221*KPI_Weights!$B$5,V221*KPI_Weights!$B$6,W221*KPI_Weights!$B$7,X221*KPI_Weights!$B$8,Y221*KPI_Weights!$B$9,Z221*KPI_Weights!$B$10,AA221*KPI_Weights!$B$11,AB221*KPI_Weights!$B$12,AC221*KPI_Weights!$B$13,AD221*KPI_Weights!$B$14,AE221*KPI_Weights!$B$15,AF221*KPI_Weights!$B$16,AG221*KPI_Weights!$B$17,AH221*KPI_Weights!$B$18))/5)</f>
        <v/>
      </c>
      <c r="AL221" s="8" t="str">
        <f t="shared" si="35"/>
        <v/>
      </c>
      <c r="AM221" s="8" t="str">
        <f t="shared" si="36"/>
        <v/>
      </c>
      <c r="AN221" s="8" t="str">
        <f t="shared" si="37"/>
        <v/>
      </c>
      <c r="AO221" s="12"/>
      <c r="AP221" s="12"/>
      <c r="AQ221" s="12"/>
      <c r="AR221" s="12"/>
      <c r="AS221" s="12"/>
      <c r="AT221" s="15"/>
      <c r="AU221" s="12"/>
      <c r="AV221" s="16"/>
      <c r="AW221" s="12"/>
      <c r="AX221" s="15"/>
      <c r="AY221" s="15"/>
      <c r="AZ221" s="15"/>
      <c r="BA221" s="15"/>
      <c r="BB221" s="15"/>
      <c r="BC221" s="15"/>
      <c r="BD221" s="15"/>
      <c r="BE221" s="15"/>
      <c r="BF221" s="15"/>
    </row>
    <row r="222" spans="1:58" ht="19.5" customHeight="1" x14ac:dyDescent="0.2">
      <c r="A222" s="8" t="str">
        <f>IF($B222="","",TEXT($B222,"yyyymmdd")&amp;"-"&amp;SUBSTITUTE($F222," ","")&amp;"-"&amp;TEXT(COUNTIF($F$4:F222,$F222),"00"))</f>
        <v/>
      </c>
      <c r="B222" s="9"/>
      <c r="C222" s="8" t="str">
        <f t="shared" si="31"/>
        <v/>
      </c>
      <c r="D222" s="8" t="str">
        <f t="shared" si="32"/>
        <v/>
      </c>
      <c r="E222" s="10"/>
      <c r="F222" s="10"/>
      <c r="G222" s="8" t="str">
        <f>IF(OR($E222="",$F222=""),"",IFERROR(IF($E222=INDEX(Cluster_Master!$A$4:$A$18,MATCH($F222,Cluster_Master!$B$4:$B$18,0)),"OK","CHECK"),"CHECK"))</f>
        <v/>
      </c>
      <c r="H222" s="11" t="str">
        <f>IFERROR(INDEX(Cluster_Master!$C$4:$C$18,MATCH($F222,Cluster_Master!$B$4:$B$18,0)),"")</f>
        <v/>
      </c>
      <c r="I222" s="8" t="str">
        <f>IFERROR(INDEX(Cluster_Master!$D$4:$D$18,MATCH($F222,Cluster_Master!$B$4:$B$18,0)),"")</f>
        <v/>
      </c>
      <c r="J222" s="8" t="str">
        <f>IFERROR(INDEX(Cluster_Master!$E$4:$E$18,MATCH($F222,Cluster_Master!$B$4:$B$18,0)),"")</f>
        <v/>
      </c>
      <c r="K222" s="8" t="str">
        <f>IFERROR(INDEX(Cluster_Master!$F$4:$F$18,MATCH($F222,Cluster_Master!$B$4:$B$18,0)),"")</f>
        <v/>
      </c>
      <c r="L222" s="8" t="str">
        <f>IFERROR(INDEX(Cluster_Master!$G$4:$G$18,MATCH($F222,Cluster_Master!$B$4:$B$18,0)),"")</f>
        <v/>
      </c>
      <c r="M222" s="8" t="str">
        <f>IFERROR(INDEX(Cluster_Master!$H$4:$H$18,MATCH($F222,Cluster_Master!$B$4:$B$18,0)),"")</f>
        <v/>
      </c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8" t="str">
        <f t="shared" si="33"/>
        <v/>
      </c>
      <c r="AJ222" s="14" t="str">
        <f t="shared" si="34"/>
        <v/>
      </c>
      <c r="AK222" s="14" t="str">
        <f>IF(COUNTA(T222:AH222)=0,"",(SUM(T222*KPI_Weights!$B$4,U222*KPI_Weights!$B$5,V222*KPI_Weights!$B$6,W222*KPI_Weights!$B$7,X222*KPI_Weights!$B$8,Y222*KPI_Weights!$B$9,Z222*KPI_Weights!$B$10,AA222*KPI_Weights!$B$11,AB222*KPI_Weights!$B$12,AC222*KPI_Weights!$B$13,AD222*KPI_Weights!$B$14,AE222*KPI_Weights!$B$15,AF222*KPI_Weights!$B$16,AG222*KPI_Weights!$B$17,AH222*KPI_Weights!$B$18))/5)</f>
        <v/>
      </c>
      <c r="AL222" s="8" t="str">
        <f t="shared" si="35"/>
        <v/>
      </c>
      <c r="AM222" s="8" t="str">
        <f t="shared" si="36"/>
        <v/>
      </c>
      <c r="AN222" s="8" t="str">
        <f t="shared" si="37"/>
        <v/>
      </c>
      <c r="AO222" s="12"/>
      <c r="AP222" s="12"/>
      <c r="AQ222" s="12"/>
      <c r="AR222" s="12"/>
      <c r="AS222" s="12"/>
      <c r="AT222" s="15"/>
      <c r="AU222" s="12"/>
      <c r="AV222" s="16"/>
      <c r="AW222" s="12"/>
      <c r="AX222" s="15"/>
      <c r="AY222" s="15"/>
      <c r="AZ222" s="15"/>
      <c r="BA222" s="15"/>
      <c r="BB222" s="15"/>
      <c r="BC222" s="15"/>
      <c r="BD222" s="15"/>
      <c r="BE222" s="15"/>
      <c r="BF222" s="15"/>
    </row>
    <row r="223" spans="1:58" ht="19.5" customHeight="1" x14ac:dyDescent="0.2">
      <c r="A223" s="8" t="str">
        <f>IF($B223="","",TEXT($B223,"yyyymmdd")&amp;"-"&amp;SUBSTITUTE($F223," ","")&amp;"-"&amp;TEXT(COUNTIF($F$4:F223,$F223),"00"))</f>
        <v/>
      </c>
      <c r="B223" s="9"/>
      <c r="C223" s="8" t="str">
        <f t="shared" si="31"/>
        <v/>
      </c>
      <c r="D223" s="8" t="str">
        <f t="shared" si="32"/>
        <v/>
      </c>
      <c r="E223" s="10"/>
      <c r="F223" s="10"/>
      <c r="G223" s="8" t="str">
        <f>IF(OR($E223="",$F223=""),"",IFERROR(IF($E223=INDEX(Cluster_Master!$A$4:$A$18,MATCH($F223,Cluster_Master!$B$4:$B$18,0)),"OK","CHECK"),"CHECK"))</f>
        <v/>
      </c>
      <c r="H223" s="11" t="str">
        <f>IFERROR(INDEX(Cluster_Master!$C$4:$C$18,MATCH($F223,Cluster_Master!$B$4:$B$18,0)),"")</f>
        <v/>
      </c>
      <c r="I223" s="8" t="str">
        <f>IFERROR(INDEX(Cluster_Master!$D$4:$D$18,MATCH($F223,Cluster_Master!$B$4:$B$18,0)),"")</f>
        <v/>
      </c>
      <c r="J223" s="8" t="str">
        <f>IFERROR(INDEX(Cluster_Master!$E$4:$E$18,MATCH($F223,Cluster_Master!$B$4:$B$18,0)),"")</f>
        <v/>
      </c>
      <c r="K223" s="8" t="str">
        <f>IFERROR(INDEX(Cluster_Master!$F$4:$F$18,MATCH($F223,Cluster_Master!$B$4:$B$18,0)),"")</f>
        <v/>
      </c>
      <c r="L223" s="8" t="str">
        <f>IFERROR(INDEX(Cluster_Master!$G$4:$G$18,MATCH($F223,Cluster_Master!$B$4:$B$18,0)),"")</f>
        <v/>
      </c>
      <c r="M223" s="8" t="str">
        <f>IFERROR(INDEX(Cluster_Master!$H$4:$H$18,MATCH($F223,Cluster_Master!$B$4:$B$18,0)),"")</f>
        <v/>
      </c>
      <c r="N223" s="12"/>
      <c r="O223" s="12"/>
      <c r="P223" s="12"/>
      <c r="Q223" s="12"/>
      <c r="R223" s="12"/>
      <c r="S223" s="12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8" t="str">
        <f t="shared" si="33"/>
        <v/>
      </c>
      <c r="AJ223" s="14" t="str">
        <f t="shared" si="34"/>
        <v/>
      </c>
      <c r="AK223" s="14" t="str">
        <f>IF(COUNTA(T223:AH223)=0,"",(SUM(T223*KPI_Weights!$B$4,U223*KPI_Weights!$B$5,V223*KPI_Weights!$B$6,W223*KPI_Weights!$B$7,X223*KPI_Weights!$B$8,Y223*KPI_Weights!$B$9,Z223*KPI_Weights!$B$10,AA223*KPI_Weights!$B$11,AB223*KPI_Weights!$B$12,AC223*KPI_Weights!$B$13,AD223*KPI_Weights!$B$14,AE223*KPI_Weights!$B$15,AF223*KPI_Weights!$B$16,AG223*KPI_Weights!$B$17,AH223*KPI_Weights!$B$18))/5)</f>
        <v/>
      </c>
      <c r="AL223" s="8" t="str">
        <f t="shared" si="35"/>
        <v/>
      </c>
      <c r="AM223" s="8" t="str">
        <f t="shared" si="36"/>
        <v/>
      </c>
      <c r="AN223" s="8" t="str">
        <f t="shared" si="37"/>
        <v/>
      </c>
      <c r="AO223" s="12"/>
      <c r="AP223" s="12"/>
      <c r="AQ223" s="12"/>
      <c r="AR223" s="12"/>
      <c r="AS223" s="12"/>
      <c r="AT223" s="15"/>
      <c r="AU223" s="12"/>
      <c r="AV223" s="16"/>
      <c r="AW223" s="12"/>
      <c r="AX223" s="15"/>
      <c r="AY223" s="15"/>
      <c r="AZ223" s="15"/>
      <c r="BA223" s="15"/>
      <c r="BB223" s="15"/>
      <c r="BC223" s="15"/>
      <c r="BD223" s="15"/>
      <c r="BE223" s="15"/>
      <c r="BF223" s="15"/>
    </row>
    <row r="224" spans="1:58" ht="19.5" customHeight="1" x14ac:dyDescent="0.2">
      <c r="A224" s="8" t="str">
        <f>IF($B224="","",TEXT($B224,"yyyymmdd")&amp;"-"&amp;SUBSTITUTE($F224," ","")&amp;"-"&amp;TEXT(COUNTIF($F$4:F224,$F224),"00"))</f>
        <v/>
      </c>
      <c r="B224" s="9"/>
      <c r="C224" s="8" t="str">
        <f t="shared" si="31"/>
        <v/>
      </c>
      <c r="D224" s="8" t="str">
        <f t="shared" si="32"/>
        <v/>
      </c>
      <c r="E224" s="10"/>
      <c r="F224" s="10"/>
      <c r="G224" s="8" t="str">
        <f>IF(OR($E224="",$F224=""),"",IFERROR(IF($E224=INDEX(Cluster_Master!$A$4:$A$18,MATCH($F224,Cluster_Master!$B$4:$B$18,0)),"OK","CHECK"),"CHECK"))</f>
        <v/>
      </c>
      <c r="H224" s="11" t="str">
        <f>IFERROR(INDEX(Cluster_Master!$C$4:$C$18,MATCH($F224,Cluster_Master!$B$4:$B$18,0)),"")</f>
        <v/>
      </c>
      <c r="I224" s="8" t="str">
        <f>IFERROR(INDEX(Cluster_Master!$D$4:$D$18,MATCH($F224,Cluster_Master!$B$4:$B$18,0)),"")</f>
        <v/>
      </c>
      <c r="J224" s="8" t="str">
        <f>IFERROR(INDEX(Cluster_Master!$E$4:$E$18,MATCH($F224,Cluster_Master!$B$4:$B$18,0)),"")</f>
        <v/>
      </c>
      <c r="K224" s="8" t="str">
        <f>IFERROR(INDEX(Cluster_Master!$F$4:$F$18,MATCH($F224,Cluster_Master!$B$4:$B$18,0)),"")</f>
        <v/>
      </c>
      <c r="L224" s="8" t="str">
        <f>IFERROR(INDEX(Cluster_Master!$G$4:$G$18,MATCH($F224,Cluster_Master!$B$4:$B$18,0)),"")</f>
        <v/>
      </c>
      <c r="M224" s="8" t="str">
        <f>IFERROR(INDEX(Cluster_Master!$H$4:$H$18,MATCH($F224,Cluster_Master!$B$4:$B$18,0)),"")</f>
        <v/>
      </c>
      <c r="N224" s="12"/>
      <c r="O224" s="12"/>
      <c r="P224" s="12"/>
      <c r="Q224" s="12"/>
      <c r="R224" s="12"/>
      <c r="S224" s="12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8" t="str">
        <f t="shared" si="33"/>
        <v/>
      </c>
      <c r="AJ224" s="14" t="str">
        <f t="shared" si="34"/>
        <v/>
      </c>
      <c r="AK224" s="14" t="str">
        <f>IF(COUNTA(T224:AH224)=0,"",(SUM(T224*KPI_Weights!$B$4,U224*KPI_Weights!$B$5,V224*KPI_Weights!$B$6,W224*KPI_Weights!$B$7,X224*KPI_Weights!$B$8,Y224*KPI_Weights!$B$9,Z224*KPI_Weights!$B$10,AA224*KPI_Weights!$B$11,AB224*KPI_Weights!$B$12,AC224*KPI_Weights!$B$13,AD224*KPI_Weights!$B$14,AE224*KPI_Weights!$B$15,AF224*KPI_Weights!$B$16,AG224*KPI_Weights!$B$17,AH224*KPI_Weights!$B$18))/5)</f>
        <v/>
      </c>
      <c r="AL224" s="8" t="str">
        <f t="shared" si="35"/>
        <v/>
      </c>
      <c r="AM224" s="8" t="str">
        <f t="shared" si="36"/>
        <v/>
      </c>
      <c r="AN224" s="8" t="str">
        <f t="shared" si="37"/>
        <v/>
      </c>
      <c r="AO224" s="12"/>
      <c r="AP224" s="12"/>
      <c r="AQ224" s="12"/>
      <c r="AR224" s="12"/>
      <c r="AS224" s="12"/>
      <c r="AT224" s="15"/>
      <c r="AU224" s="12"/>
      <c r="AV224" s="16"/>
      <c r="AW224" s="12"/>
      <c r="AX224" s="15"/>
      <c r="AY224" s="15"/>
      <c r="AZ224" s="15"/>
      <c r="BA224" s="15"/>
      <c r="BB224" s="15"/>
      <c r="BC224" s="15"/>
      <c r="BD224" s="15"/>
      <c r="BE224" s="15"/>
      <c r="BF224" s="15"/>
    </row>
    <row r="225" spans="1:58" ht="19.5" customHeight="1" x14ac:dyDescent="0.2">
      <c r="A225" s="8" t="str">
        <f>IF($B225="","",TEXT($B225,"yyyymmdd")&amp;"-"&amp;SUBSTITUTE($F225," ","")&amp;"-"&amp;TEXT(COUNTIF($F$4:F225,$F225),"00"))</f>
        <v/>
      </c>
      <c r="B225" s="9"/>
      <c r="C225" s="8" t="str">
        <f t="shared" si="31"/>
        <v/>
      </c>
      <c r="D225" s="8" t="str">
        <f t="shared" si="32"/>
        <v/>
      </c>
      <c r="E225" s="10"/>
      <c r="F225" s="10"/>
      <c r="G225" s="8" t="str">
        <f>IF(OR($E225="",$F225=""),"",IFERROR(IF($E225=INDEX(Cluster_Master!$A$4:$A$18,MATCH($F225,Cluster_Master!$B$4:$B$18,0)),"OK","CHECK"),"CHECK"))</f>
        <v/>
      </c>
      <c r="H225" s="11" t="str">
        <f>IFERROR(INDEX(Cluster_Master!$C$4:$C$18,MATCH($F225,Cluster_Master!$B$4:$B$18,0)),"")</f>
        <v/>
      </c>
      <c r="I225" s="8" t="str">
        <f>IFERROR(INDEX(Cluster_Master!$D$4:$D$18,MATCH($F225,Cluster_Master!$B$4:$B$18,0)),"")</f>
        <v/>
      </c>
      <c r="J225" s="8" t="str">
        <f>IFERROR(INDEX(Cluster_Master!$E$4:$E$18,MATCH($F225,Cluster_Master!$B$4:$B$18,0)),"")</f>
        <v/>
      </c>
      <c r="K225" s="8" t="str">
        <f>IFERROR(INDEX(Cluster_Master!$F$4:$F$18,MATCH($F225,Cluster_Master!$B$4:$B$18,0)),"")</f>
        <v/>
      </c>
      <c r="L225" s="8" t="str">
        <f>IFERROR(INDEX(Cluster_Master!$G$4:$G$18,MATCH($F225,Cluster_Master!$B$4:$B$18,0)),"")</f>
        <v/>
      </c>
      <c r="M225" s="8" t="str">
        <f>IFERROR(INDEX(Cluster_Master!$H$4:$H$18,MATCH($F225,Cluster_Master!$B$4:$B$18,0)),"")</f>
        <v/>
      </c>
      <c r="N225" s="12"/>
      <c r="O225" s="12"/>
      <c r="P225" s="12"/>
      <c r="Q225" s="12"/>
      <c r="R225" s="12"/>
      <c r="S225" s="12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8" t="str">
        <f t="shared" si="33"/>
        <v/>
      </c>
      <c r="AJ225" s="14" t="str">
        <f t="shared" si="34"/>
        <v/>
      </c>
      <c r="AK225" s="14" t="str">
        <f>IF(COUNTA(T225:AH225)=0,"",(SUM(T225*KPI_Weights!$B$4,U225*KPI_Weights!$B$5,V225*KPI_Weights!$B$6,W225*KPI_Weights!$B$7,X225*KPI_Weights!$B$8,Y225*KPI_Weights!$B$9,Z225*KPI_Weights!$B$10,AA225*KPI_Weights!$B$11,AB225*KPI_Weights!$B$12,AC225*KPI_Weights!$B$13,AD225*KPI_Weights!$B$14,AE225*KPI_Weights!$B$15,AF225*KPI_Weights!$B$16,AG225*KPI_Weights!$B$17,AH225*KPI_Weights!$B$18))/5)</f>
        <v/>
      </c>
      <c r="AL225" s="8" t="str">
        <f t="shared" si="35"/>
        <v/>
      </c>
      <c r="AM225" s="8" t="str">
        <f t="shared" si="36"/>
        <v/>
      </c>
      <c r="AN225" s="8" t="str">
        <f t="shared" si="37"/>
        <v/>
      </c>
      <c r="AO225" s="12"/>
      <c r="AP225" s="12"/>
      <c r="AQ225" s="12"/>
      <c r="AR225" s="12"/>
      <c r="AS225" s="12"/>
      <c r="AT225" s="15"/>
      <c r="AU225" s="12"/>
      <c r="AV225" s="16"/>
      <c r="AW225" s="12"/>
      <c r="AX225" s="15"/>
      <c r="AY225" s="15"/>
      <c r="AZ225" s="15"/>
      <c r="BA225" s="15"/>
      <c r="BB225" s="15"/>
      <c r="BC225" s="15"/>
      <c r="BD225" s="15"/>
      <c r="BE225" s="15"/>
      <c r="BF225" s="15"/>
    </row>
    <row r="226" spans="1:58" ht="19.5" customHeight="1" x14ac:dyDescent="0.2">
      <c r="A226" s="8" t="str">
        <f>IF($B226="","",TEXT($B226,"yyyymmdd")&amp;"-"&amp;SUBSTITUTE($F226," ","")&amp;"-"&amp;TEXT(COUNTIF($F$4:F226,$F226),"00"))</f>
        <v/>
      </c>
      <c r="B226" s="9"/>
      <c r="C226" s="8" t="str">
        <f t="shared" si="31"/>
        <v/>
      </c>
      <c r="D226" s="8" t="str">
        <f t="shared" si="32"/>
        <v/>
      </c>
      <c r="E226" s="10"/>
      <c r="F226" s="10"/>
      <c r="G226" s="8" t="str">
        <f>IF(OR($E226="",$F226=""),"",IFERROR(IF($E226=INDEX(Cluster_Master!$A$4:$A$18,MATCH($F226,Cluster_Master!$B$4:$B$18,0)),"OK","CHECK"),"CHECK"))</f>
        <v/>
      </c>
      <c r="H226" s="11" t="str">
        <f>IFERROR(INDEX(Cluster_Master!$C$4:$C$18,MATCH($F226,Cluster_Master!$B$4:$B$18,0)),"")</f>
        <v/>
      </c>
      <c r="I226" s="8" t="str">
        <f>IFERROR(INDEX(Cluster_Master!$D$4:$D$18,MATCH($F226,Cluster_Master!$B$4:$B$18,0)),"")</f>
        <v/>
      </c>
      <c r="J226" s="8" t="str">
        <f>IFERROR(INDEX(Cluster_Master!$E$4:$E$18,MATCH($F226,Cluster_Master!$B$4:$B$18,0)),"")</f>
        <v/>
      </c>
      <c r="K226" s="8" t="str">
        <f>IFERROR(INDEX(Cluster_Master!$F$4:$F$18,MATCH($F226,Cluster_Master!$B$4:$B$18,0)),"")</f>
        <v/>
      </c>
      <c r="L226" s="8" t="str">
        <f>IFERROR(INDEX(Cluster_Master!$G$4:$G$18,MATCH($F226,Cluster_Master!$B$4:$B$18,0)),"")</f>
        <v/>
      </c>
      <c r="M226" s="8" t="str">
        <f>IFERROR(INDEX(Cluster_Master!$H$4:$H$18,MATCH($F226,Cluster_Master!$B$4:$B$18,0)),"")</f>
        <v/>
      </c>
      <c r="N226" s="12"/>
      <c r="O226" s="12"/>
      <c r="P226" s="12"/>
      <c r="Q226" s="12"/>
      <c r="R226" s="12"/>
      <c r="S226" s="12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8" t="str">
        <f t="shared" si="33"/>
        <v/>
      </c>
      <c r="AJ226" s="14" t="str">
        <f t="shared" si="34"/>
        <v/>
      </c>
      <c r="AK226" s="14" t="str">
        <f>IF(COUNTA(T226:AH226)=0,"",(SUM(T226*KPI_Weights!$B$4,U226*KPI_Weights!$B$5,V226*KPI_Weights!$B$6,W226*KPI_Weights!$B$7,X226*KPI_Weights!$B$8,Y226*KPI_Weights!$B$9,Z226*KPI_Weights!$B$10,AA226*KPI_Weights!$B$11,AB226*KPI_Weights!$B$12,AC226*KPI_Weights!$B$13,AD226*KPI_Weights!$B$14,AE226*KPI_Weights!$B$15,AF226*KPI_Weights!$B$16,AG226*KPI_Weights!$B$17,AH226*KPI_Weights!$B$18))/5)</f>
        <v/>
      </c>
      <c r="AL226" s="8" t="str">
        <f t="shared" si="35"/>
        <v/>
      </c>
      <c r="AM226" s="8" t="str">
        <f t="shared" si="36"/>
        <v/>
      </c>
      <c r="AN226" s="8" t="str">
        <f t="shared" si="37"/>
        <v/>
      </c>
      <c r="AO226" s="12"/>
      <c r="AP226" s="12"/>
      <c r="AQ226" s="12"/>
      <c r="AR226" s="12"/>
      <c r="AS226" s="12"/>
      <c r="AT226" s="15"/>
      <c r="AU226" s="12"/>
      <c r="AV226" s="16"/>
      <c r="AW226" s="12"/>
      <c r="AX226" s="15"/>
      <c r="AY226" s="15"/>
      <c r="AZ226" s="15"/>
      <c r="BA226" s="15"/>
      <c r="BB226" s="15"/>
      <c r="BC226" s="15"/>
      <c r="BD226" s="15"/>
      <c r="BE226" s="15"/>
      <c r="BF226" s="15"/>
    </row>
    <row r="227" spans="1:58" ht="19.5" customHeight="1" x14ac:dyDescent="0.2">
      <c r="A227" s="8" t="str">
        <f>IF($B227="","",TEXT($B227,"yyyymmdd")&amp;"-"&amp;SUBSTITUTE($F227," ","")&amp;"-"&amp;TEXT(COUNTIF($F$4:F227,$F227),"00"))</f>
        <v/>
      </c>
      <c r="B227" s="9"/>
      <c r="C227" s="8" t="str">
        <f t="shared" si="31"/>
        <v/>
      </c>
      <c r="D227" s="8" t="str">
        <f t="shared" si="32"/>
        <v/>
      </c>
      <c r="E227" s="10"/>
      <c r="F227" s="10"/>
      <c r="G227" s="8" t="str">
        <f>IF(OR($E227="",$F227=""),"",IFERROR(IF($E227=INDEX(Cluster_Master!$A$4:$A$18,MATCH($F227,Cluster_Master!$B$4:$B$18,0)),"OK","CHECK"),"CHECK"))</f>
        <v/>
      </c>
      <c r="H227" s="11" t="str">
        <f>IFERROR(INDEX(Cluster_Master!$C$4:$C$18,MATCH($F227,Cluster_Master!$B$4:$B$18,0)),"")</f>
        <v/>
      </c>
      <c r="I227" s="8" t="str">
        <f>IFERROR(INDEX(Cluster_Master!$D$4:$D$18,MATCH($F227,Cluster_Master!$B$4:$B$18,0)),"")</f>
        <v/>
      </c>
      <c r="J227" s="8" t="str">
        <f>IFERROR(INDEX(Cluster_Master!$E$4:$E$18,MATCH($F227,Cluster_Master!$B$4:$B$18,0)),"")</f>
        <v/>
      </c>
      <c r="K227" s="8" t="str">
        <f>IFERROR(INDEX(Cluster_Master!$F$4:$F$18,MATCH($F227,Cluster_Master!$B$4:$B$18,0)),"")</f>
        <v/>
      </c>
      <c r="L227" s="8" t="str">
        <f>IFERROR(INDEX(Cluster_Master!$G$4:$G$18,MATCH($F227,Cluster_Master!$B$4:$B$18,0)),"")</f>
        <v/>
      </c>
      <c r="M227" s="8" t="str">
        <f>IFERROR(INDEX(Cluster_Master!$H$4:$H$18,MATCH($F227,Cluster_Master!$B$4:$B$18,0)),"")</f>
        <v/>
      </c>
      <c r="N227" s="12"/>
      <c r="O227" s="12"/>
      <c r="P227" s="12"/>
      <c r="Q227" s="12"/>
      <c r="R227" s="12"/>
      <c r="S227" s="12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8" t="str">
        <f t="shared" si="33"/>
        <v/>
      </c>
      <c r="AJ227" s="14" t="str">
        <f t="shared" si="34"/>
        <v/>
      </c>
      <c r="AK227" s="14" t="str">
        <f>IF(COUNTA(T227:AH227)=0,"",(SUM(T227*KPI_Weights!$B$4,U227*KPI_Weights!$B$5,V227*KPI_Weights!$B$6,W227*KPI_Weights!$B$7,X227*KPI_Weights!$B$8,Y227*KPI_Weights!$B$9,Z227*KPI_Weights!$B$10,AA227*KPI_Weights!$B$11,AB227*KPI_Weights!$B$12,AC227*KPI_Weights!$B$13,AD227*KPI_Weights!$B$14,AE227*KPI_Weights!$B$15,AF227*KPI_Weights!$B$16,AG227*KPI_Weights!$B$17,AH227*KPI_Weights!$B$18))/5)</f>
        <v/>
      </c>
      <c r="AL227" s="8" t="str">
        <f t="shared" si="35"/>
        <v/>
      </c>
      <c r="AM227" s="8" t="str">
        <f t="shared" si="36"/>
        <v/>
      </c>
      <c r="AN227" s="8" t="str">
        <f t="shared" si="37"/>
        <v/>
      </c>
      <c r="AO227" s="12"/>
      <c r="AP227" s="12"/>
      <c r="AQ227" s="12"/>
      <c r="AR227" s="12"/>
      <c r="AS227" s="12"/>
      <c r="AT227" s="15"/>
      <c r="AU227" s="12"/>
      <c r="AV227" s="16"/>
      <c r="AW227" s="12"/>
      <c r="AX227" s="15"/>
      <c r="AY227" s="15"/>
      <c r="AZ227" s="15"/>
      <c r="BA227" s="15"/>
      <c r="BB227" s="15"/>
      <c r="BC227" s="15"/>
      <c r="BD227" s="15"/>
      <c r="BE227" s="15"/>
      <c r="BF227" s="15"/>
    </row>
    <row r="228" spans="1:58" ht="19.5" customHeight="1" x14ac:dyDescent="0.2">
      <c r="A228" s="8" t="str">
        <f>IF($B228="","",TEXT($B228,"yyyymmdd")&amp;"-"&amp;SUBSTITUTE($F228," ","")&amp;"-"&amp;TEXT(COUNTIF($F$4:F228,$F228),"00"))</f>
        <v/>
      </c>
      <c r="B228" s="9"/>
      <c r="C228" s="8" t="str">
        <f t="shared" si="31"/>
        <v/>
      </c>
      <c r="D228" s="8" t="str">
        <f t="shared" si="32"/>
        <v/>
      </c>
      <c r="E228" s="10"/>
      <c r="F228" s="10"/>
      <c r="G228" s="8" t="str">
        <f>IF(OR($E228="",$F228=""),"",IFERROR(IF($E228=INDEX(Cluster_Master!$A$4:$A$18,MATCH($F228,Cluster_Master!$B$4:$B$18,0)),"OK","CHECK"),"CHECK"))</f>
        <v/>
      </c>
      <c r="H228" s="11" t="str">
        <f>IFERROR(INDEX(Cluster_Master!$C$4:$C$18,MATCH($F228,Cluster_Master!$B$4:$B$18,0)),"")</f>
        <v/>
      </c>
      <c r="I228" s="8" t="str">
        <f>IFERROR(INDEX(Cluster_Master!$D$4:$D$18,MATCH($F228,Cluster_Master!$B$4:$B$18,0)),"")</f>
        <v/>
      </c>
      <c r="J228" s="8" t="str">
        <f>IFERROR(INDEX(Cluster_Master!$E$4:$E$18,MATCH($F228,Cluster_Master!$B$4:$B$18,0)),"")</f>
        <v/>
      </c>
      <c r="K228" s="8" t="str">
        <f>IFERROR(INDEX(Cluster_Master!$F$4:$F$18,MATCH($F228,Cluster_Master!$B$4:$B$18,0)),"")</f>
        <v/>
      </c>
      <c r="L228" s="8" t="str">
        <f>IFERROR(INDEX(Cluster_Master!$G$4:$G$18,MATCH($F228,Cluster_Master!$B$4:$B$18,0)),"")</f>
        <v/>
      </c>
      <c r="M228" s="8" t="str">
        <f>IFERROR(INDEX(Cluster_Master!$H$4:$H$18,MATCH($F228,Cluster_Master!$B$4:$B$18,0)),"")</f>
        <v/>
      </c>
      <c r="N228" s="12"/>
      <c r="O228" s="12"/>
      <c r="P228" s="12"/>
      <c r="Q228" s="12"/>
      <c r="R228" s="12"/>
      <c r="S228" s="12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8" t="str">
        <f t="shared" si="33"/>
        <v/>
      </c>
      <c r="AJ228" s="14" t="str">
        <f t="shared" si="34"/>
        <v/>
      </c>
      <c r="AK228" s="14" t="str">
        <f>IF(COUNTA(T228:AH228)=0,"",(SUM(T228*KPI_Weights!$B$4,U228*KPI_Weights!$B$5,V228*KPI_Weights!$B$6,W228*KPI_Weights!$B$7,X228*KPI_Weights!$B$8,Y228*KPI_Weights!$B$9,Z228*KPI_Weights!$B$10,AA228*KPI_Weights!$B$11,AB228*KPI_Weights!$B$12,AC228*KPI_Weights!$B$13,AD228*KPI_Weights!$B$14,AE228*KPI_Weights!$B$15,AF228*KPI_Weights!$B$16,AG228*KPI_Weights!$B$17,AH228*KPI_Weights!$B$18))/5)</f>
        <v/>
      </c>
      <c r="AL228" s="8" t="str">
        <f t="shared" si="35"/>
        <v/>
      </c>
      <c r="AM228" s="8" t="str">
        <f t="shared" si="36"/>
        <v/>
      </c>
      <c r="AN228" s="8" t="str">
        <f t="shared" si="37"/>
        <v/>
      </c>
      <c r="AO228" s="12"/>
      <c r="AP228" s="12"/>
      <c r="AQ228" s="12"/>
      <c r="AR228" s="12"/>
      <c r="AS228" s="12"/>
      <c r="AT228" s="15"/>
      <c r="AU228" s="12"/>
      <c r="AV228" s="16"/>
      <c r="AW228" s="12"/>
      <c r="AX228" s="15"/>
      <c r="AY228" s="15"/>
      <c r="AZ228" s="15"/>
      <c r="BA228" s="15"/>
      <c r="BB228" s="15"/>
      <c r="BC228" s="15"/>
      <c r="BD228" s="15"/>
      <c r="BE228" s="15"/>
      <c r="BF228" s="15"/>
    </row>
    <row r="229" spans="1:58" ht="19.5" customHeight="1" x14ac:dyDescent="0.2">
      <c r="A229" s="8" t="str">
        <f>IF($B229="","",TEXT($B229,"yyyymmdd")&amp;"-"&amp;SUBSTITUTE($F229," ","")&amp;"-"&amp;TEXT(COUNTIF($F$4:F229,$F229),"00"))</f>
        <v/>
      </c>
      <c r="B229" s="9"/>
      <c r="C229" s="8" t="str">
        <f t="shared" si="31"/>
        <v/>
      </c>
      <c r="D229" s="8" t="str">
        <f t="shared" si="32"/>
        <v/>
      </c>
      <c r="E229" s="10"/>
      <c r="F229" s="10"/>
      <c r="G229" s="8" t="str">
        <f>IF(OR($E229="",$F229=""),"",IFERROR(IF($E229=INDEX(Cluster_Master!$A$4:$A$18,MATCH($F229,Cluster_Master!$B$4:$B$18,0)),"OK","CHECK"),"CHECK"))</f>
        <v/>
      </c>
      <c r="H229" s="11" t="str">
        <f>IFERROR(INDEX(Cluster_Master!$C$4:$C$18,MATCH($F229,Cluster_Master!$B$4:$B$18,0)),"")</f>
        <v/>
      </c>
      <c r="I229" s="8" t="str">
        <f>IFERROR(INDEX(Cluster_Master!$D$4:$D$18,MATCH($F229,Cluster_Master!$B$4:$B$18,0)),"")</f>
        <v/>
      </c>
      <c r="J229" s="8" t="str">
        <f>IFERROR(INDEX(Cluster_Master!$E$4:$E$18,MATCH($F229,Cluster_Master!$B$4:$B$18,0)),"")</f>
        <v/>
      </c>
      <c r="K229" s="8" t="str">
        <f>IFERROR(INDEX(Cluster_Master!$F$4:$F$18,MATCH($F229,Cluster_Master!$B$4:$B$18,0)),"")</f>
        <v/>
      </c>
      <c r="L229" s="8" t="str">
        <f>IFERROR(INDEX(Cluster_Master!$G$4:$G$18,MATCH($F229,Cluster_Master!$B$4:$B$18,0)),"")</f>
        <v/>
      </c>
      <c r="M229" s="8" t="str">
        <f>IFERROR(INDEX(Cluster_Master!$H$4:$H$18,MATCH($F229,Cluster_Master!$B$4:$B$18,0)),"")</f>
        <v/>
      </c>
      <c r="N229" s="12"/>
      <c r="O229" s="12"/>
      <c r="P229" s="12"/>
      <c r="Q229" s="12"/>
      <c r="R229" s="12"/>
      <c r="S229" s="12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8" t="str">
        <f t="shared" si="33"/>
        <v/>
      </c>
      <c r="AJ229" s="14" t="str">
        <f t="shared" si="34"/>
        <v/>
      </c>
      <c r="AK229" s="14" t="str">
        <f>IF(COUNTA(T229:AH229)=0,"",(SUM(T229*KPI_Weights!$B$4,U229*KPI_Weights!$B$5,V229*KPI_Weights!$B$6,W229*KPI_Weights!$B$7,X229*KPI_Weights!$B$8,Y229*KPI_Weights!$B$9,Z229*KPI_Weights!$B$10,AA229*KPI_Weights!$B$11,AB229*KPI_Weights!$B$12,AC229*KPI_Weights!$B$13,AD229*KPI_Weights!$B$14,AE229*KPI_Weights!$B$15,AF229*KPI_Weights!$B$16,AG229*KPI_Weights!$B$17,AH229*KPI_Weights!$B$18))/5)</f>
        <v/>
      </c>
      <c r="AL229" s="8" t="str">
        <f t="shared" si="35"/>
        <v/>
      </c>
      <c r="AM229" s="8" t="str">
        <f t="shared" si="36"/>
        <v/>
      </c>
      <c r="AN229" s="8" t="str">
        <f t="shared" si="37"/>
        <v/>
      </c>
      <c r="AO229" s="12"/>
      <c r="AP229" s="12"/>
      <c r="AQ229" s="12"/>
      <c r="AR229" s="12"/>
      <c r="AS229" s="12"/>
      <c r="AT229" s="15"/>
      <c r="AU229" s="12"/>
      <c r="AV229" s="16"/>
      <c r="AW229" s="12"/>
      <c r="AX229" s="15"/>
      <c r="AY229" s="15"/>
      <c r="AZ229" s="15"/>
      <c r="BA229" s="15"/>
      <c r="BB229" s="15"/>
      <c r="BC229" s="15"/>
      <c r="BD229" s="15"/>
      <c r="BE229" s="15"/>
      <c r="BF229" s="15"/>
    </row>
    <row r="230" spans="1:58" ht="19.5" customHeight="1" x14ac:dyDescent="0.2">
      <c r="A230" s="8" t="str">
        <f>IF($B230="","",TEXT($B230,"yyyymmdd")&amp;"-"&amp;SUBSTITUTE($F230," ","")&amp;"-"&amp;TEXT(COUNTIF($F$4:F230,$F230),"00"))</f>
        <v/>
      </c>
      <c r="B230" s="9"/>
      <c r="C230" s="8" t="str">
        <f t="shared" si="31"/>
        <v/>
      </c>
      <c r="D230" s="8" t="str">
        <f t="shared" si="32"/>
        <v/>
      </c>
      <c r="E230" s="10"/>
      <c r="F230" s="10"/>
      <c r="G230" s="8" t="str">
        <f>IF(OR($E230="",$F230=""),"",IFERROR(IF($E230=INDEX(Cluster_Master!$A$4:$A$18,MATCH($F230,Cluster_Master!$B$4:$B$18,0)),"OK","CHECK"),"CHECK"))</f>
        <v/>
      </c>
      <c r="H230" s="11" t="str">
        <f>IFERROR(INDEX(Cluster_Master!$C$4:$C$18,MATCH($F230,Cluster_Master!$B$4:$B$18,0)),"")</f>
        <v/>
      </c>
      <c r="I230" s="8" t="str">
        <f>IFERROR(INDEX(Cluster_Master!$D$4:$D$18,MATCH($F230,Cluster_Master!$B$4:$B$18,0)),"")</f>
        <v/>
      </c>
      <c r="J230" s="8" t="str">
        <f>IFERROR(INDEX(Cluster_Master!$E$4:$E$18,MATCH($F230,Cluster_Master!$B$4:$B$18,0)),"")</f>
        <v/>
      </c>
      <c r="K230" s="8" t="str">
        <f>IFERROR(INDEX(Cluster_Master!$F$4:$F$18,MATCH($F230,Cluster_Master!$B$4:$B$18,0)),"")</f>
        <v/>
      </c>
      <c r="L230" s="8" t="str">
        <f>IFERROR(INDEX(Cluster_Master!$G$4:$G$18,MATCH($F230,Cluster_Master!$B$4:$B$18,0)),"")</f>
        <v/>
      </c>
      <c r="M230" s="8" t="str">
        <f>IFERROR(INDEX(Cluster_Master!$H$4:$H$18,MATCH($F230,Cluster_Master!$B$4:$B$18,0)),"")</f>
        <v/>
      </c>
      <c r="N230" s="12"/>
      <c r="O230" s="12"/>
      <c r="P230" s="12"/>
      <c r="Q230" s="12"/>
      <c r="R230" s="12"/>
      <c r="S230" s="1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8" t="str">
        <f t="shared" si="33"/>
        <v/>
      </c>
      <c r="AJ230" s="14" t="str">
        <f t="shared" si="34"/>
        <v/>
      </c>
      <c r="AK230" s="14" t="str">
        <f>IF(COUNTA(T230:AH230)=0,"",(SUM(T230*KPI_Weights!$B$4,U230*KPI_Weights!$B$5,V230*KPI_Weights!$B$6,W230*KPI_Weights!$B$7,X230*KPI_Weights!$B$8,Y230*KPI_Weights!$B$9,Z230*KPI_Weights!$B$10,AA230*KPI_Weights!$B$11,AB230*KPI_Weights!$B$12,AC230*KPI_Weights!$B$13,AD230*KPI_Weights!$B$14,AE230*KPI_Weights!$B$15,AF230*KPI_Weights!$B$16,AG230*KPI_Weights!$B$17,AH230*KPI_Weights!$B$18))/5)</f>
        <v/>
      </c>
      <c r="AL230" s="8" t="str">
        <f t="shared" si="35"/>
        <v/>
      </c>
      <c r="AM230" s="8" t="str">
        <f t="shared" si="36"/>
        <v/>
      </c>
      <c r="AN230" s="8" t="str">
        <f t="shared" si="37"/>
        <v/>
      </c>
      <c r="AO230" s="12"/>
      <c r="AP230" s="12"/>
      <c r="AQ230" s="12"/>
      <c r="AR230" s="12"/>
      <c r="AS230" s="12"/>
      <c r="AT230" s="15"/>
      <c r="AU230" s="12"/>
      <c r="AV230" s="16"/>
      <c r="AW230" s="12"/>
      <c r="AX230" s="15"/>
      <c r="AY230" s="15"/>
      <c r="AZ230" s="15"/>
      <c r="BA230" s="15"/>
      <c r="BB230" s="15"/>
      <c r="BC230" s="15"/>
      <c r="BD230" s="15"/>
      <c r="BE230" s="15"/>
      <c r="BF230" s="15"/>
    </row>
    <row r="231" spans="1:58" ht="19.5" customHeight="1" x14ac:dyDescent="0.2">
      <c r="A231" s="8" t="str">
        <f>IF($B231="","",TEXT($B231,"yyyymmdd")&amp;"-"&amp;SUBSTITUTE($F231," ","")&amp;"-"&amp;TEXT(COUNTIF($F$4:F231,$F231),"00"))</f>
        <v/>
      </c>
      <c r="B231" s="9"/>
      <c r="C231" s="8" t="str">
        <f t="shared" si="31"/>
        <v/>
      </c>
      <c r="D231" s="8" t="str">
        <f t="shared" si="32"/>
        <v/>
      </c>
      <c r="E231" s="10"/>
      <c r="F231" s="10"/>
      <c r="G231" s="8" t="str">
        <f>IF(OR($E231="",$F231=""),"",IFERROR(IF($E231=INDEX(Cluster_Master!$A$4:$A$18,MATCH($F231,Cluster_Master!$B$4:$B$18,0)),"OK","CHECK"),"CHECK"))</f>
        <v/>
      </c>
      <c r="H231" s="11" t="str">
        <f>IFERROR(INDEX(Cluster_Master!$C$4:$C$18,MATCH($F231,Cluster_Master!$B$4:$B$18,0)),"")</f>
        <v/>
      </c>
      <c r="I231" s="8" t="str">
        <f>IFERROR(INDEX(Cluster_Master!$D$4:$D$18,MATCH($F231,Cluster_Master!$B$4:$B$18,0)),"")</f>
        <v/>
      </c>
      <c r="J231" s="8" t="str">
        <f>IFERROR(INDEX(Cluster_Master!$E$4:$E$18,MATCH($F231,Cluster_Master!$B$4:$B$18,0)),"")</f>
        <v/>
      </c>
      <c r="K231" s="8" t="str">
        <f>IFERROR(INDEX(Cluster_Master!$F$4:$F$18,MATCH($F231,Cluster_Master!$B$4:$B$18,0)),"")</f>
        <v/>
      </c>
      <c r="L231" s="8" t="str">
        <f>IFERROR(INDEX(Cluster_Master!$G$4:$G$18,MATCH($F231,Cluster_Master!$B$4:$B$18,0)),"")</f>
        <v/>
      </c>
      <c r="M231" s="8" t="str">
        <f>IFERROR(INDEX(Cluster_Master!$H$4:$H$18,MATCH($F231,Cluster_Master!$B$4:$B$18,0)),"")</f>
        <v/>
      </c>
      <c r="N231" s="12"/>
      <c r="O231" s="12"/>
      <c r="P231" s="12"/>
      <c r="Q231" s="12"/>
      <c r="R231" s="12"/>
      <c r="S231" s="12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8" t="str">
        <f t="shared" si="33"/>
        <v/>
      </c>
      <c r="AJ231" s="14" t="str">
        <f t="shared" si="34"/>
        <v/>
      </c>
      <c r="AK231" s="14" t="str">
        <f>IF(COUNTA(T231:AH231)=0,"",(SUM(T231*KPI_Weights!$B$4,U231*KPI_Weights!$B$5,V231*KPI_Weights!$B$6,W231*KPI_Weights!$B$7,X231*KPI_Weights!$B$8,Y231*KPI_Weights!$B$9,Z231*KPI_Weights!$B$10,AA231*KPI_Weights!$B$11,AB231*KPI_Weights!$B$12,AC231*KPI_Weights!$B$13,AD231*KPI_Weights!$B$14,AE231*KPI_Weights!$B$15,AF231*KPI_Weights!$B$16,AG231*KPI_Weights!$B$17,AH231*KPI_Weights!$B$18))/5)</f>
        <v/>
      </c>
      <c r="AL231" s="8" t="str">
        <f t="shared" si="35"/>
        <v/>
      </c>
      <c r="AM231" s="8" t="str">
        <f t="shared" si="36"/>
        <v/>
      </c>
      <c r="AN231" s="8" t="str">
        <f t="shared" si="37"/>
        <v/>
      </c>
      <c r="AO231" s="12"/>
      <c r="AP231" s="12"/>
      <c r="AQ231" s="12"/>
      <c r="AR231" s="12"/>
      <c r="AS231" s="12"/>
      <c r="AT231" s="15"/>
      <c r="AU231" s="12"/>
      <c r="AV231" s="16"/>
      <c r="AW231" s="12"/>
      <c r="AX231" s="15"/>
      <c r="AY231" s="15"/>
      <c r="AZ231" s="15"/>
      <c r="BA231" s="15"/>
      <c r="BB231" s="15"/>
      <c r="BC231" s="15"/>
      <c r="BD231" s="15"/>
      <c r="BE231" s="15"/>
      <c r="BF231" s="15"/>
    </row>
    <row r="232" spans="1:58" ht="19.5" customHeight="1" x14ac:dyDescent="0.2">
      <c r="A232" s="8" t="str">
        <f>IF($B232="","",TEXT($B232,"yyyymmdd")&amp;"-"&amp;SUBSTITUTE($F232," ","")&amp;"-"&amp;TEXT(COUNTIF($F$4:F232,$F232),"00"))</f>
        <v/>
      </c>
      <c r="B232" s="9"/>
      <c r="C232" s="8" t="str">
        <f t="shared" si="31"/>
        <v/>
      </c>
      <c r="D232" s="8" t="str">
        <f t="shared" si="32"/>
        <v/>
      </c>
      <c r="E232" s="10"/>
      <c r="F232" s="10"/>
      <c r="G232" s="8" t="str">
        <f>IF(OR($E232="",$F232=""),"",IFERROR(IF($E232=INDEX(Cluster_Master!$A$4:$A$18,MATCH($F232,Cluster_Master!$B$4:$B$18,0)),"OK","CHECK"),"CHECK"))</f>
        <v/>
      </c>
      <c r="H232" s="11" t="str">
        <f>IFERROR(INDEX(Cluster_Master!$C$4:$C$18,MATCH($F232,Cluster_Master!$B$4:$B$18,0)),"")</f>
        <v/>
      </c>
      <c r="I232" s="8" t="str">
        <f>IFERROR(INDEX(Cluster_Master!$D$4:$D$18,MATCH($F232,Cluster_Master!$B$4:$B$18,0)),"")</f>
        <v/>
      </c>
      <c r="J232" s="8" t="str">
        <f>IFERROR(INDEX(Cluster_Master!$E$4:$E$18,MATCH($F232,Cluster_Master!$B$4:$B$18,0)),"")</f>
        <v/>
      </c>
      <c r="K232" s="8" t="str">
        <f>IFERROR(INDEX(Cluster_Master!$F$4:$F$18,MATCH($F232,Cluster_Master!$B$4:$B$18,0)),"")</f>
        <v/>
      </c>
      <c r="L232" s="8" t="str">
        <f>IFERROR(INDEX(Cluster_Master!$G$4:$G$18,MATCH($F232,Cluster_Master!$B$4:$B$18,0)),"")</f>
        <v/>
      </c>
      <c r="M232" s="8" t="str">
        <f>IFERROR(INDEX(Cluster_Master!$H$4:$H$18,MATCH($F232,Cluster_Master!$B$4:$B$18,0)),"")</f>
        <v/>
      </c>
      <c r="N232" s="12"/>
      <c r="O232" s="12"/>
      <c r="P232" s="12"/>
      <c r="Q232" s="12"/>
      <c r="R232" s="12"/>
      <c r="S232" s="12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8" t="str">
        <f t="shared" si="33"/>
        <v/>
      </c>
      <c r="AJ232" s="14" t="str">
        <f t="shared" si="34"/>
        <v/>
      </c>
      <c r="AK232" s="14" t="str">
        <f>IF(COUNTA(T232:AH232)=0,"",(SUM(T232*KPI_Weights!$B$4,U232*KPI_Weights!$B$5,V232*KPI_Weights!$B$6,W232*KPI_Weights!$B$7,X232*KPI_Weights!$B$8,Y232*KPI_Weights!$B$9,Z232*KPI_Weights!$B$10,AA232*KPI_Weights!$B$11,AB232*KPI_Weights!$B$12,AC232*KPI_Weights!$B$13,AD232*KPI_Weights!$B$14,AE232*KPI_Weights!$B$15,AF232*KPI_Weights!$B$16,AG232*KPI_Weights!$B$17,AH232*KPI_Weights!$B$18))/5)</f>
        <v/>
      </c>
      <c r="AL232" s="8" t="str">
        <f t="shared" si="35"/>
        <v/>
      </c>
      <c r="AM232" s="8" t="str">
        <f t="shared" si="36"/>
        <v/>
      </c>
      <c r="AN232" s="8" t="str">
        <f t="shared" si="37"/>
        <v/>
      </c>
      <c r="AO232" s="12"/>
      <c r="AP232" s="12"/>
      <c r="AQ232" s="12"/>
      <c r="AR232" s="12"/>
      <c r="AS232" s="12"/>
      <c r="AT232" s="15"/>
      <c r="AU232" s="12"/>
      <c r="AV232" s="16"/>
      <c r="AW232" s="12"/>
      <c r="AX232" s="15"/>
      <c r="AY232" s="15"/>
      <c r="AZ232" s="15"/>
      <c r="BA232" s="15"/>
      <c r="BB232" s="15"/>
      <c r="BC232" s="15"/>
      <c r="BD232" s="15"/>
      <c r="BE232" s="15"/>
      <c r="BF232" s="15"/>
    </row>
    <row r="233" spans="1:58" ht="19.5" customHeight="1" x14ac:dyDescent="0.2">
      <c r="A233" s="8" t="str">
        <f>IF($B233="","",TEXT($B233,"yyyymmdd")&amp;"-"&amp;SUBSTITUTE($F233," ","")&amp;"-"&amp;TEXT(COUNTIF($F$4:F233,$F233),"00"))</f>
        <v/>
      </c>
      <c r="B233" s="9"/>
      <c r="C233" s="8" t="str">
        <f t="shared" si="31"/>
        <v/>
      </c>
      <c r="D233" s="8" t="str">
        <f t="shared" si="32"/>
        <v/>
      </c>
      <c r="E233" s="10"/>
      <c r="F233" s="10"/>
      <c r="G233" s="8" t="str">
        <f>IF(OR($E233="",$F233=""),"",IFERROR(IF($E233=INDEX(Cluster_Master!$A$4:$A$18,MATCH($F233,Cluster_Master!$B$4:$B$18,0)),"OK","CHECK"),"CHECK"))</f>
        <v/>
      </c>
      <c r="H233" s="11" t="str">
        <f>IFERROR(INDEX(Cluster_Master!$C$4:$C$18,MATCH($F233,Cluster_Master!$B$4:$B$18,0)),"")</f>
        <v/>
      </c>
      <c r="I233" s="8" t="str">
        <f>IFERROR(INDEX(Cluster_Master!$D$4:$D$18,MATCH($F233,Cluster_Master!$B$4:$B$18,0)),"")</f>
        <v/>
      </c>
      <c r="J233" s="8" t="str">
        <f>IFERROR(INDEX(Cluster_Master!$E$4:$E$18,MATCH($F233,Cluster_Master!$B$4:$B$18,0)),"")</f>
        <v/>
      </c>
      <c r="K233" s="8" t="str">
        <f>IFERROR(INDEX(Cluster_Master!$F$4:$F$18,MATCH($F233,Cluster_Master!$B$4:$B$18,0)),"")</f>
        <v/>
      </c>
      <c r="L233" s="8" t="str">
        <f>IFERROR(INDEX(Cluster_Master!$G$4:$G$18,MATCH($F233,Cluster_Master!$B$4:$B$18,0)),"")</f>
        <v/>
      </c>
      <c r="M233" s="8" t="str">
        <f>IFERROR(INDEX(Cluster_Master!$H$4:$H$18,MATCH($F233,Cluster_Master!$B$4:$B$18,0)),"")</f>
        <v/>
      </c>
      <c r="N233" s="12"/>
      <c r="O233" s="12"/>
      <c r="P233" s="12"/>
      <c r="Q233" s="12"/>
      <c r="R233" s="12"/>
      <c r="S233" s="12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8" t="str">
        <f t="shared" si="33"/>
        <v/>
      </c>
      <c r="AJ233" s="14" t="str">
        <f t="shared" si="34"/>
        <v/>
      </c>
      <c r="AK233" s="14" t="str">
        <f>IF(COUNTA(T233:AH233)=0,"",(SUM(T233*KPI_Weights!$B$4,U233*KPI_Weights!$B$5,V233*KPI_Weights!$B$6,W233*KPI_Weights!$B$7,X233*KPI_Weights!$B$8,Y233*KPI_Weights!$B$9,Z233*KPI_Weights!$B$10,AA233*KPI_Weights!$B$11,AB233*KPI_Weights!$B$12,AC233*KPI_Weights!$B$13,AD233*KPI_Weights!$B$14,AE233*KPI_Weights!$B$15,AF233*KPI_Weights!$B$16,AG233*KPI_Weights!$B$17,AH233*KPI_Weights!$B$18))/5)</f>
        <v/>
      </c>
      <c r="AL233" s="8" t="str">
        <f t="shared" si="35"/>
        <v/>
      </c>
      <c r="AM233" s="8" t="str">
        <f t="shared" si="36"/>
        <v/>
      </c>
      <c r="AN233" s="8" t="str">
        <f t="shared" si="37"/>
        <v/>
      </c>
      <c r="AO233" s="12"/>
      <c r="AP233" s="12"/>
      <c r="AQ233" s="12"/>
      <c r="AR233" s="12"/>
      <c r="AS233" s="12"/>
      <c r="AT233" s="15"/>
      <c r="AU233" s="12"/>
      <c r="AV233" s="16"/>
      <c r="AW233" s="12"/>
      <c r="AX233" s="15"/>
      <c r="AY233" s="15"/>
      <c r="AZ233" s="15"/>
      <c r="BA233" s="15"/>
      <c r="BB233" s="15"/>
      <c r="BC233" s="15"/>
      <c r="BD233" s="15"/>
      <c r="BE233" s="15"/>
      <c r="BF233" s="15"/>
    </row>
    <row r="234" spans="1:58" ht="19.5" customHeight="1" x14ac:dyDescent="0.2">
      <c r="A234" s="8" t="str">
        <f>IF($B234="","",TEXT($B234,"yyyymmdd")&amp;"-"&amp;SUBSTITUTE($F234," ","")&amp;"-"&amp;TEXT(COUNTIF($F$4:F234,$F234),"00"))</f>
        <v/>
      </c>
      <c r="B234" s="9"/>
      <c r="C234" s="8" t="str">
        <f t="shared" si="31"/>
        <v/>
      </c>
      <c r="D234" s="8" t="str">
        <f t="shared" si="32"/>
        <v/>
      </c>
      <c r="E234" s="10"/>
      <c r="F234" s="10"/>
      <c r="G234" s="8" t="str">
        <f>IF(OR($E234="",$F234=""),"",IFERROR(IF($E234=INDEX(Cluster_Master!$A$4:$A$18,MATCH($F234,Cluster_Master!$B$4:$B$18,0)),"OK","CHECK"),"CHECK"))</f>
        <v/>
      </c>
      <c r="H234" s="11" t="str">
        <f>IFERROR(INDEX(Cluster_Master!$C$4:$C$18,MATCH($F234,Cluster_Master!$B$4:$B$18,0)),"")</f>
        <v/>
      </c>
      <c r="I234" s="8" t="str">
        <f>IFERROR(INDEX(Cluster_Master!$D$4:$D$18,MATCH($F234,Cluster_Master!$B$4:$B$18,0)),"")</f>
        <v/>
      </c>
      <c r="J234" s="8" t="str">
        <f>IFERROR(INDEX(Cluster_Master!$E$4:$E$18,MATCH($F234,Cluster_Master!$B$4:$B$18,0)),"")</f>
        <v/>
      </c>
      <c r="K234" s="8" t="str">
        <f>IFERROR(INDEX(Cluster_Master!$F$4:$F$18,MATCH($F234,Cluster_Master!$B$4:$B$18,0)),"")</f>
        <v/>
      </c>
      <c r="L234" s="8" t="str">
        <f>IFERROR(INDEX(Cluster_Master!$G$4:$G$18,MATCH($F234,Cluster_Master!$B$4:$B$18,0)),"")</f>
        <v/>
      </c>
      <c r="M234" s="8" t="str">
        <f>IFERROR(INDEX(Cluster_Master!$H$4:$H$18,MATCH($F234,Cluster_Master!$B$4:$B$18,0)),"")</f>
        <v/>
      </c>
      <c r="N234" s="12"/>
      <c r="O234" s="12"/>
      <c r="P234" s="12"/>
      <c r="Q234" s="12"/>
      <c r="R234" s="12"/>
      <c r="S234" s="12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8" t="str">
        <f t="shared" si="33"/>
        <v/>
      </c>
      <c r="AJ234" s="14" t="str">
        <f t="shared" si="34"/>
        <v/>
      </c>
      <c r="AK234" s="14" t="str">
        <f>IF(COUNTA(T234:AH234)=0,"",(SUM(T234*KPI_Weights!$B$4,U234*KPI_Weights!$B$5,V234*KPI_Weights!$B$6,W234*KPI_Weights!$B$7,X234*KPI_Weights!$B$8,Y234*KPI_Weights!$B$9,Z234*KPI_Weights!$B$10,AA234*KPI_Weights!$B$11,AB234*KPI_Weights!$B$12,AC234*KPI_Weights!$B$13,AD234*KPI_Weights!$B$14,AE234*KPI_Weights!$B$15,AF234*KPI_Weights!$B$16,AG234*KPI_Weights!$B$17,AH234*KPI_Weights!$B$18))/5)</f>
        <v/>
      </c>
      <c r="AL234" s="8" t="str">
        <f t="shared" si="35"/>
        <v/>
      </c>
      <c r="AM234" s="8" t="str">
        <f t="shared" si="36"/>
        <v/>
      </c>
      <c r="AN234" s="8" t="str">
        <f t="shared" si="37"/>
        <v/>
      </c>
      <c r="AO234" s="12"/>
      <c r="AP234" s="12"/>
      <c r="AQ234" s="12"/>
      <c r="AR234" s="12"/>
      <c r="AS234" s="12"/>
      <c r="AT234" s="15"/>
      <c r="AU234" s="12"/>
      <c r="AV234" s="16"/>
      <c r="AW234" s="12"/>
      <c r="AX234" s="15"/>
      <c r="AY234" s="15"/>
      <c r="AZ234" s="15"/>
      <c r="BA234" s="15"/>
      <c r="BB234" s="15"/>
      <c r="BC234" s="15"/>
      <c r="BD234" s="15"/>
      <c r="BE234" s="15"/>
      <c r="BF234" s="15"/>
    </row>
    <row r="235" spans="1:58" ht="19.5" customHeight="1" x14ac:dyDescent="0.2">
      <c r="A235" s="8" t="str">
        <f>IF($B235="","",TEXT($B235,"yyyymmdd")&amp;"-"&amp;SUBSTITUTE($F235," ","")&amp;"-"&amp;TEXT(COUNTIF($F$4:F235,$F235),"00"))</f>
        <v/>
      </c>
      <c r="B235" s="9"/>
      <c r="C235" s="8" t="str">
        <f t="shared" si="31"/>
        <v/>
      </c>
      <c r="D235" s="8" t="str">
        <f t="shared" si="32"/>
        <v/>
      </c>
      <c r="E235" s="10"/>
      <c r="F235" s="10"/>
      <c r="G235" s="8" t="str">
        <f>IF(OR($E235="",$F235=""),"",IFERROR(IF($E235=INDEX(Cluster_Master!$A$4:$A$18,MATCH($F235,Cluster_Master!$B$4:$B$18,0)),"OK","CHECK"),"CHECK"))</f>
        <v/>
      </c>
      <c r="H235" s="11" t="str">
        <f>IFERROR(INDEX(Cluster_Master!$C$4:$C$18,MATCH($F235,Cluster_Master!$B$4:$B$18,0)),"")</f>
        <v/>
      </c>
      <c r="I235" s="8" t="str">
        <f>IFERROR(INDEX(Cluster_Master!$D$4:$D$18,MATCH($F235,Cluster_Master!$B$4:$B$18,0)),"")</f>
        <v/>
      </c>
      <c r="J235" s="8" t="str">
        <f>IFERROR(INDEX(Cluster_Master!$E$4:$E$18,MATCH($F235,Cluster_Master!$B$4:$B$18,0)),"")</f>
        <v/>
      </c>
      <c r="K235" s="8" t="str">
        <f>IFERROR(INDEX(Cluster_Master!$F$4:$F$18,MATCH($F235,Cluster_Master!$B$4:$B$18,0)),"")</f>
        <v/>
      </c>
      <c r="L235" s="8" t="str">
        <f>IFERROR(INDEX(Cluster_Master!$G$4:$G$18,MATCH($F235,Cluster_Master!$B$4:$B$18,0)),"")</f>
        <v/>
      </c>
      <c r="M235" s="8" t="str">
        <f>IFERROR(INDEX(Cluster_Master!$H$4:$H$18,MATCH($F235,Cluster_Master!$B$4:$B$18,0)),"")</f>
        <v/>
      </c>
      <c r="N235" s="12"/>
      <c r="O235" s="12"/>
      <c r="P235" s="12"/>
      <c r="Q235" s="12"/>
      <c r="R235" s="12"/>
      <c r="S235" s="12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8" t="str">
        <f t="shared" si="33"/>
        <v/>
      </c>
      <c r="AJ235" s="14" t="str">
        <f t="shared" si="34"/>
        <v/>
      </c>
      <c r="AK235" s="14" t="str">
        <f>IF(COUNTA(T235:AH235)=0,"",(SUM(T235*KPI_Weights!$B$4,U235*KPI_Weights!$B$5,V235*KPI_Weights!$B$6,W235*KPI_Weights!$B$7,X235*KPI_Weights!$B$8,Y235*KPI_Weights!$B$9,Z235*KPI_Weights!$B$10,AA235*KPI_Weights!$B$11,AB235*KPI_Weights!$B$12,AC235*KPI_Weights!$B$13,AD235*KPI_Weights!$B$14,AE235*KPI_Weights!$B$15,AF235*KPI_Weights!$B$16,AG235*KPI_Weights!$B$17,AH235*KPI_Weights!$B$18))/5)</f>
        <v/>
      </c>
      <c r="AL235" s="8" t="str">
        <f t="shared" si="35"/>
        <v/>
      </c>
      <c r="AM235" s="8" t="str">
        <f t="shared" si="36"/>
        <v/>
      </c>
      <c r="AN235" s="8" t="str">
        <f t="shared" si="37"/>
        <v/>
      </c>
      <c r="AO235" s="12"/>
      <c r="AP235" s="12"/>
      <c r="AQ235" s="12"/>
      <c r="AR235" s="12"/>
      <c r="AS235" s="12"/>
      <c r="AT235" s="15"/>
      <c r="AU235" s="12"/>
      <c r="AV235" s="16"/>
      <c r="AW235" s="12"/>
      <c r="AX235" s="15"/>
      <c r="AY235" s="15"/>
      <c r="AZ235" s="15"/>
      <c r="BA235" s="15"/>
      <c r="BB235" s="15"/>
      <c r="BC235" s="15"/>
      <c r="BD235" s="15"/>
      <c r="BE235" s="15"/>
      <c r="BF235" s="15"/>
    </row>
    <row r="236" spans="1:58" ht="19.5" customHeight="1" x14ac:dyDescent="0.2">
      <c r="A236" s="8" t="str">
        <f>IF($B236="","",TEXT($B236,"yyyymmdd")&amp;"-"&amp;SUBSTITUTE($F236," ","")&amp;"-"&amp;TEXT(COUNTIF($F$4:F236,$F236),"00"))</f>
        <v/>
      </c>
      <c r="B236" s="9"/>
      <c r="C236" s="8" t="str">
        <f t="shared" si="31"/>
        <v/>
      </c>
      <c r="D236" s="8" t="str">
        <f t="shared" si="32"/>
        <v/>
      </c>
      <c r="E236" s="10"/>
      <c r="F236" s="10"/>
      <c r="G236" s="8" t="str">
        <f>IF(OR($E236="",$F236=""),"",IFERROR(IF($E236=INDEX(Cluster_Master!$A$4:$A$18,MATCH($F236,Cluster_Master!$B$4:$B$18,0)),"OK","CHECK"),"CHECK"))</f>
        <v/>
      </c>
      <c r="H236" s="11" t="str">
        <f>IFERROR(INDEX(Cluster_Master!$C$4:$C$18,MATCH($F236,Cluster_Master!$B$4:$B$18,0)),"")</f>
        <v/>
      </c>
      <c r="I236" s="8" t="str">
        <f>IFERROR(INDEX(Cluster_Master!$D$4:$D$18,MATCH($F236,Cluster_Master!$B$4:$B$18,0)),"")</f>
        <v/>
      </c>
      <c r="J236" s="8" t="str">
        <f>IFERROR(INDEX(Cluster_Master!$E$4:$E$18,MATCH($F236,Cluster_Master!$B$4:$B$18,0)),"")</f>
        <v/>
      </c>
      <c r="K236" s="8" t="str">
        <f>IFERROR(INDEX(Cluster_Master!$F$4:$F$18,MATCH($F236,Cluster_Master!$B$4:$B$18,0)),"")</f>
        <v/>
      </c>
      <c r="L236" s="8" t="str">
        <f>IFERROR(INDEX(Cluster_Master!$G$4:$G$18,MATCH($F236,Cluster_Master!$B$4:$B$18,0)),"")</f>
        <v/>
      </c>
      <c r="M236" s="8" t="str">
        <f>IFERROR(INDEX(Cluster_Master!$H$4:$H$18,MATCH($F236,Cluster_Master!$B$4:$B$18,0)),"")</f>
        <v/>
      </c>
      <c r="N236" s="12"/>
      <c r="O236" s="12"/>
      <c r="P236" s="12"/>
      <c r="Q236" s="12"/>
      <c r="R236" s="12"/>
      <c r="S236" s="12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8" t="str">
        <f t="shared" si="33"/>
        <v/>
      </c>
      <c r="AJ236" s="14" t="str">
        <f t="shared" si="34"/>
        <v/>
      </c>
      <c r="AK236" s="14" t="str">
        <f>IF(COUNTA(T236:AH236)=0,"",(SUM(T236*KPI_Weights!$B$4,U236*KPI_Weights!$B$5,V236*KPI_Weights!$B$6,W236*KPI_Weights!$B$7,X236*KPI_Weights!$B$8,Y236*KPI_Weights!$B$9,Z236*KPI_Weights!$B$10,AA236*KPI_Weights!$B$11,AB236*KPI_Weights!$B$12,AC236*KPI_Weights!$B$13,AD236*KPI_Weights!$B$14,AE236*KPI_Weights!$B$15,AF236*KPI_Weights!$B$16,AG236*KPI_Weights!$B$17,AH236*KPI_Weights!$B$18))/5)</f>
        <v/>
      </c>
      <c r="AL236" s="8" t="str">
        <f t="shared" si="35"/>
        <v/>
      </c>
      <c r="AM236" s="8" t="str">
        <f t="shared" si="36"/>
        <v/>
      </c>
      <c r="AN236" s="8" t="str">
        <f t="shared" si="37"/>
        <v/>
      </c>
      <c r="AO236" s="12"/>
      <c r="AP236" s="12"/>
      <c r="AQ236" s="12"/>
      <c r="AR236" s="12"/>
      <c r="AS236" s="12"/>
      <c r="AT236" s="15"/>
      <c r="AU236" s="12"/>
      <c r="AV236" s="16"/>
      <c r="AW236" s="12"/>
      <c r="AX236" s="15"/>
      <c r="AY236" s="15"/>
      <c r="AZ236" s="15"/>
      <c r="BA236" s="15"/>
      <c r="BB236" s="15"/>
      <c r="BC236" s="15"/>
      <c r="BD236" s="15"/>
      <c r="BE236" s="15"/>
      <c r="BF236" s="15"/>
    </row>
    <row r="237" spans="1:58" ht="19.5" customHeight="1" x14ac:dyDescent="0.2">
      <c r="A237" s="8" t="str">
        <f>IF($B237="","",TEXT($B237,"yyyymmdd")&amp;"-"&amp;SUBSTITUTE($F237," ","")&amp;"-"&amp;TEXT(COUNTIF($F$4:F237,$F237),"00"))</f>
        <v/>
      </c>
      <c r="B237" s="9"/>
      <c r="C237" s="8" t="str">
        <f t="shared" si="31"/>
        <v/>
      </c>
      <c r="D237" s="8" t="str">
        <f t="shared" si="32"/>
        <v/>
      </c>
      <c r="E237" s="10"/>
      <c r="F237" s="10"/>
      <c r="G237" s="8" t="str">
        <f>IF(OR($E237="",$F237=""),"",IFERROR(IF($E237=INDEX(Cluster_Master!$A$4:$A$18,MATCH($F237,Cluster_Master!$B$4:$B$18,0)),"OK","CHECK"),"CHECK"))</f>
        <v/>
      </c>
      <c r="H237" s="11" t="str">
        <f>IFERROR(INDEX(Cluster_Master!$C$4:$C$18,MATCH($F237,Cluster_Master!$B$4:$B$18,0)),"")</f>
        <v/>
      </c>
      <c r="I237" s="8" t="str">
        <f>IFERROR(INDEX(Cluster_Master!$D$4:$D$18,MATCH($F237,Cluster_Master!$B$4:$B$18,0)),"")</f>
        <v/>
      </c>
      <c r="J237" s="8" t="str">
        <f>IFERROR(INDEX(Cluster_Master!$E$4:$E$18,MATCH($F237,Cluster_Master!$B$4:$B$18,0)),"")</f>
        <v/>
      </c>
      <c r="K237" s="8" t="str">
        <f>IFERROR(INDEX(Cluster_Master!$F$4:$F$18,MATCH($F237,Cluster_Master!$B$4:$B$18,0)),"")</f>
        <v/>
      </c>
      <c r="L237" s="8" t="str">
        <f>IFERROR(INDEX(Cluster_Master!$G$4:$G$18,MATCH($F237,Cluster_Master!$B$4:$B$18,0)),"")</f>
        <v/>
      </c>
      <c r="M237" s="8" t="str">
        <f>IFERROR(INDEX(Cluster_Master!$H$4:$H$18,MATCH($F237,Cluster_Master!$B$4:$B$18,0)),"")</f>
        <v/>
      </c>
      <c r="N237" s="12"/>
      <c r="O237" s="12"/>
      <c r="P237" s="12"/>
      <c r="Q237" s="12"/>
      <c r="R237" s="12"/>
      <c r="S237" s="12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8" t="str">
        <f t="shared" si="33"/>
        <v/>
      </c>
      <c r="AJ237" s="14" t="str">
        <f t="shared" si="34"/>
        <v/>
      </c>
      <c r="AK237" s="14" t="str">
        <f>IF(COUNTA(T237:AH237)=0,"",(SUM(T237*KPI_Weights!$B$4,U237*KPI_Weights!$B$5,V237*KPI_Weights!$B$6,W237*KPI_Weights!$B$7,X237*KPI_Weights!$B$8,Y237*KPI_Weights!$B$9,Z237*KPI_Weights!$B$10,AA237*KPI_Weights!$B$11,AB237*KPI_Weights!$B$12,AC237*KPI_Weights!$B$13,AD237*KPI_Weights!$B$14,AE237*KPI_Weights!$B$15,AF237*KPI_Weights!$B$16,AG237*KPI_Weights!$B$17,AH237*KPI_Weights!$B$18))/5)</f>
        <v/>
      </c>
      <c r="AL237" s="8" t="str">
        <f t="shared" si="35"/>
        <v/>
      </c>
      <c r="AM237" s="8" t="str">
        <f t="shared" si="36"/>
        <v/>
      </c>
      <c r="AN237" s="8" t="str">
        <f t="shared" si="37"/>
        <v/>
      </c>
      <c r="AO237" s="12"/>
      <c r="AP237" s="12"/>
      <c r="AQ237" s="12"/>
      <c r="AR237" s="12"/>
      <c r="AS237" s="12"/>
      <c r="AT237" s="15"/>
      <c r="AU237" s="12"/>
      <c r="AV237" s="16"/>
      <c r="AW237" s="12"/>
      <c r="AX237" s="15"/>
      <c r="AY237" s="15"/>
      <c r="AZ237" s="15"/>
      <c r="BA237" s="15"/>
      <c r="BB237" s="15"/>
      <c r="BC237" s="15"/>
      <c r="BD237" s="15"/>
      <c r="BE237" s="15"/>
      <c r="BF237" s="15"/>
    </row>
    <row r="238" spans="1:58" ht="19.5" customHeight="1" x14ac:dyDescent="0.2">
      <c r="A238" s="8" t="str">
        <f>IF($B238="","",TEXT($B238,"yyyymmdd")&amp;"-"&amp;SUBSTITUTE($F238," ","")&amp;"-"&amp;TEXT(COUNTIF($F$4:F238,$F238),"00"))</f>
        <v/>
      </c>
      <c r="B238" s="9"/>
      <c r="C238" s="8" t="str">
        <f t="shared" si="31"/>
        <v/>
      </c>
      <c r="D238" s="8" t="str">
        <f t="shared" si="32"/>
        <v/>
      </c>
      <c r="E238" s="10"/>
      <c r="F238" s="10"/>
      <c r="G238" s="8" t="str">
        <f>IF(OR($E238="",$F238=""),"",IFERROR(IF($E238=INDEX(Cluster_Master!$A$4:$A$18,MATCH($F238,Cluster_Master!$B$4:$B$18,0)),"OK","CHECK"),"CHECK"))</f>
        <v/>
      </c>
      <c r="H238" s="11" t="str">
        <f>IFERROR(INDEX(Cluster_Master!$C$4:$C$18,MATCH($F238,Cluster_Master!$B$4:$B$18,0)),"")</f>
        <v/>
      </c>
      <c r="I238" s="8" t="str">
        <f>IFERROR(INDEX(Cluster_Master!$D$4:$D$18,MATCH($F238,Cluster_Master!$B$4:$B$18,0)),"")</f>
        <v/>
      </c>
      <c r="J238" s="8" t="str">
        <f>IFERROR(INDEX(Cluster_Master!$E$4:$E$18,MATCH($F238,Cluster_Master!$B$4:$B$18,0)),"")</f>
        <v/>
      </c>
      <c r="K238" s="8" t="str">
        <f>IFERROR(INDEX(Cluster_Master!$F$4:$F$18,MATCH($F238,Cluster_Master!$B$4:$B$18,0)),"")</f>
        <v/>
      </c>
      <c r="L238" s="8" t="str">
        <f>IFERROR(INDEX(Cluster_Master!$G$4:$G$18,MATCH($F238,Cluster_Master!$B$4:$B$18,0)),"")</f>
        <v/>
      </c>
      <c r="M238" s="8" t="str">
        <f>IFERROR(INDEX(Cluster_Master!$H$4:$H$18,MATCH($F238,Cluster_Master!$B$4:$B$18,0)),"")</f>
        <v/>
      </c>
      <c r="N238" s="12"/>
      <c r="O238" s="12"/>
      <c r="P238" s="12"/>
      <c r="Q238" s="12"/>
      <c r="R238" s="12"/>
      <c r="S238" s="12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8" t="str">
        <f t="shared" si="33"/>
        <v/>
      </c>
      <c r="AJ238" s="14" t="str">
        <f t="shared" si="34"/>
        <v/>
      </c>
      <c r="AK238" s="14" t="str">
        <f>IF(COUNTA(T238:AH238)=0,"",(SUM(T238*KPI_Weights!$B$4,U238*KPI_Weights!$B$5,V238*KPI_Weights!$B$6,W238*KPI_Weights!$B$7,X238*KPI_Weights!$B$8,Y238*KPI_Weights!$B$9,Z238*KPI_Weights!$B$10,AA238*KPI_Weights!$B$11,AB238*KPI_Weights!$B$12,AC238*KPI_Weights!$B$13,AD238*KPI_Weights!$B$14,AE238*KPI_Weights!$B$15,AF238*KPI_Weights!$B$16,AG238*KPI_Weights!$B$17,AH238*KPI_Weights!$B$18))/5)</f>
        <v/>
      </c>
      <c r="AL238" s="8" t="str">
        <f t="shared" si="35"/>
        <v/>
      </c>
      <c r="AM238" s="8" t="str">
        <f t="shared" si="36"/>
        <v/>
      </c>
      <c r="AN238" s="8" t="str">
        <f t="shared" si="37"/>
        <v/>
      </c>
      <c r="AO238" s="12"/>
      <c r="AP238" s="12"/>
      <c r="AQ238" s="12"/>
      <c r="AR238" s="12"/>
      <c r="AS238" s="12"/>
      <c r="AT238" s="15"/>
      <c r="AU238" s="12"/>
      <c r="AV238" s="16"/>
      <c r="AW238" s="12"/>
      <c r="AX238" s="15"/>
      <c r="AY238" s="15"/>
      <c r="AZ238" s="15"/>
      <c r="BA238" s="15"/>
      <c r="BB238" s="15"/>
      <c r="BC238" s="15"/>
      <c r="BD238" s="15"/>
      <c r="BE238" s="15"/>
      <c r="BF238" s="15"/>
    </row>
    <row r="239" spans="1:58" ht="19.5" customHeight="1" x14ac:dyDescent="0.2">
      <c r="A239" s="8" t="str">
        <f>IF($B239="","",TEXT($B239,"yyyymmdd")&amp;"-"&amp;SUBSTITUTE($F239," ","")&amp;"-"&amp;TEXT(COUNTIF($F$4:F239,$F239),"00"))</f>
        <v/>
      </c>
      <c r="B239" s="9"/>
      <c r="C239" s="8" t="str">
        <f t="shared" si="31"/>
        <v/>
      </c>
      <c r="D239" s="8" t="str">
        <f t="shared" si="32"/>
        <v/>
      </c>
      <c r="E239" s="10"/>
      <c r="F239" s="10"/>
      <c r="G239" s="8" t="str">
        <f>IF(OR($E239="",$F239=""),"",IFERROR(IF($E239=INDEX(Cluster_Master!$A$4:$A$18,MATCH($F239,Cluster_Master!$B$4:$B$18,0)),"OK","CHECK"),"CHECK"))</f>
        <v/>
      </c>
      <c r="H239" s="11" t="str">
        <f>IFERROR(INDEX(Cluster_Master!$C$4:$C$18,MATCH($F239,Cluster_Master!$B$4:$B$18,0)),"")</f>
        <v/>
      </c>
      <c r="I239" s="8" t="str">
        <f>IFERROR(INDEX(Cluster_Master!$D$4:$D$18,MATCH($F239,Cluster_Master!$B$4:$B$18,0)),"")</f>
        <v/>
      </c>
      <c r="J239" s="8" t="str">
        <f>IFERROR(INDEX(Cluster_Master!$E$4:$E$18,MATCH($F239,Cluster_Master!$B$4:$B$18,0)),"")</f>
        <v/>
      </c>
      <c r="K239" s="8" t="str">
        <f>IFERROR(INDEX(Cluster_Master!$F$4:$F$18,MATCH($F239,Cluster_Master!$B$4:$B$18,0)),"")</f>
        <v/>
      </c>
      <c r="L239" s="8" t="str">
        <f>IFERROR(INDEX(Cluster_Master!$G$4:$G$18,MATCH($F239,Cluster_Master!$B$4:$B$18,0)),"")</f>
        <v/>
      </c>
      <c r="M239" s="8" t="str">
        <f>IFERROR(INDEX(Cluster_Master!$H$4:$H$18,MATCH($F239,Cluster_Master!$B$4:$B$18,0)),"")</f>
        <v/>
      </c>
      <c r="N239" s="12"/>
      <c r="O239" s="12"/>
      <c r="P239" s="12"/>
      <c r="Q239" s="12"/>
      <c r="R239" s="12"/>
      <c r="S239" s="12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8" t="str">
        <f t="shared" si="33"/>
        <v/>
      </c>
      <c r="AJ239" s="14" t="str">
        <f t="shared" si="34"/>
        <v/>
      </c>
      <c r="AK239" s="14" t="str">
        <f>IF(COUNTA(T239:AH239)=0,"",(SUM(T239*KPI_Weights!$B$4,U239*KPI_Weights!$B$5,V239*KPI_Weights!$B$6,W239*KPI_Weights!$B$7,X239*KPI_Weights!$B$8,Y239*KPI_Weights!$B$9,Z239*KPI_Weights!$B$10,AA239*KPI_Weights!$B$11,AB239*KPI_Weights!$B$12,AC239*KPI_Weights!$B$13,AD239*KPI_Weights!$B$14,AE239*KPI_Weights!$B$15,AF239*KPI_Weights!$B$16,AG239*KPI_Weights!$B$17,AH239*KPI_Weights!$B$18))/5)</f>
        <v/>
      </c>
      <c r="AL239" s="8" t="str">
        <f t="shared" si="35"/>
        <v/>
      </c>
      <c r="AM239" s="8" t="str">
        <f t="shared" si="36"/>
        <v/>
      </c>
      <c r="AN239" s="8" t="str">
        <f t="shared" si="37"/>
        <v/>
      </c>
      <c r="AO239" s="12"/>
      <c r="AP239" s="12"/>
      <c r="AQ239" s="12"/>
      <c r="AR239" s="12"/>
      <c r="AS239" s="12"/>
      <c r="AT239" s="15"/>
      <c r="AU239" s="12"/>
      <c r="AV239" s="16"/>
      <c r="AW239" s="12"/>
      <c r="AX239" s="15"/>
      <c r="AY239" s="15"/>
      <c r="AZ239" s="15"/>
      <c r="BA239" s="15"/>
      <c r="BB239" s="15"/>
      <c r="BC239" s="15"/>
      <c r="BD239" s="15"/>
      <c r="BE239" s="15"/>
      <c r="BF239" s="15"/>
    </row>
    <row r="240" spans="1:58" ht="19.5" customHeight="1" x14ac:dyDescent="0.2">
      <c r="A240" s="8" t="str">
        <f>IF($B240="","",TEXT($B240,"yyyymmdd")&amp;"-"&amp;SUBSTITUTE($F240," ","")&amp;"-"&amp;TEXT(COUNTIF($F$4:F240,$F240),"00"))</f>
        <v/>
      </c>
      <c r="B240" s="9"/>
      <c r="C240" s="8" t="str">
        <f t="shared" si="31"/>
        <v/>
      </c>
      <c r="D240" s="8" t="str">
        <f t="shared" si="32"/>
        <v/>
      </c>
      <c r="E240" s="10"/>
      <c r="F240" s="10"/>
      <c r="G240" s="8" t="str">
        <f>IF(OR($E240="",$F240=""),"",IFERROR(IF($E240=INDEX(Cluster_Master!$A$4:$A$18,MATCH($F240,Cluster_Master!$B$4:$B$18,0)),"OK","CHECK"),"CHECK"))</f>
        <v/>
      </c>
      <c r="H240" s="11" t="str">
        <f>IFERROR(INDEX(Cluster_Master!$C$4:$C$18,MATCH($F240,Cluster_Master!$B$4:$B$18,0)),"")</f>
        <v/>
      </c>
      <c r="I240" s="8" t="str">
        <f>IFERROR(INDEX(Cluster_Master!$D$4:$D$18,MATCH($F240,Cluster_Master!$B$4:$B$18,0)),"")</f>
        <v/>
      </c>
      <c r="J240" s="8" t="str">
        <f>IFERROR(INDEX(Cluster_Master!$E$4:$E$18,MATCH($F240,Cluster_Master!$B$4:$B$18,0)),"")</f>
        <v/>
      </c>
      <c r="K240" s="8" t="str">
        <f>IFERROR(INDEX(Cluster_Master!$F$4:$F$18,MATCH($F240,Cluster_Master!$B$4:$B$18,0)),"")</f>
        <v/>
      </c>
      <c r="L240" s="8" t="str">
        <f>IFERROR(INDEX(Cluster_Master!$G$4:$G$18,MATCH($F240,Cluster_Master!$B$4:$B$18,0)),"")</f>
        <v/>
      </c>
      <c r="M240" s="8" t="str">
        <f>IFERROR(INDEX(Cluster_Master!$H$4:$H$18,MATCH($F240,Cluster_Master!$B$4:$B$18,0)),"")</f>
        <v/>
      </c>
      <c r="N240" s="12"/>
      <c r="O240" s="12"/>
      <c r="P240" s="12"/>
      <c r="Q240" s="12"/>
      <c r="R240" s="12"/>
      <c r="S240" s="12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8" t="str">
        <f t="shared" si="33"/>
        <v/>
      </c>
      <c r="AJ240" s="14" t="str">
        <f t="shared" si="34"/>
        <v/>
      </c>
      <c r="AK240" s="14" t="str">
        <f>IF(COUNTA(T240:AH240)=0,"",(SUM(T240*KPI_Weights!$B$4,U240*KPI_Weights!$B$5,V240*KPI_Weights!$B$6,W240*KPI_Weights!$B$7,X240*KPI_Weights!$B$8,Y240*KPI_Weights!$B$9,Z240*KPI_Weights!$B$10,AA240*KPI_Weights!$B$11,AB240*KPI_Weights!$B$12,AC240*KPI_Weights!$B$13,AD240*KPI_Weights!$B$14,AE240*KPI_Weights!$B$15,AF240*KPI_Weights!$B$16,AG240*KPI_Weights!$B$17,AH240*KPI_Weights!$B$18))/5)</f>
        <v/>
      </c>
      <c r="AL240" s="8" t="str">
        <f t="shared" si="35"/>
        <v/>
      </c>
      <c r="AM240" s="8" t="str">
        <f t="shared" si="36"/>
        <v/>
      </c>
      <c r="AN240" s="8" t="str">
        <f t="shared" si="37"/>
        <v/>
      </c>
      <c r="AO240" s="12"/>
      <c r="AP240" s="12"/>
      <c r="AQ240" s="12"/>
      <c r="AR240" s="12"/>
      <c r="AS240" s="12"/>
      <c r="AT240" s="15"/>
      <c r="AU240" s="12"/>
      <c r="AV240" s="16"/>
      <c r="AW240" s="12"/>
      <c r="AX240" s="15"/>
      <c r="AY240" s="15"/>
      <c r="AZ240" s="15"/>
      <c r="BA240" s="15"/>
      <c r="BB240" s="15"/>
      <c r="BC240" s="15"/>
      <c r="BD240" s="15"/>
      <c r="BE240" s="15"/>
      <c r="BF240" s="15"/>
    </row>
    <row r="241" spans="1:58" ht="19.5" customHeight="1" x14ac:dyDescent="0.2">
      <c r="A241" s="8" t="str">
        <f>IF($B241="","",TEXT($B241,"yyyymmdd")&amp;"-"&amp;SUBSTITUTE($F241," ","")&amp;"-"&amp;TEXT(COUNTIF($F$4:F241,$F241),"00"))</f>
        <v/>
      </c>
      <c r="B241" s="9"/>
      <c r="C241" s="8" t="str">
        <f t="shared" si="31"/>
        <v/>
      </c>
      <c r="D241" s="8" t="str">
        <f t="shared" si="32"/>
        <v/>
      </c>
      <c r="E241" s="10"/>
      <c r="F241" s="10"/>
      <c r="G241" s="8" t="str">
        <f>IF(OR($E241="",$F241=""),"",IFERROR(IF($E241=INDEX(Cluster_Master!$A$4:$A$18,MATCH($F241,Cluster_Master!$B$4:$B$18,0)),"OK","CHECK"),"CHECK"))</f>
        <v/>
      </c>
      <c r="H241" s="11" t="str">
        <f>IFERROR(INDEX(Cluster_Master!$C$4:$C$18,MATCH($F241,Cluster_Master!$B$4:$B$18,0)),"")</f>
        <v/>
      </c>
      <c r="I241" s="8" t="str">
        <f>IFERROR(INDEX(Cluster_Master!$D$4:$D$18,MATCH($F241,Cluster_Master!$B$4:$B$18,0)),"")</f>
        <v/>
      </c>
      <c r="J241" s="8" t="str">
        <f>IFERROR(INDEX(Cluster_Master!$E$4:$E$18,MATCH($F241,Cluster_Master!$B$4:$B$18,0)),"")</f>
        <v/>
      </c>
      <c r="K241" s="8" t="str">
        <f>IFERROR(INDEX(Cluster_Master!$F$4:$F$18,MATCH($F241,Cluster_Master!$B$4:$B$18,0)),"")</f>
        <v/>
      </c>
      <c r="L241" s="8" t="str">
        <f>IFERROR(INDEX(Cluster_Master!$G$4:$G$18,MATCH($F241,Cluster_Master!$B$4:$B$18,0)),"")</f>
        <v/>
      </c>
      <c r="M241" s="8" t="str">
        <f>IFERROR(INDEX(Cluster_Master!$H$4:$H$18,MATCH($F241,Cluster_Master!$B$4:$B$18,0)),"")</f>
        <v/>
      </c>
      <c r="N241" s="12"/>
      <c r="O241" s="12"/>
      <c r="P241" s="12"/>
      <c r="Q241" s="12"/>
      <c r="R241" s="12"/>
      <c r="S241" s="12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8" t="str">
        <f t="shared" si="33"/>
        <v/>
      </c>
      <c r="AJ241" s="14" t="str">
        <f t="shared" si="34"/>
        <v/>
      </c>
      <c r="AK241" s="14" t="str">
        <f>IF(COUNTA(T241:AH241)=0,"",(SUM(T241*KPI_Weights!$B$4,U241*KPI_Weights!$B$5,V241*KPI_Weights!$B$6,W241*KPI_Weights!$B$7,X241*KPI_Weights!$B$8,Y241*KPI_Weights!$B$9,Z241*KPI_Weights!$B$10,AA241*KPI_Weights!$B$11,AB241*KPI_Weights!$B$12,AC241*KPI_Weights!$B$13,AD241*KPI_Weights!$B$14,AE241*KPI_Weights!$B$15,AF241*KPI_Weights!$B$16,AG241*KPI_Weights!$B$17,AH241*KPI_Weights!$B$18))/5)</f>
        <v/>
      </c>
      <c r="AL241" s="8" t="str">
        <f t="shared" si="35"/>
        <v/>
      </c>
      <c r="AM241" s="8" t="str">
        <f t="shared" si="36"/>
        <v/>
      </c>
      <c r="AN241" s="8" t="str">
        <f t="shared" si="37"/>
        <v/>
      </c>
      <c r="AO241" s="12"/>
      <c r="AP241" s="12"/>
      <c r="AQ241" s="12"/>
      <c r="AR241" s="12"/>
      <c r="AS241" s="12"/>
      <c r="AT241" s="15"/>
      <c r="AU241" s="12"/>
      <c r="AV241" s="16"/>
      <c r="AW241" s="12"/>
      <c r="AX241" s="15"/>
      <c r="AY241" s="15"/>
      <c r="AZ241" s="15"/>
      <c r="BA241" s="15"/>
      <c r="BB241" s="15"/>
      <c r="BC241" s="15"/>
      <c r="BD241" s="15"/>
      <c r="BE241" s="15"/>
      <c r="BF241" s="15"/>
    </row>
    <row r="242" spans="1:58" ht="19.5" customHeight="1" x14ac:dyDescent="0.2">
      <c r="A242" s="8" t="str">
        <f>IF($B242="","",TEXT($B242,"yyyymmdd")&amp;"-"&amp;SUBSTITUTE($F242," ","")&amp;"-"&amp;TEXT(COUNTIF($F$4:F242,$F242),"00"))</f>
        <v/>
      </c>
      <c r="B242" s="9"/>
      <c r="C242" s="8" t="str">
        <f t="shared" si="31"/>
        <v/>
      </c>
      <c r="D242" s="8" t="str">
        <f t="shared" si="32"/>
        <v/>
      </c>
      <c r="E242" s="10"/>
      <c r="F242" s="10"/>
      <c r="G242" s="8" t="str">
        <f>IF(OR($E242="",$F242=""),"",IFERROR(IF($E242=INDEX(Cluster_Master!$A$4:$A$18,MATCH($F242,Cluster_Master!$B$4:$B$18,0)),"OK","CHECK"),"CHECK"))</f>
        <v/>
      </c>
      <c r="H242" s="11" t="str">
        <f>IFERROR(INDEX(Cluster_Master!$C$4:$C$18,MATCH($F242,Cluster_Master!$B$4:$B$18,0)),"")</f>
        <v/>
      </c>
      <c r="I242" s="8" t="str">
        <f>IFERROR(INDEX(Cluster_Master!$D$4:$D$18,MATCH($F242,Cluster_Master!$B$4:$B$18,0)),"")</f>
        <v/>
      </c>
      <c r="J242" s="8" t="str">
        <f>IFERROR(INDEX(Cluster_Master!$E$4:$E$18,MATCH($F242,Cluster_Master!$B$4:$B$18,0)),"")</f>
        <v/>
      </c>
      <c r="K242" s="8" t="str">
        <f>IFERROR(INDEX(Cluster_Master!$F$4:$F$18,MATCH($F242,Cluster_Master!$B$4:$B$18,0)),"")</f>
        <v/>
      </c>
      <c r="L242" s="8" t="str">
        <f>IFERROR(INDEX(Cluster_Master!$G$4:$G$18,MATCH($F242,Cluster_Master!$B$4:$B$18,0)),"")</f>
        <v/>
      </c>
      <c r="M242" s="8" t="str">
        <f>IFERROR(INDEX(Cluster_Master!$H$4:$H$18,MATCH($F242,Cluster_Master!$B$4:$B$18,0)),"")</f>
        <v/>
      </c>
      <c r="N242" s="12"/>
      <c r="O242" s="12"/>
      <c r="P242" s="12"/>
      <c r="Q242" s="12"/>
      <c r="R242" s="12"/>
      <c r="S242" s="12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8" t="str">
        <f t="shared" si="33"/>
        <v/>
      </c>
      <c r="AJ242" s="14" t="str">
        <f t="shared" si="34"/>
        <v/>
      </c>
      <c r="AK242" s="14" t="str">
        <f>IF(COUNTA(T242:AH242)=0,"",(SUM(T242*KPI_Weights!$B$4,U242*KPI_Weights!$B$5,V242*KPI_Weights!$B$6,W242*KPI_Weights!$B$7,X242*KPI_Weights!$B$8,Y242*KPI_Weights!$B$9,Z242*KPI_Weights!$B$10,AA242*KPI_Weights!$B$11,AB242*KPI_Weights!$B$12,AC242*KPI_Weights!$B$13,AD242*KPI_Weights!$B$14,AE242*KPI_Weights!$B$15,AF242*KPI_Weights!$B$16,AG242*KPI_Weights!$B$17,AH242*KPI_Weights!$B$18))/5)</f>
        <v/>
      </c>
      <c r="AL242" s="8" t="str">
        <f t="shared" si="35"/>
        <v/>
      </c>
      <c r="AM242" s="8" t="str">
        <f t="shared" si="36"/>
        <v/>
      </c>
      <c r="AN242" s="8" t="str">
        <f t="shared" si="37"/>
        <v/>
      </c>
      <c r="AO242" s="12"/>
      <c r="AP242" s="12"/>
      <c r="AQ242" s="12"/>
      <c r="AR242" s="12"/>
      <c r="AS242" s="12"/>
      <c r="AT242" s="15"/>
      <c r="AU242" s="12"/>
      <c r="AV242" s="16"/>
      <c r="AW242" s="12"/>
      <c r="AX242" s="15"/>
      <c r="AY242" s="15"/>
      <c r="AZ242" s="15"/>
      <c r="BA242" s="15"/>
      <c r="BB242" s="15"/>
      <c r="BC242" s="15"/>
      <c r="BD242" s="15"/>
      <c r="BE242" s="15"/>
      <c r="BF242" s="15"/>
    </row>
    <row r="243" spans="1:58" ht="19.5" customHeight="1" x14ac:dyDescent="0.2">
      <c r="A243" s="8" t="str">
        <f>IF($B243="","",TEXT($B243,"yyyymmdd")&amp;"-"&amp;SUBSTITUTE($F243," ","")&amp;"-"&amp;TEXT(COUNTIF($F$4:F243,$F243),"00"))</f>
        <v/>
      </c>
      <c r="B243" s="9"/>
      <c r="C243" s="8" t="str">
        <f t="shared" si="31"/>
        <v/>
      </c>
      <c r="D243" s="8" t="str">
        <f t="shared" si="32"/>
        <v/>
      </c>
      <c r="E243" s="10"/>
      <c r="F243" s="10"/>
      <c r="G243" s="8" t="str">
        <f>IF(OR($E243="",$F243=""),"",IFERROR(IF($E243=INDEX(Cluster_Master!$A$4:$A$18,MATCH($F243,Cluster_Master!$B$4:$B$18,0)),"OK","CHECK"),"CHECK"))</f>
        <v/>
      </c>
      <c r="H243" s="11" t="str">
        <f>IFERROR(INDEX(Cluster_Master!$C$4:$C$18,MATCH($F243,Cluster_Master!$B$4:$B$18,0)),"")</f>
        <v/>
      </c>
      <c r="I243" s="8" t="str">
        <f>IFERROR(INDEX(Cluster_Master!$D$4:$D$18,MATCH($F243,Cluster_Master!$B$4:$B$18,0)),"")</f>
        <v/>
      </c>
      <c r="J243" s="8" t="str">
        <f>IFERROR(INDEX(Cluster_Master!$E$4:$E$18,MATCH($F243,Cluster_Master!$B$4:$B$18,0)),"")</f>
        <v/>
      </c>
      <c r="K243" s="8" t="str">
        <f>IFERROR(INDEX(Cluster_Master!$F$4:$F$18,MATCH($F243,Cluster_Master!$B$4:$B$18,0)),"")</f>
        <v/>
      </c>
      <c r="L243" s="8" t="str">
        <f>IFERROR(INDEX(Cluster_Master!$G$4:$G$18,MATCH($F243,Cluster_Master!$B$4:$B$18,0)),"")</f>
        <v/>
      </c>
      <c r="M243" s="8" t="str">
        <f>IFERROR(INDEX(Cluster_Master!$H$4:$H$18,MATCH($F243,Cluster_Master!$B$4:$B$18,0)),"")</f>
        <v/>
      </c>
      <c r="N243" s="12"/>
      <c r="O243" s="12"/>
      <c r="P243" s="12"/>
      <c r="Q243" s="12"/>
      <c r="R243" s="12"/>
      <c r="S243" s="12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8" t="str">
        <f t="shared" si="33"/>
        <v/>
      </c>
      <c r="AJ243" s="14" t="str">
        <f t="shared" si="34"/>
        <v/>
      </c>
      <c r="AK243" s="14" t="str">
        <f>IF(COUNTA(T243:AH243)=0,"",(SUM(T243*KPI_Weights!$B$4,U243*KPI_Weights!$B$5,V243*KPI_Weights!$B$6,W243*KPI_Weights!$B$7,X243*KPI_Weights!$B$8,Y243*KPI_Weights!$B$9,Z243*KPI_Weights!$B$10,AA243*KPI_Weights!$B$11,AB243*KPI_Weights!$B$12,AC243*KPI_Weights!$B$13,AD243*KPI_Weights!$B$14,AE243*KPI_Weights!$B$15,AF243*KPI_Weights!$B$16,AG243*KPI_Weights!$B$17,AH243*KPI_Weights!$B$18))/5)</f>
        <v/>
      </c>
      <c r="AL243" s="8" t="str">
        <f t="shared" si="35"/>
        <v/>
      </c>
      <c r="AM243" s="8" t="str">
        <f t="shared" si="36"/>
        <v/>
      </c>
      <c r="AN243" s="8" t="str">
        <f t="shared" si="37"/>
        <v/>
      </c>
      <c r="AO243" s="12"/>
      <c r="AP243" s="12"/>
      <c r="AQ243" s="12"/>
      <c r="AR243" s="12"/>
      <c r="AS243" s="12"/>
      <c r="AT243" s="15"/>
      <c r="AU243" s="12"/>
      <c r="AV243" s="16"/>
      <c r="AW243" s="12"/>
      <c r="AX243" s="15"/>
      <c r="AY243" s="15"/>
      <c r="AZ243" s="15"/>
      <c r="BA243" s="15"/>
      <c r="BB243" s="15"/>
      <c r="BC243" s="15"/>
      <c r="BD243" s="15"/>
      <c r="BE243" s="15"/>
      <c r="BF243" s="15"/>
    </row>
    <row r="244" spans="1:58" ht="19.5" customHeight="1" x14ac:dyDescent="0.2">
      <c r="A244" s="8" t="str">
        <f>IF($B244="","",TEXT($B244,"yyyymmdd")&amp;"-"&amp;SUBSTITUTE($F244," ","")&amp;"-"&amp;TEXT(COUNTIF($F$4:F244,$F244),"00"))</f>
        <v/>
      </c>
      <c r="B244" s="9"/>
      <c r="C244" s="8" t="str">
        <f t="shared" si="31"/>
        <v/>
      </c>
      <c r="D244" s="8" t="str">
        <f t="shared" si="32"/>
        <v/>
      </c>
      <c r="E244" s="10"/>
      <c r="F244" s="10"/>
      <c r="G244" s="8" t="str">
        <f>IF(OR($E244="",$F244=""),"",IFERROR(IF($E244=INDEX(Cluster_Master!$A$4:$A$18,MATCH($F244,Cluster_Master!$B$4:$B$18,0)),"OK","CHECK"),"CHECK"))</f>
        <v/>
      </c>
      <c r="H244" s="11" t="str">
        <f>IFERROR(INDEX(Cluster_Master!$C$4:$C$18,MATCH($F244,Cluster_Master!$B$4:$B$18,0)),"")</f>
        <v/>
      </c>
      <c r="I244" s="8" t="str">
        <f>IFERROR(INDEX(Cluster_Master!$D$4:$D$18,MATCH($F244,Cluster_Master!$B$4:$B$18,0)),"")</f>
        <v/>
      </c>
      <c r="J244" s="8" t="str">
        <f>IFERROR(INDEX(Cluster_Master!$E$4:$E$18,MATCH($F244,Cluster_Master!$B$4:$B$18,0)),"")</f>
        <v/>
      </c>
      <c r="K244" s="8" t="str">
        <f>IFERROR(INDEX(Cluster_Master!$F$4:$F$18,MATCH($F244,Cluster_Master!$B$4:$B$18,0)),"")</f>
        <v/>
      </c>
      <c r="L244" s="8" t="str">
        <f>IFERROR(INDEX(Cluster_Master!$G$4:$G$18,MATCH($F244,Cluster_Master!$B$4:$B$18,0)),"")</f>
        <v/>
      </c>
      <c r="M244" s="8" t="str">
        <f>IFERROR(INDEX(Cluster_Master!$H$4:$H$18,MATCH($F244,Cluster_Master!$B$4:$B$18,0)),"")</f>
        <v/>
      </c>
      <c r="N244" s="12"/>
      <c r="O244" s="12"/>
      <c r="P244" s="12"/>
      <c r="Q244" s="12"/>
      <c r="R244" s="12"/>
      <c r="S244" s="12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8" t="str">
        <f t="shared" si="33"/>
        <v/>
      </c>
      <c r="AJ244" s="14" t="str">
        <f t="shared" si="34"/>
        <v/>
      </c>
      <c r="AK244" s="14" t="str">
        <f>IF(COUNTA(T244:AH244)=0,"",(SUM(T244*KPI_Weights!$B$4,U244*KPI_Weights!$B$5,V244*KPI_Weights!$B$6,W244*KPI_Weights!$B$7,X244*KPI_Weights!$B$8,Y244*KPI_Weights!$B$9,Z244*KPI_Weights!$B$10,AA244*KPI_Weights!$B$11,AB244*KPI_Weights!$B$12,AC244*KPI_Weights!$B$13,AD244*KPI_Weights!$B$14,AE244*KPI_Weights!$B$15,AF244*KPI_Weights!$B$16,AG244*KPI_Weights!$B$17,AH244*KPI_Weights!$B$18))/5)</f>
        <v/>
      </c>
      <c r="AL244" s="8" t="str">
        <f t="shared" si="35"/>
        <v/>
      </c>
      <c r="AM244" s="8" t="str">
        <f t="shared" si="36"/>
        <v/>
      </c>
      <c r="AN244" s="8" t="str">
        <f t="shared" si="37"/>
        <v/>
      </c>
      <c r="AO244" s="12"/>
      <c r="AP244" s="12"/>
      <c r="AQ244" s="12"/>
      <c r="AR244" s="12"/>
      <c r="AS244" s="12"/>
      <c r="AT244" s="15"/>
      <c r="AU244" s="12"/>
      <c r="AV244" s="16"/>
      <c r="AW244" s="12"/>
      <c r="AX244" s="15"/>
      <c r="AY244" s="15"/>
      <c r="AZ244" s="15"/>
      <c r="BA244" s="15"/>
      <c r="BB244" s="15"/>
      <c r="BC244" s="15"/>
      <c r="BD244" s="15"/>
      <c r="BE244" s="15"/>
      <c r="BF244" s="15"/>
    </row>
    <row r="245" spans="1:58" ht="19.5" customHeight="1" x14ac:dyDescent="0.2">
      <c r="A245" s="8" t="str">
        <f>IF($B245="","",TEXT($B245,"yyyymmdd")&amp;"-"&amp;SUBSTITUTE($F245," ","")&amp;"-"&amp;TEXT(COUNTIF($F$4:F245,$F245),"00"))</f>
        <v/>
      </c>
      <c r="B245" s="9"/>
      <c r="C245" s="8" t="str">
        <f t="shared" si="31"/>
        <v/>
      </c>
      <c r="D245" s="8" t="str">
        <f t="shared" si="32"/>
        <v/>
      </c>
      <c r="E245" s="10"/>
      <c r="F245" s="10"/>
      <c r="G245" s="8" t="str">
        <f>IF(OR($E245="",$F245=""),"",IFERROR(IF($E245=INDEX(Cluster_Master!$A$4:$A$18,MATCH($F245,Cluster_Master!$B$4:$B$18,0)),"OK","CHECK"),"CHECK"))</f>
        <v/>
      </c>
      <c r="H245" s="11" t="str">
        <f>IFERROR(INDEX(Cluster_Master!$C$4:$C$18,MATCH($F245,Cluster_Master!$B$4:$B$18,0)),"")</f>
        <v/>
      </c>
      <c r="I245" s="8" t="str">
        <f>IFERROR(INDEX(Cluster_Master!$D$4:$D$18,MATCH($F245,Cluster_Master!$B$4:$B$18,0)),"")</f>
        <v/>
      </c>
      <c r="J245" s="8" t="str">
        <f>IFERROR(INDEX(Cluster_Master!$E$4:$E$18,MATCH($F245,Cluster_Master!$B$4:$B$18,0)),"")</f>
        <v/>
      </c>
      <c r="K245" s="8" t="str">
        <f>IFERROR(INDEX(Cluster_Master!$F$4:$F$18,MATCH($F245,Cluster_Master!$B$4:$B$18,0)),"")</f>
        <v/>
      </c>
      <c r="L245" s="8" t="str">
        <f>IFERROR(INDEX(Cluster_Master!$G$4:$G$18,MATCH($F245,Cluster_Master!$B$4:$B$18,0)),"")</f>
        <v/>
      </c>
      <c r="M245" s="8" t="str">
        <f>IFERROR(INDEX(Cluster_Master!$H$4:$H$18,MATCH($F245,Cluster_Master!$B$4:$B$18,0)),"")</f>
        <v/>
      </c>
      <c r="N245" s="12"/>
      <c r="O245" s="12"/>
      <c r="P245" s="12"/>
      <c r="Q245" s="12"/>
      <c r="R245" s="12"/>
      <c r="S245" s="12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8" t="str">
        <f t="shared" si="33"/>
        <v/>
      </c>
      <c r="AJ245" s="14" t="str">
        <f t="shared" si="34"/>
        <v/>
      </c>
      <c r="AK245" s="14" t="str">
        <f>IF(COUNTA(T245:AH245)=0,"",(SUM(T245*KPI_Weights!$B$4,U245*KPI_Weights!$B$5,V245*KPI_Weights!$B$6,W245*KPI_Weights!$B$7,X245*KPI_Weights!$B$8,Y245*KPI_Weights!$B$9,Z245*KPI_Weights!$B$10,AA245*KPI_Weights!$B$11,AB245*KPI_Weights!$B$12,AC245*KPI_Weights!$B$13,AD245*KPI_Weights!$B$14,AE245*KPI_Weights!$B$15,AF245*KPI_Weights!$B$16,AG245*KPI_Weights!$B$17,AH245*KPI_Weights!$B$18))/5)</f>
        <v/>
      </c>
      <c r="AL245" s="8" t="str">
        <f t="shared" si="35"/>
        <v/>
      </c>
      <c r="AM245" s="8" t="str">
        <f t="shared" si="36"/>
        <v/>
      </c>
      <c r="AN245" s="8" t="str">
        <f t="shared" si="37"/>
        <v/>
      </c>
      <c r="AO245" s="12"/>
      <c r="AP245" s="12"/>
      <c r="AQ245" s="12"/>
      <c r="AR245" s="12"/>
      <c r="AS245" s="12"/>
      <c r="AT245" s="15"/>
      <c r="AU245" s="12"/>
      <c r="AV245" s="16"/>
      <c r="AW245" s="12"/>
      <c r="AX245" s="15"/>
      <c r="AY245" s="15"/>
      <c r="AZ245" s="15"/>
      <c r="BA245" s="15"/>
      <c r="BB245" s="15"/>
      <c r="BC245" s="15"/>
      <c r="BD245" s="15"/>
      <c r="BE245" s="15"/>
      <c r="BF245" s="15"/>
    </row>
    <row r="246" spans="1:58" ht="19.5" customHeight="1" x14ac:dyDescent="0.2">
      <c r="A246" s="8" t="str">
        <f>IF($B246="","",TEXT($B246,"yyyymmdd")&amp;"-"&amp;SUBSTITUTE($F246," ","")&amp;"-"&amp;TEXT(COUNTIF($F$4:F246,$F246),"00"))</f>
        <v/>
      </c>
      <c r="B246" s="9"/>
      <c r="C246" s="8" t="str">
        <f t="shared" si="31"/>
        <v/>
      </c>
      <c r="D246" s="8" t="str">
        <f t="shared" si="32"/>
        <v/>
      </c>
      <c r="E246" s="10"/>
      <c r="F246" s="10"/>
      <c r="G246" s="8" t="str">
        <f>IF(OR($E246="",$F246=""),"",IFERROR(IF($E246=INDEX(Cluster_Master!$A$4:$A$18,MATCH($F246,Cluster_Master!$B$4:$B$18,0)),"OK","CHECK"),"CHECK"))</f>
        <v/>
      </c>
      <c r="H246" s="11" t="str">
        <f>IFERROR(INDEX(Cluster_Master!$C$4:$C$18,MATCH($F246,Cluster_Master!$B$4:$B$18,0)),"")</f>
        <v/>
      </c>
      <c r="I246" s="8" t="str">
        <f>IFERROR(INDEX(Cluster_Master!$D$4:$D$18,MATCH($F246,Cluster_Master!$B$4:$B$18,0)),"")</f>
        <v/>
      </c>
      <c r="J246" s="8" t="str">
        <f>IFERROR(INDEX(Cluster_Master!$E$4:$E$18,MATCH($F246,Cluster_Master!$B$4:$B$18,0)),"")</f>
        <v/>
      </c>
      <c r="K246" s="8" t="str">
        <f>IFERROR(INDEX(Cluster_Master!$F$4:$F$18,MATCH($F246,Cluster_Master!$B$4:$B$18,0)),"")</f>
        <v/>
      </c>
      <c r="L246" s="8" t="str">
        <f>IFERROR(INDEX(Cluster_Master!$G$4:$G$18,MATCH($F246,Cluster_Master!$B$4:$B$18,0)),"")</f>
        <v/>
      </c>
      <c r="M246" s="8" t="str">
        <f>IFERROR(INDEX(Cluster_Master!$H$4:$H$18,MATCH($F246,Cluster_Master!$B$4:$B$18,0)),"")</f>
        <v/>
      </c>
      <c r="N246" s="12"/>
      <c r="O246" s="12"/>
      <c r="P246" s="12"/>
      <c r="Q246" s="12"/>
      <c r="R246" s="12"/>
      <c r="S246" s="12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8" t="str">
        <f t="shared" si="33"/>
        <v/>
      </c>
      <c r="AJ246" s="14" t="str">
        <f t="shared" si="34"/>
        <v/>
      </c>
      <c r="AK246" s="14" t="str">
        <f>IF(COUNTA(T246:AH246)=0,"",(SUM(T246*KPI_Weights!$B$4,U246*KPI_Weights!$B$5,V246*KPI_Weights!$B$6,W246*KPI_Weights!$B$7,X246*KPI_Weights!$B$8,Y246*KPI_Weights!$B$9,Z246*KPI_Weights!$B$10,AA246*KPI_Weights!$B$11,AB246*KPI_Weights!$B$12,AC246*KPI_Weights!$B$13,AD246*KPI_Weights!$B$14,AE246*KPI_Weights!$B$15,AF246*KPI_Weights!$B$16,AG246*KPI_Weights!$B$17,AH246*KPI_Weights!$B$18))/5)</f>
        <v/>
      </c>
      <c r="AL246" s="8" t="str">
        <f t="shared" si="35"/>
        <v/>
      </c>
      <c r="AM246" s="8" t="str">
        <f t="shared" si="36"/>
        <v/>
      </c>
      <c r="AN246" s="8" t="str">
        <f t="shared" si="37"/>
        <v/>
      </c>
      <c r="AO246" s="12"/>
      <c r="AP246" s="12"/>
      <c r="AQ246" s="12"/>
      <c r="AR246" s="12"/>
      <c r="AS246" s="12"/>
      <c r="AT246" s="15"/>
      <c r="AU246" s="12"/>
      <c r="AV246" s="16"/>
      <c r="AW246" s="12"/>
      <c r="AX246" s="15"/>
      <c r="AY246" s="15"/>
      <c r="AZ246" s="15"/>
      <c r="BA246" s="15"/>
      <c r="BB246" s="15"/>
      <c r="BC246" s="15"/>
      <c r="BD246" s="15"/>
      <c r="BE246" s="15"/>
      <c r="BF246" s="15"/>
    </row>
    <row r="247" spans="1:58" ht="19.5" customHeight="1" x14ac:dyDescent="0.2">
      <c r="A247" s="8" t="str">
        <f>IF($B247="","",TEXT($B247,"yyyymmdd")&amp;"-"&amp;SUBSTITUTE($F247," ","")&amp;"-"&amp;TEXT(COUNTIF($F$4:F247,$F247),"00"))</f>
        <v/>
      </c>
      <c r="B247" s="9"/>
      <c r="C247" s="8" t="str">
        <f t="shared" si="31"/>
        <v/>
      </c>
      <c r="D247" s="8" t="str">
        <f t="shared" si="32"/>
        <v/>
      </c>
      <c r="E247" s="10"/>
      <c r="F247" s="10"/>
      <c r="G247" s="8" t="str">
        <f>IF(OR($E247="",$F247=""),"",IFERROR(IF($E247=INDEX(Cluster_Master!$A$4:$A$18,MATCH($F247,Cluster_Master!$B$4:$B$18,0)),"OK","CHECK"),"CHECK"))</f>
        <v/>
      </c>
      <c r="H247" s="11" t="str">
        <f>IFERROR(INDEX(Cluster_Master!$C$4:$C$18,MATCH($F247,Cluster_Master!$B$4:$B$18,0)),"")</f>
        <v/>
      </c>
      <c r="I247" s="8" t="str">
        <f>IFERROR(INDEX(Cluster_Master!$D$4:$D$18,MATCH($F247,Cluster_Master!$B$4:$B$18,0)),"")</f>
        <v/>
      </c>
      <c r="J247" s="8" t="str">
        <f>IFERROR(INDEX(Cluster_Master!$E$4:$E$18,MATCH($F247,Cluster_Master!$B$4:$B$18,0)),"")</f>
        <v/>
      </c>
      <c r="K247" s="8" t="str">
        <f>IFERROR(INDEX(Cluster_Master!$F$4:$F$18,MATCH($F247,Cluster_Master!$B$4:$B$18,0)),"")</f>
        <v/>
      </c>
      <c r="L247" s="8" t="str">
        <f>IFERROR(INDEX(Cluster_Master!$G$4:$G$18,MATCH($F247,Cluster_Master!$B$4:$B$18,0)),"")</f>
        <v/>
      </c>
      <c r="M247" s="8" t="str">
        <f>IFERROR(INDEX(Cluster_Master!$H$4:$H$18,MATCH($F247,Cluster_Master!$B$4:$B$18,0)),"")</f>
        <v/>
      </c>
      <c r="N247" s="12"/>
      <c r="O247" s="12"/>
      <c r="P247" s="12"/>
      <c r="Q247" s="12"/>
      <c r="R247" s="12"/>
      <c r="S247" s="12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8" t="str">
        <f t="shared" si="33"/>
        <v/>
      </c>
      <c r="AJ247" s="14" t="str">
        <f t="shared" si="34"/>
        <v/>
      </c>
      <c r="AK247" s="14" t="str">
        <f>IF(COUNTA(T247:AH247)=0,"",(SUM(T247*KPI_Weights!$B$4,U247*KPI_Weights!$B$5,V247*KPI_Weights!$B$6,W247*KPI_Weights!$B$7,X247*KPI_Weights!$B$8,Y247*KPI_Weights!$B$9,Z247*KPI_Weights!$B$10,AA247*KPI_Weights!$B$11,AB247*KPI_Weights!$B$12,AC247*KPI_Weights!$B$13,AD247*KPI_Weights!$B$14,AE247*KPI_Weights!$B$15,AF247*KPI_Weights!$B$16,AG247*KPI_Weights!$B$17,AH247*KPI_Weights!$B$18))/5)</f>
        <v/>
      </c>
      <c r="AL247" s="8" t="str">
        <f t="shared" si="35"/>
        <v/>
      </c>
      <c r="AM247" s="8" t="str">
        <f t="shared" si="36"/>
        <v/>
      </c>
      <c r="AN247" s="8" t="str">
        <f t="shared" si="37"/>
        <v/>
      </c>
      <c r="AO247" s="12"/>
      <c r="AP247" s="12"/>
      <c r="AQ247" s="12"/>
      <c r="AR247" s="12"/>
      <c r="AS247" s="12"/>
      <c r="AT247" s="15"/>
      <c r="AU247" s="12"/>
      <c r="AV247" s="16"/>
      <c r="AW247" s="12"/>
      <c r="AX247" s="15"/>
      <c r="AY247" s="15"/>
      <c r="AZ247" s="15"/>
      <c r="BA247" s="15"/>
      <c r="BB247" s="15"/>
      <c r="BC247" s="15"/>
      <c r="BD247" s="15"/>
      <c r="BE247" s="15"/>
      <c r="BF247" s="15"/>
    </row>
    <row r="248" spans="1:58" ht="19.5" customHeight="1" x14ac:dyDescent="0.2">
      <c r="A248" s="8" t="str">
        <f>IF($B248="","",TEXT($B248,"yyyymmdd")&amp;"-"&amp;SUBSTITUTE($F248," ","")&amp;"-"&amp;TEXT(COUNTIF($F$4:F248,$F248),"00"))</f>
        <v/>
      </c>
      <c r="B248" s="9"/>
      <c r="C248" s="8" t="str">
        <f t="shared" si="31"/>
        <v/>
      </c>
      <c r="D248" s="8" t="str">
        <f t="shared" si="32"/>
        <v/>
      </c>
      <c r="E248" s="10"/>
      <c r="F248" s="10"/>
      <c r="G248" s="8" t="str">
        <f>IF(OR($E248="",$F248=""),"",IFERROR(IF($E248=INDEX(Cluster_Master!$A$4:$A$18,MATCH($F248,Cluster_Master!$B$4:$B$18,0)),"OK","CHECK"),"CHECK"))</f>
        <v/>
      </c>
      <c r="H248" s="11" t="str">
        <f>IFERROR(INDEX(Cluster_Master!$C$4:$C$18,MATCH($F248,Cluster_Master!$B$4:$B$18,0)),"")</f>
        <v/>
      </c>
      <c r="I248" s="8" t="str">
        <f>IFERROR(INDEX(Cluster_Master!$D$4:$D$18,MATCH($F248,Cluster_Master!$B$4:$B$18,0)),"")</f>
        <v/>
      </c>
      <c r="J248" s="8" t="str">
        <f>IFERROR(INDEX(Cluster_Master!$E$4:$E$18,MATCH($F248,Cluster_Master!$B$4:$B$18,0)),"")</f>
        <v/>
      </c>
      <c r="K248" s="8" t="str">
        <f>IFERROR(INDEX(Cluster_Master!$F$4:$F$18,MATCH($F248,Cluster_Master!$B$4:$B$18,0)),"")</f>
        <v/>
      </c>
      <c r="L248" s="8" t="str">
        <f>IFERROR(INDEX(Cluster_Master!$G$4:$G$18,MATCH($F248,Cluster_Master!$B$4:$B$18,0)),"")</f>
        <v/>
      </c>
      <c r="M248" s="8" t="str">
        <f>IFERROR(INDEX(Cluster_Master!$H$4:$H$18,MATCH($F248,Cluster_Master!$B$4:$B$18,0)),"")</f>
        <v/>
      </c>
      <c r="N248" s="12"/>
      <c r="O248" s="12"/>
      <c r="P248" s="12"/>
      <c r="Q248" s="12"/>
      <c r="R248" s="12"/>
      <c r="S248" s="12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8" t="str">
        <f t="shared" si="33"/>
        <v/>
      </c>
      <c r="AJ248" s="14" t="str">
        <f t="shared" si="34"/>
        <v/>
      </c>
      <c r="AK248" s="14" t="str">
        <f>IF(COUNTA(T248:AH248)=0,"",(SUM(T248*KPI_Weights!$B$4,U248*KPI_Weights!$B$5,V248*KPI_Weights!$B$6,W248*KPI_Weights!$B$7,X248*KPI_Weights!$B$8,Y248*KPI_Weights!$B$9,Z248*KPI_Weights!$B$10,AA248*KPI_Weights!$B$11,AB248*KPI_Weights!$B$12,AC248*KPI_Weights!$B$13,AD248*KPI_Weights!$B$14,AE248*KPI_Weights!$B$15,AF248*KPI_Weights!$B$16,AG248*KPI_Weights!$B$17,AH248*KPI_Weights!$B$18))/5)</f>
        <v/>
      </c>
      <c r="AL248" s="8" t="str">
        <f t="shared" si="35"/>
        <v/>
      </c>
      <c r="AM248" s="8" t="str">
        <f t="shared" si="36"/>
        <v/>
      </c>
      <c r="AN248" s="8" t="str">
        <f t="shared" si="37"/>
        <v/>
      </c>
      <c r="AO248" s="12"/>
      <c r="AP248" s="12"/>
      <c r="AQ248" s="12"/>
      <c r="AR248" s="12"/>
      <c r="AS248" s="12"/>
      <c r="AT248" s="15"/>
      <c r="AU248" s="12"/>
      <c r="AV248" s="16"/>
      <c r="AW248" s="12"/>
      <c r="AX248" s="15"/>
      <c r="AY248" s="15"/>
      <c r="AZ248" s="15"/>
      <c r="BA248" s="15"/>
      <c r="BB248" s="15"/>
      <c r="BC248" s="15"/>
      <c r="BD248" s="15"/>
      <c r="BE248" s="15"/>
      <c r="BF248" s="15"/>
    </row>
    <row r="249" spans="1:58" ht="19.5" customHeight="1" x14ac:dyDescent="0.2">
      <c r="A249" s="8" t="str">
        <f>IF($B249="","",TEXT($B249,"yyyymmdd")&amp;"-"&amp;SUBSTITUTE($F249," ","")&amp;"-"&amp;TEXT(COUNTIF($F$4:F249,$F249),"00"))</f>
        <v/>
      </c>
      <c r="B249" s="9"/>
      <c r="C249" s="8" t="str">
        <f t="shared" si="31"/>
        <v/>
      </c>
      <c r="D249" s="8" t="str">
        <f t="shared" si="32"/>
        <v/>
      </c>
      <c r="E249" s="10"/>
      <c r="F249" s="10"/>
      <c r="G249" s="8" t="str">
        <f>IF(OR($E249="",$F249=""),"",IFERROR(IF($E249=INDEX(Cluster_Master!$A$4:$A$18,MATCH($F249,Cluster_Master!$B$4:$B$18,0)),"OK","CHECK"),"CHECK"))</f>
        <v/>
      </c>
      <c r="H249" s="11" t="str">
        <f>IFERROR(INDEX(Cluster_Master!$C$4:$C$18,MATCH($F249,Cluster_Master!$B$4:$B$18,0)),"")</f>
        <v/>
      </c>
      <c r="I249" s="8" t="str">
        <f>IFERROR(INDEX(Cluster_Master!$D$4:$D$18,MATCH($F249,Cluster_Master!$B$4:$B$18,0)),"")</f>
        <v/>
      </c>
      <c r="J249" s="8" t="str">
        <f>IFERROR(INDEX(Cluster_Master!$E$4:$E$18,MATCH($F249,Cluster_Master!$B$4:$B$18,0)),"")</f>
        <v/>
      </c>
      <c r="K249" s="8" t="str">
        <f>IFERROR(INDEX(Cluster_Master!$F$4:$F$18,MATCH($F249,Cluster_Master!$B$4:$B$18,0)),"")</f>
        <v/>
      </c>
      <c r="L249" s="8" t="str">
        <f>IFERROR(INDEX(Cluster_Master!$G$4:$G$18,MATCH($F249,Cluster_Master!$B$4:$B$18,0)),"")</f>
        <v/>
      </c>
      <c r="M249" s="8" t="str">
        <f>IFERROR(INDEX(Cluster_Master!$H$4:$H$18,MATCH($F249,Cluster_Master!$B$4:$B$18,0)),"")</f>
        <v/>
      </c>
      <c r="N249" s="12"/>
      <c r="O249" s="12"/>
      <c r="P249" s="12"/>
      <c r="Q249" s="12"/>
      <c r="R249" s="12"/>
      <c r="S249" s="12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8" t="str">
        <f t="shared" si="33"/>
        <v/>
      </c>
      <c r="AJ249" s="14" t="str">
        <f t="shared" si="34"/>
        <v/>
      </c>
      <c r="AK249" s="14" t="str">
        <f>IF(COUNTA(T249:AH249)=0,"",(SUM(T249*KPI_Weights!$B$4,U249*KPI_Weights!$B$5,V249*KPI_Weights!$B$6,W249*KPI_Weights!$B$7,X249*KPI_Weights!$B$8,Y249*KPI_Weights!$B$9,Z249*KPI_Weights!$B$10,AA249*KPI_Weights!$B$11,AB249*KPI_Weights!$B$12,AC249*KPI_Weights!$B$13,AD249*KPI_Weights!$B$14,AE249*KPI_Weights!$B$15,AF249*KPI_Weights!$B$16,AG249*KPI_Weights!$B$17,AH249*KPI_Weights!$B$18))/5)</f>
        <v/>
      </c>
      <c r="AL249" s="8" t="str">
        <f t="shared" si="35"/>
        <v/>
      </c>
      <c r="AM249" s="8" t="str">
        <f t="shared" si="36"/>
        <v/>
      </c>
      <c r="AN249" s="8" t="str">
        <f t="shared" si="37"/>
        <v/>
      </c>
      <c r="AO249" s="12"/>
      <c r="AP249" s="12"/>
      <c r="AQ249" s="12"/>
      <c r="AR249" s="12"/>
      <c r="AS249" s="12"/>
      <c r="AT249" s="15"/>
      <c r="AU249" s="12"/>
      <c r="AV249" s="16"/>
      <c r="AW249" s="12"/>
      <c r="AX249" s="15"/>
      <c r="AY249" s="15"/>
      <c r="AZ249" s="15"/>
      <c r="BA249" s="15"/>
      <c r="BB249" s="15"/>
      <c r="BC249" s="15"/>
      <c r="BD249" s="15"/>
      <c r="BE249" s="15"/>
      <c r="BF249" s="15"/>
    </row>
    <row r="250" spans="1:58" ht="19.5" customHeight="1" x14ac:dyDescent="0.2">
      <c r="A250" s="8" t="str">
        <f>IF($B250="","",TEXT($B250,"yyyymmdd")&amp;"-"&amp;SUBSTITUTE($F250," ","")&amp;"-"&amp;TEXT(COUNTIF($F$4:F250,$F250),"00"))</f>
        <v/>
      </c>
      <c r="B250" s="9"/>
      <c r="C250" s="8" t="str">
        <f t="shared" si="31"/>
        <v/>
      </c>
      <c r="D250" s="8" t="str">
        <f t="shared" si="32"/>
        <v/>
      </c>
      <c r="E250" s="10"/>
      <c r="F250" s="10"/>
      <c r="G250" s="8" t="str">
        <f>IF(OR($E250="",$F250=""),"",IFERROR(IF($E250=INDEX(Cluster_Master!$A$4:$A$18,MATCH($F250,Cluster_Master!$B$4:$B$18,0)),"OK","CHECK"),"CHECK"))</f>
        <v/>
      </c>
      <c r="H250" s="11" t="str">
        <f>IFERROR(INDEX(Cluster_Master!$C$4:$C$18,MATCH($F250,Cluster_Master!$B$4:$B$18,0)),"")</f>
        <v/>
      </c>
      <c r="I250" s="8" t="str">
        <f>IFERROR(INDEX(Cluster_Master!$D$4:$D$18,MATCH($F250,Cluster_Master!$B$4:$B$18,0)),"")</f>
        <v/>
      </c>
      <c r="J250" s="8" t="str">
        <f>IFERROR(INDEX(Cluster_Master!$E$4:$E$18,MATCH($F250,Cluster_Master!$B$4:$B$18,0)),"")</f>
        <v/>
      </c>
      <c r="K250" s="8" t="str">
        <f>IFERROR(INDEX(Cluster_Master!$F$4:$F$18,MATCH($F250,Cluster_Master!$B$4:$B$18,0)),"")</f>
        <v/>
      </c>
      <c r="L250" s="8" t="str">
        <f>IFERROR(INDEX(Cluster_Master!$G$4:$G$18,MATCH($F250,Cluster_Master!$B$4:$B$18,0)),"")</f>
        <v/>
      </c>
      <c r="M250" s="8" t="str">
        <f>IFERROR(INDEX(Cluster_Master!$H$4:$H$18,MATCH($F250,Cluster_Master!$B$4:$B$18,0)),"")</f>
        <v/>
      </c>
      <c r="N250" s="12"/>
      <c r="O250" s="12"/>
      <c r="P250" s="12"/>
      <c r="Q250" s="12"/>
      <c r="R250" s="12"/>
      <c r="S250" s="12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8" t="str">
        <f t="shared" si="33"/>
        <v/>
      </c>
      <c r="AJ250" s="14" t="str">
        <f t="shared" si="34"/>
        <v/>
      </c>
      <c r="AK250" s="14" t="str">
        <f>IF(COUNTA(T250:AH250)=0,"",(SUM(T250*KPI_Weights!$B$4,U250*KPI_Weights!$B$5,V250*KPI_Weights!$B$6,W250*KPI_Weights!$B$7,X250*KPI_Weights!$B$8,Y250*KPI_Weights!$B$9,Z250*KPI_Weights!$B$10,AA250*KPI_Weights!$B$11,AB250*KPI_Weights!$B$12,AC250*KPI_Weights!$B$13,AD250*KPI_Weights!$B$14,AE250*KPI_Weights!$B$15,AF250*KPI_Weights!$B$16,AG250*KPI_Weights!$B$17,AH250*KPI_Weights!$B$18))/5)</f>
        <v/>
      </c>
      <c r="AL250" s="8" t="str">
        <f t="shared" si="35"/>
        <v/>
      </c>
      <c r="AM250" s="8" t="str">
        <f t="shared" si="36"/>
        <v/>
      </c>
      <c r="AN250" s="8" t="str">
        <f t="shared" si="37"/>
        <v/>
      </c>
      <c r="AO250" s="12"/>
      <c r="AP250" s="12"/>
      <c r="AQ250" s="12"/>
      <c r="AR250" s="12"/>
      <c r="AS250" s="12"/>
      <c r="AT250" s="15"/>
      <c r="AU250" s="12"/>
      <c r="AV250" s="16"/>
      <c r="AW250" s="12"/>
      <c r="AX250" s="15"/>
      <c r="AY250" s="15"/>
      <c r="AZ250" s="15"/>
      <c r="BA250" s="15"/>
      <c r="BB250" s="15"/>
      <c r="BC250" s="15"/>
      <c r="BD250" s="15"/>
      <c r="BE250" s="15"/>
      <c r="BF250" s="15"/>
    </row>
    <row r="251" spans="1:58" ht="19.5" customHeight="1" x14ac:dyDescent="0.2">
      <c r="A251" s="8" t="str">
        <f>IF($B251="","",TEXT($B251,"yyyymmdd")&amp;"-"&amp;SUBSTITUTE($F251," ","")&amp;"-"&amp;TEXT(COUNTIF($F$4:F251,$F251),"00"))</f>
        <v/>
      </c>
      <c r="B251" s="9"/>
      <c r="C251" s="8" t="str">
        <f t="shared" si="31"/>
        <v/>
      </c>
      <c r="D251" s="8" t="str">
        <f t="shared" si="32"/>
        <v/>
      </c>
      <c r="E251" s="10"/>
      <c r="F251" s="10"/>
      <c r="G251" s="8" t="str">
        <f>IF(OR($E251="",$F251=""),"",IFERROR(IF($E251=INDEX(Cluster_Master!$A$4:$A$18,MATCH($F251,Cluster_Master!$B$4:$B$18,0)),"OK","CHECK"),"CHECK"))</f>
        <v/>
      </c>
      <c r="H251" s="11" t="str">
        <f>IFERROR(INDEX(Cluster_Master!$C$4:$C$18,MATCH($F251,Cluster_Master!$B$4:$B$18,0)),"")</f>
        <v/>
      </c>
      <c r="I251" s="8" t="str">
        <f>IFERROR(INDEX(Cluster_Master!$D$4:$D$18,MATCH($F251,Cluster_Master!$B$4:$B$18,0)),"")</f>
        <v/>
      </c>
      <c r="J251" s="8" t="str">
        <f>IFERROR(INDEX(Cluster_Master!$E$4:$E$18,MATCH($F251,Cluster_Master!$B$4:$B$18,0)),"")</f>
        <v/>
      </c>
      <c r="K251" s="8" t="str">
        <f>IFERROR(INDEX(Cluster_Master!$F$4:$F$18,MATCH($F251,Cluster_Master!$B$4:$B$18,0)),"")</f>
        <v/>
      </c>
      <c r="L251" s="8" t="str">
        <f>IFERROR(INDEX(Cluster_Master!$G$4:$G$18,MATCH($F251,Cluster_Master!$B$4:$B$18,0)),"")</f>
        <v/>
      </c>
      <c r="M251" s="8" t="str">
        <f>IFERROR(INDEX(Cluster_Master!$H$4:$H$18,MATCH($F251,Cluster_Master!$B$4:$B$18,0)),"")</f>
        <v/>
      </c>
      <c r="N251" s="12"/>
      <c r="O251" s="12"/>
      <c r="P251" s="12"/>
      <c r="Q251" s="12"/>
      <c r="R251" s="12"/>
      <c r="S251" s="12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8" t="str">
        <f t="shared" si="33"/>
        <v/>
      </c>
      <c r="AJ251" s="14" t="str">
        <f t="shared" si="34"/>
        <v/>
      </c>
      <c r="AK251" s="14" t="str">
        <f>IF(COUNTA(T251:AH251)=0,"",(SUM(T251*KPI_Weights!$B$4,U251*KPI_Weights!$B$5,V251*KPI_Weights!$B$6,W251*KPI_Weights!$B$7,X251*KPI_Weights!$B$8,Y251*KPI_Weights!$B$9,Z251*KPI_Weights!$B$10,AA251*KPI_Weights!$B$11,AB251*KPI_Weights!$B$12,AC251*KPI_Weights!$B$13,AD251*KPI_Weights!$B$14,AE251*KPI_Weights!$B$15,AF251*KPI_Weights!$B$16,AG251*KPI_Weights!$B$17,AH251*KPI_Weights!$B$18))/5)</f>
        <v/>
      </c>
      <c r="AL251" s="8" t="str">
        <f t="shared" si="35"/>
        <v/>
      </c>
      <c r="AM251" s="8" t="str">
        <f t="shared" si="36"/>
        <v/>
      </c>
      <c r="AN251" s="8" t="str">
        <f t="shared" si="37"/>
        <v/>
      </c>
      <c r="AO251" s="12"/>
      <c r="AP251" s="12"/>
      <c r="AQ251" s="12"/>
      <c r="AR251" s="12"/>
      <c r="AS251" s="12"/>
      <c r="AT251" s="15"/>
      <c r="AU251" s="12"/>
      <c r="AV251" s="16"/>
      <c r="AW251" s="12"/>
      <c r="AX251" s="15"/>
      <c r="AY251" s="15"/>
      <c r="AZ251" s="15"/>
      <c r="BA251" s="15"/>
      <c r="BB251" s="15"/>
      <c r="BC251" s="15"/>
      <c r="BD251" s="15"/>
      <c r="BE251" s="15"/>
      <c r="BF251" s="15"/>
    </row>
    <row r="252" spans="1:58" ht="19.5" customHeight="1" x14ac:dyDescent="0.2">
      <c r="A252" s="8" t="str">
        <f>IF($B252="","",TEXT($B252,"yyyymmdd")&amp;"-"&amp;SUBSTITUTE($F252," ","")&amp;"-"&amp;TEXT(COUNTIF($F$4:F252,$F252),"00"))</f>
        <v/>
      </c>
      <c r="B252" s="9"/>
      <c r="C252" s="8" t="str">
        <f t="shared" si="31"/>
        <v/>
      </c>
      <c r="D252" s="8" t="str">
        <f t="shared" si="32"/>
        <v/>
      </c>
      <c r="E252" s="10"/>
      <c r="F252" s="10"/>
      <c r="G252" s="8" t="str">
        <f>IF(OR($E252="",$F252=""),"",IFERROR(IF($E252=INDEX(Cluster_Master!$A$4:$A$18,MATCH($F252,Cluster_Master!$B$4:$B$18,0)),"OK","CHECK"),"CHECK"))</f>
        <v/>
      </c>
      <c r="H252" s="11" t="str">
        <f>IFERROR(INDEX(Cluster_Master!$C$4:$C$18,MATCH($F252,Cluster_Master!$B$4:$B$18,0)),"")</f>
        <v/>
      </c>
      <c r="I252" s="8" t="str">
        <f>IFERROR(INDEX(Cluster_Master!$D$4:$D$18,MATCH($F252,Cluster_Master!$B$4:$B$18,0)),"")</f>
        <v/>
      </c>
      <c r="J252" s="8" t="str">
        <f>IFERROR(INDEX(Cluster_Master!$E$4:$E$18,MATCH($F252,Cluster_Master!$B$4:$B$18,0)),"")</f>
        <v/>
      </c>
      <c r="K252" s="8" t="str">
        <f>IFERROR(INDEX(Cluster_Master!$F$4:$F$18,MATCH($F252,Cluster_Master!$B$4:$B$18,0)),"")</f>
        <v/>
      </c>
      <c r="L252" s="8" t="str">
        <f>IFERROR(INDEX(Cluster_Master!$G$4:$G$18,MATCH($F252,Cluster_Master!$B$4:$B$18,0)),"")</f>
        <v/>
      </c>
      <c r="M252" s="8" t="str">
        <f>IFERROR(INDEX(Cluster_Master!$H$4:$H$18,MATCH($F252,Cluster_Master!$B$4:$B$18,0)),"")</f>
        <v/>
      </c>
      <c r="N252" s="12"/>
      <c r="O252" s="12"/>
      <c r="P252" s="12"/>
      <c r="Q252" s="12"/>
      <c r="R252" s="12"/>
      <c r="S252" s="12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8" t="str">
        <f t="shared" si="33"/>
        <v/>
      </c>
      <c r="AJ252" s="14" t="str">
        <f t="shared" si="34"/>
        <v/>
      </c>
      <c r="AK252" s="14" t="str">
        <f>IF(COUNTA(T252:AH252)=0,"",(SUM(T252*KPI_Weights!$B$4,U252*KPI_Weights!$B$5,V252*KPI_Weights!$B$6,W252*KPI_Weights!$B$7,X252*KPI_Weights!$B$8,Y252*KPI_Weights!$B$9,Z252*KPI_Weights!$B$10,AA252*KPI_Weights!$B$11,AB252*KPI_Weights!$B$12,AC252*KPI_Weights!$B$13,AD252*KPI_Weights!$B$14,AE252*KPI_Weights!$B$15,AF252*KPI_Weights!$B$16,AG252*KPI_Weights!$B$17,AH252*KPI_Weights!$B$18))/5)</f>
        <v/>
      </c>
      <c r="AL252" s="8" t="str">
        <f t="shared" si="35"/>
        <v/>
      </c>
      <c r="AM252" s="8" t="str">
        <f t="shared" si="36"/>
        <v/>
      </c>
      <c r="AN252" s="8" t="str">
        <f t="shared" si="37"/>
        <v/>
      </c>
      <c r="AO252" s="12"/>
      <c r="AP252" s="12"/>
      <c r="AQ252" s="12"/>
      <c r="AR252" s="12"/>
      <c r="AS252" s="12"/>
      <c r="AT252" s="15"/>
      <c r="AU252" s="12"/>
      <c r="AV252" s="16"/>
      <c r="AW252" s="12"/>
      <c r="AX252" s="15"/>
      <c r="AY252" s="15"/>
      <c r="AZ252" s="15"/>
      <c r="BA252" s="15"/>
      <c r="BB252" s="15"/>
      <c r="BC252" s="15"/>
      <c r="BD252" s="15"/>
      <c r="BE252" s="15"/>
      <c r="BF252" s="15"/>
    </row>
    <row r="253" spans="1:58" ht="19.5" customHeight="1" x14ac:dyDescent="0.2">
      <c r="A253" s="8" t="str">
        <f>IF($B253="","",TEXT($B253,"yyyymmdd")&amp;"-"&amp;SUBSTITUTE($F253," ","")&amp;"-"&amp;TEXT(COUNTIF($F$4:F253,$F253),"00"))</f>
        <v/>
      </c>
      <c r="B253" s="9"/>
      <c r="C253" s="8" t="str">
        <f t="shared" si="31"/>
        <v/>
      </c>
      <c r="D253" s="8" t="str">
        <f t="shared" si="32"/>
        <v/>
      </c>
      <c r="E253" s="10"/>
      <c r="F253" s="10"/>
      <c r="G253" s="8" t="str">
        <f>IF(OR($E253="",$F253=""),"",IFERROR(IF($E253=INDEX(Cluster_Master!$A$4:$A$18,MATCH($F253,Cluster_Master!$B$4:$B$18,0)),"OK","CHECK"),"CHECK"))</f>
        <v/>
      </c>
      <c r="H253" s="11" t="str">
        <f>IFERROR(INDEX(Cluster_Master!$C$4:$C$18,MATCH($F253,Cluster_Master!$B$4:$B$18,0)),"")</f>
        <v/>
      </c>
      <c r="I253" s="8" t="str">
        <f>IFERROR(INDEX(Cluster_Master!$D$4:$D$18,MATCH($F253,Cluster_Master!$B$4:$B$18,0)),"")</f>
        <v/>
      </c>
      <c r="J253" s="8" t="str">
        <f>IFERROR(INDEX(Cluster_Master!$E$4:$E$18,MATCH($F253,Cluster_Master!$B$4:$B$18,0)),"")</f>
        <v/>
      </c>
      <c r="K253" s="8" t="str">
        <f>IFERROR(INDEX(Cluster_Master!$F$4:$F$18,MATCH($F253,Cluster_Master!$B$4:$B$18,0)),"")</f>
        <v/>
      </c>
      <c r="L253" s="8" t="str">
        <f>IFERROR(INDEX(Cluster_Master!$G$4:$G$18,MATCH($F253,Cluster_Master!$B$4:$B$18,0)),"")</f>
        <v/>
      </c>
      <c r="M253" s="8" t="str">
        <f>IFERROR(INDEX(Cluster_Master!$H$4:$H$18,MATCH($F253,Cluster_Master!$B$4:$B$18,0)),"")</f>
        <v/>
      </c>
      <c r="N253" s="12"/>
      <c r="O253" s="12"/>
      <c r="P253" s="12"/>
      <c r="Q253" s="12"/>
      <c r="R253" s="12"/>
      <c r="S253" s="12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8" t="str">
        <f t="shared" si="33"/>
        <v/>
      </c>
      <c r="AJ253" s="14" t="str">
        <f t="shared" si="34"/>
        <v/>
      </c>
      <c r="AK253" s="14" t="str">
        <f>IF(COUNTA(T253:AH253)=0,"",(SUM(T253*KPI_Weights!$B$4,U253*KPI_Weights!$B$5,V253*KPI_Weights!$B$6,W253*KPI_Weights!$B$7,X253*KPI_Weights!$B$8,Y253*KPI_Weights!$B$9,Z253*KPI_Weights!$B$10,AA253*KPI_Weights!$B$11,AB253*KPI_Weights!$B$12,AC253*KPI_Weights!$B$13,AD253*KPI_Weights!$B$14,AE253*KPI_Weights!$B$15,AF253*KPI_Weights!$B$16,AG253*KPI_Weights!$B$17,AH253*KPI_Weights!$B$18))/5)</f>
        <v/>
      </c>
      <c r="AL253" s="8" t="str">
        <f t="shared" si="35"/>
        <v/>
      </c>
      <c r="AM253" s="8" t="str">
        <f t="shared" si="36"/>
        <v/>
      </c>
      <c r="AN253" s="8" t="str">
        <f t="shared" si="37"/>
        <v/>
      </c>
      <c r="AO253" s="12"/>
      <c r="AP253" s="12"/>
      <c r="AQ253" s="12"/>
      <c r="AR253" s="12"/>
      <c r="AS253" s="12"/>
      <c r="AT253" s="15"/>
      <c r="AU253" s="12"/>
      <c r="AV253" s="16"/>
      <c r="AW253" s="12"/>
      <c r="AX253" s="15"/>
      <c r="AY253" s="15"/>
      <c r="AZ253" s="15"/>
      <c r="BA253" s="15"/>
      <c r="BB253" s="15"/>
      <c r="BC253" s="15"/>
      <c r="BD253" s="15"/>
      <c r="BE253" s="15"/>
      <c r="BF253" s="15"/>
    </row>
    <row r="254" spans="1:58" ht="19.5" customHeight="1" x14ac:dyDescent="0.2">
      <c r="A254" s="8" t="str">
        <f>IF($B254="","",TEXT($B254,"yyyymmdd")&amp;"-"&amp;SUBSTITUTE($F254," ","")&amp;"-"&amp;TEXT(COUNTIF($F$4:F254,$F254),"00"))</f>
        <v/>
      </c>
      <c r="B254" s="9"/>
      <c r="C254" s="8" t="str">
        <f t="shared" si="31"/>
        <v/>
      </c>
      <c r="D254" s="8" t="str">
        <f t="shared" si="32"/>
        <v/>
      </c>
      <c r="E254" s="10"/>
      <c r="F254" s="10"/>
      <c r="G254" s="8" t="str">
        <f>IF(OR($E254="",$F254=""),"",IFERROR(IF($E254=INDEX(Cluster_Master!$A$4:$A$18,MATCH($F254,Cluster_Master!$B$4:$B$18,0)),"OK","CHECK"),"CHECK"))</f>
        <v/>
      </c>
      <c r="H254" s="11" t="str">
        <f>IFERROR(INDEX(Cluster_Master!$C$4:$C$18,MATCH($F254,Cluster_Master!$B$4:$B$18,0)),"")</f>
        <v/>
      </c>
      <c r="I254" s="8" t="str">
        <f>IFERROR(INDEX(Cluster_Master!$D$4:$D$18,MATCH($F254,Cluster_Master!$B$4:$B$18,0)),"")</f>
        <v/>
      </c>
      <c r="J254" s="8" t="str">
        <f>IFERROR(INDEX(Cluster_Master!$E$4:$E$18,MATCH($F254,Cluster_Master!$B$4:$B$18,0)),"")</f>
        <v/>
      </c>
      <c r="K254" s="8" t="str">
        <f>IFERROR(INDEX(Cluster_Master!$F$4:$F$18,MATCH($F254,Cluster_Master!$B$4:$B$18,0)),"")</f>
        <v/>
      </c>
      <c r="L254" s="8" t="str">
        <f>IFERROR(INDEX(Cluster_Master!$G$4:$G$18,MATCH($F254,Cluster_Master!$B$4:$B$18,0)),"")</f>
        <v/>
      </c>
      <c r="M254" s="8" t="str">
        <f>IFERROR(INDEX(Cluster_Master!$H$4:$H$18,MATCH($F254,Cluster_Master!$B$4:$B$18,0)),"")</f>
        <v/>
      </c>
      <c r="N254" s="12"/>
      <c r="O254" s="12"/>
      <c r="P254" s="12"/>
      <c r="Q254" s="12"/>
      <c r="R254" s="12"/>
      <c r="S254" s="12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8" t="str">
        <f t="shared" si="33"/>
        <v/>
      </c>
      <c r="AJ254" s="14" t="str">
        <f t="shared" si="34"/>
        <v/>
      </c>
      <c r="AK254" s="14" t="str">
        <f>IF(COUNTA(T254:AH254)=0,"",(SUM(T254*KPI_Weights!$B$4,U254*KPI_Weights!$B$5,V254*KPI_Weights!$B$6,W254*KPI_Weights!$B$7,X254*KPI_Weights!$B$8,Y254*KPI_Weights!$B$9,Z254*KPI_Weights!$B$10,AA254*KPI_Weights!$B$11,AB254*KPI_Weights!$B$12,AC254*KPI_Weights!$B$13,AD254*KPI_Weights!$B$14,AE254*KPI_Weights!$B$15,AF254*KPI_Weights!$B$16,AG254*KPI_Weights!$B$17,AH254*KPI_Weights!$B$18))/5)</f>
        <v/>
      </c>
      <c r="AL254" s="8" t="str">
        <f t="shared" si="35"/>
        <v/>
      </c>
      <c r="AM254" s="8" t="str">
        <f t="shared" si="36"/>
        <v/>
      </c>
      <c r="AN254" s="8" t="str">
        <f t="shared" si="37"/>
        <v/>
      </c>
      <c r="AO254" s="12"/>
      <c r="AP254" s="12"/>
      <c r="AQ254" s="12"/>
      <c r="AR254" s="12"/>
      <c r="AS254" s="12"/>
      <c r="AT254" s="15"/>
      <c r="AU254" s="12"/>
      <c r="AV254" s="16"/>
      <c r="AW254" s="12"/>
      <c r="AX254" s="15"/>
      <c r="AY254" s="15"/>
      <c r="AZ254" s="15"/>
      <c r="BA254" s="15"/>
      <c r="BB254" s="15"/>
      <c r="BC254" s="15"/>
      <c r="BD254" s="15"/>
      <c r="BE254" s="15"/>
      <c r="BF254" s="15"/>
    </row>
    <row r="255" spans="1:58" ht="19.5" customHeight="1" x14ac:dyDescent="0.2">
      <c r="A255" s="8" t="str">
        <f>IF($B255="","",TEXT($B255,"yyyymmdd")&amp;"-"&amp;SUBSTITUTE($F255," ","")&amp;"-"&amp;TEXT(COUNTIF($F$4:F255,$F255),"00"))</f>
        <v/>
      </c>
      <c r="B255" s="9"/>
      <c r="C255" s="8" t="str">
        <f t="shared" si="31"/>
        <v/>
      </c>
      <c r="D255" s="8" t="str">
        <f t="shared" si="32"/>
        <v/>
      </c>
      <c r="E255" s="10"/>
      <c r="F255" s="10"/>
      <c r="G255" s="8" t="str">
        <f>IF(OR($E255="",$F255=""),"",IFERROR(IF($E255=INDEX(Cluster_Master!$A$4:$A$18,MATCH($F255,Cluster_Master!$B$4:$B$18,0)),"OK","CHECK"),"CHECK"))</f>
        <v/>
      </c>
      <c r="H255" s="11" t="str">
        <f>IFERROR(INDEX(Cluster_Master!$C$4:$C$18,MATCH($F255,Cluster_Master!$B$4:$B$18,0)),"")</f>
        <v/>
      </c>
      <c r="I255" s="8" t="str">
        <f>IFERROR(INDEX(Cluster_Master!$D$4:$D$18,MATCH($F255,Cluster_Master!$B$4:$B$18,0)),"")</f>
        <v/>
      </c>
      <c r="J255" s="8" t="str">
        <f>IFERROR(INDEX(Cluster_Master!$E$4:$E$18,MATCH($F255,Cluster_Master!$B$4:$B$18,0)),"")</f>
        <v/>
      </c>
      <c r="K255" s="8" t="str">
        <f>IFERROR(INDEX(Cluster_Master!$F$4:$F$18,MATCH($F255,Cluster_Master!$B$4:$B$18,0)),"")</f>
        <v/>
      </c>
      <c r="L255" s="8" t="str">
        <f>IFERROR(INDEX(Cluster_Master!$G$4:$G$18,MATCH($F255,Cluster_Master!$B$4:$B$18,0)),"")</f>
        <v/>
      </c>
      <c r="M255" s="8" t="str">
        <f>IFERROR(INDEX(Cluster_Master!$H$4:$H$18,MATCH($F255,Cluster_Master!$B$4:$B$18,0)),"")</f>
        <v/>
      </c>
      <c r="N255" s="12"/>
      <c r="O255" s="12"/>
      <c r="P255" s="12"/>
      <c r="Q255" s="12"/>
      <c r="R255" s="12"/>
      <c r="S255" s="12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8" t="str">
        <f t="shared" si="33"/>
        <v/>
      </c>
      <c r="AJ255" s="14" t="str">
        <f t="shared" si="34"/>
        <v/>
      </c>
      <c r="AK255" s="14" t="str">
        <f>IF(COUNTA(T255:AH255)=0,"",(SUM(T255*KPI_Weights!$B$4,U255*KPI_Weights!$B$5,V255*KPI_Weights!$B$6,W255*KPI_Weights!$B$7,X255*KPI_Weights!$B$8,Y255*KPI_Weights!$B$9,Z255*KPI_Weights!$B$10,AA255*KPI_Weights!$B$11,AB255*KPI_Weights!$B$12,AC255*KPI_Weights!$B$13,AD255*KPI_Weights!$B$14,AE255*KPI_Weights!$B$15,AF255*KPI_Weights!$B$16,AG255*KPI_Weights!$B$17,AH255*KPI_Weights!$B$18))/5)</f>
        <v/>
      </c>
      <c r="AL255" s="8" t="str">
        <f t="shared" si="35"/>
        <v/>
      </c>
      <c r="AM255" s="8" t="str">
        <f t="shared" si="36"/>
        <v/>
      </c>
      <c r="AN255" s="8" t="str">
        <f t="shared" si="37"/>
        <v/>
      </c>
      <c r="AO255" s="12"/>
      <c r="AP255" s="12"/>
      <c r="AQ255" s="12"/>
      <c r="AR255" s="12"/>
      <c r="AS255" s="12"/>
      <c r="AT255" s="15"/>
      <c r="AU255" s="12"/>
      <c r="AV255" s="16"/>
      <c r="AW255" s="12"/>
      <c r="AX255" s="15"/>
      <c r="AY255" s="15"/>
      <c r="AZ255" s="15"/>
      <c r="BA255" s="15"/>
      <c r="BB255" s="15"/>
      <c r="BC255" s="15"/>
      <c r="BD255" s="15"/>
      <c r="BE255" s="15"/>
      <c r="BF255" s="15"/>
    </row>
    <row r="256" spans="1:58" ht="19.5" customHeight="1" x14ac:dyDescent="0.2">
      <c r="A256" s="8" t="str">
        <f>IF($B256="","",TEXT($B256,"yyyymmdd")&amp;"-"&amp;SUBSTITUTE($F256," ","")&amp;"-"&amp;TEXT(COUNTIF($F$4:F256,$F256),"00"))</f>
        <v/>
      </c>
      <c r="B256" s="9"/>
      <c r="C256" s="8" t="str">
        <f t="shared" ref="C256:C319" si="38">IF($B256="","",WEEKNUM($B256,2))</f>
        <v/>
      </c>
      <c r="D256" s="8" t="str">
        <f t="shared" ref="D256:D319" si="39">IF($B256="","",TEXT($B256,"yyyy-mm"))</f>
        <v/>
      </c>
      <c r="E256" s="10"/>
      <c r="F256" s="10"/>
      <c r="G256" s="8" t="str">
        <f>IF(OR($E256="",$F256=""),"",IFERROR(IF($E256=INDEX(Cluster_Master!$A$4:$A$18,MATCH($F256,Cluster_Master!$B$4:$B$18,0)),"OK","CHECK"),"CHECK"))</f>
        <v/>
      </c>
      <c r="H256" s="11" t="str">
        <f>IFERROR(INDEX(Cluster_Master!$C$4:$C$18,MATCH($F256,Cluster_Master!$B$4:$B$18,0)),"")</f>
        <v/>
      </c>
      <c r="I256" s="8" t="str">
        <f>IFERROR(INDEX(Cluster_Master!$D$4:$D$18,MATCH($F256,Cluster_Master!$B$4:$B$18,0)),"")</f>
        <v/>
      </c>
      <c r="J256" s="8" t="str">
        <f>IFERROR(INDEX(Cluster_Master!$E$4:$E$18,MATCH($F256,Cluster_Master!$B$4:$B$18,0)),"")</f>
        <v/>
      </c>
      <c r="K256" s="8" t="str">
        <f>IFERROR(INDEX(Cluster_Master!$F$4:$F$18,MATCH($F256,Cluster_Master!$B$4:$B$18,0)),"")</f>
        <v/>
      </c>
      <c r="L256" s="8" t="str">
        <f>IFERROR(INDEX(Cluster_Master!$G$4:$G$18,MATCH($F256,Cluster_Master!$B$4:$B$18,0)),"")</f>
        <v/>
      </c>
      <c r="M256" s="8" t="str">
        <f>IFERROR(INDEX(Cluster_Master!$H$4:$H$18,MATCH($F256,Cluster_Master!$B$4:$B$18,0)),"")</f>
        <v/>
      </c>
      <c r="N256" s="12"/>
      <c r="O256" s="12"/>
      <c r="P256" s="12"/>
      <c r="Q256" s="12"/>
      <c r="R256" s="12"/>
      <c r="S256" s="12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8" t="str">
        <f t="shared" ref="AI256:AI319" si="40">IF(COUNTA(T256:AH256)=0,"",SUM(T256:AH256))</f>
        <v/>
      </c>
      <c r="AJ256" s="14" t="str">
        <f t="shared" ref="AJ256:AJ319" si="41">IF(COUNTA(T256:AH256)=0,"",AI256/75)</f>
        <v/>
      </c>
      <c r="AK256" s="14" t="str">
        <f>IF(COUNTA(T256:AH256)=0,"",(SUM(T256*KPI_Weights!$B$4,U256*KPI_Weights!$B$5,V256*KPI_Weights!$B$6,W256*KPI_Weights!$B$7,X256*KPI_Weights!$B$8,Y256*KPI_Weights!$B$9,Z256*KPI_Weights!$B$10,AA256*KPI_Weights!$B$11,AB256*KPI_Weights!$B$12,AC256*KPI_Weights!$B$13,AD256*KPI_Weights!$B$14,AE256*KPI_Weights!$B$15,AF256*KPI_Weights!$B$16,AG256*KPI_Weights!$B$17,AH256*KPI_Weights!$B$18))/5)</f>
        <v/>
      </c>
      <c r="AL256" s="8" t="str">
        <f t="shared" ref="AL256:AL319" si="42">IF(COUNTA(T256:AH256)=0,"",IF(OR(T256&lt;=1,W256&lt;=1,X256&lt;=1,Y256&lt;=1,AB256&lt;=1),"YES","NO"))</f>
        <v/>
      </c>
      <c r="AM256" s="8" t="str">
        <f t="shared" ref="AM256:AM319" si="43">IF(AJ256="","",IF(AND(AL256="NO",AJ256&gt;=0.75),"YES","NO"))</f>
        <v/>
      </c>
      <c r="AN256" s="8" t="str">
        <f t="shared" ref="AN256:AN319" si="44">IF(AJ256="","",IF(AJ256&lt;0.4,"Critical",IF(AJ256&lt;0.6,"Poor",IF(AJ256&lt;0.75,"Needs Improvement",IF(AJ256&lt;0.9,"Good","Excellent")))))</f>
        <v/>
      </c>
      <c r="AO256" s="12"/>
      <c r="AP256" s="12"/>
      <c r="AQ256" s="12"/>
      <c r="AR256" s="12"/>
      <c r="AS256" s="12"/>
      <c r="AT256" s="15"/>
      <c r="AU256" s="12"/>
      <c r="AV256" s="16"/>
      <c r="AW256" s="12"/>
      <c r="AX256" s="15"/>
      <c r="AY256" s="15"/>
      <c r="AZ256" s="15"/>
      <c r="BA256" s="15"/>
      <c r="BB256" s="15"/>
      <c r="BC256" s="15"/>
      <c r="BD256" s="15"/>
      <c r="BE256" s="15"/>
      <c r="BF256" s="15"/>
    </row>
    <row r="257" spans="1:58" ht="19.5" customHeight="1" x14ac:dyDescent="0.2">
      <c r="A257" s="8" t="str">
        <f>IF($B257="","",TEXT($B257,"yyyymmdd")&amp;"-"&amp;SUBSTITUTE($F257," ","")&amp;"-"&amp;TEXT(COUNTIF($F$4:F257,$F257),"00"))</f>
        <v/>
      </c>
      <c r="B257" s="9"/>
      <c r="C257" s="8" t="str">
        <f t="shared" si="38"/>
        <v/>
      </c>
      <c r="D257" s="8" t="str">
        <f t="shared" si="39"/>
        <v/>
      </c>
      <c r="E257" s="10"/>
      <c r="F257" s="10"/>
      <c r="G257" s="8" t="str">
        <f>IF(OR($E257="",$F257=""),"",IFERROR(IF($E257=INDEX(Cluster_Master!$A$4:$A$18,MATCH($F257,Cluster_Master!$B$4:$B$18,0)),"OK","CHECK"),"CHECK"))</f>
        <v/>
      </c>
      <c r="H257" s="11" t="str">
        <f>IFERROR(INDEX(Cluster_Master!$C$4:$C$18,MATCH($F257,Cluster_Master!$B$4:$B$18,0)),"")</f>
        <v/>
      </c>
      <c r="I257" s="8" t="str">
        <f>IFERROR(INDEX(Cluster_Master!$D$4:$D$18,MATCH($F257,Cluster_Master!$B$4:$B$18,0)),"")</f>
        <v/>
      </c>
      <c r="J257" s="8" t="str">
        <f>IFERROR(INDEX(Cluster_Master!$E$4:$E$18,MATCH($F257,Cluster_Master!$B$4:$B$18,0)),"")</f>
        <v/>
      </c>
      <c r="K257" s="8" t="str">
        <f>IFERROR(INDEX(Cluster_Master!$F$4:$F$18,MATCH($F257,Cluster_Master!$B$4:$B$18,0)),"")</f>
        <v/>
      </c>
      <c r="L257" s="8" t="str">
        <f>IFERROR(INDEX(Cluster_Master!$G$4:$G$18,MATCH($F257,Cluster_Master!$B$4:$B$18,0)),"")</f>
        <v/>
      </c>
      <c r="M257" s="8" t="str">
        <f>IFERROR(INDEX(Cluster_Master!$H$4:$H$18,MATCH($F257,Cluster_Master!$B$4:$B$18,0)),"")</f>
        <v/>
      </c>
      <c r="N257" s="12"/>
      <c r="O257" s="12"/>
      <c r="P257" s="12"/>
      <c r="Q257" s="12"/>
      <c r="R257" s="12"/>
      <c r="S257" s="12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8" t="str">
        <f t="shared" si="40"/>
        <v/>
      </c>
      <c r="AJ257" s="14" t="str">
        <f t="shared" si="41"/>
        <v/>
      </c>
      <c r="AK257" s="14" t="str">
        <f>IF(COUNTA(T257:AH257)=0,"",(SUM(T257*KPI_Weights!$B$4,U257*KPI_Weights!$B$5,V257*KPI_Weights!$B$6,W257*KPI_Weights!$B$7,X257*KPI_Weights!$B$8,Y257*KPI_Weights!$B$9,Z257*KPI_Weights!$B$10,AA257*KPI_Weights!$B$11,AB257*KPI_Weights!$B$12,AC257*KPI_Weights!$B$13,AD257*KPI_Weights!$B$14,AE257*KPI_Weights!$B$15,AF257*KPI_Weights!$B$16,AG257*KPI_Weights!$B$17,AH257*KPI_Weights!$B$18))/5)</f>
        <v/>
      </c>
      <c r="AL257" s="8" t="str">
        <f t="shared" si="42"/>
        <v/>
      </c>
      <c r="AM257" s="8" t="str">
        <f t="shared" si="43"/>
        <v/>
      </c>
      <c r="AN257" s="8" t="str">
        <f t="shared" si="44"/>
        <v/>
      </c>
      <c r="AO257" s="12"/>
      <c r="AP257" s="12"/>
      <c r="AQ257" s="12"/>
      <c r="AR257" s="12"/>
      <c r="AS257" s="12"/>
      <c r="AT257" s="15"/>
      <c r="AU257" s="12"/>
      <c r="AV257" s="16"/>
      <c r="AW257" s="12"/>
      <c r="AX257" s="15"/>
      <c r="AY257" s="15"/>
      <c r="AZ257" s="15"/>
      <c r="BA257" s="15"/>
      <c r="BB257" s="15"/>
      <c r="BC257" s="15"/>
      <c r="BD257" s="15"/>
      <c r="BE257" s="15"/>
      <c r="BF257" s="15"/>
    </row>
    <row r="258" spans="1:58" ht="19.5" customHeight="1" x14ac:dyDescent="0.2">
      <c r="A258" s="8" t="str">
        <f>IF($B258="","",TEXT($B258,"yyyymmdd")&amp;"-"&amp;SUBSTITUTE($F258," ","")&amp;"-"&amp;TEXT(COUNTIF($F$4:F258,$F258),"00"))</f>
        <v/>
      </c>
      <c r="B258" s="9"/>
      <c r="C258" s="8" t="str">
        <f t="shared" si="38"/>
        <v/>
      </c>
      <c r="D258" s="8" t="str">
        <f t="shared" si="39"/>
        <v/>
      </c>
      <c r="E258" s="10"/>
      <c r="F258" s="10"/>
      <c r="G258" s="8" t="str">
        <f>IF(OR($E258="",$F258=""),"",IFERROR(IF($E258=INDEX(Cluster_Master!$A$4:$A$18,MATCH($F258,Cluster_Master!$B$4:$B$18,0)),"OK","CHECK"),"CHECK"))</f>
        <v/>
      </c>
      <c r="H258" s="11" t="str">
        <f>IFERROR(INDEX(Cluster_Master!$C$4:$C$18,MATCH($F258,Cluster_Master!$B$4:$B$18,0)),"")</f>
        <v/>
      </c>
      <c r="I258" s="8" t="str">
        <f>IFERROR(INDEX(Cluster_Master!$D$4:$D$18,MATCH($F258,Cluster_Master!$B$4:$B$18,0)),"")</f>
        <v/>
      </c>
      <c r="J258" s="8" t="str">
        <f>IFERROR(INDEX(Cluster_Master!$E$4:$E$18,MATCH($F258,Cluster_Master!$B$4:$B$18,0)),"")</f>
        <v/>
      </c>
      <c r="K258" s="8" t="str">
        <f>IFERROR(INDEX(Cluster_Master!$F$4:$F$18,MATCH($F258,Cluster_Master!$B$4:$B$18,0)),"")</f>
        <v/>
      </c>
      <c r="L258" s="8" t="str">
        <f>IFERROR(INDEX(Cluster_Master!$G$4:$G$18,MATCH($F258,Cluster_Master!$B$4:$B$18,0)),"")</f>
        <v/>
      </c>
      <c r="M258" s="8" t="str">
        <f>IFERROR(INDEX(Cluster_Master!$H$4:$H$18,MATCH($F258,Cluster_Master!$B$4:$B$18,0)),"")</f>
        <v/>
      </c>
      <c r="N258" s="12"/>
      <c r="O258" s="12"/>
      <c r="P258" s="12"/>
      <c r="Q258" s="12"/>
      <c r="R258" s="12"/>
      <c r="S258" s="12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8" t="str">
        <f t="shared" si="40"/>
        <v/>
      </c>
      <c r="AJ258" s="14" t="str">
        <f t="shared" si="41"/>
        <v/>
      </c>
      <c r="AK258" s="14" t="str">
        <f>IF(COUNTA(T258:AH258)=0,"",(SUM(T258*KPI_Weights!$B$4,U258*KPI_Weights!$B$5,V258*KPI_Weights!$B$6,W258*KPI_Weights!$B$7,X258*KPI_Weights!$B$8,Y258*KPI_Weights!$B$9,Z258*KPI_Weights!$B$10,AA258*KPI_Weights!$B$11,AB258*KPI_Weights!$B$12,AC258*KPI_Weights!$B$13,AD258*KPI_Weights!$B$14,AE258*KPI_Weights!$B$15,AF258*KPI_Weights!$B$16,AG258*KPI_Weights!$B$17,AH258*KPI_Weights!$B$18))/5)</f>
        <v/>
      </c>
      <c r="AL258" s="8" t="str">
        <f t="shared" si="42"/>
        <v/>
      </c>
      <c r="AM258" s="8" t="str">
        <f t="shared" si="43"/>
        <v/>
      </c>
      <c r="AN258" s="8" t="str">
        <f t="shared" si="44"/>
        <v/>
      </c>
      <c r="AO258" s="12"/>
      <c r="AP258" s="12"/>
      <c r="AQ258" s="12"/>
      <c r="AR258" s="12"/>
      <c r="AS258" s="12"/>
      <c r="AT258" s="15"/>
      <c r="AU258" s="12"/>
      <c r="AV258" s="16"/>
      <c r="AW258" s="12"/>
      <c r="AX258" s="15"/>
      <c r="AY258" s="15"/>
      <c r="AZ258" s="15"/>
      <c r="BA258" s="15"/>
      <c r="BB258" s="15"/>
      <c r="BC258" s="15"/>
      <c r="BD258" s="15"/>
      <c r="BE258" s="15"/>
      <c r="BF258" s="15"/>
    </row>
    <row r="259" spans="1:58" ht="19.5" customHeight="1" x14ac:dyDescent="0.2">
      <c r="A259" s="8" t="str">
        <f>IF($B259="","",TEXT($B259,"yyyymmdd")&amp;"-"&amp;SUBSTITUTE($F259," ","")&amp;"-"&amp;TEXT(COUNTIF($F$4:F259,$F259),"00"))</f>
        <v/>
      </c>
      <c r="B259" s="9"/>
      <c r="C259" s="8" t="str">
        <f t="shared" si="38"/>
        <v/>
      </c>
      <c r="D259" s="8" t="str">
        <f t="shared" si="39"/>
        <v/>
      </c>
      <c r="E259" s="10"/>
      <c r="F259" s="10"/>
      <c r="G259" s="8" t="str">
        <f>IF(OR($E259="",$F259=""),"",IFERROR(IF($E259=INDEX(Cluster_Master!$A$4:$A$18,MATCH($F259,Cluster_Master!$B$4:$B$18,0)),"OK","CHECK"),"CHECK"))</f>
        <v/>
      </c>
      <c r="H259" s="11" t="str">
        <f>IFERROR(INDEX(Cluster_Master!$C$4:$C$18,MATCH($F259,Cluster_Master!$B$4:$B$18,0)),"")</f>
        <v/>
      </c>
      <c r="I259" s="8" t="str">
        <f>IFERROR(INDEX(Cluster_Master!$D$4:$D$18,MATCH($F259,Cluster_Master!$B$4:$B$18,0)),"")</f>
        <v/>
      </c>
      <c r="J259" s="8" t="str">
        <f>IFERROR(INDEX(Cluster_Master!$E$4:$E$18,MATCH($F259,Cluster_Master!$B$4:$B$18,0)),"")</f>
        <v/>
      </c>
      <c r="K259" s="8" t="str">
        <f>IFERROR(INDEX(Cluster_Master!$F$4:$F$18,MATCH($F259,Cluster_Master!$B$4:$B$18,0)),"")</f>
        <v/>
      </c>
      <c r="L259" s="8" t="str">
        <f>IFERROR(INDEX(Cluster_Master!$G$4:$G$18,MATCH($F259,Cluster_Master!$B$4:$B$18,0)),"")</f>
        <v/>
      </c>
      <c r="M259" s="8" t="str">
        <f>IFERROR(INDEX(Cluster_Master!$H$4:$H$18,MATCH($F259,Cluster_Master!$B$4:$B$18,0)),"")</f>
        <v/>
      </c>
      <c r="N259" s="12"/>
      <c r="O259" s="12"/>
      <c r="P259" s="12"/>
      <c r="Q259" s="12"/>
      <c r="R259" s="12"/>
      <c r="S259" s="12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8" t="str">
        <f t="shared" si="40"/>
        <v/>
      </c>
      <c r="AJ259" s="14" t="str">
        <f t="shared" si="41"/>
        <v/>
      </c>
      <c r="AK259" s="14" t="str">
        <f>IF(COUNTA(T259:AH259)=0,"",(SUM(T259*KPI_Weights!$B$4,U259*KPI_Weights!$B$5,V259*KPI_Weights!$B$6,W259*KPI_Weights!$B$7,X259*KPI_Weights!$B$8,Y259*KPI_Weights!$B$9,Z259*KPI_Weights!$B$10,AA259*KPI_Weights!$B$11,AB259*KPI_Weights!$B$12,AC259*KPI_Weights!$B$13,AD259*KPI_Weights!$B$14,AE259*KPI_Weights!$B$15,AF259*KPI_Weights!$B$16,AG259*KPI_Weights!$B$17,AH259*KPI_Weights!$B$18))/5)</f>
        <v/>
      </c>
      <c r="AL259" s="8" t="str">
        <f t="shared" si="42"/>
        <v/>
      </c>
      <c r="AM259" s="8" t="str">
        <f t="shared" si="43"/>
        <v/>
      </c>
      <c r="AN259" s="8" t="str">
        <f t="shared" si="44"/>
        <v/>
      </c>
      <c r="AO259" s="12"/>
      <c r="AP259" s="12"/>
      <c r="AQ259" s="12"/>
      <c r="AR259" s="12"/>
      <c r="AS259" s="12"/>
      <c r="AT259" s="15"/>
      <c r="AU259" s="12"/>
      <c r="AV259" s="16"/>
      <c r="AW259" s="12"/>
      <c r="AX259" s="15"/>
      <c r="AY259" s="15"/>
      <c r="AZ259" s="15"/>
      <c r="BA259" s="15"/>
      <c r="BB259" s="15"/>
      <c r="BC259" s="15"/>
      <c r="BD259" s="15"/>
      <c r="BE259" s="15"/>
      <c r="BF259" s="15"/>
    </row>
    <row r="260" spans="1:58" ht="19.5" customHeight="1" x14ac:dyDescent="0.2">
      <c r="A260" s="8" t="str">
        <f>IF($B260="","",TEXT($B260,"yyyymmdd")&amp;"-"&amp;SUBSTITUTE($F260," ","")&amp;"-"&amp;TEXT(COUNTIF($F$4:F260,$F260),"00"))</f>
        <v/>
      </c>
      <c r="B260" s="9"/>
      <c r="C260" s="8" t="str">
        <f t="shared" si="38"/>
        <v/>
      </c>
      <c r="D260" s="8" t="str">
        <f t="shared" si="39"/>
        <v/>
      </c>
      <c r="E260" s="10"/>
      <c r="F260" s="10"/>
      <c r="G260" s="8" t="str">
        <f>IF(OR($E260="",$F260=""),"",IFERROR(IF($E260=INDEX(Cluster_Master!$A$4:$A$18,MATCH($F260,Cluster_Master!$B$4:$B$18,0)),"OK","CHECK"),"CHECK"))</f>
        <v/>
      </c>
      <c r="H260" s="11" t="str">
        <f>IFERROR(INDEX(Cluster_Master!$C$4:$C$18,MATCH($F260,Cluster_Master!$B$4:$B$18,0)),"")</f>
        <v/>
      </c>
      <c r="I260" s="8" t="str">
        <f>IFERROR(INDEX(Cluster_Master!$D$4:$D$18,MATCH($F260,Cluster_Master!$B$4:$B$18,0)),"")</f>
        <v/>
      </c>
      <c r="J260" s="8" t="str">
        <f>IFERROR(INDEX(Cluster_Master!$E$4:$E$18,MATCH($F260,Cluster_Master!$B$4:$B$18,0)),"")</f>
        <v/>
      </c>
      <c r="K260" s="8" t="str">
        <f>IFERROR(INDEX(Cluster_Master!$F$4:$F$18,MATCH($F260,Cluster_Master!$B$4:$B$18,0)),"")</f>
        <v/>
      </c>
      <c r="L260" s="8" t="str">
        <f>IFERROR(INDEX(Cluster_Master!$G$4:$G$18,MATCH($F260,Cluster_Master!$B$4:$B$18,0)),"")</f>
        <v/>
      </c>
      <c r="M260" s="8" t="str">
        <f>IFERROR(INDEX(Cluster_Master!$H$4:$H$18,MATCH($F260,Cluster_Master!$B$4:$B$18,0)),"")</f>
        <v/>
      </c>
      <c r="N260" s="12"/>
      <c r="O260" s="12"/>
      <c r="P260" s="12"/>
      <c r="Q260" s="12"/>
      <c r="R260" s="12"/>
      <c r="S260" s="12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8" t="str">
        <f t="shared" si="40"/>
        <v/>
      </c>
      <c r="AJ260" s="14" t="str">
        <f t="shared" si="41"/>
        <v/>
      </c>
      <c r="AK260" s="14" t="str">
        <f>IF(COUNTA(T260:AH260)=0,"",(SUM(T260*KPI_Weights!$B$4,U260*KPI_Weights!$B$5,V260*KPI_Weights!$B$6,W260*KPI_Weights!$B$7,X260*KPI_Weights!$B$8,Y260*KPI_Weights!$B$9,Z260*KPI_Weights!$B$10,AA260*KPI_Weights!$B$11,AB260*KPI_Weights!$B$12,AC260*KPI_Weights!$B$13,AD260*KPI_Weights!$B$14,AE260*KPI_Weights!$B$15,AF260*KPI_Weights!$B$16,AG260*KPI_Weights!$B$17,AH260*KPI_Weights!$B$18))/5)</f>
        <v/>
      </c>
      <c r="AL260" s="8" t="str">
        <f t="shared" si="42"/>
        <v/>
      </c>
      <c r="AM260" s="8" t="str">
        <f t="shared" si="43"/>
        <v/>
      </c>
      <c r="AN260" s="8" t="str">
        <f t="shared" si="44"/>
        <v/>
      </c>
      <c r="AO260" s="12"/>
      <c r="AP260" s="12"/>
      <c r="AQ260" s="12"/>
      <c r="AR260" s="12"/>
      <c r="AS260" s="12"/>
      <c r="AT260" s="15"/>
      <c r="AU260" s="12"/>
      <c r="AV260" s="16"/>
      <c r="AW260" s="12"/>
      <c r="AX260" s="15"/>
      <c r="AY260" s="15"/>
      <c r="AZ260" s="15"/>
      <c r="BA260" s="15"/>
      <c r="BB260" s="15"/>
      <c r="BC260" s="15"/>
      <c r="BD260" s="15"/>
      <c r="BE260" s="15"/>
      <c r="BF260" s="15"/>
    </row>
    <row r="261" spans="1:58" ht="19.5" customHeight="1" x14ac:dyDescent="0.2">
      <c r="A261" s="8" t="str">
        <f>IF($B261="","",TEXT($B261,"yyyymmdd")&amp;"-"&amp;SUBSTITUTE($F261," ","")&amp;"-"&amp;TEXT(COUNTIF($F$4:F261,$F261),"00"))</f>
        <v/>
      </c>
      <c r="B261" s="9"/>
      <c r="C261" s="8" t="str">
        <f t="shared" si="38"/>
        <v/>
      </c>
      <c r="D261" s="8" t="str">
        <f t="shared" si="39"/>
        <v/>
      </c>
      <c r="E261" s="10"/>
      <c r="F261" s="10"/>
      <c r="G261" s="8" t="str">
        <f>IF(OR($E261="",$F261=""),"",IFERROR(IF($E261=INDEX(Cluster_Master!$A$4:$A$18,MATCH($F261,Cluster_Master!$B$4:$B$18,0)),"OK","CHECK"),"CHECK"))</f>
        <v/>
      </c>
      <c r="H261" s="11" t="str">
        <f>IFERROR(INDEX(Cluster_Master!$C$4:$C$18,MATCH($F261,Cluster_Master!$B$4:$B$18,0)),"")</f>
        <v/>
      </c>
      <c r="I261" s="8" t="str">
        <f>IFERROR(INDEX(Cluster_Master!$D$4:$D$18,MATCH($F261,Cluster_Master!$B$4:$B$18,0)),"")</f>
        <v/>
      </c>
      <c r="J261" s="8" t="str">
        <f>IFERROR(INDEX(Cluster_Master!$E$4:$E$18,MATCH($F261,Cluster_Master!$B$4:$B$18,0)),"")</f>
        <v/>
      </c>
      <c r="K261" s="8" t="str">
        <f>IFERROR(INDEX(Cluster_Master!$F$4:$F$18,MATCH($F261,Cluster_Master!$B$4:$B$18,0)),"")</f>
        <v/>
      </c>
      <c r="L261" s="8" t="str">
        <f>IFERROR(INDEX(Cluster_Master!$G$4:$G$18,MATCH($F261,Cluster_Master!$B$4:$B$18,0)),"")</f>
        <v/>
      </c>
      <c r="M261" s="8" t="str">
        <f>IFERROR(INDEX(Cluster_Master!$H$4:$H$18,MATCH($F261,Cluster_Master!$B$4:$B$18,0)),"")</f>
        <v/>
      </c>
      <c r="N261" s="12"/>
      <c r="O261" s="12"/>
      <c r="P261" s="12"/>
      <c r="Q261" s="12"/>
      <c r="R261" s="12"/>
      <c r="S261" s="12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8" t="str">
        <f t="shared" si="40"/>
        <v/>
      </c>
      <c r="AJ261" s="14" t="str">
        <f t="shared" si="41"/>
        <v/>
      </c>
      <c r="AK261" s="14" t="str">
        <f>IF(COUNTA(T261:AH261)=0,"",(SUM(T261*KPI_Weights!$B$4,U261*KPI_Weights!$B$5,V261*KPI_Weights!$B$6,W261*KPI_Weights!$B$7,X261*KPI_Weights!$B$8,Y261*KPI_Weights!$B$9,Z261*KPI_Weights!$B$10,AA261*KPI_Weights!$B$11,AB261*KPI_Weights!$B$12,AC261*KPI_Weights!$B$13,AD261*KPI_Weights!$B$14,AE261*KPI_Weights!$B$15,AF261*KPI_Weights!$B$16,AG261*KPI_Weights!$B$17,AH261*KPI_Weights!$B$18))/5)</f>
        <v/>
      </c>
      <c r="AL261" s="8" t="str">
        <f t="shared" si="42"/>
        <v/>
      </c>
      <c r="AM261" s="8" t="str">
        <f t="shared" si="43"/>
        <v/>
      </c>
      <c r="AN261" s="8" t="str">
        <f t="shared" si="44"/>
        <v/>
      </c>
      <c r="AO261" s="12"/>
      <c r="AP261" s="12"/>
      <c r="AQ261" s="12"/>
      <c r="AR261" s="12"/>
      <c r="AS261" s="12"/>
      <c r="AT261" s="15"/>
      <c r="AU261" s="12"/>
      <c r="AV261" s="16"/>
      <c r="AW261" s="12"/>
      <c r="AX261" s="15"/>
      <c r="AY261" s="15"/>
      <c r="AZ261" s="15"/>
      <c r="BA261" s="15"/>
      <c r="BB261" s="15"/>
      <c r="BC261" s="15"/>
      <c r="BD261" s="15"/>
      <c r="BE261" s="15"/>
      <c r="BF261" s="15"/>
    </row>
    <row r="262" spans="1:58" ht="19.5" customHeight="1" x14ac:dyDescent="0.2">
      <c r="A262" s="8" t="str">
        <f>IF($B262="","",TEXT($B262,"yyyymmdd")&amp;"-"&amp;SUBSTITUTE($F262," ","")&amp;"-"&amp;TEXT(COUNTIF($F$4:F262,$F262),"00"))</f>
        <v/>
      </c>
      <c r="B262" s="9"/>
      <c r="C262" s="8" t="str">
        <f t="shared" si="38"/>
        <v/>
      </c>
      <c r="D262" s="8" t="str">
        <f t="shared" si="39"/>
        <v/>
      </c>
      <c r="E262" s="10"/>
      <c r="F262" s="10"/>
      <c r="G262" s="8" t="str">
        <f>IF(OR($E262="",$F262=""),"",IFERROR(IF($E262=INDEX(Cluster_Master!$A$4:$A$18,MATCH($F262,Cluster_Master!$B$4:$B$18,0)),"OK","CHECK"),"CHECK"))</f>
        <v/>
      </c>
      <c r="H262" s="11" t="str">
        <f>IFERROR(INDEX(Cluster_Master!$C$4:$C$18,MATCH($F262,Cluster_Master!$B$4:$B$18,0)),"")</f>
        <v/>
      </c>
      <c r="I262" s="8" t="str">
        <f>IFERROR(INDEX(Cluster_Master!$D$4:$D$18,MATCH($F262,Cluster_Master!$B$4:$B$18,0)),"")</f>
        <v/>
      </c>
      <c r="J262" s="8" t="str">
        <f>IFERROR(INDEX(Cluster_Master!$E$4:$E$18,MATCH($F262,Cluster_Master!$B$4:$B$18,0)),"")</f>
        <v/>
      </c>
      <c r="K262" s="8" t="str">
        <f>IFERROR(INDEX(Cluster_Master!$F$4:$F$18,MATCH($F262,Cluster_Master!$B$4:$B$18,0)),"")</f>
        <v/>
      </c>
      <c r="L262" s="8" t="str">
        <f>IFERROR(INDEX(Cluster_Master!$G$4:$G$18,MATCH($F262,Cluster_Master!$B$4:$B$18,0)),"")</f>
        <v/>
      </c>
      <c r="M262" s="8" t="str">
        <f>IFERROR(INDEX(Cluster_Master!$H$4:$H$18,MATCH($F262,Cluster_Master!$B$4:$B$18,0)),"")</f>
        <v/>
      </c>
      <c r="N262" s="12"/>
      <c r="O262" s="12"/>
      <c r="P262" s="12"/>
      <c r="Q262" s="12"/>
      <c r="R262" s="12"/>
      <c r="S262" s="12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8" t="str">
        <f t="shared" si="40"/>
        <v/>
      </c>
      <c r="AJ262" s="14" t="str">
        <f t="shared" si="41"/>
        <v/>
      </c>
      <c r="AK262" s="14" t="str">
        <f>IF(COUNTA(T262:AH262)=0,"",(SUM(T262*KPI_Weights!$B$4,U262*KPI_Weights!$B$5,V262*KPI_Weights!$B$6,W262*KPI_Weights!$B$7,X262*KPI_Weights!$B$8,Y262*KPI_Weights!$B$9,Z262*KPI_Weights!$B$10,AA262*KPI_Weights!$B$11,AB262*KPI_Weights!$B$12,AC262*KPI_Weights!$B$13,AD262*KPI_Weights!$B$14,AE262*KPI_Weights!$B$15,AF262*KPI_Weights!$B$16,AG262*KPI_Weights!$B$17,AH262*KPI_Weights!$B$18))/5)</f>
        <v/>
      </c>
      <c r="AL262" s="8" t="str">
        <f t="shared" si="42"/>
        <v/>
      </c>
      <c r="AM262" s="8" t="str">
        <f t="shared" si="43"/>
        <v/>
      </c>
      <c r="AN262" s="8" t="str">
        <f t="shared" si="44"/>
        <v/>
      </c>
      <c r="AO262" s="12"/>
      <c r="AP262" s="12"/>
      <c r="AQ262" s="12"/>
      <c r="AR262" s="12"/>
      <c r="AS262" s="12"/>
      <c r="AT262" s="15"/>
      <c r="AU262" s="12"/>
      <c r="AV262" s="16"/>
      <c r="AW262" s="12"/>
      <c r="AX262" s="15"/>
      <c r="AY262" s="15"/>
      <c r="AZ262" s="15"/>
      <c r="BA262" s="15"/>
      <c r="BB262" s="15"/>
      <c r="BC262" s="15"/>
      <c r="BD262" s="15"/>
      <c r="BE262" s="15"/>
      <c r="BF262" s="15"/>
    </row>
    <row r="263" spans="1:58" ht="19.5" customHeight="1" x14ac:dyDescent="0.2">
      <c r="A263" s="8" t="str">
        <f>IF($B263="","",TEXT($B263,"yyyymmdd")&amp;"-"&amp;SUBSTITUTE($F263," ","")&amp;"-"&amp;TEXT(COUNTIF($F$4:F263,$F263),"00"))</f>
        <v/>
      </c>
      <c r="B263" s="9"/>
      <c r="C263" s="8" t="str">
        <f t="shared" si="38"/>
        <v/>
      </c>
      <c r="D263" s="8" t="str">
        <f t="shared" si="39"/>
        <v/>
      </c>
      <c r="E263" s="10"/>
      <c r="F263" s="10"/>
      <c r="G263" s="8" t="str">
        <f>IF(OR($E263="",$F263=""),"",IFERROR(IF($E263=INDEX(Cluster_Master!$A$4:$A$18,MATCH($F263,Cluster_Master!$B$4:$B$18,0)),"OK","CHECK"),"CHECK"))</f>
        <v/>
      </c>
      <c r="H263" s="11" t="str">
        <f>IFERROR(INDEX(Cluster_Master!$C$4:$C$18,MATCH($F263,Cluster_Master!$B$4:$B$18,0)),"")</f>
        <v/>
      </c>
      <c r="I263" s="8" t="str">
        <f>IFERROR(INDEX(Cluster_Master!$D$4:$D$18,MATCH($F263,Cluster_Master!$B$4:$B$18,0)),"")</f>
        <v/>
      </c>
      <c r="J263" s="8" t="str">
        <f>IFERROR(INDEX(Cluster_Master!$E$4:$E$18,MATCH($F263,Cluster_Master!$B$4:$B$18,0)),"")</f>
        <v/>
      </c>
      <c r="K263" s="8" t="str">
        <f>IFERROR(INDEX(Cluster_Master!$F$4:$F$18,MATCH($F263,Cluster_Master!$B$4:$B$18,0)),"")</f>
        <v/>
      </c>
      <c r="L263" s="8" t="str">
        <f>IFERROR(INDEX(Cluster_Master!$G$4:$G$18,MATCH($F263,Cluster_Master!$B$4:$B$18,0)),"")</f>
        <v/>
      </c>
      <c r="M263" s="8" t="str">
        <f>IFERROR(INDEX(Cluster_Master!$H$4:$H$18,MATCH($F263,Cluster_Master!$B$4:$B$18,0)),"")</f>
        <v/>
      </c>
      <c r="N263" s="12"/>
      <c r="O263" s="12"/>
      <c r="P263" s="12"/>
      <c r="Q263" s="12"/>
      <c r="R263" s="12"/>
      <c r="S263" s="12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8" t="str">
        <f t="shared" si="40"/>
        <v/>
      </c>
      <c r="AJ263" s="14" t="str">
        <f t="shared" si="41"/>
        <v/>
      </c>
      <c r="AK263" s="14" t="str">
        <f>IF(COUNTA(T263:AH263)=0,"",(SUM(T263*KPI_Weights!$B$4,U263*KPI_Weights!$B$5,V263*KPI_Weights!$B$6,W263*KPI_Weights!$B$7,X263*KPI_Weights!$B$8,Y263*KPI_Weights!$B$9,Z263*KPI_Weights!$B$10,AA263*KPI_Weights!$B$11,AB263*KPI_Weights!$B$12,AC263*KPI_Weights!$B$13,AD263*KPI_Weights!$B$14,AE263*KPI_Weights!$B$15,AF263*KPI_Weights!$B$16,AG263*KPI_Weights!$B$17,AH263*KPI_Weights!$B$18))/5)</f>
        <v/>
      </c>
      <c r="AL263" s="8" t="str">
        <f t="shared" si="42"/>
        <v/>
      </c>
      <c r="AM263" s="8" t="str">
        <f t="shared" si="43"/>
        <v/>
      </c>
      <c r="AN263" s="8" t="str">
        <f t="shared" si="44"/>
        <v/>
      </c>
      <c r="AO263" s="12"/>
      <c r="AP263" s="12"/>
      <c r="AQ263" s="12"/>
      <c r="AR263" s="12"/>
      <c r="AS263" s="12"/>
      <c r="AT263" s="15"/>
      <c r="AU263" s="12"/>
      <c r="AV263" s="16"/>
      <c r="AW263" s="12"/>
      <c r="AX263" s="15"/>
      <c r="AY263" s="15"/>
      <c r="AZ263" s="15"/>
      <c r="BA263" s="15"/>
      <c r="BB263" s="15"/>
      <c r="BC263" s="15"/>
      <c r="BD263" s="15"/>
      <c r="BE263" s="15"/>
      <c r="BF263" s="15"/>
    </row>
    <row r="264" spans="1:58" ht="19.5" customHeight="1" x14ac:dyDescent="0.2">
      <c r="A264" s="8" t="str">
        <f>IF($B264="","",TEXT($B264,"yyyymmdd")&amp;"-"&amp;SUBSTITUTE($F264," ","")&amp;"-"&amp;TEXT(COUNTIF($F$4:F264,$F264),"00"))</f>
        <v/>
      </c>
      <c r="B264" s="9"/>
      <c r="C264" s="8" t="str">
        <f t="shared" si="38"/>
        <v/>
      </c>
      <c r="D264" s="8" t="str">
        <f t="shared" si="39"/>
        <v/>
      </c>
      <c r="E264" s="10"/>
      <c r="F264" s="10"/>
      <c r="G264" s="8" t="str">
        <f>IF(OR($E264="",$F264=""),"",IFERROR(IF($E264=INDEX(Cluster_Master!$A$4:$A$18,MATCH($F264,Cluster_Master!$B$4:$B$18,0)),"OK","CHECK"),"CHECK"))</f>
        <v/>
      </c>
      <c r="H264" s="11" t="str">
        <f>IFERROR(INDEX(Cluster_Master!$C$4:$C$18,MATCH($F264,Cluster_Master!$B$4:$B$18,0)),"")</f>
        <v/>
      </c>
      <c r="I264" s="8" t="str">
        <f>IFERROR(INDEX(Cluster_Master!$D$4:$D$18,MATCH($F264,Cluster_Master!$B$4:$B$18,0)),"")</f>
        <v/>
      </c>
      <c r="J264" s="8" t="str">
        <f>IFERROR(INDEX(Cluster_Master!$E$4:$E$18,MATCH($F264,Cluster_Master!$B$4:$B$18,0)),"")</f>
        <v/>
      </c>
      <c r="K264" s="8" t="str">
        <f>IFERROR(INDEX(Cluster_Master!$F$4:$F$18,MATCH($F264,Cluster_Master!$B$4:$B$18,0)),"")</f>
        <v/>
      </c>
      <c r="L264" s="8" t="str">
        <f>IFERROR(INDEX(Cluster_Master!$G$4:$G$18,MATCH($F264,Cluster_Master!$B$4:$B$18,0)),"")</f>
        <v/>
      </c>
      <c r="M264" s="8" t="str">
        <f>IFERROR(INDEX(Cluster_Master!$H$4:$H$18,MATCH($F264,Cluster_Master!$B$4:$B$18,0)),"")</f>
        <v/>
      </c>
      <c r="N264" s="12"/>
      <c r="O264" s="12"/>
      <c r="P264" s="12"/>
      <c r="Q264" s="12"/>
      <c r="R264" s="12"/>
      <c r="S264" s="12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8" t="str">
        <f t="shared" si="40"/>
        <v/>
      </c>
      <c r="AJ264" s="14" t="str">
        <f t="shared" si="41"/>
        <v/>
      </c>
      <c r="AK264" s="14" t="str">
        <f>IF(COUNTA(T264:AH264)=0,"",(SUM(T264*KPI_Weights!$B$4,U264*KPI_Weights!$B$5,V264*KPI_Weights!$B$6,W264*KPI_Weights!$B$7,X264*KPI_Weights!$B$8,Y264*KPI_Weights!$B$9,Z264*KPI_Weights!$B$10,AA264*KPI_Weights!$B$11,AB264*KPI_Weights!$B$12,AC264*KPI_Weights!$B$13,AD264*KPI_Weights!$B$14,AE264*KPI_Weights!$B$15,AF264*KPI_Weights!$B$16,AG264*KPI_Weights!$B$17,AH264*KPI_Weights!$B$18))/5)</f>
        <v/>
      </c>
      <c r="AL264" s="8" t="str">
        <f t="shared" si="42"/>
        <v/>
      </c>
      <c r="AM264" s="8" t="str">
        <f t="shared" si="43"/>
        <v/>
      </c>
      <c r="AN264" s="8" t="str">
        <f t="shared" si="44"/>
        <v/>
      </c>
      <c r="AO264" s="12"/>
      <c r="AP264" s="12"/>
      <c r="AQ264" s="12"/>
      <c r="AR264" s="12"/>
      <c r="AS264" s="12"/>
      <c r="AT264" s="15"/>
      <c r="AU264" s="12"/>
      <c r="AV264" s="16"/>
      <c r="AW264" s="12"/>
      <c r="AX264" s="15"/>
      <c r="AY264" s="15"/>
      <c r="AZ264" s="15"/>
      <c r="BA264" s="15"/>
      <c r="BB264" s="15"/>
      <c r="BC264" s="15"/>
      <c r="BD264" s="15"/>
      <c r="BE264" s="15"/>
      <c r="BF264" s="15"/>
    </row>
    <row r="265" spans="1:58" ht="19.5" customHeight="1" x14ac:dyDescent="0.2">
      <c r="A265" s="8" t="str">
        <f>IF($B265="","",TEXT($B265,"yyyymmdd")&amp;"-"&amp;SUBSTITUTE($F265," ","")&amp;"-"&amp;TEXT(COUNTIF($F$4:F265,$F265),"00"))</f>
        <v/>
      </c>
      <c r="B265" s="9"/>
      <c r="C265" s="8" t="str">
        <f t="shared" si="38"/>
        <v/>
      </c>
      <c r="D265" s="8" t="str">
        <f t="shared" si="39"/>
        <v/>
      </c>
      <c r="E265" s="10"/>
      <c r="F265" s="10"/>
      <c r="G265" s="8" t="str">
        <f>IF(OR($E265="",$F265=""),"",IFERROR(IF($E265=INDEX(Cluster_Master!$A$4:$A$18,MATCH($F265,Cluster_Master!$B$4:$B$18,0)),"OK","CHECK"),"CHECK"))</f>
        <v/>
      </c>
      <c r="H265" s="11" t="str">
        <f>IFERROR(INDEX(Cluster_Master!$C$4:$C$18,MATCH($F265,Cluster_Master!$B$4:$B$18,0)),"")</f>
        <v/>
      </c>
      <c r="I265" s="8" t="str">
        <f>IFERROR(INDEX(Cluster_Master!$D$4:$D$18,MATCH($F265,Cluster_Master!$B$4:$B$18,0)),"")</f>
        <v/>
      </c>
      <c r="J265" s="8" t="str">
        <f>IFERROR(INDEX(Cluster_Master!$E$4:$E$18,MATCH($F265,Cluster_Master!$B$4:$B$18,0)),"")</f>
        <v/>
      </c>
      <c r="K265" s="8" t="str">
        <f>IFERROR(INDEX(Cluster_Master!$F$4:$F$18,MATCH($F265,Cluster_Master!$B$4:$B$18,0)),"")</f>
        <v/>
      </c>
      <c r="L265" s="8" t="str">
        <f>IFERROR(INDEX(Cluster_Master!$G$4:$G$18,MATCH($F265,Cluster_Master!$B$4:$B$18,0)),"")</f>
        <v/>
      </c>
      <c r="M265" s="8" t="str">
        <f>IFERROR(INDEX(Cluster_Master!$H$4:$H$18,MATCH($F265,Cluster_Master!$B$4:$B$18,0)),"")</f>
        <v/>
      </c>
      <c r="N265" s="12"/>
      <c r="O265" s="12"/>
      <c r="P265" s="12"/>
      <c r="Q265" s="12"/>
      <c r="R265" s="12"/>
      <c r="S265" s="12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8" t="str">
        <f t="shared" si="40"/>
        <v/>
      </c>
      <c r="AJ265" s="14" t="str">
        <f t="shared" si="41"/>
        <v/>
      </c>
      <c r="AK265" s="14" t="str">
        <f>IF(COUNTA(T265:AH265)=0,"",(SUM(T265*KPI_Weights!$B$4,U265*KPI_Weights!$B$5,V265*KPI_Weights!$B$6,W265*KPI_Weights!$B$7,X265*KPI_Weights!$B$8,Y265*KPI_Weights!$B$9,Z265*KPI_Weights!$B$10,AA265*KPI_Weights!$B$11,AB265*KPI_Weights!$B$12,AC265*KPI_Weights!$B$13,AD265*KPI_Weights!$B$14,AE265*KPI_Weights!$B$15,AF265*KPI_Weights!$B$16,AG265*KPI_Weights!$B$17,AH265*KPI_Weights!$B$18))/5)</f>
        <v/>
      </c>
      <c r="AL265" s="8" t="str">
        <f t="shared" si="42"/>
        <v/>
      </c>
      <c r="AM265" s="8" t="str">
        <f t="shared" si="43"/>
        <v/>
      </c>
      <c r="AN265" s="8" t="str">
        <f t="shared" si="44"/>
        <v/>
      </c>
      <c r="AO265" s="12"/>
      <c r="AP265" s="12"/>
      <c r="AQ265" s="12"/>
      <c r="AR265" s="12"/>
      <c r="AS265" s="12"/>
      <c r="AT265" s="15"/>
      <c r="AU265" s="12"/>
      <c r="AV265" s="16"/>
      <c r="AW265" s="12"/>
      <c r="AX265" s="15"/>
      <c r="AY265" s="15"/>
      <c r="AZ265" s="15"/>
      <c r="BA265" s="15"/>
      <c r="BB265" s="15"/>
      <c r="BC265" s="15"/>
      <c r="BD265" s="15"/>
      <c r="BE265" s="15"/>
      <c r="BF265" s="15"/>
    </row>
    <row r="266" spans="1:58" ht="19.5" customHeight="1" x14ac:dyDescent="0.2">
      <c r="A266" s="8" t="str">
        <f>IF($B266="","",TEXT($B266,"yyyymmdd")&amp;"-"&amp;SUBSTITUTE($F266," ","")&amp;"-"&amp;TEXT(COUNTIF($F$4:F266,$F266),"00"))</f>
        <v/>
      </c>
      <c r="B266" s="9"/>
      <c r="C266" s="8" t="str">
        <f t="shared" si="38"/>
        <v/>
      </c>
      <c r="D266" s="8" t="str">
        <f t="shared" si="39"/>
        <v/>
      </c>
      <c r="E266" s="10"/>
      <c r="F266" s="10"/>
      <c r="G266" s="8" t="str">
        <f>IF(OR($E266="",$F266=""),"",IFERROR(IF($E266=INDEX(Cluster_Master!$A$4:$A$18,MATCH($F266,Cluster_Master!$B$4:$B$18,0)),"OK","CHECK"),"CHECK"))</f>
        <v/>
      </c>
      <c r="H266" s="11" t="str">
        <f>IFERROR(INDEX(Cluster_Master!$C$4:$C$18,MATCH($F266,Cluster_Master!$B$4:$B$18,0)),"")</f>
        <v/>
      </c>
      <c r="I266" s="8" t="str">
        <f>IFERROR(INDEX(Cluster_Master!$D$4:$D$18,MATCH($F266,Cluster_Master!$B$4:$B$18,0)),"")</f>
        <v/>
      </c>
      <c r="J266" s="8" t="str">
        <f>IFERROR(INDEX(Cluster_Master!$E$4:$E$18,MATCH($F266,Cluster_Master!$B$4:$B$18,0)),"")</f>
        <v/>
      </c>
      <c r="K266" s="8" t="str">
        <f>IFERROR(INDEX(Cluster_Master!$F$4:$F$18,MATCH($F266,Cluster_Master!$B$4:$B$18,0)),"")</f>
        <v/>
      </c>
      <c r="L266" s="8" t="str">
        <f>IFERROR(INDEX(Cluster_Master!$G$4:$G$18,MATCH($F266,Cluster_Master!$B$4:$B$18,0)),"")</f>
        <v/>
      </c>
      <c r="M266" s="8" t="str">
        <f>IFERROR(INDEX(Cluster_Master!$H$4:$H$18,MATCH($F266,Cluster_Master!$B$4:$B$18,0)),"")</f>
        <v/>
      </c>
      <c r="N266" s="12"/>
      <c r="O266" s="12"/>
      <c r="P266" s="12"/>
      <c r="Q266" s="12"/>
      <c r="R266" s="12"/>
      <c r="S266" s="12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8" t="str">
        <f t="shared" si="40"/>
        <v/>
      </c>
      <c r="AJ266" s="14" t="str">
        <f t="shared" si="41"/>
        <v/>
      </c>
      <c r="AK266" s="14" t="str">
        <f>IF(COUNTA(T266:AH266)=0,"",(SUM(T266*KPI_Weights!$B$4,U266*KPI_Weights!$B$5,V266*KPI_Weights!$B$6,W266*KPI_Weights!$B$7,X266*KPI_Weights!$B$8,Y266*KPI_Weights!$B$9,Z266*KPI_Weights!$B$10,AA266*KPI_Weights!$B$11,AB266*KPI_Weights!$B$12,AC266*KPI_Weights!$B$13,AD266*KPI_Weights!$B$14,AE266*KPI_Weights!$B$15,AF266*KPI_Weights!$B$16,AG266*KPI_Weights!$B$17,AH266*KPI_Weights!$B$18))/5)</f>
        <v/>
      </c>
      <c r="AL266" s="8" t="str">
        <f t="shared" si="42"/>
        <v/>
      </c>
      <c r="AM266" s="8" t="str">
        <f t="shared" si="43"/>
        <v/>
      </c>
      <c r="AN266" s="8" t="str">
        <f t="shared" si="44"/>
        <v/>
      </c>
      <c r="AO266" s="12"/>
      <c r="AP266" s="12"/>
      <c r="AQ266" s="12"/>
      <c r="AR266" s="12"/>
      <c r="AS266" s="12"/>
      <c r="AT266" s="15"/>
      <c r="AU266" s="12"/>
      <c r="AV266" s="16"/>
      <c r="AW266" s="12"/>
      <c r="AX266" s="15"/>
      <c r="AY266" s="15"/>
      <c r="AZ266" s="15"/>
      <c r="BA266" s="15"/>
      <c r="BB266" s="15"/>
      <c r="BC266" s="15"/>
      <c r="BD266" s="15"/>
      <c r="BE266" s="15"/>
      <c r="BF266" s="15"/>
    </row>
    <row r="267" spans="1:58" ht="19.5" customHeight="1" x14ac:dyDescent="0.2">
      <c r="A267" s="8" t="str">
        <f>IF($B267="","",TEXT($B267,"yyyymmdd")&amp;"-"&amp;SUBSTITUTE($F267," ","")&amp;"-"&amp;TEXT(COUNTIF($F$4:F267,$F267),"00"))</f>
        <v/>
      </c>
      <c r="B267" s="9"/>
      <c r="C267" s="8" t="str">
        <f t="shared" si="38"/>
        <v/>
      </c>
      <c r="D267" s="8" t="str">
        <f t="shared" si="39"/>
        <v/>
      </c>
      <c r="E267" s="10"/>
      <c r="F267" s="10"/>
      <c r="G267" s="8" t="str">
        <f>IF(OR($E267="",$F267=""),"",IFERROR(IF($E267=INDEX(Cluster_Master!$A$4:$A$18,MATCH($F267,Cluster_Master!$B$4:$B$18,0)),"OK","CHECK"),"CHECK"))</f>
        <v/>
      </c>
      <c r="H267" s="11" t="str">
        <f>IFERROR(INDEX(Cluster_Master!$C$4:$C$18,MATCH($F267,Cluster_Master!$B$4:$B$18,0)),"")</f>
        <v/>
      </c>
      <c r="I267" s="8" t="str">
        <f>IFERROR(INDEX(Cluster_Master!$D$4:$D$18,MATCH($F267,Cluster_Master!$B$4:$B$18,0)),"")</f>
        <v/>
      </c>
      <c r="J267" s="8" t="str">
        <f>IFERROR(INDEX(Cluster_Master!$E$4:$E$18,MATCH($F267,Cluster_Master!$B$4:$B$18,0)),"")</f>
        <v/>
      </c>
      <c r="K267" s="8" t="str">
        <f>IFERROR(INDEX(Cluster_Master!$F$4:$F$18,MATCH($F267,Cluster_Master!$B$4:$B$18,0)),"")</f>
        <v/>
      </c>
      <c r="L267" s="8" t="str">
        <f>IFERROR(INDEX(Cluster_Master!$G$4:$G$18,MATCH($F267,Cluster_Master!$B$4:$B$18,0)),"")</f>
        <v/>
      </c>
      <c r="M267" s="8" t="str">
        <f>IFERROR(INDEX(Cluster_Master!$H$4:$H$18,MATCH($F267,Cluster_Master!$B$4:$B$18,0)),"")</f>
        <v/>
      </c>
      <c r="N267" s="12"/>
      <c r="O267" s="12"/>
      <c r="P267" s="12"/>
      <c r="Q267" s="12"/>
      <c r="R267" s="12"/>
      <c r="S267" s="12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8" t="str">
        <f t="shared" si="40"/>
        <v/>
      </c>
      <c r="AJ267" s="14" t="str">
        <f t="shared" si="41"/>
        <v/>
      </c>
      <c r="AK267" s="14" t="str">
        <f>IF(COUNTA(T267:AH267)=0,"",(SUM(T267*KPI_Weights!$B$4,U267*KPI_Weights!$B$5,V267*KPI_Weights!$B$6,W267*KPI_Weights!$B$7,X267*KPI_Weights!$B$8,Y267*KPI_Weights!$B$9,Z267*KPI_Weights!$B$10,AA267*KPI_Weights!$B$11,AB267*KPI_Weights!$B$12,AC267*KPI_Weights!$B$13,AD267*KPI_Weights!$B$14,AE267*KPI_Weights!$B$15,AF267*KPI_Weights!$B$16,AG267*KPI_Weights!$B$17,AH267*KPI_Weights!$B$18))/5)</f>
        <v/>
      </c>
      <c r="AL267" s="8" t="str">
        <f t="shared" si="42"/>
        <v/>
      </c>
      <c r="AM267" s="8" t="str">
        <f t="shared" si="43"/>
        <v/>
      </c>
      <c r="AN267" s="8" t="str">
        <f t="shared" si="44"/>
        <v/>
      </c>
      <c r="AO267" s="12"/>
      <c r="AP267" s="12"/>
      <c r="AQ267" s="12"/>
      <c r="AR267" s="12"/>
      <c r="AS267" s="12"/>
      <c r="AT267" s="15"/>
      <c r="AU267" s="12"/>
      <c r="AV267" s="16"/>
      <c r="AW267" s="12"/>
      <c r="AX267" s="15"/>
      <c r="AY267" s="15"/>
      <c r="AZ267" s="15"/>
      <c r="BA267" s="15"/>
      <c r="BB267" s="15"/>
      <c r="BC267" s="15"/>
      <c r="BD267" s="15"/>
      <c r="BE267" s="15"/>
      <c r="BF267" s="15"/>
    </row>
    <row r="268" spans="1:58" ht="19.5" customHeight="1" x14ac:dyDescent="0.2">
      <c r="A268" s="8" t="str">
        <f>IF($B268="","",TEXT($B268,"yyyymmdd")&amp;"-"&amp;SUBSTITUTE($F268," ","")&amp;"-"&amp;TEXT(COUNTIF($F$4:F268,$F268),"00"))</f>
        <v/>
      </c>
      <c r="B268" s="9"/>
      <c r="C268" s="8" t="str">
        <f t="shared" si="38"/>
        <v/>
      </c>
      <c r="D268" s="8" t="str">
        <f t="shared" si="39"/>
        <v/>
      </c>
      <c r="E268" s="10"/>
      <c r="F268" s="10"/>
      <c r="G268" s="8" t="str">
        <f>IF(OR($E268="",$F268=""),"",IFERROR(IF($E268=INDEX(Cluster_Master!$A$4:$A$18,MATCH($F268,Cluster_Master!$B$4:$B$18,0)),"OK","CHECK"),"CHECK"))</f>
        <v/>
      </c>
      <c r="H268" s="11" t="str">
        <f>IFERROR(INDEX(Cluster_Master!$C$4:$C$18,MATCH($F268,Cluster_Master!$B$4:$B$18,0)),"")</f>
        <v/>
      </c>
      <c r="I268" s="8" t="str">
        <f>IFERROR(INDEX(Cluster_Master!$D$4:$D$18,MATCH($F268,Cluster_Master!$B$4:$B$18,0)),"")</f>
        <v/>
      </c>
      <c r="J268" s="8" t="str">
        <f>IFERROR(INDEX(Cluster_Master!$E$4:$E$18,MATCH($F268,Cluster_Master!$B$4:$B$18,0)),"")</f>
        <v/>
      </c>
      <c r="K268" s="8" t="str">
        <f>IFERROR(INDEX(Cluster_Master!$F$4:$F$18,MATCH($F268,Cluster_Master!$B$4:$B$18,0)),"")</f>
        <v/>
      </c>
      <c r="L268" s="8" t="str">
        <f>IFERROR(INDEX(Cluster_Master!$G$4:$G$18,MATCH($F268,Cluster_Master!$B$4:$B$18,0)),"")</f>
        <v/>
      </c>
      <c r="M268" s="8" t="str">
        <f>IFERROR(INDEX(Cluster_Master!$H$4:$H$18,MATCH($F268,Cluster_Master!$B$4:$B$18,0)),"")</f>
        <v/>
      </c>
      <c r="N268" s="12"/>
      <c r="O268" s="12"/>
      <c r="P268" s="12"/>
      <c r="Q268" s="12"/>
      <c r="R268" s="12"/>
      <c r="S268" s="12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8" t="str">
        <f t="shared" si="40"/>
        <v/>
      </c>
      <c r="AJ268" s="14" t="str">
        <f t="shared" si="41"/>
        <v/>
      </c>
      <c r="AK268" s="14" t="str">
        <f>IF(COUNTA(T268:AH268)=0,"",(SUM(T268*KPI_Weights!$B$4,U268*KPI_Weights!$B$5,V268*KPI_Weights!$B$6,W268*KPI_Weights!$B$7,X268*KPI_Weights!$B$8,Y268*KPI_Weights!$B$9,Z268*KPI_Weights!$B$10,AA268*KPI_Weights!$B$11,AB268*KPI_Weights!$B$12,AC268*KPI_Weights!$B$13,AD268*KPI_Weights!$B$14,AE268*KPI_Weights!$B$15,AF268*KPI_Weights!$B$16,AG268*KPI_Weights!$B$17,AH268*KPI_Weights!$B$18))/5)</f>
        <v/>
      </c>
      <c r="AL268" s="8" t="str">
        <f t="shared" si="42"/>
        <v/>
      </c>
      <c r="AM268" s="8" t="str">
        <f t="shared" si="43"/>
        <v/>
      </c>
      <c r="AN268" s="8" t="str">
        <f t="shared" si="44"/>
        <v/>
      </c>
      <c r="AO268" s="12"/>
      <c r="AP268" s="12"/>
      <c r="AQ268" s="12"/>
      <c r="AR268" s="12"/>
      <c r="AS268" s="12"/>
      <c r="AT268" s="15"/>
      <c r="AU268" s="12"/>
      <c r="AV268" s="16"/>
      <c r="AW268" s="12"/>
      <c r="AX268" s="15"/>
      <c r="AY268" s="15"/>
      <c r="AZ268" s="15"/>
      <c r="BA268" s="15"/>
      <c r="BB268" s="15"/>
      <c r="BC268" s="15"/>
      <c r="BD268" s="15"/>
      <c r="BE268" s="15"/>
      <c r="BF268" s="15"/>
    </row>
    <row r="269" spans="1:58" ht="19.5" customHeight="1" x14ac:dyDescent="0.2">
      <c r="A269" s="8" t="str">
        <f>IF($B269="","",TEXT($B269,"yyyymmdd")&amp;"-"&amp;SUBSTITUTE($F269," ","")&amp;"-"&amp;TEXT(COUNTIF($F$4:F269,$F269),"00"))</f>
        <v/>
      </c>
      <c r="B269" s="9"/>
      <c r="C269" s="8" t="str">
        <f t="shared" si="38"/>
        <v/>
      </c>
      <c r="D269" s="8" t="str">
        <f t="shared" si="39"/>
        <v/>
      </c>
      <c r="E269" s="10"/>
      <c r="F269" s="10"/>
      <c r="G269" s="8" t="str">
        <f>IF(OR($E269="",$F269=""),"",IFERROR(IF($E269=INDEX(Cluster_Master!$A$4:$A$18,MATCH($F269,Cluster_Master!$B$4:$B$18,0)),"OK","CHECK"),"CHECK"))</f>
        <v/>
      </c>
      <c r="H269" s="11" t="str">
        <f>IFERROR(INDEX(Cluster_Master!$C$4:$C$18,MATCH($F269,Cluster_Master!$B$4:$B$18,0)),"")</f>
        <v/>
      </c>
      <c r="I269" s="8" t="str">
        <f>IFERROR(INDEX(Cluster_Master!$D$4:$D$18,MATCH($F269,Cluster_Master!$B$4:$B$18,0)),"")</f>
        <v/>
      </c>
      <c r="J269" s="8" t="str">
        <f>IFERROR(INDEX(Cluster_Master!$E$4:$E$18,MATCH($F269,Cluster_Master!$B$4:$B$18,0)),"")</f>
        <v/>
      </c>
      <c r="K269" s="8" t="str">
        <f>IFERROR(INDEX(Cluster_Master!$F$4:$F$18,MATCH($F269,Cluster_Master!$B$4:$B$18,0)),"")</f>
        <v/>
      </c>
      <c r="L269" s="8" t="str">
        <f>IFERROR(INDEX(Cluster_Master!$G$4:$G$18,MATCH($F269,Cluster_Master!$B$4:$B$18,0)),"")</f>
        <v/>
      </c>
      <c r="M269" s="8" t="str">
        <f>IFERROR(INDEX(Cluster_Master!$H$4:$H$18,MATCH($F269,Cluster_Master!$B$4:$B$18,0)),"")</f>
        <v/>
      </c>
      <c r="N269" s="12"/>
      <c r="O269" s="12"/>
      <c r="P269" s="12"/>
      <c r="Q269" s="12"/>
      <c r="R269" s="12"/>
      <c r="S269" s="12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8" t="str">
        <f t="shared" si="40"/>
        <v/>
      </c>
      <c r="AJ269" s="14" t="str">
        <f t="shared" si="41"/>
        <v/>
      </c>
      <c r="AK269" s="14" t="str">
        <f>IF(COUNTA(T269:AH269)=0,"",(SUM(T269*KPI_Weights!$B$4,U269*KPI_Weights!$B$5,V269*KPI_Weights!$B$6,W269*KPI_Weights!$B$7,X269*KPI_Weights!$B$8,Y269*KPI_Weights!$B$9,Z269*KPI_Weights!$B$10,AA269*KPI_Weights!$B$11,AB269*KPI_Weights!$B$12,AC269*KPI_Weights!$B$13,AD269*KPI_Weights!$B$14,AE269*KPI_Weights!$B$15,AF269*KPI_Weights!$B$16,AG269*KPI_Weights!$B$17,AH269*KPI_Weights!$B$18))/5)</f>
        <v/>
      </c>
      <c r="AL269" s="8" t="str">
        <f t="shared" si="42"/>
        <v/>
      </c>
      <c r="AM269" s="8" t="str">
        <f t="shared" si="43"/>
        <v/>
      </c>
      <c r="AN269" s="8" t="str">
        <f t="shared" si="44"/>
        <v/>
      </c>
      <c r="AO269" s="12"/>
      <c r="AP269" s="12"/>
      <c r="AQ269" s="12"/>
      <c r="AR269" s="12"/>
      <c r="AS269" s="12"/>
      <c r="AT269" s="15"/>
      <c r="AU269" s="12"/>
      <c r="AV269" s="16"/>
      <c r="AW269" s="12"/>
      <c r="AX269" s="15"/>
      <c r="AY269" s="15"/>
      <c r="AZ269" s="15"/>
      <c r="BA269" s="15"/>
      <c r="BB269" s="15"/>
      <c r="BC269" s="15"/>
      <c r="BD269" s="15"/>
      <c r="BE269" s="15"/>
      <c r="BF269" s="15"/>
    </row>
    <row r="270" spans="1:58" ht="19.5" customHeight="1" x14ac:dyDescent="0.2">
      <c r="A270" s="8" t="str">
        <f>IF($B270="","",TEXT($B270,"yyyymmdd")&amp;"-"&amp;SUBSTITUTE($F270," ","")&amp;"-"&amp;TEXT(COUNTIF($F$4:F270,$F270),"00"))</f>
        <v/>
      </c>
      <c r="B270" s="9"/>
      <c r="C270" s="8" t="str">
        <f t="shared" si="38"/>
        <v/>
      </c>
      <c r="D270" s="8" t="str">
        <f t="shared" si="39"/>
        <v/>
      </c>
      <c r="E270" s="10"/>
      <c r="F270" s="10"/>
      <c r="G270" s="8" t="str">
        <f>IF(OR($E270="",$F270=""),"",IFERROR(IF($E270=INDEX(Cluster_Master!$A$4:$A$18,MATCH($F270,Cluster_Master!$B$4:$B$18,0)),"OK","CHECK"),"CHECK"))</f>
        <v/>
      </c>
      <c r="H270" s="11" t="str">
        <f>IFERROR(INDEX(Cluster_Master!$C$4:$C$18,MATCH($F270,Cluster_Master!$B$4:$B$18,0)),"")</f>
        <v/>
      </c>
      <c r="I270" s="8" t="str">
        <f>IFERROR(INDEX(Cluster_Master!$D$4:$D$18,MATCH($F270,Cluster_Master!$B$4:$B$18,0)),"")</f>
        <v/>
      </c>
      <c r="J270" s="8" t="str">
        <f>IFERROR(INDEX(Cluster_Master!$E$4:$E$18,MATCH($F270,Cluster_Master!$B$4:$B$18,0)),"")</f>
        <v/>
      </c>
      <c r="K270" s="8" t="str">
        <f>IFERROR(INDEX(Cluster_Master!$F$4:$F$18,MATCH($F270,Cluster_Master!$B$4:$B$18,0)),"")</f>
        <v/>
      </c>
      <c r="L270" s="8" t="str">
        <f>IFERROR(INDEX(Cluster_Master!$G$4:$G$18,MATCH($F270,Cluster_Master!$B$4:$B$18,0)),"")</f>
        <v/>
      </c>
      <c r="M270" s="8" t="str">
        <f>IFERROR(INDEX(Cluster_Master!$H$4:$H$18,MATCH($F270,Cluster_Master!$B$4:$B$18,0)),"")</f>
        <v/>
      </c>
      <c r="N270" s="12"/>
      <c r="O270" s="12"/>
      <c r="P270" s="12"/>
      <c r="Q270" s="12"/>
      <c r="R270" s="12"/>
      <c r="S270" s="12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8" t="str">
        <f t="shared" si="40"/>
        <v/>
      </c>
      <c r="AJ270" s="14" t="str">
        <f t="shared" si="41"/>
        <v/>
      </c>
      <c r="AK270" s="14" t="str">
        <f>IF(COUNTA(T270:AH270)=0,"",(SUM(T270*KPI_Weights!$B$4,U270*KPI_Weights!$B$5,V270*KPI_Weights!$B$6,W270*KPI_Weights!$B$7,X270*KPI_Weights!$B$8,Y270*KPI_Weights!$B$9,Z270*KPI_Weights!$B$10,AA270*KPI_Weights!$B$11,AB270*KPI_Weights!$B$12,AC270*KPI_Weights!$B$13,AD270*KPI_Weights!$B$14,AE270*KPI_Weights!$B$15,AF270*KPI_Weights!$B$16,AG270*KPI_Weights!$B$17,AH270*KPI_Weights!$B$18))/5)</f>
        <v/>
      </c>
      <c r="AL270" s="8" t="str">
        <f t="shared" si="42"/>
        <v/>
      </c>
      <c r="AM270" s="8" t="str">
        <f t="shared" si="43"/>
        <v/>
      </c>
      <c r="AN270" s="8" t="str">
        <f t="shared" si="44"/>
        <v/>
      </c>
      <c r="AO270" s="12"/>
      <c r="AP270" s="12"/>
      <c r="AQ270" s="12"/>
      <c r="AR270" s="12"/>
      <c r="AS270" s="12"/>
      <c r="AT270" s="15"/>
      <c r="AU270" s="12"/>
      <c r="AV270" s="16"/>
      <c r="AW270" s="12"/>
      <c r="AX270" s="15"/>
      <c r="AY270" s="15"/>
      <c r="AZ270" s="15"/>
      <c r="BA270" s="15"/>
      <c r="BB270" s="15"/>
      <c r="BC270" s="15"/>
      <c r="BD270" s="15"/>
      <c r="BE270" s="15"/>
      <c r="BF270" s="15"/>
    </row>
    <row r="271" spans="1:58" ht="19.5" customHeight="1" x14ac:dyDescent="0.2">
      <c r="A271" s="8" t="str">
        <f>IF($B271="","",TEXT($B271,"yyyymmdd")&amp;"-"&amp;SUBSTITUTE($F271," ","")&amp;"-"&amp;TEXT(COUNTIF($F$4:F271,$F271),"00"))</f>
        <v/>
      </c>
      <c r="B271" s="9"/>
      <c r="C271" s="8" t="str">
        <f t="shared" si="38"/>
        <v/>
      </c>
      <c r="D271" s="8" t="str">
        <f t="shared" si="39"/>
        <v/>
      </c>
      <c r="E271" s="10"/>
      <c r="F271" s="10"/>
      <c r="G271" s="8" t="str">
        <f>IF(OR($E271="",$F271=""),"",IFERROR(IF($E271=INDEX(Cluster_Master!$A$4:$A$18,MATCH($F271,Cluster_Master!$B$4:$B$18,0)),"OK","CHECK"),"CHECK"))</f>
        <v/>
      </c>
      <c r="H271" s="11" t="str">
        <f>IFERROR(INDEX(Cluster_Master!$C$4:$C$18,MATCH($F271,Cluster_Master!$B$4:$B$18,0)),"")</f>
        <v/>
      </c>
      <c r="I271" s="8" t="str">
        <f>IFERROR(INDEX(Cluster_Master!$D$4:$D$18,MATCH($F271,Cluster_Master!$B$4:$B$18,0)),"")</f>
        <v/>
      </c>
      <c r="J271" s="8" t="str">
        <f>IFERROR(INDEX(Cluster_Master!$E$4:$E$18,MATCH($F271,Cluster_Master!$B$4:$B$18,0)),"")</f>
        <v/>
      </c>
      <c r="K271" s="8" t="str">
        <f>IFERROR(INDEX(Cluster_Master!$F$4:$F$18,MATCH($F271,Cluster_Master!$B$4:$B$18,0)),"")</f>
        <v/>
      </c>
      <c r="L271" s="8" t="str">
        <f>IFERROR(INDEX(Cluster_Master!$G$4:$G$18,MATCH($F271,Cluster_Master!$B$4:$B$18,0)),"")</f>
        <v/>
      </c>
      <c r="M271" s="8" t="str">
        <f>IFERROR(INDEX(Cluster_Master!$H$4:$H$18,MATCH($F271,Cluster_Master!$B$4:$B$18,0)),"")</f>
        <v/>
      </c>
      <c r="N271" s="12"/>
      <c r="O271" s="12"/>
      <c r="P271" s="12"/>
      <c r="Q271" s="12"/>
      <c r="R271" s="12"/>
      <c r="S271" s="12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8" t="str">
        <f t="shared" si="40"/>
        <v/>
      </c>
      <c r="AJ271" s="14" t="str">
        <f t="shared" si="41"/>
        <v/>
      </c>
      <c r="AK271" s="14" t="str">
        <f>IF(COUNTA(T271:AH271)=0,"",(SUM(T271*KPI_Weights!$B$4,U271*KPI_Weights!$B$5,V271*KPI_Weights!$B$6,W271*KPI_Weights!$B$7,X271*KPI_Weights!$B$8,Y271*KPI_Weights!$B$9,Z271*KPI_Weights!$B$10,AA271*KPI_Weights!$B$11,AB271*KPI_Weights!$B$12,AC271*KPI_Weights!$B$13,AD271*KPI_Weights!$B$14,AE271*KPI_Weights!$B$15,AF271*KPI_Weights!$B$16,AG271*KPI_Weights!$B$17,AH271*KPI_Weights!$B$18))/5)</f>
        <v/>
      </c>
      <c r="AL271" s="8" t="str">
        <f t="shared" si="42"/>
        <v/>
      </c>
      <c r="AM271" s="8" t="str">
        <f t="shared" si="43"/>
        <v/>
      </c>
      <c r="AN271" s="8" t="str">
        <f t="shared" si="44"/>
        <v/>
      </c>
      <c r="AO271" s="12"/>
      <c r="AP271" s="12"/>
      <c r="AQ271" s="12"/>
      <c r="AR271" s="12"/>
      <c r="AS271" s="12"/>
      <c r="AT271" s="15"/>
      <c r="AU271" s="12"/>
      <c r="AV271" s="16"/>
      <c r="AW271" s="12"/>
      <c r="AX271" s="15"/>
      <c r="AY271" s="15"/>
      <c r="AZ271" s="15"/>
      <c r="BA271" s="15"/>
      <c r="BB271" s="15"/>
      <c r="BC271" s="15"/>
      <c r="BD271" s="15"/>
      <c r="BE271" s="15"/>
      <c r="BF271" s="15"/>
    </row>
    <row r="272" spans="1:58" ht="19.5" customHeight="1" x14ac:dyDescent="0.2">
      <c r="A272" s="8" t="str">
        <f>IF($B272="","",TEXT($B272,"yyyymmdd")&amp;"-"&amp;SUBSTITUTE($F272," ","")&amp;"-"&amp;TEXT(COUNTIF($F$4:F272,$F272),"00"))</f>
        <v/>
      </c>
      <c r="B272" s="9"/>
      <c r="C272" s="8" t="str">
        <f t="shared" si="38"/>
        <v/>
      </c>
      <c r="D272" s="8" t="str">
        <f t="shared" si="39"/>
        <v/>
      </c>
      <c r="E272" s="10"/>
      <c r="F272" s="10"/>
      <c r="G272" s="8" t="str">
        <f>IF(OR($E272="",$F272=""),"",IFERROR(IF($E272=INDEX(Cluster_Master!$A$4:$A$18,MATCH($F272,Cluster_Master!$B$4:$B$18,0)),"OK","CHECK"),"CHECK"))</f>
        <v/>
      </c>
      <c r="H272" s="11" t="str">
        <f>IFERROR(INDEX(Cluster_Master!$C$4:$C$18,MATCH($F272,Cluster_Master!$B$4:$B$18,0)),"")</f>
        <v/>
      </c>
      <c r="I272" s="8" t="str">
        <f>IFERROR(INDEX(Cluster_Master!$D$4:$D$18,MATCH($F272,Cluster_Master!$B$4:$B$18,0)),"")</f>
        <v/>
      </c>
      <c r="J272" s="8" t="str">
        <f>IFERROR(INDEX(Cluster_Master!$E$4:$E$18,MATCH($F272,Cluster_Master!$B$4:$B$18,0)),"")</f>
        <v/>
      </c>
      <c r="K272" s="8" t="str">
        <f>IFERROR(INDEX(Cluster_Master!$F$4:$F$18,MATCH($F272,Cluster_Master!$B$4:$B$18,0)),"")</f>
        <v/>
      </c>
      <c r="L272" s="8" t="str">
        <f>IFERROR(INDEX(Cluster_Master!$G$4:$G$18,MATCH($F272,Cluster_Master!$B$4:$B$18,0)),"")</f>
        <v/>
      </c>
      <c r="M272" s="8" t="str">
        <f>IFERROR(INDEX(Cluster_Master!$H$4:$H$18,MATCH($F272,Cluster_Master!$B$4:$B$18,0)),"")</f>
        <v/>
      </c>
      <c r="N272" s="12"/>
      <c r="O272" s="12"/>
      <c r="P272" s="12"/>
      <c r="Q272" s="12"/>
      <c r="R272" s="12"/>
      <c r="S272" s="12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8" t="str">
        <f t="shared" si="40"/>
        <v/>
      </c>
      <c r="AJ272" s="14" t="str">
        <f t="shared" si="41"/>
        <v/>
      </c>
      <c r="AK272" s="14" t="str">
        <f>IF(COUNTA(T272:AH272)=0,"",(SUM(T272*KPI_Weights!$B$4,U272*KPI_Weights!$B$5,V272*KPI_Weights!$B$6,W272*KPI_Weights!$B$7,X272*KPI_Weights!$B$8,Y272*KPI_Weights!$B$9,Z272*KPI_Weights!$B$10,AA272*KPI_Weights!$B$11,AB272*KPI_Weights!$B$12,AC272*KPI_Weights!$B$13,AD272*KPI_Weights!$B$14,AE272*KPI_Weights!$B$15,AF272*KPI_Weights!$B$16,AG272*KPI_Weights!$B$17,AH272*KPI_Weights!$B$18))/5)</f>
        <v/>
      </c>
      <c r="AL272" s="8" t="str">
        <f t="shared" si="42"/>
        <v/>
      </c>
      <c r="AM272" s="8" t="str">
        <f t="shared" si="43"/>
        <v/>
      </c>
      <c r="AN272" s="8" t="str">
        <f t="shared" si="44"/>
        <v/>
      </c>
      <c r="AO272" s="12"/>
      <c r="AP272" s="12"/>
      <c r="AQ272" s="12"/>
      <c r="AR272" s="12"/>
      <c r="AS272" s="12"/>
      <c r="AT272" s="15"/>
      <c r="AU272" s="12"/>
      <c r="AV272" s="16"/>
      <c r="AW272" s="12"/>
      <c r="AX272" s="15"/>
      <c r="AY272" s="15"/>
      <c r="AZ272" s="15"/>
      <c r="BA272" s="15"/>
      <c r="BB272" s="15"/>
      <c r="BC272" s="15"/>
      <c r="BD272" s="15"/>
      <c r="BE272" s="15"/>
      <c r="BF272" s="15"/>
    </row>
    <row r="273" spans="1:58" ht="19.5" customHeight="1" x14ac:dyDescent="0.2">
      <c r="A273" s="8" t="str">
        <f>IF($B273="","",TEXT($B273,"yyyymmdd")&amp;"-"&amp;SUBSTITUTE($F273," ","")&amp;"-"&amp;TEXT(COUNTIF($F$4:F273,$F273),"00"))</f>
        <v/>
      </c>
      <c r="B273" s="9"/>
      <c r="C273" s="8" t="str">
        <f t="shared" si="38"/>
        <v/>
      </c>
      <c r="D273" s="8" t="str">
        <f t="shared" si="39"/>
        <v/>
      </c>
      <c r="E273" s="10"/>
      <c r="F273" s="10"/>
      <c r="G273" s="8" t="str">
        <f>IF(OR($E273="",$F273=""),"",IFERROR(IF($E273=INDEX(Cluster_Master!$A$4:$A$18,MATCH($F273,Cluster_Master!$B$4:$B$18,0)),"OK","CHECK"),"CHECK"))</f>
        <v/>
      </c>
      <c r="H273" s="11" t="str">
        <f>IFERROR(INDEX(Cluster_Master!$C$4:$C$18,MATCH($F273,Cluster_Master!$B$4:$B$18,0)),"")</f>
        <v/>
      </c>
      <c r="I273" s="8" t="str">
        <f>IFERROR(INDEX(Cluster_Master!$D$4:$D$18,MATCH($F273,Cluster_Master!$B$4:$B$18,0)),"")</f>
        <v/>
      </c>
      <c r="J273" s="8" t="str">
        <f>IFERROR(INDEX(Cluster_Master!$E$4:$E$18,MATCH($F273,Cluster_Master!$B$4:$B$18,0)),"")</f>
        <v/>
      </c>
      <c r="K273" s="8" t="str">
        <f>IFERROR(INDEX(Cluster_Master!$F$4:$F$18,MATCH($F273,Cluster_Master!$B$4:$B$18,0)),"")</f>
        <v/>
      </c>
      <c r="L273" s="8" t="str">
        <f>IFERROR(INDEX(Cluster_Master!$G$4:$G$18,MATCH($F273,Cluster_Master!$B$4:$B$18,0)),"")</f>
        <v/>
      </c>
      <c r="M273" s="8" t="str">
        <f>IFERROR(INDEX(Cluster_Master!$H$4:$H$18,MATCH($F273,Cluster_Master!$B$4:$B$18,0)),"")</f>
        <v/>
      </c>
      <c r="N273" s="12"/>
      <c r="O273" s="12"/>
      <c r="P273" s="12"/>
      <c r="Q273" s="12"/>
      <c r="R273" s="12"/>
      <c r="S273" s="12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8" t="str">
        <f t="shared" si="40"/>
        <v/>
      </c>
      <c r="AJ273" s="14" t="str">
        <f t="shared" si="41"/>
        <v/>
      </c>
      <c r="AK273" s="14" t="str">
        <f>IF(COUNTA(T273:AH273)=0,"",(SUM(T273*KPI_Weights!$B$4,U273*KPI_Weights!$B$5,V273*KPI_Weights!$B$6,W273*KPI_Weights!$B$7,X273*KPI_Weights!$B$8,Y273*KPI_Weights!$B$9,Z273*KPI_Weights!$B$10,AA273*KPI_Weights!$B$11,AB273*KPI_Weights!$B$12,AC273*KPI_Weights!$B$13,AD273*KPI_Weights!$B$14,AE273*KPI_Weights!$B$15,AF273*KPI_Weights!$B$16,AG273*KPI_Weights!$B$17,AH273*KPI_Weights!$B$18))/5)</f>
        <v/>
      </c>
      <c r="AL273" s="8" t="str">
        <f t="shared" si="42"/>
        <v/>
      </c>
      <c r="AM273" s="8" t="str">
        <f t="shared" si="43"/>
        <v/>
      </c>
      <c r="AN273" s="8" t="str">
        <f t="shared" si="44"/>
        <v/>
      </c>
      <c r="AO273" s="12"/>
      <c r="AP273" s="12"/>
      <c r="AQ273" s="12"/>
      <c r="AR273" s="12"/>
      <c r="AS273" s="12"/>
      <c r="AT273" s="15"/>
      <c r="AU273" s="12"/>
      <c r="AV273" s="16"/>
      <c r="AW273" s="12"/>
      <c r="AX273" s="15"/>
      <c r="AY273" s="15"/>
      <c r="AZ273" s="15"/>
      <c r="BA273" s="15"/>
      <c r="BB273" s="15"/>
      <c r="BC273" s="15"/>
      <c r="BD273" s="15"/>
      <c r="BE273" s="15"/>
      <c r="BF273" s="15"/>
    </row>
    <row r="274" spans="1:58" ht="19.5" customHeight="1" x14ac:dyDescent="0.2">
      <c r="A274" s="8" t="str">
        <f>IF($B274="","",TEXT($B274,"yyyymmdd")&amp;"-"&amp;SUBSTITUTE($F274," ","")&amp;"-"&amp;TEXT(COUNTIF($F$4:F274,$F274),"00"))</f>
        <v/>
      </c>
      <c r="B274" s="9"/>
      <c r="C274" s="8" t="str">
        <f t="shared" si="38"/>
        <v/>
      </c>
      <c r="D274" s="8" t="str">
        <f t="shared" si="39"/>
        <v/>
      </c>
      <c r="E274" s="10"/>
      <c r="F274" s="10"/>
      <c r="G274" s="8" t="str">
        <f>IF(OR($E274="",$F274=""),"",IFERROR(IF($E274=INDEX(Cluster_Master!$A$4:$A$18,MATCH($F274,Cluster_Master!$B$4:$B$18,0)),"OK","CHECK"),"CHECK"))</f>
        <v/>
      </c>
      <c r="H274" s="11" t="str">
        <f>IFERROR(INDEX(Cluster_Master!$C$4:$C$18,MATCH($F274,Cluster_Master!$B$4:$B$18,0)),"")</f>
        <v/>
      </c>
      <c r="I274" s="8" t="str">
        <f>IFERROR(INDEX(Cluster_Master!$D$4:$D$18,MATCH($F274,Cluster_Master!$B$4:$B$18,0)),"")</f>
        <v/>
      </c>
      <c r="J274" s="8" t="str">
        <f>IFERROR(INDEX(Cluster_Master!$E$4:$E$18,MATCH($F274,Cluster_Master!$B$4:$B$18,0)),"")</f>
        <v/>
      </c>
      <c r="K274" s="8" t="str">
        <f>IFERROR(INDEX(Cluster_Master!$F$4:$F$18,MATCH($F274,Cluster_Master!$B$4:$B$18,0)),"")</f>
        <v/>
      </c>
      <c r="L274" s="8" t="str">
        <f>IFERROR(INDEX(Cluster_Master!$G$4:$G$18,MATCH($F274,Cluster_Master!$B$4:$B$18,0)),"")</f>
        <v/>
      </c>
      <c r="M274" s="8" t="str">
        <f>IFERROR(INDEX(Cluster_Master!$H$4:$H$18,MATCH($F274,Cluster_Master!$B$4:$B$18,0)),"")</f>
        <v/>
      </c>
      <c r="N274" s="12"/>
      <c r="O274" s="12"/>
      <c r="P274" s="12"/>
      <c r="Q274" s="12"/>
      <c r="R274" s="12"/>
      <c r="S274" s="12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8" t="str">
        <f t="shared" si="40"/>
        <v/>
      </c>
      <c r="AJ274" s="14" t="str">
        <f t="shared" si="41"/>
        <v/>
      </c>
      <c r="AK274" s="14" t="str">
        <f>IF(COUNTA(T274:AH274)=0,"",(SUM(T274*KPI_Weights!$B$4,U274*KPI_Weights!$B$5,V274*KPI_Weights!$B$6,W274*KPI_Weights!$B$7,X274*KPI_Weights!$B$8,Y274*KPI_Weights!$B$9,Z274*KPI_Weights!$B$10,AA274*KPI_Weights!$B$11,AB274*KPI_Weights!$B$12,AC274*KPI_Weights!$B$13,AD274*KPI_Weights!$B$14,AE274*KPI_Weights!$B$15,AF274*KPI_Weights!$B$16,AG274*KPI_Weights!$B$17,AH274*KPI_Weights!$B$18))/5)</f>
        <v/>
      </c>
      <c r="AL274" s="8" t="str">
        <f t="shared" si="42"/>
        <v/>
      </c>
      <c r="AM274" s="8" t="str">
        <f t="shared" si="43"/>
        <v/>
      </c>
      <c r="AN274" s="8" t="str">
        <f t="shared" si="44"/>
        <v/>
      </c>
      <c r="AO274" s="12"/>
      <c r="AP274" s="12"/>
      <c r="AQ274" s="12"/>
      <c r="AR274" s="12"/>
      <c r="AS274" s="12"/>
      <c r="AT274" s="15"/>
      <c r="AU274" s="12"/>
      <c r="AV274" s="16"/>
      <c r="AW274" s="12"/>
      <c r="AX274" s="15"/>
      <c r="AY274" s="15"/>
      <c r="AZ274" s="15"/>
      <c r="BA274" s="15"/>
      <c r="BB274" s="15"/>
      <c r="BC274" s="15"/>
      <c r="BD274" s="15"/>
      <c r="BE274" s="15"/>
      <c r="BF274" s="15"/>
    </row>
    <row r="275" spans="1:58" ht="19.5" customHeight="1" x14ac:dyDescent="0.2">
      <c r="A275" s="8" t="str">
        <f>IF($B275="","",TEXT($B275,"yyyymmdd")&amp;"-"&amp;SUBSTITUTE($F275," ","")&amp;"-"&amp;TEXT(COUNTIF($F$4:F275,$F275),"00"))</f>
        <v/>
      </c>
      <c r="B275" s="9"/>
      <c r="C275" s="8" t="str">
        <f t="shared" si="38"/>
        <v/>
      </c>
      <c r="D275" s="8" t="str">
        <f t="shared" si="39"/>
        <v/>
      </c>
      <c r="E275" s="10"/>
      <c r="F275" s="10"/>
      <c r="G275" s="8" t="str">
        <f>IF(OR($E275="",$F275=""),"",IFERROR(IF($E275=INDEX(Cluster_Master!$A$4:$A$18,MATCH($F275,Cluster_Master!$B$4:$B$18,0)),"OK","CHECK"),"CHECK"))</f>
        <v/>
      </c>
      <c r="H275" s="11" t="str">
        <f>IFERROR(INDEX(Cluster_Master!$C$4:$C$18,MATCH($F275,Cluster_Master!$B$4:$B$18,0)),"")</f>
        <v/>
      </c>
      <c r="I275" s="8" t="str">
        <f>IFERROR(INDEX(Cluster_Master!$D$4:$D$18,MATCH($F275,Cluster_Master!$B$4:$B$18,0)),"")</f>
        <v/>
      </c>
      <c r="J275" s="8" t="str">
        <f>IFERROR(INDEX(Cluster_Master!$E$4:$E$18,MATCH($F275,Cluster_Master!$B$4:$B$18,0)),"")</f>
        <v/>
      </c>
      <c r="K275" s="8" t="str">
        <f>IFERROR(INDEX(Cluster_Master!$F$4:$F$18,MATCH($F275,Cluster_Master!$B$4:$B$18,0)),"")</f>
        <v/>
      </c>
      <c r="L275" s="8" t="str">
        <f>IFERROR(INDEX(Cluster_Master!$G$4:$G$18,MATCH($F275,Cluster_Master!$B$4:$B$18,0)),"")</f>
        <v/>
      </c>
      <c r="M275" s="8" t="str">
        <f>IFERROR(INDEX(Cluster_Master!$H$4:$H$18,MATCH($F275,Cluster_Master!$B$4:$B$18,0)),"")</f>
        <v/>
      </c>
      <c r="N275" s="12"/>
      <c r="O275" s="12"/>
      <c r="P275" s="12"/>
      <c r="Q275" s="12"/>
      <c r="R275" s="12"/>
      <c r="S275" s="12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8" t="str">
        <f t="shared" si="40"/>
        <v/>
      </c>
      <c r="AJ275" s="14" t="str">
        <f t="shared" si="41"/>
        <v/>
      </c>
      <c r="AK275" s="14" t="str">
        <f>IF(COUNTA(T275:AH275)=0,"",(SUM(T275*KPI_Weights!$B$4,U275*KPI_Weights!$B$5,V275*KPI_Weights!$B$6,W275*KPI_Weights!$B$7,X275*KPI_Weights!$B$8,Y275*KPI_Weights!$B$9,Z275*KPI_Weights!$B$10,AA275*KPI_Weights!$B$11,AB275*KPI_Weights!$B$12,AC275*KPI_Weights!$B$13,AD275*KPI_Weights!$B$14,AE275*KPI_Weights!$B$15,AF275*KPI_Weights!$B$16,AG275*KPI_Weights!$B$17,AH275*KPI_Weights!$B$18))/5)</f>
        <v/>
      </c>
      <c r="AL275" s="8" t="str">
        <f t="shared" si="42"/>
        <v/>
      </c>
      <c r="AM275" s="8" t="str">
        <f t="shared" si="43"/>
        <v/>
      </c>
      <c r="AN275" s="8" t="str">
        <f t="shared" si="44"/>
        <v/>
      </c>
      <c r="AO275" s="12"/>
      <c r="AP275" s="12"/>
      <c r="AQ275" s="12"/>
      <c r="AR275" s="12"/>
      <c r="AS275" s="12"/>
      <c r="AT275" s="15"/>
      <c r="AU275" s="12"/>
      <c r="AV275" s="16"/>
      <c r="AW275" s="12"/>
      <c r="AX275" s="15"/>
      <c r="AY275" s="15"/>
      <c r="AZ275" s="15"/>
      <c r="BA275" s="15"/>
      <c r="BB275" s="15"/>
      <c r="BC275" s="15"/>
      <c r="BD275" s="15"/>
      <c r="BE275" s="15"/>
      <c r="BF275" s="15"/>
    </row>
    <row r="276" spans="1:58" ht="19.5" customHeight="1" x14ac:dyDescent="0.2">
      <c r="A276" s="8" t="str">
        <f>IF($B276="","",TEXT($B276,"yyyymmdd")&amp;"-"&amp;SUBSTITUTE($F276," ","")&amp;"-"&amp;TEXT(COUNTIF($F$4:F276,$F276),"00"))</f>
        <v/>
      </c>
      <c r="B276" s="9"/>
      <c r="C276" s="8" t="str">
        <f t="shared" si="38"/>
        <v/>
      </c>
      <c r="D276" s="8" t="str">
        <f t="shared" si="39"/>
        <v/>
      </c>
      <c r="E276" s="10"/>
      <c r="F276" s="10"/>
      <c r="G276" s="8" t="str">
        <f>IF(OR($E276="",$F276=""),"",IFERROR(IF($E276=INDEX(Cluster_Master!$A$4:$A$18,MATCH($F276,Cluster_Master!$B$4:$B$18,0)),"OK","CHECK"),"CHECK"))</f>
        <v/>
      </c>
      <c r="H276" s="11" t="str">
        <f>IFERROR(INDEX(Cluster_Master!$C$4:$C$18,MATCH($F276,Cluster_Master!$B$4:$B$18,0)),"")</f>
        <v/>
      </c>
      <c r="I276" s="8" t="str">
        <f>IFERROR(INDEX(Cluster_Master!$D$4:$D$18,MATCH($F276,Cluster_Master!$B$4:$B$18,0)),"")</f>
        <v/>
      </c>
      <c r="J276" s="8" t="str">
        <f>IFERROR(INDEX(Cluster_Master!$E$4:$E$18,MATCH($F276,Cluster_Master!$B$4:$B$18,0)),"")</f>
        <v/>
      </c>
      <c r="K276" s="8" t="str">
        <f>IFERROR(INDEX(Cluster_Master!$F$4:$F$18,MATCH($F276,Cluster_Master!$B$4:$B$18,0)),"")</f>
        <v/>
      </c>
      <c r="L276" s="8" t="str">
        <f>IFERROR(INDEX(Cluster_Master!$G$4:$G$18,MATCH($F276,Cluster_Master!$B$4:$B$18,0)),"")</f>
        <v/>
      </c>
      <c r="M276" s="8" t="str">
        <f>IFERROR(INDEX(Cluster_Master!$H$4:$H$18,MATCH($F276,Cluster_Master!$B$4:$B$18,0)),"")</f>
        <v/>
      </c>
      <c r="N276" s="12"/>
      <c r="O276" s="12"/>
      <c r="P276" s="12"/>
      <c r="Q276" s="12"/>
      <c r="R276" s="12"/>
      <c r="S276" s="12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8" t="str">
        <f t="shared" si="40"/>
        <v/>
      </c>
      <c r="AJ276" s="14" t="str">
        <f t="shared" si="41"/>
        <v/>
      </c>
      <c r="AK276" s="14" t="str">
        <f>IF(COUNTA(T276:AH276)=0,"",(SUM(T276*KPI_Weights!$B$4,U276*KPI_Weights!$B$5,V276*KPI_Weights!$B$6,W276*KPI_Weights!$B$7,X276*KPI_Weights!$B$8,Y276*KPI_Weights!$B$9,Z276*KPI_Weights!$B$10,AA276*KPI_Weights!$B$11,AB276*KPI_Weights!$B$12,AC276*KPI_Weights!$B$13,AD276*KPI_Weights!$B$14,AE276*KPI_Weights!$B$15,AF276*KPI_Weights!$B$16,AG276*KPI_Weights!$B$17,AH276*KPI_Weights!$B$18))/5)</f>
        <v/>
      </c>
      <c r="AL276" s="8" t="str">
        <f t="shared" si="42"/>
        <v/>
      </c>
      <c r="AM276" s="8" t="str">
        <f t="shared" si="43"/>
        <v/>
      </c>
      <c r="AN276" s="8" t="str">
        <f t="shared" si="44"/>
        <v/>
      </c>
      <c r="AO276" s="12"/>
      <c r="AP276" s="12"/>
      <c r="AQ276" s="12"/>
      <c r="AR276" s="12"/>
      <c r="AS276" s="12"/>
      <c r="AT276" s="15"/>
      <c r="AU276" s="12"/>
      <c r="AV276" s="16"/>
      <c r="AW276" s="12"/>
      <c r="AX276" s="15"/>
      <c r="AY276" s="15"/>
      <c r="AZ276" s="15"/>
      <c r="BA276" s="15"/>
      <c r="BB276" s="15"/>
      <c r="BC276" s="15"/>
      <c r="BD276" s="15"/>
      <c r="BE276" s="15"/>
      <c r="BF276" s="15"/>
    </row>
    <row r="277" spans="1:58" ht="19.5" customHeight="1" x14ac:dyDescent="0.2">
      <c r="A277" s="8" t="str">
        <f>IF($B277="","",TEXT($B277,"yyyymmdd")&amp;"-"&amp;SUBSTITUTE($F277," ","")&amp;"-"&amp;TEXT(COUNTIF($F$4:F277,$F277),"00"))</f>
        <v/>
      </c>
      <c r="B277" s="9"/>
      <c r="C277" s="8" t="str">
        <f t="shared" si="38"/>
        <v/>
      </c>
      <c r="D277" s="8" t="str">
        <f t="shared" si="39"/>
        <v/>
      </c>
      <c r="E277" s="10"/>
      <c r="F277" s="10"/>
      <c r="G277" s="8" t="str">
        <f>IF(OR($E277="",$F277=""),"",IFERROR(IF($E277=INDEX(Cluster_Master!$A$4:$A$18,MATCH($F277,Cluster_Master!$B$4:$B$18,0)),"OK","CHECK"),"CHECK"))</f>
        <v/>
      </c>
      <c r="H277" s="11" t="str">
        <f>IFERROR(INDEX(Cluster_Master!$C$4:$C$18,MATCH($F277,Cluster_Master!$B$4:$B$18,0)),"")</f>
        <v/>
      </c>
      <c r="I277" s="8" t="str">
        <f>IFERROR(INDEX(Cluster_Master!$D$4:$D$18,MATCH($F277,Cluster_Master!$B$4:$B$18,0)),"")</f>
        <v/>
      </c>
      <c r="J277" s="8" t="str">
        <f>IFERROR(INDEX(Cluster_Master!$E$4:$E$18,MATCH($F277,Cluster_Master!$B$4:$B$18,0)),"")</f>
        <v/>
      </c>
      <c r="K277" s="8" t="str">
        <f>IFERROR(INDEX(Cluster_Master!$F$4:$F$18,MATCH($F277,Cluster_Master!$B$4:$B$18,0)),"")</f>
        <v/>
      </c>
      <c r="L277" s="8" t="str">
        <f>IFERROR(INDEX(Cluster_Master!$G$4:$G$18,MATCH($F277,Cluster_Master!$B$4:$B$18,0)),"")</f>
        <v/>
      </c>
      <c r="M277" s="8" t="str">
        <f>IFERROR(INDEX(Cluster_Master!$H$4:$H$18,MATCH($F277,Cluster_Master!$B$4:$B$18,0)),"")</f>
        <v/>
      </c>
      <c r="N277" s="12"/>
      <c r="O277" s="12"/>
      <c r="P277" s="12"/>
      <c r="Q277" s="12"/>
      <c r="R277" s="12"/>
      <c r="S277" s="12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8" t="str">
        <f t="shared" si="40"/>
        <v/>
      </c>
      <c r="AJ277" s="14" t="str">
        <f t="shared" si="41"/>
        <v/>
      </c>
      <c r="AK277" s="14" t="str">
        <f>IF(COUNTA(T277:AH277)=0,"",(SUM(T277*KPI_Weights!$B$4,U277*KPI_Weights!$B$5,V277*KPI_Weights!$B$6,W277*KPI_Weights!$B$7,X277*KPI_Weights!$B$8,Y277*KPI_Weights!$B$9,Z277*KPI_Weights!$B$10,AA277*KPI_Weights!$B$11,AB277*KPI_Weights!$B$12,AC277*KPI_Weights!$B$13,AD277*KPI_Weights!$B$14,AE277*KPI_Weights!$B$15,AF277*KPI_Weights!$B$16,AG277*KPI_Weights!$B$17,AH277*KPI_Weights!$B$18))/5)</f>
        <v/>
      </c>
      <c r="AL277" s="8" t="str">
        <f t="shared" si="42"/>
        <v/>
      </c>
      <c r="AM277" s="8" t="str">
        <f t="shared" si="43"/>
        <v/>
      </c>
      <c r="AN277" s="8" t="str">
        <f t="shared" si="44"/>
        <v/>
      </c>
      <c r="AO277" s="12"/>
      <c r="AP277" s="12"/>
      <c r="AQ277" s="12"/>
      <c r="AR277" s="12"/>
      <c r="AS277" s="12"/>
      <c r="AT277" s="15"/>
      <c r="AU277" s="12"/>
      <c r="AV277" s="16"/>
      <c r="AW277" s="12"/>
      <c r="AX277" s="15"/>
      <c r="AY277" s="15"/>
      <c r="AZ277" s="15"/>
      <c r="BA277" s="15"/>
      <c r="BB277" s="15"/>
      <c r="BC277" s="15"/>
      <c r="BD277" s="15"/>
      <c r="BE277" s="15"/>
      <c r="BF277" s="15"/>
    </row>
    <row r="278" spans="1:58" ht="19.5" customHeight="1" x14ac:dyDescent="0.2">
      <c r="A278" s="8" t="str">
        <f>IF($B278="","",TEXT($B278,"yyyymmdd")&amp;"-"&amp;SUBSTITUTE($F278," ","")&amp;"-"&amp;TEXT(COUNTIF($F$4:F278,$F278),"00"))</f>
        <v/>
      </c>
      <c r="B278" s="9"/>
      <c r="C278" s="8" t="str">
        <f t="shared" si="38"/>
        <v/>
      </c>
      <c r="D278" s="8" t="str">
        <f t="shared" si="39"/>
        <v/>
      </c>
      <c r="E278" s="10"/>
      <c r="F278" s="10"/>
      <c r="G278" s="8" t="str">
        <f>IF(OR($E278="",$F278=""),"",IFERROR(IF($E278=INDEX(Cluster_Master!$A$4:$A$18,MATCH($F278,Cluster_Master!$B$4:$B$18,0)),"OK","CHECK"),"CHECK"))</f>
        <v/>
      </c>
      <c r="H278" s="11" t="str">
        <f>IFERROR(INDEX(Cluster_Master!$C$4:$C$18,MATCH($F278,Cluster_Master!$B$4:$B$18,0)),"")</f>
        <v/>
      </c>
      <c r="I278" s="8" t="str">
        <f>IFERROR(INDEX(Cluster_Master!$D$4:$D$18,MATCH($F278,Cluster_Master!$B$4:$B$18,0)),"")</f>
        <v/>
      </c>
      <c r="J278" s="8" t="str">
        <f>IFERROR(INDEX(Cluster_Master!$E$4:$E$18,MATCH($F278,Cluster_Master!$B$4:$B$18,0)),"")</f>
        <v/>
      </c>
      <c r="K278" s="8" t="str">
        <f>IFERROR(INDEX(Cluster_Master!$F$4:$F$18,MATCH($F278,Cluster_Master!$B$4:$B$18,0)),"")</f>
        <v/>
      </c>
      <c r="L278" s="8" t="str">
        <f>IFERROR(INDEX(Cluster_Master!$G$4:$G$18,MATCH($F278,Cluster_Master!$B$4:$B$18,0)),"")</f>
        <v/>
      </c>
      <c r="M278" s="8" t="str">
        <f>IFERROR(INDEX(Cluster_Master!$H$4:$H$18,MATCH($F278,Cluster_Master!$B$4:$B$18,0)),"")</f>
        <v/>
      </c>
      <c r="N278" s="12"/>
      <c r="O278" s="12"/>
      <c r="P278" s="12"/>
      <c r="Q278" s="12"/>
      <c r="R278" s="12"/>
      <c r="S278" s="12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8" t="str">
        <f t="shared" si="40"/>
        <v/>
      </c>
      <c r="AJ278" s="14" t="str">
        <f t="shared" si="41"/>
        <v/>
      </c>
      <c r="AK278" s="14" t="str">
        <f>IF(COUNTA(T278:AH278)=0,"",(SUM(T278*KPI_Weights!$B$4,U278*KPI_Weights!$B$5,V278*KPI_Weights!$B$6,W278*KPI_Weights!$B$7,X278*KPI_Weights!$B$8,Y278*KPI_Weights!$B$9,Z278*KPI_Weights!$B$10,AA278*KPI_Weights!$B$11,AB278*KPI_Weights!$B$12,AC278*KPI_Weights!$B$13,AD278*KPI_Weights!$B$14,AE278*KPI_Weights!$B$15,AF278*KPI_Weights!$B$16,AG278*KPI_Weights!$B$17,AH278*KPI_Weights!$B$18))/5)</f>
        <v/>
      </c>
      <c r="AL278" s="8" t="str">
        <f t="shared" si="42"/>
        <v/>
      </c>
      <c r="AM278" s="8" t="str">
        <f t="shared" si="43"/>
        <v/>
      </c>
      <c r="AN278" s="8" t="str">
        <f t="shared" si="44"/>
        <v/>
      </c>
      <c r="AO278" s="12"/>
      <c r="AP278" s="12"/>
      <c r="AQ278" s="12"/>
      <c r="AR278" s="12"/>
      <c r="AS278" s="12"/>
      <c r="AT278" s="15"/>
      <c r="AU278" s="12"/>
      <c r="AV278" s="16"/>
      <c r="AW278" s="12"/>
      <c r="AX278" s="15"/>
      <c r="AY278" s="15"/>
      <c r="AZ278" s="15"/>
      <c r="BA278" s="15"/>
      <c r="BB278" s="15"/>
      <c r="BC278" s="15"/>
      <c r="BD278" s="15"/>
      <c r="BE278" s="15"/>
      <c r="BF278" s="15"/>
    </row>
    <row r="279" spans="1:58" ht="19.5" customHeight="1" x14ac:dyDescent="0.2">
      <c r="A279" s="8" t="str">
        <f>IF($B279="","",TEXT($B279,"yyyymmdd")&amp;"-"&amp;SUBSTITUTE($F279," ","")&amp;"-"&amp;TEXT(COUNTIF($F$4:F279,$F279),"00"))</f>
        <v/>
      </c>
      <c r="B279" s="9"/>
      <c r="C279" s="8" t="str">
        <f t="shared" si="38"/>
        <v/>
      </c>
      <c r="D279" s="8" t="str">
        <f t="shared" si="39"/>
        <v/>
      </c>
      <c r="E279" s="10"/>
      <c r="F279" s="10"/>
      <c r="G279" s="8" t="str">
        <f>IF(OR($E279="",$F279=""),"",IFERROR(IF($E279=INDEX(Cluster_Master!$A$4:$A$18,MATCH($F279,Cluster_Master!$B$4:$B$18,0)),"OK","CHECK"),"CHECK"))</f>
        <v/>
      </c>
      <c r="H279" s="11" t="str">
        <f>IFERROR(INDEX(Cluster_Master!$C$4:$C$18,MATCH($F279,Cluster_Master!$B$4:$B$18,0)),"")</f>
        <v/>
      </c>
      <c r="I279" s="8" t="str">
        <f>IFERROR(INDEX(Cluster_Master!$D$4:$D$18,MATCH($F279,Cluster_Master!$B$4:$B$18,0)),"")</f>
        <v/>
      </c>
      <c r="J279" s="8" t="str">
        <f>IFERROR(INDEX(Cluster_Master!$E$4:$E$18,MATCH($F279,Cluster_Master!$B$4:$B$18,0)),"")</f>
        <v/>
      </c>
      <c r="K279" s="8" t="str">
        <f>IFERROR(INDEX(Cluster_Master!$F$4:$F$18,MATCH($F279,Cluster_Master!$B$4:$B$18,0)),"")</f>
        <v/>
      </c>
      <c r="L279" s="8" t="str">
        <f>IFERROR(INDEX(Cluster_Master!$G$4:$G$18,MATCH($F279,Cluster_Master!$B$4:$B$18,0)),"")</f>
        <v/>
      </c>
      <c r="M279" s="8" t="str">
        <f>IFERROR(INDEX(Cluster_Master!$H$4:$H$18,MATCH($F279,Cluster_Master!$B$4:$B$18,0)),"")</f>
        <v/>
      </c>
      <c r="N279" s="12"/>
      <c r="O279" s="12"/>
      <c r="P279" s="12"/>
      <c r="Q279" s="12"/>
      <c r="R279" s="12"/>
      <c r="S279" s="12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8" t="str">
        <f t="shared" si="40"/>
        <v/>
      </c>
      <c r="AJ279" s="14" t="str">
        <f t="shared" si="41"/>
        <v/>
      </c>
      <c r="AK279" s="14" t="str">
        <f>IF(COUNTA(T279:AH279)=0,"",(SUM(T279*KPI_Weights!$B$4,U279*KPI_Weights!$B$5,V279*KPI_Weights!$B$6,W279*KPI_Weights!$B$7,X279*KPI_Weights!$B$8,Y279*KPI_Weights!$B$9,Z279*KPI_Weights!$B$10,AA279*KPI_Weights!$B$11,AB279*KPI_Weights!$B$12,AC279*KPI_Weights!$B$13,AD279*KPI_Weights!$B$14,AE279*KPI_Weights!$B$15,AF279*KPI_Weights!$B$16,AG279*KPI_Weights!$B$17,AH279*KPI_Weights!$B$18))/5)</f>
        <v/>
      </c>
      <c r="AL279" s="8" t="str">
        <f t="shared" si="42"/>
        <v/>
      </c>
      <c r="AM279" s="8" t="str">
        <f t="shared" si="43"/>
        <v/>
      </c>
      <c r="AN279" s="8" t="str">
        <f t="shared" si="44"/>
        <v/>
      </c>
      <c r="AO279" s="12"/>
      <c r="AP279" s="12"/>
      <c r="AQ279" s="12"/>
      <c r="AR279" s="12"/>
      <c r="AS279" s="12"/>
      <c r="AT279" s="15"/>
      <c r="AU279" s="12"/>
      <c r="AV279" s="16"/>
      <c r="AW279" s="12"/>
      <c r="AX279" s="15"/>
      <c r="AY279" s="15"/>
      <c r="AZ279" s="15"/>
      <c r="BA279" s="15"/>
      <c r="BB279" s="15"/>
      <c r="BC279" s="15"/>
      <c r="BD279" s="15"/>
      <c r="BE279" s="15"/>
      <c r="BF279" s="15"/>
    </row>
    <row r="280" spans="1:58" ht="19.5" customHeight="1" x14ac:dyDescent="0.2">
      <c r="A280" s="8" t="str">
        <f>IF($B280="","",TEXT($B280,"yyyymmdd")&amp;"-"&amp;SUBSTITUTE($F280," ","")&amp;"-"&amp;TEXT(COUNTIF($F$4:F280,$F280),"00"))</f>
        <v/>
      </c>
      <c r="B280" s="9"/>
      <c r="C280" s="8" t="str">
        <f t="shared" si="38"/>
        <v/>
      </c>
      <c r="D280" s="8" t="str">
        <f t="shared" si="39"/>
        <v/>
      </c>
      <c r="E280" s="10"/>
      <c r="F280" s="10"/>
      <c r="G280" s="8" t="str">
        <f>IF(OR($E280="",$F280=""),"",IFERROR(IF($E280=INDEX(Cluster_Master!$A$4:$A$18,MATCH($F280,Cluster_Master!$B$4:$B$18,0)),"OK","CHECK"),"CHECK"))</f>
        <v/>
      </c>
      <c r="H280" s="11" t="str">
        <f>IFERROR(INDEX(Cluster_Master!$C$4:$C$18,MATCH($F280,Cluster_Master!$B$4:$B$18,0)),"")</f>
        <v/>
      </c>
      <c r="I280" s="8" t="str">
        <f>IFERROR(INDEX(Cluster_Master!$D$4:$D$18,MATCH($F280,Cluster_Master!$B$4:$B$18,0)),"")</f>
        <v/>
      </c>
      <c r="J280" s="8" t="str">
        <f>IFERROR(INDEX(Cluster_Master!$E$4:$E$18,MATCH($F280,Cluster_Master!$B$4:$B$18,0)),"")</f>
        <v/>
      </c>
      <c r="K280" s="8" t="str">
        <f>IFERROR(INDEX(Cluster_Master!$F$4:$F$18,MATCH($F280,Cluster_Master!$B$4:$B$18,0)),"")</f>
        <v/>
      </c>
      <c r="L280" s="8" t="str">
        <f>IFERROR(INDEX(Cluster_Master!$G$4:$G$18,MATCH($F280,Cluster_Master!$B$4:$B$18,0)),"")</f>
        <v/>
      </c>
      <c r="M280" s="8" t="str">
        <f>IFERROR(INDEX(Cluster_Master!$H$4:$H$18,MATCH($F280,Cluster_Master!$B$4:$B$18,0)),"")</f>
        <v/>
      </c>
      <c r="N280" s="12"/>
      <c r="O280" s="12"/>
      <c r="P280" s="12"/>
      <c r="Q280" s="12"/>
      <c r="R280" s="12"/>
      <c r="S280" s="12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8" t="str">
        <f t="shared" si="40"/>
        <v/>
      </c>
      <c r="AJ280" s="14" t="str">
        <f t="shared" si="41"/>
        <v/>
      </c>
      <c r="AK280" s="14" t="str">
        <f>IF(COUNTA(T280:AH280)=0,"",(SUM(T280*KPI_Weights!$B$4,U280*KPI_Weights!$B$5,V280*KPI_Weights!$B$6,W280*KPI_Weights!$B$7,X280*KPI_Weights!$B$8,Y280*KPI_Weights!$B$9,Z280*KPI_Weights!$B$10,AA280*KPI_Weights!$B$11,AB280*KPI_Weights!$B$12,AC280*KPI_Weights!$B$13,AD280*KPI_Weights!$B$14,AE280*KPI_Weights!$B$15,AF280*KPI_Weights!$B$16,AG280*KPI_Weights!$B$17,AH280*KPI_Weights!$B$18))/5)</f>
        <v/>
      </c>
      <c r="AL280" s="8" t="str">
        <f t="shared" si="42"/>
        <v/>
      </c>
      <c r="AM280" s="8" t="str">
        <f t="shared" si="43"/>
        <v/>
      </c>
      <c r="AN280" s="8" t="str">
        <f t="shared" si="44"/>
        <v/>
      </c>
      <c r="AO280" s="12"/>
      <c r="AP280" s="12"/>
      <c r="AQ280" s="12"/>
      <c r="AR280" s="12"/>
      <c r="AS280" s="12"/>
      <c r="AT280" s="15"/>
      <c r="AU280" s="12"/>
      <c r="AV280" s="16"/>
      <c r="AW280" s="12"/>
      <c r="AX280" s="15"/>
      <c r="AY280" s="15"/>
      <c r="AZ280" s="15"/>
      <c r="BA280" s="15"/>
      <c r="BB280" s="15"/>
      <c r="BC280" s="15"/>
      <c r="BD280" s="15"/>
      <c r="BE280" s="15"/>
      <c r="BF280" s="15"/>
    </row>
    <row r="281" spans="1:58" ht="19.5" customHeight="1" x14ac:dyDescent="0.2">
      <c r="A281" s="8" t="str">
        <f>IF($B281="","",TEXT($B281,"yyyymmdd")&amp;"-"&amp;SUBSTITUTE($F281," ","")&amp;"-"&amp;TEXT(COUNTIF($F$4:F281,$F281),"00"))</f>
        <v/>
      </c>
      <c r="B281" s="9"/>
      <c r="C281" s="8" t="str">
        <f t="shared" si="38"/>
        <v/>
      </c>
      <c r="D281" s="8" t="str">
        <f t="shared" si="39"/>
        <v/>
      </c>
      <c r="E281" s="10"/>
      <c r="F281" s="10"/>
      <c r="G281" s="8" t="str">
        <f>IF(OR($E281="",$F281=""),"",IFERROR(IF($E281=INDEX(Cluster_Master!$A$4:$A$18,MATCH($F281,Cluster_Master!$B$4:$B$18,0)),"OK","CHECK"),"CHECK"))</f>
        <v/>
      </c>
      <c r="H281" s="11" t="str">
        <f>IFERROR(INDEX(Cluster_Master!$C$4:$C$18,MATCH($F281,Cluster_Master!$B$4:$B$18,0)),"")</f>
        <v/>
      </c>
      <c r="I281" s="8" t="str">
        <f>IFERROR(INDEX(Cluster_Master!$D$4:$D$18,MATCH($F281,Cluster_Master!$B$4:$B$18,0)),"")</f>
        <v/>
      </c>
      <c r="J281" s="8" t="str">
        <f>IFERROR(INDEX(Cluster_Master!$E$4:$E$18,MATCH($F281,Cluster_Master!$B$4:$B$18,0)),"")</f>
        <v/>
      </c>
      <c r="K281" s="8" t="str">
        <f>IFERROR(INDEX(Cluster_Master!$F$4:$F$18,MATCH($F281,Cluster_Master!$B$4:$B$18,0)),"")</f>
        <v/>
      </c>
      <c r="L281" s="8" t="str">
        <f>IFERROR(INDEX(Cluster_Master!$G$4:$G$18,MATCH($F281,Cluster_Master!$B$4:$B$18,0)),"")</f>
        <v/>
      </c>
      <c r="M281" s="8" t="str">
        <f>IFERROR(INDEX(Cluster_Master!$H$4:$H$18,MATCH($F281,Cluster_Master!$B$4:$B$18,0)),"")</f>
        <v/>
      </c>
      <c r="N281" s="12"/>
      <c r="O281" s="12"/>
      <c r="P281" s="12"/>
      <c r="Q281" s="12"/>
      <c r="R281" s="12"/>
      <c r="S281" s="12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8" t="str">
        <f t="shared" si="40"/>
        <v/>
      </c>
      <c r="AJ281" s="14" t="str">
        <f t="shared" si="41"/>
        <v/>
      </c>
      <c r="AK281" s="14" t="str">
        <f>IF(COUNTA(T281:AH281)=0,"",(SUM(T281*KPI_Weights!$B$4,U281*KPI_Weights!$B$5,V281*KPI_Weights!$B$6,W281*KPI_Weights!$B$7,X281*KPI_Weights!$B$8,Y281*KPI_Weights!$B$9,Z281*KPI_Weights!$B$10,AA281*KPI_Weights!$B$11,AB281*KPI_Weights!$B$12,AC281*KPI_Weights!$B$13,AD281*KPI_Weights!$B$14,AE281*KPI_Weights!$B$15,AF281*KPI_Weights!$B$16,AG281*KPI_Weights!$B$17,AH281*KPI_Weights!$B$18))/5)</f>
        <v/>
      </c>
      <c r="AL281" s="8" t="str">
        <f t="shared" si="42"/>
        <v/>
      </c>
      <c r="AM281" s="8" t="str">
        <f t="shared" si="43"/>
        <v/>
      </c>
      <c r="AN281" s="8" t="str">
        <f t="shared" si="44"/>
        <v/>
      </c>
      <c r="AO281" s="12"/>
      <c r="AP281" s="12"/>
      <c r="AQ281" s="12"/>
      <c r="AR281" s="12"/>
      <c r="AS281" s="12"/>
      <c r="AT281" s="15"/>
      <c r="AU281" s="12"/>
      <c r="AV281" s="16"/>
      <c r="AW281" s="12"/>
      <c r="AX281" s="15"/>
      <c r="AY281" s="15"/>
      <c r="AZ281" s="15"/>
      <c r="BA281" s="15"/>
      <c r="BB281" s="15"/>
      <c r="BC281" s="15"/>
      <c r="BD281" s="15"/>
      <c r="BE281" s="15"/>
      <c r="BF281" s="15"/>
    </row>
    <row r="282" spans="1:58" ht="19.5" customHeight="1" x14ac:dyDescent="0.2">
      <c r="A282" s="8" t="str">
        <f>IF($B282="","",TEXT($B282,"yyyymmdd")&amp;"-"&amp;SUBSTITUTE($F282," ","")&amp;"-"&amp;TEXT(COUNTIF($F$4:F282,$F282),"00"))</f>
        <v/>
      </c>
      <c r="B282" s="9"/>
      <c r="C282" s="8" t="str">
        <f t="shared" si="38"/>
        <v/>
      </c>
      <c r="D282" s="8" t="str">
        <f t="shared" si="39"/>
        <v/>
      </c>
      <c r="E282" s="10"/>
      <c r="F282" s="10"/>
      <c r="G282" s="8" t="str">
        <f>IF(OR($E282="",$F282=""),"",IFERROR(IF($E282=INDEX(Cluster_Master!$A$4:$A$18,MATCH($F282,Cluster_Master!$B$4:$B$18,0)),"OK","CHECK"),"CHECK"))</f>
        <v/>
      </c>
      <c r="H282" s="11" t="str">
        <f>IFERROR(INDEX(Cluster_Master!$C$4:$C$18,MATCH($F282,Cluster_Master!$B$4:$B$18,0)),"")</f>
        <v/>
      </c>
      <c r="I282" s="8" t="str">
        <f>IFERROR(INDEX(Cluster_Master!$D$4:$D$18,MATCH($F282,Cluster_Master!$B$4:$B$18,0)),"")</f>
        <v/>
      </c>
      <c r="J282" s="8" t="str">
        <f>IFERROR(INDEX(Cluster_Master!$E$4:$E$18,MATCH($F282,Cluster_Master!$B$4:$B$18,0)),"")</f>
        <v/>
      </c>
      <c r="K282" s="8" t="str">
        <f>IFERROR(INDEX(Cluster_Master!$F$4:$F$18,MATCH($F282,Cluster_Master!$B$4:$B$18,0)),"")</f>
        <v/>
      </c>
      <c r="L282" s="8" t="str">
        <f>IFERROR(INDEX(Cluster_Master!$G$4:$G$18,MATCH($F282,Cluster_Master!$B$4:$B$18,0)),"")</f>
        <v/>
      </c>
      <c r="M282" s="8" t="str">
        <f>IFERROR(INDEX(Cluster_Master!$H$4:$H$18,MATCH($F282,Cluster_Master!$B$4:$B$18,0)),"")</f>
        <v/>
      </c>
      <c r="N282" s="12"/>
      <c r="O282" s="12"/>
      <c r="P282" s="12"/>
      <c r="Q282" s="12"/>
      <c r="R282" s="12"/>
      <c r="S282" s="12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8" t="str">
        <f t="shared" si="40"/>
        <v/>
      </c>
      <c r="AJ282" s="14" t="str">
        <f t="shared" si="41"/>
        <v/>
      </c>
      <c r="AK282" s="14" t="str">
        <f>IF(COUNTA(T282:AH282)=0,"",(SUM(T282*KPI_Weights!$B$4,U282*KPI_Weights!$B$5,V282*KPI_Weights!$B$6,W282*KPI_Weights!$B$7,X282*KPI_Weights!$B$8,Y282*KPI_Weights!$B$9,Z282*KPI_Weights!$B$10,AA282*KPI_Weights!$B$11,AB282*KPI_Weights!$B$12,AC282*KPI_Weights!$B$13,AD282*KPI_Weights!$B$14,AE282*KPI_Weights!$B$15,AF282*KPI_Weights!$B$16,AG282*KPI_Weights!$B$17,AH282*KPI_Weights!$B$18))/5)</f>
        <v/>
      </c>
      <c r="AL282" s="8" t="str">
        <f t="shared" si="42"/>
        <v/>
      </c>
      <c r="AM282" s="8" t="str">
        <f t="shared" si="43"/>
        <v/>
      </c>
      <c r="AN282" s="8" t="str">
        <f t="shared" si="44"/>
        <v/>
      </c>
      <c r="AO282" s="12"/>
      <c r="AP282" s="12"/>
      <c r="AQ282" s="12"/>
      <c r="AR282" s="12"/>
      <c r="AS282" s="12"/>
      <c r="AT282" s="15"/>
      <c r="AU282" s="12"/>
      <c r="AV282" s="16"/>
      <c r="AW282" s="12"/>
      <c r="AX282" s="15"/>
      <c r="AY282" s="15"/>
      <c r="AZ282" s="15"/>
      <c r="BA282" s="15"/>
      <c r="BB282" s="15"/>
      <c r="BC282" s="15"/>
      <c r="BD282" s="15"/>
      <c r="BE282" s="15"/>
      <c r="BF282" s="15"/>
    </row>
    <row r="283" spans="1:58" ht="19.5" customHeight="1" x14ac:dyDescent="0.2">
      <c r="A283" s="8" t="str">
        <f>IF($B283="","",TEXT($B283,"yyyymmdd")&amp;"-"&amp;SUBSTITUTE($F283," ","")&amp;"-"&amp;TEXT(COUNTIF($F$4:F283,$F283),"00"))</f>
        <v/>
      </c>
      <c r="B283" s="9"/>
      <c r="C283" s="8" t="str">
        <f t="shared" si="38"/>
        <v/>
      </c>
      <c r="D283" s="8" t="str">
        <f t="shared" si="39"/>
        <v/>
      </c>
      <c r="E283" s="10"/>
      <c r="F283" s="10"/>
      <c r="G283" s="8" t="str">
        <f>IF(OR($E283="",$F283=""),"",IFERROR(IF($E283=INDEX(Cluster_Master!$A$4:$A$18,MATCH($F283,Cluster_Master!$B$4:$B$18,0)),"OK","CHECK"),"CHECK"))</f>
        <v/>
      </c>
      <c r="H283" s="11" t="str">
        <f>IFERROR(INDEX(Cluster_Master!$C$4:$C$18,MATCH($F283,Cluster_Master!$B$4:$B$18,0)),"")</f>
        <v/>
      </c>
      <c r="I283" s="8" t="str">
        <f>IFERROR(INDEX(Cluster_Master!$D$4:$D$18,MATCH($F283,Cluster_Master!$B$4:$B$18,0)),"")</f>
        <v/>
      </c>
      <c r="J283" s="8" t="str">
        <f>IFERROR(INDEX(Cluster_Master!$E$4:$E$18,MATCH($F283,Cluster_Master!$B$4:$B$18,0)),"")</f>
        <v/>
      </c>
      <c r="K283" s="8" t="str">
        <f>IFERROR(INDEX(Cluster_Master!$F$4:$F$18,MATCH($F283,Cluster_Master!$B$4:$B$18,0)),"")</f>
        <v/>
      </c>
      <c r="L283" s="8" t="str">
        <f>IFERROR(INDEX(Cluster_Master!$G$4:$G$18,MATCH($F283,Cluster_Master!$B$4:$B$18,0)),"")</f>
        <v/>
      </c>
      <c r="M283" s="8" t="str">
        <f>IFERROR(INDEX(Cluster_Master!$H$4:$H$18,MATCH($F283,Cluster_Master!$B$4:$B$18,0)),"")</f>
        <v/>
      </c>
      <c r="N283" s="12"/>
      <c r="O283" s="12"/>
      <c r="P283" s="12"/>
      <c r="Q283" s="12"/>
      <c r="R283" s="12"/>
      <c r="S283" s="12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8" t="str">
        <f t="shared" si="40"/>
        <v/>
      </c>
      <c r="AJ283" s="14" t="str">
        <f t="shared" si="41"/>
        <v/>
      </c>
      <c r="AK283" s="14" t="str">
        <f>IF(COUNTA(T283:AH283)=0,"",(SUM(T283*KPI_Weights!$B$4,U283*KPI_Weights!$B$5,V283*KPI_Weights!$B$6,W283*KPI_Weights!$B$7,X283*KPI_Weights!$B$8,Y283*KPI_Weights!$B$9,Z283*KPI_Weights!$B$10,AA283*KPI_Weights!$B$11,AB283*KPI_Weights!$B$12,AC283*KPI_Weights!$B$13,AD283*KPI_Weights!$B$14,AE283*KPI_Weights!$B$15,AF283*KPI_Weights!$B$16,AG283*KPI_Weights!$B$17,AH283*KPI_Weights!$B$18))/5)</f>
        <v/>
      </c>
      <c r="AL283" s="8" t="str">
        <f t="shared" si="42"/>
        <v/>
      </c>
      <c r="AM283" s="8" t="str">
        <f t="shared" si="43"/>
        <v/>
      </c>
      <c r="AN283" s="8" t="str">
        <f t="shared" si="44"/>
        <v/>
      </c>
      <c r="AO283" s="12"/>
      <c r="AP283" s="12"/>
      <c r="AQ283" s="12"/>
      <c r="AR283" s="12"/>
      <c r="AS283" s="12"/>
      <c r="AT283" s="15"/>
      <c r="AU283" s="12"/>
      <c r="AV283" s="16"/>
      <c r="AW283" s="12"/>
      <c r="AX283" s="15"/>
      <c r="AY283" s="15"/>
      <c r="AZ283" s="15"/>
      <c r="BA283" s="15"/>
      <c r="BB283" s="15"/>
      <c r="BC283" s="15"/>
      <c r="BD283" s="15"/>
      <c r="BE283" s="15"/>
      <c r="BF283" s="15"/>
    </row>
    <row r="284" spans="1:58" ht="19.5" customHeight="1" x14ac:dyDescent="0.2">
      <c r="A284" s="8" t="str">
        <f>IF($B284="","",TEXT($B284,"yyyymmdd")&amp;"-"&amp;SUBSTITUTE($F284," ","")&amp;"-"&amp;TEXT(COUNTIF($F$4:F284,$F284),"00"))</f>
        <v/>
      </c>
      <c r="B284" s="9"/>
      <c r="C284" s="8" t="str">
        <f t="shared" si="38"/>
        <v/>
      </c>
      <c r="D284" s="8" t="str">
        <f t="shared" si="39"/>
        <v/>
      </c>
      <c r="E284" s="10"/>
      <c r="F284" s="10"/>
      <c r="G284" s="8" t="str">
        <f>IF(OR($E284="",$F284=""),"",IFERROR(IF($E284=INDEX(Cluster_Master!$A$4:$A$18,MATCH($F284,Cluster_Master!$B$4:$B$18,0)),"OK","CHECK"),"CHECK"))</f>
        <v/>
      </c>
      <c r="H284" s="11" t="str">
        <f>IFERROR(INDEX(Cluster_Master!$C$4:$C$18,MATCH($F284,Cluster_Master!$B$4:$B$18,0)),"")</f>
        <v/>
      </c>
      <c r="I284" s="8" t="str">
        <f>IFERROR(INDEX(Cluster_Master!$D$4:$D$18,MATCH($F284,Cluster_Master!$B$4:$B$18,0)),"")</f>
        <v/>
      </c>
      <c r="J284" s="8" t="str">
        <f>IFERROR(INDEX(Cluster_Master!$E$4:$E$18,MATCH($F284,Cluster_Master!$B$4:$B$18,0)),"")</f>
        <v/>
      </c>
      <c r="K284" s="8" t="str">
        <f>IFERROR(INDEX(Cluster_Master!$F$4:$F$18,MATCH($F284,Cluster_Master!$B$4:$B$18,0)),"")</f>
        <v/>
      </c>
      <c r="L284" s="8" t="str">
        <f>IFERROR(INDEX(Cluster_Master!$G$4:$G$18,MATCH($F284,Cluster_Master!$B$4:$B$18,0)),"")</f>
        <v/>
      </c>
      <c r="M284" s="8" t="str">
        <f>IFERROR(INDEX(Cluster_Master!$H$4:$H$18,MATCH($F284,Cluster_Master!$B$4:$B$18,0)),"")</f>
        <v/>
      </c>
      <c r="N284" s="12"/>
      <c r="O284" s="12"/>
      <c r="P284" s="12"/>
      <c r="Q284" s="12"/>
      <c r="R284" s="12"/>
      <c r="S284" s="12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8" t="str">
        <f t="shared" si="40"/>
        <v/>
      </c>
      <c r="AJ284" s="14" t="str">
        <f t="shared" si="41"/>
        <v/>
      </c>
      <c r="AK284" s="14" t="str">
        <f>IF(COUNTA(T284:AH284)=0,"",(SUM(T284*KPI_Weights!$B$4,U284*KPI_Weights!$B$5,V284*KPI_Weights!$B$6,W284*KPI_Weights!$B$7,X284*KPI_Weights!$B$8,Y284*KPI_Weights!$B$9,Z284*KPI_Weights!$B$10,AA284*KPI_Weights!$B$11,AB284*KPI_Weights!$B$12,AC284*KPI_Weights!$B$13,AD284*KPI_Weights!$B$14,AE284*KPI_Weights!$B$15,AF284*KPI_Weights!$B$16,AG284*KPI_Weights!$B$17,AH284*KPI_Weights!$B$18))/5)</f>
        <v/>
      </c>
      <c r="AL284" s="8" t="str">
        <f t="shared" si="42"/>
        <v/>
      </c>
      <c r="AM284" s="8" t="str">
        <f t="shared" si="43"/>
        <v/>
      </c>
      <c r="AN284" s="8" t="str">
        <f t="shared" si="44"/>
        <v/>
      </c>
      <c r="AO284" s="12"/>
      <c r="AP284" s="12"/>
      <c r="AQ284" s="12"/>
      <c r="AR284" s="12"/>
      <c r="AS284" s="12"/>
      <c r="AT284" s="15"/>
      <c r="AU284" s="12"/>
      <c r="AV284" s="16"/>
      <c r="AW284" s="12"/>
      <c r="AX284" s="15"/>
      <c r="AY284" s="15"/>
      <c r="AZ284" s="15"/>
      <c r="BA284" s="15"/>
      <c r="BB284" s="15"/>
      <c r="BC284" s="15"/>
      <c r="BD284" s="15"/>
      <c r="BE284" s="15"/>
      <c r="BF284" s="15"/>
    </row>
    <row r="285" spans="1:58" ht="19.5" customHeight="1" x14ac:dyDescent="0.2">
      <c r="A285" s="8" t="str">
        <f>IF($B285="","",TEXT($B285,"yyyymmdd")&amp;"-"&amp;SUBSTITUTE($F285," ","")&amp;"-"&amp;TEXT(COUNTIF($F$4:F285,$F285),"00"))</f>
        <v/>
      </c>
      <c r="B285" s="9"/>
      <c r="C285" s="8" t="str">
        <f t="shared" si="38"/>
        <v/>
      </c>
      <c r="D285" s="8" t="str">
        <f t="shared" si="39"/>
        <v/>
      </c>
      <c r="E285" s="10"/>
      <c r="F285" s="10"/>
      <c r="G285" s="8" t="str">
        <f>IF(OR($E285="",$F285=""),"",IFERROR(IF($E285=INDEX(Cluster_Master!$A$4:$A$18,MATCH($F285,Cluster_Master!$B$4:$B$18,0)),"OK","CHECK"),"CHECK"))</f>
        <v/>
      </c>
      <c r="H285" s="11" t="str">
        <f>IFERROR(INDEX(Cluster_Master!$C$4:$C$18,MATCH($F285,Cluster_Master!$B$4:$B$18,0)),"")</f>
        <v/>
      </c>
      <c r="I285" s="8" t="str">
        <f>IFERROR(INDEX(Cluster_Master!$D$4:$D$18,MATCH($F285,Cluster_Master!$B$4:$B$18,0)),"")</f>
        <v/>
      </c>
      <c r="J285" s="8" t="str">
        <f>IFERROR(INDEX(Cluster_Master!$E$4:$E$18,MATCH($F285,Cluster_Master!$B$4:$B$18,0)),"")</f>
        <v/>
      </c>
      <c r="K285" s="8" t="str">
        <f>IFERROR(INDEX(Cluster_Master!$F$4:$F$18,MATCH($F285,Cluster_Master!$B$4:$B$18,0)),"")</f>
        <v/>
      </c>
      <c r="L285" s="8" t="str">
        <f>IFERROR(INDEX(Cluster_Master!$G$4:$G$18,MATCH($F285,Cluster_Master!$B$4:$B$18,0)),"")</f>
        <v/>
      </c>
      <c r="M285" s="8" t="str">
        <f>IFERROR(INDEX(Cluster_Master!$H$4:$H$18,MATCH($F285,Cluster_Master!$B$4:$B$18,0)),"")</f>
        <v/>
      </c>
      <c r="N285" s="12"/>
      <c r="O285" s="12"/>
      <c r="P285" s="12"/>
      <c r="Q285" s="12"/>
      <c r="R285" s="12"/>
      <c r="S285" s="12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8" t="str">
        <f t="shared" si="40"/>
        <v/>
      </c>
      <c r="AJ285" s="14" t="str">
        <f t="shared" si="41"/>
        <v/>
      </c>
      <c r="AK285" s="14" t="str">
        <f>IF(COUNTA(T285:AH285)=0,"",(SUM(T285*KPI_Weights!$B$4,U285*KPI_Weights!$B$5,V285*KPI_Weights!$B$6,W285*KPI_Weights!$B$7,X285*KPI_Weights!$B$8,Y285*KPI_Weights!$B$9,Z285*KPI_Weights!$B$10,AA285*KPI_Weights!$B$11,AB285*KPI_Weights!$B$12,AC285*KPI_Weights!$B$13,AD285*KPI_Weights!$B$14,AE285*KPI_Weights!$B$15,AF285*KPI_Weights!$B$16,AG285*KPI_Weights!$B$17,AH285*KPI_Weights!$B$18))/5)</f>
        <v/>
      </c>
      <c r="AL285" s="8" t="str">
        <f t="shared" si="42"/>
        <v/>
      </c>
      <c r="AM285" s="8" t="str">
        <f t="shared" si="43"/>
        <v/>
      </c>
      <c r="AN285" s="8" t="str">
        <f t="shared" si="44"/>
        <v/>
      </c>
      <c r="AO285" s="12"/>
      <c r="AP285" s="12"/>
      <c r="AQ285" s="12"/>
      <c r="AR285" s="12"/>
      <c r="AS285" s="12"/>
      <c r="AT285" s="15"/>
      <c r="AU285" s="12"/>
      <c r="AV285" s="16"/>
      <c r="AW285" s="12"/>
      <c r="AX285" s="15"/>
      <c r="AY285" s="15"/>
      <c r="AZ285" s="15"/>
      <c r="BA285" s="15"/>
      <c r="BB285" s="15"/>
      <c r="BC285" s="15"/>
      <c r="BD285" s="15"/>
      <c r="BE285" s="15"/>
      <c r="BF285" s="15"/>
    </row>
    <row r="286" spans="1:58" ht="19.5" customHeight="1" x14ac:dyDescent="0.2">
      <c r="A286" s="8" t="str">
        <f>IF($B286="","",TEXT($B286,"yyyymmdd")&amp;"-"&amp;SUBSTITUTE($F286," ","")&amp;"-"&amp;TEXT(COUNTIF($F$4:F286,$F286),"00"))</f>
        <v/>
      </c>
      <c r="B286" s="9"/>
      <c r="C286" s="8" t="str">
        <f t="shared" si="38"/>
        <v/>
      </c>
      <c r="D286" s="8" t="str">
        <f t="shared" si="39"/>
        <v/>
      </c>
      <c r="E286" s="10"/>
      <c r="F286" s="10"/>
      <c r="G286" s="8" t="str">
        <f>IF(OR($E286="",$F286=""),"",IFERROR(IF($E286=INDEX(Cluster_Master!$A$4:$A$18,MATCH($F286,Cluster_Master!$B$4:$B$18,0)),"OK","CHECK"),"CHECK"))</f>
        <v/>
      </c>
      <c r="H286" s="11" t="str">
        <f>IFERROR(INDEX(Cluster_Master!$C$4:$C$18,MATCH($F286,Cluster_Master!$B$4:$B$18,0)),"")</f>
        <v/>
      </c>
      <c r="I286" s="8" t="str">
        <f>IFERROR(INDEX(Cluster_Master!$D$4:$D$18,MATCH($F286,Cluster_Master!$B$4:$B$18,0)),"")</f>
        <v/>
      </c>
      <c r="J286" s="8" t="str">
        <f>IFERROR(INDEX(Cluster_Master!$E$4:$E$18,MATCH($F286,Cluster_Master!$B$4:$B$18,0)),"")</f>
        <v/>
      </c>
      <c r="K286" s="8" t="str">
        <f>IFERROR(INDEX(Cluster_Master!$F$4:$F$18,MATCH($F286,Cluster_Master!$B$4:$B$18,0)),"")</f>
        <v/>
      </c>
      <c r="L286" s="8" t="str">
        <f>IFERROR(INDEX(Cluster_Master!$G$4:$G$18,MATCH($F286,Cluster_Master!$B$4:$B$18,0)),"")</f>
        <v/>
      </c>
      <c r="M286" s="8" t="str">
        <f>IFERROR(INDEX(Cluster_Master!$H$4:$H$18,MATCH($F286,Cluster_Master!$B$4:$B$18,0)),"")</f>
        <v/>
      </c>
      <c r="N286" s="12"/>
      <c r="O286" s="12"/>
      <c r="P286" s="12"/>
      <c r="Q286" s="12"/>
      <c r="R286" s="12"/>
      <c r="S286" s="12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8" t="str">
        <f t="shared" si="40"/>
        <v/>
      </c>
      <c r="AJ286" s="14" t="str">
        <f t="shared" si="41"/>
        <v/>
      </c>
      <c r="AK286" s="14" t="str">
        <f>IF(COUNTA(T286:AH286)=0,"",(SUM(T286*KPI_Weights!$B$4,U286*KPI_Weights!$B$5,V286*KPI_Weights!$B$6,W286*KPI_Weights!$B$7,X286*KPI_Weights!$B$8,Y286*KPI_Weights!$B$9,Z286*KPI_Weights!$B$10,AA286*KPI_Weights!$B$11,AB286*KPI_Weights!$B$12,AC286*KPI_Weights!$B$13,AD286*KPI_Weights!$B$14,AE286*KPI_Weights!$B$15,AF286*KPI_Weights!$B$16,AG286*KPI_Weights!$B$17,AH286*KPI_Weights!$B$18))/5)</f>
        <v/>
      </c>
      <c r="AL286" s="8" t="str">
        <f t="shared" si="42"/>
        <v/>
      </c>
      <c r="AM286" s="8" t="str">
        <f t="shared" si="43"/>
        <v/>
      </c>
      <c r="AN286" s="8" t="str">
        <f t="shared" si="44"/>
        <v/>
      </c>
      <c r="AO286" s="12"/>
      <c r="AP286" s="12"/>
      <c r="AQ286" s="12"/>
      <c r="AR286" s="12"/>
      <c r="AS286" s="12"/>
      <c r="AT286" s="15"/>
      <c r="AU286" s="12"/>
      <c r="AV286" s="16"/>
      <c r="AW286" s="12"/>
      <c r="AX286" s="15"/>
      <c r="AY286" s="15"/>
      <c r="AZ286" s="15"/>
      <c r="BA286" s="15"/>
      <c r="BB286" s="15"/>
      <c r="BC286" s="15"/>
      <c r="BD286" s="15"/>
      <c r="BE286" s="15"/>
      <c r="BF286" s="15"/>
    </row>
    <row r="287" spans="1:58" ht="19.5" customHeight="1" x14ac:dyDescent="0.2">
      <c r="A287" s="8" t="str">
        <f>IF($B287="","",TEXT($B287,"yyyymmdd")&amp;"-"&amp;SUBSTITUTE($F287," ","")&amp;"-"&amp;TEXT(COUNTIF($F$4:F287,$F287),"00"))</f>
        <v/>
      </c>
      <c r="B287" s="9"/>
      <c r="C287" s="8" t="str">
        <f t="shared" si="38"/>
        <v/>
      </c>
      <c r="D287" s="8" t="str">
        <f t="shared" si="39"/>
        <v/>
      </c>
      <c r="E287" s="10"/>
      <c r="F287" s="10"/>
      <c r="G287" s="8" t="str">
        <f>IF(OR($E287="",$F287=""),"",IFERROR(IF($E287=INDEX(Cluster_Master!$A$4:$A$18,MATCH($F287,Cluster_Master!$B$4:$B$18,0)),"OK","CHECK"),"CHECK"))</f>
        <v/>
      </c>
      <c r="H287" s="11" t="str">
        <f>IFERROR(INDEX(Cluster_Master!$C$4:$C$18,MATCH($F287,Cluster_Master!$B$4:$B$18,0)),"")</f>
        <v/>
      </c>
      <c r="I287" s="8" t="str">
        <f>IFERROR(INDEX(Cluster_Master!$D$4:$D$18,MATCH($F287,Cluster_Master!$B$4:$B$18,0)),"")</f>
        <v/>
      </c>
      <c r="J287" s="8" t="str">
        <f>IFERROR(INDEX(Cluster_Master!$E$4:$E$18,MATCH($F287,Cluster_Master!$B$4:$B$18,0)),"")</f>
        <v/>
      </c>
      <c r="K287" s="8" t="str">
        <f>IFERROR(INDEX(Cluster_Master!$F$4:$F$18,MATCH($F287,Cluster_Master!$B$4:$B$18,0)),"")</f>
        <v/>
      </c>
      <c r="L287" s="8" t="str">
        <f>IFERROR(INDEX(Cluster_Master!$G$4:$G$18,MATCH($F287,Cluster_Master!$B$4:$B$18,0)),"")</f>
        <v/>
      </c>
      <c r="M287" s="8" t="str">
        <f>IFERROR(INDEX(Cluster_Master!$H$4:$H$18,MATCH($F287,Cluster_Master!$B$4:$B$18,0)),"")</f>
        <v/>
      </c>
      <c r="N287" s="12"/>
      <c r="O287" s="12"/>
      <c r="P287" s="12"/>
      <c r="Q287" s="12"/>
      <c r="R287" s="12"/>
      <c r="S287" s="12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8" t="str">
        <f t="shared" si="40"/>
        <v/>
      </c>
      <c r="AJ287" s="14" t="str">
        <f t="shared" si="41"/>
        <v/>
      </c>
      <c r="AK287" s="14" t="str">
        <f>IF(COUNTA(T287:AH287)=0,"",(SUM(T287*KPI_Weights!$B$4,U287*KPI_Weights!$B$5,V287*KPI_Weights!$B$6,W287*KPI_Weights!$B$7,X287*KPI_Weights!$B$8,Y287*KPI_Weights!$B$9,Z287*KPI_Weights!$B$10,AA287*KPI_Weights!$B$11,AB287*KPI_Weights!$B$12,AC287*KPI_Weights!$B$13,AD287*KPI_Weights!$B$14,AE287*KPI_Weights!$B$15,AF287*KPI_Weights!$B$16,AG287*KPI_Weights!$B$17,AH287*KPI_Weights!$B$18))/5)</f>
        <v/>
      </c>
      <c r="AL287" s="8" t="str">
        <f t="shared" si="42"/>
        <v/>
      </c>
      <c r="AM287" s="8" t="str">
        <f t="shared" si="43"/>
        <v/>
      </c>
      <c r="AN287" s="8" t="str">
        <f t="shared" si="44"/>
        <v/>
      </c>
      <c r="AO287" s="12"/>
      <c r="AP287" s="12"/>
      <c r="AQ287" s="12"/>
      <c r="AR287" s="12"/>
      <c r="AS287" s="12"/>
      <c r="AT287" s="15"/>
      <c r="AU287" s="12"/>
      <c r="AV287" s="16"/>
      <c r="AW287" s="12"/>
      <c r="AX287" s="15"/>
      <c r="AY287" s="15"/>
      <c r="AZ287" s="15"/>
      <c r="BA287" s="15"/>
      <c r="BB287" s="15"/>
      <c r="BC287" s="15"/>
      <c r="BD287" s="15"/>
      <c r="BE287" s="15"/>
      <c r="BF287" s="15"/>
    </row>
    <row r="288" spans="1:58" ht="19.5" customHeight="1" x14ac:dyDescent="0.2">
      <c r="A288" s="8" t="str">
        <f>IF($B288="","",TEXT($B288,"yyyymmdd")&amp;"-"&amp;SUBSTITUTE($F288," ","")&amp;"-"&amp;TEXT(COUNTIF($F$4:F288,$F288),"00"))</f>
        <v/>
      </c>
      <c r="B288" s="9"/>
      <c r="C288" s="8" t="str">
        <f t="shared" si="38"/>
        <v/>
      </c>
      <c r="D288" s="8" t="str">
        <f t="shared" si="39"/>
        <v/>
      </c>
      <c r="E288" s="10"/>
      <c r="F288" s="10"/>
      <c r="G288" s="8" t="str">
        <f>IF(OR($E288="",$F288=""),"",IFERROR(IF($E288=INDEX(Cluster_Master!$A$4:$A$18,MATCH($F288,Cluster_Master!$B$4:$B$18,0)),"OK","CHECK"),"CHECK"))</f>
        <v/>
      </c>
      <c r="H288" s="11" t="str">
        <f>IFERROR(INDEX(Cluster_Master!$C$4:$C$18,MATCH($F288,Cluster_Master!$B$4:$B$18,0)),"")</f>
        <v/>
      </c>
      <c r="I288" s="8" t="str">
        <f>IFERROR(INDEX(Cluster_Master!$D$4:$D$18,MATCH($F288,Cluster_Master!$B$4:$B$18,0)),"")</f>
        <v/>
      </c>
      <c r="J288" s="8" t="str">
        <f>IFERROR(INDEX(Cluster_Master!$E$4:$E$18,MATCH($F288,Cluster_Master!$B$4:$B$18,0)),"")</f>
        <v/>
      </c>
      <c r="K288" s="8" t="str">
        <f>IFERROR(INDEX(Cluster_Master!$F$4:$F$18,MATCH($F288,Cluster_Master!$B$4:$B$18,0)),"")</f>
        <v/>
      </c>
      <c r="L288" s="8" t="str">
        <f>IFERROR(INDEX(Cluster_Master!$G$4:$G$18,MATCH($F288,Cluster_Master!$B$4:$B$18,0)),"")</f>
        <v/>
      </c>
      <c r="M288" s="8" t="str">
        <f>IFERROR(INDEX(Cluster_Master!$H$4:$H$18,MATCH($F288,Cluster_Master!$B$4:$B$18,0)),"")</f>
        <v/>
      </c>
      <c r="N288" s="12"/>
      <c r="O288" s="12"/>
      <c r="P288" s="12"/>
      <c r="Q288" s="12"/>
      <c r="R288" s="12"/>
      <c r="S288" s="12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8" t="str">
        <f t="shared" si="40"/>
        <v/>
      </c>
      <c r="AJ288" s="14" t="str">
        <f t="shared" si="41"/>
        <v/>
      </c>
      <c r="AK288" s="14" t="str">
        <f>IF(COUNTA(T288:AH288)=0,"",(SUM(T288*KPI_Weights!$B$4,U288*KPI_Weights!$B$5,V288*KPI_Weights!$B$6,W288*KPI_Weights!$B$7,X288*KPI_Weights!$B$8,Y288*KPI_Weights!$B$9,Z288*KPI_Weights!$B$10,AA288*KPI_Weights!$B$11,AB288*KPI_Weights!$B$12,AC288*KPI_Weights!$B$13,AD288*KPI_Weights!$B$14,AE288*KPI_Weights!$B$15,AF288*KPI_Weights!$B$16,AG288*KPI_Weights!$B$17,AH288*KPI_Weights!$B$18))/5)</f>
        <v/>
      </c>
      <c r="AL288" s="8" t="str">
        <f t="shared" si="42"/>
        <v/>
      </c>
      <c r="AM288" s="8" t="str">
        <f t="shared" si="43"/>
        <v/>
      </c>
      <c r="AN288" s="8" t="str">
        <f t="shared" si="44"/>
        <v/>
      </c>
      <c r="AO288" s="12"/>
      <c r="AP288" s="12"/>
      <c r="AQ288" s="12"/>
      <c r="AR288" s="12"/>
      <c r="AS288" s="12"/>
      <c r="AT288" s="15"/>
      <c r="AU288" s="12"/>
      <c r="AV288" s="16"/>
      <c r="AW288" s="12"/>
      <c r="AX288" s="15"/>
      <c r="AY288" s="15"/>
      <c r="AZ288" s="15"/>
      <c r="BA288" s="15"/>
      <c r="BB288" s="15"/>
      <c r="BC288" s="15"/>
      <c r="BD288" s="15"/>
      <c r="BE288" s="15"/>
      <c r="BF288" s="15"/>
    </row>
    <row r="289" spans="1:58" ht="19.5" customHeight="1" x14ac:dyDescent="0.2">
      <c r="A289" s="8" t="str">
        <f>IF($B289="","",TEXT($B289,"yyyymmdd")&amp;"-"&amp;SUBSTITUTE($F289," ","")&amp;"-"&amp;TEXT(COUNTIF($F$4:F289,$F289),"00"))</f>
        <v/>
      </c>
      <c r="B289" s="9"/>
      <c r="C289" s="8" t="str">
        <f t="shared" si="38"/>
        <v/>
      </c>
      <c r="D289" s="8" t="str">
        <f t="shared" si="39"/>
        <v/>
      </c>
      <c r="E289" s="10"/>
      <c r="F289" s="10"/>
      <c r="G289" s="8" t="str">
        <f>IF(OR($E289="",$F289=""),"",IFERROR(IF($E289=INDEX(Cluster_Master!$A$4:$A$18,MATCH($F289,Cluster_Master!$B$4:$B$18,0)),"OK","CHECK"),"CHECK"))</f>
        <v/>
      </c>
      <c r="H289" s="11" t="str">
        <f>IFERROR(INDEX(Cluster_Master!$C$4:$C$18,MATCH($F289,Cluster_Master!$B$4:$B$18,0)),"")</f>
        <v/>
      </c>
      <c r="I289" s="8" t="str">
        <f>IFERROR(INDEX(Cluster_Master!$D$4:$D$18,MATCH($F289,Cluster_Master!$B$4:$B$18,0)),"")</f>
        <v/>
      </c>
      <c r="J289" s="8" t="str">
        <f>IFERROR(INDEX(Cluster_Master!$E$4:$E$18,MATCH($F289,Cluster_Master!$B$4:$B$18,0)),"")</f>
        <v/>
      </c>
      <c r="K289" s="8" t="str">
        <f>IFERROR(INDEX(Cluster_Master!$F$4:$F$18,MATCH($F289,Cluster_Master!$B$4:$B$18,0)),"")</f>
        <v/>
      </c>
      <c r="L289" s="8" t="str">
        <f>IFERROR(INDEX(Cluster_Master!$G$4:$G$18,MATCH($F289,Cluster_Master!$B$4:$B$18,0)),"")</f>
        <v/>
      </c>
      <c r="M289" s="8" t="str">
        <f>IFERROR(INDEX(Cluster_Master!$H$4:$H$18,MATCH($F289,Cluster_Master!$B$4:$B$18,0)),"")</f>
        <v/>
      </c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8" t="str">
        <f t="shared" si="40"/>
        <v/>
      </c>
      <c r="AJ289" s="14" t="str">
        <f t="shared" si="41"/>
        <v/>
      </c>
      <c r="AK289" s="14" t="str">
        <f>IF(COUNTA(T289:AH289)=0,"",(SUM(T289*KPI_Weights!$B$4,U289*KPI_Weights!$B$5,V289*KPI_Weights!$B$6,W289*KPI_Weights!$B$7,X289*KPI_Weights!$B$8,Y289*KPI_Weights!$B$9,Z289*KPI_Weights!$B$10,AA289*KPI_Weights!$B$11,AB289*KPI_Weights!$B$12,AC289*KPI_Weights!$B$13,AD289*KPI_Weights!$B$14,AE289*KPI_Weights!$B$15,AF289*KPI_Weights!$B$16,AG289*KPI_Weights!$B$17,AH289*KPI_Weights!$B$18))/5)</f>
        <v/>
      </c>
      <c r="AL289" s="8" t="str">
        <f t="shared" si="42"/>
        <v/>
      </c>
      <c r="AM289" s="8" t="str">
        <f t="shared" si="43"/>
        <v/>
      </c>
      <c r="AN289" s="8" t="str">
        <f t="shared" si="44"/>
        <v/>
      </c>
      <c r="AO289" s="12"/>
      <c r="AP289" s="12"/>
      <c r="AQ289" s="12"/>
      <c r="AR289" s="12"/>
      <c r="AS289" s="12"/>
      <c r="AT289" s="15"/>
      <c r="AU289" s="12"/>
      <c r="AV289" s="16"/>
      <c r="AW289" s="12"/>
      <c r="AX289" s="15"/>
      <c r="AY289" s="15"/>
      <c r="AZ289" s="15"/>
      <c r="BA289" s="15"/>
      <c r="BB289" s="15"/>
      <c r="BC289" s="15"/>
      <c r="BD289" s="15"/>
      <c r="BE289" s="15"/>
      <c r="BF289" s="15"/>
    </row>
    <row r="290" spans="1:58" ht="19.5" customHeight="1" x14ac:dyDescent="0.2">
      <c r="A290" s="8" t="str">
        <f>IF($B290="","",TEXT($B290,"yyyymmdd")&amp;"-"&amp;SUBSTITUTE($F290," ","")&amp;"-"&amp;TEXT(COUNTIF($F$4:F290,$F290),"00"))</f>
        <v/>
      </c>
      <c r="B290" s="9"/>
      <c r="C290" s="8" t="str">
        <f t="shared" si="38"/>
        <v/>
      </c>
      <c r="D290" s="8" t="str">
        <f t="shared" si="39"/>
        <v/>
      </c>
      <c r="E290" s="10"/>
      <c r="F290" s="10"/>
      <c r="G290" s="8" t="str">
        <f>IF(OR($E290="",$F290=""),"",IFERROR(IF($E290=INDEX(Cluster_Master!$A$4:$A$18,MATCH($F290,Cluster_Master!$B$4:$B$18,0)),"OK","CHECK"),"CHECK"))</f>
        <v/>
      </c>
      <c r="H290" s="11" t="str">
        <f>IFERROR(INDEX(Cluster_Master!$C$4:$C$18,MATCH($F290,Cluster_Master!$B$4:$B$18,0)),"")</f>
        <v/>
      </c>
      <c r="I290" s="8" t="str">
        <f>IFERROR(INDEX(Cluster_Master!$D$4:$D$18,MATCH($F290,Cluster_Master!$B$4:$B$18,0)),"")</f>
        <v/>
      </c>
      <c r="J290" s="8" t="str">
        <f>IFERROR(INDEX(Cluster_Master!$E$4:$E$18,MATCH($F290,Cluster_Master!$B$4:$B$18,0)),"")</f>
        <v/>
      </c>
      <c r="K290" s="8" t="str">
        <f>IFERROR(INDEX(Cluster_Master!$F$4:$F$18,MATCH($F290,Cluster_Master!$B$4:$B$18,0)),"")</f>
        <v/>
      </c>
      <c r="L290" s="8" t="str">
        <f>IFERROR(INDEX(Cluster_Master!$G$4:$G$18,MATCH($F290,Cluster_Master!$B$4:$B$18,0)),"")</f>
        <v/>
      </c>
      <c r="M290" s="8" t="str">
        <f>IFERROR(INDEX(Cluster_Master!$H$4:$H$18,MATCH($F290,Cluster_Master!$B$4:$B$18,0)),"")</f>
        <v/>
      </c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8" t="str">
        <f t="shared" si="40"/>
        <v/>
      </c>
      <c r="AJ290" s="14" t="str">
        <f t="shared" si="41"/>
        <v/>
      </c>
      <c r="AK290" s="14" t="str">
        <f>IF(COUNTA(T290:AH290)=0,"",(SUM(T290*KPI_Weights!$B$4,U290*KPI_Weights!$B$5,V290*KPI_Weights!$B$6,W290*KPI_Weights!$B$7,X290*KPI_Weights!$B$8,Y290*KPI_Weights!$B$9,Z290*KPI_Weights!$B$10,AA290*KPI_Weights!$B$11,AB290*KPI_Weights!$B$12,AC290*KPI_Weights!$B$13,AD290*KPI_Weights!$B$14,AE290*KPI_Weights!$B$15,AF290*KPI_Weights!$B$16,AG290*KPI_Weights!$B$17,AH290*KPI_Weights!$B$18))/5)</f>
        <v/>
      </c>
      <c r="AL290" s="8" t="str">
        <f t="shared" si="42"/>
        <v/>
      </c>
      <c r="AM290" s="8" t="str">
        <f t="shared" si="43"/>
        <v/>
      </c>
      <c r="AN290" s="8" t="str">
        <f t="shared" si="44"/>
        <v/>
      </c>
      <c r="AO290" s="12"/>
      <c r="AP290" s="12"/>
      <c r="AQ290" s="12"/>
      <c r="AR290" s="12"/>
      <c r="AS290" s="12"/>
      <c r="AT290" s="15"/>
      <c r="AU290" s="12"/>
      <c r="AV290" s="16"/>
      <c r="AW290" s="12"/>
      <c r="AX290" s="15"/>
      <c r="AY290" s="15"/>
      <c r="AZ290" s="15"/>
      <c r="BA290" s="15"/>
      <c r="BB290" s="15"/>
      <c r="BC290" s="15"/>
      <c r="BD290" s="15"/>
      <c r="BE290" s="15"/>
      <c r="BF290" s="15"/>
    </row>
    <row r="291" spans="1:58" ht="19.5" customHeight="1" x14ac:dyDescent="0.2">
      <c r="A291" s="8" t="str">
        <f>IF($B291="","",TEXT($B291,"yyyymmdd")&amp;"-"&amp;SUBSTITUTE($F291," ","")&amp;"-"&amp;TEXT(COUNTIF($F$4:F291,$F291),"00"))</f>
        <v/>
      </c>
      <c r="B291" s="9"/>
      <c r="C291" s="8" t="str">
        <f t="shared" si="38"/>
        <v/>
      </c>
      <c r="D291" s="8" t="str">
        <f t="shared" si="39"/>
        <v/>
      </c>
      <c r="E291" s="10"/>
      <c r="F291" s="10"/>
      <c r="G291" s="8" t="str">
        <f>IF(OR($E291="",$F291=""),"",IFERROR(IF($E291=INDEX(Cluster_Master!$A$4:$A$18,MATCH($F291,Cluster_Master!$B$4:$B$18,0)),"OK","CHECK"),"CHECK"))</f>
        <v/>
      </c>
      <c r="H291" s="11" t="str">
        <f>IFERROR(INDEX(Cluster_Master!$C$4:$C$18,MATCH($F291,Cluster_Master!$B$4:$B$18,0)),"")</f>
        <v/>
      </c>
      <c r="I291" s="8" t="str">
        <f>IFERROR(INDEX(Cluster_Master!$D$4:$D$18,MATCH($F291,Cluster_Master!$B$4:$B$18,0)),"")</f>
        <v/>
      </c>
      <c r="J291" s="8" t="str">
        <f>IFERROR(INDEX(Cluster_Master!$E$4:$E$18,MATCH($F291,Cluster_Master!$B$4:$B$18,0)),"")</f>
        <v/>
      </c>
      <c r="K291" s="8" t="str">
        <f>IFERROR(INDEX(Cluster_Master!$F$4:$F$18,MATCH($F291,Cluster_Master!$B$4:$B$18,0)),"")</f>
        <v/>
      </c>
      <c r="L291" s="8" t="str">
        <f>IFERROR(INDEX(Cluster_Master!$G$4:$G$18,MATCH($F291,Cluster_Master!$B$4:$B$18,0)),"")</f>
        <v/>
      </c>
      <c r="M291" s="8" t="str">
        <f>IFERROR(INDEX(Cluster_Master!$H$4:$H$18,MATCH($F291,Cluster_Master!$B$4:$B$18,0)),"")</f>
        <v/>
      </c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8" t="str">
        <f t="shared" si="40"/>
        <v/>
      </c>
      <c r="AJ291" s="14" t="str">
        <f t="shared" si="41"/>
        <v/>
      </c>
      <c r="AK291" s="14" t="str">
        <f>IF(COUNTA(T291:AH291)=0,"",(SUM(T291*KPI_Weights!$B$4,U291*KPI_Weights!$B$5,V291*KPI_Weights!$B$6,W291*KPI_Weights!$B$7,X291*KPI_Weights!$B$8,Y291*KPI_Weights!$B$9,Z291*KPI_Weights!$B$10,AA291*KPI_Weights!$B$11,AB291*KPI_Weights!$B$12,AC291*KPI_Weights!$B$13,AD291*KPI_Weights!$B$14,AE291*KPI_Weights!$B$15,AF291*KPI_Weights!$B$16,AG291*KPI_Weights!$B$17,AH291*KPI_Weights!$B$18))/5)</f>
        <v/>
      </c>
      <c r="AL291" s="8" t="str">
        <f t="shared" si="42"/>
        <v/>
      </c>
      <c r="AM291" s="8" t="str">
        <f t="shared" si="43"/>
        <v/>
      </c>
      <c r="AN291" s="8" t="str">
        <f t="shared" si="44"/>
        <v/>
      </c>
      <c r="AO291" s="12"/>
      <c r="AP291" s="12"/>
      <c r="AQ291" s="12"/>
      <c r="AR291" s="12"/>
      <c r="AS291" s="12"/>
      <c r="AT291" s="15"/>
      <c r="AU291" s="12"/>
      <c r="AV291" s="16"/>
      <c r="AW291" s="12"/>
      <c r="AX291" s="15"/>
      <c r="AY291" s="15"/>
      <c r="AZ291" s="15"/>
      <c r="BA291" s="15"/>
      <c r="BB291" s="15"/>
      <c r="BC291" s="15"/>
      <c r="BD291" s="15"/>
      <c r="BE291" s="15"/>
      <c r="BF291" s="15"/>
    </row>
    <row r="292" spans="1:58" ht="19.5" customHeight="1" x14ac:dyDescent="0.2">
      <c r="A292" s="8" t="str">
        <f>IF($B292="","",TEXT($B292,"yyyymmdd")&amp;"-"&amp;SUBSTITUTE($F292," ","")&amp;"-"&amp;TEXT(COUNTIF($F$4:F292,$F292),"00"))</f>
        <v/>
      </c>
      <c r="B292" s="9"/>
      <c r="C292" s="8" t="str">
        <f t="shared" si="38"/>
        <v/>
      </c>
      <c r="D292" s="8" t="str">
        <f t="shared" si="39"/>
        <v/>
      </c>
      <c r="E292" s="10"/>
      <c r="F292" s="10"/>
      <c r="G292" s="8" t="str">
        <f>IF(OR($E292="",$F292=""),"",IFERROR(IF($E292=INDEX(Cluster_Master!$A$4:$A$18,MATCH($F292,Cluster_Master!$B$4:$B$18,0)),"OK","CHECK"),"CHECK"))</f>
        <v/>
      </c>
      <c r="H292" s="11" t="str">
        <f>IFERROR(INDEX(Cluster_Master!$C$4:$C$18,MATCH($F292,Cluster_Master!$B$4:$B$18,0)),"")</f>
        <v/>
      </c>
      <c r="I292" s="8" t="str">
        <f>IFERROR(INDEX(Cluster_Master!$D$4:$D$18,MATCH($F292,Cluster_Master!$B$4:$B$18,0)),"")</f>
        <v/>
      </c>
      <c r="J292" s="8" t="str">
        <f>IFERROR(INDEX(Cluster_Master!$E$4:$E$18,MATCH($F292,Cluster_Master!$B$4:$B$18,0)),"")</f>
        <v/>
      </c>
      <c r="K292" s="8" t="str">
        <f>IFERROR(INDEX(Cluster_Master!$F$4:$F$18,MATCH($F292,Cluster_Master!$B$4:$B$18,0)),"")</f>
        <v/>
      </c>
      <c r="L292" s="8" t="str">
        <f>IFERROR(INDEX(Cluster_Master!$G$4:$G$18,MATCH($F292,Cluster_Master!$B$4:$B$18,0)),"")</f>
        <v/>
      </c>
      <c r="M292" s="8" t="str">
        <f>IFERROR(INDEX(Cluster_Master!$H$4:$H$18,MATCH($F292,Cluster_Master!$B$4:$B$18,0)),"")</f>
        <v/>
      </c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8" t="str">
        <f t="shared" si="40"/>
        <v/>
      </c>
      <c r="AJ292" s="14" t="str">
        <f t="shared" si="41"/>
        <v/>
      </c>
      <c r="AK292" s="14" t="str">
        <f>IF(COUNTA(T292:AH292)=0,"",(SUM(T292*KPI_Weights!$B$4,U292*KPI_Weights!$B$5,V292*KPI_Weights!$B$6,W292*KPI_Weights!$B$7,X292*KPI_Weights!$B$8,Y292*KPI_Weights!$B$9,Z292*KPI_Weights!$B$10,AA292*KPI_Weights!$B$11,AB292*KPI_Weights!$B$12,AC292*KPI_Weights!$B$13,AD292*KPI_Weights!$B$14,AE292*KPI_Weights!$B$15,AF292*KPI_Weights!$B$16,AG292*KPI_Weights!$B$17,AH292*KPI_Weights!$B$18))/5)</f>
        <v/>
      </c>
      <c r="AL292" s="8" t="str">
        <f t="shared" si="42"/>
        <v/>
      </c>
      <c r="AM292" s="8" t="str">
        <f t="shared" si="43"/>
        <v/>
      </c>
      <c r="AN292" s="8" t="str">
        <f t="shared" si="44"/>
        <v/>
      </c>
      <c r="AO292" s="12"/>
      <c r="AP292" s="12"/>
      <c r="AQ292" s="12"/>
      <c r="AR292" s="12"/>
      <c r="AS292" s="12"/>
      <c r="AT292" s="15"/>
      <c r="AU292" s="12"/>
      <c r="AV292" s="16"/>
      <c r="AW292" s="12"/>
      <c r="AX292" s="15"/>
      <c r="AY292" s="15"/>
      <c r="AZ292" s="15"/>
      <c r="BA292" s="15"/>
      <c r="BB292" s="15"/>
      <c r="BC292" s="15"/>
      <c r="BD292" s="15"/>
      <c r="BE292" s="15"/>
      <c r="BF292" s="15"/>
    </row>
    <row r="293" spans="1:58" ht="19.5" customHeight="1" x14ac:dyDescent="0.2">
      <c r="A293" s="8" t="str">
        <f>IF($B293="","",TEXT($B293,"yyyymmdd")&amp;"-"&amp;SUBSTITUTE($F293," ","")&amp;"-"&amp;TEXT(COUNTIF($F$4:F293,$F293),"00"))</f>
        <v/>
      </c>
      <c r="B293" s="9"/>
      <c r="C293" s="8" t="str">
        <f t="shared" si="38"/>
        <v/>
      </c>
      <c r="D293" s="8" t="str">
        <f t="shared" si="39"/>
        <v/>
      </c>
      <c r="E293" s="10"/>
      <c r="F293" s="10"/>
      <c r="G293" s="8" t="str">
        <f>IF(OR($E293="",$F293=""),"",IFERROR(IF($E293=INDEX(Cluster_Master!$A$4:$A$18,MATCH($F293,Cluster_Master!$B$4:$B$18,0)),"OK","CHECK"),"CHECK"))</f>
        <v/>
      </c>
      <c r="H293" s="11" t="str">
        <f>IFERROR(INDEX(Cluster_Master!$C$4:$C$18,MATCH($F293,Cluster_Master!$B$4:$B$18,0)),"")</f>
        <v/>
      </c>
      <c r="I293" s="8" t="str">
        <f>IFERROR(INDEX(Cluster_Master!$D$4:$D$18,MATCH($F293,Cluster_Master!$B$4:$B$18,0)),"")</f>
        <v/>
      </c>
      <c r="J293" s="8" t="str">
        <f>IFERROR(INDEX(Cluster_Master!$E$4:$E$18,MATCH($F293,Cluster_Master!$B$4:$B$18,0)),"")</f>
        <v/>
      </c>
      <c r="K293" s="8" t="str">
        <f>IFERROR(INDEX(Cluster_Master!$F$4:$F$18,MATCH($F293,Cluster_Master!$B$4:$B$18,0)),"")</f>
        <v/>
      </c>
      <c r="L293" s="8" t="str">
        <f>IFERROR(INDEX(Cluster_Master!$G$4:$G$18,MATCH($F293,Cluster_Master!$B$4:$B$18,0)),"")</f>
        <v/>
      </c>
      <c r="M293" s="8" t="str">
        <f>IFERROR(INDEX(Cluster_Master!$H$4:$H$18,MATCH($F293,Cluster_Master!$B$4:$B$18,0)),"")</f>
        <v/>
      </c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8" t="str">
        <f t="shared" si="40"/>
        <v/>
      </c>
      <c r="AJ293" s="14" t="str">
        <f t="shared" si="41"/>
        <v/>
      </c>
      <c r="AK293" s="14" t="str">
        <f>IF(COUNTA(T293:AH293)=0,"",(SUM(T293*KPI_Weights!$B$4,U293*KPI_Weights!$B$5,V293*KPI_Weights!$B$6,W293*KPI_Weights!$B$7,X293*KPI_Weights!$B$8,Y293*KPI_Weights!$B$9,Z293*KPI_Weights!$B$10,AA293*KPI_Weights!$B$11,AB293*KPI_Weights!$B$12,AC293*KPI_Weights!$B$13,AD293*KPI_Weights!$B$14,AE293*KPI_Weights!$B$15,AF293*KPI_Weights!$B$16,AG293*KPI_Weights!$B$17,AH293*KPI_Weights!$B$18))/5)</f>
        <v/>
      </c>
      <c r="AL293" s="8" t="str">
        <f t="shared" si="42"/>
        <v/>
      </c>
      <c r="AM293" s="8" t="str">
        <f t="shared" si="43"/>
        <v/>
      </c>
      <c r="AN293" s="8" t="str">
        <f t="shared" si="44"/>
        <v/>
      </c>
      <c r="AO293" s="12"/>
      <c r="AP293" s="12"/>
      <c r="AQ293" s="12"/>
      <c r="AR293" s="12"/>
      <c r="AS293" s="12"/>
      <c r="AT293" s="15"/>
      <c r="AU293" s="12"/>
      <c r="AV293" s="16"/>
      <c r="AW293" s="12"/>
      <c r="AX293" s="15"/>
      <c r="AY293" s="15"/>
      <c r="AZ293" s="15"/>
      <c r="BA293" s="15"/>
      <c r="BB293" s="15"/>
      <c r="BC293" s="15"/>
      <c r="BD293" s="15"/>
      <c r="BE293" s="15"/>
      <c r="BF293" s="15"/>
    </row>
    <row r="294" spans="1:58" ht="19.5" customHeight="1" x14ac:dyDescent="0.2">
      <c r="A294" s="8" t="str">
        <f>IF($B294="","",TEXT($B294,"yyyymmdd")&amp;"-"&amp;SUBSTITUTE($F294," ","")&amp;"-"&amp;TEXT(COUNTIF($F$4:F294,$F294),"00"))</f>
        <v/>
      </c>
      <c r="B294" s="9"/>
      <c r="C294" s="8" t="str">
        <f t="shared" si="38"/>
        <v/>
      </c>
      <c r="D294" s="8" t="str">
        <f t="shared" si="39"/>
        <v/>
      </c>
      <c r="E294" s="10"/>
      <c r="F294" s="10"/>
      <c r="G294" s="8" t="str">
        <f>IF(OR($E294="",$F294=""),"",IFERROR(IF($E294=INDEX(Cluster_Master!$A$4:$A$18,MATCH($F294,Cluster_Master!$B$4:$B$18,0)),"OK","CHECK"),"CHECK"))</f>
        <v/>
      </c>
      <c r="H294" s="11" t="str">
        <f>IFERROR(INDEX(Cluster_Master!$C$4:$C$18,MATCH($F294,Cluster_Master!$B$4:$B$18,0)),"")</f>
        <v/>
      </c>
      <c r="I294" s="8" t="str">
        <f>IFERROR(INDEX(Cluster_Master!$D$4:$D$18,MATCH($F294,Cluster_Master!$B$4:$B$18,0)),"")</f>
        <v/>
      </c>
      <c r="J294" s="8" t="str">
        <f>IFERROR(INDEX(Cluster_Master!$E$4:$E$18,MATCH($F294,Cluster_Master!$B$4:$B$18,0)),"")</f>
        <v/>
      </c>
      <c r="K294" s="8" t="str">
        <f>IFERROR(INDEX(Cluster_Master!$F$4:$F$18,MATCH($F294,Cluster_Master!$B$4:$B$18,0)),"")</f>
        <v/>
      </c>
      <c r="L294" s="8" t="str">
        <f>IFERROR(INDEX(Cluster_Master!$G$4:$G$18,MATCH($F294,Cluster_Master!$B$4:$B$18,0)),"")</f>
        <v/>
      </c>
      <c r="M294" s="8" t="str">
        <f>IFERROR(INDEX(Cluster_Master!$H$4:$H$18,MATCH($F294,Cluster_Master!$B$4:$B$18,0)),"")</f>
        <v/>
      </c>
      <c r="N294" s="12"/>
      <c r="O294" s="12"/>
      <c r="P294" s="12"/>
      <c r="Q294" s="12"/>
      <c r="R294" s="12"/>
      <c r="S294" s="12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8" t="str">
        <f t="shared" si="40"/>
        <v/>
      </c>
      <c r="AJ294" s="14" t="str">
        <f t="shared" si="41"/>
        <v/>
      </c>
      <c r="AK294" s="14" t="str">
        <f>IF(COUNTA(T294:AH294)=0,"",(SUM(T294*KPI_Weights!$B$4,U294*KPI_Weights!$B$5,V294*KPI_Weights!$B$6,W294*KPI_Weights!$B$7,X294*KPI_Weights!$B$8,Y294*KPI_Weights!$B$9,Z294*KPI_Weights!$B$10,AA294*KPI_Weights!$B$11,AB294*KPI_Weights!$B$12,AC294*KPI_Weights!$B$13,AD294*KPI_Weights!$B$14,AE294*KPI_Weights!$B$15,AF294*KPI_Weights!$B$16,AG294*KPI_Weights!$B$17,AH294*KPI_Weights!$B$18))/5)</f>
        <v/>
      </c>
      <c r="AL294" s="8" t="str">
        <f t="shared" si="42"/>
        <v/>
      </c>
      <c r="AM294" s="8" t="str">
        <f t="shared" si="43"/>
        <v/>
      </c>
      <c r="AN294" s="8" t="str">
        <f t="shared" si="44"/>
        <v/>
      </c>
      <c r="AO294" s="12"/>
      <c r="AP294" s="12"/>
      <c r="AQ294" s="12"/>
      <c r="AR294" s="12"/>
      <c r="AS294" s="12"/>
      <c r="AT294" s="15"/>
      <c r="AU294" s="12"/>
      <c r="AV294" s="16"/>
      <c r="AW294" s="12"/>
      <c r="AX294" s="15"/>
      <c r="AY294" s="15"/>
      <c r="AZ294" s="15"/>
      <c r="BA294" s="15"/>
      <c r="BB294" s="15"/>
      <c r="BC294" s="15"/>
      <c r="BD294" s="15"/>
      <c r="BE294" s="15"/>
      <c r="BF294" s="15"/>
    </row>
    <row r="295" spans="1:58" ht="19.5" customHeight="1" x14ac:dyDescent="0.2">
      <c r="A295" s="8" t="str">
        <f>IF($B295="","",TEXT($B295,"yyyymmdd")&amp;"-"&amp;SUBSTITUTE($F295," ","")&amp;"-"&amp;TEXT(COUNTIF($F$4:F295,$F295),"00"))</f>
        <v/>
      </c>
      <c r="B295" s="9"/>
      <c r="C295" s="8" t="str">
        <f t="shared" si="38"/>
        <v/>
      </c>
      <c r="D295" s="8" t="str">
        <f t="shared" si="39"/>
        <v/>
      </c>
      <c r="E295" s="10"/>
      <c r="F295" s="10"/>
      <c r="G295" s="8" t="str">
        <f>IF(OR($E295="",$F295=""),"",IFERROR(IF($E295=INDEX(Cluster_Master!$A$4:$A$18,MATCH($F295,Cluster_Master!$B$4:$B$18,0)),"OK","CHECK"),"CHECK"))</f>
        <v/>
      </c>
      <c r="H295" s="11" t="str">
        <f>IFERROR(INDEX(Cluster_Master!$C$4:$C$18,MATCH($F295,Cluster_Master!$B$4:$B$18,0)),"")</f>
        <v/>
      </c>
      <c r="I295" s="8" t="str">
        <f>IFERROR(INDEX(Cluster_Master!$D$4:$D$18,MATCH($F295,Cluster_Master!$B$4:$B$18,0)),"")</f>
        <v/>
      </c>
      <c r="J295" s="8" t="str">
        <f>IFERROR(INDEX(Cluster_Master!$E$4:$E$18,MATCH($F295,Cluster_Master!$B$4:$B$18,0)),"")</f>
        <v/>
      </c>
      <c r="K295" s="8" t="str">
        <f>IFERROR(INDEX(Cluster_Master!$F$4:$F$18,MATCH($F295,Cluster_Master!$B$4:$B$18,0)),"")</f>
        <v/>
      </c>
      <c r="L295" s="8" t="str">
        <f>IFERROR(INDEX(Cluster_Master!$G$4:$G$18,MATCH($F295,Cluster_Master!$B$4:$B$18,0)),"")</f>
        <v/>
      </c>
      <c r="M295" s="8" t="str">
        <f>IFERROR(INDEX(Cluster_Master!$H$4:$H$18,MATCH($F295,Cluster_Master!$B$4:$B$18,0)),"")</f>
        <v/>
      </c>
      <c r="N295" s="12"/>
      <c r="O295" s="12"/>
      <c r="P295" s="12"/>
      <c r="Q295" s="12"/>
      <c r="R295" s="12"/>
      <c r="S295" s="12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8" t="str">
        <f t="shared" si="40"/>
        <v/>
      </c>
      <c r="AJ295" s="14" t="str">
        <f t="shared" si="41"/>
        <v/>
      </c>
      <c r="AK295" s="14" t="str">
        <f>IF(COUNTA(T295:AH295)=0,"",(SUM(T295*KPI_Weights!$B$4,U295*KPI_Weights!$B$5,V295*KPI_Weights!$B$6,W295*KPI_Weights!$B$7,X295*KPI_Weights!$B$8,Y295*KPI_Weights!$B$9,Z295*KPI_Weights!$B$10,AA295*KPI_Weights!$B$11,AB295*KPI_Weights!$B$12,AC295*KPI_Weights!$B$13,AD295*KPI_Weights!$B$14,AE295*KPI_Weights!$B$15,AF295*KPI_Weights!$B$16,AG295*KPI_Weights!$B$17,AH295*KPI_Weights!$B$18))/5)</f>
        <v/>
      </c>
      <c r="AL295" s="8" t="str">
        <f t="shared" si="42"/>
        <v/>
      </c>
      <c r="AM295" s="8" t="str">
        <f t="shared" si="43"/>
        <v/>
      </c>
      <c r="AN295" s="8" t="str">
        <f t="shared" si="44"/>
        <v/>
      </c>
      <c r="AO295" s="12"/>
      <c r="AP295" s="12"/>
      <c r="AQ295" s="12"/>
      <c r="AR295" s="12"/>
      <c r="AS295" s="12"/>
      <c r="AT295" s="15"/>
      <c r="AU295" s="12"/>
      <c r="AV295" s="16"/>
      <c r="AW295" s="12"/>
      <c r="AX295" s="15"/>
      <c r="AY295" s="15"/>
      <c r="AZ295" s="15"/>
      <c r="BA295" s="15"/>
      <c r="BB295" s="15"/>
      <c r="BC295" s="15"/>
      <c r="BD295" s="15"/>
      <c r="BE295" s="15"/>
      <c r="BF295" s="15"/>
    </row>
    <row r="296" spans="1:58" ht="19.5" customHeight="1" x14ac:dyDescent="0.2">
      <c r="A296" s="8" t="str">
        <f>IF($B296="","",TEXT($B296,"yyyymmdd")&amp;"-"&amp;SUBSTITUTE($F296," ","")&amp;"-"&amp;TEXT(COUNTIF($F$4:F296,$F296),"00"))</f>
        <v/>
      </c>
      <c r="B296" s="9"/>
      <c r="C296" s="8" t="str">
        <f t="shared" si="38"/>
        <v/>
      </c>
      <c r="D296" s="8" t="str">
        <f t="shared" si="39"/>
        <v/>
      </c>
      <c r="E296" s="10"/>
      <c r="F296" s="10"/>
      <c r="G296" s="8" t="str">
        <f>IF(OR($E296="",$F296=""),"",IFERROR(IF($E296=INDEX(Cluster_Master!$A$4:$A$18,MATCH($F296,Cluster_Master!$B$4:$B$18,0)),"OK","CHECK"),"CHECK"))</f>
        <v/>
      </c>
      <c r="H296" s="11" t="str">
        <f>IFERROR(INDEX(Cluster_Master!$C$4:$C$18,MATCH($F296,Cluster_Master!$B$4:$B$18,0)),"")</f>
        <v/>
      </c>
      <c r="I296" s="8" t="str">
        <f>IFERROR(INDEX(Cluster_Master!$D$4:$D$18,MATCH($F296,Cluster_Master!$B$4:$B$18,0)),"")</f>
        <v/>
      </c>
      <c r="J296" s="8" t="str">
        <f>IFERROR(INDEX(Cluster_Master!$E$4:$E$18,MATCH($F296,Cluster_Master!$B$4:$B$18,0)),"")</f>
        <v/>
      </c>
      <c r="K296" s="8" t="str">
        <f>IFERROR(INDEX(Cluster_Master!$F$4:$F$18,MATCH($F296,Cluster_Master!$B$4:$B$18,0)),"")</f>
        <v/>
      </c>
      <c r="L296" s="8" t="str">
        <f>IFERROR(INDEX(Cluster_Master!$G$4:$G$18,MATCH($F296,Cluster_Master!$B$4:$B$18,0)),"")</f>
        <v/>
      </c>
      <c r="M296" s="8" t="str">
        <f>IFERROR(INDEX(Cluster_Master!$H$4:$H$18,MATCH($F296,Cluster_Master!$B$4:$B$18,0)),"")</f>
        <v/>
      </c>
      <c r="N296" s="12"/>
      <c r="O296" s="12"/>
      <c r="P296" s="12"/>
      <c r="Q296" s="12"/>
      <c r="R296" s="12"/>
      <c r="S296" s="12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8" t="str">
        <f t="shared" si="40"/>
        <v/>
      </c>
      <c r="AJ296" s="14" t="str">
        <f t="shared" si="41"/>
        <v/>
      </c>
      <c r="AK296" s="14" t="str">
        <f>IF(COUNTA(T296:AH296)=0,"",(SUM(T296*KPI_Weights!$B$4,U296*KPI_Weights!$B$5,V296*KPI_Weights!$B$6,W296*KPI_Weights!$B$7,X296*KPI_Weights!$B$8,Y296*KPI_Weights!$B$9,Z296*KPI_Weights!$B$10,AA296*KPI_Weights!$B$11,AB296*KPI_Weights!$B$12,AC296*KPI_Weights!$B$13,AD296*KPI_Weights!$B$14,AE296*KPI_Weights!$B$15,AF296*KPI_Weights!$B$16,AG296*KPI_Weights!$B$17,AH296*KPI_Weights!$B$18))/5)</f>
        <v/>
      </c>
      <c r="AL296" s="8" t="str">
        <f t="shared" si="42"/>
        <v/>
      </c>
      <c r="AM296" s="8" t="str">
        <f t="shared" si="43"/>
        <v/>
      </c>
      <c r="AN296" s="8" t="str">
        <f t="shared" si="44"/>
        <v/>
      </c>
      <c r="AO296" s="12"/>
      <c r="AP296" s="12"/>
      <c r="AQ296" s="12"/>
      <c r="AR296" s="12"/>
      <c r="AS296" s="12"/>
      <c r="AT296" s="15"/>
      <c r="AU296" s="12"/>
      <c r="AV296" s="16"/>
      <c r="AW296" s="12"/>
      <c r="AX296" s="15"/>
      <c r="AY296" s="15"/>
      <c r="AZ296" s="15"/>
      <c r="BA296" s="15"/>
      <c r="BB296" s="15"/>
      <c r="BC296" s="15"/>
      <c r="BD296" s="15"/>
      <c r="BE296" s="15"/>
      <c r="BF296" s="15"/>
    </row>
    <row r="297" spans="1:58" ht="19.5" customHeight="1" x14ac:dyDescent="0.2">
      <c r="A297" s="8" t="str">
        <f>IF($B297="","",TEXT($B297,"yyyymmdd")&amp;"-"&amp;SUBSTITUTE($F297," ","")&amp;"-"&amp;TEXT(COUNTIF($F$4:F297,$F297),"00"))</f>
        <v/>
      </c>
      <c r="B297" s="9"/>
      <c r="C297" s="8" t="str">
        <f t="shared" si="38"/>
        <v/>
      </c>
      <c r="D297" s="8" t="str">
        <f t="shared" si="39"/>
        <v/>
      </c>
      <c r="E297" s="10"/>
      <c r="F297" s="10"/>
      <c r="G297" s="8" t="str">
        <f>IF(OR($E297="",$F297=""),"",IFERROR(IF($E297=INDEX(Cluster_Master!$A$4:$A$18,MATCH($F297,Cluster_Master!$B$4:$B$18,0)),"OK","CHECK"),"CHECK"))</f>
        <v/>
      </c>
      <c r="H297" s="11" t="str">
        <f>IFERROR(INDEX(Cluster_Master!$C$4:$C$18,MATCH($F297,Cluster_Master!$B$4:$B$18,0)),"")</f>
        <v/>
      </c>
      <c r="I297" s="8" t="str">
        <f>IFERROR(INDEX(Cluster_Master!$D$4:$D$18,MATCH($F297,Cluster_Master!$B$4:$B$18,0)),"")</f>
        <v/>
      </c>
      <c r="J297" s="8" t="str">
        <f>IFERROR(INDEX(Cluster_Master!$E$4:$E$18,MATCH($F297,Cluster_Master!$B$4:$B$18,0)),"")</f>
        <v/>
      </c>
      <c r="K297" s="8" t="str">
        <f>IFERROR(INDEX(Cluster_Master!$F$4:$F$18,MATCH($F297,Cluster_Master!$B$4:$B$18,0)),"")</f>
        <v/>
      </c>
      <c r="L297" s="8" t="str">
        <f>IFERROR(INDEX(Cluster_Master!$G$4:$G$18,MATCH($F297,Cluster_Master!$B$4:$B$18,0)),"")</f>
        <v/>
      </c>
      <c r="M297" s="8" t="str">
        <f>IFERROR(INDEX(Cluster_Master!$H$4:$H$18,MATCH($F297,Cluster_Master!$B$4:$B$18,0)),"")</f>
        <v/>
      </c>
      <c r="N297" s="12"/>
      <c r="O297" s="12"/>
      <c r="P297" s="12"/>
      <c r="Q297" s="12"/>
      <c r="R297" s="12"/>
      <c r="S297" s="12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8" t="str">
        <f t="shared" si="40"/>
        <v/>
      </c>
      <c r="AJ297" s="14" t="str">
        <f t="shared" si="41"/>
        <v/>
      </c>
      <c r="AK297" s="14" t="str">
        <f>IF(COUNTA(T297:AH297)=0,"",(SUM(T297*KPI_Weights!$B$4,U297*KPI_Weights!$B$5,V297*KPI_Weights!$B$6,W297*KPI_Weights!$B$7,X297*KPI_Weights!$B$8,Y297*KPI_Weights!$B$9,Z297*KPI_Weights!$B$10,AA297*KPI_Weights!$B$11,AB297*KPI_Weights!$B$12,AC297*KPI_Weights!$B$13,AD297*KPI_Weights!$B$14,AE297*KPI_Weights!$B$15,AF297*KPI_Weights!$B$16,AG297*KPI_Weights!$B$17,AH297*KPI_Weights!$B$18))/5)</f>
        <v/>
      </c>
      <c r="AL297" s="8" t="str">
        <f t="shared" si="42"/>
        <v/>
      </c>
      <c r="AM297" s="8" t="str">
        <f t="shared" si="43"/>
        <v/>
      </c>
      <c r="AN297" s="8" t="str">
        <f t="shared" si="44"/>
        <v/>
      </c>
      <c r="AO297" s="12"/>
      <c r="AP297" s="12"/>
      <c r="AQ297" s="12"/>
      <c r="AR297" s="12"/>
      <c r="AS297" s="12"/>
      <c r="AT297" s="15"/>
      <c r="AU297" s="12"/>
      <c r="AV297" s="16"/>
      <c r="AW297" s="12"/>
      <c r="AX297" s="15"/>
      <c r="AY297" s="15"/>
      <c r="AZ297" s="15"/>
      <c r="BA297" s="15"/>
      <c r="BB297" s="15"/>
      <c r="BC297" s="15"/>
      <c r="BD297" s="15"/>
      <c r="BE297" s="15"/>
      <c r="BF297" s="15"/>
    </row>
    <row r="298" spans="1:58" ht="19.5" customHeight="1" x14ac:dyDescent="0.2">
      <c r="A298" s="8" t="str">
        <f>IF($B298="","",TEXT($B298,"yyyymmdd")&amp;"-"&amp;SUBSTITUTE($F298," ","")&amp;"-"&amp;TEXT(COUNTIF($F$4:F298,$F298),"00"))</f>
        <v/>
      </c>
      <c r="B298" s="9"/>
      <c r="C298" s="8" t="str">
        <f t="shared" si="38"/>
        <v/>
      </c>
      <c r="D298" s="8" t="str">
        <f t="shared" si="39"/>
        <v/>
      </c>
      <c r="E298" s="10"/>
      <c r="F298" s="10"/>
      <c r="G298" s="8" t="str">
        <f>IF(OR($E298="",$F298=""),"",IFERROR(IF($E298=INDEX(Cluster_Master!$A$4:$A$18,MATCH($F298,Cluster_Master!$B$4:$B$18,0)),"OK","CHECK"),"CHECK"))</f>
        <v/>
      </c>
      <c r="H298" s="11" t="str">
        <f>IFERROR(INDEX(Cluster_Master!$C$4:$C$18,MATCH($F298,Cluster_Master!$B$4:$B$18,0)),"")</f>
        <v/>
      </c>
      <c r="I298" s="8" t="str">
        <f>IFERROR(INDEX(Cluster_Master!$D$4:$D$18,MATCH($F298,Cluster_Master!$B$4:$B$18,0)),"")</f>
        <v/>
      </c>
      <c r="J298" s="8" t="str">
        <f>IFERROR(INDEX(Cluster_Master!$E$4:$E$18,MATCH($F298,Cluster_Master!$B$4:$B$18,0)),"")</f>
        <v/>
      </c>
      <c r="K298" s="8" t="str">
        <f>IFERROR(INDEX(Cluster_Master!$F$4:$F$18,MATCH($F298,Cluster_Master!$B$4:$B$18,0)),"")</f>
        <v/>
      </c>
      <c r="L298" s="8" t="str">
        <f>IFERROR(INDEX(Cluster_Master!$G$4:$G$18,MATCH($F298,Cluster_Master!$B$4:$B$18,0)),"")</f>
        <v/>
      </c>
      <c r="M298" s="8" t="str">
        <f>IFERROR(INDEX(Cluster_Master!$H$4:$H$18,MATCH($F298,Cluster_Master!$B$4:$B$18,0)),"")</f>
        <v/>
      </c>
      <c r="N298" s="12"/>
      <c r="O298" s="12"/>
      <c r="P298" s="12"/>
      <c r="Q298" s="12"/>
      <c r="R298" s="12"/>
      <c r="S298" s="12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8" t="str">
        <f t="shared" si="40"/>
        <v/>
      </c>
      <c r="AJ298" s="14" t="str">
        <f t="shared" si="41"/>
        <v/>
      </c>
      <c r="AK298" s="14" t="str">
        <f>IF(COUNTA(T298:AH298)=0,"",(SUM(T298*KPI_Weights!$B$4,U298*KPI_Weights!$B$5,V298*KPI_Weights!$B$6,W298*KPI_Weights!$B$7,X298*KPI_Weights!$B$8,Y298*KPI_Weights!$B$9,Z298*KPI_Weights!$B$10,AA298*KPI_Weights!$B$11,AB298*KPI_Weights!$B$12,AC298*KPI_Weights!$B$13,AD298*KPI_Weights!$B$14,AE298*KPI_Weights!$B$15,AF298*KPI_Weights!$B$16,AG298*KPI_Weights!$B$17,AH298*KPI_Weights!$B$18))/5)</f>
        <v/>
      </c>
      <c r="AL298" s="8" t="str">
        <f t="shared" si="42"/>
        <v/>
      </c>
      <c r="AM298" s="8" t="str">
        <f t="shared" si="43"/>
        <v/>
      </c>
      <c r="AN298" s="8" t="str">
        <f t="shared" si="44"/>
        <v/>
      </c>
      <c r="AO298" s="12"/>
      <c r="AP298" s="12"/>
      <c r="AQ298" s="12"/>
      <c r="AR298" s="12"/>
      <c r="AS298" s="12"/>
      <c r="AT298" s="15"/>
      <c r="AU298" s="12"/>
      <c r="AV298" s="16"/>
      <c r="AW298" s="12"/>
      <c r="AX298" s="15"/>
      <c r="AY298" s="15"/>
      <c r="AZ298" s="15"/>
      <c r="BA298" s="15"/>
      <c r="BB298" s="15"/>
      <c r="BC298" s="15"/>
      <c r="BD298" s="15"/>
      <c r="BE298" s="15"/>
      <c r="BF298" s="15"/>
    </row>
    <row r="299" spans="1:58" ht="19.5" customHeight="1" x14ac:dyDescent="0.2">
      <c r="A299" s="8" t="str">
        <f>IF($B299="","",TEXT($B299,"yyyymmdd")&amp;"-"&amp;SUBSTITUTE($F299," ","")&amp;"-"&amp;TEXT(COUNTIF($F$4:F299,$F299),"00"))</f>
        <v/>
      </c>
      <c r="B299" s="9"/>
      <c r="C299" s="8" t="str">
        <f t="shared" si="38"/>
        <v/>
      </c>
      <c r="D299" s="8" t="str">
        <f t="shared" si="39"/>
        <v/>
      </c>
      <c r="E299" s="10"/>
      <c r="F299" s="10"/>
      <c r="G299" s="8" t="str">
        <f>IF(OR($E299="",$F299=""),"",IFERROR(IF($E299=INDEX(Cluster_Master!$A$4:$A$18,MATCH($F299,Cluster_Master!$B$4:$B$18,0)),"OK","CHECK"),"CHECK"))</f>
        <v/>
      </c>
      <c r="H299" s="11" t="str">
        <f>IFERROR(INDEX(Cluster_Master!$C$4:$C$18,MATCH($F299,Cluster_Master!$B$4:$B$18,0)),"")</f>
        <v/>
      </c>
      <c r="I299" s="8" t="str">
        <f>IFERROR(INDEX(Cluster_Master!$D$4:$D$18,MATCH($F299,Cluster_Master!$B$4:$B$18,0)),"")</f>
        <v/>
      </c>
      <c r="J299" s="8" t="str">
        <f>IFERROR(INDEX(Cluster_Master!$E$4:$E$18,MATCH($F299,Cluster_Master!$B$4:$B$18,0)),"")</f>
        <v/>
      </c>
      <c r="K299" s="8" t="str">
        <f>IFERROR(INDEX(Cluster_Master!$F$4:$F$18,MATCH($F299,Cluster_Master!$B$4:$B$18,0)),"")</f>
        <v/>
      </c>
      <c r="L299" s="8" t="str">
        <f>IFERROR(INDEX(Cluster_Master!$G$4:$G$18,MATCH($F299,Cluster_Master!$B$4:$B$18,0)),"")</f>
        <v/>
      </c>
      <c r="M299" s="8" t="str">
        <f>IFERROR(INDEX(Cluster_Master!$H$4:$H$18,MATCH($F299,Cluster_Master!$B$4:$B$18,0)),"")</f>
        <v/>
      </c>
      <c r="N299" s="12"/>
      <c r="O299" s="12"/>
      <c r="P299" s="12"/>
      <c r="Q299" s="12"/>
      <c r="R299" s="12"/>
      <c r="S299" s="12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8" t="str">
        <f t="shared" si="40"/>
        <v/>
      </c>
      <c r="AJ299" s="14" t="str">
        <f t="shared" si="41"/>
        <v/>
      </c>
      <c r="AK299" s="14" t="str">
        <f>IF(COUNTA(T299:AH299)=0,"",(SUM(T299*KPI_Weights!$B$4,U299*KPI_Weights!$B$5,V299*KPI_Weights!$B$6,W299*KPI_Weights!$B$7,X299*KPI_Weights!$B$8,Y299*KPI_Weights!$B$9,Z299*KPI_Weights!$B$10,AA299*KPI_Weights!$B$11,AB299*KPI_Weights!$B$12,AC299*KPI_Weights!$B$13,AD299*KPI_Weights!$B$14,AE299*KPI_Weights!$B$15,AF299*KPI_Weights!$B$16,AG299*KPI_Weights!$B$17,AH299*KPI_Weights!$B$18))/5)</f>
        <v/>
      </c>
      <c r="AL299" s="8" t="str">
        <f t="shared" si="42"/>
        <v/>
      </c>
      <c r="AM299" s="8" t="str">
        <f t="shared" si="43"/>
        <v/>
      </c>
      <c r="AN299" s="8" t="str">
        <f t="shared" si="44"/>
        <v/>
      </c>
      <c r="AO299" s="12"/>
      <c r="AP299" s="12"/>
      <c r="AQ299" s="12"/>
      <c r="AR299" s="12"/>
      <c r="AS299" s="12"/>
      <c r="AT299" s="15"/>
      <c r="AU299" s="12"/>
      <c r="AV299" s="16"/>
      <c r="AW299" s="12"/>
      <c r="AX299" s="15"/>
      <c r="AY299" s="15"/>
      <c r="AZ299" s="15"/>
      <c r="BA299" s="15"/>
      <c r="BB299" s="15"/>
      <c r="BC299" s="15"/>
      <c r="BD299" s="15"/>
      <c r="BE299" s="15"/>
      <c r="BF299" s="15"/>
    </row>
    <row r="300" spans="1:58" ht="19.5" customHeight="1" x14ac:dyDescent="0.2">
      <c r="A300" s="8" t="str">
        <f>IF($B300="","",TEXT($B300,"yyyymmdd")&amp;"-"&amp;SUBSTITUTE($F300," ","")&amp;"-"&amp;TEXT(COUNTIF($F$4:F300,$F300),"00"))</f>
        <v/>
      </c>
      <c r="B300" s="9"/>
      <c r="C300" s="8" t="str">
        <f t="shared" si="38"/>
        <v/>
      </c>
      <c r="D300" s="8" t="str">
        <f t="shared" si="39"/>
        <v/>
      </c>
      <c r="E300" s="10"/>
      <c r="F300" s="10"/>
      <c r="G300" s="8" t="str">
        <f>IF(OR($E300="",$F300=""),"",IFERROR(IF($E300=INDEX(Cluster_Master!$A$4:$A$18,MATCH($F300,Cluster_Master!$B$4:$B$18,0)),"OK","CHECK"),"CHECK"))</f>
        <v/>
      </c>
      <c r="H300" s="11" t="str">
        <f>IFERROR(INDEX(Cluster_Master!$C$4:$C$18,MATCH($F300,Cluster_Master!$B$4:$B$18,0)),"")</f>
        <v/>
      </c>
      <c r="I300" s="8" t="str">
        <f>IFERROR(INDEX(Cluster_Master!$D$4:$D$18,MATCH($F300,Cluster_Master!$B$4:$B$18,0)),"")</f>
        <v/>
      </c>
      <c r="J300" s="8" t="str">
        <f>IFERROR(INDEX(Cluster_Master!$E$4:$E$18,MATCH($F300,Cluster_Master!$B$4:$B$18,0)),"")</f>
        <v/>
      </c>
      <c r="K300" s="8" t="str">
        <f>IFERROR(INDEX(Cluster_Master!$F$4:$F$18,MATCH($F300,Cluster_Master!$B$4:$B$18,0)),"")</f>
        <v/>
      </c>
      <c r="L300" s="8" t="str">
        <f>IFERROR(INDEX(Cluster_Master!$G$4:$G$18,MATCH($F300,Cluster_Master!$B$4:$B$18,0)),"")</f>
        <v/>
      </c>
      <c r="M300" s="8" t="str">
        <f>IFERROR(INDEX(Cluster_Master!$H$4:$H$18,MATCH($F300,Cluster_Master!$B$4:$B$18,0)),"")</f>
        <v/>
      </c>
      <c r="N300" s="12"/>
      <c r="O300" s="12"/>
      <c r="P300" s="12"/>
      <c r="Q300" s="12"/>
      <c r="R300" s="12"/>
      <c r="S300" s="12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8" t="str">
        <f t="shared" si="40"/>
        <v/>
      </c>
      <c r="AJ300" s="14" t="str">
        <f t="shared" si="41"/>
        <v/>
      </c>
      <c r="AK300" s="14" t="str">
        <f>IF(COUNTA(T300:AH300)=0,"",(SUM(T300*KPI_Weights!$B$4,U300*KPI_Weights!$B$5,V300*KPI_Weights!$B$6,W300*KPI_Weights!$B$7,X300*KPI_Weights!$B$8,Y300*KPI_Weights!$B$9,Z300*KPI_Weights!$B$10,AA300*KPI_Weights!$B$11,AB300*KPI_Weights!$B$12,AC300*KPI_Weights!$B$13,AD300*KPI_Weights!$B$14,AE300*KPI_Weights!$B$15,AF300*KPI_Weights!$B$16,AG300*KPI_Weights!$B$17,AH300*KPI_Weights!$B$18))/5)</f>
        <v/>
      </c>
      <c r="AL300" s="8" t="str">
        <f t="shared" si="42"/>
        <v/>
      </c>
      <c r="AM300" s="8" t="str">
        <f t="shared" si="43"/>
        <v/>
      </c>
      <c r="AN300" s="8" t="str">
        <f t="shared" si="44"/>
        <v/>
      </c>
      <c r="AO300" s="12"/>
      <c r="AP300" s="12"/>
      <c r="AQ300" s="12"/>
      <c r="AR300" s="12"/>
      <c r="AS300" s="12"/>
      <c r="AT300" s="15"/>
      <c r="AU300" s="12"/>
      <c r="AV300" s="16"/>
      <c r="AW300" s="12"/>
      <c r="AX300" s="15"/>
      <c r="AY300" s="15"/>
      <c r="AZ300" s="15"/>
      <c r="BA300" s="15"/>
      <c r="BB300" s="15"/>
      <c r="BC300" s="15"/>
      <c r="BD300" s="15"/>
      <c r="BE300" s="15"/>
      <c r="BF300" s="15"/>
    </row>
    <row r="301" spans="1:58" ht="19.5" customHeight="1" x14ac:dyDescent="0.2">
      <c r="A301" s="8" t="str">
        <f>IF($B301="","",TEXT($B301,"yyyymmdd")&amp;"-"&amp;SUBSTITUTE($F301," ","")&amp;"-"&amp;TEXT(COUNTIF($F$4:F301,$F301),"00"))</f>
        <v/>
      </c>
      <c r="B301" s="9"/>
      <c r="C301" s="8" t="str">
        <f t="shared" si="38"/>
        <v/>
      </c>
      <c r="D301" s="8" t="str">
        <f t="shared" si="39"/>
        <v/>
      </c>
      <c r="E301" s="10"/>
      <c r="F301" s="10"/>
      <c r="G301" s="8" t="str">
        <f>IF(OR($E301="",$F301=""),"",IFERROR(IF($E301=INDEX(Cluster_Master!$A$4:$A$18,MATCH($F301,Cluster_Master!$B$4:$B$18,0)),"OK","CHECK"),"CHECK"))</f>
        <v/>
      </c>
      <c r="H301" s="11" t="str">
        <f>IFERROR(INDEX(Cluster_Master!$C$4:$C$18,MATCH($F301,Cluster_Master!$B$4:$B$18,0)),"")</f>
        <v/>
      </c>
      <c r="I301" s="8" t="str">
        <f>IFERROR(INDEX(Cluster_Master!$D$4:$D$18,MATCH($F301,Cluster_Master!$B$4:$B$18,0)),"")</f>
        <v/>
      </c>
      <c r="J301" s="8" t="str">
        <f>IFERROR(INDEX(Cluster_Master!$E$4:$E$18,MATCH($F301,Cluster_Master!$B$4:$B$18,0)),"")</f>
        <v/>
      </c>
      <c r="K301" s="8" t="str">
        <f>IFERROR(INDEX(Cluster_Master!$F$4:$F$18,MATCH($F301,Cluster_Master!$B$4:$B$18,0)),"")</f>
        <v/>
      </c>
      <c r="L301" s="8" t="str">
        <f>IFERROR(INDEX(Cluster_Master!$G$4:$G$18,MATCH($F301,Cluster_Master!$B$4:$B$18,0)),"")</f>
        <v/>
      </c>
      <c r="M301" s="8" t="str">
        <f>IFERROR(INDEX(Cluster_Master!$H$4:$H$18,MATCH($F301,Cluster_Master!$B$4:$B$18,0)),"")</f>
        <v/>
      </c>
      <c r="N301" s="12"/>
      <c r="O301" s="12"/>
      <c r="P301" s="12"/>
      <c r="Q301" s="12"/>
      <c r="R301" s="12"/>
      <c r="S301" s="12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8" t="str">
        <f t="shared" si="40"/>
        <v/>
      </c>
      <c r="AJ301" s="14" t="str">
        <f t="shared" si="41"/>
        <v/>
      </c>
      <c r="AK301" s="14" t="str">
        <f>IF(COUNTA(T301:AH301)=0,"",(SUM(T301*KPI_Weights!$B$4,U301*KPI_Weights!$B$5,V301*KPI_Weights!$B$6,W301*KPI_Weights!$B$7,X301*KPI_Weights!$B$8,Y301*KPI_Weights!$B$9,Z301*KPI_Weights!$B$10,AA301*KPI_Weights!$B$11,AB301*KPI_Weights!$B$12,AC301*KPI_Weights!$B$13,AD301*KPI_Weights!$B$14,AE301*KPI_Weights!$B$15,AF301*KPI_Weights!$B$16,AG301*KPI_Weights!$B$17,AH301*KPI_Weights!$B$18))/5)</f>
        <v/>
      </c>
      <c r="AL301" s="8" t="str">
        <f t="shared" si="42"/>
        <v/>
      </c>
      <c r="AM301" s="8" t="str">
        <f t="shared" si="43"/>
        <v/>
      </c>
      <c r="AN301" s="8" t="str">
        <f t="shared" si="44"/>
        <v/>
      </c>
      <c r="AO301" s="12"/>
      <c r="AP301" s="12"/>
      <c r="AQ301" s="12"/>
      <c r="AR301" s="12"/>
      <c r="AS301" s="12"/>
      <c r="AT301" s="15"/>
      <c r="AU301" s="12"/>
      <c r="AV301" s="16"/>
      <c r="AW301" s="12"/>
      <c r="AX301" s="15"/>
      <c r="AY301" s="15"/>
      <c r="AZ301" s="15"/>
      <c r="BA301" s="15"/>
      <c r="BB301" s="15"/>
      <c r="BC301" s="15"/>
      <c r="BD301" s="15"/>
      <c r="BE301" s="15"/>
      <c r="BF301" s="15"/>
    </row>
    <row r="302" spans="1:58" ht="19.5" customHeight="1" x14ac:dyDescent="0.2">
      <c r="A302" s="8" t="str">
        <f>IF($B302="","",TEXT($B302,"yyyymmdd")&amp;"-"&amp;SUBSTITUTE($F302," ","")&amp;"-"&amp;TEXT(COUNTIF($F$4:F302,$F302),"00"))</f>
        <v/>
      </c>
      <c r="B302" s="9"/>
      <c r="C302" s="8" t="str">
        <f t="shared" si="38"/>
        <v/>
      </c>
      <c r="D302" s="8" t="str">
        <f t="shared" si="39"/>
        <v/>
      </c>
      <c r="E302" s="10"/>
      <c r="F302" s="10"/>
      <c r="G302" s="8" t="str">
        <f>IF(OR($E302="",$F302=""),"",IFERROR(IF($E302=INDEX(Cluster_Master!$A$4:$A$18,MATCH($F302,Cluster_Master!$B$4:$B$18,0)),"OK","CHECK"),"CHECK"))</f>
        <v/>
      </c>
      <c r="H302" s="11" t="str">
        <f>IFERROR(INDEX(Cluster_Master!$C$4:$C$18,MATCH($F302,Cluster_Master!$B$4:$B$18,0)),"")</f>
        <v/>
      </c>
      <c r="I302" s="8" t="str">
        <f>IFERROR(INDEX(Cluster_Master!$D$4:$D$18,MATCH($F302,Cluster_Master!$B$4:$B$18,0)),"")</f>
        <v/>
      </c>
      <c r="J302" s="8" t="str">
        <f>IFERROR(INDEX(Cluster_Master!$E$4:$E$18,MATCH($F302,Cluster_Master!$B$4:$B$18,0)),"")</f>
        <v/>
      </c>
      <c r="K302" s="8" t="str">
        <f>IFERROR(INDEX(Cluster_Master!$F$4:$F$18,MATCH($F302,Cluster_Master!$B$4:$B$18,0)),"")</f>
        <v/>
      </c>
      <c r="L302" s="8" t="str">
        <f>IFERROR(INDEX(Cluster_Master!$G$4:$G$18,MATCH($F302,Cluster_Master!$B$4:$B$18,0)),"")</f>
        <v/>
      </c>
      <c r="M302" s="8" t="str">
        <f>IFERROR(INDEX(Cluster_Master!$H$4:$H$18,MATCH($F302,Cluster_Master!$B$4:$B$18,0)),"")</f>
        <v/>
      </c>
      <c r="N302" s="12"/>
      <c r="O302" s="12"/>
      <c r="P302" s="12"/>
      <c r="Q302" s="12"/>
      <c r="R302" s="12"/>
      <c r="S302" s="12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8" t="str">
        <f t="shared" si="40"/>
        <v/>
      </c>
      <c r="AJ302" s="14" t="str">
        <f t="shared" si="41"/>
        <v/>
      </c>
      <c r="AK302" s="14" t="str">
        <f>IF(COUNTA(T302:AH302)=0,"",(SUM(T302*KPI_Weights!$B$4,U302*KPI_Weights!$B$5,V302*KPI_Weights!$B$6,W302*KPI_Weights!$B$7,X302*KPI_Weights!$B$8,Y302*KPI_Weights!$B$9,Z302*KPI_Weights!$B$10,AA302*KPI_Weights!$B$11,AB302*KPI_Weights!$B$12,AC302*KPI_Weights!$B$13,AD302*KPI_Weights!$B$14,AE302*KPI_Weights!$B$15,AF302*KPI_Weights!$B$16,AG302*KPI_Weights!$B$17,AH302*KPI_Weights!$B$18))/5)</f>
        <v/>
      </c>
      <c r="AL302" s="8" t="str">
        <f t="shared" si="42"/>
        <v/>
      </c>
      <c r="AM302" s="8" t="str">
        <f t="shared" si="43"/>
        <v/>
      </c>
      <c r="AN302" s="8" t="str">
        <f t="shared" si="44"/>
        <v/>
      </c>
      <c r="AO302" s="12"/>
      <c r="AP302" s="12"/>
      <c r="AQ302" s="12"/>
      <c r="AR302" s="12"/>
      <c r="AS302" s="12"/>
      <c r="AT302" s="15"/>
      <c r="AU302" s="12"/>
      <c r="AV302" s="16"/>
      <c r="AW302" s="12"/>
      <c r="AX302" s="15"/>
      <c r="AY302" s="15"/>
      <c r="AZ302" s="15"/>
      <c r="BA302" s="15"/>
      <c r="BB302" s="15"/>
      <c r="BC302" s="15"/>
      <c r="BD302" s="15"/>
      <c r="BE302" s="15"/>
      <c r="BF302" s="15"/>
    </row>
    <row r="303" spans="1:58" ht="19.5" customHeight="1" x14ac:dyDescent="0.2">
      <c r="A303" s="8" t="str">
        <f>IF($B303="","",TEXT($B303,"yyyymmdd")&amp;"-"&amp;SUBSTITUTE($F303," ","")&amp;"-"&amp;TEXT(COUNTIF($F$4:F303,$F303),"00"))</f>
        <v/>
      </c>
      <c r="B303" s="9"/>
      <c r="C303" s="8" t="str">
        <f t="shared" si="38"/>
        <v/>
      </c>
      <c r="D303" s="8" t="str">
        <f t="shared" si="39"/>
        <v/>
      </c>
      <c r="E303" s="10"/>
      <c r="F303" s="10"/>
      <c r="G303" s="8" t="str">
        <f>IF(OR($E303="",$F303=""),"",IFERROR(IF($E303=INDEX(Cluster_Master!$A$4:$A$18,MATCH($F303,Cluster_Master!$B$4:$B$18,0)),"OK","CHECK"),"CHECK"))</f>
        <v/>
      </c>
      <c r="H303" s="11" t="str">
        <f>IFERROR(INDEX(Cluster_Master!$C$4:$C$18,MATCH($F303,Cluster_Master!$B$4:$B$18,0)),"")</f>
        <v/>
      </c>
      <c r="I303" s="8" t="str">
        <f>IFERROR(INDEX(Cluster_Master!$D$4:$D$18,MATCH($F303,Cluster_Master!$B$4:$B$18,0)),"")</f>
        <v/>
      </c>
      <c r="J303" s="8" t="str">
        <f>IFERROR(INDEX(Cluster_Master!$E$4:$E$18,MATCH($F303,Cluster_Master!$B$4:$B$18,0)),"")</f>
        <v/>
      </c>
      <c r="K303" s="8" t="str">
        <f>IFERROR(INDEX(Cluster_Master!$F$4:$F$18,MATCH($F303,Cluster_Master!$B$4:$B$18,0)),"")</f>
        <v/>
      </c>
      <c r="L303" s="8" t="str">
        <f>IFERROR(INDEX(Cluster_Master!$G$4:$G$18,MATCH($F303,Cluster_Master!$B$4:$B$18,0)),"")</f>
        <v/>
      </c>
      <c r="M303" s="8" t="str">
        <f>IFERROR(INDEX(Cluster_Master!$H$4:$H$18,MATCH($F303,Cluster_Master!$B$4:$B$18,0)),"")</f>
        <v/>
      </c>
      <c r="N303" s="12"/>
      <c r="O303" s="12"/>
      <c r="P303" s="12"/>
      <c r="Q303" s="12"/>
      <c r="R303" s="12"/>
      <c r="S303" s="12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8" t="str">
        <f t="shared" si="40"/>
        <v/>
      </c>
      <c r="AJ303" s="14" t="str">
        <f t="shared" si="41"/>
        <v/>
      </c>
      <c r="AK303" s="14" t="str">
        <f>IF(COUNTA(T303:AH303)=0,"",(SUM(T303*KPI_Weights!$B$4,U303*KPI_Weights!$B$5,V303*KPI_Weights!$B$6,W303*KPI_Weights!$B$7,X303*KPI_Weights!$B$8,Y303*KPI_Weights!$B$9,Z303*KPI_Weights!$B$10,AA303*KPI_Weights!$B$11,AB303*KPI_Weights!$B$12,AC303*KPI_Weights!$B$13,AD303*KPI_Weights!$B$14,AE303*KPI_Weights!$B$15,AF303*KPI_Weights!$B$16,AG303*KPI_Weights!$B$17,AH303*KPI_Weights!$B$18))/5)</f>
        <v/>
      </c>
      <c r="AL303" s="8" t="str">
        <f t="shared" si="42"/>
        <v/>
      </c>
      <c r="AM303" s="8" t="str">
        <f t="shared" si="43"/>
        <v/>
      </c>
      <c r="AN303" s="8" t="str">
        <f t="shared" si="44"/>
        <v/>
      </c>
      <c r="AO303" s="12"/>
      <c r="AP303" s="12"/>
      <c r="AQ303" s="12"/>
      <c r="AR303" s="12"/>
      <c r="AS303" s="12"/>
      <c r="AT303" s="15"/>
      <c r="AU303" s="12"/>
      <c r="AV303" s="16"/>
      <c r="AW303" s="12"/>
      <c r="AX303" s="15"/>
      <c r="AY303" s="15"/>
      <c r="AZ303" s="15"/>
      <c r="BA303" s="15"/>
      <c r="BB303" s="15"/>
      <c r="BC303" s="15"/>
      <c r="BD303" s="15"/>
      <c r="BE303" s="15"/>
      <c r="BF303" s="15"/>
    </row>
    <row r="304" spans="1:58" ht="19.5" customHeight="1" x14ac:dyDescent="0.2">
      <c r="A304" s="8" t="str">
        <f>IF($B304="","",TEXT($B304,"yyyymmdd")&amp;"-"&amp;SUBSTITUTE($F304," ","")&amp;"-"&amp;TEXT(COUNTIF($F$4:F304,$F304),"00"))</f>
        <v/>
      </c>
      <c r="B304" s="9"/>
      <c r="C304" s="8" t="str">
        <f t="shared" si="38"/>
        <v/>
      </c>
      <c r="D304" s="8" t="str">
        <f t="shared" si="39"/>
        <v/>
      </c>
      <c r="E304" s="10"/>
      <c r="F304" s="10"/>
      <c r="G304" s="8" t="str">
        <f>IF(OR($E304="",$F304=""),"",IFERROR(IF($E304=INDEX(Cluster_Master!$A$4:$A$18,MATCH($F304,Cluster_Master!$B$4:$B$18,0)),"OK","CHECK"),"CHECK"))</f>
        <v/>
      </c>
      <c r="H304" s="11" t="str">
        <f>IFERROR(INDEX(Cluster_Master!$C$4:$C$18,MATCH($F304,Cluster_Master!$B$4:$B$18,0)),"")</f>
        <v/>
      </c>
      <c r="I304" s="8" t="str">
        <f>IFERROR(INDEX(Cluster_Master!$D$4:$D$18,MATCH($F304,Cluster_Master!$B$4:$B$18,0)),"")</f>
        <v/>
      </c>
      <c r="J304" s="8" t="str">
        <f>IFERROR(INDEX(Cluster_Master!$E$4:$E$18,MATCH($F304,Cluster_Master!$B$4:$B$18,0)),"")</f>
        <v/>
      </c>
      <c r="K304" s="8" t="str">
        <f>IFERROR(INDEX(Cluster_Master!$F$4:$F$18,MATCH($F304,Cluster_Master!$B$4:$B$18,0)),"")</f>
        <v/>
      </c>
      <c r="L304" s="8" t="str">
        <f>IFERROR(INDEX(Cluster_Master!$G$4:$G$18,MATCH($F304,Cluster_Master!$B$4:$B$18,0)),"")</f>
        <v/>
      </c>
      <c r="M304" s="8" t="str">
        <f>IFERROR(INDEX(Cluster_Master!$H$4:$H$18,MATCH($F304,Cluster_Master!$B$4:$B$18,0)),"")</f>
        <v/>
      </c>
      <c r="N304" s="12"/>
      <c r="O304" s="12"/>
      <c r="P304" s="12"/>
      <c r="Q304" s="12"/>
      <c r="R304" s="12"/>
      <c r="S304" s="12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8" t="str">
        <f t="shared" si="40"/>
        <v/>
      </c>
      <c r="AJ304" s="14" t="str">
        <f t="shared" si="41"/>
        <v/>
      </c>
      <c r="AK304" s="14" t="str">
        <f>IF(COUNTA(T304:AH304)=0,"",(SUM(T304*KPI_Weights!$B$4,U304*KPI_Weights!$B$5,V304*KPI_Weights!$B$6,W304*KPI_Weights!$B$7,X304*KPI_Weights!$B$8,Y304*KPI_Weights!$B$9,Z304*KPI_Weights!$B$10,AA304*KPI_Weights!$B$11,AB304*KPI_Weights!$B$12,AC304*KPI_Weights!$B$13,AD304*KPI_Weights!$B$14,AE304*KPI_Weights!$B$15,AF304*KPI_Weights!$B$16,AG304*KPI_Weights!$B$17,AH304*KPI_Weights!$B$18))/5)</f>
        <v/>
      </c>
      <c r="AL304" s="8" t="str">
        <f t="shared" si="42"/>
        <v/>
      </c>
      <c r="AM304" s="8" t="str">
        <f t="shared" si="43"/>
        <v/>
      </c>
      <c r="AN304" s="8" t="str">
        <f t="shared" si="44"/>
        <v/>
      </c>
      <c r="AO304" s="12"/>
      <c r="AP304" s="12"/>
      <c r="AQ304" s="12"/>
      <c r="AR304" s="12"/>
      <c r="AS304" s="12"/>
      <c r="AT304" s="15"/>
      <c r="AU304" s="12"/>
      <c r="AV304" s="16"/>
      <c r="AW304" s="12"/>
      <c r="AX304" s="15"/>
      <c r="AY304" s="15"/>
      <c r="AZ304" s="15"/>
      <c r="BA304" s="15"/>
      <c r="BB304" s="15"/>
      <c r="BC304" s="15"/>
      <c r="BD304" s="15"/>
      <c r="BE304" s="15"/>
      <c r="BF304" s="15"/>
    </row>
    <row r="305" spans="1:58" ht="19.5" customHeight="1" x14ac:dyDescent="0.2">
      <c r="A305" s="8" t="str">
        <f>IF($B305="","",TEXT($B305,"yyyymmdd")&amp;"-"&amp;SUBSTITUTE($F305," ","")&amp;"-"&amp;TEXT(COUNTIF($F$4:F305,$F305),"00"))</f>
        <v/>
      </c>
      <c r="B305" s="9"/>
      <c r="C305" s="8" t="str">
        <f t="shared" si="38"/>
        <v/>
      </c>
      <c r="D305" s="8" t="str">
        <f t="shared" si="39"/>
        <v/>
      </c>
      <c r="E305" s="10"/>
      <c r="F305" s="10"/>
      <c r="G305" s="8" t="str">
        <f>IF(OR($E305="",$F305=""),"",IFERROR(IF($E305=INDEX(Cluster_Master!$A$4:$A$18,MATCH($F305,Cluster_Master!$B$4:$B$18,0)),"OK","CHECK"),"CHECK"))</f>
        <v/>
      </c>
      <c r="H305" s="11" t="str">
        <f>IFERROR(INDEX(Cluster_Master!$C$4:$C$18,MATCH($F305,Cluster_Master!$B$4:$B$18,0)),"")</f>
        <v/>
      </c>
      <c r="I305" s="8" t="str">
        <f>IFERROR(INDEX(Cluster_Master!$D$4:$D$18,MATCH($F305,Cluster_Master!$B$4:$B$18,0)),"")</f>
        <v/>
      </c>
      <c r="J305" s="8" t="str">
        <f>IFERROR(INDEX(Cluster_Master!$E$4:$E$18,MATCH($F305,Cluster_Master!$B$4:$B$18,0)),"")</f>
        <v/>
      </c>
      <c r="K305" s="8" t="str">
        <f>IFERROR(INDEX(Cluster_Master!$F$4:$F$18,MATCH($F305,Cluster_Master!$B$4:$B$18,0)),"")</f>
        <v/>
      </c>
      <c r="L305" s="8" t="str">
        <f>IFERROR(INDEX(Cluster_Master!$G$4:$G$18,MATCH($F305,Cluster_Master!$B$4:$B$18,0)),"")</f>
        <v/>
      </c>
      <c r="M305" s="8" t="str">
        <f>IFERROR(INDEX(Cluster_Master!$H$4:$H$18,MATCH($F305,Cluster_Master!$B$4:$B$18,0)),"")</f>
        <v/>
      </c>
      <c r="N305" s="12"/>
      <c r="O305" s="12"/>
      <c r="P305" s="12"/>
      <c r="Q305" s="12"/>
      <c r="R305" s="12"/>
      <c r="S305" s="12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8" t="str">
        <f t="shared" si="40"/>
        <v/>
      </c>
      <c r="AJ305" s="14" t="str">
        <f t="shared" si="41"/>
        <v/>
      </c>
      <c r="AK305" s="14" t="str">
        <f>IF(COUNTA(T305:AH305)=0,"",(SUM(T305*KPI_Weights!$B$4,U305*KPI_Weights!$B$5,V305*KPI_Weights!$B$6,W305*KPI_Weights!$B$7,X305*KPI_Weights!$B$8,Y305*KPI_Weights!$B$9,Z305*KPI_Weights!$B$10,AA305*KPI_Weights!$B$11,AB305*KPI_Weights!$B$12,AC305*KPI_Weights!$B$13,AD305*KPI_Weights!$B$14,AE305*KPI_Weights!$B$15,AF305*KPI_Weights!$B$16,AG305*KPI_Weights!$B$17,AH305*KPI_Weights!$B$18))/5)</f>
        <v/>
      </c>
      <c r="AL305" s="8" t="str">
        <f t="shared" si="42"/>
        <v/>
      </c>
      <c r="AM305" s="8" t="str">
        <f t="shared" si="43"/>
        <v/>
      </c>
      <c r="AN305" s="8" t="str">
        <f t="shared" si="44"/>
        <v/>
      </c>
      <c r="AO305" s="12"/>
      <c r="AP305" s="12"/>
      <c r="AQ305" s="12"/>
      <c r="AR305" s="12"/>
      <c r="AS305" s="12"/>
      <c r="AT305" s="15"/>
      <c r="AU305" s="12"/>
      <c r="AV305" s="16"/>
      <c r="AW305" s="12"/>
      <c r="AX305" s="15"/>
      <c r="AY305" s="15"/>
      <c r="AZ305" s="15"/>
      <c r="BA305" s="15"/>
      <c r="BB305" s="15"/>
      <c r="BC305" s="15"/>
      <c r="BD305" s="15"/>
      <c r="BE305" s="15"/>
      <c r="BF305" s="15"/>
    </row>
    <row r="306" spans="1:58" ht="19.5" customHeight="1" x14ac:dyDescent="0.2">
      <c r="A306" s="8" t="str">
        <f>IF($B306="","",TEXT($B306,"yyyymmdd")&amp;"-"&amp;SUBSTITUTE($F306," ","")&amp;"-"&amp;TEXT(COUNTIF($F$4:F306,$F306),"00"))</f>
        <v/>
      </c>
      <c r="B306" s="9"/>
      <c r="C306" s="8" t="str">
        <f t="shared" si="38"/>
        <v/>
      </c>
      <c r="D306" s="8" t="str">
        <f t="shared" si="39"/>
        <v/>
      </c>
      <c r="E306" s="10"/>
      <c r="F306" s="10"/>
      <c r="G306" s="8" t="str">
        <f>IF(OR($E306="",$F306=""),"",IFERROR(IF($E306=INDEX(Cluster_Master!$A$4:$A$18,MATCH($F306,Cluster_Master!$B$4:$B$18,0)),"OK","CHECK"),"CHECK"))</f>
        <v/>
      </c>
      <c r="H306" s="11" t="str">
        <f>IFERROR(INDEX(Cluster_Master!$C$4:$C$18,MATCH($F306,Cluster_Master!$B$4:$B$18,0)),"")</f>
        <v/>
      </c>
      <c r="I306" s="8" t="str">
        <f>IFERROR(INDEX(Cluster_Master!$D$4:$D$18,MATCH($F306,Cluster_Master!$B$4:$B$18,0)),"")</f>
        <v/>
      </c>
      <c r="J306" s="8" t="str">
        <f>IFERROR(INDEX(Cluster_Master!$E$4:$E$18,MATCH($F306,Cluster_Master!$B$4:$B$18,0)),"")</f>
        <v/>
      </c>
      <c r="K306" s="8" t="str">
        <f>IFERROR(INDEX(Cluster_Master!$F$4:$F$18,MATCH($F306,Cluster_Master!$B$4:$B$18,0)),"")</f>
        <v/>
      </c>
      <c r="L306" s="8" t="str">
        <f>IFERROR(INDEX(Cluster_Master!$G$4:$G$18,MATCH($F306,Cluster_Master!$B$4:$B$18,0)),"")</f>
        <v/>
      </c>
      <c r="M306" s="8" t="str">
        <f>IFERROR(INDEX(Cluster_Master!$H$4:$H$18,MATCH($F306,Cluster_Master!$B$4:$B$18,0)),"")</f>
        <v/>
      </c>
      <c r="N306" s="12"/>
      <c r="O306" s="12"/>
      <c r="P306" s="12"/>
      <c r="Q306" s="12"/>
      <c r="R306" s="12"/>
      <c r="S306" s="12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8" t="str">
        <f t="shared" si="40"/>
        <v/>
      </c>
      <c r="AJ306" s="14" t="str">
        <f t="shared" si="41"/>
        <v/>
      </c>
      <c r="AK306" s="14" t="str">
        <f>IF(COUNTA(T306:AH306)=0,"",(SUM(T306*KPI_Weights!$B$4,U306*KPI_Weights!$B$5,V306*KPI_Weights!$B$6,W306*KPI_Weights!$B$7,X306*KPI_Weights!$B$8,Y306*KPI_Weights!$B$9,Z306*KPI_Weights!$B$10,AA306*KPI_Weights!$B$11,AB306*KPI_Weights!$B$12,AC306*KPI_Weights!$B$13,AD306*KPI_Weights!$B$14,AE306*KPI_Weights!$B$15,AF306*KPI_Weights!$B$16,AG306*KPI_Weights!$B$17,AH306*KPI_Weights!$B$18))/5)</f>
        <v/>
      </c>
      <c r="AL306" s="8" t="str">
        <f t="shared" si="42"/>
        <v/>
      </c>
      <c r="AM306" s="8" t="str">
        <f t="shared" si="43"/>
        <v/>
      </c>
      <c r="AN306" s="8" t="str">
        <f t="shared" si="44"/>
        <v/>
      </c>
      <c r="AO306" s="12"/>
      <c r="AP306" s="12"/>
      <c r="AQ306" s="12"/>
      <c r="AR306" s="12"/>
      <c r="AS306" s="12"/>
      <c r="AT306" s="15"/>
      <c r="AU306" s="12"/>
      <c r="AV306" s="16"/>
      <c r="AW306" s="12"/>
      <c r="AX306" s="15"/>
      <c r="AY306" s="15"/>
      <c r="AZ306" s="15"/>
      <c r="BA306" s="15"/>
      <c r="BB306" s="15"/>
      <c r="BC306" s="15"/>
      <c r="BD306" s="15"/>
      <c r="BE306" s="15"/>
      <c r="BF306" s="15"/>
    </row>
    <row r="307" spans="1:58" ht="19.5" customHeight="1" x14ac:dyDescent="0.2">
      <c r="A307" s="8" t="str">
        <f>IF($B307="","",TEXT($B307,"yyyymmdd")&amp;"-"&amp;SUBSTITUTE($F307," ","")&amp;"-"&amp;TEXT(COUNTIF($F$4:F307,$F307),"00"))</f>
        <v/>
      </c>
      <c r="B307" s="9"/>
      <c r="C307" s="8" t="str">
        <f t="shared" si="38"/>
        <v/>
      </c>
      <c r="D307" s="8" t="str">
        <f t="shared" si="39"/>
        <v/>
      </c>
      <c r="E307" s="10"/>
      <c r="F307" s="10"/>
      <c r="G307" s="8" t="str">
        <f>IF(OR($E307="",$F307=""),"",IFERROR(IF($E307=INDEX(Cluster_Master!$A$4:$A$18,MATCH($F307,Cluster_Master!$B$4:$B$18,0)),"OK","CHECK"),"CHECK"))</f>
        <v/>
      </c>
      <c r="H307" s="11" t="str">
        <f>IFERROR(INDEX(Cluster_Master!$C$4:$C$18,MATCH($F307,Cluster_Master!$B$4:$B$18,0)),"")</f>
        <v/>
      </c>
      <c r="I307" s="8" t="str">
        <f>IFERROR(INDEX(Cluster_Master!$D$4:$D$18,MATCH($F307,Cluster_Master!$B$4:$B$18,0)),"")</f>
        <v/>
      </c>
      <c r="J307" s="8" t="str">
        <f>IFERROR(INDEX(Cluster_Master!$E$4:$E$18,MATCH($F307,Cluster_Master!$B$4:$B$18,0)),"")</f>
        <v/>
      </c>
      <c r="K307" s="8" t="str">
        <f>IFERROR(INDEX(Cluster_Master!$F$4:$F$18,MATCH($F307,Cluster_Master!$B$4:$B$18,0)),"")</f>
        <v/>
      </c>
      <c r="L307" s="8" t="str">
        <f>IFERROR(INDEX(Cluster_Master!$G$4:$G$18,MATCH($F307,Cluster_Master!$B$4:$B$18,0)),"")</f>
        <v/>
      </c>
      <c r="M307" s="8" t="str">
        <f>IFERROR(INDEX(Cluster_Master!$H$4:$H$18,MATCH($F307,Cluster_Master!$B$4:$B$18,0)),"")</f>
        <v/>
      </c>
      <c r="N307" s="12"/>
      <c r="O307" s="12"/>
      <c r="P307" s="12"/>
      <c r="Q307" s="12"/>
      <c r="R307" s="12"/>
      <c r="S307" s="12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8" t="str">
        <f t="shared" si="40"/>
        <v/>
      </c>
      <c r="AJ307" s="14" t="str">
        <f t="shared" si="41"/>
        <v/>
      </c>
      <c r="AK307" s="14" t="str">
        <f>IF(COUNTA(T307:AH307)=0,"",(SUM(T307*KPI_Weights!$B$4,U307*KPI_Weights!$B$5,V307*KPI_Weights!$B$6,W307*KPI_Weights!$B$7,X307*KPI_Weights!$B$8,Y307*KPI_Weights!$B$9,Z307*KPI_Weights!$B$10,AA307*KPI_Weights!$B$11,AB307*KPI_Weights!$B$12,AC307*KPI_Weights!$B$13,AD307*KPI_Weights!$B$14,AE307*KPI_Weights!$B$15,AF307*KPI_Weights!$B$16,AG307*KPI_Weights!$B$17,AH307*KPI_Weights!$B$18))/5)</f>
        <v/>
      </c>
      <c r="AL307" s="8" t="str">
        <f t="shared" si="42"/>
        <v/>
      </c>
      <c r="AM307" s="8" t="str">
        <f t="shared" si="43"/>
        <v/>
      </c>
      <c r="AN307" s="8" t="str">
        <f t="shared" si="44"/>
        <v/>
      </c>
      <c r="AO307" s="12"/>
      <c r="AP307" s="12"/>
      <c r="AQ307" s="12"/>
      <c r="AR307" s="12"/>
      <c r="AS307" s="12"/>
      <c r="AT307" s="15"/>
      <c r="AU307" s="12"/>
      <c r="AV307" s="16"/>
      <c r="AW307" s="12"/>
      <c r="AX307" s="15"/>
      <c r="AY307" s="15"/>
      <c r="AZ307" s="15"/>
      <c r="BA307" s="15"/>
      <c r="BB307" s="15"/>
      <c r="BC307" s="15"/>
      <c r="BD307" s="15"/>
      <c r="BE307" s="15"/>
      <c r="BF307" s="15"/>
    </row>
    <row r="308" spans="1:58" ht="19.5" customHeight="1" x14ac:dyDescent="0.2">
      <c r="A308" s="8" t="str">
        <f>IF($B308="","",TEXT($B308,"yyyymmdd")&amp;"-"&amp;SUBSTITUTE($F308," ","")&amp;"-"&amp;TEXT(COUNTIF($F$4:F308,$F308),"00"))</f>
        <v/>
      </c>
      <c r="B308" s="9"/>
      <c r="C308" s="8" t="str">
        <f t="shared" si="38"/>
        <v/>
      </c>
      <c r="D308" s="8" t="str">
        <f t="shared" si="39"/>
        <v/>
      </c>
      <c r="E308" s="10"/>
      <c r="F308" s="10"/>
      <c r="G308" s="8" t="str">
        <f>IF(OR($E308="",$F308=""),"",IFERROR(IF($E308=INDEX(Cluster_Master!$A$4:$A$18,MATCH($F308,Cluster_Master!$B$4:$B$18,0)),"OK","CHECK"),"CHECK"))</f>
        <v/>
      </c>
      <c r="H308" s="11" t="str">
        <f>IFERROR(INDEX(Cluster_Master!$C$4:$C$18,MATCH($F308,Cluster_Master!$B$4:$B$18,0)),"")</f>
        <v/>
      </c>
      <c r="I308" s="8" t="str">
        <f>IFERROR(INDEX(Cluster_Master!$D$4:$D$18,MATCH($F308,Cluster_Master!$B$4:$B$18,0)),"")</f>
        <v/>
      </c>
      <c r="J308" s="8" t="str">
        <f>IFERROR(INDEX(Cluster_Master!$E$4:$E$18,MATCH($F308,Cluster_Master!$B$4:$B$18,0)),"")</f>
        <v/>
      </c>
      <c r="K308" s="8" t="str">
        <f>IFERROR(INDEX(Cluster_Master!$F$4:$F$18,MATCH($F308,Cluster_Master!$B$4:$B$18,0)),"")</f>
        <v/>
      </c>
      <c r="L308" s="8" t="str">
        <f>IFERROR(INDEX(Cluster_Master!$G$4:$G$18,MATCH($F308,Cluster_Master!$B$4:$B$18,0)),"")</f>
        <v/>
      </c>
      <c r="M308" s="8" t="str">
        <f>IFERROR(INDEX(Cluster_Master!$H$4:$H$18,MATCH($F308,Cluster_Master!$B$4:$B$18,0)),"")</f>
        <v/>
      </c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8" t="str">
        <f t="shared" si="40"/>
        <v/>
      </c>
      <c r="AJ308" s="14" t="str">
        <f t="shared" si="41"/>
        <v/>
      </c>
      <c r="AK308" s="14" t="str">
        <f>IF(COUNTA(T308:AH308)=0,"",(SUM(T308*KPI_Weights!$B$4,U308*KPI_Weights!$B$5,V308*KPI_Weights!$B$6,W308*KPI_Weights!$B$7,X308*KPI_Weights!$B$8,Y308*KPI_Weights!$B$9,Z308*KPI_Weights!$B$10,AA308*KPI_Weights!$B$11,AB308*KPI_Weights!$B$12,AC308*KPI_Weights!$B$13,AD308*KPI_Weights!$B$14,AE308*KPI_Weights!$B$15,AF308*KPI_Weights!$B$16,AG308*KPI_Weights!$B$17,AH308*KPI_Weights!$B$18))/5)</f>
        <v/>
      </c>
      <c r="AL308" s="8" t="str">
        <f t="shared" si="42"/>
        <v/>
      </c>
      <c r="AM308" s="8" t="str">
        <f t="shared" si="43"/>
        <v/>
      </c>
      <c r="AN308" s="8" t="str">
        <f t="shared" si="44"/>
        <v/>
      </c>
      <c r="AO308" s="12"/>
      <c r="AP308" s="12"/>
      <c r="AQ308" s="12"/>
      <c r="AR308" s="12"/>
      <c r="AS308" s="12"/>
      <c r="AT308" s="15"/>
      <c r="AU308" s="12"/>
      <c r="AV308" s="16"/>
      <c r="AW308" s="12"/>
      <c r="AX308" s="15"/>
      <c r="AY308" s="15"/>
      <c r="AZ308" s="15"/>
      <c r="BA308" s="15"/>
      <c r="BB308" s="15"/>
      <c r="BC308" s="15"/>
      <c r="BD308" s="15"/>
      <c r="BE308" s="15"/>
      <c r="BF308" s="15"/>
    </row>
    <row r="309" spans="1:58" ht="19.5" customHeight="1" x14ac:dyDescent="0.2">
      <c r="A309" s="8" t="str">
        <f>IF($B309="","",TEXT($B309,"yyyymmdd")&amp;"-"&amp;SUBSTITUTE($F309," ","")&amp;"-"&amp;TEXT(COUNTIF($F$4:F309,$F309),"00"))</f>
        <v/>
      </c>
      <c r="B309" s="9"/>
      <c r="C309" s="8" t="str">
        <f t="shared" si="38"/>
        <v/>
      </c>
      <c r="D309" s="8" t="str">
        <f t="shared" si="39"/>
        <v/>
      </c>
      <c r="E309" s="10"/>
      <c r="F309" s="10"/>
      <c r="G309" s="8" t="str">
        <f>IF(OR($E309="",$F309=""),"",IFERROR(IF($E309=INDEX(Cluster_Master!$A$4:$A$18,MATCH($F309,Cluster_Master!$B$4:$B$18,0)),"OK","CHECK"),"CHECK"))</f>
        <v/>
      </c>
      <c r="H309" s="11" t="str">
        <f>IFERROR(INDEX(Cluster_Master!$C$4:$C$18,MATCH($F309,Cluster_Master!$B$4:$B$18,0)),"")</f>
        <v/>
      </c>
      <c r="I309" s="8" t="str">
        <f>IFERROR(INDEX(Cluster_Master!$D$4:$D$18,MATCH($F309,Cluster_Master!$B$4:$B$18,0)),"")</f>
        <v/>
      </c>
      <c r="J309" s="8" t="str">
        <f>IFERROR(INDEX(Cluster_Master!$E$4:$E$18,MATCH($F309,Cluster_Master!$B$4:$B$18,0)),"")</f>
        <v/>
      </c>
      <c r="K309" s="8" t="str">
        <f>IFERROR(INDEX(Cluster_Master!$F$4:$F$18,MATCH($F309,Cluster_Master!$B$4:$B$18,0)),"")</f>
        <v/>
      </c>
      <c r="L309" s="8" t="str">
        <f>IFERROR(INDEX(Cluster_Master!$G$4:$G$18,MATCH($F309,Cluster_Master!$B$4:$B$18,0)),"")</f>
        <v/>
      </c>
      <c r="M309" s="8" t="str">
        <f>IFERROR(INDEX(Cluster_Master!$H$4:$H$18,MATCH($F309,Cluster_Master!$B$4:$B$18,0)),"")</f>
        <v/>
      </c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8" t="str">
        <f t="shared" si="40"/>
        <v/>
      </c>
      <c r="AJ309" s="14" t="str">
        <f t="shared" si="41"/>
        <v/>
      </c>
      <c r="AK309" s="14" t="str">
        <f>IF(COUNTA(T309:AH309)=0,"",(SUM(T309*KPI_Weights!$B$4,U309*KPI_Weights!$B$5,V309*KPI_Weights!$B$6,W309*KPI_Weights!$B$7,X309*KPI_Weights!$B$8,Y309*KPI_Weights!$B$9,Z309*KPI_Weights!$B$10,AA309*KPI_Weights!$B$11,AB309*KPI_Weights!$B$12,AC309*KPI_Weights!$B$13,AD309*KPI_Weights!$B$14,AE309*KPI_Weights!$B$15,AF309*KPI_Weights!$B$16,AG309*KPI_Weights!$B$17,AH309*KPI_Weights!$B$18))/5)</f>
        <v/>
      </c>
      <c r="AL309" s="8" t="str">
        <f t="shared" si="42"/>
        <v/>
      </c>
      <c r="AM309" s="8" t="str">
        <f t="shared" si="43"/>
        <v/>
      </c>
      <c r="AN309" s="8" t="str">
        <f t="shared" si="44"/>
        <v/>
      </c>
      <c r="AO309" s="12"/>
      <c r="AP309" s="12"/>
      <c r="AQ309" s="12"/>
      <c r="AR309" s="12"/>
      <c r="AS309" s="12"/>
      <c r="AT309" s="15"/>
      <c r="AU309" s="12"/>
      <c r="AV309" s="16"/>
      <c r="AW309" s="12"/>
      <c r="AX309" s="15"/>
      <c r="AY309" s="15"/>
      <c r="AZ309" s="15"/>
      <c r="BA309" s="15"/>
      <c r="BB309" s="15"/>
      <c r="BC309" s="15"/>
      <c r="BD309" s="15"/>
      <c r="BE309" s="15"/>
      <c r="BF309" s="15"/>
    </row>
    <row r="310" spans="1:58" ht="19.5" customHeight="1" x14ac:dyDescent="0.2">
      <c r="A310" s="8" t="str">
        <f>IF($B310="","",TEXT($B310,"yyyymmdd")&amp;"-"&amp;SUBSTITUTE($F310," ","")&amp;"-"&amp;TEXT(COUNTIF($F$4:F310,$F310),"00"))</f>
        <v/>
      </c>
      <c r="B310" s="9"/>
      <c r="C310" s="8" t="str">
        <f t="shared" si="38"/>
        <v/>
      </c>
      <c r="D310" s="8" t="str">
        <f t="shared" si="39"/>
        <v/>
      </c>
      <c r="E310" s="10"/>
      <c r="F310" s="10"/>
      <c r="G310" s="8" t="str">
        <f>IF(OR($E310="",$F310=""),"",IFERROR(IF($E310=INDEX(Cluster_Master!$A$4:$A$18,MATCH($F310,Cluster_Master!$B$4:$B$18,0)),"OK","CHECK"),"CHECK"))</f>
        <v/>
      </c>
      <c r="H310" s="11" t="str">
        <f>IFERROR(INDEX(Cluster_Master!$C$4:$C$18,MATCH($F310,Cluster_Master!$B$4:$B$18,0)),"")</f>
        <v/>
      </c>
      <c r="I310" s="8" t="str">
        <f>IFERROR(INDEX(Cluster_Master!$D$4:$D$18,MATCH($F310,Cluster_Master!$B$4:$B$18,0)),"")</f>
        <v/>
      </c>
      <c r="J310" s="8" t="str">
        <f>IFERROR(INDEX(Cluster_Master!$E$4:$E$18,MATCH($F310,Cluster_Master!$B$4:$B$18,0)),"")</f>
        <v/>
      </c>
      <c r="K310" s="8" t="str">
        <f>IFERROR(INDEX(Cluster_Master!$F$4:$F$18,MATCH($F310,Cluster_Master!$B$4:$B$18,0)),"")</f>
        <v/>
      </c>
      <c r="L310" s="8" t="str">
        <f>IFERROR(INDEX(Cluster_Master!$G$4:$G$18,MATCH($F310,Cluster_Master!$B$4:$B$18,0)),"")</f>
        <v/>
      </c>
      <c r="M310" s="8" t="str">
        <f>IFERROR(INDEX(Cluster_Master!$H$4:$H$18,MATCH($F310,Cluster_Master!$B$4:$B$18,0)),"")</f>
        <v/>
      </c>
      <c r="N310" s="12"/>
      <c r="O310" s="12"/>
      <c r="P310" s="12"/>
      <c r="Q310" s="12"/>
      <c r="R310" s="12"/>
      <c r="S310" s="12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8" t="str">
        <f t="shared" si="40"/>
        <v/>
      </c>
      <c r="AJ310" s="14" t="str">
        <f t="shared" si="41"/>
        <v/>
      </c>
      <c r="AK310" s="14" t="str">
        <f>IF(COUNTA(T310:AH310)=0,"",(SUM(T310*KPI_Weights!$B$4,U310*KPI_Weights!$B$5,V310*KPI_Weights!$B$6,W310*KPI_Weights!$B$7,X310*KPI_Weights!$B$8,Y310*KPI_Weights!$B$9,Z310*KPI_Weights!$B$10,AA310*KPI_Weights!$B$11,AB310*KPI_Weights!$B$12,AC310*KPI_Weights!$B$13,AD310*KPI_Weights!$B$14,AE310*KPI_Weights!$B$15,AF310*KPI_Weights!$B$16,AG310*KPI_Weights!$B$17,AH310*KPI_Weights!$B$18))/5)</f>
        <v/>
      </c>
      <c r="AL310" s="8" t="str">
        <f t="shared" si="42"/>
        <v/>
      </c>
      <c r="AM310" s="8" t="str">
        <f t="shared" si="43"/>
        <v/>
      </c>
      <c r="AN310" s="8" t="str">
        <f t="shared" si="44"/>
        <v/>
      </c>
      <c r="AO310" s="12"/>
      <c r="AP310" s="12"/>
      <c r="AQ310" s="12"/>
      <c r="AR310" s="12"/>
      <c r="AS310" s="12"/>
      <c r="AT310" s="15"/>
      <c r="AU310" s="12"/>
      <c r="AV310" s="16"/>
      <c r="AW310" s="12"/>
      <c r="AX310" s="15"/>
      <c r="AY310" s="15"/>
      <c r="AZ310" s="15"/>
      <c r="BA310" s="15"/>
      <c r="BB310" s="15"/>
      <c r="BC310" s="15"/>
      <c r="BD310" s="15"/>
      <c r="BE310" s="15"/>
      <c r="BF310" s="15"/>
    </row>
    <row r="311" spans="1:58" ht="19.5" customHeight="1" x14ac:dyDescent="0.2">
      <c r="A311" s="8" t="str">
        <f>IF($B311="","",TEXT($B311,"yyyymmdd")&amp;"-"&amp;SUBSTITUTE($F311," ","")&amp;"-"&amp;TEXT(COUNTIF($F$4:F311,$F311),"00"))</f>
        <v/>
      </c>
      <c r="B311" s="9"/>
      <c r="C311" s="8" t="str">
        <f t="shared" si="38"/>
        <v/>
      </c>
      <c r="D311" s="8" t="str">
        <f t="shared" si="39"/>
        <v/>
      </c>
      <c r="E311" s="10"/>
      <c r="F311" s="10"/>
      <c r="G311" s="8" t="str">
        <f>IF(OR($E311="",$F311=""),"",IFERROR(IF($E311=INDEX(Cluster_Master!$A$4:$A$18,MATCH($F311,Cluster_Master!$B$4:$B$18,0)),"OK","CHECK"),"CHECK"))</f>
        <v/>
      </c>
      <c r="H311" s="11" t="str">
        <f>IFERROR(INDEX(Cluster_Master!$C$4:$C$18,MATCH($F311,Cluster_Master!$B$4:$B$18,0)),"")</f>
        <v/>
      </c>
      <c r="I311" s="8" t="str">
        <f>IFERROR(INDEX(Cluster_Master!$D$4:$D$18,MATCH($F311,Cluster_Master!$B$4:$B$18,0)),"")</f>
        <v/>
      </c>
      <c r="J311" s="8" t="str">
        <f>IFERROR(INDEX(Cluster_Master!$E$4:$E$18,MATCH($F311,Cluster_Master!$B$4:$B$18,0)),"")</f>
        <v/>
      </c>
      <c r="K311" s="8" t="str">
        <f>IFERROR(INDEX(Cluster_Master!$F$4:$F$18,MATCH($F311,Cluster_Master!$B$4:$B$18,0)),"")</f>
        <v/>
      </c>
      <c r="L311" s="8" t="str">
        <f>IFERROR(INDEX(Cluster_Master!$G$4:$G$18,MATCH($F311,Cluster_Master!$B$4:$B$18,0)),"")</f>
        <v/>
      </c>
      <c r="M311" s="8" t="str">
        <f>IFERROR(INDEX(Cluster_Master!$H$4:$H$18,MATCH($F311,Cluster_Master!$B$4:$B$18,0)),"")</f>
        <v/>
      </c>
      <c r="N311" s="12"/>
      <c r="O311" s="12"/>
      <c r="P311" s="12"/>
      <c r="Q311" s="12"/>
      <c r="R311" s="12"/>
      <c r="S311" s="12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8" t="str">
        <f t="shared" si="40"/>
        <v/>
      </c>
      <c r="AJ311" s="14" t="str">
        <f t="shared" si="41"/>
        <v/>
      </c>
      <c r="AK311" s="14" t="str">
        <f>IF(COUNTA(T311:AH311)=0,"",(SUM(T311*KPI_Weights!$B$4,U311*KPI_Weights!$B$5,V311*KPI_Weights!$B$6,W311*KPI_Weights!$B$7,X311*KPI_Weights!$B$8,Y311*KPI_Weights!$B$9,Z311*KPI_Weights!$B$10,AA311*KPI_Weights!$B$11,AB311*KPI_Weights!$B$12,AC311*KPI_Weights!$B$13,AD311*KPI_Weights!$B$14,AE311*KPI_Weights!$B$15,AF311*KPI_Weights!$B$16,AG311*KPI_Weights!$B$17,AH311*KPI_Weights!$B$18))/5)</f>
        <v/>
      </c>
      <c r="AL311" s="8" t="str">
        <f t="shared" si="42"/>
        <v/>
      </c>
      <c r="AM311" s="8" t="str">
        <f t="shared" si="43"/>
        <v/>
      </c>
      <c r="AN311" s="8" t="str">
        <f t="shared" si="44"/>
        <v/>
      </c>
      <c r="AO311" s="12"/>
      <c r="AP311" s="12"/>
      <c r="AQ311" s="12"/>
      <c r="AR311" s="12"/>
      <c r="AS311" s="12"/>
      <c r="AT311" s="15"/>
      <c r="AU311" s="12"/>
      <c r="AV311" s="16"/>
      <c r="AW311" s="12"/>
      <c r="AX311" s="15"/>
      <c r="AY311" s="15"/>
      <c r="AZ311" s="15"/>
      <c r="BA311" s="15"/>
      <c r="BB311" s="15"/>
      <c r="BC311" s="15"/>
      <c r="BD311" s="15"/>
      <c r="BE311" s="15"/>
      <c r="BF311" s="15"/>
    </row>
    <row r="312" spans="1:58" ht="19.5" customHeight="1" x14ac:dyDescent="0.2">
      <c r="A312" s="8" t="str">
        <f>IF($B312="","",TEXT($B312,"yyyymmdd")&amp;"-"&amp;SUBSTITUTE($F312," ","")&amp;"-"&amp;TEXT(COUNTIF($F$4:F312,$F312),"00"))</f>
        <v/>
      </c>
      <c r="B312" s="9"/>
      <c r="C312" s="8" t="str">
        <f t="shared" si="38"/>
        <v/>
      </c>
      <c r="D312" s="8" t="str">
        <f t="shared" si="39"/>
        <v/>
      </c>
      <c r="E312" s="10"/>
      <c r="F312" s="10"/>
      <c r="G312" s="8" t="str">
        <f>IF(OR($E312="",$F312=""),"",IFERROR(IF($E312=INDEX(Cluster_Master!$A$4:$A$18,MATCH($F312,Cluster_Master!$B$4:$B$18,0)),"OK","CHECK"),"CHECK"))</f>
        <v/>
      </c>
      <c r="H312" s="11" t="str">
        <f>IFERROR(INDEX(Cluster_Master!$C$4:$C$18,MATCH($F312,Cluster_Master!$B$4:$B$18,0)),"")</f>
        <v/>
      </c>
      <c r="I312" s="8" t="str">
        <f>IFERROR(INDEX(Cluster_Master!$D$4:$D$18,MATCH($F312,Cluster_Master!$B$4:$B$18,0)),"")</f>
        <v/>
      </c>
      <c r="J312" s="8" t="str">
        <f>IFERROR(INDEX(Cluster_Master!$E$4:$E$18,MATCH($F312,Cluster_Master!$B$4:$B$18,0)),"")</f>
        <v/>
      </c>
      <c r="K312" s="8" t="str">
        <f>IFERROR(INDEX(Cluster_Master!$F$4:$F$18,MATCH($F312,Cluster_Master!$B$4:$B$18,0)),"")</f>
        <v/>
      </c>
      <c r="L312" s="8" t="str">
        <f>IFERROR(INDEX(Cluster_Master!$G$4:$G$18,MATCH($F312,Cluster_Master!$B$4:$B$18,0)),"")</f>
        <v/>
      </c>
      <c r="M312" s="8" t="str">
        <f>IFERROR(INDEX(Cluster_Master!$H$4:$H$18,MATCH($F312,Cluster_Master!$B$4:$B$18,0)),"")</f>
        <v/>
      </c>
      <c r="N312" s="12"/>
      <c r="O312" s="12"/>
      <c r="P312" s="12"/>
      <c r="Q312" s="12"/>
      <c r="R312" s="12"/>
      <c r="S312" s="12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8" t="str">
        <f t="shared" si="40"/>
        <v/>
      </c>
      <c r="AJ312" s="14" t="str">
        <f t="shared" si="41"/>
        <v/>
      </c>
      <c r="AK312" s="14" t="str">
        <f>IF(COUNTA(T312:AH312)=0,"",(SUM(T312*KPI_Weights!$B$4,U312*KPI_Weights!$B$5,V312*KPI_Weights!$B$6,W312*KPI_Weights!$B$7,X312*KPI_Weights!$B$8,Y312*KPI_Weights!$B$9,Z312*KPI_Weights!$B$10,AA312*KPI_Weights!$B$11,AB312*KPI_Weights!$B$12,AC312*KPI_Weights!$B$13,AD312*KPI_Weights!$B$14,AE312*KPI_Weights!$B$15,AF312*KPI_Weights!$B$16,AG312*KPI_Weights!$B$17,AH312*KPI_Weights!$B$18))/5)</f>
        <v/>
      </c>
      <c r="AL312" s="8" t="str">
        <f t="shared" si="42"/>
        <v/>
      </c>
      <c r="AM312" s="8" t="str">
        <f t="shared" si="43"/>
        <v/>
      </c>
      <c r="AN312" s="8" t="str">
        <f t="shared" si="44"/>
        <v/>
      </c>
      <c r="AO312" s="12"/>
      <c r="AP312" s="12"/>
      <c r="AQ312" s="12"/>
      <c r="AR312" s="12"/>
      <c r="AS312" s="12"/>
      <c r="AT312" s="15"/>
      <c r="AU312" s="12"/>
      <c r="AV312" s="16"/>
      <c r="AW312" s="12"/>
      <c r="AX312" s="15"/>
      <c r="AY312" s="15"/>
      <c r="AZ312" s="15"/>
      <c r="BA312" s="15"/>
      <c r="BB312" s="15"/>
      <c r="BC312" s="15"/>
      <c r="BD312" s="15"/>
      <c r="BE312" s="15"/>
      <c r="BF312" s="15"/>
    </row>
    <row r="313" spans="1:58" ht="19.5" customHeight="1" x14ac:dyDescent="0.2">
      <c r="A313" s="8" t="str">
        <f>IF($B313="","",TEXT($B313,"yyyymmdd")&amp;"-"&amp;SUBSTITUTE($F313," ","")&amp;"-"&amp;TEXT(COUNTIF($F$4:F313,$F313),"00"))</f>
        <v/>
      </c>
      <c r="B313" s="9"/>
      <c r="C313" s="8" t="str">
        <f t="shared" si="38"/>
        <v/>
      </c>
      <c r="D313" s="8" t="str">
        <f t="shared" si="39"/>
        <v/>
      </c>
      <c r="E313" s="10"/>
      <c r="F313" s="10"/>
      <c r="G313" s="8" t="str">
        <f>IF(OR($E313="",$F313=""),"",IFERROR(IF($E313=INDEX(Cluster_Master!$A$4:$A$18,MATCH($F313,Cluster_Master!$B$4:$B$18,0)),"OK","CHECK"),"CHECK"))</f>
        <v/>
      </c>
      <c r="H313" s="11" t="str">
        <f>IFERROR(INDEX(Cluster_Master!$C$4:$C$18,MATCH($F313,Cluster_Master!$B$4:$B$18,0)),"")</f>
        <v/>
      </c>
      <c r="I313" s="8" t="str">
        <f>IFERROR(INDEX(Cluster_Master!$D$4:$D$18,MATCH($F313,Cluster_Master!$B$4:$B$18,0)),"")</f>
        <v/>
      </c>
      <c r="J313" s="8" t="str">
        <f>IFERROR(INDEX(Cluster_Master!$E$4:$E$18,MATCH($F313,Cluster_Master!$B$4:$B$18,0)),"")</f>
        <v/>
      </c>
      <c r="K313" s="8" t="str">
        <f>IFERROR(INDEX(Cluster_Master!$F$4:$F$18,MATCH($F313,Cluster_Master!$B$4:$B$18,0)),"")</f>
        <v/>
      </c>
      <c r="L313" s="8" t="str">
        <f>IFERROR(INDEX(Cluster_Master!$G$4:$G$18,MATCH($F313,Cluster_Master!$B$4:$B$18,0)),"")</f>
        <v/>
      </c>
      <c r="M313" s="8" t="str">
        <f>IFERROR(INDEX(Cluster_Master!$H$4:$H$18,MATCH($F313,Cluster_Master!$B$4:$B$18,0)),"")</f>
        <v/>
      </c>
      <c r="N313" s="12"/>
      <c r="O313" s="12"/>
      <c r="P313" s="12"/>
      <c r="Q313" s="12"/>
      <c r="R313" s="12"/>
      <c r="S313" s="12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8" t="str">
        <f t="shared" si="40"/>
        <v/>
      </c>
      <c r="AJ313" s="14" t="str">
        <f t="shared" si="41"/>
        <v/>
      </c>
      <c r="AK313" s="14" t="str">
        <f>IF(COUNTA(T313:AH313)=0,"",(SUM(T313*KPI_Weights!$B$4,U313*KPI_Weights!$B$5,V313*KPI_Weights!$B$6,W313*KPI_Weights!$B$7,X313*KPI_Weights!$B$8,Y313*KPI_Weights!$B$9,Z313*KPI_Weights!$B$10,AA313*KPI_Weights!$B$11,AB313*KPI_Weights!$B$12,AC313*KPI_Weights!$B$13,AD313*KPI_Weights!$B$14,AE313*KPI_Weights!$B$15,AF313*KPI_Weights!$B$16,AG313*KPI_Weights!$B$17,AH313*KPI_Weights!$B$18))/5)</f>
        <v/>
      </c>
      <c r="AL313" s="8" t="str">
        <f t="shared" si="42"/>
        <v/>
      </c>
      <c r="AM313" s="8" t="str">
        <f t="shared" si="43"/>
        <v/>
      </c>
      <c r="AN313" s="8" t="str">
        <f t="shared" si="44"/>
        <v/>
      </c>
      <c r="AO313" s="12"/>
      <c r="AP313" s="12"/>
      <c r="AQ313" s="12"/>
      <c r="AR313" s="12"/>
      <c r="AS313" s="12"/>
      <c r="AT313" s="15"/>
      <c r="AU313" s="12"/>
      <c r="AV313" s="16"/>
      <c r="AW313" s="12"/>
      <c r="AX313" s="15"/>
      <c r="AY313" s="15"/>
      <c r="AZ313" s="15"/>
      <c r="BA313" s="15"/>
      <c r="BB313" s="15"/>
      <c r="BC313" s="15"/>
      <c r="BD313" s="15"/>
      <c r="BE313" s="15"/>
      <c r="BF313" s="15"/>
    </row>
    <row r="314" spans="1:58" ht="19.5" customHeight="1" x14ac:dyDescent="0.2">
      <c r="A314" s="8" t="str">
        <f>IF($B314="","",TEXT($B314,"yyyymmdd")&amp;"-"&amp;SUBSTITUTE($F314," ","")&amp;"-"&amp;TEXT(COUNTIF($F$4:F314,$F314),"00"))</f>
        <v/>
      </c>
      <c r="B314" s="9"/>
      <c r="C314" s="8" t="str">
        <f t="shared" si="38"/>
        <v/>
      </c>
      <c r="D314" s="8" t="str">
        <f t="shared" si="39"/>
        <v/>
      </c>
      <c r="E314" s="10"/>
      <c r="F314" s="10"/>
      <c r="G314" s="8" t="str">
        <f>IF(OR($E314="",$F314=""),"",IFERROR(IF($E314=INDEX(Cluster_Master!$A$4:$A$18,MATCH($F314,Cluster_Master!$B$4:$B$18,0)),"OK","CHECK"),"CHECK"))</f>
        <v/>
      </c>
      <c r="H314" s="11" t="str">
        <f>IFERROR(INDEX(Cluster_Master!$C$4:$C$18,MATCH($F314,Cluster_Master!$B$4:$B$18,0)),"")</f>
        <v/>
      </c>
      <c r="I314" s="8" t="str">
        <f>IFERROR(INDEX(Cluster_Master!$D$4:$D$18,MATCH($F314,Cluster_Master!$B$4:$B$18,0)),"")</f>
        <v/>
      </c>
      <c r="J314" s="8" t="str">
        <f>IFERROR(INDEX(Cluster_Master!$E$4:$E$18,MATCH($F314,Cluster_Master!$B$4:$B$18,0)),"")</f>
        <v/>
      </c>
      <c r="K314" s="8" t="str">
        <f>IFERROR(INDEX(Cluster_Master!$F$4:$F$18,MATCH($F314,Cluster_Master!$B$4:$B$18,0)),"")</f>
        <v/>
      </c>
      <c r="L314" s="8" t="str">
        <f>IFERROR(INDEX(Cluster_Master!$G$4:$G$18,MATCH($F314,Cluster_Master!$B$4:$B$18,0)),"")</f>
        <v/>
      </c>
      <c r="M314" s="8" t="str">
        <f>IFERROR(INDEX(Cluster_Master!$H$4:$H$18,MATCH($F314,Cluster_Master!$B$4:$B$18,0)),"")</f>
        <v/>
      </c>
      <c r="N314" s="12"/>
      <c r="O314" s="12"/>
      <c r="P314" s="12"/>
      <c r="Q314" s="12"/>
      <c r="R314" s="12"/>
      <c r="S314" s="12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8" t="str">
        <f t="shared" si="40"/>
        <v/>
      </c>
      <c r="AJ314" s="14" t="str">
        <f t="shared" si="41"/>
        <v/>
      </c>
      <c r="AK314" s="14" t="str">
        <f>IF(COUNTA(T314:AH314)=0,"",(SUM(T314*KPI_Weights!$B$4,U314*KPI_Weights!$B$5,V314*KPI_Weights!$B$6,W314*KPI_Weights!$B$7,X314*KPI_Weights!$B$8,Y314*KPI_Weights!$B$9,Z314*KPI_Weights!$B$10,AA314*KPI_Weights!$B$11,AB314*KPI_Weights!$B$12,AC314*KPI_Weights!$B$13,AD314*KPI_Weights!$B$14,AE314*KPI_Weights!$B$15,AF314*KPI_Weights!$B$16,AG314*KPI_Weights!$B$17,AH314*KPI_Weights!$B$18))/5)</f>
        <v/>
      </c>
      <c r="AL314" s="8" t="str">
        <f t="shared" si="42"/>
        <v/>
      </c>
      <c r="AM314" s="8" t="str">
        <f t="shared" si="43"/>
        <v/>
      </c>
      <c r="AN314" s="8" t="str">
        <f t="shared" si="44"/>
        <v/>
      </c>
      <c r="AO314" s="12"/>
      <c r="AP314" s="12"/>
      <c r="AQ314" s="12"/>
      <c r="AR314" s="12"/>
      <c r="AS314" s="12"/>
      <c r="AT314" s="15"/>
      <c r="AU314" s="12"/>
      <c r="AV314" s="16"/>
      <c r="AW314" s="12"/>
      <c r="AX314" s="15"/>
      <c r="AY314" s="15"/>
      <c r="AZ314" s="15"/>
      <c r="BA314" s="15"/>
      <c r="BB314" s="15"/>
      <c r="BC314" s="15"/>
      <c r="BD314" s="15"/>
      <c r="BE314" s="15"/>
      <c r="BF314" s="15"/>
    </row>
    <row r="315" spans="1:58" ht="19.5" customHeight="1" x14ac:dyDescent="0.2">
      <c r="A315" s="8" t="str">
        <f>IF($B315="","",TEXT($B315,"yyyymmdd")&amp;"-"&amp;SUBSTITUTE($F315," ","")&amp;"-"&amp;TEXT(COUNTIF($F$4:F315,$F315),"00"))</f>
        <v/>
      </c>
      <c r="B315" s="9"/>
      <c r="C315" s="8" t="str">
        <f t="shared" si="38"/>
        <v/>
      </c>
      <c r="D315" s="8" t="str">
        <f t="shared" si="39"/>
        <v/>
      </c>
      <c r="E315" s="10"/>
      <c r="F315" s="10"/>
      <c r="G315" s="8" t="str">
        <f>IF(OR($E315="",$F315=""),"",IFERROR(IF($E315=INDEX(Cluster_Master!$A$4:$A$18,MATCH($F315,Cluster_Master!$B$4:$B$18,0)),"OK","CHECK"),"CHECK"))</f>
        <v/>
      </c>
      <c r="H315" s="11" t="str">
        <f>IFERROR(INDEX(Cluster_Master!$C$4:$C$18,MATCH($F315,Cluster_Master!$B$4:$B$18,0)),"")</f>
        <v/>
      </c>
      <c r="I315" s="8" t="str">
        <f>IFERROR(INDEX(Cluster_Master!$D$4:$D$18,MATCH($F315,Cluster_Master!$B$4:$B$18,0)),"")</f>
        <v/>
      </c>
      <c r="J315" s="8" t="str">
        <f>IFERROR(INDEX(Cluster_Master!$E$4:$E$18,MATCH($F315,Cluster_Master!$B$4:$B$18,0)),"")</f>
        <v/>
      </c>
      <c r="K315" s="8" t="str">
        <f>IFERROR(INDEX(Cluster_Master!$F$4:$F$18,MATCH($F315,Cluster_Master!$B$4:$B$18,0)),"")</f>
        <v/>
      </c>
      <c r="L315" s="8" t="str">
        <f>IFERROR(INDEX(Cluster_Master!$G$4:$G$18,MATCH($F315,Cluster_Master!$B$4:$B$18,0)),"")</f>
        <v/>
      </c>
      <c r="M315" s="8" t="str">
        <f>IFERROR(INDEX(Cluster_Master!$H$4:$H$18,MATCH($F315,Cluster_Master!$B$4:$B$18,0)),"")</f>
        <v/>
      </c>
      <c r="N315" s="12"/>
      <c r="O315" s="12"/>
      <c r="P315" s="12"/>
      <c r="Q315" s="12"/>
      <c r="R315" s="12"/>
      <c r="S315" s="12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8" t="str">
        <f t="shared" si="40"/>
        <v/>
      </c>
      <c r="AJ315" s="14" t="str">
        <f t="shared" si="41"/>
        <v/>
      </c>
      <c r="AK315" s="14" t="str">
        <f>IF(COUNTA(T315:AH315)=0,"",(SUM(T315*KPI_Weights!$B$4,U315*KPI_Weights!$B$5,V315*KPI_Weights!$B$6,W315*KPI_Weights!$B$7,X315*KPI_Weights!$B$8,Y315*KPI_Weights!$B$9,Z315*KPI_Weights!$B$10,AA315*KPI_Weights!$B$11,AB315*KPI_Weights!$B$12,AC315*KPI_Weights!$B$13,AD315*KPI_Weights!$B$14,AE315*KPI_Weights!$B$15,AF315*KPI_Weights!$B$16,AG315*KPI_Weights!$B$17,AH315*KPI_Weights!$B$18))/5)</f>
        <v/>
      </c>
      <c r="AL315" s="8" t="str">
        <f t="shared" si="42"/>
        <v/>
      </c>
      <c r="AM315" s="8" t="str">
        <f t="shared" si="43"/>
        <v/>
      </c>
      <c r="AN315" s="8" t="str">
        <f t="shared" si="44"/>
        <v/>
      </c>
      <c r="AO315" s="12"/>
      <c r="AP315" s="12"/>
      <c r="AQ315" s="12"/>
      <c r="AR315" s="12"/>
      <c r="AS315" s="12"/>
      <c r="AT315" s="15"/>
      <c r="AU315" s="12"/>
      <c r="AV315" s="16"/>
      <c r="AW315" s="12"/>
      <c r="AX315" s="15"/>
      <c r="AY315" s="15"/>
      <c r="AZ315" s="15"/>
      <c r="BA315" s="15"/>
      <c r="BB315" s="15"/>
      <c r="BC315" s="15"/>
      <c r="BD315" s="15"/>
      <c r="BE315" s="15"/>
      <c r="BF315" s="15"/>
    </row>
    <row r="316" spans="1:58" ht="19.5" customHeight="1" x14ac:dyDescent="0.2">
      <c r="A316" s="8" t="str">
        <f>IF($B316="","",TEXT($B316,"yyyymmdd")&amp;"-"&amp;SUBSTITUTE($F316," ","")&amp;"-"&amp;TEXT(COUNTIF($F$4:F316,$F316),"00"))</f>
        <v/>
      </c>
      <c r="B316" s="9"/>
      <c r="C316" s="8" t="str">
        <f t="shared" si="38"/>
        <v/>
      </c>
      <c r="D316" s="8" t="str">
        <f t="shared" si="39"/>
        <v/>
      </c>
      <c r="E316" s="10"/>
      <c r="F316" s="10"/>
      <c r="G316" s="8" t="str">
        <f>IF(OR($E316="",$F316=""),"",IFERROR(IF($E316=INDEX(Cluster_Master!$A$4:$A$18,MATCH($F316,Cluster_Master!$B$4:$B$18,0)),"OK","CHECK"),"CHECK"))</f>
        <v/>
      </c>
      <c r="H316" s="11" t="str">
        <f>IFERROR(INDEX(Cluster_Master!$C$4:$C$18,MATCH($F316,Cluster_Master!$B$4:$B$18,0)),"")</f>
        <v/>
      </c>
      <c r="I316" s="8" t="str">
        <f>IFERROR(INDEX(Cluster_Master!$D$4:$D$18,MATCH($F316,Cluster_Master!$B$4:$B$18,0)),"")</f>
        <v/>
      </c>
      <c r="J316" s="8" t="str">
        <f>IFERROR(INDEX(Cluster_Master!$E$4:$E$18,MATCH($F316,Cluster_Master!$B$4:$B$18,0)),"")</f>
        <v/>
      </c>
      <c r="K316" s="8" t="str">
        <f>IFERROR(INDEX(Cluster_Master!$F$4:$F$18,MATCH($F316,Cluster_Master!$B$4:$B$18,0)),"")</f>
        <v/>
      </c>
      <c r="L316" s="8" t="str">
        <f>IFERROR(INDEX(Cluster_Master!$G$4:$G$18,MATCH($F316,Cluster_Master!$B$4:$B$18,0)),"")</f>
        <v/>
      </c>
      <c r="M316" s="8" t="str">
        <f>IFERROR(INDEX(Cluster_Master!$H$4:$H$18,MATCH($F316,Cluster_Master!$B$4:$B$18,0)),"")</f>
        <v/>
      </c>
      <c r="N316" s="12"/>
      <c r="O316" s="12"/>
      <c r="P316" s="12"/>
      <c r="Q316" s="12"/>
      <c r="R316" s="12"/>
      <c r="S316" s="12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8" t="str">
        <f t="shared" si="40"/>
        <v/>
      </c>
      <c r="AJ316" s="14" t="str">
        <f t="shared" si="41"/>
        <v/>
      </c>
      <c r="AK316" s="14" t="str">
        <f>IF(COUNTA(T316:AH316)=0,"",(SUM(T316*KPI_Weights!$B$4,U316*KPI_Weights!$B$5,V316*KPI_Weights!$B$6,W316*KPI_Weights!$B$7,X316*KPI_Weights!$B$8,Y316*KPI_Weights!$B$9,Z316*KPI_Weights!$B$10,AA316*KPI_Weights!$B$11,AB316*KPI_Weights!$B$12,AC316*KPI_Weights!$B$13,AD316*KPI_Weights!$B$14,AE316*KPI_Weights!$B$15,AF316*KPI_Weights!$B$16,AG316*KPI_Weights!$B$17,AH316*KPI_Weights!$B$18))/5)</f>
        <v/>
      </c>
      <c r="AL316" s="8" t="str">
        <f t="shared" si="42"/>
        <v/>
      </c>
      <c r="AM316" s="8" t="str">
        <f t="shared" si="43"/>
        <v/>
      </c>
      <c r="AN316" s="8" t="str">
        <f t="shared" si="44"/>
        <v/>
      </c>
      <c r="AO316" s="12"/>
      <c r="AP316" s="12"/>
      <c r="AQ316" s="12"/>
      <c r="AR316" s="12"/>
      <c r="AS316" s="12"/>
      <c r="AT316" s="15"/>
      <c r="AU316" s="12"/>
      <c r="AV316" s="16"/>
      <c r="AW316" s="12"/>
      <c r="AX316" s="15"/>
      <c r="AY316" s="15"/>
      <c r="AZ316" s="15"/>
      <c r="BA316" s="15"/>
      <c r="BB316" s="15"/>
      <c r="BC316" s="15"/>
      <c r="BD316" s="15"/>
      <c r="BE316" s="15"/>
      <c r="BF316" s="15"/>
    </row>
    <row r="317" spans="1:58" ht="19.5" customHeight="1" x14ac:dyDescent="0.2">
      <c r="A317" s="8" t="str">
        <f>IF($B317="","",TEXT($B317,"yyyymmdd")&amp;"-"&amp;SUBSTITUTE($F317," ","")&amp;"-"&amp;TEXT(COUNTIF($F$4:F317,$F317),"00"))</f>
        <v/>
      </c>
      <c r="B317" s="9"/>
      <c r="C317" s="8" t="str">
        <f t="shared" si="38"/>
        <v/>
      </c>
      <c r="D317" s="8" t="str">
        <f t="shared" si="39"/>
        <v/>
      </c>
      <c r="E317" s="10"/>
      <c r="F317" s="10"/>
      <c r="G317" s="8" t="str">
        <f>IF(OR($E317="",$F317=""),"",IFERROR(IF($E317=INDEX(Cluster_Master!$A$4:$A$18,MATCH($F317,Cluster_Master!$B$4:$B$18,0)),"OK","CHECK"),"CHECK"))</f>
        <v/>
      </c>
      <c r="H317" s="11" t="str">
        <f>IFERROR(INDEX(Cluster_Master!$C$4:$C$18,MATCH($F317,Cluster_Master!$B$4:$B$18,0)),"")</f>
        <v/>
      </c>
      <c r="I317" s="8" t="str">
        <f>IFERROR(INDEX(Cluster_Master!$D$4:$D$18,MATCH($F317,Cluster_Master!$B$4:$B$18,0)),"")</f>
        <v/>
      </c>
      <c r="J317" s="8" t="str">
        <f>IFERROR(INDEX(Cluster_Master!$E$4:$E$18,MATCH($F317,Cluster_Master!$B$4:$B$18,0)),"")</f>
        <v/>
      </c>
      <c r="K317" s="8" t="str">
        <f>IFERROR(INDEX(Cluster_Master!$F$4:$F$18,MATCH($F317,Cluster_Master!$B$4:$B$18,0)),"")</f>
        <v/>
      </c>
      <c r="L317" s="8" t="str">
        <f>IFERROR(INDEX(Cluster_Master!$G$4:$G$18,MATCH($F317,Cluster_Master!$B$4:$B$18,0)),"")</f>
        <v/>
      </c>
      <c r="M317" s="8" t="str">
        <f>IFERROR(INDEX(Cluster_Master!$H$4:$H$18,MATCH($F317,Cluster_Master!$B$4:$B$18,0)),"")</f>
        <v/>
      </c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8" t="str">
        <f t="shared" si="40"/>
        <v/>
      </c>
      <c r="AJ317" s="14" t="str">
        <f t="shared" si="41"/>
        <v/>
      </c>
      <c r="AK317" s="14" t="str">
        <f>IF(COUNTA(T317:AH317)=0,"",(SUM(T317*KPI_Weights!$B$4,U317*KPI_Weights!$B$5,V317*KPI_Weights!$B$6,W317*KPI_Weights!$B$7,X317*KPI_Weights!$B$8,Y317*KPI_Weights!$B$9,Z317*KPI_Weights!$B$10,AA317*KPI_Weights!$B$11,AB317*KPI_Weights!$B$12,AC317*KPI_Weights!$B$13,AD317*KPI_Weights!$B$14,AE317*KPI_Weights!$B$15,AF317*KPI_Weights!$B$16,AG317*KPI_Weights!$B$17,AH317*KPI_Weights!$B$18))/5)</f>
        <v/>
      </c>
      <c r="AL317" s="8" t="str">
        <f t="shared" si="42"/>
        <v/>
      </c>
      <c r="AM317" s="8" t="str">
        <f t="shared" si="43"/>
        <v/>
      </c>
      <c r="AN317" s="8" t="str">
        <f t="shared" si="44"/>
        <v/>
      </c>
      <c r="AO317" s="12"/>
      <c r="AP317" s="12"/>
      <c r="AQ317" s="12"/>
      <c r="AR317" s="12"/>
      <c r="AS317" s="12"/>
      <c r="AT317" s="15"/>
      <c r="AU317" s="12"/>
      <c r="AV317" s="16"/>
      <c r="AW317" s="12"/>
      <c r="AX317" s="15"/>
      <c r="AY317" s="15"/>
      <c r="AZ317" s="15"/>
      <c r="BA317" s="15"/>
      <c r="BB317" s="15"/>
      <c r="BC317" s="15"/>
      <c r="BD317" s="15"/>
      <c r="BE317" s="15"/>
      <c r="BF317" s="15"/>
    </row>
    <row r="318" spans="1:58" ht="19.5" customHeight="1" x14ac:dyDescent="0.2">
      <c r="A318" s="8" t="str">
        <f>IF($B318="","",TEXT($B318,"yyyymmdd")&amp;"-"&amp;SUBSTITUTE($F318," ","")&amp;"-"&amp;TEXT(COUNTIF($F$4:F318,$F318),"00"))</f>
        <v/>
      </c>
      <c r="B318" s="9"/>
      <c r="C318" s="8" t="str">
        <f t="shared" si="38"/>
        <v/>
      </c>
      <c r="D318" s="8" t="str">
        <f t="shared" si="39"/>
        <v/>
      </c>
      <c r="E318" s="10"/>
      <c r="F318" s="10"/>
      <c r="G318" s="8" t="str">
        <f>IF(OR($E318="",$F318=""),"",IFERROR(IF($E318=INDEX(Cluster_Master!$A$4:$A$18,MATCH($F318,Cluster_Master!$B$4:$B$18,0)),"OK","CHECK"),"CHECK"))</f>
        <v/>
      </c>
      <c r="H318" s="11" t="str">
        <f>IFERROR(INDEX(Cluster_Master!$C$4:$C$18,MATCH($F318,Cluster_Master!$B$4:$B$18,0)),"")</f>
        <v/>
      </c>
      <c r="I318" s="8" t="str">
        <f>IFERROR(INDEX(Cluster_Master!$D$4:$D$18,MATCH($F318,Cluster_Master!$B$4:$B$18,0)),"")</f>
        <v/>
      </c>
      <c r="J318" s="8" t="str">
        <f>IFERROR(INDEX(Cluster_Master!$E$4:$E$18,MATCH($F318,Cluster_Master!$B$4:$B$18,0)),"")</f>
        <v/>
      </c>
      <c r="K318" s="8" t="str">
        <f>IFERROR(INDEX(Cluster_Master!$F$4:$F$18,MATCH($F318,Cluster_Master!$B$4:$B$18,0)),"")</f>
        <v/>
      </c>
      <c r="L318" s="8" t="str">
        <f>IFERROR(INDEX(Cluster_Master!$G$4:$G$18,MATCH($F318,Cluster_Master!$B$4:$B$18,0)),"")</f>
        <v/>
      </c>
      <c r="M318" s="8" t="str">
        <f>IFERROR(INDEX(Cluster_Master!$H$4:$H$18,MATCH($F318,Cluster_Master!$B$4:$B$18,0)),"")</f>
        <v/>
      </c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8" t="str">
        <f t="shared" si="40"/>
        <v/>
      </c>
      <c r="AJ318" s="14" t="str">
        <f t="shared" si="41"/>
        <v/>
      </c>
      <c r="AK318" s="14" t="str">
        <f>IF(COUNTA(T318:AH318)=0,"",(SUM(T318*KPI_Weights!$B$4,U318*KPI_Weights!$B$5,V318*KPI_Weights!$B$6,W318*KPI_Weights!$B$7,X318*KPI_Weights!$B$8,Y318*KPI_Weights!$B$9,Z318*KPI_Weights!$B$10,AA318*KPI_Weights!$B$11,AB318*KPI_Weights!$B$12,AC318*KPI_Weights!$B$13,AD318*KPI_Weights!$B$14,AE318*KPI_Weights!$B$15,AF318*KPI_Weights!$B$16,AG318*KPI_Weights!$B$17,AH318*KPI_Weights!$B$18))/5)</f>
        <v/>
      </c>
      <c r="AL318" s="8" t="str">
        <f t="shared" si="42"/>
        <v/>
      </c>
      <c r="AM318" s="8" t="str">
        <f t="shared" si="43"/>
        <v/>
      </c>
      <c r="AN318" s="8" t="str">
        <f t="shared" si="44"/>
        <v/>
      </c>
      <c r="AO318" s="12"/>
      <c r="AP318" s="12"/>
      <c r="AQ318" s="12"/>
      <c r="AR318" s="12"/>
      <c r="AS318" s="12"/>
      <c r="AT318" s="15"/>
      <c r="AU318" s="12"/>
      <c r="AV318" s="16"/>
      <c r="AW318" s="12"/>
      <c r="AX318" s="15"/>
      <c r="AY318" s="15"/>
      <c r="AZ318" s="15"/>
      <c r="BA318" s="15"/>
      <c r="BB318" s="15"/>
      <c r="BC318" s="15"/>
      <c r="BD318" s="15"/>
      <c r="BE318" s="15"/>
      <c r="BF318" s="15"/>
    </row>
    <row r="319" spans="1:58" ht="19.5" customHeight="1" x14ac:dyDescent="0.2">
      <c r="A319" s="8" t="str">
        <f>IF($B319="","",TEXT($B319,"yyyymmdd")&amp;"-"&amp;SUBSTITUTE($F319," ","")&amp;"-"&amp;TEXT(COUNTIF($F$4:F319,$F319),"00"))</f>
        <v/>
      </c>
      <c r="B319" s="9"/>
      <c r="C319" s="8" t="str">
        <f t="shared" si="38"/>
        <v/>
      </c>
      <c r="D319" s="8" t="str">
        <f t="shared" si="39"/>
        <v/>
      </c>
      <c r="E319" s="10"/>
      <c r="F319" s="10"/>
      <c r="G319" s="8" t="str">
        <f>IF(OR($E319="",$F319=""),"",IFERROR(IF($E319=INDEX(Cluster_Master!$A$4:$A$18,MATCH($F319,Cluster_Master!$B$4:$B$18,0)),"OK","CHECK"),"CHECK"))</f>
        <v/>
      </c>
      <c r="H319" s="11" t="str">
        <f>IFERROR(INDEX(Cluster_Master!$C$4:$C$18,MATCH($F319,Cluster_Master!$B$4:$B$18,0)),"")</f>
        <v/>
      </c>
      <c r="I319" s="8" t="str">
        <f>IFERROR(INDEX(Cluster_Master!$D$4:$D$18,MATCH($F319,Cluster_Master!$B$4:$B$18,0)),"")</f>
        <v/>
      </c>
      <c r="J319" s="8" t="str">
        <f>IFERROR(INDEX(Cluster_Master!$E$4:$E$18,MATCH($F319,Cluster_Master!$B$4:$B$18,0)),"")</f>
        <v/>
      </c>
      <c r="K319" s="8" t="str">
        <f>IFERROR(INDEX(Cluster_Master!$F$4:$F$18,MATCH($F319,Cluster_Master!$B$4:$B$18,0)),"")</f>
        <v/>
      </c>
      <c r="L319" s="8" t="str">
        <f>IFERROR(INDEX(Cluster_Master!$G$4:$G$18,MATCH($F319,Cluster_Master!$B$4:$B$18,0)),"")</f>
        <v/>
      </c>
      <c r="M319" s="8" t="str">
        <f>IFERROR(INDEX(Cluster_Master!$H$4:$H$18,MATCH($F319,Cluster_Master!$B$4:$B$18,0)),"")</f>
        <v/>
      </c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8" t="str">
        <f t="shared" si="40"/>
        <v/>
      </c>
      <c r="AJ319" s="14" t="str">
        <f t="shared" si="41"/>
        <v/>
      </c>
      <c r="AK319" s="14" t="str">
        <f>IF(COUNTA(T319:AH319)=0,"",(SUM(T319*KPI_Weights!$B$4,U319*KPI_Weights!$B$5,V319*KPI_Weights!$B$6,W319*KPI_Weights!$B$7,X319*KPI_Weights!$B$8,Y319*KPI_Weights!$B$9,Z319*KPI_Weights!$B$10,AA319*KPI_Weights!$B$11,AB319*KPI_Weights!$B$12,AC319*KPI_Weights!$B$13,AD319*KPI_Weights!$B$14,AE319*KPI_Weights!$B$15,AF319*KPI_Weights!$B$16,AG319*KPI_Weights!$B$17,AH319*KPI_Weights!$B$18))/5)</f>
        <v/>
      </c>
      <c r="AL319" s="8" t="str">
        <f t="shared" si="42"/>
        <v/>
      </c>
      <c r="AM319" s="8" t="str">
        <f t="shared" si="43"/>
        <v/>
      </c>
      <c r="AN319" s="8" t="str">
        <f t="shared" si="44"/>
        <v/>
      </c>
      <c r="AO319" s="12"/>
      <c r="AP319" s="12"/>
      <c r="AQ319" s="12"/>
      <c r="AR319" s="12"/>
      <c r="AS319" s="12"/>
      <c r="AT319" s="15"/>
      <c r="AU319" s="12"/>
      <c r="AV319" s="16"/>
      <c r="AW319" s="12"/>
      <c r="AX319" s="15"/>
      <c r="AY319" s="15"/>
      <c r="AZ319" s="15"/>
      <c r="BA319" s="15"/>
      <c r="BB319" s="15"/>
      <c r="BC319" s="15"/>
      <c r="BD319" s="15"/>
      <c r="BE319" s="15"/>
      <c r="BF319" s="15"/>
    </row>
    <row r="320" spans="1:58" ht="19.5" customHeight="1" x14ac:dyDescent="0.2">
      <c r="A320" s="8" t="str">
        <f>IF($B320="","",TEXT($B320,"yyyymmdd")&amp;"-"&amp;SUBSTITUTE($F320," ","")&amp;"-"&amp;TEXT(COUNTIF($F$4:F320,$F320),"00"))</f>
        <v/>
      </c>
      <c r="B320" s="9"/>
      <c r="C320" s="8" t="str">
        <f t="shared" ref="C320:C383" si="45">IF($B320="","",WEEKNUM($B320,2))</f>
        <v/>
      </c>
      <c r="D320" s="8" t="str">
        <f t="shared" ref="D320:D383" si="46">IF($B320="","",TEXT($B320,"yyyy-mm"))</f>
        <v/>
      </c>
      <c r="E320" s="10"/>
      <c r="F320" s="10"/>
      <c r="G320" s="8" t="str">
        <f>IF(OR($E320="",$F320=""),"",IFERROR(IF($E320=INDEX(Cluster_Master!$A$4:$A$18,MATCH($F320,Cluster_Master!$B$4:$B$18,0)),"OK","CHECK"),"CHECK"))</f>
        <v/>
      </c>
      <c r="H320" s="11" t="str">
        <f>IFERROR(INDEX(Cluster_Master!$C$4:$C$18,MATCH($F320,Cluster_Master!$B$4:$B$18,0)),"")</f>
        <v/>
      </c>
      <c r="I320" s="8" t="str">
        <f>IFERROR(INDEX(Cluster_Master!$D$4:$D$18,MATCH($F320,Cluster_Master!$B$4:$B$18,0)),"")</f>
        <v/>
      </c>
      <c r="J320" s="8" t="str">
        <f>IFERROR(INDEX(Cluster_Master!$E$4:$E$18,MATCH($F320,Cluster_Master!$B$4:$B$18,0)),"")</f>
        <v/>
      </c>
      <c r="K320" s="8" t="str">
        <f>IFERROR(INDEX(Cluster_Master!$F$4:$F$18,MATCH($F320,Cluster_Master!$B$4:$B$18,0)),"")</f>
        <v/>
      </c>
      <c r="L320" s="8" t="str">
        <f>IFERROR(INDEX(Cluster_Master!$G$4:$G$18,MATCH($F320,Cluster_Master!$B$4:$B$18,0)),"")</f>
        <v/>
      </c>
      <c r="M320" s="8" t="str">
        <f>IFERROR(INDEX(Cluster_Master!$H$4:$H$18,MATCH($F320,Cluster_Master!$B$4:$B$18,0)),"")</f>
        <v/>
      </c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8" t="str">
        <f t="shared" ref="AI320:AI383" si="47">IF(COUNTA(T320:AH320)=0,"",SUM(T320:AH320))</f>
        <v/>
      </c>
      <c r="AJ320" s="14" t="str">
        <f t="shared" ref="AJ320:AJ383" si="48">IF(COUNTA(T320:AH320)=0,"",AI320/75)</f>
        <v/>
      </c>
      <c r="AK320" s="14" t="str">
        <f>IF(COUNTA(T320:AH320)=0,"",(SUM(T320*KPI_Weights!$B$4,U320*KPI_Weights!$B$5,V320*KPI_Weights!$B$6,W320*KPI_Weights!$B$7,X320*KPI_Weights!$B$8,Y320*KPI_Weights!$B$9,Z320*KPI_Weights!$B$10,AA320*KPI_Weights!$B$11,AB320*KPI_Weights!$B$12,AC320*KPI_Weights!$B$13,AD320*KPI_Weights!$B$14,AE320*KPI_Weights!$B$15,AF320*KPI_Weights!$B$16,AG320*KPI_Weights!$B$17,AH320*KPI_Weights!$B$18))/5)</f>
        <v/>
      </c>
      <c r="AL320" s="8" t="str">
        <f t="shared" ref="AL320:AL383" si="49">IF(COUNTA(T320:AH320)=0,"",IF(OR(T320&lt;=1,W320&lt;=1,X320&lt;=1,Y320&lt;=1,AB320&lt;=1),"YES","NO"))</f>
        <v/>
      </c>
      <c r="AM320" s="8" t="str">
        <f t="shared" ref="AM320:AM383" si="50">IF(AJ320="","",IF(AND(AL320="NO",AJ320&gt;=0.75),"YES","NO"))</f>
        <v/>
      </c>
      <c r="AN320" s="8" t="str">
        <f t="shared" ref="AN320:AN383" si="51">IF(AJ320="","",IF(AJ320&lt;0.4,"Critical",IF(AJ320&lt;0.6,"Poor",IF(AJ320&lt;0.75,"Needs Improvement",IF(AJ320&lt;0.9,"Good","Excellent")))))</f>
        <v/>
      </c>
      <c r="AO320" s="12"/>
      <c r="AP320" s="12"/>
      <c r="AQ320" s="12"/>
      <c r="AR320" s="12"/>
      <c r="AS320" s="12"/>
      <c r="AT320" s="15"/>
      <c r="AU320" s="12"/>
      <c r="AV320" s="16"/>
      <c r="AW320" s="12"/>
      <c r="AX320" s="15"/>
      <c r="AY320" s="15"/>
      <c r="AZ320" s="15"/>
      <c r="BA320" s="15"/>
      <c r="BB320" s="15"/>
      <c r="BC320" s="15"/>
      <c r="BD320" s="15"/>
      <c r="BE320" s="15"/>
      <c r="BF320" s="15"/>
    </row>
    <row r="321" spans="1:58" ht="19.5" customHeight="1" x14ac:dyDescent="0.2">
      <c r="A321" s="8" t="str">
        <f>IF($B321="","",TEXT($B321,"yyyymmdd")&amp;"-"&amp;SUBSTITUTE($F321," ","")&amp;"-"&amp;TEXT(COUNTIF($F$4:F321,$F321),"00"))</f>
        <v/>
      </c>
      <c r="B321" s="9"/>
      <c r="C321" s="8" t="str">
        <f t="shared" si="45"/>
        <v/>
      </c>
      <c r="D321" s="8" t="str">
        <f t="shared" si="46"/>
        <v/>
      </c>
      <c r="E321" s="10"/>
      <c r="F321" s="10"/>
      <c r="G321" s="8" t="str">
        <f>IF(OR($E321="",$F321=""),"",IFERROR(IF($E321=INDEX(Cluster_Master!$A$4:$A$18,MATCH($F321,Cluster_Master!$B$4:$B$18,0)),"OK","CHECK"),"CHECK"))</f>
        <v/>
      </c>
      <c r="H321" s="11" t="str">
        <f>IFERROR(INDEX(Cluster_Master!$C$4:$C$18,MATCH($F321,Cluster_Master!$B$4:$B$18,0)),"")</f>
        <v/>
      </c>
      <c r="I321" s="8" t="str">
        <f>IFERROR(INDEX(Cluster_Master!$D$4:$D$18,MATCH($F321,Cluster_Master!$B$4:$B$18,0)),"")</f>
        <v/>
      </c>
      <c r="J321" s="8" t="str">
        <f>IFERROR(INDEX(Cluster_Master!$E$4:$E$18,MATCH($F321,Cluster_Master!$B$4:$B$18,0)),"")</f>
        <v/>
      </c>
      <c r="K321" s="8" t="str">
        <f>IFERROR(INDEX(Cluster_Master!$F$4:$F$18,MATCH($F321,Cluster_Master!$B$4:$B$18,0)),"")</f>
        <v/>
      </c>
      <c r="L321" s="8" t="str">
        <f>IFERROR(INDEX(Cluster_Master!$G$4:$G$18,MATCH($F321,Cluster_Master!$B$4:$B$18,0)),"")</f>
        <v/>
      </c>
      <c r="M321" s="8" t="str">
        <f>IFERROR(INDEX(Cluster_Master!$H$4:$H$18,MATCH($F321,Cluster_Master!$B$4:$B$18,0)),"")</f>
        <v/>
      </c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8" t="str">
        <f t="shared" si="47"/>
        <v/>
      </c>
      <c r="AJ321" s="14" t="str">
        <f t="shared" si="48"/>
        <v/>
      </c>
      <c r="AK321" s="14" t="str">
        <f>IF(COUNTA(T321:AH321)=0,"",(SUM(T321*KPI_Weights!$B$4,U321*KPI_Weights!$B$5,V321*KPI_Weights!$B$6,W321*KPI_Weights!$B$7,X321*KPI_Weights!$B$8,Y321*KPI_Weights!$B$9,Z321*KPI_Weights!$B$10,AA321*KPI_Weights!$B$11,AB321*KPI_Weights!$B$12,AC321*KPI_Weights!$B$13,AD321*KPI_Weights!$B$14,AE321*KPI_Weights!$B$15,AF321*KPI_Weights!$B$16,AG321*KPI_Weights!$B$17,AH321*KPI_Weights!$B$18))/5)</f>
        <v/>
      </c>
      <c r="AL321" s="8" t="str">
        <f t="shared" si="49"/>
        <v/>
      </c>
      <c r="AM321" s="8" t="str">
        <f t="shared" si="50"/>
        <v/>
      </c>
      <c r="AN321" s="8" t="str">
        <f t="shared" si="51"/>
        <v/>
      </c>
      <c r="AO321" s="12"/>
      <c r="AP321" s="12"/>
      <c r="AQ321" s="12"/>
      <c r="AR321" s="12"/>
      <c r="AS321" s="12"/>
      <c r="AT321" s="15"/>
      <c r="AU321" s="12"/>
      <c r="AV321" s="16"/>
      <c r="AW321" s="12"/>
      <c r="AX321" s="15"/>
      <c r="AY321" s="15"/>
      <c r="AZ321" s="15"/>
      <c r="BA321" s="15"/>
      <c r="BB321" s="15"/>
      <c r="BC321" s="15"/>
      <c r="BD321" s="15"/>
      <c r="BE321" s="15"/>
      <c r="BF321" s="15"/>
    </row>
    <row r="322" spans="1:58" ht="19.5" customHeight="1" x14ac:dyDescent="0.2">
      <c r="A322" s="8" t="str">
        <f>IF($B322="","",TEXT($B322,"yyyymmdd")&amp;"-"&amp;SUBSTITUTE($F322," ","")&amp;"-"&amp;TEXT(COUNTIF($F$4:F322,$F322),"00"))</f>
        <v/>
      </c>
      <c r="B322" s="9"/>
      <c r="C322" s="8" t="str">
        <f t="shared" si="45"/>
        <v/>
      </c>
      <c r="D322" s="8" t="str">
        <f t="shared" si="46"/>
        <v/>
      </c>
      <c r="E322" s="10"/>
      <c r="F322" s="10"/>
      <c r="G322" s="8" t="str">
        <f>IF(OR($E322="",$F322=""),"",IFERROR(IF($E322=INDEX(Cluster_Master!$A$4:$A$18,MATCH($F322,Cluster_Master!$B$4:$B$18,0)),"OK","CHECK"),"CHECK"))</f>
        <v/>
      </c>
      <c r="H322" s="11" t="str">
        <f>IFERROR(INDEX(Cluster_Master!$C$4:$C$18,MATCH($F322,Cluster_Master!$B$4:$B$18,0)),"")</f>
        <v/>
      </c>
      <c r="I322" s="8" t="str">
        <f>IFERROR(INDEX(Cluster_Master!$D$4:$D$18,MATCH($F322,Cluster_Master!$B$4:$B$18,0)),"")</f>
        <v/>
      </c>
      <c r="J322" s="8" t="str">
        <f>IFERROR(INDEX(Cluster_Master!$E$4:$E$18,MATCH($F322,Cluster_Master!$B$4:$B$18,0)),"")</f>
        <v/>
      </c>
      <c r="K322" s="8" t="str">
        <f>IFERROR(INDEX(Cluster_Master!$F$4:$F$18,MATCH($F322,Cluster_Master!$B$4:$B$18,0)),"")</f>
        <v/>
      </c>
      <c r="L322" s="8" t="str">
        <f>IFERROR(INDEX(Cluster_Master!$G$4:$G$18,MATCH($F322,Cluster_Master!$B$4:$B$18,0)),"")</f>
        <v/>
      </c>
      <c r="M322" s="8" t="str">
        <f>IFERROR(INDEX(Cluster_Master!$H$4:$H$18,MATCH($F322,Cluster_Master!$B$4:$B$18,0)),"")</f>
        <v/>
      </c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8" t="str">
        <f t="shared" si="47"/>
        <v/>
      </c>
      <c r="AJ322" s="14" t="str">
        <f t="shared" si="48"/>
        <v/>
      </c>
      <c r="AK322" s="14" t="str">
        <f>IF(COUNTA(T322:AH322)=0,"",(SUM(T322*KPI_Weights!$B$4,U322*KPI_Weights!$B$5,V322*KPI_Weights!$B$6,W322*KPI_Weights!$B$7,X322*KPI_Weights!$B$8,Y322*KPI_Weights!$B$9,Z322*KPI_Weights!$B$10,AA322*KPI_Weights!$B$11,AB322*KPI_Weights!$B$12,AC322*KPI_Weights!$B$13,AD322*KPI_Weights!$B$14,AE322*KPI_Weights!$B$15,AF322*KPI_Weights!$B$16,AG322*KPI_Weights!$B$17,AH322*KPI_Weights!$B$18))/5)</f>
        <v/>
      </c>
      <c r="AL322" s="8" t="str">
        <f t="shared" si="49"/>
        <v/>
      </c>
      <c r="AM322" s="8" t="str">
        <f t="shared" si="50"/>
        <v/>
      </c>
      <c r="AN322" s="8" t="str">
        <f t="shared" si="51"/>
        <v/>
      </c>
      <c r="AO322" s="12"/>
      <c r="AP322" s="12"/>
      <c r="AQ322" s="12"/>
      <c r="AR322" s="12"/>
      <c r="AS322" s="12"/>
      <c r="AT322" s="15"/>
      <c r="AU322" s="12"/>
      <c r="AV322" s="16"/>
      <c r="AW322" s="12"/>
      <c r="AX322" s="15"/>
      <c r="AY322" s="15"/>
      <c r="AZ322" s="15"/>
      <c r="BA322" s="15"/>
      <c r="BB322" s="15"/>
      <c r="BC322" s="15"/>
      <c r="BD322" s="15"/>
      <c r="BE322" s="15"/>
      <c r="BF322" s="15"/>
    </row>
    <row r="323" spans="1:58" ht="19.5" customHeight="1" x14ac:dyDescent="0.2">
      <c r="A323" s="8" t="str">
        <f>IF($B323="","",TEXT($B323,"yyyymmdd")&amp;"-"&amp;SUBSTITUTE($F323," ","")&amp;"-"&amp;TEXT(COUNTIF($F$4:F323,$F323),"00"))</f>
        <v/>
      </c>
      <c r="B323" s="9"/>
      <c r="C323" s="8" t="str">
        <f t="shared" si="45"/>
        <v/>
      </c>
      <c r="D323" s="8" t="str">
        <f t="shared" si="46"/>
        <v/>
      </c>
      <c r="E323" s="10"/>
      <c r="F323" s="10"/>
      <c r="G323" s="8" t="str">
        <f>IF(OR($E323="",$F323=""),"",IFERROR(IF($E323=INDEX(Cluster_Master!$A$4:$A$18,MATCH($F323,Cluster_Master!$B$4:$B$18,0)),"OK","CHECK"),"CHECK"))</f>
        <v/>
      </c>
      <c r="H323" s="11" t="str">
        <f>IFERROR(INDEX(Cluster_Master!$C$4:$C$18,MATCH($F323,Cluster_Master!$B$4:$B$18,0)),"")</f>
        <v/>
      </c>
      <c r="I323" s="8" t="str">
        <f>IFERROR(INDEX(Cluster_Master!$D$4:$D$18,MATCH($F323,Cluster_Master!$B$4:$B$18,0)),"")</f>
        <v/>
      </c>
      <c r="J323" s="8" t="str">
        <f>IFERROR(INDEX(Cluster_Master!$E$4:$E$18,MATCH($F323,Cluster_Master!$B$4:$B$18,0)),"")</f>
        <v/>
      </c>
      <c r="K323" s="8" t="str">
        <f>IFERROR(INDEX(Cluster_Master!$F$4:$F$18,MATCH($F323,Cluster_Master!$B$4:$B$18,0)),"")</f>
        <v/>
      </c>
      <c r="L323" s="8" t="str">
        <f>IFERROR(INDEX(Cluster_Master!$G$4:$G$18,MATCH($F323,Cluster_Master!$B$4:$B$18,0)),"")</f>
        <v/>
      </c>
      <c r="M323" s="8" t="str">
        <f>IFERROR(INDEX(Cluster_Master!$H$4:$H$18,MATCH($F323,Cluster_Master!$B$4:$B$18,0)),"")</f>
        <v/>
      </c>
      <c r="N323" s="12"/>
      <c r="O323" s="12"/>
      <c r="P323" s="12"/>
      <c r="Q323" s="12"/>
      <c r="R323" s="12"/>
      <c r="S323" s="12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8" t="str">
        <f t="shared" si="47"/>
        <v/>
      </c>
      <c r="AJ323" s="14" t="str">
        <f t="shared" si="48"/>
        <v/>
      </c>
      <c r="AK323" s="14" t="str">
        <f>IF(COUNTA(T323:AH323)=0,"",(SUM(T323*KPI_Weights!$B$4,U323*KPI_Weights!$B$5,V323*KPI_Weights!$B$6,W323*KPI_Weights!$B$7,X323*KPI_Weights!$B$8,Y323*KPI_Weights!$B$9,Z323*KPI_Weights!$B$10,AA323*KPI_Weights!$B$11,AB323*KPI_Weights!$B$12,AC323*KPI_Weights!$B$13,AD323*KPI_Weights!$B$14,AE323*KPI_Weights!$B$15,AF323*KPI_Weights!$B$16,AG323*KPI_Weights!$B$17,AH323*KPI_Weights!$B$18))/5)</f>
        <v/>
      </c>
      <c r="AL323" s="8" t="str">
        <f t="shared" si="49"/>
        <v/>
      </c>
      <c r="AM323" s="8" t="str">
        <f t="shared" si="50"/>
        <v/>
      </c>
      <c r="AN323" s="8" t="str">
        <f t="shared" si="51"/>
        <v/>
      </c>
      <c r="AO323" s="12"/>
      <c r="AP323" s="12"/>
      <c r="AQ323" s="12"/>
      <c r="AR323" s="12"/>
      <c r="AS323" s="12"/>
      <c r="AT323" s="15"/>
      <c r="AU323" s="12"/>
      <c r="AV323" s="16"/>
      <c r="AW323" s="12"/>
      <c r="AX323" s="15"/>
      <c r="AY323" s="15"/>
      <c r="AZ323" s="15"/>
      <c r="BA323" s="15"/>
      <c r="BB323" s="15"/>
      <c r="BC323" s="15"/>
      <c r="BD323" s="15"/>
      <c r="BE323" s="15"/>
      <c r="BF323" s="15"/>
    </row>
    <row r="324" spans="1:58" ht="19.5" customHeight="1" x14ac:dyDescent="0.2">
      <c r="A324" s="8" t="str">
        <f>IF($B324="","",TEXT($B324,"yyyymmdd")&amp;"-"&amp;SUBSTITUTE($F324," ","")&amp;"-"&amp;TEXT(COUNTIF($F$4:F324,$F324),"00"))</f>
        <v/>
      </c>
      <c r="B324" s="9"/>
      <c r="C324" s="8" t="str">
        <f t="shared" si="45"/>
        <v/>
      </c>
      <c r="D324" s="8" t="str">
        <f t="shared" si="46"/>
        <v/>
      </c>
      <c r="E324" s="10"/>
      <c r="F324" s="10"/>
      <c r="G324" s="8" t="str">
        <f>IF(OR($E324="",$F324=""),"",IFERROR(IF($E324=INDEX(Cluster_Master!$A$4:$A$18,MATCH($F324,Cluster_Master!$B$4:$B$18,0)),"OK","CHECK"),"CHECK"))</f>
        <v/>
      </c>
      <c r="H324" s="11" t="str">
        <f>IFERROR(INDEX(Cluster_Master!$C$4:$C$18,MATCH($F324,Cluster_Master!$B$4:$B$18,0)),"")</f>
        <v/>
      </c>
      <c r="I324" s="8" t="str">
        <f>IFERROR(INDEX(Cluster_Master!$D$4:$D$18,MATCH($F324,Cluster_Master!$B$4:$B$18,0)),"")</f>
        <v/>
      </c>
      <c r="J324" s="8" t="str">
        <f>IFERROR(INDEX(Cluster_Master!$E$4:$E$18,MATCH($F324,Cluster_Master!$B$4:$B$18,0)),"")</f>
        <v/>
      </c>
      <c r="K324" s="8" t="str">
        <f>IFERROR(INDEX(Cluster_Master!$F$4:$F$18,MATCH($F324,Cluster_Master!$B$4:$B$18,0)),"")</f>
        <v/>
      </c>
      <c r="L324" s="8" t="str">
        <f>IFERROR(INDEX(Cluster_Master!$G$4:$G$18,MATCH($F324,Cluster_Master!$B$4:$B$18,0)),"")</f>
        <v/>
      </c>
      <c r="M324" s="8" t="str">
        <f>IFERROR(INDEX(Cluster_Master!$H$4:$H$18,MATCH($F324,Cluster_Master!$B$4:$B$18,0)),"")</f>
        <v/>
      </c>
      <c r="N324" s="12"/>
      <c r="O324" s="12"/>
      <c r="P324" s="12"/>
      <c r="Q324" s="12"/>
      <c r="R324" s="12"/>
      <c r="S324" s="12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8" t="str">
        <f t="shared" si="47"/>
        <v/>
      </c>
      <c r="AJ324" s="14" t="str">
        <f t="shared" si="48"/>
        <v/>
      </c>
      <c r="AK324" s="14" t="str">
        <f>IF(COUNTA(T324:AH324)=0,"",(SUM(T324*KPI_Weights!$B$4,U324*KPI_Weights!$B$5,V324*KPI_Weights!$B$6,W324*KPI_Weights!$B$7,X324*KPI_Weights!$B$8,Y324*KPI_Weights!$B$9,Z324*KPI_Weights!$B$10,AA324*KPI_Weights!$B$11,AB324*KPI_Weights!$B$12,AC324*KPI_Weights!$B$13,AD324*KPI_Weights!$B$14,AE324*KPI_Weights!$B$15,AF324*KPI_Weights!$B$16,AG324*KPI_Weights!$B$17,AH324*KPI_Weights!$B$18))/5)</f>
        <v/>
      </c>
      <c r="AL324" s="8" t="str">
        <f t="shared" si="49"/>
        <v/>
      </c>
      <c r="AM324" s="8" t="str">
        <f t="shared" si="50"/>
        <v/>
      </c>
      <c r="AN324" s="8" t="str">
        <f t="shared" si="51"/>
        <v/>
      </c>
      <c r="AO324" s="12"/>
      <c r="AP324" s="12"/>
      <c r="AQ324" s="12"/>
      <c r="AR324" s="12"/>
      <c r="AS324" s="12"/>
      <c r="AT324" s="15"/>
      <c r="AU324" s="12"/>
      <c r="AV324" s="16"/>
      <c r="AW324" s="12"/>
      <c r="AX324" s="15"/>
      <c r="AY324" s="15"/>
      <c r="AZ324" s="15"/>
      <c r="BA324" s="15"/>
      <c r="BB324" s="15"/>
      <c r="BC324" s="15"/>
      <c r="BD324" s="15"/>
      <c r="BE324" s="15"/>
      <c r="BF324" s="15"/>
    </row>
    <row r="325" spans="1:58" ht="19.5" customHeight="1" x14ac:dyDescent="0.2">
      <c r="A325" s="8" t="str">
        <f>IF($B325="","",TEXT($B325,"yyyymmdd")&amp;"-"&amp;SUBSTITUTE($F325," ","")&amp;"-"&amp;TEXT(COUNTIF($F$4:F325,$F325),"00"))</f>
        <v/>
      </c>
      <c r="B325" s="9"/>
      <c r="C325" s="8" t="str">
        <f t="shared" si="45"/>
        <v/>
      </c>
      <c r="D325" s="8" t="str">
        <f t="shared" si="46"/>
        <v/>
      </c>
      <c r="E325" s="10"/>
      <c r="F325" s="10"/>
      <c r="G325" s="8" t="str">
        <f>IF(OR($E325="",$F325=""),"",IFERROR(IF($E325=INDEX(Cluster_Master!$A$4:$A$18,MATCH($F325,Cluster_Master!$B$4:$B$18,0)),"OK","CHECK"),"CHECK"))</f>
        <v/>
      </c>
      <c r="H325" s="11" t="str">
        <f>IFERROR(INDEX(Cluster_Master!$C$4:$C$18,MATCH($F325,Cluster_Master!$B$4:$B$18,0)),"")</f>
        <v/>
      </c>
      <c r="I325" s="8" t="str">
        <f>IFERROR(INDEX(Cluster_Master!$D$4:$D$18,MATCH($F325,Cluster_Master!$B$4:$B$18,0)),"")</f>
        <v/>
      </c>
      <c r="J325" s="8" t="str">
        <f>IFERROR(INDEX(Cluster_Master!$E$4:$E$18,MATCH($F325,Cluster_Master!$B$4:$B$18,0)),"")</f>
        <v/>
      </c>
      <c r="K325" s="8" t="str">
        <f>IFERROR(INDEX(Cluster_Master!$F$4:$F$18,MATCH($F325,Cluster_Master!$B$4:$B$18,0)),"")</f>
        <v/>
      </c>
      <c r="L325" s="8" t="str">
        <f>IFERROR(INDEX(Cluster_Master!$G$4:$G$18,MATCH($F325,Cluster_Master!$B$4:$B$18,0)),"")</f>
        <v/>
      </c>
      <c r="M325" s="8" t="str">
        <f>IFERROR(INDEX(Cluster_Master!$H$4:$H$18,MATCH($F325,Cluster_Master!$B$4:$B$18,0)),"")</f>
        <v/>
      </c>
      <c r="N325" s="12"/>
      <c r="O325" s="12"/>
      <c r="P325" s="12"/>
      <c r="Q325" s="12"/>
      <c r="R325" s="12"/>
      <c r="S325" s="12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8" t="str">
        <f t="shared" si="47"/>
        <v/>
      </c>
      <c r="AJ325" s="14" t="str">
        <f t="shared" si="48"/>
        <v/>
      </c>
      <c r="AK325" s="14" t="str">
        <f>IF(COUNTA(T325:AH325)=0,"",(SUM(T325*KPI_Weights!$B$4,U325*KPI_Weights!$B$5,V325*KPI_Weights!$B$6,W325*KPI_Weights!$B$7,X325*KPI_Weights!$B$8,Y325*KPI_Weights!$B$9,Z325*KPI_Weights!$B$10,AA325*KPI_Weights!$B$11,AB325*KPI_Weights!$B$12,AC325*KPI_Weights!$B$13,AD325*KPI_Weights!$B$14,AE325*KPI_Weights!$B$15,AF325*KPI_Weights!$B$16,AG325*KPI_Weights!$B$17,AH325*KPI_Weights!$B$18))/5)</f>
        <v/>
      </c>
      <c r="AL325" s="8" t="str">
        <f t="shared" si="49"/>
        <v/>
      </c>
      <c r="AM325" s="8" t="str">
        <f t="shared" si="50"/>
        <v/>
      </c>
      <c r="AN325" s="8" t="str">
        <f t="shared" si="51"/>
        <v/>
      </c>
      <c r="AO325" s="12"/>
      <c r="AP325" s="12"/>
      <c r="AQ325" s="12"/>
      <c r="AR325" s="12"/>
      <c r="AS325" s="12"/>
      <c r="AT325" s="15"/>
      <c r="AU325" s="12"/>
      <c r="AV325" s="16"/>
      <c r="AW325" s="12"/>
      <c r="AX325" s="15"/>
      <c r="AY325" s="15"/>
      <c r="AZ325" s="15"/>
      <c r="BA325" s="15"/>
      <c r="BB325" s="15"/>
      <c r="BC325" s="15"/>
      <c r="BD325" s="15"/>
      <c r="BE325" s="15"/>
      <c r="BF325" s="15"/>
    </row>
    <row r="326" spans="1:58" ht="19.5" customHeight="1" x14ac:dyDescent="0.2">
      <c r="A326" s="8" t="str">
        <f>IF($B326="","",TEXT($B326,"yyyymmdd")&amp;"-"&amp;SUBSTITUTE($F326," ","")&amp;"-"&amp;TEXT(COUNTIF($F$4:F326,$F326),"00"))</f>
        <v/>
      </c>
      <c r="B326" s="9"/>
      <c r="C326" s="8" t="str">
        <f t="shared" si="45"/>
        <v/>
      </c>
      <c r="D326" s="8" t="str">
        <f t="shared" si="46"/>
        <v/>
      </c>
      <c r="E326" s="10"/>
      <c r="F326" s="10"/>
      <c r="G326" s="8" t="str">
        <f>IF(OR($E326="",$F326=""),"",IFERROR(IF($E326=INDEX(Cluster_Master!$A$4:$A$18,MATCH($F326,Cluster_Master!$B$4:$B$18,0)),"OK","CHECK"),"CHECK"))</f>
        <v/>
      </c>
      <c r="H326" s="11" t="str">
        <f>IFERROR(INDEX(Cluster_Master!$C$4:$C$18,MATCH($F326,Cluster_Master!$B$4:$B$18,0)),"")</f>
        <v/>
      </c>
      <c r="I326" s="8" t="str">
        <f>IFERROR(INDEX(Cluster_Master!$D$4:$D$18,MATCH($F326,Cluster_Master!$B$4:$B$18,0)),"")</f>
        <v/>
      </c>
      <c r="J326" s="8" t="str">
        <f>IFERROR(INDEX(Cluster_Master!$E$4:$E$18,MATCH($F326,Cluster_Master!$B$4:$B$18,0)),"")</f>
        <v/>
      </c>
      <c r="K326" s="8" t="str">
        <f>IFERROR(INDEX(Cluster_Master!$F$4:$F$18,MATCH($F326,Cluster_Master!$B$4:$B$18,0)),"")</f>
        <v/>
      </c>
      <c r="L326" s="8" t="str">
        <f>IFERROR(INDEX(Cluster_Master!$G$4:$G$18,MATCH($F326,Cluster_Master!$B$4:$B$18,0)),"")</f>
        <v/>
      </c>
      <c r="M326" s="8" t="str">
        <f>IFERROR(INDEX(Cluster_Master!$H$4:$H$18,MATCH($F326,Cluster_Master!$B$4:$B$18,0)),"")</f>
        <v/>
      </c>
      <c r="N326" s="12"/>
      <c r="O326" s="12"/>
      <c r="P326" s="12"/>
      <c r="Q326" s="12"/>
      <c r="R326" s="12"/>
      <c r="S326" s="12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8" t="str">
        <f t="shared" si="47"/>
        <v/>
      </c>
      <c r="AJ326" s="14" t="str">
        <f t="shared" si="48"/>
        <v/>
      </c>
      <c r="AK326" s="14" t="str">
        <f>IF(COUNTA(T326:AH326)=0,"",(SUM(T326*KPI_Weights!$B$4,U326*KPI_Weights!$B$5,V326*KPI_Weights!$B$6,W326*KPI_Weights!$B$7,X326*KPI_Weights!$B$8,Y326*KPI_Weights!$B$9,Z326*KPI_Weights!$B$10,AA326*KPI_Weights!$B$11,AB326*KPI_Weights!$B$12,AC326*KPI_Weights!$B$13,AD326*KPI_Weights!$B$14,AE326*KPI_Weights!$B$15,AF326*KPI_Weights!$B$16,AG326*KPI_Weights!$B$17,AH326*KPI_Weights!$B$18))/5)</f>
        <v/>
      </c>
      <c r="AL326" s="8" t="str">
        <f t="shared" si="49"/>
        <v/>
      </c>
      <c r="AM326" s="8" t="str">
        <f t="shared" si="50"/>
        <v/>
      </c>
      <c r="AN326" s="8" t="str">
        <f t="shared" si="51"/>
        <v/>
      </c>
      <c r="AO326" s="12"/>
      <c r="AP326" s="12"/>
      <c r="AQ326" s="12"/>
      <c r="AR326" s="12"/>
      <c r="AS326" s="12"/>
      <c r="AT326" s="15"/>
      <c r="AU326" s="12"/>
      <c r="AV326" s="16"/>
      <c r="AW326" s="12"/>
      <c r="AX326" s="15"/>
      <c r="AY326" s="15"/>
      <c r="AZ326" s="15"/>
      <c r="BA326" s="15"/>
      <c r="BB326" s="15"/>
      <c r="BC326" s="15"/>
      <c r="BD326" s="15"/>
      <c r="BE326" s="15"/>
      <c r="BF326" s="15"/>
    </row>
    <row r="327" spans="1:58" ht="19.5" customHeight="1" x14ac:dyDescent="0.2">
      <c r="A327" s="8" t="str">
        <f>IF($B327="","",TEXT($B327,"yyyymmdd")&amp;"-"&amp;SUBSTITUTE($F327," ","")&amp;"-"&amp;TEXT(COUNTIF($F$4:F327,$F327),"00"))</f>
        <v/>
      </c>
      <c r="B327" s="9"/>
      <c r="C327" s="8" t="str">
        <f t="shared" si="45"/>
        <v/>
      </c>
      <c r="D327" s="8" t="str">
        <f t="shared" si="46"/>
        <v/>
      </c>
      <c r="E327" s="10"/>
      <c r="F327" s="10"/>
      <c r="G327" s="8" t="str">
        <f>IF(OR($E327="",$F327=""),"",IFERROR(IF($E327=INDEX(Cluster_Master!$A$4:$A$18,MATCH($F327,Cluster_Master!$B$4:$B$18,0)),"OK","CHECK"),"CHECK"))</f>
        <v/>
      </c>
      <c r="H327" s="11" t="str">
        <f>IFERROR(INDEX(Cluster_Master!$C$4:$C$18,MATCH($F327,Cluster_Master!$B$4:$B$18,0)),"")</f>
        <v/>
      </c>
      <c r="I327" s="8" t="str">
        <f>IFERROR(INDEX(Cluster_Master!$D$4:$D$18,MATCH($F327,Cluster_Master!$B$4:$B$18,0)),"")</f>
        <v/>
      </c>
      <c r="J327" s="8" t="str">
        <f>IFERROR(INDEX(Cluster_Master!$E$4:$E$18,MATCH($F327,Cluster_Master!$B$4:$B$18,0)),"")</f>
        <v/>
      </c>
      <c r="K327" s="8" t="str">
        <f>IFERROR(INDEX(Cluster_Master!$F$4:$F$18,MATCH($F327,Cluster_Master!$B$4:$B$18,0)),"")</f>
        <v/>
      </c>
      <c r="L327" s="8" t="str">
        <f>IFERROR(INDEX(Cluster_Master!$G$4:$G$18,MATCH($F327,Cluster_Master!$B$4:$B$18,0)),"")</f>
        <v/>
      </c>
      <c r="M327" s="8" t="str">
        <f>IFERROR(INDEX(Cluster_Master!$H$4:$H$18,MATCH($F327,Cluster_Master!$B$4:$B$18,0)),"")</f>
        <v/>
      </c>
      <c r="N327" s="12"/>
      <c r="O327" s="12"/>
      <c r="P327" s="12"/>
      <c r="Q327" s="12"/>
      <c r="R327" s="12"/>
      <c r="S327" s="12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8" t="str">
        <f t="shared" si="47"/>
        <v/>
      </c>
      <c r="AJ327" s="14" t="str">
        <f t="shared" si="48"/>
        <v/>
      </c>
      <c r="AK327" s="14" t="str">
        <f>IF(COUNTA(T327:AH327)=0,"",(SUM(T327*KPI_Weights!$B$4,U327*KPI_Weights!$B$5,V327*KPI_Weights!$B$6,W327*KPI_Weights!$B$7,X327*KPI_Weights!$B$8,Y327*KPI_Weights!$B$9,Z327*KPI_Weights!$B$10,AA327*KPI_Weights!$B$11,AB327*KPI_Weights!$B$12,AC327*KPI_Weights!$B$13,AD327*KPI_Weights!$B$14,AE327*KPI_Weights!$B$15,AF327*KPI_Weights!$B$16,AG327*KPI_Weights!$B$17,AH327*KPI_Weights!$B$18))/5)</f>
        <v/>
      </c>
      <c r="AL327" s="8" t="str">
        <f t="shared" si="49"/>
        <v/>
      </c>
      <c r="AM327" s="8" t="str">
        <f t="shared" si="50"/>
        <v/>
      </c>
      <c r="AN327" s="8" t="str">
        <f t="shared" si="51"/>
        <v/>
      </c>
      <c r="AO327" s="12"/>
      <c r="AP327" s="12"/>
      <c r="AQ327" s="12"/>
      <c r="AR327" s="12"/>
      <c r="AS327" s="12"/>
      <c r="AT327" s="15"/>
      <c r="AU327" s="12"/>
      <c r="AV327" s="16"/>
      <c r="AW327" s="12"/>
      <c r="AX327" s="15"/>
      <c r="AY327" s="15"/>
      <c r="AZ327" s="15"/>
      <c r="BA327" s="15"/>
      <c r="BB327" s="15"/>
      <c r="BC327" s="15"/>
      <c r="BD327" s="15"/>
      <c r="BE327" s="15"/>
      <c r="BF327" s="15"/>
    </row>
    <row r="328" spans="1:58" ht="19.5" customHeight="1" x14ac:dyDescent="0.2">
      <c r="A328" s="8" t="str">
        <f>IF($B328="","",TEXT($B328,"yyyymmdd")&amp;"-"&amp;SUBSTITUTE($F328," ","")&amp;"-"&amp;TEXT(COUNTIF($F$4:F328,$F328),"00"))</f>
        <v/>
      </c>
      <c r="B328" s="9"/>
      <c r="C328" s="8" t="str">
        <f t="shared" si="45"/>
        <v/>
      </c>
      <c r="D328" s="8" t="str">
        <f t="shared" si="46"/>
        <v/>
      </c>
      <c r="E328" s="10"/>
      <c r="F328" s="10"/>
      <c r="G328" s="8" t="str">
        <f>IF(OR($E328="",$F328=""),"",IFERROR(IF($E328=INDEX(Cluster_Master!$A$4:$A$18,MATCH($F328,Cluster_Master!$B$4:$B$18,0)),"OK","CHECK"),"CHECK"))</f>
        <v/>
      </c>
      <c r="H328" s="11" t="str">
        <f>IFERROR(INDEX(Cluster_Master!$C$4:$C$18,MATCH($F328,Cluster_Master!$B$4:$B$18,0)),"")</f>
        <v/>
      </c>
      <c r="I328" s="8" t="str">
        <f>IFERROR(INDEX(Cluster_Master!$D$4:$D$18,MATCH($F328,Cluster_Master!$B$4:$B$18,0)),"")</f>
        <v/>
      </c>
      <c r="J328" s="8" t="str">
        <f>IFERROR(INDEX(Cluster_Master!$E$4:$E$18,MATCH($F328,Cluster_Master!$B$4:$B$18,0)),"")</f>
        <v/>
      </c>
      <c r="K328" s="8" t="str">
        <f>IFERROR(INDEX(Cluster_Master!$F$4:$F$18,MATCH($F328,Cluster_Master!$B$4:$B$18,0)),"")</f>
        <v/>
      </c>
      <c r="L328" s="8" t="str">
        <f>IFERROR(INDEX(Cluster_Master!$G$4:$G$18,MATCH($F328,Cluster_Master!$B$4:$B$18,0)),"")</f>
        <v/>
      </c>
      <c r="M328" s="8" t="str">
        <f>IFERROR(INDEX(Cluster_Master!$H$4:$H$18,MATCH($F328,Cluster_Master!$B$4:$B$18,0)),"")</f>
        <v/>
      </c>
      <c r="N328" s="12"/>
      <c r="O328" s="12"/>
      <c r="P328" s="12"/>
      <c r="Q328" s="12"/>
      <c r="R328" s="12"/>
      <c r="S328" s="12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8" t="str">
        <f t="shared" si="47"/>
        <v/>
      </c>
      <c r="AJ328" s="14" t="str">
        <f t="shared" si="48"/>
        <v/>
      </c>
      <c r="AK328" s="14" t="str">
        <f>IF(COUNTA(T328:AH328)=0,"",(SUM(T328*KPI_Weights!$B$4,U328*KPI_Weights!$B$5,V328*KPI_Weights!$B$6,W328*KPI_Weights!$B$7,X328*KPI_Weights!$B$8,Y328*KPI_Weights!$B$9,Z328*KPI_Weights!$B$10,AA328*KPI_Weights!$B$11,AB328*KPI_Weights!$B$12,AC328*KPI_Weights!$B$13,AD328*KPI_Weights!$B$14,AE328*KPI_Weights!$B$15,AF328*KPI_Weights!$B$16,AG328*KPI_Weights!$B$17,AH328*KPI_Weights!$B$18))/5)</f>
        <v/>
      </c>
      <c r="AL328" s="8" t="str">
        <f t="shared" si="49"/>
        <v/>
      </c>
      <c r="AM328" s="8" t="str">
        <f t="shared" si="50"/>
        <v/>
      </c>
      <c r="AN328" s="8" t="str">
        <f t="shared" si="51"/>
        <v/>
      </c>
      <c r="AO328" s="12"/>
      <c r="AP328" s="12"/>
      <c r="AQ328" s="12"/>
      <c r="AR328" s="12"/>
      <c r="AS328" s="12"/>
      <c r="AT328" s="15"/>
      <c r="AU328" s="12"/>
      <c r="AV328" s="16"/>
      <c r="AW328" s="12"/>
      <c r="AX328" s="15"/>
      <c r="AY328" s="15"/>
      <c r="AZ328" s="15"/>
      <c r="BA328" s="15"/>
      <c r="BB328" s="15"/>
      <c r="BC328" s="15"/>
      <c r="BD328" s="15"/>
      <c r="BE328" s="15"/>
      <c r="BF328" s="15"/>
    </row>
    <row r="329" spans="1:58" ht="19.5" customHeight="1" x14ac:dyDescent="0.2">
      <c r="A329" s="8" t="str">
        <f>IF($B329="","",TEXT($B329,"yyyymmdd")&amp;"-"&amp;SUBSTITUTE($F329," ","")&amp;"-"&amp;TEXT(COUNTIF($F$4:F329,$F329),"00"))</f>
        <v/>
      </c>
      <c r="B329" s="9"/>
      <c r="C329" s="8" t="str">
        <f t="shared" si="45"/>
        <v/>
      </c>
      <c r="D329" s="8" t="str">
        <f t="shared" si="46"/>
        <v/>
      </c>
      <c r="E329" s="10"/>
      <c r="F329" s="10"/>
      <c r="G329" s="8" t="str">
        <f>IF(OR($E329="",$F329=""),"",IFERROR(IF($E329=INDEX(Cluster_Master!$A$4:$A$18,MATCH($F329,Cluster_Master!$B$4:$B$18,0)),"OK","CHECK"),"CHECK"))</f>
        <v/>
      </c>
      <c r="H329" s="11" t="str">
        <f>IFERROR(INDEX(Cluster_Master!$C$4:$C$18,MATCH($F329,Cluster_Master!$B$4:$B$18,0)),"")</f>
        <v/>
      </c>
      <c r="I329" s="8" t="str">
        <f>IFERROR(INDEX(Cluster_Master!$D$4:$D$18,MATCH($F329,Cluster_Master!$B$4:$B$18,0)),"")</f>
        <v/>
      </c>
      <c r="J329" s="8" t="str">
        <f>IFERROR(INDEX(Cluster_Master!$E$4:$E$18,MATCH($F329,Cluster_Master!$B$4:$B$18,0)),"")</f>
        <v/>
      </c>
      <c r="K329" s="8" t="str">
        <f>IFERROR(INDEX(Cluster_Master!$F$4:$F$18,MATCH($F329,Cluster_Master!$B$4:$B$18,0)),"")</f>
        <v/>
      </c>
      <c r="L329" s="8" t="str">
        <f>IFERROR(INDEX(Cluster_Master!$G$4:$G$18,MATCH($F329,Cluster_Master!$B$4:$B$18,0)),"")</f>
        <v/>
      </c>
      <c r="M329" s="8" t="str">
        <f>IFERROR(INDEX(Cluster_Master!$H$4:$H$18,MATCH($F329,Cluster_Master!$B$4:$B$18,0)),"")</f>
        <v/>
      </c>
      <c r="N329" s="12"/>
      <c r="O329" s="12"/>
      <c r="P329" s="12"/>
      <c r="Q329" s="12"/>
      <c r="R329" s="12"/>
      <c r="S329" s="12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8" t="str">
        <f t="shared" si="47"/>
        <v/>
      </c>
      <c r="AJ329" s="14" t="str">
        <f t="shared" si="48"/>
        <v/>
      </c>
      <c r="AK329" s="14" t="str">
        <f>IF(COUNTA(T329:AH329)=0,"",(SUM(T329*KPI_Weights!$B$4,U329*KPI_Weights!$B$5,V329*KPI_Weights!$B$6,W329*KPI_Weights!$B$7,X329*KPI_Weights!$B$8,Y329*KPI_Weights!$B$9,Z329*KPI_Weights!$B$10,AA329*KPI_Weights!$B$11,AB329*KPI_Weights!$B$12,AC329*KPI_Weights!$B$13,AD329*KPI_Weights!$B$14,AE329*KPI_Weights!$B$15,AF329*KPI_Weights!$B$16,AG329*KPI_Weights!$B$17,AH329*KPI_Weights!$B$18))/5)</f>
        <v/>
      </c>
      <c r="AL329" s="8" t="str">
        <f t="shared" si="49"/>
        <v/>
      </c>
      <c r="AM329" s="8" t="str">
        <f t="shared" si="50"/>
        <v/>
      </c>
      <c r="AN329" s="8" t="str">
        <f t="shared" si="51"/>
        <v/>
      </c>
      <c r="AO329" s="12"/>
      <c r="AP329" s="12"/>
      <c r="AQ329" s="12"/>
      <c r="AR329" s="12"/>
      <c r="AS329" s="12"/>
      <c r="AT329" s="15"/>
      <c r="AU329" s="12"/>
      <c r="AV329" s="16"/>
      <c r="AW329" s="12"/>
      <c r="AX329" s="15"/>
      <c r="AY329" s="15"/>
      <c r="AZ329" s="15"/>
      <c r="BA329" s="15"/>
      <c r="BB329" s="15"/>
      <c r="BC329" s="15"/>
      <c r="BD329" s="15"/>
      <c r="BE329" s="15"/>
      <c r="BF329" s="15"/>
    </row>
    <row r="330" spans="1:58" ht="19.5" customHeight="1" x14ac:dyDescent="0.2">
      <c r="A330" s="8" t="str">
        <f>IF($B330="","",TEXT($B330,"yyyymmdd")&amp;"-"&amp;SUBSTITUTE($F330," ","")&amp;"-"&amp;TEXT(COUNTIF($F$4:F330,$F330),"00"))</f>
        <v/>
      </c>
      <c r="B330" s="9"/>
      <c r="C330" s="8" t="str">
        <f t="shared" si="45"/>
        <v/>
      </c>
      <c r="D330" s="8" t="str">
        <f t="shared" si="46"/>
        <v/>
      </c>
      <c r="E330" s="10"/>
      <c r="F330" s="10"/>
      <c r="G330" s="8" t="str">
        <f>IF(OR($E330="",$F330=""),"",IFERROR(IF($E330=INDEX(Cluster_Master!$A$4:$A$18,MATCH($F330,Cluster_Master!$B$4:$B$18,0)),"OK","CHECK"),"CHECK"))</f>
        <v/>
      </c>
      <c r="H330" s="11" t="str">
        <f>IFERROR(INDEX(Cluster_Master!$C$4:$C$18,MATCH($F330,Cluster_Master!$B$4:$B$18,0)),"")</f>
        <v/>
      </c>
      <c r="I330" s="8" t="str">
        <f>IFERROR(INDEX(Cluster_Master!$D$4:$D$18,MATCH($F330,Cluster_Master!$B$4:$B$18,0)),"")</f>
        <v/>
      </c>
      <c r="J330" s="8" t="str">
        <f>IFERROR(INDEX(Cluster_Master!$E$4:$E$18,MATCH($F330,Cluster_Master!$B$4:$B$18,0)),"")</f>
        <v/>
      </c>
      <c r="K330" s="8" t="str">
        <f>IFERROR(INDEX(Cluster_Master!$F$4:$F$18,MATCH($F330,Cluster_Master!$B$4:$B$18,0)),"")</f>
        <v/>
      </c>
      <c r="L330" s="8" t="str">
        <f>IFERROR(INDEX(Cluster_Master!$G$4:$G$18,MATCH($F330,Cluster_Master!$B$4:$B$18,0)),"")</f>
        <v/>
      </c>
      <c r="M330" s="8" t="str">
        <f>IFERROR(INDEX(Cluster_Master!$H$4:$H$18,MATCH($F330,Cluster_Master!$B$4:$B$18,0)),"")</f>
        <v/>
      </c>
      <c r="N330" s="12"/>
      <c r="O330" s="12"/>
      <c r="P330" s="12"/>
      <c r="Q330" s="12"/>
      <c r="R330" s="12"/>
      <c r="S330" s="12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8" t="str">
        <f t="shared" si="47"/>
        <v/>
      </c>
      <c r="AJ330" s="14" t="str">
        <f t="shared" si="48"/>
        <v/>
      </c>
      <c r="AK330" s="14" t="str">
        <f>IF(COUNTA(T330:AH330)=0,"",(SUM(T330*KPI_Weights!$B$4,U330*KPI_Weights!$B$5,V330*KPI_Weights!$B$6,W330*KPI_Weights!$B$7,X330*KPI_Weights!$B$8,Y330*KPI_Weights!$B$9,Z330*KPI_Weights!$B$10,AA330*KPI_Weights!$B$11,AB330*KPI_Weights!$B$12,AC330*KPI_Weights!$B$13,AD330*KPI_Weights!$B$14,AE330*KPI_Weights!$B$15,AF330*KPI_Weights!$B$16,AG330*KPI_Weights!$B$17,AH330*KPI_Weights!$B$18))/5)</f>
        <v/>
      </c>
      <c r="AL330" s="8" t="str">
        <f t="shared" si="49"/>
        <v/>
      </c>
      <c r="AM330" s="8" t="str">
        <f t="shared" si="50"/>
        <v/>
      </c>
      <c r="AN330" s="8" t="str">
        <f t="shared" si="51"/>
        <v/>
      </c>
      <c r="AO330" s="12"/>
      <c r="AP330" s="12"/>
      <c r="AQ330" s="12"/>
      <c r="AR330" s="12"/>
      <c r="AS330" s="12"/>
      <c r="AT330" s="15"/>
      <c r="AU330" s="12"/>
      <c r="AV330" s="16"/>
      <c r="AW330" s="12"/>
      <c r="AX330" s="15"/>
      <c r="AY330" s="15"/>
      <c r="AZ330" s="15"/>
      <c r="BA330" s="15"/>
      <c r="BB330" s="15"/>
      <c r="BC330" s="15"/>
      <c r="BD330" s="15"/>
      <c r="BE330" s="15"/>
      <c r="BF330" s="15"/>
    </row>
    <row r="331" spans="1:58" ht="19.5" customHeight="1" x14ac:dyDescent="0.2">
      <c r="A331" s="8" t="str">
        <f>IF($B331="","",TEXT($B331,"yyyymmdd")&amp;"-"&amp;SUBSTITUTE($F331," ","")&amp;"-"&amp;TEXT(COUNTIF($F$4:F331,$F331),"00"))</f>
        <v/>
      </c>
      <c r="B331" s="9"/>
      <c r="C331" s="8" t="str">
        <f t="shared" si="45"/>
        <v/>
      </c>
      <c r="D331" s="8" t="str">
        <f t="shared" si="46"/>
        <v/>
      </c>
      <c r="E331" s="10"/>
      <c r="F331" s="10"/>
      <c r="G331" s="8" t="str">
        <f>IF(OR($E331="",$F331=""),"",IFERROR(IF($E331=INDEX(Cluster_Master!$A$4:$A$18,MATCH($F331,Cluster_Master!$B$4:$B$18,0)),"OK","CHECK"),"CHECK"))</f>
        <v/>
      </c>
      <c r="H331" s="11" t="str">
        <f>IFERROR(INDEX(Cluster_Master!$C$4:$C$18,MATCH($F331,Cluster_Master!$B$4:$B$18,0)),"")</f>
        <v/>
      </c>
      <c r="I331" s="8" t="str">
        <f>IFERROR(INDEX(Cluster_Master!$D$4:$D$18,MATCH($F331,Cluster_Master!$B$4:$B$18,0)),"")</f>
        <v/>
      </c>
      <c r="J331" s="8" t="str">
        <f>IFERROR(INDEX(Cluster_Master!$E$4:$E$18,MATCH($F331,Cluster_Master!$B$4:$B$18,0)),"")</f>
        <v/>
      </c>
      <c r="K331" s="8" t="str">
        <f>IFERROR(INDEX(Cluster_Master!$F$4:$F$18,MATCH($F331,Cluster_Master!$B$4:$B$18,0)),"")</f>
        <v/>
      </c>
      <c r="L331" s="8" t="str">
        <f>IFERROR(INDEX(Cluster_Master!$G$4:$G$18,MATCH($F331,Cluster_Master!$B$4:$B$18,0)),"")</f>
        <v/>
      </c>
      <c r="M331" s="8" t="str">
        <f>IFERROR(INDEX(Cluster_Master!$H$4:$H$18,MATCH($F331,Cluster_Master!$B$4:$B$18,0)),"")</f>
        <v/>
      </c>
      <c r="N331" s="12"/>
      <c r="O331" s="12"/>
      <c r="P331" s="12"/>
      <c r="Q331" s="12"/>
      <c r="R331" s="12"/>
      <c r="S331" s="12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8" t="str">
        <f t="shared" si="47"/>
        <v/>
      </c>
      <c r="AJ331" s="14" t="str">
        <f t="shared" si="48"/>
        <v/>
      </c>
      <c r="AK331" s="14" t="str">
        <f>IF(COUNTA(T331:AH331)=0,"",(SUM(T331*KPI_Weights!$B$4,U331*KPI_Weights!$B$5,V331*KPI_Weights!$B$6,W331*KPI_Weights!$B$7,X331*KPI_Weights!$B$8,Y331*KPI_Weights!$B$9,Z331*KPI_Weights!$B$10,AA331*KPI_Weights!$B$11,AB331*KPI_Weights!$B$12,AC331*KPI_Weights!$B$13,AD331*KPI_Weights!$B$14,AE331*KPI_Weights!$B$15,AF331*KPI_Weights!$B$16,AG331*KPI_Weights!$B$17,AH331*KPI_Weights!$B$18))/5)</f>
        <v/>
      </c>
      <c r="AL331" s="8" t="str">
        <f t="shared" si="49"/>
        <v/>
      </c>
      <c r="AM331" s="8" t="str">
        <f t="shared" si="50"/>
        <v/>
      </c>
      <c r="AN331" s="8" t="str">
        <f t="shared" si="51"/>
        <v/>
      </c>
      <c r="AO331" s="12"/>
      <c r="AP331" s="12"/>
      <c r="AQ331" s="12"/>
      <c r="AR331" s="12"/>
      <c r="AS331" s="12"/>
      <c r="AT331" s="15"/>
      <c r="AU331" s="12"/>
      <c r="AV331" s="16"/>
      <c r="AW331" s="12"/>
      <c r="AX331" s="15"/>
      <c r="AY331" s="15"/>
      <c r="AZ331" s="15"/>
      <c r="BA331" s="15"/>
      <c r="BB331" s="15"/>
      <c r="BC331" s="15"/>
      <c r="BD331" s="15"/>
      <c r="BE331" s="15"/>
      <c r="BF331" s="15"/>
    </row>
    <row r="332" spans="1:58" ht="19.5" customHeight="1" x14ac:dyDescent="0.2">
      <c r="A332" s="8" t="str">
        <f>IF($B332="","",TEXT($B332,"yyyymmdd")&amp;"-"&amp;SUBSTITUTE($F332," ","")&amp;"-"&amp;TEXT(COUNTIF($F$4:F332,$F332),"00"))</f>
        <v/>
      </c>
      <c r="B332" s="9"/>
      <c r="C332" s="8" t="str">
        <f t="shared" si="45"/>
        <v/>
      </c>
      <c r="D332" s="8" t="str">
        <f t="shared" si="46"/>
        <v/>
      </c>
      <c r="E332" s="10"/>
      <c r="F332" s="10"/>
      <c r="G332" s="8" t="str">
        <f>IF(OR($E332="",$F332=""),"",IFERROR(IF($E332=INDEX(Cluster_Master!$A$4:$A$18,MATCH($F332,Cluster_Master!$B$4:$B$18,0)),"OK","CHECK"),"CHECK"))</f>
        <v/>
      </c>
      <c r="H332" s="11" t="str">
        <f>IFERROR(INDEX(Cluster_Master!$C$4:$C$18,MATCH($F332,Cluster_Master!$B$4:$B$18,0)),"")</f>
        <v/>
      </c>
      <c r="I332" s="8" t="str">
        <f>IFERROR(INDEX(Cluster_Master!$D$4:$D$18,MATCH($F332,Cluster_Master!$B$4:$B$18,0)),"")</f>
        <v/>
      </c>
      <c r="J332" s="8" t="str">
        <f>IFERROR(INDEX(Cluster_Master!$E$4:$E$18,MATCH($F332,Cluster_Master!$B$4:$B$18,0)),"")</f>
        <v/>
      </c>
      <c r="K332" s="8" t="str">
        <f>IFERROR(INDEX(Cluster_Master!$F$4:$F$18,MATCH($F332,Cluster_Master!$B$4:$B$18,0)),"")</f>
        <v/>
      </c>
      <c r="L332" s="8" t="str">
        <f>IFERROR(INDEX(Cluster_Master!$G$4:$G$18,MATCH($F332,Cluster_Master!$B$4:$B$18,0)),"")</f>
        <v/>
      </c>
      <c r="M332" s="8" t="str">
        <f>IFERROR(INDEX(Cluster_Master!$H$4:$H$18,MATCH($F332,Cluster_Master!$B$4:$B$18,0)),"")</f>
        <v/>
      </c>
      <c r="N332" s="12"/>
      <c r="O332" s="12"/>
      <c r="P332" s="12"/>
      <c r="Q332" s="12"/>
      <c r="R332" s="12"/>
      <c r="S332" s="12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8" t="str">
        <f t="shared" si="47"/>
        <v/>
      </c>
      <c r="AJ332" s="14" t="str">
        <f t="shared" si="48"/>
        <v/>
      </c>
      <c r="AK332" s="14" t="str">
        <f>IF(COUNTA(T332:AH332)=0,"",(SUM(T332*KPI_Weights!$B$4,U332*KPI_Weights!$B$5,V332*KPI_Weights!$B$6,W332*KPI_Weights!$B$7,X332*KPI_Weights!$B$8,Y332*KPI_Weights!$B$9,Z332*KPI_Weights!$B$10,AA332*KPI_Weights!$B$11,AB332*KPI_Weights!$B$12,AC332*KPI_Weights!$B$13,AD332*KPI_Weights!$B$14,AE332*KPI_Weights!$B$15,AF332*KPI_Weights!$B$16,AG332*KPI_Weights!$B$17,AH332*KPI_Weights!$B$18))/5)</f>
        <v/>
      </c>
      <c r="AL332" s="8" t="str">
        <f t="shared" si="49"/>
        <v/>
      </c>
      <c r="AM332" s="8" t="str">
        <f t="shared" si="50"/>
        <v/>
      </c>
      <c r="AN332" s="8" t="str">
        <f t="shared" si="51"/>
        <v/>
      </c>
      <c r="AO332" s="12"/>
      <c r="AP332" s="12"/>
      <c r="AQ332" s="12"/>
      <c r="AR332" s="12"/>
      <c r="AS332" s="12"/>
      <c r="AT332" s="15"/>
      <c r="AU332" s="12"/>
      <c r="AV332" s="16"/>
      <c r="AW332" s="12"/>
      <c r="AX332" s="15"/>
      <c r="AY332" s="15"/>
      <c r="AZ332" s="15"/>
      <c r="BA332" s="15"/>
      <c r="BB332" s="15"/>
      <c r="BC332" s="15"/>
      <c r="BD332" s="15"/>
      <c r="BE332" s="15"/>
      <c r="BF332" s="15"/>
    </row>
    <row r="333" spans="1:58" ht="19.5" customHeight="1" x14ac:dyDescent="0.2">
      <c r="A333" s="8" t="str">
        <f>IF($B333="","",TEXT($B333,"yyyymmdd")&amp;"-"&amp;SUBSTITUTE($F333," ","")&amp;"-"&amp;TEXT(COUNTIF($F$4:F333,$F333),"00"))</f>
        <v/>
      </c>
      <c r="B333" s="9"/>
      <c r="C333" s="8" t="str">
        <f t="shared" si="45"/>
        <v/>
      </c>
      <c r="D333" s="8" t="str">
        <f t="shared" si="46"/>
        <v/>
      </c>
      <c r="E333" s="10"/>
      <c r="F333" s="10"/>
      <c r="G333" s="8" t="str">
        <f>IF(OR($E333="",$F333=""),"",IFERROR(IF($E333=INDEX(Cluster_Master!$A$4:$A$18,MATCH($F333,Cluster_Master!$B$4:$B$18,0)),"OK","CHECK"),"CHECK"))</f>
        <v/>
      </c>
      <c r="H333" s="11" t="str">
        <f>IFERROR(INDEX(Cluster_Master!$C$4:$C$18,MATCH($F333,Cluster_Master!$B$4:$B$18,0)),"")</f>
        <v/>
      </c>
      <c r="I333" s="8" t="str">
        <f>IFERROR(INDEX(Cluster_Master!$D$4:$D$18,MATCH($F333,Cluster_Master!$B$4:$B$18,0)),"")</f>
        <v/>
      </c>
      <c r="J333" s="8" t="str">
        <f>IFERROR(INDEX(Cluster_Master!$E$4:$E$18,MATCH($F333,Cluster_Master!$B$4:$B$18,0)),"")</f>
        <v/>
      </c>
      <c r="K333" s="8" t="str">
        <f>IFERROR(INDEX(Cluster_Master!$F$4:$F$18,MATCH($F333,Cluster_Master!$B$4:$B$18,0)),"")</f>
        <v/>
      </c>
      <c r="L333" s="8" t="str">
        <f>IFERROR(INDEX(Cluster_Master!$G$4:$G$18,MATCH($F333,Cluster_Master!$B$4:$B$18,0)),"")</f>
        <v/>
      </c>
      <c r="M333" s="8" t="str">
        <f>IFERROR(INDEX(Cluster_Master!$H$4:$H$18,MATCH($F333,Cluster_Master!$B$4:$B$18,0)),"")</f>
        <v/>
      </c>
      <c r="N333" s="12"/>
      <c r="O333" s="12"/>
      <c r="P333" s="12"/>
      <c r="Q333" s="12"/>
      <c r="R333" s="12"/>
      <c r="S333" s="12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8" t="str">
        <f t="shared" si="47"/>
        <v/>
      </c>
      <c r="AJ333" s="14" t="str">
        <f t="shared" si="48"/>
        <v/>
      </c>
      <c r="AK333" s="14" t="str">
        <f>IF(COUNTA(T333:AH333)=0,"",(SUM(T333*KPI_Weights!$B$4,U333*KPI_Weights!$B$5,V333*KPI_Weights!$B$6,W333*KPI_Weights!$B$7,X333*KPI_Weights!$B$8,Y333*KPI_Weights!$B$9,Z333*KPI_Weights!$B$10,AA333*KPI_Weights!$B$11,AB333*KPI_Weights!$B$12,AC333*KPI_Weights!$B$13,AD333*KPI_Weights!$B$14,AE333*KPI_Weights!$B$15,AF333*KPI_Weights!$B$16,AG333*KPI_Weights!$B$17,AH333*KPI_Weights!$B$18))/5)</f>
        <v/>
      </c>
      <c r="AL333" s="8" t="str">
        <f t="shared" si="49"/>
        <v/>
      </c>
      <c r="AM333" s="8" t="str">
        <f t="shared" si="50"/>
        <v/>
      </c>
      <c r="AN333" s="8" t="str">
        <f t="shared" si="51"/>
        <v/>
      </c>
      <c r="AO333" s="12"/>
      <c r="AP333" s="12"/>
      <c r="AQ333" s="12"/>
      <c r="AR333" s="12"/>
      <c r="AS333" s="12"/>
      <c r="AT333" s="15"/>
      <c r="AU333" s="12"/>
      <c r="AV333" s="16"/>
      <c r="AW333" s="12"/>
      <c r="AX333" s="15"/>
      <c r="AY333" s="15"/>
      <c r="AZ333" s="15"/>
      <c r="BA333" s="15"/>
      <c r="BB333" s="15"/>
      <c r="BC333" s="15"/>
      <c r="BD333" s="15"/>
      <c r="BE333" s="15"/>
      <c r="BF333" s="15"/>
    </row>
    <row r="334" spans="1:58" ht="19.5" customHeight="1" x14ac:dyDescent="0.2">
      <c r="A334" s="8" t="str">
        <f>IF($B334="","",TEXT($B334,"yyyymmdd")&amp;"-"&amp;SUBSTITUTE($F334," ","")&amp;"-"&amp;TEXT(COUNTIF($F$4:F334,$F334),"00"))</f>
        <v/>
      </c>
      <c r="B334" s="9"/>
      <c r="C334" s="8" t="str">
        <f t="shared" si="45"/>
        <v/>
      </c>
      <c r="D334" s="8" t="str">
        <f t="shared" si="46"/>
        <v/>
      </c>
      <c r="E334" s="10"/>
      <c r="F334" s="10"/>
      <c r="G334" s="8" t="str">
        <f>IF(OR($E334="",$F334=""),"",IFERROR(IF($E334=INDEX(Cluster_Master!$A$4:$A$18,MATCH($F334,Cluster_Master!$B$4:$B$18,0)),"OK","CHECK"),"CHECK"))</f>
        <v/>
      </c>
      <c r="H334" s="11" t="str">
        <f>IFERROR(INDEX(Cluster_Master!$C$4:$C$18,MATCH($F334,Cluster_Master!$B$4:$B$18,0)),"")</f>
        <v/>
      </c>
      <c r="I334" s="8" t="str">
        <f>IFERROR(INDEX(Cluster_Master!$D$4:$D$18,MATCH($F334,Cluster_Master!$B$4:$B$18,0)),"")</f>
        <v/>
      </c>
      <c r="J334" s="8" t="str">
        <f>IFERROR(INDEX(Cluster_Master!$E$4:$E$18,MATCH($F334,Cluster_Master!$B$4:$B$18,0)),"")</f>
        <v/>
      </c>
      <c r="K334" s="8" t="str">
        <f>IFERROR(INDEX(Cluster_Master!$F$4:$F$18,MATCH($F334,Cluster_Master!$B$4:$B$18,0)),"")</f>
        <v/>
      </c>
      <c r="L334" s="8" t="str">
        <f>IFERROR(INDEX(Cluster_Master!$G$4:$G$18,MATCH($F334,Cluster_Master!$B$4:$B$18,0)),"")</f>
        <v/>
      </c>
      <c r="M334" s="8" t="str">
        <f>IFERROR(INDEX(Cluster_Master!$H$4:$H$18,MATCH($F334,Cluster_Master!$B$4:$B$18,0)),"")</f>
        <v/>
      </c>
      <c r="N334" s="12"/>
      <c r="O334" s="12"/>
      <c r="P334" s="12"/>
      <c r="Q334" s="12"/>
      <c r="R334" s="12"/>
      <c r="S334" s="12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8" t="str">
        <f t="shared" si="47"/>
        <v/>
      </c>
      <c r="AJ334" s="14" t="str">
        <f t="shared" si="48"/>
        <v/>
      </c>
      <c r="AK334" s="14" t="str">
        <f>IF(COUNTA(T334:AH334)=0,"",(SUM(T334*KPI_Weights!$B$4,U334*KPI_Weights!$B$5,V334*KPI_Weights!$B$6,W334*KPI_Weights!$B$7,X334*KPI_Weights!$B$8,Y334*KPI_Weights!$B$9,Z334*KPI_Weights!$B$10,AA334*KPI_Weights!$B$11,AB334*KPI_Weights!$B$12,AC334*KPI_Weights!$B$13,AD334*KPI_Weights!$B$14,AE334*KPI_Weights!$B$15,AF334*KPI_Weights!$B$16,AG334*KPI_Weights!$B$17,AH334*KPI_Weights!$B$18))/5)</f>
        <v/>
      </c>
      <c r="AL334" s="8" t="str">
        <f t="shared" si="49"/>
        <v/>
      </c>
      <c r="AM334" s="8" t="str">
        <f t="shared" si="50"/>
        <v/>
      </c>
      <c r="AN334" s="8" t="str">
        <f t="shared" si="51"/>
        <v/>
      </c>
      <c r="AO334" s="12"/>
      <c r="AP334" s="12"/>
      <c r="AQ334" s="12"/>
      <c r="AR334" s="12"/>
      <c r="AS334" s="12"/>
      <c r="AT334" s="15"/>
      <c r="AU334" s="12"/>
      <c r="AV334" s="16"/>
      <c r="AW334" s="12"/>
      <c r="AX334" s="15"/>
      <c r="AY334" s="15"/>
      <c r="AZ334" s="15"/>
      <c r="BA334" s="15"/>
      <c r="BB334" s="15"/>
      <c r="BC334" s="15"/>
      <c r="BD334" s="15"/>
      <c r="BE334" s="15"/>
      <c r="BF334" s="15"/>
    </row>
    <row r="335" spans="1:58" ht="19.5" customHeight="1" x14ac:dyDescent="0.2">
      <c r="A335" s="8" t="str">
        <f>IF($B335="","",TEXT($B335,"yyyymmdd")&amp;"-"&amp;SUBSTITUTE($F335," ","")&amp;"-"&amp;TEXT(COUNTIF($F$4:F335,$F335),"00"))</f>
        <v/>
      </c>
      <c r="B335" s="9"/>
      <c r="C335" s="8" t="str">
        <f t="shared" si="45"/>
        <v/>
      </c>
      <c r="D335" s="8" t="str">
        <f t="shared" si="46"/>
        <v/>
      </c>
      <c r="E335" s="10"/>
      <c r="F335" s="10"/>
      <c r="G335" s="8" t="str">
        <f>IF(OR($E335="",$F335=""),"",IFERROR(IF($E335=INDEX(Cluster_Master!$A$4:$A$18,MATCH($F335,Cluster_Master!$B$4:$B$18,0)),"OK","CHECK"),"CHECK"))</f>
        <v/>
      </c>
      <c r="H335" s="11" t="str">
        <f>IFERROR(INDEX(Cluster_Master!$C$4:$C$18,MATCH($F335,Cluster_Master!$B$4:$B$18,0)),"")</f>
        <v/>
      </c>
      <c r="I335" s="8" t="str">
        <f>IFERROR(INDEX(Cluster_Master!$D$4:$D$18,MATCH($F335,Cluster_Master!$B$4:$B$18,0)),"")</f>
        <v/>
      </c>
      <c r="J335" s="8" t="str">
        <f>IFERROR(INDEX(Cluster_Master!$E$4:$E$18,MATCH($F335,Cluster_Master!$B$4:$B$18,0)),"")</f>
        <v/>
      </c>
      <c r="K335" s="8" t="str">
        <f>IFERROR(INDEX(Cluster_Master!$F$4:$F$18,MATCH($F335,Cluster_Master!$B$4:$B$18,0)),"")</f>
        <v/>
      </c>
      <c r="L335" s="8" t="str">
        <f>IFERROR(INDEX(Cluster_Master!$G$4:$G$18,MATCH($F335,Cluster_Master!$B$4:$B$18,0)),"")</f>
        <v/>
      </c>
      <c r="M335" s="8" t="str">
        <f>IFERROR(INDEX(Cluster_Master!$H$4:$H$18,MATCH($F335,Cluster_Master!$B$4:$B$18,0)),"")</f>
        <v/>
      </c>
      <c r="N335" s="12"/>
      <c r="O335" s="12"/>
      <c r="P335" s="12"/>
      <c r="Q335" s="12"/>
      <c r="R335" s="12"/>
      <c r="S335" s="12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8" t="str">
        <f t="shared" si="47"/>
        <v/>
      </c>
      <c r="AJ335" s="14" t="str">
        <f t="shared" si="48"/>
        <v/>
      </c>
      <c r="AK335" s="14" t="str">
        <f>IF(COUNTA(T335:AH335)=0,"",(SUM(T335*KPI_Weights!$B$4,U335*KPI_Weights!$B$5,V335*KPI_Weights!$B$6,W335*KPI_Weights!$B$7,X335*KPI_Weights!$B$8,Y335*KPI_Weights!$B$9,Z335*KPI_Weights!$B$10,AA335*KPI_Weights!$B$11,AB335*KPI_Weights!$B$12,AC335*KPI_Weights!$B$13,AD335*KPI_Weights!$B$14,AE335*KPI_Weights!$B$15,AF335*KPI_Weights!$B$16,AG335*KPI_Weights!$B$17,AH335*KPI_Weights!$B$18))/5)</f>
        <v/>
      </c>
      <c r="AL335" s="8" t="str">
        <f t="shared" si="49"/>
        <v/>
      </c>
      <c r="AM335" s="8" t="str">
        <f t="shared" si="50"/>
        <v/>
      </c>
      <c r="AN335" s="8" t="str">
        <f t="shared" si="51"/>
        <v/>
      </c>
      <c r="AO335" s="12"/>
      <c r="AP335" s="12"/>
      <c r="AQ335" s="12"/>
      <c r="AR335" s="12"/>
      <c r="AS335" s="12"/>
      <c r="AT335" s="15"/>
      <c r="AU335" s="12"/>
      <c r="AV335" s="16"/>
      <c r="AW335" s="12"/>
      <c r="AX335" s="15"/>
      <c r="AY335" s="15"/>
      <c r="AZ335" s="15"/>
      <c r="BA335" s="15"/>
      <c r="BB335" s="15"/>
      <c r="BC335" s="15"/>
      <c r="BD335" s="15"/>
      <c r="BE335" s="15"/>
      <c r="BF335" s="15"/>
    </row>
    <row r="336" spans="1:58" ht="19.5" customHeight="1" x14ac:dyDescent="0.2">
      <c r="A336" s="8" t="str">
        <f>IF($B336="","",TEXT($B336,"yyyymmdd")&amp;"-"&amp;SUBSTITUTE($F336," ","")&amp;"-"&amp;TEXT(COUNTIF($F$4:F336,$F336),"00"))</f>
        <v/>
      </c>
      <c r="B336" s="9"/>
      <c r="C336" s="8" t="str">
        <f t="shared" si="45"/>
        <v/>
      </c>
      <c r="D336" s="8" t="str">
        <f t="shared" si="46"/>
        <v/>
      </c>
      <c r="E336" s="10"/>
      <c r="F336" s="10"/>
      <c r="G336" s="8" t="str">
        <f>IF(OR($E336="",$F336=""),"",IFERROR(IF($E336=INDEX(Cluster_Master!$A$4:$A$18,MATCH($F336,Cluster_Master!$B$4:$B$18,0)),"OK","CHECK"),"CHECK"))</f>
        <v/>
      </c>
      <c r="H336" s="11" t="str">
        <f>IFERROR(INDEX(Cluster_Master!$C$4:$C$18,MATCH($F336,Cluster_Master!$B$4:$B$18,0)),"")</f>
        <v/>
      </c>
      <c r="I336" s="8" t="str">
        <f>IFERROR(INDEX(Cluster_Master!$D$4:$D$18,MATCH($F336,Cluster_Master!$B$4:$B$18,0)),"")</f>
        <v/>
      </c>
      <c r="J336" s="8" t="str">
        <f>IFERROR(INDEX(Cluster_Master!$E$4:$E$18,MATCH($F336,Cluster_Master!$B$4:$B$18,0)),"")</f>
        <v/>
      </c>
      <c r="K336" s="8" t="str">
        <f>IFERROR(INDEX(Cluster_Master!$F$4:$F$18,MATCH($F336,Cluster_Master!$B$4:$B$18,0)),"")</f>
        <v/>
      </c>
      <c r="L336" s="8" t="str">
        <f>IFERROR(INDEX(Cluster_Master!$G$4:$G$18,MATCH($F336,Cluster_Master!$B$4:$B$18,0)),"")</f>
        <v/>
      </c>
      <c r="M336" s="8" t="str">
        <f>IFERROR(INDEX(Cluster_Master!$H$4:$H$18,MATCH($F336,Cluster_Master!$B$4:$B$18,0)),"")</f>
        <v/>
      </c>
      <c r="N336" s="12"/>
      <c r="O336" s="12"/>
      <c r="P336" s="12"/>
      <c r="Q336" s="12"/>
      <c r="R336" s="12"/>
      <c r="S336" s="12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8" t="str">
        <f t="shared" si="47"/>
        <v/>
      </c>
      <c r="AJ336" s="14" t="str">
        <f t="shared" si="48"/>
        <v/>
      </c>
      <c r="AK336" s="14" t="str">
        <f>IF(COUNTA(T336:AH336)=0,"",(SUM(T336*KPI_Weights!$B$4,U336*KPI_Weights!$B$5,V336*KPI_Weights!$B$6,W336*KPI_Weights!$B$7,X336*KPI_Weights!$B$8,Y336*KPI_Weights!$B$9,Z336*KPI_Weights!$B$10,AA336*KPI_Weights!$B$11,AB336*KPI_Weights!$B$12,AC336*KPI_Weights!$B$13,AD336*KPI_Weights!$B$14,AE336*KPI_Weights!$B$15,AF336*KPI_Weights!$B$16,AG336*KPI_Weights!$B$17,AH336*KPI_Weights!$B$18))/5)</f>
        <v/>
      </c>
      <c r="AL336" s="8" t="str">
        <f t="shared" si="49"/>
        <v/>
      </c>
      <c r="AM336" s="8" t="str">
        <f t="shared" si="50"/>
        <v/>
      </c>
      <c r="AN336" s="8" t="str">
        <f t="shared" si="51"/>
        <v/>
      </c>
      <c r="AO336" s="12"/>
      <c r="AP336" s="12"/>
      <c r="AQ336" s="12"/>
      <c r="AR336" s="12"/>
      <c r="AS336" s="12"/>
      <c r="AT336" s="15"/>
      <c r="AU336" s="12"/>
      <c r="AV336" s="16"/>
      <c r="AW336" s="12"/>
      <c r="AX336" s="15"/>
      <c r="AY336" s="15"/>
      <c r="AZ336" s="15"/>
      <c r="BA336" s="15"/>
      <c r="BB336" s="15"/>
      <c r="BC336" s="15"/>
      <c r="BD336" s="15"/>
      <c r="BE336" s="15"/>
      <c r="BF336" s="15"/>
    </row>
    <row r="337" spans="1:58" ht="19.5" customHeight="1" x14ac:dyDescent="0.2">
      <c r="A337" s="8" t="str">
        <f>IF($B337="","",TEXT($B337,"yyyymmdd")&amp;"-"&amp;SUBSTITUTE($F337," ","")&amp;"-"&amp;TEXT(COUNTIF($F$4:F337,$F337),"00"))</f>
        <v/>
      </c>
      <c r="B337" s="9"/>
      <c r="C337" s="8" t="str">
        <f t="shared" si="45"/>
        <v/>
      </c>
      <c r="D337" s="8" t="str">
        <f t="shared" si="46"/>
        <v/>
      </c>
      <c r="E337" s="10"/>
      <c r="F337" s="10"/>
      <c r="G337" s="8" t="str">
        <f>IF(OR($E337="",$F337=""),"",IFERROR(IF($E337=INDEX(Cluster_Master!$A$4:$A$18,MATCH($F337,Cluster_Master!$B$4:$B$18,0)),"OK","CHECK"),"CHECK"))</f>
        <v/>
      </c>
      <c r="H337" s="11" t="str">
        <f>IFERROR(INDEX(Cluster_Master!$C$4:$C$18,MATCH($F337,Cluster_Master!$B$4:$B$18,0)),"")</f>
        <v/>
      </c>
      <c r="I337" s="8" t="str">
        <f>IFERROR(INDEX(Cluster_Master!$D$4:$D$18,MATCH($F337,Cluster_Master!$B$4:$B$18,0)),"")</f>
        <v/>
      </c>
      <c r="J337" s="8" t="str">
        <f>IFERROR(INDEX(Cluster_Master!$E$4:$E$18,MATCH($F337,Cluster_Master!$B$4:$B$18,0)),"")</f>
        <v/>
      </c>
      <c r="K337" s="8" t="str">
        <f>IFERROR(INDEX(Cluster_Master!$F$4:$F$18,MATCH($F337,Cluster_Master!$B$4:$B$18,0)),"")</f>
        <v/>
      </c>
      <c r="L337" s="8" t="str">
        <f>IFERROR(INDEX(Cluster_Master!$G$4:$G$18,MATCH($F337,Cluster_Master!$B$4:$B$18,0)),"")</f>
        <v/>
      </c>
      <c r="M337" s="8" t="str">
        <f>IFERROR(INDEX(Cluster_Master!$H$4:$H$18,MATCH($F337,Cluster_Master!$B$4:$B$18,0)),"")</f>
        <v/>
      </c>
      <c r="N337" s="12"/>
      <c r="O337" s="12"/>
      <c r="P337" s="12"/>
      <c r="Q337" s="12"/>
      <c r="R337" s="12"/>
      <c r="S337" s="12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8" t="str">
        <f t="shared" si="47"/>
        <v/>
      </c>
      <c r="AJ337" s="14" t="str">
        <f t="shared" si="48"/>
        <v/>
      </c>
      <c r="AK337" s="14" t="str">
        <f>IF(COUNTA(T337:AH337)=0,"",(SUM(T337*KPI_Weights!$B$4,U337*KPI_Weights!$B$5,V337*KPI_Weights!$B$6,W337*KPI_Weights!$B$7,X337*KPI_Weights!$B$8,Y337*KPI_Weights!$B$9,Z337*KPI_Weights!$B$10,AA337*KPI_Weights!$B$11,AB337*KPI_Weights!$B$12,AC337*KPI_Weights!$B$13,AD337*KPI_Weights!$B$14,AE337*KPI_Weights!$B$15,AF337*KPI_Weights!$B$16,AG337*KPI_Weights!$B$17,AH337*KPI_Weights!$B$18))/5)</f>
        <v/>
      </c>
      <c r="AL337" s="8" t="str">
        <f t="shared" si="49"/>
        <v/>
      </c>
      <c r="AM337" s="8" t="str">
        <f t="shared" si="50"/>
        <v/>
      </c>
      <c r="AN337" s="8" t="str">
        <f t="shared" si="51"/>
        <v/>
      </c>
      <c r="AO337" s="12"/>
      <c r="AP337" s="12"/>
      <c r="AQ337" s="12"/>
      <c r="AR337" s="12"/>
      <c r="AS337" s="12"/>
      <c r="AT337" s="15"/>
      <c r="AU337" s="12"/>
      <c r="AV337" s="16"/>
      <c r="AW337" s="12"/>
      <c r="AX337" s="15"/>
      <c r="AY337" s="15"/>
      <c r="AZ337" s="15"/>
      <c r="BA337" s="15"/>
      <c r="BB337" s="15"/>
      <c r="BC337" s="15"/>
      <c r="BD337" s="15"/>
      <c r="BE337" s="15"/>
      <c r="BF337" s="15"/>
    </row>
    <row r="338" spans="1:58" ht="19.5" customHeight="1" x14ac:dyDescent="0.2">
      <c r="A338" s="8" t="str">
        <f>IF($B338="","",TEXT($B338,"yyyymmdd")&amp;"-"&amp;SUBSTITUTE($F338," ","")&amp;"-"&amp;TEXT(COUNTIF($F$4:F338,$F338),"00"))</f>
        <v/>
      </c>
      <c r="B338" s="9"/>
      <c r="C338" s="8" t="str">
        <f t="shared" si="45"/>
        <v/>
      </c>
      <c r="D338" s="8" t="str">
        <f t="shared" si="46"/>
        <v/>
      </c>
      <c r="E338" s="10"/>
      <c r="F338" s="10"/>
      <c r="G338" s="8" t="str">
        <f>IF(OR($E338="",$F338=""),"",IFERROR(IF($E338=INDEX(Cluster_Master!$A$4:$A$18,MATCH($F338,Cluster_Master!$B$4:$B$18,0)),"OK","CHECK"),"CHECK"))</f>
        <v/>
      </c>
      <c r="H338" s="11" t="str">
        <f>IFERROR(INDEX(Cluster_Master!$C$4:$C$18,MATCH($F338,Cluster_Master!$B$4:$B$18,0)),"")</f>
        <v/>
      </c>
      <c r="I338" s="8" t="str">
        <f>IFERROR(INDEX(Cluster_Master!$D$4:$D$18,MATCH($F338,Cluster_Master!$B$4:$B$18,0)),"")</f>
        <v/>
      </c>
      <c r="J338" s="8" t="str">
        <f>IFERROR(INDEX(Cluster_Master!$E$4:$E$18,MATCH($F338,Cluster_Master!$B$4:$B$18,0)),"")</f>
        <v/>
      </c>
      <c r="K338" s="8" t="str">
        <f>IFERROR(INDEX(Cluster_Master!$F$4:$F$18,MATCH($F338,Cluster_Master!$B$4:$B$18,0)),"")</f>
        <v/>
      </c>
      <c r="L338" s="8" t="str">
        <f>IFERROR(INDEX(Cluster_Master!$G$4:$G$18,MATCH($F338,Cluster_Master!$B$4:$B$18,0)),"")</f>
        <v/>
      </c>
      <c r="M338" s="8" t="str">
        <f>IFERROR(INDEX(Cluster_Master!$H$4:$H$18,MATCH($F338,Cluster_Master!$B$4:$B$18,0)),"")</f>
        <v/>
      </c>
      <c r="N338" s="12"/>
      <c r="O338" s="12"/>
      <c r="P338" s="12"/>
      <c r="Q338" s="12"/>
      <c r="R338" s="12"/>
      <c r="S338" s="12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8" t="str">
        <f t="shared" si="47"/>
        <v/>
      </c>
      <c r="AJ338" s="14" t="str">
        <f t="shared" si="48"/>
        <v/>
      </c>
      <c r="AK338" s="14" t="str">
        <f>IF(COUNTA(T338:AH338)=0,"",(SUM(T338*KPI_Weights!$B$4,U338*KPI_Weights!$B$5,V338*KPI_Weights!$B$6,W338*KPI_Weights!$B$7,X338*KPI_Weights!$B$8,Y338*KPI_Weights!$B$9,Z338*KPI_Weights!$B$10,AA338*KPI_Weights!$B$11,AB338*KPI_Weights!$B$12,AC338*KPI_Weights!$B$13,AD338*KPI_Weights!$B$14,AE338*KPI_Weights!$B$15,AF338*KPI_Weights!$B$16,AG338*KPI_Weights!$B$17,AH338*KPI_Weights!$B$18))/5)</f>
        <v/>
      </c>
      <c r="AL338" s="8" t="str">
        <f t="shared" si="49"/>
        <v/>
      </c>
      <c r="AM338" s="8" t="str">
        <f t="shared" si="50"/>
        <v/>
      </c>
      <c r="AN338" s="8" t="str">
        <f t="shared" si="51"/>
        <v/>
      </c>
      <c r="AO338" s="12"/>
      <c r="AP338" s="12"/>
      <c r="AQ338" s="12"/>
      <c r="AR338" s="12"/>
      <c r="AS338" s="12"/>
      <c r="AT338" s="15"/>
      <c r="AU338" s="12"/>
      <c r="AV338" s="16"/>
      <c r="AW338" s="12"/>
      <c r="AX338" s="15"/>
      <c r="AY338" s="15"/>
      <c r="AZ338" s="15"/>
      <c r="BA338" s="15"/>
      <c r="BB338" s="15"/>
      <c r="BC338" s="15"/>
      <c r="BD338" s="15"/>
      <c r="BE338" s="15"/>
      <c r="BF338" s="15"/>
    </row>
    <row r="339" spans="1:58" ht="19.5" customHeight="1" x14ac:dyDescent="0.2">
      <c r="A339" s="8" t="str">
        <f>IF($B339="","",TEXT($B339,"yyyymmdd")&amp;"-"&amp;SUBSTITUTE($F339," ","")&amp;"-"&amp;TEXT(COUNTIF($F$4:F339,$F339),"00"))</f>
        <v/>
      </c>
      <c r="B339" s="9"/>
      <c r="C339" s="8" t="str">
        <f t="shared" si="45"/>
        <v/>
      </c>
      <c r="D339" s="8" t="str">
        <f t="shared" si="46"/>
        <v/>
      </c>
      <c r="E339" s="10"/>
      <c r="F339" s="10"/>
      <c r="G339" s="8" t="str">
        <f>IF(OR($E339="",$F339=""),"",IFERROR(IF($E339=INDEX(Cluster_Master!$A$4:$A$18,MATCH($F339,Cluster_Master!$B$4:$B$18,0)),"OK","CHECK"),"CHECK"))</f>
        <v/>
      </c>
      <c r="H339" s="11" t="str">
        <f>IFERROR(INDEX(Cluster_Master!$C$4:$C$18,MATCH($F339,Cluster_Master!$B$4:$B$18,0)),"")</f>
        <v/>
      </c>
      <c r="I339" s="8" t="str">
        <f>IFERROR(INDEX(Cluster_Master!$D$4:$D$18,MATCH($F339,Cluster_Master!$B$4:$B$18,0)),"")</f>
        <v/>
      </c>
      <c r="J339" s="8" t="str">
        <f>IFERROR(INDEX(Cluster_Master!$E$4:$E$18,MATCH($F339,Cluster_Master!$B$4:$B$18,0)),"")</f>
        <v/>
      </c>
      <c r="K339" s="8" t="str">
        <f>IFERROR(INDEX(Cluster_Master!$F$4:$F$18,MATCH($F339,Cluster_Master!$B$4:$B$18,0)),"")</f>
        <v/>
      </c>
      <c r="L339" s="8" t="str">
        <f>IFERROR(INDEX(Cluster_Master!$G$4:$G$18,MATCH($F339,Cluster_Master!$B$4:$B$18,0)),"")</f>
        <v/>
      </c>
      <c r="M339" s="8" t="str">
        <f>IFERROR(INDEX(Cluster_Master!$H$4:$H$18,MATCH($F339,Cluster_Master!$B$4:$B$18,0)),"")</f>
        <v/>
      </c>
      <c r="N339" s="12"/>
      <c r="O339" s="12"/>
      <c r="P339" s="12"/>
      <c r="Q339" s="12"/>
      <c r="R339" s="12"/>
      <c r="S339" s="12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8" t="str">
        <f t="shared" si="47"/>
        <v/>
      </c>
      <c r="AJ339" s="14" t="str">
        <f t="shared" si="48"/>
        <v/>
      </c>
      <c r="AK339" s="14" t="str">
        <f>IF(COUNTA(T339:AH339)=0,"",(SUM(T339*KPI_Weights!$B$4,U339*KPI_Weights!$B$5,V339*KPI_Weights!$B$6,W339*KPI_Weights!$B$7,X339*KPI_Weights!$B$8,Y339*KPI_Weights!$B$9,Z339*KPI_Weights!$B$10,AA339*KPI_Weights!$B$11,AB339*KPI_Weights!$B$12,AC339*KPI_Weights!$B$13,AD339*KPI_Weights!$B$14,AE339*KPI_Weights!$B$15,AF339*KPI_Weights!$B$16,AG339*KPI_Weights!$B$17,AH339*KPI_Weights!$B$18))/5)</f>
        <v/>
      </c>
      <c r="AL339" s="8" t="str">
        <f t="shared" si="49"/>
        <v/>
      </c>
      <c r="AM339" s="8" t="str">
        <f t="shared" si="50"/>
        <v/>
      </c>
      <c r="AN339" s="8" t="str">
        <f t="shared" si="51"/>
        <v/>
      </c>
      <c r="AO339" s="12"/>
      <c r="AP339" s="12"/>
      <c r="AQ339" s="12"/>
      <c r="AR339" s="12"/>
      <c r="AS339" s="12"/>
      <c r="AT339" s="15"/>
      <c r="AU339" s="12"/>
      <c r="AV339" s="16"/>
      <c r="AW339" s="12"/>
      <c r="AX339" s="15"/>
      <c r="AY339" s="15"/>
      <c r="AZ339" s="15"/>
      <c r="BA339" s="15"/>
      <c r="BB339" s="15"/>
      <c r="BC339" s="15"/>
      <c r="BD339" s="15"/>
      <c r="BE339" s="15"/>
      <c r="BF339" s="15"/>
    </row>
    <row r="340" spans="1:58" ht="19.5" customHeight="1" x14ac:dyDescent="0.2">
      <c r="A340" s="8" t="str">
        <f>IF($B340="","",TEXT($B340,"yyyymmdd")&amp;"-"&amp;SUBSTITUTE($F340," ","")&amp;"-"&amp;TEXT(COUNTIF($F$4:F340,$F340),"00"))</f>
        <v/>
      </c>
      <c r="B340" s="9"/>
      <c r="C340" s="8" t="str">
        <f t="shared" si="45"/>
        <v/>
      </c>
      <c r="D340" s="8" t="str">
        <f t="shared" si="46"/>
        <v/>
      </c>
      <c r="E340" s="10"/>
      <c r="F340" s="10"/>
      <c r="G340" s="8" t="str">
        <f>IF(OR($E340="",$F340=""),"",IFERROR(IF($E340=INDEX(Cluster_Master!$A$4:$A$18,MATCH($F340,Cluster_Master!$B$4:$B$18,0)),"OK","CHECK"),"CHECK"))</f>
        <v/>
      </c>
      <c r="H340" s="11" t="str">
        <f>IFERROR(INDEX(Cluster_Master!$C$4:$C$18,MATCH($F340,Cluster_Master!$B$4:$B$18,0)),"")</f>
        <v/>
      </c>
      <c r="I340" s="8" t="str">
        <f>IFERROR(INDEX(Cluster_Master!$D$4:$D$18,MATCH($F340,Cluster_Master!$B$4:$B$18,0)),"")</f>
        <v/>
      </c>
      <c r="J340" s="8" t="str">
        <f>IFERROR(INDEX(Cluster_Master!$E$4:$E$18,MATCH($F340,Cluster_Master!$B$4:$B$18,0)),"")</f>
        <v/>
      </c>
      <c r="K340" s="8" t="str">
        <f>IFERROR(INDEX(Cluster_Master!$F$4:$F$18,MATCH($F340,Cluster_Master!$B$4:$B$18,0)),"")</f>
        <v/>
      </c>
      <c r="L340" s="8" t="str">
        <f>IFERROR(INDEX(Cluster_Master!$G$4:$G$18,MATCH($F340,Cluster_Master!$B$4:$B$18,0)),"")</f>
        <v/>
      </c>
      <c r="M340" s="8" t="str">
        <f>IFERROR(INDEX(Cluster_Master!$H$4:$H$18,MATCH($F340,Cluster_Master!$B$4:$B$18,0)),"")</f>
        <v/>
      </c>
      <c r="N340" s="12"/>
      <c r="O340" s="12"/>
      <c r="P340" s="12"/>
      <c r="Q340" s="12"/>
      <c r="R340" s="12"/>
      <c r="S340" s="12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8" t="str">
        <f t="shared" si="47"/>
        <v/>
      </c>
      <c r="AJ340" s="14" t="str">
        <f t="shared" si="48"/>
        <v/>
      </c>
      <c r="AK340" s="14" t="str">
        <f>IF(COUNTA(T340:AH340)=0,"",(SUM(T340*KPI_Weights!$B$4,U340*KPI_Weights!$B$5,V340*KPI_Weights!$B$6,W340*KPI_Weights!$B$7,X340*KPI_Weights!$B$8,Y340*KPI_Weights!$B$9,Z340*KPI_Weights!$B$10,AA340*KPI_Weights!$B$11,AB340*KPI_Weights!$B$12,AC340*KPI_Weights!$B$13,AD340*KPI_Weights!$B$14,AE340*KPI_Weights!$B$15,AF340*KPI_Weights!$B$16,AG340*KPI_Weights!$B$17,AH340*KPI_Weights!$B$18))/5)</f>
        <v/>
      </c>
      <c r="AL340" s="8" t="str">
        <f t="shared" si="49"/>
        <v/>
      </c>
      <c r="AM340" s="8" t="str">
        <f t="shared" si="50"/>
        <v/>
      </c>
      <c r="AN340" s="8" t="str">
        <f t="shared" si="51"/>
        <v/>
      </c>
      <c r="AO340" s="12"/>
      <c r="AP340" s="12"/>
      <c r="AQ340" s="12"/>
      <c r="AR340" s="12"/>
      <c r="AS340" s="12"/>
      <c r="AT340" s="15"/>
      <c r="AU340" s="12"/>
      <c r="AV340" s="16"/>
      <c r="AW340" s="12"/>
      <c r="AX340" s="15"/>
      <c r="AY340" s="15"/>
      <c r="AZ340" s="15"/>
      <c r="BA340" s="15"/>
      <c r="BB340" s="15"/>
      <c r="BC340" s="15"/>
      <c r="BD340" s="15"/>
      <c r="BE340" s="15"/>
      <c r="BF340" s="15"/>
    </row>
    <row r="341" spans="1:58" ht="19.5" customHeight="1" x14ac:dyDescent="0.2">
      <c r="A341" s="8" t="str">
        <f>IF($B341="","",TEXT($B341,"yyyymmdd")&amp;"-"&amp;SUBSTITUTE($F341," ","")&amp;"-"&amp;TEXT(COUNTIF($F$4:F341,$F341),"00"))</f>
        <v/>
      </c>
      <c r="B341" s="9"/>
      <c r="C341" s="8" t="str">
        <f t="shared" si="45"/>
        <v/>
      </c>
      <c r="D341" s="8" t="str">
        <f t="shared" si="46"/>
        <v/>
      </c>
      <c r="E341" s="10"/>
      <c r="F341" s="10"/>
      <c r="G341" s="8" t="str">
        <f>IF(OR($E341="",$F341=""),"",IFERROR(IF($E341=INDEX(Cluster_Master!$A$4:$A$18,MATCH($F341,Cluster_Master!$B$4:$B$18,0)),"OK","CHECK"),"CHECK"))</f>
        <v/>
      </c>
      <c r="H341" s="11" t="str">
        <f>IFERROR(INDEX(Cluster_Master!$C$4:$C$18,MATCH($F341,Cluster_Master!$B$4:$B$18,0)),"")</f>
        <v/>
      </c>
      <c r="I341" s="8" t="str">
        <f>IFERROR(INDEX(Cluster_Master!$D$4:$D$18,MATCH($F341,Cluster_Master!$B$4:$B$18,0)),"")</f>
        <v/>
      </c>
      <c r="J341" s="8" t="str">
        <f>IFERROR(INDEX(Cluster_Master!$E$4:$E$18,MATCH($F341,Cluster_Master!$B$4:$B$18,0)),"")</f>
        <v/>
      </c>
      <c r="K341" s="8" t="str">
        <f>IFERROR(INDEX(Cluster_Master!$F$4:$F$18,MATCH($F341,Cluster_Master!$B$4:$B$18,0)),"")</f>
        <v/>
      </c>
      <c r="L341" s="8" t="str">
        <f>IFERROR(INDEX(Cluster_Master!$G$4:$G$18,MATCH($F341,Cluster_Master!$B$4:$B$18,0)),"")</f>
        <v/>
      </c>
      <c r="M341" s="8" t="str">
        <f>IFERROR(INDEX(Cluster_Master!$H$4:$H$18,MATCH($F341,Cluster_Master!$B$4:$B$18,0)),"")</f>
        <v/>
      </c>
      <c r="N341" s="12"/>
      <c r="O341" s="12"/>
      <c r="P341" s="12"/>
      <c r="Q341" s="12"/>
      <c r="R341" s="12"/>
      <c r="S341" s="12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8" t="str">
        <f t="shared" si="47"/>
        <v/>
      </c>
      <c r="AJ341" s="14" t="str">
        <f t="shared" si="48"/>
        <v/>
      </c>
      <c r="AK341" s="14" t="str">
        <f>IF(COUNTA(T341:AH341)=0,"",(SUM(T341*KPI_Weights!$B$4,U341*KPI_Weights!$B$5,V341*KPI_Weights!$B$6,W341*KPI_Weights!$B$7,X341*KPI_Weights!$B$8,Y341*KPI_Weights!$B$9,Z341*KPI_Weights!$B$10,AA341*KPI_Weights!$B$11,AB341*KPI_Weights!$B$12,AC341*KPI_Weights!$B$13,AD341*KPI_Weights!$B$14,AE341*KPI_Weights!$B$15,AF341*KPI_Weights!$B$16,AG341*KPI_Weights!$B$17,AH341*KPI_Weights!$B$18))/5)</f>
        <v/>
      </c>
      <c r="AL341" s="8" t="str">
        <f t="shared" si="49"/>
        <v/>
      </c>
      <c r="AM341" s="8" t="str">
        <f t="shared" si="50"/>
        <v/>
      </c>
      <c r="AN341" s="8" t="str">
        <f t="shared" si="51"/>
        <v/>
      </c>
      <c r="AO341" s="12"/>
      <c r="AP341" s="12"/>
      <c r="AQ341" s="12"/>
      <c r="AR341" s="12"/>
      <c r="AS341" s="12"/>
      <c r="AT341" s="15"/>
      <c r="AU341" s="12"/>
      <c r="AV341" s="16"/>
      <c r="AW341" s="12"/>
      <c r="AX341" s="15"/>
      <c r="AY341" s="15"/>
      <c r="AZ341" s="15"/>
      <c r="BA341" s="15"/>
      <c r="BB341" s="15"/>
      <c r="BC341" s="15"/>
      <c r="BD341" s="15"/>
      <c r="BE341" s="15"/>
      <c r="BF341" s="15"/>
    </row>
    <row r="342" spans="1:58" ht="19.5" customHeight="1" x14ac:dyDescent="0.2">
      <c r="A342" s="8" t="str">
        <f>IF($B342="","",TEXT($B342,"yyyymmdd")&amp;"-"&amp;SUBSTITUTE($F342," ","")&amp;"-"&amp;TEXT(COUNTIF($F$4:F342,$F342),"00"))</f>
        <v/>
      </c>
      <c r="B342" s="9"/>
      <c r="C342" s="8" t="str">
        <f t="shared" si="45"/>
        <v/>
      </c>
      <c r="D342" s="8" t="str">
        <f t="shared" si="46"/>
        <v/>
      </c>
      <c r="E342" s="10"/>
      <c r="F342" s="10"/>
      <c r="G342" s="8" t="str">
        <f>IF(OR($E342="",$F342=""),"",IFERROR(IF($E342=INDEX(Cluster_Master!$A$4:$A$18,MATCH($F342,Cluster_Master!$B$4:$B$18,0)),"OK","CHECK"),"CHECK"))</f>
        <v/>
      </c>
      <c r="H342" s="11" t="str">
        <f>IFERROR(INDEX(Cluster_Master!$C$4:$C$18,MATCH($F342,Cluster_Master!$B$4:$B$18,0)),"")</f>
        <v/>
      </c>
      <c r="I342" s="8" t="str">
        <f>IFERROR(INDEX(Cluster_Master!$D$4:$D$18,MATCH($F342,Cluster_Master!$B$4:$B$18,0)),"")</f>
        <v/>
      </c>
      <c r="J342" s="8" t="str">
        <f>IFERROR(INDEX(Cluster_Master!$E$4:$E$18,MATCH($F342,Cluster_Master!$B$4:$B$18,0)),"")</f>
        <v/>
      </c>
      <c r="K342" s="8" t="str">
        <f>IFERROR(INDEX(Cluster_Master!$F$4:$F$18,MATCH($F342,Cluster_Master!$B$4:$B$18,0)),"")</f>
        <v/>
      </c>
      <c r="L342" s="8" t="str">
        <f>IFERROR(INDEX(Cluster_Master!$G$4:$G$18,MATCH($F342,Cluster_Master!$B$4:$B$18,0)),"")</f>
        <v/>
      </c>
      <c r="M342" s="8" t="str">
        <f>IFERROR(INDEX(Cluster_Master!$H$4:$H$18,MATCH($F342,Cluster_Master!$B$4:$B$18,0)),"")</f>
        <v/>
      </c>
      <c r="N342" s="12"/>
      <c r="O342" s="12"/>
      <c r="P342" s="12"/>
      <c r="Q342" s="12"/>
      <c r="R342" s="12"/>
      <c r="S342" s="12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8" t="str">
        <f t="shared" si="47"/>
        <v/>
      </c>
      <c r="AJ342" s="14" t="str">
        <f t="shared" si="48"/>
        <v/>
      </c>
      <c r="AK342" s="14" t="str">
        <f>IF(COUNTA(T342:AH342)=0,"",(SUM(T342*KPI_Weights!$B$4,U342*KPI_Weights!$B$5,V342*KPI_Weights!$B$6,W342*KPI_Weights!$B$7,X342*KPI_Weights!$B$8,Y342*KPI_Weights!$B$9,Z342*KPI_Weights!$B$10,AA342*KPI_Weights!$B$11,AB342*KPI_Weights!$B$12,AC342*KPI_Weights!$B$13,AD342*KPI_Weights!$B$14,AE342*KPI_Weights!$B$15,AF342*KPI_Weights!$B$16,AG342*KPI_Weights!$B$17,AH342*KPI_Weights!$B$18))/5)</f>
        <v/>
      </c>
      <c r="AL342" s="8" t="str">
        <f t="shared" si="49"/>
        <v/>
      </c>
      <c r="AM342" s="8" t="str">
        <f t="shared" si="50"/>
        <v/>
      </c>
      <c r="AN342" s="8" t="str">
        <f t="shared" si="51"/>
        <v/>
      </c>
      <c r="AO342" s="12"/>
      <c r="AP342" s="12"/>
      <c r="AQ342" s="12"/>
      <c r="AR342" s="12"/>
      <c r="AS342" s="12"/>
      <c r="AT342" s="15"/>
      <c r="AU342" s="12"/>
      <c r="AV342" s="16"/>
      <c r="AW342" s="12"/>
      <c r="AX342" s="15"/>
      <c r="AY342" s="15"/>
      <c r="AZ342" s="15"/>
      <c r="BA342" s="15"/>
      <c r="BB342" s="15"/>
      <c r="BC342" s="15"/>
      <c r="BD342" s="15"/>
      <c r="BE342" s="15"/>
      <c r="BF342" s="15"/>
    </row>
    <row r="343" spans="1:58" ht="19.5" customHeight="1" x14ac:dyDescent="0.2">
      <c r="A343" s="8" t="str">
        <f>IF($B343="","",TEXT($B343,"yyyymmdd")&amp;"-"&amp;SUBSTITUTE($F343," ","")&amp;"-"&amp;TEXT(COUNTIF($F$4:F343,$F343),"00"))</f>
        <v/>
      </c>
      <c r="B343" s="9"/>
      <c r="C343" s="8" t="str">
        <f t="shared" si="45"/>
        <v/>
      </c>
      <c r="D343" s="8" t="str">
        <f t="shared" si="46"/>
        <v/>
      </c>
      <c r="E343" s="10"/>
      <c r="F343" s="10"/>
      <c r="G343" s="8" t="str">
        <f>IF(OR($E343="",$F343=""),"",IFERROR(IF($E343=INDEX(Cluster_Master!$A$4:$A$18,MATCH($F343,Cluster_Master!$B$4:$B$18,0)),"OK","CHECK"),"CHECK"))</f>
        <v/>
      </c>
      <c r="H343" s="11" t="str">
        <f>IFERROR(INDEX(Cluster_Master!$C$4:$C$18,MATCH($F343,Cluster_Master!$B$4:$B$18,0)),"")</f>
        <v/>
      </c>
      <c r="I343" s="8" t="str">
        <f>IFERROR(INDEX(Cluster_Master!$D$4:$D$18,MATCH($F343,Cluster_Master!$B$4:$B$18,0)),"")</f>
        <v/>
      </c>
      <c r="J343" s="8" t="str">
        <f>IFERROR(INDEX(Cluster_Master!$E$4:$E$18,MATCH($F343,Cluster_Master!$B$4:$B$18,0)),"")</f>
        <v/>
      </c>
      <c r="K343" s="8" t="str">
        <f>IFERROR(INDEX(Cluster_Master!$F$4:$F$18,MATCH($F343,Cluster_Master!$B$4:$B$18,0)),"")</f>
        <v/>
      </c>
      <c r="L343" s="8" t="str">
        <f>IFERROR(INDEX(Cluster_Master!$G$4:$G$18,MATCH($F343,Cluster_Master!$B$4:$B$18,0)),"")</f>
        <v/>
      </c>
      <c r="M343" s="8" t="str">
        <f>IFERROR(INDEX(Cluster_Master!$H$4:$H$18,MATCH($F343,Cluster_Master!$B$4:$B$18,0)),"")</f>
        <v/>
      </c>
      <c r="N343" s="12"/>
      <c r="O343" s="12"/>
      <c r="P343" s="12"/>
      <c r="Q343" s="12"/>
      <c r="R343" s="12"/>
      <c r="S343" s="12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8" t="str">
        <f t="shared" si="47"/>
        <v/>
      </c>
      <c r="AJ343" s="14" t="str">
        <f t="shared" si="48"/>
        <v/>
      </c>
      <c r="AK343" s="14" t="str">
        <f>IF(COUNTA(T343:AH343)=0,"",(SUM(T343*KPI_Weights!$B$4,U343*KPI_Weights!$B$5,V343*KPI_Weights!$B$6,W343*KPI_Weights!$B$7,X343*KPI_Weights!$B$8,Y343*KPI_Weights!$B$9,Z343*KPI_Weights!$B$10,AA343*KPI_Weights!$B$11,AB343*KPI_Weights!$B$12,AC343*KPI_Weights!$B$13,AD343*KPI_Weights!$B$14,AE343*KPI_Weights!$B$15,AF343*KPI_Weights!$B$16,AG343*KPI_Weights!$B$17,AH343*KPI_Weights!$B$18))/5)</f>
        <v/>
      </c>
      <c r="AL343" s="8" t="str">
        <f t="shared" si="49"/>
        <v/>
      </c>
      <c r="AM343" s="8" t="str">
        <f t="shared" si="50"/>
        <v/>
      </c>
      <c r="AN343" s="8" t="str">
        <f t="shared" si="51"/>
        <v/>
      </c>
      <c r="AO343" s="12"/>
      <c r="AP343" s="12"/>
      <c r="AQ343" s="12"/>
      <c r="AR343" s="12"/>
      <c r="AS343" s="12"/>
      <c r="AT343" s="15"/>
      <c r="AU343" s="12"/>
      <c r="AV343" s="16"/>
      <c r="AW343" s="12"/>
      <c r="AX343" s="15"/>
      <c r="AY343" s="15"/>
      <c r="AZ343" s="15"/>
      <c r="BA343" s="15"/>
      <c r="BB343" s="15"/>
      <c r="BC343" s="15"/>
      <c r="BD343" s="15"/>
      <c r="BE343" s="15"/>
      <c r="BF343" s="15"/>
    </row>
    <row r="344" spans="1:58" ht="19.5" customHeight="1" x14ac:dyDescent="0.2">
      <c r="A344" s="8" t="str">
        <f>IF($B344="","",TEXT($B344,"yyyymmdd")&amp;"-"&amp;SUBSTITUTE($F344," ","")&amp;"-"&amp;TEXT(COUNTIF($F$4:F344,$F344),"00"))</f>
        <v/>
      </c>
      <c r="B344" s="9"/>
      <c r="C344" s="8" t="str">
        <f t="shared" si="45"/>
        <v/>
      </c>
      <c r="D344" s="8" t="str">
        <f t="shared" si="46"/>
        <v/>
      </c>
      <c r="E344" s="10"/>
      <c r="F344" s="10"/>
      <c r="G344" s="8" t="str">
        <f>IF(OR($E344="",$F344=""),"",IFERROR(IF($E344=INDEX(Cluster_Master!$A$4:$A$18,MATCH($F344,Cluster_Master!$B$4:$B$18,0)),"OK","CHECK"),"CHECK"))</f>
        <v/>
      </c>
      <c r="H344" s="11" t="str">
        <f>IFERROR(INDEX(Cluster_Master!$C$4:$C$18,MATCH($F344,Cluster_Master!$B$4:$B$18,0)),"")</f>
        <v/>
      </c>
      <c r="I344" s="8" t="str">
        <f>IFERROR(INDEX(Cluster_Master!$D$4:$D$18,MATCH($F344,Cluster_Master!$B$4:$B$18,0)),"")</f>
        <v/>
      </c>
      <c r="J344" s="8" t="str">
        <f>IFERROR(INDEX(Cluster_Master!$E$4:$E$18,MATCH($F344,Cluster_Master!$B$4:$B$18,0)),"")</f>
        <v/>
      </c>
      <c r="K344" s="8" t="str">
        <f>IFERROR(INDEX(Cluster_Master!$F$4:$F$18,MATCH($F344,Cluster_Master!$B$4:$B$18,0)),"")</f>
        <v/>
      </c>
      <c r="L344" s="8" t="str">
        <f>IFERROR(INDEX(Cluster_Master!$G$4:$G$18,MATCH($F344,Cluster_Master!$B$4:$B$18,0)),"")</f>
        <v/>
      </c>
      <c r="M344" s="8" t="str">
        <f>IFERROR(INDEX(Cluster_Master!$H$4:$H$18,MATCH($F344,Cluster_Master!$B$4:$B$18,0)),"")</f>
        <v/>
      </c>
      <c r="N344" s="12"/>
      <c r="O344" s="12"/>
      <c r="P344" s="12"/>
      <c r="Q344" s="12"/>
      <c r="R344" s="12"/>
      <c r="S344" s="12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8" t="str">
        <f t="shared" si="47"/>
        <v/>
      </c>
      <c r="AJ344" s="14" t="str">
        <f t="shared" si="48"/>
        <v/>
      </c>
      <c r="AK344" s="14" t="str">
        <f>IF(COUNTA(T344:AH344)=0,"",(SUM(T344*KPI_Weights!$B$4,U344*KPI_Weights!$B$5,V344*KPI_Weights!$B$6,W344*KPI_Weights!$B$7,X344*KPI_Weights!$B$8,Y344*KPI_Weights!$B$9,Z344*KPI_Weights!$B$10,AA344*KPI_Weights!$B$11,AB344*KPI_Weights!$B$12,AC344*KPI_Weights!$B$13,AD344*KPI_Weights!$B$14,AE344*KPI_Weights!$B$15,AF344*KPI_Weights!$B$16,AG344*KPI_Weights!$B$17,AH344*KPI_Weights!$B$18))/5)</f>
        <v/>
      </c>
      <c r="AL344" s="8" t="str">
        <f t="shared" si="49"/>
        <v/>
      </c>
      <c r="AM344" s="8" t="str">
        <f t="shared" si="50"/>
        <v/>
      </c>
      <c r="AN344" s="8" t="str">
        <f t="shared" si="51"/>
        <v/>
      </c>
      <c r="AO344" s="12"/>
      <c r="AP344" s="12"/>
      <c r="AQ344" s="12"/>
      <c r="AR344" s="12"/>
      <c r="AS344" s="12"/>
      <c r="AT344" s="15"/>
      <c r="AU344" s="12"/>
      <c r="AV344" s="16"/>
      <c r="AW344" s="12"/>
      <c r="AX344" s="15"/>
      <c r="AY344" s="15"/>
      <c r="AZ344" s="15"/>
      <c r="BA344" s="15"/>
      <c r="BB344" s="15"/>
      <c r="BC344" s="15"/>
      <c r="BD344" s="15"/>
      <c r="BE344" s="15"/>
      <c r="BF344" s="15"/>
    </row>
    <row r="345" spans="1:58" ht="19.5" customHeight="1" x14ac:dyDescent="0.2">
      <c r="A345" s="8" t="str">
        <f>IF($B345="","",TEXT($B345,"yyyymmdd")&amp;"-"&amp;SUBSTITUTE($F345," ","")&amp;"-"&amp;TEXT(COUNTIF($F$4:F345,$F345),"00"))</f>
        <v/>
      </c>
      <c r="B345" s="9"/>
      <c r="C345" s="8" t="str">
        <f t="shared" si="45"/>
        <v/>
      </c>
      <c r="D345" s="8" t="str">
        <f t="shared" si="46"/>
        <v/>
      </c>
      <c r="E345" s="10"/>
      <c r="F345" s="10"/>
      <c r="G345" s="8" t="str">
        <f>IF(OR($E345="",$F345=""),"",IFERROR(IF($E345=INDEX(Cluster_Master!$A$4:$A$18,MATCH($F345,Cluster_Master!$B$4:$B$18,0)),"OK","CHECK"),"CHECK"))</f>
        <v/>
      </c>
      <c r="H345" s="11" t="str">
        <f>IFERROR(INDEX(Cluster_Master!$C$4:$C$18,MATCH($F345,Cluster_Master!$B$4:$B$18,0)),"")</f>
        <v/>
      </c>
      <c r="I345" s="8" t="str">
        <f>IFERROR(INDEX(Cluster_Master!$D$4:$D$18,MATCH($F345,Cluster_Master!$B$4:$B$18,0)),"")</f>
        <v/>
      </c>
      <c r="J345" s="8" t="str">
        <f>IFERROR(INDEX(Cluster_Master!$E$4:$E$18,MATCH($F345,Cluster_Master!$B$4:$B$18,0)),"")</f>
        <v/>
      </c>
      <c r="K345" s="8" t="str">
        <f>IFERROR(INDEX(Cluster_Master!$F$4:$F$18,MATCH($F345,Cluster_Master!$B$4:$B$18,0)),"")</f>
        <v/>
      </c>
      <c r="L345" s="8" t="str">
        <f>IFERROR(INDEX(Cluster_Master!$G$4:$G$18,MATCH($F345,Cluster_Master!$B$4:$B$18,0)),"")</f>
        <v/>
      </c>
      <c r="M345" s="8" t="str">
        <f>IFERROR(INDEX(Cluster_Master!$H$4:$H$18,MATCH($F345,Cluster_Master!$B$4:$B$18,0)),"")</f>
        <v/>
      </c>
      <c r="N345" s="12"/>
      <c r="O345" s="12"/>
      <c r="P345" s="12"/>
      <c r="Q345" s="12"/>
      <c r="R345" s="12"/>
      <c r="S345" s="12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8" t="str">
        <f t="shared" si="47"/>
        <v/>
      </c>
      <c r="AJ345" s="14" t="str">
        <f t="shared" si="48"/>
        <v/>
      </c>
      <c r="AK345" s="14" t="str">
        <f>IF(COUNTA(T345:AH345)=0,"",(SUM(T345*KPI_Weights!$B$4,U345*KPI_Weights!$B$5,V345*KPI_Weights!$B$6,W345*KPI_Weights!$B$7,X345*KPI_Weights!$B$8,Y345*KPI_Weights!$B$9,Z345*KPI_Weights!$B$10,AA345*KPI_Weights!$B$11,AB345*KPI_Weights!$B$12,AC345*KPI_Weights!$B$13,AD345*KPI_Weights!$B$14,AE345*KPI_Weights!$B$15,AF345*KPI_Weights!$B$16,AG345*KPI_Weights!$B$17,AH345*KPI_Weights!$B$18))/5)</f>
        <v/>
      </c>
      <c r="AL345" s="8" t="str">
        <f t="shared" si="49"/>
        <v/>
      </c>
      <c r="AM345" s="8" t="str">
        <f t="shared" si="50"/>
        <v/>
      </c>
      <c r="AN345" s="8" t="str">
        <f t="shared" si="51"/>
        <v/>
      </c>
      <c r="AO345" s="12"/>
      <c r="AP345" s="12"/>
      <c r="AQ345" s="12"/>
      <c r="AR345" s="12"/>
      <c r="AS345" s="12"/>
      <c r="AT345" s="15"/>
      <c r="AU345" s="12"/>
      <c r="AV345" s="16"/>
      <c r="AW345" s="12"/>
      <c r="AX345" s="15"/>
      <c r="AY345" s="15"/>
      <c r="AZ345" s="15"/>
      <c r="BA345" s="15"/>
      <c r="BB345" s="15"/>
      <c r="BC345" s="15"/>
      <c r="BD345" s="15"/>
      <c r="BE345" s="15"/>
      <c r="BF345" s="15"/>
    </row>
    <row r="346" spans="1:58" ht="19.5" customHeight="1" x14ac:dyDescent="0.2">
      <c r="A346" s="8" t="str">
        <f>IF($B346="","",TEXT($B346,"yyyymmdd")&amp;"-"&amp;SUBSTITUTE($F346," ","")&amp;"-"&amp;TEXT(COUNTIF($F$4:F346,$F346),"00"))</f>
        <v/>
      </c>
      <c r="B346" s="9"/>
      <c r="C346" s="8" t="str">
        <f t="shared" si="45"/>
        <v/>
      </c>
      <c r="D346" s="8" t="str">
        <f t="shared" si="46"/>
        <v/>
      </c>
      <c r="E346" s="10"/>
      <c r="F346" s="10"/>
      <c r="G346" s="8" t="str">
        <f>IF(OR($E346="",$F346=""),"",IFERROR(IF($E346=INDEX(Cluster_Master!$A$4:$A$18,MATCH($F346,Cluster_Master!$B$4:$B$18,0)),"OK","CHECK"),"CHECK"))</f>
        <v/>
      </c>
      <c r="H346" s="11" t="str">
        <f>IFERROR(INDEX(Cluster_Master!$C$4:$C$18,MATCH($F346,Cluster_Master!$B$4:$B$18,0)),"")</f>
        <v/>
      </c>
      <c r="I346" s="8" t="str">
        <f>IFERROR(INDEX(Cluster_Master!$D$4:$D$18,MATCH($F346,Cluster_Master!$B$4:$B$18,0)),"")</f>
        <v/>
      </c>
      <c r="J346" s="8" t="str">
        <f>IFERROR(INDEX(Cluster_Master!$E$4:$E$18,MATCH($F346,Cluster_Master!$B$4:$B$18,0)),"")</f>
        <v/>
      </c>
      <c r="K346" s="8" t="str">
        <f>IFERROR(INDEX(Cluster_Master!$F$4:$F$18,MATCH($F346,Cluster_Master!$B$4:$B$18,0)),"")</f>
        <v/>
      </c>
      <c r="L346" s="8" t="str">
        <f>IFERROR(INDEX(Cluster_Master!$G$4:$G$18,MATCH($F346,Cluster_Master!$B$4:$B$18,0)),"")</f>
        <v/>
      </c>
      <c r="M346" s="8" t="str">
        <f>IFERROR(INDEX(Cluster_Master!$H$4:$H$18,MATCH($F346,Cluster_Master!$B$4:$B$18,0)),"")</f>
        <v/>
      </c>
      <c r="N346" s="12"/>
      <c r="O346" s="12"/>
      <c r="P346" s="12"/>
      <c r="Q346" s="12"/>
      <c r="R346" s="12"/>
      <c r="S346" s="12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8" t="str">
        <f t="shared" si="47"/>
        <v/>
      </c>
      <c r="AJ346" s="14" t="str">
        <f t="shared" si="48"/>
        <v/>
      </c>
      <c r="AK346" s="14" t="str">
        <f>IF(COUNTA(T346:AH346)=0,"",(SUM(T346*KPI_Weights!$B$4,U346*KPI_Weights!$B$5,V346*KPI_Weights!$B$6,W346*KPI_Weights!$B$7,X346*KPI_Weights!$B$8,Y346*KPI_Weights!$B$9,Z346*KPI_Weights!$B$10,AA346*KPI_Weights!$B$11,AB346*KPI_Weights!$B$12,AC346*KPI_Weights!$B$13,AD346*KPI_Weights!$B$14,AE346*KPI_Weights!$B$15,AF346*KPI_Weights!$B$16,AG346*KPI_Weights!$B$17,AH346*KPI_Weights!$B$18))/5)</f>
        <v/>
      </c>
      <c r="AL346" s="8" t="str">
        <f t="shared" si="49"/>
        <v/>
      </c>
      <c r="AM346" s="8" t="str">
        <f t="shared" si="50"/>
        <v/>
      </c>
      <c r="AN346" s="8" t="str">
        <f t="shared" si="51"/>
        <v/>
      </c>
      <c r="AO346" s="12"/>
      <c r="AP346" s="12"/>
      <c r="AQ346" s="12"/>
      <c r="AR346" s="12"/>
      <c r="AS346" s="12"/>
      <c r="AT346" s="15"/>
      <c r="AU346" s="12"/>
      <c r="AV346" s="16"/>
      <c r="AW346" s="12"/>
      <c r="AX346" s="15"/>
      <c r="AY346" s="15"/>
      <c r="AZ346" s="15"/>
      <c r="BA346" s="15"/>
      <c r="BB346" s="15"/>
      <c r="BC346" s="15"/>
      <c r="BD346" s="15"/>
      <c r="BE346" s="15"/>
      <c r="BF346" s="15"/>
    </row>
    <row r="347" spans="1:58" ht="19.5" customHeight="1" x14ac:dyDescent="0.2">
      <c r="A347" s="8" t="str">
        <f>IF($B347="","",TEXT($B347,"yyyymmdd")&amp;"-"&amp;SUBSTITUTE($F347," ","")&amp;"-"&amp;TEXT(COUNTIF($F$4:F347,$F347),"00"))</f>
        <v/>
      </c>
      <c r="B347" s="9"/>
      <c r="C347" s="8" t="str">
        <f t="shared" si="45"/>
        <v/>
      </c>
      <c r="D347" s="8" t="str">
        <f t="shared" si="46"/>
        <v/>
      </c>
      <c r="E347" s="10"/>
      <c r="F347" s="10"/>
      <c r="G347" s="8" t="str">
        <f>IF(OR($E347="",$F347=""),"",IFERROR(IF($E347=INDEX(Cluster_Master!$A$4:$A$18,MATCH($F347,Cluster_Master!$B$4:$B$18,0)),"OK","CHECK"),"CHECK"))</f>
        <v/>
      </c>
      <c r="H347" s="11" t="str">
        <f>IFERROR(INDEX(Cluster_Master!$C$4:$C$18,MATCH($F347,Cluster_Master!$B$4:$B$18,0)),"")</f>
        <v/>
      </c>
      <c r="I347" s="8" t="str">
        <f>IFERROR(INDEX(Cluster_Master!$D$4:$D$18,MATCH($F347,Cluster_Master!$B$4:$B$18,0)),"")</f>
        <v/>
      </c>
      <c r="J347" s="8" t="str">
        <f>IFERROR(INDEX(Cluster_Master!$E$4:$E$18,MATCH($F347,Cluster_Master!$B$4:$B$18,0)),"")</f>
        <v/>
      </c>
      <c r="K347" s="8" t="str">
        <f>IFERROR(INDEX(Cluster_Master!$F$4:$F$18,MATCH($F347,Cluster_Master!$B$4:$B$18,0)),"")</f>
        <v/>
      </c>
      <c r="L347" s="8" t="str">
        <f>IFERROR(INDEX(Cluster_Master!$G$4:$G$18,MATCH($F347,Cluster_Master!$B$4:$B$18,0)),"")</f>
        <v/>
      </c>
      <c r="M347" s="8" t="str">
        <f>IFERROR(INDEX(Cluster_Master!$H$4:$H$18,MATCH($F347,Cluster_Master!$B$4:$B$18,0)),"")</f>
        <v/>
      </c>
      <c r="N347" s="12"/>
      <c r="O347" s="12"/>
      <c r="P347" s="12"/>
      <c r="Q347" s="12"/>
      <c r="R347" s="12"/>
      <c r="S347" s="12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8" t="str">
        <f t="shared" si="47"/>
        <v/>
      </c>
      <c r="AJ347" s="14" t="str">
        <f t="shared" si="48"/>
        <v/>
      </c>
      <c r="AK347" s="14" t="str">
        <f>IF(COUNTA(T347:AH347)=0,"",(SUM(T347*KPI_Weights!$B$4,U347*KPI_Weights!$B$5,V347*KPI_Weights!$B$6,W347*KPI_Weights!$B$7,X347*KPI_Weights!$B$8,Y347*KPI_Weights!$B$9,Z347*KPI_Weights!$B$10,AA347*KPI_Weights!$B$11,AB347*KPI_Weights!$B$12,AC347*KPI_Weights!$B$13,AD347*KPI_Weights!$B$14,AE347*KPI_Weights!$B$15,AF347*KPI_Weights!$B$16,AG347*KPI_Weights!$B$17,AH347*KPI_Weights!$B$18))/5)</f>
        <v/>
      </c>
      <c r="AL347" s="8" t="str">
        <f t="shared" si="49"/>
        <v/>
      </c>
      <c r="AM347" s="8" t="str">
        <f t="shared" si="50"/>
        <v/>
      </c>
      <c r="AN347" s="8" t="str">
        <f t="shared" si="51"/>
        <v/>
      </c>
      <c r="AO347" s="12"/>
      <c r="AP347" s="12"/>
      <c r="AQ347" s="12"/>
      <c r="AR347" s="12"/>
      <c r="AS347" s="12"/>
      <c r="AT347" s="15"/>
      <c r="AU347" s="12"/>
      <c r="AV347" s="16"/>
      <c r="AW347" s="12"/>
      <c r="AX347" s="15"/>
      <c r="AY347" s="15"/>
      <c r="AZ347" s="15"/>
      <c r="BA347" s="15"/>
      <c r="BB347" s="15"/>
      <c r="BC347" s="15"/>
      <c r="BD347" s="15"/>
      <c r="BE347" s="15"/>
      <c r="BF347" s="15"/>
    </row>
    <row r="348" spans="1:58" ht="19.5" customHeight="1" x14ac:dyDescent="0.2">
      <c r="A348" s="8" t="str">
        <f>IF($B348="","",TEXT($B348,"yyyymmdd")&amp;"-"&amp;SUBSTITUTE($F348," ","")&amp;"-"&amp;TEXT(COUNTIF($F$4:F348,$F348),"00"))</f>
        <v/>
      </c>
      <c r="B348" s="9"/>
      <c r="C348" s="8" t="str">
        <f t="shared" si="45"/>
        <v/>
      </c>
      <c r="D348" s="8" t="str">
        <f t="shared" si="46"/>
        <v/>
      </c>
      <c r="E348" s="10"/>
      <c r="F348" s="10"/>
      <c r="G348" s="8" t="str">
        <f>IF(OR($E348="",$F348=""),"",IFERROR(IF($E348=INDEX(Cluster_Master!$A$4:$A$18,MATCH($F348,Cluster_Master!$B$4:$B$18,0)),"OK","CHECK"),"CHECK"))</f>
        <v/>
      </c>
      <c r="H348" s="11" t="str">
        <f>IFERROR(INDEX(Cluster_Master!$C$4:$C$18,MATCH($F348,Cluster_Master!$B$4:$B$18,0)),"")</f>
        <v/>
      </c>
      <c r="I348" s="8" t="str">
        <f>IFERROR(INDEX(Cluster_Master!$D$4:$D$18,MATCH($F348,Cluster_Master!$B$4:$B$18,0)),"")</f>
        <v/>
      </c>
      <c r="J348" s="8" t="str">
        <f>IFERROR(INDEX(Cluster_Master!$E$4:$E$18,MATCH($F348,Cluster_Master!$B$4:$B$18,0)),"")</f>
        <v/>
      </c>
      <c r="K348" s="8" t="str">
        <f>IFERROR(INDEX(Cluster_Master!$F$4:$F$18,MATCH($F348,Cluster_Master!$B$4:$B$18,0)),"")</f>
        <v/>
      </c>
      <c r="L348" s="8" t="str">
        <f>IFERROR(INDEX(Cluster_Master!$G$4:$G$18,MATCH($F348,Cluster_Master!$B$4:$B$18,0)),"")</f>
        <v/>
      </c>
      <c r="M348" s="8" t="str">
        <f>IFERROR(INDEX(Cluster_Master!$H$4:$H$18,MATCH($F348,Cluster_Master!$B$4:$B$18,0)),"")</f>
        <v/>
      </c>
      <c r="N348" s="12"/>
      <c r="O348" s="12"/>
      <c r="P348" s="12"/>
      <c r="Q348" s="12"/>
      <c r="R348" s="12"/>
      <c r="S348" s="12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8" t="str">
        <f t="shared" si="47"/>
        <v/>
      </c>
      <c r="AJ348" s="14" t="str">
        <f t="shared" si="48"/>
        <v/>
      </c>
      <c r="AK348" s="14" t="str">
        <f>IF(COUNTA(T348:AH348)=0,"",(SUM(T348*KPI_Weights!$B$4,U348*KPI_Weights!$B$5,V348*KPI_Weights!$B$6,W348*KPI_Weights!$B$7,X348*KPI_Weights!$B$8,Y348*KPI_Weights!$B$9,Z348*KPI_Weights!$B$10,AA348*KPI_Weights!$B$11,AB348*KPI_Weights!$B$12,AC348*KPI_Weights!$B$13,AD348*KPI_Weights!$B$14,AE348*KPI_Weights!$B$15,AF348*KPI_Weights!$B$16,AG348*KPI_Weights!$B$17,AH348*KPI_Weights!$B$18))/5)</f>
        <v/>
      </c>
      <c r="AL348" s="8" t="str">
        <f t="shared" si="49"/>
        <v/>
      </c>
      <c r="AM348" s="8" t="str">
        <f t="shared" si="50"/>
        <v/>
      </c>
      <c r="AN348" s="8" t="str">
        <f t="shared" si="51"/>
        <v/>
      </c>
      <c r="AO348" s="12"/>
      <c r="AP348" s="12"/>
      <c r="AQ348" s="12"/>
      <c r="AR348" s="12"/>
      <c r="AS348" s="12"/>
      <c r="AT348" s="15"/>
      <c r="AU348" s="12"/>
      <c r="AV348" s="16"/>
      <c r="AW348" s="12"/>
      <c r="AX348" s="15"/>
      <c r="AY348" s="15"/>
      <c r="AZ348" s="15"/>
      <c r="BA348" s="15"/>
      <c r="BB348" s="15"/>
      <c r="BC348" s="15"/>
      <c r="BD348" s="15"/>
      <c r="BE348" s="15"/>
      <c r="BF348" s="15"/>
    </row>
    <row r="349" spans="1:58" ht="19.5" customHeight="1" x14ac:dyDescent="0.2">
      <c r="A349" s="8" t="str">
        <f>IF($B349="","",TEXT($B349,"yyyymmdd")&amp;"-"&amp;SUBSTITUTE($F349," ","")&amp;"-"&amp;TEXT(COUNTIF($F$4:F349,$F349),"00"))</f>
        <v/>
      </c>
      <c r="B349" s="9"/>
      <c r="C349" s="8" t="str">
        <f t="shared" si="45"/>
        <v/>
      </c>
      <c r="D349" s="8" t="str">
        <f t="shared" si="46"/>
        <v/>
      </c>
      <c r="E349" s="10"/>
      <c r="F349" s="10"/>
      <c r="G349" s="8" t="str">
        <f>IF(OR($E349="",$F349=""),"",IFERROR(IF($E349=INDEX(Cluster_Master!$A$4:$A$18,MATCH($F349,Cluster_Master!$B$4:$B$18,0)),"OK","CHECK"),"CHECK"))</f>
        <v/>
      </c>
      <c r="H349" s="11" t="str">
        <f>IFERROR(INDEX(Cluster_Master!$C$4:$C$18,MATCH($F349,Cluster_Master!$B$4:$B$18,0)),"")</f>
        <v/>
      </c>
      <c r="I349" s="8" t="str">
        <f>IFERROR(INDEX(Cluster_Master!$D$4:$D$18,MATCH($F349,Cluster_Master!$B$4:$B$18,0)),"")</f>
        <v/>
      </c>
      <c r="J349" s="8" t="str">
        <f>IFERROR(INDEX(Cluster_Master!$E$4:$E$18,MATCH($F349,Cluster_Master!$B$4:$B$18,0)),"")</f>
        <v/>
      </c>
      <c r="K349" s="8" t="str">
        <f>IFERROR(INDEX(Cluster_Master!$F$4:$F$18,MATCH($F349,Cluster_Master!$B$4:$B$18,0)),"")</f>
        <v/>
      </c>
      <c r="L349" s="8" t="str">
        <f>IFERROR(INDEX(Cluster_Master!$G$4:$G$18,MATCH($F349,Cluster_Master!$B$4:$B$18,0)),"")</f>
        <v/>
      </c>
      <c r="M349" s="8" t="str">
        <f>IFERROR(INDEX(Cluster_Master!$H$4:$H$18,MATCH($F349,Cluster_Master!$B$4:$B$18,0)),"")</f>
        <v/>
      </c>
      <c r="N349" s="12"/>
      <c r="O349" s="12"/>
      <c r="P349" s="12"/>
      <c r="Q349" s="12"/>
      <c r="R349" s="12"/>
      <c r="S349" s="12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8" t="str">
        <f t="shared" si="47"/>
        <v/>
      </c>
      <c r="AJ349" s="14" t="str">
        <f t="shared" si="48"/>
        <v/>
      </c>
      <c r="AK349" s="14" t="str">
        <f>IF(COUNTA(T349:AH349)=0,"",(SUM(T349*KPI_Weights!$B$4,U349*KPI_Weights!$B$5,V349*KPI_Weights!$B$6,W349*KPI_Weights!$B$7,X349*KPI_Weights!$B$8,Y349*KPI_Weights!$B$9,Z349*KPI_Weights!$B$10,AA349*KPI_Weights!$B$11,AB349*KPI_Weights!$B$12,AC349*KPI_Weights!$B$13,AD349*KPI_Weights!$B$14,AE349*KPI_Weights!$B$15,AF349*KPI_Weights!$B$16,AG349*KPI_Weights!$B$17,AH349*KPI_Weights!$B$18))/5)</f>
        <v/>
      </c>
      <c r="AL349" s="8" t="str">
        <f t="shared" si="49"/>
        <v/>
      </c>
      <c r="AM349" s="8" t="str">
        <f t="shared" si="50"/>
        <v/>
      </c>
      <c r="AN349" s="8" t="str">
        <f t="shared" si="51"/>
        <v/>
      </c>
      <c r="AO349" s="12"/>
      <c r="AP349" s="12"/>
      <c r="AQ349" s="12"/>
      <c r="AR349" s="12"/>
      <c r="AS349" s="12"/>
      <c r="AT349" s="15"/>
      <c r="AU349" s="12"/>
      <c r="AV349" s="16"/>
      <c r="AW349" s="12"/>
      <c r="AX349" s="15"/>
      <c r="AY349" s="15"/>
      <c r="AZ349" s="15"/>
      <c r="BA349" s="15"/>
      <c r="BB349" s="15"/>
      <c r="BC349" s="15"/>
      <c r="BD349" s="15"/>
      <c r="BE349" s="15"/>
      <c r="BF349" s="15"/>
    </row>
    <row r="350" spans="1:58" ht="19.5" customHeight="1" x14ac:dyDescent="0.2">
      <c r="A350" s="8" t="str">
        <f>IF($B350="","",TEXT($B350,"yyyymmdd")&amp;"-"&amp;SUBSTITUTE($F350," ","")&amp;"-"&amp;TEXT(COUNTIF($F$4:F350,$F350),"00"))</f>
        <v/>
      </c>
      <c r="B350" s="9"/>
      <c r="C350" s="8" t="str">
        <f t="shared" si="45"/>
        <v/>
      </c>
      <c r="D350" s="8" t="str">
        <f t="shared" si="46"/>
        <v/>
      </c>
      <c r="E350" s="10"/>
      <c r="F350" s="10"/>
      <c r="G350" s="8" t="str">
        <f>IF(OR($E350="",$F350=""),"",IFERROR(IF($E350=INDEX(Cluster_Master!$A$4:$A$18,MATCH($F350,Cluster_Master!$B$4:$B$18,0)),"OK","CHECK"),"CHECK"))</f>
        <v/>
      </c>
      <c r="H350" s="11" t="str">
        <f>IFERROR(INDEX(Cluster_Master!$C$4:$C$18,MATCH($F350,Cluster_Master!$B$4:$B$18,0)),"")</f>
        <v/>
      </c>
      <c r="I350" s="8" t="str">
        <f>IFERROR(INDEX(Cluster_Master!$D$4:$D$18,MATCH($F350,Cluster_Master!$B$4:$B$18,0)),"")</f>
        <v/>
      </c>
      <c r="J350" s="8" t="str">
        <f>IFERROR(INDEX(Cluster_Master!$E$4:$E$18,MATCH($F350,Cluster_Master!$B$4:$B$18,0)),"")</f>
        <v/>
      </c>
      <c r="K350" s="8" t="str">
        <f>IFERROR(INDEX(Cluster_Master!$F$4:$F$18,MATCH($F350,Cluster_Master!$B$4:$B$18,0)),"")</f>
        <v/>
      </c>
      <c r="L350" s="8" t="str">
        <f>IFERROR(INDEX(Cluster_Master!$G$4:$G$18,MATCH($F350,Cluster_Master!$B$4:$B$18,0)),"")</f>
        <v/>
      </c>
      <c r="M350" s="8" t="str">
        <f>IFERROR(INDEX(Cluster_Master!$H$4:$H$18,MATCH($F350,Cluster_Master!$B$4:$B$18,0)),"")</f>
        <v/>
      </c>
      <c r="N350" s="12"/>
      <c r="O350" s="12"/>
      <c r="P350" s="12"/>
      <c r="Q350" s="12"/>
      <c r="R350" s="12"/>
      <c r="S350" s="1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8" t="str">
        <f t="shared" si="47"/>
        <v/>
      </c>
      <c r="AJ350" s="14" t="str">
        <f t="shared" si="48"/>
        <v/>
      </c>
      <c r="AK350" s="14" t="str">
        <f>IF(COUNTA(T350:AH350)=0,"",(SUM(T350*KPI_Weights!$B$4,U350*KPI_Weights!$B$5,V350*KPI_Weights!$B$6,W350*KPI_Weights!$B$7,X350*KPI_Weights!$B$8,Y350*KPI_Weights!$B$9,Z350*KPI_Weights!$B$10,AA350*KPI_Weights!$B$11,AB350*KPI_Weights!$B$12,AC350*KPI_Weights!$B$13,AD350*KPI_Weights!$B$14,AE350*KPI_Weights!$B$15,AF350*KPI_Weights!$B$16,AG350*KPI_Weights!$B$17,AH350*KPI_Weights!$B$18))/5)</f>
        <v/>
      </c>
      <c r="AL350" s="8" t="str">
        <f t="shared" si="49"/>
        <v/>
      </c>
      <c r="AM350" s="8" t="str">
        <f t="shared" si="50"/>
        <v/>
      </c>
      <c r="AN350" s="8" t="str">
        <f t="shared" si="51"/>
        <v/>
      </c>
      <c r="AO350" s="12"/>
      <c r="AP350" s="12"/>
      <c r="AQ350" s="12"/>
      <c r="AR350" s="12"/>
      <c r="AS350" s="12"/>
      <c r="AT350" s="15"/>
      <c r="AU350" s="12"/>
      <c r="AV350" s="16"/>
      <c r="AW350" s="12"/>
      <c r="AX350" s="15"/>
      <c r="AY350" s="15"/>
      <c r="AZ350" s="15"/>
      <c r="BA350" s="15"/>
      <c r="BB350" s="15"/>
      <c r="BC350" s="15"/>
      <c r="BD350" s="15"/>
      <c r="BE350" s="15"/>
      <c r="BF350" s="15"/>
    </row>
    <row r="351" spans="1:58" ht="19.5" customHeight="1" x14ac:dyDescent="0.2">
      <c r="A351" s="8" t="str">
        <f>IF($B351="","",TEXT($B351,"yyyymmdd")&amp;"-"&amp;SUBSTITUTE($F351," ","")&amp;"-"&amp;TEXT(COUNTIF($F$4:F351,$F351),"00"))</f>
        <v/>
      </c>
      <c r="B351" s="9"/>
      <c r="C351" s="8" t="str">
        <f t="shared" si="45"/>
        <v/>
      </c>
      <c r="D351" s="8" t="str">
        <f t="shared" si="46"/>
        <v/>
      </c>
      <c r="E351" s="10"/>
      <c r="F351" s="10"/>
      <c r="G351" s="8" t="str">
        <f>IF(OR($E351="",$F351=""),"",IFERROR(IF($E351=INDEX(Cluster_Master!$A$4:$A$18,MATCH($F351,Cluster_Master!$B$4:$B$18,0)),"OK","CHECK"),"CHECK"))</f>
        <v/>
      </c>
      <c r="H351" s="11" t="str">
        <f>IFERROR(INDEX(Cluster_Master!$C$4:$C$18,MATCH($F351,Cluster_Master!$B$4:$B$18,0)),"")</f>
        <v/>
      </c>
      <c r="I351" s="8" t="str">
        <f>IFERROR(INDEX(Cluster_Master!$D$4:$D$18,MATCH($F351,Cluster_Master!$B$4:$B$18,0)),"")</f>
        <v/>
      </c>
      <c r="J351" s="8" t="str">
        <f>IFERROR(INDEX(Cluster_Master!$E$4:$E$18,MATCH($F351,Cluster_Master!$B$4:$B$18,0)),"")</f>
        <v/>
      </c>
      <c r="K351" s="8" t="str">
        <f>IFERROR(INDEX(Cluster_Master!$F$4:$F$18,MATCH($F351,Cluster_Master!$B$4:$B$18,0)),"")</f>
        <v/>
      </c>
      <c r="L351" s="8" t="str">
        <f>IFERROR(INDEX(Cluster_Master!$G$4:$G$18,MATCH($F351,Cluster_Master!$B$4:$B$18,0)),"")</f>
        <v/>
      </c>
      <c r="M351" s="8" t="str">
        <f>IFERROR(INDEX(Cluster_Master!$H$4:$H$18,MATCH($F351,Cluster_Master!$B$4:$B$18,0)),"")</f>
        <v/>
      </c>
      <c r="N351" s="12"/>
      <c r="O351" s="12"/>
      <c r="P351" s="12"/>
      <c r="Q351" s="12"/>
      <c r="R351" s="12"/>
      <c r="S351" s="12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8" t="str">
        <f t="shared" si="47"/>
        <v/>
      </c>
      <c r="AJ351" s="14" t="str">
        <f t="shared" si="48"/>
        <v/>
      </c>
      <c r="AK351" s="14" t="str">
        <f>IF(COUNTA(T351:AH351)=0,"",(SUM(T351*KPI_Weights!$B$4,U351*KPI_Weights!$B$5,V351*KPI_Weights!$B$6,W351*KPI_Weights!$B$7,X351*KPI_Weights!$B$8,Y351*KPI_Weights!$B$9,Z351*KPI_Weights!$B$10,AA351*KPI_Weights!$B$11,AB351*KPI_Weights!$B$12,AC351*KPI_Weights!$B$13,AD351*KPI_Weights!$B$14,AE351*KPI_Weights!$B$15,AF351*KPI_Weights!$B$16,AG351*KPI_Weights!$B$17,AH351*KPI_Weights!$B$18))/5)</f>
        <v/>
      </c>
      <c r="AL351" s="8" t="str">
        <f t="shared" si="49"/>
        <v/>
      </c>
      <c r="AM351" s="8" t="str">
        <f t="shared" si="50"/>
        <v/>
      </c>
      <c r="AN351" s="8" t="str">
        <f t="shared" si="51"/>
        <v/>
      </c>
      <c r="AO351" s="12"/>
      <c r="AP351" s="12"/>
      <c r="AQ351" s="12"/>
      <c r="AR351" s="12"/>
      <c r="AS351" s="12"/>
      <c r="AT351" s="15"/>
      <c r="AU351" s="12"/>
      <c r="AV351" s="16"/>
      <c r="AW351" s="12"/>
      <c r="AX351" s="15"/>
      <c r="AY351" s="15"/>
      <c r="AZ351" s="15"/>
      <c r="BA351" s="15"/>
      <c r="BB351" s="15"/>
      <c r="BC351" s="15"/>
      <c r="BD351" s="15"/>
      <c r="BE351" s="15"/>
      <c r="BF351" s="15"/>
    </row>
    <row r="352" spans="1:58" ht="19.5" customHeight="1" x14ac:dyDescent="0.2">
      <c r="A352" s="8" t="str">
        <f>IF($B352="","",TEXT($B352,"yyyymmdd")&amp;"-"&amp;SUBSTITUTE($F352," ","")&amp;"-"&amp;TEXT(COUNTIF($F$4:F352,$F352),"00"))</f>
        <v/>
      </c>
      <c r="B352" s="9"/>
      <c r="C352" s="8" t="str">
        <f t="shared" si="45"/>
        <v/>
      </c>
      <c r="D352" s="8" t="str">
        <f t="shared" si="46"/>
        <v/>
      </c>
      <c r="E352" s="10"/>
      <c r="F352" s="10"/>
      <c r="G352" s="8" t="str">
        <f>IF(OR($E352="",$F352=""),"",IFERROR(IF($E352=INDEX(Cluster_Master!$A$4:$A$18,MATCH($F352,Cluster_Master!$B$4:$B$18,0)),"OK","CHECK"),"CHECK"))</f>
        <v/>
      </c>
      <c r="H352" s="11" t="str">
        <f>IFERROR(INDEX(Cluster_Master!$C$4:$C$18,MATCH($F352,Cluster_Master!$B$4:$B$18,0)),"")</f>
        <v/>
      </c>
      <c r="I352" s="8" t="str">
        <f>IFERROR(INDEX(Cluster_Master!$D$4:$D$18,MATCH($F352,Cluster_Master!$B$4:$B$18,0)),"")</f>
        <v/>
      </c>
      <c r="J352" s="8" t="str">
        <f>IFERROR(INDEX(Cluster_Master!$E$4:$E$18,MATCH($F352,Cluster_Master!$B$4:$B$18,0)),"")</f>
        <v/>
      </c>
      <c r="K352" s="8" t="str">
        <f>IFERROR(INDEX(Cluster_Master!$F$4:$F$18,MATCH($F352,Cluster_Master!$B$4:$B$18,0)),"")</f>
        <v/>
      </c>
      <c r="L352" s="8" t="str">
        <f>IFERROR(INDEX(Cluster_Master!$G$4:$G$18,MATCH($F352,Cluster_Master!$B$4:$B$18,0)),"")</f>
        <v/>
      </c>
      <c r="M352" s="8" t="str">
        <f>IFERROR(INDEX(Cluster_Master!$H$4:$H$18,MATCH($F352,Cluster_Master!$B$4:$B$18,0)),"")</f>
        <v/>
      </c>
      <c r="N352" s="12"/>
      <c r="O352" s="12"/>
      <c r="P352" s="12"/>
      <c r="Q352" s="12"/>
      <c r="R352" s="12"/>
      <c r="S352" s="12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8" t="str">
        <f t="shared" si="47"/>
        <v/>
      </c>
      <c r="AJ352" s="14" t="str">
        <f t="shared" si="48"/>
        <v/>
      </c>
      <c r="AK352" s="14" t="str">
        <f>IF(COUNTA(T352:AH352)=0,"",(SUM(T352*KPI_Weights!$B$4,U352*KPI_Weights!$B$5,V352*KPI_Weights!$B$6,W352*KPI_Weights!$B$7,X352*KPI_Weights!$B$8,Y352*KPI_Weights!$B$9,Z352*KPI_Weights!$B$10,AA352*KPI_Weights!$B$11,AB352*KPI_Weights!$B$12,AC352*KPI_Weights!$B$13,AD352*KPI_Weights!$B$14,AE352*KPI_Weights!$B$15,AF352*KPI_Weights!$B$16,AG352*KPI_Weights!$B$17,AH352*KPI_Weights!$B$18))/5)</f>
        <v/>
      </c>
      <c r="AL352" s="8" t="str">
        <f t="shared" si="49"/>
        <v/>
      </c>
      <c r="AM352" s="8" t="str">
        <f t="shared" si="50"/>
        <v/>
      </c>
      <c r="AN352" s="8" t="str">
        <f t="shared" si="51"/>
        <v/>
      </c>
      <c r="AO352" s="12"/>
      <c r="AP352" s="12"/>
      <c r="AQ352" s="12"/>
      <c r="AR352" s="12"/>
      <c r="AS352" s="12"/>
      <c r="AT352" s="15"/>
      <c r="AU352" s="12"/>
      <c r="AV352" s="16"/>
      <c r="AW352" s="12"/>
      <c r="AX352" s="15"/>
      <c r="AY352" s="15"/>
      <c r="AZ352" s="15"/>
      <c r="BA352" s="15"/>
      <c r="BB352" s="15"/>
      <c r="BC352" s="15"/>
      <c r="BD352" s="15"/>
      <c r="BE352" s="15"/>
      <c r="BF352" s="15"/>
    </row>
    <row r="353" spans="1:58" ht="19.5" customHeight="1" x14ac:dyDescent="0.2">
      <c r="A353" s="8" t="str">
        <f>IF($B353="","",TEXT($B353,"yyyymmdd")&amp;"-"&amp;SUBSTITUTE($F353," ","")&amp;"-"&amp;TEXT(COUNTIF($F$4:F353,$F353),"00"))</f>
        <v/>
      </c>
      <c r="B353" s="9"/>
      <c r="C353" s="8" t="str">
        <f t="shared" si="45"/>
        <v/>
      </c>
      <c r="D353" s="8" t="str">
        <f t="shared" si="46"/>
        <v/>
      </c>
      <c r="E353" s="10"/>
      <c r="F353" s="10"/>
      <c r="G353" s="8" t="str">
        <f>IF(OR($E353="",$F353=""),"",IFERROR(IF($E353=INDEX(Cluster_Master!$A$4:$A$18,MATCH($F353,Cluster_Master!$B$4:$B$18,0)),"OK","CHECK"),"CHECK"))</f>
        <v/>
      </c>
      <c r="H353" s="11" t="str">
        <f>IFERROR(INDEX(Cluster_Master!$C$4:$C$18,MATCH($F353,Cluster_Master!$B$4:$B$18,0)),"")</f>
        <v/>
      </c>
      <c r="I353" s="8" t="str">
        <f>IFERROR(INDEX(Cluster_Master!$D$4:$D$18,MATCH($F353,Cluster_Master!$B$4:$B$18,0)),"")</f>
        <v/>
      </c>
      <c r="J353" s="8" t="str">
        <f>IFERROR(INDEX(Cluster_Master!$E$4:$E$18,MATCH($F353,Cluster_Master!$B$4:$B$18,0)),"")</f>
        <v/>
      </c>
      <c r="K353" s="8" t="str">
        <f>IFERROR(INDEX(Cluster_Master!$F$4:$F$18,MATCH($F353,Cluster_Master!$B$4:$B$18,0)),"")</f>
        <v/>
      </c>
      <c r="L353" s="8" t="str">
        <f>IFERROR(INDEX(Cluster_Master!$G$4:$G$18,MATCH($F353,Cluster_Master!$B$4:$B$18,0)),"")</f>
        <v/>
      </c>
      <c r="M353" s="8" t="str">
        <f>IFERROR(INDEX(Cluster_Master!$H$4:$H$18,MATCH($F353,Cluster_Master!$B$4:$B$18,0)),"")</f>
        <v/>
      </c>
      <c r="N353" s="12"/>
      <c r="O353" s="12"/>
      <c r="P353" s="12"/>
      <c r="Q353" s="12"/>
      <c r="R353" s="12"/>
      <c r="S353" s="12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8" t="str">
        <f t="shared" si="47"/>
        <v/>
      </c>
      <c r="AJ353" s="14" t="str">
        <f t="shared" si="48"/>
        <v/>
      </c>
      <c r="AK353" s="14" t="str">
        <f>IF(COUNTA(T353:AH353)=0,"",(SUM(T353*KPI_Weights!$B$4,U353*KPI_Weights!$B$5,V353*KPI_Weights!$B$6,W353*KPI_Weights!$B$7,X353*KPI_Weights!$B$8,Y353*KPI_Weights!$B$9,Z353*KPI_Weights!$B$10,AA353*KPI_Weights!$B$11,AB353*KPI_Weights!$B$12,AC353*KPI_Weights!$B$13,AD353*KPI_Weights!$B$14,AE353*KPI_Weights!$B$15,AF353*KPI_Weights!$B$16,AG353*KPI_Weights!$B$17,AH353*KPI_Weights!$B$18))/5)</f>
        <v/>
      </c>
      <c r="AL353" s="8" t="str">
        <f t="shared" si="49"/>
        <v/>
      </c>
      <c r="AM353" s="8" t="str">
        <f t="shared" si="50"/>
        <v/>
      </c>
      <c r="AN353" s="8" t="str">
        <f t="shared" si="51"/>
        <v/>
      </c>
      <c r="AO353" s="12"/>
      <c r="AP353" s="12"/>
      <c r="AQ353" s="12"/>
      <c r="AR353" s="12"/>
      <c r="AS353" s="12"/>
      <c r="AT353" s="15"/>
      <c r="AU353" s="12"/>
      <c r="AV353" s="16"/>
      <c r="AW353" s="12"/>
      <c r="AX353" s="15"/>
      <c r="AY353" s="15"/>
      <c r="AZ353" s="15"/>
      <c r="BA353" s="15"/>
      <c r="BB353" s="15"/>
      <c r="BC353" s="15"/>
      <c r="BD353" s="15"/>
      <c r="BE353" s="15"/>
      <c r="BF353" s="15"/>
    </row>
    <row r="354" spans="1:58" ht="19.5" customHeight="1" x14ac:dyDescent="0.2">
      <c r="A354" s="8" t="str">
        <f>IF($B354="","",TEXT($B354,"yyyymmdd")&amp;"-"&amp;SUBSTITUTE($F354," ","")&amp;"-"&amp;TEXT(COUNTIF($F$4:F354,$F354),"00"))</f>
        <v/>
      </c>
      <c r="B354" s="9"/>
      <c r="C354" s="8" t="str">
        <f t="shared" si="45"/>
        <v/>
      </c>
      <c r="D354" s="8" t="str">
        <f t="shared" si="46"/>
        <v/>
      </c>
      <c r="E354" s="10"/>
      <c r="F354" s="10"/>
      <c r="G354" s="8" t="str">
        <f>IF(OR($E354="",$F354=""),"",IFERROR(IF($E354=INDEX(Cluster_Master!$A$4:$A$18,MATCH($F354,Cluster_Master!$B$4:$B$18,0)),"OK","CHECK"),"CHECK"))</f>
        <v/>
      </c>
      <c r="H354" s="11" t="str">
        <f>IFERROR(INDEX(Cluster_Master!$C$4:$C$18,MATCH($F354,Cluster_Master!$B$4:$B$18,0)),"")</f>
        <v/>
      </c>
      <c r="I354" s="8" t="str">
        <f>IFERROR(INDEX(Cluster_Master!$D$4:$D$18,MATCH($F354,Cluster_Master!$B$4:$B$18,0)),"")</f>
        <v/>
      </c>
      <c r="J354" s="8" t="str">
        <f>IFERROR(INDEX(Cluster_Master!$E$4:$E$18,MATCH($F354,Cluster_Master!$B$4:$B$18,0)),"")</f>
        <v/>
      </c>
      <c r="K354" s="8" t="str">
        <f>IFERROR(INDEX(Cluster_Master!$F$4:$F$18,MATCH($F354,Cluster_Master!$B$4:$B$18,0)),"")</f>
        <v/>
      </c>
      <c r="L354" s="8" t="str">
        <f>IFERROR(INDEX(Cluster_Master!$G$4:$G$18,MATCH($F354,Cluster_Master!$B$4:$B$18,0)),"")</f>
        <v/>
      </c>
      <c r="M354" s="8" t="str">
        <f>IFERROR(INDEX(Cluster_Master!$H$4:$H$18,MATCH($F354,Cluster_Master!$B$4:$B$18,0)),"")</f>
        <v/>
      </c>
      <c r="N354" s="12"/>
      <c r="O354" s="12"/>
      <c r="P354" s="12"/>
      <c r="Q354" s="12"/>
      <c r="R354" s="12"/>
      <c r="S354" s="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8" t="str">
        <f t="shared" si="47"/>
        <v/>
      </c>
      <c r="AJ354" s="14" t="str">
        <f t="shared" si="48"/>
        <v/>
      </c>
      <c r="AK354" s="14" t="str">
        <f>IF(COUNTA(T354:AH354)=0,"",(SUM(T354*KPI_Weights!$B$4,U354*KPI_Weights!$B$5,V354*KPI_Weights!$B$6,W354*KPI_Weights!$B$7,X354*KPI_Weights!$B$8,Y354*KPI_Weights!$B$9,Z354*KPI_Weights!$B$10,AA354*KPI_Weights!$B$11,AB354*KPI_Weights!$B$12,AC354*KPI_Weights!$B$13,AD354*KPI_Weights!$B$14,AE354*KPI_Weights!$B$15,AF354*KPI_Weights!$B$16,AG354*KPI_Weights!$B$17,AH354*KPI_Weights!$B$18))/5)</f>
        <v/>
      </c>
      <c r="AL354" s="8" t="str">
        <f t="shared" si="49"/>
        <v/>
      </c>
      <c r="AM354" s="8" t="str">
        <f t="shared" si="50"/>
        <v/>
      </c>
      <c r="AN354" s="8" t="str">
        <f t="shared" si="51"/>
        <v/>
      </c>
      <c r="AO354" s="12"/>
      <c r="AP354" s="12"/>
      <c r="AQ354" s="12"/>
      <c r="AR354" s="12"/>
      <c r="AS354" s="12"/>
      <c r="AT354" s="15"/>
      <c r="AU354" s="12"/>
      <c r="AV354" s="16"/>
      <c r="AW354" s="12"/>
      <c r="AX354" s="15"/>
      <c r="AY354" s="15"/>
      <c r="AZ354" s="15"/>
      <c r="BA354" s="15"/>
      <c r="BB354" s="15"/>
      <c r="BC354" s="15"/>
      <c r="BD354" s="15"/>
      <c r="BE354" s="15"/>
      <c r="BF354" s="15"/>
    </row>
    <row r="355" spans="1:58" ht="19.5" customHeight="1" x14ac:dyDescent="0.2">
      <c r="A355" s="8" t="str">
        <f>IF($B355="","",TEXT($B355,"yyyymmdd")&amp;"-"&amp;SUBSTITUTE($F355," ","")&amp;"-"&amp;TEXT(COUNTIF($F$4:F355,$F355),"00"))</f>
        <v/>
      </c>
      <c r="B355" s="9"/>
      <c r="C355" s="8" t="str">
        <f t="shared" si="45"/>
        <v/>
      </c>
      <c r="D355" s="8" t="str">
        <f t="shared" si="46"/>
        <v/>
      </c>
      <c r="E355" s="10"/>
      <c r="F355" s="10"/>
      <c r="G355" s="8" t="str">
        <f>IF(OR($E355="",$F355=""),"",IFERROR(IF($E355=INDEX(Cluster_Master!$A$4:$A$18,MATCH($F355,Cluster_Master!$B$4:$B$18,0)),"OK","CHECK"),"CHECK"))</f>
        <v/>
      </c>
      <c r="H355" s="11" t="str">
        <f>IFERROR(INDEX(Cluster_Master!$C$4:$C$18,MATCH($F355,Cluster_Master!$B$4:$B$18,0)),"")</f>
        <v/>
      </c>
      <c r="I355" s="8" t="str">
        <f>IFERROR(INDEX(Cluster_Master!$D$4:$D$18,MATCH($F355,Cluster_Master!$B$4:$B$18,0)),"")</f>
        <v/>
      </c>
      <c r="J355" s="8" t="str">
        <f>IFERROR(INDEX(Cluster_Master!$E$4:$E$18,MATCH($F355,Cluster_Master!$B$4:$B$18,0)),"")</f>
        <v/>
      </c>
      <c r="K355" s="8" t="str">
        <f>IFERROR(INDEX(Cluster_Master!$F$4:$F$18,MATCH($F355,Cluster_Master!$B$4:$B$18,0)),"")</f>
        <v/>
      </c>
      <c r="L355" s="8" t="str">
        <f>IFERROR(INDEX(Cluster_Master!$G$4:$G$18,MATCH($F355,Cluster_Master!$B$4:$B$18,0)),"")</f>
        <v/>
      </c>
      <c r="M355" s="8" t="str">
        <f>IFERROR(INDEX(Cluster_Master!$H$4:$H$18,MATCH($F355,Cluster_Master!$B$4:$B$18,0)),"")</f>
        <v/>
      </c>
      <c r="N355" s="12"/>
      <c r="O355" s="12"/>
      <c r="P355" s="12"/>
      <c r="Q355" s="12"/>
      <c r="R355" s="12"/>
      <c r="S355" s="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8" t="str">
        <f t="shared" si="47"/>
        <v/>
      </c>
      <c r="AJ355" s="14" t="str">
        <f t="shared" si="48"/>
        <v/>
      </c>
      <c r="AK355" s="14" t="str">
        <f>IF(COUNTA(T355:AH355)=0,"",(SUM(T355*KPI_Weights!$B$4,U355*KPI_Weights!$B$5,V355*KPI_Weights!$B$6,W355*KPI_Weights!$B$7,X355*KPI_Weights!$B$8,Y355*KPI_Weights!$B$9,Z355*KPI_Weights!$B$10,AA355*KPI_Weights!$B$11,AB355*KPI_Weights!$B$12,AC355*KPI_Weights!$B$13,AD355*KPI_Weights!$B$14,AE355*KPI_Weights!$B$15,AF355*KPI_Weights!$B$16,AG355*KPI_Weights!$B$17,AH355*KPI_Weights!$B$18))/5)</f>
        <v/>
      </c>
      <c r="AL355" s="8" t="str">
        <f t="shared" si="49"/>
        <v/>
      </c>
      <c r="AM355" s="8" t="str">
        <f t="shared" si="50"/>
        <v/>
      </c>
      <c r="AN355" s="8" t="str">
        <f t="shared" si="51"/>
        <v/>
      </c>
      <c r="AO355" s="12"/>
      <c r="AP355" s="12"/>
      <c r="AQ355" s="12"/>
      <c r="AR355" s="12"/>
      <c r="AS355" s="12"/>
      <c r="AT355" s="15"/>
      <c r="AU355" s="12"/>
      <c r="AV355" s="16"/>
      <c r="AW355" s="12"/>
      <c r="AX355" s="15"/>
      <c r="AY355" s="15"/>
      <c r="AZ355" s="15"/>
      <c r="BA355" s="15"/>
      <c r="BB355" s="15"/>
      <c r="BC355" s="15"/>
      <c r="BD355" s="15"/>
      <c r="BE355" s="15"/>
      <c r="BF355" s="15"/>
    </row>
    <row r="356" spans="1:58" ht="19.5" customHeight="1" x14ac:dyDescent="0.2">
      <c r="A356" s="8" t="str">
        <f>IF($B356="","",TEXT($B356,"yyyymmdd")&amp;"-"&amp;SUBSTITUTE($F356," ","")&amp;"-"&amp;TEXT(COUNTIF($F$4:F356,$F356),"00"))</f>
        <v/>
      </c>
      <c r="B356" s="9"/>
      <c r="C356" s="8" t="str">
        <f t="shared" si="45"/>
        <v/>
      </c>
      <c r="D356" s="8" t="str">
        <f t="shared" si="46"/>
        <v/>
      </c>
      <c r="E356" s="10"/>
      <c r="F356" s="10"/>
      <c r="G356" s="8" t="str">
        <f>IF(OR($E356="",$F356=""),"",IFERROR(IF($E356=INDEX(Cluster_Master!$A$4:$A$18,MATCH($F356,Cluster_Master!$B$4:$B$18,0)),"OK","CHECK"),"CHECK"))</f>
        <v/>
      </c>
      <c r="H356" s="11" t="str">
        <f>IFERROR(INDEX(Cluster_Master!$C$4:$C$18,MATCH($F356,Cluster_Master!$B$4:$B$18,0)),"")</f>
        <v/>
      </c>
      <c r="I356" s="8" t="str">
        <f>IFERROR(INDEX(Cluster_Master!$D$4:$D$18,MATCH($F356,Cluster_Master!$B$4:$B$18,0)),"")</f>
        <v/>
      </c>
      <c r="J356" s="8" t="str">
        <f>IFERROR(INDEX(Cluster_Master!$E$4:$E$18,MATCH($F356,Cluster_Master!$B$4:$B$18,0)),"")</f>
        <v/>
      </c>
      <c r="K356" s="8" t="str">
        <f>IFERROR(INDEX(Cluster_Master!$F$4:$F$18,MATCH($F356,Cluster_Master!$B$4:$B$18,0)),"")</f>
        <v/>
      </c>
      <c r="L356" s="8" t="str">
        <f>IFERROR(INDEX(Cluster_Master!$G$4:$G$18,MATCH($F356,Cluster_Master!$B$4:$B$18,0)),"")</f>
        <v/>
      </c>
      <c r="M356" s="8" t="str">
        <f>IFERROR(INDEX(Cluster_Master!$H$4:$H$18,MATCH($F356,Cluster_Master!$B$4:$B$18,0)),"")</f>
        <v/>
      </c>
      <c r="N356" s="12"/>
      <c r="O356" s="12"/>
      <c r="P356" s="12"/>
      <c r="Q356" s="12"/>
      <c r="R356" s="12"/>
      <c r="S356" s="12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8" t="str">
        <f t="shared" si="47"/>
        <v/>
      </c>
      <c r="AJ356" s="14" t="str">
        <f t="shared" si="48"/>
        <v/>
      </c>
      <c r="AK356" s="14" t="str">
        <f>IF(COUNTA(T356:AH356)=0,"",(SUM(T356*KPI_Weights!$B$4,U356*KPI_Weights!$B$5,V356*KPI_Weights!$B$6,W356*KPI_Weights!$B$7,X356*KPI_Weights!$B$8,Y356*KPI_Weights!$B$9,Z356*KPI_Weights!$B$10,AA356*KPI_Weights!$B$11,AB356*KPI_Weights!$B$12,AC356*KPI_Weights!$B$13,AD356*KPI_Weights!$B$14,AE356*KPI_Weights!$B$15,AF356*KPI_Weights!$B$16,AG356*KPI_Weights!$B$17,AH356*KPI_Weights!$B$18))/5)</f>
        <v/>
      </c>
      <c r="AL356" s="8" t="str">
        <f t="shared" si="49"/>
        <v/>
      </c>
      <c r="AM356" s="8" t="str">
        <f t="shared" si="50"/>
        <v/>
      </c>
      <c r="AN356" s="8" t="str">
        <f t="shared" si="51"/>
        <v/>
      </c>
      <c r="AO356" s="12"/>
      <c r="AP356" s="12"/>
      <c r="AQ356" s="12"/>
      <c r="AR356" s="12"/>
      <c r="AS356" s="12"/>
      <c r="AT356" s="15"/>
      <c r="AU356" s="12"/>
      <c r="AV356" s="16"/>
      <c r="AW356" s="12"/>
      <c r="AX356" s="15"/>
      <c r="AY356" s="15"/>
      <c r="AZ356" s="15"/>
      <c r="BA356" s="15"/>
      <c r="BB356" s="15"/>
      <c r="BC356" s="15"/>
      <c r="BD356" s="15"/>
      <c r="BE356" s="15"/>
      <c r="BF356" s="15"/>
    </row>
    <row r="357" spans="1:58" ht="19.5" customHeight="1" x14ac:dyDescent="0.2">
      <c r="A357" s="8" t="str">
        <f>IF($B357="","",TEXT($B357,"yyyymmdd")&amp;"-"&amp;SUBSTITUTE($F357," ","")&amp;"-"&amp;TEXT(COUNTIF($F$4:F357,$F357),"00"))</f>
        <v/>
      </c>
      <c r="B357" s="9"/>
      <c r="C357" s="8" t="str">
        <f t="shared" si="45"/>
        <v/>
      </c>
      <c r="D357" s="8" t="str">
        <f t="shared" si="46"/>
        <v/>
      </c>
      <c r="E357" s="10"/>
      <c r="F357" s="10"/>
      <c r="G357" s="8" t="str">
        <f>IF(OR($E357="",$F357=""),"",IFERROR(IF($E357=INDEX(Cluster_Master!$A$4:$A$18,MATCH($F357,Cluster_Master!$B$4:$B$18,0)),"OK","CHECK"),"CHECK"))</f>
        <v/>
      </c>
      <c r="H357" s="11" t="str">
        <f>IFERROR(INDEX(Cluster_Master!$C$4:$C$18,MATCH($F357,Cluster_Master!$B$4:$B$18,0)),"")</f>
        <v/>
      </c>
      <c r="I357" s="8" t="str">
        <f>IFERROR(INDEX(Cluster_Master!$D$4:$D$18,MATCH($F357,Cluster_Master!$B$4:$B$18,0)),"")</f>
        <v/>
      </c>
      <c r="J357" s="8" t="str">
        <f>IFERROR(INDEX(Cluster_Master!$E$4:$E$18,MATCH($F357,Cluster_Master!$B$4:$B$18,0)),"")</f>
        <v/>
      </c>
      <c r="K357" s="8" t="str">
        <f>IFERROR(INDEX(Cluster_Master!$F$4:$F$18,MATCH($F357,Cluster_Master!$B$4:$B$18,0)),"")</f>
        <v/>
      </c>
      <c r="L357" s="8" t="str">
        <f>IFERROR(INDEX(Cluster_Master!$G$4:$G$18,MATCH($F357,Cluster_Master!$B$4:$B$18,0)),"")</f>
        <v/>
      </c>
      <c r="M357" s="8" t="str">
        <f>IFERROR(INDEX(Cluster_Master!$H$4:$H$18,MATCH($F357,Cluster_Master!$B$4:$B$18,0)),"")</f>
        <v/>
      </c>
      <c r="N357" s="12"/>
      <c r="O357" s="12"/>
      <c r="P357" s="12"/>
      <c r="Q357" s="12"/>
      <c r="R357" s="12"/>
      <c r="S357" s="12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8" t="str">
        <f t="shared" si="47"/>
        <v/>
      </c>
      <c r="AJ357" s="14" t="str">
        <f t="shared" si="48"/>
        <v/>
      </c>
      <c r="AK357" s="14" t="str">
        <f>IF(COUNTA(T357:AH357)=0,"",(SUM(T357*KPI_Weights!$B$4,U357*KPI_Weights!$B$5,V357*KPI_Weights!$B$6,W357*KPI_Weights!$B$7,X357*KPI_Weights!$B$8,Y357*KPI_Weights!$B$9,Z357*KPI_Weights!$B$10,AA357*KPI_Weights!$B$11,AB357*KPI_Weights!$B$12,AC357*KPI_Weights!$B$13,AD357*KPI_Weights!$B$14,AE357*KPI_Weights!$B$15,AF357*KPI_Weights!$B$16,AG357*KPI_Weights!$B$17,AH357*KPI_Weights!$B$18))/5)</f>
        <v/>
      </c>
      <c r="AL357" s="8" t="str">
        <f t="shared" si="49"/>
        <v/>
      </c>
      <c r="AM357" s="8" t="str">
        <f t="shared" si="50"/>
        <v/>
      </c>
      <c r="AN357" s="8" t="str">
        <f t="shared" si="51"/>
        <v/>
      </c>
      <c r="AO357" s="12"/>
      <c r="AP357" s="12"/>
      <c r="AQ357" s="12"/>
      <c r="AR357" s="12"/>
      <c r="AS357" s="12"/>
      <c r="AT357" s="15"/>
      <c r="AU357" s="12"/>
      <c r="AV357" s="16"/>
      <c r="AW357" s="12"/>
      <c r="AX357" s="15"/>
      <c r="AY357" s="15"/>
      <c r="AZ357" s="15"/>
      <c r="BA357" s="15"/>
      <c r="BB357" s="15"/>
      <c r="BC357" s="15"/>
      <c r="BD357" s="15"/>
      <c r="BE357" s="15"/>
      <c r="BF357" s="15"/>
    </row>
    <row r="358" spans="1:58" ht="19.5" customHeight="1" x14ac:dyDescent="0.2">
      <c r="A358" s="8" t="str">
        <f>IF($B358="","",TEXT($B358,"yyyymmdd")&amp;"-"&amp;SUBSTITUTE($F358," ","")&amp;"-"&amp;TEXT(COUNTIF($F$4:F358,$F358),"00"))</f>
        <v/>
      </c>
      <c r="B358" s="9"/>
      <c r="C358" s="8" t="str">
        <f t="shared" si="45"/>
        <v/>
      </c>
      <c r="D358" s="8" t="str">
        <f t="shared" si="46"/>
        <v/>
      </c>
      <c r="E358" s="10"/>
      <c r="F358" s="10"/>
      <c r="G358" s="8" t="str">
        <f>IF(OR($E358="",$F358=""),"",IFERROR(IF($E358=INDEX(Cluster_Master!$A$4:$A$18,MATCH($F358,Cluster_Master!$B$4:$B$18,0)),"OK","CHECK"),"CHECK"))</f>
        <v/>
      </c>
      <c r="H358" s="11" t="str">
        <f>IFERROR(INDEX(Cluster_Master!$C$4:$C$18,MATCH($F358,Cluster_Master!$B$4:$B$18,0)),"")</f>
        <v/>
      </c>
      <c r="I358" s="8" t="str">
        <f>IFERROR(INDEX(Cluster_Master!$D$4:$D$18,MATCH($F358,Cluster_Master!$B$4:$B$18,0)),"")</f>
        <v/>
      </c>
      <c r="J358" s="8" t="str">
        <f>IFERROR(INDEX(Cluster_Master!$E$4:$E$18,MATCH($F358,Cluster_Master!$B$4:$B$18,0)),"")</f>
        <v/>
      </c>
      <c r="K358" s="8" t="str">
        <f>IFERROR(INDEX(Cluster_Master!$F$4:$F$18,MATCH($F358,Cluster_Master!$B$4:$B$18,0)),"")</f>
        <v/>
      </c>
      <c r="L358" s="8" t="str">
        <f>IFERROR(INDEX(Cluster_Master!$G$4:$G$18,MATCH($F358,Cluster_Master!$B$4:$B$18,0)),"")</f>
        <v/>
      </c>
      <c r="M358" s="8" t="str">
        <f>IFERROR(INDEX(Cluster_Master!$H$4:$H$18,MATCH($F358,Cluster_Master!$B$4:$B$18,0)),"")</f>
        <v/>
      </c>
      <c r="N358" s="12"/>
      <c r="O358" s="12"/>
      <c r="P358" s="12"/>
      <c r="Q358" s="12"/>
      <c r="R358" s="12"/>
      <c r="S358" s="12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8" t="str">
        <f t="shared" si="47"/>
        <v/>
      </c>
      <c r="AJ358" s="14" t="str">
        <f t="shared" si="48"/>
        <v/>
      </c>
      <c r="AK358" s="14" t="str">
        <f>IF(COUNTA(T358:AH358)=0,"",(SUM(T358*KPI_Weights!$B$4,U358*KPI_Weights!$B$5,V358*KPI_Weights!$B$6,W358*KPI_Weights!$B$7,X358*KPI_Weights!$B$8,Y358*KPI_Weights!$B$9,Z358*KPI_Weights!$B$10,AA358*KPI_Weights!$B$11,AB358*KPI_Weights!$B$12,AC358*KPI_Weights!$B$13,AD358*KPI_Weights!$B$14,AE358*KPI_Weights!$B$15,AF358*KPI_Weights!$B$16,AG358*KPI_Weights!$B$17,AH358*KPI_Weights!$B$18))/5)</f>
        <v/>
      </c>
      <c r="AL358" s="8" t="str">
        <f t="shared" si="49"/>
        <v/>
      </c>
      <c r="AM358" s="8" t="str">
        <f t="shared" si="50"/>
        <v/>
      </c>
      <c r="AN358" s="8" t="str">
        <f t="shared" si="51"/>
        <v/>
      </c>
      <c r="AO358" s="12"/>
      <c r="AP358" s="12"/>
      <c r="AQ358" s="12"/>
      <c r="AR358" s="12"/>
      <c r="AS358" s="12"/>
      <c r="AT358" s="15"/>
      <c r="AU358" s="12"/>
      <c r="AV358" s="16"/>
      <c r="AW358" s="12"/>
      <c r="AX358" s="15"/>
      <c r="AY358" s="15"/>
      <c r="AZ358" s="15"/>
      <c r="BA358" s="15"/>
      <c r="BB358" s="15"/>
      <c r="BC358" s="15"/>
      <c r="BD358" s="15"/>
      <c r="BE358" s="15"/>
      <c r="BF358" s="15"/>
    </row>
    <row r="359" spans="1:58" ht="19.5" customHeight="1" x14ac:dyDescent="0.2">
      <c r="A359" s="8" t="str">
        <f>IF($B359="","",TEXT($B359,"yyyymmdd")&amp;"-"&amp;SUBSTITUTE($F359," ","")&amp;"-"&amp;TEXT(COUNTIF($F$4:F359,$F359),"00"))</f>
        <v/>
      </c>
      <c r="B359" s="9"/>
      <c r="C359" s="8" t="str">
        <f t="shared" si="45"/>
        <v/>
      </c>
      <c r="D359" s="8" t="str">
        <f t="shared" si="46"/>
        <v/>
      </c>
      <c r="E359" s="10"/>
      <c r="F359" s="10"/>
      <c r="G359" s="8" t="str">
        <f>IF(OR($E359="",$F359=""),"",IFERROR(IF($E359=INDEX(Cluster_Master!$A$4:$A$18,MATCH($F359,Cluster_Master!$B$4:$B$18,0)),"OK","CHECK"),"CHECK"))</f>
        <v/>
      </c>
      <c r="H359" s="11" t="str">
        <f>IFERROR(INDEX(Cluster_Master!$C$4:$C$18,MATCH($F359,Cluster_Master!$B$4:$B$18,0)),"")</f>
        <v/>
      </c>
      <c r="I359" s="8" t="str">
        <f>IFERROR(INDEX(Cluster_Master!$D$4:$D$18,MATCH($F359,Cluster_Master!$B$4:$B$18,0)),"")</f>
        <v/>
      </c>
      <c r="J359" s="8" t="str">
        <f>IFERROR(INDEX(Cluster_Master!$E$4:$E$18,MATCH($F359,Cluster_Master!$B$4:$B$18,0)),"")</f>
        <v/>
      </c>
      <c r="K359" s="8" t="str">
        <f>IFERROR(INDEX(Cluster_Master!$F$4:$F$18,MATCH($F359,Cluster_Master!$B$4:$B$18,0)),"")</f>
        <v/>
      </c>
      <c r="L359" s="8" t="str">
        <f>IFERROR(INDEX(Cluster_Master!$G$4:$G$18,MATCH($F359,Cluster_Master!$B$4:$B$18,0)),"")</f>
        <v/>
      </c>
      <c r="M359" s="8" t="str">
        <f>IFERROR(INDEX(Cluster_Master!$H$4:$H$18,MATCH($F359,Cluster_Master!$B$4:$B$18,0)),"")</f>
        <v/>
      </c>
      <c r="N359" s="12"/>
      <c r="O359" s="12"/>
      <c r="P359" s="12"/>
      <c r="Q359" s="12"/>
      <c r="R359" s="12"/>
      <c r="S359" s="12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8" t="str">
        <f t="shared" si="47"/>
        <v/>
      </c>
      <c r="AJ359" s="14" t="str">
        <f t="shared" si="48"/>
        <v/>
      </c>
      <c r="AK359" s="14" t="str">
        <f>IF(COUNTA(T359:AH359)=0,"",(SUM(T359*KPI_Weights!$B$4,U359*KPI_Weights!$B$5,V359*KPI_Weights!$B$6,W359*KPI_Weights!$B$7,X359*KPI_Weights!$B$8,Y359*KPI_Weights!$B$9,Z359*KPI_Weights!$B$10,AA359*KPI_Weights!$B$11,AB359*KPI_Weights!$B$12,AC359*KPI_Weights!$B$13,AD359*KPI_Weights!$B$14,AE359*KPI_Weights!$B$15,AF359*KPI_Weights!$B$16,AG359*KPI_Weights!$B$17,AH359*KPI_Weights!$B$18))/5)</f>
        <v/>
      </c>
      <c r="AL359" s="8" t="str">
        <f t="shared" si="49"/>
        <v/>
      </c>
      <c r="AM359" s="8" t="str">
        <f t="shared" si="50"/>
        <v/>
      </c>
      <c r="AN359" s="8" t="str">
        <f t="shared" si="51"/>
        <v/>
      </c>
      <c r="AO359" s="12"/>
      <c r="AP359" s="12"/>
      <c r="AQ359" s="12"/>
      <c r="AR359" s="12"/>
      <c r="AS359" s="12"/>
      <c r="AT359" s="15"/>
      <c r="AU359" s="12"/>
      <c r="AV359" s="16"/>
      <c r="AW359" s="12"/>
      <c r="AX359" s="15"/>
      <c r="AY359" s="15"/>
      <c r="AZ359" s="15"/>
      <c r="BA359" s="15"/>
      <c r="BB359" s="15"/>
      <c r="BC359" s="15"/>
      <c r="BD359" s="15"/>
      <c r="BE359" s="15"/>
      <c r="BF359" s="15"/>
    </row>
    <row r="360" spans="1:58" ht="19.5" customHeight="1" x14ac:dyDescent="0.2">
      <c r="A360" s="8" t="str">
        <f>IF($B360="","",TEXT($B360,"yyyymmdd")&amp;"-"&amp;SUBSTITUTE($F360," ","")&amp;"-"&amp;TEXT(COUNTIF($F$4:F360,$F360),"00"))</f>
        <v/>
      </c>
      <c r="B360" s="9"/>
      <c r="C360" s="8" t="str">
        <f t="shared" si="45"/>
        <v/>
      </c>
      <c r="D360" s="8" t="str">
        <f t="shared" si="46"/>
        <v/>
      </c>
      <c r="E360" s="10"/>
      <c r="F360" s="10"/>
      <c r="G360" s="8" t="str">
        <f>IF(OR($E360="",$F360=""),"",IFERROR(IF($E360=INDEX(Cluster_Master!$A$4:$A$18,MATCH($F360,Cluster_Master!$B$4:$B$18,0)),"OK","CHECK"),"CHECK"))</f>
        <v/>
      </c>
      <c r="H360" s="11" t="str">
        <f>IFERROR(INDEX(Cluster_Master!$C$4:$C$18,MATCH($F360,Cluster_Master!$B$4:$B$18,0)),"")</f>
        <v/>
      </c>
      <c r="I360" s="8" t="str">
        <f>IFERROR(INDEX(Cluster_Master!$D$4:$D$18,MATCH($F360,Cluster_Master!$B$4:$B$18,0)),"")</f>
        <v/>
      </c>
      <c r="J360" s="8" t="str">
        <f>IFERROR(INDEX(Cluster_Master!$E$4:$E$18,MATCH($F360,Cluster_Master!$B$4:$B$18,0)),"")</f>
        <v/>
      </c>
      <c r="K360" s="8" t="str">
        <f>IFERROR(INDEX(Cluster_Master!$F$4:$F$18,MATCH($F360,Cluster_Master!$B$4:$B$18,0)),"")</f>
        <v/>
      </c>
      <c r="L360" s="8" t="str">
        <f>IFERROR(INDEX(Cluster_Master!$G$4:$G$18,MATCH($F360,Cluster_Master!$B$4:$B$18,0)),"")</f>
        <v/>
      </c>
      <c r="M360" s="8" t="str">
        <f>IFERROR(INDEX(Cluster_Master!$H$4:$H$18,MATCH($F360,Cluster_Master!$B$4:$B$18,0)),"")</f>
        <v/>
      </c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8" t="str">
        <f t="shared" si="47"/>
        <v/>
      </c>
      <c r="AJ360" s="14" t="str">
        <f t="shared" si="48"/>
        <v/>
      </c>
      <c r="AK360" s="14" t="str">
        <f>IF(COUNTA(T360:AH360)=0,"",(SUM(T360*KPI_Weights!$B$4,U360*KPI_Weights!$B$5,V360*KPI_Weights!$B$6,W360*KPI_Weights!$B$7,X360*KPI_Weights!$B$8,Y360*KPI_Weights!$B$9,Z360*KPI_Weights!$B$10,AA360*KPI_Weights!$B$11,AB360*KPI_Weights!$B$12,AC360*KPI_Weights!$B$13,AD360*KPI_Weights!$B$14,AE360*KPI_Weights!$B$15,AF360*KPI_Weights!$B$16,AG360*KPI_Weights!$B$17,AH360*KPI_Weights!$B$18))/5)</f>
        <v/>
      </c>
      <c r="AL360" s="8" t="str">
        <f t="shared" si="49"/>
        <v/>
      </c>
      <c r="AM360" s="8" t="str">
        <f t="shared" si="50"/>
        <v/>
      </c>
      <c r="AN360" s="8" t="str">
        <f t="shared" si="51"/>
        <v/>
      </c>
      <c r="AO360" s="12"/>
      <c r="AP360" s="12"/>
      <c r="AQ360" s="12"/>
      <c r="AR360" s="12"/>
      <c r="AS360" s="12"/>
      <c r="AT360" s="15"/>
      <c r="AU360" s="12"/>
      <c r="AV360" s="16"/>
      <c r="AW360" s="12"/>
      <c r="AX360" s="15"/>
      <c r="AY360" s="15"/>
      <c r="AZ360" s="15"/>
      <c r="BA360" s="15"/>
      <c r="BB360" s="15"/>
      <c r="BC360" s="15"/>
      <c r="BD360" s="15"/>
      <c r="BE360" s="15"/>
      <c r="BF360" s="15"/>
    </row>
    <row r="361" spans="1:58" ht="19.5" customHeight="1" x14ac:dyDescent="0.2">
      <c r="A361" s="8" t="str">
        <f>IF($B361="","",TEXT($B361,"yyyymmdd")&amp;"-"&amp;SUBSTITUTE($F361," ","")&amp;"-"&amp;TEXT(COUNTIF($F$4:F361,$F361),"00"))</f>
        <v/>
      </c>
      <c r="B361" s="9"/>
      <c r="C361" s="8" t="str">
        <f t="shared" si="45"/>
        <v/>
      </c>
      <c r="D361" s="8" t="str">
        <f t="shared" si="46"/>
        <v/>
      </c>
      <c r="E361" s="10"/>
      <c r="F361" s="10"/>
      <c r="G361" s="8" t="str">
        <f>IF(OR($E361="",$F361=""),"",IFERROR(IF($E361=INDEX(Cluster_Master!$A$4:$A$18,MATCH($F361,Cluster_Master!$B$4:$B$18,0)),"OK","CHECK"),"CHECK"))</f>
        <v/>
      </c>
      <c r="H361" s="11" t="str">
        <f>IFERROR(INDEX(Cluster_Master!$C$4:$C$18,MATCH($F361,Cluster_Master!$B$4:$B$18,0)),"")</f>
        <v/>
      </c>
      <c r="I361" s="8" t="str">
        <f>IFERROR(INDEX(Cluster_Master!$D$4:$D$18,MATCH($F361,Cluster_Master!$B$4:$B$18,0)),"")</f>
        <v/>
      </c>
      <c r="J361" s="8" t="str">
        <f>IFERROR(INDEX(Cluster_Master!$E$4:$E$18,MATCH($F361,Cluster_Master!$B$4:$B$18,0)),"")</f>
        <v/>
      </c>
      <c r="K361" s="8" t="str">
        <f>IFERROR(INDEX(Cluster_Master!$F$4:$F$18,MATCH($F361,Cluster_Master!$B$4:$B$18,0)),"")</f>
        <v/>
      </c>
      <c r="L361" s="8" t="str">
        <f>IFERROR(INDEX(Cluster_Master!$G$4:$G$18,MATCH($F361,Cluster_Master!$B$4:$B$18,0)),"")</f>
        <v/>
      </c>
      <c r="M361" s="8" t="str">
        <f>IFERROR(INDEX(Cluster_Master!$H$4:$H$18,MATCH($F361,Cluster_Master!$B$4:$B$18,0)),"")</f>
        <v/>
      </c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8" t="str">
        <f t="shared" si="47"/>
        <v/>
      </c>
      <c r="AJ361" s="14" t="str">
        <f t="shared" si="48"/>
        <v/>
      </c>
      <c r="AK361" s="14" t="str">
        <f>IF(COUNTA(T361:AH361)=0,"",(SUM(T361*KPI_Weights!$B$4,U361*KPI_Weights!$B$5,V361*KPI_Weights!$B$6,W361*KPI_Weights!$B$7,X361*KPI_Weights!$B$8,Y361*KPI_Weights!$B$9,Z361*KPI_Weights!$B$10,AA361*KPI_Weights!$B$11,AB361*KPI_Weights!$B$12,AC361*KPI_Weights!$B$13,AD361*KPI_Weights!$B$14,AE361*KPI_Weights!$B$15,AF361*KPI_Weights!$B$16,AG361*KPI_Weights!$B$17,AH361*KPI_Weights!$B$18))/5)</f>
        <v/>
      </c>
      <c r="AL361" s="8" t="str">
        <f t="shared" si="49"/>
        <v/>
      </c>
      <c r="AM361" s="8" t="str">
        <f t="shared" si="50"/>
        <v/>
      </c>
      <c r="AN361" s="8" t="str">
        <f t="shared" si="51"/>
        <v/>
      </c>
      <c r="AO361" s="12"/>
      <c r="AP361" s="12"/>
      <c r="AQ361" s="12"/>
      <c r="AR361" s="12"/>
      <c r="AS361" s="12"/>
      <c r="AT361" s="15"/>
      <c r="AU361" s="12"/>
      <c r="AV361" s="16"/>
      <c r="AW361" s="12"/>
      <c r="AX361" s="15"/>
      <c r="AY361" s="15"/>
      <c r="AZ361" s="15"/>
      <c r="BA361" s="15"/>
      <c r="BB361" s="15"/>
      <c r="BC361" s="15"/>
      <c r="BD361" s="15"/>
      <c r="BE361" s="15"/>
      <c r="BF361" s="15"/>
    </row>
    <row r="362" spans="1:58" ht="19.5" customHeight="1" x14ac:dyDescent="0.2">
      <c r="A362" s="8" t="str">
        <f>IF($B362="","",TEXT($B362,"yyyymmdd")&amp;"-"&amp;SUBSTITUTE($F362," ","")&amp;"-"&amp;TEXT(COUNTIF($F$4:F362,$F362),"00"))</f>
        <v/>
      </c>
      <c r="B362" s="9"/>
      <c r="C362" s="8" t="str">
        <f t="shared" si="45"/>
        <v/>
      </c>
      <c r="D362" s="8" t="str">
        <f t="shared" si="46"/>
        <v/>
      </c>
      <c r="E362" s="10"/>
      <c r="F362" s="10"/>
      <c r="G362" s="8" t="str">
        <f>IF(OR($E362="",$F362=""),"",IFERROR(IF($E362=INDEX(Cluster_Master!$A$4:$A$18,MATCH($F362,Cluster_Master!$B$4:$B$18,0)),"OK","CHECK"),"CHECK"))</f>
        <v/>
      </c>
      <c r="H362" s="11" t="str">
        <f>IFERROR(INDEX(Cluster_Master!$C$4:$C$18,MATCH($F362,Cluster_Master!$B$4:$B$18,0)),"")</f>
        <v/>
      </c>
      <c r="I362" s="8" t="str">
        <f>IFERROR(INDEX(Cluster_Master!$D$4:$D$18,MATCH($F362,Cluster_Master!$B$4:$B$18,0)),"")</f>
        <v/>
      </c>
      <c r="J362" s="8" t="str">
        <f>IFERROR(INDEX(Cluster_Master!$E$4:$E$18,MATCH($F362,Cluster_Master!$B$4:$B$18,0)),"")</f>
        <v/>
      </c>
      <c r="K362" s="8" t="str">
        <f>IFERROR(INDEX(Cluster_Master!$F$4:$F$18,MATCH($F362,Cluster_Master!$B$4:$B$18,0)),"")</f>
        <v/>
      </c>
      <c r="L362" s="8" t="str">
        <f>IFERROR(INDEX(Cluster_Master!$G$4:$G$18,MATCH($F362,Cluster_Master!$B$4:$B$18,0)),"")</f>
        <v/>
      </c>
      <c r="M362" s="8" t="str">
        <f>IFERROR(INDEX(Cluster_Master!$H$4:$H$18,MATCH($F362,Cluster_Master!$B$4:$B$18,0)),"")</f>
        <v/>
      </c>
      <c r="N362" s="12"/>
      <c r="O362" s="12"/>
      <c r="P362" s="12"/>
      <c r="Q362" s="12"/>
      <c r="R362" s="12"/>
      <c r="S362" s="12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8" t="str">
        <f t="shared" si="47"/>
        <v/>
      </c>
      <c r="AJ362" s="14" t="str">
        <f t="shared" si="48"/>
        <v/>
      </c>
      <c r="AK362" s="14" t="str">
        <f>IF(COUNTA(T362:AH362)=0,"",(SUM(T362*KPI_Weights!$B$4,U362*KPI_Weights!$B$5,V362*KPI_Weights!$B$6,W362*KPI_Weights!$B$7,X362*KPI_Weights!$B$8,Y362*KPI_Weights!$B$9,Z362*KPI_Weights!$B$10,AA362*KPI_Weights!$B$11,AB362*KPI_Weights!$B$12,AC362*KPI_Weights!$B$13,AD362*KPI_Weights!$B$14,AE362*KPI_Weights!$B$15,AF362*KPI_Weights!$B$16,AG362*KPI_Weights!$B$17,AH362*KPI_Weights!$B$18))/5)</f>
        <v/>
      </c>
      <c r="AL362" s="8" t="str">
        <f t="shared" si="49"/>
        <v/>
      </c>
      <c r="AM362" s="8" t="str">
        <f t="shared" si="50"/>
        <v/>
      </c>
      <c r="AN362" s="8" t="str">
        <f t="shared" si="51"/>
        <v/>
      </c>
      <c r="AO362" s="12"/>
      <c r="AP362" s="12"/>
      <c r="AQ362" s="12"/>
      <c r="AR362" s="12"/>
      <c r="AS362" s="12"/>
      <c r="AT362" s="15"/>
      <c r="AU362" s="12"/>
      <c r="AV362" s="16"/>
      <c r="AW362" s="12"/>
      <c r="AX362" s="15"/>
      <c r="AY362" s="15"/>
      <c r="AZ362" s="15"/>
      <c r="BA362" s="15"/>
      <c r="BB362" s="15"/>
      <c r="BC362" s="15"/>
      <c r="BD362" s="15"/>
      <c r="BE362" s="15"/>
      <c r="BF362" s="15"/>
    </row>
    <row r="363" spans="1:58" ht="19.5" customHeight="1" x14ac:dyDescent="0.2">
      <c r="A363" s="8" t="str">
        <f>IF($B363="","",TEXT($B363,"yyyymmdd")&amp;"-"&amp;SUBSTITUTE($F363," ","")&amp;"-"&amp;TEXT(COUNTIF($F$4:F363,$F363),"00"))</f>
        <v/>
      </c>
      <c r="B363" s="9"/>
      <c r="C363" s="8" t="str">
        <f t="shared" si="45"/>
        <v/>
      </c>
      <c r="D363" s="8" t="str">
        <f t="shared" si="46"/>
        <v/>
      </c>
      <c r="E363" s="10"/>
      <c r="F363" s="10"/>
      <c r="G363" s="8" t="str">
        <f>IF(OR($E363="",$F363=""),"",IFERROR(IF($E363=INDEX(Cluster_Master!$A$4:$A$18,MATCH($F363,Cluster_Master!$B$4:$B$18,0)),"OK","CHECK"),"CHECK"))</f>
        <v/>
      </c>
      <c r="H363" s="11" t="str">
        <f>IFERROR(INDEX(Cluster_Master!$C$4:$C$18,MATCH($F363,Cluster_Master!$B$4:$B$18,0)),"")</f>
        <v/>
      </c>
      <c r="I363" s="8" t="str">
        <f>IFERROR(INDEX(Cluster_Master!$D$4:$D$18,MATCH($F363,Cluster_Master!$B$4:$B$18,0)),"")</f>
        <v/>
      </c>
      <c r="J363" s="8" t="str">
        <f>IFERROR(INDEX(Cluster_Master!$E$4:$E$18,MATCH($F363,Cluster_Master!$B$4:$B$18,0)),"")</f>
        <v/>
      </c>
      <c r="K363" s="8" t="str">
        <f>IFERROR(INDEX(Cluster_Master!$F$4:$F$18,MATCH($F363,Cluster_Master!$B$4:$B$18,0)),"")</f>
        <v/>
      </c>
      <c r="L363" s="8" t="str">
        <f>IFERROR(INDEX(Cluster_Master!$G$4:$G$18,MATCH($F363,Cluster_Master!$B$4:$B$18,0)),"")</f>
        <v/>
      </c>
      <c r="M363" s="8" t="str">
        <f>IFERROR(INDEX(Cluster_Master!$H$4:$H$18,MATCH($F363,Cluster_Master!$B$4:$B$18,0)),"")</f>
        <v/>
      </c>
      <c r="N363" s="12"/>
      <c r="O363" s="12"/>
      <c r="P363" s="12"/>
      <c r="Q363" s="12"/>
      <c r="R363" s="12"/>
      <c r="S363" s="12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8" t="str">
        <f t="shared" si="47"/>
        <v/>
      </c>
      <c r="AJ363" s="14" t="str">
        <f t="shared" si="48"/>
        <v/>
      </c>
      <c r="AK363" s="14" t="str">
        <f>IF(COUNTA(T363:AH363)=0,"",(SUM(T363*KPI_Weights!$B$4,U363*KPI_Weights!$B$5,V363*KPI_Weights!$B$6,W363*KPI_Weights!$B$7,X363*KPI_Weights!$B$8,Y363*KPI_Weights!$B$9,Z363*KPI_Weights!$B$10,AA363*KPI_Weights!$B$11,AB363*KPI_Weights!$B$12,AC363*KPI_Weights!$B$13,AD363*KPI_Weights!$B$14,AE363*KPI_Weights!$B$15,AF363*KPI_Weights!$B$16,AG363*KPI_Weights!$B$17,AH363*KPI_Weights!$B$18))/5)</f>
        <v/>
      </c>
      <c r="AL363" s="8" t="str">
        <f t="shared" si="49"/>
        <v/>
      </c>
      <c r="AM363" s="8" t="str">
        <f t="shared" si="50"/>
        <v/>
      </c>
      <c r="AN363" s="8" t="str">
        <f t="shared" si="51"/>
        <v/>
      </c>
      <c r="AO363" s="12"/>
      <c r="AP363" s="12"/>
      <c r="AQ363" s="12"/>
      <c r="AR363" s="12"/>
      <c r="AS363" s="12"/>
      <c r="AT363" s="15"/>
      <c r="AU363" s="12"/>
      <c r="AV363" s="16"/>
      <c r="AW363" s="12"/>
      <c r="AX363" s="15"/>
      <c r="AY363" s="15"/>
      <c r="AZ363" s="15"/>
      <c r="BA363" s="15"/>
      <c r="BB363" s="15"/>
      <c r="BC363" s="15"/>
      <c r="BD363" s="15"/>
      <c r="BE363" s="15"/>
      <c r="BF363" s="15"/>
    </row>
    <row r="364" spans="1:58" ht="19.5" customHeight="1" x14ac:dyDescent="0.2">
      <c r="A364" s="8" t="str">
        <f>IF($B364="","",TEXT($B364,"yyyymmdd")&amp;"-"&amp;SUBSTITUTE($F364," ","")&amp;"-"&amp;TEXT(COUNTIF($F$4:F364,$F364),"00"))</f>
        <v/>
      </c>
      <c r="B364" s="9"/>
      <c r="C364" s="8" t="str">
        <f t="shared" si="45"/>
        <v/>
      </c>
      <c r="D364" s="8" t="str">
        <f t="shared" si="46"/>
        <v/>
      </c>
      <c r="E364" s="10"/>
      <c r="F364" s="10"/>
      <c r="G364" s="8" t="str">
        <f>IF(OR($E364="",$F364=""),"",IFERROR(IF($E364=INDEX(Cluster_Master!$A$4:$A$18,MATCH($F364,Cluster_Master!$B$4:$B$18,0)),"OK","CHECK"),"CHECK"))</f>
        <v/>
      </c>
      <c r="H364" s="11" t="str">
        <f>IFERROR(INDEX(Cluster_Master!$C$4:$C$18,MATCH($F364,Cluster_Master!$B$4:$B$18,0)),"")</f>
        <v/>
      </c>
      <c r="I364" s="8" t="str">
        <f>IFERROR(INDEX(Cluster_Master!$D$4:$D$18,MATCH($F364,Cluster_Master!$B$4:$B$18,0)),"")</f>
        <v/>
      </c>
      <c r="J364" s="8" t="str">
        <f>IFERROR(INDEX(Cluster_Master!$E$4:$E$18,MATCH($F364,Cluster_Master!$B$4:$B$18,0)),"")</f>
        <v/>
      </c>
      <c r="K364" s="8" t="str">
        <f>IFERROR(INDEX(Cluster_Master!$F$4:$F$18,MATCH($F364,Cluster_Master!$B$4:$B$18,0)),"")</f>
        <v/>
      </c>
      <c r="L364" s="8" t="str">
        <f>IFERROR(INDEX(Cluster_Master!$G$4:$G$18,MATCH($F364,Cluster_Master!$B$4:$B$18,0)),"")</f>
        <v/>
      </c>
      <c r="M364" s="8" t="str">
        <f>IFERROR(INDEX(Cluster_Master!$H$4:$H$18,MATCH($F364,Cluster_Master!$B$4:$B$18,0)),"")</f>
        <v/>
      </c>
      <c r="N364" s="12"/>
      <c r="O364" s="12"/>
      <c r="P364" s="12"/>
      <c r="Q364" s="12"/>
      <c r="R364" s="12"/>
      <c r="S364" s="12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8" t="str">
        <f t="shared" si="47"/>
        <v/>
      </c>
      <c r="AJ364" s="14" t="str">
        <f t="shared" si="48"/>
        <v/>
      </c>
      <c r="AK364" s="14" t="str">
        <f>IF(COUNTA(T364:AH364)=0,"",(SUM(T364*KPI_Weights!$B$4,U364*KPI_Weights!$B$5,V364*KPI_Weights!$B$6,W364*KPI_Weights!$B$7,X364*KPI_Weights!$B$8,Y364*KPI_Weights!$B$9,Z364*KPI_Weights!$B$10,AA364*KPI_Weights!$B$11,AB364*KPI_Weights!$B$12,AC364*KPI_Weights!$B$13,AD364*KPI_Weights!$B$14,AE364*KPI_Weights!$B$15,AF364*KPI_Weights!$B$16,AG364*KPI_Weights!$B$17,AH364*KPI_Weights!$B$18))/5)</f>
        <v/>
      </c>
      <c r="AL364" s="8" t="str">
        <f t="shared" si="49"/>
        <v/>
      </c>
      <c r="AM364" s="8" t="str">
        <f t="shared" si="50"/>
        <v/>
      </c>
      <c r="AN364" s="8" t="str">
        <f t="shared" si="51"/>
        <v/>
      </c>
      <c r="AO364" s="12"/>
      <c r="AP364" s="12"/>
      <c r="AQ364" s="12"/>
      <c r="AR364" s="12"/>
      <c r="AS364" s="12"/>
      <c r="AT364" s="15"/>
      <c r="AU364" s="12"/>
      <c r="AV364" s="16"/>
      <c r="AW364" s="12"/>
      <c r="AX364" s="15"/>
      <c r="AY364" s="15"/>
      <c r="AZ364" s="15"/>
      <c r="BA364" s="15"/>
      <c r="BB364" s="15"/>
      <c r="BC364" s="15"/>
      <c r="BD364" s="15"/>
      <c r="BE364" s="15"/>
      <c r="BF364" s="15"/>
    </row>
    <row r="365" spans="1:58" ht="19.5" customHeight="1" x14ac:dyDescent="0.2">
      <c r="A365" s="8" t="str">
        <f>IF($B365="","",TEXT($B365,"yyyymmdd")&amp;"-"&amp;SUBSTITUTE($F365," ","")&amp;"-"&amp;TEXT(COUNTIF($F$4:F365,$F365),"00"))</f>
        <v/>
      </c>
      <c r="B365" s="9"/>
      <c r="C365" s="8" t="str">
        <f t="shared" si="45"/>
        <v/>
      </c>
      <c r="D365" s="8" t="str">
        <f t="shared" si="46"/>
        <v/>
      </c>
      <c r="E365" s="10"/>
      <c r="F365" s="10"/>
      <c r="G365" s="8" t="str">
        <f>IF(OR($E365="",$F365=""),"",IFERROR(IF($E365=INDEX(Cluster_Master!$A$4:$A$18,MATCH($F365,Cluster_Master!$B$4:$B$18,0)),"OK","CHECK"),"CHECK"))</f>
        <v/>
      </c>
      <c r="H365" s="11" t="str">
        <f>IFERROR(INDEX(Cluster_Master!$C$4:$C$18,MATCH($F365,Cluster_Master!$B$4:$B$18,0)),"")</f>
        <v/>
      </c>
      <c r="I365" s="8" t="str">
        <f>IFERROR(INDEX(Cluster_Master!$D$4:$D$18,MATCH($F365,Cluster_Master!$B$4:$B$18,0)),"")</f>
        <v/>
      </c>
      <c r="J365" s="8" t="str">
        <f>IFERROR(INDEX(Cluster_Master!$E$4:$E$18,MATCH($F365,Cluster_Master!$B$4:$B$18,0)),"")</f>
        <v/>
      </c>
      <c r="K365" s="8" t="str">
        <f>IFERROR(INDEX(Cluster_Master!$F$4:$F$18,MATCH($F365,Cluster_Master!$B$4:$B$18,0)),"")</f>
        <v/>
      </c>
      <c r="L365" s="8" t="str">
        <f>IFERROR(INDEX(Cluster_Master!$G$4:$G$18,MATCH($F365,Cluster_Master!$B$4:$B$18,0)),"")</f>
        <v/>
      </c>
      <c r="M365" s="8" t="str">
        <f>IFERROR(INDEX(Cluster_Master!$H$4:$H$18,MATCH($F365,Cluster_Master!$B$4:$B$18,0)),"")</f>
        <v/>
      </c>
      <c r="N365" s="12"/>
      <c r="O365" s="12"/>
      <c r="P365" s="12"/>
      <c r="Q365" s="12"/>
      <c r="R365" s="12"/>
      <c r="S365" s="12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8" t="str">
        <f t="shared" si="47"/>
        <v/>
      </c>
      <c r="AJ365" s="14" t="str">
        <f t="shared" si="48"/>
        <v/>
      </c>
      <c r="AK365" s="14" t="str">
        <f>IF(COUNTA(T365:AH365)=0,"",(SUM(T365*KPI_Weights!$B$4,U365*KPI_Weights!$B$5,V365*KPI_Weights!$B$6,W365*KPI_Weights!$B$7,X365*KPI_Weights!$B$8,Y365*KPI_Weights!$B$9,Z365*KPI_Weights!$B$10,AA365*KPI_Weights!$B$11,AB365*KPI_Weights!$B$12,AC365*KPI_Weights!$B$13,AD365*KPI_Weights!$B$14,AE365*KPI_Weights!$B$15,AF365*KPI_Weights!$B$16,AG365*KPI_Weights!$B$17,AH365*KPI_Weights!$B$18))/5)</f>
        <v/>
      </c>
      <c r="AL365" s="8" t="str">
        <f t="shared" si="49"/>
        <v/>
      </c>
      <c r="AM365" s="8" t="str">
        <f t="shared" si="50"/>
        <v/>
      </c>
      <c r="AN365" s="8" t="str">
        <f t="shared" si="51"/>
        <v/>
      </c>
      <c r="AO365" s="12"/>
      <c r="AP365" s="12"/>
      <c r="AQ365" s="12"/>
      <c r="AR365" s="12"/>
      <c r="AS365" s="12"/>
      <c r="AT365" s="15"/>
      <c r="AU365" s="12"/>
      <c r="AV365" s="16"/>
      <c r="AW365" s="12"/>
      <c r="AX365" s="15"/>
      <c r="AY365" s="15"/>
      <c r="AZ365" s="15"/>
      <c r="BA365" s="15"/>
      <c r="BB365" s="15"/>
      <c r="BC365" s="15"/>
      <c r="BD365" s="15"/>
      <c r="BE365" s="15"/>
      <c r="BF365" s="15"/>
    </row>
    <row r="366" spans="1:58" ht="19.5" customHeight="1" x14ac:dyDescent="0.2">
      <c r="A366" s="8" t="str">
        <f>IF($B366="","",TEXT($B366,"yyyymmdd")&amp;"-"&amp;SUBSTITUTE($F366," ","")&amp;"-"&amp;TEXT(COUNTIF($F$4:F366,$F366),"00"))</f>
        <v/>
      </c>
      <c r="B366" s="9"/>
      <c r="C366" s="8" t="str">
        <f t="shared" si="45"/>
        <v/>
      </c>
      <c r="D366" s="8" t="str">
        <f t="shared" si="46"/>
        <v/>
      </c>
      <c r="E366" s="10"/>
      <c r="F366" s="10"/>
      <c r="G366" s="8" t="str">
        <f>IF(OR($E366="",$F366=""),"",IFERROR(IF($E366=INDEX(Cluster_Master!$A$4:$A$18,MATCH($F366,Cluster_Master!$B$4:$B$18,0)),"OK","CHECK"),"CHECK"))</f>
        <v/>
      </c>
      <c r="H366" s="11" t="str">
        <f>IFERROR(INDEX(Cluster_Master!$C$4:$C$18,MATCH($F366,Cluster_Master!$B$4:$B$18,0)),"")</f>
        <v/>
      </c>
      <c r="I366" s="8" t="str">
        <f>IFERROR(INDEX(Cluster_Master!$D$4:$D$18,MATCH($F366,Cluster_Master!$B$4:$B$18,0)),"")</f>
        <v/>
      </c>
      <c r="J366" s="8" t="str">
        <f>IFERROR(INDEX(Cluster_Master!$E$4:$E$18,MATCH($F366,Cluster_Master!$B$4:$B$18,0)),"")</f>
        <v/>
      </c>
      <c r="K366" s="8" t="str">
        <f>IFERROR(INDEX(Cluster_Master!$F$4:$F$18,MATCH($F366,Cluster_Master!$B$4:$B$18,0)),"")</f>
        <v/>
      </c>
      <c r="L366" s="8" t="str">
        <f>IFERROR(INDEX(Cluster_Master!$G$4:$G$18,MATCH($F366,Cluster_Master!$B$4:$B$18,0)),"")</f>
        <v/>
      </c>
      <c r="M366" s="8" t="str">
        <f>IFERROR(INDEX(Cluster_Master!$H$4:$H$18,MATCH($F366,Cluster_Master!$B$4:$B$18,0)),"")</f>
        <v/>
      </c>
      <c r="N366" s="12"/>
      <c r="O366" s="12"/>
      <c r="P366" s="12"/>
      <c r="Q366" s="12"/>
      <c r="R366" s="12"/>
      <c r="S366" s="12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8" t="str">
        <f t="shared" si="47"/>
        <v/>
      </c>
      <c r="AJ366" s="14" t="str">
        <f t="shared" si="48"/>
        <v/>
      </c>
      <c r="AK366" s="14" t="str">
        <f>IF(COUNTA(T366:AH366)=0,"",(SUM(T366*KPI_Weights!$B$4,U366*KPI_Weights!$B$5,V366*KPI_Weights!$B$6,W366*KPI_Weights!$B$7,X366*KPI_Weights!$B$8,Y366*KPI_Weights!$B$9,Z366*KPI_Weights!$B$10,AA366*KPI_Weights!$B$11,AB366*KPI_Weights!$B$12,AC366*KPI_Weights!$B$13,AD366*KPI_Weights!$B$14,AE366*KPI_Weights!$B$15,AF366*KPI_Weights!$B$16,AG366*KPI_Weights!$B$17,AH366*KPI_Weights!$B$18))/5)</f>
        <v/>
      </c>
      <c r="AL366" s="8" t="str">
        <f t="shared" si="49"/>
        <v/>
      </c>
      <c r="AM366" s="8" t="str">
        <f t="shared" si="50"/>
        <v/>
      </c>
      <c r="AN366" s="8" t="str">
        <f t="shared" si="51"/>
        <v/>
      </c>
      <c r="AO366" s="12"/>
      <c r="AP366" s="12"/>
      <c r="AQ366" s="12"/>
      <c r="AR366" s="12"/>
      <c r="AS366" s="12"/>
      <c r="AT366" s="15"/>
      <c r="AU366" s="12"/>
      <c r="AV366" s="16"/>
      <c r="AW366" s="12"/>
      <c r="AX366" s="15"/>
      <c r="AY366" s="15"/>
      <c r="AZ366" s="15"/>
      <c r="BA366" s="15"/>
      <c r="BB366" s="15"/>
      <c r="BC366" s="15"/>
      <c r="BD366" s="15"/>
      <c r="BE366" s="15"/>
      <c r="BF366" s="15"/>
    </row>
    <row r="367" spans="1:58" ht="19.5" customHeight="1" x14ac:dyDescent="0.2">
      <c r="A367" s="8" t="str">
        <f>IF($B367="","",TEXT($B367,"yyyymmdd")&amp;"-"&amp;SUBSTITUTE($F367," ","")&amp;"-"&amp;TEXT(COUNTIF($F$4:F367,$F367),"00"))</f>
        <v/>
      </c>
      <c r="B367" s="9"/>
      <c r="C367" s="8" t="str">
        <f t="shared" si="45"/>
        <v/>
      </c>
      <c r="D367" s="8" t="str">
        <f t="shared" si="46"/>
        <v/>
      </c>
      <c r="E367" s="10"/>
      <c r="F367" s="10"/>
      <c r="G367" s="8" t="str">
        <f>IF(OR($E367="",$F367=""),"",IFERROR(IF($E367=INDEX(Cluster_Master!$A$4:$A$18,MATCH($F367,Cluster_Master!$B$4:$B$18,0)),"OK","CHECK"),"CHECK"))</f>
        <v/>
      </c>
      <c r="H367" s="11" t="str">
        <f>IFERROR(INDEX(Cluster_Master!$C$4:$C$18,MATCH($F367,Cluster_Master!$B$4:$B$18,0)),"")</f>
        <v/>
      </c>
      <c r="I367" s="8" t="str">
        <f>IFERROR(INDEX(Cluster_Master!$D$4:$D$18,MATCH($F367,Cluster_Master!$B$4:$B$18,0)),"")</f>
        <v/>
      </c>
      <c r="J367" s="8" t="str">
        <f>IFERROR(INDEX(Cluster_Master!$E$4:$E$18,MATCH($F367,Cluster_Master!$B$4:$B$18,0)),"")</f>
        <v/>
      </c>
      <c r="K367" s="8" t="str">
        <f>IFERROR(INDEX(Cluster_Master!$F$4:$F$18,MATCH($F367,Cluster_Master!$B$4:$B$18,0)),"")</f>
        <v/>
      </c>
      <c r="L367" s="8" t="str">
        <f>IFERROR(INDEX(Cluster_Master!$G$4:$G$18,MATCH($F367,Cluster_Master!$B$4:$B$18,0)),"")</f>
        <v/>
      </c>
      <c r="M367" s="8" t="str">
        <f>IFERROR(INDEX(Cluster_Master!$H$4:$H$18,MATCH($F367,Cluster_Master!$B$4:$B$18,0)),"")</f>
        <v/>
      </c>
      <c r="N367" s="12"/>
      <c r="O367" s="12"/>
      <c r="P367" s="12"/>
      <c r="Q367" s="12"/>
      <c r="R367" s="12"/>
      <c r="S367" s="12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8" t="str">
        <f t="shared" si="47"/>
        <v/>
      </c>
      <c r="AJ367" s="14" t="str">
        <f t="shared" si="48"/>
        <v/>
      </c>
      <c r="AK367" s="14" t="str">
        <f>IF(COUNTA(T367:AH367)=0,"",(SUM(T367*KPI_Weights!$B$4,U367*KPI_Weights!$B$5,V367*KPI_Weights!$B$6,W367*KPI_Weights!$B$7,X367*KPI_Weights!$B$8,Y367*KPI_Weights!$B$9,Z367*KPI_Weights!$B$10,AA367*KPI_Weights!$B$11,AB367*KPI_Weights!$B$12,AC367*KPI_Weights!$B$13,AD367*KPI_Weights!$B$14,AE367*KPI_Weights!$B$15,AF367*KPI_Weights!$B$16,AG367*KPI_Weights!$B$17,AH367*KPI_Weights!$B$18))/5)</f>
        <v/>
      </c>
      <c r="AL367" s="8" t="str">
        <f t="shared" si="49"/>
        <v/>
      </c>
      <c r="AM367" s="8" t="str">
        <f t="shared" si="50"/>
        <v/>
      </c>
      <c r="AN367" s="8" t="str">
        <f t="shared" si="51"/>
        <v/>
      </c>
      <c r="AO367" s="12"/>
      <c r="AP367" s="12"/>
      <c r="AQ367" s="12"/>
      <c r="AR367" s="12"/>
      <c r="AS367" s="12"/>
      <c r="AT367" s="15"/>
      <c r="AU367" s="12"/>
      <c r="AV367" s="16"/>
      <c r="AW367" s="12"/>
      <c r="AX367" s="15"/>
      <c r="AY367" s="15"/>
      <c r="AZ367" s="15"/>
      <c r="BA367" s="15"/>
      <c r="BB367" s="15"/>
      <c r="BC367" s="15"/>
      <c r="BD367" s="15"/>
      <c r="BE367" s="15"/>
      <c r="BF367" s="15"/>
    </row>
    <row r="368" spans="1:58" ht="19.5" customHeight="1" x14ac:dyDescent="0.2">
      <c r="A368" s="8" t="str">
        <f>IF($B368="","",TEXT($B368,"yyyymmdd")&amp;"-"&amp;SUBSTITUTE($F368," ","")&amp;"-"&amp;TEXT(COUNTIF($F$4:F368,$F368),"00"))</f>
        <v/>
      </c>
      <c r="B368" s="9"/>
      <c r="C368" s="8" t="str">
        <f t="shared" si="45"/>
        <v/>
      </c>
      <c r="D368" s="8" t="str">
        <f t="shared" si="46"/>
        <v/>
      </c>
      <c r="E368" s="10"/>
      <c r="F368" s="10"/>
      <c r="G368" s="8" t="str">
        <f>IF(OR($E368="",$F368=""),"",IFERROR(IF($E368=INDEX(Cluster_Master!$A$4:$A$18,MATCH($F368,Cluster_Master!$B$4:$B$18,0)),"OK","CHECK"),"CHECK"))</f>
        <v/>
      </c>
      <c r="H368" s="11" t="str">
        <f>IFERROR(INDEX(Cluster_Master!$C$4:$C$18,MATCH($F368,Cluster_Master!$B$4:$B$18,0)),"")</f>
        <v/>
      </c>
      <c r="I368" s="8" t="str">
        <f>IFERROR(INDEX(Cluster_Master!$D$4:$D$18,MATCH($F368,Cluster_Master!$B$4:$B$18,0)),"")</f>
        <v/>
      </c>
      <c r="J368" s="8" t="str">
        <f>IFERROR(INDEX(Cluster_Master!$E$4:$E$18,MATCH($F368,Cluster_Master!$B$4:$B$18,0)),"")</f>
        <v/>
      </c>
      <c r="K368" s="8" t="str">
        <f>IFERROR(INDEX(Cluster_Master!$F$4:$F$18,MATCH($F368,Cluster_Master!$B$4:$B$18,0)),"")</f>
        <v/>
      </c>
      <c r="L368" s="8" t="str">
        <f>IFERROR(INDEX(Cluster_Master!$G$4:$G$18,MATCH($F368,Cluster_Master!$B$4:$B$18,0)),"")</f>
        <v/>
      </c>
      <c r="M368" s="8" t="str">
        <f>IFERROR(INDEX(Cluster_Master!$H$4:$H$18,MATCH($F368,Cluster_Master!$B$4:$B$18,0)),"")</f>
        <v/>
      </c>
      <c r="N368" s="12"/>
      <c r="O368" s="12"/>
      <c r="P368" s="12"/>
      <c r="Q368" s="12"/>
      <c r="R368" s="12"/>
      <c r="S368" s="12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8" t="str">
        <f t="shared" si="47"/>
        <v/>
      </c>
      <c r="AJ368" s="14" t="str">
        <f t="shared" si="48"/>
        <v/>
      </c>
      <c r="AK368" s="14" t="str">
        <f>IF(COUNTA(T368:AH368)=0,"",(SUM(T368*KPI_Weights!$B$4,U368*KPI_Weights!$B$5,V368*KPI_Weights!$B$6,W368*KPI_Weights!$B$7,X368*KPI_Weights!$B$8,Y368*KPI_Weights!$B$9,Z368*KPI_Weights!$B$10,AA368*KPI_Weights!$B$11,AB368*KPI_Weights!$B$12,AC368*KPI_Weights!$B$13,AD368*KPI_Weights!$B$14,AE368*KPI_Weights!$B$15,AF368*KPI_Weights!$B$16,AG368*KPI_Weights!$B$17,AH368*KPI_Weights!$B$18))/5)</f>
        <v/>
      </c>
      <c r="AL368" s="8" t="str">
        <f t="shared" si="49"/>
        <v/>
      </c>
      <c r="AM368" s="8" t="str">
        <f t="shared" si="50"/>
        <v/>
      </c>
      <c r="AN368" s="8" t="str">
        <f t="shared" si="51"/>
        <v/>
      </c>
      <c r="AO368" s="12"/>
      <c r="AP368" s="12"/>
      <c r="AQ368" s="12"/>
      <c r="AR368" s="12"/>
      <c r="AS368" s="12"/>
      <c r="AT368" s="15"/>
      <c r="AU368" s="12"/>
      <c r="AV368" s="16"/>
      <c r="AW368" s="12"/>
      <c r="AX368" s="15"/>
      <c r="AY368" s="15"/>
      <c r="AZ368" s="15"/>
      <c r="BA368" s="15"/>
      <c r="BB368" s="15"/>
      <c r="BC368" s="15"/>
      <c r="BD368" s="15"/>
      <c r="BE368" s="15"/>
      <c r="BF368" s="15"/>
    </row>
    <row r="369" spans="1:58" ht="19.5" customHeight="1" x14ac:dyDescent="0.2">
      <c r="A369" s="8" t="str">
        <f>IF($B369="","",TEXT($B369,"yyyymmdd")&amp;"-"&amp;SUBSTITUTE($F369," ","")&amp;"-"&amp;TEXT(COUNTIF($F$4:F369,$F369),"00"))</f>
        <v/>
      </c>
      <c r="B369" s="9"/>
      <c r="C369" s="8" t="str">
        <f t="shared" si="45"/>
        <v/>
      </c>
      <c r="D369" s="8" t="str">
        <f t="shared" si="46"/>
        <v/>
      </c>
      <c r="E369" s="10"/>
      <c r="F369" s="10"/>
      <c r="G369" s="8" t="str">
        <f>IF(OR($E369="",$F369=""),"",IFERROR(IF($E369=INDEX(Cluster_Master!$A$4:$A$18,MATCH($F369,Cluster_Master!$B$4:$B$18,0)),"OK","CHECK"),"CHECK"))</f>
        <v/>
      </c>
      <c r="H369" s="11" t="str">
        <f>IFERROR(INDEX(Cluster_Master!$C$4:$C$18,MATCH($F369,Cluster_Master!$B$4:$B$18,0)),"")</f>
        <v/>
      </c>
      <c r="I369" s="8" t="str">
        <f>IFERROR(INDEX(Cluster_Master!$D$4:$D$18,MATCH($F369,Cluster_Master!$B$4:$B$18,0)),"")</f>
        <v/>
      </c>
      <c r="J369" s="8" t="str">
        <f>IFERROR(INDEX(Cluster_Master!$E$4:$E$18,MATCH($F369,Cluster_Master!$B$4:$B$18,0)),"")</f>
        <v/>
      </c>
      <c r="K369" s="8" t="str">
        <f>IFERROR(INDEX(Cluster_Master!$F$4:$F$18,MATCH($F369,Cluster_Master!$B$4:$B$18,0)),"")</f>
        <v/>
      </c>
      <c r="L369" s="8" t="str">
        <f>IFERROR(INDEX(Cluster_Master!$G$4:$G$18,MATCH($F369,Cluster_Master!$B$4:$B$18,0)),"")</f>
        <v/>
      </c>
      <c r="M369" s="8" t="str">
        <f>IFERROR(INDEX(Cluster_Master!$H$4:$H$18,MATCH($F369,Cluster_Master!$B$4:$B$18,0)),"")</f>
        <v/>
      </c>
      <c r="N369" s="12"/>
      <c r="O369" s="12"/>
      <c r="P369" s="12"/>
      <c r="Q369" s="12"/>
      <c r="R369" s="12"/>
      <c r="S369" s="12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8" t="str">
        <f t="shared" si="47"/>
        <v/>
      </c>
      <c r="AJ369" s="14" t="str">
        <f t="shared" si="48"/>
        <v/>
      </c>
      <c r="AK369" s="14" t="str">
        <f>IF(COUNTA(T369:AH369)=0,"",(SUM(T369*KPI_Weights!$B$4,U369*KPI_Weights!$B$5,V369*KPI_Weights!$B$6,W369*KPI_Weights!$B$7,X369*KPI_Weights!$B$8,Y369*KPI_Weights!$B$9,Z369*KPI_Weights!$B$10,AA369*KPI_Weights!$B$11,AB369*KPI_Weights!$B$12,AC369*KPI_Weights!$B$13,AD369*KPI_Weights!$B$14,AE369*KPI_Weights!$B$15,AF369*KPI_Weights!$B$16,AG369*KPI_Weights!$B$17,AH369*KPI_Weights!$B$18))/5)</f>
        <v/>
      </c>
      <c r="AL369" s="8" t="str">
        <f t="shared" si="49"/>
        <v/>
      </c>
      <c r="AM369" s="8" t="str">
        <f t="shared" si="50"/>
        <v/>
      </c>
      <c r="AN369" s="8" t="str">
        <f t="shared" si="51"/>
        <v/>
      </c>
      <c r="AO369" s="12"/>
      <c r="AP369" s="12"/>
      <c r="AQ369" s="12"/>
      <c r="AR369" s="12"/>
      <c r="AS369" s="12"/>
      <c r="AT369" s="15"/>
      <c r="AU369" s="12"/>
      <c r="AV369" s="16"/>
      <c r="AW369" s="12"/>
      <c r="AX369" s="15"/>
      <c r="AY369" s="15"/>
      <c r="AZ369" s="15"/>
      <c r="BA369" s="15"/>
      <c r="BB369" s="15"/>
      <c r="BC369" s="15"/>
      <c r="BD369" s="15"/>
      <c r="BE369" s="15"/>
      <c r="BF369" s="15"/>
    </row>
    <row r="370" spans="1:58" ht="19.5" customHeight="1" x14ac:dyDescent="0.2">
      <c r="A370" s="8" t="str">
        <f>IF($B370="","",TEXT($B370,"yyyymmdd")&amp;"-"&amp;SUBSTITUTE($F370," ","")&amp;"-"&amp;TEXT(COUNTIF($F$4:F370,$F370),"00"))</f>
        <v/>
      </c>
      <c r="B370" s="9"/>
      <c r="C370" s="8" t="str">
        <f t="shared" si="45"/>
        <v/>
      </c>
      <c r="D370" s="8" t="str">
        <f t="shared" si="46"/>
        <v/>
      </c>
      <c r="E370" s="10"/>
      <c r="F370" s="10"/>
      <c r="G370" s="8" t="str">
        <f>IF(OR($E370="",$F370=""),"",IFERROR(IF($E370=INDEX(Cluster_Master!$A$4:$A$18,MATCH($F370,Cluster_Master!$B$4:$B$18,0)),"OK","CHECK"),"CHECK"))</f>
        <v/>
      </c>
      <c r="H370" s="11" t="str">
        <f>IFERROR(INDEX(Cluster_Master!$C$4:$C$18,MATCH($F370,Cluster_Master!$B$4:$B$18,0)),"")</f>
        <v/>
      </c>
      <c r="I370" s="8" t="str">
        <f>IFERROR(INDEX(Cluster_Master!$D$4:$D$18,MATCH($F370,Cluster_Master!$B$4:$B$18,0)),"")</f>
        <v/>
      </c>
      <c r="J370" s="8" t="str">
        <f>IFERROR(INDEX(Cluster_Master!$E$4:$E$18,MATCH($F370,Cluster_Master!$B$4:$B$18,0)),"")</f>
        <v/>
      </c>
      <c r="K370" s="8" t="str">
        <f>IFERROR(INDEX(Cluster_Master!$F$4:$F$18,MATCH($F370,Cluster_Master!$B$4:$B$18,0)),"")</f>
        <v/>
      </c>
      <c r="L370" s="8" t="str">
        <f>IFERROR(INDEX(Cluster_Master!$G$4:$G$18,MATCH($F370,Cluster_Master!$B$4:$B$18,0)),"")</f>
        <v/>
      </c>
      <c r="M370" s="8" t="str">
        <f>IFERROR(INDEX(Cluster_Master!$H$4:$H$18,MATCH($F370,Cluster_Master!$B$4:$B$18,0)),"")</f>
        <v/>
      </c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8" t="str">
        <f t="shared" si="47"/>
        <v/>
      </c>
      <c r="AJ370" s="14" t="str">
        <f t="shared" si="48"/>
        <v/>
      </c>
      <c r="AK370" s="14" t="str">
        <f>IF(COUNTA(T370:AH370)=0,"",(SUM(T370*KPI_Weights!$B$4,U370*KPI_Weights!$B$5,V370*KPI_Weights!$B$6,W370*KPI_Weights!$B$7,X370*KPI_Weights!$B$8,Y370*KPI_Weights!$B$9,Z370*KPI_Weights!$B$10,AA370*KPI_Weights!$B$11,AB370*KPI_Weights!$B$12,AC370*KPI_Weights!$B$13,AD370*KPI_Weights!$B$14,AE370*KPI_Weights!$B$15,AF370*KPI_Weights!$B$16,AG370*KPI_Weights!$B$17,AH370*KPI_Weights!$B$18))/5)</f>
        <v/>
      </c>
      <c r="AL370" s="8" t="str">
        <f t="shared" si="49"/>
        <v/>
      </c>
      <c r="AM370" s="8" t="str">
        <f t="shared" si="50"/>
        <v/>
      </c>
      <c r="AN370" s="8" t="str">
        <f t="shared" si="51"/>
        <v/>
      </c>
      <c r="AO370" s="12"/>
      <c r="AP370" s="12"/>
      <c r="AQ370" s="12"/>
      <c r="AR370" s="12"/>
      <c r="AS370" s="12"/>
      <c r="AT370" s="15"/>
      <c r="AU370" s="12"/>
      <c r="AV370" s="16"/>
      <c r="AW370" s="12"/>
      <c r="AX370" s="15"/>
      <c r="AY370" s="15"/>
      <c r="AZ370" s="15"/>
      <c r="BA370" s="15"/>
      <c r="BB370" s="15"/>
      <c r="BC370" s="15"/>
      <c r="BD370" s="15"/>
      <c r="BE370" s="15"/>
      <c r="BF370" s="15"/>
    </row>
    <row r="371" spans="1:58" ht="19.5" customHeight="1" x14ac:dyDescent="0.2">
      <c r="A371" s="8" t="str">
        <f>IF($B371="","",TEXT($B371,"yyyymmdd")&amp;"-"&amp;SUBSTITUTE($F371," ","")&amp;"-"&amp;TEXT(COUNTIF($F$4:F371,$F371),"00"))</f>
        <v/>
      </c>
      <c r="B371" s="9"/>
      <c r="C371" s="8" t="str">
        <f t="shared" si="45"/>
        <v/>
      </c>
      <c r="D371" s="8" t="str">
        <f t="shared" si="46"/>
        <v/>
      </c>
      <c r="E371" s="10"/>
      <c r="F371" s="10"/>
      <c r="G371" s="8" t="str">
        <f>IF(OR($E371="",$F371=""),"",IFERROR(IF($E371=INDEX(Cluster_Master!$A$4:$A$18,MATCH($F371,Cluster_Master!$B$4:$B$18,0)),"OK","CHECK"),"CHECK"))</f>
        <v/>
      </c>
      <c r="H371" s="11" t="str">
        <f>IFERROR(INDEX(Cluster_Master!$C$4:$C$18,MATCH($F371,Cluster_Master!$B$4:$B$18,0)),"")</f>
        <v/>
      </c>
      <c r="I371" s="8" t="str">
        <f>IFERROR(INDEX(Cluster_Master!$D$4:$D$18,MATCH($F371,Cluster_Master!$B$4:$B$18,0)),"")</f>
        <v/>
      </c>
      <c r="J371" s="8" t="str">
        <f>IFERROR(INDEX(Cluster_Master!$E$4:$E$18,MATCH($F371,Cluster_Master!$B$4:$B$18,0)),"")</f>
        <v/>
      </c>
      <c r="K371" s="8" t="str">
        <f>IFERROR(INDEX(Cluster_Master!$F$4:$F$18,MATCH($F371,Cluster_Master!$B$4:$B$18,0)),"")</f>
        <v/>
      </c>
      <c r="L371" s="8" t="str">
        <f>IFERROR(INDEX(Cluster_Master!$G$4:$G$18,MATCH($F371,Cluster_Master!$B$4:$B$18,0)),"")</f>
        <v/>
      </c>
      <c r="M371" s="8" t="str">
        <f>IFERROR(INDEX(Cluster_Master!$H$4:$H$18,MATCH($F371,Cluster_Master!$B$4:$B$18,0)),"")</f>
        <v/>
      </c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8" t="str">
        <f t="shared" si="47"/>
        <v/>
      </c>
      <c r="AJ371" s="14" t="str">
        <f t="shared" si="48"/>
        <v/>
      </c>
      <c r="AK371" s="14" t="str">
        <f>IF(COUNTA(T371:AH371)=0,"",(SUM(T371*KPI_Weights!$B$4,U371*KPI_Weights!$B$5,V371*KPI_Weights!$B$6,W371*KPI_Weights!$B$7,X371*KPI_Weights!$B$8,Y371*KPI_Weights!$B$9,Z371*KPI_Weights!$B$10,AA371*KPI_Weights!$B$11,AB371*KPI_Weights!$B$12,AC371*KPI_Weights!$B$13,AD371*KPI_Weights!$B$14,AE371*KPI_Weights!$B$15,AF371*KPI_Weights!$B$16,AG371*KPI_Weights!$B$17,AH371*KPI_Weights!$B$18))/5)</f>
        <v/>
      </c>
      <c r="AL371" s="8" t="str">
        <f t="shared" si="49"/>
        <v/>
      </c>
      <c r="AM371" s="8" t="str">
        <f t="shared" si="50"/>
        <v/>
      </c>
      <c r="AN371" s="8" t="str">
        <f t="shared" si="51"/>
        <v/>
      </c>
      <c r="AO371" s="12"/>
      <c r="AP371" s="12"/>
      <c r="AQ371" s="12"/>
      <c r="AR371" s="12"/>
      <c r="AS371" s="12"/>
      <c r="AT371" s="15"/>
      <c r="AU371" s="12"/>
      <c r="AV371" s="16"/>
      <c r="AW371" s="12"/>
      <c r="AX371" s="15"/>
      <c r="AY371" s="15"/>
      <c r="AZ371" s="15"/>
      <c r="BA371" s="15"/>
      <c r="BB371" s="15"/>
      <c r="BC371" s="15"/>
      <c r="BD371" s="15"/>
      <c r="BE371" s="15"/>
      <c r="BF371" s="15"/>
    </row>
    <row r="372" spans="1:58" ht="19.5" customHeight="1" x14ac:dyDescent="0.2">
      <c r="A372" s="8" t="str">
        <f>IF($B372="","",TEXT($B372,"yyyymmdd")&amp;"-"&amp;SUBSTITUTE($F372," ","")&amp;"-"&amp;TEXT(COUNTIF($F$4:F372,$F372),"00"))</f>
        <v/>
      </c>
      <c r="B372" s="9"/>
      <c r="C372" s="8" t="str">
        <f t="shared" si="45"/>
        <v/>
      </c>
      <c r="D372" s="8" t="str">
        <f t="shared" si="46"/>
        <v/>
      </c>
      <c r="E372" s="10"/>
      <c r="F372" s="10"/>
      <c r="G372" s="8" t="str">
        <f>IF(OR($E372="",$F372=""),"",IFERROR(IF($E372=INDEX(Cluster_Master!$A$4:$A$18,MATCH($F372,Cluster_Master!$B$4:$B$18,0)),"OK","CHECK"),"CHECK"))</f>
        <v/>
      </c>
      <c r="H372" s="11" t="str">
        <f>IFERROR(INDEX(Cluster_Master!$C$4:$C$18,MATCH($F372,Cluster_Master!$B$4:$B$18,0)),"")</f>
        <v/>
      </c>
      <c r="I372" s="8" t="str">
        <f>IFERROR(INDEX(Cluster_Master!$D$4:$D$18,MATCH($F372,Cluster_Master!$B$4:$B$18,0)),"")</f>
        <v/>
      </c>
      <c r="J372" s="8" t="str">
        <f>IFERROR(INDEX(Cluster_Master!$E$4:$E$18,MATCH($F372,Cluster_Master!$B$4:$B$18,0)),"")</f>
        <v/>
      </c>
      <c r="K372" s="8" t="str">
        <f>IFERROR(INDEX(Cluster_Master!$F$4:$F$18,MATCH($F372,Cluster_Master!$B$4:$B$18,0)),"")</f>
        <v/>
      </c>
      <c r="L372" s="8" t="str">
        <f>IFERROR(INDEX(Cluster_Master!$G$4:$G$18,MATCH($F372,Cluster_Master!$B$4:$B$18,0)),"")</f>
        <v/>
      </c>
      <c r="M372" s="8" t="str">
        <f>IFERROR(INDEX(Cluster_Master!$H$4:$H$18,MATCH($F372,Cluster_Master!$B$4:$B$18,0)),"")</f>
        <v/>
      </c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8" t="str">
        <f t="shared" si="47"/>
        <v/>
      </c>
      <c r="AJ372" s="14" t="str">
        <f t="shared" si="48"/>
        <v/>
      </c>
      <c r="AK372" s="14" t="str">
        <f>IF(COUNTA(T372:AH372)=0,"",(SUM(T372*KPI_Weights!$B$4,U372*KPI_Weights!$B$5,V372*KPI_Weights!$B$6,W372*KPI_Weights!$B$7,X372*KPI_Weights!$B$8,Y372*KPI_Weights!$B$9,Z372*KPI_Weights!$B$10,AA372*KPI_Weights!$B$11,AB372*KPI_Weights!$B$12,AC372*KPI_Weights!$B$13,AD372*KPI_Weights!$B$14,AE372*KPI_Weights!$B$15,AF372*KPI_Weights!$B$16,AG372*KPI_Weights!$B$17,AH372*KPI_Weights!$B$18))/5)</f>
        <v/>
      </c>
      <c r="AL372" s="8" t="str">
        <f t="shared" si="49"/>
        <v/>
      </c>
      <c r="AM372" s="8" t="str">
        <f t="shared" si="50"/>
        <v/>
      </c>
      <c r="AN372" s="8" t="str">
        <f t="shared" si="51"/>
        <v/>
      </c>
      <c r="AO372" s="12"/>
      <c r="AP372" s="12"/>
      <c r="AQ372" s="12"/>
      <c r="AR372" s="12"/>
      <c r="AS372" s="12"/>
      <c r="AT372" s="15"/>
      <c r="AU372" s="12"/>
      <c r="AV372" s="16"/>
      <c r="AW372" s="12"/>
      <c r="AX372" s="15"/>
      <c r="AY372" s="15"/>
      <c r="AZ372" s="15"/>
      <c r="BA372" s="15"/>
      <c r="BB372" s="15"/>
      <c r="BC372" s="15"/>
      <c r="BD372" s="15"/>
      <c r="BE372" s="15"/>
      <c r="BF372" s="15"/>
    </row>
    <row r="373" spans="1:58" ht="19.5" customHeight="1" x14ac:dyDescent="0.2">
      <c r="A373" s="8" t="str">
        <f>IF($B373="","",TEXT($B373,"yyyymmdd")&amp;"-"&amp;SUBSTITUTE($F373," ","")&amp;"-"&amp;TEXT(COUNTIF($F$4:F373,$F373),"00"))</f>
        <v/>
      </c>
      <c r="B373" s="9"/>
      <c r="C373" s="8" t="str">
        <f t="shared" si="45"/>
        <v/>
      </c>
      <c r="D373" s="8" t="str">
        <f t="shared" si="46"/>
        <v/>
      </c>
      <c r="E373" s="10"/>
      <c r="F373" s="10"/>
      <c r="G373" s="8" t="str">
        <f>IF(OR($E373="",$F373=""),"",IFERROR(IF($E373=INDEX(Cluster_Master!$A$4:$A$18,MATCH($F373,Cluster_Master!$B$4:$B$18,0)),"OK","CHECK"),"CHECK"))</f>
        <v/>
      </c>
      <c r="H373" s="11" t="str">
        <f>IFERROR(INDEX(Cluster_Master!$C$4:$C$18,MATCH($F373,Cluster_Master!$B$4:$B$18,0)),"")</f>
        <v/>
      </c>
      <c r="I373" s="8" t="str">
        <f>IFERROR(INDEX(Cluster_Master!$D$4:$D$18,MATCH($F373,Cluster_Master!$B$4:$B$18,0)),"")</f>
        <v/>
      </c>
      <c r="J373" s="8" t="str">
        <f>IFERROR(INDEX(Cluster_Master!$E$4:$E$18,MATCH($F373,Cluster_Master!$B$4:$B$18,0)),"")</f>
        <v/>
      </c>
      <c r="K373" s="8" t="str">
        <f>IFERROR(INDEX(Cluster_Master!$F$4:$F$18,MATCH($F373,Cluster_Master!$B$4:$B$18,0)),"")</f>
        <v/>
      </c>
      <c r="L373" s="8" t="str">
        <f>IFERROR(INDEX(Cluster_Master!$G$4:$G$18,MATCH($F373,Cluster_Master!$B$4:$B$18,0)),"")</f>
        <v/>
      </c>
      <c r="M373" s="8" t="str">
        <f>IFERROR(INDEX(Cluster_Master!$H$4:$H$18,MATCH($F373,Cluster_Master!$B$4:$B$18,0)),"")</f>
        <v/>
      </c>
      <c r="N373" s="12"/>
      <c r="O373" s="12"/>
      <c r="P373" s="12"/>
      <c r="Q373" s="12"/>
      <c r="R373" s="12"/>
      <c r="S373" s="12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8" t="str">
        <f t="shared" si="47"/>
        <v/>
      </c>
      <c r="AJ373" s="14" t="str">
        <f t="shared" si="48"/>
        <v/>
      </c>
      <c r="AK373" s="14" t="str">
        <f>IF(COUNTA(T373:AH373)=0,"",(SUM(T373*KPI_Weights!$B$4,U373*KPI_Weights!$B$5,V373*KPI_Weights!$B$6,W373*KPI_Weights!$B$7,X373*KPI_Weights!$B$8,Y373*KPI_Weights!$B$9,Z373*KPI_Weights!$B$10,AA373*KPI_Weights!$B$11,AB373*KPI_Weights!$B$12,AC373*KPI_Weights!$B$13,AD373*KPI_Weights!$B$14,AE373*KPI_Weights!$B$15,AF373*KPI_Weights!$B$16,AG373*KPI_Weights!$B$17,AH373*KPI_Weights!$B$18))/5)</f>
        <v/>
      </c>
      <c r="AL373" s="8" t="str">
        <f t="shared" si="49"/>
        <v/>
      </c>
      <c r="AM373" s="8" t="str">
        <f t="shared" si="50"/>
        <v/>
      </c>
      <c r="AN373" s="8" t="str">
        <f t="shared" si="51"/>
        <v/>
      </c>
      <c r="AO373" s="12"/>
      <c r="AP373" s="12"/>
      <c r="AQ373" s="12"/>
      <c r="AR373" s="12"/>
      <c r="AS373" s="12"/>
      <c r="AT373" s="15"/>
      <c r="AU373" s="12"/>
      <c r="AV373" s="16"/>
      <c r="AW373" s="12"/>
      <c r="AX373" s="15"/>
      <c r="AY373" s="15"/>
      <c r="AZ373" s="15"/>
      <c r="BA373" s="15"/>
      <c r="BB373" s="15"/>
      <c r="BC373" s="15"/>
      <c r="BD373" s="15"/>
      <c r="BE373" s="15"/>
      <c r="BF373" s="15"/>
    </row>
    <row r="374" spans="1:58" ht="19.5" customHeight="1" x14ac:dyDescent="0.2">
      <c r="A374" s="8" t="str">
        <f>IF($B374="","",TEXT($B374,"yyyymmdd")&amp;"-"&amp;SUBSTITUTE($F374," ","")&amp;"-"&amp;TEXT(COUNTIF($F$4:F374,$F374),"00"))</f>
        <v/>
      </c>
      <c r="B374" s="9"/>
      <c r="C374" s="8" t="str">
        <f t="shared" si="45"/>
        <v/>
      </c>
      <c r="D374" s="8" t="str">
        <f t="shared" si="46"/>
        <v/>
      </c>
      <c r="E374" s="10"/>
      <c r="F374" s="10"/>
      <c r="G374" s="8" t="str">
        <f>IF(OR($E374="",$F374=""),"",IFERROR(IF($E374=INDEX(Cluster_Master!$A$4:$A$18,MATCH($F374,Cluster_Master!$B$4:$B$18,0)),"OK","CHECK"),"CHECK"))</f>
        <v/>
      </c>
      <c r="H374" s="11" t="str">
        <f>IFERROR(INDEX(Cluster_Master!$C$4:$C$18,MATCH($F374,Cluster_Master!$B$4:$B$18,0)),"")</f>
        <v/>
      </c>
      <c r="I374" s="8" t="str">
        <f>IFERROR(INDEX(Cluster_Master!$D$4:$D$18,MATCH($F374,Cluster_Master!$B$4:$B$18,0)),"")</f>
        <v/>
      </c>
      <c r="J374" s="8" t="str">
        <f>IFERROR(INDEX(Cluster_Master!$E$4:$E$18,MATCH($F374,Cluster_Master!$B$4:$B$18,0)),"")</f>
        <v/>
      </c>
      <c r="K374" s="8" t="str">
        <f>IFERROR(INDEX(Cluster_Master!$F$4:$F$18,MATCH($F374,Cluster_Master!$B$4:$B$18,0)),"")</f>
        <v/>
      </c>
      <c r="L374" s="8" t="str">
        <f>IFERROR(INDEX(Cluster_Master!$G$4:$G$18,MATCH($F374,Cluster_Master!$B$4:$B$18,0)),"")</f>
        <v/>
      </c>
      <c r="M374" s="8" t="str">
        <f>IFERROR(INDEX(Cluster_Master!$H$4:$H$18,MATCH($F374,Cluster_Master!$B$4:$B$18,0)),"")</f>
        <v/>
      </c>
      <c r="N374" s="12"/>
      <c r="O374" s="12"/>
      <c r="P374" s="12"/>
      <c r="Q374" s="12"/>
      <c r="R374" s="12"/>
      <c r="S374" s="12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8" t="str">
        <f t="shared" si="47"/>
        <v/>
      </c>
      <c r="AJ374" s="14" t="str">
        <f t="shared" si="48"/>
        <v/>
      </c>
      <c r="AK374" s="14" t="str">
        <f>IF(COUNTA(T374:AH374)=0,"",(SUM(T374*KPI_Weights!$B$4,U374*KPI_Weights!$B$5,V374*KPI_Weights!$B$6,W374*KPI_Weights!$B$7,X374*KPI_Weights!$B$8,Y374*KPI_Weights!$B$9,Z374*KPI_Weights!$B$10,AA374*KPI_Weights!$B$11,AB374*KPI_Weights!$B$12,AC374*KPI_Weights!$B$13,AD374*KPI_Weights!$B$14,AE374*KPI_Weights!$B$15,AF374*KPI_Weights!$B$16,AG374*KPI_Weights!$B$17,AH374*KPI_Weights!$B$18))/5)</f>
        <v/>
      </c>
      <c r="AL374" s="8" t="str">
        <f t="shared" si="49"/>
        <v/>
      </c>
      <c r="AM374" s="8" t="str">
        <f t="shared" si="50"/>
        <v/>
      </c>
      <c r="AN374" s="8" t="str">
        <f t="shared" si="51"/>
        <v/>
      </c>
      <c r="AO374" s="12"/>
      <c r="AP374" s="12"/>
      <c r="AQ374" s="12"/>
      <c r="AR374" s="12"/>
      <c r="AS374" s="12"/>
      <c r="AT374" s="15"/>
      <c r="AU374" s="12"/>
      <c r="AV374" s="16"/>
      <c r="AW374" s="12"/>
      <c r="AX374" s="15"/>
      <c r="AY374" s="15"/>
      <c r="AZ374" s="15"/>
      <c r="BA374" s="15"/>
      <c r="BB374" s="15"/>
      <c r="BC374" s="15"/>
      <c r="BD374" s="15"/>
      <c r="BE374" s="15"/>
      <c r="BF374" s="15"/>
    </row>
    <row r="375" spans="1:58" ht="19.5" customHeight="1" x14ac:dyDescent="0.2">
      <c r="A375" s="8" t="str">
        <f>IF($B375="","",TEXT($B375,"yyyymmdd")&amp;"-"&amp;SUBSTITUTE($F375," ","")&amp;"-"&amp;TEXT(COUNTIF($F$4:F375,$F375),"00"))</f>
        <v/>
      </c>
      <c r="B375" s="9"/>
      <c r="C375" s="8" t="str">
        <f t="shared" si="45"/>
        <v/>
      </c>
      <c r="D375" s="8" t="str">
        <f t="shared" si="46"/>
        <v/>
      </c>
      <c r="E375" s="10"/>
      <c r="F375" s="10"/>
      <c r="G375" s="8" t="str">
        <f>IF(OR($E375="",$F375=""),"",IFERROR(IF($E375=INDEX(Cluster_Master!$A$4:$A$18,MATCH($F375,Cluster_Master!$B$4:$B$18,0)),"OK","CHECK"),"CHECK"))</f>
        <v/>
      </c>
      <c r="H375" s="11" t="str">
        <f>IFERROR(INDEX(Cluster_Master!$C$4:$C$18,MATCH($F375,Cluster_Master!$B$4:$B$18,0)),"")</f>
        <v/>
      </c>
      <c r="I375" s="8" t="str">
        <f>IFERROR(INDEX(Cluster_Master!$D$4:$D$18,MATCH($F375,Cluster_Master!$B$4:$B$18,0)),"")</f>
        <v/>
      </c>
      <c r="J375" s="8" t="str">
        <f>IFERROR(INDEX(Cluster_Master!$E$4:$E$18,MATCH($F375,Cluster_Master!$B$4:$B$18,0)),"")</f>
        <v/>
      </c>
      <c r="K375" s="8" t="str">
        <f>IFERROR(INDEX(Cluster_Master!$F$4:$F$18,MATCH($F375,Cluster_Master!$B$4:$B$18,0)),"")</f>
        <v/>
      </c>
      <c r="L375" s="8" t="str">
        <f>IFERROR(INDEX(Cluster_Master!$G$4:$G$18,MATCH($F375,Cluster_Master!$B$4:$B$18,0)),"")</f>
        <v/>
      </c>
      <c r="M375" s="8" t="str">
        <f>IFERROR(INDEX(Cluster_Master!$H$4:$H$18,MATCH($F375,Cluster_Master!$B$4:$B$18,0)),"")</f>
        <v/>
      </c>
      <c r="N375" s="12"/>
      <c r="O375" s="12"/>
      <c r="P375" s="12"/>
      <c r="Q375" s="12"/>
      <c r="R375" s="12"/>
      <c r="S375" s="12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8" t="str">
        <f t="shared" si="47"/>
        <v/>
      </c>
      <c r="AJ375" s="14" t="str">
        <f t="shared" si="48"/>
        <v/>
      </c>
      <c r="AK375" s="14" t="str">
        <f>IF(COUNTA(T375:AH375)=0,"",(SUM(T375*KPI_Weights!$B$4,U375*KPI_Weights!$B$5,V375*KPI_Weights!$B$6,W375*KPI_Weights!$B$7,X375*KPI_Weights!$B$8,Y375*KPI_Weights!$B$9,Z375*KPI_Weights!$B$10,AA375*KPI_Weights!$B$11,AB375*KPI_Weights!$B$12,AC375*KPI_Weights!$B$13,AD375*KPI_Weights!$B$14,AE375*KPI_Weights!$B$15,AF375*KPI_Weights!$B$16,AG375*KPI_Weights!$B$17,AH375*KPI_Weights!$B$18))/5)</f>
        <v/>
      </c>
      <c r="AL375" s="8" t="str">
        <f t="shared" si="49"/>
        <v/>
      </c>
      <c r="AM375" s="8" t="str">
        <f t="shared" si="50"/>
        <v/>
      </c>
      <c r="AN375" s="8" t="str">
        <f t="shared" si="51"/>
        <v/>
      </c>
      <c r="AO375" s="12"/>
      <c r="AP375" s="12"/>
      <c r="AQ375" s="12"/>
      <c r="AR375" s="12"/>
      <c r="AS375" s="12"/>
      <c r="AT375" s="15"/>
      <c r="AU375" s="12"/>
      <c r="AV375" s="16"/>
      <c r="AW375" s="12"/>
      <c r="AX375" s="15"/>
      <c r="AY375" s="15"/>
      <c r="AZ375" s="15"/>
      <c r="BA375" s="15"/>
      <c r="BB375" s="15"/>
      <c r="BC375" s="15"/>
      <c r="BD375" s="15"/>
      <c r="BE375" s="15"/>
      <c r="BF375" s="15"/>
    </row>
    <row r="376" spans="1:58" ht="19.5" customHeight="1" x14ac:dyDescent="0.2">
      <c r="A376" s="8" t="str">
        <f>IF($B376="","",TEXT($B376,"yyyymmdd")&amp;"-"&amp;SUBSTITUTE($F376," ","")&amp;"-"&amp;TEXT(COUNTIF($F$4:F376,$F376),"00"))</f>
        <v/>
      </c>
      <c r="B376" s="9"/>
      <c r="C376" s="8" t="str">
        <f t="shared" si="45"/>
        <v/>
      </c>
      <c r="D376" s="8" t="str">
        <f t="shared" si="46"/>
        <v/>
      </c>
      <c r="E376" s="10"/>
      <c r="F376" s="10"/>
      <c r="G376" s="8" t="str">
        <f>IF(OR($E376="",$F376=""),"",IFERROR(IF($E376=INDEX(Cluster_Master!$A$4:$A$18,MATCH($F376,Cluster_Master!$B$4:$B$18,0)),"OK","CHECK"),"CHECK"))</f>
        <v/>
      </c>
      <c r="H376" s="11" t="str">
        <f>IFERROR(INDEX(Cluster_Master!$C$4:$C$18,MATCH($F376,Cluster_Master!$B$4:$B$18,0)),"")</f>
        <v/>
      </c>
      <c r="I376" s="8" t="str">
        <f>IFERROR(INDEX(Cluster_Master!$D$4:$D$18,MATCH($F376,Cluster_Master!$B$4:$B$18,0)),"")</f>
        <v/>
      </c>
      <c r="J376" s="8" t="str">
        <f>IFERROR(INDEX(Cluster_Master!$E$4:$E$18,MATCH($F376,Cluster_Master!$B$4:$B$18,0)),"")</f>
        <v/>
      </c>
      <c r="K376" s="8" t="str">
        <f>IFERROR(INDEX(Cluster_Master!$F$4:$F$18,MATCH($F376,Cluster_Master!$B$4:$B$18,0)),"")</f>
        <v/>
      </c>
      <c r="L376" s="8" t="str">
        <f>IFERROR(INDEX(Cluster_Master!$G$4:$G$18,MATCH($F376,Cluster_Master!$B$4:$B$18,0)),"")</f>
        <v/>
      </c>
      <c r="M376" s="8" t="str">
        <f>IFERROR(INDEX(Cluster_Master!$H$4:$H$18,MATCH($F376,Cluster_Master!$B$4:$B$18,0)),"")</f>
        <v/>
      </c>
      <c r="N376" s="12"/>
      <c r="O376" s="12"/>
      <c r="P376" s="12"/>
      <c r="Q376" s="12"/>
      <c r="R376" s="12"/>
      <c r="S376" s="12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8" t="str">
        <f t="shared" si="47"/>
        <v/>
      </c>
      <c r="AJ376" s="14" t="str">
        <f t="shared" si="48"/>
        <v/>
      </c>
      <c r="AK376" s="14" t="str">
        <f>IF(COUNTA(T376:AH376)=0,"",(SUM(T376*KPI_Weights!$B$4,U376*KPI_Weights!$B$5,V376*KPI_Weights!$B$6,W376*KPI_Weights!$B$7,X376*KPI_Weights!$B$8,Y376*KPI_Weights!$B$9,Z376*KPI_Weights!$B$10,AA376*KPI_Weights!$B$11,AB376*KPI_Weights!$B$12,AC376*KPI_Weights!$B$13,AD376*KPI_Weights!$B$14,AE376*KPI_Weights!$B$15,AF376*KPI_Weights!$B$16,AG376*KPI_Weights!$B$17,AH376*KPI_Weights!$B$18))/5)</f>
        <v/>
      </c>
      <c r="AL376" s="8" t="str">
        <f t="shared" si="49"/>
        <v/>
      </c>
      <c r="AM376" s="8" t="str">
        <f t="shared" si="50"/>
        <v/>
      </c>
      <c r="AN376" s="8" t="str">
        <f t="shared" si="51"/>
        <v/>
      </c>
      <c r="AO376" s="12"/>
      <c r="AP376" s="12"/>
      <c r="AQ376" s="12"/>
      <c r="AR376" s="12"/>
      <c r="AS376" s="12"/>
      <c r="AT376" s="15"/>
      <c r="AU376" s="12"/>
      <c r="AV376" s="16"/>
      <c r="AW376" s="12"/>
      <c r="AX376" s="15"/>
      <c r="AY376" s="15"/>
      <c r="AZ376" s="15"/>
      <c r="BA376" s="15"/>
      <c r="BB376" s="15"/>
      <c r="BC376" s="15"/>
      <c r="BD376" s="15"/>
      <c r="BE376" s="15"/>
      <c r="BF376" s="15"/>
    </row>
    <row r="377" spans="1:58" ht="19.5" customHeight="1" x14ac:dyDescent="0.2">
      <c r="A377" s="8" t="str">
        <f>IF($B377="","",TEXT($B377,"yyyymmdd")&amp;"-"&amp;SUBSTITUTE($F377," ","")&amp;"-"&amp;TEXT(COUNTIF($F$4:F377,$F377),"00"))</f>
        <v/>
      </c>
      <c r="B377" s="9"/>
      <c r="C377" s="8" t="str">
        <f t="shared" si="45"/>
        <v/>
      </c>
      <c r="D377" s="8" t="str">
        <f t="shared" si="46"/>
        <v/>
      </c>
      <c r="E377" s="10"/>
      <c r="F377" s="10"/>
      <c r="G377" s="8" t="str">
        <f>IF(OR($E377="",$F377=""),"",IFERROR(IF($E377=INDEX(Cluster_Master!$A$4:$A$18,MATCH($F377,Cluster_Master!$B$4:$B$18,0)),"OK","CHECK"),"CHECK"))</f>
        <v/>
      </c>
      <c r="H377" s="11" t="str">
        <f>IFERROR(INDEX(Cluster_Master!$C$4:$C$18,MATCH($F377,Cluster_Master!$B$4:$B$18,0)),"")</f>
        <v/>
      </c>
      <c r="I377" s="8" t="str">
        <f>IFERROR(INDEX(Cluster_Master!$D$4:$D$18,MATCH($F377,Cluster_Master!$B$4:$B$18,0)),"")</f>
        <v/>
      </c>
      <c r="J377" s="8" t="str">
        <f>IFERROR(INDEX(Cluster_Master!$E$4:$E$18,MATCH($F377,Cluster_Master!$B$4:$B$18,0)),"")</f>
        <v/>
      </c>
      <c r="K377" s="8" t="str">
        <f>IFERROR(INDEX(Cluster_Master!$F$4:$F$18,MATCH($F377,Cluster_Master!$B$4:$B$18,0)),"")</f>
        <v/>
      </c>
      <c r="L377" s="8" t="str">
        <f>IFERROR(INDEX(Cluster_Master!$G$4:$G$18,MATCH($F377,Cluster_Master!$B$4:$B$18,0)),"")</f>
        <v/>
      </c>
      <c r="M377" s="8" t="str">
        <f>IFERROR(INDEX(Cluster_Master!$H$4:$H$18,MATCH($F377,Cluster_Master!$B$4:$B$18,0)),"")</f>
        <v/>
      </c>
      <c r="N377" s="12"/>
      <c r="O377" s="12"/>
      <c r="P377" s="12"/>
      <c r="Q377" s="12"/>
      <c r="R377" s="12"/>
      <c r="S377" s="12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8" t="str">
        <f t="shared" si="47"/>
        <v/>
      </c>
      <c r="AJ377" s="14" t="str">
        <f t="shared" si="48"/>
        <v/>
      </c>
      <c r="AK377" s="14" t="str">
        <f>IF(COUNTA(T377:AH377)=0,"",(SUM(T377*KPI_Weights!$B$4,U377*KPI_Weights!$B$5,V377*KPI_Weights!$B$6,W377*KPI_Weights!$B$7,X377*KPI_Weights!$B$8,Y377*KPI_Weights!$B$9,Z377*KPI_Weights!$B$10,AA377*KPI_Weights!$B$11,AB377*KPI_Weights!$B$12,AC377*KPI_Weights!$B$13,AD377*KPI_Weights!$B$14,AE377*KPI_Weights!$B$15,AF377*KPI_Weights!$B$16,AG377*KPI_Weights!$B$17,AH377*KPI_Weights!$B$18))/5)</f>
        <v/>
      </c>
      <c r="AL377" s="8" t="str">
        <f t="shared" si="49"/>
        <v/>
      </c>
      <c r="AM377" s="8" t="str">
        <f t="shared" si="50"/>
        <v/>
      </c>
      <c r="AN377" s="8" t="str">
        <f t="shared" si="51"/>
        <v/>
      </c>
      <c r="AO377" s="12"/>
      <c r="AP377" s="12"/>
      <c r="AQ377" s="12"/>
      <c r="AR377" s="12"/>
      <c r="AS377" s="12"/>
      <c r="AT377" s="15"/>
      <c r="AU377" s="12"/>
      <c r="AV377" s="16"/>
      <c r="AW377" s="12"/>
      <c r="AX377" s="15"/>
      <c r="AY377" s="15"/>
      <c r="AZ377" s="15"/>
      <c r="BA377" s="15"/>
      <c r="BB377" s="15"/>
      <c r="BC377" s="15"/>
      <c r="BD377" s="15"/>
      <c r="BE377" s="15"/>
      <c r="BF377" s="15"/>
    </row>
    <row r="378" spans="1:58" ht="19.5" customHeight="1" x14ac:dyDescent="0.2">
      <c r="A378" s="8" t="str">
        <f>IF($B378="","",TEXT($B378,"yyyymmdd")&amp;"-"&amp;SUBSTITUTE($F378," ","")&amp;"-"&amp;TEXT(COUNTIF($F$4:F378,$F378),"00"))</f>
        <v/>
      </c>
      <c r="B378" s="9"/>
      <c r="C378" s="8" t="str">
        <f t="shared" si="45"/>
        <v/>
      </c>
      <c r="D378" s="8" t="str">
        <f t="shared" si="46"/>
        <v/>
      </c>
      <c r="E378" s="10"/>
      <c r="F378" s="10"/>
      <c r="G378" s="8" t="str">
        <f>IF(OR($E378="",$F378=""),"",IFERROR(IF($E378=INDEX(Cluster_Master!$A$4:$A$18,MATCH($F378,Cluster_Master!$B$4:$B$18,0)),"OK","CHECK"),"CHECK"))</f>
        <v/>
      </c>
      <c r="H378" s="11" t="str">
        <f>IFERROR(INDEX(Cluster_Master!$C$4:$C$18,MATCH($F378,Cluster_Master!$B$4:$B$18,0)),"")</f>
        <v/>
      </c>
      <c r="I378" s="8" t="str">
        <f>IFERROR(INDEX(Cluster_Master!$D$4:$D$18,MATCH($F378,Cluster_Master!$B$4:$B$18,0)),"")</f>
        <v/>
      </c>
      <c r="J378" s="8" t="str">
        <f>IFERROR(INDEX(Cluster_Master!$E$4:$E$18,MATCH($F378,Cluster_Master!$B$4:$B$18,0)),"")</f>
        <v/>
      </c>
      <c r="K378" s="8" t="str">
        <f>IFERROR(INDEX(Cluster_Master!$F$4:$F$18,MATCH($F378,Cluster_Master!$B$4:$B$18,0)),"")</f>
        <v/>
      </c>
      <c r="L378" s="8" t="str">
        <f>IFERROR(INDEX(Cluster_Master!$G$4:$G$18,MATCH($F378,Cluster_Master!$B$4:$B$18,0)),"")</f>
        <v/>
      </c>
      <c r="M378" s="8" t="str">
        <f>IFERROR(INDEX(Cluster_Master!$H$4:$H$18,MATCH($F378,Cluster_Master!$B$4:$B$18,0)),"")</f>
        <v/>
      </c>
      <c r="N378" s="12"/>
      <c r="O378" s="12"/>
      <c r="P378" s="12"/>
      <c r="Q378" s="12"/>
      <c r="R378" s="12"/>
      <c r="S378" s="12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8" t="str">
        <f t="shared" si="47"/>
        <v/>
      </c>
      <c r="AJ378" s="14" t="str">
        <f t="shared" si="48"/>
        <v/>
      </c>
      <c r="AK378" s="14" t="str">
        <f>IF(COUNTA(T378:AH378)=0,"",(SUM(T378*KPI_Weights!$B$4,U378*KPI_Weights!$B$5,V378*KPI_Weights!$B$6,W378*KPI_Weights!$B$7,X378*KPI_Weights!$B$8,Y378*KPI_Weights!$B$9,Z378*KPI_Weights!$B$10,AA378*KPI_Weights!$B$11,AB378*KPI_Weights!$B$12,AC378*KPI_Weights!$B$13,AD378*KPI_Weights!$B$14,AE378*KPI_Weights!$B$15,AF378*KPI_Weights!$B$16,AG378*KPI_Weights!$B$17,AH378*KPI_Weights!$B$18))/5)</f>
        <v/>
      </c>
      <c r="AL378" s="8" t="str">
        <f t="shared" si="49"/>
        <v/>
      </c>
      <c r="AM378" s="8" t="str">
        <f t="shared" si="50"/>
        <v/>
      </c>
      <c r="AN378" s="8" t="str">
        <f t="shared" si="51"/>
        <v/>
      </c>
      <c r="AO378" s="12"/>
      <c r="AP378" s="12"/>
      <c r="AQ378" s="12"/>
      <c r="AR378" s="12"/>
      <c r="AS378" s="12"/>
      <c r="AT378" s="15"/>
      <c r="AU378" s="12"/>
      <c r="AV378" s="16"/>
      <c r="AW378" s="12"/>
      <c r="AX378" s="15"/>
      <c r="AY378" s="15"/>
      <c r="AZ378" s="15"/>
      <c r="BA378" s="15"/>
      <c r="BB378" s="15"/>
      <c r="BC378" s="15"/>
      <c r="BD378" s="15"/>
      <c r="BE378" s="15"/>
      <c r="BF378" s="15"/>
    </row>
    <row r="379" spans="1:58" ht="19.5" customHeight="1" x14ac:dyDescent="0.2">
      <c r="A379" s="8" t="str">
        <f>IF($B379="","",TEXT($B379,"yyyymmdd")&amp;"-"&amp;SUBSTITUTE($F379," ","")&amp;"-"&amp;TEXT(COUNTIF($F$4:F379,$F379),"00"))</f>
        <v/>
      </c>
      <c r="B379" s="9"/>
      <c r="C379" s="8" t="str">
        <f t="shared" si="45"/>
        <v/>
      </c>
      <c r="D379" s="8" t="str">
        <f t="shared" si="46"/>
        <v/>
      </c>
      <c r="E379" s="10"/>
      <c r="F379" s="10"/>
      <c r="G379" s="8" t="str">
        <f>IF(OR($E379="",$F379=""),"",IFERROR(IF($E379=INDEX(Cluster_Master!$A$4:$A$18,MATCH($F379,Cluster_Master!$B$4:$B$18,0)),"OK","CHECK"),"CHECK"))</f>
        <v/>
      </c>
      <c r="H379" s="11" t="str">
        <f>IFERROR(INDEX(Cluster_Master!$C$4:$C$18,MATCH($F379,Cluster_Master!$B$4:$B$18,0)),"")</f>
        <v/>
      </c>
      <c r="I379" s="8" t="str">
        <f>IFERROR(INDEX(Cluster_Master!$D$4:$D$18,MATCH($F379,Cluster_Master!$B$4:$B$18,0)),"")</f>
        <v/>
      </c>
      <c r="J379" s="8" t="str">
        <f>IFERROR(INDEX(Cluster_Master!$E$4:$E$18,MATCH($F379,Cluster_Master!$B$4:$B$18,0)),"")</f>
        <v/>
      </c>
      <c r="K379" s="8" t="str">
        <f>IFERROR(INDEX(Cluster_Master!$F$4:$F$18,MATCH($F379,Cluster_Master!$B$4:$B$18,0)),"")</f>
        <v/>
      </c>
      <c r="L379" s="8" t="str">
        <f>IFERROR(INDEX(Cluster_Master!$G$4:$G$18,MATCH($F379,Cluster_Master!$B$4:$B$18,0)),"")</f>
        <v/>
      </c>
      <c r="M379" s="8" t="str">
        <f>IFERROR(INDEX(Cluster_Master!$H$4:$H$18,MATCH($F379,Cluster_Master!$B$4:$B$18,0)),"")</f>
        <v/>
      </c>
      <c r="N379" s="12"/>
      <c r="O379" s="12"/>
      <c r="P379" s="12"/>
      <c r="Q379" s="12"/>
      <c r="R379" s="12"/>
      <c r="S379" s="12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8" t="str">
        <f t="shared" si="47"/>
        <v/>
      </c>
      <c r="AJ379" s="14" t="str">
        <f t="shared" si="48"/>
        <v/>
      </c>
      <c r="AK379" s="14" t="str">
        <f>IF(COUNTA(T379:AH379)=0,"",(SUM(T379*KPI_Weights!$B$4,U379*KPI_Weights!$B$5,V379*KPI_Weights!$B$6,W379*KPI_Weights!$B$7,X379*KPI_Weights!$B$8,Y379*KPI_Weights!$B$9,Z379*KPI_Weights!$B$10,AA379*KPI_Weights!$B$11,AB379*KPI_Weights!$B$12,AC379*KPI_Weights!$B$13,AD379*KPI_Weights!$B$14,AE379*KPI_Weights!$B$15,AF379*KPI_Weights!$B$16,AG379*KPI_Weights!$B$17,AH379*KPI_Weights!$B$18))/5)</f>
        <v/>
      </c>
      <c r="AL379" s="8" t="str">
        <f t="shared" si="49"/>
        <v/>
      </c>
      <c r="AM379" s="8" t="str">
        <f t="shared" si="50"/>
        <v/>
      </c>
      <c r="AN379" s="8" t="str">
        <f t="shared" si="51"/>
        <v/>
      </c>
      <c r="AO379" s="12"/>
      <c r="AP379" s="12"/>
      <c r="AQ379" s="12"/>
      <c r="AR379" s="12"/>
      <c r="AS379" s="12"/>
      <c r="AT379" s="15"/>
      <c r="AU379" s="12"/>
      <c r="AV379" s="16"/>
      <c r="AW379" s="12"/>
      <c r="AX379" s="15"/>
      <c r="AY379" s="15"/>
      <c r="AZ379" s="15"/>
      <c r="BA379" s="15"/>
      <c r="BB379" s="15"/>
      <c r="BC379" s="15"/>
      <c r="BD379" s="15"/>
      <c r="BE379" s="15"/>
      <c r="BF379" s="15"/>
    </row>
    <row r="380" spans="1:58" ht="19.5" customHeight="1" x14ac:dyDescent="0.2">
      <c r="A380" s="8" t="str">
        <f>IF($B380="","",TEXT($B380,"yyyymmdd")&amp;"-"&amp;SUBSTITUTE($F380," ","")&amp;"-"&amp;TEXT(COUNTIF($F$4:F380,$F380),"00"))</f>
        <v/>
      </c>
      <c r="B380" s="9"/>
      <c r="C380" s="8" t="str">
        <f t="shared" si="45"/>
        <v/>
      </c>
      <c r="D380" s="8" t="str">
        <f t="shared" si="46"/>
        <v/>
      </c>
      <c r="E380" s="10"/>
      <c r="F380" s="10"/>
      <c r="G380" s="8" t="str">
        <f>IF(OR($E380="",$F380=""),"",IFERROR(IF($E380=INDEX(Cluster_Master!$A$4:$A$18,MATCH($F380,Cluster_Master!$B$4:$B$18,0)),"OK","CHECK"),"CHECK"))</f>
        <v/>
      </c>
      <c r="H380" s="11" t="str">
        <f>IFERROR(INDEX(Cluster_Master!$C$4:$C$18,MATCH($F380,Cluster_Master!$B$4:$B$18,0)),"")</f>
        <v/>
      </c>
      <c r="I380" s="8" t="str">
        <f>IFERROR(INDEX(Cluster_Master!$D$4:$D$18,MATCH($F380,Cluster_Master!$B$4:$B$18,0)),"")</f>
        <v/>
      </c>
      <c r="J380" s="8" t="str">
        <f>IFERROR(INDEX(Cluster_Master!$E$4:$E$18,MATCH($F380,Cluster_Master!$B$4:$B$18,0)),"")</f>
        <v/>
      </c>
      <c r="K380" s="8" t="str">
        <f>IFERROR(INDEX(Cluster_Master!$F$4:$F$18,MATCH($F380,Cluster_Master!$B$4:$B$18,0)),"")</f>
        <v/>
      </c>
      <c r="L380" s="8" t="str">
        <f>IFERROR(INDEX(Cluster_Master!$G$4:$G$18,MATCH($F380,Cluster_Master!$B$4:$B$18,0)),"")</f>
        <v/>
      </c>
      <c r="M380" s="8" t="str">
        <f>IFERROR(INDEX(Cluster_Master!$H$4:$H$18,MATCH($F380,Cluster_Master!$B$4:$B$18,0)),"")</f>
        <v/>
      </c>
      <c r="N380" s="12"/>
      <c r="O380" s="12"/>
      <c r="P380" s="12"/>
      <c r="Q380" s="12"/>
      <c r="R380" s="12"/>
      <c r="S380" s="12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8" t="str">
        <f t="shared" si="47"/>
        <v/>
      </c>
      <c r="AJ380" s="14" t="str">
        <f t="shared" si="48"/>
        <v/>
      </c>
      <c r="AK380" s="14" t="str">
        <f>IF(COUNTA(T380:AH380)=0,"",(SUM(T380*KPI_Weights!$B$4,U380*KPI_Weights!$B$5,V380*KPI_Weights!$B$6,W380*KPI_Weights!$B$7,X380*KPI_Weights!$B$8,Y380*KPI_Weights!$B$9,Z380*KPI_Weights!$B$10,AA380*KPI_Weights!$B$11,AB380*KPI_Weights!$B$12,AC380*KPI_Weights!$B$13,AD380*KPI_Weights!$B$14,AE380*KPI_Weights!$B$15,AF380*KPI_Weights!$B$16,AG380*KPI_Weights!$B$17,AH380*KPI_Weights!$B$18))/5)</f>
        <v/>
      </c>
      <c r="AL380" s="8" t="str">
        <f t="shared" si="49"/>
        <v/>
      </c>
      <c r="AM380" s="8" t="str">
        <f t="shared" si="50"/>
        <v/>
      </c>
      <c r="AN380" s="8" t="str">
        <f t="shared" si="51"/>
        <v/>
      </c>
      <c r="AO380" s="12"/>
      <c r="AP380" s="12"/>
      <c r="AQ380" s="12"/>
      <c r="AR380" s="12"/>
      <c r="AS380" s="12"/>
      <c r="AT380" s="15"/>
      <c r="AU380" s="12"/>
      <c r="AV380" s="16"/>
      <c r="AW380" s="12"/>
      <c r="AX380" s="15"/>
      <c r="AY380" s="15"/>
      <c r="AZ380" s="15"/>
      <c r="BA380" s="15"/>
      <c r="BB380" s="15"/>
      <c r="BC380" s="15"/>
      <c r="BD380" s="15"/>
      <c r="BE380" s="15"/>
      <c r="BF380" s="15"/>
    </row>
    <row r="381" spans="1:58" ht="19.5" customHeight="1" x14ac:dyDescent="0.2">
      <c r="A381" s="8" t="str">
        <f>IF($B381="","",TEXT($B381,"yyyymmdd")&amp;"-"&amp;SUBSTITUTE($F381," ","")&amp;"-"&amp;TEXT(COUNTIF($F$4:F381,$F381),"00"))</f>
        <v/>
      </c>
      <c r="B381" s="9"/>
      <c r="C381" s="8" t="str">
        <f t="shared" si="45"/>
        <v/>
      </c>
      <c r="D381" s="8" t="str">
        <f t="shared" si="46"/>
        <v/>
      </c>
      <c r="E381" s="10"/>
      <c r="F381" s="10"/>
      <c r="G381" s="8" t="str">
        <f>IF(OR($E381="",$F381=""),"",IFERROR(IF($E381=INDEX(Cluster_Master!$A$4:$A$18,MATCH($F381,Cluster_Master!$B$4:$B$18,0)),"OK","CHECK"),"CHECK"))</f>
        <v/>
      </c>
      <c r="H381" s="11" t="str">
        <f>IFERROR(INDEX(Cluster_Master!$C$4:$C$18,MATCH($F381,Cluster_Master!$B$4:$B$18,0)),"")</f>
        <v/>
      </c>
      <c r="I381" s="8" t="str">
        <f>IFERROR(INDEX(Cluster_Master!$D$4:$D$18,MATCH($F381,Cluster_Master!$B$4:$B$18,0)),"")</f>
        <v/>
      </c>
      <c r="J381" s="8" t="str">
        <f>IFERROR(INDEX(Cluster_Master!$E$4:$E$18,MATCH($F381,Cluster_Master!$B$4:$B$18,0)),"")</f>
        <v/>
      </c>
      <c r="K381" s="8" t="str">
        <f>IFERROR(INDEX(Cluster_Master!$F$4:$F$18,MATCH($F381,Cluster_Master!$B$4:$B$18,0)),"")</f>
        <v/>
      </c>
      <c r="L381" s="8" t="str">
        <f>IFERROR(INDEX(Cluster_Master!$G$4:$G$18,MATCH($F381,Cluster_Master!$B$4:$B$18,0)),"")</f>
        <v/>
      </c>
      <c r="M381" s="8" t="str">
        <f>IFERROR(INDEX(Cluster_Master!$H$4:$H$18,MATCH($F381,Cluster_Master!$B$4:$B$18,0)),"")</f>
        <v/>
      </c>
      <c r="N381" s="12"/>
      <c r="O381" s="12"/>
      <c r="P381" s="12"/>
      <c r="Q381" s="12"/>
      <c r="R381" s="12"/>
      <c r="S381" s="12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8" t="str">
        <f t="shared" si="47"/>
        <v/>
      </c>
      <c r="AJ381" s="14" t="str">
        <f t="shared" si="48"/>
        <v/>
      </c>
      <c r="AK381" s="14" t="str">
        <f>IF(COUNTA(T381:AH381)=0,"",(SUM(T381*KPI_Weights!$B$4,U381*KPI_Weights!$B$5,V381*KPI_Weights!$B$6,W381*KPI_Weights!$B$7,X381*KPI_Weights!$B$8,Y381*KPI_Weights!$B$9,Z381*KPI_Weights!$B$10,AA381*KPI_Weights!$B$11,AB381*KPI_Weights!$B$12,AC381*KPI_Weights!$B$13,AD381*KPI_Weights!$B$14,AE381*KPI_Weights!$B$15,AF381*KPI_Weights!$B$16,AG381*KPI_Weights!$B$17,AH381*KPI_Weights!$B$18))/5)</f>
        <v/>
      </c>
      <c r="AL381" s="8" t="str">
        <f t="shared" si="49"/>
        <v/>
      </c>
      <c r="AM381" s="8" t="str">
        <f t="shared" si="50"/>
        <v/>
      </c>
      <c r="AN381" s="8" t="str">
        <f t="shared" si="51"/>
        <v/>
      </c>
      <c r="AO381" s="12"/>
      <c r="AP381" s="12"/>
      <c r="AQ381" s="12"/>
      <c r="AR381" s="12"/>
      <c r="AS381" s="12"/>
      <c r="AT381" s="15"/>
      <c r="AU381" s="12"/>
      <c r="AV381" s="16"/>
      <c r="AW381" s="12"/>
      <c r="AX381" s="15"/>
      <c r="AY381" s="15"/>
      <c r="AZ381" s="15"/>
      <c r="BA381" s="15"/>
      <c r="BB381" s="15"/>
      <c r="BC381" s="15"/>
      <c r="BD381" s="15"/>
      <c r="BE381" s="15"/>
      <c r="BF381" s="15"/>
    </row>
    <row r="382" spans="1:58" ht="19.5" customHeight="1" x14ac:dyDescent="0.2">
      <c r="A382" s="8" t="str">
        <f>IF($B382="","",TEXT($B382,"yyyymmdd")&amp;"-"&amp;SUBSTITUTE($F382," ","")&amp;"-"&amp;TEXT(COUNTIF($F$4:F382,$F382),"00"))</f>
        <v/>
      </c>
      <c r="B382" s="9"/>
      <c r="C382" s="8" t="str">
        <f t="shared" si="45"/>
        <v/>
      </c>
      <c r="D382" s="8" t="str">
        <f t="shared" si="46"/>
        <v/>
      </c>
      <c r="E382" s="10"/>
      <c r="F382" s="10"/>
      <c r="G382" s="8" t="str">
        <f>IF(OR($E382="",$F382=""),"",IFERROR(IF($E382=INDEX(Cluster_Master!$A$4:$A$18,MATCH($F382,Cluster_Master!$B$4:$B$18,0)),"OK","CHECK"),"CHECK"))</f>
        <v/>
      </c>
      <c r="H382" s="11" t="str">
        <f>IFERROR(INDEX(Cluster_Master!$C$4:$C$18,MATCH($F382,Cluster_Master!$B$4:$B$18,0)),"")</f>
        <v/>
      </c>
      <c r="I382" s="8" t="str">
        <f>IFERROR(INDEX(Cluster_Master!$D$4:$D$18,MATCH($F382,Cluster_Master!$B$4:$B$18,0)),"")</f>
        <v/>
      </c>
      <c r="J382" s="8" t="str">
        <f>IFERROR(INDEX(Cluster_Master!$E$4:$E$18,MATCH($F382,Cluster_Master!$B$4:$B$18,0)),"")</f>
        <v/>
      </c>
      <c r="K382" s="8" t="str">
        <f>IFERROR(INDEX(Cluster_Master!$F$4:$F$18,MATCH($F382,Cluster_Master!$B$4:$B$18,0)),"")</f>
        <v/>
      </c>
      <c r="L382" s="8" t="str">
        <f>IFERROR(INDEX(Cluster_Master!$G$4:$G$18,MATCH($F382,Cluster_Master!$B$4:$B$18,0)),"")</f>
        <v/>
      </c>
      <c r="M382" s="8" t="str">
        <f>IFERROR(INDEX(Cluster_Master!$H$4:$H$18,MATCH($F382,Cluster_Master!$B$4:$B$18,0)),"")</f>
        <v/>
      </c>
      <c r="N382" s="12"/>
      <c r="O382" s="12"/>
      <c r="P382" s="12"/>
      <c r="Q382" s="12"/>
      <c r="R382" s="12"/>
      <c r="S382" s="12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8" t="str">
        <f t="shared" si="47"/>
        <v/>
      </c>
      <c r="AJ382" s="14" t="str">
        <f t="shared" si="48"/>
        <v/>
      </c>
      <c r="AK382" s="14" t="str">
        <f>IF(COUNTA(T382:AH382)=0,"",(SUM(T382*KPI_Weights!$B$4,U382*KPI_Weights!$B$5,V382*KPI_Weights!$B$6,W382*KPI_Weights!$B$7,X382*KPI_Weights!$B$8,Y382*KPI_Weights!$B$9,Z382*KPI_Weights!$B$10,AA382*KPI_Weights!$B$11,AB382*KPI_Weights!$B$12,AC382*KPI_Weights!$B$13,AD382*KPI_Weights!$B$14,AE382*KPI_Weights!$B$15,AF382*KPI_Weights!$B$16,AG382*KPI_Weights!$B$17,AH382*KPI_Weights!$B$18))/5)</f>
        <v/>
      </c>
      <c r="AL382" s="8" t="str">
        <f t="shared" si="49"/>
        <v/>
      </c>
      <c r="AM382" s="8" t="str">
        <f t="shared" si="50"/>
        <v/>
      </c>
      <c r="AN382" s="8" t="str">
        <f t="shared" si="51"/>
        <v/>
      </c>
      <c r="AO382" s="12"/>
      <c r="AP382" s="12"/>
      <c r="AQ382" s="12"/>
      <c r="AR382" s="12"/>
      <c r="AS382" s="12"/>
      <c r="AT382" s="15"/>
      <c r="AU382" s="12"/>
      <c r="AV382" s="16"/>
      <c r="AW382" s="12"/>
      <c r="AX382" s="15"/>
      <c r="AY382" s="15"/>
      <c r="AZ382" s="15"/>
      <c r="BA382" s="15"/>
      <c r="BB382" s="15"/>
      <c r="BC382" s="15"/>
      <c r="BD382" s="15"/>
      <c r="BE382" s="15"/>
      <c r="BF382" s="15"/>
    </row>
    <row r="383" spans="1:58" ht="19.5" customHeight="1" x14ac:dyDescent="0.2">
      <c r="A383" s="8" t="str">
        <f>IF($B383="","",TEXT($B383,"yyyymmdd")&amp;"-"&amp;SUBSTITUTE($F383," ","")&amp;"-"&amp;TEXT(COUNTIF($F$4:F383,$F383),"00"))</f>
        <v/>
      </c>
      <c r="B383" s="9"/>
      <c r="C383" s="8" t="str">
        <f t="shared" si="45"/>
        <v/>
      </c>
      <c r="D383" s="8" t="str">
        <f t="shared" si="46"/>
        <v/>
      </c>
      <c r="E383" s="10"/>
      <c r="F383" s="10"/>
      <c r="G383" s="8" t="str">
        <f>IF(OR($E383="",$F383=""),"",IFERROR(IF($E383=INDEX(Cluster_Master!$A$4:$A$18,MATCH($F383,Cluster_Master!$B$4:$B$18,0)),"OK","CHECK"),"CHECK"))</f>
        <v/>
      </c>
      <c r="H383" s="11" t="str">
        <f>IFERROR(INDEX(Cluster_Master!$C$4:$C$18,MATCH($F383,Cluster_Master!$B$4:$B$18,0)),"")</f>
        <v/>
      </c>
      <c r="I383" s="8" t="str">
        <f>IFERROR(INDEX(Cluster_Master!$D$4:$D$18,MATCH($F383,Cluster_Master!$B$4:$B$18,0)),"")</f>
        <v/>
      </c>
      <c r="J383" s="8" t="str">
        <f>IFERROR(INDEX(Cluster_Master!$E$4:$E$18,MATCH($F383,Cluster_Master!$B$4:$B$18,0)),"")</f>
        <v/>
      </c>
      <c r="K383" s="8" t="str">
        <f>IFERROR(INDEX(Cluster_Master!$F$4:$F$18,MATCH($F383,Cluster_Master!$B$4:$B$18,0)),"")</f>
        <v/>
      </c>
      <c r="L383" s="8" t="str">
        <f>IFERROR(INDEX(Cluster_Master!$G$4:$G$18,MATCH($F383,Cluster_Master!$B$4:$B$18,0)),"")</f>
        <v/>
      </c>
      <c r="M383" s="8" t="str">
        <f>IFERROR(INDEX(Cluster_Master!$H$4:$H$18,MATCH($F383,Cluster_Master!$B$4:$B$18,0)),"")</f>
        <v/>
      </c>
      <c r="N383" s="12"/>
      <c r="O383" s="12"/>
      <c r="P383" s="12"/>
      <c r="Q383" s="12"/>
      <c r="R383" s="12"/>
      <c r="S383" s="12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8" t="str">
        <f t="shared" si="47"/>
        <v/>
      </c>
      <c r="AJ383" s="14" t="str">
        <f t="shared" si="48"/>
        <v/>
      </c>
      <c r="AK383" s="14" t="str">
        <f>IF(COUNTA(T383:AH383)=0,"",(SUM(T383*KPI_Weights!$B$4,U383*KPI_Weights!$B$5,V383*KPI_Weights!$B$6,W383*KPI_Weights!$B$7,X383*KPI_Weights!$B$8,Y383*KPI_Weights!$B$9,Z383*KPI_Weights!$B$10,AA383*KPI_Weights!$B$11,AB383*KPI_Weights!$B$12,AC383*KPI_Weights!$B$13,AD383*KPI_Weights!$B$14,AE383*KPI_Weights!$B$15,AF383*KPI_Weights!$B$16,AG383*KPI_Weights!$B$17,AH383*KPI_Weights!$B$18))/5)</f>
        <v/>
      </c>
      <c r="AL383" s="8" t="str">
        <f t="shared" si="49"/>
        <v/>
      </c>
      <c r="AM383" s="8" t="str">
        <f t="shared" si="50"/>
        <v/>
      </c>
      <c r="AN383" s="8" t="str">
        <f t="shared" si="51"/>
        <v/>
      </c>
      <c r="AO383" s="12"/>
      <c r="AP383" s="12"/>
      <c r="AQ383" s="12"/>
      <c r="AR383" s="12"/>
      <c r="AS383" s="12"/>
      <c r="AT383" s="15"/>
      <c r="AU383" s="12"/>
      <c r="AV383" s="16"/>
      <c r="AW383" s="12"/>
      <c r="AX383" s="15"/>
      <c r="AY383" s="15"/>
      <c r="AZ383" s="15"/>
      <c r="BA383" s="15"/>
      <c r="BB383" s="15"/>
      <c r="BC383" s="15"/>
      <c r="BD383" s="15"/>
      <c r="BE383" s="15"/>
      <c r="BF383" s="15"/>
    </row>
    <row r="384" spans="1:58" ht="19.5" customHeight="1" x14ac:dyDescent="0.2">
      <c r="A384" s="8" t="str">
        <f>IF($B384="","",TEXT($B384,"yyyymmdd")&amp;"-"&amp;SUBSTITUTE($F384," ","")&amp;"-"&amp;TEXT(COUNTIF($F$4:F384,$F384),"00"))</f>
        <v/>
      </c>
      <c r="B384" s="9"/>
      <c r="C384" s="8" t="str">
        <f t="shared" ref="C384:C447" si="52">IF($B384="","",WEEKNUM($B384,2))</f>
        <v/>
      </c>
      <c r="D384" s="8" t="str">
        <f t="shared" ref="D384:D447" si="53">IF($B384="","",TEXT($B384,"yyyy-mm"))</f>
        <v/>
      </c>
      <c r="E384" s="10"/>
      <c r="F384" s="10"/>
      <c r="G384" s="8" t="str">
        <f>IF(OR($E384="",$F384=""),"",IFERROR(IF($E384=INDEX(Cluster_Master!$A$4:$A$18,MATCH($F384,Cluster_Master!$B$4:$B$18,0)),"OK","CHECK"),"CHECK"))</f>
        <v/>
      </c>
      <c r="H384" s="11" t="str">
        <f>IFERROR(INDEX(Cluster_Master!$C$4:$C$18,MATCH($F384,Cluster_Master!$B$4:$B$18,0)),"")</f>
        <v/>
      </c>
      <c r="I384" s="8" t="str">
        <f>IFERROR(INDEX(Cluster_Master!$D$4:$D$18,MATCH($F384,Cluster_Master!$B$4:$B$18,0)),"")</f>
        <v/>
      </c>
      <c r="J384" s="8" t="str">
        <f>IFERROR(INDEX(Cluster_Master!$E$4:$E$18,MATCH($F384,Cluster_Master!$B$4:$B$18,0)),"")</f>
        <v/>
      </c>
      <c r="K384" s="8" t="str">
        <f>IFERROR(INDEX(Cluster_Master!$F$4:$F$18,MATCH($F384,Cluster_Master!$B$4:$B$18,0)),"")</f>
        <v/>
      </c>
      <c r="L384" s="8" t="str">
        <f>IFERROR(INDEX(Cluster_Master!$G$4:$G$18,MATCH($F384,Cluster_Master!$B$4:$B$18,0)),"")</f>
        <v/>
      </c>
      <c r="M384" s="8" t="str">
        <f>IFERROR(INDEX(Cluster_Master!$H$4:$H$18,MATCH($F384,Cluster_Master!$B$4:$B$18,0)),"")</f>
        <v/>
      </c>
      <c r="N384" s="12"/>
      <c r="O384" s="12"/>
      <c r="P384" s="12"/>
      <c r="Q384" s="12"/>
      <c r="R384" s="12"/>
      <c r="S384" s="12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8" t="str">
        <f t="shared" ref="AI384:AI447" si="54">IF(COUNTA(T384:AH384)=0,"",SUM(T384:AH384))</f>
        <v/>
      </c>
      <c r="AJ384" s="14" t="str">
        <f t="shared" ref="AJ384:AJ447" si="55">IF(COUNTA(T384:AH384)=0,"",AI384/75)</f>
        <v/>
      </c>
      <c r="AK384" s="14" t="str">
        <f>IF(COUNTA(T384:AH384)=0,"",(SUM(T384*KPI_Weights!$B$4,U384*KPI_Weights!$B$5,V384*KPI_Weights!$B$6,W384*KPI_Weights!$B$7,X384*KPI_Weights!$B$8,Y384*KPI_Weights!$B$9,Z384*KPI_Weights!$B$10,AA384*KPI_Weights!$B$11,AB384*KPI_Weights!$B$12,AC384*KPI_Weights!$B$13,AD384*KPI_Weights!$B$14,AE384*KPI_Weights!$B$15,AF384*KPI_Weights!$B$16,AG384*KPI_Weights!$B$17,AH384*KPI_Weights!$B$18))/5)</f>
        <v/>
      </c>
      <c r="AL384" s="8" t="str">
        <f t="shared" ref="AL384:AL447" si="56">IF(COUNTA(T384:AH384)=0,"",IF(OR(T384&lt;=1,W384&lt;=1,X384&lt;=1,Y384&lt;=1,AB384&lt;=1),"YES","NO"))</f>
        <v/>
      </c>
      <c r="AM384" s="8" t="str">
        <f t="shared" ref="AM384:AM447" si="57">IF(AJ384="","",IF(AND(AL384="NO",AJ384&gt;=0.75),"YES","NO"))</f>
        <v/>
      </c>
      <c r="AN384" s="8" t="str">
        <f t="shared" ref="AN384:AN447" si="58">IF(AJ384="","",IF(AJ384&lt;0.4,"Critical",IF(AJ384&lt;0.6,"Poor",IF(AJ384&lt;0.75,"Needs Improvement",IF(AJ384&lt;0.9,"Good","Excellent")))))</f>
        <v/>
      </c>
      <c r="AO384" s="12"/>
      <c r="AP384" s="12"/>
      <c r="AQ384" s="12"/>
      <c r="AR384" s="12"/>
      <c r="AS384" s="12"/>
      <c r="AT384" s="15"/>
      <c r="AU384" s="12"/>
      <c r="AV384" s="16"/>
      <c r="AW384" s="12"/>
      <c r="AX384" s="15"/>
      <c r="AY384" s="15"/>
      <c r="AZ384" s="15"/>
      <c r="BA384" s="15"/>
      <c r="BB384" s="15"/>
      <c r="BC384" s="15"/>
      <c r="BD384" s="15"/>
      <c r="BE384" s="15"/>
      <c r="BF384" s="15"/>
    </row>
    <row r="385" spans="1:58" ht="19.5" customHeight="1" x14ac:dyDescent="0.2">
      <c r="A385" s="8" t="str">
        <f>IF($B385="","",TEXT($B385,"yyyymmdd")&amp;"-"&amp;SUBSTITUTE($F385," ","")&amp;"-"&amp;TEXT(COUNTIF($F$4:F385,$F385),"00"))</f>
        <v/>
      </c>
      <c r="B385" s="9"/>
      <c r="C385" s="8" t="str">
        <f t="shared" si="52"/>
        <v/>
      </c>
      <c r="D385" s="8" t="str">
        <f t="shared" si="53"/>
        <v/>
      </c>
      <c r="E385" s="10"/>
      <c r="F385" s="10"/>
      <c r="G385" s="8" t="str">
        <f>IF(OR($E385="",$F385=""),"",IFERROR(IF($E385=INDEX(Cluster_Master!$A$4:$A$18,MATCH($F385,Cluster_Master!$B$4:$B$18,0)),"OK","CHECK"),"CHECK"))</f>
        <v/>
      </c>
      <c r="H385" s="11" t="str">
        <f>IFERROR(INDEX(Cluster_Master!$C$4:$C$18,MATCH($F385,Cluster_Master!$B$4:$B$18,0)),"")</f>
        <v/>
      </c>
      <c r="I385" s="8" t="str">
        <f>IFERROR(INDEX(Cluster_Master!$D$4:$D$18,MATCH($F385,Cluster_Master!$B$4:$B$18,0)),"")</f>
        <v/>
      </c>
      <c r="J385" s="8" t="str">
        <f>IFERROR(INDEX(Cluster_Master!$E$4:$E$18,MATCH($F385,Cluster_Master!$B$4:$B$18,0)),"")</f>
        <v/>
      </c>
      <c r="K385" s="8" t="str">
        <f>IFERROR(INDEX(Cluster_Master!$F$4:$F$18,MATCH($F385,Cluster_Master!$B$4:$B$18,0)),"")</f>
        <v/>
      </c>
      <c r="L385" s="8" t="str">
        <f>IFERROR(INDEX(Cluster_Master!$G$4:$G$18,MATCH($F385,Cluster_Master!$B$4:$B$18,0)),"")</f>
        <v/>
      </c>
      <c r="M385" s="8" t="str">
        <f>IFERROR(INDEX(Cluster_Master!$H$4:$H$18,MATCH($F385,Cluster_Master!$B$4:$B$18,0)),"")</f>
        <v/>
      </c>
      <c r="N385" s="12"/>
      <c r="O385" s="12"/>
      <c r="P385" s="12"/>
      <c r="Q385" s="12"/>
      <c r="R385" s="12"/>
      <c r="S385" s="12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8" t="str">
        <f t="shared" si="54"/>
        <v/>
      </c>
      <c r="AJ385" s="14" t="str">
        <f t="shared" si="55"/>
        <v/>
      </c>
      <c r="AK385" s="14" t="str">
        <f>IF(COUNTA(T385:AH385)=0,"",(SUM(T385*KPI_Weights!$B$4,U385*KPI_Weights!$B$5,V385*KPI_Weights!$B$6,W385*KPI_Weights!$B$7,X385*KPI_Weights!$B$8,Y385*KPI_Weights!$B$9,Z385*KPI_Weights!$B$10,AA385*KPI_Weights!$B$11,AB385*KPI_Weights!$B$12,AC385*KPI_Weights!$B$13,AD385*KPI_Weights!$B$14,AE385*KPI_Weights!$B$15,AF385*KPI_Weights!$B$16,AG385*KPI_Weights!$B$17,AH385*KPI_Weights!$B$18))/5)</f>
        <v/>
      </c>
      <c r="AL385" s="8" t="str">
        <f t="shared" si="56"/>
        <v/>
      </c>
      <c r="AM385" s="8" t="str">
        <f t="shared" si="57"/>
        <v/>
      </c>
      <c r="AN385" s="8" t="str">
        <f t="shared" si="58"/>
        <v/>
      </c>
      <c r="AO385" s="12"/>
      <c r="AP385" s="12"/>
      <c r="AQ385" s="12"/>
      <c r="AR385" s="12"/>
      <c r="AS385" s="12"/>
      <c r="AT385" s="15"/>
      <c r="AU385" s="12"/>
      <c r="AV385" s="16"/>
      <c r="AW385" s="12"/>
      <c r="AX385" s="15"/>
      <c r="AY385" s="15"/>
      <c r="AZ385" s="15"/>
      <c r="BA385" s="15"/>
      <c r="BB385" s="15"/>
      <c r="BC385" s="15"/>
      <c r="BD385" s="15"/>
      <c r="BE385" s="15"/>
      <c r="BF385" s="15"/>
    </row>
    <row r="386" spans="1:58" ht="19.5" customHeight="1" x14ac:dyDescent="0.2">
      <c r="A386" s="8" t="str">
        <f>IF($B386="","",TEXT($B386,"yyyymmdd")&amp;"-"&amp;SUBSTITUTE($F386," ","")&amp;"-"&amp;TEXT(COUNTIF($F$4:F386,$F386),"00"))</f>
        <v/>
      </c>
      <c r="B386" s="9"/>
      <c r="C386" s="8" t="str">
        <f t="shared" si="52"/>
        <v/>
      </c>
      <c r="D386" s="8" t="str">
        <f t="shared" si="53"/>
        <v/>
      </c>
      <c r="E386" s="10"/>
      <c r="F386" s="10"/>
      <c r="G386" s="8" t="str">
        <f>IF(OR($E386="",$F386=""),"",IFERROR(IF($E386=INDEX(Cluster_Master!$A$4:$A$18,MATCH($F386,Cluster_Master!$B$4:$B$18,0)),"OK","CHECK"),"CHECK"))</f>
        <v/>
      </c>
      <c r="H386" s="11" t="str">
        <f>IFERROR(INDEX(Cluster_Master!$C$4:$C$18,MATCH($F386,Cluster_Master!$B$4:$B$18,0)),"")</f>
        <v/>
      </c>
      <c r="I386" s="8" t="str">
        <f>IFERROR(INDEX(Cluster_Master!$D$4:$D$18,MATCH($F386,Cluster_Master!$B$4:$B$18,0)),"")</f>
        <v/>
      </c>
      <c r="J386" s="8" t="str">
        <f>IFERROR(INDEX(Cluster_Master!$E$4:$E$18,MATCH($F386,Cluster_Master!$B$4:$B$18,0)),"")</f>
        <v/>
      </c>
      <c r="K386" s="8" t="str">
        <f>IFERROR(INDEX(Cluster_Master!$F$4:$F$18,MATCH($F386,Cluster_Master!$B$4:$B$18,0)),"")</f>
        <v/>
      </c>
      <c r="L386" s="8" t="str">
        <f>IFERROR(INDEX(Cluster_Master!$G$4:$G$18,MATCH($F386,Cluster_Master!$B$4:$B$18,0)),"")</f>
        <v/>
      </c>
      <c r="M386" s="8" t="str">
        <f>IFERROR(INDEX(Cluster_Master!$H$4:$H$18,MATCH($F386,Cluster_Master!$B$4:$B$18,0)),"")</f>
        <v/>
      </c>
      <c r="N386" s="12"/>
      <c r="O386" s="12"/>
      <c r="P386" s="12"/>
      <c r="Q386" s="12"/>
      <c r="R386" s="12"/>
      <c r="S386" s="12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8" t="str">
        <f t="shared" si="54"/>
        <v/>
      </c>
      <c r="AJ386" s="14" t="str">
        <f t="shared" si="55"/>
        <v/>
      </c>
      <c r="AK386" s="14" t="str">
        <f>IF(COUNTA(T386:AH386)=0,"",(SUM(T386*KPI_Weights!$B$4,U386*KPI_Weights!$B$5,V386*KPI_Weights!$B$6,W386*KPI_Weights!$B$7,X386*KPI_Weights!$B$8,Y386*KPI_Weights!$B$9,Z386*KPI_Weights!$B$10,AA386*KPI_Weights!$B$11,AB386*KPI_Weights!$B$12,AC386*KPI_Weights!$B$13,AD386*KPI_Weights!$B$14,AE386*KPI_Weights!$B$15,AF386*KPI_Weights!$B$16,AG386*KPI_Weights!$B$17,AH386*KPI_Weights!$B$18))/5)</f>
        <v/>
      </c>
      <c r="AL386" s="8" t="str">
        <f t="shared" si="56"/>
        <v/>
      </c>
      <c r="AM386" s="8" t="str">
        <f t="shared" si="57"/>
        <v/>
      </c>
      <c r="AN386" s="8" t="str">
        <f t="shared" si="58"/>
        <v/>
      </c>
      <c r="AO386" s="12"/>
      <c r="AP386" s="12"/>
      <c r="AQ386" s="12"/>
      <c r="AR386" s="12"/>
      <c r="AS386" s="12"/>
      <c r="AT386" s="15"/>
      <c r="AU386" s="12"/>
      <c r="AV386" s="16"/>
      <c r="AW386" s="12"/>
      <c r="AX386" s="15"/>
      <c r="AY386" s="15"/>
      <c r="AZ386" s="15"/>
      <c r="BA386" s="15"/>
      <c r="BB386" s="15"/>
      <c r="BC386" s="15"/>
      <c r="BD386" s="15"/>
      <c r="BE386" s="15"/>
      <c r="BF386" s="15"/>
    </row>
    <row r="387" spans="1:58" ht="19.5" customHeight="1" x14ac:dyDescent="0.2">
      <c r="A387" s="8" t="str">
        <f>IF($B387="","",TEXT($B387,"yyyymmdd")&amp;"-"&amp;SUBSTITUTE($F387," ","")&amp;"-"&amp;TEXT(COUNTIF($F$4:F387,$F387),"00"))</f>
        <v/>
      </c>
      <c r="B387" s="9"/>
      <c r="C387" s="8" t="str">
        <f t="shared" si="52"/>
        <v/>
      </c>
      <c r="D387" s="8" t="str">
        <f t="shared" si="53"/>
        <v/>
      </c>
      <c r="E387" s="10"/>
      <c r="F387" s="10"/>
      <c r="G387" s="8" t="str">
        <f>IF(OR($E387="",$F387=""),"",IFERROR(IF($E387=INDEX(Cluster_Master!$A$4:$A$18,MATCH($F387,Cluster_Master!$B$4:$B$18,0)),"OK","CHECK"),"CHECK"))</f>
        <v/>
      </c>
      <c r="H387" s="11" t="str">
        <f>IFERROR(INDEX(Cluster_Master!$C$4:$C$18,MATCH($F387,Cluster_Master!$B$4:$B$18,0)),"")</f>
        <v/>
      </c>
      <c r="I387" s="8" t="str">
        <f>IFERROR(INDEX(Cluster_Master!$D$4:$D$18,MATCH($F387,Cluster_Master!$B$4:$B$18,0)),"")</f>
        <v/>
      </c>
      <c r="J387" s="8" t="str">
        <f>IFERROR(INDEX(Cluster_Master!$E$4:$E$18,MATCH($F387,Cluster_Master!$B$4:$B$18,0)),"")</f>
        <v/>
      </c>
      <c r="K387" s="8" t="str">
        <f>IFERROR(INDEX(Cluster_Master!$F$4:$F$18,MATCH($F387,Cluster_Master!$B$4:$B$18,0)),"")</f>
        <v/>
      </c>
      <c r="L387" s="8" t="str">
        <f>IFERROR(INDEX(Cluster_Master!$G$4:$G$18,MATCH($F387,Cluster_Master!$B$4:$B$18,0)),"")</f>
        <v/>
      </c>
      <c r="M387" s="8" t="str">
        <f>IFERROR(INDEX(Cluster_Master!$H$4:$H$18,MATCH($F387,Cluster_Master!$B$4:$B$18,0)),"")</f>
        <v/>
      </c>
      <c r="N387" s="12"/>
      <c r="O387" s="12"/>
      <c r="P387" s="12"/>
      <c r="Q387" s="12"/>
      <c r="R387" s="12"/>
      <c r="S387" s="12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8" t="str">
        <f t="shared" si="54"/>
        <v/>
      </c>
      <c r="AJ387" s="14" t="str">
        <f t="shared" si="55"/>
        <v/>
      </c>
      <c r="AK387" s="14" t="str">
        <f>IF(COUNTA(T387:AH387)=0,"",(SUM(T387*KPI_Weights!$B$4,U387*KPI_Weights!$B$5,V387*KPI_Weights!$B$6,W387*KPI_Weights!$B$7,X387*KPI_Weights!$B$8,Y387*KPI_Weights!$B$9,Z387*KPI_Weights!$B$10,AA387*KPI_Weights!$B$11,AB387*KPI_Weights!$B$12,AC387*KPI_Weights!$B$13,AD387*KPI_Weights!$B$14,AE387*KPI_Weights!$B$15,AF387*KPI_Weights!$B$16,AG387*KPI_Weights!$B$17,AH387*KPI_Weights!$B$18))/5)</f>
        <v/>
      </c>
      <c r="AL387" s="8" t="str">
        <f t="shared" si="56"/>
        <v/>
      </c>
      <c r="AM387" s="8" t="str">
        <f t="shared" si="57"/>
        <v/>
      </c>
      <c r="AN387" s="8" t="str">
        <f t="shared" si="58"/>
        <v/>
      </c>
      <c r="AO387" s="12"/>
      <c r="AP387" s="12"/>
      <c r="AQ387" s="12"/>
      <c r="AR387" s="12"/>
      <c r="AS387" s="12"/>
      <c r="AT387" s="15"/>
      <c r="AU387" s="12"/>
      <c r="AV387" s="16"/>
      <c r="AW387" s="12"/>
      <c r="AX387" s="15"/>
      <c r="AY387" s="15"/>
      <c r="AZ387" s="15"/>
      <c r="BA387" s="15"/>
      <c r="BB387" s="15"/>
      <c r="BC387" s="15"/>
      <c r="BD387" s="15"/>
      <c r="BE387" s="15"/>
      <c r="BF387" s="15"/>
    </row>
    <row r="388" spans="1:58" ht="19.5" customHeight="1" x14ac:dyDescent="0.2">
      <c r="A388" s="8" t="str">
        <f>IF($B388="","",TEXT($B388,"yyyymmdd")&amp;"-"&amp;SUBSTITUTE($F388," ","")&amp;"-"&amp;TEXT(COUNTIF($F$4:F388,$F388),"00"))</f>
        <v/>
      </c>
      <c r="B388" s="9"/>
      <c r="C388" s="8" t="str">
        <f t="shared" si="52"/>
        <v/>
      </c>
      <c r="D388" s="8" t="str">
        <f t="shared" si="53"/>
        <v/>
      </c>
      <c r="E388" s="10"/>
      <c r="F388" s="10"/>
      <c r="G388" s="8" t="str">
        <f>IF(OR($E388="",$F388=""),"",IFERROR(IF($E388=INDEX(Cluster_Master!$A$4:$A$18,MATCH($F388,Cluster_Master!$B$4:$B$18,0)),"OK","CHECK"),"CHECK"))</f>
        <v/>
      </c>
      <c r="H388" s="11" t="str">
        <f>IFERROR(INDEX(Cluster_Master!$C$4:$C$18,MATCH($F388,Cluster_Master!$B$4:$B$18,0)),"")</f>
        <v/>
      </c>
      <c r="I388" s="8" t="str">
        <f>IFERROR(INDEX(Cluster_Master!$D$4:$D$18,MATCH($F388,Cluster_Master!$B$4:$B$18,0)),"")</f>
        <v/>
      </c>
      <c r="J388" s="8" t="str">
        <f>IFERROR(INDEX(Cluster_Master!$E$4:$E$18,MATCH($F388,Cluster_Master!$B$4:$B$18,0)),"")</f>
        <v/>
      </c>
      <c r="K388" s="8" t="str">
        <f>IFERROR(INDEX(Cluster_Master!$F$4:$F$18,MATCH($F388,Cluster_Master!$B$4:$B$18,0)),"")</f>
        <v/>
      </c>
      <c r="L388" s="8" t="str">
        <f>IFERROR(INDEX(Cluster_Master!$G$4:$G$18,MATCH($F388,Cluster_Master!$B$4:$B$18,0)),"")</f>
        <v/>
      </c>
      <c r="M388" s="8" t="str">
        <f>IFERROR(INDEX(Cluster_Master!$H$4:$H$18,MATCH($F388,Cluster_Master!$B$4:$B$18,0)),"")</f>
        <v/>
      </c>
      <c r="N388" s="12"/>
      <c r="O388" s="12"/>
      <c r="P388" s="12"/>
      <c r="Q388" s="12"/>
      <c r="R388" s="12"/>
      <c r="S388" s="12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8" t="str">
        <f t="shared" si="54"/>
        <v/>
      </c>
      <c r="AJ388" s="14" t="str">
        <f t="shared" si="55"/>
        <v/>
      </c>
      <c r="AK388" s="14" t="str">
        <f>IF(COUNTA(T388:AH388)=0,"",(SUM(T388*KPI_Weights!$B$4,U388*KPI_Weights!$B$5,V388*KPI_Weights!$B$6,W388*KPI_Weights!$B$7,X388*KPI_Weights!$B$8,Y388*KPI_Weights!$B$9,Z388*KPI_Weights!$B$10,AA388*KPI_Weights!$B$11,AB388*KPI_Weights!$B$12,AC388*KPI_Weights!$B$13,AD388*KPI_Weights!$B$14,AE388*KPI_Weights!$B$15,AF388*KPI_Weights!$B$16,AG388*KPI_Weights!$B$17,AH388*KPI_Weights!$B$18))/5)</f>
        <v/>
      </c>
      <c r="AL388" s="8" t="str">
        <f t="shared" si="56"/>
        <v/>
      </c>
      <c r="AM388" s="8" t="str">
        <f t="shared" si="57"/>
        <v/>
      </c>
      <c r="AN388" s="8" t="str">
        <f t="shared" si="58"/>
        <v/>
      </c>
      <c r="AO388" s="12"/>
      <c r="AP388" s="12"/>
      <c r="AQ388" s="12"/>
      <c r="AR388" s="12"/>
      <c r="AS388" s="12"/>
      <c r="AT388" s="15"/>
      <c r="AU388" s="12"/>
      <c r="AV388" s="16"/>
      <c r="AW388" s="12"/>
      <c r="AX388" s="15"/>
      <c r="AY388" s="15"/>
      <c r="AZ388" s="15"/>
      <c r="BA388" s="15"/>
      <c r="BB388" s="15"/>
      <c r="BC388" s="15"/>
      <c r="BD388" s="15"/>
      <c r="BE388" s="15"/>
      <c r="BF388" s="15"/>
    </row>
    <row r="389" spans="1:58" ht="19.5" customHeight="1" x14ac:dyDescent="0.2">
      <c r="A389" s="8" t="str">
        <f>IF($B389="","",TEXT($B389,"yyyymmdd")&amp;"-"&amp;SUBSTITUTE($F389," ","")&amp;"-"&amp;TEXT(COUNTIF($F$4:F389,$F389),"00"))</f>
        <v/>
      </c>
      <c r="B389" s="9"/>
      <c r="C389" s="8" t="str">
        <f t="shared" si="52"/>
        <v/>
      </c>
      <c r="D389" s="8" t="str">
        <f t="shared" si="53"/>
        <v/>
      </c>
      <c r="E389" s="10"/>
      <c r="F389" s="10"/>
      <c r="G389" s="8" t="str">
        <f>IF(OR($E389="",$F389=""),"",IFERROR(IF($E389=INDEX(Cluster_Master!$A$4:$A$18,MATCH($F389,Cluster_Master!$B$4:$B$18,0)),"OK","CHECK"),"CHECK"))</f>
        <v/>
      </c>
      <c r="H389" s="11" t="str">
        <f>IFERROR(INDEX(Cluster_Master!$C$4:$C$18,MATCH($F389,Cluster_Master!$B$4:$B$18,0)),"")</f>
        <v/>
      </c>
      <c r="I389" s="8" t="str">
        <f>IFERROR(INDEX(Cluster_Master!$D$4:$D$18,MATCH($F389,Cluster_Master!$B$4:$B$18,0)),"")</f>
        <v/>
      </c>
      <c r="J389" s="8" t="str">
        <f>IFERROR(INDEX(Cluster_Master!$E$4:$E$18,MATCH($F389,Cluster_Master!$B$4:$B$18,0)),"")</f>
        <v/>
      </c>
      <c r="K389" s="8" t="str">
        <f>IFERROR(INDEX(Cluster_Master!$F$4:$F$18,MATCH($F389,Cluster_Master!$B$4:$B$18,0)),"")</f>
        <v/>
      </c>
      <c r="L389" s="8" t="str">
        <f>IFERROR(INDEX(Cluster_Master!$G$4:$G$18,MATCH($F389,Cluster_Master!$B$4:$B$18,0)),"")</f>
        <v/>
      </c>
      <c r="M389" s="8" t="str">
        <f>IFERROR(INDEX(Cluster_Master!$H$4:$H$18,MATCH($F389,Cluster_Master!$B$4:$B$18,0)),"")</f>
        <v/>
      </c>
      <c r="N389" s="12"/>
      <c r="O389" s="12"/>
      <c r="P389" s="12"/>
      <c r="Q389" s="12"/>
      <c r="R389" s="12"/>
      <c r="S389" s="12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8" t="str">
        <f t="shared" si="54"/>
        <v/>
      </c>
      <c r="AJ389" s="14" t="str">
        <f t="shared" si="55"/>
        <v/>
      </c>
      <c r="AK389" s="14" t="str">
        <f>IF(COUNTA(T389:AH389)=0,"",(SUM(T389*KPI_Weights!$B$4,U389*KPI_Weights!$B$5,V389*KPI_Weights!$B$6,W389*KPI_Weights!$B$7,X389*KPI_Weights!$B$8,Y389*KPI_Weights!$B$9,Z389*KPI_Weights!$B$10,AA389*KPI_Weights!$B$11,AB389*KPI_Weights!$B$12,AC389*KPI_Weights!$B$13,AD389*KPI_Weights!$B$14,AE389*KPI_Weights!$B$15,AF389*KPI_Weights!$B$16,AG389*KPI_Weights!$B$17,AH389*KPI_Weights!$B$18))/5)</f>
        <v/>
      </c>
      <c r="AL389" s="8" t="str">
        <f t="shared" si="56"/>
        <v/>
      </c>
      <c r="AM389" s="8" t="str">
        <f t="shared" si="57"/>
        <v/>
      </c>
      <c r="AN389" s="8" t="str">
        <f t="shared" si="58"/>
        <v/>
      </c>
      <c r="AO389" s="12"/>
      <c r="AP389" s="12"/>
      <c r="AQ389" s="12"/>
      <c r="AR389" s="12"/>
      <c r="AS389" s="12"/>
      <c r="AT389" s="15"/>
      <c r="AU389" s="12"/>
      <c r="AV389" s="16"/>
      <c r="AW389" s="12"/>
      <c r="AX389" s="15"/>
      <c r="AY389" s="15"/>
      <c r="AZ389" s="15"/>
      <c r="BA389" s="15"/>
      <c r="BB389" s="15"/>
      <c r="BC389" s="15"/>
      <c r="BD389" s="15"/>
      <c r="BE389" s="15"/>
      <c r="BF389" s="15"/>
    </row>
    <row r="390" spans="1:58" ht="19.5" customHeight="1" x14ac:dyDescent="0.2">
      <c r="A390" s="8" t="str">
        <f>IF($B390="","",TEXT($B390,"yyyymmdd")&amp;"-"&amp;SUBSTITUTE($F390," ","")&amp;"-"&amp;TEXT(COUNTIF($F$4:F390,$F390),"00"))</f>
        <v/>
      </c>
      <c r="B390" s="9"/>
      <c r="C390" s="8" t="str">
        <f t="shared" si="52"/>
        <v/>
      </c>
      <c r="D390" s="8" t="str">
        <f t="shared" si="53"/>
        <v/>
      </c>
      <c r="E390" s="10"/>
      <c r="F390" s="10"/>
      <c r="G390" s="8" t="str">
        <f>IF(OR($E390="",$F390=""),"",IFERROR(IF($E390=INDEX(Cluster_Master!$A$4:$A$18,MATCH($F390,Cluster_Master!$B$4:$B$18,0)),"OK","CHECK"),"CHECK"))</f>
        <v/>
      </c>
      <c r="H390" s="11" t="str">
        <f>IFERROR(INDEX(Cluster_Master!$C$4:$C$18,MATCH($F390,Cluster_Master!$B$4:$B$18,0)),"")</f>
        <v/>
      </c>
      <c r="I390" s="8" t="str">
        <f>IFERROR(INDEX(Cluster_Master!$D$4:$D$18,MATCH($F390,Cluster_Master!$B$4:$B$18,0)),"")</f>
        <v/>
      </c>
      <c r="J390" s="8" t="str">
        <f>IFERROR(INDEX(Cluster_Master!$E$4:$E$18,MATCH($F390,Cluster_Master!$B$4:$B$18,0)),"")</f>
        <v/>
      </c>
      <c r="K390" s="8" t="str">
        <f>IFERROR(INDEX(Cluster_Master!$F$4:$F$18,MATCH($F390,Cluster_Master!$B$4:$B$18,0)),"")</f>
        <v/>
      </c>
      <c r="L390" s="8" t="str">
        <f>IFERROR(INDEX(Cluster_Master!$G$4:$G$18,MATCH($F390,Cluster_Master!$B$4:$B$18,0)),"")</f>
        <v/>
      </c>
      <c r="M390" s="8" t="str">
        <f>IFERROR(INDEX(Cluster_Master!$H$4:$H$18,MATCH($F390,Cluster_Master!$B$4:$B$18,0)),"")</f>
        <v/>
      </c>
      <c r="N390" s="12"/>
      <c r="O390" s="12"/>
      <c r="P390" s="12"/>
      <c r="Q390" s="12"/>
      <c r="R390" s="12"/>
      <c r="S390" s="12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8" t="str">
        <f t="shared" si="54"/>
        <v/>
      </c>
      <c r="AJ390" s="14" t="str">
        <f t="shared" si="55"/>
        <v/>
      </c>
      <c r="AK390" s="14" t="str">
        <f>IF(COUNTA(T390:AH390)=0,"",(SUM(T390*KPI_Weights!$B$4,U390*KPI_Weights!$B$5,V390*KPI_Weights!$B$6,W390*KPI_Weights!$B$7,X390*KPI_Weights!$B$8,Y390*KPI_Weights!$B$9,Z390*KPI_Weights!$B$10,AA390*KPI_Weights!$B$11,AB390*KPI_Weights!$B$12,AC390*KPI_Weights!$B$13,AD390*KPI_Weights!$B$14,AE390*KPI_Weights!$B$15,AF390*KPI_Weights!$B$16,AG390*KPI_Weights!$B$17,AH390*KPI_Weights!$B$18))/5)</f>
        <v/>
      </c>
      <c r="AL390" s="8" t="str">
        <f t="shared" si="56"/>
        <v/>
      </c>
      <c r="AM390" s="8" t="str">
        <f t="shared" si="57"/>
        <v/>
      </c>
      <c r="AN390" s="8" t="str">
        <f t="shared" si="58"/>
        <v/>
      </c>
      <c r="AO390" s="12"/>
      <c r="AP390" s="12"/>
      <c r="AQ390" s="12"/>
      <c r="AR390" s="12"/>
      <c r="AS390" s="12"/>
      <c r="AT390" s="15"/>
      <c r="AU390" s="12"/>
      <c r="AV390" s="16"/>
      <c r="AW390" s="12"/>
      <c r="AX390" s="15"/>
      <c r="AY390" s="15"/>
      <c r="AZ390" s="15"/>
      <c r="BA390" s="15"/>
      <c r="BB390" s="15"/>
      <c r="BC390" s="15"/>
      <c r="BD390" s="15"/>
      <c r="BE390" s="15"/>
      <c r="BF390" s="15"/>
    </row>
    <row r="391" spans="1:58" ht="19.5" customHeight="1" x14ac:dyDescent="0.2">
      <c r="A391" s="8" t="str">
        <f>IF($B391="","",TEXT($B391,"yyyymmdd")&amp;"-"&amp;SUBSTITUTE($F391," ","")&amp;"-"&amp;TEXT(COUNTIF($F$4:F391,$F391),"00"))</f>
        <v/>
      </c>
      <c r="B391" s="9"/>
      <c r="C391" s="8" t="str">
        <f t="shared" si="52"/>
        <v/>
      </c>
      <c r="D391" s="8" t="str">
        <f t="shared" si="53"/>
        <v/>
      </c>
      <c r="E391" s="10"/>
      <c r="F391" s="10"/>
      <c r="G391" s="8" t="str">
        <f>IF(OR($E391="",$F391=""),"",IFERROR(IF($E391=INDEX(Cluster_Master!$A$4:$A$18,MATCH($F391,Cluster_Master!$B$4:$B$18,0)),"OK","CHECK"),"CHECK"))</f>
        <v/>
      </c>
      <c r="H391" s="11" t="str">
        <f>IFERROR(INDEX(Cluster_Master!$C$4:$C$18,MATCH($F391,Cluster_Master!$B$4:$B$18,0)),"")</f>
        <v/>
      </c>
      <c r="I391" s="8" t="str">
        <f>IFERROR(INDEX(Cluster_Master!$D$4:$D$18,MATCH($F391,Cluster_Master!$B$4:$B$18,0)),"")</f>
        <v/>
      </c>
      <c r="J391" s="8" t="str">
        <f>IFERROR(INDEX(Cluster_Master!$E$4:$E$18,MATCH($F391,Cluster_Master!$B$4:$B$18,0)),"")</f>
        <v/>
      </c>
      <c r="K391" s="8" t="str">
        <f>IFERROR(INDEX(Cluster_Master!$F$4:$F$18,MATCH($F391,Cluster_Master!$B$4:$B$18,0)),"")</f>
        <v/>
      </c>
      <c r="L391" s="8" t="str">
        <f>IFERROR(INDEX(Cluster_Master!$G$4:$G$18,MATCH($F391,Cluster_Master!$B$4:$B$18,0)),"")</f>
        <v/>
      </c>
      <c r="M391" s="8" t="str">
        <f>IFERROR(INDEX(Cluster_Master!$H$4:$H$18,MATCH($F391,Cluster_Master!$B$4:$B$18,0)),"")</f>
        <v/>
      </c>
      <c r="N391" s="12"/>
      <c r="O391" s="12"/>
      <c r="P391" s="12"/>
      <c r="Q391" s="12"/>
      <c r="R391" s="12"/>
      <c r="S391" s="12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8" t="str">
        <f t="shared" si="54"/>
        <v/>
      </c>
      <c r="AJ391" s="14" t="str">
        <f t="shared" si="55"/>
        <v/>
      </c>
      <c r="AK391" s="14" t="str">
        <f>IF(COUNTA(T391:AH391)=0,"",(SUM(T391*KPI_Weights!$B$4,U391*KPI_Weights!$B$5,V391*KPI_Weights!$B$6,W391*KPI_Weights!$B$7,X391*KPI_Weights!$B$8,Y391*KPI_Weights!$B$9,Z391*KPI_Weights!$B$10,AA391*KPI_Weights!$B$11,AB391*KPI_Weights!$B$12,AC391*KPI_Weights!$B$13,AD391*KPI_Weights!$B$14,AE391*KPI_Weights!$B$15,AF391*KPI_Weights!$B$16,AG391*KPI_Weights!$B$17,AH391*KPI_Weights!$B$18))/5)</f>
        <v/>
      </c>
      <c r="AL391" s="8" t="str">
        <f t="shared" si="56"/>
        <v/>
      </c>
      <c r="AM391" s="8" t="str">
        <f t="shared" si="57"/>
        <v/>
      </c>
      <c r="AN391" s="8" t="str">
        <f t="shared" si="58"/>
        <v/>
      </c>
      <c r="AO391" s="12"/>
      <c r="AP391" s="12"/>
      <c r="AQ391" s="12"/>
      <c r="AR391" s="12"/>
      <c r="AS391" s="12"/>
      <c r="AT391" s="15"/>
      <c r="AU391" s="12"/>
      <c r="AV391" s="16"/>
      <c r="AW391" s="12"/>
      <c r="AX391" s="15"/>
      <c r="AY391" s="15"/>
      <c r="AZ391" s="15"/>
      <c r="BA391" s="15"/>
      <c r="BB391" s="15"/>
      <c r="BC391" s="15"/>
      <c r="BD391" s="15"/>
      <c r="BE391" s="15"/>
      <c r="BF391" s="15"/>
    </row>
    <row r="392" spans="1:58" ht="19.5" customHeight="1" x14ac:dyDescent="0.2">
      <c r="A392" s="8" t="str">
        <f>IF($B392="","",TEXT($B392,"yyyymmdd")&amp;"-"&amp;SUBSTITUTE($F392," ","")&amp;"-"&amp;TEXT(COUNTIF($F$4:F392,$F392),"00"))</f>
        <v/>
      </c>
      <c r="B392" s="9"/>
      <c r="C392" s="8" t="str">
        <f t="shared" si="52"/>
        <v/>
      </c>
      <c r="D392" s="8" t="str">
        <f t="shared" si="53"/>
        <v/>
      </c>
      <c r="E392" s="10"/>
      <c r="F392" s="10"/>
      <c r="G392" s="8" t="str">
        <f>IF(OR($E392="",$F392=""),"",IFERROR(IF($E392=INDEX(Cluster_Master!$A$4:$A$18,MATCH($F392,Cluster_Master!$B$4:$B$18,0)),"OK","CHECK"),"CHECK"))</f>
        <v/>
      </c>
      <c r="H392" s="11" t="str">
        <f>IFERROR(INDEX(Cluster_Master!$C$4:$C$18,MATCH($F392,Cluster_Master!$B$4:$B$18,0)),"")</f>
        <v/>
      </c>
      <c r="I392" s="8" t="str">
        <f>IFERROR(INDEX(Cluster_Master!$D$4:$D$18,MATCH($F392,Cluster_Master!$B$4:$B$18,0)),"")</f>
        <v/>
      </c>
      <c r="J392" s="8" t="str">
        <f>IFERROR(INDEX(Cluster_Master!$E$4:$E$18,MATCH($F392,Cluster_Master!$B$4:$B$18,0)),"")</f>
        <v/>
      </c>
      <c r="K392" s="8" t="str">
        <f>IFERROR(INDEX(Cluster_Master!$F$4:$F$18,MATCH($F392,Cluster_Master!$B$4:$B$18,0)),"")</f>
        <v/>
      </c>
      <c r="L392" s="8" t="str">
        <f>IFERROR(INDEX(Cluster_Master!$G$4:$G$18,MATCH($F392,Cluster_Master!$B$4:$B$18,0)),"")</f>
        <v/>
      </c>
      <c r="M392" s="8" t="str">
        <f>IFERROR(INDEX(Cluster_Master!$H$4:$H$18,MATCH($F392,Cluster_Master!$B$4:$B$18,0)),"")</f>
        <v/>
      </c>
      <c r="N392" s="12"/>
      <c r="O392" s="12"/>
      <c r="P392" s="12"/>
      <c r="Q392" s="12"/>
      <c r="R392" s="12"/>
      <c r="S392" s="12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8" t="str">
        <f t="shared" si="54"/>
        <v/>
      </c>
      <c r="AJ392" s="14" t="str">
        <f t="shared" si="55"/>
        <v/>
      </c>
      <c r="AK392" s="14" t="str">
        <f>IF(COUNTA(T392:AH392)=0,"",(SUM(T392*KPI_Weights!$B$4,U392*KPI_Weights!$B$5,V392*KPI_Weights!$B$6,W392*KPI_Weights!$B$7,X392*KPI_Weights!$B$8,Y392*KPI_Weights!$B$9,Z392*KPI_Weights!$B$10,AA392*KPI_Weights!$B$11,AB392*KPI_Weights!$B$12,AC392*KPI_Weights!$B$13,AD392*KPI_Weights!$B$14,AE392*KPI_Weights!$B$15,AF392*KPI_Weights!$B$16,AG392*KPI_Weights!$B$17,AH392*KPI_Weights!$B$18))/5)</f>
        <v/>
      </c>
      <c r="AL392" s="8" t="str">
        <f t="shared" si="56"/>
        <v/>
      </c>
      <c r="AM392" s="8" t="str">
        <f t="shared" si="57"/>
        <v/>
      </c>
      <c r="AN392" s="8" t="str">
        <f t="shared" si="58"/>
        <v/>
      </c>
      <c r="AO392" s="12"/>
      <c r="AP392" s="12"/>
      <c r="AQ392" s="12"/>
      <c r="AR392" s="12"/>
      <c r="AS392" s="12"/>
      <c r="AT392" s="15"/>
      <c r="AU392" s="12"/>
      <c r="AV392" s="16"/>
      <c r="AW392" s="12"/>
      <c r="AX392" s="15"/>
      <c r="AY392" s="15"/>
      <c r="AZ392" s="15"/>
      <c r="BA392" s="15"/>
      <c r="BB392" s="15"/>
      <c r="BC392" s="15"/>
      <c r="BD392" s="15"/>
      <c r="BE392" s="15"/>
      <c r="BF392" s="15"/>
    </row>
    <row r="393" spans="1:58" ht="19.5" customHeight="1" x14ac:dyDescent="0.2">
      <c r="A393" s="8" t="str">
        <f>IF($B393="","",TEXT($B393,"yyyymmdd")&amp;"-"&amp;SUBSTITUTE($F393," ","")&amp;"-"&amp;TEXT(COUNTIF($F$4:F393,$F393),"00"))</f>
        <v/>
      </c>
      <c r="B393" s="9"/>
      <c r="C393" s="8" t="str">
        <f t="shared" si="52"/>
        <v/>
      </c>
      <c r="D393" s="8" t="str">
        <f t="shared" si="53"/>
        <v/>
      </c>
      <c r="E393" s="10"/>
      <c r="F393" s="10"/>
      <c r="G393" s="8" t="str">
        <f>IF(OR($E393="",$F393=""),"",IFERROR(IF($E393=INDEX(Cluster_Master!$A$4:$A$18,MATCH($F393,Cluster_Master!$B$4:$B$18,0)),"OK","CHECK"),"CHECK"))</f>
        <v/>
      </c>
      <c r="H393" s="11" t="str">
        <f>IFERROR(INDEX(Cluster_Master!$C$4:$C$18,MATCH($F393,Cluster_Master!$B$4:$B$18,0)),"")</f>
        <v/>
      </c>
      <c r="I393" s="8" t="str">
        <f>IFERROR(INDEX(Cluster_Master!$D$4:$D$18,MATCH($F393,Cluster_Master!$B$4:$B$18,0)),"")</f>
        <v/>
      </c>
      <c r="J393" s="8" t="str">
        <f>IFERROR(INDEX(Cluster_Master!$E$4:$E$18,MATCH($F393,Cluster_Master!$B$4:$B$18,0)),"")</f>
        <v/>
      </c>
      <c r="K393" s="8" t="str">
        <f>IFERROR(INDEX(Cluster_Master!$F$4:$F$18,MATCH($F393,Cluster_Master!$B$4:$B$18,0)),"")</f>
        <v/>
      </c>
      <c r="L393" s="8" t="str">
        <f>IFERROR(INDEX(Cluster_Master!$G$4:$G$18,MATCH($F393,Cluster_Master!$B$4:$B$18,0)),"")</f>
        <v/>
      </c>
      <c r="M393" s="8" t="str">
        <f>IFERROR(INDEX(Cluster_Master!$H$4:$H$18,MATCH($F393,Cluster_Master!$B$4:$B$18,0)),"")</f>
        <v/>
      </c>
      <c r="N393" s="12"/>
      <c r="O393" s="12"/>
      <c r="P393" s="12"/>
      <c r="Q393" s="12"/>
      <c r="R393" s="12"/>
      <c r="S393" s="12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8" t="str">
        <f t="shared" si="54"/>
        <v/>
      </c>
      <c r="AJ393" s="14" t="str">
        <f t="shared" si="55"/>
        <v/>
      </c>
      <c r="AK393" s="14" t="str">
        <f>IF(COUNTA(T393:AH393)=0,"",(SUM(T393*KPI_Weights!$B$4,U393*KPI_Weights!$B$5,V393*KPI_Weights!$B$6,W393*KPI_Weights!$B$7,X393*KPI_Weights!$B$8,Y393*KPI_Weights!$B$9,Z393*KPI_Weights!$B$10,AA393*KPI_Weights!$B$11,AB393*KPI_Weights!$B$12,AC393*KPI_Weights!$B$13,AD393*KPI_Weights!$B$14,AE393*KPI_Weights!$B$15,AF393*KPI_Weights!$B$16,AG393*KPI_Weights!$B$17,AH393*KPI_Weights!$B$18))/5)</f>
        <v/>
      </c>
      <c r="AL393" s="8" t="str">
        <f t="shared" si="56"/>
        <v/>
      </c>
      <c r="AM393" s="8" t="str">
        <f t="shared" si="57"/>
        <v/>
      </c>
      <c r="AN393" s="8" t="str">
        <f t="shared" si="58"/>
        <v/>
      </c>
      <c r="AO393" s="12"/>
      <c r="AP393" s="12"/>
      <c r="AQ393" s="12"/>
      <c r="AR393" s="12"/>
      <c r="AS393" s="12"/>
      <c r="AT393" s="15"/>
      <c r="AU393" s="12"/>
      <c r="AV393" s="16"/>
      <c r="AW393" s="12"/>
      <c r="AX393" s="15"/>
      <c r="AY393" s="15"/>
      <c r="AZ393" s="15"/>
      <c r="BA393" s="15"/>
      <c r="BB393" s="15"/>
      <c r="BC393" s="15"/>
      <c r="BD393" s="15"/>
      <c r="BE393" s="15"/>
      <c r="BF393" s="15"/>
    </row>
    <row r="394" spans="1:58" ht="19.5" customHeight="1" x14ac:dyDescent="0.2">
      <c r="A394" s="8" t="str">
        <f>IF($B394="","",TEXT($B394,"yyyymmdd")&amp;"-"&amp;SUBSTITUTE($F394," ","")&amp;"-"&amp;TEXT(COUNTIF($F$4:F394,$F394),"00"))</f>
        <v/>
      </c>
      <c r="B394" s="9"/>
      <c r="C394" s="8" t="str">
        <f t="shared" si="52"/>
        <v/>
      </c>
      <c r="D394" s="8" t="str">
        <f t="shared" si="53"/>
        <v/>
      </c>
      <c r="E394" s="10"/>
      <c r="F394" s="10"/>
      <c r="G394" s="8" t="str">
        <f>IF(OR($E394="",$F394=""),"",IFERROR(IF($E394=INDEX(Cluster_Master!$A$4:$A$18,MATCH($F394,Cluster_Master!$B$4:$B$18,0)),"OK","CHECK"),"CHECK"))</f>
        <v/>
      </c>
      <c r="H394" s="11" t="str">
        <f>IFERROR(INDEX(Cluster_Master!$C$4:$C$18,MATCH($F394,Cluster_Master!$B$4:$B$18,0)),"")</f>
        <v/>
      </c>
      <c r="I394" s="8" t="str">
        <f>IFERROR(INDEX(Cluster_Master!$D$4:$D$18,MATCH($F394,Cluster_Master!$B$4:$B$18,0)),"")</f>
        <v/>
      </c>
      <c r="J394" s="8" t="str">
        <f>IFERROR(INDEX(Cluster_Master!$E$4:$E$18,MATCH($F394,Cluster_Master!$B$4:$B$18,0)),"")</f>
        <v/>
      </c>
      <c r="K394" s="8" t="str">
        <f>IFERROR(INDEX(Cluster_Master!$F$4:$F$18,MATCH($F394,Cluster_Master!$B$4:$B$18,0)),"")</f>
        <v/>
      </c>
      <c r="L394" s="8" t="str">
        <f>IFERROR(INDEX(Cluster_Master!$G$4:$G$18,MATCH($F394,Cluster_Master!$B$4:$B$18,0)),"")</f>
        <v/>
      </c>
      <c r="M394" s="8" t="str">
        <f>IFERROR(INDEX(Cluster_Master!$H$4:$H$18,MATCH($F394,Cluster_Master!$B$4:$B$18,0)),"")</f>
        <v/>
      </c>
      <c r="N394" s="12"/>
      <c r="O394" s="12"/>
      <c r="P394" s="12"/>
      <c r="Q394" s="12"/>
      <c r="R394" s="12"/>
      <c r="S394" s="12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8" t="str">
        <f t="shared" si="54"/>
        <v/>
      </c>
      <c r="AJ394" s="14" t="str">
        <f t="shared" si="55"/>
        <v/>
      </c>
      <c r="AK394" s="14" t="str">
        <f>IF(COUNTA(T394:AH394)=0,"",(SUM(T394*KPI_Weights!$B$4,U394*KPI_Weights!$B$5,V394*KPI_Weights!$B$6,W394*KPI_Weights!$B$7,X394*KPI_Weights!$B$8,Y394*KPI_Weights!$B$9,Z394*KPI_Weights!$B$10,AA394*KPI_Weights!$B$11,AB394*KPI_Weights!$B$12,AC394*KPI_Weights!$B$13,AD394*KPI_Weights!$B$14,AE394*KPI_Weights!$B$15,AF394*KPI_Weights!$B$16,AG394*KPI_Weights!$B$17,AH394*KPI_Weights!$B$18))/5)</f>
        <v/>
      </c>
      <c r="AL394" s="8" t="str">
        <f t="shared" si="56"/>
        <v/>
      </c>
      <c r="AM394" s="8" t="str">
        <f t="shared" si="57"/>
        <v/>
      </c>
      <c r="AN394" s="8" t="str">
        <f t="shared" si="58"/>
        <v/>
      </c>
      <c r="AO394" s="12"/>
      <c r="AP394" s="12"/>
      <c r="AQ394" s="12"/>
      <c r="AR394" s="12"/>
      <c r="AS394" s="12"/>
      <c r="AT394" s="15"/>
      <c r="AU394" s="12"/>
      <c r="AV394" s="16"/>
      <c r="AW394" s="12"/>
      <c r="AX394" s="15"/>
      <c r="AY394" s="15"/>
      <c r="AZ394" s="15"/>
      <c r="BA394" s="15"/>
      <c r="BB394" s="15"/>
      <c r="BC394" s="15"/>
      <c r="BD394" s="15"/>
      <c r="BE394" s="15"/>
      <c r="BF394" s="15"/>
    </row>
    <row r="395" spans="1:58" ht="19.5" customHeight="1" x14ac:dyDescent="0.2">
      <c r="A395" s="8" t="str">
        <f>IF($B395="","",TEXT($B395,"yyyymmdd")&amp;"-"&amp;SUBSTITUTE($F395," ","")&amp;"-"&amp;TEXT(COUNTIF($F$4:F395,$F395),"00"))</f>
        <v/>
      </c>
      <c r="B395" s="9"/>
      <c r="C395" s="8" t="str">
        <f t="shared" si="52"/>
        <v/>
      </c>
      <c r="D395" s="8" t="str">
        <f t="shared" si="53"/>
        <v/>
      </c>
      <c r="E395" s="10"/>
      <c r="F395" s="10"/>
      <c r="G395" s="8" t="str">
        <f>IF(OR($E395="",$F395=""),"",IFERROR(IF($E395=INDEX(Cluster_Master!$A$4:$A$18,MATCH($F395,Cluster_Master!$B$4:$B$18,0)),"OK","CHECK"),"CHECK"))</f>
        <v/>
      </c>
      <c r="H395" s="11" t="str">
        <f>IFERROR(INDEX(Cluster_Master!$C$4:$C$18,MATCH($F395,Cluster_Master!$B$4:$B$18,0)),"")</f>
        <v/>
      </c>
      <c r="I395" s="8" t="str">
        <f>IFERROR(INDEX(Cluster_Master!$D$4:$D$18,MATCH($F395,Cluster_Master!$B$4:$B$18,0)),"")</f>
        <v/>
      </c>
      <c r="J395" s="8" t="str">
        <f>IFERROR(INDEX(Cluster_Master!$E$4:$E$18,MATCH($F395,Cluster_Master!$B$4:$B$18,0)),"")</f>
        <v/>
      </c>
      <c r="K395" s="8" t="str">
        <f>IFERROR(INDEX(Cluster_Master!$F$4:$F$18,MATCH($F395,Cluster_Master!$B$4:$B$18,0)),"")</f>
        <v/>
      </c>
      <c r="L395" s="8" t="str">
        <f>IFERROR(INDEX(Cluster_Master!$G$4:$G$18,MATCH($F395,Cluster_Master!$B$4:$B$18,0)),"")</f>
        <v/>
      </c>
      <c r="M395" s="8" t="str">
        <f>IFERROR(INDEX(Cluster_Master!$H$4:$H$18,MATCH($F395,Cluster_Master!$B$4:$B$18,0)),"")</f>
        <v/>
      </c>
      <c r="N395" s="12"/>
      <c r="O395" s="12"/>
      <c r="P395" s="12"/>
      <c r="Q395" s="12"/>
      <c r="R395" s="12"/>
      <c r="S395" s="12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8" t="str">
        <f t="shared" si="54"/>
        <v/>
      </c>
      <c r="AJ395" s="14" t="str">
        <f t="shared" si="55"/>
        <v/>
      </c>
      <c r="AK395" s="14" t="str">
        <f>IF(COUNTA(T395:AH395)=0,"",(SUM(T395*KPI_Weights!$B$4,U395*KPI_Weights!$B$5,V395*KPI_Weights!$B$6,W395*KPI_Weights!$B$7,X395*KPI_Weights!$B$8,Y395*KPI_Weights!$B$9,Z395*KPI_Weights!$B$10,AA395*KPI_Weights!$B$11,AB395*KPI_Weights!$B$12,AC395*KPI_Weights!$B$13,AD395*KPI_Weights!$B$14,AE395*KPI_Weights!$B$15,AF395*KPI_Weights!$B$16,AG395*KPI_Weights!$B$17,AH395*KPI_Weights!$B$18))/5)</f>
        <v/>
      </c>
      <c r="AL395" s="8" t="str">
        <f t="shared" si="56"/>
        <v/>
      </c>
      <c r="AM395" s="8" t="str">
        <f t="shared" si="57"/>
        <v/>
      </c>
      <c r="AN395" s="8" t="str">
        <f t="shared" si="58"/>
        <v/>
      </c>
      <c r="AO395" s="12"/>
      <c r="AP395" s="12"/>
      <c r="AQ395" s="12"/>
      <c r="AR395" s="12"/>
      <c r="AS395" s="12"/>
      <c r="AT395" s="15"/>
      <c r="AU395" s="12"/>
      <c r="AV395" s="16"/>
      <c r="AW395" s="12"/>
      <c r="AX395" s="15"/>
      <c r="AY395" s="15"/>
      <c r="AZ395" s="15"/>
      <c r="BA395" s="15"/>
      <c r="BB395" s="15"/>
      <c r="BC395" s="15"/>
      <c r="BD395" s="15"/>
      <c r="BE395" s="15"/>
      <c r="BF395" s="15"/>
    </row>
    <row r="396" spans="1:58" ht="19.5" customHeight="1" x14ac:dyDescent="0.2">
      <c r="A396" s="8" t="str">
        <f>IF($B396="","",TEXT($B396,"yyyymmdd")&amp;"-"&amp;SUBSTITUTE($F396," ","")&amp;"-"&amp;TEXT(COUNTIF($F$4:F396,$F396),"00"))</f>
        <v/>
      </c>
      <c r="B396" s="9"/>
      <c r="C396" s="8" t="str">
        <f t="shared" si="52"/>
        <v/>
      </c>
      <c r="D396" s="8" t="str">
        <f t="shared" si="53"/>
        <v/>
      </c>
      <c r="E396" s="10"/>
      <c r="F396" s="10"/>
      <c r="G396" s="8" t="str">
        <f>IF(OR($E396="",$F396=""),"",IFERROR(IF($E396=INDEX(Cluster_Master!$A$4:$A$18,MATCH($F396,Cluster_Master!$B$4:$B$18,0)),"OK","CHECK"),"CHECK"))</f>
        <v/>
      </c>
      <c r="H396" s="11" t="str">
        <f>IFERROR(INDEX(Cluster_Master!$C$4:$C$18,MATCH($F396,Cluster_Master!$B$4:$B$18,0)),"")</f>
        <v/>
      </c>
      <c r="I396" s="8" t="str">
        <f>IFERROR(INDEX(Cluster_Master!$D$4:$D$18,MATCH($F396,Cluster_Master!$B$4:$B$18,0)),"")</f>
        <v/>
      </c>
      <c r="J396" s="8" t="str">
        <f>IFERROR(INDEX(Cluster_Master!$E$4:$E$18,MATCH($F396,Cluster_Master!$B$4:$B$18,0)),"")</f>
        <v/>
      </c>
      <c r="K396" s="8" t="str">
        <f>IFERROR(INDEX(Cluster_Master!$F$4:$F$18,MATCH($F396,Cluster_Master!$B$4:$B$18,0)),"")</f>
        <v/>
      </c>
      <c r="L396" s="8" t="str">
        <f>IFERROR(INDEX(Cluster_Master!$G$4:$G$18,MATCH($F396,Cluster_Master!$B$4:$B$18,0)),"")</f>
        <v/>
      </c>
      <c r="M396" s="8" t="str">
        <f>IFERROR(INDEX(Cluster_Master!$H$4:$H$18,MATCH($F396,Cluster_Master!$B$4:$B$18,0)),"")</f>
        <v/>
      </c>
      <c r="N396" s="12"/>
      <c r="O396" s="12"/>
      <c r="P396" s="12"/>
      <c r="Q396" s="12"/>
      <c r="R396" s="12"/>
      <c r="S396" s="12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8" t="str">
        <f t="shared" si="54"/>
        <v/>
      </c>
      <c r="AJ396" s="14" t="str">
        <f t="shared" si="55"/>
        <v/>
      </c>
      <c r="AK396" s="14" t="str">
        <f>IF(COUNTA(T396:AH396)=0,"",(SUM(T396*KPI_Weights!$B$4,U396*KPI_Weights!$B$5,V396*KPI_Weights!$B$6,W396*KPI_Weights!$B$7,X396*KPI_Weights!$B$8,Y396*KPI_Weights!$B$9,Z396*KPI_Weights!$B$10,AA396*KPI_Weights!$B$11,AB396*KPI_Weights!$B$12,AC396*KPI_Weights!$B$13,AD396*KPI_Weights!$B$14,AE396*KPI_Weights!$B$15,AF396*KPI_Weights!$B$16,AG396*KPI_Weights!$B$17,AH396*KPI_Weights!$B$18))/5)</f>
        <v/>
      </c>
      <c r="AL396" s="8" t="str">
        <f t="shared" si="56"/>
        <v/>
      </c>
      <c r="AM396" s="8" t="str">
        <f t="shared" si="57"/>
        <v/>
      </c>
      <c r="AN396" s="8" t="str">
        <f t="shared" si="58"/>
        <v/>
      </c>
      <c r="AO396" s="12"/>
      <c r="AP396" s="12"/>
      <c r="AQ396" s="12"/>
      <c r="AR396" s="12"/>
      <c r="AS396" s="12"/>
      <c r="AT396" s="15"/>
      <c r="AU396" s="12"/>
      <c r="AV396" s="16"/>
      <c r="AW396" s="12"/>
      <c r="AX396" s="15"/>
      <c r="AY396" s="15"/>
      <c r="AZ396" s="15"/>
      <c r="BA396" s="15"/>
      <c r="BB396" s="15"/>
      <c r="BC396" s="15"/>
      <c r="BD396" s="15"/>
      <c r="BE396" s="15"/>
      <c r="BF396" s="15"/>
    </row>
    <row r="397" spans="1:58" ht="19.5" customHeight="1" x14ac:dyDescent="0.2">
      <c r="A397" s="8" t="str">
        <f>IF($B397="","",TEXT($B397,"yyyymmdd")&amp;"-"&amp;SUBSTITUTE($F397," ","")&amp;"-"&amp;TEXT(COUNTIF($F$4:F397,$F397),"00"))</f>
        <v/>
      </c>
      <c r="B397" s="9"/>
      <c r="C397" s="8" t="str">
        <f t="shared" si="52"/>
        <v/>
      </c>
      <c r="D397" s="8" t="str">
        <f t="shared" si="53"/>
        <v/>
      </c>
      <c r="E397" s="10"/>
      <c r="F397" s="10"/>
      <c r="G397" s="8" t="str">
        <f>IF(OR($E397="",$F397=""),"",IFERROR(IF($E397=INDEX(Cluster_Master!$A$4:$A$18,MATCH($F397,Cluster_Master!$B$4:$B$18,0)),"OK","CHECK"),"CHECK"))</f>
        <v/>
      </c>
      <c r="H397" s="11" t="str">
        <f>IFERROR(INDEX(Cluster_Master!$C$4:$C$18,MATCH($F397,Cluster_Master!$B$4:$B$18,0)),"")</f>
        <v/>
      </c>
      <c r="I397" s="8" t="str">
        <f>IFERROR(INDEX(Cluster_Master!$D$4:$D$18,MATCH($F397,Cluster_Master!$B$4:$B$18,0)),"")</f>
        <v/>
      </c>
      <c r="J397" s="8" t="str">
        <f>IFERROR(INDEX(Cluster_Master!$E$4:$E$18,MATCH($F397,Cluster_Master!$B$4:$B$18,0)),"")</f>
        <v/>
      </c>
      <c r="K397" s="8" t="str">
        <f>IFERROR(INDEX(Cluster_Master!$F$4:$F$18,MATCH($F397,Cluster_Master!$B$4:$B$18,0)),"")</f>
        <v/>
      </c>
      <c r="L397" s="8" t="str">
        <f>IFERROR(INDEX(Cluster_Master!$G$4:$G$18,MATCH($F397,Cluster_Master!$B$4:$B$18,0)),"")</f>
        <v/>
      </c>
      <c r="M397" s="8" t="str">
        <f>IFERROR(INDEX(Cluster_Master!$H$4:$H$18,MATCH($F397,Cluster_Master!$B$4:$B$18,0)),"")</f>
        <v/>
      </c>
      <c r="N397" s="12"/>
      <c r="O397" s="12"/>
      <c r="P397" s="12"/>
      <c r="Q397" s="12"/>
      <c r="R397" s="12"/>
      <c r="S397" s="12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8" t="str">
        <f t="shared" si="54"/>
        <v/>
      </c>
      <c r="AJ397" s="14" t="str">
        <f t="shared" si="55"/>
        <v/>
      </c>
      <c r="AK397" s="14" t="str">
        <f>IF(COUNTA(T397:AH397)=0,"",(SUM(T397*KPI_Weights!$B$4,U397*KPI_Weights!$B$5,V397*KPI_Weights!$B$6,W397*KPI_Weights!$B$7,X397*KPI_Weights!$B$8,Y397*KPI_Weights!$B$9,Z397*KPI_Weights!$B$10,AA397*KPI_Weights!$B$11,AB397*KPI_Weights!$B$12,AC397*KPI_Weights!$B$13,AD397*KPI_Weights!$B$14,AE397*KPI_Weights!$B$15,AF397*KPI_Weights!$B$16,AG397*KPI_Weights!$B$17,AH397*KPI_Weights!$B$18))/5)</f>
        <v/>
      </c>
      <c r="AL397" s="8" t="str">
        <f t="shared" si="56"/>
        <v/>
      </c>
      <c r="AM397" s="8" t="str">
        <f t="shared" si="57"/>
        <v/>
      </c>
      <c r="AN397" s="8" t="str">
        <f t="shared" si="58"/>
        <v/>
      </c>
      <c r="AO397" s="12"/>
      <c r="AP397" s="12"/>
      <c r="AQ397" s="12"/>
      <c r="AR397" s="12"/>
      <c r="AS397" s="12"/>
      <c r="AT397" s="15"/>
      <c r="AU397" s="12"/>
      <c r="AV397" s="16"/>
      <c r="AW397" s="12"/>
      <c r="AX397" s="15"/>
      <c r="AY397" s="15"/>
      <c r="AZ397" s="15"/>
      <c r="BA397" s="15"/>
      <c r="BB397" s="15"/>
      <c r="BC397" s="15"/>
      <c r="BD397" s="15"/>
      <c r="BE397" s="15"/>
      <c r="BF397" s="15"/>
    </row>
    <row r="398" spans="1:58" ht="19.5" customHeight="1" x14ac:dyDescent="0.2">
      <c r="A398" s="8" t="str">
        <f>IF($B398="","",TEXT($B398,"yyyymmdd")&amp;"-"&amp;SUBSTITUTE($F398," ","")&amp;"-"&amp;TEXT(COUNTIF($F$4:F398,$F398),"00"))</f>
        <v/>
      </c>
      <c r="B398" s="9"/>
      <c r="C398" s="8" t="str">
        <f t="shared" si="52"/>
        <v/>
      </c>
      <c r="D398" s="8" t="str">
        <f t="shared" si="53"/>
        <v/>
      </c>
      <c r="E398" s="10"/>
      <c r="F398" s="10"/>
      <c r="G398" s="8" t="str">
        <f>IF(OR($E398="",$F398=""),"",IFERROR(IF($E398=INDEX(Cluster_Master!$A$4:$A$18,MATCH($F398,Cluster_Master!$B$4:$B$18,0)),"OK","CHECK"),"CHECK"))</f>
        <v/>
      </c>
      <c r="H398" s="11" t="str">
        <f>IFERROR(INDEX(Cluster_Master!$C$4:$C$18,MATCH($F398,Cluster_Master!$B$4:$B$18,0)),"")</f>
        <v/>
      </c>
      <c r="I398" s="8" t="str">
        <f>IFERROR(INDEX(Cluster_Master!$D$4:$D$18,MATCH($F398,Cluster_Master!$B$4:$B$18,0)),"")</f>
        <v/>
      </c>
      <c r="J398" s="8" t="str">
        <f>IFERROR(INDEX(Cluster_Master!$E$4:$E$18,MATCH($F398,Cluster_Master!$B$4:$B$18,0)),"")</f>
        <v/>
      </c>
      <c r="K398" s="8" t="str">
        <f>IFERROR(INDEX(Cluster_Master!$F$4:$F$18,MATCH($F398,Cluster_Master!$B$4:$B$18,0)),"")</f>
        <v/>
      </c>
      <c r="L398" s="8" t="str">
        <f>IFERROR(INDEX(Cluster_Master!$G$4:$G$18,MATCH($F398,Cluster_Master!$B$4:$B$18,0)),"")</f>
        <v/>
      </c>
      <c r="M398" s="8" t="str">
        <f>IFERROR(INDEX(Cluster_Master!$H$4:$H$18,MATCH($F398,Cluster_Master!$B$4:$B$18,0)),"")</f>
        <v/>
      </c>
      <c r="N398" s="12"/>
      <c r="O398" s="12"/>
      <c r="P398" s="12"/>
      <c r="Q398" s="12"/>
      <c r="R398" s="12"/>
      <c r="S398" s="12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8" t="str">
        <f t="shared" si="54"/>
        <v/>
      </c>
      <c r="AJ398" s="14" t="str">
        <f t="shared" si="55"/>
        <v/>
      </c>
      <c r="AK398" s="14" t="str">
        <f>IF(COUNTA(T398:AH398)=0,"",(SUM(T398*KPI_Weights!$B$4,U398*KPI_Weights!$B$5,V398*KPI_Weights!$B$6,W398*KPI_Weights!$B$7,X398*KPI_Weights!$B$8,Y398*KPI_Weights!$B$9,Z398*KPI_Weights!$B$10,AA398*KPI_Weights!$B$11,AB398*KPI_Weights!$B$12,AC398*KPI_Weights!$B$13,AD398*KPI_Weights!$B$14,AE398*KPI_Weights!$B$15,AF398*KPI_Weights!$B$16,AG398*KPI_Weights!$B$17,AH398*KPI_Weights!$B$18))/5)</f>
        <v/>
      </c>
      <c r="AL398" s="8" t="str">
        <f t="shared" si="56"/>
        <v/>
      </c>
      <c r="AM398" s="8" t="str">
        <f t="shared" si="57"/>
        <v/>
      </c>
      <c r="AN398" s="8" t="str">
        <f t="shared" si="58"/>
        <v/>
      </c>
      <c r="AO398" s="12"/>
      <c r="AP398" s="12"/>
      <c r="AQ398" s="12"/>
      <c r="AR398" s="12"/>
      <c r="AS398" s="12"/>
      <c r="AT398" s="15"/>
      <c r="AU398" s="12"/>
      <c r="AV398" s="16"/>
      <c r="AW398" s="12"/>
      <c r="AX398" s="15"/>
      <c r="AY398" s="15"/>
      <c r="AZ398" s="15"/>
      <c r="BA398" s="15"/>
      <c r="BB398" s="15"/>
      <c r="BC398" s="15"/>
      <c r="BD398" s="15"/>
      <c r="BE398" s="15"/>
      <c r="BF398" s="15"/>
    </row>
    <row r="399" spans="1:58" ht="19.5" customHeight="1" x14ac:dyDescent="0.2">
      <c r="A399" s="8" t="str">
        <f>IF($B399="","",TEXT($B399,"yyyymmdd")&amp;"-"&amp;SUBSTITUTE($F399," ","")&amp;"-"&amp;TEXT(COUNTIF($F$4:F399,$F399),"00"))</f>
        <v/>
      </c>
      <c r="B399" s="9"/>
      <c r="C399" s="8" t="str">
        <f t="shared" si="52"/>
        <v/>
      </c>
      <c r="D399" s="8" t="str">
        <f t="shared" si="53"/>
        <v/>
      </c>
      <c r="E399" s="10"/>
      <c r="F399" s="10"/>
      <c r="G399" s="8" t="str">
        <f>IF(OR($E399="",$F399=""),"",IFERROR(IF($E399=INDEX(Cluster_Master!$A$4:$A$18,MATCH($F399,Cluster_Master!$B$4:$B$18,0)),"OK","CHECK"),"CHECK"))</f>
        <v/>
      </c>
      <c r="H399" s="11" t="str">
        <f>IFERROR(INDEX(Cluster_Master!$C$4:$C$18,MATCH($F399,Cluster_Master!$B$4:$B$18,0)),"")</f>
        <v/>
      </c>
      <c r="I399" s="8" t="str">
        <f>IFERROR(INDEX(Cluster_Master!$D$4:$D$18,MATCH($F399,Cluster_Master!$B$4:$B$18,0)),"")</f>
        <v/>
      </c>
      <c r="J399" s="8" t="str">
        <f>IFERROR(INDEX(Cluster_Master!$E$4:$E$18,MATCH($F399,Cluster_Master!$B$4:$B$18,0)),"")</f>
        <v/>
      </c>
      <c r="K399" s="8" t="str">
        <f>IFERROR(INDEX(Cluster_Master!$F$4:$F$18,MATCH($F399,Cluster_Master!$B$4:$B$18,0)),"")</f>
        <v/>
      </c>
      <c r="L399" s="8" t="str">
        <f>IFERROR(INDEX(Cluster_Master!$G$4:$G$18,MATCH($F399,Cluster_Master!$B$4:$B$18,0)),"")</f>
        <v/>
      </c>
      <c r="M399" s="8" t="str">
        <f>IFERROR(INDEX(Cluster_Master!$H$4:$H$18,MATCH($F399,Cluster_Master!$B$4:$B$18,0)),"")</f>
        <v/>
      </c>
      <c r="N399" s="12"/>
      <c r="O399" s="12"/>
      <c r="P399" s="12"/>
      <c r="Q399" s="12"/>
      <c r="R399" s="12"/>
      <c r="S399" s="12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8" t="str">
        <f t="shared" si="54"/>
        <v/>
      </c>
      <c r="AJ399" s="14" t="str">
        <f t="shared" si="55"/>
        <v/>
      </c>
      <c r="AK399" s="14" t="str">
        <f>IF(COUNTA(T399:AH399)=0,"",(SUM(T399*KPI_Weights!$B$4,U399*KPI_Weights!$B$5,V399*KPI_Weights!$B$6,W399*KPI_Weights!$B$7,X399*KPI_Weights!$B$8,Y399*KPI_Weights!$B$9,Z399*KPI_Weights!$B$10,AA399*KPI_Weights!$B$11,AB399*KPI_Weights!$B$12,AC399*KPI_Weights!$B$13,AD399*KPI_Weights!$B$14,AE399*KPI_Weights!$B$15,AF399*KPI_Weights!$B$16,AG399*KPI_Weights!$B$17,AH399*KPI_Weights!$B$18))/5)</f>
        <v/>
      </c>
      <c r="AL399" s="8" t="str">
        <f t="shared" si="56"/>
        <v/>
      </c>
      <c r="AM399" s="8" t="str">
        <f t="shared" si="57"/>
        <v/>
      </c>
      <c r="AN399" s="8" t="str">
        <f t="shared" si="58"/>
        <v/>
      </c>
      <c r="AO399" s="12"/>
      <c r="AP399" s="12"/>
      <c r="AQ399" s="12"/>
      <c r="AR399" s="12"/>
      <c r="AS399" s="12"/>
      <c r="AT399" s="15"/>
      <c r="AU399" s="12"/>
      <c r="AV399" s="16"/>
      <c r="AW399" s="12"/>
      <c r="AX399" s="15"/>
      <c r="AY399" s="15"/>
      <c r="AZ399" s="15"/>
      <c r="BA399" s="15"/>
      <c r="BB399" s="15"/>
      <c r="BC399" s="15"/>
      <c r="BD399" s="15"/>
      <c r="BE399" s="15"/>
      <c r="BF399" s="15"/>
    </row>
    <row r="400" spans="1:58" ht="19.5" customHeight="1" x14ac:dyDescent="0.2">
      <c r="A400" s="8" t="str">
        <f>IF($B400="","",TEXT($B400,"yyyymmdd")&amp;"-"&amp;SUBSTITUTE($F400," ","")&amp;"-"&amp;TEXT(COUNTIF($F$4:F400,$F400),"00"))</f>
        <v/>
      </c>
      <c r="B400" s="9"/>
      <c r="C400" s="8" t="str">
        <f t="shared" si="52"/>
        <v/>
      </c>
      <c r="D400" s="8" t="str">
        <f t="shared" si="53"/>
        <v/>
      </c>
      <c r="E400" s="10"/>
      <c r="F400" s="10"/>
      <c r="G400" s="8" t="str">
        <f>IF(OR($E400="",$F400=""),"",IFERROR(IF($E400=INDEX(Cluster_Master!$A$4:$A$18,MATCH($F400,Cluster_Master!$B$4:$B$18,0)),"OK","CHECK"),"CHECK"))</f>
        <v/>
      </c>
      <c r="H400" s="11" t="str">
        <f>IFERROR(INDEX(Cluster_Master!$C$4:$C$18,MATCH($F400,Cluster_Master!$B$4:$B$18,0)),"")</f>
        <v/>
      </c>
      <c r="I400" s="8" t="str">
        <f>IFERROR(INDEX(Cluster_Master!$D$4:$D$18,MATCH($F400,Cluster_Master!$B$4:$B$18,0)),"")</f>
        <v/>
      </c>
      <c r="J400" s="8" t="str">
        <f>IFERROR(INDEX(Cluster_Master!$E$4:$E$18,MATCH($F400,Cluster_Master!$B$4:$B$18,0)),"")</f>
        <v/>
      </c>
      <c r="K400" s="8" t="str">
        <f>IFERROR(INDEX(Cluster_Master!$F$4:$F$18,MATCH($F400,Cluster_Master!$B$4:$B$18,0)),"")</f>
        <v/>
      </c>
      <c r="L400" s="8" t="str">
        <f>IFERROR(INDEX(Cluster_Master!$G$4:$G$18,MATCH($F400,Cluster_Master!$B$4:$B$18,0)),"")</f>
        <v/>
      </c>
      <c r="M400" s="8" t="str">
        <f>IFERROR(INDEX(Cluster_Master!$H$4:$H$18,MATCH($F400,Cluster_Master!$B$4:$B$18,0)),"")</f>
        <v/>
      </c>
      <c r="N400" s="12"/>
      <c r="O400" s="12"/>
      <c r="P400" s="12"/>
      <c r="Q400" s="12"/>
      <c r="R400" s="12"/>
      <c r="S400" s="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8" t="str">
        <f t="shared" si="54"/>
        <v/>
      </c>
      <c r="AJ400" s="14" t="str">
        <f t="shared" si="55"/>
        <v/>
      </c>
      <c r="AK400" s="14" t="str">
        <f>IF(COUNTA(T400:AH400)=0,"",(SUM(T400*KPI_Weights!$B$4,U400*KPI_Weights!$B$5,V400*KPI_Weights!$B$6,W400*KPI_Weights!$B$7,X400*KPI_Weights!$B$8,Y400*KPI_Weights!$B$9,Z400*KPI_Weights!$B$10,AA400*KPI_Weights!$B$11,AB400*KPI_Weights!$B$12,AC400*KPI_Weights!$B$13,AD400*KPI_Weights!$B$14,AE400*KPI_Weights!$B$15,AF400*KPI_Weights!$B$16,AG400*KPI_Weights!$B$17,AH400*KPI_Weights!$B$18))/5)</f>
        <v/>
      </c>
      <c r="AL400" s="8" t="str">
        <f t="shared" si="56"/>
        <v/>
      </c>
      <c r="AM400" s="8" t="str">
        <f t="shared" si="57"/>
        <v/>
      </c>
      <c r="AN400" s="8" t="str">
        <f t="shared" si="58"/>
        <v/>
      </c>
      <c r="AO400" s="12"/>
      <c r="AP400" s="12"/>
      <c r="AQ400" s="12"/>
      <c r="AR400" s="12"/>
      <c r="AS400" s="12"/>
      <c r="AT400" s="15"/>
      <c r="AU400" s="12"/>
      <c r="AV400" s="16"/>
      <c r="AW400" s="12"/>
      <c r="AX400" s="15"/>
      <c r="AY400" s="15"/>
      <c r="AZ400" s="15"/>
      <c r="BA400" s="15"/>
      <c r="BB400" s="15"/>
      <c r="BC400" s="15"/>
      <c r="BD400" s="15"/>
      <c r="BE400" s="15"/>
      <c r="BF400" s="15"/>
    </row>
    <row r="401" spans="1:58" ht="19.5" customHeight="1" x14ac:dyDescent="0.2">
      <c r="A401" s="8" t="str">
        <f>IF($B401="","",TEXT($B401,"yyyymmdd")&amp;"-"&amp;SUBSTITUTE($F401," ","")&amp;"-"&amp;TEXT(COUNTIF($F$4:F401,$F401),"00"))</f>
        <v/>
      </c>
      <c r="B401" s="9"/>
      <c r="C401" s="8" t="str">
        <f t="shared" si="52"/>
        <v/>
      </c>
      <c r="D401" s="8" t="str">
        <f t="shared" si="53"/>
        <v/>
      </c>
      <c r="E401" s="10"/>
      <c r="F401" s="10"/>
      <c r="G401" s="8" t="str">
        <f>IF(OR($E401="",$F401=""),"",IFERROR(IF($E401=INDEX(Cluster_Master!$A$4:$A$18,MATCH($F401,Cluster_Master!$B$4:$B$18,0)),"OK","CHECK"),"CHECK"))</f>
        <v/>
      </c>
      <c r="H401" s="11" t="str">
        <f>IFERROR(INDEX(Cluster_Master!$C$4:$C$18,MATCH($F401,Cluster_Master!$B$4:$B$18,0)),"")</f>
        <v/>
      </c>
      <c r="I401" s="8" t="str">
        <f>IFERROR(INDEX(Cluster_Master!$D$4:$D$18,MATCH($F401,Cluster_Master!$B$4:$B$18,0)),"")</f>
        <v/>
      </c>
      <c r="J401" s="8" t="str">
        <f>IFERROR(INDEX(Cluster_Master!$E$4:$E$18,MATCH($F401,Cluster_Master!$B$4:$B$18,0)),"")</f>
        <v/>
      </c>
      <c r="K401" s="8" t="str">
        <f>IFERROR(INDEX(Cluster_Master!$F$4:$F$18,MATCH($F401,Cluster_Master!$B$4:$B$18,0)),"")</f>
        <v/>
      </c>
      <c r="L401" s="8" t="str">
        <f>IFERROR(INDEX(Cluster_Master!$G$4:$G$18,MATCH($F401,Cluster_Master!$B$4:$B$18,0)),"")</f>
        <v/>
      </c>
      <c r="M401" s="8" t="str">
        <f>IFERROR(INDEX(Cluster_Master!$H$4:$H$18,MATCH($F401,Cluster_Master!$B$4:$B$18,0)),"")</f>
        <v/>
      </c>
      <c r="N401" s="12"/>
      <c r="O401" s="12"/>
      <c r="P401" s="12"/>
      <c r="Q401" s="12"/>
      <c r="R401" s="12"/>
      <c r="S401" s="12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8" t="str">
        <f t="shared" si="54"/>
        <v/>
      </c>
      <c r="AJ401" s="14" t="str">
        <f t="shared" si="55"/>
        <v/>
      </c>
      <c r="AK401" s="14" t="str">
        <f>IF(COUNTA(T401:AH401)=0,"",(SUM(T401*KPI_Weights!$B$4,U401*KPI_Weights!$B$5,V401*KPI_Weights!$B$6,W401*KPI_Weights!$B$7,X401*KPI_Weights!$B$8,Y401*KPI_Weights!$B$9,Z401*KPI_Weights!$B$10,AA401*KPI_Weights!$B$11,AB401*KPI_Weights!$B$12,AC401*KPI_Weights!$B$13,AD401*KPI_Weights!$B$14,AE401*KPI_Weights!$B$15,AF401*KPI_Weights!$B$16,AG401*KPI_Weights!$B$17,AH401*KPI_Weights!$B$18))/5)</f>
        <v/>
      </c>
      <c r="AL401" s="8" t="str">
        <f t="shared" si="56"/>
        <v/>
      </c>
      <c r="AM401" s="8" t="str">
        <f t="shared" si="57"/>
        <v/>
      </c>
      <c r="AN401" s="8" t="str">
        <f t="shared" si="58"/>
        <v/>
      </c>
      <c r="AO401" s="12"/>
      <c r="AP401" s="12"/>
      <c r="AQ401" s="12"/>
      <c r="AR401" s="12"/>
      <c r="AS401" s="12"/>
      <c r="AT401" s="15"/>
      <c r="AU401" s="12"/>
      <c r="AV401" s="16"/>
      <c r="AW401" s="12"/>
      <c r="AX401" s="15"/>
      <c r="AY401" s="15"/>
      <c r="AZ401" s="15"/>
      <c r="BA401" s="15"/>
      <c r="BB401" s="15"/>
      <c r="BC401" s="15"/>
      <c r="BD401" s="15"/>
      <c r="BE401" s="15"/>
      <c r="BF401" s="15"/>
    </row>
    <row r="402" spans="1:58" ht="19.5" customHeight="1" x14ac:dyDescent="0.2">
      <c r="A402" s="8" t="str">
        <f>IF($B402="","",TEXT($B402,"yyyymmdd")&amp;"-"&amp;SUBSTITUTE($F402," ","")&amp;"-"&amp;TEXT(COUNTIF($F$4:F402,$F402),"00"))</f>
        <v/>
      </c>
      <c r="B402" s="9"/>
      <c r="C402" s="8" t="str">
        <f t="shared" si="52"/>
        <v/>
      </c>
      <c r="D402" s="8" t="str">
        <f t="shared" si="53"/>
        <v/>
      </c>
      <c r="E402" s="10"/>
      <c r="F402" s="10"/>
      <c r="G402" s="8" t="str">
        <f>IF(OR($E402="",$F402=""),"",IFERROR(IF($E402=INDEX(Cluster_Master!$A$4:$A$18,MATCH($F402,Cluster_Master!$B$4:$B$18,0)),"OK","CHECK"),"CHECK"))</f>
        <v/>
      </c>
      <c r="H402" s="11" t="str">
        <f>IFERROR(INDEX(Cluster_Master!$C$4:$C$18,MATCH($F402,Cluster_Master!$B$4:$B$18,0)),"")</f>
        <v/>
      </c>
      <c r="I402" s="8" t="str">
        <f>IFERROR(INDEX(Cluster_Master!$D$4:$D$18,MATCH($F402,Cluster_Master!$B$4:$B$18,0)),"")</f>
        <v/>
      </c>
      <c r="J402" s="8" t="str">
        <f>IFERROR(INDEX(Cluster_Master!$E$4:$E$18,MATCH($F402,Cluster_Master!$B$4:$B$18,0)),"")</f>
        <v/>
      </c>
      <c r="K402" s="8" t="str">
        <f>IFERROR(INDEX(Cluster_Master!$F$4:$F$18,MATCH($F402,Cluster_Master!$B$4:$B$18,0)),"")</f>
        <v/>
      </c>
      <c r="L402" s="8" t="str">
        <f>IFERROR(INDEX(Cluster_Master!$G$4:$G$18,MATCH($F402,Cluster_Master!$B$4:$B$18,0)),"")</f>
        <v/>
      </c>
      <c r="M402" s="8" t="str">
        <f>IFERROR(INDEX(Cluster_Master!$H$4:$H$18,MATCH($F402,Cluster_Master!$B$4:$B$18,0)),"")</f>
        <v/>
      </c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8" t="str">
        <f t="shared" si="54"/>
        <v/>
      </c>
      <c r="AJ402" s="14" t="str">
        <f t="shared" si="55"/>
        <v/>
      </c>
      <c r="AK402" s="14" t="str">
        <f>IF(COUNTA(T402:AH402)=0,"",(SUM(T402*KPI_Weights!$B$4,U402*KPI_Weights!$B$5,V402*KPI_Weights!$B$6,W402*KPI_Weights!$B$7,X402*KPI_Weights!$B$8,Y402*KPI_Weights!$B$9,Z402*KPI_Weights!$B$10,AA402*KPI_Weights!$B$11,AB402*KPI_Weights!$B$12,AC402*KPI_Weights!$B$13,AD402*KPI_Weights!$B$14,AE402*KPI_Weights!$B$15,AF402*KPI_Weights!$B$16,AG402*KPI_Weights!$B$17,AH402*KPI_Weights!$B$18))/5)</f>
        <v/>
      </c>
      <c r="AL402" s="8" t="str">
        <f t="shared" si="56"/>
        <v/>
      </c>
      <c r="AM402" s="8" t="str">
        <f t="shared" si="57"/>
        <v/>
      </c>
      <c r="AN402" s="8" t="str">
        <f t="shared" si="58"/>
        <v/>
      </c>
      <c r="AO402" s="12"/>
      <c r="AP402" s="12"/>
      <c r="AQ402" s="12"/>
      <c r="AR402" s="12"/>
      <c r="AS402" s="12"/>
      <c r="AT402" s="15"/>
      <c r="AU402" s="12"/>
      <c r="AV402" s="16"/>
      <c r="AW402" s="12"/>
      <c r="AX402" s="15"/>
      <c r="AY402" s="15"/>
      <c r="AZ402" s="15"/>
      <c r="BA402" s="15"/>
      <c r="BB402" s="15"/>
      <c r="BC402" s="15"/>
      <c r="BD402" s="15"/>
      <c r="BE402" s="15"/>
      <c r="BF402" s="15"/>
    </row>
    <row r="403" spans="1:58" ht="19.5" customHeight="1" x14ac:dyDescent="0.2">
      <c r="A403" s="8" t="str">
        <f>IF($B403="","",TEXT($B403,"yyyymmdd")&amp;"-"&amp;SUBSTITUTE($F403," ","")&amp;"-"&amp;TEXT(COUNTIF($F$4:F403,$F403),"00"))</f>
        <v/>
      </c>
      <c r="B403" s="9"/>
      <c r="C403" s="8" t="str">
        <f t="shared" si="52"/>
        <v/>
      </c>
      <c r="D403" s="8" t="str">
        <f t="shared" si="53"/>
        <v/>
      </c>
      <c r="E403" s="10"/>
      <c r="F403" s="10"/>
      <c r="G403" s="8" t="str">
        <f>IF(OR($E403="",$F403=""),"",IFERROR(IF($E403=INDEX(Cluster_Master!$A$4:$A$18,MATCH($F403,Cluster_Master!$B$4:$B$18,0)),"OK","CHECK"),"CHECK"))</f>
        <v/>
      </c>
      <c r="H403" s="11" t="str">
        <f>IFERROR(INDEX(Cluster_Master!$C$4:$C$18,MATCH($F403,Cluster_Master!$B$4:$B$18,0)),"")</f>
        <v/>
      </c>
      <c r="I403" s="8" t="str">
        <f>IFERROR(INDEX(Cluster_Master!$D$4:$D$18,MATCH($F403,Cluster_Master!$B$4:$B$18,0)),"")</f>
        <v/>
      </c>
      <c r="J403" s="8" t="str">
        <f>IFERROR(INDEX(Cluster_Master!$E$4:$E$18,MATCH($F403,Cluster_Master!$B$4:$B$18,0)),"")</f>
        <v/>
      </c>
      <c r="K403" s="8" t="str">
        <f>IFERROR(INDEX(Cluster_Master!$F$4:$F$18,MATCH($F403,Cluster_Master!$B$4:$B$18,0)),"")</f>
        <v/>
      </c>
      <c r="L403" s="8" t="str">
        <f>IFERROR(INDEX(Cluster_Master!$G$4:$G$18,MATCH($F403,Cluster_Master!$B$4:$B$18,0)),"")</f>
        <v/>
      </c>
      <c r="M403" s="8" t="str">
        <f>IFERROR(INDEX(Cluster_Master!$H$4:$H$18,MATCH($F403,Cluster_Master!$B$4:$B$18,0)),"")</f>
        <v/>
      </c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8" t="str">
        <f t="shared" si="54"/>
        <v/>
      </c>
      <c r="AJ403" s="14" t="str">
        <f t="shared" si="55"/>
        <v/>
      </c>
      <c r="AK403" s="14" t="str">
        <f>IF(COUNTA(T403:AH403)=0,"",(SUM(T403*KPI_Weights!$B$4,U403*KPI_Weights!$B$5,V403*KPI_Weights!$B$6,W403*KPI_Weights!$B$7,X403*KPI_Weights!$B$8,Y403*KPI_Weights!$B$9,Z403*KPI_Weights!$B$10,AA403*KPI_Weights!$B$11,AB403*KPI_Weights!$B$12,AC403*KPI_Weights!$B$13,AD403*KPI_Weights!$B$14,AE403*KPI_Weights!$B$15,AF403*KPI_Weights!$B$16,AG403*KPI_Weights!$B$17,AH403*KPI_Weights!$B$18))/5)</f>
        <v/>
      </c>
      <c r="AL403" s="8" t="str">
        <f t="shared" si="56"/>
        <v/>
      </c>
      <c r="AM403" s="8" t="str">
        <f t="shared" si="57"/>
        <v/>
      </c>
      <c r="AN403" s="8" t="str">
        <f t="shared" si="58"/>
        <v/>
      </c>
      <c r="AO403" s="12"/>
      <c r="AP403" s="12"/>
      <c r="AQ403" s="12"/>
      <c r="AR403" s="12"/>
      <c r="AS403" s="12"/>
      <c r="AT403" s="15"/>
      <c r="AU403" s="12"/>
      <c r="AV403" s="16"/>
      <c r="AW403" s="12"/>
      <c r="AX403" s="15"/>
      <c r="AY403" s="15"/>
      <c r="AZ403" s="15"/>
      <c r="BA403" s="15"/>
      <c r="BB403" s="15"/>
      <c r="BC403" s="15"/>
      <c r="BD403" s="15"/>
      <c r="BE403" s="15"/>
      <c r="BF403" s="15"/>
    </row>
    <row r="404" spans="1:58" ht="19.5" customHeight="1" x14ac:dyDescent="0.2">
      <c r="A404" s="8" t="str">
        <f>IF($B404="","",TEXT($B404,"yyyymmdd")&amp;"-"&amp;SUBSTITUTE($F404," ","")&amp;"-"&amp;TEXT(COUNTIF($F$4:F404,$F404),"00"))</f>
        <v/>
      </c>
      <c r="B404" s="9"/>
      <c r="C404" s="8" t="str">
        <f t="shared" si="52"/>
        <v/>
      </c>
      <c r="D404" s="8" t="str">
        <f t="shared" si="53"/>
        <v/>
      </c>
      <c r="E404" s="10"/>
      <c r="F404" s="10"/>
      <c r="G404" s="8" t="str">
        <f>IF(OR($E404="",$F404=""),"",IFERROR(IF($E404=INDEX(Cluster_Master!$A$4:$A$18,MATCH($F404,Cluster_Master!$B$4:$B$18,0)),"OK","CHECK"),"CHECK"))</f>
        <v/>
      </c>
      <c r="H404" s="11" t="str">
        <f>IFERROR(INDEX(Cluster_Master!$C$4:$C$18,MATCH($F404,Cluster_Master!$B$4:$B$18,0)),"")</f>
        <v/>
      </c>
      <c r="I404" s="8" t="str">
        <f>IFERROR(INDEX(Cluster_Master!$D$4:$D$18,MATCH($F404,Cluster_Master!$B$4:$B$18,0)),"")</f>
        <v/>
      </c>
      <c r="J404" s="8" t="str">
        <f>IFERROR(INDEX(Cluster_Master!$E$4:$E$18,MATCH($F404,Cluster_Master!$B$4:$B$18,0)),"")</f>
        <v/>
      </c>
      <c r="K404" s="8" t="str">
        <f>IFERROR(INDEX(Cluster_Master!$F$4:$F$18,MATCH($F404,Cluster_Master!$B$4:$B$18,0)),"")</f>
        <v/>
      </c>
      <c r="L404" s="8" t="str">
        <f>IFERROR(INDEX(Cluster_Master!$G$4:$G$18,MATCH($F404,Cluster_Master!$B$4:$B$18,0)),"")</f>
        <v/>
      </c>
      <c r="M404" s="8" t="str">
        <f>IFERROR(INDEX(Cluster_Master!$H$4:$H$18,MATCH($F404,Cluster_Master!$B$4:$B$18,0)),"")</f>
        <v/>
      </c>
      <c r="N404" s="12"/>
      <c r="O404" s="12"/>
      <c r="P404" s="12"/>
      <c r="Q404" s="12"/>
      <c r="R404" s="12"/>
      <c r="S404" s="12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8" t="str">
        <f t="shared" si="54"/>
        <v/>
      </c>
      <c r="AJ404" s="14" t="str">
        <f t="shared" si="55"/>
        <v/>
      </c>
      <c r="AK404" s="14" t="str">
        <f>IF(COUNTA(T404:AH404)=0,"",(SUM(T404*KPI_Weights!$B$4,U404*KPI_Weights!$B$5,V404*KPI_Weights!$B$6,W404*KPI_Weights!$B$7,X404*KPI_Weights!$B$8,Y404*KPI_Weights!$B$9,Z404*KPI_Weights!$B$10,AA404*KPI_Weights!$B$11,AB404*KPI_Weights!$B$12,AC404*KPI_Weights!$B$13,AD404*KPI_Weights!$B$14,AE404*KPI_Weights!$B$15,AF404*KPI_Weights!$B$16,AG404*KPI_Weights!$B$17,AH404*KPI_Weights!$B$18))/5)</f>
        <v/>
      </c>
      <c r="AL404" s="8" t="str">
        <f t="shared" si="56"/>
        <v/>
      </c>
      <c r="AM404" s="8" t="str">
        <f t="shared" si="57"/>
        <v/>
      </c>
      <c r="AN404" s="8" t="str">
        <f t="shared" si="58"/>
        <v/>
      </c>
      <c r="AO404" s="12"/>
      <c r="AP404" s="12"/>
      <c r="AQ404" s="12"/>
      <c r="AR404" s="12"/>
      <c r="AS404" s="12"/>
      <c r="AT404" s="15"/>
      <c r="AU404" s="12"/>
      <c r="AV404" s="16"/>
      <c r="AW404" s="12"/>
      <c r="AX404" s="15"/>
      <c r="AY404" s="15"/>
      <c r="AZ404" s="15"/>
      <c r="BA404" s="15"/>
      <c r="BB404" s="15"/>
      <c r="BC404" s="15"/>
      <c r="BD404" s="15"/>
      <c r="BE404" s="15"/>
      <c r="BF404" s="15"/>
    </row>
    <row r="405" spans="1:58" ht="19.5" customHeight="1" x14ac:dyDescent="0.2">
      <c r="A405" s="8" t="str">
        <f>IF($B405="","",TEXT($B405,"yyyymmdd")&amp;"-"&amp;SUBSTITUTE($F405," ","")&amp;"-"&amp;TEXT(COUNTIF($F$4:F405,$F405),"00"))</f>
        <v/>
      </c>
      <c r="B405" s="9"/>
      <c r="C405" s="8" t="str">
        <f t="shared" si="52"/>
        <v/>
      </c>
      <c r="D405" s="8" t="str">
        <f t="shared" si="53"/>
        <v/>
      </c>
      <c r="E405" s="10"/>
      <c r="F405" s="10"/>
      <c r="G405" s="8" t="str">
        <f>IF(OR($E405="",$F405=""),"",IFERROR(IF($E405=INDEX(Cluster_Master!$A$4:$A$18,MATCH($F405,Cluster_Master!$B$4:$B$18,0)),"OK","CHECK"),"CHECK"))</f>
        <v/>
      </c>
      <c r="H405" s="11" t="str">
        <f>IFERROR(INDEX(Cluster_Master!$C$4:$C$18,MATCH($F405,Cluster_Master!$B$4:$B$18,0)),"")</f>
        <v/>
      </c>
      <c r="I405" s="8" t="str">
        <f>IFERROR(INDEX(Cluster_Master!$D$4:$D$18,MATCH($F405,Cluster_Master!$B$4:$B$18,0)),"")</f>
        <v/>
      </c>
      <c r="J405" s="8" t="str">
        <f>IFERROR(INDEX(Cluster_Master!$E$4:$E$18,MATCH($F405,Cluster_Master!$B$4:$B$18,0)),"")</f>
        <v/>
      </c>
      <c r="K405" s="8" t="str">
        <f>IFERROR(INDEX(Cluster_Master!$F$4:$F$18,MATCH($F405,Cluster_Master!$B$4:$B$18,0)),"")</f>
        <v/>
      </c>
      <c r="L405" s="8" t="str">
        <f>IFERROR(INDEX(Cluster_Master!$G$4:$G$18,MATCH($F405,Cluster_Master!$B$4:$B$18,0)),"")</f>
        <v/>
      </c>
      <c r="M405" s="8" t="str">
        <f>IFERROR(INDEX(Cluster_Master!$H$4:$H$18,MATCH($F405,Cluster_Master!$B$4:$B$18,0)),"")</f>
        <v/>
      </c>
      <c r="N405" s="12"/>
      <c r="O405" s="12"/>
      <c r="P405" s="12"/>
      <c r="Q405" s="12"/>
      <c r="R405" s="12"/>
      <c r="S405" s="12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8" t="str">
        <f t="shared" si="54"/>
        <v/>
      </c>
      <c r="AJ405" s="14" t="str">
        <f t="shared" si="55"/>
        <v/>
      </c>
      <c r="AK405" s="14" t="str">
        <f>IF(COUNTA(T405:AH405)=0,"",(SUM(T405*KPI_Weights!$B$4,U405*KPI_Weights!$B$5,V405*KPI_Weights!$B$6,W405*KPI_Weights!$B$7,X405*KPI_Weights!$B$8,Y405*KPI_Weights!$B$9,Z405*KPI_Weights!$B$10,AA405*KPI_Weights!$B$11,AB405*KPI_Weights!$B$12,AC405*KPI_Weights!$B$13,AD405*KPI_Weights!$B$14,AE405*KPI_Weights!$B$15,AF405*KPI_Weights!$B$16,AG405*KPI_Weights!$B$17,AH405*KPI_Weights!$B$18))/5)</f>
        <v/>
      </c>
      <c r="AL405" s="8" t="str">
        <f t="shared" si="56"/>
        <v/>
      </c>
      <c r="AM405" s="8" t="str">
        <f t="shared" si="57"/>
        <v/>
      </c>
      <c r="AN405" s="8" t="str">
        <f t="shared" si="58"/>
        <v/>
      </c>
      <c r="AO405" s="12"/>
      <c r="AP405" s="12"/>
      <c r="AQ405" s="12"/>
      <c r="AR405" s="12"/>
      <c r="AS405" s="12"/>
      <c r="AT405" s="15"/>
      <c r="AU405" s="12"/>
      <c r="AV405" s="16"/>
      <c r="AW405" s="12"/>
      <c r="AX405" s="15"/>
      <c r="AY405" s="15"/>
      <c r="AZ405" s="15"/>
      <c r="BA405" s="15"/>
      <c r="BB405" s="15"/>
      <c r="BC405" s="15"/>
      <c r="BD405" s="15"/>
      <c r="BE405" s="15"/>
      <c r="BF405" s="15"/>
    </row>
    <row r="406" spans="1:58" ht="19.5" customHeight="1" x14ac:dyDescent="0.2">
      <c r="A406" s="8" t="str">
        <f>IF($B406="","",TEXT($B406,"yyyymmdd")&amp;"-"&amp;SUBSTITUTE($F406," ","")&amp;"-"&amp;TEXT(COUNTIF($F$4:F406,$F406),"00"))</f>
        <v/>
      </c>
      <c r="B406" s="9"/>
      <c r="C406" s="8" t="str">
        <f t="shared" si="52"/>
        <v/>
      </c>
      <c r="D406" s="8" t="str">
        <f t="shared" si="53"/>
        <v/>
      </c>
      <c r="E406" s="10"/>
      <c r="F406" s="10"/>
      <c r="G406" s="8" t="str">
        <f>IF(OR($E406="",$F406=""),"",IFERROR(IF($E406=INDEX(Cluster_Master!$A$4:$A$18,MATCH($F406,Cluster_Master!$B$4:$B$18,0)),"OK","CHECK"),"CHECK"))</f>
        <v/>
      </c>
      <c r="H406" s="11" t="str">
        <f>IFERROR(INDEX(Cluster_Master!$C$4:$C$18,MATCH($F406,Cluster_Master!$B$4:$B$18,0)),"")</f>
        <v/>
      </c>
      <c r="I406" s="8" t="str">
        <f>IFERROR(INDEX(Cluster_Master!$D$4:$D$18,MATCH($F406,Cluster_Master!$B$4:$B$18,0)),"")</f>
        <v/>
      </c>
      <c r="J406" s="8" t="str">
        <f>IFERROR(INDEX(Cluster_Master!$E$4:$E$18,MATCH($F406,Cluster_Master!$B$4:$B$18,0)),"")</f>
        <v/>
      </c>
      <c r="K406" s="8" t="str">
        <f>IFERROR(INDEX(Cluster_Master!$F$4:$F$18,MATCH($F406,Cluster_Master!$B$4:$B$18,0)),"")</f>
        <v/>
      </c>
      <c r="L406" s="8" t="str">
        <f>IFERROR(INDEX(Cluster_Master!$G$4:$G$18,MATCH($F406,Cluster_Master!$B$4:$B$18,0)),"")</f>
        <v/>
      </c>
      <c r="M406" s="8" t="str">
        <f>IFERROR(INDEX(Cluster_Master!$H$4:$H$18,MATCH($F406,Cluster_Master!$B$4:$B$18,0)),"")</f>
        <v/>
      </c>
      <c r="N406" s="12"/>
      <c r="O406" s="12"/>
      <c r="P406" s="12"/>
      <c r="Q406" s="12"/>
      <c r="R406" s="12"/>
      <c r="S406" s="12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8" t="str">
        <f t="shared" si="54"/>
        <v/>
      </c>
      <c r="AJ406" s="14" t="str">
        <f t="shared" si="55"/>
        <v/>
      </c>
      <c r="AK406" s="14" t="str">
        <f>IF(COUNTA(T406:AH406)=0,"",(SUM(T406*KPI_Weights!$B$4,U406*KPI_Weights!$B$5,V406*KPI_Weights!$B$6,W406*KPI_Weights!$B$7,X406*KPI_Weights!$B$8,Y406*KPI_Weights!$B$9,Z406*KPI_Weights!$B$10,AA406*KPI_Weights!$B$11,AB406*KPI_Weights!$B$12,AC406*KPI_Weights!$B$13,AD406*KPI_Weights!$B$14,AE406*KPI_Weights!$B$15,AF406*KPI_Weights!$B$16,AG406*KPI_Weights!$B$17,AH406*KPI_Weights!$B$18))/5)</f>
        <v/>
      </c>
      <c r="AL406" s="8" t="str">
        <f t="shared" si="56"/>
        <v/>
      </c>
      <c r="AM406" s="8" t="str">
        <f t="shared" si="57"/>
        <v/>
      </c>
      <c r="AN406" s="8" t="str">
        <f t="shared" si="58"/>
        <v/>
      </c>
      <c r="AO406" s="12"/>
      <c r="AP406" s="12"/>
      <c r="AQ406" s="12"/>
      <c r="AR406" s="12"/>
      <c r="AS406" s="12"/>
      <c r="AT406" s="15"/>
      <c r="AU406" s="12"/>
      <c r="AV406" s="16"/>
      <c r="AW406" s="12"/>
      <c r="AX406" s="15"/>
      <c r="AY406" s="15"/>
      <c r="AZ406" s="15"/>
      <c r="BA406" s="15"/>
      <c r="BB406" s="15"/>
      <c r="BC406" s="15"/>
      <c r="BD406" s="15"/>
      <c r="BE406" s="15"/>
      <c r="BF406" s="15"/>
    </row>
    <row r="407" spans="1:58" ht="19.5" customHeight="1" x14ac:dyDescent="0.2">
      <c r="A407" s="8" t="str">
        <f>IF($B407="","",TEXT($B407,"yyyymmdd")&amp;"-"&amp;SUBSTITUTE($F407," ","")&amp;"-"&amp;TEXT(COUNTIF($F$4:F407,$F407),"00"))</f>
        <v/>
      </c>
      <c r="B407" s="9"/>
      <c r="C407" s="8" t="str">
        <f t="shared" si="52"/>
        <v/>
      </c>
      <c r="D407" s="8" t="str">
        <f t="shared" si="53"/>
        <v/>
      </c>
      <c r="E407" s="10"/>
      <c r="F407" s="10"/>
      <c r="G407" s="8" t="str">
        <f>IF(OR($E407="",$F407=""),"",IFERROR(IF($E407=INDEX(Cluster_Master!$A$4:$A$18,MATCH($F407,Cluster_Master!$B$4:$B$18,0)),"OK","CHECK"),"CHECK"))</f>
        <v/>
      </c>
      <c r="H407" s="11" t="str">
        <f>IFERROR(INDEX(Cluster_Master!$C$4:$C$18,MATCH($F407,Cluster_Master!$B$4:$B$18,0)),"")</f>
        <v/>
      </c>
      <c r="I407" s="8" t="str">
        <f>IFERROR(INDEX(Cluster_Master!$D$4:$D$18,MATCH($F407,Cluster_Master!$B$4:$B$18,0)),"")</f>
        <v/>
      </c>
      <c r="J407" s="8" t="str">
        <f>IFERROR(INDEX(Cluster_Master!$E$4:$E$18,MATCH($F407,Cluster_Master!$B$4:$B$18,0)),"")</f>
        <v/>
      </c>
      <c r="K407" s="8" t="str">
        <f>IFERROR(INDEX(Cluster_Master!$F$4:$F$18,MATCH($F407,Cluster_Master!$B$4:$B$18,0)),"")</f>
        <v/>
      </c>
      <c r="L407" s="8" t="str">
        <f>IFERROR(INDEX(Cluster_Master!$G$4:$G$18,MATCH($F407,Cluster_Master!$B$4:$B$18,0)),"")</f>
        <v/>
      </c>
      <c r="M407" s="8" t="str">
        <f>IFERROR(INDEX(Cluster_Master!$H$4:$H$18,MATCH($F407,Cluster_Master!$B$4:$B$18,0)),"")</f>
        <v/>
      </c>
      <c r="N407" s="12"/>
      <c r="O407" s="12"/>
      <c r="P407" s="12"/>
      <c r="Q407" s="12"/>
      <c r="R407" s="12"/>
      <c r="S407" s="12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8" t="str">
        <f t="shared" si="54"/>
        <v/>
      </c>
      <c r="AJ407" s="14" t="str">
        <f t="shared" si="55"/>
        <v/>
      </c>
      <c r="AK407" s="14" t="str">
        <f>IF(COUNTA(T407:AH407)=0,"",(SUM(T407*KPI_Weights!$B$4,U407*KPI_Weights!$B$5,V407*KPI_Weights!$B$6,W407*KPI_Weights!$B$7,X407*KPI_Weights!$B$8,Y407*KPI_Weights!$B$9,Z407*KPI_Weights!$B$10,AA407*KPI_Weights!$B$11,AB407*KPI_Weights!$B$12,AC407*KPI_Weights!$B$13,AD407*KPI_Weights!$B$14,AE407*KPI_Weights!$B$15,AF407*KPI_Weights!$B$16,AG407*KPI_Weights!$B$17,AH407*KPI_Weights!$B$18))/5)</f>
        <v/>
      </c>
      <c r="AL407" s="8" t="str">
        <f t="shared" si="56"/>
        <v/>
      </c>
      <c r="AM407" s="8" t="str">
        <f t="shared" si="57"/>
        <v/>
      </c>
      <c r="AN407" s="8" t="str">
        <f t="shared" si="58"/>
        <v/>
      </c>
      <c r="AO407" s="12"/>
      <c r="AP407" s="12"/>
      <c r="AQ407" s="12"/>
      <c r="AR407" s="12"/>
      <c r="AS407" s="12"/>
      <c r="AT407" s="15"/>
      <c r="AU407" s="12"/>
      <c r="AV407" s="16"/>
      <c r="AW407" s="12"/>
      <c r="AX407" s="15"/>
      <c r="AY407" s="15"/>
      <c r="AZ407" s="15"/>
      <c r="BA407" s="15"/>
      <c r="BB407" s="15"/>
      <c r="BC407" s="15"/>
      <c r="BD407" s="15"/>
      <c r="BE407" s="15"/>
      <c r="BF407" s="15"/>
    </row>
    <row r="408" spans="1:58" ht="19.5" customHeight="1" x14ac:dyDescent="0.2">
      <c r="A408" s="8" t="str">
        <f>IF($B408="","",TEXT($B408,"yyyymmdd")&amp;"-"&amp;SUBSTITUTE($F408," ","")&amp;"-"&amp;TEXT(COUNTIF($F$4:F408,$F408),"00"))</f>
        <v/>
      </c>
      <c r="B408" s="9"/>
      <c r="C408" s="8" t="str">
        <f t="shared" si="52"/>
        <v/>
      </c>
      <c r="D408" s="8" t="str">
        <f t="shared" si="53"/>
        <v/>
      </c>
      <c r="E408" s="10"/>
      <c r="F408" s="10"/>
      <c r="G408" s="8" t="str">
        <f>IF(OR($E408="",$F408=""),"",IFERROR(IF($E408=INDEX(Cluster_Master!$A$4:$A$18,MATCH($F408,Cluster_Master!$B$4:$B$18,0)),"OK","CHECK"),"CHECK"))</f>
        <v/>
      </c>
      <c r="H408" s="11" t="str">
        <f>IFERROR(INDEX(Cluster_Master!$C$4:$C$18,MATCH($F408,Cluster_Master!$B$4:$B$18,0)),"")</f>
        <v/>
      </c>
      <c r="I408" s="8" t="str">
        <f>IFERROR(INDEX(Cluster_Master!$D$4:$D$18,MATCH($F408,Cluster_Master!$B$4:$B$18,0)),"")</f>
        <v/>
      </c>
      <c r="J408" s="8" t="str">
        <f>IFERROR(INDEX(Cluster_Master!$E$4:$E$18,MATCH($F408,Cluster_Master!$B$4:$B$18,0)),"")</f>
        <v/>
      </c>
      <c r="K408" s="8" t="str">
        <f>IFERROR(INDEX(Cluster_Master!$F$4:$F$18,MATCH($F408,Cluster_Master!$B$4:$B$18,0)),"")</f>
        <v/>
      </c>
      <c r="L408" s="8" t="str">
        <f>IFERROR(INDEX(Cluster_Master!$G$4:$G$18,MATCH($F408,Cluster_Master!$B$4:$B$18,0)),"")</f>
        <v/>
      </c>
      <c r="M408" s="8" t="str">
        <f>IFERROR(INDEX(Cluster_Master!$H$4:$H$18,MATCH($F408,Cluster_Master!$B$4:$B$18,0)),"")</f>
        <v/>
      </c>
      <c r="N408" s="12"/>
      <c r="O408" s="12"/>
      <c r="P408" s="12"/>
      <c r="Q408" s="12"/>
      <c r="R408" s="12"/>
      <c r="S408" s="12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8" t="str">
        <f t="shared" si="54"/>
        <v/>
      </c>
      <c r="AJ408" s="14" t="str">
        <f t="shared" si="55"/>
        <v/>
      </c>
      <c r="AK408" s="14" t="str">
        <f>IF(COUNTA(T408:AH408)=0,"",(SUM(T408*KPI_Weights!$B$4,U408*KPI_Weights!$B$5,V408*KPI_Weights!$B$6,W408*KPI_Weights!$B$7,X408*KPI_Weights!$B$8,Y408*KPI_Weights!$B$9,Z408*KPI_Weights!$B$10,AA408*KPI_Weights!$B$11,AB408*KPI_Weights!$B$12,AC408*KPI_Weights!$B$13,AD408*KPI_Weights!$B$14,AE408*KPI_Weights!$B$15,AF408*KPI_Weights!$B$16,AG408*KPI_Weights!$B$17,AH408*KPI_Weights!$B$18))/5)</f>
        <v/>
      </c>
      <c r="AL408" s="8" t="str">
        <f t="shared" si="56"/>
        <v/>
      </c>
      <c r="AM408" s="8" t="str">
        <f t="shared" si="57"/>
        <v/>
      </c>
      <c r="AN408" s="8" t="str">
        <f t="shared" si="58"/>
        <v/>
      </c>
      <c r="AO408" s="12"/>
      <c r="AP408" s="12"/>
      <c r="AQ408" s="12"/>
      <c r="AR408" s="12"/>
      <c r="AS408" s="12"/>
      <c r="AT408" s="15"/>
      <c r="AU408" s="12"/>
      <c r="AV408" s="16"/>
      <c r="AW408" s="12"/>
      <c r="AX408" s="15"/>
      <c r="AY408" s="15"/>
      <c r="AZ408" s="15"/>
      <c r="BA408" s="15"/>
      <c r="BB408" s="15"/>
      <c r="BC408" s="15"/>
      <c r="BD408" s="15"/>
      <c r="BE408" s="15"/>
      <c r="BF408" s="15"/>
    </row>
    <row r="409" spans="1:58" ht="19.5" customHeight="1" x14ac:dyDescent="0.2">
      <c r="A409" s="8" t="str">
        <f>IF($B409="","",TEXT($B409,"yyyymmdd")&amp;"-"&amp;SUBSTITUTE($F409," ","")&amp;"-"&amp;TEXT(COUNTIF($F$4:F409,$F409),"00"))</f>
        <v/>
      </c>
      <c r="B409" s="9"/>
      <c r="C409" s="8" t="str">
        <f t="shared" si="52"/>
        <v/>
      </c>
      <c r="D409" s="8" t="str">
        <f t="shared" si="53"/>
        <v/>
      </c>
      <c r="E409" s="10"/>
      <c r="F409" s="10"/>
      <c r="G409" s="8" t="str">
        <f>IF(OR($E409="",$F409=""),"",IFERROR(IF($E409=INDEX(Cluster_Master!$A$4:$A$18,MATCH($F409,Cluster_Master!$B$4:$B$18,0)),"OK","CHECK"),"CHECK"))</f>
        <v/>
      </c>
      <c r="H409" s="11" t="str">
        <f>IFERROR(INDEX(Cluster_Master!$C$4:$C$18,MATCH($F409,Cluster_Master!$B$4:$B$18,0)),"")</f>
        <v/>
      </c>
      <c r="I409" s="8" t="str">
        <f>IFERROR(INDEX(Cluster_Master!$D$4:$D$18,MATCH($F409,Cluster_Master!$B$4:$B$18,0)),"")</f>
        <v/>
      </c>
      <c r="J409" s="8" t="str">
        <f>IFERROR(INDEX(Cluster_Master!$E$4:$E$18,MATCH($F409,Cluster_Master!$B$4:$B$18,0)),"")</f>
        <v/>
      </c>
      <c r="K409" s="8" t="str">
        <f>IFERROR(INDEX(Cluster_Master!$F$4:$F$18,MATCH($F409,Cluster_Master!$B$4:$B$18,0)),"")</f>
        <v/>
      </c>
      <c r="L409" s="8" t="str">
        <f>IFERROR(INDEX(Cluster_Master!$G$4:$G$18,MATCH($F409,Cluster_Master!$B$4:$B$18,0)),"")</f>
        <v/>
      </c>
      <c r="M409" s="8" t="str">
        <f>IFERROR(INDEX(Cluster_Master!$H$4:$H$18,MATCH($F409,Cluster_Master!$B$4:$B$18,0)),"")</f>
        <v/>
      </c>
      <c r="N409" s="12"/>
      <c r="O409" s="12"/>
      <c r="P409" s="12"/>
      <c r="Q409" s="12"/>
      <c r="R409" s="12"/>
      <c r="S409" s="12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8" t="str">
        <f t="shared" si="54"/>
        <v/>
      </c>
      <c r="AJ409" s="14" t="str">
        <f t="shared" si="55"/>
        <v/>
      </c>
      <c r="AK409" s="14" t="str">
        <f>IF(COUNTA(T409:AH409)=0,"",(SUM(T409*KPI_Weights!$B$4,U409*KPI_Weights!$B$5,V409*KPI_Weights!$B$6,W409*KPI_Weights!$B$7,X409*KPI_Weights!$B$8,Y409*KPI_Weights!$B$9,Z409*KPI_Weights!$B$10,AA409*KPI_Weights!$B$11,AB409*KPI_Weights!$B$12,AC409*KPI_Weights!$B$13,AD409*KPI_Weights!$B$14,AE409*KPI_Weights!$B$15,AF409*KPI_Weights!$B$16,AG409*KPI_Weights!$B$17,AH409*KPI_Weights!$B$18))/5)</f>
        <v/>
      </c>
      <c r="AL409" s="8" t="str">
        <f t="shared" si="56"/>
        <v/>
      </c>
      <c r="AM409" s="8" t="str">
        <f t="shared" si="57"/>
        <v/>
      </c>
      <c r="AN409" s="8" t="str">
        <f t="shared" si="58"/>
        <v/>
      </c>
      <c r="AO409" s="12"/>
      <c r="AP409" s="12"/>
      <c r="AQ409" s="12"/>
      <c r="AR409" s="12"/>
      <c r="AS409" s="12"/>
      <c r="AT409" s="15"/>
      <c r="AU409" s="12"/>
      <c r="AV409" s="16"/>
      <c r="AW409" s="12"/>
      <c r="AX409" s="15"/>
      <c r="AY409" s="15"/>
      <c r="AZ409" s="15"/>
      <c r="BA409" s="15"/>
      <c r="BB409" s="15"/>
      <c r="BC409" s="15"/>
      <c r="BD409" s="15"/>
      <c r="BE409" s="15"/>
      <c r="BF409" s="15"/>
    </row>
    <row r="410" spans="1:58" ht="19.5" customHeight="1" x14ac:dyDescent="0.2">
      <c r="A410" s="8" t="str">
        <f>IF($B410="","",TEXT($B410,"yyyymmdd")&amp;"-"&amp;SUBSTITUTE($F410," ","")&amp;"-"&amp;TEXT(COUNTIF($F$4:F410,$F410),"00"))</f>
        <v/>
      </c>
      <c r="B410" s="9"/>
      <c r="C410" s="8" t="str">
        <f t="shared" si="52"/>
        <v/>
      </c>
      <c r="D410" s="8" t="str">
        <f t="shared" si="53"/>
        <v/>
      </c>
      <c r="E410" s="10"/>
      <c r="F410" s="10"/>
      <c r="G410" s="8" t="str">
        <f>IF(OR($E410="",$F410=""),"",IFERROR(IF($E410=INDEX(Cluster_Master!$A$4:$A$18,MATCH($F410,Cluster_Master!$B$4:$B$18,0)),"OK","CHECK"),"CHECK"))</f>
        <v/>
      </c>
      <c r="H410" s="11" t="str">
        <f>IFERROR(INDEX(Cluster_Master!$C$4:$C$18,MATCH($F410,Cluster_Master!$B$4:$B$18,0)),"")</f>
        <v/>
      </c>
      <c r="I410" s="8" t="str">
        <f>IFERROR(INDEX(Cluster_Master!$D$4:$D$18,MATCH($F410,Cluster_Master!$B$4:$B$18,0)),"")</f>
        <v/>
      </c>
      <c r="J410" s="8" t="str">
        <f>IFERROR(INDEX(Cluster_Master!$E$4:$E$18,MATCH($F410,Cluster_Master!$B$4:$B$18,0)),"")</f>
        <v/>
      </c>
      <c r="K410" s="8" t="str">
        <f>IFERROR(INDEX(Cluster_Master!$F$4:$F$18,MATCH($F410,Cluster_Master!$B$4:$B$18,0)),"")</f>
        <v/>
      </c>
      <c r="L410" s="8" t="str">
        <f>IFERROR(INDEX(Cluster_Master!$G$4:$G$18,MATCH($F410,Cluster_Master!$B$4:$B$18,0)),"")</f>
        <v/>
      </c>
      <c r="M410" s="8" t="str">
        <f>IFERROR(INDEX(Cluster_Master!$H$4:$H$18,MATCH($F410,Cluster_Master!$B$4:$B$18,0)),"")</f>
        <v/>
      </c>
      <c r="N410" s="12"/>
      <c r="O410" s="12"/>
      <c r="P410" s="12"/>
      <c r="Q410" s="12"/>
      <c r="R410" s="12"/>
      <c r="S410" s="12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8" t="str">
        <f t="shared" si="54"/>
        <v/>
      </c>
      <c r="AJ410" s="14" t="str">
        <f t="shared" si="55"/>
        <v/>
      </c>
      <c r="AK410" s="14" t="str">
        <f>IF(COUNTA(T410:AH410)=0,"",(SUM(T410*KPI_Weights!$B$4,U410*KPI_Weights!$B$5,V410*KPI_Weights!$B$6,W410*KPI_Weights!$B$7,X410*KPI_Weights!$B$8,Y410*KPI_Weights!$B$9,Z410*KPI_Weights!$B$10,AA410*KPI_Weights!$B$11,AB410*KPI_Weights!$B$12,AC410*KPI_Weights!$B$13,AD410*KPI_Weights!$B$14,AE410*KPI_Weights!$B$15,AF410*KPI_Weights!$B$16,AG410*KPI_Weights!$B$17,AH410*KPI_Weights!$B$18))/5)</f>
        <v/>
      </c>
      <c r="AL410" s="8" t="str">
        <f t="shared" si="56"/>
        <v/>
      </c>
      <c r="AM410" s="8" t="str">
        <f t="shared" si="57"/>
        <v/>
      </c>
      <c r="AN410" s="8" t="str">
        <f t="shared" si="58"/>
        <v/>
      </c>
      <c r="AO410" s="12"/>
      <c r="AP410" s="12"/>
      <c r="AQ410" s="12"/>
      <c r="AR410" s="12"/>
      <c r="AS410" s="12"/>
      <c r="AT410" s="15"/>
      <c r="AU410" s="12"/>
      <c r="AV410" s="16"/>
      <c r="AW410" s="12"/>
      <c r="AX410" s="15"/>
      <c r="AY410" s="15"/>
      <c r="AZ410" s="15"/>
      <c r="BA410" s="15"/>
      <c r="BB410" s="15"/>
      <c r="BC410" s="15"/>
      <c r="BD410" s="15"/>
      <c r="BE410" s="15"/>
      <c r="BF410" s="15"/>
    </row>
    <row r="411" spans="1:58" ht="19.5" customHeight="1" x14ac:dyDescent="0.2">
      <c r="A411" s="8" t="str">
        <f>IF($B411="","",TEXT($B411,"yyyymmdd")&amp;"-"&amp;SUBSTITUTE($F411," ","")&amp;"-"&amp;TEXT(COUNTIF($F$4:F411,$F411),"00"))</f>
        <v/>
      </c>
      <c r="B411" s="9"/>
      <c r="C411" s="8" t="str">
        <f t="shared" si="52"/>
        <v/>
      </c>
      <c r="D411" s="8" t="str">
        <f t="shared" si="53"/>
        <v/>
      </c>
      <c r="E411" s="10"/>
      <c r="F411" s="10"/>
      <c r="G411" s="8" t="str">
        <f>IF(OR($E411="",$F411=""),"",IFERROR(IF($E411=INDEX(Cluster_Master!$A$4:$A$18,MATCH($F411,Cluster_Master!$B$4:$B$18,0)),"OK","CHECK"),"CHECK"))</f>
        <v/>
      </c>
      <c r="H411" s="11" t="str">
        <f>IFERROR(INDEX(Cluster_Master!$C$4:$C$18,MATCH($F411,Cluster_Master!$B$4:$B$18,0)),"")</f>
        <v/>
      </c>
      <c r="I411" s="8" t="str">
        <f>IFERROR(INDEX(Cluster_Master!$D$4:$D$18,MATCH($F411,Cluster_Master!$B$4:$B$18,0)),"")</f>
        <v/>
      </c>
      <c r="J411" s="8" t="str">
        <f>IFERROR(INDEX(Cluster_Master!$E$4:$E$18,MATCH($F411,Cluster_Master!$B$4:$B$18,0)),"")</f>
        <v/>
      </c>
      <c r="K411" s="8" t="str">
        <f>IFERROR(INDEX(Cluster_Master!$F$4:$F$18,MATCH($F411,Cluster_Master!$B$4:$B$18,0)),"")</f>
        <v/>
      </c>
      <c r="L411" s="8" t="str">
        <f>IFERROR(INDEX(Cluster_Master!$G$4:$G$18,MATCH($F411,Cluster_Master!$B$4:$B$18,0)),"")</f>
        <v/>
      </c>
      <c r="M411" s="8" t="str">
        <f>IFERROR(INDEX(Cluster_Master!$H$4:$H$18,MATCH($F411,Cluster_Master!$B$4:$B$18,0)),"")</f>
        <v/>
      </c>
      <c r="N411" s="12"/>
      <c r="O411" s="12"/>
      <c r="P411" s="12"/>
      <c r="Q411" s="12"/>
      <c r="R411" s="12"/>
      <c r="S411" s="12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8" t="str">
        <f t="shared" si="54"/>
        <v/>
      </c>
      <c r="AJ411" s="14" t="str">
        <f t="shared" si="55"/>
        <v/>
      </c>
      <c r="AK411" s="14" t="str">
        <f>IF(COUNTA(T411:AH411)=0,"",(SUM(T411*KPI_Weights!$B$4,U411*KPI_Weights!$B$5,V411*KPI_Weights!$B$6,W411*KPI_Weights!$B$7,X411*KPI_Weights!$B$8,Y411*KPI_Weights!$B$9,Z411*KPI_Weights!$B$10,AA411*KPI_Weights!$B$11,AB411*KPI_Weights!$B$12,AC411*KPI_Weights!$B$13,AD411*KPI_Weights!$B$14,AE411*KPI_Weights!$B$15,AF411*KPI_Weights!$B$16,AG411*KPI_Weights!$B$17,AH411*KPI_Weights!$B$18))/5)</f>
        <v/>
      </c>
      <c r="AL411" s="8" t="str">
        <f t="shared" si="56"/>
        <v/>
      </c>
      <c r="AM411" s="8" t="str">
        <f t="shared" si="57"/>
        <v/>
      </c>
      <c r="AN411" s="8" t="str">
        <f t="shared" si="58"/>
        <v/>
      </c>
      <c r="AO411" s="12"/>
      <c r="AP411" s="12"/>
      <c r="AQ411" s="12"/>
      <c r="AR411" s="12"/>
      <c r="AS411" s="12"/>
      <c r="AT411" s="15"/>
      <c r="AU411" s="12"/>
      <c r="AV411" s="16"/>
      <c r="AW411" s="12"/>
      <c r="AX411" s="15"/>
      <c r="AY411" s="15"/>
      <c r="AZ411" s="15"/>
      <c r="BA411" s="15"/>
      <c r="BB411" s="15"/>
      <c r="BC411" s="15"/>
      <c r="BD411" s="15"/>
      <c r="BE411" s="15"/>
      <c r="BF411" s="15"/>
    </row>
    <row r="412" spans="1:58" ht="19.5" customHeight="1" x14ac:dyDescent="0.2">
      <c r="A412" s="8" t="str">
        <f>IF($B412="","",TEXT($B412,"yyyymmdd")&amp;"-"&amp;SUBSTITUTE($F412," ","")&amp;"-"&amp;TEXT(COUNTIF($F$4:F412,$F412),"00"))</f>
        <v/>
      </c>
      <c r="B412" s="9"/>
      <c r="C412" s="8" t="str">
        <f t="shared" si="52"/>
        <v/>
      </c>
      <c r="D412" s="8" t="str">
        <f t="shared" si="53"/>
        <v/>
      </c>
      <c r="E412" s="10"/>
      <c r="F412" s="10"/>
      <c r="G412" s="8" t="str">
        <f>IF(OR($E412="",$F412=""),"",IFERROR(IF($E412=INDEX(Cluster_Master!$A$4:$A$18,MATCH($F412,Cluster_Master!$B$4:$B$18,0)),"OK","CHECK"),"CHECK"))</f>
        <v/>
      </c>
      <c r="H412" s="11" t="str">
        <f>IFERROR(INDEX(Cluster_Master!$C$4:$C$18,MATCH($F412,Cluster_Master!$B$4:$B$18,0)),"")</f>
        <v/>
      </c>
      <c r="I412" s="8" t="str">
        <f>IFERROR(INDEX(Cluster_Master!$D$4:$D$18,MATCH($F412,Cluster_Master!$B$4:$B$18,0)),"")</f>
        <v/>
      </c>
      <c r="J412" s="8" t="str">
        <f>IFERROR(INDEX(Cluster_Master!$E$4:$E$18,MATCH($F412,Cluster_Master!$B$4:$B$18,0)),"")</f>
        <v/>
      </c>
      <c r="K412" s="8" t="str">
        <f>IFERROR(INDEX(Cluster_Master!$F$4:$F$18,MATCH($F412,Cluster_Master!$B$4:$B$18,0)),"")</f>
        <v/>
      </c>
      <c r="L412" s="8" t="str">
        <f>IFERROR(INDEX(Cluster_Master!$G$4:$G$18,MATCH($F412,Cluster_Master!$B$4:$B$18,0)),"")</f>
        <v/>
      </c>
      <c r="M412" s="8" t="str">
        <f>IFERROR(INDEX(Cluster_Master!$H$4:$H$18,MATCH($F412,Cluster_Master!$B$4:$B$18,0)),"")</f>
        <v/>
      </c>
      <c r="N412" s="12"/>
      <c r="O412" s="12"/>
      <c r="P412" s="12"/>
      <c r="Q412" s="12"/>
      <c r="R412" s="12"/>
      <c r="S412" s="12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8" t="str">
        <f t="shared" si="54"/>
        <v/>
      </c>
      <c r="AJ412" s="14" t="str">
        <f t="shared" si="55"/>
        <v/>
      </c>
      <c r="AK412" s="14" t="str">
        <f>IF(COUNTA(T412:AH412)=0,"",(SUM(T412*KPI_Weights!$B$4,U412*KPI_Weights!$B$5,V412*KPI_Weights!$B$6,W412*KPI_Weights!$B$7,X412*KPI_Weights!$B$8,Y412*KPI_Weights!$B$9,Z412*KPI_Weights!$B$10,AA412*KPI_Weights!$B$11,AB412*KPI_Weights!$B$12,AC412*KPI_Weights!$B$13,AD412*KPI_Weights!$B$14,AE412*KPI_Weights!$B$15,AF412*KPI_Weights!$B$16,AG412*KPI_Weights!$B$17,AH412*KPI_Weights!$B$18))/5)</f>
        <v/>
      </c>
      <c r="AL412" s="8" t="str">
        <f t="shared" si="56"/>
        <v/>
      </c>
      <c r="AM412" s="8" t="str">
        <f t="shared" si="57"/>
        <v/>
      </c>
      <c r="AN412" s="8" t="str">
        <f t="shared" si="58"/>
        <v/>
      </c>
      <c r="AO412" s="12"/>
      <c r="AP412" s="12"/>
      <c r="AQ412" s="12"/>
      <c r="AR412" s="12"/>
      <c r="AS412" s="12"/>
      <c r="AT412" s="15"/>
      <c r="AU412" s="12"/>
      <c r="AV412" s="16"/>
      <c r="AW412" s="12"/>
      <c r="AX412" s="15"/>
      <c r="AY412" s="15"/>
      <c r="AZ412" s="15"/>
      <c r="BA412" s="15"/>
      <c r="BB412" s="15"/>
      <c r="BC412" s="15"/>
      <c r="BD412" s="15"/>
      <c r="BE412" s="15"/>
      <c r="BF412" s="15"/>
    </row>
    <row r="413" spans="1:58" ht="19.5" customHeight="1" x14ac:dyDescent="0.2">
      <c r="A413" s="8" t="str">
        <f>IF($B413="","",TEXT($B413,"yyyymmdd")&amp;"-"&amp;SUBSTITUTE($F413," ","")&amp;"-"&amp;TEXT(COUNTIF($F$4:F413,$F413),"00"))</f>
        <v/>
      </c>
      <c r="B413" s="9"/>
      <c r="C413" s="8" t="str">
        <f t="shared" si="52"/>
        <v/>
      </c>
      <c r="D413" s="8" t="str">
        <f t="shared" si="53"/>
        <v/>
      </c>
      <c r="E413" s="10"/>
      <c r="F413" s="10"/>
      <c r="G413" s="8" t="str">
        <f>IF(OR($E413="",$F413=""),"",IFERROR(IF($E413=INDEX(Cluster_Master!$A$4:$A$18,MATCH($F413,Cluster_Master!$B$4:$B$18,0)),"OK","CHECK"),"CHECK"))</f>
        <v/>
      </c>
      <c r="H413" s="11" t="str">
        <f>IFERROR(INDEX(Cluster_Master!$C$4:$C$18,MATCH($F413,Cluster_Master!$B$4:$B$18,0)),"")</f>
        <v/>
      </c>
      <c r="I413" s="8" t="str">
        <f>IFERROR(INDEX(Cluster_Master!$D$4:$D$18,MATCH($F413,Cluster_Master!$B$4:$B$18,0)),"")</f>
        <v/>
      </c>
      <c r="J413" s="8" t="str">
        <f>IFERROR(INDEX(Cluster_Master!$E$4:$E$18,MATCH($F413,Cluster_Master!$B$4:$B$18,0)),"")</f>
        <v/>
      </c>
      <c r="K413" s="8" t="str">
        <f>IFERROR(INDEX(Cluster_Master!$F$4:$F$18,MATCH($F413,Cluster_Master!$B$4:$B$18,0)),"")</f>
        <v/>
      </c>
      <c r="L413" s="8" t="str">
        <f>IFERROR(INDEX(Cluster_Master!$G$4:$G$18,MATCH($F413,Cluster_Master!$B$4:$B$18,0)),"")</f>
        <v/>
      </c>
      <c r="M413" s="8" t="str">
        <f>IFERROR(INDEX(Cluster_Master!$H$4:$H$18,MATCH($F413,Cluster_Master!$B$4:$B$18,0)),"")</f>
        <v/>
      </c>
      <c r="N413" s="12"/>
      <c r="O413" s="12"/>
      <c r="P413" s="12"/>
      <c r="Q413" s="12"/>
      <c r="R413" s="12"/>
      <c r="S413" s="12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8" t="str">
        <f t="shared" si="54"/>
        <v/>
      </c>
      <c r="AJ413" s="14" t="str">
        <f t="shared" si="55"/>
        <v/>
      </c>
      <c r="AK413" s="14" t="str">
        <f>IF(COUNTA(T413:AH413)=0,"",(SUM(T413*KPI_Weights!$B$4,U413*KPI_Weights!$B$5,V413*KPI_Weights!$B$6,W413*KPI_Weights!$B$7,X413*KPI_Weights!$B$8,Y413*KPI_Weights!$B$9,Z413*KPI_Weights!$B$10,AA413*KPI_Weights!$B$11,AB413*KPI_Weights!$B$12,AC413*KPI_Weights!$B$13,AD413*KPI_Weights!$B$14,AE413*KPI_Weights!$B$15,AF413*KPI_Weights!$B$16,AG413*KPI_Weights!$B$17,AH413*KPI_Weights!$B$18))/5)</f>
        <v/>
      </c>
      <c r="AL413" s="8" t="str">
        <f t="shared" si="56"/>
        <v/>
      </c>
      <c r="AM413" s="8" t="str">
        <f t="shared" si="57"/>
        <v/>
      </c>
      <c r="AN413" s="8" t="str">
        <f t="shared" si="58"/>
        <v/>
      </c>
      <c r="AO413" s="12"/>
      <c r="AP413" s="12"/>
      <c r="AQ413" s="12"/>
      <c r="AR413" s="12"/>
      <c r="AS413" s="12"/>
      <c r="AT413" s="15"/>
      <c r="AU413" s="12"/>
      <c r="AV413" s="16"/>
      <c r="AW413" s="12"/>
      <c r="AX413" s="15"/>
      <c r="AY413" s="15"/>
      <c r="AZ413" s="15"/>
      <c r="BA413" s="15"/>
      <c r="BB413" s="15"/>
      <c r="BC413" s="15"/>
      <c r="BD413" s="15"/>
      <c r="BE413" s="15"/>
      <c r="BF413" s="15"/>
    </row>
    <row r="414" spans="1:58" ht="19.5" customHeight="1" x14ac:dyDescent="0.2">
      <c r="A414" s="8" t="str">
        <f>IF($B414="","",TEXT($B414,"yyyymmdd")&amp;"-"&amp;SUBSTITUTE($F414," ","")&amp;"-"&amp;TEXT(COUNTIF($F$4:F414,$F414),"00"))</f>
        <v/>
      </c>
      <c r="B414" s="9"/>
      <c r="C414" s="8" t="str">
        <f t="shared" si="52"/>
        <v/>
      </c>
      <c r="D414" s="8" t="str">
        <f t="shared" si="53"/>
        <v/>
      </c>
      <c r="E414" s="10"/>
      <c r="F414" s="10"/>
      <c r="G414" s="8" t="str">
        <f>IF(OR($E414="",$F414=""),"",IFERROR(IF($E414=INDEX(Cluster_Master!$A$4:$A$18,MATCH($F414,Cluster_Master!$B$4:$B$18,0)),"OK","CHECK"),"CHECK"))</f>
        <v/>
      </c>
      <c r="H414" s="11" t="str">
        <f>IFERROR(INDEX(Cluster_Master!$C$4:$C$18,MATCH($F414,Cluster_Master!$B$4:$B$18,0)),"")</f>
        <v/>
      </c>
      <c r="I414" s="8" t="str">
        <f>IFERROR(INDEX(Cluster_Master!$D$4:$D$18,MATCH($F414,Cluster_Master!$B$4:$B$18,0)),"")</f>
        <v/>
      </c>
      <c r="J414" s="8" t="str">
        <f>IFERROR(INDEX(Cluster_Master!$E$4:$E$18,MATCH($F414,Cluster_Master!$B$4:$B$18,0)),"")</f>
        <v/>
      </c>
      <c r="K414" s="8" t="str">
        <f>IFERROR(INDEX(Cluster_Master!$F$4:$F$18,MATCH($F414,Cluster_Master!$B$4:$B$18,0)),"")</f>
        <v/>
      </c>
      <c r="L414" s="8" t="str">
        <f>IFERROR(INDEX(Cluster_Master!$G$4:$G$18,MATCH($F414,Cluster_Master!$B$4:$B$18,0)),"")</f>
        <v/>
      </c>
      <c r="M414" s="8" t="str">
        <f>IFERROR(INDEX(Cluster_Master!$H$4:$H$18,MATCH($F414,Cluster_Master!$B$4:$B$18,0)),"")</f>
        <v/>
      </c>
      <c r="N414" s="12"/>
      <c r="O414" s="12"/>
      <c r="P414" s="12"/>
      <c r="Q414" s="12"/>
      <c r="R414" s="12"/>
      <c r="S414" s="12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8" t="str">
        <f t="shared" si="54"/>
        <v/>
      </c>
      <c r="AJ414" s="14" t="str">
        <f t="shared" si="55"/>
        <v/>
      </c>
      <c r="AK414" s="14" t="str">
        <f>IF(COUNTA(T414:AH414)=0,"",(SUM(T414*KPI_Weights!$B$4,U414*KPI_Weights!$B$5,V414*KPI_Weights!$B$6,W414*KPI_Weights!$B$7,X414*KPI_Weights!$B$8,Y414*KPI_Weights!$B$9,Z414*KPI_Weights!$B$10,AA414*KPI_Weights!$B$11,AB414*KPI_Weights!$B$12,AC414*KPI_Weights!$B$13,AD414*KPI_Weights!$B$14,AE414*KPI_Weights!$B$15,AF414*KPI_Weights!$B$16,AG414*KPI_Weights!$B$17,AH414*KPI_Weights!$B$18))/5)</f>
        <v/>
      </c>
      <c r="AL414" s="8" t="str">
        <f t="shared" si="56"/>
        <v/>
      </c>
      <c r="AM414" s="8" t="str">
        <f t="shared" si="57"/>
        <v/>
      </c>
      <c r="AN414" s="8" t="str">
        <f t="shared" si="58"/>
        <v/>
      </c>
      <c r="AO414" s="12"/>
      <c r="AP414" s="12"/>
      <c r="AQ414" s="12"/>
      <c r="AR414" s="12"/>
      <c r="AS414" s="12"/>
      <c r="AT414" s="15"/>
      <c r="AU414" s="12"/>
      <c r="AV414" s="16"/>
      <c r="AW414" s="12"/>
      <c r="AX414" s="15"/>
      <c r="AY414" s="15"/>
      <c r="AZ414" s="15"/>
      <c r="BA414" s="15"/>
      <c r="BB414" s="15"/>
      <c r="BC414" s="15"/>
      <c r="BD414" s="15"/>
      <c r="BE414" s="15"/>
      <c r="BF414" s="15"/>
    </row>
    <row r="415" spans="1:58" ht="19.5" customHeight="1" x14ac:dyDescent="0.2">
      <c r="A415" s="8" t="str">
        <f>IF($B415="","",TEXT($B415,"yyyymmdd")&amp;"-"&amp;SUBSTITUTE($F415," ","")&amp;"-"&amp;TEXT(COUNTIF($F$4:F415,$F415),"00"))</f>
        <v/>
      </c>
      <c r="B415" s="9"/>
      <c r="C415" s="8" t="str">
        <f t="shared" si="52"/>
        <v/>
      </c>
      <c r="D415" s="8" t="str">
        <f t="shared" si="53"/>
        <v/>
      </c>
      <c r="E415" s="10"/>
      <c r="F415" s="10"/>
      <c r="G415" s="8" t="str">
        <f>IF(OR($E415="",$F415=""),"",IFERROR(IF($E415=INDEX(Cluster_Master!$A$4:$A$18,MATCH($F415,Cluster_Master!$B$4:$B$18,0)),"OK","CHECK"),"CHECK"))</f>
        <v/>
      </c>
      <c r="H415" s="11" t="str">
        <f>IFERROR(INDEX(Cluster_Master!$C$4:$C$18,MATCH($F415,Cluster_Master!$B$4:$B$18,0)),"")</f>
        <v/>
      </c>
      <c r="I415" s="8" t="str">
        <f>IFERROR(INDEX(Cluster_Master!$D$4:$D$18,MATCH($F415,Cluster_Master!$B$4:$B$18,0)),"")</f>
        <v/>
      </c>
      <c r="J415" s="8" t="str">
        <f>IFERROR(INDEX(Cluster_Master!$E$4:$E$18,MATCH($F415,Cluster_Master!$B$4:$B$18,0)),"")</f>
        <v/>
      </c>
      <c r="K415" s="8" t="str">
        <f>IFERROR(INDEX(Cluster_Master!$F$4:$F$18,MATCH($F415,Cluster_Master!$B$4:$B$18,0)),"")</f>
        <v/>
      </c>
      <c r="L415" s="8" t="str">
        <f>IFERROR(INDEX(Cluster_Master!$G$4:$G$18,MATCH($F415,Cluster_Master!$B$4:$B$18,0)),"")</f>
        <v/>
      </c>
      <c r="M415" s="8" t="str">
        <f>IFERROR(INDEX(Cluster_Master!$H$4:$H$18,MATCH($F415,Cluster_Master!$B$4:$B$18,0)),"")</f>
        <v/>
      </c>
      <c r="N415" s="12"/>
      <c r="O415" s="12"/>
      <c r="P415" s="12"/>
      <c r="Q415" s="12"/>
      <c r="R415" s="12"/>
      <c r="S415" s="12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8" t="str">
        <f t="shared" si="54"/>
        <v/>
      </c>
      <c r="AJ415" s="14" t="str">
        <f t="shared" si="55"/>
        <v/>
      </c>
      <c r="AK415" s="14" t="str">
        <f>IF(COUNTA(T415:AH415)=0,"",(SUM(T415*KPI_Weights!$B$4,U415*KPI_Weights!$B$5,V415*KPI_Weights!$B$6,W415*KPI_Weights!$B$7,X415*KPI_Weights!$B$8,Y415*KPI_Weights!$B$9,Z415*KPI_Weights!$B$10,AA415*KPI_Weights!$B$11,AB415*KPI_Weights!$B$12,AC415*KPI_Weights!$B$13,AD415*KPI_Weights!$B$14,AE415*KPI_Weights!$B$15,AF415*KPI_Weights!$B$16,AG415*KPI_Weights!$B$17,AH415*KPI_Weights!$B$18))/5)</f>
        <v/>
      </c>
      <c r="AL415" s="8" t="str">
        <f t="shared" si="56"/>
        <v/>
      </c>
      <c r="AM415" s="8" t="str">
        <f t="shared" si="57"/>
        <v/>
      </c>
      <c r="AN415" s="8" t="str">
        <f t="shared" si="58"/>
        <v/>
      </c>
      <c r="AO415" s="12"/>
      <c r="AP415" s="12"/>
      <c r="AQ415" s="12"/>
      <c r="AR415" s="12"/>
      <c r="AS415" s="12"/>
      <c r="AT415" s="15"/>
      <c r="AU415" s="12"/>
      <c r="AV415" s="16"/>
      <c r="AW415" s="12"/>
      <c r="AX415" s="15"/>
      <c r="AY415" s="15"/>
      <c r="AZ415" s="15"/>
      <c r="BA415" s="15"/>
      <c r="BB415" s="15"/>
      <c r="BC415" s="15"/>
      <c r="BD415" s="15"/>
      <c r="BE415" s="15"/>
      <c r="BF415" s="15"/>
    </row>
    <row r="416" spans="1:58" ht="19.5" customHeight="1" x14ac:dyDescent="0.2">
      <c r="A416" s="8" t="str">
        <f>IF($B416="","",TEXT($B416,"yyyymmdd")&amp;"-"&amp;SUBSTITUTE($F416," ","")&amp;"-"&amp;TEXT(COUNTIF($F$4:F416,$F416),"00"))</f>
        <v/>
      </c>
      <c r="B416" s="9"/>
      <c r="C416" s="8" t="str">
        <f t="shared" si="52"/>
        <v/>
      </c>
      <c r="D416" s="8" t="str">
        <f t="shared" si="53"/>
        <v/>
      </c>
      <c r="E416" s="10"/>
      <c r="F416" s="10"/>
      <c r="G416" s="8" t="str">
        <f>IF(OR($E416="",$F416=""),"",IFERROR(IF($E416=INDEX(Cluster_Master!$A$4:$A$18,MATCH($F416,Cluster_Master!$B$4:$B$18,0)),"OK","CHECK"),"CHECK"))</f>
        <v/>
      </c>
      <c r="H416" s="11" t="str">
        <f>IFERROR(INDEX(Cluster_Master!$C$4:$C$18,MATCH($F416,Cluster_Master!$B$4:$B$18,0)),"")</f>
        <v/>
      </c>
      <c r="I416" s="8" t="str">
        <f>IFERROR(INDEX(Cluster_Master!$D$4:$D$18,MATCH($F416,Cluster_Master!$B$4:$B$18,0)),"")</f>
        <v/>
      </c>
      <c r="J416" s="8" t="str">
        <f>IFERROR(INDEX(Cluster_Master!$E$4:$E$18,MATCH($F416,Cluster_Master!$B$4:$B$18,0)),"")</f>
        <v/>
      </c>
      <c r="K416" s="8" t="str">
        <f>IFERROR(INDEX(Cluster_Master!$F$4:$F$18,MATCH($F416,Cluster_Master!$B$4:$B$18,0)),"")</f>
        <v/>
      </c>
      <c r="L416" s="8" t="str">
        <f>IFERROR(INDEX(Cluster_Master!$G$4:$G$18,MATCH($F416,Cluster_Master!$B$4:$B$18,0)),"")</f>
        <v/>
      </c>
      <c r="M416" s="8" t="str">
        <f>IFERROR(INDEX(Cluster_Master!$H$4:$H$18,MATCH($F416,Cluster_Master!$B$4:$B$18,0)),"")</f>
        <v/>
      </c>
      <c r="N416" s="12"/>
      <c r="O416" s="12"/>
      <c r="P416" s="12"/>
      <c r="Q416" s="12"/>
      <c r="R416" s="12"/>
      <c r="S416" s="12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8" t="str">
        <f t="shared" si="54"/>
        <v/>
      </c>
      <c r="AJ416" s="14" t="str">
        <f t="shared" si="55"/>
        <v/>
      </c>
      <c r="AK416" s="14" t="str">
        <f>IF(COUNTA(T416:AH416)=0,"",(SUM(T416*KPI_Weights!$B$4,U416*KPI_Weights!$B$5,V416*KPI_Weights!$B$6,W416*KPI_Weights!$B$7,X416*KPI_Weights!$B$8,Y416*KPI_Weights!$B$9,Z416*KPI_Weights!$B$10,AA416*KPI_Weights!$B$11,AB416*KPI_Weights!$B$12,AC416*KPI_Weights!$B$13,AD416*KPI_Weights!$B$14,AE416*KPI_Weights!$B$15,AF416*KPI_Weights!$B$16,AG416*KPI_Weights!$B$17,AH416*KPI_Weights!$B$18))/5)</f>
        <v/>
      </c>
      <c r="AL416" s="8" t="str">
        <f t="shared" si="56"/>
        <v/>
      </c>
      <c r="AM416" s="8" t="str">
        <f t="shared" si="57"/>
        <v/>
      </c>
      <c r="AN416" s="8" t="str">
        <f t="shared" si="58"/>
        <v/>
      </c>
      <c r="AO416" s="12"/>
      <c r="AP416" s="12"/>
      <c r="AQ416" s="12"/>
      <c r="AR416" s="12"/>
      <c r="AS416" s="12"/>
      <c r="AT416" s="15"/>
      <c r="AU416" s="12"/>
      <c r="AV416" s="16"/>
      <c r="AW416" s="12"/>
      <c r="AX416" s="15"/>
      <c r="AY416" s="15"/>
      <c r="AZ416" s="15"/>
      <c r="BA416" s="15"/>
      <c r="BB416" s="15"/>
      <c r="BC416" s="15"/>
      <c r="BD416" s="15"/>
      <c r="BE416" s="15"/>
      <c r="BF416" s="15"/>
    </row>
    <row r="417" spans="1:58" ht="19.5" customHeight="1" x14ac:dyDescent="0.2">
      <c r="A417" s="8" t="str">
        <f>IF($B417="","",TEXT($B417,"yyyymmdd")&amp;"-"&amp;SUBSTITUTE($F417," ","")&amp;"-"&amp;TEXT(COUNTIF($F$4:F417,$F417),"00"))</f>
        <v/>
      </c>
      <c r="B417" s="9"/>
      <c r="C417" s="8" t="str">
        <f t="shared" si="52"/>
        <v/>
      </c>
      <c r="D417" s="8" t="str">
        <f t="shared" si="53"/>
        <v/>
      </c>
      <c r="E417" s="10"/>
      <c r="F417" s="10"/>
      <c r="G417" s="8" t="str">
        <f>IF(OR($E417="",$F417=""),"",IFERROR(IF($E417=INDEX(Cluster_Master!$A$4:$A$18,MATCH($F417,Cluster_Master!$B$4:$B$18,0)),"OK","CHECK"),"CHECK"))</f>
        <v/>
      </c>
      <c r="H417" s="11" t="str">
        <f>IFERROR(INDEX(Cluster_Master!$C$4:$C$18,MATCH($F417,Cluster_Master!$B$4:$B$18,0)),"")</f>
        <v/>
      </c>
      <c r="I417" s="8" t="str">
        <f>IFERROR(INDEX(Cluster_Master!$D$4:$D$18,MATCH($F417,Cluster_Master!$B$4:$B$18,0)),"")</f>
        <v/>
      </c>
      <c r="J417" s="8" t="str">
        <f>IFERROR(INDEX(Cluster_Master!$E$4:$E$18,MATCH($F417,Cluster_Master!$B$4:$B$18,0)),"")</f>
        <v/>
      </c>
      <c r="K417" s="8" t="str">
        <f>IFERROR(INDEX(Cluster_Master!$F$4:$F$18,MATCH($F417,Cluster_Master!$B$4:$B$18,0)),"")</f>
        <v/>
      </c>
      <c r="L417" s="8" t="str">
        <f>IFERROR(INDEX(Cluster_Master!$G$4:$G$18,MATCH($F417,Cluster_Master!$B$4:$B$18,0)),"")</f>
        <v/>
      </c>
      <c r="M417" s="8" t="str">
        <f>IFERROR(INDEX(Cluster_Master!$H$4:$H$18,MATCH($F417,Cluster_Master!$B$4:$B$18,0)),"")</f>
        <v/>
      </c>
      <c r="N417" s="12"/>
      <c r="O417" s="12"/>
      <c r="P417" s="12"/>
      <c r="Q417" s="12"/>
      <c r="R417" s="12"/>
      <c r="S417" s="12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8" t="str">
        <f t="shared" si="54"/>
        <v/>
      </c>
      <c r="AJ417" s="14" t="str">
        <f t="shared" si="55"/>
        <v/>
      </c>
      <c r="AK417" s="14" t="str">
        <f>IF(COUNTA(T417:AH417)=0,"",(SUM(T417*KPI_Weights!$B$4,U417*KPI_Weights!$B$5,V417*KPI_Weights!$B$6,W417*KPI_Weights!$B$7,X417*KPI_Weights!$B$8,Y417*KPI_Weights!$B$9,Z417*KPI_Weights!$B$10,AA417*KPI_Weights!$B$11,AB417*KPI_Weights!$B$12,AC417*KPI_Weights!$B$13,AD417*KPI_Weights!$B$14,AE417*KPI_Weights!$B$15,AF417*KPI_Weights!$B$16,AG417*KPI_Weights!$B$17,AH417*KPI_Weights!$B$18))/5)</f>
        <v/>
      </c>
      <c r="AL417" s="8" t="str">
        <f t="shared" si="56"/>
        <v/>
      </c>
      <c r="AM417" s="8" t="str">
        <f t="shared" si="57"/>
        <v/>
      </c>
      <c r="AN417" s="8" t="str">
        <f t="shared" si="58"/>
        <v/>
      </c>
      <c r="AO417" s="12"/>
      <c r="AP417" s="12"/>
      <c r="AQ417" s="12"/>
      <c r="AR417" s="12"/>
      <c r="AS417" s="12"/>
      <c r="AT417" s="15"/>
      <c r="AU417" s="12"/>
      <c r="AV417" s="16"/>
      <c r="AW417" s="12"/>
      <c r="AX417" s="15"/>
      <c r="AY417" s="15"/>
      <c r="AZ417" s="15"/>
      <c r="BA417" s="15"/>
      <c r="BB417" s="15"/>
      <c r="BC417" s="15"/>
      <c r="BD417" s="15"/>
      <c r="BE417" s="15"/>
      <c r="BF417" s="15"/>
    </row>
    <row r="418" spans="1:58" ht="19.5" customHeight="1" x14ac:dyDescent="0.2">
      <c r="A418" s="8" t="str">
        <f>IF($B418="","",TEXT($B418,"yyyymmdd")&amp;"-"&amp;SUBSTITUTE($F418," ","")&amp;"-"&amp;TEXT(COUNTIF($F$4:F418,$F418),"00"))</f>
        <v/>
      </c>
      <c r="B418" s="9"/>
      <c r="C418" s="8" t="str">
        <f t="shared" si="52"/>
        <v/>
      </c>
      <c r="D418" s="8" t="str">
        <f t="shared" si="53"/>
        <v/>
      </c>
      <c r="E418" s="10"/>
      <c r="F418" s="10"/>
      <c r="G418" s="8" t="str">
        <f>IF(OR($E418="",$F418=""),"",IFERROR(IF($E418=INDEX(Cluster_Master!$A$4:$A$18,MATCH($F418,Cluster_Master!$B$4:$B$18,0)),"OK","CHECK"),"CHECK"))</f>
        <v/>
      </c>
      <c r="H418" s="11" t="str">
        <f>IFERROR(INDEX(Cluster_Master!$C$4:$C$18,MATCH($F418,Cluster_Master!$B$4:$B$18,0)),"")</f>
        <v/>
      </c>
      <c r="I418" s="8" t="str">
        <f>IFERROR(INDEX(Cluster_Master!$D$4:$D$18,MATCH($F418,Cluster_Master!$B$4:$B$18,0)),"")</f>
        <v/>
      </c>
      <c r="J418" s="8" t="str">
        <f>IFERROR(INDEX(Cluster_Master!$E$4:$E$18,MATCH($F418,Cluster_Master!$B$4:$B$18,0)),"")</f>
        <v/>
      </c>
      <c r="K418" s="8" t="str">
        <f>IFERROR(INDEX(Cluster_Master!$F$4:$F$18,MATCH($F418,Cluster_Master!$B$4:$B$18,0)),"")</f>
        <v/>
      </c>
      <c r="L418" s="8" t="str">
        <f>IFERROR(INDEX(Cluster_Master!$G$4:$G$18,MATCH($F418,Cluster_Master!$B$4:$B$18,0)),"")</f>
        <v/>
      </c>
      <c r="M418" s="8" t="str">
        <f>IFERROR(INDEX(Cluster_Master!$H$4:$H$18,MATCH($F418,Cluster_Master!$B$4:$B$18,0)),"")</f>
        <v/>
      </c>
      <c r="N418" s="12"/>
      <c r="O418" s="12"/>
      <c r="P418" s="12"/>
      <c r="Q418" s="12"/>
      <c r="R418" s="12"/>
      <c r="S418" s="12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8" t="str">
        <f t="shared" si="54"/>
        <v/>
      </c>
      <c r="AJ418" s="14" t="str">
        <f t="shared" si="55"/>
        <v/>
      </c>
      <c r="AK418" s="14" t="str">
        <f>IF(COUNTA(T418:AH418)=0,"",(SUM(T418*KPI_Weights!$B$4,U418*KPI_Weights!$B$5,V418*KPI_Weights!$B$6,W418*KPI_Weights!$B$7,X418*KPI_Weights!$B$8,Y418*KPI_Weights!$B$9,Z418*KPI_Weights!$B$10,AA418*KPI_Weights!$B$11,AB418*KPI_Weights!$B$12,AC418*KPI_Weights!$B$13,AD418*KPI_Weights!$B$14,AE418*KPI_Weights!$B$15,AF418*KPI_Weights!$B$16,AG418*KPI_Weights!$B$17,AH418*KPI_Weights!$B$18))/5)</f>
        <v/>
      </c>
      <c r="AL418" s="8" t="str">
        <f t="shared" si="56"/>
        <v/>
      </c>
      <c r="AM418" s="8" t="str">
        <f t="shared" si="57"/>
        <v/>
      </c>
      <c r="AN418" s="8" t="str">
        <f t="shared" si="58"/>
        <v/>
      </c>
      <c r="AO418" s="12"/>
      <c r="AP418" s="12"/>
      <c r="AQ418" s="12"/>
      <c r="AR418" s="12"/>
      <c r="AS418" s="12"/>
      <c r="AT418" s="15"/>
      <c r="AU418" s="12"/>
      <c r="AV418" s="16"/>
      <c r="AW418" s="12"/>
      <c r="AX418" s="15"/>
      <c r="AY418" s="15"/>
      <c r="AZ418" s="15"/>
      <c r="BA418" s="15"/>
      <c r="BB418" s="15"/>
      <c r="BC418" s="15"/>
      <c r="BD418" s="15"/>
      <c r="BE418" s="15"/>
      <c r="BF418" s="15"/>
    </row>
    <row r="419" spans="1:58" ht="19.5" customHeight="1" x14ac:dyDescent="0.2">
      <c r="A419" s="8" t="str">
        <f>IF($B419="","",TEXT($B419,"yyyymmdd")&amp;"-"&amp;SUBSTITUTE($F419," ","")&amp;"-"&amp;TEXT(COUNTIF($F$4:F419,$F419),"00"))</f>
        <v/>
      </c>
      <c r="B419" s="9"/>
      <c r="C419" s="8" t="str">
        <f t="shared" si="52"/>
        <v/>
      </c>
      <c r="D419" s="8" t="str">
        <f t="shared" si="53"/>
        <v/>
      </c>
      <c r="E419" s="10"/>
      <c r="F419" s="10"/>
      <c r="G419" s="8" t="str">
        <f>IF(OR($E419="",$F419=""),"",IFERROR(IF($E419=INDEX(Cluster_Master!$A$4:$A$18,MATCH($F419,Cluster_Master!$B$4:$B$18,0)),"OK","CHECK"),"CHECK"))</f>
        <v/>
      </c>
      <c r="H419" s="11" t="str">
        <f>IFERROR(INDEX(Cluster_Master!$C$4:$C$18,MATCH($F419,Cluster_Master!$B$4:$B$18,0)),"")</f>
        <v/>
      </c>
      <c r="I419" s="8" t="str">
        <f>IFERROR(INDEX(Cluster_Master!$D$4:$D$18,MATCH($F419,Cluster_Master!$B$4:$B$18,0)),"")</f>
        <v/>
      </c>
      <c r="J419" s="8" t="str">
        <f>IFERROR(INDEX(Cluster_Master!$E$4:$E$18,MATCH($F419,Cluster_Master!$B$4:$B$18,0)),"")</f>
        <v/>
      </c>
      <c r="K419" s="8" t="str">
        <f>IFERROR(INDEX(Cluster_Master!$F$4:$F$18,MATCH($F419,Cluster_Master!$B$4:$B$18,0)),"")</f>
        <v/>
      </c>
      <c r="L419" s="8" t="str">
        <f>IFERROR(INDEX(Cluster_Master!$G$4:$G$18,MATCH($F419,Cluster_Master!$B$4:$B$18,0)),"")</f>
        <v/>
      </c>
      <c r="M419" s="8" t="str">
        <f>IFERROR(INDEX(Cluster_Master!$H$4:$H$18,MATCH($F419,Cluster_Master!$B$4:$B$18,0)),"")</f>
        <v/>
      </c>
      <c r="N419" s="12"/>
      <c r="O419" s="12"/>
      <c r="P419" s="12"/>
      <c r="Q419" s="12"/>
      <c r="R419" s="12"/>
      <c r="S419" s="12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8" t="str">
        <f t="shared" si="54"/>
        <v/>
      </c>
      <c r="AJ419" s="14" t="str">
        <f t="shared" si="55"/>
        <v/>
      </c>
      <c r="AK419" s="14" t="str">
        <f>IF(COUNTA(T419:AH419)=0,"",(SUM(T419*KPI_Weights!$B$4,U419*KPI_Weights!$B$5,V419*KPI_Weights!$B$6,W419*KPI_Weights!$B$7,X419*KPI_Weights!$B$8,Y419*KPI_Weights!$B$9,Z419*KPI_Weights!$B$10,AA419*KPI_Weights!$B$11,AB419*KPI_Weights!$B$12,AC419*KPI_Weights!$B$13,AD419*KPI_Weights!$B$14,AE419*KPI_Weights!$B$15,AF419*KPI_Weights!$B$16,AG419*KPI_Weights!$B$17,AH419*KPI_Weights!$B$18))/5)</f>
        <v/>
      </c>
      <c r="AL419" s="8" t="str">
        <f t="shared" si="56"/>
        <v/>
      </c>
      <c r="AM419" s="8" t="str">
        <f t="shared" si="57"/>
        <v/>
      </c>
      <c r="AN419" s="8" t="str">
        <f t="shared" si="58"/>
        <v/>
      </c>
      <c r="AO419" s="12"/>
      <c r="AP419" s="12"/>
      <c r="AQ419" s="12"/>
      <c r="AR419" s="12"/>
      <c r="AS419" s="12"/>
      <c r="AT419" s="15"/>
      <c r="AU419" s="12"/>
      <c r="AV419" s="16"/>
      <c r="AW419" s="12"/>
      <c r="AX419" s="15"/>
      <c r="AY419" s="15"/>
      <c r="AZ419" s="15"/>
      <c r="BA419" s="15"/>
      <c r="BB419" s="15"/>
      <c r="BC419" s="15"/>
      <c r="BD419" s="15"/>
      <c r="BE419" s="15"/>
      <c r="BF419" s="15"/>
    </row>
    <row r="420" spans="1:58" ht="19.5" customHeight="1" x14ac:dyDescent="0.2">
      <c r="A420" s="8" t="str">
        <f>IF($B420="","",TEXT($B420,"yyyymmdd")&amp;"-"&amp;SUBSTITUTE($F420," ","")&amp;"-"&amp;TEXT(COUNTIF($F$4:F420,$F420),"00"))</f>
        <v/>
      </c>
      <c r="B420" s="9"/>
      <c r="C420" s="8" t="str">
        <f t="shared" si="52"/>
        <v/>
      </c>
      <c r="D420" s="8" t="str">
        <f t="shared" si="53"/>
        <v/>
      </c>
      <c r="E420" s="10"/>
      <c r="F420" s="10"/>
      <c r="G420" s="8" t="str">
        <f>IF(OR($E420="",$F420=""),"",IFERROR(IF($E420=INDEX(Cluster_Master!$A$4:$A$18,MATCH($F420,Cluster_Master!$B$4:$B$18,0)),"OK","CHECK"),"CHECK"))</f>
        <v/>
      </c>
      <c r="H420" s="11" t="str">
        <f>IFERROR(INDEX(Cluster_Master!$C$4:$C$18,MATCH($F420,Cluster_Master!$B$4:$B$18,0)),"")</f>
        <v/>
      </c>
      <c r="I420" s="8" t="str">
        <f>IFERROR(INDEX(Cluster_Master!$D$4:$D$18,MATCH($F420,Cluster_Master!$B$4:$B$18,0)),"")</f>
        <v/>
      </c>
      <c r="J420" s="8" t="str">
        <f>IFERROR(INDEX(Cluster_Master!$E$4:$E$18,MATCH($F420,Cluster_Master!$B$4:$B$18,0)),"")</f>
        <v/>
      </c>
      <c r="K420" s="8" t="str">
        <f>IFERROR(INDEX(Cluster_Master!$F$4:$F$18,MATCH($F420,Cluster_Master!$B$4:$B$18,0)),"")</f>
        <v/>
      </c>
      <c r="L420" s="8" t="str">
        <f>IFERROR(INDEX(Cluster_Master!$G$4:$G$18,MATCH($F420,Cluster_Master!$B$4:$B$18,0)),"")</f>
        <v/>
      </c>
      <c r="M420" s="8" t="str">
        <f>IFERROR(INDEX(Cluster_Master!$H$4:$H$18,MATCH($F420,Cluster_Master!$B$4:$B$18,0)),"")</f>
        <v/>
      </c>
      <c r="N420" s="12"/>
      <c r="O420" s="12"/>
      <c r="P420" s="12"/>
      <c r="Q420" s="12"/>
      <c r="R420" s="12"/>
      <c r="S420" s="12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8" t="str">
        <f t="shared" si="54"/>
        <v/>
      </c>
      <c r="AJ420" s="14" t="str">
        <f t="shared" si="55"/>
        <v/>
      </c>
      <c r="AK420" s="14" t="str">
        <f>IF(COUNTA(T420:AH420)=0,"",(SUM(T420*KPI_Weights!$B$4,U420*KPI_Weights!$B$5,V420*KPI_Weights!$B$6,W420*KPI_Weights!$B$7,X420*KPI_Weights!$B$8,Y420*KPI_Weights!$B$9,Z420*KPI_Weights!$B$10,AA420*KPI_Weights!$B$11,AB420*KPI_Weights!$B$12,AC420*KPI_Weights!$B$13,AD420*KPI_Weights!$B$14,AE420*KPI_Weights!$B$15,AF420*KPI_Weights!$B$16,AG420*KPI_Weights!$B$17,AH420*KPI_Weights!$B$18))/5)</f>
        <v/>
      </c>
      <c r="AL420" s="8" t="str">
        <f t="shared" si="56"/>
        <v/>
      </c>
      <c r="AM420" s="8" t="str">
        <f t="shared" si="57"/>
        <v/>
      </c>
      <c r="AN420" s="8" t="str">
        <f t="shared" si="58"/>
        <v/>
      </c>
      <c r="AO420" s="12"/>
      <c r="AP420" s="12"/>
      <c r="AQ420" s="12"/>
      <c r="AR420" s="12"/>
      <c r="AS420" s="12"/>
      <c r="AT420" s="15"/>
      <c r="AU420" s="12"/>
      <c r="AV420" s="16"/>
      <c r="AW420" s="12"/>
      <c r="AX420" s="15"/>
      <c r="AY420" s="15"/>
      <c r="AZ420" s="15"/>
      <c r="BA420" s="15"/>
      <c r="BB420" s="15"/>
      <c r="BC420" s="15"/>
      <c r="BD420" s="15"/>
      <c r="BE420" s="15"/>
      <c r="BF420" s="15"/>
    </row>
    <row r="421" spans="1:58" ht="19.5" customHeight="1" x14ac:dyDescent="0.2">
      <c r="A421" s="8" t="str">
        <f>IF($B421="","",TEXT($B421,"yyyymmdd")&amp;"-"&amp;SUBSTITUTE($F421," ","")&amp;"-"&amp;TEXT(COUNTIF($F$4:F421,$F421),"00"))</f>
        <v/>
      </c>
      <c r="B421" s="9"/>
      <c r="C421" s="8" t="str">
        <f t="shared" si="52"/>
        <v/>
      </c>
      <c r="D421" s="8" t="str">
        <f t="shared" si="53"/>
        <v/>
      </c>
      <c r="E421" s="10"/>
      <c r="F421" s="10"/>
      <c r="G421" s="8" t="str">
        <f>IF(OR($E421="",$F421=""),"",IFERROR(IF($E421=INDEX(Cluster_Master!$A$4:$A$18,MATCH($F421,Cluster_Master!$B$4:$B$18,0)),"OK","CHECK"),"CHECK"))</f>
        <v/>
      </c>
      <c r="H421" s="11" t="str">
        <f>IFERROR(INDEX(Cluster_Master!$C$4:$C$18,MATCH($F421,Cluster_Master!$B$4:$B$18,0)),"")</f>
        <v/>
      </c>
      <c r="I421" s="8" t="str">
        <f>IFERROR(INDEX(Cluster_Master!$D$4:$D$18,MATCH($F421,Cluster_Master!$B$4:$B$18,0)),"")</f>
        <v/>
      </c>
      <c r="J421" s="8" t="str">
        <f>IFERROR(INDEX(Cluster_Master!$E$4:$E$18,MATCH($F421,Cluster_Master!$B$4:$B$18,0)),"")</f>
        <v/>
      </c>
      <c r="K421" s="8" t="str">
        <f>IFERROR(INDEX(Cluster_Master!$F$4:$F$18,MATCH($F421,Cluster_Master!$B$4:$B$18,0)),"")</f>
        <v/>
      </c>
      <c r="L421" s="8" t="str">
        <f>IFERROR(INDEX(Cluster_Master!$G$4:$G$18,MATCH($F421,Cluster_Master!$B$4:$B$18,0)),"")</f>
        <v/>
      </c>
      <c r="M421" s="8" t="str">
        <f>IFERROR(INDEX(Cluster_Master!$H$4:$H$18,MATCH($F421,Cluster_Master!$B$4:$B$18,0)),"")</f>
        <v/>
      </c>
      <c r="N421" s="12"/>
      <c r="O421" s="12"/>
      <c r="P421" s="12"/>
      <c r="Q421" s="12"/>
      <c r="R421" s="12"/>
      <c r="S421" s="12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8" t="str">
        <f t="shared" si="54"/>
        <v/>
      </c>
      <c r="AJ421" s="14" t="str">
        <f t="shared" si="55"/>
        <v/>
      </c>
      <c r="AK421" s="14" t="str">
        <f>IF(COUNTA(T421:AH421)=0,"",(SUM(T421*KPI_Weights!$B$4,U421*KPI_Weights!$B$5,V421*KPI_Weights!$B$6,W421*KPI_Weights!$B$7,X421*KPI_Weights!$B$8,Y421*KPI_Weights!$B$9,Z421*KPI_Weights!$B$10,AA421*KPI_Weights!$B$11,AB421*KPI_Weights!$B$12,AC421*KPI_Weights!$B$13,AD421*KPI_Weights!$B$14,AE421*KPI_Weights!$B$15,AF421*KPI_Weights!$B$16,AG421*KPI_Weights!$B$17,AH421*KPI_Weights!$B$18))/5)</f>
        <v/>
      </c>
      <c r="AL421" s="8" t="str">
        <f t="shared" si="56"/>
        <v/>
      </c>
      <c r="AM421" s="8" t="str">
        <f t="shared" si="57"/>
        <v/>
      </c>
      <c r="AN421" s="8" t="str">
        <f t="shared" si="58"/>
        <v/>
      </c>
      <c r="AO421" s="12"/>
      <c r="AP421" s="12"/>
      <c r="AQ421" s="12"/>
      <c r="AR421" s="12"/>
      <c r="AS421" s="12"/>
      <c r="AT421" s="15"/>
      <c r="AU421" s="12"/>
      <c r="AV421" s="16"/>
      <c r="AW421" s="12"/>
      <c r="AX421" s="15"/>
      <c r="AY421" s="15"/>
      <c r="AZ421" s="15"/>
      <c r="BA421" s="15"/>
      <c r="BB421" s="15"/>
      <c r="BC421" s="15"/>
      <c r="BD421" s="15"/>
      <c r="BE421" s="15"/>
      <c r="BF421" s="15"/>
    </row>
    <row r="422" spans="1:58" ht="19.5" customHeight="1" x14ac:dyDescent="0.2">
      <c r="A422" s="8" t="str">
        <f>IF($B422="","",TEXT($B422,"yyyymmdd")&amp;"-"&amp;SUBSTITUTE($F422," ","")&amp;"-"&amp;TEXT(COUNTIF($F$4:F422,$F422),"00"))</f>
        <v/>
      </c>
      <c r="B422" s="9"/>
      <c r="C422" s="8" t="str">
        <f t="shared" si="52"/>
        <v/>
      </c>
      <c r="D422" s="8" t="str">
        <f t="shared" si="53"/>
        <v/>
      </c>
      <c r="E422" s="10"/>
      <c r="F422" s="10"/>
      <c r="G422" s="8" t="str">
        <f>IF(OR($E422="",$F422=""),"",IFERROR(IF($E422=INDEX(Cluster_Master!$A$4:$A$18,MATCH($F422,Cluster_Master!$B$4:$B$18,0)),"OK","CHECK"),"CHECK"))</f>
        <v/>
      </c>
      <c r="H422" s="11" t="str">
        <f>IFERROR(INDEX(Cluster_Master!$C$4:$C$18,MATCH($F422,Cluster_Master!$B$4:$B$18,0)),"")</f>
        <v/>
      </c>
      <c r="I422" s="8" t="str">
        <f>IFERROR(INDEX(Cluster_Master!$D$4:$D$18,MATCH($F422,Cluster_Master!$B$4:$B$18,0)),"")</f>
        <v/>
      </c>
      <c r="J422" s="8" t="str">
        <f>IFERROR(INDEX(Cluster_Master!$E$4:$E$18,MATCH($F422,Cluster_Master!$B$4:$B$18,0)),"")</f>
        <v/>
      </c>
      <c r="K422" s="8" t="str">
        <f>IFERROR(INDEX(Cluster_Master!$F$4:$F$18,MATCH($F422,Cluster_Master!$B$4:$B$18,0)),"")</f>
        <v/>
      </c>
      <c r="L422" s="8" t="str">
        <f>IFERROR(INDEX(Cluster_Master!$G$4:$G$18,MATCH($F422,Cluster_Master!$B$4:$B$18,0)),"")</f>
        <v/>
      </c>
      <c r="M422" s="8" t="str">
        <f>IFERROR(INDEX(Cluster_Master!$H$4:$H$18,MATCH($F422,Cluster_Master!$B$4:$B$18,0)),"")</f>
        <v/>
      </c>
      <c r="N422" s="12"/>
      <c r="O422" s="12"/>
      <c r="P422" s="12"/>
      <c r="Q422" s="12"/>
      <c r="R422" s="12"/>
      <c r="S422" s="12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8" t="str">
        <f t="shared" si="54"/>
        <v/>
      </c>
      <c r="AJ422" s="14" t="str">
        <f t="shared" si="55"/>
        <v/>
      </c>
      <c r="AK422" s="14" t="str">
        <f>IF(COUNTA(T422:AH422)=0,"",(SUM(T422*KPI_Weights!$B$4,U422*KPI_Weights!$B$5,V422*KPI_Weights!$B$6,W422*KPI_Weights!$B$7,X422*KPI_Weights!$B$8,Y422*KPI_Weights!$B$9,Z422*KPI_Weights!$B$10,AA422*KPI_Weights!$B$11,AB422*KPI_Weights!$B$12,AC422*KPI_Weights!$B$13,AD422*KPI_Weights!$B$14,AE422*KPI_Weights!$B$15,AF422*KPI_Weights!$B$16,AG422*KPI_Weights!$B$17,AH422*KPI_Weights!$B$18))/5)</f>
        <v/>
      </c>
      <c r="AL422" s="8" t="str">
        <f t="shared" si="56"/>
        <v/>
      </c>
      <c r="AM422" s="8" t="str">
        <f t="shared" si="57"/>
        <v/>
      </c>
      <c r="AN422" s="8" t="str">
        <f t="shared" si="58"/>
        <v/>
      </c>
      <c r="AO422" s="12"/>
      <c r="AP422" s="12"/>
      <c r="AQ422" s="12"/>
      <c r="AR422" s="12"/>
      <c r="AS422" s="12"/>
      <c r="AT422" s="15"/>
      <c r="AU422" s="12"/>
      <c r="AV422" s="16"/>
      <c r="AW422" s="12"/>
      <c r="AX422" s="15"/>
      <c r="AY422" s="15"/>
      <c r="AZ422" s="15"/>
      <c r="BA422" s="15"/>
      <c r="BB422" s="15"/>
      <c r="BC422" s="15"/>
      <c r="BD422" s="15"/>
      <c r="BE422" s="15"/>
      <c r="BF422" s="15"/>
    </row>
    <row r="423" spans="1:58" ht="19.5" customHeight="1" x14ac:dyDescent="0.2">
      <c r="A423" s="8" t="str">
        <f>IF($B423="","",TEXT($B423,"yyyymmdd")&amp;"-"&amp;SUBSTITUTE($F423," ","")&amp;"-"&amp;TEXT(COUNTIF($F$4:F423,$F423),"00"))</f>
        <v/>
      </c>
      <c r="B423" s="9"/>
      <c r="C423" s="8" t="str">
        <f t="shared" si="52"/>
        <v/>
      </c>
      <c r="D423" s="8" t="str">
        <f t="shared" si="53"/>
        <v/>
      </c>
      <c r="E423" s="10"/>
      <c r="F423" s="10"/>
      <c r="G423" s="8" t="str">
        <f>IF(OR($E423="",$F423=""),"",IFERROR(IF($E423=INDEX(Cluster_Master!$A$4:$A$18,MATCH($F423,Cluster_Master!$B$4:$B$18,0)),"OK","CHECK"),"CHECK"))</f>
        <v/>
      </c>
      <c r="H423" s="11" t="str">
        <f>IFERROR(INDEX(Cluster_Master!$C$4:$C$18,MATCH($F423,Cluster_Master!$B$4:$B$18,0)),"")</f>
        <v/>
      </c>
      <c r="I423" s="8" t="str">
        <f>IFERROR(INDEX(Cluster_Master!$D$4:$D$18,MATCH($F423,Cluster_Master!$B$4:$B$18,0)),"")</f>
        <v/>
      </c>
      <c r="J423" s="8" t="str">
        <f>IFERROR(INDEX(Cluster_Master!$E$4:$E$18,MATCH($F423,Cluster_Master!$B$4:$B$18,0)),"")</f>
        <v/>
      </c>
      <c r="K423" s="8" t="str">
        <f>IFERROR(INDEX(Cluster_Master!$F$4:$F$18,MATCH($F423,Cluster_Master!$B$4:$B$18,0)),"")</f>
        <v/>
      </c>
      <c r="L423" s="8" t="str">
        <f>IFERROR(INDEX(Cluster_Master!$G$4:$G$18,MATCH($F423,Cluster_Master!$B$4:$B$18,0)),"")</f>
        <v/>
      </c>
      <c r="M423" s="8" t="str">
        <f>IFERROR(INDEX(Cluster_Master!$H$4:$H$18,MATCH($F423,Cluster_Master!$B$4:$B$18,0)),"")</f>
        <v/>
      </c>
      <c r="N423" s="12"/>
      <c r="O423" s="12"/>
      <c r="P423" s="12"/>
      <c r="Q423" s="12"/>
      <c r="R423" s="12"/>
      <c r="S423" s="12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8" t="str">
        <f t="shared" si="54"/>
        <v/>
      </c>
      <c r="AJ423" s="14" t="str">
        <f t="shared" si="55"/>
        <v/>
      </c>
      <c r="AK423" s="14" t="str">
        <f>IF(COUNTA(T423:AH423)=0,"",(SUM(T423*KPI_Weights!$B$4,U423*KPI_Weights!$B$5,V423*KPI_Weights!$B$6,W423*KPI_Weights!$B$7,X423*KPI_Weights!$B$8,Y423*KPI_Weights!$B$9,Z423*KPI_Weights!$B$10,AA423*KPI_Weights!$B$11,AB423*KPI_Weights!$B$12,AC423*KPI_Weights!$B$13,AD423*KPI_Weights!$B$14,AE423*KPI_Weights!$B$15,AF423*KPI_Weights!$B$16,AG423*KPI_Weights!$B$17,AH423*KPI_Weights!$B$18))/5)</f>
        <v/>
      </c>
      <c r="AL423" s="8" t="str">
        <f t="shared" si="56"/>
        <v/>
      </c>
      <c r="AM423" s="8" t="str">
        <f t="shared" si="57"/>
        <v/>
      </c>
      <c r="AN423" s="8" t="str">
        <f t="shared" si="58"/>
        <v/>
      </c>
      <c r="AO423" s="12"/>
      <c r="AP423" s="12"/>
      <c r="AQ423" s="12"/>
      <c r="AR423" s="12"/>
      <c r="AS423" s="12"/>
      <c r="AT423" s="15"/>
      <c r="AU423" s="12"/>
      <c r="AV423" s="16"/>
      <c r="AW423" s="12"/>
      <c r="AX423" s="15"/>
      <c r="AY423" s="15"/>
      <c r="AZ423" s="15"/>
      <c r="BA423" s="15"/>
      <c r="BB423" s="15"/>
      <c r="BC423" s="15"/>
      <c r="BD423" s="15"/>
      <c r="BE423" s="15"/>
      <c r="BF423" s="15"/>
    </row>
    <row r="424" spans="1:58" ht="19.5" customHeight="1" x14ac:dyDescent="0.2">
      <c r="A424" s="8" t="str">
        <f>IF($B424="","",TEXT($B424,"yyyymmdd")&amp;"-"&amp;SUBSTITUTE($F424," ","")&amp;"-"&amp;TEXT(COUNTIF($F$4:F424,$F424),"00"))</f>
        <v/>
      </c>
      <c r="B424" s="9"/>
      <c r="C424" s="8" t="str">
        <f t="shared" si="52"/>
        <v/>
      </c>
      <c r="D424" s="8" t="str">
        <f t="shared" si="53"/>
        <v/>
      </c>
      <c r="E424" s="10"/>
      <c r="F424" s="10"/>
      <c r="G424" s="8" t="str">
        <f>IF(OR($E424="",$F424=""),"",IFERROR(IF($E424=INDEX(Cluster_Master!$A$4:$A$18,MATCH($F424,Cluster_Master!$B$4:$B$18,0)),"OK","CHECK"),"CHECK"))</f>
        <v/>
      </c>
      <c r="H424" s="11" t="str">
        <f>IFERROR(INDEX(Cluster_Master!$C$4:$C$18,MATCH($F424,Cluster_Master!$B$4:$B$18,0)),"")</f>
        <v/>
      </c>
      <c r="I424" s="8" t="str">
        <f>IFERROR(INDEX(Cluster_Master!$D$4:$D$18,MATCH($F424,Cluster_Master!$B$4:$B$18,0)),"")</f>
        <v/>
      </c>
      <c r="J424" s="8" t="str">
        <f>IFERROR(INDEX(Cluster_Master!$E$4:$E$18,MATCH($F424,Cluster_Master!$B$4:$B$18,0)),"")</f>
        <v/>
      </c>
      <c r="K424" s="8" t="str">
        <f>IFERROR(INDEX(Cluster_Master!$F$4:$F$18,MATCH($F424,Cluster_Master!$B$4:$B$18,0)),"")</f>
        <v/>
      </c>
      <c r="L424" s="8" t="str">
        <f>IFERROR(INDEX(Cluster_Master!$G$4:$G$18,MATCH($F424,Cluster_Master!$B$4:$B$18,0)),"")</f>
        <v/>
      </c>
      <c r="M424" s="8" t="str">
        <f>IFERROR(INDEX(Cluster_Master!$H$4:$H$18,MATCH($F424,Cluster_Master!$B$4:$B$18,0)),"")</f>
        <v/>
      </c>
      <c r="N424" s="12"/>
      <c r="O424" s="12"/>
      <c r="P424" s="12"/>
      <c r="Q424" s="12"/>
      <c r="R424" s="12"/>
      <c r="S424" s="12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8" t="str">
        <f t="shared" si="54"/>
        <v/>
      </c>
      <c r="AJ424" s="14" t="str">
        <f t="shared" si="55"/>
        <v/>
      </c>
      <c r="AK424" s="14" t="str">
        <f>IF(COUNTA(T424:AH424)=0,"",(SUM(T424*KPI_Weights!$B$4,U424*KPI_Weights!$B$5,V424*KPI_Weights!$B$6,W424*KPI_Weights!$B$7,X424*KPI_Weights!$B$8,Y424*KPI_Weights!$B$9,Z424*KPI_Weights!$B$10,AA424*KPI_Weights!$B$11,AB424*KPI_Weights!$B$12,AC424*KPI_Weights!$B$13,AD424*KPI_Weights!$B$14,AE424*KPI_Weights!$B$15,AF424*KPI_Weights!$B$16,AG424*KPI_Weights!$B$17,AH424*KPI_Weights!$B$18))/5)</f>
        <v/>
      </c>
      <c r="AL424" s="8" t="str">
        <f t="shared" si="56"/>
        <v/>
      </c>
      <c r="AM424" s="8" t="str">
        <f t="shared" si="57"/>
        <v/>
      </c>
      <c r="AN424" s="8" t="str">
        <f t="shared" si="58"/>
        <v/>
      </c>
      <c r="AO424" s="12"/>
      <c r="AP424" s="12"/>
      <c r="AQ424" s="12"/>
      <c r="AR424" s="12"/>
      <c r="AS424" s="12"/>
      <c r="AT424" s="15"/>
      <c r="AU424" s="12"/>
      <c r="AV424" s="16"/>
      <c r="AW424" s="12"/>
      <c r="AX424" s="15"/>
      <c r="AY424" s="15"/>
      <c r="AZ424" s="15"/>
      <c r="BA424" s="15"/>
      <c r="BB424" s="15"/>
      <c r="BC424" s="15"/>
      <c r="BD424" s="15"/>
      <c r="BE424" s="15"/>
      <c r="BF424" s="15"/>
    </row>
    <row r="425" spans="1:58" ht="19.5" customHeight="1" x14ac:dyDescent="0.2">
      <c r="A425" s="8" t="str">
        <f>IF($B425="","",TEXT($B425,"yyyymmdd")&amp;"-"&amp;SUBSTITUTE($F425," ","")&amp;"-"&amp;TEXT(COUNTIF($F$4:F425,$F425),"00"))</f>
        <v/>
      </c>
      <c r="B425" s="9"/>
      <c r="C425" s="8" t="str">
        <f t="shared" si="52"/>
        <v/>
      </c>
      <c r="D425" s="8" t="str">
        <f t="shared" si="53"/>
        <v/>
      </c>
      <c r="E425" s="10"/>
      <c r="F425" s="10"/>
      <c r="G425" s="8" t="str">
        <f>IF(OR($E425="",$F425=""),"",IFERROR(IF($E425=INDEX(Cluster_Master!$A$4:$A$18,MATCH($F425,Cluster_Master!$B$4:$B$18,0)),"OK","CHECK"),"CHECK"))</f>
        <v/>
      </c>
      <c r="H425" s="11" t="str">
        <f>IFERROR(INDEX(Cluster_Master!$C$4:$C$18,MATCH($F425,Cluster_Master!$B$4:$B$18,0)),"")</f>
        <v/>
      </c>
      <c r="I425" s="8" t="str">
        <f>IFERROR(INDEX(Cluster_Master!$D$4:$D$18,MATCH($F425,Cluster_Master!$B$4:$B$18,0)),"")</f>
        <v/>
      </c>
      <c r="J425" s="8" t="str">
        <f>IFERROR(INDEX(Cluster_Master!$E$4:$E$18,MATCH($F425,Cluster_Master!$B$4:$B$18,0)),"")</f>
        <v/>
      </c>
      <c r="K425" s="8" t="str">
        <f>IFERROR(INDEX(Cluster_Master!$F$4:$F$18,MATCH($F425,Cluster_Master!$B$4:$B$18,0)),"")</f>
        <v/>
      </c>
      <c r="L425" s="8" t="str">
        <f>IFERROR(INDEX(Cluster_Master!$G$4:$G$18,MATCH($F425,Cluster_Master!$B$4:$B$18,0)),"")</f>
        <v/>
      </c>
      <c r="M425" s="8" t="str">
        <f>IFERROR(INDEX(Cluster_Master!$H$4:$H$18,MATCH($F425,Cluster_Master!$B$4:$B$18,0)),"")</f>
        <v/>
      </c>
      <c r="N425" s="12"/>
      <c r="O425" s="12"/>
      <c r="P425" s="12"/>
      <c r="Q425" s="12"/>
      <c r="R425" s="12"/>
      <c r="S425" s="12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8" t="str">
        <f t="shared" si="54"/>
        <v/>
      </c>
      <c r="AJ425" s="14" t="str">
        <f t="shared" si="55"/>
        <v/>
      </c>
      <c r="AK425" s="14" t="str">
        <f>IF(COUNTA(T425:AH425)=0,"",(SUM(T425*KPI_Weights!$B$4,U425*KPI_Weights!$B$5,V425*KPI_Weights!$B$6,W425*KPI_Weights!$B$7,X425*KPI_Weights!$B$8,Y425*KPI_Weights!$B$9,Z425*KPI_Weights!$B$10,AA425*KPI_Weights!$B$11,AB425*KPI_Weights!$B$12,AC425*KPI_Weights!$B$13,AD425*KPI_Weights!$B$14,AE425*KPI_Weights!$B$15,AF425*KPI_Weights!$B$16,AG425*KPI_Weights!$B$17,AH425*KPI_Weights!$B$18))/5)</f>
        <v/>
      </c>
      <c r="AL425" s="8" t="str">
        <f t="shared" si="56"/>
        <v/>
      </c>
      <c r="AM425" s="8" t="str">
        <f t="shared" si="57"/>
        <v/>
      </c>
      <c r="AN425" s="8" t="str">
        <f t="shared" si="58"/>
        <v/>
      </c>
      <c r="AO425" s="12"/>
      <c r="AP425" s="12"/>
      <c r="AQ425" s="12"/>
      <c r="AR425" s="12"/>
      <c r="AS425" s="12"/>
      <c r="AT425" s="15"/>
      <c r="AU425" s="12"/>
      <c r="AV425" s="16"/>
      <c r="AW425" s="12"/>
      <c r="AX425" s="15"/>
      <c r="AY425" s="15"/>
      <c r="AZ425" s="15"/>
      <c r="BA425" s="15"/>
      <c r="BB425" s="15"/>
      <c r="BC425" s="15"/>
      <c r="BD425" s="15"/>
      <c r="BE425" s="15"/>
      <c r="BF425" s="15"/>
    </row>
    <row r="426" spans="1:58" ht="19.5" customHeight="1" x14ac:dyDescent="0.2">
      <c r="A426" s="8" t="str">
        <f>IF($B426="","",TEXT($B426,"yyyymmdd")&amp;"-"&amp;SUBSTITUTE($F426," ","")&amp;"-"&amp;TEXT(COUNTIF($F$4:F426,$F426),"00"))</f>
        <v/>
      </c>
      <c r="B426" s="9"/>
      <c r="C426" s="8" t="str">
        <f t="shared" si="52"/>
        <v/>
      </c>
      <c r="D426" s="8" t="str">
        <f t="shared" si="53"/>
        <v/>
      </c>
      <c r="E426" s="10"/>
      <c r="F426" s="10"/>
      <c r="G426" s="8" t="str">
        <f>IF(OR($E426="",$F426=""),"",IFERROR(IF($E426=INDEX(Cluster_Master!$A$4:$A$18,MATCH($F426,Cluster_Master!$B$4:$B$18,0)),"OK","CHECK"),"CHECK"))</f>
        <v/>
      </c>
      <c r="H426" s="11" t="str">
        <f>IFERROR(INDEX(Cluster_Master!$C$4:$C$18,MATCH($F426,Cluster_Master!$B$4:$B$18,0)),"")</f>
        <v/>
      </c>
      <c r="I426" s="8" t="str">
        <f>IFERROR(INDEX(Cluster_Master!$D$4:$D$18,MATCH($F426,Cluster_Master!$B$4:$B$18,0)),"")</f>
        <v/>
      </c>
      <c r="J426" s="8" t="str">
        <f>IFERROR(INDEX(Cluster_Master!$E$4:$E$18,MATCH($F426,Cluster_Master!$B$4:$B$18,0)),"")</f>
        <v/>
      </c>
      <c r="K426" s="8" t="str">
        <f>IFERROR(INDEX(Cluster_Master!$F$4:$F$18,MATCH($F426,Cluster_Master!$B$4:$B$18,0)),"")</f>
        <v/>
      </c>
      <c r="L426" s="8" t="str">
        <f>IFERROR(INDEX(Cluster_Master!$G$4:$G$18,MATCH($F426,Cluster_Master!$B$4:$B$18,0)),"")</f>
        <v/>
      </c>
      <c r="M426" s="8" t="str">
        <f>IFERROR(INDEX(Cluster_Master!$H$4:$H$18,MATCH($F426,Cluster_Master!$B$4:$B$18,0)),"")</f>
        <v/>
      </c>
      <c r="N426" s="12"/>
      <c r="O426" s="12"/>
      <c r="P426" s="12"/>
      <c r="Q426" s="12"/>
      <c r="R426" s="12"/>
      <c r="S426" s="12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8" t="str">
        <f t="shared" si="54"/>
        <v/>
      </c>
      <c r="AJ426" s="14" t="str">
        <f t="shared" si="55"/>
        <v/>
      </c>
      <c r="AK426" s="14" t="str">
        <f>IF(COUNTA(T426:AH426)=0,"",(SUM(T426*KPI_Weights!$B$4,U426*KPI_Weights!$B$5,V426*KPI_Weights!$B$6,W426*KPI_Weights!$B$7,X426*KPI_Weights!$B$8,Y426*KPI_Weights!$B$9,Z426*KPI_Weights!$B$10,AA426*KPI_Weights!$B$11,AB426*KPI_Weights!$B$12,AC426*KPI_Weights!$B$13,AD426*KPI_Weights!$B$14,AE426*KPI_Weights!$B$15,AF426*KPI_Weights!$B$16,AG426*KPI_Weights!$B$17,AH426*KPI_Weights!$B$18))/5)</f>
        <v/>
      </c>
      <c r="AL426" s="8" t="str">
        <f t="shared" si="56"/>
        <v/>
      </c>
      <c r="AM426" s="8" t="str">
        <f t="shared" si="57"/>
        <v/>
      </c>
      <c r="AN426" s="8" t="str">
        <f t="shared" si="58"/>
        <v/>
      </c>
      <c r="AO426" s="12"/>
      <c r="AP426" s="12"/>
      <c r="AQ426" s="12"/>
      <c r="AR426" s="12"/>
      <c r="AS426" s="12"/>
      <c r="AT426" s="15"/>
      <c r="AU426" s="12"/>
      <c r="AV426" s="16"/>
      <c r="AW426" s="12"/>
      <c r="AX426" s="15"/>
      <c r="AY426" s="15"/>
      <c r="AZ426" s="15"/>
      <c r="BA426" s="15"/>
      <c r="BB426" s="15"/>
      <c r="BC426" s="15"/>
      <c r="BD426" s="15"/>
      <c r="BE426" s="15"/>
      <c r="BF426" s="15"/>
    </row>
    <row r="427" spans="1:58" ht="19.5" customHeight="1" x14ac:dyDescent="0.2">
      <c r="A427" s="8" t="str">
        <f>IF($B427="","",TEXT($B427,"yyyymmdd")&amp;"-"&amp;SUBSTITUTE($F427," ","")&amp;"-"&amp;TEXT(COUNTIF($F$4:F427,$F427),"00"))</f>
        <v/>
      </c>
      <c r="B427" s="9"/>
      <c r="C427" s="8" t="str">
        <f t="shared" si="52"/>
        <v/>
      </c>
      <c r="D427" s="8" t="str">
        <f t="shared" si="53"/>
        <v/>
      </c>
      <c r="E427" s="10"/>
      <c r="F427" s="10"/>
      <c r="G427" s="8" t="str">
        <f>IF(OR($E427="",$F427=""),"",IFERROR(IF($E427=INDEX(Cluster_Master!$A$4:$A$18,MATCH($F427,Cluster_Master!$B$4:$B$18,0)),"OK","CHECK"),"CHECK"))</f>
        <v/>
      </c>
      <c r="H427" s="11" t="str">
        <f>IFERROR(INDEX(Cluster_Master!$C$4:$C$18,MATCH($F427,Cluster_Master!$B$4:$B$18,0)),"")</f>
        <v/>
      </c>
      <c r="I427" s="8" t="str">
        <f>IFERROR(INDEX(Cluster_Master!$D$4:$D$18,MATCH($F427,Cluster_Master!$B$4:$B$18,0)),"")</f>
        <v/>
      </c>
      <c r="J427" s="8" t="str">
        <f>IFERROR(INDEX(Cluster_Master!$E$4:$E$18,MATCH($F427,Cluster_Master!$B$4:$B$18,0)),"")</f>
        <v/>
      </c>
      <c r="K427" s="8" t="str">
        <f>IFERROR(INDEX(Cluster_Master!$F$4:$F$18,MATCH($F427,Cluster_Master!$B$4:$B$18,0)),"")</f>
        <v/>
      </c>
      <c r="L427" s="8" t="str">
        <f>IFERROR(INDEX(Cluster_Master!$G$4:$G$18,MATCH($F427,Cluster_Master!$B$4:$B$18,0)),"")</f>
        <v/>
      </c>
      <c r="M427" s="8" t="str">
        <f>IFERROR(INDEX(Cluster_Master!$H$4:$H$18,MATCH($F427,Cluster_Master!$B$4:$B$18,0)),"")</f>
        <v/>
      </c>
      <c r="N427" s="12"/>
      <c r="O427" s="12"/>
      <c r="P427" s="12"/>
      <c r="Q427" s="12"/>
      <c r="R427" s="12"/>
      <c r="S427" s="12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8" t="str">
        <f t="shared" si="54"/>
        <v/>
      </c>
      <c r="AJ427" s="14" t="str">
        <f t="shared" si="55"/>
        <v/>
      </c>
      <c r="AK427" s="14" t="str">
        <f>IF(COUNTA(T427:AH427)=0,"",(SUM(T427*KPI_Weights!$B$4,U427*KPI_Weights!$B$5,V427*KPI_Weights!$B$6,W427*KPI_Weights!$B$7,X427*KPI_Weights!$B$8,Y427*KPI_Weights!$B$9,Z427*KPI_Weights!$B$10,AA427*KPI_Weights!$B$11,AB427*KPI_Weights!$B$12,AC427*KPI_Weights!$B$13,AD427*KPI_Weights!$B$14,AE427*KPI_Weights!$B$15,AF427*KPI_Weights!$B$16,AG427*KPI_Weights!$B$17,AH427*KPI_Weights!$B$18))/5)</f>
        <v/>
      </c>
      <c r="AL427" s="8" t="str">
        <f t="shared" si="56"/>
        <v/>
      </c>
      <c r="AM427" s="8" t="str">
        <f t="shared" si="57"/>
        <v/>
      </c>
      <c r="AN427" s="8" t="str">
        <f t="shared" si="58"/>
        <v/>
      </c>
      <c r="AO427" s="12"/>
      <c r="AP427" s="12"/>
      <c r="AQ427" s="12"/>
      <c r="AR427" s="12"/>
      <c r="AS427" s="12"/>
      <c r="AT427" s="15"/>
      <c r="AU427" s="12"/>
      <c r="AV427" s="16"/>
      <c r="AW427" s="12"/>
      <c r="AX427" s="15"/>
      <c r="AY427" s="15"/>
      <c r="AZ427" s="15"/>
      <c r="BA427" s="15"/>
      <c r="BB427" s="15"/>
      <c r="BC427" s="15"/>
      <c r="BD427" s="15"/>
      <c r="BE427" s="15"/>
      <c r="BF427" s="15"/>
    </row>
    <row r="428" spans="1:58" ht="19.5" customHeight="1" x14ac:dyDescent="0.2">
      <c r="A428" s="8" t="str">
        <f>IF($B428="","",TEXT($B428,"yyyymmdd")&amp;"-"&amp;SUBSTITUTE($F428," ","")&amp;"-"&amp;TEXT(COUNTIF($F$4:F428,$F428),"00"))</f>
        <v/>
      </c>
      <c r="B428" s="9"/>
      <c r="C428" s="8" t="str">
        <f t="shared" si="52"/>
        <v/>
      </c>
      <c r="D428" s="8" t="str">
        <f t="shared" si="53"/>
        <v/>
      </c>
      <c r="E428" s="10"/>
      <c r="F428" s="10"/>
      <c r="G428" s="8" t="str">
        <f>IF(OR($E428="",$F428=""),"",IFERROR(IF($E428=INDEX(Cluster_Master!$A$4:$A$18,MATCH($F428,Cluster_Master!$B$4:$B$18,0)),"OK","CHECK"),"CHECK"))</f>
        <v/>
      </c>
      <c r="H428" s="11" t="str">
        <f>IFERROR(INDEX(Cluster_Master!$C$4:$C$18,MATCH($F428,Cluster_Master!$B$4:$B$18,0)),"")</f>
        <v/>
      </c>
      <c r="I428" s="8" t="str">
        <f>IFERROR(INDEX(Cluster_Master!$D$4:$D$18,MATCH($F428,Cluster_Master!$B$4:$B$18,0)),"")</f>
        <v/>
      </c>
      <c r="J428" s="8" t="str">
        <f>IFERROR(INDEX(Cluster_Master!$E$4:$E$18,MATCH($F428,Cluster_Master!$B$4:$B$18,0)),"")</f>
        <v/>
      </c>
      <c r="K428" s="8" t="str">
        <f>IFERROR(INDEX(Cluster_Master!$F$4:$F$18,MATCH($F428,Cluster_Master!$B$4:$B$18,0)),"")</f>
        <v/>
      </c>
      <c r="L428" s="8" t="str">
        <f>IFERROR(INDEX(Cluster_Master!$G$4:$G$18,MATCH($F428,Cluster_Master!$B$4:$B$18,0)),"")</f>
        <v/>
      </c>
      <c r="M428" s="8" t="str">
        <f>IFERROR(INDEX(Cluster_Master!$H$4:$H$18,MATCH($F428,Cluster_Master!$B$4:$B$18,0)),"")</f>
        <v/>
      </c>
      <c r="N428" s="12"/>
      <c r="O428" s="12"/>
      <c r="P428" s="12"/>
      <c r="Q428" s="12"/>
      <c r="R428" s="12"/>
      <c r="S428" s="12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8" t="str">
        <f t="shared" si="54"/>
        <v/>
      </c>
      <c r="AJ428" s="14" t="str">
        <f t="shared" si="55"/>
        <v/>
      </c>
      <c r="AK428" s="14" t="str">
        <f>IF(COUNTA(T428:AH428)=0,"",(SUM(T428*KPI_Weights!$B$4,U428*KPI_Weights!$B$5,V428*KPI_Weights!$B$6,W428*KPI_Weights!$B$7,X428*KPI_Weights!$B$8,Y428*KPI_Weights!$B$9,Z428*KPI_Weights!$B$10,AA428*KPI_Weights!$B$11,AB428*KPI_Weights!$B$12,AC428*KPI_Weights!$B$13,AD428*KPI_Weights!$B$14,AE428*KPI_Weights!$B$15,AF428*KPI_Weights!$B$16,AG428*KPI_Weights!$B$17,AH428*KPI_Weights!$B$18))/5)</f>
        <v/>
      </c>
      <c r="AL428" s="8" t="str">
        <f t="shared" si="56"/>
        <v/>
      </c>
      <c r="AM428" s="8" t="str">
        <f t="shared" si="57"/>
        <v/>
      </c>
      <c r="AN428" s="8" t="str">
        <f t="shared" si="58"/>
        <v/>
      </c>
      <c r="AO428" s="12"/>
      <c r="AP428" s="12"/>
      <c r="AQ428" s="12"/>
      <c r="AR428" s="12"/>
      <c r="AS428" s="12"/>
      <c r="AT428" s="15"/>
      <c r="AU428" s="12"/>
      <c r="AV428" s="16"/>
      <c r="AW428" s="12"/>
      <c r="AX428" s="15"/>
      <c r="AY428" s="15"/>
      <c r="AZ428" s="15"/>
      <c r="BA428" s="15"/>
      <c r="BB428" s="15"/>
      <c r="BC428" s="15"/>
      <c r="BD428" s="15"/>
      <c r="BE428" s="15"/>
      <c r="BF428" s="15"/>
    </row>
    <row r="429" spans="1:58" ht="19.5" customHeight="1" x14ac:dyDescent="0.2">
      <c r="A429" s="8" t="str">
        <f>IF($B429="","",TEXT($B429,"yyyymmdd")&amp;"-"&amp;SUBSTITUTE($F429," ","")&amp;"-"&amp;TEXT(COUNTIF($F$4:F429,$F429),"00"))</f>
        <v/>
      </c>
      <c r="B429" s="9"/>
      <c r="C429" s="8" t="str">
        <f t="shared" si="52"/>
        <v/>
      </c>
      <c r="D429" s="8" t="str">
        <f t="shared" si="53"/>
        <v/>
      </c>
      <c r="E429" s="10"/>
      <c r="F429" s="10"/>
      <c r="G429" s="8" t="str">
        <f>IF(OR($E429="",$F429=""),"",IFERROR(IF($E429=INDEX(Cluster_Master!$A$4:$A$18,MATCH($F429,Cluster_Master!$B$4:$B$18,0)),"OK","CHECK"),"CHECK"))</f>
        <v/>
      </c>
      <c r="H429" s="11" t="str">
        <f>IFERROR(INDEX(Cluster_Master!$C$4:$C$18,MATCH($F429,Cluster_Master!$B$4:$B$18,0)),"")</f>
        <v/>
      </c>
      <c r="I429" s="8" t="str">
        <f>IFERROR(INDEX(Cluster_Master!$D$4:$D$18,MATCH($F429,Cluster_Master!$B$4:$B$18,0)),"")</f>
        <v/>
      </c>
      <c r="J429" s="8" t="str">
        <f>IFERROR(INDEX(Cluster_Master!$E$4:$E$18,MATCH($F429,Cluster_Master!$B$4:$B$18,0)),"")</f>
        <v/>
      </c>
      <c r="K429" s="8" t="str">
        <f>IFERROR(INDEX(Cluster_Master!$F$4:$F$18,MATCH($F429,Cluster_Master!$B$4:$B$18,0)),"")</f>
        <v/>
      </c>
      <c r="L429" s="8" t="str">
        <f>IFERROR(INDEX(Cluster_Master!$G$4:$G$18,MATCH($F429,Cluster_Master!$B$4:$B$18,0)),"")</f>
        <v/>
      </c>
      <c r="M429" s="8" t="str">
        <f>IFERROR(INDEX(Cluster_Master!$H$4:$H$18,MATCH($F429,Cluster_Master!$B$4:$B$18,0)),"")</f>
        <v/>
      </c>
      <c r="N429" s="12"/>
      <c r="O429" s="12"/>
      <c r="P429" s="12"/>
      <c r="Q429" s="12"/>
      <c r="R429" s="12"/>
      <c r="S429" s="12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8" t="str">
        <f t="shared" si="54"/>
        <v/>
      </c>
      <c r="AJ429" s="14" t="str">
        <f t="shared" si="55"/>
        <v/>
      </c>
      <c r="AK429" s="14" t="str">
        <f>IF(COUNTA(T429:AH429)=0,"",(SUM(T429*KPI_Weights!$B$4,U429*KPI_Weights!$B$5,V429*KPI_Weights!$B$6,W429*KPI_Weights!$B$7,X429*KPI_Weights!$B$8,Y429*KPI_Weights!$B$9,Z429*KPI_Weights!$B$10,AA429*KPI_Weights!$B$11,AB429*KPI_Weights!$B$12,AC429*KPI_Weights!$B$13,AD429*KPI_Weights!$B$14,AE429*KPI_Weights!$B$15,AF429*KPI_Weights!$B$16,AG429*KPI_Weights!$B$17,AH429*KPI_Weights!$B$18))/5)</f>
        <v/>
      </c>
      <c r="AL429" s="8" t="str">
        <f t="shared" si="56"/>
        <v/>
      </c>
      <c r="AM429" s="8" t="str">
        <f t="shared" si="57"/>
        <v/>
      </c>
      <c r="AN429" s="8" t="str">
        <f t="shared" si="58"/>
        <v/>
      </c>
      <c r="AO429" s="12"/>
      <c r="AP429" s="12"/>
      <c r="AQ429" s="12"/>
      <c r="AR429" s="12"/>
      <c r="AS429" s="12"/>
      <c r="AT429" s="15"/>
      <c r="AU429" s="12"/>
      <c r="AV429" s="16"/>
      <c r="AW429" s="12"/>
      <c r="AX429" s="15"/>
      <c r="AY429" s="15"/>
      <c r="AZ429" s="15"/>
      <c r="BA429" s="15"/>
      <c r="BB429" s="15"/>
      <c r="BC429" s="15"/>
      <c r="BD429" s="15"/>
      <c r="BE429" s="15"/>
      <c r="BF429" s="15"/>
    </row>
    <row r="430" spans="1:58" ht="19.5" customHeight="1" x14ac:dyDescent="0.2">
      <c r="A430" s="8" t="str">
        <f>IF($B430="","",TEXT($B430,"yyyymmdd")&amp;"-"&amp;SUBSTITUTE($F430," ","")&amp;"-"&amp;TEXT(COUNTIF($F$4:F430,$F430),"00"))</f>
        <v/>
      </c>
      <c r="B430" s="9"/>
      <c r="C430" s="8" t="str">
        <f t="shared" si="52"/>
        <v/>
      </c>
      <c r="D430" s="8" t="str">
        <f t="shared" si="53"/>
        <v/>
      </c>
      <c r="E430" s="10"/>
      <c r="F430" s="10"/>
      <c r="G430" s="8" t="str">
        <f>IF(OR($E430="",$F430=""),"",IFERROR(IF($E430=INDEX(Cluster_Master!$A$4:$A$18,MATCH($F430,Cluster_Master!$B$4:$B$18,0)),"OK","CHECK"),"CHECK"))</f>
        <v/>
      </c>
      <c r="H430" s="11" t="str">
        <f>IFERROR(INDEX(Cluster_Master!$C$4:$C$18,MATCH($F430,Cluster_Master!$B$4:$B$18,0)),"")</f>
        <v/>
      </c>
      <c r="I430" s="8" t="str">
        <f>IFERROR(INDEX(Cluster_Master!$D$4:$D$18,MATCH($F430,Cluster_Master!$B$4:$B$18,0)),"")</f>
        <v/>
      </c>
      <c r="J430" s="8" t="str">
        <f>IFERROR(INDEX(Cluster_Master!$E$4:$E$18,MATCH($F430,Cluster_Master!$B$4:$B$18,0)),"")</f>
        <v/>
      </c>
      <c r="K430" s="8" t="str">
        <f>IFERROR(INDEX(Cluster_Master!$F$4:$F$18,MATCH($F430,Cluster_Master!$B$4:$B$18,0)),"")</f>
        <v/>
      </c>
      <c r="L430" s="8" t="str">
        <f>IFERROR(INDEX(Cluster_Master!$G$4:$G$18,MATCH($F430,Cluster_Master!$B$4:$B$18,0)),"")</f>
        <v/>
      </c>
      <c r="M430" s="8" t="str">
        <f>IFERROR(INDEX(Cluster_Master!$H$4:$H$18,MATCH($F430,Cluster_Master!$B$4:$B$18,0)),"")</f>
        <v/>
      </c>
      <c r="N430" s="12"/>
      <c r="O430" s="12"/>
      <c r="P430" s="12"/>
      <c r="Q430" s="12"/>
      <c r="R430" s="12"/>
      <c r="S430" s="12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8" t="str">
        <f t="shared" si="54"/>
        <v/>
      </c>
      <c r="AJ430" s="14" t="str">
        <f t="shared" si="55"/>
        <v/>
      </c>
      <c r="AK430" s="14" t="str">
        <f>IF(COUNTA(T430:AH430)=0,"",(SUM(T430*KPI_Weights!$B$4,U430*KPI_Weights!$B$5,V430*KPI_Weights!$B$6,W430*KPI_Weights!$B$7,X430*KPI_Weights!$B$8,Y430*KPI_Weights!$B$9,Z430*KPI_Weights!$B$10,AA430*KPI_Weights!$B$11,AB430*KPI_Weights!$B$12,AC430*KPI_Weights!$B$13,AD430*KPI_Weights!$B$14,AE430*KPI_Weights!$B$15,AF430*KPI_Weights!$B$16,AG430*KPI_Weights!$B$17,AH430*KPI_Weights!$B$18))/5)</f>
        <v/>
      </c>
      <c r="AL430" s="8" t="str">
        <f t="shared" si="56"/>
        <v/>
      </c>
      <c r="AM430" s="8" t="str">
        <f t="shared" si="57"/>
        <v/>
      </c>
      <c r="AN430" s="8" t="str">
        <f t="shared" si="58"/>
        <v/>
      </c>
      <c r="AO430" s="12"/>
      <c r="AP430" s="12"/>
      <c r="AQ430" s="12"/>
      <c r="AR430" s="12"/>
      <c r="AS430" s="12"/>
      <c r="AT430" s="15"/>
      <c r="AU430" s="12"/>
      <c r="AV430" s="16"/>
      <c r="AW430" s="12"/>
      <c r="AX430" s="15"/>
      <c r="AY430" s="15"/>
      <c r="AZ430" s="15"/>
      <c r="BA430" s="15"/>
      <c r="BB430" s="15"/>
      <c r="BC430" s="15"/>
      <c r="BD430" s="15"/>
      <c r="BE430" s="15"/>
      <c r="BF430" s="15"/>
    </row>
    <row r="431" spans="1:58" ht="19.5" customHeight="1" x14ac:dyDescent="0.2">
      <c r="A431" s="8" t="str">
        <f>IF($B431="","",TEXT($B431,"yyyymmdd")&amp;"-"&amp;SUBSTITUTE($F431," ","")&amp;"-"&amp;TEXT(COUNTIF($F$4:F431,$F431),"00"))</f>
        <v/>
      </c>
      <c r="B431" s="9"/>
      <c r="C431" s="8" t="str">
        <f t="shared" si="52"/>
        <v/>
      </c>
      <c r="D431" s="8" t="str">
        <f t="shared" si="53"/>
        <v/>
      </c>
      <c r="E431" s="10"/>
      <c r="F431" s="10"/>
      <c r="G431" s="8" t="str">
        <f>IF(OR($E431="",$F431=""),"",IFERROR(IF($E431=INDEX(Cluster_Master!$A$4:$A$18,MATCH($F431,Cluster_Master!$B$4:$B$18,0)),"OK","CHECK"),"CHECK"))</f>
        <v/>
      </c>
      <c r="H431" s="11" t="str">
        <f>IFERROR(INDEX(Cluster_Master!$C$4:$C$18,MATCH($F431,Cluster_Master!$B$4:$B$18,0)),"")</f>
        <v/>
      </c>
      <c r="I431" s="8" t="str">
        <f>IFERROR(INDEX(Cluster_Master!$D$4:$D$18,MATCH($F431,Cluster_Master!$B$4:$B$18,0)),"")</f>
        <v/>
      </c>
      <c r="J431" s="8" t="str">
        <f>IFERROR(INDEX(Cluster_Master!$E$4:$E$18,MATCH($F431,Cluster_Master!$B$4:$B$18,0)),"")</f>
        <v/>
      </c>
      <c r="K431" s="8" t="str">
        <f>IFERROR(INDEX(Cluster_Master!$F$4:$F$18,MATCH($F431,Cluster_Master!$B$4:$B$18,0)),"")</f>
        <v/>
      </c>
      <c r="L431" s="8" t="str">
        <f>IFERROR(INDEX(Cluster_Master!$G$4:$G$18,MATCH($F431,Cluster_Master!$B$4:$B$18,0)),"")</f>
        <v/>
      </c>
      <c r="M431" s="8" t="str">
        <f>IFERROR(INDEX(Cluster_Master!$H$4:$H$18,MATCH($F431,Cluster_Master!$B$4:$B$18,0)),"")</f>
        <v/>
      </c>
      <c r="N431" s="12"/>
      <c r="O431" s="12"/>
      <c r="P431" s="12"/>
      <c r="Q431" s="12"/>
      <c r="R431" s="12"/>
      <c r="S431" s="12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8" t="str">
        <f t="shared" si="54"/>
        <v/>
      </c>
      <c r="AJ431" s="14" t="str">
        <f t="shared" si="55"/>
        <v/>
      </c>
      <c r="AK431" s="14" t="str">
        <f>IF(COUNTA(T431:AH431)=0,"",(SUM(T431*KPI_Weights!$B$4,U431*KPI_Weights!$B$5,V431*KPI_Weights!$B$6,W431*KPI_Weights!$B$7,X431*KPI_Weights!$B$8,Y431*KPI_Weights!$B$9,Z431*KPI_Weights!$B$10,AA431*KPI_Weights!$B$11,AB431*KPI_Weights!$B$12,AC431*KPI_Weights!$B$13,AD431*KPI_Weights!$B$14,AE431*KPI_Weights!$B$15,AF431*KPI_Weights!$B$16,AG431*KPI_Weights!$B$17,AH431*KPI_Weights!$B$18))/5)</f>
        <v/>
      </c>
      <c r="AL431" s="8" t="str">
        <f t="shared" si="56"/>
        <v/>
      </c>
      <c r="AM431" s="8" t="str">
        <f t="shared" si="57"/>
        <v/>
      </c>
      <c r="AN431" s="8" t="str">
        <f t="shared" si="58"/>
        <v/>
      </c>
      <c r="AO431" s="12"/>
      <c r="AP431" s="12"/>
      <c r="AQ431" s="12"/>
      <c r="AR431" s="12"/>
      <c r="AS431" s="12"/>
      <c r="AT431" s="15"/>
      <c r="AU431" s="12"/>
      <c r="AV431" s="16"/>
      <c r="AW431" s="12"/>
      <c r="AX431" s="15"/>
      <c r="AY431" s="15"/>
      <c r="AZ431" s="15"/>
      <c r="BA431" s="15"/>
      <c r="BB431" s="15"/>
      <c r="BC431" s="15"/>
      <c r="BD431" s="15"/>
      <c r="BE431" s="15"/>
      <c r="BF431" s="15"/>
    </row>
    <row r="432" spans="1:58" ht="19.5" customHeight="1" x14ac:dyDescent="0.2">
      <c r="A432" s="8" t="str">
        <f>IF($B432="","",TEXT($B432,"yyyymmdd")&amp;"-"&amp;SUBSTITUTE($F432," ","")&amp;"-"&amp;TEXT(COUNTIF($F$4:F432,$F432),"00"))</f>
        <v/>
      </c>
      <c r="B432" s="9"/>
      <c r="C432" s="8" t="str">
        <f t="shared" si="52"/>
        <v/>
      </c>
      <c r="D432" s="8" t="str">
        <f t="shared" si="53"/>
        <v/>
      </c>
      <c r="E432" s="10"/>
      <c r="F432" s="10"/>
      <c r="G432" s="8" t="str">
        <f>IF(OR($E432="",$F432=""),"",IFERROR(IF($E432=INDEX(Cluster_Master!$A$4:$A$18,MATCH($F432,Cluster_Master!$B$4:$B$18,0)),"OK","CHECK"),"CHECK"))</f>
        <v/>
      </c>
      <c r="H432" s="11" t="str">
        <f>IFERROR(INDEX(Cluster_Master!$C$4:$C$18,MATCH($F432,Cluster_Master!$B$4:$B$18,0)),"")</f>
        <v/>
      </c>
      <c r="I432" s="8" t="str">
        <f>IFERROR(INDEX(Cluster_Master!$D$4:$D$18,MATCH($F432,Cluster_Master!$B$4:$B$18,0)),"")</f>
        <v/>
      </c>
      <c r="J432" s="8" t="str">
        <f>IFERROR(INDEX(Cluster_Master!$E$4:$E$18,MATCH($F432,Cluster_Master!$B$4:$B$18,0)),"")</f>
        <v/>
      </c>
      <c r="K432" s="8" t="str">
        <f>IFERROR(INDEX(Cluster_Master!$F$4:$F$18,MATCH($F432,Cluster_Master!$B$4:$B$18,0)),"")</f>
        <v/>
      </c>
      <c r="L432" s="8" t="str">
        <f>IFERROR(INDEX(Cluster_Master!$G$4:$G$18,MATCH($F432,Cluster_Master!$B$4:$B$18,0)),"")</f>
        <v/>
      </c>
      <c r="M432" s="8" t="str">
        <f>IFERROR(INDEX(Cluster_Master!$H$4:$H$18,MATCH($F432,Cluster_Master!$B$4:$B$18,0)),"")</f>
        <v/>
      </c>
      <c r="N432" s="12"/>
      <c r="O432" s="12"/>
      <c r="P432" s="12"/>
      <c r="Q432" s="12"/>
      <c r="R432" s="12"/>
      <c r="S432" s="12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8" t="str">
        <f t="shared" si="54"/>
        <v/>
      </c>
      <c r="AJ432" s="14" t="str">
        <f t="shared" si="55"/>
        <v/>
      </c>
      <c r="AK432" s="14" t="str">
        <f>IF(COUNTA(T432:AH432)=0,"",(SUM(T432*KPI_Weights!$B$4,U432*KPI_Weights!$B$5,V432*KPI_Weights!$B$6,W432*KPI_Weights!$B$7,X432*KPI_Weights!$B$8,Y432*KPI_Weights!$B$9,Z432*KPI_Weights!$B$10,AA432*KPI_Weights!$B$11,AB432*KPI_Weights!$B$12,AC432*KPI_Weights!$B$13,AD432*KPI_Weights!$B$14,AE432*KPI_Weights!$B$15,AF432*KPI_Weights!$B$16,AG432*KPI_Weights!$B$17,AH432*KPI_Weights!$B$18))/5)</f>
        <v/>
      </c>
      <c r="AL432" s="8" t="str">
        <f t="shared" si="56"/>
        <v/>
      </c>
      <c r="AM432" s="8" t="str">
        <f t="shared" si="57"/>
        <v/>
      </c>
      <c r="AN432" s="8" t="str">
        <f t="shared" si="58"/>
        <v/>
      </c>
      <c r="AO432" s="12"/>
      <c r="AP432" s="12"/>
      <c r="AQ432" s="12"/>
      <c r="AR432" s="12"/>
      <c r="AS432" s="12"/>
      <c r="AT432" s="15"/>
      <c r="AU432" s="12"/>
      <c r="AV432" s="16"/>
      <c r="AW432" s="12"/>
      <c r="AX432" s="15"/>
      <c r="AY432" s="15"/>
      <c r="AZ432" s="15"/>
      <c r="BA432" s="15"/>
      <c r="BB432" s="15"/>
      <c r="BC432" s="15"/>
      <c r="BD432" s="15"/>
      <c r="BE432" s="15"/>
      <c r="BF432" s="15"/>
    </row>
    <row r="433" spans="1:58" ht="19.5" customHeight="1" x14ac:dyDescent="0.2">
      <c r="A433" s="8" t="str">
        <f>IF($B433="","",TEXT($B433,"yyyymmdd")&amp;"-"&amp;SUBSTITUTE($F433," ","")&amp;"-"&amp;TEXT(COUNTIF($F$4:F433,$F433),"00"))</f>
        <v/>
      </c>
      <c r="B433" s="9"/>
      <c r="C433" s="8" t="str">
        <f t="shared" si="52"/>
        <v/>
      </c>
      <c r="D433" s="8" t="str">
        <f t="shared" si="53"/>
        <v/>
      </c>
      <c r="E433" s="10"/>
      <c r="F433" s="10"/>
      <c r="G433" s="8" t="str">
        <f>IF(OR($E433="",$F433=""),"",IFERROR(IF($E433=INDEX(Cluster_Master!$A$4:$A$18,MATCH($F433,Cluster_Master!$B$4:$B$18,0)),"OK","CHECK"),"CHECK"))</f>
        <v/>
      </c>
      <c r="H433" s="11" t="str">
        <f>IFERROR(INDEX(Cluster_Master!$C$4:$C$18,MATCH($F433,Cluster_Master!$B$4:$B$18,0)),"")</f>
        <v/>
      </c>
      <c r="I433" s="8" t="str">
        <f>IFERROR(INDEX(Cluster_Master!$D$4:$D$18,MATCH($F433,Cluster_Master!$B$4:$B$18,0)),"")</f>
        <v/>
      </c>
      <c r="J433" s="8" t="str">
        <f>IFERROR(INDEX(Cluster_Master!$E$4:$E$18,MATCH($F433,Cluster_Master!$B$4:$B$18,0)),"")</f>
        <v/>
      </c>
      <c r="K433" s="8" t="str">
        <f>IFERROR(INDEX(Cluster_Master!$F$4:$F$18,MATCH($F433,Cluster_Master!$B$4:$B$18,0)),"")</f>
        <v/>
      </c>
      <c r="L433" s="8" t="str">
        <f>IFERROR(INDEX(Cluster_Master!$G$4:$G$18,MATCH($F433,Cluster_Master!$B$4:$B$18,0)),"")</f>
        <v/>
      </c>
      <c r="M433" s="8" t="str">
        <f>IFERROR(INDEX(Cluster_Master!$H$4:$H$18,MATCH($F433,Cluster_Master!$B$4:$B$18,0)),"")</f>
        <v/>
      </c>
      <c r="N433" s="12"/>
      <c r="O433" s="12"/>
      <c r="P433" s="12"/>
      <c r="Q433" s="12"/>
      <c r="R433" s="12"/>
      <c r="S433" s="12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8" t="str">
        <f t="shared" si="54"/>
        <v/>
      </c>
      <c r="AJ433" s="14" t="str">
        <f t="shared" si="55"/>
        <v/>
      </c>
      <c r="AK433" s="14" t="str">
        <f>IF(COUNTA(T433:AH433)=0,"",(SUM(T433*KPI_Weights!$B$4,U433*KPI_Weights!$B$5,V433*KPI_Weights!$B$6,W433*KPI_Weights!$B$7,X433*KPI_Weights!$B$8,Y433*KPI_Weights!$B$9,Z433*KPI_Weights!$B$10,AA433*KPI_Weights!$B$11,AB433*KPI_Weights!$B$12,AC433*KPI_Weights!$B$13,AD433*KPI_Weights!$B$14,AE433*KPI_Weights!$B$15,AF433*KPI_Weights!$B$16,AG433*KPI_Weights!$B$17,AH433*KPI_Weights!$B$18))/5)</f>
        <v/>
      </c>
      <c r="AL433" s="8" t="str">
        <f t="shared" si="56"/>
        <v/>
      </c>
      <c r="AM433" s="8" t="str">
        <f t="shared" si="57"/>
        <v/>
      </c>
      <c r="AN433" s="8" t="str">
        <f t="shared" si="58"/>
        <v/>
      </c>
      <c r="AO433" s="12"/>
      <c r="AP433" s="12"/>
      <c r="AQ433" s="12"/>
      <c r="AR433" s="12"/>
      <c r="AS433" s="12"/>
      <c r="AT433" s="15"/>
      <c r="AU433" s="12"/>
      <c r="AV433" s="16"/>
      <c r="AW433" s="12"/>
      <c r="AX433" s="15"/>
      <c r="AY433" s="15"/>
      <c r="AZ433" s="15"/>
      <c r="BA433" s="15"/>
      <c r="BB433" s="15"/>
      <c r="BC433" s="15"/>
      <c r="BD433" s="15"/>
      <c r="BE433" s="15"/>
      <c r="BF433" s="15"/>
    </row>
    <row r="434" spans="1:58" ht="19.5" customHeight="1" x14ac:dyDescent="0.2">
      <c r="A434" s="8" t="str">
        <f>IF($B434="","",TEXT($B434,"yyyymmdd")&amp;"-"&amp;SUBSTITUTE($F434," ","")&amp;"-"&amp;TEXT(COUNTIF($F$4:F434,$F434),"00"))</f>
        <v/>
      </c>
      <c r="B434" s="9"/>
      <c r="C434" s="8" t="str">
        <f t="shared" si="52"/>
        <v/>
      </c>
      <c r="D434" s="8" t="str">
        <f t="shared" si="53"/>
        <v/>
      </c>
      <c r="E434" s="10"/>
      <c r="F434" s="10"/>
      <c r="G434" s="8" t="str">
        <f>IF(OR($E434="",$F434=""),"",IFERROR(IF($E434=INDEX(Cluster_Master!$A$4:$A$18,MATCH($F434,Cluster_Master!$B$4:$B$18,0)),"OK","CHECK"),"CHECK"))</f>
        <v/>
      </c>
      <c r="H434" s="11" t="str">
        <f>IFERROR(INDEX(Cluster_Master!$C$4:$C$18,MATCH($F434,Cluster_Master!$B$4:$B$18,0)),"")</f>
        <v/>
      </c>
      <c r="I434" s="8" t="str">
        <f>IFERROR(INDEX(Cluster_Master!$D$4:$D$18,MATCH($F434,Cluster_Master!$B$4:$B$18,0)),"")</f>
        <v/>
      </c>
      <c r="J434" s="8" t="str">
        <f>IFERROR(INDEX(Cluster_Master!$E$4:$E$18,MATCH($F434,Cluster_Master!$B$4:$B$18,0)),"")</f>
        <v/>
      </c>
      <c r="K434" s="8" t="str">
        <f>IFERROR(INDEX(Cluster_Master!$F$4:$F$18,MATCH($F434,Cluster_Master!$B$4:$B$18,0)),"")</f>
        <v/>
      </c>
      <c r="L434" s="8" t="str">
        <f>IFERROR(INDEX(Cluster_Master!$G$4:$G$18,MATCH($F434,Cluster_Master!$B$4:$B$18,0)),"")</f>
        <v/>
      </c>
      <c r="M434" s="8" t="str">
        <f>IFERROR(INDEX(Cluster_Master!$H$4:$H$18,MATCH($F434,Cluster_Master!$B$4:$B$18,0)),"")</f>
        <v/>
      </c>
      <c r="N434" s="12"/>
      <c r="O434" s="12"/>
      <c r="P434" s="12"/>
      <c r="Q434" s="12"/>
      <c r="R434" s="12"/>
      <c r="S434" s="12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8" t="str">
        <f t="shared" si="54"/>
        <v/>
      </c>
      <c r="AJ434" s="14" t="str">
        <f t="shared" si="55"/>
        <v/>
      </c>
      <c r="AK434" s="14" t="str">
        <f>IF(COUNTA(T434:AH434)=0,"",(SUM(T434*KPI_Weights!$B$4,U434*KPI_Weights!$B$5,V434*KPI_Weights!$B$6,W434*KPI_Weights!$B$7,X434*KPI_Weights!$B$8,Y434*KPI_Weights!$B$9,Z434*KPI_Weights!$B$10,AA434*KPI_Weights!$B$11,AB434*KPI_Weights!$B$12,AC434*KPI_Weights!$B$13,AD434*KPI_Weights!$B$14,AE434*KPI_Weights!$B$15,AF434*KPI_Weights!$B$16,AG434*KPI_Weights!$B$17,AH434*KPI_Weights!$B$18))/5)</f>
        <v/>
      </c>
      <c r="AL434" s="8" t="str">
        <f t="shared" si="56"/>
        <v/>
      </c>
      <c r="AM434" s="8" t="str">
        <f t="shared" si="57"/>
        <v/>
      </c>
      <c r="AN434" s="8" t="str">
        <f t="shared" si="58"/>
        <v/>
      </c>
      <c r="AO434" s="12"/>
      <c r="AP434" s="12"/>
      <c r="AQ434" s="12"/>
      <c r="AR434" s="12"/>
      <c r="AS434" s="12"/>
      <c r="AT434" s="15"/>
      <c r="AU434" s="12"/>
      <c r="AV434" s="16"/>
      <c r="AW434" s="12"/>
      <c r="AX434" s="15"/>
      <c r="AY434" s="15"/>
      <c r="AZ434" s="15"/>
      <c r="BA434" s="15"/>
      <c r="BB434" s="15"/>
      <c r="BC434" s="15"/>
      <c r="BD434" s="15"/>
      <c r="BE434" s="15"/>
      <c r="BF434" s="15"/>
    </row>
    <row r="435" spans="1:58" ht="19.5" customHeight="1" x14ac:dyDescent="0.2">
      <c r="A435" s="8" t="str">
        <f>IF($B435="","",TEXT($B435,"yyyymmdd")&amp;"-"&amp;SUBSTITUTE($F435," ","")&amp;"-"&amp;TEXT(COUNTIF($F$4:F435,$F435),"00"))</f>
        <v/>
      </c>
      <c r="B435" s="9"/>
      <c r="C435" s="8" t="str">
        <f t="shared" si="52"/>
        <v/>
      </c>
      <c r="D435" s="8" t="str">
        <f t="shared" si="53"/>
        <v/>
      </c>
      <c r="E435" s="10"/>
      <c r="F435" s="10"/>
      <c r="G435" s="8" t="str">
        <f>IF(OR($E435="",$F435=""),"",IFERROR(IF($E435=INDEX(Cluster_Master!$A$4:$A$18,MATCH($F435,Cluster_Master!$B$4:$B$18,0)),"OK","CHECK"),"CHECK"))</f>
        <v/>
      </c>
      <c r="H435" s="11" t="str">
        <f>IFERROR(INDEX(Cluster_Master!$C$4:$C$18,MATCH($F435,Cluster_Master!$B$4:$B$18,0)),"")</f>
        <v/>
      </c>
      <c r="I435" s="8" t="str">
        <f>IFERROR(INDEX(Cluster_Master!$D$4:$D$18,MATCH($F435,Cluster_Master!$B$4:$B$18,0)),"")</f>
        <v/>
      </c>
      <c r="J435" s="8" t="str">
        <f>IFERROR(INDEX(Cluster_Master!$E$4:$E$18,MATCH($F435,Cluster_Master!$B$4:$B$18,0)),"")</f>
        <v/>
      </c>
      <c r="K435" s="8" t="str">
        <f>IFERROR(INDEX(Cluster_Master!$F$4:$F$18,MATCH($F435,Cluster_Master!$B$4:$B$18,0)),"")</f>
        <v/>
      </c>
      <c r="L435" s="8" t="str">
        <f>IFERROR(INDEX(Cluster_Master!$G$4:$G$18,MATCH($F435,Cluster_Master!$B$4:$B$18,0)),"")</f>
        <v/>
      </c>
      <c r="M435" s="8" t="str">
        <f>IFERROR(INDEX(Cluster_Master!$H$4:$H$18,MATCH($F435,Cluster_Master!$B$4:$B$18,0)),"")</f>
        <v/>
      </c>
      <c r="N435" s="12"/>
      <c r="O435" s="12"/>
      <c r="P435" s="12"/>
      <c r="Q435" s="12"/>
      <c r="R435" s="12"/>
      <c r="S435" s="12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8" t="str">
        <f t="shared" si="54"/>
        <v/>
      </c>
      <c r="AJ435" s="14" t="str">
        <f t="shared" si="55"/>
        <v/>
      </c>
      <c r="AK435" s="14" t="str">
        <f>IF(COUNTA(T435:AH435)=0,"",(SUM(T435*KPI_Weights!$B$4,U435*KPI_Weights!$B$5,V435*KPI_Weights!$B$6,W435*KPI_Weights!$B$7,X435*KPI_Weights!$B$8,Y435*KPI_Weights!$B$9,Z435*KPI_Weights!$B$10,AA435*KPI_Weights!$B$11,AB435*KPI_Weights!$B$12,AC435*KPI_Weights!$B$13,AD435*KPI_Weights!$B$14,AE435*KPI_Weights!$B$15,AF435*KPI_Weights!$B$16,AG435*KPI_Weights!$B$17,AH435*KPI_Weights!$B$18))/5)</f>
        <v/>
      </c>
      <c r="AL435" s="8" t="str">
        <f t="shared" si="56"/>
        <v/>
      </c>
      <c r="AM435" s="8" t="str">
        <f t="shared" si="57"/>
        <v/>
      </c>
      <c r="AN435" s="8" t="str">
        <f t="shared" si="58"/>
        <v/>
      </c>
      <c r="AO435" s="12"/>
      <c r="AP435" s="12"/>
      <c r="AQ435" s="12"/>
      <c r="AR435" s="12"/>
      <c r="AS435" s="12"/>
      <c r="AT435" s="15"/>
      <c r="AU435" s="12"/>
      <c r="AV435" s="16"/>
      <c r="AW435" s="12"/>
      <c r="AX435" s="15"/>
      <c r="AY435" s="15"/>
      <c r="AZ435" s="15"/>
      <c r="BA435" s="15"/>
      <c r="BB435" s="15"/>
      <c r="BC435" s="15"/>
      <c r="BD435" s="15"/>
      <c r="BE435" s="15"/>
      <c r="BF435" s="15"/>
    </row>
    <row r="436" spans="1:58" ht="19.5" customHeight="1" x14ac:dyDescent="0.2">
      <c r="A436" s="8" t="str">
        <f>IF($B436="","",TEXT($B436,"yyyymmdd")&amp;"-"&amp;SUBSTITUTE($F436," ","")&amp;"-"&amp;TEXT(COUNTIF($F$4:F436,$F436),"00"))</f>
        <v/>
      </c>
      <c r="B436" s="9"/>
      <c r="C436" s="8" t="str">
        <f t="shared" si="52"/>
        <v/>
      </c>
      <c r="D436" s="8" t="str">
        <f t="shared" si="53"/>
        <v/>
      </c>
      <c r="E436" s="10"/>
      <c r="F436" s="10"/>
      <c r="G436" s="8" t="str">
        <f>IF(OR($E436="",$F436=""),"",IFERROR(IF($E436=INDEX(Cluster_Master!$A$4:$A$18,MATCH($F436,Cluster_Master!$B$4:$B$18,0)),"OK","CHECK"),"CHECK"))</f>
        <v/>
      </c>
      <c r="H436" s="11" t="str">
        <f>IFERROR(INDEX(Cluster_Master!$C$4:$C$18,MATCH($F436,Cluster_Master!$B$4:$B$18,0)),"")</f>
        <v/>
      </c>
      <c r="I436" s="8" t="str">
        <f>IFERROR(INDEX(Cluster_Master!$D$4:$D$18,MATCH($F436,Cluster_Master!$B$4:$B$18,0)),"")</f>
        <v/>
      </c>
      <c r="J436" s="8" t="str">
        <f>IFERROR(INDEX(Cluster_Master!$E$4:$E$18,MATCH($F436,Cluster_Master!$B$4:$B$18,0)),"")</f>
        <v/>
      </c>
      <c r="K436" s="8" t="str">
        <f>IFERROR(INDEX(Cluster_Master!$F$4:$F$18,MATCH($F436,Cluster_Master!$B$4:$B$18,0)),"")</f>
        <v/>
      </c>
      <c r="L436" s="8" t="str">
        <f>IFERROR(INDEX(Cluster_Master!$G$4:$G$18,MATCH($F436,Cluster_Master!$B$4:$B$18,0)),"")</f>
        <v/>
      </c>
      <c r="M436" s="8" t="str">
        <f>IFERROR(INDEX(Cluster_Master!$H$4:$H$18,MATCH($F436,Cluster_Master!$B$4:$B$18,0)),"")</f>
        <v/>
      </c>
      <c r="N436" s="12"/>
      <c r="O436" s="12"/>
      <c r="P436" s="12"/>
      <c r="Q436" s="12"/>
      <c r="R436" s="12"/>
      <c r="S436" s="12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8" t="str">
        <f t="shared" si="54"/>
        <v/>
      </c>
      <c r="AJ436" s="14" t="str">
        <f t="shared" si="55"/>
        <v/>
      </c>
      <c r="AK436" s="14" t="str">
        <f>IF(COUNTA(T436:AH436)=0,"",(SUM(T436*KPI_Weights!$B$4,U436*KPI_Weights!$B$5,V436*KPI_Weights!$B$6,W436*KPI_Weights!$B$7,X436*KPI_Weights!$B$8,Y436*KPI_Weights!$B$9,Z436*KPI_Weights!$B$10,AA436*KPI_Weights!$B$11,AB436*KPI_Weights!$B$12,AC436*KPI_Weights!$B$13,AD436*KPI_Weights!$B$14,AE436*KPI_Weights!$B$15,AF436*KPI_Weights!$B$16,AG436*KPI_Weights!$B$17,AH436*KPI_Weights!$B$18))/5)</f>
        <v/>
      </c>
      <c r="AL436" s="8" t="str">
        <f t="shared" si="56"/>
        <v/>
      </c>
      <c r="AM436" s="8" t="str">
        <f t="shared" si="57"/>
        <v/>
      </c>
      <c r="AN436" s="8" t="str">
        <f t="shared" si="58"/>
        <v/>
      </c>
      <c r="AO436" s="12"/>
      <c r="AP436" s="12"/>
      <c r="AQ436" s="12"/>
      <c r="AR436" s="12"/>
      <c r="AS436" s="12"/>
      <c r="AT436" s="15"/>
      <c r="AU436" s="12"/>
      <c r="AV436" s="16"/>
      <c r="AW436" s="12"/>
      <c r="AX436" s="15"/>
      <c r="AY436" s="15"/>
      <c r="AZ436" s="15"/>
      <c r="BA436" s="15"/>
      <c r="BB436" s="15"/>
      <c r="BC436" s="15"/>
      <c r="BD436" s="15"/>
      <c r="BE436" s="15"/>
      <c r="BF436" s="15"/>
    </row>
    <row r="437" spans="1:58" ht="19.5" customHeight="1" x14ac:dyDescent="0.2">
      <c r="A437" s="8" t="str">
        <f>IF($B437="","",TEXT($B437,"yyyymmdd")&amp;"-"&amp;SUBSTITUTE($F437," ","")&amp;"-"&amp;TEXT(COUNTIF($F$4:F437,$F437),"00"))</f>
        <v/>
      </c>
      <c r="B437" s="9"/>
      <c r="C437" s="8" t="str">
        <f t="shared" si="52"/>
        <v/>
      </c>
      <c r="D437" s="8" t="str">
        <f t="shared" si="53"/>
        <v/>
      </c>
      <c r="E437" s="10"/>
      <c r="F437" s="10"/>
      <c r="G437" s="8" t="str">
        <f>IF(OR($E437="",$F437=""),"",IFERROR(IF($E437=INDEX(Cluster_Master!$A$4:$A$18,MATCH($F437,Cluster_Master!$B$4:$B$18,0)),"OK","CHECK"),"CHECK"))</f>
        <v/>
      </c>
      <c r="H437" s="11" t="str">
        <f>IFERROR(INDEX(Cluster_Master!$C$4:$C$18,MATCH($F437,Cluster_Master!$B$4:$B$18,0)),"")</f>
        <v/>
      </c>
      <c r="I437" s="8" t="str">
        <f>IFERROR(INDEX(Cluster_Master!$D$4:$D$18,MATCH($F437,Cluster_Master!$B$4:$B$18,0)),"")</f>
        <v/>
      </c>
      <c r="J437" s="8" t="str">
        <f>IFERROR(INDEX(Cluster_Master!$E$4:$E$18,MATCH($F437,Cluster_Master!$B$4:$B$18,0)),"")</f>
        <v/>
      </c>
      <c r="K437" s="8" t="str">
        <f>IFERROR(INDEX(Cluster_Master!$F$4:$F$18,MATCH($F437,Cluster_Master!$B$4:$B$18,0)),"")</f>
        <v/>
      </c>
      <c r="L437" s="8" t="str">
        <f>IFERROR(INDEX(Cluster_Master!$G$4:$G$18,MATCH($F437,Cluster_Master!$B$4:$B$18,0)),"")</f>
        <v/>
      </c>
      <c r="M437" s="8" t="str">
        <f>IFERROR(INDEX(Cluster_Master!$H$4:$H$18,MATCH($F437,Cluster_Master!$B$4:$B$18,0)),"")</f>
        <v/>
      </c>
      <c r="N437" s="12"/>
      <c r="O437" s="12"/>
      <c r="P437" s="12"/>
      <c r="Q437" s="12"/>
      <c r="R437" s="12"/>
      <c r="S437" s="12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8" t="str">
        <f t="shared" si="54"/>
        <v/>
      </c>
      <c r="AJ437" s="14" t="str">
        <f t="shared" si="55"/>
        <v/>
      </c>
      <c r="AK437" s="14" t="str">
        <f>IF(COUNTA(T437:AH437)=0,"",(SUM(T437*KPI_Weights!$B$4,U437*KPI_Weights!$B$5,V437*KPI_Weights!$B$6,W437*KPI_Weights!$B$7,X437*KPI_Weights!$B$8,Y437*KPI_Weights!$B$9,Z437*KPI_Weights!$B$10,AA437*KPI_Weights!$B$11,AB437*KPI_Weights!$B$12,AC437*KPI_Weights!$B$13,AD437*KPI_Weights!$B$14,AE437*KPI_Weights!$B$15,AF437*KPI_Weights!$B$16,AG437*KPI_Weights!$B$17,AH437*KPI_Weights!$B$18))/5)</f>
        <v/>
      </c>
      <c r="AL437" s="8" t="str">
        <f t="shared" si="56"/>
        <v/>
      </c>
      <c r="AM437" s="8" t="str">
        <f t="shared" si="57"/>
        <v/>
      </c>
      <c r="AN437" s="8" t="str">
        <f t="shared" si="58"/>
        <v/>
      </c>
      <c r="AO437" s="12"/>
      <c r="AP437" s="12"/>
      <c r="AQ437" s="12"/>
      <c r="AR437" s="12"/>
      <c r="AS437" s="12"/>
      <c r="AT437" s="15"/>
      <c r="AU437" s="12"/>
      <c r="AV437" s="16"/>
      <c r="AW437" s="12"/>
      <c r="AX437" s="15"/>
      <c r="AY437" s="15"/>
      <c r="AZ437" s="15"/>
      <c r="BA437" s="15"/>
      <c r="BB437" s="15"/>
      <c r="BC437" s="15"/>
      <c r="BD437" s="15"/>
      <c r="BE437" s="15"/>
      <c r="BF437" s="15"/>
    </row>
    <row r="438" spans="1:58" ht="19.5" customHeight="1" x14ac:dyDescent="0.2">
      <c r="A438" s="8" t="str">
        <f>IF($B438="","",TEXT($B438,"yyyymmdd")&amp;"-"&amp;SUBSTITUTE($F438," ","")&amp;"-"&amp;TEXT(COUNTIF($F$4:F438,$F438),"00"))</f>
        <v/>
      </c>
      <c r="B438" s="9"/>
      <c r="C438" s="8" t="str">
        <f t="shared" si="52"/>
        <v/>
      </c>
      <c r="D438" s="8" t="str">
        <f t="shared" si="53"/>
        <v/>
      </c>
      <c r="E438" s="10"/>
      <c r="F438" s="10"/>
      <c r="G438" s="8" t="str">
        <f>IF(OR($E438="",$F438=""),"",IFERROR(IF($E438=INDEX(Cluster_Master!$A$4:$A$18,MATCH($F438,Cluster_Master!$B$4:$B$18,0)),"OK","CHECK"),"CHECK"))</f>
        <v/>
      </c>
      <c r="H438" s="11" t="str">
        <f>IFERROR(INDEX(Cluster_Master!$C$4:$C$18,MATCH($F438,Cluster_Master!$B$4:$B$18,0)),"")</f>
        <v/>
      </c>
      <c r="I438" s="8" t="str">
        <f>IFERROR(INDEX(Cluster_Master!$D$4:$D$18,MATCH($F438,Cluster_Master!$B$4:$B$18,0)),"")</f>
        <v/>
      </c>
      <c r="J438" s="8" t="str">
        <f>IFERROR(INDEX(Cluster_Master!$E$4:$E$18,MATCH($F438,Cluster_Master!$B$4:$B$18,0)),"")</f>
        <v/>
      </c>
      <c r="K438" s="8" t="str">
        <f>IFERROR(INDEX(Cluster_Master!$F$4:$F$18,MATCH($F438,Cluster_Master!$B$4:$B$18,0)),"")</f>
        <v/>
      </c>
      <c r="L438" s="8" t="str">
        <f>IFERROR(INDEX(Cluster_Master!$G$4:$G$18,MATCH($F438,Cluster_Master!$B$4:$B$18,0)),"")</f>
        <v/>
      </c>
      <c r="M438" s="8" t="str">
        <f>IFERROR(INDEX(Cluster_Master!$H$4:$H$18,MATCH($F438,Cluster_Master!$B$4:$B$18,0)),"")</f>
        <v/>
      </c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8" t="str">
        <f t="shared" si="54"/>
        <v/>
      </c>
      <c r="AJ438" s="14" t="str">
        <f t="shared" si="55"/>
        <v/>
      </c>
      <c r="AK438" s="14" t="str">
        <f>IF(COUNTA(T438:AH438)=0,"",(SUM(T438*KPI_Weights!$B$4,U438*KPI_Weights!$B$5,V438*KPI_Weights!$B$6,W438*KPI_Weights!$B$7,X438*KPI_Weights!$B$8,Y438*KPI_Weights!$B$9,Z438*KPI_Weights!$B$10,AA438*KPI_Weights!$B$11,AB438*KPI_Weights!$B$12,AC438*KPI_Weights!$B$13,AD438*KPI_Weights!$B$14,AE438*KPI_Weights!$B$15,AF438*KPI_Weights!$B$16,AG438*KPI_Weights!$B$17,AH438*KPI_Weights!$B$18))/5)</f>
        <v/>
      </c>
      <c r="AL438" s="8" t="str">
        <f t="shared" si="56"/>
        <v/>
      </c>
      <c r="AM438" s="8" t="str">
        <f t="shared" si="57"/>
        <v/>
      </c>
      <c r="AN438" s="8" t="str">
        <f t="shared" si="58"/>
        <v/>
      </c>
      <c r="AO438" s="12"/>
      <c r="AP438" s="12"/>
      <c r="AQ438" s="12"/>
      <c r="AR438" s="12"/>
      <c r="AS438" s="12"/>
      <c r="AT438" s="15"/>
      <c r="AU438" s="12"/>
      <c r="AV438" s="16"/>
      <c r="AW438" s="12"/>
      <c r="AX438" s="15"/>
      <c r="AY438" s="15"/>
      <c r="AZ438" s="15"/>
      <c r="BA438" s="15"/>
      <c r="BB438" s="15"/>
      <c r="BC438" s="15"/>
      <c r="BD438" s="15"/>
      <c r="BE438" s="15"/>
      <c r="BF438" s="15"/>
    </row>
    <row r="439" spans="1:58" ht="19.5" customHeight="1" x14ac:dyDescent="0.2">
      <c r="A439" s="8" t="str">
        <f>IF($B439="","",TEXT($B439,"yyyymmdd")&amp;"-"&amp;SUBSTITUTE($F439," ","")&amp;"-"&amp;TEXT(COUNTIF($F$4:F439,$F439),"00"))</f>
        <v/>
      </c>
      <c r="B439" s="9"/>
      <c r="C439" s="8" t="str">
        <f t="shared" si="52"/>
        <v/>
      </c>
      <c r="D439" s="8" t="str">
        <f t="shared" si="53"/>
        <v/>
      </c>
      <c r="E439" s="10"/>
      <c r="F439" s="10"/>
      <c r="G439" s="8" t="str">
        <f>IF(OR($E439="",$F439=""),"",IFERROR(IF($E439=INDEX(Cluster_Master!$A$4:$A$18,MATCH($F439,Cluster_Master!$B$4:$B$18,0)),"OK","CHECK"),"CHECK"))</f>
        <v/>
      </c>
      <c r="H439" s="11" t="str">
        <f>IFERROR(INDEX(Cluster_Master!$C$4:$C$18,MATCH($F439,Cluster_Master!$B$4:$B$18,0)),"")</f>
        <v/>
      </c>
      <c r="I439" s="8" t="str">
        <f>IFERROR(INDEX(Cluster_Master!$D$4:$D$18,MATCH($F439,Cluster_Master!$B$4:$B$18,0)),"")</f>
        <v/>
      </c>
      <c r="J439" s="8" t="str">
        <f>IFERROR(INDEX(Cluster_Master!$E$4:$E$18,MATCH($F439,Cluster_Master!$B$4:$B$18,0)),"")</f>
        <v/>
      </c>
      <c r="K439" s="8" t="str">
        <f>IFERROR(INDEX(Cluster_Master!$F$4:$F$18,MATCH($F439,Cluster_Master!$B$4:$B$18,0)),"")</f>
        <v/>
      </c>
      <c r="L439" s="8" t="str">
        <f>IFERROR(INDEX(Cluster_Master!$G$4:$G$18,MATCH($F439,Cluster_Master!$B$4:$B$18,0)),"")</f>
        <v/>
      </c>
      <c r="M439" s="8" t="str">
        <f>IFERROR(INDEX(Cluster_Master!$H$4:$H$18,MATCH($F439,Cluster_Master!$B$4:$B$18,0)),"")</f>
        <v/>
      </c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8" t="str">
        <f t="shared" si="54"/>
        <v/>
      </c>
      <c r="AJ439" s="14" t="str">
        <f t="shared" si="55"/>
        <v/>
      </c>
      <c r="AK439" s="14" t="str">
        <f>IF(COUNTA(T439:AH439)=0,"",(SUM(T439*KPI_Weights!$B$4,U439*KPI_Weights!$B$5,V439*KPI_Weights!$B$6,W439*KPI_Weights!$B$7,X439*KPI_Weights!$B$8,Y439*KPI_Weights!$B$9,Z439*KPI_Weights!$B$10,AA439*KPI_Weights!$B$11,AB439*KPI_Weights!$B$12,AC439*KPI_Weights!$B$13,AD439*KPI_Weights!$B$14,AE439*KPI_Weights!$B$15,AF439*KPI_Weights!$B$16,AG439*KPI_Weights!$B$17,AH439*KPI_Weights!$B$18))/5)</f>
        <v/>
      </c>
      <c r="AL439" s="8" t="str">
        <f t="shared" si="56"/>
        <v/>
      </c>
      <c r="AM439" s="8" t="str">
        <f t="shared" si="57"/>
        <v/>
      </c>
      <c r="AN439" s="8" t="str">
        <f t="shared" si="58"/>
        <v/>
      </c>
      <c r="AO439" s="12"/>
      <c r="AP439" s="12"/>
      <c r="AQ439" s="12"/>
      <c r="AR439" s="12"/>
      <c r="AS439" s="12"/>
      <c r="AT439" s="15"/>
      <c r="AU439" s="12"/>
      <c r="AV439" s="16"/>
      <c r="AW439" s="12"/>
      <c r="AX439" s="15"/>
      <c r="AY439" s="15"/>
      <c r="AZ439" s="15"/>
      <c r="BA439" s="15"/>
      <c r="BB439" s="15"/>
      <c r="BC439" s="15"/>
      <c r="BD439" s="15"/>
      <c r="BE439" s="15"/>
      <c r="BF439" s="15"/>
    </row>
    <row r="440" spans="1:58" ht="19.5" customHeight="1" x14ac:dyDescent="0.2">
      <c r="A440" s="8" t="str">
        <f>IF($B440="","",TEXT($B440,"yyyymmdd")&amp;"-"&amp;SUBSTITUTE($F440," ","")&amp;"-"&amp;TEXT(COUNTIF($F$4:F440,$F440),"00"))</f>
        <v/>
      </c>
      <c r="B440" s="9"/>
      <c r="C440" s="8" t="str">
        <f t="shared" si="52"/>
        <v/>
      </c>
      <c r="D440" s="8" t="str">
        <f t="shared" si="53"/>
        <v/>
      </c>
      <c r="E440" s="10"/>
      <c r="F440" s="10"/>
      <c r="G440" s="8" t="str">
        <f>IF(OR($E440="",$F440=""),"",IFERROR(IF($E440=INDEX(Cluster_Master!$A$4:$A$18,MATCH($F440,Cluster_Master!$B$4:$B$18,0)),"OK","CHECK"),"CHECK"))</f>
        <v/>
      </c>
      <c r="H440" s="11" t="str">
        <f>IFERROR(INDEX(Cluster_Master!$C$4:$C$18,MATCH($F440,Cluster_Master!$B$4:$B$18,0)),"")</f>
        <v/>
      </c>
      <c r="I440" s="8" t="str">
        <f>IFERROR(INDEX(Cluster_Master!$D$4:$D$18,MATCH($F440,Cluster_Master!$B$4:$B$18,0)),"")</f>
        <v/>
      </c>
      <c r="J440" s="8" t="str">
        <f>IFERROR(INDEX(Cluster_Master!$E$4:$E$18,MATCH($F440,Cluster_Master!$B$4:$B$18,0)),"")</f>
        <v/>
      </c>
      <c r="K440" s="8" t="str">
        <f>IFERROR(INDEX(Cluster_Master!$F$4:$F$18,MATCH($F440,Cluster_Master!$B$4:$B$18,0)),"")</f>
        <v/>
      </c>
      <c r="L440" s="8" t="str">
        <f>IFERROR(INDEX(Cluster_Master!$G$4:$G$18,MATCH($F440,Cluster_Master!$B$4:$B$18,0)),"")</f>
        <v/>
      </c>
      <c r="M440" s="8" t="str">
        <f>IFERROR(INDEX(Cluster_Master!$H$4:$H$18,MATCH($F440,Cluster_Master!$B$4:$B$18,0)),"")</f>
        <v/>
      </c>
      <c r="N440" s="12"/>
      <c r="O440" s="12"/>
      <c r="P440" s="12"/>
      <c r="Q440" s="12"/>
      <c r="R440" s="12"/>
      <c r="S440" s="12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8" t="str">
        <f t="shared" si="54"/>
        <v/>
      </c>
      <c r="AJ440" s="14" t="str">
        <f t="shared" si="55"/>
        <v/>
      </c>
      <c r="AK440" s="14" t="str">
        <f>IF(COUNTA(T440:AH440)=0,"",(SUM(T440*KPI_Weights!$B$4,U440*KPI_Weights!$B$5,V440*KPI_Weights!$B$6,W440*KPI_Weights!$B$7,X440*KPI_Weights!$B$8,Y440*KPI_Weights!$B$9,Z440*KPI_Weights!$B$10,AA440*KPI_Weights!$B$11,AB440*KPI_Weights!$B$12,AC440*KPI_Weights!$B$13,AD440*KPI_Weights!$B$14,AE440*KPI_Weights!$B$15,AF440*KPI_Weights!$B$16,AG440*KPI_Weights!$B$17,AH440*KPI_Weights!$B$18))/5)</f>
        <v/>
      </c>
      <c r="AL440" s="8" t="str">
        <f t="shared" si="56"/>
        <v/>
      </c>
      <c r="AM440" s="8" t="str">
        <f t="shared" si="57"/>
        <v/>
      </c>
      <c r="AN440" s="8" t="str">
        <f t="shared" si="58"/>
        <v/>
      </c>
      <c r="AO440" s="12"/>
      <c r="AP440" s="12"/>
      <c r="AQ440" s="12"/>
      <c r="AR440" s="12"/>
      <c r="AS440" s="12"/>
      <c r="AT440" s="15"/>
      <c r="AU440" s="12"/>
      <c r="AV440" s="16"/>
      <c r="AW440" s="12"/>
      <c r="AX440" s="15"/>
      <c r="AY440" s="15"/>
      <c r="AZ440" s="15"/>
      <c r="BA440" s="15"/>
      <c r="BB440" s="15"/>
      <c r="BC440" s="15"/>
      <c r="BD440" s="15"/>
      <c r="BE440" s="15"/>
      <c r="BF440" s="15"/>
    </row>
    <row r="441" spans="1:58" ht="19.5" customHeight="1" x14ac:dyDescent="0.2">
      <c r="A441" s="8" t="str">
        <f>IF($B441="","",TEXT($B441,"yyyymmdd")&amp;"-"&amp;SUBSTITUTE($F441," ","")&amp;"-"&amp;TEXT(COUNTIF($F$4:F441,$F441),"00"))</f>
        <v/>
      </c>
      <c r="B441" s="9"/>
      <c r="C441" s="8" t="str">
        <f t="shared" si="52"/>
        <v/>
      </c>
      <c r="D441" s="8" t="str">
        <f t="shared" si="53"/>
        <v/>
      </c>
      <c r="E441" s="10"/>
      <c r="F441" s="10"/>
      <c r="G441" s="8" t="str">
        <f>IF(OR($E441="",$F441=""),"",IFERROR(IF($E441=INDEX(Cluster_Master!$A$4:$A$18,MATCH($F441,Cluster_Master!$B$4:$B$18,0)),"OK","CHECK"),"CHECK"))</f>
        <v/>
      </c>
      <c r="H441" s="11" t="str">
        <f>IFERROR(INDEX(Cluster_Master!$C$4:$C$18,MATCH($F441,Cluster_Master!$B$4:$B$18,0)),"")</f>
        <v/>
      </c>
      <c r="I441" s="8" t="str">
        <f>IFERROR(INDEX(Cluster_Master!$D$4:$D$18,MATCH($F441,Cluster_Master!$B$4:$B$18,0)),"")</f>
        <v/>
      </c>
      <c r="J441" s="8" t="str">
        <f>IFERROR(INDEX(Cluster_Master!$E$4:$E$18,MATCH($F441,Cluster_Master!$B$4:$B$18,0)),"")</f>
        <v/>
      </c>
      <c r="K441" s="8" t="str">
        <f>IFERROR(INDEX(Cluster_Master!$F$4:$F$18,MATCH($F441,Cluster_Master!$B$4:$B$18,0)),"")</f>
        <v/>
      </c>
      <c r="L441" s="8" t="str">
        <f>IFERROR(INDEX(Cluster_Master!$G$4:$G$18,MATCH($F441,Cluster_Master!$B$4:$B$18,0)),"")</f>
        <v/>
      </c>
      <c r="M441" s="8" t="str">
        <f>IFERROR(INDEX(Cluster_Master!$H$4:$H$18,MATCH($F441,Cluster_Master!$B$4:$B$18,0)),"")</f>
        <v/>
      </c>
      <c r="N441" s="12"/>
      <c r="O441" s="12"/>
      <c r="P441" s="12"/>
      <c r="Q441" s="12"/>
      <c r="R441" s="12"/>
      <c r="S441" s="12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8" t="str">
        <f t="shared" si="54"/>
        <v/>
      </c>
      <c r="AJ441" s="14" t="str">
        <f t="shared" si="55"/>
        <v/>
      </c>
      <c r="AK441" s="14" t="str">
        <f>IF(COUNTA(T441:AH441)=0,"",(SUM(T441*KPI_Weights!$B$4,U441*KPI_Weights!$B$5,V441*KPI_Weights!$B$6,W441*KPI_Weights!$B$7,X441*KPI_Weights!$B$8,Y441*KPI_Weights!$B$9,Z441*KPI_Weights!$B$10,AA441*KPI_Weights!$B$11,AB441*KPI_Weights!$B$12,AC441*KPI_Weights!$B$13,AD441*KPI_Weights!$B$14,AE441*KPI_Weights!$B$15,AF441*KPI_Weights!$B$16,AG441*KPI_Weights!$B$17,AH441*KPI_Weights!$B$18))/5)</f>
        <v/>
      </c>
      <c r="AL441" s="8" t="str">
        <f t="shared" si="56"/>
        <v/>
      </c>
      <c r="AM441" s="8" t="str">
        <f t="shared" si="57"/>
        <v/>
      </c>
      <c r="AN441" s="8" t="str">
        <f t="shared" si="58"/>
        <v/>
      </c>
      <c r="AO441" s="12"/>
      <c r="AP441" s="12"/>
      <c r="AQ441" s="12"/>
      <c r="AR441" s="12"/>
      <c r="AS441" s="12"/>
      <c r="AT441" s="15"/>
      <c r="AU441" s="12"/>
      <c r="AV441" s="16"/>
      <c r="AW441" s="12"/>
      <c r="AX441" s="15"/>
      <c r="AY441" s="15"/>
      <c r="AZ441" s="15"/>
      <c r="BA441" s="15"/>
      <c r="BB441" s="15"/>
      <c r="BC441" s="15"/>
      <c r="BD441" s="15"/>
      <c r="BE441" s="15"/>
      <c r="BF441" s="15"/>
    </row>
    <row r="442" spans="1:58" ht="19.5" customHeight="1" x14ac:dyDescent="0.2">
      <c r="A442" s="8" t="str">
        <f>IF($B442="","",TEXT($B442,"yyyymmdd")&amp;"-"&amp;SUBSTITUTE($F442," ","")&amp;"-"&amp;TEXT(COUNTIF($F$4:F442,$F442),"00"))</f>
        <v/>
      </c>
      <c r="B442" s="9"/>
      <c r="C442" s="8" t="str">
        <f t="shared" si="52"/>
        <v/>
      </c>
      <c r="D442" s="8" t="str">
        <f t="shared" si="53"/>
        <v/>
      </c>
      <c r="E442" s="10"/>
      <c r="F442" s="10"/>
      <c r="G442" s="8" t="str">
        <f>IF(OR($E442="",$F442=""),"",IFERROR(IF($E442=INDEX(Cluster_Master!$A$4:$A$18,MATCH($F442,Cluster_Master!$B$4:$B$18,0)),"OK","CHECK"),"CHECK"))</f>
        <v/>
      </c>
      <c r="H442" s="11" t="str">
        <f>IFERROR(INDEX(Cluster_Master!$C$4:$C$18,MATCH($F442,Cluster_Master!$B$4:$B$18,0)),"")</f>
        <v/>
      </c>
      <c r="I442" s="8" t="str">
        <f>IFERROR(INDEX(Cluster_Master!$D$4:$D$18,MATCH($F442,Cluster_Master!$B$4:$B$18,0)),"")</f>
        <v/>
      </c>
      <c r="J442" s="8" t="str">
        <f>IFERROR(INDEX(Cluster_Master!$E$4:$E$18,MATCH($F442,Cluster_Master!$B$4:$B$18,0)),"")</f>
        <v/>
      </c>
      <c r="K442" s="8" t="str">
        <f>IFERROR(INDEX(Cluster_Master!$F$4:$F$18,MATCH($F442,Cluster_Master!$B$4:$B$18,0)),"")</f>
        <v/>
      </c>
      <c r="L442" s="8" t="str">
        <f>IFERROR(INDEX(Cluster_Master!$G$4:$G$18,MATCH($F442,Cluster_Master!$B$4:$B$18,0)),"")</f>
        <v/>
      </c>
      <c r="M442" s="8" t="str">
        <f>IFERROR(INDEX(Cluster_Master!$H$4:$H$18,MATCH($F442,Cluster_Master!$B$4:$B$18,0)),"")</f>
        <v/>
      </c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8" t="str">
        <f t="shared" si="54"/>
        <v/>
      </c>
      <c r="AJ442" s="14" t="str">
        <f t="shared" si="55"/>
        <v/>
      </c>
      <c r="AK442" s="14" t="str">
        <f>IF(COUNTA(T442:AH442)=0,"",(SUM(T442*KPI_Weights!$B$4,U442*KPI_Weights!$B$5,V442*KPI_Weights!$B$6,W442*KPI_Weights!$B$7,X442*KPI_Weights!$B$8,Y442*KPI_Weights!$B$9,Z442*KPI_Weights!$B$10,AA442*KPI_Weights!$B$11,AB442*KPI_Weights!$B$12,AC442*KPI_Weights!$B$13,AD442*KPI_Weights!$B$14,AE442*KPI_Weights!$B$15,AF442*KPI_Weights!$B$16,AG442*KPI_Weights!$B$17,AH442*KPI_Weights!$B$18))/5)</f>
        <v/>
      </c>
      <c r="AL442" s="8" t="str">
        <f t="shared" si="56"/>
        <v/>
      </c>
      <c r="AM442" s="8" t="str">
        <f t="shared" si="57"/>
        <v/>
      </c>
      <c r="AN442" s="8" t="str">
        <f t="shared" si="58"/>
        <v/>
      </c>
      <c r="AO442" s="12"/>
      <c r="AP442" s="12"/>
      <c r="AQ442" s="12"/>
      <c r="AR442" s="12"/>
      <c r="AS442" s="12"/>
      <c r="AT442" s="15"/>
      <c r="AU442" s="12"/>
      <c r="AV442" s="16"/>
      <c r="AW442" s="12"/>
      <c r="AX442" s="15"/>
      <c r="AY442" s="15"/>
      <c r="AZ442" s="15"/>
      <c r="BA442" s="15"/>
      <c r="BB442" s="15"/>
      <c r="BC442" s="15"/>
      <c r="BD442" s="15"/>
      <c r="BE442" s="15"/>
      <c r="BF442" s="15"/>
    </row>
    <row r="443" spans="1:58" ht="19.5" customHeight="1" x14ac:dyDescent="0.2">
      <c r="A443" s="8" t="str">
        <f>IF($B443="","",TEXT($B443,"yyyymmdd")&amp;"-"&amp;SUBSTITUTE($F443," ","")&amp;"-"&amp;TEXT(COUNTIF($F$4:F443,$F443),"00"))</f>
        <v/>
      </c>
      <c r="B443" s="9"/>
      <c r="C443" s="8" t="str">
        <f t="shared" si="52"/>
        <v/>
      </c>
      <c r="D443" s="8" t="str">
        <f t="shared" si="53"/>
        <v/>
      </c>
      <c r="E443" s="10"/>
      <c r="F443" s="10"/>
      <c r="G443" s="8" t="str">
        <f>IF(OR($E443="",$F443=""),"",IFERROR(IF($E443=INDEX(Cluster_Master!$A$4:$A$18,MATCH($F443,Cluster_Master!$B$4:$B$18,0)),"OK","CHECK"),"CHECK"))</f>
        <v/>
      </c>
      <c r="H443" s="11" t="str">
        <f>IFERROR(INDEX(Cluster_Master!$C$4:$C$18,MATCH($F443,Cluster_Master!$B$4:$B$18,0)),"")</f>
        <v/>
      </c>
      <c r="I443" s="8" t="str">
        <f>IFERROR(INDEX(Cluster_Master!$D$4:$D$18,MATCH($F443,Cluster_Master!$B$4:$B$18,0)),"")</f>
        <v/>
      </c>
      <c r="J443" s="8" t="str">
        <f>IFERROR(INDEX(Cluster_Master!$E$4:$E$18,MATCH($F443,Cluster_Master!$B$4:$B$18,0)),"")</f>
        <v/>
      </c>
      <c r="K443" s="8" t="str">
        <f>IFERROR(INDEX(Cluster_Master!$F$4:$F$18,MATCH($F443,Cluster_Master!$B$4:$B$18,0)),"")</f>
        <v/>
      </c>
      <c r="L443" s="8" t="str">
        <f>IFERROR(INDEX(Cluster_Master!$G$4:$G$18,MATCH($F443,Cluster_Master!$B$4:$B$18,0)),"")</f>
        <v/>
      </c>
      <c r="M443" s="8" t="str">
        <f>IFERROR(INDEX(Cluster_Master!$H$4:$H$18,MATCH($F443,Cluster_Master!$B$4:$B$18,0)),"")</f>
        <v/>
      </c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8" t="str">
        <f t="shared" si="54"/>
        <v/>
      </c>
      <c r="AJ443" s="14" t="str">
        <f t="shared" si="55"/>
        <v/>
      </c>
      <c r="AK443" s="14" t="str">
        <f>IF(COUNTA(T443:AH443)=0,"",(SUM(T443*KPI_Weights!$B$4,U443*KPI_Weights!$B$5,V443*KPI_Weights!$B$6,W443*KPI_Weights!$B$7,X443*KPI_Weights!$B$8,Y443*KPI_Weights!$B$9,Z443*KPI_Weights!$B$10,AA443*KPI_Weights!$B$11,AB443*KPI_Weights!$B$12,AC443*KPI_Weights!$B$13,AD443*KPI_Weights!$B$14,AE443*KPI_Weights!$B$15,AF443*KPI_Weights!$B$16,AG443*KPI_Weights!$B$17,AH443*KPI_Weights!$B$18))/5)</f>
        <v/>
      </c>
      <c r="AL443" s="8" t="str">
        <f t="shared" si="56"/>
        <v/>
      </c>
      <c r="AM443" s="8" t="str">
        <f t="shared" si="57"/>
        <v/>
      </c>
      <c r="AN443" s="8" t="str">
        <f t="shared" si="58"/>
        <v/>
      </c>
      <c r="AO443" s="12"/>
      <c r="AP443" s="12"/>
      <c r="AQ443" s="12"/>
      <c r="AR443" s="12"/>
      <c r="AS443" s="12"/>
      <c r="AT443" s="15"/>
      <c r="AU443" s="12"/>
      <c r="AV443" s="16"/>
      <c r="AW443" s="12"/>
      <c r="AX443" s="15"/>
      <c r="AY443" s="15"/>
      <c r="AZ443" s="15"/>
      <c r="BA443" s="15"/>
      <c r="BB443" s="15"/>
      <c r="BC443" s="15"/>
      <c r="BD443" s="15"/>
      <c r="BE443" s="15"/>
      <c r="BF443" s="15"/>
    </row>
    <row r="444" spans="1:58" ht="19.5" customHeight="1" x14ac:dyDescent="0.2">
      <c r="A444" s="8" t="str">
        <f>IF($B444="","",TEXT($B444,"yyyymmdd")&amp;"-"&amp;SUBSTITUTE($F444," ","")&amp;"-"&amp;TEXT(COUNTIF($F$4:F444,$F444),"00"))</f>
        <v/>
      </c>
      <c r="B444" s="9"/>
      <c r="C444" s="8" t="str">
        <f t="shared" si="52"/>
        <v/>
      </c>
      <c r="D444" s="8" t="str">
        <f t="shared" si="53"/>
        <v/>
      </c>
      <c r="E444" s="10"/>
      <c r="F444" s="10"/>
      <c r="G444" s="8" t="str">
        <f>IF(OR($E444="",$F444=""),"",IFERROR(IF($E444=INDEX(Cluster_Master!$A$4:$A$18,MATCH($F444,Cluster_Master!$B$4:$B$18,0)),"OK","CHECK"),"CHECK"))</f>
        <v/>
      </c>
      <c r="H444" s="11" t="str">
        <f>IFERROR(INDEX(Cluster_Master!$C$4:$C$18,MATCH($F444,Cluster_Master!$B$4:$B$18,0)),"")</f>
        <v/>
      </c>
      <c r="I444" s="8" t="str">
        <f>IFERROR(INDEX(Cluster_Master!$D$4:$D$18,MATCH($F444,Cluster_Master!$B$4:$B$18,0)),"")</f>
        <v/>
      </c>
      <c r="J444" s="8" t="str">
        <f>IFERROR(INDEX(Cluster_Master!$E$4:$E$18,MATCH($F444,Cluster_Master!$B$4:$B$18,0)),"")</f>
        <v/>
      </c>
      <c r="K444" s="8" t="str">
        <f>IFERROR(INDEX(Cluster_Master!$F$4:$F$18,MATCH($F444,Cluster_Master!$B$4:$B$18,0)),"")</f>
        <v/>
      </c>
      <c r="L444" s="8" t="str">
        <f>IFERROR(INDEX(Cluster_Master!$G$4:$G$18,MATCH($F444,Cluster_Master!$B$4:$B$18,0)),"")</f>
        <v/>
      </c>
      <c r="M444" s="8" t="str">
        <f>IFERROR(INDEX(Cluster_Master!$H$4:$H$18,MATCH($F444,Cluster_Master!$B$4:$B$18,0)),"")</f>
        <v/>
      </c>
      <c r="N444" s="12"/>
      <c r="O444" s="12"/>
      <c r="P444" s="12"/>
      <c r="Q444" s="12"/>
      <c r="R444" s="12"/>
      <c r="S444" s="12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8" t="str">
        <f t="shared" si="54"/>
        <v/>
      </c>
      <c r="AJ444" s="14" t="str">
        <f t="shared" si="55"/>
        <v/>
      </c>
      <c r="AK444" s="14" t="str">
        <f>IF(COUNTA(T444:AH444)=0,"",(SUM(T444*KPI_Weights!$B$4,U444*KPI_Weights!$B$5,V444*KPI_Weights!$B$6,W444*KPI_Weights!$B$7,X444*KPI_Weights!$B$8,Y444*KPI_Weights!$B$9,Z444*KPI_Weights!$B$10,AA444*KPI_Weights!$B$11,AB444*KPI_Weights!$B$12,AC444*KPI_Weights!$B$13,AD444*KPI_Weights!$B$14,AE444*KPI_Weights!$B$15,AF444*KPI_Weights!$B$16,AG444*KPI_Weights!$B$17,AH444*KPI_Weights!$B$18))/5)</f>
        <v/>
      </c>
      <c r="AL444" s="8" t="str">
        <f t="shared" si="56"/>
        <v/>
      </c>
      <c r="AM444" s="8" t="str">
        <f t="shared" si="57"/>
        <v/>
      </c>
      <c r="AN444" s="8" t="str">
        <f t="shared" si="58"/>
        <v/>
      </c>
      <c r="AO444" s="12"/>
      <c r="AP444" s="12"/>
      <c r="AQ444" s="12"/>
      <c r="AR444" s="12"/>
      <c r="AS444" s="12"/>
      <c r="AT444" s="15"/>
      <c r="AU444" s="12"/>
      <c r="AV444" s="16"/>
      <c r="AW444" s="12"/>
      <c r="AX444" s="15"/>
      <c r="AY444" s="15"/>
      <c r="AZ444" s="15"/>
      <c r="BA444" s="15"/>
      <c r="BB444" s="15"/>
      <c r="BC444" s="15"/>
      <c r="BD444" s="15"/>
      <c r="BE444" s="15"/>
      <c r="BF444" s="15"/>
    </row>
    <row r="445" spans="1:58" ht="19.5" customHeight="1" x14ac:dyDescent="0.2">
      <c r="A445" s="8" t="str">
        <f>IF($B445="","",TEXT($B445,"yyyymmdd")&amp;"-"&amp;SUBSTITUTE($F445," ","")&amp;"-"&amp;TEXT(COUNTIF($F$4:F445,$F445),"00"))</f>
        <v/>
      </c>
      <c r="B445" s="9"/>
      <c r="C445" s="8" t="str">
        <f t="shared" si="52"/>
        <v/>
      </c>
      <c r="D445" s="8" t="str">
        <f t="shared" si="53"/>
        <v/>
      </c>
      <c r="E445" s="10"/>
      <c r="F445" s="10"/>
      <c r="G445" s="8" t="str">
        <f>IF(OR($E445="",$F445=""),"",IFERROR(IF($E445=INDEX(Cluster_Master!$A$4:$A$18,MATCH($F445,Cluster_Master!$B$4:$B$18,0)),"OK","CHECK"),"CHECK"))</f>
        <v/>
      </c>
      <c r="H445" s="11" t="str">
        <f>IFERROR(INDEX(Cluster_Master!$C$4:$C$18,MATCH($F445,Cluster_Master!$B$4:$B$18,0)),"")</f>
        <v/>
      </c>
      <c r="I445" s="8" t="str">
        <f>IFERROR(INDEX(Cluster_Master!$D$4:$D$18,MATCH($F445,Cluster_Master!$B$4:$B$18,0)),"")</f>
        <v/>
      </c>
      <c r="J445" s="8" t="str">
        <f>IFERROR(INDEX(Cluster_Master!$E$4:$E$18,MATCH($F445,Cluster_Master!$B$4:$B$18,0)),"")</f>
        <v/>
      </c>
      <c r="K445" s="8" t="str">
        <f>IFERROR(INDEX(Cluster_Master!$F$4:$F$18,MATCH($F445,Cluster_Master!$B$4:$B$18,0)),"")</f>
        <v/>
      </c>
      <c r="L445" s="8" t="str">
        <f>IFERROR(INDEX(Cluster_Master!$G$4:$G$18,MATCH($F445,Cluster_Master!$B$4:$B$18,0)),"")</f>
        <v/>
      </c>
      <c r="M445" s="8" t="str">
        <f>IFERROR(INDEX(Cluster_Master!$H$4:$H$18,MATCH($F445,Cluster_Master!$B$4:$B$18,0)),"")</f>
        <v/>
      </c>
      <c r="N445" s="12"/>
      <c r="O445" s="12"/>
      <c r="P445" s="12"/>
      <c r="Q445" s="12"/>
      <c r="R445" s="12"/>
      <c r="S445" s="12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8" t="str">
        <f t="shared" si="54"/>
        <v/>
      </c>
      <c r="AJ445" s="14" t="str">
        <f t="shared" si="55"/>
        <v/>
      </c>
      <c r="AK445" s="14" t="str">
        <f>IF(COUNTA(T445:AH445)=0,"",(SUM(T445*KPI_Weights!$B$4,U445*KPI_Weights!$B$5,V445*KPI_Weights!$B$6,W445*KPI_Weights!$B$7,X445*KPI_Weights!$B$8,Y445*KPI_Weights!$B$9,Z445*KPI_Weights!$B$10,AA445*KPI_Weights!$B$11,AB445*KPI_Weights!$B$12,AC445*KPI_Weights!$B$13,AD445*KPI_Weights!$B$14,AE445*KPI_Weights!$B$15,AF445*KPI_Weights!$B$16,AG445*KPI_Weights!$B$17,AH445*KPI_Weights!$B$18))/5)</f>
        <v/>
      </c>
      <c r="AL445" s="8" t="str">
        <f t="shared" si="56"/>
        <v/>
      </c>
      <c r="AM445" s="8" t="str">
        <f t="shared" si="57"/>
        <v/>
      </c>
      <c r="AN445" s="8" t="str">
        <f t="shared" si="58"/>
        <v/>
      </c>
      <c r="AO445" s="12"/>
      <c r="AP445" s="12"/>
      <c r="AQ445" s="12"/>
      <c r="AR445" s="12"/>
      <c r="AS445" s="12"/>
      <c r="AT445" s="15"/>
      <c r="AU445" s="12"/>
      <c r="AV445" s="16"/>
      <c r="AW445" s="12"/>
      <c r="AX445" s="15"/>
      <c r="AY445" s="15"/>
      <c r="AZ445" s="15"/>
      <c r="BA445" s="15"/>
      <c r="BB445" s="15"/>
      <c r="BC445" s="15"/>
      <c r="BD445" s="15"/>
      <c r="BE445" s="15"/>
      <c r="BF445" s="15"/>
    </row>
    <row r="446" spans="1:58" ht="19.5" customHeight="1" x14ac:dyDescent="0.2">
      <c r="A446" s="8" t="str">
        <f>IF($B446="","",TEXT($B446,"yyyymmdd")&amp;"-"&amp;SUBSTITUTE($F446," ","")&amp;"-"&amp;TEXT(COUNTIF($F$4:F446,$F446),"00"))</f>
        <v/>
      </c>
      <c r="B446" s="9"/>
      <c r="C446" s="8" t="str">
        <f t="shared" si="52"/>
        <v/>
      </c>
      <c r="D446" s="8" t="str">
        <f t="shared" si="53"/>
        <v/>
      </c>
      <c r="E446" s="10"/>
      <c r="F446" s="10"/>
      <c r="G446" s="8" t="str">
        <f>IF(OR($E446="",$F446=""),"",IFERROR(IF($E446=INDEX(Cluster_Master!$A$4:$A$18,MATCH($F446,Cluster_Master!$B$4:$B$18,0)),"OK","CHECK"),"CHECK"))</f>
        <v/>
      </c>
      <c r="H446" s="11" t="str">
        <f>IFERROR(INDEX(Cluster_Master!$C$4:$C$18,MATCH($F446,Cluster_Master!$B$4:$B$18,0)),"")</f>
        <v/>
      </c>
      <c r="I446" s="8" t="str">
        <f>IFERROR(INDEX(Cluster_Master!$D$4:$D$18,MATCH($F446,Cluster_Master!$B$4:$B$18,0)),"")</f>
        <v/>
      </c>
      <c r="J446" s="8" t="str">
        <f>IFERROR(INDEX(Cluster_Master!$E$4:$E$18,MATCH($F446,Cluster_Master!$B$4:$B$18,0)),"")</f>
        <v/>
      </c>
      <c r="K446" s="8" t="str">
        <f>IFERROR(INDEX(Cluster_Master!$F$4:$F$18,MATCH($F446,Cluster_Master!$B$4:$B$18,0)),"")</f>
        <v/>
      </c>
      <c r="L446" s="8" t="str">
        <f>IFERROR(INDEX(Cluster_Master!$G$4:$G$18,MATCH($F446,Cluster_Master!$B$4:$B$18,0)),"")</f>
        <v/>
      </c>
      <c r="M446" s="8" t="str">
        <f>IFERROR(INDEX(Cluster_Master!$H$4:$H$18,MATCH($F446,Cluster_Master!$B$4:$B$18,0)),"")</f>
        <v/>
      </c>
      <c r="N446" s="12"/>
      <c r="O446" s="12"/>
      <c r="P446" s="12"/>
      <c r="Q446" s="12"/>
      <c r="R446" s="12"/>
      <c r="S446" s="12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8" t="str">
        <f t="shared" si="54"/>
        <v/>
      </c>
      <c r="AJ446" s="14" t="str">
        <f t="shared" si="55"/>
        <v/>
      </c>
      <c r="AK446" s="14" t="str">
        <f>IF(COUNTA(T446:AH446)=0,"",(SUM(T446*KPI_Weights!$B$4,U446*KPI_Weights!$B$5,V446*KPI_Weights!$B$6,W446*KPI_Weights!$B$7,X446*KPI_Weights!$B$8,Y446*KPI_Weights!$B$9,Z446*KPI_Weights!$B$10,AA446*KPI_Weights!$B$11,AB446*KPI_Weights!$B$12,AC446*KPI_Weights!$B$13,AD446*KPI_Weights!$B$14,AE446*KPI_Weights!$B$15,AF446*KPI_Weights!$B$16,AG446*KPI_Weights!$B$17,AH446*KPI_Weights!$B$18))/5)</f>
        <v/>
      </c>
      <c r="AL446" s="8" t="str">
        <f t="shared" si="56"/>
        <v/>
      </c>
      <c r="AM446" s="8" t="str">
        <f t="shared" si="57"/>
        <v/>
      </c>
      <c r="AN446" s="8" t="str">
        <f t="shared" si="58"/>
        <v/>
      </c>
      <c r="AO446" s="12"/>
      <c r="AP446" s="12"/>
      <c r="AQ446" s="12"/>
      <c r="AR446" s="12"/>
      <c r="AS446" s="12"/>
      <c r="AT446" s="15"/>
      <c r="AU446" s="12"/>
      <c r="AV446" s="16"/>
      <c r="AW446" s="12"/>
      <c r="AX446" s="15"/>
      <c r="AY446" s="15"/>
      <c r="AZ446" s="15"/>
      <c r="BA446" s="15"/>
      <c r="BB446" s="15"/>
      <c r="BC446" s="15"/>
      <c r="BD446" s="15"/>
      <c r="BE446" s="15"/>
      <c r="BF446" s="15"/>
    </row>
    <row r="447" spans="1:58" ht="19.5" customHeight="1" x14ac:dyDescent="0.2">
      <c r="A447" s="8" t="str">
        <f>IF($B447="","",TEXT($B447,"yyyymmdd")&amp;"-"&amp;SUBSTITUTE($F447," ","")&amp;"-"&amp;TEXT(COUNTIF($F$4:F447,$F447),"00"))</f>
        <v/>
      </c>
      <c r="B447" s="9"/>
      <c r="C447" s="8" t="str">
        <f t="shared" si="52"/>
        <v/>
      </c>
      <c r="D447" s="8" t="str">
        <f t="shared" si="53"/>
        <v/>
      </c>
      <c r="E447" s="10"/>
      <c r="F447" s="10"/>
      <c r="G447" s="8" t="str">
        <f>IF(OR($E447="",$F447=""),"",IFERROR(IF($E447=INDEX(Cluster_Master!$A$4:$A$18,MATCH($F447,Cluster_Master!$B$4:$B$18,0)),"OK","CHECK"),"CHECK"))</f>
        <v/>
      </c>
      <c r="H447" s="11" t="str">
        <f>IFERROR(INDEX(Cluster_Master!$C$4:$C$18,MATCH($F447,Cluster_Master!$B$4:$B$18,0)),"")</f>
        <v/>
      </c>
      <c r="I447" s="8" t="str">
        <f>IFERROR(INDEX(Cluster_Master!$D$4:$D$18,MATCH($F447,Cluster_Master!$B$4:$B$18,0)),"")</f>
        <v/>
      </c>
      <c r="J447" s="8" t="str">
        <f>IFERROR(INDEX(Cluster_Master!$E$4:$E$18,MATCH($F447,Cluster_Master!$B$4:$B$18,0)),"")</f>
        <v/>
      </c>
      <c r="K447" s="8" t="str">
        <f>IFERROR(INDEX(Cluster_Master!$F$4:$F$18,MATCH($F447,Cluster_Master!$B$4:$B$18,0)),"")</f>
        <v/>
      </c>
      <c r="L447" s="8" t="str">
        <f>IFERROR(INDEX(Cluster_Master!$G$4:$G$18,MATCH($F447,Cluster_Master!$B$4:$B$18,0)),"")</f>
        <v/>
      </c>
      <c r="M447" s="8" t="str">
        <f>IFERROR(INDEX(Cluster_Master!$H$4:$H$18,MATCH($F447,Cluster_Master!$B$4:$B$18,0)),"")</f>
        <v/>
      </c>
      <c r="N447" s="12"/>
      <c r="O447" s="12"/>
      <c r="P447" s="12"/>
      <c r="Q447" s="12"/>
      <c r="R447" s="12"/>
      <c r="S447" s="12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8" t="str">
        <f t="shared" si="54"/>
        <v/>
      </c>
      <c r="AJ447" s="14" t="str">
        <f t="shared" si="55"/>
        <v/>
      </c>
      <c r="AK447" s="14" t="str">
        <f>IF(COUNTA(T447:AH447)=0,"",(SUM(T447*KPI_Weights!$B$4,U447*KPI_Weights!$B$5,V447*KPI_Weights!$B$6,W447*KPI_Weights!$B$7,X447*KPI_Weights!$B$8,Y447*KPI_Weights!$B$9,Z447*KPI_Weights!$B$10,AA447*KPI_Weights!$B$11,AB447*KPI_Weights!$B$12,AC447*KPI_Weights!$B$13,AD447*KPI_Weights!$B$14,AE447*KPI_Weights!$B$15,AF447*KPI_Weights!$B$16,AG447*KPI_Weights!$B$17,AH447*KPI_Weights!$B$18))/5)</f>
        <v/>
      </c>
      <c r="AL447" s="8" t="str">
        <f t="shared" si="56"/>
        <v/>
      </c>
      <c r="AM447" s="8" t="str">
        <f t="shared" si="57"/>
        <v/>
      </c>
      <c r="AN447" s="8" t="str">
        <f t="shared" si="58"/>
        <v/>
      </c>
      <c r="AO447" s="12"/>
      <c r="AP447" s="12"/>
      <c r="AQ447" s="12"/>
      <c r="AR447" s="12"/>
      <c r="AS447" s="12"/>
      <c r="AT447" s="15"/>
      <c r="AU447" s="12"/>
      <c r="AV447" s="16"/>
      <c r="AW447" s="12"/>
      <c r="AX447" s="15"/>
      <c r="AY447" s="15"/>
      <c r="AZ447" s="15"/>
      <c r="BA447" s="15"/>
      <c r="BB447" s="15"/>
      <c r="BC447" s="15"/>
      <c r="BD447" s="15"/>
      <c r="BE447" s="15"/>
      <c r="BF447" s="15"/>
    </row>
    <row r="448" spans="1:58" ht="19.5" customHeight="1" x14ac:dyDescent="0.2">
      <c r="A448" s="8" t="str">
        <f>IF($B448="","",TEXT($B448,"yyyymmdd")&amp;"-"&amp;SUBSTITUTE($F448," ","")&amp;"-"&amp;TEXT(COUNTIF($F$4:F448,$F448),"00"))</f>
        <v/>
      </c>
      <c r="B448" s="9"/>
      <c r="C448" s="8" t="str">
        <f t="shared" ref="C448:C511" si="59">IF($B448="","",WEEKNUM($B448,2))</f>
        <v/>
      </c>
      <c r="D448" s="8" t="str">
        <f t="shared" ref="D448:D511" si="60">IF($B448="","",TEXT($B448,"yyyy-mm"))</f>
        <v/>
      </c>
      <c r="E448" s="10"/>
      <c r="F448" s="10"/>
      <c r="G448" s="8" t="str">
        <f>IF(OR($E448="",$F448=""),"",IFERROR(IF($E448=INDEX(Cluster_Master!$A$4:$A$18,MATCH($F448,Cluster_Master!$B$4:$B$18,0)),"OK","CHECK"),"CHECK"))</f>
        <v/>
      </c>
      <c r="H448" s="11" t="str">
        <f>IFERROR(INDEX(Cluster_Master!$C$4:$C$18,MATCH($F448,Cluster_Master!$B$4:$B$18,0)),"")</f>
        <v/>
      </c>
      <c r="I448" s="8" t="str">
        <f>IFERROR(INDEX(Cluster_Master!$D$4:$D$18,MATCH($F448,Cluster_Master!$B$4:$B$18,0)),"")</f>
        <v/>
      </c>
      <c r="J448" s="8" t="str">
        <f>IFERROR(INDEX(Cluster_Master!$E$4:$E$18,MATCH($F448,Cluster_Master!$B$4:$B$18,0)),"")</f>
        <v/>
      </c>
      <c r="K448" s="8" t="str">
        <f>IFERROR(INDEX(Cluster_Master!$F$4:$F$18,MATCH($F448,Cluster_Master!$B$4:$B$18,0)),"")</f>
        <v/>
      </c>
      <c r="L448" s="8" t="str">
        <f>IFERROR(INDEX(Cluster_Master!$G$4:$G$18,MATCH($F448,Cluster_Master!$B$4:$B$18,0)),"")</f>
        <v/>
      </c>
      <c r="M448" s="8" t="str">
        <f>IFERROR(INDEX(Cluster_Master!$H$4:$H$18,MATCH($F448,Cluster_Master!$B$4:$B$18,0)),"")</f>
        <v/>
      </c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8" t="str">
        <f t="shared" ref="AI448:AI511" si="61">IF(COUNTA(T448:AH448)=0,"",SUM(T448:AH448))</f>
        <v/>
      </c>
      <c r="AJ448" s="14" t="str">
        <f t="shared" ref="AJ448:AJ511" si="62">IF(COUNTA(T448:AH448)=0,"",AI448/75)</f>
        <v/>
      </c>
      <c r="AK448" s="14" t="str">
        <f>IF(COUNTA(T448:AH448)=0,"",(SUM(T448*KPI_Weights!$B$4,U448*KPI_Weights!$B$5,V448*KPI_Weights!$B$6,W448*KPI_Weights!$B$7,X448*KPI_Weights!$B$8,Y448*KPI_Weights!$B$9,Z448*KPI_Weights!$B$10,AA448*KPI_Weights!$B$11,AB448*KPI_Weights!$B$12,AC448*KPI_Weights!$B$13,AD448*KPI_Weights!$B$14,AE448*KPI_Weights!$B$15,AF448*KPI_Weights!$B$16,AG448*KPI_Weights!$B$17,AH448*KPI_Weights!$B$18))/5)</f>
        <v/>
      </c>
      <c r="AL448" s="8" t="str">
        <f t="shared" ref="AL448:AL511" si="63">IF(COUNTA(T448:AH448)=0,"",IF(OR(T448&lt;=1,W448&lt;=1,X448&lt;=1,Y448&lt;=1,AB448&lt;=1),"YES","NO"))</f>
        <v/>
      </c>
      <c r="AM448" s="8" t="str">
        <f t="shared" ref="AM448:AM511" si="64">IF(AJ448="","",IF(AND(AL448="NO",AJ448&gt;=0.75),"YES","NO"))</f>
        <v/>
      </c>
      <c r="AN448" s="8" t="str">
        <f t="shared" ref="AN448:AN511" si="65">IF(AJ448="","",IF(AJ448&lt;0.4,"Critical",IF(AJ448&lt;0.6,"Poor",IF(AJ448&lt;0.75,"Needs Improvement",IF(AJ448&lt;0.9,"Good","Excellent")))))</f>
        <v/>
      </c>
      <c r="AO448" s="12"/>
      <c r="AP448" s="12"/>
      <c r="AQ448" s="12"/>
      <c r="AR448" s="12"/>
      <c r="AS448" s="12"/>
      <c r="AT448" s="15"/>
      <c r="AU448" s="12"/>
      <c r="AV448" s="16"/>
      <c r="AW448" s="12"/>
      <c r="AX448" s="15"/>
      <c r="AY448" s="15"/>
      <c r="AZ448" s="15"/>
      <c r="BA448" s="15"/>
      <c r="BB448" s="15"/>
      <c r="BC448" s="15"/>
      <c r="BD448" s="15"/>
      <c r="BE448" s="15"/>
      <c r="BF448" s="15"/>
    </row>
    <row r="449" spans="1:58" ht="19.5" customHeight="1" x14ac:dyDescent="0.2">
      <c r="A449" s="8" t="str">
        <f>IF($B449="","",TEXT($B449,"yyyymmdd")&amp;"-"&amp;SUBSTITUTE($F449," ","")&amp;"-"&amp;TEXT(COUNTIF($F$4:F449,$F449),"00"))</f>
        <v/>
      </c>
      <c r="B449" s="9"/>
      <c r="C449" s="8" t="str">
        <f t="shared" si="59"/>
        <v/>
      </c>
      <c r="D449" s="8" t="str">
        <f t="shared" si="60"/>
        <v/>
      </c>
      <c r="E449" s="10"/>
      <c r="F449" s="10"/>
      <c r="G449" s="8" t="str">
        <f>IF(OR($E449="",$F449=""),"",IFERROR(IF($E449=INDEX(Cluster_Master!$A$4:$A$18,MATCH($F449,Cluster_Master!$B$4:$B$18,0)),"OK","CHECK"),"CHECK"))</f>
        <v/>
      </c>
      <c r="H449" s="11" t="str">
        <f>IFERROR(INDEX(Cluster_Master!$C$4:$C$18,MATCH($F449,Cluster_Master!$B$4:$B$18,0)),"")</f>
        <v/>
      </c>
      <c r="I449" s="8" t="str">
        <f>IFERROR(INDEX(Cluster_Master!$D$4:$D$18,MATCH($F449,Cluster_Master!$B$4:$B$18,0)),"")</f>
        <v/>
      </c>
      <c r="J449" s="8" t="str">
        <f>IFERROR(INDEX(Cluster_Master!$E$4:$E$18,MATCH($F449,Cluster_Master!$B$4:$B$18,0)),"")</f>
        <v/>
      </c>
      <c r="K449" s="8" t="str">
        <f>IFERROR(INDEX(Cluster_Master!$F$4:$F$18,MATCH($F449,Cluster_Master!$B$4:$B$18,0)),"")</f>
        <v/>
      </c>
      <c r="L449" s="8" t="str">
        <f>IFERROR(INDEX(Cluster_Master!$G$4:$G$18,MATCH($F449,Cluster_Master!$B$4:$B$18,0)),"")</f>
        <v/>
      </c>
      <c r="M449" s="8" t="str">
        <f>IFERROR(INDEX(Cluster_Master!$H$4:$H$18,MATCH($F449,Cluster_Master!$B$4:$B$18,0)),"")</f>
        <v/>
      </c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8" t="str">
        <f t="shared" si="61"/>
        <v/>
      </c>
      <c r="AJ449" s="14" t="str">
        <f t="shared" si="62"/>
        <v/>
      </c>
      <c r="AK449" s="14" t="str">
        <f>IF(COUNTA(T449:AH449)=0,"",(SUM(T449*KPI_Weights!$B$4,U449*KPI_Weights!$B$5,V449*KPI_Weights!$B$6,W449*KPI_Weights!$B$7,X449*KPI_Weights!$B$8,Y449*KPI_Weights!$B$9,Z449*KPI_Weights!$B$10,AA449*KPI_Weights!$B$11,AB449*KPI_Weights!$B$12,AC449*KPI_Weights!$B$13,AD449*KPI_Weights!$B$14,AE449*KPI_Weights!$B$15,AF449*KPI_Weights!$B$16,AG449*KPI_Weights!$B$17,AH449*KPI_Weights!$B$18))/5)</f>
        <v/>
      </c>
      <c r="AL449" s="8" t="str">
        <f t="shared" si="63"/>
        <v/>
      </c>
      <c r="AM449" s="8" t="str">
        <f t="shared" si="64"/>
        <v/>
      </c>
      <c r="AN449" s="8" t="str">
        <f t="shared" si="65"/>
        <v/>
      </c>
      <c r="AO449" s="12"/>
      <c r="AP449" s="12"/>
      <c r="AQ449" s="12"/>
      <c r="AR449" s="12"/>
      <c r="AS449" s="12"/>
      <c r="AT449" s="15"/>
      <c r="AU449" s="12"/>
      <c r="AV449" s="16"/>
      <c r="AW449" s="12"/>
      <c r="AX449" s="15"/>
      <c r="AY449" s="15"/>
      <c r="AZ449" s="15"/>
      <c r="BA449" s="15"/>
      <c r="BB449" s="15"/>
      <c r="BC449" s="15"/>
      <c r="BD449" s="15"/>
      <c r="BE449" s="15"/>
      <c r="BF449" s="15"/>
    </row>
    <row r="450" spans="1:58" ht="19.5" customHeight="1" x14ac:dyDescent="0.2">
      <c r="A450" s="8" t="str">
        <f>IF($B450="","",TEXT($B450,"yyyymmdd")&amp;"-"&amp;SUBSTITUTE($F450," ","")&amp;"-"&amp;TEXT(COUNTIF($F$4:F450,$F450),"00"))</f>
        <v/>
      </c>
      <c r="B450" s="9"/>
      <c r="C450" s="8" t="str">
        <f t="shared" si="59"/>
        <v/>
      </c>
      <c r="D450" s="8" t="str">
        <f t="shared" si="60"/>
        <v/>
      </c>
      <c r="E450" s="10"/>
      <c r="F450" s="10"/>
      <c r="G450" s="8" t="str">
        <f>IF(OR($E450="",$F450=""),"",IFERROR(IF($E450=INDEX(Cluster_Master!$A$4:$A$18,MATCH($F450,Cluster_Master!$B$4:$B$18,0)),"OK","CHECK"),"CHECK"))</f>
        <v/>
      </c>
      <c r="H450" s="11" t="str">
        <f>IFERROR(INDEX(Cluster_Master!$C$4:$C$18,MATCH($F450,Cluster_Master!$B$4:$B$18,0)),"")</f>
        <v/>
      </c>
      <c r="I450" s="8" t="str">
        <f>IFERROR(INDEX(Cluster_Master!$D$4:$D$18,MATCH($F450,Cluster_Master!$B$4:$B$18,0)),"")</f>
        <v/>
      </c>
      <c r="J450" s="8" t="str">
        <f>IFERROR(INDEX(Cluster_Master!$E$4:$E$18,MATCH($F450,Cluster_Master!$B$4:$B$18,0)),"")</f>
        <v/>
      </c>
      <c r="K450" s="8" t="str">
        <f>IFERROR(INDEX(Cluster_Master!$F$4:$F$18,MATCH($F450,Cluster_Master!$B$4:$B$18,0)),"")</f>
        <v/>
      </c>
      <c r="L450" s="8" t="str">
        <f>IFERROR(INDEX(Cluster_Master!$G$4:$G$18,MATCH($F450,Cluster_Master!$B$4:$B$18,0)),"")</f>
        <v/>
      </c>
      <c r="M450" s="8" t="str">
        <f>IFERROR(INDEX(Cluster_Master!$H$4:$H$18,MATCH($F450,Cluster_Master!$B$4:$B$18,0)),"")</f>
        <v/>
      </c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8" t="str">
        <f t="shared" si="61"/>
        <v/>
      </c>
      <c r="AJ450" s="14" t="str">
        <f t="shared" si="62"/>
        <v/>
      </c>
      <c r="AK450" s="14" t="str">
        <f>IF(COUNTA(T450:AH450)=0,"",(SUM(T450*KPI_Weights!$B$4,U450*KPI_Weights!$B$5,V450*KPI_Weights!$B$6,W450*KPI_Weights!$B$7,X450*KPI_Weights!$B$8,Y450*KPI_Weights!$B$9,Z450*KPI_Weights!$B$10,AA450*KPI_Weights!$B$11,AB450*KPI_Weights!$B$12,AC450*KPI_Weights!$B$13,AD450*KPI_Weights!$B$14,AE450*KPI_Weights!$B$15,AF450*KPI_Weights!$B$16,AG450*KPI_Weights!$B$17,AH450*KPI_Weights!$B$18))/5)</f>
        <v/>
      </c>
      <c r="AL450" s="8" t="str">
        <f t="shared" si="63"/>
        <v/>
      </c>
      <c r="AM450" s="8" t="str">
        <f t="shared" si="64"/>
        <v/>
      </c>
      <c r="AN450" s="8" t="str">
        <f t="shared" si="65"/>
        <v/>
      </c>
      <c r="AO450" s="12"/>
      <c r="AP450" s="12"/>
      <c r="AQ450" s="12"/>
      <c r="AR450" s="12"/>
      <c r="AS450" s="12"/>
      <c r="AT450" s="15"/>
      <c r="AU450" s="12"/>
      <c r="AV450" s="16"/>
      <c r="AW450" s="12"/>
      <c r="AX450" s="15"/>
      <c r="AY450" s="15"/>
      <c r="AZ450" s="15"/>
      <c r="BA450" s="15"/>
      <c r="BB450" s="15"/>
      <c r="BC450" s="15"/>
      <c r="BD450" s="15"/>
      <c r="BE450" s="15"/>
      <c r="BF450" s="15"/>
    </row>
    <row r="451" spans="1:58" ht="19.5" customHeight="1" x14ac:dyDescent="0.2">
      <c r="A451" s="8" t="str">
        <f>IF($B451="","",TEXT($B451,"yyyymmdd")&amp;"-"&amp;SUBSTITUTE($F451," ","")&amp;"-"&amp;TEXT(COUNTIF($F$4:F451,$F451),"00"))</f>
        <v/>
      </c>
      <c r="B451" s="9"/>
      <c r="C451" s="8" t="str">
        <f t="shared" si="59"/>
        <v/>
      </c>
      <c r="D451" s="8" t="str">
        <f t="shared" si="60"/>
        <v/>
      </c>
      <c r="E451" s="10"/>
      <c r="F451" s="10"/>
      <c r="G451" s="8" t="str">
        <f>IF(OR($E451="",$F451=""),"",IFERROR(IF($E451=INDEX(Cluster_Master!$A$4:$A$18,MATCH($F451,Cluster_Master!$B$4:$B$18,0)),"OK","CHECK"),"CHECK"))</f>
        <v/>
      </c>
      <c r="H451" s="11" t="str">
        <f>IFERROR(INDEX(Cluster_Master!$C$4:$C$18,MATCH($F451,Cluster_Master!$B$4:$B$18,0)),"")</f>
        <v/>
      </c>
      <c r="I451" s="8" t="str">
        <f>IFERROR(INDEX(Cluster_Master!$D$4:$D$18,MATCH($F451,Cluster_Master!$B$4:$B$18,0)),"")</f>
        <v/>
      </c>
      <c r="J451" s="8" t="str">
        <f>IFERROR(INDEX(Cluster_Master!$E$4:$E$18,MATCH($F451,Cluster_Master!$B$4:$B$18,0)),"")</f>
        <v/>
      </c>
      <c r="K451" s="8" t="str">
        <f>IFERROR(INDEX(Cluster_Master!$F$4:$F$18,MATCH($F451,Cluster_Master!$B$4:$B$18,0)),"")</f>
        <v/>
      </c>
      <c r="L451" s="8" t="str">
        <f>IFERROR(INDEX(Cluster_Master!$G$4:$G$18,MATCH($F451,Cluster_Master!$B$4:$B$18,0)),"")</f>
        <v/>
      </c>
      <c r="M451" s="8" t="str">
        <f>IFERROR(INDEX(Cluster_Master!$H$4:$H$18,MATCH($F451,Cluster_Master!$B$4:$B$18,0)),"")</f>
        <v/>
      </c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8" t="str">
        <f t="shared" si="61"/>
        <v/>
      </c>
      <c r="AJ451" s="14" t="str">
        <f t="shared" si="62"/>
        <v/>
      </c>
      <c r="AK451" s="14" t="str">
        <f>IF(COUNTA(T451:AH451)=0,"",(SUM(T451*KPI_Weights!$B$4,U451*KPI_Weights!$B$5,V451*KPI_Weights!$B$6,W451*KPI_Weights!$B$7,X451*KPI_Weights!$B$8,Y451*KPI_Weights!$B$9,Z451*KPI_Weights!$B$10,AA451*KPI_Weights!$B$11,AB451*KPI_Weights!$B$12,AC451*KPI_Weights!$B$13,AD451*KPI_Weights!$B$14,AE451*KPI_Weights!$B$15,AF451*KPI_Weights!$B$16,AG451*KPI_Weights!$B$17,AH451*KPI_Weights!$B$18))/5)</f>
        <v/>
      </c>
      <c r="AL451" s="8" t="str">
        <f t="shared" si="63"/>
        <v/>
      </c>
      <c r="AM451" s="8" t="str">
        <f t="shared" si="64"/>
        <v/>
      </c>
      <c r="AN451" s="8" t="str">
        <f t="shared" si="65"/>
        <v/>
      </c>
      <c r="AO451" s="12"/>
      <c r="AP451" s="12"/>
      <c r="AQ451" s="12"/>
      <c r="AR451" s="12"/>
      <c r="AS451" s="12"/>
      <c r="AT451" s="15"/>
      <c r="AU451" s="12"/>
      <c r="AV451" s="16"/>
      <c r="AW451" s="12"/>
      <c r="AX451" s="15"/>
      <c r="AY451" s="15"/>
      <c r="AZ451" s="15"/>
      <c r="BA451" s="15"/>
      <c r="BB451" s="15"/>
      <c r="BC451" s="15"/>
      <c r="BD451" s="15"/>
      <c r="BE451" s="15"/>
      <c r="BF451" s="15"/>
    </row>
    <row r="452" spans="1:58" ht="19.5" customHeight="1" x14ac:dyDescent="0.2">
      <c r="A452" s="8" t="str">
        <f>IF($B452="","",TEXT($B452,"yyyymmdd")&amp;"-"&amp;SUBSTITUTE($F452," ","")&amp;"-"&amp;TEXT(COUNTIF($F$4:F452,$F452),"00"))</f>
        <v/>
      </c>
      <c r="B452" s="9"/>
      <c r="C452" s="8" t="str">
        <f t="shared" si="59"/>
        <v/>
      </c>
      <c r="D452" s="8" t="str">
        <f t="shared" si="60"/>
        <v/>
      </c>
      <c r="E452" s="10"/>
      <c r="F452" s="10"/>
      <c r="G452" s="8" t="str">
        <f>IF(OR($E452="",$F452=""),"",IFERROR(IF($E452=INDEX(Cluster_Master!$A$4:$A$18,MATCH($F452,Cluster_Master!$B$4:$B$18,0)),"OK","CHECK"),"CHECK"))</f>
        <v/>
      </c>
      <c r="H452" s="11" t="str">
        <f>IFERROR(INDEX(Cluster_Master!$C$4:$C$18,MATCH($F452,Cluster_Master!$B$4:$B$18,0)),"")</f>
        <v/>
      </c>
      <c r="I452" s="8" t="str">
        <f>IFERROR(INDEX(Cluster_Master!$D$4:$D$18,MATCH($F452,Cluster_Master!$B$4:$B$18,0)),"")</f>
        <v/>
      </c>
      <c r="J452" s="8" t="str">
        <f>IFERROR(INDEX(Cluster_Master!$E$4:$E$18,MATCH($F452,Cluster_Master!$B$4:$B$18,0)),"")</f>
        <v/>
      </c>
      <c r="K452" s="8" t="str">
        <f>IFERROR(INDEX(Cluster_Master!$F$4:$F$18,MATCH($F452,Cluster_Master!$B$4:$B$18,0)),"")</f>
        <v/>
      </c>
      <c r="L452" s="8" t="str">
        <f>IFERROR(INDEX(Cluster_Master!$G$4:$G$18,MATCH($F452,Cluster_Master!$B$4:$B$18,0)),"")</f>
        <v/>
      </c>
      <c r="M452" s="8" t="str">
        <f>IFERROR(INDEX(Cluster_Master!$H$4:$H$18,MATCH($F452,Cluster_Master!$B$4:$B$18,0)),"")</f>
        <v/>
      </c>
      <c r="N452" s="12"/>
      <c r="O452" s="12"/>
      <c r="P452" s="12"/>
      <c r="Q452" s="12"/>
      <c r="R452" s="12"/>
      <c r="S452" s="12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8" t="str">
        <f t="shared" si="61"/>
        <v/>
      </c>
      <c r="AJ452" s="14" t="str">
        <f t="shared" si="62"/>
        <v/>
      </c>
      <c r="AK452" s="14" t="str">
        <f>IF(COUNTA(T452:AH452)=0,"",(SUM(T452*KPI_Weights!$B$4,U452*KPI_Weights!$B$5,V452*KPI_Weights!$B$6,W452*KPI_Weights!$B$7,X452*KPI_Weights!$B$8,Y452*KPI_Weights!$B$9,Z452*KPI_Weights!$B$10,AA452*KPI_Weights!$B$11,AB452*KPI_Weights!$B$12,AC452*KPI_Weights!$B$13,AD452*KPI_Weights!$B$14,AE452*KPI_Weights!$B$15,AF452*KPI_Weights!$B$16,AG452*KPI_Weights!$B$17,AH452*KPI_Weights!$B$18))/5)</f>
        <v/>
      </c>
      <c r="AL452" s="8" t="str">
        <f t="shared" si="63"/>
        <v/>
      </c>
      <c r="AM452" s="8" t="str">
        <f t="shared" si="64"/>
        <v/>
      </c>
      <c r="AN452" s="8" t="str">
        <f t="shared" si="65"/>
        <v/>
      </c>
      <c r="AO452" s="12"/>
      <c r="AP452" s="12"/>
      <c r="AQ452" s="12"/>
      <c r="AR452" s="12"/>
      <c r="AS452" s="12"/>
      <c r="AT452" s="15"/>
      <c r="AU452" s="12"/>
      <c r="AV452" s="16"/>
      <c r="AW452" s="12"/>
      <c r="AX452" s="15"/>
      <c r="AY452" s="15"/>
      <c r="AZ452" s="15"/>
      <c r="BA452" s="15"/>
      <c r="BB452" s="15"/>
      <c r="BC452" s="15"/>
      <c r="BD452" s="15"/>
      <c r="BE452" s="15"/>
      <c r="BF452" s="15"/>
    </row>
    <row r="453" spans="1:58" ht="19.5" customHeight="1" x14ac:dyDescent="0.2">
      <c r="A453" s="8" t="str">
        <f>IF($B453="","",TEXT($B453,"yyyymmdd")&amp;"-"&amp;SUBSTITUTE($F453," ","")&amp;"-"&amp;TEXT(COUNTIF($F$4:F453,$F453),"00"))</f>
        <v/>
      </c>
      <c r="B453" s="9"/>
      <c r="C453" s="8" t="str">
        <f t="shared" si="59"/>
        <v/>
      </c>
      <c r="D453" s="8" t="str">
        <f t="shared" si="60"/>
        <v/>
      </c>
      <c r="E453" s="10"/>
      <c r="F453" s="10"/>
      <c r="G453" s="8" t="str">
        <f>IF(OR($E453="",$F453=""),"",IFERROR(IF($E453=INDEX(Cluster_Master!$A$4:$A$18,MATCH($F453,Cluster_Master!$B$4:$B$18,0)),"OK","CHECK"),"CHECK"))</f>
        <v/>
      </c>
      <c r="H453" s="11" t="str">
        <f>IFERROR(INDEX(Cluster_Master!$C$4:$C$18,MATCH($F453,Cluster_Master!$B$4:$B$18,0)),"")</f>
        <v/>
      </c>
      <c r="I453" s="8" t="str">
        <f>IFERROR(INDEX(Cluster_Master!$D$4:$D$18,MATCH($F453,Cluster_Master!$B$4:$B$18,0)),"")</f>
        <v/>
      </c>
      <c r="J453" s="8" t="str">
        <f>IFERROR(INDEX(Cluster_Master!$E$4:$E$18,MATCH($F453,Cluster_Master!$B$4:$B$18,0)),"")</f>
        <v/>
      </c>
      <c r="K453" s="8" t="str">
        <f>IFERROR(INDEX(Cluster_Master!$F$4:$F$18,MATCH($F453,Cluster_Master!$B$4:$B$18,0)),"")</f>
        <v/>
      </c>
      <c r="L453" s="8" t="str">
        <f>IFERROR(INDEX(Cluster_Master!$G$4:$G$18,MATCH($F453,Cluster_Master!$B$4:$B$18,0)),"")</f>
        <v/>
      </c>
      <c r="M453" s="8" t="str">
        <f>IFERROR(INDEX(Cluster_Master!$H$4:$H$18,MATCH($F453,Cluster_Master!$B$4:$B$18,0)),"")</f>
        <v/>
      </c>
      <c r="N453" s="12"/>
      <c r="O453" s="12"/>
      <c r="P453" s="12"/>
      <c r="Q453" s="12"/>
      <c r="R453" s="12"/>
      <c r="S453" s="12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8" t="str">
        <f t="shared" si="61"/>
        <v/>
      </c>
      <c r="AJ453" s="14" t="str">
        <f t="shared" si="62"/>
        <v/>
      </c>
      <c r="AK453" s="14" t="str">
        <f>IF(COUNTA(T453:AH453)=0,"",(SUM(T453*KPI_Weights!$B$4,U453*KPI_Weights!$B$5,V453*KPI_Weights!$B$6,W453*KPI_Weights!$B$7,X453*KPI_Weights!$B$8,Y453*KPI_Weights!$B$9,Z453*KPI_Weights!$B$10,AA453*KPI_Weights!$B$11,AB453*KPI_Weights!$B$12,AC453*KPI_Weights!$B$13,AD453*KPI_Weights!$B$14,AE453*KPI_Weights!$B$15,AF453*KPI_Weights!$B$16,AG453*KPI_Weights!$B$17,AH453*KPI_Weights!$B$18))/5)</f>
        <v/>
      </c>
      <c r="AL453" s="8" t="str">
        <f t="shared" si="63"/>
        <v/>
      </c>
      <c r="AM453" s="8" t="str">
        <f t="shared" si="64"/>
        <v/>
      </c>
      <c r="AN453" s="8" t="str">
        <f t="shared" si="65"/>
        <v/>
      </c>
      <c r="AO453" s="12"/>
      <c r="AP453" s="12"/>
      <c r="AQ453" s="12"/>
      <c r="AR453" s="12"/>
      <c r="AS453" s="12"/>
      <c r="AT453" s="15"/>
      <c r="AU453" s="12"/>
      <c r="AV453" s="16"/>
      <c r="AW453" s="12"/>
      <c r="AX453" s="15"/>
      <c r="AY453" s="15"/>
      <c r="AZ453" s="15"/>
      <c r="BA453" s="15"/>
      <c r="BB453" s="15"/>
      <c r="BC453" s="15"/>
      <c r="BD453" s="15"/>
      <c r="BE453" s="15"/>
      <c r="BF453" s="15"/>
    </row>
    <row r="454" spans="1:58" ht="19.5" customHeight="1" x14ac:dyDescent="0.2">
      <c r="A454" s="8" t="str">
        <f>IF($B454="","",TEXT($B454,"yyyymmdd")&amp;"-"&amp;SUBSTITUTE($F454," ","")&amp;"-"&amp;TEXT(COUNTIF($F$4:F454,$F454),"00"))</f>
        <v/>
      </c>
      <c r="B454" s="9"/>
      <c r="C454" s="8" t="str">
        <f t="shared" si="59"/>
        <v/>
      </c>
      <c r="D454" s="8" t="str">
        <f t="shared" si="60"/>
        <v/>
      </c>
      <c r="E454" s="10"/>
      <c r="F454" s="10"/>
      <c r="G454" s="8" t="str">
        <f>IF(OR($E454="",$F454=""),"",IFERROR(IF($E454=INDEX(Cluster_Master!$A$4:$A$18,MATCH($F454,Cluster_Master!$B$4:$B$18,0)),"OK","CHECK"),"CHECK"))</f>
        <v/>
      </c>
      <c r="H454" s="11" t="str">
        <f>IFERROR(INDEX(Cluster_Master!$C$4:$C$18,MATCH($F454,Cluster_Master!$B$4:$B$18,0)),"")</f>
        <v/>
      </c>
      <c r="I454" s="8" t="str">
        <f>IFERROR(INDEX(Cluster_Master!$D$4:$D$18,MATCH($F454,Cluster_Master!$B$4:$B$18,0)),"")</f>
        <v/>
      </c>
      <c r="J454" s="8" t="str">
        <f>IFERROR(INDEX(Cluster_Master!$E$4:$E$18,MATCH($F454,Cluster_Master!$B$4:$B$18,0)),"")</f>
        <v/>
      </c>
      <c r="K454" s="8" t="str">
        <f>IFERROR(INDEX(Cluster_Master!$F$4:$F$18,MATCH($F454,Cluster_Master!$B$4:$B$18,0)),"")</f>
        <v/>
      </c>
      <c r="L454" s="8" t="str">
        <f>IFERROR(INDEX(Cluster_Master!$G$4:$G$18,MATCH($F454,Cluster_Master!$B$4:$B$18,0)),"")</f>
        <v/>
      </c>
      <c r="M454" s="8" t="str">
        <f>IFERROR(INDEX(Cluster_Master!$H$4:$H$18,MATCH($F454,Cluster_Master!$B$4:$B$18,0)),"")</f>
        <v/>
      </c>
      <c r="N454" s="12"/>
      <c r="O454" s="12"/>
      <c r="P454" s="12"/>
      <c r="Q454" s="12"/>
      <c r="R454" s="12"/>
      <c r="S454" s="12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8" t="str">
        <f t="shared" si="61"/>
        <v/>
      </c>
      <c r="AJ454" s="14" t="str">
        <f t="shared" si="62"/>
        <v/>
      </c>
      <c r="AK454" s="14" t="str">
        <f>IF(COUNTA(T454:AH454)=0,"",(SUM(T454*KPI_Weights!$B$4,U454*KPI_Weights!$B$5,V454*KPI_Weights!$B$6,W454*KPI_Weights!$B$7,X454*KPI_Weights!$B$8,Y454*KPI_Weights!$B$9,Z454*KPI_Weights!$B$10,AA454*KPI_Weights!$B$11,AB454*KPI_Weights!$B$12,AC454*KPI_Weights!$B$13,AD454*KPI_Weights!$B$14,AE454*KPI_Weights!$B$15,AF454*KPI_Weights!$B$16,AG454*KPI_Weights!$B$17,AH454*KPI_Weights!$B$18))/5)</f>
        <v/>
      </c>
      <c r="AL454" s="8" t="str">
        <f t="shared" si="63"/>
        <v/>
      </c>
      <c r="AM454" s="8" t="str">
        <f t="shared" si="64"/>
        <v/>
      </c>
      <c r="AN454" s="8" t="str">
        <f t="shared" si="65"/>
        <v/>
      </c>
      <c r="AO454" s="12"/>
      <c r="AP454" s="12"/>
      <c r="AQ454" s="12"/>
      <c r="AR454" s="12"/>
      <c r="AS454" s="12"/>
      <c r="AT454" s="15"/>
      <c r="AU454" s="12"/>
      <c r="AV454" s="16"/>
      <c r="AW454" s="12"/>
      <c r="AX454" s="15"/>
      <c r="AY454" s="15"/>
      <c r="AZ454" s="15"/>
      <c r="BA454" s="15"/>
      <c r="BB454" s="15"/>
      <c r="BC454" s="15"/>
      <c r="BD454" s="15"/>
      <c r="BE454" s="15"/>
      <c r="BF454" s="15"/>
    </row>
    <row r="455" spans="1:58" ht="19.5" customHeight="1" x14ac:dyDescent="0.2">
      <c r="A455" s="8" t="str">
        <f>IF($B455="","",TEXT($B455,"yyyymmdd")&amp;"-"&amp;SUBSTITUTE($F455," ","")&amp;"-"&amp;TEXT(COUNTIF($F$4:F455,$F455),"00"))</f>
        <v/>
      </c>
      <c r="B455" s="9"/>
      <c r="C455" s="8" t="str">
        <f t="shared" si="59"/>
        <v/>
      </c>
      <c r="D455" s="8" t="str">
        <f t="shared" si="60"/>
        <v/>
      </c>
      <c r="E455" s="10"/>
      <c r="F455" s="10"/>
      <c r="G455" s="8" t="str">
        <f>IF(OR($E455="",$F455=""),"",IFERROR(IF($E455=INDEX(Cluster_Master!$A$4:$A$18,MATCH($F455,Cluster_Master!$B$4:$B$18,0)),"OK","CHECK"),"CHECK"))</f>
        <v/>
      </c>
      <c r="H455" s="11" t="str">
        <f>IFERROR(INDEX(Cluster_Master!$C$4:$C$18,MATCH($F455,Cluster_Master!$B$4:$B$18,0)),"")</f>
        <v/>
      </c>
      <c r="I455" s="8" t="str">
        <f>IFERROR(INDEX(Cluster_Master!$D$4:$D$18,MATCH($F455,Cluster_Master!$B$4:$B$18,0)),"")</f>
        <v/>
      </c>
      <c r="J455" s="8" t="str">
        <f>IFERROR(INDEX(Cluster_Master!$E$4:$E$18,MATCH($F455,Cluster_Master!$B$4:$B$18,0)),"")</f>
        <v/>
      </c>
      <c r="K455" s="8" t="str">
        <f>IFERROR(INDEX(Cluster_Master!$F$4:$F$18,MATCH($F455,Cluster_Master!$B$4:$B$18,0)),"")</f>
        <v/>
      </c>
      <c r="L455" s="8" t="str">
        <f>IFERROR(INDEX(Cluster_Master!$G$4:$G$18,MATCH($F455,Cluster_Master!$B$4:$B$18,0)),"")</f>
        <v/>
      </c>
      <c r="M455" s="8" t="str">
        <f>IFERROR(INDEX(Cluster_Master!$H$4:$H$18,MATCH($F455,Cluster_Master!$B$4:$B$18,0)),"")</f>
        <v/>
      </c>
      <c r="N455" s="12"/>
      <c r="O455" s="12"/>
      <c r="P455" s="12"/>
      <c r="Q455" s="12"/>
      <c r="R455" s="12"/>
      <c r="S455" s="12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8" t="str">
        <f t="shared" si="61"/>
        <v/>
      </c>
      <c r="AJ455" s="14" t="str">
        <f t="shared" si="62"/>
        <v/>
      </c>
      <c r="AK455" s="14" t="str">
        <f>IF(COUNTA(T455:AH455)=0,"",(SUM(T455*KPI_Weights!$B$4,U455*KPI_Weights!$B$5,V455*KPI_Weights!$B$6,W455*KPI_Weights!$B$7,X455*KPI_Weights!$B$8,Y455*KPI_Weights!$B$9,Z455*KPI_Weights!$B$10,AA455*KPI_Weights!$B$11,AB455*KPI_Weights!$B$12,AC455*KPI_Weights!$B$13,AD455*KPI_Weights!$B$14,AE455*KPI_Weights!$B$15,AF455*KPI_Weights!$B$16,AG455*KPI_Weights!$B$17,AH455*KPI_Weights!$B$18))/5)</f>
        <v/>
      </c>
      <c r="AL455" s="8" t="str">
        <f t="shared" si="63"/>
        <v/>
      </c>
      <c r="AM455" s="8" t="str">
        <f t="shared" si="64"/>
        <v/>
      </c>
      <c r="AN455" s="8" t="str">
        <f t="shared" si="65"/>
        <v/>
      </c>
      <c r="AO455" s="12"/>
      <c r="AP455" s="12"/>
      <c r="AQ455" s="12"/>
      <c r="AR455" s="12"/>
      <c r="AS455" s="12"/>
      <c r="AT455" s="15"/>
      <c r="AU455" s="12"/>
      <c r="AV455" s="16"/>
      <c r="AW455" s="12"/>
      <c r="AX455" s="15"/>
      <c r="AY455" s="15"/>
      <c r="AZ455" s="15"/>
      <c r="BA455" s="15"/>
      <c r="BB455" s="15"/>
      <c r="BC455" s="15"/>
      <c r="BD455" s="15"/>
      <c r="BE455" s="15"/>
      <c r="BF455" s="15"/>
    </row>
    <row r="456" spans="1:58" ht="19.5" customHeight="1" x14ac:dyDescent="0.2">
      <c r="A456" s="8" t="str">
        <f>IF($B456="","",TEXT($B456,"yyyymmdd")&amp;"-"&amp;SUBSTITUTE($F456," ","")&amp;"-"&amp;TEXT(COUNTIF($F$4:F456,$F456),"00"))</f>
        <v/>
      </c>
      <c r="B456" s="9"/>
      <c r="C456" s="8" t="str">
        <f t="shared" si="59"/>
        <v/>
      </c>
      <c r="D456" s="8" t="str">
        <f t="shared" si="60"/>
        <v/>
      </c>
      <c r="E456" s="10"/>
      <c r="F456" s="10"/>
      <c r="G456" s="8" t="str">
        <f>IF(OR($E456="",$F456=""),"",IFERROR(IF($E456=INDEX(Cluster_Master!$A$4:$A$18,MATCH($F456,Cluster_Master!$B$4:$B$18,0)),"OK","CHECK"),"CHECK"))</f>
        <v/>
      </c>
      <c r="H456" s="11" t="str">
        <f>IFERROR(INDEX(Cluster_Master!$C$4:$C$18,MATCH($F456,Cluster_Master!$B$4:$B$18,0)),"")</f>
        <v/>
      </c>
      <c r="I456" s="8" t="str">
        <f>IFERROR(INDEX(Cluster_Master!$D$4:$D$18,MATCH($F456,Cluster_Master!$B$4:$B$18,0)),"")</f>
        <v/>
      </c>
      <c r="J456" s="8" t="str">
        <f>IFERROR(INDEX(Cluster_Master!$E$4:$E$18,MATCH($F456,Cluster_Master!$B$4:$B$18,0)),"")</f>
        <v/>
      </c>
      <c r="K456" s="8" t="str">
        <f>IFERROR(INDEX(Cluster_Master!$F$4:$F$18,MATCH($F456,Cluster_Master!$B$4:$B$18,0)),"")</f>
        <v/>
      </c>
      <c r="L456" s="8" t="str">
        <f>IFERROR(INDEX(Cluster_Master!$G$4:$G$18,MATCH($F456,Cluster_Master!$B$4:$B$18,0)),"")</f>
        <v/>
      </c>
      <c r="M456" s="8" t="str">
        <f>IFERROR(INDEX(Cluster_Master!$H$4:$H$18,MATCH($F456,Cluster_Master!$B$4:$B$18,0)),"")</f>
        <v/>
      </c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8" t="str">
        <f t="shared" si="61"/>
        <v/>
      </c>
      <c r="AJ456" s="14" t="str">
        <f t="shared" si="62"/>
        <v/>
      </c>
      <c r="AK456" s="14" t="str">
        <f>IF(COUNTA(T456:AH456)=0,"",(SUM(T456*KPI_Weights!$B$4,U456*KPI_Weights!$B$5,V456*KPI_Weights!$B$6,W456*KPI_Weights!$B$7,X456*KPI_Weights!$B$8,Y456*KPI_Weights!$B$9,Z456*KPI_Weights!$B$10,AA456*KPI_Weights!$B$11,AB456*KPI_Weights!$B$12,AC456*KPI_Weights!$B$13,AD456*KPI_Weights!$B$14,AE456*KPI_Weights!$B$15,AF456*KPI_Weights!$B$16,AG456*KPI_Weights!$B$17,AH456*KPI_Weights!$B$18))/5)</f>
        <v/>
      </c>
      <c r="AL456" s="8" t="str">
        <f t="shared" si="63"/>
        <v/>
      </c>
      <c r="AM456" s="8" t="str">
        <f t="shared" si="64"/>
        <v/>
      </c>
      <c r="AN456" s="8" t="str">
        <f t="shared" si="65"/>
        <v/>
      </c>
      <c r="AO456" s="12"/>
      <c r="AP456" s="12"/>
      <c r="AQ456" s="12"/>
      <c r="AR456" s="12"/>
      <c r="AS456" s="12"/>
      <c r="AT456" s="15"/>
      <c r="AU456" s="12"/>
      <c r="AV456" s="16"/>
      <c r="AW456" s="12"/>
      <c r="AX456" s="15"/>
      <c r="AY456" s="15"/>
      <c r="AZ456" s="15"/>
      <c r="BA456" s="15"/>
      <c r="BB456" s="15"/>
      <c r="BC456" s="15"/>
      <c r="BD456" s="15"/>
      <c r="BE456" s="15"/>
      <c r="BF456" s="15"/>
    </row>
    <row r="457" spans="1:58" ht="19.5" customHeight="1" x14ac:dyDescent="0.2">
      <c r="A457" s="8" t="str">
        <f>IF($B457="","",TEXT($B457,"yyyymmdd")&amp;"-"&amp;SUBSTITUTE($F457," ","")&amp;"-"&amp;TEXT(COUNTIF($F$4:F457,$F457),"00"))</f>
        <v/>
      </c>
      <c r="B457" s="9"/>
      <c r="C457" s="8" t="str">
        <f t="shared" si="59"/>
        <v/>
      </c>
      <c r="D457" s="8" t="str">
        <f t="shared" si="60"/>
        <v/>
      </c>
      <c r="E457" s="10"/>
      <c r="F457" s="10"/>
      <c r="G457" s="8" t="str">
        <f>IF(OR($E457="",$F457=""),"",IFERROR(IF($E457=INDEX(Cluster_Master!$A$4:$A$18,MATCH($F457,Cluster_Master!$B$4:$B$18,0)),"OK","CHECK"),"CHECK"))</f>
        <v/>
      </c>
      <c r="H457" s="11" t="str">
        <f>IFERROR(INDEX(Cluster_Master!$C$4:$C$18,MATCH($F457,Cluster_Master!$B$4:$B$18,0)),"")</f>
        <v/>
      </c>
      <c r="I457" s="8" t="str">
        <f>IFERROR(INDEX(Cluster_Master!$D$4:$D$18,MATCH($F457,Cluster_Master!$B$4:$B$18,0)),"")</f>
        <v/>
      </c>
      <c r="J457" s="8" t="str">
        <f>IFERROR(INDEX(Cluster_Master!$E$4:$E$18,MATCH($F457,Cluster_Master!$B$4:$B$18,0)),"")</f>
        <v/>
      </c>
      <c r="K457" s="8" t="str">
        <f>IFERROR(INDEX(Cluster_Master!$F$4:$F$18,MATCH($F457,Cluster_Master!$B$4:$B$18,0)),"")</f>
        <v/>
      </c>
      <c r="L457" s="8" t="str">
        <f>IFERROR(INDEX(Cluster_Master!$G$4:$G$18,MATCH($F457,Cluster_Master!$B$4:$B$18,0)),"")</f>
        <v/>
      </c>
      <c r="M457" s="8" t="str">
        <f>IFERROR(INDEX(Cluster_Master!$H$4:$H$18,MATCH($F457,Cluster_Master!$B$4:$B$18,0)),"")</f>
        <v/>
      </c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8" t="str">
        <f t="shared" si="61"/>
        <v/>
      </c>
      <c r="AJ457" s="14" t="str">
        <f t="shared" si="62"/>
        <v/>
      </c>
      <c r="AK457" s="14" t="str">
        <f>IF(COUNTA(T457:AH457)=0,"",(SUM(T457*KPI_Weights!$B$4,U457*KPI_Weights!$B$5,V457*KPI_Weights!$B$6,W457*KPI_Weights!$B$7,X457*KPI_Weights!$B$8,Y457*KPI_Weights!$B$9,Z457*KPI_Weights!$B$10,AA457*KPI_Weights!$B$11,AB457*KPI_Weights!$B$12,AC457*KPI_Weights!$B$13,AD457*KPI_Weights!$B$14,AE457*KPI_Weights!$B$15,AF457*KPI_Weights!$B$16,AG457*KPI_Weights!$B$17,AH457*KPI_Weights!$B$18))/5)</f>
        <v/>
      </c>
      <c r="AL457" s="8" t="str">
        <f t="shared" si="63"/>
        <v/>
      </c>
      <c r="AM457" s="8" t="str">
        <f t="shared" si="64"/>
        <v/>
      </c>
      <c r="AN457" s="8" t="str">
        <f t="shared" si="65"/>
        <v/>
      </c>
      <c r="AO457" s="12"/>
      <c r="AP457" s="12"/>
      <c r="AQ457" s="12"/>
      <c r="AR457" s="12"/>
      <c r="AS457" s="12"/>
      <c r="AT457" s="15"/>
      <c r="AU457" s="12"/>
      <c r="AV457" s="16"/>
      <c r="AW457" s="12"/>
      <c r="AX457" s="15"/>
      <c r="AY457" s="15"/>
      <c r="AZ457" s="15"/>
      <c r="BA457" s="15"/>
      <c r="BB457" s="15"/>
      <c r="BC457" s="15"/>
      <c r="BD457" s="15"/>
      <c r="BE457" s="15"/>
      <c r="BF457" s="15"/>
    </row>
    <row r="458" spans="1:58" ht="19.5" customHeight="1" x14ac:dyDescent="0.2">
      <c r="A458" s="8" t="str">
        <f>IF($B458="","",TEXT($B458,"yyyymmdd")&amp;"-"&amp;SUBSTITUTE($F458," ","")&amp;"-"&amp;TEXT(COUNTIF($F$4:F458,$F458),"00"))</f>
        <v/>
      </c>
      <c r="B458" s="9"/>
      <c r="C458" s="8" t="str">
        <f t="shared" si="59"/>
        <v/>
      </c>
      <c r="D458" s="8" t="str">
        <f t="shared" si="60"/>
        <v/>
      </c>
      <c r="E458" s="10"/>
      <c r="F458" s="10"/>
      <c r="G458" s="8" t="str">
        <f>IF(OR($E458="",$F458=""),"",IFERROR(IF($E458=INDEX(Cluster_Master!$A$4:$A$18,MATCH($F458,Cluster_Master!$B$4:$B$18,0)),"OK","CHECK"),"CHECK"))</f>
        <v/>
      </c>
      <c r="H458" s="11" t="str">
        <f>IFERROR(INDEX(Cluster_Master!$C$4:$C$18,MATCH($F458,Cluster_Master!$B$4:$B$18,0)),"")</f>
        <v/>
      </c>
      <c r="I458" s="8" t="str">
        <f>IFERROR(INDEX(Cluster_Master!$D$4:$D$18,MATCH($F458,Cluster_Master!$B$4:$B$18,0)),"")</f>
        <v/>
      </c>
      <c r="J458" s="8" t="str">
        <f>IFERROR(INDEX(Cluster_Master!$E$4:$E$18,MATCH($F458,Cluster_Master!$B$4:$B$18,0)),"")</f>
        <v/>
      </c>
      <c r="K458" s="8" t="str">
        <f>IFERROR(INDEX(Cluster_Master!$F$4:$F$18,MATCH($F458,Cluster_Master!$B$4:$B$18,0)),"")</f>
        <v/>
      </c>
      <c r="L458" s="8" t="str">
        <f>IFERROR(INDEX(Cluster_Master!$G$4:$G$18,MATCH($F458,Cluster_Master!$B$4:$B$18,0)),"")</f>
        <v/>
      </c>
      <c r="M458" s="8" t="str">
        <f>IFERROR(INDEX(Cluster_Master!$H$4:$H$18,MATCH($F458,Cluster_Master!$B$4:$B$18,0)),"")</f>
        <v/>
      </c>
      <c r="N458" s="12"/>
      <c r="O458" s="12"/>
      <c r="P458" s="12"/>
      <c r="Q458" s="12"/>
      <c r="R458" s="12"/>
      <c r="S458" s="12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8" t="str">
        <f t="shared" si="61"/>
        <v/>
      </c>
      <c r="AJ458" s="14" t="str">
        <f t="shared" si="62"/>
        <v/>
      </c>
      <c r="AK458" s="14" t="str">
        <f>IF(COUNTA(T458:AH458)=0,"",(SUM(T458*KPI_Weights!$B$4,U458*KPI_Weights!$B$5,V458*KPI_Weights!$B$6,W458*KPI_Weights!$B$7,X458*KPI_Weights!$B$8,Y458*KPI_Weights!$B$9,Z458*KPI_Weights!$B$10,AA458*KPI_Weights!$B$11,AB458*KPI_Weights!$B$12,AC458*KPI_Weights!$B$13,AD458*KPI_Weights!$B$14,AE458*KPI_Weights!$B$15,AF458*KPI_Weights!$B$16,AG458*KPI_Weights!$B$17,AH458*KPI_Weights!$B$18))/5)</f>
        <v/>
      </c>
      <c r="AL458" s="8" t="str">
        <f t="shared" si="63"/>
        <v/>
      </c>
      <c r="AM458" s="8" t="str">
        <f t="shared" si="64"/>
        <v/>
      </c>
      <c r="AN458" s="8" t="str">
        <f t="shared" si="65"/>
        <v/>
      </c>
      <c r="AO458" s="12"/>
      <c r="AP458" s="12"/>
      <c r="AQ458" s="12"/>
      <c r="AR458" s="12"/>
      <c r="AS458" s="12"/>
      <c r="AT458" s="15"/>
      <c r="AU458" s="12"/>
      <c r="AV458" s="16"/>
      <c r="AW458" s="12"/>
      <c r="AX458" s="15"/>
      <c r="AY458" s="15"/>
      <c r="AZ458" s="15"/>
      <c r="BA458" s="15"/>
      <c r="BB458" s="15"/>
      <c r="BC458" s="15"/>
      <c r="BD458" s="15"/>
      <c r="BE458" s="15"/>
      <c r="BF458" s="15"/>
    </row>
    <row r="459" spans="1:58" ht="19.5" customHeight="1" x14ac:dyDescent="0.2">
      <c r="A459" s="8" t="str">
        <f>IF($B459="","",TEXT($B459,"yyyymmdd")&amp;"-"&amp;SUBSTITUTE($F459," ","")&amp;"-"&amp;TEXT(COUNTIF($F$4:F459,$F459),"00"))</f>
        <v/>
      </c>
      <c r="B459" s="9"/>
      <c r="C459" s="8" t="str">
        <f t="shared" si="59"/>
        <v/>
      </c>
      <c r="D459" s="8" t="str">
        <f t="shared" si="60"/>
        <v/>
      </c>
      <c r="E459" s="10"/>
      <c r="F459" s="10"/>
      <c r="G459" s="8" t="str">
        <f>IF(OR($E459="",$F459=""),"",IFERROR(IF($E459=INDEX(Cluster_Master!$A$4:$A$18,MATCH($F459,Cluster_Master!$B$4:$B$18,0)),"OK","CHECK"),"CHECK"))</f>
        <v/>
      </c>
      <c r="H459" s="11" t="str">
        <f>IFERROR(INDEX(Cluster_Master!$C$4:$C$18,MATCH($F459,Cluster_Master!$B$4:$B$18,0)),"")</f>
        <v/>
      </c>
      <c r="I459" s="8" t="str">
        <f>IFERROR(INDEX(Cluster_Master!$D$4:$D$18,MATCH($F459,Cluster_Master!$B$4:$B$18,0)),"")</f>
        <v/>
      </c>
      <c r="J459" s="8" t="str">
        <f>IFERROR(INDEX(Cluster_Master!$E$4:$E$18,MATCH($F459,Cluster_Master!$B$4:$B$18,0)),"")</f>
        <v/>
      </c>
      <c r="K459" s="8" t="str">
        <f>IFERROR(INDEX(Cluster_Master!$F$4:$F$18,MATCH($F459,Cluster_Master!$B$4:$B$18,0)),"")</f>
        <v/>
      </c>
      <c r="L459" s="8" t="str">
        <f>IFERROR(INDEX(Cluster_Master!$G$4:$G$18,MATCH($F459,Cluster_Master!$B$4:$B$18,0)),"")</f>
        <v/>
      </c>
      <c r="M459" s="8" t="str">
        <f>IFERROR(INDEX(Cluster_Master!$H$4:$H$18,MATCH($F459,Cluster_Master!$B$4:$B$18,0)),"")</f>
        <v/>
      </c>
      <c r="N459" s="12"/>
      <c r="O459" s="12"/>
      <c r="P459" s="12"/>
      <c r="Q459" s="12"/>
      <c r="R459" s="12"/>
      <c r="S459" s="12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8" t="str">
        <f t="shared" si="61"/>
        <v/>
      </c>
      <c r="AJ459" s="14" t="str">
        <f t="shared" si="62"/>
        <v/>
      </c>
      <c r="AK459" s="14" t="str">
        <f>IF(COUNTA(T459:AH459)=0,"",(SUM(T459*KPI_Weights!$B$4,U459*KPI_Weights!$B$5,V459*KPI_Weights!$B$6,W459*KPI_Weights!$B$7,X459*KPI_Weights!$B$8,Y459*KPI_Weights!$B$9,Z459*KPI_Weights!$B$10,AA459*KPI_Weights!$B$11,AB459*KPI_Weights!$B$12,AC459*KPI_Weights!$B$13,AD459*KPI_Weights!$B$14,AE459*KPI_Weights!$B$15,AF459*KPI_Weights!$B$16,AG459*KPI_Weights!$B$17,AH459*KPI_Weights!$B$18))/5)</f>
        <v/>
      </c>
      <c r="AL459" s="8" t="str">
        <f t="shared" si="63"/>
        <v/>
      </c>
      <c r="AM459" s="8" t="str">
        <f t="shared" si="64"/>
        <v/>
      </c>
      <c r="AN459" s="8" t="str">
        <f t="shared" si="65"/>
        <v/>
      </c>
      <c r="AO459" s="12"/>
      <c r="AP459" s="12"/>
      <c r="AQ459" s="12"/>
      <c r="AR459" s="12"/>
      <c r="AS459" s="12"/>
      <c r="AT459" s="15"/>
      <c r="AU459" s="12"/>
      <c r="AV459" s="16"/>
      <c r="AW459" s="12"/>
      <c r="AX459" s="15"/>
      <c r="AY459" s="15"/>
      <c r="AZ459" s="15"/>
      <c r="BA459" s="15"/>
      <c r="BB459" s="15"/>
      <c r="BC459" s="15"/>
      <c r="BD459" s="15"/>
      <c r="BE459" s="15"/>
      <c r="BF459" s="15"/>
    </row>
    <row r="460" spans="1:58" ht="19.5" customHeight="1" x14ac:dyDescent="0.2">
      <c r="A460" s="8" t="str">
        <f>IF($B460="","",TEXT($B460,"yyyymmdd")&amp;"-"&amp;SUBSTITUTE($F460," ","")&amp;"-"&amp;TEXT(COUNTIF($F$4:F460,$F460),"00"))</f>
        <v/>
      </c>
      <c r="B460" s="9"/>
      <c r="C460" s="8" t="str">
        <f t="shared" si="59"/>
        <v/>
      </c>
      <c r="D460" s="8" t="str">
        <f t="shared" si="60"/>
        <v/>
      </c>
      <c r="E460" s="10"/>
      <c r="F460" s="10"/>
      <c r="G460" s="8" t="str">
        <f>IF(OR($E460="",$F460=""),"",IFERROR(IF($E460=INDEX(Cluster_Master!$A$4:$A$18,MATCH($F460,Cluster_Master!$B$4:$B$18,0)),"OK","CHECK"),"CHECK"))</f>
        <v/>
      </c>
      <c r="H460" s="11" t="str">
        <f>IFERROR(INDEX(Cluster_Master!$C$4:$C$18,MATCH($F460,Cluster_Master!$B$4:$B$18,0)),"")</f>
        <v/>
      </c>
      <c r="I460" s="8" t="str">
        <f>IFERROR(INDEX(Cluster_Master!$D$4:$D$18,MATCH($F460,Cluster_Master!$B$4:$B$18,0)),"")</f>
        <v/>
      </c>
      <c r="J460" s="8" t="str">
        <f>IFERROR(INDEX(Cluster_Master!$E$4:$E$18,MATCH($F460,Cluster_Master!$B$4:$B$18,0)),"")</f>
        <v/>
      </c>
      <c r="K460" s="8" t="str">
        <f>IFERROR(INDEX(Cluster_Master!$F$4:$F$18,MATCH($F460,Cluster_Master!$B$4:$B$18,0)),"")</f>
        <v/>
      </c>
      <c r="L460" s="8" t="str">
        <f>IFERROR(INDEX(Cluster_Master!$G$4:$G$18,MATCH($F460,Cluster_Master!$B$4:$B$18,0)),"")</f>
        <v/>
      </c>
      <c r="M460" s="8" t="str">
        <f>IFERROR(INDEX(Cluster_Master!$H$4:$H$18,MATCH($F460,Cluster_Master!$B$4:$B$18,0)),"")</f>
        <v/>
      </c>
      <c r="N460" s="12"/>
      <c r="O460" s="12"/>
      <c r="P460" s="12"/>
      <c r="Q460" s="12"/>
      <c r="R460" s="12"/>
      <c r="S460" s="12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8" t="str">
        <f t="shared" si="61"/>
        <v/>
      </c>
      <c r="AJ460" s="14" t="str">
        <f t="shared" si="62"/>
        <v/>
      </c>
      <c r="AK460" s="14" t="str">
        <f>IF(COUNTA(T460:AH460)=0,"",(SUM(T460*KPI_Weights!$B$4,U460*KPI_Weights!$B$5,V460*KPI_Weights!$B$6,W460*KPI_Weights!$B$7,X460*KPI_Weights!$B$8,Y460*KPI_Weights!$B$9,Z460*KPI_Weights!$B$10,AA460*KPI_Weights!$B$11,AB460*KPI_Weights!$B$12,AC460*KPI_Weights!$B$13,AD460*KPI_Weights!$B$14,AE460*KPI_Weights!$B$15,AF460*KPI_Weights!$B$16,AG460*KPI_Weights!$B$17,AH460*KPI_Weights!$B$18))/5)</f>
        <v/>
      </c>
      <c r="AL460" s="8" t="str">
        <f t="shared" si="63"/>
        <v/>
      </c>
      <c r="AM460" s="8" t="str">
        <f t="shared" si="64"/>
        <v/>
      </c>
      <c r="AN460" s="8" t="str">
        <f t="shared" si="65"/>
        <v/>
      </c>
      <c r="AO460" s="12"/>
      <c r="AP460" s="12"/>
      <c r="AQ460" s="12"/>
      <c r="AR460" s="12"/>
      <c r="AS460" s="12"/>
      <c r="AT460" s="15"/>
      <c r="AU460" s="12"/>
      <c r="AV460" s="16"/>
      <c r="AW460" s="12"/>
      <c r="AX460" s="15"/>
      <c r="AY460" s="15"/>
      <c r="AZ460" s="15"/>
      <c r="BA460" s="15"/>
      <c r="BB460" s="15"/>
      <c r="BC460" s="15"/>
      <c r="BD460" s="15"/>
      <c r="BE460" s="15"/>
      <c r="BF460" s="15"/>
    </row>
    <row r="461" spans="1:58" ht="19.5" customHeight="1" x14ac:dyDescent="0.2">
      <c r="A461" s="8" t="str">
        <f>IF($B461="","",TEXT($B461,"yyyymmdd")&amp;"-"&amp;SUBSTITUTE($F461," ","")&amp;"-"&amp;TEXT(COUNTIF($F$4:F461,$F461),"00"))</f>
        <v/>
      </c>
      <c r="B461" s="9"/>
      <c r="C461" s="8" t="str">
        <f t="shared" si="59"/>
        <v/>
      </c>
      <c r="D461" s="8" t="str">
        <f t="shared" si="60"/>
        <v/>
      </c>
      <c r="E461" s="10"/>
      <c r="F461" s="10"/>
      <c r="G461" s="8" t="str">
        <f>IF(OR($E461="",$F461=""),"",IFERROR(IF($E461=INDEX(Cluster_Master!$A$4:$A$18,MATCH($F461,Cluster_Master!$B$4:$B$18,0)),"OK","CHECK"),"CHECK"))</f>
        <v/>
      </c>
      <c r="H461" s="11" t="str">
        <f>IFERROR(INDEX(Cluster_Master!$C$4:$C$18,MATCH($F461,Cluster_Master!$B$4:$B$18,0)),"")</f>
        <v/>
      </c>
      <c r="I461" s="8" t="str">
        <f>IFERROR(INDEX(Cluster_Master!$D$4:$D$18,MATCH($F461,Cluster_Master!$B$4:$B$18,0)),"")</f>
        <v/>
      </c>
      <c r="J461" s="8" t="str">
        <f>IFERROR(INDEX(Cluster_Master!$E$4:$E$18,MATCH($F461,Cluster_Master!$B$4:$B$18,0)),"")</f>
        <v/>
      </c>
      <c r="K461" s="8" t="str">
        <f>IFERROR(INDEX(Cluster_Master!$F$4:$F$18,MATCH($F461,Cluster_Master!$B$4:$B$18,0)),"")</f>
        <v/>
      </c>
      <c r="L461" s="8" t="str">
        <f>IFERROR(INDEX(Cluster_Master!$G$4:$G$18,MATCH($F461,Cluster_Master!$B$4:$B$18,0)),"")</f>
        <v/>
      </c>
      <c r="M461" s="8" t="str">
        <f>IFERROR(INDEX(Cluster_Master!$H$4:$H$18,MATCH($F461,Cluster_Master!$B$4:$B$18,0)),"")</f>
        <v/>
      </c>
      <c r="N461" s="12"/>
      <c r="O461" s="12"/>
      <c r="P461" s="12"/>
      <c r="Q461" s="12"/>
      <c r="R461" s="12"/>
      <c r="S461" s="12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8" t="str">
        <f t="shared" si="61"/>
        <v/>
      </c>
      <c r="AJ461" s="14" t="str">
        <f t="shared" si="62"/>
        <v/>
      </c>
      <c r="AK461" s="14" t="str">
        <f>IF(COUNTA(T461:AH461)=0,"",(SUM(T461*KPI_Weights!$B$4,U461*KPI_Weights!$B$5,V461*KPI_Weights!$B$6,W461*KPI_Weights!$B$7,X461*KPI_Weights!$B$8,Y461*KPI_Weights!$B$9,Z461*KPI_Weights!$B$10,AA461*KPI_Weights!$B$11,AB461*KPI_Weights!$B$12,AC461*KPI_Weights!$B$13,AD461*KPI_Weights!$B$14,AE461*KPI_Weights!$B$15,AF461*KPI_Weights!$B$16,AG461*KPI_Weights!$B$17,AH461*KPI_Weights!$B$18))/5)</f>
        <v/>
      </c>
      <c r="AL461" s="8" t="str">
        <f t="shared" si="63"/>
        <v/>
      </c>
      <c r="AM461" s="8" t="str">
        <f t="shared" si="64"/>
        <v/>
      </c>
      <c r="AN461" s="8" t="str">
        <f t="shared" si="65"/>
        <v/>
      </c>
      <c r="AO461" s="12"/>
      <c r="AP461" s="12"/>
      <c r="AQ461" s="12"/>
      <c r="AR461" s="12"/>
      <c r="AS461" s="12"/>
      <c r="AT461" s="15"/>
      <c r="AU461" s="12"/>
      <c r="AV461" s="16"/>
      <c r="AW461" s="12"/>
      <c r="AX461" s="15"/>
      <c r="AY461" s="15"/>
      <c r="AZ461" s="15"/>
      <c r="BA461" s="15"/>
      <c r="BB461" s="15"/>
      <c r="BC461" s="15"/>
      <c r="BD461" s="15"/>
      <c r="BE461" s="15"/>
      <c r="BF461" s="15"/>
    </row>
    <row r="462" spans="1:58" ht="19.5" customHeight="1" x14ac:dyDescent="0.2">
      <c r="A462" s="8" t="str">
        <f>IF($B462="","",TEXT($B462,"yyyymmdd")&amp;"-"&amp;SUBSTITUTE($F462," ","")&amp;"-"&amp;TEXT(COUNTIF($F$4:F462,$F462),"00"))</f>
        <v/>
      </c>
      <c r="B462" s="9"/>
      <c r="C462" s="8" t="str">
        <f t="shared" si="59"/>
        <v/>
      </c>
      <c r="D462" s="8" t="str">
        <f t="shared" si="60"/>
        <v/>
      </c>
      <c r="E462" s="10"/>
      <c r="F462" s="10"/>
      <c r="G462" s="8" t="str">
        <f>IF(OR($E462="",$F462=""),"",IFERROR(IF($E462=INDEX(Cluster_Master!$A$4:$A$18,MATCH($F462,Cluster_Master!$B$4:$B$18,0)),"OK","CHECK"),"CHECK"))</f>
        <v/>
      </c>
      <c r="H462" s="11" t="str">
        <f>IFERROR(INDEX(Cluster_Master!$C$4:$C$18,MATCH($F462,Cluster_Master!$B$4:$B$18,0)),"")</f>
        <v/>
      </c>
      <c r="I462" s="8" t="str">
        <f>IFERROR(INDEX(Cluster_Master!$D$4:$D$18,MATCH($F462,Cluster_Master!$B$4:$B$18,0)),"")</f>
        <v/>
      </c>
      <c r="J462" s="8" t="str">
        <f>IFERROR(INDEX(Cluster_Master!$E$4:$E$18,MATCH($F462,Cluster_Master!$B$4:$B$18,0)),"")</f>
        <v/>
      </c>
      <c r="K462" s="8" t="str">
        <f>IFERROR(INDEX(Cluster_Master!$F$4:$F$18,MATCH($F462,Cluster_Master!$B$4:$B$18,0)),"")</f>
        <v/>
      </c>
      <c r="L462" s="8" t="str">
        <f>IFERROR(INDEX(Cluster_Master!$G$4:$G$18,MATCH($F462,Cluster_Master!$B$4:$B$18,0)),"")</f>
        <v/>
      </c>
      <c r="M462" s="8" t="str">
        <f>IFERROR(INDEX(Cluster_Master!$H$4:$H$18,MATCH($F462,Cluster_Master!$B$4:$B$18,0)),"")</f>
        <v/>
      </c>
      <c r="N462" s="12"/>
      <c r="O462" s="12"/>
      <c r="P462" s="12"/>
      <c r="Q462" s="12"/>
      <c r="R462" s="12"/>
      <c r="S462" s="12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8" t="str">
        <f t="shared" si="61"/>
        <v/>
      </c>
      <c r="AJ462" s="14" t="str">
        <f t="shared" si="62"/>
        <v/>
      </c>
      <c r="AK462" s="14" t="str">
        <f>IF(COUNTA(T462:AH462)=0,"",(SUM(T462*KPI_Weights!$B$4,U462*KPI_Weights!$B$5,V462*KPI_Weights!$B$6,W462*KPI_Weights!$B$7,X462*KPI_Weights!$B$8,Y462*KPI_Weights!$B$9,Z462*KPI_Weights!$B$10,AA462*KPI_Weights!$B$11,AB462*KPI_Weights!$B$12,AC462*KPI_Weights!$B$13,AD462*KPI_Weights!$B$14,AE462*KPI_Weights!$B$15,AF462*KPI_Weights!$B$16,AG462*KPI_Weights!$B$17,AH462*KPI_Weights!$B$18))/5)</f>
        <v/>
      </c>
      <c r="AL462" s="8" t="str">
        <f t="shared" si="63"/>
        <v/>
      </c>
      <c r="AM462" s="8" t="str">
        <f t="shared" si="64"/>
        <v/>
      </c>
      <c r="AN462" s="8" t="str">
        <f t="shared" si="65"/>
        <v/>
      </c>
      <c r="AO462" s="12"/>
      <c r="AP462" s="12"/>
      <c r="AQ462" s="12"/>
      <c r="AR462" s="12"/>
      <c r="AS462" s="12"/>
      <c r="AT462" s="15"/>
      <c r="AU462" s="12"/>
      <c r="AV462" s="16"/>
      <c r="AW462" s="12"/>
      <c r="AX462" s="15"/>
      <c r="AY462" s="15"/>
      <c r="AZ462" s="15"/>
      <c r="BA462" s="15"/>
      <c r="BB462" s="15"/>
      <c r="BC462" s="15"/>
      <c r="BD462" s="15"/>
      <c r="BE462" s="15"/>
      <c r="BF462" s="15"/>
    </row>
    <row r="463" spans="1:58" ht="19.5" customHeight="1" x14ac:dyDescent="0.2">
      <c r="A463" s="8" t="str">
        <f>IF($B463="","",TEXT($B463,"yyyymmdd")&amp;"-"&amp;SUBSTITUTE($F463," ","")&amp;"-"&amp;TEXT(COUNTIF($F$4:F463,$F463),"00"))</f>
        <v/>
      </c>
      <c r="B463" s="9"/>
      <c r="C463" s="8" t="str">
        <f t="shared" si="59"/>
        <v/>
      </c>
      <c r="D463" s="8" t="str">
        <f t="shared" si="60"/>
        <v/>
      </c>
      <c r="E463" s="10"/>
      <c r="F463" s="10"/>
      <c r="G463" s="8" t="str">
        <f>IF(OR($E463="",$F463=""),"",IFERROR(IF($E463=INDEX(Cluster_Master!$A$4:$A$18,MATCH($F463,Cluster_Master!$B$4:$B$18,0)),"OK","CHECK"),"CHECK"))</f>
        <v/>
      </c>
      <c r="H463" s="11" t="str">
        <f>IFERROR(INDEX(Cluster_Master!$C$4:$C$18,MATCH($F463,Cluster_Master!$B$4:$B$18,0)),"")</f>
        <v/>
      </c>
      <c r="I463" s="8" t="str">
        <f>IFERROR(INDEX(Cluster_Master!$D$4:$D$18,MATCH($F463,Cluster_Master!$B$4:$B$18,0)),"")</f>
        <v/>
      </c>
      <c r="J463" s="8" t="str">
        <f>IFERROR(INDEX(Cluster_Master!$E$4:$E$18,MATCH($F463,Cluster_Master!$B$4:$B$18,0)),"")</f>
        <v/>
      </c>
      <c r="K463" s="8" t="str">
        <f>IFERROR(INDEX(Cluster_Master!$F$4:$F$18,MATCH($F463,Cluster_Master!$B$4:$B$18,0)),"")</f>
        <v/>
      </c>
      <c r="L463" s="8" t="str">
        <f>IFERROR(INDEX(Cluster_Master!$G$4:$G$18,MATCH($F463,Cluster_Master!$B$4:$B$18,0)),"")</f>
        <v/>
      </c>
      <c r="M463" s="8" t="str">
        <f>IFERROR(INDEX(Cluster_Master!$H$4:$H$18,MATCH($F463,Cluster_Master!$B$4:$B$18,0)),"")</f>
        <v/>
      </c>
      <c r="N463" s="12"/>
      <c r="O463" s="12"/>
      <c r="P463" s="12"/>
      <c r="Q463" s="12"/>
      <c r="R463" s="12"/>
      <c r="S463" s="12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8" t="str">
        <f t="shared" si="61"/>
        <v/>
      </c>
      <c r="AJ463" s="14" t="str">
        <f t="shared" si="62"/>
        <v/>
      </c>
      <c r="AK463" s="14" t="str">
        <f>IF(COUNTA(T463:AH463)=0,"",(SUM(T463*KPI_Weights!$B$4,U463*KPI_Weights!$B$5,V463*KPI_Weights!$B$6,W463*KPI_Weights!$B$7,X463*KPI_Weights!$B$8,Y463*KPI_Weights!$B$9,Z463*KPI_Weights!$B$10,AA463*KPI_Weights!$B$11,AB463*KPI_Weights!$B$12,AC463*KPI_Weights!$B$13,AD463*KPI_Weights!$B$14,AE463*KPI_Weights!$B$15,AF463*KPI_Weights!$B$16,AG463*KPI_Weights!$B$17,AH463*KPI_Weights!$B$18))/5)</f>
        <v/>
      </c>
      <c r="AL463" s="8" t="str">
        <f t="shared" si="63"/>
        <v/>
      </c>
      <c r="AM463" s="8" t="str">
        <f t="shared" si="64"/>
        <v/>
      </c>
      <c r="AN463" s="8" t="str">
        <f t="shared" si="65"/>
        <v/>
      </c>
      <c r="AO463" s="12"/>
      <c r="AP463" s="12"/>
      <c r="AQ463" s="12"/>
      <c r="AR463" s="12"/>
      <c r="AS463" s="12"/>
      <c r="AT463" s="15"/>
      <c r="AU463" s="12"/>
      <c r="AV463" s="16"/>
      <c r="AW463" s="12"/>
      <c r="AX463" s="15"/>
      <c r="AY463" s="15"/>
      <c r="AZ463" s="15"/>
      <c r="BA463" s="15"/>
      <c r="BB463" s="15"/>
      <c r="BC463" s="15"/>
      <c r="BD463" s="15"/>
      <c r="BE463" s="15"/>
      <c r="BF463" s="15"/>
    </row>
    <row r="464" spans="1:58" ht="19.5" customHeight="1" x14ac:dyDescent="0.2">
      <c r="A464" s="8" t="str">
        <f>IF($B464="","",TEXT($B464,"yyyymmdd")&amp;"-"&amp;SUBSTITUTE($F464," ","")&amp;"-"&amp;TEXT(COUNTIF($F$4:F464,$F464),"00"))</f>
        <v/>
      </c>
      <c r="B464" s="9"/>
      <c r="C464" s="8" t="str">
        <f t="shared" si="59"/>
        <v/>
      </c>
      <c r="D464" s="8" t="str">
        <f t="shared" si="60"/>
        <v/>
      </c>
      <c r="E464" s="10"/>
      <c r="F464" s="10"/>
      <c r="G464" s="8" t="str">
        <f>IF(OR($E464="",$F464=""),"",IFERROR(IF($E464=INDEX(Cluster_Master!$A$4:$A$18,MATCH($F464,Cluster_Master!$B$4:$B$18,0)),"OK","CHECK"),"CHECK"))</f>
        <v/>
      </c>
      <c r="H464" s="11" t="str">
        <f>IFERROR(INDEX(Cluster_Master!$C$4:$C$18,MATCH($F464,Cluster_Master!$B$4:$B$18,0)),"")</f>
        <v/>
      </c>
      <c r="I464" s="8" t="str">
        <f>IFERROR(INDEX(Cluster_Master!$D$4:$D$18,MATCH($F464,Cluster_Master!$B$4:$B$18,0)),"")</f>
        <v/>
      </c>
      <c r="J464" s="8" t="str">
        <f>IFERROR(INDEX(Cluster_Master!$E$4:$E$18,MATCH($F464,Cluster_Master!$B$4:$B$18,0)),"")</f>
        <v/>
      </c>
      <c r="K464" s="8" t="str">
        <f>IFERROR(INDEX(Cluster_Master!$F$4:$F$18,MATCH($F464,Cluster_Master!$B$4:$B$18,0)),"")</f>
        <v/>
      </c>
      <c r="L464" s="8" t="str">
        <f>IFERROR(INDEX(Cluster_Master!$G$4:$G$18,MATCH($F464,Cluster_Master!$B$4:$B$18,0)),"")</f>
        <v/>
      </c>
      <c r="M464" s="8" t="str">
        <f>IFERROR(INDEX(Cluster_Master!$H$4:$H$18,MATCH($F464,Cluster_Master!$B$4:$B$18,0)),"")</f>
        <v/>
      </c>
      <c r="N464" s="12"/>
      <c r="O464" s="12"/>
      <c r="P464" s="12"/>
      <c r="Q464" s="12"/>
      <c r="R464" s="12"/>
      <c r="S464" s="12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8" t="str">
        <f t="shared" si="61"/>
        <v/>
      </c>
      <c r="AJ464" s="14" t="str">
        <f t="shared" si="62"/>
        <v/>
      </c>
      <c r="AK464" s="14" t="str">
        <f>IF(COUNTA(T464:AH464)=0,"",(SUM(T464*KPI_Weights!$B$4,U464*KPI_Weights!$B$5,V464*KPI_Weights!$B$6,W464*KPI_Weights!$B$7,X464*KPI_Weights!$B$8,Y464*KPI_Weights!$B$9,Z464*KPI_Weights!$B$10,AA464*KPI_Weights!$B$11,AB464*KPI_Weights!$B$12,AC464*KPI_Weights!$B$13,AD464*KPI_Weights!$B$14,AE464*KPI_Weights!$B$15,AF464*KPI_Weights!$B$16,AG464*KPI_Weights!$B$17,AH464*KPI_Weights!$B$18))/5)</f>
        <v/>
      </c>
      <c r="AL464" s="8" t="str">
        <f t="shared" si="63"/>
        <v/>
      </c>
      <c r="AM464" s="8" t="str">
        <f t="shared" si="64"/>
        <v/>
      </c>
      <c r="AN464" s="8" t="str">
        <f t="shared" si="65"/>
        <v/>
      </c>
      <c r="AO464" s="12"/>
      <c r="AP464" s="12"/>
      <c r="AQ464" s="12"/>
      <c r="AR464" s="12"/>
      <c r="AS464" s="12"/>
      <c r="AT464" s="15"/>
      <c r="AU464" s="12"/>
      <c r="AV464" s="16"/>
      <c r="AW464" s="12"/>
      <c r="AX464" s="15"/>
      <c r="AY464" s="15"/>
      <c r="AZ464" s="15"/>
      <c r="BA464" s="15"/>
      <c r="BB464" s="15"/>
      <c r="BC464" s="15"/>
      <c r="BD464" s="15"/>
      <c r="BE464" s="15"/>
      <c r="BF464" s="15"/>
    </row>
    <row r="465" spans="1:58" ht="19.5" customHeight="1" x14ac:dyDescent="0.2">
      <c r="A465" s="8" t="str">
        <f>IF($B465="","",TEXT($B465,"yyyymmdd")&amp;"-"&amp;SUBSTITUTE($F465," ","")&amp;"-"&amp;TEXT(COUNTIF($F$4:F465,$F465),"00"))</f>
        <v/>
      </c>
      <c r="B465" s="9"/>
      <c r="C465" s="8" t="str">
        <f t="shared" si="59"/>
        <v/>
      </c>
      <c r="D465" s="8" t="str">
        <f t="shared" si="60"/>
        <v/>
      </c>
      <c r="E465" s="10"/>
      <c r="F465" s="10"/>
      <c r="G465" s="8" t="str">
        <f>IF(OR($E465="",$F465=""),"",IFERROR(IF($E465=INDEX(Cluster_Master!$A$4:$A$18,MATCH($F465,Cluster_Master!$B$4:$B$18,0)),"OK","CHECK"),"CHECK"))</f>
        <v/>
      </c>
      <c r="H465" s="11" t="str">
        <f>IFERROR(INDEX(Cluster_Master!$C$4:$C$18,MATCH($F465,Cluster_Master!$B$4:$B$18,0)),"")</f>
        <v/>
      </c>
      <c r="I465" s="8" t="str">
        <f>IFERROR(INDEX(Cluster_Master!$D$4:$D$18,MATCH($F465,Cluster_Master!$B$4:$B$18,0)),"")</f>
        <v/>
      </c>
      <c r="J465" s="8" t="str">
        <f>IFERROR(INDEX(Cluster_Master!$E$4:$E$18,MATCH($F465,Cluster_Master!$B$4:$B$18,0)),"")</f>
        <v/>
      </c>
      <c r="K465" s="8" t="str">
        <f>IFERROR(INDEX(Cluster_Master!$F$4:$F$18,MATCH($F465,Cluster_Master!$B$4:$B$18,0)),"")</f>
        <v/>
      </c>
      <c r="L465" s="8" t="str">
        <f>IFERROR(INDEX(Cluster_Master!$G$4:$G$18,MATCH($F465,Cluster_Master!$B$4:$B$18,0)),"")</f>
        <v/>
      </c>
      <c r="M465" s="8" t="str">
        <f>IFERROR(INDEX(Cluster_Master!$H$4:$H$18,MATCH($F465,Cluster_Master!$B$4:$B$18,0)),"")</f>
        <v/>
      </c>
      <c r="N465" s="12"/>
      <c r="O465" s="12"/>
      <c r="P465" s="12"/>
      <c r="Q465" s="12"/>
      <c r="R465" s="12"/>
      <c r="S465" s="12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8" t="str">
        <f t="shared" si="61"/>
        <v/>
      </c>
      <c r="AJ465" s="14" t="str">
        <f t="shared" si="62"/>
        <v/>
      </c>
      <c r="AK465" s="14" t="str">
        <f>IF(COUNTA(T465:AH465)=0,"",(SUM(T465*KPI_Weights!$B$4,U465*KPI_Weights!$B$5,V465*KPI_Weights!$B$6,W465*KPI_Weights!$B$7,X465*KPI_Weights!$B$8,Y465*KPI_Weights!$B$9,Z465*KPI_Weights!$B$10,AA465*KPI_Weights!$B$11,AB465*KPI_Weights!$B$12,AC465*KPI_Weights!$B$13,AD465*KPI_Weights!$B$14,AE465*KPI_Weights!$B$15,AF465*KPI_Weights!$B$16,AG465*KPI_Weights!$B$17,AH465*KPI_Weights!$B$18))/5)</f>
        <v/>
      </c>
      <c r="AL465" s="8" t="str">
        <f t="shared" si="63"/>
        <v/>
      </c>
      <c r="AM465" s="8" t="str">
        <f t="shared" si="64"/>
        <v/>
      </c>
      <c r="AN465" s="8" t="str">
        <f t="shared" si="65"/>
        <v/>
      </c>
      <c r="AO465" s="12"/>
      <c r="AP465" s="12"/>
      <c r="AQ465" s="12"/>
      <c r="AR465" s="12"/>
      <c r="AS465" s="12"/>
      <c r="AT465" s="15"/>
      <c r="AU465" s="12"/>
      <c r="AV465" s="16"/>
      <c r="AW465" s="12"/>
      <c r="AX465" s="15"/>
      <c r="AY465" s="15"/>
      <c r="AZ465" s="15"/>
      <c r="BA465" s="15"/>
      <c r="BB465" s="15"/>
      <c r="BC465" s="15"/>
      <c r="BD465" s="15"/>
      <c r="BE465" s="15"/>
      <c r="BF465" s="15"/>
    </row>
    <row r="466" spans="1:58" ht="19.5" customHeight="1" x14ac:dyDescent="0.2">
      <c r="A466" s="8" t="str">
        <f>IF($B466="","",TEXT($B466,"yyyymmdd")&amp;"-"&amp;SUBSTITUTE($F466," ","")&amp;"-"&amp;TEXT(COUNTIF($F$4:F466,$F466),"00"))</f>
        <v/>
      </c>
      <c r="B466" s="9"/>
      <c r="C466" s="8" t="str">
        <f t="shared" si="59"/>
        <v/>
      </c>
      <c r="D466" s="8" t="str">
        <f t="shared" si="60"/>
        <v/>
      </c>
      <c r="E466" s="10"/>
      <c r="F466" s="10"/>
      <c r="G466" s="8" t="str">
        <f>IF(OR($E466="",$F466=""),"",IFERROR(IF($E466=INDEX(Cluster_Master!$A$4:$A$18,MATCH($F466,Cluster_Master!$B$4:$B$18,0)),"OK","CHECK"),"CHECK"))</f>
        <v/>
      </c>
      <c r="H466" s="11" t="str">
        <f>IFERROR(INDEX(Cluster_Master!$C$4:$C$18,MATCH($F466,Cluster_Master!$B$4:$B$18,0)),"")</f>
        <v/>
      </c>
      <c r="I466" s="8" t="str">
        <f>IFERROR(INDEX(Cluster_Master!$D$4:$D$18,MATCH($F466,Cluster_Master!$B$4:$B$18,0)),"")</f>
        <v/>
      </c>
      <c r="J466" s="8" t="str">
        <f>IFERROR(INDEX(Cluster_Master!$E$4:$E$18,MATCH($F466,Cluster_Master!$B$4:$B$18,0)),"")</f>
        <v/>
      </c>
      <c r="K466" s="8" t="str">
        <f>IFERROR(INDEX(Cluster_Master!$F$4:$F$18,MATCH($F466,Cluster_Master!$B$4:$B$18,0)),"")</f>
        <v/>
      </c>
      <c r="L466" s="8" t="str">
        <f>IFERROR(INDEX(Cluster_Master!$G$4:$G$18,MATCH($F466,Cluster_Master!$B$4:$B$18,0)),"")</f>
        <v/>
      </c>
      <c r="M466" s="8" t="str">
        <f>IFERROR(INDEX(Cluster_Master!$H$4:$H$18,MATCH($F466,Cluster_Master!$B$4:$B$18,0)),"")</f>
        <v/>
      </c>
      <c r="N466" s="12"/>
      <c r="O466" s="12"/>
      <c r="P466" s="12"/>
      <c r="Q466" s="12"/>
      <c r="R466" s="12"/>
      <c r="S466" s="12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8" t="str">
        <f t="shared" si="61"/>
        <v/>
      </c>
      <c r="AJ466" s="14" t="str">
        <f t="shared" si="62"/>
        <v/>
      </c>
      <c r="AK466" s="14" t="str">
        <f>IF(COUNTA(T466:AH466)=0,"",(SUM(T466*KPI_Weights!$B$4,U466*KPI_Weights!$B$5,V466*KPI_Weights!$B$6,W466*KPI_Weights!$B$7,X466*KPI_Weights!$B$8,Y466*KPI_Weights!$B$9,Z466*KPI_Weights!$B$10,AA466*KPI_Weights!$B$11,AB466*KPI_Weights!$B$12,AC466*KPI_Weights!$B$13,AD466*KPI_Weights!$B$14,AE466*KPI_Weights!$B$15,AF466*KPI_Weights!$B$16,AG466*KPI_Weights!$B$17,AH466*KPI_Weights!$B$18))/5)</f>
        <v/>
      </c>
      <c r="AL466" s="8" t="str">
        <f t="shared" si="63"/>
        <v/>
      </c>
      <c r="AM466" s="8" t="str">
        <f t="shared" si="64"/>
        <v/>
      </c>
      <c r="AN466" s="8" t="str">
        <f t="shared" si="65"/>
        <v/>
      </c>
      <c r="AO466" s="12"/>
      <c r="AP466" s="12"/>
      <c r="AQ466" s="12"/>
      <c r="AR466" s="12"/>
      <c r="AS466" s="12"/>
      <c r="AT466" s="15"/>
      <c r="AU466" s="12"/>
      <c r="AV466" s="16"/>
      <c r="AW466" s="12"/>
      <c r="AX466" s="15"/>
      <c r="AY466" s="15"/>
      <c r="AZ466" s="15"/>
      <c r="BA466" s="15"/>
      <c r="BB466" s="15"/>
      <c r="BC466" s="15"/>
      <c r="BD466" s="15"/>
      <c r="BE466" s="15"/>
      <c r="BF466" s="15"/>
    </row>
    <row r="467" spans="1:58" ht="19.5" customHeight="1" x14ac:dyDescent="0.2">
      <c r="A467" s="8" t="str">
        <f>IF($B467="","",TEXT($B467,"yyyymmdd")&amp;"-"&amp;SUBSTITUTE($F467," ","")&amp;"-"&amp;TEXT(COUNTIF($F$4:F467,$F467),"00"))</f>
        <v/>
      </c>
      <c r="B467" s="9"/>
      <c r="C467" s="8" t="str">
        <f t="shared" si="59"/>
        <v/>
      </c>
      <c r="D467" s="8" t="str">
        <f t="shared" si="60"/>
        <v/>
      </c>
      <c r="E467" s="10"/>
      <c r="F467" s="10"/>
      <c r="G467" s="8" t="str">
        <f>IF(OR($E467="",$F467=""),"",IFERROR(IF($E467=INDEX(Cluster_Master!$A$4:$A$18,MATCH($F467,Cluster_Master!$B$4:$B$18,0)),"OK","CHECK"),"CHECK"))</f>
        <v/>
      </c>
      <c r="H467" s="11" t="str">
        <f>IFERROR(INDEX(Cluster_Master!$C$4:$C$18,MATCH($F467,Cluster_Master!$B$4:$B$18,0)),"")</f>
        <v/>
      </c>
      <c r="I467" s="8" t="str">
        <f>IFERROR(INDEX(Cluster_Master!$D$4:$D$18,MATCH($F467,Cluster_Master!$B$4:$B$18,0)),"")</f>
        <v/>
      </c>
      <c r="J467" s="8" t="str">
        <f>IFERROR(INDEX(Cluster_Master!$E$4:$E$18,MATCH($F467,Cluster_Master!$B$4:$B$18,0)),"")</f>
        <v/>
      </c>
      <c r="K467" s="8" t="str">
        <f>IFERROR(INDEX(Cluster_Master!$F$4:$F$18,MATCH($F467,Cluster_Master!$B$4:$B$18,0)),"")</f>
        <v/>
      </c>
      <c r="L467" s="8" t="str">
        <f>IFERROR(INDEX(Cluster_Master!$G$4:$G$18,MATCH($F467,Cluster_Master!$B$4:$B$18,0)),"")</f>
        <v/>
      </c>
      <c r="M467" s="8" t="str">
        <f>IFERROR(INDEX(Cluster_Master!$H$4:$H$18,MATCH($F467,Cluster_Master!$B$4:$B$18,0)),"")</f>
        <v/>
      </c>
      <c r="N467" s="12"/>
      <c r="O467" s="12"/>
      <c r="P467" s="12"/>
      <c r="Q467" s="12"/>
      <c r="R467" s="12"/>
      <c r="S467" s="12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8" t="str">
        <f t="shared" si="61"/>
        <v/>
      </c>
      <c r="AJ467" s="14" t="str">
        <f t="shared" si="62"/>
        <v/>
      </c>
      <c r="AK467" s="14" t="str">
        <f>IF(COUNTA(T467:AH467)=0,"",(SUM(T467*KPI_Weights!$B$4,U467*KPI_Weights!$B$5,V467*KPI_Weights!$B$6,W467*KPI_Weights!$B$7,X467*KPI_Weights!$B$8,Y467*KPI_Weights!$B$9,Z467*KPI_Weights!$B$10,AA467*KPI_Weights!$B$11,AB467*KPI_Weights!$B$12,AC467*KPI_Weights!$B$13,AD467*KPI_Weights!$B$14,AE467*KPI_Weights!$B$15,AF467*KPI_Weights!$B$16,AG467*KPI_Weights!$B$17,AH467*KPI_Weights!$B$18))/5)</f>
        <v/>
      </c>
      <c r="AL467" s="8" t="str">
        <f t="shared" si="63"/>
        <v/>
      </c>
      <c r="AM467" s="8" t="str">
        <f t="shared" si="64"/>
        <v/>
      </c>
      <c r="AN467" s="8" t="str">
        <f t="shared" si="65"/>
        <v/>
      </c>
      <c r="AO467" s="12"/>
      <c r="AP467" s="12"/>
      <c r="AQ467" s="12"/>
      <c r="AR467" s="12"/>
      <c r="AS467" s="12"/>
      <c r="AT467" s="15"/>
      <c r="AU467" s="12"/>
      <c r="AV467" s="16"/>
      <c r="AW467" s="12"/>
      <c r="AX467" s="15"/>
      <c r="AY467" s="15"/>
      <c r="AZ467" s="15"/>
      <c r="BA467" s="15"/>
      <c r="BB467" s="15"/>
      <c r="BC467" s="15"/>
      <c r="BD467" s="15"/>
      <c r="BE467" s="15"/>
      <c r="BF467" s="15"/>
    </row>
    <row r="468" spans="1:58" ht="19.5" customHeight="1" x14ac:dyDescent="0.2">
      <c r="A468" s="8" t="str">
        <f>IF($B468="","",TEXT($B468,"yyyymmdd")&amp;"-"&amp;SUBSTITUTE($F468," ","")&amp;"-"&amp;TEXT(COUNTIF($F$4:F468,$F468),"00"))</f>
        <v/>
      </c>
      <c r="B468" s="9"/>
      <c r="C468" s="8" t="str">
        <f t="shared" si="59"/>
        <v/>
      </c>
      <c r="D468" s="8" t="str">
        <f t="shared" si="60"/>
        <v/>
      </c>
      <c r="E468" s="10"/>
      <c r="F468" s="10"/>
      <c r="G468" s="8" t="str">
        <f>IF(OR($E468="",$F468=""),"",IFERROR(IF($E468=INDEX(Cluster_Master!$A$4:$A$18,MATCH($F468,Cluster_Master!$B$4:$B$18,0)),"OK","CHECK"),"CHECK"))</f>
        <v/>
      </c>
      <c r="H468" s="11" t="str">
        <f>IFERROR(INDEX(Cluster_Master!$C$4:$C$18,MATCH($F468,Cluster_Master!$B$4:$B$18,0)),"")</f>
        <v/>
      </c>
      <c r="I468" s="8" t="str">
        <f>IFERROR(INDEX(Cluster_Master!$D$4:$D$18,MATCH($F468,Cluster_Master!$B$4:$B$18,0)),"")</f>
        <v/>
      </c>
      <c r="J468" s="8" t="str">
        <f>IFERROR(INDEX(Cluster_Master!$E$4:$E$18,MATCH($F468,Cluster_Master!$B$4:$B$18,0)),"")</f>
        <v/>
      </c>
      <c r="K468" s="8" t="str">
        <f>IFERROR(INDEX(Cluster_Master!$F$4:$F$18,MATCH($F468,Cluster_Master!$B$4:$B$18,0)),"")</f>
        <v/>
      </c>
      <c r="L468" s="8" t="str">
        <f>IFERROR(INDEX(Cluster_Master!$G$4:$G$18,MATCH($F468,Cluster_Master!$B$4:$B$18,0)),"")</f>
        <v/>
      </c>
      <c r="M468" s="8" t="str">
        <f>IFERROR(INDEX(Cluster_Master!$H$4:$H$18,MATCH($F468,Cluster_Master!$B$4:$B$18,0)),"")</f>
        <v/>
      </c>
      <c r="N468" s="12"/>
      <c r="O468" s="12"/>
      <c r="P468" s="12"/>
      <c r="Q468" s="12"/>
      <c r="R468" s="12"/>
      <c r="S468" s="12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8" t="str">
        <f t="shared" si="61"/>
        <v/>
      </c>
      <c r="AJ468" s="14" t="str">
        <f t="shared" si="62"/>
        <v/>
      </c>
      <c r="AK468" s="14" t="str">
        <f>IF(COUNTA(T468:AH468)=0,"",(SUM(T468*KPI_Weights!$B$4,U468*KPI_Weights!$B$5,V468*KPI_Weights!$B$6,W468*KPI_Weights!$B$7,X468*KPI_Weights!$B$8,Y468*KPI_Weights!$B$9,Z468*KPI_Weights!$B$10,AA468*KPI_Weights!$B$11,AB468*KPI_Weights!$B$12,AC468*KPI_Weights!$B$13,AD468*KPI_Weights!$B$14,AE468*KPI_Weights!$B$15,AF468*KPI_Weights!$B$16,AG468*KPI_Weights!$B$17,AH468*KPI_Weights!$B$18))/5)</f>
        <v/>
      </c>
      <c r="AL468" s="8" t="str">
        <f t="shared" si="63"/>
        <v/>
      </c>
      <c r="AM468" s="8" t="str">
        <f t="shared" si="64"/>
        <v/>
      </c>
      <c r="AN468" s="8" t="str">
        <f t="shared" si="65"/>
        <v/>
      </c>
      <c r="AO468" s="12"/>
      <c r="AP468" s="12"/>
      <c r="AQ468" s="12"/>
      <c r="AR468" s="12"/>
      <c r="AS468" s="12"/>
      <c r="AT468" s="15"/>
      <c r="AU468" s="12"/>
      <c r="AV468" s="16"/>
      <c r="AW468" s="12"/>
      <c r="AX468" s="15"/>
      <c r="AY468" s="15"/>
      <c r="AZ468" s="15"/>
      <c r="BA468" s="15"/>
      <c r="BB468" s="15"/>
      <c r="BC468" s="15"/>
      <c r="BD468" s="15"/>
      <c r="BE468" s="15"/>
      <c r="BF468" s="15"/>
    </row>
    <row r="469" spans="1:58" ht="19.5" customHeight="1" x14ac:dyDescent="0.2">
      <c r="A469" s="8" t="str">
        <f>IF($B469="","",TEXT($B469,"yyyymmdd")&amp;"-"&amp;SUBSTITUTE($F469," ","")&amp;"-"&amp;TEXT(COUNTIF($F$4:F469,$F469),"00"))</f>
        <v/>
      </c>
      <c r="B469" s="9"/>
      <c r="C469" s="8" t="str">
        <f t="shared" si="59"/>
        <v/>
      </c>
      <c r="D469" s="8" t="str">
        <f t="shared" si="60"/>
        <v/>
      </c>
      <c r="E469" s="10"/>
      <c r="F469" s="10"/>
      <c r="G469" s="8" t="str">
        <f>IF(OR($E469="",$F469=""),"",IFERROR(IF($E469=INDEX(Cluster_Master!$A$4:$A$18,MATCH($F469,Cluster_Master!$B$4:$B$18,0)),"OK","CHECK"),"CHECK"))</f>
        <v/>
      </c>
      <c r="H469" s="11" t="str">
        <f>IFERROR(INDEX(Cluster_Master!$C$4:$C$18,MATCH($F469,Cluster_Master!$B$4:$B$18,0)),"")</f>
        <v/>
      </c>
      <c r="I469" s="8" t="str">
        <f>IFERROR(INDEX(Cluster_Master!$D$4:$D$18,MATCH($F469,Cluster_Master!$B$4:$B$18,0)),"")</f>
        <v/>
      </c>
      <c r="J469" s="8" t="str">
        <f>IFERROR(INDEX(Cluster_Master!$E$4:$E$18,MATCH($F469,Cluster_Master!$B$4:$B$18,0)),"")</f>
        <v/>
      </c>
      <c r="K469" s="8" t="str">
        <f>IFERROR(INDEX(Cluster_Master!$F$4:$F$18,MATCH($F469,Cluster_Master!$B$4:$B$18,0)),"")</f>
        <v/>
      </c>
      <c r="L469" s="8" t="str">
        <f>IFERROR(INDEX(Cluster_Master!$G$4:$G$18,MATCH($F469,Cluster_Master!$B$4:$B$18,0)),"")</f>
        <v/>
      </c>
      <c r="M469" s="8" t="str">
        <f>IFERROR(INDEX(Cluster_Master!$H$4:$H$18,MATCH($F469,Cluster_Master!$B$4:$B$18,0)),"")</f>
        <v/>
      </c>
      <c r="N469" s="12"/>
      <c r="O469" s="12"/>
      <c r="P469" s="12"/>
      <c r="Q469" s="12"/>
      <c r="R469" s="12"/>
      <c r="S469" s="12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8" t="str">
        <f t="shared" si="61"/>
        <v/>
      </c>
      <c r="AJ469" s="14" t="str">
        <f t="shared" si="62"/>
        <v/>
      </c>
      <c r="AK469" s="14" t="str">
        <f>IF(COUNTA(T469:AH469)=0,"",(SUM(T469*KPI_Weights!$B$4,U469*KPI_Weights!$B$5,V469*KPI_Weights!$B$6,W469*KPI_Weights!$B$7,X469*KPI_Weights!$B$8,Y469*KPI_Weights!$B$9,Z469*KPI_Weights!$B$10,AA469*KPI_Weights!$B$11,AB469*KPI_Weights!$B$12,AC469*KPI_Weights!$B$13,AD469*KPI_Weights!$B$14,AE469*KPI_Weights!$B$15,AF469*KPI_Weights!$B$16,AG469*KPI_Weights!$B$17,AH469*KPI_Weights!$B$18))/5)</f>
        <v/>
      </c>
      <c r="AL469" s="8" t="str">
        <f t="shared" si="63"/>
        <v/>
      </c>
      <c r="AM469" s="8" t="str">
        <f t="shared" si="64"/>
        <v/>
      </c>
      <c r="AN469" s="8" t="str">
        <f t="shared" si="65"/>
        <v/>
      </c>
      <c r="AO469" s="12"/>
      <c r="AP469" s="12"/>
      <c r="AQ469" s="12"/>
      <c r="AR469" s="12"/>
      <c r="AS469" s="12"/>
      <c r="AT469" s="15"/>
      <c r="AU469" s="12"/>
      <c r="AV469" s="16"/>
      <c r="AW469" s="12"/>
      <c r="AX469" s="15"/>
      <c r="AY469" s="15"/>
      <c r="AZ469" s="15"/>
      <c r="BA469" s="15"/>
      <c r="BB469" s="15"/>
      <c r="BC469" s="15"/>
      <c r="BD469" s="15"/>
      <c r="BE469" s="15"/>
      <c r="BF469" s="15"/>
    </row>
    <row r="470" spans="1:58" ht="19.5" customHeight="1" x14ac:dyDescent="0.2">
      <c r="A470" s="8" t="str">
        <f>IF($B470="","",TEXT($B470,"yyyymmdd")&amp;"-"&amp;SUBSTITUTE($F470," ","")&amp;"-"&amp;TEXT(COUNTIF($F$4:F470,$F470),"00"))</f>
        <v/>
      </c>
      <c r="B470" s="9"/>
      <c r="C470" s="8" t="str">
        <f t="shared" si="59"/>
        <v/>
      </c>
      <c r="D470" s="8" t="str">
        <f t="shared" si="60"/>
        <v/>
      </c>
      <c r="E470" s="10"/>
      <c r="F470" s="10"/>
      <c r="G470" s="8" t="str">
        <f>IF(OR($E470="",$F470=""),"",IFERROR(IF($E470=INDEX(Cluster_Master!$A$4:$A$18,MATCH($F470,Cluster_Master!$B$4:$B$18,0)),"OK","CHECK"),"CHECK"))</f>
        <v/>
      </c>
      <c r="H470" s="11" t="str">
        <f>IFERROR(INDEX(Cluster_Master!$C$4:$C$18,MATCH($F470,Cluster_Master!$B$4:$B$18,0)),"")</f>
        <v/>
      </c>
      <c r="I470" s="8" t="str">
        <f>IFERROR(INDEX(Cluster_Master!$D$4:$D$18,MATCH($F470,Cluster_Master!$B$4:$B$18,0)),"")</f>
        <v/>
      </c>
      <c r="J470" s="8" t="str">
        <f>IFERROR(INDEX(Cluster_Master!$E$4:$E$18,MATCH($F470,Cluster_Master!$B$4:$B$18,0)),"")</f>
        <v/>
      </c>
      <c r="K470" s="8" t="str">
        <f>IFERROR(INDEX(Cluster_Master!$F$4:$F$18,MATCH($F470,Cluster_Master!$B$4:$B$18,0)),"")</f>
        <v/>
      </c>
      <c r="L470" s="8" t="str">
        <f>IFERROR(INDEX(Cluster_Master!$G$4:$G$18,MATCH($F470,Cluster_Master!$B$4:$B$18,0)),"")</f>
        <v/>
      </c>
      <c r="M470" s="8" t="str">
        <f>IFERROR(INDEX(Cluster_Master!$H$4:$H$18,MATCH($F470,Cluster_Master!$B$4:$B$18,0)),"")</f>
        <v/>
      </c>
      <c r="N470" s="12"/>
      <c r="O470" s="12"/>
      <c r="P470" s="12"/>
      <c r="Q470" s="12"/>
      <c r="R470" s="12"/>
      <c r="S470" s="12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8" t="str">
        <f t="shared" si="61"/>
        <v/>
      </c>
      <c r="AJ470" s="14" t="str">
        <f t="shared" si="62"/>
        <v/>
      </c>
      <c r="AK470" s="14" t="str">
        <f>IF(COUNTA(T470:AH470)=0,"",(SUM(T470*KPI_Weights!$B$4,U470*KPI_Weights!$B$5,V470*KPI_Weights!$B$6,W470*KPI_Weights!$B$7,X470*KPI_Weights!$B$8,Y470*KPI_Weights!$B$9,Z470*KPI_Weights!$B$10,AA470*KPI_Weights!$B$11,AB470*KPI_Weights!$B$12,AC470*KPI_Weights!$B$13,AD470*KPI_Weights!$B$14,AE470*KPI_Weights!$B$15,AF470*KPI_Weights!$B$16,AG470*KPI_Weights!$B$17,AH470*KPI_Weights!$B$18))/5)</f>
        <v/>
      </c>
      <c r="AL470" s="8" t="str">
        <f t="shared" si="63"/>
        <v/>
      </c>
      <c r="AM470" s="8" t="str">
        <f t="shared" si="64"/>
        <v/>
      </c>
      <c r="AN470" s="8" t="str">
        <f t="shared" si="65"/>
        <v/>
      </c>
      <c r="AO470" s="12"/>
      <c r="AP470" s="12"/>
      <c r="AQ470" s="12"/>
      <c r="AR470" s="12"/>
      <c r="AS470" s="12"/>
      <c r="AT470" s="15"/>
      <c r="AU470" s="12"/>
      <c r="AV470" s="16"/>
      <c r="AW470" s="12"/>
      <c r="AX470" s="15"/>
      <c r="AY470" s="15"/>
      <c r="AZ470" s="15"/>
      <c r="BA470" s="15"/>
      <c r="BB470" s="15"/>
      <c r="BC470" s="15"/>
      <c r="BD470" s="15"/>
      <c r="BE470" s="15"/>
      <c r="BF470" s="15"/>
    </row>
    <row r="471" spans="1:58" ht="19.5" customHeight="1" x14ac:dyDescent="0.2">
      <c r="A471" s="8" t="str">
        <f>IF($B471="","",TEXT($B471,"yyyymmdd")&amp;"-"&amp;SUBSTITUTE($F471," ","")&amp;"-"&amp;TEXT(COUNTIF($F$4:F471,$F471),"00"))</f>
        <v/>
      </c>
      <c r="B471" s="9"/>
      <c r="C471" s="8" t="str">
        <f t="shared" si="59"/>
        <v/>
      </c>
      <c r="D471" s="8" t="str">
        <f t="shared" si="60"/>
        <v/>
      </c>
      <c r="E471" s="10"/>
      <c r="F471" s="10"/>
      <c r="G471" s="8" t="str">
        <f>IF(OR($E471="",$F471=""),"",IFERROR(IF($E471=INDEX(Cluster_Master!$A$4:$A$18,MATCH($F471,Cluster_Master!$B$4:$B$18,0)),"OK","CHECK"),"CHECK"))</f>
        <v/>
      </c>
      <c r="H471" s="11" t="str">
        <f>IFERROR(INDEX(Cluster_Master!$C$4:$C$18,MATCH($F471,Cluster_Master!$B$4:$B$18,0)),"")</f>
        <v/>
      </c>
      <c r="I471" s="8" t="str">
        <f>IFERROR(INDEX(Cluster_Master!$D$4:$D$18,MATCH($F471,Cluster_Master!$B$4:$B$18,0)),"")</f>
        <v/>
      </c>
      <c r="J471" s="8" t="str">
        <f>IFERROR(INDEX(Cluster_Master!$E$4:$E$18,MATCH($F471,Cluster_Master!$B$4:$B$18,0)),"")</f>
        <v/>
      </c>
      <c r="K471" s="8" t="str">
        <f>IFERROR(INDEX(Cluster_Master!$F$4:$F$18,MATCH($F471,Cluster_Master!$B$4:$B$18,0)),"")</f>
        <v/>
      </c>
      <c r="L471" s="8" t="str">
        <f>IFERROR(INDEX(Cluster_Master!$G$4:$G$18,MATCH($F471,Cluster_Master!$B$4:$B$18,0)),"")</f>
        <v/>
      </c>
      <c r="M471" s="8" t="str">
        <f>IFERROR(INDEX(Cluster_Master!$H$4:$H$18,MATCH($F471,Cluster_Master!$B$4:$B$18,0)),"")</f>
        <v/>
      </c>
      <c r="N471" s="12"/>
      <c r="O471" s="12"/>
      <c r="P471" s="12"/>
      <c r="Q471" s="12"/>
      <c r="R471" s="12"/>
      <c r="S471" s="12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8" t="str">
        <f t="shared" si="61"/>
        <v/>
      </c>
      <c r="AJ471" s="14" t="str">
        <f t="shared" si="62"/>
        <v/>
      </c>
      <c r="AK471" s="14" t="str">
        <f>IF(COUNTA(T471:AH471)=0,"",(SUM(T471*KPI_Weights!$B$4,U471*KPI_Weights!$B$5,V471*KPI_Weights!$B$6,W471*KPI_Weights!$B$7,X471*KPI_Weights!$B$8,Y471*KPI_Weights!$B$9,Z471*KPI_Weights!$B$10,AA471*KPI_Weights!$B$11,AB471*KPI_Weights!$B$12,AC471*KPI_Weights!$B$13,AD471*KPI_Weights!$B$14,AE471*KPI_Weights!$B$15,AF471*KPI_Weights!$B$16,AG471*KPI_Weights!$B$17,AH471*KPI_Weights!$B$18))/5)</f>
        <v/>
      </c>
      <c r="AL471" s="8" t="str">
        <f t="shared" si="63"/>
        <v/>
      </c>
      <c r="AM471" s="8" t="str">
        <f t="shared" si="64"/>
        <v/>
      </c>
      <c r="AN471" s="8" t="str">
        <f t="shared" si="65"/>
        <v/>
      </c>
      <c r="AO471" s="12"/>
      <c r="AP471" s="12"/>
      <c r="AQ471" s="12"/>
      <c r="AR471" s="12"/>
      <c r="AS471" s="12"/>
      <c r="AT471" s="15"/>
      <c r="AU471" s="12"/>
      <c r="AV471" s="16"/>
      <c r="AW471" s="12"/>
      <c r="AX471" s="15"/>
      <c r="AY471" s="15"/>
      <c r="AZ471" s="15"/>
      <c r="BA471" s="15"/>
      <c r="BB471" s="15"/>
      <c r="BC471" s="15"/>
      <c r="BD471" s="15"/>
      <c r="BE471" s="15"/>
      <c r="BF471" s="15"/>
    </row>
    <row r="472" spans="1:58" ht="19.5" customHeight="1" x14ac:dyDescent="0.2">
      <c r="A472" s="8" t="str">
        <f>IF($B472="","",TEXT($B472,"yyyymmdd")&amp;"-"&amp;SUBSTITUTE($F472," ","")&amp;"-"&amp;TEXT(COUNTIF($F$4:F472,$F472),"00"))</f>
        <v/>
      </c>
      <c r="B472" s="9"/>
      <c r="C472" s="8" t="str">
        <f t="shared" si="59"/>
        <v/>
      </c>
      <c r="D472" s="8" t="str">
        <f t="shared" si="60"/>
        <v/>
      </c>
      <c r="E472" s="10"/>
      <c r="F472" s="10"/>
      <c r="G472" s="8" t="str">
        <f>IF(OR($E472="",$F472=""),"",IFERROR(IF($E472=INDEX(Cluster_Master!$A$4:$A$18,MATCH($F472,Cluster_Master!$B$4:$B$18,0)),"OK","CHECK"),"CHECK"))</f>
        <v/>
      </c>
      <c r="H472" s="11" t="str">
        <f>IFERROR(INDEX(Cluster_Master!$C$4:$C$18,MATCH($F472,Cluster_Master!$B$4:$B$18,0)),"")</f>
        <v/>
      </c>
      <c r="I472" s="8" t="str">
        <f>IFERROR(INDEX(Cluster_Master!$D$4:$D$18,MATCH($F472,Cluster_Master!$B$4:$B$18,0)),"")</f>
        <v/>
      </c>
      <c r="J472" s="8" t="str">
        <f>IFERROR(INDEX(Cluster_Master!$E$4:$E$18,MATCH($F472,Cluster_Master!$B$4:$B$18,0)),"")</f>
        <v/>
      </c>
      <c r="K472" s="8" t="str">
        <f>IFERROR(INDEX(Cluster_Master!$F$4:$F$18,MATCH($F472,Cluster_Master!$B$4:$B$18,0)),"")</f>
        <v/>
      </c>
      <c r="L472" s="8" t="str">
        <f>IFERROR(INDEX(Cluster_Master!$G$4:$G$18,MATCH($F472,Cluster_Master!$B$4:$B$18,0)),"")</f>
        <v/>
      </c>
      <c r="M472" s="8" t="str">
        <f>IFERROR(INDEX(Cluster_Master!$H$4:$H$18,MATCH($F472,Cluster_Master!$B$4:$B$18,0)),"")</f>
        <v/>
      </c>
      <c r="N472" s="12"/>
      <c r="O472" s="12"/>
      <c r="P472" s="12"/>
      <c r="Q472" s="12"/>
      <c r="R472" s="12"/>
      <c r="S472" s="12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8" t="str">
        <f t="shared" si="61"/>
        <v/>
      </c>
      <c r="AJ472" s="14" t="str">
        <f t="shared" si="62"/>
        <v/>
      </c>
      <c r="AK472" s="14" t="str">
        <f>IF(COUNTA(T472:AH472)=0,"",(SUM(T472*KPI_Weights!$B$4,U472*KPI_Weights!$B$5,V472*KPI_Weights!$B$6,W472*KPI_Weights!$B$7,X472*KPI_Weights!$B$8,Y472*KPI_Weights!$B$9,Z472*KPI_Weights!$B$10,AA472*KPI_Weights!$B$11,AB472*KPI_Weights!$B$12,AC472*KPI_Weights!$B$13,AD472*KPI_Weights!$B$14,AE472*KPI_Weights!$B$15,AF472*KPI_Weights!$B$16,AG472*KPI_Weights!$B$17,AH472*KPI_Weights!$B$18))/5)</f>
        <v/>
      </c>
      <c r="AL472" s="8" t="str">
        <f t="shared" si="63"/>
        <v/>
      </c>
      <c r="AM472" s="8" t="str">
        <f t="shared" si="64"/>
        <v/>
      </c>
      <c r="AN472" s="8" t="str">
        <f t="shared" si="65"/>
        <v/>
      </c>
      <c r="AO472" s="12"/>
      <c r="AP472" s="12"/>
      <c r="AQ472" s="12"/>
      <c r="AR472" s="12"/>
      <c r="AS472" s="12"/>
      <c r="AT472" s="15"/>
      <c r="AU472" s="12"/>
      <c r="AV472" s="16"/>
      <c r="AW472" s="12"/>
      <c r="AX472" s="15"/>
      <c r="AY472" s="15"/>
      <c r="AZ472" s="15"/>
      <c r="BA472" s="15"/>
      <c r="BB472" s="15"/>
      <c r="BC472" s="15"/>
      <c r="BD472" s="15"/>
      <c r="BE472" s="15"/>
      <c r="BF472" s="15"/>
    </row>
    <row r="473" spans="1:58" ht="19.5" customHeight="1" x14ac:dyDescent="0.2">
      <c r="A473" s="8" t="str">
        <f>IF($B473="","",TEXT($B473,"yyyymmdd")&amp;"-"&amp;SUBSTITUTE($F473," ","")&amp;"-"&amp;TEXT(COUNTIF($F$4:F473,$F473),"00"))</f>
        <v/>
      </c>
      <c r="B473" s="9"/>
      <c r="C473" s="8" t="str">
        <f t="shared" si="59"/>
        <v/>
      </c>
      <c r="D473" s="8" t="str">
        <f t="shared" si="60"/>
        <v/>
      </c>
      <c r="E473" s="10"/>
      <c r="F473" s="10"/>
      <c r="G473" s="8" t="str">
        <f>IF(OR($E473="",$F473=""),"",IFERROR(IF($E473=INDEX(Cluster_Master!$A$4:$A$18,MATCH($F473,Cluster_Master!$B$4:$B$18,0)),"OK","CHECK"),"CHECK"))</f>
        <v/>
      </c>
      <c r="H473" s="11" t="str">
        <f>IFERROR(INDEX(Cluster_Master!$C$4:$C$18,MATCH($F473,Cluster_Master!$B$4:$B$18,0)),"")</f>
        <v/>
      </c>
      <c r="I473" s="8" t="str">
        <f>IFERROR(INDEX(Cluster_Master!$D$4:$D$18,MATCH($F473,Cluster_Master!$B$4:$B$18,0)),"")</f>
        <v/>
      </c>
      <c r="J473" s="8" t="str">
        <f>IFERROR(INDEX(Cluster_Master!$E$4:$E$18,MATCH($F473,Cluster_Master!$B$4:$B$18,0)),"")</f>
        <v/>
      </c>
      <c r="K473" s="8" t="str">
        <f>IFERROR(INDEX(Cluster_Master!$F$4:$F$18,MATCH($F473,Cluster_Master!$B$4:$B$18,0)),"")</f>
        <v/>
      </c>
      <c r="L473" s="8" t="str">
        <f>IFERROR(INDEX(Cluster_Master!$G$4:$G$18,MATCH($F473,Cluster_Master!$B$4:$B$18,0)),"")</f>
        <v/>
      </c>
      <c r="M473" s="8" t="str">
        <f>IFERROR(INDEX(Cluster_Master!$H$4:$H$18,MATCH($F473,Cluster_Master!$B$4:$B$18,0)),"")</f>
        <v/>
      </c>
      <c r="N473" s="12"/>
      <c r="O473" s="12"/>
      <c r="P473" s="12"/>
      <c r="Q473" s="12"/>
      <c r="R473" s="12"/>
      <c r="S473" s="12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8" t="str">
        <f t="shared" si="61"/>
        <v/>
      </c>
      <c r="AJ473" s="14" t="str">
        <f t="shared" si="62"/>
        <v/>
      </c>
      <c r="AK473" s="14" t="str">
        <f>IF(COUNTA(T473:AH473)=0,"",(SUM(T473*KPI_Weights!$B$4,U473*KPI_Weights!$B$5,V473*KPI_Weights!$B$6,W473*KPI_Weights!$B$7,X473*KPI_Weights!$B$8,Y473*KPI_Weights!$B$9,Z473*KPI_Weights!$B$10,AA473*KPI_Weights!$B$11,AB473*KPI_Weights!$B$12,AC473*KPI_Weights!$B$13,AD473*KPI_Weights!$B$14,AE473*KPI_Weights!$B$15,AF473*KPI_Weights!$B$16,AG473*KPI_Weights!$B$17,AH473*KPI_Weights!$B$18))/5)</f>
        <v/>
      </c>
      <c r="AL473" s="8" t="str">
        <f t="shared" si="63"/>
        <v/>
      </c>
      <c r="AM473" s="8" t="str">
        <f t="shared" si="64"/>
        <v/>
      </c>
      <c r="AN473" s="8" t="str">
        <f t="shared" si="65"/>
        <v/>
      </c>
      <c r="AO473" s="12"/>
      <c r="AP473" s="12"/>
      <c r="AQ473" s="12"/>
      <c r="AR473" s="12"/>
      <c r="AS473" s="12"/>
      <c r="AT473" s="15"/>
      <c r="AU473" s="12"/>
      <c r="AV473" s="16"/>
      <c r="AW473" s="12"/>
      <c r="AX473" s="15"/>
      <c r="AY473" s="15"/>
      <c r="AZ473" s="15"/>
      <c r="BA473" s="15"/>
      <c r="BB473" s="15"/>
      <c r="BC473" s="15"/>
      <c r="BD473" s="15"/>
      <c r="BE473" s="15"/>
      <c r="BF473" s="15"/>
    </row>
    <row r="474" spans="1:58" ht="19.5" customHeight="1" x14ac:dyDescent="0.2">
      <c r="A474" s="8" t="str">
        <f>IF($B474="","",TEXT($B474,"yyyymmdd")&amp;"-"&amp;SUBSTITUTE($F474," ","")&amp;"-"&amp;TEXT(COUNTIF($F$4:F474,$F474),"00"))</f>
        <v/>
      </c>
      <c r="B474" s="9"/>
      <c r="C474" s="8" t="str">
        <f t="shared" si="59"/>
        <v/>
      </c>
      <c r="D474" s="8" t="str">
        <f t="shared" si="60"/>
        <v/>
      </c>
      <c r="E474" s="10"/>
      <c r="F474" s="10"/>
      <c r="G474" s="8" t="str">
        <f>IF(OR($E474="",$F474=""),"",IFERROR(IF($E474=INDEX(Cluster_Master!$A$4:$A$18,MATCH($F474,Cluster_Master!$B$4:$B$18,0)),"OK","CHECK"),"CHECK"))</f>
        <v/>
      </c>
      <c r="H474" s="11" t="str">
        <f>IFERROR(INDEX(Cluster_Master!$C$4:$C$18,MATCH($F474,Cluster_Master!$B$4:$B$18,0)),"")</f>
        <v/>
      </c>
      <c r="I474" s="8" t="str">
        <f>IFERROR(INDEX(Cluster_Master!$D$4:$D$18,MATCH($F474,Cluster_Master!$B$4:$B$18,0)),"")</f>
        <v/>
      </c>
      <c r="J474" s="8" t="str">
        <f>IFERROR(INDEX(Cluster_Master!$E$4:$E$18,MATCH($F474,Cluster_Master!$B$4:$B$18,0)),"")</f>
        <v/>
      </c>
      <c r="K474" s="8" t="str">
        <f>IFERROR(INDEX(Cluster_Master!$F$4:$F$18,MATCH($F474,Cluster_Master!$B$4:$B$18,0)),"")</f>
        <v/>
      </c>
      <c r="L474" s="8" t="str">
        <f>IFERROR(INDEX(Cluster_Master!$G$4:$G$18,MATCH($F474,Cluster_Master!$B$4:$B$18,0)),"")</f>
        <v/>
      </c>
      <c r="M474" s="8" t="str">
        <f>IFERROR(INDEX(Cluster_Master!$H$4:$H$18,MATCH($F474,Cluster_Master!$B$4:$B$18,0)),"")</f>
        <v/>
      </c>
      <c r="N474" s="12"/>
      <c r="O474" s="12"/>
      <c r="P474" s="12"/>
      <c r="Q474" s="12"/>
      <c r="R474" s="12"/>
      <c r="S474" s="12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8" t="str">
        <f t="shared" si="61"/>
        <v/>
      </c>
      <c r="AJ474" s="14" t="str">
        <f t="shared" si="62"/>
        <v/>
      </c>
      <c r="AK474" s="14" t="str">
        <f>IF(COUNTA(T474:AH474)=0,"",(SUM(T474*KPI_Weights!$B$4,U474*KPI_Weights!$B$5,V474*KPI_Weights!$B$6,W474*KPI_Weights!$B$7,X474*KPI_Weights!$B$8,Y474*KPI_Weights!$B$9,Z474*KPI_Weights!$B$10,AA474*KPI_Weights!$B$11,AB474*KPI_Weights!$B$12,AC474*KPI_Weights!$B$13,AD474*KPI_Weights!$B$14,AE474*KPI_Weights!$B$15,AF474*KPI_Weights!$B$16,AG474*KPI_Weights!$B$17,AH474*KPI_Weights!$B$18))/5)</f>
        <v/>
      </c>
      <c r="AL474" s="8" t="str">
        <f t="shared" si="63"/>
        <v/>
      </c>
      <c r="AM474" s="8" t="str">
        <f t="shared" si="64"/>
        <v/>
      </c>
      <c r="AN474" s="8" t="str">
        <f t="shared" si="65"/>
        <v/>
      </c>
      <c r="AO474" s="12"/>
      <c r="AP474" s="12"/>
      <c r="AQ474" s="12"/>
      <c r="AR474" s="12"/>
      <c r="AS474" s="12"/>
      <c r="AT474" s="15"/>
      <c r="AU474" s="12"/>
      <c r="AV474" s="16"/>
      <c r="AW474" s="12"/>
      <c r="AX474" s="15"/>
      <c r="AY474" s="15"/>
      <c r="AZ474" s="15"/>
      <c r="BA474" s="15"/>
      <c r="BB474" s="15"/>
      <c r="BC474" s="15"/>
      <c r="BD474" s="15"/>
      <c r="BE474" s="15"/>
      <c r="BF474" s="15"/>
    </row>
    <row r="475" spans="1:58" ht="19.5" customHeight="1" x14ac:dyDescent="0.2">
      <c r="A475" s="8" t="str">
        <f>IF($B475="","",TEXT($B475,"yyyymmdd")&amp;"-"&amp;SUBSTITUTE($F475," ","")&amp;"-"&amp;TEXT(COUNTIF($F$4:F475,$F475),"00"))</f>
        <v/>
      </c>
      <c r="B475" s="9"/>
      <c r="C475" s="8" t="str">
        <f t="shared" si="59"/>
        <v/>
      </c>
      <c r="D475" s="8" t="str">
        <f t="shared" si="60"/>
        <v/>
      </c>
      <c r="E475" s="10"/>
      <c r="F475" s="10"/>
      <c r="G475" s="8" t="str">
        <f>IF(OR($E475="",$F475=""),"",IFERROR(IF($E475=INDEX(Cluster_Master!$A$4:$A$18,MATCH($F475,Cluster_Master!$B$4:$B$18,0)),"OK","CHECK"),"CHECK"))</f>
        <v/>
      </c>
      <c r="H475" s="11" t="str">
        <f>IFERROR(INDEX(Cluster_Master!$C$4:$C$18,MATCH($F475,Cluster_Master!$B$4:$B$18,0)),"")</f>
        <v/>
      </c>
      <c r="I475" s="8" t="str">
        <f>IFERROR(INDEX(Cluster_Master!$D$4:$D$18,MATCH($F475,Cluster_Master!$B$4:$B$18,0)),"")</f>
        <v/>
      </c>
      <c r="J475" s="8" t="str">
        <f>IFERROR(INDEX(Cluster_Master!$E$4:$E$18,MATCH($F475,Cluster_Master!$B$4:$B$18,0)),"")</f>
        <v/>
      </c>
      <c r="K475" s="8" t="str">
        <f>IFERROR(INDEX(Cluster_Master!$F$4:$F$18,MATCH($F475,Cluster_Master!$B$4:$B$18,0)),"")</f>
        <v/>
      </c>
      <c r="L475" s="8" t="str">
        <f>IFERROR(INDEX(Cluster_Master!$G$4:$G$18,MATCH($F475,Cluster_Master!$B$4:$B$18,0)),"")</f>
        <v/>
      </c>
      <c r="M475" s="8" t="str">
        <f>IFERROR(INDEX(Cluster_Master!$H$4:$H$18,MATCH($F475,Cluster_Master!$B$4:$B$18,0)),"")</f>
        <v/>
      </c>
      <c r="N475" s="12"/>
      <c r="O475" s="12"/>
      <c r="P475" s="12"/>
      <c r="Q475" s="12"/>
      <c r="R475" s="12"/>
      <c r="S475" s="12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8" t="str">
        <f t="shared" si="61"/>
        <v/>
      </c>
      <c r="AJ475" s="14" t="str">
        <f t="shared" si="62"/>
        <v/>
      </c>
      <c r="AK475" s="14" t="str">
        <f>IF(COUNTA(T475:AH475)=0,"",(SUM(T475*KPI_Weights!$B$4,U475*KPI_Weights!$B$5,V475*KPI_Weights!$B$6,W475*KPI_Weights!$B$7,X475*KPI_Weights!$B$8,Y475*KPI_Weights!$B$9,Z475*KPI_Weights!$B$10,AA475*KPI_Weights!$B$11,AB475*KPI_Weights!$B$12,AC475*KPI_Weights!$B$13,AD475*KPI_Weights!$B$14,AE475*KPI_Weights!$B$15,AF475*KPI_Weights!$B$16,AG475*KPI_Weights!$B$17,AH475*KPI_Weights!$B$18))/5)</f>
        <v/>
      </c>
      <c r="AL475" s="8" t="str">
        <f t="shared" si="63"/>
        <v/>
      </c>
      <c r="AM475" s="8" t="str">
        <f t="shared" si="64"/>
        <v/>
      </c>
      <c r="AN475" s="8" t="str">
        <f t="shared" si="65"/>
        <v/>
      </c>
      <c r="AO475" s="12"/>
      <c r="AP475" s="12"/>
      <c r="AQ475" s="12"/>
      <c r="AR475" s="12"/>
      <c r="AS475" s="12"/>
      <c r="AT475" s="15"/>
      <c r="AU475" s="12"/>
      <c r="AV475" s="16"/>
      <c r="AW475" s="12"/>
      <c r="AX475" s="15"/>
      <c r="AY475" s="15"/>
      <c r="AZ475" s="15"/>
      <c r="BA475" s="15"/>
      <c r="BB475" s="15"/>
      <c r="BC475" s="15"/>
      <c r="BD475" s="15"/>
      <c r="BE475" s="15"/>
      <c r="BF475" s="15"/>
    </row>
    <row r="476" spans="1:58" ht="19.5" customHeight="1" x14ac:dyDescent="0.2">
      <c r="A476" s="8" t="str">
        <f>IF($B476="","",TEXT($B476,"yyyymmdd")&amp;"-"&amp;SUBSTITUTE($F476," ","")&amp;"-"&amp;TEXT(COUNTIF($F$4:F476,$F476),"00"))</f>
        <v/>
      </c>
      <c r="B476" s="9"/>
      <c r="C476" s="8" t="str">
        <f t="shared" si="59"/>
        <v/>
      </c>
      <c r="D476" s="8" t="str">
        <f t="shared" si="60"/>
        <v/>
      </c>
      <c r="E476" s="10"/>
      <c r="F476" s="10"/>
      <c r="G476" s="8" t="str">
        <f>IF(OR($E476="",$F476=""),"",IFERROR(IF($E476=INDEX(Cluster_Master!$A$4:$A$18,MATCH($F476,Cluster_Master!$B$4:$B$18,0)),"OK","CHECK"),"CHECK"))</f>
        <v/>
      </c>
      <c r="H476" s="11" t="str">
        <f>IFERROR(INDEX(Cluster_Master!$C$4:$C$18,MATCH($F476,Cluster_Master!$B$4:$B$18,0)),"")</f>
        <v/>
      </c>
      <c r="I476" s="8" t="str">
        <f>IFERROR(INDEX(Cluster_Master!$D$4:$D$18,MATCH($F476,Cluster_Master!$B$4:$B$18,0)),"")</f>
        <v/>
      </c>
      <c r="J476" s="8" t="str">
        <f>IFERROR(INDEX(Cluster_Master!$E$4:$E$18,MATCH($F476,Cluster_Master!$B$4:$B$18,0)),"")</f>
        <v/>
      </c>
      <c r="K476" s="8" t="str">
        <f>IFERROR(INDEX(Cluster_Master!$F$4:$F$18,MATCH($F476,Cluster_Master!$B$4:$B$18,0)),"")</f>
        <v/>
      </c>
      <c r="L476" s="8" t="str">
        <f>IFERROR(INDEX(Cluster_Master!$G$4:$G$18,MATCH($F476,Cluster_Master!$B$4:$B$18,0)),"")</f>
        <v/>
      </c>
      <c r="M476" s="8" t="str">
        <f>IFERROR(INDEX(Cluster_Master!$H$4:$H$18,MATCH($F476,Cluster_Master!$B$4:$B$18,0)),"")</f>
        <v/>
      </c>
      <c r="N476" s="12"/>
      <c r="O476" s="12"/>
      <c r="P476" s="12"/>
      <c r="Q476" s="12"/>
      <c r="R476" s="12"/>
      <c r="S476" s="12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8" t="str">
        <f t="shared" si="61"/>
        <v/>
      </c>
      <c r="AJ476" s="14" t="str">
        <f t="shared" si="62"/>
        <v/>
      </c>
      <c r="AK476" s="14" t="str">
        <f>IF(COUNTA(T476:AH476)=0,"",(SUM(T476*KPI_Weights!$B$4,U476*KPI_Weights!$B$5,V476*KPI_Weights!$B$6,W476*KPI_Weights!$B$7,X476*KPI_Weights!$B$8,Y476*KPI_Weights!$B$9,Z476*KPI_Weights!$B$10,AA476*KPI_Weights!$B$11,AB476*KPI_Weights!$B$12,AC476*KPI_Weights!$B$13,AD476*KPI_Weights!$B$14,AE476*KPI_Weights!$B$15,AF476*KPI_Weights!$B$16,AG476*KPI_Weights!$B$17,AH476*KPI_Weights!$B$18))/5)</f>
        <v/>
      </c>
      <c r="AL476" s="8" t="str">
        <f t="shared" si="63"/>
        <v/>
      </c>
      <c r="AM476" s="8" t="str">
        <f t="shared" si="64"/>
        <v/>
      </c>
      <c r="AN476" s="8" t="str">
        <f t="shared" si="65"/>
        <v/>
      </c>
      <c r="AO476" s="12"/>
      <c r="AP476" s="12"/>
      <c r="AQ476" s="12"/>
      <c r="AR476" s="12"/>
      <c r="AS476" s="12"/>
      <c r="AT476" s="15"/>
      <c r="AU476" s="12"/>
      <c r="AV476" s="16"/>
      <c r="AW476" s="12"/>
      <c r="AX476" s="15"/>
      <c r="AY476" s="15"/>
      <c r="AZ476" s="15"/>
      <c r="BA476" s="15"/>
      <c r="BB476" s="15"/>
      <c r="BC476" s="15"/>
      <c r="BD476" s="15"/>
      <c r="BE476" s="15"/>
      <c r="BF476" s="15"/>
    </row>
    <row r="477" spans="1:58" ht="19.5" customHeight="1" x14ac:dyDescent="0.2">
      <c r="A477" s="8" t="str">
        <f>IF($B477="","",TEXT($B477,"yyyymmdd")&amp;"-"&amp;SUBSTITUTE($F477," ","")&amp;"-"&amp;TEXT(COUNTIF($F$4:F477,$F477),"00"))</f>
        <v/>
      </c>
      <c r="B477" s="9"/>
      <c r="C477" s="8" t="str">
        <f t="shared" si="59"/>
        <v/>
      </c>
      <c r="D477" s="8" t="str">
        <f t="shared" si="60"/>
        <v/>
      </c>
      <c r="E477" s="10"/>
      <c r="F477" s="10"/>
      <c r="G477" s="8" t="str">
        <f>IF(OR($E477="",$F477=""),"",IFERROR(IF($E477=INDEX(Cluster_Master!$A$4:$A$18,MATCH($F477,Cluster_Master!$B$4:$B$18,0)),"OK","CHECK"),"CHECK"))</f>
        <v/>
      </c>
      <c r="H477" s="11" t="str">
        <f>IFERROR(INDEX(Cluster_Master!$C$4:$C$18,MATCH($F477,Cluster_Master!$B$4:$B$18,0)),"")</f>
        <v/>
      </c>
      <c r="I477" s="8" t="str">
        <f>IFERROR(INDEX(Cluster_Master!$D$4:$D$18,MATCH($F477,Cluster_Master!$B$4:$B$18,0)),"")</f>
        <v/>
      </c>
      <c r="J477" s="8" t="str">
        <f>IFERROR(INDEX(Cluster_Master!$E$4:$E$18,MATCH($F477,Cluster_Master!$B$4:$B$18,0)),"")</f>
        <v/>
      </c>
      <c r="K477" s="8" t="str">
        <f>IFERROR(INDEX(Cluster_Master!$F$4:$F$18,MATCH($F477,Cluster_Master!$B$4:$B$18,0)),"")</f>
        <v/>
      </c>
      <c r="L477" s="8" t="str">
        <f>IFERROR(INDEX(Cluster_Master!$G$4:$G$18,MATCH($F477,Cluster_Master!$B$4:$B$18,0)),"")</f>
        <v/>
      </c>
      <c r="M477" s="8" t="str">
        <f>IFERROR(INDEX(Cluster_Master!$H$4:$H$18,MATCH($F477,Cluster_Master!$B$4:$B$18,0)),"")</f>
        <v/>
      </c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8" t="str">
        <f t="shared" si="61"/>
        <v/>
      </c>
      <c r="AJ477" s="14" t="str">
        <f t="shared" si="62"/>
        <v/>
      </c>
      <c r="AK477" s="14" t="str">
        <f>IF(COUNTA(T477:AH477)=0,"",(SUM(T477*KPI_Weights!$B$4,U477*KPI_Weights!$B$5,V477*KPI_Weights!$B$6,W477*KPI_Weights!$B$7,X477*KPI_Weights!$B$8,Y477*KPI_Weights!$B$9,Z477*KPI_Weights!$B$10,AA477*KPI_Weights!$B$11,AB477*KPI_Weights!$B$12,AC477*KPI_Weights!$B$13,AD477*KPI_Weights!$B$14,AE477*KPI_Weights!$B$15,AF477*KPI_Weights!$B$16,AG477*KPI_Weights!$B$17,AH477*KPI_Weights!$B$18))/5)</f>
        <v/>
      </c>
      <c r="AL477" s="8" t="str">
        <f t="shared" si="63"/>
        <v/>
      </c>
      <c r="AM477" s="8" t="str">
        <f t="shared" si="64"/>
        <v/>
      </c>
      <c r="AN477" s="8" t="str">
        <f t="shared" si="65"/>
        <v/>
      </c>
      <c r="AO477" s="12"/>
      <c r="AP477" s="12"/>
      <c r="AQ477" s="12"/>
      <c r="AR477" s="12"/>
      <c r="AS477" s="12"/>
      <c r="AT477" s="15"/>
      <c r="AU477" s="12"/>
      <c r="AV477" s="16"/>
      <c r="AW477" s="12"/>
      <c r="AX477" s="15"/>
      <c r="AY477" s="15"/>
      <c r="AZ477" s="15"/>
      <c r="BA477" s="15"/>
      <c r="BB477" s="15"/>
      <c r="BC477" s="15"/>
      <c r="BD477" s="15"/>
      <c r="BE477" s="15"/>
      <c r="BF477" s="15"/>
    </row>
    <row r="478" spans="1:58" ht="19.5" customHeight="1" x14ac:dyDescent="0.2">
      <c r="A478" s="8" t="str">
        <f>IF($B478="","",TEXT($B478,"yyyymmdd")&amp;"-"&amp;SUBSTITUTE($F478," ","")&amp;"-"&amp;TEXT(COUNTIF($F$4:F478,$F478),"00"))</f>
        <v/>
      </c>
      <c r="B478" s="9"/>
      <c r="C478" s="8" t="str">
        <f t="shared" si="59"/>
        <v/>
      </c>
      <c r="D478" s="8" t="str">
        <f t="shared" si="60"/>
        <v/>
      </c>
      <c r="E478" s="10"/>
      <c r="F478" s="10"/>
      <c r="G478" s="8" t="str">
        <f>IF(OR($E478="",$F478=""),"",IFERROR(IF($E478=INDEX(Cluster_Master!$A$4:$A$18,MATCH($F478,Cluster_Master!$B$4:$B$18,0)),"OK","CHECK"),"CHECK"))</f>
        <v/>
      </c>
      <c r="H478" s="11" t="str">
        <f>IFERROR(INDEX(Cluster_Master!$C$4:$C$18,MATCH($F478,Cluster_Master!$B$4:$B$18,0)),"")</f>
        <v/>
      </c>
      <c r="I478" s="8" t="str">
        <f>IFERROR(INDEX(Cluster_Master!$D$4:$D$18,MATCH($F478,Cluster_Master!$B$4:$B$18,0)),"")</f>
        <v/>
      </c>
      <c r="J478" s="8" t="str">
        <f>IFERROR(INDEX(Cluster_Master!$E$4:$E$18,MATCH($F478,Cluster_Master!$B$4:$B$18,0)),"")</f>
        <v/>
      </c>
      <c r="K478" s="8" t="str">
        <f>IFERROR(INDEX(Cluster_Master!$F$4:$F$18,MATCH($F478,Cluster_Master!$B$4:$B$18,0)),"")</f>
        <v/>
      </c>
      <c r="L478" s="8" t="str">
        <f>IFERROR(INDEX(Cluster_Master!$G$4:$G$18,MATCH($F478,Cluster_Master!$B$4:$B$18,0)),"")</f>
        <v/>
      </c>
      <c r="M478" s="8" t="str">
        <f>IFERROR(INDEX(Cluster_Master!$H$4:$H$18,MATCH($F478,Cluster_Master!$B$4:$B$18,0)),"")</f>
        <v/>
      </c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8" t="str">
        <f t="shared" si="61"/>
        <v/>
      </c>
      <c r="AJ478" s="14" t="str">
        <f t="shared" si="62"/>
        <v/>
      </c>
      <c r="AK478" s="14" t="str">
        <f>IF(COUNTA(T478:AH478)=0,"",(SUM(T478*KPI_Weights!$B$4,U478*KPI_Weights!$B$5,V478*KPI_Weights!$B$6,W478*KPI_Weights!$B$7,X478*KPI_Weights!$B$8,Y478*KPI_Weights!$B$9,Z478*KPI_Weights!$B$10,AA478*KPI_Weights!$B$11,AB478*KPI_Weights!$B$12,AC478*KPI_Weights!$B$13,AD478*KPI_Weights!$B$14,AE478*KPI_Weights!$B$15,AF478*KPI_Weights!$B$16,AG478*KPI_Weights!$B$17,AH478*KPI_Weights!$B$18))/5)</f>
        <v/>
      </c>
      <c r="AL478" s="8" t="str">
        <f t="shared" si="63"/>
        <v/>
      </c>
      <c r="AM478" s="8" t="str">
        <f t="shared" si="64"/>
        <v/>
      </c>
      <c r="AN478" s="8" t="str">
        <f t="shared" si="65"/>
        <v/>
      </c>
      <c r="AO478" s="12"/>
      <c r="AP478" s="12"/>
      <c r="AQ478" s="12"/>
      <c r="AR478" s="12"/>
      <c r="AS478" s="12"/>
      <c r="AT478" s="15"/>
      <c r="AU478" s="12"/>
      <c r="AV478" s="16"/>
      <c r="AW478" s="12"/>
      <c r="AX478" s="15"/>
      <c r="AY478" s="15"/>
      <c r="AZ478" s="15"/>
      <c r="BA478" s="15"/>
      <c r="BB478" s="15"/>
      <c r="BC478" s="15"/>
      <c r="BD478" s="15"/>
      <c r="BE478" s="15"/>
      <c r="BF478" s="15"/>
    </row>
    <row r="479" spans="1:58" ht="19.5" customHeight="1" x14ac:dyDescent="0.2">
      <c r="A479" s="8" t="str">
        <f>IF($B479="","",TEXT($B479,"yyyymmdd")&amp;"-"&amp;SUBSTITUTE($F479," ","")&amp;"-"&amp;TEXT(COUNTIF($F$4:F479,$F479),"00"))</f>
        <v/>
      </c>
      <c r="B479" s="9"/>
      <c r="C479" s="8" t="str">
        <f t="shared" si="59"/>
        <v/>
      </c>
      <c r="D479" s="8" t="str">
        <f t="shared" si="60"/>
        <v/>
      </c>
      <c r="E479" s="10"/>
      <c r="F479" s="10"/>
      <c r="G479" s="8" t="str">
        <f>IF(OR($E479="",$F479=""),"",IFERROR(IF($E479=INDEX(Cluster_Master!$A$4:$A$18,MATCH($F479,Cluster_Master!$B$4:$B$18,0)),"OK","CHECK"),"CHECK"))</f>
        <v/>
      </c>
      <c r="H479" s="11" t="str">
        <f>IFERROR(INDEX(Cluster_Master!$C$4:$C$18,MATCH($F479,Cluster_Master!$B$4:$B$18,0)),"")</f>
        <v/>
      </c>
      <c r="I479" s="8" t="str">
        <f>IFERROR(INDEX(Cluster_Master!$D$4:$D$18,MATCH($F479,Cluster_Master!$B$4:$B$18,0)),"")</f>
        <v/>
      </c>
      <c r="J479" s="8" t="str">
        <f>IFERROR(INDEX(Cluster_Master!$E$4:$E$18,MATCH($F479,Cluster_Master!$B$4:$B$18,0)),"")</f>
        <v/>
      </c>
      <c r="K479" s="8" t="str">
        <f>IFERROR(INDEX(Cluster_Master!$F$4:$F$18,MATCH($F479,Cluster_Master!$B$4:$B$18,0)),"")</f>
        <v/>
      </c>
      <c r="L479" s="8" t="str">
        <f>IFERROR(INDEX(Cluster_Master!$G$4:$G$18,MATCH($F479,Cluster_Master!$B$4:$B$18,0)),"")</f>
        <v/>
      </c>
      <c r="M479" s="8" t="str">
        <f>IFERROR(INDEX(Cluster_Master!$H$4:$H$18,MATCH($F479,Cluster_Master!$B$4:$B$18,0)),"")</f>
        <v/>
      </c>
      <c r="N479" s="12"/>
      <c r="O479" s="12"/>
      <c r="P479" s="12"/>
      <c r="Q479" s="12"/>
      <c r="R479" s="12"/>
      <c r="S479" s="12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8" t="str">
        <f t="shared" si="61"/>
        <v/>
      </c>
      <c r="AJ479" s="14" t="str">
        <f t="shared" si="62"/>
        <v/>
      </c>
      <c r="AK479" s="14" t="str">
        <f>IF(COUNTA(T479:AH479)=0,"",(SUM(T479*KPI_Weights!$B$4,U479*KPI_Weights!$B$5,V479*KPI_Weights!$B$6,W479*KPI_Weights!$B$7,X479*KPI_Weights!$B$8,Y479*KPI_Weights!$B$9,Z479*KPI_Weights!$B$10,AA479*KPI_Weights!$B$11,AB479*KPI_Weights!$B$12,AC479*KPI_Weights!$B$13,AD479*KPI_Weights!$B$14,AE479*KPI_Weights!$B$15,AF479*KPI_Weights!$B$16,AG479*KPI_Weights!$B$17,AH479*KPI_Weights!$B$18))/5)</f>
        <v/>
      </c>
      <c r="AL479" s="8" t="str">
        <f t="shared" si="63"/>
        <v/>
      </c>
      <c r="AM479" s="8" t="str">
        <f t="shared" si="64"/>
        <v/>
      </c>
      <c r="AN479" s="8" t="str">
        <f t="shared" si="65"/>
        <v/>
      </c>
      <c r="AO479" s="12"/>
      <c r="AP479" s="12"/>
      <c r="AQ479" s="12"/>
      <c r="AR479" s="12"/>
      <c r="AS479" s="12"/>
      <c r="AT479" s="15"/>
      <c r="AU479" s="12"/>
      <c r="AV479" s="16"/>
      <c r="AW479" s="12"/>
      <c r="AX479" s="15"/>
      <c r="AY479" s="15"/>
      <c r="AZ479" s="15"/>
      <c r="BA479" s="15"/>
      <c r="BB479" s="15"/>
      <c r="BC479" s="15"/>
      <c r="BD479" s="15"/>
      <c r="BE479" s="15"/>
      <c r="BF479" s="15"/>
    </row>
    <row r="480" spans="1:58" ht="19.5" customHeight="1" x14ac:dyDescent="0.2">
      <c r="A480" s="8" t="str">
        <f>IF($B480="","",TEXT($B480,"yyyymmdd")&amp;"-"&amp;SUBSTITUTE($F480," ","")&amp;"-"&amp;TEXT(COUNTIF($F$4:F480,$F480),"00"))</f>
        <v/>
      </c>
      <c r="B480" s="9"/>
      <c r="C480" s="8" t="str">
        <f t="shared" si="59"/>
        <v/>
      </c>
      <c r="D480" s="8" t="str">
        <f t="shared" si="60"/>
        <v/>
      </c>
      <c r="E480" s="10"/>
      <c r="F480" s="10"/>
      <c r="G480" s="8" t="str">
        <f>IF(OR($E480="",$F480=""),"",IFERROR(IF($E480=INDEX(Cluster_Master!$A$4:$A$18,MATCH($F480,Cluster_Master!$B$4:$B$18,0)),"OK","CHECK"),"CHECK"))</f>
        <v/>
      </c>
      <c r="H480" s="11" t="str">
        <f>IFERROR(INDEX(Cluster_Master!$C$4:$C$18,MATCH($F480,Cluster_Master!$B$4:$B$18,0)),"")</f>
        <v/>
      </c>
      <c r="I480" s="8" t="str">
        <f>IFERROR(INDEX(Cluster_Master!$D$4:$D$18,MATCH($F480,Cluster_Master!$B$4:$B$18,0)),"")</f>
        <v/>
      </c>
      <c r="J480" s="8" t="str">
        <f>IFERROR(INDEX(Cluster_Master!$E$4:$E$18,MATCH($F480,Cluster_Master!$B$4:$B$18,0)),"")</f>
        <v/>
      </c>
      <c r="K480" s="8" t="str">
        <f>IFERROR(INDEX(Cluster_Master!$F$4:$F$18,MATCH($F480,Cluster_Master!$B$4:$B$18,0)),"")</f>
        <v/>
      </c>
      <c r="L480" s="8" t="str">
        <f>IFERROR(INDEX(Cluster_Master!$G$4:$G$18,MATCH($F480,Cluster_Master!$B$4:$B$18,0)),"")</f>
        <v/>
      </c>
      <c r="M480" s="8" t="str">
        <f>IFERROR(INDEX(Cluster_Master!$H$4:$H$18,MATCH($F480,Cluster_Master!$B$4:$B$18,0)),"")</f>
        <v/>
      </c>
      <c r="N480" s="12"/>
      <c r="O480" s="12"/>
      <c r="P480" s="12"/>
      <c r="Q480" s="12"/>
      <c r="R480" s="12"/>
      <c r="S480" s="12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8" t="str">
        <f t="shared" si="61"/>
        <v/>
      </c>
      <c r="AJ480" s="14" t="str">
        <f t="shared" si="62"/>
        <v/>
      </c>
      <c r="AK480" s="14" t="str">
        <f>IF(COUNTA(T480:AH480)=0,"",(SUM(T480*KPI_Weights!$B$4,U480*KPI_Weights!$B$5,V480*KPI_Weights!$B$6,W480*KPI_Weights!$B$7,X480*KPI_Weights!$B$8,Y480*KPI_Weights!$B$9,Z480*KPI_Weights!$B$10,AA480*KPI_Weights!$B$11,AB480*KPI_Weights!$B$12,AC480*KPI_Weights!$B$13,AD480*KPI_Weights!$B$14,AE480*KPI_Weights!$B$15,AF480*KPI_Weights!$B$16,AG480*KPI_Weights!$B$17,AH480*KPI_Weights!$B$18))/5)</f>
        <v/>
      </c>
      <c r="AL480" s="8" t="str">
        <f t="shared" si="63"/>
        <v/>
      </c>
      <c r="AM480" s="8" t="str">
        <f t="shared" si="64"/>
        <v/>
      </c>
      <c r="AN480" s="8" t="str">
        <f t="shared" si="65"/>
        <v/>
      </c>
      <c r="AO480" s="12"/>
      <c r="AP480" s="12"/>
      <c r="AQ480" s="12"/>
      <c r="AR480" s="12"/>
      <c r="AS480" s="12"/>
      <c r="AT480" s="15"/>
      <c r="AU480" s="12"/>
      <c r="AV480" s="16"/>
      <c r="AW480" s="12"/>
      <c r="AX480" s="15"/>
      <c r="AY480" s="15"/>
      <c r="AZ480" s="15"/>
      <c r="BA480" s="15"/>
      <c r="BB480" s="15"/>
      <c r="BC480" s="15"/>
      <c r="BD480" s="15"/>
      <c r="BE480" s="15"/>
      <c r="BF480" s="15"/>
    </row>
    <row r="481" spans="1:58" ht="19.5" customHeight="1" x14ac:dyDescent="0.2">
      <c r="A481" s="8" t="str">
        <f>IF($B481="","",TEXT($B481,"yyyymmdd")&amp;"-"&amp;SUBSTITUTE($F481," ","")&amp;"-"&amp;TEXT(COUNTIF($F$4:F481,$F481),"00"))</f>
        <v/>
      </c>
      <c r="B481" s="9"/>
      <c r="C481" s="8" t="str">
        <f t="shared" si="59"/>
        <v/>
      </c>
      <c r="D481" s="8" t="str">
        <f t="shared" si="60"/>
        <v/>
      </c>
      <c r="E481" s="10"/>
      <c r="F481" s="10"/>
      <c r="G481" s="8" t="str">
        <f>IF(OR($E481="",$F481=""),"",IFERROR(IF($E481=INDEX(Cluster_Master!$A$4:$A$18,MATCH($F481,Cluster_Master!$B$4:$B$18,0)),"OK","CHECK"),"CHECK"))</f>
        <v/>
      </c>
      <c r="H481" s="11" t="str">
        <f>IFERROR(INDEX(Cluster_Master!$C$4:$C$18,MATCH($F481,Cluster_Master!$B$4:$B$18,0)),"")</f>
        <v/>
      </c>
      <c r="I481" s="8" t="str">
        <f>IFERROR(INDEX(Cluster_Master!$D$4:$D$18,MATCH($F481,Cluster_Master!$B$4:$B$18,0)),"")</f>
        <v/>
      </c>
      <c r="J481" s="8" t="str">
        <f>IFERROR(INDEX(Cluster_Master!$E$4:$E$18,MATCH($F481,Cluster_Master!$B$4:$B$18,0)),"")</f>
        <v/>
      </c>
      <c r="K481" s="8" t="str">
        <f>IFERROR(INDEX(Cluster_Master!$F$4:$F$18,MATCH($F481,Cluster_Master!$B$4:$B$18,0)),"")</f>
        <v/>
      </c>
      <c r="L481" s="8" t="str">
        <f>IFERROR(INDEX(Cluster_Master!$G$4:$G$18,MATCH($F481,Cluster_Master!$B$4:$B$18,0)),"")</f>
        <v/>
      </c>
      <c r="M481" s="8" t="str">
        <f>IFERROR(INDEX(Cluster_Master!$H$4:$H$18,MATCH($F481,Cluster_Master!$B$4:$B$18,0)),"")</f>
        <v/>
      </c>
      <c r="N481" s="12"/>
      <c r="O481" s="12"/>
      <c r="P481" s="12"/>
      <c r="Q481" s="12"/>
      <c r="R481" s="12"/>
      <c r="S481" s="12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8" t="str">
        <f t="shared" si="61"/>
        <v/>
      </c>
      <c r="AJ481" s="14" t="str">
        <f t="shared" si="62"/>
        <v/>
      </c>
      <c r="AK481" s="14" t="str">
        <f>IF(COUNTA(T481:AH481)=0,"",(SUM(T481*KPI_Weights!$B$4,U481*KPI_Weights!$B$5,V481*KPI_Weights!$B$6,W481*KPI_Weights!$B$7,X481*KPI_Weights!$B$8,Y481*KPI_Weights!$B$9,Z481*KPI_Weights!$B$10,AA481*KPI_Weights!$B$11,AB481*KPI_Weights!$B$12,AC481*KPI_Weights!$B$13,AD481*KPI_Weights!$B$14,AE481*KPI_Weights!$B$15,AF481*KPI_Weights!$B$16,AG481*KPI_Weights!$B$17,AH481*KPI_Weights!$B$18))/5)</f>
        <v/>
      </c>
      <c r="AL481" s="8" t="str">
        <f t="shared" si="63"/>
        <v/>
      </c>
      <c r="AM481" s="8" t="str">
        <f t="shared" si="64"/>
        <v/>
      </c>
      <c r="AN481" s="8" t="str">
        <f t="shared" si="65"/>
        <v/>
      </c>
      <c r="AO481" s="12"/>
      <c r="AP481" s="12"/>
      <c r="AQ481" s="12"/>
      <c r="AR481" s="12"/>
      <c r="AS481" s="12"/>
      <c r="AT481" s="15"/>
      <c r="AU481" s="12"/>
      <c r="AV481" s="16"/>
      <c r="AW481" s="12"/>
      <c r="AX481" s="15"/>
      <c r="AY481" s="15"/>
      <c r="AZ481" s="15"/>
      <c r="BA481" s="15"/>
      <c r="BB481" s="15"/>
      <c r="BC481" s="15"/>
      <c r="BD481" s="15"/>
      <c r="BE481" s="15"/>
      <c r="BF481" s="15"/>
    </row>
    <row r="482" spans="1:58" ht="19.5" customHeight="1" x14ac:dyDescent="0.2">
      <c r="A482" s="8" t="str">
        <f>IF($B482="","",TEXT($B482,"yyyymmdd")&amp;"-"&amp;SUBSTITUTE($F482," ","")&amp;"-"&amp;TEXT(COUNTIF($F$4:F482,$F482),"00"))</f>
        <v/>
      </c>
      <c r="B482" s="9"/>
      <c r="C482" s="8" t="str">
        <f t="shared" si="59"/>
        <v/>
      </c>
      <c r="D482" s="8" t="str">
        <f t="shared" si="60"/>
        <v/>
      </c>
      <c r="E482" s="10"/>
      <c r="F482" s="10"/>
      <c r="G482" s="8" t="str">
        <f>IF(OR($E482="",$F482=""),"",IFERROR(IF($E482=INDEX(Cluster_Master!$A$4:$A$18,MATCH($F482,Cluster_Master!$B$4:$B$18,0)),"OK","CHECK"),"CHECK"))</f>
        <v/>
      </c>
      <c r="H482" s="11" t="str">
        <f>IFERROR(INDEX(Cluster_Master!$C$4:$C$18,MATCH($F482,Cluster_Master!$B$4:$B$18,0)),"")</f>
        <v/>
      </c>
      <c r="I482" s="8" t="str">
        <f>IFERROR(INDEX(Cluster_Master!$D$4:$D$18,MATCH($F482,Cluster_Master!$B$4:$B$18,0)),"")</f>
        <v/>
      </c>
      <c r="J482" s="8" t="str">
        <f>IFERROR(INDEX(Cluster_Master!$E$4:$E$18,MATCH($F482,Cluster_Master!$B$4:$B$18,0)),"")</f>
        <v/>
      </c>
      <c r="K482" s="8" t="str">
        <f>IFERROR(INDEX(Cluster_Master!$F$4:$F$18,MATCH($F482,Cluster_Master!$B$4:$B$18,0)),"")</f>
        <v/>
      </c>
      <c r="L482" s="8" t="str">
        <f>IFERROR(INDEX(Cluster_Master!$G$4:$G$18,MATCH($F482,Cluster_Master!$B$4:$B$18,0)),"")</f>
        <v/>
      </c>
      <c r="M482" s="8" t="str">
        <f>IFERROR(INDEX(Cluster_Master!$H$4:$H$18,MATCH($F482,Cluster_Master!$B$4:$B$18,0)),"")</f>
        <v/>
      </c>
      <c r="N482" s="12"/>
      <c r="O482" s="12"/>
      <c r="P482" s="12"/>
      <c r="Q482" s="12"/>
      <c r="R482" s="12"/>
      <c r="S482" s="12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8" t="str">
        <f t="shared" si="61"/>
        <v/>
      </c>
      <c r="AJ482" s="14" t="str">
        <f t="shared" si="62"/>
        <v/>
      </c>
      <c r="AK482" s="14" t="str">
        <f>IF(COUNTA(T482:AH482)=0,"",(SUM(T482*KPI_Weights!$B$4,U482*KPI_Weights!$B$5,V482*KPI_Weights!$B$6,W482*KPI_Weights!$B$7,X482*KPI_Weights!$B$8,Y482*KPI_Weights!$B$9,Z482*KPI_Weights!$B$10,AA482*KPI_Weights!$B$11,AB482*KPI_Weights!$B$12,AC482*KPI_Weights!$B$13,AD482*KPI_Weights!$B$14,AE482*KPI_Weights!$B$15,AF482*KPI_Weights!$B$16,AG482*KPI_Weights!$B$17,AH482*KPI_Weights!$B$18))/5)</f>
        <v/>
      </c>
      <c r="AL482" s="8" t="str">
        <f t="shared" si="63"/>
        <v/>
      </c>
      <c r="AM482" s="8" t="str">
        <f t="shared" si="64"/>
        <v/>
      </c>
      <c r="AN482" s="8" t="str">
        <f t="shared" si="65"/>
        <v/>
      </c>
      <c r="AO482" s="12"/>
      <c r="AP482" s="12"/>
      <c r="AQ482" s="12"/>
      <c r="AR482" s="12"/>
      <c r="AS482" s="12"/>
      <c r="AT482" s="15"/>
      <c r="AU482" s="12"/>
      <c r="AV482" s="16"/>
      <c r="AW482" s="12"/>
      <c r="AX482" s="15"/>
      <c r="AY482" s="15"/>
      <c r="AZ482" s="15"/>
      <c r="BA482" s="15"/>
      <c r="BB482" s="15"/>
      <c r="BC482" s="15"/>
      <c r="BD482" s="15"/>
      <c r="BE482" s="15"/>
      <c r="BF482" s="15"/>
    </row>
    <row r="483" spans="1:58" ht="19.5" customHeight="1" x14ac:dyDescent="0.2">
      <c r="A483" s="8" t="str">
        <f>IF($B483="","",TEXT($B483,"yyyymmdd")&amp;"-"&amp;SUBSTITUTE($F483," ","")&amp;"-"&amp;TEXT(COUNTIF($F$4:F483,$F483),"00"))</f>
        <v/>
      </c>
      <c r="B483" s="9"/>
      <c r="C483" s="8" t="str">
        <f t="shared" si="59"/>
        <v/>
      </c>
      <c r="D483" s="8" t="str">
        <f t="shared" si="60"/>
        <v/>
      </c>
      <c r="E483" s="10"/>
      <c r="F483" s="10"/>
      <c r="G483" s="8" t="str">
        <f>IF(OR($E483="",$F483=""),"",IFERROR(IF($E483=INDEX(Cluster_Master!$A$4:$A$18,MATCH($F483,Cluster_Master!$B$4:$B$18,0)),"OK","CHECK"),"CHECK"))</f>
        <v/>
      </c>
      <c r="H483" s="11" t="str">
        <f>IFERROR(INDEX(Cluster_Master!$C$4:$C$18,MATCH($F483,Cluster_Master!$B$4:$B$18,0)),"")</f>
        <v/>
      </c>
      <c r="I483" s="8" t="str">
        <f>IFERROR(INDEX(Cluster_Master!$D$4:$D$18,MATCH($F483,Cluster_Master!$B$4:$B$18,0)),"")</f>
        <v/>
      </c>
      <c r="J483" s="8" t="str">
        <f>IFERROR(INDEX(Cluster_Master!$E$4:$E$18,MATCH($F483,Cluster_Master!$B$4:$B$18,0)),"")</f>
        <v/>
      </c>
      <c r="K483" s="8" t="str">
        <f>IFERROR(INDEX(Cluster_Master!$F$4:$F$18,MATCH($F483,Cluster_Master!$B$4:$B$18,0)),"")</f>
        <v/>
      </c>
      <c r="L483" s="8" t="str">
        <f>IFERROR(INDEX(Cluster_Master!$G$4:$G$18,MATCH($F483,Cluster_Master!$B$4:$B$18,0)),"")</f>
        <v/>
      </c>
      <c r="M483" s="8" t="str">
        <f>IFERROR(INDEX(Cluster_Master!$H$4:$H$18,MATCH($F483,Cluster_Master!$B$4:$B$18,0)),"")</f>
        <v/>
      </c>
      <c r="N483" s="12"/>
      <c r="O483" s="12"/>
      <c r="P483" s="12"/>
      <c r="Q483" s="12"/>
      <c r="R483" s="12"/>
      <c r="S483" s="12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8" t="str">
        <f t="shared" si="61"/>
        <v/>
      </c>
      <c r="AJ483" s="14" t="str">
        <f t="shared" si="62"/>
        <v/>
      </c>
      <c r="AK483" s="14" t="str">
        <f>IF(COUNTA(T483:AH483)=0,"",(SUM(T483*KPI_Weights!$B$4,U483*KPI_Weights!$B$5,V483*KPI_Weights!$B$6,W483*KPI_Weights!$B$7,X483*KPI_Weights!$B$8,Y483*KPI_Weights!$B$9,Z483*KPI_Weights!$B$10,AA483*KPI_Weights!$B$11,AB483*KPI_Weights!$B$12,AC483*KPI_Weights!$B$13,AD483*KPI_Weights!$B$14,AE483*KPI_Weights!$B$15,AF483*KPI_Weights!$B$16,AG483*KPI_Weights!$B$17,AH483*KPI_Weights!$B$18))/5)</f>
        <v/>
      </c>
      <c r="AL483" s="8" t="str">
        <f t="shared" si="63"/>
        <v/>
      </c>
      <c r="AM483" s="8" t="str">
        <f t="shared" si="64"/>
        <v/>
      </c>
      <c r="AN483" s="8" t="str">
        <f t="shared" si="65"/>
        <v/>
      </c>
      <c r="AO483" s="12"/>
      <c r="AP483" s="12"/>
      <c r="AQ483" s="12"/>
      <c r="AR483" s="12"/>
      <c r="AS483" s="12"/>
      <c r="AT483" s="15"/>
      <c r="AU483" s="12"/>
      <c r="AV483" s="16"/>
      <c r="AW483" s="12"/>
      <c r="AX483" s="15"/>
      <c r="AY483" s="15"/>
      <c r="AZ483" s="15"/>
      <c r="BA483" s="15"/>
      <c r="BB483" s="15"/>
      <c r="BC483" s="15"/>
      <c r="BD483" s="15"/>
      <c r="BE483" s="15"/>
      <c r="BF483" s="15"/>
    </row>
    <row r="484" spans="1:58" ht="19.5" customHeight="1" x14ac:dyDescent="0.2">
      <c r="A484" s="8" t="str">
        <f>IF($B484="","",TEXT($B484,"yyyymmdd")&amp;"-"&amp;SUBSTITUTE($F484," ","")&amp;"-"&amp;TEXT(COUNTIF($F$4:F484,$F484),"00"))</f>
        <v/>
      </c>
      <c r="B484" s="9"/>
      <c r="C484" s="8" t="str">
        <f t="shared" si="59"/>
        <v/>
      </c>
      <c r="D484" s="8" t="str">
        <f t="shared" si="60"/>
        <v/>
      </c>
      <c r="E484" s="10"/>
      <c r="F484" s="10"/>
      <c r="G484" s="8" t="str">
        <f>IF(OR($E484="",$F484=""),"",IFERROR(IF($E484=INDEX(Cluster_Master!$A$4:$A$18,MATCH($F484,Cluster_Master!$B$4:$B$18,0)),"OK","CHECK"),"CHECK"))</f>
        <v/>
      </c>
      <c r="H484" s="11" t="str">
        <f>IFERROR(INDEX(Cluster_Master!$C$4:$C$18,MATCH($F484,Cluster_Master!$B$4:$B$18,0)),"")</f>
        <v/>
      </c>
      <c r="I484" s="8" t="str">
        <f>IFERROR(INDEX(Cluster_Master!$D$4:$D$18,MATCH($F484,Cluster_Master!$B$4:$B$18,0)),"")</f>
        <v/>
      </c>
      <c r="J484" s="8" t="str">
        <f>IFERROR(INDEX(Cluster_Master!$E$4:$E$18,MATCH($F484,Cluster_Master!$B$4:$B$18,0)),"")</f>
        <v/>
      </c>
      <c r="K484" s="8" t="str">
        <f>IFERROR(INDEX(Cluster_Master!$F$4:$F$18,MATCH($F484,Cluster_Master!$B$4:$B$18,0)),"")</f>
        <v/>
      </c>
      <c r="L484" s="8" t="str">
        <f>IFERROR(INDEX(Cluster_Master!$G$4:$G$18,MATCH($F484,Cluster_Master!$B$4:$B$18,0)),"")</f>
        <v/>
      </c>
      <c r="M484" s="8" t="str">
        <f>IFERROR(INDEX(Cluster_Master!$H$4:$H$18,MATCH($F484,Cluster_Master!$B$4:$B$18,0)),"")</f>
        <v/>
      </c>
      <c r="N484" s="12"/>
      <c r="O484" s="12"/>
      <c r="P484" s="12"/>
      <c r="Q484" s="12"/>
      <c r="R484" s="12"/>
      <c r="S484" s="12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8" t="str">
        <f t="shared" si="61"/>
        <v/>
      </c>
      <c r="AJ484" s="14" t="str">
        <f t="shared" si="62"/>
        <v/>
      </c>
      <c r="AK484" s="14" t="str">
        <f>IF(COUNTA(T484:AH484)=0,"",(SUM(T484*KPI_Weights!$B$4,U484*KPI_Weights!$B$5,V484*KPI_Weights!$B$6,W484*KPI_Weights!$B$7,X484*KPI_Weights!$B$8,Y484*KPI_Weights!$B$9,Z484*KPI_Weights!$B$10,AA484*KPI_Weights!$B$11,AB484*KPI_Weights!$B$12,AC484*KPI_Weights!$B$13,AD484*KPI_Weights!$B$14,AE484*KPI_Weights!$B$15,AF484*KPI_Weights!$B$16,AG484*KPI_Weights!$B$17,AH484*KPI_Weights!$B$18))/5)</f>
        <v/>
      </c>
      <c r="AL484" s="8" t="str">
        <f t="shared" si="63"/>
        <v/>
      </c>
      <c r="AM484" s="8" t="str">
        <f t="shared" si="64"/>
        <v/>
      </c>
      <c r="AN484" s="8" t="str">
        <f t="shared" si="65"/>
        <v/>
      </c>
      <c r="AO484" s="12"/>
      <c r="AP484" s="12"/>
      <c r="AQ484" s="12"/>
      <c r="AR484" s="12"/>
      <c r="AS484" s="12"/>
      <c r="AT484" s="15"/>
      <c r="AU484" s="12"/>
      <c r="AV484" s="16"/>
      <c r="AW484" s="12"/>
      <c r="AX484" s="15"/>
      <c r="AY484" s="15"/>
      <c r="AZ484" s="15"/>
      <c r="BA484" s="15"/>
      <c r="BB484" s="15"/>
      <c r="BC484" s="15"/>
      <c r="BD484" s="15"/>
      <c r="BE484" s="15"/>
      <c r="BF484" s="15"/>
    </row>
    <row r="485" spans="1:58" ht="19.5" customHeight="1" x14ac:dyDescent="0.2">
      <c r="A485" s="8" t="str">
        <f>IF($B485="","",TEXT($B485,"yyyymmdd")&amp;"-"&amp;SUBSTITUTE($F485," ","")&amp;"-"&amp;TEXT(COUNTIF($F$4:F485,$F485),"00"))</f>
        <v/>
      </c>
      <c r="B485" s="9"/>
      <c r="C485" s="8" t="str">
        <f t="shared" si="59"/>
        <v/>
      </c>
      <c r="D485" s="8" t="str">
        <f t="shared" si="60"/>
        <v/>
      </c>
      <c r="E485" s="10"/>
      <c r="F485" s="10"/>
      <c r="G485" s="8" t="str">
        <f>IF(OR($E485="",$F485=""),"",IFERROR(IF($E485=INDEX(Cluster_Master!$A$4:$A$18,MATCH($F485,Cluster_Master!$B$4:$B$18,0)),"OK","CHECK"),"CHECK"))</f>
        <v/>
      </c>
      <c r="H485" s="11" t="str">
        <f>IFERROR(INDEX(Cluster_Master!$C$4:$C$18,MATCH($F485,Cluster_Master!$B$4:$B$18,0)),"")</f>
        <v/>
      </c>
      <c r="I485" s="8" t="str">
        <f>IFERROR(INDEX(Cluster_Master!$D$4:$D$18,MATCH($F485,Cluster_Master!$B$4:$B$18,0)),"")</f>
        <v/>
      </c>
      <c r="J485" s="8" t="str">
        <f>IFERROR(INDEX(Cluster_Master!$E$4:$E$18,MATCH($F485,Cluster_Master!$B$4:$B$18,0)),"")</f>
        <v/>
      </c>
      <c r="K485" s="8" t="str">
        <f>IFERROR(INDEX(Cluster_Master!$F$4:$F$18,MATCH($F485,Cluster_Master!$B$4:$B$18,0)),"")</f>
        <v/>
      </c>
      <c r="L485" s="8" t="str">
        <f>IFERROR(INDEX(Cluster_Master!$G$4:$G$18,MATCH($F485,Cluster_Master!$B$4:$B$18,0)),"")</f>
        <v/>
      </c>
      <c r="M485" s="8" t="str">
        <f>IFERROR(INDEX(Cluster_Master!$H$4:$H$18,MATCH($F485,Cluster_Master!$B$4:$B$18,0)),"")</f>
        <v/>
      </c>
      <c r="N485" s="12"/>
      <c r="O485" s="12"/>
      <c r="P485" s="12"/>
      <c r="Q485" s="12"/>
      <c r="R485" s="12"/>
      <c r="S485" s="12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8" t="str">
        <f t="shared" si="61"/>
        <v/>
      </c>
      <c r="AJ485" s="14" t="str">
        <f t="shared" si="62"/>
        <v/>
      </c>
      <c r="AK485" s="14" t="str">
        <f>IF(COUNTA(T485:AH485)=0,"",(SUM(T485*KPI_Weights!$B$4,U485*KPI_Weights!$B$5,V485*KPI_Weights!$B$6,W485*KPI_Weights!$B$7,X485*KPI_Weights!$B$8,Y485*KPI_Weights!$B$9,Z485*KPI_Weights!$B$10,AA485*KPI_Weights!$B$11,AB485*KPI_Weights!$B$12,AC485*KPI_Weights!$B$13,AD485*KPI_Weights!$B$14,AE485*KPI_Weights!$B$15,AF485*KPI_Weights!$B$16,AG485*KPI_Weights!$B$17,AH485*KPI_Weights!$B$18))/5)</f>
        <v/>
      </c>
      <c r="AL485" s="8" t="str">
        <f t="shared" si="63"/>
        <v/>
      </c>
      <c r="AM485" s="8" t="str">
        <f t="shared" si="64"/>
        <v/>
      </c>
      <c r="AN485" s="8" t="str">
        <f t="shared" si="65"/>
        <v/>
      </c>
      <c r="AO485" s="12"/>
      <c r="AP485" s="12"/>
      <c r="AQ485" s="12"/>
      <c r="AR485" s="12"/>
      <c r="AS485" s="12"/>
      <c r="AT485" s="15"/>
      <c r="AU485" s="12"/>
      <c r="AV485" s="16"/>
      <c r="AW485" s="12"/>
      <c r="AX485" s="15"/>
      <c r="AY485" s="15"/>
      <c r="AZ485" s="15"/>
      <c r="BA485" s="15"/>
      <c r="BB485" s="15"/>
      <c r="BC485" s="15"/>
      <c r="BD485" s="15"/>
      <c r="BE485" s="15"/>
      <c r="BF485" s="15"/>
    </row>
    <row r="486" spans="1:58" ht="19.5" customHeight="1" x14ac:dyDescent="0.2">
      <c r="A486" s="8" t="str">
        <f>IF($B486="","",TEXT($B486,"yyyymmdd")&amp;"-"&amp;SUBSTITUTE($F486," ","")&amp;"-"&amp;TEXT(COUNTIF($F$4:F486,$F486),"00"))</f>
        <v/>
      </c>
      <c r="B486" s="9"/>
      <c r="C486" s="8" t="str">
        <f t="shared" si="59"/>
        <v/>
      </c>
      <c r="D486" s="8" t="str">
        <f t="shared" si="60"/>
        <v/>
      </c>
      <c r="E486" s="10"/>
      <c r="F486" s="10"/>
      <c r="G486" s="8" t="str">
        <f>IF(OR($E486="",$F486=""),"",IFERROR(IF($E486=INDEX(Cluster_Master!$A$4:$A$18,MATCH($F486,Cluster_Master!$B$4:$B$18,0)),"OK","CHECK"),"CHECK"))</f>
        <v/>
      </c>
      <c r="H486" s="11" t="str">
        <f>IFERROR(INDEX(Cluster_Master!$C$4:$C$18,MATCH($F486,Cluster_Master!$B$4:$B$18,0)),"")</f>
        <v/>
      </c>
      <c r="I486" s="8" t="str">
        <f>IFERROR(INDEX(Cluster_Master!$D$4:$D$18,MATCH($F486,Cluster_Master!$B$4:$B$18,0)),"")</f>
        <v/>
      </c>
      <c r="J486" s="8" t="str">
        <f>IFERROR(INDEX(Cluster_Master!$E$4:$E$18,MATCH($F486,Cluster_Master!$B$4:$B$18,0)),"")</f>
        <v/>
      </c>
      <c r="K486" s="8" t="str">
        <f>IFERROR(INDEX(Cluster_Master!$F$4:$F$18,MATCH($F486,Cluster_Master!$B$4:$B$18,0)),"")</f>
        <v/>
      </c>
      <c r="L486" s="8" t="str">
        <f>IFERROR(INDEX(Cluster_Master!$G$4:$G$18,MATCH($F486,Cluster_Master!$B$4:$B$18,0)),"")</f>
        <v/>
      </c>
      <c r="M486" s="8" t="str">
        <f>IFERROR(INDEX(Cluster_Master!$H$4:$H$18,MATCH($F486,Cluster_Master!$B$4:$B$18,0)),"")</f>
        <v/>
      </c>
      <c r="N486" s="12"/>
      <c r="O486" s="12"/>
      <c r="P486" s="12"/>
      <c r="Q486" s="12"/>
      <c r="R486" s="12"/>
      <c r="S486" s="12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8" t="str">
        <f t="shared" si="61"/>
        <v/>
      </c>
      <c r="AJ486" s="14" t="str">
        <f t="shared" si="62"/>
        <v/>
      </c>
      <c r="AK486" s="14" t="str">
        <f>IF(COUNTA(T486:AH486)=0,"",(SUM(T486*KPI_Weights!$B$4,U486*KPI_Weights!$B$5,V486*KPI_Weights!$B$6,W486*KPI_Weights!$B$7,X486*KPI_Weights!$B$8,Y486*KPI_Weights!$B$9,Z486*KPI_Weights!$B$10,AA486*KPI_Weights!$B$11,AB486*KPI_Weights!$B$12,AC486*KPI_Weights!$B$13,AD486*KPI_Weights!$B$14,AE486*KPI_Weights!$B$15,AF486*KPI_Weights!$B$16,AG486*KPI_Weights!$B$17,AH486*KPI_Weights!$B$18))/5)</f>
        <v/>
      </c>
      <c r="AL486" s="8" t="str">
        <f t="shared" si="63"/>
        <v/>
      </c>
      <c r="AM486" s="8" t="str">
        <f t="shared" si="64"/>
        <v/>
      </c>
      <c r="AN486" s="8" t="str">
        <f t="shared" si="65"/>
        <v/>
      </c>
      <c r="AO486" s="12"/>
      <c r="AP486" s="12"/>
      <c r="AQ486" s="12"/>
      <c r="AR486" s="12"/>
      <c r="AS486" s="12"/>
      <c r="AT486" s="15"/>
      <c r="AU486" s="12"/>
      <c r="AV486" s="16"/>
      <c r="AW486" s="12"/>
      <c r="AX486" s="15"/>
      <c r="AY486" s="15"/>
      <c r="AZ486" s="15"/>
      <c r="BA486" s="15"/>
      <c r="BB486" s="15"/>
      <c r="BC486" s="15"/>
      <c r="BD486" s="15"/>
      <c r="BE486" s="15"/>
      <c r="BF486" s="15"/>
    </row>
    <row r="487" spans="1:58" ht="19.5" customHeight="1" x14ac:dyDescent="0.2">
      <c r="A487" s="8" t="str">
        <f>IF($B487="","",TEXT($B487,"yyyymmdd")&amp;"-"&amp;SUBSTITUTE($F487," ","")&amp;"-"&amp;TEXT(COUNTIF($F$4:F487,$F487),"00"))</f>
        <v/>
      </c>
      <c r="B487" s="9"/>
      <c r="C487" s="8" t="str">
        <f t="shared" si="59"/>
        <v/>
      </c>
      <c r="D487" s="8" t="str">
        <f t="shared" si="60"/>
        <v/>
      </c>
      <c r="E487" s="10"/>
      <c r="F487" s="10"/>
      <c r="G487" s="8" t="str">
        <f>IF(OR($E487="",$F487=""),"",IFERROR(IF($E487=INDEX(Cluster_Master!$A$4:$A$18,MATCH($F487,Cluster_Master!$B$4:$B$18,0)),"OK","CHECK"),"CHECK"))</f>
        <v/>
      </c>
      <c r="H487" s="11" t="str">
        <f>IFERROR(INDEX(Cluster_Master!$C$4:$C$18,MATCH($F487,Cluster_Master!$B$4:$B$18,0)),"")</f>
        <v/>
      </c>
      <c r="I487" s="8" t="str">
        <f>IFERROR(INDEX(Cluster_Master!$D$4:$D$18,MATCH($F487,Cluster_Master!$B$4:$B$18,0)),"")</f>
        <v/>
      </c>
      <c r="J487" s="8" t="str">
        <f>IFERROR(INDEX(Cluster_Master!$E$4:$E$18,MATCH($F487,Cluster_Master!$B$4:$B$18,0)),"")</f>
        <v/>
      </c>
      <c r="K487" s="8" t="str">
        <f>IFERROR(INDEX(Cluster_Master!$F$4:$F$18,MATCH($F487,Cluster_Master!$B$4:$B$18,0)),"")</f>
        <v/>
      </c>
      <c r="L487" s="8" t="str">
        <f>IFERROR(INDEX(Cluster_Master!$G$4:$G$18,MATCH($F487,Cluster_Master!$B$4:$B$18,0)),"")</f>
        <v/>
      </c>
      <c r="M487" s="8" t="str">
        <f>IFERROR(INDEX(Cluster_Master!$H$4:$H$18,MATCH($F487,Cluster_Master!$B$4:$B$18,0)),"")</f>
        <v/>
      </c>
      <c r="N487" s="12"/>
      <c r="O487" s="12"/>
      <c r="P487" s="12"/>
      <c r="Q487" s="12"/>
      <c r="R487" s="12"/>
      <c r="S487" s="12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8" t="str">
        <f t="shared" si="61"/>
        <v/>
      </c>
      <c r="AJ487" s="14" t="str">
        <f t="shared" si="62"/>
        <v/>
      </c>
      <c r="AK487" s="14" t="str">
        <f>IF(COUNTA(T487:AH487)=0,"",(SUM(T487*KPI_Weights!$B$4,U487*KPI_Weights!$B$5,V487*KPI_Weights!$B$6,W487*KPI_Weights!$B$7,X487*KPI_Weights!$B$8,Y487*KPI_Weights!$B$9,Z487*KPI_Weights!$B$10,AA487*KPI_Weights!$B$11,AB487*KPI_Weights!$B$12,AC487*KPI_Weights!$B$13,AD487*KPI_Weights!$B$14,AE487*KPI_Weights!$B$15,AF487*KPI_Weights!$B$16,AG487*KPI_Weights!$B$17,AH487*KPI_Weights!$B$18))/5)</f>
        <v/>
      </c>
      <c r="AL487" s="8" t="str">
        <f t="shared" si="63"/>
        <v/>
      </c>
      <c r="AM487" s="8" t="str">
        <f t="shared" si="64"/>
        <v/>
      </c>
      <c r="AN487" s="8" t="str">
        <f t="shared" si="65"/>
        <v/>
      </c>
      <c r="AO487" s="12"/>
      <c r="AP487" s="12"/>
      <c r="AQ487" s="12"/>
      <c r="AR487" s="12"/>
      <c r="AS487" s="12"/>
      <c r="AT487" s="15"/>
      <c r="AU487" s="12"/>
      <c r="AV487" s="16"/>
      <c r="AW487" s="12"/>
      <c r="AX487" s="15"/>
      <c r="AY487" s="15"/>
      <c r="AZ487" s="15"/>
      <c r="BA487" s="15"/>
      <c r="BB487" s="15"/>
      <c r="BC487" s="15"/>
      <c r="BD487" s="15"/>
      <c r="BE487" s="15"/>
      <c r="BF487" s="15"/>
    </row>
    <row r="488" spans="1:58" ht="19.5" customHeight="1" x14ac:dyDescent="0.2">
      <c r="A488" s="8" t="str">
        <f>IF($B488="","",TEXT($B488,"yyyymmdd")&amp;"-"&amp;SUBSTITUTE($F488," ","")&amp;"-"&amp;TEXT(COUNTIF($F$4:F488,$F488),"00"))</f>
        <v/>
      </c>
      <c r="B488" s="9"/>
      <c r="C488" s="8" t="str">
        <f t="shared" si="59"/>
        <v/>
      </c>
      <c r="D488" s="8" t="str">
        <f t="shared" si="60"/>
        <v/>
      </c>
      <c r="E488" s="10"/>
      <c r="F488" s="10"/>
      <c r="G488" s="8" t="str">
        <f>IF(OR($E488="",$F488=""),"",IFERROR(IF($E488=INDEX(Cluster_Master!$A$4:$A$18,MATCH($F488,Cluster_Master!$B$4:$B$18,0)),"OK","CHECK"),"CHECK"))</f>
        <v/>
      </c>
      <c r="H488" s="11" t="str">
        <f>IFERROR(INDEX(Cluster_Master!$C$4:$C$18,MATCH($F488,Cluster_Master!$B$4:$B$18,0)),"")</f>
        <v/>
      </c>
      <c r="I488" s="8" t="str">
        <f>IFERROR(INDEX(Cluster_Master!$D$4:$D$18,MATCH($F488,Cluster_Master!$B$4:$B$18,0)),"")</f>
        <v/>
      </c>
      <c r="J488" s="8" t="str">
        <f>IFERROR(INDEX(Cluster_Master!$E$4:$E$18,MATCH($F488,Cluster_Master!$B$4:$B$18,0)),"")</f>
        <v/>
      </c>
      <c r="K488" s="8" t="str">
        <f>IFERROR(INDEX(Cluster_Master!$F$4:$F$18,MATCH($F488,Cluster_Master!$B$4:$B$18,0)),"")</f>
        <v/>
      </c>
      <c r="L488" s="8" t="str">
        <f>IFERROR(INDEX(Cluster_Master!$G$4:$G$18,MATCH($F488,Cluster_Master!$B$4:$B$18,0)),"")</f>
        <v/>
      </c>
      <c r="M488" s="8" t="str">
        <f>IFERROR(INDEX(Cluster_Master!$H$4:$H$18,MATCH($F488,Cluster_Master!$B$4:$B$18,0)),"")</f>
        <v/>
      </c>
      <c r="N488" s="12"/>
      <c r="O488" s="12"/>
      <c r="P488" s="12"/>
      <c r="Q488" s="12"/>
      <c r="R488" s="12"/>
      <c r="S488" s="12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8" t="str">
        <f t="shared" si="61"/>
        <v/>
      </c>
      <c r="AJ488" s="14" t="str">
        <f t="shared" si="62"/>
        <v/>
      </c>
      <c r="AK488" s="14" t="str">
        <f>IF(COUNTA(T488:AH488)=0,"",(SUM(T488*KPI_Weights!$B$4,U488*KPI_Weights!$B$5,V488*KPI_Weights!$B$6,W488*KPI_Weights!$B$7,X488*KPI_Weights!$B$8,Y488*KPI_Weights!$B$9,Z488*KPI_Weights!$B$10,AA488*KPI_Weights!$B$11,AB488*KPI_Weights!$B$12,AC488*KPI_Weights!$B$13,AD488*KPI_Weights!$B$14,AE488*KPI_Weights!$B$15,AF488*KPI_Weights!$B$16,AG488*KPI_Weights!$B$17,AH488*KPI_Weights!$B$18))/5)</f>
        <v/>
      </c>
      <c r="AL488" s="8" t="str">
        <f t="shared" si="63"/>
        <v/>
      </c>
      <c r="AM488" s="8" t="str">
        <f t="shared" si="64"/>
        <v/>
      </c>
      <c r="AN488" s="8" t="str">
        <f t="shared" si="65"/>
        <v/>
      </c>
      <c r="AO488" s="12"/>
      <c r="AP488" s="12"/>
      <c r="AQ488" s="12"/>
      <c r="AR488" s="12"/>
      <c r="AS488" s="12"/>
      <c r="AT488" s="15"/>
      <c r="AU488" s="12"/>
      <c r="AV488" s="16"/>
      <c r="AW488" s="12"/>
      <c r="AX488" s="15"/>
      <c r="AY488" s="15"/>
      <c r="AZ488" s="15"/>
      <c r="BA488" s="15"/>
      <c r="BB488" s="15"/>
      <c r="BC488" s="15"/>
      <c r="BD488" s="15"/>
      <c r="BE488" s="15"/>
      <c r="BF488" s="15"/>
    </row>
    <row r="489" spans="1:58" ht="19.5" customHeight="1" x14ac:dyDescent="0.2">
      <c r="A489" s="8" t="str">
        <f>IF($B489="","",TEXT($B489,"yyyymmdd")&amp;"-"&amp;SUBSTITUTE($F489," ","")&amp;"-"&amp;TEXT(COUNTIF($F$4:F489,$F489),"00"))</f>
        <v/>
      </c>
      <c r="B489" s="9"/>
      <c r="C489" s="8" t="str">
        <f t="shared" si="59"/>
        <v/>
      </c>
      <c r="D489" s="8" t="str">
        <f t="shared" si="60"/>
        <v/>
      </c>
      <c r="E489" s="10"/>
      <c r="F489" s="10"/>
      <c r="G489" s="8" t="str">
        <f>IF(OR($E489="",$F489=""),"",IFERROR(IF($E489=INDEX(Cluster_Master!$A$4:$A$18,MATCH($F489,Cluster_Master!$B$4:$B$18,0)),"OK","CHECK"),"CHECK"))</f>
        <v/>
      </c>
      <c r="H489" s="11" t="str">
        <f>IFERROR(INDEX(Cluster_Master!$C$4:$C$18,MATCH($F489,Cluster_Master!$B$4:$B$18,0)),"")</f>
        <v/>
      </c>
      <c r="I489" s="8" t="str">
        <f>IFERROR(INDEX(Cluster_Master!$D$4:$D$18,MATCH($F489,Cluster_Master!$B$4:$B$18,0)),"")</f>
        <v/>
      </c>
      <c r="J489" s="8" t="str">
        <f>IFERROR(INDEX(Cluster_Master!$E$4:$E$18,MATCH($F489,Cluster_Master!$B$4:$B$18,0)),"")</f>
        <v/>
      </c>
      <c r="K489" s="8" t="str">
        <f>IFERROR(INDEX(Cluster_Master!$F$4:$F$18,MATCH($F489,Cluster_Master!$B$4:$B$18,0)),"")</f>
        <v/>
      </c>
      <c r="L489" s="8" t="str">
        <f>IFERROR(INDEX(Cluster_Master!$G$4:$G$18,MATCH($F489,Cluster_Master!$B$4:$B$18,0)),"")</f>
        <v/>
      </c>
      <c r="M489" s="8" t="str">
        <f>IFERROR(INDEX(Cluster_Master!$H$4:$H$18,MATCH($F489,Cluster_Master!$B$4:$B$18,0)),"")</f>
        <v/>
      </c>
      <c r="N489" s="12"/>
      <c r="O489" s="12"/>
      <c r="P489" s="12"/>
      <c r="Q489" s="12"/>
      <c r="R489" s="12"/>
      <c r="S489" s="12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8" t="str">
        <f t="shared" si="61"/>
        <v/>
      </c>
      <c r="AJ489" s="14" t="str">
        <f t="shared" si="62"/>
        <v/>
      </c>
      <c r="AK489" s="14" t="str">
        <f>IF(COUNTA(T489:AH489)=0,"",(SUM(T489*KPI_Weights!$B$4,U489*KPI_Weights!$B$5,V489*KPI_Weights!$B$6,W489*KPI_Weights!$B$7,X489*KPI_Weights!$B$8,Y489*KPI_Weights!$B$9,Z489*KPI_Weights!$B$10,AA489*KPI_Weights!$B$11,AB489*KPI_Weights!$B$12,AC489*KPI_Weights!$B$13,AD489*KPI_Weights!$B$14,AE489*KPI_Weights!$B$15,AF489*KPI_Weights!$B$16,AG489*KPI_Weights!$B$17,AH489*KPI_Weights!$B$18))/5)</f>
        <v/>
      </c>
      <c r="AL489" s="8" t="str">
        <f t="shared" si="63"/>
        <v/>
      </c>
      <c r="AM489" s="8" t="str">
        <f t="shared" si="64"/>
        <v/>
      </c>
      <c r="AN489" s="8" t="str">
        <f t="shared" si="65"/>
        <v/>
      </c>
      <c r="AO489" s="12"/>
      <c r="AP489" s="12"/>
      <c r="AQ489" s="12"/>
      <c r="AR489" s="12"/>
      <c r="AS489" s="12"/>
      <c r="AT489" s="15"/>
      <c r="AU489" s="12"/>
      <c r="AV489" s="16"/>
      <c r="AW489" s="12"/>
      <c r="AX489" s="15"/>
      <c r="AY489" s="15"/>
      <c r="AZ489" s="15"/>
      <c r="BA489" s="15"/>
      <c r="BB489" s="15"/>
      <c r="BC489" s="15"/>
      <c r="BD489" s="15"/>
      <c r="BE489" s="15"/>
      <c r="BF489" s="15"/>
    </row>
    <row r="490" spans="1:58" ht="19.5" customHeight="1" x14ac:dyDescent="0.2">
      <c r="A490" s="8" t="str">
        <f>IF($B490="","",TEXT($B490,"yyyymmdd")&amp;"-"&amp;SUBSTITUTE($F490," ","")&amp;"-"&amp;TEXT(COUNTIF($F$4:F490,$F490),"00"))</f>
        <v/>
      </c>
      <c r="B490" s="9"/>
      <c r="C490" s="8" t="str">
        <f t="shared" si="59"/>
        <v/>
      </c>
      <c r="D490" s="8" t="str">
        <f t="shared" si="60"/>
        <v/>
      </c>
      <c r="E490" s="10"/>
      <c r="F490" s="10"/>
      <c r="G490" s="8" t="str">
        <f>IF(OR($E490="",$F490=""),"",IFERROR(IF($E490=INDEX(Cluster_Master!$A$4:$A$18,MATCH($F490,Cluster_Master!$B$4:$B$18,0)),"OK","CHECK"),"CHECK"))</f>
        <v/>
      </c>
      <c r="H490" s="11" t="str">
        <f>IFERROR(INDEX(Cluster_Master!$C$4:$C$18,MATCH($F490,Cluster_Master!$B$4:$B$18,0)),"")</f>
        <v/>
      </c>
      <c r="I490" s="8" t="str">
        <f>IFERROR(INDEX(Cluster_Master!$D$4:$D$18,MATCH($F490,Cluster_Master!$B$4:$B$18,0)),"")</f>
        <v/>
      </c>
      <c r="J490" s="8" t="str">
        <f>IFERROR(INDEX(Cluster_Master!$E$4:$E$18,MATCH($F490,Cluster_Master!$B$4:$B$18,0)),"")</f>
        <v/>
      </c>
      <c r="K490" s="8" t="str">
        <f>IFERROR(INDEX(Cluster_Master!$F$4:$F$18,MATCH($F490,Cluster_Master!$B$4:$B$18,0)),"")</f>
        <v/>
      </c>
      <c r="L490" s="8" t="str">
        <f>IFERROR(INDEX(Cluster_Master!$G$4:$G$18,MATCH($F490,Cluster_Master!$B$4:$B$18,0)),"")</f>
        <v/>
      </c>
      <c r="M490" s="8" t="str">
        <f>IFERROR(INDEX(Cluster_Master!$H$4:$H$18,MATCH($F490,Cluster_Master!$B$4:$B$18,0)),"")</f>
        <v/>
      </c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8" t="str">
        <f t="shared" si="61"/>
        <v/>
      </c>
      <c r="AJ490" s="14" t="str">
        <f t="shared" si="62"/>
        <v/>
      </c>
      <c r="AK490" s="14" t="str">
        <f>IF(COUNTA(T490:AH490)=0,"",(SUM(T490*KPI_Weights!$B$4,U490*KPI_Weights!$B$5,V490*KPI_Weights!$B$6,W490*KPI_Weights!$B$7,X490*KPI_Weights!$B$8,Y490*KPI_Weights!$B$9,Z490*KPI_Weights!$B$10,AA490*KPI_Weights!$B$11,AB490*KPI_Weights!$B$12,AC490*KPI_Weights!$B$13,AD490*KPI_Weights!$B$14,AE490*KPI_Weights!$B$15,AF490*KPI_Weights!$B$16,AG490*KPI_Weights!$B$17,AH490*KPI_Weights!$B$18))/5)</f>
        <v/>
      </c>
      <c r="AL490" s="8" t="str">
        <f t="shared" si="63"/>
        <v/>
      </c>
      <c r="AM490" s="8" t="str">
        <f t="shared" si="64"/>
        <v/>
      </c>
      <c r="AN490" s="8" t="str">
        <f t="shared" si="65"/>
        <v/>
      </c>
      <c r="AO490" s="12"/>
      <c r="AP490" s="12"/>
      <c r="AQ490" s="12"/>
      <c r="AR490" s="12"/>
      <c r="AS490" s="12"/>
      <c r="AT490" s="15"/>
      <c r="AU490" s="12"/>
      <c r="AV490" s="16"/>
      <c r="AW490" s="12"/>
      <c r="AX490" s="15"/>
      <c r="AY490" s="15"/>
      <c r="AZ490" s="15"/>
      <c r="BA490" s="15"/>
      <c r="BB490" s="15"/>
      <c r="BC490" s="15"/>
      <c r="BD490" s="15"/>
      <c r="BE490" s="15"/>
      <c r="BF490" s="15"/>
    </row>
    <row r="491" spans="1:58" ht="19.5" customHeight="1" x14ac:dyDescent="0.2">
      <c r="A491" s="8" t="str">
        <f>IF($B491="","",TEXT($B491,"yyyymmdd")&amp;"-"&amp;SUBSTITUTE($F491," ","")&amp;"-"&amp;TEXT(COUNTIF($F$4:F491,$F491),"00"))</f>
        <v/>
      </c>
      <c r="B491" s="9"/>
      <c r="C491" s="8" t="str">
        <f t="shared" si="59"/>
        <v/>
      </c>
      <c r="D491" s="8" t="str">
        <f t="shared" si="60"/>
        <v/>
      </c>
      <c r="E491" s="10"/>
      <c r="F491" s="10"/>
      <c r="G491" s="8" t="str">
        <f>IF(OR($E491="",$F491=""),"",IFERROR(IF($E491=INDEX(Cluster_Master!$A$4:$A$18,MATCH($F491,Cluster_Master!$B$4:$B$18,0)),"OK","CHECK"),"CHECK"))</f>
        <v/>
      </c>
      <c r="H491" s="11" t="str">
        <f>IFERROR(INDEX(Cluster_Master!$C$4:$C$18,MATCH($F491,Cluster_Master!$B$4:$B$18,0)),"")</f>
        <v/>
      </c>
      <c r="I491" s="8" t="str">
        <f>IFERROR(INDEX(Cluster_Master!$D$4:$D$18,MATCH($F491,Cluster_Master!$B$4:$B$18,0)),"")</f>
        <v/>
      </c>
      <c r="J491" s="8" t="str">
        <f>IFERROR(INDEX(Cluster_Master!$E$4:$E$18,MATCH($F491,Cluster_Master!$B$4:$B$18,0)),"")</f>
        <v/>
      </c>
      <c r="K491" s="8" t="str">
        <f>IFERROR(INDEX(Cluster_Master!$F$4:$F$18,MATCH($F491,Cluster_Master!$B$4:$B$18,0)),"")</f>
        <v/>
      </c>
      <c r="L491" s="8" t="str">
        <f>IFERROR(INDEX(Cluster_Master!$G$4:$G$18,MATCH($F491,Cluster_Master!$B$4:$B$18,0)),"")</f>
        <v/>
      </c>
      <c r="M491" s="8" t="str">
        <f>IFERROR(INDEX(Cluster_Master!$H$4:$H$18,MATCH($F491,Cluster_Master!$B$4:$B$18,0)),"")</f>
        <v/>
      </c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8" t="str">
        <f t="shared" si="61"/>
        <v/>
      </c>
      <c r="AJ491" s="14" t="str">
        <f t="shared" si="62"/>
        <v/>
      </c>
      <c r="AK491" s="14" t="str">
        <f>IF(COUNTA(T491:AH491)=0,"",(SUM(T491*KPI_Weights!$B$4,U491*KPI_Weights!$B$5,V491*KPI_Weights!$B$6,W491*KPI_Weights!$B$7,X491*KPI_Weights!$B$8,Y491*KPI_Weights!$B$9,Z491*KPI_Weights!$B$10,AA491*KPI_Weights!$B$11,AB491*KPI_Weights!$B$12,AC491*KPI_Weights!$B$13,AD491*KPI_Weights!$B$14,AE491*KPI_Weights!$B$15,AF491*KPI_Weights!$B$16,AG491*KPI_Weights!$B$17,AH491*KPI_Weights!$B$18))/5)</f>
        <v/>
      </c>
      <c r="AL491" s="8" t="str">
        <f t="shared" si="63"/>
        <v/>
      </c>
      <c r="AM491" s="8" t="str">
        <f t="shared" si="64"/>
        <v/>
      </c>
      <c r="AN491" s="8" t="str">
        <f t="shared" si="65"/>
        <v/>
      </c>
      <c r="AO491" s="12"/>
      <c r="AP491" s="12"/>
      <c r="AQ491" s="12"/>
      <c r="AR491" s="12"/>
      <c r="AS491" s="12"/>
      <c r="AT491" s="15"/>
      <c r="AU491" s="12"/>
      <c r="AV491" s="16"/>
      <c r="AW491" s="12"/>
      <c r="AX491" s="15"/>
      <c r="AY491" s="15"/>
      <c r="AZ491" s="15"/>
      <c r="BA491" s="15"/>
      <c r="BB491" s="15"/>
      <c r="BC491" s="15"/>
      <c r="BD491" s="15"/>
      <c r="BE491" s="15"/>
      <c r="BF491" s="15"/>
    </row>
    <row r="492" spans="1:58" ht="19.5" customHeight="1" x14ac:dyDescent="0.2">
      <c r="A492" s="8" t="str">
        <f>IF($B492="","",TEXT($B492,"yyyymmdd")&amp;"-"&amp;SUBSTITUTE($F492," ","")&amp;"-"&amp;TEXT(COUNTIF($F$4:F492,$F492),"00"))</f>
        <v/>
      </c>
      <c r="B492" s="9"/>
      <c r="C492" s="8" t="str">
        <f t="shared" si="59"/>
        <v/>
      </c>
      <c r="D492" s="8" t="str">
        <f t="shared" si="60"/>
        <v/>
      </c>
      <c r="E492" s="10"/>
      <c r="F492" s="10"/>
      <c r="G492" s="8" t="str">
        <f>IF(OR($E492="",$F492=""),"",IFERROR(IF($E492=INDEX(Cluster_Master!$A$4:$A$18,MATCH($F492,Cluster_Master!$B$4:$B$18,0)),"OK","CHECK"),"CHECK"))</f>
        <v/>
      </c>
      <c r="H492" s="11" t="str">
        <f>IFERROR(INDEX(Cluster_Master!$C$4:$C$18,MATCH($F492,Cluster_Master!$B$4:$B$18,0)),"")</f>
        <v/>
      </c>
      <c r="I492" s="8" t="str">
        <f>IFERROR(INDEX(Cluster_Master!$D$4:$D$18,MATCH($F492,Cluster_Master!$B$4:$B$18,0)),"")</f>
        <v/>
      </c>
      <c r="J492" s="8" t="str">
        <f>IFERROR(INDEX(Cluster_Master!$E$4:$E$18,MATCH($F492,Cluster_Master!$B$4:$B$18,0)),"")</f>
        <v/>
      </c>
      <c r="K492" s="8" t="str">
        <f>IFERROR(INDEX(Cluster_Master!$F$4:$F$18,MATCH($F492,Cluster_Master!$B$4:$B$18,0)),"")</f>
        <v/>
      </c>
      <c r="L492" s="8" t="str">
        <f>IFERROR(INDEX(Cluster_Master!$G$4:$G$18,MATCH($F492,Cluster_Master!$B$4:$B$18,0)),"")</f>
        <v/>
      </c>
      <c r="M492" s="8" t="str">
        <f>IFERROR(INDEX(Cluster_Master!$H$4:$H$18,MATCH($F492,Cluster_Master!$B$4:$B$18,0)),"")</f>
        <v/>
      </c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8" t="str">
        <f t="shared" si="61"/>
        <v/>
      </c>
      <c r="AJ492" s="14" t="str">
        <f t="shared" si="62"/>
        <v/>
      </c>
      <c r="AK492" s="14" t="str">
        <f>IF(COUNTA(T492:AH492)=0,"",(SUM(T492*KPI_Weights!$B$4,U492*KPI_Weights!$B$5,V492*KPI_Weights!$B$6,W492*KPI_Weights!$B$7,X492*KPI_Weights!$B$8,Y492*KPI_Weights!$B$9,Z492*KPI_Weights!$B$10,AA492*KPI_Weights!$B$11,AB492*KPI_Weights!$B$12,AC492*KPI_Weights!$B$13,AD492*KPI_Weights!$B$14,AE492*KPI_Weights!$B$15,AF492*KPI_Weights!$B$16,AG492*KPI_Weights!$B$17,AH492*KPI_Weights!$B$18))/5)</f>
        <v/>
      </c>
      <c r="AL492" s="8" t="str">
        <f t="shared" si="63"/>
        <v/>
      </c>
      <c r="AM492" s="8" t="str">
        <f t="shared" si="64"/>
        <v/>
      </c>
      <c r="AN492" s="8" t="str">
        <f t="shared" si="65"/>
        <v/>
      </c>
      <c r="AO492" s="12"/>
      <c r="AP492" s="12"/>
      <c r="AQ492" s="12"/>
      <c r="AR492" s="12"/>
      <c r="AS492" s="12"/>
      <c r="AT492" s="15"/>
      <c r="AU492" s="12"/>
      <c r="AV492" s="16"/>
      <c r="AW492" s="12"/>
      <c r="AX492" s="15"/>
      <c r="AY492" s="15"/>
      <c r="AZ492" s="15"/>
      <c r="BA492" s="15"/>
      <c r="BB492" s="15"/>
      <c r="BC492" s="15"/>
      <c r="BD492" s="15"/>
      <c r="BE492" s="15"/>
      <c r="BF492" s="15"/>
    </row>
    <row r="493" spans="1:58" ht="19.5" customHeight="1" x14ac:dyDescent="0.2">
      <c r="A493" s="8" t="str">
        <f>IF($B493="","",TEXT($B493,"yyyymmdd")&amp;"-"&amp;SUBSTITUTE($F493," ","")&amp;"-"&amp;TEXT(COUNTIF($F$4:F493,$F493),"00"))</f>
        <v/>
      </c>
      <c r="B493" s="9"/>
      <c r="C493" s="8" t="str">
        <f t="shared" si="59"/>
        <v/>
      </c>
      <c r="D493" s="8" t="str">
        <f t="shared" si="60"/>
        <v/>
      </c>
      <c r="E493" s="10"/>
      <c r="F493" s="10"/>
      <c r="G493" s="8" t="str">
        <f>IF(OR($E493="",$F493=""),"",IFERROR(IF($E493=INDEX(Cluster_Master!$A$4:$A$18,MATCH($F493,Cluster_Master!$B$4:$B$18,0)),"OK","CHECK"),"CHECK"))</f>
        <v/>
      </c>
      <c r="H493" s="11" t="str">
        <f>IFERROR(INDEX(Cluster_Master!$C$4:$C$18,MATCH($F493,Cluster_Master!$B$4:$B$18,0)),"")</f>
        <v/>
      </c>
      <c r="I493" s="8" t="str">
        <f>IFERROR(INDEX(Cluster_Master!$D$4:$D$18,MATCH($F493,Cluster_Master!$B$4:$B$18,0)),"")</f>
        <v/>
      </c>
      <c r="J493" s="8" t="str">
        <f>IFERROR(INDEX(Cluster_Master!$E$4:$E$18,MATCH($F493,Cluster_Master!$B$4:$B$18,0)),"")</f>
        <v/>
      </c>
      <c r="K493" s="8" t="str">
        <f>IFERROR(INDEX(Cluster_Master!$F$4:$F$18,MATCH($F493,Cluster_Master!$B$4:$B$18,0)),"")</f>
        <v/>
      </c>
      <c r="L493" s="8" t="str">
        <f>IFERROR(INDEX(Cluster_Master!$G$4:$G$18,MATCH($F493,Cluster_Master!$B$4:$B$18,0)),"")</f>
        <v/>
      </c>
      <c r="M493" s="8" t="str">
        <f>IFERROR(INDEX(Cluster_Master!$H$4:$H$18,MATCH($F493,Cluster_Master!$B$4:$B$18,0)),"")</f>
        <v/>
      </c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8" t="str">
        <f t="shared" si="61"/>
        <v/>
      </c>
      <c r="AJ493" s="14" t="str">
        <f t="shared" si="62"/>
        <v/>
      </c>
      <c r="AK493" s="14" t="str">
        <f>IF(COUNTA(T493:AH493)=0,"",(SUM(T493*KPI_Weights!$B$4,U493*KPI_Weights!$B$5,V493*KPI_Weights!$B$6,W493*KPI_Weights!$B$7,X493*KPI_Weights!$B$8,Y493*KPI_Weights!$B$9,Z493*KPI_Weights!$B$10,AA493*KPI_Weights!$B$11,AB493*KPI_Weights!$B$12,AC493*KPI_Weights!$B$13,AD493*KPI_Weights!$B$14,AE493*KPI_Weights!$B$15,AF493*KPI_Weights!$B$16,AG493*KPI_Weights!$B$17,AH493*KPI_Weights!$B$18))/5)</f>
        <v/>
      </c>
      <c r="AL493" s="8" t="str">
        <f t="shared" si="63"/>
        <v/>
      </c>
      <c r="AM493" s="8" t="str">
        <f t="shared" si="64"/>
        <v/>
      </c>
      <c r="AN493" s="8" t="str">
        <f t="shared" si="65"/>
        <v/>
      </c>
      <c r="AO493" s="12"/>
      <c r="AP493" s="12"/>
      <c r="AQ493" s="12"/>
      <c r="AR493" s="12"/>
      <c r="AS493" s="12"/>
      <c r="AT493" s="15"/>
      <c r="AU493" s="12"/>
      <c r="AV493" s="16"/>
      <c r="AW493" s="12"/>
      <c r="AX493" s="15"/>
      <c r="AY493" s="15"/>
      <c r="AZ493" s="15"/>
      <c r="BA493" s="15"/>
      <c r="BB493" s="15"/>
      <c r="BC493" s="15"/>
      <c r="BD493" s="15"/>
      <c r="BE493" s="15"/>
      <c r="BF493" s="15"/>
    </row>
    <row r="494" spans="1:58" ht="19.5" customHeight="1" x14ac:dyDescent="0.2">
      <c r="A494" s="8" t="str">
        <f>IF($B494="","",TEXT($B494,"yyyymmdd")&amp;"-"&amp;SUBSTITUTE($F494," ","")&amp;"-"&amp;TEXT(COUNTIF($F$4:F494,$F494),"00"))</f>
        <v/>
      </c>
      <c r="B494" s="9"/>
      <c r="C494" s="8" t="str">
        <f t="shared" si="59"/>
        <v/>
      </c>
      <c r="D494" s="8" t="str">
        <f t="shared" si="60"/>
        <v/>
      </c>
      <c r="E494" s="10"/>
      <c r="F494" s="10"/>
      <c r="G494" s="8" t="str">
        <f>IF(OR($E494="",$F494=""),"",IFERROR(IF($E494=INDEX(Cluster_Master!$A$4:$A$18,MATCH($F494,Cluster_Master!$B$4:$B$18,0)),"OK","CHECK"),"CHECK"))</f>
        <v/>
      </c>
      <c r="H494" s="11" t="str">
        <f>IFERROR(INDEX(Cluster_Master!$C$4:$C$18,MATCH($F494,Cluster_Master!$B$4:$B$18,0)),"")</f>
        <v/>
      </c>
      <c r="I494" s="8" t="str">
        <f>IFERROR(INDEX(Cluster_Master!$D$4:$D$18,MATCH($F494,Cluster_Master!$B$4:$B$18,0)),"")</f>
        <v/>
      </c>
      <c r="J494" s="8" t="str">
        <f>IFERROR(INDEX(Cluster_Master!$E$4:$E$18,MATCH($F494,Cluster_Master!$B$4:$B$18,0)),"")</f>
        <v/>
      </c>
      <c r="K494" s="8" t="str">
        <f>IFERROR(INDEX(Cluster_Master!$F$4:$F$18,MATCH($F494,Cluster_Master!$B$4:$B$18,0)),"")</f>
        <v/>
      </c>
      <c r="L494" s="8" t="str">
        <f>IFERROR(INDEX(Cluster_Master!$G$4:$G$18,MATCH($F494,Cluster_Master!$B$4:$B$18,0)),"")</f>
        <v/>
      </c>
      <c r="M494" s="8" t="str">
        <f>IFERROR(INDEX(Cluster_Master!$H$4:$H$18,MATCH($F494,Cluster_Master!$B$4:$B$18,0)),"")</f>
        <v/>
      </c>
      <c r="N494" s="12"/>
      <c r="O494" s="12"/>
      <c r="P494" s="12"/>
      <c r="Q494" s="12"/>
      <c r="R494" s="12"/>
      <c r="S494" s="12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8" t="str">
        <f t="shared" si="61"/>
        <v/>
      </c>
      <c r="AJ494" s="14" t="str">
        <f t="shared" si="62"/>
        <v/>
      </c>
      <c r="AK494" s="14" t="str">
        <f>IF(COUNTA(T494:AH494)=0,"",(SUM(T494*KPI_Weights!$B$4,U494*KPI_Weights!$B$5,V494*KPI_Weights!$B$6,W494*KPI_Weights!$B$7,X494*KPI_Weights!$B$8,Y494*KPI_Weights!$B$9,Z494*KPI_Weights!$B$10,AA494*KPI_Weights!$B$11,AB494*KPI_Weights!$B$12,AC494*KPI_Weights!$B$13,AD494*KPI_Weights!$B$14,AE494*KPI_Weights!$B$15,AF494*KPI_Weights!$B$16,AG494*KPI_Weights!$B$17,AH494*KPI_Weights!$B$18))/5)</f>
        <v/>
      </c>
      <c r="AL494" s="8" t="str">
        <f t="shared" si="63"/>
        <v/>
      </c>
      <c r="AM494" s="8" t="str">
        <f t="shared" si="64"/>
        <v/>
      </c>
      <c r="AN494" s="8" t="str">
        <f t="shared" si="65"/>
        <v/>
      </c>
      <c r="AO494" s="12"/>
      <c r="AP494" s="12"/>
      <c r="AQ494" s="12"/>
      <c r="AR494" s="12"/>
      <c r="AS494" s="12"/>
      <c r="AT494" s="15"/>
      <c r="AU494" s="12"/>
      <c r="AV494" s="16"/>
      <c r="AW494" s="12"/>
      <c r="AX494" s="15"/>
      <c r="AY494" s="15"/>
      <c r="AZ494" s="15"/>
      <c r="BA494" s="15"/>
      <c r="BB494" s="15"/>
      <c r="BC494" s="15"/>
      <c r="BD494" s="15"/>
      <c r="BE494" s="15"/>
      <c r="BF494" s="15"/>
    </row>
    <row r="495" spans="1:58" ht="19.5" customHeight="1" x14ac:dyDescent="0.2">
      <c r="A495" s="8" t="str">
        <f>IF($B495="","",TEXT($B495,"yyyymmdd")&amp;"-"&amp;SUBSTITUTE($F495," ","")&amp;"-"&amp;TEXT(COUNTIF($F$4:F495,$F495),"00"))</f>
        <v/>
      </c>
      <c r="B495" s="9"/>
      <c r="C495" s="8" t="str">
        <f t="shared" si="59"/>
        <v/>
      </c>
      <c r="D495" s="8" t="str">
        <f t="shared" si="60"/>
        <v/>
      </c>
      <c r="E495" s="10"/>
      <c r="F495" s="10"/>
      <c r="G495" s="8" t="str">
        <f>IF(OR($E495="",$F495=""),"",IFERROR(IF($E495=INDEX(Cluster_Master!$A$4:$A$18,MATCH($F495,Cluster_Master!$B$4:$B$18,0)),"OK","CHECK"),"CHECK"))</f>
        <v/>
      </c>
      <c r="H495" s="11" t="str">
        <f>IFERROR(INDEX(Cluster_Master!$C$4:$C$18,MATCH($F495,Cluster_Master!$B$4:$B$18,0)),"")</f>
        <v/>
      </c>
      <c r="I495" s="8" t="str">
        <f>IFERROR(INDEX(Cluster_Master!$D$4:$D$18,MATCH($F495,Cluster_Master!$B$4:$B$18,0)),"")</f>
        <v/>
      </c>
      <c r="J495" s="8" t="str">
        <f>IFERROR(INDEX(Cluster_Master!$E$4:$E$18,MATCH($F495,Cluster_Master!$B$4:$B$18,0)),"")</f>
        <v/>
      </c>
      <c r="K495" s="8" t="str">
        <f>IFERROR(INDEX(Cluster_Master!$F$4:$F$18,MATCH($F495,Cluster_Master!$B$4:$B$18,0)),"")</f>
        <v/>
      </c>
      <c r="L495" s="8" t="str">
        <f>IFERROR(INDEX(Cluster_Master!$G$4:$G$18,MATCH($F495,Cluster_Master!$B$4:$B$18,0)),"")</f>
        <v/>
      </c>
      <c r="M495" s="8" t="str">
        <f>IFERROR(INDEX(Cluster_Master!$H$4:$H$18,MATCH($F495,Cluster_Master!$B$4:$B$18,0)),"")</f>
        <v/>
      </c>
      <c r="N495" s="12"/>
      <c r="O495" s="12"/>
      <c r="P495" s="12"/>
      <c r="Q495" s="12"/>
      <c r="R495" s="12"/>
      <c r="S495" s="12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8" t="str">
        <f t="shared" si="61"/>
        <v/>
      </c>
      <c r="AJ495" s="14" t="str">
        <f t="shared" si="62"/>
        <v/>
      </c>
      <c r="AK495" s="14" t="str">
        <f>IF(COUNTA(T495:AH495)=0,"",(SUM(T495*KPI_Weights!$B$4,U495*KPI_Weights!$B$5,V495*KPI_Weights!$B$6,W495*KPI_Weights!$B$7,X495*KPI_Weights!$B$8,Y495*KPI_Weights!$B$9,Z495*KPI_Weights!$B$10,AA495*KPI_Weights!$B$11,AB495*KPI_Weights!$B$12,AC495*KPI_Weights!$B$13,AD495*KPI_Weights!$B$14,AE495*KPI_Weights!$B$15,AF495*KPI_Weights!$B$16,AG495*KPI_Weights!$B$17,AH495*KPI_Weights!$B$18))/5)</f>
        <v/>
      </c>
      <c r="AL495" s="8" t="str">
        <f t="shared" si="63"/>
        <v/>
      </c>
      <c r="AM495" s="8" t="str">
        <f t="shared" si="64"/>
        <v/>
      </c>
      <c r="AN495" s="8" t="str">
        <f t="shared" si="65"/>
        <v/>
      </c>
      <c r="AO495" s="12"/>
      <c r="AP495" s="12"/>
      <c r="AQ495" s="12"/>
      <c r="AR495" s="12"/>
      <c r="AS495" s="12"/>
      <c r="AT495" s="15"/>
      <c r="AU495" s="12"/>
      <c r="AV495" s="16"/>
      <c r="AW495" s="12"/>
      <c r="AX495" s="15"/>
      <c r="AY495" s="15"/>
      <c r="AZ495" s="15"/>
      <c r="BA495" s="15"/>
      <c r="BB495" s="15"/>
      <c r="BC495" s="15"/>
      <c r="BD495" s="15"/>
      <c r="BE495" s="15"/>
      <c r="BF495" s="15"/>
    </row>
    <row r="496" spans="1:58" ht="19.5" customHeight="1" x14ac:dyDescent="0.2">
      <c r="A496" s="8" t="str">
        <f>IF($B496="","",TEXT($B496,"yyyymmdd")&amp;"-"&amp;SUBSTITUTE($F496," ","")&amp;"-"&amp;TEXT(COUNTIF($F$4:F496,$F496),"00"))</f>
        <v/>
      </c>
      <c r="B496" s="9"/>
      <c r="C496" s="8" t="str">
        <f t="shared" si="59"/>
        <v/>
      </c>
      <c r="D496" s="8" t="str">
        <f t="shared" si="60"/>
        <v/>
      </c>
      <c r="E496" s="10"/>
      <c r="F496" s="10"/>
      <c r="G496" s="8" t="str">
        <f>IF(OR($E496="",$F496=""),"",IFERROR(IF($E496=INDEX(Cluster_Master!$A$4:$A$18,MATCH($F496,Cluster_Master!$B$4:$B$18,0)),"OK","CHECK"),"CHECK"))</f>
        <v/>
      </c>
      <c r="H496" s="11" t="str">
        <f>IFERROR(INDEX(Cluster_Master!$C$4:$C$18,MATCH($F496,Cluster_Master!$B$4:$B$18,0)),"")</f>
        <v/>
      </c>
      <c r="I496" s="8" t="str">
        <f>IFERROR(INDEX(Cluster_Master!$D$4:$D$18,MATCH($F496,Cluster_Master!$B$4:$B$18,0)),"")</f>
        <v/>
      </c>
      <c r="J496" s="8" t="str">
        <f>IFERROR(INDEX(Cluster_Master!$E$4:$E$18,MATCH($F496,Cluster_Master!$B$4:$B$18,0)),"")</f>
        <v/>
      </c>
      <c r="K496" s="8" t="str">
        <f>IFERROR(INDEX(Cluster_Master!$F$4:$F$18,MATCH($F496,Cluster_Master!$B$4:$B$18,0)),"")</f>
        <v/>
      </c>
      <c r="L496" s="8" t="str">
        <f>IFERROR(INDEX(Cluster_Master!$G$4:$G$18,MATCH($F496,Cluster_Master!$B$4:$B$18,0)),"")</f>
        <v/>
      </c>
      <c r="M496" s="8" t="str">
        <f>IFERROR(INDEX(Cluster_Master!$H$4:$H$18,MATCH($F496,Cluster_Master!$B$4:$B$18,0)),"")</f>
        <v/>
      </c>
      <c r="N496" s="12"/>
      <c r="O496" s="12"/>
      <c r="P496" s="12"/>
      <c r="Q496" s="12"/>
      <c r="R496" s="12"/>
      <c r="S496" s="12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8" t="str">
        <f t="shared" si="61"/>
        <v/>
      </c>
      <c r="AJ496" s="14" t="str">
        <f t="shared" si="62"/>
        <v/>
      </c>
      <c r="AK496" s="14" t="str">
        <f>IF(COUNTA(T496:AH496)=0,"",(SUM(T496*KPI_Weights!$B$4,U496*KPI_Weights!$B$5,V496*KPI_Weights!$B$6,W496*KPI_Weights!$B$7,X496*KPI_Weights!$B$8,Y496*KPI_Weights!$B$9,Z496*KPI_Weights!$B$10,AA496*KPI_Weights!$B$11,AB496*KPI_Weights!$B$12,AC496*KPI_Weights!$B$13,AD496*KPI_Weights!$B$14,AE496*KPI_Weights!$B$15,AF496*KPI_Weights!$B$16,AG496*KPI_Weights!$B$17,AH496*KPI_Weights!$B$18))/5)</f>
        <v/>
      </c>
      <c r="AL496" s="8" t="str">
        <f t="shared" si="63"/>
        <v/>
      </c>
      <c r="AM496" s="8" t="str">
        <f t="shared" si="64"/>
        <v/>
      </c>
      <c r="AN496" s="8" t="str">
        <f t="shared" si="65"/>
        <v/>
      </c>
      <c r="AO496" s="12"/>
      <c r="AP496" s="12"/>
      <c r="AQ496" s="12"/>
      <c r="AR496" s="12"/>
      <c r="AS496" s="12"/>
      <c r="AT496" s="15"/>
      <c r="AU496" s="12"/>
      <c r="AV496" s="16"/>
      <c r="AW496" s="12"/>
      <c r="AX496" s="15"/>
      <c r="AY496" s="15"/>
      <c r="AZ496" s="15"/>
      <c r="BA496" s="15"/>
      <c r="BB496" s="15"/>
      <c r="BC496" s="15"/>
      <c r="BD496" s="15"/>
      <c r="BE496" s="15"/>
      <c r="BF496" s="15"/>
    </row>
    <row r="497" spans="1:58" ht="19.5" customHeight="1" x14ac:dyDescent="0.2">
      <c r="A497" s="8" t="str">
        <f>IF($B497="","",TEXT($B497,"yyyymmdd")&amp;"-"&amp;SUBSTITUTE($F497," ","")&amp;"-"&amp;TEXT(COUNTIF($F$4:F497,$F497),"00"))</f>
        <v/>
      </c>
      <c r="B497" s="9"/>
      <c r="C497" s="8" t="str">
        <f t="shared" si="59"/>
        <v/>
      </c>
      <c r="D497" s="8" t="str">
        <f t="shared" si="60"/>
        <v/>
      </c>
      <c r="E497" s="10"/>
      <c r="F497" s="10"/>
      <c r="G497" s="8" t="str">
        <f>IF(OR($E497="",$F497=""),"",IFERROR(IF($E497=INDEX(Cluster_Master!$A$4:$A$18,MATCH($F497,Cluster_Master!$B$4:$B$18,0)),"OK","CHECK"),"CHECK"))</f>
        <v/>
      </c>
      <c r="H497" s="11" t="str">
        <f>IFERROR(INDEX(Cluster_Master!$C$4:$C$18,MATCH($F497,Cluster_Master!$B$4:$B$18,0)),"")</f>
        <v/>
      </c>
      <c r="I497" s="8" t="str">
        <f>IFERROR(INDEX(Cluster_Master!$D$4:$D$18,MATCH($F497,Cluster_Master!$B$4:$B$18,0)),"")</f>
        <v/>
      </c>
      <c r="J497" s="8" t="str">
        <f>IFERROR(INDEX(Cluster_Master!$E$4:$E$18,MATCH($F497,Cluster_Master!$B$4:$B$18,0)),"")</f>
        <v/>
      </c>
      <c r="K497" s="8" t="str">
        <f>IFERROR(INDEX(Cluster_Master!$F$4:$F$18,MATCH($F497,Cluster_Master!$B$4:$B$18,0)),"")</f>
        <v/>
      </c>
      <c r="L497" s="8" t="str">
        <f>IFERROR(INDEX(Cluster_Master!$G$4:$G$18,MATCH($F497,Cluster_Master!$B$4:$B$18,0)),"")</f>
        <v/>
      </c>
      <c r="M497" s="8" t="str">
        <f>IFERROR(INDEX(Cluster_Master!$H$4:$H$18,MATCH($F497,Cluster_Master!$B$4:$B$18,0)),"")</f>
        <v/>
      </c>
      <c r="N497" s="12"/>
      <c r="O497" s="12"/>
      <c r="P497" s="12"/>
      <c r="Q497" s="12"/>
      <c r="R497" s="12"/>
      <c r="S497" s="12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8" t="str">
        <f t="shared" si="61"/>
        <v/>
      </c>
      <c r="AJ497" s="14" t="str">
        <f t="shared" si="62"/>
        <v/>
      </c>
      <c r="AK497" s="14" t="str">
        <f>IF(COUNTA(T497:AH497)=0,"",(SUM(T497*KPI_Weights!$B$4,U497*KPI_Weights!$B$5,V497*KPI_Weights!$B$6,W497*KPI_Weights!$B$7,X497*KPI_Weights!$B$8,Y497*KPI_Weights!$B$9,Z497*KPI_Weights!$B$10,AA497*KPI_Weights!$B$11,AB497*KPI_Weights!$B$12,AC497*KPI_Weights!$B$13,AD497*KPI_Weights!$B$14,AE497*KPI_Weights!$B$15,AF497*KPI_Weights!$B$16,AG497*KPI_Weights!$B$17,AH497*KPI_Weights!$B$18))/5)</f>
        <v/>
      </c>
      <c r="AL497" s="8" t="str">
        <f t="shared" si="63"/>
        <v/>
      </c>
      <c r="AM497" s="8" t="str">
        <f t="shared" si="64"/>
        <v/>
      </c>
      <c r="AN497" s="8" t="str">
        <f t="shared" si="65"/>
        <v/>
      </c>
      <c r="AO497" s="12"/>
      <c r="AP497" s="12"/>
      <c r="AQ497" s="12"/>
      <c r="AR497" s="12"/>
      <c r="AS497" s="12"/>
      <c r="AT497" s="15"/>
      <c r="AU497" s="12"/>
      <c r="AV497" s="16"/>
      <c r="AW497" s="12"/>
      <c r="AX497" s="15"/>
      <c r="AY497" s="15"/>
      <c r="AZ497" s="15"/>
      <c r="BA497" s="15"/>
      <c r="BB497" s="15"/>
      <c r="BC497" s="15"/>
      <c r="BD497" s="15"/>
      <c r="BE497" s="15"/>
      <c r="BF497" s="15"/>
    </row>
    <row r="498" spans="1:58" ht="19.5" customHeight="1" x14ac:dyDescent="0.2">
      <c r="A498" s="8" t="str">
        <f>IF($B498="","",TEXT($B498,"yyyymmdd")&amp;"-"&amp;SUBSTITUTE($F498," ","")&amp;"-"&amp;TEXT(COUNTIF($F$4:F498,$F498),"00"))</f>
        <v/>
      </c>
      <c r="B498" s="9"/>
      <c r="C498" s="8" t="str">
        <f t="shared" si="59"/>
        <v/>
      </c>
      <c r="D498" s="8" t="str">
        <f t="shared" si="60"/>
        <v/>
      </c>
      <c r="E498" s="10"/>
      <c r="F498" s="10"/>
      <c r="G498" s="8" t="str">
        <f>IF(OR($E498="",$F498=""),"",IFERROR(IF($E498=INDEX(Cluster_Master!$A$4:$A$18,MATCH($F498,Cluster_Master!$B$4:$B$18,0)),"OK","CHECK"),"CHECK"))</f>
        <v/>
      </c>
      <c r="H498" s="11" t="str">
        <f>IFERROR(INDEX(Cluster_Master!$C$4:$C$18,MATCH($F498,Cluster_Master!$B$4:$B$18,0)),"")</f>
        <v/>
      </c>
      <c r="I498" s="8" t="str">
        <f>IFERROR(INDEX(Cluster_Master!$D$4:$D$18,MATCH($F498,Cluster_Master!$B$4:$B$18,0)),"")</f>
        <v/>
      </c>
      <c r="J498" s="8" t="str">
        <f>IFERROR(INDEX(Cluster_Master!$E$4:$E$18,MATCH($F498,Cluster_Master!$B$4:$B$18,0)),"")</f>
        <v/>
      </c>
      <c r="K498" s="8" t="str">
        <f>IFERROR(INDEX(Cluster_Master!$F$4:$F$18,MATCH($F498,Cluster_Master!$B$4:$B$18,0)),"")</f>
        <v/>
      </c>
      <c r="L498" s="8" t="str">
        <f>IFERROR(INDEX(Cluster_Master!$G$4:$G$18,MATCH($F498,Cluster_Master!$B$4:$B$18,0)),"")</f>
        <v/>
      </c>
      <c r="M498" s="8" t="str">
        <f>IFERROR(INDEX(Cluster_Master!$H$4:$H$18,MATCH($F498,Cluster_Master!$B$4:$B$18,0)),"")</f>
        <v/>
      </c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8" t="str">
        <f t="shared" si="61"/>
        <v/>
      </c>
      <c r="AJ498" s="14" t="str">
        <f t="shared" si="62"/>
        <v/>
      </c>
      <c r="AK498" s="14" t="str">
        <f>IF(COUNTA(T498:AH498)=0,"",(SUM(T498*KPI_Weights!$B$4,U498*KPI_Weights!$B$5,V498*KPI_Weights!$B$6,W498*KPI_Weights!$B$7,X498*KPI_Weights!$B$8,Y498*KPI_Weights!$B$9,Z498*KPI_Weights!$B$10,AA498*KPI_Weights!$B$11,AB498*KPI_Weights!$B$12,AC498*KPI_Weights!$B$13,AD498*KPI_Weights!$B$14,AE498*KPI_Weights!$B$15,AF498*KPI_Weights!$B$16,AG498*KPI_Weights!$B$17,AH498*KPI_Weights!$B$18))/5)</f>
        <v/>
      </c>
      <c r="AL498" s="8" t="str">
        <f t="shared" si="63"/>
        <v/>
      </c>
      <c r="AM498" s="8" t="str">
        <f t="shared" si="64"/>
        <v/>
      </c>
      <c r="AN498" s="8" t="str">
        <f t="shared" si="65"/>
        <v/>
      </c>
      <c r="AO498" s="12"/>
      <c r="AP498" s="12"/>
      <c r="AQ498" s="12"/>
      <c r="AR498" s="12"/>
      <c r="AS498" s="12"/>
      <c r="AT498" s="15"/>
      <c r="AU498" s="12"/>
      <c r="AV498" s="16"/>
      <c r="AW498" s="12"/>
      <c r="AX498" s="15"/>
      <c r="AY498" s="15"/>
      <c r="AZ498" s="15"/>
      <c r="BA498" s="15"/>
      <c r="BB498" s="15"/>
      <c r="BC498" s="15"/>
      <c r="BD498" s="15"/>
      <c r="BE498" s="15"/>
      <c r="BF498" s="15"/>
    </row>
    <row r="499" spans="1:58" ht="19.5" customHeight="1" x14ac:dyDescent="0.2">
      <c r="A499" s="8" t="str">
        <f>IF($B499="","",TEXT($B499,"yyyymmdd")&amp;"-"&amp;SUBSTITUTE($F499," ","")&amp;"-"&amp;TEXT(COUNTIF($F$4:F499,$F499),"00"))</f>
        <v/>
      </c>
      <c r="B499" s="9"/>
      <c r="C499" s="8" t="str">
        <f t="shared" si="59"/>
        <v/>
      </c>
      <c r="D499" s="8" t="str">
        <f t="shared" si="60"/>
        <v/>
      </c>
      <c r="E499" s="10"/>
      <c r="F499" s="10"/>
      <c r="G499" s="8" t="str">
        <f>IF(OR($E499="",$F499=""),"",IFERROR(IF($E499=INDEX(Cluster_Master!$A$4:$A$18,MATCH($F499,Cluster_Master!$B$4:$B$18,0)),"OK","CHECK"),"CHECK"))</f>
        <v/>
      </c>
      <c r="H499" s="11" t="str">
        <f>IFERROR(INDEX(Cluster_Master!$C$4:$C$18,MATCH($F499,Cluster_Master!$B$4:$B$18,0)),"")</f>
        <v/>
      </c>
      <c r="I499" s="8" t="str">
        <f>IFERROR(INDEX(Cluster_Master!$D$4:$D$18,MATCH($F499,Cluster_Master!$B$4:$B$18,0)),"")</f>
        <v/>
      </c>
      <c r="J499" s="8" t="str">
        <f>IFERROR(INDEX(Cluster_Master!$E$4:$E$18,MATCH($F499,Cluster_Master!$B$4:$B$18,0)),"")</f>
        <v/>
      </c>
      <c r="K499" s="8" t="str">
        <f>IFERROR(INDEX(Cluster_Master!$F$4:$F$18,MATCH($F499,Cluster_Master!$B$4:$B$18,0)),"")</f>
        <v/>
      </c>
      <c r="L499" s="8" t="str">
        <f>IFERROR(INDEX(Cluster_Master!$G$4:$G$18,MATCH($F499,Cluster_Master!$B$4:$B$18,0)),"")</f>
        <v/>
      </c>
      <c r="M499" s="8" t="str">
        <f>IFERROR(INDEX(Cluster_Master!$H$4:$H$18,MATCH($F499,Cluster_Master!$B$4:$B$18,0)),"")</f>
        <v/>
      </c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8" t="str">
        <f t="shared" si="61"/>
        <v/>
      </c>
      <c r="AJ499" s="14" t="str">
        <f t="shared" si="62"/>
        <v/>
      </c>
      <c r="AK499" s="14" t="str">
        <f>IF(COUNTA(T499:AH499)=0,"",(SUM(T499*KPI_Weights!$B$4,U499*KPI_Weights!$B$5,V499*KPI_Weights!$B$6,W499*KPI_Weights!$B$7,X499*KPI_Weights!$B$8,Y499*KPI_Weights!$B$9,Z499*KPI_Weights!$B$10,AA499*KPI_Weights!$B$11,AB499*KPI_Weights!$B$12,AC499*KPI_Weights!$B$13,AD499*KPI_Weights!$B$14,AE499*KPI_Weights!$B$15,AF499*KPI_Weights!$B$16,AG499*KPI_Weights!$B$17,AH499*KPI_Weights!$B$18))/5)</f>
        <v/>
      </c>
      <c r="AL499" s="8" t="str">
        <f t="shared" si="63"/>
        <v/>
      </c>
      <c r="AM499" s="8" t="str">
        <f t="shared" si="64"/>
        <v/>
      </c>
      <c r="AN499" s="8" t="str">
        <f t="shared" si="65"/>
        <v/>
      </c>
      <c r="AO499" s="12"/>
      <c r="AP499" s="12"/>
      <c r="AQ499" s="12"/>
      <c r="AR499" s="12"/>
      <c r="AS499" s="12"/>
      <c r="AT499" s="15"/>
      <c r="AU499" s="12"/>
      <c r="AV499" s="16"/>
      <c r="AW499" s="12"/>
      <c r="AX499" s="15"/>
      <c r="AY499" s="15"/>
      <c r="AZ499" s="15"/>
      <c r="BA499" s="15"/>
      <c r="BB499" s="15"/>
      <c r="BC499" s="15"/>
      <c r="BD499" s="15"/>
      <c r="BE499" s="15"/>
      <c r="BF499" s="15"/>
    </row>
    <row r="500" spans="1:58" ht="15" customHeight="1" x14ac:dyDescent="0.2">
      <c r="A500" t="str">
        <f>IF($B500="","",TEXT($B500,"yyyymmdd")&amp;"-"&amp;SUBSTITUTE($F500," ","")&amp;"-"&amp;TEXT(COUNTIF($F$4:F500,$F500),"00"))</f>
        <v/>
      </c>
      <c r="C500" t="str">
        <f t="shared" si="59"/>
        <v/>
      </c>
      <c r="D500" t="str">
        <f t="shared" si="60"/>
        <v/>
      </c>
      <c r="G500" t="str">
        <f>IF(OR($E500="",$F500=""),"",IFERROR(IF($E500=INDEX(Cluster_Master!$A$4:$A$18,MATCH($F500,Cluster_Master!$B$4:$B$18,0)),"OK","CHECK"),"CHECK"))</f>
        <v/>
      </c>
      <c r="H500" t="str">
        <f>IFERROR(INDEX(Cluster_Master!$C$4:$C$18,MATCH($F500,Cluster_Master!$B$4:$B$18,0)),"")</f>
        <v/>
      </c>
      <c r="I500" t="str">
        <f>IFERROR(INDEX(Cluster_Master!$D$4:$D$18,MATCH($F500,Cluster_Master!$B$4:$B$18,0)),"")</f>
        <v/>
      </c>
      <c r="J500" t="str">
        <f>IFERROR(INDEX(Cluster_Master!$E$4:$E$18,MATCH($F500,Cluster_Master!$B$4:$B$18,0)),"")</f>
        <v/>
      </c>
      <c r="K500" t="str">
        <f>IFERROR(INDEX(Cluster_Master!$F$4:$F$18,MATCH($F500,Cluster_Master!$B$4:$B$18,0)),"")</f>
        <v/>
      </c>
      <c r="L500" t="str">
        <f>IFERROR(INDEX(Cluster_Master!$G$4:$G$18,MATCH($F500,Cluster_Master!$B$4:$B$18,0)),"")</f>
        <v/>
      </c>
      <c r="M500" t="str">
        <f>IFERROR(INDEX(Cluster_Master!$H$4:$H$18,MATCH($F500,Cluster_Master!$B$4:$B$18,0)),"")</f>
        <v/>
      </c>
      <c r="AI500" t="str">
        <f t="shared" si="61"/>
        <v/>
      </c>
      <c r="AJ500" t="str">
        <f t="shared" si="62"/>
        <v/>
      </c>
      <c r="AK500" t="str">
        <f>IF(COUNTA(T500:AH500)=0,"",(SUM(T500*KPI_Weights!$B$4,U500*KPI_Weights!$B$5,V500*KPI_Weights!$B$6,W500*KPI_Weights!$B$7,X500*KPI_Weights!$B$8,Y500*KPI_Weights!$B$9,Z500*KPI_Weights!$B$10,AA500*KPI_Weights!$B$11,AB500*KPI_Weights!$B$12,AC500*KPI_Weights!$B$13,AD500*KPI_Weights!$B$14,AE500*KPI_Weights!$B$15,AF500*KPI_Weights!$B$16,AG500*KPI_Weights!$B$17,AH500*KPI_Weights!$B$18))/5)</f>
        <v/>
      </c>
      <c r="AL500" t="str">
        <f t="shared" si="63"/>
        <v/>
      </c>
      <c r="AM500" t="str">
        <f t="shared" si="64"/>
        <v/>
      </c>
      <c r="AN500" t="str">
        <f t="shared" si="65"/>
        <v/>
      </c>
    </row>
    <row r="501" spans="1:58" ht="15" customHeight="1" x14ac:dyDescent="0.2">
      <c r="A501" t="str">
        <f>IF($B501="","",TEXT($B501,"yyyymmdd")&amp;"-"&amp;SUBSTITUTE($F501," ","")&amp;"-"&amp;TEXT(COUNTIF($F$4:F501,$F501),"00"))</f>
        <v/>
      </c>
      <c r="C501" t="str">
        <f t="shared" si="59"/>
        <v/>
      </c>
      <c r="D501" t="str">
        <f t="shared" si="60"/>
        <v/>
      </c>
      <c r="G501" t="str">
        <f>IF(OR($E501="",$F501=""),"",IFERROR(IF($E501=INDEX(Cluster_Master!$A$4:$A$18,MATCH($F501,Cluster_Master!$B$4:$B$18,0)),"OK","CHECK"),"CHECK"))</f>
        <v/>
      </c>
      <c r="H501" t="str">
        <f>IFERROR(INDEX(Cluster_Master!$C$4:$C$18,MATCH($F501,Cluster_Master!$B$4:$B$18,0)),"")</f>
        <v/>
      </c>
      <c r="I501" t="str">
        <f>IFERROR(INDEX(Cluster_Master!$D$4:$D$18,MATCH($F501,Cluster_Master!$B$4:$B$18,0)),"")</f>
        <v/>
      </c>
      <c r="J501" t="str">
        <f>IFERROR(INDEX(Cluster_Master!$E$4:$E$18,MATCH($F501,Cluster_Master!$B$4:$B$18,0)),"")</f>
        <v/>
      </c>
      <c r="K501" t="str">
        <f>IFERROR(INDEX(Cluster_Master!$F$4:$F$18,MATCH($F501,Cluster_Master!$B$4:$B$18,0)),"")</f>
        <v/>
      </c>
      <c r="L501" t="str">
        <f>IFERROR(INDEX(Cluster_Master!$G$4:$G$18,MATCH($F501,Cluster_Master!$B$4:$B$18,0)),"")</f>
        <v/>
      </c>
      <c r="M501" t="str">
        <f>IFERROR(INDEX(Cluster_Master!$H$4:$H$18,MATCH($F501,Cluster_Master!$B$4:$B$18,0)),"")</f>
        <v/>
      </c>
      <c r="AI501" t="str">
        <f t="shared" si="61"/>
        <v/>
      </c>
      <c r="AJ501" t="str">
        <f t="shared" si="62"/>
        <v/>
      </c>
      <c r="AK501" t="str">
        <f>IF(COUNTA(T501:AH501)=0,"",(SUM(T501*KPI_Weights!$B$4,U501*KPI_Weights!$B$5,V501*KPI_Weights!$B$6,W501*KPI_Weights!$B$7,X501*KPI_Weights!$B$8,Y501*KPI_Weights!$B$9,Z501*KPI_Weights!$B$10,AA501*KPI_Weights!$B$11,AB501*KPI_Weights!$B$12,AC501*KPI_Weights!$B$13,AD501*KPI_Weights!$B$14,AE501*KPI_Weights!$B$15,AF501*KPI_Weights!$B$16,AG501*KPI_Weights!$B$17,AH501*KPI_Weights!$B$18))/5)</f>
        <v/>
      </c>
      <c r="AL501" t="str">
        <f t="shared" si="63"/>
        <v/>
      </c>
      <c r="AM501" t="str">
        <f t="shared" si="64"/>
        <v/>
      </c>
      <c r="AN501" t="str">
        <f t="shared" si="65"/>
        <v/>
      </c>
    </row>
    <row r="502" spans="1:58" ht="15" customHeight="1" x14ac:dyDescent="0.2">
      <c r="A502" t="str">
        <f>IF($B502="","",TEXT($B502,"yyyymmdd")&amp;"-"&amp;SUBSTITUTE($F502," ","")&amp;"-"&amp;TEXT(COUNTIF($F$4:F502,$F502),"00"))</f>
        <v/>
      </c>
      <c r="C502" t="str">
        <f t="shared" si="59"/>
        <v/>
      </c>
      <c r="D502" t="str">
        <f t="shared" si="60"/>
        <v/>
      </c>
      <c r="G502" t="str">
        <f>IF(OR($E502="",$F502=""),"",IFERROR(IF($E502=INDEX(Cluster_Master!$A$4:$A$18,MATCH($F502,Cluster_Master!$B$4:$B$18,0)),"OK","CHECK"),"CHECK"))</f>
        <v/>
      </c>
      <c r="H502" t="str">
        <f>IFERROR(INDEX(Cluster_Master!$C$4:$C$18,MATCH($F502,Cluster_Master!$B$4:$B$18,0)),"")</f>
        <v/>
      </c>
      <c r="I502" t="str">
        <f>IFERROR(INDEX(Cluster_Master!$D$4:$D$18,MATCH($F502,Cluster_Master!$B$4:$B$18,0)),"")</f>
        <v/>
      </c>
      <c r="J502" t="str">
        <f>IFERROR(INDEX(Cluster_Master!$E$4:$E$18,MATCH($F502,Cluster_Master!$B$4:$B$18,0)),"")</f>
        <v/>
      </c>
      <c r="K502" t="str">
        <f>IFERROR(INDEX(Cluster_Master!$F$4:$F$18,MATCH($F502,Cluster_Master!$B$4:$B$18,0)),"")</f>
        <v/>
      </c>
      <c r="L502" t="str">
        <f>IFERROR(INDEX(Cluster_Master!$G$4:$G$18,MATCH($F502,Cluster_Master!$B$4:$B$18,0)),"")</f>
        <v/>
      </c>
      <c r="M502" t="str">
        <f>IFERROR(INDEX(Cluster_Master!$H$4:$H$18,MATCH($F502,Cluster_Master!$B$4:$B$18,0)),"")</f>
        <v/>
      </c>
      <c r="AI502" t="str">
        <f t="shared" si="61"/>
        <v/>
      </c>
      <c r="AJ502" t="str">
        <f t="shared" si="62"/>
        <v/>
      </c>
      <c r="AK502" t="str">
        <f>IF(COUNTA(T502:AH502)=0,"",(SUM(T502*KPI_Weights!$B$4,U502*KPI_Weights!$B$5,V502*KPI_Weights!$B$6,W502*KPI_Weights!$B$7,X502*KPI_Weights!$B$8,Y502*KPI_Weights!$B$9,Z502*KPI_Weights!$B$10,AA502*KPI_Weights!$B$11,AB502*KPI_Weights!$B$12,AC502*KPI_Weights!$B$13,AD502*KPI_Weights!$B$14,AE502*KPI_Weights!$B$15,AF502*KPI_Weights!$B$16,AG502*KPI_Weights!$B$17,AH502*KPI_Weights!$B$18))/5)</f>
        <v/>
      </c>
      <c r="AL502" t="str">
        <f t="shared" si="63"/>
        <v/>
      </c>
      <c r="AM502" t="str">
        <f t="shared" si="64"/>
        <v/>
      </c>
      <c r="AN502" t="str">
        <f t="shared" si="65"/>
        <v/>
      </c>
    </row>
    <row r="503" spans="1:58" ht="15" customHeight="1" x14ac:dyDescent="0.2">
      <c r="A503" t="str">
        <f>IF($B503="","",TEXT($B503,"yyyymmdd")&amp;"-"&amp;SUBSTITUTE($F503," ","")&amp;"-"&amp;TEXT(COUNTIF($F$4:F503,$F503),"00"))</f>
        <v/>
      </c>
      <c r="C503" t="str">
        <f t="shared" si="59"/>
        <v/>
      </c>
      <c r="D503" t="str">
        <f t="shared" si="60"/>
        <v/>
      </c>
      <c r="G503" t="str">
        <f>IF(OR($E503="",$F503=""),"",IFERROR(IF($E503=INDEX(Cluster_Master!$A$4:$A$18,MATCH($F503,Cluster_Master!$B$4:$B$18,0)),"OK","CHECK"),"CHECK"))</f>
        <v/>
      </c>
      <c r="H503" t="str">
        <f>IFERROR(INDEX(Cluster_Master!$C$4:$C$18,MATCH($F503,Cluster_Master!$B$4:$B$18,0)),"")</f>
        <v/>
      </c>
      <c r="I503" t="str">
        <f>IFERROR(INDEX(Cluster_Master!$D$4:$D$18,MATCH($F503,Cluster_Master!$B$4:$B$18,0)),"")</f>
        <v/>
      </c>
      <c r="J503" t="str">
        <f>IFERROR(INDEX(Cluster_Master!$E$4:$E$18,MATCH($F503,Cluster_Master!$B$4:$B$18,0)),"")</f>
        <v/>
      </c>
      <c r="K503" t="str">
        <f>IFERROR(INDEX(Cluster_Master!$F$4:$F$18,MATCH($F503,Cluster_Master!$B$4:$B$18,0)),"")</f>
        <v/>
      </c>
      <c r="L503" t="str">
        <f>IFERROR(INDEX(Cluster_Master!$G$4:$G$18,MATCH($F503,Cluster_Master!$B$4:$B$18,0)),"")</f>
        <v/>
      </c>
      <c r="M503" t="str">
        <f>IFERROR(INDEX(Cluster_Master!$H$4:$H$18,MATCH($F503,Cluster_Master!$B$4:$B$18,0)),"")</f>
        <v/>
      </c>
      <c r="AI503" t="str">
        <f t="shared" si="61"/>
        <v/>
      </c>
      <c r="AJ503" t="str">
        <f t="shared" si="62"/>
        <v/>
      </c>
      <c r="AK503" t="str">
        <f>IF(COUNTA(T503:AH503)=0,"",(SUM(T503*KPI_Weights!$B$4,U503*KPI_Weights!$B$5,V503*KPI_Weights!$B$6,W503*KPI_Weights!$B$7,X503*KPI_Weights!$B$8,Y503*KPI_Weights!$B$9,Z503*KPI_Weights!$B$10,AA503*KPI_Weights!$B$11,AB503*KPI_Weights!$B$12,AC503*KPI_Weights!$B$13,AD503*KPI_Weights!$B$14,AE503*KPI_Weights!$B$15,AF503*KPI_Weights!$B$16,AG503*KPI_Weights!$B$17,AH503*KPI_Weights!$B$18))/5)</f>
        <v/>
      </c>
      <c r="AL503" t="str">
        <f t="shared" si="63"/>
        <v/>
      </c>
      <c r="AM503" t="str">
        <f t="shared" si="64"/>
        <v/>
      </c>
      <c r="AN503" t="str">
        <f t="shared" si="65"/>
        <v/>
      </c>
    </row>
    <row r="504" spans="1:58" ht="15" customHeight="1" x14ac:dyDescent="0.2">
      <c r="A504" t="str">
        <f>IF($B504="","",TEXT($B504,"yyyymmdd")&amp;"-"&amp;SUBSTITUTE($F504," ","")&amp;"-"&amp;TEXT(COUNTIF($F$4:F504,$F504),"00"))</f>
        <v/>
      </c>
      <c r="C504" t="str">
        <f t="shared" si="59"/>
        <v/>
      </c>
      <c r="D504" t="str">
        <f t="shared" si="60"/>
        <v/>
      </c>
      <c r="G504" t="str">
        <f>IF(OR($E504="",$F504=""),"",IFERROR(IF($E504=INDEX(Cluster_Master!$A$4:$A$18,MATCH($F504,Cluster_Master!$B$4:$B$18,0)),"OK","CHECK"),"CHECK"))</f>
        <v/>
      </c>
      <c r="H504" t="str">
        <f>IFERROR(INDEX(Cluster_Master!$C$4:$C$18,MATCH($F504,Cluster_Master!$B$4:$B$18,0)),"")</f>
        <v/>
      </c>
      <c r="I504" t="str">
        <f>IFERROR(INDEX(Cluster_Master!$D$4:$D$18,MATCH($F504,Cluster_Master!$B$4:$B$18,0)),"")</f>
        <v/>
      </c>
      <c r="J504" t="str">
        <f>IFERROR(INDEX(Cluster_Master!$E$4:$E$18,MATCH($F504,Cluster_Master!$B$4:$B$18,0)),"")</f>
        <v/>
      </c>
      <c r="K504" t="str">
        <f>IFERROR(INDEX(Cluster_Master!$F$4:$F$18,MATCH($F504,Cluster_Master!$B$4:$B$18,0)),"")</f>
        <v/>
      </c>
      <c r="L504" t="str">
        <f>IFERROR(INDEX(Cluster_Master!$G$4:$G$18,MATCH($F504,Cluster_Master!$B$4:$B$18,0)),"")</f>
        <v/>
      </c>
      <c r="M504" t="str">
        <f>IFERROR(INDEX(Cluster_Master!$H$4:$H$18,MATCH($F504,Cluster_Master!$B$4:$B$18,0)),"")</f>
        <v/>
      </c>
      <c r="AI504" t="str">
        <f t="shared" si="61"/>
        <v/>
      </c>
      <c r="AJ504" t="str">
        <f t="shared" si="62"/>
        <v/>
      </c>
      <c r="AK504" t="str">
        <f>IF(COUNTA(T504:AH504)=0,"",(SUM(T504*KPI_Weights!$B$4,U504*KPI_Weights!$B$5,V504*KPI_Weights!$B$6,W504*KPI_Weights!$B$7,X504*KPI_Weights!$B$8,Y504*KPI_Weights!$B$9,Z504*KPI_Weights!$B$10,AA504*KPI_Weights!$B$11,AB504*KPI_Weights!$B$12,AC504*KPI_Weights!$B$13,AD504*KPI_Weights!$B$14,AE504*KPI_Weights!$B$15,AF504*KPI_Weights!$B$16,AG504*KPI_Weights!$B$17,AH504*KPI_Weights!$B$18))/5)</f>
        <v/>
      </c>
      <c r="AL504" t="str">
        <f t="shared" si="63"/>
        <v/>
      </c>
      <c r="AM504" t="str">
        <f t="shared" si="64"/>
        <v/>
      </c>
      <c r="AN504" t="str">
        <f t="shared" si="65"/>
        <v/>
      </c>
    </row>
    <row r="505" spans="1:58" ht="15" customHeight="1" x14ac:dyDescent="0.2">
      <c r="A505" t="str">
        <f>IF($B505="","",TEXT($B505,"yyyymmdd")&amp;"-"&amp;SUBSTITUTE($F505," ","")&amp;"-"&amp;TEXT(COUNTIF($F$4:F505,$F505),"00"))</f>
        <v/>
      </c>
      <c r="C505" t="str">
        <f t="shared" si="59"/>
        <v/>
      </c>
      <c r="D505" t="str">
        <f t="shared" si="60"/>
        <v/>
      </c>
      <c r="G505" t="str">
        <f>IF(OR($E505="",$F505=""),"",IFERROR(IF($E505=INDEX(Cluster_Master!$A$4:$A$18,MATCH($F505,Cluster_Master!$B$4:$B$18,0)),"OK","CHECK"),"CHECK"))</f>
        <v/>
      </c>
      <c r="H505" t="str">
        <f>IFERROR(INDEX(Cluster_Master!$C$4:$C$18,MATCH($F505,Cluster_Master!$B$4:$B$18,0)),"")</f>
        <v/>
      </c>
      <c r="I505" t="str">
        <f>IFERROR(INDEX(Cluster_Master!$D$4:$D$18,MATCH($F505,Cluster_Master!$B$4:$B$18,0)),"")</f>
        <v/>
      </c>
      <c r="J505" t="str">
        <f>IFERROR(INDEX(Cluster_Master!$E$4:$E$18,MATCH($F505,Cluster_Master!$B$4:$B$18,0)),"")</f>
        <v/>
      </c>
      <c r="K505" t="str">
        <f>IFERROR(INDEX(Cluster_Master!$F$4:$F$18,MATCH($F505,Cluster_Master!$B$4:$B$18,0)),"")</f>
        <v/>
      </c>
      <c r="L505" t="str">
        <f>IFERROR(INDEX(Cluster_Master!$G$4:$G$18,MATCH($F505,Cluster_Master!$B$4:$B$18,0)),"")</f>
        <v/>
      </c>
      <c r="M505" t="str">
        <f>IFERROR(INDEX(Cluster_Master!$H$4:$H$18,MATCH($F505,Cluster_Master!$B$4:$B$18,0)),"")</f>
        <v/>
      </c>
      <c r="AI505" t="str">
        <f t="shared" si="61"/>
        <v/>
      </c>
      <c r="AJ505" t="str">
        <f t="shared" si="62"/>
        <v/>
      </c>
      <c r="AK505" t="str">
        <f>IF(COUNTA(T505:AH505)=0,"",(SUM(T505*KPI_Weights!$B$4,U505*KPI_Weights!$B$5,V505*KPI_Weights!$B$6,W505*KPI_Weights!$B$7,X505*KPI_Weights!$B$8,Y505*KPI_Weights!$B$9,Z505*KPI_Weights!$B$10,AA505*KPI_Weights!$B$11,AB505*KPI_Weights!$B$12,AC505*KPI_Weights!$B$13,AD505*KPI_Weights!$B$14,AE505*KPI_Weights!$B$15,AF505*KPI_Weights!$B$16,AG505*KPI_Weights!$B$17,AH505*KPI_Weights!$B$18))/5)</f>
        <v/>
      </c>
      <c r="AL505" t="str">
        <f t="shared" si="63"/>
        <v/>
      </c>
      <c r="AM505" t="str">
        <f t="shared" si="64"/>
        <v/>
      </c>
      <c r="AN505" t="str">
        <f t="shared" si="65"/>
        <v/>
      </c>
    </row>
    <row r="506" spans="1:58" ht="15" customHeight="1" x14ac:dyDescent="0.2">
      <c r="A506" t="str">
        <f>IF($B506="","",TEXT($B506,"yyyymmdd")&amp;"-"&amp;SUBSTITUTE($F506," ","")&amp;"-"&amp;TEXT(COUNTIF($F$4:F506,$F506),"00"))</f>
        <v/>
      </c>
      <c r="C506" t="str">
        <f t="shared" si="59"/>
        <v/>
      </c>
      <c r="D506" t="str">
        <f t="shared" si="60"/>
        <v/>
      </c>
      <c r="G506" t="str">
        <f>IF(OR($E506="",$F506=""),"",IFERROR(IF($E506=INDEX(Cluster_Master!$A$4:$A$18,MATCH($F506,Cluster_Master!$B$4:$B$18,0)),"OK","CHECK"),"CHECK"))</f>
        <v/>
      </c>
      <c r="H506" t="str">
        <f>IFERROR(INDEX(Cluster_Master!$C$4:$C$18,MATCH($F506,Cluster_Master!$B$4:$B$18,0)),"")</f>
        <v/>
      </c>
      <c r="I506" t="str">
        <f>IFERROR(INDEX(Cluster_Master!$D$4:$D$18,MATCH($F506,Cluster_Master!$B$4:$B$18,0)),"")</f>
        <v/>
      </c>
      <c r="J506" t="str">
        <f>IFERROR(INDEX(Cluster_Master!$E$4:$E$18,MATCH($F506,Cluster_Master!$B$4:$B$18,0)),"")</f>
        <v/>
      </c>
      <c r="K506" t="str">
        <f>IFERROR(INDEX(Cluster_Master!$F$4:$F$18,MATCH($F506,Cluster_Master!$B$4:$B$18,0)),"")</f>
        <v/>
      </c>
      <c r="L506" t="str">
        <f>IFERROR(INDEX(Cluster_Master!$G$4:$G$18,MATCH($F506,Cluster_Master!$B$4:$B$18,0)),"")</f>
        <v/>
      </c>
      <c r="M506" t="str">
        <f>IFERROR(INDEX(Cluster_Master!$H$4:$H$18,MATCH($F506,Cluster_Master!$B$4:$B$18,0)),"")</f>
        <v/>
      </c>
      <c r="AI506" t="str">
        <f t="shared" si="61"/>
        <v/>
      </c>
      <c r="AJ506" t="str">
        <f t="shared" si="62"/>
        <v/>
      </c>
      <c r="AK506" t="str">
        <f>IF(COUNTA(T506:AH506)=0,"",(SUM(T506*KPI_Weights!$B$4,U506*KPI_Weights!$B$5,V506*KPI_Weights!$B$6,W506*KPI_Weights!$B$7,X506*KPI_Weights!$B$8,Y506*KPI_Weights!$B$9,Z506*KPI_Weights!$B$10,AA506*KPI_Weights!$B$11,AB506*KPI_Weights!$B$12,AC506*KPI_Weights!$B$13,AD506*KPI_Weights!$B$14,AE506*KPI_Weights!$B$15,AF506*KPI_Weights!$B$16,AG506*KPI_Weights!$B$17,AH506*KPI_Weights!$B$18))/5)</f>
        <v/>
      </c>
      <c r="AL506" t="str">
        <f t="shared" si="63"/>
        <v/>
      </c>
      <c r="AM506" t="str">
        <f t="shared" si="64"/>
        <v/>
      </c>
      <c r="AN506" t="str">
        <f t="shared" si="65"/>
        <v/>
      </c>
    </row>
    <row r="507" spans="1:58" ht="15" customHeight="1" x14ac:dyDescent="0.2">
      <c r="A507" t="str">
        <f>IF($B507="","",TEXT($B507,"yyyymmdd")&amp;"-"&amp;SUBSTITUTE($F507," ","")&amp;"-"&amp;TEXT(COUNTIF($F$4:F507,$F507),"00"))</f>
        <v/>
      </c>
      <c r="C507" t="str">
        <f t="shared" si="59"/>
        <v/>
      </c>
      <c r="D507" t="str">
        <f t="shared" si="60"/>
        <v/>
      </c>
      <c r="G507" t="str">
        <f>IF(OR($E507="",$F507=""),"",IFERROR(IF($E507=INDEX(Cluster_Master!$A$4:$A$18,MATCH($F507,Cluster_Master!$B$4:$B$18,0)),"OK","CHECK"),"CHECK"))</f>
        <v/>
      </c>
      <c r="H507" t="str">
        <f>IFERROR(INDEX(Cluster_Master!$C$4:$C$18,MATCH($F507,Cluster_Master!$B$4:$B$18,0)),"")</f>
        <v/>
      </c>
      <c r="I507" t="str">
        <f>IFERROR(INDEX(Cluster_Master!$D$4:$D$18,MATCH($F507,Cluster_Master!$B$4:$B$18,0)),"")</f>
        <v/>
      </c>
      <c r="J507" t="str">
        <f>IFERROR(INDEX(Cluster_Master!$E$4:$E$18,MATCH($F507,Cluster_Master!$B$4:$B$18,0)),"")</f>
        <v/>
      </c>
      <c r="K507" t="str">
        <f>IFERROR(INDEX(Cluster_Master!$F$4:$F$18,MATCH($F507,Cluster_Master!$B$4:$B$18,0)),"")</f>
        <v/>
      </c>
      <c r="L507" t="str">
        <f>IFERROR(INDEX(Cluster_Master!$G$4:$G$18,MATCH($F507,Cluster_Master!$B$4:$B$18,0)),"")</f>
        <v/>
      </c>
      <c r="M507" t="str">
        <f>IFERROR(INDEX(Cluster_Master!$H$4:$H$18,MATCH($F507,Cluster_Master!$B$4:$B$18,0)),"")</f>
        <v/>
      </c>
      <c r="AI507" t="str">
        <f t="shared" si="61"/>
        <v/>
      </c>
      <c r="AJ507" t="str">
        <f t="shared" si="62"/>
        <v/>
      </c>
      <c r="AK507" t="str">
        <f>IF(COUNTA(T507:AH507)=0,"",(SUM(T507*KPI_Weights!$B$4,U507*KPI_Weights!$B$5,V507*KPI_Weights!$B$6,W507*KPI_Weights!$B$7,X507*KPI_Weights!$B$8,Y507*KPI_Weights!$B$9,Z507*KPI_Weights!$B$10,AA507*KPI_Weights!$B$11,AB507*KPI_Weights!$B$12,AC507*KPI_Weights!$B$13,AD507*KPI_Weights!$B$14,AE507*KPI_Weights!$B$15,AF507*KPI_Weights!$B$16,AG507*KPI_Weights!$B$17,AH507*KPI_Weights!$B$18))/5)</f>
        <v/>
      </c>
      <c r="AL507" t="str">
        <f t="shared" si="63"/>
        <v/>
      </c>
      <c r="AM507" t="str">
        <f t="shared" si="64"/>
        <v/>
      </c>
      <c r="AN507" t="str">
        <f t="shared" si="65"/>
        <v/>
      </c>
    </row>
    <row r="508" spans="1:58" ht="15" customHeight="1" x14ac:dyDescent="0.2">
      <c r="A508" t="str">
        <f>IF($B508="","",TEXT($B508,"yyyymmdd")&amp;"-"&amp;SUBSTITUTE($F508," ","")&amp;"-"&amp;TEXT(COUNTIF($F$4:F508,$F508),"00"))</f>
        <v/>
      </c>
      <c r="C508" t="str">
        <f t="shared" si="59"/>
        <v/>
      </c>
      <c r="D508" t="str">
        <f t="shared" si="60"/>
        <v/>
      </c>
      <c r="G508" t="str">
        <f>IF(OR($E508="",$F508=""),"",IFERROR(IF($E508=INDEX(Cluster_Master!$A$4:$A$18,MATCH($F508,Cluster_Master!$B$4:$B$18,0)),"OK","CHECK"),"CHECK"))</f>
        <v/>
      </c>
      <c r="H508" t="str">
        <f>IFERROR(INDEX(Cluster_Master!$C$4:$C$18,MATCH($F508,Cluster_Master!$B$4:$B$18,0)),"")</f>
        <v/>
      </c>
      <c r="I508" t="str">
        <f>IFERROR(INDEX(Cluster_Master!$D$4:$D$18,MATCH($F508,Cluster_Master!$B$4:$B$18,0)),"")</f>
        <v/>
      </c>
      <c r="J508" t="str">
        <f>IFERROR(INDEX(Cluster_Master!$E$4:$E$18,MATCH($F508,Cluster_Master!$B$4:$B$18,0)),"")</f>
        <v/>
      </c>
      <c r="K508" t="str">
        <f>IFERROR(INDEX(Cluster_Master!$F$4:$F$18,MATCH($F508,Cluster_Master!$B$4:$B$18,0)),"")</f>
        <v/>
      </c>
      <c r="L508" t="str">
        <f>IFERROR(INDEX(Cluster_Master!$G$4:$G$18,MATCH($F508,Cluster_Master!$B$4:$B$18,0)),"")</f>
        <v/>
      </c>
      <c r="M508" t="str">
        <f>IFERROR(INDEX(Cluster_Master!$H$4:$H$18,MATCH($F508,Cluster_Master!$B$4:$B$18,0)),"")</f>
        <v/>
      </c>
      <c r="AI508" t="str">
        <f t="shared" si="61"/>
        <v/>
      </c>
      <c r="AJ508" t="str">
        <f t="shared" si="62"/>
        <v/>
      </c>
      <c r="AK508" t="str">
        <f>IF(COUNTA(T508:AH508)=0,"",(SUM(T508*KPI_Weights!$B$4,U508*KPI_Weights!$B$5,V508*KPI_Weights!$B$6,W508*KPI_Weights!$B$7,X508*KPI_Weights!$B$8,Y508*KPI_Weights!$B$9,Z508*KPI_Weights!$B$10,AA508*KPI_Weights!$B$11,AB508*KPI_Weights!$B$12,AC508*KPI_Weights!$B$13,AD508*KPI_Weights!$B$14,AE508*KPI_Weights!$B$15,AF508*KPI_Weights!$B$16,AG508*KPI_Weights!$B$17,AH508*KPI_Weights!$B$18))/5)</f>
        <v/>
      </c>
      <c r="AL508" t="str">
        <f t="shared" si="63"/>
        <v/>
      </c>
      <c r="AM508" t="str">
        <f t="shared" si="64"/>
        <v/>
      </c>
      <c r="AN508" t="str">
        <f t="shared" si="65"/>
        <v/>
      </c>
    </row>
    <row r="509" spans="1:58" ht="15" customHeight="1" x14ac:dyDescent="0.2">
      <c r="A509" t="str">
        <f>IF($B509="","",TEXT($B509,"yyyymmdd")&amp;"-"&amp;SUBSTITUTE($F509," ","")&amp;"-"&amp;TEXT(COUNTIF($F$4:F509,$F509),"00"))</f>
        <v/>
      </c>
      <c r="C509" t="str">
        <f t="shared" si="59"/>
        <v/>
      </c>
      <c r="D509" t="str">
        <f t="shared" si="60"/>
        <v/>
      </c>
      <c r="G509" t="str">
        <f>IF(OR($E509="",$F509=""),"",IFERROR(IF($E509=INDEX(Cluster_Master!$A$4:$A$18,MATCH($F509,Cluster_Master!$B$4:$B$18,0)),"OK","CHECK"),"CHECK"))</f>
        <v/>
      </c>
      <c r="H509" t="str">
        <f>IFERROR(INDEX(Cluster_Master!$C$4:$C$18,MATCH($F509,Cluster_Master!$B$4:$B$18,0)),"")</f>
        <v/>
      </c>
      <c r="I509" t="str">
        <f>IFERROR(INDEX(Cluster_Master!$D$4:$D$18,MATCH($F509,Cluster_Master!$B$4:$B$18,0)),"")</f>
        <v/>
      </c>
      <c r="J509" t="str">
        <f>IFERROR(INDEX(Cluster_Master!$E$4:$E$18,MATCH($F509,Cluster_Master!$B$4:$B$18,0)),"")</f>
        <v/>
      </c>
      <c r="K509" t="str">
        <f>IFERROR(INDEX(Cluster_Master!$F$4:$F$18,MATCH($F509,Cluster_Master!$B$4:$B$18,0)),"")</f>
        <v/>
      </c>
      <c r="L509" t="str">
        <f>IFERROR(INDEX(Cluster_Master!$G$4:$G$18,MATCH($F509,Cluster_Master!$B$4:$B$18,0)),"")</f>
        <v/>
      </c>
      <c r="M509" t="str">
        <f>IFERROR(INDEX(Cluster_Master!$H$4:$H$18,MATCH($F509,Cluster_Master!$B$4:$B$18,0)),"")</f>
        <v/>
      </c>
      <c r="AI509" t="str">
        <f t="shared" si="61"/>
        <v/>
      </c>
      <c r="AJ509" t="str">
        <f t="shared" si="62"/>
        <v/>
      </c>
      <c r="AK509" t="str">
        <f>IF(COUNTA(T509:AH509)=0,"",(SUM(T509*KPI_Weights!$B$4,U509*KPI_Weights!$B$5,V509*KPI_Weights!$B$6,W509*KPI_Weights!$B$7,X509*KPI_Weights!$B$8,Y509*KPI_Weights!$B$9,Z509*KPI_Weights!$B$10,AA509*KPI_Weights!$B$11,AB509*KPI_Weights!$B$12,AC509*KPI_Weights!$B$13,AD509*KPI_Weights!$B$14,AE509*KPI_Weights!$B$15,AF509*KPI_Weights!$B$16,AG509*KPI_Weights!$B$17,AH509*KPI_Weights!$B$18))/5)</f>
        <v/>
      </c>
      <c r="AL509" t="str">
        <f t="shared" si="63"/>
        <v/>
      </c>
      <c r="AM509" t="str">
        <f t="shared" si="64"/>
        <v/>
      </c>
      <c r="AN509" t="str">
        <f t="shared" si="65"/>
        <v/>
      </c>
    </row>
    <row r="510" spans="1:58" ht="15" customHeight="1" x14ac:dyDescent="0.2">
      <c r="A510" t="str">
        <f>IF($B510="","",TEXT($B510,"yyyymmdd")&amp;"-"&amp;SUBSTITUTE($F510," ","")&amp;"-"&amp;TEXT(COUNTIF($F$4:F510,$F510),"00"))</f>
        <v/>
      </c>
      <c r="C510" t="str">
        <f t="shared" si="59"/>
        <v/>
      </c>
      <c r="D510" t="str">
        <f t="shared" si="60"/>
        <v/>
      </c>
      <c r="G510" t="str">
        <f>IF(OR($E510="",$F510=""),"",IFERROR(IF($E510=INDEX(Cluster_Master!$A$4:$A$18,MATCH($F510,Cluster_Master!$B$4:$B$18,0)),"OK","CHECK"),"CHECK"))</f>
        <v/>
      </c>
      <c r="H510" t="str">
        <f>IFERROR(INDEX(Cluster_Master!$C$4:$C$18,MATCH($F510,Cluster_Master!$B$4:$B$18,0)),"")</f>
        <v/>
      </c>
      <c r="I510" t="str">
        <f>IFERROR(INDEX(Cluster_Master!$D$4:$D$18,MATCH($F510,Cluster_Master!$B$4:$B$18,0)),"")</f>
        <v/>
      </c>
      <c r="J510" t="str">
        <f>IFERROR(INDEX(Cluster_Master!$E$4:$E$18,MATCH($F510,Cluster_Master!$B$4:$B$18,0)),"")</f>
        <v/>
      </c>
      <c r="K510" t="str">
        <f>IFERROR(INDEX(Cluster_Master!$F$4:$F$18,MATCH($F510,Cluster_Master!$B$4:$B$18,0)),"")</f>
        <v/>
      </c>
      <c r="L510" t="str">
        <f>IFERROR(INDEX(Cluster_Master!$G$4:$G$18,MATCH($F510,Cluster_Master!$B$4:$B$18,0)),"")</f>
        <v/>
      </c>
      <c r="M510" t="str">
        <f>IFERROR(INDEX(Cluster_Master!$H$4:$H$18,MATCH($F510,Cluster_Master!$B$4:$B$18,0)),"")</f>
        <v/>
      </c>
      <c r="AI510" t="str">
        <f t="shared" si="61"/>
        <v/>
      </c>
      <c r="AJ510" t="str">
        <f t="shared" si="62"/>
        <v/>
      </c>
      <c r="AK510" t="str">
        <f>IF(COUNTA(T510:AH510)=0,"",(SUM(T510*KPI_Weights!$B$4,U510*KPI_Weights!$B$5,V510*KPI_Weights!$B$6,W510*KPI_Weights!$B$7,X510*KPI_Weights!$B$8,Y510*KPI_Weights!$B$9,Z510*KPI_Weights!$B$10,AA510*KPI_Weights!$B$11,AB510*KPI_Weights!$B$12,AC510*KPI_Weights!$B$13,AD510*KPI_Weights!$B$14,AE510*KPI_Weights!$B$15,AF510*KPI_Weights!$B$16,AG510*KPI_Weights!$B$17,AH510*KPI_Weights!$B$18))/5)</f>
        <v/>
      </c>
      <c r="AL510" t="str">
        <f t="shared" si="63"/>
        <v/>
      </c>
      <c r="AM510" t="str">
        <f t="shared" si="64"/>
        <v/>
      </c>
      <c r="AN510" t="str">
        <f t="shared" si="65"/>
        <v/>
      </c>
    </row>
    <row r="511" spans="1:58" ht="15" customHeight="1" x14ac:dyDescent="0.2">
      <c r="A511" t="str">
        <f>IF($B511="","",TEXT($B511,"yyyymmdd")&amp;"-"&amp;SUBSTITUTE($F511," ","")&amp;"-"&amp;TEXT(COUNTIF($F$4:F511,$F511),"00"))</f>
        <v/>
      </c>
      <c r="C511" t="str">
        <f t="shared" si="59"/>
        <v/>
      </c>
      <c r="D511" t="str">
        <f t="shared" si="60"/>
        <v/>
      </c>
      <c r="G511" t="str">
        <f>IF(OR($E511="",$F511=""),"",IFERROR(IF($E511=INDEX(Cluster_Master!$A$4:$A$18,MATCH($F511,Cluster_Master!$B$4:$B$18,0)),"OK","CHECK"),"CHECK"))</f>
        <v/>
      </c>
      <c r="H511" t="str">
        <f>IFERROR(INDEX(Cluster_Master!$C$4:$C$18,MATCH($F511,Cluster_Master!$B$4:$B$18,0)),"")</f>
        <v/>
      </c>
      <c r="I511" t="str">
        <f>IFERROR(INDEX(Cluster_Master!$D$4:$D$18,MATCH($F511,Cluster_Master!$B$4:$B$18,0)),"")</f>
        <v/>
      </c>
      <c r="J511" t="str">
        <f>IFERROR(INDEX(Cluster_Master!$E$4:$E$18,MATCH($F511,Cluster_Master!$B$4:$B$18,0)),"")</f>
        <v/>
      </c>
      <c r="K511" t="str">
        <f>IFERROR(INDEX(Cluster_Master!$F$4:$F$18,MATCH($F511,Cluster_Master!$B$4:$B$18,0)),"")</f>
        <v/>
      </c>
      <c r="L511" t="str">
        <f>IFERROR(INDEX(Cluster_Master!$G$4:$G$18,MATCH($F511,Cluster_Master!$B$4:$B$18,0)),"")</f>
        <v/>
      </c>
      <c r="M511" t="str">
        <f>IFERROR(INDEX(Cluster_Master!$H$4:$H$18,MATCH($F511,Cluster_Master!$B$4:$B$18,0)),"")</f>
        <v/>
      </c>
      <c r="AI511" t="str">
        <f t="shared" si="61"/>
        <v/>
      </c>
      <c r="AJ511" t="str">
        <f t="shared" si="62"/>
        <v/>
      </c>
      <c r="AK511" t="str">
        <f>IF(COUNTA(T511:AH511)=0,"",(SUM(T511*KPI_Weights!$B$4,U511*KPI_Weights!$B$5,V511*KPI_Weights!$B$6,W511*KPI_Weights!$B$7,X511*KPI_Weights!$B$8,Y511*KPI_Weights!$B$9,Z511*KPI_Weights!$B$10,AA511*KPI_Weights!$B$11,AB511*KPI_Weights!$B$12,AC511*KPI_Weights!$B$13,AD511*KPI_Weights!$B$14,AE511*KPI_Weights!$B$15,AF511*KPI_Weights!$B$16,AG511*KPI_Weights!$B$17,AH511*KPI_Weights!$B$18))/5)</f>
        <v/>
      </c>
      <c r="AL511" t="str">
        <f t="shared" si="63"/>
        <v/>
      </c>
      <c r="AM511" t="str">
        <f t="shared" si="64"/>
        <v/>
      </c>
      <c r="AN511" t="str">
        <f t="shared" si="65"/>
        <v/>
      </c>
    </row>
    <row r="512" spans="1:58" ht="15" customHeight="1" x14ac:dyDescent="0.2">
      <c r="A512" t="str">
        <f>IF($B512="","",TEXT($B512,"yyyymmdd")&amp;"-"&amp;SUBSTITUTE($F512," ","")&amp;"-"&amp;TEXT(COUNTIF($F$4:F512,$F512),"00"))</f>
        <v/>
      </c>
      <c r="C512" t="str">
        <f t="shared" ref="C512:C575" si="66">IF($B512="","",WEEKNUM($B512,2))</f>
        <v/>
      </c>
      <c r="D512" t="str">
        <f t="shared" ref="D512:D575" si="67">IF($B512="","",TEXT($B512,"yyyy-mm"))</f>
        <v/>
      </c>
      <c r="G512" t="str">
        <f>IF(OR($E512="",$F512=""),"",IFERROR(IF($E512=INDEX(Cluster_Master!$A$4:$A$18,MATCH($F512,Cluster_Master!$B$4:$B$18,0)),"OK","CHECK"),"CHECK"))</f>
        <v/>
      </c>
      <c r="H512" t="str">
        <f>IFERROR(INDEX(Cluster_Master!$C$4:$C$18,MATCH($F512,Cluster_Master!$B$4:$B$18,0)),"")</f>
        <v/>
      </c>
      <c r="I512" t="str">
        <f>IFERROR(INDEX(Cluster_Master!$D$4:$D$18,MATCH($F512,Cluster_Master!$B$4:$B$18,0)),"")</f>
        <v/>
      </c>
      <c r="J512" t="str">
        <f>IFERROR(INDEX(Cluster_Master!$E$4:$E$18,MATCH($F512,Cluster_Master!$B$4:$B$18,0)),"")</f>
        <v/>
      </c>
      <c r="K512" t="str">
        <f>IFERROR(INDEX(Cluster_Master!$F$4:$F$18,MATCH($F512,Cluster_Master!$B$4:$B$18,0)),"")</f>
        <v/>
      </c>
      <c r="L512" t="str">
        <f>IFERROR(INDEX(Cluster_Master!$G$4:$G$18,MATCH($F512,Cluster_Master!$B$4:$B$18,0)),"")</f>
        <v/>
      </c>
      <c r="M512" t="str">
        <f>IFERROR(INDEX(Cluster_Master!$H$4:$H$18,MATCH($F512,Cluster_Master!$B$4:$B$18,0)),"")</f>
        <v/>
      </c>
      <c r="AI512" t="str">
        <f t="shared" ref="AI512:AI575" si="68">IF(COUNTA(T512:AH512)=0,"",SUM(T512:AH512))</f>
        <v/>
      </c>
      <c r="AJ512" t="str">
        <f t="shared" ref="AJ512:AJ575" si="69">IF(COUNTA(T512:AH512)=0,"",AI512/75)</f>
        <v/>
      </c>
      <c r="AK512" t="str">
        <f>IF(COUNTA(T512:AH512)=0,"",(SUM(T512*KPI_Weights!$B$4,U512*KPI_Weights!$B$5,V512*KPI_Weights!$B$6,W512*KPI_Weights!$B$7,X512*KPI_Weights!$B$8,Y512*KPI_Weights!$B$9,Z512*KPI_Weights!$B$10,AA512*KPI_Weights!$B$11,AB512*KPI_Weights!$B$12,AC512*KPI_Weights!$B$13,AD512*KPI_Weights!$B$14,AE512*KPI_Weights!$B$15,AF512*KPI_Weights!$B$16,AG512*KPI_Weights!$B$17,AH512*KPI_Weights!$B$18))/5)</f>
        <v/>
      </c>
      <c r="AL512" t="str">
        <f t="shared" ref="AL512:AL575" si="70">IF(COUNTA(T512:AH512)=0,"",IF(OR(T512&lt;=1,W512&lt;=1,X512&lt;=1,Y512&lt;=1,AB512&lt;=1),"YES","NO"))</f>
        <v/>
      </c>
      <c r="AM512" t="str">
        <f t="shared" ref="AM512:AM575" si="71">IF(AJ512="","",IF(AND(AL512="NO",AJ512&gt;=0.75),"YES","NO"))</f>
        <v/>
      </c>
      <c r="AN512" t="str">
        <f t="shared" ref="AN512:AN575" si="72">IF(AJ512="","",IF(AJ512&lt;0.4,"Critical",IF(AJ512&lt;0.6,"Poor",IF(AJ512&lt;0.75,"Needs Improvement",IF(AJ512&lt;0.9,"Good","Excellent")))))</f>
        <v/>
      </c>
    </row>
    <row r="513" spans="1:40" ht="15" customHeight="1" x14ac:dyDescent="0.2">
      <c r="A513" t="str">
        <f>IF($B513="","",TEXT($B513,"yyyymmdd")&amp;"-"&amp;SUBSTITUTE($F513," ","")&amp;"-"&amp;TEXT(COUNTIF($F$4:F513,$F513),"00"))</f>
        <v/>
      </c>
      <c r="C513" t="str">
        <f t="shared" si="66"/>
        <v/>
      </c>
      <c r="D513" t="str">
        <f t="shared" si="67"/>
        <v/>
      </c>
      <c r="G513" t="str">
        <f>IF(OR($E513="",$F513=""),"",IFERROR(IF($E513=INDEX(Cluster_Master!$A$4:$A$18,MATCH($F513,Cluster_Master!$B$4:$B$18,0)),"OK","CHECK"),"CHECK"))</f>
        <v/>
      </c>
      <c r="H513" t="str">
        <f>IFERROR(INDEX(Cluster_Master!$C$4:$C$18,MATCH($F513,Cluster_Master!$B$4:$B$18,0)),"")</f>
        <v/>
      </c>
      <c r="I513" t="str">
        <f>IFERROR(INDEX(Cluster_Master!$D$4:$D$18,MATCH($F513,Cluster_Master!$B$4:$B$18,0)),"")</f>
        <v/>
      </c>
      <c r="J513" t="str">
        <f>IFERROR(INDEX(Cluster_Master!$E$4:$E$18,MATCH($F513,Cluster_Master!$B$4:$B$18,0)),"")</f>
        <v/>
      </c>
      <c r="K513" t="str">
        <f>IFERROR(INDEX(Cluster_Master!$F$4:$F$18,MATCH($F513,Cluster_Master!$B$4:$B$18,0)),"")</f>
        <v/>
      </c>
      <c r="L513" t="str">
        <f>IFERROR(INDEX(Cluster_Master!$G$4:$G$18,MATCH($F513,Cluster_Master!$B$4:$B$18,0)),"")</f>
        <v/>
      </c>
      <c r="M513" t="str">
        <f>IFERROR(INDEX(Cluster_Master!$H$4:$H$18,MATCH($F513,Cluster_Master!$B$4:$B$18,0)),"")</f>
        <v/>
      </c>
      <c r="AI513" t="str">
        <f t="shared" si="68"/>
        <v/>
      </c>
      <c r="AJ513" t="str">
        <f t="shared" si="69"/>
        <v/>
      </c>
      <c r="AK513" t="str">
        <f>IF(COUNTA(T513:AH513)=0,"",(SUM(T513*KPI_Weights!$B$4,U513*KPI_Weights!$B$5,V513*KPI_Weights!$B$6,W513*KPI_Weights!$B$7,X513*KPI_Weights!$B$8,Y513*KPI_Weights!$B$9,Z513*KPI_Weights!$B$10,AA513*KPI_Weights!$B$11,AB513*KPI_Weights!$B$12,AC513*KPI_Weights!$B$13,AD513*KPI_Weights!$B$14,AE513*KPI_Weights!$B$15,AF513*KPI_Weights!$B$16,AG513*KPI_Weights!$B$17,AH513*KPI_Weights!$B$18))/5)</f>
        <v/>
      </c>
      <c r="AL513" t="str">
        <f t="shared" si="70"/>
        <v/>
      </c>
      <c r="AM513" t="str">
        <f t="shared" si="71"/>
        <v/>
      </c>
      <c r="AN513" t="str">
        <f t="shared" si="72"/>
        <v/>
      </c>
    </row>
    <row r="514" spans="1:40" ht="15" customHeight="1" x14ac:dyDescent="0.2">
      <c r="A514" t="str">
        <f>IF($B514="","",TEXT($B514,"yyyymmdd")&amp;"-"&amp;SUBSTITUTE($F514," ","")&amp;"-"&amp;TEXT(COUNTIF($F$4:F514,$F514),"00"))</f>
        <v/>
      </c>
      <c r="C514" t="str">
        <f t="shared" si="66"/>
        <v/>
      </c>
      <c r="D514" t="str">
        <f t="shared" si="67"/>
        <v/>
      </c>
      <c r="G514" t="str">
        <f>IF(OR($E514="",$F514=""),"",IFERROR(IF($E514=INDEX(Cluster_Master!$A$4:$A$18,MATCH($F514,Cluster_Master!$B$4:$B$18,0)),"OK","CHECK"),"CHECK"))</f>
        <v/>
      </c>
      <c r="H514" t="str">
        <f>IFERROR(INDEX(Cluster_Master!$C$4:$C$18,MATCH($F514,Cluster_Master!$B$4:$B$18,0)),"")</f>
        <v/>
      </c>
      <c r="I514" t="str">
        <f>IFERROR(INDEX(Cluster_Master!$D$4:$D$18,MATCH($F514,Cluster_Master!$B$4:$B$18,0)),"")</f>
        <v/>
      </c>
      <c r="J514" t="str">
        <f>IFERROR(INDEX(Cluster_Master!$E$4:$E$18,MATCH($F514,Cluster_Master!$B$4:$B$18,0)),"")</f>
        <v/>
      </c>
      <c r="K514" t="str">
        <f>IFERROR(INDEX(Cluster_Master!$F$4:$F$18,MATCH($F514,Cluster_Master!$B$4:$B$18,0)),"")</f>
        <v/>
      </c>
      <c r="L514" t="str">
        <f>IFERROR(INDEX(Cluster_Master!$G$4:$G$18,MATCH($F514,Cluster_Master!$B$4:$B$18,0)),"")</f>
        <v/>
      </c>
      <c r="M514" t="str">
        <f>IFERROR(INDEX(Cluster_Master!$H$4:$H$18,MATCH($F514,Cluster_Master!$B$4:$B$18,0)),"")</f>
        <v/>
      </c>
      <c r="AI514" t="str">
        <f t="shared" si="68"/>
        <v/>
      </c>
      <c r="AJ514" t="str">
        <f t="shared" si="69"/>
        <v/>
      </c>
      <c r="AK514" t="str">
        <f>IF(COUNTA(T514:AH514)=0,"",(SUM(T514*KPI_Weights!$B$4,U514*KPI_Weights!$B$5,V514*KPI_Weights!$B$6,W514*KPI_Weights!$B$7,X514*KPI_Weights!$B$8,Y514*KPI_Weights!$B$9,Z514*KPI_Weights!$B$10,AA514*KPI_Weights!$B$11,AB514*KPI_Weights!$B$12,AC514*KPI_Weights!$B$13,AD514*KPI_Weights!$B$14,AE514*KPI_Weights!$B$15,AF514*KPI_Weights!$B$16,AG514*KPI_Weights!$B$17,AH514*KPI_Weights!$B$18))/5)</f>
        <v/>
      </c>
      <c r="AL514" t="str">
        <f t="shared" si="70"/>
        <v/>
      </c>
      <c r="AM514" t="str">
        <f t="shared" si="71"/>
        <v/>
      </c>
      <c r="AN514" t="str">
        <f t="shared" si="72"/>
        <v/>
      </c>
    </row>
    <row r="515" spans="1:40" ht="15" customHeight="1" x14ac:dyDescent="0.2">
      <c r="A515" t="str">
        <f>IF($B515="","",TEXT($B515,"yyyymmdd")&amp;"-"&amp;SUBSTITUTE($F515," ","")&amp;"-"&amp;TEXT(COUNTIF($F$4:F515,$F515),"00"))</f>
        <v/>
      </c>
      <c r="C515" t="str">
        <f t="shared" si="66"/>
        <v/>
      </c>
      <c r="D515" t="str">
        <f t="shared" si="67"/>
        <v/>
      </c>
      <c r="G515" t="str">
        <f>IF(OR($E515="",$F515=""),"",IFERROR(IF($E515=INDEX(Cluster_Master!$A$4:$A$18,MATCH($F515,Cluster_Master!$B$4:$B$18,0)),"OK","CHECK"),"CHECK"))</f>
        <v/>
      </c>
      <c r="H515" t="str">
        <f>IFERROR(INDEX(Cluster_Master!$C$4:$C$18,MATCH($F515,Cluster_Master!$B$4:$B$18,0)),"")</f>
        <v/>
      </c>
      <c r="I515" t="str">
        <f>IFERROR(INDEX(Cluster_Master!$D$4:$D$18,MATCH($F515,Cluster_Master!$B$4:$B$18,0)),"")</f>
        <v/>
      </c>
      <c r="J515" t="str">
        <f>IFERROR(INDEX(Cluster_Master!$E$4:$E$18,MATCH($F515,Cluster_Master!$B$4:$B$18,0)),"")</f>
        <v/>
      </c>
      <c r="K515" t="str">
        <f>IFERROR(INDEX(Cluster_Master!$F$4:$F$18,MATCH($F515,Cluster_Master!$B$4:$B$18,0)),"")</f>
        <v/>
      </c>
      <c r="L515" t="str">
        <f>IFERROR(INDEX(Cluster_Master!$G$4:$G$18,MATCH($F515,Cluster_Master!$B$4:$B$18,0)),"")</f>
        <v/>
      </c>
      <c r="M515" t="str">
        <f>IFERROR(INDEX(Cluster_Master!$H$4:$H$18,MATCH($F515,Cluster_Master!$B$4:$B$18,0)),"")</f>
        <v/>
      </c>
      <c r="AI515" t="str">
        <f t="shared" si="68"/>
        <v/>
      </c>
      <c r="AJ515" t="str">
        <f t="shared" si="69"/>
        <v/>
      </c>
      <c r="AK515" t="str">
        <f>IF(COUNTA(T515:AH515)=0,"",(SUM(T515*KPI_Weights!$B$4,U515*KPI_Weights!$B$5,V515*KPI_Weights!$B$6,W515*KPI_Weights!$B$7,X515*KPI_Weights!$B$8,Y515*KPI_Weights!$B$9,Z515*KPI_Weights!$B$10,AA515*KPI_Weights!$B$11,AB515*KPI_Weights!$B$12,AC515*KPI_Weights!$B$13,AD515*KPI_Weights!$B$14,AE515*KPI_Weights!$B$15,AF515*KPI_Weights!$B$16,AG515*KPI_Weights!$B$17,AH515*KPI_Weights!$B$18))/5)</f>
        <v/>
      </c>
      <c r="AL515" t="str">
        <f t="shared" si="70"/>
        <v/>
      </c>
      <c r="AM515" t="str">
        <f t="shared" si="71"/>
        <v/>
      </c>
      <c r="AN515" t="str">
        <f t="shared" si="72"/>
        <v/>
      </c>
    </row>
    <row r="516" spans="1:40" ht="15" customHeight="1" x14ac:dyDescent="0.2">
      <c r="A516" t="str">
        <f>IF($B516="","",TEXT($B516,"yyyymmdd")&amp;"-"&amp;SUBSTITUTE($F516," ","")&amp;"-"&amp;TEXT(COUNTIF($F$4:F516,$F516),"00"))</f>
        <v/>
      </c>
      <c r="C516" t="str">
        <f t="shared" si="66"/>
        <v/>
      </c>
      <c r="D516" t="str">
        <f t="shared" si="67"/>
        <v/>
      </c>
      <c r="G516" t="str">
        <f>IF(OR($E516="",$F516=""),"",IFERROR(IF($E516=INDEX(Cluster_Master!$A$4:$A$18,MATCH($F516,Cluster_Master!$B$4:$B$18,0)),"OK","CHECK"),"CHECK"))</f>
        <v/>
      </c>
      <c r="H516" t="str">
        <f>IFERROR(INDEX(Cluster_Master!$C$4:$C$18,MATCH($F516,Cluster_Master!$B$4:$B$18,0)),"")</f>
        <v/>
      </c>
      <c r="I516" t="str">
        <f>IFERROR(INDEX(Cluster_Master!$D$4:$D$18,MATCH($F516,Cluster_Master!$B$4:$B$18,0)),"")</f>
        <v/>
      </c>
      <c r="J516" t="str">
        <f>IFERROR(INDEX(Cluster_Master!$E$4:$E$18,MATCH($F516,Cluster_Master!$B$4:$B$18,0)),"")</f>
        <v/>
      </c>
      <c r="K516" t="str">
        <f>IFERROR(INDEX(Cluster_Master!$F$4:$F$18,MATCH($F516,Cluster_Master!$B$4:$B$18,0)),"")</f>
        <v/>
      </c>
      <c r="L516" t="str">
        <f>IFERROR(INDEX(Cluster_Master!$G$4:$G$18,MATCH($F516,Cluster_Master!$B$4:$B$18,0)),"")</f>
        <v/>
      </c>
      <c r="M516" t="str">
        <f>IFERROR(INDEX(Cluster_Master!$H$4:$H$18,MATCH($F516,Cluster_Master!$B$4:$B$18,0)),"")</f>
        <v/>
      </c>
      <c r="AI516" t="str">
        <f t="shared" si="68"/>
        <v/>
      </c>
      <c r="AJ516" t="str">
        <f t="shared" si="69"/>
        <v/>
      </c>
      <c r="AK516" t="str">
        <f>IF(COUNTA(T516:AH516)=0,"",(SUM(T516*KPI_Weights!$B$4,U516*KPI_Weights!$B$5,V516*KPI_Weights!$B$6,W516*KPI_Weights!$B$7,X516*KPI_Weights!$B$8,Y516*KPI_Weights!$B$9,Z516*KPI_Weights!$B$10,AA516*KPI_Weights!$B$11,AB516*KPI_Weights!$B$12,AC516*KPI_Weights!$B$13,AD516*KPI_Weights!$B$14,AE516*KPI_Weights!$B$15,AF516*KPI_Weights!$B$16,AG516*KPI_Weights!$B$17,AH516*KPI_Weights!$B$18))/5)</f>
        <v/>
      </c>
      <c r="AL516" t="str">
        <f t="shared" si="70"/>
        <v/>
      </c>
      <c r="AM516" t="str">
        <f t="shared" si="71"/>
        <v/>
      </c>
      <c r="AN516" t="str">
        <f t="shared" si="72"/>
        <v/>
      </c>
    </row>
    <row r="517" spans="1:40" ht="15" customHeight="1" x14ac:dyDescent="0.2">
      <c r="A517" t="str">
        <f>IF($B517="","",TEXT($B517,"yyyymmdd")&amp;"-"&amp;SUBSTITUTE($F517," ","")&amp;"-"&amp;TEXT(COUNTIF($F$4:F517,$F517),"00"))</f>
        <v/>
      </c>
      <c r="C517" t="str">
        <f t="shared" si="66"/>
        <v/>
      </c>
      <c r="D517" t="str">
        <f t="shared" si="67"/>
        <v/>
      </c>
      <c r="G517" t="str">
        <f>IF(OR($E517="",$F517=""),"",IFERROR(IF($E517=INDEX(Cluster_Master!$A$4:$A$18,MATCH($F517,Cluster_Master!$B$4:$B$18,0)),"OK","CHECK"),"CHECK"))</f>
        <v/>
      </c>
      <c r="H517" t="str">
        <f>IFERROR(INDEX(Cluster_Master!$C$4:$C$18,MATCH($F517,Cluster_Master!$B$4:$B$18,0)),"")</f>
        <v/>
      </c>
      <c r="I517" t="str">
        <f>IFERROR(INDEX(Cluster_Master!$D$4:$D$18,MATCH($F517,Cluster_Master!$B$4:$B$18,0)),"")</f>
        <v/>
      </c>
      <c r="J517" t="str">
        <f>IFERROR(INDEX(Cluster_Master!$E$4:$E$18,MATCH($F517,Cluster_Master!$B$4:$B$18,0)),"")</f>
        <v/>
      </c>
      <c r="K517" t="str">
        <f>IFERROR(INDEX(Cluster_Master!$F$4:$F$18,MATCH($F517,Cluster_Master!$B$4:$B$18,0)),"")</f>
        <v/>
      </c>
      <c r="L517" t="str">
        <f>IFERROR(INDEX(Cluster_Master!$G$4:$G$18,MATCH($F517,Cluster_Master!$B$4:$B$18,0)),"")</f>
        <v/>
      </c>
      <c r="M517" t="str">
        <f>IFERROR(INDEX(Cluster_Master!$H$4:$H$18,MATCH($F517,Cluster_Master!$B$4:$B$18,0)),"")</f>
        <v/>
      </c>
      <c r="AI517" t="str">
        <f t="shared" si="68"/>
        <v/>
      </c>
      <c r="AJ517" t="str">
        <f t="shared" si="69"/>
        <v/>
      </c>
      <c r="AK517" t="str">
        <f>IF(COUNTA(T517:AH517)=0,"",(SUM(T517*KPI_Weights!$B$4,U517*KPI_Weights!$B$5,V517*KPI_Weights!$B$6,W517*KPI_Weights!$B$7,X517*KPI_Weights!$B$8,Y517*KPI_Weights!$B$9,Z517*KPI_Weights!$B$10,AA517*KPI_Weights!$B$11,AB517*KPI_Weights!$B$12,AC517*KPI_Weights!$B$13,AD517*KPI_Weights!$B$14,AE517*KPI_Weights!$B$15,AF517*KPI_Weights!$B$16,AG517*KPI_Weights!$B$17,AH517*KPI_Weights!$B$18))/5)</f>
        <v/>
      </c>
      <c r="AL517" t="str">
        <f t="shared" si="70"/>
        <v/>
      </c>
      <c r="AM517" t="str">
        <f t="shared" si="71"/>
        <v/>
      </c>
      <c r="AN517" t="str">
        <f t="shared" si="72"/>
        <v/>
      </c>
    </row>
    <row r="518" spans="1:40" ht="15" customHeight="1" x14ac:dyDescent="0.2">
      <c r="A518" t="str">
        <f>IF($B518="","",TEXT($B518,"yyyymmdd")&amp;"-"&amp;SUBSTITUTE($F518," ","")&amp;"-"&amp;TEXT(COUNTIF($F$4:F518,$F518),"00"))</f>
        <v/>
      </c>
      <c r="C518" t="str">
        <f t="shared" si="66"/>
        <v/>
      </c>
      <c r="D518" t="str">
        <f t="shared" si="67"/>
        <v/>
      </c>
      <c r="G518" t="str">
        <f>IF(OR($E518="",$F518=""),"",IFERROR(IF($E518=INDEX(Cluster_Master!$A$4:$A$18,MATCH($F518,Cluster_Master!$B$4:$B$18,0)),"OK","CHECK"),"CHECK"))</f>
        <v/>
      </c>
      <c r="H518" t="str">
        <f>IFERROR(INDEX(Cluster_Master!$C$4:$C$18,MATCH($F518,Cluster_Master!$B$4:$B$18,0)),"")</f>
        <v/>
      </c>
      <c r="I518" t="str">
        <f>IFERROR(INDEX(Cluster_Master!$D$4:$D$18,MATCH($F518,Cluster_Master!$B$4:$B$18,0)),"")</f>
        <v/>
      </c>
      <c r="J518" t="str">
        <f>IFERROR(INDEX(Cluster_Master!$E$4:$E$18,MATCH($F518,Cluster_Master!$B$4:$B$18,0)),"")</f>
        <v/>
      </c>
      <c r="K518" t="str">
        <f>IFERROR(INDEX(Cluster_Master!$F$4:$F$18,MATCH($F518,Cluster_Master!$B$4:$B$18,0)),"")</f>
        <v/>
      </c>
      <c r="L518" t="str">
        <f>IFERROR(INDEX(Cluster_Master!$G$4:$G$18,MATCH($F518,Cluster_Master!$B$4:$B$18,0)),"")</f>
        <v/>
      </c>
      <c r="M518" t="str">
        <f>IFERROR(INDEX(Cluster_Master!$H$4:$H$18,MATCH($F518,Cluster_Master!$B$4:$B$18,0)),"")</f>
        <v/>
      </c>
      <c r="AI518" t="str">
        <f t="shared" si="68"/>
        <v/>
      </c>
      <c r="AJ518" t="str">
        <f t="shared" si="69"/>
        <v/>
      </c>
      <c r="AK518" t="str">
        <f>IF(COUNTA(T518:AH518)=0,"",(SUM(T518*KPI_Weights!$B$4,U518*KPI_Weights!$B$5,V518*KPI_Weights!$B$6,W518*KPI_Weights!$B$7,X518*KPI_Weights!$B$8,Y518*KPI_Weights!$B$9,Z518*KPI_Weights!$B$10,AA518*KPI_Weights!$B$11,AB518*KPI_Weights!$B$12,AC518*KPI_Weights!$B$13,AD518*KPI_Weights!$B$14,AE518*KPI_Weights!$B$15,AF518*KPI_Weights!$B$16,AG518*KPI_Weights!$B$17,AH518*KPI_Weights!$B$18))/5)</f>
        <v/>
      </c>
      <c r="AL518" t="str">
        <f t="shared" si="70"/>
        <v/>
      </c>
      <c r="AM518" t="str">
        <f t="shared" si="71"/>
        <v/>
      </c>
      <c r="AN518" t="str">
        <f t="shared" si="72"/>
        <v/>
      </c>
    </row>
    <row r="519" spans="1:40" ht="15" customHeight="1" x14ac:dyDescent="0.2">
      <c r="A519" t="str">
        <f>IF($B519="","",TEXT($B519,"yyyymmdd")&amp;"-"&amp;SUBSTITUTE($F519," ","")&amp;"-"&amp;TEXT(COUNTIF($F$4:F519,$F519),"00"))</f>
        <v/>
      </c>
      <c r="C519" t="str">
        <f t="shared" si="66"/>
        <v/>
      </c>
      <c r="D519" t="str">
        <f t="shared" si="67"/>
        <v/>
      </c>
      <c r="G519" t="str">
        <f>IF(OR($E519="",$F519=""),"",IFERROR(IF($E519=INDEX(Cluster_Master!$A$4:$A$18,MATCH($F519,Cluster_Master!$B$4:$B$18,0)),"OK","CHECK"),"CHECK"))</f>
        <v/>
      </c>
      <c r="H519" t="str">
        <f>IFERROR(INDEX(Cluster_Master!$C$4:$C$18,MATCH($F519,Cluster_Master!$B$4:$B$18,0)),"")</f>
        <v/>
      </c>
      <c r="I519" t="str">
        <f>IFERROR(INDEX(Cluster_Master!$D$4:$D$18,MATCH($F519,Cluster_Master!$B$4:$B$18,0)),"")</f>
        <v/>
      </c>
      <c r="J519" t="str">
        <f>IFERROR(INDEX(Cluster_Master!$E$4:$E$18,MATCH($F519,Cluster_Master!$B$4:$B$18,0)),"")</f>
        <v/>
      </c>
      <c r="K519" t="str">
        <f>IFERROR(INDEX(Cluster_Master!$F$4:$F$18,MATCH($F519,Cluster_Master!$B$4:$B$18,0)),"")</f>
        <v/>
      </c>
      <c r="L519" t="str">
        <f>IFERROR(INDEX(Cluster_Master!$G$4:$G$18,MATCH($F519,Cluster_Master!$B$4:$B$18,0)),"")</f>
        <v/>
      </c>
      <c r="M519" t="str">
        <f>IFERROR(INDEX(Cluster_Master!$H$4:$H$18,MATCH($F519,Cluster_Master!$B$4:$B$18,0)),"")</f>
        <v/>
      </c>
      <c r="AI519" t="str">
        <f t="shared" si="68"/>
        <v/>
      </c>
      <c r="AJ519" t="str">
        <f t="shared" si="69"/>
        <v/>
      </c>
      <c r="AK519" t="str">
        <f>IF(COUNTA(T519:AH519)=0,"",(SUM(T519*KPI_Weights!$B$4,U519*KPI_Weights!$B$5,V519*KPI_Weights!$B$6,W519*KPI_Weights!$B$7,X519*KPI_Weights!$B$8,Y519*KPI_Weights!$B$9,Z519*KPI_Weights!$B$10,AA519*KPI_Weights!$B$11,AB519*KPI_Weights!$B$12,AC519*KPI_Weights!$B$13,AD519*KPI_Weights!$B$14,AE519*KPI_Weights!$B$15,AF519*KPI_Weights!$B$16,AG519*KPI_Weights!$B$17,AH519*KPI_Weights!$B$18))/5)</f>
        <v/>
      </c>
      <c r="AL519" t="str">
        <f t="shared" si="70"/>
        <v/>
      </c>
      <c r="AM519" t="str">
        <f t="shared" si="71"/>
        <v/>
      </c>
      <c r="AN519" t="str">
        <f t="shared" si="72"/>
        <v/>
      </c>
    </row>
    <row r="520" spans="1:40" ht="15" customHeight="1" x14ac:dyDescent="0.2">
      <c r="A520" t="str">
        <f>IF($B520="","",TEXT($B520,"yyyymmdd")&amp;"-"&amp;SUBSTITUTE($F520," ","")&amp;"-"&amp;TEXT(COUNTIF($F$4:F520,$F520),"00"))</f>
        <v/>
      </c>
      <c r="C520" t="str">
        <f t="shared" si="66"/>
        <v/>
      </c>
      <c r="D520" t="str">
        <f t="shared" si="67"/>
        <v/>
      </c>
      <c r="G520" t="str">
        <f>IF(OR($E520="",$F520=""),"",IFERROR(IF($E520=INDEX(Cluster_Master!$A$4:$A$18,MATCH($F520,Cluster_Master!$B$4:$B$18,0)),"OK","CHECK"),"CHECK"))</f>
        <v/>
      </c>
      <c r="H520" t="str">
        <f>IFERROR(INDEX(Cluster_Master!$C$4:$C$18,MATCH($F520,Cluster_Master!$B$4:$B$18,0)),"")</f>
        <v/>
      </c>
      <c r="I520" t="str">
        <f>IFERROR(INDEX(Cluster_Master!$D$4:$D$18,MATCH($F520,Cluster_Master!$B$4:$B$18,0)),"")</f>
        <v/>
      </c>
      <c r="J520" t="str">
        <f>IFERROR(INDEX(Cluster_Master!$E$4:$E$18,MATCH($F520,Cluster_Master!$B$4:$B$18,0)),"")</f>
        <v/>
      </c>
      <c r="K520" t="str">
        <f>IFERROR(INDEX(Cluster_Master!$F$4:$F$18,MATCH($F520,Cluster_Master!$B$4:$B$18,0)),"")</f>
        <v/>
      </c>
      <c r="L520" t="str">
        <f>IFERROR(INDEX(Cluster_Master!$G$4:$G$18,MATCH($F520,Cluster_Master!$B$4:$B$18,0)),"")</f>
        <v/>
      </c>
      <c r="M520" t="str">
        <f>IFERROR(INDEX(Cluster_Master!$H$4:$H$18,MATCH($F520,Cluster_Master!$B$4:$B$18,0)),"")</f>
        <v/>
      </c>
      <c r="AI520" t="str">
        <f t="shared" si="68"/>
        <v/>
      </c>
      <c r="AJ520" t="str">
        <f t="shared" si="69"/>
        <v/>
      </c>
      <c r="AK520" t="str">
        <f>IF(COUNTA(T520:AH520)=0,"",(SUM(T520*KPI_Weights!$B$4,U520*KPI_Weights!$B$5,V520*KPI_Weights!$B$6,W520*KPI_Weights!$B$7,X520*KPI_Weights!$B$8,Y520*KPI_Weights!$B$9,Z520*KPI_Weights!$B$10,AA520*KPI_Weights!$B$11,AB520*KPI_Weights!$B$12,AC520*KPI_Weights!$B$13,AD520*KPI_Weights!$B$14,AE520*KPI_Weights!$B$15,AF520*KPI_Weights!$B$16,AG520*KPI_Weights!$B$17,AH520*KPI_Weights!$B$18))/5)</f>
        <v/>
      </c>
      <c r="AL520" t="str">
        <f t="shared" si="70"/>
        <v/>
      </c>
      <c r="AM520" t="str">
        <f t="shared" si="71"/>
        <v/>
      </c>
      <c r="AN520" t="str">
        <f t="shared" si="72"/>
        <v/>
      </c>
    </row>
    <row r="521" spans="1:40" ht="15" customHeight="1" x14ac:dyDescent="0.2">
      <c r="A521" t="str">
        <f>IF($B521="","",TEXT($B521,"yyyymmdd")&amp;"-"&amp;SUBSTITUTE($F521," ","")&amp;"-"&amp;TEXT(COUNTIF($F$4:F521,$F521),"00"))</f>
        <v/>
      </c>
      <c r="C521" t="str">
        <f t="shared" si="66"/>
        <v/>
      </c>
      <c r="D521" t="str">
        <f t="shared" si="67"/>
        <v/>
      </c>
      <c r="G521" t="str">
        <f>IF(OR($E521="",$F521=""),"",IFERROR(IF($E521=INDEX(Cluster_Master!$A$4:$A$18,MATCH($F521,Cluster_Master!$B$4:$B$18,0)),"OK","CHECK"),"CHECK"))</f>
        <v/>
      </c>
      <c r="H521" t="str">
        <f>IFERROR(INDEX(Cluster_Master!$C$4:$C$18,MATCH($F521,Cluster_Master!$B$4:$B$18,0)),"")</f>
        <v/>
      </c>
      <c r="I521" t="str">
        <f>IFERROR(INDEX(Cluster_Master!$D$4:$D$18,MATCH($F521,Cluster_Master!$B$4:$B$18,0)),"")</f>
        <v/>
      </c>
      <c r="J521" t="str">
        <f>IFERROR(INDEX(Cluster_Master!$E$4:$E$18,MATCH($F521,Cluster_Master!$B$4:$B$18,0)),"")</f>
        <v/>
      </c>
      <c r="K521" t="str">
        <f>IFERROR(INDEX(Cluster_Master!$F$4:$F$18,MATCH($F521,Cluster_Master!$B$4:$B$18,0)),"")</f>
        <v/>
      </c>
      <c r="L521" t="str">
        <f>IFERROR(INDEX(Cluster_Master!$G$4:$G$18,MATCH($F521,Cluster_Master!$B$4:$B$18,0)),"")</f>
        <v/>
      </c>
      <c r="M521" t="str">
        <f>IFERROR(INDEX(Cluster_Master!$H$4:$H$18,MATCH($F521,Cluster_Master!$B$4:$B$18,0)),"")</f>
        <v/>
      </c>
      <c r="AI521" t="str">
        <f t="shared" si="68"/>
        <v/>
      </c>
      <c r="AJ521" t="str">
        <f t="shared" si="69"/>
        <v/>
      </c>
      <c r="AK521" t="str">
        <f>IF(COUNTA(T521:AH521)=0,"",(SUM(T521*KPI_Weights!$B$4,U521*KPI_Weights!$B$5,V521*KPI_Weights!$B$6,W521*KPI_Weights!$B$7,X521*KPI_Weights!$B$8,Y521*KPI_Weights!$B$9,Z521*KPI_Weights!$B$10,AA521*KPI_Weights!$B$11,AB521*KPI_Weights!$B$12,AC521*KPI_Weights!$B$13,AD521*KPI_Weights!$B$14,AE521*KPI_Weights!$B$15,AF521*KPI_Weights!$B$16,AG521*KPI_Weights!$B$17,AH521*KPI_Weights!$B$18))/5)</f>
        <v/>
      </c>
      <c r="AL521" t="str">
        <f t="shared" si="70"/>
        <v/>
      </c>
      <c r="AM521" t="str">
        <f t="shared" si="71"/>
        <v/>
      </c>
      <c r="AN521" t="str">
        <f t="shared" si="72"/>
        <v/>
      </c>
    </row>
    <row r="522" spans="1:40" ht="15" customHeight="1" x14ac:dyDescent="0.2">
      <c r="A522" t="str">
        <f>IF($B522="","",TEXT($B522,"yyyymmdd")&amp;"-"&amp;SUBSTITUTE($F522," ","")&amp;"-"&amp;TEXT(COUNTIF($F$4:F522,$F522),"00"))</f>
        <v/>
      </c>
      <c r="C522" t="str">
        <f t="shared" si="66"/>
        <v/>
      </c>
      <c r="D522" t="str">
        <f t="shared" si="67"/>
        <v/>
      </c>
      <c r="G522" t="str">
        <f>IF(OR($E522="",$F522=""),"",IFERROR(IF($E522=INDEX(Cluster_Master!$A$4:$A$18,MATCH($F522,Cluster_Master!$B$4:$B$18,0)),"OK","CHECK"),"CHECK"))</f>
        <v/>
      </c>
      <c r="H522" t="str">
        <f>IFERROR(INDEX(Cluster_Master!$C$4:$C$18,MATCH($F522,Cluster_Master!$B$4:$B$18,0)),"")</f>
        <v/>
      </c>
      <c r="I522" t="str">
        <f>IFERROR(INDEX(Cluster_Master!$D$4:$D$18,MATCH($F522,Cluster_Master!$B$4:$B$18,0)),"")</f>
        <v/>
      </c>
      <c r="J522" t="str">
        <f>IFERROR(INDEX(Cluster_Master!$E$4:$E$18,MATCH($F522,Cluster_Master!$B$4:$B$18,0)),"")</f>
        <v/>
      </c>
      <c r="K522" t="str">
        <f>IFERROR(INDEX(Cluster_Master!$F$4:$F$18,MATCH($F522,Cluster_Master!$B$4:$B$18,0)),"")</f>
        <v/>
      </c>
      <c r="L522" t="str">
        <f>IFERROR(INDEX(Cluster_Master!$G$4:$G$18,MATCH($F522,Cluster_Master!$B$4:$B$18,0)),"")</f>
        <v/>
      </c>
      <c r="M522" t="str">
        <f>IFERROR(INDEX(Cluster_Master!$H$4:$H$18,MATCH($F522,Cluster_Master!$B$4:$B$18,0)),"")</f>
        <v/>
      </c>
      <c r="AI522" t="str">
        <f t="shared" si="68"/>
        <v/>
      </c>
      <c r="AJ522" t="str">
        <f t="shared" si="69"/>
        <v/>
      </c>
      <c r="AK522" t="str">
        <f>IF(COUNTA(T522:AH522)=0,"",(SUM(T522*KPI_Weights!$B$4,U522*KPI_Weights!$B$5,V522*KPI_Weights!$B$6,W522*KPI_Weights!$B$7,X522*KPI_Weights!$B$8,Y522*KPI_Weights!$B$9,Z522*KPI_Weights!$B$10,AA522*KPI_Weights!$B$11,AB522*KPI_Weights!$B$12,AC522*KPI_Weights!$B$13,AD522*KPI_Weights!$B$14,AE522*KPI_Weights!$B$15,AF522*KPI_Weights!$B$16,AG522*KPI_Weights!$B$17,AH522*KPI_Weights!$B$18))/5)</f>
        <v/>
      </c>
      <c r="AL522" t="str">
        <f t="shared" si="70"/>
        <v/>
      </c>
      <c r="AM522" t="str">
        <f t="shared" si="71"/>
        <v/>
      </c>
      <c r="AN522" t="str">
        <f t="shared" si="72"/>
        <v/>
      </c>
    </row>
    <row r="523" spans="1:40" ht="15" customHeight="1" x14ac:dyDescent="0.2">
      <c r="A523" t="str">
        <f>IF($B523="","",TEXT($B523,"yyyymmdd")&amp;"-"&amp;SUBSTITUTE($F523," ","")&amp;"-"&amp;TEXT(COUNTIF($F$4:F523,$F523),"00"))</f>
        <v/>
      </c>
      <c r="C523" t="str">
        <f t="shared" si="66"/>
        <v/>
      </c>
      <c r="D523" t="str">
        <f t="shared" si="67"/>
        <v/>
      </c>
      <c r="G523" t="str">
        <f>IF(OR($E523="",$F523=""),"",IFERROR(IF($E523=INDEX(Cluster_Master!$A$4:$A$18,MATCH($F523,Cluster_Master!$B$4:$B$18,0)),"OK","CHECK"),"CHECK"))</f>
        <v/>
      </c>
      <c r="H523" t="str">
        <f>IFERROR(INDEX(Cluster_Master!$C$4:$C$18,MATCH($F523,Cluster_Master!$B$4:$B$18,0)),"")</f>
        <v/>
      </c>
      <c r="I523" t="str">
        <f>IFERROR(INDEX(Cluster_Master!$D$4:$D$18,MATCH($F523,Cluster_Master!$B$4:$B$18,0)),"")</f>
        <v/>
      </c>
      <c r="J523" t="str">
        <f>IFERROR(INDEX(Cluster_Master!$E$4:$E$18,MATCH($F523,Cluster_Master!$B$4:$B$18,0)),"")</f>
        <v/>
      </c>
      <c r="K523" t="str">
        <f>IFERROR(INDEX(Cluster_Master!$F$4:$F$18,MATCH($F523,Cluster_Master!$B$4:$B$18,0)),"")</f>
        <v/>
      </c>
      <c r="L523" t="str">
        <f>IFERROR(INDEX(Cluster_Master!$G$4:$G$18,MATCH($F523,Cluster_Master!$B$4:$B$18,0)),"")</f>
        <v/>
      </c>
      <c r="M523" t="str">
        <f>IFERROR(INDEX(Cluster_Master!$H$4:$H$18,MATCH($F523,Cluster_Master!$B$4:$B$18,0)),"")</f>
        <v/>
      </c>
      <c r="AI523" t="str">
        <f t="shared" si="68"/>
        <v/>
      </c>
      <c r="AJ523" t="str">
        <f t="shared" si="69"/>
        <v/>
      </c>
      <c r="AK523" t="str">
        <f>IF(COUNTA(T523:AH523)=0,"",(SUM(T523*KPI_Weights!$B$4,U523*KPI_Weights!$B$5,V523*KPI_Weights!$B$6,W523*KPI_Weights!$B$7,X523*KPI_Weights!$B$8,Y523*KPI_Weights!$B$9,Z523*KPI_Weights!$B$10,AA523*KPI_Weights!$B$11,AB523*KPI_Weights!$B$12,AC523*KPI_Weights!$B$13,AD523*KPI_Weights!$B$14,AE523*KPI_Weights!$B$15,AF523*KPI_Weights!$B$16,AG523*KPI_Weights!$B$17,AH523*KPI_Weights!$B$18))/5)</f>
        <v/>
      </c>
      <c r="AL523" t="str">
        <f t="shared" si="70"/>
        <v/>
      </c>
      <c r="AM523" t="str">
        <f t="shared" si="71"/>
        <v/>
      </c>
      <c r="AN523" t="str">
        <f t="shared" si="72"/>
        <v/>
      </c>
    </row>
    <row r="524" spans="1:40" ht="15" customHeight="1" x14ac:dyDescent="0.2">
      <c r="A524" t="str">
        <f>IF($B524="","",TEXT($B524,"yyyymmdd")&amp;"-"&amp;SUBSTITUTE($F524," ","")&amp;"-"&amp;TEXT(COUNTIF($F$4:F524,$F524),"00"))</f>
        <v/>
      </c>
      <c r="C524" t="str">
        <f t="shared" si="66"/>
        <v/>
      </c>
      <c r="D524" t="str">
        <f t="shared" si="67"/>
        <v/>
      </c>
      <c r="G524" t="str">
        <f>IF(OR($E524="",$F524=""),"",IFERROR(IF($E524=INDEX(Cluster_Master!$A$4:$A$18,MATCH($F524,Cluster_Master!$B$4:$B$18,0)),"OK","CHECK"),"CHECK"))</f>
        <v/>
      </c>
      <c r="H524" t="str">
        <f>IFERROR(INDEX(Cluster_Master!$C$4:$C$18,MATCH($F524,Cluster_Master!$B$4:$B$18,0)),"")</f>
        <v/>
      </c>
      <c r="I524" t="str">
        <f>IFERROR(INDEX(Cluster_Master!$D$4:$D$18,MATCH($F524,Cluster_Master!$B$4:$B$18,0)),"")</f>
        <v/>
      </c>
      <c r="J524" t="str">
        <f>IFERROR(INDEX(Cluster_Master!$E$4:$E$18,MATCH($F524,Cluster_Master!$B$4:$B$18,0)),"")</f>
        <v/>
      </c>
      <c r="K524" t="str">
        <f>IFERROR(INDEX(Cluster_Master!$F$4:$F$18,MATCH($F524,Cluster_Master!$B$4:$B$18,0)),"")</f>
        <v/>
      </c>
      <c r="L524" t="str">
        <f>IFERROR(INDEX(Cluster_Master!$G$4:$G$18,MATCH($F524,Cluster_Master!$B$4:$B$18,0)),"")</f>
        <v/>
      </c>
      <c r="M524" t="str">
        <f>IFERROR(INDEX(Cluster_Master!$H$4:$H$18,MATCH($F524,Cluster_Master!$B$4:$B$18,0)),"")</f>
        <v/>
      </c>
      <c r="AI524" t="str">
        <f t="shared" si="68"/>
        <v/>
      </c>
      <c r="AJ524" t="str">
        <f t="shared" si="69"/>
        <v/>
      </c>
      <c r="AK524" t="str">
        <f>IF(COUNTA(T524:AH524)=0,"",(SUM(T524*KPI_Weights!$B$4,U524*KPI_Weights!$B$5,V524*KPI_Weights!$B$6,W524*KPI_Weights!$B$7,X524*KPI_Weights!$B$8,Y524*KPI_Weights!$B$9,Z524*KPI_Weights!$B$10,AA524*KPI_Weights!$B$11,AB524*KPI_Weights!$B$12,AC524*KPI_Weights!$B$13,AD524*KPI_Weights!$B$14,AE524*KPI_Weights!$B$15,AF524*KPI_Weights!$B$16,AG524*KPI_Weights!$B$17,AH524*KPI_Weights!$B$18))/5)</f>
        <v/>
      </c>
      <c r="AL524" t="str">
        <f t="shared" si="70"/>
        <v/>
      </c>
      <c r="AM524" t="str">
        <f t="shared" si="71"/>
        <v/>
      </c>
      <c r="AN524" t="str">
        <f t="shared" si="72"/>
        <v/>
      </c>
    </row>
    <row r="525" spans="1:40" ht="15" customHeight="1" x14ac:dyDescent="0.2">
      <c r="A525" t="str">
        <f>IF($B525="","",TEXT($B525,"yyyymmdd")&amp;"-"&amp;SUBSTITUTE($F525," ","")&amp;"-"&amp;TEXT(COUNTIF($F$4:F525,$F525),"00"))</f>
        <v/>
      </c>
      <c r="C525" t="str">
        <f t="shared" si="66"/>
        <v/>
      </c>
      <c r="D525" t="str">
        <f t="shared" si="67"/>
        <v/>
      </c>
      <c r="G525" t="str">
        <f>IF(OR($E525="",$F525=""),"",IFERROR(IF($E525=INDEX(Cluster_Master!$A$4:$A$18,MATCH($F525,Cluster_Master!$B$4:$B$18,0)),"OK","CHECK"),"CHECK"))</f>
        <v/>
      </c>
      <c r="H525" t="str">
        <f>IFERROR(INDEX(Cluster_Master!$C$4:$C$18,MATCH($F525,Cluster_Master!$B$4:$B$18,0)),"")</f>
        <v/>
      </c>
      <c r="I525" t="str">
        <f>IFERROR(INDEX(Cluster_Master!$D$4:$D$18,MATCH($F525,Cluster_Master!$B$4:$B$18,0)),"")</f>
        <v/>
      </c>
      <c r="J525" t="str">
        <f>IFERROR(INDEX(Cluster_Master!$E$4:$E$18,MATCH($F525,Cluster_Master!$B$4:$B$18,0)),"")</f>
        <v/>
      </c>
      <c r="K525" t="str">
        <f>IFERROR(INDEX(Cluster_Master!$F$4:$F$18,MATCH($F525,Cluster_Master!$B$4:$B$18,0)),"")</f>
        <v/>
      </c>
      <c r="L525" t="str">
        <f>IFERROR(INDEX(Cluster_Master!$G$4:$G$18,MATCH($F525,Cluster_Master!$B$4:$B$18,0)),"")</f>
        <v/>
      </c>
      <c r="M525" t="str">
        <f>IFERROR(INDEX(Cluster_Master!$H$4:$H$18,MATCH($F525,Cluster_Master!$B$4:$B$18,0)),"")</f>
        <v/>
      </c>
      <c r="AI525" t="str">
        <f t="shared" si="68"/>
        <v/>
      </c>
      <c r="AJ525" t="str">
        <f t="shared" si="69"/>
        <v/>
      </c>
      <c r="AK525" t="str">
        <f>IF(COUNTA(T525:AH525)=0,"",(SUM(T525*KPI_Weights!$B$4,U525*KPI_Weights!$B$5,V525*KPI_Weights!$B$6,W525*KPI_Weights!$B$7,X525*KPI_Weights!$B$8,Y525*KPI_Weights!$B$9,Z525*KPI_Weights!$B$10,AA525*KPI_Weights!$B$11,AB525*KPI_Weights!$B$12,AC525*KPI_Weights!$B$13,AD525*KPI_Weights!$B$14,AE525*KPI_Weights!$B$15,AF525*KPI_Weights!$B$16,AG525*KPI_Weights!$B$17,AH525*KPI_Weights!$B$18))/5)</f>
        <v/>
      </c>
      <c r="AL525" t="str">
        <f t="shared" si="70"/>
        <v/>
      </c>
      <c r="AM525" t="str">
        <f t="shared" si="71"/>
        <v/>
      </c>
      <c r="AN525" t="str">
        <f t="shared" si="72"/>
        <v/>
      </c>
    </row>
    <row r="526" spans="1:40" ht="15" customHeight="1" x14ac:dyDescent="0.2">
      <c r="A526" t="str">
        <f>IF($B526="","",TEXT($B526,"yyyymmdd")&amp;"-"&amp;SUBSTITUTE($F526," ","")&amp;"-"&amp;TEXT(COUNTIF($F$4:F526,$F526),"00"))</f>
        <v/>
      </c>
      <c r="C526" t="str">
        <f t="shared" si="66"/>
        <v/>
      </c>
      <c r="D526" t="str">
        <f t="shared" si="67"/>
        <v/>
      </c>
      <c r="G526" t="str">
        <f>IF(OR($E526="",$F526=""),"",IFERROR(IF($E526=INDEX(Cluster_Master!$A$4:$A$18,MATCH($F526,Cluster_Master!$B$4:$B$18,0)),"OK","CHECK"),"CHECK"))</f>
        <v/>
      </c>
      <c r="H526" t="str">
        <f>IFERROR(INDEX(Cluster_Master!$C$4:$C$18,MATCH($F526,Cluster_Master!$B$4:$B$18,0)),"")</f>
        <v/>
      </c>
      <c r="I526" t="str">
        <f>IFERROR(INDEX(Cluster_Master!$D$4:$D$18,MATCH($F526,Cluster_Master!$B$4:$B$18,0)),"")</f>
        <v/>
      </c>
      <c r="J526" t="str">
        <f>IFERROR(INDEX(Cluster_Master!$E$4:$E$18,MATCH($F526,Cluster_Master!$B$4:$B$18,0)),"")</f>
        <v/>
      </c>
      <c r="K526" t="str">
        <f>IFERROR(INDEX(Cluster_Master!$F$4:$F$18,MATCH($F526,Cluster_Master!$B$4:$B$18,0)),"")</f>
        <v/>
      </c>
      <c r="L526" t="str">
        <f>IFERROR(INDEX(Cluster_Master!$G$4:$G$18,MATCH($F526,Cluster_Master!$B$4:$B$18,0)),"")</f>
        <v/>
      </c>
      <c r="M526" t="str">
        <f>IFERROR(INDEX(Cluster_Master!$H$4:$H$18,MATCH($F526,Cluster_Master!$B$4:$B$18,0)),"")</f>
        <v/>
      </c>
      <c r="AI526" t="str">
        <f t="shared" si="68"/>
        <v/>
      </c>
      <c r="AJ526" t="str">
        <f t="shared" si="69"/>
        <v/>
      </c>
      <c r="AK526" t="str">
        <f>IF(COUNTA(T526:AH526)=0,"",(SUM(T526*KPI_Weights!$B$4,U526*KPI_Weights!$B$5,V526*KPI_Weights!$B$6,W526*KPI_Weights!$B$7,X526*KPI_Weights!$B$8,Y526*KPI_Weights!$B$9,Z526*KPI_Weights!$B$10,AA526*KPI_Weights!$B$11,AB526*KPI_Weights!$B$12,AC526*KPI_Weights!$B$13,AD526*KPI_Weights!$B$14,AE526*KPI_Weights!$B$15,AF526*KPI_Weights!$B$16,AG526*KPI_Weights!$B$17,AH526*KPI_Weights!$B$18))/5)</f>
        <v/>
      </c>
      <c r="AL526" t="str">
        <f t="shared" si="70"/>
        <v/>
      </c>
      <c r="AM526" t="str">
        <f t="shared" si="71"/>
        <v/>
      </c>
      <c r="AN526" t="str">
        <f t="shared" si="72"/>
        <v/>
      </c>
    </row>
    <row r="527" spans="1:40" ht="15" customHeight="1" x14ac:dyDescent="0.2">
      <c r="A527" t="str">
        <f>IF($B527="","",TEXT($B527,"yyyymmdd")&amp;"-"&amp;SUBSTITUTE($F527," ","")&amp;"-"&amp;TEXT(COUNTIF($F$4:F527,$F527),"00"))</f>
        <v/>
      </c>
      <c r="C527" t="str">
        <f t="shared" si="66"/>
        <v/>
      </c>
      <c r="D527" t="str">
        <f t="shared" si="67"/>
        <v/>
      </c>
      <c r="G527" t="str">
        <f>IF(OR($E527="",$F527=""),"",IFERROR(IF($E527=INDEX(Cluster_Master!$A$4:$A$18,MATCH($F527,Cluster_Master!$B$4:$B$18,0)),"OK","CHECK"),"CHECK"))</f>
        <v/>
      </c>
      <c r="H527" t="str">
        <f>IFERROR(INDEX(Cluster_Master!$C$4:$C$18,MATCH($F527,Cluster_Master!$B$4:$B$18,0)),"")</f>
        <v/>
      </c>
      <c r="I527" t="str">
        <f>IFERROR(INDEX(Cluster_Master!$D$4:$D$18,MATCH($F527,Cluster_Master!$B$4:$B$18,0)),"")</f>
        <v/>
      </c>
      <c r="J527" t="str">
        <f>IFERROR(INDEX(Cluster_Master!$E$4:$E$18,MATCH($F527,Cluster_Master!$B$4:$B$18,0)),"")</f>
        <v/>
      </c>
      <c r="K527" t="str">
        <f>IFERROR(INDEX(Cluster_Master!$F$4:$F$18,MATCH($F527,Cluster_Master!$B$4:$B$18,0)),"")</f>
        <v/>
      </c>
      <c r="L527" t="str">
        <f>IFERROR(INDEX(Cluster_Master!$G$4:$G$18,MATCH($F527,Cluster_Master!$B$4:$B$18,0)),"")</f>
        <v/>
      </c>
      <c r="M527" t="str">
        <f>IFERROR(INDEX(Cluster_Master!$H$4:$H$18,MATCH($F527,Cluster_Master!$B$4:$B$18,0)),"")</f>
        <v/>
      </c>
      <c r="AI527" t="str">
        <f t="shared" si="68"/>
        <v/>
      </c>
      <c r="AJ527" t="str">
        <f t="shared" si="69"/>
        <v/>
      </c>
      <c r="AK527" t="str">
        <f>IF(COUNTA(T527:AH527)=0,"",(SUM(T527*KPI_Weights!$B$4,U527*KPI_Weights!$B$5,V527*KPI_Weights!$B$6,W527*KPI_Weights!$B$7,X527*KPI_Weights!$B$8,Y527*KPI_Weights!$B$9,Z527*KPI_Weights!$B$10,AA527*KPI_Weights!$B$11,AB527*KPI_Weights!$B$12,AC527*KPI_Weights!$B$13,AD527*KPI_Weights!$B$14,AE527*KPI_Weights!$B$15,AF527*KPI_Weights!$B$16,AG527*KPI_Weights!$B$17,AH527*KPI_Weights!$B$18))/5)</f>
        <v/>
      </c>
      <c r="AL527" t="str">
        <f t="shared" si="70"/>
        <v/>
      </c>
      <c r="AM527" t="str">
        <f t="shared" si="71"/>
        <v/>
      </c>
      <c r="AN527" t="str">
        <f t="shared" si="72"/>
        <v/>
      </c>
    </row>
    <row r="528" spans="1:40" ht="15" customHeight="1" x14ac:dyDescent="0.2">
      <c r="A528" t="str">
        <f>IF($B528="","",TEXT($B528,"yyyymmdd")&amp;"-"&amp;SUBSTITUTE($F528," ","")&amp;"-"&amp;TEXT(COUNTIF($F$4:F528,$F528),"00"))</f>
        <v/>
      </c>
      <c r="C528" t="str">
        <f t="shared" si="66"/>
        <v/>
      </c>
      <c r="D528" t="str">
        <f t="shared" si="67"/>
        <v/>
      </c>
      <c r="G528" t="str">
        <f>IF(OR($E528="",$F528=""),"",IFERROR(IF($E528=INDEX(Cluster_Master!$A$4:$A$18,MATCH($F528,Cluster_Master!$B$4:$B$18,0)),"OK","CHECK"),"CHECK"))</f>
        <v/>
      </c>
      <c r="H528" t="str">
        <f>IFERROR(INDEX(Cluster_Master!$C$4:$C$18,MATCH($F528,Cluster_Master!$B$4:$B$18,0)),"")</f>
        <v/>
      </c>
      <c r="I528" t="str">
        <f>IFERROR(INDEX(Cluster_Master!$D$4:$D$18,MATCH($F528,Cluster_Master!$B$4:$B$18,0)),"")</f>
        <v/>
      </c>
      <c r="J528" t="str">
        <f>IFERROR(INDEX(Cluster_Master!$E$4:$E$18,MATCH($F528,Cluster_Master!$B$4:$B$18,0)),"")</f>
        <v/>
      </c>
      <c r="K528" t="str">
        <f>IFERROR(INDEX(Cluster_Master!$F$4:$F$18,MATCH($F528,Cluster_Master!$B$4:$B$18,0)),"")</f>
        <v/>
      </c>
      <c r="L528" t="str">
        <f>IFERROR(INDEX(Cluster_Master!$G$4:$G$18,MATCH($F528,Cluster_Master!$B$4:$B$18,0)),"")</f>
        <v/>
      </c>
      <c r="M528" t="str">
        <f>IFERROR(INDEX(Cluster_Master!$H$4:$H$18,MATCH($F528,Cluster_Master!$B$4:$B$18,0)),"")</f>
        <v/>
      </c>
      <c r="AI528" t="str">
        <f t="shared" si="68"/>
        <v/>
      </c>
      <c r="AJ528" t="str">
        <f t="shared" si="69"/>
        <v/>
      </c>
      <c r="AK528" t="str">
        <f>IF(COUNTA(T528:AH528)=0,"",(SUM(T528*KPI_Weights!$B$4,U528*KPI_Weights!$B$5,V528*KPI_Weights!$B$6,W528*KPI_Weights!$B$7,X528*KPI_Weights!$B$8,Y528*KPI_Weights!$B$9,Z528*KPI_Weights!$B$10,AA528*KPI_Weights!$B$11,AB528*KPI_Weights!$B$12,AC528*KPI_Weights!$B$13,AD528*KPI_Weights!$B$14,AE528*KPI_Weights!$B$15,AF528*KPI_Weights!$B$16,AG528*KPI_Weights!$B$17,AH528*KPI_Weights!$B$18))/5)</f>
        <v/>
      </c>
      <c r="AL528" t="str">
        <f t="shared" si="70"/>
        <v/>
      </c>
      <c r="AM528" t="str">
        <f t="shared" si="71"/>
        <v/>
      </c>
      <c r="AN528" t="str">
        <f t="shared" si="72"/>
        <v/>
      </c>
    </row>
    <row r="529" spans="1:40" ht="15" customHeight="1" x14ac:dyDescent="0.2">
      <c r="A529" t="str">
        <f>IF($B529="","",TEXT($B529,"yyyymmdd")&amp;"-"&amp;SUBSTITUTE($F529," ","")&amp;"-"&amp;TEXT(COUNTIF($F$4:F529,$F529),"00"))</f>
        <v/>
      </c>
      <c r="C529" t="str">
        <f t="shared" si="66"/>
        <v/>
      </c>
      <c r="D529" t="str">
        <f t="shared" si="67"/>
        <v/>
      </c>
      <c r="G529" t="str">
        <f>IF(OR($E529="",$F529=""),"",IFERROR(IF($E529=INDEX(Cluster_Master!$A$4:$A$18,MATCH($F529,Cluster_Master!$B$4:$B$18,0)),"OK","CHECK"),"CHECK"))</f>
        <v/>
      </c>
      <c r="H529" t="str">
        <f>IFERROR(INDEX(Cluster_Master!$C$4:$C$18,MATCH($F529,Cluster_Master!$B$4:$B$18,0)),"")</f>
        <v/>
      </c>
      <c r="I529" t="str">
        <f>IFERROR(INDEX(Cluster_Master!$D$4:$D$18,MATCH($F529,Cluster_Master!$B$4:$B$18,0)),"")</f>
        <v/>
      </c>
      <c r="J529" t="str">
        <f>IFERROR(INDEX(Cluster_Master!$E$4:$E$18,MATCH($F529,Cluster_Master!$B$4:$B$18,0)),"")</f>
        <v/>
      </c>
      <c r="K529" t="str">
        <f>IFERROR(INDEX(Cluster_Master!$F$4:$F$18,MATCH($F529,Cluster_Master!$B$4:$B$18,0)),"")</f>
        <v/>
      </c>
      <c r="L529" t="str">
        <f>IFERROR(INDEX(Cluster_Master!$G$4:$G$18,MATCH($F529,Cluster_Master!$B$4:$B$18,0)),"")</f>
        <v/>
      </c>
      <c r="M529" t="str">
        <f>IFERROR(INDEX(Cluster_Master!$H$4:$H$18,MATCH($F529,Cluster_Master!$B$4:$B$18,0)),"")</f>
        <v/>
      </c>
      <c r="AI529" t="str">
        <f t="shared" si="68"/>
        <v/>
      </c>
      <c r="AJ529" t="str">
        <f t="shared" si="69"/>
        <v/>
      </c>
      <c r="AK529" t="str">
        <f>IF(COUNTA(T529:AH529)=0,"",(SUM(T529*KPI_Weights!$B$4,U529*KPI_Weights!$B$5,V529*KPI_Weights!$B$6,W529*KPI_Weights!$B$7,X529*KPI_Weights!$B$8,Y529*KPI_Weights!$B$9,Z529*KPI_Weights!$B$10,AA529*KPI_Weights!$B$11,AB529*KPI_Weights!$B$12,AC529*KPI_Weights!$B$13,AD529*KPI_Weights!$B$14,AE529*KPI_Weights!$B$15,AF529*KPI_Weights!$B$16,AG529*KPI_Weights!$B$17,AH529*KPI_Weights!$B$18))/5)</f>
        <v/>
      </c>
      <c r="AL529" t="str">
        <f t="shared" si="70"/>
        <v/>
      </c>
      <c r="AM529" t="str">
        <f t="shared" si="71"/>
        <v/>
      </c>
      <c r="AN529" t="str">
        <f t="shared" si="72"/>
        <v/>
      </c>
    </row>
    <row r="530" spans="1:40" ht="15" customHeight="1" x14ac:dyDescent="0.2">
      <c r="A530" t="str">
        <f>IF($B530="","",TEXT($B530,"yyyymmdd")&amp;"-"&amp;SUBSTITUTE($F530," ","")&amp;"-"&amp;TEXT(COUNTIF($F$4:F530,$F530),"00"))</f>
        <v/>
      </c>
      <c r="C530" t="str">
        <f t="shared" si="66"/>
        <v/>
      </c>
      <c r="D530" t="str">
        <f t="shared" si="67"/>
        <v/>
      </c>
      <c r="G530" t="str">
        <f>IF(OR($E530="",$F530=""),"",IFERROR(IF($E530=INDEX(Cluster_Master!$A$4:$A$18,MATCH($F530,Cluster_Master!$B$4:$B$18,0)),"OK","CHECK"),"CHECK"))</f>
        <v/>
      </c>
      <c r="H530" t="str">
        <f>IFERROR(INDEX(Cluster_Master!$C$4:$C$18,MATCH($F530,Cluster_Master!$B$4:$B$18,0)),"")</f>
        <v/>
      </c>
      <c r="I530" t="str">
        <f>IFERROR(INDEX(Cluster_Master!$D$4:$D$18,MATCH($F530,Cluster_Master!$B$4:$B$18,0)),"")</f>
        <v/>
      </c>
      <c r="J530" t="str">
        <f>IFERROR(INDEX(Cluster_Master!$E$4:$E$18,MATCH($F530,Cluster_Master!$B$4:$B$18,0)),"")</f>
        <v/>
      </c>
      <c r="K530" t="str">
        <f>IFERROR(INDEX(Cluster_Master!$F$4:$F$18,MATCH($F530,Cluster_Master!$B$4:$B$18,0)),"")</f>
        <v/>
      </c>
      <c r="L530" t="str">
        <f>IFERROR(INDEX(Cluster_Master!$G$4:$G$18,MATCH($F530,Cluster_Master!$B$4:$B$18,0)),"")</f>
        <v/>
      </c>
      <c r="M530" t="str">
        <f>IFERROR(INDEX(Cluster_Master!$H$4:$H$18,MATCH($F530,Cluster_Master!$B$4:$B$18,0)),"")</f>
        <v/>
      </c>
      <c r="AI530" t="str">
        <f t="shared" si="68"/>
        <v/>
      </c>
      <c r="AJ530" t="str">
        <f t="shared" si="69"/>
        <v/>
      </c>
      <c r="AK530" t="str">
        <f>IF(COUNTA(T530:AH530)=0,"",(SUM(T530*KPI_Weights!$B$4,U530*KPI_Weights!$B$5,V530*KPI_Weights!$B$6,W530*KPI_Weights!$B$7,X530*KPI_Weights!$B$8,Y530*KPI_Weights!$B$9,Z530*KPI_Weights!$B$10,AA530*KPI_Weights!$B$11,AB530*KPI_Weights!$B$12,AC530*KPI_Weights!$B$13,AD530*KPI_Weights!$B$14,AE530*KPI_Weights!$B$15,AF530*KPI_Weights!$B$16,AG530*KPI_Weights!$B$17,AH530*KPI_Weights!$B$18))/5)</f>
        <v/>
      </c>
      <c r="AL530" t="str">
        <f t="shared" si="70"/>
        <v/>
      </c>
      <c r="AM530" t="str">
        <f t="shared" si="71"/>
        <v/>
      </c>
      <c r="AN530" t="str">
        <f t="shared" si="72"/>
        <v/>
      </c>
    </row>
    <row r="531" spans="1:40" ht="15" customHeight="1" x14ac:dyDescent="0.2">
      <c r="A531" t="str">
        <f>IF($B531="","",TEXT($B531,"yyyymmdd")&amp;"-"&amp;SUBSTITUTE($F531," ","")&amp;"-"&amp;TEXT(COUNTIF($F$4:F531,$F531),"00"))</f>
        <v/>
      </c>
      <c r="C531" t="str">
        <f t="shared" si="66"/>
        <v/>
      </c>
      <c r="D531" t="str">
        <f t="shared" si="67"/>
        <v/>
      </c>
      <c r="G531" t="str">
        <f>IF(OR($E531="",$F531=""),"",IFERROR(IF($E531=INDEX(Cluster_Master!$A$4:$A$18,MATCH($F531,Cluster_Master!$B$4:$B$18,0)),"OK","CHECK"),"CHECK"))</f>
        <v/>
      </c>
      <c r="H531" t="str">
        <f>IFERROR(INDEX(Cluster_Master!$C$4:$C$18,MATCH($F531,Cluster_Master!$B$4:$B$18,0)),"")</f>
        <v/>
      </c>
      <c r="I531" t="str">
        <f>IFERROR(INDEX(Cluster_Master!$D$4:$D$18,MATCH($F531,Cluster_Master!$B$4:$B$18,0)),"")</f>
        <v/>
      </c>
      <c r="J531" t="str">
        <f>IFERROR(INDEX(Cluster_Master!$E$4:$E$18,MATCH($F531,Cluster_Master!$B$4:$B$18,0)),"")</f>
        <v/>
      </c>
      <c r="K531" t="str">
        <f>IFERROR(INDEX(Cluster_Master!$F$4:$F$18,MATCH($F531,Cluster_Master!$B$4:$B$18,0)),"")</f>
        <v/>
      </c>
      <c r="L531" t="str">
        <f>IFERROR(INDEX(Cluster_Master!$G$4:$G$18,MATCH($F531,Cluster_Master!$B$4:$B$18,0)),"")</f>
        <v/>
      </c>
      <c r="M531" t="str">
        <f>IFERROR(INDEX(Cluster_Master!$H$4:$H$18,MATCH($F531,Cluster_Master!$B$4:$B$18,0)),"")</f>
        <v/>
      </c>
      <c r="AI531" t="str">
        <f t="shared" si="68"/>
        <v/>
      </c>
      <c r="AJ531" t="str">
        <f t="shared" si="69"/>
        <v/>
      </c>
      <c r="AK531" t="str">
        <f>IF(COUNTA(T531:AH531)=0,"",(SUM(T531*KPI_Weights!$B$4,U531*KPI_Weights!$B$5,V531*KPI_Weights!$B$6,W531*KPI_Weights!$B$7,X531*KPI_Weights!$B$8,Y531*KPI_Weights!$B$9,Z531*KPI_Weights!$B$10,AA531*KPI_Weights!$B$11,AB531*KPI_Weights!$B$12,AC531*KPI_Weights!$B$13,AD531*KPI_Weights!$B$14,AE531*KPI_Weights!$B$15,AF531*KPI_Weights!$B$16,AG531*KPI_Weights!$B$17,AH531*KPI_Weights!$B$18))/5)</f>
        <v/>
      </c>
      <c r="AL531" t="str">
        <f t="shared" si="70"/>
        <v/>
      </c>
      <c r="AM531" t="str">
        <f t="shared" si="71"/>
        <v/>
      </c>
      <c r="AN531" t="str">
        <f t="shared" si="72"/>
        <v/>
      </c>
    </row>
    <row r="532" spans="1:40" ht="15" customHeight="1" x14ac:dyDescent="0.2">
      <c r="A532" t="str">
        <f>IF($B532="","",TEXT($B532,"yyyymmdd")&amp;"-"&amp;SUBSTITUTE($F532," ","")&amp;"-"&amp;TEXT(COUNTIF($F$4:F532,$F532),"00"))</f>
        <v/>
      </c>
      <c r="C532" t="str">
        <f t="shared" si="66"/>
        <v/>
      </c>
      <c r="D532" t="str">
        <f t="shared" si="67"/>
        <v/>
      </c>
      <c r="G532" t="str">
        <f>IF(OR($E532="",$F532=""),"",IFERROR(IF($E532=INDEX(Cluster_Master!$A$4:$A$18,MATCH($F532,Cluster_Master!$B$4:$B$18,0)),"OK","CHECK"),"CHECK"))</f>
        <v/>
      </c>
      <c r="H532" t="str">
        <f>IFERROR(INDEX(Cluster_Master!$C$4:$C$18,MATCH($F532,Cluster_Master!$B$4:$B$18,0)),"")</f>
        <v/>
      </c>
      <c r="I532" t="str">
        <f>IFERROR(INDEX(Cluster_Master!$D$4:$D$18,MATCH($F532,Cluster_Master!$B$4:$B$18,0)),"")</f>
        <v/>
      </c>
      <c r="J532" t="str">
        <f>IFERROR(INDEX(Cluster_Master!$E$4:$E$18,MATCH($F532,Cluster_Master!$B$4:$B$18,0)),"")</f>
        <v/>
      </c>
      <c r="K532" t="str">
        <f>IFERROR(INDEX(Cluster_Master!$F$4:$F$18,MATCH($F532,Cluster_Master!$B$4:$B$18,0)),"")</f>
        <v/>
      </c>
      <c r="L532" t="str">
        <f>IFERROR(INDEX(Cluster_Master!$G$4:$G$18,MATCH($F532,Cluster_Master!$B$4:$B$18,0)),"")</f>
        <v/>
      </c>
      <c r="M532" t="str">
        <f>IFERROR(INDEX(Cluster_Master!$H$4:$H$18,MATCH($F532,Cluster_Master!$B$4:$B$18,0)),"")</f>
        <v/>
      </c>
      <c r="AI532" t="str">
        <f t="shared" si="68"/>
        <v/>
      </c>
      <c r="AJ532" t="str">
        <f t="shared" si="69"/>
        <v/>
      </c>
      <c r="AK532" t="str">
        <f>IF(COUNTA(T532:AH532)=0,"",(SUM(T532*KPI_Weights!$B$4,U532*KPI_Weights!$B$5,V532*KPI_Weights!$B$6,W532*KPI_Weights!$B$7,X532*KPI_Weights!$B$8,Y532*KPI_Weights!$B$9,Z532*KPI_Weights!$B$10,AA532*KPI_Weights!$B$11,AB532*KPI_Weights!$B$12,AC532*KPI_Weights!$B$13,AD532*KPI_Weights!$B$14,AE532*KPI_Weights!$B$15,AF532*KPI_Weights!$B$16,AG532*KPI_Weights!$B$17,AH532*KPI_Weights!$B$18))/5)</f>
        <v/>
      </c>
      <c r="AL532" t="str">
        <f t="shared" si="70"/>
        <v/>
      </c>
      <c r="AM532" t="str">
        <f t="shared" si="71"/>
        <v/>
      </c>
      <c r="AN532" t="str">
        <f t="shared" si="72"/>
        <v/>
      </c>
    </row>
    <row r="533" spans="1:40" ht="15" customHeight="1" x14ac:dyDescent="0.2">
      <c r="A533" t="str">
        <f>IF($B533="","",TEXT($B533,"yyyymmdd")&amp;"-"&amp;SUBSTITUTE($F533," ","")&amp;"-"&amp;TEXT(COUNTIF($F$4:F533,$F533),"00"))</f>
        <v/>
      </c>
      <c r="C533" t="str">
        <f t="shared" si="66"/>
        <v/>
      </c>
      <c r="D533" t="str">
        <f t="shared" si="67"/>
        <v/>
      </c>
      <c r="G533" t="str">
        <f>IF(OR($E533="",$F533=""),"",IFERROR(IF($E533=INDEX(Cluster_Master!$A$4:$A$18,MATCH($F533,Cluster_Master!$B$4:$B$18,0)),"OK","CHECK"),"CHECK"))</f>
        <v/>
      </c>
      <c r="H533" t="str">
        <f>IFERROR(INDEX(Cluster_Master!$C$4:$C$18,MATCH($F533,Cluster_Master!$B$4:$B$18,0)),"")</f>
        <v/>
      </c>
      <c r="I533" t="str">
        <f>IFERROR(INDEX(Cluster_Master!$D$4:$D$18,MATCH($F533,Cluster_Master!$B$4:$B$18,0)),"")</f>
        <v/>
      </c>
      <c r="J533" t="str">
        <f>IFERROR(INDEX(Cluster_Master!$E$4:$E$18,MATCH($F533,Cluster_Master!$B$4:$B$18,0)),"")</f>
        <v/>
      </c>
      <c r="K533" t="str">
        <f>IFERROR(INDEX(Cluster_Master!$F$4:$F$18,MATCH($F533,Cluster_Master!$B$4:$B$18,0)),"")</f>
        <v/>
      </c>
      <c r="L533" t="str">
        <f>IFERROR(INDEX(Cluster_Master!$G$4:$G$18,MATCH($F533,Cluster_Master!$B$4:$B$18,0)),"")</f>
        <v/>
      </c>
      <c r="M533" t="str">
        <f>IFERROR(INDEX(Cluster_Master!$H$4:$H$18,MATCH($F533,Cluster_Master!$B$4:$B$18,0)),"")</f>
        <v/>
      </c>
      <c r="AI533" t="str">
        <f t="shared" si="68"/>
        <v/>
      </c>
      <c r="AJ533" t="str">
        <f t="shared" si="69"/>
        <v/>
      </c>
      <c r="AK533" t="str">
        <f>IF(COUNTA(T533:AH533)=0,"",(SUM(T533*KPI_Weights!$B$4,U533*KPI_Weights!$B$5,V533*KPI_Weights!$B$6,W533*KPI_Weights!$B$7,X533*KPI_Weights!$B$8,Y533*KPI_Weights!$B$9,Z533*KPI_Weights!$B$10,AA533*KPI_Weights!$B$11,AB533*KPI_Weights!$B$12,AC533*KPI_Weights!$B$13,AD533*KPI_Weights!$B$14,AE533*KPI_Weights!$B$15,AF533*KPI_Weights!$B$16,AG533*KPI_Weights!$B$17,AH533*KPI_Weights!$B$18))/5)</f>
        <v/>
      </c>
      <c r="AL533" t="str">
        <f t="shared" si="70"/>
        <v/>
      </c>
      <c r="AM533" t="str">
        <f t="shared" si="71"/>
        <v/>
      </c>
      <c r="AN533" t="str">
        <f t="shared" si="72"/>
        <v/>
      </c>
    </row>
    <row r="534" spans="1:40" ht="15" customHeight="1" x14ac:dyDescent="0.2">
      <c r="A534" t="str">
        <f>IF($B534="","",TEXT($B534,"yyyymmdd")&amp;"-"&amp;SUBSTITUTE($F534," ","")&amp;"-"&amp;TEXT(COUNTIF($F$4:F534,$F534),"00"))</f>
        <v/>
      </c>
      <c r="C534" t="str">
        <f t="shared" si="66"/>
        <v/>
      </c>
      <c r="D534" t="str">
        <f t="shared" si="67"/>
        <v/>
      </c>
      <c r="G534" t="str">
        <f>IF(OR($E534="",$F534=""),"",IFERROR(IF($E534=INDEX(Cluster_Master!$A$4:$A$18,MATCH($F534,Cluster_Master!$B$4:$B$18,0)),"OK","CHECK"),"CHECK"))</f>
        <v/>
      </c>
      <c r="H534" t="str">
        <f>IFERROR(INDEX(Cluster_Master!$C$4:$C$18,MATCH($F534,Cluster_Master!$B$4:$B$18,0)),"")</f>
        <v/>
      </c>
      <c r="I534" t="str">
        <f>IFERROR(INDEX(Cluster_Master!$D$4:$D$18,MATCH($F534,Cluster_Master!$B$4:$B$18,0)),"")</f>
        <v/>
      </c>
      <c r="J534" t="str">
        <f>IFERROR(INDEX(Cluster_Master!$E$4:$E$18,MATCH($F534,Cluster_Master!$B$4:$B$18,0)),"")</f>
        <v/>
      </c>
      <c r="K534" t="str">
        <f>IFERROR(INDEX(Cluster_Master!$F$4:$F$18,MATCH($F534,Cluster_Master!$B$4:$B$18,0)),"")</f>
        <v/>
      </c>
      <c r="L534" t="str">
        <f>IFERROR(INDEX(Cluster_Master!$G$4:$G$18,MATCH($F534,Cluster_Master!$B$4:$B$18,0)),"")</f>
        <v/>
      </c>
      <c r="M534" t="str">
        <f>IFERROR(INDEX(Cluster_Master!$H$4:$H$18,MATCH($F534,Cluster_Master!$B$4:$B$18,0)),"")</f>
        <v/>
      </c>
      <c r="AI534" t="str">
        <f t="shared" si="68"/>
        <v/>
      </c>
      <c r="AJ534" t="str">
        <f t="shared" si="69"/>
        <v/>
      </c>
      <c r="AK534" t="str">
        <f>IF(COUNTA(T534:AH534)=0,"",(SUM(T534*KPI_Weights!$B$4,U534*KPI_Weights!$B$5,V534*KPI_Weights!$B$6,W534*KPI_Weights!$B$7,X534*KPI_Weights!$B$8,Y534*KPI_Weights!$B$9,Z534*KPI_Weights!$B$10,AA534*KPI_Weights!$B$11,AB534*KPI_Weights!$B$12,AC534*KPI_Weights!$B$13,AD534*KPI_Weights!$B$14,AE534*KPI_Weights!$B$15,AF534*KPI_Weights!$B$16,AG534*KPI_Weights!$B$17,AH534*KPI_Weights!$B$18))/5)</f>
        <v/>
      </c>
      <c r="AL534" t="str">
        <f t="shared" si="70"/>
        <v/>
      </c>
      <c r="AM534" t="str">
        <f t="shared" si="71"/>
        <v/>
      </c>
      <c r="AN534" t="str">
        <f t="shared" si="72"/>
        <v/>
      </c>
    </row>
    <row r="535" spans="1:40" ht="15" customHeight="1" x14ac:dyDescent="0.2">
      <c r="A535" t="str">
        <f>IF($B535="","",TEXT($B535,"yyyymmdd")&amp;"-"&amp;SUBSTITUTE($F535," ","")&amp;"-"&amp;TEXT(COUNTIF($F$4:F535,$F535),"00"))</f>
        <v/>
      </c>
      <c r="C535" t="str">
        <f t="shared" si="66"/>
        <v/>
      </c>
      <c r="D535" t="str">
        <f t="shared" si="67"/>
        <v/>
      </c>
      <c r="G535" t="str">
        <f>IF(OR($E535="",$F535=""),"",IFERROR(IF($E535=INDEX(Cluster_Master!$A$4:$A$18,MATCH($F535,Cluster_Master!$B$4:$B$18,0)),"OK","CHECK"),"CHECK"))</f>
        <v/>
      </c>
      <c r="H535" t="str">
        <f>IFERROR(INDEX(Cluster_Master!$C$4:$C$18,MATCH($F535,Cluster_Master!$B$4:$B$18,0)),"")</f>
        <v/>
      </c>
      <c r="I535" t="str">
        <f>IFERROR(INDEX(Cluster_Master!$D$4:$D$18,MATCH($F535,Cluster_Master!$B$4:$B$18,0)),"")</f>
        <v/>
      </c>
      <c r="J535" t="str">
        <f>IFERROR(INDEX(Cluster_Master!$E$4:$E$18,MATCH($F535,Cluster_Master!$B$4:$B$18,0)),"")</f>
        <v/>
      </c>
      <c r="K535" t="str">
        <f>IFERROR(INDEX(Cluster_Master!$F$4:$F$18,MATCH($F535,Cluster_Master!$B$4:$B$18,0)),"")</f>
        <v/>
      </c>
      <c r="L535" t="str">
        <f>IFERROR(INDEX(Cluster_Master!$G$4:$G$18,MATCH($F535,Cluster_Master!$B$4:$B$18,0)),"")</f>
        <v/>
      </c>
      <c r="M535" t="str">
        <f>IFERROR(INDEX(Cluster_Master!$H$4:$H$18,MATCH($F535,Cluster_Master!$B$4:$B$18,0)),"")</f>
        <v/>
      </c>
      <c r="AI535" t="str">
        <f t="shared" si="68"/>
        <v/>
      </c>
      <c r="AJ535" t="str">
        <f t="shared" si="69"/>
        <v/>
      </c>
      <c r="AK535" t="str">
        <f>IF(COUNTA(T535:AH535)=0,"",(SUM(T535*KPI_Weights!$B$4,U535*KPI_Weights!$B$5,V535*KPI_Weights!$B$6,W535*KPI_Weights!$B$7,X535*KPI_Weights!$B$8,Y535*KPI_Weights!$B$9,Z535*KPI_Weights!$B$10,AA535*KPI_Weights!$B$11,AB535*KPI_Weights!$B$12,AC535*KPI_Weights!$B$13,AD535*KPI_Weights!$B$14,AE535*KPI_Weights!$B$15,AF535*KPI_Weights!$B$16,AG535*KPI_Weights!$B$17,AH535*KPI_Weights!$B$18))/5)</f>
        <v/>
      </c>
      <c r="AL535" t="str">
        <f t="shared" si="70"/>
        <v/>
      </c>
      <c r="AM535" t="str">
        <f t="shared" si="71"/>
        <v/>
      </c>
      <c r="AN535" t="str">
        <f t="shared" si="72"/>
        <v/>
      </c>
    </row>
    <row r="536" spans="1:40" ht="15" customHeight="1" x14ac:dyDescent="0.2">
      <c r="A536" t="str">
        <f>IF($B536="","",TEXT($B536,"yyyymmdd")&amp;"-"&amp;SUBSTITUTE($F536," ","")&amp;"-"&amp;TEXT(COUNTIF($F$4:F536,$F536),"00"))</f>
        <v/>
      </c>
      <c r="C536" t="str">
        <f t="shared" si="66"/>
        <v/>
      </c>
      <c r="D536" t="str">
        <f t="shared" si="67"/>
        <v/>
      </c>
      <c r="G536" t="str">
        <f>IF(OR($E536="",$F536=""),"",IFERROR(IF($E536=INDEX(Cluster_Master!$A$4:$A$18,MATCH($F536,Cluster_Master!$B$4:$B$18,0)),"OK","CHECK"),"CHECK"))</f>
        <v/>
      </c>
      <c r="H536" t="str">
        <f>IFERROR(INDEX(Cluster_Master!$C$4:$C$18,MATCH($F536,Cluster_Master!$B$4:$B$18,0)),"")</f>
        <v/>
      </c>
      <c r="I536" t="str">
        <f>IFERROR(INDEX(Cluster_Master!$D$4:$D$18,MATCH($F536,Cluster_Master!$B$4:$B$18,0)),"")</f>
        <v/>
      </c>
      <c r="J536" t="str">
        <f>IFERROR(INDEX(Cluster_Master!$E$4:$E$18,MATCH($F536,Cluster_Master!$B$4:$B$18,0)),"")</f>
        <v/>
      </c>
      <c r="K536" t="str">
        <f>IFERROR(INDEX(Cluster_Master!$F$4:$F$18,MATCH($F536,Cluster_Master!$B$4:$B$18,0)),"")</f>
        <v/>
      </c>
      <c r="L536" t="str">
        <f>IFERROR(INDEX(Cluster_Master!$G$4:$G$18,MATCH($F536,Cluster_Master!$B$4:$B$18,0)),"")</f>
        <v/>
      </c>
      <c r="M536" t="str">
        <f>IFERROR(INDEX(Cluster_Master!$H$4:$H$18,MATCH($F536,Cluster_Master!$B$4:$B$18,0)),"")</f>
        <v/>
      </c>
      <c r="AI536" t="str">
        <f t="shared" si="68"/>
        <v/>
      </c>
      <c r="AJ536" t="str">
        <f t="shared" si="69"/>
        <v/>
      </c>
      <c r="AK536" t="str">
        <f>IF(COUNTA(T536:AH536)=0,"",(SUM(T536*KPI_Weights!$B$4,U536*KPI_Weights!$B$5,V536*KPI_Weights!$B$6,W536*KPI_Weights!$B$7,X536*KPI_Weights!$B$8,Y536*KPI_Weights!$B$9,Z536*KPI_Weights!$B$10,AA536*KPI_Weights!$B$11,AB536*KPI_Weights!$B$12,AC536*KPI_Weights!$B$13,AD536*KPI_Weights!$B$14,AE536*KPI_Weights!$B$15,AF536*KPI_Weights!$B$16,AG536*KPI_Weights!$B$17,AH536*KPI_Weights!$B$18))/5)</f>
        <v/>
      </c>
      <c r="AL536" t="str">
        <f t="shared" si="70"/>
        <v/>
      </c>
      <c r="AM536" t="str">
        <f t="shared" si="71"/>
        <v/>
      </c>
      <c r="AN536" t="str">
        <f t="shared" si="72"/>
        <v/>
      </c>
    </row>
    <row r="537" spans="1:40" ht="15" customHeight="1" x14ac:dyDescent="0.2">
      <c r="A537" t="str">
        <f>IF($B537="","",TEXT($B537,"yyyymmdd")&amp;"-"&amp;SUBSTITUTE($F537," ","")&amp;"-"&amp;TEXT(COUNTIF($F$4:F537,$F537),"00"))</f>
        <v/>
      </c>
      <c r="C537" t="str">
        <f t="shared" si="66"/>
        <v/>
      </c>
      <c r="D537" t="str">
        <f t="shared" si="67"/>
        <v/>
      </c>
      <c r="G537" t="str">
        <f>IF(OR($E537="",$F537=""),"",IFERROR(IF($E537=INDEX(Cluster_Master!$A$4:$A$18,MATCH($F537,Cluster_Master!$B$4:$B$18,0)),"OK","CHECK"),"CHECK"))</f>
        <v/>
      </c>
      <c r="H537" t="str">
        <f>IFERROR(INDEX(Cluster_Master!$C$4:$C$18,MATCH($F537,Cluster_Master!$B$4:$B$18,0)),"")</f>
        <v/>
      </c>
      <c r="I537" t="str">
        <f>IFERROR(INDEX(Cluster_Master!$D$4:$D$18,MATCH($F537,Cluster_Master!$B$4:$B$18,0)),"")</f>
        <v/>
      </c>
      <c r="J537" t="str">
        <f>IFERROR(INDEX(Cluster_Master!$E$4:$E$18,MATCH($F537,Cluster_Master!$B$4:$B$18,0)),"")</f>
        <v/>
      </c>
      <c r="K537" t="str">
        <f>IFERROR(INDEX(Cluster_Master!$F$4:$F$18,MATCH($F537,Cluster_Master!$B$4:$B$18,0)),"")</f>
        <v/>
      </c>
      <c r="L537" t="str">
        <f>IFERROR(INDEX(Cluster_Master!$G$4:$G$18,MATCH($F537,Cluster_Master!$B$4:$B$18,0)),"")</f>
        <v/>
      </c>
      <c r="M537" t="str">
        <f>IFERROR(INDEX(Cluster_Master!$H$4:$H$18,MATCH($F537,Cluster_Master!$B$4:$B$18,0)),"")</f>
        <v/>
      </c>
      <c r="AI537" t="str">
        <f t="shared" si="68"/>
        <v/>
      </c>
      <c r="AJ537" t="str">
        <f t="shared" si="69"/>
        <v/>
      </c>
      <c r="AK537" t="str">
        <f>IF(COUNTA(T537:AH537)=0,"",(SUM(T537*KPI_Weights!$B$4,U537*KPI_Weights!$B$5,V537*KPI_Weights!$B$6,W537*KPI_Weights!$B$7,X537*KPI_Weights!$B$8,Y537*KPI_Weights!$B$9,Z537*KPI_Weights!$B$10,AA537*KPI_Weights!$B$11,AB537*KPI_Weights!$B$12,AC537*KPI_Weights!$B$13,AD537*KPI_Weights!$B$14,AE537*KPI_Weights!$B$15,AF537*KPI_Weights!$B$16,AG537*KPI_Weights!$B$17,AH537*KPI_Weights!$B$18))/5)</f>
        <v/>
      </c>
      <c r="AL537" t="str">
        <f t="shared" si="70"/>
        <v/>
      </c>
      <c r="AM537" t="str">
        <f t="shared" si="71"/>
        <v/>
      </c>
      <c r="AN537" t="str">
        <f t="shared" si="72"/>
        <v/>
      </c>
    </row>
    <row r="538" spans="1:40" ht="15" customHeight="1" x14ac:dyDescent="0.2">
      <c r="A538" t="str">
        <f>IF($B538="","",TEXT($B538,"yyyymmdd")&amp;"-"&amp;SUBSTITUTE($F538," ","")&amp;"-"&amp;TEXT(COUNTIF($F$4:F538,$F538),"00"))</f>
        <v/>
      </c>
      <c r="C538" t="str">
        <f t="shared" si="66"/>
        <v/>
      </c>
      <c r="D538" t="str">
        <f t="shared" si="67"/>
        <v/>
      </c>
      <c r="G538" t="str">
        <f>IF(OR($E538="",$F538=""),"",IFERROR(IF($E538=INDEX(Cluster_Master!$A$4:$A$18,MATCH($F538,Cluster_Master!$B$4:$B$18,0)),"OK","CHECK"),"CHECK"))</f>
        <v/>
      </c>
      <c r="H538" t="str">
        <f>IFERROR(INDEX(Cluster_Master!$C$4:$C$18,MATCH($F538,Cluster_Master!$B$4:$B$18,0)),"")</f>
        <v/>
      </c>
      <c r="I538" t="str">
        <f>IFERROR(INDEX(Cluster_Master!$D$4:$D$18,MATCH($F538,Cluster_Master!$B$4:$B$18,0)),"")</f>
        <v/>
      </c>
      <c r="J538" t="str">
        <f>IFERROR(INDEX(Cluster_Master!$E$4:$E$18,MATCH($F538,Cluster_Master!$B$4:$B$18,0)),"")</f>
        <v/>
      </c>
      <c r="K538" t="str">
        <f>IFERROR(INDEX(Cluster_Master!$F$4:$F$18,MATCH($F538,Cluster_Master!$B$4:$B$18,0)),"")</f>
        <v/>
      </c>
      <c r="L538" t="str">
        <f>IFERROR(INDEX(Cluster_Master!$G$4:$G$18,MATCH($F538,Cluster_Master!$B$4:$B$18,0)),"")</f>
        <v/>
      </c>
      <c r="M538" t="str">
        <f>IFERROR(INDEX(Cluster_Master!$H$4:$H$18,MATCH($F538,Cluster_Master!$B$4:$B$18,0)),"")</f>
        <v/>
      </c>
      <c r="AI538" t="str">
        <f t="shared" si="68"/>
        <v/>
      </c>
      <c r="AJ538" t="str">
        <f t="shared" si="69"/>
        <v/>
      </c>
      <c r="AK538" t="str">
        <f>IF(COUNTA(T538:AH538)=0,"",(SUM(T538*KPI_Weights!$B$4,U538*KPI_Weights!$B$5,V538*KPI_Weights!$B$6,W538*KPI_Weights!$B$7,X538*KPI_Weights!$B$8,Y538*KPI_Weights!$B$9,Z538*KPI_Weights!$B$10,AA538*KPI_Weights!$B$11,AB538*KPI_Weights!$B$12,AC538*KPI_Weights!$B$13,AD538*KPI_Weights!$B$14,AE538*KPI_Weights!$B$15,AF538*KPI_Weights!$B$16,AG538*KPI_Weights!$B$17,AH538*KPI_Weights!$B$18))/5)</f>
        <v/>
      </c>
      <c r="AL538" t="str">
        <f t="shared" si="70"/>
        <v/>
      </c>
      <c r="AM538" t="str">
        <f t="shared" si="71"/>
        <v/>
      </c>
      <c r="AN538" t="str">
        <f t="shared" si="72"/>
        <v/>
      </c>
    </row>
    <row r="539" spans="1:40" ht="15" customHeight="1" x14ac:dyDescent="0.2">
      <c r="A539" t="str">
        <f>IF($B539="","",TEXT($B539,"yyyymmdd")&amp;"-"&amp;SUBSTITUTE($F539," ","")&amp;"-"&amp;TEXT(COUNTIF($F$4:F539,$F539),"00"))</f>
        <v/>
      </c>
      <c r="C539" t="str">
        <f t="shared" si="66"/>
        <v/>
      </c>
      <c r="D539" t="str">
        <f t="shared" si="67"/>
        <v/>
      </c>
      <c r="G539" t="str">
        <f>IF(OR($E539="",$F539=""),"",IFERROR(IF($E539=INDEX(Cluster_Master!$A$4:$A$18,MATCH($F539,Cluster_Master!$B$4:$B$18,0)),"OK","CHECK"),"CHECK"))</f>
        <v/>
      </c>
      <c r="H539" t="str">
        <f>IFERROR(INDEX(Cluster_Master!$C$4:$C$18,MATCH($F539,Cluster_Master!$B$4:$B$18,0)),"")</f>
        <v/>
      </c>
      <c r="I539" t="str">
        <f>IFERROR(INDEX(Cluster_Master!$D$4:$D$18,MATCH($F539,Cluster_Master!$B$4:$B$18,0)),"")</f>
        <v/>
      </c>
      <c r="J539" t="str">
        <f>IFERROR(INDEX(Cluster_Master!$E$4:$E$18,MATCH($F539,Cluster_Master!$B$4:$B$18,0)),"")</f>
        <v/>
      </c>
      <c r="K539" t="str">
        <f>IFERROR(INDEX(Cluster_Master!$F$4:$F$18,MATCH($F539,Cluster_Master!$B$4:$B$18,0)),"")</f>
        <v/>
      </c>
      <c r="L539" t="str">
        <f>IFERROR(INDEX(Cluster_Master!$G$4:$G$18,MATCH($F539,Cluster_Master!$B$4:$B$18,0)),"")</f>
        <v/>
      </c>
      <c r="M539" t="str">
        <f>IFERROR(INDEX(Cluster_Master!$H$4:$H$18,MATCH($F539,Cluster_Master!$B$4:$B$18,0)),"")</f>
        <v/>
      </c>
      <c r="AI539" t="str">
        <f t="shared" si="68"/>
        <v/>
      </c>
      <c r="AJ539" t="str">
        <f t="shared" si="69"/>
        <v/>
      </c>
      <c r="AK539" t="str">
        <f>IF(COUNTA(T539:AH539)=0,"",(SUM(T539*KPI_Weights!$B$4,U539*KPI_Weights!$B$5,V539*KPI_Weights!$B$6,W539*KPI_Weights!$B$7,X539*KPI_Weights!$B$8,Y539*KPI_Weights!$B$9,Z539*KPI_Weights!$B$10,AA539*KPI_Weights!$B$11,AB539*KPI_Weights!$B$12,AC539*KPI_Weights!$B$13,AD539*KPI_Weights!$B$14,AE539*KPI_Weights!$B$15,AF539*KPI_Weights!$B$16,AG539*KPI_Weights!$B$17,AH539*KPI_Weights!$B$18))/5)</f>
        <v/>
      </c>
      <c r="AL539" t="str">
        <f t="shared" si="70"/>
        <v/>
      </c>
      <c r="AM539" t="str">
        <f t="shared" si="71"/>
        <v/>
      </c>
      <c r="AN539" t="str">
        <f t="shared" si="72"/>
        <v/>
      </c>
    </row>
    <row r="540" spans="1:40" ht="15" customHeight="1" x14ac:dyDescent="0.2">
      <c r="A540" t="str">
        <f>IF($B540="","",TEXT($B540,"yyyymmdd")&amp;"-"&amp;SUBSTITUTE($F540," ","")&amp;"-"&amp;TEXT(COUNTIF($F$4:F540,$F540),"00"))</f>
        <v/>
      </c>
      <c r="C540" t="str">
        <f t="shared" si="66"/>
        <v/>
      </c>
      <c r="D540" t="str">
        <f t="shared" si="67"/>
        <v/>
      </c>
      <c r="G540" t="str">
        <f>IF(OR($E540="",$F540=""),"",IFERROR(IF($E540=INDEX(Cluster_Master!$A$4:$A$18,MATCH($F540,Cluster_Master!$B$4:$B$18,0)),"OK","CHECK"),"CHECK"))</f>
        <v/>
      </c>
      <c r="H540" t="str">
        <f>IFERROR(INDEX(Cluster_Master!$C$4:$C$18,MATCH($F540,Cluster_Master!$B$4:$B$18,0)),"")</f>
        <v/>
      </c>
      <c r="I540" t="str">
        <f>IFERROR(INDEX(Cluster_Master!$D$4:$D$18,MATCH($F540,Cluster_Master!$B$4:$B$18,0)),"")</f>
        <v/>
      </c>
      <c r="J540" t="str">
        <f>IFERROR(INDEX(Cluster_Master!$E$4:$E$18,MATCH($F540,Cluster_Master!$B$4:$B$18,0)),"")</f>
        <v/>
      </c>
      <c r="K540" t="str">
        <f>IFERROR(INDEX(Cluster_Master!$F$4:$F$18,MATCH($F540,Cluster_Master!$B$4:$B$18,0)),"")</f>
        <v/>
      </c>
      <c r="L540" t="str">
        <f>IFERROR(INDEX(Cluster_Master!$G$4:$G$18,MATCH($F540,Cluster_Master!$B$4:$B$18,0)),"")</f>
        <v/>
      </c>
      <c r="M540" t="str">
        <f>IFERROR(INDEX(Cluster_Master!$H$4:$H$18,MATCH($F540,Cluster_Master!$B$4:$B$18,0)),"")</f>
        <v/>
      </c>
      <c r="AI540" t="str">
        <f t="shared" si="68"/>
        <v/>
      </c>
      <c r="AJ540" t="str">
        <f t="shared" si="69"/>
        <v/>
      </c>
      <c r="AK540" t="str">
        <f>IF(COUNTA(T540:AH540)=0,"",(SUM(T540*KPI_Weights!$B$4,U540*KPI_Weights!$B$5,V540*KPI_Weights!$B$6,W540*KPI_Weights!$B$7,X540*KPI_Weights!$B$8,Y540*KPI_Weights!$B$9,Z540*KPI_Weights!$B$10,AA540*KPI_Weights!$B$11,AB540*KPI_Weights!$B$12,AC540*KPI_Weights!$B$13,AD540*KPI_Weights!$B$14,AE540*KPI_Weights!$B$15,AF540*KPI_Weights!$B$16,AG540*KPI_Weights!$B$17,AH540*KPI_Weights!$B$18))/5)</f>
        <v/>
      </c>
      <c r="AL540" t="str">
        <f t="shared" si="70"/>
        <v/>
      </c>
      <c r="AM540" t="str">
        <f t="shared" si="71"/>
        <v/>
      </c>
      <c r="AN540" t="str">
        <f t="shared" si="72"/>
        <v/>
      </c>
    </row>
    <row r="541" spans="1:40" ht="15" customHeight="1" x14ac:dyDescent="0.2">
      <c r="A541" t="str">
        <f>IF($B541="","",TEXT($B541,"yyyymmdd")&amp;"-"&amp;SUBSTITUTE($F541," ","")&amp;"-"&amp;TEXT(COUNTIF($F$4:F541,$F541),"00"))</f>
        <v/>
      </c>
      <c r="C541" t="str">
        <f t="shared" si="66"/>
        <v/>
      </c>
      <c r="D541" t="str">
        <f t="shared" si="67"/>
        <v/>
      </c>
      <c r="G541" t="str">
        <f>IF(OR($E541="",$F541=""),"",IFERROR(IF($E541=INDEX(Cluster_Master!$A$4:$A$18,MATCH($F541,Cluster_Master!$B$4:$B$18,0)),"OK","CHECK"),"CHECK"))</f>
        <v/>
      </c>
      <c r="H541" t="str">
        <f>IFERROR(INDEX(Cluster_Master!$C$4:$C$18,MATCH($F541,Cluster_Master!$B$4:$B$18,0)),"")</f>
        <v/>
      </c>
      <c r="I541" t="str">
        <f>IFERROR(INDEX(Cluster_Master!$D$4:$D$18,MATCH($F541,Cluster_Master!$B$4:$B$18,0)),"")</f>
        <v/>
      </c>
      <c r="J541" t="str">
        <f>IFERROR(INDEX(Cluster_Master!$E$4:$E$18,MATCH($F541,Cluster_Master!$B$4:$B$18,0)),"")</f>
        <v/>
      </c>
      <c r="K541" t="str">
        <f>IFERROR(INDEX(Cluster_Master!$F$4:$F$18,MATCH($F541,Cluster_Master!$B$4:$B$18,0)),"")</f>
        <v/>
      </c>
      <c r="L541" t="str">
        <f>IFERROR(INDEX(Cluster_Master!$G$4:$G$18,MATCH($F541,Cluster_Master!$B$4:$B$18,0)),"")</f>
        <v/>
      </c>
      <c r="M541" t="str">
        <f>IFERROR(INDEX(Cluster_Master!$H$4:$H$18,MATCH($F541,Cluster_Master!$B$4:$B$18,0)),"")</f>
        <v/>
      </c>
      <c r="AI541" t="str">
        <f t="shared" si="68"/>
        <v/>
      </c>
      <c r="AJ541" t="str">
        <f t="shared" si="69"/>
        <v/>
      </c>
      <c r="AK541" t="str">
        <f>IF(COUNTA(T541:AH541)=0,"",(SUM(T541*KPI_Weights!$B$4,U541*KPI_Weights!$B$5,V541*KPI_Weights!$B$6,W541*KPI_Weights!$B$7,X541*KPI_Weights!$B$8,Y541*KPI_Weights!$B$9,Z541*KPI_Weights!$B$10,AA541*KPI_Weights!$B$11,AB541*KPI_Weights!$B$12,AC541*KPI_Weights!$B$13,AD541*KPI_Weights!$B$14,AE541*KPI_Weights!$B$15,AF541*KPI_Weights!$B$16,AG541*KPI_Weights!$B$17,AH541*KPI_Weights!$B$18))/5)</f>
        <v/>
      </c>
      <c r="AL541" t="str">
        <f t="shared" si="70"/>
        <v/>
      </c>
      <c r="AM541" t="str">
        <f t="shared" si="71"/>
        <v/>
      </c>
      <c r="AN541" t="str">
        <f t="shared" si="72"/>
        <v/>
      </c>
    </row>
    <row r="542" spans="1:40" ht="15" customHeight="1" x14ac:dyDescent="0.2">
      <c r="A542" t="str">
        <f>IF($B542="","",TEXT($B542,"yyyymmdd")&amp;"-"&amp;SUBSTITUTE($F542," ","")&amp;"-"&amp;TEXT(COUNTIF($F$4:F542,$F542),"00"))</f>
        <v/>
      </c>
      <c r="C542" t="str">
        <f t="shared" si="66"/>
        <v/>
      </c>
      <c r="D542" t="str">
        <f t="shared" si="67"/>
        <v/>
      </c>
      <c r="G542" t="str">
        <f>IF(OR($E542="",$F542=""),"",IFERROR(IF($E542=INDEX(Cluster_Master!$A$4:$A$18,MATCH($F542,Cluster_Master!$B$4:$B$18,0)),"OK","CHECK"),"CHECK"))</f>
        <v/>
      </c>
      <c r="H542" t="str">
        <f>IFERROR(INDEX(Cluster_Master!$C$4:$C$18,MATCH($F542,Cluster_Master!$B$4:$B$18,0)),"")</f>
        <v/>
      </c>
      <c r="I542" t="str">
        <f>IFERROR(INDEX(Cluster_Master!$D$4:$D$18,MATCH($F542,Cluster_Master!$B$4:$B$18,0)),"")</f>
        <v/>
      </c>
      <c r="J542" t="str">
        <f>IFERROR(INDEX(Cluster_Master!$E$4:$E$18,MATCH($F542,Cluster_Master!$B$4:$B$18,0)),"")</f>
        <v/>
      </c>
      <c r="K542" t="str">
        <f>IFERROR(INDEX(Cluster_Master!$F$4:$F$18,MATCH($F542,Cluster_Master!$B$4:$B$18,0)),"")</f>
        <v/>
      </c>
      <c r="L542" t="str">
        <f>IFERROR(INDEX(Cluster_Master!$G$4:$G$18,MATCH($F542,Cluster_Master!$B$4:$B$18,0)),"")</f>
        <v/>
      </c>
      <c r="M542" t="str">
        <f>IFERROR(INDEX(Cluster_Master!$H$4:$H$18,MATCH($F542,Cluster_Master!$B$4:$B$18,0)),"")</f>
        <v/>
      </c>
      <c r="AI542" t="str">
        <f t="shared" si="68"/>
        <v/>
      </c>
      <c r="AJ542" t="str">
        <f t="shared" si="69"/>
        <v/>
      </c>
      <c r="AK542" t="str">
        <f>IF(COUNTA(T542:AH542)=0,"",(SUM(T542*KPI_Weights!$B$4,U542*KPI_Weights!$B$5,V542*KPI_Weights!$B$6,W542*KPI_Weights!$B$7,X542*KPI_Weights!$B$8,Y542*KPI_Weights!$B$9,Z542*KPI_Weights!$B$10,AA542*KPI_Weights!$B$11,AB542*KPI_Weights!$B$12,AC542*KPI_Weights!$B$13,AD542*KPI_Weights!$B$14,AE542*KPI_Weights!$B$15,AF542*KPI_Weights!$B$16,AG542*KPI_Weights!$B$17,AH542*KPI_Weights!$B$18))/5)</f>
        <v/>
      </c>
      <c r="AL542" t="str">
        <f t="shared" si="70"/>
        <v/>
      </c>
      <c r="AM542" t="str">
        <f t="shared" si="71"/>
        <v/>
      </c>
      <c r="AN542" t="str">
        <f t="shared" si="72"/>
        <v/>
      </c>
    </row>
    <row r="543" spans="1:40" ht="15" customHeight="1" x14ac:dyDescent="0.2">
      <c r="A543" t="str">
        <f>IF($B543="","",TEXT($B543,"yyyymmdd")&amp;"-"&amp;SUBSTITUTE($F543," ","")&amp;"-"&amp;TEXT(COUNTIF($F$4:F543,$F543),"00"))</f>
        <v/>
      </c>
      <c r="C543" t="str">
        <f t="shared" si="66"/>
        <v/>
      </c>
      <c r="D543" t="str">
        <f t="shared" si="67"/>
        <v/>
      </c>
      <c r="G543" t="str">
        <f>IF(OR($E543="",$F543=""),"",IFERROR(IF($E543=INDEX(Cluster_Master!$A$4:$A$18,MATCH($F543,Cluster_Master!$B$4:$B$18,0)),"OK","CHECK"),"CHECK"))</f>
        <v/>
      </c>
      <c r="H543" t="str">
        <f>IFERROR(INDEX(Cluster_Master!$C$4:$C$18,MATCH($F543,Cluster_Master!$B$4:$B$18,0)),"")</f>
        <v/>
      </c>
      <c r="I543" t="str">
        <f>IFERROR(INDEX(Cluster_Master!$D$4:$D$18,MATCH($F543,Cluster_Master!$B$4:$B$18,0)),"")</f>
        <v/>
      </c>
      <c r="J543" t="str">
        <f>IFERROR(INDEX(Cluster_Master!$E$4:$E$18,MATCH($F543,Cluster_Master!$B$4:$B$18,0)),"")</f>
        <v/>
      </c>
      <c r="K543" t="str">
        <f>IFERROR(INDEX(Cluster_Master!$F$4:$F$18,MATCH($F543,Cluster_Master!$B$4:$B$18,0)),"")</f>
        <v/>
      </c>
      <c r="L543" t="str">
        <f>IFERROR(INDEX(Cluster_Master!$G$4:$G$18,MATCH($F543,Cluster_Master!$B$4:$B$18,0)),"")</f>
        <v/>
      </c>
      <c r="M543" t="str">
        <f>IFERROR(INDEX(Cluster_Master!$H$4:$H$18,MATCH($F543,Cluster_Master!$B$4:$B$18,0)),"")</f>
        <v/>
      </c>
      <c r="AI543" t="str">
        <f t="shared" si="68"/>
        <v/>
      </c>
      <c r="AJ543" t="str">
        <f t="shared" si="69"/>
        <v/>
      </c>
      <c r="AK543" t="str">
        <f>IF(COUNTA(T543:AH543)=0,"",(SUM(T543*KPI_Weights!$B$4,U543*KPI_Weights!$B$5,V543*KPI_Weights!$B$6,W543*KPI_Weights!$B$7,X543*KPI_Weights!$B$8,Y543*KPI_Weights!$B$9,Z543*KPI_Weights!$B$10,AA543*KPI_Weights!$B$11,AB543*KPI_Weights!$B$12,AC543*KPI_Weights!$B$13,AD543*KPI_Weights!$B$14,AE543*KPI_Weights!$B$15,AF543*KPI_Weights!$B$16,AG543*KPI_Weights!$B$17,AH543*KPI_Weights!$B$18))/5)</f>
        <v/>
      </c>
      <c r="AL543" t="str">
        <f t="shared" si="70"/>
        <v/>
      </c>
      <c r="AM543" t="str">
        <f t="shared" si="71"/>
        <v/>
      </c>
      <c r="AN543" t="str">
        <f t="shared" si="72"/>
        <v/>
      </c>
    </row>
    <row r="544" spans="1:40" ht="15" customHeight="1" x14ac:dyDescent="0.2">
      <c r="A544" t="str">
        <f>IF($B544="","",TEXT($B544,"yyyymmdd")&amp;"-"&amp;SUBSTITUTE($F544," ","")&amp;"-"&amp;TEXT(COUNTIF($F$4:F544,$F544),"00"))</f>
        <v/>
      </c>
      <c r="C544" t="str">
        <f t="shared" si="66"/>
        <v/>
      </c>
      <c r="D544" t="str">
        <f t="shared" si="67"/>
        <v/>
      </c>
      <c r="G544" t="str">
        <f>IF(OR($E544="",$F544=""),"",IFERROR(IF($E544=INDEX(Cluster_Master!$A$4:$A$18,MATCH($F544,Cluster_Master!$B$4:$B$18,0)),"OK","CHECK"),"CHECK"))</f>
        <v/>
      </c>
      <c r="H544" t="str">
        <f>IFERROR(INDEX(Cluster_Master!$C$4:$C$18,MATCH($F544,Cluster_Master!$B$4:$B$18,0)),"")</f>
        <v/>
      </c>
      <c r="I544" t="str">
        <f>IFERROR(INDEX(Cluster_Master!$D$4:$D$18,MATCH($F544,Cluster_Master!$B$4:$B$18,0)),"")</f>
        <v/>
      </c>
      <c r="J544" t="str">
        <f>IFERROR(INDEX(Cluster_Master!$E$4:$E$18,MATCH($F544,Cluster_Master!$B$4:$B$18,0)),"")</f>
        <v/>
      </c>
      <c r="K544" t="str">
        <f>IFERROR(INDEX(Cluster_Master!$F$4:$F$18,MATCH($F544,Cluster_Master!$B$4:$B$18,0)),"")</f>
        <v/>
      </c>
      <c r="L544" t="str">
        <f>IFERROR(INDEX(Cluster_Master!$G$4:$G$18,MATCH($F544,Cluster_Master!$B$4:$B$18,0)),"")</f>
        <v/>
      </c>
      <c r="M544" t="str">
        <f>IFERROR(INDEX(Cluster_Master!$H$4:$H$18,MATCH($F544,Cluster_Master!$B$4:$B$18,0)),"")</f>
        <v/>
      </c>
      <c r="AI544" t="str">
        <f t="shared" si="68"/>
        <v/>
      </c>
      <c r="AJ544" t="str">
        <f t="shared" si="69"/>
        <v/>
      </c>
      <c r="AK544" t="str">
        <f>IF(COUNTA(T544:AH544)=0,"",(SUM(T544*KPI_Weights!$B$4,U544*KPI_Weights!$B$5,V544*KPI_Weights!$B$6,W544*KPI_Weights!$B$7,X544*KPI_Weights!$B$8,Y544*KPI_Weights!$B$9,Z544*KPI_Weights!$B$10,AA544*KPI_Weights!$B$11,AB544*KPI_Weights!$B$12,AC544*KPI_Weights!$B$13,AD544*KPI_Weights!$B$14,AE544*KPI_Weights!$B$15,AF544*KPI_Weights!$B$16,AG544*KPI_Weights!$B$17,AH544*KPI_Weights!$B$18))/5)</f>
        <v/>
      </c>
      <c r="AL544" t="str">
        <f t="shared" si="70"/>
        <v/>
      </c>
      <c r="AM544" t="str">
        <f t="shared" si="71"/>
        <v/>
      </c>
      <c r="AN544" t="str">
        <f t="shared" si="72"/>
        <v/>
      </c>
    </row>
    <row r="545" spans="1:40" ht="15" customHeight="1" x14ac:dyDescent="0.2">
      <c r="A545" t="str">
        <f>IF($B545="","",TEXT($B545,"yyyymmdd")&amp;"-"&amp;SUBSTITUTE($F545," ","")&amp;"-"&amp;TEXT(COUNTIF($F$4:F545,$F545),"00"))</f>
        <v/>
      </c>
      <c r="C545" t="str">
        <f t="shared" si="66"/>
        <v/>
      </c>
      <c r="D545" t="str">
        <f t="shared" si="67"/>
        <v/>
      </c>
      <c r="G545" t="str">
        <f>IF(OR($E545="",$F545=""),"",IFERROR(IF($E545=INDEX(Cluster_Master!$A$4:$A$18,MATCH($F545,Cluster_Master!$B$4:$B$18,0)),"OK","CHECK"),"CHECK"))</f>
        <v/>
      </c>
      <c r="H545" t="str">
        <f>IFERROR(INDEX(Cluster_Master!$C$4:$C$18,MATCH($F545,Cluster_Master!$B$4:$B$18,0)),"")</f>
        <v/>
      </c>
      <c r="I545" t="str">
        <f>IFERROR(INDEX(Cluster_Master!$D$4:$D$18,MATCH($F545,Cluster_Master!$B$4:$B$18,0)),"")</f>
        <v/>
      </c>
      <c r="J545" t="str">
        <f>IFERROR(INDEX(Cluster_Master!$E$4:$E$18,MATCH($F545,Cluster_Master!$B$4:$B$18,0)),"")</f>
        <v/>
      </c>
      <c r="K545" t="str">
        <f>IFERROR(INDEX(Cluster_Master!$F$4:$F$18,MATCH($F545,Cluster_Master!$B$4:$B$18,0)),"")</f>
        <v/>
      </c>
      <c r="L545" t="str">
        <f>IFERROR(INDEX(Cluster_Master!$G$4:$G$18,MATCH($F545,Cluster_Master!$B$4:$B$18,0)),"")</f>
        <v/>
      </c>
      <c r="M545" t="str">
        <f>IFERROR(INDEX(Cluster_Master!$H$4:$H$18,MATCH($F545,Cluster_Master!$B$4:$B$18,0)),"")</f>
        <v/>
      </c>
      <c r="AI545" t="str">
        <f t="shared" si="68"/>
        <v/>
      </c>
      <c r="AJ545" t="str">
        <f t="shared" si="69"/>
        <v/>
      </c>
      <c r="AK545" t="str">
        <f>IF(COUNTA(T545:AH545)=0,"",(SUM(T545*KPI_Weights!$B$4,U545*KPI_Weights!$B$5,V545*KPI_Weights!$B$6,W545*KPI_Weights!$B$7,X545*KPI_Weights!$B$8,Y545*KPI_Weights!$B$9,Z545*KPI_Weights!$B$10,AA545*KPI_Weights!$B$11,AB545*KPI_Weights!$B$12,AC545*KPI_Weights!$B$13,AD545*KPI_Weights!$B$14,AE545*KPI_Weights!$B$15,AF545*KPI_Weights!$B$16,AG545*KPI_Weights!$B$17,AH545*KPI_Weights!$B$18))/5)</f>
        <v/>
      </c>
      <c r="AL545" t="str">
        <f t="shared" si="70"/>
        <v/>
      </c>
      <c r="AM545" t="str">
        <f t="shared" si="71"/>
        <v/>
      </c>
      <c r="AN545" t="str">
        <f t="shared" si="72"/>
        <v/>
      </c>
    </row>
    <row r="546" spans="1:40" ht="15" customHeight="1" x14ac:dyDescent="0.2">
      <c r="A546" t="str">
        <f>IF($B546="","",TEXT($B546,"yyyymmdd")&amp;"-"&amp;SUBSTITUTE($F546," ","")&amp;"-"&amp;TEXT(COUNTIF($F$4:F546,$F546),"00"))</f>
        <v/>
      </c>
      <c r="C546" t="str">
        <f t="shared" si="66"/>
        <v/>
      </c>
      <c r="D546" t="str">
        <f t="shared" si="67"/>
        <v/>
      </c>
      <c r="G546" t="str">
        <f>IF(OR($E546="",$F546=""),"",IFERROR(IF($E546=INDEX(Cluster_Master!$A$4:$A$18,MATCH($F546,Cluster_Master!$B$4:$B$18,0)),"OK","CHECK"),"CHECK"))</f>
        <v/>
      </c>
      <c r="H546" t="str">
        <f>IFERROR(INDEX(Cluster_Master!$C$4:$C$18,MATCH($F546,Cluster_Master!$B$4:$B$18,0)),"")</f>
        <v/>
      </c>
      <c r="I546" t="str">
        <f>IFERROR(INDEX(Cluster_Master!$D$4:$D$18,MATCH($F546,Cluster_Master!$B$4:$B$18,0)),"")</f>
        <v/>
      </c>
      <c r="J546" t="str">
        <f>IFERROR(INDEX(Cluster_Master!$E$4:$E$18,MATCH($F546,Cluster_Master!$B$4:$B$18,0)),"")</f>
        <v/>
      </c>
      <c r="K546" t="str">
        <f>IFERROR(INDEX(Cluster_Master!$F$4:$F$18,MATCH($F546,Cluster_Master!$B$4:$B$18,0)),"")</f>
        <v/>
      </c>
      <c r="L546" t="str">
        <f>IFERROR(INDEX(Cluster_Master!$G$4:$G$18,MATCH($F546,Cluster_Master!$B$4:$B$18,0)),"")</f>
        <v/>
      </c>
      <c r="M546" t="str">
        <f>IFERROR(INDEX(Cluster_Master!$H$4:$H$18,MATCH($F546,Cluster_Master!$B$4:$B$18,0)),"")</f>
        <v/>
      </c>
      <c r="AI546" t="str">
        <f t="shared" si="68"/>
        <v/>
      </c>
      <c r="AJ546" t="str">
        <f t="shared" si="69"/>
        <v/>
      </c>
      <c r="AK546" t="str">
        <f>IF(COUNTA(T546:AH546)=0,"",(SUM(T546*KPI_Weights!$B$4,U546*KPI_Weights!$B$5,V546*KPI_Weights!$B$6,W546*KPI_Weights!$B$7,X546*KPI_Weights!$B$8,Y546*KPI_Weights!$B$9,Z546*KPI_Weights!$B$10,AA546*KPI_Weights!$B$11,AB546*KPI_Weights!$B$12,AC546*KPI_Weights!$B$13,AD546*KPI_Weights!$B$14,AE546*KPI_Weights!$B$15,AF546*KPI_Weights!$B$16,AG546*KPI_Weights!$B$17,AH546*KPI_Weights!$B$18))/5)</f>
        <v/>
      </c>
      <c r="AL546" t="str">
        <f t="shared" si="70"/>
        <v/>
      </c>
      <c r="AM546" t="str">
        <f t="shared" si="71"/>
        <v/>
      </c>
      <c r="AN546" t="str">
        <f t="shared" si="72"/>
        <v/>
      </c>
    </row>
    <row r="547" spans="1:40" ht="15" customHeight="1" x14ac:dyDescent="0.2">
      <c r="A547" t="str">
        <f>IF($B547="","",TEXT($B547,"yyyymmdd")&amp;"-"&amp;SUBSTITUTE($F547," ","")&amp;"-"&amp;TEXT(COUNTIF($F$4:F547,$F547),"00"))</f>
        <v/>
      </c>
      <c r="C547" t="str">
        <f t="shared" si="66"/>
        <v/>
      </c>
      <c r="D547" t="str">
        <f t="shared" si="67"/>
        <v/>
      </c>
      <c r="G547" t="str">
        <f>IF(OR($E547="",$F547=""),"",IFERROR(IF($E547=INDEX(Cluster_Master!$A$4:$A$18,MATCH($F547,Cluster_Master!$B$4:$B$18,0)),"OK","CHECK"),"CHECK"))</f>
        <v/>
      </c>
      <c r="H547" t="str">
        <f>IFERROR(INDEX(Cluster_Master!$C$4:$C$18,MATCH($F547,Cluster_Master!$B$4:$B$18,0)),"")</f>
        <v/>
      </c>
      <c r="I547" t="str">
        <f>IFERROR(INDEX(Cluster_Master!$D$4:$D$18,MATCH($F547,Cluster_Master!$B$4:$B$18,0)),"")</f>
        <v/>
      </c>
      <c r="J547" t="str">
        <f>IFERROR(INDEX(Cluster_Master!$E$4:$E$18,MATCH($F547,Cluster_Master!$B$4:$B$18,0)),"")</f>
        <v/>
      </c>
      <c r="K547" t="str">
        <f>IFERROR(INDEX(Cluster_Master!$F$4:$F$18,MATCH($F547,Cluster_Master!$B$4:$B$18,0)),"")</f>
        <v/>
      </c>
      <c r="L547" t="str">
        <f>IFERROR(INDEX(Cluster_Master!$G$4:$G$18,MATCH($F547,Cluster_Master!$B$4:$B$18,0)),"")</f>
        <v/>
      </c>
      <c r="M547" t="str">
        <f>IFERROR(INDEX(Cluster_Master!$H$4:$H$18,MATCH($F547,Cluster_Master!$B$4:$B$18,0)),"")</f>
        <v/>
      </c>
      <c r="AI547" t="str">
        <f t="shared" si="68"/>
        <v/>
      </c>
      <c r="AJ547" t="str">
        <f t="shared" si="69"/>
        <v/>
      </c>
      <c r="AK547" t="str">
        <f>IF(COUNTA(T547:AH547)=0,"",(SUM(T547*KPI_Weights!$B$4,U547*KPI_Weights!$B$5,V547*KPI_Weights!$B$6,W547*KPI_Weights!$B$7,X547*KPI_Weights!$B$8,Y547*KPI_Weights!$B$9,Z547*KPI_Weights!$B$10,AA547*KPI_Weights!$B$11,AB547*KPI_Weights!$B$12,AC547*KPI_Weights!$B$13,AD547*KPI_Weights!$B$14,AE547*KPI_Weights!$B$15,AF547*KPI_Weights!$B$16,AG547*KPI_Weights!$B$17,AH547*KPI_Weights!$B$18))/5)</f>
        <v/>
      </c>
      <c r="AL547" t="str">
        <f t="shared" si="70"/>
        <v/>
      </c>
      <c r="AM547" t="str">
        <f t="shared" si="71"/>
        <v/>
      </c>
      <c r="AN547" t="str">
        <f t="shared" si="72"/>
        <v/>
      </c>
    </row>
    <row r="548" spans="1:40" ht="15" customHeight="1" x14ac:dyDescent="0.2">
      <c r="A548" t="str">
        <f>IF($B548="","",TEXT($B548,"yyyymmdd")&amp;"-"&amp;SUBSTITUTE($F548," ","")&amp;"-"&amp;TEXT(COUNTIF($F$4:F548,$F548),"00"))</f>
        <v/>
      </c>
      <c r="C548" t="str">
        <f t="shared" si="66"/>
        <v/>
      </c>
      <c r="D548" t="str">
        <f t="shared" si="67"/>
        <v/>
      </c>
      <c r="G548" t="str">
        <f>IF(OR($E548="",$F548=""),"",IFERROR(IF($E548=INDEX(Cluster_Master!$A$4:$A$18,MATCH($F548,Cluster_Master!$B$4:$B$18,0)),"OK","CHECK"),"CHECK"))</f>
        <v/>
      </c>
      <c r="H548" t="str">
        <f>IFERROR(INDEX(Cluster_Master!$C$4:$C$18,MATCH($F548,Cluster_Master!$B$4:$B$18,0)),"")</f>
        <v/>
      </c>
      <c r="I548" t="str">
        <f>IFERROR(INDEX(Cluster_Master!$D$4:$D$18,MATCH($F548,Cluster_Master!$B$4:$B$18,0)),"")</f>
        <v/>
      </c>
      <c r="J548" t="str">
        <f>IFERROR(INDEX(Cluster_Master!$E$4:$E$18,MATCH($F548,Cluster_Master!$B$4:$B$18,0)),"")</f>
        <v/>
      </c>
      <c r="K548" t="str">
        <f>IFERROR(INDEX(Cluster_Master!$F$4:$F$18,MATCH($F548,Cluster_Master!$B$4:$B$18,0)),"")</f>
        <v/>
      </c>
      <c r="L548" t="str">
        <f>IFERROR(INDEX(Cluster_Master!$G$4:$G$18,MATCH($F548,Cluster_Master!$B$4:$B$18,0)),"")</f>
        <v/>
      </c>
      <c r="M548" t="str">
        <f>IFERROR(INDEX(Cluster_Master!$H$4:$H$18,MATCH($F548,Cluster_Master!$B$4:$B$18,0)),"")</f>
        <v/>
      </c>
      <c r="AI548" t="str">
        <f t="shared" si="68"/>
        <v/>
      </c>
      <c r="AJ548" t="str">
        <f t="shared" si="69"/>
        <v/>
      </c>
      <c r="AK548" t="str">
        <f>IF(COUNTA(T548:AH548)=0,"",(SUM(T548*KPI_Weights!$B$4,U548*KPI_Weights!$B$5,V548*KPI_Weights!$B$6,W548*KPI_Weights!$B$7,X548*KPI_Weights!$B$8,Y548*KPI_Weights!$B$9,Z548*KPI_Weights!$B$10,AA548*KPI_Weights!$B$11,AB548*KPI_Weights!$B$12,AC548*KPI_Weights!$B$13,AD548*KPI_Weights!$B$14,AE548*KPI_Weights!$B$15,AF548*KPI_Weights!$B$16,AG548*KPI_Weights!$B$17,AH548*KPI_Weights!$B$18))/5)</f>
        <v/>
      </c>
      <c r="AL548" t="str">
        <f t="shared" si="70"/>
        <v/>
      </c>
      <c r="AM548" t="str">
        <f t="shared" si="71"/>
        <v/>
      </c>
      <c r="AN548" t="str">
        <f t="shared" si="72"/>
        <v/>
      </c>
    </row>
    <row r="549" spans="1:40" ht="15" customHeight="1" x14ac:dyDescent="0.2">
      <c r="A549" t="str">
        <f>IF($B549="","",TEXT($B549,"yyyymmdd")&amp;"-"&amp;SUBSTITUTE($F549," ","")&amp;"-"&amp;TEXT(COUNTIF($F$4:F549,$F549),"00"))</f>
        <v/>
      </c>
      <c r="C549" t="str">
        <f t="shared" si="66"/>
        <v/>
      </c>
      <c r="D549" t="str">
        <f t="shared" si="67"/>
        <v/>
      </c>
      <c r="G549" t="str">
        <f>IF(OR($E549="",$F549=""),"",IFERROR(IF($E549=INDEX(Cluster_Master!$A$4:$A$18,MATCH($F549,Cluster_Master!$B$4:$B$18,0)),"OK","CHECK"),"CHECK"))</f>
        <v/>
      </c>
      <c r="H549" t="str">
        <f>IFERROR(INDEX(Cluster_Master!$C$4:$C$18,MATCH($F549,Cluster_Master!$B$4:$B$18,0)),"")</f>
        <v/>
      </c>
      <c r="I549" t="str">
        <f>IFERROR(INDEX(Cluster_Master!$D$4:$D$18,MATCH($F549,Cluster_Master!$B$4:$B$18,0)),"")</f>
        <v/>
      </c>
      <c r="J549" t="str">
        <f>IFERROR(INDEX(Cluster_Master!$E$4:$E$18,MATCH($F549,Cluster_Master!$B$4:$B$18,0)),"")</f>
        <v/>
      </c>
      <c r="K549" t="str">
        <f>IFERROR(INDEX(Cluster_Master!$F$4:$F$18,MATCH($F549,Cluster_Master!$B$4:$B$18,0)),"")</f>
        <v/>
      </c>
      <c r="L549" t="str">
        <f>IFERROR(INDEX(Cluster_Master!$G$4:$G$18,MATCH($F549,Cluster_Master!$B$4:$B$18,0)),"")</f>
        <v/>
      </c>
      <c r="M549" t="str">
        <f>IFERROR(INDEX(Cluster_Master!$H$4:$H$18,MATCH($F549,Cluster_Master!$B$4:$B$18,0)),"")</f>
        <v/>
      </c>
      <c r="AI549" t="str">
        <f t="shared" si="68"/>
        <v/>
      </c>
      <c r="AJ549" t="str">
        <f t="shared" si="69"/>
        <v/>
      </c>
      <c r="AK549" t="str">
        <f>IF(COUNTA(T549:AH549)=0,"",(SUM(T549*KPI_Weights!$B$4,U549*KPI_Weights!$B$5,V549*KPI_Weights!$B$6,W549*KPI_Weights!$B$7,X549*KPI_Weights!$B$8,Y549*KPI_Weights!$B$9,Z549*KPI_Weights!$B$10,AA549*KPI_Weights!$B$11,AB549*KPI_Weights!$B$12,AC549*KPI_Weights!$B$13,AD549*KPI_Weights!$B$14,AE549*KPI_Weights!$B$15,AF549*KPI_Weights!$B$16,AG549*KPI_Weights!$B$17,AH549*KPI_Weights!$B$18))/5)</f>
        <v/>
      </c>
      <c r="AL549" t="str">
        <f t="shared" si="70"/>
        <v/>
      </c>
      <c r="AM549" t="str">
        <f t="shared" si="71"/>
        <v/>
      </c>
      <c r="AN549" t="str">
        <f t="shared" si="72"/>
        <v/>
      </c>
    </row>
    <row r="550" spans="1:40" ht="15" customHeight="1" x14ac:dyDescent="0.2">
      <c r="A550" t="str">
        <f>IF($B550="","",TEXT($B550,"yyyymmdd")&amp;"-"&amp;SUBSTITUTE($F550," ","")&amp;"-"&amp;TEXT(COUNTIF($F$4:F550,$F550),"00"))</f>
        <v/>
      </c>
      <c r="C550" t="str">
        <f t="shared" si="66"/>
        <v/>
      </c>
      <c r="D550" t="str">
        <f t="shared" si="67"/>
        <v/>
      </c>
      <c r="G550" t="str">
        <f>IF(OR($E550="",$F550=""),"",IFERROR(IF($E550=INDEX(Cluster_Master!$A$4:$A$18,MATCH($F550,Cluster_Master!$B$4:$B$18,0)),"OK","CHECK"),"CHECK"))</f>
        <v/>
      </c>
      <c r="H550" t="str">
        <f>IFERROR(INDEX(Cluster_Master!$C$4:$C$18,MATCH($F550,Cluster_Master!$B$4:$B$18,0)),"")</f>
        <v/>
      </c>
      <c r="I550" t="str">
        <f>IFERROR(INDEX(Cluster_Master!$D$4:$D$18,MATCH($F550,Cluster_Master!$B$4:$B$18,0)),"")</f>
        <v/>
      </c>
      <c r="J550" t="str">
        <f>IFERROR(INDEX(Cluster_Master!$E$4:$E$18,MATCH($F550,Cluster_Master!$B$4:$B$18,0)),"")</f>
        <v/>
      </c>
      <c r="K550" t="str">
        <f>IFERROR(INDEX(Cluster_Master!$F$4:$F$18,MATCH($F550,Cluster_Master!$B$4:$B$18,0)),"")</f>
        <v/>
      </c>
      <c r="L550" t="str">
        <f>IFERROR(INDEX(Cluster_Master!$G$4:$G$18,MATCH($F550,Cluster_Master!$B$4:$B$18,0)),"")</f>
        <v/>
      </c>
      <c r="M550" t="str">
        <f>IFERROR(INDEX(Cluster_Master!$H$4:$H$18,MATCH($F550,Cluster_Master!$B$4:$B$18,0)),"")</f>
        <v/>
      </c>
      <c r="AI550" t="str">
        <f t="shared" si="68"/>
        <v/>
      </c>
      <c r="AJ550" t="str">
        <f t="shared" si="69"/>
        <v/>
      </c>
      <c r="AK550" t="str">
        <f>IF(COUNTA(T550:AH550)=0,"",(SUM(T550*KPI_Weights!$B$4,U550*KPI_Weights!$B$5,V550*KPI_Weights!$B$6,W550*KPI_Weights!$B$7,X550*KPI_Weights!$B$8,Y550*KPI_Weights!$B$9,Z550*KPI_Weights!$B$10,AA550*KPI_Weights!$B$11,AB550*KPI_Weights!$B$12,AC550*KPI_Weights!$B$13,AD550*KPI_Weights!$B$14,AE550*KPI_Weights!$B$15,AF550*KPI_Weights!$B$16,AG550*KPI_Weights!$B$17,AH550*KPI_Weights!$B$18))/5)</f>
        <v/>
      </c>
      <c r="AL550" t="str">
        <f t="shared" si="70"/>
        <v/>
      </c>
      <c r="AM550" t="str">
        <f t="shared" si="71"/>
        <v/>
      </c>
      <c r="AN550" t="str">
        <f t="shared" si="72"/>
        <v/>
      </c>
    </row>
    <row r="551" spans="1:40" ht="15" customHeight="1" x14ac:dyDescent="0.2">
      <c r="A551" t="str">
        <f>IF($B551="","",TEXT($B551,"yyyymmdd")&amp;"-"&amp;SUBSTITUTE($F551," ","")&amp;"-"&amp;TEXT(COUNTIF($F$4:F551,$F551),"00"))</f>
        <v/>
      </c>
      <c r="C551" t="str">
        <f t="shared" si="66"/>
        <v/>
      </c>
      <c r="D551" t="str">
        <f t="shared" si="67"/>
        <v/>
      </c>
      <c r="G551" t="str">
        <f>IF(OR($E551="",$F551=""),"",IFERROR(IF($E551=INDEX(Cluster_Master!$A$4:$A$18,MATCH($F551,Cluster_Master!$B$4:$B$18,0)),"OK","CHECK"),"CHECK"))</f>
        <v/>
      </c>
      <c r="H551" t="str">
        <f>IFERROR(INDEX(Cluster_Master!$C$4:$C$18,MATCH($F551,Cluster_Master!$B$4:$B$18,0)),"")</f>
        <v/>
      </c>
      <c r="I551" t="str">
        <f>IFERROR(INDEX(Cluster_Master!$D$4:$D$18,MATCH($F551,Cluster_Master!$B$4:$B$18,0)),"")</f>
        <v/>
      </c>
      <c r="J551" t="str">
        <f>IFERROR(INDEX(Cluster_Master!$E$4:$E$18,MATCH($F551,Cluster_Master!$B$4:$B$18,0)),"")</f>
        <v/>
      </c>
      <c r="K551" t="str">
        <f>IFERROR(INDEX(Cluster_Master!$F$4:$F$18,MATCH($F551,Cluster_Master!$B$4:$B$18,0)),"")</f>
        <v/>
      </c>
      <c r="L551" t="str">
        <f>IFERROR(INDEX(Cluster_Master!$G$4:$G$18,MATCH($F551,Cluster_Master!$B$4:$B$18,0)),"")</f>
        <v/>
      </c>
      <c r="M551" t="str">
        <f>IFERROR(INDEX(Cluster_Master!$H$4:$H$18,MATCH($F551,Cluster_Master!$B$4:$B$18,0)),"")</f>
        <v/>
      </c>
      <c r="AI551" t="str">
        <f t="shared" si="68"/>
        <v/>
      </c>
      <c r="AJ551" t="str">
        <f t="shared" si="69"/>
        <v/>
      </c>
      <c r="AK551" t="str">
        <f>IF(COUNTA(T551:AH551)=0,"",(SUM(T551*KPI_Weights!$B$4,U551*KPI_Weights!$B$5,V551*KPI_Weights!$B$6,W551*KPI_Weights!$B$7,X551*KPI_Weights!$B$8,Y551*KPI_Weights!$B$9,Z551*KPI_Weights!$B$10,AA551*KPI_Weights!$B$11,AB551*KPI_Weights!$B$12,AC551*KPI_Weights!$B$13,AD551*KPI_Weights!$B$14,AE551*KPI_Weights!$B$15,AF551*KPI_Weights!$B$16,AG551*KPI_Weights!$B$17,AH551*KPI_Weights!$B$18))/5)</f>
        <v/>
      </c>
      <c r="AL551" t="str">
        <f t="shared" si="70"/>
        <v/>
      </c>
      <c r="AM551" t="str">
        <f t="shared" si="71"/>
        <v/>
      </c>
      <c r="AN551" t="str">
        <f t="shared" si="72"/>
        <v/>
      </c>
    </row>
    <row r="552" spans="1:40" ht="15" customHeight="1" x14ac:dyDescent="0.2">
      <c r="A552" t="str">
        <f>IF($B552="","",TEXT($B552,"yyyymmdd")&amp;"-"&amp;SUBSTITUTE($F552," ","")&amp;"-"&amp;TEXT(COUNTIF($F$4:F552,$F552),"00"))</f>
        <v/>
      </c>
      <c r="C552" t="str">
        <f t="shared" si="66"/>
        <v/>
      </c>
      <c r="D552" t="str">
        <f t="shared" si="67"/>
        <v/>
      </c>
      <c r="G552" t="str">
        <f>IF(OR($E552="",$F552=""),"",IFERROR(IF($E552=INDEX(Cluster_Master!$A$4:$A$18,MATCH($F552,Cluster_Master!$B$4:$B$18,0)),"OK","CHECK"),"CHECK"))</f>
        <v/>
      </c>
      <c r="H552" t="str">
        <f>IFERROR(INDEX(Cluster_Master!$C$4:$C$18,MATCH($F552,Cluster_Master!$B$4:$B$18,0)),"")</f>
        <v/>
      </c>
      <c r="I552" t="str">
        <f>IFERROR(INDEX(Cluster_Master!$D$4:$D$18,MATCH($F552,Cluster_Master!$B$4:$B$18,0)),"")</f>
        <v/>
      </c>
      <c r="J552" t="str">
        <f>IFERROR(INDEX(Cluster_Master!$E$4:$E$18,MATCH($F552,Cluster_Master!$B$4:$B$18,0)),"")</f>
        <v/>
      </c>
      <c r="K552" t="str">
        <f>IFERROR(INDEX(Cluster_Master!$F$4:$F$18,MATCH($F552,Cluster_Master!$B$4:$B$18,0)),"")</f>
        <v/>
      </c>
      <c r="L552" t="str">
        <f>IFERROR(INDEX(Cluster_Master!$G$4:$G$18,MATCH($F552,Cluster_Master!$B$4:$B$18,0)),"")</f>
        <v/>
      </c>
      <c r="M552" t="str">
        <f>IFERROR(INDEX(Cluster_Master!$H$4:$H$18,MATCH($F552,Cluster_Master!$B$4:$B$18,0)),"")</f>
        <v/>
      </c>
      <c r="AI552" t="str">
        <f t="shared" si="68"/>
        <v/>
      </c>
      <c r="AJ552" t="str">
        <f t="shared" si="69"/>
        <v/>
      </c>
      <c r="AK552" t="str">
        <f>IF(COUNTA(T552:AH552)=0,"",(SUM(T552*KPI_Weights!$B$4,U552*KPI_Weights!$B$5,V552*KPI_Weights!$B$6,W552*KPI_Weights!$B$7,X552*KPI_Weights!$B$8,Y552*KPI_Weights!$B$9,Z552*KPI_Weights!$B$10,AA552*KPI_Weights!$B$11,AB552*KPI_Weights!$B$12,AC552*KPI_Weights!$B$13,AD552*KPI_Weights!$B$14,AE552*KPI_Weights!$B$15,AF552*KPI_Weights!$B$16,AG552*KPI_Weights!$B$17,AH552*KPI_Weights!$B$18))/5)</f>
        <v/>
      </c>
      <c r="AL552" t="str">
        <f t="shared" si="70"/>
        <v/>
      </c>
      <c r="AM552" t="str">
        <f t="shared" si="71"/>
        <v/>
      </c>
      <c r="AN552" t="str">
        <f t="shared" si="72"/>
        <v/>
      </c>
    </row>
    <row r="553" spans="1:40" ht="15" customHeight="1" x14ac:dyDescent="0.2">
      <c r="A553" t="str">
        <f>IF($B553="","",TEXT($B553,"yyyymmdd")&amp;"-"&amp;SUBSTITUTE($F553," ","")&amp;"-"&amp;TEXT(COUNTIF($F$4:F553,$F553),"00"))</f>
        <v/>
      </c>
      <c r="C553" t="str">
        <f t="shared" si="66"/>
        <v/>
      </c>
      <c r="D553" t="str">
        <f t="shared" si="67"/>
        <v/>
      </c>
      <c r="G553" t="str">
        <f>IF(OR($E553="",$F553=""),"",IFERROR(IF($E553=INDEX(Cluster_Master!$A$4:$A$18,MATCH($F553,Cluster_Master!$B$4:$B$18,0)),"OK","CHECK"),"CHECK"))</f>
        <v/>
      </c>
      <c r="H553" t="str">
        <f>IFERROR(INDEX(Cluster_Master!$C$4:$C$18,MATCH($F553,Cluster_Master!$B$4:$B$18,0)),"")</f>
        <v/>
      </c>
      <c r="I553" t="str">
        <f>IFERROR(INDEX(Cluster_Master!$D$4:$D$18,MATCH($F553,Cluster_Master!$B$4:$B$18,0)),"")</f>
        <v/>
      </c>
      <c r="J553" t="str">
        <f>IFERROR(INDEX(Cluster_Master!$E$4:$E$18,MATCH($F553,Cluster_Master!$B$4:$B$18,0)),"")</f>
        <v/>
      </c>
      <c r="K553" t="str">
        <f>IFERROR(INDEX(Cluster_Master!$F$4:$F$18,MATCH($F553,Cluster_Master!$B$4:$B$18,0)),"")</f>
        <v/>
      </c>
      <c r="L553" t="str">
        <f>IFERROR(INDEX(Cluster_Master!$G$4:$G$18,MATCH($F553,Cluster_Master!$B$4:$B$18,0)),"")</f>
        <v/>
      </c>
      <c r="M553" t="str">
        <f>IFERROR(INDEX(Cluster_Master!$H$4:$H$18,MATCH($F553,Cluster_Master!$B$4:$B$18,0)),"")</f>
        <v/>
      </c>
      <c r="AI553" t="str">
        <f t="shared" si="68"/>
        <v/>
      </c>
      <c r="AJ553" t="str">
        <f t="shared" si="69"/>
        <v/>
      </c>
      <c r="AK553" t="str">
        <f>IF(COUNTA(T553:AH553)=0,"",(SUM(T553*KPI_Weights!$B$4,U553*KPI_Weights!$B$5,V553*KPI_Weights!$B$6,W553*KPI_Weights!$B$7,X553*KPI_Weights!$B$8,Y553*KPI_Weights!$B$9,Z553*KPI_Weights!$B$10,AA553*KPI_Weights!$B$11,AB553*KPI_Weights!$B$12,AC553*KPI_Weights!$B$13,AD553*KPI_Weights!$B$14,AE553*KPI_Weights!$B$15,AF553*KPI_Weights!$B$16,AG553*KPI_Weights!$B$17,AH553*KPI_Weights!$B$18))/5)</f>
        <v/>
      </c>
      <c r="AL553" t="str">
        <f t="shared" si="70"/>
        <v/>
      </c>
      <c r="AM553" t="str">
        <f t="shared" si="71"/>
        <v/>
      </c>
      <c r="AN553" t="str">
        <f t="shared" si="72"/>
        <v/>
      </c>
    </row>
    <row r="554" spans="1:40" ht="15" customHeight="1" x14ac:dyDescent="0.2">
      <c r="A554" t="str">
        <f>IF($B554="","",TEXT($B554,"yyyymmdd")&amp;"-"&amp;SUBSTITUTE($F554," ","")&amp;"-"&amp;TEXT(COUNTIF($F$4:F554,$F554),"00"))</f>
        <v/>
      </c>
      <c r="C554" t="str">
        <f t="shared" si="66"/>
        <v/>
      </c>
      <c r="D554" t="str">
        <f t="shared" si="67"/>
        <v/>
      </c>
      <c r="G554" t="str">
        <f>IF(OR($E554="",$F554=""),"",IFERROR(IF($E554=INDEX(Cluster_Master!$A$4:$A$18,MATCH($F554,Cluster_Master!$B$4:$B$18,0)),"OK","CHECK"),"CHECK"))</f>
        <v/>
      </c>
      <c r="H554" t="str">
        <f>IFERROR(INDEX(Cluster_Master!$C$4:$C$18,MATCH($F554,Cluster_Master!$B$4:$B$18,0)),"")</f>
        <v/>
      </c>
      <c r="I554" t="str">
        <f>IFERROR(INDEX(Cluster_Master!$D$4:$D$18,MATCH($F554,Cluster_Master!$B$4:$B$18,0)),"")</f>
        <v/>
      </c>
      <c r="J554" t="str">
        <f>IFERROR(INDEX(Cluster_Master!$E$4:$E$18,MATCH($F554,Cluster_Master!$B$4:$B$18,0)),"")</f>
        <v/>
      </c>
      <c r="K554" t="str">
        <f>IFERROR(INDEX(Cluster_Master!$F$4:$F$18,MATCH($F554,Cluster_Master!$B$4:$B$18,0)),"")</f>
        <v/>
      </c>
      <c r="L554" t="str">
        <f>IFERROR(INDEX(Cluster_Master!$G$4:$G$18,MATCH($F554,Cluster_Master!$B$4:$B$18,0)),"")</f>
        <v/>
      </c>
      <c r="M554" t="str">
        <f>IFERROR(INDEX(Cluster_Master!$H$4:$H$18,MATCH($F554,Cluster_Master!$B$4:$B$18,0)),"")</f>
        <v/>
      </c>
      <c r="AI554" t="str">
        <f t="shared" si="68"/>
        <v/>
      </c>
      <c r="AJ554" t="str">
        <f t="shared" si="69"/>
        <v/>
      </c>
      <c r="AK554" t="str">
        <f>IF(COUNTA(T554:AH554)=0,"",(SUM(T554*KPI_Weights!$B$4,U554*KPI_Weights!$B$5,V554*KPI_Weights!$B$6,W554*KPI_Weights!$B$7,X554*KPI_Weights!$B$8,Y554*KPI_Weights!$B$9,Z554*KPI_Weights!$B$10,AA554*KPI_Weights!$B$11,AB554*KPI_Weights!$B$12,AC554*KPI_Weights!$B$13,AD554*KPI_Weights!$B$14,AE554*KPI_Weights!$B$15,AF554*KPI_Weights!$B$16,AG554*KPI_Weights!$B$17,AH554*KPI_Weights!$B$18))/5)</f>
        <v/>
      </c>
      <c r="AL554" t="str">
        <f t="shared" si="70"/>
        <v/>
      </c>
      <c r="AM554" t="str">
        <f t="shared" si="71"/>
        <v/>
      </c>
      <c r="AN554" t="str">
        <f t="shared" si="72"/>
        <v/>
      </c>
    </row>
    <row r="555" spans="1:40" ht="15" customHeight="1" x14ac:dyDescent="0.2">
      <c r="A555" t="str">
        <f>IF($B555="","",TEXT($B555,"yyyymmdd")&amp;"-"&amp;SUBSTITUTE($F555," ","")&amp;"-"&amp;TEXT(COUNTIF($F$4:F555,$F555),"00"))</f>
        <v/>
      </c>
      <c r="C555" t="str">
        <f t="shared" si="66"/>
        <v/>
      </c>
      <c r="D555" t="str">
        <f t="shared" si="67"/>
        <v/>
      </c>
      <c r="G555" t="str">
        <f>IF(OR($E555="",$F555=""),"",IFERROR(IF($E555=INDEX(Cluster_Master!$A$4:$A$18,MATCH($F555,Cluster_Master!$B$4:$B$18,0)),"OK","CHECK"),"CHECK"))</f>
        <v/>
      </c>
      <c r="H555" t="str">
        <f>IFERROR(INDEX(Cluster_Master!$C$4:$C$18,MATCH($F555,Cluster_Master!$B$4:$B$18,0)),"")</f>
        <v/>
      </c>
      <c r="I555" t="str">
        <f>IFERROR(INDEX(Cluster_Master!$D$4:$D$18,MATCH($F555,Cluster_Master!$B$4:$B$18,0)),"")</f>
        <v/>
      </c>
      <c r="J555" t="str">
        <f>IFERROR(INDEX(Cluster_Master!$E$4:$E$18,MATCH($F555,Cluster_Master!$B$4:$B$18,0)),"")</f>
        <v/>
      </c>
      <c r="K555" t="str">
        <f>IFERROR(INDEX(Cluster_Master!$F$4:$F$18,MATCH($F555,Cluster_Master!$B$4:$B$18,0)),"")</f>
        <v/>
      </c>
      <c r="L555" t="str">
        <f>IFERROR(INDEX(Cluster_Master!$G$4:$G$18,MATCH($F555,Cluster_Master!$B$4:$B$18,0)),"")</f>
        <v/>
      </c>
      <c r="M555" t="str">
        <f>IFERROR(INDEX(Cluster_Master!$H$4:$H$18,MATCH($F555,Cluster_Master!$B$4:$B$18,0)),"")</f>
        <v/>
      </c>
      <c r="AI555" t="str">
        <f t="shared" si="68"/>
        <v/>
      </c>
      <c r="AJ555" t="str">
        <f t="shared" si="69"/>
        <v/>
      </c>
      <c r="AK555" t="str">
        <f>IF(COUNTA(T555:AH555)=0,"",(SUM(T555*KPI_Weights!$B$4,U555*KPI_Weights!$B$5,V555*KPI_Weights!$B$6,W555*KPI_Weights!$B$7,X555*KPI_Weights!$B$8,Y555*KPI_Weights!$B$9,Z555*KPI_Weights!$B$10,AA555*KPI_Weights!$B$11,AB555*KPI_Weights!$B$12,AC555*KPI_Weights!$B$13,AD555*KPI_Weights!$B$14,AE555*KPI_Weights!$B$15,AF555*KPI_Weights!$B$16,AG555*KPI_Weights!$B$17,AH555*KPI_Weights!$B$18))/5)</f>
        <v/>
      </c>
      <c r="AL555" t="str">
        <f t="shared" si="70"/>
        <v/>
      </c>
      <c r="AM555" t="str">
        <f t="shared" si="71"/>
        <v/>
      </c>
      <c r="AN555" t="str">
        <f t="shared" si="72"/>
        <v/>
      </c>
    </row>
    <row r="556" spans="1:40" ht="15" customHeight="1" x14ac:dyDescent="0.2">
      <c r="A556" t="str">
        <f>IF($B556="","",TEXT($B556,"yyyymmdd")&amp;"-"&amp;SUBSTITUTE($F556," ","")&amp;"-"&amp;TEXT(COUNTIF($F$4:F556,$F556),"00"))</f>
        <v/>
      </c>
      <c r="C556" t="str">
        <f t="shared" si="66"/>
        <v/>
      </c>
      <c r="D556" t="str">
        <f t="shared" si="67"/>
        <v/>
      </c>
      <c r="G556" t="str">
        <f>IF(OR($E556="",$F556=""),"",IFERROR(IF($E556=INDEX(Cluster_Master!$A$4:$A$18,MATCH($F556,Cluster_Master!$B$4:$B$18,0)),"OK","CHECK"),"CHECK"))</f>
        <v/>
      </c>
      <c r="H556" t="str">
        <f>IFERROR(INDEX(Cluster_Master!$C$4:$C$18,MATCH($F556,Cluster_Master!$B$4:$B$18,0)),"")</f>
        <v/>
      </c>
      <c r="I556" t="str">
        <f>IFERROR(INDEX(Cluster_Master!$D$4:$D$18,MATCH($F556,Cluster_Master!$B$4:$B$18,0)),"")</f>
        <v/>
      </c>
      <c r="J556" t="str">
        <f>IFERROR(INDEX(Cluster_Master!$E$4:$E$18,MATCH($F556,Cluster_Master!$B$4:$B$18,0)),"")</f>
        <v/>
      </c>
      <c r="K556" t="str">
        <f>IFERROR(INDEX(Cluster_Master!$F$4:$F$18,MATCH($F556,Cluster_Master!$B$4:$B$18,0)),"")</f>
        <v/>
      </c>
      <c r="L556" t="str">
        <f>IFERROR(INDEX(Cluster_Master!$G$4:$G$18,MATCH($F556,Cluster_Master!$B$4:$B$18,0)),"")</f>
        <v/>
      </c>
      <c r="M556" t="str">
        <f>IFERROR(INDEX(Cluster_Master!$H$4:$H$18,MATCH($F556,Cluster_Master!$B$4:$B$18,0)),"")</f>
        <v/>
      </c>
      <c r="AI556" t="str">
        <f t="shared" si="68"/>
        <v/>
      </c>
      <c r="AJ556" t="str">
        <f t="shared" si="69"/>
        <v/>
      </c>
      <c r="AK556" t="str">
        <f>IF(COUNTA(T556:AH556)=0,"",(SUM(T556*KPI_Weights!$B$4,U556*KPI_Weights!$B$5,V556*KPI_Weights!$B$6,W556*KPI_Weights!$B$7,X556*KPI_Weights!$B$8,Y556*KPI_Weights!$B$9,Z556*KPI_Weights!$B$10,AA556*KPI_Weights!$B$11,AB556*KPI_Weights!$B$12,AC556*KPI_Weights!$B$13,AD556*KPI_Weights!$B$14,AE556*KPI_Weights!$B$15,AF556*KPI_Weights!$B$16,AG556*KPI_Weights!$B$17,AH556*KPI_Weights!$B$18))/5)</f>
        <v/>
      </c>
      <c r="AL556" t="str">
        <f t="shared" si="70"/>
        <v/>
      </c>
      <c r="AM556" t="str">
        <f t="shared" si="71"/>
        <v/>
      </c>
      <c r="AN556" t="str">
        <f t="shared" si="72"/>
        <v/>
      </c>
    </row>
    <row r="557" spans="1:40" ht="15" customHeight="1" x14ac:dyDescent="0.2">
      <c r="A557" t="str">
        <f>IF($B557="","",TEXT($B557,"yyyymmdd")&amp;"-"&amp;SUBSTITUTE($F557," ","")&amp;"-"&amp;TEXT(COUNTIF($F$4:F557,$F557),"00"))</f>
        <v/>
      </c>
      <c r="C557" t="str">
        <f t="shared" si="66"/>
        <v/>
      </c>
      <c r="D557" t="str">
        <f t="shared" si="67"/>
        <v/>
      </c>
      <c r="G557" t="str">
        <f>IF(OR($E557="",$F557=""),"",IFERROR(IF($E557=INDEX(Cluster_Master!$A$4:$A$18,MATCH($F557,Cluster_Master!$B$4:$B$18,0)),"OK","CHECK"),"CHECK"))</f>
        <v/>
      </c>
      <c r="H557" t="str">
        <f>IFERROR(INDEX(Cluster_Master!$C$4:$C$18,MATCH($F557,Cluster_Master!$B$4:$B$18,0)),"")</f>
        <v/>
      </c>
      <c r="I557" t="str">
        <f>IFERROR(INDEX(Cluster_Master!$D$4:$D$18,MATCH($F557,Cluster_Master!$B$4:$B$18,0)),"")</f>
        <v/>
      </c>
      <c r="J557" t="str">
        <f>IFERROR(INDEX(Cluster_Master!$E$4:$E$18,MATCH($F557,Cluster_Master!$B$4:$B$18,0)),"")</f>
        <v/>
      </c>
      <c r="K557" t="str">
        <f>IFERROR(INDEX(Cluster_Master!$F$4:$F$18,MATCH($F557,Cluster_Master!$B$4:$B$18,0)),"")</f>
        <v/>
      </c>
      <c r="L557" t="str">
        <f>IFERROR(INDEX(Cluster_Master!$G$4:$G$18,MATCH($F557,Cluster_Master!$B$4:$B$18,0)),"")</f>
        <v/>
      </c>
      <c r="M557" t="str">
        <f>IFERROR(INDEX(Cluster_Master!$H$4:$H$18,MATCH($F557,Cluster_Master!$B$4:$B$18,0)),"")</f>
        <v/>
      </c>
      <c r="AI557" t="str">
        <f t="shared" si="68"/>
        <v/>
      </c>
      <c r="AJ557" t="str">
        <f t="shared" si="69"/>
        <v/>
      </c>
      <c r="AK557" t="str">
        <f>IF(COUNTA(T557:AH557)=0,"",(SUM(T557*KPI_Weights!$B$4,U557*KPI_Weights!$B$5,V557*KPI_Weights!$B$6,W557*KPI_Weights!$B$7,X557*KPI_Weights!$B$8,Y557*KPI_Weights!$B$9,Z557*KPI_Weights!$B$10,AA557*KPI_Weights!$B$11,AB557*KPI_Weights!$B$12,AC557*KPI_Weights!$B$13,AD557*KPI_Weights!$B$14,AE557*KPI_Weights!$B$15,AF557*KPI_Weights!$B$16,AG557*KPI_Weights!$B$17,AH557*KPI_Weights!$B$18))/5)</f>
        <v/>
      </c>
      <c r="AL557" t="str">
        <f t="shared" si="70"/>
        <v/>
      </c>
      <c r="AM557" t="str">
        <f t="shared" si="71"/>
        <v/>
      </c>
      <c r="AN557" t="str">
        <f t="shared" si="72"/>
        <v/>
      </c>
    </row>
    <row r="558" spans="1:40" ht="15" customHeight="1" x14ac:dyDescent="0.2">
      <c r="A558" t="str">
        <f>IF($B558="","",TEXT($B558,"yyyymmdd")&amp;"-"&amp;SUBSTITUTE($F558," ","")&amp;"-"&amp;TEXT(COUNTIF($F$4:F558,$F558),"00"))</f>
        <v/>
      </c>
      <c r="C558" t="str">
        <f t="shared" si="66"/>
        <v/>
      </c>
      <c r="D558" t="str">
        <f t="shared" si="67"/>
        <v/>
      </c>
      <c r="G558" t="str">
        <f>IF(OR($E558="",$F558=""),"",IFERROR(IF($E558=INDEX(Cluster_Master!$A$4:$A$18,MATCH($F558,Cluster_Master!$B$4:$B$18,0)),"OK","CHECK"),"CHECK"))</f>
        <v/>
      </c>
      <c r="H558" t="str">
        <f>IFERROR(INDEX(Cluster_Master!$C$4:$C$18,MATCH($F558,Cluster_Master!$B$4:$B$18,0)),"")</f>
        <v/>
      </c>
      <c r="I558" t="str">
        <f>IFERROR(INDEX(Cluster_Master!$D$4:$D$18,MATCH($F558,Cluster_Master!$B$4:$B$18,0)),"")</f>
        <v/>
      </c>
      <c r="J558" t="str">
        <f>IFERROR(INDEX(Cluster_Master!$E$4:$E$18,MATCH($F558,Cluster_Master!$B$4:$B$18,0)),"")</f>
        <v/>
      </c>
      <c r="K558" t="str">
        <f>IFERROR(INDEX(Cluster_Master!$F$4:$F$18,MATCH($F558,Cluster_Master!$B$4:$B$18,0)),"")</f>
        <v/>
      </c>
      <c r="L558" t="str">
        <f>IFERROR(INDEX(Cluster_Master!$G$4:$G$18,MATCH($F558,Cluster_Master!$B$4:$B$18,0)),"")</f>
        <v/>
      </c>
      <c r="M558" t="str">
        <f>IFERROR(INDEX(Cluster_Master!$H$4:$H$18,MATCH($F558,Cluster_Master!$B$4:$B$18,0)),"")</f>
        <v/>
      </c>
      <c r="AI558" t="str">
        <f t="shared" si="68"/>
        <v/>
      </c>
      <c r="AJ558" t="str">
        <f t="shared" si="69"/>
        <v/>
      </c>
      <c r="AK558" t="str">
        <f>IF(COUNTA(T558:AH558)=0,"",(SUM(T558*KPI_Weights!$B$4,U558*KPI_Weights!$B$5,V558*KPI_Weights!$B$6,W558*KPI_Weights!$B$7,X558*KPI_Weights!$B$8,Y558*KPI_Weights!$B$9,Z558*KPI_Weights!$B$10,AA558*KPI_Weights!$B$11,AB558*KPI_Weights!$B$12,AC558*KPI_Weights!$B$13,AD558*KPI_Weights!$B$14,AE558*KPI_Weights!$B$15,AF558*KPI_Weights!$B$16,AG558*KPI_Weights!$B$17,AH558*KPI_Weights!$B$18))/5)</f>
        <v/>
      </c>
      <c r="AL558" t="str">
        <f t="shared" si="70"/>
        <v/>
      </c>
      <c r="AM558" t="str">
        <f t="shared" si="71"/>
        <v/>
      </c>
      <c r="AN558" t="str">
        <f t="shared" si="72"/>
        <v/>
      </c>
    </row>
    <row r="559" spans="1:40" ht="15" customHeight="1" x14ac:dyDescent="0.2">
      <c r="A559" t="str">
        <f>IF($B559="","",TEXT($B559,"yyyymmdd")&amp;"-"&amp;SUBSTITUTE($F559," ","")&amp;"-"&amp;TEXT(COUNTIF($F$4:F559,$F559),"00"))</f>
        <v/>
      </c>
      <c r="C559" t="str">
        <f t="shared" si="66"/>
        <v/>
      </c>
      <c r="D559" t="str">
        <f t="shared" si="67"/>
        <v/>
      </c>
      <c r="G559" t="str">
        <f>IF(OR($E559="",$F559=""),"",IFERROR(IF($E559=INDEX(Cluster_Master!$A$4:$A$18,MATCH($F559,Cluster_Master!$B$4:$B$18,0)),"OK","CHECK"),"CHECK"))</f>
        <v/>
      </c>
      <c r="H559" t="str">
        <f>IFERROR(INDEX(Cluster_Master!$C$4:$C$18,MATCH($F559,Cluster_Master!$B$4:$B$18,0)),"")</f>
        <v/>
      </c>
      <c r="I559" t="str">
        <f>IFERROR(INDEX(Cluster_Master!$D$4:$D$18,MATCH($F559,Cluster_Master!$B$4:$B$18,0)),"")</f>
        <v/>
      </c>
      <c r="J559" t="str">
        <f>IFERROR(INDEX(Cluster_Master!$E$4:$E$18,MATCH($F559,Cluster_Master!$B$4:$B$18,0)),"")</f>
        <v/>
      </c>
      <c r="K559" t="str">
        <f>IFERROR(INDEX(Cluster_Master!$F$4:$F$18,MATCH($F559,Cluster_Master!$B$4:$B$18,0)),"")</f>
        <v/>
      </c>
      <c r="L559" t="str">
        <f>IFERROR(INDEX(Cluster_Master!$G$4:$G$18,MATCH($F559,Cluster_Master!$B$4:$B$18,0)),"")</f>
        <v/>
      </c>
      <c r="M559" t="str">
        <f>IFERROR(INDEX(Cluster_Master!$H$4:$H$18,MATCH($F559,Cluster_Master!$B$4:$B$18,0)),"")</f>
        <v/>
      </c>
      <c r="AI559" t="str">
        <f t="shared" si="68"/>
        <v/>
      </c>
      <c r="AJ559" t="str">
        <f t="shared" si="69"/>
        <v/>
      </c>
      <c r="AK559" t="str">
        <f>IF(COUNTA(T559:AH559)=0,"",(SUM(T559*KPI_Weights!$B$4,U559*KPI_Weights!$B$5,V559*KPI_Weights!$B$6,W559*KPI_Weights!$B$7,X559*KPI_Weights!$B$8,Y559*KPI_Weights!$B$9,Z559*KPI_Weights!$B$10,AA559*KPI_Weights!$B$11,AB559*KPI_Weights!$B$12,AC559*KPI_Weights!$B$13,AD559*KPI_Weights!$B$14,AE559*KPI_Weights!$B$15,AF559*KPI_Weights!$B$16,AG559*KPI_Weights!$B$17,AH559*KPI_Weights!$B$18))/5)</f>
        <v/>
      </c>
      <c r="AL559" t="str">
        <f t="shared" si="70"/>
        <v/>
      </c>
      <c r="AM559" t="str">
        <f t="shared" si="71"/>
        <v/>
      </c>
      <c r="AN559" t="str">
        <f t="shared" si="72"/>
        <v/>
      </c>
    </row>
    <row r="560" spans="1:40" ht="15" customHeight="1" x14ac:dyDescent="0.2">
      <c r="A560" t="str">
        <f>IF($B560="","",TEXT($B560,"yyyymmdd")&amp;"-"&amp;SUBSTITUTE($F560," ","")&amp;"-"&amp;TEXT(COUNTIF($F$4:F560,$F560),"00"))</f>
        <v/>
      </c>
      <c r="C560" t="str">
        <f t="shared" si="66"/>
        <v/>
      </c>
      <c r="D560" t="str">
        <f t="shared" si="67"/>
        <v/>
      </c>
      <c r="G560" t="str">
        <f>IF(OR($E560="",$F560=""),"",IFERROR(IF($E560=INDEX(Cluster_Master!$A$4:$A$18,MATCH($F560,Cluster_Master!$B$4:$B$18,0)),"OK","CHECK"),"CHECK"))</f>
        <v/>
      </c>
      <c r="H560" t="str">
        <f>IFERROR(INDEX(Cluster_Master!$C$4:$C$18,MATCH($F560,Cluster_Master!$B$4:$B$18,0)),"")</f>
        <v/>
      </c>
      <c r="I560" t="str">
        <f>IFERROR(INDEX(Cluster_Master!$D$4:$D$18,MATCH($F560,Cluster_Master!$B$4:$B$18,0)),"")</f>
        <v/>
      </c>
      <c r="J560" t="str">
        <f>IFERROR(INDEX(Cluster_Master!$E$4:$E$18,MATCH($F560,Cluster_Master!$B$4:$B$18,0)),"")</f>
        <v/>
      </c>
      <c r="K560" t="str">
        <f>IFERROR(INDEX(Cluster_Master!$F$4:$F$18,MATCH($F560,Cluster_Master!$B$4:$B$18,0)),"")</f>
        <v/>
      </c>
      <c r="L560" t="str">
        <f>IFERROR(INDEX(Cluster_Master!$G$4:$G$18,MATCH($F560,Cluster_Master!$B$4:$B$18,0)),"")</f>
        <v/>
      </c>
      <c r="M560" t="str">
        <f>IFERROR(INDEX(Cluster_Master!$H$4:$H$18,MATCH($F560,Cluster_Master!$B$4:$B$18,0)),"")</f>
        <v/>
      </c>
      <c r="AI560" t="str">
        <f t="shared" si="68"/>
        <v/>
      </c>
      <c r="AJ560" t="str">
        <f t="shared" si="69"/>
        <v/>
      </c>
      <c r="AK560" t="str">
        <f>IF(COUNTA(T560:AH560)=0,"",(SUM(T560*KPI_Weights!$B$4,U560*KPI_Weights!$B$5,V560*KPI_Weights!$B$6,W560*KPI_Weights!$B$7,X560*KPI_Weights!$B$8,Y560*KPI_Weights!$B$9,Z560*KPI_Weights!$B$10,AA560*KPI_Weights!$B$11,AB560*KPI_Weights!$B$12,AC560*KPI_Weights!$B$13,AD560*KPI_Weights!$B$14,AE560*KPI_Weights!$B$15,AF560*KPI_Weights!$B$16,AG560*KPI_Weights!$B$17,AH560*KPI_Weights!$B$18))/5)</f>
        <v/>
      </c>
      <c r="AL560" t="str">
        <f t="shared" si="70"/>
        <v/>
      </c>
      <c r="AM560" t="str">
        <f t="shared" si="71"/>
        <v/>
      </c>
      <c r="AN560" t="str">
        <f t="shared" si="72"/>
        <v/>
      </c>
    </row>
    <row r="561" spans="1:40" ht="15" customHeight="1" x14ac:dyDescent="0.2">
      <c r="A561" t="str">
        <f>IF($B561="","",TEXT($B561,"yyyymmdd")&amp;"-"&amp;SUBSTITUTE($F561," ","")&amp;"-"&amp;TEXT(COUNTIF($F$4:F561,$F561),"00"))</f>
        <v/>
      </c>
      <c r="C561" t="str">
        <f t="shared" si="66"/>
        <v/>
      </c>
      <c r="D561" t="str">
        <f t="shared" si="67"/>
        <v/>
      </c>
      <c r="G561" t="str">
        <f>IF(OR($E561="",$F561=""),"",IFERROR(IF($E561=INDEX(Cluster_Master!$A$4:$A$18,MATCH($F561,Cluster_Master!$B$4:$B$18,0)),"OK","CHECK"),"CHECK"))</f>
        <v/>
      </c>
      <c r="H561" t="str">
        <f>IFERROR(INDEX(Cluster_Master!$C$4:$C$18,MATCH($F561,Cluster_Master!$B$4:$B$18,0)),"")</f>
        <v/>
      </c>
      <c r="I561" t="str">
        <f>IFERROR(INDEX(Cluster_Master!$D$4:$D$18,MATCH($F561,Cluster_Master!$B$4:$B$18,0)),"")</f>
        <v/>
      </c>
      <c r="J561" t="str">
        <f>IFERROR(INDEX(Cluster_Master!$E$4:$E$18,MATCH($F561,Cluster_Master!$B$4:$B$18,0)),"")</f>
        <v/>
      </c>
      <c r="K561" t="str">
        <f>IFERROR(INDEX(Cluster_Master!$F$4:$F$18,MATCH($F561,Cluster_Master!$B$4:$B$18,0)),"")</f>
        <v/>
      </c>
      <c r="L561" t="str">
        <f>IFERROR(INDEX(Cluster_Master!$G$4:$G$18,MATCH($F561,Cluster_Master!$B$4:$B$18,0)),"")</f>
        <v/>
      </c>
      <c r="M561" t="str">
        <f>IFERROR(INDEX(Cluster_Master!$H$4:$H$18,MATCH($F561,Cluster_Master!$B$4:$B$18,0)),"")</f>
        <v/>
      </c>
      <c r="AI561" t="str">
        <f t="shared" si="68"/>
        <v/>
      </c>
      <c r="AJ561" t="str">
        <f t="shared" si="69"/>
        <v/>
      </c>
      <c r="AK561" t="str">
        <f>IF(COUNTA(T561:AH561)=0,"",(SUM(T561*KPI_Weights!$B$4,U561*KPI_Weights!$B$5,V561*KPI_Weights!$B$6,W561*KPI_Weights!$B$7,X561*KPI_Weights!$B$8,Y561*KPI_Weights!$B$9,Z561*KPI_Weights!$B$10,AA561*KPI_Weights!$B$11,AB561*KPI_Weights!$B$12,AC561*KPI_Weights!$B$13,AD561*KPI_Weights!$B$14,AE561*KPI_Weights!$B$15,AF561*KPI_Weights!$B$16,AG561*KPI_Weights!$B$17,AH561*KPI_Weights!$B$18))/5)</f>
        <v/>
      </c>
      <c r="AL561" t="str">
        <f t="shared" si="70"/>
        <v/>
      </c>
      <c r="AM561" t="str">
        <f t="shared" si="71"/>
        <v/>
      </c>
      <c r="AN561" t="str">
        <f t="shared" si="72"/>
        <v/>
      </c>
    </row>
    <row r="562" spans="1:40" ht="15" customHeight="1" x14ac:dyDescent="0.2">
      <c r="A562" t="str">
        <f>IF($B562="","",TEXT($B562,"yyyymmdd")&amp;"-"&amp;SUBSTITUTE($F562," ","")&amp;"-"&amp;TEXT(COUNTIF($F$4:F562,$F562),"00"))</f>
        <v/>
      </c>
      <c r="C562" t="str">
        <f t="shared" si="66"/>
        <v/>
      </c>
      <c r="D562" t="str">
        <f t="shared" si="67"/>
        <v/>
      </c>
      <c r="G562" t="str">
        <f>IF(OR($E562="",$F562=""),"",IFERROR(IF($E562=INDEX(Cluster_Master!$A$4:$A$18,MATCH($F562,Cluster_Master!$B$4:$B$18,0)),"OK","CHECK"),"CHECK"))</f>
        <v/>
      </c>
      <c r="H562" t="str">
        <f>IFERROR(INDEX(Cluster_Master!$C$4:$C$18,MATCH($F562,Cluster_Master!$B$4:$B$18,0)),"")</f>
        <v/>
      </c>
      <c r="I562" t="str">
        <f>IFERROR(INDEX(Cluster_Master!$D$4:$D$18,MATCH($F562,Cluster_Master!$B$4:$B$18,0)),"")</f>
        <v/>
      </c>
      <c r="J562" t="str">
        <f>IFERROR(INDEX(Cluster_Master!$E$4:$E$18,MATCH($F562,Cluster_Master!$B$4:$B$18,0)),"")</f>
        <v/>
      </c>
      <c r="K562" t="str">
        <f>IFERROR(INDEX(Cluster_Master!$F$4:$F$18,MATCH($F562,Cluster_Master!$B$4:$B$18,0)),"")</f>
        <v/>
      </c>
      <c r="L562" t="str">
        <f>IFERROR(INDEX(Cluster_Master!$G$4:$G$18,MATCH($F562,Cluster_Master!$B$4:$B$18,0)),"")</f>
        <v/>
      </c>
      <c r="M562" t="str">
        <f>IFERROR(INDEX(Cluster_Master!$H$4:$H$18,MATCH($F562,Cluster_Master!$B$4:$B$18,0)),"")</f>
        <v/>
      </c>
      <c r="AI562" t="str">
        <f t="shared" si="68"/>
        <v/>
      </c>
      <c r="AJ562" t="str">
        <f t="shared" si="69"/>
        <v/>
      </c>
      <c r="AK562" t="str">
        <f>IF(COUNTA(T562:AH562)=0,"",(SUM(T562*KPI_Weights!$B$4,U562*KPI_Weights!$B$5,V562*KPI_Weights!$B$6,W562*KPI_Weights!$B$7,X562*KPI_Weights!$B$8,Y562*KPI_Weights!$B$9,Z562*KPI_Weights!$B$10,AA562*KPI_Weights!$B$11,AB562*KPI_Weights!$B$12,AC562*KPI_Weights!$B$13,AD562*KPI_Weights!$B$14,AE562*KPI_Weights!$B$15,AF562*KPI_Weights!$B$16,AG562*KPI_Weights!$B$17,AH562*KPI_Weights!$B$18))/5)</f>
        <v/>
      </c>
      <c r="AL562" t="str">
        <f t="shared" si="70"/>
        <v/>
      </c>
      <c r="AM562" t="str">
        <f t="shared" si="71"/>
        <v/>
      </c>
      <c r="AN562" t="str">
        <f t="shared" si="72"/>
        <v/>
      </c>
    </row>
    <row r="563" spans="1:40" ht="15" customHeight="1" x14ac:dyDescent="0.2">
      <c r="A563" t="str">
        <f>IF($B563="","",TEXT($B563,"yyyymmdd")&amp;"-"&amp;SUBSTITUTE($F563," ","")&amp;"-"&amp;TEXT(COUNTIF($F$4:F563,$F563),"00"))</f>
        <v/>
      </c>
      <c r="C563" t="str">
        <f t="shared" si="66"/>
        <v/>
      </c>
      <c r="D563" t="str">
        <f t="shared" si="67"/>
        <v/>
      </c>
      <c r="G563" t="str">
        <f>IF(OR($E563="",$F563=""),"",IFERROR(IF($E563=INDEX(Cluster_Master!$A$4:$A$18,MATCH($F563,Cluster_Master!$B$4:$B$18,0)),"OK","CHECK"),"CHECK"))</f>
        <v/>
      </c>
      <c r="H563" t="str">
        <f>IFERROR(INDEX(Cluster_Master!$C$4:$C$18,MATCH($F563,Cluster_Master!$B$4:$B$18,0)),"")</f>
        <v/>
      </c>
      <c r="I563" t="str">
        <f>IFERROR(INDEX(Cluster_Master!$D$4:$D$18,MATCH($F563,Cluster_Master!$B$4:$B$18,0)),"")</f>
        <v/>
      </c>
      <c r="J563" t="str">
        <f>IFERROR(INDEX(Cluster_Master!$E$4:$E$18,MATCH($F563,Cluster_Master!$B$4:$B$18,0)),"")</f>
        <v/>
      </c>
      <c r="K563" t="str">
        <f>IFERROR(INDEX(Cluster_Master!$F$4:$F$18,MATCH($F563,Cluster_Master!$B$4:$B$18,0)),"")</f>
        <v/>
      </c>
      <c r="L563" t="str">
        <f>IFERROR(INDEX(Cluster_Master!$G$4:$G$18,MATCH($F563,Cluster_Master!$B$4:$B$18,0)),"")</f>
        <v/>
      </c>
      <c r="M563" t="str">
        <f>IFERROR(INDEX(Cluster_Master!$H$4:$H$18,MATCH($F563,Cluster_Master!$B$4:$B$18,0)),"")</f>
        <v/>
      </c>
      <c r="AI563" t="str">
        <f t="shared" si="68"/>
        <v/>
      </c>
      <c r="AJ563" t="str">
        <f t="shared" si="69"/>
        <v/>
      </c>
      <c r="AK563" t="str">
        <f>IF(COUNTA(T563:AH563)=0,"",(SUM(T563*KPI_Weights!$B$4,U563*KPI_Weights!$B$5,V563*KPI_Weights!$B$6,W563*KPI_Weights!$B$7,X563*KPI_Weights!$B$8,Y563*KPI_Weights!$B$9,Z563*KPI_Weights!$B$10,AA563*KPI_Weights!$B$11,AB563*KPI_Weights!$B$12,AC563*KPI_Weights!$B$13,AD563*KPI_Weights!$B$14,AE563*KPI_Weights!$B$15,AF563*KPI_Weights!$B$16,AG563*KPI_Weights!$B$17,AH563*KPI_Weights!$B$18))/5)</f>
        <v/>
      </c>
      <c r="AL563" t="str">
        <f t="shared" si="70"/>
        <v/>
      </c>
      <c r="AM563" t="str">
        <f t="shared" si="71"/>
        <v/>
      </c>
      <c r="AN563" t="str">
        <f t="shared" si="72"/>
        <v/>
      </c>
    </row>
    <row r="564" spans="1:40" ht="15" customHeight="1" x14ac:dyDescent="0.2">
      <c r="A564" t="str">
        <f>IF($B564="","",TEXT($B564,"yyyymmdd")&amp;"-"&amp;SUBSTITUTE($F564," ","")&amp;"-"&amp;TEXT(COUNTIF($F$4:F564,$F564),"00"))</f>
        <v/>
      </c>
      <c r="C564" t="str">
        <f t="shared" si="66"/>
        <v/>
      </c>
      <c r="D564" t="str">
        <f t="shared" si="67"/>
        <v/>
      </c>
      <c r="G564" t="str">
        <f>IF(OR($E564="",$F564=""),"",IFERROR(IF($E564=INDEX(Cluster_Master!$A$4:$A$18,MATCH($F564,Cluster_Master!$B$4:$B$18,0)),"OK","CHECK"),"CHECK"))</f>
        <v/>
      </c>
      <c r="H564" t="str">
        <f>IFERROR(INDEX(Cluster_Master!$C$4:$C$18,MATCH($F564,Cluster_Master!$B$4:$B$18,0)),"")</f>
        <v/>
      </c>
      <c r="I564" t="str">
        <f>IFERROR(INDEX(Cluster_Master!$D$4:$D$18,MATCH($F564,Cluster_Master!$B$4:$B$18,0)),"")</f>
        <v/>
      </c>
      <c r="J564" t="str">
        <f>IFERROR(INDEX(Cluster_Master!$E$4:$E$18,MATCH($F564,Cluster_Master!$B$4:$B$18,0)),"")</f>
        <v/>
      </c>
      <c r="K564" t="str">
        <f>IFERROR(INDEX(Cluster_Master!$F$4:$F$18,MATCH($F564,Cluster_Master!$B$4:$B$18,0)),"")</f>
        <v/>
      </c>
      <c r="L564" t="str">
        <f>IFERROR(INDEX(Cluster_Master!$G$4:$G$18,MATCH($F564,Cluster_Master!$B$4:$B$18,0)),"")</f>
        <v/>
      </c>
      <c r="M564" t="str">
        <f>IFERROR(INDEX(Cluster_Master!$H$4:$H$18,MATCH($F564,Cluster_Master!$B$4:$B$18,0)),"")</f>
        <v/>
      </c>
      <c r="AI564" t="str">
        <f t="shared" si="68"/>
        <v/>
      </c>
      <c r="AJ564" t="str">
        <f t="shared" si="69"/>
        <v/>
      </c>
      <c r="AK564" t="str">
        <f>IF(COUNTA(T564:AH564)=0,"",(SUM(T564*KPI_Weights!$B$4,U564*KPI_Weights!$B$5,V564*KPI_Weights!$B$6,W564*KPI_Weights!$B$7,X564*KPI_Weights!$B$8,Y564*KPI_Weights!$B$9,Z564*KPI_Weights!$B$10,AA564*KPI_Weights!$B$11,AB564*KPI_Weights!$B$12,AC564*KPI_Weights!$B$13,AD564*KPI_Weights!$B$14,AE564*KPI_Weights!$B$15,AF564*KPI_Weights!$B$16,AG564*KPI_Weights!$B$17,AH564*KPI_Weights!$B$18))/5)</f>
        <v/>
      </c>
      <c r="AL564" t="str">
        <f t="shared" si="70"/>
        <v/>
      </c>
      <c r="AM564" t="str">
        <f t="shared" si="71"/>
        <v/>
      </c>
      <c r="AN564" t="str">
        <f t="shared" si="72"/>
        <v/>
      </c>
    </row>
    <row r="565" spans="1:40" ht="15" customHeight="1" x14ac:dyDescent="0.2">
      <c r="A565" t="str">
        <f>IF($B565="","",TEXT($B565,"yyyymmdd")&amp;"-"&amp;SUBSTITUTE($F565," ","")&amp;"-"&amp;TEXT(COUNTIF($F$4:F565,$F565),"00"))</f>
        <v/>
      </c>
      <c r="C565" t="str">
        <f t="shared" si="66"/>
        <v/>
      </c>
      <c r="D565" t="str">
        <f t="shared" si="67"/>
        <v/>
      </c>
      <c r="G565" t="str">
        <f>IF(OR($E565="",$F565=""),"",IFERROR(IF($E565=INDEX(Cluster_Master!$A$4:$A$18,MATCH($F565,Cluster_Master!$B$4:$B$18,0)),"OK","CHECK"),"CHECK"))</f>
        <v/>
      </c>
      <c r="H565" t="str">
        <f>IFERROR(INDEX(Cluster_Master!$C$4:$C$18,MATCH($F565,Cluster_Master!$B$4:$B$18,0)),"")</f>
        <v/>
      </c>
      <c r="I565" t="str">
        <f>IFERROR(INDEX(Cluster_Master!$D$4:$D$18,MATCH($F565,Cluster_Master!$B$4:$B$18,0)),"")</f>
        <v/>
      </c>
      <c r="J565" t="str">
        <f>IFERROR(INDEX(Cluster_Master!$E$4:$E$18,MATCH($F565,Cluster_Master!$B$4:$B$18,0)),"")</f>
        <v/>
      </c>
      <c r="K565" t="str">
        <f>IFERROR(INDEX(Cluster_Master!$F$4:$F$18,MATCH($F565,Cluster_Master!$B$4:$B$18,0)),"")</f>
        <v/>
      </c>
      <c r="L565" t="str">
        <f>IFERROR(INDEX(Cluster_Master!$G$4:$G$18,MATCH($F565,Cluster_Master!$B$4:$B$18,0)),"")</f>
        <v/>
      </c>
      <c r="M565" t="str">
        <f>IFERROR(INDEX(Cluster_Master!$H$4:$H$18,MATCH($F565,Cluster_Master!$B$4:$B$18,0)),"")</f>
        <v/>
      </c>
      <c r="AI565" t="str">
        <f t="shared" si="68"/>
        <v/>
      </c>
      <c r="AJ565" t="str">
        <f t="shared" si="69"/>
        <v/>
      </c>
      <c r="AK565" t="str">
        <f>IF(COUNTA(T565:AH565)=0,"",(SUM(T565*KPI_Weights!$B$4,U565*KPI_Weights!$B$5,V565*KPI_Weights!$B$6,W565*KPI_Weights!$B$7,X565*KPI_Weights!$B$8,Y565*KPI_Weights!$B$9,Z565*KPI_Weights!$B$10,AA565*KPI_Weights!$B$11,AB565*KPI_Weights!$B$12,AC565*KPI_Weights!$B$13,AD565*KPI_Weights!$B$14,AE565*KPI_Weights!$B$15,AF565*KPI_Weights!$B$16,AG565*KPI_Weights!$B$17,AH565*KPI_Weights!$B$18))/5)</f>
        <v/>
      </c>
      <c r="AL565" t="str">
        <f t="shared" si="70"/>
        <v/>
      </c>
      <c r="AM565" t="str">
        <f t="shared" si="71"/>
        <v/>
      </c>
      <c r="AN565" t="str">
        <f t="shared" si="72"/>
        <v/>
      </c>
    </row>
    <row r="566" spans="1:40" ht="15" customHeight="1" x14ac:dyDescent="0.2">
      <c r="A566" t="str">
        <f>IF($B566="","",TEXT($B566,"yyyymmdd")&amp;"-"&amp;SUBSTITUTE($F566," ","")&amp;"-"&amp;TEXT(COUNTIF($F$4:F566,$F566),"00"))</f>
        <v/>
      </c>
      <c r="C566" t="str">
        <f t="shared" si="66"/>
        <v/>
      </c>
      <c r="D566" t="str">
        <f t="shared" si="67"/>
        <v/>
      </c>
      <c r="G566" t="str">
        <f>IF(OR($E566="",$F566=""),"",IFERROR(IF($E566=INDEX(Cluster_Master!$A$4:$A$18,MATCH($F566,Cluster_Master!$B$4:$B$18,0)),"OK","CHECK"),"CHECK"))</f>
        <v/>
      </c>
      <c r="H566" t="str">
        <f>IFERROR(INDEX(Cluster_Master!$C$4:$C$18,MATCH($F566,Cluster_Master!$B$4:$B$18,0)),"")</f>
        <v/>
      </c>
      <c r="I566" t="str">
        <f>IFERROR(INDEX(Cluster_Master!$D$4:$D$18,MATCH($F566,Cluster_Master!$B$4:$B$18,0)),"")</f>
        <v/>
      </c>
      <c r="J566" t="str">
        <f>IFERROR(INDEX(Cluster_Master!$E$4:$E$18,MATCH($F566,Cluster_Master!$B$4:$B$18,0)),"")</f>
        <v/>
      </c>
      <c r="K566" t="str">
        <f>IFERROR(INDEX(Cluster_Master!$F$4:$F$18,MATCH($F566,Cluster_Master!$B$4:$B$18,0)),"")</f>
        <v/>
      </c>
      <c r="L566" t="str">
        <f>IFERROR(INDEX(Cluster_Master!$G$4:$G$18,MATCH($F566,Cluster_Master!$B$4:$B$18,0)),"")</f>
        <v/>
      </c>
      <c r="M566" t="str">
        <f>IFERROR(INDEX(Cluster_Master!$H$4:$H$18,MATCH($F566,Cluster_Master!$B$4:$B$18,0)),"")</f>
        <v/>
      </c>
      <c r="AI566" t="str">
        <f t="shared" si="68"/>
        <v/>
      </c>
      <c r="AJ566" t="str">
        <f t="shared" si="69"/>
        <v/>
      </c>
      <c r="AK566" t="str">
        <f>IF(COUNTA(T566:AH566)=0,"",(SUM(T566*KPI_Weights!$B$4,U566*KPI_Weights!$B$5,V566*KPI_Weights!$B$6,W566*KPI_Weights!$B$7,X566*KPI_Weights!$B$8,Y566*KPI_Weights!$B$9,Z566*KPI_Weights!$B$10,AA566*KPI_Weights!$B$11,AB566*KPI_Weights!$B$12,AC566*KPI_Weights!$B$13,AD566*KPI_Weights!$B$14,AE566*KPI_Weights!$B$15,AF566*KPI_Weights!$B$16,AG566*KPI_Weights!$B$17,AH566*KPI_Weights!$B$18))/5)</f>
        <v/>
      </c>
      <c r="AL566" t="str">
        <f t="shared" si="70"/>
        <v/>
      </c>
      <c r="AM566" t="str">
        <f t="shared" si="71"/>
        <v/>
      </c>
      <c r="AN566" t="str">
        <f t="shared" si="72"/>
        <v/>
      </c>
    </row>
    <row r="567" spans="1:40" ht="15" customHeight="1" x14ac:dyDescent="0.2">
      <c r="A567" t="str">
        <f>IF($B567="","",TEXT($B567,"yyyymmdd")&amp;"-"&amp;SUBSTITUTE($F567," ","")&amp;"-"&amp;TEXT(COUNTIF($F$4:F567,$F567),"00"))</f>
        <v/>
      </c>
      <c r="C567" t="str">
        <f t="shared" si="66"/>
        <v/>
      </c>
      <c r="D567" t="str">
        <f t="shared" si="67"/>
        <v/>
      </c>
      <c r="G567" t="str">
        <f>IF(OR($E567="",$F567=""),"",IFERROR(IF($E567=INDEX(Cluster_Master!$A$4:$A$18,MATCH($F567,Cluster_Master!$B$4:$B$18,0)),"OK","CHECK"),"CHECK"))</f>
        <v/>
      </c>
      <c r="H567" t="str">
        <f>IFERROR(INDEX(Cluster_Master!$C$4:$C$18,MATCH($F567,Cluster_Master!$B$4:$B$18,0)),"")</f>
        <v/>
      </c>
      <c r="I567" t="str">
        <f>IFERROR(INDEX(Cluster_Master!$D$4:$D$18,MATCH($F567,Cluster_Master!$B$4:$B$18,0)),"")</f>
        <v/>
      </c>
      <c r="J567" t="str">
        <f>IFERROR(INDEX(Cluster_Master!$E$4:$E$18,MATCH($F567,Cluster_Master!$B$4:$B$18,0)),"")</f>
        <v/>
      </c>
      <c r="K567" t="str">
        <f>IFERROR(INDEX(Cluster_Master!$F$4:$F$18,MATCH($F567,Cluster_Master!$B$4:$B$18,0)),"")</f>
        <v/>
      </c>
      <c r="L567" t="str">
        <f>IFERROR(INDEX(Cluster_Master!$G$4:$G$18,MATCH($F567,Cluster_Master!$B$4:$B$18,0)),"")</f>
        <v/>
      </c>
      <c r="M567" t="str">
        <f>IFERROR(INDEX(Cluster_Master!$H$4:$H$18,MATCH($F567,Cluster_Master!$B$4:$B$18,0)),"")</f>
        <v/>
      </c>
      <c r="AI567" t="str">
        <f t="shared" si="68"/>
        <v/>
      </c>
      <c r="AJ567" t="str">
        <f t="shared" si="69"/>
        <v/>
      </c>
      <c r="AK567" t="str">
        <f>IF(COUNTA(T567:AH567)=0,"",(SUM(T567*KPI_Weights!$B$4,U567*KPI_Weights!$B$5,V567*KPI_Weights!$B$6,W567*KPI_Weights!$B$7,X567*KPI_Weights!$B$8,Y567*KPI_Weights!$B$9,Z567*KPI_Weights!$B$10,AA567*KPI_Weights!$B$11,AB567*KPI_Weights!$B$12,AC567*KPI_Weights!$B$13,AD567*KPI_Weights!$B$14,AE567*KPI_Weights!$B$15,AF567*KPI_Weights!$B$16,AG567*KPI_Weights!$B$17,AH567*KPI_Weights!$B$18))/5)</f>
        <v/>
      </c>
      <c r="AL567" t="str">
        <f t="shared" si="70"/>
        <v/>
      </c>
      <c r="AM567" t="str">
        <f t="shared" si="71"/>
        <v/>
      </c>
      <c r="AN567" t="str">
        <f t="shared" si="72"/>
        <v/>
      </c>
    </row>
    <row r="568" spans="1:40" ht="15" customHeight="1" x14ac:dyDescent="0.2">
      <c r="A568" t="str">
        <f>IF($B568="","",TEXT($B568,"yyyymmdd")&amp;"-"&amp;SUBSTITUTE($F568," ","")&amp;"-"&amp;TEXT(COUNTIF($F$4:F568,$F568),"00"))</f>
        <v/>
      </c>
      <c r="C568" t="str">
        <f t="shared" si="66"/>
        <v/>
      </c>
      <c r="D568" t="str">
        <f t="shared" si="67"/>
        <v/>
      </c>
      <c r="G568" t="str">
        <f>IF(OR($E568="",$F568=""),"",IFERROR(IF($E568=INDEX(Cluster_Master!$A$4:$A$18,MATCH($F568,Cluster_Master!$B$4:$B$18,0)),"OK","CHECK"),"CHECK"))</f>
        <v/>
      </c>
      <c r="H568" t="str">
        <f>IFERROR(INDEX(Cluster_Master!$C$4:$C$18,MATCH($F568,Cluster_Master!$B$4:$B$18,0)),"")</f>
        <v/>
      </c>
      <c r="I568" t="str">
        <f>IFERROR(INDEX(Cluster_Master!$D$4:$D$18,MATCH($F568,Cluster_Master!$B$4:$B$18,0)),"")</f>
        <v/>
      </c>
      <c r="J568" t="str">
        <f>IFERROR(INDEX(Cluster_Master!$E$4:$E$18,MATCH($F568,Cluster_Master!$B$4:$B$18,0)),"")</f>
        <v/>
      </c>
      <c r="K568" t="str">
        <f>IFERROR(INDEX(Cluster_Master!$F$4:$F$18,MATCH($F568,Cluster_Master!$B$4:$B$18,0)),"")</f>
        <v/>
      </c>
      <c r="L568" t="str">
        <f>IFERROR(INDEX(Cluster_Master!$G$4:$G$18,MATCH($F568,Cluster_Master!$B$4:$B$18,0)),"")</f>
        <v/>
      </c>
      <c r="M568" t="str">
        <f>IFERROR(INDEX(Cluster_Master!$H$4:$H$18,MATCH($F568,Cluster_Master!$B$4:$B$18,0)),"")</f>
        <v/>
      </c>
      <c r="AI568" t="str">
        <f t="shared" si="68"/>
        <v/>
      </c>
      <c r="AJ568" t="str">
        <f t="shared" si="69"/>
        <v/>
      </c>
      <c r="AK568" t="str">
        <f>IF(COUNTA(T568:AH568)=0,"",(SUM(T568*KPI_Weights!$B$4,U568*KPI_Weights!$B$5,V568*KPI_Weights!$B$6,W568*KPI_Weights!$B$7,X568*KPI_Weights!$B$8,Y568*KPI_Weights!$B$9,Z568*KPI_Weights!$B$10,AA568*KPI_Weights!$B$11,AB568*KPI_Weights!$B$12,AC568*KPI_Weights!$B$13,AD568*KPI_Weights!$B$14,AE568*KPI_Weights!$B$15,AF568*KPI_Weights!$B$16,AG568*KPI_Weights!$B$17,AH568*KPI_Weights!$B$18))/5)</f>
        <v/>
      </c>
      <c r="AL568" t="str">
        <f t="shared" si="70"/>
        <v/>
      </c>
      <c r="AM568" t="str">
        <f t="shared" si="71"/>
        <v/>
      </c>
      <c r="AN568" t="str">
        <f t="shared" si="72"/>
        <v/>
      </c>
    </row>
    <row r="569" spans="1:40" ht="15" customHeight="1" x14ac:dyDescent="0.2">
      <c r="A569" t="str">
        <f>IF($B569="","",TEXT($B569,"yyyymmdd")&amp;"-"&amp;SUBSTITUTE($F569," ","")&amp;"-"&amp;TEXT(COUNTIF($F$4:F569,$F569),"00"))</f>
        <v/>
      </c>
      <c r="C569" t="str">
        <f t="shared" si="66"/>
        <v/>
      </c>
      <c r="D569" t="str">
        <f t="shared" si="67"/>
        <v/>
      </c>
      <c r="G569" t="str">
        <f>IF(OR($E569="",$F569=""),"",IFERROR(IF($E569=INDEX(Cluster_Master!$A$4:$A$18,MATCH($F569,Cluster_Master!$B$4:$B$18,0)),"OK","CHECK"),"CHECK"))</f>
        <v/>
      </c>
      <c r="H569" t="str">
        <f>IFERROR(INDEX(Cluster_Master!$C$4:$C$18,MATCH($F569,Cluster_Master!$B$4:$B$18,0)),"")</f>
        <v/>
      </c>
      <c r="I569" t="str">
        <f>IFERROR(INDEX(Cluster_Master!$D$4:$D$18,MATCH($F569,Cluster_Master!$B$4:$B$18,0)),"")</f>
        <v/>
      </c>
      <c r="J569" t="str">
        <f>IFERROR(INDEX(Cluster_Master!$E$4:$E$18,MATCH($F569,Cluster_Master!$B$4:$B$18,0)),"")</f>
        <v/>
      </c>
      <c r="K569" t="str">
        <f>IFERROR(INDEX(Cluster_Master!$F$4:$F$18,MATCH($F569,Cluster_Master!$B$4:$B$18,0)),"")</f>
        <v/>
      </c>
      <c r="L569" t="str">
        <f>IFERROR(INDEX(Cluster_Master!$G$4:$G$18,MATCH($F569,Cluster_Master!$B$4:$B$18,0)),"")</f>
        <v/>
      </c>
      <c r="M569" t="str">
        <f>IFERROR(INDEX(Cluster_Master!$H$4:$H$18,MATCH($F569,Cluster_Master!$B$4:$B$18,0)),"")</f>
        <v/>
      </c>
      <c r="AI569" t="str">
        <f t="shared" si="68"/>
        <v/>
      </c>
      <c r="AJ569" t="str">
        <f t="shared" si="69"/>
        <v/>
      </c>
      <c r="AK569" t="str">
        <f>IF(COUNTA(T569:AH569)=0,"",(SUM(T569*KPI_Weights!$B$4,U569*KPI_Weights!$B$5,V569*KPI_Weights!$B$6,W569*KPI_Weights!$B$7,X569*KPI_Weights!$B$8,Y569*KPI_Weights!$B$9,Z569*KPI_Weights!$B$10,AA569*KPI_Weights!$B$11,AB569*KPI_Weights!$B$12,AC569*KPI_Weights!$B$13,AD569*KPI_Weights!$B$14,AE569*KPI_Weights!$B$15,AF569*KPI_Weights!$B$16,AG569*KPI_Weights!$B$17,AH569*KPI_Weights!$B$18))/5)</f>
        <v/>
      </c>
      <c r="AL569" t="str">
        <f t="shared" si="70"/>
        <v/>
      </c>
      <c r="AM569" t="str">
        <f t="shared" si="71"/>
        <v/>
      </c>
      <c r="AN569" t="str">
        <f t="shared" si="72"/>
        <v/>
      </c>
    </row>
    <row r="570" spans="1:40" ht="15" customHeight="1" x14ac:dyDescent="0.2">
      <c r="A570" t="str">
        <f>IF($B570="","",TEXT($B570,"yyyymmdd")&amp;"-"&amp;SUBSTITUTE($F570," ","")&amp;"-"&amp;TEXT(COUNTIF($F$4:F570,$F570),"00"))</f>
        <v/>
      </c>
      <c r="C570" t="str">
        <f t="shared" si="66"/>
        <v/>
      </c>
      <c r="D570" t="str">
        <f t="shared" si="67"/>
        <v/>
      </c>
      <c r="G570" t="str">
        <f>IF(OR($E570="",$F570=""),"",IFERROR(IF($E570=INDEX(Cluster_Master!$A$4:$A$18,MATCH($F570,Cluster_Master!$B$4:$B$18,0)),"OK","CHECK"),"CHECK"))</f>
        <v/>
      </c>
      <c r="H570" t="str">
        <f>IFERROR(INDEX(Cluster_Master!$C$4:$C$18,MATCH($F570,Cluster_Master!$B$4:$B$18,0)),"")</f>
        <v/>
      </c>
      <c r="I570" t="str">
        <f>IFERROR(INDEX(Cluster_Master!$D$4:$D$18,MATCH($F570,Cluster_Master!$B$4:$B$18,0)),"")</f>
        <v/>
      </c>
      <c r="J570" t="str">
        <f>IFERROR(INDEX(Cluster_Master!$E$4:$E$18,MATCH($F570,Cluster_Master!$B$4:$B$18,0)),"")</f>
        <v/>
      </c>
      <c r="K570" t="str">
        <f>IFERROR(INDEX(Cluster_Master!$F$4:$F$18,MATCH($F570,Cluster_Master!$B$4:$B$18,0)),"")</f>
        <v/>
      </c>
      <c r="L570" t="str">
        <f>IFERROR(INDEX(Cluster_Master!$G$4:$G$18,MATCH($F570,Cluster_Master!$B$4:$B$18,0)),"")</f>
        <v/>
      </c>
      <c r="M570" t="str">
        <f>IFERROR(INDEX(Cluster_Master!$H$4:$H$18,MATCH($F570,Cluster_Master!$B$4:$B$18,0)),"")</f>
        <v/>
      </c>
      <c r="AI570" t="str">
        <f t="shared" si="68"/>
        <v/>
      </c>
      <c r="AJ570" t="str">
        <f t="shared" si="69"/>
        <v/>
      </c>
      <c r="AK570" t="str">
        <f>IF(COUNTA(T570:AH570)=0,"",(SUM(T570*KPI_Weights!$B$4,U570*KPI_Weights!$B$5,V570*KPI_Weights!$B$6,W570*KPI_Weights!$B$7,X570*KPI_Weights!$B$8,Y570*KPI_Weights!$B$9,Z570*KPI_Weights!$B$10,AA570*KPI_Weights!$B$11,AB570*KPI_Weights!$B$12,AC570*KPI_Weights!$B$13,AD570*KPI_Weights!$B$14,AE570*KPI_Weights!$B$15,AF570*KPI_Weights!$B$16,AG570*KPI_Weights!$B$17,AH570*KPI_Weights!$B$18))/5)</f>
        <v/>
      </c>
      <c r="AL570" t="str">
        <f t="shared" si="70"/>
        <v/>
      </c>
      <c r="AM570" t="str">
        <f t="shared" si="71"/>
        <v/>
      </c>
      <c r="AN570" t="str">
        <f t="shared" si="72"/>
        <v/>
      </c>
    </row>
    <row r="571" spans="1:40" ht="15" customHeight="1" x14ac:dyDescent="0.2">
      <c r="A571" t="str">
        <f>IF($B571="","",TEXT($B571,"yyyymmdd")&amp;"-"&amp;SUBSTITUTE($F571," ","")&amp;"-"&amp;TEXT(COUNTIF($F$4:F571,$F571),"00"))</f>
        <v/>
      </c>
      <c r="C571" t="str">
        <f t="shared" si="66"/>
        <v/>
      </c>
      <c r="D571" t="str">
        <f t="shared" si="67"/>
        <v/>
      </c>
      <c r="G571" t="str">
        <f>IF(OR($E571="",$F571=""),"",IFERROR(IF($E571=INDEX(Cluster_Master!$A$4:$A$18,MATCH($F571,Cluster_Master!$B$4:$B$18,0)),"OK","CHECK"),"CHECK"))</f>
        <v/>
      </c>
      <c r="H571" t="str">
        <f>IFERROR(INDEX(Cluster_Master!$C$4:$C$18,MATCH($F571,Cluster_Master!$B$4:$B$18,0)),"")</f>
        <v/>
      </c>
      <c r="I571" t="str">
        <f>IFERROR(INDEX(Cluster_Master!$D$4:$D$18,MATCH($F571,Cluster_Master!$B$4:$B$18,0)),"")</f>
        <v/>
      </c>
      <c r="J571" t="str">
        <f>IFERROR(INDEX(Cluster_Master!$E$4:$E$18,MATCH($F571,Cluster_Master!$B$4:$B$18,0)),"")</f>
        <v/>
      </c>
      <c r="K571" t="str">
        <f>IFERROR(INDEX(Cluster_Master!$F$4:$F$18,MATCH($F571,Cluster_Master!$B$4:$B$18,0)),"")</f>
        <v/>
      </c>
      <c r="L571" t="str">
        <f>IFERROR(INDEX(Cluster_Master!$G$4:$G$18,MATCH($F571,Cluster_Master!$B$4:$B$18,0)),"")</f>
        <v/>
      </c>
      <c r="M571" t="str">
        <f>IFERROR(INDEX(Cluster_Master!$H$4:$H$18,MATCH($F571,Cluster_Master!$B$4:$B$18,0)),"")</f>
        <v/>
      </c>
      <c r="AI571" t="str">
        <f t="shared" si="68"/>
        <v/>
      </c>
      <c r="AJ571" t="str">
        <f t="shared" si="69"/>
        <v/>
      </c>
      <c r="AK571" t="str">
        <f>IF(COUNTA(T571:AH571)=0,"",(SUM(T571*KPI_Weights!$B$4,U571*KPI_Weights!$B$5,V571*KPI_Weights!$B$6,W571*KPI_Weights!$B$7,X571*KPI_Weights!$B$8,Y571*KPI_Weights!$B$9,Z571*KPI_Weights!$B$10,AA571*KPI_Weights!$B$11,AB571*KPI_Weights!$B$12,AC571*KPI_Weights!$B$13,AD571*KPI_Weights!$B$14,AE571*KPI_Weights!$B$15,AF571*KPI_Weights!$B$16,AG571*KPI_Weights!$B$17,AH571*KPI_Weights!$B$18))/5)</f>
        <v/>
      </c>
      <c r="AL571" t="str">
        <f t="shared" si="70"/>
        <v/>
      </c>
      <c r="AM571" t="str">
        <f t="shared" si="71"/>
        <v/>
      </c>
      <c r="AN571" t="str">
        <f t="shared" si="72"/>
        <v/>
      </c>
    </row>
    <row r="572" spans="1:40" ht="15" customHeight="1" x14ac:dyDescent="0.2">
      <c r="A572" t="str">
        <f>IF($B572="","",TEXT($B572,"yyyymmdd")&amp;"-"&amp;SUBSTITUTE($F572," ","")&amp;"-"&amp;TEXT(COUNTIF($F$4:F572,$F572),"00"))</f>
        <v/>
      </c>
      <c r="C572" t="str">
        <f t="shared" si="66"/>
        <v/>
      </c>
      <c r="D572" t="str">
        <f t="shared" si="67"/>
        <v/>
      </c>
      <c r="G572" t="str">
        <f>IF(OR($E572="",$F572=""),"",IFERROR(IF($E572=INDEX(Cluster_Master!$A$4:$A$18,MATCH($F572,Cluster_Master!$B$4:$B$18,0)),"OK","CHECK"),"CHECK"))</f>
        <v/>
      </c>
      <c r="H572" t="str">
        <f>IFERROR(INDEX(Cluster_Master!$C$4:$C$18,MATCH($F572,Cluster_Master!$B$4:$B$18,0)),"")</f>
        <v/>
      </c>
      <c r="I572" t="str">
        <f>IFERROR(INDEX(Cluster_Master!$D$4:$D$18,MATCH($F572,Cluster_Master!$B$4:$B$18,0)),"")</f>
        <v/>
      </c>
      <c r="J572" t="str">
        <f>IFERROR(INDEX(Cluster_Master!$E$4:$E$18,MATCH($F572,Cluster_Master!$B$4:$B$18,0)),"")</f>
        <v/>
      </c>
      <c r="K572" t="str">
        <f>IFERROR(INDEX(Cluster_Master!$F$4:$F$18,MATCH($F572,Cluster_Master!$B$4:$B$18,0)),"")</f>
        <v/>
      </c>
      <c r="L572" t="str">
        <f>IFERROR(INDEX(Cluster_Master!$G$4:$G$18,MATCH($F572,Cluster_Master!$B$4:$B$18,0)),"")</f>
        <v/>
      </c>
      <c r="M572" t="str">
        <f>IFERROR(INDEX(Cluster_Master!$H$4:$H$18,MATCH($F572,Cluster_Master!$B$4:$B$18,0)),"")</f>
        <v/>
      </c>
      <c r="AI572" t="str">
        <f t="shared" si="68"/>
        <v/>
      </c>
      <c r="AJ572" t="str">
        <f t="shared" si="69"/>
        <v/>
      </c>
      <c r="AK572" t="str">
        <f>IF(COUNTA(T572:AH572)=0,"",(SUM(T572*KPI_Weights!$B$4,U572*KPI_Weights!$B$5,V572*KPI_Weights!$B$6,W572*KPI_Weights!$B$7,X572*KPI_Weights!$B$8,Y572*KPI_Weights!$B$9,Z572*KPI_Weights!$B$10,AA572*KPI_Weights!$B$11,AB572*KPI_Weights!$B$12,AC572*KPI_Weights!$B$13,AD572*KPI_Weights!$B$14,AE572*KPI_Weights!$B$15,AF572*KPI_Weights!$B$16,AG572*KPI_Weights!$B$17,AH572*KPI_Weights!$B$18))/5)</f>
        <v/>
      </c>
      <c r="AL572" t="str">
        <f t="shared" si="70"/>
        <v/>
      </c>
      <c r="AM572" t="str">
        <f t="shared" si="71"/>
        <v/>
      </c>
      <c r="AN572" t="str">
        <f t="shared" si="72"/>
        <v/>
      </c>
    </row>
    <row r="573" spans="1:40" ht="15" customHeight="1" x14ac:dyDescent="0.2">
      <c r="A573" t="str">
        <f>IF($B573="","",TEXT($B573,"yyyymmdd")&amp;"-"&amp;SUBSTITUTE($F573," ","")&amp;"-"&amp;TEXT(COUNTIF($F$4:F573,$F573),"00"))</f>
        <v/>
      </c>
      <c r="C573" t="str">
        <f t="shared" si="66"/>
        <v/>
      </c>
      <c r="D573" t="str">
        <f t="shared" si="67"/>
        <v/>
      </c>
      <c r="G573" t="str">
        <f>IF(OR($E573="",$F573=""),"",IFERROR(IF($E573=INDEX(Cluster_Master!$A$4:$A$18,MATCH($F573,Cluster_Master!$B$4:$B$18,0)),"OK","CHECK"),"CHECK"))</f>
        <v/>
      </c>
      <c r="H573" t="str">
        <f>IFERROR(INDEX(Cluster_Master!$C$4:$C$18,MATCH($F573,Cluster_Master!$B$4:$B$18,0)),"")</f>
        <v/>
      </c>
      <c r="I573" t="str">
        <f>IFERROR(INDEX(Cluster_Master!$D$4:$D$18,MATCH($F573,Cluster_Master!$B$4:$B$18,0)),"")</f>
        <v/>
      </c>
      <c r="J573" t="str">
        <f>IFERROR(INDEX(Cluster_Master!$E$4:$E$18,MATCH($F573,Cluster_Master!$B$4:$B$18,0)),"")</f>
        <v/>
      </c>
      <c r="K573" t="str">
        <f>IFERROR(INDEX(Cluster_Master!$F$4:$F$18,MATCH($F573,Cluster_Master!$B$4:$B$18,0)),"")</f>
        <v/>
      </c>
      <c r="L573" t="str">
        <f>IFERROR(INDEX(Cluster_Master!$G$4:$G$18,MATCH($F573,Cluster_Master!$B$4:$B$18,0)),"")</f>
        <v/>
      </c>
      <c r="M573" t="str">
        <f>IFERROR(INDEX(Cluster_Master!$H$4:$H$18,MATCH($F573,Cluster_Master!$B$4:$B$18,0)),"")</f>
        <v/>
      </c>
      <c r="AI573" t="str">
        <f t="shared" si="68"/>
        <v/>
      </c>
      <c r="AJ573" t="str">
        <f t="shared" si="69"/>
        <v/>
      </c>
      <c r="AK573" t="str">
        <f>IF(COUNTA(T573:AH573)=0,"",(SUM(T573*KPI_Weights!$B$4,U573*KPI_Weights!$B$5,V573*KPI_Weights!$B$6,W573*KPI_Weights!$B$7,X573*KPI_Weights!$B$8,Y573*KPI_Weights!$B$9,Z573*KPI_Weights!$B$10,AA573*KPI_Weights!$B$11,AB573*KPI_Weights!$B$12,AC573*KPI_Weights!$B$13,AD573*KPI_Weights!$B$14,AE573*KPI_Weights!$B$15,AF573*KPI_Weights!$B$16,AG573*KPI_Weights!$B$17,AH573*KPI_Weights!$B$18))/5)</f>
        <v/>
      </c>
      <c r="AL573" t="str">
        <f t="shared" si="70"/>
        <v/>
      </c>
      <c r="AM573" t="str">
        <f t="shared" si="71"/>
        <v/>
      </c>
      <c r="AN573" t="str">
        <f t="shared" si="72"/>
        <v/>
      </c>
    </row>
    <row r="574" spans="1:40" ht="15" customHeight="1" x14ac:dyDescent="0.2">
      <c r="A574" t="str">
        <f>IF($B574="","",TEXT($B574,"yyyymmdd")&amp;"-"&amp;SUBSTITUTE($F574," ","")&amp;"-"&amp;TEXT(COUNTIF($F$4:F574,$F574),"00"))</f>
        <v/>
      </c>
      <c r="C574" t="str">
        <f t="shared" si="66"/>
        <v/>
      </c>
      <c r="D574" t="str">
        <f t="shared" si="67"/>
        <v/>
      </c>
      <c r="G574" t="str">
        <f>IF(OR($E574="",$F574=""),"",IFERROR(IF($E574=INDEX(Cluster_Master!$A$4:$A$18,MATCH($F574,Cluster_Master!$B$4:$B$18,0)),"OK","CHECK"),"CHECK"))</f>
        <v/>
      </c>
      <c r="H574" t="str">
        <f>IFERROR(INDEX(Cluster_Master!$C$4:$C$18,MATCH($F574,Cluster_Master!$B$4:$B$18,0)),"")</f>
        <v/>
      </c>
      <c r="I574" t="str">
        <f>IFERROR(INDEX(Cluster_Master!$D$4:$D$18,MATCH($F574,Cluster_Master!$B$4:$B$18,0)),"")</f>
        <v/>
      </c>
      <c r="J574" t="str">
        <f>IFERROR(INDEX(Cluster_Master!$E$4:$E$18,MATCH($F574,Cluster_Master!$B$4:$B$18,0)),"")</f>
        <v/>
      </c>
      <c r="K574" t="str">
        <f>IFERROR(INDEX(Cluster_Master!$F$4:$F$18,MATCH($F574,Cluster_Master!$B$4:$B$18,0)),"")</f>
        <v/>
      </c>
      <c r="L574" t="str">
        <f>IFERROR(INDEX(Cluster_Master!$G$4:$G$18,MATCH($F574,Cluster_Master!$B$4:$B$18,0)),"")</f>
        <v/>
      </c>
      <c r="M574" t="str">
        <f>IFERROR(INDEX(Cluster_Master!$H$4:$H$18,MATCH($F574,Cluster_Master!$B$4:$B$18,0)),"")</f>
        <v/>
      </c>
      <c r="AI574" t="str">
        <f t="shared" si="68"/>
        <v/>
      </c>
      <c r="AJ574" t="str">
        <f t="shared" si="69"/>
        <v/>
      </c>
      <c r="AK574" t="str">
        <f>IF(COUNTA(T574:AH574)=0,"",(SUM(T574*KPI_Weights!$B$4,U574*KPI_Weights!$B$5,V574*KPI_Weights!$B$6,W574*KPI_Weights!$B$7,X574*KPI_Weights!$B$8,Y574*KPI_Weights!$B$9,Z574*KPI_Weights!$B$10,AA574*KPI_Weights!$B$11,AB574*KPI_Weights!$B$12,AC574*KPI_Weights!$B$13,AD574*KPI_Weights!$B$14,AE574*KPI_Weights!$B$15,AF574*KPI_Weights!$B$16,AG574*KPI_Weights!$B$17,AH574*KPI_Weights!$B$18))/5)</f>
        <v/>
      </c>
      <c r="AL574" t="str">
        <f t="shared" si="70"/>
        <v/>
      </c>
      <c r="AM574" t="str">
        <f t="shared" si="71"/>
        <v/>
      </c>
      <c r="AN574" t="str">
        <f t="shared" si="72"/>
        <v/>
      </c>
    </row>
    <row r="575" spans="1:40" ht="15" customHeight="1" x14ac:dyDescent="0.2">
      <c r="A575" t="str">
        <f>IF($B575="","",TEXT($B575,"yyyymmdd")&amp;"-"&amp;SUBSTITUTE($F575," ","")&amp;"-"&amp;TEXT(COUNTIF($F$4:F575,$F575),"00"))</f>
        <v/>
      </c>
      <c r="C575" t="str">
        <f t="shared" si="66"/>
        <v/>
      </c>
      <c r="D575" t="str">
        <f t="shared" si="67"/>
        <v/>
      </c>
      <c r="G575" t="str">
        <f>IF(OR($E575="",$F575=""),"",IFERROR(IF($E575=INDEX(Cluster_Master!$A$4:$A$18,MATCH($F575,Cluster_Master!$B$4:$B$18,0)),"OK","CHECK"),"CHECK"))</f>
        <v/>
      </c>
      <c r="H575" t="str">
        <f>IFERROR(INDEX(Cluster_Master!$C$4:$C$18,MATCH($F575,Cluster_Master!$B$4:$B$18,0)),"")</f>
        <v/>
      </c>
      <c r="I575" t="str">
        <f>IFERROR(INDEX(Cluster_Master!$D$4:$D$18,MATCH($F575,Cluster_Master!$B$4:$B$18,0)),"")</f>
        <v/>
      </c>
      <c r="J575" t="str">
        <f>IFERROR(INDEX(Cluster_Master!$E$4:$E$18,MATCH($F575,Cluster_Master!$B$4:$B$18,0)),"")</f>
        <v/>
      </c>
      <c r="K575" t="str">
        <f>IFERROR(INDEX(Cluster_Master!$F$4:$F$18,MATCH($F575,Cluster_Master!$B$4:$B$18,0)),"")</f>
        <v/>
      </c>
      <c r="L575" t="str">
        <f>IFERROR(INDEX(Cluster_Master!$G$4:$G$18,MATCH($F575,Cluster_Master!$B$4:$B$18,0)),"")</f>
        <v/>
      </c>
      <c r="M575" t="str">
        <f>IFERROR(INDEX(Cluster_Master!$H$4:$H$18,MATCH($F575,Cluster_Master!$B$4:$B$18,0)),"")</f>
        <v/>
      </c>
      <c r="AI575" t="str">
        <f t="shared" si="68"/>
        <v/>
      </c>
      <c r="AJ575" t="str">
        <f t="shared" si="69"/>
        <v/>
      </c>
      <c r="AK575" t="str">
        <f>IF(COUNTA(T575:AH575)=0,"",(SUM(T575*KPI_Weights!$B$4,U575*KPI_Weights!$B$5,V575*KPI_Weights!$B$6,W575*KPI_Weights!$B$7,X575*KPI_Weights!$B$8,Y575*KPI_Weights!$B$9,Z575*KPI_Weights!$B$10,AA575*KPI_Weights!$B$11,AB575*KPI_Weights!$B$12,AC575*KPI_Weights!$B$13,AD575*KPI_Weights!$B$14,AE575*KPI_Weights!$B$15,AF575*KPI_Weights!$B$16,AG575*KPI_Weights!$B$17,AH575*KPI_Weights!$B$18))/5)</f>
        <v/>
      </c>
      <c r="AL575" t="str">
        <f t="shared" si="70"/>
        <v/>
      </c>
      <c r="AM575" t="str">
        <f t="shared" si="71"/>
        <v/>
      </c>
      <c r="AN575" t="str">
        <f t="shared" si="72"/>
        <v/>
      </c>
    </row>
    <row r="576" spans="1:40" ht="15" customHeight="1" x14ac:dyDescent="0.2">
      <c r="A576" t="str">
        <f>IF($B576="","",TEXT($B576,"yyyymmdd")&amp;"-"&amp;SUBSTITUTE($F576," ","")&amp;"-"&amp;TEXT(COUNTIF($F$4:F576,$F576),"00"))</f>
        <v/>
      </c>
      <c r="C576" t="str">
        <f t="shared" ref="C576:C639" si="73">IF($B576="","",WEEKNUM($B576,2))</f>
        <v/>
      </c>
      <c r="D576" t="str">
        <f t="shared" ref="D576:D639" si="74">IF($B576="","",TEXT($B576,"yyyy-mm"))</f>
        <v/>
      </c>
      <c r="G576" t="str">
        <f>IF(OR($E576="",$F576=""),"",IFERROR(IF($E576=INDEX(Cluster_Master!$A$4:$A$18,MATCH($F576,Cluster_Master!$B$4:$B$18,0)),"OK","CHECK"),"CHECK"))</f>
        <v/>
      </c>
      <c r="H576" t="str">
        <f>IFERROR(INDEX(Cluster_Master!$C$4:$C$18,MATCH($F576,Cluster_Master!$B$4:$B$18,0)),"")</f>
        <v/>
      </c>
      <c r="I576" t="str">
        <f>IFERROR(INDEX(Cluster_Master!$D$4:$D$18,MATCH($F576,Cluster_Master!$B$4:$B$18,0)),"")</f>
        <v/>
      </c>
      <c r="J576" t="str">
        <f>IFERROR(INDEX(Cluster_Master!$E$4:$E$18,MATCH($F576,Cluster_Master!$B$4:$B$18,0)),"")</f>
        <v/>
      </c>
      <c r="K576" t="str">
        <f>IFERROR(INDEX(Cluster_Master!$F$4:$F$18,MATCH($F576,Cluster_Master!$B$4:$B$18,0)),"")</f>
        <v/>
      </c>
      <c r="L576" t="str">
        <f>IFERROR(INDEX(Cluster_Master!$G$4:$G$18,MATCH($F576,Cluster_Master!$B$4:$B$18,0)),"")</f>
        <v/>
      </c>
      <c r="M576" t="str">
        <f>IFERROR(INDEX(Cluster_Master!$H$4:$H$18,MATCH($F576,Cluster_Master!$B$4:$B$18,0)),"")</f>
        <v/>
      </c>
      <c r="AI576" t="str">
        <f t="shared" ref="AI576:AI639" si="75">IF(COUNTA(T576:AH576)=0,"",SUM(T576:AH576))</f>
        <v/>
      </c>
      <c r="AJ576" t="str">
        <f t="shared" ref="AJ576:AJ639" si="76">IF(COUNTA(T576:AH576)=0,"",AI576/75)</f>
        <v/>
      </c>
      <c r="AK576" t="str">
        <f>IF(COUNTA(T576:AH576)=0,"",(SUM(T576*KPI_Weights!$B$4,U576*KPI_Weights!$B$5,V576*KPI_Weights!$B$6,W576*KPI_Weights!$B$7,X576*KPI_Weights!$B$8,Y576*KPI_Weights!$B$9,Z576*KPI_Weights!$B$10,AA576*KPI_Weights!$B$11,AB576*KPI_Weights!$B$12,AC576*KPI_Weights!$B$13,AD576*KPI_Weights!$B$14,AE576*KPI_Weights!$B$15,AF576*KPI_Weights!$B$16,AG576*KPI_Weights!$B$17,AH576*KPI_Weights!$B$18))/5)</f>
        <v/>
      </c>
      <c r="AL576" t="str">
        <f t="shared" ref="AL576:AL639" si="77">IF(COUNTA(T576:AH576)=0,"",IF(OR(T576&lt;=1,W576&lt;=1,X576&lt;=1,Y576&lt;=1,AB576&lt;=1),"YES","NO"))</f>
        <v/>
      </c>
      <c r="AM576" t="str">
        <f t="shared" ref="AM576:AM639" si="78">IF(AJ576="","",IF(AND(AL576="NO",AJ576&gt;=0.75),"YES","NO"))</f>
        <v/>
      </c>
      <c r="AN576" t="str">
        <f t="shared" ref="AN576:AN639" si="79">IF(AJ576="","",IF(AJ576&lt;0.4,"Critical",IF(AJ576&lt;0.6,"Poor",IF(AJ576&lt;0.75,"Needs Improvement",IF(AJ576&lt;0.9,"Good","Excellent")))))</f>
        <v/>
      </c>
    </row>
    <row r="577" spans="1:40" ht="15" customHeight="1" x14ac:dyDescent="0.2">
      <c r="A577" t="str">
        <f>IF($B577="","",TEXT($B577,"yyyymmdd")&amp;"-"&amp;SUBSTITUTE($F577," ","")&amp;"-"&amp;TEXT(COUNTIF($F$4:F577,$F577),"00"))</f>
        <v/>
      </c>
      <c r="C577" t="str">
        <f t="shared" si="73"/>
        <v/>
      </c>
      <c r="D577" t="str">
        <f t="shared" si="74"/>
        <v/>
      </c>
      <c r="G577" t="str">
        <f>IF(OR($E577="",$F577=""),"",IFERROR(IF($E577=INDEX(Cluster_Master!$A$4:$A$18,MATCH($F577,Cluster_Master!$B$4:$B$18,0)),"OK","CHECK"),"CHECK"))</f>
        <v/>
      </c>
      <c r="H577" t="str">
        <f>IFERROR(INDEX(Cluster_Master!$C$4:$C$18,MATCH($F577,Cluster_Master!$B$4:$B$18,0)),"")</f>
        <v/>
      </c>
      <c r="I577" t="str">
        <f>IFERROR(INDEX(Cluster_Master!$D$4:$D$18,MATCH($F577,Cluster_Master!$B$4:$B$18,0)),"")</f>
        <v/>
      </c>
      <c r="J577" t="str">
        <f>IFERROR(INDEX(Cluster_Master!$E$4:$E$18,MATCH($F577,Cluster_Master!$B$4:$B$18,0)),"")</f>
        <v/>
      </c>
      <c r="K577" t="str">
        <f>IFERROR(INDEX(Cluster_Master!$F$4:$F$18,MATCH($F577,Cluster_Master!$B$4:$B$18,0)),"")</f>
        <v/>
      </c>
      <c r="L577" t="str">
        <f>IFERROR(INDEX(Cluster_Master!$G$4:$G$18,MATCH($F577,Cluster_Master!$B$4:$B$18,0)),"")</f>
        <v/>
      </c>
      <c r="M577" t="str">
        <f>IFERROR(INDEX(Cluster_Master!$H$4:$H$18,MATCH($F577,Cluster_Master!$B$4:$B$18,0)),"")</f>
        <v/>
      </c>
      <c r="AI577" t="str">
        <f t="shared" si="75"/>
        <v/>
      </c>
      <c r="AJ577" t="str">
        <f t="shared" si="76"/>
        <v/>
      </c>
      <c r="AK577" t="str">
        <f>IF(COUNTA(T577:AH577)=0,"",(SUM(T577*KPI_Weights!$B$4,U577*KPI_Weights!$B$5,V577*KPI_Weights!$B$6,W577*KPI_Weights!$B$7,X577*KPI_Weights!$B$8,Y577*KPI_Weights!$B$9,Z577*KPI_Weights!$B$10,AA577*KPI_Weights!$B$11,AB577*KPI_Weights!$B$12,AC577*KPI_Weights!$B$13,AD577*KPI_Weights!$B$14,AE577*KPI_Weights!$B$15,AF577*KPI_Weights!$B$16,AG577*KPI_Weights!$B$17,AH577*KPI_Weights!$B$18))/5)</f>
        <v/>
      </c>
      <c r="AL577" t="str">
        <f t="shared" si="77"/>
        <v/>
      </c>
      <c r="AM577" t="str">
        <f t="shared" si="78"/>
        <v/>
      </c>
      <c r="AN577" t="str">
        <f t="shared" si="79"/>
        <v/>
      </c>
    </row>
    <row r="578" spans="1:40" ht="15" customHeight="1" x14ac:dyDescent="0.2">
      <c r="A578" t="str">
        <f>IF($B578="","",TEXT($B578,"yyyymmdd")&amp;"-"&amp;SUBSTITUTE($F578," ","")&amp;"-"&amp;TEXT(COUNTIF($F$4:F578,$F578),"00"))</f>
        <v/>
      </c>
      <c r="C578" t="str">
        <f t="shared" si="73"/>
        <v/>
      </c>
      <c r="D578" t="str">
        <f t="shared" si="74"/>
        <v/>
      </c>
      <c r="G578" t="str">
        <f>IF(OR($E578="",$F578=""),"",IFERROR(IF($E578=INDEX(Cluster_Master!$A$4:$A$18,MATCH($F578,Cluster_Master!$B$4:$B$18,0)),"OK","CHECK"),"CHECK"))</f>
        <v/>
      </c>
      <c r="H578" t="str">
        <f>IFERROR(INDEX(Cluster_Master!$C$4:$C$18,MATCH($F578,Cluster_Master!$B$4:$B$18,0)),"")</f>
        <v/>
      </c>
      <c r="I578" t="str">
        <f>IFERROR(INDEX(Cluster_Master!$D$4:$D$18,MATCH($F578,Cluster_Master!$B$4:$B$18,0)),"")</f>
        <v/>
      </c>
      <c r="J578" t="str">
        <f>IFERROR(INDEX(Cluster_Master!$E$4:$E$18,MATCH($F578,Cluster_Master!$B$4:$B$18,0)),"")</f>
        <v/>
      </c>
      <c r="K578" t="str">
        <f>IFERROR(INDEX(Cluster_Master!$F$4:$F$18,MATCH($F578,Cluster_Master!$B$4:$B$18,0)),"")</f>
        <v/>
      </c>
      <c r="L578" t="str">
        <f>IFERROR(INDEX(Cluster_Master!$G$4:$G$18,MATCH($F578,Cluster_Master!$B$4:$B$18,0)),"")</f>
        <v/>
      </c>
      <c r="M578" t="str">
        <f>IFERROR(INDEX(Cluster_Master!$H$4:$H$18,MATCH($F578,Cluster_Master!$B$4:$B$18,0)),"")</f>
        <v/>
      </c>
      <c r="AI578" t="str">
        <f t="shared" si="75"/>
        <v/>
      </c>
      <c r="AJ578" t="str">
        <f t="shared" si="76"/>
        <v/>
      </c>
      <c r="AK578" t="str">
        <f>IF(COUNTA(T578:AH578)=0,"",(SUM(T578*KPI_Weights!$B$4,U578*KPI_Weights!$B$5,V578*KPI_Weights!$B$6,W578*KPI_Weights!$B$7,X578*KPI_Weights!$B$8,Y578*KPI_Weights!$B$9,Z578*KPI_Weights!$B$10,AA578*KPI_Weights!$B$11,AB578*KPI_Weights!$B$12,AC578*KPI_Weights!$B$13,AD578*KPI_Weights!$B$14,AE578*KPI_Weights!$B$15,AF578*KPI_Weights!$B$16,AG578*KPI_Weights!$B$17,AH578*KPI_Weights!$B$18))/5)</f>
        <v/>
      </c>
      <c r="AL578" t="str">
        <f t="shared" si="77"/>
        <v/>
      </c>
      <c r="AM578" t="str">
        <f t="shared" si="78"/>
        <v/>
      </c>
      <c r="AN578" t="str">
        <f t="shared" si="79"/>
        <v/>
      </c>
    </row>
    <row r="579" spans="1:40" ht="15" customHeight="1" x14ac:dyDescent="0.2">
      <c r="A579" t="str">
        <f>IF($B579="","",TEXT($B579,"yyyymmdd")&amp;"-"&amp;SUBSTITUTE($F579," ","")&amp;"-"&amp;TEXT(COUNTIF($F$4:F579,$F579),"00"))</f>
        <v/>
      </c>
      <c r="C579" t="str">
        <f t="shared" si="73"/>
        <v/>
      </c>
      <c r="D579" t="str">
        <f t="shared" si="74"/>
        <v/>
      </c>
      <c r="G579" t="str">
        <f>IF(OR($E579="",$F579=""),"",IFERROR(IF($E579=INDEX(Cluster_Master!$A$4:$A$18,MATCH($F579,Cluster_Master!$B$4:$B$18,0)),"OK","CHECK"),"CHECK"))</f>
        <v/>
      </c>
      <c r="H579" t="str">
        <f>IFERROR(INDEX(Cluster_Master!$C$4:$C$18,MATCH($F579,Cluster_Master!$B$4:$B$18,0)),"")</f>
        <v/>
      </c>
      <c r="I579" t="str">
        <f>IFERROR(INDEX(Cluster_Master!$D$4:$D$18,MATCH($F579,Cluster_Master!$B$4:$B$18,0)),"")</f>
        <v/>
      </c>
      <c r="J579" t="str">
        <f>IFERROR(INDEX(Cluster_Master!$E$4:$E$18,MATCH($F579,Cluster_Master!$B$4:$B$18,0)),"")</f>
        <v/>
      </c>
      <c r="K579" t="str">
        <f>IFERROR(INDEX(Cluster_Master!$F$4:$F$18,MATCH($F579,Cluster_Master!$B$4:$B$18,0)),"")</f>
        <v/>
      </c>
      <c r="L579" t="str">
        <f>IFERROR(INDEX(Cluster_Master!$G$4:$G$18,MATCH($F579,Cluster_Master!$B$4:$B$18,0)),"")</f>
        <v/>
      </c>
      <c r="M579" t="str">
        <f>IFERROR(INDEX(Cluster_Master!$H$4:$H$18,MATCH($F579,Cluster_Master!$B$4:$B$18,0)),"")</f>
        <v/>
      </c>
      <c r="AI579" t="str">
        <f t="shared" si="75"/>
        <v/>
      </c>
      <c r="AJ579" t="str">
        <f t="shared" si="76"/>
        <v/>
      </c>
      <c r="AK579" t="str">
        <f>IF(COUNTA(T579:AH579)=0,"",(SUM(T579*KPI_Weights!$B$4,U579*KPI_Weights!$B$5,V579*KPI_Weights!$B$6,W579*KPI_Weights!$B$7,X579*KPI_Weights!$B$8,Y579*KPI_Weights!$B$9,Z579*KPI_Weights!$B$10,AA579*KPI_Weights!$B$11,AB579*KPI_Weights!$B$12,AC579*KPI_Weights!$B$13,AD579*KPI_Weights!$B$14,AE579*KPI_Weights!$B$15,AF579*KPI_Weights!$B$16,AG579*KPI_Weights!$B$17,AH579*KPI_Weights!$B$18))/5)</f>
        <v/>
      </c>
      <c r="AL579" t="str">
        <f t="shared" si="77"/>
        <v/>
      </c>
      <c r="AM579" t="str">
        <f t="shared" si="78"/>
        <v/>
      </c>
      <c r="AN579" t="str">
        <f t="shared" si="79"/>
        <v/>
      </c>
    </row>
    <row r="580" spans="1:40" ht="15" customHeight="1" x14ac:dyDescent="0.2">
      <c r="A580" t="str">
        <f>IF($B580="","",TEXT($B580,"yyyymmdd")&amp;"-"&amp;SUBSTITUTE($F580," ","")&amp;"-"&amp;TEXT(COUNTIF($F$4:F580,$F580),"00"))</f>
        <v/>
      </c>
      <c r="C580" t="str">
        <f t="shared" si="73"/>
        <v/>
      </c>
      <c r="D580" t="str">
        <f t="shared" si="74"/>
        <v/>
      </c>
      <c r="G580" t="str">
        <f>IF(OR($E580="",$F580=""),"",IFERROR(IF($E580=INDEX(Cluster_Master!$A$4:$A$18,MATCH($F580,Cluster_Master!$B$4:$B$18,0)),"OK","CHECK"),"CHECK"))</f>
        <v/>
      </c>
      <c r="H580" t="str">
        <f>IFERROR(INDEX(Cluster_Master!$C$4:$C$18,MATCH($F580,Cluster_Master!$B$4:$B$18,0)),"")</f>
        <v/>
      </c>
      <c r="I580" t="str">
        <f>IFERROR(INDEX(Cluster_Master!$D$4:$D$18,MATCH($F580,Cluster_Master!$B$4:$B$18,0)),"")</f>
        <v/>
      </c>
      <c r="J580" t="str">
        <f>IFERROR(INDEX(Cluster_Master!$E$4:$E$18,MATCH($F580,Cluster_Master!$B$4:$B$18,0)),"")</f>
        <v/>
      </c>
      <c r="K580" t="str">
        <f>IFERROR(INDEX(Cluster_Master!$F$4:$F$18,MATCH($F580,Cluster_Master!$B$4:$B$18,0)),"")</f>
        <v/>
      </c>
      <c r="L580" t="str">
        <f>IFERROR(INDEX(Cluster_Master!$G$4:$G$18,MATCH($F580,Cluster_Master!$B$4:$B$18,0)),"")</f>
        <v/>
      </c>
      <c r="M580" t="str">
        <f>IFERROR(INDEX(Cluster_Master!$H$4:$H$18,MATCH($F580,Cluster_Master!$B$4:$B$18,0)),"")</f>
        <v/>
      </c>
      <c r="AI580" t="str">
        <f t="shared" si="75"/>
        <v/>
      </c>
      <c r="AJ580" t="str">
        <f t="shared" si="76"/>
        <v/>
      </c>
      <c r="AK580" t="str">
        <f>IF(COUNTA(T580:AH580)=0,"",(SUM(T580*KPI_Weights!$B$4,U580*KPI_Weights!$B$5,V580*KPI_Weights!$B$6,W580*KPI_Weights!$B$7,X580*KPI_Weights!$B$8,Y580*KPI_Weights!$B$9,Z580*KPI_Weights!$B$10,AA580*KPI_Weights!$B$11,AB580*KPI_Weights!$B$12,AC580*KPI_Weights!$B$13,AD580*KPI_Weights!$B$14,AE580*KPI_Weights!$B$15,AF580*KPI_Weights!$B$16,AG580*KPI_Weights!$B$17,AH580*KPI_Weights!$B$18))/5)</f>
        <v/>
      </c>
      <c r="AL580" t="str">
        <f t="shared" si="77"/>
        <v/>
      </c>
      <c r="AM580" t="str">
        <f t="shared" si="78"/>
        <v/>
      </c>
      <c r="AN580" t="str">
        <f t="shared" si="79"/>
        <v/>
      </c>
    </row>
    <row r="581" spans="1:40" ht="15" customHeight="1" x14ac:dyDescent="0.2">
      <c r="A581" t="str">
        <f>IF($B581="","",TEXT($B581,"yyyymmdd")&amp;"-"&amp;SUBSTITUTE($F581," ","")&amp;"-"&amp;TEXT(COUNTIF($F$4:F581,$F581),"00"))</f>
        <v/>
      </c>
      <c r="C581" t="str">
        <f t="shared" si="73"/>
        <v/>
      </c>
      <c r="D581" t="str">
        <f t="shared" si="74"/>
        <v/>
      </c>
      <c r="G581" t="str">
        <f>IF(OR($E581="",$F581=""),"",IFERROR(IF($E581=INDEX(Cluster_Master!$A$4:$A$18,MATCH($F581,Cluster_Master!$B$4:$B$18,0)),"OK","CHECK"),"CHECK"))</f>
        <v/>
      </c>
      <c r="H581" t="str">
        <f>IFERROR(INDEX(Cluster_Master!$C$4:$C$18,MATCH($F581,Cluster_Master!$B$4:$B$18,0)),"")</f>
        <v/>
      </c>
      <c r="I581" t="str">
        <f>IFERROR(INDEX(Cluster_Master!$D$4:$D$18,MATCH($F581,Cluster_Master!$B$4:$B$18,0)),"")</f>
        <v/>
      </c>
      <c r="J581" t="str">
        <f>IFERROR(INDEX(Cluster_Master!$E$4:$E$18,MATCH($F581,Cluster_Master!$B$4:$B$18,0)),"")</f>
        <v/>
      </c>
      <c r="K581" t="str">
        <f>IFERROR(INDEX(Cluster_Master!$F$4:$F$18,MATCH($F581,Cluster_Master!$B$4:$B$18,0)),"")</f>
        <v/>
      </c>
      <c r="L581" t="str">
        <f>IFERROR(INDEX(Cluster_Master!$G$4:$G$18,MATCH($F581,Cluster_Master!$B$4:$B$18,0)),"")</f>
        <v/>
      </c>
      <c r="M581" t="str">
        <f>IFERROR(INDEX(Cluster_Master!$H$4:$H$18,MATCH($F581,Cluster_Master!$B$4:$B$18,0)),"")</f>
        <v/>
      </c>
      <c r="AI581" t="str">
        <f t="shared" si="75"/>
        <v/>
      </c>
      <c r="AJ581" t="str">
        <f t="shared" si="76"/>
        <v/>
      </c>
      <c r="AK581" t="str">
        <f>IF(COUNTA(T581:AH581)=0,"",(SUM(T581*KPI_Weights!$B$4,U581*KPI_Weights!$B$5,V581*KPI_Weights!$B$6,W581*KPI_Weights!$B$7,X581*KPI_Weights!$B$8,Y581*KPI_Weights!$B$9,Z581*KPI_Weights!$B$10,AA581*KPI_Weights!$B$11,AB581*KPI_Weights!$B$12,AC581*KPI_Weights!$B$13,AD581*KPI_Weights!$B$14,AE581*KPI_Weights!$B$15,AF581*KPI_Weights!$B$16,AG581*KPI_Weights!$B$17,AH581*KPI_Weights!$B$18))/5)</f>
        <v/>
      </c>
      <c r="AL581" t="str">
        <f t="shared" si="77"/>
        <v/>
      </c>
      <c r="AM581" t="str">
        <f t="shared" si="78"/>
        <v/>
      </c>
      <c r="AN581" t="str">
        <f t="shared" si="79"/>
        <v/>
      </c>
    </row>
    <row r="582" spans="1:40" ht="15" customHeight="1" x14ac:dyDescent="0.2">
      <c r="A582" t="str">
        <f>IF($B582="","",TEXT($B582,"yyyymmdd")&amp;"-"&amp;SUBSTITUTE($F582," ","")&amp;"-"&amp;TEXT(COUNTIF($F$4:F582,$F582),"00"))</f>
        <v/>
      </c>
      <c r="C582" t="str">
        <f t="shared" si="73"/>
        <v/>
      </c>
      <c r="D582" t="str">
        <f t="shared" si="74"/>
        <v/>
      </c>
      <c r="G582" t="str">
        <f>IF(OR($E582="",$F582=""),"",IFERROR(IF($E582=INDEX(Cluster_Master!$A$4:$A$18,MATCH($F582,Cluster_Master!$B$4:$B$18,0)),"OK","CHECK"),"CHECK"))</f>
        <v/>
      </c>
      <c r="H582" t="str">
        <f>IFERROR(INDEX(Cluster_Master!$C$4:$C$18,MATCH($F582,Cluster_Master!$B$4:$B$18,0)),"")</f>
        <v/>
      </c>
      <c r="I582" t="str">
        <f>IFERROR(INDEX(Cluster_Master!$D$4:$D$18,MATCH($F582,Cluster_Master!$B$4:$B$18,0)),"")</f>
        <v/>
      </c>
      <c r="J582" t="str">
        <f>IFERROR(INDEX(Cluster_Master!$E$4:$E$18,MATCH($F582,Cluster_Master!$B$4:$B$18,0)),"")</f>
        <v/>
      </c>
      <c r="K582" t="str">
        <f>IFERROR(INDEX(Cluster_Master!$F$4:$F$18,MATCH($F582,Cluster_Master!$B$4:$B$18,0)),"")</f>
        <v/>
      </c>
      <c r="L582" t="str">
        <f>IFERROR(INDEX(Cluster_Master!$G$4:$G$18,MATCH($F582,Cluster_Master!$B$4:$B$18,0)),"")</f>
        <v/>
      </c>
      <c r="M582" t="str">
        <f>IFERROR(INDEX(Cluster_Master!$H$4:$H$18,MATCH($F582,Cluster_Master!$B$4:$B$18,0)),"")</f>
        <v/>
      </c>
      <c r="AI582" t="str">
        <f t="shared" si="75"/>
        <v/>
      </c>
      <c r="AJ582" t="str">
        <f t="shared" si="76"/>
        <v/>
      </c>
      <c r="AK582" t="str">
        <f>IF(COUNTA(T582:AH582)=0,"",(SUM(T582*KPI_Weights!$B$4,U582*KPI_Weights!$B$5,V582*KPI_Weights!$B$6,W582*KPI_Weights!$B$7,X582*KPI_Weights!$B$8,Y582*KPI_Weights!$B$9,Z582*KPI_Weights!$B$10,AA582*KPI_Weights!$B$11,AB582*KPI_Weights!$B$12,AC582*KPI_Weights!$B$13,AD582*KPI_Weights!$B$14,AE582*KPI_Weights!$B$15,AF582*KPI_Weights!$B$16,AG582*KPI_Weights!$B$17,AH582*KPI_Weights!$B$18))/5)</f>
        <v/>
      </c>
      <c r="AL582" t="str">
        <f t="shared" si="77"/>
        <v/>
      </c>
      <c r="AM582" t="str">
        <f t="shared" si="78"/>
        <v/>
      </c>
      <c r="AN582" t="str">
        <f t="shared" si="79"/>
        <v/>
      </c>
    </row>
    <row r="583" spans="1:40" ht="15" customHeight="1" x14ac:dyDescent="0.2">
      <c r="A583" t="str">
        <f>IF($B583="","",TEXT($B583,"yyyymmdd")&amp;"-"&amp;SUBSTITUTE($F583," ","")&amp;"-"&amp;TEXT(COUNTIF($F$4:F583,$F583),"00"))</f>
        <v/>
      </c>
      <c r="C583" t="str">
        <f t="shared" si="73"/>
        <v/>
      </c>
      <c r="D583" t="str">
        <f t="shared" si="74"/>
        <v/>
      </c>
      <c r="G583" t="str">
        <f>IF(OR($E583="",$F583=""),"",IFERROR(IF($E583=INDEX(Cluster_Master!$A$4:$A$18,MATCH($F583,Cluster_Master!$B$4:$B$18,0)),"OK","CHECK"),"CHECK"))</f>
        <v/>
      </c>
      <c r="H583" t="str">
        <f>IFERROR(INDEX(Cluster_Master!$C$4:$C$18,MATCH($F583,Cluster_Master!$B$4:$B$18,0)),"")</f>
        <v/>
      </c>
      <c r="I583" t="str">
        <f>IFERROR(INDEX(Cluster_Master!$D$4:$D$18,MATCH($F583,Cluster_Master!$B$4:$B$18,0)),"")</f>
        <v/>
      </c>
      <c r="J583" t="str">
        <f>IFERROR(INDEX(Cluster_Master!$E$4:$E$18,MATCH($F583,Cluster_Master!$B$4:$B$18,0)),"")</f>
        <v/>
      </c>
      <c r="K583" t="str">
        <f>IFERROR(INDEX(Cluster_Master!$F$4:$F$18,MATCH($F583,Cluster_Master!$B$4:$B$18,0)),"")</f>
        <v/>
      </c>
      <c r="L583" t="str">
        <f>IFERROR(INDEX(Cluster_Master!$G$4:$G$18,MATCH($F583,Cluster_Master!$B$4:$B$18,0)),"")</f>
        <v/>
      </c>
      <c r="M583" t="str">
        <f>IFERROR(INDEX(Cluster_Master!$H$4:$H$18,MATCH($F583,Cluster_Master!$B$4:$B$18,0)),"")</f>
        <v/>
      </c>
      <c r="AI583" t="str">
        <f t="shared" si="75"/>
        <v/>
      </c>
      <c r="AJ583" t="str">
        <f t="shared" si="76"/>
        <v/>
      </c>
      <c r="AK583" t="str">
        <f>IF(COUNTA(T583:AH583)=0,"",(SUM(T583*KPI_Weights!$B$4,U583*KPI_Weights!$B$5,V583*KPI_Weights!$B$6,W583*KPI_Weights!$B$7,X583*KPI_Weights!$B$8,Y583*KPI_Weights!$B$9,Z583*KPI_Weights!$B$10,AA583*KPI_Weights!$B$11,AB583*KPI_Weights!$B$12,AC583*KPI_Weights!$B$13,AD583*KPI_Weights!$B$14,AE583*KPI_Weights!$B$15,AF583*KPI_Weights!$B$16,AG583*KPI_Weights!$B$17,AH583*KPI_Weights!$B$18))/5)</f>
        <v/>
      </c>
      <c r="AL583" t="str">
        <f t="shared" si="77"/>
        <v/>
      </c>
      <c r="AM583" t="str">
        <f t="shared" si="78"/>
        <v/>
      </c>
      <c r="AN583" t="str">
        <f t="shared" si="79"/>
        <v/>
      </c>
    </row>
    <row r="584" spans="1:40" ht="15" customHeight="1" x14ac:dyDescent="0.2">
      <c r="A584" t="str">
        <f>IF($B584="","",TEXT($B584,"yyyymmdd")&amp;"-"&amp;SUBSTITUTE($F584," ","")&amp;"-"&amp;TEXT(COUNTIF($F$4:F584,$F584),"00"))</f>
        <v/>
      </c>
      <c r="C584" t="str">
        <f t="shared" si="73"/>
        <v/>
      </c>
      <c r="D584" t="str">
        <f t="shared" si="74"/>
        <v/>
      </c>
      <c r="G584" t="str">
        <f>IF(OR($E584="",$F584=""),"",IFERROR(IF($E584=INDEX(Cluster_Master!$A$4:$A$18,MATCH($F584,Cluster_Master!$B$4:$B$18,0)),"OK","CHECK"),"CHECK"))</f>
        <v/>
      </c>
      <c r="H584" t="str">
        <f>IFERROR(INDEX(Cluster_Master!$C$4:$C$18,MATCH($F584,Cluster_Master!$B$4:$B$18,0)),"")</f>
        <v/>
      </c>
      <c r="I584" t="str">
        <f>IFERROR(INDEX(Cluster_Master!$D$4:$D$18,MATCH($F584,Cluster_Master!$B$4:$B$18,0)),"")</f>
        <v/>
      </c>
      <c r="J584" t="str">
        <f>IFERROR(INDEX(Cluster_Master!$E$4:$E$18,MATCH($F584,Cluster_Master!$B$4:$B$18,0)),"")</f>
        <v/>
      </c>
      <c r="K584" t="str">
        <f>IFERROR(INDEX(Cluster_Master!$F$4:$F$18,MATCH($F584,Cluster_Master!$B$4:$B$18,0)),"")</f>
        <v/>
      </c>
      <c r="L584" t="str">
        <f>IFERROR(INDEX(Cluster_Master!$G$4:$G$18,MATCH($F584,Cluster_Master!$B$4:$B$18,0)),"")</f>
        <v/>
      </c>
      <c r="M584" t="str">
        <f>IFERROR(INDEX(Cluster_Master!$H$4:$H$18,MATCH($F584,Cluster_Master!$B$4:$B$18,0)),"")</f>
        <v/>
      </c>
      <c r="AI584" t="str">
        <f t="shared" si="75"/>
        <v/>
      </c>
      <c r="AJ584" t="str">
        <f t="shared" si="76"/>
        <v/>
      </c>
      <c r="AK584" t="str">
        <f>IF(COUNTA(T584:AH584)=0,"",(SUM(T584*KPI_Weights!$B$4,U584*KPI_Weights!$B$5,V584*KPI_Weights!$B$6,W584*KPI_Weights!$B$7,X584*KPI_Weights!$B$8,Y584*KPI_Weights!$B$9,Z584*KPI_Weights!$B$10,AA584*KPI_Weights!$B$11,AB584*KPI_Weights!$B$12,AC584*KPI_Weights!$B$13,AD584*KPI_Weights!$B$14,AE584*KPI_Weights!$B$15,AF584*KPI_Weights!$B$16,AG584*KPI_Weights!$B$17,AH584*KPI_Weights!$B$18))/5)</f>
        <v/>
      </c>
      <c r="AL584" t="str">
        <f t="shared" si="77"/>
        <v/>
      </c>
      <c r="AM584" t="str">
        <f t="shared" si="78"/>
        <v/>
      </c>
      <c r="AN584" t="str">
        <f t="shared" si="79"/>
        <v/>
      </c>
    </row>
    <row r="585" spans="1:40" ht="15" customHeight="1" x14ac:dyDescent="0.2">
      <c r="A585" t="str">
        <f>IF($B585="","",TEXT($B585,"yyyymmdd")&amp;"-"&amp;SUBSTITUTE($F585," ","")&amp;"-"&amp;TEXT(COUNTIF($F$4:F585,$F585),"00"))</f>
        <v/>
      </c>
      <c r="C585" t="str">
        <f t="shared" si="73"/>
        <v/>
      </c>
      <c r="D585" t="str">
        <f t="shared" si="74"/>
        <v/>
      </c>
      <c r="G585" t="str">
        <f>IF(OR($E585="",$F585=""),"",IFERROR(IF($E585=INDEX(Cluster_Master!$A$4:$A$18,MATCH($F585,Cluster_Master!$B$4:$B$18,0)),"OK","CHECK"),"CHECK"))</f>
        <v/>
      </c>
      <c r="H585" t="str">
        <f>IFERROR(INDEX(Cluster_Master!$C$4:$C$18,MATCH($F585,Cluster_Master!$B$4:$B$18,0)),"")</f>
        <v/>
      </c>
      <c r="I585" t="str">
        <f>IFERROR(INDEX(Cluster_Master!$D$4:$D$18,MATCH($F585,Cluster_Master!$B$4:$B$18,0)),"")</f>
        <v/>
      </c>
      <c r="J585" t="str">
        <f>IFERROR(INDEX(Cluster_Master!$E$4:$E$18,MATCH($F585,Cluster_Master!$B$4:$B$18,0)),"")</f>
        <v/>
      </c>
      <c r="K585" t="str">
        <f>IFERROR(INDEX(Cluster_Master!$F$4:$F$18,MATCH($F585,Cluster_Master!$B$4:$B$18,0)),"")</f>
        <v/>
      </c>
      <c r="L585" t="str">
        <f>IFERROR(INDEX(Cluster_Master!$G$4:$G$18,MATCH($F585,Cluster_Master!$B$4:$B$18,0)),"")</f>
        <v/>
      </c>
      <c r="M585" t="str">
        <f>IFERROR(INDEX(Cluster_Master!$H$4:$H$18,MATCH($F585,Cluster_Master!$B$4:$B$18,0)),"")</f>
        <v/>
      </c>
      <c r="AI585" t="str">
        <f t="shared" si="75"/>
        <v/>
      </c>
      <c r="AJ585" t="str">
        <f t="shared" si="76"/>
        <v/>
      </c>
      <c r="AK585" t="str">
        <f>IF(COUNTA(T585:AH585)=0,"",(SUM(T585*KPI_Weights!$B$4,U585*KPI_Weights!$B$5,V585*KPI_Weights!$B$6,W585*KPI_Weights!$B$7,X585*KPI_Weights!$B$8,Y585*KPI_Weights!$B$9,Z585*KPI_Weights!$B$10,AA585*KPI_Weights!$B$11,AB585*KPI_Weights!$B$12,AC585*KPI_Weights!$B$13,AD585*KPI_Weights!$B$14,AE585*KPI_Weights!$B$15,AF585*KPI_Weights!$B$16,AG585*KPI_Weights!$B$17,AH585*KPI_Weights!$B$18))/5)</f>
        <v/>
      </c>
      <c r="AL585" t="str">
        <f t="shared" si="77"/>
        <v/>
      </c>
      <c r="AM585" t="str">
        <f t="shared" si="78"/>
        <v/>
      </c>
      <c r="AN585" t="str">
        <f t="shared" si="79"/>
        <v/>
      </c>
    </row>
    <row r="586" spans="1:40" ht="15" customHeight="1" x14ac:dyDescent="0.2">
      <c r="A586" t="str">
        <f>IF($B586="","",TEXT($B586,"yyyymmdd")&amp;"-"&amp;SUBSTITUTE($F586," ","")&amp;"-"&amp;TEXT(COUNTIF($F$4:F586,$F586),"00"))</f>
        <v/>
      </c>
      <c r="C586" t="str">
        <f t="shared" si="73"/>
        <v/>
      </c>
      <c r="D586" t="str">
        <f t="shared" si="74"/>
        <v/>
      </c>
      <c r="G586" t="str">
        <f>IF(OR($E586="",$F586=""),"",IFERROR(IF($E586=INDEX(Cluster_Master!$A$4:$A$18,MATCH($F586,Cluster_Master!$B$4:$B$18,0)),"OK","CHECK"),"CHECK"))</f>
        <v/>
      </c>
      <c r="H586" t="str">
        <f>IFERROR(INDEX(Cluster_Master!$C$4:$C$18,MATCH($F586,Cluster_Master!$B$4:$B$18,0)),"")</f>
        <v/>
      </c>
      <c r="I586" t="str">
        <f>IFERROR(INDEX(Cluster_Master!$D$4:$D$18,MATCH($F586,Cluster_Master!$B$4:$B$18,0)),"")</f>
        <v/>
      </c>
      <c r="J586" t="str">
        <f>IFERROR(INDEX(Cluster_Master!$E$4:$E$18,MATCH($F586,Cluster_Master!$B$4:$B$18,0)),"")</f>
        <v/>
      </c>
      <c r="K586" t="str">
        <f>IFERROR(INDEX(Cluster_Master!$F$4:$F$18,MATCH($F586,Cluster_Master!$B$4:$B$18,0)),"")</f>
        <v/>
      </c>
      <c r="L586" t="str">
        <f>IFERROR(INDEX(Cluster_Master!$G$4:$G$18,MATCH($F586,Cluster_Master!$B$4:$B$18,0)),"")</f>
        <v/>
      </c>
      <c r="M586" t="str">
        <f>IFERROR(INDEX(Cluster_Master!$H$4:$H$18,MATCH($F586,Cluster_Master!$B$4:$B$18,0)),"")</f>
        <v/>
      </c>
      <c r="AI586" t="str">
        <f t="shared" si="75"/>
        <v/>
      </c>
      <c r="AJ586" t="str">
        <f t="shared" si="76"/>
        <v/>
      </c>
      <c r="AK586" t="str">
        <f>IF(COUNTA(T586:AH586)=0,"",(SUM(T586*KPI_Weights!$B$4,U586*KPI_Weights!$B$5,V586*KPI_Weights!$B$6,W586*KPI_Weights!$B$7,X586*KPI_Weights!$B$8,Y586*KPI_Weights!$B$9,Z586*KPI_Weights!$B$10,AA586*KPI_Weights!$B$11,AB586*KPI_Weights!$B$12,AC586*KPI_Weights!$B$13,AD586*KPI_Weights!$B$14,AE586*KPI_Weights!$B$15,AF586*KPI_Weights!$B$16,AG586*KPI_Weights!$B$17,AH586*KPI_Weights!$B$18))/5)</f>
        <v/>
      </c>
      <c r="AL586" t="str">
        <f t="shared" si="77"/>
        <v/>
      </c>
      <c r="AM586" t="str">
        <f t="shared" si="78"/>
        <v/>
      </c>
      <c r="AN586" t="str">
        <f t="shared" si="79"/>
        <v/>
      </c>
    </row>
    <row r="587" spans="1:40" ht="15" customHeight="1" x14ac:dyDescent="0.2">
      <c r="A587" t="str">
        <f>IF($B587="","",TEXT($B587,"yyyymmdd")&amp;"-"&amp;SUBSTITUTE($F587," ","")&amp;"-"&amp;TEXT(COUNTIF($F$4:F587,$F587),"00"))</f>
        <v/>
      </c>
      <c r="C587" t="str">
        <f t="shared" si="73"/>
        <v/>
      </c>
      <c r="D587" t="str">
        <f t="shared" si="74"/>
        <v/>
      </c>
      <c r="G587" t="str">
        <f>IF(OR($E587="",$F587=""),"",IFERROR(IF($E587=INDEX(Cluster_Master!$A$4:$A$18,MATCH($F587,Cluster_Master!$B$4:$B$18,0)),"OK","CHECK"),"CHECK"))</f>
        <v/>
      </c>
      <c r="H587" t="str">
        <f>IFERROR(INDEX(Cluster_Master!$C$4:$C$18,MATCH($F587,Cluster_Master!$B$4:$B$18,0)),"")</f>
        <v/>
      </c>
      <c r="I587" t="str">
        <f>IFERROR(INDEX(Cluster_Master!$D$4:$D$18,MATCH($F587,Cluster_Master!$B$4:$B$18,0)),"")</f>
        <v/>
      </c>
      <c r="J587" t="str">
        <f>IFERROR(INDEX(Cluster_Master!$E$4:$E$18,MATCH($F587,Cluster_Master!$B$4:$B$18,0)),"")</f>
        <v/>
      </c>
      <c r="K587" t="str">
        <f>IFERROR(INDEX(Cluster_Master!$F$4:$F$18,MATCH($F587,Cluster_Master!$B$4:$B$18,0)),"")</f>
        <v/>
      </c>
      <c r="L587" t="str">
        <f>IFERROR(INDEX(Cluster_Master!$G$4:$G$18,MATCH($F587,Cluster_Master!$B$4:$B$18,0)),"")</f>
        <v/>
      </c>
      <c r="M587" t="str">
        <f>IFERROR(INDEX(Cluster_Master!$H$4:$H$18,MATCH($F587,Cluster_Master!$B$4:$B$18,0)),"")</f>
        <v/>
      </c>
      <c r="AI587" t="str">
        <f t="shared" si="75"/>
        <v/>
      </c>
      <c r="AJ587" t="str">
        <f t="shared" si="76"/>
        <v/>
      </c>
      <c r="AK587" t="str">
        <f>IF(COUNTA(T587:AH587)=0,"",(SUM(T587*KPI_Weights!$B$4,U587*KPI_Weights!$B$5,V587*KPI_Weights!$B$6,W587*KPI_Weights!$B$7,X587*KPI_Weights!$B$8,Y587*KPI_Weights!$B$9,Z587*KPI_Weights!$B$10,AA587*KPI_Weights!$B$11,AB587*KPI_Weights!$B$12,AC587*KPI_Weights!$B$13,AD587*KPI_Weights!$B$14,AE587*KPI_Weights!$B$15,AF587*KPI_Weights!$B$16,AG587*KPI_Weights!$B$17,AH587*KPI_Weights!$B$18))/5)</f>
        <v/>
      </c>
      <c r="AL587" t="str">
        <f t="shared" si="77"/>
        <v/>
      </c>
      <c r="AM587" t="str">
        <f t="shared" si="78"/>
        <v/>
      </c>
      <c r="AN587" t="str">
        <f t="shared" si="79"/>
        <v/>
      </c>
    </row>
    <row r="588" spans="1:40" ht="15" customHeight="1" x14ac:dyDescent="0.2">
      <c r="A588" t="str">
        <f>IF($B588="","",TEXT($B588,"yyyymmdd")&amp;"-"&amp;SUBSTITUTE($F588," ","")&amp;"-"&amp;TEXT(COUNTIF($F$4:F588,$F588),"00"))</f>
        <v/>
      </c>
      <c r="C588" t="str">
        <f t="shared" si="73"/>
        <v/>
      </c>
      <c r="D588" t="str">
        <f t="shared" si="74"/>
        <v/>
      </c>
      <c r="G588" t="str">
        <f>IF(OR($E588="",$F588=""),"",IFERROR(IF($E588=INDEX(Cluster_Master!$A$4:$A$18,MATCH($F588,Cluster_Master!$B$4:$B$18,0)),"OK","CHECK"),"CHECK"))</f>
        <v/>
      </c>
      <c r="H588" t="str">
        <f>IFERROR(INDEX(Cluster_Master!$C$4:$C$18,MATCH($F588,Cluster_Master!$B$4:$B$18,0)),"")</f>
        <v/>
      </c>
      <c r="I588" t="str">
        <f>IFERROR(INDEX(Cluster_Master!$D$4:$D$18,MATCH($F588,Cluster_Master!$B$4:$B$18,0)),"")</f>
        <v/>
      </c>
      <c r="J588" t="str">
        <f>IFERROR(INDEX(Cluster_Master!$E$4:$E$18,MATCH($F588,Cluster_Master!$B$4:$B$18,0)),"")</f>
        <v/>
      </c>
      <c r="K588" t="str">
        <f>IFERROR(INDEX(Cluster_Master!$F$4:$F$18,MATCH($F588,Cluster_Master!$B$4:$B$18,0)),"")</f>
        <v/>
      </c>
      <c r="L588" t="str">
        <f>IFERROR(INDEX(Cluster_Master!$G$4:$G$18,MATCH($F588,Cluster_Master!$B$4:$B$18,0)),"")</f>
        <v/>
      </c>
      <c r="M588" t="str">
        <f>IFERROR(INDEX(Cluster_Master!$H$4:$H$18,MATCH($F588,Cluster_Master!$B$4:$B$18,0)),"")</f>
        <v/>
      </c>
      <c r="AI588" t="str">
        <f t="shared" si="75"/>
        <v/>
      </c>
      <c r="AJ588" t="str">
        <f t="shared" si="76"/>
        <v/>
      </c>
      <c r="AK588" t="str">
        <f>IF(COUNTA(T588:AH588)=0,"",(SUM(T588*KPI_Weights!$B$4,U588*KPI_Weights!$B$5,V588*KPI_Weights!$B$6,W588*KPI_Weights!$B$7,X588*KPI_Weights!$B$8,Y588*KPI_Weights!$B$9,Z588*KPI_Weights!$B$10,AA588*KPI_Weights!$B$11,AB588*KPI_Weights!$B$12,AC588*KPI_Weights!$B$13,AD588*KPI_Weights!$B$14,AE588*KPI_Weights!$B$15,AF588*KPI_Weights!$B$16,AG588*KPI_Weights!$B$17,AH588*KPI_Weights!$B$18))/5)</f>
        <v/>
      </c>
      <c r="AL588" t="str">
        <f t="shared" si="77"/>
        <v/>
      </c>
      <c r="AM588" t="str">
        <f t="shared" si="78"/>
        <v/>
      </c>
      <c r="AN588" t="str">
        <f t="shared" si="79"/>
        <v/>
      </c>
    </row>
    <row r="589" spans="1:40" ht="15" customHeight="1" x14ac:dyDescent="0.2">
      <c r="A589" t="str">
        <f>IF($B589="","",TEXT($B589,"yyyymmdd")&amp;"-"&amp;SUBSTITUTE($F589," ","")&amp;"-"&amp;TEXT(COUNTIF($F$4:F589,$F589),"00"))</f>
        <v/>
      </c>
      <c r="C589" t="str">
        <f t="shared" si="73"/>
        <v/>
      </c>
      <c r="D589" t="str">
        <f t="shared" si="74"/>
        <v/>
      </c>
      <c r="G589" t="str">
        <f>IF(OR($E589="",$F589=""),"",IFERROR(IF($E589=INDEX(Cluster_Master!$A$4:$A$18,MATCH($F589,Cluster_Master!$B$4:$B$18,0)),"OK","CHECK"),"CHECK"))</f>
        <v/>
      </c>
      <c r="H589" t="str">
        <f>IFERROR(INDEX(Cluster_Master!$C$4:$C$18,MATCH($F589,Cluster_Master!$B$4:$B$18,0)),"")</f>
        <v/>
      </c>
      <c r="I589" t="str">
        <f>IFERROR(INDEX(Cluster_Master!$D$4:$D$18,MATCH($F589,Cluster_Master!$B$4:$B$18,0)),"")</f>
        <v/>
      </c>
      <c r="J589" t="str">
        <f>IFERROR(INDEX(Cluster_Master!$E$4:$E$18,MATCH($F589,Cluster_Master!$B$4:$B$18,0)),"")</f>
        <v/>
      </c>
      <c r="K589" t="str">
        <f>IFERROR(INDEX(Cluster_Master!$F$4:$F$18,MATCH($F589,Cluster_Master!$B$4:$B$18,0)),"")</f>
        <v/>
      </c>
      <c r="L589" t="str">
        <f>IFERROR(INDEX(Cluster_Master!$G$4:$G$18,MATCH($F589,Cluster_Master!$B$4:$B$18,0)),"")</f>
        <v/>
      </c>
      <c r="M589" t="str">
        <f>IFERROR(INDEX(Cluster_Master!$H$4:$H$18,MATCH($F589,Cluster_Master!$B$4:$B$18,0)),"")</f>
        <v/>
      </c>
      <c r="AI589" t="str">
        <f t="shared" si="75"/>
        <v/>
      </c>
      <c r="AJ589" t="str">
        <f t="shared" si="76"/>
        <v/>
      </c>
      <c r="AK589" t="str">
        <f>IF(COUNTA(T589:AH589)=0,"",(SUM(T589*KPI_Weights!$B$4,U589*KPI_Weights!$B$5,V589*KPI_Weights!$B$6,W589*KPI_Weights!$B$7,X589*KPI_Weights!$B$8,Y589*KPI_Weights!$B$9,Z589*KPI_Weights!$B$10,AA589*KPI_Weights!$B$11,AB589*KPI_Weights!$B$12,AC589*KPI_Weights!$B$13,AD589*KPI_Weights!$B$14,AE589*KPI_Weights!$B$15,AF589*KPI_Weights!$B$16,AG589*KPI_Weights!$B$17,AH589*KPI_Weights!$B$18))/5)</f>
        <v/>
      </c>
      <c r="AL589" t="str">
        <f t="shared" si="77"/>
        <v/>
      </c>
      <c r="AM589" t="str">
        <f t="shared" si="78"/>
        <v/>
      </c>
      <c r="AN589" t="str">
        <f t="shared" si="79"/>
        <v/>
      </c>
    </row>
    <row r="590" spans="1:40" ht="15" customHeight="1" x14ac:dyDescent="0.2">
      <c r="A590" t="str">
        <f>IF($B590="","",TEXT($B590,"yyyymmdd")&amp;"-"&amp;SUBSTITUTE($F590," ","")&amp;"-"&amp;TEXT(COUNTIF($F$4:F590,$F590),"00"))</f>
        <v/>
      </c>
      <c r="C590" t="str">
        <f t="shared" si="73"/>
        <v/>
      </c>
      <c r="D590" t="str">
        <f t="shared" si="74"/>
        <v/>
      </c>
      <c r="G590" t="str">
        <f>IF(OR($E590="",$F590=""),"",IFERROR(IF($E590=INDEX(Cluster_Master!$A$4:$A$18,MATCH($F590,Cluster_Master!$B$4:$B$18,0)),"OK","CHECK"),"CHECK"))</f>
        <v/>
      </c>
      <c r="H590" t="str">
        <f>IFERROR(INDEX(Cluster_Master!$C$4:$C$18,MATCH($F590,Cluster_Master!$B$4:$B$18,0)),"")</f>
        <v/>
      </c>
      <c r="I590" t="str">
        <f>IFERROR(INDEX(Cluster_Master!$D$4:$D$18,MATCH($F590,Cluster_Master!$B$4:$B$18,0)),"")</f>
        <v/>
      </c>
      <c r="J590" t="str">
        <f>IFERROR(INDEX(Cluster_Master!$E$4:$E$18,MATCH($F590,Cluster_Master!$B$4:$B$18,0)),"")</f>
        <v/>
      </c>
      <c r="K590" t="str">
        <f>IFERROR(INDEX(Cluster_Master!$F$4:$F$18,MATCH($F590,Cluster_Master!$B$4:$B$18,0)),"")</f>
        <v/>
      </c>
      <c r="L590" t="str">
        <f>IFERROR(INDEX(Cluster_Master!$G$4:$G$18,MATCH($F590,Cluster_Master!$B$4:$B$18,0)),"")</f>
        <v/>
      </c>
      <c r="M590" t="str">
        <f>IFERROR(INDEX(Cluster_Master!$H$4:$H$18,MATCH($F590,Cluster_Master!$B$4:$B$18,0)),"")</f>
        <v/>
      </c>
      <c r="AI590" t="str">
        <f t="shared" si="75"/>
        <v/>
      </c>
      <c r="AJ590" t="str">
        <f t="shared" si="76"/>
        <v/>
      </c>
      <c r="AK590" t="str">
        <f>IF(COUNTA(T590:AH590)=0,"",(SUM(T590*KPI_Weights!$B$4,U590*KPI_Weights!$B$5,V590*KPI_Weights!$B$6,W590*KPI_Weights!$B$7,X590*KPI_Weights!$B$8,Y590*KPI_Weights!$B$9,Z590*KPI_Weights!$B$10,AA590*KPI_Weights!$B$11,AB590*KPI_Weights!$B$12,AC590*KPI_Weights!$B$13,AD590*KPI_Weights!$B$14,AE590*KPI_Weights!$B$15,AF590*KPI_Weights!$B$16,AG590*KPI_Weights!$B$17,AH590*KPI_Weights!$B$18))/5)</f>
        <v/>
      </c>
      <c r="AL590" t="str">
        <f t="shared" si="77"/>
        <v/>
      </c>
      <c r="AM590" t="str">
        <f t="shared" si="78"/>
        <v/>
      </c>
      <c r="AN590" t="str">
        <f t="shared" si="79"/>
        <v/>
      </c>
    </row>
    <row r="591" spans="1:40" ht="15" customHeight="1" x14ac:dyDescent="0.2">
      <c r="A591" t="str">
        <f>IF($B591="","",TEXT($B591,"yyyymmdd")&amp;"-"&amp;SUBSTITUTE($F591," ","")&amp;"-"&amp;TEXT(COUNTIF($F$4:F591,$F591),"00"))</f>
        <v/>
      </c>
      <c r="C591" t="str">
        <f t="shared" si="73"/>
        <v/>
      </c>
      <c r="D591" t="str">
        <f t="shared" si="74"/>
        <v/>
      </c>
      <c r="G591" t="str">
        <f>IF(OR($E591="",$F591=""),"",IFERROR(IF($E591=INDEX(Cluster_Master!$A$4:$A$18,MATCH($F591,Cluster_Master!$B$4:$B$18,0)),"OK","CHECK"),"CHECK"))</f>
        <v/>
      </c>
      <c r="H591" t="str">
        <f>IFERROR(INDEX(Cluster_Master!$C$4:$C$18,MATCH($F591,Cluster_Master!$B$4:$B$18,0)),"")</f>
        <v/>
      </c>
      <c r="I591" t="str">
        <f>IFERROR(INDEX(Cluster_Master!$D$4:$D$18,MATCH($F591,Cluster_Master!$B$4:$B$18,0)),"")</f>
        <v/>
      </c>
      <c r="J591" t="str">
        <f>IFERROR(INDEX(Cluster_Master!$E$4:$E$18,MATCH($F591,Cluster_Master!$B$4:$B$18,0)),"")</f>
        <v/>
      </c>
      <c r="K591" t="str">
        <f>IFERROR(INDEX(Cluster_Master!$F$4:$F$18,MATCH($F591,Cluster_Master!$B$4:$B$18,0)),"")</f>
        <v/>
      </c>
      <c r="L591" t="str">
        <f>IFERROR(INDEX(Cluster_Master!$G$4:$G$18,MATCH($F591,Cluster_Master!$B$4:$B$18,0)),"")</f>
        <v/>
      </c>
      <c r="M591" t="str">
        <f>IFERROR(INDEX(Cluster_Master!$H$4:$H$18,MATCH($F591,Cluster_Master!$B$4:$B$18,0)),"")</f>
        <v/>
      </c>
      <c r="AI591" t="str">
        <f t="shared" si="75"/>
        <v/>
      </c>
      <c r="AJ591" t="str">
        <f t="shared" si="76"/>
        <v/>
      </c>
      <c r="AK591" t="str">
        <f>IF(COUNTA(T591:AH591)=0,"",(SUM(T591*KPI_Weights!$B$4,U591*KPI_Weights!$B$5,V591*KPI_Weights!$B$6,W591*KPI_Weights!$B$7,X591*KPI_Weights!$B$8,Y591*KPI_Weights!$B$9,Z591*KPI_Weights!$B$10,AA591*KPI_Weights!$B$11,AB591*KPI_Weights!$B$12,AC591*KPI_Weights!$B$13,AD591*KPI_Weights!$B$14,AE591*KPI_Weights!$B$15,AF591*KPI_Weights!$B$16,AG591*KPI_Weights!$B$17,AH591*KPI_Weights!$B$18))/5)</f>
        <v/>
      </c>
      <c r="AL591" t="str">
        <f t="shared" si="77"/>
        <v/>
      </c>
      <c r="AM591" t="str">
        <f t="shared" si="78"/>
        <v/>
      </c>
      <c r="AN591" t="str">
        <f t="shared" si="79"/>
        <v/>
      </c>
    </row>
    <row r="592" spans="1:40" ht="15" customHeight="1" x14ac:dyDescent="0.2">
      <c r="A592" t="str">
        <f>IF($B592="","",TEXT($B592,"yyyymmdd")&amp;"-"&amp;SUBSTITUTE($F592," ","")&amp;"-"&amp;TEXT(COUNTIF($F$4:F592,$F592),"00"))</f>
        <v/>
      </c>
      <c r="C592" t="str">
        <f t="shared" si="73"/>
        <v/>
      </c>
      <c r="D592" t="str">
        <f t="shared" si="74"/>
        <v/>
      </c>
      <c r="G592" t="str">
        <f>IF(OR($E592="",$F592=""),"",IFERROR(IF($E592=INDEX(Cluster_Master!$A$4:$A$18,MATCH($F592,Cluster_Master!$B$4:$B$18,0)),"OK","CHECK"),"CHECK"))</f>
        <v/>
      </c>
      <c r="H592" t="str">
        <f>IFERROR(INDEX(Cluster_Master!$C$4:$C$18,MATCH($F592,Cluster_Master!$B$4:$B$18,0)),"")</f>
        <v/>
      </c>
      <c r="I592" t="str">
        <f>IFERROR(INDEX(Cluster_Master!$D$4:$D$18,MATCH($F592,Cluster_Master!$B$4:$B$18,0)),"")</f>
        <v/>
      </c>
      <c r="J592" t="str">
        <f>IFERROR(INDEX(Cluster_Master!$E$4:$E$18,MATCH($F592,Cluster_Master!$B$4:$B$18,0)),"")</f>
        <v/>
      </c>
      <c r="K592" t="str">
        <f>IFERROR(INDEX(Cluster_Master!$F$4:$F$18,MATCH($F592,Cluster_Master!$B$4:$B$18,0)),"")</f>
        <v/>
      </c>
      <c r="L592" t="str">
        <f>IFERROR(INDEX(Cluster_Master!$G$4:$G$18,MATCH($F592,Cluster_Master!$B$4:$B$18,0)),"")</f>
        <v/>
      </c>
      <c r="M592" t="str">
        <f>IFERROR(INDEX(Cluster_Master!$H$4:$H$18,MATCH($F592,Cluster_Master!$B$4:$B$18,0)),"")</f>
        <v/>
      </c>
      <c r="AI592" t="str">
        <f t="shared" si="75"/>
        <v/>
      </c>
      <c r="AJ592" t="str">
        <f t="shared" si="76"/>
        <v/>
      </c>
      <c r="AK592" t="str">
        <f>IF(COUNTA(T592:AH592)=0,"",(SUM(T592*KPI_Weights!$B$4,U592*KPI_Weights!$B$5,V592*KPI_Weights!$B$6,W592*KPI_Weights!$B$7,X592*KPI_Weights!$B$8,Y592*KPI_Weights!$B$9,Z592*KPI_Weights!$B$10,AA592*KPI_Weights!$B$11,AB592*KPI_Weights!$B$12,AC592*KPI_Weights!$B$13,AD592*KPI_Weights!$B$14,AE592*KPI_Weights!$B$15,AF592*KPI_Weights!$B$16,AG592*KPI_Weights!$B$17,AH592*KPI_Weights!$B$18))/5)</f>
        <v/>
      </c>
      <c r="AL592" t="str">
        <f t="shared" si="77"/>
        <v/>
      </c>
      <c r="AM592" t="str">
        <f t="shared" si="78"/>
        <v/>
      </c>
      <c r="AN592" t="str">
        <f t="shared" si="79"/>
        <v/>
      </c>
    </row>
    <row r="593" spans="1:40" ht="15" customHeight="1" x14ac:dyDescent="0.2">
      <c r="A593" t="str">
        <f>IF($B593="","",TEXT($B593,"yyyymmdd")&amp;"-"&amp;SUBSTITUTE($F593," ","")&amp;"-"&amp;TEXT(COUNTIF($F$4:F593,$F593),"00"))</f>
        <v/>
      </c>
      <c r="C593" t="str">
        <f t="shared" si="73"/>
        <v/>
      </c>
      <c r="D593" t="str">
        <f t="shared" si="74"/>
        <v/>
      </c>
      <c r="G593" t="str">
        <f>IF(OR($E593="",$F593=""),"",IFERROR(IF($E593=INDEX(Cluster_Master!$A$4:$A$18,MATCH($F593,Cluster_Master!$B$4:$B$18,0)),"OK","CHECK"),"CHECK"))</f>
        <v/>
      </c>
      <c r="H593" t="str">
        <f>IFERROR(INDEX(Cluster_Master!$C$4:$C$18,MATCH($F593,Cluster_Master!$B$4:$B$18,0)),"")</f>
        <v/>
      </c>
      <c r="I593" t="str">
        <f>IFERROR(INDEX(Cluster_Master!$D$4:$D$18,MATCH($F593,Cluster_Master!$B$4:$B$18,0)),"")</f>
        <v/>
      </c>
      <c r="J593" t="str">
        <f>IFERROR(INDEX(Cluster_Master!$E$4:$E$18,MATCH($F593,Cluster_Master!$B$4:$B$18,0)),"")</f>
        <v/>
      </c>
      <c r="K593" t="str">
        <f>IFERROR(INDEX(Cluster_Master!$F$4:$F$18,MATCH($F593,Cluster_Master!$B$4:$B$18,0)),"")</f>
        <v/>
      </c>
      <c r="L593" t="str">
        <f>IFERROR(INDEX(Cluster_Master!$G$4:$G$18,MATCH($F593,Cluster_Master!$B$4:$B$18,0)),"")</f>
        <v/>
      </c>
      <c r="M593" t="str">
        <f>IFERROR(INDEX(Cluster_Master!$H$4:$H$18,MATCH($F593,Cluster_Master!$B$4:$B$18,0)),"")</f>
        <v/>
      </c>
      <c r="AI593" t="str">
        <f t="shared" si="75"/>
        <v/>
      </c>
      <c r="AJ593" t="str">
        <f t="shared" si="76"/>
        <v/>
      </c>
      <c r="AK593" t="str">
        <f>IF(COUNTA(T593:AH593)=0,"",(SUM(T593*KPI_Weights!$B$4,U593*KPI_Weights!$B$5,V593*KPI_Weights!$B$6,W593*KPI_Weights!$B$7,X593*KPI_Weights!$B$8,Y593*KPI_Weights!$B$9,Z593*KPI_Weights!$B$10,AA593*KPI_Weights!$B$11,AB593*KPI_Weights!$B$12,AC593*KPI_Weights!$B$13,AD593*KPI_Weights!$B$14,AE593*KPI_Weights!$B$15,AF593*KPI_Weights!$B$16,AG593*KPI_Weights!$B$17,AH593*KPI_Weights!$B$18))/5)</f>
        <v/>
      </c>
      <c r="AL593" t="str">
        <f t="shared" si="77"/>
        <v/>
      </c>
      <c r="AM593" t="str">
        <f t="shared" si="78"/>
        <v/>
      </c>
      <c r="AN593" t="str">
        <f t="shared" si="79"/>
        <v/>
      </c>
    </row>
    <row r="594" spans="1:40" ht="15" customHeight="1" x14ac:dyDescent="0.2">
      <c r="A594" t="str">
        <f>IF($B594="","",TEXT($B594,"yyyymmdd")&amp;"-"&amp;SUBSTITUTE($F594," ","")&amp;"-"&amp;TEXT(COUNTIF($F$4:F594,$F594),"00"))</f>
        <v/>
      </c>
      <c r="C594" t="str">
        <f t="shared" si="73"/>
        <v/>
      </c>
      <c r="D594" t="str">
        <f t="shared" si="74"/>
        <v/>
      </c>
      <c r="G594" t="str">
        <f>IF(OR($E594="",$F594=""),"",IFERROR(IF($E594=INDEX(Cluster_Master!$A$4:$A$18,MATCH($F594,Cluster_Master!$B$4:$B$18,0)),"OK","CHECK"),"CHECK"))</f>
        <v/>
      </c>
      <c r="H594" t="str">
        <f>IFERROR(INDEX(Cluster_Master!$C$4:$C$18,MATCH($F594,Cluster_Master!$B$4:$B$18,0)),"")</f>
        <v/>
      </c>
      <c r="I594" t="str">
        <f>IFERROR(INDEX(Cluster_Master!$D$4:$D$18,MATCH($F594,Cluster_Master!$B$4:$B$18,0)),"")</f>
        <v/>
      </c>
      <c r="J594" t="str">
        <f>IFERROR(INDEX(Cluster_Master!$E$4:$E$18,MATCH($F594,Cluster_Master!$B$4:$B$18,0)),"")</f>
        <v/>
      </c>
      <c r="K594" t="str">
        <f>IFERROR(INDEX(Cluster_Master!$F$4:$F$18,MATCH($F594,Cluster_Master!$B$4:$B$18,0)),"")</f>
        <v/>
      </c>
      <c r="L594" t="str">
        <f>IFERROR(INDEX(Cluster_Master!$G$4:$G$18,MATCH($F594,Cluster_Master!$B$4:$B$18,0)),"")</f>
        <v/>
      </c>
      <c r="M594" t="str">
        <f>IFERROR(INDEX(Cluster_Master!$H$4:$H$18,MATCH($F594,Cluster_Master!$B$4:$B$18,0)),"")</f>
        <v/>
      </c>
      <c r="AI594" t="str">
        <f t="shared" si="75"/>
        <v/>
      </c>
      <c r="AJ594" t="str">
        <f t="shared" si="76"/>
        <v/>
      </c>
      <c r="AK594" t="str">
        <f>IF(COUNTA(T594:AH594)=0,"",(SUM(T594*KPI_Weights!$B$4,U594*KPI_Weights!$B$5,V594*KPI_Weights!$B$6,W594*KPI_Weights!$B$7,X594*KPI_Weights!$B$8,Y594*KPI_Weights!$B$9,Z594*KPI_Weights!$B$10,AA594*KPI_Weights!$B$11,AB594*KPI_Weights!$B$12,AC594*KPI_Weights!$B$13,AD594*KPI_Weights!$B$14,AE594*KPI_Weights!$B$15,AF594*KPI_Weights!$B$16,AG594*KPI_Weights!$B$17,AH594*KPI_Weights!$B$18))/5)</f>
        <v/>
      </c>
      <c r="AL594" t="str">
        <f t="shared" si="77"/>
        <v/>
      </c>
      <c r="AM594" t="str">
        <f t="shared" si="78"/>
        <v/>
      </c>
      <c r="AN594" t="str">
        <f t="shared" si="79"/>
        <v/>
      </c>
    </row>
    <row r="595" spans="1:40" ht="15" customHeight="1" x14ac:dyDescent="0.2">
      <c r="A595" t="str">
        <f>IF($B595="","",TEXT($B595,"yyyymmdd")&amp;"-"&amp;SUBSTITUTE($F595," ","")&amp;"-"&amp;TEXT(COUNTIF($F$4:F595,$F595),"00"))</f>
        <v/>
      </c>
      <c r="C595" t="str">
        <f t="shared" si="73"/>
        <v/>
      </c>
      <c r="D595" t="str">
        <f t="shared" si="74"/>
        <v/>
      </c>
      <c r="G595" t="str">
        <f>IF(OR($E595="",$F595=""),"",IFERROR(IF($E595=INDEX(Cluster_Master!$A$4:$A$18,MATCH($F595,Cluster_Master!$B$4:$B$18,0)),"OK","CHECK"),"CHECK"))</f>
        <v/>
      </c>
      <c r="H595" t="str">
        <f>IFERROR(INDEX(Cluster_Master!$C$4:$C$18,MATCH($F595,Cluster_Master!$B$4:$B$18,0)),"")</f>
        <v/>
      </c>
      <c r="I595" t="str">
        <f>IFERROR(INDEX(Cluster_Master!$D$4:$D$18,MATCH($F595,Cluster_Master!$B$4:$B$18,0)),"")</f>
        <v/>
      </c>
      <c r="J595" t="str">
        <f>IFERROR(INDEX(Cluster_Master!$E$4:$E$18,MATCH($F595,Cluster_Master!$B$4:$B$18,0)),"")</f>
        <v/>
      </c>
      <c r="K595" t="str">
        <f>IFERROR(INDEX(Cluster_Master!$F$4:$F$18,MATCH($F595,Cluster_Master!$B$4:$B$18,0)),"")</f>
        <v/>
      </c>
      <c r="L595" t="str">
        <f>IFERROR(INDEX(Cluster_Master!$G$4:$G$18,MATCH($F595,Cluster_Master!$B$4:$B$18,0)),"")</f>
        <v/>
      </c>
      <c r="M595" t="str">
        <f>IFERROR(INDEX(Cluster_Master!$H$4:$H$18,MATCH($F595,Cluster_Master!$B$4:$B$18,0)),"")</f>
        <v/>
      </c>
      <c r="AI595" t="str">
        <f t="shared" si="75"/>
        <v/>
      </c>
      <c r="AJ595" t="str">
        <f t="shared" si="76"/>
        <v/>
      </c>
      <c r="AK595" t="str">
        <f>IF(COUNTA(T595:AH595)=0,"",(SUM(T595*KPI_Weights!$B$4,U595*KPI_Weights!$B$5,V595*KPI_Weights!$B$6,W595*KPI_Weights!$B$7,X595*KPI_Weights!$B$8,Y595*KPI_Weights!$B$9,Z595*KPI_Weights!$B$10,AA595*KPI_Weights!$B$11,AB595*KPI_Weights!$B$12,AC595*KPI_Weights!$B$13,AD595*KPI_Weights!$B$14,AE595*KPI_Weights!$B$15,AF595*KPI_Weights!$B$16,AG595*KPI_Weights!$B$17,AH595*KPI_Weights!$B$18))/5)</f>
        <v/>
      </c>
      <c r="AL595" t="str">
        <f t="shared" si="77"/>
        <v/>
      </c>
      <c r="AM595" t="str">
        <f t="shared" si="78"/>
        <v/>
      </c>
      <c r="AN595" t="str">
        <f t="shared" si="79"/>
        <v/>
      </c>
    </row>
    <row r="596" spans="1:40" ht="15" customHeight="1" x14ac:dyDescent="0.2">
      <c r="A596" t="str">
        <f>IF($B596="","",TEXT($B596,"yyyymmdd")&amp;"-"&amp;SUBSTITUTE($F596," ","")&amp;"-"&amp;TEXT(COUNTIF($F$4:F596,$F596),"00"))</f>
        <v/>
      </c>
      <c r="C596" t="str">
        <f t="shared" si="73"/>
        <v/>
      </c>
      <c r="D596" t="str">
        <f t="shared" si="74"/>
        <v/>
      </c>
      <c r="G596" t="str">
        <f>IF(OR($E596="",$F596=""),"",IFERROR(IF($E596=INDEX(Cluster_Master!$A$4:$A$18,MATCH($F596,Cluster_Master!$B$4:$B$18,0)),"OK","CHECK"),"CHECK"))</f>
        <v/>
      </c>
      <c r="H596" t="str">
        <f>IFERROR(INDEX(Cluster_Master!$C$4:$C$18,MATCH($F596,Cluster_Master!$B$4:$B$18,0)),"")</f>
        <v/>
      </c>
      <c r="I596" t="str">
        <f>IFERROR(INDEX(Cluster_Master!$D$4:$D$18,MATCH($F596,Cluster_Master!$B$4:$B$18,0)),"")</f>
        <v/>
      </c>
      <c r="J596" t="str">
        <f>IFERROR(INDEX(Cluster_Master!$E$4:$E$18,MATCH($F596,Cluster_Master!$B$4:$B$18,0)),"")</f>
        <v/>
      </c>
      <c r="K596" t="str">
        <f>IFERROR(INDEX(Cluster_Master!$F$4:$F$18,MATCH($F596,Cluster_Master!$B$4:$B$18,0)),"")</f>
        <v/>
      </c>
      <c r="L596" t="str">
        <f>IFERROR(INDEX(Cluster_Master!$G$4:$G$18,MATCH($F596,Cluster_Master!$B$4:$B$18,0)),"")</f>
        <v/>
      </c>
      <c r="M596" t="str">
        <f>IFERROR(INDEX(Cluster_Master!$H$4:$H$18,MATCH($F596,Cluster_Master!$B$4:$B$18,0)),"")</f>
        <v/>
      </c>
      <c r="AI596" t="str">
        <f t="shared" si="75"/>
        <v/>
      </c>
      <c r="AJ596" t="str">
        <f t="shared" si="76"/>
        <v/>
      </c>
      <c r="AK596" t="str">
        <f>IF(COUNTA(T596:AH596)=0,"",(SUM(T596*KPI_Weights!$B$4,U596*KPI_Weights!$B$5,V596*KPI_Weights!$B$6,W596*KPI_Weights!$B$7,X596*KPI_Weights!$B$8,Y596*KPI_Weights!$B$9,Z596*KPI_Weights!$B$10,AA596*KPI_Weights!$B$11,AB596*KPI_Weights!$B$12,AC596*KPI_Weights!$B$13,AD596*KPI_Weights!$B$14,AE596*KPI_Weights!$B$15,AF596*KPI_Weights!$B$16,AG596*KPI_Weights!$B$17,AH596*KPI_Weights!$B$18))/5)</f>
        <v/>
      </c>
      <c r="AL596" t="str">
        <f t="shared" si="77"/>
        <v/>
      </c>
      <c r="AM596" t="str">
        <f t="shared" si="78"/>
        <v/>
      </c>
      <c r="AN596" t="str">
        <f t="shared" si="79"/>
        <v/>
      </c>
    </row>
    <row r="597" spans="1:40" ht="15" customHeight="1" x14ac:dyDescent="0.2">
      <c r="A597" t="str">
        <f>IF($B597="","",TEXT($B597,"yyyymmdd")&amp;"-"&amp;SUBSTITUTE($F597," ","")&amp;"-"&amp;TEXT(COUNTIF($F$4:F597,$F597),"00"))</f>
        <v/>
      </c>
      <c r="C597" t="str">
        <f t="shared" si="73"/>
        <v/>
      </c>
      <c r="D597" t="str">
        <f t="shared" si="74"/>
        <v/>
      </c>
      <c r="G597" t="str">
        <f>IF(OR($E597="",$F597=""),"",IFERROR(IF($E597=INDEX(Cluster_Master!$A$4:$A$18,MATCH($F597,Cluster_Master!$B$4:$B$18,0)),"OK","CHECK"),"CHECK"))</f>
        <v/>
      </c>
      <c r="H597" t="str">
        <f>IFERROR(INDEX(Cluster_Master!$C$4:$C$18,MATCH($F597,Cluster_Master!$B$4:$B$18,0)),"")</f>
        <v/>
      </c>
      <c r="I597" t="str">
        <f>IFERROR(INDEX(Cluster_Master!$D$4:$D$18,MATCH($F597,Cluster_Master!$B$4:$B$18,0)),"")</f>
        <v/>
      </c>
      <c r="J597" t="str">
        <f>IFERROR(INDEX(Cluster_Master!$E$4:$E$18,MATCH($F597,Cluster_Master!$B$4:$B$18,0)),"")</f>
        <v/>
      </c>
      <c r="K597" t="str">
        <f>IFERROR(INDEX(Cluster_Master!$F$4:$F$18,MATCH($F597,Cluster_Master!$B$4:$B$18,0)),"")</f>
        <v/>
      </c>
      <c r="L597" t="str">
        <f>IFERROR(INDEX(Cluster_Master!$G$4:$G$18,MATCH($F597,Cluster_Master!$B$4:$B$18,0)),"")</f>
        <v/>
      </c>
      <c r="M597" t="str">
        <f>IFERROR(INDEX(Cluster_Master!$H$4:$H$18,MATCH($F597,Cluster_Master!$B$4:$B$18,0)),"")</f>
        <v/>
      </c>
      <c r="AI597" t="str">
        <f t="shared" si="75"/>
        <v/>
      </c>
      <c r="AJ597" t="str">
        <f t="shared" si="76"/>
        <v/>
      </c>
      <c r="AK597" t="str">
        <f>IF(COUNTA(T597:AH597)=0,"",(SUM(T597*KPI_Weights!$B$4,U597*KPI_Weights!$B$5,V597*KPI_Weights!$B$6,W597*KPI_Weights!$B$7,X597*KPI_Weights!$B$8,Y597*KPI_Weights!$B$9,Z597*KPI_Weights!$B$10,AA597*KPI_Weights!$B$11,AB597*KPI_Weights!$B$12,AC597*KPI_Weights!$B$13,AD597*KPI_Weights!$B$14,AE597*KPI_Weights!$B$15,AF597*KPI_Weights!$B$16,AG597*KPI_Weights!$B$17,AH597*KPI_Weights!$B$18))/5)</f>
        <v/>
      </c>
      <c r="AL597" t="str">
        <f t="shared" si="77"/>
        <v/>
      </c>
      <c r="AM597" t="str">
        <f t="shared" si="78"/>
        <v/>
      </c>
      <c r="AN597" t="str">
        <f t="shared" si="79"/>
        <v/>
      </c>
    </row>
    <row r="598" spans="1:40" ht="15" customHeight="1" x14ac:dyDescent="0.2">
      <c r="A598" t="str">
        <f>IF($B598="","",TEXT($B598,"yyyymmdd")&amp;"-"&amp;SUBSTITUTE($F598," ","")&amp;"-"&amp;TEXT(COUNTIF($F$4:F598,$F598),"00"))</f>
        <v/>
      </c>
      <c r="C598" t="str">
        <f t="shared" si="73"/>
        <v/>
      </c>
      <c r="D598" t="str">
        <f t="shared" si="74"/>
        <v/>
      </c>
      <c r="G598" t="str">
        <f>IF(OR($E598="",$F598=""),"",IFERROR(IF($E598=INDEX(Cluster_Master!$A$4:$A$18,MATCH($F598,Cluster_Master!$B$4:$B$18,0)),"OK","CHECK"),"CHECK"))</f>
        <v/>
      </c>
      <c r="H598" t="str">
        <f>IFERROR(INDEX(Cluster_Master!$C$4:$C$18,MATCH($F598,Cluster_Master!$B$4:$B$18,0)),"")</f>
        <v/>
      </c>
      <c r="I598" t="str">
        <f>IFERROR(INDEX(Cluster_Master!$D$4:$D$18,MATCH($F598,Cluster_Master!$B$4:$B$18,0)),"")</f>
        <v/>
      </c>
      <c r="J598" t="str">
        <f>IFERROR(INDEX(Cluster_Master!$E$4:$E$18,MATCH($F598,Cluster_Master!$B$4:$B$18,0)),"")</f>
        <v/>
      </c>
      <c r="K598" t="str">
        <f>IFERROR(INDEX(Cluster_Master!$F$4:$F$18,MATCH($F598,Cluster_Master!$B$4:$B$18,0)),"")</f>
        <v/>
      </c>
      <c r="L598" t="str">
        <f>IFERROR(INDEX(Cluster_Master!$G$4:$G$18,MATCH($F598,Cluster_Master!$B$4:$B$18,0)),"")</f>
        <v/>
      </c>
      <c r="M598" t="str">
        <f>IFERROR(INDEX(Cluster_Master!$H$4:$H$18,MATCH($F598,Cluster_Master!$B$4:$B$18,0)),"")</f>
        <v/>
      </c>
      <c r="AI598" t="str">
        <f t="shared" si="75"/>
        <v/>
      </c>
      <c r="AJ598" t="str">
        <f t="shared" si="76"/>
        <v/>
      </c>
      <c r="AK598" t="str">
        <f>IF(COUNTA(T598:AH598)=0,"",(SUM(T598*KPI_Weights!$B$4,U598*KPI_Weights!$B$5,V598*KPI_Weights!$B$6,W598*KPI_Weights!$B$7,X598*KPI_Weights!$B$8,Y598*KPI_Weights!$B$9,Z598*KPI_Weights!$B$10,AA598*KPI_Weights!$B$11,AB598*KPI_Weights!$B$12,AC598*KPI_Weights!$B$13,AD598*KPI_Weights!$B$14,AE598*KPI_Weights!$B$15,AF598*KPI_Weights!$B$16,AG598*KPI_Weights!$B$17,AH598*KPI_Weights!$B$18))/5)</f>
        <v/>
      </c>
      <c r="AL598" t="str">
        <f t="shared" si="77"/>
        <v/>
      </c>
      <c r="AM598" t="str">
        <f t="shared" si="78"/>
        <v/>
      </c>
      <c r="AN598" t="str">
        <f t="shared" si="79"/>
        <v/>
      </c>
    </row>
    <row r="599" spans="1:40" ht="15" customHeight="1" x14ac:dyDescent="0.2">
      <c r="A599" t="str">
        <f>IF($B599="","",TEXT($B599,"yyyymmdd")&amp;"-"&amp;SUBSTITUTE($F599," ","")&amp;"-"&amp;TEXT(COUNTIF($F$4:F599,$F599),"00"))</f>
        <v/>
      </c>
      <c r="C599" t="str">
        <f t="shared" si="73"/>
        <v/>
      </c>
      <c r="D599" t="str">
        <f t="shared" si="74"/>
        <v/>
      </c>
      <c r="G599" t="str">
        <f>IF(OR($E599="",$F599=""),"",IFERROR(IF($E599=INDEX(Cluster_Master!$A$4:$A$18,MATCH($F599,Cluster_Master!$B$4:$B$18,0)),"OK","CHECK"),"CHECK"))</f>
        <v/>
      </c>
      <c r="H599" t="str">
        <f>IFERROR(INDEX(Cluster_Master!$C$4:$C$18,MATCH($F599,Cluster_Master!$B$4:$B$18,0)),"")</f>
        <v/>
      </c>
      <c r="I599" t="str">
        <f>IFERROR(INDEX(Cluster_Master!$D$4:$D$18,MATCH($F599,Cluster_Master!$B$4:$B$18,0)),"")</f>
        <v/>
      </c>
      <c r="J599" t="str">
        <f>IFERROR(INDEX(Cluster_Master!$E$4:$E$18,MATCH($F599,Cluster_Master!$B$4:$B$18,0)),"")</f>
        <v/>
      </c>
      <c r="K599" t="str">
        <f>IFERROR(INDEX(Cluster_Master!$F$4:$F$18,MATCH($F599,Cluster_Master!$B$4:$B$18,0)),"")</f>
        <v/>
      </c>
      <c r="L599" t="str">
        <f>IFERROR(INDEX(Cluster_Master!$G$4:$G$18,MATCH($F599,Cluster_Master!$B$4:$B$18,0)),"")</f>
        <v/>
      </c>
      <c r="M599" t="str">
        <f>IFERROR(INDEX(Cluster_Master!$H$4:$H$18,MATCH($F599,Cluster_Master!$B$4:$B$18,0)),"")</f>
        <v/>
      </c>
      <c r="AI599" t="str">
        <f t="shared" si="75"/>
        <v/>
      </c>
      <c r="AJ599" t="str">
        <f t="shared" si="76"/>
        <v/>
      </c>
      <c r="AK599" t="str">
        <f>IF(COUNTA(T599:AH599)=0,"",(SUM(T599*KPI_Weights!$B$4,U599*KPI_Weights!$B$5,V599*KPI_Weights!$B$6,W599*KPI_Weights!$B$7,X599*KPI_Weights!$B$8,Y599*KPI_Weights!$B$9,Z599*KPI_Weights!$B$10,AA599*KPI_Weights!$B$11,AB599*KPI_Weights!$B$12,AC599*KPI_Weights!$B$13,AD599*KPI_Weights!$B$14,AE599*KPI_Weights!$B$15,AF599*KPI_Weights!$B$16,AG599*KPI_Weights!$B$17,AH599*KPI_Weights!$B$18))/5)</f>
        <v/>
      </c>
      <c r="AL599" t="str">
        <f t="shared" si="77"/>
        <v/>
      </c>
      <c r="AM599" t="str">
        <f t="shared" si="78"/>
        <v/>
      </c>
      <c r="AN599" t="str">
        <f t="shared" si="79"/>
        <v/>
      </c>
    </row>
    <row r="600" spans="1:40" ht="15" customHeight="1" x14ac:dyDescent="0.2">
      <c r="A600" t="str">
        <f>IF($B600="","",TEXT($B600,"yyyymmdd")&amp;"-"&amp;SUBSTITUTE($F600," ","")&amp;"-"&amp;TEXT(COUNTIF($F$4:F600,$F600),"00"))</f>
        <v/>
      </c>
      <c r="C600" t="str">
        <f t="shared" si="73"/>
        <v/>
      </c>
      <c r="D600" t="str">
        <f t="shared" si="74"/>
        <v/>
      </c>
      <c r="G600" t="str">
        <f>IF(OR($E600="",$F600=""),"",IFERROR(IF($E600=INDEX(Cluster_Master!$A$4:$A$18,MATCH($F600,Cluster_Master!$B$4:$B$18,0)),"OK","CHECK"),"CHECK"))</f>
        <v/>
      </c>
      <c r="H600" t="str">
        <f>IFERROR(INDEX(Cluster_Master!$C$4:$C$18,MATCH($F600,Cluster_Master!$B$4:$B$18,0)),"")</f>
        <v/>
      </c>
      <c r="I600" t="str">
        <f>IFERROR(INDEX(Cluster_Master!$D$4:$D$18,MATCH($F600,Cluster_Master!$B$4:$B$18,0)),"")</f>
        <v/>
      </c>
      <c r="J600" t="str">
        <f>IFERROR(INDEX(Cluster_Master!$E$4:$E$18,MATCH($F600,Cluster_Master!$B$4:$B$18,0)),"")</f>
        <v/>
      </c>
      <c r="K600" t="str">
        <f>IFERROR(INDEX(Cluster_Master!$F$4:$F$18,MATCH($F600,Cluster_Master!$B$4:$B$18,0)),"")</f>
        <v/>
      </c>
      <c r="L600" t="str">
        <f>IFERROR(INDEX(Cluster_Master!$G$4:$G$18,MATCH($F600,Cluster_Master!$B$4:$B$18,0)),"")</f>
        <v/>
      </c>
      <c r="M600" t="str">
        <f>IFERROR(INDEX(Cluster_Master!$H$4:$H$18,MATCH($F600,Cluster_Master!$B$4:$B$18,0)),"")</f>
        <v/>
      </c>
      <c r="AI600" t="str">
        <f t="shared" si="75"/>
        <v/>
      </c>
      <c r="AJ600" t="str">
        <f t="shared" si="76"/>
        <v/>
      </c>
      <c r="AK600" t="str">
        <f>IF(COUNTA(T600:AH600)=0,"",(SUM(T600*KPI_Weights!$B$4,U600*KPI_Weights!$B$5,V600*KPI_Weights!$B$6,W600*KPI_Weights!$B$7,X600*KPI_Weights!$B$8,Y600*KPI_Weights!$B$9,Z600*KPI_Weights!$B$10,AA600*KPI_Weights!$B$11,AB600*KPI_Weights!$B$12,AC600*KPI_Weights!$B$13,AD600*KPI_Weights!$B$14,AE600*KPI_Weights!$B$15,AF600*KPI_Weights!$B$16,AG600*KPI_Weights!$B$17,AH600*KPI_Weights!$B$18))/5)</f>
        <v/>
      </c>
      <c r="AL600" t="str">
        <f t="shared" si="77"/>
        <v/>
      </c>
      <c r="AM600" t="str">
        <f t="shared" si="78"/>
        <v/>
      </c>
      <c r="AN600" t="str">
        <f t="shared" si="79"/>
        <v/>
      </c>
    </row>
    <row r="601" spans="1:40" ht="15" customHeight="1" x14ac:dyDescent="0.2">
      <c r="A601" t="str">
        <f>IF($B601="","",TEXT($B601,"yyyymmdd")&amp;"-"&amp;SUBSTITUTE($F601," ","")&amp;"-"&amp;TEXT(COUNTIF($F$4:F601,$F601),"00"))</f>
        <v/>
      </c>
      <c r="C601" t="str">
        <f t="shared" si="73"/>
        <v/>
      </c>
      <c r="D601" t="str">
        <f t="shared" si="74"/>
        <v/>
      </c>
      <c r="G601" t="str">
        <f>IF(OR($E601="",$F601=""),"",IFERROR(IF($E601=INDEX(Cluster_Master!$A$4:$A$18,MATCH($F601,Cluster_Master!$B$4:$B$18,0)),"OK","CHECK"),"CHECK"))</f>
        <v/>
      </c>
      <c r="H601" t="str">
        <f>IFERROR(INDEX(Cluster_Master!$C$4:$C$18,MATCH($F601,Cluster_Master!$B$4:$B$18,0)),"")</f>
        <v/>
      </c>
      <c r="I601" t="str">
        <f>IFERROR(INDEX(Cluster_Master!$D$4:$D$18,MATCH($F601,Cluster_Master!$B$4:$B$18,0)),"")</f>
        <v/>
      </c>
      <c r="J601" t="str">
        <f>IFERROR(INDEX(Cluster_Master!$E$4:$E$18,MATCH($F601,Cluster_Master!$B$4:$B$18,0)),"")</f>
        <v/>
      </c>
      <c r="K601" t="str">
        <f>IFERROR(INDEX(Cluster_Master!$F$4:$F$18,MATCH($F601,Cluster_Master!$B$4:$B$18,0)),"")</f>
        <v/>
      </c>
      <c r="L601" t="str">
        <f>IFERROR(INDEX(Cluster_Master!$G$4:$G$18,MATCH($F601,Cluster_Master!$B$4:$B$18,0)),"")</f>
        <v/>
      </c>
      <c r="M601" t="str">
        <f>IFERROR(INDEX(Cluster_Master!$H$4:$H$18,MATCH($F601,Cluster_Master!$B$4:$B$18,0)),"")</f>
        <v/>
      </c>
      <c r="AI601" t="str">
        <f t="shared" si="75"/>
        <v/>
      </c>
      <c r="AJ601" t="str">
        <f t="shared" si="76"/>
        <v/>
      </c>
      <c r="AK601" t="str">
        <f>IF(COUNTA(T601:AH601)=0,"",(SUM(T601*KPI_Weights!$B$4,U601*KPI_Weights!$B$5,V601*KPI_Weights!$B$6,W601*KPI_Weights!$B$7,X601*KPI_Weights!$B$8,Y601*KPI_Weights!$B$9,Z601*KPI_Weights!$B$10,AA601*KPI_Weights!$B$11,AB601*KPI_Weights!$B$12,AC601*KPI_Weights!$B$13,AD601*KPI_Weights!$B$14,AE601*KPI_Weights!$B$15,AF601*KPI_Weights!$B$16,AG601*KPI_Weights!$B$17,AH601*KPI_Weights!$B$18))/5)</f>
        <v/>
      </c>
      <c r="AL601" t="str">
        <f t="shared" si="77"/>
        <v/>
      </c>
      <c r="AM601" t="str">
        <f t="shared" si="78"/>
        <v/>
      </c>
      <c r="AN601" t="str">
        <f t="shared" si="79"/>
        <v/>
      </c>
    </row>
    <row r="602" spans="1:40" ht="15" customHeight="1" x14ac:dyDescent="0.2">
      <c r="A602" t="str">
        <f>IF($B602="","",TEXT($B602,"yyyymmdd")&amp;"-"&amp;SUBSTITUTE($F602," ","")&amp;"-"&amp;TEXT(COUNTIF($F$4:F602,$F602),"00"))</f>
        <v/>
      </c>
      <c r="C602" t="str">
        <f t="shared" si="73"/>
        <v/>
      </c>
      <c r="D602" t="str">
        <f t="shared" si="74"/>
        <v/>
      </c>
      <c r="G602" t="str">
        <f>IF(OR($E602="",$F602=""),"",IFERROR(IF($E602=INDEX(Cluster_Master!$A$4:$A$18,MATCH($F602,Cluster_Master!$B$4:$B$18,0)),"OK","CHECK"),"CHECK"))</f>
        <v/>
      </c>
      <c r="H602" t="str">
        <f>IFERROR(INDEX(Cluster_Master!$C$4:$C$18,MATCH($F602,Cluster_Master!$B$4:$B$18,0)),"")</f>
        <v/>
      </c>
      <c r="I602" t="str">
        <f>IFERROR(INDEX(Cluster_Master!$D$4:$D$18,MATCH($F602,Cluster_Master!$B$4:$B$18,0)),"")</f>
        <v/>
      </c>
      <c r="J602" t="str">
        <f>IFERROR(INDEX(Cluster_Master!$E$4:$E$18,MATCH($F602,Cluster_Master!$B$4:$B$18,0)),"")</f>
        <v/>
      </c>
      <c r="K602" t="str">
        <f>IFERROR(INDEX(Cluster_Master!$F$4:$F$18,MATCH($F602,Cluster_Master!$B$4:$B$18,0)),"")</f>
        <v/>
      </c>
      <c r="L602" t="str">
        <f>IFERROR(INDEX(Cluster_Master!$G$4:$G$18,MATCH($F602,Cluster_Master!$B$4:$B$18,0)),"")</f>
        <v/>
      </c>
      <c r="M602" t="str">
        <f>IFERROR(INDEX(Cluster_Master!$H$4:$H$18,MATCH($F602,Cluster_Master!$B$4:$B$18,0)),"")</f>
        <v/>
      </c>
      <c r="AI602" t="str">
        <f t="shared" si="75"/>
        <v/>
      </c>
      <c r="AJ602" t="str">
        <f t="shared" si="76"/>
        <v/>
      </c>
      <c r="AK602" t="str">
        <f>IF(COUNTA(T602:AH602)=0,"",(SUM(T602*KPI_Weights!$B$4,U602*KPI_Weights!$B$5,V602*KPI_Weights!$B$6,W602*KPI_Weights!$B$7,X602*KPI_Weights!$B$8,Y602*KPI_Weights!$B$9,Z602*KPI_Weights!$B$10,AA602*KPI_Weights!$B$11,AB602*KPI_Weights!$B$12,AC602*KPI_Weights!$B$13,AD602*KPI_Weights!$B$14,AE602*KPI_Weights!$B$15,AF602*KPI_Weights!$B$16,AG602*KPI_Weights!$B$17,AH602*KPI_Weights!$B$18))/5)</f>
        <v/>
      </c>
      <c r="AL602" t="str">
        <f t="shared" si="77"/>
        <v/>
      </c>
      <c r="AM602" t="str">
        <f t="shared" si="78"/>
        <v/>
      </c>
      <c r="AN602" t="str">
        <f t="shared" si="79"/>
        <v/>
      </c>
    </row>
    <row r="603" spans="1:40" ht="15" customHeight="1" x14ac:dyDescent="0.2">
      <c r="A603" t="str">
        <f>IF($B603="","",TEXT($B603,"yyyymmdd")&amp;"-"&amp;SUBSTITUTE($F603," ","")&amp;"-"&amp;TEXT(COUNTIF($F$4:F603,$F603),"00"))</f>
        <v/>
      </c>
      <c r="C603" t="str">
        <f t="shared" si="73"/>
        <v/>
      </c>
      <c r="D603" t="str">
        <f t="shared" si="74"/>
        <v/>
      </c>
      <c r="G603" t="str">
        <f>IF(OR($E603="",$F603=""),"",IFERROR(IF($E603=INDEX(Cluster_Master!$A$4:$A$18,MATCH($F603,Cluster_Master!$B$4:$B$18,0)),"OK","CHECK"),"CHECK"))</f>
        <v/>
      </c>
      <c r="H603" t="str">
        <f>IFERROR(INDEX(Cluster_Master!$C$4:$C$18,MATCH($F603,Cluster_Master!$B$4:$B$18,0)),"")</f>
        <v/>
      </c>
      <c r="I603" t="str">
        <f>IFERROR(INDEX(Cluster_Master!$D$4:$D$18,MATCH($F603,Cluster_Master!$B$4:$B$18,0)),"")</f>
        <v/>
      </c>
      <c r="J603" t="str">
        <f>IFERROR(INDEX(Cluster_Master!$E$4:$E$18,MATCH($F603,Cluster_Master!$B$4:$B$18,0)),"")</f>
        <v/>
      </c>
      <c r="K603" t="str">
        <f>IFERROR(INDEX(Cluster_Master!$F$4:$F$18,MATCH($F603,Cluster_Master!$B$4:$B$18,0)),"")</f>
        <v/>
      </c>
      <c r="L603" t="str">
        <f>IFERROR(INDEX(Cluster_Master!$G$4:$G$18,MATCH($F603,Cluster_Master!$B$4:$B$18,0)),"")</f>
        <v/>
      </c>
      <c r="M603" t="str">
        <f>IFERROR(INDEX(Cluster_Master!$H$4:$H$18,MATCH($F603,Cluster_Master!$B$4:$B$18,0)),"")</f>
        <v/>
      </c>
      <c r="AI603" t="str">
        <f t="shared" si="75"/>
        <v/>
      </c>
      <c r="AJ603" t="str">
        <f t="shared" si="76"/>
        <v/>
      </c>
      <c r="AK603" t="str">
        <f>IF(COUNTA(T603:AH603)=0,"",(SUM(T603*KPI_Weights!$B$4,U603*KPI_Weights!$B$5,V603*KPI_Weights!$B$6,W603*KPI_Weights!$B$7,X603*KPI_Weights!$B$8,Y603*KPI_Weights!$B$9,Z603*KPI_Weights!$B$10,AA603*KPI_Weights!$B$11,AB603*KPI_Weights!$B$12,AC603*KPI_Weights!$B$13,AD603*KPI_Weights!$B$14,AE603*KPI_Weights!$B$15,AF603*KPI_Weights!$B$16,AG603*KPI_Weights!$B$17,AH603*KPI_Weights!$B$18))/5)</f>
        <v/>
      </c>
      <c r="AL603" t="str">
        <f t="shared" si="77"/>
        <v/>
      </c>
      <c r="AM603" t="str">
        <f t="shared" si="78"/>
        <v/>
      </c>
      <c r="AN603" t="str">
        <f t="shared" si="79"/>
        <v/>
      </c>
    </row>
    <row r="604" spans="1:40" ht="15" customHeight="1" x14ac:dyDescent="0.2">
      <c r="A604" t="str">
        <f>IF($B604="","",TEXT($B604,"yyyymmdd")&amp;"-"&amp;SUBSTITUTE($F604," ","")&amp;"-"&amp;TEXT(COUNTIF($F$4:F604,$F604),"00"))</f>
        <v/>
      </c>
      <c r="C604" t="str">
        <f t="shared" si="73"/>
        <v/>
      </c>
      <c r="D604" t="str">
        <f t="shared" si="74"/>
        <v/>
      </c>
      <c r="G604" t="str">
        <f>IF(OR($E604="",$F604=""),"",IFERROR(IF($E604=INDEX(Cluster_Master!$A$4:$A$18,MATCH($F604,Cluster_Master!$B$4:$B$18,0)),"OK","CHECK"),"CHECK"))</f>
        <v/>
      </c>
      <c r="H604" t="str">
        <f>IFERROR(INDEX(Cluster_Master!$C$4:$C$18,MATCH($F604,Cluster_Master!$B$4:$B$18,0)),"")</f>
        <v/>
      </c>
      <c r="I604" t="str">
        <f>IFERROR(INDEX(Cluster_Master!$D$4:$D$18,MATCH($F604,Cluster_Master!$B$4:$B$18,0)),"")</f>
        <v/>
      </c>
      <c r="J604" t="str">
        <f>IFERROR(INDEX(Cluster_Master!$E$4:$E$18,MATCH($F604,Cluster_Master!$B$4:$B$18,0)),"")</f>
        <v/>
      </c>
      <c r="K604" t="str">
        <f>IFERROR(INDEX(Cluster_Master!$F$4:$F$18,MATCH($F604,Cluster_Master!$B$4:$B$18,0)),"")</f>
        <v/>
      </c>
      <c r="L604" t="str">
        <f>IFERROR(INDEX(Cluster_Master!$G$4:$G$18,MATCH($F604,Cluster_Master!$B$4:$B$18,0)),"")</f>
        <v/>
      </c>
      <c r="M604" t="str">
        <f>IFERROR(INDEX(Cluster_Master!$H$4:$H$18,MATCH($F604,Cluster_Master!$B$4:$B$18,0)),"")</f>
        <v/>
      </c>
      <c r="AI604" t="str">
        <f t="shared" si="75"/>
        <v/>
      </c>
      <c r="AJ604" t="str">
        <f t="shared" si="76"/>
        <v/>
      </c>
      <c r="AK604" t="str">
        <f>IF(COUNTA(T604:AH604)=0,"",(SUM(T604*KPI_Weights!$B$4,U604*KPI_Weights!$B$5,V604*KPI_Weights!$B$6,W604*KPI_Weights!$B$7,X604*KPI_Weights!$B$8,Y604*KPI_Weights!$B$9,Z604*KPI_Weights!$B$10,AA604*KPI_Weights!$B$11,AB604*KPI_Weights!$B$12,AC604*KPI_Weights!$B$13,AD604*KPI_Weights!$B$14,AE604*KPI_Weights!$B$15,AF604*KPI_Weights!$B$16,AG604*KPI_Weights!$B$17,AH604*KPI_Weights!$B$18))/5)</f>
        <v/>
      </c>
      <c r="AL604" t="str">
        <f t="shared" si="77"/>
        <v/>
      </c>
      <c r="AM604" t="str">
        <f t="shared" si="78"/>
        <v/>
      </c>
      <c r="AN604" t="str">
        <f t="shared" si="79"/>
        <v/>
      </c>
    </row>
    <row r="605" spans="1:40" ht="15" customHeight="1" x14ac:dyDescent="0.2">
      <c r="A605" t="str">
        <f>IF($B605="","",TEXT($B605,"yyyymmdd")&amp;"-"&amp;SUBSTITUTE($F605," ","")&amp;"-"&amp;TEXT(COUNTIF($F$4:F605,$F605),"00"))</f>
        <v/>
      </c>
      <c r="C605" t="str">
        <f t="shared" si="73"/>
        <v/>
      </c>
      <c r="D605" t="str">
        <f t="shared" si="74"/>
        <v/>
      </c>
      <c r="G605" t="str">
        <f>IF(OR($E605="",$F605=""),"",IFERROR(IF($E605=INDEX(Cluster_Master!$A$4:$A$18,MATCH($F605,Cluster_Master!$B$4:$B$18,0)),"OK","CHECK"),"CHECK"))</f>
        <v/>
      </c>
      <c r="H605" t="str">
        <f>IFERROR(INDEX(Cluster_Master!$C$4:$C$18,MATCH($F605,Cluster_Master!$B$4:$B$18,0)),"")</f>
        <v/>
      </c>
      <c r="I605" t="str">
        <f>IFERROR(INDEX(Cluster_Master!$D$4:$D$18,MATCH($F605,Cluster_Master!$B$4:$B$18,0)),"")</f>
        <v/>
      </c>
      <c r="J605" t="str">
        <f>IFERROR(INDEX(Cluster_Master!$E$4:$E$18,MATCH($F605,Cluster_Master!$B$4:$B$18,0)),"")</f>
        <v/>
      </c>
      <c r="K605" t="str">
        <f>IFERROR(INDEX(Cluster_Master!$F$4:$F$18,MATCH($F605,Cluster_Master!$B$4:$B$18,0)),"")</f>
        <v/>
      </c>
      <c r="L605" t="str">
        <f>IFERROR(INDEX(Cluster_Master!$G$4:$G$18,MATCH($F605,Cluster_Master!$B$4:$B$18,0)),"")</f>
        <v/>
      </c>
      <c r="M605" t="str">
        <f>IFERROR(INDEX(Cluster_Master!$H$4:$H$18,MATCH($F605,Cluster_Master!$B$4:$B$18,0)),"")</f>
        <v/>
      </c>
      <c r="AI605" t="str">
        <f t="shared" si="75"/>
        <v/>
      </c>
      <c r="AJ605" t="str">
        <f t="shared" si="76"/>
        <v/>
      </c>
      <c r="AK605" t="str">
        <f>IF(COUNTA(T605:AH605)=0,"",(SUM(T605*KPI_Weights!$B$4,U605*KPI_Weights!$B$5,V605*KPI_Weights!$B$6,W605*KPI_Weights!$B$7,X605*KPI_Weights!$B$8,Y605*KPI_Weights!$B$9,Z605*KPI_Weights!$B$10,AA605*KPI_Weights!$B$11,AB605*KPI_Weights!$B$12,AC605*KPI_Weights!$B$13,AD605*KPI_Weights!$B$14,AE605*KPI_Weights!$B$15,AF605*KPI_Weights!$B$16,AG605*KPI_Weights!$B$17,AH605*KPI_Weights!$B$18))/5)</f>
        <v/>
      </c>
      <c r="AL605" t="str">
        <f t="shared" si="77"/>
        <v/>
      </c>
      <c r="AM605" t="str">
        <f t="shared" si="78"/>
        <v/>
      </c>
      <c r="AN605" t="str">
        <f t="shared" si="79"/>
        <v/>
      </c>
    </row>
    <row r="606" spans="1:40" ht="15" customHeight="1" x14ac:dyDescent="0.2">
      <c r="A606" t="str">
        <f>IF($B606="","",TEXT($B606,"yyyymmdd")&amp;"-"&amp;SUBSTITUTE($F606," ","")&amp;"-"&amp;TEXT(COUNTIF($F$4:F606,$F606),"00"))</f>
        <v/>
      </c>
      <c r="C606" t="str">
        <f t="shared" si="73"/>
        <v/>
      </c>
      <c r="D606" t="str">
        <f t="shared" si="74"/>
        <v/>
      </c>
      <c r="G606" t="str">
        <f>IF(OR($E606="",$F606=""),"",IFERROR(IF($E606=INDEX(Cluster_Master!$A$4:$A$18,MATCH($F606,Cluster_Master!$B$4:$B$18,0)),"OK","CHECK"),"CHECK"))</f>
        <v/>
      </c>
      <c r="H606" t="str">
        <f>IFERROR(INDEX(Cluster_Master!$C$4:$C$18,MATCH($F606,Cluster_Master!$B$4:$B$18,0)),"")</f>
        <v/>
      </c>
      <c r="I606" t="str">
        <f>IFERROR(INDEX(Cluster_Master!$D$4:$D$18,MATCH($F606,Cluster_Master!$B$4:$B$18,0)),"")</f>
        <v/>
      </c>
      <c r="J606" t="str">
        <f>IFERROR(INDEX(Cluster_Master!$E$4:$E$18,MATCH($F606,Cluster_Master!$B$4:$B$18,0)),"")</f>
        <v/>
      </c>
      <c r="K606" t="str">
        <f>IFERROR(INDEX(Cluster_Master!$F$4:$F$18,MATCH($F606,Cluster_Master!$B$4:$B$18,0)),"")</f>
        <v/>
      </c>
      <c r="L606" t="str">
        <f>IFERROR(INDEX(Cluster_Master!$G$4:$G$18,MATCH($F606,Cluster_Master!$B$4:$B$18,0)),"")</f>
        <v/>
      </c>
      <c r="M606" t="str">
        <f>IFERROR(INDEX(Cluster_Master!$H$4:$H$18,MATCH($F606,Cluster_Master!$B$4:$B$18,0)),"")</f>
        <v/>
      </c>
      <c r="AI606" t="str">
        <f t="shared" si="75"/>
        <v/>
      </c>
      <c r="AJ606" t="str">
        <f t="shared" si="76"/>
        <v/>
      </c>
      <c r="AK606" t="str">
        <f>IF(COUNTA(T606:AH606)=0,"",(SUM(T606*KPI_Weights!$B$4,U606*KPI_Weights!$B$5,V606*KPI_Weights!$B$6,W606*KPI_Weights!$B$7,X606*KPI_Weights!$B$8,Y606*KPI_Weights!$B$9,Z606*KPI_Weights!$B$10,AA606*KPI_Weights!$B$11,AB606*KPI_Weights!$B$12,AC606*KPI_Weights!$B$13,AD606*KPI_Weights!$B$14,AE606*KPI_Weights!$B$15,AF606*KPI_Weights!$B$16,AG606*KPI_Weights!$B$17,AH606*KPI_Weights!$B$18))/5)</f>
        <v/>
      </c>
      <c r="AL606" t="str">
        <f t="shared" si="77"/>
        <v/>
      </c>
      <c r="AM606" t="str">
        <f t="shared" si="78"/>
        <v/>
      </c>
      <c r="AN606" t="str">
        <f t="shared" si="79"/>
        <v/>
      </c>
    </row>
    <row r="607" spans="1:40" ht="15" customHeight="1" x14ac:dyDescent="0.2">
      <c r="A607" t="str">
        <f>IF($B607="","",TEXT($B607,"yyyymmdd")&amp;"-"&amp;SUBSTITUTE($F607," ","")&amp;"-"&amp;TEXT(COUNTIF($F$4:F607,$F607),"00"))</f>
        <v/>
      </c>
      <c r="C607" t="str">
        <f t="shared" si="73"/>
        <v/>
      </c>
      <c r="D607" t="str">
        <f t="shared" si="74"/>
        <v/>
      </c>
      <c r="G607" t="str">
        <f>IF(OR($E607="",$F607=""),"",IFERROR(IF($E607=INDEX(Cluster_Master!$A$4:$A$18,MATCH($F607,Cluster_Master!$B$4:$B$18,0)),"OK","CHECK"),"CHECK"))</f>
        <v/>
      </c>
      <c r="H607" t="str">
        <f>IFERROR(INDEX(Cluster_Master!$C$4:$C$18,MATCH($F607,Cluster_Master!$B$4:$B$18,0)),"")</f>
        <v/>
      </c>
      <c r="I607" t="str">
        <f>IFERROR(INDEX(Cluster_Master!$D$4:$D$18,MATCH($F607,Cluster_Master!$B$4:$B$18,0)),"")</f>
        <v/>
      </c>
      <c r="J607" t="str">
        <f>IFERROR(INDEX(Cluster_Master!$E$4:$E$18,MATCH($F607,Cluster_Master!$B$4:$B$18,0)),"")</f>
        <v/>
      </c>
      <c r="K607" t="str">
        <f>IFERROR(INDEX(Cluster_Master!$F$4:$F$18,MATCH($F607,Cluster_Master!$B$4:$B$18,0)),"")</f>
        <v/>
      </c>
      <c r="L607" t="str">
        <f>IFERROR(INDEX(Cluster_Master!$G$4:$G$18,MATCH($F607,Cluster_Master!$B$4:$B$18,0)),"")</f>
        <v/>
      </c>
      <c r="M607" t="str">
        <f>IFERROR(INDEX(Cluster_Master!$H$4:$H$18,MATCH($F607,Cluster_Master!$B$4:$B$18,0)),"")</f>
        <v/>
      </c>
      <c r="AI607" t="str">
        <f t="shared" si="75"/>
        <v/>
      </c>
      <c r="AJ607" t="str">
        <f t="shared" si="76"/>
        <v/>
      </c>
      <c r="AK607" t="str">
        <f>IF(COUNTA(T607:AH607)=0,"",(SUM(T607*KPI_Weights!$B$4,U607*KPI_Weights!$B$5,V607*KPI_Weights!$B$6,W607*KPI_Weights!$B$7,X607*KPI_Weights!$B$8,Y607*KPI_Weights!$B$9,Z607*KPI_Weights!$B$10,AA607*KPI_Weights!$B$11,AB607*KPI_Weights!$B$12,AC607*KPI_Weights!$B$13,AD607*KPI_Weights!$B$14,AE607*KPI_Weights!$B$15,AF607*KPI_Weights!$B$16,AG607*KPI_Weights!$B$17,AH607*KPI_Weights!$B$18))/5)</f>
        <v/>
      </c>
      <c r="AL607" t="str">
        <f t="shared" si="77"/>
        <v/>
      </c>
      <c r="AM607" t="str">
        <f t="shared" si="78"/>
        <v/>
      </c>
      <c r="AN607" t="str">
        <f t="shared" si="79"/>
        <v/>
      </c>
    </row>
    <row r="608" spans="1:40" ht="15" customHeight="1" x14ac:dyDescent="0.2">
      <c r="A608" t="str">
        <f>IF($B608="","",TEXT($B608,"yyyymmdd")&amp;"-"&amp;SUBSTITUTE($F608," ","")&amp;"-"&amp;TEXT(COUNTIF($F$4:F608,$F608),"00"))</f>
        <v/>
      </c>
      <c r="C608" t="str">
        <f t="shared" si="73"/>
        <v/>
      </c>
      <c r="D608" t="str">
        <f t="shared" si="74"/>
        <v/>
      </c>
      <c r="G608" t="str">
        <f>IF(OR($E608="",$F608=""),"",IFERROR(IF($E608=INDEX(Cluster_Master!$A$4:$A$18,MATCH($F608,Cluster_Master!$B$4:$B$18,0)),"OK","CHECK"),"CHECK"))</f>
        <v/>
      </c>
      <c r="H608" t="str">
        <f>IFERROR(INDEX(Cluster_Master!$C$4:$C$18,MATCH($F608,Cluster_Master!$B$4:$B$18,0)),"")</f>
        <v/>
      </c>
      <c r="I608" t="str">
        <f>IFERROR(INDEX(Cluster_Master!$D$4:$D$18,MATCH($F608,Cluster_Master!$B$4:$B$18,0)),"")</f>
        <v/>
      </c>
      <c r="J608" t="str">
        <f>IFERROR(INDEX(Cluster_Master!$E$4:$E$18,MATCH($F608,Cluster_Master!$B$4:$B$18,0)),"")</f>
        <v/>
      </c>
      <c r="K608" t="str">
        <f>IFERROR(INDEX(Cluster_Master!$F$4:$F$18,MATCH($F608,Cluster_Master!$B$4:$B$18,0)),"")</f>
        <v/>
      </c>
      <c r="L608" t="str">
        <f>IFERROR(INDEX(Cluster_Master!$G$4:$G$18,MATCH($F608,Cluster_Master!$B$4:$B$18,0)),"")</f>
        <v/>
      </c>
      <c r="M608" t="str">
        <f>IFERROR(INDEX(Cluster_Master!$H$4:$H$18,MATCH($F608,Cluster_Master!$B$4:$B$18,0)),"")</f>
        <v/>
      </c>
      <c r="AI608" t="str">
        <f t="shared" si="75"/>
        <v/>
      </c>
      <c r="AJ608" t="str">
        <f t="shared" si="76"/>
        <v/>
      </c>
      <c r="AK608" t="str">
        <f>IF(COUNTA(T608:AH608)=0,"",(SUM(T608*KPI_Weights!$B$4,U608*KPI_Weights!$B$5,V608*KPI_Weights!$B$6,W608*KPI_Weights!$B$7,X608*KPI_Weights!$B$8,Y608*KPI_Weights!$B$9,Z608*KPI_Weights!$B$10,AA608*KPI_Weights!$B$11,AB608*KPI_Weights!$B$12,AC608*KPI_Weights!$B$13,AD608*KPI_Weights!$B$14,AE608*KPI_Weights!$B$15,AF608*KPI_Weights!$B$16,AG608*KPI_Weights!$B$17,AH608*KPI_Weights!$B$18))/5)</f>
        <v/>
      </c>
      <c r="AL608" t="str">
        <f t="shared" si="77"/>
        <v/>
      </c>
      <c r="AM608" t="str">
        <f t="shared" si="78"/>
        <v/>
      </c>
      <c r="AN608" t="str">
        <f t="shared" si="79"/>
        <v/>
      </c>
    </row>
    <row r="609" spans="1:40" ht="15" customHeight="1" x14ac:dyDescent="0.2">
      <c r="A609" t="str">
        <f>IF($B609="","",TEXT($B609,"yyyymmdd")&amp;"-"&amp;SUBSTITUTE($F609," ","")&amp;"-"&amp;TEXT(COUNTIF($F$4:F609,$F609),"00"))</f>
        <v/>
      </c>
      <c r="C609" t="str">
        <f t="shared" si="73"/>
        <v/>
      </c>
      <c r="D609" t="str">
        <f t="shared" si="74"/>
        <v/>
      </c>
      <c r="G609" t="str">
        <f>IF(OR($E609="",$F609=""),"",IFERROR(IF($E609=INDEX(Cluster_Master!$A$4:$A$18,MATCH($F609,Cluster_Master!$B$4:$B$18,0)),"OK","CHECK"),"CHECK"))</f>
        <v/>
      </c>
      <c r="H609" t="str">
        <f>IFERROR(INDEX(Cluster_Master!$C$4:$C$18,MATCH($F609,Cluster_Master!$B$4:$B$18,0)),"")</f>
        <v/>
      </c>
      <c r="I609" t="str">
        <f>IFERROR(INDEX(Cluster_Master!$D$4:$D$18,MATCH($F609,Cluster_Master!$B$4:$B$18,0)),"")</f>
        <v/>
      </c>
      <c r="J609" t="str">
        <f>IFERROR(INDEX(Cluster_Master!$E$4:$E$18,MATCH($F609,Cluster_Master!$B$4:$B$18,0)),"")</f>
        <v/>
      </c>
      <c r="K609" t="str">
        <f>IFERROR(INDEX(Cluster_Master!$F$4:$F$18,MATCH($F609,Cluster_Master!$B$4:$B$18,0)),"")</f>
        <v/>
      </c>
      <c r="L609" t="str">
        <f>IFERROR(INDEX(Cluster_Master!$G$4:$G$18,MATCH($F609,Cluster_Master!$B$4:$B$18,0)),"")</f>
        <v/>
      </c>
      <c r="M609" t="str">
        <f>IFERROR(INDEX(Cluster_Master!$H$4:$H$18,MATCH($F609,Cluster_Master!$B$4:$B$18,0)),"")</f>
        <v/>
      </c>
      <c r="AI609" t="str">
        <f t="shared" si="75"/>
        <v/>
      </c>
      <c r="AJ609" t="str">
        <f t="shared" si="76"/>
        <v/>
      </c>
      <c r="AK609" t="str">
        <f>IF(COUNTA(T609:AH609)=0,"",(SUM(T609*KPI_Weights!$B$4,U609*KPI_Weights!$B$5,V609*KPI_Weights!$B$6,W609*KPI_Weights!$B$7,X609*KPI_Weights!$B$8,Y609*KPI_Weights!$B$9,Z609*KPI_Weights!$B$10,AA609*KPI_Weights!$B$11,AB609*KPI_Weights!$B$12,AC609*KPI_Weights!$B$13,AD609*KPI_Weights!$B$14,AE609*KPI_Weights!$B$15,AF609*KPI_Weights!$B$16,AG609*KPI_Weights!$B$17,AH609*KPI_Weights!$B$18))/5)</f>
        <v/>
      </c>
      <c r="AL609" t="str">
        <f t="shared" si="77"/>
        <v/>
      </c>
      <c r="AM609" t="str">
        <f t="shared" si="78"/>
        <v/>
      </c>
      <c r="AN609" t="str">
        <f t="shared" si="79"/>
        <v/>
      </c>
    </row>
    <row r="610" spans="1:40" ht="15" customHeight="1" x14ac:dyDescent="0.2">
      <c r="A610" t="str">
        <f>IF($B610="","",TEXT($B610,"yyyymmdd")&amp;"-"&amp;SUBSTITUTE($F610," ","")&amp;"-"&amp;TEXT(COUNTIF($F$4:F610,$F610),"00"))</f>
        <v/>
      </c>
      <c r="C610" t="str">
        <f t="shared" si="73"/>
        <v/>
      </c>
      <c r="D610" t="str">
        <f t="shared" si="74"/>
        <v/>
      </c>
      <c r="G610" t="str">
        <f>IF(OR($E610="",$F610=""),"",IFERROR(IF($E610=INDEX(Cluster_Master!$A$4:$A$18,MATCH($F610,Cluster_Master!$B$4:$B$18,0)),"OK","CHECK"),"CHECK"))</f>
        <v/>
      </c>
      <c r="H610" t="str">
        <f>IFERROR(INDEX(Cluster_Master!$C$4:$C$18,MATCH($F610,Cluster_Master!$B$4:$B$18,0)),"")</f>
        <v/>
      </c>
      <c r="I610" t="str">
        <f>IFERROR(INDEX(Cluster_Master!$D$4:$D$18,MATCH($F610,Cluster_Master!$B$4:$B$18,0)),"")</f>
        <v/>
      </c>
      <c r="J610" t="str">
        <f>IFERROR(INDEX(Cluster_Master!$E$4:$E$18,MATCH($F610,Cluster_Master!$B$4:$B$18,0)),"")</f>
        <v/>
      </c>
      <c r="K610" t="str">
        <f>IFERROR(INDEX(Cluster_Master!$F$4:$F$18,MATCH($F610,Cluster_Master!$B$4:$B$18,0)),"")</f>
        <v/>
      </c>
      <c r="L610" t="str">
        <f>IFERROR(INDEX(Cluster_Master!$G$4:$G$18,MATCH($F610,Cluster_Master!$B$4:$B$18,0)),"")</f>
        <v/>
      </c>
      <c r="M610" t="str">
        <f>IFERROR(INDEX(Cluster_Master!$H$4:$H$18,MATCH($F610,Cluster_Master!$B$4:$B$18,0)),"")</f>
        <v/>
      </c>
      <c r="AI610" t="str">
        <f t="shared" si="75"/>
        <v/>
      </c>
      <c r="AJ610" t="str">
        <f t="shared" si="76"/>
        <v/>
      </c>
      <c r="AK610" t="str">
        <f>IF(COUNTA(T610:AH610)=0,"",(SUM(T610*KPI_Weights!$B$4,U610*KPI_Weights!$B$5,V610*KPI_Weights!$B$6,W610*KPI_Weights!$B$7,X610*KPI_Weights!$B$8,Y610*KPI_Weights!$B$9,Z610*KPI_Weights!$B$10,AA610*KPI_Weights!$B$11,AB610*KPI_Weights!$B$12,AC610*KPI_Weights!$B$13,AD610*KPI_Weights!$B$14,AE610*KPI_Weights!$B$15,AF610*KPI_Weights!$B$16,AG610*KPI_Weights!$B$17,AH610*KPI_Weights!$B$18))/5)</f>
        <v/>
      </c>
      <c r="AL610" t="str">
        <f t="shared" si="77"/>
        <v/>
      </c>
      <c r="AM610" t="str">
        <f t="shared" si="78"/>
        <v/>
      </c>
      <c r="AN610" t="str">
        <f t="shared" si="79"/>
        <v/>
      </c>
    </row>
    <row r="611" spans="1:40" ht="15" customHeight="1" x14ac:dyDescent="0.2">
      <c r="A611" t="str">
        <f>IF($B611="","",TEXT($B611,"yyyymmdd")&amp;"-"&amp;SUBSTITUTE($F611," ","")&amp;"-"&amp;TEXT(COUNTIF($F$4:F611,$F611),"00"))</f>
        <v/>
      </c>
      <c r="C611" t="str">
        <f t="shared" si="73"/>
        <v/>
      </c>
      <c r="D611" t="str">
        <f t="shared" si="74"/>
        <v/>
      </c>
      <c r="G611" t="str">
        <f>IF(OR($E611="",$F611=""),"",IFERROR(IF($E611=INDEX(Cluster_Master!$A$4:$A$18,MATCH($F611,Cluster_Master!$B$4:$B$18,0)),"OK","CHECK"),"CHECK"))</f>
        <v/>
      </c>
      <c r="H611" t="str">
        <f>IFERROR(INDEX(Cluster_Master!$C$4:$C$18,MATCH($F611,Cluster_Master!$B$4:$B$18,0)),"")</f>
        <v/>
      </c>
      <c r="I611" t="str">
        <f>IFERROR(INDEX(Cluster_Master!$D$4:$D$18,MATCH($F611,Cluster_Master!$B$4:$B$18,0)),"")</f>
        <v/>
      </c>
      <c r="J611" t="str">
        <f>IFERROR(INDEX(Cluster_Master!$E$4:$E$18,MATCH($F611,Cluster_Master!$B$4:$B$18,0)),"")</f>
        <v/>
      </c>
      <c r="K611" t="str">
        <f>IFERROR(INDEX(Cluster_Master!$F$4:$F$18,MATCH($F611,Cluster_Master!$B$4:$B$18,0)),"")</f>
        <v/>
      </c>
      <c r="L611" t="str">
        <f>IFERROR(INDEX(Cluster_Master!$G$4:$G$18,MATCH($F611,Cluster_Master!$B$4:$B$18,0)),"")</f>
        <v/>
      </c>
      <c r="M611" t="str">
        <f>IFERROR(INDEX(Cluster_Master!$H$4:$H$18,MATCH($F611,Cluster_Master!$B$4:$B$18,0)),"")</f>
        <v/>
      </c>
      <c r="AI611" t="str">
        <f t="shared" si="75"/>
        <v/>
      </c>
      <c r="AJ611" t="str">
        <f t="shared" si="76"/>
        <v/>
      </c>
      <c r="AK611" t="str">
        <f>IF(COUNTA(T611:AH611)=0,"",(SUM(T611*KPI_Weights!$B$4,U611*KPI_Weights!$B$5,V611*KPI_Weights!$B$6,W611*KPI_Weights!$B$7,X611*KPI_Weights!$B$8,Y611*KPI_Weights!$B$9,Z611*KPI_Weights!$B$10,AA611*KPI_Weights!$B$11,AB611*KPI_Weights!$B$12,AC611*KPI_Weights!$B$13,AD611*KPI_Weights!$B$14,AE611*KPI_Weights!$B$15,AF611*KPI_Weights!$B$16,AG611*KPI_Weights!$B$17,AH611*KPI_Weights!$B$18))/5)</f>
        <v/>
      </c>
      <c r="AL611" t="str">
        <f t="shared" si="77"/>
        <v/>
      </c>
      <c r="AM611" t="str">
        <f t="shared" si="78"/>
        <v/>
      </c>
      <c r="AN611" t="str">
        <f t="shared" si="79"/>
        <v/>
      </c>
    </row>
    <row r="612" spans="1:40" ht="15" customHeight="1" x14ac:dyDescent="0.2">
      <c r="A612" t="str">
        <f>IF($B612="","",TEXT($B612,"yyyymmdd")&amp;"-"&amp;SUBSTITUTE($F612," ","")&amp;"-"&amp;TEXT(COUNTIF($F$4:F612,$F612),"00"))</f>
        <v/>
      </c>
      <c r="C612" t="str">
        <f t="shared" si="73"/>
        <v/>
      </c>
      <c r="D612" t="str">
        <f t="shared" si="74"/>
        <v/>
      </c>
      <c r="G612" t="str">
        <f>IF(OR($E612="",$F612=""),"",IFERROR(IF($E612=INDEX(Cluster_Master!$A$4:$A$18,MATCH($F612,Cluster_Master!$B$4:$B$18,0)),"OK","CHECK"),"CHECK"))</f>
        <v/>
      </c>
      <c r="H612" t="str">
        <f>IFERROR(INDEX(Cluster_Master!$C$4:$C$18,MATCH($F612,Cluster_Master!$B$4:$B$18,0)),"")</f>
        <v/>
      </c>
      <c r="I612" t="str">
        <f>IFERROR(INDEX(Cluster_Master!$D$4:$D$18,MATCH($F612,Cluster_Master!$B$4:$B$18,0)),"")</f>
        <v/>
      </c>
      <c r="J612" t="str">
        <f>IFERROR(INDEX(Cluster_Master!$E$4:$E$18,MATCH($F612,Cluster_Master!$B$4:$B$18,0)),"")</f>
        <v/>
      </c>
      <c r="K612" t="str">
        <f>IFERROR(INDEX(Cluster_Master!$F$4:$F$18,MATCH($F612,Cluster_Master!$B$4:$B$18,0)),"")</f>
        <v/>
      </c>
      <c r="L612" t="str">
        <f>IFERROR(INDEX(Cluster_Master!$G$4:$G$18,MATCH($F612,Cluster_Master!$B$4:$B$18,0)),"")</f>
        <v/>
      </c>
      <c r="M612" t="str">
        <f>IFERROR(INDEX(Cluster_Master!$H$4:$H$18,MATCH($F612,Cluster_Master!$B$4:$B$18,0)),"")</f>
        <v/>
      </c>
      <c r="AI612" t="str">
        <f t="shared" si="75"/>
        <v/>
      </c>
      <c r="AJ612" t="str">
        <f t="shared" si="76"/>
        <v/>
      </c>
      <c r="AK612" t="str">
        <f>IF(COUNTA(T612:AH612)=0,"",(SUM(T612*KPI_Weights!$B$4,U612*KPI_Weights!$B$5,V612*KPI_Weights!$B$6,W612*KPI_Weights!$B$7,X612*KPI_Weights!$B$8,Y612*KPI_Weights!$B$9,Z612*KPI_Weights!$B$10,AA612*KPI_Weights!$B$11,AB612*KPI_Weights!$B$12,AC612*KPI_Weights!$B$13,AD612*KPI_Weights!$B$14,AE612*KPI_Weights!$B$15,AF612*KPI_Weights!$B$16,AG612*KPI_Weights!$B$17,AH612*KPI_Weights!$B$18))/5)</f>
        <v/>
      </c>
      <c r="AL612" t="str">
        <f t="shared" si="77"/>
        <v/>
      </c>
      <c r="AM612" t="str">
        <f t="shared" si="78"/>
        <v/>
      </c>
      <c r="AN612" t="str">
        <f t="shared" si="79"/>
        <v/>
      </c>
    </row>
    <row r="613" spans="1:40" ht="15" customHeight="1" x14ac:dyDescent="0.2">
      <c r="A613" t="str">
        <f>IF($B613="","",TEXT($B613,"yyyymmdd")&amp;"-"&amp;SUBSTITUTE($F613," ","")&amp;"-"&amp;TEXT(COUNTIF($F$4:F613,$F613),"00"))</f>
        <v/>
      </c>
      <c r="C613" t="str">
        <f t="shared" si="73"/>
        <v/>
      </c>
      <c r="D613" t="str">
        <f t="shared" si="74"/>
        <v/>
      </c>
      <c r="G613" t="str">
        <f>IF(OR($E613="",$F613=""),"",IFERROR(IF($E613=INDEX(Cluster_Master!$A$4:$A$18,MATCH($F613,Cluster_Master!$B$4:$B$18,0)),"OK","CHECK"),"CHECK"))</f>
        <v/>
      </c>
      <c r="H613" t="str">
        <f>IFERROR(INDEX(Cluster_Master!$C$4:$C$18,MATCH($F613,Cluster_Master!$B$4:$B$18,0)),"")</f>
        <v/>
      </c>
      <c r="I613" t="str">
        <f>IFERROR(INDEX(Cluster_Master!$D$4:$D$18,MATCH($F613,Cluster_Master!$B$4:$B$18,0)),"")</f>
        <v/>
      </c>
      <c r="J613" t="str">
        <f>IFERROR(INDEX(Cluster_Master!$E$4:$E$18,MATCH($F613,Cluster_Master!$B$4:$B$18,0)),"")</f>
        <v/>
      </c>
      <c r="K613" t="str">
        <f>IFERROR(INDEX(Cluster_Master!$F$4:$F$18,MATCH($F613,Cluster_Master!$B$4:$B$18,0)),"")</f>
        <v/>
      </c>
      <c r="L613" t="str">
        <f>IFERROR(INDEX(Cluster_Master!$G$4:$G$18,MATCH($F613,Cluster_Master!$B$4:$B$18,0)),"")</f>
        <v/>
      </c>
      <c r="M613" t="str">
        <f>IFERROR(INDEX(Cluster_Master!$H$4:$H$18,MATCH($F613,Cluster_Master!$B$4:$B$18,0)),"")</f>
        <v/>
      </c>
      <c r="AI613" t="str">
        <f t="shared" si="75"/>
        <v/>
      </c>
      <c r="AJ613" t="str">
        <f t="shared" si="76"/>
        <v/>
      </c>
      <c r="AK613" t="str">
        <f>IF(COUNTA(T613:AH613)=0,"",(SUM(T613*KPI_Weights!$B$4,U613*KPI_Weights!$B$5,V613*KPI_Weights!$B$6,W613*KPI_Weights!$B$7,X613*KPI_Weights!$B$8,Y613*KPI_Weights!$B$9,Z613*KPI_Weights!$B$10,AA613*KPI_Weights!$B$11,AB613*KPI_Weights!$B$12,AC613*KPI_Weights!$B$13,AD613*KPI_Weights!$B$14,AE613*KPI_Weights!$B$15,AF613*KPI_Weights!$B$16,AG613*KPI_Weights!$B$17,AH613*KPI_Weights!$B$18))/5)</f>
        <v/>
      </c>
      <c r="AL613" t="str">
        <f t="shared" si="77"/>
        <v/>
      </c>
      <c r="AM613" t="str">
        <f t="shared" si="78"/>
        <v/>
      </c>
      <c r="AN613" t="str">
        <f t="shared" si="79"/>
        <v/>
      </c>
    </row>
    <row r="614" spans="1:40" ht="15" customHeight="1" x14ac:dyDescent="0.2">
      <c r="A614" t="str">
        <f>IF($B614="","",TEXT($B614,"yyyymmdd")&amp;"-"&amp;SUBSTITUTE($F614," ","")&amp;"-"&amp;TEXT(COUNTIF($F$4:F614,$F614),"00"))</f>
        <v/>
      </c>
      <c r="C614" t="str">
        <f t="shared" si="73"/>
        <v/>
      </c>
      <c r="D614" t="str">
        <f t="shared" si="74"/>
        <v/>
      </c>
      <c r="G614" t="str">
        <f>IF(OR($E614="",$F614=""),"",IFERROR(IF($E614=INDEX(Cluster_Master!$A$4:$A$18,MATCH($F614,Cluster_Master!$B$4:$B$18,0)),"OK","CHECK"),"CHECK"))</f>
        <v/>
      </c>
      <c r="H614" t="str">
        <f>IFERROR(INDEX(Cluster_Master!$C$4:$C$18,MATCH($F614,Cluster_Master!$B$4:$B$18,0)),"")</f>
        <v/>
      </c>
      <c r="I614" t="str">
        <f>IFERROR(INDEX(Cluster_Master!$D$4:$D$18,MATCH($F614,Cluster_Master!$B$4:$B$18,0)),"")</f>
        <v/>
      </c>
      <c r="J614" t="str">
        <f>IFERROR(INDEX(Cluster_Master!$E$4:$E$18,MATCH($F614,Cluster_Master!$B$4:$B$18,0)),"")</f>
        <v/>
      </c>
      <c r="K614" t="str">
        <f>IFERROR(INDEX(Cluster_Master!$F$4:$F$18,MATCH($F614,Cluster_Master!$B$4:$B$18,0)),"")</f>
        <v/>
      </c>
      <c r="L614" t="str">
        <f>IFERROR(INDEX(Cluster_Master!$G$4:$G$18,MATCH($F614,Cluster_Master!$B$4:$B$18,0)),"")</f>
        <v/>
      </c>
      <c r="M614" t="str">
        <f>IFERROR(INDEX(Cluster_Master!$H$4:$H$18,MATCH($F614,Cluster_Master!$B$4:$B$18,0)),"")</f>
        <v/>
      </c>
      <c r="AI614" t="str">
        <f t="shared" si="75"/>
        <v/>
      </c>
      <c r="AJ614" t="str">
        <f t="shared" si="76"/>
        <v/>
      </c>
      <c r="AK614" t="str">
        <f>IF(COUNTA(T614:AH614)=0,"",(SUM(T614*KPI_Weights!$B$4,U614*KPI_Weights!$B$5,V614*KPI_Weights!$B$6,W614*KPI_Weights!$B$7,X614*KPI_Weights!$B$8,Y614*KPI_Weights!$B$9,Z614*KPI_Weights!$B$10,AA614*KPI_Weights!$B$11,AB614*KPI_Weights!$B$12,AC614*KPI_Weights!$B$13,AD614*KPI_Weights!$B$14,AE614*KPI_Weights!$B$15,AF614*KPI_Weights!$B$16,AG614*KPI_Weights!$B$17,AH614*KPI_Weights!$B$18))/5)</f>
        <v/>
      </c>
      <c r="AL614" t="str">
        <f t="shared" si="77"/>
        <v/>
      </c>
      <c r="AM614" t="str">
        <f t="shared" si="78"/>
        <v/>
      </c>
      <c r="AN614" t="str">
        <f t="shared" si="79"/>
        <v/>
      </c>
    </row>
    <row r="615" spans="1:40" ht="15" customHeight="1" x14ac:dyDescent="0.2">
      <c r="A615" t="str">
        <f>IF($B615="","",TEXT($B615,"yyyymmdd")&amp;"-"&amp;SUBSTITUTE($F615," ","")&amp;"-"&amp;TEXT(COUNTIF($F$4:F615,$F615),"00"))</f>
        <v/>
      </c>
      <c r="C615" t="str">
        <f t="shared" si="73"/>
        <v/>
      </c>
      <c r="D615" t="str">
        <f t="shared" si="74"/>
        <v/>
      </c>
      <c r="G615" t="str">
        <f>IF(OR($E615="",$F615=""),"",IFERROR(IF($E615=INDEX(Cluster_Master!$A$4:$A$18,MATCH($F615,Cluster_Master!$B$4:$B$18,0)),"OK","CHECK"),"CHECK"))</f>
        <v/>
      </c>
      <c r="H615" t="str">
        <f>IFERROR(INDEX(Cluster_Master!$C$4:$C$18,MATCH($F615,Cluster_Master!$B$4:$B$18,0)),"")</f>
        <v/>
      </c>
      <c r="I615" t="str">
        <f>IFERROR(INDEX(Cluster_Master!$D$4:$D$18,MATCH($F615,Cluster_Master!$B$4:$B$18,0)),"")</f>
        <v/>
      </c>
      <c r="J615" t="str">
        <f>IFERROR(INDEX(Cluster_Master!$E$4:$E$18,MATCH($F615,Cluster_Master!$B$4:$B$18,0)),"")</f>
        <v/>
      </c>
      <c r="K615" t="str">
        <f>IFERROR(INDEX(Cluster_Master!$F$4:$F$18,MATCH($F615,Cluster_Master!$B$4:$B$18,0)),"")</f>
        <v/>
      </c>
      <c r="L615" t="str">
        <f>IFERROR(INDEX(Cluster_Master!$G$4:$G$18,MATCH($F615,Cluster_Master!$B$4:$B$18,0)),"")</f>
        <v/>
      </c>
      <c r="M615" t="str">
        <f>IFERROR(INDEX(Cluster_Master!$H$4:$H$18,MATCH($F615,Cluster_Master!$B$4:$B$18,0)),"")</f>
        <v/>
      </c>
      <c r="AI615" t="str">
        <f t="shared" si="75"/>
        <v/>
      </c>
      <c r="AJ615" t="str">
        <f t="shared" si="76"/>
        <v/>
      </c>
      <c r="AK615" t="str">
        <f>IF(COUNTA(T615:AH615)=0,"",(SUM(T615*KPI_Weights!$B$4,U615*KPI_Weights!$B$5,V615*KPI_Weights!$B$6,W615*KPI_Weights!$B$7,X615*KPI_Weights!$B$8,Y615*KPI_Weights!$B$9,Z615*KPI_Weights!$B$10,AA615*KPI_Weights!$B$11,AB615*KPI_Weights!$B$12,AC615*KPI_Weights!$B$13,AD615*KPI_Weights!$B$14,AE615*KPI_Weights!$B$15,AF615*KPI_Weights!$B$16,AG615*KPI_Weights!$B$17,AH615*KPI_Weights!$B$18))/5)</f>
        <v/>
      </c>
      <c r="AL615" t="str">
        <f t="shared" si="77"/>
        <v/>
      </c>
      <c r="AM615" t="str">
        <f t="shared" si="78"/>
        <v/>
      </c>
      <c r="AN615" t="str">
        <f t="shared" si="79"/>
        <v/>
      </c>
    </row>
    <row r="616" spans="1:40" ht="15" customHeight="1" x14ac:dyDescent="0.2">
      <c r="A616" t="str">
        <f>IF($B616="","",TEXT($B616,"yyyymmdd")&amp;"-"&amp;SUBSTITUTE($F616," ","")&amp;"-"&amp;TEXT(COUNTIF($F$4:F616,$F616),"00"))</f>
        <v/>
      </c>
      <c r="C616" t="str">
        <f t="shared" si="73"/>
        <v/>
      </c>
      <c r="D616" t="str">
        <f t="shared" si="74"/>
        <v/>
      </c>
      <c r="G616" t="str">
        <f>IF(OR($E616="",$F616=""),"",IFERROR(IF($E616=INDEX(Cluster_Master!$A$4:$A$18,MATCH($F616,Cluster_Master!$B$4:$B$18,0)),"OK","CHECK"),"CHECK"))</f>
        <v/>
      </c>
      <c r="H616" t="str">
        <f>IFERROR(INDEX(Cluster_Master!$C$4:$C$18,MATCH($F616,Cluster_Master!$B$4:$B$18,0)),"")</f>
        <v/>
      </c>
      <c r="I616" t="str">
        <f>IFERROR(INDEX(Cluster_Master!$D$4:$D$18,MATCH($F616,Cluster_Master!$B$4:$B$18,0)),"")</f>
        <v/>
      </c>
      <c r="J616" t="str">
        <f>IFERROR(INDEX(Cluster_Master!$E$4:$E$18,MATCH($F616,Cluster_Master!$B$4:$B$18,0)),"")</f>
        <v/>
      </c>
      <c r="K616" t="str">
        <f>IFERROR(INDEX(Cluster_Master!$F$4:$F$18,MATCH($F616,Cluster_Master!$B$4:$B$18,0)),"")</f>
        <v/>
      </c>
      <c r="L616" t="str">
        <f>IFERROR(INDEX(Cluster_Master!$G$4:$G$18,MATCH($F616,Cluster_Master!$B$4:$B$18,0)),"")</f>
        <v/>
      </c>
      <c r="M616" t="str">
        <f>IFERROR(INDEX(Cluster_Master!$H$4:$H$18,MATCH($F616,Cluster_Master!$B$4:$B$18,0)),"")</f>
        <v/>
      </c>
      <c r="AI616" t="str">
        <f t="shared" si="75"/>
        <v/>
      </c>
      <c r="AJ616" t="str">
        <f t="shared" si="76"/>
        <v/>
      </c>
      <c r="AK616" t="str">
        <f>IF(COUNTA(T616:AH616)=0,"",(SUM(T616*KPI_Weights!$B$4,U616*KPI_Weights!$B$5,V616*KPI_Weights!$B$6,W616*KPI_Weights!$B$7,X616*KPI_Weights!$B$8,Y616*KPI_Weights!$B$9,Z616*KPI_Weights!$B$10,AA616*KPI_Weights!$B$11,AB616*KPI_Weights!$B$12,AC616*KPI_Weights!$B$13,AD616*KPI_Weights!$B$14,AE616*KPI_Weights!$B$15,AF616*KPI_Weights!$B$16,AG616*KPI_Weights!$B$17,AH616*KPI_Weights!$B$18))/5)</f>
        <v/>
      </c>
      <c r="AL616" t="str">
        <f t="shared" si="77"/>
        <v/>
      </c>
      <c r="AM616" t="str">
        <f t="shared" si="78"/>
        <v/>
      </c>
      <c r="AN616" t="str">
        <f t="shared" si="79"/>
        <v/>
      </c>
    </row>
    <row r="617" spans="1:40" ht="15" customHeight="1" x14ac:dyDescent="0.2">
      <c r="A617" t="str">
        <f>IF($B617="","",TEXT($B617,"yyyymmdd")&amp;"-"&amp;SUBSTITUTE($F617," ","")&amp;"-"&amp;TEXT(COUNTIF($F$4:F617,$F617),"00"))</f>
        <v/>
      </c>
      <c r="C617" t="str">
        <f t="shared" si="73"/>
        <v/>
      </c>
      <c r="D617" t="str">
        <f t="shared" si="74"/>
        <v/>
      </c>
      <c r="G617" t="str">
        <f>IF(OR($E617="",$F617=""),"",IFERROR(IF($E617=INDEX(Cluster_Master!$A$4:$A$18,MATCH($F617,Cluster_Master!$B$4:$B$18,0)),"OK","CHECK"),"CHECK"))</f>
        <v/>
      </c>
      <c r="H617" t="str">
        <f>IFERROR(INDEX(Cluster_Master!$C$4:$C$18,MATCH($F617,Cluster_Master!$B$4:$B$18,0)),"")</f>
        <v/>
      </c>
      <c r="I617" t="str">
        <f>IFERROR(INDEX(Cluster_Master!$D$4:$D$18,MATCH($F617,Cluster_Master!$B$4:$B$18,0)),"")</f>
        <v/>
      </c>
      <c r="J617" t="str">
        <f>IFERROR(INDEX(Cluster_Master!$E$4:$E$18,MATCH($F617,Cluster_Master!$B$4:$B$18,0)),"")</f>
        <v/>
      </c>
      <c r="K617" t="str">
        <f>IFERROR(INDEX(Cluster_Master!$F$4:$F$18,MATCH($F617,Cluster_Master!$B$4:$B$18,0)),"")</f>
        <v/>
      </c>
      <c r="L617" t="str">
        <f>IFERROR(INDEX(Cluster_Master!$G$4:$G$18,MATCH($F617,Cluster_Master!$B$4:$B$18,0)),"")</f>
        <v/>
      </c>
      <c r="M617" t="str">
        <f>IFERROR(INDEX(Cluster_Master!$H$4:$H$18,MATCH($F617,Cluster_Master!$B$4:$B$18,0)),"")</f>
        <v/>
      </c>
      <c r="AI617" t="str">
        <f t="shared" si="75"/>
        <v/>
      </c>
      <c r="AJ617" t="str">
        <f t="shared" si="76"/>
        <v/>
      </c>
      <c r="AK617" t="str">
        <f>IF(COUNTA(T617:AH617)=0,"",(SUM(T617*KPI_Weights!$B$4,U617*KPI_Weights!$B$5,V617*KPI_Weights!$B$6,W617*KPI_Weights!$B$7,X617*KPI_Weights!$B$8,Y617*KPI_Weights!$B$9,Z617*KPI_Weights!$B$10,AA617*KPI_Weights!$B$11,AB617*KPI_Weights!$B$12,AC617*KPI_Weights!$B$13,AD617*KPI_Weights!$B$14,AE617*KPI_Weights!$B$15,AF617*KPI_Weights!$B$16,AG617*KPI_Weights!$B$17,AH617*KPI_Weights!$B$18))/5)</f>
        <v/>
      </c>
      <c r="AL617" t="str">
        <f t="shared" si="77"/>
        <v/>
      </c>
      <c r="AM617" t="str">
        <f t="shared" si="78"/>
        <v/>
      </c>
      <c r="AN617" t="str">
        <f t="shared" si="79"/>
        <v/>
      </c>
    </row>
    <row r="618" spans="1:40" ht="15" customHeight="1" x14ac:dyDescent="0.2">
      <c r="A618" t="str">
        <f>IF($B618="","",TEXT($B618,"yyyymmdd")&amp;"-"&amp;SUBSTITUTE($F618," ","")&amp;"-"&amp;TEXT(COUNTIF($F$4:F618,$F618),"00"))</f>
        <v/>
      </c>
      <c r="C618" t="str">
        <f t="shared" si="73"/>
        <v/>
      </c>
      <c r="D618" t="str">
        <f t="shared" si="74"/>
        <v/>
      </c>
      <c r="G618" t="str">
        <f>IF(OR($E618="",$F618=""),"",IFERROR(IF($E618=INDEX(Cluster_Master!$A$4:$A$18,MATCH($F618,Cluster_Master!$B$4:$B$18,0)),"OK","CHECK"),"CHECK"))</f>
        <v/>
      </c>
      <c r="H618" t="str">
        <f>IFERROR(INDEX(Cluster_Master!$C$4:$C$18,MATCH($F618,Cluster_Master!$B$4:$B$18,0)),"")</f>
        <v/>
      </c>
      <c r="I618" t="str">
        <f>IFERROR(INDEX(Cluster_Master!$D$4:$D$18,MATCH($F618,Cluster_Master!$B$4:$B$18,0)),"")</f>
        <v/>
      </c>
      <c r="J618" t="str">
        <f>IFERROR(INDEX(Cluster_Master!$E$4:$E$18,MATCH($F618,Cluster_Master!$B$4:$B$18,0)),"")</f>
        <v/>
      </c>
      <c r="K618" t="str">
        <f>IFERROR(INDEX(Cluster_Master!$F$4:$F$18,MATCH($F618,Cluster_Master!$B$4:$B$18,0)),"")</f>
        <v/>
      </c>
      <c r="L618" t="str">
        <f>IFERROR(INDEX(Cluster_Master!$G$4:$G$18,MATCH($F618,Cluster_Master!$B$4:$B$18,0)),"")</f>
        <v/>
      </c>
      <c r="M618" t="str">
        <f>IFERROR(INDEX(Cluster_Master!$H$4:$H$18,MATCH($F618,Cluster_Master!$B$4:$B$18,0)),"")</f>
        <v/>
      </c>
      <c r="AI618" t="str">
        <f t="shared" si="75"/>
        <v/>
      </c>
      <c r="AJ618" t="str">
        <f t="shared" si="76"/>
        <v/>
      </c>
      <c r="AK618" t="str">
        <f>IF(COUNTA(T618:AH618)=0,"",(SUM(T618*KPI_Weights!$B$4,U618*KPI_Weights!$B$5,V618*KPI_Weights!$B$6,W618*KPI_Weights!$B$7,X618*KPI_Weights!$B$8,Y618*KPI_Weights!$B$9,Z618*KPI_Weights!$B$10,AA618*KPI_Weights!$B$11,AB618*KPI_Weights!$B$12,AC618*KPI_Weights!$B$13,AD618*KPI_Weights!$B$14,AE618*KPI_Weights!$B$15,AF618*KPI_Weights!$B$16,AG618*KPI_Weights!$B$17,AH618*KPI_Weights!$B$18))/5)</f>
        <v/>
      </c>
      <c r="AL618" t="str">
        <f t="shared" si="77"/>
        <v/>
      </c>
      <c r="AM618" t="str">
        <f t="shared" si="78"/>
        <v/>
      </c>
      <c r="AN618" t="str">
        <f t="shared" si="79"/>
        <v/>
      </c>
    </row>
    <row r="619" spans="1:40" ht="15" customHeight="1" x14ac:dyDescent="0.2">
      <c r="A619" t="str">
        <f>IF($B619="","",TEXT($B619,"yyyymmdd")&amp;"-"&amp;SUBSTITUTE($F619," ","")&amp;"-"&amp;TEXT(COUNTIF($F$4:F619,$F619),"00"))</f>
        <v/>
      </c>
      <c r="C619" t="str">
        <f t="shared" si="73"/>
        <v/>
      </c>
      <c r="D619" t="str">
        <f t="shared" si="74"/>
        <v/>
      </c>
      <c r="G619" t="str">
        <f>IF(OR($E619="",$F619=""),"",IFERROR(IF($E619=INDEX(Cluster_Master!$A$4:$A$18,MATCH($F619,Cluster_Master!$B$4:$B$18,0)),"OK","CHECK"),"CHECK"))</f>
        <v/>
      </c>
      <c r="H619" t="str">
        <f>IFERROR(INDEX(Cluster_Master!$C$4:$C$18,MATCH($F619,Cluster_Master!$B$4:$B$18,0)),"")</f>
        <v/>
      </c>
      <c r="I619" t="str">
        <f>IFERROR(INDEX(Cluster_Master!$D$4:$D$18,MATCH($F619,Cluster_Master!$B$4:$B$18,0)),"")</f>
        <v/>
      </c>
      <c r="J619" t="str">
        <f>IFERROR(INDEX(Cluster_Master!$E$4:$E$18,MATCH($F619,Cluster_Master!$B$4:$B$18,0)),"")</f>
        <v/>
      </c>
      <c r="K619" t="str">
        <f>IFERROR(INDEX(Cluster_Master!$F$4:$F$18,MATCH($F619,Cluster_Master!$B$4:$B$18,0)),"")</f>
        <v/>
      </c>
      <c r="L619" t="str">
        <f>IFERROR(INDEX(Cluster_Master!$G$4:$G$18,MATCH($F619,Cluster_Master!$B$4:$B$18,0)),"")</f>
        <v/>
      </c>
      <c r="M619" t="str">
        <f>IFERROR(INDEX(Cluster_Master!$H$4:$H$18,MATCH($F619,Cluster_Master!$B$4:$B$18,0)),"")</f>
        <v/>
      </c>
      <c r="AI619" t="str">
        <f t="shared" si="75"/>
        <v/>
      </c>
      <c r="AJ619" t="str">
        <f t="shared" si="76"/>
        <v/>
      </c>
      <c r="AK619" t="str">
        <f>IF(COUNTA(T619:AH619)=0,"",(SUM(T619*KPI_Weights!$B$4,U619*KPI_Weights!$B$5,V619*KPI_Weights!$B$6,W619*KPI_Weights!$B$7,X619*KPI_Weights!$B$8,Y619*KPI_Weights!$B$9,Z619*KPI_Weights!$B$10,AA619*KPI_Weights!$B$11,AB619*KPI_Weights!$B$12,AC619*KPI_Weights!$B$13,AD619*KPI_Weights!$B$14,AE619*KPI_Weights!$B$15,AF619*KPI_Weights!$B$16,AG619*KPI_Weights!$B$17,AH619*KPI_Weights!$B$18))/5)</f>
        <v/>
      </c>
      <c r="AL619" t="str">
        <f t="shared" si="77"/>
        <v/>
      </c>
      <c r="AM619" t="str">
        <f t="shared" si="78"/>
        <v/>
      </c>
      <c r="AN619" t="str">
        <f t="shared" si="79"/>
        <v/>
      </c>
    </row>
    <row r="620" spans="1:40" ht="15" customHeight="1" x14ac:dyDescent="0.2">
      <c r="A620" t="str">
        <f>IF($B620="","",TEXT($B620,"yyyymmdd")&amp;"-"&amp;SUBSTITUTE($F620," ","")&amp;"-"&amp;TEXT(COUNTIF($F$4:F620,$F620),"00"))</f>
        <v/>
      </c>
      <c r="C620" t="str">
        <f t="shared" si="73"/>
        <v/>
      </c>
      <c r="D620" t="str">
        <f t="shared" si="74"/>
        <v/>
      </c>
      <c r="G620" t="str">
        <f>IF(OR($E620="",$F620=""),"",IFERROR(IF($E620=INDEX(Cluster_Master!$A$4:$A$18,MATCH($F620,Cluster_Master!$B$4:$B$18,0)),"OK","CHECK"),"CHECK"))</f>
        <v/>
      </c>
      <c r="H620" t="str">
        <f>IFERROR(INDEX(Cluster_Master!$C$4:$C$18,MATCH($F620,Cluster_Master!$B$4:$B$18,0)),"")</f>
        <v/>
      </c>
      <c r="I620" t="str">
        <f>IFERROR(INDEX(Cluster_Master!$D$4:$D$18,MATCH($F620,Cluster_Master!$B$4:$B$18,0)),"")</f>
        <v/>
      </c>
      <c r="J620" t="str">
        <f>IFERROR(INDEX(Cluster_Master!$E$4:$E$18,MATCH($F620,Cluster_Master!$B$4:$B$18,0)),"")</f>
        <v/>
      </c>
      <c r="K620" t="str">
        <f>IFERROR(INDEX(Cluster_Master!$F$4:$F$18,MATCH($F620,Cluster_Master!$B$4:$B$18,0)),"")</f>
        <v/>
      </c>
      <c r="L620" t="str">
        <f>IFERROR(INDEX(Cluster_Master!$G$4:$G$18,MATCH($F620,Cluster_Master!$B$4:$B$18,0)),"")</f>
        <v/>
      </c>
      <c r="M620" t="str">
        <f>IFERROR(INDEX(Cluster_Master!$H$4:$H$18,MATCH($F620,Cluster_Master!$B$4:$B$18,0)),"")</f>
        <v/>
      </c>
      <c r="AI620" t="str">
        <f t="shared" si="75"/>
        <v/>
      </c>
      <c r="AJ620" t="str">
        <f t="shared" si="76"/>
        <v/>
      </c>
      <c r="AK620" t="str">
        <f>IF(COUNTA(T620:AH620)=0,"",(SUM(T620*KPI_Weights!$B$4,U620*KPI_Weights!$B$5,V620*KPI_Weights!$B$6,W620*KPI_Weights!$B$7,X620*KPI_Weights!$B$8,Y620*KPI_Weights!$B$9,Z620*KPI_Weights!$B$10,AA620*KPI_Weights!$B$11,AB620*KPI_Weights!$B$12,AC620*KPI_Weights!$B$13,AD620*KPI_Weights!$B$14,AE620*KPI_Weights!$B$15,AF620*KPI_Weights!$B$16,AG620*KPI_Weights!$B$17,AH620*KPI_Weights!$B$18))/5)</f>
        <v/>
      </c>
      <c r="AL620" t="str">
        <f t="shared" si="77"/>
        <v/>
      </c>
      <c r="AM620" t="str">
        <f t="shared" si="78"/>
        <v/>
      </c>
      <c r="AN620" t="str">
        <f t="shared" si="79"/>
        <v/>
      </c>
    </row>
    <row r="621" spans="1:40" ht="15" customHeight="1" x14ac:dyDescent="0.2">
      <c r="A621" t="str">
        <f>IF($B621="","",TEXT($B621,"yyyymmdd")&amp;"-"&amp;SUBSTITUTE($F621," ","")&amp;"-"&amp;TEXT(COUNTIF($F$4:F621,$F621),"00"))</f>
        <v/>
      </c>
      <c r="C621" t="str">
        <f t="shared" si="73"/>
        <v/>
      </c>
      <c r="D621" t="str">
        <f t="shared" si="74"/>
        <v/>
      </c>
      <c r="G621" t="str">
        <f>IF(OR($E621="",$F621=""),"",IFERROR(IF($E621=INDEX(Cluster_Master!$A$4:$A$18,MATCH($F621,Cluster_Master!$B$4:$B$18,0)),"OK","CHECK"),"CHECK"))</f>
        <v/>
      </c>
      <c r="H621" t="str">
        <f>IFERROR(INDEX(Cluster_Master!$C$4:$C$18,MATCH($F621,Cluster_Master!$B$4:$B$18,0)),"")</f>
        <v/>
      </c>
      <c r="I621" t="str">
        <f>IFERROR(INDEX(Cluster_Master!$D$4:$D$18,MATCH($F621,Cluster_Master!$B$4:$B$18,0)),"")</f>
        <v/>
      </c>
      <c r="J621" t="str">
        <f>IFERROR(INDEX(Cluster_Master!$E$4:$E$18,MATCH($F621,Cluster_Master!$B$4:$B$18,0)),"")</f>
        <v/>
      </c>
      <c r="K621" t="str">
        <f>IFERROR(INDEX(Cluster_Master!$F$4:$F$18,MATCH($F621,Cluster_Master!$B$4:$B$18,0)),"")</f>
        <v/>
      </c>
      <c r="L621" t="str">
        <f>IFERROR(INDEX(Cluster_Master!$G$4:$G$18,MATCH($F621,Cluster_Master!$B$4:$B$18,0)),"")</f>
        <v/>
      </c>
      <c r="M621" t="str">
        <f>IFERROR(INDEX(Cluster_Master!$H$4:$H$18,MATCH($F621,Cluster_Master!$B$4:$B$18,0)),"")</f>
        <v/>
      </c>
      <c r="AI621" t="str">
        <f t="shared" si="75"/>
        <v/>
      </c>
      <c r="AJ621" t="str">
        <f t="shared" si="76"/>
        <v/>
      </c>
      <c r="AK621" t="str">
        <f>IF(COUNTA(T621:AH621)=0,"",(SUM(T621*KPI_Weights!$B$4,U621*KPI_Weights!$B$5,V621*KPI_Weights!$B$6,W621*KPI_Weights!$B$7,X621*KPI_Weights!$B$8,Y621*KPI_Weights!$B$9,Z621*KPI_Weights!$B$10,AA621*KPI_Weights!$B$11,AB621*KPI_Weights!$B$12,AC621*KPI_Weights!$B$13,AD621*KPI_Weights!$B$14,AE621*KPI_Weights!$B$15,AF621*KPI_Weights!$B$16,AG621*KPI_Weights!$B$17,AH621*KPI_Weights!$B$18))/5)</f>
        <v/>
      </c>
      <c r="AL621" t="str">
        <f t="shared" si="77"/>
        <v/>
      </c>
      <c r="AM621" t="str">
        <f t="shared" si="78"/>
        <v/>
      </c>
      <c r="AN621" t="str">
        <f t="shared" si="79"/>
        <v/>
      </c>
    </row>
    <row r="622" spans="1:40" ht="15" customHeight="1" x14ac:dyDescent="0.2">
      <c r="A622" t="str">
        <f>IF($B622="","",TEXT($B622,"yyyymmdd")&amp;"-"&amp;SUBSTITUTE($F622," ","")&amp;"-"&amp;TEXT(COUNTIF($F$4:F622,$F622),"00"))</f>
        <v/>
      </c>
      <c r="C622" t="str">
        <f t="shared" si="73"/>
        <v/>
      </c>
      <c r="D622" t="str">
        <f t="shared" si="74"/>
        <v/>
      </c>
      <c r="G622" t="str">
        <f>IF(OR($E622="",$F622=""),"",IFERROR(IF($E622=INDEX(Cluster_Master!$A$4:$A$18,MATCH($F622,Cluster_Master!$B$4:$B$18,0)),"OK","CHECK"),"CHECK"))</f>
        <v/>
      </c>
      <c r="H622" t="str">
        <f>IFERROR(INDEX(Cluster_Master!$C$4:$C$18,MATCH($F622,Cluster_Master!$B$4:$B$18,0)),"")</f>
        <v/>
      </c>
      <c r="I622" t="str">
        <f>IFERROR(INDEX(Cluster_Master!$D$4:$D$18,MATCH($F622,Cluster_Master!$B$4:$B$18,0)),"")</f>
        <v/>
      </c>
      <c r="J622" t="str">
        <f>IFERROR(INDEX(Cluster_Master!$E$4:$E$18,MATCH($F622,Cluster_Master!$B$4:$B$18,0)),"")</f>
        <v/>
      </c>
      <c r="K622" t="str">
        <f>IFERROR(INDEX(Cluster_Master!$F$4:$F$18,MATCH($F622,Cluster_Master!$B$4:$B$18,0)),"")</f>
        <v/>
      </c>
      <c r="L622" t="str">
        <f>IFERROR(INDEX(Cluster_Master!$G$4:$G$18,MATCH($F622,Cluster_Master!$B$4:$B$18,0)),"")</f>
        <v/>
      </c>
      <c r="M622" t="str">
        <f>IFERROR(INDEX(Cluster_Master!$H$4:$H$18,MATCH($F622,Cluster_Master!$B$4:$B$18,0)),"")</f>
        <v/>
      </c>
      <c r="AI622" t="str">
        <f t="shared" si="75"/>
        <v/>
      </c>
      <c r="AJ622" t="str">
        <f t="shared" si="76"/>
        <v/>
      </c>
      <c r="AK622" t="str">
        <f>IF(COUNTA(T622:AH622)=0,"",(SUM(T622*KPI_Weights!$B$4,U622*KPI_Weights!$B$5,V622*KPI_Weights!$B$6,W622*KPI_Weights!$B$7,X622*KPI_Weights!$B$8,Y622*KPI_Weights!$B$9,Z622*KPI_Weights!$B$10,AA622*KPI_Weights!$B$11,AB622*KPI_Weights!$B$12,AC622*KPI_Weights!$B$13,AD622*KPI_Weights!$B$14,AE622*KPI_Weights!$B$15,AF622*KPI_Weights!$B$16,AG622*KPI_Weights!$B$17,AH622*KPI_Weights!$B$18))/5)</f>
        <v/>
      </c>
      <c r="AL622" t="str">
        <f t="shared" si="77"/>
        <v/>
      </c>
      <c r="AM622" t="str">
        <f t="shared" si="78"/>
        <v/>
      </c>
      <c r="AN622" t="str">
        <f t="shared" si="79"/>
        <v/>
      </c>
    </row>
    <row r="623" spans="1:40" ht="15" customHeight="1" x14ac:dyDescent="0.2">
      <c r="A623" t="str">
        <f>IF($B623="","",TEXT($B623,"yyyymmdd")&amp;"-"&amp;SUBSTITUTE($F623," ","")&amp;"-"&amp;TEXT(COUNTIF($F$4:F623,$F623),"00"))</f>
        <v/>
      </c>
      <c r="C623" t="str">
        <f t="shared" si="73"/>
        <v/>
      </c>
      <c r="D623" t="str">
        <f t="shared" si="74"/>
        <v/>
      </c>
      <c r="G623" t="str">
        <f>IF(OR($E623="",$F623=""),"",IFERROR(IF($E623=INDEX(Cluster_Master!$A$4:$A$18,MATCH($F623,Cluster_Master!$B$4:$B$18,0)),"OK","CHECK"),"CHECK"))</f>
        <v/>
      </c>
      <c r="H623" t="str">
        <f>IFERROR(INDEX(Cluster_Master!$C$4:$C$18,MATCH($F623,Cluster_Master!$B$4:$B$18,0)),"")</f>
        <v/>
      </c>
      <c r="I623" t="str">
        <f>IFERROR(INDEX(Cluster_Master!$D$4:$D$18,MATCH($F623,Cluster_Master!$B$4:$B$18,0)),"")</f>
        <v/>
      </c>
      <c r="J623" t="str">
        <f>IFERROR(INDEX(Cluster_Master!$E$4:$E$18,MATCH($F623,Cluster_Master!$B$4:$B$18,0)),"")</f>
        <v/>
      </c>
      <c r="K623" t="str">
        <f>IFERROR(INDEX(Cluster_Master!$F$4:$F$18,MATCH($F623,Cluster_Master!$B$4:$B$18,0)),"")</f>
        <v/>
      </c>
      <c r="L623" t="str">
        <f>IFERROR(INDEX(Cluster_Master!$G$4:$G$18,MATCH($F623,Cluster_Master!$B$4:$B$18,0)),"")</f>
        <v/>
      </c>
      <c r="M623" t="str">
        <f>IFERROR(INDEX(Cluster_Master!$H$4:$H$18,MATCH($F623,Cluster_Master!$B$4:$B$18,0)),"")</f>
        <v/>
      </c>
      <c r="AI623" t="str">
        <f t="shared" si="75"/>
        <v/>
      </c>
      <c r="AJ623" t="str">
        <f t="shared" si="76"/>
        <v/>
      </c>
      <c r="AK623" t="str">
        <f>IF(COUNTA(T623:AH623)=0,"",(SUM(T623*KPI_Weights!$B$4,U623*KPI_Weights!$B$5,V623*KPI_Weights!$B$6,W623*KPI_Weights!$B$7,X623*KPI_Weights!$B$8,Y623*KPI_Weights!$B$9,Z623*KPI_Weights!$B$10,AA623*KPI_Weights!$B$11,AB623*KPI_Weights!$B$12,AC623*KPI_Weights!$B$13,AD623*KPI_Weights!$B$14,AE623*KPI_Weights!$B$15,AF623*KPI_Weights!$B$16,AG623*KPI_Weights!$B$17,AH623*KPI_Weights!$B$18))/5)</f>
        <v/>
      </c>
      <c r="AL623" t="str">
        <f t="shared" si="77"/>
        <v/>
      </c>
      <c r="AM623" t="str">
        <f t="shared" si="78"/>
        <v/>
      </c>
      <c r="AN623" t="str">
        <f t="shared" si="79"/>
        <v/>
      </c>
    </row>
    <row r="624" spans="1:40" ht="15" customHeight="1" x14ac:dyDescent="0.2">
      <c r="A624" t="str">
        <f>IF($B624="","",TEXT($B624,"yyyymmdd")&amp;"-"&amp;SUBSTITUTE($F624," ","")&amp;"-"&amp;TEXT(COUNTIF($F$4:F624,$F624),"00"))</f>
        <v/>
      </c>
      <c r="C624" t="str">
        <f t="shared" si="73"/>
        <v/>
      </c>
      <c r="D624" t="str">
        <f t="shared" si="74"/>
        <v/>
      </c>
      <c r="G624" t="str">
        <f>IF(OR($E624="",$F624=""),"",IFERROR(IF($E624=INDEX(Cluster_Master!$A$4:$A$18,MATCH($F624,Cluster_Master!$B$4:$B$18,0)),"OK","CHECK"),"CHECK"))</f>
        <v/>
      </c>
      <c r="H624" t="str">
        <f>IFERROR(INDEX(Cluster_Master!$C$4:$C$18,MATCH($F624,Cluster_Master!$B$4:$B$18,0)),"")</f>
        <v/>
      </c>
      <c r="I624" t="str">
        <f>IFERROR(INDEX(Cluster_Master!$D$4:$D$18,MATCH($F624,Cluster_Master!$B$4:$B$18,0)),"")</f>
        <v/>
      </c>
      <c r="J624" t="str">
        <f>IFERROR(INDEX(Cluster_Master!$E$4:$E$18,MATCH($F624,Cluster_Master!$B$4:$B$18,0)),"")</f>
        <v/>
      </c>
      <c r="K624" t="str">
        <f>IFERROR(INDEX(Cluster_Master!$F$4:$F$18,MATCH($F624,Cluster_Master!$B$4:$B$18,0)),"")</f>
        <v/>
      </c>
      <c r="L624" t="str">
        <f>IFERROR(INDEX(Cluster_Master!$G$4:$G$18,MATCH($F624,Cluster_Master!$B$4:$B$18,0)),"")</f>
        <v/>
      </c>
      <c r="M624" t="str">
        <f>IFERROR(INDEX(Cluster_Master!$H$4:$H$18,MATCH($F624,Cluster_Master!$B$4:$B$18,0)),"")</f>
        <v/>
      </c>
      <c r="AI624" t="str">
        <f t="shared" si="75"/>
        <v/>
      </c>
      <c r="AJ624" t="str">
        <f t="shared" si="76"/>
        <v/>
      </c>
      <c r="AK624" t="str">
        <f>IF(COUNTA(T624:AH624)=0,"",(SUM(T624*KPI_Weights!$B$4,U624*KPI_Weights!$B$5,V624*KPI_Weights!$B$6,W624*KPI_Weights!$B$7,X624*KPI_Weights!$B$8,Y624*KPI_Weights!$B$9,Z624*KPI_Weights!$B$10,AA624*KPI_Weights!$B$11,AB624*KPI_Weights!$B$12,AC624*KPI_Weights!$B$13,AD624*KPI_Weights!$B$14,AE624*KPI_Weights!$B$15,AF624*KPI_Weights!$B$16,AG624*KPI_Weights!$B$17,AH624*KPI_Weights!$B$18))/5)</f>
        <v/>
      </c>
      <c r="AL624" t="str">
        <f t="shared" si="77"/>
        <v/>
      </c>
      <c r="AM624" t="str">
        <f t="shared" si="78"/>
        <v/>
      </c>
      <c r="AN624" t="str">
        <f t="shared" si="79"/>
        <v/>
      </c>
    </row>
    <row r="625" spans="1:40" ht="15" customHeight="1" x14ac:dyDescent="0.2">
      <c r="A625" t="str">
        <f>IF($B625="","",TEXT($B625,"yyyymmdd")&amp;"-"&amp;SUBSTITUTE($F625," ","")&amp;"-"&amp;TEXT(COUNTIF($F$4:F625,$F625),"00"))</f>
        <v/>
      </c>
      <c r="C625" t="str">
        <f t="shared" si="73"/>
        <v/>
      </c>
      <c r="D625" t="str">
        <f t="shared" si="74"/>
        <v/>
      </c>
      <c r="G625" t="str">
        <f>IF(OR($E625="",$F625=""),"",IFERROR(IF($E625=INDEX(Cluster_Master!$A$4:$A$18,MATCH($F625,Cluster_Master!$B$4:$B$18,0)),"OK","CHECK"),"CHECK"))</f>
        <v/>
      </c>
      <c r="H625" t="str">
        <f>IFERROR(INDEX(Cluster_Master!$C$4:$C$18,MATCH($F625,Cluster_Master!$B$4:$B$18,0)),"")</f>
        <v/>
      </c>
      <c r="I625" t="str">
        <f>IFERROR(INDEX(Cluster_Master!$D$4:$D$18,MATCH($F625,Cluster_Master!$B$4:$B$18,0)),"")</f>
        <v/>
      </c>
      <c r="J625" t="str">
        <f>IFERROR(INDEX(Cluster_Master!$E$4:$E$18,MATCH($F625,Cluster_Master!$B$4:$B$18,0)),"")</f>
        <v/>
      </c>
      <c r="K625" t="str">
        <f>IFERROR(INDEX(Cluster_Master!$F$4:$F$18,MATCH($F625,Cluster_Master!$B$4:$B$18,0)),"")</f>
        <v/>
      </c>
      <c r="L625" t="str">
        <f>IFERROR(INDEX(Cluster_Master!$G$4:$G$18,MATCH($F625,Cluster_Master!$B$4:$B$18,0)),"")</f>
        <v/>
      </c>
      <c r="M625" t="str">
        <f>IFERROR(INDEX(Cluster_Master!$H$4:$H$18,MATCH($F625,Cluster_Master!$B$4:$B$18,0)),"")</f>
        <v/>
      </c>
      <c r="AI625" t="str">
        <f t="shared" si="75"/>
        <v/>
      </c>
      <c r="AJ625" t="str">
        <f t="shared" si="76"/>
        <v/>
      </c>
      <c r="AK625" t="str">
        <f>IF(COUNTA(T625:AH625)=0,"",(SUM(T625*KPI_Weights!$B$4,U625*KPI_Weights!$B$5,V625*KPI_Weights!$B$6,W625*KPI_Weights!$B$7,X625*KPI_Weights!$B$8,Y625*KPI_Weights!$B$9,Z625*KPI_Weights!$B$10,AA625*KPI_Weights!$B$11,AB625*KPI_Weights!$B$12,AC625*KPI_Weights!$B$13,AD625*KPI_Weights!$B$14,AE625*KPI_Weights!$B$15,AF625*KPI_Weights!$B$16,AG625*KPI_Weights!$B$17,AH625*KPI_Weights!$B$18))/5)</f>
        <v/>
      </c>
      <c r="AL625" t="str">
        <f t="shared" si="77"/>
        <v/>
      </c>
      <c r="AM625" t="str">
        <f t="shared" si="78"/>
        <v/>
      </c>
      <c r="AN625" t="str">
        <f t="shared" si="79"/>
        <v/>
      </c>
    </row>
    <row r="626" spans="1:40" ht="15" customHeight="1" x14ac:dyDescent="0.2">
      <c r="A626" t="str">
        <f>IF($B626="","",TEXT($B626,"yyyymmdd")&amp;"-"&amp;SUBSTITUTE($F626," ","")&amp;"-"&amp;TEXT(COUNTIF($F$4:F626,$F626),"00"))</f>
        <v/>
      </c>
      <c r="C626" t="str">
        <f t="shared" si="73"/>
        <v/>
      </c>
      <c r="D626" t="str">
        <f t="shared" si="74"/>
        <v/>
      </c>
      <c r="G626" t="str">
        <f>IF(OR($E626="",$F626=""),"",IFERROR(IF($E626=INDEX(Cluster_Master!$A$4:$A$18,MATCH($F626,Cluster_Master!$B$4:$B$18,0)),"OK","CHECK"),"CHECK"))</f>
        <v/>
      </c>
      <c r="H626" t="str">
        <f>IFERROR(INDEX(Cluster_Master!$C$4:$C$18,MATCH($F626,Cluster_Master!$B$4:$B$18,0)),"")</f>
        <v/>
      </c>
      <c r="I626" t="str">
        <f>IFERROR(INDEX(Cluster_Master!$D$4:$D$18,MATCH($F626,Cluster_Master!$B$4:$B$18,0)),"")</f>
        <v/>
      </c>
      <c r="J626" t="str">
        <f>IFERROR(INDEX(Cluster_Master!$E$4:$E$18,MATCH($F626,Cluster_Master!$B$4:$B$18,0)),"")</f>
        <v/>
      </c>
      <c r="K626" t="str">
        <f>IFERROR(INDEX(Cluster_Master!$F$4:$F$18,MATCH($F626,Cluster_Master!$B$4:$B$18,0)),"")</f>
        <v/>
      </c>
      <c r="L626" t="str">
        <f>IFERROR(INDEX(Cluster_Master!$G$4:$G$18,MATCH($F626,Cluster_Master!$B$4:$B$18,0)),"")</f>
        <v/>
      </c>
      <c r="M626" t="str">
        <f>IFERROR(INDEX(Cluster_Master!$H$4:$H$18,MATCH($F626,Cluster_Master!$B$4:$B$18,0)),"")</f>
        <v/>
      </c>
      <c r="AI626" t="str">
        <f t="shared" si="75"/>
        <v/>
      </c>
      <c r="AJ626" t="str">
        <f t="shared" si="76"/>
        <v/>
      </c>
      <c r="AK626" t="str">
        <f>IF(COUNTA(T626:AH626)=0,"",(SUM(T626*KPI_Weights!$B$4,U626*KPI_Weights!$B$5,V626*KPI_Weights!$B$6,W626*KPI_Weights!$B$7,X626*KPI_Weights!$B$8,Y626*KPI_Weights!$B$9,Z626*KPI_Weights!$B$10,AA626*KPI_Weights!$B$11,AB626*KPI_Weights!$B$12,AC626*KPI_Weights!$B$13,AD626*KPI_Weights!$B$14,AE626*KPI_Weights!$B$15,AF626*KPI_Weights!$B$16,AG626*KPI_Weights!$B$17,AH626*KPI_Weights!$B$18))/5)</f>
        <v/>
      </c>
      <c r="AL626" t="str">
        <f t="shared" si="77"/>
        <v/>
      </c>
      <c r="AM626" t="str">
        <f t="shared" si="78"/>
        <v/>
      </c>
      <c r="AN626" t="str">
        <f t="shared" si="79"/>
        <v/>
      </c>
    </row>
    <row r="627" spans="1:40" ht="15" customHeight="1" x14ac:dyDescent="0.2">
      <c r="A627" t="str">
        <f>IF($B627="","",TEXT($B627,"yyyymmdd")&amp;"-"&amp;SUBSTITUTE($F627," ","")&amp;"-"&amp;TEXT(COUNTIF($F$4:F627,$F627),"00"))</f>
        <v/>
      </c>
      <c r="C627" t="str">
        <f t="shared" si="73"/>
        <v/>
      </c>
      <c r="D627" t="str">
        <f t="shared" si="74"/>
        <v/>
      </c>
      <c r="G627" t="str">
        <f>IF(OR($E627="",$F627=""),"",IFERROR(IF($E627=INDEX(Cluster_Master!$A$4:$A$18,MATCH($F627,Cluster_Master!$B$4:$B$18,0)),"OK","CHECK"),"CHECK"))</f>
        <v/>
      </c>
      <c r="H627" t="str">
        <f>IFERROR(INDEX(Cluster_Master!$C$4:$C$18,MATCH($F627,Cluster_Master!$B$4:$B$18,0)),"")</f>
        <v/>
      </c>
      <c r="I627" t="str">
        <f>IFERROR(INDEX(Cluster_Master!$D$4:$D$18,MATCH($F627,Cluster_Master!$B$4:$B$18,0)),"")</f>
        <v/>
      </c>
      <c r="J627" t="str">
        <f>IFERROR(INDEX(Cluster_Master!$E$4:$E$18,MATCH($F627,Cluster_Master!$B$4:$B$18,0)),"")</f>
        <v/>
      </c>
      <c r="K627" t="str">
        <f>IFERROR(INDEX(Cluster_Master!$F$4:$F$18,MATCH($F627,Cluster_Master!$B$4:$B$18,0)),"")</f>
        <v/>
      </c>
      <c r="L627" t="str">
        <f>IFERROR(INDEX(Cluster_Master!$G$4:$G$18,MATCH($F627,Cluster_Master!$B$4:$B$18,0)),"")</f>
        <v/>
      </c>
      <c r="M627" t="str">
        <f>IFERROR(INDEX(Cluster_Master!$H$4:$H$18,MATCH($F627,Cluster_Master!$B$4:$B$18,0)),"")</f>
        <v/>
      </c>
      <c r="AI627" t="str">
        <f t="shared" si="75"/>
        <v/>
      </c>
      <c r="AJ627" t="str">
        <f t="shared" si="76"/>
        <v/>
      </c>
      <c r="AK627" t="str">
        <f>IF(COUNTA(T627:AH627)=0,"",(SUM(T627*KPI_Weights!$B$4,U627*KPI_Weights!$B$5,V627*KPI_Weights!$B$6,W627*KPI_Weights!$B$7,X627*KPI_Weights!$B$8,Y627*KPI_Weights!$B$9,Z627*KPI_Weights!$B$10,AA627*KPI_Weights!$B$11,AB627*KPI_Weights!$B$12,AC627*KPI_Weights!$B$13,AD627*KPI_Weights!$B$14,AE627*KPI_Weights!$B$15,AF627*KPI_Weights!$B$16,AG627*KPI_Weights!$B$17,AH627*KPI_Weights!$B$18))/5)</f>
        <v/>
      </c>
      <c r="AL627" t="str">
        <f t="shared" si="77"/>
        <v/>
      </c>
      <c r="AM627" t="str">
        <f t="shared" si="78"/>
        <v/>
      </c>
      <c r="AN627" t="str">
        <f t="shared" si="79"/>
        <v/>
      </c>
    </row>
    <row r="628" spans="1:40" ht="15" customHeight="1" x14ac:dyDescent="0.2">
      <c r="A628" t="str">
        <f>IF($B628="","",TEXT($B628,"yyyymmdd")&amp;"-"&amp;SUBSTITUTE($F628," ","")&amp;"-"&amp;TEXT(COUNTIF($F$4:F628,$F628),"00"))</f>
        <v/>
      </c>
      <c r="C628" t="str">
        <f t="shared" si="73"/>
        <v/>
      </c>
      <c r="D628" t="str">
        <f t="shared" si="74"/>
        <v/>
      </c>
      <c r="G628" t="str">
        <f>IF(OR($E628="",$F628=""),"",IFERROR(IF($E628=INDEX(Cluster_Master!$A$4:$A$18,MATCH($F628,Cluster_Master!$B$4:$B$18,0)),"OK","CHECK"),"CHECK"))</f>
        <v/>
      </c>
      <c r="H628" t="str">
        <f>IFERROR(INDEX(Cluster_Master!$C$4:$C$18,MATCH($F628,Cluster_Master!$B$4:$B$18,0)),"")</f>
        <v/>
      </c>
      <c r="I628" t="str">
        <f>IFERROR(INDEX(Cluster_Master!$D$4:$D$18,MATCH($F628,Cluster_Master!$B$4:$B$18,0)),"")</f>
        <v/>
      </c>
      <c r="J628" t="str">
        <f>IFERROR(INDEX(Cluster_Master!$E$4:$E$18,MATCH($F628,Cluster_Master!$B$4:$B$18,0)),"")</f>
        <v/>
      </c>
      <c r="K628" t="str">
        <f>IFERROR(INDEX(Cluster_Master!$F$4:$F$18,MATCH($F628,Cluster_Master!$B$4:$B$18,0)),"")</f>
        <v/>
      </c>
      <c r="L628" t="str">
        <f>IFERROR(INDEX(Cluster_Master!$G$4:$G$18,MATCH($F628,Cluster_Master!$B$4:$B$18,0)),"")</f>
        <v/>
      </c>
      <c r="M628" t="str">
        <f>IFERROR(INDEX(Cluster_Master!$H$4:$H$18,MATCH($F628,Cluster_Master!$B$4:$B$18,0)),"")</f>
        <v/>
      </c>
      <c r="AI628" t="str">
        <f t="shared" si="75"/>
        <v/>
      </c>
      <c r="AJ628" t="str">
        <f t="shared" si="76"/>
        <v/>
      </c>
      <c r="AK628" t="str">
        <f>IF(COUNTA(T628:AH628)=0,"",(SUM(T628*KPI_Weights!$B$4,U628*KPI_Weights!$B$5,V628*KPI_Weights!$B$6,W628*KPI_Weights!$B$7,X628*KPI_Weights!$B$8,Y628*KPI_Weights!$B$9,Z628*KPI_Weights!$B$10,AA628*KPI_Weights!$B$11,AB628*KPI_Weights!$B$12,AC628*KPI_Weights!$B$13,AD628*KPI_Weights!$B$14,AE628*KPI_Weights!$B$15,AF628*KPI_Weights!$B$16,AG628*KPI_Weights!$B$17,AH628*KPI_Weights!$B$18))/5)</f>
        <v/>
      </c>
      <c r="AL628" t="str">
        <f t="shared" si="77"/>
        <v/>
      </c>
      <c r="AM628" t="str">
        <f t="shared" si="78"/>
        <v/>
      </c>
      <c r="AN628" t="str">
        <f t="shared" si="79"/>
        <v/>
      </c>
    </row>
    <row r="629" spans="1:40" ht="15" customHeight="1" x14ac:dyDescent="0.2">
      <c r="A629" t="str">
        <f>IF($B629="","",TEXT($B629,"yyyymmdd")&amp;"-"&amp;SUBSTITUTE($F629," ","")&amp;"-"&amp;TEXT(COUNTIF($F$4:F629,$F629),"00"))</f>
        <v/>
      </c>
      <c r="C629" t="str">
        <f t="shared" si="73"/>
        <v/>
      </c>
      <c r="D629" t="str">
        <f t="shared" si="74"/>
        <v/>
      </c>
      <c r="G629" t="str">
        <f>IF(OR($E629="",$F629=""),"",IFERROR(IF($E629=INDEX(Cluster_Master!$A$4:$A$18,MATCH($F629,Cluster_Master!$B$4:$B$18,0)),"OK","CHECK"),"CHECK"))</f>
        <v/>
      </c>
      <c r="H629" t="str">
        <f>IFERROR(INDEX(Cluster_Master!$C$4:$C$18,MATCH($F629,Cluster_Master!$B$4:$B$18,0)),"")</f>
        <v/>
      </c>
      <c r="I629" t="str">
        <f>IFERROR(INDEX(Cluster_Master!$D$4:$D$18,MATCH($F629,Cluster_Master!$B$4:$B$18,0)),"")</f>
        <v/>
      </c>
      <c r="J629" t="str">
        <f>IFERROR(INDEX(Cluster_Master!$E$4:$E$18,MATCH($F629,Cluster_Master!$B$4:$B$18,0)),"")</f>
        <v/>
      </c>
      <c r="K629" t="str">
        <f>IFERROR(INDEX(Cluster_Master!$F$4:$F$18,MATCH($F629,Cluster_Master!$B$4:$B$18,0)),"")</f>
        <v/>
      </c>
      <c r="L629" t="str">
        <f>IFERROR(INDEX(Cluster_Master!$G$4:$G$18,MATCH($F629,Cluster_Master!$B$4:$B$18,0)),"")</f>
        <v/>
      </c>
      <c r="M629" t="str">
        <f>IFERROR(INDEX(Cluster_Master!$H$4:$H$18,MATCH($F629,Cluster_Master!$B$4:$B$18,0)),"")</f>
        <v/>
      </c>
      <c r="AI629" t="str">
        <f t="shared" si="75"/>
        <v/>
      </c>
      <c r="AJ629" t="str">
        <f t="shared" si="76"/>
        <v/>
      </c>
      <c r="AK629" t="str">
        <f>IF(COUNTA(T629:AH629)=0,"",(SUM(T629*KPI_Weights!$B$4,U629*KPI_Weights!$B$5,V629*KPI_Weights!$B$6,W629*KPI_Weights!$B$7,X629*KPI_Weights!$B$8,Y629*KPI_Weights!$B$9,Z629*KPI_Weights!$B$10,AA629*KPI_Weights!$B$11,AB629*KPI_Weights!$B$12,AC629*KPI_Weights!$B$13,AD629*KPI_Weights!$B$14,AE629*KPI_Weights!$B$15,AF629*KPI_Weights!$B$16,AG629*KPI_Weights!$B$17,AH629*KPI_Weights!$B$18))/5)</f>
        <v/>
      </c>
      <c r="AL629" t="str">
        <f t="shared" si="77"/>
        <v/>
      </c>
      <c r="AM629" t="str">
        <f t="shared" si="78"/>
        <v/>
      </c>
      <c r="AN629" t="str">
        <f t="shared" si="79"/>
        <v/>
      </c>
    </row>
    <row r="630" spans="1:40" ht="15" customHeight="1" x14ac:dyDescent="0.2">
      <c r="A630" t="str">
        <f>IF($B630="","",TEXT($B630,"yyyymmdd")&amp;"-"&amp;SUBSTITUTE($F630," ","")&amp;"-"&amp;TEXT(COUNTIF($F$4:F630,$F630),"00"))</f>
        <v/>
      </c>
      <c r="C630" t="str">
        <f t="shared" si="73"/>
        <v/>
      </c>
      <c r="D630" t="str">
        <f t="shared" si="74"/>
        <v/>
      </c>
      <c r="G630" t="str">
        <f>IF(OR($E630="",$F630=""),"",IFERROR(IF($E630=INDEX(Cluster_Master!$A$4:$A$18,MATCH($F630,Cluster_Master!$B$4:$B$18,0)),"OK","CHECK"),"CHECK"))</f>
        <v/>
      </c>
      <c r="H630" t="str">
        <f>IFERROR(INDEX(Cluster_Master!$C$4:$C$18,MATCH($F630,Cluster_Master!$B$4:$B$18,0)),"")</f>
        <v/>
      </c>
      <c r="I630" t="str">
        <f>IFERROR(INDEX(Cluster_Master!$D$4:$D$18,MATCH($F630,Cluster_Master!$B$4:$B$18,0)),"")</f>
        <v/>
      </c>
      <c r="J630" t="str">
        <f>IFERROR(INDEX(Cluster_Master!$E$4:$E$18,MATCH($F630,Cluster_Master!$B$4:$B$18,0)),"")</f>
        <v/>
      </c>
      <c r="K630" t="str">
        <f>IFERROR(INDEX(Cluster_Master!$F$4:$F$18,MATCH($F630,Cluster_Master!$B$4:$B$18,0)),"")</f>
        <v/>
      </c>
      <c r="L630" t="str">
        <f>IFERROR(INDEX(Cluster_Master!$G$4:$G$18,MATCH($F630,Cluster_Master!$B$4:$B$18,0)),"")</f>
        <v/>
      </c>
      <c r="M630" t="str">
        <f>IFERROR(INDEX(Cluster_Master!$H$4:$H$18,MATCH($F630,Cluster_Master!$B$4:$B$18,0)),"")</f>
        <v/>
      </c>
      <c r="AI630" t="str">
        <f t="shared" si="75"/>
        <v/>
      </c>
      <c r="AJ630" t="str">
        <f t="shared" si="76"/>
        <v/>
      </c>
      <c r="AK630" t="str">
        <f>IF(COUNTA(T630:AH630)=0,"",(SUM(T630*KPI_Weights!$B$4,U630*KPI_Weights!$B$5,V630*KPI_Weights!$B$6,W630*KPI_Weights!$B$7,X630*KPI_Weights!$B$8,Y630*KPI_Weights!$B$9,Z630*KPI_Weights!$B$10,AA630*KPI_Weights!$B$11,AB630*KPI_Weights!$B$12,AC630*KPI_Weights!$B$13,AD630*KPI_Weights!$B$14,AE630*KPI_Weights!$B$15,AF630*KPI_Weights!$B$16,AG630*KPI_Weights!$B$17,AH630*KPI_Weights!$B$18))/5)</f>
        <v/>
      </c>
      <c r="AL630" t="str">
        <f t="shared" si="77"/>
        <v/>
      </c>
      <c r="AM630" t="str">
        <f t="shared" si="78"/>
        <v/>
      </c>
      <c r="AN630" t="str">
        <f t="shared" si="79"/>
        <v/>
      </c>
    </row>
    <row r="631" spans="1:40" ht="15" customHeight="1" x14ac:dyDescent="0.2">
      <c r="A631" t="str">
        <f>IF($B631="","",TEXT($B631,"yyyymmdd")&amp;"-"&amp;SUBSTITUTE($F631," ","")&amp;"-"&amp;TEXT(COUNTIF($F$4:F631,$F631),"00"))</f>
        <v/>
      </c>
      <c r="C631" t="str">
        <f t="shared" si="73"/>
        <v/>
      </c>
      <c r="D631" t="str">
        <f t="shared" si="74"/>
        <v/>
      </c>
      <c r="G631" t="str">
        <f>IF(OR($E631="",$F631=""),"",IFERROR(IF($E631=INDEX(Cluster_Master!$A$4:$A$18,MATCH($F631,Cluster_Master!$B$4:$B$18,0)),"OK","CHECK"),"CHECK"))</f>
        <v/>
      </c>
      <c r="H631" t="str">
        <f>IFERROR(INDEX(Cluster_Master!$C$4:$C$18,MATCH($F631,Cluster_Master!$B$4:$B$18,0)),"")</f>
        <v/>
      </c>
      <c r="I631" t="str">
        <f>IFERROR(INDEX(Cluster_Master!$D$4:$D$18,MATCH($F631,Cluster_Master!$B$4:$B$18,0)),"")</f>
        <v/>
      </c>
      <c r="J631" t="str">
        <f>IFERROR(INDEX(Cluster_Master!$E$4:$E$18,MATCH($F631,Cluster_Master!$B$4:$B$18,0)),"")</f>
        <v/>
      </c>
      <c r="K631" t="str">
        <f>IFERROR(INDEX(Cluster_Master!$F$4:$F$18,MATCH($F631,Cluster_Master!$B$4:$B$18,0)),"")</f>
        <v/>
      </c>
      <c r="L631" t="str">
        <f>IFERROR(INDEX(Cluster_Master!$G$4:$G$18,MATCH($F631,Cluster_Master!$B$4:$B$18,0)),"")</f>
        <v/>
      </c>
      <c r="M631" t="str">
        <f>IFERROR(INDEX(Cluster_Master!$H$4:$H$18,MATCH($F631,Cluster_Master!$B$4:$B$18,0)),"")</f>
        <v/>
      </c>
      <c r="AI631" t="str">
        <f t="shared" si="75"/>
        <v/>
      </c>
      <c r="AJ631" t="str">
        <f t="shared" si="76"/>
        <v/>
      </c>
      <c r="AK631" t="str">
        <f>IF(COUNTA(T631:AH631)=0,"",(SUM(T631*KPI_Weights!$B$4,U631*KPI_Weights!$B$5,V631*KPI_Weights!$B$6,W631*KPI_Weights!$B$7,X631*KPI_Weights!$B$8,Y631*KPI_Weights!$B$9,Z631*KPI_Weights!$B$10,AA631*KPI_Weights!$B$11,AB631*KPI_Weights!$B$12,AC631*KPI_Weights!$B$13,AD631*KPI_Weights!$B$14,AE631*KPI_Weights!$B$15,AF631*KPI_Weights!$B$16,AG631*KPI_Weights!$B$17,AH631*KPI_Weights!$B$18))/5)</f>
        <v/>
      </c>
      <c r="AL631" t="str">
        <f t="shared" si="77"/>
        <v/>
      </c>
      <c r="AM631" t="str">
        <f t="shared" si="78"/>
        <v/>
      </c>
      <c r="AN631" t="str">
        <f t="shared" si="79"/>
        <v/>
      </c>
    </row>
    <row r="632" spans="1:40" ht="15" customHeight="1" x14ac:dyDescent="0.2">
      <c r="A632" t="str">
        <f>IF($B632="","",TEXT($B632,"yyyymmdd")&amp;"-"&amp;SUBSTITUTE($F632," ","")&amp;"-"&amp;TEXT(COUNTIF($F$4:F632,$F632),"00"))</f>
        <v/>
      </c>
      <c r="C632" t="str">
        <f t="shared" si="73"/>
        <v/>
      </c>
      <c r="D632" t="str">
        <f t="shared" si="74"/>
        <v/>
      </c>
      <c r="G632" t="str">
        <f>IF(OR($E632="",$F632=""),"",IFERROR(IF($E632=INDEX(Cluster_Master!$A$4:$A$18,MATCH($F632,Cluster_Master!$B$4:$B$18,0)),"OK","CHECK"),"CHECK"))</f>
        <v/>
      </c>
      <c r="H632" t="str">
        <f>IFERROR(INDEX(Cluster_Master!$C$4:$C$18,MATCH($F632,Cluster_Master!$B$4:$B$18,0)),"")</f>
        <v/>
      </c>
      <c r="I632" t="str">
        <f>IFERROR(INDEX(Cluster_Master!$D$4:$D$18,MATCH($F632,Cluster_Master!$B$4:$B$18,0)),"")</f>
        <v/>
      </c>
      <c r="J632" t="str">
        <f>IFERROR(INDEX(Cluster_Master!$E$4:$E$18,MATCH($F632,Cluster_Master!$B$4:$B$18,0)),"")</f>
        <v/>
      </c>
      <c r="K632" t="str">
        <f>IFERROR(INDEX(Cluster_Master!$F$4:$F$18,MATCH($F632,Cluster_Master!$B$4:$B$18,0)),"")</f>
        <v/>
      </c>
      <c r="L632" t="str">
        <f>IFERROR(INDEX(Cluster_Master!$G$4:$G$18,MATCH($F632,Cluster_Master!$B$4:$B$18,0)),"")</f>
        <v/>
      </c>
      <c r="M632" t="str">
        <f>IFERROR(INDEX(Cluster_Master!$H$4:$H$18,MATCH($F632,Cluster_Master!$B$4:$B$18,0)),"")</f>
        <v/>
      </c>
      <c r="AI632" t="str">
        <f t="shared" si="75"/>
        <v/>
      </c>
      <c r="AJ632" t="str">
        <f t="shared" si="76"/>
        <v/>
      </c>
      <c r="AK632" t="str">
        <f>IF(COUNTA(T632:AH632)=0,"",(SUM(T632*KPI_Weights!$B$4,U632*KPI_Weights!$B$5,V632*KPI_Weights!$B$6,W632*KPI_Weights!$B$7,X632*KPI_Weights!$B$8,Y632*KPI_Weights!$B$9,Z632*KPI_Weights!$B$10,AA632*KPI_Weights!$B$11,AB632*KPI_Weights!$B$12,AC632*KPI_Weights!$B$13,AD632*KPI_Weights!$B$14,AE632*KPI_Weights!$B$15,AF632*KPI_Weights!$B$16,AG632*KPI_Weights!$B$17,AH632*KPI_Weights!$B$18))/5)</f>
        <v/>
      </c>
      <c r="AL632" t="str">
        <f t="shared" si="77"/>
        <v/>
      </c>
      <c r="AM632" t="str">
        <f t="shared" si="78"/>
        <v/>
      </c>
      <c r="AN632" t="str">
        <f t="shared" si="79"/>
        <v/>
      </c>
    </row>
    <row r="633" spans="1:40" ht="15" customHeight="1" x14ac:dyDescent="0.2">
      <c r="A633" t="str">
        <f>IF($B633="","",TEXT($B633,"yyyymmdd")&amp;"-"&amp;SUBSTITUTE($F633," ","")&amp;"-"&amp;TEXT(COUNTIF($F$4:F633,$F633),"00"))</f>
        <v/>
      </c>
      <c r="C633" t="str">
        <f t="shared" si="73"/>
        <v/>
      </c>
      <c r="D633" t="str">
        <f t="shared" si="74"/>
        <v/>
      </c>
      <c r="G633" t="str">
        <f>IF(OR($E633="",$F633=""),"",IFERROR(IF($E633=INDEX(Cluster_Master!$A$4:$A$18,MATCH($F633,Cluster_Master!$B$4:$B$18,0)),"OK","CHECK"),"CHECK"))</f>
        <v/>
      </c>
      <c r="H633" t="str">
        <f>IFERROR(INDEX(Cluster_Master!$C$4:$C$18,MATCH($F633,Cluster_Master!$B$4:$B$18,0)),"")</f>
        <v/>
      </c>
      <c r="I633" t="str">
        <f>IFERROR(INDEX(Cluster_Master!$D$4:$D$18,MATCH($F633,Cluster_Master!$B$4:$B$18,0)),"")</f>
        <v/>
      </c>
      <c r="J633" t="str">
        <f>IFERROR(INDEX(Cluster_Master!$E$4:$E$18,MATCH($F633,Cluster_Master!$B$4:$B$18,0)),"")</f>
        <v/>
      </c>
      <c r="K633" t="str">
        <f>IFERROR(INDEX(Cluster_Master!$F$4:$F$18,MATCH($F633,Cluster_Master!$B$4:$B$18,0)),"")</f>
        <v/>
      </c>
      <c r="L633" t="str">
        <f>IFERROR(INDEX(Cluster_Master!$G$4:$G$18,MATCH($F633,Cluster_Master!$B$4:$B$18,0)),"")</f>
        <v/>
      </c>
      <c r="M633" t="str">
        <f>IFERROR(INDEX(Cluster_Master!$H$4:$H$18,MATCH($F633,Cluster_Master!$B$4:$B$18,0)),"")</f>
        <v/>
      </c>
      <c r="AI633" t="str">
        <f t="shared" si="75"/>
        <v/>
      </c>
      <c r="AJ633" t="str">
        <f t="shared" si="76"/>
        <v/>
      </c>
      <c r="AK633" t="str">
        <f>IF(COUNTA(T633:AH633)=0,"",(SUM(T633*KPI_Weights!$B$4,U633*KPI_Weights!$B$5,V633*KPI_Weights!$B$6,W633*KPI_Weights!$B$7,X633*KPI_Weights!$B$8,Y633*KPI_Weights!$B$9,Z633*KPI_Weights!$B$10,AA633*KPI_Weights!$B$11,AB633*KPI_Weights!$B$12,AC633*KPI_Weights!$B$13,AD633*KPI_Weights!$B$14,AE633*KPI_Weights!$B$15,AF633*KPI_Weights!$B$16,AG633*KPI_Weights!$B$17,AH633*KPI_Weights!$B$18))/5)</f>
        <v/>
      </c>
      <c r="AL633" t="str">
        <f t="shared" si="77"/>
        <v/>
      </c>
      <c r="AM633" t="str">
        <f t="shared" si="78"/>
        <v/>
      </c>
      <c r="AN633" t="str">
        <f t="shared" si="79"/>
        <v/>
      </c>
    </row>
    <row r="634" spans="1:40" ht="15" customHeight="1" x14ac:dyDescent="0.2">
      <c r="A634" t="str">
        <f>IF($B634="","",TEXT($B634,"yyyymmdd")&amp;"-"&amp;SUBSTITUTE($F634," ","")&amp;"-"&amp;TEXT(COUNTIF($F$4:F634,$F634),"00"))</f>
        <v/>
      </c>
      <c r="C634" t="str">
        <f t="shared" si="73"/>
        <v/>
      </c>
      <c r="D634" t="str">
        <f t="shared" si="74"/>
        <v/>
      </c>
      <c r="G634" t="str">
        <f>IF(OR($E634="",$F634=""),"",IFERROR(IF($E634=INDEX(Cluster_Master!$A$4:$A$18,MATCH($F634,Cluster_Master!$B$4:$B$18,0)),"OK","CHECK"),"CHECK"))</f>
        <v/>
      </c>
      <c r="H634" t="str">
        <f>IFERROR(INDEX(Cluster_Master!$C$4:$C$18,MATCH($F634,Cluster_Master!$B$4:$B$18,0)),"")</f>
        <v/>
      </c>
      <c r="I634" t="str">
        <f>IFERROR(INDEX(Cluster_Master!$D$4:$D$18,MATCH($F634,Cluster_Master!$B$4:$B$18,0)),"")</f>
        <v/>
      </c>
      <c r="J634" t="str">
        <f>IFERROR(INDEX(Cluster_Master!$E$4:$E$18,MATCH($F634,Cluster_Master!$B$4:$B$18,0)),"")</f>
        <v/>
      </c>
      <c r="K634" t="str">
        <f>IFERROR(INDEX(Cluster_Master!$F$4:$F$18,MATCH($F634,Cluster_Master!$B$4:$B$18,0)),"")</f>
        <v/>
      </c>
      <c r="L634" t="str">
        <f>IFERROR(INDEX(Cluster_Master!$G$4:$G$18,MATCH($F634,Cluster_Master!$B$4:$B$18,0)),"")</f>
        <v/>
      </c>
      <c r="M634" t="str">
        <f>IFERROR(INDEX(Cluster_Master!$H$4:$H$18,MATCH($F634,Cluster_Master!$B$4:$B$18,0)),"")</f>
        <v/>
      </c>
      <c r="AI634" t="str">
        <f t="shared" si="75"/>
        <v/>
      </c>
      <c r="AJ634" t="str">
        <f t="shared" si="76"/>
        <v/>
      </c>
      <c r="AK634" t="str">
        <f>IF(COUNTA(T634:AH634)=0,"",(SUM(T634*KPI_Weights!$B$4,U634*KPI_Weights!$B$5,V634*KPI_Weights!$B$6,W634*KPI_Weights!$B$7,X634*KPI_Weights!$B$8,Y634*KPI_Weights!$B$9,Z634*KPI_Weights!$B$10,AA634*KPI_Weights!$B$11,AB634*KPI_Weights!$B$12,AC634*KPI_Weights!$B$13,AD634*KPI_Weights!$B$14,AE634*KPI_Weights!$B$15,AF634*KPI_Weights!$B$16,AG634*KPI_Weights!$B$17,AH634*KPI_Weights!$B$18))/5)</f>
        <v/>
      </c>
      <c r="AL634" t="str">
        <f t="shared" si="77"/>
        <v/>
      </c>
      <c r="AM634" t="str">
        <f t="shared" si="78"/>
        <v/>
      </c>
      <c r="AN634" t="str">
        <f t="shared" si="79"/>
        <v/>
      </c>
    </row>
    <row r="635" spans="1:40" ht="15" customHeight="1" x14ac:dyDescent="0.2">
      <c r="A635" t="str">
        <f>IF($B635="","",TEXT($B635,"yyyymmdd")&amp;"-"&amp;SUBSTITUTE($F635," ","")&amp;"-"&amp;TEXT(COUNTIF($F$4:F635,$F635),"00"))</f>
        <v/>
      </c>
      <c r="C635" t="str">
        <f t="shared" si="73"/>
        <v/>
      </c>
      <c r="D635" t="str">
        <f t="shared" si="74"/>
        <v/>
      </c>
      <c r="G635" t="str">
        <f>IF(OR($E635="",$F635=""),"",IFERROR(IF($E635=INDEX(Cluster_Master!$A$4:$A$18,MATCH($F635,Cluster_Master!$B$4:$B$18,0)),"OK","CHECK"),"CHECK"))</f>
        <v/>
      </c>
      <c r="H635" t="str">
        <f>IFERROR(INDEX(Cluster_Master!$C$4:$C$18,MATCH($F635,Cluster_Master!$B$4:$B$18,0)),"")</f>
        <v/>
      </c>
      <c r="I635" t="str">
        <f>IFERROR(INDEX(Cluster_Master!$D$4:$D$18,MATCH($F635,Cluster_Master!$B$4:$B$18,0)),"")</f>
        <v/>
      </c>
      <c r="J635" t="str">
        <f>IFERROR(INDEX(Cluster_Master!$E$4:$E$18,MATCH($F635,Cluster_Master!$B$4:$B$18,0)),"")</f>
        <v/>
      </c>
      <c r="K635" t="str">
        <f>IFERROR(INDEX(Cluster_Master!$F$4:$F$18,MATCH($F635,Cluster_Master!$B$4:$B$18,0)),"")</f>
        <v/>
      </c>
      <c r="L635" t="str">
        <f>IFERROR(INDEX(Cluster_Master!$G$4:$G$18,MATCH($F635,Cluster_Master!$B$4:$B$18,0)),"")</f>
        <v/>
      </c>
      <c r="M635" t="str">
        <f>IFERROR(INDEX(Cluster_Master!$H$4:$H$18,MATCH($F635,Cluster_Master!$B$4:$B$18,0)),"")</f>
        <v/>
      </c>
      <c r="AI635" t="str">
        <f t="shared" si="75"/>
        <v/>
      </c>
      <c r="AJ635" t="str">
        <f t="shared" si="76"/>
        <v/>
      </c>
      <c r="AK635" t="str">
        <f>IF(COUNTA(T635:AH635)=0,"",(SUM(T635*KPI_Weights!$B$4,U635*KPI_Weights!$B$5,V635*KPI_Weights!$B$6,W635*KPI_Weights!$B$7,X635*KPI_Weights!$B$8,Y635*KPI_Weights!$B$9,Z635*KPI_Weights!$B$10,AA635*KPI_Weights!$B$11,AB635*KPI_Weights!$B$12,AC635*KPI_Weights!$B$13,AD635*KPI_Weights!$B$14,AE635*KPI_Weights!$B$15,AF635*KPI_Weights!$B$16,AG635*KPI_Weights!$B$17,AH635*KPI_Weights!$B$18))/5)</f>
        <v/>
      </c>
      <c r="AL635" t="str">
        <f t="shared" si="77"/>
        <v/>
      </c>
      <c r="AM635" t="str">
        <f t="shared" si="78"/>
        <v/>
      </c>
      <c r="AN635" t="str">
        <f t="shared" si="79"/>
        <v/>
      </c>
    </row>
    <row r="636" spans="1:40" ht="15" customHeight="1" x14ac:dyDescent="0.2">
      <c r="A636" t="str">
        <f>IF($B636="","",TEXT($B636,"yyyymmdd")&amp;"-"&amp;SUBSTITUTE($F636," ","")&amp;"-"&amp;TEXT(COUNTIF($F$4:F636,$F636),"00"))</f>
        <v/>
      </c>
      <c r="C636" t="str">
        <f t="shared" si="73"/>
        <v/>
      </c>
      <c r="D636" t="str">
        <f t="shared" si="74"/>
        <v/>
      </c>
      <c r="G636" t="str">
        <f>IF(OR($E636="",$F636=""),"",IFERROR(IF($E636=INDEX(Cluster_Master!$A$4:$A$18,MATCH($F636,Cluster_Master!$B$4:$B$18,0)),"OK","CHECK"),"CHECK"))</f>
        <v/>
      </c>
      <c r="H636" t="str">
        <f>IFERROR(INDEX(Cluster_Master!$C$4:$C$18,MATCH($F636,Cluster_Master!$B$4:$B$18,0)),"")</f>
        <v/>
      </c>
      <c r="I636" t="str">
        <f>IFERROR(INDEX(Cluster_Master!$D$4:$D$18,MATCH($F636,Cluster_Master!$B$4:$B$18,0)),"")</f>
        <v/>
      </c>
      <c r="J636" t="str">
        <f>IFERROR(INDEX(Cluster_Master!$E$4:$E$18,MATCH($F636,Cluster_Master!$B$4:$B$18,0)),"")</f>
        <v/>
      </c>
      <c r="K636" t="str">
        <f>IFERROR(INDEX(Cluster_Master!$F$4:$F$18,MATCH($F636,Cluster_Master!$B$4:$B$18,0)),"")</f>
        <v/>
      </c>
      <c r="L636" t="str">
        <f>IFERROR(INDEX(Cluster_Master!$G$4:$G$18,MATCH($F636,Cluster_Master!$B$4:$B$18,0)),"")</f>
        <v/>
      </c>
      <c r="M636" t="str">
        <f>IFERROR(INDEX(Cluster_Master!$H$4:$H$18,MATCH($F636,Cluster_Master!$B$4:$B$18,0)),"")</f>
        <v/>
      </c>
      <c r="AI636" t="str">
        <f t="shared" si="75"/>
        <v/>
      </c>
      <c r="AJ636" t="str">
        <f t="shared" si="76"/>
        <v/>
      </c>
      <c r="AK636" t="str">
        <f>IF(COUNTA(T636:AH636)=0,"",(SUM(T636*KPI_Weights!$B$4,U636*KPI_Weights!$B$5,V636*KPI_Weights!$B$6,W636*KPI_Weights!$B$7,X636*KPI_Weights!$B$8,Y636*KPI_Weights!$B$9,Z636*KPI_Weights!$B$10,AA636*KPI_Weights!$B$11,AB636*KPI_Weights!$B$12,AC636*KPI_Weights!$B$13,AD636*KPI_Weights!$B$14,AE636*KPI_Weights!$B$15,AF636*KPI_Weights!$B$16,AG636*KPI_Weights!$B$17,AH636*KPI_Weights!$B$18))/5)</f>
        <v/>
      </c>
      <c r="AL636" t="str">
        <f t="shared" si="77"/>
        <v/>
      </c>
      <c r="AM636" t="str">
        <f t="shared" si="78"/>
        <v/>
      </c>
      <c r="AN636" t="str">
        <f t="shared" si="79"/>
        <v/>
      </c>
    </row>
    <row r="637" spans="1:40" ht="15" customHeight="1" x14ac:dyDescent="0.2">
      <c r="A637" t="str">
        <f>IF($B637="","",TEXT($B637,"yyyymmdd")&amp;"-"&amp;SUBSTITUTE($F637," ","")&amp;"-"&amp;TEXT(COUNTIF($F$4:F637,$F637),"00"))</f>
        <v/>
      </c>
      <c r="C637" t="str">
        <f t="shared" si="73"/>
        <v/>
      </c>
      <c r="D637" t="str">
        <f t="shared" si="74"/>
        <v/>
      </c>
      <c r="G637" t="str">
        <f>IF(OR($E637="",$F637=""),"",IFERROR(IF($E637=INDEX(Cluster_Master!$A$4:$A$18,MATCH($F637,Cluster_Master!$B$4:$B$18,0)),"OK","CHECK"),"CHECK"))</f>
        <v/>
      </c>
      <c r="H637" t="str">
        <f>IFERROR(INDEX(Cluster_Master!$C$4:$C$18,MATCH($F637,Cluster_Master!$B$4:$B$18,0)),"")</f>
        <v/>
      </c>
      <c r="I637" t="str">
        <f>IFERROR(INDEX(Cluster_Master!$D$4:$D$18,MATCH($F637,Cluster_Master!$B$4:$B$18,0)),"")</f>
        <v/>
      </c>
      <c r="J637" t="str">
        <f>IFERROR(INDEX(Cluster_Master!$E$4:$E$18,MATCH($F637,Cluster_Master!$B$4:$B$18,0)),"")</f>
        <v/>
      </c>
      <c r="K637" t="str">
        <f>IFERROR(INDEX(Cluster_Master!$F$4:$F$18,MATCH($F637,Cluster_Master!$B$4:$B$18,0)),"")</f>
        <v/>
      </c>
      <c r="L637" t="str">
        <f>IFERROR(INDEX(Cluster_Master!$G$4:$G$18,MATCH($F637,Cluster_Master!$B$4:$B$18,0)),"")</f>
        <v/>
      </c>
      <c r="M637" t="str">
        <f>IFERROR(INDEX(Cluster_Master!$H$4:$H$18,MATCH($F637,Cluster_Master!$B$4:$B$18,0)),"")</f>
        <v/>
      </c>
      <c r="AI637" t="str">
        <f t="shared" si="75"/>
        <v/>
      </c>
      <c r="AJ637" t="str">
        <f t="shared" si="76"/>
        <v/>
      </c>
      <c r="AK637" t="str">
        <f>IF(COUNTA(T637:AH637)=0,"",(SUM(T637*KPI_Weights!$B$4,U637*KPI_Weights!$B$5,V637*KPI_Weights!$B$6,W637*KPI_Weights!$B$7,X637*KPI_Weights!$B$8,Y637*KPI_Weights!$B$9,Z637*KPI_Weights!$B$10,AA637*KPI_Weights!$B$11,AB637*KPI_Weights!$B$12,AC637*KPI_Weights!$B$13,AD637*KPI_Weights!$B$14,AE637*KPI_Weights!$B$15,AF637*KPI_Weights!$B$16,AG637*KPI_Weights!$B$17,AH637*KPI_Weights!$B$18))/5)</f>
        <v/>
      </c>
      <c r="AL637" t="str">
        <f t="shared" si="77"/>
        <v/>
      </c>
      <c r="AM637" t="str">
        <f t="shared" si="78"/>
        <v/>
      </c>
      <c r="AN637" t="str">
        <f t="shared" si="79"/>
        <v/>
      </c>
    </row>
    <row r="638" spans="1:40" ht="15" customHeight="1" x14ac:dyDescent="0.2">
      <c r="A638" t="str">
        <f>IF($B638="","",TEXT($B638,"yyyymmdd")&amp;"-"&amp;SUBSTITUTE($F638," ","")&amp;"-"&amp;TEXT(COUNTIF($F$4:F638,$F638),"00"))</f>
        <v/>
      </c>
      <c r="C638" t="str">
        <f t="shared" si="73"/>
        <v/>
      </c>
      <c r="D638" t="str">
        <f t="shared" si="74"/>
        <v/>
      </c>
      <c r="G638" t="str">
        <f>IF(OR($E638="",$F638=""),"",IFERROR(IF($E638=INDEX(Cluster_Master!$A$4:$A$18,MATCH($F638,Cluster_Master!$B$4:$B$18,0)),"OK","CHECK"),"CHECK"))</f>
        <v/>
      </c>
      <c r="H638" t="str">
        <f>IFERROR(INDEX(Cluster_Master!$C$4:$C$18,MATCH($F638,Cluster_Master!$B$4:$B$18,0)),"")</f>
        <v/>
      </c>
      <c r="I638" t="str">
        <f>IFERROR(INDEX(Cluster_Master!$D$4:$D$18,MATCH($F638,Cluster_Master!$B$4:$B$18,0)),"")</f>
        <v/>
      </c>
      <c r="J638" t="str">
        <f>IFERROR(INDEX(Cluster_Master!$E$4:$E$18,MATCH($F638,Cluster_Master!$B$4:$B$18,0)),"")</f>
        <v/>
      </c>
      <c r="K638" t="str">
        <f>IFERROR(INDEX(Cluster_Master!$F$4:$F$18,MATCH($F638,Cluster_Master!$B$4:$B$18,0)),"")</f>
        <v/>
      </c>
      <c r="L638" t="str">
        <f>IFERROR(INDEX(Cluster_Master!$G$4:$G$18,MATCH($F638,Cluster_Master!$B$4:$B$18,0)),"")</f>
        <v/>
      </c>
      <c r="M638" t="str">
        <f>IFERROR(INDEX(Cluster_Master!$H$4:$H$18,MATCH($F638,Cluster_Master!$B$4:$B$18,0)),"")</f>
        <v/>
      </c>
      <c r="AI638" t="str">
        <f t="shared" si="75"/>
        <v/>
      </c>
      <c r="AJ638" t="str">
        <f t="shared" si="76"/>
        <v/>
      </c>
      <c r="AK638" t="str">
        <f>IF(COUNTA(T638:AH638)=0,"",(SUM(T638*KPI_Weights!$B$4,U638*KPI_Weights!$B$5,V638*KPI_Weights!$B$6,W638*KPI_Weights!$B$7,X638*KPI_Weights!$B$8,Y638*KPI_Weights!$B$9,Z638*KPI_Weights!$B$10,AA638*KPI_Weights!$B$11,AB638*KPI_Weights!$B$12,AC638*KPI_Weights!$B$13,AD638*KPI_Weights!$B$14,AE638*KPI_Weights!$B$15,AF638*KPI_Weights!$B$16,AG638*KPI_Weights!$B$17,AH638*KPI_Weights!$B$18))/5)</f>
        <v/>
      </c>
      <c r="AL638" t="str">
        <f t="shared" si="77"/>
        <v/>
      </c>
      <c r="AM638" t="str">
        <f t="shared" si="78"/>
        <v/>
      </c>
      <c r="AN638" t="str">
        <f t="shared" si="79"/>
        <v/>
      </c>
    </row>
    <row r="639" spans="1:40" ht="15" customHeight="1" x14ac:dyDescent="0.2">
      <c r="A639" t="str">
        <f>IF($B639="","",TEXT($B639,"yyyymmdd")&amp;"-"&amp;SUBSTITUTE($F639," ","")&amp;"-"&amp;TEXT(COUNTIF($F$4:F639,$F639),"00"))</f>
        <v/>
      </c>
      <c r="C639" t="str">
        <f t="shared" si="73"/>
        <v/>
      </c>
      <c r="D639" t="str">
        <f t="shared" si="74"/>
        <v/>
      </c>
      <c r="G639" t="str">
        <f>IF(OR($E639="",$F639=""),"",IFERROR(IF($E639=INDEX(Cluster_Master!$A$4:$A$18,MATCH($F639,Cluster_Master!$B$4:$B$18,0)),"OK","CHECK"),"CHECK"))</f>
        <v/>
      </c>
      <c r="H639" t="str">
        <f>IFERROR(INDEX(Cluster_Master!$C$4:$C$18,MATCH($F639,Cluster_Master!$B$4:$B$18,0)),"")</f>
        <v/>
      </c>
      <c r="I639" t="str">
        <f>IFERROR(INDEX(Cluster_Master!$D$4:$D$18,MATCH($F639,Cluster_Master!$B$4:$B$18,0)),"")</f>
        <v/>
      </c>
      <c r="J639" t="str">
        <f>IFERROR(INDEX(Cluster_Master!$E$4:$E$18,MATCH($F639,Cluster_Master!$B$4:$B$18,0)),"")</f>
        <v/>
      </c>
      <c r="K639" t="str">
        <f>IFERROR(INDEX(Cluster_Master!$F$4:$F$18,MATCH($F639,Cluster_Master!$B$4:$B$18,0)),"")</f>
        <v/>
      </c>
      <c r="L639" t="str">
        <f>IFERROR(INDEX(Cluster_Master!$G$4:$G$18,MATCH($F639,Cluster_Master!$B$4:$B$18,0)),"")</f>
        <v/>
      </c>
      <c r="M639" t="str">
        <f>IFERROR(INDEX(Cluster_Master!$H$4:$H$18,MATCH($F639,Cluster_Master!$B$4:$B$18,0)),"")</f>
        <v/>
      </c>
      <c r="AI639" t="str">
        <f t="shared" si="75"/>
        <v/>
      </c>
      <c r="AJ639" t="str">
        <f t="shared" si="76"/>
        <v/>
      </c>
      <c r="AK639" t="str">
        <f>IF(COUNTA(T639:AH639)=0,"",(SUM(T639*KPI_Weights!$B$4,U639*KPI_Weights!$B$5,V639*KPI_Weights!$B$6,W639*KPI_Weights!$B$7,X639*KPI_Weights!$B$8,Y639*KPI_Weights!$B$9,Z639*KPI_Weights!$B$10,AA639*KPI_Weights!$B$11,AB639*KPI_Weights!$B$12,AC639*KPI_Weights!$B$13,AD639*KPI_Weights!$B$14,AE639*KPI_Weights!$B$15,AF639*KPI_Weights!$B$16,AG639*KPI_Weights!$B$17,AH639*KPI_Weights!$B$18))/5)</f>
        <v/>
      </c>
      <c r="AL639" t="str">
        <f t="shared" si="77"/>
        <v/>
      </c>
      <c r="AM639" t="str">
        <f t="shared" si="78"/>
        <v/>
      </c>
      <c r="AN639" t="str">
        <f t="shared" si="79"/>
        <v/>
      </c>
    </row>
    <row r="640" spans="1:40" ht="15" customHeight="1" x14ac:dyDescent="0.2">
      <c r="A640" t="str">
        <f>IF($B640="","",TEXT($B640,"yyyymmdd")&amp;"-"&amp;SUBSTITUTE($F640," ","")&amp;"-"&amp;TEXT(COUNTIF($F$4:F640,$F640),"00"))</f>
        <v/>
      </c>
      <c r="C640" t="str">
        <f t="shared" ref="C640:C703" si="80">IF($B640="","",WEEKNUM($B640,2))</f>
        <v/>
      </c>
      <c r="D640" t="str">
        <f t="shared" ref="D640:D703" si="81">IF($B640="","",TEXT($B640,"yyyy-mm"))</f>
        <v/>
      </c>
      <c r="G640" t="str">
        <f>IF(OR($E640="",$F640=""),"",IFERROR(IF($E640=INDEX(Cluster_Master!$A$4:$A$18,MATCH($F640,Cluster_Master!$B$4:$B$18,0)),"OK","CHECK"),"CHECK"))</f>
        <v/>
      </c>
      <c r="H640" t="str">
        <f>IFERROR(INDEX(Cluster_Master!$C$4:$C$18,MATCH($F640,Cluster_Master!$B$4:$B$18,0)),"")</f>
        <v/>
      </c>
      <c r="I640" t="str">
        <f>IFERROR(INDEX(Cluster_Master!$D$4:$D$18,MATCH($F640,Cluster_Master!$B$4:$B$18,0)),"")</f>
        <v/>
      </c>
      <c r="J640" t="str">
        <f>IFERROR(INDEX(Cluster_Master!$E$4:$E$18,MATCH($F640,Cluster_Master!$B$4:$B$18,0)),"")</f>
        <v/>
      </c>
      <c r="K640" t="str">
        <f>IFERROR(INDEX(Cluster_Master!$F$4:$F$18,MATCH($F640,Cluster_Master!$B$4:$B$18,0)),"")</f>
        <v/>
      </c>
      <c r="L640" t="str">
        <f>IFERROR(INDEX(Cluster_Master!$G$4:$G$18,MATCH($F640,Cluster_Master!$B$4:$B$18,0)),"")</f>
        <v/>
      </c>
      <c r="M640" t="str">
        <f>IFERROR(INDEX(Cluster_Master!$H$4:$H$18,MATCH($F640,Cluster_Master!$B$4:$B$18,0)),"")</f>
        <v/>
      </c>
      <c r="AI640" t="str">
        <f t="shared" ref="AI640:AI703" si="82">IF(COUNTA(T640:AH640)=0,"",SUM(T640:AH640))</f>
        <v/>
      </c>
      <c r="AJ640" t="str">
        <f t="shared" ref="AJ640:AJ703" si="83">IF(COUNTA(T640:AH640)=0,"",AI640/75)</f>
        <v/>
      </c>
      <c r="AK640" t="str">
        <f>IF(COUNTA(T640:AH640)=0,"",(SUM(T640*KPI_Weights!$B$4,U640*KPI_Weights!$B$5,V640*KPI_Weights!$B$6,W640*KPI_Weights!$B$7,X640*KPI_Weights!$B$8,Y640*KPI_Weights!$B$9,Z640*KPI_Weights!$B$10,AA640*KPI_Weights!$B$11,AB640*KPI_Weights!$B$12,AC640*KPI_Weights!$B$13,AD640*KPI_Weights!$B$14,AE640*KPI_Weights!$B$15,AF640*KPI_Weights!$B$16,AG640*KPI_Weights!$B$17,AH640*KPI_Weights!$B$18))/5)</f>
        <v/>
      </c>
      <c r="AL640" t="str">
        <f t="shared" ref="AL640:AL703" si="84">IF(COUNTA(T640:AH640)=0,"",IF(OR(T640&lt;=1,W640&lt;=1,X640&lt;=1,Y640&lt;=1,AB640&lt;=1),"YES","NO"))</f>
        <v/>
      </c>
      <c r="AM640" t="str">
        <f t="shared" ref="AM640:AM703" si="85">IF(AJ640="","",IF(AND(AL640="NO",AJ640&gt;=0.75),"YES","NO"))</f>
        <v/>
      </c>
      <c r="AN640" t="str">
        <f t="shared" ref="AN640:AN703" si="86">IF(AJ640="","",IF(AJ640&lt;0.4,"Critical",IF(AJ640&lt;0.6,"Poor",IF(AJ640&lt;0.75,"Needs Improvement",IF(AJ640&lt;0.9,"Good","Excellent")))))</f>
        <v/>
      </c>
    </row>
    <row r="641" spans="1:40" ht="15" customHeight="1" x14ac:dyDescent="0.2">
      <c r="A641" t="str">
        <f>IF($B641="","",TEXT($B641,"yyyymmdd")&amp;"-"&amp;SUBSTITUTE($F641," ","")&amp;"-"&amp;TEXT(COUNTIF($F$4:F641,$F641),"00"))</f>
        <v/>
      </c>
      <c r="C641" t="str">
        <f t="shared" si="80"/>
        <v/>
      </c>
      <c r="D641" t="str">
        <f t="shared" si="81"/>
        <v/>
      </c>
      <c r="G641" t="str">
        <f>IF(OR($E641="",$F641=""),"",IFERROR(IF($E641=INDEX(Cluster_Master!$A$4:$A$18,MATCH($F641,Cluster_Master!$B$4:$B$18,0)),"OK","CHECK"),"CHECK"))</f>
        <v/>
      </c>
      <c r="H641" t="str">
        <f>IFERROR(INDEX(Cluster_Master!$C$4:$C$18,MATCH($F641,Cluster_Master!$B$4:$B$18,0)),"")</f>
        <v/>
      </c>
      <c r="I641" t="str">
        <f>IFERROR(INDEX(Cluster_Master!$D$4:$D$18,MATCH($F641,Cluster_Master!$B$4:$B$18,0)),"")</f>
        <v/>
      </c>
      <c r="J641" t="str">
        <f>IFERROR(INDEX(Cluster_Master!$E$4:$E$18,MATCH($F641,Cluster_Master!$B$4:$B$18,0)),"")</f>
        <v/>
      </c>
      <c r="K641" t="str">
        <f>IFERROR(INDEX(Cluster_Master!$F$4:$F$18,MATCH($F641,Cluster_Master!$B$4:$B$18,0)),"")</f>
        <v/>
      </c>
      <c r="L641" t="str">
        <f>IFERROR(INDEX(Cluster_Master!$G$4:$G$18,MATCH($F641,Cluster_Master!$B$4:$B$18,0)),"")</f>
        <v/>
      </c>
      <c r="M641" t="str">
        <f>IFERROR(INDEX(Cluster_Master!$H$4:$H$18,MATCH($F641,Cluster_Master!$B$4:$B$18,0)),"")</f>
        <v/>
      </c>
      <c r="AI641" t="str">
        <f t="shared" si="82"/>
        <v/>
      </c>
      <c r="AJ641" t="str">
        <f t="shared" si="83"/>
        <v/>
      </c>
      <c r="AK641" t="str">
        <f>IF(COUNTA(T641:AH641)=0,"",(SUM(T641*KPI_Weights!$B$4,U641*KPI_Weights!$B$5,V641*KPI_Weights!$B$6,W641*KPI_Weights!$B$7,X641*KPI_Weights!$B$8,Y641*KPI_Weights!$B$9,Z641*KPI_Weights!$B$10,AA641*KPI_Weights!$B$11,AB641*KPI_Weights!$B$12,AC641*KPI_Weights!$B$13,AD641*KPI_Weights!$B$14,AE641*KPI_Weights!$B$15,AF641*KPI_Weights!$B$16,AG641*KPI_Weights!$B$17,AH641*KPI_Weights!$B$18))/5)</f>
        <v/>
      </c>
      <c r="AL641" t="str">
        <f t="shared" si="84"/>
        <v/>
      </c>
      <c r="AM641" t="str">
        <f t="shared" si="85"/>
        <v/>
      </c>
      <c r="AN641" t="str">
        <f t="shared" si="86"/>
        <v/>
      </c>
    </row>
    <row r="642" spans="1:40" ht="15" customHeight="1" x14ac:dyDescent="0.2">
      <c r="A642" t="str">
        <f>IF($B642="","",TEXT($B642,"yyyymmdd")&amp;"-"&amp;SUBSTITUTE($F642," ","")&amp;"-"&amp;TEXT(COUNTIF($F$4:F642,$F642),"00"))</f>
        <v/>
      </c>
      <c r="C642" t="str">
        <f t="shared" si="80"/>
        <v/>
      </c>
      <c r="D642" t="str">
        <f t="shared" si="81"/>
        <v/>
      </c>
      <c r="G642" t="str">
        <f>IF(OR($E642="",$F642=""),"",IFERROR(IF($E642=INDEX(Cluster_Master!$A$4:$A$18,MATCH($F642,Cluster_Master!$B$4:$B$18,0)),"OK","CHECK"),"CHECK"))</f>
        <v/>
      </c>
      <c r="H642" t="str">
        <f>IFERROR(INDEX(Cluster_Master!$C$4:$C$18,MATCH($F642,Cluster_Master!$B$4:$B$18,0)),"")</f>
        <v/>
      </c>
      <c r="I642" t="str">
        <f>IFERROR(INDEX(Cluster_Master!$D$4:$D$18,MATCH($F642,Cluster_Master!$B$4:$B$18,0)),"")</f>
        <v/>
      </c>
      <c r="J642" t="str">
        <f>IFERROR(INDEX(Cluster_Master!$E$4:$E$18,MATCH($F642,Cluster_Master!$B$4:$B$18,0)),"")</f>
        <v/>
      </c>
      <c r="K642" t="str">
        <f>IFERROR(INDEX(Cluster_Master!$F$4:$F$18,MATCH($F642,Cluster_Master!$B$4:$B$18,0)),"")</f>
        <v/>
      </c>
      <c r="L642" t="str">
        <f>IFERROR(INDEX(Cluster_Master!$G$4:$G$18,MATCH($F642,Cluster_Master!$B$4:$B$18,0)),"")</f>
        <v/>
      </c>
      <c r="M642" t="str">
        <f>IFERROR(INDEX(Cluster_Master!$H$4:$H$18,MATCH($F642,Cluster_Master!$B$4:$B$18,0)),"")</f>
        <v/>
      </c>
      <c r="AI642" t="str">
        <f t="shared" si="82"/>
        <v/>
      </c>
      <c r="AJ642" t="str">
        <f t="shared" si="83"/>
        <v/>
      </c>
      <c r="AK642" t="str">
        <f>IF(COUNTA(T642:AH642)=0,"",(SUM(T642*KPI_Weights!$B$4,U642*KPI_Weights!$B$5,V642*KPI_Weights!$B$6,W642*KPI_Weights!$B$7,X642*KPI_Weights!$B$8,Y642*KPI_Weights!$B$9,Z642*KPI_Weights!$B$10,AA642*KPI_Weights!$B$11,AB642*KPI_Weights!$B$12,AC642*KPI_Weights!$B$13,AD642*KPI_Weights!$B$14,AE642*KPI_Weights!$B$15,AF642*KPI_Weights!$B$16,AG642*KPI_Weights!$B$17,AH642*KPI_Weights!$B$18))/5)</f>
        <v/>
      </c>
      <c r="AL642" t="str">
        <f t="shared" si="84"/>
        <v/>
      </c>
      <c r="AM642" t="str">
        <f t="shared" si="85"/>
        <v/>
      </c>
      <c r="AN642" t="str">
        <f t="shared" si="86"/>
        <v/>
      </c>
    </row>
    <row r="643" spans="1:40" ht="15" customHeight="1" x14ac:dyDescent="0.2">
      <c r="A643" t="str">
        <f>IF($B643="","",TEXT($B643,"yyyymmdd")&amp;"-"&amp;SUBSTITUTE($F643," ","")&amp;"-"&amp;TEXT(COUNTIF($F$4:F643,$F643),"00"))</f>
        <v/>
      </c>
      <c r="C643" t="str">
        <f t="shared" si="80"/>
        <v/>
      </c>
      <c r="D643" t="str">
        <f t="shared" si="81"/>
        <v/>
      </c>
      <c r="G643" t="str">
        <f>IF(OR($E643="",$F643=""),"",IFERROR(IF($E643=INDEX(Cluster_Master!$A$4:$A$18,MATCH($F643,Cluster_Master!$B$4:$B$18,0)),"OK","CHECK"),"CHECK"))</f>
        <v/>
      </c>
      <c r="H643" t="str">
        <f>IFERROR(INDEX(Cluster_Master!$C$4:$C$18,MATCH($F643,Cluster_Master!$B$4:$B$18,0)),"")</f>
        <v/>
      </c>
      <c r="I643" t="str">
        <f>IFERROR(INDEX(Cluster_Master!$D$4:$D$18,MATCH($F643,Cluster_Master!$B$4:$B$18,0)),"")</f>
        <v/>
      </c>
      <c r="J643" t="str">
        <f>IFERROR(INDEX(Cluster_Master!$E$4:$E$18,MATCH($F643,Cluster_Master!$B$4:$B$18,0)),"")</f>
        <v/>
      </c>
      <c r="K643" t="str">
        <f>IFERROR(INDEX(Cluster_Master!$F$4:$F$18,MATCH($F643,Cluster_Master!$B$4:$B$18,0)),"")</f>
        <v/>
      </c>
      <c r="L643" t="str">
        <f>IFERROR(INDEX(Cluster_Master!$G$4:$G$18,MATCH($F643,Cluster_Master!$B$4:$B$18,0)),"")</f>
        <v/>
      </c>
      <c r="M643" t="str">
        <f>IFERROR(INDEX(Cluster_Master!$H$4:$H$18,MATCH($F643,Cluster_Master!$B$4:$B$18,0)),"")</f>
        <v/>
      </c>
      <c r="AI643" t="str">
        <f t="shared" si="82"/>
        <v/>
      </c>
      <c r="AJ643" t="str">
        <f t="shared" si="83"/>
        <v/>
      </c>
      <c r="AK643" t="str">
        <f>IF(COUNTA(T643:AH643)=0,"",(SUM(T643*KPI_Weights!$B$4,U643*KPI_Weights!$B$5,V643*KPI_Weights!$B$6,W643*KPI_Weights!$B$7,X643*KPI_Weights!$B$8,Y643*KPI_Weights!$B$9,Z643*KPI_Weights!$B$10,AA643*KPI_Weights!$B$11,AB643*KPI_Weights!$B$12,AC643*KPI_Weights!$B$13,AD643*KPI_Weights!$B$14,AE643*KPI_Weights!$B$15,AF643*KPI_Weights!$B$16,AG643*KPI_Weights!$B$17,AH643*KPI_Weights!$B$18))/5)</f>
        <v/>
      </c>
      <c r="AL643" t="str">
        <f t="shared" si="84"/>
        <v/>
      </c>
      <c r="AM643" t="str">
        <f t="shared" si="85"/>
        <v/>
      </c>
      <c r="AN643" t="str">
        <f t="shared" si="86"/>
        <v/>
      </c>
    </row>
    <row r="644" spans="1:40" ht="15" customHeight="1" x14ac:dyDescent="0.2">
      <c r="A644" t="str">
        <f>IF($B644="","",TEXT($B644,"yyyymmdd")&amp;"-"&amp;SUBSTITUTE($F644," ","")&amp;"-"&amp;TEXT(COUNTIF($F$4:F644,$F644),"00"))</f>
        <v/>
      </c>
      <c r="C644" t="str">
        <f t="shared" si="80"/>
        <v/>
      </c>
      <c r="D644" t="str">
        <f t="shared" si="81"/>
        <v/>
      </c>
      <c r="G644" t="str">
        <f>IF(OR($E644="",$F644=""),"",IFERROR(IF($E644=INDEX(Cluster_Master!$A$4:$A$18,MATCH($F644,Cluster_Master!$B$4:$B$18,0)),"OK","CHECK"),"CHECK"))</f>
        <v/>
      </c>
      <c r="H644" t="str">
        <f>IFERROR(INDEX(Cluster_Master!$C$4:$C$18,MATCH($F644,Cluster_Master!$B$4:$B$18,0)),"")</f>
        <v/>
      </c>
      <c r="I644" t="str">
        <f>IFERROR(INDEX(Cluster_Master!$D$4:$D$18,MATCH($F644,Cluster_Master!$B$4:$B$18,0)),"")</f>
        <v/>
      </c>
      <c r="J644" t="str">
        <f>IFERROR(INDEX(Cluster_Master!$E$4:$E$18,MATCH($F644,Cluster_Master!$B$4:$B$18,0)),"")</f>
        <v/>
      </c>
      <c r="K644" t="str">
        <f>IFERROR(INDEX(Cluster_Master!$F$4:$F$18,MATCH($F644,Cluster_Master!$B$4:$B$18,0)),"")</f>
        <v/>
      </c>
      <c r="L644" t="str">
        <f>IFERROR(INDEX(Cluster_Master!$G$4:$G$18,MATCH($F644,Cluster_Master!$B$4:$B$18,0)),"")</f>
        <v/>
      </c>
      <c r="M644" t="str">
        <f>IFERROR(INDEX(Cluster_Master!$H$4:$H$18,MATCH($F644,Cluster_Master!$B$4:$B$18,0)),"")</f>
        <v/>
      </c>
      <c r="AI644" t="str">
        <f t="shared" si="82"/>
        <v/>
      </c>
      <c r="AJ644" t="str">
        <f t="shared" si="83"/>
        <v/>
      </c>
      <c r="AK644" t="str">
        <f>IF(COUNTA(T644:AH644)=0,"",(SUM(T644*KPI_Weights!$B$4,U644*KPI_Weights!$B$5,V644*KPI_Weights!$B$6,W644*KPI_Weights!$B$7,X644*KPI_Weights!$B$8,Y644*KPI_Weights!$B$9,Z644*KPI_Weights!$B$10,AA644*KPI_Weights!$B$11,AB644*KPI_Weights!$B$12,AC644*KPI_Weights!$B$13,AD644*KPI_Weights!$B$14,AE644*KPI_Weights!$B$15,AF644*KPI_Weights!$B$16,AG644*KPI_Weights!$B$17,AH644*KPI_Weights!$B$18))/5)</f>
        <v/>
      </c>
      <c r="AL644" t="str">
        <f t="shared" si="84"/>
        <v/>
      </c>
      <c r="AM644" t="str">
        <f t="shared" si="85"/>
        <v/>
      </c>
      <c r="AN644" t="str">
        <f t="shared" si="86"/>
        <v/>
      </c>
    </row>
    <row r="645" spans="1:40" ht="15" customHeight="1" x14ac:dyDescent="0.2">
      <c r="A645" t="str">
        <f>IF($B645="","",TEXT($B645,"yyyymmdd")&amp;"-"&amp;SUBSTITUTE($F645," ","")&amp;"-"&amp;TEXT(COUNTIF($F$4:F645,$F645),"00"))</f>
        <v/>
      </c>
      <c r="C645" t="str">
        <f t="shared" si="80"/>
        <v/>
      </c>
      <c r="D645" t="str">
        <f t="shared" si="81"/>
        <v/>
      </c>
      <c r="G645" t="str">
        <f>IF(OR($E645="",$F645=""),"",IFERROR(IF($E645=INDEX(Cluster_Master!$A$4:$A$18,MATCH($F645,Cluster_Master!$B$4:$B$18,0)),"OK","CHECK"),"CHECK"))</f>
        <v/>
      </c>
      <c r="H645" t="str">
        <f>IFERROR(INDEX(Cluster_Master!$C$4:$C$18,MATCH($F645,Cluster_Master!$B$4:$B$18,0)),"")</f>
        <v/>
      </c>
      <c r="I645" t="str">
        <f>IFERROR(INDEX(Cluster_Master!$D$4:$D$18,MATCH($F645,Cluster_Master!$B$4:$B$18,0)),"")</f>
        <v/>
      </c>
      <c r="J645" t="str">
        <f>IFERROR(INDEX(Cluster_Master!$E$4:$E$18,MATCH($F645,Cluster_Master!$B$4:$B$18,0)),"")</f>
        <v/>
      </c>
      <c r="K645" t="str">
        <f>IFERROR(INDEX(Cluster_Master!$F$4:$F$18,MATCH($F645,Cluster_Master!$B$4:$B$18,0)),"")</f>
        <v/>
      </c>
      <c r="L645" t="str">
        <f>IFERROR(INDEX(Cluster_Master!$G$4:$G$18,MATCH($F645,Cluster_Master!$B$4:$B$18,0)),"")</f>
        <v/>
      </c>
      <c r="M645" t="str">
        <f>IFERROR(INDEX(Cluster_Master!$H$4:$H$18,MATCH($F645,Cluster_Master!$B$4:$B$18,0)),"")</f>
        <v/>
      </c>
      <c r="AI645" t="str">
        <f t="shared" si="82"/>
        <v/>
      </c>
      <c r="AJ645" t="str">
        <f t="shared" si="83"/>
        <v/>
      </c>
      <c r="AK645" t="str">
        <f>IF(COUNTA(T645:AH645)=0,"",(SUM(T645*KPI_Weights!$B$4,U645*KPI_Weights!$B$5,V645*KPI_Weights!$B$6,W645*KPI_Weights!$B$7,X645*KPI_Weights!$B$8,Y645*KPI_Weights!$B$9,Z645*KPI_Weights!$B$10,AA645*KPI_Weights!$B$11,AB645*KPI_Weights!$B$12,AC645*KPI_Weights!$B$13,AD645*KPI_Weights!$B$14,AE645*KPI_Weights!$B$15,AF645*KPI_Weights!$B$16,AG645*KPI_Weights!$B$17,AH645*KPI_Weights!$B$18))/5)</f>
        <v/>
      </c>
      <c r="AL645" t="str">
        <f t="shared" si="84"/>
        <v/>
      </c>
      <c r="AM645" t="str">
        <f t="shared" si="85"/>
        <v/>
      </c>
      <c r="AN645" t="str">
        <f t="shared" si="86"/>
        <v/>
      </c>
    </row>
    <row r="646" spans="1:40" ht="15" customHeight="1" x14ac:dyDescent="0.2">
      <c r="A646" t="str">
        <f>IF($B646="","",TEXT($B646,"yyyymmdd")&amp;"-"&amp;SUBSTITUTE($F646," ","")&amp;"-"&amp;TEXT(COUNTIF($F$4:F646,$F646),"00"))</f>
        <v/>
      </c>
      <c r="C646" t="str">
        <f t="shared" si="80"/>
        <v/>
      </c>
      <c r="D646" t="str">
        <f t="shared" si="81"/>
        <v/>
      </c>
      <c r="G646" t="str">
        <f>IF(OR($E646="",$F646=""),"",IFERROR(IF($E646=INDEX(Cluster_Master!$A$4:$A$18,MATCH($F646,Cluster_Master!$B$4:$B$18,0)),"OK","CHECK"),"CHECK"))</f>
        <v/>
      </c>
      <c r="H646" t="str">
        <f>IFERROR(INDEX(Cluster_Master!$C$4:$C$18,MATCH($F646,Cluster_Master!$B$4:$B$18,0)),"")</f>
        <v/>
      </c>
      <c r="I646" t="str">
        <f>IFERROR(INDEX(Cluster_Master!$D$4:$D$18,MATCH($F646,Cluster_Master!$B$4:$B$18,0)),"")</f>
        <v/>
      </c>
      <c r="J646" t="str">
        <f>IFERROR(INDEX(Cluster_Master!$E$4:$E$18,MATCH($F646,Cluster_Master!$B$4:$B$18,0)),"")</f>
        <v/>
      </c>
      <c r="K646" t="str">
        <f>IFERROR(INDEX(Cluster_Master!$F$4:$F$18,MATCH($F646,Cluster_Master!$B$4:$B$18,0)),"")</f>
        <v/>
      </c>
      <c r="L646" t="str">
        <f>IFERROR(INDEX(Cluster_Master!$G$4:$G$18,MATCH($F646,Cluster_Master!$B$4:$B$18,0)),"")</f>
        <v/>
      </c>
      <c r="M646" t="str">
        <f>IFERROR(INDEX(Cluster_Master!$H$4:$H$18,MATCH($F646,Cluster_Master!$B$4:$B$18,0)),"")</f>
        <v/>
      </c>
      <c r="AI646" t="str">
        <f t="shared" si="82"/>
        <v/>
      </c>
      <c r="AJ646" t="str">
        <f t="shared" si="83"/>
        <v/>
      </c>
      <c r="AK646" t="str">
        <f>IF(COUNTA(T646:AH646)=0,"",(SUM(T646*KPI_Weights!$B$4,U646*KPI_Weights!$B$5,V646*KPI_Weights!$B$6,W646*KPI_Weights!$B$7,X646*KPI_Weights!$B$8,Y646*KPI_Weights!$B$9,Z646*KPI_Weights!$B$10,AA646*KPI_Weights!$B$11,AB646*KPI_Weights!$B$12,AC646*KPI_Weights!$B$13,AD646*KPI_Weights!$B$14,AE646*KPI_Weights!$B$15,AF646*KPI_Weights!$B$16,AG646*KPI_Weights!$B$17,AH646*KPI_Weights!$B$18))/5)</f>
        <v/>
      </c>
      <c r="AL646" t="str">
        <f t="shared" si="84"/>
        <v/>
      </c>
      <c r="AM646" t="str">
        <f t="shared" si="85"/>
        <v/>
      </c>
      <c r="AN646" t="str">
        <f t="shared" si="86"/>
        <v/>
      </c>
    </row>
    <row r="647" spans="1:40" ht="15" customHeight="1" x14ac:dyDescent="0.2">
      <c r="A647" t="str">
        <f>IF($B647="","",TEXT($B647,"yyyymmdd")&amp;"-"&amp;SUBSTITUTE($F647," ","")&amp;"-"&amp;TEXT(COUNTIF($F$4:F647,$F647),"00"))</f>
        <v/>
      </c>
      <c r="C647" t="str">
        <f t="shared" si="80"/>
        <v/>
      </c>
      <c r="D647" t="str">
        <f t="shared" si="81"/>
        <v/>
      </c>
      <c r="G647" t="str">
        <f>IF(OR($E647="",$F647=""),"",IFERROR(IF($E647=INDEX(Cluster_Master!$A$4:$A$18,MATCH($F647,Cluster_Master!$B$4:$B$18,0)),"OK","CHECK"),"CHECK"))</f>
        <v/>
      </c>
      <c r="H647" t="str">
        <f>IFERROR(INDEX(Cluster_Master!$C$4:$C$18,MATCH($F647,Cluster_Master!$B$4:$B$18,0)),"")</f>
        <v/>
      </c>
      <c r="I647" t="str">
        <f>IFERROR(INDEX(Cluster_Master!$D$4:$D$18,MATCH($F647,Cluster_Master!$B$4:$B$18,0)),"")</f>
        <v/>
      </c>
      <c r="J647" t="str">
        <f>IFERROR(INDEX(Cluster_Master!$E$4:$E$18,MATCH($F647,Cluster_Master!$B$4:$B$18,0)),"")</f>
        <v/>
      </c>
      <c r="K647" t="str">
        <f>IFERROR(INDEX(Cluster_Master!$F$4:$F$18,MATCH($F647,Cluster_Master!$B$4:$B$18,0)),"")</f>
        <v/>
      </c>
      <c r="L647" t="str">
        <f>IFERROR(INDEX(Cluster_Master!$G$4:$G$18,MATCH($F647,Cluster_Master!$B$4:$B$18,0)),"")</f>
        <v/>
      </c>
      <c r="M647" t="str">
        <f>IFERROR(INDEX(Cluster_Master!$H$4:$H$18,MATCH($F647,Cluster_Master!$B$4:$B$18,0)),"")</f>
        <v/>
      </c>
      <c r="AI647" t="str">
        <f t="shared" si="82"/>
        <v/>
      </c>
      <c r="AJ647" t="str">
        <f t="shared" si="83"/>
        <v/>
      </c>
      <c r="AK647" t="str">
        <f>IF(COUNTA(T647:AH647)=0,"",(SUM(T647*KPI_Weights!$B$4,U647*KPI_Weights!$B$5,V647*KPI_Weights!$B$6,W647*KPI_Weights!$B$7,X647*KPI_Weights!$B$8,Y647*KPI_Weights!$B$9,Z647*KPI_Weights!$B$10,AA647*KPI_Weights!$B$11,AB647*KPI_Weights!$B$12,AC647*KPI_Weights!$B$13,AD647*KPI_Weights!$B$14,AE647*KPI_Weights!$B$15,AF647*KPI_Weights!$B$16,AG647*KPI_Weights!$B$17,AH647*KPI_Weights!$B$18))/5)</f>
        <v/>
      </c>
      <c r="AL647" t="str">
        <f t="shared" si="84"/>
        <v/>
      </c>
      <c r="AM647" t="str">
        <f t="shared" si="85"/>
        <v/>
      </c>
      <c r="AN647" t="str">
        <f t="shared" si="86"/>
        <v/>
      </c>
    </row>
    <row r="648" spans="1:40" ht="15" customHeight="1" x14ac:dyDescent="0.2">
      <c r="A648" t="str">
        <f>IF($B648="","",TEXT($B648,"yyyymmdd")&amp;"-"&amp;SUBSTITUTE($F648," ","")&amp;"-"&amp;TEXT(COUNTIF($F$4:F648,$F648),"00"))</f>
        <v/>
      </c>
      <c r="C648" t="str">
        <f t="shared" si="80"/>
        <v/>
      </c>
      <c r="D648" t="str">
        <f t="shared" si="81"/>
        <v/>
      </c>
      <c r="G648" t="str">
        <f>IF(OR($E648="",$F648=""),"",IFERROR(IF($E648=INDEX(Cluster_Master!$A$4:$A$18,MATCH($F648,Cluster_Master!$B$4:$B$18,0)),"OK","CHECK"),"CHECK"))</f>
        <v/>
      </c>
      <c r="H648" t="str">
        <f>IFERROR(INDEX(Cluster_Master!$C$4:$C$18,MATCH($F648,Cluster_Master!$B$4:$B$18,0)),"")</f>
        <v/>
      </c>
      <c r="I648" t="str">
        <f>IFERROR(INDEX(Cluster_Master!$D$4:$D$18,MATCH($F648,Cluster_Master!$B$4:$B$18,0)),"")</f>
        <v/>
      </c>
      <c r="J648" t="str">
        <f>IFERROR(INDEX(Cluster_Master!$E$4:$E$18,MATCH($F648,Cluster_Master!$B$4:$B$18,0)),"")</f>
        <v/>
      </c>
      <c r="K648" t="str">
        <f>IFERROR(INDEX(Cluster_Master!$F$4:$F$18,MATCH($F648,Cluster_Master!$B$4:$B$18,0)),"")</f>
        <v/>
      </c>
      <c r="L648" t="str">
        <f>IFERROR(INDEX(Cluster_Master!$G$4:$G$18,MATCH($F648,Cluster_Master!$B$4:$B$18,0)),"")</f>
        <v/>
      </c>
      <c r="M648" t="str">
        <f>IFERROR(INDEX(Cluster_Master!$H$4:$H$18,MATCH($F648,Cluster_Master!$B$4:$B$18,0)),"")</f>
        <v/>
      </c>
      <c r="AI648" t="str">
        <f t="shared" si="82"/>
        <v/>
      </c>
      <c r="AJ648" t="str">
        <f t="shared" si="83"/>
        <v/>
      </c>
      <c r="AK648" t="str">
        <f>IF(COUNTA(T648:AH648)=0,"",(SUM(T648*KPI_Weights!$B$4,U648*KPI_Weights!$B$5,V648*KPI_Weights!$B$6,W648*KPI_Weights!$B$7,X648*KPI_Weights!$B$8,Y648*KPI_Weights!$B$9,Z648*KPI_Weights!$B$10,AA648*KPI_Weights!$B$11,AB648*KPI_Weights!$B$12,AC648*KPI_Weights!$B$13,AD648*KPI_Weights!$B$14,AE648*KPI_Weights!$B$15,AF648*KPI_Weights!$B$16,AG648*KPI_Weights!$B$17,AH648*KPI_Weights!$B$18))/5)</f>
        <v/>
      </c>
      <c r="AL648" t="str">
        <f t="shared" si="84"/>
        <v/>
      </c>
      <c r="AM648" t="str">
        <f t="shared" si="85"/>
        <v/>
      </c>
      <c r="AN648" t="str">
        <f t="shared" si="86"/>
        <v/>
      </c>
    </row>
    <row r="649" spans="1:40" ht="15" customHeight="1" x14ac:dyDescent="0.2">
      <c r="A649" t="str">
        <f>IF($B649="","",TEXT($B649,"yyyymmdd")&amp;"-"&amp;SUBSTITUTE($F649," ","")&amp;"-"&amp;TEXT(COUNTIF($F$4:F649,$F649),"00"))</f>
        <v/>
      </c>
      <c r="C649" t="str">
        <f t="shared" si="80"/>
        <v/>
      </c>
      <c r="D649" t="str">
        <f t="shared" si="81"/>
        <v/>
      </c>
      <c r="G649" t="str">
        <f>IF(OR($E649="",$F649=""),"",IFERROR(IF($E649=INDEX(Cluster_Master!$A$4:$A$18,MATCH($F649,Cluster_Master!$B$4:$B$18,0)),"OK","CHECK"),"CHECK"))</f>
        <v/>
      </c>
      <c r="H649" t="str">
        <f>IFERROR(INDEX(Cluster_Master!$C$4:$C$18,MATCH($F649,Cluster_Master!$B$4:$B$18,0)),"")</f>
        <v/>
      </c>
      <c r="I649" t="str">
        <f>IFERROR(INDEX(Cluster_Master!$D$4:$D$18,MATCH($F649,Cluster_Master!$B$4:$B$18,0)),"")</f>
        <v/>
      </c>
      <c r="J649" t="str">
        <f>IFERROR(INDEX(Cluster_Master!$E$4:$E$18,MATCH($F649,Cluster_Master!$B$4:$B$18,0)),"")</f>
        <v/>
      </c>
      <c r="K649" t="str">
        <f>IFERROR(INDEX(Cluster_Master!$F$4:$F$18,MATCH($F649,Cluster_Master!$B$4:$B$18,0)),"")</f>
        <v/>
      </c>
      <c r="L649" t="str">
        <f>IFERROR(INDEX(Cluster_Master!$G$4:$G$18,MATCH($F649,Cluster_Master!$B$4:$B$18,0)),"")</f>
        <v/>
      </c>
      <c r="M649" t="str">
        <f>IFERROR(INDEX(Cluster_Master!$H$4:$H$18,MATCH($F649,Cluster_Master!$B$4:$B$18,0)),"")</f>
        <v/>
      </c>
      <c r="AI649" t="str">
        <f t="shared" si="82"/>
        <v/>
      </c>
      <c r="AJ649" t="str">
        <f t="shared" si="83"/>
        <v/>
      </c>
      <c r="AK649" t="str">
        <f>IF(COUNTA(T649:AH649)=0,"",(SUM(T649*KPI_Weights!$B$4,U649*KPI_Weights!$B$5,V649*KPI_Weights!$B$6,W649*KPI_Weights!$B$7,X649*KPI_Weights!$B$8,Y649*KPI_Weights!$B$9,Z649*KPI_Weights!$B$10,AA649*KPI_Weights!$B$11,AB649*KPI_Weights!$B$12,AC649*KPI_Weights!$B$13,AD649*KPI_Weights!$B$14,AE649*KPI_Weights!$B$15,AF649*KPI_Weights!$B$16,AG649*KPI_Weights!$B$17,AH649*KPI_Weights!$B$18))/5)</f>
        <v/>
      </c>
      <c r="AL649" t="str">
        <f t="shared" si="84"/>
        <v/>
      </c>
      <c r="AM649" t="str">
        <f t="shared" si="85"/>
        <v/>
      </c>
      <c r="AN649" t="str">
        <f t="shared" si="86"/>
        <v/>
      </c>
    </row>
    <row r="650" spans="1:40" ht="15" customHeight="1" x14ac:dyDescent="0.2">
      <c r="A650" t="str">
        <f>IF($B650="","",TEXT($B650,"yyyymmdd")&amp;"-"&amp;SUBSTITUTE($F650," ","")&amp;"-"&amp;TEXT(COUNTIF($F$4:F650,$F650),"00"))</f>
        <v/>
      </c>
      <c r="C650" t="str">
        <f t="shared" si="80"/>
        <v/>
      </c>
      <c r="D650" t="str">
        <f t="shared" si="81"/>
        <v/>
      </c>
      <c r="G650" t="str">
        <f>IF(OR($E650="",$F650=""),"",IFERROR(IF($E650=INDEX(Cluster_Master!$A$4:$A$18,MATCH($F650,Cluster_Master!$B$4:$B$18,0)),"OK","CHECK"),"CHECK"))</f>
        <v/>
      </c>
      <c r="H650" t="str">
        <f>IFERROR(INDEX(Cluster_Master!$C$4:$C$18,MATCH($F650,Cluster_Master!$B$4:$B$18,0)),"")</f>
        <v/>
      </c>
      <c r="I650" t="str">
        <f>IFERROR(INDEX(Cluster_Master!$D$4:$D$18,MATCH($F650,Cluster_Master!$B$4:$B$18,0)),"")</f>
        <v/>
      </c>
      <c r="J650" t="str">
        <f>IFERROR(INDEX(Cluster_Master!$E$4:$E$18,MATCH($F650,Cluster_Master!$B$4:$B$18,0)),"")</f>
        <v/>
      </c>
      <c r="K650" t="str">
        <f>IFERROR(INDEX(Cluster_Master!$F$4:$F$18,MATCH($F650,Cluster_Master!$B$4:$B$18,0)),"")</f>
        <v/>
      </c>
      <c r="L650" t="str">
        <f>IFERROR(INDEX(Cluster_Master!$G$4:$G$18,MATCH($F650,Cluster_Master!$B$4:$B$18,0)),"")</f>
        <v/>
      </c>
      <c r="M650" t="str">
        <f>IFERROR(INDEX(Cluster_Master!$H$4:$H$18,MATCH($F650,Cluster_Master!$B$4:$B$18,0)),"")</f>
        <v/>
      </c>
      <c r="AI650" t="str">
        <f t="shared" si="82"/>
        <v/>
      </c>
      <c r="AJ650" t="str">
        <f t="shared" si="83"/>
        <v/>
      </c>
      <c r="AK650" t="str">
        <f>IF(COUNTA(T650:AH650)=0,"",(SUM(T650*KPI_Weights!$B$4,U650*KPI_Weights!$B$5,V650*KPI_Weights!$B$6,W650*KPI_Weights!$B$7,X650*KPI_Weights!$B$8,Y650*KPI_Weights!$B$9,Z650*KPI_Weights!$B$10,AA650*KPI_Weights!$B$11,AB650*KPI_Weights!$B$12,AC650*KPI_Weights!$B$13,AD650*KPI_Weights!$B$14,AE650*KPI_Weights!$B$15,AF650*KPI_Weights!$B$16,AG650*KPI_Weights!$B$17,AH650*KPI_Weights!$B$18))/5)</f>
        <v/>
      </c>
      <c r="AL650" t="str">
        <f t="shared" si="84"/>
        <v/>
      </c>
      <c r="AM650" t="str">
        <f t="shared" si="85"/>
        <v/>
      </c>
      <c r="AN650" t="str">
        <f t="shared" si="86"/>
        <v/>
      </c>
    </row>
    <row r="651" spans="1:40" ht="15" customHeight="1" x14ac:dyDescent="0.2">
      <c r="A651" t="str">
        <f>IF($B651="","",TEXT($B651,"yyyymmdd")&amp;"-"&amp;SUBSTITUTE($F651," ","")&amp;"-"&amp;TEXT(COUNTIF($F$4:F651,$F651),"00"))</f>
        <v/>
      </c>
      <c r="C651" t="str">
        <f t="shared" si="80"/>
        <v/>
      </c>
      <c r="D651" t="str">
        <f t="shared" si="81"/>
        <v/>
      </c>
      <c r="G651" t="str">
        <f>IF(OR($E651="",$F651=""),"",IFERROR(IF($E651=INDEX(Cluster_Master!$A$4:$A$18,MATCH($F651,Cluster_Master!$B$4:$B$18,0)),"OK","CHECK"),"CHECK"))</f>
        <v/>
      </c>
      <c r="H651" t="str">
        <f>IFERROR(INDEX(Cluster_Master!$C$4:$C$18,MATCH($F651,Cluster_Master!$B$4:$B$18,0)),"")</f>
        <v/>
      </c>
      <c r="I651" t="str">
        <f>IFERROR(INDEX(Cluster_Master!$D$4:$D$18,MATCH($F651,Cluster_Master!$B$4:$B$18,0)),"")</f>
        <v/>
      </c>
      <c r="J651" t="str">
        <f>IFERROR(INDEX(Cluster_Master!$E$4:$E$18,MATCH($F651,Cluster_Master!$B$4:$B$18,0)),"")</f>
        <v/>
      </c>
      <c r="K651" t="str">
        <f>IFERROR(INDEX(Cluster_Master!$F$4:$F$18,MATCH($F651,Cluster_Master!$B$4:$B$18,0)),"")</f>
        <v/>
      </c>
      <c r="L651" t="str">
        <f>IFERROR(INDEX(Cluster_Master!$G$4:$G$18,MATCH($F651,Cluster_Master!$B$4:$B$18,0)),"")</f>
        <v/>
      </c>
      <c r="M651" t="str">
        <f>IFERROR(INDEX(Cluster_Master!$H$4:$H$18,MATCH($F651,Cluster_Master!$B$4:$B$18,0)),"")</f>
        <v/>
      </c>
      <c r="AI651" t="str">
        <f t="shared" si="82"/>
        <v/>
      </c>
      <c r="AJ651" t="str">
        <f t="shared" si="83"/>
        <v/>
      </c>
      <c r="AK651" t="str">
        <f>IF(COUNTA(T651:AH651)=0,"",(SUM(T651*KPI_Weights!$B$4,U651*KPI_Weights!$B$5,V651*KPI_Weights!$B$6,W651*KPI_Weights!$B$7,X651*KPI_Weights!$B$8,Y651*KPI_Weights!$B$9,Z651*KPI_Weights!$B$10,AA651*KPI_Weights!$B$11,AB651*KPI_Weights!$B$12,AC651*KPI_Weights!$B$13,AD651*KPI_Weights!$B$14,AE651*KPI_Weights!$B$15,AF651*KPI_Weights!$B$16,AG651*KPI_Weights!$B$17,AH651*KPI_Weights!$B$18))/5)</f>
        <v/>
      </c>
      <c r="AL651" t="str">
        <f t="shared" si="84"/>
        <v/>
      </c>
      <c r="AM651" t="str">
        <f t="shared" si="85"/>
        <v/>
      </c>
      <c r="AN651" t="str">
        <f t="shared" si="86"/>
        <v/>
      </c>
    </row>
    <row r="652" spans="1:40" ht="15" customHeight="1" x14ac:dyDescent="0.2">
      <c r="A652" t="str">
        <f>IF($B652="","",TEXT($B652,"yyyymmdd")&amp;"-"&amp;SUBSTITUTE($F652," ","")&amp;"-"&amp;TEXT(COUNTIF($F$4:F652,$F652),"00"))</f>
        <v/>
      </c>
      <c r="C652" t="str">
        <f t="shared" si="80"/>
        <v/>
      </c>
      <c r="D652" t="str">
        <f t="shared" si="81"/>
        <v/>
      </c>
      <c r="G652" t="str">
        <f>IF(OR($E652="",$F652=""),"",IFERROR(IF($E652=INDEX(Cluster_Master!$A$4:$A$18,MATCH($F652,Cluster_Master!$B$4:$B$18,0)),"OK","CHECK"),"CHECK"))</f>
        <v/>
      </c>
      <c r="H652" t="str">
        <f>IFERROR(INDEX(Cluster_Master!$C$4:$C$18,MATCH($F652,Cluster_Master!$B$4:$B$18,0)),"")</f>
        <v/>
      </c>
      <c r="I652" t="str">
        <f>IFERROR(INDEX(Cluster_Master!$D$4:$D$18,MATCH($F652,Cluster_Master!$B$4:$B$18,0)),"")</f>
        <v/>
      </c>
      <c r="J652" t="str">
        <f>IFERROR(INDEX(Cluster_Master!$E$4:$E$18,MATCH($F652,Cluster_Master!$B$4:$B$18,0)),"")</f>
        <v/>
      </c>
      <c r="K652" t="str">
        <f>IFERROR(INDEX(Cluster_Master!$F$4:$F$18,MATCH($F652,Cluster_Master!$B$4:$B$18,0)),"")</f>
        <v/>
      </c>
      <c r="L652" t="str">
        <f>IFERROR(INDEX(Cluster_Master!$G$4:$G$18,MATCH($F652,Cluster_Master!$B$4:$B$18,0)),"")</f>
        <v/>
      </c>
      <c r="M652" t="str">
        <f>IFERROR(INDEX(Cluster_Master!$H$4:$H$18,MATCH($F652,Cluster_Master!$B$4:$B$18,0)),"")</f>
        <v/>
      </c>
      <c r="AI652" t="str">
        <f t="shared" si="82"/>
        <v/>
      </c>
      <c r="AJ652" t="str">
        <f t="shared" si="83"/>
        <v/>
      </c>
      <c r="AK652" t="str">
        <f>IF(COUNTA(T652:AH652)=0,"",(SUM(T652*KPI_Weights!$B$4,U652*KPI_Weights!$B$5,V652*KPI_Weights!$B$6,W652*KPI_Weights!$B$7,X652*KPI_Weights!$B$8,Y652*KPI_Weights!$B$9,Z652*KPI_Weights!$B$10,AA652*KPI_Weights!$B$11,AB652*KPI_Weights!$B$12,AC652*KPI_Weights!$B$13,AD652*KPI_Weights!$B$14,AE652*KPI_Weights!$B$15,AF652*KPI_Weights!$B$16,AG652*KPI_Weights!$B$17,AH652*KPI_Weights!$B$18))/5)</f>
        <v/>
      </c>
      <c r="AL652" t="str">
        <f t="shared" si="84"/>
        <v/>
      </c>
      <c r="AM652" t="str">
        <f t="shared" si="85"/>
        <v/>
      </c>
      <c r="AN652" t="str">
        <f t="shared" si="86"/>
        <v/>
      </c>
    </row>
    <row r="653" spans="1:40" ht="15" customHeight="1" x14ac:dyDescent="0.2">
      <c r="A653" t="str">
        <f>IF($B653="","",TEXT($B653,"yyyymmdd")&amp;"-"&amp;SUBSTITUTE($F653," ","")&amp;"-"&amp;TEXT(COUNTIF($F$4:F653,$F653),"00"))</f>
        <v/>
      </c>
      <c r="C653" t="str">
        <f t="shared" si="80"/>
        <v/>
      </c>
      <c r="D653" t="str">
        <f t="shared" si="81"/>
        <v/>
      </c>
      <c r="G653" t="str">
        <f>IF(OR($E653="",$F653=""),"",IFERROR(IF($E653=INDEX(Cluster_Master!$A$4:$A$18,MATCH($F653,Cluster_Master!$B$4:$B$18,0)),"OK","CHECK"),"CHECK"))</f>
        <v/>
      </c>
      <c r="H653" t="str">
        <f>IFERROR(INDEX(Cluster_Master!$C$4:$C$18,MATCH($F653,Cluster_Master!$B$4:$B$18,0)),"")</f>
        <v/>
      </c>
      <c r="I653" t="str">
        <f>IFERROR(INDEX(Cluster_Master!$D$4:$D$18,MATCH($F653,Cluster_Master!$B$4:$B$18,0)),"")</f>
        <v/>
      </c>
      <c r="J653" t="str">
        <f>IFERROR(INDEX(Cluster_Master!$E$4:$E$18,MATCH($F653,Cluster_Master!$B$4:$B$18,0)),"")</f>
        <v/>
      </c>
      <c r="K653" t="str">
        <f>IFERROR(INDEX(Cluster_Master!$F$4:$F$18,MATCH($F653,Cluster_Master!$B$4:$B$18,0)),"")</f>
        <v/>
      </c>
      <c r="L653" t="str">
        <f>IFERROR(INDEX(Cluster_Master!$G$4:$G$18,MATCH($F653,Cluster_Master!$B$4:$B$18,0)),"")</f>
        <v/>
      </c>
      <c r="M653" t="str">
        <f>IFERROR(INDEX(Cluster_Master!$H$4:$H$18,MATCH($F653,Cluster_Master!$B$4:$B$18,0)),"")</f>
        <v/>
      </c>
      <c r="AI653" t="str">
        <f t="shared" si="82"/>
        <v/>
      </c>
      <c r="AJ653" t="str">
        <f t="shared" si="83"/>
        <v/>
      </c>
      <c r="AK653" t="str">
        <f>IF(COUNTA(T653:AH653)=0,"",(SUM(T653*KPI_Weights!$B$4,U653*KPI_Weights!$B$5,V653*KPI_Weights!$B$6,W653*KPI_Weights!$B$7,X653*KPI_Weights!$B$8,Y653*KPI_Weights!$B$9,Z653*KPI_Weights!$B$10,AA653*KPI_Weights!$B$11,AB653*KPI_Weights!$B$12,AC653*KPI_Weights!$B$13,AD653*KPI_Weights!$B$14,AE653*KPI_Weights!$B$15,AF653*KPI_Weights!$B$16,AG653*KPI_Weights!$B$17,AH653*KPI_Weights!$B$18))/5)</f>
        <v/>
      </c>
      <c r="AL653" t="str">
        <f t="shared" si="84"/>
        <v/>
      </c>
      <c r="AM653" t="str">
        <f t="shared" si="85"/>
        <v/>
      </c>
      <c r="AN653" t="str">
        <f t="shared" si="86"/>
        <v/>
      </c>
    </row>
    <row r="654" spans="1:40" ht="15" customHeight="1" x14ac:dyDescent="0.2">
      <c r="A654" t="str">
        <f>IF($B654="","",TEXT($B654,"yyyymmdd")&amp;"-"&amp;SUBSTITUTE($F654," ","")&amp;"-"&amp;TEXT(COUNTIF($F$4:F654,$F654),"00"))</f>
        <v/>
      </c>
      <c r="C654" t="str">
        <f t="shared" si="80"/>
        <v/>
      </c>
      <c r="D654" t="str">
        <f t="shared" si="81"/>
        <v/>
      </c>
      <c r="G654" t="str">
        <f>IF(OR($E654="",$F654=""),"",IFERROR(IF($E654=INDEX(Cluster_Master!$A$4:$A$18,MATCH($F654,Cluster_Master!$B$4:$B$18,0)),"OK","CHECK"),"CHECK"))</f>
        <v/>
      </c>
      <c r="H654" t="str">
        <f>IFERROR(INDEX(Cluster_Master!$C$4:$C$18,MATCH($F654,Cluster_Master!$B$4:$B$18,0)),"")</f>
        <v/>
      </c>
      <c r="I654" t="str">
        <f>IFERROR(INDEX(Cluster_Master!$D$4:$D$18,MATCH($F654,Cluster_Master!$B$4:$B$18,0)),"")</f>
        <v/>
      </c>
      <c r="J654" t="str">
        <f>IFERROR(INDEX(Cluster_Master!$E$4:$E$18,MATCH($F654,Cluster_Master!$B$4:$B$18,0)),"")</f>
        <v/>
      </c>
      <c r="K654" t="str">
        <f>IFERROR(INDEX(Cluster_Master!$F$4:$F$18,MATCH($F654,Cluster_Master!$B$4:$B$18,0)),"")</f>
        <v/>
      </c>
      <c r="L654" t="str">
        <f>IFERROR(INDEX(Cluster_Master!$G$4:$G$18,MATCH($F654,Cluster_Master!$B$4:$B$18,0)),"")</f>
        <v/>
      </c>
      <c r="M654" t="str">
        <f>IFERROR(INDEX(Cluster_Master!$H$4:$H$18,MATCH($F654,Cluster_Master!$B$4:$B$18,0)),"")</f>
        <v/>
      </c>
      <c r="AI654" t="str">
        <f t="shared" si="82"/>
        <v/>
      </c>
      <c r="AJ654" t="str">
        <f t="shared" si="83"/>
        <v/>
      </c>
      <c r="AK654" t="str">
        <f>IF(COUNTA(T654:AH654)=0,"",(SUM(T654*KPI_Weights!$B$4,U654*KPI_Weights!$B$5,V654*KPI_Weights!$B$6,W654*KPI_Weights!$B$7,X654*KPI_Weights!$B$8,Y654*KPI_Weights!$B$9,Z654*KPI_Weights!$B$10,AA654*KPI_Weights!$B$11,AB654*KPI_Weights!$B$12,AC654*KPI_Weights!$B$13,AD654*KPI_Weights!$B$14,AE654*KPI_Weights!$B$15,AF654*KPI_Weights!$B$16,AG654*KPI_Weights!$B$17,AH654*KPI_Weights!$B$18))/5)</f>
        <v/>
      </c>
      <c r="AL654" t="str">
        <f t="shared" si="84"/>
        <v/>
      </c>
      <c r="AM654" t="str">
        <f t="shared" si="85"/>
        <v/>
      </c>
      <c r="AN654" t="str">
        <f t="shared" si="86"/>
        <v/>
      </c>
    </row>
    <row r="655" spans="1:40" ht="15" customHeight="1" x14ac:dyDescent="0.2">
      <c r="A655" t="str">
        <f>IF($B655="","",TEXT($B655,"yyyymmdd")&amp;"-"&amp;SUBSTITUTE($F655," ","")&amp;"-"&amp;TEXT(COUNTIF($F$4:F655,$F655),"00"))</f>
        <v/>
      </c>
      <c r="C655" t="str">
        <f t="shared" si="80"/>
        <v/>
      </c>
      <c r="D655" t="str">
        <f t="shared" si="81"/>
        <v/>
      </c>
      <c r="G655" t="str">
        <f>IF(OR($E655="",$F655=""),"",IFERROR(IF($E655=INDEX(Cluster_Master!$A$4:$A$18,MATCH($F655,Cluster_Master!$B$4:$B$18,0)),"OK","CHECK"),"CHECK"))</f>
        <v/>
      </c>
      <c r="H655" t="str">
        <f>IFERROR(INDEX(Cluster_Master!$C$4:$C$18,MATCH($F655,Cluster_Master!$B$4:$B$18,0)),"")</f>
        <v/>
      </c>
      <c r="I655" t="str">
        <f>IFERROR(INDEX(Cluster_Master!$D$4:$D$18,MATCH($F655,Cluster_Master!$B$4:$B$18,0)),"")</f>
        <v/>
      </c>
      <c r="J655" t="str">
        <f>IFERROR(INDEX(Cluster_Master!$E$4:$E$18,MATCH($F655,Cluster_Master!$B$4:$B$18,0)),"")</f>
        <v/>
      </c>
      <c r="K655" t="str">
        <f>IFERROR(INDEX(Cluster_Master!$F$4:$F$18,MATCH($F655,Cluster_Master!$B$4:$B$18,0)),"")</f>
        <v/>
      </c>
      <c r="L655" t="str">
        <f>IFERROR(INDEX(Cluster_Master!$G$4:$G$18,MATCH($F655,Cluster_Master!$B$4:$B$18,0)),"")</f>
        <v/>
      </c>
      <c r="M655" t="str">
        <f>IFERROR(INDEX(Cluster_Master!$H$4:$H$18,MATCH($F655,Cluster_Master!$B$4:$B$18,0)),"")</f>
        <v/>
      </c>
      <c r="AI655" t="str">
        <f t="shared" si="82"/>
        <v/>
      </c>
      <c r="AJ655" t="str">
        <f t="shared" si="83"/>
        <v/>
      </c>
      <c r="AK655" t="str">
        <f>IF(COUNTA(T655:AH655)=0,"",(SUM(T655*KPI_Weights!$B$4,U655*KPI_Weights!$B$5,V655*KPI_Weights!$B$6,W655*KPI_Weights!$B$7,X655*KPI_Weights!$B$8,Y655*KPI_Weights!$B$9,Z655*KPI_Weights!$B$10,AA655*KPI_Weights!$B$11,AB655*KPI_Weights!$B$12,AC655*KPI_Weights!$B$13,AD655*KPI_Weights!$B$14,AE655*KPI_Weights!$B$15,AF655*KPI_Weights!$B$16,AG655*KPI_Weights!$B$17,AH655*KPI_Weights!$B$18))/5)</f>
        <v/>
      </c>
      <c r="AL655" t="str">
        <f t="shared" si="84"/>
        <v/>
      </c>
      <c r="AM655" t="str">
        <f t="shared" si="85"/>
        <v/>
      </c>
      <c r="AN655" t="str">
        <f t="shared" si="86"/>
        <v/>
      </c>
    </row>
    <row r="656" spans="1:40" ht="15" customHeight="1" x14ac:dyDescent="0.2">
      <c r="A656" t="str">
        <f>IF($B656="","",TEXT($B656,"yyyymmdd")&amp;"-"&amp;SUBSTITUTE($F656," ","")&amp;"-"&amp;TEXT(COUNTIF($F$4:F656,$F656),"00"))</f>
        <v/>
      </c>
      <c r="C656" t="str">
        <f t="shared" si="80"/>
        <v/>
      </c>
      <c r="D656" t="str">
        <f t="shared" si="81"/>
        <v/>
      </c>
      <c r="G656" t="str">
        <f>IF(OR($E656="",$F656=""),"",IFERROR(IF($E656=INDEX(Cluster_Master!$A$4:$A$18,MATCH($F656,Cluster_Master!$B$4:$B$18,0)),"OK","CHECK"),"CHECK"))</f>
        <v/>
      </c>
      <c r="H656" t="str">
        <f>IFERROR(INDEX(Cluster_Master!$C$4:$C$18,MATCH($F656,Cluster_Master!$B$4:$B$18,0)),"")</f>
        <v/>
      </c>
      <c r="I656" t="str">
        <f>IFERROR(INDEX(Cluster_Master!$D$4:$D$18,MATCH($F656,Cluster_Master!$B$4:$B$18,0)),"")</f>
        <v/>
      </c>
      <c r="J656" t="str">
        <f>IFERROR(INDEX(Cluster_Master!$E$4:$E$18,MATCH($F656,Cluster_Master!$B$4:$B$18,0)),"")</f>
        <v/>
      </c>
      <c r="K656" t="str">
        <f>IFERROR(INDEX(Cluster_Master!$F$4:$F$18,MATCH($F656,Cluster_Master!$B$4:$B$18,0)),"")</f>
        <v/>
      </c>
      <c r="L656" t="str">
        <f>IFERROR(INDEX(Cluster_Master!$G$4:$G$18,MATCH($F656,Cluster_Master!$B$4:$B$18,0)),"")</f>
        <v/>
      </c>
      <c r="M656" t="str">
        <f>IFERROR(INDEX(Cluster_Master!$H$4:$H$18,MATCH($F656,Cluster_Master!$B$4:$B$18,0)),"")</f>
        <v/>
      </c>
      <c r="AI656" t="str">
        <f t="shared" si="82"/>
        <v/>
      </c>
      <c r="AJ656" t="str">
        <f t="shared" si="83"/>
        <v/>
      </c>
      <c r="AK656" t="str">
        <f>IF(COUNTA(T656:AH656)=0,"",(SUM(T656*KPI_Weights!$B$4,U656*KPI_Weights!$B$5,V656*KPI_Weights!$B$6,W656*KPI_Weights!$B$7,X656*KPI_Weights!$B$8,Y656*KPI_Weights!$B$9,Z656*KPI_Weights!$B$10,AA656*KPI_Weights!$B$11,AB656*KPI_Weights!$B$12,AC656*KPI_Weights!$B$13,AD656*KPI_Weights!$B$14,AE656*KPI_Weights!$B$15,AF656*KPI_Weights!$B$16,AG656*KPI_Weights!$B$17,AH656*KPI_Weights!$B$18))/5)</f>
        <v/>
      </c>
      <c r="AL656" t="str">
        <f t="shared" si="84"/>
        <v/>
      </c>
      <c r="AM656" t="str">
        <f t="shared" si="85"/>
        <v/>
      </c>
      <c r="AN656" t="str">
        <f t="shared" si="86"/>
        <v/>
      </c>
    </row>
    <row r="657" spans="1:40" ht="15" customHeight="1" x14ac:dyDescent="0.2">
      <c r="A657" t="str">
        <f>IF($B657="","",TEXT($B657,"yyyymmdd")&amp;"-"&amp;SUBSTITUTE($F657," ","")&amp;"-"&amp;TEXT(COUNTIF($F$4:F657,$F657),"00"))</f>
        <v/>
      </c>
      <c r="C657" t="str">
        <f t="shared" si="80"/>
        <v/>
      </c>
      <c r="D657" t="str">
        <f t="shared" si="81"/>
        <v/>
      </c>
      <c r="G657" t="str">
        <f>IF(OR($E657="",$F657=""),"",IFERROR(IF($E657=INDEX(Cluster_Master!$A$4:$A$18,MATCH($F657,Cluster_Master!$B$4:$B$18,0)),"OK","CHECK"),"CHECK"))</f>
        <v/>
      </c>
      <c r="H657" t="str">
        <f>IFERROR(INDEX(Cluster_Master!$C$4:$C$18,MATCH($F657,Cluster_Master!$B$4:$B$18,0)),"")</f>
        <v/>
      </c>
      <c r="I657" t="str">
        <f>IFERROR(INDEX(Cluster_Master!$D$4:$D$18,MATCH($F657,Cluster_Master!$B$4:$B$18,0)),"")</f>
        <v/>
      </c>
      <c r="J657" t="str">
        <f>IFERROR(INDEX(Cluster_Master!$E$4:$E$18,MATCH($F657,Cluster_Master!$B$4:$B$18,0)),"")</f>
        <v/>
      </c>
      <c r="K657" t="str">
        <f>IFERROR(INDEX(Cluster_Master!$F$4:$F$18,MATCH($F657,Cluster_Master!$B$4:$B$18,0)),"")</f>
        <v/>
      </c>
      <c r="L657" t="str">
        <f>IFERROR(INDEX(Cluster_Master!$G$4:$G$18,MATCH($F657,Cluster_Master!$B$4:$B$18,0)),"")</f>
        <v/>
      </c>
      <c r="M657" t="str">
        <f>IFERROR(INDEX(Cluster_Master!$H$4:$H$18,MATCH($F657,Cluster_Master!$B$4:$B$18,0)),"")</f>
        <v/>
      </c>
      <c r="AI657" t="str">
        <f t="shared" si="82"/>
        <v/>
      </c>
      <c r="AJ657" t="str">
        <f t="shared" si="83"/>
        <v/>
      </c>
      <c r="AK657" t="str">
        <f>IF(COUNTA(T657:AH657)=0,"",(SUM(T657*KPI_Weights!$B$4,U657*KPI_Weights!$B$5,V657*KPI_Weights!$B$6,W657*KPI_Weights!$B$7,X657*KPI_Weights!$B$8,Y657*KPI_Weights!$B$9,Z657*KPI_Weights!$B$10,AA657*KPI_Weights!$B$11,AB657*KPI_Weights!$B$12,AC657*KPI_Weights!$B$13,AD657*KPI_Weights!$B$14,AE657*KPI_Weights!$B$15,AF657*KPI_Weights!$B$16,AG657*KPI_Weights!$B$17,AH657*KPI_Weights!$B$18))/5)</f>
        <v/>
      </c>
      <c r="AL657" t="str">
        <f t="shared" si="84"/>
        <v/>
      </c>
      <c r="AM657" t="str">
        <f t="shared" si="85"/>
        <v/>
      </c>
      <c r="AN657" t="str">
        <f t="shared" si="86"/>
        <v/>
      </c>
    </row>
    <row r="658" spans="1:40" ht="15" customHeight="1" x14ac:dyDescent="0.2">
      <c r="A658" t="str">
        <f>IF($B658="","",TEXT($B658,"yyyymmdd")&amp;"-"&amp;SUBSTITUTE($F658," ","")&amp;"-"&amp;TEXT(COUNTIF($F$4:F658,$F658),"00"))</f>
        <v/>
      </c>
      <c r="C658" t="str">
        <f t="shared" si="80"/>
        <v/>
      </c>
      <c r="D658" t="str">
        <f t="shared" si="81"/>
        <v/>
      </c>
      <c r="G658" t="str">
        <f>IF(OR($E658="",$F658=""),"",IFERROR(IF($E658=INDEX(Cluster_Master!$A$4:$A$18,MATCH($F658,Cluster_Master!$B$4:$B$18,0)),"OK","CHECK"),"CHECK"))</f>
        <v/>
      </c>
      <c r="H658" t="str">
        <f>IFERROR(INDEX(Cluster_Master!$C$4:$C$18,MATCH($F658,Cluster_Master!$B$4:$B$18,0)),"")</f>
        <v/>
      </c>
      <c r="I658" t="str">
        <f>IFERROR(INDEX(Cluster_Master!$D$4:$D$18,MATCH($F658,Cluster_Master!$B$4:$B$18,0)),"")</f>
        <v/>
      </c>
      <c r="J658" t="str">
        <f>IFERROR(INDEX(Cluster_Master!$E$4:$E$18,MATCH($F658,Cluster_Master!$B$4:$B$18,0)),"")</f>
        <v/>
      </c>
      <c r="K658" t="str">
        <f>IFERROR(INDEX(Cluster_Master!$F$4:$F$18,MATCH($F658,Cluster_Master!$B$4:$B$18,0)),"")</f>
        <v/>
      </c>
      <c r="L658" t="str">
        <f>IFERROR(INDEX(Cluster_Master!$G$4:$G$18,MATCH($F658,Cluster_Master!$B$4:$B$18,0)),"")</f>
        <v/>
      </c>
      <c r="M658" t="str">
        <f>IFERROR(INDEX(Cluster_Master!$H$4:$H$18,MATCH($F658,Cluster_Master!$B$4:$B$18,0)),"")</f>
        <v/>
      </c>
      <c r="AI658" t="str">
        <f t="shared" si="82"/>
        <v/>
      </c>
      <c r="AJ658" t="str">
        <f t="shared" si="83"/>
        <v/>
      </c>
      <c r="AK658" t="str">
        <f>IF(COUNTA(T658:AH658)=0,"",(SUM(T658*KPI_Weights!$B$4,U658*KPI_Weights!$B$5,V658*KPI_Weights!$B$6,W658*KPI_Weights!$B$7,X658*KPI_Weights!$B$8,Y658*KPI_Weights!$B$9,Z658*KPI_Weights!$B$10,AA658*KPI_Weights!$B$11,AB658*KPI_Weights!$B$12,AC658*KPI_Weights!$B$13,AD658*KPI_Weights!$B$14,AE658*KPI_Weights!$B$15,AF658*KPI_Weights!$B$16,AG658*KPI_Weights!$B$17,AH658*KPI_Weights!$B$18))/5)</f>
        <v/>
      </c>
      <c r="AL658" t="str">
        <f t="shared" si="84"/>
        <v/>
      </c>
      <c r="AM658" t="str">
        <f t="shared" si="85"/>
        <v/>
      </c>
      <c r="AN658" t="str">
        <f t="shared" si="86"/>
        <v/>
      </c>
    </row>
    <row r="659" spans="1:40" ht="15" customHeight="1" x14ac:dyDescent="0.2">
      <c r="A659" t="str">
        <f>IF($B659="","",TEXT($B659,"yyyymmdd")&amp;"-"&amp;SUBSTITUTE($F659," ","")&amp;"-"&amp;TEXT(COUNTIF($F$4:F659,$F659),"00"))</f>
        <v/>
      </c>
      <c r="C659" t="str">
        <f t="shared" si="80"/>
        <v/>
      </c>
      <c r="D659" t="str">
        <f t="shared" si="81"/>
        <v/>
      </c>
      <c r="G659" t="str">
        <f>IF(OR($E659="",$F659=""),"",IFERROR(IF($E659=INDEX(Cluster_Master!$A$4:$A$18,MATCH($F659,Cluster_Master!$B$4:$B$18,0)),"OK","CHECK"),"CHECK"))</f>
        <v/>
      </c>
      <c r="H659" t="str">
        <f>IFERROR(INDEX(Cluster_Master!$C$4:$C$18,MATCH($F659,Cluster_Master!$B$4:$B$18,0)),"")</f>
        <v/>
      </c>
      <c r="I659" t="str">
        <f>IFERROR(INDEX(Cluster_Master!$D$4:$D$18,MATCH($F659,Cluster_Master!$B$4:$B$18,0)),"")</f>
        <v/>
      </c>
      <c r="J659" t="str">
        <f>IFERROR(INDEX(Cluster_Master!$E$4:$E$18,MATCH($F659,Cluster_Master!$B$4:$B$18,0)),"")</f>
        <v/>
      </c>
      <c r="K659" t="str">
        <f>IFERROR(INDEX(Cluster_Master!$F$4:$F$18,MATCH($F659,Cluster_Master!$B$4:$B$18,0)),"")</f>
        <v/>
      </c>
      <c r="L659" t="str">
        <f>IFERROR(INDEX(Cluster_Master!$G$4:$G$18,MATCH($F659,Cluster_Master!$B$4:$B$18,0)),"")</f>
        <v/>
      </c>
      <c r="M659" t="str">
        <f>IFERROR(INDEX(Cluster_Master!$H$4:$H$18,MATCH($F659,Cluster_Master!$B$4:$B$18,0)),"")</f>
        <v/>
      </c>
      <c r="AI659" t="str">
        <f t="shared" si="82"/>
        <v/>
      </c>
      <c r="AJ659" t="str">
        <f t="shared" si="83"/>
        <v/>
      </c>
      <c r="AK659" t="str">
        <f>IF(COUNTA(T659:AH659)=0,"",(SUM(T659*KPI_Weights!$B$4,U659*KPI_Weights!$B$5,V659*KPI_Weights!$B$6,W659*KPI_Weights!$B$7,X659*KPI_Weights!$B$8,Y659*KPI_Weights!$B$9,Z659*KPI_Weights!$B$10,AA659*KPI_Weights!$B$11,AB659*KPI_Weights!$B$12,AC659*KPI_Weights!$B$13,AD659*KPI_Weights!$B$14,AE659*KPI_Weights!$B$15,AF659*KPI_Weights!$B$16,AG659*KPI_Weights!$B$17,AH659*KPI_Weights!$B$18))/5)</f>
        <v/>
      </c>
      <c r="AL659" t="str">
        <f t="shared" si="84"/>
        <v/>
      </c>
      <c r="AM659" t="str">
        <f t="shared" si="85"/>
        <v/>
      </c>
      <c r="AN659" t="str">
        <f t="shared" si="86"/>
        <v/>
      </c>
    </row>
    <row r="660" spans="1:40" ht="15" customHeight="1" x14ac:dyDescent="0.2">
      <c r="A660" t="str">
        <f>IF($B660="","",TEXT($B660,"yyyymmdd")&amp;"-"&amp;SUBSTITUTE($F660," ","")&amp;"-"&amp;TEXT(COUNTIF($F$4:F660,$F660),"00"))</f>
        <v/>
      </c>
      <c r="C660" t="str">
        <f t="shared" si="80"/>
        <v/>
      </c>
      <c r="D660" t="str">
        <f t="shared" si="81"/>
        <v/>
      </c>
      <c r="G660" t="str">
        <f>IF(OR($E660="",$F660=""),"",IFERROR(IF($E660=INDEX(Cluster_Master!$A$4:$A$18,MATCH($F660,Cluster_Master!$B$4:$B$18,0)),"OK","CHECK"),"CHECK"))</f>
        <v/>
      </c>
      <c r="H660" t="str">
        <f>IFERROR(INDEX(Cluster_Master!$C$4:$C$18,MATCH($F660,Cluster_Master!$B$4:$B$18,0)),"")</f>
        <v/>
      </c>
      <c r="I660" t="str">
        <f>IFERROR(INDEX(Cluster_Master!$D$4:$D$18,MATCH($F660,Cluster_Master!$B$4:$B$18,0)),"")</f>
        <v/>
      </c>
      <c r="J660" t="str">
        <f>IFERROR(INDEX(Cluster_Master!$E$4:$E$18,MATCH($F660,Cluster_Master!$B$4:$B$18,0)),"")</f>
        <v/>
      </c>
      <c r="K660" t="str">
        <f>IFERROR(INDEX(Cluster_Master!$F$4:$F$18,MATCH($F660,Cluster_Master!$B$4:$B$18,0)),"")</f>
        <v/>
      </c>
      <c r="L660" t="str">
        <f>IFERROR(INDEX(Cluster_Master!$G$4:$G$18,MATCH($F660,Cluster_Master!$B$4:$B$18,0)),"")</f>
        <v/>
      </c>
      <c r="M660" t="str">
        <f>IFERROR(INDEX(Cluster_Master!$H$4:$H$18,MATCH($F660,Cluster_Master!$B$4:$B$18,0)),"")</f>
        <v/>
      </c>
      <c r="AI660" t="str">
        <f t="shared" si="82"/>
        <v/>
      </c>
      <c r="AJ660" t="str">
        <f t="shared" si="83"/>
        <v/>
      </c>
      <c r="AK660" t="str">
        <f>IF(COUNTA(T660:AH660)=0,"",(SUM(T660*KPI_Weights!$B$4,U660*KPI_Weights!$B$5,V660*KPI_Weights!$B$6,W660*KPI_Weights!$B$7,X660*KPI_Weights!$B$8,Y660*KPI_Weights!$B$9,Z660*KPI_Weights!$B$10,AA660*KPI_Weights!$B$11,AB660*KPI_Weights!$B$12,AC660*KPI_Weights!$B$13,AD660*KPI_Weights!$B$14,AE660*KPI_Weights!$B$15,AF660*KPI_Weights!$B$16,AG660*KPI_Weights!$B$17,AH660*KPI_Weights!$B$18))/5)</f>
        <v/>
      </c>
      <c r="AL660" t="str">
        <f t="shared" si="84"/>
        <v/>
      </c>
      <c r="AM660" t="str">
        <f t="shared" si="85"/>
        <v/>
      </c>
      <c r="AN660" t="str">
        <f t="shared" si="86"/>
        <v/>
      </c>
    </row>
    <row r="661" spans="1:40" ht="15" customHeight="1" x14ac:dyDescent="0.2">
      <c r="A661" t="str">
        <f>IF($B661="","",TEXT($B661,"yyyymmdd")&amp;"-"&amp;SUBSTITUTE($F661," ","")&amp;"-"&amp;TEXT(COUNTIF($F$4:F661,$F661),"00"))</f>
        <v/>
      </c>
      <c r="C661" t="str">
        <f t="shared" si="80"/>
        <v/>
      </c>
      <c r="D661" t="str">
        <f t="shared" si="81"/>
        <v/>
      </c>
      <c r="G661" t="str">
        <f>IF(OR($E661="",$F661=""),"",IFERROR(IF($E661=INDEX(Cluster_Master!$A$4:$A$18,MATCH($F661,Cluster_Master!$B$4:$B$18,0)),"OK","CHECK"),"CHECK"))</f>
        <v/>
      </c>
      <c r="H661" t="str">
        <f>IFERROR(INDEX(Cluster_Master!$C$4:$C$18,MATCH($F661,Cluster_Master!$B$4:$B$18,0)),"")</f>
        <v/>
      </c>
      <c r="I661" t="str">
        <f>IFERROR(INDEX(Cluster_Master!$D$4:$D$18,MATCH($F661,Cluster_Master!$B$4:$B$18,0)),"")</f>
        <v/>
      </c>
      <c r="J661" t="str">
        <f>IFERROR(INDEX(Cluster_Master!$E$4:$E$18,MATCH($F661,Cluster_Master!$B$4:$B$18,0)),"")</f>
        <v/>
      </c>
      <c r="K661" t="str">
        <f>IFERROR(INDEX(Cluster_Master!$F$4:$F$18,MATCH($F661,Cluster_Master!$B$4:$B$18,0)),"")</f>
        <v/>
      </c>
      <c r="L661" t="str">
        <f>IFERROR(INDEX(Cluster_Master!$G$4:$G$18,MATCH($F661,Cluster_Master!$B$4:$B$18,0)),"")</f>
        <v/>
      </c>
      <c r="M661" t="str">
        <f>IFERROR(INDEX(Cluster_Master!$H$4:$H$18,MATCH($F661,Cluster_Master!$B$4:$B$18,0)),"")</f>
        <v/>
      </c>
      <c r="AI661" t="str">
        <f t="shared" si="82"/>
        <v/>
      </c>
      <c r="AJ661" t="str">
        <f t="shared" si="83"/>
        <v/>
      </c>
      <c r="AK661" t="str">
        <f>IF(COUNTA(T661:AH661)=0,"",(SUM(T661*KPI_Weights!$B$4,U661*KPI_Weights!$B$5,V661*KPI_Weights!$B$6,W661*KPI_Weights!$B$7,X661*KPI_Weights!$B$8,Y661*KPI_Weights!$B$9,Z661*KPI_Weights!$B$10,AA661*KPI_Weights!$B$11,AB661*KPI_Weights!$B$12,AC661*KPI_Weights!$B$13,AD661*KPI_Weights!$B$14,AE661*KPI_Weights!$B$15,AF661*KPI_Weights!$B$16,AG661*KPI_Weights!$B$17,AH661*KPI_Weights!$B$18))/5)</f>
        <v/>
      </c>
      <c r="AL661" t="str">
        <f t="shared" si="84"/>
        <v/>
      </c>
      <c r="AM661" t="str">
        <f t="shared" si="85"/>
        <v/>
      </c>
      <c r="AN661" t="str">
        <f t="shared" si="86"/>
        <v/>
      </c>
    </row>
    <row r="662" spans="1:40" ht="15" customHeight="1" x14ac:dyDescent="0.2">
      <c r="A662" t="str">
        <f>IF($B662="","",TEXT($B662,"yyyymmdd")&amp;"-"&amp;SUBSTITUTE($F662," ","")&amp;"-"&amp;TEXT(COUNTIF($F$4:F662,$F662),"00"))</f>
        <v/>
      </c>
      <c r="C662" t="str">
        <f t="shared" si="80"/>
        <v/>
      </c>
      <c r="D662" t="str">
        <f t="shared" si="81"/>
        <v/>
      </c>
      <c r="G662" t="str">
        <f>IF(OR($E662="",$F662=""),"",IFERROR(IF($E662=INDEX(Cluster_Master!$A$4:$A$18,MATCH($F662,Cluster_Master!$B$4:$B$18,0)),"OK","CHECK"),"CHECK"))</f>
        <v/>
      </c>
      <c r="H662" t="str">
        <f>IFERROR(INDEX(Cluster_Master!$C$4:$C$18,MATCH($F662,Cluster_Master!$B$4:$B$18,0)),"")</f>
        <v/>
      </c>
      <c r="I662" t="str">
        <f>IFERROR(INDEX(Cluster_Master!$D$4:$D$18,MATCH($F662,Cluster_Master!$B$4:$B$18,0)),"")</f>
        <v/>
      </c>
      <c r="J662" t="str">
        <f>IFERROR(INDEX(Cluster_Master!$E$4:$E$18,MATCH($F662,Cluster_Master!$B$4:$B$18,0)),"")</f>
        <v/>
      </c>
      <c r="K662" t="str">
        <f>IFERROR(INDEX(Cluster_Master!$F$4:$F$18,MATCH($F662,Cluster_Master!$B$4:$B$18,0)),"")</f>
        <v/>
      </c>
      <c r="L662" t="str">
        <f>IFERROR(INDEX(Cluster_Master!$G$4:$G$18,MATCH($F662,Cluster_Master!$B$4:$B$18,0)),"")</f>
        <v/>
      </c>
      <c r="M662" t="str">
        <f>IFERROR(INDEX(Cluster_Master!$H$4:$H$18,MATCH($F662,Cluster_Master!$B$4:$B$18,0)),"")</f>
        <v/>
      </c>
      <c r="AI662" t="str">
        <f t="shared" si="82"/>
        <v/>
      </c>
      <c r="AJ662" t="str">
        <f t="shared" si="83"/>
        <v/>
      </c>
      <c r="AK662" t="str">
        <f>IF(COUNTA(T662:AH662)=0,"",(SUM(T662*KPI_Weights!$B$4,U662*KPI_Weights!$B$5,V662*KPI_Weights!$B$6,W662*KPI_Weights!$B$7,X662*KPI_Weights!$B$8,Y662*KPI_Weights!$B$9,Z662*KPI_Weights!$B$10,AA662*KPI_Weights!$B$11,AB662*KPI_Weights!$B$12,AC662*KPI_Weights!$B$13,AD662*KPI_Weights!$B$14,AE662*KPI_Weights!$B$15,AF662*KPI_Weights!$B$16,AG662*KPI_Weights!$B$17,AH662*KPI_Weights!$B$18))/5)</f>
        <v/>
      </c>
      <c r="AL662" t="str">
        <f t="shared" si="84"/>
        <v/>
      </c>
      <c r="AM662" t="str">
        <f t="shared" si="85"/>
        <v/>
      </c>
      <c r="AN662" t="str">
        <f t="shared" si="86"/>
        <v/>
      </c>
    </row>
    <row r="663" spans="1:40" ht="15" customHeight="1" x14ac:dyDescent="0.2">
      <c r="A663" t="str">
        <f>IF($B663="","",TEXT($B663,"yyyymmdd")&amp;"-"&amp;SUBSTITUTE($F663," ","")&amp;"-"&amp;TEXT(COUNTIF($F$4:F663,$F663),"00"))</f>
        <v/>
      </c>
      <c r="C663" t="str">
        <f t="shared" si="80"/>
        <v/>
      </c>
      <c r="D663" t="str">
        <f t="shared" si="81"/>
        <v/>
      </c>
      <c r="G663" t="str">
        <f>IF(OR($E663="",$F663=""),"",IFERROR(IF($E663=INDEX(Cluster_Master!$A$4:$A$18,MATCH($F663,Cluster_Master!$B$4:$B$18,0)),"OK","CHECK"),"CHECK"))</f>
        <v/>
      </c>
      <c r="H663" t="str">
        <f>IFERROR(INDEX(Cluster_Master!$C$4:$C$18,MATCH($F663,Cluster_Master!$B$4:$B$18,0)),"")</f>
        <v/>
      </c>
      <c r="I663" t="str">
        <f>IFERROR(INDEX(Cluster_Master!$D$4:$D$18,MATCH($F663,Cluster_Master!$B$4:$B$18,0)),"")</f>
        <v/>
      </c>
      <c r="J663" t="str">
        <f>IFERROR(INDEX(Cluster_Master!$E$4:$E$18,MATCH($F663,Cluster_Master!$B$4:$B$18,0)),"")</f>
        <v/>
      </c>
      <c r="K663" t="str">
        <f>IFERROR(INDEX(Cluster_Master!$F$4:$F$18,MATCH($F663,Cluster_Master!$B$4:$B$18,0)),"")</f>
        <v/>
      </c>
      <c r="L663" t="str">
        <f>IFERROR(INDEX(Cluster_Master!$G$4:$G$18,MATCH($F663,Cluster_Master!$B$4:$B$18,0)),"")</f>
        <v/>
      </c>
      <c r="M663" t="str">
        <f>IFERROR(INDEX(Cluster_Master!$H$4:$H$18,MATCH($F663,Cluster_Master!$B$4:$B$18,0)),"")</f>
        <v/>
      </c>
      <c r="AI663" t="str">
        <f t="shared" si="82"/>
        <v/>
      </c>
      <c r="AJ663" t="str">
        <f t="shared" si="83"/>
        <v/>
      </c>
      <c r="AK663" t="str">
        <f>IF(COUNTA(T663:AH663)=0,"",(SUM(T663*KPI_Weights!$B$4,U663*KPI_Weights!$B$5,V663*KPI_Weights!$B$6,W663*KPI_Weights!$B$7,X663*KPI_Weights!$B$8,Y663*KPI_Weights!$B$9,Z663*KPI_Weights!$B$10,AA663*KPI_Weights!$B$11,AB663*KPI_Weights!$B$12,AC663*KPI_Weights!$B$13,AD663*KPI_Weights!$B$14,AE663*KPI_Weights!$B$15,AF663*KPI_Weights!$B$16,AG663*KPI_Weights!$B$17,AH663*KPI_Weights!$B$18))/5)</f>
        <v/>
      </c>
      <c r="AL663" t="str">
        <f t="shared" si="84"/>
        <v/>
      </c>
      <c r="AM663" t="str">
        <f t="shared" si="85"/>
        <v/>
      </c>
      <c r="AN663" t="str">
        <f t="shared" si="86"/>
        <v/>
      </c>
    </row>
    <row r="664" spans="1:40" ht="15" customHeight="1" x14ac:dyDescent="0.2">
      <c r="A664" t="str">
        <f>IF($B664="","",TEXT($B664,"yyyymmdd")&amp;"-"&amp;SUBSTITUTE($F664," ","")&amp;"-"&amp;TEXT(COUNTIF($F$4:F664,$F664),"00"))</f>
        <v/>
      </c>
      <c r="C664" t="str">
        <f t="shared" si="80"/>
        <v/>
      </c>
      <c r="D664" t="str">
        <f t="shared" si="81"/>
        <v/>
      </c>
      <c r="G664" t="str">
        <f>IF(OR($E664="",$F664=""),"",IFERROR(IF($E664=INDEX(Cluster_Master!$A$4:$A$18,MATCH($F664,Cluster_Master!$B$4:$B$18,0)),"OK","CHECK"),"CHECK"))</f>
        <v/>
      </c>
      <c r="H664" t="str">
        <f>IFERROR(INDEX(Cluster_Master!$C$4:$C$18,MATCH($F664,Cluster_Master!$B$4:$B$18,0)),"")</f>
        <v/>
      </c>
      <c r="I664" t="str">
        <f>IFERROR(INDEX(Cluster_Master!$D$4:$D$18,MATCH($F664,Cluster_Master!$B$4:$B$18,0)),"")</f>
        <v/>
      </c>
      <c r="J664" t="str">
        <f>IFERROR(INDEX(Cluster_Master!$E$4:$E$18,MATCH($F664,Cluster_Master!$B$4:$B$18,0)),"")</f>
        <v/>
      </c>
      <c r="K664" t="str">
        <f>IFERROR(INDEX(Cluster_Master!$F$4:$F$18,MATCH($F664,Cluster_Master!$B$4:$B$18,0)),"")</f>
        <v/>
      </c>
      <c r="L664" t="str">
        <f>IFERROR(INDEX(Cluster_Master!$G$4:$G$18,MATCH($F664,Cluster_Master!$B$4:$B$18,0)),"")</f>
        <v/>
      </c>
      <c r="M664" t="str">
        <f>IFERROR(INDEX(Cluster_Master!$H$4:$H$18,MATCH($F664,Cluster_Master!$B$4:$B$18,0)),"")</f>
        <v/>
      </c>
      <c r="AI664" t="str">
        <f t="shared" si="82"/>
        <v/>
      </c>
      <c r="AJ664" t="str">
        <f t="shared" si="83"/>
        <v/>
      </c>
      <c r="AK664" t="str">
        <f>IF(COUNTA(T664:AH664)=0,"",(SUM(T664*KPI_Weights!$B$4,U664*KPI_Weights!$B$5,V664*KPI_Weights!$B$6,W664*KPI_Weights!$B$7,X664*KPI_Weights!$B$8,Y664*KPI_Weights!$B$9,Z664*KPI_Weights!$B$10,AA664*KPI_Weights!$B$11,AB664*KPI_Weights!$B$12,AC664*KPI_Weights!$B$13,AD664*KPI_Weights!$B$14,AE664*KPI_Weights!$B$15,AF664*KPI_Weights!$B$16,AG664*KPI_Weights!$B$17,AH664*KPI_Weights!$B$18))/5)</f>
        <v/>
      </c>
      <c r="AL664" t="str">
        <f t="shared" si="84"/>
        <v/>
      </c>
      <c r="AM664" t="str">
        <f t="shared" si="85"/>
        <v/>
      </c>
      <c r="AN664" t="str">
        <f t="shared" si="86"/>
        <v/>
      </c>
    </row>
    <row r="665" spans="1:40" ht="15" customHeight="1" x14ac:dyDescent="0.2">
      <c r="A665" t="str">
        <f>IF($B665="","",TEXT($B665,"yyyymmdd")&amp;"-"&amp;SUBSTITUTE($F665," ","")&amp;"-"&amp;TEXT(COUNTIF($F$4:F665,$F665),"00"))</f>
        <v/>
      </c>
      <c r="C665" t="str">
        <f t="shared" si="80"/>
        <v/>
      </c>
      <c r="D665" t="str">
        <f t="shared" si="81"/>
        <v/>
      </c>
      <c r="G665" t="str">
        <f>IF(OR($E665="",$F665=""),"",IFERROR(IF($E665=INDEX(Cluster_Master!$A$4:$A$18,MATCH($F665,Cluster_Master!$B$4:$B$18,0)),"OK","CHECK"),"CHECK"))</f>
        <v/>
      </c>
      <c r="H665" t="str">
        <f>IFERROR(INDEX(Cluster_Master!$C$4:$C$18,MATCH($F665,Cluster_Master!$B$4:$B$18,0)),"")</f>
        <v/>
      </c>
      <c r="I665" t="str">
        <f>IFERROR(INDEX(Cluster_Master!$D$4:$D$18,MATCH($F665,Cluster_Master!$B$4:$B$18,0)),"")</f>
        <v/>
      </c>
      <c r="J665" t="str">
        <f>IFERROR(INDEX(Cluster_Master!$E$4:$E$18,MATCH($F665,Cluster_Master!$B$4:$B$18,0)),"")</f>
        <v/>
      </c>
      <c r="K665" t="str">
        <f>IFERROR(INDEX(Cluster_Master!$F$4:$F$18,MATCH($F665,Cluster_Master!$B$4:$B$18,0)),"")</f>
        <v/>
      </c>
      <c r="L665" t="str">
        <f>IFERROR(INDEX(Cluster_Master!$G$4:$G$18,MATCH($F665,Cluster_Master!$B$4:$B$18,0)),"")</f>
        <v/>
      </c>
      <c r="M665" t="str">
        <f>IFERROR(INDEX(Cluster_Master!$H$4:$H$18,MATCH($F665,Cluster_Master!$B$4:$B$18,0)),"")</f>
        <v/>
      </c>
      <c r="AI665" t="str">
        <f t="shared" si="82"/>
        <v/>
      </c>
      <c r="AJ665" t="str">
        <f t="shared" si="83"/>
        <v/>
      </c>
      <c r="AK665" t="str">
        <f>IF(COUNTA(T665:AH665)=0,"",(SUM(T665*KPI_Weights!$B$4,U665*KPI_Weights!$B$5,V665*KPI_Weights!$B$6,W665*KPI_Weights!$B$7,X665*KPI_Weights!$B$8,Y665*KPI_Weights!$B$9,Z665*KPI_Weights!$B$10,AA665*KPI_Weights!$B$11,AB665*KPI_Weights!$B$12,AC665*KPI_Weights!$B$13,AD665*KPI_Weights!$B$14,AE665*KPI_Weights!$B$15,AF665*KPI_Weights!$B$16,AG665*KPI_Weights!$B$17,AH665*KPI_Weights!$B$18))/5)</f>
        <v/>
      </c>
      <c r="AL665" t="str">
        <f t="shared" si="84"/>
        <v/>
      </c>
      <c r="AM665" t="str">
        <f t="shared" si="85"/>
        <v/>
      </c>
      <c r="AN665" t="str">
        <f t="shared" si="86"/>
        <v/>
      </c>
    </row>
    <row r="666" spans="1:40" ht="15" customHeight="1" x14ac:dyDescent="0.2">
      <c r="A666" t="str">
        <f>IF($B666="","",TEXT($B666,"yyyymmdd")&amp;"-"&amp;SUBSTITUTE($F666," ","")&amp;"-"&amp;TEXT(COUNTIF($F$4:F666,$F666),"00"))</f>
        <v/>
      </c>
      <c r="C666" t="str">
        <f t="shared" si="80"/>
        <v/>
      </c>
      <c r="D666" t="str">
        <f t="shared" si="81"/>
        <v/>
      </c>
      <c r="G666" t="str">
        <f>IF(OR($E666="",$F666=""),"",IFERROR(IF($E666=INDEX(Cluster_Master!$A$4:$A$18,MATCH($F666,Cluster_Master!$B$4:$B$18,0)),"OK","CHECK"),"CHECK"))</f>
        <v/>
      </c>
      <c r="H666" t="str">
        <f>IFERROR(INDEX(Cluster_Master!$C$4:$C$18,MATCH($F666,Cluster_Master!$B$4:$B$18,0)),"")</f>
        <v/>
      </c>
      <c r="I666" t="str">
        <f>IFERROR(INDEX(Cluster_Master!$D$4:$D$18,MATCH($F666,Cluster_Master!$B$4:$B$18,0)),"")</f>
        <v/>
      </c>
      <c r="J666" t="str">
        <f>IFERROR(INDEX(Cluster_Master!$E$4:$E$18,MATCH($F666,Cluster_Master!$B$4:$B$18,0)),"")</f>
        <v/>
      </c>
      <c r="K666" t="str">
        <f>IFERROR(INDEX(Cluster_Master!$F$4:$F$18,MATCH($F666,Cluster_Master!$B$4:$B$18,0)),"")</f>
        <v/>
      </c>
      <c r="L666" t="str">
        <f>IFERROR(INDEX(Cluster_Master!$G$4:$G$18,MATCH($F666,Cluster_Master!$B$4:$B$18,0)),"")</f>
        <v/>
      </c>
      <c r="M666" t="str">
        <f>IFERROR(INDEX(Cluster_Master!$H$4:$H$18,MATCH($F666,Cluster_Master!$B$4:$B$18,0)),"")</f>
        <v/>
      </c>
      <c r="AI666" t="str">
        <f t="shared" si="82"/>
        <v/>
      </c>
      <c r="AJ666" t="str">
        <f t="shared" si="83"/>
        <v/>
      </c>
      <c r="AK666" t="str">
        <f>IF(COUNTA(T666:AH666)=0,"",(SUM(T666*KPI_Weights!$B$4,U666*KPI_Weights!$B$5,V666*KPI_Weights!$B$6,W666*KPI_Weights!$B$7,X666*KPI_Weights!$B$8,Y666*KPI_Weights!$B$9,Z666*KPI_Weights!$B$10,AA666*KPI_Weights!$B$11,AB666*KPI_Weights!$B$12,AC666*KPI_Weights!$B$13,AD666*KPI_Weights!$B$14,AE666*KPI_Weights!$B$15,AF666*KPI_Weights!$B$16,AG666*KPI_Weights!$B$17,AH666*KPI_Weights!$B$18))/5)</f>
        <v/>
      </c>
      <c r="AL666" t="str">
        <f t="shared" si="84"/>
        <v/>
      </c>
      <c r="AM666" t="str">
        <f t="shared" si="85"/>
        <v/>
      </c>
      <c r="AN666" t="str">
        <f t="shared" si="86"/>
        <v/>
      </c>
    </row>
    <row r="667" spans="1:40" ht="15" customHeight="1" x14ac:dyDescent="0.2">
      <c r="A667" t="str">
        <f>IF($B667="","",TEXT($B667,"yyyymmdd")&amp;"-"&amp;SUBSTITUTE($F667," ","")&amp;"-"&amp;TEXT(COUNTIF($F$4:F667,$F667),"00"))</f>
        <v/>
      </c>
      <c r="C667" t="str">
        <f t="shared" si="80"/>
        <v/>
      </c>
      <c r="D667" t="str">
        <f t="shared" si="81"/>
        <v/>
      </c>
      <c r="G667" t="str">
        <f>IF(OR($E667="",$F667=""),"",IFERROR(IF($E667=INDEX(Cluster_Master!$A$4:$A$18,MATCH($F667,Cluster_Master!$B$4:$B$18,0)),"OK","CHECK"),"CHECK"))</f>
        <v/>
      </c>
      <c r="H667" t="str">
        <f>IFERROR(INDEX(Cluster_Master!$C$4:$C$18,MATCH($F667,Cluster_Master!$B$4:$B$18,0)),"")</f>
        <v/>
      </c>
      <c r="I667" t="str">
        <f>IFERROR(INDEX(Cluster_Master!$D$4:$D$18,MATCH($F667,Cluster_Master!$B$4:$B$18,0)),"")</f>
        <v/>
      </c>
      <c r="J667" t="str">
        <f>IFERROR(INDEX(Cluster_Master!$E$4:$E$18,MATCH($F667,Cluster_Master!$B$4:$B$18,0)),"")</f>
        <v/>
      </c>
      <c r="K667" t="str">
        <f>IFERROR(INDEX(Cluster_Master!$F$4:$F$18,MATCH($F667,Cluster_Master!$B$4:$B$18,0)),"")</f>
        <v/>
      </c>
      <c r="L667" t="str">
        <f>IFERROR(INDEX(Cluster_Master!$G$4:$G$18,MATCH($F667,Cluster_Master!$B$4:$B$18,0)),"")</f>
        <v/>
      </c>
      <c r="M667" t="str">
        <f>IFERROR(INDEX(Cluster_Master!$H$4:$H$18,MATCH($F667,Cluster_Master!$B$4:$B$18,0)),"")</f>
        <v/>
      </c>
      <c r="AI667" t="str">
        <f t="shared" si="82"/>
        <v/>
      </c>
      <c r="AJ667" t="str">
        <f t="shared" si="83"/>
        <v/>
      </c>
      <c r="AK667" t="str">
        <f>IF(COUNTA(T667:AH667)=0,"",(SUM(T667*KPI_Weights!$B$4,U667*KPI_Weights!$B$5,V667*KPI_Weights!$B$6,W667*KPI_Weights!$B$7,X667*KPI_Weights!$B$8,Y667*KPI_Weights!$B$9,Z667*KPI_Weights!$B$10,AA667*KPI_Weights!$B$11,AB667*KPI_Weights!$B$12,AC667*KPI_Weights!$B$13,AD667*KPI_Weights!$B$14,AE667*KPI_Weights!$B$15,AF667*KPI_Weights!$B$16,AG667*KPI_Weights!$B$17,AH667*KPI_Weights!$B$18))/5)</f>
        <v/>
      </c>
      <c r="AL667" t="str">
        <f t="shared" si="84"/>
        <v/>
      </c>
      <c r="AM667" t="str">
        <f t="shared" si="85"/>
        <v/>
      </c>
      <c r="AN667" t="str">
        <f t="shared" si="86"/>
        <v/>
      </c>
    </row>
    <row r="668" spans="1:40" ht="15" customHeight="1" x14ac:dyDescent="0.2">
      <c r="A668" t="str">
        <f>IF($B668="","",TEXT($B668,"yyyymmdd")&amp;"-"&amp;SUBSTITUTE($F668," ","")&amp;"-"&amp;TEXT(COUNTIF($F$4:F668,$F668),"00"))</f>
        <v/>
      </c>
      <c r="C668" t="str">
        <f t="shared" si="80"/>
        <v/>
      </c>
      <c r="D668" t="str">
        <f t="shared" si="81"/>
        <v/>
      </c>
      <c r="G668" t="str">
        <f>IF(OR($E668="",$F668=""),"",IFERROR(IF($E668=INDEX(Cluster_Master!$A$4:$A$18,MATCH($F668,Cluster_Master!$B$4:$B$18,0)),"OK","CHECK"),"CHECK"))</f>
        <v/>
      </c>
      <c r="H668" t="str">
        <f>IFERROR(INDEX(Cluster_Master!$C$4:$C$18,MATCH($F668,Cluster_Master!$B$4:$B$18,0)),"")</f>
        <v/>
      </c>
      <c r="I668" t="str">
        <f>IFERROR(INDEX(Cluster_Master!$D$4:$D$18,MATCH($F668,Cluster_Master!$B$4:$B$18,0)),"")</f>
        <v/>
      </c>
      <c r="J668" t="str">
        <f>IFERROR(INDEX(Cluster_Master!$E$4:$E$18,MATCH($F668,Cluster_Master!$B$4:$B$18,0)),"")</f>
        <v/>
      </c>
      <c r="K668" t="str">
        <f>IFERROR(INDEX(Cluster_Master!$F$4:$F$18,MATCH($F668,Cluster_Master!$B$4:$B$18,0)),"")</f>
        <v/>
      </c>
      <c r="L668" t="str">
        <f>IFERROR(INDEX(Cluster_Master!$G$4:$G$18,MATCH($F668,Cluster_Master!$B$4:$B$18,0)),"")</f>
        <v/>
      </c>
      <c r="M668" t="str">
        <f>IFERROR(INDEX(Cluster_Master!$H$4:$H$18,MATCH($F668,Cluster_Master!$B$4:$B$18,0)),"")</f>
        <v/>
      </c>
      <c r="AI668" t="str">
        <f t="shared" si="82"/>
        <v/>
      </c>
      <c r="AJ668" t="str">
        <f t="shared" si="83"/>
        <v/>
      </c>
      <c r="AK668" t="str">
        <f>IF(COUNTA(T668:AH668)=0,"",(SUM(T668*KPI_Weights!$B$4,U668*KPI_Weights!$B$5,V668*KPI_Weights!$B$6,W668*KPI_Weights!$B$7,X668*KPI_Weights!$B$8,Y668*KPI_Weights!$B$9,Z668*KPI_Weights!$B$10,AA668*KPI_Weights!$B$11,AB668*KPI_Weights!$B$12,AC668*KPI_Weights!$B$13,AD668*KPI_Weights!$B$14,AE668*KPI_Weights!$B$15,AF668*KPI_Weights!$B$16,AG668*KPI_Weights!$B$17,AH668*KPI_Weights!$B$18))/5)</f>
        <v/>
      </c>
      <c r="AL668" t="str">
        <f t="shared" si="84"/>
        <v/>
      </c>
      <c r="AM668" t="str">
        <f t="shared" si="85"/>
        <v/>
      </c>
      <c r="AN668" t="str">
        <f t="shared" si="86"/>
        <v/>
      </c>
    </row>
    <row r="669" spans="1:40" ht="15" customHeight="1" x14ac:dyDescent="0.2">
      <c r="A669" t="str">
        <f>IF($B669="","",TEXT($B669,"yyyymmdd")&amp;"-"&amp;SUBSTITUTE($F669," ","")&amp;"-"&amp;TEXT(COUNTIF($F$4:F669,$F669),"00"))</f>
        <v/>
      </c>
      <c r="C669" t="str">
        <f t="shared" si="80"/>
        <v/>
      </c>
      <c r="D669" t="str">
        <f t="shared" si="81"/>
        <v/>
      </c>
      <c r="G669" t="str">
        <f>IF(OR($E669="",$F669=""),"",IFERROR(IF($E669=INDEX(Cluster_Master!$A$4:$A$18,MATCH($F669,Cluster_Master!$B$4:$B$18,0)),"OK","CHECK"),"CHECK"))</f>
        <v/>
      </c>
      <c r="H669" t="str">
        <f>IFERROR(INDEX(Cluster_Master!$C$4:$C$18,MATCH($F669,Cluster_Master!$B$4:$B$18,0)),"")</f>
        <v/>
      </c>
      <c r="I669" t="str">
        <f>IFERROR(INDEX(Cluster_Master!$D$4:$D$18,MATCH($F669,Cluster_Master!$B$4:$B$18,0)),"")</f>
        <v/>
      </c>
      <c r="J669" t="str">
        <f>IFERROR(INDEX(Cluster_Master!$E$4:$E$18,MATCH($F669,Cluster_Master!$B$4:$B$18,0)),"")</f>
        <v/>
      </c>
      <c r="K669" t="str">
        <f>IFERROR(INDEX(Cluster_Master!$F$4:$F$18,MATCH($F669,Cluster_Master!$B$4:$B$18,0)),"")</f>
        <v/>
      </c>
      <c r="L669" t="str">
        <f>IFERROR(INDEX(Cluster_Master!$G$4:$G$18,MATCH($F669,Cluster_Master!$B$4:$B$18,0)),"")</f>
        <v/>
      </c>
      <c r="M669" t="str">
        <f>IFERROR(INDEX(Cluster_Master!$H$4:$H$18,MATCH($F669,Cluster_Master!$B$4:$B$18,0)),"")</f>
        <v/>
      </c>
      <c r="AI669" t="str">
        <f t="shared" si="82"/>
        <v/>
      </c>
      <c r="AJ669" t="str">
        <f t="shared" si="83"/>
        <v/>
      </c>
      <c r="AK669" t="str">
        <f>IF(COUNTA(T669:AH669)=0,"",(SUM(T669*KPI_Weights!$B$4,U669*KPI_Weights!$B$5,V669*KPI_Weights!$B$6,W669*KPI_Weights!$B$7,X669*KPI_Weights!$B$8,Y669*KPI_Weights!$B$9,Z669*KPI_Weights!$B$10,AA669*KPI_Weights!$B$11,AB669*KPI_Weights!$B$12,AC669*KPI_Weights!$B$13,AD669*KPI_Weights!$B$14,AE669*KPI_Weights!$B$15,AF669*KPI_Weights!$B$16,AG669*KPI_Weights!$B$17,AH669*KPI_Weights!$B$18))/5)</f>
        <v/>
      </c>
      <c r="AL669" t="str">
        <f t="shared" si="84"/>
        <v/>
      </c>
      <c r="AM669" t="str">
        <f t="shared" si="85"/>
        <v/>
      </c>
      <c r="AN669" t="str">
        <f t="shared" si="86"/>
        <v/>
      </c>
    </row>
    <row r="670" spans="1:40" ht="15" customHeight="1" x14ac:dyDescent="0.2">
      <c r="A670" t="str">
        <f>IF($B670="","",TEXT($B670,"yyyymmdd")&amp;"-"&amp;SUBSTITUTE($F670," ","")&amp;"-"&amp;TEXT(COUNTIF($F$4:F670,$F670),"00"))</f>
        <v/>
      </c>
      <c r="C670" t="str">
        <f t="shared" si="80"/>
        <v/>
      </c>
      <c r="D670" t="str">
        <f t="shared" si="81"/>
        <v/>
      </c>
      <c r="G670" t="str">
        <f>IF(OR($E670="",$F670=""),"",IFERROR(IF($E670=INDEX(Cluster_Master!$A$4:$A$18,MATCH($F670,Cluster_Master!$B$4:$B$18,0)),"OK","CHECK"),"CHECK"))</f>
        <v/>
      </c>
      <c r="H670" t="str">
        <f>IFERROR(INDEX(Cluster_Master!$C$4:$C$18,MATCH($F670,Cluster_Master!$B$4:$B$18,0)),"")</f>
        <v/>
      </c>
      <c r="I670" t="str">
        <f>IFERROR(INDEX(Cluster_Master!$D$4:$D$18,MATCH($F670,Cluster_Master!$B$4:$B$18,0)),"")</f>
        <v/>
      </c>
      <c r="J670" t="str">
        <f>IFERROR(INDEX(Cluster_Master!$E$4:$E$18,MATCH($F670,Cluster_Master!$B$4:$B$18,0)),"")</f>
        <v/>
      </c>
      <c r="K670" t="str">
        <f>IFERROR(INDEX(Cluster_Master!$F$4:$F$18,MATCH($F670,Cluster_Master!$B$4:$B$18,0)),"")</f>
        <v/>
      </c>
      <c r="L670" t="str">
        <f>IFERROR(INDEX(Cluster_Master!$G$4:$G$18,MATCH($F670,Cluster_Master!$B$4:$B$18,0)),"")</f>
        <v/>
      </c>
      <c r="M670" t="str">
        <f>IFERROR(INDEX(Cluster_Master!$H$4:$H$18,MATCH($F670,Cluster_Master!$B$4:$B$18,0)),"")</f>
        <v/>
      </c>
      <c r="AI670" t="str">
        <f t="shared" si="82"/>
        <v/>
      </c>
      <c r="AJ670" t="str">
        <f t="shared" si="83"/>
        <v/>
      </c>
      <c r="AK670" t="str">
        <f>IF(COUNTA(T670:AH670)=0,"",(SUM(T670*KPI_Weights!$B$4,U670*KPI_Weights!$B$5,V670*KPI_Weights!$B$6,W670*KPI_Weights!$B$7,X670*KPI_Weights!$B$8,Y670*KPI_Weights!$B$9,Z670*KPI_Weights!$B$10,AA670*KPI_Weights!$B$11,AB670*KPI_Weights!$B$12,AC670*KPI_Weights!$B$13,AD670*KPI_Weights!$B$14,AE670*KPI_Weights!$B$15,AF670*KPI_Weights!$B$16,AG670*KPI_Weights!$B$17,AH670*KPI_Weights!$B$18))/5)</f>
        <v/>
      </c>
      <c r="AL670" t="str">
        <f t="shared" si="84"/>
        <v/>
      </c>
      <c r="AM670" t="str">
        <f t="shared" si="85"/>
        <v/>
      </c>
      <c r="AN670" t="str">
        <f t="shared" si="86"/>
        <v/>
      </c>
    </row>
    <row r="671" spans="1:40" ht="15" customHeight="1" x14ac:dyDescent="0.2">
      <c r="A671" t="str">
        <f>IF($B671="","",TEXT($B671,"yyyymmdd")&amp;"-"&amp;SUBSTITUTE($F671," ","")&amp;"-"&amp;TEXT(COUNTIF($F$4:F671,$F671),"00"))</f>
        <v/>
      </c>
      <c r="C671" t="str">
        <f t="shared" si="80"/>
        <v/>
      </c>
      <c r="D671" t="str">
        <f t="shared" si="81"/>
        <v/>
      </c>
      <c r="G671" t="str">
        <f>IF(OR($E671="",$F671=""),"",IFERROR(IF($E671=INDEX(Cluster_Master!$A$4:$A$18,MATCH($F671,Cluster_Master!$B$4:$B$18,0)),"OK","CHECK"),"CHECK"))</f>
        <v/>
      </c>
      <c r="H671" t="str">
        <f>IFERROR(INDEX(Cluster_Master!$C$4:$C$18,MATCH($F671,Cluster_Master!$B$4:$B$18,0)),"")</f>
        <v/>
      </c>
      <c r="I671" t="str">
        <f>IFERROR(INDEX(Cluster_Master!$D$4:$D$18,MATCH($F671,Cluster_Master!$B$4:$B$18,0)),"")</f>
        <v/>
      </c>
      <c r="J671" t="str">
        <f>IFERROR(INDEX(Cluster_Master!$E$4:$E$18,MATCH($F671,Cluster_Master!$B$4:$B$18,0)),"")</f>
        <v/>
      </c>
      <c r="K671" t="str">
        <f>IFERROR(INDEX(Cluster_Master!$F$4:$F$18,MATCH($F671,Cluster_Master!$B$4:$B$18,0)),"")</f>
        <v/>
      </c>
      <c r="L671" t="str">
        <f>IFERROR(INDEX(Cluster_Master!$G$4:$G$18,MATCH($F671,Cluster_Master!$B$4:$B$18,0)),"")</f>
        <v/>
      </c>
      <c r="M671" t="str">
        <f>IFERROR(INDEX(Cluster_Master!$H$4:$H$18,MATCH($F671,Cluster_Master!$B$4:$B$18,0)),"")</f>
        <v/>
      </c>
      <c r="AI671" t="str">
        <f t="shared" si="82"/>
        <v/>
      </c>
      <c r="AJ671" t="str">
        <f t="shared" si="83"/>
        <v/>
      </c>
      <c r="AK671" t="str">
        <f>IF(COUNTA(T671:AH671)=0,"",(SUM(T671*KPI_Weights!$B$4,U671*KPI_Weights!$B$5,V671*KPI_Weights!$B$6,W671*KPI_Weights!$B$7,X671*KPI_Weights!$B$8,Y671*KPI_Weights!$B$9,Z671*KPI_Weights!$B$10,AA671*KPI_Weights!$B$11,AB671*KPI_Weights!$B$12,AC671*KPI_Weights!$B$13,AD671*KPI_Weights!$B$14,AE671*KPI_Weights!$B$15,AF671*KPI_Weights!$B$16,AG671*KPI_Weights!$B$17,AH671*KPI_Weights!$B$18))/5)</f>
        <v/>
      </c>
      <c r="AL671" t="str">
        <f t="shared" si="84"/>
        <v/>
      </c>
      <c r="AM671" t="str">
        <f t="shared" si="85"/>
        <v/>
      </c>
      <c r="AN671" t="str">
        <f t="shared" si="86"/>
        <v/>
      </c>
    </row>
    <row r="672" spans="1:40" ht="15" customHeight="1" x14ac:dyDescent="0.2">
      <c r="A672" t="str">
        <f>IF($B672="","",TEXT($B672,"yyyymmdd")&amp;"-"&amp;SUBSTITUTE($F672," ","")&amp;"-"&amp;TEXT(COUNTIF($F$4:F672,$F672),"00"))</f>
        <v/>
      </c>
      <c r="C672" t="str">
        <f t="shared" si="80"/>
        <v/>
      </c>
      <c r="D672" t="str">
        <f t="shared" si="81"/>
        <v/>
      </c>
      <c r="G672" t="str">
        <f>IF(OR($E672="",$F672=""),"",IFERROR(IF($E672=INDEX(Cluster_Master!$A$4:$A$18,MATCH($F672,Cluster_Master!$B$4:$B$18,0)),"OK","CHECK"),"CHECK"))</f>
        <v/>
      </c>
      <c r="H672" t="str">
        <f>IFERROR(INDEX(Cluster_Master!$C$4:$C$18,MATCH($F672,Cluster_Master!$B$4:$B$18,0)),"")</f>
        <v/>
      </c>
      <c r="I672" t="str">
        <f>IFERROR(INDEX(Cluster_Master!$D$4:$D$18,MATCH($F672,Cluster_Master!$B$4:$B$18,0)),"")</f>
        <v/>
      </c>
      <c r="J672" t="str">
        <f>IFERROR(INDEX(Cluster_Master!$E$4:$E$18,MATCH($F672,Cluster_Master!$B$4:$B$18,0)),"")</f>
        <v/>
      </c>
      <c r="K672" t="str">
        <f>IFERROR(INDEX(Cluster_Master!$F$4:$F$18,MATCH($F672,Cluster_Master!$B$4:$B$18,0)),"")</f>
        <v/>
      </c>
      <c r="L672" t="str">
        <f>IFERROR(INDEX(Cluster_Master!$G$4:$G$18,MATCH($F672,Cluster_Master!$B$4:$B$18,0)),"")</f>
        <v/>
      </c>
      <c r="M672" t="str">
        <f>IFERROR(INDEX(Cluster_Master!$H$4:$H$18,MATCH($F672,Cluster_Master!$B$4:$B$18,0)),"")</f>
        <v/>
      </c>
      <c r="AI672" t="str">
        <f t="shared" si="82"/>
        <v/>
      </c>
      <c r="AJ672" t="str">
        <f t="shared" si="83"/>
        <v/>
      </c>
      <c r="AK672" t="str">
        <f>IF(COUNTA(T672:AH672)=0,"",(SUM(T672*KPI_Weights!$B$4,U672*KPI_Weights!$B$5,V672*KPI_Weights!$B$6,W672*KPI_Weights!$B$7,X672*KPI_Weights!$B$8,Y672*KPI_Weights!$B$9,Z672*KPI_Weights!$B$10,AA672*KPI_Weights!$B$11,AB672*KPI_Weights!$B$12,AC672*KPI_Weights!$B$13,AD672*KPI_Weights!$B$14,AE672*KPI_Weights!$B$15,AF672*KPI_Weights!$B$16,AG672*KPI_Weights!$B$17,AH672*KPI_Weights!$B$18))/5)</f>
        <v/>
      </c>
      <c r="AL672" t="str">
        <f t="shared" si="84"/>
        <v/>
      </c>
      <c r="AM672" t="str">
        <f t="shared" si="85"/>
        <v/>
      </c>
      <c r="AN672" t="str">
        <f t="shared" si="86"/>
        <v/>
      </c>
    </row>
    <row r="673" spans="1:40" ht="15" customHeight="1" x14ac:dyDescent="0.2">
      <c r="A673" t="str">
        <f>IF($B673="","",TEXT($B673,"yyyymmdd")&amp;"-"&amp;SUBSTITUTE($F673," ","")&amp;"-"&amp;TEXT(COUNTIF($F$4:F673,$F673),"00"))</f>
        <v/>
      </c>
      <c r="C673" t="str">
        <f t="shared" si="80"/>
        <v/>
      </c>
      <c r="D673" t="str">
        <f t="shared" si="81"/>
        <v/>
      </c>
      <c r="G673" t="str">
        <f>IF(OR($E673="",$F673=""),"",IFERROR(IF($E673=INDEX(Cluster_Master!$A$4:$A$18,MATCH($F673,Cluster_Master!$B$4:$B$18,0)),"OK","CHECK"),"CHECK"))</f>
        <v/>
      </c>
      <c r="H673" t="str">
        <f>IFERROR(INDEX(Cluster_Master!$C$4:$C$18,MATCH($F673,Cluster_Master!$B$4:$B$18,0)),"")</f>
        <v/>
      </c>
      <c r="I673" t="str">
        <f>IFERROR(INDEX(Cluster_Master!$D$4:$D$18,MATCH($F673,Cluster_Master!$B$4:$B$18,0)),"")</f>
        <v/>
      </c>
      <c r="J673" t="str">
        <f>IFERROR(INDEX(Cluster_Master!$E$4:$E$18,MATCH($F673,Cluster_Master!$B$4:$B$18,0)),"")</f>
        <v/>
      </c>
      <c r="K673" t="str">
        <f>IFERROR(INDEX(Cluster_Master!$F$4:$F$18,MATCH($F673,Cluster_Master!$B$4:$B$18,0)),"")</f>
        <v/>
      </c>
      <c r="L673" t="str">
        <f>IFERROR(INDEX(Cluster_Master!$G$4:$G$18,MATCH($F673,Cluster_Master!$B$4:$B$18,0)),"")</f>
        <v/>
      </c>
      <c r="M673" t="str">
        <f>IFERROR(INDEX(Cluster_Master!$H$4:$H$18,MATCH($F673,Cluster_Master!$B$4:$B$18,0)),"")</f>
        <v/>
      </c>
      <c r="AI673" t="str">
        <f t="shared" si="82"/>
        <v/>
      </c>
      <c r="AJ673" t="str">
        <f t="shared" si="83"/>
        <v/>
      </c>
      <c r="AK673" t="str">
        <f>IF(COUNTA(T673:AH673)=0,"",(SUM(T673*KPI_Weights!$B$4,U673*KPI_Weights!$B$5,V673*KPI_Weights!$B$6,W673*KPI_Weights!$B$7,X673*KPI_Weights!$B$8,Y673*KPI_Weights!$B$9,Z673*KPI_Weights!$B$10,AA673*KPI_Weights!$B$11,AB673*KPI_Weights!$B$12,AC673*KPI_Weights!$B$13,AD673*KPI_Weights!$B$14,AE673*KPI_Weights!$B$15,AF673*KPI_Weights!$B$16,AG673*KPI_Weights!$B$17,AH673*KPI_Weights!$B$18))/5)</f>
        <v/>
      </c>
      <c r="AL673" t="str">
        <f t="shared" si="84"/>
        <v/>
      </c>
      <c r="AM673" t="str">
        <f t="shared" si="85"/>
        <v/>
      </c>
      <c r="AN673" t="str">
        <f t="shared" si="86"/>
        <v/>
      </c>
    </row>
    <row r="674" spans="1:40" ht="15" customHeight="1" x14ac:dyDescent="0.2">
      <c r="A674" t="str">
        <f>IF($B674="","",TEXT($B674,"yyyymmdd")&amp;"-"&amp;SUBSTITUTE($F674," ","")&amp;"-"&amp;TEXT(COUNTIF($F$4:F674,$F674),"00"))</f>
        <v/>
      </c>
      <c r="C674" t="str">
        <f t="shared" si="80"/>
        <v/>
      </c>
      <c r="D674" t="str">
        <f t="shared" si="81"/>
        <v/>
      </c>
      <c r="G674" t="str">
        <f>IF(OR($E674="",$F674=""),"",IFERROR(IF($E674=INDEX(Cluster_Master!$A$4:$A$18,MATCH($F674,Cluster_Master!$B$4:$B$18,0)),"OK","CHECK"),"CHECK"))</f>
        <v/>
      </c>
      <c r="H674" t="str">
        <f>IFERROR(INDEX(Cluster_Master!$C$4:$C$18,MATCH($F674,Cluster_Master!$B$4:$B$18,0)),"")</f>
        <v/>
      </c>
      <c r="I674" t="str">
        <f>IFERROR(INDEX(Cluster_Master!$D$4:$D$18,MATCH($F674,Cluster_Master!$B$4:$B$18,0)),"")</f>
        <v/>
      </c>
      <c r="J674" t="str">
        <f>IFERROR(INDEX(Cluster_Master!$E$4:$E$18,MATCH($F674,Cluster_Master!$B$4:$B$18,0)),"")</f>
        <v/>
      </c>
      <c r="K674" t="str">
        <f>IFERROR(INDEX(Cluster_Master!$F$4:$F$18,MATCH($F674,Cluster_Master!$B$4:$B$18,0)),"")</f>
        <v/>
      </c>
      <c r="L674" t="str">
        <f>IFERROR(INDEX(Cluster_Master!$G$4:$G$18,MATCH($F674,Cluster_Master!$B$4:$B$18,0)),"")</f>
        <v/>
      </c>
      <c r="M674" t="str">
        <f>IFERROR(INDEX(Cluster_Master!$H$4:$H$18,MATCH($F674,Cluster_Master!$B$4:$B$18,0)),"")</f>
        <v/>
      </c>
      <c r="AI674" t="str">
        <f t="shared" si="82"/>
        <v/>
      </c>
      <c r="AJ674" t="str">
        <f t="shared" si="83"/>
        <v/>
      </c>
      <c r="AK674" t="str">
        <f>IF(COUNTA(T674:AH674)=0,"",(SUM(T674*KPI_Weights!$B$4,U674*KPI_Weights!$B$5,V674*KPI_Weights!$B$6,W674*KPI_Weights!$B$7,X674*KPI_Weights!$B$8,Y674*KPI_Weights!$B$9,Z674*KPI_Weights!$B$10,AA674*KPI_Weights!$B$11,AB674*KPI_Weights!$B$12,AC674*KPI_Weights!$B$13,AD674*KPI_Weights!$B$14,AE674*KPI_Weights!$B$15,AF674*KPI_Weights!$B$16,AG674*KPI_Weights!$B$17,AH674*KPI_Weights!$B$18))/5)</f>
        <v/>
      </c>
      <c r="AL674" t="str">
        <f t="shared" si="84"/>
        <v/>
      </c>
      <c r="AM674" t="str">
        <f t="shared" si="85"/>
        <v/>
      </c>
      <c r="AN674" t="str">
        <f t="shared" si="86"/>
        <v/>
      </c>
    </row>
    <row r="675" spans="1:40" ht="15" customHeight="1" x14ac:dyDescent="0.2">
      <c r="A675" t="str">
        <f>IF($B675="","",TEXT($B675,"yyyymmdd")&amp;"-"&amp;SUBSTITUTE($F675," ","")&amp;"-"&amp;TEXT(COUNTIF($F$4:F675,$F675),"00"))</f>
        <v/>
      </c>
      <c r="C675" t="str">
        <f t="shared" si="80"/>
        <v/>
      </c>
      <c r="D675" t="str">
        <f t="shared" si="81"/>
        <v/>
      </c>
      <c r="G675" t="str">
        <f>IF(OR($E675="",$F675=""),"",IFERROR(IF($E675=INDEX(Cluster_Master!$A$4:$A$18,MATCH($F675,Cluster_Master!$B$4:$B$18,0)),"OK","CHECK"),"CHECK"))</f>
        <v/>
      </c>
      <c r="H675" t="str">
        <f>IFERROR(INDEX(Cluster_Master!$C$4:$C$18,MATCH($F675,Cluster_Master!$B$4:$B$18,0)),"")</f>
        <v/>
      </c>
      <c r="I675" t="str">
        <f>IFERROR(INDEX(Cluster_Master!$D$4:$D$18,MATCH($F675,Cluster_Master!$B$4:$B$18,0)),"")</f>
        <v/>
      </c>
      <c r="J675" t="str">
        <f>IFERROR(INDEX(Cluster_Master!$E$4:$E$18,MATCH($F675,Cluster_Master!$B$4:$B$18,0)),"")</f>
        <v/>
      </c>
      <c r="K675" t="str">
        <f>IFERROR(INDEX(Cluster_Master!$F$4:$F$18,MATCH($F675,Cluster_Master!$B$4:$B$18,0)),"")</f>
        <v/>
      </c>
      <c r="L675" t="str">
        <f>IFERROR(INDEX(Cluster_Master!$G$4:$G$18,MATCH($F675,Cluster_Master!$B$4:$B$18,0)),"")</f>
        <v/>
      </c>
      <c r="M675" t="str">
        <f>IFERROR(INDEX(Cluster_Master!$H$4:$H$18,MATCH($F675,Cluster_Master!$B$4:$B$18,0)),"")</f>
        <v/>
      </c>
      <c r="AI675" t="str">
        <f t="shared" si="82"/>
        <v/>
      </c>
      <c r="AJ675" t="str">
        <f t="shared" si="83"/>
        <v/>
      </c>
      <c r="AK675" t="str">
        <f>IF(COUNTA(T675:AH675)=0,"",(SUM(T675*KPI_Weights!$B$4,U675*KPI_Weights!$B$5,V675*KPI_Weights!$B$6,W675*KPI_Weights!$B$7,X675*KPI_Weights!$B$8,Y675*KPI_Weights!$B$9,Z675*KPI_Weights!$B$10,AA675*KPI_Weights!$B$11,AB675*KPI_Weights!$B$12,AC675*KPI_Weights!$B$13,AD675*KPI_Weights!$B$14,AE675*KPI_Weights!$B$15,AF675*KPI_Weights!$B$16,AG675*KPI_Weights!$B$17,AH675*KPI_Weights!$B$18))/5)</f>
        <v/>
      </c>
      <c r="AL675" t="str">
        <f t="shared" si="84"/>
        <v/>
      </c>
      <c r="AM675" t="str">
        <f t="shared" si="85"/>
        <v/>
      </c>
      <c r="AN675" t="str">
        <f t="shared" si="86"/>
        <v/>
      </c>
    </row>
    <row r="676" spans="1:40" ht="15" customHeight="1" x14ac:dyDescent="0.2">
      <c r="A676" t="str">
        <f>IF($B676="","",TEXT($B676,"yyyymmdd")&amp;"-"&amp;SUBSTITUTE($F676," ","")&amp;"-"&amp;TEXT(COUNTIF($F$4:F676,$F676),"00"))</f>
        <v/>
      </c>
      <c r="C676" t="str">
        <f t="shared" si="80"/>
        <v/>
      </c>
      <c r="D676" t="str">
        <f t="shared" si="81"/>
        <v/>
      </c>
      <c r="G676" t="str">
        <f>IF(OR($E676="",$F676=""),"",IFERROR(IF($E676=INDEX(Cluster_Master!$A$4:$A$18,MATCH($F676,Cluster_Master!$B$4:$B$18,0)),"OK","CHECK"),"CHECK"))</f>
        <v/>
      </c>
      <c r="H676" t="str">
        <f>IFERROR(INDEX(Cluster_Master!$C$4:$C$18,MATCH($F676,Cluster_Master!$B$4:$B$18,0)),"")</f>
        <v/>
      </c>
      <c r="I676" t="str">
        <f>IFERROR(INDEX(Cluster_Master!$D$4:$D$18,MATCH($F676,Cluster_Master!$B$4:$B$18,0)),"")</f>
        <v/>
      </c>
      <c r="J676" t="str">
        <f>IFERROR(INDEX(Cluster_Master!$E$4:$E$18,MATCH($F676,Cluster_Master!$B$4:$B$18,0)),"")</f>
        <v/>
      </c>
      <c r="K676" t="str">
        <f>IFERROR(INDEX(Cluster_Master!$F$4:$F$18,MATCH($F676,Cluster_Master!$B$4:$B$18,0)),"")</f>
        <v/>
      </c>
      <c r="L676" t="str">
        <f>IFERROR(INDEX(Cluster_Master!$G$4:$G$18,MATCH($F676,Cluster_Master!$B$4:$B$18,0)),"")</f>
        <v/>
      </c>
      <c r="M676" t="str">
        <f>IFERROR(INDEX(Cluster_Master!$H$4:$H$18,MATCH($F676,Cluster_Master!$B$4:$B$18,0)),"")</f>
        <v/>
      </c>
      <c r="AI676" t="str">
        <f t="shared" si="82"/>
        <v/>
      </c>
      <c r="AJ676" t="str">
        <f t="shared" si="83"/>
        <v/>
      </c>
      <c r="AK676" t="str">
        <f>IF(COUNTA(T676:AH676)=0,"",(SUM(T676*KPI_Weights!$B$4,U676*KPI_Weights!$B$5,V676*KPI_Weights!$B$6,W676*KPI_Weights!$B$7,X676*KPI_Weights!$B$8,Y676*KPI_Weights!$B$9,Z676*KPI_Weights!$B$10,AA676*KPI_Weights!$B$11,AB676*KPI_Weights!$B$12,AC676*KPI_Weights!$B$13,AD676*KPI_Weights!$B$14,AE676*KPI_Weights!$B$15,AF676*KPI_Weights!$B$16,AG676*KPI_Weights!$B$17,AH676*KPI_Weights!$B$18))/5)</f>
        <v/>
      </c>
      <c r="AL676" t="str">
        <f t="shared" si="84"/>
        <v/>
      </c>
      <c r="AM676" t="str">
        <f t="shared" si="85"/>
        <v/>
      </c>
      <c r="AN676" t="str">
        <f t="shared" si="86"/>
        <v/>
      </c>
    </row>
    <row r="677" spans="1:40" ht="15" customHeight="1" x14ac:dyDescent="0.2">
      <c r="A677" t="str">
        <f>IF($B677="","",TEXT($B677,"yyyymmdd")&amp;"-"&amp;SUBSTITUTE($F677," ","")&amp;"-"&amp;TEXT(COUNTIF($F$4:F677,$F677),"00"))</f>
        <v/>
      </c>
      <c r="C677" t="str">
        <f t="shared" si="80"/>
        <v/>
      </c>
      <c r="D677" t="str">
        <f t="shared" si="81"/>
        <v/>
      </c>
      <c r="G677" t="str">
        <f>IF(OR($E677="",$F677=""),"",IFERROR(IF($E677=INDEX(Cluster_Master!$A$4:$A$18,MATCH($F677,Cluster_Master!$B$4:$B$18,0)),"OK","CHECK"),"CHECK"))</f>
        <v/>
      </c>
      <c r="H677" t="str">
        <f>IFERROR(INDEX(Cluster_Master!$C$4:$C$18,MATCH($F677,Cluster_Master!$B$4:$B$18,0)),"")</f>
        <v/>
      </c>
      <c r="I677" t="str">
        <f>IFERROR(INDEX(Cluster_Master!$D$4:$D$18,MATCH($F677,Cluster_Master!$B$4:$B$18,0)),"")</f>
        <v/>
      </c>
      <c r="J677" t="str">
        <f>IFERROR(INDEX(Cluster_Master!$E$4:$E$18,MATCH($F677,Cluster_Master!$B$4:$B$18,0)),"")</f>
        <v/>
      </c>
      <c r="K677" t="str">
        <f>IFERROR(INDEX(Cluster_Master!$F$4:$F$18,MATCH($F677,Cluster_Master!$B$4:$B$18,0)),"")</f>
        <v/>
      </c>
      <c r="L677" t="str">
        <f>IFERROR(INDEX(Cluster_Master!$G$4:$G$18,MATCH($F677,Cluster_Master!$B$4:$B$18,0)),"")</f>
        <v/>
      </c>
      <c r="M677" t="str">
        <f>IFERROR(INDEX(Cluster_Master!$H$4:$H$18,MATCH($F677,Cluster_Master!$B$4:$B$18,0)),"")</f>
        <v/>
      </c>
      <c r="AI677" t="str">
        <f t="shared" si="82"/>
        <v/>
      </c>
      <c r="AJ677" t="str">
        <f t="shared" si="83"/>
        <v/>
      </c>
      <c r="AK677" t="str">
        <f>IF(COUNTA(T677:AH677)=0,"",(SUM(T677*KPI_Weights!$B$4,U677*KPI_Weights!$B$5,V677*KPI_Weights!$B$6,W677*KPI_Weights!$B$7,X677*KPI_Weights!$B$8,Y677*KPI_Weights!$B$9,Z677*KPI_Weights!$B$10,AA677*KPI_Weights!$B$11,AB677*KPI_Weights!$B$12,AC677*KPI_Weights!$B$13,AD677*KPI_Weights!$B$14,AE677*KPI_Weights!$B$15,AF677*KPI_Weights!$B$16,AG677*KPI_Weights!$B$17,AH677*KPI_Weights!$B$18))/5)</f>
        <v/>
      </c>
      <c r="AL677" t="str">
        <f t="shared" si="84"/>
        <v/>
      </c>
      <c r="AM677" t="str">
        <f t="shared" si="85"/>
        <v/>
      </c>
      <c r="AN677" t="str">
        <f t="shared" si="86"/>
        <v/>
      </c>
    </row>
    <row r="678" spans="1:40" ht="15" customHeight="1" x14ac:dyDescent="0.2">
      <c r="A678" t="str">
        <f>IF($B678="","",TEXT($B678,"yyyymmdd")&amp;"-"&amp;SUBSTITUTE($F678," ","")&amp;"-"&amp;TEXT(COUNTIF($F$4:F678,$F678),"00"))</f>
        <v/>
      </c>
      <c r="C678" t="str">
        <f t="shared" si="80"/>
        <v/>
      </c>
      <c r="D678" t="str">
        <f t="shared" si="81"/>
        <v/>
      </c>
      <c r="G678" t="str">
        <f>IF(OR($E678="",$F678=""),"",IFERROR(IF($E678=INDEX(Cluster_Master!$A$4:$A$18,MATCH($F678,Cluster_Master!$B$4:$B$18,0)),"OK","CHECK"),"CHECK"))</f>
        <v/>
      </c>
      <c r="H678" t="str">
        <f>IFERROR(INDEX(Cluster_Master!$C$4:$C$18,MATCH($F678,Cluster_Master!$B$4:$B$18,0)),"")</f>
        <v/>
      </c>
      <c r="I678" t="str">
        <f>IFERROR(INDEX(Cluster_Master!$D$4:$D$18,MATCH($F678,Cluster_Master!$B$4:$B$18,0)),"")</f>
        <v/>
      </c>
      <c r="J678" t="str">
        <f>IFERROR(INDEX(Cluster_Master!$E$4:$E$18,MATCH($F678,Cluster_Master!$B$4:$B$18,0)),"")</f>
        <v/>
      </c>
      <c r="K678" t="str">
        <f>IFERROR(INDEX(Cluster_Master!$F$4:$F$18,MATCH($F678,Cluster_Master!$B$4:$B$18,0)),"")</f>
        <v/>
      </c>
      <c r="L678" t="str">
        <f>IFERROR(INDEX(Cluster_Master!$G$4:$G$18,MATCH($F678,Cluster_Master!$B$4:$B$18,0)),"")</f>
        <v/>
      </c>
      <c r="M678" t="str">
        <f>IFERROR(INDEX(Cluster_Master!$H$4:$H$18,MATCH($F678,Cluster_Master!$B$4:$B$18,0)),"")</f>
        <v/>
      </c>
      <c r="AI678" t="str">
        <f t="shared" si="82"/>
        <v/>
      </c>
      <c r="AJ678" t="str">
        <f t="shared" si="83"/>
        <v/>
      </c>
      <c r="AK678" t="str">
        <f>IF(COUNTA(T678:AH678)=0,"",(SUM(T678*KPI_Weights!$B$4,U678*KPI_Weights!$B$5,V678*KPI_Weights!$B$6,W678*KPI_Weights!$B$7,X678*KPI_Weights!$B$8,Y678*KPI_Weights!$B$9,Z678*KPI_Weights!$B$10,AA678*KPI_Weights!$B$11,AB678*KPI_Weights!$B$12,AC678*KPI_Weights!$B$13,AD678*KPI_Weights!$B$14,AE678*KPI_Weights!$B$15,AF678*KPI_Weights!$B$16,AG678*KPI_Weights!$B$17,AH678*KPI_Weights!$B$18))/5)</f>
        <v/>
      </c>
      <c r="AL678" t="str">
        <f t="shared" si="84"/>
        <v/>
      </c>
      <c r="AM678" t="str">
        <f t="shared" si="85"/>
        <v/>
      </c>
      <c r="AN678" t="str">
        <f t="shared" si="86"/>
        <v/>
      </c>
    </row>
    <row r="679" spans="1:40" ht="15" customHeight="1" x14ac:dyDescent="0.2">
      <c r="A679" t="str">
        <f>IF($B679="","",TEXT($B679,"yyyymmdd")&amp;"-"&amp;SUBSTITUTE($F679," ","")&amp;"-"&amp;TEXT(COUNTIF($F$4:F679,$F679),"00"))</f>
        <v/>
      </c>
      <c r="C679" t="str">
        <f t="shared" si="80"/>
        <v/>
      </c>
      <c r="D679" t="str">
        <f t="shared" si="81"/>
        <v/>
      </c>
      <c r="G679" t="str">
        <f>IF(OR($E679="",$F679=""),"",IFERROR(IF($E679=INDEX(Cluster_Master!$A$4:$A$18,MATCH($F679,Cluster_Master!$B$4:$B$18,0)),"OK","CHECK"),"CHECK"))</f>
        <v/>
      </c>
      <c r="H679" t="str">
        <f>IFERROR(INDEX(Cluster_Master!$C$4:$C$18,MATCH($F679,Cluster_Master!$B$4:$B$18,0)),"")</f>
        <v/>
      </c>
      <c r="I679" t="str">
        <f>IFERROR(INDEX(Cluster_Master!$D$4:$D$18,MATCH($F679,Cluster_Master!$B$4:$B$18,0)),"")</f>
        <v/>
      </c>
      <c r="J679" t="str">
        <f>IFERROR(INDEX(Cluster_Master!$E$4:$E$18,MATCH($F679,Cluster_Master!$B$4:$B$18,0)),"")</f>
        <v/>
      </c>
      <c r="K679" t="str">
        <f>IFERROR(INDEX(Cluster_Master!$F$4:$F$18,MATCH($F679,Cluster_Master!$B$4:$B$18,0)),"")</f>
        <v/>
      </c>
      <c r="L679" t="str">
        <f>IFERROR(INDEX(Cluster_Master!$G$4:$G$18,MATCH($F679,Cluster_Master!$B$4:$B$18,0)),"")</f>
        <v/>
      </c>
      <c r="M679" t="str">
        <f>IFERROR(INDEX(Cluster_Master!$H$4:$H$18,MATCH($F679,Cluster_Master!$B$4:$B$18,0)),"")</f>
        <v/>
      </c>
      <c r="AI679" t="str">
        <f t="shared" si="82"/>
        <v/>
      </c>
      <c r="AJ679" t="str">
        <f t="shared" si="83"/>
        <v/>
      </c>
      <c r="AK679" t="str">
        <f>IF(COUNTA(T679:AH679)=0,"",(SUM(T679*KPI_Weights!$B$4,U679*KPI_Weights!$B$5,V679*KPI_Weights!$B$6,W679*KPI_Weights!$B$7,X679*KPI_Weights!$B$8,Y679*KPI_Weights!$B$9,Z679*KPI_Weights!$B$10,AA679*KPI_Weights!$B$11,AB679*KPI_Weights!$B$12,AC679*KPI_Weights!$B$13,AD679*KPI_Weights!$B$14,AE679*KPI_Weights!$B$15,AF679*KPI_Weights!$B$16,AG679*KPI_Weights!$B$17,AH679*KPI_Weights!$B$18))/5)</f>
        <v/>
      </c>
      <c r="AL679" t="str">
        <f t="shared" si="84"/>
        <v/>
      </c>
      <c r="AM679" t="str">
        <f t="shared" si="85"/>
        <v/>
      </c>
      <c r="AN679" t="str">
        <f t="shared" si="86"/>
        <v/>
      </c>
    </row>
    <row r="680" spans="1:40" ht="15" customHeight="1" x14ac:dyDescent="0.2">
      <c r="A680" t="str">
        <f>IF($B680="","",TEXT($B680,"yyyymmdd")&amp;"-"&amp;SUBSTITUTE($F680," ","")&amp;"-"&amp;TEXT(COUNTIF($F$4:F680,$F680),"00"))</f>
        <v/>
      </c>
      <c r="C680" t="str">
        <f t="shared" si="80"/>
        <v/>
      </c>
      <c r="D680" t="str">
        <f t="shared" si="81"/>
        <v/>
      </c>
      <c r="G680" t="str">
        <f>IF(OR($E680="",$F680=""),"",IFERROR(IF($E680=INDEX(Cluster_Master!$A$4:$A$18,MATCH($F680,Cluster_Master!$B$4:$B$18,0)),"OK","CHECK"),"CHECK"))</f>
        <v/>
      </c>
      <c r="H680" t="str">
        <f>IFERROR(INDEX(Cluster_Master!$C$4:$C$18,MATCH($F680,Cluster_Master!$B$4:$B$18,0)),"")</f>
        <v/>
      </c>
      <c r="I680" t="str">
        <f>IFERROR(INDEX(Cluster_Master!$D$4:$D$18,MATCH($F680,Cluster_Master!$B$4:$B$18,0)),"")</f>
        <v/>
      </c>
      <c r="J680" t="str">
        <f>IFERROR(INDEX(Cluster_Master!$E$4:$E$18,MATCH($F680,Cluster_Master!$B$4:$B$18,0)),"")</f>
        <v/>
      </c>
      <c r="K680" t="str">
        <f>IFERROR(INDEX(Cluster_Master!$F$4:$F$18,MATCH($F680,Cluster_Master!$B$4:$B$18,0)),"")</f>
        <v/>
      </c>
      <c r="L680" t="str">
        <f>IFERROR(INDEX(Cluster_Master!$G$4:$G$18,MATCH($F680,Cluster_Master!$B$4:$B$18,0)),"")</f>
        <v/>
      </c>
      <c r="M680" t="str">
        <f>IFERROR(INDEX(Cluster_Master!$H$4:$H$18,MATCH($F680,Cluster_Master!$B$4:$B$18,0)),"")</f>
        <v/>
      </c>
      <c r="AI680" t="str">
        <f t="shared" si="82"/>
        <v/>
      </c>
      <c r="AJ680" t="str">
        <f t="shared" si="83"/>
        <v/>
      </c>
      <c r="AK680" t="str">
        <f>IF(COUNTA(T680:AH680)=0,"",(SUM(T680*KPI_Weights!$B$4,U680*KPI_Weights!$B$5,V680*KPI_Weights!$B$6,W680*KPI_Weights!$B$7,X680*KPI_Weights!$B$8,Y680*KPI_Weights!$B$9,Z680*KPI_Weights!$B$10,AA680*KPI_Weights!$B$11,AB680*KPI_Weights!$B$12,AC680*KPI_Weights!$B$13,AD680*KPI_Weights!$B$14,AE680*KPI_Weights!$B$15,AF680*KPI_Weights!$B$16,AG680*KPI_Weights!$B$17,AH680*KPI_Weights!$B$18))/5)</f>
        <v/>
      </c>
      <c r="AL680" t="str">
        <f t="shared" si="84"/>
        <v/>
      </c>
      <c r="AM680" t="str">
        <f t="shared" si="85"/>
        <v/>
      </c>
      <c r="AN680" t="str">
        <f t="shared" si="86"/>
        <v/>
      </c>
    </row>
    <row r="681" spans="1:40" ht="15" customHeight="1" x14ac:dyDescent="0.2">
      <c r="A681" t="str">
        <f>IF($B681="","",TEXT($B681,"yyyymmdd")&amp;"-"&amp;SUBSTITUTE($F681," ","")&amp;"-"&amp;TEXT(COUNTIF($F$4:F681,$F681),"00"))</f>
        <v/>
      </c>
      <c r="C681" t="str">
        <f t="shared" si="80"/>
        <v/>
      </c>
      <c r="D681" t="str">
        <f t="shared" si="81"/>
        <v/>
      </c>
      <c r="G681" t="str">
        <f>IF(OR($E681="",$F681=""),"",IFERROR(IF($E681=INDEX(Cluster_Master!$A$4:$A$18,MATCH($F681,Cluster_Master!$B$4:$B$18,0)),"OK","CHECK"),"CHECK"))</f>
        <v/>
      </c>
      <c r="H681" t="str">
        <f>IFERROR(INDEX(Cluster_Master!$C$4:$C$18,MATCH($F681,Cluster_Master!$B$4:$B$18,0)),"")</f>
        <v/>
      </c>
      <c r="I681" t="str">
        <f>IFERROR(INDEX(Cluster_Master!$D$4:$D$18,MATCH($F681,Cluster_Master!$B$4:$B$18,0)),"")</f>
        <v/>
      </c>
      <c r="J681" t="str">
        <f>IFERROR(INDEX(Cluster_Master!$E$4:$E$18,MATCH($F681,Cluster_Master!$B$4:$B$18,0)),"")</f>
        <v/>
      </c>
      <c r="K681" t="str">
        <f>IFERROR(INDEX(Cluster_Master!$F$4:$F$18,MATCH($F681,Cluster_Master!$B$4:$B$18,0)),"")</f>
        <v/>
      </c>
      <c r="L681" t="str">
        <f>IFERROR(INDEX(Cluster_Master!$G$4:$G$18,MATCH($F681,Cluster_Master!$B$4:$B$18,0)),"")</f>
        <v/>
      </c>
      <c r="M681" t="str">
        <f>IFERROR(INDEX(Cluster_Master!$H$4:$H$18,MATCH($F681,Cluster_Master!$B$4:$B$18,0)),"")</f>
        <v/>
      </c>
      <c r="AI681" t="str">
        <f t="shared" si="82"/>
        <v/>
      </c>
      <c r="AJ681" t="str">
        <f t="shared" si="83"/>
        <v/>
      </c>
      <c r="AK681" t="str">
        <f>IF(COUNTA(T681:AH681)=0,"",(SUM(T681*KPI_Weights!$B$4,U681*KPI_Weights!$B$5,V681*KPI_Weights!$B$6,W681*KPI_Weights!$B$7,X681*KPI_Weights!$B$8,Y681*KPI_Weights!$B$9,Z681*KPI_Weights!$B$10,AA681*KPI_Weights!$B$11,AB681*KPI_Weights!$B$12,AC681*KPI_Weights!$B$13,AD681*KPI_Weights!$B$14,AE681*KPI_Weights!$B$15,AF681*KPI_Weights!$B$16,AG681*KPI_Weights!$B$17,AH681*KPI_Weights!$B$18))/5)</f>
        <v/>
      </c>
      <c r="AL681" t="str">
        <f t="shared" si="84"/>
        <v/>
      </c>
      <c r="AM681" t="str">
        <f t="shared" si="85"/>
        <v/>
      </c>
      <c r="AN681" t="str">
        <f t="shared" si="86"/>
        <v/>
      </c>
    </row>
    <row r="682" spans="1:40" ht="15" customHeight="1" x14ac:dyDescent="0.2">
      <c r="A682" t="str">
        <f>IF($B682="","",TEXT($B682,"yyyymmdd")&amp;"-"&amp;SUBSTITUTE($F682," ","")&amp;"-"&amp;TEXT(COUNTIF($F$4:F682,$F682),"00"))</f>
        <v/>
      </c>
      <c r="C682" t="str">
        <f t="shared" si="80"/>
        <v/>
      </c>
      <c r="D682" t="str">
        <f t="shared" si="81"/>
        <v/>
      </c>
      <c r="G682" t="str">
        <f>IF(OR($E682="",$F682=""),"",IFERROR(IF($E682=INDEX(Cluster_Master!$A$4:$A$18,MATCH($F682,Cluster_Master!$B$4:$B$18,0)),"OK","CHECK"),"CHECK"))</f>
        <v/>
      </c>
      <c r="H682" t="str">
        <f>IFERROR(INDEX(Cluster_Master!$C$4:$C$18,MATCH($F682,Cluster_Master!$B$4:$B$18,0)),"")</f>
        <v/>
      </c>
      <c r="I682" t="str">
        <f>IFERROR(INDEX(Cluster_Master!$D$4:$D$18,MATCH($F682,Cluster_Master!$B$4:$B$18,0)),"")</f>
        <v/>
      </c>
      <c r="J682" t="str">
        <f>IFERROR(INDEX(Cluster_Master!$E$4:$E$18,MATCH($F682,Cluster_Master!$B$4:$B$18,0)),"")</f>
        <v/>
      </c>
      <c r="K682" t="str">
        <f>IFERROR(INDEX(Cluster_Master!$F$4:$F$18,MATCH($F682,Cluster_Master!$B$4:$B$18,0)),"")</f>
        <v/>
      </c>
      <c r="L682" t="str">
        <f>IFERROR(INDEX(Cluster_Master!$G$4:$G$18,MATCH($F682,Cluster_Master!$B$4:$B$18,0)),"")</f>
        <v/>
      </c>
      <c r="M682" t="str">
        <f>IFERROR(INDEX(Cluster_Master!$H$4:$H$18,MATCH($F682,Cluster_Master!$B$4:$B$18,0)),"")</f>
        <v/>
      </c>
      <c r="AI682" t="str">
        <f t="shared" si="82"/>
        <v/>
      </c>
      <c r="AJ682" t="str">
        <f t="shared" si="83"/>
        <v/>
      </c>
      <c r="AK682" t="str">
        <f>IF(COUNTA(T682:AH682)=0,"",(SUM(T682*KPI_Weights!$B$4,U682*KPI_Weights!$B$5,V682*KPI_Weights!$B$6,W682*KPI_Weights!$B$7,X682*KPI_Weights!$B$8,Y682*KPI_Weights!$B$9,Z682*KPI_Weights!$B$10,AA682*KPI_Weights!$B$11,AB682*KPI_Weights!$B$12,AC682*KPI_Weights!$B$13,AD682*KPI_Weights!$B$14,AE682*KPI_Weights!$B$15,AF682*KPI_Weights!$B$16,AG682*KPI_Weights!$B$17,AH682*KPI_Weights!$B$18))/5)</f>
        <v/>
      </c>
      <c r="AL682" t="str">
        <f t="shared" si="84"/>
        <v/>
      </c>
      <c r="AM682" t="str">
        <f t="shared" si="85"/>
        <v/>
      </c>
      <c r="AN682" t="str">
        <f t="shared" si="86"/>
        <v/>
      </c>
    </row>
    <row r="683" spans="1:40" ht="15" customHeight="1" x14ac:dyDescent="0.2">
      <c r="A683" t="str">
        <f>IF($B683="","",TEXT($B683,"yyyymmdd")&amp;"-"&amp;SUBSTITUTE($F683," ","")&amp;"-"&amp;TEXT(COUNTIF($F$4:F683,$F683),"00"))</f>
        <v/>
      </c>
      <c r="C683" t="str">
        <f t="shared" si="80"/>
        <v/>
      </c>
      <c r="D683" t="str">
        <f t="shared" si="81"/>
        <v/>
      </c>
      <c r="G683" t="str">
        <f>IF(OR($E683="",$F683=""),"",IFERROR(IF($E683=INDEX(Cluster_Master!$A$4:$A$18,MATCH($F683,Cluster_Master!$B$4:$B$18,0)),"OK","CHECK"),"CHECK"))</f>
        <v/>
      </c>
      <c r="H683" t="str">
        <f>IFERROR(INDEX(Cluster_Master!$C$4:$C$18,MATCH($F683,Cluster_Master!$B$4:$B$18,0)),"")</f>
        <v/>
      </c>
      <c r="I683" t="str">
        <f>IFERROR(INDEX(Cluster_Master!$D$4:$D$18,MATCH($F683,Cluster_Master!$B$4:$B$18,0)),"")</f>
        <v/>
      </c>
      <c r="J683" t="str">
        <f>IFERROR(INDEX(Cluster_Master!$E$4:$E$18,MATCH($F683,Cluster_Master!$B$4:$B$18,0)),"")</f>
        <v/>
      </c>
      <c r="K683" t="str">
        <f>IFERROR(INDEX(Cluster_Master!$F$4:$F$18,MATCH($F683,Cluster_Master!$B$4:$B$18,0)),"")</f>
        <v/>
      </c>
      <c r="L683" t="str">
        <f>IFERROR(INDEX(Cluster_Master!$G$4:$G$18,MATCH($F683,Cluster_Master!$B$4:$B$18,0)),"")</f>
        <v/>
      </c>
      <c r="M683" t="str">
        <f>IFERROR(INDEX(Cluster_Master!$H$4:$H$18,MATCH($F683,Cluster_Master!$B$4:$B$18,0)),"")</f>
        <v/>
      </c>
      <c r="AI683" t="str">
        <f t="shared" si="82"/>
        <v/>
      </c>
      <c r="AJ683" t="str">
        <f t="shared" si="83"/>
        <v/>
      </c>
      <c r="AK683" t="str">
        <f>IF(COUNTA(T683:AH683)=0,"",(SUM(T683*KPI_Weights!$B$4,U683*KPI_Weights!$B$5,V683*KPI_Weights!$B$6,W683*KPI_Weights!$B$7,X683*KPI_Weights!$B$8,Y683*KPI_Weights!$B$9,Z683*KPI_Weights!$B$10,AA683*KPI_Weights!$B$11,AB683*KPI_Weights!$B$12,AC683*KPI_Weights!$B$13,AD683*KPI_Weights!$B$14,AE683*KPI_Weights!$B$15,AF683*KPI_Weights!$B$16,AG683*KPI_Weights!$B$17,AH683*KPI_Weights!$B$18))/5)</f>
        <v/>
      </c>
      <c r="AL683" t="str">
        <f t="shared" si="84"/>
        <v/>
      </c>
      <c r="AM683" t="str">
        <f t="shared" si="85"/>
        <v/>
      </c>
      <c r="AN683" t="str">
        <f t="shared" si="86"/>
        <v/>
      </c>
    </row>
    <row r="684" spans="1:40" ht="15" customHeight="1" x14ac:dyDescent="0.2">
      <c r="A684" t="str">
        <f>IF($B684="","",TEXT($B684,"yyyymmdd")&amp;"-"&amp;SUBSTITUTE($F684," ","")&amp;"-"&amp;TEXT(COUNTIF($F$4:F684,$F684),"00"))</f>
        <v/>
      </c>
      <c r="C684" t="str">
        <f t="shared" si="80"/>
        <v/>
      </c>
      <c r="D684" t="str">
        <f t="shared" si="81"/>
        <v/>
      </c>
      <c r="G684" t="str">
        <f>IF(OR($E684="",$F684=""),"",IFERROR(IF($E684=INDEX(Cluster_Master!$A$4:$A$18,MATCH($F684,Cluster_Master!$B$4:$B$18,0)),"OK","CHECK"),"CHECK"))</f>
        <v/>
      </c>
      <c r="H684" t="str">
        <f>IFERROR(INDEX(Cluster_Master!$C$4:$C$18,MATCH($F684,Cluster_Master!$B$4:$B$18,0)),"")</f>
        <v/>
      </c>
      <c r="I684" t="str">
        <f>IFERROR(INDEX(Cluster_Master!$D$4:$D$18,MATCH($F684,Cluster_Master!$B$4:$B$18,0)),"")</f>
        <v/>
      </c>
      <c r="J684" t="str">
        <f>IFERROR(INDEX(Cluster_Master!$E$4:$E$18,MATCH($F684,Cluster_Master!$B$4:$B$18,0)),"")</f>
        <v/>
      </c>
      <c r="K684" t="str">
        <f>IFERROR(INDEX(Cluster_Master!$F$4:$F$18,MATCH($F684,Cluster_Master!$B$4:$B$18,0)),"")</f>
        <v/>
      </c>
      <c r="L684" t="str">
        <f>IFERROR(INDEX(Cluster_Master!$G$4:$G$18,MATCH($F684,Cluster_Master!$B$4:$B$18,0)),"")</f>
        <v/>
      </c>
      <c r="M684" t="str">
        <f>IFERROR(INDEX(Cluster_Master!$H$4:$H$18,MATCH($F684,Cluster_Master!$B$4:$B$18,0)),"")</f>
        <v/>
      </c>
      <c r="AI684" t="str">
        <f t="shared" si="82"/>
        <v/>
      </c>
      <c r="AJ684" t="str">
        <f t="shared" si="83"/>
        <v/>
      </c>
      <c r="AK684" t="str">
        <f>IF(COUNTA(T684:AH684)=0,"",(SUM(T684*KPI_Weights!$B$4,U684*KPI_Weights!$B$5,V684*KPI_Weights!$B$6,W684*KPI_Weights!$B$7,X684*KPI_Weights!$B$8,Y684*KPI_Weights!$B$9,Z684*KPI_Weights!$B$10,AA684*KPI_Weights!$B$11,AB684*KPI_Weights!$B$12,AC684*KPI_Weights!$B$13,AD684*KPI_Weights!$B$14,AE684*KPI_Weights!$B$15,AF684*KPI_Weights!$B$16,AG684*KPI_Weights!$B$17,AH684*KPI_Weights!$B$18))/5)</f>
        <v/>
      </c>
      <c r="AL684" t="str">
        <f t="shared" si="84"/>
        <v/>
      </c>
      <c r="AM684" t="str">
        <f t="shared" si="85"/>
        <v/>
      </c>
      <c r="AN684" t="str">
        <f t="shared" si="86"/>
        <v/>
      </c>
    </row>
    <row r="685" spans="1:40" ht="15" customHeight="1" x14ac:dyDescent="0.2">
      <c r="A685" t="str">
        <f>IF($B685="","",TEXT($B685,"yyyymmdd")&amp;"-"&amp;SUBSTITUTE($F685," ","")&amp;"-"&amp;TEXT(COUNTIF($F$4:F685,$F685),"00"))</f>
        <v/>
      </c>
      <c r="C685" t="str">
        <f t="shared" si="80"/>
        <v/>
      </c>
      <c r="D685" t="str">
        <f t="shared" si="81"/>
        <v/>
      </c>
      <c r="G685" t="str">
        <f>IF(OR($E685="",$F685=""),"",IFERROR(IF($E685=INDEX(Cluster_Master!$A$4:$A$18,MATCH($F685,Cluster_Master!$B$4:$B$18,0)),"OK","CHECK"),"CHECK"))</f>
        <v/>
      </c>
      <c r="H685" t="str">
        <f>IFERROR(INDEX(Cluster_Master!$C$4:$C$18,MATCH($F685,Cluster_Master!$B$4:$B$18,0)),"")</f>
        <v/>
      </c>
      <c r="I685" t="str">
        <f>IFERROR(INDEX(Cluster_Master!$D$4:$D$18,MATCH($F685,Cluster_Master!$B$4:$B$18,0)),"")</f>
        <v/>
      </c>
      <c r="J685" t="str">
        <f>IFERROR(INDEX(Cluster_Master!$E$4:$E$18,MATCH($F685,Cluster_Master!$B$4:$B$18,0)),"")</f>
        <v/>
      </c>
      <c r="K685" t="str">
        <f>IFERROR(INDEX(Cluster_Master!$F$4:$F$18,MATCH($F685,Cluster_Master!$B$4:$B$18,0)),"")</f>
        <v/>
      </c>
      <c r="L685" t="str">
        <f>IFERROR(INDEX(Cluster_Master!$G$4:$G$18,MATCH($F685,Cluster_Master!$B$4:$B$18,0)),"")</f>
        <v/>
      </c>
      <c r="M685" t="str">
        <f>IFERROR(INDEX(Cluster_Master!$H$4:$H$18,MATCH($F685,Cluster_Master!$B$4:$B$18,0)),"")</f>
        <v/>
      </c>
      <c r="AI685" t="str">
        <f t="shared" si="82"/>
        <v/>
      </c>
      <c r="AJ685" t="str">
        <f t="shared" si="83"/>
        <v/>
      </c>
      <c r="AK685" t="str">
        <f>IF(COUNTA(T685:AH685)=0,"",(SUM(T685*KPI_Weights!$B$4,U685*KPI_Weights!$B$5,V685*KPI_Weights!$B$6,W685*KPI_Weights!$B$7,X685*KPI_Weights!$B$8,Y685*KPI_Weights!$B$9,Z685*KPI_Weights!$B$10,AA685*KPI_Weights!$B$11,AB685*KPI_Weights!$B$12,AC685*KPI_Weights!$B$13,AD685*KPI_Weights!$B$14,AE685*KPI_Weights!$B$15,AF685*KPI_Weights!$B$16,AG685*KPI_Weights!$B$17,AH685*KPI_Weights!$B$18))/5)</f>
        <v/>
      </c>
      <c r="AL685" t="str">
        <f t="shared" si="84"/>
        <v/>
      </c>
      <c r="AM685" t="str">
        <f t="shared" si="85"/>
        <v/>
      </c>
      <c r="AN685" t="str">
        <f t="shared" si="86"/>
        <v/>
      </c>
    </row>
    <row r="686" spans="1:40" ht="15" customHeight="1" x14ac:dyDescent="0.2">
      <c r="A686" t="str">
        <f>IF($B686="","",TEXT($B686,"yyyymmdd")&amp;"-"&amp;SUBSTITUTE($F686," ","")&amp;"-"&amp;TEXT(COUNTIF($F$4:F686,$F686),"00"))</f>
        <v/>
      </c>
      <c r="C686" t="str">
        <f t="shared" si="80"/>
        <v/>
      </c>
      <c r="D686" t="str">
        <f t="shared" si="81"/>
        <v/>
      </c>
      <c r="G686" t="str">
        <f>IF(OR($E686="",$F686=""),"",IFERROR(IF($E686=INDEX(Cluster_Master!$A$4:$A$18,MATCH($F686,Cluster_Master!$B$4:$B$18,0)),"OK","CHECK"),"CHECK"))</f>
        <v/>
      </c>
      <c r="H686" t="str">
        <f>IFERROR(INDEX(Cluster_Master!$C$4:$C$18,MATCH($F686,Cluster_Master!$B$4:$B$18,0)),"")</f>
        <v/>
      </c>
      <c r="I686" t="str">
        <f>IFERROR(INDEX(Cluster_Master!$D$4:$D$18,MATCH($F686,Cluster_Master!$B$4:$B$18,0)),"")</f>
        <v/>
      </c>
      <c r="J686" t="str">
        <f>IFERROR(INDEX(Cluster_Master!$E$4:$E$18,MATCH($F686,Cluster_Master!$B$4:$B$18,0)),"")</f>
        <v/>
      </c>
      <c r="K686" t="str">
        <f>IFERROR(INDEX(Cluster_Master!$F$4:$F$18,MATCH($F686,Cluster_Master!$B$4:$B$18,0)),"")</f>
        <v/>
      </c>
      <c r="L686" t="str">
        <f>IFERROR(INDEX(Cluster_Master!$G$4:$G$18,MATCH($F686,Cluster_Master!$B$4:$B$18,0)),"")</f>
        <v/>
      </c>
      <c r="M686" t="str">
        <f>IFERROR(INDEX(Cluster_Master!$H$4:$H$18,MATCH($F686,Cluster_Master!$B$4:$B$18,0)),"")</f>
        <v/>
      </c>
      <c r="AI686" t="str">
        <f t="shared" si="82"/>
        <v/>
      </c>
      <c r="AJ686" t="str">
        <f t="shared" si="83"/>
        <v/>
      </c>
      <c r="AK686" t="str">
        <f>IF(COUNTA(T686:AH686)=0,"",(SUM(T686*KPI_Weights!$B$4,U686*KPI_Weights!$B$5,V686*KPI_Weights!$B$6,W686*KPI_Weights!$B$7,X686*KPI_Weights!$B$8,Y686*KPI_Weights!$B$9,Z686*KPI_Weights!$B$10,AA686*KPI_Weights!$B$11,AB686*KPI_Weights!$B$12,AC686*KPI_Weights!$B$13,AD686*KPI_Weights!$B$14,AE686*KPI_Weights!$B$15,AF686*KPI_Weights!$B$16,AG686*KPI_Weights!$B$17,AH686*KPI_Weights!$B$18))/5)</f>
        <v/>
      </c>
      <c r="AL686" t="str">
        <f t="shared" si="84"/>
        <v/>
      </c>
      <c r="AM686" t="str">
        <f t="shared" si="85"/>
        <v/>
      </c>
      <c r="AN686" t="str">
        <f t="shared" si="86"/>
        <v/>
      </c>
    </row>
    <row r="687" spans="1:40" ht="15" customHeight="1" x14ac:dyDescent="0.2">
      <c r="A687" t="str">
        <f>IF($B687="","",TEXT($B687,"yyyymmdd")&amp;"-"&amp;SUBSTITUTE($F687," ","")&amp;"-"&amp;TEXT(COUNTIF($F$4:F687,$F687),"00"))</f>
        <v/>
      </c>
      <c r="C687" t="str">
        <f t="shared" si="80"/>
        <v/>
      </c>
      <c r="D687" t="str">
        <f t="shared" si="81"/>
        <v/>
      </c>
      <c r="G687" t="str">
        <f>IF(OR($E687="",$F687=""),"",IFERROR(IF($E687=INDEX(Cluster_Master!$A$4:$A$18,MATCH($F687,Cluster_Master!$B$4:$B$18,0)),"OK","CHECK"),"CHECK"))</f>
        <v/>
      </c>
      <c r="H687" t="str">
        <f>IFERROR(INDEX(Cluster_Master!$C$4:$C$18,MATCH($F687,Cluster_Master!$B$4:$B$18,0)),"")</f>
        <v/>
      </c>
      <c r="I687" t="str">
        <f>IFERROR(INDEX(Cluster_Master!$D$4:$D$18,MATCH($F687,Cluster_Master!$B$4:$B$18,0)),"")</f>
        <v/>
      </c>
      <c r="J687" t="str">
        <f>IFERROR(INDEX(Cluster_Master!$E$4:$E$18,MATCH($F687,Cluster_Master!$B$4:$B$18,0)),"")</f>
        <v/>
      </c>
      <c r="K687" t="str">
        <f>IFERROR(INDEX(Cluster_Master!$F$4:$F$18,MATCH($F687,Cluster_Master!$B$4:$B$18,0)),"")</f>
        <v/>
      </c>
      <c r="L687" t="str">
        <f>IFERROR(INDEX(Cluster_Master!$G$4:$G$18,MATCH($F687,Cluster_Master!$B$4:$B$18,0)),"")</f>
        <v/>
      </c>
      <c r="M687" t="str">
        <f>IFERROR(INDEX(Cluster_Master!$H$4:$H$18,MATCH($F687,Cluster_Master!$B$4:$B$18,0)),"")</f>
        <v/>
      </c>
      <c r="AI687" t="str">
        <f t="shared" si="82"/>
        <v/>
      </c>
      <c r="AJ687" t="str">
        <f t="shared" si="83"/>
        <v/>
      </c>
      <c r="AK687" t="str">
        <f>IF(COUNTA(T687:AH687)=0,"",(SUM(T687*KPI_Weights!$B$4,U687*KPI_Weights!$B$5,V687*KPI_Weights!$B$6,W687*KPI_Weights!$B$7,X687*KPI_Weights!$B$8,Y687*KPI_Weights!$B$9,Z687*KPI_Weights!$B$10,AA687*KPI_Weights!$B$11,AB687*KPI_Weights!$B$12,AC687*KPI_Weights!$B$13,AD687*KPI_Weights!$B$14,AE687*KPI_Weights!$B$15,AF687*KPI_Weights!$B$16,AG687*KPI_Weights!$B$17,AH687*KPI_Weights!$B$18))/5)</f>
        <v/>
      </c>
      <c r="AL687" t="str">
        <f t="shared" si="84"/>
        <v/>
      </c>
      <c r="AM687" t="str">
        <f t="shared" si="85"/>
        <v/>
      </c>
      <c r="AN687" t="str">
        <f t="shared" si="86"/>
        <v/>
      </c>
    </row>
    <row r="688" spans="1:40" ht="15" customHeight="1" x14ac:dyDescent="0.2">
      <c r="A688" t="str">
        <f>IF($B688="","",TEXT($B688,"yyyymmdd")&amp;"-"&amp;SUBSTITUTE($F688," ","")&amp;"-"&amp;TEXT(COUNTIF($F$4:F688,$F688),"00"))</f>
        <v/>
      </c>
      <c r="C688" t="str">
        <f t="shared" si="80"/>
        <v/>
      </c>
      <c r="D688" t="str">
        <f t="shared" si="81"/>
        <v/>
      </c>
      <c r="G688" t="str">
        <f>IF(OR($E688="",$F688=""),"",IFERROR(IF($E688=INDEX(Cluster_Master!$A$4:$A$18,MATCH($F688,Cluster_Master!$B$4:$B$18,0)),"OK","CHECK"),"CHECK"))</f>
        <v/>
      </c>
      <c r="H688" t="str">
        <f>IFERROR(INDEX(Cluster_Master!$C$4:$C$18,MATCH($F688,Cluster_Master!$B$4:$B$18,0)),"")</f>
        <v/>
      </c>
      <c r="I688" t="str">
        <f>IFERROR(INDEX(Cluster_Master!$D$4:$D$18,MATCH($F688,Cluster_Master!$B$4:$B$18,0)),"")</f>
        <v/>
      </c>
      <c r="J688" t="str">
        <f>IFERROR(INDEX(Cluster_Master!$E$4:$E$18,MATCH($F688,Cluster_Master!$B$4:$B$18,0)),"")</f>
        <v/>
      </c>
      <c r="K688" t="str">
        <f>IFERROR(INDEX(Cluster_Master!$F$4:$F$18,MATCH($F688,Cluster_Master!$B$4:$B$18,0)),"")</f>
        <v/>
      </c>
      <c r="L688" t="str">
        <f>IFERROR(INDEX(Cluster_Master!$G$4:$G$18,MATCH($F688,Cluster_Master!$B$4:$B$18,0)),"")</f>
        <v/>
      </c>
      <c r="M688" t="str">
        <f>IFERROR(INDEX(Cluster_Master!$H$4:$H$18,MATCH($F688,Cluster_Master!$B$4:$B$18,0)),"")</f>
        <v/>
      </c>
      <c r="AI688" t="str">
        <f t="shared" si="82"/>
        <v/>
      </c>
      <c r="AJ688" t="str">
        <f t="shared" si="83"/>
        <v/>
      </c>
      <c r="AK688" t="str">
        <f>IF(COUNTA(T688:AH688)=0,"",(SUM(T688*KPI_Weights!$B$4,U688*KPI_Weights!$B$5,V688*KPI_Weights!$B$6,W688*KPI_Weights!$B$7,X688*KPI_Weights!$B$8,Y688*KPI_Weights!$B$9,Z688*KPI_Weights!$B$10,AA688*KPI_Weights!$B$11,AB688*KPI_Weights!$B$12,AC688*KPI_Weights!$B$13,AD688*KPI_Weights!$B$14,AE688*KPI_Weights!$B$15,AF688*KPI_Weights!$B$16,AG688*KPI_Weights!$B$17,AH688*KPI_Weights!$B$18))/5)</f>
        <v/>
      </c>
      <c r="AL688" t="str">
        <f t="shared" si="84"/>
        <v/>
      </c>
      <c r="AM688" t="str">
        <f t="shared" si="85"/>
        <v/>
      </c>
      <c r="AN688" t="str">
        <f t="shared" si="86"/>
        <v/>
      </c>
    </row>
    <row r="689" spans="1:40" ht="15" customHeight="1" x14ac:dyDescent="0.2">
      <c r="A689" t="str">
        <f>IF($B689="","",TEXT($B689,"yyyymmdd")&amp;"-"&amp;SUBSTITUTE($F689," ","")&amp;"-"&amp;TEXT(COUNTIF($F$4:F689,$F689),"00"))</f>
        <v/>
      </c>
      <c r="C689" t="str">
        <f t="shared" si="80"/>
        <v/>
      </c>
      <c r="D689" t="str">
        <f t="shared" si="81"/>
        <v/>
      </c>
      <c r="G689" t="str">
        <f>IF(OR($E689="",$F689=""),"",IFERROR(IF($E689=INDEX(Cluster_Master!$A$4:$A$18,MATCH($F689,Cluster_Master!$B$4:$B$18,0)),"OK","CHECK"),"CHECK"))</f>
        <v/>
      </c>
      <c r="H689" t="str">
        <f>IFERROR(INDEX(Cluster_Master!$C$4:$C$18,MATCH($F689,Cluster_Master!$B$4:$B$18,0)),"")</f>
        <v/>
      </c>
      <c r="I689" t="str">
        <f>IFERROR(INDEX(Cluster_Master!$D$4:$D$18,MATCH($F689,Cluster_Master!$B$4:$B$18,0)),"")</f>
        <v/>
      </c>
      <c r="J689" t="str">
        <f>IFERROR(INDEX(Cluster_Master!$E$4:$E$18,MATCH($F689,Cluster_Master!$B$4:$B$18,0)),"")</f>
        <v/>
      </c>
      <c r="K689" t="str">
        <f>IFERROR(INDEX(Cluster_Master!$F$4:$F$18,MATCH($F689,Cluster_Master!$B$4:$B$18,0)),"")</f>
        <v/>
      </c>
      <c r="L689" t="str">
        <f>IFERROR(INDEX(Cluster_Master!$G$4:$G$18,MATCH($F689,Cluster_Master!$B$4:$B$18,0)),"")</f>
        <v/>
      </c>
      <c r="M689" t="str">
        <f>IFERROR(INDEX(Cluster_Master!$H$4:$H$18,MATCH($F689,Cluster_Master!$B$4:$B$18,0)),"")</f>
        <v/>
      </c>
      <c r="AI689" t="str">
        <f t="shared" si="82"/>
        <v/>
      </c>
      <c r="AJ689" t="str">
        <f t="shared" si="83"/>
        <v/>
      </c>
      <c r="AK689" t="str">
        <f>IF(COUNTA(T689:AH689)=0,"",(SUM(T689*KPI_Weights!$B$4,U689*KPI_Weights!$B$5,V689*KPI_Weights!$B$6,W689*KPI_Weights!$B$7,X689*KPI_Weights!$B$8,Y689*KPI_Weights!$B$9,Z689*KPI_Weights!$B$10,AA689*KPI_Weights!$B$11,AB689*KPI_Weights!$B$12,AC689*KPI_Weights!$B$13,AD689*KPI_Weights!$B$14,AE689*KPI_Weights!$B$15,AF689*KPI_Weights!$B$16,AG689*KPI_Weights!$B$17,AH689*KPI_Weights!$B$18))/5)</f>
        <v/>
      </c>
      <c r="AL689" t="str">
        <f t="shared" si="84"/>
        <v/>
      </c>
      <c r="AM689" t="str">
        <f t="shared" si="85"/>
        <v/>
      </c>
      <c r="AN689" t="str">
        <f t="shared" si="86"/>
        <v/>
      </c>
    </row>
    <row r="690" spans="1:40" ht="15" customHeight="1" x14ac:dyDescent="0.2">
      <c r="A690" t="str">
        <f>IF($B690="","",TEXT($B690,"yyyymmdd")&amp;"-"&amp;SUBSTITUTE($F690," ","")&amp;"-"&amp;TEXT(COUNTIF($F$4:F690,$F690),"00"))</f>
        <v/>
      </c>
      <c r="C690" t="str">
        <f t="shared" si="80"/>
        <v/>
      </c>
      <c r="D690" t="str">
        <f t="shared" si="81"/>
        <v/>
      </c>
      <c r="G690" t="str">
        <f>IF(OR($E690="",$F690=""),"",IFERROR(IF($E690=INDEX(Cluster_Master!$A$4:$A$18,MATCH($F690,Cluster_Master!$B$4:$B$18,0)),"OK","CHECK"),"CHECK"))</f>
        <v/>
      </c>
      <c r="H690" t="str">
        <f>IFERROR(INDEX(Cluster_Master!$C$4:$C$18,MATCH($F690,Cluster_Master!$B$4:$B$18,0)),"")</f>
        <v/>
      </c>
      <c r="I690" t="str">
        <f>IFERROR(INDEX(Cluster_Master!$D$4:$D$18,MATCH($F690,Cluster_Master!$B$4:$B$18,0)),"")</f>
        <v/>
      </c>
      <c r="J690" t="str">
        <f>IFERROR(INDEX(Cluster_Master!$E$4:$E$18,MATCH($F690,Cluster_Master!$B$4:$B$18,0)),"")</f>
        <v/>
      </c>
      <c r="K690" t="str">
        <f>IFERROR(INDEX(Cluster_Master!$F$4:$F$18,MATCH($F690,Cluster_Master!$B$4:$B$18,0)),"")</f>
        <v/>
      </c>
      <c r="L690" t="str">
        <f>IFERROR(INDEX(Cluster_Master!$G$4:$G$18,MATCH($F690,Cluster_Master!$B$4:$B$18,0)),"")</f>
        <v/>
      </c>
      <c r="M690" t="str">
        <f>IFERROR(INDEX(Cluster_Master!$H$4:$H$18,MATCH($F690,Cluster_Master!$B$4:$B$18,0)),"")</f>
        <v/>
      </c>
      <c r="AI690" t="str">
        <f t="shared" si="82"/>
        <v/>
      </c>
      <c r="AJ690" t="str">
        <f t="shared" si="83"/>
        <v/>
      </c>
      <c r="AK690" t="str">
        <f>IF(COUNTA(T690:AH690)=0,"",(SUM(T690*KPI_Weights!$B$4,U690*KPI_Weights!$B$5,V690*KPI_Weights!$B$6,W690*KPI_Weights!$B$7,X690*KPI_Weights!$B$8,Y690*KPI_Weights!$B$9,Z690*KPI_Weights!$B$10,AA690*KPI_Weights!$B$11,AB690*KPI_Weights!$B$12,AC690*KPI_Weights!$B$13,AD690*KPI_Weights!$B$14,AE690*KPI_Weights!$B$15,AF690*KPI_Weights!$B$16,AG690*KPI_Weights!$B$17,AH690*KPI_Weights!$B$18))/5)</f>
        <v/>
      </c>
      <c r="AL690" t="str">
        <f t="shared" si="84"/>
        <v/>
      </c>
      <c r="AM690" t="str">
        <f t="shared" si="85"/>
        <v/>
      </c>
      <c r="AN690" t="str">
        <f t="shared" si="86"/>
        <v/>
      </c>
    </row>
    <row r="691" spans="1:40" ht="15" customHeight="1" x14ac:dyDescent="0.2">
      <c r="A691" t="str">
        <f>IF($B691="","",TEXT($B691,"yyyymmdd")&amp;"-"&amp;SUBSTITUTE($F691," ","")&amp;"-"&amp;TEXT(COUNTIF($F$4:F691,$F691),"00"))</f>
        <v/>
      </c>
      <c r="C691" t="str">
        <f t="shared" si="80"/>
        <v/>
      </c>
      <c r="D691" t="str">
        <f t="shared" si="81"/>
        <v/>
      </c>
      <c r="G691" t="str">
        <f>IF(OR($E691="",$F691=""),"",IFERROR(IF($E691=INDEX(Cluster_Master!$A$4:$A$18,MATCH($F691,Cluster_Master!$B$4:$B$18,0)),"OK","CHECK"),"CHECK"))</f>
        <v/>
      </c>
      <c r="H691" t="str">
        <f>IFERROR(INDEX(Cluster_Master!$C$4:$C$18,MATCH($F691,Cluster_Master!$B$4:$B$18,0)),"")</f>
        <v/>
      </c>
      <c r="I691" t="str">
        <f>IFERROR(INDEX(Cluster_Master!$D$4:$D$18,MATCH($F691,Cluster_Master!$B$4:$B$18,0)),"")</f>
        <v/>
      </c>
      <c r="J691" t="str">
        <f>IFERROR(INDEX(Cluster_Master!$E$4:$E$18,MATCH($F691,Cluster_Master!$B$4:$B$18,0)),"")</f>
        <v/>
      </c>
      <c r="K691" t="str">
        <f>IFERROR(INDEX(Cluster_Master!$F$4:$F$18,MATCH($F691,Cluster_Master!$B$4:$B$18,0)),"")</f>
        <v/>
      </c>
      <c r="L691" t="str">
        <f>IFERROR(INDEX(Cluster_Master!$G$4:$G$18,MATCH($F691,Cluster_Master!$B$4:$B$18,0)),"")</f>
        <v/>
      </c>
      <c r="M691" t="str">
        <f>IFERROR(INDEX(Cluster_Master!$H$4:$H$18,MATCH($F691,Cluster_Master!$B$4:$B$18,0)),"")</f>
        <v/>
      </c>
      <c r="AI691" t="str">
        <f t="shared" si="82"/>
        <v/>
      </c>
      <c r="AJ691" t="str">
        <f t="shared" si="83"/>
        <v/>
      </c>
      <c r="AK691" t="str">
        <f>IF(COUNTA(T691:AH691)=0,"",(SUM(T691*KPI_Weights!$B$4,U691*KPI_Weights!$B$5,V691*KPI_Weights!$B$6,W691*KPI_Weights!$B$7,X691*KPI_Weights!$B$8,Y691*KPI_Weights!$B$9,Z691*KPI_Weights!$B$10,AA691*KPI_Weights!$B$11,AB691*KPI_Weights!$B$12,AC691*KPI_Weights!$B$13,AD691*KPI_Weights!$B$14,AE691*KPI_Weights!$B$15,AF691*KPI_Weights!$B$16,AG691*KPI_Weights!$B$17,AH691*KPI_Weights!$B$18))/5)</f>
        <v/>
      </c>
      <c r="AL691" t="str">
        <f t="shared" si="84"/>
        <v/>
      </c>
      <c r="AM691" t="str">
        <f t="shared" si="85"/>
        <v/>
      </c>
      <c r="AN691" t="str">
        <f t="shared" si="86"/>
        <v/>
      </c>
    </row>
    <row r="692" spans="1:40" ht="15" customHeight="1" x14ac:dyDescent="0.2">
      <c r="A692" t="str">
        <f>IF($B692="","",TEXT($B692,"yyyymmdd")&amp;"-"&amp;SUBSTITUTE($F692," ","")&amp;"-"&amp;TEXT(COUNTIF($F$4:F692,$F692),"00"))</f>
        <v/>
      </c>
      <c r="C692" t="str">
        <f t="shared" si="80"/>
        <v/>
      </c>
      <c r="D692" t="str">
        <f t="shared" si="81"/>
        <v/>
      </c>
      <c r="G692" t="str">
        <f>IF(OR($E692="",$F692=""),"",IFERROR(IF($E692=INDEX(Cluster_Master!$A$4:$A$18,MATCH($F692,Cluster_Master!$B$4:$B$18,0)),"OK","CHECK"),"CHECK"))</f>
        <v/>
      </c>
      <c r="H692" t="str">
        <f>IFERROR(INDEX(Cluster_Master!$C$4:$C$18,MATCH($F692,Cluster_Master!$B$4:$B$18,0)),"")</f>
        <v/>
      </c>
      <c r="I692" t="str">
        <f>IFERROR(INDEX(Cluster_Master!$D$4:$D$18,MATCH($F692,Cluster_Master!$B$4:$B$18,0)),"")</f>
        <v/>
      </c>
      <c r="J692" t="str">
        <f>IFERROR(INDEX(Cluster_Master!$E$4:$E$18,MATCH($F692,Cluster_Master!$B$4:$B$18,0)),"")</f>
        <v/>
      </c>
      <c r="K692" t="str">
        <f>IFERROR(INDEX(Cluster_Master!$F$4:$F$18,MATCH($F692,Cluster_Master!$B$4:$B$18,0)),"")</f>
        <v/>
      </c>
      <c r="L692" t="str">
        <f>IFERROR(INDEX(Cluster_Master!$G$4:$G$18,MATCH($F692,Cluster_Master!$B$4:$B$18,0)),"")</f>
        <v/>
      </c>
      <c r="M692" t="str">
        <f>IFERROR(INDEX(Cluster_Master!$H$4:$H$18,MATCH($F692,Cluster_Master!$B$4:$B$18,0)),"")</f>
        <v/>
      </c>
      <c r="AI692" t="str">
        <f t="shared" si="82"/>
        <v/>
      </c>
      <c r="AJ692" t="str">
        <f t="shared" si="83"/>
        <v/>
      </c>
      <c r="AK692" t="str">
        <f>IF(COUNTA(T692:AH692)=0,"",(SUM(T692*KPI_Weights!$B$4,U692*KPI_Weights!$B$5,V692*KPI_Weights!$B$6,W692*KPI_Weights!$B$7,X692*KPI_Weights!$B$8,Y692*KPI_Weights!$B$9,Z692*KPI_Weights!$B$10,AA692*KPI_Weights!$B$11,AB692*KPI_Weights!$B$12,AC692*KPI_Weights!$B$13,AD692*KPI_Weights!$B$14,AE692*KPI_Weights!$B$15,AF692*KPI_Weights!$B$16,AG692*KPI_Weights!$B$17,AH692*KPI_Weights!$B$18))/5)</f>
        <v/>
      </c>
      <c r="AL692" t="str">
        <f t="shared" si="84"/>
        <v/>
      </c>
      <c r="AM692" t="str">
        <f t="shared" si="85"/>
        <v/>
      </c>
      <c r="AN692" t="str">
        <f t="shared" si="86"/>
        <v/>
      </c>
    </row>
    <row r="693" spans="1:40" ht="15" customHeight="1" x14ac:dyDescent="0.2">
      <c r="A693" t="str">
        <f>IF($B693="","",TEXT($B693,"yyyymmdd")&amp;"-"&amp;SUBSTITUTE($F693," ","")&amp;"-"&amp;TEXT(COUNTIF($F$4:F693,$F693),"00"))</f>
        <v/>
      </c>
      <c r="C693" t="str">
        <f t="shared" si="80"/>
        <v/>
      </c>
      <c r="D693" t="str">
        <f t="shared" si="81"/>
        <v/>
      </c>
      <c r="G693" t="str">
        <f>IF(OR($E693="",$F693=""),"",IFERROR(IF($E693=INDEX(Cluster_Master!$A$4:$A$18,MATCH($F693,Cluster_Master!$B$4:$B$18,0)),"OK","CHECK"),"CHECK"))</f>
        <v/>
      </c>
      <c r="H693" t="str">
        <f>IFERROR(INDEX(Cluster_Master!$C$4:$C$18,MATCH($F693,Cluster_Master!$B$4:$B$18,0)),"")</f>
        <v/>
      </c>
      <c r="I693" t="str">
        <f>IFERROR(INDEX(Cluster_Master!$D$4:$D$18,MATCH($F693,Cluster_Master!$B$4:$B$18,0)),"")</f>
        <v/>
      </c>
      <c r="J693" t="str">
        <f>IFERROR(INDEX(Cluster_Master!$E$4:$E$18,MATCH($F693,Cluster_Master!$B$4:$B$18,0)),"")</f>
        <v/>
      </c>
      <c r="K693" t="str">
        <f>IFERROR(INDEX(Cluster_Master!$F$4:$F$18,MATCH($F693,Cluster_Master!$B$4:$B$18,0)),"")</f>
        <v/>
      </c>
      <c r="L693" t="str">
        <f>IFERROR(INDEX(Cluster_Master!$G$4:$G$18,MATCH($F693,Cluster_Master!$B$4:$B$18,0)),"")</f>
        <v/>
      </c>
      <c r="M693" t="str">
        <f>IFERROR(INDEX(Cluster_Master!$H$4:$H$18,MATCH($F693,Cluster_Master!$B$4:$B$18,0)),"")</f>
        <v/>
      </c>
      <c r="AI693" t="str">
        <f t="shared" si="82"/>
        <v/>
      </c>
      <c r="AJ693" t="str">
        <f t="shared" si="83"/>
        <v/>
      </c>
      <c r="AK693" t="str">
        <f>IF(COUNTA(T693:AH693)=0,"",(SUM(T693*KPI_Weights!$B$4,U693*KPI_Weights!$B$5,V693*KPI_Weights!$B$6,W693*KPI_Weights!$B$7,X693*KPI_Weights!$B$8,Y693*KPI_Weights!$B$9,Z693*KPI_Weights!$B$10,AA693*KPI_Weights!$B$11,AB693*KPI_Weights!$B$12,AC693*KPI_Weights!$B$13,AD693*KPI_Weights!$B$14,AE693*KPI_Weights!$B$15,AF693*KPI_Weights!$B$16,AG693*KPI_Weights!$B$17,AH693*KPI_Weights!$B$18))/5)</f>
        <v/>
      </c>
      <c r="AL693" t="str">
        <f t="shared" si="84"/>
        <v/>
      </c>
      <c r="AM693" t="str">
        <f t="shared" si="85"/>
        <v/>
      </c>
      <c r="AN693" t="str">
        <f t="shared" si="86"/>
        <v/>
      </c>
    </row>
    <row r="694" spans="1:40" ht="15" customHeight="1" x14ac:dyDescent="0.2">
      <c r="A694" t="str">
        <f>IF($B694="","",TEXT($B694,"yyyymmdd")&amp;"-"&amp;SUBSTITUTE($F694," ","")&amp;"-"&amp;TEXT(COUNTIF($F$4:F694,$F694),"00"))</f>
        <v/>
      </c>
      <c r="C694" t="str">
        <f t="shared" si="80"/>
        <v/>
      </c>
      <c r="D694" t="str">
        <f t="shared" si="81"/>
        <v/>
      </c>
      <c r="G694" t="str">
        <f>IF(OR($E694="",$F694=""),"",IFERROR(IF($E694=INDEX(Cluster_Master!$A$4:$A$18,MATCH($F694,Cluster_Master!$B$4:$B$18,0)),"OK","CHECK"),"CHECK"))</f>
        <v/>
      </c>
      <c r="H694" t="str">
        <f>IFERROR(INDEX(Cluster_Master!$C$4:$C$18,MATCH($F694,Cluster_Master!$B$4:$B$18,0)),"")</f>
        <v/>
      </c>
      <c r="I694" t="str">
        <f>IFERROR(INDEX(Cluster_Master!$D$4:$D$18,MATCH($F694,Cluster_Master!$B$4:$B$18,0)),"")</f>
        <v/>
      </c>
      <c r="J694" t="str">
        <f>IFERROR(INDEX(Cluster_Master!$E$4:$E$18,MATCH($F694,Cluster_Master!$B$4:$B$18,0)),"")</f>
        <v/>
      </c>
      <c r="K694" t="str">
        <f>IFERROR(INDEX(Cluster_Master!$F$4:$F$18,MATCH($F694,Cluster_Master!$B$4:$B$18,0)),"")</f>
        <v/>
      </c>
      <c r="L694" t="str">
        <f>IFERROR(INDEX(Cluster_Master!$G$4:$G$18,MATCH($F694,Cluster_Master!$B$4:$B$18,0)),"")</f>
        <v/>
      </c>
      <c r="M694" t="str">
        <f>IFERROR(INDEX(Cluster_Master!$H$4:$H$18,MATCH($F694,Cluster_Master!$B$4:$B$18,0)),"")</f>
        <v/>
      </c>
      <c r="AI694" t="str">
        <f t="shared" si="82"/>
        <v/>
      </c>
      <c r="AJ694" t="str">
        <f t="shared" si="83"/>
        <v/>
      </c>
      <c r="AK694" t="str">
        <f>IF(COUNTA(T694:AH694)=0,"",(SUM(T694*KPI_Weights!$B$4,U694*KPI_Weights!$B$5,V694*KPI_Weights!$B$6,W694*KPI_Weights!$B$7,X694*KPI_Weights!$B$8,Y694*KPI_Weights!$B$9,Z694*KPI_Weights!$B$10,AA694*KPI_Weights!$B$11,AB694*KPI_Weights!$B$12,AC694*KPI_Weights!$B$13,AD694*KPI_Weights!$B$14,AE694*KPI_Weights!$B$15,AF694*KPI_Weights!$B$16,AG694*KPI_Weights!$B$17,AH694*KPI_Weights!$B$18))/5)</f>
        <v/>
      </c>
      <c r="AL694" t="str">
        <f t="shared" si="84"/>
        <v/>
      </c>
      <c r="AM694" t="str">
        <f t="shared" si="85"/>
        <v/>
      </c>
      <c r="AN694" t="str">
        <f t="shared" si="86"/>
        <v/>
      </c>
    </row>
    <row r="695" spans="1:40" ht="15" customHeight="1" x14ac:dyDescent="0.2">
      <c r="A695" t="str">
        <f>IF($B695="","",TEXT($B695,"yyyymmdd")&amp;"-"&amp;SUBSTITUTE($F695," ","")&amp;"-"&amp;TEXT(COUNTIF($F$4:F695,$F695),"00"))</f>
        <v/>
      </c>
      <c r="C695" t="str">
        <f t="shared" si="80"/>
        <v/>
      </c>
      <c r="D695" t="str">
        <f t="shared" si="81"/>
        <v/>
      </c>
      <c r="G695" t="str">
        <f>IF(OR($E695="",$F695=""),"",IFERROR(IF($E695=INDEX(Cluster_Master!$A$4:$A$18,MATCH($F695,Cluster_Master!$B$4:$B$18,0)),"OK","CHECK"),"CHECK"))</f>
        <v/>
      </c>
      <c r="H695" t="str">
        <f>IFERROR(INDEX(Cluster_Master!$C$4:$C$18,MATCH($F695,Cluster_Master!$B$4:$B$18,0)),"")</f>
        <v/>
      </c>
      <c r="I695" t="str">
        <f>IFERROR(INDEX(Cluster_Master!$D$4:$D$18,MATCH($F695,Cluster_Master!$B$4:$B$18,0)),"")</f>
        <v/>
      </c>
      <c r="J695" t="str">
        <f>IFERROR(INDEX(Cluster_Master!$E$4:$E$18,MATCH($F695,Cluster_Master!$B$4:$B$18,0)),"")</f>
        <v/>
      </c>
      <c r="K695" t="str">
        <f>IFERROR(INDEX(Cluster_Master!$F$4:$F$18,MATCH($F695,Cluster_Master!$B$4:$B$18,0)),"")</f>
        <v/>
      </c>
      <c r="L695" t="str">
        <f>IFERROR(INDEX(Cluster_Master!$G$4:$G$18,MATCH($F695,Cluster_Master!$B$4:$B$18,0)),"")</f>
        <v/>
      </c>
      <c r="M695" t="str">
        <f>IFERROR(INDEX(Cluster_Master!$H$4:$H$18,MATCH($F695,Cluster_Master!$B$4:$B$18,0)),"")</f>
        <v/>
      </c>
      <c r="AI695" t="str">
        <f t="shared" si="82"/>
        <v/>
      </c>
      <c r="AJ695" t="str">
        <f t="shared" si="83"/>
        <v/>
      </c>
      <c r="AK695" t="str">
        <f>IF(COUNTA(T695:AH695)=0,"",(SUM(T695*KPI_Weights!$B$4,U695*KPI_Weights!$B$5,V695*KPI_Weights!$B$6,W695*KPI_Weights!$B$7,X695*KPI_Weights!$B$8,Y695*KPI_Weights!$B$9,Z695*KPI_Weights!$B$10,AA695*KPI_Weights!$B$11,AB695*KPI_Weights!$B$12,AC695*KPI_Weights!$B$13,AD695*KPI_Weights!$B$14,AE695*KPI_Weights!$B$15,AF695*KPI_Weights!$B$16,AG695*KPI_Weights!$B$17,AH695*KPI_Weights!$B$18))/5)</f>
        <v/>
      </c>
      <c r="AL695" t="str">
        <f t="shared" si="84"/>
        <v/>
      </c>
      <c r="AM695" t="str">
        <f t="shared" si="85"/>
        <v/>
      </c>
      <c r="AN695" t="str">
        <f t="shared" si="86"/>
        <v/>
      </c>
    </row>
    <row r="696" spans="1:40" ht="15" customHeight="1" x14ac:dyDescent="0.2">
      <c r="A696" t="str">
        <f>IF($B696="","",TEXT($B696,"yyyymmdd")&amp;"-"&amp;SUBSTITUTE($F696," ","")&amp;"-"&amp;TEXT(COUNTIF($F$4:F696,$F696),"00"))</f>
        <v/>
      </c>
      <c r="C696" t="str">
        <f t="shared" si="80"/>
        <v/>
      </c>
      <c r="D696" t="str">
        <f t="shared" si="81"/>
        <v/>
      </c>
      <c r="G696" t="str">
        <f>IF(OR($E696="",$F696=""),"",IFERROR(IF($E696=INDEX(Cluster_Master!$A$4:$A$18,MATCH($F696,Cluster_Master!$B$4:$B$18,0)),"OK","CHECK"),"CHECK"))</f>
        <v/>
      </c>
      <c r="H696" t="str">
        <f>IFERROR(INDEX(Cluster_Master!$C$4:$C$18,MATCH($F696,Cluster_Master!$B$4:$B$18,0)),"")</f>
        <v/>
      </c>
      <c r="I696" t="str">
        <f>IFERROR(INDEX(Cluster_Master!$D$4:$D$18,MATCH($F696,Cluster_Master!$B$4:$B$18,0)),"")</f>
        <v/>
      </c>
      <c r="J696" t="str">
        <f>IFERROR(INDEX(Cluster_Master!$E$4:$E$18,MATCH($F696,Cluster_Master!$B$4:$B$18,0)),"")</f>
        <v/>
      </c>
      <c r="K696" t="str">
        <f>IFERROR(INDEX(Cluster_Master!$F$4:$F$18,MATCH($F696,Cluster_Master!$B$4:$B$18,0)),"")</f>
        <v/>
      </c>
      <c r="L696" t="str">
        <f>IFERROR(INDEX(Cluster_Master!$G$4:$G$18,MATCH($F696,Cluster_Master!$B$4:$B$18,0)),"")</f>
        <v/>
      </c>
      <c r="M696" t="str">
        <f>IFERROR(INDEX(Cluster_Master!$H$4:$H$18,MATCH($F696,Cluster_Master!$B$4:$B$18,0)),"")</f>
        <v/>
      </c>
      <c r="AI696" t="str">
        <f t="shared" si="82"/>
        <v/>
      </c>
      <c r="AJ696" t="str">
        <f t="shared" si="83"/>
        <v/>
      </c>
      <c r="AK696" t="str">
        <f>IF(COUNTA(T696:AH696)=0,"",(SUM(T696*KPI_Weights!$B$4,U696*KPI_Weights!$B$5,V696*KPI_Weights!$B$6,W696*KPI_Weights!$B$7,X696*KPI_Weights!$B$8,Y696*KPI_Weights!$B$9,Z696*KPI_Weights!$B$10,AA696*KPI_Weights!$B$11,AB696*KPI_Weights!$B$12,AC696*KPI_Weights!$B$13,AD696*KPI_Weights!$B$14,AE696*KPI_Weights!$B$15,AF696*KPI_Weights!$B$16,AG696*KPI_Weights!$B$17,AH696*KPI_Weights!$B$18))/5)</f>
        <v/>
      </c>
      <c r="AL696" t="str">
        <f t="shared" si="84"/>
        <v/>
      </c>
      <c r="AM696" t="str">
        <f t="shared" si="85"/>
        <v/>
      </c>
      <c r="AN696" t="str">
        <f t="shared" si="86"/>
        <v/>
      </c>
    </row>
    <row r="697" spans="1:40" ht="15" customHeight="1" x14ac:dyDescent="0.2">
      <c r="A697" t="str">
        <f>IF($B697="","",TEXT($B697,"yyyymmdd")&amp;"-"&amp;SUBSTITUTE($F697," ","")&amp;"-"&amp;TEXT(COUNTIF($F$4:F697,$F697),"00"))</f>
        <v/>
      </c>
      <c r="C697" t="str">
        <f t="shared" si="80"/>
        <v/>
      </c>
      <c r="D697" t="str">
        <f t="shared" si="81"/>
        <v/>
      </c>
      <c r="G697" t="str">
        <f>IF(OR($E697="",$F697=""),"",IFERROR(IF($E697=INDEX(Cluster_Master!$A$4:$A$18,MATCH($F697,Cluster_Master!$B$4:$B$18,0)),"OK","CHECK"),"CHECK"))</f>
        <v/>
      </c>
      <c r="H697" t="str">
        <f>IFERROR(INDEX(Cluster_Master!$C$4:$C$18,MATCH($F697,Cluster_Master!$B$4:$B$18,0)),"")</f>
        <v/>
      </c>
      <c r="I697" t="str">
        <f>IFERROR(INDEX(Cluster_Master!$D$4:$D$18,MATCH($F697,Cluster_Master!$B$4:$B$18,0)),"")</f>
        <v/>
      </c>
      <c r="J697" t="str">
        <f>IFERROR(INDEX(Cluster_Master!$E$4:$E$18,MATCH($F697,Cluster_Master!$B$4:$B$18,0)),"")</f>
        <v/>
      </c>
      <c r="K697" t="str">
        <f>IFERROR(INDEX(Cluster_Master!$F$4:$F$18,MATCH($F697,Cluster_Master!$B$4:$B$18,0)),"")</f>
        <v/>
      </c>
      <c r="L697" t="str">
        <f>IFERROR(INDEX(Cluster_Master!$G$4:$G$18,MATCH($F697,Cluster_Master!$B$4:$B$18,0)),"")</f>
        <v/>
      </c>
      <c r="M697" t="str">
        <f>IFERROR(INDEX(Cluster_Master!$H$4:$H$18,MATCH($F697,Cluster_Master!$B$4:$B$18,0)),"")</f>
        <v/>
      </c>
      <c r="AI697" t="str">
        <f t="shared" si="82"/>
        <v/>
      </c>
      <c r="AJ697" t="str">
        <f t="shared" si="83"/>
        <v/>
      </c>
      <c r="AK697" t="str">
        <f>IF(COUNTA(T697:AH697)=0,"",(SUM(T697*KPI_Weights!$B$4,U697*KPI_Weights!$B$5,V697*KPI_Weights!$B$6,W697*KPI_Weights!$B$7,X697*KPI_Weights!$B$8,Y697*KPI_Weights!$B$9,Z697*KPI_Weights!$B$10,AA697*KPI_Weights!$B$11,AB697*KPI_Weights!$B$12,AC697*KPI_Weights!$B$13,AD697*KPI_Weights!$B$14,AE697*KPI_Weights!$B$15,AF697*KPI_Weights!$B$16,AG697*KPI_Weights!$B$17,AH697*KPI_Weights!$B$18))/5)</f>
        <v/>
      </c>
      <c r="AL697" t="str">
        <f t="shared" si="84"/>
        <v/>
      </c>
      <c r="AM697" t="str">
        <f t="shared" si="85"/>
        <v/>
      </c>
      <c r="AN697" t="str">
        <f t="shared" si="86"/>
        <v/>
      </c>
    </row>
    <row r="698" spans="1:40" ht="15" customHeight="1" x14ac:dyDescent="0.2">
      <c r="A698" t="str">
        <f>IF($B698="","",TEXT($B698,"yyyymmdd")&amp;"-"&amp;SUBSTITUTE($F698," ","")&amp;"-"&amp;TEXT(COUNTIF($F$4:F698,$F698),"00"))</f>
        <v/>
      </c>
      <c r="C698" t="str">
        <f t="shared" si="80"/>
        <v/>
      </c>
      <c r="D698" t="str">
        <f t="shared" si="81"/>
        <v/>
      </c>
      <c r="G698" t="str">
        <f>IF(OR($E698="",$F698=""),"",IFERROR(IF($E698=INDEX(Cluster_Master!$A$4:$A$18,MATCH($F698,Cluster_Master!$B$4:$B$18,0)),"OK","CHECK"),"CHECK"))</f>
        <v/>
      </c>
      <c r="H698" t="str">
        <f>IFERROR(INDEX(Cluster_Master!$C$4:$C$18,MATCH($F698,Cluster_Master!$B$4:$B$18,0)),"")</f>
        <v/>
      </c>
      <c r="I698" t="str">
        <f>IFERROR(INDEX(Cluster_Master!$D$4:$D$18,MATCH($F698,Cluster_Master!$B$4:$B$18,0)),"")</f>
        <v/>
      </c>
      <c r="J698" t="str">
        <f>IFERROR(INDEX(Cluster_Master!$E$4:$E$18,MATCH($F698,Cluster_Master!$B$4:$B$18,0)),"")</f>
        <v/>
      </c>
      <c r="K698" t="str">
        <f>IFERROR(INDEX(Cluster_Master!$F$4:$F$18,MATCH($F698,Cluster_Master!$B$4:$B$18,0)),"")</f>
        <v/>
      </c>
      <c r="L698" t="str">
        <f>IFERROR(INDEX(Cluster_Master!$G$4:$G$18,MATCH($F698,Cluster_Master!$B$4:$B$18,0)),"")</f>
        <v/>
      </c>
      <c r="M698" t="str">
        <f>IFERROR(INDEX(Cluster_Master!$H$4:$H$18,MATCH($F698,Cluster_Master!$B$4:$B$18,0)),"")</f>
        <v/>
      </c>
      <c r="AI698" t="str">
        <f t="shared" si="82"/>
        <v/>
      </c>
      <c r="AJ698" t="str">
        <f t="shared" si="83"/>
        <v/>
      </c>
      <c r="AK698" t="str">
        <f>IF(COUNTA(T698:AH698)=0,"",(SUM(T698*KPI_Weights!$B$4,U698*KPI_Weights!$B$5,V698*KPI_Weights!$B$6,W698*KPI_Weights!$B$7,X698*KPI_Weights!$B$8,Y698*KPI_Weights!$B$9,Z698*KPI_Weights!$B$10,AA698*KPI_Weights!$B$11,AB698*KPI_Weights!$B$12,AC698*KPI_Weights!$B$13,AD698*KPI_Weights!$B$14,AE698*KPI_Weights!$B$15,AF698*KPI_Weights!$B$16,AG698*KPI_Weights!$B$17,AH698*KPI_Weights!$B$18))/5)</f>
        <v/>
      </c>
      <c r="AL698" t="str">
        <f t="shared" si="84"/>
        <v/>
      </c>
      <c r="AM698" t="str">
        <f t="shared" si="85"/>
        <v/>
      </c>
      <c r="AN698" t="str">
        <f t="shared" si="86"/>
        <v/>
      </c>
    </row>
    <row r="699" spans="1:40" ht="15" customHeight="1" x14ac:dyDescent="0.2">
      <c r="A699" t="str">
        <f>IF($B699="","",TEXT($B699,"yyyymmdd")&amp;"-"&amp;SUBSTITUTE($F699," ","")&amp;"-"&amp;TEXT(COUNTIF($F$4:F699,$F699),"00"))</f>
        <v/>
      </c>
      <c r="C699" t="str">
        <f t="shared" si="80"/>
        <v/>
      </c>
      <c r="D699" t="str">
        <f t="shared" si="81"/>
        <v/>
      </c>
      <c r="G699" t="str">
        <f>IF(OR($E699="",$F699=""),"",IFERROR(IF($E699=INDEX(Cluster_Master!$A$4:$A$18,MATCH($F699,Cluster_Master!$B$4:$B$18,0)),"OK","CHECK"),"CHECK"))</f>
        <v/>
      </c>
      <c r="H699" t="str">
        <f>IFERROR(INDEX(Cluster_Master!$C$4:$C$18,MATCH($F699,Cluster_Master!$B$4:$B$18,0)),"")</f>
        <v/>
      </c>
      <c r="I699" t="str">
        <f>IFERROR(INDEX(Cluster_Master!$D$4:$D$18,MATCH($F699,Cluster_Master!$B$4:$B$18,0)),"")</f>
        <v/>
      </c>
      <c r="J699" t="str">
        <f>IFERROR(INDEX(Cluster_Master!$E$4:$E$18,MATCH($F699,Cluster_Master!$B$4:$B$18,0)),"")</f>
        <v/>
      </c>
      <c r="K699" t="str">
        <f>IFERROR(INDEX(Cluster_Master!$F$4:$F$18,MATCH($F699,Cluster_Master!$B$4:$B$18,0)),"")</f>
        <v/>
      </c>
      <c r="L699" t="str">
        <f>IFERROR(INDEX(Cluster_Master!$G$4:$G$18,MATCH($F699,Cluster_Master!$B$4:$B$18,0)),"")</f>
        <v/>
      </c>
      <c r="M699" t="str">
        <f>IFERROR(INDEX(Cluster_Master!$H$4:$H$18,MATCH($F699,Cluster_Master!$B$4:$B$18,0)),"")</f>
        <v/>
      </c>
      <c r="AI699" t="str">
        <f t="shared" si="82"/>
        <v/>
      </c>
      <c r="AJ699" t="str">
        <f t="shared" si="83"/>
        <v/>
      </c>
      <c r="AK699" t="str">
        <f>IF(COUNTA(T699:AH699)=0,"",(SUM(T699*KPI_Weights!$B$4,U699*KPI_Weights!$B$5,V699*KPI_Weights!$B$6,W699*KPI_Weights!$B$7,X699*KPI_Weights!$B$8,Y699*KPI_Weights!$B$9,Z699*KPI_Weights!$B$10,AA699*KPI_Weights!$B$11,AB699*KPI_Weights!$B$12,AC699*KPI_Weights!$B$13,AD699*KPI_Weights!$B$14,AE699*KPI_Weights!$B$15,AF699*KPI_Weights!$B$16,AG699*KPI_Weights!$B$17,AH699*KPI_Weights!$B$18))/5)</f>
        <v/>
      </c>
      <c r="AL699" t="str">
        <f t="shared" si="84"/>
        <v/>
      </c>
      <c r="AM699" t="str">
        <f t="shared" si="85"/>
        <v/>
      </c>
      <c r="AN699" t="str">
        <f t="shared" si="86"/>
        <v/>
      </c>
    </row>
    <row r="700" spans="1:40" ht="15" customHeight="1" x14ac:dyDescent="0.2">
      <c r="A700" t="str">
        <f>IF($B700="","",TEXT($B700,"yyyymmdd")&amp;"-"&amp;SUBSTITUTE($F700," ","")&amp;"-"&amp;TEXT(COUNTIF($F$4:F700,$F700),"00"))</f>
        <v/>
      </c>
      <c r="C700" t="str">
        <f t="shared" si="80"/>
        <v/>
      </c>
      <c r="D700" t="str">
        <f t="shared" si="81"/>
        <v/>
      </c>
      <c r="G700" t="str">
        <f>IF(OR($E700="",$F700=""),"",IFERROR(IF($E700=INDEX(Cluster_Master!$A$4:$A$18,MATCH($F700,Cluster_Master!$B$4:$B$18,0)),"OK","CHECK"),"CHECK"))</f>
        <v/>
      </c>
      <c r="H700" t="str">
        <f>IFERROR(INDEX(Cluster_Master!$C$4:$C$18,MATCH($F700,Cluster_Master!$B$4:$B$18,0)),"")</f>
        <v/>
      </c>
      <c r="I700" t="str">
        <f>IFERROR(INDEX(Cluster_Master!$D$4:$D$18,MATCH($F700,Cluster_Master!$B$4:$B$18,0)),"")</f>
        <v/>
      </c>
      <c r="J700" t="str">
        <f>IFERROR(INDEX(Cluster_Master!$E$4:$E$18,MATCH($F700,Cluster_Master!$B$4:$B$18,0)),"")</f>
        <v/>
      </c>
      <c r="K700" t="str">
        <f>IFERROR(INDEX(Cluster_Master!$F$4:$F$18,MATCH($F700,Cluster_Master!$B$4:$B$18,0)),"")</f>
        <v/>
      </c>
      <c r="L700" t="str">
        <f>IFERROR(INDEX(Cluster_Master!$G$4:$G$18,MATCH($F700,Cluster_Master!$B$4:$B$18,0)),"")</f>
        <v/>
      </c>
      <c r="M700" t="str">
        <f>IFERROR(INDEX(Cluster_Master!$H$4:$H$18,MATCH($F700,Cluster_Master!$B$4:$B$18,0)),"")</f>
        <v/>
      </c>
      <c r="AI700" t="str">
        <f t="shared" si="82"/>
        <v/>
      </c>
      <c r="AJ700" t="str">
        <f t="shared" si="83"/>
        <v/>
      </c>
      <c r="AK700" t="str">
        <f>IF(COUNTA(T700:AH700)=0,"",(SUM(T700*KPI_Weights!$B$4,U700*KPI_Weights!$B$5,V700*KPI_Weights!$B$6,W700*KPI_Weights!$B$7,X700*KPI_Weights!$B$8,Y700*KPI_Weights!$B$9,Z700*KPI_Weights!$B$10,AA700*KPI_Weights!$B$11,AB700*KPI_Weights!$B$12,AC700*KPI_Weights!$B$13,AD700*KPI_Weights!$B$14,AE700*KPI_Weights!$B$15,AF700*KPI_Weights!$B$16,AG700*KPI_Weights!$B$17,AH700*KPI_Weights!$B$18))/5)</f>
        <v/>
      </c>
      <c r="AL700" t="str">
        <f t="shared" si="84"/>
        <v/>
      </c>
      <c r="AM700" t="str">
        <f t="shared" si="85"/>
        <v/>
      </c>
      <c r="AN700" t="str">
        <f t="shared" si="86"/>
        <v/>
      </c>
    </row>
    <row r="701" spans="1:40" ht="15" customHeight="1" x14ac:dyDescent="0.2">
      <c r="A701" t="str">
        <f>IF($B701="","",TEXT($B701,"yyyymmdd")&amp;"-"&amp;SUBSTITUTE($F701," ","")&amp;"-"&amp;TEXT(COUNTIF($F$4:F701,$F701),"00"))</f>
        <v/>
      </c>
      <c r="C701" t="str">
        <f t="shared" si="80"/>
        <v/>
      </c>
      <c r="D701" t="str">
        <f t="shared" si="81"/>
        <v/>
      </c>
      <c r="G701" t="str">
        <f>IF(OR($E701="",$F701=""),"",IFERROR(IF($E701=INDEX(Cluster_Master!$A$4:$A$18,MATCH($F701,Cluster_Master!$B$4:$B$18,0)),"OK","CHECK"),"CHECK"))</f>
        <v/>
      </c>
      <c r="H701" t="str">
        <f>IFERROR(INDEX(Cluster_Master!$C$4:$C$18,MATCH($F701,Cluster_Master!$B$4:$B$18,0)),"")</f>
        <v/>
      </c>
      <c r="I701" t="str">
        <f>IFERROR(INDEX(Cluster_Master!$D$4:$D$18,MATCH($F701,Cluster_Master!$B$4:$B$18,0)),"")</f>
        <v/>
      </c>
      <c r="J701" t="str">
        <f>IFERROR(INDEX(Cluster_Master!$E$4:$E$18,MATCH($F701,Cluster_Master!$B$4:$B$18,0)),"")</f>
        <v/>
      </c>
      <c r="K701" t="str">
        <f>IFERROR(INDEX(Cluster_Master!$F$4:$F$18,MATCH($F701,Cluster_Master!$B$4:$B$18,0)),"")</f>
        <v/>
      </c>
      <c r="L701" t="str">
        <f>IFERROR(INDEX(Cluster_Master!$G$4:$G$18,MATCH($F701,Cluster_Master!$B$4:$B$18,0)),"")</f>
        <v/>
      </c>
      <c r="M701" t="str">
        <f>IFERROR(INDEX(Cluster_Master!$H$4:$H$18,MATCH($F701,Cluster_Master!$B$4:$B$18,0)),"")</f>
        <v/>
      </c>
      <c r="AI701" t="str">
        <f t="shared" si="82"/>
        <v/>
      </c>
      <c r="AJ701" t="str">
        <f t="shared" si="83"/>
        <v/>
      </c>
      <c r="AK701" t="str">
        <f>IF(COUNTA(T701:AH701)=0,"",(SUM(T701*KPI_Weights!$B$4,U701*KPI_Weights!$B$5,V701*KPI_Weights!$B$6,W701*KPI_Weights!$B$7,X701*KPI_Weights!$B$8,Y701*KPI_Weights!$B$9,Z701*KPI_Weights!$B$10,AA701*KPI_Weights!$B$11,AB701*KPI_Weights!$B$12,AC701*KPI_Weights!$B$13,AD701*KPI_Weights!$B$14,AE701*KPI_Weights!$B$15,AF701*KPI_Weights!$B$16,AG701*KPI_Weights!$B$17,AH701*KPI_Weights!$B$18))/5)</f>
        <v/>
      </c>
      <c r="AL701" t="str">
        <f t="shared" si="84"/>
        <v/>
      </c>
      <c r="AM701" t="str">
        <f t="shared" si="85"/>
        <v/>
      </c>
      <c r="AN701" t="str">
        <f t="shared" si="86"/>
        <v/>
      </c>
    </row>
    <row r="702" spans="1:40" ht="15" customHeight="1" x14ac:dyDescent="0.2">
      <c r="A702" t="str">
        <f>IF($B702="","",TEXT($B702,"yyyymmdd")&amp;"-"&amp;SUBSTITUTE($F702," ","")&amp;"-"&amp;TEXT(COUNTIF($F$4:F702,$F702),"00"))</f>
        <v/>
      </c>
      <c r="C702" t="str">
        <f t="shared" si="80"/>
        <v/>
      </c>
      <c r="D702" t="str">
        <f t="shared" si="81"/>
        <v/>
      </c>
      <c r="G702" t="str">
        <f>IF(OR($E702="",$F702=""),"",IFERROR(IF($E702=INDEX(Cluster_Master!$A$4:$A$18,MATCH($F702,Cluster_Master!$B$4:$B$18,0)),"OK","CHECK"),"CHECK"))</f>
        <v/>
      </c>
      <c r="H702" t="str">
        <f>IFERROR(INDEX(Cluster_Master!$C$4:$C$18,MATCH($F702,Cluster_Master!$B$4:$B$18,0)),"")</f>
        <v/>
      </c>
      <c r="I702" t="str">
        <f>IFERROR(INDEX(Cluster_Master!$D$4:$D$18,MATCH($F702,Cluster_Master!$B$4:$B$18,0)),"")</f>
        <v/>
      </c>
      <c r="J702" t="str">
        <f>IFERROR(INDEX(Cluster_Master!$E$4:$E$18,MATCH($F702,Cluster_Master!$B$4:$B$18,0)),"")</f>
        <v/>
      </c>
      <c r="K702" t="str">
        <f>IFERROR(INDEX(Cluster_Master!$F$4:$F$18,MATCH($F702,Cluster_Master!$B$4:$B$18,0)),"")</f>
        <v/>
      </c>
      <c r="L702" t="str">
        <f>IFERROR(INDEX(Cluster_Master!$G$4:$G$18,MATCH($F702,Cluster_Master!$B$4:$B$18,0)),"")</f>
        <v/>
      </c>
      <c r="M702" t="str">
        <f>IFERROR(INDEX(Cluster_Master!$H$4:$H$18,MATCH($F702,Cluster_Master!$B$4:$B$18,0)),"")</f>
        <v/>
      </c>
      <c r="AI702" t="str">
        <f t="shared" si="82"/>
        <v/>
      </c>
      <c r="AJ702" t="str">
        <f t="shared" si="83"/>
        <v/>
      </c>
      <c r="AK702" t="str">
        <f>IF(COUNTA(T702:AH702)=0,"",(SUM(T702*KPI_Weights!$B$4,U702*KPI_Weights!$B$5,V702*KPI_Weights!$B$6,W702*KPI_Weights!$B$7,X702*KPI_Weights!$B$8,Y702*KPI_Weights!$B$9,Z702*KPI_Weights!$B$10,AA702*KPI_Weights!$B$11,AB702*KPI_Weights!$B$12,AC702*KPI_Weights!$B$13,AD702*KPI_Weights!$B$14,AE702*KPI_Weights!$B$15,AF702*KPI_Weights!$B$16,AG702*KPI_Weights!$B$17,AH702*KPI_Weights!$B$18))/5)</f>
        <v/>
      </c>
      <c r="AL702" t="str">
        <f t="shared" si="84"/>
        <v/>
      </c>
      <c r="AM702" t="str">
        <f t="shared" si="85"/>
        <v/>
      </c>
      <c r="AN702" t="str">
        <f t="shared" si="86"/>
        <v/>
      </c>
    </row>
    <row r="703" spans="1:40" ht="15" customHeight="1" x14ac:dyDescent="0.2">
      <c r="A703" t="str">
        <f>IF($B703="","",TEXT($B703,"yyyymmdd")&amp;"-"&amp;SUBSTITUTE($F703," ","")&amp;"-"&amp;TEXT(COUNTIF($F$4:F703,$F703),"00"))</f>
        <v/>
      </c>
      <c r="C703" t="str">
        <f t="shared" si="80"/>
        <v/>
      </c>
      <c r="D703" t="str">
        <f t="shared" si="81"/>
        <v/>
      </c>
      <c r="G703" t="str">
        <f>IF(OR($E703="",$F703=""),"",IFERROR(IF($E703=INDEX(Cluster_Master!$A$4:$A$18,MATCH($F703,Cluster_Master!$B$4:$B$18,0)),"OK","CHECK"),"CHECK"))</f>
        <v/>
      </c>
      <c r="H703" t="str">
        <f>IFERROR(INDEX(Cluster_Master!$C$4:$C$18,MATCH($F703,Cluster_Master!$B$4:$B$18,0)),"")</f>
        <v/>
      </c>
      <c r="I703" t="str">
        <f>IFERROR(INDEX(Cluster_Master!$D$4:$D$18,MATCH($F703,Cluster_Master!$B$4:$B$18,0)),"")</f>
        <v/>
      </c>
      <c r="J703" t="str">
        <f>IFERROR(INDEX(Cluster_Master!$E$4:$E$18,MATCH($F703,Cluster_Master!$B$4:$B$18,0)),"")</f>
        <v/>
      </c>
      <c r="K703" t="str">
        <f>IFERROR(INDEX(Cluster_Master!$F$4:$F$18,MATCH($F703,Cluster_Master!$B$4:$B$18,0)),"")</f>
        <v/>
      </c>
      <c r="L703" t="str">
        <f>IFERROR(INDEX(Cluster_Master!$G$4:$G$18,MATCH($F703,Cluster_Master!$B$4:$B$18,0)),"")</f>
        <v/>
      </c>
      <c r="M703" t="str">
        <f>IFERROR(INDEX(Cluster_Master!$H$4:$H$18,MATCH($F703,Cluster_Master!$B$4:$B$18,0)),"")</f>
        <v/>
      </c>
      <c r="AI703" t="str">
        <f t="shared" si="82"/>
        <v/>
      </c>
      <c r="AJ703" t="str">
        <f t="shared" si="83"/>
        <v/>
      </c>
      <c r="AK703" t="str">
        <f>IF(COUNTA(T703:AH703)=0,"",(SUM(T703*KPI_Weights!$B$4,U703*KPI_Weights!$B$5,V703*KPI_Weights!$B$6,W703*KPI_Weights!$B$7,X703*KPI_Weights!$B$8,Y703*KPI_Weights!$B$9,Z703*KPI_Weights!$B$10,AA703*KPI_Weights!$B$11,AB703*KPI_Weights!$B$12,AC703*KPI_Weights!$B$13,AD703*KPI_Weights!$B$14,AE703*KPI_Weights!$B$15,AF703*KPI_Weights!$B$16,AG703*KPI_Weights!$B$17,AH703*KPI_Weights!$B$18))/5)</f>
        <v/>
      </c>
      <c r="AL703" t="str">
        <f t="shared" si="84"/>
        <v/>
      </c>
      <c r="AM703" t="str">
        <f t="shared" si="85"/>
        <v/>
      </c>
      <c r="AN703" t="str">
        <f t="shared" si="86"/>
        <v/>
      </c>
    </row>
    <row r="704" spans="1:40" ht="15" customHeight="1" x14ac:dyDescent="0.2">
      <c r="A704" t="str">
        <f>IF($B704="","",TEXT($B704,"yyyymmdd")&amp;"-"&amp;SUBSTITUTE($F704," ","")&amp;"-"&amp;TEXT(COUNTIF($F$4:F704,$F704),"00"))</f>
        <v/>
      </c>
      <c r="C704" t="str">
        <f t="shared" ref="C704:C767" si="87">IF($B704="","",WEEKNUM($B704,2))</f>
        <v/>
      </c>
      <c r="D704" t="str">
        <f t="shared" ref="D704:D767" si="88">IF($B704="","",TEXT($B704,"yyyy-mm"))</f>
        <v/>
      </c>
      <c r="G704" t="str">
        <f>IF(OR($E704="",$F704=""),"",IFERROR(IF($E704=INDEX(Cluster_Master!$A$4:$A$18,MATCH($F704,Cluster_Master!$B$4:$B$18,0)),"OK","CHECK"),"CHECK"))</f>
        <v/>
      </c>
      <c r="H704" t="str">
        <f>IFERROR(INDEX(Cluster_Master!$C$4:$C$18,MATCH($F704,Cluster_Master!$B$4:$B$18,0)),"")</f>
        <v/>
      </c>
      <c r="I704" t="str">
        <f>IFERROR(INDEX(Cluster_Master!$D$4:$D$18,MATCH($F704,Cluster_Master!$B$4:$B$18,0)),"")</f>
        <v/>
      </c>
      <c r="J704" t="str">
        <f>IFERROR(INDEX(Cluster_Master!$E$4:$E$18,MATCH($F704,Cluster_Master!$B$4:$B$18,0)),"")</f>
        <v/>
      </c>
      <c r="K704" t="str">
        <f>IFERROR(INDEX(Cluster_Master!$F$4:$F$18,MATCH($F704,Cluster_Master!$B$4:$B$18,0)),"")</f>
        <v/>
      </c>
      <c r="L704" t="str">
        <f>IFERROR(INDEX(Cluster_Master!$G$4:$G$18,MATCH($F704,Cluster_Master!$B$4:$B$18,0)),"")</f>
        <v/>
      </c>
      <c r="M704" t="str">
        <f>IFERROR(INDEX(Cluster_Master!$H$4:$H$18,MATCH($F704,Cluster_Master!$B$4:$B$18,0)),"")</f>
        <v/>
      </c>
      <c r="AI704" t="str">
        <f t="shared" ref="AI704:AI767" si="89">IF(COUNTA(T704:AH704)=0,"",SUM(T704:AH704))</f>
        <v/>
      </c>
      <c r="AJ704" t="str">
        <f t="shared" ref="AJ704:AJ767" si="90">IF(COUNTA(T704:AH704)=0,"",AI704/75)</f>
        <v/>
      </c>
      <c r="AK704" t="str">
        <f>IF(COUNTA(T704:AH704)=0,"",(SUM(T704*KPI_Weights!$B$4,U704*KPI_Weights!$B$5,V704*KPI_Weights!$B$6,W704*KPI_Weights!$B$7,X704*KPI_Weights!$B$8,Y704*KPI_Weights!$B$9,Z704*KPI_Weights!$B$10,AA704*KPI_Weights!$B$11,AB704*KPI_Weights!$B$12,AC704*KPI_Weights!$B$13,AD704*KPI_Weights!$B$14,AE704*KPI_Weights!$B$15,AF704*KPI_Weights!$B$16,AG704*KPI_Weights!$B$17,AH704*KPI_Weights!$B$18))/5)</f>
        <v/>
      </c>
      <c r="AL704" t="str">
        <f t="shared" ref="AL704:AL767" si="91">IF(COUNTA(T704:AH704)=0,"",IF(OR(T704&lt;=1,W704&lt;=1,X704&lt;=1,Y704&lt;=1,AB704&lt;=1),"YES","NO"))</f>
        <v/>
      </c>
      <c r="AM704" t="str">
        <f t="shared" ref="AM704:AM767" si="92">IF(AJ704="","",IF(AND(AL704="NO",AJ704&gt;=0.75),"YES","NO"))</f>
        <v/>
      </c>
      <c r="AN704" t="str">
        <f t="shared" ref="AN704:AN767" si="93">IF(AJ704="","",IF(AJ704&lt;0.4,"Critical",IF(AJ704&lt;0.6,"Poor",IF(AJ704&lt;0.75,"Needs Improvement",IF(AJ704&lt;0.9,"Good","Excellent")))))</f>
        <v/>
      </c>
    </row>
    <row r="705" spans="1:40" ht="15" customHeight="1" x14ac:dyDescent="0.2">
      <c r="A705" t="str">
        <f>IF($B705="","",TEXT($B705,"yyyymmdd")&amp;"-"&amp;SUBSTITUTE($F705," ","")&amp;"-"&amp;TEXT(COUNTIF($F$4:F705,$F705),"00"))</f>
        <v/>
      </c>
      <c r="C705" t="str">
        <f t="shared" si="87"/>
        <v/>
      </c>
      <c r="D705" t="str">
        <f t="shared" si="88"/>
        <v/>
      </c>
      <c r="G705" t="str">
        <f>IF(OR($E705="",$F705=""),"",IFERROR(IF($E705=INDEX(Cluster_Master!$A$4:$A$18,MATCH($F705,Cluster_Master!$B$4:$B$18,0)),"OK","CHECK"),"CHECK"))</f>
        <v/>
      </c>
      <c r="H705" t="str">
        <f>IFERROR(INDEX(Cluster_Master!$C$4:$C$18,MATCH($F705,Cluster_Master!$B$4:$B$18,0)),"")</f>
        <v/>
      </c>
      <c r="I705" t="str">
        <f>IFERROR(INDEX(Cluster_Master!$D$4:$D$18,MATCH($F705,Cluster_Master!$B$4:$B$18,0)),"")</f>
        <v/>
      </c>
      <c r="J705" t="str">
        <f>IFERROR(INDEX(Cluster_Master!$E$4:$E$18,MATCH($F705,Cluster_Master!$B$4:$B$18,0)),"")</f>
        <v/>
      </c>
      <c r="K705" t="str">
        <f>IFERROR(INDEX(Cluster_Master!$F$4:$F$18,MATCH($F705,Cluster_Master!$B$4:$B$18,0)),"")</f>
        <v/>
      </c>
      <c r="L705" t="str">
        <f>IFERROR(INDEX(Cluster_Master!$G$4:$G$18,MATCH($F705,Cluster_Master!$B$4:$B$18,0)),"")</f>
        <v/>
      </c>
      <c r="M705" t="str">
        <f>IFERROR(INDEX(Cluster_Master!$H$4:$H$18,MATCH($F705,Cluster_Master!$B$4:$B$18,0)),"")</f>
        <v/>
      </c>
      <c r="AI705" t="str">
        <f t="shared" si="89"/>
        <v/>
      </c>
      <c r="AJ705" t="str">
        <f t="shared" si="90"/>
        <v/>
      </c>
      <c r="AK705" t="str">
        <f>IF(COUNTA(T705:AH705)=0,"",(SUM(T705*KPI_Weights!$B$4,U705*KPI_Weights!$B$5,V705*KPI_Weights!$B$6,W705*KPI_Weights!$B$7,X705*KPI_Weights!$B$8,Y705*KPI_Weights!$B$9,Z705*KPI_Weights!$B$10,AA705*KPI_Weights!$B$11,AB705*KPI_Weights!$B$12,AC705*KPI_Weights!$B$13,AD705*KPI_Weights!$B$14,AE705*KPI_Weights!$B$15,AF705*KPI_Weights!$B$16,AG705*KPI_Weights!$B$17,AH705*KPI_Weights!$B$18))/5)</f>
        <v/>
      </c>
      <c r="AL705" t="str">
        <f t="shared" si="91"/>
        <v/>
      </c>
      <c r="AM705" t="str">
        <f t="shared" si="92"/>
        <v/>
      </c>
      <c r="AN705" t="str">
        <f t="shared" si="93"/>
        <v/>
      </c>
    </row>
    <row r="706" spans="1:40" ht="15" customHeight="1" x14ac:dyDescent="0.2">
      <c r="A706" t="str">
        <f>IF($B706="","",TEXT($B706,"yyyymmdd")&amp;"-"&amp;SUBSTITUTE($F706," ","")&amp;"-"&amp;TEXT(COUNTIF($F$4:F706,$F706),"00"))</f>
        <v/>
      </c>
      <c r="C706" t="str">
        <f t="shared" si="87"/>
        <v/>
      </c>
      <c r="D706" t="str">
        <f t="shared" si="88"/>
        <v/>
      </c>
      <c r="G706" t="str">
        <f>IF(OR($E706="",$F706=""),"",IFERROR(IF($E706=INDEX(Cluster_Master!$A$4:$A$18,MATCH($F706,Cluster_Master!$B$4:$B$18,0)),"OK","CHECK"),"CHECK"))</f>
        <v/>
      </c>
      <c r="H706" t="str">
        <f>IFERROR(INDEX(Cluster_Master!$C$4:$C$18,MATCH($F706,Cluster_Master!$B$4:$B$18,0)),"")</f>
        <v/>
      </c>
      <c r="I706" t="str">
        <f>IFERROR(INDEX(Cluster_Master!$D$4:$D$18,MATCH($F706,Cluster_Master!$B$4:$B$18,0)),"")</f>
        <v/>
      </c>
      <c r="J706" t="str">
        <f>IFERROR(INDEX(Cluster_Master!$E$4:$E$18,MATCH($F706,Cluster_Master!$B$4:$B$18,0)),"")</f>
        <v/>
      </c>
      <c r="K706" t="str">
        <f>IFERROR(INDEX(Cluster_Master!$F$4:$F$18,MATCH($F706,Cluster_Master!$B$4:$B$18,0)),"")</f>
        <v/>
      </c>
      <c r="L706" t="str">
        <f>IFERROR(INDEX(Cluster_Master!$G$4:$G$18,MATCH($F706,Cluster_Master!$B$4:$B$18,0)),"")</f>
        <v/>
      </c>
      <c r="M706" t="str">
        <f>IFERROR(INDEX(Cluster_Master!$H$4:$H$18,MATCH($F706,Cluster_Master!$B$4:$B$18,0)),"")</f>
        <v/>
      </c>
      <c r="AI706" t="str">
        <f t="shared" si="89"/>
        <v/>
      </c>
      <c r="AJ706" t="str">
        <f t="shared" si="90"/>
        <v/>
      </c>
      <c r="AK706" t="str">
        <f>IF(COUNTA(T706:AH706)=0,"",(SUM(T706*KPI_Weights!$B$4,U706*KPI_Weights!$B$5,V706*KPI_Weights!$B$6,W706*KPI_Weights!$B$7,X706*KPI_Weights!$B$8,Y706*KPI_Weights!$B$9,Z706*KPI_Weights!$B$10,AA706*KPI_Weights!$B$11,AB706*KPI_Weights!$B$12,AC706*KPI_Weights!$B$13,AD706*KPI_Weights!$B$14,AE706*KPI_Weights!$B$15,AF706*KPI_Weights!$B$16,AG706*KPI_Weights!$B$17,AH706*KPI_Weights!$B$18))/5)</f>
        <v/>
      </c>
      <c r="AL706" t="str">
        <f t="shared" si="91"/>
        <v/>
      </c>
      <c r="AM706" t="str">
        <f t="shared" si="92"/>
        <v/>
      </c>
      <c r="AN706" t="str">
        <f t="shared" si="93"/>
        <v/>
      </c>
    </row>
    <row r="707" spans="1:40" ht="15" customHeight="1" x14ac:dyDescent="0.2">
      <c r="A707" t="str">
        <f>IF($B707="","",TEXT($B707,"yyyymmdd")&amp;"-"&amp;SUBSTITUTE($F707," ","")&amp;"-"&amp;TEXT(COUNTIF($F$4:F707,$F707),"00"))</f>
        <v/>
      </c>
      <c r="C707" t="str">
        <f t="shared" si="87"/>
        <v/>
      </c>
      <c r="D707" t="str">
        <f t="shared" si="88"/>
        <v/>
      </c>
      <c r="G707" t="str">
        <f>IF(OR($E707="",$F707=""),"",IFERROR(IF($E707=INDEX(Cluster_Master!$A$4:$A$18,MATCH($F707,Cluster_Master!$B$4:$B$18,0)),"OK","CHECK"),"CHECK"))</f>
        <v/>
      </c>
      <c r="H707" t="str">
        <f>IFERROR(INDEX(Cluster_Master!$C$4:$C$18,MATCH($F707,Cluster_Master!$B$4:$B$18,0)),"")</f>
        <v/>
      </c>
      <c r="I707" t="str">
        <f>IFERROR(INDEX(Cluster_Master!$D$4:$D$18,MATCH($F707,Cluster_Master!$B$4:$B$18,0)),"")</f>
        <v/>
      </c>
      <c r="J707" t="str">
        <f>IFERROR(INDEX(Cluster_Master!$E$4:$E$18,MATCH($F707,Cluster_Master!$B$4:$B$18,0)),"")</f>
        <v/>
      </c>
      <c r="K707" t="str">
        <f>IFERROR(INDEX(Cluster_Master!$F$4:$F$18,MATCH($F707,Cluster_Master!$B$4:$B$18,0)),"")</f>
        <v/>
      </c>
      <c r="L707" t="str">
        <f>IFERROR(INDEX(Cluster_Master!$G$4:$G$18,MATCH($F707,Cluster_Master!$B$4:$B$18,0)),"")</f>
        <v/>
      </c>
      <c r="M707" t="str">
        <f>IFERROR(INDEX(Cluster_Master!$H$4:$H$18,MATCH($F707,Cluster_Master!$B$4:$B$18,0)),"")</f>
        <v/>
      </c>
      <c r="AI707" t="str">
        <f t="shared" si="89"/>
        <v/>
      </c>
      <c r="AJ707" t="str">
        <f t="shared" si="90"/>
        <v/>
      </c>
      <c r="AK707" t="str">
        <f>IF(COUNTA(T707:AH707)=0,"",(SUM(T707*KPI_Weights!$B$4,U707*KPI_Weights!$B$5,V707*KPI_Weights!$B$6,W707*KPI_Weights!$B$7,X707*KPI_Weights!$B$8,Y707*KPI_Weights!$B$9,Z707*KPI_Weights!$B$10,AA707*KPI_Weights!$B$11,AB707*KPI_Weights!$B$12,AC707*KPI_Weights!$B$13,AD707*KPI_Weights!$B$14,AE707*KPI_Weights!$B$15,AF707*KPI_Weights!$B$16,AG707*KPI_Weights!$B$17,AH707*KPI_Weights!$B$18))/5)</f>
        <v/>
      </c>
      <c r="AL707" t="str">
        <f t="shared" si="91"/>
        <v/>
      </c>
      <c r="AM707" t="str">
        <f t="shared" si="92"/>
        <v/>
      </c>
      <c r="AN707" t="str">
        <f t="shared" si="93"/>
        <v/>
      </c>
    </row>
    <row r="708" spans="1:40" ht="15" customHeight="1" x14ac:dyDescent="0.2">
      <c r="A708" t="str">
        <f>IF($B708="","",TEXT($B708,"yyyymmdd")&amp;"-"&amp;SUBSTITUTE($F708," ","")&amp;"-"&amp;TEXT(COUNTIF($F$4:F708,$F708),"00"))</f>
        <v/>
      </c>
      <c r="C708" t="str">
        <f t="shared" si="87"/>
        <v/>
      </c>
      <c r="D708" t="str">
        <f t="shared" si="88"/>
        <v/>
      </c>
      <c r="G708" t="str">
        <f>IF(OR($E708="",$F708=""),"",IFERROR(IF($E708=INDEX(Cluster_Master!$A$4:$A$18,MATCH($F708,Cluster_Master!$B$4:$B$18,0)),"OK","CHECK"),"CHECK"))</f>
        <v/>
      </c>
      <c r="H708" t="str">
        <f>IFERROR(INDEX(Cluster_Master!$C$4:$C$18,MATCH($F708,Cluster_Master!$B$4:$B$18,0)),"")</f>
        <v/>
      </c>
      <c r="I708" t="str">
        <f>IFERROR(INDEX(Cluster_Master!$D$4:$D$18,MATCH($F708,Cluster_Master!$B$4:$B$18,0)),"")</f>
        <v/>
      </c>
      <c r="J708" t="str">
        <f>IFERROR(INDEX(Cluster_Master!$E$4:$E$18,MATCH($F708,Cluster_Master!$B$4:$B$18,0)),"")</f>
        <v/>
      </c>
      <c r="K708" t="str">
        <f>IFERROR(INDEX(Cluster_Master!$F$4:$F$18,MATCH($F708,Cluster_Master!$B$4:$B$18,0)),"")</f>
        <v/>
      </c>
      <c r="L708" t="str">
        <f>IFERROR(INDEX(Cluster_Master!$G$4:$G$18,MATCH($F708,Cluster_Master!$B$4:$B$18,0)),"")</f>
        <v/>
      </c>
      <c r="M708" t="str">
        <f>IFERROR(INDEX(Cluster_Master!$H$4:$H$18,MATCH($F708,Cluster_Master!$B$4:$B$18,0)),"")</f>
        <v/>
      </c>
      <c r="AI708" t="str">
        <f t="shared" si="89"/>
        <v/>
      </c>
      <c r="AJ708" t="str">
        <f t="shared" si="90"/>
        <v/>
      </c>
      <c r="AK708" t="str">
        <f>IF(COUNTA(T708:AH708)=0,"",(SUM(T708*KPI_Weights!$B$4,U708*KPI_Weights!$B$5,V708*KPI_Weights!$B$6,W708*KPI_Weights!$B$7,X708*KPI_Weights!$B$8,Y708*KPI_Weights!$B$9,Z708*KPI_Weights!$B$10,AA708*KPI_Weights!$B$11,AB708*KPI_Weights!$B$12,AC708*KPI_Weights!$B$13,AD708*KPI_Weights!$B$14,AE708*KPI_Weights!$B$15,AF708*KPI_Weights!$B$16,AG708*KPI_Weights!$B$17,AH708*KPI_Weights!$B$18))/5)</f>
        <v/>
      </c>
      <c r="AL708" t="str">
        <f t="shared" si="91"/>
        <v/>
      </c>
      <c r="AM708" t="str">
        <f t="shared" si="92"/>
        <v/>
      </c>
      <c r="AN708" t="str">
        <f t="shared" si="93"/>
        <v/>
      </c>
    </row>
    <row r="709" spans="1:40" ht="15" customHeight="1" x14ac:dyDescent="0.2">
      <c r="A709" t="str">
        <f>IF($B709="","",TEXT($B709,"yyyymmdd")&amp;"-"&amp;SUBSTITUTE($F709," ","")&amp;"-"&amp;TEXT(COUNTIF($F$4:F709,$F709),"00"))</f>
        <v/>
      </c>
      <c r="C709" t="str">
        <f t="shared" si="87"/>
        <v/>
      </c>
      <c r="D709" t="str">
        <f t="shared" si="88"/>
        <v/>
      </c>
      <c r="G709" t="str">
        <f>IF(OR($E709="",$F709=""),"",IFERROR(IF($E709=INDEX(Cluster_Master!$A$4:$A$18,MATCH($F709,Cluster_Master!$B$4:$B$18,0)),"OK","CHECK"),"CHECK"))</f>
        <v/>
      </c>
      <c r="H709" t="str">
        <f>IFERROR(INDEX(Cluster_Master!$C$4:$C$18,MATCH($F709,Cluster_Master!$B$4:$B$18,0)),"")</f>
        <v/>
      </c>
      <c r="I709" t="str">
        <f>IFERROR(INDEX(Cluster_Master!$D$4:$D$18,MATCH($F709,Cluster_Master!$B$4:$B$18,0)),"")</f>
        <v/>
      </c>
      <c r="J709" t="str">
        <f>IFERROR(INDEX(Cluster_Master!$E$4:$E$18,MATCH($F709,Cluster_Master!$B$4:$B$18,0)),"")</f>
        <v/>
      </c>
      <c r="K709" t="str">
        <f>IFERROR(INDEX(Cluster_Master!$F$4:$F$18,MATCH($F709,Cluster_Master!$B$4:$B$18,0)),"")</f>
        <v/>
      </c>
      <c r="L709" t="str">
        <f>IFERROR(INDEX(Cluster_Master!$G$4:$G$18,MATCH($F709,Cluster_Master!$B$4:$B$18,0)),"")</f>
        <v/>
      </c>
      <c r="M709" t="str">
        <f>IFERROR(INDEX(Cluster_Master!$H$4:$H$18,MATCH($F709,Cluster_Master!$B$4:$B$18,0)),"")</f>
        <v/>
      </c>
      <c r="AI709" t="str">
        <f t="shared" si="89"/>
        <v/>
      </c>
      <c r="AJ709" t="str">
        <f t="shared" si="90"/>
        <v/>
      </c>
      <c r="AK709" t="str">
        <f>IF(COUNTA(T709:AH709)=0,"",(SUM(T709*KPI_Weights!$B$4,U709*KPI_Weights!$B$5,V709*KPI_Weights!$B$6,W709*KPI_Weights!$B$7,X709*KPI_Weights!$B$8,Y709*KPI_Weights!$B$9,Z709*KPI_Weights!$B$10,AA709*KPI_Weights!$B$11,AB709*KPI_Weights!$B$12,AC709*KPI_Weights!$B$13,AD709*KPI_Weights!$B$14,AE709*KPI_Weights!$B$15,AF709*KPI_Weights!$B$16,AG709*KPI_Weights!$B$17,AH709*KPI_Weights!$B$18))/5)</f>
        <v/>
      </c>
      <c r="AL709" t="str">
        <f t="shared" si="91"/>
        <v/>
      </c>
      <c r="AM709" t="str">
        <f t="shared" si="92"/>
        <v/>
      </c>
      <c r="AN709" t="str">
        <f t="shared" si="93"/>
        <v/>
      </c>
    </row>
    <row r="710" spans="1:40" ht="15" customHeight="1" x14ac:dyDescent="0.2">
      <c r="A710" t="str">
        <f>IF($B710="","",TEXT($B710,"yyyymmdd")&amp;"-"&amp;SUBSTITUTE($F710," ","")&amp;"-"&amp;TEXT(COUNTIF($F$4:F710,$F710),"00"))</f>
        <v/>
      </c>
      <c r="C710" t="str">
        <f t="shared" si="87"/>
        <v/>
      </c>
      <c r="D710" t="str">
        <f t="shared" si="88"/>
        <v/>
      </c>
      <c r="G710" t="str">
        <f>IF(OR($E710="",$F710=""),"",IFERROR(IF($E710=INDEX(Cluster_Master!$A$4:$A$18,MATCH($F710,Cluster_Master!$B$4:$B$18,0)),"OK","CHECK"),"CHECK"))</f>
        <v/>
      </c>
      <c r="H710" t="str">
        <f>IFERROR(INDEX(Cluster_Master!$C$4:$C$18,MATCH($F710,Cluster_Master!$B$4:$B$18,0)),"")</f>
        <v/>
      </c>
      <c r="I710" t="str">
        <f>IFERROR(INDEX(Cluster_Master!$D$4:$D$18,MATCH($F710,Cluster_Master!$B$4:$B$18,0)),"")</f>
        <v/>
      </c>
      <c r="J710" t="str">
        <f>IFERROR(INDEX(Cluster_Master!$E$4:$E$18,MATCH($F710,Cluster_Master!$B$4:$B$18,0)),"")</f>
        <v/>
      </c>
      <c r="K710" t="str">
        <f>IFERROR(INDEX(Cluster_Master!$F$4:$F$18,MATCH($F710,Cluster_Master!$B$4:$B$18,0)),"")</f>
        <v/>
      </c>
      <c r="L710" t="str">
        <f>IFERROR(INDEX(Cluster_Master!$G$4:$G$18,MATCH($F710,Cluster_Master!$B$4:$B$18,0)),"")</f>
        <v/>
      </c>
      <c r="M710" t="str">
        <f>IFERROR(INDEX(Cluster_Master!$H$4:$H$18,MATCH($F710,Cluster_Master!$B$4:$B$18,0)),"")</f>
        <v/>
      </c>
      <c r="AI710" t="str">
        <f t="shared" si="89"/>
        <v/>
      </c>
      <c r="AJ710" t="str">
        <f t="shared" si="90"/>
        <v/>
      </c>
      <c r="AK710" t="str">
        <f>IF(COUNTA(T710:AH710)=0,"",(SUM(T710*KPI_Weights!$B$4,U710*KPI_Weights!$B$5,V710*KPI_Weights!$B$6,W710*KPI_Weights!$B$7,X710*KPI_Weights!$B$8,Y710*KPI_Weights!$B$9,Z710*KPI_Weights!$B$10,AA710*KPI_Weights!$B$11,AB710*KPI_Weights!$B$12,AC710*KPI_Weights!$B$13,AD710*KPI_Weights!$B$14,AE710*KPI_Weights!$B$15,AF710*KPI_Weights!$B$16,AG710*KPI_Weights!$B$17,AH710*KPI_Weights!$B$18))/5)</f>
        <v/>
      </c>
      <c r="AL710" t="str">
        <f t="shared" si="91"/>
        <v/>
      </c>
      <c r="AM710" t="str">
        <f t="shared" si="92"/>
        <v/>
      </c>
      <c r="AN710" t="str">
        <f t="shared" si="93"/>
        <v/>
      </c>
    </row>
    <row r="711" spans="1:40" ht="15" customHeight="1" x14ac:dyDescent="0.2">
      <c r="A711" t="str">
        <f>IF($B711="","",TEXT($B711,"yyyymmdd")&amp;"-"&amp;SUBSTITUTE($F711," ","")&amp;"-"&amp;TEXT(COUNTIF($F$4:F711,$F711),"00"))</f>
        <v/>
      </c>
      <c r="C711" t="str">
        <f t="shared" si="87"/>
        <v/>
      </c>
      <c r="D711" t="str">
        <f t="shared" si="88"/>
        <v/>
      </c>
      <c r="G711" t="str">
        <f>IF(OR($E711="",$F711=""),"",IFERROR(IF($E711=INDEX(Cluster_Master!$A$4:$A$18,MATCH($F711,Cluster_Master!$B$4:$B$18,0)),"OK","CHECK"),"CHECK"))</f>
        <v/>
      </c>
      <c r="H711" t="str">
        <f>IFERROR(INDEX(Cluster_Master!$C$4:$C$18,MATCH($F711,Cluster_Master!$B$4:$B$18,0)),"")</f>
        <v/>
      </c>
      <c r="I711" t="str">
        <f>IFERROR(INDEX(Cluster_Master!$D$4:$D$18,MATCH($F711,Cluster_Master!$B$4:$B$18,0)),"")</f>
        <v/>
      </c>
      <c r="J711" t="str">
        <f>IFERROR(INDEX(Cluster_Master!$E$4:$E$18,MATCH($F711,Cluster_Master!$B$4:$B$18,0)),"")</f>
        <v/>
      </c>
      <c r="K711" t="str">
        <f>IFERROR(INDEX(Cluster_Master!$F$4:$F$18,MATCH($F711,Cluster_Master!$B$4:$B$18,0)),"")</f>
        <v/>
      </c>
      <c r="L711" t="str">
        <f>IFERROR(INDEX(Cluster_Master!$G$4:$G$18,MATCH($F711,Cluster_Master!$B$4:$B$18,0)),"")</f>
        <v/>
      </c>
      <c r="M711" t="str">
        <f>IFERROR(INDEX(Cluster_Master!$H$4:$H$18,MATCH($F711,Cluster_Master!$B$4:$B$18,0)),"")</f>
        <v/>
      </c>
      <c r="AI711" t="str">
        <f t="shared" si="89"/>
        <v/>
      </c>
      <c r="AJ711" t="str">
        <f t="shared" si="90"/>
        <v/>
      </c>
      <c r="AK711" t="str">
        <f>IF(COUNTA(T711:AH711)=0,"",(SUM(T711*KPI_Weights!$B$4,U711*KPI_Weights!$B$5,V711*KPI_Weights!$B$6,W711*KPI_Weights!$B$7,X711*KPI_Weights!$B$8,Y711*KPI_Weights!$B$9,Z711*KPI_Weights!$B$10,AA711*KPI_Weights!$B$11,AB711*KPI_Weights!$B$12,AC711*KPI_Weights!$B$13,AD711*KPI_Weights!$B$14,AE711*KPI_Weights!$B$15,AF711*KPI_Weights!$B$16,AG711*KPI_Weights!$B$17,AH711*KPI_Weights!$B$18))/5)</f>
        <v/>
      </c>
      <c r="AL711" t="str">
        <f t="shared" si="91"/>
        <v/>
      </c>
      <c r="AM711" t="str">
        <f t="shared" si="92"/>
        <v/>
      </c>
      <c r="AN711" t="str">
        <f t="shared" si="93"/>
        <v/>
      </c>
    </row>
    <row r="712" spans="1:40" ht="15" customHeight="1" x14ac:dyDescent="0.2">
      <c r="A712" t="str">
        <f>IF($B712="","",TEXT($B712,"yyyymmdd")&amp;"-"&amp;SUBSTITUTE($F712," ","")&amp;"-"&amp;TEXT(COUNTIF($F$4:F712,$F712),"00"))</f>
        <v/>
      </c>
      <c r="C712" t="str">
        <f t="shared" si="87"/>
        <v/>
      </c>
      <c r="D712" t="str">
        <f t="shared" si="88"/>
        <v/>
      </c>
      <c r="G712" t="str">
        <f>IF(OR($E712="",$F712=""),"",IFERROR(IF($E712=INDEX(Cluster_Master!$A$4:$A$18,MATCH($F712,Cluster_Master!$B$4:$B$18,0)),"OK","CHECK"),"CHECK"))</f>
        <v/>
      </c>
      <c r="H712" t="str">
        <f>IFERROR(INDEX(Cluster_Master!$C$4:$C$18,MATCH($F712,Cluster_Master!$B$4:$B$18,0)),"")</f>
        <v/>
      </c>
      <c r="I712" t="str">
        <f>IFERROR(INDEX(Cluster_Master!$D$4:$D$18,MATCH($F712,Cluster_Master!$B$4:$B$18,0)),"")</f>
        <v/>
      </c>
      <c r="J712" t="str">
        <f>IFERROR(INDEX(Cluster_Master!$E$4:$E$18,MATCH($F712,Cluster_Master!$B$4:$B$18,0)),"")</f>
        <v/>
      </c>
      <c r="K712" t="str">
        <f>IFERROR(INDEX(Cluster_Master!$F$4:$F$18,MATCH($F712,Cluster_Master!$B$4:$B$18,0)),"")</f>
        <v/>
      </c>
      <c r="L712" t="str">
        <f>IFERROR(INDEX(Cluster_Master!$G$4:$G$18,MATCH($F712,Cluster_Master!$B$4:$B$18,0)),"")</f>
        <v/>
      </c>
      <c r="M712" t="str">
        <f>IFERROR(INDEX(Cluster_Master!$H$4:$H$18,MATCH($F712,Cluster_Master!$B$4:$B$18,0)),"")</f>
        <v/>
      </c>
      <c r="AI712" t="str">
        <f t="shared" si="89"/>
        <v/>
      </c>
      <c r="AJ712" t="str">
        <f t="shared" si="90"/>
        <v/>
      </c>
      <c r="AK712" t="str">
        <f>IF(COUNTA(T712:AH712)=0,"",(SUM(T712*KPI_Weights!$B$4,U712*KPI_Weights!$B$5,V712*KPI_Weights!$B$6,W712*KPI_Weights!$B$7,X712*KPI_Weights!$B$8,Y712*KPI_Weights!$B$9,Z712*KPI_Weights!$B$10,AA712*KPI_Weights!$B$11,AB712*KPI_Weights!$B$12,AC712*KPI_Weights!$B$13,AD712*KPI_Weights!$B$14,AE712*KPI_Weights!$B$15,AF712*KPI_Weights!$B$16,AG712*KPI_Weights!$B$17,AH712*KPI_Weights!$B$18))/5)</f>
        <v/>
      </c>
      <c r="AL712" t="str">
        <f t="shared" si="91"/>
        <v/>
      </c>
      <c r="AM712" t="str">
        <f t="shared" si="92"/>
        <v/>
      </c>
      <c r="AN712" t="str">
        <f t="shared" si="93"/>
        <v/>
      </c>
    </row>
    <row r="713" spans="1:40" ht="15" customHeight="1" x14ac:dyDescent="0.2">
      <c r="A713" t="str">
        <f>IF($B713="","",TEXT($B713,"yyyymmdd")&amp;"-"&amp;SUBSTITUTE($F713," ","")&amp;"-"&amp;TEXT(COUNTIF($F$4:F713,$F713),"00"))</f>
        <v/>
      </c>
      <c r="C713" t="str">
        <f t="shared" si="87"/>
        <v/>
      </c>
      <c r="D713" t="str">
        <f t="shared" si="88"/>
        <v/>
      </c>
      <c r="G713" t="str">
        <f>IF(OR($E713="",$F713=""),"",IFERROR(IF($E713=INDEX(Cluster_Master!$A$4:$A$18,MATCH($F713,Cluster_Master!$B$4:$B$18,0)),"OK","CHECK"),"CHECK"))</f>
        <v/>
      </c>
      <c r="H713" t="str">
        <f>IFERROR(INDEX(Cluster_Master!$C$4:$C$18,MATCH($F713,Cluster_Master!$B$4:$B$18,0)),"")</f>
        <v/>
      </c>
      <c r="I713" t="str">
        <f>IFERROR(INDEX(Cluster_Master!$D$4:$D$18,MATCH($F713,Cluster_Master!$B$4:$B$18,0)),"")</f>
        <v/>
      </c>
      <c r="J713" t="str">
        <f>IFERROR(INDEX(Cluster_Master!$E$4:$E$18,MATCH($F713,Cluster_Master!$B$4:$B$18,0)),"")</f>
        <v/>
      </c>
      <c r="K713" t="str">
        <f>IFERROR(INDEX(Cluster_Master!$F$4:$F$18,MATCH($F713,Cluster_Master!$B$4:$B$18,0)),"")</f>
        <v/>
      </c>
      <c r="L713" t="str">
        <f>IFERROR(INDEX(Cluster_Master!$G$4:$G$18,MATCH($F713,Cluster_Master!$B$4:$B$18,0)),"")</f>
        <v/>
      </c>
      <c r="M713" t="str">
        <f>IFERROR(INDEX(Cluster_Master!$H$4:$H$18,MATCH($F713,Cluster_Master!$B$4:$B$18,0)),"")</f>
        <v/>
      </c>
      <c r="AI713" t="str">
        <f t="shared" si="89"/>
        <v/>
      </c>
      <c r="AJ713" t="str">
        <f t="shared" si="90"/>
        <v/>
      </c>
      <c r="AK713" t="str">
        <f>IF(COUNTA(T713:AH713)=0,"",(SUM(T713*KPI_Weights!$B$4,U713*KPI_Weights!$B$5,V713*KPI_Weights!$B$6,W713*KPI_Weights!$B$7,X713*KPI_Weights!$B$8,Y713*KPI_Weights!$B$9,Z713*KPI_Weights!$B$10,AA713*KPI_Weights!$B$11,AB713*KPI_Weights!$B$12,AC713*KPI_Weights!$B$13,AD713*KPI_Weights!$B$14,AE713*KPI_Weights!$B$15,AF713*KPI_Weights!$B$16,AG713*KPI_Weights!$B$17,AH713*KPI_Weights!$B$18))/5)</f>
        <v/>
      </c>
      <c r="AL713" t="str">
        <f t="shared" si="91"/>
        <v/>
      </c>
      <c r="AM713" t="str">
        <f t="shared" si="92"/>
        <v/>
      </c>
      <c r="AN713" t="str">
        <f t="shared" si="93"/>
        <v/>
      </c>
    </row>
    <row r="714" spans="1:40" ht="15" customHeight="1" x14ac:dyDescent="0.2">
      <c r="A714" t="str">
        <f>IF($B714="","",TEXT($B714,"yyyymmdd")&amp;"-"&amp;SUBSTITUTE($F714," ","")&amp;"-"&amp;TEXT(COUNTIF($F$4:F714,$F714),"00"))</f>
        <v/>
      </c>
      <c r="C714" t="str">
        <f t="shared" si="87"/>
        <v/>
      </c>
      <c r="D714" t="str">
        <f t="shared" si="88"/>
        <v/>
      </c>
      <c r="G714" t="str">
        <f>IF(OR($E714="",$F714=""),"",IFERROR(IF($E714=INDEX(Cluster_Master!$A$4:$A$18,MATCH($F714,Cluster_Master!$B$4:$B$18,0)),"OK","CHECK"),"CHECK"))</f>
        <v/>
      </c>
      <c r="H714" t="str">
        <f>IFERROR(INDEX(Cluster_Master!$C$4:$C$18,MATCH($F714,Cluster_Master!$B$4:$B$18,0)),"")</f>
        <v/>
      </c>
      <c r="I714" t="str">
        <f>IFERROR(INDEX(Cluster_Master!$D$4:$D$18,MATCH($F714,Cluster_Master!$B$4:$B$18,0)),"")</f>
        <v/>
      </c>
      <c r="J714" t="str">
        <f>IFERROR(INDEX(Cluster_Master!$E$4:$E$18,MATCH($F714,Cluster_Master!$B$4:$B$18,0)),"")</f>
        <v/>
      </c>
      <c r="K714" t="str">
        <f>IFERROR(INDEX(Cluster_Master!$F$4:$F$18,MATCH($F714,Cluster_Master!$B$4:$B$18,0)),"")</f>
        <v/>
      </c>
      <c r="L714" t="str">
        <f>IFERROR(INDEX(Cluster_Master!$G$4:$G$18,MATCH($F714,Cluster_Master!$B$4:$B$18,0)),"")</f>
        <v/>
      </c>
      <c r="M714" t="str">
        <f>IFERROR(INDEX(Cluster_Master!$H$4:$H$18,MATCH($F714,Cluster_Master!$B$4:$B$18,0)),"")</f>
        <v/>
      </c>
      <c r="AI714" t="str">
        <f t="shared" si="89"/>
        <v/>
      </c>
      <c r="AJ714" t="str">
        <f t="shared" si="90"/>
        <v/>
      </c>
      <c r="AK714" t="str">
        <f>IF(COUNTA(T714:AH714)=0,"",(SUM(T714*KPI_Weights!$B$4,U714*KPI_Weights!$B$5,V714*KPI_Weights!$B$6,W714*KPI_Weights!$B$7,X714*KPI_Weights!$B$8,Y714*KPI_Weights!$B$9,Z714*KPI_Weights!$B$10,AA714*KPI_Weights!$B$11,AB714*KPI_Weights!$B$12,AC714*KPI_Weights!$B$13,AD714*KPI_Weights!$B$14,AE714*KPI_Weights!$B$15,AF714*KPI_Weights!$B$16,AG714*KPI_Weights!$B$17,AH714*KPI_Weights!$B$18))/5)</f>
        <v/>
      </c>
      <c r="AL714" t="str">
        <f t="shared" si="91"/>
        <v/>
      </c>
      <c r="AM714" t="str">
        <f t="shared" si="92"/>
        <v/>
      </c>
      <c r="AN714" t="str">
        <f t="shared" si="93"/>
        <v/>
      </c>
    </row>
    <row r="715" spans="1:40" ht="15" customHeight="1" x14ac:dyDescent="0.2">
      <c r="A715" t="str">
        <f>IF($B715="","",TEXT($B715,"yyyymmdd")&amp;"-"&amp;SUBSTITUTE($F715," ","")&amp;"-"&amp;TEXT(COUNTIF($F$4:F715,$F715),"00"))</f>
        <v/>
      </c>
      <c r="C715" t="str">
        <f t="shared" si="87"/>
        <v/>
      </c>
      <c r="D715" t="str">
        <f t="shared" si="88"/>
        <v/>
      </c>
      <c r="G715" t="str">
        <f>IF(OR($E715="",$F715=""),"",IFERROR(IF($E715=INDEX(Cluster_Master!$A$4:$A$18,MATCH($F715,Cluster_Master!$B$4:$B$18,0)),"OK","CHECK"),"CHECK"))</f>
        <v/>
      </c>
      <c r="H715" t="str">
        <f>IFERROR(INDEX(Cluster_Master!$C$4:$C$18,MATCH($F715,Cluster_Master!$B$4:$B$18,0)),"")</f>
        <v/>
      </c>
      <c r="I715" t="str">
        <f>IFERROR(INDEX(Cluster_Master!$D$4:$D$18,MATCH($F715,Cluster_Master!$B$4:$B$18,0)),"")</f>
        <v/>
      </c>
      <c r="J715" t="str">
        <f>IFERROR(INDEX(Cluster_Master!$E$4:$E$18,MATCH($F715,Cluster_Master!$B$4:$B$18,0)),"")</f>
        <v/>
      </c>
      <c r="K715" t="str">
        <f>IFERROR(INDEX(Cluster_Master!$F$4:$F$18,MATCH($F715,Cluster_Master!$B$4:$B$18,0)),"")</f>
        <v/>
      </c>
      <c r="L715" t="str">
        <f>IFERROR(INDEX(Cluster_Master!$G$4:$G$18,MATCH($F715,Cluster_Master!$B$4:$B$18,0)),"")</f>
        <v/>
      </c>
      <c r="M715" t="str">
        <f>IFERROR(INDEX(Cluster_Master!$H$4:$H$18,MATCH($F715,Cluster_Master!$B$4:$B$18,0)),"")</f>
        <v/>
      </c>
      <c r="AI715" t="str">
        <f t="shared" si="89"/>
        <v/>
      </c>
      <c r="AJ715" t="str">
        <f t="shared" si="90"/>
        <v/>
      </c>
      <c r="AK715" t="str">
        <f>IF(COUNTA(T715:AH715)=0,"",(SUM(T715*KPI_Weights!$B$4,U715*KPI_Weights!$B$5,V715*KPI_Weights!$B$6,W715*KPI_Weights!$B$7,X715*KPI_Weights!$B$8,Y715*KPI_Weights!$B$9,Z715*KPI_Weights!$B$10,AA715*KPI_Weights!$B$11,AB715*KPI_Weights!$B$12,AC715*KPI_Weights!$B$13,AD715*KPI_Weights!$B$14,AE715*KPI_Weights!$B$15,AF715*KPI_Weights!$B$16,AG715*KPI_Weights!$B$17,AH715*KPI_Weights!$B$18))/5)</f>
        <v/>
      </c>
      <c r="AL715" t="str">
        <f t="shared" si="91"/>
        <v/>
      </c>
      <c r="AM715" t="str">
        <f t="shared" si="92"/>
        <v/>
      </c>
      <c r="AN715" t="str">
        <f t="shared" si="93"/>
        <v/>
      </c>
    </row>
    <row r="716" spans="1:40" ht="15" customHeight="1" x14ac:dyDescent="0.2">
      <c r="A716" t="str">
        <f>IF($B716="","",TEXT($B716,"yyyymmdd")&amp;"-"&amp;SUBSTITUTE($F716," ","")&amp;"-"&amp;TEXT(COUNTIF($F$4:F716,$F716),"00"))</f>
        <v/>
      </c>
      <c r="C716" t="str">
        <f t="shared" si="87"/>
        <v/>
      </c>
      <c r="D716" t="str">
        <f t="shared" si="88"/>
        <v/>
      </c>
      <c r="G716" t="str">
        <f>IF(OR($E716="",$F716=""),"",IFERROR(IF($E716=INDEX(Cluster_Master!$A$4:$A$18,MATCH($F716,Cluster_Master!$B$4:$B$18,0)),"OK","CHECK"),"CHECK"))</f>
        <v/>
      </c>
      <c r="H716" t="str">
        <f>IFERROR(INDEX(Cluster_Master!$C$4:$C$18,MATCH($F716,Cluster_Master!$B$4:$B$18,0)),"")</f>
        <v/>
      </c>
      <c r="I716" t="str">
        <f>IFERROR(INDEX(Cluster_Master!$D$4:$D$18,MATCH($F716,Cluster_Master!$B$4:$B$18,0)),"")</f>
        <v/>
      </c>
      <c r="J716" t="str">
        <f>IFERROR(INDEX(Cluster_Master!$E$4:$E$18,MATCH($F716,Cluster_Master!$B$4:$B$18,0)),"")</f>
        <v/>
      </c>
      <c r="K716" t="str">
        <f>IFERROR(INDEX(Cluster_Master!$F$4:$F$18,MATCH($F716,Cluster_Master!$B$4:$B$18,0)),"")</f>
        <v/>
      </c>
      <c r="L716" t="str">
        <f>IFERROR(INDEX(Cluster_Master!$G$4:$G$18,MATCH($F716,Cluster_Master!$B$4:$B$18,0)),"")</f>
        <v/>
      </c>
      <c r="M716" t="str">
        <f>IFERROR(INDEX(Cluster_Master!$H$4:$H$18,MATCH($F716,Cluster_Master!$B$4:$B$18,0)),"")</f>
        <v/>
      </c>
      <c r="AI716" t="str">
        <f t="shared" si="89"/>
        <v/>
      </c>
      <c r="AJ716" t="str">
        <f t="shared" si="90"/>
        <v/>
      </c>
      <c r="AK716" t="str">
        <f>IF(COUNTA(T716:AH716)=0,"",(SUM(T716*KPI_Weights!$B$4,U716*KPI_Weights!$B$5,V716*KPI_Weights!$B$6,W716*KPI_Weights!$B$7,X716*KPI_Weights!$B$8,Y716*KPI_Weights!$B$9,Z716*KPI_Weights!$B$10,AA716*KPI_Weights!$B$11,AB716*KPI_Weights!$B$12,AC716*KPI_Weights!$B$13,AD716*KPI_Weights!$B$14,AE716*KPI_Weights!$B$15,AF716*KPI_Weights!$B$16,AG716*KPI_Weights!$B$17,AH716*KPI_Weights!$B$18))/5)</f>
        <v/>
      </c>
      <c r="AL716" t="str">
        <f t="shared" si="91"/>
        <v/>
      </c>
      <c r="AM716" t="str">
        <f t="shared" si="92"/>
        <v/>
      </c>
      <c r="AN716" t="str">
        <f t="shared" si="93"/>
        <v/>
      </c>
    </row>
    <row r="717" spans="1:40" ht="15" customHeight="1" x14ac:dyDescent="0.2">
      <c r="A717" t="str">
        <f>IF($B717="","",TEXT($B717,"yyyymmdd")&amp;"-"&amp;SUBSTITUTE($F717," ","")&amp;"-"&amp;TEXT(COUNTIF($F$4:F717,$F717),"00"))</f>
        <v/>
      </c>
      <c r="C717" t="str">
        <f t="shared" si="87"/>
        <v/>
      </c>
      <c r="D717" t="str">
        <f t="shared" si="88"/>
        <v/>
      </c>
      <c r="G717" t="str">
        <f>IF(OR($E717="",$F717=""),"",IFERROR(IF($E717=INDEX(Cluster_Master!$A$4:$A$18,MATCH($F717,Cluster_Master!$B$4:$B$18,0)),"OK","CHECK"),"CHECK"))</f>
        <v/>
      </c>
      <c r="H717" t="str">
        <f>IFERROR(INDEX(Cluster_Master!$C$4:$C$18,MATCH($F717,Cluster_Master!$B$4:$B$18,0)),"")</f>
        <v/>
      </c>
      <c r="I717" t="str">
        <f>IFERROR(INDEX(Cluster_Master!$D$4:$D$18,MATCH($F717,Cluster_Master!$B$4:$B$18,0)),"")</f>
        <v/>
      </c>
      <c r="J717" t="str">
        <f>IFERROR(INDEX(Cluster_Master!$E$4:$E$18,MATCH($F717,Cluster_Master!$B$4:$B$18,0)),"")</f>
        <v/>
      </c>
      <c r="K717" t="str">
        <f>IFERROR(INDEX(Cluster_Master!$F$4:$F$18,MATCH($F717,Cluster_Master!$B$4:$B$18,0)),"")</f>
        <v/>
      </c>
      <c r="L717" t="str">
        <f>IFERROR(INDEX(Cluster_Master!$G$4:$G$18,MATCH($F717,Cluster_Master!$B$4:$B$18,0)),"")</f>
        <v/>
      </c>
      <c r="M717" t="str">
        <f>IFERROR(INDEX(Cluster_Master!$H$4:$H$18,MATCH($F717,Cluster_Master!$B$4:$B$18,0)),"")</f>
        <v/>
      </c>
      <c r="AI717" t="str">
        <f t="shared" si="89"/>
        <v/>
      </c>
      <c r="AJ717" t="str">
        <f t="shared" si="90"/>
        <v/>
      </c>
      <c r="AK717" t="str">
        <f>IF(COUNTA(T717:AH717)=0,"",(SUM(T717*KPI_Weights!$B$4,U717*KPI_Weights!$B$5,V717*KPI_Weights!$B$6,W717*KPI_Weights!$B$7,X717*KPI_Weights!$B$8,Y717*KPI_Weights!$B$9,Z717*KPI_Weights!$B$10,AA717*KPI_Weights!$B$11,AB717*KPI_Weights!$B$12,AC717*KPI_Weights!$B$13,AD717*KPI_Weights!$B$14,AE717*KPI_Weights!$B$15,AF717*KPI_Weights!$B$16,AG717*KPI_Weights!$B$17,AH717*KPI_Weights!$B$18))/5)</f>
        <v/>
      </c>
      <c r="AL717" t="str">
        <f t="shared" si="91"/>
        <v/>
      </c>
      <c r="AM717" t="str">
        <f t="shared" si="92"/>
        <v/>
      </c>
      <c r="AN717" t="str">
        <f t="shared" si="93"/>
        <v/>
      </c>
    </row>
    <row r="718" spans="1:40" ht="15" customHeight="1" x14ac:dyDescent="0.2">
      <c r="A718" t="str">
        <f>IF($B718="","",TEXT($B718,"yyyymmdd")&amp;"-"&amp;SUBSTITUTE($F718," ","")&amp;"-"&amp;TEXT(COUNTIF($F$4:F718,$F718),"00"))</f>
        <v/>
      </c>
      <c r="C718" t="str">
        <f t="shared" si="87"/>
        <v/>
      </c>
      <c r="D718" t="str">
        <f t="shared" si="88"/>
        <v/>
      </c>
      <c r="G718" t="str">
        <f>IF(OR($E718="",$F718=""),"",IFERROR(IF($E718=INDEX(Cluster_Master!$A$4:$A$18,MATCH($F718,Cluster_Master!$B$4:$B$18,0)),"OK","CHECK"),"CHECK"))</f>
        <v/>
      </c>
      <c r="H718" t="str">
        <f>IFERROR(INDEX(Cluster_Master!$C$4:$C$18,MATCH($F718,Cluster_Master!$B$4:$B$18,0)),"")</f>
        <v/>
      </c>
      <c r="I718" t="str">
        <f>IFERROR(INDEX(Cluster_Master!$D$4:$D$18,MATCH($F718,Cluster_Master!$B$4:$B$18,0)),"")</f>
        <v/>
      </c>
      <c r="J718" t="str">
        <f>IFERROR(INDEX(Cluster_Master!$E$4:$E$18,MATCH($F718,Cluster_Master!$B$4:$B$18,0)),"")</f>
        <v/>
      </c>
      <c r="K718" t="str">
        <f>IFERROR(INDEX(Cluster_Master!$F$4:$F$18,MATCH($F718,Cluster_Master!$B$4:$B$18,0)),"")</f>
        <v/>
      </c>
      <c r="L718" t="str">
        <f>IFERROR(INDEX(Cluster_Master!$G$4:$G$18,MATCH($F718,Cluster_Master!$B$4:$B$18,0)),"")</f>
        <v/>
      </c>
      <c r="M718" t="str">
        <f>IFERROR(INDEX(Cluster_Master!$H$4:$H$18,MATCH($F718,Cluster_Master!$B$4:$B$18,0)),"")</f>
        <v/>
      </c>
      <c r="AI718" t="str">
        <f t="shared" si="89"/>
        <v/>
      </c>
      <c r="AJ718" t="str">
        <f t="shared" si="90"/>
        <v/>
      </c>
      <c r="AK718" t="str">
        <f>IF(COUNTA(T718:AH718)=0,"",(SUM(T718*KPI_Weights!$B$4,U718*KPI_Weights!$B$5,V718*KPI_Weights!$B$6,W718*KPI_Weights!$B$7,X718*KPI_Weights!$B$8,Y718*KPI_Weights!$B$9,Z718*KPI_Weights!$B$10,AA718*KPI_Weights!$B$11,AB718*KPI_Weights!$B$12,AC718*KPI_Weights!$B$13,AD718*KPI_Weights!$B$14,AE718*KPI_Weights!$B$15,AF718*KPI_Weights!$B$16,AG718*KPI_Weights!$B$17,AH718*KPI_Weights!$B$18))/5)</f>
        <v/>
      </c>
      <c r="AL718" t="str">
        <f t="shared" si="91"/>
        <v/>
      </c>
      <c r="AM718" t="str">
        <f t="shared" si="92"/>
        <v/>
      </c>
      <c r="AN718" t="str">
        <f t="shared" si="93"/>
        <v/>
      </c>
    </row>
    <row r="719" spans="1:40" ht="15" customHeight="1" x14ac:dyDescent="0.2">
      <c r="A719" t="str">
        <f>IF($B719="","",TEXT($B719,"yyyymmdd")&amp;"-"&amp;SUBSTITUTE($F719," ","")&amp;"-"&amp;TEXT(COUNTIF($F$4:F719,$F719),"00"))</f>
        <v/>
      </c>
      <c r="C719" t="str">
        <f t="shared" si="87"/>
        <v/>
      </c>
      <c r="D719" t="str">
        <f t="shared" si="88"/>
        <v/>
      </c>
      <c r="G719" t="str">
        <f>IF(OR($E719="",$F719=""),"",IFERROR(IF($E719=INDEX(Cluster_Master!$A$4:$A$18,MATCH($F719,Cluster_Master!$B$4:$B$18,0)),"OK","CHECK"),"CHECK"))</f>
        <v/>
      </c>
      <c r="H719" t="str">
        <f>IFERROR(INDEX(Cluster_Master!$C$4:$C$18,MATCH($F719,Cluster_Master!$B$4:$B$18,0)),"")</f>
        <v/>
      </c>
      <c r="I719" t="str">
        <f>IFERROR(INDEX(Cluster_Master!$D$4:$D$18,MATCH($F719,Cluster_Master!$B$4:$B$18,0)),"")</f>
        <v/>
      </c>
      <c r="J719" t="str">
        <f>IFERROR(INDEX(Cluster_Master!$E$4:$E$18,MATCH($F719,Cluster_Master!$B$4:$B$18,0)),"")</f>
        <v/>
      </c>
      <c r="K719" t="str">
        <f>IFERROR(INDEX(Cluster_Master!$F$4:$F$18,MATCH($F719,Cluster_Master!$B$4:$B$18,0)),"")</f>
        <v/>
      </c>
      <c r="L719" t="str">
        <f>IFERROR(INDEX(Cluster_Master!$G$4:$G$18,MATCH($F719,Cluster_Master!$B$4:$B$18,0)),"")</f>
        <v/>
      </c>
      <c r="M719" t="str">
        <f>IFERROR(INDEX(Cluster_Master!$H$4:$H$18,MATCH($F719,Cluster_Master!$B$4:$B$18,0)),"")</f>
        <v/>
      </c>
      <c r="AI719" t="str">
        <f t="shared" si="89"/>
        <v/>
      </c>
      <c r="AJ719" t="str">
        <f t="shared" si="90"/>
        <v/>
      </c>
      <c r="AK719" t="str">
        <f>IF(COUNTA(T719:AH719)=0,"",(SUM(T719*KPI_Weights!$B$4,U719*KPI_Weights!$B$5,V719*KPI_Weights!$B$6,W719*KPI_Weights!$B$7,X719*KPI_Weights!$B$8,Y719*KPI_Weights!$B$9,Z719*KPI_Weights!$B$10,AA719*KPI_Weights!$B$11,AB719*KPI_Weights!$B$12,AC719*KPI_Weights!$B$13,AD719*KPI_Weights!$B$14,AE719*KPI_Weights!$B$15,AF719*KPI_Weights!$B$16,AG719*KPI_Weights!$B$17,AH719*KPI_Weights!$B$18))/5)</f>
        <v/>
      </c>
      <c r="AL719" t="str">
        <f t="shared" si="91"/>
        <v/>
      </c>
      <c r="AM719" t="str">
        <f t="shared" si="92"/>
        <v/>
      </c>
      <c r="AN719" t="str">
        <f t="shared" si="93"/>
        <v/>
      </c>
    </row>
    <row r="720" spans="1:40" ht="15" customHeight="1" x14ac:dyDescent="0.2">
      <c r="A720" t="str">
        <f>IF($B720="","",TEXT($B720,"yyyymmdd")&amp;"-"&amp;SUBSTITUTE($F720," ","")&amp;"-"&amp;TEXT(COUNTIF($F$4:F720,$F720),"00"))</f>
        <v/>
      </c>
      <c r="C720" t="str">
        <f t="shared" si="87"/>
        <v/>
      </c>
      <c r="D720" t="str">
        <f t="shared" si="88"/>
        <v/>
      </c>
      <c r="G720" t="str">
        <f>IF(OR($E720="",$F720=""),"",IFERROR(IF($E720=INDEX(Cluster_Master!$A$4:$A$18,MATCH($F720,Cluster_Master!$B$4:$B$18,0)),"OK","CHECK"),"CHECK"))</f>
        <v/>
      </c>
      <c r="H720" t="str">
        <f>IFERROR(INDEX(Cluster_Master!$C$4:$C$18,MATCH($F720,Cluster_Master!$B$4:$B$18,0)),"")</f>
        <v/>
      </c>
      <c r="I720" t="str">
        <f>IFERROR(INDEX(Cluster_Master!$D$4:$D$18,MATCH($F720,Cluster_Master!$B$4:$B$18,0)),"")</f>
        <v/>
      </c>
      <c r="J720" t="str">
        <f>IFERROR(INDEX(Cluster_Master!$E$4:$E$18,MATCH($F720,Cluster_Master!$B$4:$B$18,0)),"")</f>
        <v/>
      </c>
      <c r="K720" t="str">
        <f>IFERROR(INDEX(Cluster_Master!$F$4:$F$18,MATCH($F720,Cluster_Master!$B$4:$B$18,0)),"")</f>
        <v/>
      </c>
      <c r="L720" t="str">
        <f>IFERROR(INDEX(Cluster_Master!$G$4:$G$18,MATCH($F720,Cluster_Master!$B$4:$B$18,0)),"")</f>
        <v/>
      </c>
      <c r="M720" t="str">
        <f>IFERROR(INDEX(Cluster_Master!$H$4:$H$18,MATCH($F720,Cluster_Master!$B$4:$B$18,0)),"")</f>
        <v/>
      </c>
      <c r="AI720" t="str">
        <f t="shared" si="89"/>
        <v/>
      </c>
      <c r="AJ720" t="str">
        <f t="shared" si="90"/>
        <v/>
      </c>
      <c r="AK720" t="str">
        <f>IF(COUNTA(T720:AH720)=0,"",(SUM(T720*KPI_Weights!$B$4,U720*KPI_Weights!$B$5,V720*KPI_Weights!$B$6,W720*KPI_Weights!$B$7,X720*KPI_Weights!$B$8,Y720*KPI_Weights!$B$9,Z720*KPI_Weights!$B$10,AA720*KPI_Weights!$B$11,AB720*KPI_Weights!$B$12,AC720*KPI_Weights!$B$13,AD720*KPI_Weights!$B$14,AE720*KPI_Weights!$B$15,AF720*KPI_Weights!$B$16,AG720*KPI_Weights!$B$17,AH720*KPI_Weights!$B$18))/5)</f>
        <v/>
      </c>
      <c r="AL720" t="str">
        <f t="shared" si="91"/>
        <v/>
      </c>
      <c r="AM720" t="str">
        <f t="shared" si="92"/>
        <v/>
      </c>
      <c r="AN720" t="str">
        <f t="shared" si="93"/>
        <v/>
      </c>
    </row>
    <row r="721" spans="1:40" ht="15" customHeight="1" x14ac:dyDescent="0.2">
      <c r="A721" t="str">
        <f>IF($B721="","",TEXT($B721,"yyyymmdd")&amp;"-"&amp;SUBSTITUTE($F721," ","")&amp;"-"&amp;TEXT(COUNTIF($F$4:F721,$F721),"00"))</f>
        <v/>
      </c>
      <c r="C721" t="str">
        <f t="shared" si="87"/>
        <v/>
      </c>
      <c r="D721" t="str">
        <f t="shared" si="88"/>
        <v/>
      </c>
      <c r="G721" t="str">
        <f>IF(OR($E721="",$F721=""),"",IFERROR(IF($E721=INDEX(Cluster_Master!$A$4:$A$18,MATCH($F721,Cluster_Master!$B$4:$B$18,0)),"OK","CHECK"),"CHECK"))</f>
        <v/>
      </c>
      <c r="H721" t="str">
        <f>IFERROR(INDEX(Cluster_Master!$C$4:$C$18,MATCH($F721,Cluster_Master!$B$4:$B$18,0)),"")</f>
        <v/>
      </c>
      <c r="I721" t="str">
        <f>IFERROR(INDEX(Cluster_Master!$D$4:$D$18,MATCH($F721,Cluster_Master!$B$4:$B$18,0)),"")</f>
        <v/>
      </c>
      <c r="J721" t="str">
        <f>IFERROR(INDEX(Cluster_Master!$E$4:$E$18,MATCH($F721,Cluster_Master!$B$4:$B$18,0)),"")</f>
        <v/>
      </c>
      <c r="K721" t="str">
        <f>IFERROR(INDEX(Cluster_Master!$F$4:$F$18,MATCH($F721,Cluster_Master!$B$4:$B$18,0)),"")</f>
        <v/>
      </c>
      <c r="L721" t="str">
        <f>IFERROR(INDEX(Cluster_Master!$G$4:$G$18,MATCH($F721,Cluster_Master!$B$4:$B$18,0)),"")</f>
        <v/>
      </c>
      <c r="M721" t="str">
        <f>IFERROR(INDEX(Cluster_Master!$H$4:$H$18,MATCH($F721,Cluster_Master!$B$4:$B$18,0)),"")</f>
        <v/>
      </c>
      <c r="AI721" t="str">
        <f t="shared" si="89"/>
        <v/>
      </c>
      <c r="AJ721" t="str">
        <f t="shared" si="90"/>
        <v/>
      </c>
      <c r="AK721" t="str">
        <f>IF(COUNTA(T721:AH721)=0,"",(SUM(T721*KPI_Weights!$B$4,U721*KPI_Weights!$B$5,V721*KPI_Weights!$B$6,W721*KPI_Weights!$B$7,X721*KPI_Weights!$B$8,Y721*KPI_Weights!$B$9,Z721*KPI_Weights!$B$10,AA721*KPI_Weights!$B$11,AB721*KPI_Weights!$B$12,AC721*KPI_Weights!$B$13,AD721*KPI_Weights!$B$14,AE721*KPI_Weights!$B$15,AF721*KPI_Weights!$B$16,AG721*KPI_Weights!$B$17,AH721*KPI_Weights!$B$18))/5)</f>
        <v/>
      </c>
      <c r="AL721" t="str">
        <f t="shared" si="91"/>
        <v/>
      </c>
      <c r="AM721" t="str">
        <f t="shared" si="92"/>
        <v/>
      </c>
      <c r="AN721" t="str">
        <f t="shared" si="93"/>
        <v/>
      </c>
    </row>
    <row r="722" spans="1:40" ht="15" customHeight="1" x14ac:dyDescent="0.2">
      <c r="A722" t="str">
        <f>IF($B722="","",TEXT($B722,"yyyymmdd")&amp;"-"&amp;SUBSTITUTE($F722," ","")&amp;"-"&amp;TEXT(COUNTIF($F$4:F722,$F722),"00"))</f>
        <v/>
      </c>
      <c r="C722" t="str">
        <f t="shared" si="87"/>
        <v/>
      </c>
      <c r="D722" t="str">
        <f t="shared" si="88"/>
        <v/>
      </c>
      <c r="G722" t="str">
        <f>IF(OR($E722="",$F722=""),"",IFERROR(IF($E722=INDEX(Cluster_Master!$A$4:$A$18,MATCH($F722,Cluster_Master!$B$4:$B$18,0)),"OK","CHECK"),"CHECK"))</f>
        <v/>
      </c>
      <c r="H722" t="str">
        <f>IFERROR(INDEX(Cluster_Master!$C$4:$C$18,MATCH($F722,Cluster_Master!$B$4:$B$18,0)),"")</f>
        <v/>
      </c>
      <c r="I722" t="str">
        <f>IFERROR(INDEX(Cluster_Master!$D$4:$D$18,MATCH($F722,Cluster_Master!$B$4:$B$18,0)),"")</f>
        <v/>
      </c>
      <c r="J722" t="str">
        <f>IFERROR(INDEX(Cluster_Master!$E$4:$E$18,MATCH($F722,Cluster_Master!$B$4:$B$18,0)),"")</f>
        <v/>
      </c>
      <c r="K722" t="str">
        <f>IFERROR(INDEX(Cluster_Master!$F$4:$F$18,MATCH($F722,Cluster_Master!$B$4:$B$18,0)),"")</f>
        <v/>
      </c>
      <c r="L722" t="str">
        <f>IFERROR(INDEX(Cluster_Master!$G$4:$G$18,MATCH($F722,Cluster_Master!$B$4:$B$18,0)),"")</f>
        <v/>
      </c>
      <c r="M722" t="str">
        <f>IFERROR(INDEX(Cluster_Master!$H$4:$H$18,MATCH($F722,Cluster_Master!$B$4:$B$18,0)),"")</f>
        <v/>
      </c>
      <c r="AI722" t="str">
        <f t="shared" si="89"/>
        <v/>
      </c>
      <c r="AJ722" t="str">
        <f t="shared" si="90"/>
        <v/>
      </c>
      <c r="AK722" t="str">
        <f>IF(COUNTA(T722:AH722)=0,"",(SUM(T722*KPI_Weights!$B$4,U722*KPI_Weights!$B$5,V722*KPI_Weights!$B$6,W722*KPI_Weights!$B$7,X722*KPI_Weights!$B$8,Y722*KPI_Weights!$B$9,Z722*KPI_Weights!$B$10,AA722*KPI_Weights!$B$11,AB722*KPI_Weights!$B$12,AC722*KPI_Weights!$B$13,AD722*KPI_Weights!$B$14,AE722*KPI_Weights!$B$15,AF722*KPI_Weights!$B$16,AG722*KPI_Weights!$B$17,AH722*KPI_Weights!$B$18))/5)</f>
        <v/>
      </c>
      <c r="AL722" t="str">
        <f t="shared" si="91"/>
        <v/>
      </c>
      <c r="AM722" t="str">
        <f t="shared" si="92"/>
        <v/>
      </c>
      <c r="AN722" t="str">
        <f t="shared" si="93"/>
        <v/>
      </c>
    </row>
    <row r="723" spans="1:40" ht="15" customHeight="1" x14ac:dyDescent="0.2">
      <c r="A723" t="str">
        <f>IF($B723="","",TEXT($B723,"yyyymmdd")&amp;"-"&amp;SUBSTITUTE($F723," ","")&amp;"-"&amp;TEXT(COUNTIF($F$4:F723,$F723),"00"))</f>
        <v/>
      </c>
      <c r="C723" t="str">
        <f t="shared" si="87"/>
        <v/>
      </c>
      <c r="D723" t="str">
        <f t="shared" si="88"/>
        <v/>
      </c>
      <c r="G723" t="str">
        <f>IF(OR($E723="",$F723=""),"",IFERROR(IF($E723=INDEX(Cluster_Master!$A$4:$A$18,MATCH($F723,Cluster_Master!$B$4:$B$18,0)),"OK","CHECK"),"CHECK"))</f>
        <v/>
      </c>
      <c r="H723" t="str">
        <f>IFERROR(INDEX(Cluster_Master!$C$4:$C$18,MATCH($F723,Cluster_Master!$B$4:$B$18,0)),"")</f>
        <v/>
      </c>
      <c r="I723" t="str">
        <f>IFERROR(INDEX(Cluster_Master!$D$4:$D$18,MATCH($F723,Cluster_Master!$B$4:$B$18,0)),"")</f>
        <v/>
      </c>
      <c r="J723" t="str">
        <f>IFERROR(INDEX(Cluster_Master!$E$4:$E$18,MATCH($F723,Cluster_Master!$B$4:$B$18,0)),"")</f>
        <v/>
      </c>
      <c r="K723" t="str">
        <f>IFERROR(INDEX(Cluster_Master!$F$4:$F$18,MATCH($F723,Cluster_Master!$B$4:$B$18,0)),"")</f>
        <v/>
      </c>
      <c r="L723" t="str">
        <f>IFERROR(INDEX(Cluster_Master!$G$4:$G$18,MATCH($F723,Cluster_Master!$B$4:$B$18,0)),"")</f>
        <v/>
      </c>
      <c r="M723" t="str">
        <f>IFERROR(INDEX(Cluster_Master!$H$4:$H$18,MATCH($F723,Cluster_Master!$B$4:$B$18,0)),"")</f>
        <v/>
      </c>
      <c r="AI723" t="str">
        <f t="shared" si="89"/>
        <v/>
      </c>
      <c r="AJ723" t="str">
        <f t="shared" si="90"/>
        <v/>
      </c>
      <c r="AK723" t="str">
        <f>IF(COUNTA(T723:AH723)=0,"",(SUM(T723*KPI_Weights!$B$4,U723*KPI_Weights!$B$5,V723*KPI_Weights!$B$6,W723*KPI_Weights!$B$7,X723*KPI_Weights!$B$8,Y723*KPI_Weights!$B$9,Z723*KPI_Weights!$B$10,AA723*KPI_Weights!$B$11,AB723*KPI_Weights!$B$12,AC723*KPI_Weights!$B$13,AD723*KPI_Weights!$B$14,AE723*KPI_Weights!$B$15,AF723*KPI_Weights!$B$16,AG723*KPI_Weights!$B$17,AH723*KPI_Weights!$B$18))/5)</f>
        <v/>
      </c>
      <c r="AL723" t="str">
        <f t="shared" si="91"/>
        <v/>
      </c>
      <c r="AM723" t="str">
        <f t="shared" si="92"/>
        <v/>
      </c>
      <c r="AN723" t="str">
        <f t="shared" si="93"/>
        <v/>
      </c>
    </row>
    <row r="724" spans="1:40" ht="15" customHeight="1" x14ac:dyDescent="0.2">
      <c r="A724" t="str">
        <f>IF($B724="","",TEXT($B724,"yyyymmdd")&amp;"-"&amp;SUBSTITUTE($F724," ","")&amp;"-"&amp;TEXT(COUNTIF($F$4:F724,$F724),"00"))</f>
        <v/>
      </c>
      <c r="C724" t="str">
        <f t="shared" si="87"/>
        <v/>
      </c>
      <c r="D724" t="str">
        <f t="shared" si="88"/>
        <v/>
      </c>
      <c r="G724" t="str">
        <f>IF(OR($E724="",$F724=""),"",IFERROR(IF($E724=INDEX(Cluster_Master!$A$4:$A$18,MATCH($F724,Cluster_Master!$B$4:$B$18,0)),"OK","CHECK"),"CHECK"))</f>
        <v/>
      </c>
      <c r="H724" t="str">
        <f>IFERROR(INDEX(Cluster_Master!$C$4:$C$18,MATCH($F724,Cluster_Master!$B$4:$B$18,0)),"")</f>
        <v/>
      </c>
      <c r="I724" t="str">
        <f>IFERROR(INDEX(Cluster_Master!$D$4:$D$18,MATCH($F724,Cluster_Master!$B$4:$B$18,0)),"")</f>
        <v/>
      </c>
      <c r="J724" t="str">
        <f>IFERROR(INDEX(Cluster_Master!$E$4:$E$18,MATCH($F724,Cluster_Master!$B$4:$B$18,0)),"")</f>
        <v/>
      </c>
      <c r="K724" t="str">
        <f>IFERROR(INDEX(Cluster_Master!$F$4:$F$18,MATCH($F724,Cluster_Master!$B$4:$B$18,0)),"")</f>
        <v/>
      </c>
      <c r="L724" t="str">
        <f>IFERROR(INDEX(Cluster_Master!$G$4:$G$18,MATCH($F724,Cluster_Master!$B$4:$B$18,0)),"")</f>
        <v/>
      </c>
      <c r="M724" t="str">
        <f>IFERROR(INDEX(Cluster_Master!$H$4:$H$18,MATCH($F724,Cluster_Master!$B$4:$B$18,0)),"")</f>
        <v/>
      </c>
      <c r="AI724" t="str">
        <f t="shared" si="89"/>
        <v/>
      </c>
      <c r="AJ724" t="str">
        <f t="shared" si="90"/>
        <v/>
      </c>
      <c r="AK724" t="str">
        <f>IF(COUNTA(T724:AH724)=0,"",(SUM(T724*KPI_Weights!$B$4,U724*KPI_Weights!$B$5,V724*KPI_Weights!$B$6,W724*KPI_Weights!$B$7,X724*KPI_Weights!$B$8,Y724*KPI_Weights!$B$9,Z724*KPI_Weights!$B$10,AA724*KPI_Weights!$B$11,AB724*KPI_Weights!$B$12,AC724*KPI_Weights!$B$13,AD724*KPI_Weights!$B$14,AE724*KPI_Weights!$B$15,AF724*KPI_Weights!$B$16,AG724*KPI_Weights!$B$17,AH724*KPI_Weights!$B$18))/5)</f>
        <v/>
      </c>
      <c r="AL724" t="str">
        <f t="shared" si="91"/>
        <v/>
      </c>
      <c r="AM724" t="str">
        <f t="shared" si="92"/>
        <v/>
      </c>
      <c r="AN724" t="str">
        <f t="shared" si="93"/>
        <v/>
      </c>
    </row>
    <row r="725" spans="1:40" ht="15" customHeight="1" x14ac:dyDescent="0.2">
      <c r="A725" t="str">
        <f>IF($B725="","",TEXT($B725,"yyyymmdd")&amp;"-"&amp;SUBSTITUTE($F725," ","")&amp;"-"&amp;TEXT(COUNTIF($F$4:F725,$F725),"00"))</f>
        <v/>
      </c>
      <c r="C725" t="str">
        <f t="shared" si="87"/>
        <v/>
      </c>
      <c r="D725" t="str">
        <f t="shared" si="88"/>
        <v/>
      </c>
      <c r="G725" t="str">
        <f>IF(OR($E725="",$F725=""),"",IFERROR(IF($E725=INDEX(Cluster_Master!$A$4:$A$18,MATCH($F725,Cluster_Master!$B$4:$B$18,0)),"OK","CHECK"),"CHECK"))</f>
        <v/>
      </c>
      <c r="H725" t="str">
        <f>IFERROR(INDEX(Cluster_Master!$C$4:$C$18,MATCH($F725,Cluster_Master!$B$4:$B$18,0)),"")</f>
        <v/>
      </c>
      <c r="I725" t="str">
        <f>IFERROR(INDEX(Cluster_Master!$D$4:$D$18,MATCH($F725,Cluster_Master!$B$4:$B$18,0)),"")</f>
        <v/>
      </c>
      <c r="J725" t="str">
        <f>IFERROR(INDEX(Cluster_Master!$E$4:$E$18,MATCH($F725,Cluster_Master!$B$4:$B$18,0)),"")</f>
        <v/>
      </c>
      <c r="K725" t="str">
        <f>IFERROR(INDEX(Cluster_Master!$F$4:$F$18,MATCH($F725,Cluster_Master!$B$4:$B$18,0)),"")</f>
        <v/>
      </c>
      <c r="L725" t="str">
        <f>IFERROR(INDEX(Cluster_Master!$G$4:$G$18,MATCH($F725,Cluster_Master!$B$4:$B$18,0)),"")</f>
        <v/>
      </c>
      <c r="M725" t="str">
        <f>IFERROR(INDEX(Cluster_Master!$H$4:$H$18,MATCH($F725,Cluster_Master!$B$4:$B$18,0)),"")</f>
        <v/>
      </c>
      <c r="AI725" t="str">
        <f t="shared" si="89"/>
        <v/>
      </c>
      <c r="AJ725" t="str">
        <f t="shared" si="90"/>
        <v/>
      </c>
      <c r="AK725" t="str">
        <f>IF(COUNTA(T725:AH725)=0,"",(SUM(T725*KPI_Weights!$B$4,U725*KPI_Weights!$B$5,V725*KPI_Weights!$B$6,W725*KPI_Weights!$B$7,X725*KPI_Weights!$B$8,Y725*KPI_Weights!$B$9,Z725*KPI_Weights!$B$10,AA725*KPI_Weights!$B$11,AB725*KPI_Weights!$B$12,AC725*KPI_Weights!$B$13,AD725*KPI_Weights!$B$14,AE725*KPI_Weights!$B$15,AF725*KPI_Weights!$B$16,AG725*KPI_Weights!$B$17,AH725*KPI_Weights!$B$18))/5)</f>
        <v/>
      </c>
      <c r="AL725" t="str">
        <f t="shared" si="91"/>
        <v/>
      </c>
      <c r="AM725" t="str">
        <f t="shared" si="92"/>
        <v/>
      </c>
      <c r="AN725" t="str">
        <f t="shared" si="93"/>
        <v/>
      </c>
    </row>
    <row r="726" spans="1:40" ht="15" customHeight="1" x14ac:dyDescent="0.2">
      <c r="A726" t="str">
        <f>IF($B726="","",TEXT($B726,"yyyymmdd")&amp;"-"&amp;SUBSTITUTE($F726," ","")&amp;"-"&amp;TEXT(COUNTIF($F$4:F726,$F726),"00"))</f>
        <v/>
      </c>
      <c r="C726" t="str">
        <f t="shared" si="87"/>
        <v/>
      </c>
      <c r="D726" t="str">
        <f t="shared" si="88"/>
        <v/>
      </c>
      <c r="G726" t="str">
        <f>IF(OR($E726="",$F726=""),"",IFERROR(IF($E726=INDEX(Cluster_Master!$A$4:$A$18,MATCH($F726,Cluster_Master!$B$4:$B$18,0)),"OK","CHECK"),"CHECK"))</f>
        <v/>
      </c>
      <c r="H726" t="str">
        <f>IFERROR(INDEX(Cluster_Master!$C$4:$C$18,MATCH($F726,Cluster_Master!$B$4:$B$18,0)),"")</f>
        <v/>
      </c>
      <c r="I726" t="str">
        <f>IFERROR(INDEX(Cluster_Master!$D$4:$D$18,MATCH($F726,Cluster_Master!$B$4:$B$18,0)),"")</f>
        <v/>
      </c>
      <c r="J726" t="str">
        <f>IFERROR(INDEX(Cluster_Master!$E$4:$E$18,MATCH($F726,Cluster_Master!$B$4:$B$18,0)),"")</f>
        <v/>
      </c>
      <c r="K726" t="str">
        <f>IFERROR(INDEX(Cluster_Master!$F$4:$F$18,MATCH($F726,Cluster_Master!$B$4:$B$18,0)),"")</f>
        <v/>
      </c>
      <c r="L726" t="str">
        <f>IFERROR(INDEX(Cluster_Master!$G$4:$G$18,MATCH($F726,Cluster_Master!$B$4:$B$18,0)),"")</f>
        <v/>
      </c>
      <c r="M726" t="str">
        <f>IFERROR(INDEX(Cluster_Master!$H$4:$H$18,MATCH($F726,Cluster_Master!$B$4:$B$18,0)),"")</f>
        <v/>
      </c>
      <c r="AI726" t="str">
        <f t="shared" si="89"/>
        <v/>
      </c>
      <c r="AJ726" t="str">
        <f t="shared" si="90"/>
        <v/>
      </c>
      <c r="AK726" t="str">
        <f>IF(COUNTA(T726:AH726)=0,"",(SUM(T726*KPI_Weights!$B$4,U726*KPI_Weights!$B$5,V726*KPI_Weights!$B$6,W726*KPI_Weights!$B$7,X726*KPI_Weights!$B$8,Y726*KPI_Weights!$B$9,Z726*KPI_Weights!$B$10,AA726*KPI_Weights!$B$11,AB726*KPI_Weights!$B$12,AC726*KPI_Weights!$B$13,AD726*KPI_Weights!$B$14,AE726*KPI_Weights!$B$15,AF726*KPI_Weights!$B$16,AG726*KPI_Weights!$B$17,AH726*KPI_Weights!$B$18))/5)</f>
        <v/>
      </c>
      <c r="AL726" t="str">
        <f t="shared" si="91"/>
        <v/>
      </c>
      <c r="AM726" t="str">
        <f t="shared" si="92"/>
        <v/>
      </c>
      <c r="AN726" t="str">
        <f t="shared" si="93"/>
        <v/>
      </c>
    </row>
    <row r="727" spans="1:40" ht="15" customHeight="1" x14ac:dyDescent="0.2">
      <c r="A727" t="str">
        <f>IF($B727="","",TEXT($B727,"yyyymmdd")&amp;"-"&amp;SUBSTITUTE($F727," ","")&amp;"-"&amp;TEXT(COUNTIF($F$4:F727,$F727),"00"))</f>
        <v/>
      </c>
      <c r="C727" t="str">
        <f t="shared" si="87"/>
        <v/>
      </c>
      <c r="D727" t="str">
        <f t="shared" si="88"/>
        <v/>
      </c>
      <c r="G727" t="str">
        <f>IF(OR($E727="",$F727=""),"",IFERROR(IF($E727=INDEX(Cluster_Master!$A$4:$A$18,MATCH($F727,Cluster_Master!$B$4:$B$18,0)),"OK","CHECK"),"CHECK"))</f>
        <v/>
      </c>
      <c r="H727" t="str">
        <f>IFERROR(INDEX(Cluster_Master!$C$4:$C$18,MATCH($F727,Cluster_Master!$B$4:$B$18,0)),"")</f>
        <v/>
      </c>
      <c r="I727" t="str">
        <f>IFERROR(INDEX(Cluster_Master!$D$4:$D$18,MATCH($F727,Cluster_Master!$B$4:$B$18,0)),"")</f>
        <v/>
      </c>
      <c r="J727" t="str">
        <f>IFERROR(INDEX(Cluster_Master!$E$4:$E$18,MATCH($F727,Cluster_Master!$B$4:$B$18,0)),"")</f>
        <v/>
      </c>
      <c r="K727" t="str">
        <f>IFERROR(INDEX(Cluster_Master!$F$4:$F$18,MATCH($F727,Cluster_Master!$B$4:$B$18,0)),"")</f>
        <v/>
      </c>
      <c r="L727" t="str">
        <f>IFERROR(INDEX(Cluster_Master!$G$4:$G$18,MATCH($F727,Cluster_Master!$B$4:$B$18,0)),"")</f>
        <v/>
      </c>
      <c r="M727" t="str">
        <f>IFERROR(INDEX(Cluster_Master!$H$4:$H$18,MATCH($F727,Cluster_Master!$B$4:$B$18,0)),"")</f>
        <v/>
      </c>
      <c r="AI727" t="str">
        <f t="shared" si="89"/>
        <v/>
      </c>
      <c r="AJ727" t="str">
        <f t="shared" si="90"/>
        <v/>
      </c>
      <c r="AK727" t="str">
        <f>IF(COUNTA(T727:AH727)=0,"",(SUM(T727*KPI_Weights!$B$4,U727*KPI_Weights!$B$5,V727*KPI_Weights!$B$6,W727*KPI_Weights!$B$7,X727*KPI_Weights!$B$8,Y727*KPI_Weights!$B$9,Z727*KPI_Weights!$B$10,AA727*KPI_Weights!$B$11,AB727*KPI_Weights!$B$12,AC727*KPI_Weights!$B$13,AD727*KPI_Weights!$B$14,AE727*KPI_Weights!$B$15,AF727*KPI_Weights!$B$16,AG727*KPI_Weights!$B$17,AH727*KPI_Weights!$B$18))/5)</f>
        <v/>
      </c>
      <c r="AL727" t="str">
        <f t="shared" si="91"/>
        <v/>
      </c>
      <c r="AM727" t="str">
        <f t="shared" si="92"/>
        <v/>
      </c>
      <c r="AN727" t="str">
        <f t="shared" si="93"/>
        <v/>
      </c>
    </row>
    <row r="728" spans="1:40" ht="15" customHeight="1" x14ac:dyDescent="0.2">
      <c r="A728" t="str">
        <f>IF($B728="","",TEXT($B728,"yyyymmdd")&amp;"-"&amp;SUBSTITUTE($F728," ","")&amp;"-"&amp;TEXT(COUNTIF($F$4:F728,$F728),"00"))</f>
        <v/>
      </c>
      <c r="C728" t="str">
        <f t="shared" si="87"/>
        <v/>
      </c>
      <c r="D728" t="str">
        <f t="shared" si="88"/>
        <v/>
      </c>
      <c r="G728" t="str">
        <f>IF(OR($E728="",$F728=""),"",IFERROR(IF($E728=INDEX(Cluster_Master!$A$4:$A$18,MATCH($F728,Cluster_Master!$B$4:$B$18,0)),"OK","CHECK"),"CHECK"))</f>
        <v/>
      </c>
      <c r="H728" t="str">
        <f>IFERROR(INDEX(Cluster_Master!$C$4:$C$18,MATCH($F728,Cluster_Master!$B$4:$B$18,0)),"")</f>
        <v/>
      </c>
      <c r="I728" t="str">
        <f>IFERROR(INDEX(Cluster_Master!$D$4:$D$18,MATCH($F728,Cluster_Master!$B$4:$B$18,0)),"")</f>
        <v/>
      </c>
      <c r="J728" t="str">
        <f>IFERROR(INDEX(Cluster_Master!$E$4:$E$18,MATCH($F728,Cluster_Master!$B$4:$B$18,0)),"")</f>
        <v/>
      </c>
      <c r="K728" t="str">
        <f>IFERROR(INDEX(Cluster_Master!$F$4:$F$18,MATCH($F728,Cluster_Master!$B$4:$B$18,0)),"")</f>
        <v/>
      </c>
      <c r="L728" t="str">
        <f>IFERROR(INDEX(Cluster_Master!$G$4:$G$18,MATCH($F728,Cluster_Master!$B$4:$B$18,0)),"")</f>
        <v/>
      </c>
      <c r="M728" t="str">
        <f>IFERROR(INDEX(Cluster_Master!$H$4:$H$18,MATCH($F728,Cluster_Master!$B$4:$B$18,0)),"")</f>
        <v/>
      </c>
      <c r="AI728" t="str">
        <f t="shared" si="89"/>
        <v/>
      </c>
      <c r="AJ728" t="str">
        <f t="shared" si="90"/>
        <v/>
      </c>
      <c r="AK728" t="str">
        <f>IF(COUNTA(T728:AH728)=0,"",(SUM(T728*KPI_Weights!$B$4,U728*KPI_Weights!$B$5,V728*KPI_Weights!$B$6,W728*KPI_Weights!$B$7,X728*KPI_Weights!$B$8,Y728*KPI_Weights!$B$9,Z728*KPI_Weights!$B$10,AA728*KPI_Weights!$B$11,AB728*KPI_Weights!$B$12,AC728*KPI_Weights!$B$13,AD728*KPI_Weights!$B$14,AE728*KPI_Weights!$B$15,AF728*KPI_Weights!$B$16,AG728*KPI_Weights!$B$17,AH728*KPI_Weights!$B$18))/5)</f>
        <v/>
      </c>
      <c r="AL728" t="str">
        <f t="shared" si="91"/>
        <v/>
      </c>
      <c r="AM728" t="str">
        <f t="shared" si="92"/>
        <v/>
      </c>
      <c r="AN728" t="str">
        <f t="shared" si="93"/>
        <v/>
      </c>
    </row>
    <row r="729" spans="1:40" ht="15" customHeight="1" x14ac:dyDescent="0.2">
      <c r="A729" t="str">
        <f>IF($B729="","",TEXT($B729,"yyyymmdd")&amp;"-"&amp;SUBSTITUTE($F729," ","")&amp;"-"&amp;TEXT(COUNTIF($F$4:F729,$F729),"00"))</f>
        <v/>
      </c>
      <c r="C729" t="str">
        <f t="shared" si="87"/>
        <v/>
      </c>
      <c r="D729" t="str">
        <f t="shared" si="88"/>
        <v/>
      </c>
      <c r="G729" t="str">
        <f>IF(OR($E729="",$F729=""),"",IFERROR(IF($E729=INDEX(Cluster_Master!$A$4:$A$18,MATCH($F729,Cluster_Master!$B$4:$B$18,0)),"OK","CHECK"),"CHECK"))</f>
        <v/>
      </c>
      <c r="H729" t="str">
        <f>IFERROR(INDEX(Cluster_Master!$C$4:$C$18,MATCH($F729,Cluster_Master!$B$4:$B$18,0)),"")</f>
        <v/>
      </c>
      <c r="I729" t="str">
        <f>IFERROR(INDEX(Cluster_Master!$D$4:$D$18,MATCH($F729,Cluster_Master!$B$4:$B$18,0)),"")</f>
        <v/>
      </c>
      <c r="J729" t="str">
        <f>IFERROR(INDEX(Cluster_Master!$E$4:$E$18,MATCH($F729,Cluster_Master!$B$4:$B$18,0)),"")</f>
        <v/>
      </c>
      <c r="K729" t="str">
        <f>IFERROR(INDEX(Cluster_Master!$F$4:$F$18,MATCH($F729,Cluster_Master!$B$4:$B$18,0)),"")</f>
        <v/>
      </c>
      <c r="L729" t="str">
        <f>IFERROR(INDEX(Cluster_Master!$G$4:$G$18,MATCH($F729,Cluster_Master!$B$4:$B$18,0)),"")</f>
        <v/>
      </c>
      <c r="M729" t="str">
        <f>IFERROR(INDEX(Cluster_Master!$H$4:$H$18,MATCH($F729,Cluster_Master!$B$4:$B$18,0)),"")</f>
        <v/>
      </c>
      <c r="AI729" t="str">
        <f t="shared" si="89"/>
        <v/>
      </c>
      <c r="AJ729" t="str">
        <f t="shared" si="90"/>
        <v/>
      </c>
      <c r="AK729" t="str">
        <f>IF(COUNTA(T729:AH729)=0,"",(SUM(T729*KPI_Weights!$B$4,U729*KPI_Weights!$B$5,V729*KPI_Weights!$B$6,W729*KPI_Weights!$B$7,X729*KPI_Weights!$B$8,Y729*KPI_Weights!$B$9,Z729*KPI_Weights!$B$10,AA729*KPI_Weights!$B$11,AB729*KPI_Weights!$B$12,AC729*KPI_Weights!$B$13,AD729*KPI_Weights!$B$14,AE729*KPI_Weights!$B$15,AF729*KPI_Weights!$B$16,AG729*KPI_Weights!$B$17,AH729*KPI_Weights!$B$18))/5)</f>
        <v/>
      </c>
      <c r="AL729" t="str">
        <f t="shared" si="91"/>
        <v/>
      </c>
      <c r="AM729" t="str">
        <f t="shared" si="92"/>
        <v/>
      </c>
      <c r="AN729" t="str">
        <f t="shared" si="93"/>
        <v/>
      </c>
    </row>
    <row r="730" spans="1:40" ht="15" customHeight="1" x14ac:dyDescent="0.2">
      <c r="A730" t="str">
        <f>IF($B730="","",TEXT($B730,"yyyymmdd")&amp;"-"&amp;SUBSTITUTE($F730," ","")&amp;"-"&amp;TEXT(COUNTIF($F$4:F730,$F730),"00"))</f>
        <v/>
      </c>
      <c r="C730" t="str">
        <f t="shared" si="87"/>
        <v/>
      </c>
      <c r="D730" t="str">
        <f t="shared" si="88"/>
        <v/>
      </c>
      <c r="G730" t="str">
        <f>IF(OR($E730="",$F730=""),"",IFERROR(IF($E730=INDEX(Cluster_Master!$A$4:$A$18,MATCH($F730,Cluster_Master!$B$4:$B$18,0)),"OK","CHECK"),"CHECK"))</f>
        <v/>
      </c>
      <c r="H730" t="str">
        <f>IFERROR(INDEX(Cluster_Master!$C$4:$C$18,MATCH($F730,Cluster_Master!$B$4:$B$18,0)),"")</f>
        <v/>
      </c>
      <c r="I730" t="str">
        <f>IFERROR(INDEX(Cluster_Master!$D$4:$D$18,MATCH($F730,Cluster_Master!$B$4:$B$18,0)),"")</f>
        <v/>
      </c>
      <c r="J730" t="str">
        <f>IFERROR(INDEX(Cluster_Master!$E$4:$E$18,MATCH($F730,Cluster_Master!$B$4:$B$18,0)),"")</f>
        <v/>
      </c>
      <c r="K730" t="str">
        <f>IFERROR(INDEX(Cluster_Master!$F$4:$F$18,MATCH($F730,Cluster_Master!$B$4:$B$18,0)),"")</f>
        <v/>
      </c>
      <c r="L730" t="str">
        <f>IFERROR(INDEX(Cluster_Master!$G$4:$G$18,MATCH($F730,Cluster_Master!$B$4:$B$18,0)),"")</f>
        <v/>
      </c>
      <c r="M730" t="str">
        <f>IFERROR(INDEX(Cluster_Master!$H$4:$H$18,MATCH($F730,Cluster_Master!$B$4:$B$18,0)),"")</f>
        <v/>
      </c>
      <c r="AI730" t="str">
        <f t="shared" si="89"/>
        <v/>
      </c>
      <c r="AJ730" t="str">
        <f t="shared" si="90"/>
        <v/>
      </c>
      <c r="AK730" t="str">
        <f>IF(COUNTA(T730:AH730)=0,"",(SUM(T730*KPI_Weights!$B$4,U730*KPI_Weights!$B$5,V730*KPI_Weights!$B$6,W730*KPI_Weights!$B$7,X730*KPI_Weights!$B$8,Y730*KPI_Weights!$B$9,Z730*KPI_Weights!$B$10,AA730*KPI_Weights!$B$11,AB730*KPI_Weights!$B$12,AC730*KPI_Weights!$B$13,AD730*KPI_Weights!$B$14,AE730*KPI_Weights!$B$15,AF730*KPI_Weights!$B$16,AG730*KPI_Weights!$B$17,AH730*KPI_Weights!$B$18))/5)</f>
        <v/>
      </c>
      <c r="AL730" t="str">
        <f t="shared" si="91"/>
        <v/>
      </c>
      <c r="AM730" t="str">
        <f t="shared" si="92"/>
        <v/>
      </c>
      <c r="AN730" t="str">
        <f t="shared" si="93"/>
        <v/>
      </c>
    </row>
    <row r="731" spans="1:40" ht="15" customHeight="1" x14ac:dyDescent="0.2">
      <c r="A731" t="str">
        <f>IF($B731="","",TEXT($B731,"yyyymmdd")&amp;"-"&amp;SUBSTITUTE($F731," ","")&amp;"-"&amp;TEXT(COUNTIF($F$4:F731,$F731),"00"))</f>
        <v/>
      </c>
      <c r="C731" t="str">
        <f t="shared" si="87"/>
        <v/>
      </c>
      <c r="D731" t="str">
        <f t="shared" si="88"/>
        <v/>
      </c>
      <c r="G731" t="str">
        <f>IF(OR($E731="",$F731=""),"",IFERROR(IF($E731=INDEX(Cluster_Master!$A$4:$A$18,MATCH($F731,Cluster_Master!$B$4:$B$18,0)),"OK","CHECK"),"CHECK"))</f>
        <v/>
      </c>
      <c r="H731" t="str">
        <f>IFERROR(INDEX(Cluster_Master!$C$4:$C$18,MATCH($F731,Cluster_Master!$B$4:$B$18,0)),"")</f>
        <v/>
      </c>
      <c r="I731" t="str">
        <f>IFERROR(INDEX(Cluster_Master!$D$4:$D$18,MATCH($F731,Cluster_Master!$B$4:$B$18,0)),"")</f>
        <v/>
      </c>
      <c r="J731" t="str">
        <f>IFERROR(INDEX(Cluster_Master!$E$4:$E$18,MATCH($F731,Cluster_Master!$B$4:$B$18,0)),"")</f>
        <v/>
      </c>
      <c r="K731" t="str">
        <f>IFERROR(INDEX(Cluster_Master!$F$4:$F$18,MATCH($F731,Cluster_Master!$B$4:$B$18,0)),"")</f>
        <v/>
      </c>
      <c r="L731" t="str">
        <f>IFERROR(INDEX(Cluster_Master!$G$4:$G$18,MATCH($F731,Cluster_Master!$B$4:$B$18,0)),"")</f>
        <v/>
      </c>
      <c r="M731" t="str">
        <f>IFERROR(INDEX(Cluster_Master!$H$4:$H$18,MATCH($F731,Cluster_Master!$B$4:$B$18,0)),"")</f>
        <v/>
      </c>
      <c r="AI731" t="str">
        <f t="shared" si="89"/>
        <v/>
      </c>
      <c r="AJ731" t="str">
        <f t="shared" si="90"/>
        <v/>
      </c>
      <c r="AK731" t="str">
        <f>IF(COUNTA(T731:AH731)=0,"",(SUM(T731*KPI_Weights!$B$4,U731*KPI_Weights!$B$5,V731*KPI_Weights!$B$6,W731*KPI_Weights!$B$7,X731*KPI_Weights!$B$8,Y731*KPI_Weights!$B$9,Z731*KPI_Weights!$B$10,AA731*KPI_Weights!$B$11,AB731*KPI_Weights!$B$12,AC731*KPI_Weights!$B$13,AD731*KPI_Weights!$B$14,AE731*KPI_Weights!$B$15,AF731*KPI_Weights!$B$16,AG731*KPI_Weights!$B$17,AH731*KPI_Weights!$B$18))/5)</f>
        <v/>
      </c>
      <c r="AL731" t="str">
        <f t="shared" si="91"/>
        <v/>
      </c>
      <c r="AM731" t="str">
        <f t="shared" si="92"/>
        <v/>
      </c>
      <c r="AN731" t="str">
        <f t="shared" si="93"/>
        <v/>
      </c>
    </row>
    <row r="732" spans="1:40" ht="15" customHeight="1" x14ac:dyDescent="0.2">
      <c r="A732" t="str">
        <f>IF($B732="","",TEXT($B732,"yyyymmdd")&amp;"-"&amp;SUBSTITUTE($F732," ","")&amp;"-"&amp;TEXT(COUNTIF($F$4:F732,$F732),"00"))</f>
        <v/>
      </c>
      <c r="C732" t="str">
        <f t="shared" si="87"/>
        <v/>
      </c>
      <c r="D732" t="str">
        <f t="shared" si="88"/>
        <v/>
      </c>
      <c r="G732" t="str">
        <f>IF(OR($E732="",$F732=""),"",IFERROR(IF($E732=INDEX(Cluster_Master!$A$4:$A$18,MATCH($F732,Cluster_Master!$B$4:$B$18,0)),"OK","CHECK"),"CHECK"))</f>
        <v/>
      </c>
      <c r="H732" t="str">
        <f>IFERROR(INDEX(Cluster_Master!$C$4:$C$18,MATCH($F732,Cluster_Master!$B$4:$B$18,0)),"")</f>
        <v/>
      </c>
      <c r="I732" t="str">
        <f>IFERROR(INDEX(Cluster_Master!$D$4:$D$18,MATCH($F732,Cluster_Master!$B$4:$B$18,0)),"")</f>
        <v/>
      </c>
      <c r="J732" t="str">
        <f>IFERROR(INDEX(Cluster_Master!$E$4:$E$18,MATCH($F732,Cluster_Master!$B$4:$B$18,0)),"")</f>
        <v/>
      </c>
      <c r="K732" t="str">
        <f>IFERROR(INDEX(Cluster_Master!$F$4:$F$18,MATCH($F732,Cluster_Master!$B$4:$B$18,0)),"")</f>
        <v/>
      </c>
      <c r="L732" t="str">
        <f>IFERROR(INDEX(Cluster_Master!$G$4:$G$18,MATCH($F732,Cluster_Master!$B$4:$B$18,0)),"")</f>
        <v/>
      </c>
      <c r="M732" t="str">
        <f>IFERROR(INDEX(Cluster_Master!$H$4:$H$18,MATCH($F732,Cluster_Master!$B$4:$B$18,0)),"")</f>
        <v/>
      </c>
      <c r="AI732" t="str">
        <f t="shared" si="89"/>
        <v/>
      </c>
      <c r="AJ732" t="str">
        <f t="shared" si="90"/>
        <v/>
      </c>
      <c r="AK732" t="str">
        <f>IF(COUNTA(T732:AH732)=0,"",(SUM(T732*KPI_Weights!$B$4,U732*KPI_Weights!$B$5,V732*KPI_Weights!$B$6,W732*KPI_Weights!$B$7,X732*KPI_Weights!$B$8,Y732*KPI_Weights!$B$9,Z732*KPI_Weights!$B$10,AA732*KPI_Weights!$B$11,AB732*KPI_Weights!$B$12,AC732*KPI_Weights!$B$13,AD732*KPI_Weights!$B$14,AE732*KPI_Weights!$B$15,AF732*KPI_Weights!$B$16,AG732*KPI_Weights!$B$17,AH732*KPI_Weights!$B$18))/5)</f>
        <v/>
      </c>
      <c r="AL732" t="str">
        <f t="shared" si="91"/>
        <v/>
      </c>
      <c r="AM732" t="str">
        <f t="shared" si="92"/>
        <v/>
      </c>
      <c r="AN732" t="str">
        <f t="shared" si="93"/>
        <v/>
      </c>
    </row>
    <row r="733" spans="1:40" ht="15" customHeight="1" x14ac:dyDescent="0.2">
      <c r="A733" t="str">
        <f>IF($B733="","",TEXT($B733,"yyyymmdd")&amp;"-"&amp;SUBSTITUTE($F733," ","")&amp;"-"&amp;TEXT(COUNTIF($F$4:F733,$F733),"00"))</f>
        <v/>
      </c>
      <c r="C733" t="str">
        <f t="shared" si="87"/>
        <v/>
      </c>
      <c r="D733" t="str">
        <f t="shared" si="88"/>
        <v/>
      </c>
      <c r="G733" t="str">
        <f>IF(OR($E733="",$F733=""),"",IFERROR(IF($E733=INDEX(Cluster_Master!$A$4:$A$18,MATCH($F733,Cluster_Master!$B$4:$B$18,0)),"OK","CHECK"),"CHECK"))</f>
        <v/>
      </c>
      <c r="H733" t="str">
        <f>IFERROR(INDEX(Cluster_Master!$C$4:$C$18,MATCH($F733,Cluster_Master!$B$4:$B$18,0)),"")</f>
        <v/>
      </c>
      <c r="I733" t="str">
        <f>IFERROR(INDEX(Cluster_Master!$D$4:$D$18,MATCH($F733,Cluster_Master!$B$4:$B$18,0)),"")</f>
        <v/>
      </c>
      <c r="J733" t="str">
        <f>IFERROR(INDEX(Cluster_Master!$E$4:$E$18,MATCH($F733,Cluster_Master!$B$4:$B$18,0)),"")</f>
        <v/>
      </c>
      <c r="K733" t="str">
        <f>IFERROR(INDEX(Cluster_Master!$F$4:$F$18,MATCH($F733,Cluster_Master!$B$4:$B$18,0)),"")</f>
        <v/>
      </c>
      <c r="L733" t="str">
        <f>IFERROR(INDEX(Cluster_Master!$G$4:$G$18,MATCH($F733,Cluster_Master!$B$4:$B$18,0)),"")</f>
        <v/>
      </c>
      <c r="M733" t="str">
        <f>IFERROR(INDEX(Cluster_Master!$H$4:$H$18,MATCH($F733,Cluster_Master!$B$4:$B$18,0)),"")</f>
        <v/>
      </c>
      <c r="AI733" t="str">
        <f t="shared" si="89"/>
        <v/>
      </c>
      <c r="AJ733" t="str">
        <f t="shared" si="90"/>
        <v/>
      </c>
      <c r="AK733" t="str">
        <f>IF(COUNTA(T733:AH733)=0,"",(SUM(T733*KPI_Weights!$B$4,U733*KPI_Weights!$B$5,V733*KPI_Weights!$B$6,W733*KPI_Weights!$B$7,X733*KPI_Weights!$B$8,Y733*KPI_Weights!$B$9,Z733*KPI_Weights!$B$10,AA733*KPI_Weights!$B$11,AB733*KPI_Weights!$B$12,AC733*KPI_Weights!$B$13,AD733*KPI_Weights!$B$14,AE733*KPI_Weights!$B$15,AF733*KPI_Weights!$B$16,AG733*KPI_Weights!$B$17,AH733*KPI_Weights!$B$18))/5)</f>
        <v/>
      </c>
      <c r="AL733" t="str">
        <f t="shared" si="91"/>
        <v/>
      </c>
      <c r="AM733" t="str">
        <f t="shared" si="92"/>
        <v/>
      </c>
      <c r="AN733" t="str">
        <f t="shared" si="93"/>
        <v/>
      </c>
    </row>
    <row r="734" spans="1:40" ht="15" customHeight="1" x14ac:dyDescent="0.2">
      <c r="A734" t="str">
        <f>IF($B734="","",TEXT($B734,"yyyymmdd")&amp;"-"&amp;SUBSTITUTE($F734," ","")&amp;"-"&amp;TEXT(COUNTIF($F$4:F734,$F734),"00"))</f>
        <v/>
      </c>
      <c r="C734" t="str">
        <f t="shared" si="87"/>
        <v/>
      </c>
      <c r="D734" t="str">
        <f t="shared" si="88"/>
        <v/>
      </c>
      <c r="G734" t="str">
        <f>IF(OR($E734="",$F734=""),"",IFERROR(IF($E734=INDEX(Cluster_Master!$A$4:$A$18,MATCH($F734,Cluster_Master!$B$4:$B$18,0)),"OK","CHECK"),"CHECK"))</f>
        <v/>
      </c>
      <c r="H734" t="str">
        <f>IFERROR(INDEX(Cluster_Master!$C$4:$C$18,MATCH($F734,Cluster_Master!$B$4:$B$18,0)),"")</f>
        <v/>
      </c>
      <c r="I734" t="str">
        <f>IFERROR(INDEX(Cluster_Master!$D$4:$D$18,MATCH($F734,Cluster_Master!$B$4:$B$18,0)),"")</f>
        <v/>
      </c>
      <c r="J734" t="str">
        <f>IFERROR(INDEX(Cluster_Master!$E$4:$E$18,MATCH($F734,Cluster_Master!$B$4:$B$18,0)),"")</f>
        <v/>
      </c>
      <c r="K734" t="str">
        <f>IFERROR(INDEX(Cluster_Master!$F$4:$F$18,MATCH($F734,Cluster_Master!$B$4:$B$18,0)),"")</f>
        <v/>
      </c>
      <c r="L734" t="str">
        <f>IFERROR(INDEX(Cluster_Master!$G$4:$G$18,MATCH($F734,Cluster_Master!$B$4:$B$18,0)),"")</f>
        <v/>
      </c>
      <c r="M734" t="str">
        <f>IFERROR(INDEX(Cluster_Master!$H$4:$H$18,MATCH($F734,Cluster_Master!$B$4:$B$18,0)),"")</f>
        <v/>
      </c>
      <c r="AI734" t="str">
        <f t="shared" si="89"/>
        <v/>
      </c>
      <c r="AJ734" t="str">
        <f t="shared" si="90"/>
        <v/>
      </c>
      <c r="AK734" t="str">
        <f>IF(COUNTA(T734:AH734)=0,"",(SUM(T734*KPI_Weights!$B$4,U734*KPI_Weights!$B$5,V734*KPI_Weights!$B$6,W734*KPI_Weights!$B$7,X734*KPI_Weights!$B$8,Y734*KPI_Weights!$B$9,Z734*KPI_Weights!$B$10,AA734*KPI_Weights!$B$11,AB734*KPI_Weights!$B$12,AC734*KPI_Weights!$B$13,AD734*KPI_Weights!$B$14,AE734*KPI_Weights!$B$15,AF734*KPI_Weights!$B$16,AG734*KPI_Weights!$B$17,AH734*KPI_Weights!$B$18))/5)</f>
        <v/>
      </c>
      <c r="AL734" t="str">
        <f t="shared" si="91"/>
        <v/>
      </c>
      <c r="AM734" t="str">
        <f t="shared" si="92"/>
        <v/>
      </c>
      <c r="AN734" t="str">
        <f t="shared" si="93"/>
        <v/>
      </c>
    </row>
    <row r="735" spans="1:40" ht="15" customHeight="1" x14ac:dyDescent="0.2">
      <c r="A735" t="str">
        <f>IF($B735="","",TEXT($B735,"yyyymmdd")&amp;"-"&amp;SUBSTITUTE($F735," ","")&amp;"-"&amp;TEXT(COUNTIF($F$4:F735,$F735),"00"))</f>
        <v/>
      </c>
      <c r="C735" t="str">
        <f t="shared" si="87"/>
        <v/>
      </c>
      <c r="D735" t="str">
        <f t="shared" si="88"/>
        <v/>
      </c>
      <c r="G735" t="str">
        <f>IF(OR($E735="",$F735=""),"",IFERROR(IF($E735=INDEX(Cluster_Master!$A$4:$A$18,MATCH($F735,Cluster_Master!$B$4:$B$18,0)),"OK","CHECK"),"CHECK"))</f>
        <v/>
      </c>
      <c r="H735" t="str">
        <f>IFERROR(INDEX(Cluster_Master!$C$4:$C$18,MATCH($F735,Cluster_Master!$B$4:$B$18,0)),"")</f>
        <v/>
      </c>
      <c r="I735" t="str">
        <f>IFERROR(INDEX(Cluster_Master!$D$4:$D$18,MATCH($F735,Cluster_Master!$B$4:$B$18,0)),"")</f>
        <v/>
      </c>
      <c r="J735" t="str">
        <f>IFERROR(INDEX(Cluster_Master!$E$4:$E$18,MATCH($F735,Cluster_Master!$B$4:$B$18,0)),"")</f>
        <v/>
      </c>
      <c r="K735" t="str">
        <f>IFERROR(INDEX(Cluster_Master!$F$4:$F$18,MATCH($F735,Cluster_Master!$B$4:$B$18,0)),"")</f>
        <v/>
      </c>
      <c r="L735" t="str">
        <f>IFERROR(INDEX(Cluster_Master!$G$4:$G$18,MATCH($F735,Cluster_Master!$B$4:$B$18,0)),"")</f>
        <v/>
      </c>
      <c r="M735" t="str">
        <f>IFERROR(INDEX(Cluster_Master!$H$4:$H$18,MATCH($F735,Cluster_Master!$B$4:$B$18,0)),"")</f>
        <v/>
      </c>
      <c r="AI735" t="str">
        <f t="shared" si="89"/>
        <v/>
      </c>
      <c r="AJ735" t="str">
        <f t="shared" si="90"/>
        <v/>
      </c>
      <c r="AK735" t="str">
        <f>IF(COUNTA(T735:AH735)=0,"",(SUM(T735*KPI_Weights!$B$4,U735*KPI_Weights!$B$5,V735*KPI_Weights!$B$6,W735*KPI_Weights!$B$7,X735*KPI_Weights!$B$8,Y735*KPI_Weights!$B$9,Z735*KPI_Weights!$B$10,AA735*KPI_Weights!$B$11,AB735*KPI_Weights!$B$12,AC735*KPI_Weights!$B$13,AD735*KPI_Weights!$B$14,AE735*KPI_Weights!$B$15,AF735*KPI_Weights!$B$16,AG735*KPI_Weights!$B$17,AH735*KPI_Weights!$B$18))/5)</f>
        <v/>
      </c>
      <c r="AL735" t="str">
        <f t="shared" si="91"/>
        <v/>
      </c>
      <c r="AM735" t="str">
        <f t="shared" si="92"/>
        <v/>
      </c>
      <c r="AN735" t="str">
        <f t="shared" si="93"/>
        <v/>
      </c>
    </row>
    <row r="736" spans="1:40" ht="15" customHeight="1" x14ac:dyDescent="0.2">
      <c r="A736" t="str">
        <f>IF($B736="","",TEXT($B736,"yyyymmdd")&amp;"-"&amp;SUBSTITUTE($F736," ","")&amp;"-"&amp;TEXT(COUNTIF($F$4:F736,$F736),"00"))</f>
        <v/>
      </c>
      <c r="C736" t="str">
        <f t="shared" si="87"/>
        <v/>
      </c>
      <c r="D736" t="str">
        <f t="shared" si="88"/>
        <v/>
      </c>
      <c r="G736" t="str">
        <f>IF(OR($E736="",$F736=""),"",IFERROR(IF($E736=INDEX(Cluster_Master!$A$4:$A$18,MATCH($F736,Cluster_Master!$B$4:$B$18,0)),"OK","CHECK"),"CHECK"))</f>
        <v/>
      </c>
      <c r="H736" t="str">
        <f>IFERROR(INDEX(Cluster_Master!$C$4:$C$18,MATCH($F736,Cluster_Master!$B$4:$B$18,0)),"")</f>
        <v/>
      </c>
      <c r="I736" t="str">
        <f>IFERROR(INDEX(Cluster_Master!$D$4:$D$18,MATCH($F736,Cluster_Master!$B$4:$B$18,0)),"")</f>
        <v/>
      </c>
      <c r="J736" t="str">
        <f>IFERROR(INDEX(Cluster_Master!$E$4:$E$18,MATCH($F736,Cluster_Master!$B$4:$B$18,0)),"")</f>
        <v/>
      </c>
      <c r="K736" t="str">
        <f>IFERROR(INDEX(Cluster_Master!$F$4:$F$18,MATCH($F736,Cluster_Master!$B$4:$B$18,0)),"")</f>
        <v/>
      </c>
      <c r="L736" t="str">
        <f>IFERROR(INDEX(Cluster_Master!$G$4:$G$18,MATCH($F736,Cluster_Master!$B$4:$B$18,0)),"")</f>
        <v/>
      </c>
      <c r="M736" t="str">
        <f>IFERROR(INDEX(Cluster_Master!$H$4:$H$18,MATCH($F736,Cluster_Master!$B$4:$B$18,0)),"")</f>
        <v/>
      </c>
      <c r="AI736" t="str">
        <f t="shared" si="89"/>
        <v/>
      </c>
      <c r="AJ736" t="str">
        <f t="shared" si="90"/>
        <v/>
      </c>
      <c r="AK736" t="str">
        <f>IF(COUNTA(T736:AH736)=0,"",(SUM(T736*KPI_Weights!$B$4,U736*KPI_Weights!$B$5,V736*KPI_Weights!$B$6,W736*KPI_Weights!$B$7,X736*KPI_Weights!$B$8,Y736*KPI_Weights!$B$9,Z736*KPI_Weights!$B$10,AA736*KPI_Weights!$B$11,AB736*KPI_Weights!$B$12,AC736*KPI_Weights!$B$13,AD736*KPI_Weights!$B$14,AE736*KPI_Weights!$B$15,AF736*KPI_Weights!$B$16,AG736*KPI_Weights!$B$17,AH736*KPI_Weights!$B$18))/5)</f>
        <v/>
      </c>
      <c r="AL736" t="str">
        <f t="shared" si="91"/>
        <v/>
      </c>
      <c r="AM736" t="str">
        <f t="shared" si="92"/>
        <v/>
      </c>
      <c r="AN736" t="str">
        <f t="shared" si="93"/>
        <v/>
      </c>
    </row>
    <row r="737" spans="1:40" ht="15" customHeight="1" x14ac:dyDescent="0.2">
      <c r="A737" t="str">
        <f>IF($B737="","",TEXT($B737,"yyyymmdd")&amp;"-"&amp;SUBSTITUTE($F737," ","")&amp;"-"&amp;TEXT(COUNTIF($F$4:F737,$F737),"00"))</f>
        <v/>
      </c>
      <c r="C737" t="str">
        <f t="shared" si="87"/>
        <v/>
      </c>
      <c r="D737" t="str">
        <f t="shared" si="88"/>
        <v/>
      </c>
      <c r="G737" t="str">
        <f>IF(OR($E737="",$F737=""),"",IFERROR(IF($E737=INDEX(Cluster_Master!$A$4:$A$18,MATCH($F737,Cluster_Master!$B$4:$B$18,0)),"OK","CHECK"),"CHECK"))</f>
        <v/>
      </c>
      <c r="H737" t="str">
        <f>IFERROR(INDEX(Cluster_Master!$C$4:$C$18,MATCH($F737,Cluster_Master!$B$4:$B$18,0)),"")</f>
        <v/>
      </c>
      <c r="I737" t="str">
        <f>IFERROR(INDEX(Cluster_Master!$D$4:$D$18,MATCH($F737,Cluster_Master!$B$4:$B$18,0)),"")</f>
        <v/>
      </c>
      <c r="J737" t="str">
        <f>IFERROR(INDEX(Cluster_Master!$E$4:$E$18,MATCH($F737,Cluster_Master!$B$4:$B$18,0)),"")</f>
        <v/>
      </c>
      <c r="K737" t="str">
        <f>IFERROR(INDEX(Cluster_Master!$F$4:$F$18,MATCH($F737,Cluster_Master!$B$4:$B$18,0)),"")</f>
        <v/>
      </c>
      <c r="L737" t="str">
        <f>IFERROR(INDEX(Cluster_Master!$G$4:$G$18,MATCH($F737,Cluster_Master!$B$4:$B$18,0)),"")</f>
        <v/>
      </c>
      <c r="M737" t="str">
        <f>IFERROR(INDEX(Cluster_Master!$H$4:$H$18,MATCH($F737,Cluster_Master!$B$4:$B$18,0)),"")</f>
        <v/>
      </c>
      <c r="AI737" t="str">
        <f t="shared" si="89"/>
        <v/>
      </c>
      <c r="AJ737" t="str">
        <f t="shared" si="90"/>
        <v/>
      </c>
      <c r="AK737" t="str">
        <f>IF(COUNTA(T737:AH737)=0,"",(SUM(T737*KPI_Weights!$B$4,U737*KPI_Weights!$B$5,V737*KPI_Weights!$B$6,W737*KPI_Weights!$B$7,X737*KPI_Weights!$B$8,Y737*KPI_Weights!$B$9,Z737*KPI_Weights!$B$10,AA737*KPI_Weights!$B$11,AB737*KPI_Weights!$B$12,AC737*KPI_Weights!$B$13,AD737*KPI_Weights!$B$14,AE737*KPI_Weights!$B$15,AF737*KPI_Weights!$B$16,AG737*KPI_Weights!$B$17,AH737*KPI_Weights!$B$18))/5)</f>
        <v/>
      </c>
      <c r="AL737" t="str">
        <f t="shared" si="91"/>
        <v/>
      </c>
      <c r="AM737" t="str">
        <f t="shared" si="92"/>
        <v/>
      </c>
      <c r="AN737" t="str">
        <f t="shared" si="93"/>
        <v/>
      </c>
    </row>
    <row r="738" spans="1:40" ht="15" customHeight="1" x14ac:dyDescent="0.2">
      <c r="A738" t="str">
        <f>IF($B738="","",TEXT($B738,"yyyymmdd")&amp;"-"&amp;SUBSTITUTE($F738," ","")&amp;"-"&amp;TEXT(COUNTIF($F$4:F738,$F738),"00"))</f>
        <v/>
      </c>
      <c r="C738" t="str">
        <f t="shared" si="87"/>
        <v/>
      </c>
      <c r="D738" t="str">
        <f t="shared" si="88"/>
        <v/>
      </c>
      <c r="G738" t="str">
        <f>IF(OR($E738="",$F738=""),"",IFERROR(IF($E738=INDEX(Cluster_Master!$A$4:$A$18,MATCH($F738,Cluster_Master!$B$4:$B$18,0)),"OK","CHECK"),"CHECK"))</f>
        <v/>
      </c>
      <c r="H738" t="str">
        <f>IFERROR(INDEX(Cluster_Master!$C$4:$C$18,MATCH($F738,Cluster_Master!$B$4:$B$18,0)),"")</f>
        <v/>
      </c>
      <c r="I738" t="str">
        <f>IFERROR(INDEX(Cluster_Master!$D$4:$D$18,MATCH($F738,Cluster_Master!$B$4:$B$18,0)),"")</f>
        <v/>
      </c>
      <c r="J738" t="str">
        <f>IFERROR(INDEX(Cluster_Master!$E$4:$E$18,MATCH($F738,Cluster_Master!$B$4:$B$18,0)),"")</f>
        <v/>
      </c>
      <c r="K738" t="str">
        <f>IFERROR(INDEX(Cluster_Master!$F$4:$F$18,MATCH($F738,Cluster_Master!$B$4:$B$18,0)),"")</f>
        <v/>
      </c>
      <c r="L738" t="str">
        <f>IFERROR(INDEX(Cluster_Master!$G$4:$G$18,MATCH($F738,Cluster_Master!$B$4:$B$18,0)),"")</f>
        <v/>
      </c>
      <c r="M738" t="str">
        <f>IFERROR(INDEX(Cluster_Master!$H$4:$H$18,MATCH($F738,Cluster_Master!$B$4:$B$18,0)),"")</f>
        <v/>
      </c>
      <c r="AI738" t="str">
        <f t="shared" si="89"/>
        <v/>
      </c>
      <c r="AJ738" t="str">
        <f t="shared" si="90"/>
        <v/>
      </c>
      <c r="AK738" t="str">
        <f>IF(COUNTA(T738:AH738)=0,"",(SUM(T738*KPI_Weights!$B$4,U738*KPI_Weights!$B$5,V738*KPI_Weights!$B$6,W738*KPI_Weights!$B$7,X738*KPI_Weights!$B$8,Y738*KPI_Weights!$B$9,Z738*KPI_Weights!$B$10,AA738*KPI_Weights!$B$11,AB738*KPI_Weights!$B$12,AC738*KPI_Weights!$B$13,AD738*KPI_Weights!$B$14,AE738*KPI_Weights!$B$15,AF738*KPI_Weights!$B$16,AG738*KPI_Weights!$B$17,AH738*KPI_Weights!$B$18))/5)</f>
        <v/>
      </c>
      <c r="AL738" t="str">
        <f t="shared" si="91"/>
        <v/>
      </c>
      <c r="AM738" t="str">
        <f t="shared" si="92"/>
        <v/>
      </c>
      <c r="AN738" t="str">
        <f t="shared" si="93"/>
        <v/>
      </c>
    </row>
    <row r="739" spans="1:40" ht="15" customHeight="1" x14ac:dyDescent="0.2">
      <c r="A739" t="str">
        <f>IF($B739="","",TEXT($B739,"yyyymmdd")&amp;"-"&amp;SUBSTITUTE($F739," ","")&amp;"-"&amp;TEXT(COUNTIF($F$4:F739,$F739),"00"))</f>
        <v/>
      </c>
      <c r="C739" t="str">
        <f t="shared" si="87"/>
        <v/>
      </c>
      <c r="D739" t="str">
        <f t="shared" si="88"/>
        <v/>
      </c>
      <c r="G739" t="str">
        <f>IF(OR($E739="",$F739=""),"",IFERROR(IF($E739=INDEX(Cluster_Master!$A$4:$A$18,MATCH($F739,Cluster_Master!$B$4:$B$18,0)),"OK","CHECK"),"CHECK"))</f>
        <v/>
      </c>
      <c r="H739" t="str">
        <f>IFERROR(INDEX(Cluster_Master!$C$4:$C$18,MATCH($F739,Cluster_Master!$B$4:$B$18,0)),"")</f>
        <v/>
      </c>
      <c r="I739" t="str">
        <f>IFERROR(INDEX(Cluster_Master!$D$4:$D$18,MATCH($F739,Cluster_Master!$B$4:$B$18,0)),"")</f>
        <v/>
      </c>
      <c r="J739" t="str">
        <f>IFERROR(INDEX(Cluster_Master!$E$4:$E$18,MATCH($F739,Cluster_Master!$B$4:$B$18,0)),"")</f>
        <v/>
      </c>
      <c r="K739" t="str">
        <f>IFERROR(INDEX(Cluster_Master!$F$4:$F$18,MATCH($F739,Cluster_Master!$B$4:$B$18,0)),"")</f>
        <v/>
      </c>
      <c r="L739" t="str">
        <f>IFERROR(INDEX(Cluster_Master!$G$4:$G$18,MATCH($F739,Cluster_Master!$B$4:$B$18,0)),"")</f>
        <v/>
      </c>
      <c r="M739" t="str">
        <f>IFERROR(INDEX(Cluster_Master!$H$4:$H$18,MATCH($F739,Cluster_Master!$B$4:$B$18,0)),"")</f>
        <v/>
      </c>
      <c r="AI739" t="str">
        <f t="shared" si="89"/>
        <v/>
      </c>
      <c r="AJ739" t="str">
        <f t="shared" si="90"/>
        <v/>
      </c>
      <c r="AK739" t="str">
        <f>IF(COUNTA(T739:AH739)=0,"",(SUM(T739*KPI_Weights!$B$4,U739*KPI_Weights!$B$5,V739*KPI_Weights!$B$6,W739*KPI_Weights!$B$7,X739*KPI_Weights!$B$8,Y739*KPI_Weights!$B$9,Z739*KPI_Weights!$B$10,AA739*KPI_Weights!$B$11,AB739*KPI_Weights!$B$12,AC739*KPI_Weights!$B$13,AD739*KPI_Weights!$B$14,AE739*KPI_Weights!$B$15,AF739*KPI_Weights!$B$16,AG739*KPI_Weights!$B$17,AH739*KPI_Weights!$B$18))/5)</f>
        <v/>
      </c>
      <c r="AL739" t="str">
        <f t="shared" si="91"/>
        <v/>
      </c>
      <c r="AM739" t="str">
        <f t="shared" si="92"/>
        <v/>
      </c>
      <c r="AN739" t="str">
        <f t="shared" si="93"/>
        <v/>
      </c>
    </row>
    <row r="740" spans="1:40" ht="15" customHeight="1" x14ac:dyDescent="0.2">
      <c r="A740" t="str">
        <f>IF($B740="","",TEXT($B740,"yyyymmdd")&amp;"-"&amp;SUBSTITUTE($F740," ","")&amp;"-"&amp;TEXT(COUNTIF($F$4:F740,$F740),"00"))</f>
        <v/>
      </c>
      <c r="C740" t="str">
        <f t="shared" si="87"/>
        <v/>
      </c>
      <c r="D740" t="str">
        <f t="shared" si="88"/>
        <v/>
      </c>
      <c r="G740" t="str">
        <f>IF(OR($E740="",$F740=""),"",IFERROR(IF($E740=INDEX(Cluster_Master!$A$4:$A$18,MATCH($F740,Cluster_Master!$B$4:$B$18,0)),"OK","CHECK"),"CHECK"))</f>
        <v/>
      </c>
      <c r="H740" t="str">
        <f>IFERROR(INDEX(Cluster_Master!$C$4:$C$18,MATCH($F740,Cluster_Master!$B$4:$B$18,0)),"")</f>
        <v/>
      </c>
      <c r="I740" t="str">
        <f>IFERROR(INDEX(Cluster_Master!$D$4:$D$18,MATCH($F740,Cluster_Master!$B$4:$B$18,0)),"")</f>
        <v/>
      </c>
      <c r="J740" t="str">
        <f>IFERROR(INDEX(Cluster_Master!$E$4:$E$18,MATCH($F740,Cluster_Master!$B$4:$B$18,0)),"")</f>
        <v/>
      </c>
      <c r="K740" t="str">
        <f>IFERROR(INDEX(Cluster_Master!$F$4:$F$18,MATCH($F740,Cluster_Master!$B$4:$B$18,0)),"")</f>
        <v/>
      </c>
      <c r="L740" t="str">
        <f>IFERROR(INDEX(Cluster_Master!$G$4:$G$18,MATCH($F740,Cluster_Master!$B$4:$B$18,0)),"")</f>
        <v/>
      </c>
      <c r="M740" t="str">
        <f>IFERROR(INDEX(Cluster_Master!$H$4:$H$18,MATCH($F740,Cluster_Master!$B$4:$B$18,0)),"")</f>
        <v/>
      </c>
      <c r="AI740" t="str">
        <f t="shared" si="89"/>
        <v/>
      </c>
      <c r="AJ740" t="str">
        <f t="shared" si="90"/>
        <v/>
      </c>
      <c r="AK740" t="str">
        <f>IF(COUNTA(T740:AH740)=0,"",(SUM(T740*KPI_Weights!$B$4,U740*KPI_Weights!$B$5,V740*KPI_Weights!$B$6,W740*KPI_Weights!$B$7,X740*KPI_Weights!$B$8,Y740*KPI_Weights!$B$9,Z740*KPI_Weights!$B$10,AA740*KPI_Weights!$B$11,AB740*KPI_Weights!$B$12,AC740*KPI_Weights!$B$13,AD740*KPI_Weights!$B$14,AE740*KPI_Weights!$B$15,AF740*KPI_Weights!$B$16,AG740*KPI_Weights!$B$17,AH740*KPI_Weights!$B$18))/5)</f>
        <v/>
      </c>
      <c r="AL740" t="str">
        <f t="shared" si="91"/>
        <v/>
      </c>
      <c r="AM740" t="str">
        <f t="shared" si="92"/>
        <v/>
      </c>
      <c r="AN740" t="str">
        <f t="shared" si="93"/>
        <v/>
      </c>
    </row>
    <row r="741" spans="1:40" ht="15" customHeight="1" x14ac:dyDescent="0.2">
      <c r="A741" t="str">
        <f>IF($B741="","",TEXT($B741,"yyyymmdd")&amp;"-"&amp;SUBSTITUTE($F741," ","")&amp;"-"&amp;TEXT(COUNTIF($F$4:F741,$F741),"00"))</f>
        <v/>
      </c>
      <c r="C741" t="str">
        <f t="shared" si="87"/>
        <v/>
      </c>
      <c r="D741" t="str">
        <f t="shared" si="88"/>
        <v/>
      </c>
      <c r="G741" t="str">
        <f>IF(OR($E741="",$F741=""),"",IFERROR(IF($E741=INDEX(Cluster_Master!$A$4:$A$18,MATCH($F741,Cluster_Master!$B$4:$B$18,0)),"OK","CHECK"),"CHECK"))</f>
        <v/>
      </c>
      <c r="H741" t="str">
        <f>IFERROR(INDEX(Cluster_Master!$C$4:$C$18,MATCH($F741,Cluster_Master!$B$4:$B$18,0)),"")</f>
        <v/>
      </c>
      <c r="I741" t="str">
        <f>IFERROR(INDEX(Cluster_Master!$D$4:$D$18,MATCH($F741,Cluster_Master!$B$4:$B$18,0)),"")</f>
        <v/>
      </c>
      <c r="J741" t="str">
        <f>IFERROR(INDEX(Cluster_Master!$E$4:$E$18,MATCH($F741,Cluster_Master!$B$4:$B$18,0)),"")</f>
        <v/>
      </c>
      <c r="K741" t="str">
        <f>IFERROR(INDEX(Cluster_Master!$F$4:$F$18,MATCH($F741,Cluster_Master!$B$4:$B$18,0)),"")</f>
        <v/>
      </c>
      <c r="L741" t="str">
        <f>IFERROR(INDEX(Cluster_Master!$G$4:$G$18,MATCH($F741,Cluster_Master!$B$4:$B$18,0)),"")</f>
        <v/>
      </c>
      <c r="M741" t="str">
        <f>IFERROR(INDEX(Cluster_Master!$H$4:$H$18,MATCH($F741,Cluster_Master!$B$4:$B$18,0)),"")</f>
        <v/>
      </c>
      <c r="AI741" t="str">
        <f t="shared" si="89"/>
        <v/>
      </c>
      <c r="AJ741" t="str">
        <f t="shared" si="90"/>
        <v/>
      </c>
      <c r="AK741" t="str">
        <f>IF(COUNTA(T741:AH741)=0,"",(SUM(T741*KPI_Weights!$B$4,U741*KPI_Weights!$B$5,V741*KPI_Weights!$B$6,W741*KPI_Weights!$B$7,X741*KPI_Weights!$B$8,Y741*KPI_Weights!$B$9,Z741*KPI_Weights!$B$10,AA741*KPI_Weights!$B$11,AB741*KPI_Weights!$B$12,AC741*KPI_Weights!$B$13,AD741*KPI_Weights!$B$14,AE741*KPI_Weights!$B$15,AF741*KPI_Weights!$B$16,AG741*KPI_Weights!$B$17,AH741*KPI_Weights!$B$18))/5)</f>
        <v/>
      </c>
      <c r="AL741" t="str">
        <f t="shared" si="91"/>
        <v/>
      </c>
      <c r="AM741" t="str">
        <f t="shared" si="92"/>
        <v/>
      </c>
      <c r="AN741" t="str">
        <f t="shared" si="93"/>
        <v/>
      </c>
    </row>
    <row r="742" spans="1:40" ht="15" customHeight="1" x14ac:dyDescent="0.2">
      <c r="A742" t="str">
        <f>IF($B742="","",TEXT($B742,"yyyymmdd")&amp;"-"&amp;SUBSTITUTE($F742," ","")&amp;"-"&amp;TEXT(COUNTIF($F$4:F742,$F742),"00"))</f>
        <v/>
      </c>
      <c r="C742" t="str">
        <f t="shared" si="87"/>
        <v/>
      </c>
      <c r="D742" t="str">
        <f t="shared" si="88"/>
        <v/>
      </c>
      <c r="G742" t="str">
        <f>IF(OR($E742="",$F742=""),"",IFERROR(IF($E742=INDEX(Cluster_Master!$A$4:$A$18,MATCH($F742,Cluster_Master!$B$4:$B$18,0)),"OK","CHECK"),"CHECK"))</f>
        <v/>
      </c>
      <c r="H742" t="str">
        <f>IFERROR(INDEX(Cluster_Master!$C$4:$C$18,MATCH($F742,Cluster_Master!$B$4:$B$18,0)),"")</f>
        <v/>
      </c>
      <c r="I742" t="str">
        <f>IFERROR(INDEX(Cluster_Master!$D$4:$D$18,MATCH($F742,Cluster_Master!$B$4:$B$18,0)),"")</f>
        <v/>
      </c>
      <c r="J742" t="str">
        <f>IFERROR(INDEX(Cluster_Master!$E$4:$E$18,MATCH($F742,Cluster_Master!$B$4:$B$18,0)),"")</f>
        <v/>
      </c>
      <c r="K742" t="str">
        <f>IFERROR(INDEX(Cluster_Master!$F$4:$F$18,MATCH($F742,Cluster_Master!$B$4:$B$18,0)),"")</f>
        <v/>
      </c>
      <c r="L742" t="str">
        <f>IFERROR(INDEX(Cluster_Master!$G$4:$G$18,MATCH($F742,Cluster_Master!$B$4:$B$18,0)),"")</f>
        <v/>
      </c>
      <c r="M742" t="str">
        <f>IFERROR(INDEX(Cluster_Master!$H$4:$H$18,MATCH($F742,Cluster_Master!$B$4:$B$18,0)),"")</f>
        <v/>
      </c>
      <c r="AI742" t="str">
        <f t="shared" si="89"/>
        <v/>
      </c>
      <c r="AJ742" t="str">
        <f t="shared" si="90"/>
        <v/>
      </c>
      <c r="AK742" t="str">
        <f>IF(COUNTA(T742:AH742)=0,"",(SUM(T742*KPI_Weights!$B$4,U742*KPI_Weights!$B$5,V742*KPI_Weights!$B$6,W742*KPI_Weights!$B$7,X742*KPI_Weights!$B$8,Y742*KPI_Weights!$B$9,Z742*KPI_Weights!$B$10,AA742*KPI_Weights!$B$11,AB742*KPI_Weights!$B$12,AC742*KPI_Weights!$B$13,AD742*KPI_Weights!$B$14,AE742*KPI_Weights!$B$15,AF742*KPI_Weights!$B$16,AG742*KPI_Weights!$B$17,AH742*KPI_Weights!$B$18))/5)</f>
        <v/>
      </c>
      <c r="AL742" t="str">
        <f t="shared" si="91"/>
        <v/>
      </c>
      <c r="AM742" t="str">
        <f t="shared" si="92"/>
        <v/>
      </c>
      <c r="AN742" t="str">
        <f t="shared" si="93"/>
        <v/>
      </c>
    </row>
    <row r="743" spans="1:40" ht="15" customHeight="1" x14ac:dyDescent="0.2">
      <c r="A743" t="str">
        <f>IF($B743="","",TEXT($B743,"yyyymmdd")&amp;"-"&amp;SUBSTITUTE($F743," ","")&amp;"-"&amp;TEXT(COUNTIF($F$4:F743,$F743),"00"))</f>
        <v/>
      </c>
      <c r="C743" t="str">
        <f t="shared" si="87"/>
        <v/>
      </c>
      <c r="D743" t="str">
        <f t="shared" si="88"/>
        <v/>
      </c>
      <c r="G743" t="str">
        <f>IF(OR($E743="",$F743=""),"",IFERROR(IF($E743=INDEX(Cluster_Master!$A$4:$A$18,MATCH($F743,Cluster_Master!$B$4:$B$18,0)),"OK","CHECK"),"CHECK"))</f>
        <v/>
      </c>
      <c r="H743" t="str">
        <f>IFERROR(INDEX(Cluster_Master!$C$4:$C$18,MATCH($F743,Cluster_Master!$B$4:$B$18,0)),"")</f>
        <v/>
      </c>
      <c r="I743" t="str">
        <f>IFERROR(INDEX(Cluster_Master!$D$4:$D$18,MATCH($F743,Cluster_Master!$B$4:$B$18,0)),"")</f>
        <v/>
      </c>
      <c r="J743" t="str">
        <f>IFERROR(INDEX(Cluster_Master!$E$4:$E$18,MATCH($F743,Cluster_Master!$B$4:$B$18,0)),"")</f>
        <v/>
      </c>
      <c r="K743" t="str">
        <f>IFERROR(INDEX(Cluster_Master!$F$4:$F$18,MATCH($F743,Cluster_Master!$B$4:$B$18,0)),"")</f>
        <v/>
      </c>
      <c r="L743" t="str">
        <f>IFERROR(INDEX(Cluster_Master!$G$4:$G$18,MATCH($F743,Cluster_Master!$B$4:$B$18,0)),"")</f>
        <v/>
      </c>
      <c r="M743" t="str">
        <f>IFERROR(INDEX(Cluster_Master!$H$4:$H$18,MATCH($F743,Cluster_Master!$B$4:$B$18,0)),"")</f>
        <v/>
      </c>
      <c r="AI743" t="str">
        <f t="shared" si="89"/>
        <v/>
      </c>
      <c r="AJ743" t="str">
        <f t="shared" si="90"/>
        <v/>
      </c>
      <c r="AK743" t="str">
        <f>IF(COUNTA(T743:AH743)=0,"",(SUM(T743*KPI_Weights!$B$4,U743*KPI_Weights!$B$5,V743*KPI_Weights!$B$6,W743*KPI_Weights!$B$7,X743*KPI_Weights!$B$8,Y743*KPI_Weights!$B$9,Z743*KPI_Weights!$B$10,AA743*KPI_Weights!$B$11,AB743*KPI_Weights!$B$12,AC743*KPI_Weights!$B$13,AD743*KPI_Weights!$B$14,AE743*KPI_Weights!$B$15,AF743*KPI_Weights!$B$16,AG743*KPI_Weights!$B$17,AH743*KPI_Weights!$B$18))/5)</f>
        <v/>
      </c>
      <c r="AL743" t="str">
        <f t="shared" si="91"/>
        <v/>
      </c>
      <c r="AM743" t="str">
        <f t="shared" si="92"/>
        <v/>
      </c>
      <c r="AN743" t="str">
        <f t="shared" si="93"/>
        <v/>
      </c>
    </row>
    <row r="744" spans="1:40" ht="15" customHeight="1" x14ac:dyDescent="0.2">
      <c r="A744" t="str">
        <f>IF($B744="","",TEXT($B744,"yyyymmdd")&amp;"-"&amp;SUBSTITUTE($F744," ","")&amp;"-"&amp;TEXT(COUNTIF($F$4:F744,$F744),"00"))</f>
        <v/>
      </c>
      <c r="C744" t="str">
        <f t="shared" si="87"/>
        <v/>
      </c>
      <c r="D744" t="str">
        <f t="shared" si="88"/>
        <v/>
      </c>
      <c r="G744" t="str">
        <f>IF(OR($E744="",$F744=""),"",IFERROR(IF($E744=INDEX(Cluster_Master!$A$4:$A$18,MATCH($F744,Cluster_Master!$B$4:$B$18,0)),"OK","CHECK"),"CHECK"))</f>
        <v/>
      </c>
      <c r="H744" t="str">
        <f>IFERROR(INDEX(Cluster_Master!$C$4:$C$18,MATCH($F744,Cluster_Master!$B$4:$B$18,0)),"")</f>
        <v/>
      </c>
      <c r="I744" t="str">
        <f>IFERROR(INDEX(Cluster_Master!$D$4:$D$18,MATCH($F744,Cluster_Master!$B$4:$B$18,0)),"")</f>
        <v/>
      </c>
      <c r="J744" t="str">
        <f>IFERROR(INDEX(Cluster_Master!$E$4:$E$18,MATCH($F744,Cluster_Master!$B$4:$B$18,0)),"")</f>
        <v/>
      </c>
      <c r="K744" t="str">
        <f>IFERROR(INDEX(Cluster_Master!$F$4:$F$18,MATCH($F744,Cluster_Master!$B$4:$B$18,0)),"")</f>
        <v/>
      </c>
      <c r="L744" t="str">
        <f>IFERROR(INDEX(Cluster_Master!$G$4:$G$18,MATCH($F744,Cluster_Master!$B$4:$B$18,0)),"")</f>
        <v/>
      </c>
      <c r="M744" t="str">
        <f>IFERROR(INDEX(Cluster_Master!$H$4:$H$18,MATCH($F744,Cluster_Master!$B$4:$B$18,0)),"")</f>
        <v/>
      </c>
      <c r="AI744" t="str">
        <f t="shared" si="89"/>
        <v/>
      </c>
      <c r="AJ744" t="str">
        <f t="shared" si="90"/>
        <v/>
      </c>
      <c r="AK744" t="str">
        <f>IF(COUNTA(T744:AH744)=0,"",(SUM(T744*KPI_Weights!$B$4,U744*KPI_Weights!$B$5,V744*KPI_Weights!$B$6,W744*KPI_Weights!$B$7,X744*KPI_Weights!$B$8,Y744*KPI_Weights!$B$9,Z744*KPI_Weights!$B$10,AA744*KPI_Weights!$B$11,AB744*KPI_Weights!$B$12,AC744*KPI_Weights!$B$13,AD744*KPI_Weights!$B$14,AE744*KPI_Weights!$B$15,AF744*KPI_Weights!$B$16,AG744*KPI_Weights!$B$17,AH744*KPI_Weights!$B$18))/5)</f>
        <v/>
      </c>
      <c r="AL744" t="str">
        <f t="shared" si="91"/>
        <v/>
      </c>
      <c r="AM744" t="str">
        <f t="shared" si="92"/>
        <v/>
      </c>
      <c r="AN744" t="str">
        <f t="shared" si="93"/>
        <v/>
      </c>
    </row>
    <row r="745" spans="1:40" ht="15" customHeight="1" x14ac:dyDescent="0.2">
      <c r="A745" t="str">
        <f>IF($B745="","",TEXT($B745,"yyyymmdd")&amp;"-"&amp;SUBSTITUTE($F745," ","")&amp;"-"&amp;TEXT(COUNTIF($F$4:F745,$F745),"00"))</f>
        <v/>
      </c>
      <c r="C745" t="str">
        <f t="shared" si="87"/>
        <v/>
      </c>
      <c r="D745" t="str">
        <f t="shared" si="88"/>
        <v/>
      </c>
      <c r="G745" t="str">
        <f>IF(OR($E745="",$F745=""),"",IFERROR(IF($E745=INDEX(Cluster_Master!$A$4:$A$18,MATCH($F745,Cluster_Master!$B$4:$B$18,0)),"OK","CHECK"),"CHECK"))</f>
        <v/>
      </c>
      <c r="H745" t="str">
        <f>IFERROR(INDEX(Cluster_Master!$C$4:$C$18,MATCH($F745,Cluster_Master!$B$4:$B$18,0)),"")</f>
        <v/>
      </c>
      <c r="I745" t="str">
        <f>IFERROR(INDEX(Cluster_Master!$D$4:$D$18,MATCH($F745,Cluster_Master!$B$4:$B$18,0)),"")</f>
        <v/>
      </c>
      <c r="J745" t="str">
        <f>IFERROR(INDEX(Cluster_Master!$E$4:$E$18,MATCH($F745,Cluster_Master!$B$4:$B$18,0)),"")</f>
        <v/>
      </c>
      <c r="K745" t="str">
        <f>IFERROR(INDEX(Cluster_Master!$F$4:$F$18,MATCH($F745,Cluster_Master!$B$4:$B$18,0)),"")</f>
        <v/>
      </c>
      <c r="L745" t="str">
        <f>IFERROR(INDEX(Cluster_Master!$G$4:$G$18,MATCH($F745,Cluster_Master!$B$4:$B$18,0)),"")</f>
        <v/>
      </c>
      <c r="M745" t="str">
        <f>IFERROR(INDEX(Cluster_Master!$H$4:$H$18,MATCH($F745,Cluster_Master!$B$4:$B$18,0)),"")</f>
        <v/>
      </c>
      <c r="AI745" t="str">
        <f t="shared" si="89"/>
        <v/>
      </c>
      <c r="AJ745" t="str">
        <f t="shared" si="90"/>
        <v/>
      </c>
      <c r="AK745" t="str">
        <f>IF(COUNTA(T745:AH745)=0,"",(SUM(T745*KPI_Weights!$B$4,U745*KPI_Weights!$B$5,V745*KPI_Weights!$B$6,W745*KPI_Weights!$B$7,X745*KPI_Weights!$B$8,Y745*KPI_Weights!$B$9,Z745*KPI_Weights!$B$10,AA745*KPI_Weights!$B$11,AB745*KPI_Weights!$B$12,AC745*KPI_Weights!$B$13,AD745*KPI_Weights!$B$14,AE745*KPI_Weights!$B$15,AF745*KPI_Weights!$B$16,AG745*KPI_Weights!$B$17,AH745*KPI_Weights!$B$18))/5)</f>
        <v/>
      </c>
      <c r="AL745" t="str">
        <f t="shared" si="91"/>
        <v/>
      </c>
      <c r="AM745" t="str">
        <f t="shared" si="92"/>
        <v/>
      </c>
      <c r="AN745" t="str">
        <f t="shared" si="93"/>
        <v/>
      </c>
    </row>
    <row r="746" spans="1:40" ht="15" customHeight="1" x14ac:dyDescent="0.2">
      <c r="A746" t="str">
        <f>IF($B746="","",TEXT($B746,"yyyymmdd")&amp;"-"&amp;SUBSTITUTE($F746," ","")&amp;"-"&amp;TEXT(COUNTIF($F$4:F746,$F746),"00"))</f>
        <v/>
      </c>
      <c r="C746" t="str">
        <f t="shared" si="87"/>
        <v/>
      </c>
      <c r="D746" t="str">
        <f t="shared" si="88"/>
        <v/>
      </c>
      <c r="G746" t="str">
        <f>IF(OR($E746="",$F746=""),"",IFERROR(IF($E746=INDEX(Cluster_Master!$A$4:$A$18,MATCH($F746,Cluster_Master!$B$4:$B$18,0)),"OK","CHECK"),"CHECK"))</f>
        <v/>
      </c>
      <c r="H746" t="str">
        <f>IFERROR(INDEX(Cluster_Master!$C$4:$C$18,MATCH($F746,Cluster_Master!$B$4:$B$18,0)),"")</f>
        <v/>
      </c>
      <c r="I746" t="str">
        <f>IFERROR(INDEX(Cluster_Master!$D$4:$D$18,MATCH($F746,Cluster_Master!$B$4:$B$18,0)),"")</f>
        <v/>
      </c>
      <c r="J746" t="str">
        <f>IFERROR(INDEX(Cluster_Master!$E$4:$E$18,MATCH($F746,Cluster_Master!$B$4:$B$18,0)),"")</f>
        <v/>
      </c>
      <c r="K746" t="str">
        <f>IFERROR(INDEX(Cluster_Master!$F$4:$F$18,MATCH($F746,Cluster_Master!$B$4:$B$18,0)),"")</f>
        <v/>
      </c>
      <c r="L746" t="str">
        <f>IFERROR(INDEX(Cluster_Master!$G$4:$G$18,MATCH($F746,Cluster_Master!$B$4:$B$18,0)),"")</f>
        <v/>
      </c>
      <c r="M746" t="str">
        <f>IFERROR(INDEX(Cluster_Master!$H$4:$H$18,MATCH($F746,Cluster_Master!$B$4:$B$18,0)),"")</f>
        <v/>
      </c>
      <c r="AI746" t="str">
        <f t="shared" si="89"/>
        <v/>
      </c>
      <c r="AJ746" t="str">
        <f t="shared" si="90"/>
        <v/>
      </c>
      <c r="AK746" t="str">
        <f>IF(COUNTA(T746:AH746)=0,"",(SUM(T746*KPI_Weights!$B$4,U746*KPI_Weights!$B$5,V746*KPI_Weights!$B$6,W746*KPI_Weights!$B$7,X746*KPI_Weights!$B$8,Y746*KPI_Weights!$B$9,Z746*KPI_Weights!$B$10,AA746*KPI_Weights!$B$11,AB746*KPI_Weights!$B$12,AC746*KPI_Weights!$B$13,AD746*KPI_Weights!$B$14,AE746*KPI_Weights!$B$15,AF746*KPI_Weights!$B$16,AG746*KPI_Weights!$B$17,AH746*KPI_Weights!$B$18))/5)</f>
        <v/>
      </c>
      <c r="AL746" t="str">
        <f t="shared" si="91"/>
        <v/>
      </c>
      <c r="AM746" t="str">
        <f t="shared" si="92"/>
        <v/>
      </c>
      <c r="AN746" t="str">
        <f t="shared" si="93"/>
        <v/>
      </c>
    </row>
    <row r="747" spans="1:40" ht="15" customHeight="1" x14ac:dyDescent="0.2">
      <c r="A747" t="str">
        <f>IF($B747="","",TEXT($B747,"yyyymmdd")&amp;"-"&amp;SUBSTITUTE($F747," ","")&amp;"-"&amp;TEXT(COUNTIF($F$4:F747,$F747),"00"))</f>
        <v/>
      </c>
      <c r="C747" t="str">
        <f t="shared" si="87"/>
        <v/>
      </c>
      <c r="D747" t="str">
        <f t="shared" si="88"/>
        <v/>
      </c>
      <c r="G747" t="str">
        <f>IF(OR($E747="",$F747=""),"",IFERROR(IF($E747=INDEX(Cluster_Master!$A$4:$A$18,MATCH($F747,Cluster_Master!$B$4:$B$18,0)),"OK","CHECK"),"CHECK"))</f>
        <v/>
      </c>
      <c r="H747" t="str">
        <f>IFERROR(INDEX(Cluster_Master!$C$4:$C$18,MATCH($F747,Cluster_Master!$B$4:$B$18,0)),"")</f>
        <v/>
      </c>
      <c r="I747" t="str">
        <f>IFERROR(INDEX(Cluster_Master!$D$4:$D$18,MATCH($F747,Cluster_Master!$B$4:$B$18,0)),"")</f>
        <v/>
      </c>
      <c r="J747" t="str">
        <f>IFERROR(INDEX(Cluster_Master!$E$4:$E$18,MATCH($F747,Cluster_Master!$B$4:$B$18,0)),"")</f>
        <v/>
      </c>
      <c r="K747" t="str">
        <f>IFERROR(INDEX(Cluster_Master!$F$4:$F$18,MATCH($F747,Cluster_Master!$B$4:$B$18,0)),"")</f>
        <v/>
      </c>
      <c r="L747" t="str">
        <f>IFERROR(INDEX(Cluster_Master!$G$4:$G$18,MATCH($F747,Cluster_Master!$B$4:$B$18,0)),"")</f>
        <v/>
      </c>
      <c r="M747" t="str">
        <f>IFERROR(INDEX(Cluster_Master!$H$4:$H$18,MATCH($F747,Cluster_Master!$B$4:$B$18,0)),"")</f>
        <v/>
      </c>
      <c r="AI747" t="str">
        <f t="shared" si="89"/>
        <v/>
      </c>
      <c r="AJ747" t="str">
        <f t="shared" si="90"/>
        <v/>
      </c>
      <c r="AK747" t="str">
        <f>IF(COUNTA(T747:AH747)=0,"",(SUM(T747*KPI_Weights!$B$4,U747*KPI_Weights!$B$5,V747*KPI_Weights!$B$6,W747*KPI_Weights!$B$7,X747*KPI_Weights!$B$8,Y747*KPI_Weights!$B$9,Z747*KPI_Weights!$B$10,AA747*KPI_Weights!$B$11,AB747*KPI_Weights!$B$12,AC747*KPI_Weights!$B$13,AD747*KPI_Weights!$B$14,AE747*KPI_Weights!$B$15,AF747*KPI_Weights!$B$16,AG747*KPI_Weights!$B$17,AH747*KPI_Weights!$B$18))/5)</f>
        <v/>
      </c>
      <c r="AL747" t="str">
        <f t="shared" si="91"/>
        <v/>
      </c>
      <c r="AM747" t="str">
        <f t="shared" si="92"/>
        <v/>
      </c>
      <c r="AN747" t="str">
        <f t="shared" si="93"/>
        <v/>
      </c>
    </row>
    <row r="748" spans="1:40" ht="15" customHeight="1" x14ac:dyDescent="0.2">
      <c r="A748" t="str">
        <f>IF($B748="","",TEXT($B748,"yyyymmdd")&amp;"-"&amp;SUBSTITUTE($F748," ","")&amp;"-"&amp;TEXT(COUNTIF($F$4:F748,$F748),"00"))</f>
        <v/>
      </c>
      <c r="C748" t="str">
        <f t="shared" si="87"/>
        <v/>
      </c>
      <c r="D748" t="str">
        <f t="shared" si="88"/>
        <v/>
      </c>
      <c r="G748" t="str">
        <f>IF(OR($E748="",$F748=""),"",IFERROR(IF($E748=INDEX(Cluster_Master!$A$4:$A$18,MATCH($F748,Cluster_Master!$B$4:$B$18,0)),"OK","CHECK"),"CHECK"))</f>
        <v/>
      </c>
      <c r="H748" t="str">
        <f>IFERROR(INDEX(Cluster_Master!$C$4:$C$18,MATCH($F748,Cluster_Master!$B$4:$B$18,0)),"")</f>
        <v/>
      </c>
      <c r="I748" t="str">
        <f>IFERROR(INDEX(Cluster_Master!$D$4:$D$18,MATCH($F748,Cluster_Master!$B$4:$B$18,0)),"")</f>
        <v/>
      </c>
      <c r="J748" t="str">
        <f>IFERROR(INDEX(Cluster_Master!$E$4:$E$18,MATCH($F748,Cluster_Master!$B$4:$B$18,0)),"")</f>
        <v/>
      </c>
      <c r="K748" t="str">
        <f>IFERROR(INDEX(Cluster_Master!$F$4:$F$18,MATCH($F748,Cluster_Master!$B$4:$B$18,0)),"")</f>
        <v/>
      </c>
      <c r="L748" t="str">
        <f>IFERROR(INDEX(Cluster_Master!$G$4:$G$18,MATCH($F748,Cluster_Master!$B$4:$B$18,0)),"")</f>
        <v/>
      </c>
      <c r="M748" t="str">
        <f>IFERROR(INDEX(Cluster_Master!$H$4:$H$18,MATCH($F748,Cluster_Master!$B$4:$B$18,0)),"")</f>
        <v/>
      </c>
      <c r="AI748" t="str">
        <f t="shared" si="89"/>
        <v/>
      </c>
      <c r="AJ748" t="str">
        <f t="shared" si="90"/>
        <v/>
      </c>
      <c r="AK748" t="str">
        <f>IF(COUNTA(T748:AH748)=0,"",(SUM(T748*KPI_Weights!$B$4,U748*KPI_Weights!$B$5,V748*KPI_Weights!$B$6,W748*KPI_Weights!$B$7,X748*KPI_Weights!$B$8,Y748*KPI_Weights!$B$9,Z748*KPI_Weights!$B$10,AA748*KPI_Weights!$B$11,AB748*KPI_Weights!$B$12,AC748*KPI_Weights!$B$13,AD748*KPI_Weights!$B$14,AE748*KPI_Weights!$B$15,AF748*KPI_Weights!$B$16,AG748*KPI_Weights!$B$17,AH748*KPI_Weights!$B$18))/5)</f>
        <v/>
      </c>
      <c r="AL748" t="str">
        <f t="shared" si="91"/>
        <v/>
      </c>
      <c r="AM748" t="str">
        <f t="shared" si="92"/>
        <v/>
      </c>
      <c r="AN748" t="str">
        <f t="shared" si="93"/>
        <v/>
      </c>
    </row>
    <row r="749" spans="1:40" ht="15" customHeight="1" x14ac:dyDescent="0.2">
      <c r="A749" t="str">
        <f>IF($B749="","",TEXT($B749,"yyyymmdd")&amp;"-"&amp;SUBSTITUTE($F749," ","")&amp;"-"&amp;TEXT(COUNTIF($F$4:F749,$F749),"00"))</f>
        <v/>
      </c>
      <c r="C749" t="str">
        <f t="shared" si="87"/>
        <v/>
      </c>
      <c r="D749" t="str">
        <f t="shared" si="88"/>
        <v/>
      </c>
      <c r="G749" t="str">
        <f>IF(OR($E749="",$F749=""),"",IFERROR(IF($E749=INDEX(Cluster_Master!$A$4:$A$18,MATCH($F749,Cluster_Master!$B$4:$B$18,0)),"OK","CHECK"),"CHECK"))</f>
        <v/>
      </c>
      <c r="H749" t="str">
        <f>IFERROR(INDEX(Cluster_Master!$C$4:$C$18,MATCH($F749,Cluster_Master!$B$4:$B$18,0)),"")</f>
        <v/>
      </c>
      <c r="I749" t="str">
        <f>IFERROR(INDEX(Cluster_Master!$D$4:$D$18,MATCH($F749,Cluster_Master!$B$4:$B$18,0)),"")</f>
        <v/>
      </c>
      <c r="J749" t="str">
        <f>IFERROR(INDEX(Cluster_Master!$E$4:$E$18,MATCH($F749,Cluster_Master!$B$4:$B$18,0)),"")</f>
        <v/>
      </c>
      <c r="K749" t="str">
        <f>IFERROR(INDEX(Cluster_Master!$F$4:$F$18,MATCH($F749,Cluster_Master!$B$4:$B$18,0)),"")</f>
        <v/>
      </c>
      <c r="L749" t="str">
        <f>IFERROR(INDEX(Cluster_Master!$G$4:$G$18,MATCH($F749,Cluster_Master!$B$4:$B$18,0)),"")</f>
        <v/>
      </c>
      <c r="M749" t="str">
        <f>IFERROR(INDEX(Cluster_Master!$H$4:$H$18,MATCH($F749,Cluster_Master!$B$4:$B$18,0)),"")</f>
        <v/>
      </c>
      <c r="AI749" t="str">
        <f t="shared" si="89"/>
        <v/>
      </c>
      <c r="AJ749" t="str">
        <f t="shared" si="90"/>
        <v/>
      </c>
      <c r="AK749" t="str">
        <f>IF(COUNTA(T749:AH749)=0,"",(SUM(T749*KPI_Weights!$B$4,U749*KPI_Weights!$B$5,V749*KPI_Weights!$B$6,W749*KPI_Weights!$B$7,X749*KPI_Weights!$B$8,Y749*KPI_Weights!$B$9,Z749*KPI_Weights!$B$10,AA749*KPI_Weights!$B$11,AB749*KPI_Weights!$B$12,AC749*KPI_Weights!$B$13,AD749*KPI_Weights!$B$14,AE749*KPI_Weights!$B$15,AF749*KPI_Weights!$B$16,AG749*KPI_Weights!$B$17,AH749*KPI_Weights!$B$18))/5)</f>
        <v/>
      </c>
      <c r="AL749" t="str">
        <f t="shared" si="91"/>
        <v/>
      </c>
      <c r="AM749" t="str">
        <f t="shared" si="92"/>
        <v/>
      </c>
      <c r="AN749" t="str">
        <f t="shared" si="93"/>
        <v/>
      </c>
    </row>
    <row r="750" spans="1:40" ht="15" customHeight="1" x14ac:dyDescent="0.2">
      <c r="A750" t="str">
        <f>IF($B750="","",TEXT($B750,"yyyymmdd")&amp;"-"&amp;SUBSTITUTE($F750," ","")&amp;"-"&amp;TEXT(COUNTIF($F$4:F750,$F750),"00"))</f>
        <v/>
      </c>
      <c r="C750" t="str">
        <f t="shared" si="87"/>
        <v/>
      </c>
      <c r="D750" t="str">
        <f t="shared" si="88"/>
        <v/>
      </c>
      <c r="G750" t="str">
        <f>IF(OR($E750="",$F750=""),"",IFERROR(IF($E750=INDEX(Cluster_Master!$A$4:$A$18,MATCH($F750,Cluster_Master!$B$4:$B$18,0)),"OK","CHECK"),"CHECK"))</f>
        <v/>
      </c>
      <c r="H750" t="str">
        <f>IFERROR(INDEX(Cluster_Master!$C$4:$C$18,MATCH($F750,Cluster_Master!$B$4:$B$18,0)),"")</f>
        <v/>
      </c>
      <c r="I750" t="str">
        <f>IFERROR(INDEX(Cluster_Master!$D$4:$D$18,MATCH($F750,Cluster_Master!$B$4:$B$18,0)),"")</f>
        <v/>
      </c>
      <c r="J750" t="str">
        <f>IFERROR(INDEX(Cluster_Master!$E$4:$E$18,MATCH($F750,Cluster_Master!$B$4:$B$18,0)),"")</f>
        <v/>
      </c>
      <c r="K750" t="str">
        <f>IFERROR(INDEX(Cluster_Master!$F$4:$F$18,MATCH($F750,Cluster_Master!$B$4:$B$18,0)),"")</f>
        <v/>
      </c>
      <c r="L750" t="str">
        <f>IFERROR(INDEX(Cluster_Master!$G$4:$G$18,MATCH($F750,Cluster_Master!$B$4:$B$18,0)),"")</f>
        <v/>
      </c>
      <c r="M750" t="str">
        <f>IFERROR(INDEX(Cluster_Master!$H$4:$H$18,MATCH($F750,Cluster_Master!$B$4:$B$18,0)),"")</f>
        <v/>
      </c>
      <c r="AI750" t="str">
        <f t="shared" si="89"/>
        <v/>
      </c>
      <c r="AJ750" t="str">
        <f t="shared" si="90"/>
        <v/>
      </c>
      <c r="AK750" t="str">
        <f>IF(COUNTA(T750:AH750)=0,"",(SUM(T750*KPI_Weights!$B$4,U750*KPI_Weights!$B$5,V750*KPI_Weights!$B$6,W750*KPI_Weights!$B$7,X750*KPI_Weights!$B$8,Y750*KPI_Weights!$B$9,Z750*KPI_Weights!$B$10,AA750*KPI_Weights!$B$11,AB750*KPI_Weights!$B$12,AC750*KPI_Weights!$B$13,AD750*KPI_Weights!$B$14,AE750*KPI_Weights!$B$15,AF750*KPI_Weights!$B$16,AG750*KPI_Weights!$B$17,AH750*KPI_Weights!$B$18))/5)</f>
        <v/>
      </c>
      <c r="AL750" t="str">
        <f t="shared" si="91"/>
        <v/>
      </c>
      <c r="AM750" t="str">
        <f t="shared" si="92"/>
        <v/>
      </c>
      <c r="AN750" t="str">
        <f t="shared" si="93"/>
        <v/>
      </c>
    </row>
    <row r="751" spans="1:40" ht="15" customHeight="1" x14ac:dyDescent="0.2">
      <c r="A751" t="str">
        <f>IF($B751="","",TEXT($B751,"yyyymmdd")&amp;"-"&amp;SUBSTITUTE($F751," ","")&amp;"-"&amp;TEXT(COUNTIF($F$4:F751,$F751),"00"))</f>
        <v/>
      </c>
      <c r="C751" t="str">
        <f t="shared" si="87"/>
        <v/>
      </c>
      <c r="D751" t="str">
        <f t="shared" si="88"/>
        <v/>
      </c>
      <c r="G751" t="str">
        <f>IF(OR($E751="",$F751=""),"",IFERROR(IF($E751=INDEX(Cluster_Master!$A$4:$A$18,MATCH($F751,Cluster_Master!$B$4:$B$18,0)),"OK","CHECK"),"CHECK"))</f>
        <v/>
      </c>
      <c r="H751" t="str">
        <f>IFERROR(INDEX(Cluster_Master!$C$4:$C$18,MATCH($F751,Cluster_Master!$B$4:$B$18,0)),"")</f>
        <v/>
      </c>
      <c r="I751" t="str">
        <f>IFERROR(INDEX(Cluster_Master!$D$4:$D$18,MATCH($F751,Cluster_Master!$B$4:$B$18,0)),"")</f>
        <v/>
      </c>
      <c r="J751" t="str">
        <f>IFERROR(INDEX(Cluster_Master!$E$4:$E$18,MATCH($F751,Cluster_Master!$B$4:$B$18,0)),"")</f>
        <v/>
      </c>
      <c r="K751" t="str">
        <f>IFERROR(INDEX(Cluster_Master!$F$4:$F$18,MATCH($F751,Cluster_Master!$B$4:$B$18,0)),"")</f>
        <v/>
      </c>
      <c r="L751" t="str">
        <f>IFERROR(INDEX(Cluster_Master!$G$4:$G$18,MATCH($F751,Cluster_Master!$B$4:$B$18,0)),"")</f>
        <v/>
      </c>
      <c r="M751" t="str">
        <f>IFERROR(INDEX(Cluster_Master!$H$4:$H$18,MATCH($F751,Cluster_Master!$B$4:$B$18,0)),"")</f>
        <v/>
      </c>
      <c r="AI751" t="str">
        <f t="shared" si="89"/>
        <v/>
      </c>
      <c r="AJ751" t="str">
        <f t="shared" si="90"/>
        <v/>
      </c>
      <c r="AK751" t="str">
        <f>IF(COUNTA(T751:AH751)=0,"",(SUM(T751*KPI_Weights!$B$4,U751*KPI_Weights!$B$5,V751*KPI_Weights!$B$6,W751*KPI_Weights!$B$7,X751*KPI_Weights!$B$8,Y751*KPI_Weights!$B$9,Z751*KPI_Weights!$B$10,AA751*KPI_Weights!$B$11,AB751*KPI_Weights!$B$12,AC751*KPI_Weights!$B$13,AD751*KPI_Weights!$B$14,AE751*KPI_Weights!$B$15,AF751*KPI_Weights!$B$16,AG751*KPI_Weights!$B$17,AH751*KPI_Weights!$B$18))/5)</f>
        <v/>
      </c>
      <c r="AL751" t="str">
        <f t="shared" si="91"/>
        <v/>
      </c>
      <c r="AM751" t="str">
        <f t="shared" si="92"/>
        <v/>
      </c>
      <c r="AN751" t="str">
        <f t="shared" si="93"/>
        <v/>
      </c>
    </row>
    <row r="752" spans="1:40" ht="15" customHeight="1" x14ac:dyDescent="0.2">
      <c r="A752" t="str">
        <f>IF($B752="","",TEXT($B752,"yyyymmdd")&amp;"-"&amp;SUBSTITUTE($F752," ","")&amp;"-"&amp;TEXT(COUNTIF($F$4:F752,$F752),"00"))</f>
        <v/>
      </c>
      <c r="C752" t="str">
        <f t="shared" si="87"/>
        <v/>
      </c>
      <c r="D752" t="str">
        <f t="shared" si="88"/>
        <v/>
      </c>
      <c r="G752" t="str">
        <f>IF(OR($E752="",$F752=""),"",IFERROR(IF($E752=INDEX(Cluster_Master!$A$4:$A$18,MATCH($F752,Cluster_Master!$B$4:$B$18,0)),"OK","CHECK"),"CHECK"))</f>
        <v/>
      </c>
      <c r="H752" t="str">
        <f>IFERROR(INDEX(Cluster_Master!$C$4:$C$18,MATCH($F752,Cluster_Master!$B$4:$B$18,0)),"")</f>
        <v/>
      </c>
      <c r="I752" t="str">
        <f>IFERROR(INDEX(Cluster_Master!$D$4:$D$18,MATCH($F752,Cluster_Master!$B$4:$B$18,0)),"")</f>
        <v/>
      </c>
      <c r="J752" t="str">
        <f>IFERROR(INDEX(Cluster_Master!$E$4:$E$18,MATCH($F752,Cluster_Master!$B$4:$B$18,0)),"")</f>
        <v/>
      </c>
      <c r="K752" t="str">
        <f>IFERROR(INDEX(Cluster_Master!$F$4:$F$18,MATCH($F752,Cluster_Master!$B$4:$B$18,0)),"")</f>
        <v/>
      </c>
      <c r="L752" t="str">
        <f>IFERROR(INDEX(Cluster_Master!$G$4:$G$18,MATCH($F752,Cluster_Master!$B$4:$B$18,0)),"")</f>
        <v/>
      </c>
      <c r="M752" t="str">
        <f>IFERROR(INDEX(Cluster_Master!$H$4:$H$18,MATCH($F752,Cluster_Master!$B$4:$B$18,0)),"")</f>
        <v/>
      </c>
      <c r="AI752" t="str">
        <f t="shared" si="89"/>
        <v/>
      </c>
      <c r="AJ752" t="str">
        <f t="shared" si="90"/>
        <v/>
      </c>
      <c r="AK752" t="str">
        <f>IF(COUNTA(T752:AH752)=0,"",(SUM(T752*KPI_Weights!$B$4,U752*KPI_Weights!$B$5,V752*KPI_Weights!$B$6,W752*KPI_Weights!$B$7,X752*KPI_Weights!$B$8,Y752*KPI_Weights!$B$9,Z752*KPI_Weights!$B$10,AA752*KPI_Weights!$B$11,AB752*KPI_Weights!$B$12,AC752*KPI_Weights!$B$13,AD752*KPI_Weights!$B$14,AE752*KPI_Weights!$B$15,AF752*KPI_Weights!$B$16,AG752*KPI_Weights!$B$17,AH752*KPI_Weights!$B$18))/5)</f>
        <v/>
      </c>
      <c r="AL752" t="str">
        <f t="shared" si="91"/>
        <v/>
      </c>
      <c r="AM752" t="str">
        <f t="shared" si="92"/>
        <v/>
      </c>
      <c r="AN752" t="str">
        <f t="shared" si="93"/>
        <v/>
      </c>
    </row>
    <row r="753" spans="1:40" ht="15" customHeight="1" x14ac:dyDescent="0.2">
      <c r="A753" t="str">
        <f>IF($B753="","",TEXT($B753,"yyyymmdd")&amp;"-"&amp;SUBSTITUTE($F753," ","")&amp;"-"&amp;TEXT(COUNTIF($F$4:F753,$F753),"00"))</f>
        <v/>
      </c>
      <c r="C753" t="str">
        <f t="shared" si="87"/>
        <v/>
      </c>
      <c r="D753" t="str">
        <f t="shared" si="88"/>
        <v/>
      </c>
      <c r="G753" t="str">
        <f>IF(OR($E753="",$F753=""),"",IFERROR(IF($E753=INDEX(Cluster_Master!$A$4:$A$18,MATCH($F753,Cluster_Master!$B$4:$B$18,0)),"OK","CHECK"),"CHECK"))</f>
        <v/>
      </c>
      <c r="H753" t="str">
        <f>IFERROR(INDEX(Cluster_Master!$C$4:$C$18,MATCH($F753,Cluster_Master!$B$4:$B$18,0)),"")</f>
        <v/>
      </c>
      <c r="I753" t="str">
        <f>IFERROR(INDEX(Cluster_Master!$D$4:$D$18,MATCH($F753,Cluster_Master!$B$4:$B$18,0)),"")</f>
        <v/>
      </c>
      <c r="J753" t="str">
        <f>IFERROR(INDEX(Cluster_Master!$E$4:$E$18,MATCH($F753,Cluster_Master!$B$4:$B$18,0)),"")</f>
        <v/>
      </c>
      <c r="K753" t="str">
        <f>IFERROR(INDEX(Cluster_Master!$F$4:$F$18,MATCH($F753,Cluster_Master!$B$4:$B$18,0)),"")</f>
        <v/>
      </c>
      <c r="L753" t="str">
        <f>IFERROR(INDEX(Cluster_Master!$G$4:$G$18,MATCH($F753,Cluster_Master!$B$4:$B$18,0)),"")</f>
        <v/>
      </c>
      <c r="M753" t="str">
        <f>IFERROR(INDEX(Cluster_Master!$H$4:$H$18,MATCH($F753,Cluster_Master!$B$4:$B$18,0)),"")</f>
        <v/>
      </c>
      <c r="AI753" t="str">
        <f t="shared" si="89"/>
        <v/>
      </c>
      <c r="AJ753" t="str">
        <f t="shared" si="90"/>
        <v/>
      </c>
      <c r="AK753" t="str">
        <f>IF(COUNTA(T753:AH753)=0,"",(SUM(T753*KPI_Weights!$B$4,U753*KPI_Weights!$B$5,V753*KPI_Weights!$B$6,W753*KPI_Weights!$B$7,X753*KPI_Weights!$B$8,Y753*KPI_Weights!$B$9,Z753*KPI_Weights!$B$10,AA753*KPI_Weights!$B$11,AB753*KPI_Weights!$B$12,AC753*KPI_Weights!$B$13,AD753*KPI_Weights!$B$14,AE753*KPI_Weights!$B$15,AF753*KPI_Weights!$B$16,AG753*KPI_Weights!$B$17,AH753*KPI_Weights!$B$18))/5)</f>
        <v/>
      </c>
      <c r="AL753" t="str">
        <f t="shared" si="91"/>
        <v/>
      </c>
      <c r="AM753" t="str">
        <f t="shared" si="92"/>
        <v/>
      </c>
      <c r="AN753" t="str">
        <f t="shared" si="93"/>
        <v/>
      </c>
    </row>
    <row r="754" spans="1:40" ht="15" customHeight="1" x14ac:dyDescent="0.2">
      <c r="A754" t="str">
        <f>IF($B754="","",TEXT($B754,"yyyymmdd")&amp;"-"&amp;SUBSTITUTE($F754," ","")&amp;"-"&amp;TEXT(COUNTIF($F$4:F754,$F754),"00"))</f>
        <v/>
      </c>
      <c r="C754" t="str">
        <f t="shared" si="87"/>
        <v/>
      </c>
      <c r="D754" t="str">
        <f t="shared" si="88"/>
        <v/>
      </c>
      <c r="G754" t="str">
        <f>IF(OR($E754="",$F754=""),"",IFERROR(IF($E754=INDEX(Cluster_Master!$A$4:$A$18,MATCH($F754,Cluster_Master!$B$4:$B$18,0)),"OK","CHECK"),"CHECK"))</f>
        <v/>
      </c>
      <c r="H754" t="str">
        <f>IFERROR(INDEX(Cluster_Master!$C$4:$C$18,MATCH($F754,Cluster_Master!$B$4:$B$18,0)),"")</f>
        <v/>
      </c>
      <c r="I754" t="str">
        <f>IFERROR(INDEX(Cluster_Master!$D$4:$D$18,MATCH($F754,Cluster_Master!$B$4:$B$18,0)),"")</f>
        <v/>
      </c>
      <c r="J754" t="str">
        <f>IFERROR(INDEX(Cluster_Master!$E$4:$E$18,MATCH($F754,Cluster_Master!$B$4:$B$18,0)),"")</f>
        <v/>
      </c>
      <c r="K754" t="str">
        <f>IFERROR(INDEX(Cluster_Master!$F$4:$F$18,MATCH($F754,Cluster_Master!$B$4:$B$18,0)),"")</f>
        <v/>
      </c>
      <c r="L754" t="str">
        <f>IFERROR(INDEX(Cluster_Master!$G$4:$G$18,MATCH($F754,Cluster_Master!$B$4:$B$18,0)),"")</f>
        <v/>
      </c>
      <c r="M754" t="str">
        <f>IFERROR(INDEX(Cluster_Master!$H$4:$H$18,MATCH($F754,Cluster_Master!$B$4:$B$18,0)),"")</f>
        <v/>
      </c>
      <c r="AI754" t="str">
        <f t="shared" si="89"/>
        <v/>
      </c>
      <c r="AJ754" t="str">
        <f t="shared" si="90"/>
        <v/>
      </c>
      <c r="AK754" t="str">
        <f>IF(COUNTA(T754:AH754)=0,"",(SUM(T754*KPI_Weights!$B$4,U754*KPI_Weights!$B$5,V754*KPI_Weights!$B$6,W754*KPI_Weights!$B$7,X754*KPI_Weights!$B$8,Y754*KPI_Weights!$B$9,Z754*KPI_Weights!$B$10,AA754*KPI_Weights!$B$11,AB754*KPI_Weights!$B$12,AC754*KPI_Weights!$B$13,AD754*KPI_Weights!$B$14,AE754*KPI_Weights!$B$15,AF754*KPI_Weights!$B$16,AG754*KPI_Weights!$B$17,AH754*KPI_Weights!$B$18))/5)</f>
        <v/>
      </c>
      <c r="AL754" t="str">
        <f t="shared" si="91"/>
        <v/>
      </c>
      <c r="AM754" t="str">
        <f t="shared" si="92"/>
        <v/>
      </c>
      <c r="AN754" t="str">
        <f t="shared" si="93"/>
        <v/>
      </c>
    </row>
    <row r="755" spans="1:40" ht="15" customHeight="1" x14ac:dyDescent="0.2">
      <c r="A755" t="str">
        <f>IF($B755="","",TEXT($B755,"yyyymmdd")&amp;"-"&amp;SUBSTITUTE($F755," ","")&amp;"-"&amp;TEXT(COUNTIF($F$4:F755,$F755),"00"))</f>
        <v/>
      </c>
      <c r="C755" t="str">
        <f t="shared" si="87"/>
        <v/>
      </c>
      <c r="D755" t="str">
        <f t="shared" si="88"/>
        <v/>
      </c>
      <c r="G755" t="str">
        <f>IF(OR($E755="",$F755=""),"",IFERROR(IF($E755=INDEX(Cluster_Master!$A$4:$A$18,MATCH($F755,Cluster_Master!$B$4:$B$18,0)),"OK","CHECK"),"CHECK"))</f>
        <v/>
      </c>
      <c r="H755" t="str">
        <f>IFERROR(INDEX(Cluster_Master!$C$4:$C$18,MATCH($F755,Cluster_Master!$B$4:$B$18,0)),"")</f>
        <v/>
      </c>
      <c r="I755" t="str">
        <f>IFERROR(INDEX(Cluster_Master!$D$4:$D$18,MATCH($F755,Cluster_Master!$B$4:$B$18,0)),"")</f>
        <v/>
      </c>
      <c r="J755" t="str">
        <f>IFERROR(INDEX(Cluster_Master!$E$4:$E$18,MATCH($F755,Cluster_Master!$B$4:$B$18,0)),"")</f>
        <v/>
      </c>
      <c r="K755" t="str">
        <f>IFERROR(INDEX(Cluster_Master!$F$4:$F$18,MATCH($F755,Cluster_Master!$B$4:$B$18,0)),"")</f>
        <v/>
      </c>
      <c r="L755" t="str">
        <f>IFERROR(INDEX(Cluster_Master!$G$4:$G$18,MATCH($F755,Cluster_Master!$B$4:$B$18,0)),"")</f>
        <v/>
      </c>
      <c r="M755" t="str">
        <f>IFERROR(INDEX(Cluster_Master!$H$4:$H$18,MATCH($F755,Cluster_Master!$B$4:$B$18,0)),"")</f>
        <v/>
      </c>
      <c r="AI755" t="str">
        <f t="shared" si="89"/>
        <v/>
      </c>
      <c r="AJ755" t="str">
        <f t="shared" si="90"/>
        <v/>
      </c>
      <c r="AK755" t="str">
        <f>IF(COUNTA(T755:AH755)=0,"",(SUM(T755*KPI_Weights!$B$4,U755*KPI_Weights!$B$5,V755*KPI_Weights!$B$6,W755*KPI_Weights!$B$7,X755*KPI_Weights!$B$8,Y755*KPI_Weights!$B$9,Z755*KPI_Weights!$B$10,AA755*KPI_Weights!$B$11,AB755*KPI_Weights!$B$12,AC755*KPI_Weights!$B$13,AD755*KPI_Weights!$B$14,AE755*KPI_Weights!$B$15,AF755*KPI_Weights!$B$16,AG755*KPI_Weights!$B$17,AH755*KPI_Weights!$B$18))/5)</f>
        <v/>
      </c>
      <c r="AL755" t="str">
        <f t="shared" si="91"/>
        <v/>
      </c>
      <c r="AM755" t="str">
        <f t="shared" si="92"/>
        <v/>
      </c>
      <c r="AN755" t="str">
        <f t="shared" si="93"/>
        <v/>
      </c>
    </row>
    <row r="756" spans="1:40" ht="15" customHeight="1" x14ac:dyDescent="0.2">
      <c r="A756" t="str">
        <f>IF($B756="","",TEXT($B756,"yyyymmdd")&amp;"-"&amp;SUBSTITUTE($F756," ","")&amp;"-"&amp;TEXT(COUNTIF($F$4:F756,$F756),"00"))</f>
        <v/>
      </c>
      <c r="C756" t="str">
        <f t="shared" si="87"/>
        <v/>
      </c>
      <c r="D756" t="str">
        <f t="shared" si="88"/>
        <v/>
      </c>
      <c r="G756" t="str">
        <f>IF(OR($E756="",$F756=""),"",IFERROR(IF($E756=INDEX(Cluster_Master!$A$4:$A$18,MATCH($F756,Cluster_Master!$B$4:$B$18,0)),"OK","CHECK"),"CHECK"))</f>
        <v/>
      </c>
      <c r="H756" t="str">
        <f>IFERROR(INDEX(Cluster_Master!$C$4:$C$18,MATCH($F756,Cluster_Master!$B$4:$B$18,0)),"")</f>
        <v/>
      </c>
      <c r="I756" t="str">
        <f>IFERROR(INDEX(Cluster_Master!$D$4:$D$18,MATCH($F756,Cluster_Master!$B$4:$B$18,0)),"")</f>
        <v/>
      </c>
      <c r="J756" t="str">
        <f>IFERROR(INDEX(Cluster_Master!$E$4:$E$18,MATCH($F756,Cluster_Master!$B$4:$B$18,0)),"")</f>
        <v/>
      </c>
      <c r="K756" t="str">
        <f>IFERROR(INDEX(Cluster_Master!$F$4:$F$18,MATCH($F756,Cluster_Master!$B$4:$B$18,0)),"")</f>
        <v/>
      </c>
      <c r="L756" t="str">
        <f>IFERROR(INDEX(Cluster_Master!$G$4:$G$18,MATCH($F756,Cluster_Master!$B$4:$B$18,0)),"")</f>
        <v/>
      </c>
      <c r="M756" t="str">
        <f>IFERROR(INDEX(Cluster_Master!$H$4:$H$18,MATCH($F756,Cluster_Master!$B$4:$B$18,0)),"")</f>
        <v/>
      </c>
      <c r="AI756" t="str">
        <f t="shared" si="89"/>
        <v/>
      </c>
      <c r="AJ756" t="str">
        <f t="shared" si="90"/>
        <v/>
      </c>
      <c r="AK756" t="str">
        <f>IF(COUNTA(T756:AH756)=0,"",(SUM(T756*KPI_Weights!$B$4,U756*KPI_Weights!$B$5,V756*KPI_Weights!$B$6,W756*KPI_Weights!$B$7,X756*KPI_Weights!$B$8,Y756*KPI_Weights!$B$9,Z756*KPI_Weights!$B$10,AA756*KPI_Weights!$B$11,AB756*KPI_Weights!$B$12,AC756*KPI_Weights!$B$13,AD756*KPI_Weights!$B$14,AE756*KPI_Weights!$B$15,AF756*KPI_Weights!$B$16,AG756*KPI_Weights!$B$17,AH756*KPI_Weights!$B$18))/5)</f>
        <v/>
      </c>
      <c r="AL756" t="str">
        <f t="shared" si="91"/>
        <v/>
      </c>
      <c r="AM756" t="str">
        <f t="shared" si="92"/>
        <v/>
      </c>
      <c r="AN756" t="str">
        <f t="shared" si="93"/>
        <v/>
      </c>
    </row>
    <row r="757" spans="1:40" ht="15" customHeight="1" x14ac:dyDescent="0.2">
      <c r="A757" t="str">
        <f>IF($B757="","",TEXT($B757,"yyyymmdd")&amp;"-"&amp;SUBSTITUTE($F757," ","")&amp;"-"&amp;TEXT(COUNTIF($F$4:F757,$F757),"00"))</f>
        <v/>
      </c>
      <c r="C757" t="str">
        <f t="shared" si="87"/>
        <v/>
      </c>
      <c r="D757" t="str">
        <f t="shared" si="88"/>
        <v/>
      </c>
      <c r="G757" t="str">
        <f>IF(OR($E757="",$F757=""),"",IFERROR(IF($E757=INDEX(Cluster_Master!$A$4:$A$18,MATCH($F757,Cluster_Master!$B$4:$B$18,0)),"OK","CHECK"),"CHECK"))</f>
        <v/>
      </c>
      <c r="H757" t="str">
        <f>IFERROR(INDEX(Cluster_Master!$C$4:$C$18,MATCH($F757,Cluster_Master!$B$4:$B$18,0)),"")</f>
        <v/>
      </c>
      <c r="I757" t="str">
        <f>IFERROR(INDEX(Cluster_Master!$D$4:$D$18,MATCH($F757,Cluster_Master!$B$4:$B$18,0)),"")</f>
        <v/>
      </c>
      <c r="J757" t="str">
        <f>IFERROR(INDEX(Cluster_Master!$E$4:$E$18,MATCH($F757,Cluster_Master!$B$4:$B$18,0)),"")</f>
        <v/>
      </c>
      <c r="K757" t="str">
        <f>IFERROR(INDEX(Cluster_Master!$F$4:$F$18,MATCH($F757,Cluster_Master!$B$4:$B$18,0)),"")</f>
        <v/>
      </c>
      <c r="L757" t="str">
        <f>IFERROR(INDEX(Cluster_Master!$G$4:$G$18,MATCH($F757,Cluster_Master!$B$4:$B$18,0)),"")</f>
        <v/>
      </c>
      <c r="M757" t="str">
        <f>IFERROR(INDEX(Cluster_Master!$H$4:$H$18,MATCH($F757,Cluster_Master!$B$4:$B$18,0)),"")</f>
        <v/>
      </c>
      <c r="AI757" t="str">
        <f t="shared" si="89"/>
        <v/>
      </c>
      <c r="AJ757" t="str">
        <f t="shared" si="90"/>
        <v/>
      </c>
      <c r="AK757" t="str">
        <f>IF(COUNTA(T757:AH757)=0,"",(SUM(T757*KPI_Weights!$B$4,U757*KPI_Weights!$B$5,V757*KPI_Weights!$B$6,W757*KPI_Weights!$B$7,X757*KPI_Weights!$B$8,Y757*KPI_Weights!$B$9,Z757*KPI_Weights!$B$10,AA757*KPI_Weights!$B$11,AB757*KPI_Weights!$B$12,AC757*KPI_Weights!$B$13,AD757*KPI_Weights!$B$14,AE757*KPI_Weights!$B$15,AF757*KPI_Weights!$B$16,AG757*KPI_Weights!$B$17,AH757*KPI_Weights!$B$18))/5)</f>
        <v/>
      </c>
      <c r="AL757" t="str">
        <f t="shared" si="91"/>
        <v/>
      </c>
      <c r="AM757" t="str">
        <f t="shared" si="92"/>
        <v/>
      </c>
      <c r="AN757" t="str">
        <f t="shared" si="93"/>
        <v/>
      </c>
    </row>
    <row r="758" spans="1:40" ht="15" customHeight="1" x14ac:dyDescent="0.2">
      <c r="A758" t="str">
        <f>IF($B758="","",TEXT($B758,"yyyymmdd")&amp;"-"&amp;SUBSTITUTE($F758," ","")&amp;"-"&amp;TEXT(COUNTIF($F$4:F758,$F758),"00"))</f>
        <v/>
      </c>
      <c r="C758" t="str">
        <f t="shared" si="87"/>
        <v/>
      </c>
      <c r="D758" t="str">
        <f t="shared" si="88"/>
        <v/>
      </c>
      <c r="G758" t="str">
        <f>IF(OR($E758="",$F758=""),"",IFERROR(IF($E758=INDEX(Cluster_Master!$A$4:$A$18,MATCH($F758,Cluster_Master!$B$4:$B$18,0)),"OK","CHECK"),"CHECK"))</f>
        <v/>
      </c>
      <c r="H758" t="str">
        <f>IFERROR(INDEX(Cluster_Master!$C$4:$C$18,MATCH($F758,Cluster_Master!$B$4:$B$18,0)),"")</f>
        <v/>
      </c>
      <c r="I758" t="str">
        <f>IFERROR(INDEX(Cluster_Master!$D$4:$D$18,MATCH($F758,Cluster_Master!$B$4:$B$18,0)),"")</f>
        <v/>
      </c>
      <c r="J758" t="str">
        <f>IFERROR(INDEX(Cluster_Master!$E$4:$E$18,MATCH($F758,Cluster_Master!$B$4:$B$18,0)),"")</f>
        <v/>
      </c>
      <c r="K758" t="str">
        <f>IFERROR(INDEX(Cluster_Master!$F$4:$F$18,MATCH($F758,Cluster_Master!$B$4:$B$18,0)),"")</f>
        <v/>
      </c>
      <c r="L758" t="str">
        <f>IFERROR(INDEX(Cluster_Master!$G$4:$G$18,MATCH($F758,Cluster_Master!$B$4:$B$18,0)),"")</f>
        <v/>
      </c>
      <c r="M758" t="str">
        <f>IFERROR(INDEX(Cluster_Master!$H$4:$H$18,MATCH($F758,Cluster_Master!$B$4:$B$18,0)),"")</f>
        <v/>
      </c>
      <c r="AI758" t="str">
        <f t="shared" si="89"/>
        <v/>
      </c>
      <c r="AJ758" t="str">
        <f t="shared" si="90"/>
        <v/>
      </c>
      <c r="AK758" t="str">
        <f>IF(COUNTA(T758:AH758)=0,"",(SUM(T758*KPI_Weights!$B$4,U758*KPI_Weights!$B$5,V758*KPI_Weights!$B$6,W758*KPI_Weights!$B$7,X758*KPI_Weights!$B$8,Y758*KPI_Weights!$B$9,Z758*KPI_Weights!$B$10,AA758*KPI_Weights!$B$11,AB758*KPI_Weights!$B$12,AC758*KPI_Weights!$B$13,AD758*KPI_Weights!$B$14,AE758*KPI_Weights!$B$15,AF758*KPI_Weights!$B$16,AG758*KPI_Weights!$B$17,AH758*KPI_Weights!$B$18))/5)</f>
        <v/>
      </c>
      <c r="AL758" t="str">
        <f t="shared" si="91"/>
        <v/>
      </c>
      <c r="AM758" t="str">
        <f t="shared" si="92"/>
        <v/>
      </c>
      <c r="AN758" t="str">
        <f t="shared" si="93"/>
        <v/>
      </c>
    </row>
    <row r="759" spans="1:40" ht="15" customHeight="1" x14ac:dyDescent="0.2">
      <c r="A759" t="str">
        <f>IF($B759="","",TEXT($B759,"yyyymmdd")&amp;"-"&amp;SUBSTITUTE($F759," ","")&amp;"-"&amp;TEXT(COUNTIF($F$4:F759,$F759),"00"))</f>
        <v/>
      </c>
      <c r="C759" t="str">
        <f t="shared" si="87"/>
        <v/>
      </c>
      <c r="D759" t="str">
        <f t="shared" si="88"/>
        <v/>
      </c>
      <c r="G759" t="str">
        <f>IF(OR($E759="",$F759=""),"",IFERROR(IF($E759=INDEX(Cluster_Master!$A$4:$A$18,MATCH($F759,Cluster_Master!$B$4:$B$18,0)),"OK","CHECK"),"CHECK"))</f>
        <v/>
      </c>
      <c r="H759" t="str">
        <f>IFERROR(INDEX(Cluster_Master!$C$4:$C$18,MATCH($F759,Cluster_Master!$B$4:$B$18,0)),"")</f>
        <v/>
      </c>
      <c r="I759" t="str">
        <f>IFERROR(INDEX(Cluster_Master!$D$4:$D$18,MATCH($F759,Cluster_Master!$B$4:$B$18,0)),"")</f>
        <v/>
      </c>
      <c r="J759" t="str">
        <f>IFERROR(INDEX(Cluster_Master!$E$4:$E$18,MATCH($F759,Cluster_Master!$B$4:$B$18,0)),"")</f>
        <v/>
      </c>
      <c r="K759" t="str">
        <f>IFERROR(INDEX(Cluster_Master!$F$4:$F$18,MATCH($F759,Cluster_Master!$B$4:$B$18,0)),"")</f>
        <v/>
      </c>
      <c r="L759" t="str">
        <f>IFERROR(INDEX(Cluster_Master!$G$4:$G$18,MATCH($F759,Cluster_Master!$B$4:$B$18,0)),"")</f>
        <v/>
      </c>
      <c r="M759" t="str">
        <f>IFERROR(INDEX(Cluster_Master!$H$4:$H$18,MATCH($F759,Cluster_Master!$B$4:$B$18,0)),"")</f>
        <v/>
      </c>
      <c r="AI759" t="str">
        <f t="shared" si="89"/>
        <v/>
      </c>
      <c r="AJ759" t="str">
        <f t="shared" si="90"/>
        <v/>
      </c>
      <c r="AK759" t="str">
        <f>IF(COUNTA(T759:AH759)=0,"",(SUM(T759*KPI_Weights!$B$4,U759*KPI_Weights!$B$5,V759*KPI_Weights!$B$6,W759*KPI_Weights!$B$7,X759*KPI_Weights!$B$8,Y759*KPI_Weights!$B$9,Z759*KPI_Weights!$B$10,AA759*KPI_Weights!$B$11,AB759*KPI_Weights!$B$12,AC759*KPI_Weights!$B$13,AD759*KPI_Weights!$B$14,AE759*KPI_Weights!$B$15,AF759*KPI_Weights!$B$16,AG759*KPI_Weights!$B$17,AH759*KPI_Weights!$B$18))/5)</f>
        <v/>
      </c>
      <c r="AL759" t="str">
        <f t="shared" si="91"/>
        <v/>
      </c>
      <c r="AM759" t="str">
        <f t="shared" si="92"/>
        <v/>
      </c>
      <c r="AN759" t="str">
        <f t="shared" si="93"/>
        <v/>
      </c>
    </row>
    <row r="760" spans="1:40" ht="15" customHeight="1" x14ac:dyDescent="0.2">
      <c r="A760" t="str">
        <f>IF($B760="","",TEXT($B760,"yyyymmdd")&amp;"-"&amp;SUBSTITUTE($F760," ","")&amp;"-"&amp;TEXT(COUNTIF($F$4:F760,$F760),"00"))</f>
        <v/>
      </c>
      <c r="C760" t="str">
        <f t="shared" si="87"/>
        <v/>
      </c>
      <c r="D760" t="str">
        <f t="shared" si="88"/>
        <v/>
      </c>
      <c r="G760" t="str">
        <f>IF(OR($E760="",$F760=""),"",IFERROR(IF($E760=INDEX(Cluster_Master!$A$4:$A$18,MATCH($F760,Cluster_Master!$B$4:$B$18,0)),"OK","CHECK"),"CHECK"))</f>
        <v/>
      </c>
      <c r="H760" t="str">
        <f>IFERROR(INDEX(Cluster_Master!$C$4:$C$18,MATCH($F760,Cluster_Master!$B$4:$B$18,0)),"")</f>
        <v/>
      </c>
      <c r="I760" t="str">
        <f>IFERROR(INDEX(Cluster_Master!$D$4:$D$18,MATCH($F760,Cluster_Master!$B$4:$B$18,0)),"")</f>
        <v/>
      </c>
      <c r="J760" t="str">
        <f>IFERROR(INDEX(Cluster_Master!$E$4:$E$18,MATCH($F760,Cluster_Master!$B$4:$B$18,0)),"")</f>
        <v/>
      </c>
      <c r="K760" t="str">
        <f>IFERROR(INDEX(Cluster_Master!$F$4:$F$18,MATCH($F760,Cluster_Master!$B$4:$B$18,0)),"")</f>
        <v/>
      </c>
      <c r="L760" t="str">
        <f>IFERROR(INDEX(Cluster_Master!$G$4:$G$18,MATCH($F760,Cluster_Master!$B$4:$B$18,0)),"")</f>
        <v/>
      </c>
      <c r="M760" t="str">
        <f>IFERROR(INDEX(Cluster_Master!$H$4:$H$18,MATCH($F760,Cluster_Master!$B$4:$B$18,0)),"")</f>
        <v/>
      </c>
      <c r="AI760" t="str">
        <f t="shared" si="89"/>
        <v/>
      </c>
      <c r="AJ760" t="str">
        <f t="shared" si="90"/>
        <v/>
      </c>
      <c r="AK760" t="str">
        <f>IF(COUNTA(T760:AH760)=0,"",(SUM(T760*KPI_Weights!$B$4,U760*KPI_Weights!$B$5,V760*KPI_Weights!$B$6,W760*KPI_Weights!$B$7,X760*KPI_Weights!$B$8,Y760*KPI_Weights!$B$9,Z760*KPI_Weights!$B$10,AA760*KPI_Weights!$B$11,AB760*KPI_Weights!$B$12,AC760*KPI_Weights!$B$13,AD760*KPI_Weights!$B$14,AE760*KPI_Weights!$B$15,AF760*KPI_Weights!$B$16,AG760*KPI_Weights!$B$17,AH760*KPI_Weights!$B$18))/5)</f>
        <v/>
      </c>
      <c r="AL760" t="str">
        <f t="shared" si="91"/>
        <v/>
      </c>
      <c r="AM760" t="str">
        <f t="shared" si="92"/>
        <v/>
      </c>
      <c r="AN760" t="str">
        <f t="shared" si="93"/>
        <v/>
      </c>
    </row>
    <row r="761" spans="1:40" ht="15" customHeight="1" x14ac:dyDescent="0.2">
      <c r="A761" t="str">
        <f>IF($B761="","",TEXT($B761,"yyyymmdd")&amp;"-"&amp;SUBSTITUTE($F761," ","")&amp;"-"&amp;TEXT(COUNTIF($F$4:F761,$F761),"00"))</f>
        <v/>
      </c>
      <c r="C761" t="str">
        <f t="shared" si="87"/>
        <v/>
      </c>
      <c r="D761" t="str">
        <f t="shared" si="88"/>
        <v/>
      </c>
      <c r="G761" t="str">
        <f>IF(OR($E761="",$F761=""),"",IFERROR(IF($E761=INDEX(Cluster_Master!$A$4:$A$18,MATCH($F761,Cluster_Master!$B$4:$B$18,0)),"OK","CHECK"),"CHECK"))</f>
        <v/>
      </c>
      <c r="H761" t="str">
        <f>IFERROR(INDEX(Cluster_Master!$C$4:$C$18,MATCH($F761,Cluster_Master!$B$4:$B$18,0)),"")</f>
        <v/>
      </c>
      <c r="I761" t="str">
        <f>IFERROR(INDEX(Cluster_Master!$D$4:$D$18,MATCH($F761,Cluster_Master!$B$4:$B$18,0)),"")</f>
        <v/>
      </c>
      <c r="J761" t="str">
        <f>IFERROR(INDEX(Cluster_Master!$E$4:$E$18,MATCH($F761,Cluster_Master!$B$4:$B$18,0)),"")</f>
        <v/>
      </c>
      <c r="K761" t="str">
        <f>IFERROR(INDEX(Cluster_Master!$F$4:$F$18,MATCH($F761,Cluster_Master!$B$4:$B$18,0)),"")</f>
        <v/>
      </c>
      <c r="L761" t="str">
        <f>IFERROR(INDEX(Cluster_Master!$G$4:$G$18,MATCH($F761,Cluster_Master!$B$4:$B$18,0)),"")</f>
        <v/>
      </c>
      <c r="M761" t="str">
        <f>IFERROR(INDEX(Cluster_Master!$H$4:$H$18,MATCH($F761,Cluster_Master!$B$4:$B$18,0)),"")</f>
        <v/>
      </c>
      <c r="AI761" t="str">
        <f t="shared" si="89"/>
        <v/>
      </c>
      <c r="AJ761" t="str">
        <f t="shared" si="90"/>
        <v/>
      </c>
      <c r="AK761" t="str">
        <f>IF(COUNTA(T761:AH761)=0,"",(SUM(T761*KPI_Weights!$B$4,U761*KPI_Weights!$B$5,V761*KPI_Weights!$B$6,W761*KPI_Weights!$B$7,X761*KPI_Weights!$B$8,Y761*KPI_Weights!$B$9,Z761*KPI_Weights!$B$10,AA761*KPI_Weights!$B$11,AB761*KPI_Weights!$B$12,AC761*KPI_Weights!$B$13,AD761*KPI_Weights!$B$14,AE761*KPI_Weights!$B$15,AF761*KPI_Weights!$B$16,AG761*KPI_Weights!$B$17,AH761*KPI_Weights!$B$18))/5)</f>
        <v/>
      </c>
      <c r="AL761" t="str">
        <f t="shared" si="91"/>
        <v/>
      </c>
      <c r="AM761" t="str">
        <f t="shared" si="92"/>
        <v/>
      </c>
      <c r="AN761" t="str">
        <f t="shared" si="93"/>
        <v/>
      </c>
    </row>
    <row r="762" spans="1:40" ht="15" customHeight="1" x14ac:dyDescent="0.2">
      <c r="A762" t="str">
        <f>IF($B762="","",TEXT($B762,"yyyymmdd")&amp;"-"&amp;SUBSTITUTE($F762," ","")&amp;"-"&amp;TEXT(COUNTIF($F$4:F762,$F762),"00"))</f>
        <v/>
      </c>
      <c r="C762" t="str">
        <f t="shared" si="87"/>
        <v/>
      </c>
      <c r="D762" t="str">
        <f t="shared" si="88"/>
        <v/>
      </c>
      <c r="G762" t="str">
        <f>IF(OR($E762="",$F762=""),"",IFERROR(IF($E762=INDEX(Cluster_Master!$A$4:$A$18,MATCH($F762,Cluster_Master!$B$4:$B$18,0)),"OK","CHECK"),"CHECK"))</f>
        <v/>
      </c>
      <c r="H762" t="str">
        <f>IFERROR(INDEX(Cluster_Master!$C$4:$C$18,MATCH($F762,Cluster_Master!$B$4:$B$18,0)),"")</f>
        <v/>
      </c>
      <c r="I762" t="str">
        <f>IFERROR(INDEX(Cluster_Master!$D$4:$D$18,MATCH($F762,Cluster_Master!$B$4:$B$18,0)),"")</f>
        <v/>
      </c>
      <c r="J762" t="str">
        <f>IFERROR(INDEX(Cluster_Master!$E$4:$E$18,MATCH($F762,Cluster_Master!$B$4:$B$18,0)),"")</f>
        <v/>
      </c>
      <c r="K762" t="str">
        <f>IFERROR(INDEX(Cluster_Master!$F$4:$F$18,MATCH($F762,Cluster_Master!$B$4:$B$18,0)),"")</f>
        <v/>
      </c>
      <c r="L762" t="str">
        <f>IFERROR(INDEX(Cluster_Master!$G$4:$G$18,MATCH($F762,Cluster_Master!$B$4:$B$18,0)),"")</f>
        <v/>
      </c>
      <c r="M762" t="str">
        <f>IFERROR(INDEX(Cluster_Master!$H$4:$H$18,MATCH($F762,Cluster_Master!$B$4:$B$18,0)),"")</f>
        <v/>
      </c>
      <c r="AI762" t="str">
        <f t="shared" si="89"/>
        <v/>
      </c>
      <c r="AJ762" t="str">
        <f t="shared" si="90"/>
        <v/>
      </c>
      <c r="AK762" t="str">
        <f>IF(COUNTA(T762:AH762)=0,"",(SUM(T762*KPI_Weights!$B$4,U762*KPI_Weights!$B$5,V762*KPI_Weights!$B$6,W762*KPI_Weights!$B$7,X762*KPI_Weights!$B$8,Y762*KPI_Weights!$B$9,Z762*KPI_Weights!$B$10,AA762*KPI_Weights!$B$11,AB762*KPI_Weights!$B$12,AC762*KPI_Weights!$B$13,AD762*KPI_Weights!$B$14,AE762*KPI_Weights!$B$15,AF762*KPI_Weights!$B$16,AG762*KPI_Weights!$B$17,AH762*KPI_Weights!$B$18))/5)</f>
        <v/>
      </c>
      <c r="AL762" t="str">
        <f t="shared" si="91"/>
        <v/>
      </c>
      <c r="AM762" t="str">
        <f t="shared" si="92"/>
        <v/>
      </c>
      <c r="AN762" t="str">
        <f t="shared" si="93"/>
        <v/>
      </c>
    </row>
    <row r="763" spans="1:40" ht="15" customHeight="1" x14ac:dyDescent="0.2">
      <c r="A763" t="str">
        <f>IF($B763="","",TEXT($B763,"yyyymmdd")&amp;"-"&amp;SUBSTITUTE($F763," ","")&amp;"-"&amp;TEXT(COUNTIF($F$4:F763,$F763),"00"))</f>
        <v/>
      </c>
      <c r="C763" t="str">
        <f t="shared" si="87"/>
        <v/>
      </c>
      <c r="D763" t="str">
        <f t="shared" si="88"/>
        <v/>
      </c>
      <c r="G763" t="str">
        <f>IF(OR($E763="",$F763=""),"",IFERROR(IF($E763=INDEX(Cluster_Master!$A$4:$A$18,MATCH($F763,Cluster_Master!$B$4:$B$18,0)),"OK","CHECK"),"CHECK"))</f>
        <v/>
      </c>
      <c r="H763" t="str">
        <f>IFERROR(INDEX(Cluster_Master!$C$4:$C$18,MATCH($F763,Cluster_Master!$B$4:$B$18,0)),"")</f>
        <v/>
      </c>
      <c r="I763" t="str">
        <f>IFERROR(INDEX(Cluster_Master!$D$4:$D$18,MATCH($F763,Cluster_Master!$B$4:$B$18,0)),"")</f>
        <v/>
      </c>
      <c r="J763" t="str">
        <f>IFERROR(INDEX(Cluster_Master!$E$4:$E$18,MATCH($F763,Cluster_Master!$B$4:$B$18,0)),"")</f>
        <v/>
      </c>
      <c r="K763" t="str">
        <f>IFERROR(INDEX(Cluster_Master!$F$4:$F$18,MATCH($F763,Cluster_Master!$B$4:$B$18,0)),"")</f>
        <v/>
      </c>
      <c r="L763" t="str">
        <f>IFERROR(INDEX(Cluster_Master!$G$4:$G$18,MATCH($F763,Cluster_Master!$B$4:$B$18,0)),"")</f>
        <v/>
      </c>
      <c r="M763" t="str">
        <f>IFERROR(INDEX(Cluster_Master!$H$4:$H$18,MATCH($F763,Cluster_Master!$B$4:$B$18,0)),"")</f>
        <v/>
      </c>
      <c r="AI763" t="str">
        <f t="shared" si="89"/>
        <v/>
      </c>
      <c r="AJ763" t="str">
        <f t="shared" si="90"/>
        <v/>
      </c>
      <c r="AK763" t="str">
        <f>IF(COUNTA(T763:AH763)=0,"",(SUM(T763*KPI_Weights!$B$4,U763*KPI_Weights!$B$5,V763*KPI_Weights!$B$6,W763*KPI_Weights!$B$7,X763*KPI_Weights!$B$8,Y763*KPI_Weights!$B$9,Z763*KPI_Weights!$B$10,AA763*KPI_Weights!$B$11,AB763*KPI_Weights!$B$12,AC763*KPI_Weights!$B$13,AD763*KPI_Weights!$B$14,AE763*KPI_Weights!$B$15,AF763*KPI_Weights!$B$16,AG763*KPI_Weights!$B$17,AH763*KPI_Weights!$B$18))/5)</f>
        <v/>
      </c>
      <c r="AL763" t="str">
        <f t="shared" si="91"/>
        <v/>
      </c>
      <c r="AM763" t="str">
        <f t="shared" si="92"/>
        <v/>
      </c>
      <c r="AN763" t="str">
        <f t="shared" si="93"/>
        <v/>
      </c>
    </row>
    <row r="764" spans="1:40" ht="15" customHeight="1" x14ac:dyDescent="0.2">
      <c r="A764" t="str">
        <f>IF($B764="","",TEXT($B764,"yyyymmdd")&amp;"-"&amp;SUBSTITUTE($F764," ","")&amp;"-"&amp;TEXT(COUNTIF($F$4:F764,$F764),"00"))</f>
        <v/>
      </c>
      <c r="C764" t="str">
        <f t="shared" si="87"/>
        <v/>
      </c>
      <c r="D764" t="str">
        <f t="shared" si="88"/>
        <v/>
      </c>
      <c r="G764" t="str">
        <f>IF(OR($E764="",$F764=""),"",IFERROR(IF($E764=INDEX(Cluster_Master!$A$4:$A$18,MATCH($F764,Cluster_Master!$B$4:$B$18,0)),"OK","CHECK"),"CHECK"))</f>
        <v/>
      </c>
      <c r="H764" t="str">
        <f>IFERROR(INDEX(Cluster_Master!$C$4:$C$18,MATCH($F764,Cluster_Master!$B$4:$B$18,0)),"")</f>
        <v/>
      </c>
      <c r="I764" t="str">
        <f>IFERROR(INDEX(Cluster_Master!$D$4:$D$18,MATCH($F764,Cluster_Master!$B$4:$B$18,0)),"")</f>
        <v/>
      </c>
      <c r="J764" t="str">
        <f>IFERROR(INDEX(Cluster_Master!$E$4:$E$18,MATCH($F764,Cluster_Master!$B$4:$B$18,0)),"")</f>
        <v/>
      </c>
      <c r="K764" t="str">
        <f>IFERROR(INDEX(Cluster_Master!$F$4:$F$18,MATCH($F764,Cluster_Master!$B$4:$B$18,0)),"")</f>
        <v/>
      </c>
      <c r="L764" t="str">
        <f>IFERROR(INDEX(Cluster_Master!$G$4:$G$18,MATCH($F764,Cluster_Master!$B$4:$B$18,0)),"")</f>
        <v/>
      </c>
      <c r="M764" t="str">
        <f>IFERROR(INDEX(Cluster_Master!$H$4:$H$18,MATCH($F764,Cluster_Master!$B$4:$B$18,0)),"")</f>
        <v/>
      </c>
      <c r="AI764" t="str">
        <f t="shared" si="89"/>
        <v/>
      </c>
      <c r="AJ764" t="str">
        <f t="shared" si="90"/>
        <v/>
      </c>
      <c r="AK764" t="str">
        <f>IF(COUNTA(T764:AH764)=0,"",(SUM(T764*KPI_Weights!$B$4,U764*KPI_Weights!$B$5,V764*KPI_Weights!$B$6,W764*KPI_Weights!$B$7,X764*KPI_Weights!$B$8,Y764*KPI_Weights!$B$9,Z764*KPI_Weights!$B$10,AA764*KPI_Weights!$B$11,AB764*KPI_Weights!$B$12,AC764*KPI_Weights!$B$13,AD764*KPI_Weights!$B$14,AE764*KPI_Weights!$B$15,AF764*KPI_Weights!$B$16,AG764*KPI_Weights!$B$17,AH764*KPI_Weights!$B$18))/5)</f>
        <v/>
      </c>
      <c r="AL764" t="str">
        <f t="shared" si="91"/>
        <v/>
      </c>
      <c r="AM764" t="str">
        <f t="shared" si="92"/>
        <v/>
      </c>
      <c r="AN764" t="str">
        <f t="shared" si="93"/>
        <v/>
      </c>
    </row>
    <row r="765" spans="1:40" ht="15" customHeight="1" x14ac:dyDescent="0.2">
      <c r="A765" t="str">
        <f>IF($B765="","",TEXT($B765,"yyyymmdd")&amp;"-"&amp;SUBSTITUTE($F765," ","")&amp;"-"&amp;TEXT(COUNTIF($F$4:F765,$F765),"00"))</f>
        <v/>
      </c>
      <c r="C765" t="str">
        <f t="shared" si="87"/>
        <v/>
      </c>
      <c r="D765" t="str">
        <f t="shared" si="88"/>
        <v/>
      </c>
      <c r="G765" t="str">
        <f>IF(OR($E765="",$F765=""),"",IFERROR(IF($E765=INDEX(Cluster_Master!$A$4:$A$18,MATCH($F765,Cluster_Master!$B$4:$B$18,0)),"OK","CHECK"),"CHECK"))</f>
        <v/>
      </c>
      <c r="H765" t="str">
        <f>IFERROR(INDEX(Cluster_Master!$C$4:$C$18,MATCH($F765,Cluster_Master!$B$4:$B$18,0)),"")</f>
        <v/>
      </c>
      <c r="I765" t="str">
        <f>IFERROR(INDEX(Cluster_Master!$D$4:$D$18,MATCH($F765,Cluster_Master!$B$4:$B$18,0)),"")</f>
        <v/>
      </c>
      <c r="J765" t="str">
        <f>IFERROR(INDEX(Cluster_Master!$E$4:$E$18,MATCH($F765,Cluster_Master!$B$4:$B$18,0)),"")</f>
        <v/>
      </c>
      <c r="K765" t="str">
        <f>IFERROR(INDEX(Cluster_Master!$F$4:$F$18,MATCH($F765,Cluster_Master!$B$4:$B$18,0)),"")</f>
        <v/>
      </c>
      <c r="L765" t="str">
        <f>IFERROR(INDEX(Cluster_Master!$G$4:$G$18,MATCH($F765,Cluster_Master!$B$4:$B$18,0)),"")</f>
        <v/>
      </c>
      <c r="M765" t="str">
        <f>IFERROR(INDEX(Cluster_Master!$H$4:$H$18,MATCH($F765,Cluster_Master!$B$4:$B$18,0)),"")</f>
        <v/>
      </c>
      <c r="AI765" t="str">
        <f t="shared" si="89"/>
        <v/>
      </c>
      <c r="AJ765" t="str">
        <f t="shared" si="90"/>
        <v/>
      </c>
      <c r="AK765" t="str">
        <f>IF(COUNTA(T765:AH765)=0,"",(SUM(T765*KPI_Weights!$B$4,U765*KPI_Weights!$B$5,V765*KPI_Weights!$B$6,W765*KPI_Weights!$B$7,X765*KPI_Weights!$B$8,Y765*KPI_Weights!$B$9,Z765*KPI_Weights!$B$10,AA765*KPI_Weights!$B$11,AB765*KPI_Weights!$B$12,AC765*KPI_Weights!$B$13,AD765*KPI_Weights!$B$14,AE765*KPI_Weights!$B$15,AF765*KPI_Weights!$B$16,AG765*KPI_Weights!$B$17,AH765*KPI_Weights!$B$18))/5)</f>
        <v/>
      </c>
      <c r="AL765" t="str">
        <f t="shared" si="91"/>
        <v/>
      </c>
      <c r="AM765" t="str">
        <f t="shared" si="92"/>
        <v/>
      </c>
      <c r="AN765" t="str">
        <f t="shared" si="93"/>
        <v/>
      </c>
    </row>
    <row r="766" spans="1:40" ht="15" customHeight="1" x14ac:dyDescent="0.2">
      <c r="A766" t="str">
        <f>IF($B766="","",TEXT($B766,"yyyymmdd")&amp;"-"&amp;SUBSTITUTE($F766," ","")&amp;"-"&amp;TEXT(COUNTIF($F$4:F766,$F766),"00"))</f>
        <v/>
      </c>
      <c r="C766" t="str">
        <f t="shared" si="87"/>
        <v/>
      </c>
      <c r="D766" t="str">
        <f t="shared" si="88"/>
        <v/>
      </c>
      <c r="G766" t="str">
        <f>IF(OR($E766="",$F766=""),"",IFERROR(IF($E766=INDEX(Cluster_Master!$A$4:$A$18,MATCH($F766,Cluster_Master!$B$4:$B$18,0)),"OK","CHECK"),"CHECK"))</f>
        <v/>
      </c>
      <c r="H766" t="str">
        <f>IFERROR(INDEX(Cluster_Master!$C$4:$C$18,MATCH($F766,Cluster_Master!$B$4:$B$18,0)),"")</f>
        <v/>
      </c>
      <c r="I766" t="str">
        <f>IFERROR(INDEX(Cluster_Master!$D$4:$D$18,MATCH($F766,Cluster_Master!$B$4:$B$18,0)),"")</f>
        <v/>
      </c>
      <c r="J766" t="str">
        <f>IFERROR(INDEX(Cluster_Master!$E$4:$E$18,MATCH($F766,Cluster_Master!$B$4:$B$18,0)),"")</f>
        <v/>
      </c>
      <c r="K766" t="str">
        <f>IFERROR(INDEX(Cluster_Master!$F$4:$F$18,MATCH($F766,Cluster_Master!$B$4:$B$18,0)),"")</f>
        <v/>
      </c>
      <c r="L766" t="str">
        <f>IFERROR(INDEX(Cluster_Master!$G$4:$G$18,MATCH($F766,Cluster_Master!$B$4:$B$18,0)),"")</f>
        <v/>
      </c>
      <c r="M766" t="str">
        <f>IFERROR(INDEX(Cluster_Master!$H$4:$H$18,MATCH($F766,Cluster_Master!$B$4:$B$18,0)),"")</f>
        <v/>
      </c>
      <c r="AI766" t="str">
        <f t="shared" si="89"/>
        <v/>
      </c>
      <c r="AJ766" t="str">
        <f t="shared" si="90"/>
        <v/>
      </c>
      <c r="AK766" t="str">
        <f>IF(COUNTA(T766:AH766)=0,"",(SUM(T766*KPI_Weights!$B$4,U766*KPI_Weights!$B$5,V766*KPI_Weights!$B$6,W766*KPI_Weights!$B$7,X766*KPI_Weights!$B$8,Y766*KPI_Weights!$B$9,Z766*KPI_Weights!$B$10,AA766*KPI_Weights!$B$11,AB766*KPI_Weights!$B$12,AC766*KPI_Weights!$B$13,AD766*KPI_Weights!$B$14,AE766*KPI_Weights!$B$15,AF766*KPI_Weights!$B$16,AG766*KPI_Weights!$B$17,AH766*KPI_Weights!$B$18))/5)</f>
        <v/>
      </c>
      <c r="AL766" t="str">
        <f t="shared" si="91"/>
        <v/>
      </c>
      <c r="AM766" t="str">
        <f t="shared" si="92"/>
        <v/>
      </c>
      <c r="AN766" t="str">
        <f t="shared" si="93"/>
        <v/>
      </c>
    </row>
    <row r="767" spans="1:40" ht="15" customHeight="1" x14ac:dyDescent="0.2">
      <c r="A767" t="str">
        <f>IF($B767="","",TEXT($B767,"yyyymmdd")&amp;"-"&amp;SUBSTITUTE($F767," ","")&amp;"-"&amp;TEXT(COUNTIF($F$4:F767,$F767),"00"))</f>
        <v/>
      </c>
      <c r="C767" t="str">
        <f t="shared" si="87"/>
        <v/>
      </c>
      <c r="D767" t="str">
        <f t="shared" si="88"/>
        <v/>
      </c>
      <c r="G767" t="str">
        <f>IF(OR($E767="",$F767=""),"",IFERROR(IF($E767=INDEX(Cluster_Master!$A$4:$A$18,MATCH($F767,Cluster_Master!$B$4:$B$18,0)),"OK","CHECK"),"CHECK"))</f>
        <v/>
      </c>
      <c r="H767" t="str">
        <f>IFERROR(INDEX(Cluster_Master!$C$4:$C$18,MATCH($F767,Cluster_Master!$B$4:$B$18,0)),"")</f>
        <v/>
      </c>
      <c r="I767" t="str">
        <f>IFERROR(INDEX(Cluster_Master!$D$4:$D$18,MATCH($F767,Cluster_Master!$B$4:$B$18,0)),"")</f>
        <v/>
      </c>
      <c r="J767" t="str">
        <f>IFERROR(INDEX(Cluster_Master!$E$4:$E$18,MATCH($F767,Cluster_Master!$B$4:$B$18,0)),"")</f>
        <v/>
      </c>
      <c r="K767" t="str">
        <f>IFERROR(INDEX(Cluster_Master!$F$4:$F$18,MATCH($F767,Cluster_Master!$B$4:$B$18,0)),"")</f>
        <v/>
      </c>
      <c r="L767" t="str">
        <f>IFERROR(INDEX(Cluster_Master!$G$4:$G$18,MATCH($F767,Cluster_Master!$B$4:$B$18,0)),"")</f>
        <v/>
      </c>
      <c r="M767" t="str">
        <f>IFERROR(INDEX(Cluster_Master!$H$4:$H$18,MATCH($F767,Cluster_Master!$B$4:$B$18,0)),"")</f>
        <v/>
      </c>
      <c r="AI767" t="str">
        <f t="shared" si="89"/>
        <v/>
      </c>
      <c r="AJ767" t="str">
        <f t="shared" si="90"/>
        <v/>
      </c>
      <c r="AK767" t="str">
        <f>IF(COUNTA(T767:AH767)=0,"",(SUM(T767*KPI_Weights!$B$4,U767*KPI_Weights!$B$5,V767*KPI_Weights!$B$6,W767*KPI_Weights!$B$7,X767*KPI_Weights!$B$8,Y767*KPI_Weights!$B$9,Z767*KPI_Weights!$B$10,AA767*KPI_Weights!$B$11,AB767*KPI_Weights!$B$12,AC767*KPI_Weights!$B$13,AD767*KPI_Weights!$B$14,AE767*KPI_Weights!$B$15,AF767*KPI_Weights!$B$16,AG767*KPI_Weights!$B$17,AH767*KPI_Weights!$B$18))/5)</f>
        <v/>
      </c>
      <c r="AL767" t="str">
        <f t="shared" si="91"/>
        <v/>
      </c>
      <c r="AM767" t="str">
        <f t="shared" si="92"/>
        <v/>
      </c>
      <c r="AN767" t="str">
        <f t="shared" si="93"/>
        <v/>
      </c>
    </row>
    <row r="768" spans="1:40" ht="15" customHeight="1" x14ac:dyDescent="0.2">
      <c r="A768" t="str">
        <f>IF($B768="","",TEXT($B768,"yyyymmdd")&amp;"-"&amp;SUBSTITUTE($F768," ","")&amp;"-"&amp;TEXT(COUNTIF($F$4:F768,$F768),"00"))</f>
        <v/>
      </c>
      <c r="C768" t="str">
        <f t="shared" ref="C768:C831" si="94">IF($B768="","",WEEKNUM($B768,2))</f>
        <v/>
      </c>
      <c r="D768" t="str">
        <f t="shared" ref="D768:D831" si="95">IF($B768="","",TEXT($B768,"yyyy-mm"))</f>
        <v/>
      </c>
      <c r="G768" t="str">
        <f>IF(OR($E768="",$F768=""),"",IFERROR(IF($E768=INDEX(Cluster_Master!$A$4:$A$18,MATCH($F768,Cluster_Master!$B$4:$B$18,0)),"OK","CHECK"),"CHECK"))</f>
        <v/>
      </c>
      <c r="H768" t="str">
        <f>IFERROR(INDEX(Cluster_Master!$C$4:$C$18,MATCH($F768,Cluster_Master!$B$4:$B$18,0)),"")</f>
        <v/>
      </c>
      <c r="I768" t="str">
        <f>IFERROR(INDEX(Cluster_Master!$D$4:$D$18,MATCH($F768,Cluster_Master!$B$4:$B$18,0)),"")</f>
        <v/>
      </c>
      <c r="J768" t="str">
        <f>IFERROR(INDEX(Cluster_Master!$E$4:$E$18,MATCH($F768,Cluster_Master!$B$4:$B$18,0)),"")</f>
        <v/>
      </c>
      <c r="K768" t="str">
        <f>IFERROR(INDEX(Cluster_Master!$F$4:$F$18,MATCH($F768,Cluster_Master!$B$4:$B$18,0)),"")</f>
        <v/>
      </c>
      <c r="L768" t="str">
        <f>IFERROR(INDEX(Cluster_Master!$G$4:$G$18,MATCH($F768,Cluster_Master!$B$4:$B$18,0)),"")</f>
        <v/>
      </c>
      <c r="M768" t="str">
        <f>IFERROR(INDEX(Cluster_Master!$H$4:$H$18,MATCH($F768,Cluster_Master!$B$4:$B$18,0)),"")</f>
        <v/>
      </c>
      <c r="AI768" t="str">
        <f t="shared" ref="AI768:AI831" si="96">IF(COUNTA(T768:AH768)=0,"",SUM(T768:AH768))</f>
        <v/>
      </c>
      <c r="AJ768" t="str">
        <f t="shared" ref="AJ768:AJ831" si="97">IF(COUNTA(T768:AH768)=0,"",AI768/75)</f>
        <v/>
      </c>
      <c r="AK768" t="str">
        <f>IF(COUNTA(T768:AH768)=0,"",(SUM(T768*KPI_Weights!$B$4,U768*KPI_Weights!$B$5,V768*KPI_Weights!$B$6,W768*KPI_Weights!$B$7,X768*KPI_Weights!$B$8,Y768*KPI_Weights!$B$9,Z768*KPI_Weights!$B$10,AA768*KPI_Weights!$B$11,AB768*KPI_Weights!$B$12,AC768*KPI_Weights!$B$13,AD768*KPI_Weights!$B$14,AE768*KPI_Weights!$B$15,AF768*KPI_Weights!$B$16,AG768*KPI_Weights!$B$17,AH768*KPI_Weights!$B$18))/5)</f>
        <v/>
      </c>
      <c r="AL768" t="str">
        <f t="shared" ref="AL768:AL831" si="98">IF(COUNTA(T768:AH768)=0,"",IF(OR(T768&lt;=1,W768&lt;=1,X768&lt;=1,Y768&lt;=1,AB768&lt;=1),"YES","NO"))</f>
        <v/>
      </c>
      <c r="AM768" t="str">
        <f t="shared" ref="AM768:AM831" si="99">IF(AJ768="","",IF(AND(AL768="NO",AJ768&gt;=0.75),"YES","NO"))</f>
        <v/>
      </c>
      <c r="AN768" t="str">
        <f t="shared" ref="AN768:AN831" si="100">IF(AJ768="","",IF(AJ768&lt;0.4,"Critical",IF(AJ768&lt;0.6,"Poor",IF(AJ768&lt;0.75,"Needs Improvement",IF(AJ768&lt;0.9,"Good","Excellent")))))</f>
        <v/>
      </c>
    </row>
    <row r="769" spans="1:40" ht="15" customHeight="1" x14ac:dyDescent="0.2">
      <c r="A769" t="str">
        <f>IF($B769="","",TEXT($B769,"yyyymmdd")&amp;"-"&amp;SUBSTITUTE($F769," ","")&amp;"-"&amp;TEXT(COUNTIF($F$4:F769,$F769),"00"))</f>
        <v/>
      </c>
      <c r="C769" t="str">
        <f t="shared" si="94"/>
        <v/>
      </c>
      <c r="D769" t="str">
        <f t="shared" si="95"/>
        <v/>
      </c>
      <c r="G769" t="str">
        <f>IF(OR($E769="",$F769=""),"",IFERROR(IF($E769=INDEX(Cluster_Master!$A$4:$A$18,MATCH($F769,Cluster_Master!$B$4:$B$18,0)),"OK","CHECK"),"CHECK"))</f>
        <v/>
      </c>
      <c r="H769" t="str">
        <f>IFERROR(INDEX(Cluster_Master!$C$4:$C$18,MATCH($F769,Cluster_Master!$B$4:$B$18,0)),"")</f>
        <v/>
      </c>
      <c r="I769" t="str">
        <f>IFERROR(INDEX(Cluster_Master!$D$4:$D$18,MATCH($F769,Cluster_Master!$B$4:$B$18,0)),"")</f>
        <v/>
      </c>
      <c r="J769" t="str">
        <f>IFERROR(INDEX(Cluster_Master!$E$4:$E$18,MATCH($F769,Cluster_Master!$B$4:$B$18,0)),"")</f>
        <v/>
      </c>
      <c r="K769" t="str">
        <f>IFERROR(INDEX(Cluster_Master!$F$4:$F$18,MATCH($F769,Cluster_Master!$B$4:$B$18,0)),"")</f>
        <v/>
      </c>
      <c r="L769" t="str">
        <f>IFERROR(INDEX(Cluster_Master!$G$4:$G$18,MATCH($F769,Cluster_Master!$B$4:$B$18,0)),"")</f>
        <v/>
      </c>
      <c r="M769" t="str">
        <f>IFERROR(INDEX(Cluster_Master!$H$4:$H$18,MATCH($F769,Cluster_Master!$B$4:$B$18,0)),"")</f>
        <v/>
      </c>
      <c r="AI769" t="str">
        <f t="shared" si="96"/>
        <v/>
      </c>
      <c r="AJ769" t="str">
        <f t="shared" si="97"/>
        <v/>
      </c>
      <c r="AK769" t="str">
        <f>IF(COUNTA(T769:AH769)=0,"",(SUM(T769*KPI_Weights!$B$4,U769*KPI_Weights!$B$5,V769*KPI_Weights!$B$6,W769*KPI_Weights!$B$7,X769*KPI_Weights!$B$8,Y769*KPI_Weights!$B$9,Z769*KPI_Weights!$B$10,AA769*KPI_Weights!$B$11,AB769*KPI_Weights!$B$12,AC769*KPI_Weights!$B$13,AD769*KPI_Weights!$B$14,AE769*KPI_Weights!$B$15,AF769*KPI_Weights!$B$16,AG769*KPI_Weights!$B$17,AH769*KPI_Weights!$B$18))/5)</f>
        <v/>
      </c>
      <c r="AL769" t="str">
        <f t="shared" si="98"/>
        <v/>
      </c>
      <c r="AM769" t="str">
        <f t="shared" si="99"/>
        <v/>
      </c>
      <c r="AN769" t="str">
        <f t="shared" si="100"/>
        <v/>
      </c>
    </row>
    <row r="770" spans="1:40" ht="15" customHeight="1" x14ac:dyDescent="0.2">
      <c r="A770" t="str">
        <f>IF($B770="","",TEXT($B770,"yyyymmdd")&amp;"-"&amp;SUBSTITUTE($F770," ","")&amp;"-"&amp;TEXT(COUNTIF($F$4:F770,$F770),"00"))</f>
        <v/>
      </c>
      <c r="C770" t="str">
        <f t="shared" si="94"/>
        <v/>
      </c>
      <c r="D770" t="str">
        <f t="shared" si="95"/>
        <v/>
      </c>
      <c r="G770" t="str">
        <f>IF(OR($E770="",$F770=""),"",IFERROR(IF($E770=INDEX(Cluster_Master!$A$4:$A$18,MATCH($F770,Cluster_Master!$B$4:$B$18,0)),"OK","CHECK"),"CHECK"))</f>
        <v/>
      </c>
      <c r="H770" t="str">
        <f>IFERROR(INDEX(Cluster_Master!$C$4:$C$18,MATCH($F770,Cluster_Master!$B$4:$B$18,0)),"")</f>
        <v/>
      </c>
      <c r="I770" t="str">
        <f>IFERROR(INDEX(Cluster_Master!$D$4:$D$18,MATCH($F770,Cluster_Master!$B$4:$B$18,0)),"")</f>
        <v/>
      </c>
      <c r="J770" t="str">
        <f>IFERROR(INDEX(Cluster_Master!$E$4:$E$18,MATCH($F770,Cluster_Master!$B$4:$B$18,0)),"")</f>
        <v/>
      </c>
      <c r="K770" t="str">
        <f>IFERROR(INDEX(Cluster_Master!$F$4:$F$18,MATCH($F770,Cluster_Master!$B$4:$B$18,0)),"")</f>
        <v/>
      </c>
      <c r="L770" t="str">
        <f>IFERROR(INDEX(Cluster_Master!$G$4:$G$18,MATCH($F770,Cluster_Master!$B$4:$B$18,0)),"")</f>
        <v/>
      </c>
      <c r="M770" t="str">
        <f>IFERROR(INDEX(Cluster_Master!$H$4:$H$18,MATCH($F770,Cluster_Master!$B$4:$B$18,0)),"")</f>
        <v/>
      </c>
      <c r="AI770" t="str">
        <f t="shared" si="96"/>
        <v/>
      </c>
      <c r="AJ770" t="str">
        <f t="shared" si="97"/>
        <v/>
      </c>
      <c r="AK770" t="str">
        <f>IF(COUNTA(T770:AH770)=0,"",(SUM(T770*KPI_Weights!$B$4,U770*KPI_Weights!$B$5,V770*KPI_Weights!$B$6,W770*KPI_Weights!$B$7,X770*KPI_Weights!$B$8,Y770*KPI_Weights!$B$9,Z770*KPI_Weights!$B$10,AA770*KPI_Weights!$B$11,AB770*KPI_Weights!$B$12,AC770*KPI_Weights!$B$13,AD770*KPI_Weights!$B$14,AE770*KPI_Weights!$B$15,AF770*KPI_Weights!$B$16,AG770*KPI_Weights!$B$17,AH770*KPI_Weights!$B$18))/5)</f>
        <v/>
      </c>
      <c r="AL770" t="str">
        <f t="shared" si="98"/>
        <v/>
      </c>
      <c r="AM770" t="str">
        <f t="shared" si="99"/>
        <v/>
      </c>
      <c r="AN770" t="str">
        <f t="shared" si="100"/>
        <v/>
      </c>
    </row>
    <row r="771" spans="1:40" ht="15" customHeight="1" x14ac:dyDescent="0.2">
      <c r="A771" t="str">
        <f>IF($B771="","",TEXT($B771,"yyyymmdd")&amp;"-"&amp;SUBSTITUTE($F771," ","")&amp;"-"&amp;TEXT(COUNTIF($F$4:F771,$F771),"00"))</f>
        <v/>
      </c>
      <c r="C771" t="str">
        <f t="shared" si="94"/>
        <v/>
      </c>
      <c r="D771" t="str">
        <f t="shared" si="95"/>
        <v/>
      </c>
      <c r="G771" t="str">
        <f>IF(OR($E771="",$F771=""),"",IFERROR(IF($E771=INDEX(Cluster_Master!$A$4:$A$18,MATCH($F771,Cluster_Master!$B$4:$B$18,0)),"OK","CHECK"),"CHECK"))</f>
        <v/>
      </c>
      <c r="H771" t="str">
        <f>IFERROR(INDEX(Cluster_Master!$C$4:$C$18,MATCH($F771,Cluster_Master!$B$4:$B$18,0)),"")</f>
        <v/>
      </c>
      <c r="I771" t="str">
        <f>IFERROR(INDEX(Cluster_Master!$D$4:$D$18,MATCH($F771,Cluster_Master!$B$4:$B$18,0)),"")</f>
        <v/>
      </c>
      <c r="J771" t="str">
        <f>IFERROR(INDEX(Cluster_Master!$E$4:$E$18,MATCH($F771,Cluster_Master!$B$4:$B$18,0)),"")</f>
        <v/>
      </c>
      <c r="K771" t="str">
        <f>IFERROR(INDEX(Cluster_Master!$F$4:$F$18,MATCH($F771,Cluster_Master!$B$4:$B$18,0)),"")</f>
        <v/>
      </c>
      <c r="L771" t="str">
        <f>IFERROR(INDEX(Cluster_Master!$G$4:$G$18,MATCH($F771,Cluster_Master!$B$4:$B$18,0)),"")</f>
        <v/>
      </c>
      <c r="M771" t="str">
        <f>IFERROR(INDEX(Cluster_Master!$H$4:$H$18,MATCH($F771,Cluster_Master!$B$4:$B$18,0)),"")</f>
        <v/>
      </c>
      <c r="AI771" t="str">
        <f t="shared" si="96"/>
        <v/>
      </c>
      <c r="AJ771" t="str">
        <f t="shared" si="97"/>
        <v/>
      </c>
      <c r="AK771" t="str">
        <f>IF(COUNTA(T771:AH771)=0,"",(SUM(T771*KPI_Weights!$B$4,U771*KPI_Weights!$B$5,V771*KPI_Weights!$B$6,W771*KPI_Weights!$B$7,X771*KPI_Weights!$B$8,Y771*KPI_Weights!$B$9,Z771*KPI_Weights!$B$10,AA771*KPI_Weights!$B$11,AB771*KPI_Weights!$B$12,AC771*KPI_Weights!$B$13,AD771*KPI_Weights!$B$14,AE771*KPI_Weights!$B$15,AF771*KPI_Weights!$B$16,AG771*KPI_Weights!$B$17,AH771*KPI_Weights!$B$18))/5)</f>
        <v/>
      </c>
      <c r="AL771" t="str">
        <f t="shared" si="98"/>
        <v/>
      </c>
      <c r="AM771" t="str">
        <f t="shared" si="99"/>
        <v/>
      </c>
      <c r="AN771" t="str">
        <f t="shared" si="100"/>
        <v/>
      </c>
    </row>
    <row r="772" spans="1:40" ht="15" customHeight="1" x14ac:dyDescent="0.2">
      <c r="A772" t="str">
        <f>IF($B772="","",TEXT($B772,"yyyymmdd")&amp;"-"&amp;SUBSTITUTE($F772," ","")&amp;"-"&amp;TEXT(COUNTIF($F$4:F772,$F772),"00"))</f>
        <v/>
      </c>
      <c r="C772" t="str">
        <f t="shared" si="94"/>
        <v/>
      </c>
      <c r="D772" t="str">
        <f t="shared" si="95"/>
        <v/>
      </c>
      <c r="G772" t="str">
        <f>IF(OR($E772="",$F772=""),"",IFERROR(IF($E772=INDEX(Cluster_Master!$A$4:$A$18,MATCH($F772,Cluster_Master!$B$4:$B$18,0)),"OK","CHECK"),"CHECK"))</f>
        <v/>
      </c>
      <c r="H772" t="str">
        <f>IFERROR(INDEX(Cluster_Master!$C$4:$C$18,MATCH($F772,Cluster_Master!$B$4:$B$18,0)),"")</f>
        <v/>
      </c>
      <c r="I772" t="str">
        <f>IFERROR(INDEX(Cluster_Master!$D$4:$D$18,MATCH($F772,Cluster_Master!$B$4:$B$18,0)),"")</f>
        <v/>
      </c>
      <c r="J772" t="str">
        <f>IFERROR(INDEX(Cluster_Master!$E$4:$E$18,MATCH($F772,Cluster_Master!$B$4:$B$18,0)),"")</f>
        <v/>
      </c>
      <c r="K772" t="str">
        <f>IFERROR(INDEX(Cluster_Master!$F$4:$F$18,MATCH($F772,Cluster_Master!$B$4:$B$18,0)),"")</f>
        <v/>
      </c>
      <c r="L772" t="str">
        <f>IFERROR(INDEX(Cluster_Master!$G$4:$G$18,MATCH($F772,Cluster_Master!$B$4:$B$18,0)),"")</f>
        <v/>
      </c>
      <c r="M772" t="str">
        <f>IFERROR(INDEX(Cluster_Master!$H$4:$H$18,MATCH($F772,Cluster_Master!$B$4:$B$18,0)),"")</f>
        <v/>
      </c>
      <c r="AI772" t="str">
        <f t="shared" si="96"/>
        <v/>
      </c>
      <c r="AJ772" t="str">
        <f t="shared" si="97"/>
        <v/>
      </c>
      <c r="AK772" t="str">
        <f>IF(COUNTA(T772:AH772)=0,"",(SUM(T772*KPI_Weights!$B$4,U772*KPI_Weights!$B$5,V772*KPI_Weights!$B$6,W772*KPI_Weights!$B$7,X772*KPI_Weights!$B$8,Y772*KPI_Weights!$B$9,Z772*KPI_Weights!$B$10,AA772*KPI_Weights!$B$11,AB772*KPI_Weights!$B$12,AC772*KPI_Weights!$B$13,AD772*KPI_Weights!$B$14,AE772*KPI_Weights!$B$15,AF772*KPI_Weights!$B$16,AG772*KPI_Weights!$B$17,AH772*KPI_Weights!$B$18))/5)</f>
        <v/>
      </c>
      <c r="AL772" t="str">
        <f t="shared" si="98"/>
        <v/>
      </c>
      <c r="AM772" t="str">
        <f t="shared" si="99"/>
        <v/>
      </c>
      <c r="AN772" t="str">
        <f t="shared" si="100"/>
        <v/>
      </c>
    </row>
    <row r="773" spans="1:40" ht="15" customHeight="1" x14ac:dyDescent="0.2">
      <c r="A773" t="str">
        <f>IF($B773="","",TEXT($B773,"yyyymmdd")&amp;"-"&amp;SUBSTITUTE($F773," ","")&amp;"-"&amp;TEXT(COUNTIF($F$4:F773,$F773),"00"))</f>
        <v/>
      </c>
      <c r="C773" t="str">
        <f t="shared" si="94"/>
        <v/>
      </c>
      <c r="D773" t="str">
        <f t="shared" si="95"/>
        <v/>
      </c>
      <c r="G773" t="str">
        <f>IF(OR($E773="",$F773=""),"",IFERROR(IF($E773=INDEX(Cluster_Master!$A$4:$A$18,MATCH($F773,Cluster_Master!$B$4:$B$18,0)),"OK","CHECK"),"CHECK"))</f>
        <v/>
      </c>
      <c r="H773" t="str">
        <f>IFERROR(INDEX(Cluster_Master!$C$4:$C$18,MATCH($F773,Cluster_Master!$B$4:$B$18,0)),"")</f>
        <v/>
      </c>
      <c r="I773" t="str">
        <f>IFERROR(INDEX(Cluster_Master!$D$4:$D$18,MATCH($F773,Cluster_Master!$B$4:$B$18,0)),"")</f>
        <v/>
      </c>
      <c r="J773" t="str">
        <f>IFERROR(INDEX(Cluster_Master!$E$4:$E$18,MATCH($F773,Cluster_Master!$B$4:$B$18,0)),"")</f>
        <v/>
      </c>
      <c r="K773" t="str">
        <f>IFERROR(INDEX(Cluster_Master!$F$4:$F$18,MATCH($F773,Cluster_Master!$B$4:$B$18,0)),"")</f>
        <v/>
      </c>
      <c r="L773" t="str">
        <f>IFERROR(INDEX(Cluster_Master!$G$4:$G$18,MATCH($F773,Cluster_Master!$B$4:$B$18,0)),"")</f>
        <v/>
      </c>
      <c r="M773" t="str">
        <f>IFERROR(INDEX(Cluster_Master!$H$4:$H$18,MATCH($F773,Cluster_Master!$B$4:$B$18,0)),"")</f>
        <v/>
      </c>
      <c r="AI773" t="str">
        <f t="shared" si="96"/>
        <v/>
      </c>
      <c r="AJ773" t="str">
        <f t="shared" si="97"/>
        <v/>
      </c>
      <c r="AK773" t="str">
        <f>IF(COUNTA(T773:AH773)=0,"",(SUM(T773*KPI_Weights!$B$4,U773*KPI_Weights!$B$5,V773*KPI_Weights!$B$6,W773*KPI_Weights!$B$7,X773*KPI_Weights!$B$8,Y773*KPI_Weights!$B$9,Z773*KPI_Weights!$B$10,AA773*KPI_Weights!$B$11,AB773*KPI_Weights!$B$12,AC773*KPI_Weights!$B$13,AD773*KPI_Weights!$B$14,AE773*KPI_Weights!$B$15,AF773*KPI_Weights!$B$16,AG773*KPI_Weights!$B$17,AH773*KPI_Weights!$B$18))/5)</f>
        <v/>
      </c>
      <c r="AL773" t="str">
        <f t="shared" si="98"/>
        <v/>
      </c>
      <c r="AM773" t="str">
        <f t="shared" si="99"/>
        <v/>
      </c>
      <c r="AN773" t="str">
        <f t="shared" si="100"/>
        <v/>
      </c>
    </row>
    <row r="774" spans="1:40" ht="15" customHeight="1" x14ac:dyDescent="0.2">
      <c r="A774" t="str">
        <f>IF($B774="","",TEXT($B774,"yyyymmdd")&amp;"-"&amp;SUBSTITUTE($F774," ","")&amp;"-"&amp;TEXT(COUNTIF($F$4:F774,$F774),"00"))</f>
        <v/>
      </c>
      <c r="C774" t="str">
        <f t="shared" si="94"/>
        <v/>
      </c>
      <c r="D774" t="str">
        <f t="shared" si="95"/>
        <v/>
      </c>
      <c r="G774" t="str">
        <f>IF(OR($E774="",$F774=""),"",IFERROR(IF($E774=INDEX(Cluster_Master!$A$4:$A$18,MATCH($F774,Cluster_Master!$B$4:$B$18,0)),"OK","CHECK"),"CHECK"))</f>
        <v/>
      </c>
      <c r="H774" t="str">
        <f>IFERROR(INDEX(Cluster_Master!$C$4:$C$18,MATCH($F774,Cluster_Master!$B$4:$B$18,0)),"")</f>
        <v/>
      </c>
      <c r="I774" t="str">
        <f>IFERROR(INDEX(Cluster_Master!$D$4:$D$18,MATCH($F774,Cluster_Master!$B$4:$B$18,0)),"")</f>
        <v/>
      </c>
      <c r="J774" t="str">
        <f>IFERROR(INDEX(Cluster_Master!$E$4:$E$18,MATCH($F774,Cluster_Master!$B$4:$B$18,0)),"")</f>
        <v/>
      </c>
      <c r="K774" t="str">
        <f>IFERROR(INDEX(Cluster_Master!$F$4:$F$18,MATCH($F774,Cluster_Master!$B$4:$B$18,0)),"")</f>
        <v/>
      </c>
      <c r="L774" t="str">
        <f>IFERROR(INDEX(Cluster_Master!$G$4:$G$18,MATCH($F774,Cluster_Master!$B$4:$B$18,0)),"")</f>
        <v/>
      </c>
      <c r="M774" t="str">
        <f>IFERROR(INDEX(Cluster_Master!$H$4:$H$18,MATCH($F774,Cluster_Master!$B$4:$B$18,0)),"")</f>
        <v/>
      </c>
      <c r="AI774" t="str">
        <f t="shared" si="96"/>
        <v/>
      </c>
      <c r="AJ774" t="str">
        <f t="shared" si="97"/>
        <v/>
      </c>
      <c r="AK774" t="str">
        <f>IF(COUNTA(T774:AH774)=0,"",(SUM(T774*KPI_Weights!$B$4,U774*KPI_Weights!$B$5,V774*KPI_Weights!$B$6,W774*KPI_Weights!$B$7,X774*KPI_Weights!$B$8,Y774*KPI_Weights!$B$9,Z774*KPI_Weights!$B$10,AA774*KPI_Weights!$B$11,AB774*KPI_Weights!$B$12,AC774*KPI_Weights!$B$13,AD774*KPI_Weights!$B$14,AE774*KPI_Weights!$B$15,AF774*KPI_Weights!$B$16,AG774*KPI_Weights!$B$17,AH774*KPI_Weights!$B$18))/5)</f>
        <v/>
      </c>
      <c r="AL774" t="str">
        <f t="shared" si="98"/>
        <v/>
      </c>
      <c r="AM774" t="str">
        <f t="shared" si="99"/>
        <v/>
      </c>
      <c r="AN774" t="str">
        <f t="shared" si="100"/>
        <v/>
      </c>
    </row>
    <row r="775" spans="1:40" ht="15" customHeight="1" x14ac:dyDescent="0.2">
      <c r="A775" t="str">
        <f>IF($B775="","",TEXT($B775,"yyyymmdd")&amp;"-"&amp;SUBSTITUTE($F775," ","")&amp;"-"&amp;TEXT(COUNTIF($F$4:F775,$F775),"00"))</f>
        <v/>
      </c>
      <c r="C775" t="str">
        <f t="shared" si="94"/>
        <v/>
      </c>
      <c r="D775" t="str">
        <f t="shared" si="95"/>
        <v/>
      </c>
      <c r="G775" t="str">
        <f>IF(OR($E775="",$F775=""),"",IFERROR(IF($E775=INDEX(Cluster_Master!$A$4:$A$18,MATCH($F775,Cluster_Master!$B$4:$B$18,0)),"OK","CHECK"),"CHECK"))</f>
        <v/>
      </c>
      <c r="H775" t="str">
        <f>IFERROR(INDEX(Cluster_Master!$C$4:$C$18,MATCH($F775,Cluster_Master!$B$4:$B$18,0)),"")</f>
        <v/>
      </c>
      <c r="I775" t="str">
        <f>IFERROR(INDEX(Cluster_Master!$D$4:$D$18,MATCH($F775,Cluster_Master!$B$4:$B$18,0)),"")</f>
        <v/>
      </c>
      <c r="J775" t="str">
        <f>IFERROR(INDEX(Cluster_Master!$E$4:$E$18,MATCH($F775,Cluster_Master!$B$4:$B$18,0)),"")</f>
        <v/>
      </c>
      <c r="K775" t="str">
        <f>IFERROR(INDEX(Cluster_Master!$F$4:$F$18,MATCH($F775,Cluster_Master!$B$4:$B$18,0)),"")</f>
        <v/>
      </c>
      <c r="L775" t="str">
        <f>IFERROR(INDEX(Cluster_Master!$G$4:$G$18,MATCH($F775,Cluster_Master!$B$4:$B$18,0)),"")</f>
        <v/>
      </c>
      <c r="M775" t="str">
        <f>IFERROR(INDEX(Cluster_Master!$H$4:$H$18,MATCH($F775,Cluster_Master!$B$4:$B$18,0)),"")</f>
        <v/>
      </c>
      <c r="AI775" t="str">
        <f t="shared" si="96"/>
        <v/>
      </c>
      <c r="AJ775" t="str">
        <f t="shared" si="97"/>
        <v/>
      </c>
      <c r="AK775" t="str">
        <f>IF(COUNTA(T775:AH775)=0,"",(SUM(T775*KPI_Weights!$B$4,U775*KPI_Weights!$B$5,V775*KPI_Weights!$B$6,W775*KPI_Weights!$B$7,X775*KPI_Weights!$B$8,Y775*KPI_Weights!$B$9,Z775*KPI_Weights!$B$10,AA775*KPI_Weights!$B$11,AB775*KPI_Weights!$B$12,AC775*KPI_Weights!$B$13,AD775*KPI_Weights!$B$14,AE775*KPI_Weights!$B$15,AF775*KPI_Weights!$B$16,AG775*KPI_Weights!$B$17,AH775*KPI_Weights!$B$18))/5)</f>
        <v/>
      </c>
      <c r="AL775" t="str">
        <f t="shared" si="98"/>
        <v/>
      </c>
      <c r="AM775" t="str">
        <f t="shared" si="99"/>
        <v/>
      </c>
      <c r="AN775" t="str">
        <f t="shared" si="100"/>
        <v/>
      </c>
    </row>
    <row r="776" spans="1:40" ht="15" customHeight="1" x14ac:dyDescent="0.2">
      <c r="A776" t="str">
        <f>IF($B776="","",TEXT($B776,"yyyymmdd")&amp;"-"&amp;SUBSTITUTE($F776," ","")&amp;"-"&amp;TEXT(COUNTIF($F$4:F776,$F776),"00"))</f>
        <v/>
      </c>
      <c r="C776" t="str">
        <f t="shared" si="94"/>
        <v/>
      </c>
      <c r="D776" t="str">
        <f t="shared" si="95"/>
        <v/>
      </c>
      <c r="G776" t="str">
        <f>IF(OR($E776="",$F776=""),"",IFERROR(IF($E776=INDEX(Cluster_Master!$A$4:$A$18,MATCH($F776,Cluster_Master!$B$4:$B$18,0)),"OK","CHECK"),"CHECK"))</f>
        <v/>
      </c>
      <c r="H776" t="str">
        <f>IFERROR(INDEX(Cluster_Master!$C$4:$C$18,MATCH($F776,Cluster_Master!$B$4:$B$18,0)),"")</f>
        <v/>
      </c>
      <c r="I776" t="str">
        <f>IFERROR(INDEX(Cluster_Master!$D$4:$D$18,MATCH($F776,Cluster_Master!$B$4:$B$18,0)),"")</f>
        <v/>
      </c>
      <c r="J776" t="str">
        <f>IFERROR(INDEX(Cluster_Master!$E$4:$E$18,MATCH($F776,Cluster_Master!$B$4:$B$18,0)),"")</f>
        <v/>
      </c>
      <c r="K776" t="str">
        <f>IFERROR(INDEX(Cluster_Master!$F$4:$F$18,MATCH($F776,Cluster_Master!$B$4:$B$18,0)),"")</f>
        <v/>
      </c>
      <c r="L776" t="str">
        <f>IFERROR(INDEX(Cluster_Master!$G$4:$G$18,MATCH($F776,Cluster_Master!$B$4:$B$18,0)),"")</f>
        <v/>
      </c>
      <c r="M776" t="str">
        <f>IFERROR(INDEX(Cluster_Master!$H$4:$H$18,MATCH($F776,Cluster_Master!$B$4:$B$18,0)),"")</f>
        <v/>
      </c>
      <c r="AI776" t="str">
        <f t="shared" si="96"/>
        <v/>
      </c>
      <c r="AJ776" t="str">
        <f t="shared" si="97"/>
        <v/>
      </c>
      <c r="AK776" t="str">
        <f>IF(COUNTA(T776:AH776)=0,"",(SUM(T776*KPI_Weights!$B$4,U776*KPI_Weights!$B$5,V776*KPI_Weights!$B$6,W776*KPI_Weights!$B$7,X776*KPI_Weights!$B$8,Y776*KPI_Weights!$B$9,Z776*KPI_Weights!$B$10,AA776*KPI_Weights!$B$11,AB776*KPI_Weights!$B$12,AC776*KPI_Weights!$B$13,AD776*KPI_Weights!$B$14,AE776*KPI_Weights!$B$15,AF776*KPI_Weights!$B$16,AG776*KPI_Weights!$B$17,AH776*KPI_Weights!$B$18))/5)</f>
        <v/>
      </c>
      <c r="AL776" t="str">
        <f t="shared" si="98"/>
        <v/>
      </c>
      <c r="AM776" t="str">
        <f t="shared" si="99"/>
        <v/>
      </c>
      <c r="AN776" t="str">
        <f t="shared" si="100"/>
        <v/>
      </c>
    </row>
    <row r="777" spans="1:40" ht="15" customHeight="1" x14ac:dyDescent="0.2">
      <c r="A777" t="str">
        <f>IF($B777="","",TEXT($B777,"yyyymmdd")&amp;"-"&amp;SUBSTITUTE($F777," ","")&amp;"-"&amp;TEXT(COUNTIF($F$4:F777,$F777),"00"))</f>
        <v/>
      </c>
      <c r="C777" t="str">
        <f t="shared" si="94"/>
        <v/>
      </c>
      <c r="D777" t="str">
        <f t="shared" si="95"/>
        <v/>
      </c>
      <c r="G777" t="str">
        <f>IF(OR($E777="",$F777=""),"",IFERROR(IF($E777=INDEX(Cluster_Master!$A$4:$A$18,MATCH($F777,Cluster_Master!$B$4:$B$18,0)),"OK","CHECK"),"CHECK"))</f>
        <v/>
      </c>
      <c r="H777" t="str">
        <f>IFERROR(INDEX(Cluster_Master!$C$4:$C$18,MATCH($F777,Cluster_Master!$B$4:$B$18,0)),"")</f>
        <v/>
      </c>
      <c r="I777" t="str">
        <f>IFERROR(INDEX(Cluster_Master!$D$4:$D$18,MATCH($F777,Cluster_Master!$B$4:$B$18,0)),"")</f>
        <v/>
      </c>
      <c r="J777" t="str">
        <f>IFERROR(INDEX(Cluster_Master!$E$4:$E$18,MATCH($F777,Cluster_Master!$B$4:$B$18,0)),"")</f>
        <v/>
      </c>
      <c r="K777" t="str">
        <f>IFERROR(INDEX(Cluster_Master!$F$4:$F$18,MATCH($F777,Cluster_Master!$B$4:$B$18,0)),"")</f>
        <v/>
      </c>
      <c r="L777" t="str">
        <f>IFERROR(INDEX(Cluster_Master!$G$4:$G$18,MATCH($F777,Cluster_Master!$B$4:$B$18,0)),"")</f>
        <v/>
      </c>
      <c r="M777" t="str">
        <f>IFERROR(INDEX(Cluster_Master!$H$4:$H$18,MATCH($F777,Cluster_Master!$B$4:$B$18,0)),"")</f>
        <v/>
      </c>
      <c r="AI777" t="str">
        <f t="shared" si="96"/>
        <v/>
      </c>
      <c r="AJ777" t="str">
        <f t="shared" si="97"/>
        <v/>
      </c>
      <c r="AK777" t="str">
        <f>IF(COUNTA(T777:AH777)=0,"",(SUM(T777*KPI_Weights!$B$4,U777*KPI_Weights!$B$5,V777*KPI_Weights!$B$6,W777*KPI_Weights!$B$7,X777*KPI_Weights!$B$8,Y777*KPI_Weights!$B$9,Z777*KPI_Weights!$B$10,AA777*KPI_Weights!$B$11,AB777*KPI_Weights!$B$12,AC777*KPI_Weights!$B$13,AD777*KPI_Weights!$B$14,AE777*KPI_Weights!$B$15,AF777*KPI_Weights!$B$16,AG777*KPI_Weights!$B$17,AH777*KPI_Weights!$B$18))/5)</f>
        <v/>
      </c>
      <c r="AL777" t="str">
        <f t="shared" si="98"/>
        <v/>
      </c>
      <c r="AM777" t="str">
        <f t="shared" si="99"/>
        <v/>
      </c>
      <c r="AN777" t="str">
        <f t="shared" si="100"/>
        <v/>
      </c>
    </row>
    <row r="778" spans="1:40" ht="15" customHeight="1" x14ac:dyDescent="0.2">
      <c r="A778" t="str">
        <f>IF($B778="","",TEXT($B778,"yyyymmdd")&amp;"-"&amp;SUBSTITUTE($F778," ","")&amp;"-"&amp;TEXT(COUNTIF($F$4:F778,$F778),"00"))</f>
        <v/>
      </c>
      <c r="C778" t="str">
        <f t="shared" si="94"/>
        <v/>
      </c>
      <c r="D778" t="str">
        <f t="shared" si="95"/>
        <v/>
      </c>
      <c r="G778" t="str">
        <f>IF(OR($E778="",$F778=""),"",IFERROR(IF($E778=INDEX(Cluster_Master!$A$4:$A$18,MATCH($F778,Cluster_Master!$B$4:$B$18,0)),"OK","CHECK"),"CHECK"))</f>
        <v/>
      </c>
      <c r="H778" t="str">
        <f>IFERROR(INDEX(Cluster_Master!$C$4:$C$18,MATCH($F778,Cluster_Master!$B$4:$B$18,0)),"")</f>
        <v/>
      </c>
      <c r="I778" t="str">
        <f>IFERROR(INDEX(Cluster_Master!$D$4:$D$18,MATCH($F778,Cluster_Master!$B$4:$B$18,0)),"")</f>
        <v/>
      </c>
      <c r="J778" t="str">
        <f>IFERROR(INDEX(Cluster_Master!$E$4:$E$18,MATCH($F778,Cluster_Master!$B$4:$B$18,0)),"")</f>
        <v/>
      </c>
      <c r="K778" t="str">
        <f>IFERROR(INDEX(Cluster_Master!$F$4:$F$18,MATCH($F778,Cluster_Master!$B$4:$B$18,0)),"")</f>
        <v/>
      </c>
      <c r="L778" t="str">
        <f>IFERROR(INDEX(Cluster_Master!$G$4:$G$18,MATCH($F778,Cluster_Master!$B$4:$B$18,0)),"")</f>
        <v/>
      </c>
      <c r="M778" t="str">
        <f>IFERROR(INDEX(Cluster_Master!$H$4:$H$18,MATCH($F778,Cluster_Master!$B$4:$B$18,0)),"")</f>
        <v/>
      </c>
      <c r="AI778" t="str">
        <f t="shared" si="96"/>
        <v/>
      </c>
      <c r="AJ778" t="str">
        <f t="shared" si="97"/>
        <v/>
      </c>
      <c r="AK778" t="str">
        <f>IF(COUNTA(T778:AH778)=0,"",(SUM(T778*KPI_Weights!$B$4,U778*KPI_Weights!$B$5,V778*KPI_Weights!$B$6,W778*KPI_Weights!$B$7,X778*KPI_Weights!$B$8,Y778*KPI_Weights!$B$9,Z778*KPI_Weights!$B$10,AA778*KPI_Weights!$B$11,AB778*KPI_Weights!$B$12,AC778*KPI_Weights!$B$13,AD778*KPI_Weights!$B$14,AE778*KPI_Weights!$B$15,AF778*KPI_Weights!$B$16,AG778*KPI_Weights!$B$17,AH778*KPI_Weights!$B$18))/5)</f>
        <v/>
      </c>
      <c r="AL778" t="str">
        <f t="shared" si="98"/>
        <v/>
      </c>
      <c r="AM778" t="str">
        <f t="shared" si="99"/>
        <v/>
      </c>
      <c r="AN778" t="str">
        <f t="shared" si="100"/>
        <v/>
      </c>
    </row>
    <row r="779" spans="1:40" ht="15" customHeight="1" x14ac:dyDescent="0.2">
      <c r="A779" t="str">
        <f>IF($B779="","",TEXT($B779,"yyyymmdd")&amp;"-"&amp;SUBSTITUTE($F779," ","")&amp;"-"&amp;TEXT(COUNTIF($F$4:F779,$F779),"00"))</f>
        <v/>
      </c>
      <c r="C779" t="str">
        <f t="shared" si="94"/>
        <v/>
      </c>
      <c r="D779" t="str">
        <f t="shared" si="95"/>
        <v/>
      </c>
      <c r="G779" t="str">
        <f>IF(OR($E779="",$F779=""),"",IFERROR(IF($E779=INDEX(Cluster_Master!$A$4:$A$18,MATCH($F779,Cluster_Master!$B$4:$B$18,0)),"OK","CHECK"),"CHECK"))</f>
        <v/>
      </c>
      <c r="H779" t="str">
        <f>IFERROR(INDEX(Cluster_Master!$C$4:$C$18,MATCH($F779,Cluster_Master!$B$4:$B$18,0)),"")</f>
        <v/>
      </c>
      <c r="I779" t="str">
        <f>IFERROR(INDEX(Cluster_Master!$D$4:$D$18,MATCH($F779,Cluster_Master!$B$4:$B$18,0)),"")</f>
        <v/>
      </c>
      <c r="J779" t="str">
        <f>IFERROR(INDEX(Cluster_Master!$E$4:$E$18,MATCH($F779,Cluster_Master!$B$4:$B$18,0)),"")</f>
        <v/>
      </c>
      <c r="K779" t="str">
        <f>IFERROR(INDEX(Cluster_Master!$F$4:$F$18,MATCH($F779,Cluster_Master!$B$4:$B$18,0)),"")</f>
        <v/>
      </c>
      <c r="L779" t="str">
        <f>IFERROR(INDEX(Cluster_Master!$G$4:$G$18,MATCH($F779,Cluster_Master!$B$4:$B$18,0)),"")</f>
        <v/>
      </c>
      <c r="M779" t="str">
        <f>IFERROR(INDEX(Cluster_Master!$H$4:$H$18,MATCH($F779,Cluster_Master!$B$4:$B$18,0)),"")</f>
        <v/>
      </c>
      <c r="AI779" t="str">
        <f t="shared" si="96"/>
        <v/>
      </c>
      <c r="AJ779" t="str">
        <f t="shared" si="97"/>
        <v/>
      </c>
      <c r="AK779" t="str">
        <f>IF(COUNTA(T779:AH779)=0,"",(SUM(T779*KPI_Weights!$B$4,U779*KPI_Weights!$B$5,V779*KPI_Weights!$B$6,W779*KPI_Weights!$B$7,X779*KPI_Weights!$B$8,Y779*KPI_Weights!$B$9,Z779*KPI_Weights!$B$10,AA779*KPI_Weights!$B$11,AB779*KPI_Weights!$B$12,AC779*KPI_Weights!$B$13,AD779*KPI_Weights!$B$14,AE779*KPI_Weights!$B$15,AF779*KPI_Weights!$B$16,AG779*KPI_Weights!$B$17,AH779*KPI_Weights!$B$18))/5)</f>
        <v/>
      </c>
      <c r="AL779" t="str">
        <f t="shared" si="98"/>
        <v/>
      </c>
      <c r="AM779" t="str">
        <f t="shared" si="99"/>
        <v/>
      </c>
      <c r="AN779" t="str">
        <f t="shared" si="100"/>
        <v/>
      </c>
    </row>
    <row r="780" spans="1:40" ht="15" customHeight="1" x14ac:dyDescent="0.2">
      <c r="A780" t="str">
        <f>IF($B780="","",TEXT($B780,"yyyymmdd")&amp;"-"&amp;SUBSTITUTE($F780," ","")&amp;"-"&amp;TEXT(COUNTIF($F$4:F780,$F780),"00"))</f>
        <v/>
      </c>
      <c r="C780" t="str">
        <f t="shared" si="94"/>
        <v/>
      </c>
      <c r="D780" t="str">
        <f t="shared" si="95"/>
        <v/>
      </c>
      <c r="G780" t="str">
        <f>IF(OR($E780="",$F780=""),"",IFERROR(IF($E780=INDEX(Cluster_Master!$A$4:$A$18,MATCH($F780,Cluster_Master!$B$4:$B$18,0)),"OK","CHECK"),"CHECK"))</f>
        <v/>
      </c>
      <c r="H780" t="str">
        <f>IFERROR(INDEX(Cluster_Master!$C$4:$C$18,MATCH($F780,Cluster_Master!$B$4:$B$18,0)),"")</f>
        <v/>
      </c>
      <c r="I780" t="str">
        <f>IFERROR(INDEX(Cluster_Master!$D$4:$D$18,MATCH($F780,Cluster_Master!$B$4:$B$18,0)),"")</f>
        <v/>
      </c>
      <c r="J780" t="str">
        <f>IFERROR(INDEX(Cluster_Master!$E$4:$E$18,MATCH($F780,Cluster_Master!$B$4:$B$18,0)),"")</f>
        <v/>
      </c>
      <c r="K780" t="str">
        <f>IFERROR(INDEX(Cluster_Master!$F$4:$F$18,MATCH($F780,Cluster_Master!$B$4:$B$18,0)),"")</f>
        <v/>
      </c>
      <c r="L780" t="str">
        <f>IFERROR(INDEX(Cluster_Master!$G$4:$G$18,MATCH($F780,Cluster_Master!$B$4:$B$18,0)),"")</f>
        <v/>
      </c>
      <c r="M780" t="str">
        <f>IFERROR(INDEX(Cluster_Master!$H$4:$H$18,MATCH($F780,Cluster_Master!$B$4:$B$18,0)),"")</f>
        <v/>
      </c>
      <c r="AI780" t="str">
        <f t="shared" si="96"/>
        <v/>
      </c>
      <c r="AJ780" t="str">
        <f t="shared" si="97"/>
        <v/>
      </c>
      <c r="AK780" t="str">
        <f>IF(COUNTA(T780:AH780)=0,"",(SUM(T780*KPI_Weights!$B$4,U780*KPI_Weights!$B$5,V780*KPI_Weights!$B$6,W780*KPI_Weights!$B$7,X780*KPI_Weights!$B$8,Y780*KPI_Weights!$B$9,Z780*KPI_Weights!$B$10,AA780*KPI_Weights!$B$11,AB780*KPI_Weights!$B$12,AC780*KPI_Weights!$B$13,AD780*KPI_Weights!$B$14,AE780*KPI_Weights!$B$15,AF780*KPI_Weights!$B$16,AG780*KPI_Weights!$B$17,AH780*KPI_Weights!$B$18))/5)</f>
        <v/>
      </c>
      <c r="AL780" t="str">
        <f t="shared" si="98"/>
        <v/>
      </c>
      <c r="AM780" t="str">
        <f t="shared" si="99"/>
        <v/>
      </c>
      <c r="AN780" t="str">
        <f t="shared" si="100"/>
        <v/>
      </c>
    </row>
    <row r="781" spans="1:40" ht="15" customHeight="1" x14ac:dyDescent="0.2">
      <c r="A781" t="str">
        <f>IF($B781="","",TEXT($B781,"yyyymmdd")&amp;"-"&amp;SUBSTITUTE($F781," ","")&amp;"-"&amp;TEXT(COUNTIF($F$4:F781,$F781),"00"))</f>
        <v/>
      </c>
      <c r="C781" t="str">
        <f t="shared" si="94"/>
        <v/>
      </c>
      <c r="D781" t="str">
        <f t="shared" si="95"/>
        <v/>
      </c>
      <c r="G781" t="str">
        <f>IF(OR($E781="",$F781=""),"",IFERROR(IF($E781=INDEX(Cluster_Master!$A$4:$A$18,MATCH($F781,Cluster_Master!$B$4:$B$18,0)),"OK","CHECK"),"CHECK"))</f>
        <v/>
      </c>
      <c r="H781" t="str">
        <f>IFERROR(INDEX(Cluster_Master!$C$4:$C$18,MATCH($F781,Cluster_Master!$B$4:$B$18,0)),"")</f>
        <v/>
      </c>
      <c r="I781" t="str">
        <f>IFERROR(INDEX(Cluster_Master!$D$4:$D$18,MATCH($F781,Cluster_Master!$B$4:$B$18,0)),"")</f>
        <v/>
      </c>
      <c r="J781" t="str">
        <f>IFERROR(INDEX(Cluster_Master!$E$4:$E$18,MATCH($F781,Cluster_Master!$B$4:$B$18,0)),"")</f>
        <v/>
      </c>
      <c r="K781" t="str">
        <f>IFERROR(INDEX(Cluster_Master!$F$4:$F$18,MATCH($F781,Cluster_Master!$B$4:$B$18,0)),"")</f>
        <v/>
      </c>
      <c r="L781" t="str">
        <f>IFERROR(INDEX(Cluster_Master!$G$4:$G$18,MATCH($F781,Cluster_Master!$B$4:$B$18,0)),"")</f>
        <v/>
      </c>
      <c r="M781" t="str">
        <f>IFERROR(INDEX(Cluster_Master!$H$4:$H$18,MATCH($F781,Cluster_Master!$B$4:$B$18,0)),"")</f>
        <v/>
      </c>
      <c r="AI781" t="str">
        <f t="shared" si="96"/>
        <v/>
      </c>
      <c r="AJ781" t="str">
        <f t="shared" si="97"/>
        <v/>
      </c>
      <c r="AK781" t="str">
        <f>IF(COUNTA(T781:AH781)=0,"",(SUM(T781*KPI_Weights!$B$4,U781*KPI_Weights!$B$5,V781*KPI_Weights!$B$6,W781*KPI_Weights!$B$7,X781*KPI_Weights!$B$8,Y781*KPI_Weights!$B$9,Z781*KPI_Weights!$B$10,AA781*KPI_Weights!$B$11,AB781*KPI_Weights!$B$12,AC781*KPI_Weights!$B$13,AD781*KPI_Weights!$B$14,AE781*KPI_Weights!$B$15,AF781*KPI_Weights!$B$16,AG781*KPI_Weights!$B$17,AH781*KPI_Weights!$B$18))/5)</f>
        <v/>
      </c>
      <c r="AL781" t="str">
        <f t="shared" si="98"/>
        <v/>
      </c>
      <c r="AM781" t="str">
        <f t="shared" si="99"/>
        <v/>
      </c>
      <c r="AN781" t="str">
        <f t="shared" si="100"/>
        <v/>
      </c>
    </row>
    <row r="782" spans="1:40" ht="15" customHeight="1" x14ac:dyDescent="0.2">
      <c r="A782" t="str">
        <f>IF($B782="","",TEXT($B782,"yyyymmdd")&amp;"-"&amp;SUBSTITUTE($F782," ","")&amp;"-"&amp;TEXT(COUNTIF($F$4:F782,$F782),"00"))</f>
        <v/>
      </c>
      <c r="C782" t="str">
        <f t="shared" si="94"/>
        <v/>
      </c>
      <c r="D782" t="str">
        <f t="shared" si="95"/>
        <v/>
      </c>
      <c r="G782" t="str">
        <f>IF(OR($E782="",$F782=""),"",IFERROR(IF($E782=INDEX(Cluster_Master!$A$4:$A$18,MATCH($F782,Cluster_Master!$B$4:$B$18,0)),"OK","CHECK"),"CHECK"))</f>
        <v/>
      </c>
      <c r="H782" t="str">
        <f>IFERROR(INDEX(Cluster_Master!$C$4:$C$18,MATCH($F782,Cluster_Master!$B$4:$B$18,0)),"")</f>
        <v/>
      </c>
      <c r="I782" t="str">
        <f>IFERROR(INDEX(Cluster_Master!$D$4:$D$18,MATCH($F782,Cluster_Master!$B$4:$B$18,0)),"")</f>
        <v/>
      </c>
      <c r="J782" t="str">
        <f>IFERROR(INDEX(Cluster_Master!$E$4:$E$18,MATCH($F782,Cluster_Master!$B$4:$B$18,0)),"")</f>
        <v/>
      </c>
      <c r="K782" t="str">
        <f>IFERROR(INDEX(Cluster_Master!$F$4:$F$18,MATCH($F782,Cluster_Master!$B$4:$B$18,0)),"")</f>
        <v/>
      </c>
      <c r="L782" t="str">
        <f>IFERROR(INDEX(Cluster_Master!$G$4:$G$18,MATCH($F782,Cluster_Master!$B$4:$B$18,0)),"")</f>
        <v/>
      </c>
      <c r="M782" t="str">
        <f>IFERROR(INDEX(Cluster_Master!$H$4:$H$18,MATCH($F782,Cluster_Master!$B$4:$B$18,0)),"")</f>
        <v/>
      </c>
      <c r="AI782" t="str">
        <f t="shared" si="96"/>
        <v/>
      </c>
      <c r="AJ782" t="str">
        <f t="shared" si="97"/>
        <v/>
      </c>
      <c r="AK782" t="str">
        <f>IF(COUNTA(T782:AH782)=0,"",(SUM(T782*KPI_Weights!$B$4,U782*KPI_Weights!$B$5,V782*KPI_Weights!$B$6,W782*KPI_Weights!$B$7,X782*KPI_Weights!$B$8,Y782*KPI_Weights!$B$9,Z782*KPI_Weights!$B$10,AA782*KPI_Weights!$B$11,AB782*KPI_Weights!$B$12,AC782*KPI_Weights!$B$13,AD782*KPI_Weights!$B$14,AE782*KPI_Weights!$B$15,AF782*KPI_Weights!$B$16,AG782*KPI_Weights!$B$17,AH782*KPI_Weights!$B$18))/5)</f>
        <v/>
      </c>
      <c r="AL782" t="str">
        <f t="shared" si="98"/>
        <v/>
      </c>
      <c r="AM782" t="str">
        <f t="shared" si="99"/>
        <v/>
      </c>
      <c r="AN782" t="str">
        <f t="shared" si="100"/>
        <v/>
      </c>
    </row>
    <row r="783" spans="1:40" ht="15" customHeight="1" x14ac:dyDescent="0.2">
      <c r="A783" t="str">
        <f>IF($B783="","",TEXT($B783,"yyyymmdd")&amp;"-"&amp;SUBSTITUTE($F783," ","")&amp;"-"&amp;TEXT(COUNTIF($F$4:F783,$F783),"00"))</f>
        <v/>
      </c>
      <c r="C783" t="str">
        <f t="shared" si="94"/>
        <v/>
      </c>
      <c r="D783" t="str">
        <f t="shared" si="95"/>
        <v/>
      </c>
      <c r="G783" t="str">
        <f>IF(OR($E783="",$F783=""),"",IFERROR(IF($E783=INDEX(Cluster_Master!$A$4:$A$18,MATCH($F783,Cluster_Master!$B$4:$B$18,0)),"OK","CHECK"),"CHECK"))</f>
        <v/>
      </c>
      <c r="H783" t="str">
        <f>IFERROR(INDEX(Cluster_Master!$C$4:$C$18,MATCH($F783,Cluster_Master!$B$4:$B$18,0)),"")</f>
        <v/>
      </c>
      <c r="I783" t="str">
        <f>IFERROR(INDEX(Cluster_Master!$D$4:$D$18,MATCH($F783,Cluster_Master!$B$4:$B$18,0)),"")</f>
        <v/>
      </c>
      <c r="J783" t="str">
        <f>IFERROR(INDEX(Cluster_Master!$E$4:$E$18,MATCH($F783,Cluster_Master!$B$4:$B$18,0)),"")</f>
        <v/>
      </c>
      <c r="K783" t="str">
        <f>IFERROR(INDEX(Cluster_Master!$F$4:$F$18,MATCH($F783,Cluster_Master!$B$4:$B$18,0)),"")</f>
        <v/>
      </c>
      <c r="L783" t="str">
        <f>IFERROR(INDEX(Cluster_Master!$G$4:$G$18,MATCH($F783,Cluster_Master!$B$4:$B$18,0)),"")</f>
        <v/>
      </c>
      <c r="M783" t="str">
        <f>IFERROR(INDEX(Cluster_Master!$H$4:$H$18,MATCH($F783,Cluster_Master!$B$4:$B$18,0)),"")</f>
        <v/>
      </c>
      <c r="AI783" t="str">
        <f t="shared" si="96"/>
        <v/>
      </c>
      <c r="AJ783" t="str">
        <f t="shared" si="97"/>
        <v/>
      </c>
      <c r="AK783" t="str">
        <f>IF(COUNTA(T783:AH783)=0,"",(SUM(T783*KPI_Weights!$B$4,U783*KPI_Weights!$B$5,V783*KPI_Weights!$B$6,W783*KPI_Weights!$B$7,X783*KPI_Weights!$B$8,Y783*KPI_Weights!$B$9,Z783*KPI_Weights!$B$10,AA783*KPI_Weights!$B$11,AB783*KPI_Weights!$B$12,AC783*KPI_Weights!$B$13,AD783*KPI_Weights!$B$14,AE783*KPI_Weights!$B$15,AF783*KPI_Weights!$B$16,AG783*KPI_Weights!$B$17,AH783*KPI_Weights!$B$18))/5)</f>
        <v/>
      </c>
      <c r="AL783" t="str">
        <f t="shared" si="98"/>
        <v/>
      </c>
      <c r="AM783" t="str">
        <f t="shared" si="99"/>
        <v/>
      </c>
      <c r="AN783" t="str">
        <f t="shared" si="100"/>
        <v/>
      </c>
    </row>
    <row r="784" spans="1:40" ht="15" customHeight="1" x14ac:dyDescent="0.2">
      <c r="A784" t="str">
        <f>IF($B784="","",TEXT($B784,"yyyymmdd")&amp;"-"&amp;SUBSTITUTE($F784," ","")&amp;"-"&amp;TEXT(COUNTIF($F$4:F784,$F784),"00"))</f>
        <v/>
      </c>
      <c r="C784" t="str">
        <f t="shared" si="94"/>
        <v/>
      </c>
      <c r="D784" t="str">
        <f t="shared" si="95"/>
        <v/>
      </c>
      <c r="G784" t="str">
        <f>IF(OR($E784="",$F784=""),"",IFERROR(IF($E784=INDEX(Cluster_Master!$A$4:$A$18,MATCH($F784,Cluster_Master!$B$4:$B$18,0)),"OK","CHECK"),"CHECK"))</f>
        <v/>
      </c>
      <c r="H784" t="str">
        <f>IFERROR(INDEX(Cluster_Master!$C$4:$C$18,MATCH($F784,Cluster_Master!$B$4:$B$18,0)),"")</f>
        <v/>
      </c>
      <c r="I784" t="str">
        <f>IFERROR(INDEX(Cluster_Master!$D$4:$D$18,MATCH($F784,Cluster_Master!$B$4:$B$18,0)),"")</f>
        <v/>
      </c>
      <c r="J784" t="str">
        <f>IFERROR(INDEX(Cluster_Master!$E$4:$E$18,MATCH($F784,Cluster_Master!$B$4:$B$18,0)),"")</f>
        <v/>
      </c>
      <c r="K784" t="str">
        <f>IFERROR(INDEX(Cluster_Master!$F$4:$F$18,MATCH($F784,Cluster_Master!$B$4:$B$18,0)),"")</f>
        <v/>
      </c>
      <c r="L784" t="str">
        <f>IFERROR(INDEX(Cluster_Master!$G$4:$G$18,MATCH($F784,Cluster_Master!$B$4:$B$18,0)),"")</f>
        <v/>
      </c>
      <c r="M784" t="str">
        <f>IFERROR(INDEX(Cluster_Master!$H$4:$H$18,MATCH($F784,Cluster_Master!$B$4:$B$18,0)),"")</f>
        <v/>
      </c>
      <c r="AI784" t="str">
        <f t="shared" si="96"/>
        <v/>
      </c>
      <c r="AJ784" t="str">
        <f t="shared" si="97"/>
        <v/>
      </c>
      <c r="AK784" t="str">
        <f>IF(COUNTA(T784:AH784)=0,"",(SUM(T784*KPI_Weights!$B$4,U784*KPI_Weights!$B$5,V784*KPI_Weights!$B$6,W784*KPI_Weights!$B$7,X784*KPI_Weights!$B$8,Y784*KPI_Weights!$B$9,Z784*KPI_Weights!$B$10,AA784*KPI_Weights!$B$11,AB784*KPI_Weights!$B$12,AC784*KPI_Weights!$B$13,AD784*KPI_Weights!$B$14,AE784*KPI_Weights!$B$15,AF784*KPI_Weights!$B$16,AG784*KPI_Weights!$B$17,AH784*KPI_Weights!$B$18))/5)</f>
        <v/>
      </c>
      <c r="AL784" t="str">
        <f t="shared" si="98"/>
        <v/>
      </c>
      <c r="AM784" t="str">
        <f t="shared" si="99"/>
        <v/>
      </c>
      <c r="AN784" t="str">
        <f t="shared" si="100"/>
        <v/>
      </c>
    </row>
    <row r="785" spans="1:40" ht="15" customHeight="1" x14ac:dyDescent="0.2">
      <c r="A785" t="str">
        <f>IF($B785="","",TEXT($B785,"yyyymmdd")&amp;"-"&amp;SUBSTITUTE($F785," ","")&amp;"-"&amp;TEXT(COUNTIF($F$4:F785,$F785),"00"))</f>
        <v/>
      </c>
      <c r="C785" t="str">
        <f t="shared" si="94"/>
        <v/>
      </c>
      <c r="D785" t="str">
        <f t="shared" si="95"/>
        <v/>
      </c>
      <c r="G785" t="str">
        <f>IF(OR($E785="",$F785=""),"",IFERROR(IF($E785=INDEX(Cluster_Master!$A$4:$A$18,MATCH($F785,Cluster_Master!$B$4:$B$18,0)),"OK","CHECK"),"CHECK"))</f>
        <v/>
      </c>
      <c r="H785" t="str">
        <f>IFERROR(INDEX(Cluster_Master!$C$4:$C$18,MATCH($F785,Cluster_Master!$B$4:$B$18,0)),"")</f>
        <v/>
      </c>
      <c r="I785" t="str">
        <f>IFERROR(INDEX(Cluster_Master!$D$4:$D$18,MATCH($F785,Cluster_Master!$B$4:$B$18,0)),"")</f>
        <v/>
      </c>
      <c r="J785" t="str">
        <f>IFERROR(INDEX(Cluster_Master!$E$4:$E$18,MATCH($F785,Cluster_Master!$B$4:$B$18,0)),"")</f>
        <v/>
      </c>
      <c r="K785" t="str">
        <f>IFERROR(INDEX(Cluster_Master!$F$4:$F$18,MATCH($F785,Cluster_Master!$B$4:$B$18,0)),"")</f>
        <v/>
      </c>
      <c r="L785" t="str">
        <f>IFERROR(INDEX(Cluster_Master!$G$4:$G$18,MATCH($F785,Cluster_Master!$B$4:$B$18,0)),"")</f>
        <v/>
      </c>
      <c r="M785" t="str">
        <f>IFERROR(INDEX(Cluster_Master!$H$4:$H$18,MATCH($F785,Cluster_Master!$B$4:$B$18,0)),"")</f>
        <v/>
      </c>
      <c r="AI785" t="str">
        <f t="shared" si="96"/>
        <v/>
      </c>
      <c r="AJ785" t="str">
        <f t="shared" si="97"/>
        <v/>
      </c>
      <c r="AK785" t="str">
        <f>IF(COUNTA(T785:AH785)=0,"",(SUM(T785*KPI_Weights!$B$4,U785*KPI_Weights!$B$5,V785*KPI_Weights!$B$6,W785*KPI_Weights!$B$7,X785*KPI_Weights!$B$8,Y785*KPI_Weights!$B$9,Z785*KPI_Weights!$B$10,AA785*KPI_Weights!$B$11,AB785*KPI_Weights!$B$12,AC785*KPI_Weights!$B$13,AD785*KPI_Weights!$B$14,AE785*KPI_Weights!$B$15,AF785*KPI_Weights!$B$16,AG785*KPI_Weights!$B$17,AH785*KPI_Weights!$B$18))/5)</f>
        <v/>
      </c>
      <c r="AL785" t="str">
        <f t="shared" si="98"/>
        <v/>
      </c>
      <c r="AM785" t="str">
        <f t="shared" si="99"/>
        <v/>
      </c>
      <c r="AN785" t="str">
        <f t="shared" si="100"/>
        <v/>
      </c>
    </row>
    <row r="786" spans="1:40" ht="15" customHeight="1" x14ac:dyDescent="0.2">
      <c r="A786" t="str">
        <f>IF($B786="","",TEXT($B786,"yyyymmdd")&amp;"-"&amp;SUBSTITUTE($F786," ","")&amp;"-"&amp;TEXT(COUNTIF($F$4:F786,$F786),"00"))</f>
        <v/>
      </c>
      <c r="C786" t="str">
        <f t="shared" si="94"/>
        <v/>
      </c>
      <c r="D786" t="str">
        <f t="shared" si="95"/>
        <v/>
      </c>
      <c r="G786" t="str">
        <f>IF(OR($E786="",$F786=""),"",IFERROR(IF($E786=INDEX(Cluster_Master!$A$4:$A$18,MATCH($F786,Cluster_Master!$B$4:$B$18,0)),"OK","CHECK"),"CHECK"))</f>
        <v/>
      </c>
      <c r="H786" t="str">
        <f>IFERROR(INDEX(Cluster_Master!$C$4:$C$18,MATCH($F786,Cluster_Master!$B$4:$B$18,0)),"")</f>
        <v/>
      </c>
      <c r="I786" t="str">
        <f>IFERROR(INDEX(Cluster_Master!$D$4:$D$18,MATCH($F786,Cluster_Master!$B$4:$B$18,0)),"")</f>
        <v/>
      </c>
      <c r="J786" t="str">
        <f>IFERROR(INDEX(Cluster_Master!$E$4:$E$18,MATCH($F786,Cluster_Master!$B$4:$B$18,0)),"")</f>
        <v/>
      </c>
      <c r="K786" t="str">
        <f>IFERROR(INDEX(Cluster_Master!$F$4:$F$18,MATCH($F786,Cluster_Master!$B$4:$B$18,0)),"")</f>
        <v/>
      </c>
      <c r="L786" t="str">
        <f>IFERROR(INDEX(Cluster_Master!$G$4:$G$18,MATCH($F786,Cluster_Master!$B$4:$B$18,0)),"")</f>
        <v/>
      </c>
      <c r="M786" t="str">
        <f>IFERROR(INDEX(Cluster_Master!$H$4:$H$18,MATCH($F786,Cluster_Master!$B$4:$B$18,0)),"")</f>
        <v/>
      </c>
      <c r="AI786" t="str">
        <f t="shared" si="96"/>
        <v/>
      </c>
      <c r="AJ786" t="str">
        <f t="shared" si="97"/>
        <v/>
      </c>
      <c r="AK786" t="str">
        <f>IF(COUNTA(T786:AH786)=0,"",(SUM(T786*KPI_Weights!$B$4,U786*KPI_Weights!$B$5,V786*KPI_Weights!$B$6,W786*KPI_Weights!$B$7,X786*KPI_Weights!$B$8,Y786*KPI_Weights!$B$9,Z786*KPI_Weights!$B$10,AA786*KPI_Weights!$B$11,AB786*KPI_Weights!$B$12,AC786*KPI_Weights!$B$13,AD786*KPI_Weights!$B$14,AE786*KPI_Weights!$B$15,AF786*KPI_Weights!$B$16,AG786*KPI_Weights!$B$17,AH786*KPI_Weights!$B$18))/5)</f>
        <v/>
      </c>
      <c r="AL786" t="str">
        <f t="shared" si="98"/>
        <v/>
      </c>
      <c r="AM786" t="str">
        <f t="shared" si="99"/>
        <v/>
      </c>
      <c r="AN786" t="str">
        <f t="shared" si="100"/>
        <v/>
      </c>
    </row>
    <row r="787" spans="1:40" ht="15" customHeight="1" x14ac:dyDescent="0.2">
      <c r="A787" t="str">
        <f>IF($B787="","",TEXT($B787,"yyyymmdd")&amp;"-"&amp;SUBSTITUTE($F787," ","")&amp;"-"&amp;TEXT(COUNTIF($F$4:F787,$F787),"00"))</f>
        <v/>
      </c>
      <c r="C787" t="str">
        <f t="shared" si="94"/>
        <v/>
      </c>
      <c r="D787" t="str">
        <f t="shared" si="95"/>
        <v/>
      </c>
      <c r="G787" t="str">
        <f>IF(OR($E787="",$F787=""),"",IFERROR(IF($E787=INDEX(Cluster_Master!$A$4:$A$18,MATCH($F787,Cluster_Master!$B$4:$B$18,0)),"OK","CHECK"),"CHECK"))</f>
        <v/>
      </c>
      <c r="H787" t="str">
        <f>IFERROR(INDEX(Cluster_Master!$C$4:$C$18,MATCH($F787,Cluster_Master!$B$4:$B$18,0)),"")</f>
        <v/>
      </c>
      <c r="I787" t="str">
        <f>IFERROR(INDEX(Cluster_Master!$D$4:$D$18,MATCH($F787,Cluster_Master!$B$4:$B$18,0)),"")</f>
        <v/>
      </c>
      <c r="J787" t="str">
        <f>IFERROR(INDEX(Cluster_Master!$E$4:$E$18,MATCH($F787,Cluster_Master!$B$4:$B$18,0)),"")</f>
        <v/>
      </c>
      <c r="K787" t="str">
        <f>IFERROR(INDEX(Cluster_Master!$F$4:$F$18,MATCH($F787,Cluster_Master!$B$4:$B$18,0)),"")</f>
        <v/>
      </c>
      <c r="L787" t="str">
        <f>IFERROR(INDEX(Cluster_Master!$G$4:$G$18,MATCH($F787,Cluster_Master!$B$4:$B$18,0)),"")</f>
        <v/>
      </c>
      <c r="M787" t="str">
        <f>IFERROR(INDEX(Cluster_Master!$H$4:$H$18,MATCH($F787,Cluster_Master!$B$4:$B$18,0)),"")</f>
        <v/>
      </c>
      <c r="AI787" t="str">
        <f t="shared" si="96"/>
        <v/>
      </c>
      <c r="AJ787" t="str">
        <f t="shared" si="97"/>
        <v/>
      </c>
      <c r="AK787" t="str">
        <f>IF(COUNTA(T787:AH787)=0,"",(SUM(T787*KPI_Weights!$B$4,U787*KPI_Weights!$B$5,V787*KPI_Weights!$B$6,W787*KPI_Weights!$B$7,X787*KPI_Weights!$B$8,Y787*KPI_Weights!$B$9,Z787*KPI_Weights!$B$10,AA787*KPI_Weights!$B$11,AB787*KPI_Weights!$B$12,AC787*KPI_Weights!$B$13,AD787*KPI_Weights!$B$14,AE787*KPI_Weights!$B$15,AF787*KPI_Weights!$B$16,AG787*KPI_Weights!$B$17,AH787*KPI_Weights!$B$18))/5)</f>
        <v/>
      </c>
      <c r="AL787" t="str">
        <f t="shared" si="98"/>
        <v/>
      </c>
      <c r="AM787" t="str">
        <f t="shared" si="99"/>
        <v/>
      </c>
      <c r="AN787" t="str">
        <f t="shared" si="100"/>
        <v/>
      </c>
    </row>
    <row r="788" spans="1:40" ht="15" customHeight="1" x14ac:dyDescent="0.2">
      <c r="A788" t="str">
        <f>IF($B788="","",TEXT($B788,"yyyymmdd")&amp;"-"&amp;SUBSTITUTE($F788," ","")&amp;"-"&amp;TEXT(COUNTIF($F$4:F788,$F788),"00"))</f>
        <v/>
      </c>
      <c r="C788" t="str">
        <f t="shared" si="94"/>
        <v/>
      </c>
      <c r="D788" t="str">
        <f t="shared" si="95"/>
        <v/>
      </c>
      <c r="G788" t="str">
        <f>IF(OR($E788="",$F788=""),"",IFERROR(IF($E788=INDEX(Cluster_Master!$A$4:$A$18,MATCH($F788,Cluster_Master!$B$4:$B$18,0)),"OK","CHECK"),"CHECK"))</f>
        <v/>
      </c>
      <c r="H788" t="str">
        <f>IFERROR(INDEX(Cluster_Master!$C$4:$C$18,MATCH($F788,Cluster_Master!$B$4:$B$18,0)),"")</f>
        <v/>
      </c>
      <c r="I788" t="str">
        <f>IFERROR(INDEX(Cluster_Master!$D$4:$D$18,MATCH($F788,Cluster_Master!$B$4:$B$18,0)),"")</f>
        <v/>
      </c>
      <c r="J788" t="str">
        <f>IFERROR(INDEX(Cluster_Master!$E$4:$E$18,MATCH($F788,Cluster_Master!$B$4:$B$18,0)),"")</f>
        <v/>
      </c>
      <c r="K788" t="str">
        <f>IFERROR(INDEX(Cluster_Master!$F$4:$F$18,MATCH($F788,Cluster_Master!$B$4:$B$18,0)),"")</f>
        <v/>
      </c>
      <c r="L788" t="str">
        <f>IFERROR(INDEX(Cluster_Master!$G$4:$G$18,MATCH($F788,Cluster_Master!$B$4:$B$18,0)),"")</f>
        <v/>
      </c>
      <c r="M788" t="str">
        <f>IFERROR(INDEX(Cluster_Master!$H$4:$H$18,MATCH($F788,Cluster_Master!$B$4:$B$18,0)),"")</f>
        <v/>
      </c>
      <c r="AI788" t="str">
        <f t="shared" si="96"/>
        <v/>
      </c>
      <c r="AJ788" t="str">
        <f t="shared" si="97"/>
        <v/>
      </c>
      <c r="AK788" t="str">
        <f>IF(COUNTA(T788:AH788)=0,"",(SUM(T788*KPI_Weights!$B$4,U788*KPI_Weights!$B$5,V788*KPI_Weights!$B$6,W788*KPI_Weights!$B$7,X788*KPI_Weights!$B$8,Y788*KPI_Weights!$B$9,Z788*KPI_Weights!$B$10,AA788*KPI_Weights!$B$11,AB788*KPI_Weights!$B$12,AC788*KPI_Weights!$B$13,AD788*KPI_Weights!$B$14,AE788*KPI_Weights!$B$15,AF788*KPI_Weights!$B$16,AG788*KPI_Weights!$B$17,AH788*KPI_Weights!$B$18))/5)</f>
        <v/>
      </c>
      <c r="AL788" t="str">
        <f t="shared" si="98"/>
        <v/>
      </c>
      <c r="AM788" t="str">
        <f t="shared" si="99"/>
        <v/>
      </c>
      <c r="AN788" t="str">
        <f t="shared" si="100"/>
        <v/>
      </c>
    </row>
    <row r="789" spans="1:40" ht="15" customHeight="1" x14ac:dyDescent="0.2">
      <c r="A789" t="str">
        <f>IF($B789="","",TEXT($B789,"yyyymmdd")&amp;"-"&amp;SUBSTITUTE($F789," ","")&amp;"-"&amp;TEXT(COUNTIF($F$4:F789,$F789),"00"))</f>
        <v/>
      </c>
      <c r="C789" t="str">
        <f t="shared" si="94"/>
        <v/>
      </c>
      <c r="D789" t="str">
        <f t="shared" si="95"/>
        <v/>
      </c>
      <c r="G789" t="str">
        <f>IF(OR($E789="",$F789=""),"",IFERROR(IF($E789=INDEX(Cluster_Master!$A$4:$A$18,MATCH($F789,Cluster_Master!$B$4:$B$18,0)),"OK","CHECK"),"CHECK"))</f>
        <v/>
      </c>
      <c r="H789" t="str">
        <f>IFERROR(INDEX(Cluster_Master!$C$4:$C$18,MATCH($F789,Cluster_Master!$B$4:$B$18,0)),"")</f>
        <v/>
      </c>
      <c r="I789" t="str">
        <f>IFERROR(INDEX(Cluster_Master!$D$4:$D$18,MATCH($F789,Cluster_Master!$B$4:$B$18,0)),"")</f>
        <v/>
      </c>
      <c r="J789" t="str">
        <f>IFERROR(INDEX(Cluster_Master!$E$4:$E$18,MATCH($F789,Cluster_Master!$B$4:$B$18,0)),"")</f>
        <v/>
      </c>
      <c r="K789" t="str">
        <f>IFERROR(INDEX(Cluster_Master!$F$4:$F$18,MATCH($F789,Cluster_Master!$B$4:$B$18,0)),"")</f>
        <v/>
      </c>
      <c r="L789" t="str">
        <f>IFERROR(INDEX(Cluster_Master!$G$4:$G$18,MATCH($F789,Cluster_Master!$B$4:$B$18,0)),"")</f>
        <v/>
      </c>
      <c r="M789" t="str">
        <f>IFERROR(INDEX(Cluster_Master!$H$4:$H$18,MATCH($F789,Cluster_Master!$B$4:$B$18,0)),"")</f>
        <v/>
      </c>
      <c r="AI789" t="str">
        <f t="shared" si="96"/>
        <v/>
      </c>
      <c r="AJ789" t="str">
        <f t="shared" si="97"/>
        <v/>
      </c>
      <c r="AK789" t="str">
        <f>IF(COUNTA(T789:AH789)=0,"",(SUM(T789*KPI_Weights!$B$4,U789*KPI_Weights!$B$5,V789*KPI_Weights!$B$6,W789*KPI_Weights!$B$7,X789*KPI_Weights!$B$8,Y789*KPI_Weights!$B$9,Z789*KPI_Weights!$B$10,AA789*KPI_Weights!$B$11,AB789*KPI_Weights!$B$12,AC789*KPI_Weights!$B$13,AD789*KPI_Weights!$B$14,AE789*KPI_Weights!$B$15,AF789*KPI_Weights!$B$16,AG789*KPI_Weights!$B$17,AH789*KPI_Weights!$B$18))/5)</f>
        <v/>
      </c>
      <c r="AL789" t="str">
        <f t="shared" si="98"/>
        <v/>
      </c>
      <c r="AM789" t="str">
        <f t="shared" si="99"/>
        <v/>
      </c>
      <c r="AN789" t="str">
        <f t="shared" si="100"/>
        <v/>
      </c>
    </row>
    <row r="790" spans="1:40" ht="15" customHeight="1" x14ac:dyDescent="0.2">
      <c r="A790" t="str">
        <f>IF($B790="","",TEXT($B790,"yyyymmdd")&amp;"-"&amp;SUBSTITUTE($F790," ","")&amp;"-"&amp;TEXT(COUNTIF($F$4:F790,$F790),"00"))</f>
        <v/>
      </c>
      <c r="C790" t="str">
        <f t="shared" si="94"/>
        <v/>
      </c>
      <c r="D790" t="str">
        <f t="shared" si="95"/>
        <v/>
      </c>
      <c r="G790" t="str">
        <f>IF(OR($E790="",$F790=""),"",IFERROR(IF($E790=INDEX(Cluster_Master!$A$4:$A$18,MATCH($F790,Cluster_Master!$B$4:$B$18,0)),"OK","CHECK"),"CHECK"))</f>
        <v/>
      </c>
      <c r="H790" t="str">
        <f>IFERROR(INDEX(Cluster_Master!$C$4:$C$18,MATCH($F790,Cluster_Master!$B$4:$B$18,0)),"")</f>
        <v/>
      </c>
      <c r="I790" t="str">
        <f>IFERROR(INDEX(Cluster_Master!$D$4:$D$18,MATCH($F790,Cluster_Master!$B$4:$B$18,0)),"")</f>
        <v/>
      </c>
      <c r="J790" t="str">
        <f>IFERROR(INDEX(Cluster_Master!$E$4:$E$18,MATCH($F790,Cluster_Master!$B$4:$B$18,0)),"")</f>
        <v/>
      </c>
      <c r="K790" t="str">
        <f>IFERROR(INDEX(Cluster_Master!$F$4:$F$18,MATCH($F790,Cluster_Master!$B$4:$B$18,0)),"")</f>
        <v/>
      </c>
      <c r="L790" t="str">
        <f>IFERROR(INDEX(Cluster_Master!$G$4:$G$18,MATCH($F790,Cluster_Master!$B$4:$B$18,0)),"")</f>
        <v/>
      </c>
      <c r="M790" t="str">
        <f>IFERROR(INDEX(Cluster_Master!$H$4:$H$18,MATCH($F790,Cluster_Master!$B$4:$B$18,0)),"")</f>
        <v/>
      </c>
      <c r="AI790" t="str">
        <f t="shared" si="96"/>
        <v/>
      </c>
      <c r="AJ790" t="str">
        <f t="shared" si="97"/>
        <v/>
      </c>
      <c r="AK790" t="str">
        <f>IF(COUNTA(T790:AH790)=0,"",(SUM(T790*KPI_Weights!$B$4,U790*KPI_Weights!$B$5,V790*KPI_Weights!$B$6,W790*KPI_Weights!$B$7,X790*KPI_Weights!$B$8,Y790*KPI_Weights!$B$9,Z790*KPI_Weights!$B$10,AA790*KPI_Weights!$B$11,AB790*KPI_Weights!$B$12,AC790*KPI_Weights!$B$13,AD790*KPI_Weights!$B$14,AE790*KPI_Weights!$B$15,AF790*KPI_Weights!$B$16,AG790*KPI_Weights!$B$17,AH790*KPI_Weights!$B$18))/5)</f>
        <v/>
      </c>
      <c r="AL790" t="str">
        <f t="shared" si="98"/>
        <v/>
      </c>
      <c r="AM790" t="str">
        <f t="shared" si="99"/>
        <v/>
      </c>
      <c r="AN790" t="str">
        <f t="shared" si="100"/>
        <v/>
      </c>
    </row>
    <row r="791" spans="1:40" ht="15" customHeight="1" x14ac:dyDescent="0.2">
      <c r="A791" t="str">
        <f>IF($B791="","",TEXT($B791,"yyyymmdd")&amp;"-"&amp;SUBSTITUTE($F791," ","")&amp;"-"&amp;TEXT(COUNTIF($F$4:F791,$F791),"00"))</f>
        <v/>
      </c>
      <c r="C791" t="str">
        <f t="shared" si="94"/>
        <v/>
      </c>
      <c r="D791" t="str">
        <f t="shared" si="95"/>
        <v/>
      </c>
      <c r="G791" t="str">
        <f>IF(OR($E791="",$F791=""),"",IFERROR(IF($E791=INDEX(Cluster_Master!$A$4:$A$18,MATCH($F791,Cluster_Master!$B$4:$B$18,0)),"OK","CHECK"),"CHECK"))</f>
        <v/>
      </c>
      <c r="H791" t="str">
        <f>IFERROR(INDEX(Cluster_Master!$C$4:$C$18,MATCH($F791,Cluster_Master!$B$4:$B$18,0)),"")</f>
        <v/>
      </c>
      <c r="I791" t="str">
        <f>IFERROR(INDEX(Cluster_Master!$D$4:$D$18,MATCH($F791,Cluster_Master!$B$4:$B$18,0)),"")</f>
        <v/>
      </c>
      <c r="J791" t="str">
        <f>IFERROR(INDEX(Cluster_Master!$E$4:$E$18,MATCH($F791,Cluster_Master!$B$4:$B$18,0)),"")</f>
        <v/>
      </c>
      <c r="K791" t="str">
        <f>IFERROR(INDEX(Cluster_Master!$F$4:$F$18,MATCH($F791,Cluster_Master!$B$4:$B$18,0)),"")</f>
        <v/>
      </c>
      <c r="L791" t="str">
        <f>IFERROR(INDEX(Cluster_Master!$G$4:$G$18,MATCH($F791,Cluster_Master!$B$4:$B$18,0)),"")</f>
        <v/>
      </c>
      <c r="M791" t="str">
        <f>IFERROR(INDEX(Cluster_Master!$H$4:$H$18,MATCH($F791,Cluster_Master!$B$4:$B$18,0)),"")</f>
        <v/>
      </c>
      <c r="AI791" t="str">
        <f t="shared" si="96"/>
        <v/>
      </c>
      <c r="AJ791" t="str">
        <f t="shared" si="97"/>
        <v/>
      </c>
      <c r="AK791" t="str">
        <f>IF(COUNTA(T791:AH791)=0,"",(SUM(T791*KPI_Weights!$B$4,U791*KPI_Weights!$B$5,V791*KPI_Weights!$B$6,W791*KPI_Weights!$B$7,X791*KPI_Weights!$B$8,Y791*KPI_Weights!$B$9,Z791*KPI_Weights!$B$10,AA791*KPI_Weights!$B$11,AB791*KPI_Weights!$B$12,AC791*KPI_Weights!$B$13,AD791*KPI_Weights!$B$14,AE791*KPI_Weights!$B$15,AF791*KPI_Weights!$B$16,AG791*KPI_Weights!$B$17,AH791*KPI_Weights!$B$18))/5)</f>
        <v/>
      </c>
      <c r="AL791" t="str">
        <f t="shared" si="98"/>
        <v/>
      </c>
      <c r="AM791" t="str">
        <f t="shared" si="99"/>
        <v/>
      </c>
      <c r="AN791" t="str">
        <f t="shared" si="100"/>
        <v/>
      </c>
    </row>
    <row r="792" spans="1:40" ht="15" customHeight="1" x14ac:dyDescent="0.2">
      <c r="A792" t="str">
        <f>IF($B792="","",TEXT($B792,"yyyymmdd")&amp;"-"&amp;SUBSTITUTE($F792," ","")&amp;"-"&amp;TEXT(COUNTIF($F$4:F792,$F792),"00"))</f>
        <v/>
      </c>
      <c r="C792" t="str">
        <f t="shared" si="94"/>
        <v/>
      </c>
      <c r="D792" t="str">
        <f t="shared" si="95"/>
        <v/>
      </c>
      <c r="G792" t="str">
        <f>IF(OR($E792="",$F792=""),"",IFERROR(IF($E792=INDEX(Cluster_Master!$A$4:$A$18,MATCH($F792,Cluster_Master!$B$4:$B$18,0)),"OK","CHECK"),"CHECK"))</f>
        <v/>
      </c>
      <c r="H792" t="str">
        <f>IFERROR(INDEX(Cluster_Master!$C$4:$C$18,MATCH($F792,Cluster_Master!$B$4:$B$18,0)),"")</f>
        <v/>
      </c>
      <c r="I792" t="str">
        <f>IFERROR(INDEX(Cluster_Master!$D$4:$D$18,MATCH($F792,Cluster_Master!$B$4:$B$18,0)),"")</f>
        <v/>
      </c>
      <c r="J792" t="str">
        <f>IFERROR(INDEX(Cluster_Master!$E$4:$E$18,MATCH($F792,Cluster_Master!$B$4:$B$18,0)),"")</f>
        <v/>
      </c>
      <c r="K792" t="str">
        <f>IFERROR(INDEX(Cluster_Master!$F$4:$F$18,MATCH($F792,Cluster_Master!$B$4:$B$18,0)),"")</f>
        <v/>
      </c>
      <c r="L792" t="str">
        <f>IFERROR(INDEX(Cluster_Master!$G$4:$G$18,MATCH($F792,Cluster_Master!$B$4:$B$18,0)),"")</f>
        <v/>
      </c>
      <c r="M792" t="str">
        <f>IFERROR(INDEX(Cluster_Master!$H$4:$H$18,MATCH($F792,Cluster_Master!$B$4:$B$18,0)),"")</f>
        <v/>
      </c>
      <c r="AI792" t="str">
        <f t="shared" si="96"/>
        <v/>
      </c>
      <c r="AJ792" t="str">
        <f t="shared" si="97"/>
        <v/>
      </c>
      <c r="AK792" t="str">
        <f>IF(COUNTA(T792:AH792)=0,"",(SUM(T792*KPI_Weights!$B$4,U792*KPI_Weights!$B$5,V792*KPI_Weights!$B$6,W792*KPI_Weights!$B$7,X792*KPI_Weights!$B$8,Y792*KPI_Weights!$B$9,Z792*KPI_Weights!$B$10,AA792*KPI_Weights!$B$11,AB792*KPI_Weights!$B$12,AC792*KPI_Weights!$B$13,AD792*KPI_Weights!$B$14,AE792*KPI_Weights!$B$15,AF792*KPI_Weights!$B$16,AG792*KPI_Weights!$B$17,AH792*KPI_Weights!$B$18))/5)</f>
        <v/>
      </c>
      <c r="AL792" t="str">
        <f t="shared" si="98"/>
        <v/>
      </c>
      <c r="AM792" t="str">
        <f t="shared" si="99"/>
        <v/>
      </c>
      <c r="AN792" t="str">
        <f t="shared" si="100"/>
        <v/>
      </c>
    </row>
    <row r="793" spans="1:40" ht="15" customHeight="1" x14ac:dyDescent="0.2">
      <c r="A793" t="str">
        <f>IF($B793="","",TEXT($B793,"yyyymmdd")&amp;"-"&amp;SUBSTITUTE($F793," ","")&amp;"-"&amp;TEXT(COUNTIF($F$4:F793,$F793),"00"))</f>
        <v/>
      </c>
      <c r="C793" t="str">
        <f t="shared" si="94"/>
        <v/>
      </c>
      <c r="D793" t="str">
        <f t="shared" si="95"/>
        <v/>
      </c>
      <c r="G793" t="str">
        <f>IF(OR($E793="",$F793=""),"",IFERROR(IF($E793=INDEX(Cluster_Master!$A$4:$A$18,MATCH($F793,Cluster_Master!$B$4:$B$18,0)),"OK","CHECK"),"CHECK"))</f>
        <v/>
      </c>
      <c r="H793" t="str">
        <f>IFERROR(INDEX(Cluster_Master!$C$4:$C$18,MATCH($F793,Cluster_Master!$B$4:$B$18,0)),"")</f>
        <v/>
      </c>
      <c r="I793" t="str">
        <f>IFERROR(INDEX(Cluster_Master!$D$4:$D$18,MATCH($F793,Cluster_Master!$B$4:$B$18,0)),"")</f>
        <v/>
      </c>
      <c r="J793" t="str">
        <f>IFERROR(INDEX(Cluster_Master!$E$4:$E$18,MATCH($F793,Cluster_Master!$B$4:$B$18,0)),"")</f>
        <v/>
      </c>
      <c r="K793" t="str">
        <f>IFERROR(INDEX(Cluster_Master!$F$4:$F$18,MATCH($F793,Cluster_Master!$B$4:$B$18,0)),"")</f>
        <v/>
      </c>
      <c r="L793" t="str">
        <f>IFERROR(INDEX(Cluster_Master!$G$4:$G$18,MATCH($F793,Cluster_Master!$B$4:$B$18,0)),"")</f>
        <v/>
      </c>
      <c r="M793" t="str">
        <f>IFERROR(INDEX(Cluster_Master!$H$4:$H$18,MATCH($F793,Cluster_Master!$B$4:$B$18,0)),"")</f>
        <v/>
      </c>
      <c r="AI793" t="str">
        <f t="shared" si="96"/>
        <v/>
      </c>
      <c r="AJ793" t="str">
        <f t="shared" si="97"/>
        <v/>
      </c>
      <c r="AK793" t="str">
        <f>IF(COUNTA(T793:AH793)=0,"",(SUM(T793*KPI_Weights!$B$4,U793*KPI_Weights!$B$5,V793*KPI_Weights!$B$6,W793*KPI_Weights!$B$7,X793*KPI_Weights!$B$8,Y793*KPI_Weights!$B$9,Z793*KPI_Weights!$B$10,AA793*KPI_Weights!$B$11,AB793*KPI_Weights!$B$12,AC793*KPI_Weights!$B$13,AD793*KPI_Weights!$B$14,AE793*KPI_Weights!$B$15,AF793*KPI_Weights!$B$16,AG793*KPI_Weights!$B$17,AH793*KPI_Weights!$B$18))/5)</f>
        <v/>
      </c>
      <c r="AL793" t="str">
        <f t="shared" si="98"/>
        <v/>
      </c>
      <c r="AM793" t="str">
        <f t="shared" si="99"/>
        <v/>
      </c>
      <c r="AN793" t="str">
        <f t="shared" si="100"/>
        <v/>
      </c>
    </row>
    <row r="794" spans="1:40" ht="15" customHeight="1" x14ac:dyDescent="0.2">
      <c r="A794" t="str">
        <f>IF($B794="","",TEXT($B794,"yyyymmdd")&amp;"-"&amp;SUBSTITUTE($F794," ","")&amp;"-"&amp;TEXT(COUNTIF($F$4:F794,$F794),"00"))</f>
        <v/>
      </c>
      <c r="C794" t="str">
        <f t="shared" si="94"/>
        <v/>
      </c>
      <c r="D794" t="str">
        <f t="shared" si="95"/>
        <v/>
      </c>
      <c r="G794" t="str">
        <f>IF(OR($E794="",$F794=""),"",IFERROR(IF($E794=INDEX(Cluster_Master!$A$4:$A$18,MATCH($F794,Cluster_Master!$B$4:$B$18,0)),"OK","CHECK"),"CHECK"))</f>
        <v/>
      </c>
      <c r="H794" t="str">
        <f>IFERROR(INDEX(Cluster_Master!$C$4:$C$18,MATCH($F794,Cluster_Master!$B$4:$B$18,0)),"")</f>
        <v/>
      </c>
      <c r="I794" t="str">
        <f>IFERROR(INDEX(Cluster_Master!$D$4:$D$18,MATCH($F794,Cluster_Master!$B$4:$B$18,0)),"")</f>
        <v/>
      </c>
      <c r="J794" t="str">
        <f>IFERROR(INDEX(Cluster_Master!$E$4:$E$18,MATCH($F794,Cluster_Master!$B$4:$B$18,0)),"")</f>
        <v/>
      </c>
      <c r="K794" t="str">
        <f>IFERROR(INDEX(Cluster_Master!$F$4:$F$18,MATCH($F794,Cluster_Master!$B$4:$B$18,0)),"")</f>
        <v/>
      </c>
      <c r="L794" t="str">
        <f>IFERROR(INDEX(Cluster_Master!$G$4:$G$18,MATCH($F794,Cluster_Master!$B$4:$B$18,0)),"")</f>
        <v/>
      </c>
      <c r="M794" t="str">
        <f>IFERROR(INDEX(Cluster_Master!$H$4:$H$18,MATCH($F794,Cluster_Master!$B$4:$B$18,0)),"")</f>
        <v/>
      </c>
      <c r="AI794" t="str">
        <f t="shared" si="96"/>
        <v/>
      </c>
      <c r="AJ794" t="str">
        <f t="shared" si="97"/>
        <v/>
      </c>
      <c r="AK794" t="str">
        <f>IF(COUNTA(T794:AH794)=0,"",(SUM(T794*KPI_Weights!$B$4,U794*KPI_Weights!$B$5,V794*KPI_Weights!$B$6,W794*KPI_Weights!$B$7,X794*KPI_Weights!$B$8,Y794*KPI_Weights!$B$9,Z794*KPI_Weights!$B$10,AA794*KPI_Weights!$B$11,AB794*KPI_Weights!$B$12,AC794*KPI_Weights!$B$13,AD794*KPI_Weights!$B$14,AE794*KPI_Weights!$B$15,AF794*KPI_Weights!$B$16,AG794*KPI_Weights!$B$17,AH794*KPI_Weights!$B$18))/5)</f>
        <v/>
      </c>
      <c r="AL794" t="str">
        <f t="shared" si="98"/>
        <v/>
      </c>
      <c r="AM794" t="str">
        <f t="shared" si="99"/>
        <v/>
      </c>
      <c r="AN794" t="str">
        <f t="shared" si="100"/>
        <v/>
      </c>
    </row>
    <row r="795" spans="1:40" ht="15" customHeight="1" x14ac:dyDescent="0.2">
      <c r="A795" t="str">
        <f>IF($B795="","",TEXT($B795,"yyyymmdd")&amp;"-"&amp;SUBSTITUTE($F795," ","")&amp;"-"&amp;TEXT(COUNTIF($F$4:F795,$F795),"00"))</f>
        <v/>
      </c>
      <c r="C795" t="str">
        <f t="shared" si="94"/>
        <v/>
      </c>
      <c r="D795" t="str">
        <f t="shared" si="95"/>
        <v/>
      </c>
      <c r="G795" t="str">
        <f>IF(OR($E795="",$F795=""),"",IFERROR(IF($E795=INDEX(Cluster_Master!$A$4:$A$18,MATCH($F795,Cluster_Master!$B$4:$B$18,0)),"OK","CHECK"),"CHECK"))</f>
        <v/>
      </c>
      <c r="H795" t="str">
        <f>IFERROR(INDEX(Cluster_Master!$C$4:$C$18,MATCH($F795,Cluster_Master!$B$4:$B$18,0)),"")</f>
        <v/>
      </c>
      <c r="I795" t="str">
        <f>IFERROR(INDEX(Cluster_Master!$D$4:$D$18,MATCH($F795,Cluster_Master!$B$4:$B$18,0)),"")</f>
        <v/>
      </c>
      <c r="J795" t="str">
        <f>IFERROR(INDEX(Cluster_Master!$E$4:$E$18,MATCH($F795,Cluster_Master!$B$4:$B$18,0)),"")</f>
        <v/>
      </c>
      <c r="K795" t="str">
        <f>IFERROR(INDEX(Cluster_Master!$F$4:$F$18,MATCH($F795,Cluster_Master!$B$4:$B$18,0)),"")</f>
        <v/>
      </c>
      <c r="L795" t="str">
        <f>IFERROR(INDEX(Cluster_Master!$G$4:$G$18,MATCH($F795,Cluster_Master!$B$4:$B$18,0)),"")</f>
        <v/>
      </c>
      <c r="M795" t="str">
        <f>IFERROR(INDEX(Cluster_Master!$H$4:$H$18,MATCH($F795,Cluster_Master!$B$4:$B$18,0)),"")</f>
        <v/>
      </c>
      <c r="AI795" t="str">
        <f t="shared" si="96"/>
        <v/>
      </c>
      <c r="AJ795" t="str">
        <f t="shared" si="97"/>
        <v/>
      </c>
      <c r="AK795" t="str">
        <f>IF(COUNTA(T795:AH795)=0,"",(SUM(T795*KPI_Weights!$B$4,U795*KPI_Weights!$B$5,V795*KPI_Weights!$B$6,W795*KPI_Weights!$B$7,X795*KPI_Weights!$B$8,Y795*KPI_Weights!$B$9,Z795*KPI_Weights!$B$10,AA795*KPI_Weights!$B$11,AB795*KPI_Weights!$B$12,AC795*KPI_Weights!$B$13,AD795*KPI_Weights!$B$14,AE795*KPI_Weights!$B$15,AF795*KPI_Weights!$B$16,AG795*KPI_Weights!$B$17,AH795*KPI_Weights!$B$18))/5)</f>
        <v/>
      </c>
      <c r="AL795" t="str">
        <f t="shared" si="98"/>
        <v/>
      </c>
      <c r="AM795" t="str">
        <f t="shared" si="99"/>
        <v/>
      </c>
      <c r="AN795" t="str">
        <f t="shared" si="100"/>
        <v/>
      </c>
    </row>
    <row r="796" spans="1:40" ht="15" customHeight="1" x14ac:dyDescent="0.2">
      <c r="A796" t="str">
        <f>IF($B796="","",TEXT($B796,"yyyymmdd")&amp;"-"&amp;SUBSTITUTE($F796," ","")&amp;"-"&amp;TEXT(COUNTIF($F$4:F796,$F796),"00"))</f>
        <v/>
      </c>
      <c r="C796" t="str">
        <f t="shared" si="94"/>
        <v/>
      </c>
      <c r="D796" t="str">
        <f t="shared" si="95"/>
        <v/>
      </c>
      <c r="G796" t="str">
        <f>IF(OR($E796="",$F796=""),"",IFERROR(IF($E796=INDEX(Cluster_Master!$A$4:$A$18,MATCH($F796,Cluster_Master!$B$4:$B$18,0)),"OK","CHECK"),"CHECK"))</f>
        <v/>
      </c>
      <c r="H796" t="str">
        <f>IFERROR(INDEX(Cluster_Master!$C$4:$C$18,MATCH($F796,Cluster_Master!$B$4:$B$18,0)),"")</f>
        <v/>
      </c>
      <c r="I796" t="str">
        <f>IFERROR(INDEX(Cluster_Master!$D$4:$D$18,MATCH($F796,Cluster_Master!$B$4:$B$18,0)),"")</f>
        <v/>
      </c>
      <c r="J796" t="str">
        <f>IFERROR(INDEX(Cluster_Master!$E$4:$E$18,MATCH($F796,Cluster_Master!$B$4:$B$18,0)),"")</f>
        <v/>
      </c>
      <c r="K796" t="str">
        <f>IFERROR(INDEX(Cluster_Master!$F$4:$F$18,MATCH($F796,Cluster_Master!$B$4:$B$18,0)),"")</f>
        <v/>
      </c>
      <c r="L796" t="str">
        <f>IFERROR(INDEX(Cluster_Master!$G$4:$G$18,MATCH($F796,Cluster_Master!$B$4:$B$18,0)),"")</f>
        <v/>
      </c>
      <c r="M796" t="str">
        <f>IFERROR(INDEX(Cluster_Master!$H$4:$H$18,MATCH($F796,Cluster_Master!$B$4:$B$18,0)),"")</f>
        <v/>
      </c>
      <c r="AI796" t="str">
        <f t="shared" si="96"/>
        <v/>
      </c>
      <c r="AJ796" t="str">
        <f t="shared" si="97"/>
        <v/>
      </c>
      <c r="AK796" t="str">
        <f>IF(COUNTA(T796:AH796)=0,"",(SUM(T796*KPI_Weights!$B$4,U796*KPI_Weights!$B$5,V796*KPI_Weights!$B$6,W796*KPI_Weights!$B$7,X796*KPI_Weights!$B$8,Y796*KPI_Weights!$B$9,Z796*KPI_Weights!$B$10,AA796*KPI_Weights!$B$11,AB796*KPI_Weights!$B$12,AC796*KPI_Weights!$B$13,AD796*KPI_Weights!$B$14,AE796*KPI_Weights!$B$15,AF796*KPI_Weights!$B$16,AG796*KPI_Weights!$B$17,AH796*KPI_Weights!$B$18))/5)</f>
        <v/>
      </c>
      <c r="AL796" t="str">
        <f t="shared" si="98"/>
        <v/>
      </c>
      <c r="AM796" t="str">
        <f t="shared" si="99"/>
        <v/>
      </c>
      <c r="AN796" t="str">
        <f t="shared" si="100"/>
        <v/>
      </c>
    </row>
    <row r="797" spans="1:40" ht="15" customHeight="1" x14ac:dyDescent="0.2">
      <c r="A797" t="str">
        <f>IF($B797="","",TEXT($B797,"yyyymmdd")&amp;"-"&amp;SUBSTITUTE($F797," ","")&amp;"-"&amp;TEXT(COUNTIF($F$4:F797,$F797),"00"))</f>
        <v/>
      </c>
      <c r="C797" t="str">
        <f t="shared" si="94"/>
        <v/>
      </c>
      <c r="D797" t="str">
        <f t="shared" si="95"/>
        <v/>
      </c>
      <c r="G797" t="str">
        <f>IF(OR($E797="",$F797=""),"",IFERROR(IF($E797=INDEX(Cluster_Master!$A$4:$A$18,MATCH($F797,Cluster_Master!$B$4:$B$18,0)),"OK","CHECK"),"CHECK"))</f>
        <v/>
      </c>
      <c r="H797" t="str">
        <f>IFERROR(INDEX(Cluster_Master!$C$4:$C$18,MATCH($F797,Cluster_Master!$B$4:$B$18,0)),"")</f>
        <v/>
      </c>
      <c r="I797" t="str">
        <f>IFERROR(INDEX(Cluster_Master!$D$4:$D$18,MATCH($F797,Cluster_Master!$B$4:$B$18,0)),"")</f>
        <v/>
      </c>
      <c r="J797" t="str">
        <f>IFERROR(INDEX(Cluster_Master!$E$4:$E$18,MATCH($F797,Cluster_Master!$B$4:$B$18,0)),"")</f>
        <v/>
      </c>
      <c r="K797" t="str">
        <f>IFERROR(INDEX(Cluster_Master!$F$4:$F$18,MATCH($F797,Cluster_Master!$B$4:$B$18,0)),"")</f>
        <v/>
      </c>
      <c r="L797" t="str">
        <f>IFERROR(INDEX(Cluster_Master!$G$4:$G$18,MATCH($F797,Cluster_Master!$B$4:$B$18,0)),"")</f>
        <v/>
      </c>
      <c r="M797" t="str">
        <f>IFERROR(INDEX(Cluster_Master!$H$4:$H$18,MATCH($F797,Cluster_Master!$B$4:$B$18,0)),"")</f>
        <v/>
      </c>
      <c r="AI797" t="str">
        <f t="shared" si="96"/>
        <v/>
      </c>
      <c r="AJ797" t="str">
        <f t="shared" si="97"/>
        <v/>
      </c>
      <c r="AK797" t="str">
        <f>IF(COUNTA(T797:AH797)=0,"",(SUM(T797*KPI_Weights!$B$4,U797*KPI_Weights!$B$5,V797*KPI_Weights!$B$6,W797*KPI_Weights!$B$7,X797*KPI_Weights!$B$8,Y797*KPI_Weights!$B$9,Z797*KPI_Weights!$B$10,AA797*KPI_Weights!$B$11,AB797*KPI_Weights!$B$12,AC797*KPI_Weights!$B$13,AD797*KPI_Weights!$B$14,AE797*KPI_Weights!$B$15,AF797*KPI_Weights!$B$16,AG797*KPI_Weights!$B$17,AH797*KPI_Weights!$B$18))/5)</f>
        <v/>
      </c>
      <c r="AL797" t="str">
        <f t="shared" si="98"/>
        <v/>
      </c>
      <c r="AM797" t="str">
        <f t="shared" si="99"/>
        <v/>
      </c>
      <c r="AN797" t="str">
        <f t="shared" si="100"/>
        <v/>
      </c>
    </row>
    <row r="798" spans="1:40" ht="15" customHeight="1" x14ac:dyDescent="0.2">
      <c r="A798" t="str">
        <f>IF($B798="","",TEXT($B798,"yyyymmdd")&amp;"-"&amp;SUBSTITUTE($F798," ","")&amp;"-"&amp;TEXT(COUNTIF($F$4:F798,$F798),"00"))</f>
        <v/>
      </c>
      <c r="C798" t="str">
        <f t="shared" si="94"/>
        <v/>
      </c>
      <c r="D798" t="str">
        <f t="shared" si="95"/>
        <v/>
      </c>
      <c r="G798" t="str">
        <f>IF(OR($E798="",$F798=""),"",IFERROR(IF($E798=INDEX(Cluster_Master!$A$4:$A$18,MATCH($F798,Cluster_Master!$B$4:$B$18,0)),"OK","CHECK"),"CHECK"))</f>
        <v/>
      </c>
      <c r="H798" t="str">
        <f>IFERROR(INDEX(Cluster_Master!$C$4:$C$18,MATCH($F798,Cluster_Master!$B$4:$B$18,0)),"")</f>
        <v/>
      </c>
      <c r="I798" t="str">
        <f>IFERROR(INDEX(Cluster_Master!$D$4:$D$18,MATCH($F798,Cluster_Master!$B$4:$B$18,0)),"")</f>
        <v/>
      </c>
      <c r="J798" t="str">
        <f>IFERROR(INDEX(Cluster_Master!$E$4:$E$18,MATCH($F798,Cluster_Master!$B$4:$B$18,0)),"")</f>
        <v/>
      </c>
      <c r="K798" t="str">
        <f>IFERROR(INDEX(Cluster_Master!$F$4:$F$18,MATCH($F798,Cluster_Master!$B$4:$B$18,0)),"")</f>
        <v/>
      </c>
      <c r="L798" t="str">
        <f>IFERROR(INDEX(Cluster_Master!$G$4:$G$18,MATCH($F798,Cluster_Master!$B$4:$B$18,0)),"")</f>
        <v/>
      </c>
      <c r="M798" t="str">
        <f>IFERROR(INDEX(Cluster_Master!$H$4:$H$18,MATCH($F798,Cluster_Master!$B$4:$B$18,0)),"")</f>
        <v/>
      </c>
      <c r="AI798" t="str">
        <f t="shared" si="96"/>
        <v/>
      </c>
      <c r="AJ798" t="str">
        <f t="shared" si="97"/>
        <v/>
      </c>
      <c r="AK798" t="str">
        <f>IF(COUNTA(T798:AH798)=0,"",(SUM(T798*KPI_Weights!$B$4,U798*KPI_Weights!$B$5,V798*KPI_Weights!$B$6,W798*KPI_Weights!$B$7,X798*KPI_Weights!$B$8,Y798*KPI_Weights!$B$9,Z798*KPI_Weights!$B$10,AA798*KPI_Weights!$B$11,AB798*KPI_Weights!$B$12,AC798*KPI_Weights!$B$13,AD798*KPI_Weights!$B$14,AE798*KPI_Weights!$B$15,AF798*KPI_Weights!$B$16,AG798*KPI_Weights!$B$17,AH798*KPI_Weights!$B$18))/5)</f>
        <v/>
      </c>
      <c r="AL798" t="str">
        <f t="shared" si="98"/>
        <v/>
      </c>
      <c r="AM798" t="str">
        <f t="shared" si="99"/>
        <v/>
      </c>
      <c r="AN798" t="str">
        <f t="shared" si="100"/>
        <v/>
      </c>
    </row>
    <row r="799" spans="1:40" ht="15" customHeight="1" x14ac:dyDescent="0.2">
      <c r="A799" t="str">
        <f>IF($B799="","",TEXT($B799,"yyyymmdd")&amp;"-"&amp;SUBSTITUTE($F799," ","")&amp;"-"&amp;TEXT(COUNTIF($F$4:F799,$F799),"00"))</f>
        <v/>
      </c>
      <c r="C799" t="str">
        <f t="shared" si="94"/>
        <v/>
      </c>
      <c r="D799" t="str">
        <f t="shared" si="95"/>
        <v/>
      </c>
      <c r="G799" t="str">
        <f>IF(OR($E799="",$F799=""),"",IFERROR(IF($E799=INDEX(Cluster_Master!$A$4:$A$18,MATCH($F799,Cluster_Master!$B$4:$B$18,0)),"OK","CHECK"),"CHECK"))</f>
        <v/>
      </c>
      <c r="H799" t="str">
        <f>IFERROR(INDEX(Cluster_Master!$C$4:$C$18,MATCH($F799,Cluster_Master!$B$4:$B$18,0)),"")</f>
        <v/>
      </c>
      <c r="I799" t="str">
        <f>IFERROR(INDEX(Cluster_Master!$D$4:$D$18,MATCH($F799,Cluster_Master!$B$4:$B$18,0)),"")</f>
        <v/>
      </c>
      <c r="J799" t="str">
        <f>IFERROR(INDEX(Cluster_Master!$E$4:$E$18,MATCH($F799,Cluster_Master!$B$4:$B$18,0)),"")</f>
        <v/>
      </c>
      <c r="K799" t="str">
        <f>IFERROR(INDEX(Cluster_Master!$F$4:$F$18,MATCH($F799,Cluster_Master!$B$4:$B$18,0)),"")</f>
        <v/>
      </c>
      <c r="L799" t="str">
        <f>IFERROR(INDEX(Cluster_Master!$G$4:$G$18,MATCH($F799,Cluster_Master!$B$4:$B$18,0)),"")</f>
        <v/>
      </c>
      <c r="M799" t="str">
        <f>IFERROR(INDEX(Cluster_Master!$H$4:$H$18,MATCH($F799,Cluster_Master!$B$4:$B$18,0)),"")</f>
        <v/>
      </c>
      <c r="AI799" t="str">
        <f t="shared" si="96"/>
        <v/>
      </c>
      <c r="AJ799" t="str">
        <f t="shared" si="97"/>
        <v/>
      </c>
      <c r="AK799" t="str">
        <f>IF(COUNTA(T799:AH799)=0,"",(SUM(T799*KPI_Weights!$B$4,U799*KPI_Weights!$B$5,V799*KPI_Weights!$B$6,W799*KPI_Weights!$B$7,X799*KPI_Weights!$B$8,Y799*KPI_Weights!$B$9,Z799*KPI_Weights!$B$10,AA799*KPI_Weights!$B$11,AB799*KPI_Weights!$B$12,AC799*KPI_Weights!$B$13,AD799*KPI_Weights!$B$14,AE799*KPI_Weights!$B$15,AF799*KPI_Weights!$B$16,AG799*KPI_Weights!$B$17,AH799*KPI_Weights!$B$18))/5)</f>
        <v/>
      </c>
      <c r="AL799" t="str">
        <f t="shared" si="98"/>
        <v/>
      </c>
      <c r="AM799" t="str">
        <f t="shared" si="99"/>
        <v/>
      </c>
      <c r="AN799" t="str">
        <f t="shared" si="100"/>
        <v/>
      </c>
    </row>
    <row r="800" spans="1:40" ht="15" customHeight="1" x14ac:dyDescent="0.2">
      <c r="A800" t="str">
        <f>IF($B800="","",TEXT($B800,"yyyymmdd")&amp;"-"&amp;SUBSTITUTE($F800," ","")&amp;"-"&amp;TEXT(COUNTIF($F$4:F800,$F800),"00"))</f>
        <v/>
      </c>
      <c r="C800" t="str">
        <f t="shared" si="94"/>
        <v/>
      </c>
      <c r="D800" t="str">
        <f t="shared" si="95"/>
        <v/>
      </c>
      <c r="G800" t="str">
        <f>IF(OR($E800="",$F800=""),"",IFERROR(IF($E800=INDEX(Cluster_Master!$A$4:$A$18,MATCH($F800,Cluster_Master!$B$4:$B$18,0)),"OK","CHECK"),"CHECK"))</f>
        <v/>
      </c>
      <c r="H800" t="str">
        <f>IFERROR(INDEX(Cluster_Master!$C$4:$C$18,MATCH($F800,Cluster_Master!$B$4:$B$18,0)),"")</f>
        <v/>
      </c>
      <c r="I800" t="str">
        <f>IFERROR(INDEX(Cluster_Master!$D$4:$D$18,MATCH($F800,Cluster_Master!$B$4:$B$18,0)),"")</f>
        <v/>
      </c>
      <c r="J800" t="str">
        <f>IFERROR(INDEX(Cluster_Master!$E$4:$E$18,MATCH($F800,Cluster_Master!$B$4:$B$18,0)),"")</f>
        <v/>
      </c>
      <c r="K800" t="str">
        <f>IFERROR(INDEX(Cluster_Master!$F$4:$F$18,MATCH($F800,Cluster_Master!$B$4:$B$18,0)),"")</f>
        <v/>
      </c>
      <c r="L800" t="str">
        <f>IFERROR(INDEX(Cluster_Master!$G$4:$G$18,MATCH($F800,Cluster_Master!$B$4:$B$18,0)),"")</f>
        <v/>
      </c>
      <c r="M800" t="str">
        <f>IFERROR(INDEX(Cluster_Master!$H$4:$H$18,MATCH($F800,Cluster_Master!$B$4:$B$18,0)),"")</f>
        <v/>
      </c>
      <c r="AI800" t="str">
        <f t="shared" si="96"/>
        <v/>
      </c>
      <c r="AJ800" t="str">
        <f t="shared" si="97"/>
        <v/>
      </c>
      <c r="AK800" t="str">
        <f>IF(COUNTA(T800:AH800)=0,"",(SUM(T800*KPI_Weights!$B$4,U800*KPI_Weights!$B$5,V800*KPI_Weights!$B$6,W800*KPI_Weights!$B$7,X800*KPI_Weights!$B$8,Y800*KPI_Weights!$B$9,Z800*KPI_Weights!$B$10,AA800*KPI_Weights!$B$11,AB800*KPI_Weights!$B$12,AC800*KPI_Weights!$B$13,AD800*KPI_Weights!$B$14,AE800*KPI_Weights!$B$15,AF800*KPI_Weights!$B$16,AG800*KPI_Weights!$B$17,AH800*KPI_Weights!$B$18))/5)</f>
        <v/>
      </c>
      <c r="AL800" t="str">
        <f t="shared" si="98"/>
        <v/>
      </c>
      <c r="AM800" t="str">
        <f t="shared" si="99"/>
        <v/>
      </c>
      <c r="AN800" t="str">
        <f t="shared" si="100"/>
        <v/>
      </c>
    </row>
    <row r="801" spans="1:40" ht="15" customHeight="1" x14ac:dyDescent="0.2">
      <c r="A801" t="str">
        <f>IF($B801="","",TEXT($B801,"yyyymmdd")&amp;"-"&amp;SUBSTITUTE($F801," ","")&amp;"-"&amp;TEXT(COUNTIF($F$4:F801,$F801),"00"))</f>
        <v/>
      </c>
      <c r="C801" t="str">
        <f t="shared" si="94"/>
        <v/>
      </c>
      <c r="D801" t="str">
        <f t="shared" si="95"/>
        <v/>
      </c>
      <c r="G801" t="str">
        <f>IF(OR($E801="",$F801=""),"",IFERROR(IF($E801=INDEX(Cluster_Master!$A$4:$A$18,MATCH($F801,Cluster_Master!$B$4:$B$18,0)),"OK","CHECK"),"CHECK"))</f>
        <v/>
      </c>
      <c r="H801" t="str">
        <f>IFERROR(INDEX(Cluster_Master!$C$4:$C$18,MATCH($F801,Cluster_Master!$B$4:$B$18,0)),"")</f>
        <v/>
      </c>
      <c r="I801" t="str">
        <f>IFERROR(INDEX(Cluster_Master!$D$4:$D$18,MATCH($F801,Cluster_Master!$B$4:$B$18,0)),"")</f>
        <v/>
      </c>
      <c r="J801" t="str">
        <f>IFERROR(INDEX(Cluster_Master!$E$4:$E$18,MATCH($F801,Cluster_Master!$B$4:$B$18,0)),"")</f>
        <v/>
      </c>
      <c r="K801" t="str">
        <f>IFERROR(INDEX(Cluster_Master!$F$4:$F$18,MATCH($F801,Cluster_Master!$B$4:$B$18,0)),"")</f>
        <v/>
      </c>
      <c r="L801" t="str">
        <f>IFERROR(INDEX(Cluster_Master!$G$4:$G$18,MATCH($F801,Cluster_Master!$B$4:$B$18,0)),"")</f>
        <v/>
      </c>
      <c r="M801" t="str">
        <f>IFERROR(INDEX(Cluster_Master!$H$4:$H$18,MATCH($F801,Cluster_Master!$B$4:$B$18,0)),"")</f>
        <v/>
      </c>
      <c r="AI801" t="str">
        <f t="shared" si="96"/>
        <v/>
      </c>
      <c r="AJ801" t="str">
        <f t="shared" si="97"/>
        <v/>
      </c>
      <c r="AK801" t="str">
        <f>IF(COUNTA(T801:AH801)=0,"",(SUM(T801*KPI_Weights!$B$4,U801*KPI_Weights!$B$5,V801*KPI_Weights!$B$6,W801*KPI_Weights!$B$7,X801*KPI_Weights!$B$8,Y801*KPI_Weights!$B$9,Z801*KPI_Weights!$B$10,AA801*KPI_Weights!$B$11,AB801*KPI_Weights!$B$12,AC801*KPI_Weights!$B$13,AD801*KPI_Weights!$B$14,AE801*KPI_Weights!$B$15,AF801*KPI_Weights!$B$16,AG801*KPI_Weights!$B$17,AH801*KPI_Weights!$B$18))/5)</f>
        <v/>
      </c>
      <c r="AL801" t="str">
        <f t="shared" si="98"/>
        <v/>
      </c>
      <c r="AM801" t="str">
        <f t="shared" si="99"/>
        <v/>
      </c>
      <c r="AN801" t="str">
        <f t="shared" si="100"/>
        <v/>
      </c>
    </row>
    <row r="802" spans="1:40" ht="15" customHeight="1" x14ac:dyDescent="0.2">
      <c r="A802" t="str">
        <f>IF($B802="","",TEXT($B802,"yyyymmdd")&amp;"-"&amp;SUBSTITUTE($F802," ","")&amp;"-"&amp;TEXT(COUNTIF($F$4:F802,$F802),"00"))</f>
        <v/>
      </c>
      <c r="C802" t="str">
        <f t="shared" si="94"/>
        <v/>
      </c>
      <c r="D802" t="str">
        <f t="shared" si="95"/>
        <v/>
      </c>
      <c r="G802" t="str">
        <f>IF(OR($E802="",$F802=""),"",IFERROR(IF($E802=INDEX(Cluster_Master!$A$4:$A$18,MATCH($F802,Cluster_Master!$B$4:$B$18,0)),"OK","CHECK"),"CHECK"))</f>
        <v/>
      </c>
      <c r="H802" t="str">
        <f>IFERROR(INDEX(Cluster_Master!$C$4:$C$18,MATCH($F802,Cluster_Master!$B$4:$B$18,0)),"")</f>
        <v/>
      </c>
      <c r="I802" t="str">
        <f>IFERROR(INDEX(Cluster_Master!$D$4:$D$18,MATCH($F802,Cluster_Master!$B$4:$B$18,0)),"")</f>
        <v/>
      </c>
      <c r="J802" t="str">
        <f>IFERROR(INDEX(Cluster_Master!$E$4:$E$18,MATCH($F802,Cluster_Master!$B$4:$B$18,0)),"")</f>
        <v/>
      </c>
      <c r="K802" t="str">
        <f>IFERROR(INDEX(Cluster_Master!$F$4:$F$18,MATCH($F802,Cluster_Master!$B$4:$B$18,0)),"")</f>
        <v/>
      </c>
      <c r="L802" t="str">
        <f>IFERROR(INDEX(Cluster_Master!$G$4:$G$18,MATCH($F802,Cluster_Master!$B$4:$B$18,0)),"")</f>
        <v/>
      </c>
      <c r="M802" t="str">
        <f>IFERROR(INDEX(Cluster_Master!$H$4:$H$18,MATCH($F802,Cluster_Master!$B$4:$B$18,0)),"")</f>
        <v/>
      </c>
      <c r="AI802" t="str">
        <f t="shared" si="96"/>
        <v/>
      </c>
      <c r="AJ802" t="str">
        <f t="shared" si="97"/>
        <v/>
      </c>
      <c r="AK802" t="str">
        <f>IF(COUNTA(T802:AH802)=0,"",(SUM(T802*KPI_Weights!$B$4,U802*KPI_Weights!$B$5,V802*KPI_Weights!$B$6,W802*KPI_Weights!$B$7,X802*KPI_Weights!$B$8,Y802*KPI_Weights!$B$9,Z802*KPI_Weights!$B$10,AA802*KPI_Weights!$B$11,AB802*KPI_Weights!$B$12,AC802*KPI_Weights!$B$13,AD802*KPI_Weights!$B$14,AE802*KPI_Weights!$B$15,AF802*KPI_Weights!$B$16,AG802*KPI_Weights!$B$17,AH802*KPI_Weights!$B$18))/5)</f>
        <v/>
      </c>
      <c r="AL802" t="str">
        <f t="shared" si="98"/>
        <v/>
      </c>
      <c r="AM802" t="str">
        <f t="shared" si="99"/>
        <v/>
      </c>
      <c r="AN802" t="str">
        <f t="shared" si="100"/>
        <v/>
      </c>
    </row>
    <row r="803" spans="1:40" ht="15" customHeight="1" x14ac:dyDescent="0.2">
      <c r="A803" t="str">
        <f>IF($B803="","",TEXT($B803,"yyyymmdd")&amp;"-"&amp;SUBSTITUTE($F803," ","")&amp;"-"&amp;TEXT(COUNTIF($F$4:F803,$F803),"00"))</f>
        <v/>
      </c>
      <c r="C803" t="str">
        <f t="shared" si="94"/>
        <v/>
      </c>
      <c r="D803" t="str">
        <f t="shared" si="95"/>
        <v/>
      </c>
      <c r="G803" t="str">
        <f>IF(OR($E803="",$F803=""),"",IFERROR(IF($E803=INDEX(Cluster_Master!$A$4:$A$18,MATCH($F803,Cluster_Master!$B$4:$B$18,0)),"OK","CHECK"),"CHECK"))</f>
        <v/>
      </c>
      <c r="H803" t="str">
        <f>IFERROR(INDEX(Cluster_Master!$C$4:$C$18,MATCH($F803,Cluster_Master!$B$4:$B$18,0)),"")</f>
        <v/>
      </c>
      <c r="I803" t="str">
        <f>IFERROR(INDEX(Cluster_Master!$D$4:$D$18,MATCH($F803,Cluster_Master!$B$4:$B$18,0)),"")</f>
        <v/>
      </c>
      <c r="J803" t="str">
        <f>IFERROR(INDEX(Cluster_Master!$E$4:$E$18,MATCH($F803,Cluster_Master!$B$4:$B$18,0)),"")</f>
        <v/>
      </c>
      <c r="K803" t="str">
        <f>IFERROR(INDEX(Cluster_Master!$F$4:$F$18,MATCH($F803,Cluster_Master!$B$4:$B$18,0)),"")</f>
        <v/>
      </c>
      <c r="L803" t="str">
        <f>IFERROR(INDEX(Cluster_Master!$G$4:$G$18,MATCH($F803,Cluster_Master!$B$4:$B$18,0)),"")</f>
        <v/>
      </c>
      <c r="M803" t="str">
        <f>IFERROR(INDEX(Cluster_Master!$H$4:$H$18,MATCH($F803,Cluster_Master!$B$4:$B$18,0)),"")</f>
        <v/>
      </c>
      <c r="AI803" t="str">
        <f t="shared" si="96"/>
        <v/>
      </c>
      <c r="AJ803" t="str">
        <f t="shared" si="97"/>
        <v/>
      </c>
      <c r="AK803" t="str">
        <f>IF(COUNTA(T803:AH803)=0,"",(SUM(T803*KPI_Weights!$B$4,U803*KPI_Weights!$B$5,V803*KPI_Weights!$B$6,W803*KPI_Weights!$B$7,X803*KPI_Weights!$B$8,Y803*KPI_Weights!$B$9,Z803*KPI_Weights!$B$10,AA803*KPI_Weights!$B$11,AB803*KPI_Weights!$B$12,AC803*KPI_Weights!$B$13,AD803*KPI_Weights!$B$14,AE803*KPI_Weights!$B$15,AF803*KPI_Weights!$B$16,AG803*KPI_Weights!$B$17,AH803*KPI_Weights!$B$18))/5)</f>
        <v/>
      </c>
      <c r="AL803" t="str">
        <f t="shared" si="98"/>
        <v/>
      </c>
      <c r="AM803" t="str">
        <f t="shared" si="99"/>
        <v/>
      </c>
      <c r="AN803" t="str">
        <f t="shared" si="100"/>
        <v/>
      </c>
    </row>
    <row r="804" spans="1:40" ht="15" customHeight="1" x14ac:dyDescent="0.2">
      <c r="A804" t="str">
        <f>IF($B804="","",TEXT($B804,"yyyymmdd")&amp;"-"&amp;SUBSTITUTE($F804," ","")&amp;"-"&amp;TEXT(COUNTIF($F$4:F804,$F804),"00"))</f>
        <v/>
      </c>
      <c r="C804" t="str">
        <f t="shared" si="94"/>
        <v/>
      </c>
      <c r="D804" t="str">
        <f t="shared" si="95"/>
        <v/>
      </c>
      <c r="G804" t="str">
        <f>IF(OR($E804="",$F804=""),"",IFERROR(IF($E804=INDEX(Cluster_Master!$A$4:$A$18,MATCH($F804,Cluster_Master!$B$4:$B$18,0)),"OK","CHECK"),"CHECK"))</f>
        <v/>
      </c>
      <c r="H804" t="str">
        <f>IFERROR(INDEX(Cluster_Master!$C$4:$C$18,MATCH($F804,Cluster_Master!$B$4:$B$18,0)),"")</f>
        <v/>
      </c>
      <c r="I804" t="str">
        <f>IFERROR(INDEX(Cluster_Master!$D$4:$D$18,MATCH($F804,Cluster_Master!$B$4:$B$18,0)),"")</f>
        <v/>
      </c>
      <c r="J804" t="str">
        <f>IFERROR(INDEX(Cluster_Master!$E$4:$E$18,MATCH($F804,Cluster_Master!$B$4:$B$18,0)),"")</f>
        <v/>
      </c>
      <c r="K804" t="str">
        <f>IFERROR(INDEX(Cluster_Master!$F$4:$F$18,MATCH($F804,Cluster_Master!$B$4:$B$18,0)),"")</f>
        <v/>
      </c>
      <c r="L804" t="str">
        <f>IFERROR(INDEX(Cluster_Master!$G$4:$G$18,MATCH($F804,Cluster_Master!$B$4:$B$18,0)),"")</f>
        <v/>
      </c>
      <c r="M804" t="str">
        <f>IFERROR(INDEX(Cluster_Master!$H$4:$H$18,MATCH($F804,Cluster_Master!$B$4:$B$18,0)),"")</f>
        <v/>
      </c>
      <c r="AI804" t="str">
        <f t="shared" si="96"/>
        <v/>
      </c>
      <c r="AJ804" t="str">
        <f t="shared" si="97"/>
        <v/>
      </c>
      <c r="AK804" t="str">
        <f>IF(COUNTA(T804:AH804)=0,"",(SUM(T804*KPI_Weights!$B$4,U804*KPI_Weights!$B$5,V804*KPI_Weights!$B$6,W804*KPI_Weights!$B$7,X804*KPI_Weights!$B$8,Y804*KPI_Weights!$B$9,Z804*KPI_Weights!$B$10,AA804*KPI_Weights!$B$11,AB804*KPI_Weights!$B$12,AC804*KPI_Weights!$B$13,AD804*KPI_Weights!$B$14,AE804*KPI_Weights!$B$15,AF804*KPI_Weights!$B$16,AG804*KPI_Weights!$B$17,AH804*KPI_Weights!$B$18))/5)</f>
        <v/>
      </c>
      <c r="AL804" t="str">
        <f t="shared" si="98"/>
        <v/>
      </c>
      <c r="AM804" t="str">
        <f t="shared" si="99"/>
        <v/>
      </c>
      <c r="AN804" t="str">
        <f t="shared" si="100"/>
        <v/>
      </c>
    </row>
    <row r="805" spans="1:40" ht="15" customHeight="1" x14ac:dyDescent="0.2">
      <c r="A805" t="str">
        <f>IF($B805="","",TEXT($B805,"yyyymmdd")&amp;"-"&amp;SUBSTITUTE($F805," ","")&amp;"-"&amp;TEXT(COUNTIF($F$4:F805,$F805),"00"))</f>
        <v/>
      </c>
      <c r="C805" t="str">
        <f t="shared" si="94"/>
        <v/>
      </c>
      <c r="D805" t="str">
        <f t="shared" si="95"/>
        <v/>
      </c>
      <c r="G805" t="str">
        <f>IF(OR($E805="",$F805=""),"",IFERROR(IF($E805=INDEX(Cluster_Master!$A$4:$A$18,MATCH($F805,Cluster_Master!$B$4:$B$18,0)),"OK","CHECK"),"CHECK"))</f>
        <v/>
      </c>
      <c r="H805" t="str">
        <f>IFERROR(INDEX(Cluster_Master!$C$4:$C$18,MATCH($F805,Cluster_Master!$B$4:$B$18,0)),"")</f>
        <v/>
      </c>
      <c r="I805" t="str">
        <f>IFERROR(INDEX(Cluster_Master!$D$4:$D$18,MATCH($F805,Cluster_Master!$B$4:$B$18,0)),"")</f>
        <v/>
      </c>
      <c r="J805" t="str">
        <f>IFERROR(INDEX(Cluster_Master!$E$4:$E$18,MATCH($F805,Cluster_Master!$B$4:$B$18,0)),"")</f>
        <v/>
      </c>
      <c r="K805" t="str">
        <f>IFERROR(INDEX(Cluster_Master!$F$4:$F$18,MATCH($F805,Cluster_Master!$B$4:$B$18,0)),"")</f>
        <v/>
      </c>
      <c r="L805" t="str">
        <f>IFERROR(INDEX(Cluster_Master!$G$4:$G$18,MATCH($F805,Cluster_Master!$B$4:$B$18,0)),"")</f>
        <v/>
      </c>
      <c r="M805" t="str">
        <f>IFERROR(INDEX(Cluster_Master!$H$4:$H$18,MATCH($F805,Cluster_Master!$B$4:$B$18,0)),"")</f>
        <v/>
      </c>
      <c r="AI805" t="str">
        <f t="shared" si="96"/>
        <v/>
      </c>
      <c r="AJ805" t="str">
        <f t="shared" si="97"/>
        <v/>
      </c>
      <c r="AK805" t="str">
        <f>IF(COUNTA(T805:AH805)=0,"",(SUM(T805*KPI_Weights!$B$4,U805*KPI_Weights!$B$5,V805*KPI_Weights!$B$6,W805*KPI_Weights!$B$7,X805*KPI_Weights!$B$8,Y805*KPI_Weights!$B$9,Z805*KPI_Weights!$B$10,AA805*KPI_Weights!$B$11,AB805*KPI_Weights!$B$12,AC805*KPI_Weights!$B$13,AD805*KPI_Weights!$B$14,AE805*KPI_Weights!$B$15,AF805*KPI_Weights!$B$16,AG805*KPI_Weights!$B$17,AH805*KPI_Weights!$B$18))/5)</f>
        <v/>
      </c>
      <c r="AL805" t="str">
        <f t="shared" si="98"/>
        <v/>
      </c>
      <c r="AM805" t="str">
        <f t="shared" si="99"/>
        <v/>
      </c>
      <c r="AN805" t="str">
        <f t="shared" si="100"/>
        <v/>
      </c>
    </row>
    <row r="806" spans="1:40" ht="15" customHeight="1" x14ac:dyDescent="0.2">
      <c r="A806" t="str">
        <f>IF($B806="","",TEXT($B806,"yyyymmdd")&amp;"-"&amp;SUBSTITUTE($F806," ","")&amp;"-"&amp;TEXT(COUNTIF($F$4:F806,$F806),"00"))</f>
        <v/>
      </c>
      <c r="C806" t="str">
        <f t="shared" si="94"/>
        <v/>
      </c>
      <c r="D806" t="str">
        <f t="shared" si="95"/>
        <v/>
      </c>
      <c r="G806" t="str">
        <f>IF(OR($E806="",$F806=""),"",IFERROR(IF($E806=INDEX(Cluster_Master!$A$4:$A$18,MATCH($F806,Cluster_Master!$B$4:$B$18,0)),"OK","CHECK"),"CHECK"))</f>
        <v/>
      </c>
      <c r="H806" t="str">
        <f>IFERROR(INDEX(Cluster_Master!$C$4:$C$18,MATCH($F806,Cluster_Master!$B$4:$B$18,0)),"")</f>
        <v/>
      </c>
      <c r="I806" t="str">
        <f>IFERROR(INDEX(Cluster_Master!$D$4:$D$18,MATCH($F806,Cluster_Master!$B$4:$B$18,0)),"")</f>
        <v/>
      </c>
      <c r="J806" t="str">
        <f>IFERROR(INDEX(Cluster_Master!$E$4:$E$18,MATCH($F806,Cluster_Master!$B$4:$B$18,0)),"")</f>
        <v/>
      </c>
      <c r="K806" t="str">
        <f>IFERROR(INDEX(Cluster_Master!$F$4:$F$18,MATCH($F806,Cluster_Master!$B$4:$B$18,0)),"")</f>
        <v/>
      </c>
      <c r="L806" t="str">
        <f>IFERROR(INDEX(Cluster_Master!$G$4:$G$18,MATCH($F806,Cluster_Master!$B$4:$B$18,0)),"")</f>
        <v/>
      </c>
      <c r="M806" t="str">
        <f>IFERROR(INDEX(Cluster_Master!$H$4:$H$18,MATCH($F806,Cluster_Master!$B$4:$B$18,0)),"")</f>
        <v/>
      </c>
      <c r="AI806" t="str">
        <f t="shared" si="96"/>
        <v/>
      </c>
      <c r="AJ806" t="str">
        <f t="shared" si="97"/>
        <v/>
      </c>
      <c r="AK806" t="str">
        <f>IF(COUNTA(T806:AH806)=0,"",(SUM(T806*KPI_Weights!$B$4,U806*KPI_Weights!$B$5,V806*KPI_Weights!$B$6,W806*KPI_Weights!$B$7,X806*KPI_Weights!$B$8,Y806*KPI_Weights!$B$9,Z806*KPI_Weights!$B$10,AA806*KPI_Weights!$B$11,AB806*KPI_Weights!$B$12,AC806*KPI_Weights!$B$13,AD806*KPI_Weights!$B$14,AE806*KPI_Weights!$B$15,AF806*KPI_Weights!$B$16,AG806*KPI_Weights!$B$17,AH806*KPI_Weights!$B$18))/5)</f>
        <v/>
      </c>
      <c r="AL806" t="str">
        <f t="shared" si="98"/>
        <v/>
      </c>
      <c r="AM806" t="str">
        <f t="shared" si="99"/>
        <v/>
      </c>
      <c r="AN806" t="str">
        <f t="shared" si="100"/>
        <v/>
      </c>
    </row>
    <row r="807" spans="1:40" ht="15" customHeight="1" x14ac:dyDescent="0.2">
      <c r="A807" t="str">
        <f>IF($B807="","",TEXT($B807,"yyyymmdd")&amp;"-"&amp;SUBSTITUTE($F807," ","")&amp;"-"&amp;TEXT(COUNTIF($F$4:F807,$F807),"00"))</f>
        <v/>
      </c>
      <c r="C807" t="str">
        <f t="shared" si="94"/>
        <v/>
      </c>
      <c r="D807" t="str">
        <f t="shared" si="95"/>
        <v/>
      </c>
      <c r="G807" t="str">
        <f>IF(OR($E807="",$F807=""),"",IFERROR(IF($E807=INDEX(Cluster_Master!$A$4:$A$18,MATCH($F807,Cluster_Master!$B$4:$B$18,0)),"OK","CHECK"),"CHECK"))</f>
        <v/>
      </c>
      <c r="H807" t="str">
        <f>IFERROR(INDEX(Cluster_Master!$C$4:$C$18,MATCH($F807,Cluster_Master!$B$4:$B$18,0)),"")</f>
        <v/>
      </c>
      <c r="I807" t="str">
        <f>IFERROR(INDEX(Cluster_Master!$D$4:$D$18,MATCH($F807,Cluster_Master!$B$4:$B$18,0)),"")</f>
        <v/>
      </c>
      <c r="J807" t="str">
        <f>IFERROR(INDEX(Cluster_Master!$E$4:$E$18,MATCH($F807,Cluster_Master!$B$4:$B$18,0)),"")</f>
        <v/>
      </c>
      <c r="K807" t="str">
        <f>IFERROR(INDEX(Cluster_Master!$F$4:$F$18,MATCH($F807,Cluster_Master!$B$4:$B$18,0)),"")</f>
        <v/>
      </c>
      <c r="L807" t="str">
        <f>IFERROR(INDEX(Cluster_Master!$G$4:$G$18,MATCH($F807,Cluster_Master!$B$4:$B$18,0)),"")</f>
        <v/>
      </c>
      <c r="M807" t="str">
        <f>IFERROR(INDEX(Cluster_Master!$H$4:$H$18,MATCH($F807,Cluster_Master!$B$4:$B$18,0)),"")</f>
        <v/>
      </c>
      <c r="AI807" t="str">
        <f t="shared" si="96"/>
        <v/>
      </c>
      <c r="AJ807" t="str">
        <f t="shared" si="97"/>
        <v/>
      </c>
      <c r="AK807" t="str">
        <f>IF(COUNTA(T807:AH807)=0,"",(SUM(T807*KPI_Weights!$B$4,U807*KPI_Weights!$B$5,V807*KPI_Weights!$B$6,W807*KPI_Weights!$B$7,X807*KPI_Weights!$B$8,Y807*KPI_Weights!$B$9,Z807*KPI_Weights!$B$10,AA807*KPI_Weights!$B$11,AB807*KPI_Weights!$B$12,AC807*KPI_Weights!$B$13,AD807*KPI_Weights!$B$14,AE807*KPI_Weights!$B$15,AF807*KPI_Weights!$B$16,AG807*KPI_Weights!$B$17,AH807*KPI_Weights!$B$18))/5)</f>
        <v/>
      </c>
      <c r="AL807" t="str">
        <f t="shared" si="98"/>
        <v/>
      </c>
      <c r="AM807" t="str">
        <f t="shared" si="99"/>
        <v/>
      </c>
      <c r="AN807" t="str">
        <f t="shared" si="100"/>
        <v/>
      </c>
    </row>
    <row r="808" spans="1:40" ht="15" customHeight="1" x14ac:dyDescent="0.2">
      <c r="A808" t="str">
        <f>IF($B808="","",TEXT($B808,"yyyymmdd")&amp;"-"&amp;SUBSTITUTE($F808," ","")&amp;"-"&amp;TEXT(COUNTIF($F$4:F808,$F808),"00"))</f>
        <v/>
      </c>
      <c r="C808" t="str">
        <f t="shared" si="94"/>
        <v/>
      </c>
      <c r="D808" t="str">
        <f t="shared" si="95"/>
        <v/>
      </c>
      <c r="G808" t="str">
        <f>IF(OR($E808="",$F808=""),"",IFERROR(IF($E808=INDEX(Cluster_Master!$A$4:$A$18,MATCH($F808,Cluster_Master!$B$4:$B$18,0)),"OK","CHECK"),"CHECK"))</f>
        <v/>
      </c>
      <c r="H808" t="str">
        <f>IFERROR(INDEX(Cluster_Master!$C$4:$C$18,MATCH($F808,Cluster_Master!$B$4:$B$18,0)),"")</f>
        <v/>
      </c>
      <c r="I808" t="str">
        <f>IFERROR(INDEX(Cluster_Master!$D$4:$D$18,MATCH($F808,Cluster_Master!$B$4:$B$18,0)),"")</f>
        <v/>
      </c>
      <c r="J808" t="str">
        <f>IFERROR(INDEX(Cluster_Master!$E$4:$E$18,MATCH($F808,Cluster_Master!$B$4:$B$18,0)),"")</f>
        <v/>
      </c>
      <c r="K808" t="str">
        <f>IFERROR(INDEX(Cluster_Master!$F$4:$F$18,MATCH($F808,Cluster_Master!$B$4:$B$18,0)),"")</f>
        <v/>
      </c>
      <c r="L808" t="str">
        <f>IFERROR(INDEX(Cluster_Master!$G$4:$G$18,MATCH($F808,Cluster_Master!$B$4:$B$18,0)),"")</f>
        <v/>
      </c>
      <c r="M808" t="str">
        <f>IFERROR(INDEX(Cluster_Master!$H$4:$H$18,MATCH($F808,Cluster_Master!$B$4:$B$18,0)),"")</f>
        <v/>
      </c>
      <c r="AI808" t="str">
        <f t="shared" si="96"/>
        <v/>
      </c>
      <c r="AJ808" t="str">
        <f t="shared" si="97"/>
        <v/>
      </c>
      <c r="AK808" t="str">
        <f>IF(COUNTA(T808:AH808)=0,"",(SUM(T808*KPI_Weights!$B$4,U808*KPI_Weights!$B$5,V808*KPI_Weights!$B$6,W808*KPI_Weights!$B$7,X808*KPI_Weights!$B$8,Y808*KPI_Weights!$B$9,Z808*KPI_Weights!$B$10,AA808*KPI_Weights!$B$11,AB808*KPI_Weights!$B$12,AC808*KPI_Weights!$B$13,AD808*KPI_Weights!$B$14,AE808*KPI_Weights!$B$15,AF808*KPI_Weights!$B$16,AG808*KPI_Weights!$B$17,AH808*KPI_Weights!$B$18))/5)</f>
        <v/>
      </c>
      <c r="AL808" t="str">
        <f t="shared" si="98"/>
        <v/>
      </c>
      <c r="AM808" t="str">
        <f t="shared" si="99"/>
        <v/>
      </c>
      <c r="AN808" t="str">
        <f t="shared" si="100"/>
        <v/>
      </c>
    </row>
    <row r="809" spans="1:40" ht="15" customHeight="1" x14ac:dyDescent="0.2">
      <c r="A809" t="str">
        <f>IF($B809="","",TEXT($B809,"yyyymmdd")&amp;"-"&amp;SUBSTITUTE($F809," ","")&amp;"-"&amp;TEXT(COUNTIF($F$4:F809,$F809),"00"))</f>
        <v/>
      </c>
      <c r="C809" t="str">
        <f t="shared" si="94"/>
        <v/>
      </c>
      <c r="D809" t="str">
        <f t="shared" si="95"/>
        <v/>
      </c>
      <c r="G809" t="str">
        <f>IF(OR($E809="",$F809=""),"",IFERROR(IF($E809=INDEX(Cluster_Master!$A$4:$A$18,MATCH($F809,Cluster_Master!$B$4:$B$18,0)),"OK","CHECK"),"CHECK"))</f>
        <v/>
      </c>
      <c r="H809" t="str">
        <f>IFERROR(INDEX(Cluster_Master!$C$4:$C$18,MATCH($F809,Cluster_Master!$B$4:$B$18,0)),"")</f>
        <v/>
      </c>
      <c r="I809" t="str">
        <f>IFERROR(INDEX(Cluster_Master!$D$4:$D$18,MATCH($F809,Cluster_Master!$B$4:$B$18,0)),"")</f>
        <v/>
      </c>
      <c r="J809" t="str">
        <f>IFERROR(INDEX(Cluster_Master!$E$4:$E$18,MATCH($F809,Cluster_Master!$B$4:$B$18,0)),"")</f>
        <v/>
      </c>
      <c r="K809" t="str">
        <f>IFERROR(INDEX(Cluster_Master!$F$4:$F$18,MATCH($F809,Cluster_Master!$B$4:$B$18,0)),"")</f>
        <v/>
      </c>
      <c r="L809" t="str">
        <f>IFERROR(INDEX(Cluster_Master!$G$4:$G$18,MATCH($F809,Cluster_Master!$B$4:$B$18,0)),"")</f>
        <v/>
      </c>
      <c r="M809" t="str">
        <f>IFERROR(INDEX(Cluster_Master!$H$4:$H$18,MATCH($F809,Cluster_Master!$B$4:$B$18,0)),"")</f>
        <v/>
      </c>
      <c r="AI809" t="str">
        <f t="shared" si="96"/>
        <v/>
      </c>
      <c r="AJ809" t="str">
        <f t="shared" si="97"/>
        <v/>
      </c>
      <c r="AK809" t="str">
        <f>IF(COUNTA(T809:AH809)=0,"",(SUM(T809*KPI_Weights!$B$4,U809*KPI_Weights!$B$5,V809*KPI_Weights!$B$6,W809*KPI_Weights!$B$7,X809*KPI_Weights!$B$8,Y809*KPI_Weights!$B$9,Z809*KPI_Weights!$B$10,AA809*KPI_Weights!$B$11,AB809*KPI_Weights!$B$12,AC809*KPI_Weights!$B$13,AD809*KPI_Weights!$B$14,AE809*KPI_Weights!$B$15,AF809*KPI_Weights!$B$16,AG809*KPI_Weights!$B$17,AH809*KPI_Weights!$B$18))/5)</f>
        <v/>
      </c>
      <c r="AL809" t="str">
        <f t="shared" si="98"/>
        <v/>
      </c>
      <c r="AM809" t="str">
        <f t="shared" si="99"/>
        <v/>
      </c>
      <c r="AN809" t="str">
        <f t="shared" si="100"/>
        <v/>
      </c>
    </row>
    <row r="810" spans="1:40" ht="15" customHeight="1" x14ac:dyDescent="0.2">
      <c r="A810" t="str">
        <f>IF($B810="","",TEXT($B810,"yyyymmdd")&amp;"-"&amp;SUBSTITUTE($F810," ","")&amp;"-"&amp;TEXT(COUNTIF($F$4:F810,$F810),"00"))</f>
        <v/>
      </c>
      <c r="C810" t="str">
        <f t="shared" si="94"/>
        <v/>
      </c>
      <c r="D810" t="str">
        <f t="shared" si="95"/>
        <v/>
      </c>
      <c r="G810" t="str">
        <f>IF(OR($E810="",$F810=""),"",IFERROR(IF($E810=INDEX(Cluster_Master!$A$4:$A$18,MATCH($F810,Cluster_Master!$B$4:$B$18,0)),"OK","CHECK"),"CHECK"))</f>
        <v/>
      </c>
      <c r="H810" t="str">
        <f>IFERROR(INDEX(Cluster_Master!$C$4:$C$18,MATCH($F810,Cluster_Master!$B$4:$B$18,0)),"")</f>
        <v/>
      </c>
      <c r="I810" t="str">
        <f>IFERROR(INDEX(Cluster_Master!$D$4:$D$18,MATCH($F810,Cluster_Master!$B$4:$B$18,0)),"")</f>
        <v/>
      </c>
      <c r="J810" t="str">
        <f>IFERROR(INDEX(Cluster_Master!$E$4:$E$18,MATCH($F810,Cluster_Master!$B$4:$B$18,0)),"")</f>
        <v/>
      </c>
      <c r="K810" t="str">
        <f>IFERROR(INDEX(Cluster_Master!$F$4:$F$18,MATCH($F810,Cluster_Master!$B$4:$B$18,0)),"")</f>
        <v/>
      </c>
      <c r="L810" t="str">
        <f>IFERROR(INDEX(Cluster_Master!$G$4:$G$18,MATCH($F810,Cluster_Master!$B$4:$B$18,0)),"")</f>
        <v/>
      </c>
      <c r="M810" t="str">
        <f>IFERROR(INDEX(Cluster_Master!$H$4:$H$18,MATCH($F810,Cluster_Master!$B$4:$B$18,0)),"")</f>
        <v/>
      </c>
      <c r="AI810" t="str">
        <f t="shared" si="96"/>
        <v/>
      </c>
      <c r="AJ810" t="str">
        <f t="shared" si="97"/>
        <v/>
      </c>
      <c r="AK810" t="str">
        <f>IF(COUNTA(T810:AH810)=0,"",(SUM(T810*KPI_Weights!$B$4,U810*KPI_Weights!$B$5,V810*KPI_Weights!$B$6,W810*KPI_Weights!$B$7,X810*KPI_Weights!$B$8,Y810*KPI_Weights!$B$9,Z810*KPI_Weights!$B$10,AA810*KPI_Weights!$B$11,AB810*KPI_Weights!$B$12,AC810*KPI_Weights!$B$13,AD810*KPI_Weights!$B$14,AE810*KPI_Weights!$B$15,AF810*KPI_Weights!$B$16,AG810*KPI_Weights!$B$17,AH810*KPI_Weights!$B$18))/5)</f>
        <v/>
      </c>
      <c r="AL810" t="str">
        <f t="shared" si="98"/>
        <v/>
      </c>
      <c r="AM810" t="str">
        <f t="shared" si="99"/>
        <v/>
      </c>
      <c r="AN810" t="str">
        <f t="shared" si="100"/>
        <v/>
      </c>
    </row>
    <row r="811" spans="1:40" ht="15" customHeight="1" x14ac:dyDescent="0.2">
      <c r="A811" t="str">
        <f>IF($B811="","",TEXT($B811,"yyyymmdd")&amp;"-"&amp;SUBSTITUTE($F811," ","")&amp;"-"&amp;TEXT(COUNTIF($F$4:F811,$F811),"00"))</f>
        <v/>
      </c>
      <c r="C811" t="str">
        <f t="shared" si="94"/>
        <v/>
      </c>
      <c r="D811" t="str">
        <f t="shared" si="95"/>
        <v/>
      </c>
      <c r="G811" t="str">
        <f>IF(OR($E811="",$F811=""),"",IFERROR(IF($E811=INDEX(Cluster_Master!$A$4:$A$18,MATCH($F811,Cluster_Master!$B$4:$B$18,0)),"OK","CHECK"),"CHECK"))</f>
        <v/>
      </c>
      <c r="H811" t="str">
        <f>IFERROR(INDEX(Cluster_Master!$C$4:$C$18,MATCH($F811,Cluster_Master!$B$4:$B$18,0)),"")</f>
        <v/>
      </c>
      <c r="I811" t="str">
        <f>IFERROR(INDEX(Cluster_Master!$D$4:$D$18,MATCH($F811,Cluster_Master!$B$4:$B$18,0)),"")</f>
        <v/>
      </c>
      <c r="J811" t="str">
        <f>IFERROR(INDEX(Cluster_Master!$E$4:$E$18,MATCH($F811,Cluster_Master!$B$4:$B$18,0)),"")</f>
        <v/>
      </c>
      <c r="K811" t="str">
        <f>IFERROR(INDEX(Cluster_Master!$F$4:$F$18,MATCH($F811,Cluster_Master!$B$4:$B$18,0)),"")</f>
        <v/>
      </c>
      <c r="L811" t="str">
        <f>IFERROR(INDEX(Cluster_Master!$G$4:$G$18,MATCH($F811,Cluster_Master!$B$4:$B$18,0)),"")</f>
        <v/>
      </c>
      <c r="M811" t="str">
        <f>IFERROR(INDEX(Cluster_Master!$H$4:$H$18,MATCH($F811,Cluster_Master!$B$4:$B$18,0)),"")</f>
        <v/>
      </c>
      <c r="AI811" t="str">
        <f t="shared" si="96"/>
        <v/>
      </c>
      <c r="AJ811" t="str">
        <f t="shared" si="97"/>
        <v/>
      </c>
      <c r="AK811" t="str">
        <f>IF(COUNTA(T811:AH811)=0,"",(SUM(T811*KPI_Weights!$B$4,U811*KPI_Weights!$B$5,V811*KPI_Weights!$B$6,W811*KPI_Weights!$B$7,X811*KPI_Weights!$B$8,Y811*KPI_Weights!$B$9,Z811*KPI_Weights!$B$10,AA811*KPI_Weights!$B$11,AB811*KPI_Weights!$B$12,AC811*KPI_Weights!$B$13,AD811*KPI_Weights!$B$14,AE811*KPI_Weights!$B$15,AF811*KPI_Weights!$B$16,AG811*KPI_Weights!$B$17,AH811*KPI_Weights!$B$18))/5)</f>
        <v/>
      </c>
      <c r="AL811" t="str">
        <f t="shared" si="98"/>
        <v/>
      </c>
      <c r="AM811" t="str">
        <f t="shared" si="99"/>
        <v/>
      </c>
      <c r="AN811" t="str">
        <f t="shared" si="100"/>
        <v/>
      </c>
    </row>
    <row r="812" spans="1:40" ht="15" customHeight="1" x14ac:dyDescent="0.2">
      <c r="A812" t="str">
        <f>IF($B812="","",TEXT($B812,"yyyymmdd")&amp;"-"&amp;SUBSTITUTE($F812," ","")&amp;"-"&amp;TEXT(COUNTIF($F$4:F812,$F812),"00"))</f>
        <v/>
      </c>
      <c r="C812" t="str">
        <f t="shared" si="94"/>
        <v/>
      </c>
      <c r="D812" t="str">
        <f t="shared" si="95"/>
        <v/>
      </c>
      <c r="G812" t="str">
        <f>IF(OR($E812="",$F812=""),"",IFERROR(IF($E812=INDEX(Cluster_Master!$A$4:$A$18,MATCH($F812,Cluster_Master!$B$4:$B$18,0)),"OK","CHECK"),"CHECK"))</f>
        <v/>
      </c>
      <c r="H812" t="str">
        <f>IFERROR(INDEX(Cluster_Master!$C$4:$C$18,MATCH($F812,Cluster_Master!$B$4:$B$18,0)),"")</f>
        <v/>
      </c>
      <c r="I812" t="str">
        <f>IFERROR(INDEX(Cluster_Master!$D$4:$D$18,MATCH($F812,Cluster_Master!$B$4:$B$18,0)),"")</f>
        <v/>
      </c>
      <c r="J812" t="str">
        <f>IFERROR(INDEX(Cluster_Master!$E$4:$E$18,MATCH($F812,Cluster_Master!$B$4:$B$18,0)),"")</f>
        <v/>
      </c>
      <c r="K812" t="str">
        <f>IFERROR(INDEX(Cluster_Master!$F$4:$F$18,MATCH($F812,Cluster_Master!$B$4:$B$18,0)),"")</f>
        <v/>
      </c>
      <c r="L812" t="str">
        <f>IFERROR(INDEX(Cluster_Master!$G$4:$G$18,MATCH($F812,Cluster_Master!$B$4:$B$18,0)),"")</f>
        <v/>
      </c>
      <c r="M812" t="str">
        <f>IFERROR(INDEX(Cluster_Master!$H$4:$H$18,MATCH($F812,Cluster_Master!$B$4:$B$18,0)),"")</f>
        <v/>
      </c>
      <c r="AI812" t="str">
        <f t="shared" si="96"/>
        <v/>
      </c>
      <c r="AJ812" t="str">
        <f t="shared" si="97"/>
        <v/>
      </c>
      <c r="AK812" t="str">
        <f>IF(COUNTA(T812:AH812)=0,"",(SUM(T812*KPI_Weights!$B$4,U812*KPI_Weights!$B$5,V812*KPI_Weights!$B$6,W812*KPI_Weights!$B$7,X812*KPI_Weights!$B$8,Y812*KPI_Weights!$B$9,Z812*KPI_Weights!$B$10,AA812*KPI_Weights!$B$11,AB812*KPI_Weights!$B$12,AC812*KPI_Weights!$B$13,AD812*KPI_Weights!$B$14,AE812*KPI_Weights!$B$15,AF812*KPI_Weights!$B$16,AG812*KPI_Weights!$B$17,AH812*KPI_Weights!$B$18))/5)</f>
        <v/>
      </c>
      <c r="AL812" t="str">
        <f t="shared" si="98"/>
        <v/>
      </c>
      <c r="AM812" t="str">
        <f t="shared" si="99"/>
        <v/>
      </c>
      <c r="AN812" t="str">
        <f t="shared" si="100"/>
        <v/>
      </c>
    </row>
    <row r="813" spans="1:40" ht="15" customHeight="1" x14ac:dyDescent="0.2">
      <c r="A813" t="str">
        <f>IF($B813="","",TEXT($B813,"yyyymmdd")&amp;"-"&amp;SUBSTITUTE($F813," ","")&amp;"-"&amp;TEXT(COUNTIF($F$4:F813,$F813),"00"))</f>
        <v/>
      </c>
      <c r="C813" t="str">
        <f t="shared" si="94"/>
        <v/>
      </c>
      <c r="D813" t="str">
        <f t="shared" si="95"/>
        <v/>
      </c>
      <c r="G813" t="str">
        <f>IF(OR($E813="",$F813=""),"",IFERROR(IF($E813=INDEX(Cluster_Master!$A$4:$A$18,MATCH($F813,Cluster_Master!$B$4:$B$18,0)),"OK","CHECK"),"CHECK"))</f>
        <v/>
      </c>
      <c r="H813" t="str">
        <f>IFERROR(INDEX(Cluster_Master!$C$4:$C$18,MATCH($F813,Cluster_Master!$B$4:$B$18,0)),"")</f>
        <v/>
      </c>
      <c r="I813" t="str">
        <f>IFERROR(INDEX(Cluster_Master!$D$4:$D$18,MATCH($F813,Cluster_Master!$B$4:$B$18,0)),"")</f>
        <v/>
      </c>
      <c r="J813" t="str">
        <f>IFERROR(INDEX(Cluster_Master!$E$4:$E$18,MATCH($F813,Cluster_Master!$B$4:$B$18,0)),"")</f>
        <v/>
      </c>
      <c r="K813" t="str">
        <f>IFERROR(INDEX(Cluster_Master!$F$4:$F$18,MATCH($F813,Cluster_Master!$B$4:$B$18,0)),"")</f>
        <v/>
      </c>
      <c r="L813" t="str">
        <f>IFERROR(INDEX(Cluster_Master!$G$4:$G$18,MATCH($F813,Cluster_Master!$B$4:$B$18,0)),"")</f>
        <v/>
      </c>
      <c r="M813" t="str">
        <f>IFERROR(INDEX(Cluster_Master!$H$4:$H$18,MATCH($F813,Cluster_Master!$B$4:$B$18,0)),"")</f>
        <v/>
      </c>
      <c r="AI813" t="str">
        <f t="shared" si="96"/>
        <v/>
      </c>
      <c r="AJ813" t="str">
        <f t="shared" si="97"/>
        <v/>
      </c>
      <c r="AK813" t="str">
        <f>IF(COUNTA(T813:AH813)=0,"",(SUM(T813*KPI_Weights!$B$4,U813*KPI_Weights!$B$5,V813*KPI_Weights!$B$6,W813*KPI_Weights!$B$7,X813*KPI_Weights!$B$8,Y813*KPI_Weights!$B$9,Z813*KPI_Weights!$B$10,AA813*KPI_Weights!$B$11,AB813*KPI_Weights!$B$12,AC813*KPI_Weights!$B$13,AD813*KPI_Weights!$B$14,AE813*KPI_Weights!$B$15,AF813*KPI_Weights!$B$16,AG813*KPI_Weights!$B$17,AH813*KPI_Weights!$B$18))/5)</f>
        <v/>
      </c>
      <c r="AL813" t="str">
        <f t="shared" si="98"/>
        <v/>
      </c>
      <c r="AM813" t="str">
        <f t="shared" si="99"/>
        <v/>
      </c>
      <c r="AN813" t="str">
        <f t="shared" si="100"/>
        <v/>
      </c>
    </row>
    <row r="814" spans="1:40" ht="15" customHeight="1" x14ac:dyDescent="0.2">
      <c r="A814" t="str">
        <f>IF($B814="","",TEXT($B814,"yyyymmdd")&amp;"-"&amp;SUBSTITUTE($F814," ","")&amp;"-"&amp;TEXT(COUNTIF($F$4:F814,$F814),"00"))</f>
        <v/>
      </c>
      <c r="C814" t="str">
        <f t="shared" si="94"/>
        <v/>
      </c>
      <c r="D814" t="str">
        <f t="shared" si="95"/>
        <v/>
      </c>
      <c r="G814" t="str">
        <f>IF(OR($E814="",$F814=""),"",IFERROR(IF($E814=INDEX(Cluster_Master!$A$4:$A$18,MATCH($F814,Cluster_Master!$B$4:$B$18,0)),"OK","CHECK"),"CHECK"))</f>
        <v/>
      </c>
      <c r="H814" t="str">
        <f>IFERROR(INDEX(Cluster_Master!$C$4:$C$18,MATCH($F814,Cluster_Master!$B$4:$B$18,0)),"")</f>
        <v/>
      </c>
      <c r="I814" t="str">
        <f>IFERROR(INDEX(Cluster_Master!$D$4:$D$18,MATCH($F814,Cluster_Master!$B$4:$B$18,0)),"")</f>
        <v/>
      </c>
      <c r="J814" t="str">
        <f>IFERROR(INDEX(Cluster_Master!$E$4:$E$18,MATCH($F814,Cluster_Master!$B$4:$B$18,0)),"")</f>
        <v/>
      </c>
      <c r="K814" t="str">
        <f>IFERROR(INDEX(Cluster_Master!$F$4:$F$18,MATCH($F814,Cluster_Master!$B$4:$B$18,0)),"")</f>
        <v/>
      </c>
      <c r="L814" t="str">
        <f>IFERROR(INDEX(Cluster_Master!$G$4:$G$18,MATCH($F814,Cluster_Master!$B$4:$B$18,0)),"")</f>
        <v/>
      </c>
      <c r="M814" t="str">
        <f>IFERROR(INDEX(Cluster_Master!$H$4:$H$18,MATCH($F814,Cluster_Master!$B$4:$B$18,0)),"")</f>
        <v/>
      </c>
      <c r="AI814" t="str">
        <f t="shared" si="96"/>
        <v/>
      </c>
      <c r="AJ814" t="str">
        <f t="shared" si="97"/>
        <v/>
      </c>
      <c r="AK814" t="str">
        <f>IF(COUNTA(T814:AH814)=0,"",(SUM(T814*KPI_Weights!$B$4,U814*KPI_Weights!$B$5,V814*KPI_Weights!$B$6,W814*KPI_Weights!$B$7,X814*KPI_Weights!$B$8,Y814*KPI_Weights!$B$9,Z814*KPI_Weights!$B$10,AA814*KPI_Weights!$B$11,AB814*KPI_Weights!$B$12,AC814*KPI_Weights!$B$13,AD814*KPI_Weights!$B$14,AE814*KPI_Weights!$B$15,AF814*KPI_Weights!$B$16,AG814*KPI_Weights!$B$17,AH814*KPI_Weights!$B$18))/5)</f>
        <v/>
      </c>
      <c r="AL814" t="str">
        <f t="shared" si="98"/>
        <v/>
      </c>
      <c r="AM814" t="str">
        <f t="shared" si="99"/>
        <v/>
      </c>
      <c r="AN814" t="str">
        <f t="shared" si="100"/>
        <v/>
      </c>
    </row>
    <row r="815" spans="1:40" ht="15" customHeight="1" x14ac:dyDescent="0.2">
      <c r="A815" t="str">
        <f>IF($B815="","",TEXT($B815,"yyyymmdd")&amp;"-"&amp;SUBSTITUTE($F815," ","")&amp;"-"&amp;TEXT(COUNTIF($F$4:F815,$F815),"00"))</f>
        <v/>
      </c>
      <c r="C815" t="str">
        <f t="shared" si="94"/>
        <v/>
      </c>
      <c r="D815" t="str">
        <f t="shared" si="95"/>
        <v/>
      </c>
      <c r="G815" t="str">
        <f>IF(OR($E815="",$F815=""),"",IFERROR(IF($E815=INDEX(Cluster_Master!$A$4:$A$18,MATCH($F815,Cluster_Master!$B$4:$B$18,0)),"OK","CHECK"),"CHECK"))</f>
        <v/>
      </c>
      <c r="H815" t="str">
        <f>IFERROR(INDEX(Cluster_Master!$C$4:$C$18,MATCH($F815,Cluster_Master!$B$4:$B$18,0)),"")</f>
        <v/>
      </c>
      <c r="I815" t="str">
        <f>IFERROR(INDEX(Cluster_Master!$D$4:$D$18,MATCH($F815,Cluster_Master!$B$4:$B$18,0)),"")</f>
        <v/>
      </c>
      <c r="J815" t="str">
        <f>IFERROR(INDEX(Cluster_Master!$E$4:$E$18,MATCH($F815,Cluster_Master!$B$4:$B$18,0)),"")</f>
        <v/>
      </c>
      <c r="K815" t="str">
        <f>IFERROR(INDEX(Cluster_Master!$F$4:$F$18,MATCH($F815,Cluster_Master!$B$4:$B$18,0)),"")</f>
        <v/>
      </c>
      <c r="L815" t="str">
        <f>IFERROR(INDEX(Cluster_Master!$G$4:$G$18,MATCH($F815,Cluster_Master!$B$4:$B$18,0)),"")</f>
        <v/>
      </c>
      <c r="M815" t="str">
        <f>IFERROR(INDEX(Cluster_Master!$H$4:$H$18,MATCH($F815,Cluster_Master!$B$4:$B$18,0)),"")</f>
        <v/>
      </c>
      <c r="AI815" t="str">
        <f t="shared" si="96"/>
        <v/>
      </c>
      <c r="AJ815" t="str">
        <f t="shared" si="97"/>
        <v/>
      </c>
      <c r="AK815" t="str">
        <f>IF(COUNTA(T815:AH815)=0,"",(SUM(T815*KPI_Weights!$B$4,U815*KPI_Weights!$B$5,V815*KPI_Weights!$B$6,W815*KPI_Weights!$B$7,X815*KPI_Weights!$B$8,Y815*KPI_Weights!$B$9,Z815*KPI_Weights!$B$10,AA815*KPI_Weights!$B$11,AB815*KPI_Weights!$B$12,AC815*KPI_Weights!$B$13,AD815*KPI_Weights!$B$14,AE815*KPI_Weights!$B$15,AF815*KPI_Weights!$B$16,AG815*KPI_Weights!$B$17,AH815*KPI_Weights!$B$18))/5)</f>
        <v/>
      </c>
      <c r="AL815" t="str">
        <f t="shared" si="98"/>
        <v/>
      </c>
      <c r="AM815" t="str">
        <f t="shared" si="99"/>
        <v/>
      </c>
      <c r="AN815" t="str">
        <f t="shared" si="100"/>
        <v/>
      </c>
    </row>
    <row r="816" spans="1:40" ht="15" customHeight="1" x14ac:dyDescent="0.2">
      <c r="A816" t="str">
        <f>IF($B816="","",TEXT($B816,"yyyymmdd")&amp;"-"&amp;SUBSTITUTE($F816," ","")&amp;"-"&amp;TEXT(COUNTIF($F$4:F816,$F816),"00"))</f>
        <v/>
      </c>
      <c r="C816" t="str">
        <f t="shared" si="94"/>
        <v/>
      </c>
      <c r="D816" t="str">
        <f t="shared" si="95"/>
        <v/>
      </c>
      <c r="G816" t="str">
        <f>IF(OR($E816="",$F816=""),"",IFERROR(IF($E816=INDEX(Cluster_Master!$A$4:$A$18,MATCH($F816,Cluster_Master!$B$4:$B$18,0)),"OK","CHECK"),"CHECK"))</f>
        <v/>
      </c>
      <c r="H816" t="str">
        <f>IFERROR(INDEX(Cluster_Master!$C$4:$C$18,MATCH($F816,Cluster_Master!$B$4:$B$18,0)),"")</f>
        <v/>
      </c>
      <c r="I816" t="str">
        <f>IFERROR(INDEX(Cluster_Master!$D$4:$D$18,MATCH($F816,Cluster_Master!$B$4:$B$18,0)),"")</f>
        <v/>
      </c>
      <c r="J816" t="str">
        <f>IFERROR(INDEX(Cluster_Master!$E$4:$E$18,MATCH($F816,Cluster_Master!$B$4:$B$18,0)),"")</f>
        <v/>
      </c>
      <c r="K816" t="str">
        <f>IFERROR(INDEX(Cluster_Master!$F$4:$F$18,MATCH($F816,Cluster_Master!$B$4:$B$18,0)),"")</f>
        <v/>
      </c>
      <c r="L816" t="str">
        <f>IFERROR(INDEX(Cluster_Master!$G$4:$G$18,MATCH($F816,Cluster_Master!$B$4:$B$18,0)),"")</f>
        <v/>
      </c>
      <c r="M816" t="str">
        <f>IFERROR(INDEX(Cluster_Master!$H$4:$H$18,MATCH($F816,Cluster_Master!$B$4:$B$18,0)),"")</f>
        <v/>
      </c>
      <c r="AI816" t="str">
        <f t="shared" si="96"/>
        <v/>
      </c>
      <c r="AJ816" t="str">
        <f t="shared" si="97"/>
        <v/>
      </c>
      <c r="AK816" t="str">
        <f>IF(COUNTA(T816:AH816)=0,"",(SUM(T816*KPI_Weights!$B$4,U816*KPI_Weights!$B$5,V816*KPI_Weights!$B$6,W816*KPI_Weights!$B$7,X816*KPI_Weights!$B$8,Y816*KPI_Weights!$B$9,Z816*KPI_Weights!$B$10,AA816*KPI_Weights!$B$11,AB816*KPI_Weights!$B$12,AC816*KPI_Weights!$B$13,AD816*KPI_Weights!$B$14,AE816*KPI_Weights!$B$15,AF816*KPI_Weights!$B$16,AG816*KPI_Weights!$B$17,AH816*KPI_Weights!$B$18))/5)</f>
        <v/>
      </c>
      <c r="AL816" t="str">
        <f t="shared" si="98"/>
        <v/>
      </c>
      <c r="AM816" t="str">
        <f t="shared" si="99"/>
        <v/>
      </c>
      <c r="AN816" t="str">
        <f t="shared" si="100"/>
        <v/>
      </c>
    </row>
    <row r="817" spans="1:40" ht="15" customHeight="1" x14ac:dyDescent="0.2">
      <c r="A817" t="str">
        <f>IF($B817="","",TEXT($B817,"yyyymmdd")&amp;"-"&amp;SUBSTITUTE($F817," ","")&amp;"-"&amp;TEXT(COUNTIF($F$4:F817,$F817),"00"))</f>
        <v/>
      </c>
      <c r="C817" t="str">
        <f t="shared" si="94"/>
        <v/>
      </c>
      <c r="D817" t="str">
        <f t="shared" si="95"/>
        <v/>
      </c>
      <c r="G817" t="str">
        <f>IF(OR($E817="",$F817=""),"",IFERROR(IF($E817=INDEX(Cluster_Master!$A$4:$A$18,MATCH($F817,Cluster_Master!$B$4:$B$18,0)),"OK","CHECK"),"CHECK"))</f>
        <v/>
      </c>
      <c r="H817" t="str">
        <f>IFERROR(INDEX(Cluster_Master!$C$4:$C$18,MATCH($F817,Cluster_Master!$B$4:$B$18,0)),"")</f>
        <v/>
      </c>
      <c r="I817" t="str">
        <f>IFERROR(INDEX(Cluster_Master!$D$4:$D$18,MATCH($F817,Cluster_Master!$B$4:$B$18,0)),"")</f>
        <v/>
      </c>
      <c r="J817" t="str">
        <f>IFERROR(INDEX(Cluster_Master!$E$4:$E$18,MATCH($F817,Cluster_Master!$B$4:$B$18,0)),"")</f>
        <v/>
      </c>
      <c r="K817" t="str">
        <f>IFERROR(INDEX(Cluster_Master!$F$4:$F$18,MATCH($F817,Cluster_Master!$B$4:$B$18,0)),"")</f>
        <v/>
      </c>
      <c r="L817" t="str">
        <f>IFERROR(INDEX(Cluster_Master!$G$4:$G$18,MATCH($F817,Cluster_Master!$B$4:$B$18,0)),"")</f>
        <v/>
      </c>
      <c r="M817" t="str">
        <f>IFERROR(INDEX(Cluster_Master!$H$4:$H$18,MATCH($F817,Cluster_Master!$B$4:$B$18,0)),"")</f>
        <v/>
      </c>
      <c r="AI817" t="str">
        <f t="shared" si="96"/>
        <v/>
      </c>
      <c r="AJ817" t="str">
        <f t="shared" si="97"/>
        <v/>
      </c>
      <c r="AK817" t="str">
        <f>IF(COUNTA(T817:AH817)=0,"",(SUM(T817*KPI_Weights!$B$4,U817*KPI_Weights!$B$5,V817*KPI_Weights!$B$6,W817*KPI_Weights!$B$7,X817*KPI_Weights!$B$8,Y817*KPI_Weights!$B$9,Z817*KPI_Weights!$B$10,AA817*KPI_Weights!$B$11,AB817*KPI_Weights!$B$12,AC817*KPI_Weights!$B$13,AD817*KPI_Weights!$B$14,AE817*KPI_Weights!$B$15,AF817*KPI_Weights!$B$16,AG817*KPI_Weights!$B$17,AH817*KPI_Weights!$B$18))/5)</f>
        <v/>
      </c>
      <c r="AL817" t="str">
        <f t="shared" si="98"/>
        <v/>
      </c>
      <c r="AM817" t="str">
        <f t="shared" si="99"/>
        <v/>
      </c>
      <c r="AN817" t="str">
        <f t="shared" si="100"/>
        <v/>
      </c>
    </row>
    <row r="818" spans="1:40" ht="15" customHeight="1" x14ac:dyDescent="0.2">
      <c r="A818" t="str">
        <f>IF($B818="","",TEXT($B818,"yyyymmdd")&amp;"-"&amp;SUBSTITUTE($F818," ","")&amp;"-"&amp;TEXT(COUNTIF($F$4:F818,$F818),"00"))</f>
        <v/>
      </c>
      <c r="C818" t="str">
        <f t="shared" si="94"/>
        <v/>
      </c>
      <c r="D818" t="str">
        <f t="shared" si="95"/>
        <v/>
      </c>
      <c r="G818" t="str">
        <f>IF(OR($E818="",$F818=""),"",IFERROR(IF($E818=INDEX(Cluster_Master!$A$4:$A$18,MATCH($F818,Cluster_Master!$B$4:$B$18,0)),"OK","CHECK"),"CHECK"))</f>
        <v/>
      </c>
      <c r="H818" t="str">
        <f>IFERROR(INDEX(Cluster_Master!$C$4:$C$18,MATCH($F818,Cluster_Master!$B$4:$B$18,0)),"")</f>
        <v/>
      </c>
      <c r="I818" t="str">
        <f>IFERROR(INDEX(Cluster_Master!$D$4:$D$18,MATCH($F818,Cluster_Master!$B$4:$B$18,0)),"")</f>
        <v/>
      </c>
      <c r="J818" t="str">
        <f>IFERROR(INDEX(Cluster_Master!$E$4:$E$18,MATCH($F818,Cluster_Master!$B$4:$B$18,0)),"")</f>
        <v/>
      </c>
      <c r="K818" t="str">
        <f>IFERROR(INDEX(Cluster_Master!$F$4:$F$18,MATCH($F818,Cluster_Master!$B$4:$B$18,0)),"")</f>
        <v/>
      </c>
      <c r="L818" t="str">
        <f>IFERROR(INDEX(Cluster_Master!$G$4:$G$18,MATCH($F818,Cluster_Master!$B$4:$B$18,0)),"")</f>
        <v/>
      </c>
      <c r="M818" t="str">
        <f>IFERROR(INDEX(Cluster_Master!$H$4:$H$18,MATCH($F818,Cluster_Master!$B$4:$B$18,0)),"")</f>
        <v/>
      </c>
      <c r="AI818" t="str">
        <f t="shared" si="96"/>
        <v/>
      </c>
      <c r="AJ818" t="str">
        <f t="shared" si="97"/>
        <v/>
      </c>
      <c r="AK818" t="str">
        <f>IF(COUNTA(T818:AH818)=0,"",(SUM(T818*KPI_Weights!$B$4,U818*KPI_Weights!$B$5,V818*KPI_Weights!$B$6,W818*KPI_Weights!$B$7,X818*KPI_Weights!$B$8,Y818*KPI_Weights!$B$9,Z818*KPI_Weights!$B$10,AA818*KPI_Weights!$B$11,AB818*KPI_Weights!$B$12,AC818*KPI_Weights!$B$13,AD818*KPI_Weights!$B$14,AE818*KPI_Weights!$B$15,AF818*KPI_Weights!$B$16,AG818*KPI_Weights!$B$17,AH818*KPI_Weights!$B$18))/5)</f>
        <v/>
      </c>
      <c r="AL818" t="str">
        <f t="shared" si="98"/>
        <v/>
      </c>
      <c r="AM818" t="str">
        <f t="shared" si="99"/>
        <v/>
      </c>
      <c r="AN818" t="str">
        <f t="shared" si="100"/>
        <v/>
      </c>
    </row>
    <row r="819" spans="1:40" ht="15" customHeight="1" x14ac:dyDescent="0.2">
      <c r="A819" t="str">
        <f>IF($B819="","",TEXT($B819,"yyyymmdd")&amp;"-"&amp;SUBSTITUTE($F819," ","")&amp;"-"&amp;TEXT(COUNTIF($F$4:F819,$F819),"00"))</f>
        <v/>
      </c>
      <c r="C819" t="str">
        <f t="shared" si="94"/>
        <v/>
      </c>
      <c r="D819" t="str">
        <f t="shared" si="95"/>
        <v/>
      </c>
      <c r="G819" t="str">
        <f>IF(OR($E819="",$F819=""),"",IFERROR(IF($E819=INDEX(Cluster_Master!$A$4:$A$18,MATCH($F819,Cluster_Master!$B$4:$B$18,0)),"OK","CHECK"),"CHECK"))</f>
        <v/>
      </c>
      <c r="H819" t="str">
        <f>IFERROR(INDEX(Cluster_Master!$C$4:$C$18,MATCH($F819,Cluster_Master!$B$4:$B$18,0)),"")</f>
        <v/>
      </c>
      <c r="I819" t="str">
        <f>IFERROR(INDEX(Cluster_Master!$D$4:$D$18,MATCH($F819,Cluster_Master!$B$4:$B$18,0)),"")</f>
        <v/>
      </c>
      <c r="J819" t="str">
        <f>IFERROR(INDEX(Cluster_Master!$E$4:$E$18,MATCH($F819,Cluster_Master!$B$4:$B$18,0)),"")</f>
        <v/>
      </c>
      <c r="K819" t="str">
        <f>IFERROR(INDEX(Cluster_Master!$F$4:$F$18,MATCH($F819,Cluster_Master!$B$4:$B$18,0)),"")</f>
        <v/>
      </c>
      <c r="L819" t="str">
        <f>IFERROR(INDEX(Cluster_Master!$G$4:$G$18,MATCH($F819,Cluster_Master!$B$4:$B$18,0)),"")</f>
        <v/>
      </c>
      <c r="M819" t="str">
        <f>IFERROR(INDEX(Cluster_Master!$H$4:$H$18,MATCH($F819,Cluster_Master!$B$4:$B$18,0)),"")</f>
        <v/>
      </c>
      <c r="AI819" t="str">
        <f t="shared" si="96"/>
        <v/>
      </c>
      <c r="AJ819" t="str">
        <f t="shared" si="97"/>
        <v/>
      </c>
      <c r="AK819" t="str">
        <f>IF(COUNTA(T819:AH819)=0,"",(SUM(T819*KPI_Weights!$B$4,U819*KPI_Weights!$B$5,V819*KPI_Weights!$B$6,W819*KPI_Weights!$B$7,X819*KPI_Weights!$B$8,Y819*KPI_Weights!$B$9,Z819*KPI_Weights!$B$10,AA819*KPI_Weights!$B$11,AB819*KPI_Weights!$B$12,AC819*KPI_Weights!$B$13,AD819*KPI_Weights!$B$14,AE819*KPI_Weights!$B$15,AF819*KPI_Weights!$B$16,AG819*KPI_Weights!$B$17,AH819*KPI_Weights!$B$18))/5)</f>
        <v/>
      </c>
      <c r="AL819" t="str">
        <f t="shared" si="98"/>
        <v/>
      </c>
      <c r="AM819" t="str">
        <f t="shared" si="99"/>
        <v/>
      </c>
      <c r="AN819" t="str">
        <f t="shared" si="100"/>
        <v/>
      </c>
    </row>
    <row r="820" spans="1:40" ht="15" customHeight="1" x14ac:dyDescent="0.2">
      <c r="A820" t="str">
        <f>IF($B820="","",TEXT($B820,"yyyymmdd")&amp;"-"&amp;SUBSTITUTE($F820," ","")&amp;"-"&amp;TEXT(COUNTIF($F$4:F820,$F820),"00"))</f>
        <v/>
      </c>
      <c r="C820" t="str">
        <f t="shared" si="94"/>
        <v/>
      </c>
      <c r="D820" t="str">
        <f t="shared" si="95"/>
        <v/>
      </c>
      <c r="G820" t="str">
        <f>IF(OR($E820="",$F820=""),"",IFERROR(IF($E820=INDEX(Cluster_Master!$A$4:$A$18,MATCH($F820,Cluster_Master!$B$4:$B$18,0)),"OK","CHECK"),"CHECK"))</f>
        <v/>
      </c>
      <c r="H820" t="str">
        <f>IFERROR(INDEX(Cluster_Master!$C$4:$C$18,MATCH($F820,Cluster_Master!$B$4:$B$18,0)),"")</f>
        <v/>
      </c>
      <c r="I820" t="str">
        <f>IFERROR(INDEX(Cluster_Master!$D$4:$D$18,MATCH($F820,Cluster_Master!$B$4:$B$18,0)),"")</f>
        <v/>
      </c>
      <c r="J820" t="str">
        <f>IFERROR(INDEX(Cluster_Master!$E$4:$E$18,MATCH($F820,Cluster_Master!$B$4:$B$18,0)),"")</f>
        <v/>
      </c>
      <c r="K820" t="str">
        <f>IFERROR(INDEX(Cluster_Master!$F$4:$F$18,MATCH($F820,Cluster_Master!$B$4:$B$18,0)),"")</f>
        <v/>
      </c>
      <c r="L820" t="str">
        <f>IFERROR(INDEX(Cluster_Master!$G$4:$G$18,MATCH($F820,Cluster_Master!$B$4:$B$18,0)),"")</f>
        <v/>
      </c>
      <c r="M820" t="str">
        <f>IFERROR(INDEX(Cluster_Master!$H$4:$H$18,MATCH($F820,Cluster_Master!$B$4:$B$18,0)),"")</f>
        <v/>
      </c>
      <c r="AI820" t="str">
        <f t="shared" si="96"/>
        <v/>
      </c>
      <c r="AJ820" t="str">
        <f t="shared" si="97"/>
        <v/>
      </c>
      <c r="AK820" t="str">
        <f>IF(COUNTA(T820:AH820)=0,"",(SUM(T820*KPI_Weights!$B$4,U820*KPI_Weights!$B$5,V820*KPI_Weights!$B$6,W820*KPI_Weights!$B$7,X820*KPI_Weights!$B$8,Y820*KPI_Weights!$B$9,Z820*KPI_Weights!$B$10,AA820*KPI_Weights!$B$11,AB820*KPI_Weights!$B$12,AC820*KPI_Weights!$B$13,AD820*KPI_Weights!$B$14,AE820*KPI_Weights!$B$15,AF820*KPI_Weights!$B$16,AG820*KPI_Weights!$B$17,AH820*KPI_Weights!$B$18))/5)</f>
        <v/>
      </c>
      <c r="AL820" t="str">
        <f t="shared" si="98"/>
        <v/>
      </c>
      <c r="AM820" t="str">
        <f t="shared" si="99"/>
        <v/>
      </c>
      <c r="AN820" t="str">
        <f t="shared" si="100"/>
        <v/>
      </c>
    </row>
    <row r="821" spans="1:40" ht="15" customHeight="1" x14ac:dyDescent="0.2">
      <c r="A821" t="str">
        <f>IF($B821="","",TEXT($B821,"yyyymmdd")&amp;"-"&amp;SUBSTITUTE($F821," ","")&amp;"-"&amp;TEXT(COUNTIF($F$4:F821,$F821),"00"))</f>
        <v/>
      </c>
      <c r="C821" t="str">
        <f t="shared" si="94"/>
        <v/>
      </c>
      <c r="D821" t="str">
        <f t="shared" si="95"/>
        <v/>
      </c>
      <c r="G821" t="str">
        <f>IF(OR($E821="",$F821=""),"",IFERROR(IF($E821=INDEX(Cluster_Master!$A$4:$A$18,MATCH($F821,Cluster_Master!$B$4:$B$18,0)),"OK","CHECK"),"CHECK"))</f>
        <v/>
      </c>
      <c r="H821" t="str">
        <f>IFERROR(INDEX(Cluster_Master!$C$4:$C$18,MATCH($F821,Cluster_Master!$B$4:$B$18,0)),"")</f>
        <v/>
      </c>
      <c r="I821" t="str">
        <f>IFERROR(INDEX(Cluster_Master!$D$4:$D$18,MATCH($F821,Cluster_Master!$B$4:$B$18,0)),"")</f>
        <v/>
      </c>
      <c r="J821" t="str">
        <f>IFERROR(INDEX(Cluster_Master!$E$4:$E$18,MATCH($F821,Cluster_Master!$B$4:$B$18,0)),"")</f>
        <v/>
      </c>
      <c r="K821" t="str">
        <f>IFERROR(INDEX(Cluster_Master!$F$4:$F$18,MATCH($F821,Cluster_Master!$B$4:$B$18,0)),"")</f>
        <v/>
      </c>
      <c r="L821" t="str">
        <f>IFERROR(INDEX(Cluster_Master!$G$4:$G$18,MATCH($F821,Cluster_Master!$B$4:$B$18,0)),"")</f>
        <v/>
      </c>
      <c r="M821" t="str">
        <f>IFERROR(INDEX(Cluster_Master!$H$4:$H$18,MATCH($F821,Cluster_Master!$B$4:$B$18,0)),"")</f>
        <v/>
      </c>
      <c r="AI821" t="str">
        <f t="shared" si="96"/>
        <v/>
      </c>
      <c r="AJ821" t="str">
        <f t="shared" si="97"/>
        <v/>
      </c>
      <c r="AK821" t="str">
        <f>IF(COUNTA(T821:AH821)=0,"",(SUM(T821*KPI_Weights!$B$4,U821*KPI_Weights!$B$5,V821*KPI_Weights!$B$6,W821*KPI_Weights!$B$7,X821*KPI_Weights!$B$8,Y821*KPI_Weights!$B$9,Z821*KPI_Weights!$B$10,AA821*KPI_Weights!$B$11,AB821*KPI_Weights!$B$12,AC821*KPI_Weights!$B$13,AD821*KPI_Weights!$B$14,AE821*KPI_Weights!$B$15,AF821*KPI_Weights!$B$16,AG821*KPI_Weights!$B$17,AH821*KPI_Weights!$B$18))/5)</f>
        <v/>
      </c>
      <c r="AL821" t="str">
        <f t="shared" si="98"/>
        <v/>
      </c>
      <c r="AM821" t="str">
        <f t="shared" si="99"/>
        <v/>
      </c>
      <c r="AN821" t="str">
        <f t="shared" si="100"/>
        <v/>
      </c>
    </row>
    <row r="822" spans="1:40" ht="15" customHeight="1" x14ac:dyDescent="0.2">
      <c r="A822" t="str">
        <f>IF($B822="","",TEXT($B822,"yyyymmdd")&amp;"-"&amp;SUBSTITUTE($F822," ","")&amp;"-"&amp;TEXT(COUNTIF($F$4:F822,$F822),"00"))</f>
        <v/>
      </c>
      <c r="C822" t="str">
        <f t="shared" si="94"/>
        <v/>
      </c>
      <c r="D822" t="str">
        <f t="shared" si="95"/>
        <v/>
      </c>
      <c r="G822" t="str">
        <f>IF(OR($E822="",$F822=""),"",IFERROR(IF($E822=INDEX(Cluster_Master!$A$4:$A$18,MATCH($F822,Cluster_Master!$B$4:$B$18,0)),"OK","CHECK"),"CHECK"))</f>
        <v/>
      </c>
      <c r="H822" t="str">
        <f>IFERROR(INDEX(Cluster_Master!$C$4:$C$18,MATCH($F822,Cluster_Master!$B$4:$B$18,0)),"")</f>
        <v/>
      </c>
      <c r="I822" t="str">
        <f>IFERROR(INDEX(Cluster_Master!$D$4:$D$18,MATCH($F822,Cluster_Master!$B$4:$B$18,0)),"")</f>
        <v/>
      </c>
      <c r="J822" t="str">
        <f>IFERROR(INDEX(Cluster_Master!$E$4:$E$18,MATCH($F822,Cluster_Master!$B$4:$B$18,0)),"")</f>
        <v/>
      </c>
      <c r="K822" t="str">
        <f>IFERROR(INDEX(Cluster_Master!$F$4:$F$18,MATCH($F822,Cluster_Master!$B$4:$B$18,0)),"")</f>
        <v/>
      </c>
      <c r="L822" t="str">
        <f>IFERROR(INDEX(Cluster_Master!$G$4:$G$18,MATCH($F822,Cluster_Master!$B$4:$B$18,0)),"")</f>
        <v/>
      </c>
      <c r="M822" t="str">
        <f>IFERROR(INDEX(Cluster_Master!$H$4:$H$18,MATCH($F822,Cluster_Master!$B$4:$B$18,0)),"")</f>
        <v/>
      </c>
      <c r="AI822" t="str">
        <f t="shared" si="96"/>
        <v/>
      </c>
      <c r="AJ822" t="str">
        <f t="shared" si="97"/>
        <v/>
      </c>
      <c r="AK822" t="str">
        <f>IF(COUNTA(T822:AH822)=0,"",(SUM(T822*KPI_Weights!$B$4,U822*KPI_Weights!$B$5,V822*KPI_Weights!$B$6,W822*KPI_Weights!$B$7,X822*KPI_Weights!$B$8,Y822*KPI_Weights!$B$9,Z822*KPI_Weights!$B$10,AA822*KPI_Weights!$B$11,AB822*KPI_Weights!$B$12,AC822*KPI_Weights!$B$13,AD822*KPI_Weights!$B$14,AE822*KPI_Weights!$B$15,AF822*KPI_Weights!$B$16,AG822*KPI_Weights!$B$17,AH822*KPI_Weights!$B$18))/5)</f>
        <v/>
      </c>
      <c r="AL822" t="str">
        <f t="shared" si="98"/>
        <v/>
      </c>
      <c r="AM822" t="str">
        <f t="shared" si="99"/>
        <v/>
      </c>
      <c r="AN822" t="str">
        <f t="shared" si="100"/>
        <v/>
      </c>
    </row>
    <row r="823" spans="1:40" ht="15" customHeight="1" x14ac:dyDescent="0.2">
      <c r="A823" t="str">
        <f>IF($B823="","",TEXT($B823,"yyyymmdd")&amp;"-"&amp;SUBSTITUTE($F823," ","")&amp;"-"&amp;TEXT(COUNTIF($F$4:F823,$F823),"00"))</f>
        <v/>
      </c>
      <c r="C823" t="str">
        <f t="shared" si="94"/>
        <v/>
      </c>
      <c r="D823" t="str">
        <f t="shared" si="95"/>
        <v/>
      </c>
      <c r="G823" t="str">
        <f>IF(OR($E823="",$F823=""),"",IFERROR(IF($E823=INDEX(Cluster_Master!$A$4:$A$18,MATCH($F823,Cluster_Master!$B$4:$B$18,0)),"OK","CHECK"),"CHECK"))</f>
        <v/>
      </c>
      <c r="H823" t="str">
        <f>IFERROR(INDEX(Cluster_Master!$C$4:$C$18,MATCH($F823,Cluster_Master!$B$4:$B$18,0)),"")</f>
        <v/>
      </c>
      <c r="I823" t="str">
        <f>IFERROR(INDEX(Cluster_Master!$D$4:$D$18,MATCH($F823,Cluster_Master!$B$4:$B$18,0)),"")</f>
        <v/>
      </c>
      <c r="J823" t="str">
        <f>IFERROR(INDEX(Cluster_Master!$E$4:$E$18,MATCH($F823,Cluster_Master!$B$4:$B$18,0)),"")</f>
        <v/>
      </c>
      <c r="K823" t="str">
        <f>IFERROR(INDEX(Cluster_Master!$F$4:$F$18,MATCH($F823,Cluster_Master!$B$4:$B$18,0)),"")</f>
        <v/>
      </c>
      <c r="L823" t="str">
        <f>IFERROR(INDEX(Cluster_Master!$G$4:$G$18,MATCH($F823,Cluster_Master!$B$4:$B$18,0)),"")</f>
        <v/>
      </c>
      <c r="M823" t="str">
        <f>IFERROR(INDEX(Cluster_Master!$H$4:$H$18,MATCH($F823,Cluster_Master!$B$4:$B$18,0)),"")</f>
        <v/>
      </c>
      <c r="AI823" t="str">
        <f t="shared" si="96"/>
        <v/>
      </c>
      <c r="AJ823" t="str">
        <f t="shared" si="97"/>
        <v/>
      </c>
      <c r="AK823" t="str">
        <f>IF(COUNTA(T823:AH823)=0,"",(SUM(T823*KPI_Weights!$B$4,U823*KPI_Weights!$B$5,V823*KPI_Weights!$B$6,W823*KPI_Weights!$B$7,X823*KPI_Weights!$B$8,Y823*KPI_Weights!$B$9,Z823*KPI_Weights!$B$10,AA823*KPI_Weights!$B$11,AB823*KPI_Weights!$B$12,AC823*KPI_Weights!$B$13,AD823*KPI_Weights!$B$14,AE823*KPI_Weights!$B$15,AF823*KPI_Weights!$B$16,AG823*KPI_Weights!$B$17,AH823*KPI_Weights!$B$18))/5)</f>
        <v/>
      </c>
      <c r="AL823" t="str">
        <f t="shared" si="98"/>
        <v/>
      </c>
      <c r="AM823" t="str">
        <f t="shared" si="99"/>
        <v/>
      </c>
      <c r="AN823" t="str">
        <f t="shared" si="100"/>
        <v/>
      </c>
    </row>
    <row r="824" spans="1:40" ht="15" customHeight="1" x14ac:dyDescent="0.2">
      <c r="A824" t="str">
        <f>IF($B824="","",TEXT($B824,"yyyymmdd")&amp;"-"&amp;SUBSTITUTE($F824," ","")&amp;"-"&amp;TEXT(COUNTIF($F$4:F824,$F824),"00"))</f>
        <v/>
      </c>
      <c r="C824" t="str">
        <f t="shared" si="94"/>
        <v/>
      </c>
      <c r="D824" t="str">
        <f t="shared" si="95"/>
        <v/>
      </c>
      <c r="G824" t="str">
        <f>IF(OR($E824="",$F824=""),"",IFERROR(IF($E824=INDEX(Cluster_Master!$A$4:$A$18,MATCH($F824,Cluster_Master!$B$4:$B$18,0)),"OK","CHECK"),"CHECK"))</f>
        <v/>
      </c>
      <c r="H824" t="str">
        <f>IFERROR(INDEX(Cluster_Master!$C$4:$C$18,MATCH($F824,Cluster_Master!$B$4:$B$18,0)),"")</f>
        <v/>
      </c>
      <c r="I824" t="str">
        <f>IFERROR(INDEX(Cluster_Master!$D$4:$D$18,MATCH($F824,Cluster_Master!$B$4:$B$18,0)),"")</f>
        <v/>
      </c>
      <c r="J824" t="str">
        <f>IFERROR(INDEX(Cluster_Master!$E$4:$E$18,MATCH($F824,Cluster_Master!$B$4:$B$18,0)),"")</f>
        <v/>
      </c>
      <c r="K824" t="str">
        <f>IFERROR(INDEX(Cluster_Master!$F$4:$F$18,MATCH($F824,Cluster_Master!$B$4:$B$18,0)),"")</f>
        <v/>
      </c>
      <c r="L824" t="str">
        <f>IFERROR(INDEX(Cluster_Master!$G$4:$G$18,MATCH($F824,Cluster_Master!$B$4:$B$18,0)),"")</f>
        <v/>
      </c>
      <c r="M824" t="str">
        <f>IFERROR(INDEX(Cluster_Master!$H$4:$H$18,MATCH($F824,Cluster_Master!$B$4:$B$18,0)),"")</f>
        <v/>
      </c>
      <c r="AI824" t="str">
        <f t="shared" si="96"/>
        <v/>
      </c>
      <c r="AJ824" t="str">
        <f t="shared" si="97"/>
        <v/>
      </c>
      <c r="AK824" t="str">
        <f>IF(COUNTA(T824:AH824)=0,"",(SUM(T824*KPI_Weights!$B$4,U824*KPI_Weights!$B$5,V824*KPI_Weights!$B$6,W824*KPI_Weights!$B$7,X824*KPI_Weights!$B$8,Y824*KPI_Weights!$B$9,Z824*KPI_Weights!$B$10,AA824*KPI_Weights!$B$11,AB824*KPI_Weights!$B$12,AC824*KPI_Weights!$B$13,AD824*KPI_Weights!$B$14,AE824*KPI_Weights!$B$15,AF824*KPI_Weights!$B$16,AG824*KPI_Weights!$B$17,AH824*KPI_Weights!$B$18))/5)</f>
        <v/>
      </c>
      <c r="AL824" t="str">
        <f t="shared" si="98"/>
        <v/>
      </c>
      <c r="AM824" t="str">
        <f t="shared" si="99"/>
        <v/>
      </c>
      <c r="AN824" t="str">
        <f t="shared" si="100"/>
        <v/>
      </c>
    </row>
    <row r="825" spans="1:40" ht="15" customHeight="1" x14ac:dyDescent="0.2">
      <c r="A825" t="str">
        <f>IF($B825="","",TEXT($B825,"yyyymmdd")&amp;"-"&amp;SUBSTITUTE($F825," ","")&amp;"-"&amp;TEXT(COUNTIF($F$4:F825,$F825),"00"))</f>
        <v/>
      </c>
      <c r="C825" t="str">
        <f t="shared" si="94"/>
        <v/>
      </c>
      <c r="D825" t="str">
        <f t="shared" si="95"/>
        <v/>
      </c>
      <c r="G825" t="str">
        <f>IF(OR($E825="",$F825=""),"",IFERROR(IF($E825=INDEX(Cluster_Master!$A$4:$A$18,MATCH($F825,Cluster_Master!$B$4:$B$18,0)),"OK","CHECK"),"CHECK"))</f>
        <v/>
      </c>
      <c r="H825" t="str">
        <f>IFERROR(INDEX(Cluster_Master!$C$4:$C$18,MATCH($F825,Cluster_Master!$B$4:$B$18,0)),"")</f>
        <v/>
      </c>
      <c r="I825" t="str">
        <f>IFERROR(INDEX(Cluster_Master!$D$4:$D$18,MATCH($F825,Cluster_Master!$B$4:$B$18,0)),"")</f>
        <v/>
      </c>
      <c r="J825" t="str">
        <f>IFERROR(INDEX(Cluster_Master!$E$4:$E$18,MATCH($F825,Cluster_Master!$B$4:$B$18,0)),"")</f>
        <v/>
      </c>
      <c r="K825" t="str">
        <f>IFERROR(INDEX(Cluster_Master!$F$4:$F$18,MATCH($F825,Cluster_Master!$B$4:$B$18,0)),"")</f>
        <v/>
      </c>
      <c r="L825" t="str">
        <f>IFERROR(INDEX(Cluster_Master!$G$4:$G$18,MATCH($F825,Cluster_Master!$B$4:$B$18,0)),"")</f>
        <v/>
      </c>
      <c r="M825" t="str">
        <f>IFERROR(INDEX(Cluster_Master!$H$4:$H$18,MATCH($F825,Cluster_Master!$B$4:$B$18,0)),"")</f>
        <v/>
      </c>
      <c r="AI825" t="str">
        <f t="shared" si="96"/>
        <v/>
      </c>
      <c r="AJ825" t="str">
        <f t="shared" si="97"/>
        <v/>
      </c>
      <c r="AK825" t="str">
        <f>IF(COUNTA(T825:AH825)=0,"",(SUM(T825*KPI_Weights!$B$4,U825*KPI_Weights!$B$5,V825*KPI_Weights!$B$6,W825*KPI_Weights!$B$7,X825*KPI_Weights!$B$8,Y825*KPI_Weights!$B$9,Z825*KPI_Weights!$B$10,AA825*KPI_Weights!$B$11,AB825*KPI_Weights!$B$12,AC825*KPI_Weights!$B$13,AD825*KPI_Weights!$B$14,AE825*KPI_Weights!$B$15,AF825*KPI_Weights!$B$16,AG825*KPI_Weights!$B$17,AH825*KPI_Weights!$B$18))/5)</f>
        <v/>
      </c>
      <c r="AL825" t="str">
        <f t="shared" si="98"/>
        <v/>
      </c>
      <c r="AM825" t="str">
        <f t="shared" si="99"/>
        <v/>
      </c>
      <c r="AN825" t="str">
        <f t="shared" si="100"/>
        <v/>
      </c>
    </row>
    <row r="826" spans="1:40" ht="15" customHeight="1" x14ac:dyDescent="0.2">
      <c r="A826" t="str">
        <f>IF($B826="","",TEXT($B826,"yyyymmdd")&amp;"-"&amp;SUBSTITUTE($F826," ","")&amp;"-"&amp;TEXT(COUNTIF($F$4:F826,$F826),"00"))</f>
        <v/>
      </c>
      <c r="C826" t="str">
        <f t="shared" si="94"/>
        <v/>
      </c>
      <c r="D826" t="str">
        <f t="shared" si="95"/>
        <v/>
      </c>
      <c r="G826" t="str">
        <f>IF(OR($E826="",$F826=""),"",IFERROR(IF($E826=INDEX(Cluster_Master!$A$4:$A$18,MATCH($F826,Cluster_Master!$B$4:$B$18,0)),"OK","CHECK"),"CHECK"))</f>
        <v/>
      </c>
      <c r="H826" t="str">
        <f>IFERROR(INDEX(Cluster_Master!$C$4:$C$18,MATCH($F826,Cluster_Master!$B$4:$B$18,0)),"")</f>
        <v/>
      </c>
      <c r="I826" t="str">
        <f>IFERROR(INDEX(Cluster_Master!$D$4:$D$18,MATCH($F826,Cluster_Master!$B$4:$B$18,0)),"")</f>
        <v/>
      </c>
      <c r="J826" t="str">
        <f>IFERROR(INDEX(Cluster_Master!$E$4:$E$18,MATCH($F826,Cluster_Master!$B$4:$B$18,0)),"")</f>
        <v/>
      </c>
      <c r="K826" t="str">
        <f>IFERROR(INDEX(Cluster_Master!$F$4:$F$18,MATCH($F826,Cluster_Master!$B$4:$B$18,0)),"")</f>
        <v/>
      </c>
      <c r="L826" t="str">
        <f>IFERROR(INDEX(Cluster_Master!$G$4:$G$18,MATCH($F826,Cluster_Master!$B$4:$B$18,0)),"")</f>
        <v/>
      </c>
      <c r="M826" t="str">
        <f>IFERROR(INDEX(Cluster_Master!$H$4:$H$18,MATCH($F826,Cluster_Master!$B$4:$B$18,0)),"")</f>
        <v/>
      </c>
      <c r="AI826" t="str">
        <f t="shared" si="96"/>
        <v/>
      </c>
      <c r="AJ826" t="str">
        <f t="shared" si="97"/>
        <v/>
      </c>
      <c r="AK826" t="str">
        <f>IF(COUNTA(T826:AH826)=0,"",(SUM(T826*KPI_Weights!$B$4,U826*KPI_Weights!$B$5,V826*KPI_Weights!$B$6,W826*KPI_Weights!$B$7,X826*KPI_Weights!$B$8,Y826*KPI_Weights!$B$9,Z826*KPI_Weights!$B$10,AA826*KPI_Weights!$B$11,AB826*KPI_Weights!$B$12,AC826*KPI_Weights!$B$13,AD826*KPI_Weights!$B$14,AE826*KPI_Weights!$B$15,AF826*KPI_Weights!$B$16,AG826*KPI_Weights!$B$17,AH826*KPI_Weights!$B$18))/5)</f>
        <v/>
      </c>
      <c r="AL826" t="str">
        <f t="shared" si="98"/>
        <v/>
      </c>
      <c r="AM826" t="str">
        <f t="shared" si="99"/>
        <v/>
      </c>
      <c r="AN826" t="str">
        <f t="shared" si="100"/>
        <v/>
      </c>
    </row>
    <row r="827" spans="1:40" ht="15" customHeight="1" x14ac:dyDescent="0.2">
      <c r="A827" t="str">
        <f>IF($B827="","",TEXT($B827,"yyyymmdd")&amp;"-"&amp;SUBSTITUTE($F827," ","")&amp;"-"&amp;TEXT(COUNTIF($F$4:F827,$F827),"00"))</f>
        <v/>
      </c>
      <c r="C827" t="str">
        <f t="shared" si="94"/>
        <v/>
      </c>
      <c r="D827" t="str">
        <f t="shared" si="95"/>
        <v/>
      </c>
      <c r="G827" t="str">
        <f>IF(OR($E827="",$F827=""),"",IFERROR(IF($E827=INDEX(Cluster_Master!$A$4:$A$18,MATCH($F827,Cluster_Master!$B$4:$B$18,0)),"OK","CHECK"),"CHECK"))</f>
        <v/>
      </c>
      <c r="H827" t="str">
        <f>IFERROR(INDEX(Cluster_Master!$C$4:$C$18,MATCH($F827,Cluster_Master!$B$4:$B$18,0)),"")</f>
        <v/>
      </c>
      <c r="I827" t="str">
        <f>IFERROR(INDEX(Cluster_Master!$D$4:$D$18,MATCH($F827,Cluster_Master!$B$4:$B$18,0)),"")</f>
        <v/>
      </c>
      <c r="J827" t="str">
        <f>IFERROR(INDEX(Cluster_Master!$E$4:$E$18,MATCH($F827,Cluster_Master!$B$4:$B$18,0)),"")</f>
        <v/>
      </c>
      <c r="K827" t="str">
        <f>IFERROR(INDEX(Cluster_Master!$F$4:$F$18,MATCH($F827,Cluster_Master!$B$4:$B$18,0)),"")</f>
        <v/>
      </c>
      <c r="L827" t="str">
        <f>IFERROR(INDEX(Cluster_Master!$G$4:$G$18,MATCH($F827,Cluster_Master!$B$4:$B$18,0)),"")</f>
        <v/>
      </c>
      <c r="M827" t="str">
        <f>IFERROR(INDEX(Cluster_Master!$H$4:$H$18,MATCH($F827,Cluster_Master!$B$4:$B$18,0)),"")</f>
        <v/>
      </c>
      <c r="AI827" t="str">
        <f t="shared" si="96"/>
        <v/>
      </c>
      <c r="AJ827" t="str">
        <f t="shared" si="97"/>
        <v/>
      </c>
      <c r="AK827" t="str">
        <f>IF(COUNTA(T827:AH827)=0,"",(SUM(T827*KPI_Weights!$B$4,U827*KPI_Weights!$B$5,V827*KPI_Weights!$B$6,W827*KPI_Weights!$B$7,X827*KPI_Weights!$B$8,Y827*KPI_Weights!$B$9,Z827*KPI_Weights!$B$10,AA827*KPI_Weights!$B$11,AB827*KPI_Weights!$B$12,AC827*KPI_Weights!$B$13,AD827*KPI_Weights!$B$14,AE827*KPI_Weights!$B$15,AF827*KPI_Weights!$B$16,AG827*KPI_Weights!$B$17,AH827*KPI_Weights!$B$18))/5)</f>
        <v/>
      </c>
      <c r="AL827" t="str">
        <f t="shared" si="98"/>
        <v/>
      </c>
      <c r="AM827" t="str">
        <f t="shared" si="99"/>
        <v/>
      </c>
      <c r="AN827" t="str">
        <f t="shared" si="100"/>
        <v/>
      </c>
    </row>
    <row r="828" spans="1:40" ht="15" customHeight="1" x14ac:dyDescent="0.2">
      <c r="A828" t="str">
        <f>IF($B828="","",TEXT($B828,"yyyymmdd")&amp;"-"&amp;SUBSTITUTE($F828," ","")&amp;"-"&amp;TEXT(COUNTIF($F$4:F828,$F828),"00"))</f>
        <v/>
      </c>
      <c r="C828" t="str">
        <f t="shared" si="94"/>
        <v/>
      </c>
      <c r="D828" t="str">
        <f t="shared" si="95"/>
        <v/>
      </c>
      <c r="G828" t="str">
        <f>IF(OR($E828="",$F828=""),"",IFERROR(IF($E828=INDEX(Cluster_Master!$A$4:$A$18,MATCH($F828,Cluster_Master!$B$4:$B$18,0)),"OK","CHECK"),"CHECK"))</f>
        <v/>
      </c>
      <c r="H828" t="str">
        <f>IFERROR(INDEX(Cluster_Master!$C$4:$C$18,MATCH($F828,Cluster_Master!$B$4:$B$18,0)),"")</f>
        <v/>
      </c>
      <c r="I828" t="str">
        <f>IFERROR(INDEX(Cluster_Master!$D$4:$D$18,MATCH($F828,Cluster_Master!$B$4:$B$18,0)),"")</f>
        <v/>
      </c>
      <c r="J828" t="str">
        <f>IFERROR(INDEX(Cluster_Master!$E$4:$E$18,MATCH($F828,Cluster_Master!$B$4:$B$18,0)),"")</f>
        <v/>
      </c>
      <c r="K828" t="str">
        <f>IFERROR(INDEX(Cluster_Master!$F$4:$F$18,MATCH($F828,Cluster_Master!$B$4:$B$18,0)),"")</f>
        <v/>
      </c>
      <c r="L828" t="str">
        <f>IFERROR(INDEX(Cluster_Master!$G$4:$G$18,MATCH($F828,Cluster_Master!$B$4:$B$18,0)),"")</f>
        <v/>
      </c>
      <c r="M828" t="str">
        <f>IFERROR(INDEX(Cluster_Master!$H$4:$H$18,MATCH($F828,Cluster_Master!$B$4:$B$18,0)),"")</f>
        <v/>
      </c>
      <c r="AI828" t="str">
        <f t="shared" si="96"/>
        <v/>
      </c>
      <c r="AJ828" t="str">
        <f t="shared" si="97"/>
        <v/>
      </c>
      <c r="AK828" t="str">
        <f>IF(COUNTA(T828:AH828)=0,"",(SUM(T828*KPI_Weights!$B$4,U828*KPI_Weights!$B$5,V828*KPI_Weights!$B$6,W828*KPI_Weights!$B$7,X828*KPI_Weights!$B$8,Y828*KPI_Weights!$B$9,Z828*KPI_Weights!$B$10,AA828*KPI_Weights!$B$11,AB828*KPI_Weights!$B$12,AC828*KPI_Weights!$B$13,AD828*KPI_Weights!$B$14,AE828*KPI_Weights!$B$15,AF828*KPI_Weights!$B$16,AG828*KPI_Weights!$B$17,AH828*KPI_Weights!$B$18))/5)</f>
        <v/>
      </c>
      <c r="AL828" t="str">
        <f t="shared" si="98"/>
        <v/>
      </c>
      <c r="AM828" t="str">
        <f t="shared" si="99"/>
        <v/>
      </c>
      <c r="AN828" t="str">
        <f t="shared" si="100"/>
        <v/>
      </c>
    </row>
    <row r="829" spans="1:40" ht="15" customHeight="1" x14ac:dyDescent="0.2">
      <c r="A829" t="str">
        <f>IF($B829="","",TEXT($B829,"yyyymmdd")&amp;"-"&amp;SUBSTITUTE($F829," ","")&amp;"-"&amp;TEXT(COUNTIF($F$4:F829,$F829),"00"))</f>
        <v/>
      </c>
      <c r="C829" t="str">
        <f t="shared" si="94"/>
        <v/>
      </c>
      <c r="D829" t="str">
        <f t="shared" si="95"/>
        <v/>
      </c>
      <c r="G829" t="str">
        <f>IF(OR($E829="",$F829=""),"",IFERROR(IF($E829=INDEX(Cluster_Master!$A$4:$A$18,MATCH($F829,Cluster_Master!$B$4:$B$18,0)),"OK","CHECK"),"CHECK"))</f>
        <v/>
      </c>
      <c r="H829" t="str">
        <f>IFERROR(INDEX(Cluster_Master!$C$4:$C$18,MATCH($F829,Cluster_Master!$B$4:$B$18,0)),"")</f>
        <v/>
      </c>
      <c r="I829" t="str">
        <f>IFERROR(INDEX(Cluster_Master!$D$4:$D$18,MATCH($F829,Cluster_Master!$B$4:$B$18,0)),"")</f>
        <v/>
      </c>
      <c r="J829" t="str">
        <f>IFERROR(INDEX(Cluster_Master!$E$4:$E$18,MATCH($F829,Cluster_Master!$B$4:$B$18,0)),"")</f>
        <v/>
      </c>
      <c r="K829" t="str">
        <f>IFERROR(INDEX(Cluster_Master!$F$4:$F$18,MATCH($F829,Cluster_Master!$B$4:$B$18,0)),"")</f>
        <v/>
      </c>
      <c r="L829" t="str">
        <f>IFERROR(INDEX(Cluster_Master!$G$4:$G$18,MATCH($F829,Cluster_Master!$B$4:$B$18,0)),"")</f>
        <v/>
      </c>
      <c r="M829" t="str">
        <f>IFERROR(INDEX(Cluster_Master!$H$4:$H$18,MATCH($F829,Cluster_Master!$B$4:$B$18,0)),"")</f>
        <v/>
      </c>
      <c r="AI829" t="str">
        <f t="shared" si="96"/>
        <v/>
      </c>
      <c r="AJ829" t="str">
        <f t="shared" si="97"/>
        <v/>
      </c>
      <c r="AK829" t="str">
        <f>IF(COUNTA(T829:AH829)=0,"",(SUM(T829*KPI_Weights!$B$4,U829*KPI_Weights!$B$5,V829*KPI_Weights!$B$6,W829*KPI_Weights!$B$7,X829*KPI_Weights!$B$8,Y829*KPI_Weights!$B$9,Z829*KPI_Weights!$B$10,AA829*KPI_Weights!$B$11,AB829*KPI_Weights!$B$12,AC829*KPI_Weights!$B$13,AD829*KPI_Weights!$B$14,AE829*KPI_Weights!$B$15,AF829*KPI_Weights!$B$16,AG829*KPI_Weights!$B$17,AH829*KPI_Weights!$B$18))/5)</f>
        <v/>
      </c>
      <c r="AL829" t="str">
        <f t="shared" si="98"/>
        <v/>
      </c>
      <c r="AM829" t="str">
        <f t="shared" si="99"/>
        <v/>
      </c>
      <c r="AN829" t="str">
        <f t="shared" si="100"/>
        <v/>
      </c>
    </row>
    <row r="830" spans="1:40" ht="15" customHeight="1" x14ac:dyDescent="0.2">
      <c r="A830" t="str">
        <f>IF($B830="","",TEXT($B830,"yyyymmdd")&amp;"-"&amp;SUBSTITUTE($F830," ","")&amp;"-"&amp;TEXT(COUNTIF($F$4:F830,$F830),"00"))</f>
        <v/>
      </c>
      <c r="C830" t="str">
        <f t="shared" si="94"/>
        <v/>
      </c>
      <c r="D830" t="str">
        <f t="shared" si="95"/>
        <v/>
      </c>
      <c r="G830" t="str">
        <f>IF(OR($E830="",$F830=""),"",IFERROR(IF($E830=INDEX(Cluster_Master!$A$4:$A$18,MATCH($F830,Cluster_Master!$B$4:$B$18,0)),"OK","CHECK"),"CHECK"))</f>
        <v/>
      </c>
      <c r="H830" t="str">
        <f>IFERROR(INDEX(Cluster_Master!$C$4:$C$18,MATCH($F830,Cluster_Master!$B$4:$B$18,0)),"")</f>
        <v/>
      </c>
      <c r="I830" t="str">
        <f>IFERROR(INDEX(Cluster_Master!$D$4:$D$18,MATCH($F830,Cluster_Master!$B$4:$B$18,0)),"")</f>
        <v/>
      </c>
      <c r="J830" t="str">
        <f>IFERROR(INDEX(Cluster_Master!$E$4:$E$18,MATCH($F830,Cluster_Master!$B$4:$B$18,0)),"")</f>
        <v/>
      </c>
      <c r="K830" t="str">
        <f>IFERROR(INDEX(Cluster_Master!$F$4:$F$18,MATCH($F830,Cluster_Master!$B$4:$B$18,0)),"")</f>
        <v/>
      </c>
      <c r="L830" t="str">
        <f>IFERROR(INDEX(Cluster_Master!$G$4:$G$18,MATCH($F830,Cluster_Master!$B$4:$B$18,0)),"")</f>
        <v/>
      </c>
      <c r="M830" t="str">
        <f>IFERROR(INDEX(Cluster_Master!$H$4:$H$18,MATCH($F830,Cluster_Master!$B$4:$B$18,0)),"")</f>
        <v/>
      </c>
      <c r="AI830" t="str">
        <f t="shared" si="96"/>
        <v/>
      </c>
      <c r="AJ830" t="str">
        <f t="shared" si="97"/>
        <v/>
      </c>
      <c r="AK830" t="str">
        <f>IF(COUNTA(T830:AH830)=0,"",(SUM(T830*KPI_Weights!$B$4,U830*KPI_Weights!$B$5,V830*KPI_Weights!$B$6,W830*KPI_Weights!$B$7,X830*KPI_Weights!$B$8,Y830*KPI_Weights!$B$9,Z830*KPI_Weights!$B$10,AA830*KPI_Weights!$B$11,AB830*KPI_Weights!$B$12,AC830*KPI_Weights!$B$13,AD830*KPI_Weights!$B$14,AE830*KPI_Weights!$B$15,AF830*KPI_Weights!$B$16,AG830*KPI_Weights!$B$17,AH830*KPI_Weights!$B$18))/5)</f>
        <v/>
      </c>
      <c r="AL830" t="str">
        <f t="shared" si="98"/>
        <v/>
      </c>
      <c r="AM830" t="str">
        <f t="shared" si="99"/>
        <v/>
      </c>
      <c r="AN830" t="str">
        <f t="shared" si="100"/>
        <v/>
      </c>
    </row>
    <row r="831" spans="1:40" ht="15" customHeight="1" x14ac:dyDescent="0.2">
      <c r="A831" t="str">
        <f>IF($B831="","",TEXT($B831,"yyyymmdd")&amp;"-"&amp;SUBSTITUTE($F831," ","")&amp;"-"&amp;TEXT(COUNTIF($F$4:F831,$F831),"00"))</f>
        <v/>
      </c>
      <c r="C831" t="str">
        <f t="shared" si="94"/>
        <v/>
      </c>
      <c r="D831" t="str">
        <f t="shared" si="95"/>
        <v/>
      </c>
      <c r="G831" t="str">
        <f>IF(OR($E831="",$F831=""),"",IFERROR(IF($E831=INDEX(Cluster_Master!$A$4:$A$18,MATCH($F831,Cluster_Master!$B$4:$B$18,0)),"OK","CHECK"),"CHECK"))</f>
        <v/>
      </c>
      <c r="H831" t="str">
        <f>IFERROR(INDEX(Cluster_Master!$C$4:$C$18,MATCH($F831,Cluster_Master!$B$4:$B$18,0)),"")</f>
        <v/>
      </c>
      <c r="I831" t="str">
        <f>IFERROR(INDEX(Cluster_Master!$D$4:$D$18,MATCH($F831,Cluster_Master!$B$4:$B$18,0)),"")</f>
        <v/>
      </c>
      <c r="J831" t="str">
        <f>IFERROR(INDEX(Cluster_Master!$E$4:$E$18,MATCH($F831,Cluster_Master!$B$4:$B$18,0)),"")</f>
        <v/>
      </c>
      <c r="K831" t="str">
        <f>IFERROR(INDEX(Cluster_Master!$F$4:$F$18,MATCH($F831,Cluster_Master!$B$4:$B$18,0)),"")</f>
        <v/>
      </c>
      <c r="L831" t="str">
        <f>IFERROR(INDEX(Cluster_Master!$G$4:$G$18,MATCH($F831,Cluster_Master!$B$4:$B$18,0)),"")</f>
        <v/>
      </c>
      <c r="M831" t="str">
        <f>IFERROR(INDEX(Cluster_Master!$H$4:$H$18,MATCH($F831,Cluster_Master!$B$4:$B$18,0)),"")</f>
        <v/>
      </c>
      <c r="AI831" t="str">
        <f t="shared" si="96"/>
        <v/>
      </c>
      <c r="AJ831" t="str">
        <f t="shared" si="97"/>
        <v/>
      </c>
      <c r="AK831" t="str">
        <f>IF(COUNTA(T831:AH831)=0,"",(SUM(T831*KPI_Weights!$B$4,U831*KPI_Weights!$B$5,V831*KPI_Weights!$B$6,W831*KPI_Weights!$B$7,X831*KPI_Weights!$B$8,Y831*KPI_Weights!$B$9,Z831*KPI_Weights!$B$10,AA831*KPI_Weights!$B$11,AB831*KPI_Weights!$B$12,AC831*KPI_Weights!$B$13,AD831*KPI_Weights!$B$14,AE831*KPI_Weights!$B$15,AF831*KPI_Weights!$B$16,AG831*KPI_Weights!$B$17,AH831*KPI_Weights!$B$18))/5)</f>
        <v/>
      </c>
      <c r="AL831" t="str">
        <f t="shared" si="98"/>
        <v/>
      </c>
      <c r="AM831" t="str">
        <f t="shared" si="99"/>
        <v/>
      </c>
      <c r="AN831" t="str">
        <f t="shared" si="100"/>
        <v/>
      </c>
    </row>
    <row r="832" spans="1:40" ht="15" customHeight="1" x14ac:dyDescent="0.2">
      <c r="A832" t="str">
        <f>IF($B832="","",TEXT($B832,"yyyymmdd")&amp;"-"&amp;SUBSTITUTE($F832," ","")&amp;"-"&amp;TEXT(COUNTIF($F$4:F832,$F832),"00"))</f>
        <v/>
      </c>
      <c r="C832" t="str">
        <f t="shared" ref="C832:C895" si="101">IF($B832="","",WEEKNUM($B832,2))</f>
        <v/>
      </c>
      <c r="D832" t="str">
        <f t="shared" ref="D832:D895" si="102">IF($B832="","",TEXT($B832,"yyyy-mm"))</f>
        <v/>
      </c>
      <c r="G832" t="str">
        <f>IF(OR($E832="",$F832=""),"",IFERROR(IF($E832=INDEX(Cluster_Master!$A$4:$A$18,MATCH($F832,Cluster_Master!$B$4:$B$18,0)),"OK","CHECK"),"CHECK"))</f>
        <v/>
      </c>
      <c r="H832" t="str">
        <f>IFERROR(INDEX(Cluster_Master!$C$4:$C$18,MATCH($F832,Cluster_Master!$B$4:$B$18,0)),"")</f>
        <v/>
      </c>
      <c r="I832" t="str">
        <f>IFERROR(INDEX(Cluster_Master!$D$4:$D$18,MATCH($F832,Cluster_Master!$B$4:$B$18,0)),"")</f>
        <v/>
      </c>
      <c r="J832" t="str">
        <f>IFERROR(INDEX(Cluster_Master!$E$4:$E$18,MATCH($F832,Cluster_Master!$B$4:$B$18,0)),"")</f>
        <v/>
      </c>
      <c r="K832" t="str">
        <f>IFERROR(INDEX(Cluster_Master!$F$4:$F$18,MATCH($F832,Cluster_Master!$B$4:$B$18,0)),"")</f>
        <v/>
      </c>
      <c r="L832" t="str">
        <f>IFERROR(INDEX(Cluster_Master!$G$4:$G$18,MATCH($F832,Cluster_Master!$B$4:$B$18,0)),"")</f>
        <v/>
      </c>
      <c r="M832" t="str">
        <f>IFERROR(INDEX(Cluster_Master!$H$4:$H$18,MATCH($F832,Cluster_Master!$B$4:$B$18,0)),"")</f>
        <v/>
      </c>
      <c r="AI832" t="str">
        <f t="shared" ref="AI832:AI895" si="103">IF(COUNTA(T832:AH832)=0,"",SUM(T832:AH832))</f>
        <v/>
      </c>
      <c r="AJ832" t="str">
        <f t="shared" ref="AJ832:AJ895" si="104">IF(COUNTA(T832:AH832)=0,"",AI832/75)</f>
        <v/>
      </c>
      <c r="AK832" t="str">
        <f>IF(COUNTA(T832:AH832)=0,"",(SUM(T832*KPI_Weights!$B$4,U832*KPI_Weights!$B$5,V832*KPI_Weights!$B$6,W832*KPI_Weights!$B$7,X832*KPI_Weights!$B$8,Y832*KPI_Weights!$B$9,Z832*KPI_Weights!$B$10,AA832*KPI_Weights!$B$11,AB832*KPI_Weights!$B$12,AC832*KPI_Weights!$B$13,AD832*KPI_Weights!$B$14,AE832*KPI_Weights!$B$15,AF832*KPI_Weights!$B$16,AG832*KPI_Weights!$B$17,AH832*KPI_Weights!$B$18))/5)</f>
        <v/>
      </c>
      <c r="AL832" t="str">
        <f t="shared" ref="AL832:AL895" si="105">IF(COUNTA(T832:AH832)=0,"",IF(OR(T832&lt;=1,W832&lt;=1,X832&lt;=1,Y832&lt;=1,AB832&lt;=1),"YES","NO"))</f>
        <v/>
      </c>
      <c r="AM832" t="str">
        <f t="shared" ref="AM832:AM895" si="106">IF(AJ832="","",IF(AND(AL832="NO",AJ832&gt;=0.75),"YES","NO"))</f>
        <v/>
      </c>
      <c r="AN832" t="str">
        <f t="shared" ref="AN832:AN895" si="107">IF(AJ832="","",IF(AJ832&lt;0.4,"Critical",IF(AJ832&lt;0.6,"Poor",IF(AJ832&lt;0.75,"Needs Improvement",IF(AJ832&lt;0.9,"Good","Excellent")))))</f>
        <v/>
      </c>
    </row>
    <row r="833" spans="1:40" ht="15" customHeight="1" x14ac:dyDescent="0.2">
      <c r="A833" t="str">
        <f>IF($B833="","",TEXT($B833,"yyyymmdd")&amp;"-"&amp;SUBSTITUTE($F833," ","")&amp;"-"&amp;TEXT(COUNTIF($F$4:F833,$F833),"00"))</f>
        <v/>
      </c>
      <c r="C833" t="str">
        <f t="shared" si="101"/>
        <v/>
      </c>
      <c r="D833" t="str">
        <f t="shared" si="102"/>
        <v/>
      </c>
      <c r="G833" t="str">
        <f>IF(OR($E833="",$F833=""),"",IFERROR(IF($E833=INDEX(Cluster_Master!$A$4:$A$18,MATCH($F833,Cluster_Master!$B$4:$B$18,0)),"OK","CHECK"),"CHECK"))</f>
        <v/>
      </c>
      <c r="H833" t="str">
        <f>IFERROR(INDEX(Cluster_Master!$C$4:$C$18,MATCH($F833,Cluster_Master!$B$4:$B$18,0)),"")</f>
        <v/>
      </c>
      <c r="I833" t="str">
        <f>IFERROR(INDEX(Cluster_Master!$D$4:$D$18,MATCH($F833,Cluster_Master!$B$4:$B$18,0)),"")</f>
        <v/>
      </c>
      <c r="J833" t="str">
        <f>IFERROR(INDEX(Cluster_Master!$E$4:$E$18,MATCH($F833,Cluster_Master!$B$4:$B$18,0)),"")</f>
        <v/>
      </c>
      <c r="K833" t="str">
        <f>IFERROR(INDEX(Cluster_Master!$F$4:$F$18,MATCH($F833,Cluster_Master!$B$4:$B$18,0)),"")</f>
        <v/>
      </c>
      <c r="L833" t="str">
        <f>IFERROR(INDEX(Cluster_Master!$G$4:$G$18,MATCH($F833,Cluster_Master!$B$4:$B$18,0)),"")</f>
        <v/>
      </c>
      <c r="M833" t="str">
        <f>IFERROR(INDEX(Cluster_Master!$H$4:$H$18,MATCH($F833,Cluster_Master!$B$4:$B$18,0)),"")</f>
        <v/>
      </c>
      <c r="AI833" t="str">
        <f t="shared" si="103"/>
        <v/>
      </c>
      <c r="AJ833" t="str">
        <f t="shared" si="104"/>
        <v/>
      </c>
      <c r="AK833" t="str">
        <f>IF(COUNTA(T833:AH833)=0,"",(SUM(T833*KPI_Weights!$B$4,U833*KPI_Weights!$B$5,V833*KPI_Weights!$B$6,W833*KPI_Weights!$B$7,X833*KPI_Weights!$B$8,Y833*KPI_Weights!$B$9,Z833*KPI_Weights!$B$10,AA833*KPI_Weights!$B$11,AB833*KPI_Weights!$B$12,AC833*KPI_Weights!$B$13,AD833*KPI_Weights!$B$14,AE833*KPI_Weights!$B$15,AF833*KPI_Weights!$B$16,AG833*KPI_Weights!$B$17,AH833*KPI_Weights!$B$18))/5)</f>
        <v/>
      </c>
      <c r="AL833" t="str">
        <f t="shared" si="105"/>
        <v/>
      </c>
      <c r="AM833" t="str">
        <f t="shared" si="106"/>
        <v/>
      </c>
      <c r="AN833" t="str">
        <f t="shared" si="107"/>
        <v/>
      </c>
    </row>
    <row r="834" spans="1:40" ht="15" customHeight="1" x14ac:dyDescent="0.2">
      <c r="A834" t="str">
        <f>IF($B834="","",TEXT($B834,"yyyymmdd")&amp;"-"&amp;SUBSTITUTE($F834," ","")&amp;"-"&amp;TEXT(COUNTIF($F$4:F834,$F834),"00"))</f>
        <v/>
      </c>
      <c r="C834" t="str">
        <f t="shared" si="101"/>
        <v/>
      </c>
      <c r="D834" t="str">
        <f t="shared" si="102"/>
        <v/>
      </c>
      <c r="G834" t="str">
        <f>IF(OR($E834="",$F834=""),"",IFERROR(IF($E834=INDEX(Cluster_Master!$A$4:$A$18,MATCH($F834,Cluster_Master!$B$4:$B$18,0)),"OK","CHECK"),"CHECK"))</f>
        <v/>
      </c>
      <c r="H834" t="str">
        <f>IFERROR(INDEX(Cluster_Master!$C$4:$C$18,MATCH($F834,Cluster_Master!$B$4:$B$18,0)),"")</f>
        <v/>
      </c>
      <c r="I834" t="str">
        <f>IFERROR(INDEX(Cluster_Master!$D$4:$D$18,MATCH($F834,Cluster_Master!$B$4:$B$18,0)),"")</f>
        <v/>
      </c>
      <c r="J834" t="str">
        <f>IFERROR(INDEX(Cluster_Master!$E$4:$E$18,MATCH($F834,Cluster_Master!$B$4:$B$18,0)),"")</f>
        <v/>
      </c>
      <c r="K834" t="str">
        <f>IFERROR(INDEX(Cluster_Master!$F$4:$F$18,MATCH($F834,Cluster_Master!$B$4:$B$18,0)),"")</f>
        <v/>
      </c>
      <c r="L834" t="str">
        <f>IFERROR(INDEX(Cluster_Master!$G$4:$G$18,MATCH($F834,Cluster_Master!$B$4:$B$18,0)),"")</f>
        <v/>
      </c>
      <c r="M834" t="str">
        <f>IFERROR(INDEX(Cluster_Master!$H$4:$H$18,MATCH($F834,Cluster_Master!$B$4:$B$18,0)),"")</f>
        <v/>
      </c>
      <c r="AI834" t="str">
        <f t="shared" si="103"/>
        <v/>
      </c>
      <c r="AJ834" t="str">
        <f t="shared" si="104"/>
        <v/>
      </c>
      <c r="AK834" t="str">
        <f>IF(COUNTA(T834:AH834)=0,"",(SUM(T834*KPI_Weights!$B$4,U834*KPI_Weights!$B$5,V834*KPI_Weights!$B$6,W834*KPI_Weights!$B$7,X834*KPI_Weights!$B$8,Y834*KPI_Weights!$B$9,Z834*KPI_Weights!$B$10,AA834*KPI_Weights!$B$11,AB834*KPI_Weights!$B$12,AC834*KPI_Weights!$B$13,AD834*KPI_Weights!$B$14,AE834*KPI_Weights!$B$15,AF834*KPI_Weights!$B$16,AG834*KPI_Weights!$B$17,AH834*KPI_Weights!$B$18))/5)</f>
        <v/>
      </c>
      <c r="AL834" t="str">
        <f t="shared" si="105"/>
        <v/>
      </c>
      <c r="AM834" t="str">
        <f t="shared" si="106"/>
        <v/>
      </c>
      <c r="AN834" t="str">
        <f t="shared" si="107"/>
        <v/>
      </c>
    </row>
    <row r="835" spans="1:40" ht="15" customHeight="1" x14ac:dyDescent="0.2">
      <c r="A835" t="str">
        <f>IF($B835="","",TEXT($B835,"yyyymmdd")&amp;"-"&amp;SUBSTITUTE($F835," ","")&amp;"-"&amp;TEXT(COUNTIF($F$4:F835,$F835),"00"))</f>
        <v/>
      </c>
      <c r="C835" t="str">
        <f t="shared" si="101"/>
        <v/>
      </c>
      <c r="D835" t="str">
        <f t="shared" si="102"/>
        <v/>
      </c>
      <c r="G835" t="str">
        <f>IF(OR($E835="",$F835=""),"",IFERROR(IF($E835=INDEX(Cluster_Master!$A$4:$A$18,MATCH($F835,Cluster_Master!$B$4:$B$18,0)),"OK","CHECK"),"CHECK"))</f>
        <v/>
      </c>
      <c r="H835" t="str">
        <f>IFERROR(INDEX(Cluster_Master!$C$4:$C$18,MATCH($F835,Cluster_Master!$B$4:$B$18,0)),"")</f>
        <v/>
      </c>
      <c r="I835" t="str">
        <f>IFERROR(INDEX(Cluster_Master!$D$4:$D$18,MATCH($F835,Cluster_Master!$B$4:$B$18,0)),"")</f>
        <v/>
      </c>
      <c r="J835" t="str">
        <f>IFERROR(INDEX(Cluster_Master!$E$4:$E$18,MATCH($F835,Cluster_Master!$B$4:$B$18,0)),"")</f>
        <v/>
      </c>
      <c r="K835" t="str">
        <f>IFERROR(INDEX(Cluster_Master!$F$4:$F$18,MATCH($F835,Cluster_Master!$B$4:$B$18,0)),"")</f>
        <v/>
      </c>
      <c r="L835" t="str">
        <f>IFERROR(INDEX(Cluster_Master!$G$4:$G$18,MATCH($F835,Cluster_Master!$B$4:$B$18,0)),"")</f>
        <v/>
      </c>
      <c r="M835" t="str">
        <f>IFERROR(INDEX(Cluster_Master!$H$4:$H$18,MATCH($F835,Cluster_Master!$B$4:$B$18,0)),"")</f>
        <v/>
      </c>
      <c r="AI835" t="str">
        <f t="shared" si="103"/>
        <v/>
      </c>
      <c r="AJ835" t="str">
        <f t="shared" si="104"/>
        <v/>
      </c>
      <c r="AK835" t="str">
        <f>IF(COUNTA(T835:AH835)=0,"",(SUM(T835*KPI_Weights!$B$4,U835*KPI_Weights!$B$5,V835*KPI_Weights!$B$6,W835*KPI_Weights!$B$7,X835*KPI_Weights!$B$8,Y835*KPI_Weights!$B$9,Z835*KPI_Weights!$B$10,AA835*KPI_Weights!$B$11,AB835*KPI_Weights!$B$12,AC835*KPI_Weights!$B$13,AD835*KPI_Weights!$B$14,AE835*KPI_Weights!$B$15,AF835*KPI_Weights!$B$16,AG835*KPI_Weights!$B$17,AH835*KPI_Weights!$B$18))/5)</f>
        <v/>
      </c>
      <c r="AL835" t="str">
        <f t="shared" si="105"/>
        <v/>
      </c>
      <c r="AM835" t="str">
        <f t="shared" si="106"/>
        <v/>
      </c>
      <c r="AN835" t="str">
        <f t="shared" si="107"/>
        <v/>
      </c>
    </row>
    <row r="836" spans="1:40" ht="15" customHeight="1" x14ac:dyDescent="0.2">
      <c r="A836" t="str">
        <f>IF($B836="","",TEXT($B836,"yyyymmdd")&amp;"-"&amp;SUBSTITUTE($F836," ","")&amp;"-"&amp;TEXT(COUNTIF($F$4:F836,$F836),"00"))</f>
        <v/>
      </c>
      <c r="C836" t="str">
        <f t="shared" si="101"/>
        <v/>
      </c>
      <c r="D836" t="str">
        <f t="shared" si="102"/>
        <v/>
      </c>
      <c r="G836" t="str">
        <f>IF(OR($E836="",$F836=""),"",IFERROR(IF($E836=INDEX(Cluster_Master!$A$4:$A$18,MATCH($F836,Cluster_Master!$B$4:$B$18,0)),"OK","CHECK"),"CHECK"))</f>
        <v/>
      </c>
      <c r="H836" t="str">
        <f>IFERROR(INDEX(Cluster_Master!$C$4:$C$18,MATCH($F836,Cluster_Master!$B$4:$B$18,0)),"")</f>
        <v/>
      </c>
      <c r="I836" t="str">
        <f>IFERROR(INDEX(Cluster_Master!$D$4:$D$18,MATCH($F836,Cluster_Master!$B$4:$B$18,0)),"")</f>
        <v/>
      </c>
      <c r="J836" t="str">
        <f>IFERROR(INDEX(Cluster_Master!$E$4:$E$18,MATCH($F836,Cluster_Master!$B$4:$B$18,0)),"")</f>
        <v/>
      </c>
      <c r="K836" t="str">
        <f>IFERROR(INDEX(Cluster_Master!$F$4:$F$18,MATCH($F836,Cluster_Master!$B$4:$B$18,0)),"")</f>
        <v/>
      </c>
      <c r="L836" t="str">
        <f>IFERROR(INDEX(Cluster_Master!$G$4:$G$18,MATCH($F836,Cluster_Master!$B$4:$B$18,0)),"")</f>
        <v/>
      </c>
      <c r="M836" t="str">
        <f>IFERROR(INDEX(Cluster_Master!$H$4:$H$18,MATCH($F836,Cluster_Master!$B$4:$B$18,0)),"")</f>
        <v/>
      </c>
      <c r="AI836" t="str">
        <f t="shared" si="103"/>
        <v/>
      </c>
      <c r="AJ836" t="str">
        <f t="shared" si="104"/>
        <v/>
      </c>
      <c r="AK836" t="str">
        <f>IF(COUNTA(T836:AH836)=0,"",(SUM(T836*KPI_Weights!$B$4,U836*KPI_Weights!$B$5,V836*KPI_Weights!$B$6,W836*KPI_Weights!$B$7,X836*KPI_Weights!$B$8,Y836*KPI_Weights!$B$9,Z836*KPI_Weights!$B$10,AA836*KPI_Weights!$B$11,AB836*KPI_Weights!$B$12,AC836*KPI_Weights!$B$13,AD836*KPI_Weights!$B$14,AE836*KPI_Weights!$B$15,AF836*KPI_Weights!$B$16,AG836*KPI_Weights!$B$17,AH836*KPI_Weights!$B$18))/5)</f>
        <v/>
      </c>
      <c r="AL836" t="str">
        <f t="shared" si="105"/>
        <v/>
      </c>
      <c r="AM836" t="str">
        <f t="shared" si="106"/>
        <v/>
      </c>
      <c r="AN836" t="str">
        <f t="shared" si="107"/>
        <v/>
      </c>
    </row>
    <row r="837" spans="1:40" ht="15" customHeight="1" x14ac:dyDescent="0.2">
      <c r="A837" t="str">
        <f>IF($B837="","",TEXT($B837,"yyyymmdd")&amp;"-"&amp;SUBSTITUTE($F837," ","")&amp;"-"&amp;TEXT(COUNTIF($F$4:F837,$F837),"00"))</f>
        <v/>
      </c>
      <c r="C837" t="str">
        <f t="shared" si="101"/>
        <v/>
      </c>
      <c r="D837" t="str">
        <f t="shared" si="102"/>
        <v/>
      </c>
      <c r="G837" t="str">
        <f>IF(OR($E837="",$F837=""),"",IFERROR(IF($E837=INDEX(Cluster_Master!$A$4:$A$18,MATCH($F837,Cluster_Master!$B$4:$B$18,0)),"OK","CHECK"),"CHECK"))</f>
        <v/>
      </c>
      <c r="H837" t="str">
        <f>IFERROR(INDEX(Cluster_Master!$C$4:$C$18,MATCH($F837,Cluster_Master!$B$4:$B$18,0)),"")</f>
        <v/>
      </c>
      <c r="I837" t="str">
        <f>IFERROR(INDEX(Cluster_Master!$D$4:$D$18,MATCH($F837,Cluster_Master!$B$4:$B$18,0)),"")</f>
        <v/>
      </c>
      <c r="J837" t="str">
        <f>IFERROR(INDEX(Cluster_Master!$E$4:$E$18,MATCH($F837,Cluster_Master!$B$4:$B$18,0)),"")</f>
        <v/>
      </c>
      <c r="K837" t="str">
        <f>IFERROR(INDEX(Cluster_Master!$F$4:$F$18,MATCH($F837,Cluster_Master!$B$4:$B$18,0)),"")</f>
        <v/>
      </c>
      <c r="L837" t="str">
        <f>IFERROR(INDEX(Cluster_Master!$G$4:$G$18,MATCH($F837,Cluster_Master!$B$4:$B$18,0)),"")</f>
        <v/>
      </c>
      <c r="M837" t="str">
        <f>IFERROR(INDEX(Cluster_Master!$H$4:$H$18,MATCH($F837,Cluster_Master!$B$4:$B$18,0)),"")</f>
        <v/>
      </c>
      <c r="AI837" t="str">
        <f t="shared" si="103"/>
        <v/>
      </c>
      <c r="AJ837" t="str">
        <f t="shared" si="104"/>
        <v/>
      </c>
      <c r="AK837" t="str">
        <f>IF(COUNTA(T837:AH837)=0,"",(SUM(T837*KPI_Weights!$B$4,U837*KPI_Weights!$B$5,V837*KPI_Weights!$B$6,W837*KPI_Weights!$B$7,X837*KPI_Weights!$B$8,Y837*KPI_Weights!$B$9,Z837*KPI_Weights!$B$10,AA837*KPI_Weights!$B$11,AB837*KPI_Weights!$B$12,AC837*KPI_Weights!$B$13,AD837*KPI_Weights!$B$14,AE837*KPI_Weights!$B$15,AF837*KPI_Weights!$B$16,AG837*KPI_Weights!$B$17,AH837*KPI_Weights!$B$18))/5)</f>
        <v/>
      </c>
      <c r="AL837" t="str">
        <f t="shared" si="105"/>
        <v/>
      </c>
      <c r="AM837" t="str">
        <f t="shared" si="106"/>
        <v/>
      </c>
      <c r="AN837" t="str">
        <f t="shared" si="107"/>
        <v/>
      </c>
    </row>
    <row r="838" spans="1:40" ht="15" customHeight="1" x14ac:dyDescent="0.2">
      <c r="A838" t="str">
        <f>IF($B838="","",TEXT($B838,"yyyymmdd")&amp;"-"&amp;SUBSTITUTE($F838," ","")&amp;"-"&amp;TEXT(COUNTIF($F$4:F838,$F838),"00"))</f>
        <v/>
      </c>
      <c r="C838" t="str">
        <f t="shared" si="101"/>
        <v/>
      </c>
      <c r="D838" t="str">
        <f t="shared" si="102"/>
        <v/>
      </c>
      <c r="G838" t="str">
        <f>IF(OR($E838="",$F838=""),"",IFERROR(IF($E838=INDEX(Cluster_Master!$A$4:$A$18,MATCH($F838,Cluster_Master!$B$4:$B$18,0)),"OK","CHECK"),"CHECK"))</f>
        <v/>
      </c>
      <c r="H838" t="str">
        <f>IFERROR(INDEX(Cluster_Master!$C$4:$C$18,MATCH($F838,Cluster_Master!$B$4:$B$18,0)),"")</f>
        <v/>
      </c>
      <c r="I838" t="str">
        <f>IFERROR(INDEX(Cluster_Master!$D$4:$D$18,MATCH($F838,Cluster_Master!$B$4:$B$18,0)),"")</f>
        <v/>
      </c>
      <c r="J838" t="str">
        <f>IFERROR(INDEX(Cluster_Master!$E$4:$E$18,MATCH($F838,Cluster_Master!$B$4:$B$18,0)),"")</f>
        <v/>
      </c>
      <c r="K838" t="str">
        <f>IFERROR(INDEX(Cluster_Master!$F$4:$F$18,MATCH($F838,Cluster_Master!$B$4:$B$18,0)),"")</f>
        <v/>
      </c>
      <c r="L838" t="str">
        <f>IFERROR(INDEX(Cluster_Master!$G$4:$G$18,MATCH($F838,Cluster_Master!$B$4:$B$18,0)),"")</f>
        <v/>
      </c>
      <c r="M838" t="str">
        <f>IFERROR(INDEX(Cluster_Master!$H$4:$H$18,MATCH($F838,Cluster_Master!$B$4:$B$18,0)),"")</f>
        <v/>
      </c>
      <c r="AI838" t="str">
        <f t="shared" si="103"/>
        <v/>
      </c>
      <c r="AJ838" t="str">
        <f t="shared" si="104"/>
        <v/>
      </c>
      <c r="AK838" t="str">
        <f>IF(COUNTA(T838:AH838)=0,"",(SUM(T838*KPI_Weights!$B$4,U838*KPI_Weights!$B$5,V838*KPI_Weights!$B$6,W838*KPI_Weights!$B$7,X838*KPI_Weights!$B$8,Y838*KPI_Weights!$B$9,Z838*KPI_Weights!$B$10,AA838*KPI_Weights!$B$11,AB838*KPI_Weights!$B$12,AC838*KPI_Weights!$B$13,AD838*KPI_Weights!$B$14,AE838*KPI_Weights!$B$15,AF838*KPI_Weights!$B$16,AG838*KPI_Weights!$B$17,AH838*KPI_Weights!$B$18))/5)</f>
        <v/>
      </c>
      <c r="AL838" t="str">
        <f t="shared" si="105"/>
        <v/>
      </c>
      <c r="AM838" t="str">
        <f t="shared" si="106"/>
        <v/>
      </c>
      <c r="AN838" t="str">
        <f t="shared" si="107"/>
        <v/>
      </c>
    </row>
    <row r="839" spans="1:40" ht="15" customHeight="1" x14ac:dyDescent="0.2">
      <c r="A839" t="str">
        <f>IF($B839="","",TEXT($B839,"yyyymmdd")&amp;"-"&amp;SUBSTITUTE($F839," ","")&amp;"-"&amp;TEXT(COUNTIF($F$4:F839,$F839),"00"))</f>
        <v/>
      </c>
      <c r="C839" t="str">
        <f t="shared" si="101"/>
        <v/>
      </c>
      <c r="D839" t="str">
        <f t="shared" si="102"/>
        <v/>
      </c>
      <c r="G839" t="str">
        <f>IF(OR($E839="",$F839=""),"",IFERROR(IF($E839=INDEX(Cluster_Master!$A$4:$A$18,MATCH($F839,Cluster_Master!$B$4:$B$18,0)),"OK","CHECK"),"CHECK"))</f>
        <v/>
      </c>
      <c r="H839" t="str">
        <f>IFERROR(INDEX(Cluster_Master!$C$4:$C$18,MATCH($F839,Cluster_Master!$B$4:$B$18,0)),"")</f>
        <v/>
      </c>
      <c r="I839" t="str">
        <f>IFERROR(INDEX(Cluster_Master!$D$4:$D$18,MATCH($F839,Cluster_Master!$B$4:$B$18,0)),"")</f>
        <v/>
      </c>
      <c r="J839" t="str">
        <f>IFERROR(INDEX(Cluster_Master!$E$4:$E$18,MATCH($F839,Cluster_Master!$B$4:$B$18,0)),"")</f>
        <v/>
      </c>
      <c r="K839" t="str">
        <f>IFERROR(INDEX(Cluster_Master!$F$4:$F$18,MATCH($F839,Cluster_Master!$B$4:$B$18,0)),"")</f>
        <v/>
      </c>
      <c r="L839" t="str">
        <f>IFERROR(INDEX(Cluster_Master!$G$4:$G$18,MATCH($F839,Cluster_Master!$B$4:$B$18,0)),"")</f>
        <v/>
      </c>
      <c r="M839" t="str">
        <f>IFERROR(INDEX(Cluster_Master!$H$4:$H$18,MATCH($F839,Cluster_Master!$B$4:$B$18,0)),"")</f>
        <v/>
      </c>
      <c r="AI839" t="str">
        <f t="shared" si="103"/>
        <v/>
      </c>
      <c r="AJ839" t="str">
        <f t="shared" si="104"/>
        <v/>
      </c>
      <c r="AK839" t="str">
        <f>IF(COUNTA(T839:AH839)=0,"",(SUM(T839*KPI_Weights!$B$4,U839*KPI_Weights!$B$5,V839*KPI_Weights!$B$6,W839*KPI_Weights!$B$7,X839*KPI_Weights!$B$8,Y839*KPI_Weights!$B$9,Z839*KPI_Weights!$B$10,AA839*KPI_Weights!$B$11,AB839*KPI_Weights!$B$12,AC839*KPI_Weights!$B$13,AD839*KPI_Weights!$B$14,AE839*KPI_Weights!$B$15,AF839*KPI_Weights!$B$16,AG839*KPI_Weights!$B$17,AH839*KPI_Weights!$B$18))/5)</f>
        <v/>
      </c>
      <c r="AL839" t="str">
        <f t="shared" si="105"/>
        <v/>
      </c>
      <c r="AM839" t="str">
        <f t="shared" si="106"/>
        <v/>
      </c>
      <c r="AN839" t="str">
        <f t="shared" si="107"/>
        <v/>
      </c>
    </row>
    <row r="840" spans="1:40" ht="15" customHeight="1" x14ac:dyDescent="0.2">
      <c r="A840" t="str">
        <f>IF($B840="","",TEXT($B840,"yyyymmdd")&amp;"-"&amp;SUBSTITUTE($F840," ","")&amp;"-"&amp;TEXT(COUNTIF($F$4:F840,$F840),"00"))</f>
        <v/>
      </c>
      <c r="C840" t="str">
        <f t="shared" si="101"/>
        <v/>
      </c>
      <c r="D840" t="str">
        <f t="shared" si="102"/>
        <v/>
      </c>
      <c r="G840" t="str">
        <f>IF(OR($E840="",$F840=""),"",IFERROR(IF($E840=INDEX(Cluster_Master!$A$4:$A$18,MATCH($F840,Cluster_Master!$B$4:$B$18,0)),"OK","CHECK"),"CHECK"))</f>
        <v/>
      </c>
      <c r="H840" t="str">
        <f>IFERROR(INDEX(Cluster_Master!$C$4:$C$18,MATCH($F840,Cluster_Master!$B$4:$B$18,0)),"")</f>
        <v/>
      </c>
      <c r="I840" t="str">
        <f>IFERROR(INDEX(Cluster_Master!$D$4:$D$18,MATCH($F840,Cluster_Master!$B$4:$B$18,0)),"")</f>
        <v/>
      </c>
      <c r="J840" t="str">
        <f>IFERROR(INDEX(Cluster_Master!$E$4:$E$18,MATCH($F840,Cluster_Master!$B$4:$B$18,0)),"")</f>
        <v/>
      </c>
      <c r="K840" t="str">
        <f>IFERROR(INDEX(Cluster_Master!$F$4:$F$18,MATCH($F840,Cluster_Master!$B$4:$B$18,0)),"")</f>
        <v/>
      </c>
      <c r="L840" t="str">
        <f>IFERROR(INDEX(Cluster_Master!$G$4:$G$18,MATCH($F840,Cluster_Master!$B$4:$B$18,0)),"")</f>
        <v/>
      </c>
      <c r="M840" t="str">
        <f>IFERROR(INDEX(Cluster_Master!$H$4:$H$18,MATCH($F840,Cluster_Master!$B$4:$B$18,0)),"")</f>
        <v/>
      </c>
      <c r="AI840" t="str">
        <f t="shared" si="103"/>
        <v/>
      </c>
      <c r="AJ840" t="str">
        <f t="shared" si="104"/>
        <v/>
      </c>
      <c r="AK840" t="str">
        <f>IF(COUNTA(T840:AH840)=0,"",(SUM(T840*KPI_Weights!$B$4,U840*KPI_Weights!$B$5,V840*KPI_Weights!$B$6,W840*KPI_Weights!$B$7,X840*KPI_Weights!$B$8,Y840*KPI_Weights!$B$9,Z840*KPI_Weights!$B$10,AA840*KPI_Weights!$B$11,AB840*KPI_Weights!$B$12,AC840*KPI_Weights!$B$13,AD840*KPI_Weights!$B$14,AE840*KPI_Weights!$B$15,AF840*KPI_Weights!$B$16,AG840*KPI_Weights!$B$17,AH840*KPI_Weights!$B$18))/5)</f>
        <v/>
      </c>
      <c r="AL840" t="str">
        <f t="shared" si="105"/>
        <v/>
      </c>
      <c r="AM840" t="str">
        <f t="shared" si="106"/>
        <v/>
      </c>
      <c r="AN840" t="str">
        <f t="shared" si="107"/>
        <v/>
      </c>
    </row>
    <row r="841" spans="1:40" ht="15" customHeight="1" x14ac:dyDescent="0.2">
      <c r="A841" t="str">
        <f>IF($B841="","",TEXT($B841,"yyyymmdd")&amp;"-"&amp;SUBSTITUTE($F841," ","")&amp;"-"&amp;TEXT(COUNTIF($F$4:F841,$F841),"00"))</f>
        <v/>
      </c>
      <c r="C841" t="str">
        <f t="shared" si="101"/>
        <v/>
      </c>
      <c r="D841" t="str">
        <f t="shared" si="102"/>
        <v/>
      </c>
      <c r="G841" t="str">
        <f>IF(OR($E841="",$F841=""),"",IFERROR(IF($E841=INDEX(Cluster_Master!$A$4:$A$18,MATCH($F841,Cluster_Master!$B$4:$B$18,0)),"OK","CHECK"),"CHECK"))</f>
        <v/>
      </c>
      <c r="H841" t="str">
        <f>IFERROR(INDEX(Cluster_Master!$C$4:$C$18,MATCH($F841,Cluster_Master!$B$4:$B$18,0)),"")</f>
        <v/>
      </c>
      <c r="I841" t="str">
        <f>IFERROR(INDEX(Cluster_Master!$D$4:$D$18,MATCH($F841,Cluster_Master!$B$4:$B$18,0)),"")</f>
        <v/>
      </c>
      <c r="J841" t="str">
        <f>IFERROR(INDEX(Cluster_Master!$E$4:$E$18,MATCH($F841,Cluster_Master!$B$4:$B$18,0)),"")</f>
        <v/>
      </c>
      <c r="K841" t="str">
        <f>IFERROR(INDEX(Cluster_Master!$F$4:$F$18,MATCH($F841,Cluster_Master!$B$4:$B$18,0)),"")</f>
        <v/>
      </c>
      <c r="L841" t="str">
        <f>IFERROR(INDEX(Cluster_Master!$G$4:$G$18,MATCH($F841,Cluster_Master!$B$4:$B$18,0)),"")</f>
        <v/>
      </c>
      <c r="M841" t="str">
        <f>IFERROR(INDEX(Cluster_Master!$H$4:$H$18,MATCH($F841,Cluster_Master!$B$4:$B$18,0)),"")</f>
        <v/>
      </c>
      <c r="AI841" t="str">
        <f t="shared" si="103"/>
        <v/>
      </c>
      <c r="AJ841" t="str">
        <f t="shared" si="104"/>
        <v/>
      </c>
      <c r="AK841" t="str">
        <f>IF(COUNTA(T841:AH841)=0,"",(SUM(T841*KPI_Weights!$B$4,U841*KPI_Weights!$B$5,V841*KPI_Weights!$B$6,W841*KPI_Weights!$B$7,X841*KPI_Weights!$B$8,Y841*KPI_Weights!$B$9,Z841*KPI_Weights!$B$10,AA841*KPI_Weights!$B$11,AB841*KPI_Weights!$B$12,AC841*KPI_Weights!$B$13,AD841*KPI_Weights!$B$14,AE841*KPI_Weights!$B$15,AF841*KPI_Weights!$B$16,AG841*KPI_Weights!$B$17,AH841*KPI_Weights!$B$18))/5)</f>
        <v/>
      </c>
      <c r="AL841" t="str">
        <f t="shared" si="105"/>
        <v/>
      </c>
      <c r="AM841" t="str">
        <f t="shared" si="106"/>
        <v/>
      </c>
      <c r="AN841" t="str">
        <f t="shared" si="107"/>
        <v/>
      </c>
    </row>
    <row r="842" spans="1:40" ht="15" customHeight="1" x14ac:dyDescent="0.2">
      <c r="A842" t="str">
        <f>IF($B842="","",TEXT($B842,"yyyymmdd")&amp;"-"&amp;SUBSTITUTE($F842," ","")&amp;"-"&amp;TEXT(COUNTIF($F$4:F842,$F842),"00"))</f>
        <v/>
      </c>
      <c r="C842" t="str">
        <f t="shared" si="101"/>
        <v/>
      </c>
      <c r="D842" t="str">
        <f t="shared" si="102"/>
        <v/>
      </c>
      <c r="G842" t="str">
        <f>IF(OR($E842="",$F842=""),"",IFERROR(IF($E842=INDEX(Cluster_Master!$A$4:$A$18,MATCH($F842,Cluster_Master!$B$4:$B$18,0)),"OK","CHECK"),"CHECK"))</f>
        <v/>
      </c>
      <c r="H842" t="str">
        <f>IFERROR(INDEX(Cluster_Master!$C$4:$C$18,MATCH($F842,Cluster_Master!$B$4:$B$18,0)),"")</f>
        <v/>
      </c>
      <c r="I842" t="str">
        <f>IFERROR(INDEX(Cluster_Master!$D$4:$D$18,MATCH($F842,Cluster_Master!$B$4:$B$18,0)),"")</f>
        <v/>
      </c>
      <c r="J842" t="str">
        <f>IFERROR(INDEX(Cluster_Master!$E$4:$E$18,MATCH($F842,Cluster_Master!$B$4:$B$18,0)),"")</f>
        <v/>
      </c>
      <c r="K842" t="str">
        <f>IFERROR(INDEX(Cluster_Master!$F$4:$F$18,MATCH($F842,Cluster_Master!$B$4:$B$18,0)),"")</f>
        <v/>
      </c>
      <c r="L842" t="str">
        <f>IFERROR(INDEX(Cluster_Master!$G$4:$G$18,MATCH($F842,Cluster_Master!$B$4:$B$18,0)),"")</f>
        <v/>
      </c>
      <c r="M842" t="str">
        <f>IFERROR(INDEX(Cluster_Master!$H$4:$H$18,MATCH($F842,Cluster_Master!$B$4:$B$18,0)),"")</f>
        <v/>
      </c>
      <c r="AI842" t="str">
        <f t="shared" si="103"/>
        <v/>
      </c>
      <c r="AJ842" t="str">
        <f t="shared" si="104"/>
        <v/>
      </c>
      <c r="AK842" t="str">
        <f>IF(COUNTA(T842:AH842)=0,"",(SUM(T842*KPI_Weights!$B$4,U842*KPI_Weights!$B$5,V842*KPI_Weights!$B$6,W842*KPI_Weights!$B$7,X842*KPI_Weights!$B$8,Y842*KPI_Weights!$B$9,Z842*KPI_Weights!$B$10,AA842*KPI_Weights!$B$11,AB842*KPI_Weights!$B$12,AC842*KPI_Weights!$B$13,AD842*KPI_Weights!$B$14,AE842*KPI_Weights!$B$15,AF842*KPI_Weights!$B$16,AG842*KPI_Weights!$B$17,AH842*KPI_Weights!$B$18))/5)</f>
        <v/>
      </c>
      <c r="AL842" t="str">
        <f t="shared" si="105"/>
        <v/>
      </c>
      <c r="AM842" t="str">
        <f t="shared" si="106"/>
        <v/>
      </c>
      <c r="AN842" t="str">
        <f t="shared" si="107"/>
        <v/>
      </c>
    </row>
    <row r="843" spans="1:40" ht="15" customHeight="1" x14ac:dyDescent="0.2">
      <c r="A843" t="str">
        <f>IF($B843="","",TEXT($B843,"yyyymmdd")&amp;"-"&amp;SUBSTITUTE($F843," ","")&amp;"-"&amp;TEXT(COUNTIF($F$4:F843,$F843),"00"))</f>
        <v/>
      </c>
      <c r="C843" t="str">
        <f t="shared" si="101"/>
        <v/>
      </c>
      <c r="D843" t="str">
        <f t="shared" si="102"/>
        <v/>
      </c>
      <c r="G843" t="str">
        <f>IF(OR($E843="",$F843=""),"",IFERROR(IF($E843=INDEX(Cluster_Master!$A$4:$A$18,MATCH($F843,Cluster_Master!$B$4:$B$18,0)),"OK","CHECK"),"CHECK"))</f>
        <v/>
      </c>
      <c r="H843" t="str">
        <f>IFERROR(INDEX(Cluster_Master!$C$4:$C$18,MATCH($F843,Cluster_Master!$B$4:$B$18,0)),"")</f>
        <v/>
      </c>
      <c r="I843" t="str">
        <f>IFERROR(INDEX(Cluster_Master!$D$4:$D$18,MATCH($F843,Cluster_Master!$B$4:$B$18,0)),"")</f>
        <v/>
      </c>
      <c r="J843" t="str">
        <f>IFERROR(INDEX(Cluster_Master!$E$4:$E$18,MATCH($F843,Cluster_Master!$B$4:$B$18,0)),"")</f>
        <v/>
      </c>
      <c r="K843" t="str">
        <f>IFERROR(INDEX(Cluster_Master!$F$4:$F$18,MATCH($F843,Cluster_Master!$B$4:$B$18,0)),"")</f>
        <v/>
      </c>
      <c r="L843" t="str">
        <f>IFERROR(INDEX(Cluster_Master!$G$4:$G$18,MATCH($F843,Cluster_Master!$B$4:$B$18,0)),"")</f>
        <v/>
      </c>
      <c r="M843" t="str">
        <f>IFERROR(INDEX(Cluster_Master!$H$4:$H$18,MATCH($F843,Cluster_Master!$B$4:$B$18,0)),"")</f>
        <v/>
      </c>
      <c r="AI843" t="str">
        <f t="shared" si="103"/>
        <v/>
      </c>
      <c r="AJ843" t="str">
        <f t="shared" si="104"/>
        <v/>
      </c>
      <c r="AK843" t="str">
        <f>IF(COUNTA(T843:AH843)=0,"",(SUM(T843*KPI_Weights!$B$4,U843*KPI_Weights!$B$5,V843*KPI_Weights!$B$6,W843*KPI_Weights!$B$7,X843*KPI_Weights!$B$8,Y843*KPI_Weights!$B$9,Z843*KPI_Weights!$B$10,AA843*KPI_Weights!$B$11,AB843*KPI_Weights!$B$12,AC843*KPI_Weights!$B$13,AD843*KPI_Weights!$B$14,AE843*KPI_Weights!$B$15,AF843*KPI_Weights!$B$16,AG843*KPI_Weights!$B$17,AH843*KPI_Weights!$B$18))/5)</f>
        <v/>
      </c>
      <c r="AL843" t="str">
        <f t="shared" si="105"/>
        <v/>
      </c>
      <c r="AM843" t="str">
        <f t="shared" si="106"/>
        <v/>
      </c>
      <c r="AN843" t="str">
        <f t="shared" si="107"/>
        <v/>
      </c>
    </row>
    <row r="844" spans="1:40" ht="15" customHeight="1" x14ac:dyDescent="0.2">
      <c r="A844" t="str">
        <f>IF($B844="","",TEXT($B844,"yyyymmdd")&amp;"-"&amp;SUBSTITUTE($F844," ","")&amp;"-"&amp;TEXT(COUNTIF($F$4:F844,$F844),"00"))</f>
        <v/>
      </c>
      <c r="C844" t="str">
        <f t="shared" si="101"/>
        <v/>
      </c>
      <c r="D844" t="str">
        <f t="shared" si="102"/>
        <v/>
      </c>
      <c r="G844" t="str">
        <f>IF(OR($E844="",$F844=""),"",IFERROR(IF($E844=INDEX(Cluster_Master!$A$4:$A$18,MATCH($F844,Cluster_Master!$B$4:$B$18,0)),"OK","CHECK"),"CHECK"))</f>
        <v/>
      </c>
      <c r="H844" t="str">
        <f>IFERROR(INDEX(Cluster_Master!$C$4:$C$18,MATCH($F844,Cluster_Master!$B$4:$B$18,0)),"")</f>
        <v/>
      </c>
      <c r="I844" t="str">
        <f>IFERROR(INDEX(Cluster_Master!$D$4:$D$18,MATCH($F844,Cluster_Master!$B$4:$B$18,0)),"")</f>
        <v/>
      </c>
      <c r="J844" t="str">
        <f>IFERROR(INDEX(Cluster_Master!$E$4:$E$18,MATCH($F844,Cluster_Master!$B$4:$B$18,0)),"")</f>
        <v/>
      </c>
      <c r="K844" t="str">
        <f>IFERROR(INDEX(Cluster_Master!$F$4:$F$18,MATCH($F844,Cluster_Master!$B$4:$B$18,0)),"")</f>
        <v/>
      </c>
      <c r="L844" t="str">
        <f>IFERROR(INDEX(Cluster_Master!$G$4:$G$18,MATCH($F844,Cluster_Master!$B$4:$B$18,0)),"")</f>
        <v/>
      </c>
      <c r="M844" t="str">
        <f>IFERROR(INDEX(Cluster_Master!$H$4:$H$18,MATCH($F844,Cluster_Master!$B$4:$B$18,0)),"")</f>
        <v/>
      </c>
      <c r="AI844" t="str">
        <f t="shared" si="103"/>
        <v/>
      </c>
      <c r="AJ844" t="str">
        <f t="shared" si="104"/>
        <v/>
      </c>
      <c r="AK844" t="str">
        <f>IF(COUNTA(T844:AH844)=0,"",(SUM(T844*KPI_Weights!$B$4,U844*KPI_Weights!$B$5,V844*KPI_Weights!$B$6,W844*KPI_Weights!$B$7,X844*KPI_Weights!$B$8,Y844*KPI_Weights!$B$9,Z844*KPI_Weights!$B$10,AA844*KPI_Weights!$B$11,AB844*KPI_Weights!$B$12,AC844*KPI_Weights!$B$13,AD844*KPI_Weights!$B$14,AE844*KPI_Weights!$B$15,AF844*KPI_Weights!$B$16,AG844*KPI_Weights!$B$17,AH844*KPI_Weights!$B$18))/5)</f>
        <v/>
      </c>
      <c r="AL844" t="str">
        <f t="shared" si="105"/>
        <v/>
      </c>
      <c r="AM844" t="str">
        <f t="shared" si="106"/>
        <v/>
      </c>
      <c r="AN844" t="str">
        <f t="shared" si="107"/>
        <v/>
      </c>
    </row>
    <row r="845" spans="1:40" ht="15" customHeight="1" x14ac:dyDescent="0.2">
      <c r="A845" t="str">
        <f>IF($B845="","",TEXT($B845,"yyyymmdd")&amp;"-"&amp;SUBSTITUTE($F845," ","")&amp;"-"&amp;TEXT(COUNTIF($F$4:F845,$F845),"00"))</f>
        <v/>
      </c>
      <c r="C845" t="str">
        <f t="shared" si="101"/>
        <v/>
      </c>
      <c r="D845" t="str">
        <f t="shared" si="102"/>
        <v/>
      </c>
      <c r="G845" t="str">
        <f>IF(OR($E845="",$F845=""),"",IFERROR(IF($E845=INDEX(Cluster_Master!$A$4:$A$18,MATCH($F845,Cluster_Master!$B$4:$B$18,0)),"OK","CHECK"),"CHECK"))</f>
        <v/>
      </c>
      <c r="H845" t="str">
        <f>IFERROR(INDEX(Cluster_Master!$C$4:$C$18,MATCH($F845,Cluster_Master!$B$4:$B$18,0)),"")</f>
        <v/>
      </c>
      <c r="I845" t="str">
        <f>IFERROR(INDEX(Cluster_Master!$D$4:$D$18,MATCH($F845,Cluster_Master!$B$4:$B$18,0)),"")</f>
        <v/>
      </c>
      <c r="J845" t="str">
        <f>IFERROR(INDEX(Cluster_Master!$E$4:$E$18,MATCH($F845,Cluster_Master!$B$4:$B$18,0)),"")</f>
        <v/>
      </c>
      <c r="K845" t="str">
        <f>IFERROR(INDEX(Cluster_Master!$F$4:$F$18,MATCH($F845,Cluster_Master!$B$4:$B$18,0)),"")</f>
        <v/>
      </c>
      <c r="L845" t="str">
        <f>IFERROR(INDEX(Cluster_Master!$G$4:$G$18,MATCH($F845,Cluster_Master!$B$4:$B$18,0)),"")</f>
        <v/>
      </c>
      <c r="M845" t="str">
        <f>IFERROR(INDEX(Cluster_Master!$H$4:$H$18,MATCH($F845,Cluster_Master!$B$4:$B$18,0)),"")</f>
        <v/>
      </c>
      <c r="AI845" t="str">
        <f t="shared" si="103"/>
        <v/>
      </c>
      <c r="AJ845" t="str">
        <f t="shared" si="104"/>
        <v/>
      </c>
      <c r="AK845" t="str">
        <f>IF(COUNTA(T845:AH845)=0,"",(SUM(T845*KPI_Weights!$B$4,U845*KPI_Weights!$B$5,V845*KPI_Weights!$B$6,W845*KPI_Weights!$B$7,X845*KPI_Weights!$B$8,Y845*KPI_Weights!$B$9,Z845*KPI_Weights!$B$10,AA845*KPI_Weights!$B$11,AB845*KPI_Weights!$B$12,AC845*KPI_Weights!$B$13,AD845*KPI_Weights!$B$14,AE845*KPI_Weights!$B$15,AF845*KPI_Weights!$B$16,AG845*KPI_Weights!$B$17,AH845*KPI_Weights!$B$18))/5)</f>
        <v/>
      </c>
      <c r="AL845" t="str">
        <f t="shared" si="105"/>
        <v/>
      </c>
      <c r="AM845" t="str">
        <f t="shared" si="106"/>
        <v/>
      </c>
      <c r="AN845" t="str">
        <f t="shared" si="107"/>
        <v/>
      </c>
    </row>
    <row r="846" spans="1:40" ht="15" customHeight="1" x14ac:dyDescent="0.2">
      <c r="A846" t="str">
        <f>IF($B846="","",TEXT($B846,"yyyymmdd")&amp;"-"&amp;SUBSTITUTE($F846," ","")&amp;"-"&amp;TEXT(COUNTIF($F$4:F846,$F846),"00"))</f>
        <v/>
      </c>
      <c r="C846" t="str">
        <f t="shared" si="101"/>
        <v/>
      </c>
      <c r="D846" t="str">
        <f t="shared" si="102"/>
        <v/>
      </c>
      <c r="G846" t="str">
        <f>IF(OR($E846="",$F846=""),"",IFERROR(IF($E846=INDEX(Cluster_Master!$A$4:$A$18,MATCH($F846,Cluster_Master!$B$4:$B$18,0)),"OK","CHECK"),"CHECK"))</f>
        <v/>
      </c>
      <c r="H846" t="str">
        <f>IFERROR(INDEX(Cluster_Master!$C$4:$C$18,MATCH($F846,Cluster_Master!$B$4:$B$18,0)),"")</f>
        <v/>
      </c>
      <c r="I846" t="str">
        <f>IFERROR(INDEX(Cluster_Master!$D$4:$D$18,MATCH($F846,Cluster_Master!$B$4:$B$18,0)),"")</f>
        <v/>
      </c>
      <c r="J846" t="str">
        <f>IFERROR(INDEX(Cluster_Master!$E$4:$E$18,MATCH($F846,Cluster_Master!$B$4:$B$18,0)),"")</f>
        <v/>
      </c>
      <c r="K846" t="str">
        <f>IFERROR(INDEX(Cluster_Master!$F$4:$F$18,MATCH($F846,Cluster_Master!$B$4:$B$18,0)),"")</f>
        <v/>
      </c>
      <c r="L846" t="str">
        <f>IFERROR(INDEX(Cluster_Master!$G$4:$G$18,MATCH($F846,Cluster_Master!$B$4:$B$18,0)),"")</f>
        <v/>
      </c>
      <c r="M846" t="str">
        <f>IFERROR(INDEX(Cluster_Master!$H$4:$H$18,MATCH($F846,Cluster_Master!$B$4:$B$18,0)),"")</f>
        <v/>
      </c>
      <c r="AI846" t="str">
        <f t="shared" si="103"/>
        <v/>
      </c>
      <c r="AJ846" t="str">
        <f t="shared" si="104"/>
        <v/>
      </c>
      <c r="AK846" t="str">
        <f>IF(COUNTA(T846:AH846)=0,"",(SUM(T846*KPI_Weights!$B$4,U846*KPI_Weights!$B$5,V846*KPI_Weights!$B$6,W846*KPI_Weights!$B$7,X846*KPI_Weights!$B$8,Y846*KPI_Weights!$B$9,Z846*KPI_Weights!$B$10,AA846*KPI_Weights!$B$11,AB846*KPI_Weights!$B$12,AC846*KPI_Weights!$B$13,AD846*KPI_Weights!$B$14,AE846*KPI_Weights!$B$15,AF846*KPI_Weights!$B$16,AG846*KPI_Weights!$B$17,AH846*KPI_Weights!$B$18))/5)</f>
        <v/>
      </c>
      <c r="AL846" t="str">
        <f t="shared" si="105"/>
        <v/>
      </c>
      <c r="AM846" t="str">
        <f t="shared" si="106"/>
        <v/>
      </c>
      <c r="AN846" t="str">
        <f t="shared" si="107"/>
        <v/>
      </c>
    </row>
    <row r="847" spans="1:40" ht="15" customHeight="1" x14ac:dyDescent="0.2">
      <c r="A847" t="str">
        <f>IF($B847="","",TEXT($B847,"yyyymmdd")&amp;"-"&amp;SUBSTITUTE($F847," ","")&amp;"-"&amp;TEXT(COUNTIF($F$4:F847,$F847),"00"))</f>
        <v/>
      </c>
      <c r="C847" t="str">
        <f t="shared" si="101"/>
        <v/>
      </c>
      <c r="D847" t="str">
        <f t="shared" si="102"/>
        <v/>
      </c>
      <c r="G847" t="str">
        <f>IF(OR($E847="",$F847=""),"",IFERROR(IF($E847=INDEX(Cluster_Master!$A$4:$A$18,MATCH($F847,Cluster_Master!$B$4:$B$18,0)),"OK","CHECK"),"CHECK"))</f>
        <v/>
      </c>
      <c r="H847" t="str">
        <f>IFERROR(INDEX(Cluster_Master!$C$4:$C$18,MATCH($F847,Cluster_Master!$B$4:$B$18,0)),"")</f>
        <v/>
      </c>
      <c r="I847" t="str">
        <f>IFERROR(INDEX(Cluster_Master!$D$4:$D$18,MATCH($F847,Cluster_Master!$B$4:$B$18,0)),"")</f>
        <v/>
      </c>
      <c r="J847" t="str">
        <f>IFERROR(INDEX(Cluster_Master!$E$4:$E$18,MATCH($F847,Cluster_Master!$B$4:$B$18,0)),"")</f>
        <v/>
      </c>
      <c r="K847" t="str">
        <f>IFERROR(INDEX(Cluster_Master!$F$4:$F$18,MATCH($F847,Cluster_Master!$B$4:$B$18,0)),"")</f>
        <v/>
      </c>
      <c r="L847" t="str">
        <f>IFERROR(INDEX(Cluster_Master!$G$4:$G$18,MATCH($F847,Cluster_Master!$B$4:$B$18,0)),"")</f>
        <v/>
      </c>
      <c r="M847" t="str">
        <f>IFERROR(INDEX(Cluster_Master!$H$4:$H$18,MATCH($F847,Cluster_Master!$B$4:$B$18,0)),"")</f>
        <v/>
      </c>
      <c r="AI847" t="str">
        <f t="shared" si="103"/>
        <v/>
      </c>
      <c r="AJ847" t="str">
        <f t="shared" si="104"/>
        <v/>
      </c>
      <c r="AK847" t="str">
        <f>IF(COUNTA(T847:AH847)=0,"",(SUM(T847*KPI_Weights!$B$4,U847*KPI_Weights!$B$5,V847*KPI_Weights!$B$6,W847*KPI_Weights!$B$7,X847*KPI_Weights!$B$8,Y847*KPI_Weights!$B$9,Z847*KPI_Weights!$B$10,AA847*KPI_Weights!$B$11,AB847*KPI_Weights!$B$12,AC847*KPI_Weights!$B$13,AD847*KPI_Weights!$B$14,AE847*KPI_Weights!$B$15,AF847*KPI_Weights!$B$16,AG847*KPI_Weights!$B$17,AH847*KPI_Weights!$B$18))/5)</f>
        <v/>
      </c>
      <c r="AL847" t="str">
        <f t="shared" si="105"/>
        <v/>
      </c>
      <c r="AM847" t="str">
        <f t="shared" si="106"/>
        <v/>
      </c>
      <c r="AN847" t="str">
        <f t="shared" si="107"/>
        <v/>
      </c>
    </row>
    <row r="848" spans="1:40" ht="15" customHeight="1" x14ac:dyDescent="0.2">
      <c r="A848" t="str">
        <f>IF($B848="","",TEXT($B848,"yyyymmdd")&amp;"-"&amp;SUBSTITUTE($F848," ","")&amp;"-"&amp;TEXT(COUNTIF($F$4:F848,$F848),"00"))</f>
        <v/>
      </c>
      <c r="C848" t="str">
        <f t="shared" si="101"/>
        <v/>
      </c>
      <c r="D848" t="str">
        <f t="shared" si="102"/>
        <v/>
      </c>
      <c r="G848" t="str">
        <f>IF(OR($E848="",$F848=""),"",IFERROR(IF($E848=INDEX(Cluster_Master!$A$4:$A$18,MATCH($F848,Cluster_Master!$B$4:$B$18,0)),"OK","CHECK"),"CHECK"))</f>
        <v/>
      </c>
      <c r="H848" t="str">
        <f>IFERROR(INDEX(Cluster_Master!$C$4:$C$18,MATCH($F848,Cluster_Master!$B$4:$B$18,0)),"")</f>
        <v/>
      </c>
      <c r="I848" t="str">
        <f>IFERROR(INDEX(Cluster_Master!$D$4:$D$18,MATCH($F848,Cluster_Master!$B$4:$B$18,0)),"")</f>
        <v/>
      </c>
      <c r="J848" t="str">
        <f>IFERROR(INDEX(Cluster_Master!$E$4:$E$18,MATCH($F848,Cluster_Master!$B$4:$B$18,0)),"")</f>
        <v/>
      </c>
      <c r="K848" t="str">
        <f>IFERROR(INDEX(Cluster_Master!$F$4:$F$18,MATCH($F848,Cluster_Master!$B$4:$B$18,0)),"")</f>
        <v/>
      </c>
      <c r="L848" t="str">
        <f>IFERROR(INDEX(Cluster_Master!$G$4:$G$18,MATCH($F848,Cluster_Master!$B$4:$B$18,0)),"")</f>
        <v/>
      </c>
      <c r="M848" t="str">
        <f>IFERROR(INDEX(Cluster_Master!$H$4:$H$18,MATCH($F848,Cluster_Master!$B$4:$B$18,0)),"")</f>
        <v/>
      </c>
      <c r="AI848" t="str">
        <f t="shared" si="103"/>
        <v/>
      </c>
      <c r="AJ848" t="str">
        <f t="shared" si="104"/>
        <v/>
      </c>
      <c r="AK848" t="str">
        <f>IF(COUNTA(T848:AH848)=0,"",(SUM(T848*KPI_Weights!$B$4,U848*KPI_Weights!$B$5,V848*KPI_Weights!$B$6,W848*KPI_Weights!$B$7,X848*KPI_Weights!$B$8,Y848*KPI_Weights!$B$9,Z848*KPI_Weights!$B$10,AA848*KPI_Weights!$B$11,AB848*KPI_Weights!$B$12,AC848*KPI_Weights!$B$13,AD848*KPI_Weights!$B$14,AE848*KPI_Weights!$B$15,AF848*KPI_Weights!$B$16,AG848*KPI_Weights!$B$17,AH848*KPI_Weights!$B$18))/5)</f>
        <v/>
      </c>
      <c r="AL848" t="str">
        <f t="shared" si="105"/>
        <v/>
      </c>
      <c r="AM848" t="str">
        <f t="shared" si="106"/>
        <v/>
      </c>
      <c r="AN848" t="str">
        <f t="shared" si="107"/>
        <v/>
      </c>
    </row>
    <row r="849" spans="1:40" ht="15" customHeight="1" x14ac:dyDescent="0.2">
      <c r="A849" t="str">
        <f>IF($B849="","",TEXT($B849,"yyyymmdd")&amp;"-"&amp;SUBSTITUTE($F849," ","")&amp;"-"&amp;TEXT(COUNTIF($F$4:F849,$F849),"00"))</f>
        <v/>
      </c>
      <c r="C849" t="str">
        <f t="shared" si="101"/>
        <v/>
      </c>
      <c r="D849" t="str">
        <f t="shared" si="102"/>
        <v/>
      </c>
      <c r="G849" t="str">
        <f>IF(OR($E849="",$F849=""),"",IFERROR(IF($E849=INDEX(Cluster_Master!$A$4:$A$18,MATCH($F849,Cluster_Master!$B$4:$B$18,0)),"OK","CHECK"),"CHECK"))</f>
        <v/>
      </c>
      <c r="H849" t="str">
        <f>IFERROR(INDEX(Cluster_Master!$C$4:$C$18,MATCH($F849,Cluster_Master!$B$4:$B$18,0)),"")</f>
        <v/>
      </c>
      <c r="I849" t="str">
        <f>IFERROR(INDEX(Cluster_Master!$D$4:$D$18,MATCH($F849,Cluster_Master!$B$4:$B$18,0)),"")</f>
        <v/>
      </c>
      <c r="J849" t="str">
        <f>IFERROR(INDEX(Cluster_Master!$E$4:$E$18,MATCH($F849,Cluster_Master!$B$4:$B$18,0)),"")</f>
        <v/>
      </c>
      <c r="K849" t="str">
        <f>IFERROR(INDEX(Cluster_Master!$F$4:$F$18,MATCH($F849,Cluster_Master!$B$4:$B$18,0)),"")</f>
        <v/>
      </c>
      <c r="L849" t="str">
        <f>IFERROR(INDEX(Cluster_Master!$G$4:$G$18,MATCH($F849,Cluster_Master!$B$4:$B$18,0)),"")</f>
        <v/>
      </c>
      <c r="M849" t="str">
        <f>IFERROR(INDEX(Cluster_Master!$H$4:$H$18,MATCH($F849,Cluster_Master!$B$4:$B$18,0)),"")</f>
        <v/>
      </c>
      <c r="AI849" t="str">
        <f t="shared" si="103"/>
        <v/>
      </c>
      <c r="AJ849" t="str">
        <f t="shared" si="104"/>
        <v/>
      </c>
      <c r="AK849" t="str">
        <f>IF(COUNTA(T849:AH849)=0,"",(SUM(T849*KPI_Weights!$B$4,U849*KPI_Weights!$B$5,V849*KPI_Weights!$B$6,W849*KPI_Weights!$B$7,X849*KPI_Weights!$B$8,Y849*KPI_Weights!$B$9,Z849*KPI_Weights!$B$10,AA849*KPI_Weights!$B$11,AB849*KPI_Weights!$B$12,AC849*KPI_Weights!$B$13,AD849*KPI_Weights!$B$14,AE849*KPI_Weights!$B$15,AF849*KPI_Weights!$B$16,AG849*KPI_Weights!$B$17,AH849*KPI_Weights!$B$18))/5)</f>
        <v/>
      </c>
      <c r="AL849" t="str">
        <f t="shared" si="105"/>
        <v/>
      </c>
      <c r="AM849" t="str">
        <f t="shared" si="106"/>
        <v/>
      </c>
      <c r="AN849" t="str">
        <f t="shared" si="107"/>
        <v/>
      </c>
    </row>
    <row r="850" spans="1:40" ht="15" customHeight="1" x14ac:dyDescent="0.2">
      <c r="A850" t="str">
        <f>IF($B850="","",TEXT($B850,"yyyymmdd")&amp;"-"&amp;SUBSTITUTE($F850," ","")&amp;"-"&amp;TEXT(COUNTIF($F$4:F850,$F850),"00"))</f>
        <v/>
      </c>
      <c r="C850" t="str">
        <f t="shared" si="101"/>
        <v/>
      </c>
      <c r="D850" t="str">
        <f t="shared" si="102"/>
        <v/>
      </c>
      <c r="G850" t="str">
        <f>IF(OR($E850="",$F850=""),"",IFERROR(IF($E850=INDEX(Cluster_Master!$A$4:$A$18,MATCH($F850,Cluster_Master!$B$4:$B$18,0)),"OK","CHECK"),"CHECK"))</f>
        <v/>
      </c>
      <c r="H850" t="str">
        <f>IFERROR(INDEX(Cluster_Master!$C$4:$C$18,MATCH($F850,Cluster_Master!$B$4:$B$18,0)),"")</f>
        <v/>
      </c>
      <c r="I850" t="str">
        <f>IFERROR(INDEX(Cluster_Master!$D$4:$D$18,MATCH($F850,Cluster_Master!$B$4:$B$18,0)),"")</f>
        <v/>
      </c>
      <c r="J850" t="str">
        <f>IFERROR(INDEX(Cluster_Master!$E$4:$E$18,MATCH($F850,Cluster_Master!$B$4:$B$18,0)),"")</f>
        <v/>
      </c>
      <c r="K850" t="str">
        <f>IFERROR(INDEX(Cluster_Master!$F$4:$F$18,MATCH($F850,Cluster_Master!$B$4:$B$18,0)),"")</f>
        <v/>
      </c>
      <c r="L850" t="str">
        <f>IFERROR(INDEX(Cluster_Master!$G$4:$G$18,MATCH($F850,Cluster_Master!$B$4:$B$18,0)),"")</f>
        <v/>
      </c>
      <c r="M850" t="str">
        <f>IFERROR(INDEX(Cluster_Master!$H$4:$H$18,MATCH($F850,Cluster_Master!$B$4:$B$18,0)),"")</f>
        <v/>
      </c>
      <c r="AI850" t="str">
        <f t="shared" si="103"/>
        <v/>
      </c>
      <c r="AJ850" t="str">
        <f t="shared" si="104"/>
        <v/>
      </c>
      <c r="AK850" t="str">
        <f>IF(COUNTA(T850:AH850)=0,"",(SUM(T850*KPI_Weights!$B$4,U850*KPI_Weights!$B$5,V850*KPI_Weights!$B$6,W850*KPI_Weights!$B$7,X850*KPI_Weights!$B$8,Y850*KPI_Weights!$B$9,Z850*KPI_Weights!$B$10,AA850*KPI_Weights!$B$11,AB850*KPI_Weights!$B$12,AC850*KPI_Weights!$B$13,AD850*KPI_Weights!$B$14,AE850*KPI_Weights!$B$15,AF850*KPI_Weights!$B$16,AG850*KPI_Weights!$B$17,AH850*KPI_Weights!$B$18))/5)</f>
        <v/>
      </c>
      <c r="AL850" t="str">
        <f t="shared" si="105"/>
        <v/>
      </c>
      <c r="AM850" t="str">
        <f t="shared" si="106"/>
        <v/>
      </c>
      <c r="AN850" t="str">
        <f t="shared" si="107"/>
        <v/>
      </c>
    </row>
    <row r="851" spans="1:40" ht="15" customHeight="1" x14ac:dyDescent="0.2">
      <c r="A851" t="str">
        <f>IF($B851="","",TEXT($B851,"yyyymmdd")&amp;"-"&amp;SUBSTITUTE($F851," ","")&amp;"-"&amp;TEXT(COUNTIF($F$4:F851,$F851),"00"))</f>
        <v/>
      </c>
      <c r="C851" t="str">
        <f t="shared" si="101"/>
        <v/>
      </c>
      <c r="D851" t="str">
        <f t="shared" si="102"/>
        <v/>
      </c>
      <c r="G851" t="str">
        <f>IF(OR($E851="",$F851=""),"",IFERROR(IF($E851=INDEX(Cluster_Master!$A$4:$A$18,MATCH($F851,Cluster_Master!$B$4:$B$18,0)),"OK","CHECK"),"CHECK"))</f>
        <v/>
      </c>
      <c r="H851" t="str">
        <f>IFERROR(INDEX(Cluster_Master!$C$4:$C$18,MATCH($F851,Cluster_Master!$B$4:$B$18,0)),"")</f>
        <v/>
      </c>
      <c r="I851" t="str">
        <f>IFERROR(INDEX(Cluster_Master!$D$4:$D$18,MATCH($F851,Cluster_Master!$B$4:$B$18,0)),"")</f>
        <v/>
      </c>
      <c r="J851" t="str">
        <f>IFERROR(INDEX(Cluster_Master!$E$4:$E$18,MATCH($F851,Cluster_Master!$B$4:$B$18,0)),"")</f>
        <v/>
      </c>
      <c r="K851" t="str">
        <f>IFERROR(INDEX(Cluster_Master!$F$4:$F$18,MATCH($F851,Cluster_Master!$B$4:$B$18,0)),"")</f>
        <v/>
      </c>
      <c r="L851" t="str">
        <f>IFERROR(INDEX(Cluster_Master!$G$4:$G$18,MATCH($F851,Cluster_Master!$B$4:$B$18,0)),"")</f>
        <v/>
      </c>
      <c r="M851" t="str">
        <f>IFERROR(INDEX(Cluster_Master!$H$4:$H$18,MATCH($F851,Cluster_Master!$B$4:$B$18,0)),"")</f>
        <v/>
      </c>
      <c r="AI851" t="str">
        <f t="shared" si="103"/>
        <v/>
      </c>
      <c r="AJ851" t="str">
        <f t="shared" si="104"/>
        <v/>
      </c>
      <c r="AK851" t="str">
        <f>IF(COUNTA(T851:AH851)=0,"",(SUM(T851*KPI_Weights!$B$4,U851*KPI_Weights!$B$5,V851*KPI_Weights!$B$6,W851*KPI_Weights!$B$7,X851*KPI_Weights!$B$8,Y851*KPI_Weights!$B$9,Z851*KPI_Weights!$B$10,AA851*KPI_Weights!$B$11,AB851*KPI_Weights!$B$12,AC851*KPI_Weights!$B$13,AD851*KPI_Weights!$B$14,AE851*KPI_Weights!$B$15,AF851*KPI_Weights!$B$16,AG851*KPI_Weights!$B$17,AH851*KPI_Weights!$B$18))/5)</f>
        <v/>
      </c>
      <c r="AL851" t="str">
        <f t="shared" si="105"/>
        <v/>
      </c>
      <c r="AM851" t="str">
        <f t="shared" si="106"/>
        <v/>
      </c>
      <c r="AN851" t="str">
        <f t="shared" si="107"/>
        <v/>
      </c>
    </row>
    <row r="852" spans="1:40" ht="15" customHeight="1" x14ac:dyDescent="0.2">
      <c r="A852" t="str">
        <f>IF($B852="","",TEXT($B852,"yyyymmdd")&amp;"-"&amp;SUBSTITUTE($F852," ","")&amp;"-"&amp;TEXT(COUNTIF($F$4:F852,$F852),"00"))</f>
        <v/>
      </c>
      <c r="C852" t="str">
        <f t="shared" si="101"/>
        <v/>
      </c>
      <c r="D852" t="str">
        <f t="shared" si="102"/>
        <v/>
      </c>
      <c r="G852" t="str">
        <f>IF(OR($E852="",$F852=""),"",IFERROR(IF($E852=INDEX(Cluster_Master!$A$4:$A$18,MATCH($F852,Cluster_Master!$B$4:$B$18,0)),"OK","CHECK"),"CHECK"))</f>
        <v/>
      </c>
      <c r="H852" t="str">
        <f>IFERROR(INDEX(Cluster_Master!$C$4:$C$18,MATCH($F852,Cluster_Master!$B$4:$B$18,0)),"")</f>
        <v/>
      </c>
      <c r="I852" t="str">
        <f>IFERROR(INDEX(Cluster_Master!$D$4:$D$18,MATCH($F852,Cluster_Master!$B$4:$B$18,0)),"")</f>
        <v/>
      </c>
      <c r="J852" t="str">
        <f>IFERROR(INDEX(Cluster_Master!$E$4:$E$18,MATCH($F852,Cluster_Master!$B$4:$B$18,0)),"")</f>
        <v/>
      </c>
      <c r="K852" t="str">
        <f>IFERROR(INDEX(Cluster_Master!$F$4:$F$18,MATCH($F852,Cluster_Master!$B$4:$B$18,0)),"")</f>
        <v/>
      </c>
      <c r="L852" t="str">
        <f>IFERROR(INDEX(Cluster_Master!$G$4:$G$18,MATCH($F852,Cluster_Master!$B$4:$B$18,0)),"")</f>
        <v/>
      </c>
      <c r="M852" t="str">
        <f>IFERROR(INDEX(Cluster_Master!$H$4:$H$18,MATCH($F852,Cluster_Master!$B$4:$B$18,0)),"")</f>
        <v/>
      </c>
      <c r="AI852" t="str">
        <f t="shared" si="103"/>
        <v/>
      </c>
      <c r="AJ852" t="str">
        <f t="shared" si="104"/>
        <v/>
      </c>
      <c r="AK852" t="str">
        <f>IF(COUNTA(T852:AH852)=0,"",(SUM(T852*KPI_Weights!$B$4,U852*KPI_Weights!$B$5,V852*KPI_Weights!$B$6,W852*KPI_Weights!$B$7,X852*KPI_Weights!$B$8,Y852*KPI_Weights!$B$9,Z852*KPI_Weights!$B$10,AA852*KPI_Weights!$B$11,AB852*KPI_Weights!$B$12,AC852*KPI_Weights!$B$13,AD852*KPI_Weights!$B$14,AE852*KPI_Weights!$B$15,AF852*KPI_Weights!$B$16,AG852*KPI_Weights!$B$17,AH852*KPI_Weights!$B$18))/5)</f>
        <v/>
      </c>
      <c r="AL852" t="str">
        <f t="shared" si="105"/>
        <v/>
      </c>
      <c r="AM852" t="str">
        <f t="shared" si="106"/>
        <v/>
      </c>
      <c r="AN852" t="str">
        <f t="shared" si="107"/>
        <v/>
      </c>
    </row>
    <row r="853" spans="1:40" ht="15" customHeight="1" x14ac:dyDescent="0.2">
      <c r="A853" t="str">
        <f>IF($B853="","",TEXT($B853,"yyyymmdd")&amp;"-"&amp;SUBSTITUTE($F853," ","")&amp;"-"&amp;TEXT(COUNTIF($F$4:F853,$F853),"00"))</f>
        <v/>
      </c>
      <c r="C853" t="str">
        <f t="shared" si="101"/>
        <v/>
      </c>
      <c r="D853" t="str">
        <f t="shared" si="102"/>
        <v/>
      </c>
      <c r="G853" t="str">
        <f>IF(OR($E853="",$F853=""),"",IFERROR(IF($E853=INDEX(Cluster_Master!$A$4:$A$18,MATCH($F853,Cluster_Master!$B$4:$B$18,0)),"OK","CHECK"),"CHECK"))</f>
        <v/>
      </c>
      <c r="H853" t="str">
        <f>IFERROR(INDEX(Cluster_Master!$C$4:$C$18,MATCH($F853,Cluster_Master!$B$4:$B$18,0)),"")</f>
        <v/>
      </c>
      <c r="I853" t="str">
        <f>IFERROR(INDEX(Cluster_Master!$D$4:$D$18,MATCH($F853,Cluster_Master!$B$4:$B$18,0)),"")</f>
        <v/>
      </c>
      <c r="J853" t="str">
        <f>IFERROR(INDEX(Cluster_Master!$E$4:$E$18,MATCH($F853,Cluster_Master!$B$4:$B$18,0)),"")</f>
        <v/>
      </c>
      <c r="K853" t="str">
        <f>IFERROR(INDEX(Cluster_Master!$F$4:$F$18,MATCH($F853,Cluster_Master!$B$4:$B$18,0)),"")</f>
        <v/>
      </c>
      <c r="L853" t="str">
        <f>IFERROR(INDEX(Cluster_Master!$G$4:$G$18,MATCH($F853,Cluster_Master!$B$4:$B$18,0)),"")</f>
        <v/>
      </c>
      <c r="M853" t="str">
        <f>IFERROR(INDEX(Cluster_Master!$H$4:$H$18,MATCH($F853,Cluster_Master!$B$4:$B$18,0)),"")</f>
        <v/>
      </c>
      <c r="AI853" t="str">
        <f t="shared" si="103"/>
        <v/>
      </c>
      <c r="AJ853" t="str">
        <f t="shared" si="104"/>
        <v/>
      </c>
      <c r="AK853" t="str">
        <f>IF(COUNTA(T853:AH853)=0,"",(SUM(T853*KPI_Weights!$B$4,U853*KPI_Weights!$B$5,V853*KPI_Weights!$B$6,W853*KPI_Weights!$B$7,X853*KPI_Weights!$B$8,Y853*KPI_Weights!$B$9,Z853*KPI_Weights!$B$10,AA853*KPI_Weights!$B$11,AB853*KPI_Weights!$B$12,AC853*KPI_Weights!$B$13,AD853*KPI_Weights!$B$14,AE853*KPI_Weights!$B$15,AF853*KPI_Weights!$B$16,AG853*KPI_Weights!$B$17,AH853*KPI_Weights!$B$18))/5)</f>
        <v/>
      </c>
      <c r="AL853" t="str">
        <f t="shared" si="105"/>
        <v/>
      </c>
      <c r="AM853" t="str">
        <f t="shared" si="106"/>
        <v/>
      </c>
      <c r="AN853" t="str">
        <f t="shared" si="107"/>
        <v/>
      </c>
    </row>
    <row r="854" spans="1:40" ht="15" customHeight="1" x14ac:dyDescent="0.2">
      <c r="A854" t="str">
        <f>IF($B854="","",TEXT($B854,"yyyymmdd")&amp;"-"&amp;SUBSTITUTE($F854," ","")&amp;"-"&amp;TEXT(COUNTIF($F$4:F854,$F854),"00"))</f>
        <v/>
      </c>
      <c r="C854" t="str">
        <f t="shared" si="101"/>
        <v/>
      </c>
      <c r="D854" t="str">
        <f t="shared" si="102"/>
        <v/>
      </c>
      <c r="G854" t="str">
        <f>IF(OR($E854="",$F854=""),"",IFERROR(IF($E854=INDEX(Cluster_Master!$A$4:$A$18,MATCH($F854,Cluster_Master!$B$4:$B$18,0)),"OK","CHECK"),"CHECK"))</f>
        <v/>
      </c>
      <c r="H854" t="str">
        <f>IFERROR(INDEX(Cluster_Master!$C$4:$C$18,MATCH($F854,Cluster_Master!$B$4:$B$18,0)),"")</f>
        <v/>
      </c>
      <c r="I854" t="str">
        <f>IFERROR(INDEX(Cluster_Master!$D$4:$D$18,MATCH($F854,Cluster_Master!$B$4:$B$18,0)),"")</f>
        <v/>
      </c>
      <c r="J854" t="str">
        <f>IFERROR(INDEX(Cluster_Master!$E$4:$E$18,MATCH($F854,Cluster_Master!$B$4:$B$18,0)),"")</f>
        <v/>
      </c>
      <c r="K854" t="str">
        <f>IFERROR(INDEX(Cluster_Master!$F$4:$F$18,MATCH($F854,Cluster_Master!$B$4:$B$18,0)),"")</f>
        <v/>
      </c>
      <c r="L854" t="str">
        <f>IFERROR(INDEX(Cluster_Master!$G$4:$G$18,MATCH($F854,Cluster_Master!$B$4:$B$18,0)),"")</f>
        <v/>
      </c>
      <c r="M854" t="str">
        <f>IFERROR(INDEX(Cluster_Master!$H$4:$H$18,MATCH($F854,Cluster_Master!$B$4:$B$18,0)),"")</f>
        <v/>
      </c>
      <c r="AI854" t="str">
        <f t="shared" si="103"/>
        <v/>
      </c>
      <c r="AJ854" t="str">
        <f t="shared" si="104"/>
        <v/>
      </c>
      <c r="AK854" t="str">
        <f>IF(COUNTA(T854:AH854)=0,"",(SUM(T854*KPI_Weights!$B$4,U854*KPI_Weights!$B$5,V854*KPI_Weights!$B$6,W854*KPI_Weights!$B$7,X854*KPI_Weights!$B$8,Y854*KPI_Weights!$B$9,Z854*KPI_Weights!$B$10,AA854*KPI_Weights!$B$11,AB854*KPI_Weights!$B$12,AC854*KPI_Weights!$B$13,AD854*KPI_Weights!$B$14,AE854*KPI_Weights!$B$15,AF854*KPI_Weights!$B$16,AG854*KPI_Weights!$B$17,AH854*KPI_Weights!$B$18))/5)</f>
        <v/>
      </c>
      <c r="AL854" t="str">
        <f t="shared" si="105"/>
        <v/>
      </c>
      <c r="AM854" t="str">
        <f t="shared" si="106"/>
        <v/>
      </c>
      <c r="AN854" t="str">
        <f t="shared" si="107"/>
        <v/>
      </c>
    </row>
    <row r="855" spans="1:40" ht="15" customHeight="1" x14ac:dyDescent="0.2">
      <c r="A855" t="str">
        <f>IF($B855="","",TEXT($B855,"yyyymmdd")&amp;"-"&amp;SUBSTITUTE($F855," ","")&amp;"-"&amp;TEXT(COUNTIF($F$4:F855,$F855),"00"))</f>
        <v/>
      </c>
      <c r="C855" t="str">
        <f t="shared" si="101"/>
        <v/>
      </c>
      <c r="D855" t="str">
        <f t="shared" si="102"/>
        <v/>
      </c>
      <c r="G855" t="str">
        <f>IF(OR($E855="",$F855=""),"",IFERROR(IF($E855=INDEX(Cluster_Master!$A$4:$A$18,MATCH($F855,Cluster_Master!$B$4:$B$18,0)),"OK","CHECK"),"CHECK"))</f>
        <v/>
      </c>
      <c r="H855" t="str">
        <f>IFERROR(INDEX(Cluster_Master!$C$4:$C$18,MATCH($F855,Cluster_Master!$B$4:$B$18,0)),"")</f>
        <v/>
      </c>
      <c r="I855" t="str">
        <f>IFERROR(INDEX(Cluster_Master!$D$4:$D$18,MATCH($F855,Cluster_Master!$B$4:$B$18,0)),"")</f>
        <v/>
      </c>
      <c r="J855" t="str">
        <f>IFERROR(INDEX(Cluster_Master!$E$4:$E$18,MATCH($F855,Cluster_Master!$B$4:$B$18,0)),"")</f>
        <v/>
      </c>
      <c r="K855" t="str">
        <f>IFERROR(INDEX(Cluster_Master!$F$4:$F$18,MATCH($F855,Cluster_Master!$B$4:$B$18,0)),"")</f>
        <v/>
      </c>
      <c r="L855" t="str">
        <f>IFERROR(INDEX(Cluster_Master!$G$4:$G$18,MATCH($F855,Cluster_Master!$B$4:$B$18,0)),"")</f>
        <v/>
      </c>
      <c r="M855" t="str">
        <f>IFERROR(INDEX(Cluster_Master!$H$4:$H$18,MATCH($F855,Cluster_Master!$B$4:$B$18,0)),"")</f>
        <v/>
      </c>
      <c r="AI855" t="str">
        <f t="shared" si="103"/>
        <v/>
      </c>
      <c r="AJ855" t="str">
        <f t="shared" si="104"/>
        <v/>
      </c>
      <c r="AK855" t="str">
        <f>IF(COUNTA(T855:AH855)=0,"",(SUM(T855*KPI_Weights!$B$4,U855*KPI_Weights!$B$5,V855*KPI_Weights!$B$6,W855*KPI_Weights!$B$7,X855*KPI_Weights!$B$8,Y855*KPI_Weights!$B$9,Z855*KPI_Weights!$B$10,AA855*KPI_Weights!$B$11,AB855*KPI_Weights!$B$12,AC855*KPI_Weights!$B$13,AD855*KPI_Weights!$B$14,AE855*KPI_Weights!$B$15,AF855*KPI_Weights!$B$16,AG855*KPI_Weights!$B$17,AH855*KPI_Weights!$B$18))/5)</f>
        <v/>
      </c>
      <c r="AL855" t="str">
        <f t="shared" si="105"/>
        <v/>
      </c>
      <c r="AM855" t="str">
        <f t="shared" si="106"/>
        <v/>
      </c>
      <c r="AN855" t="str">
        <f t="shared" si="107"/>
        <v/>
      </c>
    </row>
    <row r="856" spans="1:40" ht="15" customHeight="1" x14ac:dyDescent="0.2">
      <c r="A856" t="str">
        <f>IF($B856="","",TEXT($B856,"yyyymmdd")&amp;"-"&amp;SUBSTITUTE($F856," ","")&amp;"-"&amp;TEXT(COUNTIF($F$4:F856,$F856),"00"))</f>
        <v/>
      </c>
      <c r="C856" t="str">
        <f t="shared" si="101"/>
        <v/>
      </c>
      <c r="D856" t="str">
        <f t="shared" si="102"/>
        <v/>
      </c>
      <c r="G856" t="str">
        <f>IF(OR($E856="",$F856=""),"",IFERROR(IF($E856=INDEX(Cluster_Master!$A$4:$A$18,MATCH($F856,Cluster_Master!$B$4:$B$18,0)),"OK","CHECK"),"CHECK"))</f>
        <v/>
      </c>
      <c r="H856" t="str">
        <f>IFERROR(INDEX(Cluster_Master!$C$4:$C$18,MATCH($F856,Cluster_Master!$B$4:$B$18,0)),"")</f>
        <v/>
      </c>
      <c r="I856" t="str">
        <f>IFERROR(INDEX(Cluster_Master!$D$4:$D$18,MATCH($F856,Cluster_Master!$B$4:$B$18,0)),"")</f>
        <v/>
      </c>
      <c r="J856" t="str">
        <f>IFERROR(INDEX(Cluster_Master!$E$4:$E$18,MATCH($F856,Cluster_Master!$B$4:$B$18,0)),"")</f>
        <v/>
      </c>
      <c r="K856" t="str">
        <f>IFERROR(INDEX(Cluster_Master!$F$4:$F$18,MATCH($F856,Cluster_Master!$B$4:$B$18,0)),"")</f>
        <v/>
      </c>
      <c r="L856" t="str">
        <f>IFERROR(INDEX(Cluster_Master!$G$4:$G$18,MATCH($F856,Cluster_Master!$B$4:$B$18,0)),"")</f>
        <v/>
      </c>
      <c r="M856" t="str">
        <f>IFERROR(INDEX(Cluster_Master!$H$4:$H$18,MATCH($F856,Cluster_Master!$B$4:$B$18,0)),"")</f>
        <v/>
      </c>
      <c r="AI856" t="str">
        <f t="shared" si="103"/>
        <v/>
      </c>
      <c r="AJ856" t="str">
        <f t="shared" si="104"/>
        <v/>
      </c>
      <c r="AK856" t="str">
        <f>IF(COUNTA(T856:AH856)=0,"",(SUM(T856*KPI_Weights!$B$4,U856*KPI_Weights!$B$5,V856*KPI_Weights!$B$6,W856*KPI_Weights!$B$7,X856*KPI_Weights!$B$8,Y856*KPI_Weights!$B$9,Z856*KPI_Weights!$B$10,AA856*KPI_Weights!$B$11,AB856*KPI_Weights!$B$12,AC856*KPI_Weights!$B$13,AD856*KPI_Weights!$B$14,AE856*KPI_Weights!$B$15,AF856*KPI_Weights!$B$16,AG856*KPI_Weights!$B$17,AH856*KPI_Weights!$B$18))/5)</f>
        <v/>
      </c>
      <c r="AL856" t="str">
        <f t="shared" si="105"/>
        <v/>
      </c>
      <c r="AM856" t="str">
        <f t="shared" si="106"/>
        <v/>
      </c>
      <c r="AN856" t="str">
        <f t="shared" si="107"/>
        <v/>
      </c>
    </row>
    <row r="857" spans="1:40" ht="15" customHeight="1" x14ac:dyDescent="0.2">
      <c r="A857" t="str">
        <f>IF($B857="","",TEXT($B857,"yyyymmdd")&amp;"-"&amp;SUBSTITUTE($F857," ","")&amp;"-"&amp;TEXT(COUNTIF($F$4:F857,$F857),"00"))</f>
        <v/>
      </c>
      <c r="C857" t="str">
        <f t="shared" si="101"/>
        <v/>
      </c>
      <c r="D857" t="str">
        <f t="shared" si="102"/>
        <v/>
      </c>
      <c r="G857" t="str">
        <f>IF(OR($E857="",$F857=""),"",IFERROR(IF($E857=INDEX(Cluster_Master!$A$4:$A$18,MATCH($F857,Cluster_Master!$B$4:$B$18,0)),"OK","CHECK"),"CHECK"))</f>
        <v/>
      </c>
      <c r="H857" t="str">
        <f>IFERROR(INDEX(Cluster_Master!$C$4:$C$18,MATCH($F857,Cluster_Master!$B$4:$B$18,0)),"")</f>
        <v/>
      </c>
      <c r="I857" t="str">
        <f>IFERROR(INDEX(Cluster_Master!$D$4:$D$18,MATCH($F857,Cluster_Master!$B$4:$B$18,0)),"")</f>
        <v/>
      </c>
      <c r="J857" t="str">
        <f>IFERROR(INDEX(Cluster_Master!$E$4:$E$18,MATCH($F857,Cluster_Master!$B$4:$B$18,0)),"")</f>
        <v/>
      </c>
      <c r="K857" t="str">
        <f>IFERROR(INDEX(Cluster_Master!$F$4:$F$18,MATCH($F857,Cluster_Master!$B$4:$B$18,0)),"")</f>
        <v/>
      </c>
      <c r="L857" t="str">
        <f>IFERROR(INDEX(Cluster_Master!$G$4:$G$18,MATCH($F857,Cluster_Master!$B$4:$B$18,0)),"")</f>
        <v/>
      </c>
      <c r="M857" t="str">
        <f>IFERROR(INDEX(Cluster_Master!$H$4:$H$18,MATCH($F857,Cluster_Master!$B$4:$B$18,0)),"")</f>
        <v/>
      </c>
      <c r="AI857" t="str">
        <f t="shared" si="103"/>
        <v/>
      </c>
      <c r="AJ857" t="str">
        <f t="shared" si="104"/>
        <v/>
      </c>
      <c r="AK857" t="str">
        <f>IF(COUNTA(T857:AH857)=0,"",(SUM(T857*KPI_Weights!$B$4,U857*KPI_Weights!$B$5,V857*KPI_Weights!$B$6,W857*KPI_Weights!$B$7,X857*KPI_Weights!$B$8,Y857*KPI_Weights!$B$9,Z857*KPI_Weights!$B$10,AA857*KPI_Weights!$B$11,AB857*KPI_Weights!$B$12,AC857*KPI_Weights!$B$13,AD857*KPI_Weights!$B$14,AE857*KPI_Weights!$B$15,AF857*KPI_Weights!$B$16,AG857*KPI_Weights!$B$17,AH857*KPI_Weights!$B$18))/5)</f>
        <v/>
      </c>
      <c r="AL857" t="str">
        <f t="shared" si="105"/>
        <v/>
      </c>
      <c r="AM857" t="str">
        <f t="shared" si="106"/>
        <v/>
      </c>
      <c r="AN857" t="str">
        <f t="shared" si="107"/>
        <v/>
      </c>
    </row>
    <row r="858" spans="1:40" ht="15" customHeight="1" x14ac:dyDescent="0.2">
      <c r="A858" t="str">
        <f>IF($B858="","",TEXT($B858,"yyyymmdd")&amp;"-"&amp;SUBSTITUTE($F858," ","")&amp;"-"&amp;TEXT(COUNTIF($F$4:F858,$F858),"00"))</f>
        <v/>
      </c>
      <c r="C858" t="str">
        <f t="shared" si="101"/>
        <v/>
      </c>
      <c r="D858" t="str">
        <f t="shared" si="102"/>
        <v/>
      </c>
      <c r="G858" t="str">
        <f>IF(OR($E858="",$F858=""),"",IFERROR(IF($E858=INDEX(Cluster_Master!$A$4:$A$18,MATCH($F858,Cluster_Master!$B$4:$B$18,0)),"OK","CHECK"),"CHECK"))</f>
        <v/>
      </c>
      <c r="H858" t="str">
        <f>IFERROR(INDEX(Cluster_Master!$C$4:$C$18,MATCH($F858,Cluster_Master!$B$4:$B$18,0)),"")</f>
        <v/>
      </c>
      <c r="I858" t="str">
        <f>IFERROR(INDEX(Cluster_Master!$D$4:$D$18,MATCH($F858,Cluster_Master!$B$4:$B$18,0)),"")</f>
        <v/>
      </c>
      <c r="J858" t="str">
        <f>IFERROR(INDEX(Cluster_Master!$E$4:$E$18,MATCH($F858,Cluster_Master!$B$4:$B$18,0)),"")</f>
        <v/>
      </c>
      <c r="K858" t="str">
        <f>IFERROR(INDEX(Cluster_Master!$F$4:$F$18,MATCH($F858,Cluster_Master!$B$4:$B$18,0)),"")</f>
        <v/>
      </c>
      <c r="L858" t="str">
        <f>IFERROR(INDEX(Cluster_Master!$G$4:$G$18,MATCH($F858,Cluster_Master!$B$4:$B$18,0)),"")</f>
        <v/>
      </c>
      <c r="M858" t="str">
        <f>IFERROR(INDEX(Cluster_Master!$H$4:$H$18,MATCH($F858,Cluster_Master!$B$4:$B$18,0)),"")</f>
        <v/>
      </c>
      <c r="AI858" t="str">
        <f t="shared" si="103"/>
        <v/>
      </c>
      <c r="AJ858" t="str">
        <f t="shared" si="104"/>
        <v/>
      </c>
      <c r="AK858" t="str">
        <f>IF(COUNTA(T858:AH858)=0,"",(SUM(T858*KPI_Weights!$B$4,U858*KPI_Weights!$B$5,V858*KPI_Weights!$B$6,W858*KPI_Weights!$B$7,X858*KPI_Weights!$B$8,Y858*KPI_Weights!$B$9,Z858*KPI_Weights!$B$10,AA858*KPI_Weights!$B$11,AB858*KPI_Weights!$B$12,AC858*KPI_Weights!$B$13,AD858*KPI_Weights!$B$14,AE858*KPI_Weights!$B$15,AF858*KPI_Weights!$B$16,AG858*KPI_Weights!$B$17,AH858*KPI_Weights!$B$18))/5)</f>
        <v/>
      </c>
      <c r="AL858" t="str">
        <f t="shared" si="105"/>
        <v/>
      </c>
      <c r="AM858" t="str">
        <f t="shared" si="106"/>
        <v/>
      </c>
      <c r="AN858" t="str">
        <f t="shared" si="107"/>
        <v/>
      </c>
    </row>
    <row r="859" spans="1:40" ht="15" customHeight="1" x14ac:dyDescent="0.2">
      <c r="A859" t="str">
        <f>IF($B859="","",TEXT($B859,"yyyymmdd")&amp;"-"&amp;SUBSTITUTE($F859," ","")&amp;"-"&amp;TEXT(COUNTIF($F$4:F859,$F859),"00"))</f>
        <v/>
      </c>
      <c r="C859" t="str">
        <f t="shared" si="101"/>
        <v/>
      </c>
      <c r="D859" t="str">
        <f t="shared" si="102"/>
        <v/>
      </c>
      <c r="G859" t="str">
        <f>IF(OR($E859="",$F859=""),"",IFERROR(IF($E859=INDEX(Cluster_Master!$A$4:$A$18,MATCH($F859,Cluster_Master!$B$4:$B$18,0)),"OK","CHECK"),"CHECK"))</f>
        <v/>
      </c>
      <c r="H859" t="str">
        <f>IFERROR(INDEX(Cluster_Master!$C$4:$C$18,MATCH($F859,Cluster_Master!$B$4:$B$18,0)),"")</f>
        <v/>
      </c>
      <c r="I859" t="str">
        <f>IFERROR(INDEX(Cluster_Master!$D$4:$D$18,MATCH($F859,Cluster_Master!$B$4:$B$18,0)),"")</f>
        <v/>
      </c>
      <c r="J859" t="str">
        <f>IFERROR(INDEX(Cluster_Master!$E$4:$E$18,MATCH($F859,Cluster_Master!$B$4:$B$18,0)),"")</f>
        <v/>
      </c>
      <c r="K859" t="str">
        <f>IFERROR(INDEX(Cluster_Master!$F$4:$F$18,MATCH($F859,Cluster_Master!$B$4:$B$18,0)),"")</f>
        <v/>
      </c>
      <c r="L859" t="str">
        <f>IFERROR(INDEX(Cluster_Master!$G$4:$G$18,MATCH($F859,Cluster_Master!$B$4:$B$18,0)),"")</f>
        <v/>
      </c>
      <c r="M859" t="str">
        <f>IFERROR(INDEX(Cluster_Master!$H$4:$H$18,MATCH($F859,Cluster_Master!$B$4:$B$18,0)),"")</f>
        <v/>
      </c>
      <c r="AI859" t="str">
        <f t="shared" si="103"/>
        <v/>
      </c>
      <c r="AJ859" t="str">
        <f t="shared" si="104"/>
        <v/>
      </c>
      <c r="AK859" t="str">
        <f>IF(COUNTA(T859:AH859)=0,"",(SUM(T859*KPI_Weights!$B$4,U859*KPI_Weights!$B$5,V859*KPI_Weights!$B$6,W859*KPI_Weights!$B$7,X859*KPI_Weights!$B$8,Y859*KPI_Weights!$B$9,Z859*KPI_Weights!$B$10,AA859*KPI_Weights!$B$11,AB859*KPI_Weights!$B$12,AC859*KPI_Weights!$B$13,AD859*KPI_Weights!$B$14,AE859*KPI_Weights!$B$15,AF859*KPI_Weights!$B$16,AG859*KPI_Weights!$B$17,AH859*KPI_Weights!$B$18))/5)</f>
        <v/>
      </c>
      <c r="AL859" t="str">
        <f t="shared" si="105"/>
        <v/>
      </c>
      <c r="AM859" t="str">
        <f t="shared" si="106"/>
        <v/>
      </c>
      <c r="AN859" t="str">
        <f t="shared" si="107"/>
        <v/>
      </c>
    </row>
    <row r="860" spans="1:40" ht="15" customHeight="1" x14ac:dyDescent="0.2">
      <c r="A860" t="str">
        <f>IF($B860="","",TEXT($B860,"yyyymmdd")&amp;"-"&amp;SUBSTITUTE($F860," ","")&amp;"-"&amp;TEXT(COUNTIF($F$4:F860,$F860),"00"))</f>
        <v/>
      </c>
      <c r="C860" t="str">
        <f t="shared" si="101"/>
        <v/>
      </c>
      <c r="D860" t="str">
        <f t="shared" si="102"/>
        <v/>
      </c>
      <c r="G860" t="str">
        <f>IF(OR($E860="",$F860=""),"",IFERROR(IF($E860=INDEX(Cluster_Master!$A$4:$A$18,MATCH($F860,Cluster_Master!$B$4:$B$18,0)),"OK","CHECK"),"CHECK"))</f>
        <v/>
      </c>
      <c r="H860" t="str">
        <f>IFERROR(INDEX(Cluster_Master!$C$4:$C$18,MATCH($F860,Cluster_Master!$B$4:$B$18,0)),"")</f>
        <v/>
      </c>
      <c r="I860" t="str">
        <f>IFERROR(INDEX(Cluster_Master!$D$4:$D$18,MATCH($F860,Cluster_Master!$B$4:$B$18,0)),"")</f>
        <v/>
      </c>
      <c r="J860" t="str">
        <f>IFERROR(INDEX(Cluster_Master!$E$4:$E$18,MATCH($F860,Cluster_Master!$B$4:$B$18,0)),"")</f>
        <v/>
      </c>
      <c r="K860" t="str">
        <f>IFERROR(INDEX(Cluster_Master!$F$4:$F$18,MATCH($F860,Cluster_Master!$B$4:$B$18,0)),"")</f>
        <v/>
      </c>
      <c r="L860" t="str">
        <f>IFERROR(INDEX(Cluster_Master!$G$4:$G$18,MATCH($F860,Cluster_Master!$B$4:$B$18,0)),"")</f>
        <v/>
      </c>
      <c r="M860" t="str">
        <f>IFERROR(INDEX(Cluster_Master!$H$4:$H$18,MATCH($F860,Cluster_Master!$B$4:$B$18,0)),"")</f>
        <v/>
      </c>
      <c r="AI860" t="str">
        <f t="shared" si="103"/>
        <v/>
      </c>
      <c r="AJ860" t="str">
        <f t="shared" si="104"/>
        <v/>
      </c>
      <c r="AK860" t="str">
        <f>IF(COUNTA(T860:AH860)=0,"",(SUM(T860*KPI_Weights!$B$4,U860*KPI_Weights!$B$5,V860*KPI_Weights!$B$6,W860*KPI_Weights!$B$7,X860*KPI_Weights!$B$8,Y860*KPI_Weights!$B$9,Z860*KPI_Weights!$B$10,AA860*KPI_Weights!$B$11,AB860*KPI_Weights!$B$12,AC860*KPI_Weights!$B$13,AD860*KPI_Weights!$B$14,AE860*KPI_Weights!$B$15,AF860*KPI_Weights!$B$16,AG860*KPI_Weights!$B$17,AH860*KPI_Weights!$B$18))/5)</f>
        <v/>
      </c>
      <c r="AL860" t="str">
        <f t="shared" si="105"/>
        <v/>
      </c>
      <c r="AM860" t="str">
        <f t="shared" si="106"/>
        <v/>
      </c>
      <c r="AN860" t="str">
        <f t="shared" si="107"/>
        <v/>
      </c>
    </row>
    <row r="861" spans="1:40" ht="15" customHeight="1" x14ac:dyDescent="0.2">
      <c r="A861" t="str">
        <f>IF($B861="","",TEXT($B861,"yyyymmdd")&amp;"-"&amp;SUBSTITUTE($F861," ","")&amp;"-"&amp;TEXT(COUNTIF($F$4:F861,$F861),"00"))</f>
        <v/>
      </c>
      <c r="C861" t="str">
        <f t="shared" si="101"/>
        <v/>
      </c>
      <c r="D861" t="str">
        <f t="shared" si="102"/>
        <v/>
      </c>
      <c r="G861" t="str">
        <f>IF(OR($E861="",$F861=""),"",IFERROR(IF($E861=INDEX(Cluster_Master!$A$4:$A$18,MATCH($F861,Cluster_Master!$B$4:$B$18,0)),"OK","CHECK"),"CHECK"))</f>
        <v/>
      </c>
      <c r="H861" t="str">
        <f>IFERROR(INDEX(Cluster_Master!$C$4:$C$18,MATCH($F861,Cluster_Master!$B$4:$B$18,0)),"")</f>
        <v/>
      </c>
      <c r="I861" t="str">
        <f>IFERROR(INDEX(Cluster_Master!$D$4:$D$18,MATCH($F861,Cluster_Master!$B$4:$B$18,0)),"")</f>
        <v/>
      </c>
      <c r="J861" t="str">
        <f>IFERROR(INDEX(Cluster_Master!$E$4:$E$18,MATCH($F861,Cluster_Master!$B$4:$B$18,0)),"")</f>
        <v/>
      </c>
      <c r="K861" t="str">
        <f>IFERROR(INDEX(Cluster_Master!$F$4:$F$18,MATCH($F861,Cluster_Master!$B$4:$B$18,0)),"")</f>
        <v/>
      </c>
      <c r="L861" t="str">
        <f>IFERROR(INDEX(Cluster_Master!$G$4:$G$18,MATCH($F861,Cluster_Master!$B$4:$B$18,0)),"")</f>
        <v/>
      </c>
      <c r="M861" t="str">
        <f>IFERROR(INDEX(Cluster_Master!$H$4:$H$18,MATCH($F861,Cluster_Master!$B$4:$B$18,0)),"")</f>
        <v/>
      </c>
      <c r="AI861" t="str">
        <f t="shared" si="103"/>
        <v/>
      </c>
      <c r="AJ861" t="str">
        <f t="shared" si="104"/>
        <v/>
      </c>
      <c r="AK861" t="str">
        <f>IF(COUNTA(T861:AH861)=0,"",(SUM(T861*KPI_Weights!$B$4,U861*KPI_Weights!$B$5,V861*KPI_Weights!$B$6,W861*KPI_Weights!$B$7,X861*KPI_Weights!$B$8,Y861*KPI_Weights!$B$9,Z861*KPI_Weights!$B$10,AA861*KPI_Weights!$B$11,AB861*KPI_Weights!$B$12,AC861*KPI_Weights!$B$13,AD861*KPI_Weights!$B$14,AE861*KPI_Weights!$B$15,AF861*KPI_Weights!$B$16,AG861*KPI_Weights!$B$17,AH861*KPI_Weights!$B$18))/5)</f>
        <v/>
      </c>
      <c r="AL861" t="str">
        <f t="shared" si="105"/>
        <v/>
      </c>
      <c r="AM861" t="str">
        <f t="shared" si="106"/>
        <v/>
      </c>
      <c r="AN861" t="str">
        <f t="shared" si="107"/>
        <v/>
      </c>
    </row>
    <row r="862" spans="1:40" ht="15" customHeight="1" x14ac:dyDescent="0.2">
      <c r="A862" t="str">
        <f>IF($B862="","",TEXT($B862,"yyyymmdd")&amp;"-"&amp;SUBSTITUTE($F862," ","")&amp;"-"&amp;TEXT(COUNTIF($F$4:F862,$F862),"00"))</f>
        <v/>
      </c>
      <c r="C862" t="str">
        <f t="shared" si="101"/>
        <v/>
      </c>
      <c r="D862" t="str">
        <f t="shared" si="102"/>
        <v/>
      </c>
      <c r="G862" t="str">
        <f>IF(OR($E862="",$F862=""),"",IFERROR(IF($E862=INDEX(Cluster_Master!$A$4:$A$18,MATCH($F862,Cluster_Master!$B$4:$B$18,0)),"OK","CHECK"),"CHECK"))</f>
        <v/>
      </c>
      <c r="H862" t="str">
        <f>IFERROR(INDEX(Cluster_Master!$C$4:$C$18,MATCH($F862,Cluster_Master!$B$4:$B$18,0)),"")</f>
        <v/>
      </c>
      <c r="I862" t="str">
        <f>IFERROR(INDEX(Cluster_Master!$D$4:$D$18,MATCH($F862,Cluster_Master!$B$4:$B$18,0)),"")</f>
        <v/>
      </c>
      <c r="J862" t="str">
        <f>IFERROR(INDEX(Cluster_Master!$E$4:$E$18,MATCH($F862,Cluster_Master!$B$4:$B$18,0)),"")</f>
        <v/>
      </c>
      <c r="K862" t="str">
        <f>IFERROR(INDEX(Cluster_Master!$F$4:$F$18,MATCH($F862,Cluster_Master!$B$4:$B$18,0)),"")</f>
        <v/>
      </c>
      <c r="L862" t="str">
        <f>IFERROR(INDEX(Cluster_Master!$G$4:$G$18,MATCH($F862,Cluster_Master!$B$4:$B$18,0)),"")</f>
        <v/>
      </c>
      <c r="M862" t="str">
        <f>IFERROR(INDEX(Cluster_Master!$H$4:$H$18,MATCH($F862,Cluster_Master!$B$4:$B$18,0)),"")</f>
        <v/>
      </c>
      <c r="AI862" t="str">
        <f t="shared" si="103"/>
        <v/>
      </c>
      <c r="AJ862" t="str">
        <f t="shared" si="104"/>
        <v/>
      </c>
      <c r="AK862" t="str">
        <f>IF(COUNTA(T862:AH862)=0,"",(SUM(T862*KPI_Weights!$B$4,U862*KPI_Weights!$B$5,V862*KPI_Weights!$B$6,W862*KPI_Weights!$B$7,X862*KPI_Weights!$B$8,Y862*KPI_Weights!$B$9,Z862*KPI_Weights!$B$10,AA862*KPI_Weights!$B$11,AB862*KPI_Weights!$B$12,AC862*KPI_Weights!$B$13,AD862*KPI_Weights!$B$14,AE862*KPI_Weights!$B$15,AF862*KPI_Weights!$B$16,AG862*KPI_Weights!$B$17,AH862*KPI_Weights!$B$18))/5)</f>
        <v/>
      </c>
      <c r="AL862" t="str">
        <f t="shared" si="105"/>
        <v/>
      </c>
      <c r="AM862" t="str">
        <f t="shared" si="106"/>
        <v/>
      </c>
      <c r="AN862" t="str">
        <f t="shared" si="107"/>
        <v/>
      </c>
    </row>
    <row r="863" spans="1:40" ht="15" customHeight="1" x14ac:dyDescent="0.2">
      <c r="A863" t="str">
        <f>IF($B863="","",TEXT($B863,"yyyymmdd")&amp;"-"&amp;SUBSTITUTE($F863," ","")&amp;"-"&amp;TEXT(COUNTIF($F$4:F863,$F863),"00"))</f>
        <v/>
      </c>
      <c r="C863" t="str">
        <f t="shared" si="101"/>
        <v/>
      </c>
      <c r="D863" t="str">
        <f t="shared" si="102"/>
        <v/>
      </c>
      <c r="G863" t="str">
        <f>IF(OR($E863="",$F863=""),"",IFERROR(IF($E863=INDEX(Cluster_Master!$A$4:$A$18,MATCH($F863,Cluster_Master!$B$4:$B$18,0)),"OK","CHECK"),"CHECK"))</f>
        <v/>
      </c>
      <c r="H863" t="str">
        <f>IFERROR(INDEX(Cluster_Master!$C$4:$C$18,MATCH($F863,Cluster_Master!$B$4:$B$18,0)),"")</f>
        <v/>
      </c>
      <c r="I863" t="str">
        <f>IFERROR(INDEX(Cluster_Master!$D$4:$D$18,MATCH($F863,Cluster_Master!$B$4:$B$18,0)),"")</f>
        <v/>
      </c>
      <c r="J863" t="str">
        <f>IFERROR(INDEX(Cluster_Master!$E$4:$E$18,MATCH($F863,Cluster_Master!$B$4:$B$18,0)),"")</f>
        <v/>
      </c>
      <c r="K863" t="str">
        <f>IFERROR(INDEX(Cluster_Master!$F$4:$F$18,MATCH($F863,Cluster_Master!$B$4:$B$18,0)),"")</f>
        <v/>
      </c>
      <c r="L863" t="str">
        <f>IFERROR(INDEX(Cluster_Master!$G$4:$G$18,MATCH($F863,Cluster_Master!$B$4:$B$18,0)),"")</f>
        <v/>
      </c>
      <c r="M863" t="str">
        <f>IFERROR(INDEX(Cluster_Master!$H$4:$H$18,MATCH($F863,Cluster_Master!$B$4:$B$18,0)),"")</f>
        <v/>
      </c>
      <c r="AI863" t="str">
        <f t="shared" si="103"/>
        <v/>
      </c>
      <c r="AJ863" t="str">
        <f t="shared" si="104"/>
        <v/>
      </c>
      <c r="AK863" t="str">
        <f>IF(COUNTA(T863:AH863)=0,"",(SUM(T863*KPI_Weights!$B$4,U863*KPI_Weights!$B$5,V863*KPI_Weights!$B$6,W863*KPI_Weights!$B$7,X863*KPI_Weights!$B$8,Y863*KPI_Weights!$B$9,Z863*KPI_Weights!$B$10,AA863*KPI_Weights!$B$11,AB863*KPI_Weights!$B$12,AC863*KPI_Weights!$B$13,AD863*KPI_Weights!$B$14,AE863*KPI_Weights!$B$15,AF863*KPI_Weights!$B$16,AG863*KPI_Weights!$B$17,AH863*KPI_Weights!$B$18))/5)</f>
        <v/>
      </c>
      <c r="AL863" t="str">
        <f t="shared" si="105"/>
        <v/>
      </c>
      <c r="AM863" t="str">
        <f t="shared" si="106"/>
        <v/>
      </c>
      <c r="AN863" t="str">
        <f t="shared" si="107"/>
        <v/>
      </c>
    </row>
    <row r="864" spans="1:40" ht="15" customHeight="1" x14ac:dyDescent="0.2">
      <c r="A864" t="str">
        <f>IF($B864="","",TEXT($B864,"yyyymmdd")&amp;"-"&amp;SUBSTITUTE($F864," ","")&amp;"-"&amp;TEXT(COUNTIF($F$4:F864,$F864),"00"))</f>
        <v/>
      </c>
      <c r="C864" t="str">
        <f t="shared" si="101"/>
        <v/>
      </c>
      <c r="D864" t="str">
        <f t="shared" si="102"/>
        <v/>
      </c>
      <c r="G864" t="str">
        <f>IF(OR($E864="",$F864=""),"",IFERROR(IF($E864=INDEX(Cluster_Master!$A$4:$A$18,MATCH($F864,Cluster_Master!$B$4:$B$18,0)),"OK","CHECK"),"CHECK"))</f>
        <v/>
      </c>
      <c r="H864" t="str">
        <f>IFERROR(INDEX(Cluster_Master!$C$4:$C$18,MATCH($F864,Cluster_Master!$B$4:$B$18,0)),"")</f>
        <v/>
      </c>
      <c r="I864" t="str">
        <f>IFERROR(INDEX(Cluster_Master!$D$4:$D$18,MATCH($F864,Cluster_Master!$B$4:$B$18,0)),"")</f>
        <v/>
      </c>
      <c r="J864" t="str">
        <f>IFERROR(INDEX(Cluster_Master!$E$4:$E$18,MATCH($F864,Cluster_Master!$B$4:$B$18,0)),"")</f>
        <v/>
      </c>
      <c r="K864" t="str">
        <f>IFERROR(INDEX(Cluster_Master!$F$4:$F$18,MATCH($F864,Cluster_Master!$B$4:$B$18,0)),"")</f>
        <v/>
      </c>
      <c r="L864" t="str">
        <f>IFERROR(INDEX(Cluster_Master!$G$4:$G$18,MATCH($F864,Cluster_Master!$B$4:$B$18,0)),"")</f>
        <v/>
      </c>
      <c r="M864" t="str">
        <f>IFERROR(INDEX(Cluster_Master!$H$4:$H$18,MATCH($F864,Cluster_Master!$B$4:$B$18,0)),"")</f>
        <v/>
      </c>
      <c r="AI864" t="str">
        <f t="shared" si="103"/>
        <v/>
      </c>
      <c r="AJ864" t="str">
        <f t="shared" si="104"/>
        <v/>
      </c>
      <c r="AK864" t="str">
        <f>IF(COUNTA(T864:AH864)=0,"",(SUM(T864*KPI_Weights!$B$4,U864*KPI_Weights!$B$5,V864*KPI_Weights!$B$6,W864*KPI_Weights!$B$7,X864*KPI_Weights!$B$8,Y864*KPI_Weights!$B$9,Z864*KPI_Weights!$B$10,AA864*KPI_Weights!$B$11,AB864*KPI_Weights!$B$12,AC864*KPI_Weights!$B$13,AD864*KPI_Weights!$B$14,AE864*KPI_Weights!$B$15,AF864*KPI_Weights!$B$16,AG864*KPI_Weights!$B$17,AH864*KPI_Weights!$B$18))/5)</f>
        <v/>
      </c>
      <c r="AL864" t="str">
        <f t="shared" si="105"/>
        <v/>
      </c>
      <c r="AM864" t="str">
        <f t="shared" si="106"/>
        <v/>
      </c>
      <c r="AN864" t="str">
        <f t="shared" si="107"/>
        <v/>
      </c>
    </row>
    <row r="865" spans="1:40" ht="15" customHeight="1" x14ac:dyDescent="0.2">
      <c r="A865" t="str">
        <f>IF($B865="","",TEXT($B865,"yyyymmdd")&amp;"-"&amp;SUBSTITUTE($F865," ","")&amp;"-"&amp;TEXT(COUNTIF($F$4:F865,$F865),"00"))</f>
        <v/>
      </c>
      <c r="C865" t="str">
        <f t="shared" si="101"/>
        <v/>
      </c>
      <c r="D865" t="str">
        <f t="shared" si="102"/>
        <v/>
      </c>
      <c r="G865" t="str">
        <f>IF(OR($E865="",$F865=""),"",IFERROR(IF($E865=INDEX(Cluster_Master!$A$4:$A$18,MATCH($F865,Cluster_Master!$B$4:$B$18,0)),"OK","CHECK"),"CHECK"))</f>
        <v/>
      </c>
      <c r="H865" t="str">
        <f>IFERROR(INDEX(Cluster_Master!$C$4:$C$18,MATCH($F865,Cluster_Master!$B$4:$B$18,0)),"")</f>
        <v/>
      </c>
      <c r="I865" t="str">
        <f>IFERROR(INDEX(Cluster_Master!$D$4:$D$18,MATCH($F865,Cluster_Master!$B$4:$B$18,0)),"")</f>
        <v/>
      </c>
      <c r="J865" t="str">
        <f>IFERROR(INDEX(Cluster_Master!$E$4:$E$18,MATCH($F865,Cluster_Master!$B$4:$B$18,0)),"")</f>
        <v/>
      </c>
      <c r="K865" t="str">
        <f>IFERROR(INDEX(Cluster_Master!$F$4:$F$18,MATCH($F865,Cluster_Master!$B$4:$B$18,0)),"")</f>
        <v/>
      </c>
      <c r="L865" t="str">
        <f>IFERROR(INDEX(Cluster_Master!$G$4:$G$18,MATCH($F865,Cluster_Master!$B$4:$B$18,0)),"")</f>
        <v/>
      </c>
      <c r="M865" t="str">
        <f>IFERROR(INDEX(Cluster_Master!$H$4:$H$18,MATCH($F865,Cluster_Master!$B$4:$B$18,0)),"")</f>
        <v/>
      </c>
      <c r="AI865" t="str">
        <f t="shared" si="103"/>
        <v/>
      </c>
      <c r="AJ865" t="str">
        <f t="shared" si="104"/>
        <v/>
      </c>
      <c r="AK865" t="str">
        <f>IF(COUNTA(T865:AH865)=0,"",(SUM(T865*KPI_Weights!$B$4,U865*KPI_Weights!$B$5,V865*KPI_Weights!$B$6,W865*KPI_Weights!$B$7,X865*KPI_Weights!$B$8,Y865*KPI_Weights!$B$9,Z865*KPI_Weights!$B$10,AA865*KPI_Weights!$B$11,AB865*KPI_Weights!$B$12,AC865*KPI_Weights!$B$13,AD865*KPI_Weights!$B$14,AE865*KPI_Weights!$B$15,AF865*KPI_Weights!$B$16,AG865*KPI_Weights!$B$17,AH865*KPI_Weights!$B$18))/5)</f>
        <v/>
      </c>
      <c r="AL865" t="str">
        <f t="shared" si="105"/>
        <v/>
      </c>
      <c r="AM865" t="str">
        <f t="shared" si="106"/>
        <v/>
      </c>
      <c r="AN865" t="str">
        <f t="shared" si="107"/>
        <v/>
      </c>
    </row>
    <row r="866" spans="1:40" ht="15" customHeight="1" x14ac:dyDescent="0.2">
      <c r="A866" t="str">
        <f>IF($B866="","",TEXT($B866,"yyyymmdd")&amp;"-"&amp;SUBSTITUTE($F866," ","")&amp;"-"&amp;TEXT(COUNTIF($F$4:F866,$F866),"00"))</f>
        <v/>
      </c>
      <c r="C866" t="str">
        <f t="shared" si="101"/>
        <v/>
      </c>
      <c r="D866" t="str">
        <f t="shared" si="102"/>
        <v/>
      </c>
      <c r="G866" t="str">
        <f>IF(OR($E866="",$F866=""),"",IFERROR(IF($E866=INDEX(Cluster_Master!$A$4:$A$18,MATCH($F866,Cluster_Master!$B$4:$B$18,0)),"OK","CHECK"),"CHECK"))</f>
        <v/>
      </c>
      <c r="H866" t="str">
        <f>IFERROR(INDEX(Cluster_Master!$C$4:$C$18,MATCH($F866,Cluster_Master!$B$4:$B$18,0)),"")</f>
        <v/>
      </c>
      <c r="I866" t="str">
        <f>IFERROR(INDEX(Cluster_Master!$D$4:$D$18,MATCH($F866,Cluster_Master!$B$4:$B$18,0)),"")</f>
        <v/>
      </c>
      <c r="J866" t="str">
        <f>IFERROR(INDEX(Cluster_Master!$E$4:$E$18,MATCH($F866,Cluster_Master!$B$4:$B$18,0)),"")</f>
        <v/>
      </c>
      <c r="K866" t="str">
        <f>IFERROR(INDEX(Cluster_Master!$F$4:$F$18,MATCH($F866,Cluster_Master!$B$4:$B$18,0)),"")</f>
        <v/>
      </c>
      <c r="L866" t="str">
        <f>IFERROR(INDEX(Cluster_Master!$G$4:$G$18,MATCH($F866,Cluster_Master!$B$4:$B$18,0)),"")</f>
        <v/>
      </c>
      <c r="M866" t="str">
        <f>IFERROR(INDEX(Cluster_Master!$H$4:$H$18,MATCH($F866,Cluster_Master!$B$4:$B$18,0)),"")</f>
        <v/>
      </c>
      <c r="AI866" t="str">
        <f t="shared" si="103"/>
        <v/>
      </c>
      <c r="AJ866" t="str">
        <f t="shared" si="104"/>
        <v/>
      </c>
      <c r="AK866" t="str">
        <f>IF(COUNTA(T866:AH866)=0,"",(SUM(T866*KPI_Weights!$B$4,U866*KPI_Weights!$B$5,V866*KPI_Weights!$B$6,W866*KPI_Weights!$B$7,X866*KPI_Weights!$B$8,Y866*KPI_Weights!$B$9,Z866*KPI_Weights!$B$10,AA866*KPI_Weights!$B$11,AB866*KPI_Weights!$B$12,AC866*KPI_Weights!$B$13,AD866*KPI_Weights!$B$14,AE866*KPI_Weights!$B$15,AF866*KPI_Weights!$B$16,AG866*KPI_Weights!$B$17,AH866*KPI_Weights!$B$18))/5)</f>
        <v/>
      </c>
      <c r="AL866" t="str">
        <f t="shared" si="105"/>
        <v/>
      </c>
      <c r="AM866" t="str">
        <f t="shared" si="106"/>
        <v/>
      </c>
      <c r="AN866" t="str">
        <f t="shared" si="107"/>
        <v/>
      </c>
    </row>
    <row r="867" spans="1:40" ht="15" customHeight="1" x14ac:dyDescent="0.2">
      <c r="A867" t="str">
        <f>IF($B867="","",TEXT($B867,"yyyymmdd")&amp;"-"&amp;SUBSTITUTE($F867," ","")&amp;"-"&amp;TEXT(COUNTIF($F$4:F867,$F867),"00"))</f>
        <v/>
      </c>
      <c r="C867" t="str">
        <f t="shared" si="101"/>
        <v/>
      </c>
      <c r="D867" t="str">
        <f t="shared" si="102"/>
        <v/>
      </c>
      <c r="G867" t="str">
        <f>IF(OR($E867="",$F867=""),"",IFERROR(IF($E867=INDEX(Cluster_Master!$A$4:$A$18,MATCH($F867,Cluster_Master!$B$4:$B$18,0)),"OK","CHECK"),"CHECK"))</f>
        <v/>
      </c>
      <c r="H867" t="str">
        <f>IFERROR(INDEX(Cluster_Master!$C$4:$C$18,MATCH($F867,Cluster_Master!$B$4:$B$18,0)),"")</f>
        <v/>
      </c>
      <c r="I867" t="str">
        <f>IFERROR(INDEX(Cluster_Master!$D$4:$D$18,MATCH($F867,Cluster_Master!$B$4:$B$18,0)),"")</f>
        <v/>
      </c>
      <c r="J867" t="str">
        <f>IFERROR(INDEX(Cluster_Master!$E$4:$E$18,MATCH($F867,Cluster_Master!$B$4:$B$18,0)),"")</f>
        <v/>
      </c>
      <c r="K867" t="str">
        <f>IFERROR(INDEX(Cluster_Master!$F$4:$F$18,MATCH($F867,Cluster_Master!$B$4:$B$18,0)),"")</f>
        <v/>
      </c>
      <c r="L867" t="str">
        <f>IFERROR(INDEX(Cluster_Master!$G$4:$G$18,MATCH($F867,Cluster_Master!$B$4:$B$18,0)),"")</f>
        <v/>
      </c>
      <c r="M867" t="str">
        <f>IFERROR(INDEX(Cluster_Master!$H$4:$H$18,MATCH($F867,Cluster_Master!$B$4:$B$18,0)),"")</f>
        <v/>
      </c>
      <c r="AI867" t="str">
        <f t="shared" si="103"/>
        <v/>
      </c>
      <c r="AJ867" t="str">
        <f t="shared" si="104"/>
        <v/>
      </c>
      <c r="AK867" t="str">
        <f>IF(COUNTA(T867:AH867)=0,"",(SUM(T867*KPI_Weights!$B$4,U867*KPI_Weights!$B$5,V867*KPI_Weights!$B$6,W867*KPI_Weights!$B$7,X867*KPI_Weights!$B$8,Y867*KPI_Weights!$B$9,Z867*KPI_Weights!$B$10,AA867*KPI_Weights!$B$11,AB867*KPI_Weights!$B$12,AC867*KPI_Weights!$B$13,AD867*KPI_Weights!$B$14,AE867*KPI_Weights!$B$15,AF867*KPI_Weights!$B$16,AG867*KPI_Weights!$B$17,AH867*KPI_Weights!$B$18))/5)</f>
        <v/>
      </c>
      <c r="AL867" t="str">
        <f t="shared" si="105"/>
        <v/>
      </c>
      <c r="AM867" t="str">
        <f t="shared" si="106"/>
        <v/>
      </c>
      <c r="AN867" t="str">
        <f t="shared" si="107"/>
        <v/>
      </c>
    </row>
    <row r="868" spans="1:40" ht="15" customHeight="1" x14ac:dyDescent="0.2">
      <c r="A868" t="str">
        <f>IF($B868="","",TEXT($B868,"yyyymmdd")&amp;"-"&amp;SUBSTITUTE($F868," ","")&amp;"-"&amp;TEXT(COUNTIF($F$4:F868,$F868),"00"))</f>
        <v/>
      </c>
      <c r="C868" t="str">
        <f t="shared" si="101"/>
        <v/>
      </c>
      <c r="D868" t="str">
        <f t="shared" si="102"/>
        <v/>
      </c>
      <c r="G868" t="str">
        <f>IF(OR($E868="",$F868=""),"",IFERROR(IF($E868=INDEX(Cluster_Master!$A$4:$A$18,MATCH($F868,Cluster_Master!$B$4:$B$18,0)),"OK","CHECK"),"CHECK"))</f>
        <v/>
      </c>
      <c r="H868" t="str">
        <f>IFERROR(INDEX(Cluster_Master!$C$4:$C$18,MATCH($F868,Cluster_Master!$B$4:$B$18,0)),"")</f>
        <v/>
      </c>
      <c r="I868" t="str">
        <f>IFERROR(INDEX(Cluster_Master!$D$4:$D$18,MATCH($F868,Cluster_Master!$B$4:$B$18,0)),"")</f>
        <v/>
      </c>
      <c r="J868" t="str">
        <f>IFERROR(INDEX(Cluster_Master!$E$4:$E$18,MATCH($F868,Cluster_Master!$B$4:$B$18,0)),"")</f>
        <v/>
      </c>
      <c r="K868" t="str">
        <f>IFERROR(INDEX(Cluster_Master!$F$4:$F$18,MATCH($F868,Cluster_Master!$B$4:$B$18,0)),"")</f>
        <v/>
      </c>
      <c r="L868" t="str">
        <f>IFERROR(INDEX(Cluster_Master!$G$4:$G$18,MATCH($F868,Cluster_Master!$B$4:$B$18,0)),"")</f>
        <v/>
      </c>
      <c r="M868" t="str">
        <f>IFERROR(INDEX(Cluster_Master!$H$4:$H$18,MATCH($F868,Cluster_Master!$B$4:$B$18,0)),"")</f>
        <v/>
      </c>
      <c r="AI868" t="str">
        <f t="shared" si="103"/>
        <v/>
      </c>
      <c r="AJ868" t="str">
        <f t="shared" si="104"/>
        <v/>
      </c>
      <c r="AK868" t="str">
        <f>IF(COUNTA(T868:AH868)=0,"",(SUM(T868*KPI_Weights!$B$4,U868*KPI_Weights!$B$5,V868*KPI_Weights!$B$6,W868*KPI_Weights!$B$7,X868*KPI_Weights!$B$8,Y868*KPI_Weights!$B$9,Z868*KPI_Weights!$B$10,AA868*KPI_Weights!$B$11,AB868*KPI_Weights!$B$12,AC868*KPI_Weights!$B$13,AD868*KPI_Weights!$B$14,AE868*KPI_Weights!$B$15,AF868*KPI_Weights!$B$16,AG868*KPI_Weights!$B$17,AH868*KPI_Weights!$B$18))/5)</f>
        <v/>
      </c>
      <c r="AL868" t="str">
        <f t="shared" si="105"/>
        <v/>
      </c>
      <c r="AM868" t="str">
        <f t="shared" si="106"/>
        <v/>
      </c>
      <c r="AN868" t="str">
        <f t="shared" si="107"/>
        <v/>
      </c>
    </row>
    <row r="869" spans="1:40" ht="15" customHeight="1" x14ac:dyDescent="0.2">
      <c r="A869" t="str">
        <f>IF($B869="","",TEXT($B869,"yyyymmdd")&amp;"-"&amp;SUBSTITUTE($F869," ","")&amp;"-"&amp;TEXT(COUNTIF($F$4:F869,$F869),"00"))</f>
        <v/>
      </c>
      <c r="C869" t="str">
        <f t="shared" si="101"/>
        <v/>
      </c>
      <c r="D869" t="str">
        <f t="shared" si="102"/>
        <v/>
      </c>
      <c r="G869" t="str">
        <f>IF(OR($E869="",$F869=""),"",IFERROR(IF($E869=INDEX(Cluster_Master!$A$4:$A$18,MATCH($F869,Cluster_Master!$B$4:$B$18,0)),"OK","CHECK"),"CHECK"))</f>
        <v/>
      </c>
      <c r="H869" t="str">
        <f>IFERROR(INDEX(Cluster_Master!$C$4:$C$18,MATCH($F869,Cluster_Master!$B$4:$B$18,0)),"")</f>
        <v/>
      </c>
      <c r="I869" t="str">
        <f>IFERROR(INDEX(Cluster_Master!$D$4:$D$18,MATCH($F869,Cluster_Master!$B$4:$B$18,0)),"")</f>
        <v/>
      </c>
      <c r="J869" t="str">
        <f>IFERROR(INDEX(Cluster_Master!$E$4:$E$18,MATCH($F869,Cluster_Master!$B$4:$B$18,0)),"")</f>
        <v/>
      </c>
      <c r="K869" t="str">
        <f>IFERROR(INDEX(Cluster_Master!$F$4:$F$18,MATCH($F869,Cluster_Master!$B$4:$B$18,0)),"")</f>
        <v/>
      </c>
      <c r="L869" t="str">
        <f>IFERROR(INDEX(Cluster_Master!$G$4:$G$18,MATCH($F869,Cluster_Master!$B$4:$B$18,0)),"")</f>
        <v/>
      </c>
      <c r="M869" t="str">
        <f>IFERROR(INDEX(Cluster_Master!$H$4:$H$18,MATCH($F869,Cluster_Master!$B$4:$B$18,0)),"")</f>
        <v/>
      </c>
      <c r="AI869" t="str">
        <f t="shared" si="103"/>
        <v/>
      </c>
      <c r="AJ869" t="str">
        <f t="shared" si="104"/>
        <v/>
      </c>
      <c r="AK869" t="str">
        <f>IF(COUNTA(T869:AH869)=0,"",(SUM(T869*KPI_Weights!$B$4,U869*KPI_Weights!$B$5,V869*KPI_Weights!$B$6,W869*KPI_Weights!$B$7,X869*KPI_Weights!$B$8,Y869*KPI_Weights!$B$9,Z869*KPI_Weights!$B$10,AA869*KPI_Weights!$B$11,AB869*KPI_Weights!$B$12,AC869*KPI_Weights!$B$13,AD869*KPI_Weights!$B$14,AE869*KPI_Weights!$B$15,AF869*KPI_Weights!$B$16,AG869*KPI_Weights!$B$17,AH869*KPI_Weights!$B$18))/5)</f>
        <v/>
      </c>
      <c r="AL869" t="str">
        <f t="shared" si="105"/>
        <v/>
      </c>
      <c r="AM869" t="str">
        <f t="shared" si="106"/>
        <v/>
      </c>
      <c r="AN869" t="str">
        <f t="shared" si="107"/>
        <v/>
      </c>
    </row>
    <row r="870" spans="1:40" ht="15" customHeight="1" x14ac:dyDescent="0.2">
      <c r="A870" t="str">
        <f>IF($B870="","",TEXT($B870,"yyyymmdd")&amp;"-"&amp;SUBSTITUTE($F870," ","")&amp;"-"&amp;TEXT(COUNTIF($F$4:F870,$F870),"00"))</f>
        <v/>
      </c>
      <c r="C870" t="str">
        <f t="shared" si="101"/>
        <v/>
      </c>
      <c r="D870" t="str">
        <f t="shared" si="102"/>
        <v/>
      </c>
      <c r="G870" t="str">
        <f>IF(OR($E870="",$F870=""),"",IFERROR(IF($E870=INDEX(Cluster_Master!$A$4:$A$18,MATCH($F870,Cluster_Master!$B$4:$B$18,0)),"OK","CHECK"),"CHECK"))</f>
        <v/>
      </c>
      <c r="H870" t="str">
        <f>IFERROR(INDEX(Cluster_Master!$C$4:$C$18,MATCH($F870,Cluster_Master!$B$4:$B$18,0)),"")</f>
        <v/>
      </c>
      <c r="I870" t="str">
        <f>IFERROR(INDEX(Cluster_Master!$D$4:$D$18,MATCH($F870,Cluster_Master!$B$4:$B$18,0)),"")</f>
        <v/>
      </c>
      <c r="J870" t="str">
        <f>IFERROR(INDEX(Cluster_Master!$E$4:$E$18,MATCH($F870,Cluster_Master!$B$4:$B$18,0)),"")</f>
        <v/>
      </c>
      <c r="K870" t="str">
        <f>IFERROR(INDEX(Cluster_Master!$F$4:$F$18,MATCH($F870,Cluster_Master!$B$4:$B$18,0)),"")</f>
        <v/>
      </c>
      <c r="L870" t="str">
        <f>IFERROR(INDEX(Cluster_Master!$G$4:$G$18,MATCH($F870,Cluster_Master!$B$4:$B$18,0)),"")</f>
        <v/>
      </c>
      <c r="M870" t="str">
        <f>IFERROR(INDEX(Cluster_Master!$H$4:$H$18,MATCH($F870,Cluster_Master!$B$4:$B$18,0)),"")</f>
        <v/>
      </c>
      <c r="AI870" t="str">
        <f t="shared" si="103"/>
        <v/>
      </c>
      <c r="AJ870" t="str">
        <f t="shared" si="104"/>
        <v/>
      </c>
      <c r="AK870" t="str">
        <f>IF(COUNTA(T870:AH870)=0,"",(SUM(T870*KPI_Weights!$B$4,U870*KPI_Weights!$B$5,V870*KPI_Weights!$B$6,W870*KPI_Weights!$B$7,X870*KPI_Weights!$B$8,Y870*KPI_Weights!$B$9,Z870*KPI_Weights!$B$10,AA870*KPI_Weights!$B$11,AB870*KPI_Weights!$B$12,AC870*KPI_Weights!$B$13,AD870*KPI_Weights!$B$14,AE870*KPI_Weights!$B$15,AF870*KPI_Weights!$B$16,AG870*KPI_Weights!$B$17,AH870*KPI_Weights!$B$18))/5)</f>
        <v/>
      </c>
      <c r="AL870" t="str">
        <f t="shared" si="105"/>
        <v/>
      </c>
      <c r="AM870" t="str">
        <f t="shared" si="106"/>
        <v/>
      </c>
      <c r="AN870" t="str">
        <f t="shared" si="107"/>
        <v/>
      </c>
    </row>
    <row r="871" spans="1:40" ht="15" customHeight="1" x14ac:dyDescent="0.2">
      <c r="A871" t="str">
        <f>IF($B871="","",TEXT($B871,"yyyymmdd")&amp;"-"&amp;SUBSTITUTE($F871," ","")&amp;"-"&amp;TEXT(COUNTIF($F$4:F871,$F871),"00"))</f>
        <v/>
      </c>
      <c r="C871" t="str">
        <f t="shared" si="101"/>
        <v/>
      </c>
      <c r="D871" t="str">
        <f t="shared" si="102"/>
        <v/>
      </c>
      <c r="G871" t="str">
        <f>IF(OR($E871="",$F871=""),"",IFERROR(IF($E871=INDEX(Cluster_Master!$A$4:$A$18,MATCH($F871,Cluster_Master!$B$4:$B$18,0)),"OK","CHECK"),"CHECK"))</f>
        <v/>
      </c>
      <c r="H871" t="str">
        <f>IFERROR(INDEX(Cluster_Master!$C$4:$C$18,MATCH($F871,Cluster_Master!$B$4:$B$18,0)),"")</f>
        <v/>
      </c>
      <c r="I871" t="str">
        <f>IFERROR(INDEX(Cluster_Master!$D$4:$D$18,MATCH($F871,Cluster_Master!$B$4:$B$18,0)),"")</f>
        <v/>
      </c>
      <c r="J871" t="str">
        <f>IFERROR(INDEX(Cluster_Master!$E$4:$E$18,MATCH($F871,Cluster_Master!$B$4:$B$18,0)),"")</f>
        <v/>
      </c>
      <c r="K871" t="str">
        <f>IFERROR(INDEX(Cluster_Master!$F$4:$F$18,MATCH($F871,Cluster_Master!$B$4:$B$18,0)),"")</f>
        <v/>
      </c>
      <c r="L871" t="str">
        <f>IFERROR(INDEX(Cluster_Master!$G$4:$G$18,MATCH($F871,Cluster_Master!$B$4:$B$18,0)),"")</f>
        <v/>
      </c>
      <c r="M871" t="str">
        <f>IFERROR(INDEX(Cluster_Master!$H$4:$H$18,MATCH($F871,Cluster_Master!$B$4:$B$18,0)),"")</f>
        <v/>
      </c>
      <c r="AI871" t="str">
        <f t="shared" si="103"/>
        <v/>
      </c>
      <c r="AJ871" t="str">
        <f t="shared" si="104"/>
        <v/>
      </c>
      <c r="AK871" t="str">
        <f>IF(COUNTA(T871:AH871)=0,"",(SUM(T871*KPI_Weights!$B$4,U871*KPI_Weights!$B$5,V871*KPI_Weights!$B$6,W871*KPI_Weights!$B$7,X871*KPI_Weights!$B$8,Y871*KPI_Weights!$B$9,Z871*KPI_Weights!$B$10,AA871*KPI_Weights!$B$11,AB871*KPI_Weights!$B$12,AC871*KPI_Weights!$B$13,AD871*KPI_Weights!$B$14,AE871*KPI_Weights!$B$15,AF871*KPI_Weights!$B$16,AG871*KPI_Weights!$B$17,AH871*KPI_Weights!$B$18))/5)</f>
        <v/>
      </c>
      <c r="AL871" t="str">
        <f t="shared" si="105"/>
        <v/>
      </c>
      <c r="AM871" t="str">
        <f t="shared" si="106"/>
        <v/>
      </c>
      <c r="AN871" t="str">
        <f t="shared" si="107"/>
        <v/>
      </c>
    </row>
    <row r="872" spans="1:40" ht="15" customHeight="1" x14ac:dyDescent="0.2">
      <c r="A872" t="str">
        <f>IF($B872="","",TEXT($B872,"yyyymmdd")&amp;"-"&amp;SUBSTITUTE($F872," ","")&amp;"-"&amp;TEXT(COUNTIF($F$4:F872,$F872),"00"))</f>
        <v/>
      </c>
      <c r="C872" t="str">
        <f t="shared" si="101"/>
        <v/>
      </c>
      <c r="D872" t="str">
        <f t="shared" si="102"/>
        <v/>
      </c>
      <c r="G872" t="str">
        <f>IF(OR($E872="",$F872=""),"",IFERROR(IF($E872=INDEX(Cluster_Master!$A$4:$A$18,MATCH($F872,Cluster_Master!$B$4:$B$18,0)),"OK","CHECK"),"CHECK"))</f>
        <v/>
      </c>
      <c r="H872" t="str">
        <f>IFERROR(INDEX(Cluster_Master!$C$4:$C$18,MATCH($F872,Cluster_Master!$B$4:$B$18,0)),"")</f>
        <v/>
      </c>
      <c r="I872" t="str">
        <f>IFERROR(INDEX(Cluster_Master!$D$4:$D$18,MATCH($F872,Cluster_Master!$B$4:$B$18,0)),"")</f>
        <v/>
      </c>
      <c r="J872" t="str">
        <f>IFERROR(INDEX(Cluster_Master!$E$4:$E$18,MATCH($F872,Cluster_Master!$B$4:$B$18,0)),"")</f>
        <v/>
      </c>
      <c r="K872" t="str">
        <f>IFERROR(INDEX(Cluster_Master!$F$4:$F$18,MATCH($F872,Cluster_Master!$B$4:$B$18,0)),"")</f>
        <v/>
      </c>
      <c r="L872" t="str">
        <f>IFERROR(INDEX(Cluster_Master!$G$4:$G$18,MATCH($F872,Cluster_Master!$B$4:$B$18,0)),"")</f>
        <v/>
      </c>
      <c r="M872" t="str">
        <f>IFERROR(INDEX(Cluster_Master!$H$4:$H$18,MATCH($F872,Cluster_Master!$B$4:$B$18,0)),"")</f>
        <v/>
      </c>
      <c r="AI872" t="str">
        <f t="shared" si="103"/>
        <v/>
      </c>
      <c r="AJ872" t="str">
        <f t="shared" si="104"/>
        <v/>
      </c>
      <c r="AK872" t="str">
        <f>IF(COUNTA(T872:AH872)=0,"",(SUM(T872*KPI_Weights!$B$4,U872*KPI_Weights!$B$5,V872*KPI_Weights!$B$6,W872*KPI_Weights!$B$7,X872*KPI_Weights!$B$8,Y872*KPI_Weights!$B$9,Z872*KPI_Weights!$B$10,AA872*KPI_Weights!$B$11,AB872*KPI_Weights!$B$12,AC872*KPI_Weights!$B$13,AD872*KPI_Weights!$B$14,AE872*KPI_Weights!$B$15,AF872*KPI_Weights!$B$16,AG872*KPI_Weights!$B$17,AH872*KPI_Weights!$B$18))/5)</f>
        <v/>
      </c>
      <c r="AL872" t="str">
        <f t="shared" si="105"/>
        <v/>
      </c>
      <c r="AM872" t="str">
        <f t="shared" si="106"/>
        <v/>
      </c>
      <c r="AN872" t="str">
        <f t="shared" si="107"/>
        <v/>
      </c>
    </row>
    <row r="873" spans="1:40" ht="15" customHeight="1" x14ac:dyDescent="0.2">
      <c r="A873" t="str">
        <f>IF($B873="","",TEXT($B873,"yyyymmdd")&amp;"-"&amp;SUBSTITUTE($F873," ","")&amp;"-"&amp;TEXT(COUNTIF($F$4:F873,$F873),"00"))</f>
        <v/>
      </c>
      <c r="C873" t="str">
        <f t="shared" si="101"/>
        <v/>
      </c>
      <c r="D873" t="str">
        <f t="shared" si="102"/>
        <v/>
      </c>
      <c r="G873" t="str">
        <f>IF(OR($E873="",$F873=""),"",IFERROR(IF($E873=INDEX(Cluster_Master!$A$4:$A$18,MATCH($F873,Cluster_Master!$B$4:$B$18,0)),"OK","CHECK"),"CHECK"))</f>
        <v/>
      </c>
      <c r="H873" t="str">
        <f>IFERROR(INDEX(Cluster_Master!$C$4:$C$18,MATCH($F873,Cluster_Master!$B$4:$B$18,0)),"")</f>
        <v/>
      </c>
      <c r="I873" t="str">
        <f>IFERROR(INDEX(Cluster_Master!$D$4:$D$18,MATCH($F873,Cluster_Master!$B$4:$B$18,0)),"")</f>
        <v/>
      </c>
      <c r="J873" t="str">
        <f>IFERROR(INDEX(Cluster_Master!$E$4:$E$18,MATCH($F873,Cluster_Master!$B$4:$B$18,0)),"")</f>
        <v/>
      </c>
      <c r="K873" t="str">
        <f>IFERROR(INDEX(Cluster_Master!$F$4:$F$18,MATCH($F873,Cluster_Master!$B$4:$B$18,0)),"")</f>
        <v/>
      </c>
      <c r="L873" t="str">
        <f>IFERROR(INDEX(Cluster_Master!$G$4:$G$18,MATCH($F873,Cluster_Master!$B$4:$B$18,0)),"")</f>
        <v/>
      </c>
      <c r="M873" t="str">
        <f>IFERROR(INDEX(Cluster_Master!$H$4:$H$18,MATCH($F873,Cluster_Master!$B$4:$B$18,0)),"")</f>
        <v/>
      </c>
      <c r="AI873" t="str">
        <f t="shared" si="103"/>
        <v/>
      </c>
      <c r="AJ873" t="str">
        <f t="shared" si="104"/>
        <v/>
      </c>
      <c r="AK873" t="str">
        <f>IF(COUNTA(T873:AH873)=0,"",(SUM(T873*KPI_Weights!$B$4,U873*KPI_Weights!$B$5,V873*KPI_Weights!$B$6,W873*KPI_Weights!$B$7,X873*KPI_Weights!$B$8,Y873*KPI_Weights!$B$9,Z873*KPI_Weights!$B$10,AA873*KPI_Weights!$B$11,AB873*KPI_Weights!$B$12,AC873*KPI_Weights!$B$13,AD873*KPI_Weights!$B$14,AE873*KPI_Weights!$B$15,AF873*KPI_Weights!$B$16,AG873*KPI_Weights!$B$17,AH873*KPI_Weights!$B$18))/5)</f>
        <v/>
      </c>
      <c r="AL873" t="str">
        <f t="shared" si="105"/>
        <v/>
      </c>
      <c r="AM873" t="str">
        <f t="shared" si="106"/>
        <v/>
      </c>
      <c r="AN873" t="str">
        <f t="shared" si="107"/>
        <v/>
      </c>
    </row>
    <row r="874" spans="1:40" ht="15" customHeight="1" x14ac:dyDescent="0.2">
      <c r="A874" t="str">
        <f>IF($B874="","",TEXT($B874,"yyyymmdd")&amp;"-"&amp;SUBSTITUTE($F874," ","")&amp;"-"&amp;TEXT(COUNTIF($F$4:F874,$F874),"00"))</f>
        <v/>
      </c>
      <c r="C874" t="str">
        <f t="shared" si="101"/>
        <v/>
      </c>
      <c r="D874" t="str">
        <f t="shared" si="102"/>
        <v/>
      </c>
      <c r="G874" t="str">
        <f>IF(OR($E874="",$F874=""),"",IFERROR(IF($E874=INDEX(Cluster_Master!$A$4:$A$18,MATCH($F874,Cluster_Master!$B$4:$B$18,0)),"OK","CHECK"),"CHECK"))</f>
        <v/>
      </c>
      <c r="H874" t="str">
        <f>IFERROR(INDEX(Cluster_Master!$C$4:$C$18,MATCH($F874,Cluster_Master!$B$4:$B$18,0)),"")</f>
        <v/>
      </c>
      <c r="I874" t="str">
        <f>IFERROR(INDEX(Cluster_Master!$D$4:$D$18,MATCH($F874,Cluster_Master!$B$4:$B$18,0)),"")</f>
        <v/>
      </c>
      <c r="J874" t="str">
        <f>IFERROR(INDEX(Cluster_Master!$E$4:$E$18,MATCH($F874,Cluster_Master!$B$4:$B$18,0)),"")</f>
        <v/>
      </c>
      <c r="K874" t="str">
        <f>IFERROR(INDEX(Cluster_Master!$F$4:$F$18,MATCH($F874,Cluster_Master!$B$4:$B$18,0)),"")</f>
        <v/>
      </c>
      <c r="L874" t="str">
        <f>IFERROR(INDEX(Cluster_Master!$G$4:$G$18,MATCH($F874,Cluster_Master!$B$4:$B$18,0)),"")</f>
        <v/>
      </c>
      <c r="M874" t="str">
        <f>IFERROR(INDEX(Cluster_Master!$H$4:$H$18,MATCH($F874,Cluster_Master!$B$4:$B$18,0)),"")</f>
        <v/>
      </c>
      <c r="AI874" t="str">
        <f t="shared" si="103"/>
        <v/>
      </c>
      <c r="AJ874" t="str">
        <f t="shared" si="104"/>
        <v/>
      </c>
      <c r="AK874" t="str">
        <f>IF(COUNTA(T874:AH874)=0,"",(SUM(T874*KPI_Weights!$B$4,U874*KPI_Weights!$B$5,V874*KPI_Weights!$B$6,W874*KPI_Weights!$B$7,X874*KPI_Weights!$B$8,Y874*KPI_Weights!$B$9,Z874*KPI_Weights!$B$10,AA874*KPI_Weights!$B$11,AB874*KPI_Weights!$B$12,AC874*KPI_Weights!$B$13,AD874*KPI_Weights!$B$14,AE874*KPI_Weights!$B$15,AF874*KPI_Weights!$B$16,AG874*KPI_Weights!$B$17,AH874*KPI_Weights!$B$18))/5)</f>
        <v/>
      </c>
      <c r="AL874" t="str">
        <f t="shared" si="105"/>
        <v/>
      </c>
      <c r="AM874" t="str">
        <f t="shared" si="106"/>
        <v/>
      </c>
      <c r="AN874" t="str">
        <f t="shared" si="107"/>
        <v/>
      </c>
    </row>
    <row r="875" spans="1:40" ht="15" customHeight="1" x14ac:dyDescent="0.2">
      <c r="A875" t="str">
        <f>IF($B875="","",TEXT($B875,"yyyymmdd")&amp;"-"&amp;SUBSTITUTE($F875," ","")&amp;"-"&amp;TEXT(COUNTIF($F$4:F875,$F875),"00"))</f>
        <v/>
      </c>
      <c r="C875" t="str">
        <f t="shared" si="101"/>
        <v/>
      </c>
      <c r="D875" t="str">
        <f t="shared" si="102"/>
        <v/>
      </c>
      <c r="G875" t="str">
        <f>IF(OR($E875="",$F875=""),"",IFERROR(IF($E875=INDEX(Cluster_Master!$A$4:$A$18,MATCH($F875,Cluster_Master!$B$4:$B$18,0)),"OK","CHECK"),"CHECK"))</f>
        <v/>
      </c>
      <c r="H875" t="str">
        <f>IFERROR(INDEX(Cluster_Master!$C$4:$C$18,MATCH($F875,Cluster_Master!$B$4:$B$18,0)),"")</f>
        <v/>
      </c>
      <c r="I875" t="str">
        <f>IFERROR(INDEX(Cluster_Master!$D$4:$D$18,MATCH($F875,Cluster_Master!$B$4:$B$18,0)),"")</f>
        <v/>
      </c>
      <c r="J875" t="str">
        <f>IFERROR(INDEX(Cluster_Master!$E$4:$E$18,MATCH($F875,Cluster_Master!$B$4:$B$18,0)),"")</f>
        <v/>
      </c>
      <c r="K875" t="str">
        <f>IFERROR(INDEX(Cluster_Master!$F$4:$F$18,MATCH($F875,Cluster_Master!$B$4:$B$18,0)),"")</f>
        <v/>
      </c>
      <c r="L875" t="str">
        <f>IFERROR(INDEX(Cluster_Master!$G$4:$G$18,MATCH($F875,Cluster_Master!$B$4:$B$18,0)),"")</f>
        <v/>
      </c>
      <c r="M875" t="str">
        <f>IFERROR(INDEX(Cluster_Master!$H$4:$H$18,MATCH($F875,Cluster_Master!$B$4:$B$18,0)),"")</f>
        <v/>
      </c>
      <c r="AI875" t="str">
        <f t="shared" si="103"/>
        <v/>
      </c>
      <c r="AJ875" t="str">
        <f t="shared" si="104"/>
        <v/>
      </c>
      <c r="AK875" t="str">
        <f>IF(COUNTA(T875:AH875)=0,"",(SUM(T875*KPI_Weights!$B$4,U875*KPI_Weights!$B$5,V875*KPI_Weights!$B$6,W875*KPI_Weights!$B$7,X875*KPI_Weights!$B$8,Y875*KPI_Weights!$B$9,Z875*KPI_Weights!$B$10,AA875*KPI_Weights!$B$11,AB875*KPI_Weights!$B$12,AC875*KPI_Weights!$B$13,AD875*KPI_Weights!$B$14,AE875*KPI_Weights!$B$15,AF875*KPI_Weights!$B$16,AG875*KPI_Weights!$B$17,AH875*KPI_Weights!$B$18))/5)</f>
        <v/>
      </c>
      <c r="AL875" t="str">
        <f t="shared" si="105"/>
        <v/>
      </c>
      <c r="AM875" t="str">
        <f t="shared" si="106"/>
        <v/>
      </c>
      <c r="AN875" t="str">
        <f t="shared" si="107"/>
        <v/>
      </c>
    </row>
    <row r="876" spans="1:40" ht="15" customHeight="1" x14ac:dyDescent="0.2">
      <c r="A876" t="str">
        <f>IF($B876="","",TEXT($B876,"yyyymmdd")&amp;"-"&amp;SUBSTITUTE($F876," ","")&amp;"-"&amp;TEXT(COUNTIF($F$4:F876,$F876),"00"))</f>
        <v/>
      </c>
      <c r="C876" t="str">
        <f t="shared" si="101"/>
        <v/>
      </c>
      <c r="D876" t="str">
        <f t="shared" si="102"/>
        <v/>
      </c>
      <c r="G876" t="str">
        <f>IF(OR($E876="",$F876=""),"",IFERROR(IF($E876=INDEX(Cluster_Master!$A$4:$A$18,MATCH($F876,Cluster_Master!$B$4:$B$18,0)),"OK","CHECK"),"CHECK"))</f>
        <v/>
      </c>
      <c r="H876" t="str">
        <f>IFERROR(INDEX(Cluster_Master!$C$4:$C$18,MATCH($F876,Cluster_Master!$B$4:$B$18,0)),"")</f>
        <v/>
      </c>
      <c r="I876" t="str">
        <f>IFERROR(INDEX(Cluster_Master!$D$4:$D$18,MATCH($F876,Cluster_Master!$B$4:$B$18,0)),"")</f>
        <v/>
      </c>
      <c r="J876" t="str">
        <f>IFERROR(INDEX(Cluster_Master!$E$4:$E$18,MATCH($F876,Cluster_Master!$B$4:$B$18,0)),"")</f>
        <v/>
      </c>
      <c r="K876" t="str">
        <f>IFERROR(INDEX(Cluster_Master!$F$4:$F$18,MATCH($F876,Cluster_Master!$B$4:$B$18,0)),"")</f>
        <v/>
      </c>
      <c r="L876" t="str">
        <f>IFERROR(INDEX(Cluster_Master!$G$4:$G$18,MATCH($F876,Cluster_Master!$B$4:$B$18,0)),"")</f>
        <v/>
      </c>
      <c r="M876" t="str">
        <f>IFERROR(INDEX(Cluster_Master!$H$4:$H$18,MATCH($F876,Cluster_Master!$B$4:$B$18,0)),"")</f>
        <v/>
      </c>
      <c r="AI876" t="str">
        <f t="shared" si="103"/>
        <v/>
      </c>
      <c r="AJ876" t="str">
        <f t="shared" si="104"/>
        <v/>
      </c>
      <c r="AK876" t="str">
        <f>IF(COUNTA(T876:AH876)=0,"",(SUM(T876*KPI_Weights!$B$4,U876*KPI_Weights!$B$5,V876*KPI_Weights!$B$6,W876*KPI_Weights!$B$7,X876*KPI_Weights!$B$8,Y876*KPI_Weights!$B$9,Z876*KPI_Weights!$B$10,AA876*KPI_Weights!$B$11,AB876*KPI_Weights!$B$12,AC876*KPI_Weights!$B$13,AD876*KPI_Weights!$B$14,AE876*KPI_Weights!$B$15,AF876*KPI_Weights!$B$16,AG876*KPI_Weights!$B$17,AH876*KPI_Weights!$B$18))/5)</f>
        <v/>
      </c>
      <c r="AL876" t="str">
        <f t="shared" si="105"/>
        <v/>
      </c>
      <c r="AM876" t="str">
        <f t="shared" si="106"/>
        <v/>
      </c>
      <c r="AN876" t="str">
        <f t="shared" si="107"/>
        <v/>
      </c>
    </row>
    <row r="877" spans="1:40" ht="15" customHeight="1" x14ac:dyDescent="0.2">
      <c r="A877" t="str">
        <f>IF($B877="","",TEXT($B877,"yyyymmdd")&amp;"-"&amp;SUBSTITUTE($F877," ","")&amp;"-"&amp;TEXT(COUNTIF($F$4:F877,$F877),"00"))</f>
        <v/>
      </c>
      <c r="C877" t="str">
        <f t="shared" si="101"/>
        <v/>
      </c>
      <c r="D877" t="str">
        <f t="shared" si="102"/>
        <v/>
      </c>
      <c r="G877" t="str">
        <f>IF(OR($E877="",$F877=""),"",IFERROR(IF($E877=INDEX(Cluster_Master!$A$4:$A$18,MATCH($F877,Cluster_Master!$B$4:$B$18,0)),"OK","CHECK"),"CHECK"))</f>
        <v/>
      </c>
      <c r="H877" t="str">
        <f>IFERROR(INDEX(Cluster_Master!$C$4:$C$18,MATCH($F877,Cluster_Master!$B$4:$B$18,0)),"")</f>
        <v/>
      </c>
      <c r="I877" t="str">
        <f>IFERROR(INDEX(Cluster_Master!$D$4:$D$18,MATCH($F877,Cluster_Master!$B$4:$B$18,0)),"")</f>
        <v/>
      </c>
      <c r="J877" t="str">
        <f>IFERROR(INDEX(Cluster_Master!$E$4:$E$18,MATCH($F877,Cluster_Master!$B$4:$B$18,0)),"")</f>
        <v/>
      </c>
      <c r="K877" t="str">
        <f>IFERROR(INDEX(Cluster_Master!$F$4:$F$18,MATCH($F877,Cluster_Master!$B$4:$B$18,0)),"")</f>
        <v/>
      </c>
      <c r="L877" t="str">
        <f>IFERROR(INDEX(Cluster_Master!$G$4:$G$18,MATCH($F877,Cluster_Master!$B$4:$B$18,0)),"")</f>
        <v/>
      </c>
      <c r="M877" t="str">
        <f>IFERROR(INDEX(Cluster_Master!$H$4:$H$18,MATCH($F877,Cluster_Master!$B$4:$B$18,0)),"")</f>
        <v/>
      </c>
      <c r="AI877" t="str">
        <f t="shared" si="103"/>
        <v/>
      </c>
      <c r="AJ877" t="str">
        <f t="shared" si="104"/>
        <v/>
      </c>
      <c r="AK877" t="str">
        <f>IF(COUNTA(T877:AH877)=0,"",(SUM(T877*KPI_Weights!$B$4,U877*KPI_Weights!$B$5,V877*KPI_Weights!$B$6,W877*KPI_Weights!$B$7,X877*KPI_Weights!$B$8,Y877*KPI_Weights!$B$9,Z877*KPI_Weights!$B$10,AA877*KPI_Weights!$B$11,AB877*KPI_Weights!$B$12,AC877*KPI_Weights!$B$13,AD877*KPI_Weights!$B$14,AE877*KPI_Weights!$B$15,AF877*KPI_Weights!$B$16,AG877*KPI_Weights!$B$17,AH877*KPI_Weights!$B$18))/5)</f>
        <v/>
      </c>
      <c r="AL877" t="str">
        <f t="shared" si="105"/>
        <v/>
      </c>
      <c r="AM877" t="str">
        <f t="shared" si="106"/>
        <v/>
      </c>
      <c r="AN877" t="str">
        <f t="shared" si="107"/>
        <v/>
      </c>
    </row>
    <row r="878" spans="1:40" ht="15" customHeight="1" x14ac:dyDescent="0.2">
      <c r="A878" t="str">
        <f>IF($B878="","",TEXT($B878,"yyyymmdd")&amp;"-"&amp;SUBSTITUTE($F878," ","")&amp;"-"&amp;TEXT(COUNTIF($F$4:F878,$F878),"00"))</f>
        <v/>
      </c>
      <c r="C878" t="str">
        <f t="shared" si="101"/>
        <v/>
      </c>
      <c r="D878" t="str">
        <f t="shared" si="102"/>
        <v/>
      </c>
      <c r="G878" t="str">
        <f>IF(OR($E878="",$F878=""),"",IFERROR(IF($E878=INDEX(Cluster_Master!$A$4:$A$18,MATCH($F878,Cluster_Master!$B$4:$B$18,0)),"OK","CHECK"),"CHECK"))</f>
        <v/>
      </c>
      <c r="H878" t="str">
        <f>IFERROR(INDEX(Cluster_Master!$C$4:$C$18,MATCH($F878,Cluster_Master!$B$4:$B$18,0)),"")</f>
        <v/>
      </c>
      <c r="I878" t="str">
        <f>IFERROR(INDEX(Cluster_Master!$D$4:$D$18,MATCH($F878,Cluster_Master!$B$4:$B$18,0)),"")</f>
        <v/>
      </c>
      <c r="J878" t="str">
        <f>IFERROR(INDEX(Cluster_Master!$E$4:$E$18,MATCH($F878,Cluster_Master!$B$4:$B$18,0)),"")</f>
        <v/>
      </c>
      <c r="K878" t="str">
        <f>IFERROR(INDEX(Cluster_Master!$F$4:$F$18,MATCH($F878,Cluster_Master!$B$4:$B$18,0)),"")</f>
        <v/>
      </c>
      <c r="L878" t="str">
        <f>IFERROR(INDEX(Cluster_Master!$G$4:$G$18,MATCH($F878,Cluster_Master!$B$4:$B$18,0)),"")</f>
        <v/>
      </c>
      <c r="M878" t="str">
        <f>IFERROR(INDEX(Cluster_Master!$H$4:$H$18,MATCH($F878,Cluster_Master!$B$4:$B$18,0)),"")</f>
        <v/>
      </c>
      <c r="AI878" t="str">
        <f t="shared" si="103"/>
        <v/>
      </c>
      <c r="AJ878" t="str">
        <f t="shared" si="104"/>
        <v/>
      </c>
      <c r="AK878" t="str">
        <f>IF(COUNTA(T878:AH878)=0,"",(SUM(T878*KPI_Weights!$B$4,U878*KPI_Weights!$B$5,V878*KPI_Weights!$B$6,W878*KPI_Weights!$B$7,X878*KPI_Weights!$B$8,Y878*KPI_Weights!$B$9,Z878*KPI_Weights!$B$10,AA878*KPI_Weights!$B$11,AB878*KPI_Weights!$B$12,AC878*KPI_Weights!$B$13,AD878*KPI_Weights!$B$14,AE878*KPI_Weights!$B$15,AF878*KPI_Weights!$B$16,AG878*KPI_Weights!$B$17,AH878*KPI_Weights!$B$18))/5)</f>
        <v/>
      </c>
      <c r="AL878" t="str">
        <f t="shared" si="105"/>
        <v/>
      </c>
      <c r="AM878" t="str">
        <f t="shared" si="106"/>
        <v/>
      </c>
      <c r="AN878" t="str">
        <f t="shared" si="107"/>
        <v/>
      </c>
    </row>
    <row r="879" spans="1:40" ht="15" customHeight="1" x14ac:dyDescent="0.2">
      <c r="A879" t="str">
        <f>IF($B879="","",TEXT($B879,"yyyymmdd")&amp;"-"&amp;SUBSTITUTE($F879," ","")&amp;"-"&amp;TEXT(COUNTIF($F$4:F879,$F879),"00"))</f>
        <v/>
      </c>
      <c r="C879" t="str">
        <f t="shared" si="101"/>
        <v/>
      </c>
      <c r="D879" t="str">
        <f t="shared" si="102"/>
        <v/>
      </c>
      <c r="G879" t="str">
        <f>IF(OR($E879="",$F879=""),"",IFERROR(IF($E879=INDEX(Cluster_Master!$A$4:$A$18,MATCH($F879,Cluster_Master!$B$4:$B$18,0)),"OK","CHECK"),"CHECK"))</f>
        <v/>
      </c>
      <c r="H879" t="str">
        <f>IFERROR(INDEX(Cluster_Master!$C$4:$C$18,MATCH($F879,Cluster_Master!$B$4:$B$18,0)),"")</f>
        <v/>
      </c>
      <c r="I879" t="str">
        <f>IFERROR(INDEX(Cluster_Master!$D$4:$D$18,MATCH($F879,Cluster_Master!$B$4:$B$18,0)),"")</f>
        <v/>
      </c>
      <c r="J879" t="str">
        <f>IFERROR(INDEX(Cluster_Master!$E$4:$E$18,MATCH($F879,Cluster_Master!$B$4:$B$18,0)),"")</f>
        <v/>
      </c>
      <c r="K879" t="str">
        <f>IFERROR(INDEX(Cluster_Master!$F$4:$F$18,MATCH($F879,Cluster_Master!$B$4:$B$18,0)),"")</f>
        <v/>
      </c>
      <c r="L879" t="str">
        <f>IFERROR(INDEX(Cluster_Master!$G$4:$G$18,MATCH($F879,Cluster_Master!$B$4:$B$18,0)),"")</f>
        <v/>
      </c>
      <c r="M879" t="str">
        <f>IFERROR(INDEX(Cluster_Master!$H$4:$H$18,MATCH($F879,Cluster_Master!$B$4:$B$18,0)),"")</f>
        <v/>
      </c>
      <c r="AI879" t="str">
        <f t="shared" si="103"/>
        <v/>
      </c>
      <c r="AJ879" t="str">
        <f t="shared" si="104"/>
        <v/>
      </c>
      <c r="AK879" t="str">
        <f>IF(COUNTA(T879:AH879)=0,"",(SUM(T879*KPI_Weights!$B$4,U879*KPI_Weights!$B$5,V879*KPI_Weights!$B$6,W879*KPI_Weights!$B$7,X879*KPI_Weights!$B$8,Y879*KPI_Weights!$B$9,Z879*KPI_Weights!$B$10,AA879*KPI_Weights!$B$11,AB879*KPI_Weights!$B$12,AC879*KPI_Weights!$B$13,AD879*KPI_Weights!$B$14,AE879*KPI_Weights!$B$15,AF879*KPI_Weights!$B$16,AG879*KPI_Weights!$B$17,AH879*KPI_Weights!$B$18))/5)</f>
        <v/>
      </c>
      <c r="AL879" t="str">
        <f t="shared" si="105"/>
        <v/>
      </c>
      <c r="AM879" t="str">
        <f t="shared" si="106"/>
        <v/>
      </c>
      <c r="AN879" t="str">
        <f t="shared" si="107"/>
        <v/>
      </c>
    </row>
    <row r="880" spans="1:40" ht="15" customHeight="1" x14ac:dyDescent="0.2">
      <c r="A880" t="str">
        <f>IF($B880="","",TEXT($B880,"yyyymmdd")&amp;"-"&amp;SUBSTITUTE($F880," ","")&amp;"-"&amp;TEXT(COUNTIF($F$4:F880,$F880),"00"))</f>
        <v/>
      </c>
      <c r="C880" t="str">
        <f t="shared" si="101"/>
        <v/>
      </c>
      <c r="D880" t="str">
        <f t="shared" si="102"/>
        <v/>
      </c>
      <c r="G880" t="str">
        <f>IF(OR($E880="",$F880=""),"",IFERROR(IF($E880=INDEX(Cluster_Master!$A$4:$A$18,MATCH($F880,Cluster_Master!$B$4:$B$18,0)),"OK","CHECK"),"CHECK"))</f>
        <v/>
      </c>
      <c r="H880" t="str">
        <f>IFERROR(INDEX(Cluster_Master!$C$4:$C$18,MATCH($F880,Cluster_Master!$B$4:$B$18,0)),"")</f>
        <v/>
      </c>
      <c r="I880" t="str">
        <f>IFERROR(INDEX(Cluster_Master!$D$4:$D$18,MATCH($F880,Cluster_Master!$B$4:$B$18,0)),"")</f>
        <v/>
      </c>
      <c r="J880" t="str">
        <f>IFERROR(INDEX(Cluster_Master!$E$4:$E$18,MATCH($F880,Cluster_Master!$B$4:$B$18,0)),"")</f>
        <v/>
      </c>
      <c r="K880" t="str">
        <f>IFERROR(INDEX(Cluster_Master!$F$4:$F$18,MATCH($F880,Cluster_Master!$B$4:$B$18,0)),"")</f>
        <v/>
      </c>
      <c r="L880" t="str">
        <f>IFERROR(INDEX(Cluster_Master!$G$4:$G$18,MATCH($F880,Cluster_Master!$B$4:$B$18,0)),"")</f>
        <v/>
      </c>
      <c r="M880" t="str">
        <f>IFERROR(INDEX(Cluster_Master!$H$4:$H$18,MATCH($F880,Cluster_Master!$B$4:$B$18,0)),"")</f>
        <v/>
      </c>
      <c r="AI880" t="str">
        <f t="shared" si="103"/>
        <v/>
      </c>
      <c r="AJ880" t="str">
        <f t="shared" si="104"/>
        <v/>
      </c>
      <c r="AK880" t="str">
        <f>IF(COUNTA(T880:AH880)=0,"",(SUM(T880*KPI_Weights!$B$4,U880*KPI_Weights!$B$5,V880*KPI_Weights!$B$6,W880*KPI_Weights!$B$7,X880*KPI_Weights!$B$8,Y880*KPI_Weights!$B$9,Z880*KPI_Weights!$B$10,AA880*KPI_Weights!$B$11,AB880*KPI_Weights!$B$12,AC880*KPI_Weights!$B$13,AD880*KPI_Weights!$B$14,AE880*KPI_Weights!$B$15,AF880*KPI_Weights!$B$16,AG880*KPI_Weights!$B$17,AH880*KPI_Weights!$B$18))/5)</f>
        <v/>
      </c>
      <c r="AL880" t="str">
        <f t="shared" si="105"/>
        <v/>
      </c>
      <c r="AM880" t="str">
        <f t="shared" si="106"/>
        <v/>
      </c>
      <c r="AN880" t="str">
        <f t="shared" si="107"/>
        <v/>
      </c>
    </row>
    <row r="881" spans="1:40" ht="15" customHeight="1" x14ac:dyDescent="0.2">
      <c r="A881" t="str">
        <f>IF($B881="","",TEXT($B881,"yyyymmdd")&amp;"-"&amp;SUBSTITUTE($F881," ","")&amp;"-"&amp;TEXT(COUNTIF($F$4:F881,$F881),"00"))</f>
        <v/>
      </c>
      <c r="C881" t="str">
        <f t="shared" si="101"/>
        <v/>
      </c>
      <c r="D881" t="str">
        <f t="shared" si="102"/>
        <v/>
      </c>
      <c r="G881" t="str">
        <f>IF(OR($E881="",$F881=""),"",IFERROR(IF($E881=INDEX(Cluster_Master!$A$4:$A$18,MATCH($F881,Cluster_Master!$B$4:$B$18,0)),"OK","CHECK"),"CHECK"))</f>
        <v/>
      </c>
      <c r="H881" t="str">
        <f>IFERROR(INDEX(Cluster_Master!$C$4:$C$18,MATCH($F881,Cluster_Master!$B$4:$B$18,0)),"")</f>
        <v/>
      </c>
      <c r="I881" t="str">
        <f>IFERROR(INDEX(Cluster_Master!$D$4:$D$18,MATCH($F881,Cluster_Master!$B$4:$B$18,0)),"")</f>
        <v/>
      </c>
      <c r="J881" t="str">
        <f>IFERROR(INDEX(Cluster_Master!$E$4:$E$18,MATCH($F881,Cluster_Master!$B$4:$B$18,0)),"")</f>
        <v/>
      </c>
      <c r="K881" t="str">
        <f>IFERROR(INDEX(Cluster_Master!$F$4:$F$18,MATCH($F881,Cluster_Master!$B$4:$B$18,0)),"")</f>
        <v/>
      </c>
      <c r="L881" t="str">
        <f>IFERROR(INDEX(Cluster_Master!$G$4:$G$18,MATCH($F881,Cluster_Master!$B$4:$B$18,0)),"")</f>
        <v/>
      </c>
      <c r="M881" t="str">
        <f>IFERROR(INDEX(Cluster_Master!$H$4:$H$18,MATCH($F881,Cluster_Master!$B$4:$B$18,0)),"")</f>
        <v/>
      </c>
      <c r="AI881" t="str">
        <f t="shared" si="103"/>
        <v/>
      </c>
      <c r="AJ881" t="str">
        <f t="shared" si="104"/>
        <v/>
      </c>
      <c r="AK881" t="str">
        <f>IF(COUNTA(T881:AH881)=0,"",(SUM(T881*KPI_Weights!$B$4,U881*KPI_Weights!$B$5,V881*KPI_Weights!$B$6,W881*KPI_Weights!$B$7,X881*KPI_Weights!$B$8,Y881*KPI_Weights!$B$9,Z881*KPI_Weights!$B$10,AA881*KPI_Weights!$B$11,AB881*KPI_Weights!$B$12,AC881*KPI_Weights!$B$13,AD881*KPI_Weights!$B$14,AE881*KPI_Weights!$B$15,AF881*KPI_Weights!$B$16,AG881*KPI_Weights!$B$17,AH881*KPI_Weights!$B$18))/5)</f>
        <v/>
      </c>
      <c r="AL881" t="str">
        <f t="shared" si="105"/>
        <v/>
      </c>
      <c r="AM881" t="str">
        <f t="shared" si="106"/>
        <v/>
      </c>
      <c r="AN881" t="str">
        <f t="shared" si="107"/>
        <v/>
      </c>
    </row>
    <row r="882" spans="1:40" ht="15" customHeight="1" x14ac:dyDescent="0.2">
      <c r="A882" t="str">
        <f>IF($B882="","",TEXT($B882,"yyyymmdd")&amp;"-"&amp;SUBSTITUTE($F882," ","")&amp;"-"&amp;TEXT(COUNTIF($F$4:F882,$F882),"00"))</f>
        <v/>
      </c>
      <c r="C882" t="str">
        <f t="shared" si="101"/>
        <v/>
      </c>
      <c r="D882" t="str">
        <f t="shared" si="102"/>
        <v/>
      </c>
      <c r="G882" t="str">
        <f>IF(OR($E882="",$F882=""),"",IFERROR(IF($E882=INDEX(Cluster_Master!$A$4:$A$18,MATCH($F882,Cluster_Master!$B$4:$B$18,0)),"OK","CHECK"),"CHECK"))</f>
        <v/>
      </c>
      <c r="H882" t="str">
        <f>IFERROR(INDEX(Cluster_Master!$C$4:$C$18,MATCH($F882,Cluster_Master!$B$4:$B$18,0)),"")</f>
        <v/>
      </c>
      <c r="I882" t="str">
        <f>IFERROR(INDEX(Cluster_Master!$D$4:$D$18,MATCH($F882,Cluster_Master!$B$4:$B$18,0)),"")</f>
        <v/>
      </c>
      <c r="J882" t="str">
        <f>IFERROR(INDEX(Cluster_Master!$E$4:$E$18,MATCH($F882,Cluster_Master!$B$4:$B$18,0)),"")</f>
        <v/>
      </c>
      <c r="K882" t="str">
        <f>IFERROR(INDEX(Cluster_Master!$F$4:$F$18,MATCH($F882,Cluster_Master!$B$4:$B$18,0)),"")</f>
        <v/>
      </c>
      <c r="L882" t="str">
        <f>IFERROR(INDEX(Cluster_Master!$G$4:$G$18,MATCH($F882,Cluster_Master!$B$4:$B$18,0)),"")</f>
        <v/>
      </c>
      <c r="M882" t="str">
        <f>IFERROR(INDEX(Cluster_Master!$H$4:$H$18,MATCH($F882,Cluster_Master!$B$4:$B$18,0)),"")</f>
        <v/>
      </c>
      <c r="AI882" t="str">
        <f t="shared" si="103"/>
        <v/>
      </c>
      <c r="AJ882" t="str">
        <f t="shared" si="104"/>
        <v/>
      </c>
      <c r="AK882" t="str">
        <f>IF(COUNTA(T882:AH882)=0,"",(SUM(T882*KPI_Weights!$B$4,U882*KPI_Weights!$B$5,V882*KPI_Weights!$B$6,W882*KPI_Weights!$B$7,X882*KPI_Weights!$B$8,Y882*KPI_Weights!$B$9,Z882*KPI_Weights!$B$10,AA882*KPI_Weights!$B$11,AB882*KPI_Weights!$B$12,AC882*KPI_Weights!$B$13,AD882*KPI_Weights!$B$14,AE882*KPI_Weights!$B$15,AF882*KPI_Weights!$B$16,AG882*KPI_Weights!$B$17,AH882*KPI_Weights!$B$18))/5)</f>
        <v/>
      </c>
      <c r="AL882" t="str">
        <f t="shared" si="105"/>
        <v/>
      </c>
      <c r="AM882" t="str">
        <f t="shared" si="106"/>
        <v/>
      </c>
      <c r="AN882" t="str">
        <f t="shared" si="107"/>
        <v/>
      </c>
    </row>
    <row r="883" spans="1:40" ht="15" customHeight="1" x14ac:dyDescent="0.2">
      <c r="A883" t="str">
        <f>IF($B883="","",TEXT($B883,"yyyymmdd")&amp;"-"&amp;SUBSTITUTE($F883," ","")&amp;"-"&amp;TEXT(COUNTIF($F$4:F883,$F883),"00"))</f>
        <v/>
      </c>
      <c r="C883" t="str">
        <f t="shared" si="101"/>
        <v/>
      </c>
      <c r="D883" t="str">
        <f t="shared" si="102"/>
        <v/>
      </c>
      <c r="G883" t="str">
        <f>IF(OR($E883="",$F883=""),"",IFERROR(IF($E883=INDEX(Cluster_Master!$A$4:$A$18,MATCH($F883,Cluster_Master!$B$4:$B$18,0)),"OK","CHECK"),"CHECK"))</f>
        <v/>
      </c>
      <c r="H883" t="str">
        <f>IFERROR(INDEX(Cluster_Master!$C$4:$C$18,MATCH($F883,Cluster_Master!$B$4:$B$18,0)),"")</f>
        <v/>
      </c>
      <c r="I883" t="str">
        <f>IFERROR(INDEX(Cluster_Master!$D$4:$D$18,MATCH($F883,Cluster_Master!$B$4:$B$18,0)),"")</f>
        <v/>
      </c>
      <c r="J883" t="str">
        <f>IFERROR(INDEX(Cluster_Master!$E$4:$E$18,MATCH($F883,Cluster_Master!$B$4:$B$18,0)),"")</f>
        <v/>
      </c>
      <c r="K883" t="str">
        <f>IFERROR(INDEX(Cluster_Master!$F$4:$F$18,MATCH($F883,Cluster_Master!$B$4:$B$18,0)),"")</f>
        <v/>
      </c>
      <c r="L883" t="str">
        <f>IFERROR(INDEX(Cluster_Master!$G$4:$G$18,MATCH($F883,Cluster_Master!$B$4:$B$18,0)),"")</f>
        <v/>
      </c>
      <c r="M883" t="str">
        <f>IFERROR(INDEX(Cluster_Master!$H$4:$H$18,MATCH($F883,Cluster_Master!$B$4:$B$18,0)),"")</f>
        <v/>
      </c>
      <c r="AI883" t="str">
        <f t="shared" si="103"/>
        <v/>
      </c>
      <c r="AJ883" t="str">
        <f t="shared" si="104"/>
        <v/>
      </c>
      <c r="AK883" t="str">
        <f>IF(COUNTA(T883:AH883)=0,"",(SUM(T883*KPI_Weights!$B$4,U883*KPI_Weights!$B$5,V883*KPI_Weights!$B$6,W883*KPI_Weights!$B$7,X883*KPI_Weights!$B$8,Y883*KPI_Weights!$B$9,Z883*KPI_Weights!$B$10,AA883*KPI_Weights!$B$11,AB883*KPI_Weights!$B$12,AC883*KPI_Weights!$B$13,AD883*KPI_Weights!$B$14,AE883*KPI_Weights!$B$15,AF883*KPI_Weights!$B$16,AG883*KPI_Weights!$B$17,AH883*KPI_Weights!$B$18))/5)</f>
        <v/>
      </c>
      <c r="AL883" t="str">
        <f t="shared" si="105"/>
        <v/>
      </c>
      <c r="AM883" t="str">
        <f t="shared" si="106"/>
        <v/>
      </c>
      <c r="AN883" t="str">
        <f t="shared" si="107"/>
        <v/>
      </c>
    </row>
    <row r="884" spans="1:40" ht="15" customHeight="1" x14ac:dyDescent="0.2">
      <c r="A884" t="str">
        <f>IF($B884="","",TEXT($B884,"yyyymmdd")&amp;"-"&amp;SUBSTITUTE($F884," ","")&amp;"-"&amp;TEXT(COUNTIF($F$4:F884,$F884),"00"))</f>
        <v/>
      </c>
      <c r="C884" t="str">
        <f t="shared" si="101"/>
        <v/>
      </c>
      <c r="D884" t="str">
        <f t="shared" si="102"/>
        <v/>
      </c>
      <c r="G884" t="str">
        <f>IF(OR($E884="",$F884=""),"",IFERROR(IF($E884=INDEX(Cluster_Master!$A$4:$A$18,MATCH($F884,Cluster_Master!$B$4:$B$18,0)),"OK","CHECK"),"CHECK"))</f>
        <v/>
      </c>
      <c r="H884" t="str">
        <f>IFERROR(INDEX(Cluster_Master!$C$4:$C$18,MATCH($F884,Cluster_Master!$B$4:$B$18,0)),"")</f>
        <v/>
      </c>
      <c r="I884" t="str">
        <f>IFERROR(INDEX(Cluster_Master!$D$4:$D$18,MATCH($F884,Cluster_Master!$B$4:$B$18,0)),"")</f>
        <v/>
      </c>
      <c r="J884" t="str">
        <f>IFERROR(INDEX(Cluster_Master!$E$4:$E$18,MATCH($F884,Cluster_Master!$B$4:$B$18,0)),"")</f>
        <v/>
      </c>
      <c r="K884" t="str">
        <f>IFERROR(INDEX(Cluster_Master!$F$4:$F$18,MATCH($F884,Cluster_Master!$B$4:$B$18,0)),"")</f>
        <v/>
      </c>
      <c r="L884" t="str">
        <f>IFERROR(INDEX(Cluster_Master!$G$4:$G$18,MATCH($F884,Cluster_Master!$B$4:$B$18,0)),"")</f>
        <v/>
      </c>
      <c r="M884" t="str">
        <f>IFERROR(INDEX(Cluster_Master!$H$4:$H$18,MATCH($F884,Cluster_Master!$B$4:$B$18,0)),"")</f>
        <v/>
      </c>
      <c r="AI884" t="str">
        <f t="shared" si="103"/>
        <v/>
      </c>
      <c r="AJ884" t="str">
        <f t="shared" si="104"/>
        <v/>
      </c>
      <c r="AK884" t="str">
        <f>IF(COUNTA(T884:AH884)=0,"",(SUM(T884*KPI_Weights!$B$4,U884*KPI_Weights!$B$5,V884*KPI_Weights!$B$6,W884*KPI_Weights!$B$7,X884*KPI_Weights!$B$8,Y884*KPI_Weights!$B$9,Z884*KPI_Weights!$B$10,AA884*KPI_Weights!$B$11,AB884*KPI_Weights!$B$12,AC884*KPI_Weights!$B$13,AD884*KPI_Weights!$B$14,AE884*KPI_Weights!$B$15,AF884*KPI_Weights!$B$16,AG884*KPI_Weights!$B$17,AH884*KPI_Weights!$B$18))/5)</f>
        <v/>
      </c>
      <c r="AL884" t="str">
        <f t="shared" si="105"/>
        <v/>
      </c>
      <c r="AM884" t="str">
        <f t="shared" si="106"/>
        <v/>
      </c>
      <c r="AN884" t="str">
        <f t="shared" si="107"/>
        <v/>
      </c>
    </row>
    <row r="885" spans="1:40" ht="15" customHeight="1" x14ac:dyDescent="0.2">
      <c r="A885" t="str">
        <f>IF($B885="","",TEXT($B885,"yyyymmdd")&amp;"-"&amp;SUBSTITUTE($F885," ","")&amp;"-"&amp;TEXT(COUNTIF($F$4:F885,$F885),"00"))</f>
        <v/>
      </c>
      <c r="C885" t="str">
        <f t="shared" si="101"/>
        <v/>
      </c>
      <c r="D885" t="str">
        <f t="shared" si="102"/>
        <v/>
      </c>
      <c r="G885" t="str">
        <f>IF(OR($E885="",$F885=""),"",IFERROR(IF($E885=INDEX(Cluster_Master!$A$4:$A$18,MATCH($F885,Cluster_Master!$B$4:$B$18,0)),"OK","CHECK"),"CHECK"))</f>
        <v/>
      </c>
      <c r="H885" t="str">
        <f>IFERROR(INDEX(Cluster_Master!$C$4:$C$18,MATCH($F885,Cluster_Master!$B$4:$B$18,0)),"")</f>
        <v/>
      </c>
      <c r="I885" t="str">
        <f>IFERROR(INDEX(Cluster_Master!$D$4:$D$18,MATCH($F885,Cluster_Master!$B$4:$B$18,0)),"")</f>
        <v/>
      </c>
      <c r="J885" t="str">
        <f>IFERROR(INDEX(Cluster_Master!$E$4:$E$18,MATCH($F885,Cluster_Master!$B$4:$B$18,0)),"")</f>
        <v/>
      </c>
      <c r="K885" t="str">
        <f>IFERROR(INDEX(Cluster_Master!$F$4:$F$18,MATCH($F885,Cluster_Master!$B$4:$B$18,0)),"")</f>
        <v/>
      </c>
      <c r="L885" t="str">
        <f>IFERROR(INDEX(Cluster_Master!$G$4:$G$18,MATCH($F885,Cluster_Master!$B$4:$B$18,0)),"")</f>
        <v/>
      </c>
      <c r="M885" t="str">
        <f>IFERROR(INDEX(Cluster_Master!$H$4:$H$18,MATCH($F885,Cluster_Master!$B$4:$B$18,0)),"")</f>
        <v/>
      </c>
      <c r="AI885" t="str">
        <f t="shared" si="103"/>
        <v/>
      </c>
      <c r="AJ885" t="str">
        <f t="shared" si="104"/>
        <v/>
      </c>
      <c r="AK885" t="str">
        <f>IF(COUNTA(T885:AH885)=0,"",(SUM(T885*KPI_Weights!$B$4,U885*KPI_Weights!$B$5,V885*KPI_Weights!$B$6,W885*KPI_Weights!$B$7,X885*KPI_Weights!$B$8,Y885*KPI_Weights!$B$9,Z885*KPI_Weights!$B$10,AA885*KPI_Weights!$B$11,AB885*KPI_Weights!$B$12,AC885*KPI_Weights!$B$13,AD885*KPI_Weights!$B$14,AE885*KPI_Weights!$B$15,AF885*KPI_Weights!$B$16,AG885*KPI_Weights!$B$17,AH885*KPI_Weights!$B$18))/5)</f>
        <v/>
      </c>
      <c r="AL885" t="str">
        <f t="shared" si="105"/>
        <v/>
      </c>
      <c r="AM885" t="str">
        <f t="shared" si="106"/>
        <v/>
      </c>
      <c r="AN885" t="str">
        <f t="shared" si="107"/>
        <v/>
      </c>
    </row>
    <row r="886" spans="1:40" ht="15" customHeight="1" x14ac:dyDescent="0.2">
      <c r="A886" t="str">
        <f>IF($B886="","",TEXT($B886,"yyyymmdd")&amp;"-"&amp;SUBSTITUTE($F886," ","")&amp;"-"&amp;TEXT(COUNTIF($F$4:F886,$F886),"00"))</f>
        <v/>
      </c>
      <c r="C886" t="str">
        <f t="shared" si="101"/>
        <v/>
      </c>
      <c r="D886" t="str">
        <f t="shared" si="102"/>
        <v/>
      </c>
      <c r="G886" t="str">
        <f>IF(OR($E886="",$F886=""),"",IFERROR(IF($E886=INDEX(Cluster_Master!$A$4:$A$18,MATCH($F886,Cluster_Master!$B$4:$B$18,0)),"OK","CHECK"),"CHECK"))</f>
        <v/>
      </c>
      <c r="H886" t="str">
        <f>IFERROR(INDEX(Cluster_Master!$C$4:$C$18,MATCH($F886,Cluster_Master!$B$4:$B$18,0)),"")</f>
        <v/>
      </c>
      <c r="I886" t="str">
        <f>IFERROR(INDEX(Cluster_Master!$D$4:$D$18,MATCH($F886,Cluster_Master!$B$4:$B$18,0)),"")</f>
        <v/>
      </c>
      <c r="J886" t="str">
        <f>IFERROR(INDEX(Cluster_Master!$E$4:$E$18,MATCH($F886,Cluster_Master!$B$4:$B$18,0)),"")</f>
        <v/>
      </c>
      <c r="K886" t="str">
        <f>IFERROR(INDEX(Cluster_Master!$F$4:$F$18,MATCH($F886,Cluster_Master!$B$4:$B$18,0)),"")</f>
        <v/>
      </c>
      <c r="L886" t="str">
        <f>IFERROR(INDEX(Cluster_Master!$G$4:$G$18,MATCH($F886,Cluster_Master!$B$4:$B$18,0)),"")</f>
        <v/>
      </c>
      <c r="M886" t="str">
        <f>IFERROR(INDEX(Cluster_Master!$H$4:$H$18,MATCH($F886,Cluster_Master!$B$4:$B$18,0)),"")</f>
        <v/>
      </c>
      <c r="AI886" t="str">
        <f t="shared" si="103"/>
        <v/>
      </c>
      <c r="AJ886" t="str">
        <f t="shared" si="104"/>
        <v/>
      </c>
      <c r="AK886" t="str">
        <f>IF(COUNTA(T886:AH886)=0,"",(SUM(T886*KPI_Weights!$B$4,U886*KPI_Weights!$B$5,V886*KPI_Weights!$B$6,W886*KPI_Weights!$B$7,X886*KPI_Weights!$B$8,Y886*KPI_Weights!$B$9,Z886*KPI_Weights!$B$10,AA886*KPI_Weights!$B$11,AB886*KPI_Weights!$B$12,AC886*KPI_Weights!$B$13,AD886*KPI_Weights!$B$14,AE886*KPI_Weights!$B$15,AF886*KPI_Weights!$B$16,AG886*KPI_Weights!$B$17,AH886*KPI_Weights!$B$18))/5)</f>
        <v/>
      </c>
      <c r="AL886" t="str">
        <f t="shared" si="105"/>
        <v/>
      </c>
      <c r="AM886" t="str">
        <f t="shared" si="106"/>
        <v/>
      </c>
      <c r="AN886" t="str">
        <f t="shared" si="107"/>
        <v/>
      </c>
    </row>
    <row r="887" spans="1:40" ht="15" customHeight="1" x14ac:dyDescent="0.2">
      <c r="A887" t="str">
        <f>IF($B887="","",TEXT($B887,"yyyymmdd")&amp;"-"&amp;SUBSTITUTE($F887," ","")&amp;"-"&amp;TEXT(COUNTIF($F$4:F887,$F887),"00"))</f>
        <v/>
      </c>
      <c r="C887" t="str">
        <f t="shared" si="101"/>
        <v/>
      </c>
      <c r="D887" t="str">
        <f t="shared" si="102"/>
        <v/>
      </c>
      <c r="G887" t="str">
        <f>IF(OR($E887="",$F887=""),"",IFERROR(IF($E887=INDEX(Cluster_Master!$A$4:$A$18,MATCH($F887,Cluster_Master!$B$4:$B$18,0)),"OK","CHECK"),"CHECK"))</f>
        <v/>
      </c>
      <c r="H887" t="str">
        <f>IFERROR(INDEX(Cluster_Master!$C$4:$C$18,MATCH($F887,Cluster_Master!$B$4:$B$18,0)),"")</f>
        <v/>
      </c>
      <c r="I887" t="str">
        <f>IFERROR(INDEX(Cluster_Master!$D$4:$D$18,MATCH($F887,Cluster_Master!$B$4:$B$18,0)),"")</f>
        <v/>
      </c>
      <c r="J887" t="str">
        <f>IFERROR(INDEX(Cluster_Master!$E$4:$E$18,MATCH($F887,Cluster_Master!$B$4:$B$18,0)),"")</f>
        <v/>
      </c>
      <c r="K887" t="str">
        <f>IFERROR(INDEX(Cluster_Master!$F$4:$F$18,MATCH($F887,Cluster_Master!$B$4:$B$18,0)),"")</f>
        <v/>
      </c>
      <c r="L887" t="str">
        <f>IFERROR(INDEX(Cluster_Master!$G$4:$G$18,MATCH($F887,Cluster_Master!$B$4:$B$18,0)),"")</f>
        <v/>
      </c>
      <c r="M887" t="str">
        <f>IFERROR(INDEX(Cluster_Master!$H$4:$H$18,MATCH($F887,Cluster_Master!$B$4:$B$18,0)),"")</f>
        <v/>
      </c>
      <c r="AI887" t="str">
        <f t="shared" si="103"/>
        <v/>
      </c>
      <c r="AJ887" t="str">
        <f t="shared" si="104"/>
        <v/>
      </c>
      <c r="AK887" t="str">
        <f>IF(COUNTA(T887:AH887)=0,"",(SUM(T887*KPI_Weights!$B$4,U887*KPI_Weights!$B$5,V887*KPI_Weights!$B$6,W887*KPI_Weights!$B$7,X887*KPI_Weights!$B$8,Y887*KPI_Weights!$B$9,Z887*KPI_Weights!$B$10,AA887*KPI_Weights!$B$11,AB887*KPI_Weights!$B$12,AC887*KPI_Weights!$B$13,AD887*KPI_Weights!$B$14,AE887*KPI_Weights!$B$15,AF887*KPI_Weights!$B$16,AG887*KPI_Weights!$B$17,AH887*KPI_Weights!$B$18))/5)</f>
        <v/>
      </c>
      <c r="AL887" t="str">
        <f t="shared" si="105"/>
        <v/>
      </c>
      <c r="AM887" t="str">
        <f t="shared" si="106"/>
        <v/>
      </c>
      <c r="AN887" t="str">
        <f t="shared" si="107"/>
        <v/>
      </c>
    </row>
    <row r="888" spans="1:40" ht="15" customHeight="1" x14ac:dyDescent="0.2">
      <c r="A888" t="str">
        <f>IF($B888="","",TEXT($B888,"yyyymmdd")&amp;"-"&amp;SUBSTITUTE($F888," ","")&amp;"-"&amp;TEXT(COUNTIF($F$4:F888,$F888),"00"))</f>
        <v/>
      </c>
      <c r="C888" t="str">
        <f t="shared" si="101"/>
        <v/>
      </c>
      <c r="D888" t="str">
        <f t="shared" si="102"/>
        <v/>
      </c>
      <c r="G888" t="str">
        <f>IF(OR($E888="",$F888=""),"",IFERROR(IF($E888=INDEX(Cluster_Master!$A$4:$A$18,MATCH($F888,Cluster_Master!$B$4:$B$18,0)),"OK","CHECK"),"CHECK"))</f>
        <v/>
      </c>
      <c r="H888" t="str">
        <f>IFERROR(INDEX(Cluster_Master!$C$4:$C$18,MATCH($F888,Cluster_Master!$B$4:$B$18,0)),"")</f>
        <v/>
      </c>
      <c r="I888" t="str">
        <f>IFERROR(INDEX(Cluster_Master!$D$4:$D$18,MATCH($F888,Cluster_Master!$B$4:$B$18,0)),"")</f>
        <v/>
      </c>
      <c r="J888" t="str">
        <f>IFERROR(INDEX(Cluster_Master!$E$4:$E$18,MATCH($F888,Cluster_Master!$B$4:$B$18,0)),"")</f>
        <v/>
      </c>
      <c r="K888" t="str">
        <f>IFERROR(INDEX(Cluster_Master!$F$4:$F$18,MATCH($F888,Cluster_Master!$B$4:$B$18,0)),"")</f>
        <v/>
      </c>
      <c r="L888" t="str">
        <f>IFERROR(INDEX(Cluster_Master!$G$4:$G$18,MATCH($F888,Cluster_Master!$B$4:$B$18,0)),"")</f>
        <v/>
      </c>
      <c r="M888" t="str">
        <f>IFERROR(INDEX(Cluster_Master!$H$4:$H$18,MATCH($F888,Cluster_Master!$B$4:$B$18,0)),"")</f>
        <v/>
      </c>
      <c r="AI888" t="str">
        <f t="shared" si="103"/>
        <v/>
      </c>
      <c r="AJ888" t="str">
        <f t="shared" si="104"/>
        <v/>
      </c>
      <c r="AK888" t="str">
        <f>IF(COUNTA(T888:AH888)=0,"",(SUM(T888*KPI_Weights!$B$4,U888*KPI_Weights!$B$5,V888*KPI_Weights!$B$6,W888*KPI_Weights!$B$7,X888*KPI_Weights!$B$8,Y888*KPI_Weights!$B$9,Z888*KPI_Weights!$B$10,AA888*KPI_Weights!$B$11,AB888*KPI_Weights!$B$12,AC888*KPI_Weights!$B$13,AD888*KPI_Weights!$B$14,AE888*KPI_Weights!$B$15,AF888*KPI_Weights!$B$16,AG888*KPI_Weights!$B$17,AH888*KPI_Weights!$B$18))/5)</f>
        <v/>
      </c>
      <c r="AL888" t="str">
        <f t="shared" si="105"/>
        <v/>
      </c>
      <c r="AM888" t="str">
        <f t="shared" si="106"/>
        <v/>
      </c>
      <c r="AN888" t="str">
        <f t="shared" si="107"/>
        <v/>
      </c>
    </row>
    <row r="889" spans="1:40" ht="15" customHeight="1" x14ac:dyDescent="0.2">
      <c r="A889" t="str">
        <f>IF($B889="","",TEXT($B889,"yyyymmdd")&amp;"-"&amp;SUBSTITUTE($F889," ","")&amp;"-"&amp;TEXT(COUNTIF($F$4:F889,$F889),"00"))</f>
        <v/>
      </c>
      <c r="C889" t="str">
        <f t="shared" si="101"/>
        <v/>
      </c>
      <c r="D889" t="str">
        <f t="shared" si="102"/>
        <v/>
      </c>
      <c r="G889" t="str">
        <f>IF(OR($E889="",$F889=""),"",IFERROR(IF($E889=INDEX(Cluster_Master!$A$4:$A$18,MATCH($F889,Cluster_Master!$B$4:$B$18,0)),"OK","CHECK"),"CHECK"))</f>
        <v/>
      </c>
      <c r="H889" t="str">
        <f>IFERROR(INDEX(Cluster_Master!$C$4:$C$18,MATCH($F889,Cluster_Master!$B$4:$B$18,0)),"")</f>
        <v/>
      </c>
      <c r="I889" t="str">
        <f>IFERROR(INDEX(Cluster_Master!$D$4:$D$18,MATCH($F889,Cluster_Master!$B$4:$B$18,0)),"")</f>
        <v/>
      </c>
      <c r="J889" t="str">
        <f>IFERROR(INDEX(Cluster_Master!$E$4:$E$18,MATCH($F889,Cluster_Master!$B$4:$B$18,0)),"")</f>
        <v/>
      </c>
      <c r="K889" t="str">
        <f>IFERROR(INDEX(Cluster_Master!$F$4:$F$18,MATCH($F889,Cluster_Master!$B$4:$B$18,0)),"")</f>
        <v/>
      </c>
      <c r="L889" t="str">
        <f>IFERROR(INDEX(Cluster_Master!$G$4:$G$18,MATCH($F889,Cluster_Master!$B$4:$B$18,0)),"")</f>
        <v/>
      </c>
      <c r="M889" t="str">
        <f>IFERROR(INDEX(Cluster_Master!$H$4:$H$18,MATCH($F889,Cluster_Master!$B$4:$B$18,0)),"")</f>
        <v/>
      </c>
      <c r="AI889" t="str">
        <f t="shared" si="103"/>
        <v/>
      </c>
      <c r="AJ889" t="str">
        <f t="shared" si="104"/>
        <v/>
      </c>
      <c r="AK889" t="str">
        <f>IF(COUNTA(T889:AH889)=0,"",(SUM(T889*KPI_Weights!$B$4,U889*KPI_Weights!$B$5,V889*KPI_Weights!$B$6,W889*KPI_Weights!$B$7,X889*KPI_Weights!$B$8,Y889*KPI_Weights!$B$9,Z889*KPI_Weights!$B$10,AA889*KPI_Weights!$B$11,AB889*KPI_Weights!$B$12,AC889*KPI_Weights!$B$13,AD889*KPI_Weights!$B$14,AE889*KPI_Weights!$B$15,AF889*KPI_Weights!$B$16,AG889*KPI_Weights!$B$17,AH889*KPI_Weights!$B$18))/5)</f>
        <v/>
      </c>
      <c r="AL889" t="str">
        <f t="shared" si="105"/>
        <v/>
      </c>
      <c r="AM889" t="str">
        <f t="shared" si="106"/>
        <v/>
      </c>
      <c r="AN889" t="str">
        <f t="shared" si="107"/>
        <v/>
      </c>
    </row>
    <row r="890" spans="1:40" ht="15" customHeight="1" x14ac:dyDescent="0.2">
      <c r="A890" t="str">
        <f>IF($B890="","",TEXT($B890,"yyyymmdd")&amp;"-"&amp;SUBSTITUTE($F890," ","")&amp;"-"&amp;TEXT(COUNTIF($F$4:F890,$F890),"00"))</f>
        <v/>
      </c>
      <c r="C890" t="str">
        <f t="shared" si="101"/>
        <v/>
      </c>
      <c r="D890" t="str">
        <f t="shared" si="102"/>
        <v/>
      </c>
      <c r="G890" t="str">
        <f>IF(OR($E890="",$F890=""),"",IFERROR(IF($E890=INDEX(Cluster_Master!$A$4:$A$18,MATCH($F890,Cluster_Master!$B$4:$B$18,0)),"OK","CHECK"),"CHECK"))</f>
        <v/>
      </c>
      <c r="H890" t="str">
        <f>IFERROR(INDEX(Cluster_Master!$C$4:$C$18,MATCH($F890,Cluster_Master!$B$4:$B$18,0)),"")</f>
        <v/>
      </c>
      <c r="I890" t="str">
        <f>IFERROR(INDEX(Cluster_Master!$D$4:$D$18,MATCH($F890,Cluster_Master!$B$4:$B$18,0)),"")</f>
        <v/>
      </c>
      <c r="J890" t="str">
        <f>IFERROR(INDEX(Cluster_Master!$E$4:$E$18,MATCH($F890,Cluster_Master!$B$4:$B$18,0)),"")</f>
        <v/>
      </c>
      <c r="K890" t="str">
        <f>IFERROR(INDEX(Cluster_Master!$F$4:$F$18,MATCH($F890,Cluster_Master!$B$4:$B$18,0)),"")</f>
        <v/>
      </c>
      <c r="L890" t="str">
        <f>IFERROR(INDEX(Cluster_Master!$G$4:$G$18,MATCH($F890,Cluster_Master!$B$4:$B$18,0)),"")</f>
        <v/>
      </c>
      <c r="M890" t="str">
        <f>IFERROR(INDEX(Cluster_Master!$H$4:$H$18,MATCH($F890,Cluster_Master!$B$4:$B$18,0)),"")</f>
        <v/>
      </c>
      <c r="AI890" t="str">
        <f t="shared" si="103"/>
        <v/>
      </c>
      <c r="AJ890" t="str">
        <f t="shared" si="104"/>
        <v/>
      </c>
      <c r="AK890" t="str">
        <f>IF(COUNTA(T890:AH890)=0,"",(SUM(T890*KPI_Weights!$B$4,U890*KPI_Weights!$B$5,V890*KPI_Weights!$B$6,W890*KPI_Weights!$B$7,X890*KPI_Weights!$B$8,Y890*KPI_Weights!$B$9,Z890*KPI_Weights!$B$10,AA890*KPI_Weights!$B$11,AB890*KPI_Weights!$B$12,AC890*KPI_Weights!$B$13,AD890*KPI_Weights!$B$14,AE890*KPI_Weights!$B$15,AF890*KPI_Weights!$B$16,AG890*KPI_Weights!$B$17,AH890*KPI_Weights!$B$18))/5)</f>
        <v/>
      </c>
      <c r="AL890" t="str">
        <f t="shared" si="105"/>
        <v/>
      </c>
      <c r="AM890" t="str">
        <f t="shared" si="106"/>
        <v/>
      </c>
      <c r="AN890" t="str">
        <f t="shared" si="107"/>
        <v/>
      </c>
    </row>
    <row r="891" spans="1:40" ht="15" customHeight="1" x14ac:dyDescent="0.2">
      <c r="A891" t="str">
        <f>IF($B891="","",TEXT($B891,"yyyymmdd")&amp;"-"&amp;SUBSTITUTE($F891," ","")&amp;"-"&amp;TEXT(COUNTIF($F$4:F891,$F891),"00"))</f>
        <v/>
      </c>
      <c r="C891" t="str">
        <f t="shared" si="101"/>
        <v/>
      </c>
      <c r="D891" t="str">
        <f t="shared" si="102"/>
        <v/>
      </c>
      <c r="G891" t="str">
        <f>IF(OR($E891="",$F891=""),"",IFERROR(IF($E891=INDEX(Cluster_Master!$A$4:$A$18,MATCH($F891,Cluster_Master!$B$4:$B$18,0)),"OK","CHECK"),"CHECK"))</f>
        <v/>
      </c>
      <c r="H891" t="str">
        <f>IFERROR(INDEX(Cluster_Master!$C$4:$C$18,MATCH($F891,Cluster_Master!$B$4:$B$18,0)),"")</f>
        <v/>
      </c>
      <c r="I891" t="str">
        <f>IFERROR(INDEX(Cluster_Master!$D$4:$D$18,MATCH($F891,Cluster_Master!$B$4:$B$18,0)),"")</f>
        <v/>
      </c>
      <c r="J891" t="str">
        <f>IFERROR(INDEX(Cluster_Master!$E$4:$E$18,MATCH($F891,Cluster_Master!$B$4:$B$18,0)),"")</f>
        <v/>
      </c>
      <c r="K891" t="str">
        <f>IFERROR(INDEX(Cluster_Master!$F$4:$F$18,MATCH($F891,Cluster_Master!$B$4:$B$18,0)),"")</f>
        <v/>
      </c>
      <c r="L891" t="str">
        <f>IFERROR(INDEX(Cluster_Master!$G$4:$G$18,MATCH($F891,Cluster_Master!$B$4:$B$18,0)),"")</f>
        <v/>
      </c>
      <c r="M891" t="str">
        <f>IFERROR(INDEX(Cluster_Master!$H$4:$H$18,MATCH($F891,Cluster_Master!$B$4:$B$18,0)),"")</f>
        <v/>
      </c>
      <c r="AI891" t="str">
        <f t="shared" si="103"/>
        <v/>
      </c>
      <c r="AJ891" t="str">
        <f t="shared" si="104"/>
        <v/>
      </c>
      <c r="AK891" t="str">
        <f>IF(COUNTA(T891:AH891)=0,"",(SUM(T891*KPI_Weights!$B$4,U891*KPI_Weights!$B$5,V891*KPI_Weights!$B$6,W891*KPI_Weights!$B$7,X891*KPI_Weights!$B$8,Y891*KPI_Weights!$B$9,Z891*KPI_Weights!$B$10,AA891*KPI_Weights!$B$11,AB891*KPI_Weights!$B$12,AC891*KPI_Weights!$B$13,AD891*KPI_Weights!$B$14,AE891*KPI_Weights!$B$15,AF891*KPI_Weights!$B$16,AG891*KPI_Weights!$B$17,AH891*KPI_Weights!$B$18))/5)</f>
        <v/>
      </c>
      <c r="AL891" t="str">
        <f t="shared" si="105"/>
        <v/>
      </c>
      <c r="AM891" t="str">
        <f t="shared" si="106"/>
        <v/>
      </c>
      <c r="AN891" t="str">
        <f t="shared" si="107"/>
        <v/>
      </c>
    </row>
    <row r="892" spans="1:40" ht="15" customHeight="1" x14ac:dyDescent="0.2">
      <c r="A892" t="str">
        <f>IF($B892="","",TEXT($B892,"yyyymmdd")&amp;"-"&amp;SUBSTITUTE($F892," ","")&amp;"-"&amp;TEXT(COUNTIF($F$4:F892,$F892),"00"))</f>
        <v/>
      </c>
      <c r="C892" t="str">
        <f t="shared" si="101"/>
        <v/>
      </c>
      <c r="D892" t="str">
        <f t="shared" si="102"/>
        <v/>
      </c>
      <c r="G892" t="str">
        <f>IF(OR($E892="",$F892=""),"",IFERROR(IF($E892=INDEX(Cluster_Master!$A$4:$A$18,MATCH($F892,Cluster_Master!$B$4:$B$18,0)),"OK","CHECK"),"CHECK"))</f>
        <v/>
      </c>
      <c r="H892" t="str">
        <f>IFERROR(INDEX(Cluster_Master!$C$4:$C$18,MATCH($F892,Cluster_Master!$B$4:$B$18,0)),"")</f>
        <v/>
      </c>
      <c r="I892" t="str">
        <f>IFERROR(INDEX(Cluster_Master!$D$4:$D$18,MATCH($F892,Cluster_Master!$B$4:$B$18,0)),"")</f>
        <v/>
      </c>
      <c r="J892" t="str">
        <f>IFERROR(INDEX(Cluster_Master!$E$4:$E$18,MATCH($F892,Cluster_Master!$B$4:$B$18,0)),"")</f>
        <v/>
      </c>
      <c r="K892" t="str">
        <f>IFERROR(INDEX(Cluster_Master!$F$4:$F$18,MATCH($F892,Cluster_Master!$B$4:$B$18,0)),"")</f>
        <v/>
      </c>
      <c r="L892" t="str">
        <f>IFERROR(INDEX(Cluster_Master!$G$4:$G$18,MATCH($F892,Cluster_Master!$B$4:$B$18,0)),"")</f>
        <v/>
      </c>
      <c r="M892" t="str">
        <f>IFERROR(INDEX(Cluster_Master!$H$4:$H$18,MATCH($F892,Cluster_Master!$B$4:$B$18,0)),"")</f>
        <v/>
      </c>
      <c r="AI892" t="str">
        <f t="shared" si="103"/>
        <v/>
      </c>
      <c r="AJ892" t="str">
        <f t="shared" si="104"/>
        <v/>
      </c>
      <c r="AK892" t="str">
        <f>IF(COUNTA(T892:AH892)=0,"",(SUM(T892*KPI_Weights!$B$4,U892*KPI_Weights!$B$5,V892*KPI_Weights!$B$6,W892*KPI_Weights!$B$7,X892*KPI_Weights!$B$8,Y892*KPI_Weights!$B$9,Z892*KPI_Weights!$B$10,AA892*KPI_Weights!$B$11,AB892*KPI_Weights!$B$12,AC892*KPI_Weights!$B$13,AD892*KPI_Weights!$B$14,AE892*KPI_Weights!$B$15,AF892*KPI_Weights!$B$16,AG892*KPI_Weights!$B$17,AH892*KPI_Weights!$B$18))/5)</f>
        <v/>
      </c>
      <c r="AL892" t="str">
        <f t="shared" si="105"/>
        <v/>
      </c>
      <c r="AM892" t="str">
        <f t="shared" si="106"/>
        <v/>
      </c>
      <c r="AN892" t="str">
        <f t="shared" si="107"/>
        <v/>
      </c>
    </row>
    <row r="893" spans="1:40" ht="15" customHeight="1" x14ac:dyDescent="0.2">
      <c r="A893" t="str">
        <f>IF($B893="","",TEXT($B893,"yyyymmdd")&amp;"-"&amp;SUBSTITUTE($F893," ","")&amp;"-"&amp;TEXT(COUNTIF($F$4:F893,$F893),"00"))</f>
        <v/>
      </c>
      <c r="C893" t="str">
        <f t="shared" si="101"/>
        <v/>
      </c>
      <c r="D893" t="str">
        <f t="shared" si="102"/>
        <v/>
      </c>
      <c r="G893" t="str">
        <f>IF(OR($E893="",$F893=""),"",IFERROR(IF($E893=INDEX(Cluster_Master!$A$4:$A$18,MATCH($F893,Cluster_Master!$B$4:$B$18,0)),"OK","CHECK"),"CHECK"))</f>
        <v/>
      </c>
      <c r="H893" t="str">
        <f>IFERROR(INDEX(Cluster_Master!$C$4:$C$18,MATCH($F893,Cluster_Master!$B$4:$B$18,0)),"")</f>
        <v/>
      </c>
      <c r="I893" t="str">
        <f>IFERROR(INDEX(Cluster_Master!$D$4:$D$18,MATCH($F893,Cluster_Master!$B$4:$B$18,0)),"")</f>
        <v/>
      </c>
      <c r="J893" t="str">
        <f>IFERROR(INDEX(Cluster_Master!$E$4:$E$18,MATCH($F893,Cluster_Master!$B$4:$B$18,0)),"")</f>
        <v/>
      </c>
      <c r="K893" t="str">
        <f>IFERROR(INDEX(Cluster_Master!$F$4:$F$18,MATCH($F893,Cluster_Master!$B$4:$B$18,0)),"")</f>
        <v/>
      </c>
      <c r="L893" t="str">
        <f>IFERROR(INDEX(Cluster_Master!$G$4:$G$18,MATCH($F893,Cluster_Master!$B$4:$B$18,0)),"")</f>
        <v/>
      </c>
      <c r="M893" t="str">
        <f>IFERROR(INDEX(Cluster_Master!$H$4:$H$18,MATCH($F893,Cluster_Master!$B$4:$B$18,0)),"")</f>
        <v/>
      </c>
      <c r="AI893" t="str">
        <f t="shared" si="103"/>
        <v/>
      </c>
      <c r="AJ893" t="str">
        <f t="shared" si="104"/>
        <v/>
      </c>
      <c r="AK893" t="str">
        <f>IF(COUNTA(T893:AH893)=0,"",(SUM(T893*KPI_Weights!$B$4,U893*KPI_Weights!$B$5,V893*KPI_Weights!$B$6,W893*KPI_Weights!$B$7,X893*KPI_Weights!$B$8,Y893*KPI_Weights!$B$9,Z893*KPI_Weights!$B$10,AA893*KPI_Weights!$B$11,AB893*KPI_Weights!$B$12,AC893*KPI_Weights!$B$13,AD893*KPI_Weights!$B$14,AE893*KPI_Weights!$B$15,AF893*KPI_Weights!$B$16,AG893*KPI_Weights!$B$17,AH893*KPI_Weights!$B$18))/5)</f>
        <v/>
      </c>
      <c r="AL893" t="str">
        <f t="shared" si="105"/>
        <v/>
      </c>
      <c r="AM893" t="str">
        <f t="shared" si="106"/>
        <v/>
      </c>
      <c r="AN893" t="str">
        <f t="shared" si="107"/>
        <v/>
      </c>
    </row>
    <row r="894" spans="1:40" ht="15" customHeight="1" x14ac:dyDescent="0.2">
      <c r="A894" t="str">
        <f>IF($B894="","",TEXT($B894,"yyyymmdd")&amp;"-"&amp;SUBSTITUTE($F894," ","")&amp;"-"&amp;TEXT(COUNTIF($F$4:F894,$F894),"00"))</f>
        <v/>
      </c>
      <c r="C894" t="str">
        <f t="shared" si="101"/>
        <v/>
      </c>
      <c r="D894" t="str">
        <f t="shared" si="102"/>
        <v/>
      </c>
      <c r="G894" t="str">
        <f>IF(OR($E894="",$F894=""),"",IFERROR(IF($E894=INDEX(Cluster_Master!$A$4:$A$18,MATCH($F894,Cluster_Master!$B$4:$B$18,0)),"OK","CHECK"),"CHECK"))</f>
        <v/>
      </c>
      <c r="H894" t="str">
        <f>IFERROR(INDEX(Cluster_Master!$C$4:$C$18,MATCH($F894,Cluster_Master!$B$4:$B$18,0)),"")</f>
        <v/>
      </c>
      <c r="I894" t="str">
        <f>IFERROR(INDEX(Cluster_Master!$D$4:$D$18,MATCH($F894,Cluster_Master!$B$4:$B$18,0)),"")</f>
        <v/>
      </c>
      <c r="J894" t="str">
        <f>IFERROR(INDEX(Cluster_Master!$E$4:$E$18,MATCH($F894,Cluster_Master!$B$4:$B$18,0)),"")</f>
        <v/>
      </c>
      <c r="K894" t="str">
        <f>IFERROR(INDEX(Cluster_Master!$F$4:$F$18,MATCH($F894,Cluster_Master!$B$4:$B$18,0)),"")</f>
        <v/>
      </c>
      <c r="L894" t="str">
        <f>IFERROR(INDEX(Cluster_Master!$G$4:$G$18,MATCH($F894,Cluster_Master!$B$4:$B$18,0)),"")</f>
        <v/>
      </c>
      <c r="M894" t="str">
        <f>IFERROR(INDEX(Cluster_Master!$H$4:$H$18,MATCH($F894,Cluster_Master!$B$4:$B$18,0)),"")</f>
        <v/>
      </c>
      <c r="AI894" t="str">
        <f t="shared" si="103"/>
        <v/>
      </c>
      <c r="AJ894" t="str">
        <f t="shared" si="104"/>
        <v/>
      </c>
      <c r="AK894" t="str">
        <f>IF(COUNTA(T894:AH894)=0,"",(SUM(T894*KPI_Weights!$B$4,U894*KPI_Weights!$B$5,V894*KPI_Weights!$B$6,W894*KPI_Weights!$B$7,X894*KPI_Weights!$B$8,Y894*KPI_Weights!$B$9,Z894*KPI_Weights!$B$10,AA894*KPI_Weights!$B$11,AB894*KPI_Weights!$B$12,AC894*KPI_Weights!$B$13,AD894*KPI_Weights!$B$14,AE894*KPI_Weights!$B$15,AF894*KPI_Weights!$B$16,AG894*KPI_Weights!$B$17,AH894*KPI_Weights!$B$18))/5)</f>
        <v/>
      </c>
      <c r="AL894" t="str">
        <f t="shared" si="105"/>
        <v/>
      </c>
      <c r="AM894" t="str">
        <f t="shared" si="106"/>
        <v/>
      </c>
      <c r="AN894" t="str">
        <f t="shared" si="107"/>
        <v/>
      </c>
    </row>
    <row r="895" spans="1:40" ht="15" customHeight="1" x14ac:dyDescent="0.2">
      <c r="A895" t="str">
        <f>IF($B895="","",TEXT($B895,"yyyymmdd")&amp;"-"&amp;SUBSTITUTE($F895," ","")&amp;"-"&amp;TEXT(COUNTIF($F$4:F895,$F895),"00"))</f>
        <v/>
      </c>
      <c r="C895" t="str">
        <f t="shared" si="101"/>
        <v/>
      </c>
      <c r="D895" t="str">
        <f t="shared" si="102"/>
        <v/>
      </c>
      <c r="G895" t="str">
        <f>IF(OR($E895="",$F895=""),"",IFERROR(IF($E895=INDEX(Cluster_Master!$A$4:$A$18,MATCH($F895,Cluster_Master!$B$4:$B$18,0)),"OK","CHECK"),"CHECK"))</f>
        <v/>
      </c>
      <c r="H895" t="str">
        <f>IFERROR(INDEX(Cluster_Master!$C$4:$C$18,MATCH($F895,Cluster_Master!$B$4:$B$18,0)),"")</f>
        <v/>
      </c>
      <c r="I895" t="str">
        <f>IFERROR(INDEX(Cluster_Master!$D$4:$D$18,MATCH($F895,Cluster_Master!$B$4:$B$18,0)),"")</f>
        <v/>
      </c>
      <c r="J895" t="str">
        <f>IFERROR(INDEX(Cluster_Master!$E$4:$E$18,MATCH($F895,Cluster_Master!$B$4:$B$18,0)),"")</f>
        <v/>
      </c>
      <c r="K895" t="str">
        <f>IFERROR(INDEX(Cluster_Master!$F$4:$F$18,MATCH($F895,Cluster_Master!$B$4:$B$18,0)),"")</f>
        <v/>
      </c>
      <c r="L895" t="str">
        <f>IFERROR(INDEX(Cluster_Master!$G$4:$G$18,MATCH($F895,Cluster_Master!$B$4:$B$18,0)),"")</f>
        <v/>
      </c>
      <c r="M895" t="str">
        <f>IFERROR(INDEX(Cluster_Master!$H$4:$H$18,MATCH($F895,Cluster_Master!$B$4:$B$18,0)),"")</f>
        <v/>
      </c>
      <c r="AI895" t="str">
        <f t="shared" si="103"/>
        <v/>
      </c>
      <c r="AJ895" t="str">
        <f t="shared" si="104"/>
        <v/>
      </c>
      <c r="AK895" t="str">
        <f>IF(COUNTA(T895:AH895)=0,"",(SUM(T895*KPI_Weights!$B$4,U895*KPI_Weights!$B$5,V895*KPI_Weights!$B$6,W895*KPI_Weights!$B$7,X895*KPI_Weights!$B$8,Y895*KPI_Weights!$B$9,Z895*KPI_Weights!$B$10,AA895*KPI_Weights!$B$11,AB895*KPI_Weights!$B$12,AC895*KPI_Weights!$B$13,AD895*KPI_Weights!$B$14,AE895*KPI_Weights!$B$15,AF895*KPI_Weights!$B$16,AG895*KPI_Weights!$B$17,AH895*KPI_Weights!$B$18))/5)</f>
        <v/>
      </c>
      <c r="AL895" t="str">
        <f t="shared" si="105"/>
        <v/>
      </c>
      <c r="AM895" t="str">
        <f t="shared" si="106"/>
        <v/>
      </c>
      <c r="AN895" t="str">
        <f t="shared" si="107"/>
        <v/>
      </c>
    </row>
    <row r="896" spans="1:40" ht="15" customHeight="1" x14ac:dyDescent="0.2">
      <c r="A896" t="str">
        <f>IF($B896="","",TEXT($B896,"yyyymmdd")&amp;"-"&amp;SUBSTITUTE($F896," ","")&amp;"-"&amp;TEXT(COUNTIF($F$4:F896,$F896),"00"))</f>
        <v/>
      </c>
      <c r="C896" t="str">
        <f t="shared" ref="C896:C959" si="108">IF($B896="","",WEEKNUM($B896,2))</f>
        <v/>
      </c>
      <c r="D896" t="str">
        <f t="shared" ref="D896:D959" si="109">IF($B896="","",TEXT($B896,"yyyy-mm"))</f>
        <v/>
      </c>
      <c r="G896" t="str">
        <f>IF(OR($E896="",$F896=""),"",IFERROR(IF($E896=INDEX(Cluster_Master!$A$4:$A$18,MATCH($F896,Cluster_Master!$B$4:$B$18,0)),"OK","CHECK"),"CHECK"))</f>
        <v/>
      </c>
      <c r="H896" t="str">
        <f>IFERROR(INDEX(Cluster_Master!$C$4:$C$18,MATCH($F896,Cluster_Master!$B$4:$B$18,0)),"")</f>
        <v/>
      </c>
      <c r="I896" t="str">
        <f>IFERROR(INDEX(Cluster_Master!$D$4:$D$18,MATCH($F896,Cluster_Master!$B$4:$B$18,0)),"")</f>
        <v/>
      </c>
      <c r="J896" t="str">
        <f>IFERROR(INDEX(Cluster_Master!$E$4:$E$18,MATCH($F896,Cluster_Master!$B$4:$B$18,0)),"")</f>
        <v/>
      </c>
      <c r="K896" t="str">
        <f>IFERROR(INDEX(Cluster_Master!$F$4:$F$18,MATCH($F896,Cluster_Master!$B$4:$B$18,0)),"")</f>
        <v/>
      </c>
      <c r="L896" t="str">
        <f>IFERROR(INDEX(Cluster_Master!$G$4:$G$18,MATCH($F896,Cluster_Master!$B$4:$B$18,0)),"")</f>
        <v/>
      </c>
      <c r="M896" t="str">
        <f>IFERROR(INDEX(Cluster_Master!$H$4:$H$18,MATCH($F896,Cluster_Master!$B$4:$B$18,0)),"")</f>
        <v/>
      </c>
      <c r="AI896" t="str">
        <f t="shared" ref="AI896:AI959" si="110">IF(COUNTA(T896:AH896)=0,"",SUM(T896:AH896))</f>
        <v/>
      </c>
      <c r="AJ896" t="str">
        <f t="shared" ref="AJ896:AJ959" si="111">IF(COUNTA(T896:AH896)=0,"",AI896/75)</f>
        <v/>
      </c>
      <c r="AK896" t="str">
        <f>IF(COUNTA(T896:AH896)=0,"",(SUM(T896*KPI_Weights!$B$4,U896*KPI_Weights!$B$5,V896*KPI_Weights!$B$6,W896*KPI_Weights!$B$7,X896*KPI_Weights!$B$8,Y896*KPI_Weights!$B$9,Z896*KPI_Weights!$B$10,AA896*KPI_Weights!$B$11,AB896*KPI_Weights!$B$12,AC896*KPI_Weights!$B$13,AD896*KPI_Weights!$B$14,AE896*KPI_Weights!$B$15,AF896*KPI_Weights!$B$16,AG896*KPI_Weights!$B$17,AH896*KPI_Weights!$B$18))/5)</f>
        <v/>
      </c>
      <c r="AL896" t="str">
        <f t="shared" ref="AL896:AL959" si="112">IF(COUNTA(T896:AH896)=0,"",IF(OR(T896&lt;=1,W896&lt;=1,X896&lt;=1,Y896&lt;=1,AB896&lt;=1),"YES","NO"))</f>
        <v/>
      </c>
      <c r="AM896" t="str">
        <f t="shared" ref="AM896:AM959" si="113">IF(AJ896="","",IF(AND(AL896="NO",AJ896&gt;=0.75),"YES","NO"))</f>
        <v/>
      </c>
      <c r="AN896" t="str">
        <f t="shared" ref="AN896:AN959" si="114">IF(AJ896="","",IF(AJ896&lt;0.4,"Critical",IF(AJ896&lt;0.6,"Poor",IF(AJ896&lt;0.75,"Needs Improvement",IF(AJ896&lt;0.9,"Good","Excellent")))))</f>
        <v/>
      </c>
    </row>
    <row r="897" spans="1:40" ht="15" customHeight="1" x14ac:dyDescent="0.2">
      <c r="A897" t="str">
        <f>IF($B897="","",TEXT($B897,"yyyymmdd")&amp;"-"&amp;SUBSTITUTE($F897," ","")&amp;"-"&amp;TEXT(COUNTIF($F$4:F897,$F897),"00"))</f>
        <v/>
      </c>
      <c r="C897" t="str">
        <f t="shared" si="108"/>
        <v/>
      </c>
      <c r="D897" t="str">
        <f t="shared" si="109"/>
        <v/>
      </c>
      <c r="G897" t="str">
        <f>IF(OR($E897="",$F897=""),"",IFERROR(IF($E897=INDEX(Cluster_Master!$A$4:$A$18,MATCH($F897,Cluster_Master!$B$4:$B$18,0)),"OK","CHECK"),"CHECK"))</f>
        <v/>
      </c>
      <c r="H897" t="str">
        <f>IFERROR(INDEX(Cluster_Master!$C$4:$C$18,MATCH($F897,Cluster_Master!$B$4:$B$18,0)),"")</f>
        <v/>
      </c>
      <c r="I897" t="str">
        <f>IFERROR(INDEX(Cluster_Master!$D$4:$D$18,MATCH($F897,Cluster_Master!$B$4:$B$18,0)),"")</f>
        <v/>
      </c>
      <c r="J897" t="str">
        <f>IFERROR(INDEX(Cluster_Master!$E$4:$E$18,MATCH($F897,Cluster_Master!$B$4:$B$18,0)),"")</f>
        <v/>
      </c>
      <c r="K897" t="str">
        <f>IFERROR(INDEX(Cluster_Master!$F$4:$F$18,MATCH($F897,Cluster_Master!$B$4:$B$18,0)),"")</f>
        <v/>
      </c>
      <c r="L897" t="str">
        <f>IFERROR(INDEX(Cluster_Master!$G$4:$G$18,MATCH($F897,Cluster_Master!$B$4:$B$18,0)),"")</f>
        <v/>
      </c>
      <c r="M897" t="str">
        <f>IFERROR(INDEX(Cluster_Master!$H$4:$H$18,MATCH($F897,Cluster_Master!$B$4:$B$18,0)),"")</f>
        <v/>
      </c>
      <c r="AI897" t="str">
        <f t="shared" si="110"/>
        <v/>
      </c>
      <c r="AJ897" t="str">
        <f t="shared" si="111"/>
        <v/>
      </c>
      <c r="AK897" t="str">
        <f>IF(COUNTA(T897:AH897)=0,"",(SUM(T897*KPI_Weights!$B$4,U897*KPI_Weights!$B$5,V897*KPI_Weights!$B$6,W897*KPI_Weights!$B$7,X897*KPI_Weights!$B$8,Y897*KPI_Weights!$B$9,Z897*KPI_Weights!$B$10,AA897*KPI_Weights!$B$11,AB897*KPI_Weights!$B$12,AC897*KPI_Weights!$B$13,AD897*KPI_Weights!$B$14,AE897*KPI_Weights!$B$15,AF897*KPI_Weights!$B$16,AG897*KPI_Weights!$B$17,AH897*KPI_Weights!$B$18))/5)</f>
        <v/>
      </c>
      <c r="AL897" t="str">
        <f t="shared" si="112"/>
        <v/>
      </c>
      <c r="AM897" t="str">
        <f t="shared" si="113"/>
        <v/>
      </c>
      <c r="AN897" t="str">
        <f t="shared" si="114"/>
        <v/>
      </c>
    </row>
    <row r="898" spans="1:40" ht="15" customHeight="1" x14ac:dyDescent="0.2">
      <c r="A898" t="str">
        <f>IF($B898="","",TEXT($B898,"yyyymmdd")&amp;"-"&amp;SUBSTITUTE($F898," ","")&amp;"-"&amp;TEXT(COUNTIF($F$4:F898,$F898),"00"))</f>
        <v/>
      </c>
      <c r="C898" t="str">
        <f t="shared" si="108"/>
        <v/>
      </c>
      <c r="D898" t="str">
        <f t="shared" si="109"/>
        <v/>
      </c>
      <c r="G898" t="str">
        <f>IF(OR($E898="",$F898=""),"",IFERROR(IF($E898=INDEX(Cluster_Master!$A$4:$A$18,MATCH($F898,Cluster_Master!$B$4:$B$18,0)),"OK","CHECK"),"CHECK"))</f>
        <v/>
      </c>
      <c r="H898" t="str">
        <f>IFERROR(INDEX(Cluster_Master!$C$4:$C$18,MATCH($F898,Cluster_Master!$B$4:$B$18,0)),"")</f>
        <v/>
      </c>
      <c r="I898" t="str">
        <f>IFERROR(INDEX(Cluster_Master!$D$4:$D$18,MATCH($F898,Cluster_Master!$B$4:$B$18,0)),"")</f>
        <v/>
      </c>
      <c r="J898" t="str">
        <f>IFERROR(INDEX(Cluster_Master!$E$4:$E$18,MATCH($F898,Cluster_Master!$B$4:$B$18,0)),"")</f>
        <v/>
      </c>
      <c r="K898" t="str">
        <f>IFERROR(INDEX(Cluster_Master!$F$4:$F$18,MATCH($F898,Cluster_Master!$B$4:$B$18,0)),"")</f>
        <v/>
      </c>
      <c r="L898" t="str">
        <f>IFERROR(INDEX(Cluster_Master!$G$4:$G$18,MATCH($F898,Cluster_Master!$B$4:$B$18,0)),"")</f>
        <v/>
      </c>
      <c r="M898" t="str">
        <f>IFERROR(INDEX(Cluster_Master!$H$4:$H$18,MATCH($F898,Cluster_Master!$B$4:$B$18,0)),"")</f>
        <v/>
      </c>
      <c r="AI898" t="str">
        <f t="shared" si="110"/>
        <v/>
      </c>
      <c r="AJ898" t="str">
        <f t="shared" si="111"/>
        <v/>
      </c>
      <c r="AK898" t="str">
        <f>IF(COUNTA(T898:AH898)=0,"",(SUM(T898*KPI_Weights!$B$4,U898*KPI_Weights!$B$5,V898*KPI_Weights!$B$6,W898*KPI_Weights!$B$7,X898*KPI_Weights!$B$8,Y898*KPI_Weights!$B$9,Z898*KPI_Weights!$B$10,AA898*KPI_Weights!$B$11,AB898*KPI_Weights!$B$12,AC898*KPI_Weights!$B$13,AD898*KPI_Weights!$B$14,AE898*KPI_Weights!$B$15,AF898*KPI_Weights!$B$16,AG898*KPI_Weights!$B$17,AH898*KPI_Weights!$B$18))/5)</f>
        <v/>
      </c>
      <c r="AL898" t="str">
        <f t="shared" si="112"/>
        <v/>
      </c>
      <c r="AM898" t="str">
        <f t="shared" si="113"/>
        <v/>
      </c>
      <c r="AN898" t="str">
        <f t="shared" si="114"/>
        <v/>
      </c>
    </row>
    <row r="899" spans="1:40" ht="15" customHeight="1" x14ac:dyDescent="0.2">
      <c r="A899" t="str">
        <f>IF($B899="","",TEXT($B899,"yyyymmdd")&amp;"-"&amp;SUBSTITUTE($F899," ","")&amp;"-"&amp;TEXT(COUNTIF($F$4:F899,$F899),"00"))</f>
        <v/>
      </c>
      <c r="C899" t="str">
        <f t="shared" si="108"/>
        <v/>
      </c>
      <c r="D899" t="str">
        <f t="shared" si="109"/>
        <v/>
      </c>
      <c r="G899" t="str">
        <f>IF(OR($E899="",$F899=""),"",IFERROR(IF($E899=INDEX(Cluster_Master!$A$4:$A$18,MATCH($F899,Cluster_Master!$B$4:$B$18,0)),"OK","CHECK"),"CHECK"))</f>
        <v/>
      </c>
      <c r="H899" t="str">
        <f>IFERROR(INDEX(Cluster_Master!$C$4:$C$18,MATCH($F899,Cluster_Master!$B$4:$B$18,0)),"")</f>
        <v/>
      </c>
      <c r="I899" t="str">
        <f>IFERROR(INDEX(Cluster_Master!$D$4:$D$18,MATCH($F899,Cluster_Master!$B$4:$B$18,0)),"")</f>
        <v/>
      </c>
      <c r="J899" t="str">
        <f>IFERROR(INDEX(Cluster_Master!$E$4:$E$18,MATCH($F899,Cluster_Master!$B$4:$B$18,0)),"")</f>
        <v/>
      </c>
      <c r="K899" t="str">
        <f>IFERROR(INDEX(Cluster_Master!$F$4:$F$18,MATCH($F899,Cluster_Master!$B$4:$B$18,0)),"")</f>
        <v/>
      </c>
      <c r="L899" t="str">
        <f>IFERROR(INDEX(Cluster_Master!$G$4:$G$18,MATCH($F899,Cluster_Master!$B$4:$B$18,0)),"")</f>
        <v/>
      </c>
      <c r="M899" t="str">
        <f>IFERROR(INDEX(Cluster_Master!$H$4:$H$18,MATCH($F899,Cluster_Master!$B$4:$B$18,0)),"")</f>
        <v/>
      </c>
      <c r="AI899" t="str">
        <f t="shared" si="110"/>
        <v/>
      </c>
      <c r="AJ899" t="str">
        <f t="shared" si="111"/>
        <v/>
      </c>
      <c r="AK899" t="str">
        <f>IF(COUNTA(T899:AH899)=0,"",(SUM(T899*KPI_Weights!$B$4,U899*KPI_Weights!$B$5,V899*KPI_Weights!$B$6,W899*KPI_Weights!$B$7,X899*KPI_Weights!$B$8,Y899*KPI_Weights!$B$9,Z899*KPI_Weights!$B$10,AA899*KPI_Weights!$B$11,AB899*KPI_Weights!$B$12,AC899*KPI_Weights!$B$13,AD899*KPI_Weights!$B$14,AE899*KPI_Weights!$B$15,AF899*KPI_Weights!$B$16,AG899*KPI_Weights!$B$17,AH899*KPI_Weights!$B$18))/5)</f>
        <v/>
      </c>
      <c r="AL899" t="str">
        <f t="shared" si="112"/>
        <v/>
      </c>
      <c r="AM899" t="str">
        <f t="shared" si="113"/>
        <v/>
      </c>
      <c r="AN899" t="str">
        <f t="shared" si="114"/>
        <v/>
      </c>
    </row>
    <row r="900" spans="1:40" ht="15" customHeight="1" x14ac:dyDescent="0.2">
      <c r="A900" t="str">
        <f>IF($B900="","",TEXT($B900,"yyyymmdd")&amp;"-"&amp;SUBSTITUTE($F900," ","")&amp;"-"&amp;TEXT(COUNTIF($F$4:F900,$F900),"00"))</f>
        <v/>
      </c>
      <c r="C900" t="str">
        <f t="shared" si="108"/>
        <v/>
      </c>
      <c r="D900" t="str">
        <f t="shared" si="109"/>
        <v/>
      </c>
      <c r="G900" t="str">
        <f>IF(OR($E900="",$F900=""),"",IFERROR(IF($E900=INDEX(Cluster_Master!$A$4:$A$18,MATCH($F900,Cluster_Master!$B$4:$B$18,0)),"OK","CHECK"),"CHECK"))</f>
        <v/>
      </c>
      <c r="H900" t="str">
        <f>IFERROR(INDEX(Cluster_Master!$C$4:$C$18,MATCH($F900,Cluster_Master!$B$4:$B$18,0)),"")</f>
        <v/>
      </c>
      <c r="I900" t="str">
        <f>IFERROR(INDEX(Cluster_Master!$D$4:$D$18,MATCH($F900,Cluster_Master!$B$4:$B$18,0)),"")</f>
        <v/>
      </c>
      <c r="J900" t="str">
        <f>IFERROR(INDEX(Cluster_Master!$E$4:$E$18,MATCH($F900,Cluster_Master!$B$4:$B$18,0)),"")</f>
        <v/>
      </c>
      <c r="K900" t="str">
        <f>IFERROR(INDEX(Cluster_Master!$F$4:$F$18,MATCH($F900,Cluster_Master!$B$4:$B$18,0)),"")</f>
        <v/>
      </c>
      <c r="L900" t="str">
        <f>IFERROR(INDEX(Cluster_Master!$G$4:$G$18,MATCH($F900,Cluster_Master!$B$4:$B$18,0)),"")</f>
        <v/>
      </c>
      <c r="M900" t="str">
        <f>IFERROR(INDEX(Cluster_Master!$H$4:$H$18,MATCH($F900,Cluster_Master!$B$4:$B$18,0)),"")</f>
        <v/>
      </c>
      <c r="AI900" t="str">
        <f t="shared" si="110"/>
        <v/>
      </c>
      <c r="AJ900" t="str">
        <f t="shared" si="111"/>
        <v/>
      </c>
      <c r="AK900" t="str">
        <f>IF(COUNTA(T900:AH900)=0,"",(SUM(T900*KPI_Weights!$B$4,U900*KPI_Weights!$B$5,V900*KPI_Weights!$B$6,W900*KPI_Weights!$B$7,X900*KPI_Weights!$B$8,Y900*KPI_Weights!$B$9,Z900*KPI_Weights!$B$10,AA900*KPI_Weights!$B$11,AB900*KPI_Weights!$B$12,AC900*KPI_Weights!$B$13,AD900*KPI_Weights!$B$14,AE900*KPI_Weights!$B$15,AF900*KPI_Weights!$B$16,AG900*KPI_Weights!$B$17,AH900*KPI_Weights!$B$18))/5)</f>
        <v/>
      </c>
      <c r="AL900" t="str">
        <f t="shared" si="112"/>
        <v/>
      </c>
      <c r="AM900" t="str">
        <f t="shared" si="113"/>
        <v/>
      </c>
      <c r="AN900" t="str">
        <f t="shared" si="114"/>
        <v/>
      </c>
    </row>
    <row r="901" spans="1:40" ht="15" customHeight="1" x14ac:dyDescent="0.2">
      <c r="A901" t="str">
        <f>IF($B901="","",TEXT($B901,"yyyymmdd")&amp;"-"&amp;SUBSTITUTE($F901," ","")&amp;"-"&amp;TEXT(COUNTIF($F$4:F901,$F901),"00"))</f>
        <v/>
      </c>
      <c r="C901" t="str">
        <f t="shared" si="108"/>
        <v/>
      </c>
      <c r="D901" t="str">
        <f t="shared" si="109"/>
        <v/>
      </c>
      <c r="G901" t="str">
        <f>IF(OR($E901="",$F901=""),"",IFERROR(IF($E901=INDEX(Cluster_Master!$A$4:$A$18,MATCH($F901,Cluster_Master!$B$4:$B$18,0)),"OK","CHECK"),"CHECK"))</f>
        <v/>
      </c>
      <c r="H901" t="str">
        <f>IFERROR(INDEX(Cluster_Master!$C$4:$C$18,MATCH($F901,Cluster_Master!$B$4:$B$18,0)),"")</f>
        <v/>
      </c>
      <c r="I901" t="str">
        <f>IFERROR(INDEX(Cluster_Master!$D$4:$D$18,MATCH($F901,Cluster_Master!$B$4:$B$18,0)),"")</f>
        <v/>
      </c>
      <c r="J901" t="str">
        <f>IFERROR(INDEX(Cluster_Master!$E$4:$E$18,MATCH($F901,Cluster_Master!$B$4:$B$18,0)),"")</f>
        <v/>
      </c>
      <c r="K901" t="str">
        <f>IFERROR(INDEX(Cluster_Master!$F$4:$F$18,MATCH($F901,Cluster_Master!$B$4:$B$18,0)),"")</f>
        <v/>
      </c>
      <c r="L901" t="str">
        <f>IFERROR(INDEX(Cluster_Master!$G$4:$G$18,MATCH($F901,Cluster_Master!$B$4:$B$18,0)),"")</f>
        <v/>
      </c>
      <c r="M901" t="str">
        <f>IFERROR(INDEX(Cluster_Master!$H$4:$H$18,MATCH($F901,Cluster_Master!$B$4:$B$18,0)),"")</f>
        <v/>
      </c>
      <c r="AI901" t="str">
        <f t="shared" si="110"/>
        <v/>
      </c>
      <c r="AJ901" t="str">
        <f t="shared" si="111"/>
        <v/>
      </c>
      <c r="AK901" t="str">
        <f>IF(COUNTA(T901:AH901)=0,"",(SUM(T901*KPI_Weights!$B$4,U901*KPI_Weights!$B$5,V901*KPI_Weights!$B$6,W901*KPI_Weights!$B$7,X901*KPI_Weights!$B$8,Y901*KPI_Weights!$B$9,Z901*KPI_Weights!$B$10,AA901*KPI_Weights!$B$11,AB901*KPI_Weights!$B$12,AC901*KPI_Weights!$B$13,AD901*KPI_Weights!$B$14,AE901*KPI_Weights!$B$15,AF901*KPI_Weights!$B$16,AG901*KPI_Weights!$B$17,AH901*KPI_Weights!$B$18))/5)</f>
        <v/>
      </c>
      <c r="AL901" t="str">
        <f t="shared" si="112"/>
        <v/>
      </c>
      <c r="AM901" t="str">
        <f t="shared" si="113"/>
        <v/>
      </c>
      <c r="AN901" t="str">
        <f t="shared" si="114"/>
        <v/>
      </c>
    </row>
    <row r="902" spans="1:40" ht="15" customHeight="1" x14ac:dyDescent="0.2">
      <c r="A902" t="str">
        <f>IF($B902="","",TEXT($B902,"yyyymmdd")&amp;"-"&amp;SUBSTITUTE($F902," ","")&amp;"-"&amp;TEXT(COUNTIF($F$4:F902,$F902),"00"))</f>
        <v/>
      </c>
      <c r="C902" t="str">
        <f t="shared" si="108"/>
        <v/>
      </c>
      <c r="D902" t="str">
        <f t="shared" si="109"/>
        <v/>
      </c>
      <c r="G902" t="str">
        <f>IF(OR($E902="",$F902=""),"",IFERROR(IF($E902=INDEX(Cluster_Master!$A$4:$A$18,MATCH($F902,Cluster_Master!$B$4:$B$18,0)),"OK","CHECK"),"CHECK"))</f>
        <v/>
      </c>
      <c r="H902" t="str">
        <f>IFERROR(INDEX(Cluster_Master!$C$4:$C$18,MATCH($F902,Cluster_Master!$B$4:$B$18,0)),"")</f>
        <v/>
      </c>
      <c r="I902" t="str">
        <f>IFERROR(INDEX(Cluster_Master!$D$4:$D$18,MATCH($F902,Cluster_Master!$B$4:$B$18,0)),"")</f>
        <v/>
      </c>
      <c r="J902" t="str">
        <f>IFERROR(INDEX(Cluster_Master!$E$4:$E$18,MATCH($F902,Cluster_Master!$B$4:$B$18,0)),"")</f>
        <v/>
      </c>
      <c r="K902" t="str">
        <f>IFERROR(INDEX(Cluster_Master!$F$4:$F$18,MATCH($F902,Cluster_Master!$B$4:$B$18,0)),"")</f>
        <v/>
      </c>
      <c r="L902" t="str">
        <f>IFERROR(INDEX(Cluster_Master!$G$4:$G$18,MATCH($F902,Cluster_Master!$B$4:$B$18,0)),"")</f>
        <v/>
      </c>
      <c r="M902" t="str">
        <f>IFERROR(INDEX(Cluster_Master!$H$4:$H$18,MATCH($F902,Cluster_Master!$B$4:$B$18,0)),"")</f>
        <v/>
      </c>
      <c r="AI902" t="str">
        <f t="shared" si="110"/>
        <v/>
      </c>
      <c r="AJ902" t="str">
        <f t="shared" si="111"/>
        <v/>
      </c>
      <c r="AK902" t="str">
        <f>IF(COUNTA(T902:AH902)=0,"",(SUM(T902*KPI_Weights!$B$4,U902*KPI_Weights!$B$5,V902*KPI_Weights!$B$6,W902*KPI_Weights!$B$7,X902*KPI_Weights!$B$8,Y902*KPI_Weights!$B$9,Z902*KPI_Weights!$B$10,AA902*KPI_Weights!$B$11,AB902*KPI_Weights!$B$12,AC902*KPI_Weights!$B$13,AD902*KPI_Weights!$B$14,AE902*KPI_Weights!$B$15,AF902*KPI_Weights!$B$16,AG902*KPI_Weights!$B$17,AH902*KPI_Weights!$B$18))/5)</f>
        <v/>
      </c>
      <c r="AL902" t="str">
        <f t="shared" si="112"/>
        <v/>
      </c>
      <c r="AM902" t="str">
        <f t="shared" si="113"/>
        <v/>
      </c>
      <c r="AN902" t="str">
        <f t="shared" si="114"/>
        <v/>
      </c>
    </row>
    <row r="903" spans="1:40" ht="15" customHeight="1" x14ac:dyDescent="0.2">
      <c r="A903" t="str">
        <f>IF($B903="","",TEXT($B903,"yyyymmdd")&amp;"-"&amp;SUBSTITUTE($F903," ","")&amp;"-"&amp;TEXT(COUNTIF($F$4:F903,$F903),"00"))</f>
        <v/>
      </c>
      <c r="C903" t="str">
        <f t="shared" si="108"/>
        <v/>
      </c>
      <c r="D903" t="str">
        <f t="shared" si="109"/>
        <v/>
      </c>
      <c r="G903" t="str">
        <f>IF(OR($E903="",$F903=""),"",IFERROR(IF($E903=INDEX(Cluster_Master!$A$4:$A$18,MATCH($F903,Cluster_Master!$B$4:$B$18,0)),"OK","CHECK"),"CHECK"))</f>
        <v/>
      </c>
      <c r="H903" t="str">
        <f>IFERROR(INDEX(Cluster_Master!$C$4:$C$18,MATCH($F903,Cluster_Master!$B$4:$B$18,0)),"")</f>
        <v/>
      </c>
      <c r="I903" t="str">
        <f>IFERROR(INDEX(Cluster_Master!$D$4:$D$18,MATCH($F903,Cluster_Master!$B$4:$B$18,0)),"")</f>
        <v/>
      </c>
      <c r="J903" t="str">
        <f>IFERROR(INDEX(Cluster_Master!$E$4:$E$18,MATCH($F903,Cluster_Master!$B$4:$B$18,0)),"")</f>
        <v/>
      </c>
      <c r="K903" t="str">
        <f>IFERROR(INDEX(Cluster_Master!$F$4:$F$18,MATCH($F903,Cluster_Master!$B$4:$B$18,0)),"")</f>
        <v/>
      </c>
      <c r="L903" t="str">
        <f>IFERROR(INDEX(Cluster_Master!$G$4:$G$18,MATCH($F903,Cluster_Master!$B$4:$B$18,0)),"")</f>
        <v/>
      </c>
      <c r="M903" t="str">
        <f>IFERROR(INDEX(Cluster_Master!$H$4:$H$18,MATCH($F903,Cluster_Master!$B$4:$B$18,0)),"")</f>
        <v/>
      </c>
      <c r="AI903" t="str">
        <f t="shared" si="110"/>
        <v/>
      </c>
      <c r="AJ903" t="str">
        <f t="shared" si="111"/>
        <v/>
      </c>
      <c r="AK903" t="str">
        <f>IF(COUNTA(T903:AH903)=0,"",(SUM(T903*KPI_Weights!$B$4,U903*KPI_Weights!$B$5,V903*KPI_Weights!$B$6,W903*KPI_Weights!$B$7,X903*KPI_Weights!$B$8,Y903*KPI_Weights!$B$9,Z903*KPI_Weights!$B$10,AA903*KPI_Weights!$B$11,AB903*KPI_Weights!$B$12,AC903*KPI_Weights!$B$13,AD903*KPI_Weights!$B$14,AE903*KPI_Weights!$B$15,AF903*KPI_Weights!$B$16,AG903*KPI_Weights!$B$17,AH903*KPI_Weights!$B$18))/5)</f>
        <v/>
      </c>
      <c r="AL903" t="str">
        <f t="shared" si="112"/>
        <v/>
      </c>
      <c r="AM903" t="str">
        <f t="shared" si="113"/>
        <v/>
      </c>
      <c r="AN903" t="str">
        <f t="shared" si="114"/>
        <v/>
      </c>
    </row>
    <row r="904" spans="1:40" ht="15" customHeight="1" x14ac:dyDescent="0.2">
      <c r="A904" t="str">
        <f>IF($B904="","",TEXT($B904,"yyyymmdd")&amp;"-"&amp;SUBSTITUTE($F904," ","")&amp;"-"&amp;TEXT(COUNTIF($F$4:F904,$F904),"00"))</f>
        <v/>
      </c>
      <c r="C904" t="str">
        <f t="shared" si="108"/>
        <v/>
      </c>
      <c r="D904" t="str">
        <f t="shared" si="109"/>
        <v/>
      </c>
      <c r="G904" t="str">
        <f>IF(OR($E904="",$F904=""),"",IFERROR(IF($E904=INDEX(Cluster_Master!$A$4:$A$18,MATCH($F904,Cluster_Master!$B$4:$B$18,0)),"OK","CHECK"),"CHECK"))</f>
        <v/>
      </c>
      <c r="H904" t="str">
        <f>IFERROR(INDEX(Cluster_Master!$C$4:$C$18,MATCH($F904,Cluster_Master!$B$4:$B$18,0)),"")</f>
        <v/>
      </c>
      <c r="I904" t="str">
        <f>IFERROR(INDEX(Cluster_Master!$D$4:$D$18,MATCH($F904,Cluster_Master!$B$4:$B$18,0)),"")</f>
        <v/>
      </c>
      <c r="J904" t="str">
        <f>IFERROR(INDEX(Cluster_Master!$E$4:$E$18,MATCH($F904,Cluster_Master!$B$4:$B$18,0)),"")</f>
        <v/>
      </c>
      <c r="K904" t="str">
        <f>IFERROR(INDEX(Cluster_Master!$F$4:$F$18,MATCH($F904,Cluster_Master!$B$4:$B$18,0)),"")</f>
        <v/>
      </c>
      <c r="L904" t="str">
        <f>IFERROR(INDEX(Cluster_Master!$G$4:$G$18,MATCH($F904,Cluster_Master!$B$4:$B$18,0)),"")</f>
        <v/>
      </c>
      <c r="M904" t="str">
        <f>IFERROR(INDEX(Cluster_Master!$H$4:$H$18,MATCH($F904,Cluster_Master!$B$4:$B$18,0)),"")</f>
        <v/>
      </c>
      <c r="AI904" t="str">
        <f t="shared" si="110"/>
        <v/>
      </c>
      <c r="AJ904" t="str">
        <f t="shared" si="111"/>
        <v/>
      </c>
      <c r="AK904" t="str">
        <f>IF(COUNTA(T904:AH904)=0,"",(SUM(T904*KPI_Weights!$B$4,U904*KPI_Weights!$B$5,V904*KPI_Weights!$B$6,W904*KPI_Weights!$B$7,X904*KPI_Weights!$B$8,Y904*KPI_Weights!$B$9,Z904*KPI_Weights!$B$10,AA904*KPI_Weights!$B$11,AB904*KPI_Weights!$B$12,AC904*KPI_Weights!$B$13,AD904*KPI_Weights!$B$14,AE904*KPI_Weights!$B$15,AF904*KPI_Weights!$B$16,AG904*KPI_Weights!$B$17,AH904*KPI_Weights!$B$18))/5)</f>
        <v/>
      </c>
      <c r="AL904" t="str">
        <f t="shared" si="112"/>
        <v/>
      </c>
      <c r="AM904" t="str">
        <f t="shared" si="113"/>
        <v/>
      </c>
      <c r="AN904" t="str">
        <f t="shared" si="114"/>
        <v/>
      </c>
    </row>
    <row r="905" spans="1:40" ht="15" customHeight="1" x14ac:dyDescent="0.2">
      <c r="A905" t="str">
        <f>IF($B905="","",TEXT($B905,"yyyymmdd")&amp;"-"&amp;SUBSTITUTE($F905," ","")&amp;"-"&amp;TEXT(COUNTIF($F$4:F905,$F905),"00"))</f>
        <v/>
      </c>
      <c r="C905" t="str">
        <f t="shared" si="108"/>
        <v/>
      </c>
      <c r="D905" t="str">
        <f t="shared" si="109"/>
        <v/>
      </c>
      <c r="G905" t="str">
        <f>IF(OR($E905="",$F905=""),"",IFERROR(IF($E905=INDEX(Cluster_Master!$A$4:$A$18,MATCH($F905,Cluster_Master!$B$4:$B$18,0)),"OK","CHECK"),"CHECK"))</f>
        <v/>
      </c>
      <c r="H905" t="str">
        <f>IFERROR(INDEX(Cluster_Master!$C$4:$C$18,MATCH($F905,Cluster_Master!$B$4:$B$18,0)),"")</f>
        <v/>
      </c>
      <c r="I905" t="str">
        <f>IFERROR(INDEX(Cluster_Master!$D$4:$D$18,MATCH($F905,Cluster_Master!$B$4:$B$18,0)),"")</f>
        <v/>
      </c>
      <c r="J905" t="str">
        <f>IFERROR(INDEX(Cluster_Master!$E$4:$E$18,MATCH($F905,Cluster_Master!$B$4:$B$18,0)),"")</f>
        <v/>
      </c>
      <c r="K905" t="str">
        <f>IFERROR(INDEX(Cluster_Master!$F$4:$F$18,MATCH($F905,Cluster_Master!$B$4:$B$18,0)),"")</f>
        <v/>
      </c>
      <c r="L905" t="str">
        <f>IFERROR(INDEX(Cluster_Master!$G$4:$G$18,MATCH($F905,Cluster_Master!$B$4:$B$18,0)),"")</f>
        <v/>
      </c>
      <c r="M905" t="str">
        <f>IFERROR(INDEX(Cluster_Master!$H$4:$H$18,MATCH($F905,Cluster_Master!$B$4:$B$18,0)),"")</f>
        <v/>
      </c>
      <c r="AI905" t="str">
        <f t="shared" si="110"/>
        <v/>
      </c>
      <c r="AJ905" t="str">
        <f t="shared" si="111"/>
        <v/>
      </c>
      <c r="AK905" t="str">
        <f>IF(COUNTA(T905:AH905)=0,"",(SUM(T905*KPI_Weights!$B$4,U905*KPI_Weights!$B$5,V905*KPI_Weights!$B$6,W905*KPI_Weights!$B$7,X905*KPI_Weights!$B$8,Y905*KPI_Weights!$B$9,Z905*KPI_Weights!$B$10,AA905*KPI_Weights!$B$11,AB905*KPI_Weights!$B$12,AC905*KPI_Weights!$B$13,AD905*KPI_Weights!$B$14,AE905*KPI_Weights!$B$15,AF905*KPI_Weights!$B$16,AG905*KPI_Weights!$B$17,AH905*KPI_Weights!$B$18))/5)</f>
        <v/>
      </c>
      <c r="AL905" t="str">
        <f t="shared" si="112"/>
        <v/>
      </c>
      <c r="AM905" t="str">
        <f t="shared" si="113"/>
        <v/>
      </c>
      <c r="AN905" t="str">
        <f t="shared" si="114"/>
        <v/>
      </c>
    </row>
    <row r="906" spans="1:40" ht="15" customHeight="1" x14ac:dyDescent="0.2">
      <c r="A906" t="str">
        <f>IF($B906="","",TEXT($B906,"yyyymmdd")&amp;"-"&amp;SUBSTITUTE($F906," ","")&amp;"-"&amp;TEXT(COUNTIF($F$4:F906,$F906),"00"))</f>
        <v/>
      </c>
      <c r="C906" t="str">
        <f t="shared" si="108"/>
        <v/>
      </c>
      <c r="D906" t="str">
        <f t="shared" si="109"/>
        <v/>
      </c>
      <c r="G906" t="str">
        <f>IF(OR($E906="",$F906=""),"",IFERROR(IF($E906=INDEX(Cluster_Master!$A$4:$A$18,MATCH($F906,Cluster_Master!$B$4:$B$18,0)),"OK","CHECK"),"CHECK"))</f>
        <v/>
      </c>
      <c r="H906" t="str">
        <f>IFERROR(INDEX(Cluster_Master!$C$4:$C$18,MATCH($F906,Cluster_Master!$B$4:$B$18,0)),"")</f>
        <v/>
      </c>
      <c r="I906" t="str">
        <f>IFERROR(INDEX(Cluster_Master!$D$4:$D$18,MATCH($F906,Cluster_Master!$B$4:$B$18,0)),"")</f>
        <v/>
      </c>
      <c r="J906" t="str">
        <f>IFERROR(INDEX(Cluster_Master!$E$4:$E$18,MATCH($F906,Cluster_Master!$B$4:$B$18,0)),"")</f>
        <v/>
      </c>
      <c r="K906" t="str">
        <f>IFERROR(INDEX(Cluster_Master!$F$4:$F$18,MATCH($F906,Cluster_Master!$B$4:$B$18,0)),"")</f>
        <v/>
      </c>
      <c r="L906" t="str">
        <f>IFERROR(INDEX(Cluster_Master!$G$4:$G$18,MATCH($F906,Cluster_Master!$B$4:$B$18,0)),"")</f>
        <v/>
      </c>
      <c r="M906" t="str">
        <f>IFERROR(INDEX(Cluster_Master!$H$4:$H$18,MATCH($F906,Cluster_Master!$B$4:$B$18,0)),"")</f>
        <v/>
      </c>
      <c r="AI906" t="str">
        <f t="shared" si="110"/>
        <v/>
      </c>
      <c r="AJ906" t="str">
        <f t="shared" si="111"/>
        <v/>
      </c>
      <c r="AK906" t="str">
        <f>IF(COUNTA(T906:AH906)=0,"",(SUM(T906*KPI_Weights!$B$4,U906*KPI_Weights!$B$5,V906*KPI_Weights!$B$6,W906*KPI_Weights!$B$7,X906*KPI_Weights!$B$8,Y906*KPI_Weights!$B$9,Z906*KPI_Weights!$B$10,AA906*KPI_Weights!$B$11,AB906*KPI_Weights!$B$12,AC906*KPI_Weights!$B$13,AD906*KPI_Weights!$B$14,AE906*KPI_Weights!$B$15,AF906*KPI_Weights!$B$16,AG906*KPI_Weights!$B$17,AH906*KPI_Weights!$B$18))/5)</f>
        <v/>
      </c>
      <c r="AL906" t="str">
        <f t="shared" si="112"/>
        <v/>
      </c>
      <c r="AM906" t="str">
        <f t="shared" si="113"/>
        <v/>
      </c>
      <c r="AN906" t="str">
        <f t="shared" si="114"/>
        <v/>
      </c>
    </row>
    <row r="907" spans="1:40" ht="15" customHeight="1" x14ac:dyDescent="0.2">
      <c r="A907" t="str">
        <f>IF($B907="","",TEXT($B907,"yyyymmdd")&amp;"-"&amp;SUBSTITUTE($F907," ","")&amp;"-"&amp;TEXT(COUNTIF($F$4:F907,$F907),"00"))</f>
        <v/>
      </c>
      <c r="C907" t="str">
        <f t="shared" si="108"/>
        <v/>
      </c>
      <c r="D907" t="str">
        <f t="shared" si="109"/>
        <v/>
      </c>
      <c r="G907" t="str">
        <f>IF(OR($E907="",$F907=""),"",IFERROR(IF($E907=INDEX(Cluster_Master!$A$4:$A$18,MATCH($F907,Cluster_Master!$B$4:$B$18,0)),"OK","CHECK"),"CHECK"))</f>
        <v/>
      </c>
      <c r="H907" t="str">
        <f>IFERROR(INDEX(Cluster_Master!$C$4:$C$18,MATCH($F907,Cluster_Master!$B$4:$B$18,0)),"")</f>
        <v/>
      </c>
      <c r="I907" t="str">
        <f>IFERROR(INDEX(Cluster_Master!$D$4:$D$18,MATCH($F907,Cluster_Master!$B$4:$B$18,0)),"")</f>
        <v/>
      </c>
      <c r="J907" t="str">
        <f>IFERROR(INDEX(Cluster_Master!$E$4:$E$18,MATCH($F907,Cluster_Master!$B$4:$B$18,0)),"")</f>
        <v/>
      </c>
      <c r="K907" t="str">
        <f>IFERROR(INDEX(Cluster_Master!$F$4:$F$18,MATCH($F907,Cluster_Master!$B$4:$B$18,0)),"")</f>
        <v/>
      </c>
      <c r="L907" t="str">
        <f>IFERROR(INDEX(Cluster_Master!$G$4:$G$18,MATCH($F907,Cluster_Master!$B$4:$B$18,0)),"")</f>
        <v/>
      </c>
      <c r="M907" t="str">
        <f>IFERROR(INDEX(Cluster_Master!$H$4:$H$18,MATCH($F907,Cluster_Master!$B$4:$B$18,0)),"")</f>
        <v/>
      </c>
      <c r="AI907" t="str">
        <f t="shared" si="110"/>
        <v/>
      </c>
      <c r="AJ907" t="str">
        <f t="shared" si="111"/>
        <v/>
      </c>
      <c r="AK907" t="str">
        <f>IF(COUNTA(T907:AH907)=0,"",(SUM(T907*KPI_Weights!$B$4,U907*KPI_Weights!$B$5,V907*KPI_Weights!$B$6,W907*KPI_Weights!$B$7,X907*KPI_Weights!$B$8,Y907*KPI_Weights!$B$9,Z907*KPI_Weights!$B$10,AA907*KPI_Weights!$B$11,AB907*KPI_Weights!$B$12,AC907*KPI_Weights!$B$13,AD907*KPI_Weights!$B$14,AE907*KPI_Weights!$B$15,AF907*KPI_Weights!$B$16,AG907*KPI_Weights!$B$17,AH907*KPI_Weights!$B$18))/5)</f>
        <v/>
      </c>
      <c r="AL907" t="str">
        <f t="shared" si="112"/>
        <v/>
      </c>
      <c r="AM907" t="str">
        <f t="shared" si="113"/>
        <v/>
      </c>
      <c r="AN907" t="str">
        <f t="shared" si="114"/>
        <v/>
      </c>
    </row>
    <row r="908" spans="1:40" ht="15" customHeight="1" x14ac:dyDescent="0.2">
      <c r="A908" t="str">
        <f>IF($B908="","",TEXT($B908,"yyyymmdd")&amp;"-"&amp;SUBSTITUTE($F908," ","")&amp;"-"&amp;TEXT(COUNTIF($F$4:F908,$F908),"00"))</f>
        <v/>
      </c>
      <c r="C908" t="str">
        <f t="shared" si="108"/>
        <v/>
      </c>
      <c r="D908" t="str">
        <f t="shared" si="109"/>
        <v/>
      </c>
      <c r="G908" t="str">
        <f>IF(OR($E908="",$F908=""),"",IFERROR(IF($E908=INDEX(Cluster_Master!$A$4:$A$18,MATCH($F908,Cluster_Master!$B$4:$B$18,0)),"OK","CHECK"),"CHECK"))</f>
        <v/>
      </c>
      <c r="H908" t="str">
        <f>IFERROR(INDEX(Cluster_Master!$C$4:$C$18,MATCH($F908,Cluster_Master!$B$4:$B$18,0)),"")</f>
        <v/>
      </c>
      <c r="I908" t="str">
        <f>IFERROR(INDEX(Cluster_Master!$D$4:$D$18,MATCH($F908,Cluster_Master!$B$4:$B$18,0)),"")</f>
        <v/>
      </c>
      <c r="J908" t="str">
        <f>IFERROR(INDEX(Cluster_Master!$E$4:$E$18,MATCH($F908,Cluster_Master!$B$4:$B$18,0)),"")</f>
        <v/>
      </c>
      <c r="K908" t="str">
        <f>IFERROR(INDEX(Cluster_Master!$F$4:$F$18,MATCH($F908,Cluster_Master!$B$4:$B$18,0)),"")</f>
        <v/>
      </c>
      <c r="L908" t="str">
        <f>IFERROR(INDEX(Cluster_Master!$G$4:$G$18,MATCH($F908,Cluster_Master!$B$4:$B$18,0)),"")</f>
        <v/>
      </c>
      <c r="M908" t="str">
        <f>IFERROR(INDEX(Cluster_Master!$H$4:$H$18,MATCH($F908,Cluster_Master!$B$4:$B$18,0)),"")</f>
        <v/>
      </c>
      <c r="AI908" t="str">
        <f t="shared" si="110"/>
        <v/>
      </c>
      <c r="AJ908" t="str">
        <f t="shared" si="111"/>
        <v/>
      </c>
      <c r="AK908" t="str">
        <f>IF(COUNTA(T908:AH908)=0,"",(SUM(T908*KPI_Weights!$B$4,U908*KPI_Weights!$B$5,V908*KPI_Weights!$B$6,W908*KPI_Weights!$B$7,X908*KPI_Weights!$B$8,Y908*KPI_Weights!$B$9,Z908*KPI_Weights!$B$10,AA908*KPI_Weights!$B$11,AB908*KPI_Weights!$B$12,AC908*KPI_Weights!$B$13,AD908*KPI_Weights!$B$14,AE908*KPI_Weights!$B$15,AF908*KPI_Weights!$B$16,AG908*KPI_Weights!$B$17,AH908*KPI_Weights!$B$18))/5)</f>
        <v/>
      </c>
      <c r="AL908" t="str">
        <f t="shared" si="112"/>
        <v/>
      </c>
      <c r="AM908" t="str">
        <f t="shared" si="113"/>
        <v/>
      </c>
      <c r="AN908" t="str">
        <f t="shared" si="114"/>
        <v/>
      </c>
    </row>
    <row r="909" spans="1:40" ht="15" customHeight="1" x14ac:dyDescent="0.2">
      <c r="A909" t="str">
        <f>IF($B909="","",TEXT($B909,"yyyymmdd")&amp;"-"&amp;SUBSTITUTE($F909," ","")&amp;"-"&amp;TEXT(COUNTIF($F$4:F909,$F909),"00"))</f>
        <v/>
      </c>
      <c r="C909" t="str">
        <f t="shared" si="108"/>
        <v/>
      </c>
      <c r="D909" t="str">
        <f t="shared" si="109"/>
        <v/>
      </c>
      <c r="G909" t="str">
        <f>IF(OR($E909="",$F909=""),"",IFERROR(IF($E909=INDEX(Cluster_Master!$A$4:$A$18,MATCH($F909,Cluster_Master!$B$4:$B$18,0)),"OK","CHECK"),"CHECK"))</f>
        <v/>
      </c>
      <c r="H909" t="str">
        <f>IFERROR(INDEX(Cluster_Master!$C$4:$C$18,MATCH($F909,Cluster_Master!$B$4:$B$18,0)),"")</f>
        <v/>
      </c>
      <c r="I909" t="str">
        <f>IFERROR(INDEX(Cluster_Master!$D$4:$D$18,MATCH($F909,Cluster_Master!$B$4:$B$18,0)),"")</f>
        <v/>
      </c>
      <c r="J909" t="str">
        <f>IFERROR(INDEX(Cluster_Master!$E$4:$E$18,MATCH($F909,Cluster_Master!$B$4:$B$18,0)),"")</f>
        <v/>
      </c>
      <c r="K909" t="str">
        <f>IFERROR(INDEX(Cluster_Master!$F$4:$F$18,MATCH($F909,Cluster_Master!$B$4:$B$18,0)),"")</f>
        <v/>
      </c>
      <c r="L909" t="str">
        <f>IFERROR(INDEX(Cluster_Master!$G$4:$G$18,MATCH($F909,Cluster_Master!$B$4:$B$18,0)),"")</f>
        <v/>
      </c>
      <c r="M909" t="str">
        <f>IFERROR(INDEX(Cluster_Master!$H$4:$H$18,MATCH($F909,Cluster_Master!$B$4:$B$18,0)),"")</f>
        <v/>
      </c>
      <c r="AI909" t="str">
        <f t="shared" si="110"/>
        <v/>
      </c>
      <c r="AJ909" t="str">
        <f t="shared" si="111"/>
        <v/>
      </c>
      <c r="AK909" t="str">
        <f>IF(COUNTA(T909:AH909)=0,"",(SUM(T909*KPI_Weights!$B$4,U909*KPI_Weights!$B$5,V909*KPI_Weights!$B$6,W909*KPI_Weights!$B$7,X909*KPI_Weights!$B$8,Y909*KPI_Weights!$B$9,Z909*KPI_Weights!$B$10,AA909*KPI_Weights!$B$11,AB909*KPI_Weights!$B$12,AC909*KPI_Weights!$B$13,AD909*KPI_Weights!$B$14,AE909*KPI_Weights!$B$15,AF909*KPI_Weights!$B$16,AG909*KPI_Weights!$B$17,AH909*KPI_Weights!$B$18))/5)</f>
        <v/>
      </c>
      <c r="AL909" t="str">
        <f t="shared" si="112"/>
        <v/>
      </c>
      <c r="AM909" t="str">
        <f t="shared" si="113"/>
        <v/>
      </c>
      <c r="AN909" t="str">
        <f t="shared" si="114"/>
        <v/>
      </c>
    </row>
    <row r="910" spans="1:40" ht="15" customHeight="1" x14ac:dyDescent="0.2">
      <c r="A910" t="str">
        <f>IF($B910="","",TEXT($B910,"yyyymmdd")&amp;"-"&amp;SUBSTITUTE($F910," ","")&amp;"-"&amp;TEXT(COUNTIF($F$4:F910,$F910),"00"))</f>
        <v/>
      </c>
      <c r="C910" t="str">
        <f t="shared" si="108"/>
        <v/>
      </c>
      <c r="D910" t="str">
        <f t="shared" si="109"/>
        <v/>
      </c>
      <c r="G910" t="str">
        <f>IF(OR($E910="",$F910=""),"",IFERROR(IF($E910=INDEX(Cluster_Master!$A$4:$A$18,MATCH($F910,Cluster_Master!$B$4:$B$18,0)),"OK","CHECK"),"CHECK"))</f>
        <v/>
      </c>
      <c r="H910" t="str">
        <f>IFERROR(INDEX(Cluster_Master!$C$4:$C$18,MATCH($F910,Cluster_Master!$B$4:$B$18,0)),"")</f>
        <v/>
      </c>
      <c r="I910" t="str">
        <f>IFERROR(INDEX(Cluster_Master!$D$4:$D$18,MATCH($F910,Cluster_Master!$B$4:$B$18,0)),"")</f>
        <v/>
      </c>
      <c r="J910" t="str">
        <f>IFERROR(INDEX(Cluster_Master!$E$4:$E$18,MATCH($F910,Cluster_Master!$B$4:$B$18,0)),"")</f>
        <v/>
      </c>
      <c r="K910" t="str">
        <f>IFERROR(INDEX(Cluster_Master!$F$4:$F$18,MATCH($F910,Cluster_Master!$B$4:$B$18,0)),"")</f>
        <v/>
      </c>
      <c r="L910" t="str">
        <f>IFERROR(INDEX(Cluster_Master!$G$4:$G$18,MATCH($F910,Cluster_Master!$B$4:$B$18,0)),"")</f>
        <v/>
      </c>
      <c r="M910" t="str">
        <f>IFERROR(INDEX(Cluster_Master!$H$4:$H$18,MATCH($F910,Cluster_Master!$B$4:$B$18,0)),"")</f>
        <v/>
      </c>
      <c r="AI910" t="str">
        <f t="shared" si="110"/>
        <v/>
      </c>
      <c r="AJ910" t="str">
        <f t="shared" si="111"/>
        <v/>
      </c>
      <c r="AK910" t="str">
        <f>IF(COUNTA(T910:AH910)=0,"",(SUM(T910*KPI_Weights!$B$4,U910*KPI_Weights!$B$5,V910*KPI_Weights!$B$6,W910*KPI_Weights!$B$7,X910*KPI_Weights!$B$8,Y910*KPI_Weights!$B$9,Z910*KPI_Weights!$B$10,AA910*KPI_Weights!$B$11,AB910*KPI_Weights!$B$12,AC910*KPI_Weights!$B$13,AD910*KPI_Weights!$B$14,AE910*KPI_Weights!$B$15,AF910*KPI_Weights!$B$16,AG910*KPI_Weights!$B$17,AH910*KPI_Weights!$B$18))/5)</f>
        <v/>
      </c>
      <c r="AL910" t="str">
        <f t="shared" si="112"/>
        <v/>
      </c>
      <c r="AM910" t="str">
        <f t="shared" si="113"/>
        <v/>
      </c>
      <c r="AN910" t="str">
        <f t="shared" si="114"/>
        <v/>
      </c>
    </row>
    <row r="911" spans="1:40" ht="15" customHeight="1" x14ac:dyDescent="0.2">
      <c r="A911" t="str">
        <f>IF($B911="","",TEXT($B911,"yyyymmdd")&amp;"-"&amp;SUBSTITUTE($F911," ","")&amp;"-"&amp;TEXT(COUNTIF($F$4:F911,$F911),"00"))</f>
        <v/>
      </c>
      <c r="C911" t="str">
        <f t="shared" si="108"/>
        <v/>
      </c>
      <c r="D911" t="str">
        <f t="shared" si="109"/>
        <v/>
      </c>
      <c r="G911" t="str">
        <f>IF(OR($E911="",$F911=""),"",IFERROR(IF($E911=INDEX(Cluster_Master!$A$4:$A$18,MATCH($F911,Cluster_Master!$B$4:$B$18,0)),"OK","CHECK"),"CHECK"))</f>
        <v/>
      </c>
      <c r="H911" t="str">
        <f>IFERROR(INDEX(Cluster_Master!$C$4:$C$18,MATCH($F911,Cluster_Master!$B$4:$B$18,0)),"")</f>
        <v/>
      </c>
      <c r="I911" t="str">
        <f>IFERROR(INDEX(Cluster_Master!$D$4:$D$18,MATCH($F911,Cluster_Master!$B$4:$B$18,0)),"")</f>
        <v/>
      </c>
      <c r="J911" t="str">
        <f>IFERROR(INDEX(Cluster_Master!$E$4:$E$18,MATCH($F911,Cluster_Master!$B$4:$B$18,0)),"")</f>
        <v/>
      </c>
      <c r="K911" t="str">
        <f>IFERROR(INDEX(Cluster_Master!$F$4:$F$18,MATCH($F911,Cluster_Master!$B$4:$B$18,0)),"")</f>
        <v/>
      </c>
      <c r="L911" t="str">
        <f>IFERROR(INDEX(Cluster_Master!$G$4:$G$18,MATCH($F911,Cluster_Master!$B$4:$B$18,0)),"")</f>
        <v/>
      </c>
      <c r="M911" t="str">
        <f>IFERROR(INDEX(Cluster_Master!$H$4:$H$18,MATCH($F911,Cluster_Master!$B$4:$B$18,0)),"")</f>
        <v/>
      </c>
      <c r="AI911" t="str">
        <f t="shared" si="110"/>
        <v/>
      </c>
      <c r="AJ911" t="str">
        <f t="shared" si="111"/>
        <v/>
      </c>
      <c r="AK911" t="str">
        <f>IF(COUNTA(T911:AH911)=0,"",(SUM(T911*KPI_Weights!$B$4,U911*KPI_Weights!$B$5,V911*KPI_Weights!$B$6,W911*KPI_Weights!$B$7,X911*KPI_Weights!$B$8,Y911*KPI_Weights!$B$9,Z911*KPI_Weights!$B$10,AA911*KPI_Weights!$B$11,AB911*KPI_Weights!$B$12,AC911*KPI_Weights!$B$13,AD911*KPI_Weights!$B$14,AE911*KPI_Weights!$B$15,AF911*KPI_Weights!$B$16,AG911*KPI_Weights!$B$17,AH911*KPI_Weights!$B$18))/5)</f>
        <v/>
      </c>
      <c r="AL911" t="str">
        <f t="shared" si="112"/>
        <v/>
      </c>
      <c r="AM911" t="str">
        <f t="shared" si="113"/>
        <v/>
      </c>
      <c r="AN911" t="str">
        <f t="shared" si="114"/>
        <v/>
      </c>
    </row>
    <row r="912" spans="1:40" ht="15" customHeight="1" x14ac:dyDescent="0.2">
      <c r="A912" t="str">
        <f>IF($B912="","",TEXT($B912,"yyyymmdd")&amp;"-"&amp;SUBSTITUTE($F912," ","")&amp;"-"&amp;TEXT(COUNTIF($F$4:F912,$F912),"00"))</f>
        <v/>
      </c>
      <c r="C912" t="str">
        <f t="shared" si="108"/>
        <v/>
      </c>
      <c r="D912" t="str">
        <f t="shared" si="109"/>
        <v/>
      </c>
      <c r="G912" t="str">
        <f>IF(OR($E912="",$F912=""),"",IFERROR(IF($E912=INDEX(Cluster_Master!$A$4:$A$18,MATCH($F912,Cluster_Master!$B$4:$B$18,0)),"OK","CHECK"),"CHECK"))</f>
        <v/>
      </c>
      <c r="H912" t="str">
        <f>IFERROR(INDEX(Cluster_Master!$C$4:$C$18,MATCH($F912,Cluster_Master!$B$4:$B$18,0)),"")</f>
        <v/>
      </c>
      <c r="I912" t="str">
        <f>IFERROR(INDEX(Cluster_Master!$D$4:$D$18,MATCH($F912,Cluster_Master!$B$4:$B$18,0)),"")</f>
        <v/>
      </c>
      <c r="J912" t="str">
        <f>IFERROR(INDEX(Cluster_Master!$E$4:$E$18,MATCH($F912,Cluster_Master!$B$4:$B$18,0)),"")</f>
        <v/>
      </c>
      <c r="K912" t="str">
        <f>IFERROR(INDEX(Cluster_Master!$F$4:$F$18,MATCH($F912,Cluster_Master!$B$4:$B$18,0)),"")</f>
        <v/>
      </c>
      <c r="L912" t="str">
        <f>IFERROR(INDEX(Cluster_Master!$G$4:$G$18,MATCH($F912,Cluster_Master!$B$4:$B$18,0)),"")</f>
        <v/>
      </c>
      <c r="M912" t="str">
        <f>IFERROR(INDEX(Cluster_Master!$H$4:$H$18,MATCH($F912,Cluster_Master!$B$4:$B$18,0)),"")</f>
        <v/>
      </c>
      <c r="AI912" t="str">
        <f t="shared" si="110"/>
        <v/>
      </c>
      <c r="AJ912" t="str">
        <f t="shared" si="111"/>
        <v/>
      </c>
      <c r="AK912" t="str">
        <f>IF(COUNTA(T912:AH912)=0,"",(SUM(T912*KPI_Weights!$B$4,U912*KPI_Weights!$B$5,V912*KPI_Weights!$B$6,W912*KPI_Weights!$B$7,X912*KPI_Weights!$B$8,Y912*KPI_Weights!$B$9,Z912*KPI_Weights!$B$10,AA912*KPI_Weights!$B$11,AB912*KPI_Weights!$B$12,AC912*KPI_Weights!$B$13,AD912*KPI_Weights!$B$14,AE912*KPI_Weights!$B$15,AF912*KPI_Weights!$B$16,AG912*KPI_Weights!$B$17,AH912*KPI_Weights!$B$18))/5)</f>
        <v/>
      </c>
      <c r="AL912" t="str">
        <f t="shared" si="112"/>
        <v/>
      </c>
      <c r="AM912" t="str">
        <f t="shared" si="113"/>
        <v/>
      </c>
      <c r="AN912" t="str">
        <f t="shared" si="114"/>
        <v/>
      </c>
    </row>
    <row r="913" spans="1:40" ht="15" customHeight="1" x14ac:dyDescent="0.2">
      <c r="A913" t="str">
        <f>IF($B913="","",TEXT($B913,"yyyymmdd")&amp;"-"&amp;SUBSTITUTE($F913," ","")&amp;"-"&amp;TEXT(COUNTIF($F$4:F913,$F913),"00"))</f>
        <v/>
      </c>
      <c r="C913" t="str">
        <f t="shared" si="108"/>
        <v/>
      </c>
      <c r="D913" t="str">
        <f t="shared" si="109"/>
        <v/>
      </c>
      <c r="G913" t="str">
        <f>IF(OR($E913="",$F913=""),"",IFERROR(IF($E913=INDEX(Cluster_Master!$A$4:$A$18,MATCH($F913,Cluster_Master!$B$4:$B$18,0)),"OK","CHECK"),"CHECK"))</f>
        <v/>
      </c>
      <c r="H913" t="str">
        <f>IFERROR(INDEX(Cluster_Master!$C$4:$C$18,MATCH($F913,Cluster_Master!$B$4:$B$18,0)),"")</f>
        <v/>
      </c>
      <c r="I913" t="str">
        <f>IFERROR(INDEX(Cluster_Master!$D$4:$D$18,MATCH($F913,Cluster_Master!$B$4:$B$18,0)),"")</f>
        <v/>
      </c>
      <c r="J913" t="str">
        <f>IFERROR(INDEX(Cluster_Master!$E$4:$E$18,MATCH($F913,Cluster_Master!$B$4:$B$18,0)),"")</f>
        <v/>
      </c>
      <c r="K913" t="str">
        <f>IFERROR(INDEX(Cluster_Master!$F$4:$F$18,MATCH($F913,Cluster_Master!$B$4:$B$18,0)),"")</f>
        <v/>
      </c>
      <c r="L913" t="str">
        <f>IFERROR(INDEX(Cluster_Master!$G$4:$G$18,MATCH($F913,Cluster_Master!$B$4:$B$18,0)),"")</f>
        <v/>
      </c>
      <c r="M913" t="str">
        <f>IFERROR(INDEX(Cluster_Master!$H$4:$H$18,MATCH($F913,Cluster_Master!$B$4:$B$18,0)),"")</f>
        <v/>
      </c>
      <c r="AI913" t="str">
        <f t="shared" si="110"/>
        <v/>
      </c>
      <c r="AJ913" t="str">
        <f t="shared" si="111"/>
        <v/>
      </c>
      <c r="AK913" t="str">
        <f>IF(COUNTA(T913:AH913)=0,"",(SUM(T913*KPI_Weights!$B$4,U913*KPI_Weights!$B$5,V913*KPI_Weights!$B$6,W913*KPI_Weights!$B$7,X913*KPI_Weights!$B$8,Y913*KPI_Weights!$B$9,Z913*KPI_Weights!$B$10,AA913*KPI_Weights!$B$11,AB913*KPI_Weights!$B$12,AC913*KPI_Weights!$B$13,AD913*KPI_Weights!$B$14,AE913*KPI_Weights!$B$15,AF913*KPI_Weights!$B$16,AG913*KPI_Weights!$B$17,AH913*KPI_Weights!$B$18))/5)</f>
        <v/>
      </c>
      <c r="AL913" t="str">
        <f t="shared" si="112"/>
        <v/>
      </c>
      <c r="AM913" t="str">
        <f t="shared" si="113"/>
        <v/>
      </c>
      <c r="AN913" t="str">
        <f t="shared" si="114"/>
        <v/>
      </c>
    </row>
    <row r="914" spans="1:40" ht="15" customHeight="1" x14ac:dyDescent="0.2">
      <c r="A914" t="str">
        <f>IF($B914="","",TEXT($B914,"yyyymmdd")&amp;"-"&amp;SUBSTITUTE($F914," ","")&amp;"-"&amp;TEXT(COUNTIF($F$4:F914,$F914),"00"))</f>
        <v/>
      </c>
      <c r="C914" t="str">
        <f t="shared" si="108"/>
        <v/>
      </c>
      <c r="D914" t="str">
        <f t="shared" si="109"/>
        <v/>
      </c>
      <c r="G914" t="str">
        <f>IF(OR($E914="",$F914=""),"",IFERROR(IF($E914=INDEX(Cluster_Master!$A$4:$A$18,MATCH($F914,Cluster_Master!$B$4:$B$18,0)),"OK","CHECK"),"CHECK"))</f>
        <v/>
      </c>
      <c r="H914" t="str">
        <f>IFERROR(INDEX(Cluster_Master!$C$4:$C$18,MATCH($F914,Cluster_Master!$B$4:$B$18,0)),"")</f>
        <v/>
      </c>
      <c r="I914" t="str">
        <f>IFERROR(INDEX(Cluster_Master!$D$4:$D$18,MATCH($F914,Cluster_Master!$B$4:$B$18,0)),"")</f>
        <v/>
      </c>
      <c r="J914" t="str">
        <f>IFERROR(INDEX(Cluster_Master!$E$4:$E$18,MATCH($F914,Cluster_Master!$B$4:$B$18,0)),"")</f>
        <v/>
      </c>
      <c r="K914" t="str">
        <f>IFERROR(INDEX(Cluster_Master!$F$4:$F$18,MATCH($F914,Cluster_Master!$B$4:$B$18,0)),"")</f>
        <v/>
      </c>
      <c r="L914" t="str">
        <f>IFERROR(INDEX(Cluster_Master!$G$4:$G$18,MATCH($F914,Cluster_Master!$B$4:$B$18,0)),"")</f>
        <v/>
      </c>
      <c r="M914" t="str">
        <f>IFERROR(INDEX(Cluster_Master!$H$4:$H$18,MATCH($F914,Cluster_Master!$B$4:$B$18,0)),"")</f>
        <v/>
      </c>
      <c r="AI914" t="str">
        <f t="shared" si="110"/>
        <v/>
      </c>
      <c r="AJ914" t="str">
        <f t="shared" si="111"/>
        <v/>
      </c>
      <c r="AK914" t="str">
        <f>IF(COUNTA(T914:AH914)=0,"",(SUM(T914*KPI_Weights!$B$4,U914*KPI_Weights!$B$5,V914*KPI_Weights!$B$6,W914*KPI_Weights!$B$7,X914*KPI_Weights!$B$8,Y914*KPI_Weights!$B$9,Z914*KPI_Weights!$B$10,AA914*KPI_Weights!$B$11,AB914*KPI_Weights!$B$12,AC914*KPI_Weights!$B$13,AD914*KPI_Weights!$B$14,AE914*KPI_Weights!$B$15,AF914*KPI_Weights!$B$16,AG914*KPI_Weights!$B$17,AH914*KPI_Weights!$B$18))/5)</f>
        <v/>
      </c>
      <c r="AL914" t="str">
        <f t="shared" si="112"/>
        <v/>
      </c>
      <c r="AM914" t="str">
        <f t="shared" si="113"/>
        <v/>
      </c>
      <c r="AN914" t="str">
        <f t="shared" si="114"/>
        <v/>
      </c>
    </row>
    <row r="915" spans="1:40" ht="15" customHeight="1" x14ac:dyDescent="0.2">
      <c r="A915" t="str">
        <f>IF($B915="","",TEXT($B915,"yyyymmdd")&amp;"-"&amp;SUBSTITUTE($F915," ","")&amp;"-"&amp;TEXT(COUNTIF($F$4:F915,$F915),"00"))</f>
        <v/>
      </c>
      <c r="C915" t="str">
        <f t="shared" si="108"/>
        <v/>
      </c>
      <c r="D915" t="str">
        <f t="shared" si="109"/>
        <v/>
      </c>
      <c r="G915" t="str">
        <f>IF(OR($E915="",$F915=""),"",IFERROR(IF($E915=INDEX(Cluster_Master!$A$4:$A$18,MATCH($F915,Cluster_Master!$B$4:$B$18,0)),"OK","CHECK"),"CHECK"))</f>
        <v/>
      </c>
      <c r="H915" t="str">
        <f>IFERROR(INDEX(Cluster_Master!$C$4:$C$18,MATCH($F915,Cluster_Master!$B$4:$B$18,0)),"")</f>
        <v/>
      </c>
      <c r="I915" t="str">
        <f>IFERROR(INDEX(Cluster_Master!$D$4:$D$18,MATCH($F915,Cluster_Master!$B$4:$B$18,0)),"")</f>
        <v/>
      </c>
      <c r="J915" t="str">
        <f>IFERROR(INDEX(Cluster_Master!$E$4:$E$18,MATCH($F915,Cluster_Master!$B$4:$B$18,0)),"")</f>
        <v/>
      </c>
      <c r="K915" t="str">
        <f>IFERROR(INDEX(Cluster_Master!$F$4:$F$18,MATCH($F915,Cluster_Master!$B$4:$B$18,0)),"")</f>
        <v/>
      </c>
      <c r="L915" t="str">
        <f>IFERROR(INDEX(Cluster_Master!$G$4:$G$18,MATCH($F915,Cluster_Master!$B$4:$B$18,0)),"")</f>
        <v/>
      </c>
      <c r="M915" t="str">
        <f>IFERROR(INDEX(Cluster_Master!$H$4:$H$18,MATCH($F915,Cluster_Master!$B$4:$B$18,0)),"")</f>
        <v/>
      </c>
      <c r="AI915" t="str">
        <f t="shared" si="110"/>
        <v/>
      </c>
      <c r="AJ915" t="str">
        <f t="shared" si="111"/>
        <v/>
      </c>
      <c r="AK915" t="str">
        <f>IF(COUNTA(T915:AH915)=0,"",(SUM(T915*KPI_Weights!$B$4,U915*KPI_Weights!$B$5,V915*KPI_Weights!$B$6,W915*KPI_Weights!$B$7,X915*KPI_Weights!$B$8,Y915*KPI_Weights!$B$9,Z915*KPI_Weights!$B$10,AA915*KPI_Weights!$B$11,AB915*KPI_Weights!$B$12,AC915*KPI_Weights!$B$13,AD915*KPI_Weights!$B$14,AE915*KPI_Weights!$B$15,AF915*KPI_Weights!$B$16,AG915*KPI_Weights!$B$17,AH915*KPI_Weights!$B$18))/5)</f>
        <v/>
      </c>
      <c r="AL915" t="str">
        <f t="shared" si="112"/>
        <v/>
      </c>
      <c r="AM915" t="str">
        <f t="shared" si="113"/>
        <v/>
      </c>
      <c r="AN915" t="str">
        <f t="shared" si="114"/>
        <v/>
      </c>
    </row>
    <row r="916" spans="1:40" ht="15" customHeight="1" x14ac:dyDescent="0.2">
      <c r="A916" t="str">
        <f>IF($B916="","",TEXT($B916,"yyyymmdd")&amp;"-"&amp;SUBSTITUTE($F916," ","")&amp;"-"&amp;TEXT(COUNTIF($F$4:F916,$F916),"00"))</f>
        <v/>
      </c>
      <c r="C916" t="str">
        <f t="shared" si="108"/>
        <v/>
      </c>
      <c r="D916" t="str">
        <f t="shared" si="109"/>
        <v/>
      </c>
      <c r="G916" t="str">
        <f>IF(OR($E916="",$F916=""),"",IFERROR(IF($E916=INDEX(Cluster_Master!$A$4:$A$18,MATCH($F916,Cluster_Master!$B$4:$B$18,0)),"OK","CHECK"),"CHECK"))</f>
        <v/>
      </c>
      <c r="H916" t="str">
        <f>IFERROR(INDEX(Cluster_Master!$C$4:$C$18,MATCH($F916,Cluster_Master!$B$4:$B$18,0)),"")</f>
        <v/>
      </c>
      <c r="I916" t="str">
        <f>IFERROR(INDEX(Cluster_Master!$D$4:$D$18,MATCH($F916,Cluster_Master!$B$4:$B$18,0)),"")</f>
        <v/>
      </c>
      <c r="J916" t="str">
        <f>IFERROR(INDEX(Cluster_Master!$E$4:$E$18,MATCH($F916,Cluster_Master!$B$4:$B$18,0)),"")</f>
        <v/>
      </c>
      <c r="K916" t="str">
        <f>IFERROR(INDEX(Cluster_Master!$F$4:$F$18,MATCH($F916,Cluster_Master!$B$4:$B$18,0)),"")</f>
        <v/>
      </c>
      <c r="L916" t="str">
        <f>IFERROR(INDEX(Cluster_Master!$G$4:$G$18,MATCH($F916,Cluster_Master!$B$4:$B$18,0)),"")</f>
        <v/>
      </c>
      <c r="M916" t="str">
        <f>IFERROR(INDEX(Cluster_Master!$H$4:$H$18,MATCH($F916,Cluster_Master!$B$4:$B$18,0)),"")</f>
        <v/>
      </c>
      <c r="AI916" t="str">
        <f t="shared" si="110"/>
        <v/>
      </c>
      <c r="AJ916" t="str">
        <f t="shared" si="111"/>
        <v/>
      </c>
      <c r="AK916" t="str">
        <f>IF(COUNTA(T916:AH916)=0,"",(SUM(T916*KPI_Weights!$B$4,U916*KPI_Weights!$B$5,V916*KPI_Weights!$B$6,W916*KPI_Weights!$B$7,X916*KPI_Weights!$B$8,Y916*KPI_Weights!$B$9,Z916*KPI_Weights!$B$10,AA916*KPI_Weights!$B$11,AB916*KPI_Weights!$B$12,AC916*KPI_Weights!$B$13,AD916*KPI_Weights!$B$14,AE916*KPI_Weights!$B$15,AF916*KPI_Weights!$B$16,AG916*KPI_Weights!$B$17,AH916*KPI_Weights!$B$18))/5)</f>
        <v/>
      </c>
      <c r="AL916" t="str">
        <f t="shared" si="112"/>
        <v/>
      </c>
      <c r="AM916" t="str">
        <f t="shared" si="113"/>
        <v/>
      </c>
      <c r="AN916" t="str">
        <f t="shared" si="114"/>
        <v/>
      </c>
    </row>
    <row r="917" spans="1:40" ht="15" customHeight="1" x14ac:dyDescent="0.2">
      <c r="A917" t="str">
        <f>IF($B917="","",TEXT($B917,"yyyymmdd")&amp;"-"&amp;SUBSTITUTE($F917," ","")&amp;"-"&amp;TEXT(COUNTIF($F$4:F917,$F917),"00"))</f>
        <v/>
      </c>
      <c r="C917" t="str">
        <f t="shared" si="108"/>
        <v/>
      </c>
      <c r="D917" t="str">
        <f t="shared" si="109"/>
        <v/>
      </c>
      <c r="G917" t="str">
        <f>IF(OR($E917="",$F917=""),"",IFERROR(IF($E917=INDEX(Cluster_Master!$A$4:$A$18,MATCH($F917,Cluster_Master!$B$4:$B$18,0)),"OK","CHECK"),"CHECK"))</f>
        <v/>
      </c>
      <c r="H917" t="str">
        <f>IFERROR(INDEX(Cluster_Master!$C$4:$C$18,MATCH($F917,Cluster_Master!$B$4:$B$18,0)),"")</f>
        <v/>
      </c>
      <c r="I917" t="str">
        <f>IFERROR(INDEX(Cluster_Master!$D$4:$D$18,MATCH($F917,Cluster_Master!$B$4:$B$18,0)),"")</f>
        <v/>
      </c>
      <c r="J917" t="str">
        <f>IFERROR(INDEX(Cluster_Master!$E$4:$E$18,MATCH($F917,Cluster_Master!$B$4:$B$18,0)),"")</f>
        <v/>
      </c>
      <c r="K917" t="str">
        <f>IFERROR(INDEX(Cluster_Master!$F$4:$F$18,MATCH($F917,Cluster_Master!$B$4:$B$18,0)),"")</f>
        <v/>
      </c>
      <c r="L917" t="str">
        <f>IFERROR(INDEX(Cluster_Master!$G$4:$G$18,MATCH($F917,Cluster_Master!$B$4:$B$18,0)),"")</f>
        <v/>
      </c>
      <c r="M917" t="str">
        <f>IFERROR(INDEX(Cluster_Master!$H$4:$H$18,MATCH($F917,Cluster_Master!$B$4:$B$18,0)),"")</f>
        <v/>
      </c>
      <c r="AI917" t="str">
        <f t="shared" si="110"/>
        <v/>
      </c>
      <c r="AJ917" t="str">
        <f t="shared" si="111"/>
        <v/>
      </c>
      <c r="AK917" t="str">
        <f>IF(COUNTA(T917:AH917)=0,"",(SUM(T917*KPI_Weights!$B$4,U917*KPI_Weights!$B$5,V917*KPI_Weights!$B$6,W917*KPI_Weights!$B$7,X917*KPI_Weights!$B$8,Y917*KPI_Weights!$B$9,Z917*KPI_Weights!$B$10,AA917*KPI_Weights!$B$11,AB917*KPI_Weights!$B$12,AC917*KPI_Weights!$B$13,AD917*KPI_Weights!$B$14,AE917*KPI_Weights!$B$15,AF917*KPI_Weights!$B$16,AG917*KPI_Weights!$B$17,AH917*KPI_Weights!$B$18))/5)</f>
        <v/>
      </c>
      <c r="AL917" t="str">
        <f t="shared" si="112"/>
        <v/>
      </c>
      <c r="AM917" t="str">
        <f t="shared" si="113"/>
        <v/>
      </c>
      <c r="AN917" t="str">
        <f t="shared" si="114"/>
        <v/>
      </c>
    </row>
    <row r="918" spans="1:40" ht="15" customHeight="1" x14ac:dyDescent="0.2">
      <c r="A918" t="str">
        <f>IF($B918="","",TEXT($B918,"yyyymmdd")&amp;"-"&amp;SUBSTITUTE($F918," ","")&amp;"-"&amp;TEXT(COUNTIF($F$4:F918,$F918),"00"))</f>
        <v/>
      </c>
      <c r="C918" t="str">
        <f t="shared" si="108"/>
        <v/>
      </c>
      <c r="D918" t="str">
        <f t="shared" si="109"/>
        <v/>
      </c>
      <c r="G918" t="str">
        <f>IF(OR($E918="",$F918=""),"",IFERROR(IF($E918=INDEX(Cluster_Master!$A$4:$A$18,MATCH($F918,Cluster_Master!$B$4:$B$18,0)),"OK","CHECK"),"CHECK"))</f>
        <v/>
      </c>
      <c r="H918" t="str">
        <f>IFERROR(INDEX(Cluster_Master!$C$4:$C$18,MATCH($F918,Cluster_Master!$B$4:$B$18,0)),"")</f>
        <v/>
      </c>
      <c r="I918" t="str">
        <f>IFERROR(INDEX(Cluster_Master!$D$4:$D$18,MATCH($F918,Cluster_Master!$B$4:$B$18,0)),"")</f>
        <v/>
      </c>
      <c r="J918" t="str">
        <f>IFERROR(INDEX(Cluster_Master!$E$4:$E$18,MATCH($F918,Cluster_Master!$B$4:$B$18,0)),"")</f>
        <v/>
      </c>
      <c r="K918" t="str">
        <f>IFERROR(INDEX(Cluster_Master!$F$4:$F$18,MATCH($F918,Cluster_Master!$B$4:$B$18,0)),"")</f>
        <v/>
      </c>
      <c r="L918" t="str">
        <f>IFERROR(INDEX(Cluster_Master!$G$4:$G$18,MATCH($F918,Cluster_Master!$B$4:$B$18,0)),"")</f>
        <v/>
      </c>
      <c r="M918" t="str">
        <f>IFERROR(INDEX(Cluster_Master!$H$4:$H$18,MATCH($F918,Cluster_Master!$B$4:$B$18,0)),"")</f>
        <v/>
      </c>
      <c r="AI918" t="str">
        <f t="shared" si="110"/>
        <v/>
      </c>
      <c r="AJ918" t="str">
        <f t="shared" si="111"/>
        <v/>
      </c>
      <c r="AK918" t="str">
        <f>IF(COUNTA(T918:AH918)=0,"",(SUM(T918*KPI_Weights!$B$4,U918*KPI_Weights!$B$5,V918*KPI_Weights!$B$6,W918*KPI_Weights!$B$7,X918*KPI_Weights!$B$8,Y918*KPI_Weights!$B$9,Z918*KPI_Weights!$B$10,AA918*KPI_Weights!$B$11,AB918*KPI_Weights!$B$12,AC918*KPI_Weights!$B$13,AD918*KPI_Weights!$B$14,AE918*KPI_Weights!$B$15,AF918*KPI_Weights!$B$16,AG918*KPI_Weights!$B$17,AH918*KPI_Weights!$B$18))/5)</f>
        <v/>
      </c>
      <c r="AL918" t="str">
        <f t="shared" si="112"/>
        <v/>
      </c>
      <c r="AM918" t="str">
        <f t="shared" si="113"/>
        <v/>
      </c>
      <c r="AN918" t="str">
        <f t="shared" si="114"/>
        <v/>
      </c>
    </row>
    <row r="919" spans="1:40" ht="15" customHeight="1" x14ac:dyDescent="0.2">
      <c r="A919" t="str">
        <f>IF($B919="","",TEXT($B919,"yyyymmdd")&amp;"-"&amp;SUBSTITUTE($F919," ","")&amp;"-"&amp;TEXT(COUNTIF($F$4:F919,$F919),"00"))</f>
        <v/>
      </c>
      <c r="C919" t="str">
        <f t="shared" si="108"/>
        <v/>
      </c>
      <c r="D919" t="str">
        <f t="shared" si="109"/>
        <v/>
      </c>
      <c r="G919" t="str">
        <f>IF(OR($E919="",$F919=""),"",IFERROR(IF($E919=INDEX(Cluster_Master!$A$4:$A$18,MATCH($F919,Cluster_Master!$B$4:$B$18,0)),"OK","CHECK"),"CHECK"))</f>
        <v/>
      </c>
      <c r="H919" t="str">
        <f>IFERROR(INDEX(Cluster_Master!$C$4:$C$18,MATCH($F919,Cluster_Master!$B$4:$B$18,0)),"")</f>
        <v/>
      </c>
      <c r="I919" t="str">
        <f>IFERROR(INDEX(Cluster_Master!$D$4:$D$18,MATCH($F919,Cluster_Master!$B$4:$B$18,0)),"")</f>
        <v/>
      </c>
      <c r="J919" t="str">
        <f>IFERROR(INDEX(Cluster_Master!$E$4:$E$18,MATCH($F919,Cluster_Master!$B$4:$B$18,0)),"")</f>
        <v/>
      </c>
      <c r="K919" t="str">
        <f>IFERROR(INDEX(Cluster_Master!$F$4:$F$18,MATCH($F919,Cluster_Master!$B$4:$B$18,0)),"")</f>
        <v/>
      </c>
      <c r="L919" t="str">
        <f>IFERROR(INDEX(Cluster_Master!$G$4:$G$18,MATCH($F919,Cluster_Master!$B$4:$B$18,0)),"")</f>
        <v/>
      </c>
      <c r="M919" t="str">
        <f>IFERROR(INDEX(Cluster_Master!$H$4:$H$18,MATCH($F919,Cluster_Master!$B$4:$B$18,0)),"")</f>
        <v/>
      </c>
      <c r="AI919" t="str">
        <f t="shared" si="110"/>
        <v/>
      </c>
      <c r="AJ919" t="str">
        <f t="shared" si="111"/>
        <v/>
      </c>
      <c r="AK919" t="str">
        <f>IF(COUNTA(T919:AH919)=0,"",(SUM(T919*KPI_Weights!$B$4,U919*KPI_Weights!$B$5,V919*KPI_Weights!$B$6,W919*KPI_Weights!$B$7,X919*KPI_Weights!$B$8,Y919*KPI_Weights!$B$9,Z919*KPI_Weights!$B$10,AA919*KPI_Weights!$B$11,AB919*KPI_Weights!$B$12,AC919*KPI_Weights!$B$13,AD919*KPI_Weights!$B$14,AE919*KPI_Weights!$B$15,AF919*KPI_Weights!$B$16,AG919*KPI_Weights!$B$17,AH919*KPI_Weights!$B$18))/5)</f>
        <v/>
      </c>
      <c r="AL919" t="str">
        <f t="shared" si="112"/>
        <v/>
      </c>
      <c r="AM919" t="str">
        <f t="shared" si="113"/>
        <v/>
      </c>
      <c r="AN919" t="str">
        <f t="shared" si="114"/>
        <v/>
      </c>
    </row>
    <row r="920" spans="1:40" ht="15" customHeight="1" x14ac:dyDescent="0.2">
      <c r="A920" t="str">
        <f>IF($B920="","",TEXT($B920,"yyyymmdd")&amp;"-"&amp;SUBSTITUTE($F920," ","")&amp;"-"&amp;TEXT(COUNTIF($F$4:F920,$F920),"00"))</f>
        <v/>
      </c>
      <c r="C920" t="str">
        <f t="shared" si="108"/>
        <v/>
      </c>
      <c r="D920" t="str">
        <f t="shared" si="109"/>
        <v/>
      </c>
      <c r="G920" t="str">
        <f>IF(OR($E920="",$F920=""),"",IFERROR(IF($E920=INDEX(Cluster_Master!$A$4:$A$18,MATCH($F920,Cluster_Master!$B$4:$B$18,0)),"OK","CHECK"),"CHECK"))</f>
        <v/>
      </c>
      <c r="H920" t="str">
        <f>IFERROR(INDEX(Cluster_Master!$C$4:$C$18,MATCH($F920,Cluster_Master!$B$4:$B$18,0)),"")</f>
        <v/>
      </c>
      <c r="I920" t="str">
        <f>IFERROR(INDEX(Cluster_Master!$D$4:$D$18,MATCH($F920,Cluster_Master!$B$4:$B$18,0)),"")</f>
        <v/>
      </c>
      <c r="J920" t="str">
        <f>IFERROR(INDEX(Cluster_Master!$E$4:$E$18,MATCH($F920,Cluster_Master!$B$4:$B$18,0)),"")</f>
        <v/>
      </c>
      <c r="K920" t="str">
        <f>IFERROR(INDEX(Cluster_Master!$F$4:$F$18,MATCH($F920,Cluster_Master!$B$4:$B$18,0)),"")</f>
        <v/>
      </c>
      <c r="L920" t="str">
        <f>IFERROR(INDEX(Cluster_Master!$G$4:$G$18,MATCH($F920,Cluster_Master!$B$4:$B$18,0)),"")</f>
        <v/>
      </c>
      <c r="M920" t="str">
        <f>IFERROR(INDEX(Cluster_Master!$H$4:$H$18,MATCH($F920,Cluster_Master!$B$4:$B$18,0)),"")</f>
        <v/>
      </c>
      <c r="AI920" t="str">
        <f t="shared" si="110"/>
        <v/>
      </c>
      <c r="AJ920" t="str">
        <f t="shared" si="111"/>
        <v/>
      </c>
      <c r="AK920" t="str">
        <f>IF(COUNTA(T920:AH920)=0,"",(SUM(T920*KPI_Weights!$B$4,U920*KPI_Weights!$B$5,V920*KPI_Weights!$B$6,W920*KPI_Weights!$B$7,X920*KPI_Weights!$B$8,Y920*KPI_Weights!$B$9,Z920*KPI_Weights!$B$10,AA920*KPI_Weights!$B$11,AB920*KPI_Weights!$B$12,AC920*KPI_Weights!$B$13,AD920*KPI_Weights!$B$14,AE920*KPI_Weights!$B$15,AF920*KPI_Weights!$B$16,AG920*KPI_Weights!$B$17,AH920*KPI_Weights!$B$18))/5)</f>
        <v/>
      </c>
      <c r="AL920" t="str">
        <f t="shared" si="112"/>
        <v/>
      </c>
      <c r="AM920" t="str">
        <f t="shared" si="113"/>
        <v/>
      </c>
      <c r="AN920" t="str">
        <f t="shared" si="114"/>
        <v/>
      </c>
    </row>
    <row r="921" spans="1:40" ht="15" customHeight="1" x14ac:dyDescent="0.2">
      <c r="A921" t="str">
        <f>IF($B921="","",TEXT($B921,"yyyymmdd")&amp;"-"&amp;SUBSTITUTE($F921," ","")&amp;"-"&amp;TEXT(COUNTIF($F$4:F921,$F921),"00"))</f>
        <v/>
      </c>
      <c r="C921" t="str">
        <f t="shared" si="108"/>
        <v/>
      </c>
      <c r="D921" t="str">
        <f t="shared" si="109"/>
        <v/>
      </c>
      <c r="G921" t="str">
        <f>IF(OR($E921="",$F921=""),"",IFERROR(IF($E921=INDEX(Cluster_Master!$A$4:$A$18,MATCH($F921,Cluster_Master!$B$4:$B$18,0)),"OK","CHECK"),"CHECK"))</f>
        <v/>
      </c>
      <c r="H921" t="str">
        <f>IFERROR(INDEX(Cluster_Master!$C$4:$C$18,MATCH($F921,Cluster_Master!$B$4:$B$18,0)),"")</f>
        <v/>
      </c>
      <c r="I921" t="str">
        <f>IFERROR(INDEX(Cluster_Master!$D$4:$D$18,MATCH($F921,Cluster_Master!$B$4:$B$18,0)),"")</f>
        <v/>
      </c>
      <c r="J921" t="str">
        <f>IFERROR(INDEX(Cluster_Master!$E$4:$E$18,MATCH($F921,Cluster_Master!$B$4:$B$18,0)),"")</f>
        <v/>
      </c>
      <c r="K921" t="str">
        <f>IFERROR(INDEX(Cluster_Master!$F$4:$F$18,MATCH($F921,Cluster_Master!$B$4:$B$18,0)),"")</f>
        <v/>
      </c>
      <c r="L921" t="str">
        <f>IFERROR(INDEX(Cluster_Master!$G$4:$G$18,MATCH($F921,Cluster_Master!$B$4:$B$18,0)),"")</f>
        <v/>
      </c>
      <c r="M921" t="str">
        <f>IFERROR(INDEX(Cluster_Master!$H$4:$H$18,MATCH($F921,Cluster_Master!$B$4:$B$18,0)),"")</f>
        <v/>
      </c>
      <c r="AI921" t="str">
        <f t="shared" si="110"/>
        <v/>
      </c>
      <c r="AJ921" t="str">
        <f t="shared" si="111"/>
        <v/>
      </c>
      <c r="AK921" t="str">
        <f>IF(COUNTA(T921:AH921)=0,"",(SUM(T921*KPI_Weights!$B$4,U921*KPI_Weights!$B$5,V921*KPI_Weights!$B$6,W921*KPI_Weights!$B$7,X921*KPI_Weights!$B$8,Y921*KPI_Weights!$B$9,Z921*KPI_Weights!$B$10,AA921*KPI_Weights!$B$11,AB921*KPI_Weights!$B$12,AC921*KPI_Weights!$B$13,AD921*KPI_Weights!$B$14,AE921*KPI_Weights!$B$15,AF921*KPI_Weights!$B$16,AG921*KPI_Weights!$B$17,AH921*KPI_Weights!$B$18))/5)</f>
        <v/>
      </c>
      <c r="AL921" t="str">
        <f t="shared" si="112"/>
        <v/>
      </c>
      <c r="AM921" t="str">
        <f t="shared" si="113"/>
        <v/>
      </c>
      <c r="AN921" t="str">
        <f t="shared" si="114"/>
        <v/>
      </c>
    </row>
    <row r="922" spans="1:40" ht="15" customHeight="1" x14ac:dyDescent="0.2">
      <c r="A922" t="str">
        <f>IF($B922="","",TEXT($B922,"yyyymmdd")&amp;"-"&amp;SUBSTITUTE($F922," ","")&amp;"-"&amp;TEXT(COUNTIF($F$4:F922,$F922),"00"))</f>
        <v/>
      </c>
      <c r="C922" t="str">
        <f t="shared" si="108"/>
        <v/>
      </c>
      <c r="D922" t="str">
        <f t="shared" si="109"/>
        <v/>
      </c>
      <c r="G922" t="str">
        <f>IF(OR($E922="",$F922=""),"",IFERROR(IF($E922=INDEX(Cluster_Master!$A$4:$A$18,MATCH($F922,Cluster_Master!$B$4:$B$18,0)),"OK","CHECK"),"CHECK"))</f>
        <v/>
      </c>
      <c r="H922" t="str">
        <f>IFERROR(INDEX(Cluster_Master!$C$4:$C$18,MATCH($F922,Cluster_Master!$B$4:$B$18,0)),"")</f>
        <v/>
      </c>
      <c r="I922" t="str">
        <f>IFERROR(INDEX(Cluster_Master!$D$4:$D$18,MATCH($F922,Cluster_Master!$B$4:$B$18,0)),"")</f>
        <v/>
      </c>
      <c r="J922" t="str">
        <f>IFERROR(INDEX(Cluster_Master!$E$4:$E$18,MATCH($F922,Cluster_Master!$B$4:$B$18,0)),"")</f>
        <v/>
      </c>
      <c r="K922" t="str">
        <f>IFERROR(INDEX(Cluster_Master!$F$4:$F$18,MATCH($F922,Cluster_Master!$B$4:$B$18,0)),"")</f>
        <v/>
      </c>
      <c r="L922" t="str">
        <f>IFERROR(INDEX(Cluster_Master!$G$4:$G$18,MATCH($F922,Cluster_Master!$B$4:$B$18,0)),"")</f>
        <v/>
      </c>
      <c r="M922" t="str">
        <f>IFERROR(INDEX(Cluster_Master!$H$4:$H$18,MATCH($F922,Cluster_Master!$B$4:$B$18,0)),"")</f>
        <v/>
      </c>
      <c r="AI922" t="str">
        <f t="shared" si="110"/>
        <v/>
      </c>
      <c r="AJ922" t="str">
        <f t="shared" si="111"/>
        <v/>
      </c>
      <c r="AK922" t="str">
        <f>IF(COUNTA(T922:AH922)=0,"",(SUM(T922*KPI_Weights!$B$4,U922*KPI_Weights!$B$5,V922*KPI_Weights!$B$6,W922*KPI_Weights!$B$7,X922*KPI_Weights!$B$8,Y922*KPI_Weights!$B$9,Z922*KPI_Weights!$B$10,AA922*KPI_Weights!$B$11,AB922*KPI_Weights!$B$12,AC922*KPI_Weights!$B$13,AD922*KPI_Weights!$B$14,AE922*KPI_Weights!$B$15,AF922*KPI_Weights!$B$16,AG922*KPI_Weights!$B$17,AH922*KPI_Weights!$B$18))/5)</f>
        <v/>
      </c>
      <c r="AL922" t="str">
        <f t="shared" si="112"/>
        <v/>
      </c>
      <c r="AM922" t="str">
        <f t="shared" si="113"/>
        <v/>
      </c>
      <c r="AN922" t="str">
        <f t="shared" si="114"/>
        <v/>
      </c>
    </row>
    <row r="923" spans="1:40" ht="15" customHeight="1" x14ac:dyDescent="0.2">
      <c r="A923" t="str">
        <f>IF($B923="","",TEXT($B923,"yyyymmdd")&amp;"-"&amp;SUBSTITUTE($F923," ","")&amp;"-"&amp;TEXT(COUNTIF($F$4:F923,$F923),"00"))</f>
        <v/>
      </c>
      <c r="C923" t="str">
        <f t="shared" si="108"/>
        <v/>
      </c>
      <c r="D923" t="str">
        <f t="shared" si="109"/>
        <v/>
      </c>
      <c r="G923" t="str">
        <f>IF(OR($E923="",$F923=""),"",IFERROR(IF($E923=INDEX(Cluster_Master!$A$4:$A$18,MATCH($F923,Cluster_Master!$B$4:$B$18,0)),"OK","CHECK"),"CHECK"))</f>
        <v/>
      </c>
      <c r="H923" t="str">
        <f>IFERROR(INDEX(Cluster_Master!$C$4:$C$18,MATCH($F923,Cluster_Master!$B$4:$B$18,0)),"")</f>
        <v/>
      </c>
      <c r="I923" t="str">
        <f>IFERROR(INDEX(Cluster_Master!$D$4:$D$18,MATCH($F923,Cluster_Master!$B$4:$B$18,0)),"")</f>
        <v/>
      </c>
      <c r="J923" t="str">
        <f>IFERROR(INDEX(Cluster_Master!$E$4:$E$18,MATCH($F923,Cluster_Master!$B$4:$B$18,0)),"")</f>
        <v/>
      </c>
      <c r="K923" t="str">
        <f>IFERROR(INDEX(Cluster_Master!$F$4:$F$18,MATCH($F923,Cluster_Master!$B$4:$B$18,0)),"")</f>
        <v/>
      </c>
      <c r="L923" t="str">
        <f>IFERROR(INDEX(Cluster_Master!$G$4:$G$18,MATCH($F923,Cluster_Master!$B$4:$B$18,0)),"")</f>
        <v/>
      </c>
      <c r="M923" t="str">
        <f>IFERROR(INDEX(Cluster_Master!$H$4:$H$18,MATCH($F923,Cluster_Master!$B$4:$B$18,0)),"")</f>
        <v/>
      </c>
      <c r="AI923" t="str">
        <f t="shared" si="110"/>
        <v/>
      </c>
      <c r="AJ923" t="str">
        <f t="shared" si="111"/>
        <v/>
      </c>
      <c r="AK923" t="str">
        <f>IF(COUNTA(T923:AH923)=0,"",(SUM(T923*KPI_Weights!$B$4,U923*KPI_Weights!$B$5,V923*KPI_Weights!$B$6,W923*KPI_Weights!$B$7,X923*KPI_Weights!$B$8,Y923*KPI_Weights!$B$9,Z923*KPI_Weights!$B$10,AA923*KPI_Weights!$B$11,AB923*KPI_Weights!$B$12,AC923*KPI_Weights!$B$13,AD923*KPI_Weights!$B$14,AE923*KPI_Weights!$B$15,AF923*KPI_Weights!$B$16,AG923*KPI_Weights!$B$17,AH923*KPI_Weights!$B$18))/5)</f>
        <v/>
      </c>
      <c r="AL923" t="str">
        <f t="shared" si="112"/>
        <v/>
      </c>
      <c r="AM923" t="str">
        <f t="shared" si="113"/>
        <v/>
      </c>
      <c r="AN923" t="str">
        <f t="shared" si="114"/>
        <v/>
      </c>
    </row>
    <row r="924" spans="1:40" ht="15" customHeight="1" x14ac:dyDescent="0.2">
      <c r="A924" t="str">
        <f>IF($B924="","",TEXT($B924,"yyyymmdd")&amp;"-"&amp;SUBSTITUTE($F924," ","")&amp;"-"&amp;TEXT(COUNTIF($F$4:F924,$F924),"00"))</f>
        <v/>
      </c>
      <c r="C924" t="str">
        <f t="shared" si="108"/>
        <v/>
      </c>
      <c r="D924" t="str">
        <f t="shared" si="109"/>
        <v/>
      </c>
      <c r="G924" t="str">
        <f>IF(OR($E924="",$F924=""),"",IFERROR(IF($E924=INDEX(Cluster_Master!$A$4:$A$18,MATCH($F924,Cluster_Master!$B$4:$B$18,0)),"OK","CHECK"),"CHECK"))</f>
        <v/>
      </c>
      <c r="H924" t="str">
        <f>IFERROR(INDEX(Cluster_Master!$C$4:$C$18,MATCH($F924,Cluster_Master!$B$4:$B$18,0)),"")</f>
        <v/>
      </c>
      <c r="I924" t="str">
        <f>IFERROR(INDEX(Cluster_Master!$D$4:$D$18,MATCH($F924,Cluster_Master!$B$4:$B$18,0)),"")</f>
        <v/>
      </c>
      <c r="J924" t="str">
        <f>IFERROR(INDEX(Cluster_Master!$E$4:$E$18,MATCH($F924,Cluster_Master!$B$4:$B$18,0)),"")</f>
        <v/>
      </c>
      <c r="K924" t="str">
        <f>IFERROR(INDEX(Cluster_Master!$F$4:$F$18,MATCH($F924,Cluster_Master!$B$4:$B$18,0)),"")</f>
        <v/>
      </c>
      <c r="L924" t="str">
        <f>IFERROR(INDEX(Cluster_Master!$G$4:$G$18,MATCH($F924,Cluster_Master!$B$4:$B$18,0)),"")</f>
        <v/>
      </c>
      <c r="M924" t="str">
        <f>IFERROR(INDEX(Cluster_Master!$H$4:$H$18,MATCH($F924,Cluster_Master!$B$4:$B$18,0)),"")</f>
        <v/>
      </c>
      <c r="AI924" t="str">
        <f t="shared" si="110"/>
        <v/>
      </c>
      <c r="AJ924" t="str">
        <f t="shared" si="111"/>
        <v/>
      </c>
      <c r="AK924" t="str">
        <f>IF(COUNTA(T924:AH924)=0,"",(SUM(T924*KPI_Weights!$B$4,U924*KPI_Weights!$B$5,V924*KPI_Weights!$B$6,W924*KPI_Weights!$B$7,X924*KPI_Weights!$B$8,Y924*KPI_Weights!$B$9,Z924*KPI_Weights!$B$10,AA924*KPI_Weights!$B$11,AB924*KPI_Weights!$B$12,AC924*KPI_Weights!$B$13,AD924*KPI_Weights!$B$14,AE924*KPI_Weights!$B$15,AF924*KPI_Weights!$B$16,AG924*KPI_Weights!$B$17,AH924*KPI_Weights!$B$18))/5)</f>
        <v/>
      </c>
      <c r="AL924" t="str">
        <f t="shared" si="112"/>
        <v/>
      </c>
      <c r="AM924" t="str">
        <f t="shared" si="113"/>
        <v/>
      </c>
      <c r="AN924" t="str">
        <f t="shared" si="114"/>
        <v/>
      </c>
    </row>
    <row r="925" spans="1:40" ht="15" customHeight="1" x14ac:dyDescent="0.2">
      <c r="A925" t="str">
        <f>IF($B925="","",TEXT($B925,"yyyymmdd")&amp;"-"&amp;SUBSTITUTE($F925," ","")&amp;"-"&amp;TEXT(COUNTIF($F$4:F925,$F925),"00"))</f>
        <v/>
      </c>
      <c r="C925" t="str">
        <f t="shared" si="108"/>
        <v/>
      </c>
      <c r="D925" t="str">
        <f t="shared" si="109"/>
        <v/>
      </c>
      <c r="G925" t="str">
        <f>IF(OR($E925="",$F925=""),"",IFERROR(IF($E925=INDEX(Cluster_Master!$A$4:$A$18,MATCH($F925,Cluster_Master!$B$4:$B$18,0)),"OK","CHECK"),"CHECK"))</f>
        <v/>
      </c>
      <c r="H925" t="str">
        <f>IFERROR(INDEX(Cluster_Master!$C$4:$C$18,MATCH($F925,Cluster_Master!$B$4:$B$18,0)),"")</f>
        <v/>
      </c>
      <c r="I925" t="str">
        <f>IFERROR(INDEX(Cluster_Master!$D$4:$D$18,MATCH($F925,Cluster_Master!$B$4:$B$18,0)),"")</f>
        <v/>
      </c>
      <c r="J925" t="str">
        <f>IFERROR(INDEX(Cluster_Master!$E$4:$E$18,MATCH($F925,Cluster_Master!$B$4:$B$18,0)),"")</f>
        <v/>
      </c>
      <c r="K925" t="str">
        <f>IFERROR(INDEX(Cluster_Master!$F$4:$F$18,MATCH($F925,Cluster_Master!$B$4:$B$18,0)),"")</f>
        <v/>
      </c>
      <c r="L925" t="str">
        <f>IFERROR(INDEX(Cluster_Master!$G$4:$G$18,MATCH($F925,Cluster_Master!$B$4:$B$18,0)),"")</f>
        <v/>
      </c>
      <c r="M925" t="str">
        <f>IFERROR(INDEX(Cluster_Master!$H$4:$H$18,MATCH($F925,Cluster_Master!$B$4:$B$18,0)),"")</f>
        <v/>
      </c>
      <c r="AI925" t="str">
        <f t="shared" si="110"/>
        <v/>
      </c>
      <c r="AJ925" t="str">
        <f t="shared" si="111"/>
        <v/>
      </c>
      <c r="AK925" t="str">
        <f>IF(COUNTA(T925:AH925)=0,"",(SUM(T925*KPI_Weights!$B$4,U925*KPI_Weights!$B$5,V925*KPI_Weights!$B$6,W925*KPI_Weights!$B$7,X925*KPI_Weights!$B$8,Y925*KPI_Weights!$B$9,Z925*KPI_Weights!$B$10,AA925*KPI_Weights!$B$11,AB925*KPI_Weights!$B$12,AC925*KPI_Weights!$B$13,AD925*KPI_Weights!$B$14,AE925*KPI_Weights!$B$15,AF925*KPI_Weights!$B$16,AG925*KPI_Weights!$B$17,AH925*KPI_Weights!$B$18))/5)</f>
        <v/>
      </c>
      <c r="AL925" t="str">
        <f t="shared" si="112"/>
        <v/>
      </c>
      <c r="AM925" t="str">
        <f t="shared" si="113"/>
        <v/>
      </c>
      <c r="AN925" t="str">
        <f t="shared" si="114"/>
        <v/>
      </c>
    </row>
    <row r="926" spans="1:40" ht="15" customHeight="1" x14ac:dyDescent="0.2">
      <c r="A926" t="str">
        <f>IF($B926="","",TEXT($B926,"yyyymmdd")&amp;"-"&amp;SUBSTITUTE($F926," ","")&amp;"-"&amp;TEXT(COUNTIF($F$4:F926,$F926),"00"))</f>
        <v/>
      </c>
      <c r="C926" t="str">
        <f t="shared" si="108"/>
        <v/>
      </c>
      <c r="D926" t="str">
        <f t="shared" si="109"/>
        <v/>
      </c>
      <c r="G926" t="str">
        <f>IF(OR($E926="",$F926=""),"",IFERROR(IF($E926=INDEX(Cluster_Master!$A$4:$A$18,MATCH($F926,Cluster_Master!$B$4:$B$18,0)),"OK","CHECK"),"CHECK"))</f>
        <v/>
      </c>
      <c r="H926" t="str">
        <f>IFERROR(INDEX(Cluster_Master!$C$4:$C$18,MATCH($F926,Cluster_Master!$B$4:$B$18,0)),"")</f>
        <v/>
      </c>
      <c r="I926" t="str">
        <f>IFERROR(INDEX(Cluster_Master!$D$4:$D$18,MATCH($F926,Cluster_Master!$B$4:$B$18,0)),"")</f>
        <v/>
      </c>
      <c r="J926" t="str">
        <f>IFERROR(INDEX(Cluster_Master!$E$4:$E$18,MATCH($F926,Cluster_Master!$B$4:$B$18,0)),"")</f>
        <v/>
      </c>
      <c r="K926" t="str">
        <f>IFERROR(INDEX(Cluster_Master!$F$4:$F$18,MATCH($F926,Cluster_Master!$B$4:$B$18,0)),"")</f>
        <v/>
      </c>
      <c r="L926" t="str">
        <f>IFERROR(INDEX(Cluster_Master!$G$4:$G$18,MATCH($F926,Cluster_Master!$B$4:$B$18,0)),"")</f>
        <v/>
      </c>
      <c r="M926" t="str">
        <f>IFERROR(INDEX(Cluster_Master!$H$4:$H$18,MATCH($F926,Cluster_Master!$B$4:$B$18,0)),"")</f>
        <v/>
      </c>
      <c r="AI926" t="str">
        <f t="shared" si="110"/>
        <v/>
      </c>
      <c r="AJ926" t="str">
        <f t="shared" si="111"/>
        <v/>
      </c>
      <c r="AK926" t="str">
        <f>IF(COUNTA(T926:AH926)=0,"",(SUM(T926*KPI_Weights!$B$4,U926*KPI_Weights!$B$5,V926*KPI_Weights!$B$6,W926*KPI_Weights!$B$7,X926*KPI_Weights!$B$8,Y926*KPI_Weights!$B$9,Z926*KPI_Weights!$B$10,AA926*KPI_Weights!$B$11,AB926*KPI_Weights!$B$12,AC926*KPI_Weights!$B$13,AD926*KPI_Weights!$B$14,AE926*KPI_Weights!$B$15,AF926*KPI_Weights!$B$16,AG926*KPI_Weights!$B$17,AH926*KPI_Weights!$B$18))/5)</f>
        <v/>
      </c>
      <c r="AL926" t="str">
        <f t="shared" si="112"/>
        <v/>
      </c>
      <c r="AM926" t="str">
        <f t="shared" si="113"/>
        <v/>
      </c>
      <c r="AN926" t="str">
        <f t="shared" si="114"/>
        <v/>
      </c>
    </row>
    <row r="927" spans="1:40" ht="15" customHeight="1" x14ac:dyDescent="0.2">
      <c r="A927" t="str">
        <f>IF($B927="","",TEXT($B927,"yyyymmdd")&amp;"-"&amp;SUBSTITUTE($F927," ","")&amp;"-"&amp;TEXT(COUNTIF($F$4:F927,$F927),"00"))</f>
        <v/>
      </c>
      <c r="C927" t="str">
        <f t="shared" si="108"/>
        <v/>
      </c>
      <c r="D927" t="str">
        <f t="shared" si="109"/>
        <v/>
      </c>
      <c r="G927" t="str">
        <f>IF(OR($E927="",$F927=""),"",IFERROR(IF($E927=INDEX(Cluster_Master!$A$4:$A$18,MATCH($F927,Cluster_Master!$B$4:$B$18,0)),"OK","CHECK"),"CHECK"))</f>
        <v/>
      </c>
      <c r="H927" t="str">
        <f>IFERROR(INDEX(Cluster_Master!$C$4:$C$18,MATCH($F927,Cluster_Master!$B$4:$B$18,0)),"")</f>
        <v/>
      </c>
      <c r="I927" t="str">
        <f>IFERROR(INDEX(Cluster_Master!$D$4:$D$18,MATCH($F927,Cluster_Master!$B$4:$B$18,0)),"")</f>
        <v/>
      </c>
      <c r="J927" t="str">
        <f>IFERROR(INDEX(Cluster_Master!$E$4:$E$18,MATCH($F927,Cluster_Master!$B$4:$B$18,0)),"")</f>
        <v/>
      </c>
      <c r="K927" t="str">
        <f>IFERROR(INDEX(Cluster_Master!$F$4:$F$18,MATCH($F927,Cluster_Master!$B$4:$B$18,0)),"")</f>
        <v/>
      </c>
      <c r="L927" t="str">
        <f>IFERROR(INDEX(Cluster_Master!$G$4:$G$18,MATCH($F927,Cluster_Master!$B$4:$B$18,0)),"")</f>
        <v/>
      </c>
      <c r="M927" t="str">
        <f>IFERROR(INDEX(Cluster_Master!$H$4:$H$18,MATCH($F927,Cluster_Master!$B$4:$B$18,0)),"")</f>
        <v/>
      </c>
      <c r="AI927" t="str">
        <f t="shared" si="110"/>
        <v/>
      </c>
      <c r="AJ927" t="str">
        <f t="shared" si="111"/>
        <v/>
      </c>
      <c r="AK927" t="str">
        <f>IF(COUNTA(T927:AH927)=0,"",(SUM(T927*KPI_Weights!$B$4,U927*KPI_Weights!$B$5,V927*KPI_Weights!$B$6,W927*KPI_Weights!$B$7,X927*KPI_Weights!$B$8,Y927*KPI_Weights!$B$9,Z927*KPI_Weights!$B$10,AA927*KPI_Weights!$B$11,AB927*KPI_Weights!$B$12,AC927*KPI_Weights!$B$13,AD927*KPI_Weights!$B$14,AE927*KPI_Weights!$B$15,AF927*KPI_Weights!$B$16,AG927*KPI_Weights!$B$17,AH927*KPI_Weights!$B$18))/5)</f>
        <v/>
      </c>
      <c r="AL927" t="str">
        <f t="shared" si="112"/>
        <v/>
      </c>
      <c r="AM927" t="str">
        <f t="shared" si="113"/>
        <v/>
      </c>
      <c r="AN927" t="str">
        <f t="shared" si="114"/>
        <v/>
      </c>
    </row>
    <row r="928" spans="1:40" ht="15" customHeight="1" x14ac:dyDescent="0.2">
      <c r="A928" t="str">
        <f>IF($B928="","",TEXT($B928,"yyyymmdd")&amp;"-"&amp;SUBSTITUTE($F928," ","")&amp;"-"&amp;TEXT(COUNTIF($F$4:F928,$F928),"00"))</f>
        <v/>
      </c>
      <c r="C928" t="str">
        <f t="shared" si="108"/>
        <v/>
      </c>
      <c r="D928" t="str">
        <f t="shared" si="109"/>
        <v/>
      </c>
      <c r="G928" t="str">
        <f>IF(OR($E928="",$F928=""),"",IFERROR(IF($E928=INDEX(Cluster_Master!$A$4:$A$18,MATCH($F928,Cluster_Master!$B$4:$B$18,0)),"OK","CHECK"),"CHECK"))</f>
        <v/>
      </c>
      <c r="H928" t="str">
        <f>IFERROR(INDEX(Cluster_Master!$C$4:$C$18,MATCH($F928,Cluster_Master!$B$4:$B$18,0)),"")</f>
        <v/>
      </c>
      <c r="I928" t="str">
        <f>IFERROR(INDEX(Cluster_Master!$D$4:$D$18,MATCH($F928,Cluster_Master!$B$4:$B$18,0)),"")</f>
        <v/>
      </c>
      <c r="J928" t="str">
        <f>IFERROR(INDEX(Cluster_Master!$E$4:$E$18,MATCH($F928,Cluster_Master!$B$4:$B$18,0)),"")</f>
        <v/>
      </c>
      <c r="K928" t="str">
        <f>IFERROR(INDEX(Cluster_Master!$F$4:$F$18,MATCH($F928,Cluster_Master!$B$4:$B$18,0)),"")</f>
        <v/>
      </c>
      <c r="L928" t="str">
        <f>IFERROR(INDEX(Cluster_Master!$G$4:$G$18,MATCH($F928,Cluster_Master!$B$4:$B$18,0)),"")</f>
        <v/>
      </c>
      <c r="M928" t="str">
        <f>IFERROR(INDEX(Cluster_Master!$H$4:$H$18,MATCH($F928,Cluster_Master!$B$4:$B$18,0)),"")</f>
        <v/>
      </c>
      <c r="AI928" t="str">
        <f t="shared" si="110"/>
        <v/>
      </c>
      <c r="AJ928" t="str">
        <f t="shared" si="111"/>
        <v/>
      </c>
      <c r="AK928" t="str">
        <f>IF(COUNTA(T928:AH928)=0,"",(SUM(T928*KPI_Weights!$B$4,U928*KPI_Weights!$B$5,V928*KPI_Weights!$B$6,W928*KPI_Weights!$B$7,X928*KPI_Weights!$B$8,Y928*KPI_Weights!$B$9,Z928*KPI_Weights!$B$10,AA928*KPI_Weights!$B$11,AB928*KPI_Weights!$B$12,AC928*KPI_Weights!$B$13,AD928*KPI_Weights!$B$14,AE928*KPI_Weights!$B$15,AF928*KPI_Weights!$B$16,AG928*KPI_Weights!$B$17,AH928*KPI_Weights!$B$18))/5)</f>
        <v/>
      </c>
      <c r="AL928" t="str">
        <f t="shared" si="112"/>
        <v/>
      </c>
      <c r="AM928" t="str">
        <f t="shared" si="113"/>
        <v/>
      </c>
      <c r="AN928" t="str">
        <f t="shared" si="114"/>
        <v/>
      </c>
    </row>
    <row r="929" spans="1:40" ht="15" customHeight="1" x14ac:dyDescent="0.2">
      <c r="A929" t="str">
        <f>IF($B929="","",TEXT($B929,"yyyymmdd")&amp;"-"&amp;SUBSTITUTE($F929," ","")&amp;"-"&amp;TEXT(COUNTIF($F$4:F929,$F929),"00"))</f>
        <v/>
      </c>
      <c r="C929" t="str">
        <f t="shared" si="108"/>
        <v/>
      </c>
      <c r="D929" t="str">
        <f t="shared" si="109"/>
        <v/>
      </c>
      <c r="G929" t="str">
        <f>IF(OR($E929="",$F929=""),"",IFERROR(IF($E929=INDEX(Cluster_Master!$A$4:$A$18,MATCH($F929,Cluster_Master!$B$4:$B$18,0)),"OK","CHECK"),"CHECK"))</f>
        <v/>
      </c>
      <c r="H929" t="str">
        <f>IFERROR(INDEX(Cluster_Master!$C$4:$C$18,MATCH($F929,Cluster_Master!$B$4:$B$18,0)),"")</f>
        <v/>
      </c>
      <c r="I929" t="str">
        <f>IFERROR(INDEX(Cluster_Master!$D$4:$D$18,MATCH($F929,Cluster_Master!$B$4:$B$18,0)),"")</f>
        <v/>
      </c>
      <c r="J929" t="str">
        <f>IFERROR(INDEX(Cluster_Master!$E$4:$E$18,MATCH($F929,Cluster_Master!$B$4:$B$18,0)),"")</f>
        <v/>
      </c>
      <c r="K929" t="str">
        <f>IFERROR(INDEX(Cluster_Master!$F$4:$F$18,MATCH($F929,Cluster_Master!$B$4:$B$18,0)),"")</f>
        <v/>
      </c>
      <c r="L929" t="str">
        <f>IFERROR(INDEX(Cluster_Master!$G$4:$G$18,MATCH($F929,Cluster_Master!$B$4:$B$18,0)),"")</f>
        <v/>
      </c>
      <c r="M929" t="str">
        <f>IFERROR(INDEX(Cluster_Master!$H$4:$H$18,MATCH($F929,Cluster_Master!$B$4:$B$18,0)),"")</f>
        <v/>
      </c>
      <c r="AI929" t="str">
        <f t="shared" si="110"/>
        <v/>
      </c>
      <c r="AJ929" t="str">
        <f t="shared" si="111"/>
        <v/>
      </c>
      <c r="AK929" t="str">
        <f>IF(COUNTA(T929:AH929)=0,"",(SUM(T929*KPI_Weights!$B$4,U929*KPI_Weights!$B$5,V929*KPI_Weights!$B$6,W929*KPI_Weights!$B$7,X929*KPI_Weights!$B$8,Y929*KPI_Weights!$B$9,Z929*KPI_Weights!$B$10,AA929*KPI_Weights!$B$11,AB929*KPI_Weights!$B$12,AC929*KPI_Weights!$B$13,AD929*KPI_Weights!$B$14,AE929*KPI_Weights!$B$15,AF929*KPI_Weights!$B$16,AG929*KPI_Weights!$B$17,AH929*KPI_Weights!$B$18))/5)</f>
        <v/>
      </c>
      <c r="AL929" t="str">
        <f t="shared" si="112"/>
        <v/>
      </c>
      <c r="AM929" t="str">
        <f t="shared" si="113"/>
        <v/>
      </c>
      <c r="AN929" t="str">
        <f t="shared" si="114"/>
        <v/>
      </c>
    </row>
    <row r="930" spans="1:40" ht="15" customHeight="1" x14ac:dyDescent="0.2">
      <c r="A930" t="str">
        <f>IF($B930="","",TEXT($B930,"yyyymmdd")&amp;"-"&amp;SUBSTITUTE($F930," ","")&amp;"-"&amp;TEXT(COUNTIF($F$4:F930,$F930),"00"))</f>
        <v/>
      </c>
      <c r="C930" t="str">
        <f t="shared" si="108"/>
        <v/>
      </c>
      <c r="D930" t="str">
        <f t="shared" si="109"/>
        <v/>
      </c>
      <c r="G930" t="str">
        <f>IF(OR($E930="",$F930=""),"",IFERROR(IF($E930=INDEX(Cluster_Master!$A$4:$A$18,MATCH($F930,Cluster_Master!$B$4:$B$18,0)),"OK","CHECK"),"CHECK"))</f>
        <v/>
      </c>
      <c r="H930" t="str">
        <f>IFERROR(INDEX(Cluster_Master!$C$4:$C$18,MATCH($F930,Cluster_Master!$B$4:$B$18,0)),"")</f>
        <v/>
      </c>
      <c r="I930" t="str">
        <f>IFERROR(INDEX(Cluster_Master!$D$4:$D$18,MATCH($F930,Cluster_Master!$B$4:$B$18,0)),"")</f>
        <v/>
      </c>
      <c r="J930" t="str">
        <f>IFERROR(INDEX(Cluster_Master!$E$4:$E$18,MATCH($F930,Cluster_Master!$B$4:$B$18,0)),"")</f>
        <v/>
      </c>
      <c r="K930" t="str">
        <f>IFERROR(INDEX(Cluster_Master!$F$4:$F$18,MATCH($F930,Cluster_Master!$B$4:$B$18,0)),"")</f>
        <v/>
      </c>
      <c r="L930" t="str">
        <f>IFERROR(INDEX(Cluster_Master!$G$4:$G$18,MATCH($F930,Cluster_Master!$B$4:$B$18,0)),"")</f>
        <v/>
      </c>
      <c r="M930" t="str">
        <f>IFERROR(INDEX(Cluster_Master!$H$4:$H$18,MATCH($F930,Cluster_Master!$B$4:$B$18,0)),"")</f>
        <v/>
      </c>
      <c r="AI930" t="str">
        <f t="shared" si="110"/>
        <v/>
      </c>
      <c r="AJ930" t="str">
        <f t="shared" si="111"/>
        <v/>
      </c>
      <c r="AK930" t="str">
        <f>IF(COUNTA(T930:AH930)=0,"",(SUM(T930*KPI_Weights!$B$4,U930*KPI_Weights!$B$5,V930*KPI_Weights!$B$6,W930*KPI_Weights!$B$7,X930*KPI_Weights!$B$8,Y930*KPI_Weights!$B$9,Z930*KPI_Weights!$B$10,AA930*KPI_Weights!$B$11,AB930*KPI_Weights!$B$12,AC930*KPI_Weights!$B$13,AD930*KPI_Weights!$B$14,AE930*KPI_Weights!$B$15,AF930*KPI_Weights!$B$16,AG930*KPI_Weights!$B$17,AH930*KPI_Weights!$B$18))/5)</f>
        <v/>
      </c>
      <c r="AL930" t="str">
        <f t="shared" si="112"/>
        <v/>
      </c>
      <c r="AM930" t="str">
        <f t="shared" si="113"/>
        <v/>
      </c>
      <c r="AN930" t="str">
        <f t="shared" si="114"/>
        <v/>
      </c>
    </row>
    <row r="931" spans="1:40" ht="15" customHeight="1" x14ac:dyDescent="0.2">
      <c r="A931" t="str">
        <f>IF($B931="","",TEXT($B931,"yyyymmdd")&amp;"-"&amp;SUBSTITUTE($F931," ","")&amp;"-"&amp;TEXT(COUNTIF($F$4:F931,$F931),"00"))</f>
        <v/>
      </c>
      <c r="C931" t="str">
        <f t="shared" si="108"/>
        <v/>
      </c>
      <c r="D931" t="str">
        <f t="shared" si="109"/>
        <v/>
      </c>
      <c r="G931" t="str">
        <f>IF(OR($E931="",$F931=""),"",IFERROR(IF($E931=INDEX(Cluster_Master!$A$4:$A$18,MATCH($F931,Cluster_Master!$B$4:$B$18,0)),"OK","CHECK"),"CHECK"))</f>
        <v/>
      </c>
      <c r="H931" t="str">
        <f>IFERROR(INDEX(Cluster_Master!$C$4:$C$18,MATCH($F931,Cluster_Master!$B$4:$B$18,0)),"")</f>
        <v/>
      </c>
      <c r="I931" t="str">
        <f>IFERROR(INDEX(Cluster_Master!$D$4:$D$18,MATCH($F931,Cluster_Master!$B$4:$B$18,0)),"")</f>
        <v/>
      </c>
      <c r="J931" t="str">
        <f>IFERROR(INDEX(Cluster_Master!$E$4:$E$18,MATCH($F931,Cluster_Master!$B$4:$B$18,0)),"")</f>
        <v/>
      </c>
      <c r="K931" t="str">
        <f>IFERROR(INDEX(Cluster_Master!$F$4:$F$18,MATCH($F931,Cluster_Master!$B$4:$B$18,0)),"")</f>
        <v/>
      </c>
      <c r="L931" t="str">
        <f>IFERROR(INDEX(Cluster_Master!$G$4:$G$18,MATCH($F931,Cluster_Master!$B$4:$B$18,0)),"")</f>
        <v/>
      </c>
      <c r="M931" t="str">
        <f>IFERROR(INDEX(Cluster_Master!$H$4:$H$18,MATCH($F931,Cluster_Master!$B$4:$B$18,0)),"")</f>
        <v/>
      </c>
      <c r="AI931" t="str">
        <f t="shared" si="110"/>
        <v/>
      </c>
      <c r="AJ931" t="str">
        <f t="shared" si="111"/>
        <v/>
      </c>
      <c r="AK931" t="str">
        <f>IF(COUNTA(T931:AH931)=0,"",(SUM(T931*KPI_Weights!$B$4,U931*KPI_Weights!$B$5,V931*KPI_Weights!$B$6,W931*KPI_Weights!$B$7,X931*KPI_Weights!$B$8,Y931*KPI_Weights!$B$9,Z931*KPI_Weights!$B$10,AA931*KPI_Weights!$B$11,AB931*KPI_Weights!$B$12,AC931*KPI_Weights!$B$13,AD931*KPI_Weights!$B$14,AE931*KPI_Weights!$B$15,AF931*KPI_Weights!$B$16,AG931*KPI_Weights!$B$17,AH931*KPI_Weights!$B$18))/5)</f>
        <v/>
      </c>
      <c r="AL931" t="str">
        <f t="shared" si="112"/>
        <v/>
      </c>
      <c r="AM931" t="str">
        <f t="shared" si="113"/>
        <v/>
      </c>
      <c r="AN931" t="str">
        <f t="shared" si="114"/>
        <v/>
      </c>
    </row>
    <row r="932" spans="1:40" ht="15" customHeight="1" x14ac:dyDescent="0.2">
      <c r="A932" t="str">
        <f>IF($B932="","",TEXT($B932,"yyyymmdd")&amp;"-"&amp;SUBSTITUTE($F932," ","")&amp;"-"&amp;TEXT(COUNTIF($F$4:F932,$F932),"00"))</f>
        <v/>
      </c>
      <c r="C932" t="str">
        <f t="shared" si="108"/>
        <v/>
      </c>
      <c r="D932" t="str">
        <f t="shared" si="109"/>
        <v/>
      </c>
      <c r="G932" t="str">
        <f>IF(OR($E932="",$F932=""),"",IFERROR(IF($E932=INDEX(Cluster_Master!$A$4:$A$18,MATCH($F932,Cluster_Master!$B$4:$B$18,0)),"OK","CHECK"),"CHECK"))</f>
        <v/>
      </c>
      <c r="H932" t="str">
        <f>IFERROR(INDEX(Cluster_Master!$C$4:$C$18,MATCH($F932,Cluster_Master!$B$4:$B$18,0)),"")</f>
        <v/>
      </c>
      <c r="I932" t="str">
        <f>IFERROR(INDEX(Cluster_Master!$D$4:$D$18,MATCH($F932,Cluster_Master!$B$4:$B$18,0)),"")</f>
        <v/>
      </c>
      <c r="J932" t="str">
        <f>IFERROR(INDEX(Cluster_Master!$E$4:$E$18,MATCH($F932,Cluster_Master!$B$4:$B$18,0)),"")</f>
        <v/>
      </c>
      <c r="K932" t="str">
        <f>IFERROR(INDEX(Cluster_Master!$F$4:$F$18,MATCH($F932,Cluster_Master!$B$4:$B$18,0)),"")</f>
        <v/>
      </c>
      <c r="L932" t="str">
        <f>IFERROR(INDEX(Cluster_Master!$G$4:$G$18,MATCH($F932,Cluster_Master!$B$4:$B$18,0)),"")</f>
        <v/>
      </c>
      <c r="M932" t="str">
        <f>IFERROR(INDEX(Cluster_Master!$H$4:$H$18,MATCH($F932,Cluster_Master!$B$4:$B$18,0)),"")</f>
        <v/>
      </c>
      <c r="AI932" t="str">
        <f t="shared" si="110"/>
        <v/>
      </c>
      <c r="AJ932" t="str">
        <f t="shared" si="111"/>
        <v/>
      </c>
      <c r="AK932" t="str">
        <f>IF(COUNTA(T932:AH932)=0,"",(SUM(T932*KPI_Weights!$B$4,U932*KPI_Weights!$B$5,V932*KPI_Weights!$B$6,W932*KPI_Weights!$B$7,X932*KPI_Weights!$B$8,Y932*KPI_Weights!$B$9,Z932*KPI_Weights!$B$10,AA932*KPI_Weights!$B$11,AB932*KPI_Weights!$B$12,AC932*KPI_Weights!$B$13,AD932*KPI_Weights!$B$14,AE932*KPI_Weights!$B$15,AF932*KPI_Weights!$B$16,AG932*KPI_Weights!$B$17,AH932*KPI_Weights!$B$18))/5)</f>
        <v/>
      </c>
      <c r="AL932" t="str">
        <f t="shared" si="112"/>
        <v/>
      </c>
      <c r="AM932" t="str">
        <f t="shared" si="113"/>
        <v/>
      </c>
      <c r="AN932" t="str">
        <f t="shared" si="114"/>
        <v/>
      </c>
    </row>
    <row r="933" spans="1:40" ht="15" customHeight="1" x14ac:dyDescent="0.2">
      <c r="A933" t="str">
        <f>IF($B933="","",TEXT($B933,"yyyymmdd")&amp;"-"&amp;SUBSTITUTE($F933," ","")&amp;"-"&amp;TEXT(COUNTIF($F$4:F933,$F933),"00"))</f>
        <v/>
      </c>
      <c r="C933" t="str">
        <f t="shared" si="108"/>
        <v/>
      </c>
      <c r="D933" t="str">
        <f t="shared" si="109"/>
        <v/>
      </c>
      <c r="G933" t="str">
        <f>IF(OR($E933="",$F933=""),"",IFERROR(IF($E933=INDEX(Cluster_Master!$A$4:$A$18,MATCH($F933,Cluster_Master!$B$4:$B$18,0)),"OK","CHECK"),"CHECK"))</f>
        <v/>
      </c>
      <c r="H933" t="str">
        <f>IFERROR(INDEX(Cluster_Master!$C$4:$C$18,MATCH($F933,Cluster_Master!$B$4:$B$18,0)),"")</f>
        <v/>
      </c>
      <c r="I933" t="str">
        <f>IFERROR(INDEX(Cluster_Master!$D$4:$D$18,MATCH($F933,Cluster_Master!$B$4:$B$18,0)),"")</f>
        <v/>
      </c>
      <c r="J933" t="str">
        <f>IFERROR(INDEX(Cluster_Master!$E$4:$E$18,MATCH($F933,Cluster_Master!$B$4:$B$18,0)),"")</f>
        <v/>
      </c>
      <c r="K933" t="str">
        <f>IFERROR(INDEX(Cluster_Master!$F$4:$F$18,MATCH($F933,Cluster_Master!$B$4:$B$18,0)),"")</f>
        <v/>
      </c>
      <c r="L933" t="str">
        <f>IFERROR(INDEX(Cluster_Master!$G$4:$G$18,MATCH($F933,Cluster_Master!$B$4:$B$18,0)),"")</f>
        <v/>
      </c>
      <c r="M933" t="str">
        <f>IFERROR(INDEX(Cluster_Master!$H$4:$H$18,MATCH($F933,Cluster_Master!$B$4:$B$18,0)),"")</f>
        <v/>
      </c>
      <c r="AI933" t="str">
        <f t="shared" si="110"/>
        <v/>
      </c>
      <c r="AJ933" t="str">
        <f t="shared" si="111"/>
        <v/>
      </c>
      <c r="AK933" t="str">
        <f>IF(COUNTA(T933:AH933)=0,"",(SUM(T933*KPI_Weights!$B$4,U933*KPI_Weights!$B$5,V933*KPI_Weights!$B$6,W933*KPI_Weights!$B$7,X933*KPI_Weights!$B$8,Y933*KPI_Weights!$B$9,Z933*KPI_Weights!$B$10,AA933*KPI_Weights!$B$11,AB933*KPI_Weights!$B$12,AC933*KPI_Weights!$B$13,AD933*KPI_Weights!$B$14,AE933*KPI_Weights!$B$15,AF933*KPI_Weights!$B$16,AG933*KPI_Weights!$B$17,AH933*KPI_Weights!$B$18))/5)</f>
        <v/>
      </c>
      <c r="AL933" t="str">
        <f t="shared" si="112"/>
        <v/>
      </c>
      <c r="AM933" t="str">
        <f t="shared" si="113"/>
        <v/>
      </c>
      <c r="AN933" t="str">
        <f t="shared" si="114"/>
        <v/>
      </c>
    </row>
    <row r="934" spans="1:40" ht="15" customHeight="1" x14ac:dyDescent="0.2">
      <c r="A934" t="str">
        <f>IF($B934="","",TEXT($B934,"yyyymmdd")&amp;"-"&amp;SUBSTITUTE($F934," ","")&amp;"-"&amp;TEXT(COUNTIF($F$4:F934,$F934),"00"))</f>
        <v/>
      </c>
      <c r="C934" t="str">
        <f t="shared" si="108"/>
        <v/>
      </c>
      <c r="D934" t="str">
        <f t="shared" si="109"/>
        <v/>
      </c>
      <c r="G934" t="str">
        <f>IF(OR($E934="",$F934=""),"",IFERROR(IF($E934=INDEX(Cluster_Master!$A$4:$A$18,MATCH($F934,Cluster_Master!$B$4:$B$18,0)),"OK","CHECK"),"CHECK"))</f>
        <v/>
      </c>
      <c r="H934" t="str">
        <f>IFERROR(INDEX(Cluster_Master!$C$4:$C$18,MATCH($F934,Cluster_Master!$B$4:$B$18,0)),"")</f>
        <v/>
      </c>
      <c r="I934" t="str">
        <f>IFERROR(INDEX(Cluster_Master!$D$4:$D$18,MATCH($F934,Cluster_Master!$B$4:$B$18,0)),"")</f>
        <v/>
      </c>
      <c r="J934" t="str">
        <f>IFERROR(INDEX(Cluster_Master!$E$4:$E$18,MATCH($F934,Cluster_Master!$B$4:$B$18,0)),"")</f>
        <v/>
      </c>
      <c r="K934" t="str">
        <f>IFERROR(INDEX(Cluster_Master!$F$4:$F$18,MATCH($F934,Cluster_Master!$B$4:$B$18,0)),"")</f>
        <v/>
      </c>
      <c r="L934" t="str">
        <f>IFERROR(INDEX(Cluster_Master!$G$4:$G$18,MATCH($F934,Cluster_Master!$B$4:$B$18,0)),"")</f>
        <v/>
      </c>
      <c r="M934" t="str">
        <f>IFERROR(INDEX(Cluster_Master!$H$4:$H$18,MATCH($F934,Cluster_Master!$B$4:$B$18,0)),"")</f>
        <v/>
      </c>
      <c r="AI934" t="str">
        <f t="shared" si="110"/>
        <v/>
      </c>
      <c r="AJ934" t="str">
        <f t="shared" si="111"/>
        <v/>
      </c>
      <c r="AK934" t="str">
        <f>IF(COUNTA(T934:AH934)=0,"",(SUM(T934*KPI_Weights!$B$4,U934*KPI_Weights!$B$5,V934*KPI_Weights!$B$6,W934*KPI_Weights!$B$7,X934*KPI_Weights!$B$8,Y934*KPI_Weights!$B$9,Z934*KPI_Weights!$B$10,AA934*KPI_Weights!$B$11,AB934*KPI_Weights!$B$12,AC934*KPI_Weights!$B$13,AD934*KPI_Weights!$B$14,AE934*KPI_Weights!$B$15,AF934*KPI_Weights!$B$16,AG934*KPI_Weights!$B$17,AH934*KPI_Weights!$B$18))/5)</f>
        <v/>
      </c>
      <c r="AL934" t="str">
        <f t="shared" si="112"/>
        <v/>
      </c>
      <c r="AM934" t="str">
        <f t="shared" si="113"/>
        <v/>
      </c>
      <c r="AN934" t="str">
        <f t="shared" si="114"/>
        <v/>
      </c>
    </row>
    <row r="935" spans="1:40" ht="15" customHeight="1" x14ac:dyDescent="0.2">
      <c r="A935" t="str">
        <f>IF($B935="","",TEXT($B935,"yyyymmdd")&amp;"-"&amp;SUBSTITUTE($F935," ","")&amp;"-"&amp;TEXT(COUNTIF($F$4:F935,$F935),"00"))</f>
        <v/>
      </c>
      <c r="C935" t="str">
        <f t="shared" si="108"/>
        <v/>
      </c>
      <c r="D935" t="str">
        <f t="shared" si="109"/>
        <v/>
      </c>
      <c r="G935" t="str">
        <f>IF(OR($E935="",$F935=""),"",IFERROR(IF($E935=INDEX(Cluster_Master!$A$4:$A$18,MATCH($F935,Cluster_Master!$B$4:$B$18,0)),"OK","CHECK"),"CHECK"))</f>
        <v/>
      </c>
      <c r="H935" t="str">
        <f>IFERROR(INDEX(Cluster_Master!$C$4:$C$18,MATCH($F935,Cluster_Master!$B$4:$B$18,0)),"")</f>
        <v/>
      </c>
      <c r="I935" t="str">
        <f>IFERROR(INDEX(Cluster_Master!$D$4:$D$18,MATCH($F935,Cluster_Master!$B$4:$B$18,0)),"")</f>
        <v/>
      </c>
      <c r="J935" t="str">
        <f>IFERROR(INDEX(Cluster_Master!$E$4:$E$18,MATCH($F935,Cluster_Master!$B$4:$B$18,0)),"")</f>
        <v/>
      </c>
      <c r="K935" t="str">
        <f>IFERROR(INDEX(Cluster_Master!$F$4:$F$18,MATCH($F935,Cluster_Master!$B$4:$B$18,0)),"")</f>
        <v/>
      </c>
      <c r="L935" t="str">
        <f>IFERROR(INDEX(Cluster_Master!$G$4:$G$18,MATCH($F935,Cluster_Master!$B$4:$B$18,0)),"")</f>
        <v/>
      </c>
      <c r="M935" t="str">
        <f>IFERROR(INDEX(Cluster_Master!$H$4:$H$18,MATCH($F935,Cluster_Master!$B$4:$B$18,0)),"")</f>
        <v/>
      </c>
      <c r="AI935" t="str">
        <f t="shared" si="110"/>
        <v/>
      </c>
      <c r="AJ935" t="str">
        <f t="shared" si="111"/>
        <v/>
      </c>
      <c r="AK935" t="str">
        <f>IF(COUNTA(T935:AH935)=0,"",(SUM(T935*KPI_Weights!$B$4,U935*KPI_Weights!$B$5,V935*KPI_Weights!$B$6,W935*KPI_Weights!$B$7,X935*KPI_Weights!$B$8,Y935*KPI_Weights!$B$9,Z935*KPI_Weights!$B$10,AA935*KPI_Weights!$B$11,AB935*KPI_Weights!$B$12,AC935*KPI_Weights!$B$13,AD935*KPI_Weights!$B$14,AE935*KPI_Weights!$B$15,AF935*KPI_Weights!$B$16,AG935*KPI_Weights!$B$17,AH935*KPI_Weights!$B$18))/5)</f>
        <v/>
      </c>
      <c r="AL935" t="str">
        <f t="shared" si="112"/>
        <v/>
      </c>
      <c r="AM935" t="str">
        <f t="shared" si="113"/>
        <v/>
      </c>
      <c r="AN935" t="str">
        <f t="shared" si="114"/>
        <v/>
      </c>
    </row>
    <row r="936" spans="1:40" ht="15" customHeight="1" x14ac:dyDescent="0.2">
      <c r="A936" t="str">
        <f>IF($B936="","",TEXT($B936,"yyyymmdd")&amp;"-"&amp;SUBSTITUTE($F936," ","")&amp;"-"&amp;TEXT(COUNTIF($F$4:F936,$F936),"00"))</f>
        <v/>
      </c>
      <c r="C936" t="str">
        <f t="shared" si="108"/>
        <v/>
      </c>
      <c r="D936" t="str">
        <f t="shared" si="109"/>
        <v/>
      </c>
      <c r="G936" t="str">
        <f>IF(OR($E936="",$F936=""),"",IFERROR(IF($E936=INDEX(Cluster_Master!$A$4:$A$18,MATCH($F936,Cluster_Master!$B$4:$B$18,0)),"OK","CHECK"),"CHECK"))</f>
        <v/>
      </c>
      <c r="H936" t="str">
        <f>IFERROR(INDEX(Cluster_Master!$C$4:$C$18,MATCH($F936,Cluster_Master!$B$4:$B$18,0)),"")</f>
        <v/>
      </c>
      <c r="I936" t="str">
        <f>IFERROR(INDEX(Cluster_Master!$D$4:$D$18,MATCH($F936,Cluster_Master!$B$4:$B$18,0)),"")</f>
        <v/>
      </c>
      <c r="J936" t="str">
        <f>IFERROR(INDEX(Cluster_Master!$E$4:$E$18,MATCH($F936,Cluster_Master!$B$4:$B$18,0)),"")</f>
        <v/>
      </c>
      <c r="K936" t="str">
        <f>IFERROR(INDEX(Cluster_Master!$F$4:$F$18,MATCH($F936,Cluster_Master!$B$4:$B$18,0)),"")</f>
        <v/>
      </c>
      <c r="L936" t="str">
        <f>IFERROR(INDEX(Cluster_Master!$G$4:$G$18,MATCH($F936,Cluster_Master!$B$4:$B$18,0)),"")</f>
        <v/>
      </c>
      <c r="M936" t="str">
        <f>IFERROR(INDEX(Cluster_Master!$H$4:$H$18,MATCH($F936,Cluster_Master!$B$4:$B$18,0)),"")</f>
        <v/>
      </c>
      <c r="AI936" t="str">
        <f t="shared" si="110"/>
        <v/>
      </c>
      <c r="AJ936" t="str">
        <f t="shared" si="111"/>
        <v/>
      </c>
      <c r="AK936" t="str">
        <f>IF(COUNTA(T936:AH936)=0,"",(SUM(T936*KPI_Weights!$B$4,U936*KPI_Weights!$B$5,V936*KPI_Weights!$B$6,W936*KPI_Weights!$B$7,X936*KPI_Weights!$B$8,Y936*KPI_Weights!$B$9,Z936*KPI_Weights!$B$10,AA936*KPI_Weights!$B$11,AB936*KPI_Weights!$B$12,AC936*KPI_Weights!$B$13,AD936*KPI_Weights!$B$14,AE936*KPI_Weights!$B$15,AF936*KPI_Weights!$B$16,AG936*KPI_Weights!$B$17,AH936*KPI_Weights!$B$18))/5)</f>
        <v/>
      </c>
      <c r="AL936" t="str">
        <f t="shared" si="112"/>
        <v/>
      </c>
      <c r="AM936" t="str">
        <f t="shared" si="113"/>
        <v/>
      </c>
      <c r="AN936" t="str">
        <f t="shared" si="114"/>
        <v/>
      </c>
    </row>
    <row r="937" spans="1:40" ht="15" customHeight="1" x14ac:dyDescent="0.2">
      <c r="A937" t="str">
        <f>IF($B937="","",TEXT($B937,"yyyymmdd")&amp;"-"&amp;SUBSTITUTE($F937," ","")&amp;"-"&amp;TEXT(COUNTIF($F$4:F937,$F937),"00"))</f>
        <v/>
      </c>
      <c r="C937" t="str">
        <f t="shared" si="108"/>
        <v/>
      </c>
      <c r="D937" t="str">
        <f t="shared" si="109"/>
        <v/>
      </c>
      <c r="G937" t="str">
        <f>IF(OR($E937="",$F937=""),"",IFERROR(IF($E937=INDEX(Cluster_Master!$A$4:$A$18,MATCH($F937,Cluster_Master!$B$4:$B$18,0)),"OK","CHECK"),"CHECK"))</f>
        <v/>
      </c>
      <c r="H937" t="str">
        <f>IFERROR(INDEX(Cluster_Master!$C$4:$C$18,MATCH($F937,Cluster_Master!$B$4:$B$18,0)),"")</f>
        <v/>
      </c>
      <c r="I937" t="str">
        <f>IFERROR(INDEX(Cluster_Master!$D$4:$D$18,MATCH($F937,Cluster_Master!$B$4:$B$18,0)),"")</f>
        <v/>
      </c>
      <c r="J937" t="str">
        <f>IFERROR(INDEX(Cluster_Master!$E$4:$E$18,MATCH($F937,Cluster_Master!$B$4:$B$18,0)),"")</f>
        <v/>
      </c>
      <c r="K937" t="str">
        <f>IFERROR(INDEX(Cluster_Master!$F$4:$F$18,MATCH($F937,Cluster_Master!$B$4:$B$18,0)),"")</f>
        <v/>
      </c>
      <c r="L937" t="str">
        <f>IFERROR(INDEX(Cluster_Master!$G$4:$G$18,MATCH($F937,Cluster_Master!$B$4:$B$18,0)),"")</f>
        <v/>
      </c>
      <c r="M937" t="str">
        <f>IFERROR(INDEX(Cluster_Master!$H$4:$H$18,MATCH($F937,Cluster_Master!$B$4:$B$18,0)),"")</f>
        <v/>
      </c>
      <c r="AI937" t="str">
        <f t="shared" si="110"/>
        <v/>
      </c>
      <c r="AJ937" t="str">
        <f t="shared" si="111"/>
        <v/>
      </c>
      <c r="AK937" t="str">
        <f>IF(COUNTA(T937:AH937)=0,"",(SUM(T937*KPI_Weights!$B$4,U937*KPI_Weights!$B$5,V937*KPI_Weights!$B$6,W937*KPI_Weights!$B$7,X937*KPI_Weights!$B$8,Y937*KPI_Weights!$B$9,Z937*KPI_Weights!$B$10,AA937*KPI_Weights!$B$11,AB937*KPI_Weights!$B$12,AC937*KPI_Weights!$B$13,AD937*KPI_Weights!$B$14,AE937*KPI_Weights!$B$15,AF937*KPI_Weights!$B$16,AG937*KPI_Weights!$B$17,AH937*KPI_Weights!$B$18))/5)</f>
        <v/>
      </c>
      <c r="AL937" t="str">
        <f t="shared" si="112"/>
        <v/>
      </c>
      <c r="AM937" t="str">
        <f t="shared" si="113"/>
        <v/>
      </c>
      <c r="AN937" t="str">
        <f t="shared" si="114"/>
        <v/>
      </c>
    </row>
    <row r="938" spans="1:40" ht="15" customHeight="1" x14ac:dyDescent="0.2">
      <c r="A938" t="str">
        <f>IF($B938="","",TEXT($B938,"yyyymmdd")&amp;"-"&amp;SUBSTITUTE($F938," ","")&amp;"-"&amp;TEXT(COUNTIF($F$4:F938,$F938),"00"))</f>
        <v/>
      </c>
      <c r="C938" t="str">
        <f t="shared" si="108"/>
        <v/>
      </c>
      <c r="D938" t="str">
        <f t="shared" si="109"/>
        <v/>
      </c>
      <c r="G938" t="str">
        <f>IF(OR($E938="",$F938=""),"",IFERROR(IF($E938=INDEX(Cluster_Master!$A$4:$A$18,MATCH($F938,Cluster_Master!$B$4:$B$18,0)),"OK","CHECK"),"CHECK"))</f>
        <v/>
      </c>
      <c r="H938" t="str">
        <f>IFERROR(INDEX(Cluster_Master!$C$4:$C$18,MATCH($F938,Cluster_Master!$B$4:$B$18,0)),"")</f>
        <v/>
      </c>
      <c r="I938" t="str">
        <f>IFERROR(INDEX(Cluster_Master!$D$4:$D$18,MATCH($F938,Cluster_Master!$B$4:$B$18,0)),"")</f>
        <v/>
      </c>
      <c r="J938" t="str">
        <f>IFERROR(INDEX(Cluster_Master!$E$4:$E$18,MATCH($F938,Cluster_Master!$B$4:$B$18,0)),"")</f>
        <v/>
      </c>
      <c r="K938" t="str">
        <f>IFERROR(INDEX(Cluster_Master!$F$4:$F$18,MATCH($F938,Cluster_Master!$B$4:$B$18,0)),"")</f>
        <v/>
      </c>
      <c r="L938" t="str">
        <f>IFERROR(INDEX(Cluster_Master!$G$4:$G$18,MATCH($F938,Cluster_Master!$B$4:$B$18,0)),"")</f>
        <v/>
      </c>
      <c r="M938" t="str">
        <f>IFERROR(INDEX(Cluster_Master!$H$4:$H$18,MATCH($F938,Cluster_Master!$B$4:$B$18,0)),"")</f>
        <v/>
      </c>
      <c r="AI938" t="str">
        <f t="shared" si="110"/>
        <v/>
      </c>
      <c r="AJ938" t="str">
        <f t="shared" si="111"/>
        <v/>
      </c>
      <c r="AK938" t="str">
        <f>IF(COUNTA(T938:AH938)=0,"",(SUM(T938*KPI_Weights!$B$4,U938*KPI_Weights!$B$5,V938*KPI_Weights!$B$6,W938*KPI_Weights!$B$7,X938*KPI_Weights!$B$8,Y938*KPI_Weights!$B$9,Z938*KPI_Weights!$B$10,AA938*KPI_Weights!$B$11,AB938*KPI_Weights!$B$12,AC938*KPI_Weights!$B$13,AD938*KPI_Weights!$B$14,AE938*KPI_Weights!$B$15,AF938*KPI_Weights!$B$16,AG938*KPI_Weights!$B$17,AH938*KPI_Weights!$B$18))/5)</f>
        <v/>
      </c>
      <c r="AL938" t="str">
        <f t="shared" si="112"/>
        <v/>
      </c>
      <c r="AM938" t="str">
        <f t="shared" si="113"/>
        <v/>
      </c>
      <c r="AN938" t="str">
        <f t="shared" si="114"/>
        <v/>
      </c>
    </row>
    <row r="939" spans="1:40" ht="15" customHeight="1" x14ac:dyDescent="0.2">
      <c r="A939" t="str">
        <f>IF($B939="","",TEXT($B939,"yyyymmdd")&amp;"-"&amp;SUBSTITUTE($F939," ","")&amp;"-"&amp;TEXT(COUNTIF($F$4:F939,$F939),"00"))</f>
        <v/>
      </c>
      <c r="C939" t="str">
        <f t="shared" si="108"/>
        <v/>
      </c>
      <c r="D939" t="str">
        <f t="shared" si="109"/>
        <v/>
      </c>
      <c r="G939" t="str">
        <f>IF(OR($E939="",$F939=""),"",IFERROR(IF($E939=INDEX(Cluster_Master!$A$4:$A$18,MATCH($F939,Cluster_Master!$B$4:$B$18,0)),"OK","CHECK"),"CHECK"))</f>
        <v/>
      </c>
      <c r="H939" t="str">
        <f>IFERROR(INDEX(Cluster_Master!$C$4:$C$18,MATCH($F939,Cluster_Master!$B$4:$B$18,0)),"")</f>
        <v/>
      </c>
      <c r="I939" t="str">
        <f>IFERROR(INDEX(Cluster_Master!$D$4:$D$18,MATCH($F939,Cluster_Master!$B$4:$B$18,0)),"")</f>
        <v/>
      </c>
      <c r="J939" t="str">
        <f>IFERROR(INDEX(Cluster_Master!$E$4:$E$18,MATCH($F939,Cluster_Master!$B$4:$B$18,0)),"")</f>
        <v/>
      </c>
      <c r="K939" t="str">
        <f>IFERROR(INDEX(Cluster_Master!$F$4:$F$18,MATCH($F939,Cluster_Master!$B$4:$B$18,0)),"")</f>
        <v/>
      </c>
      <c r="L939" t="str">
        <f>IFERROR(INDEX(Cluster_Master!$G$4:$G$18,MATCH($F939,Cluster_Master!$B$4:$B$18,0)),"")</f>
        <v/>
      </c>
      <c r="M939" t="str">
        <f>IFERROR(INDEX(Cluster_Master!$H$4:$H$18,MATCH($F939,Cluster_Master!$B$4:$B$18,0)),"")</f>
        <v/>
      </c>
      <c r="AI939" t="str">
        <f t="shared" si="110"/>
        <v/>
      </c>
      <c r="AJ939" t="str">
        <f t="shared" si="111"/>
        <v/>
      </c>
      <c r="AK939" t="str">
        <f>IF(COUNTA(T939:AH939)=0,"",(SUM(T939*KPI_Weights!$B$4,U939*KPI_Weights!$B$5,V939*KPI_Weights!$B$6,W939*KPI_Weights!$B$7,X939*KPI_Weights!$B$8,Y939*KPI_Weights!$B$9,Z939*KPI_Weights!$B$10,AA939*KPI_Weights!$B$11,AB939*KPI_Weights!$B$12,AC939*KPI_Weights!$B$13,AD939*KPI_Weights!$B$14,AE939*KPI_Weights!$B$15,AF939*KPI_Weights!$B$16,AG939*KPI_Weights!$B$17,AH939*KPI_Weights!$B$18))/5)</f>
        <v/>
      </c>
      <c r="AL939" t="str">
        <f t="shared" si="112"/>
        <v/>
      </c>
      <c r="AM939" t="str">
        <f t="shared" si="113"/>
        <v/>
      </c>
      <c r="AN939" t="str">
        <f t="shared" si="114"/>
        <v/>
      </c>
    </row>
    <row r="940" spans="1:40" ht="15" customHeight="1" x14ac:dyDescent="0.2">
      <c r="A940" t="str">
        <f>IF($B940="","",TEXT($B940,"yyyymmdd")&amp;"-"&amp;SUBSTITUTE($F940," ","")&amp;"-"&amp;TEXT(COUNTIF($F$4:F940,$F940),"00"))</f>
        <v/>
      </c>
      <c r="C940" t="str">
        <f t="shared" si="108"/>
        <v/>
      </c>
      <c r="D940" t="str">
        <f t="shared" si="109"/>
        <v/>
      </c>
      <c r="G940" t="str">
        <f>IF(OR($E940="",$F940=""),"",IFERROR(IF($E940=INDEX(Cluster_Master!$A$4:$A$18,MATCH($F940,Cluster_Master!$B$4:$B$18,0)),"OK","CHECK"),"CHECK"))</f>
        <v/>
      </c>
      <c r="H940" t="str">
        <f>IFERROR(INDEX(Cluster_Master!$C$4:$C$18,MATCH($F940,Cluster_Master!$B$4:$B$18,0)),"")</f>
        <v/>
      </c>
      <c r="I940" t="str">
        <f>IFERROR(INDEX(Cluster_Master!$D$4:$D$18,MATCH($F940,Cluster_Master!$B$4:$B$18,0)),"")</f>
        <v/>
      </c>
      <c r="J940" t="str">
        <f>IFERROR(INDEX(Cluster_Master!$E$4:$E$18,MATCH($F940,Cluster_Master!$B$4:$B$18,0)),"")</f>
        <v/>
      </c>
      <c r="K940" t="str">
        <f>IFERROR(INDEX(Cluster_Master!$F$4:$F$18,MATCH($F940,Cluster_Master!$B$4:$B$18,0)),"")</f>
        <v/>
      </c>
      <c r="L940" t="str">
        <f>IFERROR(INDEX(Cluster_Master!$G$4:$G$18,MATCH($F940,Cluster_Master!$B$4:$B$18,0)),"")</f>
        <v/>
      </c>
      <c r="M940" t="str">
        <f>IFERROR(INDEX(Cluster_Master!$H$4:$H$18,MATCH($F940,Cluster_Master!$B$4:$B$18,0)),"")</f>
        <v/>
      </c>
      <c r="AI940" t="str">
        <f t="shared" si="110"/>
        <v/>
      </c>
      <c r="AJ940" t="str">
        <f t="shared" si="111"/>
        <v/>
      </c>
      <c r="AK940" t="str">
        <f>IF(COUNTA(T940:AH940)=0,"",(SUM(T940*KPI_Weights!$B$4,U940*KPI_Weights!$B$5,V940*KPI_Weights!$B$6,W940*KPI_Weights!$B$7,X940*KPI_Weights!$B$8,Y940*KPI_Weights!$B$9,Z940*KPI_Weights!$B$10,AA940*KPI_Weights!$B$11,AB940*KPI_Weights!$B$12,AC940*KPI_Weights!$B$13,AD940*KPI_Weights!$B$14,AE940*KPI_Weights!$B$15,AF940*KPI_Weights!$B$16,AG940*KPI_Weights!$B$17,AH940*KPI_Weights!$B$18))/5)</f>
        <v/>
      </c>
      <c r="AL940" t="str">
        <f t="shared" si="112"/>
        <v/>
      </c>
      <c r="AM940" t="str">
        <f t="shared" si="113"/>
        <v/>
      </c>
      <c r="AN940" t="str">
        <f t="shared" si="114"/>
        <v/>
      </c>
    </row>
    <row r="941" spans="1:40" ht="15" customHeight="1" x14ac:dyDescent="0.2">
      <c r="A941" t="str">
        <f>IF($B941="","",TEXT($B941,"yyyymmdd")&amp;"-"&amp;SUBSTITUTE($F941," ","")&amp;"-"&amp;TEXT(COUNTIF($F$4:F941,$F941),"00"))</f>
        <v/>
      </c>
      <c r="C941" t="str">
        <f t="shared" si="108"/>
        <v/>
      </c>
      <c r="D941" t="str">
        <f t="shared" si="109"/>
        <v/>
      </c>
      <c r="G941" t="str">
        <f>IF(OR($E941="",$F941=""),"",IFERROR(IF($E941=INDEX(Cluster_Master!$A$4:$A$18,MATCH($F941,Cluster_Master!$B$4:$B$18,0)),"OK","CHECK"),"CHECK"))</f>
        <v/>
      </c>
      <c r="H941" t="str">
        <f>IFERROR(INDEX(Cluster_Master!$C$4:$C$18,MATCH($F941,Cluster_Master!$B$4:$B$18,0)),"")</f>
        <v/>
      </c>
      <c r="I941" t="str">
        <f>IFERROR(INDEX(Cluster_Master!$D$4:$D$18,MATCH($F941,Cluster_Master!$B$4:$B$18,0)),"")</f>
        <v/>
      </c>
      <c r="J941" t="str">
        <f>IFERROR(INDEX(Cluster_Master!$E$4:$E$18,MATCH($F941,Cluster_Master!$B$4:$B$18,0)),"")</f>
        <v/>
      </c>
      <c r="K941" t="str">
        <f>IFERROR(INDEX(Cluster_Master!$F$4:$F$18,MATCH($F941,Cluster_Master!$B$4:$B$18,0)),"")</f>
        <v/>
      </c>
      <c r="L941" t="str">
        <f>IFERROR(INDEX(Cluster_Master!$G$4:$G$18,MATCH($F941,Cluster_Master!$B$4:$B$18,0)),"")</f>
        <v/>
      </c>
      <c r="M941" t="str">
        <f>IFERROR(INDEX(Cluster_Master!$H$4:$H$18,MATCH($F941,Cluster_Master!$B$4:$B$18,0)),"")</f>
        <v/>
      </c>
      <c r="AI941" t="str">
        <f t="shared" si="110"/>
        <v/>
      </c>
      <c r="AJ941" t="str">
        <f t="shared" si="111"/>
        <v/>
      </c>
      <c r="AK941" t="str">
        <f>IF(COUNTA(T941:AH941)=0,"",(SUM(T941*KPI_Weights!$B$4,U941*KPI_Weights!$B$5,V941*KPI_Weights!$B$6,W941*KPI_Weights!$B$7,X941*KPI_Weights!$B$8,Y941*KPI_Weights!$B$9,Z941*KPI_Weights!$B$10,AA941*KPI_Weights!$B$11,AB941*KPI_Weights!$B$12,AC941*KPI_Weights!$B$13,AD941*KPI_Weights!$B$14,AE941*KPI_Weights!$B$15,AF941*KPI_Weights!$B$16,AG941*KPI_Weights!$B$17,AH941*KPI_Weights!$B$18))/5)</f>
        <v/>
      </c>
      <c r="AL941" t="str">
        <f t="shared" si="112"/>
        <v/>
      </c>
      <c r="AM941" t="str">
        <f t="shared" si="113"/>
        <v/>
      </c>
      <c r="AN941" t="str">
        <f t="shared" si="114"/>
        <v/>
      </c>
    </row>
    <row r="942" spans="1:40" ht="15" customHeight="1" x14ac:dyDescent="0.2">
      <c r="A942" t="str">
        <f>IF($B942="","",TEXT($B942,"yyyymmdd")&amp;"-"&amp;SUBSTITUTE($F942," ","")&amp;"-"&amp;TEXT(COUNTIF($F$4:F942,$F942),"00"))</f>
        <v/>
      </c>
      <c r="C942" t="str">
        <f t="shared" si="108"/>
        <v/>
      </c>
      <c r="D942" t="str">
        <f t="shared" si="109"/>
        <v/>
      </c>
      <c r="G942" t="str">
        <f>IF(OR($E942="",$F942=""),"",IFERROR(IF($E942=INDEX(Cluster_Master!$A$4:$A$18,MATCH($F942,Cluster_Master!$B$4:$B$18,0)),"OK","CHECK"),"CHECK"))</f>
        <v/>
      </c>
      <c r="H942" t="str">
        <f>IFERROR(INDEX(Cluster_Master!$C$4:$C$18,MATCH($F942,Cluster_Master!$B$4:$B$18,0)),"")</f>
        <v/>
      </c>
      <c r="I942" t="str">
        <f>IFERROR(INDEX(Cluster_Master!$D$4:$D$18,MATCH($F942,Cluster_Master!$B$4:$B$18,0)),"")</f>
        <v/>
      </c>
      <c r="J942" t="str">
        <f>IFERROR(INDEX(Cluster_Master!$E$4:$E$18,MATCH($F942,Cluster_Master!$B$4:$B$18,0)),"")</f>
        <v/>
      </c>
      <c r="K942" t="str">
        <f>IFERROR(INDEX(Cluster_Master!$F$4:$F$18,MATCH($F942,Cluster_Master!$B$4:$B$18,0)),"")</f>
        <v/>
      </c>
      <c r="L942" t="str">
        <f>IFERROR(INDEX(Cluster_Master!$G$4:$G$18,MATCH($F942,Cluster_Master!$B$4:$B$18,0)),"")</f>
        <v/>
      </c>
      <c r="M942" t="str">
        <f>IFERROR(INDEX(Cluster_Master!$H$4:$H$18,MATCH($F942,Cluster_Master!$B$4:$B$18,0)),"")</f>
        <v/>
      </c>
      <c r="AI942" t="str">
        <f t="shared" si="110"/>
        <v/>
      </c>
      <c r="AJ942" t="str">
        <f t="shared" si="111"/>
        <v/>
      </c>
      <c r="AK942" t="str">
        <f>IF(COUNTA(T942:AH942)=0,"",(SUM(T942*KPI_Weights!$B$4,U942*KPI_Weights!$B$5,V942*KPI_Weights!$B$6,W942*KPI_Weights!$B$7,X942*KPI_Weights!$B$8,Y942*KPI_Weights!$B$9,Z942*KPI_Weights!$B$10,AA942*KPI_Weights!$B$11,AB942*KPI_Weights!$B$12,AC942*KPI_Weights!$B$13,AD942*KPI_Weights!$B$14,AE942*KPI_Weights!$B$15,AF942*KPI_Weights!$B$16,AG942*KPI_Weights!$B$17,AH942*KPI_Weights!$B$18))/5)</f>
        <v/>
      </c>
      <c r="AL942" t="str">
        <f t="shared" si="112"/>
        <v/>
      </c>
      <c r="AM942" t="str">
        <f t="shared" si="113"/>
        <v/>
      </c>
      <c r="AN942" t="str">
        <f t="shared" si="114"/>
        <v/>
      </c>
    </row>
    <row r="943" spans="1:40" ht="15" customHeight="1" x14ac:dyDescent="0.2">
      <c r="A943" t="str">
        <f>IF($B943="","",TEXT($B943,"yyyymmdd")&amp;"-"&amp;SUBSTITUTE($F943," ","")&amp;"-"&amp;TEXT(COUNTIF($F$4:F943,$F943),"00"))</f>
        <v/>
      </c>
      <c r="C943" t="str">
        <f t="shared" si="108"/>
        <v/>
      </c>
      <c r="D943" t="str">
        <f t="shared" si="109"/>
        <v/>
      </c>
      <c r="G943" t="str">
        <f>IF(OR($E943="",$F943=""),"",IFERROR(IF($E943=INDEX(Cluster_Master!$A$4:$A$18,MATCH($F943,Cluster_Master!$B$4:$B$18,0)),"OK","CHECK"),"CHECK"))</f>
        <v/>
      </c>
      <c r="H943" t="str">
        <f>IFERROR(INDEX(Cluster_Master!$C$4:$C$18,MATCH($F943,Cluster_Master!$B$4:$B$18,0)),"")</f>
        <v/>
      </c>
      <c r="I943" t="str">
        <f>IFERROR(INDEX(Cluster_Master!$D$4:$D$18,MATCH($F943,Cluster_Master!$B$4:$B$18,0)),"")</f>
        <v/>
      </c>
      <c r="J943" t="str">
        <f>IFERROR(INDEX(Cluster_Master!$E$4:$E$18,MATCH($F943,Cluster_Master!$B$4:$B$18,0)),"")</f>
        <v/>
      </c>
      <c r="K943" t="str">
        <f>IFERROR(INDEX(Cluster_Master!$F$4:$F$18,MATCH($F943,Cluster_Master!$B$4:$B$18,0)),"")</f>
        <v/>
      </c>
      <c r="L943" t="str">
        <f>IFERROR(INDEX(Cluster_Master!$G$4:$G$18,MATCH($F943,Cluster_Master!$B$4:$B$18,0)),"")</f>
        <v/>
      </c>
      <c r="M943" t="str">
        <f>IFERROR(INDEX(Cluster_Master!$H$4:$H$18,MATCH($F943,Cluster_Master!$B$4:$B$18,0)),"")</f>
        <v/>
      </c>
      <c r="AI943" t="str">
        <f t="shared" si="110"/>
        <v/>
      </c>
      <c r="AJ943" t="str">
        <f t="shared" si="111"/>
        <v/>
      </c>
      <c r="AK943" t="str">
        <f>IF(COUNTA(T943:AH943)=0,"",(SUM(T943*KPI_Weights!$B$4,U943*KPI_Weights!$B$5,V943*KPI_Weights!$B$6,W943*KPI_Weights!$B$7,X943*KPI_Weights!$B$8,Y943*KPI_Weights!$B$9,Z943*KPI_Weights!$B$10,AA943*KPI_Weights!$B$11,AB943*KPI_Weights!$B$12,AC943*KPI_Weights!$B$13,AD943*KPI_Weights!$B$14,AE943*KPI_Weights!$B$15,AF943*KPI_Weights!$B$16,AG943*KPI_Weights!$B$17,AH943*KPI_Weights!$B$18))/5)</f>
        <v/>
      </c>
      <c r="AL943" t="str">
        <f t="shared" si="112"/>
        <v/>
      </c>
      <c r="AM943" t="str">
        <f t="shared" si="113"/>
        <v/>
      </c>
      <c r="AN943" t="str">
        <f t="shared" si="114"/>
        <v/>
      </c>
    </row>
    <row r="944" spans="1:40" ht="15" customHeight="1" x14ac:dyDescent="0.2">
      <c r="A944" t="str">
        <f>IF($B944="","",TEXT($B944,"yyyymmdd")&amp;"-"&amp;SUBSTITUTE($F944," ","")&amp;"-"&amp;TEXT(COUNTIF($F$4:F944,$F944),"00"))</f>
        <v/>
      </c>
      <c r="C944" t="str">
        <f t="shared" si="108"/>
        <v/>
      </c>
      <c r="D944" t="str">
        <f t="shared" si="109"/>
        <v/>
      </c>
      <c r="G944" t="str">
        <f>IF(OR($E944="",$F944=""),"",IFERROR(IF($E944=INDEX(Cluster_Master!$A$4:$A$18,MATCH($F944,Cluster_Master!$B$4:$B$18,0)),"OK","CHECK"),"CHECK"))</f>
        <v/>
      </c>
      <c r="H944" t="str">
        <f>IFERROR(INDEX(Cluster_Master!$C$4:$C$18,MATCH($F944,Cluster_Master!$B$4:$B$18,0)),"")</f>
        <v/>
      </c>
      <c r="I944" t="str">
        <f>IFERROR(INDEX(Cluster_Master!$D$4:$D$18,MATCH($F944,Cluster_Master!$B$4:$B$18,0)),"")</f>
        <v/>
      </c>
      <c r="J944" t="str">
        <f>IFERROR(INDEX(Cluster_Master!$E$4:$E$18,MATCH($F944,Cluster_Master!$B$4:$B$18,0)),"")</f>
        <v/>
      </c>
      <c r="K944" t="str">
        <f>IFERROR(INDEX(Cluster_Master!$F$4:$F$18,MATCH($F944,Cluster_Master!$B$4:$B$18,0)),"")</f>
        <v/>
      </c>
      <c r="L944" t="str">
        <f>IFERROR(INDEX(Cluster_Master!$G$4:$G$18,MATCH($F944,Cluster_Master!$B$4:$B$18,0)),"")</f>
        <v/>
      </c>
      <c r="M944" t="str">
        <f>IFERROR(INDEX(Cluster_Master!$H$4:$H$18,MATCH($F944,Cluster_Master!$B$4:$B$18,0)),"")</f>
        <v/>
      </c>
      <c r="AI944" t="str">
        <f t="shared" si="110"/>
        <v/>
      </c>
      <c r="AJ944" t="str">
        <f t="shared" si="111"/>
        <v/>
      </c>
      <c r="AK944" t="str">
        <f>IF(COUNTA(T944:AH944)=0,"",(SUM(T944*KPI_Weights!$B$4,U944*KPI_Weights!$B$5,V944*KPI_Weights!$B$6,W944*KPI_Weights!$B$7,X944*KPI_Weights!$B$8,Y944*KPI_Weights!$B$9,Z944*KPI_Weights!$B$10,AA944*KPI_Weights!$B$11,AB944*KPI_Weights!$B$12,AC944*KPI_Weights!$B$13,AD944*KPI_Weights!$B$14,AE944*KPI_Weights!$B$15,AF944*KPI_Weights!$B$16,AG944*KPI_Weights!$B$17,AH944*KPI_Weights!$B$18))/5)</f>
        <v/>
      </c>
      <c r="AL944" t="str">
        <f t="shared" si="112"/>
        <v/>
      </c>
      <c r="AM944" t="str">
        <f t="shared" si="113"/>
        <v/>
      </c>
      <c r="AN944" t="str">
        <f t="shared" si="114"/>
        <v/>
      </c>
    </row>
    <row r="945" spans="1:40" ht="15" customHeight="1" x14ac:dyDescent="0.2">
      <c r="A945" t="str">
        <f>IF($B945="","",TEXT($B945,"yyyymmdd")&amp;"-"&amp;SUBSTITUTE($F945," ","")&amp;"-"&amp;TEXT(COUNTIF($F$4:F945,$F945),"00"))</f>
        <v/>
      </c>
      <c r="C945" t="str">
        <f t="shared" si="108"/>
        <v/>
      </c>
      <c r="D945" t="str">
        <f t="shared" si="109"/>
        <v/>
      </c>
      <c r="G945" t="str">
        <f>IF(OR($E945="",$F945=""),"",IFERROR(IF($E945=INDEX(Cluster_Master!$A$4:$A$18,MATCH($F945,Cluster_Master!$B$4:$B$18,0)),"OK","CHECK"),"CHECK"))</f>
        <v/>
      </c>
      <c r="H945" t="str">
        <f>IFERROR(INDEX(Cluster_Master!$C$4:$C$18,MATCH($F945,Cluster_Master!$B$4:$B$18,0)),"")</f>
        <v/>
      </c>
      <c r="I945" t="str">
        <f>IFERROR(INDEX(Cluster_Master!$D$4:$D$18,MATCH($F945,Cluster_Master!$B$4:$B$18,0)),"")</f>
        <v/>
      </c>
      <c r="J945" t="str">
        <f>IFERROR(INDEX(Cluster_Master!$E$4:$E$18,MATCH($F945,Cluster_Master!$B$4:$B$18,0)),"")</f>
        <v/>
      </c>
      <c r="K945" t="str">
        <f>IFERROR(INDEX(Cluster_Master!$F$4:$F$18,MATCH($F945,Cluster_Master!$B$4:$B$18,0)),"")</f>
        <v/>
      </c>
      <c r="L945" t="str">
        <f>IFERROR(INDEX(Cluster_Master!$G$4:$G$18,MATCH($F945,Cluster_Master!$B$4:$B$18,0)),"")</f>
        <v/>
      </c>
      <c r="M945" t="str">
        <f>IFERROR(INDEX(Cluster_Master!$H$4:$H$18,MATCH($F945,Cluster_Master!$B$4:$B$18,0)),"")</f>
        <v/>
      </c>
      <c r="AI945" t="str">
        <f t="shared" si="110"/>
        <v/>
      </c>
      <c r="AJ945" t="str">
        <f t="shared" si="111"/>
        <v/>
      </c>
      <c r="AK945" t="str">
        <f>IF(COUNTA(T945:AH945)=0,"",(SUM(T945*KPI_Weights!$B$4,U945*KPI_Weights!$B$5,V945*KPI_Weights!$B$6,W945*KPI_Weights!$B$7,X945*KPI_Weights!$B$8,Y945*KPI_Weights!$B$9,Z945*KPI_Weights!$B$10,AA945*KPI_Weights!$B$11,AB945*KPI_Weights!$B$12,AC945*KPI_Weights!$B$13,AD945*KPI_Weights!$B$14,AE945*KPI_Weights!$B$15,AF945*KPI_Weights!$B$16,AG945*KPI_Weights!$B$17,AH945*KPI_Weights!$B$18))/5)</f>
        <v/>
      </c>
      <c r="AL945" t="str">
        <f t="shared" si="112"/>
        <v/>
      </c>
      <c r="AM945" t="str">
        <f t="shared" si="113"/>
        <v/>
      </c>
      <c r="AN945" t="str">
        <f t="shared" si="114"/>
        <v/>
      </c>
    </row>
    <row r="946" spans="1:40" ht="15" customHeight="1" x14ac:dyDescent="0.2">
      <c r="A946" t="str">
        <f>IF($B946="","",TEXT($B946,"yyyymmdd")&amp;"-"&amp;SUBSTITUTE($F946," ","")&amp;"-"&amp;TEXT(COUNTIF($F$4:F946,$F946),"00"))</f>
        <v/>
      </c>
      <c r="C946" t="str">
        <f t="shared" si="108"/>
        <v/>
      </c>
      <c r="D946" t="str">
        <f t="shared" si="109"/>
        <v/>
      </c>
      <c r="G946" t="str">
        <f>IF(OR($E946="",$F946=""),"",IFERROR(IF($E946=INDEX(Cluster_Master!$A$4:$A$18,MATCH($F946,Cluster_Master!$B$4:$B$18,0)),"OK","CHECK"),"CHECK"))</f>
        <v/>
      </c>
      <c r="H946" t="str">
        <f>IFERROR(INDEX(Cluster_Master!$C$4:$C$18,MATCH($F946,Cluster_Master!$B$4:$B$18,0)),"")</f>
        <v/>
      </c>
      <c r="I946" t="str">
        <f>IFERROR(INDEX(Cluster_Master!$D$4:$D$18,MATCH($F946,Cluster_Master!$B$4:$B$18,0)),"")</f>
        <v/>
      </c>
      <c r="J946" t="str">
        <f>IFERROR(INDEX(Cluster_Master!$E$4:$E$18,MATCH($F946,Cluster_Master!$B$4:$B$18,0)),"")</f>
        <v/>
      </c>
      <c r="K946" t="str">
        <f>IFERROR(INDEX(Cluster_Master!$F$4:$F$18,MATCH($F946,Cluster_Master!$B$4:$B$18,0)),"")</f>
        <v/>
      </c>
      <c r="L946" t="str">
        <f>IFERROR(INDEX(Cluster_Master!$G$4:$G$18,MATCH($F946,Cluster_Master!$B$4:$B$18,0)),"")</f>
        <v/>
      </c>
      <c r="M946" t="str">
        <f>IFERROR(INDEX(Cluster_Master!$H$4:$H$18,MATCH($F946,Cluster_Master!$B$4:$B$18,0)),"")</f>
        <v/>
      </c>
      <c r="AI946" t="str">
        <f t="shared" si="110"/>
        <v/>
      </c>
      <c r="AJ946" t="str">
        <f t="shared" si="111"/>
        <v/>
      </c>
      <c r="AK946" t="str">
        <f>IF(COUNTA(T946:AH946)=0,"",(SUM(T946*KPI_Weights!$B$4,U946*KPI_Weights!$B$5,V946*KPI_Weights!$B$6,W946*KPI_Weights!$B$7,X946*KPI_Weights!$B$8,Y946*KPI_Weights!$B$9,Z946*KPI_Weights!$B$10,AA946*KPI_Weights!$B$11,AB946*KPI_Weights!$B$12,AC946*KPI_Weights!$B$13,AD946*KPI_Weights!$B$14,AE946*KPI_Weights!$B$15,AF946*KPI_Weights!$B$16,AG946*KPI_Weights!$B$17,AH946*KPI_Weights!$B$18))/5)</f>
        <v/>
      </c>
      <c r="AL946" t="str">
        <f t="shared" si="112"/>
        <v/>
      </c>
      <c r="AM946" t="str">
        <f t="shared" si="113"/>
        <v/>
      </c>
      <c r="AN946" t="str">
        <f t="shared" si="114"/>
        <v/>
      </c>
    </row>
    <row r="947" spans="1:40" ht="15" customHeight="1" x14ac:dyDescent="0.2">
      <c r="A947" t="str">
        <f>IF($B947="","",TEXT($B947,"yyyymmdd")&amp;"-"&amp;SUBSTITUTE($F947," ","")&amp;"-"&amp;TEXT(COUNTIF($F$4:F947,$F947),"00"))</f>
        <v/>
      </c>
      <c r="C947" t="str">
        <f t="shared" si="108"/>
        <v/>
      </c>
      <c r="D947" t="str">
        <f t="shared" si="109"/>
        <v/>
      </c>
      <c r="G947" t="str">
        <f>IF(OR($E947="",$F947=""),"",IFERROR(IF($E947=INDEX(Cluster_Master!$A$4:$A$18,MATCH($F947,Cluster_Master!$B$4:$B$18,0)),"OK","CHECK"),"CHECK"))</f>
        <v/>
      </c>
      <c r="H947" t="str">
        <f>IFERROR(INDEX(Cluster_Master!$C$4:$C$18,MATCH($F947,Cluster_Master!$B$4:$B$18,0)),"")</f>
        <v/>
      </c>
      <c r="I947" t="str">
        <f>IFERROR(INDEX(Cluster_Master!$D$4:$D$18,MATCH($F947,Cluster_Master!$B$4:$B$18,0)),"")</f>
        <v/>
      </c>
      <c r="J947" t="str">
        <f>IFERROR(INDEX(Cluster_Master!$E$4:$E$18,MATCH($F947,Cluster_Master!$B$4:$B$18,0)),"")</f>
        <v/>
      </c>
      <c r="K947" t="str">
        <f>IFERROR(INDEX(Cluster_Master!$F$4:$F$18,MATCH($F947,Cluster_Master!$B$4:$B$18,0)),"")</f>
        <v/>
      </c>
      <c r="L947" t="str">
        <f>IFERROR(INDEX(Cluster_Master!$G$4:$G$18,MATCH($F947,Cluster_Master!$B$4:$B$18,0)),"")</f>
        <v/>
      </c>
      <c r="M947" t="str">
        <f>IFERROR(INDEX(Cluster_Master!$H$4:$H$18,MATCH($F947,Cluster_Master!$B$4:$B$18,0)),"")</f>
        <v/>
      </c>
      <c r="AI947" t="str">
        <f t="shared" si="110"/>
        <v/>
      </c>
      <c r="AJ947" t="str">
        <f t="shared" si="111"/>
        <v/>
      </c>
      <c r="AK947" t="str">
        <f>IF(COUNTA(T947:AH947)=0,"",(SUM(T947*KPI_Weights!$B$4,U947*KPI_Weights!$B$5,V947*KPI_Weights!$B$6,W947*KPI_Weights!$B$7,X947*KPI_Weights!$B$8,Y947*KPI_Weights!$B$9,Z947*KPI_Weights!$B$10,AA947*KPI_Weights!$B$11,AB947*KPI_Weights!$B$12,AC947*KPI_Weights!$B$13,AD947*KPI_Weights!$B$14,AE947*KPI_Weights!$B$15,AF947*KPI_Weights!$B$16,AG947*KPI_Weights!$B$17,AH947*KPI_Weights!$B$18))/5)</f>
        <v/>
      </c>
      <c r="AL947" t="str">
        <f t="shared" si="112"/>
        <v/>
      </c>
      <c r="AM947" t="str">
        <f t="shared" si="113"/>
        <v/>
      </c>
      <c r="AN947" t="str">
        <f t="shared" si="114"/>
        <v/>
      </c>
    </row>
    <row r="948" spans="1:40" ht="15" customHeight="1" x14ac:dyDescent="0.2">
      <c r="A948" t="str">
        <f>IF($B948="","",TEXT($B948,"yyyymmdd")&amp;"-"&amp;SUBSTITUTE($F948," ","")&amp;"-"&amp;TEXT(COUNTIF($F$4:F948,$F948),"00"))</f>
        <v/>
      </c>
      <c r="C948" t="str">
        <f t="shared" si="108"/>
        <v/>
      </c>
      <c r="D948" t="str">
        <f t="shared" si="109"/>
        <v/>
      </c>
      <c r="G948" t="str">
        <f>IF(OR($E948="",$F948=""),"",IFERROR(IF($E948=INDEX(Cluster_Master!$A$4:$A$18,MATCH($F948,Cluster_Master!$B$4:$B$18,0)),"OK","CHECK"),"CHECK"))</f>
        <v/>
      </c>
      <c r="H948" t="str">
        <f>IFERROR(INDEX(Cluster_Master!$C$4:$C$18,MATCH($F948,Cluster_Master!$B$4:$B$18,0)),"")</f>
        <v/>
      </c>
      <c r="I948" t="str">
        <f>IFERROR(INDEX(Cluster_Master!$D$4:$D$18,MATCH($F948,Cluster_Master!$B$4:$B$18,0)),"")</f>
        <v/>
      </c>
      <c r="J948" t="str">
        <f>IFERROR(INDEX(Cluster_Master!$E$4:$E$18,MATCH($F948,Cluster_Master!$B$4:$B$18,0)),"")</f>
        <v/>
      </c>
      <c r="K948" t="str">
        <f>IFERROR(INDEX(Cluster_Master!$F$4:$F$18,MATCH($F948,Cluster_Master!$B$4:$B$18,0)),"")</f>
        <v/>
      </c>
      <c r="L948" t="str">
        <f>IFERROR(INDEX(Cluster_Master!$G$4:$G$18,MATCH($F948,Cluster_Master!$B$4:$B$18,0)),"")</f>
        <v/>
      </c>
      <c r="M948" t="str">
        <f>IFERROR(INDEX(Cluster_Master!$H$4:$H$18,MATCH($F948,Cluster_Master!$B$4:$B$18,0)),"")</f>
        <v/>
      </c>
      <c r="AI948" t="str">
        <f t="shared" si="110"/>
        <v/>
      </c>
      <c r="AJ948" t="str">
        <f t="shared" si="111"/>
        <v/>
      </c>
      <c r="AK948" t="str">
        <f>IF(COUNTA(T948:AH948)=0,"",(SUM(T948*KPI_Weights!$B$4,U948*KPI_Weights!$B$5,V948*KPI_Weights!$B$6,W948*KPI_Weights!$B$7,X948*KPI_Weights!$B$8,Y948*KPI_Weights!$B$9,Z948*KPI_Weights!$B$10,AA948*KPI_Weights!$B$11,AB948*KPI_Weights!$B$12,AC948*KPI_Weights!$B$13,AD948*KPI_Weights!$B$14,AE948*KPI_Weights!$B$15,AF948*KPI_Weights!$B$16,AG948*KPI_Weights!$B$17,AH948*KPI_Weights!$B$18))/5)</f>
        <v/>
      </c>
      <c r="AL948" t="str">
        <f t="shared" si="112"/>
        <v/>
      </c>
      <c r="AM948" t="str">
        <f t="shared" si="113"/>
        <v/>
      </c>
      <c r="AN948" t="str">
        <f t="shared" si="114"/>
        <v/>
      </c>
    </row>
    <row r="949" spans="1:40" ht="15" customHeight="1" x14ac:dyDescent="0.2">
      <c r="A949" t="str">
        <f>IF($B949="","",TEXT($B949,"yyyymmdd")&amp;"-"&amp;SUBSTITUTE($F949," ","")&amp;"-"&amp;TEXT(COUNTIF($F$4:F949,$F949),"00"))</f>
        <v/>
      </c>
      <c r="C949" t="str">
        <f t="shared" si="108"/>
        <v/>
      </c>
      <c r="D949" t="str">
        <f t="shared" si="109"/>
        <v/>
      </c>
      <c r="G949" t="str">
        <f>IF(OR($E949="",$F949=""),"",IFERROR(IF($E949=INDEX(Cluster_Master!$A$4:$A$18,MATCH($F949,Cluster_Master!$B$4:$B$18,0)),"OK","CHECK"),"CHECK"))</f>
        <v/>
      </c>
      <c r="H949" t="str">
        <f>IFERROR(INDEX(Cluster_Master!$C$4:$C$18,MATCH($F949,Cluster_Master!$B$4:$B$18,0)),"")</f>
        <v/>
      </c>
      <c r="I949" t="str">
        <f>IFERROR(INDEX(Cluster_Master!$D$4:$D$18,MATCH($F949,Cluster_Master!$B$4:$B$18,0)),"")</f>
        <v/>
      </c>
      <c r="J949" t="str">
        <f>IFERROR(INDEX(Cluster_Master!$E$4:$E$18,MATCH($F949,Cluster_Master!$B$4:$B$18,0)),"")</f>
        <v/>
      </c>
      <c r="K949" t="str">
        <f>IFERROR(INDEX(Cluster_Master!$F$4:$F$18,MATCH($F949,Cluster_Master!$B$4:$B$18,0)),"")</f>
        <v/>
      </c>
      <c r="L949" t="str">
        <f>IFERROR(INDEX(Cluster_Master!$G$4:$G$18,MATCH($F949,Cluster_Master!$B$4:$B$18,0)),"")</f>
        <v/>
      </c>
      <c r="M949" t="str">
        <f>IFERROR(INDEX(Cluster_Master!$H$4:$H$18,MATCH($F949,Cluster_Master!$B$4:$B$18,0)),"")</f>
        <v/>
      </c>
      <c r="AI949" t="str">
        <f t="shared" si="110"/>
        <v/>
      </c>
      <c r="AJ949" t="str">
        <f t="shared" si="111"/>
        <v/>
      </c>
      <c r="AK949" t="str">
        <f>IF(COUNTA(T949:AH949)=0,"",(SUM(T949*KPI_Weights!$B$4,U949*KPI_Weights!$B$5,V949*KPI_Weights!$B$6,W949*KPI_Weights!$B$7,X949*KPI_Weights!$B$8,Y949*KPI_Weights!$B$9,Z949*KPI_Weights!$B$10,AA949*KPI_Weights!$B$11,AB949*KPI_Weights!$B$12,AC949*KPI_Weights!$B$13,AD949*KPI_Weights!$B$14,AE949*KPI_Weights!$B$15,AF949*KPI_Weights!$B$16,AG949*KPI_Weights!$B$17,AH949*KPI_Weights!$B$18))/5)</f>
        <v/>
      </c>
      <c r="AL949" t="str">
        <f t="shared" si="112"/>
        <v/>
      </c>
      <c r="AM949" t="str">
        <f t="shared" si="113"/>
        <v/>
      </c>
      <c r="AN949" t="str">
        <f t="shared" si="114"/>
        <v/>
      </c>
    </row>
    <row r="950" spans="1:40" ht="15" customHeight="1" x14ac:dyDescent="0.2">
      <c r="A950" t="str">
        <f>IF($B950="","",TEXT($B950,"yyyymmdd")&amp;"-"&amp;SUBSTITUTE($F950," ","")&amp;"-"&amp;TEXT(COUNTIF($F$4:F950,$F950),"00"))</f>
        <v/>
      </c>
      <c r="C950" t="str">
        <f t="shared" si="108"/>
        <v/>
      </c>
      <c r="D950" t="str">
        <f t="shared" si="109"/>
        <v/>
      </c>
      <c r="G950" t="str">
        <f>IF(OR($E950="",$F950=""),"",IFERROR(IF($E950=INDEX(Cluster_Master!$A$4:$A$18,MATCH($F950,Cluster_Master!$B$4:$B$18,0)),"OK","CHECK"),"CHECK"))</f>
        <v/>
      </c>
      <c r="H950" t="str">
        <f>IFERROR(INDEX(Cluster_Master!$C$4:$C$18,MATCH($F950,Cluster_Master!$B$4:$B$18,0)),"")</f>
        <v/>
      </c>
      <c r="I950" t="str">
        <f>IFERROR(INDEX(Cluster_Master!$D$4:$D$18,MATCH($F950,Cluster_Master!$B$4:$B$18,0)),"")</f>
        <v/>
      </c>
      <c r="J950" t="str">
        <f>IFERROR(INDEX(Cluster_Master!$E$4:$E$18,MATCH($F950,Cluster_Master!$B$4:$B$18,0)),"")</f>
        <v/>
      </c>
      <c r="K950" t="str">
        <f>IFERROR(INDEX(Cluster_Master!$F$4:$F$18,MATCH($F950,Cluster_Master!$B$4:$B$18,0)),"")</f>
        <v/>
      </c>
      <c r="L950" t="str">
        <f>IFERROR(INDEX(Cluster_Master!$G$4:$G$18,MATCH($F950,Cluster_Master!$B$4:$B$18,0)),"")</f>
        <v/>
      </c>
      <c r="M950" t="str">
        <f>IFERROR(INDEX(Cluster_Master!$H$4:$H$18,MATCH($F950,Cluster_Master!$B$4:$B$18,0)),"")</f>
        <v/>
      </c>
      <c r="AI950" t="str">
        <f t="shared" si="110"/>
        <v/>
      </c>
      <c r="AJ950" t="str">
        <f t="shared" si="111"/>
        <v/>
      </c>
      <c r="AK950" t="str">
        <f>IF(COUNTA(T950:AH950)=0,"",(SUM(T950*KPI_Weights!$B$4,U950*KPI_Weights!$B$5,V950*KPI_Weights!$B$6,W950*KPI_Weights!$B$7,X950*KPI_Weights!$B$8,Y950*KPI_Weights!$B$9,Z950*KPI_Weights!$B$10,AA950*KPI_Weights!$B$11,AB950*KPI_Weights!$B$12,AC950*KPI_Weights!$B$13,AD950*KPI_Weights!$B$14,AE950*KPI_Weights!$B$15,AF950*KPI_Weights!$B$16,AG950*KPI_Weights!$B$17,AH950*KPI_Weights!$B$18))/5)</f>
        <v/>
      </c>
      <c r="AL950" t="str">
        <f t="shared" si="112"/>
        <v/>
      </c>
      <c r="AM950" t="str">
        <f t="shared" si="113"/>
        <v/>
      </c>
      <c r="AN950" t="str">
        <f t="shared" si="114"/>
        <v/>
      </c>
    </row>
    <row r="951" spans="1:40" ht="15" customHeight="1" x14ac:dyDescent="0.2">
      <c r="A951" t="str">
        <f>IF($B951="","",TEXT($B951,"yyyymmdd")&amp;"-"&amp;SUBSTITUTE($F951," ","")&amp;"-"&amp;TEXT(COUNTIF($F$4:F951,$F951),"00"))</f>
        <v/>
      </c>
      <c r="C951" t="str">
        <f t="shared" si="108"/>
        <v/>
      </c>
      <c r="D951" t="str">
        <f t="shared" si="109"/>
        <v/>
      </c>
      <c r="G951" t="str">
        <f>IF(OR($E951="",$F951=""),"",IFERROR(IF($E951=INDEX(Cluster_Master!$A$4:$A$18,MATCH($F951,Cluster_Master!$B$4:$B$18,0)),"OK","CHECK"),"CHECK"))</f>
        <v/>
      </c>
      <c r="H951" t="str">
        <f>IFERROR(INDEX(Cluster_Master!$C$4:$C$18,MATCH($F951,Cluster_Master!$B$4:$B$18,0)),"")</f>
        <v/>
      </c>
      <c r="I951" t="str">
        <f>IFERROR(INDEX(Cluster_Master!$D$4:$D$18,MATCH($F951,Cluster_Master!$B$4:$B$18,0)),"")</f>
        <v/>
      </c>
      <c r="J951" t="str">
        <f>IFERROR(INDEX(Cluster_Master!$E$4:$E$18,MATCH($F951,Cluster_Master!$B$4:$B$18,0)),"")</f>
        <v/>
      </c>
      <c r="K951" t="str">
        <f>IFERROR(INDEX(Cluster_Master!$F$4:$F$18,MATCH($F951,Cluster_Master!$B$4:$B$18,0)),"")</f>
        <v/>
      </c>
      <c r="L951" t="str">
        <f>IFERROR(INDEX(Cluster_Master!$G$4:$G$18,MATCH($F951,Cluster_Master!$B$4:$B$18,0)),"")</f>
        <v/>
      </c>
      <c r="M951" t="str">
        <f>IFERROR(INDEX(Cluster_Master!$H$4:$H$18,MATCH($F951,Cluster_Master!$B$4:$B$18,0)),"")</f>
        <v/>
      </c>
      <c r="AI951" t="str">
        <f t="shared" si="110"/>
        <v/>
      </c>
      <c r="AJ951" t="str">
        <f t="shared" si="111"/>
        <v/>
      </c>
      <c r="AK951" t="str">
        <f>IF(COUNTA(T951:AH951)=0,"",(SUM(T951*KPI_Weights!$B$4,U951*KPI_Weights!$B$5,V951*KPI_Weights!$B$6,W951*KPI_Weights!$B$7,X951*KPI_Weights!$B$8,Y951*KPI_Weights!$B$9,Z951*KPI_Weights!$B$10,AA951*KPI_Weights!$B$11,AB951*KPI_Weights!$B$12,AC951*KPI_Weights!$B$13,AD951*KPI_Weights!$B$14,AE951*KPI_Weights!$B$15,AF951*KPI_Weights!$B$16,AG951*KPI_Weights!$B$17,AH951*KPI_Weights!$B$18))/5)</f>
        <v/>
      </c>
      <c r="AL951" t="str">
        <f t="shared" si="112"/>
        <v/>
      </c>
      <c r="AM951" t="str">
        <f t="shared" si="113"/>
        <v/>
      </c>
      <c r="AN951" t="str">
        <f t="shared" si="114"/>
        <v/>
      </c>
    </row>
    <row r="952" spans="1:40" ht="15" customHeight="1" x14ac:dyDescent="0.2">
      <c r="A952" t="str">
        <f>IF($B952="","",TEXT($B952,"yyyymmdd")&amp;"-"&amp;SUBSTITUTE($F952," ","")&amp;"-"&amp;TEXT(COUNTIF($F$4:F952,$F952),"00"))</f>
        <v/>
      </c>
      <c r="C952" t="str">
        <f t="shared" si="108"/>
        <v/>
      </c>
      <c r="D952" t="str">
        <f t="shared" si="109"/>
        <v/>
      </c>
      <c r="G952" t="str">
        <f>IF(OR($E952="",$F952=""),"",IFERROR(IF($E952=INDEX(Cluster_Master!$A$4:$A$18,MATCH($F952,Cluster_Master!$B$4:$B$18,0)),"OK","CHECK"),"CHECK"))</f>
        <v/>
      </c>
      <c r="H952" t="str">
        <f>IFERROR(INDEX(Cluster_Master!$C$4:$C$18,MATCH($F952,Cluster_Master!$B$4:$B$18,0)),"")</f>
        <v/>
      </c>
      <c r="I952" t="str">
        <f>IFERROR(INDEX(Cluster_Master!$D$4:$D$18,MATCH($F952,Cluster_Master!$B$4:$B$18,0)),"")</f>
        <v/>
      </c>
      <c r="J952" t="str">
        <f>IFERROR(INDEX(Cluster_Master!$E$4:$E$18,MATCH($F952,Cluster_Master!$B$4:$B$18,0)),"")</f>
        <v/>
      </c>
      <c r="K952" t="str">
        <f>IFERROR(INDEX(Cluster_Master!$F$4:$F$18,MATCH($F952,Cluster_Master!$B$4:$B$18,0)),"")</f>
        <v/>
      </c>
      <c r="L952" t="str">
        <f>IFERROR(INDEX(Cluster_Master!$G$4:$G$18,MATCH($F952,Cluster_Master!$B$4:$B$18,0)),"")</f>
        <v/>
      </c>
      <c r="M952" t="str">
        <f>IFERROR(INDEX(Cluster_Master!$H$4:$H$18,MATCH($F952,Cluster_Master!$B$4:$B$18,0)),"")</f>
        <v/>
      </c>
      <c r="AI952" t="str">
        <f t="shared" si="110"/>
        <v/>
      </c>
      <c r="AJ952" t="str">
        <f t="shared" si="111"/>
        <v/>
      </c>
      <c r="AK952" t="str">
        <f>IF(COUNTA(T952:AH952)=0,"",(SUM(T952*KPI_Weights!$B$4,U952*KPI_Weights!$B$5,V952*KPI_Weights!$B$6,W952*KPI_Weights!$B$7,X952*KPI_Weights!$B$8,Y952*KPI_Weights!$B$9,Z952*KPI_Weights!$B$10,AA952*KPI_Weights!$B$11,AB952*KPI_Weights!$B$12,AC952*KPI_Weights!$B$13,AD952*KPI_Weights!$B$14,AE952*KPI_Weights!$B$15,AF952*KPI_Weights!$B$16,AG952*KPI_Weights!$B$17,AH952*KPI_Weights!$B$18))/5)</f>
        <v/>
      </c>
      <c r="AL952" t="str">
        <f t="shared" si="112"/>
        <v/>
      </c>
      <c r="AM952" t="str">
        <f t="shared" si="113"/>
        <v/>
      </c>
      <c r="AN952" t="str">
        <f t="shared" si="114"/>
        <v/>
      </c>
    </row>
    <row r="953" spans="1:40" ht="15" customHeight="1" x14ac:dyDescent="0.2">
      <c r="A953" t="str">
        <f>IF($B953="","",TEXT($B953,"yyyymmdd")&amp;"-"&amp;SUBSTITUTE($F953," ","")&amp;"-"&amp;TEXT(COUNTIF($F$4:F953,$F953),"00"))</f>
        <v/>
      </c>
      <c r="C953" t="str">
        <f t="shared" si="108"/>
        <v/>
      </c>
      <c r="D953" t="str">
        <f t="shared" si="109"/>
        <v/>
      </c>
      <c r="G953" t="str">
        <f>IF(OR($E953="",$F953=""),"",IFERROR(IF($E953=INDEX(Cluster_Master!$A$4:$A$18,MATCH($F953,Cluster_Master!$B$4:$B$18,0)),"OK","CHECK"),"CHECK"))</f>
        <v/>
      </c>
      <c r="H953" t="str">
        <f>IFERROR(INDEX(Cluster_Master!$C$4:$C$18,MATCH($F953,Cluster_Master!$B$4:$B$18,0)),"")</f>
        <v/>
      </c>
      <c r="I953" t="str">
        <f>IFERROR(INDEX(Cluster_Master!$D$4:$D$18,MATCH($F953,Cluster_Master!$B$4:$B$18,0)),"")</f>
        <v/>
      </c>
      <c r="J953" t="str">
        <f>IFERROR(INDEX(Cluster_Master!$E$4:$E$18,MATCH($F953,Cluster_Master!$B$4:$B$18,0)),"")</f>
        <v/>
      </c>
      <c r="K953" t="str">
        <f>IFERROR(INDEX(Cluster_Master!$F$4:$F$18,MATCH($F953,Cluster_Master!$B$4:$B$18,0)),"")</f>
        <v/>
      </c>
      <c r="L953" t="str">
        <f>IFERROR(INDEX(Cluster_Master!$G$4:$G$18,MATCH($F953,Cluster_Master!$B$4:$B$18,0)),"")</f>
        <v/>
      </c>
      <c r="M953" t="str">
        <f>IFERROR(INDEX(Cluster_Master!$H$4:$H$18,MATCH($F953,Cluster_Master!$B$4:$B$18,0)),"")</f>
        <v/>
      </c>
      <c r="AI953" t="str">
        <f t="shared" si="110"/>
        <v/>
      </c>
      <c r="AJ953" t="str">
        <f t="shared" si="111"/>
        <v/>
      </c>
      <c r="AK953" t="str">
        <f>IF(COUNTA(T953:AH953)=0,"",(SUM(T953*KPI_Weights!$B$4,U953*KPI_Weights!$B$5,V953*KPI_Weights!$B$6,W953*KPI_Weights!$B$7,X953*KPI_Weights!$B$8,Y953*KPI_Weights!$B$9,Z953*KPI_Weights!$B$10,AA953*KPI_Weights!$B$11,AB953*KPI_Weights!$B$12,AC953*KPI_Weights!$B$13,AD953*KPI_Weights!$B$14,AE953*KPI_Weights!$B$15,AF953*KPI_Weights!$B$16,AG953*KPI_Weights!$B$17,AH953*KPI_Weights!$B$18))/5)</f>
        <v/>
      </c>
      <c r="AL953" t="str">
        <f t="shared" si="112"/>
        <v/>
      </c>
      <c r="AM953" t="str">
        <f t="shared" si="113"/>
        <v/>
      </c>
      <c r="AN953" t="str">
        <f t="shared" si="114"/>
        <v/>
      </c>
    </row>
    <row r="954" spans="1:40" ht="15" customHeight="1" x14ac:dyDescent="0.2">
      <c r="A954" t="str">
        <f>IF($B954="","",TEXT($B954,"yyyymmdd")&amp;"-"&amp;SUBSTITUTE($F954," ","")&amp;"-"&amp;TEXT(COUNTIF($F$4:F954,$F954),"00"))</f>
        <v/>
      </c>
      <c r="C954" t="str">
        <f t="shared" si="108"/>
        <v/>
      </c>
      <c r="D954" t="str">
        <f t="shared" si="109"/>
        <v/>
      </c>
      <c r="G954" t="str">
        <f>IF(OR($E954="",$F954=""),"",IFERROR(IF($E954=INDEX(Cluster_Master!$A$4:$A$18,MATCH($F954,Cluster_Master!$B$4:$B$18,0)),"OK","CHECK"),"CHECK"))</f>
        <v/>
      </c>
      <c r="H954" t="str">
        <f>IFERROR(INDEX(Cluster_Master!$C$4:$C$18,MATCH($F954,Cluster_Master!$B$4:$B$18,0)),"")</f>
        <v/>
      </c>
      <c r="I954" t="str">
        <f>IFERROR(INDEX(Cluster_Master!$D$4:$D$18,MATCH($F954,Cluster_Master!$B$4:$B$18,0)),"")</f>
        <v/>
      </c>
      <c r="J954" t="str">
        <f>IFERROR(INDEX(Cluster_Master!$E$4:$E$18,MATCH($F954,Cluster_Master!$B$4:$B$18,0)),"")</f>
        <v/>
      </c>
      <c r="K954" t="str">
        <f>IFERROR(INDEX(Cluster_Master!$F$4:$F$18,MATCH($F954,Cluster_Master!$B$4:$B$18,0)),"")</f>
        <v/>
      </c>
      <c r="L954" t="str">
        <f>IFERROR(INDEX(Cluster_Master!$G$4:$G$18,MATCH($F954,Cluster_Master!$B$4:$B$18,0)),"")</f>
        <v/>
      </c>
      <c r="M954" t="str">
        <f>IFERROR(INDEX(Cluster_Master!$H$4:$H$18,MATCH($F954,Cluster_Master!$B$4:$B$18,0)),"")</f>
        <v/>
      </c>
      <c r="AI954" t="str">
        <f t="shared" si="110"/>
        <v/>
      </c>
      <c r="AJ954" t="str">
        <f t="shared" si="111"/>
        <v/>
      </c>
      <c r="AK954" t="str">
        <f>IF(COUNTA(T954:AH954)=0,"",(SUM(T954*KPI_Weights!$B$4,U954*KPI_Weights!$B$5,V954*KPI_Weights!$B$6,W954*KPI_Weights!$B$7,X954*KPI_Weights!$B$8,Y954*KPI_Weights!$B$9,Z954*KPI_Weights!$B$10,AA954*KPI_Weights!$B$11,AB954*KPI_Weights!$B$12,AC954*KPI_Weights!$B$13,AD954*KPI_Weights!$B$14,AE954*KPI_Weights!$B$15,AF954*KPI_Weights!$B$16,AG954*KPI_Weights!$B$17,AH954*KPI_Weights!$B$18))/5)</f>
        <v/>
      </c>
      <c r="AL954" t="str">
        <f t="shared" si="112"/>
        <v/>
      </c>
      <c r="AM954" t="str">
        <f t="shared" si="113"/>
        <v/>
      </c>
      <c r="AN954" t="str">
        <f t="shared" si="114"/>
        <v/>
      </c>
    </row>
    <row r="955" spans="1:40" ht="15" customHeight="1" x14ac:dyDescent="0.2">
      <c r="A955" t="str">
        <f>IF($B955="","",TEXT($B955,"yyyymmdd")&amp;"-"&amp;SUBSTITUTE($F955," ","")&amp;"-"&amp;TEXT(COUNTIF($F$4:F955,$F955),"00"))</f>
        <v/>
      </c>
      <c r="C955" t="str">
        <f t="shared" si="108"/>
        <v/>
      </c>
      <c r="D955" t="str">
        <f t="shared" si="109"/>
        <v/>
      </c>
      <c r="G955" t="str">
        <f>IF(OR($E955="",$F955=""),"",IFERROR(IF($E955=INDEX(Cluster_Master!$A$4:$A$18,MATCH($F955,Cluster_Master!$B$4:$B$18,0)),"OK","CHECK"),"CHECK"))</f>
        <v/>
      </c>
      <c r="H955" t="str">
        <f>IFERROR(INDEX(Cluster_Master!$C$4:$C$18,MATCH($F955,Cluster_Master!$B$4:$B$18,0)),"")</f>
        <v/>
      </c>
      <c r="I955" t="str">
        <f>IFERROR(INDEX(Cluster_Master!$D$4:$D$18,MATCH($F955,Cluster_Master!$B$4:$B$18,0)),"")</f>
        <v/>
      </c>
      <c r="J955" t="str">
        <f>IFERROR(INDEX(Cluster_Master!$E$4:$E$18,MATCH($F955,Cluster_Master!$B$4:$B$18,0)),"")</f>
        <v/>
      </c>
      <c r="K955" t="str">
        <f>IFERROR(INDEX(Cluster_Master!$F$4:$F$18,MATCH($F955,Cluster_Master!$B$4:$B$18,0)),"")</f>
        <v/>
      </c>
      <c r="L955" t="str">
        <f>IFERROR(INDEX(Cluster_Master!$G$4:$G$18,MATCH($F955,Cluster_Master!$B$4:$B$18,0)),"")</f>
        <v/>
      </c>
      <c r="M955" t="str">
        <f>IFERROR(INDEX(Cluster_Master!$H$4:$H$18,MATCH($F955,Cluster_Master!$B$4:$B$18,0)),"")</f>
        <v/>
      </c>
      <c r="AI955" t="str">
        <f t="shared" si="110"/>
        <v/>
      </c>
      <c r="AJ955" t="str">
        <f t="shared" si="111"/>
        <v/>
      </c>
      <c r="AK955" t="str">
        <f>IF(COUNTA(T955:AH955)=0,"",(SUM(T955*KPI_Weights!$B$4,U955*KPI_Weights!$B$5,V955*KPI_Weights!$B$6,W955*KPI_Weights!$B$7,X955*KPI_Weights!$B$8,Y955*KPI_Weights!$B$9,Z955*KPI_Weights!$B$10,AA955*KPI_Weights!$B$11,AB955*KPI_Weights!$B$12,AC955*KPI_Weights!$B$13,AD955*KPI_Weights!$B$14,AE955*KPI_Weights!$B$15,AF955*KPI_Weights!$B$16,AG955*KPI_Weights!$B$17,AH955*KPI_Weights!$B$18))/5)</f>
        <v/>
      </c>
      <c r="AL955" t="str">
        <f t="shared" si="112"/>
        <v/>
      </c>
      <c r="AM955" t="str">
        <f t="shared" si="113"/>
        <v/>
      </c>
      <c r="AN955" t="str">
        <f t="shared" si="114"/>
        <v/>
      </c>
    </row>
    <row r="956" spans="1:40" ht="15" customHeight="1" x14ac:dyDescent="0.2">
      <c r="A956" t="str">
        <f>IF($B956="","",TEXT($B956,"yyyymmdd")&amp;"-"&amp;SUBSTITUTE($F956," ","")&amp;"-"&amp;TEXT(COUNTIF($F$4:F956,$F956),"00"))</f>
        <v/>
      </c>
      <c r="C956" t="str">
        <f t="shared" si="108"/>
        <v/>
      </c>
      <c r="D956" t="str">
        <f t="shared" si="109"/>
        <v/>
      </c>
      <c r="G956" t="str">
        <f>IF(OR($E956="",$F956=""),"",IFERROR(IF($E956=INDEX(Cluster_Master!$A$4:$A$18,MATCH($F956,Cluster_Master!$B$4:$B$18,0)),"OK","CHECK"),"CHECK"))</f>
        <v/>
      </c>
      <c r="H956" t="str">
        <f>IFERROR(INDEX(Cluster_Master!$C$4:$C$18,MATCH($F956,Cluster_Master!$B$4:$B$18,0)),"")</f>
        <v/>
      </c>
      <c r="I956" t="str">
        <f>IFERROR(INDEX(Cluster_Master!$D$4:$D$18,MATCH($F956,Cluster_Master!$B$4:$B$18,0)),"")</f>
        <v/>
      </c>
      <c r="J956" t="str">
        <f>IFERROR(INDEX(Cluster_Master!$E$4:$E$18,MATCH($F956,Cluster_Master!$B$4:$B$18,0)),"")</f>
        <v/>
      </c>
      <c r="K956" t="str">
        <f>IFERROR(INDEX(Cluster_Master!$F$4:$F$18,MATCH($F956,Cluster_Master!$B$4:$B$18,0)),"")</f>
        <v/>
      </c>
      <c r="L956" t="str">
        <f>IFERROR(INDEX(Cluster_Master!$G$4:$G$18,MATCH($F956,Cluster_Master!$B$4:$B$18,0)),"")</f>
        <v/>
      </c>
      <c r="M956" t="str">
        <f>IFERROR(INDEX(Cluster_Master!$H$4:$H$18,MATCH($F956,Cluster_Master!$B$4:$B$18,0)),"")</f>
        <v/>
      </c>
      <c r="AI956" t="str">
        <f t="shared" si="110"/>
        <v/>
      </c>
      <c r="AJ956" t="str">
        <f t="shared" si="111"/>
        <v/>
      </c>
      <c r="AK956" t="str">
        <f>IF(COUNTA(T956:AH956)=0,"",(SUM(T956*KPI_Weights!$B$4,U956*KPI_Weights!$B$5,V956*KPI_Weights!$B$6,W956*KPI_Weights!$B$7,X956*KPI_Weights!$B$8,Y956*KPI_Weights!$B$9,Z956*KPI_Weights!$B$10,AA956*KPI_Weights!$B$11,AB956*KPI_Weights!$B$12,AC956*KPI_Weights!$B$13,AD956*KPI_Weights!$B$14,AE956*KPI_Weights!$B$15,AF956*KPI_Weights!$B$16,AG956*KPI_Weights!$B$17,AH956*KPI_Weights!$B$18))/5)</f>
        <v/>
      </c>
      <c r="AL956" t="str">
        <f t="shared" si="112"/>
        <v/>
      </c>
      <c r="AM956" t="str">
        <f t="shared" si="113"/>
        <v/>
      </c>
      <c r="AN956" t="str">
        <f t="shared" si="114"/>
        <v/>
      </c>
    </row>
    <row r="957" spans="1:40" ht="15" customHeight="1" x14ac:dyDescent="0.2">
      <c r="A957" t="str">
        <f>IF($B957="","",TEXT($B957,"yyyymmdd")&amp;"-"&amp;SUBSTITUTE($F957," ","")&amp;"-"&amp;TEXT(COUNTIF($F$4:F957,$F957),"00"))</f>
        <v/>
      </c>
      <c r="C957" t="str">
        <f t="shared" si="108"/>
        <v/>
      </c>
      <c r="D957" t="str">
        <f t="shared" si="109"/>
        <v/>
      </c>
      <c r="G957" t="str">
        <f>IF(OR($E957="",$F957=""),"",IFERROR(IF($E957=INDEX(Cluster_Master!$A$4:$A$18,MATCH($F957,Cluster_Master!$B$4:$B$18,0)),"OK","CHECK"),"CHECK"))</f>
        <v/>
      </c>
      <c r="H957" t="str">
        <f>IFERROR(INDEX(Cluster_Master!$C$4:$C$18,MATCH($F957,Cluster_Master!$B$4:$B$18,0)),"")</f>
        <v/>
      </c>
      <c r="I957" t="str">
        <f>IFERROR(INDEX(Cluster_Master!$D$4:$D$18,MATCH($F957,Cluster_Master!$B$4:$B$18,0)),"")</f>
        <v/>
      </c>
      <c r="J957" t="str">
        <f>IFERROR(INDEX(Cluster_Master!$E$4:$E$18,MATCH($F957,Cluster_Master!$B$4:$B$18,0)),"")</f>
        <v/>
      </c>
      <c r="K957" t="str">
        <f>IFERROR(INDEX(Cluster_Master!$F$4:$F$18,MATCH($F957,Cluster_Master!$B$4:$B$18,0)),"")</f>
        <v/>
      </c>
      <c r="L957" t="str">
        <f>IFERROR(INDEX(Cluster_Master!$G$4:$G$18,MATCH($F957,Cluster_Master!$B$4:$B$18,0)),"")</f>
        <v/>
      </c>
      <c r="M957" t="str">
        <f>IFERROR(INDEX(Cluster_Master!$H$4:$H$18,MATCH($F957,Cluster_Master!$B$4:$B$18,0)),"")</f>
        <v/>
      </c>
      <c r="AI957" t="str">
        <f t="shared" si="110"/>
        <v/>
      </c>
      <c r="AJ957" t="str">
        <f t="shared" si="111"/>
        <v/>
      </c>
      <c r="AK957" t="str">
        <f>IF(COUNTA(T957:AH957)=0,"",(SUM(T957*KPI_Weights!$B$4,U957*KPI_Weights!$B$5,V957*KPI_Weights!$B$6,W957*KPI_Weights!$B$7,X957*KPI_Weights!$B$8,Y957*KPI_Weights!$B$9,Z957*KPI_Weights!$B$10,AA957*KPI_Weights!$B$11,AB957*KPI_Weights!$B$12,AC957*KPI_Weights!$B$13,AD957*KPI_Weights!$B$14,AE957*KPI_Weights!$B$15,AF957*KPI_Weights!$B$16,AG957*KPI_Weights!$B$17,AH957*KPI_Weights!$B$18))/5)</f>
        <v/>
      </c>
      <c r="AL957" t="str">
        <f t="shared" si="112"/>
        <v/>
      </c>
      <c r="AM957" t="str">
        <f t="shared" si="113"/>
        <v/>
      </c>
      <c r="AN957" t="str">
        <f t="shared" si="114"/>
        <v/>
      </c>
    </row>
    <row r="958" spans="1:40" ht="15" customHeight="1" x14ac:dyDescent="0.2">
      <c r="A958" t="str">
        <f>IF($B958="","",TEXT($B958,"yyyymmdd")&amp;"-"&amp;SUBSTITUTE($F958," ","")&amp;"-"&amp;TEXT(COUNTIF($F$4:F958,$F958),"00"))</f>
        <v/>
      </c>
      <c r="C958" t="str">
        <f t="shared" si="108"/>
        <v/>
      </c>
      <c r="D958" t="str">
        <f t="shared" si="109"/>
        <v/>
      </c>
      <c r="G958" t="str">
        <f>IF(OR($E958="",$F958=""),"",IFERROR(IF($E958=INDEX(Cluster_Master!$A$4:$A$18,MATCH($F958,Cluster_Master!$B$4:$B$18,0)),"OK","CHECK"),"CHECK"))</f>
        <v/>
      </c>
      <c r="H958" t="str">
        <f>IFERROR(INDEX(Cluster_Master!$C$4:$C$18,MATCH($F958,Cluster_Master!$B$4:$B$18,0)),"")</f>
        <v/>
      </c>
      <c r="I958" t="str">
        <f>IFERROR(INDEX(Cluster_Master!$D$4:$D$18,MATCH($F958,Cluster_Master!$B$4:$B$18,0)),"")</f>
        <v/>
      </c>
      <c r="J958" t="str">
        <f>IFERROR(INDEX(Cluster_Master!$E$4:$E$18,MATCH($F958,Cluster_Master!$B$4:$B$18,0)),"")</f>
        <v/>
      </c>
      <c r="K958" t="str">
        <f>IFERROR(INDEX(Cluster_Master!$F$4:$F$18,MATCH($F958,Cluster_Master!$B$4:$B$18,0)),"")</f>
        <v/>
      </c>
      <c r="L958" t="str">
        <f>IFERROR(INDEX(Cluster_Master!$G$4:$G$18,MATCH($F958,Cluster_Master!$B$4:$B$18,0)),"")</f>
        <v/>
      </c>
      <c r="M958" t="str">
        <f>IFERROR(INDEX(Cluster_Master!$H$4:$H$18,MATCH($F958,Cluster_Master!$B$4:$B$18,0)),"")</f>
        <v/>
      </c>
      <c r="AI958" t="str">
        <f t="shared" si="110"/>
        <v/>
      </c>
      <c r="AJ958" t="str">
        <f t="shared" si="111"/>
        <v/>
      </c>
      <c r="AK958" t="str">
        <f>IF(COUNTA(T958:AH958)=0,"",(SUM(T958*KPI_Weights!$B$4,U958*KPI_Weights!$B$5,V958*KPI_Weights!$B$6,W958*KPI_Weights!$B$7,X958*KPI_Weights!$B$8,Y958*KPI_Weights!$B$9,Z958*KPI_Weights!$B$10,AA958*KPI_Weights!$B$11,AB958*KPI_Weights!$B$12,AC958*KPI_Weights!$B$13,AD958*KPI_Weights!$B$14,AE958*KPI_Weights!$B$15,AF958*KPI_Weights!$B$16,AG958*KPI_Weights!$B$17,AH958*KPI_Weights!$B$18))/5)</f>
        <v/>
      </c>
      <c r="AL958" t="str">
        <f t="shared" si="112"/>
        <v/>
      </c>
      <c r="AM958" t="str">
        <f t="shared" si="113"/>
        <v/>
      </c>
      <c r="AN958" t="str">
        <f t="shared" si="114"/>
        <v/>
      </c>
    </row>
    <row r="959" spans="1:40" ht="15" customHeight="1" x14ac:dyDescent="0.2">
      <c r="A959" t="str">
        <f>IF($B959="","",TEXT($B959,"yyyymmdd")&amp;"-"&amp;SUBSTITUTE($F959," ","")&amp;"-"&amp;TEXT(COUNTIF($F$4:F959,$F959),"00"))</f>
        <v/>
      </c>
      <c r="C959" t="str">
        <f t="shared" si="108"/>
        <v/>
      </c>
      <c r="D959" t="str">
        <f t="shared" si="109"/>
        <v/>
      </c>
      <c r="G959" t="str">
        <f>IF(OR($E959="",$F959=""),"",IFERROR(IF($E959=INDEX(Cluster_Master!$A$4:$A$18,MATCH($F959,Cluster_Master!$B$4:$B$18,0)),"OK","CHECK"),"CHECK"))</f>
        <v/>
      </c>
      <c r="H959" t="str">
        <f>IFERROR(INDEX(Cluster_Master!$C$4:$C$18,MATCH($F959,Cluster_Master!$B$4:$B$18,0)),"")</f>
        <v/>
      </c>
      <c r="I959" t="str">
        <f>IFERROR(INDEX(Cluster_Master!$D$4:$D$18,MATCH($F959,Cluster_Master!$B$4:$B$18,0)),"")</f>
        <v/>
      </c>
      <c r="J959" t="str">
        <f>IFERROR(INDEX(Cluster_Master!$E$4:$E$18,MATCH($F959,Cluster_Master!$B$4:$B$18,0)),"")</f>
        <v/>
      </c>
      <c r="K959" t="str">
        <f>IFERROR(INDEX(Cluster_Master!$F$4:$F$18,MATCH($F959,Cluster_Master!$B$4:$B$18,0)),"")</f>
        <v/>
      </c>
      <c r="L959" t="str">
        <f>IFERROR(INDEX(Cluster_Master!$G$4:$G$18,MATCH($F959,Cluster_Master!$B$4:$B$18,0)),"")</f>
        <v/>
      </c>
      <c r="M959" t="str">
        <f>IFERROR(INDEX(Cluster_Master!$H$4:$H$18,MATCH($F959,Cluster_Master!$B$4:$B$18,0)),"")</f>
        <v/>
      </c>
      <c r="AI959" t="str">
        <f t="shared" si="110"/>
        <v/>
      </c>
      <c r="AJ959" t="str">
        <f t="shared" si="111"/>
        <v/>
      </c>
      <c r="AK959" t="str">
        <f>IF(COUNTA(T959:AH959)=0,"",(SUM(T959*KPI_Weights!$B$4,U959*KPI_Weights!$B$5,V959*KPI_Weights!$B$6,W959*KPI_Weights!$B$7,X959*KPI_Weights!$B$8,Y959*KPI_Weights!$B$9,Z959*KPI_Weights!$B$10,AA959*KPI_Weights!$B$11,AB959*KPI_Weights!$B$12,AC959*KPI_Weights!$B$13,AD959*KPI_Weights!$B$14,AE959*KPI_Weights!$B$15,AF959*KPI_Weights!$B$16,AG959*KPI_Weights!$B$17,AH959*KPI_Weights!$B$18))/5)</f>
        <v/>
      </c>
      <c r="AL959" t="str">
        <f t="shared" si="112"/>
        <v/>
      </c>
      <c r="AM959" t="str">
        <f t="shared" si="113"/>
        <v/>
      </c>
      <c r="AN959" t="str">
        <f t="shared" si="114"/>
        <v/>
      </c>
    </row>
    <row r="960" spans="1:40" ht="15" customHeight="1" x14ac:dyDescent="0.2">
      <c r="A960" t="str">
        <f>IF($B960="","",TEXT($B960,"yyyymmdd")&amp;"-"&amp;SUBSTITUTE($F960," ","")&amp;"-"&amp;TEXT(COUNTIF($F$4:F960,$F960),"00"))</f>
        <v/>
      </c>
      <c r="C960" t="str">
        <f t="shared" ref="C960:C996" si="115">IF($B960="","",WEEKNUM($B960,2))</f>
        <v/>
      </c>
      <c r="D960" t="str">
        <f t="shared" ref="D960:D996" si="116">IF($B960="","",TEXT($B960,"yyyy-mm"))</f>
        <v/>
      </c>
      <c r="G960" t="str">
        <f>IF(OR($E960="",$F960=""),"",IFERROR(IF($E960=INDEX(Cluster_Master!$A$4:$A$18,MATCH($F960,Cluster_Master!$B$4:$B$18,0)),"OK","CHECK"),"CHECK"))</f>
        <v/>
      </c>
      <c r="H960" t="str">
        <f>IFERROR(INDEX(Cluster_Master!$C$4:$C$18,MATCH($F960,Cluster_Master!$B$4:$B$18,0)),"")</f>
        <v/>
      </c>
      <c r="I960" t="str">
        <f>IFERROR(INDEX(Cluster_Master!$D$4:$D$18,MATCH($F960,Cluster_Master!$B$4:$B$18,0)),"")</f>
        <v/>
      </c>
      <c r="J960" t="str">
        <f>IFERROR(INDEX(Cluster_Master!$E$4:$E$18,MATCH($F960,Cluster_Master!$B$4:$B$18,0)),"")</f>
        <v/>
      </c>
      <c r="K960" t="str">
        <f>IFERROR(INDEX(Cluster_Master!$F$4:$F$18,MATCH($F960,Cluster_Master!$B$4:$B$18,0)),"")</f>
        <v/>
      </c>
      <c r="L960" t="str">
        <f>IFERROR(INDEX(Cluster_Master!$G$4:$G$18,MATCH($F960,Cluster_Master!$B$4:$B$18,0)),"")</f>
        <v/>
      </c>
      <c r="M960" t="str">
        <f>IFERROR(INDEX(Cluster_Master!$H$4:$H$18,MATCH($F960,Cluster_Master!$B$4:$B$18,0)),"")</f>
        <v/>
      </c>
      <c r="AI960" t="str">
        <f t="shared" ref="AI960:AI996" si="117">IF(COUNTA(T960:AH960)=0,"",SUM(T960:AH960))</f>
        <v/>
      </c>
      <c r="AJ960" t="str">
        <f t="shared" ref="AJ960:AJ996" si="118">IF(COUNTA(T960:AH960)=0,"",AI960/75)</f>
        <v/>
      </c>
      <c r="AK960" t="str">
        <f>IF(COUNTA(T960:AH960)=0,"",(SUM(T960*KPI_Weights!$B$4,U960*KPI_Weights!$B$5,V960*KPI_Weights!$B$6,W960*KPI_Weights!$B$7,X960*KPI_Weights!$B$8,Y960*KPI_Weights!$B$9,Z960*KPI_Weights!$B$10,AA960*KPI_Weights!$B$11,AB960*KPI_Weights!$B$12,AC960*KPI_Weights!$B$13,AD960*KPI_Weights!$B$14,AE960*KPI_Weights!$B$15,AF960*KPI_Weights!$B$16,AG960*KPI_Weights!$B$17,AH960*KPI_Weights!$B$18))/5)</f>
        <v/>
      </c>
      <c r="AL960" t="str">
        <f t="shared" ref="AL960:AL996" si="119">IF(COUNTA(T960:AH960)=0,"",IF(OR(T960&lt;=1,W960&lt;=1,X960&lt;=1,Y960&lt;=1,AB960&lt;=1),"YES","NO"))</f>
        <v/>
      </c>
      <c r="AM960" t="str">
        <f t="shared" ref="AM960:AM996" si="120">IF(AJ960="","",IF(AND(AL960="NO",AJ960&gt;=0.75),"YES","NO"))</f>
        <v/>
      </c>
      <c r="AN960" t="str">
        <f t="shared" ref="AN960:AN996" si="121">IF(AJ960="","",IF(AJ960&lt;0.4,"Critical",IF(AJ960&lt;0.6,"Poor",IF(AJ960&lt;0.75,"Needs Improvement",IF(AJ960&lt;0.9,"Good","Excellent")))))</f>
        <v/>
      </c>
    </row>
    <row r="961" spans="1:40" ht="15" customHeight="1" x14ac:dyDescent="0.2">
      <c r="A961" t="str">
        <f>IF($B961="","",TEXT($B961,"yyyymmdd")&amp;"-"&amp;SUBSTITUTE($F961," ","")&amp;"-"&amp;TEXT(COUNTIF($F$4:F961,$F961),"00"))</f>
        <v/>
      </c>
      <c r="C961" t="str">
        <f t="shared" si="115"/>
        <v/>
      </c>
      <c r="D961" t="str">
        <f t="shared" si="116"/>
        <v/>
      </c>
      <c r="G961" t="str">
        <f>IF(OR($E961="",$F961=""),"",IFERROR(IF($E961=INDEX(Cluster_Master!$A$4:$A$18,MATCH($F961,Cluster_Master!$B$4:$B$18,0)),"OK","CHECK"),"CHECK"))</f>
        <v/>
      </c>
      <c r="H961" t="str">
        <f>IFERROR(INDEX(Cluster_Master!$C$4:$C$18,MATCH($F961,Cluster_Master!$B$4:$B$18,0)),"")</f>
        <v/>
      </c>
      <c r="I961" t="str">
        <f>IFERROR(INDEX(Cluster_Master!$D$4:$D$18,MATCH($F961,Cluster_Master!$B$4:$B$18,0)),"")</f>
        <v/>
      </c>
      <c r="J961" t="str">
        <f>IFERROR(INDEX(Cluster_Master!$E$4:$E$18,MATCH($F961,Cluster_Master!$B$4:$B$18,0)),"")</f>
        <v/>
      </c>
      <c r="K961" t="str">
        <f>IFERROR(INDEX(Cluster_Master!$F$4:$F$18,MATCH($F961,Cluster_Master!$B$4:$B$18,0)),"")</f>
        <v/>
      </c>
      <c r="L961" t="str">
        <f>IFERROR(INDEX(Cluster_Master!$G$4:$G$18,MATCH($F961,Cluster_Master!$B$4:$B$18,0)),"")</f>
        <v/>
      </c>
      <c r="M961" t="str">
        <f>IFERROR(INDEX(Cluster_Master!$H$4:$H$18,MATCH($F961,Cluster_Master!$B$4:$B$18,0)),"")</f>
        <v/>
      </c>
      <c r="AI961" t="str">
        <f t="shared" si="117"/>
        <v/>
      </c>
      <c r="AJ961" t="str">
        <f t="shared" si="118"/>
        <v/>
      </c>
      <c r="AK961" t="str">
        <f>IF(COUNTA(T961:AH961)=0,"",(SUM(T961*KPI_Weights!$B$4,U961*KPI_Weights!$B$5,V961*KPI_Weights!$B$6,W961*KPI_Weights!$B$7,X961*KPI_Weights!$B$8,Y961*KPI_Weights!$B$9,Z961*KPI_Weights!$B$10,AA961*KPI_Weights!$B$11,AB961*KPI_Weights!$B$12,AC961*KPI_Weights!$B$13,AD961*KPI_Weights!$B$14,AE961*KPI_Weights!$B$15,AF961*KPI_Weights!$B$16,AG961*KPI_Weights!$B$17,AH961*KPI_Weights!$B$18))/5)</f>
        <v/>
      </c>
      <c r="AL961" t="str">
        <f t="shared" si="119"/>
        <v/>
      </c>
      <c r="AM961" t="str">
        <f t="shared" si="120"/>
        <v/>
      </c>
      <c r="AN961" t="str">
        <f t="shared" si="121"/>
        <v/>
      </c>
    </row>
    <row r="962" spans="1:40" ht="15" customHeight="1" x14ac:dyDescent="0.2">
      <c r="A962" t="str">
        <f>IF($B962="","",TEXT($B962,"yyyymmdd")&amp;"-"&amp;SUBSTITUTE($F962," ","")&amp;"-"&amp;TEXT(COUNTIF($F$4:F962,$F962),"00"))</f>
        <v/>
      </c>
      <c r="C962" t="str">
        <f t="shared" si="115"/>
        <v/>
      </c>
      <c r="D962" t="str">
        <f t="shared" si="116"/>
        <v/>
      </c>
      <c r="G962" t="str">
        <f>IF(OR($E962="",$F962=""),"",IFERROR(IF($E962=INDEX(Cluster_Master!$A$4:$A$18,MATCH($F962,Cluster_Master!$B$4:$B$18,0)),"OK","CHECK"),"CHECK"))</f>
        <v/>
      </c>
      <c r="H962" t="str">
        <f>IFERROR(INDEX(Cluster_Master!$C$4:$C$18,MATCH($F962,Cluster_Master!$B$4:$B$18,0)),"")</f>
        <v/>
      </c>
      <c r="I962" t="str">
        <f>IFERROR(INDEX(Cluster_Master!$D$4:$D$18,MATCH($F962,Cluster_Master!$B$4:$B$18,0)),"")</f>
        <v/>
      </c>
      <c r="J962" t="str">
        <f>IFERROR(INDEX(Cluster_Master!$E$4:$E$18,MATCH($F962,Cluster_Master!$B$4:$B$18,0)),"")</f>
        <v/>
      </c>
      <c r="K962" t="str">
        <f>IFERROR(INDEX(Cluster_Master!$F$4:$F$18,MATCH($F962,Cluster_Master!$B$4:$B$18,0)),"")</f>
        <v/>
      </c>
      <c r="L962" t="str">
        <f>IFERROR(INDEX(Cluster_Master!$G$4:$G$18,MATCH($F962,Cluster_Master!$B$4:$B$18,0)),"")</f>
        <v/>
      </c>
      <c r="M962" t="str">
        <f>IFERROR(INDEX(Cluster_Master!$H$4:$H$18,MATCH($F962,Cluster_Master!$B$4:$B$18,0)),"")</f>
        <v/>
      </c>
      <c r="AI962" t="str">
        <f t="shared" si="117"/>
        <v/>
      </c>
      <c r="AJ962" t="str">
        <f t="shared" si="118"/>
        <v/>
      </c>
      <c r="AK962" t="str">
        <f>IF(COUNTA(T962:AH962)=0,"",(SUM(T962*KPI_Weights!$B$4,U962*KPI_Weights!$B$5,V962*KPI_Weights!$B$6,W962*KPI_Weights!$B$7,X962*KPI_Weights!$B$8,Y962*KPI_Weights!$B$9,Z962*KPI_Weights!$B$10,AA962*KPI_Weights!$B$11,AB962*KPI_Weights!$B$12,AC962*KPI_Weights!$B$13,AD962*KPI_Weights!$B$14,AE962*KPI_Weights!$B$15,AF962*KPI_Weights!$B$16,AG962*KPI_Weights!$B$17,AH962*KPI_Weights!$B$18))/5)</f>
        <v/>
      </c>
      <c r="AL962" t="str">
        <f t="shared" si="119"/>
        <v/>
      </c>
      <c r="AM962" t="str">
        <f t="shared" si="120"/>
        <v/>
      </c>
      <c r="AN962" t="str">
        <f t="shared" si="121"/>
        <v/>
      </c>
    </row>
    <row r="963" spans="1:40" ht="15" customHeight="1" x14ac:dyDescent="0.2">
      <c r="A963" t="str">
        <f>IF($B963="","",TEXT($B963,"yyyymmdd")&amp;"-"&amp;SUBSTITUTE($F963," ","")&amp;"-"&amp;TEXT(COUNTIF($F$4:F963,$F963),"00"))</f>
        <v/>
      </c>
      <c r="C963" t="str">
        <f t="shared" si="115"/>
        <v/>
      </c>
      <c r="D963" t="str">
        <f t="shared" si="116"/>
        <v/>
      </c>
      <c r="G963" t="str">
        <f>IF(OR($E963="",$F963=""),"",IFERROR(IF($E963=INDEX(Cluster_Master!$A$4:$A$18,MATCH($F963,Cluster_Master!$B$4:$B$18,0)),"OK","CHECK"),"CHECK"))</f>
        <v/>
      </c>
      <c r="H963" t="str">
        <f>IFERROR(INDEX(Cluster_Master!$C$4:$C$18,MATCH($F963,Cluster_Master!$B$4:$B$18,0)),"")</f>
        <v/>
      </c>
      <c r="I963" t="str">
        <f>IFERROR(INDEX(Cluster_Master!$D$4:$D$18,MATCH($F963,Cluster_Master!$B$4:$B$18,0)),"")</f>
        <v/>
      </c>
      <c r="J963" t="str">
        <f>IFERROR(INDEX(Cluster_Master!$E$4:$E$18,MATCH($F963,Cluster_Master!$B$4:$B$18,0)),"")</f>
        <v/>
      </c>
      <c r="K963" t="str">
        <f>IFERROR(INDEX(Cluster_Master!$F$4:$F$18,MATCH($F963,Cluster_Master!$B$4:$B$18,0)),"")</f>
        <v/>
      </c>
      <c r="L963" t="str">
        <f>IFERROR(INDEX(Cluster_Master!$G$4:$G$18,MATCH($F963,Cluster_Master!$B$4:$B$18,0)),"")</f>
        <v/>
      </c>
      <c r="M963" t="str">
        <f>IFERROR(INDEX(Cluster_Master!$H$4:$H$18,MATCH($F963,Cluster_Master!$B$4:$B$18,0)),"")</f>
        <v/>
      </c>
      <c r="AI963" t="str">
        <f t="shared" si="117"/>
        <v/>
      </c>
      <c r="AJ963" t="str">
        <f t="shared" si="118"/>
        <v/>
      </c>
      <c r="AK963" t="str">
        <f>IF(COUNTA(T963:AH963)=0,"",(SUM(T963*KPI_Weights!$B$4,U963*KPI_Weights!$B$5,V963*KPI_Weights!$B$6,W963*KPI_Weights!$B$7,X963*KPI_Weights!$B$8,Y963*KPI_Weights!$B$9,Z963*KPI_Weights!$B$10,AA963*KPI_Weights!$B$11,AB963*KPI_Weights!$B$12,AC963*KPI_Weights!$B$13,AD963*KPI_Weights!$B$14,AE963*KPI_Weights!$B$15,AF963*KPI_Weights!$B$16,AG963*KPI_Weights!$B$17,AH963*KPI_Weights!$B$18))/5)</f>
        <v/>
      </c>
      <c r="AL963" t="str">
        <f t="shared" si="119"/>
        <v/>
      </c>
      <c r="AM963" t="str">
        <f t="shared" si="120"/>
        <v/>
      </c>
      <c r="AN963" t="str">
        <f t="shared" si="121"/>
        <v/>
      </c>
    </row>
    <row r="964" spans="1:40" ht="15" customHeight="1" x14ac:dyDescent="0.2">
      <c r="A964" t="str">
        <f>IF($B964="","",TEXT($B964,"yyyymmdd")&amp;"-"&amp;SUBSTITUTE($F964," ","")&amp;"-"&amp;TEXT(COUNTIF($F$4:F964,$F964),"00"))</f>
        <v/>
      </c>
      <c r="C964" t="str">
        <f t="shared" si="115"/>
        <v/>
      </c>
      <c r="D964" t="str">
        <f t="shared" si="116"/>
        <v/>
      </c>
      <c r="G964" t="str">
        <f>IF(OR($E964="",$F964=""),"",IFERROR(IF($E964=INDEX(Cluster_Master!$A$4:$A$18,MATCH($F964,Cluster_Master!$B$4:$B$18,0)),"OK","CHECK"),"CHECK"))</f>
        <v/>
      </c>
      <c r="H964" t="str">
        <f>IFERROR(INDEX(Cluster_Master!$C$4:$C$18,MATCH($F964,Cluster_Master!$B$4:$B$18,0)),"")</f>
        <v/>
      </c>
      <c r="I964" t="str">
        <f>IFERROR(INDEX(Cluster_Master!$D$4:$D$18,MATCH($F964,Cluster_Master!$B$4:$B$18,0)),"")</f>
        <v/>
      </c>
      <c r="J964" t="str">
        <f>IFERROR(INDEX(Cluster_Master!$E$4:$E$18,MATCH($F964,Cluster_Master!$B$4:$B$18,0)),"")</f>
        <v/>
      </c>
      <c r="K964" t="str">
        <f>IFERROR(INDEX(Cluster_Master!$F$4:$F$18,MATCH($F964,Cluster_Master!$B$4:$B$18,0)),"")</f>
        <v/>
      </c>
      <c r="L964" t="str">
        <f>IFERROR(INDEX(Cluster_Master!$G$4:$G$18,MATCH($F964,Cluster_Master!$B$4:$B$18,0)),"")</f>
        <v/>
      </c>
      <c r="M964" t="str">
        <f>IFERROR(INDEX(Cluster_Master!$H$4:$H$18,MATCH($F964,Cluster_Master!$B$4:$B$18,0)),"")</f>
        <v/>
      </c>
      <c r="AI964" t="str">
        <f t="shared" si="117"/>
        <v/>
      </c>
      <c r="AJ964" t="str">
        <f t="shared" si="118"/>
        <v/>
      </c>
      <c r="AK964" t="str">
        <f>IF(COUNTA(T964:AH964)=0,"",(SUM(T964*KPI_Weights!$B$4,U964*KPI_Weights!$B$5,V964*KPI_Weights!$B$6,W964*KPI_Weights!$B$7,X964*KPI_Weights!$B$8,Y964*KPI_Weights!$B$9,Z964*KPI_Weights!$B$10,AA964*KPI_Weights!$B$11,AB964*KPI_Weights!$B$12,AC964*KPI_Weights!$B$13,AD964*KPI_Weights!$B$14,AE964*KPI_Weights!$B$15,AF964*KPI_Weights!$B$16,AG964*KPI_Weights!$B$17,AH964*KPI_Weights!$B$18))/5)</f>
        <v/>
      </c>
      <c r="AL964" t="str">
        <f t="shared" si="119"/>
        <v/>
      </c>
      <c r="AM964" t="str">
        <f t="shared" si="120"/>
        <v/>
      </c>
      <c r="AN964" t="str">
        <f t="shared" si="121"/>
        <v/>
      </c>
    </row>
    <row r="965" spans="1:40" ht="15" customHeight="1" x14ac:dyDescent="0.2">
      <c r="A965" t="str">
        <f>IF($B965="","",TEXT($B965,"yyyymmdd")&amp;"-"&amp;SUBSTITUTE($F965," ","")&amp;"-"&amp;TEXT(COUNTIF($F$4:F965,$F965),"00"))</f>
        <v/>
      </c>
      <c r="C965" t="str">
        <f t="shared" si="115"/>
        <v/>
      </c>
      <c r="D965" t="str">
        <f t="shared" si="116"/>
        <v/>
      </c>
      <c r="G965" t="str">
        <f>IF(OR($E965="",$F965=""),"",IFERROR(IF($E965=INDEX(Cluster_Master!$A$4:$A$18,MATCH($F965,Cluster_Master!$B$4:$B$18,0)),"OK","CHECK"),"CHECK"))</f>
        <v/>
      </c>
      <c r="H965" t="str">
        <f>IFERROR(INDEX(Cluster_Master!$C$4:$C$18,MATCH($F965,Cluster_Master!$B$4:$B$18,0)),"")</f>
        <v/>
      </c>
      <c r="I965" t="str">
        <f>IFERROR(INDEX(Cluster_Master!$D$4:$D$18,MATCH($F965,Cluster_Master!$B$4:$B$18,0)),"")</f>
        <v/>
      </c>
      <c r="J965" t="str">
        <f>IFERROR(INDEX(Cluster_Master!$E$4:$E$18,MATCH($F965,Cluster_Master!$B$4:$B$18,0)),"")</f>
        <v/>
      </c>
      <c r="K965" t="str">
        <f>IFERROR(INDEX(Cluster_Master!$F$4:$F$18,MATCH($F965,Cluster_Master!$B$4:$B$18,0)),"")</f>
        <v/>
      </c>
      <c r="L965" t="str">
        <f>IFERROR(INDEX(Cluster_Master!$G$4:$G$18,MATCH($F965,Cluster_Master!$B$4:$B$18,0)),"")</f>
        <v/>
      </c>
      <c r="M965" t="str">
        <f>IFERROR(INDEX(Cluster_Master!$H$4:$H$18,MATCH($F965,Cluster_Master!$B$4:$B$18,0)),"")</f>
        <v/>
      </c>
      <c r="AI965" t="str">
        <f t="shared" si="117"/>
        <v/>
      </c>
      <c r="AJ965" t="str">
        <f t="shared" si="118"/>
        <v/>
      </c>
      <c r="AK965" t="str">
        <f>IF(COUNTA(T965:AH965)=0,"",(SUM(T965*KPI_Weights!$B$4,U965*KPI_Weights!$B$5,V965*KPI_Weights!$B$6,W965*KPI_Weights!$B$7,X965*KPI_Weights!$B$8,Y965*KPI_Weights!$B$9,Z965*KPI_Weights!$B$10,AA965*KPI_Weights!$B$11,AB965*KPI_Weights!$B$12,AC965*KPI_Weights!$B$13,AD965*KPI_Weights!$B$14,AE965*KPI_Weights!$B$15,AF965*KPI_Weights!$B$16,AG965*KPI_Weights!$B$17,AH965*KPI_Weights!$B$18))/5)</f>
        <v/>
      </c>
      <c r="AL965" t="str">
        <f t="shared" si="119"/>
        <v/>
      </c>
      <c r="AM965" t="str">
        <f t="shared" si="120"/>
        <v/>
      </c>
      <c r="AN965" t="str">
        <f t="shared" si="121"/>
        <v/>
      </c>
    </row>
    <row r="966" spans="1:40" ht="15" customHeight="1" x14ac:dyDescent="0.2">
      <c r="A966" t="str">
        <f>IF($B966="","",TEXT($B966,"yyyymmdd")&amp;"-"&amp;SUBSTITUTE($F966," ","")&amp;"-"&amp;TEXT(COUNTIF($F$4:F966,$F966),"00"))</f>
        <v/>
      </c>
      <c r="C966" t="str">
        <f t="shared" si="115"/>
        <v/>
      </c>
      <c r="D966" t="str">
        <f t="shared" si="116"/>
        <v/>
      </c>
      <c r="G966" t="str">
        <f>IF(OR($E966="",$F966=""),"",IFERROR(IF($E966=INDEX(Cluster_Master!$A$4:$A$18,MATCH($F966,Cluster_Master!$B$4:$B$18,0)),"OK","CHECK"),"CHECK"))</f>
        <v/>
      </c>
      <c r="H966" t="str">
        <f>IFERROR(INDEX(Cluster_Master!$C$4:$C$18,MATCH($F966,Cluster_Master!$B$4:$B$18,0)),"")</f>
        <v/>
      </c>
      <c r="I966" t="str">
        <f>IFERROR(INDEX(Cluster_Master!$D$4:$D$18,MATCH($F966,Cluster_Master!$B$4:$B$18,0)),"")</f>
        <v/>
      </c>
      <c r="J966" t="str">
        <f>IFERROR(INDEX(Cluster_Master!$E$4:$E$18,MATCH($F966,Cluster_Master!$B$4:$B$18,0)),"")</f>
        <v/>
      </c>
      <c r="K966" t="str">
        <f>IFERROR(INDEX(Cluster_Master!$F$4:$F$18,MATCH($F966,Cluster_Master!$B$4:$B$18,0)),"")</f>
        <v/>
      </c>
      <c r="L966" t="str">
        <f>IFERROR(INDEX(Cluster_Master!$G$4:$G$18,MATCH($F966,Cluster_Master!$B$4:$B$18,0)),"")</f>
        <v/>
      </c>
      <c r="M966" t="str">
        <f>IFERROR(INDEX(Cluster_Master!$H$4:$H$18,MATCH($F966,Cluster_Master!$B$4:$B$18,0)),"")</f>
        <v/>
      </c>
      <c r="AI966" t="str">
        <f t="shared" si="117"/>
        <v/>
      </c>
      <c r="AJ966" t="str">
        <f t="shared" si="118"/>
        <v/>
      </c>
      <c r="AK966" t="str">
        <f>IF(COUNTA(T966:AH966)=0,"",(SUM(T966*KPI_Weights!$B$4,U966*KPI_Weights!$B$5,V966*KPI_Weights!$B$6,W966*KPI_Weights!$B$7,X966*KPI_Weights!$B$8,Y966*KPI_Weights!$B$9,Z966*KPI_Weights!$B$10,AA966*KPI_Weights!$B$11,AB966*KPI_Weights!$B$12,AC966*KPI_Weights!$B$13,AD966*KPI_Weights!$B$14,AE966*KPI_Weights!$B$15,AF966*KPI_Weights!$B$16,AG966*KPI_Weights!$B$17,AH966*KPI_Weights!$B$18))/5)</f>
        <v/>
      </c>
      <c r="AL966" t="str">
        <f t="shared" si="119"/>
        <v/>
      </c>
      <c r="AM966" t="str">
        <f t="shared" si="120"/>
        <v/>
      </c>
      <c r="AN966" t="str">
        <f t="shared" si="121"/>
        <v/>
      </c>
    </row>
    <row r="967" spans="1:40" ht="15" customHeight="1" x14ac:dyDescent="0.2">
      <c r="A967" t="str">
        <f>IF($B967="","",TEXT($B967,"yyyymmdd")&amp;"-"&amp;SUBSTITUTE($F967," ","")&amp;"-"&amp;TEXT(COUNTIF($F$4:F967,$F967),"00"))</f>
        <v/>
      </c>
      <c r="C967" t="str">
        <f t="shared" si="115"/>
        <v/>
      </c>
      <c r="D967" t="str">
        <f t="shared" si="116"/>
        <v/>
      </c>
      <c r="G967" t="str">
        <f>IF(OR($E967="",$F967=""),"",IFERROR(IF($E967=INDEX(Cluster_Master!$A$4:$A$18,MATCH($F967,Cluster_Master!$B$4:$B$18,0)),"OK","CHECK"),"CHECK"))</f>
        <v/>
      </c>
      <c r="H967" t="str">
        <f>IFERROR(INDEX(Cluster_Master!$C$4:$C$18,MATCH($F967,Cluster_Master!$B$4:$B$18,0)),"")</f>
        <v/>
      </c>
      <c r="I967" t="str">
        <f>IFERROR(INDEX(Cluster_Master!$D$4:$D$18,MATCH($F967,Cluster_Master!$B$4:$B$18,0)),"")</f>
        <v/>
      </c>
      <c r="J967" t="str">
        <f>IFERROR(INDEX(Cluster_Master!$E$4:$E$18,MATCH($F967,Cluster_Master!$B$4:$B$18,0)),"")</f>
        <v/>
      </c>
      <c r="K967" t="str">
        <f>IFERROR(INDEX(Cluster_Master!$F$4:$F$18,MATCH($F967,Cluster_Master!$B$4:$B$18,0)),"")</f>
        <v/>
      </c>
      <c r="L967" t="str">
        <f>IFERROR(INDEX(Cluster_Master!$G$4:$G$18,MATCH($F967,Cluster_Master!$B$4:$B$18,0)),"")</f>
        <v/>
      </c>
      <c r="M967" t="str">
        <f>IFERROR(INDEX(Cluster_Master!$H$4:$H$18,MATCH($F967,Cluster_Master!$B$4:$B$18,0)),"")</f>
        <v/>
      </c>
      <c r="AI967" t="str">
        <f t="shared" si="117"/>
        <v/>
      </c>
      <c r="AJ967" t="str">
        <f t="shared" si="118"/>
        <v/>
      </c>
      <c r="AK967" t="str">
        <f>IF(COUNTA(T967:AH967)=0,"",(SUM(T967*KPI_Weights!$B$4,U967*KPI_Weights!$B$5,V967*KPI_Weights!$B$6,W967*KPI_Weights!$B$7,X967*KPI_Weights!$B$8,Y967*KPI_Weights!$B$9,Z967*KPI_Weights!$B$10,AA967*KPI_Weights!$B$11,AB967*KPI_Weights!$B$12,AC967*KPI_Weights!$B$13,AD967*KPI_Weights!$B$14,AE967*KPI_Weights!$B$15,AF967*KPI_Weights!$B$16,AG967*KPI_Weights!$B$17,AH967*KPI_Weights!$B$18))/5)</f>
        <v/>
      </c>
      <c r="AL967" t="str">
        <f t="shared" si="119"/>
        <v/>
      </c>
      <c r="AM967" t="str">
        <f t="shared" si="120"/>
        <v/>
      </c>
      <c r="AN967" t="str">
        <f t="shared" si="121"/>
        <v/>
      </c>
    </row>
    <row r="968" spans="1:40" ht="15" customHeight="1" x14ac:dyDescent="0.2">
      <c r="A968" t="str">
        <f>IF($B968="","",TEXT($B968,"yyyymmdd")&amp;"-"&amp;SUBSTITUTE($F968," ","")&amp;"-"&amp;TEXT(COUNTIF($F$4:F968,$F968),"00"))</f>
        <v/>
      </c>
      <c r="C968" t="str">
        <f t="shared" si="115"/>
        <v/>
      </c>
      <c r="D968" t="str">
        <f t="shared" si="116"/>
        <v/>
      </c>
      <c r="G968" t="str">
        <f>IF(OR($E968="",$F968=""),"",IFERROR(IF($E968=INDEX(Cluster_Master!$A$4:$A$18,MATCH($F968,Cluster_Master!$B$4:$B$18,0)),"OK","CHECK"),"CHECK"))</f>
        <v/>
      </c>
      <c r="H968" t="str">
        <f>IFERROR(INDEX(Cluster_Master!$C$4:$C$18,MATCH($F968,Cluster_Master!$B$4:$B$18,0)),"")</f>
        <v/>
      </c>
      <c r="I968" t="str">
        <f>IFERROR(INDEX(Cluster_Master!$D$4:$D$18,MATCH($F968,Cluster_Master!$B$4:$B$18,0)),"")</f>
        <v/>
      </c>
      <c r="J968" t="str">
        <f>IFERROR(INDEX(Cluster_Master!$E$4:$E$18,MATCH($F968,Cluster_Master!$B$4:$B$18,0)),"")</f>
        <v/>
      </c>
      <c r="K968" t="str">
        <f>IFERROR(INDEX(Cluster_Master!$F$4:$F$18,MATCH($F968,Cluster_Master!$B$4:$B$18,0)),"")</f>
        <v/>
      </c>
      <c r="L968" t="str">
        <f>IFERROR(INDEX(Cluster_Master!$G$4:$G$18,MATCH($F968,Cluster_Master!$B$4:$B$18,0)),"")</f>
        <v/>
      </c>
      <c r="M968" t="str">
        <f>IFERROR(INDEX(Cluster_Master!$H$4:$H$18,MATCH($F968,Cluster_Master!$B$4:$B$18,0)),"")</f>
        <v/>
      </c>
      <c r="AI968" t="str">
        <f t="shared" si="117"/>
        <v/>
      </c>
      <c r="AJ968" t="str">
        <f t="shared" si="118"/>
        <v/>
      </c>
      <c r="AK968" t="str">
        <f>IF(COUNTA(T968:AH968)=0,"",(SUM(T968*KPI_Weights!$B$4,U968*KPI_Weights!$B$5,V968*KPI_Weights!$B$6,W968*KPI_Weights!$B$7,X968*KPI_Weights!$B$8,Y968*KPI_Weights!$B$9,Z968*KPI_Weights!$B$10,AA968*KPI_Weights!$B$11,AB968*KPI_Weights!$B$12,AC968*KPI_Weights!$B$13,AD968*KPI_Weights!$B$14,AE968*KPI_Weights!$B$15,AF968*KPI_Weights!$B$16,AG968*KPI_Weights!$B$17,AH968*KPI_Weights!$B$18))/5)</f>
        <v/>
      </c>
      <c r="AL968" t="str">
        <f t="shared" si="119"/>
        <v/>
      </c>
      <c r="AM968" t="str">
        <f t="shared" si="120"/>
        <v/>
      </c>
      <c r="AN968" t="str">
        <f t="shared" si="121"/>
        <v/>
      </c>
    </row>
    <row r="969" spans="1:40" ht="15" customHeight="1" x14ac:dyDescent="0.2">
      <c r="A969" t="str">
        <f>IF($B969="","",TEXT($B969,"yyyymmdd")&amp;"-"&amp;SUBSTITUTE($F969," ","")&amp;"-"&amp;TEXT(COUNTIF($F$4:F969,$F969),"00"))</f>
        <v/>
      </c>
      <c r="C969" t="str">
        <f t="shared" si="115"/>
        <v/>
      </c>
      <c r="D969" t="str">
        <f t="shared" si="116"/>
        <v/>
      </c>
      <c r="G969" t="str">
        <f>IF(OR($E969="",$F969=""),"",IFERROR(IF($E969=INDEX(Cluster_Master!$A$4:$A$18,MATCH($F969,Cluster_Master!$B$4:$B$18,0)),"OK","CHECK"),"CHECK"))</f>
        <v/>
      </c>
      <c r="H969" t="str">
        <f>IFERROR(INDEX(Cluster_Master!$C$4:$C$18,MATCH($F969,Cluster_Master!$B$4:$B$18,0)),"")</f>
        <v/>
      </c>
      <c r="I969" t="str">
        <f>IFERROR(INDEX(Cluster_Master!$D$4:$D$18,MATCH($F969,Cluster_Master!$B$4:$B$18,0)),"")</f>
        <v/>
      </c>
      <c r="J969" t="str">
        <f>IFERROR(INDEX(Cluster_Master!$E$4:$E$18,MATCH($F969,Cluster_Master!$B$4:$B$18,0)),"")</f>
        <v/>
      </c>
      <c r="K969" t="str">
        <f>IFERROR(INDEX(Cluster_Master!$F$4:$F$18,MATCH($F969,Cluster_Master!$B$4:$B$18,0)),"")</f>
        <v/>
      </c>
      <c r="L969" t="str">
        <f>IFERROR(INDEX(Cluster_Master!$G$4:$G$18,MATCH($F969,Cluster_Master!$B$4:$B$18,0)),"")</f>
        <v/>
      </c>
      <c r="M969" t="str">
        <f>IFERROR(INDEX(Cluster_Master!$H$4:$H$18,MATCH($F969,Cluster_Master!$B$4:$B$18,0)),"")</f>
        <v/>
      </c>
      <c r="AI969" t="str">
        <f t="shared" si="117"/>
        <v/>
      </c>
      <c r="AJ969" t="str">
        <f t="shared" si="118"/>
        <v/>
      </c>
      <c r="AK969" t="str">
        <f>IF(COUNTA(T969:AH969)=0,"",(SUM(T969*KPI_Weights!$B$4,U969*KPI_Weights!$B$5,V969*KPI_Weights!$B$6,W969*KPI_Weights!$B$7,X969*KPI_Weights!$B$8,Y969*KPI_Weights!$B$9,Z969*KPI_Weights!$B$10,AA969*KPI_Weights!$B$11,AB969*KPI_Weights!$B$12,AC969*KPI_Weights!$B$13,AD969*KPI_Weights!$B$14,AE969*KPI_Weights!$B$15,AF969*KPI_Weights!$B$16,AG969*KPI_Weights!$B$17,AH969*KPI_Weights!$B$18))/5)</f>
        <v/>
      </c>
      <c r="AL969" t="str">
        <f t="shared" si="119"/>
        <v/>
      </c>
      <c r="AM969" t="str">
        <f t="shared" si="120"/>
        <v/>
      </c>
      <c r="AN969" t="str">
        <f t="shared" si="121"/>
        <v/>
      </c>
    </row>
    <row r="970" spans="1:40" ht="15" customHeight="1" x14ac:dyDescent="0.2">
      <c r="A970" t="str">
        <f>IF($B970="","",TEXT($B970,"yyyymmdd")&amp;"-"&amp;SUBSTITUTE($F970," ","")&amp;"-"&amp;TEXT(COUNTIF($F$4:F970,$F970),"00"))</f>
        <v/>
      </c>
      <c r="C970" t="str">
        <f t="shared" si="115"/>
        <v/>
      </c>
      <c r="D970" t="str">
        <f t="shared" si="116"/>
        <v/>
      </c>
      <c r="G970" t="str">
        <f>IF(OR($E970="",$F970=""),"",IFERROR(IF($E970=INDEX(Cluster_Master!$A$4:$A$18,MATCH($F970,Cluster_Master!$B$4:$B$18,0)),"OK","CHECK"),"CHECK"))</f>
        <v/>
      </c>
      <c r="H970" t="str">
        <f>IFERROR(INDEX(Cluster_Master!$C$4:$C$18,MATCH($F970,Cluster_Master!$B$4:$B$18,0)),"")</f>
        <v/>
      </c>
      <c r="I970" t="str">
        <f>IFERROR(INDEX(Cluster_Master!$D$4:$D$18,MATCH($F970,Cluster_Master!$B$4:$B$18,0)),"")</f>
        <v/>
      </c>
      <c r="J970" t="str">
        <f>IFERROR(INDEX(Cluster_Master!$E$4:$E$18,MATCH($F970,Cluster_Master!$B$4:$B$18,0)),"")</f>
        <v/>
      </c>
      <c r="K970" t="str">
        <f>IFERROR(INDEX(Cluster_Master!$F$4:$F$18,MATCH($F970,Cluster_Master!$B$4:$B$18,0)),"")</f>
        <v/>
      </c>
      <c r="L970" t="str">
        <f>IFERROR(INDEX(Cluster_Master!$G$4:$G$18,MATCH($F970,Cluster_Master!$B$4:$B$18,0)),"")</f>
        <v/>
      </c>
      <c r="M970" t="str">
        <f>IFERROR(INDEX(Cluster_Master!$H$4:$H$18,MATCH($F970,Cluster_Master!$B$4:$B$18,0)),"")</f>
        <v/>
      </c>
      <c r="AI970" t="str">
        <f t="shared" si="117"/>
        <v/>
      </c>
      <c r="AJ970" t="str">
        <f t="shared" si="118"/>
        <v/>
      </c>
      <c r="AK970" t="str">
        <f>IF(COUNTA(T970:AH970)=0,"",(SUM(T970*KPI_Weights!$B$4,U970*KPI_Weights!$B$5,V970*KPI_Weights!$B$6,W970*KPI_Weights!$B$7,X970*KPI_Weights!$B$8,Y970*KPI_Weights!$B$9,Z970*KPI_Weights!$B$10,AA970*KPI_Weights!$B$11,AB970*KPI_Weights!$B$12,AC970*KPI_Weights!$B$13,AD970*KPI_Weights!$B$14,AE970*KPI_Weights!$B$15,AF970*KPI_Weights!$B$16,AG970*KPI_Weights!$B$17,AH970*KPI_Weights!$B$18))/5)</f>
        <v/>
      </c>
      <c r="AL970" t="str">
        <f t="shared" si="119"/>
        <v/>
      </c>
      <c r="AM970" t="str">
        <f t="shared" si="120"/>
        <v/>
      </c>
      <c r="AN970" t="str">
        <f t="shared" si="121"/>
        <v/>
      </c>
    </row>
    <row r="971" spans="1:40" ht="15" customHeight="1" x14ac:dyDescent="0.2">
      <c r="A971" t="str">
        <f>IF($B971="","",TEXT($B971,"yyyymmdd")&amp;"-"&amp;SUBSTITUTE($F971," ","")&amp;"-"&amp;TEXT(COUNTIF($F$4:F971,$F971),"00"))</f>
        <v/>
      </c>
      <c r="C971" t="str">
        <f t="shared" si="115"/>
        <v/>
      </c>
      <c r="D971" t="str">
        <f t="shared" si="116"/>
        <v/>
      </c>
      <c r="G971" t="str">
        <f>IF(OR($E971="",$F971=""),"",IFERROR(IF($E971=INDEX(Cluster_Master!$A$4:$A$18,MATCH($F971,Cluster_Master!$B$4:$B$18,0)),"OK","CHECK"),"CHECK"))</f>
        <v/>
      </c>
      <c r="H971" t="str">
        <f>IFERROR(INDEX(Cluster_Master!$C$4:$C$18,MATCH($F971,Cluster_Master!$B$4:$B$18,0)),"")</f>
        <v/>
      </c>
      <c r="I971" t="str">
        <f>IFERROR(INDEX(Cluster_Master!$D$4:$D$18,MATCH($F971,Cluster_Master!$B$4:$B$18,0)),"")</f>
        <v/>
      </c>
      <c r="J971" t="str">
        <f>IFERROR(INDEX(Cluster_Master!$E$4:$E$18,MATCH($F971,Cluster_Master!$B$4:$B$18,0)),"")</f>
        <v/>
      </c>
      <c r="K971" t="str">
        <f>IFERROR(INDEX(Cluster_Master!$F$4:$F$18,MATCH($F971,Cluster_Master!$B$4:$B$18,0)),"")</f>
        <v/>
      </c>
      <c r="L971" t="str">
        <f>IFERROR(INDEX(Cluster_Master!$G$4:$G$18,MATCH($F971,Cluster_Master!$B$4:$B$18,0)),"")</f>
        <v/>
      </c>
      <c r="M971" t="str">
        <f>IFERROR(INDEX(Cluster_Master!$H$4:$H$18,MATCH($F971,Cluster_Master!$B$4:$B$18,0)),"")</f>
        <v/>
      </c>
      <c r="AI971" t="str">
        <f t="shared" si="117"/>
        <v/>
      </c>
      <c r="AJ971" t="str">
        <f t="shared" si="118"/>
        <v/>
      </c>
      <c r="AK971" t="str">
        <f>IF(COUNTA(T971:AH971)=0,"",(SUM(T971*KPI_Weights!$B$4,U971*KPI_Weights!$B$5,V971*KPI_Weights!$B$6,W971*KPI_Weights!$B$7,X971*KPI_Weights!$B$8,Y971*KPI_Weights!$B$9,Z971*KPI_Weights!$B$10,AA971*KPI_Weights!$B$11,AB971*KPI_Weights!$B$12,AC971*KPI_Weights!$B$13,AD971*KPI_Weights!$B$14,AE971*KPI_Weights!$B$15,AF971*KPI_Weights!$B$16,AG971*KPI_Weights!$B$17,AH971*KPI_Weights!$B$18))/5)</f>
        <v/>
      </c>
      <c r="AL971" t="str">
        <f t="shared" si="119"/>
        <v/>
      </c>
      <c r="AM971" t="str">
        <f t="shared" si="120"/>
        <v/>
      </c>
      <c r="AN971" t="str">
        <f t="shared" si="121"/>
        <v/>
      </c>
    </row>
    <row r="972" spans="1:40" ht="15" customHeight="1" x14ac:dyDescent="0.2">
      <c r="A972" t="str">
        <f>IF($B972="","",TEXT($B972,"yyyymmdd")&amp;"-"&amp;SUBSTITUTE($F972," ","")&amp;"-"&amp;TEXT(COUNTIF($F$4:F972,$F972),"00"))</f>
        <v/>
      </c>
      <c r="C972" t="str">
        <f t="shared" si="115"/>
        <v/>
      </c>
      <c r="D972" t="str">
        <f t="shared" si="116"/>
        <v/>
      </c>
      <c r="G972" t="str">
        <f>IF(OR($E972="",$F972=""),"",IFERROR(IF($E972=INDEX(Cluster_Master!$A$4:$A$18,MATCH($F972,Cluster_Master!$B$4:$B$18,0)),"OK","CHECK"),"CHECK"))</f>
        <v/>
      </c>
      <c r="H972" t="str">
        <f>IFERROR(INDEX(Cluster_Master!$C$4:$C$18,MATCH($F972,Cluster_Master!$B$4:$B$18,0)),"")</f>
        <v/>
      </c>
      <c r="I972" t="str">
        <f>IFERROR(INDEX(Cluster_Master!$D$4:$D$18,MATCH($F972,Cluster_Master!$B$4:$B$18,0)),"")</f>
        <v/>
      </c>
      <c r="J972" t="str">
        <f>IFERROR(INDEX(Cluster_Master!$E$4:$E$18,MATCH($F972,Cluster_Master!$B$4:$B$18,0)),"")</f>
        <v/>
      </c>
      <c r="K972" t="str">
        <f>IFERROR(INDEX(Cluster_Master!$F$4:$F$18,MATCH($F972,Cluster_Master!$B$4:$B$18,0)),"")</f>
        <v/>
      </c>
      <c r="L972" t="str">
        <f>IFERROR(INDEX(Cluster_Master!$G$4:$G$18,MATCH($F972,Cluster_Master!$B$4:$B$18,0)),"")</f>
        <v/>
      </c>
      <c r="M972" t="str">
        <f>IFERROR(INDEX(Cluster_Master!$H$4:$H$18,MATCH($F972,Cluster_Master!$B$4:$B$18,0)),"")</f>
        <v/>
      </c>
      <c r="AI972" t="str">
        <f t="shared" si="117"/>
        <v/>
      </c>
      <c r="AJ972" t="str">
        <f t="shared" si="118"/>
        <v/>
      </c>
      <c r="AK972" t="str">
        <f>IF(COUNTA(T972:AH972)=0,"",(SUM(T972*KPI_Weights!$B$4,U972*KPI_Weights!$B$5,V972*KPI_Weights!$B$6,W972*KPI_Weights!$B$7,X972*KPI_Weights!$B$8,Y972*KPI_Weights!$B$9,Z972*KPI_Weights!$B$10,AA972*KPI_Weights!$B$11,AB972*KPI_Weights!$B$12,AC972*KPI_Weights!$B$13,AD972*KPI_Weights!$B$14,AE972*KPI_Weights!$B$15,AF972*KPI_Weights!$B$16,AG972*KPI_Weights!$B$17,AH972*KPI_Weights!$B$18))/5)</f>
        <v/>
      </c>
      <c r="AL972" t="str">
        <f t="shared" si="119"/>
        <v/>
      </c>
      <c r="AM972" t="str">
        <f t="shared" si="120"/>
        <v/>
      </c>
      <c r="AN972" t="str">
        <f t="shared" si="121"/>
        <v/>
      </c>
    </row>
    <row r="973" spans="1:40" ht="15" customHeight="1" x14ac:dyDescent="0.2">
      <c r="A973" t="str">
        <f>IF($B973="","",TEXT($B973,"yyyymmdd")&amp;"-"&amp;SUBSTITUTE($F973," ","")&amp;"-"&amp;TEXT(COUNTIF($F$4:F973,$F973),"00"))</f>
        <v/>
      </c>
      <c r="C973" t="str">
        <f t="shared" si="115"/>
        <v/>
      </c>
      <c r="D973" t="str">
        <f t="shared" si="116"/>
        <v/>
      </c>
      <c r="G973" t="str">
        <f>IF(OR($E973="",$F973=""),"",IFERROR(IF($E973=INDEX(Cluster_Master!$A$4:$A$18,MATCH($F973,Cluster_Master!$B$4:$B$18,0)),"OK","CHECK"),"CHECK"))</f>
        <v/>
      </c>
      <c r="H973" t="str">
        <f>IFERROR(INDEX(Cluster_Master!$C$4:$C$18,MATCH($F973,Cluster_Master!$B$4:$B$18,0)),"")</f>
        <v/>
      </c>
      <c r="I973" t="str">
        <f>IFERROR(INDEX(Cluster_Master!$D$4:$D$18,MATCH($F973,Cluster_Master!$B$4:$B$18,0)),"")</f>
        <v/>
      </c>
      <c r="J973" t="str">
        <f>IFERROR(INDEX(Cluster_Master!$E$4:$E$18,MATCH($F973,Cluster_Master!$B$4:$B$18,0)),"")</f>
        <v/>
      </c>
      <c r="K973" t="str">
        <f>IFERROR(INDEX(Cluster_Master!$F$4:$F$18,MATCH($F973,Cluster_Master!$B$4:$B$18,0)),"")</f>
        <v/>
      </c>
      <c r="L973" t="str">
        <f>IFERROR(INDEX(Cluster_Master!$G$4:$G$18,MATCH($F973,Cluster_Master!$B$4:$B$18,0)),"")</f>
        <v/>
      </c>
      <c r="M973" t="str">
        <f>IFERROR(INDEX(Cluster_Master!$H$4:$H$18,MATCH($F973,Cluster_Master!$B$4:$B$18,0)),"")</f>
        <v/>
      </c>
      <c r="AI973" t="str">
        <f t="shared" si="117"/>
        <v/>
      </c>
      <c r="AJ973" t="str">
        <f t="shared" si="118"/>
        <v/>
      </c>
      <c r="AK973" t="str">
        <f>IF(COUNTA(T973:AH973)=0,"",(SUM(T973*KPI_Weights!$B$4,U973*KPI_Weights!$B$5,V973*KPI_Weights!$B$6,W973*KPI_Weights!$B$7,X973*KPI_Weights!$B$8,Y973*KPI_Weights!$B$9,Z973*KPI_Weights!$B$10,AA973*KPI_Weights!$B$11,AB973*KPI_Weights!$B$12,AC973*KPI_Weights!$B$13,AD973*KPI_Weights!$B$14,AE973*KPI_Weights!$B$15,AF973*KPI_Weights!$B$16,AG973*KPI_Weights!$B$17,AH973*KPI_Weights!$B$18))/5)</f>
        <v/>
      </c>
      <c r="AL973" t="str">
        <f t="shared" si="119"/>
        <v/>
      </c>
      <c r="AM973" t="str">
        <f t="shared" si="120"/>
        <v/>
      </c>
      <c r="AN973" t="str">
        <f t="shared" si="121"/>
        <v/>
      </c>
    </row>
    <row r="974" spans="1:40" ht="15" customHeight="1" x14ac:dyDescent="0.2">
      <c r="A974" t="str">
        <f>IF($B974="","",TEXT($B974,"yyyymmdd")&amp;"-"&amp;SUBSTITUTE($F974," ","")&amp;"-"&amp;TEXT(COUNTIF($F$4:F974,$F974),"00"))</f>
        <v/>
      </c>
      <c r="C974" t="str">
        <f t="shared" si="115"/>
        <v/>
      </c>
      <c r="D974" t="str">
        <f t="shared" si="116"/>
        <v/>
      </c>
      <c r="G974" t="str">
        <f>IF(OR($E974="",$F974=""),"",IFERROR(IF($E974=INDEX(Cluster_Master!$A$4:$A$18,MATCH($F974,Cluster_Master!$B$4:$B$18,0)),"OK","CHECK"),"CHECK"))</f>
        <v/>
      </c>
      <c r="H974" t="str">
        <f>IFERROR(INDEX(Cluster_Master!$C$4:$C$18,MATCH($F974,Cluster_Master!$B$4:$B$18,0)),"")</f>
        <v/>
      </c>
      <c r="I974" t="str">
        <f>IFERROR(INDEX(Cluster_Master!$D$4:$D$18,MATCH($F974,Cluster_Master!$B$4:$B$18,0)),"")</f>
        <v/>
      </c>
      <c r="J974" t="str">
        <f>IFERROR(INDEX(Cluster_Master!$E$4:$E$18,MATCH($F974,Cluster_Master!$B$4:$B$18,0)),"")</f>
        <v/>
      </c>
      <c r="K974" t="str">
        <f>IFERROR(INDEX(Cluster_Master!$F$4:$F$18,MATCH($F974,Cluster_Master!$B$4:$B$18,0)),"")</f>
        <v/>
      </c>
      <c r="L974" t="str">
        <f>IFERROR(INDEX(Cluster_Master!$G$4:$G$18,MATCH($F974,Cluster_Master!$B$4:$B$18,0)),"")</f>
        <v/>
      </c>
      <c r="M974" t="str">
        <f>IFERROR(INDEX(Cluster_Master!$H$4:$H$18,MATCH($F974,Cluster_Master!$B$4:$B$18,0)),"")</f>
        <v/>
      </c>
      <c r="AI974" t="str">
        <f t="shared" si="117"/>
        <v/>
      </c>
      <c r="AJ974" t="str">
        <f t="shared" si="118"/>
        <v/>
      </c>
      <c r="AK974" t="str">
        <f>IF(COUNTA(T974:AH974)=0,"",(SUM(T974*KPI_Weights!$B$4,U974*KPI_Weights!$B$5,V974*KPI_Weights!$B$6,W974*KPI_Weights!$B$7,X974*KPI_Weights!$B$8,Y974*KPI_Weights!$B$9,Z974*KPI_Weights!$B$10,AA974*KPI_Weights!$B$11,AB974*KPI_Weights!$B$12,AC974*KPI_Weights!$B$13,AD974*KPI_Weights!$B$14,AE974*KPI_Weights!$B$15,AF974*KPI_Weights!$B$16,AG974*KPI_Weights!$B$17,AH974*KPI_Weights!$B$18))/5)</f>
        <v/>
      </c>
      <c r="AL974" t="str">
        <f t="shared" si="119"/>
        <v/>
      </c>
      <c r="AM974" t="str">
        <f t="shared" si="120"/>
        <v/>
      </c>
      <c r="AN974" t="str">
        <f t="shared" si="121"/>
        <v/>
      </c>
    </row>
    <row r="975" spans="1:40" ht="15" customHeight="1" x14ac:dyDescent="0.2">
      <c r="A975" t="str">
        <f>IF($B975="","",TEXT($B975,"yyyymmdd")&amp;"-"&amp;SUBSTITUTE($F975," ","")&amp;"-"&amp;TEXT(COUNTIF($F$4:F975,$F975),"00"))</f>
        <v/>
      </c>
      <c r="C975" t="str">
        <f t="shared" si="115"/>
        <v/>
      </c>
      <c r="D975" t="str">
        <f t="shared" si="116"/>
        <v/>
      </c>
      <c r="G975" t="str">
        <f>IF(OR($E975="",$F975=""),"",IFERROR(IF($E975=INDEX(Cluster_Master!$A$4:$A$18,MATCH($F975,Cluster_Master!$B$4:$B$18,0)),"OK","CHECK"),"CHECK"))</f>
        <v/>
      </c>
      <c r="H975" t="str">
        <f>IFERROR(INDEX(Cluster_Master!$C$4:$C$18,MATCH($F975,Cluster_Master!$B$4:$B$18,0)),"")</f>
        <v/>
      </c>
      <c r="I975" t="str">
        <f>IFERROR(INDEX(Cluster_Master!$D$4:$D$18,MATCH($F975,Cluster_Master!$B$4:$B$18,0)),"")</f>
        <v/>
      </c>
      <c r="J975" t="str">
        <f>IFERROR(INDEX(Cluster_Master!$E$4:$E$18,MATCH($F975,Cluster_Master!$B$4:$B$18,0)),"")</f>
        <v/>
      </c>
      <c r="K975" t="str">
        <f>IFERROR(INDEX(Cluster_Master!$F$4:$F$18,MATCH($F975,Cluster_Master!$B$4:$B$18,0)),"")</f>
        <v/>
      </c>
      <c r="L975" t="str">
        <f>IFERROR(INDEX(Cluster_Master!$G$4:$G$18,MATCH($F975,Cluster_Master!$B$4:$B$18,0)),"")</f>
        <v/>
      </c>
      <c r="M975" t="str">
        <f>IFERROR(INDEX(Cluster_Master!$H$4:$H$18,MATCH($F975,Cluster_Master!$B$4:$B$18,0)),"")</f>
        <v/>
      </c>
      <c r="AI975" t="str">
        <f t="shared" si="117"/>
        <v/>
      </c>
      <c r="AJ975" t="str">
        <f t="shared" si="118"/>
        <v/>
      </c>
      <c r="AK975" t="str">
        <f>IF(COUNTA(T975:AH975)=0,"",(SUM(T975*KPI_Weights!$B$4,U975*KPI_Weights!$B$5,V975*KPI_Weights!$B$6,W975*KPI_Weights!$B$7,X975*KPI_Weights!$B$8,Y975*KPI_Weights!$B$9,Z975*KPI_Weights!$B$10,AA975*KPI_Weights!$B$11,AB975*KPI_Weights!$B$12,AC975*KPI_Weights!$B$13,AD975*KPI_Weights!$B$14,AE975*KPI_Weights!$B$15,AF975*KPI_Weights!$B$16,AG975*KPI_Weights!$B$17,AH975*KPI_Weights!$B$18))/5)</f>
        <v/>
      </c>
      <c r="AL975" t="str">
        <f t="shared" si="119"/>
        <v/>
      </c>
      <c r="AM975" t="str">
        <f t="shared" si="120"/>
        <v/>
      </c>
      <c r="AN975" t="str">
        <f t="shared" si="121"/>
        <v/>
      </c>
    </row>
    <row r="976" spans="1:40" ht="15" customHeight="1" x14ac:dyDescent="0.2">
      <c r="A976" t="str">
        <f>IF($B976="","",TEXT($B976,"yyyymmdd")&amp;"-"&amp;SUBSTITUTE($F976," ","")&amp;"-"&amp;TEXT(COUNTIF($F$4:F976,$F976),"00"))</f>
        <v/>
      </c>
      <c r="C976" t="str">
        <f t="shared" si="115"/>
        <v/>
      </c>
      <c r="D976" t="str">
        <f t="shared" si="116"/>
        <v/>
      </c>
      <c r="G976" t="str">
        <f>IF(OR($E976="",$F976=""),"",IFERROR(IF($E976=INDEX(Cluster_Master!$A$4:$A$18,MATCH($F976,Cluster_Master!$B$4:$B$18,0)),"OK","CHECK"),"CHECK"))</f>
        <v/>
      </c>
      <c r="H976" t="str">
        <f>IFERROR(INDEX(Cluster_Master!$C$4:$C$18,MATCH($F976,Cluster_Master!$B$4:$B$18,0)),"")</f>
        <v/>
      </c>
      <c r="I976" t="str">
        <f>IFERROR(INDEX(Cluster_Master!$D$4:$D$18,MATCH($F976,Cluster_Master!$B$4:$B$18,0)),"")</f>
        <v/>
      </c>
      <c r="J976" t="str">
        <f>IFERROR(INDEX(Cluster_Master!$E$4:$E$18,MATCH($F976,Cluster_Master!$B$4:$B$18,0)),"")</f>
        <v/>
      </c>
      <c r="K976" t="str">
        <f>IFERROR(INDEX(Cluster_Master!$F$4:$F$18,MATCH($F976,Cluster_Master!$B$4:$B$18,0)),"")</f>
        <v/>
      </c>
      <c r="L976" t="str">
        <f>IFERROR(INDEX(Cluster_Master!$G$4:$G$18,MATCH($F976,Cluster_Master!$B$4:$B$18,0)),"")</f>
        <v/>
      </c>
      <c r="M976" t="str">
        <f>IFERROR(INDEX(Cluster_Master!$H$4:$H$18,MATCH($F976,Cluster_Master!$B$4:$B$18,0)),"")</f>
        <v/>
      </c>
      <c r="AI976" t="str">
        <f t="shared" si="117"/>
        <v/>
      </c>
      <c r="AJ976" t="str">
        <f t="shared" si="118"/>
        <v/>
      </c>
      <c r="AK976" t="str">
        <f>IF(COUNTA(T976:AH976)=0,"",(SUM(T976*KPI_Weights!$B$4,U976*KPI_Weights!$B$5,V976*KPI_Weights!$B$6,W976*KPI_Weights!$B$7,X976*KPI_Weights!$B$8,Y976*KPI_Weights!$B$9,Z976*KPI_Weights!$B$10,AA976*KPI_Weights!$B$11,AB976*KPI_Weights!$B$12,AC976*KPI_Weights!$B$13,AD976*KPI_Weights!$B$14,AE976*KPI_Weights!$B$15,AF976*KPI_Weights!$B$16,AG976*KPI_Weights!$B$17,AH976*KPI_Weights!$B$18))/5)</f>
        <v/>
      </c>
      <c r="AL976" t="str">
        <f t="shared" si="119"/>
        <v/>
      </c>
      <c r="AM976" t="str">
        <f t="shared" si="120"/>
        <v/>
      </c>
      <c r="AN976" t="str">
        <f t="shared" si="121"/>
        <v/>
      </c>
    </row>
    <row r="977" spans="1:40" ht="15" customHeight="1" x14ac:dyDescent="0.2">
      <c r="A977" t="str">
        <f>IF($B977="","",TEXT($B977,"yyyymmdd")&amp;"-"&amp;SUBSTITUTE($F977," ","")&amp;"-"&amp;TEXT(COUNTIF($F$4:F977,$F977),"00"))</f>
        <v/>
      </c>
      <c r="C977" t="str">
        <f t="shared" si="115"/>
        <v/>
      </c>
      <c r="D977" t="str">
        <f t="shared" si="116"/>
        <v/>
      </c>
      <c r="G977" t="str">
        <f>IF(OR($E977="",$F977=""),"",IFERROR(IF($E977=INDEX(Cluster_Master!$A$4:$A$18,MATCH($F977,Cluster_Master!$B$4:$B$18,0)),"OK","CHECK"),"CHECK"))</f>
        <v/>
      </c>
      <c r="H977" t="str">
        <f>IFERROR(INDEX(Cluster_Master!$C$4:$C$18,MATCH($F977,Cluster_Master!$B$4:$B$18,0)),"")</f>
        <v/>
      </c>
      <c r="I977" t="str">
        <f>IFERROR(INDEX(Cluster_Master!$D$4:$D$18,MATCH($F977,Cluster_Master!$B$4:$B$18,0)),"")</f>
        <v/>
      </c>
      <c r="J977" t="str">
        <f>IFERROR(INDEX(Cluster_Master!$E$4:$E$18,MATCH($F977,Cluster_Master!$B$4:$B$18,0)),"")</f>
        <v/>
      </c>
      <c r="K977" t="str">
        <f>IFERROR(INDEX(Cluster_Master!$F$4:$F$18,MATCH($F977,Cluster_Master!$B$4:$B$18,0)),"")</f>
        <v/>
      </c>
      <c r="L977" t="str">
        <f>IFERROR(INDEX(Cluster_Master!$G$4:$G$18,MATCH($F977,Cluster_Master!$B$4:$B$18,0)),"")</f>
        <v/>
      </c>
      <c r="M977" t="str">
        <f>IFERROR(INDEX(Cluster_Master!$H$4:$H$18,MATCH($F977,Cluster_Master!$B$4:$B$18,0)),"")</f>
        <v/>
      </c>
      <c r="AI977" t="str">
        <f t="shared" si="117"/>
        <v/>
      </c>
      <c r="AJ977" t="str">
        <f t="shared" si="118"/>
        <v/>
      </c>
      <c r="AK977" t="str">
        <f>IF(COUNTA(T977:AH977)=0,"",(SUM(T977*KPI_Weights!$B$4,U977*KPI_Weights!$B$5,V977*KPI_Weights!$B$6,W977*KPI_Weights!$B$7,X977*KPI_Weights!$B$8,Y977*KPI_Weights!$B$9,Z977*KPI_Weights!$B$10,AA977*KPI_Weights!$B$11,AB977*KPI_Weights!$B$12,AC977*KPI_Weights!$B$13,AD977*KPI_Weights!$B$14,AE977*KPI_Weights!$B$15,AF977*KPI_Weights!$B$16,AG977*KPI_Weights!$B$17,AH977*KPI_Weights!$B$18))/5)</f>
        <v/>
      </c>
      <c r="AL977" t="str">
        <f t="shared" si="119"/>
        <v/>
      </c>
      <c r="AM977" t="str">
        <f t="shared" si="120"/>
        <v/>
      </c>
      <c r="AN977" t="str">
        <f t="shared" si="121"/>
        <v/>
      </c>
    </row>
    <row r="978" spans="1:40" ht="15" customHeight="1" x14ac:dyDescent="0.2">
      <c r="A978" t="str">
        <f>IF($B978="","",TEXT($B978,"yyyymmdd")&amp;"-"&amp;SUBSTITUTE($F978," ","")&amp;"-"&amp;TEXT(COUNTIF($F$4:F978,$F978),"00"))</f>
        <v/>
      </c>
      <c r="C978" t="str">
        <f t="shared" si="115"/>
        <v/>
      </c>
      <c r="D978" t="str">
        <f t="shared" si="116"/>
        <v/>
      </c>
      <c r="G978" t="str">
        <f>IF(OR($E978="",$F978=""),"",IFERROR(IF($E978=INDEX(Cluster_Master!$A$4:$A$18,MATCH($F978,Cluster_Master!$B$4:$B$18,0)),"OK","CHECK"),"CHECK"))</f>
        <v/>
      </c>
      <c r="H978" t="str">
        <f>IFERROR(INDEX(Cluster_Master!$C$4:$C$18,MATCH($F978,Cluster_Master!$B$4:$B$18,0)),"")</f>
        <v/>
      </c>
      <c r="I978" t="str">
        <f>IFERROR(INDEX(Cluster_Master!$D$4:$D$18,MATCH($F978,Cluster_Master!$B$4:$B$18,0)),"")</f>
        <v/>
      </c>
      <c r="J978" t="str">
        <f>IFERROR(INDEX(Cluster_Master!$E$4:$E$18,MATCH($F978,Cluster_Master!$B$4:$B$18,0)),"")</f>
        <v/>
      </c>
      <c r="K978" t="str">
        <f>IFERROR(INDEX(Cluster_Master!$F$4:$F$18,MATCH($F978,Cluster_Master!$B$4:$B$18,0)),"")</f>
        <v/>
      </c>
      <c r="L978" t="str">
        <f>IFERROR(INDEX(Cluster_Master!$G$4:$G$18,MATCH($F978,Cluster_Master!$B$4:$B$18,0)),"")</f>
        <v/>
      </c>
      <c r="M978" t="str">
        <f>IFERROR(INDEX(Cluster_Master!$H$4:$H$18,MATCH($F978,Cluster_Master!$B$4:$B$18,0)),"")</f>
        <v/>
      </c>
      <c r="AI978" t="str">
        <f t="shared" si="117"/>
        <v/>
      </c>
      <c r="AJ978" t="str">
        <f t="shared" si="118"/>
        <v/>
      </c>
      <c r="AK978" t="str">
        <f>IF(COUNTA(T978:AH978)=0,"",(SUM(T978*KPI_Weights!$B$4,U978*KPI_Weights!$B$5,V978*KPI_Weights!$B$6,W978*KPI_Weights!$B$7,X978*KPI_Weights!$B$8,Y978*KPI_Weights!$B$9,Z978*KPI_Weights!$B$10,AA978*KPI_Weights!$B$11,AB978*KPI_Weights!$B$12,AC978*KPI_Weights!$B$13,AD978*KPI_Weights!$B$14,AE978*KPI_Weights!$B$15,AF978*KPI_Weights!$B$16,AG978*KPI_Weights!$B$17,AH978*KPI_Weights!$B$18))/5)</f>
        <v/>
      </c>
      <c r="AL978" t="str">
        <f t="shared" si="119"/>
        <v/>
      </c>
      <c r="AM978" t="str">
        <f t="shared" si="120"/>
        <v/>
      </c>
      <c r="AN978" t="str">
        <f t="shared" si="121"/>
        <v/>
      </c>
    </row>
    <row r="979" spans="1:40" ht="15" customHeight="1" x14ac:dyDescent="0.2">
      <c r="A979" t="str">
        <f>IF($B979="","",TEXT($B979,"yyyymmdd")&amp;"-"&amp;SUBSTITUTE($F979," ","")&amp;"-"&amp;TEXT(COUNTIF($F$4:F979,$F979),"00"))</f>
        <v/>
      </c>
      <c r="C979" t="str">
        <f t="shared" si="115"/>
        <v/>
      </c>
      <c r="D979" t="str">
        <f t="shared" si="116"/>
        <v/>
      </c>
      <c r="G979" t="str">
        <f>IF(OR($E979="",$F979=""),"",IFERROR(IF($E979=INDEX(Cluster_Master!$A$4:$A$18,MATCH($F979,Cluster_Master!$B$4:$B$18,0)),"OK","CHECK"),"CHECK"))</f>
        <v/>
      </c>
      <c r="H979" t="str">
        <f>IFERROR(INDEX(Cluster_Master!$C$4:$C$18,MATCH($F979,Cluster_Master!$B$4:$B$18,0)),"")</f>
        <v/>
      </c>
      <c r="I979" t="str">
        <f>IFERROR(INDEX(Cluster_Master!$D$4:$D$18,MATCH($F979,Cluster_Master!$B$4:$B$18,0)),"")</f>
        <v/>
      </c>
      <c r="J979" t="str">
        <f>IFERROR(INDEX(Cluster_Master!$E$4:$E$18,MATCH($F979,Cluster_Master!$B$4:$B$18,0)),"")</f>
        <v/>
      </c>
      <c r="K979" t="str">
        <f>IFERROR(INDEX(Cluster_Master!$F$4:$F$18,MATCH($F979,Cluster_Master!$B$4:$B$18,0)),"")</f>
        <v/>
      </c>
      <c r="L979" t="str">
        <f>IFERROR(INDEX(Cluster_Master!$G$4:$G$18,MATCH($F979,Cluster_Master!$B$4:$B$18,0)),"")</f>
        <v/>
      </c>
      <c r="M979" t="str">
        <f>IFERROR(INDEX(Cluster_Master!$H$4:$H$18,MATCH($F979,Cluster_Master!$B$4:$B$18,0)),"")</f>
        <v/>
      </c>
      <c r="AI979" t="str">
        <f t="shared" si="117"/>
        <v/>
      </c>
      <c r="AJ979" t="str">
        <f t="shared" si="118"/>
        <v/>
      </c>
      <c r="AK979" t="str">
        <f>IF(COUNTA(T979:AH979)=0,"",(SUM(T979*KPI_Weights!$B$4,U979*KPI_Weights!$B$5,V979*KPI_Weights!$B$6,W979*KPI_Weights!$B$7,X979*KPI_Weights!$B$8,Y979*KPI_Weights!$B$9,Z979*KPI_Weights!$B$10,AA979*KPI_Weights!$B$11,AB979*KPI_Weights!$B$12,AC979*KPI_Weights!$B$13,AD979*KPI_Weights!$B$14,AE979*KPI_Weights!$B$15,AF979*KPI_Weights!$B$16,AG979*KPI_Weights!$B$17,AH979*KPI_Weights!$B$18))/5)</f>
        <v/>
      </c>
      <c r="AL979" t="str">
        <f t="shared" si="119"/>
        <v/>
      </c>
      <c r="AM979" t="str">
        <f t="shared" si="120"/>
        <v/>
      </c>
      <c r="AN979" t="str">
        <f t="shared" si="121"/>
        <v/>
      </c>
    </row>
    <row r="980" spans="1:40" ht="15" customHeight="1" x14ac:dyDescent="0.2">
      <c r="A980" t="str">
        <f>IF($B980="","",TEXT($B980,"yyyymmdd")&amp;"-"&amp;SUBSTITUTE($F980," ","")&amp;"-"&amp;TEXT(COUNTIF($F$4:F980,$F980),"00"))</f>
        <v/>
      </c>
      <c r="C980" t="str">
        <f t="shared" si="115"/>
        <v/>
      </c>
      <c r="D980" t="str">
        <f t="shared" si="116"/>
        <v/>
      </c>
      <c r="G980" t="str">
        <f>IF(OR($E980="",$F980=""),"",IFERROR(IF($E980=INDEX(Cluster_Master!$A$4:$A$18,MATCH($F980,Cluster_Master!$B$4:$B$18,0)),"OK","CHECK"),"CHECK"))</f>
        <v/>
      </c>
      <c r="H980" t="str">
        <f>IFERROR(INDEX(Cluster_Master!$C$4:$C$18,MATCH($F980,Cluster_Master!$B$4:$B$18,0)),"")</f>
        <v/>
      </c>
      <c r="I980" t="str">
        <f>IFERROR(INDEX(Cluster_Master!$D$4:$D$18,MATCH($F980,Cluster_Master!$B$4:$B$18,0)),"")</f>
        <v/>
      </c>
      <c r="J980" t="str">
        <f>IFERROR(INDEX(Cluster_Master!$E$4:$E$18,MATCH($F980,Cluster_Master!$B$4:$B$18,0)),"")</f>
        <v/>
      </c>
      <c r="K980" t="str">
        <f>IFERROR(INDEX(Cluster_Master!$F$4:$F$18,MATCH($F980,Cluster_Master!$B$4:$B$18,0)),"")</f>
        <v/>
      </c>
      <c r="L980" t="str">
        <f>IFERROR(INDEX(Cluster_Master!$G$4:$G$18,MATCH($F980,Cluster_Master!$B$4:$B$18,0)),"")</f>
        <v/>
      </c>
      <c r="M980" t="str">
        <f>IFERROR(INDEX(Cluster_Master!$H$4:$H$18,MATCH($F980,Cluster_Master!$B$4:$B$18,0)),"")</f>
        <v/>
      </c>
      <c r="AI980" t="str">
        <f t="shared" si="117"/>
        <v/>
      </c>
      <c r="AJ980" t="str">
        <f t="shared" si="118"/>
        <v/>
      </c>
      <c r="AK980" t="str">
        <f>IF(COUNTA(T980:AH980)=0,"",(SUM(T980*KPI_Weights!$B$4,U980*KPI_Weights!$B$5,V980*KPI_Weights!$B$6,W980*KPI_Weights!$B$7,X980*KPI_Weights!$B$8,Y980*KPI_Weights!$B$9,Z980*KPI_Weights!$B$10,AA980*KPI_Weights!$B$11,AB980*KPI_Weights!$B$12,AC980*KPI_Weights!$B$13,AD980*KPI_Weights!$B$14,AE980*KPI_Weights!$B$15,AF980*KPI_Weights!$B$16,AG980*KPI_Weights!$B$17,AH980*KPI_Weights!$B$18))/5)</f>
        <v/>
      </c>
      <c r="AL980" t="str">
        <f t="shared" si="119"/>
        <v/>
      </c>
      <c r="AM980" t="str">
        <f t="shared" si="120"/>
        <v/>
      </c>
      <c r="AN980" t="str">
        <f t="shared" si="121"/>
        <v/>
      </c>
    </row>
    <row r="981" spans="1:40" ht="15" customHeight="1" x14ac:dyDescent="0.2">
      <c r="A981" t="str">
        <f>IF($B981="","",TEXT($B981,"yyyymmdd")&amp;"-"&amp;SUBSTITUTE($F981," ","")&amp;"-"&amp;TEXT(COUNTIF($F$4:F981,$F981),"00"))</f>
        <v/>
      </c>
      <c r="C981" t="str">
        <f t="shared" si="115"/>
        <v/>
      </c>
      <c r="D981" t="str">
        <f t="shared" si="116"/>
        <v/>
      </c>
      <c r="G981" t="str">
        <f>IF(OR($E981="",$F981=""),"",IFERROR(IF($E981=INDEX(Cluster_Master!$A$4:$A$18,MATCH($F981,Cluster_Master!$B$4:$B$18,0)),"OK","CHECK"),"CHECK"))</f>
        <v/>
      </c>
      <c r="H981" t="str">
        <f>IFERROR(INDEX(Cluster_Master!$C$4:$C$18,MATCH($F981,Cluster_Master!$B$4:$B$18,0)),"")</f>
        <v/>
      </c>
      <c r="I981" t="str">
        <f>IFERROR(INDEX(Cluster_Master!$D$4:$D$18,MATCH($F981,Cluster_Master!$B$4:$B$18,0)),"")</f>
        <v/>
      </c>
      <c r="J981" t="str">
        <f>IFERROR(INDEX(Cluster_Master!$E$4:$E$18,MATCH($F981,Cluster_Master!$B$4:$B$18,0)),"")</f>
        <v/>
      </c>
      <c r="K981" t="str">
        <f>IFERROR(INDEX(Cluster_Master!$F$4:$F$18,MATCH($F981,Cluster_Master!$B$4:$B$18,0)),"")</f>
        <v/>
      </c>
      <c r="L981" t="str">
        <f>IFERROR(INDEX(Cluster_Master!$G$4:$G$18,MATCH($F981,Cluster_Master!$B$4:$B$18,0)),"")</f>
        <v/>
      </c>
      <c r="M981" t="str">
        <f>IFERROR(INDEX(Cluster_Master!$H$4:$H$18,MATCH($F981,Cluster_Master!$B$4:$B$18,0)),"")</f>
        <v/>
      </c>
      <c r="AI981" t="str">
        <f t="shared" si="117"/>
        <v/>
      </c>
      <c r="AJ981" t="str">
        <f t="shared" si="118"/>
        <v/>
      </c>
      <c r="AK981" t="str">
        <f>IF(COUNTA(T981:AH981)=0,"",(SUM(T981*KPI_Weights!$B$4,U981*KPI_Weights!$B$5,V981*KPI_Weights!$B$6,W981*KPI_Weights!$B$7,X981*KPI_Weights!$B$8,Y981*KPI_Weights!$B$9,Z981*KPI_Weights!$B$10,AA981*KPI_Weights!$B$11,AB981*KPI_Weights!$B$12,AC981*KPI_Weights!$B$13,AD981*KPI_Weights!$B$14,AE981*KPI_Weights!$B$15,AF981*KPI_Weights!$B$16,AG981*KPI_Weights!$B$17,AH981*KPI_Weights!$B$18))/5)</f>
        <v/>
      </c>
      <c r="AL981" t="str">
        <f t="shared" si="119"/>
        <v/>
      </c>
      <c r="AM981" t="str">
        <f t="shared" si="120"/>
        <v/>
      </c>
      <c r="AN981" t="str">
        <f t="shared" si="121"/>
        <v/>
      </c>
    </row>
    <row r="982" spans="1:40" ht="15" customHeight="1" x14ac:dyDescent="0.2">
      <c r="A982" t="str">
        <f>IF($B982="","",TEXT($B982,"yyyymmdd")&amp;"-"&amp;SUBSTITUTE($F982," ","")&amp;"-"&amp;TEXT(COUNTIF($F$4:F982,$F982),"00"))</f>
        <v/>
      </c>
      <c r="C982" t="str">
        <f t="shared" si="115"/>
        <v/>
      </c>
      <c r="D982" t="str">
        <f t="shared" si="116"/>
        <v/>
      </c>
      <c r="G982" t="str">
        <f>IF(OR($E982="",$F982=""),"",IFERROR(IF($E982=INDEX(Cluster_Master!$A$4:$A$18,MATCH($F982,Cluster_Master!$B$4:$B$18,0)),"OK","CHECK"),"CHECK"))</f>
        <v/>
      </c>
      <c r="H982" t="str">
        <f>IFERROR(INDEX(Cluster_Master!$C$4:$C$18,MATCH($F982,Cluster_Master!$B$4:$B$18,0)),"")</f>
        <v/>
      </c>
      <c r="I982" t="str">
        <f>IFERROR(INDEX(Cluster_Master!$D$4:$D$18,MATCH($F982,Cluster_Master!$B$4:$B$18,0)),"")</f>
        <v/>
      </c>
      <c r="J982" t="str">
        <f>IFERROR(INDEX(Cluster_Master!$E$4:$E$18,MATCH($F982,Cluster_Master!$B$4:$B$18,0)),"")</f>
        <v/>
      </c>
      <c r="K982" t="str">
        <f>IFERROR(INDEX(Cluster_Master!$F$4:$F$18,MATCH($F982,Cluster_Master!$B$4:$B$18,0)),"")</f>
        <v/>
      </c>
      <c r="L982" t="str">
        <f>IFERROR(INDEX(Cluster_Master!$G$4:$G$18,MATCH($F982,Cluster_Master!$B$4:$B$18,0)),"")</f>
        <v/>
      </c>
      <c r="M982" t="str">
        <f>IFERROR(INDEX(Cluster_Master!$H$4:$H$18,MATCH($F982,Cluster_Master!$B$4:$B$18,0)),"")</f>
        <v/>
      </c>
      <c r="AI982" t="str">
        <f t="shared" si="117"/>
        <v/>
      </c>
      <c r="AJ982" t="str">
        <f t="shared" si="118"/>
        <v/>
      </c>
      <c r="AK982" t="str">
        <f>IF(COUNTA(T982:AH982)=0,"",(SUM(T982*KPI_Weights!$B$4,U982*KPI_Weights!$B$5,V982*KPI_Weights!$B$6,W982*KPI_Weights!$B$7,X982*KPI_Weights!$B$8,Y982*KPI_Weights!$B$9,Z982*KPI_Weights!$B$10,AA982*KPI_Weights!$B$11,AB982*KPI_Weights!$B$12,AC982*KPI_Weights!$B$13,AD982*KPI_Weights!$B$14,AE982*KPI_Weights!$B$15,AF982*KPI_Weights!$B$16,AG982*KPI_Weights!$B$17,AH982*KPI_Weights!$B$18))/5)</f>
        <v/>
      </c>
      <c r="AL982" t="str">
        <f t="shared" si="119"/>
        <v/>
      </c>
      <c r="AM982" t="str">
        <f t="shared" si="120"/>
        <v/>
      </c>
      <c r="AN982" t="str">
        <f t="shared" si="121"/>
        <v/>
      </c>
    </row>
    <row r="983" spans="1:40" ht="15" customHeight="1" x14ac:dyDescent="0.2">
      <c r="A983" t="str">
        <f>IF($B983="","",TEXT($B983,"yyyymmdd")&amp;"-"&amp;SUBSTITUTE($F983," ","")&amp;"-"&amp;TEXT(COUNTIF($F$4:F983,$F983),"00"))</f>
        <v/>
      </c>
      <c r="C983" t="str">
        <f t="shared" si="115"/>
        <v/>
      </c>
      <c r="D983" t="str">
        <f t="shared" si="116"/>
        <v/>
      </c>
      <c r="G983" t="str">
        <f>IF(OR($E983="",$F983=""),"",IFERROR(IF($E983=INDEX(Cluster_Master!$A$4:$A$18,MATCH($F983,Cluster_Master!$B$4:$B$18,0)),"OK","CHECK"),"CHECK"))</f>
        <v/>
      </c>
      <c r="H983" t="str">
        <f>IFERROR(INDEX(Cluster_Master!$C$4:$C$18,MATCH($F983,Cluster_Master!$B$4:$B$18,0)),"")</f>
        <v/>
      </c>
      <c r="I983" t="str">
        <f>IFERROR(INDEX(Cluster_Master!$D$4:$D$18,MATCH($F983,Cluster_Master!$B$4:$B$18,0)),"")</f>
        <v/>
      </c>
      <c r="J983" t="str">
        <f>IFERROR(INDEX(Cluster_Master!$E$4:$E$18,MATCH($F983,Cluster_Master!$B$4:$B$18,0)),"")</f>
        <v/>
      </c>
      <c r="K983" t="str">
        <f>IFERROR(INDEX(Cluster_Master!$F$4:$F$18,MATCH($F983,Cluster_Master!$B$4:$B$18,0)),"")</f>
        <v/>
      </c>
      <c r="L983" t="str">
        <f>IFERROR(INDEX(Cluster_Master!$G$4:$G$18,MATCH($F983,Cluster_Master!$B$4:$B$18,0)),"")</f>
        <v/>
      </c>
      <c r="M983" t="str">
        <f>IFERROR(INDEX(Cluster_Master!$H$4:$H$18,MATCH($F983,Cluster_Master!$B$4:$B$18,0)),"")</f>
        <v/>
      </c>
      <c r="AI983" t="str">
        <f t="shared" si="117"/>
        <v/>
      </c>
      <c r="AJ983" t="str">
        <f t="shared" si="118"/>
        <v/>
      </c>
      <c r="AK983" t="str">
        <f>IF(COUNTA(T983:AH983)=0,"",(SUM(T983*KPI_Weights!$B$4,U983*KPI_Weights!$B$5,V983*KPI_Weights!$B$6,W983*KPI_Weights!$B$7,X983*KPI_Weights!$B$8,Y983*KPI_Weights!$B$9,Z983*KPI_Weights!$B$10,AA983*KPI_Weights!$B$11,AB983*KPI_Weights!$B$12,AC983*KPI_Weights!$B$13,AD983*KPI_Weights!$B$14,AE983*KPI_Weights!$B$15,AF983*KPI_Weights!$B$16,AG983*KPI_Weights!$B$17,AH983*KPI_Weights!$B$18))/5)</f>
        <v/>
      </c>
      <c r="AL983" t="str">
        <f t="shared" si="119"/>
        <v/>
      </c>
      <c r="AM983" t="str">
        <f t="shared" si="120"/>
        <v/>
      </c>
      <c r="AN983" t="str">
        <f t="shared" si="121"/>
        <v/>
      </c>
    </row>
    <row r="984" spans="1:40" ht="15" customHeight="1" x14ac:dyDescent="0.2">
      <c r="A984" t="str">
        <f>IF($B984="","",TEXT($B984,"yyyymmdd")&amp;"-"&amp;SUBSTITUTE($F984," ","")&amp;"-"&amp;TEXT(COUNTIF($F$4:F984,$F984),"00"))</f>
        <v/>
      </c>
      <c r="C984" t="str">
        <f t="shared" si="115"/>
        <v/>
      </c>
      <c r="D984" t="str">
        <f t="shared" si="116"/>
        <v/>
      </c>
      <c r="G984" t="str">
        <f>IF(OR($E984="",$F984=""),"",IFERROR(IF($E984=INDEX(Cluster_Master!$A$4:$A$18,MATCH($F984,Cluster_Master!$B$4:$B$18,0)),"OK","CHECK"),"CHECK"))</f>
        <v/>
      </c>
      <c r="H984" t="str">
        <f>IFERROR(INDEX(Cluster_Master!$C$4:$C$18,MATCH($F984,Cluster_Master!$B$4:$B$18,0)),"")</f>
        <v/>
      </c>
      <c r="I984" t="str">
        <f>IFERROR(INDEX(Cluster_Master!$D$4:$D$18,MATCH($F984,Cluster_Master!$B$4:$B$18,0)),"")</f>
        <v/>
      </c>
      <c r="J984" t="str">
        <f>IFERROR(INDEX(Cluster_Master!$E$4:$E$18,MATCH($F984,Cluster_Master!$B$4:$B$18,0)),"")</f>
        <v/>
      </c>
      <c r="K984" t="str">
        <f>IFERROR(INDEX(Cluster_Master!$F$4:$F$18,MATCH($F984,Cluster_Master!$B$4:$B$18,0)),"")</f>
        <v/>
      </c>
      <c r="L984" t="str">
        <f>IFERROR(INDEX(Cluster_Master!$G$4:$G$18,MATCH($F984,Cluster_Master!$B$4:$B$18,0)),"")</f>
        <v/>
      </c>
      <c r="M984" t="str">
        <f>IFERROR(INDEX(Cluster_Master!$H$4:$H$18,MATCH($F984,Cluster_Master!$B$4:$B$18,0)),"")</f>
        <v/>
      </c>
      <c r="AI984" t="str">
        <f t="shared" si="117"/>
        <v/>
      </c>
      <c r="AJ984" t="str">
        <f t="shared" si="118"/>
        <v/>
      </c>
      <c r="AK984" t="str">
        <f>IF(COUNTA(T984:AH984)=0,"",(SUM(T984*KPI_Weights!$B$4,U984*KPI_Weights!$B$5,V984*KPI_Weights!$B$6,W984*KPI_Weights!$B$7,X984*KPI_Weights!$B$8,Y984*KPI_Weights!$B$9,Z984*KPI_Weights!$B$10,AA984*KPI_Weights!$B$11,AB984*KPI_Weights!$B$12,AC984*KPI_Weights!$B$13,AD984*KPI_Weights!$B$14,AE984*KPI_Weights!$B$15,AF984*KPI_Weights!$B$16,AG984*KPI_Weights!$B$17,AH984*KPI_Weights!$B$18))/5)</f>
        <v/>
      </c>
      <c r="AL984" t="str">
        <f t="shared" si="119"/>
        <v/>
      </c>
      <c r="AM984" t="str">
        <f t="shared" si="120"/>
        <v/>
      </c>
      <c r="AN984" t="str">
        <f t="shared" si="121"/>
        <v/>
      </c>
    </row>
    <row r="985" spans="1:40" ht="15" customHeight="1" x14ac:dyDescent="0.2">
      <c r="A985" t="str">
        <f>IF($B985="","",TEXT($B985,"yyyymmdd")&amp;"-"&amp;SUBSTITUTE($F985," ","")&amp;"-"&amp;TEXT(COUNTIF($F$4:F985,$F985),"00"))</f>
        <v/>
      </c>
      <c r="C985" t="str">
        <f t="shared" si="115"/>
        <v/>
      </c>
      <c r="D985" t="str">
        <f t="shared" si="116"/>
        <v/>
      </c>
      <c r="G985" t="str">
        <f>IF(OR($E985="",$F985=""),"",IFERROR(IF($E985=INDEX(Cluster_Master!$A$4:$A$18,MATCH($F985,Cluster_Master!$B$4:$B$18,0)),"OK","CHECK"),"CHECK"))</f>
        <v/>
      </c>
      <c r="H985" t="str">
        <f>IFERROR(INDEX(Cluster_Master!$C$4:$C$18,MATCH($F985,Cluster_Master!$B$4:$B$18,0)),"")</f>
        <v/>
      </c>
      <c r="I985" t="str">
        <f>IFERROR(INDEX(Cluster_Master!$D$4:$D$18,MATCH($F985,Cluster_Master!$B$4:$B$18,0)),"")</f>
        <v/>
      </c>
      <c r="J985" t="str">
        <f>IFERROR(INDEX(Cluster_Master!$E$4:$E$18,MATCH($F985,Cluster_Master!$B$4:$B$18,0)),"")</f>
        <v/>
      </c>
      <c r="K985" t="str">
        <f>IFERROR(INDEX(Cluster_Master!$F$4:$F$18,MATCH($F985,Cluster_Master!$B$4:$B$18,0)),"")</f>
        <v/>
      </c>
      <c r="L985" t="str">
        <f>IFERROR(INDEX(Cluster_Master!$G$4:$G$18,MATCH($F985,Cluster_Master!$B$4:$B$18,0)),"")</f>
        <v/>
      </c>
      <c r="M985" t="str">
        <f>IFERROR(INDEX(Cluster_Master!$H$4:$H$18,MATCH($F985,Cluster_Master!$B$4:$B$18,0)),"")</f>
        <v/>
      </c>
      <c r="AI985" t="str">
        <f t="shared" si="117"/>
        <v/>
      </c>
      <c r="AJ985" t="str">
        <f t="shared" si="118"/>
        <v/>
      </c>
      <c r="AK985" t="str">
        <f>IF(COUNTA(T985:AH985)=0,"",(SUM(T985*KPI_Weights!$B$4,U985*KPI_Weights!$B$5,V985*KPI_Weights!$B$6,W985*KPI_Weights!$B$7,X985*KPI_Weights!$B$8,Y985*KPI_Weights!$B$9,Z985*KPI_Weights!$B$10,AA985*KPI_Weights!$B$11,AB985*KPI_Weights!$B$12,AC985*KPI_Weights!$B$13,AD985*KPI_Weights!$B$14,AE985*KPI_Weights!$B$15,AF985*KPI_Weights!$B$16,AG985*KPI_Weights!$B$17,AH985*KPI_Weights!$B$18))/5)</f>
        <v/>
      </c>
      <c r="AL985" t="str">
        <f t="shared" si="119"/>
        <v/>
      </c>
      <c r="AM985" t="str">
        <f t="shared" si="120"/>
        <v/>
      </c>
      <c r="AN985" t="str">
        <f t="shared" si="121"/>
        <v/>
      </c>
    </row>
    <row r="986" spans="1:40" ht="15" customHeight="1" x14ac:dyDescent="0.2">
      <c r="A986" t="str">
        <f>IF($B986="","",TEXT($B986,"yyyymmdd")&amp;"-"&amp;SUBSTITUTE($F986," ","")&amp;"-"&amp;TEXT(COUNTIF($F$4:F986,$F986),"00"))</f>
        <v/>
      </c>
      <c r="C986" t="str">
        <f t="shared" si="115"/>
        <v/>
      </c>
      <c r="D986" t="str">
        <f t="shared" si="116"/>
        <v/>
      </c>
      <c r="G986" t="str">
        <f>IF(OR($E986="",$F986=""),"",IFERROR(IF($E986=INDEX(Cluster_Master!$A$4:$A$18,MATCH($F986,Cluster_Master!$B$4:$B$18,0)),"OK","CHECK"),"CHECK"))</f>
        <v/>
      </c>
      <c r="H986" t="str">
        <f>IFERROR(INDEX(Cluster_Master!$C$4:$C$18,MATCH($F986,Cluster_Master!$B$4:$B$18,0)),"")</f>
        <v/>
      </c>
      <c r="I986" t="str">
        <f>IFERROR(INDEX(Cluster_Master!$D$4:$D$18,MATCH($F986,Cluster_Master!$B$4:$B$18,0)),"")</f>
        <v/>
      </c>
      <c r="J986" t="str">
        <f>IFERROR(INDEX(Cluster_Master!$E$4:$E$18,MATCH($F986,Cluster_Master!$B$4:$B$18,0)),"")</f>
        <v/>
      </c>
      <c r="K986" t="str">
        <f>IFERROR(INDEX(Cluster_Master!$F$4:$F$18,MATCH($F986,Cluster_Master!$B$4:$B$18,0)),"")</f>
        <v/>
      </c>
      <c r="L986" t="str">
        <f>IFERROR(INDEX(Cluster_Master!$G$4:$G$18,MATCH($F986,Cluster_Master!$B$4:$B$18,0)),"")</f>
        <v/>
      </c>
      <c r="M986" t="str">
        <f>IFERROR(INDEX(Cluster_Master!$H$4:$H$18,MATCH($F986,Cluster_Master!$B$4:$B$18,0)),"")</f>
        <v/>
      </c>
      <c r="AI986" t="str">
        <f t="shared" si="117"/>
        <v/>
      </c>
      <c r="AJ986" t="str">
        <f t="shared" si="118"/>
        <v/>
      </c>
      <c r="AK986" t="str">
        <f>IF(COUNTA(T986:AH986)=0,"",(SUM(T986*KPI_Weights!$B$4,U986*KPI_Weights!$B$5,V986*KPI_Weights!$B$6,W986*KPI_Weights!$B$7,X986*KPI_Weights!$B$8,Y986*KPI_Weights!$B$9,Z986*KPI_Weights!$B$10,AA986*KPI_Weights!$B$11,AB986*KPI_Weights!$B$12,AC986*KPI_Weights!$B$13,AD986*KPI_Weights!$B$14,AE986*KPI_Weights!$B$15,AF986*KPI_Weights!$B$16,AG986*KPI_Weights!$B$17,AH986*KPI_Weights!$B$18))/5)</f>
        <v/>
      </c>
      <c r="AL986" t="str">
        <f t="shared" si="119"/>
        <v/>
      </c>
      <c r="AM986" t="str">
        <f t="shared" si="120"/>
        <v/>
      </c>
      <c r="AN986" t="str">
        <f t="shared" si="121"/>
        <v/>
      </c>
    </row>
    <row r="987" spans="1:40" ht="15" customHeight="1" x14ac:dyDescent="0.2">
      <c r="A987" t="str">
        <f>IF($B987="","",TEXT($B987,"yyyymmdd")&amp;"-"&amp;SUBSTITUTE($F987," ","")&amp;"-"&amp;TEXT(COUNTIF($F$4:F987,$F987),"00"))</f>
        <v/>
      </c>
      <c r="C987" t="str">
        <f t="shared" si="115"/>
        <v/>
      </c>
      <c r="D987" t="str">
        <f t="shared" si="116"/>
        <v/>
      </c>
      <c r="G987" t="str">
        <f>IF(OR($E987="",$F987=""),"",IFERROR(IF($E987=INDEX(Cluster_Master!$A$4:$A$18,MATCH($F987,Cluster_Master!$B$4:$B$18,0)),"OK","CHECK"),"CHECK"))</f>
        <v/>
      </c>
      <c r="H987" t="str">
        <f>IFERROR(INDEX(Cluster_Master!$C$4:$C$18,MATCH($F987,Cluster_Master!$B$4:$B$18,0)),"")</f>
        <v/>
      </c>
      <c r="I987" t="str">
        <f>IFERROR(INDEX(Cluster_Master!$D$4:$D$18,MATCH($F987,Cluster_Master!$B$4:$B$18,0)),"")</f>
        <v/>
      </c>
      <c r="J987" t="str">
        <f>IFERROR(INDEX(Cluster_Master!$E$4:$E$18,MATCH($F987,Cluster_Master!$B$4:$B$18,0)),"")</f>
        <v/>
      </c>
      <c r="K987" t="str">
        <f>IFERROR(INDEX(Cluster_Master!$F$4:$F$18,MATCH($F987,Cluster_Master!$B$4:$B$18,0)),"")</f>
        <v/>
      </c>
      <c r="L987" t="str">
        <f>IFERROR(INDEX(Cluster_Master!$G$4:$G$18,MATCH($F987,Cluster_Master!$B$4:$B$18,0)),"")</f>
        <v/>
      </c>
      <c r="M987" t="str">
        <f>IFERROR(INDEX(Cluster_Master!$H$4:$H$18,MATCH($F987,Cluster_Master!$B$4:$B$18,0)),"")</f>
        <v/>
      </c>
      <c r="AI987" t="str">
        <f t="shared" si="117"/>
        <v/>
      </c>
      <c r="AJ987" t="str">
        <f t="shared" si="118"/>
        <v/>
      </c>
      <c r="AK987" t="str">
        <f>IF(COUNTA(T987:AH987)=0,"",(SUM(T987*KPI_Weights!$B$4,U987*KPI_Weights!$B$5,V987*KPI_Weights!$B$6,W987*KPI_Weights!$B$7,X987*KPI_Weights!$B$8,Y987*KPI_Weights!$B$9,Z987*KPI_Weights!$B$10,AA987*KPI_Weights!$B$11,AB987*KPI_Weights!$B$12,AC987*KPI_Weights!$B$13,AD987*KPI_Weights!$B$14,AE987*KPI_Weights!$B$15,AF987*KPI_Weights!$B$16,AG987*KPI_Weights!$B$17,AH987*KPI_Weights!$B$18))/5)</f>
        <v/>
      </c>
      <c r="AL987" t="str">
        <f t="shared" si="119"/>
        <v/>
      </c>
      <c r="AM987" t="str">
        <f t="shared" si="120"/>
        <v/>
      </c>
      <c r="AN987" t="str">
        <f t="shared" si="121"/>
        <v/>
      </c>
    </row>
    <row r="988" spans="1:40" ht="15" customHeight="1" x14ac:dyDescent="0.2">
      <c r="A988" t="str">
        <f>IF($B988="","",TEXT($B988,"yyyymmdd")&amp;"-"&amp;SUBSTITUTE($F988," ","")&amp;"-"&amp;TEXT(COUNTIF($F$4:F988,$F988),"00"))</f>
        <v/>
      </c>
      <c r="C988" t="str">
        <f t="shared" si="115"/>
        <v/>
      </c>
      <c r="D988" t="str">
        <f t="shared" si="116"/>
        <v/>
      </c>
      <c r="G988" t="str">
        <f>IF(OR($E988="",$F988=""),"",IFERROR(IF($E988=INDEX(Cluster_Master!$A$4:$A$18,MATCH($F988,Cluster_Master!$B$4:$B$18,0)),"OK","CHECK"),"CHECK"))</f>
        <v/>
      </c>
      <c r="H988" t="str">
        <f>IFERROR(INDEX(Cluster_Master!$C$4:$C$18,MATCH($F988,Cluster_Master!$B$4:$B$18,0)),"")</f>
        <v/>
      </c>
      <c r="I988" t="str">
        <f>IFERROR(INDEX(Cluster_Master!$D$4:$D$18,MATCH($F988,Cluster_Master!$B$4:$B$18,0)),"")</f>
        <v/>
      </c>
      <c r="J988" t="str">
        <f>IFERROR(INDEX(Cluster_Master!$E$4:$E$18,MATCH($F988,Cluster_Master!$B$4:$B$18,0)),"")</f>
        <v/>
      </c>
      <c r="K988" t="str">
        <f>IFERROR(INDEX(Cluster_Master!$F$4:$F$18,MATCH($F988,Cluster_Master!$B$4:$B$18,0)),"")</f>
        <v/>
      </c>
      <c r="L988" t="str">
        <f>IFERROR(INDEX(Cluster_Master!$G$4:$G$18,MATCH($F988,Cluster_Master!$B$4:$B$18,0)),"")</f>
        <v/>
      </c>
      <c r="M988" t="str">
        <f>IFERROR(INDEX(Cluster_Master!$H$4:$H$18,MATCH($F988,Cluster_Master!$B$4:$B$18,0)),"")</f>
        <v/>
      </c>
      <c r="AI988" t="str">
        <f t="shared" si="117"/>
        <v/>
      </c>
      <c r="AJ988" t="str">
        <f t="shared" si="118"/>
        <v/>
      </c>
      <c r="AK988" t="str">
        <f>IF(COUNTA(T988:AH988)=0,"",(SUM(T988*KPI_Weights!$B$4,U988*KPI_Weights!$B$5,V988*KPI_Weights!$B$6,W988*KPI_Weights!$B$7,X988*KPI_Weights!$B$8,Y988*KPI_Weights!$B$9,Z988*KPI_Weights!$B$10,AA988*KPI_Weights!$B$11,AB988*KPI_Weights!$B$12,AC988*KPI_Weights!$B$13,AD988*KPI_Weights!$B$14,AE988*KPI_Weights!$B$15,AF988*KPI_Weights!$B$16,AG988*KPI_Weights!$B$17,AH988*KPI_Weights!$B$18))/5)</f>
        <v/>
      </c>
      <c r="AL988" t="str">
        <f t="shared" si="119"/>
        <v/>
      </c>
      <c r="AM988" t="str">
        <f t="shared" si="120"/>
        <v/>
      </c>
      <c r="AN988" t="str">
        <f t="shared" si="121"/>
        <v/>
      </c>
    </row>
    <row r="989" spans="1:40" ht="15" customHeight="1" x14ac:dyDescent="0.2">
      <c r="A989" t="str">
        <f>IF($B989="","",TEXT($B989,"yyyymmdd")&amp;"-"&amp;SUBSTITUTE($F989," ","")&amp;"-"&amp;TEXT(COUNTIF($F$4:F989,$F989),"00"))</f>
        <v/>
      </c>
      <c r="C989" t="str">
        <f t="shared" si="115"/>
        <v/>
      </c>
      <c r="D989" t="str">
        <f t="shared" si="116"/>
        <v/>
      </c>
      <c r="G989" t="str">
        <f>IF(OR($E989="",$F989=""),"",IFERROR(IF($E989=INDEX(Cluster_Master!$A$4:$A$18,MATCH($F989,Cluster_Master!$B$4:$B$18,0)),"OK","CHECK"),"CHECK"))</f>
        <v/>
      </c>
      <c r="H989" t="str">
        <f>IFERROR(INDEX(Cluster_Master!$C$4:$C$18,MATCH($F989,Cluster_Master!$B$4:$B$18,0)),"")</f>
        <v/>
      </c>
      <c r="I989" t="str">
        <f>IFERROR(INDEX(Cluster_Master!$D$4:$D$18,MATCH($F989,Cluster_Master!$B$4:$B$18,0)),"")</f>
        <v/>
      </c>
      <c r="J989" t="str">
        <f>IFERROR(INDEX(Cluster_Master!$E$4:$E$18,MATCH($F989,Cluster_Master!$B$4:$B$18,0)),"")</f>
        <v/>
      </c>
      <c r="K989" t="str">
        <f>IFERROR(INDEX(Cluster_Master!$F$4:$F$18,MATCH($F989,Cluster_Master!$B$4:$B$18,0)),"")</f>
        <v/>
      </c>
      <c r="L989" t="str">
        <f>IFERROR(INDEX(Cluster_Master!$G$4:$G$18,MATCH($F989,Cluster_Master!$B$4:$B$18,0)),"")</f>
        <v/>
      </c>
      <c r="M989" t="str">
        <f>IFERROR(INDEX(Cluster_Master!$H$4:$H$18,MATCH($F989,Cluster_Master!$B$4:$B$18,0)),"")</f>
        <v/>
      </c>
      <c r="AI989" t="str">
        <f t="shared" si="117"/>
        <v/>
      </c>
      <c r="AJ989" t="str">
        <f t="shared" si="118"/>
        <v/>
      </c>
      <c r="AK989" t="str">
        <f>IF(COUNTA(T989:AH989)=0,"",(SUM(T989*KPI_Weights!$B$4,U989*KPI_Weights!$B$5,V989*KPI_Weights!$B$6,W989*KPI_Weights!$B$7,X989*KPI_Weights!$B$8,Y989*KPI_Weights!$B$9,Z989*KPI_Weights!$B$10,AA989*KPI_Weights!$B$11,AB989*KPI_Weights!$B$12,AC989*KPI_Weights!$B$13,AD989*KPI_Weights!$B$14,AE989*KPI_Weights!$B$15,AF989*KPI_Weights!$B$16,AG989*KPI_Weights!$B$17,AH989*KPI_Weights!$B$18))/5)</f>
        <v/>
      </c>
      <c r="AL989" t="str">
        <f t="shared" si="119"/>
        <v/>
      </c>
      <c r="AM989" t="str">
        <f t="shared" si="120"/>
        <v/>
      </c>
      <c r="AN989" t="str">
        <f t="shared" si="121"/>
        <v/>
      </c>
    </row>
    <row r="990" spans="1:40" ht="15" customHeight="1" x14ac:dyDescent="0.2">
      <c r="A990" t="str">
        <f>IF($B990="","",TEXT($B990,"yyyymmdd")&amp;"-"&amp;SUBSTITUTE($F990," ","")&amp;"-"&amp;TEXT(COUNTIF($F$4:F990,$F990),"00"))</f>
        <v/>
      </c>
      <c r="C990" t="str">
        <f t="shared" si="115"/>
        <v/>
      </c>
      <c r="D990" t="str">
        <f t="shared" si="116"/>
        <v/>
      </c>
      <c r="G990" t="str">
        <f>IF(OR($E990="",$F990=""),"",IFERROR(IF($E990=INDEX(Cluster_Master!$A$4:$A$18,MATCH($F990,Cluster_Master!$B$4:$B$18,0)),"OK","CHECK"),"CHECK"))</f>
        <v/>
      </c>
      <c r="H990" t="str">
        <f>IFERROR(INDEX(Cluster_Master!$C$4:$C$18,MATCH($F990,Cluster_Master!$B$4:$B$18,0)),"")</f>
        <v/>
      </c>
      <c r="I990" t="str">
        <f>IFERROR(INDEX(Cluster_Master!$D$4:$D$18,MATCH($F990,Cluster_Master!$B$4:$B$18,0)),"")</f>
        <v/>
      </c>
      <c r="J990" t="str">
        <f>IFERROR(INDEX(Cluster_Master!$E$4:$E$18,MATCH($F990,Cluster_Master!$B$4:$B$18,0)),"")</f>
        <v/>
      </c>
      <c r="K990" t="str">
        <f>IFERROR(INDEX(Cluster_Master!$F$4:$F$18,MATCH($F990,Cluster_Master!$B$4:$B$18,0)),"")</f>
        <v/>
      </c>
      <c r="L990" t="str">
        <f>IFERROR(INDEX(Cluster_Master!$G$4:$G$18,MATCH($F990,Cluster_Master!$B$4:$B$18,0)),"")</f>
        <v/>
      </c>
      <c r="M990" t="str">
        <f>IFERROR(INDEX(Cluster_Master!$H$4:$H$18,MATCH($F990,Cluster_Master!$B$4:$B$18,0)),"")</f>
        <v/>
      </c>
      <c r="AI990" t="str">
        <f t="shared" si="117"/>
        <v/>
      </c>
      <c r="AJ990" t="str">
        <f t="shared" si="118"/>
        <v/>
      </c>
      <c r="AK990" t="str">
        <f>IF(COUNTA(T990:AH990)=0,"",(SUM(T990*KPI_Weights!$B$4,U990*KPI_Weights!$B$5,V990*KPI_Weights!$B$6,W990*KPI_Weights!$B$7,X990*KPI_Weights!$B$8,Y990*KPI_Weights!$B$9,Z990*KPI_Weights!$B$10,AA990*KPI_Weights!$B$11,AB990*KPI_Weights!$B$12,AC990*KPI_Weights!$B$13,AD990*KPI_Weights!$B$14,AE990*KPI_Weights!$B$15,AF990*KPI_Weights!$B$16,AG990*KPI_Weights!$B$17,AH990*KPI_Weights!$B$18))/5)</f>
        <v/>
      </c>
      <c r="AL990" t="str">
        <f t="shared" si="119"/>
        <v/>
      </c>
      <c r="AM990" t="str">
        <f t="shared" si="120"/>
        <v/>
      </c>
      <c r="AN990" t="str">
        <f t="shared" si="121"/>
        <v/>
      </c>
    </row>
    <row r="991" spans="1:40" ht="15" customHeight="1" x14ac:dyDescent="0.2">
      <c r="A991" t="str">
        <f>IF($B991="","",TEXT($B991,"yyyymmdd")&amp;"-"&amp;SUBSTITUTE($F991," ","")&amp;"-"&amp;TEXT(COUNTIF($F$4:F991,$F991),"00"))</f>
        <v/>
      </c>
      <c r="C991" t="str">
        <f t="shared" si="115"/>
        <v/>
      </c>
      <c r="D991" t="str">
        <f t="shared" si="116"/>
        <v/>
      </c>
      <c r="G991" t="str">
        <f>IF(OR($E991="",$F991=""),"",IFERROR(IF($E991=INDEX(Cluster_Master!$A$4:$A$18,MATCH($F991,Cluster_Master!$B$4:$B$18,0)),"OK","CHECK"),"CHECK"))</f>
        <v/>
      </c>
      <c r="H991" t="str">
        <f>IFERROR(INDEX(Cluster_Master!$C$4:$C$18,MATCH($F991,Cluster_Master!$B$4:$B$18,0)),"")</f>
        <v/>
      </c>
      <c r="I991" t="str">
        <f>IFERROR(INDEX(Cluster_Master!$D$4:$D$18,MATCH($F991,Cluster_Master!$B$4:$B$18,0)),"")</f>
        <v/>
      </c>
      <c r="J991" t="str">
        <f>IFERROR(INDEX(Cluster_Master!$E$4:$E$18,MATCH($F991,Cluster_Master!$B$4:$B$18,0)),"")</f>
        <v/>
      </c>
      <c r="K991" t="str">
        <f>IFERROR(INDEX(Cluster_Master!$F$4:$F$18,MATCH($F991,Cluster_Master!$B$4:$B$18,0)),"")</f>
        <v/>
      </c>
      <c r="L991" t="str">
        <f>IFERROR(INDEX(Cluster_Master!$G$4:$G$18,MATCH($F991,Cluster_Master!$B$4:$B$18,0)),"")</f>
        <v/>
      </c>
      <c r="M991" t="str">
        <f>IFERROR(INDEX(Cluster_Master!$H$4:$H$18,MATCH($F991,Cluster_Master!$B$4:$B$18,0)),"")</f>
        <v/>
      </c>
      <c r="AI991" t="str">
        <f t="shared" si="117"/>
        <v/>
      </c>
      <c r="AJ991" t="str">
        <f t="shared" si="118"/>
        <v/>
      </c>
      <c r="AK991" t="str">
        <f>IF(COUNTA(T991:AH991)=0,"",(SUM(T991*KPI_Weights!$B$4,U991*KPI_Weights!$B$5,V991*KPI_Weights!$B$6,W991*KPI_Weights!$B$7,X991*KPI_Weights!$B$8,Y991*KPI_Weights!$B$9,Z991*KPI_Weights!$B$10,AA991*KPI_Weights!$B$11,AB991*KPI_Weights!$B$12,AC991*KPI_Weights!$B$13,AD991*KPI_Weights!$B$14,AE991*KPI_Weights!$B$15,AF991*KPI_Weights!$B$16,AG991*KPI_Weights!$B$17,AH991*KPI_Weights!$B$18))/5)</f>
        <v/>
      </c>
      <c r="AL991" t="str">
        <f t="shared" si="119"/>
        <v/>
      </c>
      <c r="AM991" t="str">
        <f t="shared" si="120"/>
        <v/>
      </c>
      <c r="AN991" t="str">
        <f t="shared" si="121"/>
        <v/>
      </c>
    </row>
    <row r="992" spans="1:40" ht="15" customHeight="1" x14ac:dyDescent="0.2">
      <c r="A992" t="str">
        <f>IF($B992="","",TEXT($B992,"yyyymmdd")&amp;"-"&amp;SUBSTITUTE($F992," ","")&amp;"-"&amp;TEXT(COUNTIF($F$4:F992,$F992),"00"))</f>
        <v/>
      </c>
      <c r="C992" t="str">
        <f t="shared" si="115"/>
        <v/>
      </c>
      <c r="D992" t="str">
        <f t="shared" si="116"/>
        <v/>
      </c>
      <c r="G992" t="str">
        <f>IF(OR($E992="",$F992=""),"",IFERROR(IF($E992=INDEX(Cluster_Master!$A$4:$A$18,MATCH($F992,Cluster_Master!$B$4:$B$18,0)),"OK","CHECK"),"CHECK"))</f>
        <v/>
      </c>
      <c r="H992" t="str">
        <f>IFERROR(INDEX(Cluster_Master!$C$4:$C$18,MATCH($F992,Cluster_Master!$B$4:$B$18,0)),"")</f>
        <v/>
      </c>
      <c r="I992" t="str">
        <f>IFERROR(INDEX(Cluster_Master!$D$4:$D$18,MATCH($F992,Cluster_Master!$B$4:$B$18,0)),"")</f>
        <v/>
      </c>
      <c r="J992" t="str">
        <f>IFERROR(INDEX(Cluster_Master!$E$4:$E$18,MATCH($F992,Cluster_Master!$B$4:$B$18,0)),"")</f>
        <v/>
      </c>
      <c r="K992" t="str">
        <f>IFERROR(INDEX(Cluster_Master!$F$4:$F$18,MATCH($F992,Cluster_Master!$B$4:$B$18,0)),"")</f>
        <v/>
      </c>
      <c r="L992" t="str">
        <f>IFERROR(INDEX(Cluster_Master!$G$4:$G$18,MATCH($F992,Cluster_Master!$B$4:$B$18,0)),"")</f>
        <v/>
      </c>
      <c r="M992" t="str">
        <f>IFERROR(INDEX(Cluster_Master!$H$4:$H$18,MATCH($F992,Cluster_Master!$B$4:$B$18,0)),"")</f>
        <v/>
      </c>
      <c r="AI992" t="str">
        <f t="shared" si="117"/>
        <v/>
      </c>
      <c r="AJ992" t="str">
        <f t="shared" si="118"/>
        <v/>
      </c>
      <c r="AK992" t="str">
        <f>IF(COUNTA(T992:AH992)=0,"",(SUM(T992*KPI_Weights!$B$4,U992*KPI_Weights!$B$5,V992*KPI_Weights!$B$6,W992*KPI_Weights!$B$7,X992*KPI_Weights!$B$8,Y992*KPI_Weights!$B$9,Z992*KPI_Weights!$B$10,AA992*KPI_Weights!$B$11,AB992*KPI_Weights!$B$12,AC992*KPI_Weights!$B$13,AD992*KPI_Weights!$B$14,AE992*KPI_Weights!$B$15,AF992*KPI_Weights!$B$16,AG992*KPI_Weights!$B$17,AH992*KPI_Weights!$B$18))/5)</f>
        <v/>
      </c>
      <c r="AL992" t="str">
        <f t="shared" si="119"/>
        <v/>
      </c>
      <c r="AM992" t="str">
        <f t="shared" si="120"/>
        <v/>
      </c>
      <c r="AN992" t="str">
        <f t="shared" si="121"/>
        <v/>
      </c>
    </row>
    <row r="993" spans="1:40" ht="15" customHeight="1" x14ac:dyDescent="0.2">
      <c r="A993" t="str">
        <f>IF($B993="","",TEXT($B993,"yyyymmdd")&amp;"-"&amp;SUBSTITUTE($F993," ","")&amp;"-"&amp;TEXT(COUNTIF($F$4:F993,$F993),"00"))</f>
        <v/>
      </c>
      <c r="C993" t="str">
        <f t="shared" si="115"/>
        <v/>
      </c>
      <c r="D993" t="str">
        <f t="shared" si="116"/>
        <v/>
      </c>
      <c r="G993" t="str">
        <f>IF(OR($E993="",$F993=""),"",IFERROR(IF($E993=INDEX(Cluster_Master!$A$4:$A$18,MATCH($F993,Cluster_Master!$B$4:$B$18,0)),"OK","CHECK"),"CHECK"))</f>
        <v/>
      </c>
      <c r="H993" t="str">
        <f>IFERROR(INDEX(Cluster_Master!$C$4:$C$18,MATCH($F993,Cluster_Master!$B$4:$B$18,0)),"")</f>
        <v/>
      </c>
      <c r="I993" t="str">
        <f>IFERROR(INDEX(Cluster_Master!$D$4:$D$18,MATCH($F993,Cluster_Master!$B$4:$B$18,0)),"")</f>
        <v/>
      </c>
      <c r="J993" t="str">
        <f>IFERROR(INDEX(Cluster_Master!$E$4:$E$18,MATCH($F993,Cluster_Master!$B$4:$B$18,0)),"")</f>
        <v/>
      </c>
      <c r="K993" t="str">
        <f>IFERROR(INDEX(Cluster_Master!$F$4:$F$18,MATCH($F993,Cluster_Master!$B$4:$B$18,0)),"")</f>
        <v/>
      </c>
      <c r="L993" t="str">
        <f>IFERROR(INDEX(Cluster_Master!$G$4:$G$18,MATCH($F993,Cluster_Master!$B$4:$B$18,0)),"")</f>
        <v/>
      </c>
      <c r="M993" t="str">
        <f>IFERROR(INDEX(Cluster_Master!$H$4:$H$18,MATCH($F993,Cluster_Master!$B$4:$B$18,0)),"")</f>
        <v/>
      </c>
      <c r="AI993" t="str">
        <f t="shared" si="117"/>
        <v/>
      </c>
      <c r="AJ993" t="str">
        <f t="shared" si="118"/>
        <v/>
      </c>
      <c r="AK993" t="str">
        <f>IF(COUNTA(T993:AH993)=0,"",(SUM(T993*KPI_Weights!$B$4,U993*KPI_Weights!$B$5,V993*KPI_Weights!$B$6,W993*KPI_Weights!$B$7,X993*KPI_Weights!$B$8,Y993*KPI_Weights!$B$9,Z993*KPI_Weights!$B$10,AA993*KPI_Weights!$B$11,AB993*KPI_Weights!$B$12,AC993*KPI_Weights!$B$13,AD993*KPI_Weights!$B$14,AE993*KPI_Weights!$B$15,AF993*KPI_Weights!$B$16,AG993*KPI_Weights!$B$17,AH993*KPI_Weights!$B$18))/5)</f>
        <v/>
      </c>
      <c r="AL993" t="str">
        <f t="shared" si="119"/>
        <v/>
      </c>
      <c r="AM993" t="str">
        <f t="shared" si="120"/>
        <v/>
      </c>
      <c r="AN993" t="str">
        <f t="shared" si="121"/>
        <v/>
      </c>
    </row>
    <row r="994" spans="1:40" ht="15" customHeight="1" x14ac:dyDescent="0.2">
      <c r="A994" t="str">
        <f>IF($B994="","",TEXT($B994,"yyyymmdd")&amp;"-"&amp;SUBSTITUTE($F994," ","")&amp;"-"&amp;TEXT(COUNTIF($F$4:F994,$F994),"00"))</f>
        <v/>
      </c>
      <c r="C994" t="str">
        <f t="shared" si="115"/>
        <v/>
      </c>
      <c r="D994" t="str">
        <f t="shared" si="116"/>
        <v/>
      </c>
      <c r="G994" t="str">
        <f>IF(OR($E994="",$F994=""),"",IFERROR(IF($E994=INDEX(Cluster_Master!$A$4:$A$18,MATCH($F994,Cluster_Master!$B$4:$B$18,0)),"OK","CHECK"),"CHECK"))</f>
        <v/>
      </c>
      <c r="H994" t="str">
        <f>IFERROR(INDEX(Cluster_Master!$C$4:$C$18,MATCH($F994,Cluster_Master!$B$4:$B$18,0)),"")</f>
        <v/>
      </c>
      <c r="I994" t="str">
        <f>IFERROR(INDEX(Cluster_Master!$D$4:$D$18,MATCH($F994,Cluster_Master!$B$4:$B$18,0)),"")</f>
        <v/>
      </c>
      <c r="J994" t="str">
        <f>IFERROR(INDEX(Cluster_Master!$E$4:$E$18,MATCH($F994,Cluster_Master!$B$4:$B$18,0)),"")</f>
        <v/>
      </c>
      <c r="K994" t="str">
        <f>IFERROR(INDEX(Cluster_Master!$F$4:$F$18,MATCH($F994,Cluster_Master!$B$4:$B$18,0)),"")</f>
        <v/>
      </c>
      <c r="L994" t="str">
        <f>IFERROR(INDEX(Cluster_Master!$G$4:$G$18,MATCH($F994,Cluster_Master!$B$4:$B$18,0)),"")</f>
        <v/>
      </c>
      <c r="M994" t="str">
        <f>IFERROR(INDEX(Cluster_Master!$H$4:$H$18,MATCH($F994,Cluster_Master!$B$4:$B$18,0)),"")</f>
        <v/>
      </c>
      <c r="AI994" t="str">
        <f t="shared" si="117"/>
        <v/>
      </c>
      <c r="AJ994" t="str">
        <f t="shared" si="118"/>
        <v/>
      </c>
      <c r="AK994" t="str">
        <f>IF(COUNTA(T994:AH994)=0,"",(SUM(T994*KPI_Weights!$B$4,U994*KPI_Weights!$B$5,V994*KPI_Weights!$B$6,W994*KPI_Weights!$B$7,X994*KPI_Weights!$B$8,Y994*KPI_Weights!$B$9,Z994*KPI_Weights!$B$10,AA994*KPI_Weights!$B$11,AB994*KPI_Weights!$B$12,AC994*KPI_Weights!$B$13,AD994*KPI_Weights!$B$14,AE994*KPI_Weights!$B$15,AF994*KPI_Weights!$B$16,AG994*KPI_Weights!$B$17,AH994*KPI_Weights!$B$18))/5)</f>
        <v/>
      </c>
      <c r="AL994" t="str">
        <f t="shared" si="119"/>
        <v/>
      </c>
      <c r="AM994" t="str">
        <f t="shared" si="120"/>
        <v/>
      </c>
      <c r="AN994" t="str">
        <f t="shared" si="121"/>
        <v/>
      </c>
    </row>
    <row r="995" spans="1:40" ht="15" customHeight="1" x14ac:dyDescent="0.2">
      <c r="A995" t="str">
        <f>IF($B995="","",TEXT($B995,"yyyymmdd")&amp;"-"&amp;SUBSTITUTE($F995," ","")&amp;"-"&amp;TEXT(COUNTIF($F$4:F995,$F995),"00"))</f>
        <v/>
      </c>
      <c r="C995" t="str">
        <f t="shared" si="115"/>
        <v/>
      </c>
      <c r="D995" t="str">
        <f t="shared" si="116"/>
        <v/>
      </c>
      <c r="G995" t="str">
        <f>IF(OR($E995="",$F995=""),"",IFERROR(IF($E995=INDEX(Cluster_Master!$A$4:$A$18,MATCH($F995,Cluster_Master!$B$4:$B$18,0)),"OK","CHECK"),"CHECK"))</f>
        <v/>
      </c>
      <c r="H995" t="str">
        <f>IFERROR(INDEX(Cluster_Master!$C$4:$C$18,MATCH($F995,Cluster_Master!$B$4:$B$18,0)),"")</f>
        <v/>
      </c>
      <c r="I995" t="str">
        <f>IFERROR(INDEX(Cluster_Master!$D$4:$D$18,MATCH($F995,Cluster_Master!$B$4:$B$18,0)),"")</f>
        <v/>
      </c>
      <c r="J995" t="str">
        <f>IFERROR(INDEX(Cluster_Master!$E$4:$E$18,MATCH($F995,Cluster_Master!$B$4:$B$18,0)),"")</f>
        <v/>
      </c>
      <c r="K995" t="str">
        <f>IFERROR(INDEX(Cluster_Master!$F$4:$F$18,MATCH($F995,Cluster_Master!$B$4:$B$18,0)),"")</f>
        <v/>
      </c>
      <c r="L995" t="str">
        <f>IFERROR(INDEX(Cluster_Master!$G$4:$G$18,MATCH($F995,Cluster_Master!$B$4:$B$18,0)),"")</f>
        <v/>
      </c>
      <c r="M995" t="str">
        <f>IFERROR(INDEX(Cluster_Master!$H$4:$H$18,MATCH($F995,Cluster_Master!$B$4:$B$18,0)),"")</f>
        <v/>
      </c>
      <c r="AI995" t="str">
        <f t="shared" si="117"/>
        <v/>
      </c>
      <c r="AJ995" t="str">
        <f t="shared" si="118"/>
        <v/>
      </c>
      <c r="AK995" t="str">
        <f>IF(COUNTA(T995:AH995)=0,"",(SUM(T995*KPI_Weights!$B$4,U995*KPI_Weights!$B$5,V995*KPI_Weights!$B$6,W995*KPI_Weights!$B$7,X995*KPI_Weights!$B$8,Y995*KPI_Weights!$B$9,Z995*KPI_Weights!$B$10,AA995*KPI_Weights!$B$11,AB995*KPI_Weights!$B$12,AC995*KPI_Weights!$B$13,AD995*KPI_Weights!$B$14,AE995*KPI_Weights!$B$15,AF995*KPI_Weights!$B$16,AG995*KPI_Weights!$B$17,AH995*KPI_Weights!$B$18))/5)</f>
        <v/>
      </c>
      <c r="AL995" t="str">
        <f t="shared" si="119"/>
        <v/>
      </c>
      <c r="AM995" t="str">
        <f t="shared" si="120"/>
        <v/>
      </c>
      <c r="AN995" t="str">
        <f t="shared" si="121"/>
        <v/>
      </c>
    </row>
    <row r="996" spans="1:40" ht="15" customHeight="1" x14ac:dyDescent="0.2">
      <c r="A996" t="str">
        <f>IF($B996="","",TEXT($B996,"yyyymmdd")&amp;"-"&amp;SUBSTITUTE($F996," ","")&amp;"-"&amp;TEXT(COUNTIF($F$4:F996,$F996),"00"))</f>
        <v/>
      </c>
      <c r="C996" t="str">
        <f t="shared" si="115"/>
        <v/>
      </c>
      <c r="D996" t="str">
        <f t="shared" si="116"/>
        <v/>
      </c>
      <c r="G996" t="str">
        <f>IF(OR($E996="",$F996=""),"",IFERROR(IF($E996=INDEX(Cluster_Master!$A$4:$A$18,MATCH($F996,Cluster_Master!$B$4:$B$18,0)),"OK","CHECK"),"CHECK"))</f>
        <v/>
      </c>
      <c r="H996" t="str">
        <f>IFERROR(INDEX(Cluster_Master!$C$4:$C$18,MATCH($F996,Cluster_Master!$B$4:$B$18,0)),"")</f>
        <v/>
      </c>
      <c r="I996" t="str">
        <f>IFERROR(INDEX(Cluster_Master!$D$4:$D$18,MATCH($F996,Cluster_Master!$B$4:$B$18,0)),"")</f>
        <v/>
      </c>
      <c r="J996" t="str">
        <f>IFERROR(INDEX(Cluster_Master!$E$4:$E$18,MATCH($F996,Cluster_Master!$B$4:$B$18,0)),"")</f>
        <v/>
      </c>
      <c r="K996" t="str">
        <f>IFERROR(INDEX(Cluster_Master!$F$4:$F$18,MATCH($F996,Cluster_Master!$B$4:$B$18,0)),"")</f>
        <v/>
      </c>
      <c r="L996" t="str">
        <f>IFERROR(INDEX(Cluster_Master!$G$4:$G$18,MATCH($F996,Cluster_Master!$B$4:$B$18,0)),"")</f>
        <v/>
      </c>
      <c r="M996" t="str">
        <f>IFERROR(INDEX(Cluster_Master!$H$4:$H$18,MATCH($F996,Cluster_Master!$B$4:$B$18,0)),"")</f>
        <v/>
      </c>
      <c r="AI996" t="str">
        <f t="shared" si="117"/>
        <v/>
      </c>
      <c r="AJ996" t="str">
        <f t="shared" si="118"/>
        <v/>
      </c>
      <c r="AK996" t="str">
        <f>IF(COUNTA(T996:AH996)=0,"",(SUM(T996*KPI_Weights!$B$4,U996*KPI_Weights!$B$5,V996*KPI_Weights!$B$6,W996*KPI_Weights!$B$7,X996*KPI_Weights!$B$8,Y996*KPI_Weights!$B$9,Z996*KPI_Weights!$B$10,AA996*KPI_Weights!$B$11,AB996*KPI_Weights!$B$12,AC996*KPI_Weights!$B$13,AD996*KPI_Weights!$B$14,AE996*KPI_Weights!$B$15,AF996*KPI_Weights!$B$16,AG996*KPI_Weights!$B$17,AH996*KPI_Weights!$B$18))/5)</f>
        <v/>
      </c>
      <c r="AL996" t="str">
        <f t="shared" si="119"/>
        <v/>
      </c>
      <c r="AM996" t="str">
        <f t="shared" si="120"/>
        <v/>
      </c>
      <c r="AN996" t="str">
        <f t="shared" si="121"/>
        <v/>
      </c>
    </row>
  </sheetData>
  <autoFilter ref="A3:BF499" xr:uid="{00000000-0009-0000-0000-000004000000}"/>
  <mergeCells count="2">
    <mergeCell ref="A1:BF1"/>
    <mergeCell ref="A2:BF2"/>
  </mergeCells>
  <conditionalFormatting sqref="G4:G499">
    <cfRule type="expression" dxfId="26" priority="21">
      <formula>G4="CHECK"</formula>
    </cfRule>
    <cfRule type="expression" dxfId="25" priority="22">
      <formula>G4="OK"</formula>
    </cfRule>
  </conditionalFormatting>
  <conditionalFormatting sqref="T4:AH499">
    <cfRule type="cellIs" dxfId="24" priority="23" operator="lessThanOrEqual">
      <formula>1</formula>
    </cfRule>
    <cfRule type="cellIs" dxfId="23" priority="24" operator="equal">
      <formula>2</formula>
    </cfRule>
    <cfRule type="cellIs" dxfId="22" priority="25" operator="equal">
      <formula>3</formula>
    </cfRule>
    <cfRule type="cellIs" dxfId="21" priority="26" operator="greaterThanOrEqual">
      <formula>4</formula>
    </cfRule>
    <cfRule type="cellIs" dxfId="20" priority="27" operator="lessThanOrEqual">
      <formula>1</formula>
    </cfRule>
    <cfRule type="cellIs" dxfId="19" priority="28" operator="between">
      <formula>2</formula>
      <formula>3</formula>
    </cfRule>
    <cfRule type="cellIs" dxfId="18" priority="29" operator="greaterThanOrEqual">
      <formula>4</formula>
    </cfRule>
  </conditionalFormatting>
  <conditionalFormatting sqref="AJ4:AK499">
    <cfRule type="colorScale" priority="30">
      <colorScale>
        <cfvo type="num" val="0"/>
        <cfvo type="num" val="0.75"/>
        <cfvo type="num" val="1"/>
        <color rgb="FFF8696B"/>
        <color rgb="FFFFEB84"/>
        <color rgb="FF63BE7B"/>
      </colorScale>
    </cfRule>
  </conditionalFormatting>
  <conditionalFormatting sqref="AL4:AL499">
    <cfRule type="expression" dxfId="17" priority="31">
      <formula>AL4="YES"</formula>
    </cfRule>
  </conditionalFormatting>
  <conditionalFormatting sqref="AM4:AM499">
    <cfRule type="expression" dxfId="16" priority="32">
      <formula>AM4="YES"</formula>
    </cfRule>
  </conditionalFormatting>
  <dataValidations count="8">
    <dataValidation type="list" allowBlank="1" sqref="E4:E499" xr:uid="{00000000-0002-0000-0400-000000000000}">
      <formula1>Package_List</formula1>
      <formula2>0</formula2>
    </dataValidation>
    <dataValidation type="list" allowBlank="1" sqref="F4:F499 BE4:BF499" xr:uid="{00000000-0002-0000-0400-000001000000}">
      <formula1>Cluster_List</formula1>
      <formula2>0</formula2>
    </dataValidation>
    <dataValidation type="list" allowBlank="1" sqref="O4:O499" xr:uid="{00000000-0002-0000-0400-000002000000}">
      <formula1>Evaluator_Role_List</formula1>
      <formula2>0</formula2>
    </dataValidation>
    <dataValidation type="list" allowBlank="1" sqref="R4:R499" xr:uid="{00000000-0002-0000-0400-000003000000}">
      <formula1>High_Risk_Activity_List</formula1>
      <formula2>0</formula2>
    </dataValidation>
    <dataValidation type="list" allowBlank="1" sqref="BC4:BD499 AO4:AO499 S4:S499" xr:uid="{00000000-0002-0000-0400-000004000000}">
      <formula1>Yes_No_List</formula1>
      <formula2>0</formula2>
    </dataValidation>
    <dataValidation type="list" allowBlank="1" sqref="AP4:AP499" xr:uid="{00000000-0002-0000-0400-000005000000}">
      <formula1>Root_Cause_List</formula1>
      <formula2>0</formula2>
    </dataValidation>
    <dataValidation type="list" allowBlank="1" sqref="AX4:BB499" xr:uid="{00000000-0002-0000-0400-000006000000}">
      <formula1>KPI_List</formula1>
      <formula2>0</formula2>
    </dataValidation>
    <dataValidation type="list" allowBlank="1" sqref="T4:AH996" xr:uid="{00000000-0002-0000-0400-000008000000}">
      <formula1>"0,1,2,3,4,5"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3"/>
  <sheetViews>
    <sheetView showGridLines="0" zoomScale="70" zoomScaleNormal="70" workbookViewId="0">
      <pane ySplit="1" topLeftCell="A2" activePane="bottomLeft" state="frozen"/>
      <selection pane="bottomLeft" activeCell="F17" sqref="F17"/>
    </sheetView>
  </sheetViews>
  <sheetFormatPr defaultColWidth="8.5703125" defaultRowHeight="15" customHeight="1" x14ac:dyDescent="0.2"/>
  <cols>
    <col min="1" max="1" width="24" customWidth="1"/>
    <col min="2" max="2" width="10" customWidth="1"/>
    <col min="3" max="4" width="14" customWidth="1"/>
    <col min="5" max="5" width="16" customWidth="1"/>
    <col min="6" max="6" width="12" customWidth="1"/>
    <col min="7" max="7" width="14" customWidth="1"/>
    <col min="8" max="8" width="16" customWidth="1"/>
    <col min="9" max="9" width="12" customWidth="1"/>
    <col min="10" max="10" width="14" customWidth="1"/>
    <col min="11" max="11" width="12" customWidth="1"/>
    <col min="12" max="12" width="8" customWidth="1"/>
    <col min="14" max="14" width="19.42578125" customWidth="1"/>
    <col min="15" max="15" width="17.85546875" customWidth="1"/>
    <col min="16" max="19" width="14" customWidth="1"/>
  </cols>
  <sheetData>
    <row r="1" spans="1:12" ht="21.75" customHeight="1" x14ac:dyDescent="0.2">
      <c r="A1" s="27" t="s">
        <v>182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1.75" customHeight="1" x14ac:dyDescent="0.2">
      <c r="A2" s="28" t="s">
        <v>183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21.75" customHeight="1" x14ac:dyDescent="0.2"/>
    <row r="4" spans="1:12" ht="21.75" customHeight="1" x14ac:dyDescent="0.25">
      <c r="A4" s="1" t="s">
        <v>184</v>
      </c>
    </row>
    <row r="5" spans="1:12" ht="15" customHeight="1" x14ac:dyDescent="0.2">
      <c r="A5" s="17" t="s">
        <v>185</v>
      </c>
      <c r="B5" s="18">
        <f>IFERROR(MAX(Weekly_Inspections!$C$4:$C$996),"")</f>
        <v>14</v>
      </c>
    </row>
    <row r="6" spans="1:12" ht="15" customHeight="1" x14ac:dyDescent="0.2">
      <c r="A6" s="17" t="s">
        <v>186</v>
      </c>
      <c r="B6" s="18" t="str">
        <f>IFERROR(LOOKUP(2,1/(Weekly_Inspections!$D$4:$D$996&lt;&gt;""),Weekly_Inspections!$D$4:$D$996),"")</f>
        <v>2026-03</v>
      </c>
    </row>
    <row r="7" spans="1:12" ht="15" customHeight="1" x14ac:dyDescent="0.2">
      <c r="A7" s="17" t="s">
        <v>187</v>
      </c>
      <c r="B7" s="18" t="str">
        <f>IF($B$6="","",TEXT(EDATE(DATE(VALUE(LEFT($B$6,4)),VALUE(RIGHT($B$6,2)),1),-1),"yyyy-mm"))</f>
        <v>2026-02</v>
      </c>
    </row>
    <row r="9" spans="1:12" ht="33.75" customHeight="1" x14ac:dyDescent="0.2">
      <c r="A9" s="2" t="s">
        <v>3</v>
      </c>
      <c r="B9" s="2" t="s">
        <v>2</v>
      </c>
      <c r="C9" s="2" t="s">
        <v>4</v>
      </c>
      <c r="D9" s="2" t="s">
        <v>188</v>
      </c>
      <c r="E9" s="2" t="s">
        <v>189</v>
      </c>
      <c r="F9" s="2" t="s">
        <v>190</v>
      </c>
      <c r="G9" s="2" t="s">
        <v>191</v>
      </c>
      <c r="H9" s="2" t="s">
        <v>192</v>
      </c>
      <c r="I9" s="2" t="s">
        <v>193</v>
      </c>
      <c r="J9" s="2" t="s">
        <v>194</v>
      </c>
      <c r="K9" s="2" t="s">
        <v>195</v>
      </c>
      <c r="L9" s="2" t="s">
        <v>196</v>
      </c>
    </row>
    <row r="10" spans="1:12" ht="15" customHeight="1" x14ac:dyDescent="0.2">
      <c r="A10" s="19" t="s">
        <v>10</v>
      </c>
      <c r="B10" s="3">
        <f>IFERROR(INDEX(Cluster_Master!$A$4:$A$18,MATCH($A10,Cluster_Master!$B$4:$B$18,0)),"")</f>
        <v>2</v>
      </c>
      <c r="C10" s="3" t="str">
        <f>IFERROR(INDEX(Cluster_Master!$C$4:$C$18,MATCH($A10,Cluster_Master!$B$4:$B$18,0)),"")</f>
        <v>TAJV</v>
      </c>
      <c r="D10" s="4" t="str">
        <f>IF($B$5="","",IFERROR(AVERAGEIFS(Weekly_Inspections!$AJ$4:$AJ$996,Weekly_Inspections!$F$4:$F$996,$A10,Weekly_Inspections!$C$4:$C$996,$B$5),""))</f>
        <v/>
      </c>
      <c r="E10" s="4" t="str">
        <f>IF($B$5="","",IFERROR(AVERAGEIFS(Weekly_Inspections!$AK$4:$AK$996,Weekly_Inspections!$F$4:$F$996,$A10,Weekly_Inspections!$C$4:$C$996,$B$5),""))</f>
        <v/>
      </c>
      <c r="F10" s="3">
        <f>IF($B$5="","",COUNTIFS(Weekly_Inspections!$F$4:$F$996,$A10,Weekly_Inspections!$C$4:$C$996,$B$5,Weekly_Inspections!$AL$4:$AL$996,"YES"))</f>
        <v>0</v>
      </c>
      <c r="G10" s="4" t="str">
        <f>IF($B$6="","",IFERROR(AVERAGEIFS(Weekly_Inspections!$AJ$4:$AJ$996,Weekly_Inspections!$F$4:$F$996,$A10,Weekly_Inspections!$D$4:$D$996,$B$6),""))</f>
        <v/>
      </c>
      <c r="H10" s="4" t="str">
        <f>IF($B$6="","",IFERROR(AVERAGEIFS(Weekly_Inspections!$AK$4:$AK$996,Weekly_Inspections!$F$4:$F$996,$A10,Weekly_Inspections!$D$4:$D$996,$B$6),""))</f>
        <v/>
      </c>
      <c r="I10" s="3">
        <f>IF($B$6="","",COUNTIFS(Weekly_Inspections!$F$4:$F$996,$A10,Weekly_Inspections!$D$4:$D$996,$B$6,Weekly_Inspections!$AL$4:$AL$996,"YES"))</f>
        <v>0</v>
      </c>
      <c r="J10" s="4" t="str">
        <f>IF(OR($B$6="",$B$7=""),"",IFERROR((G10-AVERAGEIFS(Weekly_Inspections!$AJ$4:$AJ$996,Weekly_Inspections!$F$4:$F$996,$A10,Weekly_Inspections!$D$4:$D$996,$B$7))/AVERAGEIFS(Weekly_Inspections!$AJ$4:$AJ$996,Weekly_Inspections!$F$4:$F$996,$A10,Weekly_Inspections!$D$4:$D$996,$B$7),""))</f>
        <v/>
      </c>
      <c r="K10" s="3" t="str">
        <f t="shared" ref="K10:K24" si="0">IF(G10="","",IF(AND(I10=0,G10&gt;=0.75),"YES","NO"))</f>
        <v/>
      </c>
      <c r="L10" s="3" t="str">
        <f t="shared" ref="L10:L24" si="1">IF(G10="","",RANK(G10,$G$10:$G$24,0))</f>
        <v/>
      </c>
    </row>
    <row r="11" spans="1:12" ht="15" customHeight="1" x14ac:dyDescent="0.2">
      <c r="A11" s="19" t="s">
        <v>17</v>
      </c>
      <c r="B11" s="3">
        <f>IFERROR(INDEX(Cluster_Master!$A$4:$A$18,MATCH($A11,Cluster_Master!$B$4:$B$18,0)),"")</f>
        <v>2</v>
      </c>
      <c r="C11" s="3" t="str">
        <f>IFERROR(INDEX(Cluster_Master!$C$4:$C$18,MATCH($A11,Cluster_Master!$B$4:$B$18,0)),"")</f>
        <v>TAJV</v>
      </c>
      <c r="D11" s="4" t="str">
        <f>IF($B$5="","",IFERROR(AVERAGEIFS(Weekly_Inspections!$AJ$4:$AJ$996,Weekly_Inspections!$F$4:$F$996,$A11,Weekly_Inspections!$C$4:$C$996,$B$5),""))</f>
        <v/>
      </c>
      <c r="E11" s="4" t="str">
        <f>IF($B$5="","",IFERROR(AVERAGEIFS(Weekly_Inspections!$AK$4:$AK$996,Weekly_Inspections!$F$4:$F$996,$A11,Weekly_Inspections!$C$4:$C$996,$B$5),""))</f>
        <v/>
      </c>
      <c r="F11" s="3">
        <f>IF($B$5="","",COUNTIFS(Weekly_Inspections!$F$4:$F$996,$A11,Weekly_Inspections!$C$4:$C$996,$B$5,Weekly_Inspections!$AL$4:$AL$996,"YES"))</f>
        <v>0</v>
      </c>
      <c r="G11" s="4" t="str">
        <f>IF($B$6="","",IFERROR(AVERAGEIFS(Weekly_Inspections!$AJ$4:$AJ$996,Weekly_Inspections!$F$4:$F$996,$A11,Weekly_Inspections!$D$4:$D$996,$B$6),""))</f>
        <v/>
      </c>
      <c r="H11" s="4" t="str">
        <f>IF($B$6="","",IFERROR(AVERAGEIFS(Weekly_Inspections!$AK$4:$AK$996,Weekly_Inspections!$F$4:$F$996,$A11,Weekly_Inspections!$D$4:$D$996,$B$6),""))</f>
        <v/>
      </c>
      <c r="I11" s="3">
        <f>IF($B$6="","",COUNTIFS(Weekly_Inspections!$F$4:$F$996,$A11,Weekly_Inspections!$D$4:$D$996,$B$6,Weekly_Inspections!$AL$4:$AL$996,"YES"))</f>
        <v>0</v>
      </c>
      <c r="J11" s="4" t="str">
        <f>IF(OR($B$6="",$B$7=""),"",IFERROR((G11-AVERAGEIFS(Weekly_Inspections!$AJ$4:$AJ$996,Weekly_Inspections!$F$4:$F$996,$A11,Weekly_Inspections!$D$4:$D$996,$B$7))/AVERAGEIFS(Weekly_Inspections!$AJ$4:$AJ$996,Weekly_Inspections!$F$4:$F$996,$A11,Weekly_Inspections!$D$4:$D$996,$B$7),""))</f>
        <v/>
      </c>
      <c r="K11" s="3" t="str">
        <f t="shared" si="0"/>
        <v/>
      </c>
      <c r="L11" s="3" t="str">
        <f t="shared" si="1"/>
        <v/>
      </c>
    </row>
    <row r="12" spans="1:12" ht="15" customHeight="1" x14ac:dyDescent="0.2">
      <c r="A12" s="19" t="s">
        <v>19</v>
      </c>
      <c r="B12" s="3">
        <f>IFERROR(INDEX(Cluster_Master!$A$4:$A$18,MATCH($A12,Cluster_Master!$B$4:$B$18,0)),"")</f>
        <v>2</v>
      </c>
      <c r="C12" s="3" t="str">
        <f>IFERROR(INDEX(Cluster_Master!$C$4:$C$18,MATCH($A12,Cluster_Master!$B$4:$B$18,0)),"")</f>
        <v>TAJV</v>
      </c>
      <c r="D12" s="4" t="str">
        <f>IF($B$5="","",IFERROR(AVERAGEIFS(Weekly_Inspections!$AJ$4:$AJ$996,Weekly_Inspections!$F$4:$F$996,$A12,Weekly_Inspections!$C$4:$C$996,$B$5),""))</f>
        <v/>
      </c>
      <c r="E12" s="4" t="str">
        <f>IF($B$5="","",IFERROR(AVERAGEIFS(Weekly_Inspections!$AK$4:$AK$996,Weekly_Inspections!$F$4:$F$996,$A12,Weekly_Inspections!$C$4:$C$996,$B$5),""))</f>
        <v/>
      </c>
      <c r="F12" s="3">
        <f>IF($B$5="","",COUNTIFS(Weekly_Inspections!$F$4:$F$996,$A12,Weekly_Inspections!$C$4:$C$996,$B$5,Weekly_Inspections!$AL$4:$AL$996,"YES"))</f>
        <v>0</v>
      </c>
      <c r="G12" s="4">
        <f>IF($B$6="","",IFERROR(AVERAGEIFS(Weekly_Inspections!$AJ$4:$AJ$996,Weekly_Inspections!$F$4:$F$996,$A12,Weekly_Inspections!$D$4:$D$996,$B$6),""))</f>
        <v>0.78666666666666663</v>
      </c>
      <c r="H12" s="4">
        <f>IF($B$6="","",IFERROR(AVERAGEIFS(Weekly_Inspections!$AK$4:$AK$996,Weekly_Inspections!$F$4:$F$996,$A12,Weekly_Inspections!$D$4:$D$996,$B$6),""))</f>
        <v>0.79399999999999993</v>
      </c>
      <c r="I12" s="3">
        <f>IF($B$6="","",COUNTIFS(Weekly_Inspections!$F$4:$F$996,$A12,Weekly_Inspections!$D$4:$D$996,$B$6,Weekly_Inspections!$AL$4:$AL$996,"YES"))</f>
        <v>0</v>
      </c>
      <c r="J12" s="4" t="str">
        <f>IF(OR($B$6="",$B$7=""),"",IFERROR((G12-AVERAGEIFS(Weekly_Inspections!$AJ$4:$AJ$996,Weekly_Inspections!$F$4:$F$996,$A12,Weekly_Inspections!$D$4:$D$996,$B$7))/AVERAGEIFS(Weekly_Inspections!$AJ$4:$AJ$996,Weekly_Inspections!$F$4:$F$996,$A12,Weekly_Inspections!$D$4:$D$996,$B$7),""))</f>
        <v/>
      </c>
      <c r="K12" s="3" t="str">
        <f t="shared" si="0"/>
        <v>YES</v>
      </c>
      <c r="L12" s="3">
        <f t="shared" si="1"/>
        <v>1</v>
      </c>
    </row>
    <row r="13" spans="1:12" ht="15" customHeight="1" x14ac:dyDescent="0.2">
      <c r="A13" s="19" t="s">
        <v>21</v>
      </c>
      <c r="B13" s="3">
        <f>IFERROR(INDEX(Cluster_Master!$A$4:$A$18,MATCH($A13,Cluster_Master!$B$4:$B$18,0)),"")</f>
        <v>2</v>
      </c>
      <c r="C13" s="3" t="str">
        <f>IFERROR(INDEX(Cluster_Master!$C$4:$C$18,MATCH($A13,Cluster_Master!$B$4:$B$18,0)),"")</f>
        <v>TAJV</v>
      </c>
      <c r="D13" s="4" t="str">
        <f>IF($B$5="","",IFERROR(AVERAGEIFS(Weekly_Inspections!$AJ$4:$AJ$996,Weekly_Inspections!$F$4:$F$996,$A13,Weekly_Inspections!$C$4:$C$996,$B$5),""))</f>
        <v/>
      </c>
      <c r="E13" s="4" t="str">
        <f>IF($B$5="","",IFERROR(AVERAGEIFS(Weekly_Inspections!$AK$4:$AK$996,Weekly_Inspections!$F$4:$F$996,$A13,Weekly_Inspections!$C$4:$C$996,$B$5),""))</f>
        <v/>
      </c>
      <c r="F13" s="3">
        <f>IF($B$5="","",COUNTIFS(Weekly_Inspections!$F$4:$F$996,$A13,Weekly_Inspections!$C$4:$C$996,$B$5,Weekly_Inspections!$AL$4:$AL$996,"YES"))</f>
        <v>0</v>
      </c>
      <c r="G13" s="4" t="str">
        <f>IF($B$6="","",IFERROR(AVERAGEIFS(Weekly_Inspections!$AJ$4:$AJ$996,Weekly_Inspections!$F$4:$F$996,$A13,Weekly_Inspections!$D$4:$D$996,$B$6),""))</f>
        <v/>
      </c>
      <c r="H13" s="4" t="str">
        <f>IF($B$6="","",IFERROR(AVERAGEIFS(Weekly_Inspections!$AK$4:$AK$996,Weekly_Inspections!$F$4:$F$996,$A13,Weekly_Inspections!$D$4:$D$996,$B$6),""))</f>
        <v/>
      </c>
      <c r="I13" s="3">
        <f>IF($B$6="","",COUNTIFS(Weekly_Inspections!$F$4:$F$996,$A13,Weekly_Inspections!$D$4:$D$996,$B$6,Weekly_Inspections!$AL$4:$AL$996,"YES"))</f>
        <v>0</v>
      </c>
      <c r="J13" s="4" t="str">
        <f>IF(OR($B$6="",$B$7=""),"",IFERROR((G13-AVERAGEIFS(Weekly_Inspections!$AJ$4:$AJ$996,Weekly_Inspections!$F$4:$F$996,$A13,Weekly_Inspections!$D$4:$D$996,$B$7))/AVERAGEIFS(Weekly_Inspections!$AJ$4:$AJ$996,Weekly_Inspections!$F$4:$F$996,$A13,Weekly_Inspections!$D$4:$D$996,$B$7),""))</f>
        <v/>
      </c>
      <c r="K13" s="3" t="str">
        <f t="shared" si="0"/>
        <v/>
      </c>
      <c r="L13" s="3" t="str">
        <f t="shared" si="1"/>
        <v/>
      </c>
    </row>
    <row r="14" spans="1:12" ht="15" customHeight="1" x14ac:dyDescent="0.2">
      <c r="A14" s="19" t="s">
        <v>22</v>
      </c>
      <c r="B14" s="3">
        <f>IFERROR(INDEX(Cluster_Master!$A$4:$A$18,MATCH($A14,Cluster_Master!$B$4:$B$18,0)),"")</f>
        <v>2</v>
      </c>
      <c r="C14" s="3" t="str">
        <f>IFERROR(INDEX(Cluster_Master!$C$4:$C$18,MATCH($A14,Cluster_Master!$B$4:$B$18,0)),"")</f>
        <v>TAJV</v>
      </c>
      <c r="D14" s="4" t="str">
        <f>IF($B$5="","",IFERROR(AVERAGEIFS(Weekly_Inspections!$AJ$4:$AJ$996,Weekly_Inspections!$F$4:$F$996,$A14,Weekly_Inspections!$C$4:$C$996,$B$5),""))</f>
        <v/>
      </c>
      <c r="E14" s="4" t="str">
        <f>IF($B$5="","",IFERROR(AVERAGEIFS(Weekly_Inspections!$AK$4:$AK$996,Weekly_Inspections!$F$4:$F$996,$A14,Weekly_Inspections!$C$4:$C$996,$B$5),""))</f>
        <v/>
      </c>
      <c r="F14" s="3">
        <f>IF($B$5="","",COUNTIFS(Weekly_Inspections!$F$4:$F$996,$A14,Weekly_Inspections!$C$4:$C$996,$B$5,Weekly_Inspections!$AL$4:$AL$996,"YES"))</f>
        <v>0</v>
      </c>
      <c r="G14" s="4" t="str">
        <f>IF($B$6="","",IFERROR(AVERAGEIFS(Weekly_Inspections!$AJ$4:$AJ$996,Weekly_Inspections!$F$4:$F$996,$A14,Weekly_Inspections!$D$4:$D$996,$B$6),""))</f>
        <v/>
      </c>
      <c r="H14" s="4" t="str">
        <f>IF($B$6="","",IFERROR(AVERAGEIFS(Weekly_Inspections!$AK$4:$AK$996,Weekly_Inspections!$F$4:$F$996,$A14,Weekly_Inspections!$D$4:$D$996,$B$6),""))</f>
        <v/>
      </c>
      <c r="I14" s="3">
        <f>IF($B$6="","",COUNTIFS(Weekly_Inspections!$F$4:$F$996,$A14,Weekly_Inspections!$D$4:$D$996,$B$6,Weekly_Inspections!$AL$4:$AL$996,"YES"))</f>
        <v>0</v>
      </c>
      <c r="J14" s="4" t="str">
        <f>IF(OR($B$6="",$B$7=""),"",IFERROR((G14-AVERAGEIFS(Weekly_Inspections!$AJ$4:$AJ$996,Weekly_Inspections!$F$4:$F$996,$A14,Weekly_Inspections!$D$4:$D$996,$B$7))/AVERAGEIFS(Weekly_Inspections!$AJ$4:$AJ$996,Weekly_Inspections!$F$4:$F$996,$A14,Weekly_Inspections!$D$4:$D$996,$B$7),""))</f>
        <v/>
      </c>
      <c r="K14" s="3" t="str">
        <f t="shared" si="0"/>
        <v/>
      </c>
      <c r="L14" s="3" t="str">
        <f t="shared" si="1"/>
        <v/>
      </c>
    </row>
    <row r="15" spans="1:12" ht="15" customHeight="1" x14ac:dyDescent="0.2">
      <c r="A15" s="19" t="s">
        <v>23</v>
      </c>
      <c r="B15" s="3">
        <f>IFERROR(INDEX(Cluster_Master!$A$4:$A$18,MATCH($A15,Cluster_Master!$B$4:$B$18,0)),"")</f>
        <v>2</v>
      </c>
      <c r="C15" s="3" t="str">
        <f>IFERROR(INDEX(Cluster_Master!$C$4:$C$18,MATCH($A15,Cluster_Master!$B$4:$B$18,0)),"")</f>
        <v>TAJV</v>
      </c>
      <c r="D15" s="4" t="str">
        <f>IF($B$5="","",IFERROR(AVERAGEIFS(Weekly_Inspections!$AJ$4:$AJ$996,Weekly_Inspections!$F$4:$F$996,$A15,Weekly_Inspections!$C$4:$C$996,$B$5),""))</f>
        <v/>
      </c>
      <c r="E15" s="4" t="str">
        <f>IF($B$5="","",IFERROR(AVERAGEIFS(Weekly_Inspections!$AK$4:$AK$996,Weekly_Inspections!$F$4:$F$996,$A15,Weekly_Inspections!$C$4:$C$996,$B$5),""))</f>
        <v/>
      </c>
      <c r="F15" s="3">
        <f>IF($B$5="","",COUNTIFS(Weekly_Inspections!$F$4:$F$996,$A15,Weekly_Inspections!$C$4:$C$996,$B$5,Weekly_Inspections!$AL$4:$AL$996,"YES"))</f>
        <v>0</v>
      </c>
      <c r="G15" s="4" t="str">
        <f>IF($B$6="","",IFERROR(AVERAGEIFS(Weekly_Inspections!$AJ$4:$AJ$996,Weekly_Inspections!$F$4:$F$996,$A15,Weekly_Inspections!$D$4:$D$996,$B$6),""))</f>
        <v/>
      </c>
      <c r="H15" s="4" t="str">
        <f>IF($B$6="","",IFERROR(AVERAGEIFS(Weekly_Inspections!$AK$4:$AK$996,Weekly_Inspections!$F$4:$F$996,$A15,Weekly_Inspections!$D$4:$D$996,$B$6),""))</f>
        <v/>
      </c>
      <c r="I15" s="3">
        <f>IF($B$6="","",COUNTIFS(Weekly_Inspections!$F$4:$F$996,$A15,Weekly_Inspections!$D$4:$D$996,$B$6,Weekly_Inspections!$AL$4:$AL$996,"YES"))</f>
        <v>0</v>
      </c>
      <c r="J15" s="4" t="str">
        <f>IF(OR($B$6="",$B$7=""),"",IFERROR((G15-AVERAGEIFS(Weekly_Inspections!$AJ$4:$AJ$996,Weekly_Inspections!$F$4:$F$996,$A15,Weekly_Inspections!$D$4:$D$996,$B$7))/AVERAGEIFS(Weekly_Inspections!$AJ$4:$AJ$996,Weekly_Inspections!$F$4:$F$996,$A15,Weekly_Inspections!$D$4:$D$996,$B$7),""))</f>
        <v/>
      </c>
      <c r="K15" s="3" t="str">
        <f t="shared" si="0"/>
        <v/>
      </c>
      <c r="L15" s="3" t="str">
        <f t="shared" si="1"/>
        <v/>
      </c>
    </row>
    <row r="16" spans="1:12" ht="15" customHeight="1" x14ac:dyDescent="0.2">
      <c r="A16" s="19" t="s">
        <v>24</v>
      </c>
      <c r="B16" s="3">
        <f>IFERROR(INDEX(Cluster_Master!$A$4:$A$18,MATCH($A16,Cluster_Master!$B$4:$B$18,0)),"")</f>
        <v>3</v>
      </c>
      <c r="C16" s="3" t="str">
        <f>IFERROR(INDEX(Cluster_Master!$C$4:$C$18,MATCH($A16,Cluster_Master!$B$4:$B$18,0)),"")</f>
        <v>INNOVO</v>
      </c>
      <c r="D16" s="4" t="str">
        <f>IF($B$5="","",IFERROR(AVERAGEIFS(Weekly_Inspections!$AJ$4:$AJ$996,Weekly_Inspections!$F$4:$F$996,$A16,Weekly_Inspections!$C$4:$C$996,$B$5),""))</f>
        <v/>
      </c>
      <c r="E16" s="4" t="str">
        <f>IF($B$5="","",IFERROR(AVERAGEIFS(Weekly_Inspections!$AK$4:$AK$996,Weekly_Inspections!$F$4:$F$996,$A16,Weekly_Inspections!$C$4:$C$996,$B$5),""))</f>
        <v/>
      </c>
      <c r="F16" s="3">
        <f>IF($B$5="","",COUNTIFS(Weekly_Inspections!$F$4:$F$996,$A16,Weekly_Inspections!$C$4:$C$996,$B$5,Weekly_Inspections!$AL$4:$AL$996,"YES"))</f>
        <v>0</v>
      </c>
      <c r="G16" s="4" t="str">
        <f>IF($B$6="","",IFERROR(AVERAGEIFS(Weekly_Inspections!$AJ$4:$AJ$996,Weekly_Inspections!$F$4:$F$996,$A16,Weekly_Inspections!$D$4:$D$996,$B$6),""))</f>
        <v/>
      </c>
      <c r="H16" s="4" t="str">
        <f>IF($B$6="","",IFERROR(AVERAGEIFS(Weekly_Inspections!$AK$4:$AK$996,Weekly_Inspections!$F$4:$F$996,$A16,Weekly_Inspections!$D$4:$D$996,$B$6),""))</f>
        <v/>
      </c>
      <c r="I16" s="3">
        <f>IF($B$6="","",COUNTIFS(Weekly_Inspections!$F$4:$F$996,$A16,Weekly_Inspections!$D$4:$D$996,$B$6,Weekly_Inspections!$AL$4:$AL$996,"YES"))</f>
        <v>0</v>
      </c>
      <c r="J16" s="4" t="str">
        <f>IF(OR($B$6="",$B$7=""),"",IFERROR((G16-AVERAGEIFS(Weekly_Inspections!$AJ$4:$AJ$996,Weekly_Inspections!$F$4:$F$996,$A16,Weekly_Inspections!$D$4:$D$996,$B$7))/AVERAGEIFS(Weekly_Inspections!$AJ$4:$AJ$996,Weekly_Inspections!$F$4:$F$996,$A16,Weekly_Inspections!$D$4:$D$996,$B$7),""))</f>
        <v/>
      </c>
      <c r="K16" s="3" t="str">
        <f t="shared" si="0"/>
        <v/>
      </c>
      <c r="L16" s="3" t="str">
        <f t="shared" si="1"/>
        <v/>
      </c>
    </row>
    <row r="17" spans="1:12" ht="15" customHeight="1" x14ac:dyDescent="0.2">
      <c r="A17" s="19" t="s">
        <v>30</v>
      </c>
      <c r="B17" s="3">
        <f>IFERROR(INDEX(Cluster_Master!$A$4:$A$18,MATCH($A17,Cluster_Master!$B$4:$B$18,0)),"")</f>
        <v>3</v>
      </c>
      <c r="C17" s="3" t="str">
        <f>IFERROR(INDEX(Cluster_Master!$C$4:$C$18,MATCH($A17,Cluster_Master!$B$4:$B$18,0)),"")</f>
        <v>INNOVO</v>
      </c>
      <c r="D17" s="4">
        <f>IF($B$5="","",IFERROR(AVERAGEIFS(Weekly_Inspections!$AJ$4:$AJ$996,Weekly_Inspections!$F$4:$F$996,$A17,Weekly_Inspections!$C$4:$C$996,$B$5),""))</f>
        <v>0.54666666666666663</v>
      </c>
      <c r="E17" s="4">
        <f>IF($B$5="","",IFERROR(AVERAGEIFS(Weekly_Inspections!$AK$4:$AK$996,Weekly_Inspections!$F$4:$F$996,$A17,Weekly_Inspections!$C$4:$C$996,$B$5),""))</f>
        <v>0.52</v>
      </c>
      <c r="F17" s="3">
        <f>IF($B$5="","",COUNTIFS(Weekly_Inspections!$F$4:$F$996,$A17,Weekly_Inspections!$C$4:$C$996,$B$5,Weekly_Inspections!$AL$4:$AL$996,"YES"))</f>
        <v>1</v>
      </c>
      <c r="G17" s="4">
        <f>IF($B$6="","",IFERROR(AVERAGEIFS(Weekly_Inspections!$AJ$4:$AJ$996,Weekly_Inspections!$F$4:$F$996,$A17,Weekly_Inspections!$D$4:$D$996,$B$6),""))</f>
        <v>0.54666666666666663</v>
      </c>
      <c r="H17" s="4">
        <f>IF($B$6="","",IFERROR(AVERAGEIFS(Weekly_Inspections!$AK$4:$AK$996,Weekly_Inspections!$F$4:$F$996,$A17,Weekly_Inspections!$D$4:$D$996,$B$6),""))</f>
        <v>0.52</v>
      </c>
      <c r="I17" s="3">
        <f>IF($B$6="","",COUNTIFS(Weekly_Inspections!$F$4:$F$996,$A17,Weekly_Inspections!$D$4:$D$996,$B$6,Weekly_Inspections!$AL$4:$AL$996,"YES"))</f>
        <v>1</v>
      </c>
      <c r="J17" s="4" t="str">
        <f>IF(OR($B$6="",$B$7=""),"",IFERROR((G17-AVERAGEIFS(Weekly_Inspections!$AJ$4:$AJ$996,Weekly_Inspections!$F$4:$F$996,$A17,Weekly_Inspections!$D$4:$D$996,$B$7))/AVERAGEIFS(Weekly_Inspections!$AJ$4:$AJ$996,Weekly_Inspections!$F$4:$F$996,$A17,Weekly_Inspections!$D$4:$D$996,$B$7),""))</f>
        <v/>
      </c>
      <c r="K17" s="3" t="str">
        <f t="shared" si="0"/>
        <v>NO</v>
      </c>
      <c r="L17" s="3">
        <f t="shared" si="1"/>
        <v>2</v>
      </c>
    </row>
    <row r="18" spans="1:12" ht="15" customHeight="1" x14ac:dyDescent="0.2">
      <c r="A18" s="19" t="s">
        <v>32</v>
      </c>
      <c r="B18" s="3">
        <f>IFERROR(INDEX(Cluster_Master!$A$4:$A$18,MATCH($A18,Cluster_Master!$B$4:$B$18,0)),"")</f>
        <v>3</v>
      </c>
      <c r="C18" s="3" t="str">
        <f>IFERROR(INDEX(Cluster_Master!$C$4:$C$18,MATCH($A18,Cluster_Master!$B$4:$B$18,0)),"")</f>
        <v>INNOVO</v>
      </c>
      <c r="D18" s="4" t="str">
        <f>IF($B$5="","",IFERROR(AVERAGEIFS(Weekly_Inspections!$AJ$4:$AJ$996,Weekly_Inspections!$F$4:$F$996,$A18,Weekly_Inspections!$C$4:$C$996,$B$5),""))</f>
        <v/>
      </c>
      <c r="E18" s="4" t="str">
        <f>IF($B$5="","",IFERROR(AVERAGEIFS(Weekly_Inspections!$AK$4:$AK$996,Weekly_Inspections!$F$4:$F$996,$A18,Weekly_Inspections!$C$4:$C$996,$B$5),""))</f>
        <v/>
      </c>
      <c r="F18" s="3">
        <f>IF($B$5="","",COUNTIFS(Weekly_Inspections!$F$4:$F$996,$A18,Weekly_Inspections!$C$4:$C$996,$B$5,Weekly_Inspections!$AL$4:$AL$996,"YES"))</f>
        <v>0</v>
      </c>
      <c r="G18" s="4" t="str">
        <f>IF($B$6="","",IFERROR(AVERAGEIFS(Weekly_Inspections!$AJ$4:$AJ$996,Weekly_Inspections!$F$4:$F$996,$A18,Weekly_Inspections!$D$4:$D$996,$B$6),""))</f>
        <v/>
      </c>
      <c r="H18" s="4" t="str">
        <f>IF($B$6="","",IFERROR(AVERAGEIFS(Weekly_Inspections!$AK$4:$AK$996,Weekly_Inspections!$F$4:$F$996,$A18,Weekly_Inspections!$D$4:$D$996,$B$6),""))</f>
        <v/>
      </c>
      <c r="I18" s="3">
        <f>IF($B$6="","",COUNTIFS(Weekly_Inspections!$F$4:$F$996,$A18,Weekly_Inspections!$D$4:$D$996,$B$6,Weekly_Inspections!$AL$4:$AL$996,"YES"))</f>
        <v>0</v>
      </c>
      <c r="J18" s="4" t="str">
        <f>IF(OR($B$6="",$B$7=""),"",IFERROR((G18-AVERAGEIFS(Weekly_Inspections!$AJ$4:$AJ$996,Weekly_Inspections!$F$4:$F$996,$A18,Weekly_Inspections!$D$4:$D$996,$B$7))/AVERAGEIFS(Weekly_Inspections!$AJ$4:$AJ$996,Weekly_Inspections!$F$4:$F$996,$A18,Weekly_Inspections!$D$4:$D$996,$B$7),""))</f>
        <v/>
      </c>
      <c r="K18" s="3" t="str">
        <f t="shared" si="0"/>
        <v/>
      </c>
      <c r="L18" s="3" t="str">
        <f t="shared" si="1"/>
        <v/>
      </c>
    </row>
    <row r="19" spans="1:12" ht="15" customHeight="1" x14ac:dyDescent="0.2">
      <c r="A19" s="19" t="s">
        <v>35</v>
      </c>
      <c r="B19" s="3">
        <f>IFERROR(INDEX(Cluster_Master!$A$4:$A$18,MATCH($A19,Cluster_Master!$B$4:$B$18,0)),"")</f>
        <v>3</v>
      </c>
      <c r="C19" s="3" t="str">
        <f>IFERROR(INDEX(Cluster_Master!$C$4:$C$18,MATCH($A19,Cluster_Master!$B$4:$B$18,0)),"")</f>
        <v>INNOVO</v>
      </c>
      <c r="D19" s="4">
        <f>IF($B$5="","",IFERROR(AVERAGEIFS(Weekly_Inspections!$AJ$4:$AJ$996,Weekly_Inspections!$F$4:$F$996,$A19,Weekly_Inspections!$C$4:$C$996,$B$5),""))</f>
        <v>0.54666666666666663</v>
      </c>
      <c r="E19" s="4">
        <f>IF($B$5="","",IFERROR(AVERAGEIFS(Weekly_Inspections!$AK$4:$AK$996,Weekly_Inspections!$F$4:$F$996,$A19,Weekly_Inspections!$C$4:$C$996,$B$5),""))</f>
        <v>0.52</v>
      </c>
      <c r="F19" s="3">
        <f>IF($B$5="","",COUNTIFS(Weekly_Inspections!$F$4:$F$996,$A19,Weekly_Inspections!$C$4:$C$996,$B$5,Weekly_Inspections!$AL$4:$AL$996,"YES"))</f>
        <v>1</v>
      </c>
      <c r="G19" s="4">
        <f>IF($B$6="","",IFERROR(AVERAGEIFS(Weekly_Inspections!$AJ$4:$AJ$996,Weekly_Inspections!$F$4:$F$996,$A19,Weekly_Inspections!$D$4:$D$996,$B$6),""))</f>
        <v>0.54666666666666663</v>
      </c>
      <c r="H19" s="4">
        <f>IF($B$6="","",IFERROR(AVERAGEIFS(Weekly_Inspections!$AK$4:$AK$996,Weekly_Inspections!$F$4:$F$996,$A19,Weekly_Inspections!$D$4:$D$996,$B$6),""))</f>
        <v>0.52</v>
      </c>
      <c r="I19" s="3">
        <f>IF($B$6="","",COUNTIFS(Weekly_Inspections!$F$4:$F$996,$A19,Weekly_Inspections!$D$4:$D$996,$B$6,Weekly_Inspections!$AL$4:$AL$996,"YES"))</f>
        <v>1</v>
      </c>
      <c r="J19" s="4" t="str">
        <f>IF(OR($B$6="",$B$7=""),"",IFERROR((G19-AVERAGEIFS(Weekly_Inspections!$AJ$4:$AJ$996,Weekly_Inspections!$F$4:$F$996,$A19,Weekly_Inspections!$D$4:$D$996,$B$7))/AVERAGEIFS(Weekly_Inspections!$AJ$4:$AJ$996,Weekly_Inspections!$F$4:$F$996,$A19,Weekly_Inspections!$D$4:$D$996,$B$7),""))</f>
        <v/>
      </c>
      <c r="K19" s="3" t="str">
        <f t="shared" si="0"/>
        <v>NO</v>
      </c>
      <c r="L19" s="3">
        <f t="shared" si="1"/>
        <v>2</v>
      </c>
    </row>
    <row r="20" spans="1:12" ht="15" customHeight="1" x14ac:dyDescent="0.2">
      <c r="A20" s="19" t="s">
        <v>37</v>
      </c>
      <c r="B20" s="3">
        <f>IFERROR(INDEX(Cluster_Master!$A$4:$A$18,MATCH($A20,Cluster_Master!$B$4:$B$18,0)),"")</f>
        <v>4</v>
      </c>
      <c r="C20" s="3" t="str">
        <f>IFERROR(INDEX(Cluster_Master!$C$4:$C$18,MATCH($A20,Cluster_Master!$B$4:$B$18,0)),"")</f>
        <v>TAJV</v>
      </c>
      <c r="D20" s="4">
        <f>IF($B$5="","",IFERROR(AVERAGEIFS(Weekly_Inspections!$AJ$4:$AJ$996,Weekly_Inspections!$F$4:$F$996,$A20,Weekly_Inspections!$C$4:$C$996,$B$5),""))</f>
        <v>0.54666666666666663</v>
      </c>
      <c r="E20" s="4">
        <f>IF($B$5="","",IFERROR(AVERAGEIFS(Weekly_Inspections!$AK$4:$AK$996,Weekly_Inspections!$F$4:$F$996,$A20,Weekly_Inspections!$C$4:$C$996,$B$5),""))</f>
        <v>0.52</v>
      </c>
      <c r="F20" s="3">
        <f>IF($B$5="","",COUNTIFS(Weekly_Inspections!$F$4:$F$996,$A20,Weekly_Inspections!$C$4:$C$996,$B$5,Weekly_Inspections!$AL$4:$AL$996,"YES"))</f>
        <v>1</v>
      </c>
      <c r="G20" s="4">
        <f>IF($B$6="","",IFERROR(AVERAGEIFS(Weekly_Inspections!$AJ$4:$AJ$996,Weekly_Inspections!$F$4:$F$996,$A20,Weekly_Inspections!$D$4:$D$996,$B$6),""))</f>
        <v>0.54666666666666663</v>
      </c>
      <c r="H20" s="4">
        <f>IF($B$6="","",IFERROR(AVERAGEIFS(Weekly_Inspections!$AK$4:$AK$996,Weekly_Inspections!$F$4:$F$996,$A20,Weekly_Inspections!$D$4:$D$996,$B$6),""))</f>
        <v>0.52</v>
      </c>
      <c r="I20" s="3">
        <f>IF($B$6="","",COUNTIFS(Weekly_Inspections!$F$4:$F$996,$A20,Weekly_Inspections!$D$4:$D$996,$B$6,Weekly_Inspections!$AL$4:$AL$996,"YES"))</f>
        <v>1</v>
      </c>
      <c r="J20" s="4" t="str">
        <f>IF(OR($B$6="",$B$7=""),"",IFERROR((G20-AVERAGEIFS(Weekly_Inspections!$AJ$4:$AJ$996,Weekly_Inspections!$F$4:$F$996,$A20,Weekly_Inspections!$D$4:$D$996,$B$7))/AVERAGEIFS(Weekly_Inspections!$AJ$4:$AJ$996,Weekly_Inspections!$F$4:$F$996,$A20,Weekly_Inspections!$D$4:$D$996,$B$7),""))</f>
        <v/>
      </c>
      <c r="K20" s="3" t="str">
        <f t="shared" si="0"/>
        <v>NO</v>
      </c>
      <c r="L20" s="3">
        <f t="shared" si="1"/>
        <v>2</v>
      </c>
    </row>
    <row r="21" spans="1:12" ht="15" customHeight="1" x14ac:dyDescent="0.2">
      <c r="A21" s="19" t="s">
        <v>41</v>
      </c>
      <c r="B21" s="3">
        <f>IFERROR(INDEX(Cluster_Master!$A$4:$A$18,MATCH($A21,Cluster_Master!$B$4:$B$18,0)),"")</f>
        <v>4</v>
      </c>
      <c r="C21" s="3" t="str">
        <f>IFERROR(INDEX(Cluster_Master!$C$4:$C$18,MATCH($A21,Cluster_Master!$B$4:$B$18,0)),"")</f>
        <v>TAJV</v>
      </c>
      <c r="D21" s="4">
        <f>IF($B$5="","",IFERROR(AVERAGEIFS(Weekly_Inspections!$AJ$4:$AJ$996,Weekly_Inspections!$F$4:$F$996,$A21,Weekly_Inspections!$C$4:$C$996,$B$5),""))</f>
        <v>0.54666666666666663</v>
      </c>
      <c r="E21" s="4">
        <f>IF($B$5="","",IFERROR(AVERAGEIFS(Weekly_Inspections!$AK$4:$AK$996,Weekly_Inspections!$F$4:$F$996,$A21,Weekly_Inspections!$C$4:$C$996,$B$5),""))</f>
        <v>0.52</v>
      </c>
      <c r="F21" s="3">
        <f>IF($B$5="","",COUNTIFS(Weekly_Inspections!$F$4:$F$996,$A21,Weekly_Inspections!$C$4:$C$996,$B$5,Weekly_Inspections!$AL$4:$AL$996,"YES"))</f>
        <v>1</v>
      </c>
      <c r="G21" s="4">
        <f>IF($B$6="","",IFERROR(AVERAGEIFS(Weekly_Inspections!$AJ$4:$AJ$996,Weekly_Inspections!$F$4:$F$996,$A21,Weekly_Inspections!$D$4:$D$996,$B$6),""))</f>
        <v>0.54666666666666663</v>
      </c>
      <c r="H21" s="4">
        <f>IF($B$6="","",IFERROR(AVERAGEIFS(Weekly_Inspections!$AK$4:$AK$996,Weekly_Inspections!$F$4:$F$996,$A21,Weekly_Inspections!$D$4:$D$996,$B$6),""))</f>
        <v>0.52</v>
      </c>
      <c r="I21" s="3">
        <f>IF($B$6="","",COUNTIFS(Weekly_Inspections!$F$4:$F$996,$A21,Weekly_Inspections!$D$4:$D$996,$B$6,Weekly_Inspections!$AL$4:$AL$996,"YES"))</f>
        <v>1</v>
      </c>
      <c r="J21" s="4" t="str">
        <f>IF(OR($B$6="",$B$7=""),"",IFERROR((G21-AVERAGEIFS(Weekly_Inspections!$AJ$4:$AJ$996,Weekly_Inspections!$F$4:$F$996,$A21,Weekly_Inspections!$D$4:$D$996,$B$7))/AVERAGEIFS(Weekly_Inspections!$AJ$4:$AJ$996,Weekly_Inspections!$F$4:$F$996,$A21,Weekly_Inspections!$D$4:$D$996,$B$7),""))</f>
        <v/>
      </c>
      <c r="K21" s="3" t="str">
        <f t="shared" si="0"/>
        <v>NO</v>
      </c>
      <c r="L21" s="3">
        <f t="shared" si="1"/>
        <v>2</v>
      </c>
    </row>
    <row r="22" spans="1:12" ht="15" customHeight="1" x14ac:dyDescent="0.2">
      <c r="A22" s="19" t="s">
        <v>44</v>
      </c>
      <c r="B22" s="3">
        <f>IFERROR(INDEX(Cluster_Master!$A$4:$A$18,MATCH($A22,Cluster_Master!$B$4:$B$18,0)),"")</f>
        <v>4</v>
      </c>
      <c r="C22" s="3" t="str">
        <f>IFERROR(INDEX(Cluster_Master!$C$4:$C$18,MATCH($A22,Cluster_Master!$B$4:$B$18,0)),"")</f>
        <v>TAJV</v>
      </c>
      <c r="D22" s="4" t="str">
        <f>IF($B$5="","",IFERROR(AVERAGEIFS(Weekly_Inspections!$AJ$4:$AJ$996,Weekly_Inspections!$F$4:$F$996,$A22,Weekly_Inspections!$C$4:$C$996,$B$5),""))</f>
        <v/>
      </c>
      <c r="E22" s="4" t="str">
        <f>IF($B$5="","",IFERROR(AVERAGEIFS(Weekly_Inspections!$AK$4:$AK$996,Weekly_Inspections!$F$4:$F$996,$A22,Weekly_Inspections!$C$4:$C$996,$B$5),""))</f>
        <v/>
      </c>
      <c r="F22" s="3">
        <f>IF($B$5="","",COUNTIFS(Weekly_Inspections!$F$4:$F$996,$A22,Weekly_Inspections!$C$4:$C$996,$B$5,Weekly_Inspections!$AL$4:$AL$996,"YES"))</f>
        <v>0</v>
      </c>
      <c r="G22" s="4">
        <f>IF($B$6="","",IFERROR(AVERAGEIFS(Weekly_Inspections!$AJ$4:$AJ$996,Weekly_Inspections!$F$4:$F$996,$A22,Weekly_Inspections!$D$4:$D$996,$B$6),""))</f>
        <v>0.38666666666666666</v>
      </c>
      <c r="H22" s="4">
        <f>IF($B$6="","",IFERROR(AVERAGEIFS(Weekly_Inspections!$AK$4:$AK$996,Weekly_Inspections!$F$4:$F$996,$A22,Weekly_Inspections!$D$4:$D$996,$B$6),""))</f>
        <v>0.39</v>
      </c>
      <c r="I22" s="3">
        <f>IF($B$6="","",COUNTIFS(Weekly_Inspections!$F$4:$F$996,$A22,Weekly_Inspections!$D$4:$D$996,$B$6,Weekly_Inspections!$AL$4:$AL$996,"YES"))</f>
        <v>1</v>
      </c>
      <c r="J22" s="4" t="str">
        <f>IF(OR($B$6="",$B$7=""),"",IFERROR((G22-AVERAGEIFS(Weekly_Inspections!$AJ$4:$AJ$996,Weekly_Inspections!$F$4:$F$996,$A22,Weekly_Inspections!$D$4:$D$996,$B$7))/AVERAGEIFS(Weekly_Inspections!$AJ$4:$AJ$996,Weekly_Inspections!$F$4:$F$996,$A22,Weekly_Inspections!$D$4:$D$996,$B$7),""))</f>
        <v/>
      </c>
      <c r="K22" s="3" t="str">
        <f t="shared" si="0"/>
        <v>NO</v>
      </c>
      <c r="L22" s="3">
        <f t="shared" si="1"/>
        <v>6</v>
      </c>
    </row>
    <row r="23" spans="1:12" ht="15" customHeight="1" x14ac:dyDescent="0.2">
      <c r="A23" s="19" t="s">
        <v>47</v>
      </c>
      <c r="B23" s="3">
        <f>IFERROR(INDEX(Cluster_Master!$A$4:$A$18,MATCH($A23,Cluster_Master!$B$4:$B$18,0)),"")</f>
        <v>4</v>
      </c>
      <c r="C23" s="3" t="str">
        <f>IFERROR(INDEX(Cluster_Master!$C$4:$C$18,MATCH($A23,Cluster_Master!$B$4:$B$18,0)),"")</f>
        <v>TAJV</v>
      </c>
      <c r="D23" s="4" t="str">
        <f>IF($B$5="","",IFERROR(AVERAGEIFS(Weekly_Inspections!$AJ$4:$AJ$996,Weekly_Inspections!$F$4:$F$996,$A23,Weekly_Inspections!$C$4:$C$996,$B$5),""))</f>
        <v/>
      </c>
      <c r="E23" s="4" t="str">
        <f>IF($B$5="","",IFERROR(AVERAGEIFS(Weekly_Inspections!$AK$4:$AK$996,Weekly_Inspections!$F$4:$F$996,$A23,Weekly_Inspections!$C$4:$C$996,$B$5),""))</f>
        <v/>
      </c>
      <c r="F23" s="3">
        <f>IF($B$5="","",COUNTIFS(Weekly_Inspections!$F$4:$F$996,$A23,Weekly_Inspections!$C$4:$C$996,$B$5,Weekly_Inspections!$AL$4:$AL$996,"YES"))</f>
        <v>0</v>
      </c>
      <c r="G23" s="4" t="str">
        <f>IF($B$6="","",IFERROR(AVERAGEIFS(Weekly_Inspections!$AJ$4:$AJ$996,Weekly_Inspections!$F$4:$F$996,$A23,Weekly_Inspections!$D$4:$D$996,$B$6),""))</f>
        <v/>
      </c>
      <c r="H23" s="4" t="str">
        <f>IF($B$6="","",IFERROR(AVERAGEIFS(Weekly_Inspections!$AK$4:$AK$996,Weekly_Inspections!$F$4:$F$996,$A23,Weekly_Inspections!$D$4:$D$996,$B$6),""))</f>
        <v/>
      </c>
      <c r="I23" s="3">
        <f>IF($B$6="","",COUNTIFS(Weekly_Inspections!$F$4:$F$996,$A23,Weekly_Inspections!$D$4:$D$996,$B$6,Weekly_Inspections!$AL$4:$AL$996,"YES"))</f>
        <v>0</v>
      </c>
      <c r="J23" s="4" t="str">
        <f>IF(OR($B$6="",$B$7=""),"",IFERROR((G23-AVERAGEIFS(Weekly_Inspections!$AJ$4:$AJ$996,Weekly_Inspections!$F$4:$F$996,$A23,Weekly_Inspections!$D$4:$D$996,$B$7))/AVERAGEIFS(Weekly_Inspections!$AJ$4:$AJ$996,Weekly_Inspections!$F$4:$F$996,$A23,Weekly_Inspections!$D$4:$D$996,$B$7),""))</f>
        <v/>
      </c>
      <c r="K23" s="3" t="str">
        <f t="shared" si="0"/>
        <v/>
      </c>
      <c r="L23" s="3" t="str">
        <f t="shared" si="1"/>
        <v/>
      </c>
    </row>
    <row r="24" spans="1:12" ht="15" customHeight="1" x14ac:dyDescent="0.2">
      <c r="A24" s="19" t="s">
        <v>48</v>
      </c>
      <c r="B24" s="3">
        <f>IFERROR(INDEX(Cluster_Master!$A$4:$A$18,MATCH($A24,Cluster_Master!$B$4:$B$18,0)),"")</f>
        <v>4</v>
      </c>
      <c r="C24" s="3" t="str">
        <f>IFERROR(INDEX(Cluster_Master!$C$4:$C$18,MATCH($A24,Cluster_Master!$B$4:$B$18,0)),"")</f>
        <v>TAJV</v>
      </c>
      <c r="D24" s="4" t="str">
        <f>IF($B$5="","",IFERROR(AVERAGEIFS(Weekly_Inspections!$AJ$4:$AJ$996,Weekly_Inspections!$F$4:$F$996,$A24,Weekly_Inspections!$C$4:$C$996,$B$5),""))</f>
        <v/>
      </c>
      <c r="E24" s="4" t="str">
        <f>IF($B$5="","",IFERROR(AVERAGEIFS(Weekly_Inspections!$AK$4:$AK$996,Weekly_Inspections!$F$4:$F$996,$A24,Weekly_Inspections!$C$4:$C$996,$B$5),""))</f>
        <v/>
      </c>
      <c r="F24" s="3">
        <f>IF($B$5="","",COUNTIFS(Weekly_Inspections!$F$4:$F$996,$A24,Weekly_Inspections!$C$4:$C$996,$B$5,Weekly_Inspections!$AL$4:$AL$996,"YES"))</f>
        <v>0</v>
      </c>
      <c r="G24" s="4" t="str">
        <f>IF($B$6="","",IFERROR(AVERAGEIFS(Weekly_Inspections!$AJ$4:$AJ$996,Weekly_Inspections!$F$4:$F$996,$A24,Weekly_Inspections!$D$4:$D$996,$B$6),""))</f>
        <v/>
      </c>
      <c r="H24" s="4" t="str">
        <f>IF($B$6="","",IFERROR(AVERAGEIFS(Weekly_Inspections!$AK$4:$AK$996,Weekly_Inspections!$F$4:$F$996,$A24,Weekly_Inspections!$D$4:$D$996,$B$6),""))</f>
        <v/>
      </c>
      <c r="I24" s="3">
        <f>IF($B$6="","",COUNTIFS(Weekly_Inspections!$F$4:$F$996,$A24,Weekly_Inspections!$D$4:$D$996,$B$6,Weekly_Inspections!$AL$4:$AL$996,"YES"))</f>
        <v>0</v>
      </c>
      <c r="J24" s="4" t="str">
        <f>IF(OR($B$6="",$B$7=""),"",IFERROR((G24-AVERAGEIFS(Weekly_Inspections!$AJ$4:$AJ$996,Weekly_Inspections!$F$4:$F$996,$A24,Weekly_Inspections!$D$4:$D$996,$B$7))/AVERAGEIFS(Weekly_Inspections!$AJ$4:$AJ$996,Weekly_Inspections!$F$4:$F$996,$A24,Weekly_Inspections!$D$4:$D$996,$B$7),""))</f>
        <v/>
      </c>
      <c r="K24" s="3" t="str">
        <f t="shared" si="0"/>
        <v/>
      </c>
      <c r="L24" s="3" t="str">
        <f t="shared" si="1"/>
        <v/>
      </c>
    </row>
    <row r="27" spans="1:12" ht="15" customHeight="1" x14ac:dyDescent="0.25">
      <c r="A27" s="1" t="s">
        <v>197</v>
      </c>
    </row>
    <row r="28" spans="1:12" ht="33.75" customHeight="1" x14ac:dyDescent="0.2">
      <c r="A28" s="2" t="s">
        <v>113</v>
      </c>
      <c r="B28" s="2" t="s">
        <v>198</v>
      </c>
      <c r="C28" s="2" t="s">
        <v>199</v>
      </c>
      <c r="D28" s="2" t="s">
        <v>200</v>
      </c>
      <c r="E28" s="2" t="s">
        <v>201</v>
      </c>
      <c r="F28" s="2"/>
      <c r="G28" s="2" t="s">
        <v>202</v>
      </c>
      <c r="H28" s="2" t="s">
        <v>203</v>
      </c>
      <c r="I28" s="2" t="s">
        <v>204</v>
      </c>
    </row>
    <row r="29" spans="1:12" ht="15" customHeight="1" x14ac:dyDescent="0.2">
      <c r="A29" s="19" t="s">
        <v>66</v>
      </c>
      <c r="B29" s="3">
        <f>IF($B$5="","",IFERROR(AVERAGEIFS(Weekly_Inspections!$T$4:$T$499,Weekly_Inspections!$C$4:$C$499,$B$5),""))</f>
        <v>3</v>
      </c>
      <c r="C29" s="3">
        <f>IF($B$6="","",IFERROR(AVERAGEIFS(Weekly_Inspections!$T$4:$T$499,Weekly_Inspections!$D$4:$D$499,$B$6),""))</f>
        <v>3</v>
      </c>
      <c r="D29" s="3">
        <f t="shared" ref="D29:D43" si="2">IF(B29="","",5-B29)</f>
        <v>2</v>
      </c>
      <c r="E29" s="3">
        <f t="shared" ref="E29:E43" si="3">IF(C29="","",5-C29)</f>
        <v>2</v>
      </c>
      <c r="G29" s="19" t="s">
        <v>64</v>
      </c>
      <c r="H29" s="3">
        <f>IF($B$5="","",COUNTIFS(Weekly_Inspections!$AP$4:$AP$499,$G29,Weekly_Inspections!$C$4:$C$499,$B$5))</f>
        <v>0</v>
      </c>
      <c r="I29" s="3">
        <f>IF($B$6="","",COUNTIFS(Weekly_Inspections!$AP$4:$AP$499,$G29,Weekly_Inspections!$D$4:$D$499,$B$6))</f>
        <v>1</v>
      </c>
    </row>
    <row r="30" spans="1:12" ht="15" customHeight="1" x14ac:dyDescent="0.2">
      <c r="A30" s="19" t="s">
        <v>68</v>
      </c>
      <c r="B30" s="3">
        <f>IF($B$5="","",IFERROR(AVERAGEIFS(Weekly_Inspections!$U$4:$U$499,Weekly_Inspections!$C$4:$C$499,$B$5),""))</f>
        <v>2</v>
      </c>
      <c r="C30" s="3">
        <f>IF($B$6="","",IFERROR(AVERAGEIFS(Weekly_Inspections!$U$4:$U$499,Weekly_Inspections!$D$4:$D$499,$B$6),""))</f>
        <v>2.3333333333333335</v>
      </c>
      <c r="D30" s="3">
        <f t="shared" si="2"/>
        <v>3</v>
      </c>
      <c r="E30" s="3">
        <f t="shared" si="3"/>
        <v>2.6666666666666665</v>
      </c>
      <c r="G30" s="19" t="s">
        <v>70</v>
      </c>
      <c r="H30" s="3">
        <f>IF($B$5="","",COUNTIFS(Weekly_Inspections!$AP$4:$AP$499,$G30,Weekly_Inspections!$C$4:$C$499,$B$5))</f>
        <v>4</v>
      </c>
      <c r="I30" s="3">
        <f>IF($B$6="","",COUNTIFS(Weekly_Inspections!$AP$4:$AP$499,$G30,Weekly_Inspections!$D$4:$D$499,$B$6))</f>
        <v>4</v>
      </c>
    </row>
    <row r="31" spans="1:12" ht="15" customHeight="1" x14ac:dyDescent="0.2">
      <c r="A31" s="19" t="s">
        <v>76</v>
      </c>
      <c r="B31" s="3">
        <f>IF($B$5="","",IFERROR(AVERAGEIFS(Weekly_Inspections!$V$4:$V$499,Weekly_Inspections!$C$4:$C$499,$B$5),""))</f>
        <v>3</v>
      </c>
      <c r="C31" s="3">
        <f>IF($B$6="","",IFERROR(AVERAGEIFS(Weekly_Inspections!$V$4:$V$499,Weekly_Inspections!$D$4:$D$499,$B$6),""))</f>
        <v>3.1666666666666665</v>
      </c>
      <c r="D31" s="3">
        <f t="shared" si="2"/>
        <v>2</v>
      </c>
      <c r="E31" s="3">
        <f t="shared" si="3"/>
        <v>1.8333333333333335</v>
      </c>
      <c r="G31" s="19" t="s">
        <v>74</v>
      </c>
      <c r="H31" s="3">
        <f>IF($B$5="","",COUNTIFS(Weekly_Inspections!$AP$4:$AP$499,$G31,Weekly_Inspections!$C$4:$C$499,$B$5))</f>
        <v>0</v>
      </c>
      <c r="I31" s="3">
        <f>IF($B$6="","",COUNTIFS(Weekly_Inspections!$AP$4:$AP$499,$G31,Weekly_Inspections!$D$4:$D$499,$B$6))</f>
        <v>0</v>
      </c>
    </row>
    <row r="32" spans="1:12" ht="15" customHeight="1" x14ac:dyDescent="0.2">
      <c r="A32" s="19" t="s">
        <v>81</v>
      </c>
      <c r="B32" s="3">
        <f>IF($B$5="","",IFERROR(AVERAGEIFS(Weekly_Inspections!$W$4:$W$499,Weekly_Inspections!$C$4:$C$499,$B$5),""))</f>
        <v>3</v>
      </c>
      <c r="C32" s="3">
        <f>IF($B$6="","",IFERROR(AVERAGEIFS(Weekly_Inspections!$W$4:$W$499,Weekly_Inspections!$D$4:$D$499,$B$6),""))</f>
        <v>3.1666666666666665</v>
      </c>
      <c r="D32" s="3">
        <f t="shared" si="2"/>
        <v>2</v>
      </c>
      <c r="E32" s="3">
        <f t="shared" si="3"/>
        <v>1.8333333333333335</v>
      </c>
      <c r="G32" s="19" t="s">
        <v>79</v>
      </c>
      <c r="H32" s="3">
        <f>IF($B$5="","",COUNTIFS(Weekly_Inspections!$AP$4:$AP$499,$G32,Weekly_Inspections!$C$4:$C$499,$B$5))</f>
        <v>0</v>
      </c>
      <c r="I32" s="3">
        <f>IF($B$6="","",COUNTIFS(Weekly_Inspections!$AP$4:$AP$499,$G32,Weekly_Inspections!$D$4:$D$499,$B$6))</f>
        <v>0</v>
      </c>
    </row>
    <row r="33" spans="1:9" ht="15" customHeight="1" x14ac:dyDescent="0.2">
      <c r="A33" s="19" t="s">
        <v>85</v>
      </c>
      <c r="B33" s="3">
        <f>IF($B$5="","",IFERROR(AVERAGEIFS(Weekly_Inspections!$X$4:$X$499,Weekly_Inspections!$C$4:$C$499,$B$5),""))</f>
        <v>2</v>
      </c>
      <c r="C33" s="3">
        <f>IF($B$6="","",IFERROR(AVERAGEIFS(Weekly_Inspections!$X$4:$X$499,Weekly_Inspections!$D$4:$D$499,$B$6),""))</f>
        <v>2.3333333333333335</v>
      </c>
      <c r="D33" s="3">
        <f t="shared" si="2"/>
        <v>3</v>
      </c>
      <c r="E33" s="3">
        <f t="shared" si="3"/>
        <v>2.6666666666666665</v>
      </c>
      <c r="G33" s="19" t="s">
        <v>84</v>
      </c>
      <c r="H33" s="3">
        <f>IF($B$5="","",COUNTIFS(Weekly_Inspections!$AP$4:$AP$499,$G33,Weekly_Inspections!$C$4:$C$499,$B$5))</f>
        <v>0</v>
      </c>
      <c r="I33" s="3">
        <f>IF($B$6="","",COUNTIFS(Weekly_Inspections!$AP$4:$AP$499,$G33,Weekly_Inspections!$D$4:$D$499,$B$6))</f>
        <v>0</v>
      </c>
    </row>
    <row r="34" spans="1:9" ht="34.5" customHeight="1" x14ac:dyDescent="0.2">
      <c r="A34" s="19" t="s">
        <v>89</v>
      </c>
      <c r="B34" s="3">
        <f>IF($B$5="","",IFERROR(AVERAGEIFS(Weekly_Inspections!$Y$4:$Y$499,Weekly_Inspections!$C$4:$C$499,$B$5),""))</f>
        <v>4</v>
      </c>
      <c r="C34" s="3">
        <f>IF($B$6="","",IFERROR(AVERAGEIFS(Weekly_Inspections!$Y$4:$Y$499,Weekly_Inspections!$D$4:$D$499,$B$6),""))</f>
        <v>3.8333333333333335</v>
      </c>
      <c r="D34" s="3">
        <f t="shared" si="2"/>
        <v>1</v>
      </c>
      <c r="E34" s="3">
        <f t="shared" si="3"/>
        <v>1.1666666666666665</v>
      </c>
      <c r="G34" s="19" t="s">
        <v>88</v>
      </c>
      <c r="H34" s="3">
        <f>IF($B$5="","",COUNTIFS(Weekly_Inspections!$AP$4:$AP$499,$G34,Weekly_Inspections!$C$4:$C$499,$B$5))</f>
        <v>0</v>
      </c>
      <c r="I34" s="3">
        <f>IF($B$6="","",COUNTIFS(Weekly_Inspections!$AP$4:$AP$499,$G34,Weekly_Inspections!$D$4:$D$499,$B$6))</f>
        <v>0</v>
      </c>
    </row>
    <row r="35" spans="1:9" ht="23.25" customHeight="1" x14ac:dyDescent="0.2">
      <c r="A35" s="19" t="s">
        <v>92</v>
      </c>
      <c r="B35" s="3">
        <f>IF($B$5="","",IFERROR(AVERAGEIFS(Weekly_Inspections!$Z$4:$Z$499,Weekly_Inspections!$C$4:$C$499,$B$5),""))</f>
        <v>3</v>
      </c>
      <c r="C35" s="3">
        <f>IF($B$6="","",IFERROR(AVERAGEIFS(Weekly_Inspections!$Z$4:$Z$499,Weekly_Inspections!$D$4:$D$499,$B$6),""))</f>
        <v>2.8333333333333335</v>
      </c>
      <c r="D35" s="3">
        <f t="shared" si="2"/>
        <v>2</v>
      </c>
      <c r="E35" s="3">
        <f t="shared" si="3"/>
        <v>2.1666666666666665</v>
      </c>
      <c r="G35" s="19" t="s">
        <v>91</v>
      </c>
      <c r="H35" s="3">
        <f>IF($B$5="","",COUNTIFS(Weekly_Inspections!$AP$4:$AP$499,$G35,Weekly_Inspections!$C$4:$C$499,$B$5))</f>
        <v>0</v>
      </c>
      <c r="I35" s="3">
        <f>IF($B$6="","",COUNTIFS(Weekly_Inspections!$AP$4:$AP$499,$G35,Weekly_Inspections!$D$4:$D$499,$B$6))</f>
        <v>0</v>
      </c>
    </row>
    <row r="36" spans="1:9" ht="23.25" customHeight="1" x14ac:dyDescent="0.2">
      <c r="A36" s="19" t="s">
        <v>96</v>
      </c>
      <c r="B36" s="3">
        <f>IF($B$5="","",IFERROR(AVERAGEIFS(Weekly_Inspections!$AA$4:$AA$499,Weekly_Inspections!$C$4:$C$499,$B$5),""))</f>
        <v>5</v>
      </c>
      <c r="C36" s="3">
        <f>IF($B$6="","",IFERROR(AVERAGEIFS(Weekly_Inspections!$AA$4:$AA$499,Weekly_Inspections!$D$4:$D$499,$B$6),""))</f>
        <v>4.5</v>
      </c>
      <c r="D36" s="3">
        <f t="shared" si="2"/>
        <v>0</v>
      </c>
      <c r="E36" s="3">
        <f t="shared" si="3"/>
        <v>0.5</v>
      </c>
      <c r="G36" s="19" t="s">
        <v>95</v>
      </c>
      <c r="H36" s="3">
        <f>IF($B$5="","",COUNTIFS(Weekly_Inspections!$AP$4:$AP$499,$G36,Weekly_Inspections!$C$4:$C$499,$B$5))</f>
        <v>0</v>
      </c>
      <c r="I36" s="3">
        <f>IF($B$6="","",COUNTIFS(Weekly_Inspections!$AP$4:$AP$499,$G36,Weekly_Inspections!$D$4:$D$499,$B$6))</f>
        <v>0</v>
      </c>
    </row>
    <row r="37" spans="1:9" ht="34.5" customHeight="1" x14ac:dyDescent="0.2">
      <c r="A37" s="19" t="s">
        <v>249</v>
      </c>
      <c r="B37" s="3">
        <f>IF($B$5="","",IFERROR(AVERAGEIFS(Weekly_Inspections!$AB$4:$AB$499,Weekly_Inspections!$C$4:$C$499,$B$5),""))</f>
        <v>1</v>
      </c>
      <c r="C37" s="3">
        <f>IF($B$6="","",IFERROR(AVERAGEIFS(Weekly_Inspections!$AB$4:$AB$499,Weekly_Inspections!$D$4:$D$499,$B$6),""))</f>
        <v>1.6</v>
      </c>
      <c r="D37" s="3">
        <f t="shared" si="2"/>
        <v>4</v>
      </c>
      <c r="E37" s="3">
        <f t="shared" si="3"/>
        <v>3.4</v>
      </c>
      <c r="G37" s="19" t="s">
        <v>99</v>
      </c>
      <c r="H37" s="3">
        <f>IF($B$5="","",COUNTIFS(Weekly_Inspections!$AP$4:$AP$499,$G37,Weekly_Inspections!$C$4:$C$499,$B$5))</f>
        <v>0</v>
      </c>
      <c r="I37" s="3">
        <f>IF($B$6="","",COUNTIFS(Weekly_Inspections!$AP$4:$AP$499,$G37,Weekly_Inspections!$D$4:$D$499,$B$6))</f>
        <v>0</v>
      </c>
    </row>
    <row r="38" spans="1:9" ht="34.5" customHeight="1" x14ac:dyDescent="0.2">
      <c r="A38" s="19" t="s">
        <v>102</v>
      </c>
      <c r="B38" s="3">
        <f>IF($B$5="","",IFERROR(AVERAGEIFS(Weekly_Inspections!$AC$4:$AC$499,Weekly_Inspections!$C$4:$C$499,$B$5),""))</f>
        <v>2</v>
      </c>
      <c r="C38" s="3">
        <f>IF($B$6="","",IFERROR(AVERAGEIFS(Weekly_Inspections!$AC$4:$AC$499,Weekly_Inspections!$D$4:$D$499,$B$6),""))</f>
        <v>2.5</v>
      </c>
      <c r="D38" s="3">
        <f t="shared" si="2"/>
        <v>3</v>
      </c>
      <c r="E38" s="3">
        <f t="shared" si="3"/>
        <v>2.5</v>
      </c>
      <c r="G38" s="19" t="s">
        <v>101</v>
      </c>
      <c r="H38" s="3">
        <f>IF($B$5="","",COUNTIFS(Weekly_Inspections!$AP$4:$AP$499,$G38,Weekly_Inspections!$C$4:$C$499,$B$5))</f>
        <v>0</v>
      </c>
      <c r="I38" s="3">
        <f>IF($B$6="","",COUNTIFS(Weekly_Inspections!$AP$4:$AP$499,$G38,Weekly_Inspections!$D$4:$D$499,$B$6))</f>
        <v>0</v>
      </c>
    </row>
    <row r="39" spans="1:9" ht="15" customHeight="1" x14ac:dyDescent="0.2">
      <c r="A39" s="19" t="s">
        <v>251</v>
      </c>
      <c r="B39" s="3">
        <f>IF($B$5="","",IFERROR(AVERAGEIFS(Weekly_Inspections!$AD$4:$AD$499,Weekly_Inspections!$C$4:$C$499,$B$5),""))</f>
        <v>4</v>
      </c>
      <c r="C39" s="3">
        <f>IF($B$6="","",IFERROR(AVERAGEIFS(Weekly_Inspections!$AD$4:$AD$499,Weekly_Inspections!$D$4:$D$499,$B$6),""))</f>
        <v>3.5</v>
      </c>
      <c r="D39" s="3">
        <f t="shared" si="2"/>
        <v>1</v>
      </c>
      <c r="E39" s="3">
        <f t="shared" si="3"/>
        <v>1.5</v>
      </c>
      <c r="G39" s="19" t="s">
        <v>97</v>
      </c>
      <c r="H39" s="3">
        <f>IF($B$5="","",COUNTIFS(Weekly_Inspections!$AP$4:$AP$499,$G39,Weekly_Inspections!$C$4:$C$499,$B$5))</f>
        <v>0</v>
      </c>
      <c r="I39" s="3">
        <f>IF($B$6="","",COUNTIFS(Weekly_Inspections!$AP$4:$AP$499,$G39,Weekly_Inspections!$D$4:$D$499,$B$6))</f>
        <v>1</v>
      </c>
    </row>
    <row r="40" spans="1:9" ht="15" customHeight="1" x14ac:dyDescent="0.2">
      <c r="A40" s="19" t="s">
        <v>250</v>
      </c>
      <c r="B40" s="3">
        <f>IF($B$5="","",IFERROR(AVERAGEIFS(Weekly_Inspections!$AE$4:$AE$499,Weekly_Inspections!$C$4:$C$499,$B$5),""))</f>
        <v>2</v>
      </c>
      <c r="C40" s="3">
        <f>IF($B$6="","",IFERROR(AVERAGEIFS(Weekly_Inspections!$AE$4:$AE$499,Weekly_Inspections!$D$4:$D$499,$B$6),""))</f>
        <v>2</v>
      </c>
      <c r="D40" s="3">
        <f t="shared" si="2"/>
        <v>3</v>
      </c>
      <c r="E40" s="3">
        <f t="shared" si="3"/>
        <v>3</v>
      </c>
    </row>
    <row r="41" spans="1:9" ht="15" customHeight="1" x14ac:dyDescent="0.2">
      <c r="A41" s="19" t="s">
        <v>105</v>
      </c>
      <c r="B41" s="3">
        <f>IF($B$5="","",IFERROR(AVERAGEIFS(Weekly_Inspections!$AF$4:$AF$499,Weekly_Inspections!$C$4:$C$499,$B$5),""))</f>
        <v>3</v>
      </c>
      <c r="C41" s="3">
        <f>IF($B$6="","",IFERROR(AVERAGEIFS(Weekly_Inspections!$AF$4:$AF$499,Weekly_Inspections!$D$4:$D$499,$B$6),""))</f>
        <v>3</v>
      </c>
      <c r="D41" s="3">
        <f t="shared" si="2"/>
        <v>2</v>
      </c>
      <c r="E41" s="3">
        <f t="shared" si="3"/>
        <v>2</v>
      </c>
    </row>
    <row r="42" spans="1:9" ht="23.25" customHeight="1" x14ac:dyDescent="0.2">
      <c r="A42" s="19" t="s">
        <v>108</v>
      </c>
      <c r="B42" s="3">
        <f>IF($B$5="","",IFERROR(AVERAGEIFS(Weekly_Inspections!$AG$4:$AG$499,Weekly_Inspections!$C$4:$C$499,$B$5),""))</f>
        <v>1</v>
      </c>
      <c r="C42" s="3">
        <f>IF($B$6="","",IFERROR(AVERAGEIFS(Weekly_Inspections!$AG$4:$AG$499,Weekly_Inspections!$D$4:$D$499,$B$6),""))</f>
        <v>1.5</v>
      </c>
      <c r="D42" s="3">
        <f t="shared" si="2"/>
        <v>4</v>
      </c>
      <c r="E42" s="3">
        <f t="shared" si="3"/>
        <v>3.5</v>
      </c>
    </row>
    <row r="43" spans="1:9" ht="23.25" customHeight="1" x14ac:dyDescent="0.2">
      <c r="A43" s="19" t="s">
        <v>110</v>
      </c>
      <c r="B43" s="3">
        <f>IF($B$5="","",IFERROR(AVERAGEIFS(Weekly_Inspections!$AH$4:$AH$499,Weekly_Inspections!$C$4:$C$499,$B$5),""))</f>
        <v>3</v>
      </c>
      <c r="C43" s="3">
        <f>IF($B$6="","",IFERROR(AVERAGEIFS(Weekly_Inspections!$AH$4:$AH$499,Weekly_Inspections!$D$4:$D$499,$B$6),""))</f>
        <v>3</v>
      </c>
      <c r="D43" s="3">
        <f t="shared" si="2"/>
        <v>2</v>
      </c>
      <c r="E43" s="3">
        <f t="shared" si="3"/>
        <v>2</v>
      </c>
    </row>
  </sheetData>
  <mergeCells count="2">
    <mergeCell ref="A1:L1"/>
    <mergeCell ref="A2:L2"/>
  </mergeCells>
  <conditionalFormatting sqref="D10:H24">
    <cfRule type="colorScale" priority="2">
      <colorScale>
        <cfvo type="num" val="0"/>
        <cfvo type="num" val="0.75"/>
        <cfvo type="num" val="1"/>
        <color rgb="FFF8696B"/>
        <color rgb="FFFFEB84"/>
        <color rgb="FF63BE7B"/>
      </colorScale>
    </cfRule>
  </conditionalFormatting>
  <conditionalFormatting sqref="I10:I24">
    <cfRule type="cellIs" dxfId="15" priority="4" operator="greaterThan">
      <formula>0</formula>
    </cfRule>
  </conditionalFormatting>
  <conditionalFormatting sqref="K10:K24">
    <cfRule type="expression" dxfId="14" priority="3">
      <formula>K10="YES"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showGridLines="0" zoomScaleNormal="100" workbookViewId="0">
      <pane ySplit="1" topLeftCell="A11" activePane="bottomLeft" state="frozen"/>
      <selection pane="bottomLeft" activeCell="E27" sqref="E27"/>
    </sheetView>
  </sheetViews>
  <sheetFormatPr defaultColWidth="8.5703125" defaultRowHeight="15" customHeight="1" x14ac:dyDescent="0.2"/>
  <cols>
    <col min="1" max="1" width="20" customWidth="1"/>
    <col min="2" max="2" width="10" customWidth="1"/>
    <col min="3" max="4" width="14" customWidth="1"/>
    <col min="5" max="5" width="16" customWidth="1"/>
    <col min="6" max="6" width="10" customWidth="1"/>
    <col min="7" max="7" width="16" customWidth="1"/>
    <col min="8" max="8" width="12" customWidth="1"/>
    <col min="9" max="9" width="8" customWidth="1"/>
    <col min="10" max="10" width="12" customWidth="1"/>
    <col min="11" max="11" width="14" customWidth="1"/>
    <col min="13" max="20" width="14" customWidth="1"/>
  </cols>
  <sheetData>
    <row r="1" spans="1:11" ht="21.75" customHeight="1" x14ac:dyDescent="0.2">
      <c r="A1" s="27" t="s">
        <v>205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21.75" customHeight="1" x14ac:dyDescent="0.2">
      <c r="A2" s="28" t="s">
        <v>206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21.75" customHeight="1" x14ac:dyDescent="0.2"/>
    <row r="4" spans="1:11" ht="21.75" customHeight="1" x14ac:dyDescent="0.2">
      <c r="A4" s="17" t="s">
        <v>186</v>
      </c>
      <c r="B4" s="20" t="str">
        <f>IFERROR(LOOKUP(2,1/(Weekly_Inspections!$D$4:$D$996&lt;&gt;""),Weekly_Inspections!$D$4:$D$996),"")</f>
        <v>2026-03</v>
      </c>
    </row>
    <row r="5" spans="1:11" ht="15" customHeight="1" x14ac:dyDescent="0.2">
      <c r="A5" s="17" t="s">
        <v>187</v>
      </c>
      <c r="B5" s="20" t="str">
        <f>IF($B$4="","",TEXT(EDATE(DATE(VALUE(LEFT($B$4,4)),VALUE(RIGHT($B$4,2)),1),-1),"yyyy-mm"))</f>
        <v>2026-02</v>
      </c>
    </row>
    <row r="7" spans="1:11" ht="33.75" customHeight="1" x14ac:dyDescent="0.2">
      <c r="A7" s="2" t="s">
        <v>3</v>
      </c>
      <c r="B7" s="2" t="s">
        <v>2</v>
      </c>
      <c r="C7" s="2" t="s">
        <v>4</v>
      </c>
      <c r="D7" s="2" t="s">
        <v>191</v>
      </c>
      <c r="E7" s="2" t="s">
        <v>192</v>
      </c>
      <c r="F7" s="2" t="s">
        <v>207</v>
      </c>
      <c r="G7" s="2" t="s">
        <v>208</v>
      </c>
      <c r="H7" s="2" t="s">
        <v>195</v>
      </c>
      <c r="I7" s="2" t="s">
        <v>196</v>
      </c>
      <c r="J7" s="2" t="s">
        <v>209</v>
      </c>
      <c r="K7" s="2" t="s">
        <v>210</v>
      </c>
    </row>
    <row r="8" spans="1:11" ht="15" customHeight="1" x14ac:dyDescent="0.2">
      <c r="A8" s="19" t="s">
        <v>10</v>
      </c>
      <c r="B8" s="3">
        <f>IFERROR(INDEX(Cluster_Master!$A$4:$A$18,MATCH($A8,Cluster_Master!$B$4:$B$18,0)),"")</f>
        <v>2</v>
      </c>
      <c r="C8" s="3" t="str">
        <f>IFERROR(INDEX(Cluster_Master!$C$4:$C$18,MATCH($A8,Cluster_Master!$B$4:$B$18,0)),"")</f>
        <v>TAJV</v>
      </c>
      <c r="D8" s="4" t="str">
        <f>IF($B$4="","",IFERROR(AVERAGEIFS(Weekly_Inspections!$AJ$4:$AJ$996,Weekly_Inspections!$F$4:$F$996,$A8,Weekly_Inspections!$D$4:$D$996,$B$4),""))</f>
        <v/>
      </c>
      <c r="E8" s="4" t="str">
        <f>IF($B$4="","",IFERROR(AVERAGEIFS(Weekly_Inspections!$AK$4:$AK$996,Weekly_Inspections!$F$4:$F$996,$A8,Weekly_Inspections!$D$4:$D$996,$B$4),""))</f>
        <v/>
      </c>
      <c r="F8" s="3">
        <f>IF($B$4="","",COUNTIFS(Weekly_Inspections!$F$4:$F$996,$A8,Weekly_Inspections!$D$4:$D$996,$B$4,Weekly_Inspections!$AL$4:$AL$996,"YES"))</f>
        <v>0</v>
      </c>
      <c r="G8" s="4" t="str">
        <f>IF(OR($B$4="",$B$5=""),"",IFERROR((D8-AVERAGEIFS(Weekly_Inspections!$AJ$4:$AJ$996,Weekly_Inspections!$F$4:$F$996,$A8,Weekly_Inspections!$D$4:$D$996,$B$5))/AVERAGEIFS(Weekly_Inspections!$AJ$4:$AJ$996,Weekly_Inspections!$F$4:$F$996,$A8,Weekly_Inspections!$D$4:$D$996,$B$5),""))</f>
        <v/>
      </c>
      <c r="H8" s="3" t="str">
        <f t="shared" ref="H8:H22" si="0">IF(D8="","",IF(AND(F8=0,D8&gt;=0.75),"YES","NO"))</f>
        <v/>
      </c>
      <c r="I8" s="3" t="str">
        <f t="shared" ref="I8:I22" si="1">IF(D8="","",RANK(D8,$D$8:$D$22,0))</f>
        <v/>
      </c>
      <c r="J8" s="3">
        <f>COUNTIFS(CAPA_Tracker!$D$4:$D$996,$A8,CAPA_Tracker!$M$4:$M$996,"&lt;&gt;Closed",CAPA_Tracker!$M$4:$M$996,"&lt;&gt;")</f>
        <v>0</v>
      </c>
      <c r="K8" s="3">
        <f>COUNTIFS(CAPA_Tracker!$D$4:$D$996,$A8,CAPA_Tracker!$P$4:$P$996,"YES")</f>
        <v>0</v>
      </c>
    </row>
    <row r="9" spans="1:11" ht="15" customHeight="1" x14ac:dyDescent="0.2">
      <c r="A9" s="19" t="s">
        <v>17</v>
      </c>
      <c r="B9" s="3">
        <f>IFERROR(INDEX(Cluster_Master!$A$4:$A$18,MATCH($A9,Cluster_Master!$B$4:$B$18,0)),"")</f>
        <v>2</v>
      </c>
      <c r="C9" s="3" t="str">
        <f>IFERROR(INDEX(Cluster_Master!$C$4:$C$18,MATCH($A9,Cluster_Master!$B$4:$B$18,0)),"")</f>
        <v>TAJV</v>
      </c>
      <c r="D9" s="4" t="str">
        <f>IF($B$4="","",IFERROR(AVERAGEIFS(Weekly_Inspections!$AJ$4:$AJ$996,Weekly_Inspections!$F$4:$F$996,$A9,Weekly_Inspections!$D$4:$D$996,$B$4),""))</f>
        <v/>
      </c>
      <c r="E9" s="4" t="str">
        <f>IF($B$4="","",IFERROR(AVERAGEIFS(Weekly_Inspections!$AK$4:$AK$996,Weekly_Inspections!$F$4:$F$996,$A9,Weekly_Inspections!$D$4:$D$996,$B$4),""))</f>
        <v/>
      </c>
      <c r="F9" s="3">
        <f>IF($B$4="","",COUNTIFS(Weekly_Inspections!$F$4:$F$996,$A9,Weekly_Inspections!$D$4:$D$996,$B$4,Weekly_Inspections!$AL$4:$AL$996,"YES"))</f>
        <v>0</v>
      </c>
      <c r="G9" s="4" t="str">
        <f>IF(OR($B$4="",$B$5=""),"",IFERROR((D9-AVERAGEIFS(Weekly_Inspections!$AJ$4:$AJ$996,Weekly_Inspections!$F$4:$F$996,$A9,Weekly_Inspections!$D$4:$D$996,$B$5))/AVERAGEIFS(Weekly_Inspections!$AJ$4:$AJ$996,Weekly_Inspections!$F$4:$F$996,$A9,Weekly_Inspections!$D$4:$D$996,$B$5),""))</f>
        <v/>
      </c>
      <c r="H9" s="3" t="str">
        <f t="shared" si="0"/>
        <v/>
      </c>
      <c r="I9" s="3" t="str">
        <f t="shared" si="1"/>
        <v/>
      </c>
      <c r="J9" s="3">
        <f>COUNTIFS(CAPA_Tracker!$D$4:$D$996,$A9,CAPA_Tracker!$M$4:$M$996,"&lt;&gt;Closed",CAPA_Tracker!$M$4:$M$996,"&lt;&gt;")</f>
        <v>0</v>
      </c>
      <c r="K9" s="3">
        <f>COUNTIFS(CAPA_Tracker!$D$4:$D$996,$A9,CAPA_Tracker!$P$4:$P$996,"YES")</f>
        <v>0</v>
      </c>
    </row>
    <row r="10" spans="1:11" ht="15" customHeight="1" x14ac:dyDescent="0.2">
      <c r="A10" s="19" t="s">
        <v>19</v>
      </c>
      <c r="B10" s="3">
        <f>IFERROR(INDEX(Cluster_Master!$A$4:$A$18,MATCH($A10,Cluster_Master!$B$4:$B$18,0)),"")</f>
        <v>2</v>
      </c>
      <c r="C10" s="3" t="str">
        <f>IFERROR(INDEX(Cluster_Master!$C$4:$C$18,MATCH($A10,Cluster_Master!$B$4:$B$18,0)),"")</f>
        <v>TAJV</v>
      </c>
      <c r="D10" s="4">
        <f>IF($B$4="","",IFERROR(AVERAGEIFS(Weekly_Inspections!$AJ$4:$AJ$996,Weekly_Inspections!$F$4:$F$996,$A10,Weekly_Inspections!$D$4:$D$996,$B$4),""))</f>
        <v>0.78666666666666663</v>
      </c>
      <c r="E10" s="4">
        <f>IF($B$4="","",IFERROR(AVERAGEIFS(Weekly_Inspections!$AK$4:$AK$996,Weekly_Inspections!$F$4:$F$996,$A10,Weekly_Inspections!$D$4:$D$996,$B$4),""))</f>
        <v>0.79399999999999993</v>
      </c>
      <c r="F10" s="3">
        <f>IF($B$4="","",COUNTIFS(Weekly_Inspections!$F$4:$F$996,$A10,Weekly_Inspections!$D$4:$D$996,$B$4,Weekly_Inspections!$AL$4:$AL$996,"YES"))</f>
        <v>0</v>
      </c>
      <c r="G10" s="4" t="str">
        <f>IF(OR($B$4="",$B$5=""),"",IFERROR((D10-AVERAGEIFS(Weekly_Inspections!$AJ$4:$AJ$996,Weekly_Inspections!$F$4:$F$996,$A10,Weekly_Inspections!$D$4:$D$996,$B$5))/AVERAGEIFS(Weekly_Inspections!$AJ$4:$AJ$996,Weekly_Inspections!$F$4:$F$996,$A10,Weekly_Inspections!$D$4:$D$996,$B$5),""))</f>
        <v/>
      </c>
      <c r="H10" s="3" t="str">
        <f t="shared" si="0"/>
        <v>YES</v>
      </c>
      <c r="I10" s="3">
        <f t="shared" si="1"/>
        <v>1</v>
      </c>
      <c r="J10" s="3">
        <f>COUNTIFS(CAPA_Tracker!$D$4:$D$996,$A10,CAPA_Tracker!$M$4:$M$996,"&lt;&gt;Closed",CAPA_Tracker!$M$4:$M$996,"&lt;&gt;")</f>
        <v>1</v>
      </c>
      <c r="K10" s="3">
        <f ca="1">COUNTIFS(CAPA_Tracker!$D$4:$D$996,$A10,CAPA_Tracker!$P$4:$P$996,"YES")</f>
        <v>0</v>
      </c>
    </row>
    <row r="11" spans="1:11" ht="15" customHeight="1" x14ac:dyDescent="0.2">
      <c r="A11" s="19" t="s">
        <v>21</v>
      </c>
      <c r="B11" s="3">
        <f>IFERROR(INDEX(Cluster_Master!$A$4:$A$18,MATCH($A11,Cluster_Master!$B$4:$B$18,0)),"")</f>
        <v>2</v>
      </c>
      <c r="C11" s="3" t="str">
        <f>IFERROR(INDEX(Cluster_Master!$C$4:$C$18,MATCH($A11,Cluster_Master!$B$4:$B$18,0)),"")</f>
        <v>TAJV</v>
      </c>
      <c r="D11" s="4" t="str">
        <f>IF($B$4="","",IFERROR(AVERAGEIFS(Weekly_Inspections!$AJ$4:$AJ$996,Weekly_Inspections!$F$4:$F$996,$A11,Weekly_Inspections!$D$4:$D$996,$B$4),""))</f>
        <v/>
      </c>
      <c r="E11" s="4" t="str">
        <f>IF($B$4="","",IFERROR(AVERAGEIFS(Weekly_Inspections!$AK$4:$AK$996,Weekly_Inspections!$F$4:$F$996,$A11,Weekly_Inspections!$D$4:$D$996,$B$4),""))</f>
        <v/>
      </c>
      <c r="F11" s="3">
        <f>IF($B$4="","",COUNTIFS(Weekly_Inspections!$F$4:$F$996,$A11,Weekly_Inspections!$D$4:$D$996,$B$4,Weekly_Inspections!$AL$4:$AL$996,"YES"))</f>
        <v>0</v>
      </c>
      <c r="G11" s="4" t="str">
        <f>IF(OR($B$4="",$B$5=""),"",IFERROR((D11-AVERAGEIFS(Weekly_Inspections!$AJ$4:$AJ$996,Weekly_Inspections!$F$4:$F$996,$A11,Weekly_Inspections!$D$4:$D$996,$B$5))/AVERAGEIFS(Weekly_Inspections!$AJ$4:$AJ$996,Weekly_Inspections!$F$4:$F$996,$A11,Weekly_Inspections!$D$4:$D$996,$B$5),""))</f>
        <v/>
      </c>
      <c r="H11" s="3" t="str">
        <f t="shared" si="0"/>
        <v/>
      </c>
      <c r="I11" s="3" t="str">
        <f t="shared" si="1"/>
        <v/>
      </c>
      <c r="J11" s="3">
        <f>COUNTIFS(CAPA_Tracker!$D$4:$D$996,$A11,CAPA_Tracker!$M$4:$M$996,"&lt;&gt;Closed",CAPA_Tracker!$M$4:$M$996,"&lt;&gt;")</f>
        <v>0</v>
      </c>
      <c r="K11" s="3">
        <f>COUNTIFS(CAPA_Tracker!$D$4:$D$996,$A11,CAPA_Tracker!$P$4:$P$996,"YES")</f>
        <v>0</v>
      </c>
    </row>
    <row r="12" spans="1:11" ht="15" customHeight="1" x14ac:dyDescent="0.2">
      <c r="A12" s="19" t="s">
        <v>22</v>
      </c>
      <c r="B12" s="3">
        <f>IFERROR(INDEX(Cluster_Master!$A$4:$A$18,MATCH($A12,Cluster_Master!$B$4:$B$18,0)),"")</f>
        <v>2</v>
      </c>
      <c r="C12" s="3" t="str">
        <f>IFERROR(INDEX(Cluster_Master!$C$4:$C$18,MATCH($A12,Cluster_Master!$B$4:$B$18,0)),"")</f>
        <v>TAJV</v>
      </c>
      <c r="D12" s="4" t="str">
        <f>IF($B$4="","",IFERROR(AVERAGEIFS(Weekly_Inspections!$AJ$4:$AJ$996,Weekly_Inspections!$F$4:$F$996,$A12,Weekly_Inspections!$D$4:$D$996,$B$4),""))</f>
        <v/>
      </c>
      <c r="E12" s="4" t="str">
        <f>IF($B$4="","",IFERROR(AVERAGEIFS(Weekly_Inspections!$AK$4:$AK$996,Weekly_Inspections!$F$4:$F$996,$A12,Weekly_Inspections!$D$4:$D$996,$B$4),""))</f>
        <v/>
      </c>
      <c r="F12" s="3">
        <f>IF($B$4="","",COUNTIFS(Weekly_Inspections!$F$4:$F$996,$A12,Weekly_Inspections!$D$4:$D$996,$B$4,Weekly_Inspections!$AL$4:$AL$996,"YES"))</f>
        <v>0</v>
      </c>
      <c r="G12" s="4" t="str">
        <f>IF(OR($B$4="",$B$5=""),"",IFERROR((D12-AVERAGEIFS(Weekly_Inspections!$AJ$4:$AJ$996,Weekly_Inspections!$F$4:$F$996,$A12,Weekly_Inspections!$D$4:$D$996,$B$5))/AVERAGEIFS(Weekly_Inspections!$AJ$4:$AJ$996,Weekly_Inspections!$F$4:$F$996,$A12,Weekly_Inspections!$D$4:$D$996,$B$5),""))</f>
        <v/>
      </c>
      <c r="H12" s="3" t="str">
        <f t="shared" si="0"/>
        <v/>
      </c>
      <c r="I12" s="3" t="str">
        <f t="shared" si="1"/>
        <v/>
      </c>
      <c r="J12" s="3">
        <f>COUNTIFS(CAPA_Tracker!$D$4:$D$996,$A12,CAPA_Tracker!$M$4:$M$996,"&lt;&gt;Closed",CAPA_Tracker!$M$4:$M$996,"&lt;&gt;")</f>
        <v>0</v>
      </c>
      <c r="K12" s="3">
        <f>COUNTIFS(CAPA_Tracker!$D$4:$D$996,$A12,CAPA_Tracker!$P$4:$P$996,"YES")</f>
        <v>0</v>
      </c>
    </row>
    <row r="13" spans="1:11" ht="15" customHeight="1" x14ac:dyDescent="0.2">
      <c r="A13" s="19" t="s">
        <v>23</v>
      </c>
      <c r="B13" s="3">
        <f>IFERROR(INDEX(Cluster_Master!$A$4:$A$18,MATCH($A13,Cluster_Master!$B$4:$B$18,0)),"")</f>
        <v>2</v>
      </c>
      <c r="C13" s="3" t="str">
        <f>IFERROR(INDEX(Cluster_Master!$C$4:$C$18,MATCH($A13,Cluster_Master!$B$4:$B$18,0)),"")</f>
        <v>TAJV</v>
      </c>
      <c r="D13" s="4" t="str">
        <f>IF($B$4="","",IFERROR(AVERAGEIFS(Weekly_Inspections!$AJ$4:$AJ$996,Weekly_Inspections!$F$4:$F$996,$A13,Weekly_Inspections!$D$4:$D$996,$B$4),""))</f>
        <v/>
      </c>
      <c r="E13" s="4" t="str">
        <f>IF($B$4="","",IFERROR(AVERAGEIFS(Weekly_Inspections!$AK$4:$AK$996,Weekly_Inspections!$F$4:$F$996,$A13,Weekly_Inspections!$D$4:$D$996,$B$4),""))</f>
        <v/>
      </c>
      <c r="F13" s="3">
        <f>IF($B$4="","",COUNTIFS(Weekly_Inspections!$F$4:$F$996,$A13,Weekly_Inspections!$D$4:$D$996,$B$4,Weekly_Inspections!$AL$4:$AL$996,"YES"))</f>
        <v>0</v>
      </c>
      <c r="G13" s="4" t="str">
        <f>IF(OR($B$4="",$B$5=""),"",IFERROR((D13-AVERAGEIFS(Weekly_Inspections!$AJ$4:$AJ$996,Weekly_Inspections!$F$4:$F$996,$A13,Weekly_Inspections!$D$4:$D$996,$B$5))/AVERAGEIFS(Weekly_Inspections!$AJ$4:$AJ$996,Weekly_Inspections!$F$4:$F$996,$A13,Weekly_Inspections!$D$4:$D$996,$B$5),""))</f>
        <v/>
      </c>
      <c r="H13" s="3" t="str">
        <f t="shared" si="0"/>
        <v/>
      </c>
      <c r="I13" s="3" t="str">
        <f t="shared" si="1"/>
        <v/>
      </c>
      <c r="J13" s="3">
        <f>COUNTIFS(CAPA_Tracker!$D$4:$D$996,$A13,CAPA_Tracker!$M$4:$M$996,"&lt;&gt;Closed",CAPA_Tracker!$M$4:$M$996,"&lt;&gt;")</f>
        <v>0</v>
      </c>
      <c r="K13" s="3">
        <f>COUNTIFS(CAPA_Tracker!$D$4:$D$996,$A13,CAPA_Tracker!$P$4:$P$996,"YES")</f>
        <v>0</v>
      </c>
    </row>
    <row r="14" spans="1:11" ht="15" customHeight="1" x14ac:dyDescent="0.2">
      <c r="A14" s="19" t="s">
        <v>24</v>
      </c>
      <c r="B14" s="3">
        <f>IFERROR(INDEX(Cluster_Master!$A$4:$A$18,MATCH($A14,Cluster_Master!$B$4:$B$18,0)),"")</f>
        <v>3</v>
      </c>
      <c r="C14" s="3" t="str">
        <f>IFERROR(INDEX(Cluster_Master!$C$4:$C$18,MATCH($A14,Cluster_Master!$B$4:$B$18,0)),"")</f>
        <v>INNOVO</v>
      </c>
      <c r="D14" s="4" t="str">
        <f>IF($B$4="","",IFERROR(AVERAGEIFS(Weekly_Inspections!$AJ$4:$AJ$996,Weekly_Inspections!$F$4:$F$996,$A14,Weekly_Inspections!$D$4:$D$996,$B$4),""))</f>
        <v/>
      </c>
      <c r="E14" s="4" t="str">
        <f>IF($B$4="","",IFERROR(AVERAGEIFS(Weekly_Inspections!$AK$4:$AK$996,Weekly_Inspections!$F$4:$F$996,$A14,Weekly_Inspections!$D$4:$D$996,$B$4),""))</f>
        <v/>
      </c>
      <c r="F14" s="3">
        <f>IF($B$4="","",COUNTIFS(Weekly_Inspections!$F$4:$F$996,$A14,Weekly_Inspections!$D$4:$D$996,$B$4,Weekly_Inspections!$AL$4:$AL$996,"YES"))</f>
        <v>0</v>
      </c>
      <c r="G14" s="4" t="str">
        <f>IF(OR($B$4="",$B$5=""),"",IFERROR((D14-AVERAGEIFS(Weekly_Inspections!$AJ$4:$AJ$996,Weekly_Inspections!$F$4:$F$996,$A14,Weekly_Inspections!$D$4:$D$996,$B$5))/AVERAGEIFS(Weekly_Inspections!$AJ$4:$AJ$996,Weekly_Inspections!$F$4:$F$996,$A14,Weekly_Inspections!$D$4:$D$996,$B$5),""))</f>
        <v/>
      </c>
      <c r="H14" s="3" t="str">
        <f t="shared" si="0"/>
        <v/>
      </c>
      <c r="I14" s="3" t="str">
        <f t="shared" si="1"/>
        <v/>
      </c>
      <c r="J14" s="3">
        <f>COUNTIFS(CAPA_Tracker!$D$4:$D$996,$A14,CAPA_Tracker!$M$4:$M$996,"&lt;&gt;Closed",CAPA_Tracker!$M$4:$M$996,"&lt;&gt;")</f>
        <v>0</v>
      </c>
      <c r="K14" s="3">
        <f>COUNTIFS(CAPA_Tracker!$D$4:$D$996,$A14,CAPA_Tracker!$P$4:$P$996,"YES")</f>
        <v>0</v>
      </c>
    </row>
    <row r="15" spans="1:11" ht="15" customHeight="1" x14ac:dyDescent="0.2">
      <c r="A15" s="19" t="s">
        <v>30</v>
      </c>
      <c r="B15" s="3">
        <f>IFERROR(INDEX(Cluster_Master!$A$4:$A$18,MATCH($A15,Cluster_Master!$B$4:$B$18,0)),"")</f>
        <v>3</v>
      </c>
      <c r="C15" s="3" t="str">
        <f>IFERROR(INDEX(Cluster_Master!$C$4:$C$18,MATCH($A15,Cluster_Master!$B$4:$B$18,0)),"")</f>
        <v>INNOVO</v>
      </c>
      <c r="D15" s="4">
        <f>IF($B$4="","",IFERROR(AVERAGEIFS(Weekly_Inspections!$AJ$4:$AJ$996,Weekly_Inspections!$F$4:$F$996,$A15,Weekly_Inspections!$D$4:$D$996,$B$4),""))</f>
        <v>0.54666666666666663</v>
      </c>
      <c r="E15" s="4">
        <f>IF($B$4="","",IFERROR(AVERAGEIFS(Weekly_Inspections!$AK$4:$AK$996,Weekly_Inspections!$F$4:$F$996,$A15,Weekly_Inspections!$D$4:$D$996,$B$4),""))</f>
        <v>0.52</v>
      </c>
      <c r="F15" s="3">
        <f>IF($B$4="","",COUNTIFS(Weekly_Inspections!$F$4:$F$996,$A15,Weekly_Inspections!$D$4:$D$996,$B$4,Weekly_Inspections!$AL$4:$AL$996,"YES"))</f>
        <v>1</v>
      </c>
      <c r="G15" s="4" t="str">
        <f>IF(OR($B$4="",$B$5=""),"",IFERROR((D15-AVERAGEIFS(Weekly_Inspections!$AJ$4:$AJ$996,Weekly_Inspections!$F$4:$F$996,$A15,Weekly_Inspections!$D$4:$D$996,$B$5))/AVERAGEIFS(Weekly_Inspections!$AJ$4:$AJ$996,Weekly_Inspections!$F$4:$F$996,$A15,Weekly_Inspections!$D$4:$D$996,$B$5),""))</f>
        <v/>
      </c>
      <c r="H15" s="3" t="str">
        <f t="shared" si="0"/>
        <v>NO</v>
      </c>
      <c r="I15" s="3">
        <f t="shared" si="1"/>
        <v>2</v>
      </c>
      <c r="J15" s="3">
        <f>COUNTIFS(CAPA_Tracker!$D$4:$D$996,$A15,CAPA_Tracker!$M$4:$M$996,"&lt;&gt;Closed",CAPA_Tracker!$M$4:$M$996,"&lt;&gt;")</f>
        <v>1</v>
      </c>
      <c r="K15" s="3">
        <f ca="1">COUNTIFS(CAPA_Tracker!$D$4:$D$996,$A15,CAPA_Tracker!$P$4:$P$996,"YES")</f>
        <v>1</v>
      </c>
    </row>
    <row r="16" spans="1:11" ht="15" customHeight="1" x14ac:dyDescent="0.2">
      <c r="A16" s="19" t="s">
        <v>32</v>
      </c>
      <c r="B16" s="3">
        <f>IFERROR(INDEX(Cluster_Master!$A$4:$A$18,MATCH($A16,Cluster_Master!$B$4:$B$18,0)),"")</f>
        <v>3</v>
      </c>
      <c r="C16" s="3" t="str">
        <f>IFERROR(INDEX(Cluster_Master!$C$4:$C$18,MATCH($A16,Cluster_Master!$B$4:$B$18,0)),"")</f>
        <v>INNOVO</v>
      </c>
      <c r="D16" s="4" t="str">
        <f>IF($B$4="","",IFERROR(AVERAGEIFS(Weekly_Inspections!$AJ$4:$AJ$996,Weekly_Inspections!$F$4:$F$996,$A16,Weekly_Inspections!$D$4:$D$996,$B$4),""))</f>
        <v/>
      </c>
      <c r="E16" s="4" t="str">
        <f>IF($B$4="","",IFERROR(AVERAGEIFS(Weekly_Inspections!$AK$4:$AK$996,Weekly_Inspections!$F$4:$F$996,$A16,Weekly_Inspections!$D$4:$D$996,$B$4),""))</f>
        <v/>
      </c>
      <c r="F16" s="3">
        <f>IF($B$4="","",COUNTIFS(Weekly_Inspections!$F$4:$F$996,$A16,Weekly_Inspections!$D$4:$D$996,$B$4,Weekly_Inspections!$AL$4:$AL$996,"YES"))</f>
        <v>0</v>
      </c>
      <c r="G16" s="4" t="str">
        <f>IF(OR($B$4="",$B$5=""),"",IFERROR((D16-AVERAGEIFS(Weekly_Inspections!$AJ$4:$AJ$996,Weekly_Inspections!$F$4:$F$996,$A16,Weekly_Inspections!$D$4:$D$996,$B$5))/AVERAGEIFS(Weekly_Inspections!$AJ$4:$AJ$996,Weekly_Inspections!$F$4:$F$996,$A16,Weekly_Inspections!$D$4:$D$996,$B$5),""))</f>
        <v/>
      </c>
      <c r="H16" s="3" t="str">
        <f t="shared" si="0"/>
        <v/>
      </c>
      <c r="I16" s="3" t="str">
        <f t="shared" si="1"/>
        <v/>
      </c>
      <c r="J16" s="3">
        <f>COUNTIFS(CAPA_Tracker!$D$4:$D$996,$A16,CAPA_Tracker!$M$4:$M$996,"&lt;&gt;Closed",CAPA_Tracker!$M$4:$M$996,"&lt;&gt;")</f>
        <v>0</v>
      </c>
      <c r="K16" s="3">
        <f>COUNTIFS(CAPA_Tracker!$D$4:$D$996,$A16,CAPA_Tracker!$P$4:$P$996,"YES")</f>
        <v>0</v>
      </c>
    </row>
    <row r="17" spans="1:11" ht="15" customHeight="1" x14ac:dyDescent="0.2">
      <c r="A17" s="19" t="s">
        <v>35</v>
      </c>
      <c r="B17" s="3">
        <f>IFERROR(INDEX(Cluster_Master!$A$4:$A$18,MATCH($A17,Cluster_Master!$B$4:$B$18,0)),"")</f>
        <v>3</v>
      </c>
      <c r="C17" s="3" t="str">
        <f>IFERROR(INDEX(Cluster_Master!$C$4:$C$18,MATCH($A17,Cluster_Master!$B$4:$B$18,0)),"")</f>
        <v>INNOVO</v>
      </c>
      <c r="D17" s="4">
        <f>IF($B$4="","",IFERROR(AVERAGEIFS(Weekly_Inspections!$AJ$4:$AJ$996,Weekly_Inspections!$F$4:$F$996,$A17,Weekly_Inspections!$D$4:$D$996,$B$4),""))</f>
        <v>0.54666666666666663</v>
      </c>
      <c r="E17" s="4">
        <f>IF($B$4="","",IFERROR(AVERAGEIFS(Weekly_Inspections!$AK$4:$AK$996,Weekly_Inspections!$F$4:$F$996,$A17,Weekly_Inspections!$D$4:$D$996,$B$4),""))</f>
        <v>0.52</v>
      </c>
      <c r="F17" s="3">
        <f>IF($B$4="","",COUNTIFS(Weekly_Inspections!$F$4:$F$996,$A17,Weekly_Inspections!$D$4:$D$996,$B$4,Weekly_Inspections!$AL$4:$AL$996,"YES"))</f>
        <v>1</v>
      </c>
      <c r="G17" s="4" t="str">
        <f>IF(OR($B$4="",$B$5=""),"",IFERROR((D17-AVERAGEIFS(Weekly_Inspections!$AJ$4:$AJ$996,Weekly_Inspections!$F$4:$F$996,$A17,Weekly_Inspections!$D$4:$D$996,$B$5))/AVERAGEIFS(Weekly_Inspections!$AJ$4:$AJ$996,Weekly_Inspections!$F$4:$F$996,$A17,Weekly_Inspections!$D$4:$D$996,$B$5),""))</f>
        <v/>
      </c>
      <c r="H17" s="3" t="str">
        <f t="shared" si="0"/>
        <v>NO</v>
      </c>
      <c r="I17" s="3">
        <f t="shared" si="1"/>
        <v>2</v>
      </c>
      <c r="J17" s="3">
        <f>COUNTIFS(CAPA_Tracker!$D$4:$D$996,$A17,CAPA_Tracker!$M$4:$M$996,"&lt;&gt;Closed",CAPA_Tracker!$M$4:$M$996,"&lt;&gt;")</f>
        <v>1</v>
      </c>
      <c r="K17" s="3">
        <f ca="1">COUNTIFS(CAPA_Tracker!$D$4:$D$996,$A17,CAPA_Tracker!$P$4:$P$996,"YES")</f>
        <v>1</v>
      </c>
    </row>
    <row r="18" spans="1:11" ht="15" customHeight="1" x14ac:dyDescent="0.2">
      <c r="A18" s="19" t="s">
        <v>37</v>
      </c>
      <c r="B18" s="3">
        <f>IFERROR(INDEX(Cluster_Master!$A$4:$A$18,MATCH($A18,Cluster_Master!$B$4:$B$18,0)),"")</f>
        <v>4</v>
      </c>
      <c r="C18" s="3" t="str">
        <f>IFERROR(INDEX(Cluster_Master!$C$4:$C$18,MATCH($A18,Cluster_Master!$B$4:$B$18,0)),"")</f>
        <v>TAJV</v>
      </c>
      <c r="D18" s="4">
        <f>IF($B$4="","",IFERROR(AVERAGEIFS(Weekly_Inspections!$AJ$4:$AJ$996,Weekly_Inspections!$F$4:$F$996,$A18,Weekly_Inspections!$D$4:$D$996,$B$4),""))</f>
        <v>0.54666666666666663</v>
      </c>
      <c r="E18" s="4">
        <f>IF($B$4="","",IFERROR(AVERAGEIFS(Weekly_Inspections!$AK$4:$AK$996,Weekly_Inspections!$F$4:$F$996,$A18,Weekly_Inspections!$D$4:$D$996,$B$4),""))</f>
        <v>0.52</v>
      </c>
      <c r="F18" s="3">
        <f>IF($B$4="","",COUNTIFS(Weekly_Inspections!$F$4:$F$996,$A18,Weekly_Inspections!$D$4:$D$996,$B$4,Weekly_Inspections!$AL$4:$AL$996,"YES"))</f>
        <v>1</v>
      </c>
      <c r="G18" s="4" t="str">
        <f>IF(OR($B$4="",$B$5=""),"",IFERROR((D18-AVERAGEIFS(Weekly_Inspections!$AJ$4:$AJ$996,Weekly_Inspections!$F$4:$F$996,$A18,Weekly_Inspections!$D$4:$D$996,$B$5))/AVERAGEIFS(Weekly_Inspections!$AJ$4:$AJ$996,Weekly_Inspections!$F$4:$F$996,$A18,Weekly_Inspections!$D$4:$D$996,$B$5),""))</f>
        <v/>
      </c>
      <c r="H18" s="3" t="str">
        <f t="shared" si="0"/>
        <v>NO</v>
      </c>
      <c r="I18" s="3">
        <f t="shared" si="1"/>
        <v>2</v>
      </c>
      <c r="J18" s="3">
        <f>COUNTIFS(CAPA_Tracker!$D$4:$D$996,$A18,CAPA_Tracker!$M$4:$M$996,"&lt;&gt;Closed",CAPA_Tracker!$M$4:$M$996,"&lt;&gt;")</f>
        <v>1</v>
      </c>
      <c r="K18" s="3">
        <f ca="1">COUNTIFS(CAPA_Tracker!$D$4:$D$996,$A18,CAPA_Tracker!$P$4:$P$996,"YES")</f>
        <v>1</v>
      </c>
    </row>
    <row r="19" spans="1:11" ht="15" customHeight="1" x14ac:dyDescent="0.2">
      <c r="A19" s="19" t="s">
        <v>41</v>
      </c>
      <c r="B19" s="3">
        <f>IFERROR(INDEX(Cluster_Master!$A$4:$A$18,MATCH($A19,Cluster_Master!$B$4:$B$18,0)),"")</f>
        <v>4</v>
      </c>
      <c r="C19" s="3" t="str">
        <f>IFERROR(INDEX(Cluster_Master!$C$4:$C$18,MATCH($A19,Cluster_Master!$B$4:$B$18,0)),"")</f>
        <v>TAJV</v>
      </c>
      <c r="D19" s="4">
        <f>IF($B$4="","",IFERROR(AVERAGEIFS(Weekly_Inspections!$AJ$4:$AJ$996,Weekly_Inspections!$F$4:$F$996,$A19,Weekly_Inspections!$D$4:$D$996,$B$4),""))</f>
        <v>0.54666666666666663</v>
      </c>
      <c r="E19" s="4">
        <f>IF($B$4="","",IFERROR(AVERAGEIFS(Weekly_Inspections!$AK$4:$AK$996,Weekly_Inspections!$F$4:$F$996,$A19,Weekly_Inspections!$D$4:$D$996,$B$4),""))</f>
        <v>0.52</v>
      </c>
      <c r="F19" s="3">
        <f>IF($B$4="","",COUNTIFS(Weekly_Inspections!$F$4:$F$996,$A19,Weekly_Inspections!$D$4:$D$996,$B$4,Weekly_Inspections!$AL$4:$AL$996,"YES"))</f>
        <v>1</v>
      </c>
      <c r="G19" s="4" t="str">
        <f>IF(OR($B$4="",$B$5=""),"",IFERROR((D19-AVERAGEIFS(Weekly_Inspections!$AJ$4:$AJ$996,Weekly_Inspections!$F$4:$F$996,$A19,Weekly_Inspections!$D$4:$D$996,$B$5))/AVERAGEIFS(Weekly_Inspections!$AJ$4:$AJ$996,Weekly_Inspections!$F$4:$F$996,$A19,Weekly_Inspections!$D$4:$D$996,$B$5),""))</f>
        <v/>
      </c>
      <c r="H19" s="3" t="str">
        <f t="shared" si="0"/>
        <v>NO</v>
      </c>
      <c r="I19" s="3">
        <f t="shared" si="1"/>
        <v>2</v>
      </c>
      <c r="J19" s="3">
        <f>COUNTIFS(CAPA_Tracker!$D$4:$D$996,$A19,CAPA_Tracker!$M$4:$M$996,"&lt;&gt;Closed",CAPA_Tracker!$M$4:$M$996,"&lt;&gt;")</f>
        <v>1</v>
      </c>
      <c r="K19" s="3">
        <f ca="1">COUNTIFS(CAPA_Tracker!$D$4:$D$996,$A19,CAPA_Tracker!$P$4:$P$996,"YES")</f>
        <v>1</v>
      </c>
    </row>
    <row r="20" spans="1:11" ht="15" customHeight="1" x14ac:dyDescent="0.2">
      <c r="A20" s="19" t="s">
        <v>44</v>
      </c>
      <c r="B20" s="3">
        <f>IFERROR(INDEX(Cluster_Master!$A$4:$A$18,MATCH($A20,Cluster_Master!$B$4:$B$18,0)),"")</f>
        <v>4</v>
      </c>
      <c r="C20" s="3" t="str">
        <f>IFERROR(INDEX(Cluster_Master!$C$4:$C$18,MATCH($A20,Cluster_Master!$B$4:$B$18,0)),"")</f>
        <v>TAJV</v>
      </c>
      <c r="D20" s="4">
        <f>IF($B$4="","",IFERROR(AVERAGEIFS(Weekly_Inspections!$AJ$4:$AJ$996,Weekly_Inspections!$F$4:$F$996,$A20,Weekly_Inspections!$D$4:$D$996,$B$4),""))</f>
        <v>0.38666666666666666</v>
      </c>
      <c r="E20" s="4">
        <f>IF($B$4="","",IFERROR(AVERAGEIFS(Weekly_Inspections!$AK$4:$AK$996,Weekly_Inspections!$F$4:$F$996,$A20,Weekly_Inspections!$D$4:$D$996,$B$4),""))</f>
        <v>0.39</v>
      </c>
      <c r="F20" s="3">
        <f>IF($B$4="","",COUNTIFS(Weekly_Inspections!$F$4:$F$996,$A20,Weekly_Inspections!$D$4:$D$996,$B$4,Weekly_Inspections!$AL$4:$AL$996,"YES"))</f>
        <v>1</v>
      </c>
      <c r="G20" s="4" t="str">
        <f>IF(OR($B$4="",$B$5=""),"",IFERROR((D20-AVERAGEIFS(Weekly_Inspections!$AJ$4:$AJ$996,Weekly_Inspections!$F$4:$F$996,$A20,Weekly_Inspections!$D$4:$D$996,$B$5))/AVERAGEIFS(Weekly_Inspections!$AJ$4:$AJ$996,Weekly_Inspections!$F$4:$F$996,$A20,Weekly_Inspections!$D$4:$D$996,$B$5),""))</f>
        <v/>
      </c>
      <c r="H20" s="3" t="str">
        <f t="shared" si="0"/>
        <v>NO</v>
      </c>
      <c r="I20" s="3">
        <f t="shared" si="1"/>
        <v>6</v>
      </c>
      <c r="J20" s="3">
        <f>COUNTIFS(CAPA_Tracker!$D$4:$D$996,$A20,CAPA_Tracker!$M$4:$M$996,"&lt;&gt;Closed",CAPA_Tracker!$M$4:$M$996,"&lt;&gt;")</f>
        <v>1</v>
      </c>
      <c r="K20" s="3">
        <f ca="1">COUNTIFS(CAPA_Tracker!$D$4:$D$996,$A20,CAPA_Tracker!$P$4:$P$996,"YES")</f>
        <v>0</v>
      </c>
    </row>
    <row r="21" spans="1:11" ht="15" customHeight="1" x14ac:dyDescent="0.2">
      <c r="A21" s="19" t="s">
        <v>47</v>
      </c>
      <c r="B21" s="3">
        <f>IFERROR(INDEX(Cluster_Master!$A$4:$A$18,MATCH($A21,Cluster_Master!$B$4:$B$18,0)),"")</f>
        <v>4</v>
      </c>
      <c r="C21" s="3" t="str">
        <f>IFERROR(INDEX(Cluster_Master!$C$4:$C$18,MATCH($A21,Cluster_Master!$B$4:$B$18,0)),"")</f>
        <v>TAJV</v>
      </c>
      <c r="D21" s="4" t="str">
        <f>IF($B$4="","",IFERROR(AVERAGEIFS(Weekly_Inspections!$AJ$4:$AJ$996,Weekly_Inspections!$F$4:$F$996,$A21,Weekly_Inspections!$D$4:$D$996,$B$4),""))</f>
        <v/>
      </c>
      <c r="E21" s="4" t="str">
        <f>IF($B$4="","",IFERROR(AVERAGEIFS(Weekly_Inspections!$AK$4:$AK$996,Weekly_Inspections!$F$4:$F$996,$A21,Weekly_Inspections!$D$4:$D$996,$B$4),""))</f>
        <v/>
      </c>
      <c r="F21" s="3">
        <f>IF($B$4="","",COUNTIFS(Weekly_Inspections!$F$4:$F$996,$A21,Weekly_Inspections!$D$4:$D$996,$B$4,Weekly_Inspections!$AL$4:$AL$996,"YES"))</f>
        <v>0</v>
      </c>
      <c r="G21" s="4" t="str">
        <f>IF(OR($B$4="",$B$5=""),"",IFERROR((D21-AVERAGEIFS(Weekly_Inspections!$AJ$4:$AJ$996,Weekly_Inspections!$F$4:$F$996,$A21,Weekly_Inspections!$D$4:$D$996,$B$5))/AVERAGEIFS(Weekly_Inspections!$AJ$4:$AJ$996,Weekly_Inspections!$F$4:$F$996,$A21,Weekly_Inspections!$D$4:$D$996,$B$5),""))</f>
        <v/>
      </c>
      <c r="H21" s="3" t="str">
        <f t="shared" si="0"/>
        <v/>
      </c>
      <c r="I21" s="3" t="str">
        <f t="shared" si="1"/>
        <v/>
      </c>
      <c r="J21" s="3">
        <f>COUNTIFS(CAPA_Tracker!$D$4:$D$996,$A21,CAPA_Tracker!$M$4:$M$996,"&lt;&gt;Closed",CAPA_Tracker!$M$4:$M$996,"&lt;&gt;")</f>
        <v>0</v>
      </c>
      <c r="K21" s="3">
        <f>COUNTIFS(CAPA_Tracker!$D$4:$D$996,$A21,CAPA_Tracker!$P$4:$P$996,"YES")</f>
        <v>0</v>
      </c>
    </row>
    <row r="22" spans="1:11" ht="15" customHeight="1" x14ac:dyDescent="0.2">
      <c r="A22" s="19" t="s">
        <v>48</v>
      </c>
      <c r="B22" s="3">
        <f>IFERROR(INDEX(Cluster_Master!$A$4:$A$18,MATCH($A22,Cluster_Master!$B$4:$B$18,0)),"")</f>
        <v>4</v>
      </c>
      <c r="C22" s="3" t="str">
        <f>IFERROR(INDEX(Cluster_Master!$C$4:$C$18,MATCH($A22,Cluster_Master!$B$4:$B$18,0)),"")</f>
        <v>TAJV</v>
      </c>
      <c r="D22" s="4" t="str">
        <f>IF($B$4="","",IFERROR(AVERAGEIFS(Weekly_Inspections!$AJ$4:$AJ$996,Weekly_Inspections!$F$4:$F$996,$A22,Weekly_Inspections!$D$4:$D$996,$B$4),""))</f>
        <v/>
      </c>
      <c r="E22" s="4" t="str">
        <f>IF($B$4="","",IFERROR(AVERAGEIFS(Weekly_Inspections!$AK$4:$AK$996,Weekly_Inspections!$F$4:$F$996,$A22,Weekly_Inspections!$D$4:$D$996,$B$4),""))</f>
        <v/>
      </c>
      <c r="F22" s="3">
        <f>IF($B$4="","",COUNTIFS(Weekly_Inspections!$F$4:$F$996,$A22,Weekly_Inspections!$D$4:$D$996,$B$4,Weekly_Inspections!$AL$4:$AL$996,"YES"))</f>
        <v>0</v>
      </c>
      <c r="G22" s="4" t="str">
        <f>IF(OR($B$4="",$B$5=""),"",IFERROR((D22-AVERAGEIFS(Weekly_Inspections!$AJ$4:$AJ$996,Weekly_Inspections!$F$4:$F$996,$A22,Weekly_Inspections!$D$4:$D$996,$B$5))/AVERAGEIFS(Weekly_Inspections!$AJ$4:$AJ$996,Weekly_Inspections!$F$4:$F$996,$A22,Weekly_Inspections!$D$4:$D$996,$B$5),""))</f>
        <v/>
      </c>
      <c r="H22" s="3" t="str">
        <f t="shared" si="0"/>
        <v/>
      </c>
      <c r="I22" s="3" t="str">
        <f t="shared" si="1"/>
        <v/>
      </c>
      <c r="J22" s="3">
        <f>COUNTIFS(CAPA_Tracker!$D$4:$D$996,$A22,CAPA_Tracker!$M$4:$M$996,"&lt;&gt;Closed",CAPA_Tracker!$M$4:$M$996,"&lt;&gt;")</f>
        <v>0</v>
      </c>
      <c r="K22" s="3">
        <f>COUNTIFS(CAPA_Tracker!$D$4:$D$996,$A22,CAPA_Tracker!$P$4:$P$996,"YES")</f>
        <v>0</v>
      </c>
    </row>
  </sheetData>
  <mergeCells count="2">
    <mergeCell ref="A1:K1"/>
    <mergeCell ref="A2:K2"/>
  </mergeCells>
  <conditionalFormatting sqref="D8:E22">
    <cfRule type="colorScale" priority="2">
      <colorScale>
        <cfvo type="num" val="0"/>
        <cfvo type="num" val="0.75"/>
        <cfvo type="num" val="1"/>
        <color rgb="FFF8696B"/>
        <color rgb="FFFFEB84"/>
        <color rgb="FF63BE7B"/>
      </colorScale>
    </cfRule>
  </conditionalFormatting>
  <conditionalFormatting sqref="F8:F22">
    <cfRule type="cellIs" dxfId="13" priority="4" operator="greaterThan">
      <formula>0</formula>
    </cfRule>
  </conditionalFormatting>
  <conditionalFormatting sqref="H8:H22">
    <cfRule type="expression" dxfId="12" priority="3">
      <formula>H8="YES"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showGridLines="0" zoomScaleNormal="100" workbookViewId="0">
      <pane ySplit="1" topLeftCell="A2" activePane="bottomLeft" state="frozen"/>
      <selection pane="bottomLeft" activeCell="G21" sqref="G21"/>
    </sheetView>
  </sheetViews>
  <sheetFormatPr defaultColWidth="8.5703125" defaultRowHeight="15" customHeight="1" x14ac:dyDescent="0.2"/>
  <cols>
    <col min="1" max="1" width="32" customWidth="1"/>
    <col min="2" max="3" width="14" customWidth="1"/>
    <col min="4" max="4" width="18" customWidth="1"/>
    <col min="5" max="5" width="14" customWidth="1"/>
    <col min="6" max="7" width="12" customWidth="1"/>
    <col min="8" max="8" width="16" customWidth="1"/>
  </cols>
  <sheetData>
    <row r="1" spans="1:8" ht="24" customHeight="1" x14ac:dyDescent="0.2">
      <c r="A1" s="27" t="s">
        <v>211</v>
      </c>
      <c r="B1" s="27"/>
      <c r="C1" s="27"/>
      <c r="D1" s="27"/>
      <c r="E1" s="27"/>
      <c r="F1" s="27"/>
      <c r="G1" s="27"/>
      <c r="H1" s="27"/>
    </row>
    <row r="2" spans="1:8" ht="36" customHeight="1" x14ac:dyDescent="0.2">
      <c r="A2" s="28" t="s">
        <v>212</v>
      </c>
      <c r="B2" s="28"/>
      <c r="C2" s="28"/>
      <c r="D2" s="28"/>
      <c r="E2" s="28"/>
      <c r="F2" s="28"/>
      <c r="G2" s="28"/>
      <c r="H2" s="28"/>
    </row>
    <row r="4" spans="1:8" ht="15" customHeight="1" x14ac:dyDescent="0.2">
      <c r="A4" s="17" t="s">
        <v>185</v>
      </c>
      <c r="B4" s="20">
        <f>Weekly_Dashboard!$B$5</f>
        <v>14</v>
      </c>
    </row>
    <row r="5" spans="1:8" ht="15" customHeight="1" x14ac:dyDescent="0.2">
      <c r="A5" s="17" t="s">
        <v>186</v>
      </c>
      <c r="B5" s="20" t="str">
        <f>Weekly_Dashboard!$B$6</f>
        <v>2026-03</v>
      </c>
    </row>
    <row r="7" spans="1:8" ht="33.75" customHeight="1" x14ac:dyDescent="0.2">
      <c r="A7" s="2" t="s">
        <v>113</v>
      </c>
      <c r="B7" s="2" t="s">
        <v>213</v>
      </c>
      <c r="C7" s="2" t="s">
        <v>214</v>
      </c>
      <c r="D7" s="2" t="s">
        <v>215</v>
      </c>
      <c r="E7" s="2" t="s">
        <v>216</v>
      </c>
      <c r="F7" s="2" t="s">
        <v>190</v>
      </c>
      <c r="G7" s="2" t="s">
        <v>193</v>
      </c>
      <c r="H7" s="2" t="s">
        <v>217</v>
      </c>
    </row>
    <row r="8" spans="1:8" ht="15" customHeight="1" x14ac:dyDescent="0.2">
      <c r="A8" s="19" t="s">
        <v>66</v>
      </c>
      <c r="B8" s="3">
        <f>IF($B$4="","",IFERROR(AVERAGEIFS(Weekly_Inspections!$T$4:$T$996,Weekly_Inspections!$C$4:$C$996,$B$4),""))</f>
        <v>3</v>
      </c>
      <c r="C8" s="3">
        <f>IF($B$5="","",IFERROR(AVERAGEIFS(Weekly_Inspections!$T$4:$T$996,Weekly_Inspections!$D$4:$D$996,$B$5),""))</f>
        <v>3</v>
      </c>
      <c r="D8" s="3">
        <f t="shared" ref="D8:D22" si="0">IF(B8="","",5-B8)</f>
        <v>2</v>
      </c>
      <c r="E8" s="3">
        <f t="shared" ref="E8:E22" si="1">IF(C8="","",5-C8)</f>
        <v>2</v>
      </c>
      <c r="F8" s="3">
        <f>IF($B$4="","",COUNTIFS(Weekly_Inspections!$T$4:$T$996,"&lt;=1",Weekly_Inspections!$C$4:$C$996,$B$4))</f>
        <v>0</v>
      </c>
      <c r="G8" s="3">
        <f>IF($B$5="","",COUNTIFS(Weekly_Inspections!$T$4:$T$996,"&lt;=1",Weekly_Inspections!$D$4:$D$996,$B$5))</f>
        <v>0</v>
      </c>
      <c r="H8" s="3" t="str">
        <f t="shared" ref="H8:H22" si="2">IF(OR(D8="",E8=""),"",IF(OR(D8&gt;=3,E8&gt;=3),"Immediate attention","Monitor"))</f>
        <v>Monitor</v>
      </c>
    </row>
    <row r="9" spans="1:8" ht="15" customHeight="1" x14ac:dyDescent="0.2">
      <c r="A9" s="19" t="s">
        <v>68</v>
      </c>
      <c r="B9" s="3">
        <f>IF($B$4="","",IFERROR(AVERAGEIFS(Weekly_Inspections!$U$4:$U$996,Weekly_Inspections!$C$4:$C$996,$B$4),""))</f>
        <v>2</v>
      </c>
      <c r="C9" s="3">
        <f>IF($B$5="","",IFERROR(AVERAGEIFS(Weekly_Inspections!$U$4:$U$996,Weekly_Inspections!$D$4:$D$996,$B$5),""))</f>
        <v>2.3333333333333335</v>
      </c>
      <c r="D9" s="3">
        <f t="shared" si="0"/>
        <v>3</v>
      </c>
      <c r="E9" s="3">
        <f t="shared" si="1"/>
        <v>2.6666666666666665</v>
      </c>
      <c r="F9" s="3">
        <f>IF($B$4="","",COUNTIFS(Weekly_Inspections!$U$4:$U$996,"&lt;=1",Weekly_Inspections!$C$4:$C$996,$B$4))</f>
        <v>0</v>
      </c>
      <c r="G9" s="3">
        <f>IF($B$5="","",COUNTIFS(Weekly_Inspections!$U$4:$U$996,"&lt;=1",Weekly_Inspections!$D$4:$D$996,$B$5))</f>
        <v>0</v>
      </c>
      <c r="H9" s="3" t="str">
        <f t="shared" si="2"/>
        <v>Immediate attention</v>
      </c>
    </row>
    <row r="10" spans="1:8" ht="15" customHeight="1" x14ac:dyDescent="0.2">
      <c r="A10" s="19" t="s">
        <v>76</v>
      </c>
      <c r="B10" s="3">
        <f>IF($B$4="","",IFERROR(AVERAGEIFS(Weekly_Inspections!$V$4:$V$996,Weekly_Inspections!$C$4:$C$996,$B$4),""))</f>
        <v>3</v>
      </c>
      <c r="C10" s="3">
        <f>IF($B$5="","",IFERROR(AVERAGEIFS(Weekly_Inspections!$V$4:$V$996,Weekly_Inspections!$D$4:$D$996,$B$5),""))</f>
        <v>3.1666666666666665</v>
      </c>
      <c r="D10" s="3">
        <f t="shared" si="0"/>
        <v>2</v>
      </c>
      <c r="E10" s="3">
        <f t="shared" si="1"/>
        <v>1.8333333333333335</v>
      </c>
      <c r="F10" s="3">
        <f>IF($B$4="","",COUNTIFS(Weekly_Inspections!$V$4:$V$996,"&lt;=1",Weekly_Inspections!$C$4:$C$996,$B$4))</f>
        <v>0</v>
      </c>
      <c r="G10" s="3">
        <f>IF($B$5="","",COUNTIFS(Weekly_Inspections!$V$4:$V$996,"&lt;=1",Weekly_Inspections!$D$4:$D$996,$B$5))</f>
        <v>0</v>
      </c>
      <c r="H10" s="3" t="str">
        <f t="shared" si="2"/>
        <v>Monitor</v>
      </c>
    </row>
    <row r="11" spans="1:8" ht="15" customHeight="1" x14ac:dyDescent="0.2">
      <c r="A11" s="19" t="s">
        <v>81</v>
      </c>
      <c r="B11" s="3">
        <f>IF($B$4="","",IFERROR(AVERAGEIFS(Weekly_Inspections!$W$4:$W$996,Weekly_Inspections!$C$4:$C$996,$B$4),""))</f>
        <v>3</v>
      </c>
      <c r="C11" s="3">
        <f>IF($B$5="","",IFERROR(AVERAGEIFS(Weekly_Inspections!$W$4:$W$996,Weekly_Inspections!$D$4:$D$996,$B$5),""))</f>
        <v>3.1666666666666665</v>
      </c>
      <c r="D11" s="3">
        <f t="shared" si="0"/>
        <v>2</v>
      </c>
      <c r="E11" s="3">
        <f t="shared" si="1"/>
        <v>1.8333333333333335</v>
      </c>
      <c r="F11" s="3">
        <f>IF($B$4="","",COUNTIFS(Weekly_Inspections!$W$4:$W$996,"&lt;=1",Weekly_Inspections!$C$4:$C$996,$B$4))</f>
        <v>0</v>
      </c>
      <c r="G11" s="3">
        <f>IF($B$5="","",COUNTIFS(Weekly_Inspections!$W$4:$W$996,"&lt;=1",Weekly_Inspections!$D$4:$D$996,$B$5))</f>
        <v>0</v>
      </c>
      <c r="H11" s="3" t="str">
        <f t="shared" si="2"/>
        <v>Monitor</v>
      </c>
    </row>
    <row r="12" spans="1:8" ht="15" customHeight="1" x14ac:dyDescent="0.2">
      <c r="A12" s="19" t="s">
        <v>85</v>
      </c>
      <c r="B12" s="3">
        <f>IF($B$4="","",IFERROR(AVERAGEIFS(Weekly_Inspections!$X$4:$X$996,Weekly_Inspections!$C$4:$C$996,$B$4),""))</f>
        <v>2</v>
      </c>
      <c r="C12" s="3">
        <f>IF($B$5="","",IFERROR(AVERAGEIFS(Weekly_Inspections!$X$4:$X$996,Weekly_Inspections!$D$4:$D$996,$B$5),""))</f>
        <v>2.3333333333333335</v>
      </c>
      <c r="D12" s="3">
        <f t="shared" si="0"/>
        <v>3</v>
      </c>
      <c r="E12" s="3">
        <f t="shared" si="1"/>
        <v>2.6666666666666665</v>
      </c>
      <c r="F12" s="3">
        <f>IF($B$4="","",COUNTIFS(Weekly_Inspections!$X$4:$X$996,"&lt;=1",Weekly_Inspections!$C$4:$C$996,$B$4))</f>
        <v>0</v>
      </c>
      <c r="G12" s="3">
        <f>IF($B$5="","",COUNTIFS(Weekly_Inspections!$X$4:$X$996,"&lt;=1",Weekly_Inspections!$D$4:$D$996,$B$5))</f>
        <v>0</v>
      </c>
      <c r="H12" s="3" t="str">
        <f t="shared" si="2"/>
        <v>Immediate attention</v>
      </c>
    </row>
    <row r="13" spans="1:8" ht="15" customHeight="1" x14ac:dyDescent="0.2">
      <c r="A13" s="19" t="s">
        <v>89</v>
      </c>
      <c r="B13" s="3">
        <f>IF($B$4="","",IFERROR(AVERAGEIFS(Weekly_Inspections!$Y$4:$Y$996,Weekly_Inspections!$C$4:$C$996,$B$4),""))</f>
        <v>4</v>
      </c>
      <c r="C13" s="3">
        <f>IF($B$5="","",IFERROR(AVERAGEIFS(Weekly_Inspections!$Y$4:$Y$996,Weekly_Inspections!$D$4:$D$996,$B$5),""))</f>
        <v>3.8333333333333335</v>
      </c>
      <c r="D13" s="3">
        <f t="shared" si="0"/>
        <v>1</v>
      </c>
      <c r="E13" s="3">
        <f t="shared" si="1"/>
        <v>1.1666666666666665</v>
      </c>
      <c r="F13" s="3">
        <f>IF($B$4="","",COUNTIFS(Weekly_Inspections!$Y$4:$Y$996,"&lt;=1",Weekly_Inspections!$C$4:$C$996,$B$4))</f>
        <v>0</v>
      </c>
      <c r="G13" s="3">
        <f>IF($B$5="","",COUNTIFS(Weekly_Inspections!$Y$4:$Y$996,"&lt;=1",Weekly_Inspections!$D$4:$D$996,$B$5))</f>
        <v>0</v>
      </c>
      <c r="H13" s="3" t="str">
        <f t="shared" si="2"/>
        <v>Monitor</v>
      </c>
    </row>
    <row r="14" spans="1:8" ht="15" customHeight="1" x14ac:dyDescent="0.2">
      <c r="A14" s="19" t="s">
        <v>92</v>
      </c>
      <c r="B14" s="3">
        <f>IF($B$4="","",IFERROR(AVERAGEIFS(Weekly_Inspections!$Z$4:$Z$996,Weekly_Inspections!$C$4:$C$996,$B$4),""))</f>
        <v>3</v>
      </c>
      <c r="C14" s="3">
        <f>IF($B$5="","",IFERROR(AVERAGEIFS(Weekly_Inspections!$Z$4:$Z$996,Weekly_Inspections!$D$4:$D$996,$B$5),""))</f>
        <v>2.8333333333333335</v>
      </c>
      <c r="D14" s="3">
        <f t="shared" si="0"/>
        <v>2</v>
      </c>
      <c r="E14" s="3">
        <f t="shared" si="1"/>
        <v>2.1666666666666665</v>
      </c>
      <c r="F14" s="3">
        <f>IF($B$4="","",COUNTIFS(Weekly_Inspections!$Z$4:$Z$996,"&lt;=1",Weekly_Inspections!$C$4:$C$996,$B$4))</f>
        <v>0</v>
      </c>
      <c r="G14" s="3">
        <f>IF($B$5="","",COUNTIFS(Weekly_Inspections!$Z$4:$Z$996,"&lt;=1",Weekly_Inspections!$D$4:$D$996,$B$5))</f>
        <v>1</v>
      </c>
      <c r="H14" s="3" t="str">
        <f t="shared" si="2"/>
        <v>Monitor</v>
      </c>
    </row>
    <row r="15" spans="1:8" ht="15" customHeight="1" x14ac:dyDescent="0.2">
      <c r="A15" s="19" t="s">
        <v>96</v>
      </c>
      <c r="B15" s="3">
        <f>IF($B$4="","",IFERROR(AVERAGEIFS(Weekly_Inspections!$AA$4:$AA$996,Weekly_Inspections!$C$4:$C$996,$B$4),""))</f>
        <v>5</v>
      </c>
      <c r="C15" s="3">
        <f>IF($B$5="","",IFERROR(AVERAGEIFS(Weekly_Inspections!$AA$4:$AA$996,Weekly_Inspections!$D$4:$D$996,$B$5),""))</f>
        <v>4.5</v>
      </c>
      <c r="D15" s="3">
        <f t="shared" si="0"/>
        <v>0</v>
      </c>
      <c r="E15" s="3">
        <f t="shared" si="1"/>
        <v>0.5</v>
      </c>
      <c r="F15" s="3">
        <f>IF($B$4="","",COUNTIFS(Weekly_Inspections!$AA$4:$AA$996,"&lt;=1",Weekly_Inspections!$C$4:$C$996,$B$4))</f>
        <v>0</v>
      </c>
      <c r="G15" s="3">
        <f>IF($B$5="","",COUNTIFS(Weekly_Inspections!$AA$4:$AA$996,"&lt;=1",Weekly_Inspections!$D$4:$D$996,$B$5))</f>
        <v>0</v>
      </c>
      <c r="H15" s="3" t="str">
        <f t="shared" si="2"/>
        <v>Monitor</v>
      </c>
    </row>
    <row r="16" spans="1:8" ht="15" customHeight="1" x14ac:dyDescent="0.2">
      <c r="A16" s="19" t="s">
        <v>249</v>
      </c>
      <c r="B16" s="3">
        <f>IF($B$4="","",IFERROR(AVERAGEIFS(Weekly_Inspections!$AB$4:$AB$996,Weekly_Inspections!$C$4:$C$996,$B$4),""))</f>
        <v>1</v>
      </c>
      <c r="C16" s="3">
        <f>IF($B$5="","",IFERROR(AVERAGEIFS(Weekly_Inspections!$AB$4:$AB$996,Weekly_Inspections!$D$4:$D$996,$B$5),""))</f>
        <v>1.6</v>
      </c>
      <c r="D16" s="3">
        <f t="shared" si="0"/>
        <v>4</v>
      </c>
      <c r="E16" s="3">
        <f t="shared" si="1"/>
        <v>3.4</v>
      </c>
      <c r="F16" s="3">
        <f>IF($B$4="","",COUNTIFS(Weekly_Inspections!$AB$4:$AB$996,"&lt;=1",Weekly_Inspections!$C$4:$C$996,$B$4))</f>
        <v>4</v>
      </c>
      <c r="G16" s="3">
        <f>IF($B$5="","",COUNTIFS(Weekly_Inspections!$AB$4:$AB$996,"&lt;=1",Weekly_Inspections!$D$4:$D$996,$B$5))</f>
        <v>4</v>
      </c>
      <c r="H16" s="3" t="str">
        <f t="shared" si="2"/>
        <v>Immediate attention</v>
      </c>
    </row>
    <row r="17" spans="1:8" ht="15" customHeight="1" x14ac:dyDescent="0.2">
      <c r="A17" s="19" t="s">
        <v>102</v>
      </c>
      <c r="B17" s="3">
        <f>IF($B$4="","",IFERROR(AVERAGEIFS(Weekly_Inspections!$AC$4:$AC$996,Weekly_Inspections!$C$4:$C$996,$B$4),""))</f>
        <v>2</v>
      </c>
      <c r="C17" s="3">
        <f>IF($B$5="","",IFERROR(AVERAGEIFS(Weekly_Inspections!$AC$4:$AC$996,Weekly_Inspections!$D$4:$D$996,$B$5),""))</f>
        <v>2.5</v>
      </c>
      <c r="D17" s="3">
        <f t="shared" si="0"/>
        <v>3</v>
      </c>
      <c r="E17" s="3">
        <f t="shared" si="1"/>
        <v>2.5</v>
      </c>
      <c r="F17" s="3">
        <f>IF($B$4="","",COUNTIFS(Weekly_Inspections!$AC$4:$AC$996,"&lt;=1",Weekly_Inspections!$C$4:$C$996,$B$4))</f>
        <v>0</v>
      </c>
      <c r="G17" s="3">
        <f>IF($B$5="","",COUNTIFS(Weekly_Inspections!$AC$4:$AC$996,"&lt;=1",Weekly_Inspections!$D$4:$D$996,$B$5))</f>
        <v>0</v>
      </c>
      <c r="H17" s="3" t="str">
        <f t="shared" si="2"/>
        <v>Immediate attention</v>
      </c>
    </row>
    <row r="18" spans="1:8" ht="15" customHeight="1" x14ac:dyDescent="0.2">
      <c r="A18" s="19" t="s">
        <v>251</v>
      </c>
      <c r="B18" s="3">
        <f>IF($B$4="","",IFERROR(AVERAGEIFS(Weekly_Inspections!$AD$4:$AD$996,Weekly_Inspections!$C$4:$C$996,$B$4),""))</f>
        <v>4</v>
      </c>
      <c r="C18" s="3">
        <f>IF($B$5="","",IFERROR(AVERAGEIFS(Weekly_Inspections!$AD$4:$AD$996,Weekly_Inspections!$D$4:$D$996,$B$5),""))</f>
        <v>3.5</v>
      </c>
      <c r="D18" s="3">
        <f t="shared" si="0"/>
        <v>1</v>
      </c>
      <c r="E18" s="3">
        <f t="shared" si="1"/>
        <v>1.5</v>
      </c>
      <c r="F18" s="3">
        <f>IF($B$4="","",COUNTIFS(Weekly_Inspections!$AD$4:$AD$996,"&lt;=1",Weekly_Inspections!$C$4:$C$996,$B$4))</f>
        <v>0</v>
      </c>
      <c r="G18" s="3">
        <f>IF($B$5="","",COUNTIFS(Weekly_Inspections!$AD$4:$AD$996,"&lt;=1",Weekly_Inspections!$D$4:$D$996,$B$5))</f>
        <v>1</v>
      </c>
      <c r="H18" s="3" t="str">
        <f t="shared" si="2"/>
        <v>Monitor</v>
      </c>
    </row>
    <row r="19" spans="1:8" ht="15" customHeight="1" x14ac:dyDescent="0.2">
      <c r="A19" s="19" t="s">
        <v>250</v>
      </c>
      <c r="B19" s="3">
        <f>IF($B$4="","",IFERROR(AVERAGEIFS(Weekly_Inspections!$AE$4:$AE$996,Weekly_Inspections!$C$4:$C$996,$B$4),""))</f>
        <v>2</v>
      </c>
      <c r="C19" s="3">
        <f>IF($B$5="","",IFERROR(AVERAGEIFS(Weekly_Inspections!$AE$4:$AE$996,Weekly_Inspections!$D$4:$D$996,$B$5),""))</f>
        <v>2</v>
      </c>
      <c r="D19" s="3">
        <f t="shared" si="0"/>
        <v>3</v>
      </c>
      <c r="E19" s="3">
        <f t="shared" si="1"/>
        <v>3</v>
      </c>
      <c r="F19" s="3">
        <f>IF($B$4="","",COUNTIFS(Weekly_Inspections!$AE$4:$AE$996,"&lt;=1",Weekly_Inspections!$C$4:$C$996,$B$4))</f>
        <v>0</v>
      </c>
      <c r="G19" s="3">
        <f>IF($B$5="","",COUNTIFS(Weekly_Inspections!$AE$4:$AE$996,"&lt;=1",Weekly_Inspections!$D$4:$D$996,$B$5))</f>
        <v>1</v>
      </c>
      <c r="H19" s="3" t="str">
        <f t="shared" si="2"/>
        <v>Immediate attention</v>
      </c>
    </row>
    <row r="20" spans="1:8" ht="15" customHeight="1" x14ac:dyDescent="0.2">
      <c r="A20" s="19" t="s">
        <v>105</v>
      </c>
      <c r="B20" s="3">
        <f>IF($B$4="","",IFERROR(AVERAGEIFS(Weekly_Inspections!$AF$4:$AF$996,Weekly_Inspections!$C$4:$C$996,$B$4),""))</f>
        <v>3</v>
      </c>
      <c r="C20" s="3">
        <f>IF($B$5="","",IFERROR(AVERAGEIFS(Weekly_Inspections!$AF$4:$AF$996,Weekly_Inspections!$D$4:$D$996,$B$5),""))</f>
        <v>3</v>
      </c>
      <c r="D20" s="3">
        <f t="shared" si="0"/>
        <v>2</v>
      </c>
      <c r="E20" s="3">
        <f t="shared" si="1"/>
        <v>2</v>
      </c>
      <c r="F20" s="3">
        <f>IF($B$4="","",COUNTIFS(Weekly_Inspections!$AF$4:$AF$996,"&lt;=1",Weekly_Inspections!$C$4:$C$996,$B$4))</f>
        <v>0</v>
      </c>
      <c r="G20" s="3">
        <f>IF($B$5="","",COUNTIFS(Weekly_Inspections!$AF$4:$AF$996,"&lt;=1",Weekly_Inspections!$D$4:$D$996,$B$5))</f>
        <v>0</v>
      </c>
      <c r="H20" s="3" t="str">
        <f t="shared" si="2"/>
        <v>Monitor</v>
      </c>
    </row>
    <row r="21" spans="1:8" ht="15" customHeight="1" x14ac:dyDescent="0.2">
      <c r="A21" s="19" t="s">
        <v>108</v>
      </c>
      <c r="B21" s="3">
        <f>IF($B$4="","",IFERROR(AVERAGEIFS(Weekly_Inspections!$AG$4:$AG$996,Weekly_Inspections!$C$4:$C$996,$B$4),""))</f>
        <v>1</v>
      </c>
      <c r="C21" s="3">
        <f>IF($B$5="","",IFERROR(AVERAGEIFS(Weekly_Inspections!$AG$4:$AG$996,Weekly_Inspections!$D$4:$D$996,$B$5),""))</f>
        <v>1.5</v>
      </c>
      <c r="D21" s="3">
        <f t="shared" si="0"/>
        <v>4</v>
      </c>
      <c r="E21" s="3">
        <f t="shared" si="1"/>
        <v>3.5</v>
      </c>
      <c r="F21" s="3">
        <f>IF($B$4="","",COUNTIFS(Weekly_Inspections!$AG$4:$AG$996,"&lt;=1",Weekly_Inspections!$C$4:$C$996,$B$4))</f>
        <v>4</v>
      </c>
      <c r="G21" s="3">
        <f>IF($B$5="","",COUNTIFS(Weekly_Inspections!$AG$4:$AG$996,"&lt;=1",Weekly_Inspections!$D$4:$D$996,$B$5))</f>
        <v>5</v>
      </c>
      <c r="H21" s="3" t="str">
        <f t="shared" si="2"/>
        <v>Immediate attention</v>
      </c>
    </row>
    <row r="22" spans="1:8" ht="15" customHeight="1" x14ac:dyDescent="0.2">
      <c r="A22" s="19" t="s">
        <v>110</v>
      </c>
      <c r="B22" s="3">
        <f>IF($B$4="","",IFERROR(AVERAGEIFS(Weekly_Inspections!$AH$4:$AH$996,Weekly_Inspections!$C$4:$C$996,$B$4),""))</f>
        <v>3</v>
      </c>
      <c r="C22" s="3">
        <f>IF($B$5="","",IFERROR(AVERAGEIFS(Weekly_Inspections!$AH$4:$AH$996,Weekly_Inspections!$D$4:$D$996,$B$5),""))</f>
        <v>3</v>
      </c>
      <c r="D22" s="3">
        <f t="shared" si="0"/>
        <v>2</v>
      </c>
      <c r="E22" s="3">
        <f t="shared" si="1"/>
        <v>2</v>
      </c>
      <c r="F22" s="3">
        <f>IF($B$4="","",COUNTIFS(Weekly_Inspections!$AH$4:$AH$996,"&lt;=1",Weekly_Inspections!$C$4:$C$996,$B$4))</f>
        <v>0</v>
      </c>
      <c r="G22" s="3">
        <f>IF($B$5="","",COUNTIFS(Weekly_Inspections!$AH$4:$AH$996,"&lt;=1",Weekly_Inspections!$D$4:$D$996,$B$5))</f>
        <v>0</v>
      </c>
      <c r="H22" s="3" t="str">
        <f t="shared" si="2"/>
        <v>Monitor</v>
      </c>
    </row>
    <row r="25" spans="1:8" ht="33.75" customHeight="1" x14ac:dyDescent="0.2">
      <c r="A25" s="2" t="s">
        <v>202</v>
      </c>
      <c r="B25" s="2" t="s">
        <v>218</v>
      </c>
      <c r="C25" s="2" t="s">
        <v>219</v>
      </c>
      <c r="D25" s="2" t="s">
        <v>220</v>
      </c>
    </row>
    <row r="26" spans="1:8" ht="15" customHeight="1" x14ac:dyDescent="0.2">
      <c r="A26" s="19" t="s">
        <v>64</v>
      </c>
      <c r="B26" s="3">
        <f>IF($B$4="","",COUNTIFS(Weekly_Inspections!$AP$4:$AP$499,$A26,Weekly_Inspections!$C$4:$C$499,$B$4))</f>
        <v>0</v>
      </c>
      <c r="C26" s="3">
        <f>IF($B$5="","",COUNTIFS(Weekly_Inspections!$AP$4:$AP$499,$A26,Weekly_Inspections!$D$4:$D$499,$B$5))</f>
        <v>1</v>
      </c>
      <c r="D26" s="3"/>
    </row>
    <row r="27" spans="1:8" ht="15" customHeight="1" x14ac:dyDescent="0.2">
      <c r="A27" s="19" t="s">
        <v>70</v>
      </c>
      <c r="B27" s="3">
        <f>IF($B$4="","",COUNTIFS(Weekly_Inspections!$AP$4:$AP$499,$A27,Weekly_Inspections!$C$4:$C$499,$B$4))</f>
        <v>4</v>
      </c>
      <c r="C27" s="3">
        <f>IF($B$5="","",COUNTIFS(Weekly_Inspections!$AP$4:$AP$499,$A27,Weekly_Inspections!$D$4:$D$499,$B$5))</f>
        <v>4</v>
      </c>
      <c r="D27" s="3"/>
    </row>
    <row r="28" spans="1:8" ht="15" customHeight="1" x14ac:dyDescent="0.2">
      <c r="A28" s="19" t="s">
        <v>74</v>
      </c>
      <c r="B28" s="3">
        <f>IF($B$4="","",COUNTIFS(Weekly_Inspections!$AP$4:$AP$499,$A28,Weekly_Inspections!$C$4:$C$499,$B$4))</f>
        <v>0</v>
      </c>
      <c r="C28" s="3">
        <f>IF($B$5="","",COUNTIFS(Weekly_Inspections!$AP$4:$AP$499,$A28,Weekly_Inspections!$D$4:$D$499,$B$5))</f>
        <v>0</v>
      </c>
      <c r="D28" s="3"/>
    </row>
    <row r="29" spans="1:8" ht="15" customHeight="1" x14ac:dyDescent="0.2">
      <c r="A29" s="19" t="s">
        <v>79</v>
      </c>
      <c r="B29" s="3">
        <f>IF($B$4="","",COUNTIFS(Weekly_Inspections!$AP$4:$AP$499,$A29,Weekly_Inspections!$C$4:$C$499,$B$4))</f>
        <v>0</v>
      </c>
      <c r="C29" s="3">
        <f>IF($B$5="","",COUNTIFS(Weekly_Inspections!$AP$4:$AP$499,$A29,Weekly_Inspections!$D$4:$D$499,$B$5))</f>
        <v>0</v>
      </c>
      <c r="D29" s="3"/>
    </row>
    <row r="30" spans="1:8" ht="15" customHeight="1" x14ac:dyDescent="0.2">
      <c r="A30" s="19" t="s">
        <v>84</v>
      </c>
      <c r="B30" s="3">
        <f>IF($B$4="","",COUNTIFS(Weekly_Inspections!$AP$4:$AP$499,$A30,Weekly_Inspections!$C$4:$C$499,$B$4))</f>
        <v>0</v>
      </c>
      <c r="C30" s="3">
        <f>IF($B$5="","",COUNTIFS(Weekly_Inspections!$AP$4:$AP$499,$A30,Weekly_Inspections!$D$4:$D$499,$B$5))</f>
        <v>0</v>
      </c>
      <c r="D30" s="3"/>
    </row>
    <row r="31" spans="1:8" ht="15" customHeight="1" x14ac:dyDescent="0.2">
      <c r="A31" s="19" t="s">
        <v>88</v>
      </c>
      <c r="B31" s="3">
        <f>IF($B$4="","",COUNTIFS(Weekly_Inspections!$AP$4:$AP$499,$A31,Weekly_Inspections!$C$4:$C$499,$B$4))</f>
        <v>0</v>
      </c>
      <c r="C31" s="3">
        <f>IF($B$5="","",COUNTIFS(Weekly_Inspections!$AP$4:$AP$499,$A31,Weekly_Inspections!$D$4:$D$499,$B$5))</f>
        <v>0</v>
      </c>
      <c r="D31" s="3"/>
    </row>
    <row r="32" spans="1:8" ht="15" customHeight="1" x14ac:dyDescent="0.2">
      <c r="A32" s="19" t="s">
        <v>91</v>
      </c>
      <c r="B32" s="3">
        <f>IF($B$4="","",COUNTIFS(Weekly_Inspections!$AP$4:$AP$499,$A32,Weekly_Inspections!$C$4:$C$499,$B$4))</f>
        <v>0</v>
      </c>
      <c r="C32" s="3">
        <f>IF($B$5="","",COUNTIFS(Weekly_Inspections!$AP$4:$AP$499,$A32,Weekly_Inspections!$D$4:$D$499,$B$5))</f>
        <v>0</v>
      </c>
      <c r="D32" s="3"/>
    </row>
    <row r="33" spans="1:4" ht="15" customHeight="1" x14ac:dyDescent="0.2">
      <c r="A33" s="19" t="s">
        <v>95</v>
      </c>
      <c r="B33" s="3">
        <f>IF($B$4="","",COUNTIFS(Weekly_Inspections!$AP$4:$AP$499,$A33,Weekly_Inspections!$C$4:$C$499,$B$4))</f>
        <v>0</v>
      </c>
      <c r="C33" s="3">
        <f>IF($B$5="","",COUNTIFS(Weekly_Inspections!$AP$4:$AP$499,$A33,Weekly_Inspections!$D$4:$D$499,$B$5))</f>
        <v>0</v>
      </c>
      <c r="D33" s="3"/>
    </row>
    <row r="34" spans="1:4" ht="15" customHeight="1" x14ac:dyDescent="0.2">
      <c r="A34" s="19" t="s">
        <v>99</v>
      </c>
      <c r="B34" s="3">
        <f>IF($B$4="","",COUNTIFS(Weekly_Inspections!$AP$4:$AP$499,$A34,Weekly_Inspections!$C$4:$C$499,$B$4))</f>
        <v>0</v>
      </c>
      <c r="C34" s="3">
        <f>IF($B$5="","",COUNTIFS(Weekly_Inspections!$AP$4:$AP$499,$A34,Weekly_Inspections!$D$4:$D$499,$B$5))</f>
        <v>0</v>
      </c>
      <c r="D34" s="3"/>
    </row>
    <row r="35" spans="1:4" ht="15" customHeight="1" x14ac:dyDescent="0.2">
      <c r="A35" s="19" t="s">
        <v>101</v>
      </c>
      <c r="B35" s="3">
        <f>IF($B$4="","",COUNTIFS(Weekly_Inspections!$AP$4:$AP$499,$A35,Weekly_Inspections!$C$4:$C$499,$B$4))</f>
        <v>0</v>
      </c>
      <c r="C35" s="3">
        <f>IF($B$5="","",COUNTIFS(Weekly_Inspections!$AP$4:$AP$499,$A35,Weekly_Inspections!$D$4:$D$499,$B$5))</f>
        <v>0</v>
      </c>
      <c r="D35" s="3"/>
    </row>
    <row r="36" spans="1:4" ht="15" customHeight="1" x14ac:dyDescent="0.2">
      <c r="A36" s="19" t="s">
        <v>97</v>
      </c>
      <c r="B36" s="3">
        <f>IF($B$4="","",COUNTIFS(Weekly_Inspections!$AP$4:$AP$499,$A36,Weekly_Inspections!$C$4:$C$499,$B$4))</f>
        <v>0</v>
      </c>
      <c r="C36" s="3">
        <f>IF($B$5="","",COUNTIFS(Weekly_Inspections!$AP$4:$AP$499,$A36,Weekly_Inspections!$D$4:$D$499,$B$5))</f>
        <v>1</v>
      </c>
      <c r="D36" s="3"/>
    </row>
  </sheetData>
  <mergeCells count="2">
    <mergeCell ref="A1:H1"/>
    <mergeCell ref="A2:H2"/>
  </mergeCells>
  <conditionalFormatting sqref="B8:E22">
    <cfRule type="colorScale" priority="2">
      <colorScale>
        <cfvo type="num" val="0"/>
        <cfvo type="num" val="2.5"/>
        <cfvo type="num" val="5"/>
        <color rgb="FF63BE7B"/>
        <color rgb="FFFFEB84"/>
        <color rgb="FFF8696B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96"/>
  <sheetViews>
    <sheetView showGridLines="0" zoomScaleNormal="100" workbookViewId="0">
      <pane ySplit="1" topLeftCell="A2" activePane="bottomLeft" state="frozen"/>
      <selection pane="bottomLeft" activeCell="P4" sqref="P4"/>
    </sheetView>
  </sheetViews>
  <sheetFormatPr defaultColWidth="8.5703125" defaultRowHeight="15" customHeight="1" x14ac:dyDescent="0.2"/>
  <cols>
    <col min="1" max="1" width="18" customWidth="1"/>
    <col min="2" max="2" width="13" customWidth="1"/>
    <col min="3" max="3" width="10" customWidth="1"/>
    <col min="4" max="4" width="16" customWidth="1"/>
    <col min="5" max="5" width="14" customWidth="1"/>
    <col min="6" max="6" width="28" customWidth="1"/>
    <col min="7" max="7" width="26" customWidth="1"/>
    <col min="8" max="8" width="22" customWidth="1"/>
    <col min="9" max="10" width="24" customWidth="1"/>
    <col min="11" max="11" width="18" customWidth="1"/>
    <col min="12" max="12" width="13" customWidth="1"/>
    <col min="13" max="13" width="14" customWidth="1"/>
    <col min="14" max="14" width="13" customWidth="1"/>
    <col min="15" max="15" width="10" customWidth="1"/>
    <col min="16" max="16" width="12" customWidth="1"/>
    <col min="17" max="17" width="22" customWidth="1"/>
  </cols>
  <sheetData>
    <row r="1" spans="1:17" ht="24" customHeight="1" x14ac:dyDescent="0.2">
      <c r="A1" s="27" t="s">
        <v>221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36" customHeight="1" x14ac:dyDescent="0.2">
      <c r="A2" s="28" t="s">
        <v>222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33.75" customHeight="1" x14ac:dyDescent="0.2">
      <c r="A3" s="2" t="s">
        <v>223</v>
      </c>
      <c r="B3" s="2" t="s">
        <v>224</v>
      </c>
      <c r="C3" s="2" t="s">
        <v>2</v>
      </c>
      <c r="D3" s="2" t="s">
        <v>3</v>
      </c>
      <c r="E3" s="2" t="s">
        <v>4</v>
      </c>
      <c r="F3" s="2" t="s">
        <v>225</v>
      </c>
      <c r="G3" s="2" t="s">
        <v>226</v>
      </c>
      <c r="H3" s="2" t="s">
        <v>227</v>
      </c>
      <c r="I3" s="2" t="s">
        <v>228</v>
      </c>
      <c r="J3" s="2" t="s">
        <v>229</v>
      </c>
      <c r="K3" s="2" t="s">
        <v>170</v>
      </c>
      <c r="L3" s="2" t="s">
        <v>230</v>
      </c>
      <c r="M3" s="2" t="s">
        <v>231</v>
      </c>
      <c r="N3" s="2" t="s">
        <v>232</v>
      </c>
      <c r="O3" s="2" t="s">
        <v>233</v>
      </c>
      <c r="P3" s="2" t="s">
        <v>234</v>
      </c>
      <c r="Q3" s="2" t="s">
        <v>235</v>
      </c>
    </row>
    <row r="4" spans="1:17" ht="125.45" customHeight="1" x14ac:dyDescent="0.2">
      <c r="A4" s="21" t="str">
        <f>IF(Weekly_Inspections!$B4="","",Weekly_Inspections!$A4&amp;"-A1")</f>
        <v>20260326-Cluster2A-01-A1</v>
      </c>
      <c r="B4" s="22">
        <f>Weekly_Inspections!$B4</f>
        <v>46107</v>
      </c>
      <c r="C4" s="23">
        <f>Weekly_Inspections!$E4</f>
        <v>4</v>
      </c>
      <c r="D4" s="23" t="str">
        <f>Weekly_Inspections!$F4</f>
        <v>Cluster 2A</v>
      </c>
      <c r="E4" s="21" t="str">
        <f>Weekly_Inspections!$H4</f>
        <v>TAJV</v>
      </c>
      <c r="F4" s="23" t="str">
        <f>IF(Weekly_Inspections!$AX4&lt;&gt;"",Weekly_Inspections!$AX4,IF(Weekly_Inspections!$AY4&lt;&gt;"",Weekly_Inspections!$AY4,IF(Weekly_Inspections!$AZ4&lt;&gt;"",Weekly_Inspections!$AZ4,IF(Weekly_Inspections!$BA4&lt;&gt;"",Weekly_Inspections!$BA4,IF(Weekly_Inspections!$BB4&lt;&gt;"",Weekly_Inspections!$BB4,Weekly_Inspections!$R4)))))</f>
        <v>Work at Height</v>
      </c>
      <c r="G4" s="23" t="str">
        <f>IF(OR(Weekly_Inspections!$AQ4&lt;&gt;"",Weekly_Inspections!$AR4&lt;&gt;"",Weekly_Inspections!$AS4&lt;&gt;""),Weekly_Inspections!$AQ4,"")</f>
        <v>1. Leadership failure
2. Poor supervision
3. Poor sub-contractor control
4. PTW failure</v>
      </c>
      <c r="H4" s="23" t="str">
        <f>Weekly_Inspections!$AP4</f>
        <v>Leadership failure</v>
      </c>
      <c r="I4" s="23" t="str">
        <f>Weekly_Inspections!$AR4</f>
        <v>Unsafe work practices were suspended immediately. The CM of the cluster was called but he refused to visit the location.</v>
      </c>
      <c r="J4" s="23" t="str">
        <f>Weekly_Inspections!$AS4</f>
        <v>1. PTW must be controlled by the main contractor.
2. Close supervision of sub-contractors by main contractor shall be ensured.
3. Non-performing subcontractors shall not be paid and shall be removed from project.
4. Non-performing construction team shall be replaced without delays</v>
      </c>
      <c r="K4" s="23" t="str">
        <f>Weekly_Inspections!$AU4</f>
        <v>1-3rd recommendation by the cluster CM
4th recommendation by the PD.</v>
      </c>
      <c r="L4" s="22">
        <f>Weekly_Inspections!$AV4</f>
        <v>46114</v>
      </c>
      <c r="M4" s="23" t="str">
        <f t="shared" ref="M4:M63" si="0">IF($B4="","",IF($N4&lt;&gt;"","Closed",IF(OR($G4&lt;&gt;"",$I4&lt;&gt;"",$J4&lt;&gt;""),"Open","")))</f>
        <v>Open</v>
      </c>
      <c r="N4" s="22"/>
      <c r="O4" s="21">
        <f t="shared" ref="O4:O63" ca="1" si="1">IF($B4="","",IF($M4="Closed",IF($N4="","",$N4-$B4),TODAY()-$B4))</f>
        <v>6</v>
      </c>
      <c r="P4" s="21" t="str">
        <f t="shared" ref="P4:P63" ca="1" si="2">IF(OR($B4="",$L4="",$M4="Closed"),"",IF(TODAY()&gt;$L4,"YES","NO"))</f>
        <v>NO</v>
      </c>
      <c r="Q4" s="23">
        <f>Weekly_Inspections!$AW4</f>
        <v>0</v>
      </c>
    </row>
    <row r="5" spans="1:17" ht="15" customHeight="1" x14ac:dyDescent="0.2">
      <c r="A5" s="21" t="str">
        <f>IF(Weekly_Inspections!$B5="","",Weekly_Inspections!$A5&amp;"-A1")</f>
        <v>20260326-Cluster8A-01-A1</v>
      </c>
      <c r="B5" s="22">
        <f>Weekly_Inspections!$B5</f>
        <v>46107</v>
      </c>
      <c r="C5" s="23">
        <f>Weekly_Inspections!$E5</f>
        <v>2</v>
      </c>
      <c r="D5" s="23" t="str">
        <f>Weekly_Inspections!$F5</f>
        <v>Cluster 8A</v>
      </c>
      <c r="E5" s="21" t="str">
        <f>Weekly_Inspections!$H5</f>
        <v>TAJV</v>
      </c>
      <c r="F5" s="23" t="str">
        <f>IF(Weekly_Inspections!$AX5&lt;&gt;"",Weekly_Inspections!$AX5,IF(Weekly_Inspections!$AY5&lt;&gt;"",Weekly_Inspections!$AY5,IF(Weekly_Inspections!$AZ5&lt;&gt;"",Weekly_Inspections!$AZ5,IF(Weekly_Inspections!$BA5&lt;&gt;"",Weekly_Inspections!$BA5,IF(Weekly_Inspections!$BB5&lt;&gt;"",Weekly_Inspections!$BB5,Weekly_Inspections!$R5)))))</f>
        <v>Scaffolding</v>
      </c>
      <c r="G5" s="23" t="str">
        <f>IF(OR(Weekly_Inspections!$AQ5&lt;&gt;"",Weekly_Inspections!$AR5&lt;&gt;"",Weekly_Inspections!$AS5&lt;&gt;""),Weekly_Inspections!$AQ5,"")</f>
        <v>No significant gap observed</v>
      </c>
      <c r="H5" s="23" t="str">
        <f>Weekly_Inspections!$AP5</f>
        <v>Other</v>
      </c>
      <c r="I5" s="23" t="str">
        <f>Weekly_Inspections!$AR5</f>
        <v>The team was commended for their visible leadership in driving transformation at Cluster 8A.</v>
      </c>
      <c r="J5" s="23" t="str">
        <f>Weekly_Inspections!$AS5</f>
        <v>The Construction Manager and his team were advised to ensure that sub-contractors do not mess up with their site. The following advise was given:
1. No payment for work if site condition is below the acceptable standard.
2. Close supervision of sub-contractors by the construction team of the main contractor.
3. Housekeeping shall be maintined for all shift.
4. Provide a temporary storage area for waste for each villa.
5. PTW shall remain under the control of the main contractor.</v>
      </c>
      <c r="K5" s="23" t="str">
        <f>Weekly_Inspections!$AU5</f>
        <v>Construction Manager of Cluster 8A 
HSE Manager of TAJV</v>
      </c>
      <c r="L5" s="22" t="str">
        <f>Weekly_Inspections!$AV5</f>
        <v>Always</v>
      </c>
      <c r="M5" s="23" t="str">
        <f t="shared" si="0"/>
        <v>Open</v>
      </c>
      <c r="N5" s="22"/>
      <c r="O5" s="21">
        <f t="shared" ca="1" si="1"/>
        <v>6</v>
      </c>
      <c r="P5" s="21" t="str">
        <f t="shared" ca="1" si="2"/>
        <v>NO</v>
      </c>
      <c r="Q5" s="23">
        <f>Weekly_Inspections!$AW5</f>
        <v>0</v>
      </c>
    </row>
    <row r="6" spans="1:17" ht="15" customHeight="1" x14ac:dyDescent="0.2">
      <c r="A6" s="21" t="str">
        <f>IF(Weekly_Inspections!$B6="","",Weekly_Inspections!$A6&amp;"-A1")</f>
        <v>20260330-Cluster4-01-A1</v>
      </c>
      <c r="B6" s="22">
        <f>Weekly_Inspections!$B6</f>
        <v>46111</v>
      </c>
      <c r="C6" s="23">
        <f>Weekly_Inspections!$E6</f>
        <v>3</v>
      </c>
      <c r="D6" s="23" t="str">
        <f>Weekly_Inspections!$F6</f>
        <v>Cluster 4</v>
      </c>
      <c r="E6" s="21" t="str">
        <f>Weekly_Inspections!$H6</f>
        <v>INNOVO</v>
      </c>
      <c r="F6" s="23" t="str">
        <f>IF(Weekly_Inspections!$AX6&lt;&gt;"",Weekly_Inspections!$AX6,IF(Weekly_Inspections!$AY6&lt;&gt;"",Weekly_Inspections!$AY6,IF(Weekly_Inspections!$AZ6&lt;&gt;"",Weekly_Inspections!$AZ6,IF(Weekly_Inspections!$BA6&lt;&gt;"",Weekly_Inspections!$BA6,IF(Weekly_Inspections!$BB6&lt;&gt;"",Weekly_Inspections!$BB6,Weekly_Inspections!$R6)))))</f>
        <v>Edge Protection</v>
      </c>
      <c r="G6" s="23">
        <f>IF(OR(Weekly_Inspections!$AQ6&lt;&gt;"",Weekly_Inspections!$AR6&lt;&gt;"",Weekly_Inspections!$AS6&lt;&gt;""),Weekly_Inspections!$AQ6,"")</f>
        <v>0</v>
      </c>
      <c r="H6" s="23" t="str">
        <f>Weekly_Inspections!$AP6</f>
        <v>Poor supervision</v>
      </c>
      <c r="I6" s="23" t="str">
        <f>Weekly_Inspections!$AR6</f>
        <v>sretybhy</v>
      </c>
      <c r="J6" s="23" t="str">
        <f>Weekly_Inspections!$AS6</f>
        <v>hfidjdgkjdfkdfgb</v>
      </c>
      <c r="K6" s="23">
        <f>Weekly_Inspections!$AU6</f>
        <v>0</v>
      </c>
      <c r="L6" s="22">
        <f>Weekly_Inspections!$AV6</f>
        <v>46112</v>
      </c>
      <c r="M6" s="23" t="str">
        <f t="shared" si="0"/>
        <v>Open</v>
      </c>
      <c r="N6" s="22"/>
      <c r="O6" s="21">
        <f t="shared" ca="1" si="1"/>
        <v>2</v>
      </c>
      <c r="P6" s="21" t="str">
        <f t="shared" ca="1" si="2"/>
        <v>YES</v>
      </c>
      <c r="Q6" s="23">
        <f>Weekly_Inspections!$AW6</f>
        <v>0</v>
      </c>
    </row>
    <row r="7" spans="1:17" ht="15" customHeight="1" x14ac:dyDescent="0.2">
      <c r="A7" s="21" t="str">
        <f>IF(Weekly_Inspections!$B7="","",Weekly_Inspections!$A7&amp;"-A1")</f>
        <v>20260331-Cluster1A-01-A1</v>
      </c>
      <c r="B7" s="22">
        <f>Weekly_Inspections!$B7</f>
        <v>46112</v>
      </c>
      <c r="C7" s="23">
        <f>Weekly_Inspections!$E7</f>
        <v>3</v>
      </c>
      <c r="D7" s="23" t="str">
        <f>Weekly_Inspections!$F7</f>
        <v>Cluster 1A</v>
      </c>
      <c r="E7" s="21" t="str">
        <f>Weekly_Inspections!$H7</f>
        <v>TAJV</v>
      </c>
      <c r="F7" s="23" t="str">
        <f>IF(Weekly_Inspections!$AX7&lt;&gt;"",Weekly_Inspections!$AX7,IF(Weekly_Inspections!$AY7&lt;&gt;"",Weekly_Inspections!$AY7,IF(Weekly_Inspections!$AZ7&lt;&gt;"",Weekly_Inspections!$AZ7,IF(Weekly_Inspections!$BA7&lt;&gt;"",Weekly_Inspections!$BA7,IF(Weekly_Inspections!$BB7&lt;&gt;"",Weekly_Inspections!$BB7,Weekly_Inspections!$R7)))))</f>
        <v>Edge Protection</v>
      </c>
      <c r="G7" s="23">
        <f>IF(OR(Weekly_Inspections!$AQ7&lt;&gt;"",Weekly_Inspections!$AR7&lt;&gt;"",Weekly_Inspections!$AS7&lt;&gt;""),Weekly_Inspections!$AQ7,"")</f>
        <v>0</v>
      </c>
      <c r="H7" s="23" t="str">
        <f>Weekly_Inspections!$AP7</f>
        <v>Poor supervision</v>
      </c>
      <c r="I7" s="23" t="str">
        <f>Weekly_Inspections!$AR7</f>
        <v>sretybhy</v>
      </c>
      <c r="J7" s="23" t="str">
        <f>Weekly_Inspections!$AS7</f>
        <v>hfidjdgkjdfkdfgb</v>
      </c>
      <c r="K7" s="23">
        <f>Weekly_Inspections!$AU7</f>
        <v>0</v>
      </c>
      <c r="L7" s="22">
        <f>Weekly_Inspections!$AV7</f>
        <v>46112</v>
      </c>
      <c r="M7" s="23" t="str">
        <f t="shared" si="0"/>
        <v>Open</v>
      </c>
      <c r="N7" s="22"/>
      <c r="O7" s="21">
        <f t="shared" ca="1" si="1"/>
        <v>1</v>
      </c>
      <c r="P7" s="21" t="str">
        <f t="shared" ca="1" si="2"/>
        <v>YES</v>
      </c>
      <c r="Q7" s="23">
        <f>Weekly_Inspections!$AW7</f>
        <v>0</v>
      </c>
    </row>
    <row r="8" spans="1:17" ht="15" customHeight="1" x14ac:dyDescent="0.2">
      <c r="A8" s="21" t="str">
        <f>IF(Weekly_Inspections!$B8="","",Weekly_Inspections!$A8&amp;"-A1")</f>
        <v>20260331-Cluster1B-01-A1</v>
      </c>
      <c r="B8" s="22">
        <f>Weekly_Inspections!$B8</f>
        <v>46112</v>
      </c>
      <c r="C8" s="23">
        <f>Weekly_Inspections!$E8</f>
        <v>3</v>
      </c>
      <c r="D8" s="23" t="str">
        <f>Weekly_Inspections!$F8</f>
        <v>Cluster 1B</v>
      </c>
      <c r="E8" s="21" t="str">
        <f>Weekly_Inspections!$H8</f>
        <v>TAJV</v>
      </c>
      <c r="F8" s="23" t="str">
        <f>IF(Weekly_Inspections!$AX8&lt;&gt;"",Weekly_Inspections!$AX8,IF(Weekly_Inspections!$AY8&lt;&gt;"",Weekly_Inspections!$AY8,IF(Weekly_Inspections!$AZ8&lt;&gt;"",Weekly_Inspections!$AZ8,IF(Weekly_Inspections!$BA8&lt;&gt;"",Weekly_Inspections!$BA8,IF(Weekly_Inspections!$BB8&lt;&gt;"",Weekly_Inspections!$BB8,Weekly_Inspections!$R8)))))</f>
        <v>Edge Protection</v>
      </c>
      <c r="G8" s="23">
        <f>IF(OR(Weekly_Inspections!$AQ8&lt;&gt;"",Weekly_Inspections!$AR8&lt;&gt;"",Weekly_Inspections!$AS8&lt;&gt;""),Weekly_Inspections!$AQ8,"")</f>
        <v>0</v>
      </c>
      <c r="H8" s="23" t="str">
        <f>Weekly_Inspections!$AP8</f>
        <v>Poor supervision</v>
      </c>
      <c r="I8" s="23" t="str">
        <f>Weekly_Inspections!$AR8</f>
        <v>sretybhy</v>
      </c>
      <c r="J8" s="23" t="str">
        <f>Weekly_Inspections!$AS8</f>
        <v>hfidjdgkjdfkdfgb</v>
      </c>
      <c r="K8" s="23">
        <f>Weekly_Inspections!$AU8</f>
        <v>0</v>
      </c>
      <c r="L8" s="22">
        <f>Weekly_Inspections!$AV8</f>
        <v>46112</v>
      </c>
      <c r="M8" s="23" t="str">
        <f t="shared" si="0"/>
        <v>Open</v>
      </c>
      <c r="N8" s="22"/>
      <c r="O8" s="21">
        <f t="shared" ca="1" si="1"/>
        <v>1</v>
      </c>
      <c r="P8" s="21" t="str">
        <f t="shared" ca="1" si="2"/>
        <v>YES</v>
      </c>
      <c r="Q8" s="23">
        <f>Weekly_Inspections!$AW8</f>
        <v>0</v>
      </c>
    </row>
    <row r="9" spans="1:17" ht="15" customHeight="1" x14ac:dyDescent="0.2">
      <c r="A9" s="21" t="str">
        <f>IF(Weekly_Inspections!$B9="","",Weekly_Inspections!$A9&amp;"-A1")</f>
        <v>20260331-Cluster6-01-A1</v>
      </c>
      <c r="B9" s="22">
        <f>Weekly_Inspections!$B9</f>
        <v>46112</v>
      </c>
      <c r="C9" s="23">
        <f>Weekly_Inspections!$E9</f>
        <v>3</v>
      </c>
      <c r="D9" s="23" t="str">
        <f>Weekly_Inspections!$F9</f>
        <v>Cluster 6</v>
      </c>
      <c r="E9" s="21" t="str">
        <f>Weekly_Inspections!$H9</f>
        <v>INNOVO</v>
      </c>
      <c r="F9" s="23" t="str">
        <f>IF(Weekly_Inspections!$AX9&lt;&gt;"",Weekly_Inspections!$AX9,IF(Weekly_Inspections!$AY9&lt;&gt;"",Weekly_Inspections!$AY9,IF(Weekly_Inspections!$AZ9&lt;&gt;"",Weekly_Inspections!$AZ9,IF(Weekly_Inspections!$BA9&lt;&gt;"",Weekly_Inspections!$BA9,IF(Weekly_Inspections!$BB9&lt;&gt;"",Weekly_Inspections!$BB9,Weekly_Inspections!$R9)))))</f>
        <v>Edge Protection</v>
      </c>
      <c r="G9" s="23">
        <f>IF(OR(Weekly_Inspections!$AQ9&lt;&gt;"",Weekly_Inspections!$AR9&lt;&gt;"",Weekly_Inspections!$AS9&lt;&gt;""),Weekly_Inspections!$AQ9,"")</f>
        <v>0</v>
      </c>
      <c r="H9" s="23" t="str">
        <f>Weekly_Inspections!$AP9</f>
        <v>Poor supervision</v>
      </c>
      <c r="I9" s="23" t="str">
        <f>Weekly_Inspections!$AR9</f>
        <v>sretybhy</v>
      </c>
      <c r="J9" s="23" t="str">
        <f>Weekly_Inspections!$AS9</f>
        <v>hfidjdgkjdfkdfgb</v>
      </c>
      <c r="K9" s="23">
        <f>Weekly_Inspections!$AU9</f>
        <v>0</v>
      </c>
      <c r="L9" s="22">
        <f>Weekly_Inspections!$AV9</f>
        <v>46112</v>
      </c>
      <c r="M9" s="23" t="str">
        <f t="shared" si="0"/>
        <v>Open</v>
      </c>
      <c r="N9" s="22"/>
      <c r="O9" s="21">
        <f t="shared" ca="1" si="1"/>
        <v>1</v>
      </c>
      <c r="P9" s="21" t="str">
        <f t="shared" ca="1" si="2"/>
        <v>YES</v>
      </c>
      <c r="Q9" s="23">
        <f>Weekly_Inspections!$AW9</f>
        <v>0</v>
      </c>
    </row>
    <row r="10" spans="1:17" ht="15" customHeight="1" x14ac:dyDescent="0.2">
      <c r="A10" s="21" t="str">
        <f>IF(Weekly_Inspections!$B10="","",Weekly_Inspections!$A10&amp;"-A1")</f>
        <v/>
      </c>
      <c r="B10" s="22">
        <f>Weekly_Inspections!$B10</f>
        <v>0</v>
      </c>
      <c r="C10" s="23">
        <f>Weekly_Inspections!$E10</f>
        <v>0</v>
      </c>
      <c r="D10" s="23">
        <f>Weekly_Inspections!$F10</f>
        <v>0</v>
      </c>
      <c r="E10" s="21" t="str">
        <f>Weekly_Inspections!$H10</f>
        <v/>
      </c>
      <c r="F10" s="23">
        <f>IF(Weekly_Inspections!$AX10&lt;&gt;"",Weekly_Inspections!$AX10,IF(Weekly_Inspections!$AY10&lt;&gt;"",Weekly_Inspections!$AY10,IF(Weekly_Inspections!$AZ10&lt;&gt;"",Weekly_Inspections!$AZ10,IF(Weekly_Inspections!$BA10&lt;&gt;"",Weekly_Inspections!$BA10,IF(Weekly_Inspections!$BB10&lt;&gt;"",Weekly_Inspections!$BB10,Weekly_Inspections!$R10)))))</f>
        <v>0</v>
      </c>
      <c r="G10" s="23" t="str">
        <f>IF(OR(Weekly_Inspections!$AQ10&lt;&gt;"",Weekly_Inspections!$AR10&lt;&gt;"",Weekly_Inspections!$AS10&lt;&gt;""),Weekly_Inspections!$AQ10,"")</f>
        <v/>
      </c>
      <c r="H10" s="23">
        <f>Weekly_Inspections!$AP10</f>
        <v>0</v>
      </c>
      <c r="I10" s="23">
        <f>Weekly_Inspections!$AR10</f>
        <v>0</v>
      </c>
      <c r="J10" s="23">
        <f>Weekly_Inspections!$AS10</f>
        <v>0</v>
      </c>
      <c r="K10" s="23">
        <f>Weekly_Inspections!$AU10</f>
        <v>0</v>
      </c>
      <c r="L10" s="22">
        <f>Weekly_Inspections!$AV10</f>
        <v>0</v>
      </c>
      <c r="M10" s="23" t="str">
        <f t="shared" si="0"/>
        <v>Open</v>
      </c>
      <c r="N10" s="22"/>
      <c r="O10" s="21">
        <f t="shared" ca="1" si="1"/>
        <v>46113</v>
      </c>
      <c r="P10" s="21" t="str">
        <f t="shared" ca="1" si="2"/>
        <v>YES</v>
      </c>
      <c r="Q10" s="23">
        <f>Weekly_Inspections!$AW10</f>
        <v>0</v>
      </c>
    </row>
    <row r="11" spans="1:17" ht="15" customHeight="1" x14ac:dyDescent="0.2">
      <c r="A11" s="21" t="str">
        <f>IF(Weekly_Inspections!$B11="","",Weekly_Inspections!$A11&amp;"-A1")</f>
        <v/>
      </c>
      <c r="B11" s="22">
        <f>Weekly_Inspections!$B11</f>
        <v>0</v>
      </c>
      <c r="C11" s="23">
        <f>Weekly_Inspections!$E11</f>
        <v>0</v>
      </c>
      <c r="D11" s="23">
        <f>Weekly_Inspections!$F11</f>
        <v>0</v>
      </c>
      <c r="E11" s="21" t="str">
        <f>Weekly_Inspections!$H11</f>
        <v/>
      </c>
      <c r="F11" s="23">
        <f>IF(Weekly_Inspections!$AX11&lt;&gt;"",Weekly_Inspections!$AX11,IF(Weekly_Inspections!$AY11&lt;&gt;"",Weekly_Inspections!$AY11,IF(Weekly_Inspections!$AZ11&lt;&gt;"",Weekly_Inspections!$AZ11,IF(Weekly_Inspections!$BA11&lt;&gt;"",Weekly_Inspections!$BA11,IF(Weekly_Inspections!$BB11&lt;&gt;"",Weekly_Inspections!$BB11,Weekly_Inspections!$R11)))))</f>
        <v>0</v>
      </c>
      <c r="G11" s="23" t="str">
        <f>IF(OR(Weekly_Inspections!$AQ11&lt;&gt;"",Weekly_Inspections!$AR11&lt;&gt;"",Weekly_Inspections!$AS11&lt;&gt;""),Weekly_Inspections!$AQ11,"")</f>
        <v/>
      </c>
      <c r="H11" s="23">
        <f>Weekly_Inspections!$AP11</f>
        <v>0</v>
      </c>
      <c r="I11" s="23">
        <f>Weekly_Inspections!$AR11</f>
        <v>0</v>
      </c>
      <c r="J11" s="23">
        <f>Weekly_Inspections!$AS11</f>
        <v>0</v>
      </c>
      <c r="K11" s="23">
        <f>Weekly_Inspections!$AU11</f>
        <v>0</v>
      </c>
      <c r="L11" s="22">
        <f>Weekly_Inspections!$AV11</f>
        <v>0</v>
      </c>
      <c r="M11" s="23" t="str">
        <f t="shared" si="0"/>
        <v>Open</v>
      </c>
      <c r="N11" s="22"/>
      <c r="O11" s="21">
        <f t="shared" ca="1" si="1"/>
        <v>46113</v>
      </c>
      <c r="P11" s="21" t="str">
        <f t="shared" ca="1" si="2"/>
        <v>YES</v>
      </c>
      <c r="Q11" s="23">
        <f>Weekly_Inspections!$AW11</f>
        <v>0</v>
      </c>
    </row>
    <row r="12" spans="1:17" ht="15" customHeight="1" x14ac:dyDescent="0.2">
      <c r="A12" s="21" t="str">
        <f>IF(Weekly_Inspections!$B12="","",Weekly_Inspections!$A12&amp;"-A1")</f>
        <v/>
      </c>
      <c r="B12" s="22">
        <f>Weekly_Inspections!$B12</f>
        <v>0</v>
      </c>
      <c r="C12" s="23">
        <f>Weekly_Inspections!$E12</f>
        <v>0</v>
      </c>
      <c r="D12" s="23">
        <f>Weekly_Inspections!$F12</f>
        <v>0</v>
      </c>
      <c r="E12" s="21" t="str">
        <f>Weekly_Inspections!$H12</f>
        <v/>
      </c>
      <c r="F12" s="23">
        <f>IF(Weekly_Inspections!$AX12&lt;&gt;"",Weekly_Inspections!$AX12,IF(Weekly_Inspections!$AY12&lt;&gt;"",Weekly_Inspections!$AY12,IF(Weekly_Inspections!$AZ12&lt;&gt;"",Weekly_Inspections!$AZ12,IF(Weekly_Inspections!$BA12&lt;&gt;"",Weekly_Inspections!$BA12,IF(Weekly_Inspections!$BB12&lt;&gt;"",Weekly_Inspections!$BB12,Weekly_Inspections!$R12)))))</f>
        <v>0</v>
      </c>
      <c r="G12" s="23" t="str">
        <f>IF(OR(Weekly_Inspections!$AQ12&lt;&gt;"",Weekly_Inspections!$AR12&lt;&gt;"",Weekly_Inspections!$AS12&lt;&gt;""),Weekly_Inspections!$AQ12,"")</f>
        <v/>
      </c>
      <c r="H12" s="23">
        <f>Weekly_Inspections!$AP12</f>
        <v>0</v>
      </c>
      <c r="I12" s="23">
        <f>Weekly_Inspections!$AR12</f>
        <v>0</v>
      </c>
      <c r="J12" s="23">
        <f>Weekly_Inspections!$AS12</f>
        <v>0</v>
      </c>
      <c r="K12" s="23">
        <f>Weekly_Inspections!$AU12</f>
        <v>0</v>
      </c>
      <c r="L12" s="22">
        <f>Weekly_Inspections!$AV12</f>
        <v>0</v>
      </c>
      <c r="M12" s="23" t="str">
        <f t="shared" si="0"/>
        <v>Open</v>
      </c>
      <c r="N12" s="22"/>
      <c r="O12" s="21">
        <f t="shared" ca="1" si="1"/>
        <v>46113</v>
      </c>
      <c r="P12" s="21" t="str">
        <f t="shared" ca="1" si="2"/>
        <v>YES</v>
      </c>
      <c r="Q12" s="23">
        <f>Weekly_Inspections!$AW12</f>
        <v>0</v>
      </c>
    </row>
    <row r="13" spans="1:17" ht="15" customHeight="1" x14ac:dyDescent="0.2">
      <c r="A13" s="21" t="str">
        <f>IF(Weekly_Inspections!$B13="","",Weekly_Inspections!$A13&amp;"-A1")</f>
        <v/>
      </c>
      <c r="B13" s="22">
        <f>Weekly_Inspections!$B13</f>
        <v>0</v>
      </c>
      <c r="C13" s="23">
        <f>Weekly_Inspections!$E13</f>
        <v>0</v>
      </c>
      <c r="D13" s="23">
        <f>Weekly_Inspections!$F13</f>
        <v>0</v>
      </c>
      <c r="E13" s="21" t="str">
        <f>Weekly_Inspections!$H13</f>
        <v/>
      </c>
      <c r="F13" s="23">
        <f>IF(Weekly_Inspections!$AX13&lt;&gt;"",Weekly_Inspections!$AX13,IF(Weekly_Inspections!$AY13&lt;&gt;"",Weekly_Inspections!$AY13,IF(Weekly_Inspections!$AZ13&lt;&gt;"",Weekly_Inspections!$AZ13,IF(Weekly_Inspections!$BA13&lt;&gt;"",Weekly_Inspections!$BA13,IF(Weekly_Inspections!$BB13&lt;&gt;"",Weekly_Inspections!$BB13,Weekly_Inspections!$R13)))))</f>
        <v>0</v>
      </c>
      <c r="G13" s="23" t="str">
        <f>IF(OR(Weekly_Inspections!$AQ13&lt;&gt;"",Weekly_Inspections!$AR13&lt;&gt;"",Weekly_Inspections!$AS13&lt;&gt;""),Weekly_Inspections!$AQ13,"")</f>
        <v/>
      </c>
      <c r="H13" s="23">
        <f>Weekly_Inspections!$AP13</f>
        <v>0</v>
      </c>
      <c r="I13" s="23">
        <f>Weekly_Inspections!$AR13</f>
        <v>0</v>
      </c>
      <c r="J13" s="23">
        <f>Weekly_Inspections!$AS13</f>
        <v>0</v>
      </c>
      <c r="K13" s="23">
        <f>Weekly_Inspections!$AU13</f>
        <v>0</v>
      </c>
      <c r="L13" s="22">
        <f>Weekly_Inspections!$AV13</f>
        <v>0</v>
      </c>
      <c r="M13" s="23" t="str">
        <f t="shared" si="0"/>
        <v>Open</v>
      </c>
      <c r="N13" s="22"/>
      <c r="O13" s="21">
        <f t="shared" ca="1" si="1"/>
        <v>46113</v>
      </c>
      <c r="P13" s="21" t="str">
        <f t="shared" ca="1" si="2"/>
        <v>YES</v>
      </c>
      <c r="Q13" s="23">
        <f>Weekly_Inspections!$AW13</f>
        <v>0</v>
      </c>
    </row>
    <row r="14" spans="1:17" ht="15" customHeight="1" x14ac:dyDescent="0.2">
      <c r="A14" s="21" t="str">
        <f>IF(Weekly_Inspections!$B14="","",Weekly_Inspections!$A14&amp;"-A1")</f>
        <v/>
      </c>
      <c r="B14" s="22">
        <f>Weekly_Inspections!$B14</f>
        <v>0</v>
      </c>
      <c r="C14" s="23">
        <f>Weekly_Inspections!$E14</f>
        <v>0</v>
      </c>
      <c r="D14" s="23">
        <f>Weekly_Inspections!$F14</f>
        <v>0</v>
      </c>
      <c r="E14" s="21" t="str">
        <f>Weekly_Inspections!$H14</f>
        <v/>
      </c>
      <c r="F14" s="23">
        <f>IF(Weekly_Inspections!$AX14&lt;&gt;"",Weekly_Inspections!$AX14,IF(Weekly_Inspections!$AY14&lt;&gt;"",Weekly_Inspections!$AY14,IF(Weekly_Inspections!$AZ14&lt;&gt;"",Weekly_Inspections!$AZ14,IF(Weekly_Inspections!$BA14&lt;&gt;"",Weekly_Inspections!$BA14,IF(Weekly_Inspections!$BB14&lt;&gt;"",Weekly_Inspections!$BB14,Weekly_Inspections!$R14)))))</f>
        <v>0</v>
      </c>
      <c r="G14" s="23" t="str">
        <f>IF(OR(Weekly_Inspections!$AQ14&lt;&gt;"",Weekly_Inspections!$AR14&lt;&gt;"",Weekly_Inspections!$AS14&lt;&gt;""),Weekly_Inspections!$AQ14,"")</f>
        <v/>
      </c>
      <c r="H14" s="23">
        <f>Weekly_Inspections!$AP14</f>
        <v>0</v>
      </c>
      <c r="I14" s="23">
        <f>Weekly_Inspections!$AR14</f>
        <v>0</v>
      </c>
      <c r="J14" s="23">
        <f>Weekly_Inspections!$AS14</f>
        <v>0</v>
      </c>
      <c r="K14" s="23">
        <f>Weekly_Inspections!$AU14</f>
        <v>0</v>
      </c>
      <c r="L14" s="22">
        <f>Weekly_Inspections!$AV14</f>
        <v>0</v>
      </c>
      <c r="M14" s="23" t="str">
        <f t="shared" si="0"/>
        <v>Open</v>
      </c>
      <c r="N14" s="22"/>
      <c r="O14" s="21">
        <f t="shared" ca="1" si="1"/>
        <v>46113</v>
      </c>
      <c r="P14" s="21" t="str">
        <f t="shared" ca="1" si="2"/>
        <v>YES</v>
      </c>
      <c r="Q14" s="23">
        <f>Weekly_Inspections!$AW14</f>
        <v>0</v>
      </c>
    </row>
    <row r="15" spans="1:17" ht="15" customHeight="1" x14ac:dyDescent="0.2">
      <c r="A15" s="21" t="str">
        <f>IF(Weekly_Inspections!$B15="","",Weekly_Inspections!$A15&amp;"-A1")</f>
        <v/>
      </c>
      <c r="B15" s="22">
        <f>Weekly_Inspections!$B15</f>
        <v>0</v>
      </c>
      <c r="C15" s="23">
        <f>Weekly_Inspections!$E15</f>
        <v>0</v>
      </c>
      <c r="D15" s="23">
        <f>Weekly_Inspections!$F15</f>
        <v>0</v>
      </c>
      <c r="E15" s="21" t="str">
        <f>Weekly_Inspections!$H15</f>
        <v/>
      </c>
      <c r="F15" s="23">
        <f>IF(Weekly_Inspections!$AX15&lt;&gt;"",Weekly_Inspections!$AX15,IF(Weekly_Inspections!$AY15&lt;&gt;"",Weekly_Inspections!$AY15,IF(Weekly_Inspections!$AZ15&lt;&gt;"",Weekly_Inspections!$AZ15,IF(Weekly_Inspections!$BA15&lt;&gt;"",Weekly_Inspections!$BA15,IF(Weekly_Inspections!$BB15&lt;&gt;"",Weekly_Inspections!$BB15,Weekly_Inspections!$R15)))))</f>
        <v>0</v>
      </c>
      <c r="G15" s="23" t="str">
        <f>IF(OR(Weekly_Inspections!$AQ15&lt;&gt;"",Weekly_Inspections!$AR15&lt;&gt;"",Weekly_Inspections!$AS15&lt;&gt;""),Weekly_Inspections!$AQ15,"")</f>
        <v/>
      </c>
      <c r="H15" s="23">
        <f>Weekly_Inspections!$AP15</f>
        <v>0</v>
      </c>
      <c r="I15" s="23">
        <f>Weekly_Inspections!$AR15</f>
        <v>0</v>
      </c>
      <c r="J15" s="23">
        <f>Weekly_Inspections!$AS15</f>
        <v>0</v>
      </c>
      <c r="K15" s="23">
        <f>Weekly_Inspections!$AU15</f>
        <v>0</v>
      </c>
      <c r="L15" s="22">
        <f>Weekly_Inspections!$AV15</f>
        <v>0</v>
      </c>
      <c r="M15" s="23" t="str">
        <f t="shared" si="0"/>
        <v>Open</v>
      </c>
      <c r="N15" s="22"/>
      <c r="O15" s="21">
        <f t="shared" ca="1" si="1"/>
        <v>46113</v>
      </c>
      <c r="P15" s="21" t="str">
        <f t="shared" ca="1" si="2"/>
        <v>YES</v>
      </c>
      <c r="Q15" s="23">
        <f>Weekly_Inspections!$AW15</f>
        <v>0</v>
      </c>
    </row>
    <row r="16" spans="1:17" ht="15" customHeight="1" x14ac:dyDescent="0.2">
      <c r="A16" s="21" t="str">
        <f>IF(Weekly_Inspections!$B16="","",Weekly_Inspections!$A16&amp;"-A1")</f>
        <v/>
      </c>
      <c r="B16" s="22">
        <f>Weekly_Inspections!$B16</f>
        <v>0</v>
      </c>
      <c r="C16" s="23">
        <f>Weekly_Inspections!$E16</f>
        <v>0</v>
      </c>
      <c r="D16" s="23">
        <f>Weekly_Inspections!$F16</f>
        <v>0</v>
      </c>
      <c r="E16" s="21" t="str">
        <f>Weekly_Inspections!$H16</f>
        <v/>
      </c>
      <c r="F16" s="23">
        <f>IF(Weekly_Inspections!$AX16&lt;&gt;"",Weekly_Inspections!$AX16,IF(Weekly_Inspections!$AY16&lt;&gt;"",Weekly_Inspections!$AY16,IF(Weekly_Inspections!$AZ16&lt;&gt;"",Weekly_Inspections!$AZ16,IF(Weekly_Inspections!$BA16&lt;&gt;"",Weekly_Inspections!$BA16,IF(Weekly_Inspections!$BB16&lt;&gt;"",Weekly_Inspections!$BB16,Weekly_Inspections!$R16)))))</f>
        <v>0</v>
      </c>
      <c r="G16" s="23" t="str">
        <f>IF(OR(Weekly_Inspections!$AQ16&lt;&gt;"",Weekly_Inspections!$AR16&lt;&gt;"",Weekly_Inspections!$AS16&lt;&gt;""),Weekly_Inspections!$AQ16,"")</f>
        <v/>
      </c>
      <c r="H16" s="23">
        <f>Weekly_Inspections!$AP16</f>
        <v>0</v>
      </c>
      <c r="I16" s="23">
        <f>Weekly_Inspections!$AR16</f>
        <v>0</v>
      </c>
      <c r="J16" s="23">
        <f>Weekly_Inspections!$AS16</f>
        <v>0</v>
      </c>
      <c r="K16" s="23">
        <f>Weekly_Inspections!$AU16</f>
        <v>0</v>
      </c>
      <c r="L16" s="22">
        <f>Weekly_Inspections!$AV16</f>
        <v>0</v>
      </c>
      <c r="M16" s="23" t="str">
        <f t="shared" si="0"/>
        <v>Open</v>
      </c>
      <c r="N16" s="22"/>
      <c r="O16" s="21">
        <f t="shared" ca="1" si="1"/>
        <v>46113</v>
      </c>
      <c r="P16" s="21" t="str">
        <f t="shared" ca="1" si="2"/>
        <v>YES</v>
      </c>
      <c r="Q16" s="23">
        <f>Weekly_Inspections!$AW16</f>
        <v>0</v>
      </c>
    </row>
    <row r="17" spans="1:17" ht="15" customHeight="1" x14ac:dyDescent="0.2">
      <c r="A17" s="21" t="str">
        <f>IF(Weekly_Inspections!$B17="","",Weekly_Inspections!$A17&amp;"-A1")</f>
        <v/>
      </c>
      <c r="B17" s="22">
        <f>Weekly_Inspections!$B17</f>
        <v>0</v>
      </c>
      <c r="C17" s="23">
        <f>Weekly_Inspections!$E17</f>
        <v>0</v>
      </c>
      <c r="D17" s="23">
        <f>Weekly_Inspections!$F17</f>
        <v>0</v>
      </c>
      <c r="E17" s="21" t="str">
        <f>Weekly_Inspections!$H17</f>
        <v/>
      </c>
      <c r="F17" s="23">
        <f>IF(Weekly_Inspections!$AX17&lt;&gt;"",Weekly_Inspections!$AX17,IF(Weekly_Inspections!$AY17&lt;&gt;"",Weekly_Inspections!$AY17,IF(Weekly_Inspections!$AZ17&lt;&gt;"",Weekly_Inspections!$AZ17,IF(Weekly_Inspections!$BA17&lt;&gt;"",Weekly_Inspections!$BA17,IF(Weekly_Inspections!$BB17&lt;&gt;"",Weekly_Inspections!$BB17,Weekly_Inspections!$R17)))))</f>
        <v>0</v>
      </c>
      <c r="G17" s="23" t="str">
        <f>IF(OR(Weekly_Inspections!$AQ17&lt;&gt;"",Weekly_Inspections!$AR17&lt;&gt;"",Weekly_Inspections!$AS17&lt;&gt;""),Weekly_Inspections!$AQ17,"")</f>
        <v/>
      </c>
      <c r="H17" s="23">
        <f>Weekly_Inspections!$AP17</f>
        <v>0</v>
      </c>
      <c r="I17" s="23">
        <f>Weekly_Inspections!$AR17</f>
        <v>0</v>
      </c>
      <c r="J17" s="23">
        <f>Weekly_Inspections!$AS17</f>
        <v>0</v>
      </c>
      <c r="K17" s="23">
        <f>Weekly_Inspections!$AU17</f>
        <v>0</v>
      </c>
      <c r="L17" s="22">
        <f>Weekly_Inspections!$AV17</f>
        <v>0</v>
      </c>
      <c r="M17" s="23" t="str">
        <f t="shared" si="0"/>
        <v>Open</v>
      </c>
      <c r="N17" s="22"/>
      <c r="O17" s="21">
        <f t="shared" ca="1" si="1"/>
        <v>46113</v>
      </c>
      <c r="P17" s="21" t="str">
        <f t="shared" ca="1" si="2"/>
        <v>YES</v>
      </c>
      <c r="Q17" s="23">
        <f>Weekly_Inspections!$AW17</f>
        <v>0</v>
      </c>
    </row>
    <row r="18" spans="1:17" ht="15" customHeight="1" x14ac:dyDescent="0.2">
      <c r="A18" s="21" t="str">
        <f>IF(Weekly_Inspections!$B18="","",Weekly_Inspections!$A18&amp;"-A1")</f>
        <v/>
      </c>
      <c r="B18" s="22">
        <f>Weekly_Inspections!$B18</f>
        <v>0</v>
      </c>
      <c r="C18" s="23">
        <f>Weekly_Inspections!$E18</f>
        <v>0</v>
      </c>
      <c r="D18" s="23">
        <f>Weekly_Inspections!$F18</f>
        <v>0</v>
      </c>
      <c r="E18" s="21" t="str">
        <f>Weekly_Inspections!$H18</f>
        <v/>
      </c>
      <c r="F18" s="23">
        <f>IF(Weekly_Inspections!$AX18&lt;&gt;"",Weekly_Inspections!$AX18,IF(Weekly_Inspections!$AY18&lt;&gt;"",Weekly_Inspections!$AY18,IF(Weekly_Inspections!$AZ18&lt;&gt;"",Weekly_Inspections!$AZ18,IF(Weekly_Inspections!$BA18&lt;&gt;"",Weekly_Inspections!$BA18,IF(Weekly_Inspections!$BB18&lt;&gt;"",Weekly_Inspections!$BB18,Weekly_Inspections!$R18)))))</f>
        <v>0</v>
      </c>
      <c r="G18" s="23" t="str">
        <f>IF(OR(Weekly_Inspections!$AQ18&lt;&gt;"",Weekly_Inspections!$AR18&lt;&gt;"",Weekly_Inspections!$AS18&lt;&gt;""),Weekly_Inspections!$AQ18,"")</f>
        <v/>
      </c>
      <c r="H18" s="23">
        <f>Weekly_Inspections!$AP18</f>
        <v>0</v>
      </c>
      <c r="I18" s="23">
        <f>Weekly_Inspections!$AR18</f>
        <v>0</v>
      </c>
      <c r="J18" s="23">
        <f>Weekly_Inspections!$AS18</f>
        <v>0</v>
      </c>
      <c r="K18" s="23">
        <f>Weekly_Inspections!$AU18</f>
        <v>0</v>
      </c>
      <c r="L18" s="22">
        <f>Weekly_Inspections!$AV18</f>
        <v>0</v>
      </c>
      <c r="M18" s="23" t="str">
        <f t="shared" si="0"/>
        <v>Open</v>
      </c>
      <c r="N18" s="22"/>
      <c r="O18" s="21">
        <f t="shared" ca="1" si="1"/>
        <v>46113</v>
      </c>
      <c r="P18" s="21" t="str">
        <f t="shared" ca="1" si="2"/>
        <v>YES</v>
      </c>
      <c r="Q18" s="23">
        <f>Weekly_Inspections!$AW18</f>
        <v>0</v>
      </c>
    </row>
    <row r="19" spans="1:17" ht="15" customHeight="1" x14ac:dyDescent="0.2">
      <c r="A19" s="21" t="str">
        <f>IF(Weekly_Inspections!$B19="","",Weekly_Inspections!$A19&amp;"-A1")</f>
        <v/>
      </c>
      <c r="B19" s="22">
        <f>Weekly_Inspections!$B19</f>
        <v>0</v>
      </c>
      <c r="C19" s="23">
        <f>Weekly_Inspections!$E19</f>
        <v>0</v>
      </c>
      <c r="D19" s="23">
        <f>Weekly_Inspections!$F19</f>
        <v>0</v>
      </c>
      <c r="E19" s="21" t="str">
        <f>Weekly_Inspections!$H19</f>
        <v/>
      </c>
      <c r="F19" s="23">
        <f>IF(Weekly_Inspections!$AX19&lt;&gt;"",Weekly_Inspections!$AX19,IF(Weekly_Inspections!$AY19&lt;&gt;"",Weekly_Inspections!$AY19,IF(Weekly_Inspections!$AZ19&lt;&gt;"",Weekly_Inspections!$AZ19,IF(Weekly_Inspections!$BA19&lt;&gt;"",Weekly_Inspections!$BA19,IF(Weekly_Inspections!$BB19&lt;&gt;"",Weekly_Inspections!$BB19,Weekly_Inspections!$R19)))))</f>
        <v>0</v>
      </c>
      <c r="G19" s="23" t="str">
        <f>IF(OR(Weekly_Inspections!$AQ19&lt;&gt;"",Weekly_Inspections!$AR19&lt;&gt;"",Weekly_Inspections!$AS19&lt;&gt;""),Weekly_Inspections!$AQ19,"")</f>
        <v/>
      </c>
      <c r="H19" s="23">
        <f>Weekly_Inspections!$AP19</f>
        <v>0</v>
      </c>
      <c r="I19" s="23">
        <f>Weekly_Inspections!$AR19</f>
        <v>0</v>
      </c>
      <c r="J19" s="23">
        <f>Weekly_Inspections!$AS19</f>
        <v>0</v>
      </c>
      <c r="K19" s="23">
        <f>Weekly_Inspections!$AU19</f>
        <v>0</v>
      </c>
      <c r="L19" s="22">
        <f>Weekly_Inspections!$AV19</f>
        <v>0</v>
      </c>
      <c r="M19" s="23" t="str">
        <f t="shared" si="0"/>
        <v>Open</v>
      </c>
      <c r="N19" s="22"/>
      <c r="O19" s="21">
        <f t="shared" ca="1" si="1"/>
        <v>46113</v>
      </c>
      <c r="P19" s="21" t="str">
        <f t="shared" ca="1" si="2"/>
        <v>YES</v>
      </c>
      <c r="Q19" s="23">
        <f>Weekly_Inspections!$AW19</f>
        <v>0</v>
      </c>
    </row>
    <row r="20" spans="1:17" ht="15" customHeight="1" x14ac:dyDescent="0.2">
      <c r="A20" s="21" t="str">
        <f>IF(Weekly_Inspections!$B20="","",Weekly_Inspections!$A20&amp;"-A1")</f>
        <v/>
      </c>
      <c r="B20" s="22">
        <f>Weekly_Inspections!$B20</f>
        <v>0</v>
      </c>
      <c r="C20" s="23">
        <f>Weekly_Inspections!$E20</f>
        <v>0</v>
      </c>
      <c r="D20" s="23">
        <f>Weekly_Inspections!$F20</f>
        <v>0</v>
      </c>
      <c r="E20" s="21" t="str">
        <f>Weekly_Inspections!$H20</f>
        <v/>
      </c>
      <c r="F20" s="23">
        <f>IF(Weekly_Inspections!$AX20&lt;&gt;"",Weekly_Inspections!$AX20,IF(Weekly_Inspections!$AY20&lt;&gt;"",Weekly_Inspections!$AY20,IF(Weekly_Inspections!$AZ20&lt;&gt;"",Weekly_Inspections!$AZ20,IF(Weekly_Inspections!$BA20&lt;&gt;"",Weekly_Inspections!$BA20,IF(Weekly_Inspections!$BB20&lt;&gt;"",Weekly_Inspections!$BB20,Weekly_Inspections!$R20)))))</f>
        <v>0</v>
      </c>
      <c r="G20" s="23" t="str">
        <f>IF(OR(Weekly_Inspections!$AQ20&lt;&gt;"",Weekly_Inspections!$AR20&lt;&gt;"",Weekly_Inspections!$AS20&lt;&gt;""),Weekly_Inspections!$AQ20,"")</f>
        <v/>
      </c>
      <c r="H20" s="23">
        <f>Weekly_Inspections!$AP20</f>
        <v>0</v>
      </c>
      <c r="I20" s="23">
        <f>Weekly_Inspections!$AR20</f>
        <v>0</v>
      </c>
      <c r="J20" s="23">
        <f>Weekly_Inspections!$AS20</f>
        <v>0</v>
      </c>
      <c r="K20" s="23">
        <f>Weekly_Inspections!$AU20</f>
        <v>0</v>
      </c>
      <c r="L20" s="22">
        <f>Weekly_Inspections!$AV20</f>
        <v>0</v>
      </c>
      <c r="M20" s="23" t="str">
        <f t="shared" si="0"/>
        <v>Open</v>
      </c>
      <c r="N20" s="22"/>
      <c r="O20" s="21">
        <f t="shared" ca="1" si="1"/>
        <v>46113</v>
      </c>
      <c r="P20" s="21" t="str">
        <f t="shared" ca="1" si="2"/>
        <v>YES</v>
      </c>
      <c r="Q20" s="23">
        <f>Weekly_Inspections!$AW20</f>
        <v>0</v>
      </c>
    </row>
    <row r="21" spans="1:17" ht="15" customHeight="1" x14ac:dyDescent="0.2">
      <c r="A21" s="21" t="str">
        <f>IF(Weekly_Inspections!$B21="","",Weekly_Inspections!$A21&amp;"-A1")</f>
        <v/>
      </c>
      <c r="B21" s="22">
        <f>Weekly_Inspections!$B21</f>
        <v>0</v>
      </c>
      <c r="C21" s="23">
        <f>Weekly_Inspections!$E21</f>
        <v>0</v>
      </c>
      <c r="D21" s="23">
        <f>Weekly_Inspections!$F21</f>
        <v>0</v>
      </c>
      <c r="E21" s="21" t="str">
        <f>Weekly_Inspections!$H21</f>
        <v/>
      </c>
      <c r="F21" s="23">
        <f>IF(Weekly_Inspections!$AX21&lt;&gt;"",Weekly_Inspections!$AX21,IF(Weekly_Inspections!$AY21&lt;&gt;"",Weekly_Inspections!$AY21,IF(Weekly_Inspections!$AZ21&lt;&gt;"",Weekly_Inspections!$AZ21,IF(Weekly_Inspections!$BA21&lt;&gt;"",Weekly_Inspections!$BA21,IF(Weekly_Inspections!$BB21&lt;&gt;"",Weekly_Inspections!$BB21,Weekly_Inspections!$R21)))))</f>
        <v>0</v>
      </c>
      <c r="G21" s="23" t="str">
        <f>IF(OR(Weekly_Inspections!$AQ21&lt;&gt;"",Weekly_Inspections!$AR21&lt;&gt;"",Weekly_Inspections!$AS21&lt;&gt;""),Weekly_Inspections!$AQ21,"")</f>
        <v/>
      </c>
      <c r="H21" s="23">
        <f>Weekly_Inspections!$AP21</f>
        <v>0</v>
      </c>
      <c r="I21" s="23">
        <f>Weekly_Inspections!$AR21</f>
        <v>0</v>
      </c>
      <c r="J21" s="23">
        <f>Weekly_Inspections!$AS21</f>
        <v>0</v>
      </c>
      <c r="K21" s="23">
        <f>Weekly_Inspections!$AU21</f>
        <v>0</v>
      </c>
      <c r="L21" s="22">
        <f>Weekly_Inspections!$AV21</f>
        <v>0</v>
      </c>
      <c r="M21" s="23" t="str">
        <f t="shared" si="0"/>
        <v>Open</v>
      </c>
      <c r="N21" s="22"/>
      <c r="O21" s="21">
        <f t="shared" ca="1" si="1"/>
        <v>46113</v>
      </c>
      <c r="P21" s="21" t="str">
        <f t="shared" ca="1" si="2"/>
        <v>YES</v>
      </c>
      <c r="Q21" s="23">
        <f>Weekly_Inspections!$AW21</f>
        <v>0</v>
      </c>
    </row>
    <row r="22" spans="1:17" ht="15" customHeight="1" x14ac:dyDescent="0.2">
      <c r="A22" s="21" t="str">
        <f>IF(Weekly_Inspections!$B22="","",Weekly_Inspections!$A22&amp;"-A1")</f>
        <v/>
      </c>
      <c r="B22" s="22">
        <f>Weekly_Inspections!$B22</f>
        <v>0</v>
      </c>
      <c r="C22" s="23">
        <f>Weekly_Inspections!$E22</f>
        <v>0</v>
      </c>
      <c r="D22" s="23">
        <f>Weekly_Inspections!$F22</f>
        <v>0</v>
      </c>
      <c r="E22" s="21" t="str">
        <f>Weekly_Inspections!$H22</f>
        <v/>
      </c>
      <c r="F22" s="23">
        <f>IF(Weekly_Inspections!$AX22&lt;&gt;"",Weekly_Inspections!$AX22,IF(Weekly_Inspections!$AY22&lt;&gt;"",Weekly_Inspections!$AY22,IF(Weekly_Inspections!$AZ22&lt;&gt;"",Weekly_Inspections!$AZ22,IF(Weekly_Inspections!$BA22&lt;&gt;"",Weekly_Inspections!$BA22,IF(Weekly_Inspections!$BB22&lt;&gt;"",Weekly_Inspections!$BB22,Weekly_Inspections!$R22)))))</f>
        <v>0</v>
      </c>
      <c r="G22" s="23" t="str">
        <f>IF(OR(Weekly_Inspections!$AQ22&lt;&gt;"",Weekly_Inspections!$AR22&lt;&gt;"",Weekly_Inspections!$AS22&lt;&gt;""),Weekly_Inspections!$AQ22,"")</f>
        <v/>
      </c>
      <c r="H22" s="23">
        <f>Weekly_Inspections!$AP22</f>
        <v>0</v>
      </c>
      <c r="I22" s="23">
        <f>Weekly_Inspections!$AR22</f>
        <v>0</v>
      </c>
      <c r="J22" s="23">
        <f>Weekly_Inspections!$AS22</f>
        <v>0</v>
      </c>
      <c r="K22" s="23">
        <f>Weekly_Inspections!$AU22</f>
        <v>0</v>
      </c>
      <c r="L22" s="22">
        <f>Weekly_Inspections!$AV22</f>
        <v>0</v>
      </c>
      <c r="M22" s="23" t="str">
        <f t="shared" si="0"/>
        <v>Open</v>
      </c>
      <c r="N22" s="22"/>
      <c r="O22" s="21">
        <f t="shared" ca="1" si="1"/>
        <v>46113</v>
      </c>
      <c r="P22" s="21" t="str">
        <f t="shared" ca="1" si="2"/>
        <v>YES</v>
      </c>
      <c r="Q22" s="23">
        <f>Weekly_Inspections!$AW22</f>
        <v>0</v>
      </c>
    </row>
    <row r="23" spans="1:17" ht="15" customHeight="1" x14ac:dyDescent="0.2">
      <c r="A23" s="21" t="str">
        <f>IF(Weekly_Inspections!$B23="","",Weekly_Inspections!$A23&amp;"-A1")</f>
        <v/>
      </c>
      <c r="B23" s="22">
        <f>Weekly_Inspections!$B23</f>
        <v>0</v>
      </c>
      <c r="C23" s="23">
        <f>Weekly_Inspections!$E23</f>
        <v>0</v>
      </c>
      <c r="D23" s="23">
        <f>Weekly_Inspections!$F23</f>
        <v>0</v>
      </c>
      <c r="E23" s="21" t="str">
        <f>Weekly_Inspections!$H23</f>
        <v/>
      </c>
      <c r="F23" s="23">
        <f>IF(Weekly_Inspections!$AX23&lt;&gt;"",Weekly_Inspections!$AX23,IF(Weekly_Inspections!$AY23&lt;&gt;"",Weekly_Inspections!$AY23,IF(Weekly_Inspections!$AZ23&lt;&gt;"",Weekly_Inspections!$AZ23,IF(Weekly_Inspections!$BA23&lt;&gt;"",Weekly_Inspections!$BA23,IF(Weekly_Inspections!$BB23&lt;&gt;"",Weekly_Inspections!$BB23,Weekly_Inspections!$R23)))))</f>
        <v>0</v>
      </c>
      <c r="G23" s="23" t="str">
        <f>IF(OR(Weekly_Inspections!$AQ23&lt;&gt;"",Weekly_Inspections!$AR23&lt;&gt;"",Weekly_Inspections!$AS23&lt;&gt;""),Weekly_Inspections!$AQ23,"")</f>
        <v/>
      </c>
      <c r="H23" s="23">
        <f>Weekly_Inspections!$AP23</f>
        <v>0</v>
      </c>
      <c r="I23" s="23">
        <f>Weekly_Inspections!$AR23</f>
        <v>0</v>
      </c>
      <c r="J23" s="23">
        <f>Weekly_Inspections!$AS23</f>
        <v>0</v>
      </c>
      <c r="K23" s="23">
        <f>Weekly_Inspections!$AU23</f>
        <v>0</v>
      </c>
      <c r="L23" s="22">
        <f>Weekly_Inspections!$AV23</f>
        <v>0</v>
      </c>
      <c r="M23" s="23" t="str">
        <f t="shared" si="0"/>
        <v>Open</v>
      </c>
      <c r="N23" s="22"/>
      <c r="O23" s="21">
        <f t="shared" ca="1" si="1"/>
        <v>46113</v>
      </c>
      <c r="P23" s="21" t="str">
        <f t="shared" ca="1" si="2"/>
        <v>YES</v>
      </c>
      <c r="Q23" s="23">
        <f>Weekly_Inspections!$AW23</f>
        <v>0</v>
      </c>
    </row>
    <row r="24" spans="1:17" ht="15" customHeight="1" x14ac:dyDescent="0.2">
      <c r="A24" s="21" t="str">
        <f>IF(Weekly_Inspections!$B24="","",Weekly_Inspections!$A24&amp;"-A1")</f>
        <v/>
      </c>
      <c r="B24" s="22">
        <f>Weekly_Inspections!$B24</f>
        <v>0</v>
      </c>
      <c r="C24" s="23">
        <f>Weekly_Inspections!$E24</f>
        <v>0</v>
      </c>
      <c r="D24" s="23">
        <f>Weekly_Inspections!$F24</f>
        <v>0</v>
      </c>
      <c r="E24" s="21" t="str">
        <f>Weekly_Inspections!$H24</f>
        <v/>
      </c>
      <c r="F24" s="23">
        <f>IF(Weekly_Inspections!$AX24&lt;&gt;"",Weekly_Inspections!$AX24,IF(Weekly_Inspections!$AY24&lt;&gt;"",Weekly_Inspections!$AY24,IF(Weekly_Inspections!$AZ24&lt;&gt;"",Weekly_Inspections!$AZ24,IF(Weekly_Inspections!$BA24&lt;&gt;"",Weekly_Inspections!$BA24,IF(Weekly_Inspections!$BB24&lt;&gt;"",Weekly_Inspections!$BB24,Weekly_Inspections!$R24)))))</f>
        <v>0</v>
      </c>
      <c r="G24" s="23" t="str">
        <f>IF(OR(Weekly_Inspections!$AQ24&lt;&gt;"",Weekly_Inspections!$AR24&lt;&gt;"",Weekly_Inspections!$AS24&lt;&gt;""),Weekly_Inspections!$AQ24,"")</f>
        <v/>
      </c>
      <c r="H24" s="23">
        <f>Weekly_Inspections!$AP24</f>
        <v>0</v>
      </c>
      <c r="I24" s="23">
        <f>Weekly_Inspections!$AR24</f>
        <v>0</v>
      </c>
      <c r="J24" s="23">
        <f>Weekly_Inspections!$AS24</f>
        <v>0</v>
      </c>
      <c r="K24" s="23">
        <f>Weekly_Inspections!$AU24</f>
        <v>0</v>
      </c>
      <c r="L24" s="22">
        <f>Weekly_Inspections!$AV24</f>
        <v>0</v>
      </c>
      <c r="M24" s="23" t="str">
        <f t="shared" si="0"/>
        <v>Open</v>
      </c>
      <c r="N24" s="22"/>
      <c r="O24" s="21">
        <f t="shared" ca="1" si="1"/>
        <v>46113</v>
      </c>
      <c r="P24" s="21" t="str">
        <f t="shared" ca="1" si="2"/>
        <v>YES</v>
      </c>
      <c r="Q24" s="23">
        <f>Weekly_Inspections!$AW24</f>
        <v>0</v>
      </c>
    </row>
    <row r="25" spans="1:17" ht="15" customHeight="1" x14ac:dyDescent="0.2">
      <c r="A25" s="21" t="str">
        <f>IF(Weekly_Inspections!$B25="","",Weekly_Inspections!$A25&amp;"-A1")</f>
        <v/>
      </c>
      <c r="B25" s="22">
        <f>Weekly_Inspections!$B25</f>
        <v>0</v>
      </c>
      <c r="C25" s="23">
        <f>Weekly_Inspections!$E25</f>
        <v>0</v>
      </c>
      <c r="D25" s="23">
        <f>Weekly_Inspections!$F25</f>
        <v>0</v>
      </c>
      <c r="E25" s="21" t="str">
        <f>Weekly_Inspections!$H25</f>
        <v/>
      </c>
      <c r="F25" s="23">
        <f>IF(Weekly_Inspections!$AX25&lt;&gt;"",Weekly_Inspections!$AX25,IF(Weekly_Inspections!$AY25&lt;&gt;"",Weekly_Inspections!$AY25,IF(Weekly_Inspections!$AZ25&lt;&gt;"",Weekly_Inspections!$AZ25,IF(Weekly_Inspections!$BA25&lt;&gt;"",Weekly_Inspections!$BA25,IF(Weekly_Inspections!$BB25&lt;&gt;"",Weekly_Inspections!$BB25,Weekly_Inspections!$R25)))))</f>
        <v>0</v>
      </c>
      <c r="G25" s="23" t="str">
        <f>IF(OR(Weekly_Inspections!$AQ25&lt;&gt;"",Weekly_Inspections!$AR25&lt;&gt;"",Weekly_Inspections!$AS25&lt;&gt;""),Weekly_Inspections!$AQ25,"")</f>
        <v/>
      </c>
      <c r="H25" s="23">
        <f>Weekly_Inspections!$AP25</f>
        <v>0</v>
      </c>
      <c r="I25" s="23">
        <f>Weekly_Inspections!$AR25</f>
        <v>0</v>
      </c>
      <c r="J25" s="23">
        <f>Weekly_Inspections!$AS25</f>
        <v>0</v>
      </c>
      <c r="K25" s="23">
        <f>Weekly_Inspections!$AU25</f>
        <v>0</v>
      </c>
      <c r="L25" s="22">
        <f>Weekly_Inspections!$AV25</f>
        <v>0</v>
      </c>
      <c r="M25" s="23" t="str">
        <f t="shared" si="0"/>
        <v>Open</v>
      </c>
      <c r="N25" s="22"/>
      <c r="O25" s="21">
        <f t="shared" ca="1" si="1"/>
        <v>46113</v>
      </c>
      <c r="P25" s="21" t="str">
        <f t="shared" ca="1" si="2"/>
        <v>YES</v>
      </c>
      <c r="Q25" s="23">
        <f>Weekly_Inspections!$AW25</f>
        <v>0</v>
      </c>
    </row>
    <row r="26" spans="1:17" ht="15" customHeight="1" x14ac:dyDescent="0.2">
      <c r="A26" s="21" t="str">
        <f>IF(Weekly_Inspections!$B26="","",Weekly_Inspections!$A26&amp;"-A1")</f>
        <v/>
      </c>
      <c r="B26" s="22">
        <f>Weekly_Inspections!$B26</f>
        <v>0</v>
      </c>
      <c r="C26" s="23">
        <f>Weekly_Inspections!$E26</f>
        <v>0</v>
      </c>
      <c r="D26" s="23">
        <f>Weekly_Inspections!$F26</f>
        <v>0</v>
      </c>
      <c r="E26" s="21" t="str">
        <f>Weekly_Inspections!$H26</f>
        <v/>
      </c>
      <c r="F26" s="23">
        <f>IF(Weekly_Inspections!$AX26&lt;&gt;"",Weekly_Inspections!$AX26,IF(Weekly_Inspections!$AY26&lt;&gt;"",Weekly_Inspections!$AY26,IF(Weekly_Inspections!$AZ26&lt;&gt;"",Weekly_Inspections!$AZ26,IF(Weekly_Inspections!$BA26&lt;&gt;"",Weekly_Inspections!$BA26,IF(Weekly_Inspections!$BB26&lt;&gt;"",Weekly_Inspections!$BB26,Weekly_Inspections!$R26)))))</f>
        <v>0</v>
      </c>
      <c r="G26" s="23" t="str">
        <f>IF(OR(Weekly_Inspections!$AQ26&lt;&gt;"",Weekly_Inspections!$AR26&lt;&gt;"",Weekly_Inspections!$AS26&lt;&gt;""),Weekly_Inspections!$AQ26,"")</f>
        <v/>
      </c>
      <c r="H26" s="23">
        <f>Weekly_Inspections!$AP26</f>
        <v>0</v>
      </c>
      <c r="I26" s="23">
        <f>Weekly_Inspections!$AR26</f>
        <v>0</v>
      </c>
      <c r="J26" s="23">
        <f>Weekly_Inspections!$AS26</f>
        <v>0</v>
      </c>
      <c r="K26" s="23">
        <f>Weekly_Inspections!$AU26</f>
        <v>0</v>
      </c>
      <c r="L26" s="22">
        <f>Weekly_Inspections!$AV26</f>
        <v>0</v>
      </c>
      <c r="M26" s="23" t="str">
        <f t="shared" si="0"/>
        <v>Open</v>
      </c>
      <c r="N26" s="22"/>
      <c r="O26" s="21">
        <f t="shared" ca="1" si="1"/>
        <v>46113</v>
      </c>
      <c r="P26" s="21" t="str">
        <f t="shared" ca="1" si="2"/>
        <v>YES</v>
      </c>
      <c r="Q26" s="23">
        <f>Weekly_Inspections!$AW26</f>
        <v>0</v>
      </c>
    </row>
    <row r="27" spans="1:17" ht="15" customHeight="1" x14ac:dyDescent="0.2">
      <c r="A27" s="21" t="str">
        <f>IF(Weekly_Inspections!$B27="","",Weekly_Inspections!$A27&amp;"-A1")</f>
        <v/>
      </c>
      <c r="B27" s="22">
        <f>Weekly_Inspections!$B27</f>
        <v>0</v>
      </c>
      <c r="C27" s="23">
        <f>Weekly_Inspections!$E27</f>
        <v>0</v>
      </c>
      <c r="D27" s="23">
        <f>Weekly_Inspections!$F27</f>
        <v>0</v>
      </c>
      <c r="E27" s="21" t="str">
        <f>Weekly_Inspections!$H27</f>
        <v/>
      </c>
      <c r="F27" s="23">
        <f>IF(Weekly_Inspections!$AX27&lt;&gt;"",Weekly_Inspections!$AX27,IF(Weekly_Inspections!$AY27&lt;&gt;"",Weekly_Inspections!$AY27,IF(Weekly_Inspections!$AZ27&lt;&gt;"",Weekly_Inspections!$AZ27,IF(Weekly_Inspections!$BA27&lt;&gt;"",Weekly_Inspections!$BA27,IF(Weekly_Inspections!$BB27&lt;&gt;"",Weekly_Inspections!$BB27,Weekly_Inspections!$R27)))))</f>
        <v>0</v>
      </c>
      <c r="G27" s="23" t="str">
        <f>IF(OR(Weekly_Inspections!$AQ27&lt;&gt;"",Weekly_Inspections!$AR27&lt;&gt;"",Weekly_Inspections!$AS27&lt;&gt;""),Weekly_Inspections!$AQ27,"")</f>
        <v/>
      </c>
      <c r="H27" s="23">
        <f>Weekly_Inspections!$AP27</f>
        <v>0</v>
      </c>
      <c r="I27" s="23">
        <f>Weekly_Inspections!$AR27</f>
        <v>0</v>
      </c>
      <c r="J27" s="23">
        <f>Weekly_Inspections!$AS27</f>
        <v>0</v>
      </c>
      <c r="K27" s="23">
        <f>Weekly_Inspections!$AU27</f>
        <v>0</v>
      </c>
      <c r="L27" s="22">
        <f>Weekly_Inspections!$AV27</f>
        <v>0</v>
      </c>
      <c r="M27" s="23" t="str">
        <f t="shared" si="0"/>
        <v>Open</v>
      </c>
      <c r="N27" s="22"/>
      <c r="O27" s="21">
        <f t="shared" ca="1" si="1"/>
        <v>46113</v>
      </c>
      <c r="P27" s="21" t="str">
        <f t="shared" ca="1" si="2"/>
        <v>YES</v>
      </c>
      <c r="Q27" s="23">
        <f>Weekly_Inspections!$AW27</f>
        <v>0</v>
      </c>
    </row>
    <row r="28" spans="1:17" ht="15" customHeight="1" x14ac:dyDescent="0.2">
      <c r="A28" s="21" t="str">
        <f>IF(Weekly_Inspections!$B28="","",Weekly_Inspections!$A28&amp;"-A1")</f>
        <v/>
      </c>
      <c r="B28" s="22">
        <f>Weekly_Inspections!$B28</f>
        <v>0</v>
      </c>
      <c r="C28" s="23">
        <f>Weekly_Inspections!$E28</f>
        <v>0</v>
      </c>
      <c r="D28" s="23">
        <f>Weekly_Inspections!$F28</f>
        <v>0</v>
      </c>
      <c r="E28" s="21" t="str">
        <f>Weekly_Inspections!$H28</f>
        <v/>
      </c>
      <c r="F28" s="23">
        <f>IF(Weekly_Inspections!$AX28&lt;&gt;"",Weekly_Inspections!$AX28,IF(Weekly_Inspections!$AY28&lt;&gt;"",Weekly_Inspections!$AY28,IF(Weekly_Inspections!$AZ28&lt;&gt;"",Weekly_Inspections!$AZ28,IF(Weekly_Inspections!$BA28&lt;&gt;"",Weekly_Inspections!$BA28,IF(Weekly_Inspections!$BB28&lt;&gt;"",Weekly_Inspections!$BB28,Weekly_Inspections!$R28)))))</f>
        <v>0</v>
      </c>
      <c r="G28" s="23" t="str">
        <f>IF(OR(Weekly_Inspections!$AQ28&lt;&gt;"",Weekly_Inspections!$AR28&lt;&gt;"",Weekly_Inspections!$AS28&lt;&gt;""),Weekly_Inspections!$AQ28,"")</f>
        <v/>
      </c>
      <c r="H28" s="23">
        <f>Weekly_Inspections!$AP28</f>
        <v>0</v>
      </c>
      <c r="I28" s="23">
        <f>Weekly_Inspections!$AR28</f>
        <v>0</v>
      </c>
      <c r="J28" s="23">
        <f>Weekly_Inspections!$AS28</f>
        <v>0</v>
      </c>
      <c r="K28" s="23">
        <f>Weekly_Inspections!$AU28</f>
        <v>0</v>
      </c>
      <c r="L28" s="22">
        <f>Weekly_Inspections!$AV28</f>
        <v>0</v>
      </c>
      <c r="M28" s="23" t="str">
        <f t="shared" si="0"/>
        <v>Open</v>
      </c>
      <c r="N28" s="22"/>
      <c r="O28" s="21">
        <f t="shared" ca="1" si="1"/>
        <v>46113</v>
      </c>
      <c r="P28" s="21" t="str">
        <f t="shared" ca="1" si="2"/>
        <v>YES</v>
      </c>
      <c r="Q28" s="23">
        <f>Weekly_Inspections!$AW28</f>
        <v>0</v>
      </c>
    </row>
    <row r="29" spans="1:17" ht="15" customHeight="1" x14ac:dyDescent="0.2">
      <c r="A29" s="21" t="str">
        <f>IF(Weekly_Inspections!$B29="","",Weekly_Inspections!$A29&amp;"-A1")</f>
        <v/>
      </c>
      <c r="B29" s="22">
        <f>Weekly_Inspections!$B29</f>
        <v>0</v>
      </c>
      <c r="C29" s="23">
        <f>Weekly_Inspections!$E29</f>
        <v>0</v>
      </c>
      <c r="D29" s="23">
        <f>Weekly_Inspections!$F29</f>
        <v>0</v>
      </c>
      <c r="E29" s="21" t="str">
        <f>Weekly_Inspections!$H29</f>
        <v/>
      </c>
      <c r="F29" s="23">
        <f>IF(Weekly_Inspections!$AX29&lt;&gt;"",Weekly_Inspections!$AX29,IF(Weekly_Inspections!$AY29&lt;&gt;"",Weekly_Inspections!$AY29,IF(Weekly_Inspections!$AZ29&lt;&gt;"",Weekly_Inspections!$AZ29,IF(Weekly_Inspections!$BA29&lt;&gt;"",Weekly_Inspections!$BA29,IF(Weekly_Inspections!$BB29&lt;&gt;"",Weekly_Inspections!$BB29,Weekly_Inspections!$R29)))))</f>
        <v>0</v>
      </c>
      <c r="G29" s="23" t="str">
        <f>IF(OR(Weekly_Inspections!$AQ29&lt;&gt;"",Weekly_Inspections!$AR29&lt;&gt;"",Weekly_Inspections!$AS29&lt;&gt;""),Weekly_Inspections!$AQ29,"")</f>
        <v/>
      </c>
      <c r="H29" s="23">
        <f>Weekly_Inspections!$AP29</f>
        <v>0</v>
      </c>
      <c r="I29" s="23">
        <f>Weekly_Inspections!$AR29</f>
        <v>0</v>
      </c>
      <c r="J29" s="23">
        <f>Weekly_Inspections!$AS29</f>
        <v>0</v>
      </c>
      <c r="K29" s="23">
        <f>Weekly_Inspections!$AU29</f>
        <v>0</v>
      </c>
      <c r="L29" s="22">
        <f>Weekly_Inspections!$AV29</f>
        <v>0</v>
      </c>
      <c r="M29" s="23" t="str">
        <f t="shared" si="0"/>
        <v>Open</v>
      </c>
      <c r="N29" s="22"/>
      <c r="O29" s="21">
        <f t="shared" ca="1" si="1"/>
        <v>46113</v>
      </c>
      <c r="P29" s="21" t="str">
        <f t="shared" ca="1" si="2"/>
        <v>YES</v>
      </c>
      <c r="Q29" s="23">
        <f>Weekly_Inspections!$AW29</f>
        <v>0</v>
      </c>
    </row>
    <row r="30" spans="1:17" ht="15" customHeight="1" x14ac:dyDescent="0.2">
      <c r="A30" s="21" t="str">
        <f>IF(Weekly_Inspections!$B30="","",Weekly_Inspections!$A30&amp;"-A1")</f>
        <v/>
      </c>
      <c r="B30" s="22">
        <f>Weekly_Inspections!$B30</f>
        <v>0</v>
      </c>
      <c r="C30" s="23">
        <f>Weekly_Inspections!$E30</f>
        <v>0</v>
      </c>
      <c r="D30" s="23">
        <f>Weekly_Inspections!$F30</f>
        <v>0</v>
      </c>
      <c r="E30" s="21" t="str">
        <f>Weekly_Inspections!$H30</f>
        <v/>
      </c>
      <c r="F30" s="23">
        <f>IF(Weekly_Inspections!$AX30&lt;&gt;"",Weekly_Inspections!$AX30,IF(Weekly_Inspections!$AY30&lt;&gt;"",Weekly_Inspections!$AY30,IF(Weekly_Inspections!$AZ30&lt;&gt;"",Weekly_Inspections!$AZ30,IF(Weekly_Inspections!$BA30&lt;&gt;"",Weekly_Inspections!$BA30,IF(Weekly_Inspections!$BB30&lt;&gt;"",Weekly_Inspections!$BB30,Weekly_Inspections!$R30)))))</f>
        <v>0</v>
      </c>
      <c r="G30" s="23" t="str">
        <f>IF(OR(Weekly_Inspections!$AQ30&lt;&gt;"",Weekly_Inspections!$AR30&lt;&gt;"",Weekly_Inspections!$AS30&lt;&gt;""),Weekly_Inspections!$AQ30,"")</f>
        <v/>
      </c>
      <c r="H30" s="23">
        <f>Weekly_Inspections!$AP30</f>
        <v>0</v>
      </c>
      <c r="I30" s="23">
        <f>Weekly_Inspections!$AR30</f>
        <v>0</v>
      </c>
      <c r="J30" s="23">
        <f>Weekly_Inspections!$AS30</f>
        <v>0</v>
      </c>
      <c r="K30" s="23">
        <f>Weekly_Inspections!$AU30</f>
        <v>0</v>
      </c>
      <c r="L30" s="22">
        <f>Weekly_Inspections!$AV30</f>
        <v>0</v>
      </c>
      <c r="M30" s="23" t="str">
        <f t="shared" si="0"/>
        <v>Open</v>
      </c>
      <c r="N30" s="22"/>
      <c r="O30" s="21">
        <f t="shared" ca="1" si="1"/>
        <v>46113</v>
      </c>
      <c r="P30" s="21" t="str">
        <f t="shared" ca="1" si="2"/>
        <v>YES</v>
      </c>
      <c r="Q30" s="23">
        <f>Weekly_Inspections!$AW30</f>
        <v>0</v>
      </c>
    </row>
    <row r="31" spans="1:17" ht="15" customHeight="1" x14ac:dyDescent="0.2">
      <c r="A31" s="21" t="str">
        <f>IF(Weekly_Inspections!$B31="","",Weekly_Inspections!$A31&amp;"-A1")</f>
        <v/>
      </c>
      <c r="B31" s="22">
        <f>Weekly_Inspections!$B31</f>
        <v>0</v>
      </c>
      <c r="C31" s="23">
        <f>Weekly_Inspections!$E31</f>
        <v>0</v>
      </c>
      <c r="D31" s="23">
        <f>Weekly_Inspections!$F31</f>
        <v>0</v>
      </c>
      <c r="E31" s="21" t="str">
        <f>Weekly_Inspections!$H31</f>
        <v/>
      </c>
      <c r="F31" s="23">
        <f>IF(Weekly_Inspections!$AX31&lt;&gt;"",Weekly_Inspections!$AX31,IF(Weekly_Inspections!$AY31&lt;&gt;"",Weekly_Inspections!$AY31,IF(Weekly_Inspections!$AZ31&lt;&gt;"",Weekly_Inspections!$AZ31,IF(Weekly_Inspections!$BA31&lt;&gt;"",Weekly_Inspections!$BA31,IF(Weekly_Inspections!$BB31&lt;&gt;"",Weekly_Inspections!$BB31,Weekly_Inspections!$R31)))))</f>
        <v>0</v>
      </c>
      <c r="G31" s="23" t="str">
        <f>IF(OR(Weekly_Inspections!$AQ31&lt;&gt;"",Weekly_Inspections!$AR31&lt;&gt;"",Weekly_Inspections!$AS31&lt;&gt;""),Weekly_Inspections!$AQ31,"")</f>
        <v/>
      </c>
      <c r="H31" s="23">
        <f>Weekly_Inspections!$AP31</f>
        <v>0</v>
      </c>
      <c r="I31" s="23">
        <f>Weekly_Inspections!$AR31</f>
        <v>0</v>
      </c>
      <c r="J31" s="23">
        <f>Weekly_Inspections!$AS31</f>
        <v>0</v>
      </c>
      <c r="K31" s="23">
        <f>Weekly_Inspections!$AU31</f>
        <v>0</v>
      </c>
      <c r="L31" s="22">
        <f>Weekly_Inspections!$AV31</f>
        <v>0</v>
      </c>
      <c r="M31" s="23" t="str">
        <f t="shared" si="0"/>
        <v>Open</v>
      </c>
      <c r="N31" s="22"/>
      <c r="O31" s="21">
        <f t="shared" ca="1" si="1"/>
        <v>46113</v>
      </c>
      <c r="P31" s="21" t="str">
        <f t="shared" ca="1" si="2"/>
        <v>YES</v>
      </c>
      <c r="Q31" s="23">
        <f>Weekly_Inspections!$AW31</f>
        <v>0</v>
      </c>
    </row>
    <row r="32" spans="1:17" ht="15" customHeight="1" x14ac:dyDescent="0.2">
      <c r="A32" s="21" t="str">
        <f>IF(Weekly_Inspections!$B32="","",Weekly_Inspections!$A32&amp;"-A1")</f>
        <v/>
      </c>
      <c r="B32" s="22">
        <f>Weekly_Inspections!$B32</f>
        <v>0</v>
      </c>
      <c r="C32" s="23">
        <f>Weekly_Inspections!$E32</f>
        <v>0</v>
      </c>
      <c r="D32" s="23">
        <f>Weekly_Inspections!$F32</f>
        <v>0</v>
      </c>
      <c r="E32" s="21" t="str">
        <f>Weekly_Inspections!$H32</f>
        <v/>
      </c>
      <c r="F32" s="23">
        <f>IF(Weekly_Inspections!$AX32&lt;&gt;"",Weekly_Inspections!$AX32,IF(Weekly_Inspections!$AY32&lt;&gt;"",Weekly_Inspections!$AY32,IF(Weekly_Inspections!$AZ32&lt;&gt;"",Weekly_Inspections!$AZ32,IF(Weekly_Inspections!$BA32&lt;&gt;"",Weekly_Inspections!$BA32,IF(Weekly_Inspections!$BB32&lt;&gt;"",Weekly_Inspections!$BB32,Weekly_Inspections!$R32)))))</f>
        <v>0</v>
      </c>
      <c r="G32" s="23" t="str">
        <f>IF(OR(Weekly_Inspections!$AQ32&lt;&gt;"",Weekly_Inspections!$AR32&lt;&gt;"",Weekly_Inspections!$AS32&lt;&gt;""),Weekly_Inspections!$AQ32,"")</f>
        <v/>
      </c>
      <c r="H32" s="23">
        <f>Weekly_Inspections!$AP32</f>
        <v>0</v>
      </c>
      <c r="I32" s="23">
        <f>Weekly_Inspections!$AR32</f>
        <v>0</v>
      </c>
      <c r="J32" s="23">
        <f>Weekly_Inspections!$AS32</f>
        <v>0</v>
      </c>
      <c r="K32" s="23">
        <f>Weekly_Inspections!$AU32</f>
        <v>0</v>
      </c>
      <c r="L32" s="22">
        <f>Weekly_Inspections!$AV32</f>
        <v>0</v>
      </c>
      <c r="M32" s="23" t="str">
        <f t="shared" si="0"/>
        <v>Open</v>
      </c>
      <c r="N32" s="22"/>
      <c r="O32" s="21">
        <f t="shared" ca="1" si="1"/>
        <v>46113</v>
      </c>
      <c r="P32" s="21" t="str">
        <f t="shared" ca="1" si="2"/>
        <v>YES</v>
      </c>
      <c r="Q32" s="23">
        <f>Weekly_Inspections!$AW32</f>
        <v>0</v>
      </c>
    </row>
    <row r="33" spans="1:17" ht="15" customHeight="1" x14ac:dyDescent="0.2">
      <c r="A33" s="21" t="str">
        <f>IF(Weekly_Inspections!$B33="","",Weekly_Inspections!$A33&amp;"-A1")</f>
        <v/>
      </c>
      <c r="B33" s="22">
        <f>Weekly_Inspections!$B33</f>
        <v>0</v>
      </c>
      <c r="C33" s="23">
        <f>Weekly_Inspections!$E33</f>
        <v>0</v>
      </c>
      <c r="D33" s="23">
        <f>Weekly_Inspections!$F33</f>
        <v>0</v>
      </c>
      <c r="E33" s="21" t="str">
        <f>Weekly_Inspections!$H33</f>
        <v/>
      </c>
      <c r="F33" s="23">
        <f>IF(Weekly_Inspections!$AX33&lt;&gt;"",Weekly_Inspections!$AX33,IF(Weekly_Inspections!$AY33&lt;&gt;"",Weekly_Inspections!$AY33,IF(Weekly_Inspections!$AZ33&lt;&gt;"",Weekly_Inspections!$AZ33,IF(Weekly_Inspections!$BA33&lt;&gt;"",Weekly_Inspections!$BA33,IF(Weekly_Inspections!$BB33&lt;&gt;"",Weekly_Inspections!$BB33,Weekly_Inspections!$R33)))))</f>
        <v>0</v>
      </c>
      <c r="G33" s="23" t="str">
        <f>IF(OR(Weekly_Inspections!$AQ33&lt;&gt;"",Weekly_Inspections!$AR33&lt;&gt;"",Weekly_Inspections!$AS33&lt;&gt;""),Weekly_Inspections!$AQ33,"")</f>
        <v/>
      </c>
      <c r="H33" s="23">
        <f>Weekly_Inspections!$AP33</f>
        <v>0</v>
      </c>
      <c r="I33" s="23">
        <f>Weekly_Inspections!$AR33</f>
        <v>0</v>
      </c>
      <c r="J33" s="23">
        <f>Weekly_Inspections!$AS33</f>
        <v>0</v>
      </c>
      <c r="K33" s="23">
        <f>Weekly_Inspections!$AU33</f>
        <v>0</v>
      </c>
      <c r="L33" s="22">
        <f>Weekly_Inspections!$AV33</f>
        <v>0</v>
      </c>
      <c r="M33" s="23" t="str">
        <f t="shared" si="0"/>
        <v>Open</v>
      </c>
      <c r="N33" s="22"/>
      <c r="O33" s="21">
        <f t="shared" ca="1" si="1"/>
        <v>46113</v>
      </c>
      <c r="P33" s="21" t="str">
        <f t="shared" ca="1" si="2"/>
        <v>YES</v>
      </c>
      <c r="Q33" s="23">
        <f>Weekly_Inspections!$AW33</f>
        <v>0</v>
      </c>
    </row>
    <row r="34" spans="1:17" ht="15" customHeight="1" x14ac:dyDescent="0.2">
      <c r="A34" s="21" t="str">
        <f>IF(Weekly_Inspections!$B34="","",Weekly_Inspections!$A34&amp;"-A1")</f>
        <v/>
      </c>
      <c r="B34" s="22">
        <f>Weekly_Inspections!$B34</f>
        <v>0</v>
      </c>
      <c r="C34" s="23">
        <f>Weekly_Inspections!$E34</f>
        <v>0</v>
      </c>
      <c r="D34" s="23">
        <f>Weekly_Inspections!$F34</f>
        <v>0</v>
      </c>
      <c r="E34" s="21" t="str">
        <f>Weekly_Inspections!$H34</f>
        <v/>
      </c>
      <c r="F34" s="23">
        <f>IF(Weekly_Inspections!$AX34&lt;&gt;"",Weekly_Inspections!$AX34,IF(Weekly_Inspections!$AY34&lt;&gt;"",Weekly_Inspections!$AY34,IF(Weekly_Inspections!$AZ34&lt;&gt;"",Weekly_Inspections!$AZ34,IF(Weekly_Inspections!$BA34&lt;&gt;"",Weekly_Inspections!$BA34,IF(Weekly_Inspections!$BB34&lt;&gt;"",Weekly_Inspections!$BB34,Weekly_Inspections!$R34)))))</f>
        <v>0</v>
      </c>
      <c r="G34" s="23" t="str">
        <f>IF(OR(Weekly_Inspections!$AQ34&lt;&gt;"",Weekly_Inspections!$AR34&lt;&gt;"",Weekly_Inspections!$AS34&lt;&gt;""),Weekly_Inspections!$AQ34,"")</f>
        <v/>
      </c>
      <c r="H34" s="23">
        <f>Weekly_Inspections!$AP34</f>
        <v>0</v>
      </c>
      <c r="I34" s="23">
        <f>Weekly_Inspections!$AR34</f>
        <v>0</v>
      </c>
      <c r="J34" s="23">
        <f>Weekly_Inspections!$AS34</f>
        <v>0</v>
      </c>
      <c r="K34" s="23">
        <f>Weekly_Inspections!$AU34</f>
        <v>0</v>
      </c>
      <c r="L34" s="22">
        <f>Weekly_Inspections!$AV34</f>
        <v>0</v>
      </c>
      <c r="M34" s="23" t="str">
        <f t="shared" si="0"/>
        <v>Open</v>
      </c>
      <c r="N34" s="22"/>
      <c r="O34" s="21">
        <f t="shared" ca="1" si="1"/>
        <v>46113</v>
      </c>
      <c r="P34" s="21" t="str">
        <f t="shared" ca="1" si="2"/>
        <v>YES</v>
      </c>
      <c r="Q34" s="23">
        <f>Weekly_Inspections!$AW34</f>
        <v>0</v>
      </c>
    </row>
    <row r="35" spans="1:17" ht="15" customHeight="1" x14ac:dyDescent="0.2">
      <c r="A35" s="21" t="str">
        <f>IF(Weekly_Inspections!$B35="","",Weekly_Inspections!$A35&amp;"-A1")</f>
        <v/>
      </c>
      <c r="B35" s="22">
        <f>Weekly_Inspections!$B35</f>
        <v>0</v>
      </c>
      <c r="C35" s="23">
        <f>Weekly_Inspections!$E35</f>
        <v>0</v>
      </c>
      <c r="D35" s="23">
        <f>Weekly_Inspections!$F35</f>
        <v>0</v>
      </c>
      <c r="E35" s="21" t="str">
        <f>Weekly_Inspections!$H35</f>
        <v/>
      </c>
      <c r="F35" s="23">
        <f>IF(Weekly_Inspections!$AX35&lt;&gt;"",Weekly_Inspections!$AX35,IF(Weekly_Inspections!$AY35&lt;&gt;"",Weekly_Inspections!$AY35,IF(Weekly_Inspections!$AZ35&lt;&gt;"",Weekly_Inspections!$AZ35,IF(Weekly_Inspections!$BA35&lt;&gt;"",Weekly_Inspections!$BA35,IF(Weekly_Inspections!$BB35&lt;&gt;"",Weekly_Inspections!$BB35,Weekly_Inspections!$R35)))))</f>
        <v>0</v>
      </c>
      <c r="G35" s="23" t="str">
        <f>IF(OR(Weekly_Inspections!$AQ35&lt;&gt;"",Weekly_Inspections!$AR35&lt;&gt;"",Weekly_Inspections!$AS35&lt;&gt;""),Weekly_Inspections!$AQ35,"")</f>
        <v/>
      </c>
      <c r="H35" s="23">
        <f>Weekly_Inspections!$AP35</f>
        <v>0</v>
      </c>
      <c r="I35" s="23">
        <f>Weekly_Inspections!$AR35</f>
        <v>0</v>
      </c>
      <c r="J35" s="23">
        <f>Weekly_Inspections!$AS35</f>
        <v>0</v>
      </c>
      <c r="K35" s="23">
        <f>Weekly_Inspections!$AU35</f>
        <v>0</v>
      </c>
      <c r="L35" s="22">
        <f>Weekly_Inspections!$AV35</f>
        <v>0</v>
      </c>
      <c r="M35" s="23" t="str">
        <f t="shared" si="0"/>
        <v>Open</v>
      </c>
      <c r="N35" s="22"/>
      <c r="O35" s="21">
        <f t="shared" ca="1" si="1"/>
        <v>46113</v>
      </c>
      <c r="P35" s="21" t="str">
        <f t="shared" ca="1" si="2"/>
        <v>YES</v>
      </c>
      <c r="Q35" s="23">
        <f>Weekly_Inspections!$AW35</f>
        <v>0</v>
      </c>
    </row>
    <row r="36" spans="1:17" ht="15" customHeight="1" x14ac:dyDescent="0.2">
      <c r="A36" s="21" t="str">
        <f>IF(Weekly_Inspections!$B36="","",Weekly_Inspections!$A36&amp;"-A1")</f>
        <v/>
      </c>
      <c r="B36" s="22">
        <f>Weekly_Inspections!$B36</f>
        <v>0</v>
      </c>
      <c r="C36" s="23">
        <f>Weekly_Inspections!$E36</f>
        <v>0</v>
      </c>
      <c r="D36" s="23">
        <f>Weekly_Inspections!$F36</f>
        <v>0</v>
      </c>
      <c r="E36" s="21" t="str">
        <f>Weekly_Inspections!$H36</f>
        <v/>
      </c>
      <c r="F36" s="23">
        <f>IF(Weekly_Inspections!$AX36&lt;&gt;"",Weekly_Inspections!$AX36,IF(Weekly_Inspections!$AY36&lt;&gt;"",Weekly_Inspections!$AY36,IF(Weekly_Inspections!$AZ36&lt;&gt;"",Weekly_Inspections!$AZ36,IF(Weekly_Inspections!$BA36&lt;&gt;"",Weekly_Inspections!$BA36,IF(Weekly_Inspections!$BB36&lt;&gt;"",Weekly_Inspections!$BB36,Weekly_Inspections!$R36)))))</f>
        <v>0</v>
      </c>
      <c r="G36" s="23" t="str">
        <f>IF(OR(Weekly_Inspections!$AQ36&lt;&gt;"",Weekly_Inspections!$AR36&lt;&gt;"",Weekly_Inspections!$AS36&lt;&gt;""),Weekly_Inspections!$AQ36,"")</f>
        <v/>
      </c>
      <c r="H36" s="23">
        <f>Weekly_Inspections!$AP36</f>
        <v>0</v>
      </c>
      <c r="I36" s="23">
        <f>Weekly_Inspections!$AR36</f>
        <v>0</v>
      </c>
      <c r="J36" s="23">
        <f>Weekly_Inspections!$AS36</f>
        <v>0</v>
      </c>
      <c r="K36" s="23">
        <f>Weekly_Inspections!$AU36</f>
        <v>0</v>
      </c>
      <c r="L36" s="22">
        <f>Weekly_Inspections!$AV36</f>
        <v>0</v>
      </c>
      <c r="M36" s="23" t="str">
        <f t="shared" si="0"/>
        <v>Open</v>
      </c>
      <c r="N36" s="22"/>
      <c r="O36" s="21">
        <f t="shared" ca="1" si="1"/>
        <v>46113</v>
      </c>
      <c r="P36" s="21" t="str">
        <f t="shared" ca="1" si="2"/>
        <v>YES</v>
      </c>
      <c r="Q36" s="23">
        <f>Weekly_Inspections!$AW36</f>
        <v>0</v>
      </c>
    </row>
    <row r="37" spans="1:17" ht="15" customHeight="1" x14ac:dyDescent="0.2">
      <c r="A37" s="21" t="str">
        <f>IF(Weekly_Inspections!$B37="","",Weekly_Inspections!$A37&amp;"-A1")</f>
        <v/>
      </c>
      <c r="B37" s="22">
        <f>Weekly_Inspections!$B37</f>
        <v>0</v>
      </c>
      <c r="C37" s="23">
        <f>Weekly_Inspections!$E37</f>
        <v>0</v>
      </c>
      <c r="D37" s="23">
        <f>Weekly_Inspections!$F37</f>
        <v>0</v>
      </c>
      <c r="E37" s="21" t="str">
        <f>Weekly_Inspections!$H37</f>
        <v/>
      </c>
      <c r="F37" s="23">
        <f>IF(Weekly_Inspections!$AX37&lt;&gt;"",Weekly_Inspections!$AX37,IF(Weekly_Inspections!$AY37&lt;&gt;"",Weekly_Inspections!$AY37,IF(Weekly_Inspections!$AZ37&lt;&gt;"",Weekly_Inspections!$AZ37,IF(Weekly_Inspections!$BA37&lt;&gt;"",Weekly_Inspections!$BA37,IF(Weekly_Inspections!$BB37&lt;&gt;"",Weekly_Inspections!$BB37,Weekly_Inspections!$R37)))))</f>
        <v>0</v>
      </c>
      <c r="G37" s="23" t="str">
        <f>IF(OR(Weekly_Inspections!$AQ37&lt;&gt;"",Weekly_Inspections!$AR37&lt;&gt;"",Weekly_Inspections!$AS37&lt;&gt;""),Weekly_Inspections!$AQ37,"")</f>
        <v/>
      </c>
      <c r="H37" s="23">
        <f>Weekly_Inspections!$AP37</f>
        <v>0</v>
      </c>
      <c r="I37" s="23">
        <f>Weekly_Inspections!$AR37</f>
        <v>0</v>
      </c>
      <c r="J37" s="23">
        <f>Weekly_Inspections!$AS37</f>
        <v>0</v>
      </c>
      <c r="K37" s="23">
        <f>Weekly_Inspections!$AU37</f>
        <v>0</v>
      </c>
      <c r="L37" s="22">
        <f>Weekly_Inspections!$AV37</f>
        <v>0</v>
      </c>
      <c r="M37" s="23" t="str">
        <f t="shared" si="0"/>
        <v>Open</v>
      </c>
      <c r="N37" s="22"/>
      <c r="O37" s="21">
        <f t="shared" ca="1" si="1"/>
        <v>46113</v>
      </c>
      <c r="P37" s="21" t="str">
        <f t="shared" ca="1" si="2"/>
        <v>YES</v>
      </c>
      <c r="Q37" s="23">
        <f>Weekly_Inspections!$AW37</f>
        <v>0</v>
      </c>
    </row>
    <row r="38" spans="1:17" ht="15" customHeight="1" x14ac:dyDescent="0.2">
      <c r="A38" s="21" t="str">
        <f>IF(Weekly_Inspections!$B38="","",Weekly_Inspections!$A38&amp;"-A1")</f>
        <v/>
      </c>
      <c r="B38" s="22">
        <f>Weekly_Inspections!$B38</f>
        <v>0</v>
      </c>
      <c r="C38" s="23">
        <f>Weekly_Inspections!$E38</f>
        <v>0</v>
      </c>
      <c r="D38" s="23">
        <f>Weekly_Inspections!$F38</f>
        <v>0</v>
      </c>
      <c r="E38" s="21" t="str">
        <f>Weekly_Inspections!$H38</f>
        <v/>
      </c>
      <c r="F38" s="23">
        <f>IF(Weekly_Inspections!$AX38&lt;&gt;"",Weekly_Inspections!$AX38,IF(Weekly_Inspections!$AY38&lt;&gt;"",Weekly_Inspections!$AY38,IF(Weekly_Inspections!$AZ38&lt;&gt;"",Weekly_Inspections!$AZ38,IF(Weekly_Inspections!$BA38&lt;&gt;"",Weekly_Inspections!$BA38,IF(Weekly_Inspections!$BB38&lt;&gt;"",Weekly_Inspections!$BB38,Weekly_Inspections!$R38)))))</f>
        <v>0</v>
      </c>
      <c r="G38" s="23" t="str">
        <f>IF(OR(Weekly_Inspections!$AQ38&lt;&gt;"",Weekly_Inspections!$AR38&lt;&gt;"",Weekly_Inspections!$AS38&lt;&gt;""),Weekly_Inspections!$AQ38,"")</f>
        <v/>
      </c>
      <c r="H38" s="23">
        <f>Weekly_Inspections!$AP38</f>
        <v>0</v>
      </c>
      <c r="I38" s="23">
        <f>Weekly_Inspections!$AR38</f>
        <v>0</v>
      </c>
      <c r="J38" s="23">
        <f>Weekly_Inspections!$AS38</f>
        <v>0</v>
      </c>
      <c r="K38" s="23">
        <f>Weekly_Inspections!$AU38</f>
        <v>0</v>
      </c>
      <c r="L38" s="22">
        <f>Weekly_Inspections!$AV38</f>
        <v>0</v>
      </c>
      <c r="M38" s="23" t="str">
        <f t="shared" si="0"/>
        <v>Open</v>
      </c>
      <c r="N38" s="22"/>
      <c r="O38" s="21">
        <f t="shared" ca="1" si="1"/>
        <v>46113</v>
      </c>
      <c r="P38" s="21" t="str">
        <f t="shared" ca="1" si="2"/>
        <v>YES</v>
      </c>
      <c r="Q38" s="23">
        <f>Weekly_Inspections!$AW38</f>
        <v>0</v>
      </c>
    </row>
    <row r="39" spans="1:17" ht="15" customHeight="1" x14ac:dyDescent="0.2">
      <c r="A39" s="21" t="str">
        <f>IF(Weekly_Inspections!$B39="","",Weekly_Inspections!$A39&amp;"-A1")</f>
        <v/>
      </c>
      <c r="B39" s="22">
        <f>Weekly_Inspections!$B39</f>
        <v>0</v>
      </c>
      <c r="C39" s="23">
        <f>Weekly_Inspections!$E39</f>
        <v>0</v>
      </c>
      <c r="D39" s="23">
        <f>Weekly_Inspections!$F39</f>
        <v>0</v>
      </c>
      <c r="E39" s="21" t="str">
        <f>Weekly_Inspections!$H39</f>
        <v/>
      </c>
      <c r="F39" s="23">
        <f>IF(Weekly_Inspections!$AX39&lt;&gt;"",Weekly_Inspections!$AX39,IF(Weekly_Inspections!$AY39&lt;&gt;"",Weekly_Inspections!$AY39,IF(Weekly_Inspections!$AZ39&lt;&gt;"",Weekly_Inspections!$AZ39,IF(Weekly_Inspections!$BA39&lt;&gt;"",Weekly_Inspections!$BA39,IF(Weekly_Inspections!$BB39&lt;&gt;"",Weekly_Inspections!$BB39,Weekly_Inspections!$R39)))))</f>
        <v>0</v>
      </c>
      <c r="G39" s="23" t="str">
        <f>IF(OR(Weekly_Inspections!$AQ39&lt;&gt;"",Weekly_Inspections!$AR39&lt;&gt;"",Weekly_Inspections!$AS39&lt;&gt;""),Weekly_Inspections!$AQ39,"")</f>
        <v/>
      </c>
      <c r="H39" s="23">
        <f>Weekly_Inspections!$AP39</f>
        <v>0</v>
      </c>
      <c r="I39" s="23">
        <f>Weekly_Inspections!$AR39</f>
        <v>0</v>
      </c>
      <c r="J39" s="23">
        <f>Weekly_Inspections!$AS39</f>
        <v>0</v>
      </c>
      <c r="K39" s="23">
        <f>Weekly_Inspections!$AU39</f>
        <v>0</v>
      </c>
      <c r="L39" s="22">
        <f>Weekly_Inspections!$AV39</f>
        <v>0</v>
      </c>
      <c r="M39" s="23" t="str">
        <f t="shared" si="0"/>
        <v>Open</v>
      </c>
      <c r="N39" s="22"/>
      <c r="O39" s="21">
        <f t="shared" ca="1" si="1"/>
        <v>46113</v>
      </c>
      <c r="P39" s="21" t="str">
        <f t="shared" ca="1" si="2"/>
        <v>YES</v>
      </c>
      <c r="Q39" s="23">
        <f>Weekly_Inspections!$AW39</f>
        <v>0</v>
      </c>
    </row>
    <row r="40" spans="1:17" ht="15" customHeight="1" x14ac:dyDescent="0.2">
      <c r="A40" s="21" t="str">
        <f>IF(Weekly_Inspections!$B40="","",Weekly_Inspections!$A40&amp;"-A1")</f>
        <v/>
      </c>
      <c r="B40" s="22">
        <f>Weekly_Inspections!$B40</f>
        <v>0</v>
      </c>
      <c r="C40" s="23">
        <f>Weekly_Inspections!$E40</f>
        <v>0</v>
      </c>
      <c r="D40" s="23">
        <f>Weekly_Inspections!$F40</f>
        <v>0</v>
      </c>
      <c r="E40" s="21" t="str">
        <f>Weekly_Inspections!$H40</f>
        <v/>
      </c>
      <c r="F40" s="23">
        <f>IF(Weekly_Inspections!$AX40&lt;&gt;"",Weekly_Inspections!$AX40,IF(Weekly_Inspections!$AY40&lt;&gt;"",Weekly_Inspections!$AY40,IF(Weekly_Inspections!$AZ40&lt;&gt;"",Weekly_Inspections!$AZ40,IF(Weekly_Inspections!$BA40&lt;&gt;"",Weekly_Inspections!$BA40,IF(Weekly_Inspections!$BB40&lt;&gt;"",Weekly_Inspections!$BB40,Weekly_Inspections!$R40)))))</f>
        <v>0</v>
      </c>
      <c r="G40" s="23" t="str">
        <f>IF(OR(Weekly_Inspections!$AQ40&lt;&gt;"",Weekly_Inspections!$AR40&lt;&gt;"",Weekly_Inspections!$AS40&lt;&gt;""),Weekly_Inspections!$AQ40,"")</f>
        <v/>
      </c>
      <c r="H40" s="23">
        <f>Weekly_Inspections!$AP40</f>
        <v>0</v>
      </c>
      <c r="I40" s="23">
        <f>Weekly_Inspections!$AR40</f>
        <v>0</v>
      </c>
      <c r="J40" s="23">
        <f>Weekly_Inspections!$AS40</f>
        <v>0</v>
      </c>
      <c r="K40" s="23">
        <f>Weekly_Inspections!$AU40</f>
        <v>0</v>
      </c>
      <c r="L40" s="22">
        <f>Weekly_Inspections!$AV40</f>
        <v>0</v>
      </c>
      <c r="M40" s="23" t="str">
        <f t="shared" si="0"/>
        <v>Open</v>
      </c>
      <c r="N40" s="22"/>
      <c r="O40" s="21">
        <f t="shared" ca="1" si="1"/>
        <v>46113</v>
      </c>
      <c r="P40" s="21" t="str">
        <f t="shared" ca="1" si="2"/>
        <v>YES</v>
      </c>
      <c r="Q40" s="23">
        <f>Weekly_Inspections!$AW40</f>
        <v>0</v>
      </c>
    </row>
    <row r="41" spans="1:17" ht="15" customHeight="1" x14ac:dyDescent="0.2">
      <c r="A41" s="21" t="str">
        <f>IF(Weekly_Inspections!$B41="","",Weekly_Inspections!$A41&amp;"-A1")</f>
        <v/>
      </c>
      <c r="B41" s="22">
        <f>Weekly_Inspections!$B41</f>
        <v>0</v>
      </c>
      <c r="C41" s="23">
        <f>Weekly_Inspections!$E41</f>
        <v>0</v>
      </c>
      <c r="D41" s="23">
        <f>Weekly_Inspections!$F41</f>
        <v>0</v>
      </c>
      <c r="E41" s="21" t="str">
        <f>Weekly_Inspections!$H41</f>
        <v/>
      </c>
      <c r="F41" s="23">
        <f>IF(Weekly_Inspections!$AX41&lt;&gt;"",Weekly_Inspections!$AX41,IF(Weekly_Inspections!$AY41&lt;&gt;"",Weekly_Inspections!$AY41,IF(Weekly_Inspections!$AZ41&lt;&gt;"",Weekly_Inspections!$AZ41,IF(Weekly_Inspections!$BA41&lt;&gt;"",Weekly_Inspections!$BA41,IF(Weekly_Inspections!$BB41&lt;&gt;"",Weekly_Inspections!$BB41,Weekly_Inspections!$R41)))))</f>
        <v>0</v>
      </c>
      <c r="G41" s="23" t="str">
        <f>IF(OR(Weekly_Inspections!$AQ41&lt;&gt;"",Weekly_Inspections!$AR41&lt;&gt;"",Weekly_Inspections!$AS41&lt;&gt;""),Weekly_Inspections!$AQ41,"")</f>
        <v/>
      </c>
      <c r="H41" s="23">
        <f>Weekly_Inspections!$AP41</f>
        <v>0</v>
      </c>
      <c r="I41" s="23">
        <f>Weekly_Inspections!$AR41</f>
        <v>0</v>
      </c>
      <c r="J41" s="23">
        <f>Weekly_Inspections!$AS41</f>
        <v>0</v>
      </c>
      <c r="K41" s="23">
        <f>Weekly_Inspections!$AU41</f>
        <v>0</v>
      </c>
      <c r="L41" s="22">
        <f>Weekly_Inspections!$AV41</f>
        <v>0</v>
      </c>
      <c r="M41" s="23" t="str">
        <f t="shared" si="0"/>
        <v>Open</v>
      </c>
      <c r="N41" s="22"/>
      <c r="O41" s="21">
        <f t="shared" ca="1" si="1"/>
        <v>46113</v>
      </c>
      <c r="P41" s="21" t="str">
        <f t="shared" ca="1" si="2"/>
        <v>YES</v>
      </c>
      <c r="Q41" s="23">
        <f>Weekly_Inspections!$AW41</f>
        <v>0</v>
      </c>
    </row>
    <row r="42" spans="1:17" ht="15" customHeight="1" x14ac:dyDescent="0.2">
      <c r="A42" s="21" t="str">
        <f>IF(Weekly_Inspections!$B42="","",Weekly_Inspections!$A42&amp;"-A1")</f>
        <v/>
      </c>
      <c r="B42" s="22">
        <f>Weekly_Inspections!$B42</f>
        <v>0</v>
      </c>
      <c r="C42" s="23">
        <f>Weekly_Inspections!$E42</f>
        <v>0</v>
      </c>
      <c r="D42" s="23">
        <f>Weekly_Inspections!$F42</f>
        <v>0</v>
      </c>
      <c r="E42" s="21" t="str">
        <f>Weekly_Inspections!$H42</f>
        <v/>
      </c>
      <c r="F42" s="23">
        <f>IF(Weekly_Inspections!$AX42&lt;&gt;"",Weekly_Inspections!$AX42,IF(Weekly_Inspections!$AY42&lt;&gt;"",Weekly_Inspections!$AY42,IF(Weekly_Inspections!$AZ42&lt;&gt;"",Weekly_Inspections!$AZ42,IF(Weekly_Inspections!$BA42&lt;&gt;"",Weekly_Inspections!$BA42,IF(Weekly_Inspections!$BB42&lt;&gt;"",Weekly_Inspections!$BB42,Weekly_Inspections!$R42)))))</f>
        <v>0</v>
      </c>
      <c r="G42" s="23" t="str">
        <f>IF(OR(Weekly_Inspections!$AQ42&lt;&gt;"",Weekly_Inspections!$AR42&lt;&gt;"",Weekly_Inspections!$AS42&lt;&gt;""),Weekly_Inspections!$AQ42,"")</f>
        <v/>
      </c>
      <c r="H42" s="23">
        <f>Weekly_Inspections!$AP42</f>
        <v>0</v>
      </c>
      <c r="I42" s="23">
        <f>Weekly_Inspections!$AR42</f>
        <v>0</v>
      </c>
      <c r="J42" s="23">
        <f>Weekly_Inspections!$AS42</f>
        <v>0</v>
      </c>
      <c r="K42" s="23">
        <f>Weekly_Inspections!$AU42</f>
        <v>0</v>
      </c>
      <c r="L42" s="22">
        <f>Weekly_Inspections!$AV42</f>
        <v>0</v>
      </c>
      <c r="M42" s="23" t="str">
        <f t="shared" si="0"/>
        <v>Open</v>
      </c>
      <c r="N42" s="22"/>
      <c r="O42" s="21">
        <f t="shared" ca="1" si="1"/>
        <v>46113</v>
      </c>
      <c r="P42" s="21" t="str">
        <f t="shared" ca="1" si="2"/>
        <v>YES</v>
      </c>
      <c r="Q42" s="23">
        <f>Weekly_Inspections!$AW42</f>
        <v>0</v>
      </c>
    </row>
    <row r="43" spans="1:17" ht="15" customHeight="1" x14ac:dyDescent="0.2">
      <c r="A43" s="21" t="str">
        <f>IF(Weekly_Inspections!$B43="","",Weekly_Inspections!$A43&amp;"-A1")</f>
        <v/>
      </c>
      <c r="B43" s="22">
        <f>Weekly_Inspections!$B43</f>
        <v>0</v>
      </c>
      <c r="C43" s="23">
        <f>Weekly_Inspections!$E43</f>
        <v>0</v>
      </c>
      <c r="D43" s="23">
        <f>Weekly_Inspections!$F43</f>
        <v>0</v>
      </c>
      <c r="E43" s="21" t="str">
        <f>Weekly_Inspections!$H43</f>
        <v/>
      </c>
      <c r="F43" s="23">
        <f>IF(Weekly_Inspections!$AX43&lt;&gt;"",Weekly_Inspections!$AX43,IF(Weekly_Inspections!$AY43&lt;&gt;"",Weekly_Inspections!$AY43,IF(Weekly_Inspections!$AZ43&lt;&gt;"",Weekly_Inspections!$AZ43,IF(Weekly_Inspections!$BA43&lt;&gt;"",Weekly_Inspections!$BA43,IF(Weekly_Inspections!$BB43&lt;&gt;"",Weekly_Inspections!$BB43,Weekly_Inspections!$R43)))))</f>
        <v>0</v>
      </c>
      <c r="G43" s="23" t="str">
        <f>IF(OR(Weekly_Inspections!$AQ43&lt;&gt;"",Weekly_Inspections!$AR43&lt;&gt;"",Weekly_Inspections!$AS43&lt;&gt;""),Weekly_Inspections!$AQ43,"")</f>
        <v/>
      </c>
      <c r="H43" s="23">
        <f>Weekly_Inspections!$AP43</f>
        <v>0</v>
      </c>
      <c r="I43" s="23">
        <f>Weekly_Inspections!$AR43</f>
        <v>0</v>
      </c>
      <c r="J43" s="23">
        <f>Weekly_Inspections!$AS43</f>
        <v>0</v>
      </c>
      <c r="K43" s="23">
        <f>Weekly_Inspections!$AU43</f>
        <v>0</v>
      </c>
      <c r="L43" s="22">
        <f>Weekly_Inspections!$AV43</f>
        <v>0</v>
      </c>
      <c r="M43" s="23" t="str">
        <f t="shared" si="0"/>
        <v>Open</v>
      </c>
      <c r="N43" s="22"/>
      <c r="O43" s="21">
        <f t="shared" ca="1" si="1"/>
        <v>46113</v>
      </c>
      <c r="P43" s="21" t="str">
        <f t="shared" ca="1" si="2"/>
        <v>YES</v>
      </c>
      <c r="Q43" s="23">
        <f>Weekly_Inspections!$AW43</f>
        <v>0</v>
      </c>
    </row>
    <row r="44" spans="1:17" ht="15" customHeight="1" x14ac:dyDescent="0.2">
      <c r="A44" s="21" t="str">
        <f>IF(Weekly_Inspections!$B44="","",Weekly_Inspections!$A44&amp;"-A1")</f>
        <v/>
      </c>
      <c r="B44" s="22">
        <f>Weekly_Inspections!$B44</f>
        <v>0</v>
      </c>
      <c r="C44" s="23">
        <f>Weekly_Inspections!$E44</f>
        <v>0</v>
      </c>
      <c r="D44" s="23">
        <f>Weekly_Inspections!$F44</f>
        <v>0</v>
      </c>
      <c r="E44" s="21" t="str">
        <f>Weekly_Inspections!$H44</f>
        <v/>
      </c>
      <c r="F44" s="23">
        <f>IF(Weekly_Inspections!$AX44&lt;&gt;"",Weekly_Inspections!$AX44,IF(Weekly_Inspections!$AY44&lt;&gt;"",Weekly_Inspections!$AY44,IF(Weekly_Inspections!$AZ44&lt;&gt;"",Weekly_Inspections!$AZ44,IF(Weekly_Inspections!$BA44&lt;&gt;"",Weekly_Inspections!$BA44,IF(Weekly_Inspections!$BB44&lt;&gt;"",Weekly_Inspections!$BB44,Weekly_Inspections!$R44)))))</f>
        <v>0</v>
      </c>
      <c r="G44" s="23" t="str">
        <f>IF(OR(Weekly_Inspections!$AQ44&lt;&gt;"",Weekly_Inspections!$AR44&lt;&gt;"",Weekly_Inspections!$AS44&lt;&gt;""),Weekly_Inspections!$AQ44,"")</f>
        <v/>
      </c>
      <c r="H44" s="23">
        <f>Weekly_Inspections!$AP44</f>
        <v>0</v>
      </c>
      <c r="I44" s="23">
        <f>Weekly_Inspections!$AR44</f>
        <v>0</v>
      </c>
      <c r="J44" s="23">
        <f>Weekly_Inspections!$AS44</f>
        <v>0</v>
      </c>
      <c r="K44" s="23">
        <f>Weekly_Inspections!$AU44</f>
        <v>0</v>
      </c>
      <c r="L44" s="22">
        <f>Weekly_Inspections!$AV44</f>
        <v>0</v>
      </c>
      <c r="M44" s="23" t="str">
        <f t="shared" si="0"/>
        <v>Open</v>
      </c>
      <c r="N44" s="22"/>
      <c r="O44" s="21">
        <f t="shared" ca="1" si="1"/>
        <v>46113</v>
      </c>
      <c r="P44" s="21" t="str">
        <f t="shared" ca="1" si="2"/>
        <v>YES</v>
      </c>
      <c r="Q44" s="23">
        <f>Weekly_Inspections!$AW44</f>
        <v>0</v>
      </c>
    </row>
    <row r="45" spans="1:17" ht="15" customHeight="1" x14ac:dyDescent="0.2">
      <c r="A45" s="21" t="str">
        <f>IF(Weekly_Inspections!$B45="","",Weekly_Inspections!$A45&amp;"-A1")</f>
        <v/>
      </c>
      <c r="B45" s="22">
        <f>Weekly_Inspections!$B45</f>
        <v>0</v>
      </c>
      <c r="C45" s="23">
        <f>Weekly_Inspections!$E45</f>
        <v>0</v>
      </c>
      <c r="D45" s="23">
        <f>Weekly_Inspections!$F45</f>
        <v>0</v>
      </c>
      <c r="E45" s="21" t="str">
        <f>Weekly_Inspections!$H45</f>
        <v/>
      </c>
      <c r="F45" s="23">
        <f>IF(Weekly_Inspections!$AX45&lt;&gt;"",Weekly_Inspections!$AX45,IF(Weekly_Inspections!$AY45&lt;&gt;"",Weekly_Inspections!$AY45,IF(Weekly_Inspections!$AZ45&lt;&gt;"",Weekly_Inspections!$AZ45,IF(Weekly_Inspections!$BA45&lt;&gt;"",Weekly_Inspections!$BA45,IF(Weekly_Inspections!$BB45&lt;&gt;"",Weekly_Inspections!$BB45,Weekly_Inspections!$R45)))))</f>
        <v>0</v>
      </c>
      <c r="G45" s="23" t="str">
        <f>IF(OR(Weekly_Inspections!$AQ45&lt;&gt;"",Weekly_Inspections!$AR45&lt;&gt;"",Weekly_Inspections!$AS45&lt;&gt;""),Weekly_Inspections!$AQ45,"")</f>
        <v/>
      </c>
      <c r="H45" s="23">
        <f>Weekly_Inspections!$AP45</f>
        <v>0</v>
      </c>
      <c r="I45" s="23">
        <f>Weekly_Inspections!$AR45</f>
        <v>0</v>
      </c>
      <c r="J45" s="23">
        <f>Weekly_Inspections!$AS45</f>
        <v>0</v>
      </c>
      <c r="K45" s="23">
        <f>Weekly_Inspections!$AU45</f>
        <v>0</v>
      </c>
      <c r="L45" s="22">
        <f>Weekly_Inspections!$AV45</f>
        <v>0</v>
      </c>
      <c r="M45" s="23" t="str">
        <f t="shared" si="0"/>
        <v>Open</v>
      </c>
      <c r="N45" s="22"/>
      <c r="O45" s="21">
        <f t="shared" ca="1" si="1"/>
        <v>46113</v>
      </c>
      <c r="P45" s="21" t="str">
        <f t="shared" ca="1" si="2"/>
        <v>YES</v>
      </c>
      <c r="Q45" s="23">
        <f>Weekly_Inspections!$AW45</f>
        <v>0</v>
      </c>
    </row>
    <row r="46" spans="1:17" ht="15" customHeight="1" x14ac:dyDescent="0.2">
      <c r="A46" s="21" t="str">
        <f>IF(Weekly_Inspections!$B46="","",Weekly_Inspections!$A46&amp;"-A1")</f>
        <v/>
      </c>
      <c r="B46" s="22">
        <f>Weekly_Inspections!$B46</f>
        <v>0</v>
      </c>
      <c r="C46" s="23">
        <f>Weekly_Inspections!$E46</f>
        <v>0</v>
      </c>
      <c r="D46" s="23">
        <f>Weekly_Inspections!$F46</f>
        <v>0</v>
      </c>
      <c r="E46" s="21" t="str">
        <f>Weekly_Inspections!$H46</f>
        <v/>
      </c>
      <c r="F46" s="23">
        <f>IF(Weekly_Inspections!$AX46&lt;&gt;"",Weekly_Inspections!$AX46,IF(Weekly_Inspections!$AY46&lt;&gt;"",Weekly_Inspections!$AY46,IF(Weekly_Inspections!$AZ46&lt;&gt;"",Weekly_Inspections!$AZ46,IF(Weekly_Inspections!$BA46&lt;&gt;"",Weekly_Inspections!$BA46,IF(Weekly_Inspections!$BB46&lt;&gt;"",Weekly_Inspections!$BB46,Weekly_Inspections!$R46)))))</f>
        <v>0</v>
      </c>
      <c r="G46" s="23" t="str">
        <f>IF(OR(Weekly_Inspections!$AQ46&lt;&gt;"",Weekly_Inspections!$AR46&lt;&gt;"",Weekly_Inspections!$AS46&lt;&gt;""),Weekly_Inspections!$AQ46,"")</f>
        <v/>
      </c>
      <c r="H46" s="23">
        <f>Weekly_Inspections!$AP46</f>
        <v>0</v>
      </c>
      <c r="I46" s="23">
        <f>Weekly_Inspections!$AR46</f>
        <v>0</v>
      </c>
      <c r="J46" s="23">
        <f>Weekly_Inspections!$AS46</f>
        <v>0</v>
      </c>
      <c r="K46" s="23">
        <f>Weekly_Inspections!$AU46</f>
        <v>0</v>
      </c>
      <c r="L46" s="22">
        <f>Weekly_Inspections!$AV46</f>
        <v>0</v>
      </c>
      <c r="M46" s="23" t="str">
        <f t="shared" si="0"/>
        <v>Open</v>
      </c>
      <c r="N46" s="22"/>
      <c r="O46" s="21">
        <f t="shared" ca="1" si="1"/>
        <v>46113</v>
      </c>
      <c r="P46" s="21" t="str">
        <f t="shared" ca="1" si="2"/>
        <v>YES</v>
      </c>
      <c r="Q46" s="23">
        <f>Weekly_Inspections!$AW46</f>
        <v>0</v>
      </c>
    </row>
    <row r="47" spans="1:17" ht="15" customHeight="1" x14ac:dyDescent="0.2">
      <c r="A47" s="21" t="str">
        <f>IF(Weekly_Inspections!$B47="","",Weekly_Inspections!$A47&amp;"-A1")</f>
        <v/>
      </c>
      <c r="B47" s="22">
        <f>Weekly_Inspections!$B47</f>
        <v>0</v>
      </c>
      <c r="C47" s="23">
        <f>Weekly_Inspections!$E47</f>
        <v>0</v>
      </c>
      <c r="D47" s="23">
        <f>Weekly_Inspections!$F47</f>
        <v>0</v>
      </c>
      <c r="E47" s="21" t="str">
        <f>Weekly_Inspections!$H47</f>
        <v/>
      </c>
      <c r="F47" s="23">
        <f>IF(Weekly_Inspections!$AX47&lt;&gt;"",Weekly_Inspections!$AX47,IF(Weekly_Inspections!$AY47&lt;&gt;"",Weekly_Inspections!$AY47,IF(Weekly_Inspections!$AZ47&lt;&gt;"",Weekly_Inspections!$AZ47,IF(Weekly_Inspections!$BA47&lt;&gt;"",Weekly_Inspections!$BA47,IF(Weekly_Inspections!$BB47&lt;&gt;"",Weekly_Inspections!$BB47,Weekly_Inspections!$R47)))))</f>
        <v>0</v>
      </c>
      <c r="G47" s="23" t="str">
        <f>IF(OR(Weekly_Inspections!$AQ47&lt;&gt;"",Weekly_Inspections!$AR47&lt;&gt;"",Weekly_Inspections!$AS47&lt;&gt;""),Weekly_Inspections!$AQ47,"")</f>
        <v/>
      </c>
      <c r="H47" s="23">
        <f>Weekly_Inspections!$AP47</f>
        <v>0</v>
      </c>
      <c r="I47" s="23">
        <f>Weekly_Inspections!$AR47</f>
        <v>0</v>
      </c>
      <c r="J47" s="23">
        <f>Weekly_Inspections!$AS47</f>
        <v>0</v>
      </c>
      <c r="K47" s="23">
        <f>Weekly_Inspections!$AU47</f>
        <v>0</v>
      </c>
      <c r="L47" s="22">
        <f>Weekly_Inspections!$AV47</f>
        <v>0</v>
      </c>
      <c r="M47" s="23" t="str">
        <f t="shared" si="0"/>
        <v>Open</v>
      </c>
      <c r="N47" s="22"/>
      <c r="O47" s="21">
        <f t="shared" ca="1" si="1"/>
        <v>46113</v>
      </c>
      <c r="P47" s="21" t="str">
        <f t="shared" ca="1" si="2"/>
        <v>YES</v>
      </c>
      <c r="Q47" s="23">
        <f>Weekly_Inspections!$AW47</f>
        <v>0</v>
      </c>
    </row>
    <row r="48" spans="1:17" ht="15" customHeight="1" x14ac:dyDescent="0.2">
      <c r="A48" s="21" t="str">
        <f>IF(Weekly_Inspections!$B48="","",Weekly_Inspections!$A48&amp;"-A1")</f>
        <v/>
      </c>
      <c r="B48" s="22">
        <f>Weekly_Inspections!$B48</f>
        <v>0</v>
      </c>
      <c r="C48" s="23">
        <f>Weekly_Inspections!$E48</f>
        <v>0</v>
      </c>
      <c r="D48" s="23">
        <f>Weekly_Inspections!$F48</f>
        <v>0</v>
      </c>
      <c r="E48" s="21" t="str">
        <f>Weekly_Inspections!$H48</f>
        <v/>
      </c>
      <c r="F48" s="23">
        <f>IF(Weekly_Inspections!$AX48&lt;&gt;"",Weekly_Inspections!$AX48,IF(Weekly_Inspections!$AY48&lt;&gt;"",Weekly_Inspections!$AY48,IF(Weekly_Inspections!$AZ48&lt;&gt;"",Weekly_Inspections!$AZ48,IF(Weekly_Inspections!$BA48&lt;&gt;"",Weekly_Inspections!$BA48,IF(Weekly_Inspections!$BB48&lt;&gt;"",Weekly_Inspections!$BB48,Weekly_Inspections!$R48)))))</f>
        <v>0</v>
      </c>
      <c r="G48" s="23" t="str">
        <f>IF(OR(Weekly_Inspections!$AQ48&lt;&gt;"",Weekly_Inspections!$AR48&lt;&gt;"",Weekly_Inspections!$AS48&lt;&gt;""),Weekly_Inspections!$AQ48,"")</f>
        <v/>
      </c>
      <c r="H48" s="23">
        <f>Weekly_Inspections!$AP48</f>
        <v>0</v>
      </c>
      <c r="I48" s="23">
        <f>Weekly_Inspections!$AR48</f>
        <v>0</v>
      </c>
      <c r="J48" s="23">
        <f>Weekly_Inspections!$AS48</f>
        <v>0</v>
      </c>
      <c r="K48" s="23">
        <f>Weekly_Inspections!$AU48</f>
        <v>0</v>
      </c>
      <c r="L48" s="22">
        <f>Weekly_Inspections!$AV48</f>
        <v>0</v>
      </c>
      <c r="M48" s="23" t="str">
        <f t="shared" si="0"/>
        <v>Open</v>
      </c>
      <c r="N48" s="22"/>
      <c r="O48" s="21">
        <f t="shared" ca="1" si="1"/>
        <v>46113</v>
      </c>
      <c r="P48" s="21" t="str">
        <f t="shared" ca="1" si="2"/>
        <v>YES</v>
      </c>
      <c r="Q48" s="23">
        <f>Weekly_Inspections!$AW48</f>
        <v>0</v>
      </c>
    </row>
    <row r="49" spans="1:17" ht="15" customHeight="1" x14ac:dyDescent="0.2">
      <c r="A49" s="21" t="str">
        <f>IF(Weekly_Inspections!$B49="","",Weekly_Inspections!$A49&amp;"-A1")</f>
        <v/>
      </c>
      <c r="B49" s="22">
        <f>Weekly_Inspections!$B49</f>
        <v>0</v>
      </c>
      <c r="C49" s="23">
        <f>Weekly_Inspections!$E49</f>
        <v>0</v>
      </c>
      <c r="D49" s="23">
        <f>Weekly_Inspections!$F49</f>
        <v>0</v>
      </c>
      <c r="E49" s="21" t="str">
        <f>Weekly_Inspections!$H49</f>
        <v/>
      </c>
      <c r="F49" s="23">
        <f>IF(Weekly_Inspections!$AX49&lt;&gt;"",Weekly_Inspections!$AX49,IF(Weekly_Inspections!$AY49&lt;&gt;"",Weekly_Inspections!$AY49,IF(Weekly_Inspections!$AZ49&lt;&gt;"",Weekly_Inspections!$AZ49,IF(Weekly_Inspections!$BA49&lt;&gt;"",Weekly_Inspections!$BA49,IF(Weekly_Inspections!$BB49&lt;&gt;"",Weekly_Inspections!$BB49,Weekly_Inspections!$R49)))))</f>
        <v>0</v>
      </c>
      <c r="G49" s="23" t="str">
        <f>IF(OR(Weekly_Inspections!$AQ49&lt;&gt;"",Weekly_Inspections!$AR49&lt;&gt;"",Weekly_Inspections!$AS49&lt;&gt;""),Weekly_Inspections!$AQ49,"")</f>
        <v/>
      </c>
      <c r="H49" s="23">
        <f>Weekly_Inspections!$AP49</f>
        <v>0</v>
      </c>
      <c r="I49" s="23">
        <f>Weekly_Inspections!$AR49</f>
        <v>0</v>
      </c>
      <c r="J49" s="23">
        <f>Weekly_Inspections!$AS49</f>
        <v>0</v>
      </c>
      <c r="K49" s="23">
        <f>Weekly_Inspections!$AU49</f>
        <v>0</v>
      </c>
      <c r="L49" s="22">
        <f>Weekly_Inspections!$AV49</f>
        <v>0</v>
      </c>
      <c r="M49" s="23" t="str">
        <f t="shared" si="0"/>
        <v>Open</v>
      </c>
      <c r="N49" s="22"/>
      <c r="O49" s="21">
        <f t="shared" ca="1" si="1"/>
        <v>46113</v>
      </c>
      <c r="P49" s="21" t="str">
        <f t="shared" ca="1" si="2"/>
        <v>YES</v>
      </c>
      <c r="Q49" s="23">
        <f>Weekly_Inspections!$AW49</f>
        <v>0</v>
      </c>
    </row>
    <row r="50" spans="1:17" ht="15" customHeight="1" x14ac:dyDescent="0.2">
      <c r="A50" s="21" t="str">
        <f>IF(Weekly_Inspections!$B50="","",Weekly_Inspections!$A50&amp;"-A1")</f>
        <v/>
      </c>
      <c r="B50" s="22">
        <f>Weekly_Inspections!$B50</f>
        <v>0</v>
      </c>
      <c r="C50" s="23">
        <f>Weekly_Inspections!$E50</f>
        <v>0</v>
      </c>
      <c r="D50" s="23">
        <f>Weekly_Inspections!$F50</f>
        <v>0</v>
      </c>
      <c r="E50" s="21" t="str">
        <f>Weekly_Inspections!$H50</f>
        <v/>
      </c>
      <c r="F50" s="23">
        <f>IF(Weekly_Inspections!$AX50&lt;&gt;"",Weekly_Inspections!$AX50,IF(Weekly_Inspections!$AY50&lt;&gt;"",Weekly_Inspections!$AY50,IF(Weekly_Inspections!$AZ50&lt;&gt;"",Weekly_Inspections!$AZ50,IF(Weekly_Inspections!$BA50&lt;&gt;"",Weekly_Inspections!$BA50,IF(Weekly_Inspections!$BB50&lt;&gt;"",Weekly_Inspections!$BB50,Weekly_Inspections!$R50)))))</f>
        <v>0</v>
      </c>
      <c r="G50" s="23" t="str">
        <f>IF(OR(Weekly_Inspections!$AQ50&lt;&gt;"",Weekly_Inspections!$AR50&lt;&gt;"",Weekly_Inspections!$AS50&lt;&gt;""),Weekly_Inspections!$AQ50,"")</f>
        <v/>
      </c>
      <c r="H50" s="23">
        <f>Weekly_Inspections!$AP50</f>
        <v>0</v>
      </c>
      <c r="I50" s="23">
        <f>Weekly_Inspections!$AR50</f>
        <v>0</v>
      </c>
      <c r="J50" s="23">
        <f>Weekly_Inspections!$AS50</f>
        <v>0</v>
      </c>
      <c r="K50" s="23">
        <f>Weekly_Inspections!$AU50</f>
        <v>0</v>
      </c>
      <c r="L50" s="22">
        <f>Weekly_Inspections!$AV50</f>
        <v>0</v>
      </c>
      <c r="M50" s="23" t="str">
        <f t="shared" si="0"/>
        <v>Open</v>
      </c>
      <c r="N50" s="22"/>
      <c r="O50" s="21">
        <f t="shared" ca="1" si="1"/>
        <v>46113</v>
      </c>
      <c r="P50" s="21" t="str">
        <f t="shared" ca="1" si="2"/>
        <v>YES</v>
      </c>
      <c r="Q50" s="23">
        <f>Weekly_Inspections!$AW50</f>
        <v>0</v>
      </c>
    </row>
    <row r="51" spans="1:17" ht="15" customHeight="1" x14ac:dyDescent="0.2">
      <c r="A51" s="21" t="str">
        <f>IF(Weekly_Inspections!$B51="","",Weekly_Inspections!$A51&amp;"-A1")</f>
        <v/>
      </c>
      <c r="B51" s="22">
        <f>Weekly_Inspections!$B51</f>
        <v>0</v>
      </c>
      <c r="C51" s="23">
        <f>Weekly_Inspections!$E51</f>
        <v>0</v>
      </c>
      <c r="D51" s="23">
        <f>Weekly_Inspections!$F51</f>
        <v>0</v>
      </c>
      <c r="E51" s="21" t="str">
        <f>Weekly_Inspections!$H51</f>
        <v/>
      </c>
      <c r="F51" s="23">
        <f>IF(Weekly_Inspections!$AX51&lt;&gt;"",Weekly_Inspections!$AX51,IF(Weekly_Inspections!$AY51&lt;&gt;"",Weekly_Inspections!$AY51,IF(Weekly_Inspections!$AZ51&lt;&gt;"",Weekly_Inspections!$AZ51,IF(Weekly_Inspections!$BA51&lt;&gt;"",Weekly_Inspections!$BA51,IF(Weekly_Inspections!$BB51&lt;&gt;"",Weekly_Inspections!$BB51,Weekly_Inspections!$R51)))))</f>
        <v>0</v>
      </c>
      <c r="G51" s="23" t="str">
        <f>IF(OR(Weekly_Inspections!$AQ51&lt;&gt;"",Weekly_Inspections!$AR51&lt;&gt;"",Weekly_Inspections!$AS51&lt;&gt;""),Weekly_Inspections!$AQ51,"")</f>
        <v/>
      </c>
      <c r="H51" s="23">
        <f>Weekly_Inspections!$AP51</f>
        <v>0</v>
      </c>
      <c r="I51" s="23">
        <f>Weekly_Inspections!$AR51</f>
        <v>0</v>
      </c>
      <c r="J51" s="23">
        <f>Weekly_Inspections!$AS51</f>
        <v>0</v>
      </c>
      <c r="K51" s="23">
        <f>Weekly_Inspections!$AU51</f>
        <v>0</v>
      </c>
      <c r="L51" s="22">
        <f>Weekly_Inspections!$AV51</f>
        <v>0</v>
      </c>
      <c r="M51" s="23" t="str">
        <f t="shared" si="0"/>
        <v>Open</v>
      </c>
      <c r="N51" s="22"/>
      <c r="O51" s="21">
        <f t="shared" ca="1" si="1"/>
        <v>46113</v>
      </c>
      <c r="P51" s="21" t="str">
        <f t="shared" ca="1" si="2"/>
        <v>YES</v>
      </c>
      <c r="Q51" s="23">
        <f>Weekly_Inspections!$AW51</f>
        <v>0</v>
      </c>
    </row>
    <row r="52" spans="1:17" ht="15" customHeight="1" x14ac:dyDescent="0.2">
      <c r="A52" s="21" t="str">
        <f>IF(Weekly_Inspections!$B52="","",Weekly_Inspections!$A52&amp;"-A1")</f>
        <v/>
      </c>
      <c r="B52" s="22">
        <f>Weekly_Inspections!$B52</f>
        <v>0</v>
      </c>
      <c r="C52" s="23">
        <f>Weekly_Inspections!$E52</f>
        <v>0</v>
      </c>
      <c r="D52" s="23">
        <f>Weekly_Inspections!$F52</f>
        <v>0</v>
      </c>
      <c r="E52" s="21" t="str">
        <f>Weekly_Inspections!$H52</f>
        <v/>
      </c>
      <c r="F52" s="23">
        <f>IF(Weekly_Inspections!$AX52&lt;&gt;"",Weekly_Inspections!$AX52,IF(Weekly_Inspections!$AY52&lt;&gt;"",Weekly_Inspections!$AY52,IF(Weekly_Inspections!$AZ52&lt;&gt;"",Weekly_Inspections!$AZ52,IF(Weekly_Inspections!$BA52&lt;&gt;"",Weekly_Inspections!$BA52,IF(Weekly_Inspections!$BB52&lt;&gt;"",Weekly_Inspections!$BB52,Weekly_Inspections!$R52)))))</f>
        <v>0</v>
      </c>
      <c r="G52" s="23" t="str">
        <f>IF(OR(Weekly_Inspections!$AQ52&lt;&gt;"",Weekly_Inspections!$AR52&lt;&gt;"",Weekly_Inspections!$AS52&lt;&gt;""),Weekly_Inspections!$AQ52,"")</f>
        <v/>
      </c>
      <c r="H52" s="23">
        <f>Weekly_Inspections!$AP52</f>
        <v>0</v>
      </c>
      <c r="I52" s="23">
        <f>Weekly_Inspections!$AR52</f>
        <v>0</v>
      </c>
      <c r="J52" s="23">
        <f>Weekly_Inspections!$AS52</f>
        <v>0</v>
      </c>
      <c r="K52" s="23">
        <f>Weekly_Inspections!$AU52</f>
        <v>0</v>
      </c>
      <c r="L52" s="22">
        <f>Weekly_Inspections!$AV52</f>
        <v>0</v>
      </c>
      <c r="M52" s="23" t="str">
        <f t="shared" si="0"/>
        <v>Open</v>
      </c>
      <c r="N52" s="22"/>
      <c r="O52" s="21">
        <f t="shared" ca="1" si="1"/>
        <v>46113</v>
      </c>
      <c r="P52" s="21" t="str">
        <f t="shared" ca="1" si="2"/>
        <v>YES</v>
      </c>
      <c r="Q52" s="23">
        <f>Weekly_Inspections!$AW52</f>
        <v>0</v>
      </c>
    </row>
    <row r="53" spans="1:17" ht="15" customHeight="1" x14ac:dyDescent="0.2">
      <c r="A53" s="21" t="str">
        <f>IF(Weekly_Inspections!$B53="","",Weekly_Inspections!$A53&amp;"-A1")</f>
        <v/>
      </c>
      <c r="B53" s="22">
        <f>Weekly_Inspections!$B53</f>
        <v>0</v>
      </c>
      <c r="C53" s="23">
        <f>Weekly_Inspections!$E53</f>
        <v>0</v>
      </c>
      <c r="D53" s="23">
        <f>Weekly_Inspections!$F53</f>
        <v>0</v>
      </c>
      <c r="E53" s="21" t="str">
        <f>Weekly_Inspections!$H53</f>
        <v/>
      </c>
      <c r="F53" s="23">
        <f>IF(Weekly_Inspections!$AX53&lt;&gt;"",Weekly_Inspections!$AX53,IF(Weekly_Inspections!$AY53&lt;&gt;"",Weekly_Inspections!$AY53,IF(Weekly_Inspections!$AZ53&lt;&gt;"",Weekly_Inspections!$AZ53,IF(Weekly_Inspections!$BA53&lt;&gt;"",Weekly_Inspections!$BA53,IF(Weekly_Inspections!$BB53&lt;&gt;"",Weekly_Inspections!$BB53,Weekly_Inspections!$R53)))))</f>
        <v>0</v>
      </c>
      <c r="G53" s="23" t="str">
        <f>IF(OR(Weekly_Inspections!$AQ53&lt;&gt;"",Weekly_Inspections!$AR53&lt;&gt;"",Weekly_Inspections!$AS53&lt;&gt;""),Weekly_Inspections!$AQ53,"")</f>
        <v/>
      </c>
      <c r="H53" s="23">
        <f>Weekly_Inspections!$AP53</f>
        <v>0</v>
      </c>
      <c r="I53" s="23">
        <f>Weekly_Inspections!$AR53</f>
        <v>0</v>
      </c>
      <c r="J53" s="23">
        <f>Weekly_Inspections!$AS53</f>
        <v>0</v>
      </c>
      <c r="K53" s="23">
        <f>Weekly_Inspections!$AU53</f>
        <v>0</v>
      </c>
      <c r="L53" s="22">
        <f>Weekly_Inspections!$AV53</f>
        <v>0</v>
      </c>
      <c r="M53" s="23" t="str">
        <f t="shared" si="0"/>
        <v>Open</v>
      </c>
      <c r="N53" s="22"/>
      <c r="O53" s="21">
        <f t="shared" ca="1" si="1"/>
        <v>46113</v>
      </c>
      <c r="P53" s="21" t="str">
        <f t="shared" ca="1" si="2"/>
        <v>YES</v>
      </c>
      <c r="Q53" s="23">
        <f>Weekly_Inspections!$AW53</f>
        <v>0</v>
      </c>
    </row>
    <row r="54" spans="1:17" ht="15" customHeight="1" x14ac:dyDescent="0.2">
      <c r="A54" s="21" t="str">
        <f>IF(Weekly_Inspections!$B54="","",Weekly_Inspections!$A54&amp;"-A1")</f>
        <v/>
      </c>
      <c r="B54" s="22">
        <f>Weekly_Inspections!$B54</f>
        <v>0</v>
      </c>
      <c r="C54" s="23">
        <f>Weekly_Inspections!$E54</f>
        <v>0</v>
      </c>
      <c r="D54" s="23">
        <f>Weekly_Inspections!$F54</f>
        <v>0</v>
      </c>
      <c r="E54" s="21" t="str">
        <f>Weekly_Inspections!$H54</f>
        <v/>
      </c>
      <c r="F54" s="23">
        <f>IF(Weekly_Inspections!$AX54&lt;&gt;"",Weekly_Inspections!$AX54,IF(Weekly_Inspections!$AY54&lt;&gt;"",Weekly_Inspections!$AY54,IF(Weekly_Inspections!$AZ54&lt;&gt;"",Weekly_Inspections!$AZ54,IF(Weekly_Inspections!$BA54&lt;&gt;"",Weekly_Inspections!$BA54,IF(Weekly_Inspections!$BB54&lt;&gt;"",Weekly_Inspections!$BB54,Weekly_Inspections!$R54)))))</f>
        <v>0</v>
      </c>
      <c r="G54" s="23" t="str">
        <f>IF(OR(Weekly_Inspections!$AQ54&lt;&gt;"",Weekly_Inspections!$AR54&lt;&gt;"",Weekly_Inspections!$AS54&lt;&gt;""),Weekly_Inspections!$AQ54,"")</f>
        <v/>
      </c>
      <c r="H54" s="23">
        <f>Weekly_Inspections!$AP54</f>
        <v>0</v>
      </c>
      <c r="I54" s="23">
        <f>Weekly_Inspections!$AR54</f>
        <v>0</v>
      </c>
      <c r="J54" s="23">
        <f>Weekly_Inspections!$AS54</f>
        <v>0</v>
      </c>
      <c r="K54" s="23">
        <f>Weekly_Inspections!$AU54</f>
        <v>0</v>
      </c>
      <c r="L54" s="22">
        <f>Weekly_Inspections!$AV54</f>
        <v>0</v>
      </c>
      <c r="M54" s="23" t="str">
        <f t="shared" si="0"/>
        <v>Open</v>
      </c>
      <c r="N54" s="22"/>
      <c r="O54" s="21">
        <f t="shared" ca="1" si="1"/>
        <v>46113</v>
      </c>
      <c r="P54" s="21" t="str">
        <f t="shared" ca="1" si="2"/>
        <v>YES</v>
      </c>
      <c r="Q54" s="23">
        <f>Weekly_Inspections!$AW54</f>
        <v>0</v>
      </c>
    </row>
    <row r="55" spans="1:17" ht="15" customHeight="1" x14ac:dyDescent="0.2">
      <c r="A55" s="21" t="str">
        <f>IF(Weekly_Inspections!$B55="","",Weekly_Inspections!$A55&amp;"-A1")</f>
        <v/>
      </c>
      <c r="B55" s="22">
        <f>Weekly_Inspections!$B55</f>
        <v>0</v>
      </c>
      <c r="C55" s="23">
        <f>Weekly_Inspections!$E55</f>
        <v>0</v>
      </c>
      <c r="D55" s="23">
        <f>Weekly_Inspections!$F55</f>
        <v>0</v>
      </c>
      <c r="E55" s="21" t="str">
        <f>Weekly_Inspections!$H55</f>
        <v/>
      </c>
      <c r="F55" s="23">
        <f>IF(Weekly_Inspections!$AX55&lt;&gt;"",Weekly_Inspections!$AX55,IF(Weekly_Inspections!$AY55&lt;&gt;"",Weekly_Inspections!$AY55,IF(Weekly_Inspections!$AZ55&lt;&gt;"",Weekly_Inspections!$AZ55,IF(Weekly_Inspections!$BA55&lt;&gt;"",Weekly_Inspections!$BA55,IF(Weekly_Inspections!$BB55&lt;&gt;"",Weekly_Inspections!$BB55,Weekly_Inspections!$R55)))))</f>
        <v>0</v>
      </c>
      <c r="G55" s="23" t="str">
        <f>IF(OR(Weekly_Inspections!$AQ55&lt;&gt;"",Weekly_Inspections!$AR55&lt;&gt;"",Weekly_Inspections!$AS55&lt;&gt;""),Weekly_Inspections!$AQ55,"")</f>
        <v/>
      </c>
      <c r="H55" s="23">
        <f>Weekly_Inspections!$AP55</f>
        <v>0</v>
      </c>
      <c r="I55" s="23">
        <f>Weekly_Inspections!$AR55</f>
        <v>0</v>
      </c>
      <c r="J55" s="23">
        <f>Weekly_Inspections!$AS55</f>
        <v>0</v>
      </c>
      <c r="K55" s="23">
        <f>Weekly_Inspections!$AU55</f>
        <v>0</v>
      </c>
      <c r="L55" s="22">
        <f>Weekly_Inspections!$AV55</f>
        <v>0</v>
      </c>
      <c r="M55" s="23" t="str">
        <f t="shared" si="0"/>
        <v>Open</v>
      </c>
      <c r="N55" s="22"/>
      <c r="O55" s="21">
        <f t="shared" ca="1" si="1"/>
        <v>46113</v>
      </c>
      <c r="P55" s="21" t="str">
        <f t="shared" ca="1" si="2"/>
        <v>YES</v>
      </c>
      <c r="Q55" s="23">
        <f>Weekly_Inspections!$AW55</f>
        <v>0</v>
      </c>
    </row>
    <row r="56" spans="1:17" ht="15" customHeight="1" x14ac:dyDescent="0.2">
      <c r="A56" s="21" t="str">
        <f>IF(Weekly_Inspections!$B56="","",Weekly_Inspections!$A56&amp;"-A1")</f>
        <v/>
      </c>
      <c r="B56" s="22">
        <f>Weekly_Inspections!$B56</f>
        <v>0</v>
      </c>
      <c r="C56" s="23">
        <f>Weekly_Inspections!$E56</f>
        <v>0</v>
      </c>
      <c r="D56" s="23">
        <f>Weekly_Inspections!$F56</f>
        <v>0</v>
      </c>
      <c r="E56" s="21" t="str">
        <f>Weekly_Inspections!$H56</f>
        <v/>
      </c>
      <c r="F56" s="23">
        <f>IF(Weekly_Inspections!$AX56&lt;&gt;"",Weekly_Inspections!$AX56,IF(Weekly_Inspections!$AY56&lt;&gt;"",Weekly_Inspections!$AY56,IF(Weekly_Inspections!$AZ56&lt;&gt;"",Weekly_Inspections!$AZ56,IF(Weekly_Inspections!$BA56&lt;&gt;"",Weekly_Inspections!$BA56,IF(Weekly_Inspections!$BB56&lt;&gt;"",Weekly_Inspections!$BB56,Weekly_Inspections!$R56)))))</f>
        <v>0</v>
      </c>
      <c r="G56" s="23" t="str">
        <f>IF(OR(Weekly_Inspections!$AQ56&lt;&gt;"",Weekly_Inspections!$AR56&lt;&gt;"",Weekly_Inspections!$AS56&lt;&gt;""),Weekly_Inspections!$AQ56,"")</f>
        <v/>
      </c>
      <c r="H56" s="23">
        <f>Weekly_Inspections!$AP56</f>
        <v>0</v>
      </c>
      <c r="I56" s="23">
        <f>Weekly_Inspections!$AR56</f>
        <v>0</v>
      </c>
      <c r="J56" s="23">
        <f>Weekly_Inspections!$AS56</f>
        <v>0</v>
      </c>
      <c r="K56" s="23">
        <f>Weekly_Inspections!$AU56</f>
        <v>0</v>
      </c>
      <c r="L56" s="22">
        <f>Weekly_Inspections!$AV56</f>
        <v>0</v>
      </c>
      <c r="M56" s="23" t="str">
        <f t="shared" si="0"/>
        <v>Open</v>
      </c>
      <c r="N56" s="22"/>
      <c r="O56" s="21">
        <f t="shared" ca="1" si="1"/>
        <v>46113</v>
      </c>
      <c r="P56" s="21" t="str">
        <f t="shared" ca="1" si="2"/>
        <v>YES</v>
      </c>
      <c r="Q56" s="23">
        <f>Weekly_Inspections!$AW56</f>
        <v>0</v>
      </c>
    </row>
    <row r="57" spans="1:17" ht="15" customHeight="1" x14ac:dyDescent="0.2">
      <c r="A57" s="21" t="str">
        <f>IF(Weekly_Inspections!$B57="","",Weekly_Inspections!$A57&amp;"-A1")</f>
        <v/>
      </c>
      <c r="B57" s="22">
        <f>Weekly_Inspections!$B57</f>
        <v>0</v>
      </c>
      <c r="C57" s="23">
        <f>Weekly_Inspections!$E57</f>
        <v>0</v>
      </c>
      <c r="D57" s="23">
        <f>Weekly_Inspections!$F57</f>
        <v>0</v>
      </c>
      <c r="E57" s="21" t="str">
        <f>Weekly_Inspections!$H57</f>
        <v/>
      </c>
      <c r="F57" s="23">
        <f>IF(Weekly_Inspections!$AX57&lt;&gt;"",Weekly_Inspections!$AX57,IF(Weekly_Inspections!$AY57&lt;&gt;"",Weekly_Inspections!$AY57,IF(Weekly_Inspections!$AZ57&lt;&gt;"",Weekly_Inspections!$AZ57,IF(Weekly_Inspections!$BA57&lt;&gt;"",Weekly_Inspections!$BA57,IF(Weekly_Inspections!$BB57&lt;&gt;"",Weekly_Inspections!$BB57,Weekly_Inspections!$R57)))))</f>
        <v>0</v>
      </c>
      <c r="G57" s="23" t="str">
        <f>IF(OR(Weekly_Inspections!$AQ57&lt;&gt;"",Weekly_Inspections!$AR57&lt;&gt;"",Weekly_Inspections!$AS57&lt;&gt;""),Weekly_Inspections!$AQ57,"")</f>
        <v/>
      </c>
      <c r="H57" s="23">
        <f>Weekly_Inspections!$AP57</f>
        <v>0</v>
      </c>
      <c r="I57" s="23">
        <f>Weekly_Inspections!$AR57</f>
        <v>0</v>
      </c>
      <c r="J57" s="23">
        <f>Weekly_Inspections!$AS57</f>
        <v>0</v>
      </c>
      <c r="K57" s="23">
        <f>Weekly_Inspections!$AU57</f>
        <v>0</v>
      </c>
      <c r="L57" s="22">
        <f>Weekly_Inspections!$AV57</f>
        <v>0</v>
      </c>
      <c r="M57" s="23" t="str">
        <f t="shared" si="0"/>
        <v>Open</v>
      </c>
      <c r="N57" s="22"/>
      <c r="O57" s="21">
        <f t="shared" ca="1" si="1"/>
        <v>46113</v>
      </c>
      <c r="P57" s="21" t="str">
        <f t="shared" ca="1" si="2"/>
        <v>YES</v>
      </c>
      <c r="Q57" s="23">
        <f>Weekly_Inspections!$AW57</f>
        <v>0</v>
      </c>
    </row>
    <row r="58" spans="1:17" ht="15" customHeight="1" x14ac:dyDescent="0.2">
      <c r="A58" s="21" t="str">
        <f>IF(Weekly_Inspections!$B58="","",Weekly_Inspections!$A58&amp;"-A1")</f>
        <v/>
      </c>
      <c r="B58" s="22">
        <f>Weekly_Inspections!$B58</f>
        <v>0</v>
      </c>
      <c r="C58" s="23">
        <f>Weekly_Inspections!$E58</f>
        <v>0</v>
      </c>
      <c r="D58" s="23">
        <f>Weekly_Inspections!$F58</f>
        <v>0</v>
      </c>
      <c r="E58" s="21" t="str">
        <f>Weekly_Inspections!$H58</f>
        <v/>
      </c>
      <c r="F58" s="23">
        <f>IF(Weekly_Inspections!$AX58&lt;&gt;"",Weekly_Inspections!$AX58,IF(Weekly_Inspections!$AY58&lt;&gt;"",Weekly_Inspections!$AY58,IF(Weekly_Inspections!$AZ58&lt;&gt;"",Weekly_Inspections!$AZ58,IF(Weekly_Inspections!$BA58&lt;&gt;"",Weekly_Inspections!$BA58,IF(Weekly_Inspections!$BB58&lt;&gt;"",Weekly_Inspections!$BB58,Weekly_Inspections!$R58)))))</f>
        <v>0</v>
      </c>
      <c r="G58" s="23" t="str">
        <f>IF(OR(Weekly_Inspections!$AQ58&lt;&gt;"",Weekly_Inspections!$AR58&lt;&gt;"",Weekly_Inspections!$AS58&lt;&gt;""),Weekly_Inspections!$AQ58,"")</f>
        <v/>
      </c>
      <c r="H58" s="23">
        <f>Weekly_Inspections!$AP58</f>
        <v>0</v>
      </c>
      <c r="I58" s="23">
        <f>Weekly_Inspections!$AR58</f>
        <v>0</v>
      </c>
      <c r="J58" s="23">
        <f>Weekly_Inspections!$AS58</f>
        <v>0</v>
      </c>
      <c r="K58" s="23">
        <f>Weekly_Inspections!$AU58</f>
        <v>0</v>
      </c>
      <c r="L58" s="22">
        <f>Weekly_Inspections!$AV58</f>
        <v>0</v>
      </c>
      <c r="M58" s="23" t="str">
        <f t="shared" si="0"/>
        <v>Open</v>
      </c>
      <c r="N58" s="22"/>
      <c r="O58" s="21">
        <f t="shared" ca="1" si="1"/>
        <v>46113</v>
      </c>
      <c r="P58" s="21" t="str">
        <f t="shared" ca="1" si="2"/>
        <v>YES</v>
      </c>
      <c r="Q58" s="23">
        <f>Weekly_Inspections!$AW58</f>
        <v>0</v>
      </c>
    </row>
    <row r="59" spans="1:17" ht="15" customHeight="1" x14ac:dyDescent="0.2">
      <c r="A59" s="21" t="str">
        <f>IF(Weekly_Inspections!$B59="","",Weekly_Inspections!$A59&amp;"-A1")</f>
        <v/>
      </c>
      <c r="B59" s="22">
        <f>Weekly_Inspections!$B59</f>
        <v>0</v>
      </c>
      <c r="C59" s="23">
        <f>Weekly_Inspections!$E59</f>
        <v>0</v>
      </c>
      <c r="D59" s="23">
        <f>Weekly_Inspections!$F59</f>
        <v>0</v>
      </c>
      <c r="E59" s="21" t="str">
        <f>Weekly_Inspections!$H59</f>
        <v/>
      </c>
      <c r="F59" s="23">
        <f>IF(Weekly_Inspections!$AX59&lt;&gt;"",Weekly_Inspections!$AX59,IF(Weekly_Inspections!$AY59&lt;&gt;"",Weekly_Inspections!$AY59,IF(Weekly_Inspections!$AZ59&lt;&gt;"",Weekly_Inspections!$AZ59,IF(Weekly_Inspections!$BA59&lt;&gt;"",Weekly_Inspections!$BA59,IF(Weekly_Inspections!$BB59&lt;&gt;"",Weekly_Inspections!$BB59,Weekly_Inspections!$R59)))))</f>
        <v>0</v>
      </c>
      <c r="G59" s="23" t="str">
        <f>IF(OR(Weekly_Inspections!$AQ59&lt;&gt;"",Weekly_Inspections!$AR59&lt;&gt;"",Weekly_Inspections!$AS59&lt;&gt;""),Weekly_Inspections!$AQ59,"")</f>
        <v/>
      </c>
      <c r="H59" s="23">
        <f>Weekly_Inspections!$AP59</f>
        <v>0</v>
      </c>
      <c r="I59" s="23">
        <f>Weekly_Inspections!$AR59</f>
        <v>0</v>
      </c>
      <c r="J59" s="23">
        <f>Weekly_Inspections!$AS59</f>
        <v>0</v>
      </c>
      <c r="K59" s="23">
        <f>Weekly_Inspections!$AU59</f>
        <v>0</v>
      </c>
      <c r="L59" s="22">
        <f>Weekly_Inspections!$AV59</f>
        <v>0</v>
      </c>
      <c r="M59" s="23" t="str">
        <f t="shared" si="0"/>
        <v>Open</v>
      </c>
      <c r="N59" s="22"/>
      <c r="O59" s="21">
        <f t="shared" ca="1" si="1"/>
        <v>46113</v>
      </c>
      <c r="P59" s="21" t="str">
        <f t="shared" ca="1" si="2"/>
        <v>YES</v>
      </c>
      <c r="Q59" s="23">
        <f>Weekly_Inspections!$AW59</f>
        <v>0</v>
      </c>
    </row>
    <row r="60" spans="1:17" ht="15" customHeight="1" x14ac:dyDescent="0.2">
      <c r="A60" s="21" t="str">
        <f>IF(Weekly_Inspections!$B60="","",Weekly_Inspections!$A60&amp;"-A1")</f>
        <v/>
      </c>
      <c r="B60" s="22">
        <f>Weekly_Inspections!$B60</f>
        <v>0</v>
      </c>
      <c r="C60" s="23">
        <f>Weekly_Inspections!$E60</f>
        <v>0</v>
      </c>
      <c r="D60" s="23">
        <f>Weekly_Inspections!$F60</f>
        <v>0</v>
      </c>
      <c r="E60" s="21" t="str">
        <f>Weekly_Inspections!$H60</f>
        <v/>
      </c>
      <c r="F60" s="23">
        <f>IF(Weekly_Inspections!$AX60&lt;&gt;"",Weekly_Inspections!$AX60,IF(Weekly_Inspections!$AY60&lt;&gt;"",Weekly_Inspections!$AY60,IF(Weekly_Inspections!$AZ60&lt;&gt;"",Weekly_Inspections!$AZ60,IF(Weekly_Inspections!$BA60&lt;&gt;"",Weekly_Inspections!$BA60,IF(Weekly_Inspections!$BB60&lt;&gt;"",Weekly_Inspections!$BB60,Weekly_Inspections!$R60)))))</f>
        <v>0</v>
      </c>
      <c r="G60" s="23" t="str">
        <f>IF(OR(Weekly_Inspections!$AQ60&lt;&gt;"",Weekly_Inspections!$AR60&lt;&gt;"",Weekly_Inspections!$AS60&lt;&gt;""),Weekly_Inspections!$AQ60,"")</f>
        <v/>
      </c>
      <c r="H60" s="23">
        <f>Weekly_Inspections!$AP60</f>
        <v>0</v>
      </c>
      <c r="I60" s="23">
        <f>Weekly_Inspections!$AR60</f>
        <v>0</v>
      </c>
      <c r="J60" s="23">
        <f>Weekly_Inspections!$AS60</f>
        <v>0</v>
      </c>
      <c r="K60" s="23">
        <f>Weekly_Inspections!$AU60</f>
        <v>0</v>
      </c>
      <c r="L60" s="22">
        <f>Weekly_Inspections!$AV60</f>
        <v>0</v>
      </c>
      <c r="M60" s="23" t="str">
        <f t="shared" si="0"/>
        <v>Open</v>
      </c>
      <c r="N60" s="22"/>
      <c r="O60" s="21">
        <f t="shared" ca="1" si="1"/>
        <v>46113</v>
      </c>
      <c r="P60" s="21" t="str">
        <f t="shared" ca="1" si="2"/>
        <v>YES</v>
      </c>
      <c r="Q60" s="23">
        <f>Weekly_Inspections!$AW60</f>
        <v>0</v>
      </c>
    </row>
    <row r="61" spans="1:17" ht="15" customHeight="1" x14ac:dyDescent="0.2">
      <c r="A61" s="21" t="str">
        <f>IF(Weekly_Inspections!$B61="","",Weekly_Inspections!$A61&amp;"-A1")</f>
        <v/>
      </c>
      <c r="B61" s="22">
        <f>Weekly_Inspections!$B61</f>
        <v>0</v>
      </c>
      <c r="C61" s="23">
        <f>Weekly_Inspections!$E61</f>
        <v>0</v>
      </c>
      <c r="D61" s="23">
        <f>Weekly_Inspections!$F61</f>
        <v>0</v>
      </c>
      <c r="E61" s="21" t="str">
        <f>Weekly_Inspections!$H61</f>
        <v/>
      </c>
      <c r="F61" s="23">
        <f>IF(Weekly_Inspections!$AX61&lt;&gt;"",Weekly_Inspections!$AX61,IF(Weekly_Inspections!$AY61&lt;&gt;"",Weekly_Inspections!$AY61,IF(Weekly_Inspections!$AZ61&lt;&gt;"",Weekly_Inspections!$AZ61,IF(Weekly_Inspections!$BA61&lt;&gt;"",Weekly_Inspections!$BA61,IF(Weekly_Inspections!$BB61&lt;&gt;"",Weekly_Inspections!$BB61,Weekly_Inspections!$R61)))))</f>
        <v>0</v>
      </c>
      <c r="G61" s="23" t="str">
        <f>IF(OR(Weekly_Inspections!$AQ61&lt;&gt;"",Weekly_Inspections!$AR61&lt;&gt;"",Weekly_Inspections!$AS61&lt;&gt;""),Weekly_Inspections!$AQ61,"")</f>
        <v/>
      </c>
      <c r="H61" s="23">
        <f>Weekly_Inspections!$AP61</f>
        <v>0</v>
      </c>
      <c r="I61" s="23">
        <f>Weekly_Inspections!$AR61</f>
        <v>0</v>
      </c>
      <c r="J61" s="23">
        <f>Weekly_Inspections!$AS61</f>
        <v>0</v>
      </c>
      <c r="K61" s="23">
        <f>Weekly_Inspections!$AU61</f>
        <v>0</v>
      </c>
      <c r="L61" s="22">
        <f>Weekly_Inspections!$AV61</f>
        <v>0</v>
      </c>
      <c r="M61" s="23" t="str">
        <f t="shared" si="0"/>
        <v>Open</v>
      </c>
      <c r="N61" s="22"/>
      <c r="O61" s="21">
        <f t="shared" ca="1" si="1"/>
        <v>46113</v>
      </c>
      <c r="P61" s="21" t="str">
        <f t="shared" ca="1" si="2"/>
        <v>YES</v>
      </c>
      <c r="Q61" s="23">
        <f>Weekly_Inspections!$AW61</f>
        <v>0</v>
      </c>
    </row>
    <row r="62" spans="1:17" ht="15" customHeight="1" x14ac:dyDescent="0.2">
      <c r="A62" s="21" t="str">
        <f>IF(Weekly_Inspections!$B62="","",Weekly_Inspections!$A62&amp;"-A1")</f>
        <v/>
      </c>
      <c r="B62" s="22">
        <f>Weekly_Inspections!$B62</f>
        <v>0</v>
      </c>
      <c r="C62" s="23">
        <f>Weekly_Inspections!$E62</f>
        <v>0</v>
      </c>
      <c r="D62" s="23">
        <f>Weekly_Inspections!$F62</f>
        <v>0</v>
      </c>
      <c r="E62" s="21" t="str">
        <f>Weekly_Inspections!$H62</f>
        <v/>
      </c>
      <c r="F62" s="23">
        <f>IF(Weekly_Inspections!$AX62&lt;&gt;"",Weekly_Inspections!$AX62,IF(Weekly_Inspections!$AY62&lt;&gt;"",Weekly_Inspections!$AY62,IF(Weekly_Inspections!$AZ62&lt;&gt;"",Weekly_Inspections!$AZ62,IF(Weekly_Inspections!$BA62&lt;&gt;"",Weekly_Inspections!$BA62,IF(Weekly_Inspections!$BB62&lt;&gt;"",Weekly_Inspections!$BB62,Weekly_Inspections!$R62)))))</f>
        <v>0</v>
      </c>
      <c r="G62" s="23" t="str">
        <f>IF(OR(Weekly_Inspections!$AQ62&lt;&gt;"",Weekly_Inspections!$AR62&lt;&gt;"",Weekly_Inspections!$AS62&lt;&gt;""),Weekly_Inspections!$AQ62,"")</f>
        <v/>
      </c>
      <c r="H62" s="23">
        <f>Weekly_Inspections!$AP62</f>
        <v>0</v>
      </c>
      <c r="I62" s="23">
        <f>Weekly_Inspections!$AR62</f>
        <v>0</v>
      </c>
      <c r="J62" s="23">
        <f>Weekly_Inspections!$AS62</f>
        <v>0</v>
      </c>
      <c r="K62" s="23">
        <f>Weekly_Inspections!$AU62</f>
        <v>0</v>
      </c>
      <c r="L62" s="22">
        <f>Weekly_Inspections!$AV62</f>
        <v>0</v>
      </c>
      <c r="M62" s="23" t="str">
        <f t="shared" si="0"/>
        <v>Open</v>
      </c>
      <c r="N62" s="22"/>
      <c r="O62" s="21">
        <f t="shared" ca="1" si="1"/>
        <v>46113</v>
      </c>
      <c r="P62" s="21" t="str">
        <f t="shared" ca="1" si="2"/>
        <v>YES</v>
      </c>
      <c r="Q62" s="23">
        <f>Weekly_Inspections!$AW62</f>
        <v>0</v>
      </c>
    </row>
    <row r="63" spans="1:17" ht="15" customHeight="1" x14ac:dyDescent="0.2">
      <c r="A63" s="21" t="str">
        <f>IF(Weekly_Inspections!$B63="","",Weekly_Inspections!$A63&amp;"-A1")</f>
        <v/>
      </c>
      <c r="B63" s="22">
        <f>Weekly_Inspections!$B63</f>
        <v>0</v>
      </c>
      <c r="C63" s="23">
        <f>Weekly_Inspections!$E63</f>
        <v>0</v>
      </c>
      <c r="D63" s="23">
        <f>Weekly_Inspections!$F63</f>
        <v>0</v>
      </c>
      <c r="E63" s="21" t="str">
        <f>Weekly_Inspections!$H63</f>
        <v/>
      </c>
      <c r="F63" s="23">
        <f>IF(Weekly_Inspections!$AX63&lt;&gt;"",Weekly_Inspections!$AX63,IF(Weekly_Inspections!$AY63&lt;&gt;"",Weekly_Inspections!$AY63,IF(Weekly_Inspections!$AZ63&lt;&gt;"",Weekly_Inspections!$AZ63,IF(Weekly_Inspections!$BA63&lt;&gt;"",Weekly_Inspections!$BA63,IF(Weekly_Inspections!$BB63&lt;&gt;"",Weekly_Inspections!$BB63,Weekly_Inspections!$R63)))))</f>
        <v>0</v>
      </c>
      <c r="G63" s="23" t="str">
        <f>IF(OR(Weekly_Inspections!$AQ63&lt;&gt;"",Weekly_Inspections!$AR63&lt;&gt;"",Weekly_Inspections!$AS63&lt;&gt;""),Weekly_Inspections!$AQ63,"")</f>
        <v/>
      </c>
      <c r="H63" s="23">
        <f>Weekly_Inspections!$AP63</f>
        <v>0</v>
      </c>
      <c r="I63" s="23">
        <f>Weekly_Inspections!$AR63</f>
        <v>0</v>
      </c>
      <c r="J63" s="23">
        <f>Weekly_Inspections!$AS63</f>
        <v>0</v>
      </c>
      <c r="K63" s="23">
        <f>Weekly_Inspections!$AU63</f>
        <v>0</v>
      </c>
      <c r="L63" s="22">
        <f>Weekly_Inspections!$AV63</f>
        <v>0</v>
      </c>
      <c r="M63" s="23" t="str">
        <f t="shared" si="0"/>
        <v>Open</v>
      </c>
      <c r="N63" s="22"/>
      <c r="O63" s="21">
        <f t="shared" ca="1" si="1"/>
        <v>46113</v>
      </c>
      <c r="P63" s="21" t="str">
        <f t="shared" ca="1" si="2"/>
        <v>YES</v>
      </c>
      <c r="Q63" s="23">
        <f>Weekly_Inspections!$AW63</f>
        <v>0</v>
      </c>
    </row>
    <row r="64" spans="1:17" ht="15" customHeight="1" x14ac:dyDescent="0.2">
      <c r="A64" s="21" t="str">
        <f>IF(Weekly_Inspections!$B64="","",Weekly_Inspections!$A64&amp;"-A1")</f>
        <v/>
      </c>
      <c r="B64" s="22">
        <f>Weekly_Inspections!$B64</f>
        <v>0</v>
      </c>
      <c r="C64" s="23">
        <f>Weekly_Inspections!$E64</f>
        <v>0</v>
      </c>
      <c r="D64" s="23">
        <f>Weekly_Inspections!$F64</f>
        <v>0</v>
      </c>
      <c r="E64" s="21" t="str">
        <f>Weekly_Inspections!$H64</f>
        <v/>
      </c>
      <c r="F64" s="23">
        <f>IF(Weekly_Inspections!$AX64&lt;&gt;"",Weekly_Inspections!$AX64,IF(Weekly_Inspections!$AY64&lt;&gt;"",Weekly_Inspections!$AY64,IF(Weekly_Inspections!$AZ64&lt;&gt;"",Weekly_Inspections!$AZ64,IF(Weekly_Inspections!$BA64&lt;&gt;"",Weekly_Inspections!$BA64,IF(Weekly_Inspections!$BB64&lt;&gt;"",Weekly_Inspections!$BB64,Weekly_Inspections!$R64)))))</f>
        <v>0</v>
      </c>
      <c r="G64" s="23" t="str">
        <f>IF(OR(Weekly_Inspections!$AQ64&lt;&gt;"",Weekly_Inspections!$AR64&lt;&gt;"",Weekly_Inspections!$AS64&lt;&gt;""),Weekly_Inspections!$AQ64,"")</f>
        <v/>
      </c>
      <c r="H64" s="23">
        <f>Weekly_Inspections!$AP64</f>
        <v>0</v>
      </c>
      <c r="I64" s="23">
        <f>Weekly_Inspections!$AR64</f>
        <v>0</v>
      </c>
      <c r="J64" s="23">
        <f>Weekly_Inspections!$AS64</f>
        <v>0</v>
      </c>
      <c r="K64" s="23">
        <f>Weekly_Inspections!$AU64</f>
        <v>0</v>
      </c>
      <c r="L64" s="22">
        <f>Weekly_Inspections!$AV64</f>
        <v>0</v>
      </c>
      <c r="M64" s="23" t="str">
        <f t="shared" ref="M64:M127" si="3">IF($B64="","",IF($N64&lt;&gt;"","Closed",IF(OR($G64&lt;&gt;"",$I64&lt;&gt;"",$J64&lt;&gt;""),"Open","")))</f>
        <v>Open</v>
      </c>
      <c r="N64" s="22"/>
      <c r="O64" s="21">
        <f t="shared" ref="O64:O127" ca="1" si="4">IF($B64="","",IF($M64="Closed",IF($N64="","",$N64-$B64),TODAY()-$B64))</f>
        <v>46113</v>
      </c>
      <c r="P64" s="21" t="str">
        <f t="shared" ref="P64:P127" ca="1" si="5">IF(OR($B64="",$L64="",$M64="Closed"),"",IF(TODAY()&gt;$L64,"YES","NO"))</f>
        <v>YES</v>
      </c>
      <c r="Q64" s="23">
        <f>Weekly_Inspections!$AW64</f>
        <v>0</v>
      </c>
    </row>
    <row r="65" spans="1:17" ht="15" customHeight="1" x14ac:dyDescent="0.2">
      <c r="A65" s="21" t="str">
        <f>IF(Weekly_Inspections!$B65="","",Weekly_Inspections!$A65&amp;"-A1")</f>
        <v/>
      </c>
      <c r="B65" s="22">
        <f>Weekly_Inspections!$B65</f>
        <v>0</v>
      </c>
      <c r="C65" s="23">
        <f>Weekly_Inspections!$E65</f>
        <v>0</v>
      </c>
      <c r="D65" s="23">
        <f>Weekly_Inspections!$F65</f>
        <v>0</v>
      </c>
      <c r="E65" s="21" t="str">
        <f>Weekly_Inspections!$H65</f>
        <v/>
      </c>
      <c r="F65" s="23">
        <f>IF(Weekly_Inspections!$AX65&lt;&gt;"",Weekly_Inspections!$AX65,IF(Weekly_Inspections!$AY65&lt;&gt;"",Weekly_Inspections!$AY65,IF(Weekly_Inspections!$AZ65&lt;&gt;"",Weekly_Inspections!$AZ65,IF(Weekly_Inspections!$BA65&lt;&gt;"",Weekly_Inspections!$BA65,IF(Weekly_Inspections!$BB65&lt;&gt;"",Weekly_Inspections!$BB65,Weekly_Inspections!$R65)))))</f>
        <v>0</v>
      </c>
      <c r="G65" s="23" t="str">
        <f>IF(OR(Weekly_Inspections!$AQ65&lt;&gt;"",Weekly_Inspections!$AR65&lt;&gt;"",Weekly_Inspections!$AS65&lt;&gt;""),Weekly_Inspections!$AQ65,"")</f>
        <v/>
      </c>
      <c r="H65" s="23">
        <f>Weekly_Inspections!$AP65</f>
        <v>0</v>
      </c>
      <c r="I65" s="23">
        <f>Weekly_Inspections!$AR65</f>
        <v>0</v>
      </c>
      <c r="J65" s="23">
        <f>Weekly_Inspections!$AS65</f>
        <v>0</v>
      </c>
      <c r="K65" s="23">
        <f>Weekly_Inspections!$AU65</f>
        <v>0</v>
      </c>
      <c r="L65" s="22">
        <f>Weekly_Inspections!$AV65</f>
        <v>0</v>
      </c>
      <c r="M65" s="23" t="str">
        <f t="shared" si="3"/>
        <v>Open</v>
      </c>
      <c r="N65" s="22"/>
      <c r="O65" s="21">
        <f t="shared" ca="1" si="4"/>
        <v>46113</v>
      </c>
      <c r="P65" s="21" t="str">
        <f t="shared" ca="1" si="5"/>
        <v>YES</v>
      </c>
      <c r="Q65" s="23">
        <f>Weekly_Inspections!$AW65</f>
        <v>0</v>
      </c>
    </row>
    <row r="66" spans="1:17" ht="15" customHeight="1" x14ac:dyDescent="0.2">
      <c r="A66" s="21" t="str">
        <f>IF(Weekly_Inspections!$B66="","",Weekly_Inspections!$A66&amp;"-A1")</f>
        <v/>
      </c>
      <c r="B66" s="22">
        <f>Weekly_Inspections!$B66</f>
        <v>0</v>
      </c>
      <c r="C66" s="23">
        <f>Weekly_Inspections!$E66</f>
        <v>0</v>
      </c>
      <c r="D66" s="23">
        <f>Weekly_Inspections!$F66</f>
        <v>0</v>
      </c>
      <c r="E66" s="21" t="str">
        <f>Weekly_Inspections!$H66</f>
        <v/>
      </c>
      <c r="F66" s="23">
        <f>IF(Weekly_Inspections!$AX66&lt;&gt;"",Weekly_Inspections!$AX66,IF(Weekly_Inspections!$AY66&lt;&gt;"",Weekly_Inspections!$AY66,IF(Weekly_Inspections!$AZ66&lt;&gt;"",Weekly_Inspections!$AZ66,IF(Weekly_Inspections!$BA66&lt;&gt;"",Weekly_Inspections!$BA66,IF(Weekly_Inspections!$BB66&lt;&gt;"",Weekly_Inspections!$BB66,Weekly_Inspections!$R66)))))</f>
        <v>0</v>
      </c>
      <c r="G66" s="23" t="str">
        <f>IF(OR(Weekly_Inspections!$AQ66&lt;&gt;"",Weekly_Inspections!$AR66&lt;&gt;"",Weekly_Inspections!$AS66&lt;&gt;""),Weekly_Inspections!$AQ66,"")</f>
        <v/>
      </c>
      <c r="H66" s="23">
        <f>Weekly_Inspections!$AP66</f>
        <v>0</v>
      </c>
      <c r="I66" s="23">
        <f>Weekly_Inspections!$AR66</f>
        <v>0</v>
      </c>
      <c r="J66" s="23">
        <f>Weekly_Inspections!$AS66</f>
        <v>0</v>
      </c>
      <c r="K66" s="23">
        <f>Weekly_Inspections!$AU66</f>
        <v>0</v>
      </c>
      <c r="L66" s="22">
        <f>Weekly_Inspections!$AV66</f>
        <v>0</v>
      </c>
      <c r="M66" s="23" t="str">
        <f t="shared" si="3"/>
        <v>Open</v>
      </c>
      <c r="N66" s="22"/>
      <c r="O66" s="21">
        <f t="shared" ca="1" si="4"/>
        <v>46113</v>
      </c>
      <c r="P66" s="21" t="str">
        <f t="shared" ca="1" si="5"/>
        <v>YES</v>
      </c>
      <c r="Q66" s="23">
        <f>Weekly_Inspections!$AW66</f>
        <v>0</v>
      </c>
    </row>
    <row r="67" spans="1:17" ht="15" customHeight="1" x14ac:dyDescent="0.2">
      <c r="A67" s="21" t="str">
        <f>IF(Weekly_Inspections!$B67="","",Weekly_Inspections!$A67&amp;"-A1")</f>
        <v/>
      </c>
      <c r="B67" s="22">
        <f>Weekly_Inspections!$B67</f>
        <v>0</v>
      </c>
      <c r="C67" s="23">
        <f>Weekly_Inspections!$E67</f>
        <v>0</v>
      </c>
      <c r="D67" s="23">
        <f>Weekly_Inspections!$F67</f>
        <v>0</v>
      </c>
      <c r="E67" s="21" t="str">
        <f>Weekly_Inspections!$H67</f>
        <v/>
      </c>
      <c r="F67" s="23">
        <f>IF(Weekly_Inspections!$AX67&lt;&gt;"",Weekly_Inspections!$AX67,IF(Weekly_Inspections!$AY67&lt;&gt;"",Weekly_Inspections!$AY67,IF(Weekly_Inspections!$AZ67&lt;&gt;"",Weekly_Inspections!$AZ67,IF(Weekly_Inspections!$BA67&lt;&gt;"",Weekly_Inspections!$BA67,IF(Weekly_Inspections!$BB67&lt;&gt;"",Weekly_Inspections!$BB67,Weekly_Inspections!$R67)))))</f>
        <v>0</v>
      </c>
      <c r="G67" s="23" t="str">
        <f>IF(OR(Weekly_Inspections!$AQ67&lt;&gt;"",Weekly_Inspections!$AR67&lt;&gt;"",Weekly_Inspections!$AS67&lt;&gt;""),Weekly_Inspections!$AQ67,"")</f>
        <v/>
      </c>
      <c r="H67" s="23">
        <f>Weekly_Inspections!$AP67</f>
        <v>0</v>
      </c>
      <c r="I67" s="23">
        <f>Weekly_Inspections!$AR67</f>
        <v>0</v>
      </c>
      <c r="J67" s="23">
        <f>Weekly_Inspections!$AS67</f>
        <v>0</v>
      </c>
      <c r="K67" s="23">
        <f>Weekly_Inspections!$AU67</f>
        <v>0</v>
      </c>
      <c r="L67" s="22">
        <f>Weekly_Inspections!$AV67</f>
        <v>0</v>
      </c>
      <c r="M67" s="23" t="str">
        <f t="shared" si="3"/>
        <v>Open</v>
      </c>
      <c r="N67" s="22"/>
      <c r="O67" s="21">
        <f t="shared" ca="1" si="4"/>
        <v>46113</v>
      </c>
      <c r="P67" s="21" t="str">
        <f t="shared" ca="1" si="5"/>
        <v>YES</v>
      </c>
      <c r="Q67" s="23">
        <f>Weekly_Inspections!$AW67</f>
        <v>0</v>
      </c>
    </row>
    <row r="68" spans="1:17" ht="15" customHeight="1" x14ac:dyDescent="0.2">
      <c r="A68" s="21" t="str">
        <f>IF(Weekly_Inspections!$B68="","",Weekly_Inspections!$A68&amp;"-A1")</f>
        <v/>
      </c>
      <c r="B68" s="22">
        <f>Weekly_Inspections!$B68</f>
        <v>0</v>
      </c>
      <c r="C68" s="23">
        <f>Weekly_Inspections!$E68</f>
        <v>0</v>
      </c>
      <c r="D68" s="23">
        <f>Weekly_Inspections!$F68</f>
        <v>0</v>
      </c>
      <c r="E68" s="21" t="str">
        <f>Weekly_Inspections!$H68</f>
        <v/>
      </c>
      <c r="F68" s="23">
        <f>IF(Weekly_Inspections!$AX68&lt;&gt;"",Weekly_Inspections!$AX68,IF(Weekly_Inspections!$AY68&lt;&gt;"",Weekly_Inspections!$AY68,IF(Weekly_Inspections!$AZ68&lt;&gt;"",Weekly_Inspections!$AZ68,IF(Weekly_Inspections!$BA68&lt;&gt;"",Weekly_Inspections!$BA68,IF(Weekly_Inspections!$BB68&lt;&gt;"",Weekly_Inspections!$BB68,Weekly_Inspections!$R68)))))</f>
        <v>0</v>
      </c>
      <c r="G68" s="23" t="str">
        <f>IF(OR(Weekly_Inspections!$AQ68&lt;&gt;"",Weekly_Inspections!$AR68&lt;&gt;"",Weekly_Inspections!$AS68&lt;&gt;""),Weekly_Inspections!$AQ68,"")</f>
        <v/>
      </c>
      <c r="H68" s="23">
        <f>Weekly_Inspections!$AP68</f>
        <v>0</v>
      </c>
      <c r="I68" s="23">
        <f>Weekly_Inspections!$AR68</f>
        <v>0</v>
      </c>
      <c r="J68" s="23">
        <f>Weekly_Inspections!$AS68</f>
        <v>0</v>
      </c>
      <c r="K68" s="23">
        <f>Weekly_Inspections!$AU68</f>
        <v>0</v>
      </c>
      <c r="L68" s="22">
        <f>Weekly_Inspections!$AV68</f>
        <v>0</v>
      </c>
      <c r="M68" s="23" t="str">
        <f t="shared" si="3"/>
        <v>Open</v>
      </c>
      <c r="N68" s="22"/>
      <c r="O68" s="21">
        <f t="shared" ca="1" si="4"/>
        <v>46113</v>
      </c>
      <c r="P68" s="21" t="str">
        <f t="shared" ca="1" si="5"/>
        <v>YES</v>
      </c>
      <c r="Q68" s="23">
        <f>Weekly_Inspections!$AW68</f>
        <v>0</v>
      </c>
    </row>
    <row r="69" spans="1:17" ht="15" customHeight="1" x14ac:dyDescent="0.2">
      <c r="A69" s="21" t="str">
        <f>IF(Weekly_Inspections!$B69="","",Weekly_Inspections!$A69&amp;"-A1")</f>
        <v/>
      </c>
      <c r="B69" s="22">
        <f>Weekly_Inspections!$B69</f>
        <v>0</v>
      </c>
      <c r="C69" s="23">
        <f>Weekly_Inspections!$E69</f>
        <v>0</v>
      </c>
      <c r="D69" s="23">
        <f>Weekly_Inspections!$F69</f>
        <v>0</v>
      </c>
      <c r="E69" s="21" t="str">
        <f>Weekly_Inspections!$H69</f>
        <v/>
      </c>
      <c r="F69" s="23">
        <f>IF(Weekly_Inspections!$AX69&lt;&gt;"",Weekly_Inspections!$AX69,IF(Weekly_Inspections!$AY69&lt;&gt;"",Weekly_Inspections!$AY69,IF(Weekly_Inspections!$AZ69&lt;&gt;"",Weekly_Inspections!$AZ69,IF(Weekly_Inspections!$BA69&lt;&gt;"",Weekly_Inspections!$BA69,IF(Weekly_Inspections!$BB69&lt;&gt;"",Weekly_Inspections!$BB69,Weekly_Inspections!$R69)))))</f>
        <v>0</v>
      </c>
      <c r="G69" s="23" t="str">
        <f>IF(OR(Weekly_Inspections!$AQ69&lt;&gt;"",Weekly_Inspections!$AR69&lt;&gt;"",Weekly_Inspections!$AS69&lt;&gt;""),Weekly_Inspections!$AQ69,"")</f>
        <v/>
      </c>
      <c r="H69" s="23">
        <f>Weekly_Inspections!$AP69</f>
        <v>0</v>
      </c>
      <c r="I69" s="23">
        <f>Weekly_Inspections!$AR69</f>
        <v>0</v>
      </c>
      <c r="J69" s="23">
        <f>Weekly_Inspections!$AS69</f>
        <v>0</v>
      </c>
      <c r="K69" s="23">
        <f>Weekly_Inspections!$AU69</f>
        <v>0</v>
      </c>
      <c r="L69" s="22">
        <f>Weekly_Inspections!$AV69</f>
        <v>0</v>
      </c>
      <c r="M69" s="23" t="str">
        <f t="shared" si="3"/>
        <v>Open</v>
      </c>
      <c r="N69" s="22"/>
      <c r="O69" s="21">
        <f t="shared" ca="1" si="4"/>
        <v>46113</v>
      </c>
      <c r="P69" s="21" t="str">
        <f t="shared" ca="1" si="5"/>
        <v>YES</v>
      </c>
      <c r="Q69" s="23">
        <f>Weekly_Inspections!$AW69</f>
        <v>0</v>
      </c>
    </row>
    <row r="70" spans="1:17" ht="15" customHeight="1" x14ac:dyDescent="0.2">
      <c r="A70" s="21" t="str">
        <f>IF(Weekly_Inspections!$B70="","",Weekly_Inspections!$A70&amp;"-A1")</f>
        <v/>
      </c>
      <c r="B70" s="22">
        <f>Weekly_Inspections!$B70</f>
        <v>0</v>
      </c>
      <c r="C70" s="23">
        <f>Weekly_Inspections!$E70</f>
        <v>0</v>
      </c>
      <c r="D70" s="23">
        <f>Weekly_Inspections!$F70</f>
        <v>0</v>
      </c>
      <c r="E70" s="21" t="str">
        <f>Weekly_Inspections!$H70</f>
        <v/>
      </c>
      <c r="F70" s="23">
        <f>IF(Weekly_Inspections!$AX70&lt;&gt;"",Weekly_Inspections!$AX70,IF(Weekly_Inspections!$AY70&lt;&gt;"",Weekly_Inspections!$AY70,IF(Weekly_Inspections!$AZ70&lt;&gt;"",Weekly_Inspections!$AZ70,IF(Weekly_Inspections!$BA70&lt;&gt;"",Weekly_Inspections!$BA70,IF(Weekly_Inspections!$BB70&lt;&gt;"",Weekly_Inspections!$BB70,Weekly_Inspections!$R70)))))</f>
        <v>0</v>
      </c>
      <c r="G70" s="23" t="str">
        <f>IF(OR(Weekly_Inspections!$AQ70&lt;&gt;"",Weekly_Inspections!$AR70&lt;&gt;"",Weekly_Inspections!$AS70&lt;&gt;""),Weekly_Inspections!$AQ70,"")</f>
        <v/>
      </c>
      <c r="H70" s="23">
        <f>Weekly_Inspections!$AP70</f>
        <v>0</v>
      </c>
      <c r="I70" s="23">
        <f>Weekly_Inspections!$AR70</f>
        <v>0</v>
      </c>
      <c r="J70" s="23">
        <f>Weekly_Inspections!$AS70</f>
        <v>0</v>
      </c>
      <c r="K70" s="23">
        <f>Weekly_Inspections!$AU70</f>
        <v>0</v>
      </c>
      <c r="L70" s="22">
        <f>Weekly_Inspections!$AV70</f>
        <v>0</v>
      </c>
      <c r="M70" s="23" t="str">
        <f t="shared" si="3"/>
        <v>Open</v>
      </c>
      <c r="N70" s="22"/>
      <c r="O70" s="21">
        <f t="shared" ca="1" si="4"/>
        <v>46113</v>
      </c>
      <c r="P70" s="21" t="str">
        <f t="shared" ca="1" si="5"/>
        <v>YES</v>
      </c>
      <c r="Q70" s="23">
        <f>Weekly_Inspections!$AW70</f>
        <v>0</v>
      </c>
    </row>
    <row r="71" spans="1:17" ht="15" customHeight="1" x14ac:dyDescent="0.2">
      <c r="A71" s="21" t="str">
        <f>IF(Weekly_Inspections!$B71="","",Weekly_Inspections!$A71&amp;"-A1")</f>
        <v/>
      </c>
      <c r="B71" s="22">
        <f>Weekly_Inspections!$B71</f>
        <v>0</v>
      </c>
      <c r="C71" s="23">
        <f>Weekly_Inspections!$E71</f>
        <v>0</v>
      </c>
      <c r="D71" s="23">
        <f>Weekly_Inspections!$F71</f>
        <v>0</v>
      </c>
      <c r="E71" s="21" t="str">
        <f>Weekly_Inspections!$H71</f>
        <v/>
      </c>
      <c r="F71" s="23">
        <f>IF(Weekly_Inspections!$AX71&lt;&gt;"",Weekly_Inspections!$AX71,IF(Weekly_Inspections!$AY71&lt;&gt;"",Weekly_Inspections!$AY71,IF(Weekly_Inspections!$AZ71&lt;&gt;"",Weekly_Inspections!$AZ71,IF(Weekly_Inspections!$BA71&lt;&gt;"",Weekly_Inspections!$BA71,IF(Weekly_Inspections!$BB71&lt;&gt;"",Weekly_Inspections!$BB71,Weekly_Inspections!$R71)))))</f>
        <v>0</v>
      </c>
      <c r="G71" s="23" t="str">
        <f>IF(OR(Weekly_Inspections!$AQ71&lt;&gt;"",Weekly_Inspections!$AR71&lt;&gt;"",Weekly_Inspections!$AS71&lt;&gt;""),Weekly_Inspections!$AQ71,"")</f>
        <v/>
      </c>
      <c r="H71" s="23">
        <f>Weekly_Inspections!$AP71</f>
        <v>0</v>
      </c>
      <c r="I71" s="23">
        <f>Weekly_Inspections!$AR71</f>
        <v>0</v>
      </c>
      <c r="J71" s="23">
        <f>Weekly_Inspections!$AS71</f>
        <v>0</v>
      </c>
      <c r="K71" s="23">
        <f>Weekly_Inspections!$AU71</f>
        <v>0</v>
      </c>
      <c r="L71" s="22">
        <f>Weekly_Inspections!$AV71</f>
        <v>0</v>
      </c>
      <c r="M71" s="23" t="str">
        <f t="shared" si="3"/>
        <v>Open</v>
      </c>
      <c r="N71" s="22"/>
      <c r="O71" s="21">
        <f t="shared" ca="1" si="4"/>
        <v>46113</v>
      </c>
      <c r="P71" s="21" t="str">
        <f t="shared" ca="1" si="5"/>
        <v>YES</v>
      </c>
      <c r="Q71" s="23">
        <f>Weekly_Inspections!$AW71</f>
        <v>0</v>
      </c>
    </row>
    <row r="72" spans="1:17" ht="15" customHeight="1" x14ac:dyDescent="0.2">
      <c r="A72" s="21" t="str">
        <f>IF(Weekly_Inspections!$B72="","",Weekly_Inspections!$A72&amp;"-A1")</f>
        <v/>
      </c>
      <c r="B72" s="22">
        <f>Weekly_Inspections!$B72</f>
        <v>0</v>
      </c>
      <c r="C72" s="23">
        <f>Weekly_Inspections!$E72</f>
        <v>0</v>
      </c>
      <c r="D72" s="23">
        <f>Weekly_Inspections!$F72</f>
        <v>0</v>
      </c>
      <c r="E72" s="21" t="str">
        <f>Weekly_Inspections!$H72</f>
        <v/>
      </c>
      <c r="F72" s="23">
        <f>IF(Weekly_Inspections!$AX72&lt;&gt;"",Weekly_Inspections!$AX72,IF(Weekly_Inspections!$AY72&lt;&gt;"",Weekly_Inspections!$AY72,IF(Weekly_Inspections!$AZ72&lt;&gt;"",Weekly_Inspections!$AZ72,IF(Weekly_Inspections!$BA72&lt;&gt;"",Weekly_Inspections!$BA72,IF(Weekly_Inspections!$BB72&lt;&gt;"",Weekly_Inspections!$BB72,Weekly_Inspections!$R72)))))</f>
        <v>0</v>
      </c>
      <c r="G72" s="23" t="str">
        <f>IF(OR(Weekly_Inspections!$AQ72&lt;&gt;"",Weekly_Inspections!$AR72&lt;&gt;"",Weekly_Inspections!$AS72&lt;&gt;""),Weekly_Inspections!$AQ72,"")</f>
        <v/>
      </c>
      <c r="H72" s="23">
        <f>Weekly_Inspections!$AP72</f>
        <v>0</v>
      </c>
      <c r="I72" s="23">
        <f>Weekly_Inspections!$AR72</f>
        <v>0</v>
      </c>
      <c r="J72" s="23">
        <f>Weekly_Inspections!$AS72</f>
        <v>0</v>
      </c>
      <c r="K72" s="23">
        <f>Weekly_Inspections!$AU72</f>
        <v>0</v>
      </c>
      <c r="L72" s="22">
        <f>Weekly_Inspections!$AV72</f>
        <v>0</v>
      </c>
      <c r="M72" s="23" t="str">
        <f t="shared" si="3"/>
        <v>Open</v>
      </c>
      <c r="N72" s="22"/>
      <c r="O72" s="21">
        <f t="shared" ca="1" si="4"/>
        <v>46113</v>
      </c>
      <c r="P72" s="21" t="str">
        <f t="shared" ca="1" si="5"/>
        <v>YES</v>
      </c>
      <c r="Q72" s="23">
        <f>Weekly_Inspections!$AW72</f>
        <v>0</v>
      </c>
    </row>
    <row r="73" spans="1:17" ht="15" customHeight="1" x14ac:dyDescent="0.2">
      <c r="A73" s="21" t="str">
        <f>IF(Weekly_Inspections!$B73="","",Weekly_Inspections!$A73&amp;"-A1")</f>
        <v/>
      </c>
      <c r="B73" s="22">
        <f>Weekly_Inspections!$B73</f>
        <v>0</v>
      </c>
      <c r="C73" s="23">
        <f>Weekly_Inspections!$E73</f>
        <v>0</v>
      </c>
      <c r="D73" s="23">
        <f>Weekly_Inspections!$F73</f>
        <v>0</v>
      </c>
      <c r="E73" s="21" t="str">
        <f>Weekly_Inspections!$H73</f>
        <v/>
      </c>
      <c r="F73" s="23">
        <f>IF(Weekly_Inspections!$AX73&lt;&gt;"",Weekly_Inspections!$AX73,IF(Weekly_Inspections!$AY73&lt;&gt;"",Weekly_Inspections!$AY73,IF(Weekly_Inspections!$AZ73&lt;&gt;"",Weekly_Inspections!$AZ73,IF(Weekly_Inspections!$BA73&lt;&gt;"",Weekly_Inspections!$BA73,IF(Weekly_Inspections!$BB73&lt;&gt;"",Weekly_Inspections!$BB73,Weekly_Inspections!$R73)))))</f>
        <v>0</v>
      </c>
      <c r="G73" s="23" t="str">
        <f>IF(OR(Weekly_Inspections!$AQ73&lt;&gt;"",Weekly_Inspections!$AR73&lt;&gt;"",Weekly_Inspections!$AS73&lt;&gt;""),Weekly_Inspections!$AQ73,"")</f>
        <v/>
      </c>
      <c r="H73" s="23">
        <f>Weekly_Inspections!$AP73</f>
        <v>0</v>
      </c>
      <c r="I73" s="23">
        <f>Weekly_Inspections!$AR73</f>
        <v>0</v>
      </c>
      <c r="J73" s="23">
        <f>Weekly_Inspections!$AS73</f>
        <v>0</v>
      </c>
      <c r="K73" s="23">
        <f>Weekly_Inspections!$AU73</f>
        <v>0</v>
      </c>
      <c r="L73" s="22">
        <f>Weekly_Inspections!$AV73</f>
        <v>0</v>
      </c>
      <c r="M73" s="23" t="str">
        <f t="shared" si="3"/>
        <v>Open</v>
      </c>
      <c r="N73" s="22"/>
      <c r="O73" s="21">
        <f t="shared" ca="1" si="4"/>
        <v>46113</v>
      </c>
      <c r="P73" s="21" t="str">
        <f t="shared" ca="1" si="5"/>
        <v>YES</v>
      </c>
      <c r="Q73" s="23">
        <f>Weekly_Inspections!$AW73</f>
        <v>0</v>
      </c>
    </row>
    <row r="74" spans="1:17" ht="15" customHeight="1" x14ac:dyDescent="0.2">
      <c r="A74" s="21" t="str">
        <f>IF(Weekly_Inspections!$B74="","",Weekly_Inspections!$A74&amp;"-A1")</f>
        <v/>
      </c>
      <c r="B74" s="22">
        <f>Weekly_Inspections!$B74</f>
        <v>0</v>
      </c>
      <c r="C74" s="23">
        <f>Weekly_Inspections!$E74</f>
        <v>0</v>
      </c>
      <c r="D74" s="23">
        <f>Weekly_Inspections!$F74</f>
        <v>0</v>
      </c>
      <c r="E74" s="21" t="str">
        <f>Weekly_Inspections!$H74</f>
        <v/>
      </c>
      <c r="F74" s="23">
        <f>IF(Weekly_Inspections!$AX74&lt;&gt;"",Weekly_Inspections!$AX74,IF(Weekly_Inspections!$AY74&lt;&gt;"",Weekly_Inspections!$AY74,IF(Weekly_Inspections!$AZ74&lt;&gt;"",Weekly_Inspections!$AZ74,IF(Weekly_Inspections!$BA74&lt;&gt;"",Weekly_Inspections!$BA74,IF(Weekly_Inspections!$BB74&lt;&gt;"",Weekly_Inspections!$BB74,Weekly_Inspections!$R74)))))</f>
        <v>0</v>
      </c>
      <c r="G74" s="23" t="str">
        <f>IF(OR(Weekly_Inspections!$AQ74&lt;&gt;"",Weekly_Inspections!$AR74&lt;&gt;"",Weekly_Inspections!$AS74&lt;&gt;""),Weekly_Inspections!$AQ74,"")</f>
        <v/>
      </c>
      <c r="H74" s="23">
        <f>Weekly_Inspections!$AP74</f>
        <v>0</v>
      </c>
      <c r="I74" s="23">
        <f>Weekly_Inspections!$AR74</f>
        <v>0</v>
      </c>
      <c r="J74" s="23">
        <f>Weekly_Inspections!$AS74</f>
        <v>0</v>
      </c>
      <c r="K74" s="23">
        <f>Weekly_Inspections!$AU74</f>
        <v>0</v>
      </c>
      <c r="L74" s="22">
        <f>Weekly_Inspections!$AV74</f>
        <v>0</v>
      </c>
      <c r="M74" s="23" t="str">
        <f t="shared" si="3"/>
        <v>Open</v>
      </c>
      <c r="N74" s="22"/>
      <c r="O74" s="21">
        <f t="shared" ca="1" si="4"/>
        <v>46113</v>
      </c>
      <c r="P74" s="21" t="str">
        <f t="shared" ca="1" si="5"/>
        <v>YES</v>
      </c>
      <c r="Q74" s="23">
        <f>Weekly_Inspections!$AW74</f>
        <v>0</v>
      </c>
    </row>
    <row r="75" spans="1:17" ht="15" customHeight="1" x14ac:dyDescent="0.2">
      <c r="A75" s="21" t="str">
        <f>IF(Weekly_Inspections!$B75="","",Weekly_Inspections!$A75&amp;"-A1")</f>
        <v/>
      </c>
      <c r="B75" s="22">
        <f>Weekly_Inspections!$B75</f>
        <v>0</v>
      </c>
      <c r="C75" s="23">
        <f>Weekly_Inspections!$E75</f>
        <v>0</v>
      </c>
      <c r="D75" s="23">
        <f>Weekly_Inspections!$F75</f>
        <v>0</v>
      </c>
      <c r="E75" s="21" t="str">
        <f>Weekly_Inspections!$H75</f>
        <v/>
      </c>
      <c r="F75" s="23">
        <f>IF(Weekly_Inspections!$AX75&lt;&gt;"",Weekly_Inspections!$AX75,IF(Weekly_Inspections!$AY75&lt;&gt;"",Weekly_Inspections!$AY75,IF(Weekly_Inspections!$AZ75&lt;&gt;"",Weekly_Inspections!$AZ75,IF(Weekly_Inspections!$BA75&lt;&gt;"",Weekly_Inspections!$BA75,IF(Weekly_Inspections!$BB75&lt;&gt;"",Weekly_Inspections!$BB75,Weekly_Inspections!$R75)))))</f>
        <v>0</v>
      </c>
      <c r="G75" s="23" t="str">
        <f>IF(OR(Weekly_Inspections!$AQ75&lt;&gt;"",Weekly_Inspections!$AR75&lt;&gt;"",Weekly_Inspections!$AS75&lt;&gt;""),Weekly_Inspections!$AQ75,"")</f>
        <v/>
      </c>
      <c r="H75" s="23">
        <f>Weekly_Inspections!$AP75</f>
        <v>0</v>
      </c>
      <c r="I75" s="23">
        <f>Weekly_Inspections!$AR75</f>
        <v>0</v>
      </c>
      <c r="J75" s="23">
        <f>Weekly_Inspections!$AS75</f>
        <v>0</v>
      </c>
      <c r="K75" s="23">
        <f>Weekly_Inspections!$AU75</f>
        <v>0</v>
      </c>
      <c r="L75" s="22">
        <f>Weekly_Inspections!$AV75</f>
        <v>0</v>
      </c>
      <c r="M75" s="23" t="str">
        <f t="shared" si="3"/>
        <v>Open</v>
      </c>
      <c r="N75" s="22"/>
      <c r="O75" s="21">
        <f t="shared" ca="1" si="4"/>
        <v>46113</v>
      </c>
      <c r="P75" s="21" t="str">
        <f t="shared" ca="1" si="5"/>
        <v>YES</v>
      </c>
      <c r="Q75" s="23">
        <f>Weekly_Inspections!$AW75</f>
        <v>0</v>
      </c>
    </row>
    <row r="76" spans="1:17" ht="15" customHeight="1" x14ac:dyDescent="0.2">
      <c r="A76" s="21" t="str">
        <f>IF(Weekly_Inspections!$B76="","",Weekly_Inspections!$A76&amp;"-A1")</f>
        <v/>
      </c>
      <c r="B76" s="22">
        <f>Weekly_Inspections!$B76</f>
        <v>0</v>
      </c>
      <c r="C76" s="23">
        <f>Weekly_Inspections!$E76</f>
        <v>0</v>
      </c>
      <c r="D76" s="23">
        <f>Weekly_Inspections!$F76</f>
        <v>0</v>
      </c>
      <c r="E76" s="21" t="str">
        <f>Weekly_Inspections!$H76</f>
        <v/>
      </c>
      <c r="F76" s="23">
        <f>IF(Weekly_Inspections!$AX76&lt;&gt;"",Weekly_Inspections!$AX76,IF(Weekly_Inspections!$AY76&lt;&gt;"",Weekly_Inspections!$AY76,IF(Weekly_Inspections!$AZ76&lt;&gt;"",Weekly_Inspections!$AZ76,IF(Weekly_Inspections!$BA76&lt;&gt;"",Weekly_Inspections!$BA76,IF(Weekly_Inspections!$BB76&lt;&gt;"",Weekly_Inspections!$BB76,Weekly_Inspections!$R76)))))</f>
        <v>0</v>
      </c>
      <c r="G76" s="23" t="str">
        <f>IF(OR(Weekly_Inspections!$AQ76&lt;&gt;"",Weekly_Inspections!$AR76&lt;&gt;"",Weekly_Inspections!$AS76&lt;&gt;""),Weekly_Inspections!$AQ76,"")</f>
        <v/>
      </c>
      <c r="H76" s="23">
        <f>Weekly_Inspections!$AP76</f>
        <v>0</v>
      </c>
      <c r="I76" s="23">
        <f>Weekly_Inspections!$AR76</f>
        <v>0</v>
      </c>
      <c r="J76" s="23">
        <f>Weekly_Inspections!$AS76</f>
        <v>0</v>
      </c>
      <c r="K76" s="23">
        <f>Weekly_Inspections!$AU76</f>
        <v>0</v>
      </c>
      <c r="L76" s="22">
        <f>Weekly_Inspections!$AV76</f>
        <v>0</v>
      </c>
      <c r="M76" s="23" t="str">
        <f t="shared" si="3"/>
        <v>Open</v>
      </c>
      <c r="N76" s="22"/>
      <c r="O76" s="21">
        <f t="shared" ca="1" si="4"/>
        <v>46113</v>
      </c>
      <c r="P76" s="21" t="str">
        <f t="shared" ca="1" si="5"/>
        <v>YES</v>
      </c>
      <c r="Q76" s="23">
        <f>Weekly_Inspections!$AW76</f>
        <v>0</v>
      </c>
    </row>
    <row r="77" spans="1:17" ht="15" customHeight="1" x14ac:dyDescent="0.2">
      <c r="A77" s="21" t="str">
        <f>IF(Weekly_Inspections!$B77="","",Weekly_Inspections!$A77&amp;"-A1")</f>
        <v/>
      </c>
      <c r="B77" s="22">
        <f>Weekly_Inspections!$B77</f>
        <v>0</v>
      </c>
      <c r="C77" s="23">
        <f>Weekly_Inspections!$E77</f>
        <v>0</v>
      </c>
      <c r="D77" s="23">
        <f>Weekly_Inspections!$F77</f>
        <v>0</v>
      </c>
      <c r="E77" s="21" t="str">
        <f>Weekly_Inspections!$H77</f>
        <v/>
      </c>
      <c r="F77" s="23">
        <f>IF(Weekly_Inspections!$AX77&lt;&gt;"",Weekly_Inspections!$AX77,IF(Weekly_Inspections!$AY77&lt;&gt;"",Weekly_Inspections!$AY77,IF(Weekly_Inspections!$AZ77&lt;&gt;"",Weekly_Inspections!$AZ77,IF(Weekly_Inspections!$BA77&lt;&gt;"",Weekly_Inspections!$BA77,IF(Weekly_Inspections!$BB77&lt;&gt;"",Weekly_Inspections!$BB77,Weekly_Inspections!$R77)))))</f>
        <v>0</v>
      </c>
      <c r="G77" s="23" t="str">
        <f>IF(OR(Weekly_Inspections!$AQ77&lt;&gt;"",Weekly_Inspections!$AR77&lt;&gt;"",Weekly_Inspections!$AS77&lt;&gt;""),Weekly_Inspections!$AQ77,"")</f>
        <v/>
      </c>
      <c r="H77" s="23">
        <f>Weekly_Inspections!$AP77</f>
        <v>0</v>
      </c>
      <c r="I77" s="23">
        <f>Weekly_Inspections!$AR77</f>
        <v>0</v>
      </c>
      <c r="J77" s="23">
        <f>Weekly_Inspections!$AS77</f>
        <v>0</v>
      </c>
      <c r="K77" s="23">
        <f>Weekly_Inspections!$AU77</f>
        <v>0</v>
      </c>
      <c r="L77" s="22">
        <f>Weekly_Inspections!$AV77</f>
        <v>0</v>
      </c>
      <c r="M77" s="23" t="str">
        <f t="shared" si="3"/>
        <v>Open</v>
      </c>
      <c r="N77" s="22"/>
      <c r="O77" s="21">
        <f t="shared" ca="1" si="4"/>
        <v>46113</v>
      </c>
      <c r="P77" s="21" t="str">
        <f t="shared" ca="1" si="5"/>
        <v>YES</v>
      </c>
      <c r="Q77" s="23">
        <f>Weekly_Inspections!$AW77</f>
        <v>0</v>
      </c>
    </row>
    <row r="78" spans="1:17" ht="15" customHeight="1" x14ac:dyDescent="0.2">
      <c r="A78" s="21" t="str">
        <f>IF(Weekly_Inspections!$B78="","",Weekly_Inspections!$A78&amp;"-A1")</f>
        <v/>
      </c>
      <c r="B78" s="22">
        <f>Weekly_Inspections!$B78</f>
        <v>0</v>
      </c>
      <c r="C78" s="23">
        <f>Weekly_Inspections!$E78</f>
        <v>0</v>
      </c>
      <c r="D78" s="23">
        <f>Weekly_Inspections!$F78</f>
        <v>0</v>
      </c>
      <c r="E78" s="21" t="str">
        <f>Weekly_Inspections!$H78</f>
        <v/>
      </c>
      <c r="F78" s="23">
        <f>IF(Weekly_Inspections!$AX78&lt;&gt;"",Weekly_Inspections!$AX78,IF(Weekly_Inspections!$AY78&lt;&gt;"",Weekly_Inspections!$AY78,IF(Weekly_Inspections!$AZ78&lt;&gt;"",Weekly_Inspections!$AZ78,IF(Weekly_Inspections!$BA78&lt;&gt;"",Weekly_Inspections!$BA78,IF(Weekly_Inspections!$BB78&lt;&gt;"",Weekly_Inspections!$BB78,Weekly_Inspections!$R78)))))</f>
        <v>0</v>
      </c>
      <c r="G78" s="23" t="str">
        <f>IF(OR(Weekly_Inspections!$AQ78&lt;&gt;"",Weekly_Inspections!$AR78&lt;&gt;"",Weekly_Inspections!$AS78&lt;&gt;""),Weekly_Inspections!$AQ78,"")</f>
        <v/>
      </c>
      <c r="H78" s="23">
        <f>Weekly_Inspections!$AP78</f>
        <v>0</v>
      </c>
      <c r="I78" s="23">
        <f>Weekly_Inspections!$AR78</f>
        <v>0</v>
      </c>
      <c r="J78" s="23">
        <f>Weekly_Inspections!$AS78</f>
        <v>0</v>
      </c>
      <c r="K78" s="23">
        <f>Weekly_Inspections!$AU78</f>
        <v>0</v>
      </c>
      <c r="L78" s="22">
        <f>Weekly_Inspections!$AV78</f>
        <v>0</v>
      </c>
      <c r="M78" s="23" t="str">
        <f t="shared" si="3"/>
        <v>Open</v>
      </c>
      <c r="N78" s="22"/>
      <c r="O78" s="21">
        <f t="shared" ca="1" si="4"/>
        <v>46113</v>
      </c>
      <c r="P78" s="21" t="str">
        <f t="shared" ca="1" si="5"/>
        <v>YES</v>
      </c>
      <c r="Q78" s="23">
        <f>Weekly_Inspections!$AW78</f>
        <v>0</v>
      </c>
    </row>
    <row r="79" spans="1:17" ht="15" customHeight="1" x14ac:dyDescent="0.2">
      <c r="A79" s="21" t="str">
        <f>IF(Weekly_Inspections!$B79="","",Weekly_Inspections!$A79&amp;"-A1")</f>
        <v/>
      </c>
      <c r="B79" s="22">
        <f>Weekly_Inspections!$B79</f>
        <v>0</v>
      </c>
      <c r="C79" s="23">
        <f>Weekly_Inspections!$E79</f>
        <v>0</v>
      </c>
      <c r="D79" s="23">
        <f>Weekly_Inspections!$F79</f>
        <v>0</v>
      </c>
      <c r="E79" s="21" t="str">
        <f>Weekly_Inspections!$H79</f>
        <v/>
      </c>
      <c r="F79" s="23">
        <f>IF(Weekly_Inspections!$AX79&lt;&gt;"",Weekly_Inspections!$AX79,IF(Weekly_Inspections!$AY79&lt;&gt;"",Weekly_Inspections!$AY79,IF(Weekly_Inspections!$AZ79&lt;&gt;"",Weekly_Inspections!$AZ79,IF(Weekly_Inspections!$BA79&lt;&gt;"",Weekly_Inspections!$BA79,IF(Weekly_Inspections!$BB79&lt;&gt;"",Weekly_Inspections!$BB79,Weekly_Inspections!$R79)))))</f>
        <v>0</v>
      </c>
      <c r="G79" s="23" t="str">
        <f>IF(OR(Weekly_Inspections!$AQ79&lt;&gt;"",Weekly_Inspections!$AR79&lt;&gt;"",Weekly_Inspections!$AS79&lt;&gt;""),Weekly_Inspections!$AQ79,"")</f>
        <v/>
      </c>
      <c r="H79" s="23">
        <f>Weekly_Inspections!$AP79</f>
        <v>0</v>
      </c>
      <c r="I79" s="23">
        <f>Weekly_Inspections!$AR79</f>
        <v>0</v>
      </c>
      <c r="J79" s="23">
        <f>Weekly_Inspections!$AS79</f>
        <v>0</v>
      </c>
      <c r="K79" s="23">
        <f>Weekly_Inspections!$AU79</f>
        <v>0</v>
      </c>
      <c r="L79" s="22">
        <f>Weekly_Inspections!$AV79</f>
        <v>0</v>
      </c>
      <c r="M79" s="23" t="str">
        <f t="shared" si="3"/>
        <v>Open</v>
      </c>
      <c r="N79" s="22"/>
      <c r="O79" s="21">
        <f t="shared" ca="1" si="4"/>
        <v>46113</v>
      </c>
      <c r="P79" s="21" t="str">
        <f t="shared" ca="1" si="5"/>
        <v>YES</v>
      </c>
      <c r="Q79" s="23">
        <f>Weekly_Inspections!$AW79</f>
        <v>0</v>
      </c>
    </row>
    <row r="80" spans="1:17" ht="15" customHeight="1" x14ac:dyDescent="0.2">
      <c r="A80" s="21" t="str">
        <f>IF(Weekly_Inspections!$B80="","",Weekly_Inspections!$A80&amp;"-A1")</f>
        <v/>
      </c>
      <c r="B80" s="22">
        <f>Weekly_Inspections!$B80</f>
        <v>0</v>
      </c>
      <c r="C80" s="23">
        <f>Weekly_Inspections!$E80</f>
        <v>0</v>
      </c>
      <c r="D80" s="23">
        <f>Weekly_Inspections!$F80</f>
        <v>0</v>
      </c>
      <c r="E80" s="21" t="str">
        <f>Weekly_Inspections!$H80</f>
        <v/>
      </c>
      <c r="F80" s="23">
        <f>IF(Weekly_Inspections!$AX80&lt;&gt;"",Weekly_Inspections!$AX80,IF(Weekly_Inspections!$AY80&lt;&gt;"",Weekly_Inspections!$AY80,IF(Weekly_Inspections!$AZ80&lt;&gt;"",Weekly_Inspections!$AZ80,IF(Weekly_Inspections!$BA80&lt;&gt;"",Weekly_Inspections!$BA80,IF(Weekly_Inspections!$BB80&lt;&gt;"",Weekly_Inspections!$BB80,Weekly_Inspections!$R80)))))</f>
        <v>0</v>
      </c>
      <c r="G80" s="23" t="str">
        <f>IF(OR(Weekly_Inspections!$AQ80&lt;&gt;"",Weekly_Inspections!$AR80&lt;&gt;"",Weekly_Inspections!$AS80&lt;&gt;""),Weekly_Inspections!$AQ80,"")</f>
        <v/>
      </c>
      <c r="H80" s="23">
        <f>Weekly_Inspections!$AP80</f>
        <v>0</v>
      </c>
      <c r="I80" s="23">
        <f>Weekly_Inspections!$AR80</f>
        <v>0</v>
      </c>
      <c r="J80" s="23">
        <f>Weekly_Inspections!$AS80</f>
        <v>0</v>
      </c>
      <c r="K80" s="23">
        <f>Weekly_Inspections!$AU80</f>
        <v>0</v>
      </c>
      <c r="L80" s="22">
        <f>Weekly_Inspections!$AV80</f>
        <v>0</v>
      </c>
      <c r="M80" s="23" t="str">
        <f t="shared" si="3"/>
        <v>Open</v>
      </c>
      <c r="N80" s="22"/>
      <c r="O80" s="21">
        <f t="shared" ca="1" si="4"/>
        <v>46113</v>
      </c>
      <c r="P80" s="21" t="str">
        <f t="shared" ca="1" si="5"/>
        <v>YES</v>
      </c>
      <c r="Q80" s="23">
        <f>Weekly_Inspections!$AW80</f>
        <v>0</v>
      </c>
    </row>
    <row r="81" spans="1:17" ht="15" customHeight="1" x14ac:dyDescent="0.2">
      <c r="A81" s="21" t="str">
        <f>IF(Weekly_Inspections!$B81="","",Weekly_Inspections!$A81&amp;"-A1")</f>
        <v/>
      </c>
      <c r="B81" s="22">
        <f>Weekly_Inspections!$B81</f>
        <v>0</v>
      </c>
      <c r="C81" s="23">
        <f>Weekly_Inspections!$E81</f>
        <v>0</v>
      </c>
      <c r="D81" s="23">
        <f>Weekly_Inspections!$F81</f>
        <v>0</v>
      </c>
      <c r="E81" s="21" t="str">
        <f>Weekly_Inspections!$H81</f>
        <v/>
      </c>
      <c r="F81" s="23">
        <f>IF(Weekly_Inspections!$AX81&lt;&gt;"",Weekly_Inspections!$AX81,IF(Weekly_Inspections!$AY81&lt;&gt;"",Weekly_Inspections!$AY81,IF(Weekly_Inspections!$AZ81&lt;&gt;"",Weekly_Inspections!$AZ81,IF(Weekly_Inspections!$BA81&lt;&gt;"",Weekly_Inspections!$BA81,IF(Weekly_Inspections!$BB81&lt;&gt;"",Weekly_Inspections!$BB81,Weekly_Inspections!$R81)))))</f>
        <v>0</v>
      </c>
      <c r="G81" s="23" t="str">
        <f>IF(OR(Weekly_Inspections!$AQ81&lt;&gt;"",Weekly_Inspections!$AR81&lt;&gt;"",Weekly_Inspections!$AS81&lt;&gt;""),Weekly_Inspections!$AQ81,"")</f>
        <v/>
      </c>
      <c r="H81" s="23">
        <f>Weekly_Inspections!$AP81</f>
        <v>0</v>
      </c>
      <c r="I81" s="23">
        <f>Weekly_Inspections!$AR81</f>
        <v>0</v>
      </c>
      <c r="J81" s="23">
        <f>Weekly_Inspections!$AS81</f>
        <v>0</v>
      </c>
      <c r="K81" s="23">
        <f>Weekly_Inspections!$AU81</f>
        <v>0</v>
      </c>
      <c r="L81" s="22">
        <f>Weekly_Inspections!$AV81</f>
        <v>0</v>
      </c>
      <c r="M81" s="23" t="str">
        <f t="shared" si="3"/>
        <v>Open</v>
      </c>
      <c r="N81" s="22"/>
      <c r="O81" s="21">
        <f t="shared" ca="1" si="4"/>
        <v>46113</v>
      </c>
      <c r="P81" s="21" t="str">
        <f t="shared" ca="1" si="5"/>
        <v>YES</v>
      </c>
      <c r="Q81" s="23">
        <f>Weekly_Inspections!$AW81</f>
        <v>0</v>
      </c>
    </row>
    <row r="82" spans="1:17" ht="15" customHeight="1" x14ac:dyDescent="0.2">
      <c r="A82" s="21" t="str">
        <f>IF(Weekly_Inspections!$B82="","",Weekly_Inspections!$A82&amp;"-A1")</f>
        <v/>
      </c>
      <c r="B82" s="22">
        <f>Weekly_Inspections!$B82</f>
        <v>0</v>
      </c>
      <c r="C82" s="23">
        <f>Weekly_Inspections!$E82</f>
        <v>0</v>
      </c>
      <c r="D82" s="23">
        <f>Weekly_Inspections!$F82</f>
        <v>0</v>
      </c>
      <c r="E82" s="21" t="str">
        <f>Weekly_Inspections!$H82</f>
        <v/>
      </c>
      <c r="F82" s="23">
        <f>IF(Weekly_Inspections!$AX82&lt;&gt;"",Weekly_Inspections!$AX82,IF(Weekly_Inspections!$AY82&lt;&gt;"",Weekly_Inspections!$AY82,IF(Weekly_Inspections!$AZ82&lt;&gt;"",Weekly_Inspections!$AZ82,IF(Weekly_Inspections!$BA82&lt;&gt;"",Weekly_Inspections!$BA82,IF(Weekly_Inspections!$BB82&lt;&gt;"",Weekly_Inspections!$BB82,Weekly_Inspections!$R82)))))</f>
        <v>0</v>
      </c>
      <c r="G82" s="23" t="str">
        <f>IF(OR(Weekly_Inspections!$AQ82&lt;&gt;"",Weekly_Inspections!$AR82&lt;&gt;"",Weekly_Inspections!$AS82&lt;&gt;""),Weekly_Inspections!$AQ82,"")</f>
        <v/>
      </c>
      <c r="H82" s="23">
        <f>Weekly_Inspections!$AP82</f>
        <v>0</v>
      </c>
      <c r="I82" s="23">
        <f>Weekly_Inspections!$AR82</f>
        <v>0</v>
      </c>
      <c r="J82" s="23">
        <f>Weekly_Inspections!$AS82</f>
        <v>0</v>
      </c>
      <c r="K82" s="23">
        <f>Weekly_Inspections!$AU82</f>
        <v>0</v>
      </c>
      <c r="L82" s="22">
        <f>Weekly_Inspections!$AV82</f>
        <v>0</v>
      </c>
      <c r="M82" s="23" t="str">
        <f t="shared" si="3"/>
        <v>Open</v>
      </c>
      <c r="N82" s="22"/>
      <c r="O82" s="21">
        <f t="shared" ca="1" si="4"/>
        <v>46113</v>
      </c>
      <c r="P82" s="21" t="str">
        <f t="shared" ca="1" si="5"/>
        <v>YES</v>
      </c>
      <c r="Q82" s="23">
        <f>Weekly_Inspections!$AW82</f>
        <v>0</v>
      </c>
    </row>
    <row r="83" spans="1:17" ht="15" customHeight="1" x14ac:dyDescent="0.2">
      <c r="A83" s="21" t="str">
        <f>IF(Weekly_Inspections!$B83="","",Weekly_Inspections!$A83&amp;"-A1")</f>
        <v/>
      </c>
      <c r="B83" s="22">
        <f>Weekly_Inspections!$B83</f>
        <v>0</v>
      </c>
      <c r="C83" s="23">
        <f>Weekly_Inspections!$E83</f>
        <v>0</v>
      </c>
      <c r="D83" s="23">
        <f>Weekly_Inspections!$F83</f>
        <v>0</v>
      </c>
      <c r="E83" s="21" t="str">
        <f>Weekly_Inspections!$H83</f>
        <v/>
      </c>
      <c r="F83" s="23">
        <f>IF(Weekly_Inspections!$AX83&lt;&gt;"",Weekly_Inspections!$AX83,IF(Weekly_Inspections!$AY83&lt;&gt;"",Weekly_Inspections!$AY83,IF(Weekly_Inspections!$AZ83&lt;&gt;"",Weekly_Inspections!$AZ83,IF(Weekly_Inspections!$BA83&lt;&gt;"",Weekly_Inspections!$BA83,IF(Weekly_Inspections!$BB83&lt;&gt;"",Weekly_Inspections!$BB83,Weekly_Inspections!$R83)))))</f>
        <v>0</v>
      </c>
      <c r="G83" s="23" t="str">
        <f>IF(OR(Weekly_Inspections!$AQ83&lt;&gt;"",Weekly_Inspections!$AR83&lt;&gt;"",Weekly_Inspections!$AS83&lt;&gt;""),Weekly_Inspections!$AQ83,"")</f>
        <v/>
      </c>
      <c r="H83" s="23">
        <f>Weekly_Inspections!$AP83</f>
        <v>0</v>
      </c>
      <c r="I83" s="23">
        <f>Weekly_Inspections!$AR83</f>
        <v>0</v>
      </c>
      <c r="J83" s="23">
        <f>Weekly_Inspections!$AS83</f>
        <v>0</v>
      </c>
      <c r="K83" s="23">
        <f>Weekly_Inspections!$AU83</f>
        <v>0</v>
      </c>
      <c r="L83" s="22">
        <f>Weekly_Inspections!$AV83</f>
        <v>0</v>
      </c>
      <c r="M83" s="23" t="str">
        <f t="shared" si="3"/>
        <v>Open</v>
      </c>
      <c r="N83" s="22"/>
      <c r="O83" s="21">
        <f t="shared" ca="1" si="4"/>
        <v>46113</v>
      </c>
      <c r="P83" s="21" t="str">
        <f t="shared" ca="1" si="5"/>
        <v>YES</v>
      </c>
      <c r="Q83" s="23">
        <f>Weekly_Inspections!$AW83</f>
        <v>0</v>
      </c>
    </row>
    <row r="84" spans="1:17" ht="15" customHeight="1" x14ac:dyDescent="0.2">
      <c r="A84" s="21" t="str">
        <f>IF(Weekly_Inspections!$B84="","",Weekly_Inspections!$A84&amp;"-A1")</f>
        <v/>
      </c>
      <c r="B84" s="22">
        <f>Weekly_Inspections!$B84</f>
        <v>0</v>
      </c>
      <c r="C84" s="23">
        <f>Weekly_Inspections!$E84</f>
        <v>0</v>
      </c>
      <c r="D84" s="23">
        <f>Weekly_Inspections!$F84</f>
        <v>0</v>
      </c>
      <c r="E84" s="21" t="str">
        <f>Weekly_Inspections!$H84</f>
        <v/>
      </c>
      <c r="F84" s="23">
        <f>IF(Weekly_Inspections!$AX84&lt;&gt;"",Weekly_Inspections!$AX84,IF(Weekly_Inspections!$AY84&lt;&gt;"",Weekly_Inspections!$AY84,IF(Weekly_Inspections!$AZ84&lt;&gt;"",Weekly_Inspections!$AZ84,IF(Weekly_Inspections!$BA84&lt;&gt;"",Weekly_Inspections!$BA84,IF(Weekly_Inspections!$BB84&lt;&gt;"",Weekly_Inspections!$BB84,Weekly_Inspections!$R84)))))</f>
        <v>0</v>
      </c>
      <c r="G84" s="23" t="str">
        <f>IF(OR(Weekly_Inspections!$AQ84&lt;&gt;"",Weekly_Inspections!$AR84&lt;&gt;"",Weekly_Inspections!$AS84&lt;&gt;""),Weekly_Inspections!$AQ84,"")</f>
        <v/>
      </c>
      <c r="H84" s="23">
        <f>Weekly_Inspections!$AP84</f>
        <v>0</v>
      </c>
      <c r="I84" s="23">
        <f>Weekly_Inspections!$AR84</f>
        <v>0</v>
      </c>
      <c r="J84" s="23">
        <f>Weekly_Inspections!$AS84</f>
        <v>0</v>
      </c>
      <c r="K84" s="23">
        <f>Weekly_Inspections!$AU84</f>
        <v>0</v>
      </c>
      <c r="L84" s="22">
        <f>Weekly_Inspections!$AV84</f>
        <v>0</v>
      </c>
      <c r="M84" s="23" t="str">
        <f t="shared" si="3"/>
        <v>Open</v>
      </c>
      <c r="N84" s="22"/>
      <c r="O84" s="21">
        <f t="shared" ca="1" si="4"/>
        <v>46113</v>
      </c>
      <c r="P84" s="21" t="str">
        <f t="shared" ca="1" si="5"/>
        <v>YES</v>
      </c>
      <c r="Q84" s="23">
        <f>Weekly_Inspections!$AW84</f>
        <v>0</v>
      </c>
    </row>
    <row r="85" spans="1:17" ht="15" customHeight="1" x14ac:dyDescent="0.2">
      <c r="A85" s="21" t="str">
        <f>IF(Weekly_Inspections!$B85="","",Weekly_Inspections!$A85&amp;"-A1")</f>
        <v/>
      </c>
      <c r="B85" s="22">
        <f>Weekly_Inspections!$B85</f>
        <v>0</v>
      </c>
      <c r="C85" s="23">
        <f>Weekly_Inspections!$E85</f>
        <v>0</v>
      </c>
      <c r="D85" s="23">
        <f>Weekly_Inspections!$F85</f>
        <v>0</v>
      </c>
      <c r="E85" s="21" t="str">
        <f>Weekly_Inspections!$H85</f>
        <v/>
      </c>
      <c r="F85" s="23">
        <f>IF(Weekly_Inspections!$AX85&lt;&gt;"",Weekly_Inspections!$AX85,IF(Weekly_Inspections!$AY85&lt;&gt;"",Weekly_Inspections!$AY85,IF(Weekly_Inspections!$AZ85&lt;&gt;"",Weekly_Inspections!$AZ85,IF(Weekly_Inspections!$BA85&lt;&gt;"",Weekly_Inspections!$BA85,IF(Weekly_Inspections!$BB85&lt;&gt;"",Weekly_Inspections!$BB85,Weekly_Inspections!$R85)))))</f>
        <v>0</v>
      </c>
      <c r="G85" s="23" t="str">
        <f>IF(OR(Weekly_Inspections!$AQ85&lt;&gt;"",Weekly_Inspections!$AR85&lt;&gt;"",Weekly_Inspections!$AS85&lt;&gt;""),Weekly_Inspections!$AQ85,"")</f>
        <v/>
      </c>
      <c r="H85" s="23">
        <f>Weekly_Inspections!$AP85</f>
        <v>0</v>
      </c>
      <c r="I85" s="23">
        <f>Weekly_Inspections!$AR85</f>
        <v>0</v>
      </c>
      <c r="J85" s="23">
        <f>Weekly_Inspections!$AS85</f>
        <v>0</v>
      </c>
      <c r="K85" s="23">
        <f>Weekly_Inspections!$AU85</f>
        <v>0</v>
      </c>
      <c r="L85" s="22">
        <f>Weekly_Inspections!$AV85</f>
        <v>0</v>
      </c>
      <c r="M85" s="23" t="str">
        <f t="shared" si="3"/>
        <v>Open</v>
      </c>
      <c r="N85" s="22"/>
      <c r="O85" s="21">
        <f t="shared" ca="1" si="4"/>
        <v>46113</v>
      </c>
      <c r="P85" s="21" t="str">
        <f t="shared" ca="1" si="5"/>
        <v>YES</v>
      </c>
      <c r="Q85" s="23">
        <f>Weekly_Inspections!$AW85</f>
        <v>0</v>
      </c>
    </row>
    <row r="86" spans="1:17" ht="15" customHeight="1" x14ac:dyDescent="0.2">
      <c r="A86" s="21" t="str">
        <f>IF(Weekly_Inspections!$B86="","",Weekly_Inspections!$A86&amp;"-A1")</f>
        <v/>
      </c>
      <c r="B86" s="22">
        <f>Weekly_Inspections!$B86</f>
        <v>0</v>
      </c>
      <c r="C86" s="23">
        <f>Weekly_Inspections!$E86</f>
        <v>0</v>
      </c>
      <c r="D86" s="23">
        <f>Weekly_Inspections!$F86</f>
        <v>0</v>
      </c>
      <c r="E86" s="21" t="str">
        <f>Weekly_Inspections!$H86</f>
        <v/>
      </c>
      <c r="F86" s="23">
        <f>IF(Weekly_Inspections!$AX86&lt;&gt;"",Weekly_Inspections!$AX86,IF(Weekly_Inspections!$AY86&lt;&gt;"",Weekly_Inspections!$AY86,IF(Weekly_Inspections!$AZ86&lt;&gt;"",Weekly_Inspections!$AZ86,IF(Weekly_Inspections!$BA86&lt;&gt;"",Weekly_Inspections!$BA86,IF(Weekly_Inspections!$BB86&lt;&gt;"",Weekly_Inspections!$BB86,Weekly_Inspections!$R86)))))</f>
        <v>0</v>
      </c>
      <c r="G86" s="23" t="str">
        <f>IF(OR(Weekly_Inspections!$AQ86&lt;&gt;"",Weekly_Inspections!$AR86&lt;&gt;"",Weekly_Inspections!$AS86&lt;&gt;""),Weekly_Inspections!$AQ86,"")</f>
        <v/>
      </c>
      <c r="H86" s="23">
        <f>Weekly_Inspections!$AP86</f>
        <v>0</v>
      </c>
      <c r="I86" s="23">
        <f>Weekly_Inspections!$AR86</f>
        <v>0</v>
      </c>
      <c r="J86" s="23">
        <f>Weekly_Inspections!$AS86</f>
        <v>0</v>
      </c>
      <c r="K86" s="23">
        <f>Weekly_Inspections!$AU86</f>
        <v>0</v>
      </c>
      <c r="L86" s="22">
        <f>Weekly_Inspections!$AV86</f>
        <v>0</v>
      </c>
      <c r="M86" s="23" t="str">
        <f t="shared" si="3"/>
        <v>Open</v>
      </c>
      <c r="N86" s="22"/>
      <c r="O86" s="21">
        <f t="shared" ca="1" si="4"/>
        <v>46113</v>
      </c>
      <c r="P86" s="21" t="str">
        <f t="shared" ca="1" si="5"/>
        <v>YES</v>
      </c>
      <c r="Q86" s="23">
        <f>Weekly_Inspections!$AW86</f>
        <v>0</v>
      </c>
    </row>
    <row r="87" spans="1:17" ht="15" customHeight="1" x14ac:dyDescent="0.2">
      <c r="A87" s="21" t="str">
        <f>IF(Weekly_Inspections!$B87="","",Weekly_Inspections!$A87&amp;"-A1")</f>
        <v/>
      </c>
      <c r="B87" s="22">
        <f>Weekly_Inspections!$B87</f>
        <v>0</v>
      </c>
      <c r="C87" s="23">
        <f>Weekly_Inspections!$E87</f>
        <v>0</v>
      </c>
      <c r="D87" s="23">
        <f>Weekly_Inspections!$F87</f>
        <v>0</v>
      </c>
      <c r="E87" s="21" t="str">
        <f>Weekly_Inspections!$H87</f>
        <v/>
      </c>
      <c r="F87" s="23">
        <f>IF(Weekly_Inspections!$AX87&lt;&gt;"",Weekly_Inspections!$AX87,IF(Weekly_Inspections!$AY87&lt;&gt;"",Weekly_Inspections!$AY87,IF(Weekly_Inspections!$AZ87&lt;&gt;"",Weekly_Inspections!$AZ87,IF(Weekly_Inspections!$BA87&lt;&gt;"",Weekly_Inspections!$BA87,IF(Weekly_Inspections!$BB87&lt;&gt;"",Weekly_Inspections!$BB87,Weekly_Inspections!$R87)))))</f>
        <v>0</v>
      </c>
      <c r="G87" s="23" t="str">
        <f>IF(OR(Weekly_Inspections!$AQ87&lt;&gt;"",Weekly_Inspections!$AR87&lt;&gt;"",Weekly_Inspections!$AS87&lt;&gt;""),Weekly_Inspections!$AQ87,"")</f>
        <v/>
      </c>
      <c r="H87" s="23">
        <f>Weekly_Inspections!$AP87</f>
        <v>0</v>
      </c>
      <c r="I87" s="23">
        <f>Weekly_Inspections!$AR87</f>
        <v>0</v>
      </c>
      <c r="J87" s="23">
        <f>Weekly_Inspections!$AS87</f>
        <v>0</v>
      </c>
      <c r="K87" s="23">
        <f>Weekly_Inspections!$AU87</f>
        <v>0</v>
      </c>
      <c r="L87" s="22">
        <f>Weekly_Inspections!$AV87</f>
        <v>0</v>
      </c>
      <c r="M87" s="23" t="str">
        <f t="shared" si="3"/>
        <v>Open</v>
      </c>
      <c r="N87" s="22"/>
      <c r="O87" s="21">
        <f t="shared" ca="1" si="4"/>
        <v>46113</v>
      </c>
      <c r="P87" s="21" t="str">
        <f t="shared" ca="1" si="5"/>
        <v>YES</v>
      </c>
      <c r="Q87" s="23">
        <f>Weekly_Inspections!$AW87</f>
        <v>0</v>
      </c>
    </row>
    <row r="88" spans="1:17" ht="15" customHeight="1" x14ac:dyDescent="0.2">
      <c r="A88" s="21" t="str">
        <f>IF(Weekly_Inspections!$B88="","",Weekly_Inspections!$A88&amp;"-A1")</f>
        <v/>
      </c>
      <c r="B88" s="22">
        <f>Weekly_Inspections!$B88</f>
        <v>0</v>
      </c>
      <c r="C88" s="23">
        <f>Weekly_Inspections!$E88</f>
        <v>0</v>
      </c>
      <c r="D88" s="23">
        <f>Weekly_Inspections!$F88</f>
        <v>0</v>
      </c>
      <c r="E88" s="21" t="str">
        <f>Weekly_Inspections!$H88</f>
        <v/>
      </c>
      <c r="F88" s="23">
        <f>IF(Weekly_Inspections!$AX88&lt;&gt;"",Weekly_Inspections!$AX88,IF(Weekly_Inspections!$AY88&lt;&gt;"",Weekly_Inspections!$AY88,IF(Weekly_Inspections!$AZ88&lt;&gt;"",Weekly_Inspections!$AZ88,IF(Weekly_Inspections!$BA88&lt;&gt;"",Weekly_Inspections!$BA88,IF(Weekly_Inspections!$BB88&lt;&gt;"",Weekly_Inspections!$BB88,Weekly_Inspections!$R88)))))</f>
        <v>0</v>
      </c>
      <c r="G88" s="23" t="str">
        <f>IF(OR(Weekly_Inspections!$AQ88&lt;&gt;"",Weekly_Inspections!$AR88&lt;&gt;"",Weekly_Inspections!$AS88&lt;&gt;""),Weekly_Inspections!$AQ88,"")</f>
        <v/>
      </c>
      <c r="H88" s="23">
        <f>Weekly_Inspections!$AP88</f>
        <v>0</v>
      </c>
      <c r="I88" s="23">
        <f>Weekly_Inspections!$AR88</f>
        <v>0</v>
      </c>
      <c r="J88" s="23">
        <f>Weekly_Inspections!$AS88</f>
        <v>0</v>
      </c>
      <c r="K88" s="23">
        <f>Weekly_Inspections!$AU88</f>
        <v>0</v>
      </c>
      <c r="L88" s="22">
        <f>Weekly_Inspections!$AV88</f>
        <v>0</v>
      </c>
      <c r="M88" s="23" t="str">
        <f t="shared" si="3"/>
        <v>Open</v>
      </c>
      <c r="N88" s="22"/>
      <c r="O88" s="21">
        <f t="shared" ca="1" si="4"/>
        <v>46113</v>
      </c>
      <c r="P88" s="21" t="str">
        <f t="shared" ca="1" si="5"/>
        <v>YES</v>
      </c>
      <c r="Q88" s="23">
        <f>Weekly_Inspections!$AW88</f>
        <v>0</v>
      </c>
    </row>
    <row r="89" spans="1:17" ht="15" customHeight="1" x14ac:dyDescent="0.2">
      <c r="A89" s="21" t="str">
        <f>IF(Weekly_Inspections!$B89="","",Weekly_Inspections!$A89&amp;"-A1")</f>
        <v/>
      </c>
      <c r="B89" s="22">
        <f>Weekly_Inspections!$B89</f>
        <v>0</v>
      </c>
      <c r="C89" s="23">
        <f>Weekly_Inspections!$E89</f>
        <v>0</v>
      </c>
      <c r="D89" s="23">
        <f>Weekly_Inspections!$F89</f>
        <v>0</v>
      </c>
      <c r="E89" s="21" t="str">
        <f>Weekly_Inspections!$H89</f>
        <v/>
      </c>
      <c r="F89" s="23">
        <f>IF(Weekly_Inspections!$AX89&lt;&gt;"",Weekly_Inspections!$AX89,IF(Weekly_Inspections!$AY89&lt;&gt;"",Weekly_Inspections!$AY89,IF(Weekly_Inspections!$AZ89&lt;&gt;"",Weekly_Inspections!$AZ89,IF(Weekly_Inspections!$BA89&lt;&gt;"",Weekly_Inspections!$BA89,IF(Weekly_Inspections!$BB89&lt;&gt;"",Weekly_Inspections!$BB89,Weekly_Inspections!$R89)))))</f>
        <v>0</v>
      </c>
      <c r="G89" s="23" t="str">
        <f>IF(OR(Weekly_Inspections!$AQ89&lt;&gt;"",Weekly_Inspections!$AR89&lt;&gt;"",Weekly_Inspections!$AS89&lt;&gt;""),Weekly_Inspections!$AQ89,"")</f>
        <v/>
      </c>
      <c r="H89" s="23">
        <f>Weekly_Inspections!$AP89</f>
        <v>0</v>
      </c>
      <c r="I89" s="23">
        <f>Weekly_Inspections!$AR89</f>
        <v>0</v>
      </c>
      <c r="J89" s="23">
        <f>Weekly_Inspections!$AS89</f>
        <v>0</v>
      </c>
      <c r="K89" s="23">
        <f>Weekly_Inspections!$AU89</f>
        <v>0</v>
      </c>
      <c r="L89" s="22">
        <f>Weekly_Inspections!$AV89</f>
        <v>0</v>
      </c>
      <c r="M89" s="23" t="str">
        <f t="shared" si="3"/>
        <v>Open</v>
      </c>
      <c r="N89" s="22"/>
      <c r="O89" s="21">
        <f t="shared" ca="1" si="4"/>
        <v>46113</v>
      </c>
      <c r="P89" s="21" t="str">
        <f t="shared" ca="1" si="5"/>
        <v>YES</v>
      </c>
      <c r="Q89" s="23">
        <f>Weekly_Inspections!$AW89</f>
        <v>0</v>
      </c>
    </row>
    <row r="90" spans="1:17" ht="15" customHeight="1" x14ac:dyDescent="0.2">
      <c r="A90" s="21" t="str">
        <f>IF(Weekly_Inspections!$B90="","",Weekly_Inspections!$A90&amp;"-A1")</f>
        <v/>
      </c>
      <c r="B90" s="22">
        <f>Weekly_Inspections!$B90</f>
        <v>0</v>
      </c>
      <c r="C90" s="23">
        <f>Weekly_Inspections!$E90</f>
        <v>0</v>
      </c>
      <c r="D90" s="23">
        <f>Weekly_Inspections!$F90</f>
        <v>0</v>
      </c>
      <c r="E90" s="21" t="str">
        <f>Weekly_Inspections!$H90</f>
        <v/>
      </c>
      <c r="F90" s="23">
        <f>IF(Weekly_Inspections!$AX90&lt;&gt;"",Weekly_Inspections!$AX90,IF(Weekly_Inspections!$AY90&lt;&gt;"",Weekly_Inspections!$AY90,IF(Weekly_Inspections!$AZ90&lt;&gt;"",Weekly_Inspections!$AZ90,IF(Weekly_Inspections!$BA90&lt;&gt;"",Weekly_Inspections!$BA90,IF(Weekly_Inspections!$BB90&lt;&gt;"",Weekly_Inspections!$BB90,Weekly_Inspections!$R90)))))</f>
        <v>0</v>
      </c>
      <c r="G90" s="23" t="str">
        <f>IF(OR(Weekly_Inspections!$AQ90&lt;&gt;"",Weekly_Inspections!$AR90&lt;&gt;"",Weekly_Inspections!$AS90&lt;&gt;""),Weekly_Inspections!$AQ90,"")</f>
        <v/>
      </c>
      <c r="H90" s="23">
        <f>Weekly_Inspections!$AP90</f>
        <v>0</v>
      </c>
      <c r="I90" s="23">
        <f>Weekly_Inspections!$AR90</f>
        <v>0</v>
      </c>
      <c r="J90" s="23">
        <f>Weekly_Inspections!$AS90</f>
        <v>0</v>
      </c>
      <c r="K90" s="23">
        <f>Weekly_Inspections!$AU90</f>
        <v>0</v>
      </c>
      <c r="L90" s="22">
        <f>Weekly_Inspections!$AV90</f>
        <v>0</v>
      </c>
      <c r="M90" s="23" t="str">
        <f t="shared" si="3"/>
        <v>Open</v>
      </c>
      <c r="N90" s="22"/>
      <c r="O90" s="21">
        <f t="shared" ca="1" si="4"/>
        <v>46113</v>
      </c>
      <c r="P90" s="21" t="str">
        <f t="shared" ca="1" si="5"/>
        <v>YES</v>
      </c>
      <c r="Q90" s="23">
        <f>Weekly_Inspections!$AW90</f>
        <v>0</v>
      </c>
    </row>
    <row r="91" spans="1:17" ht="15" customHeight="1" x14ac:dyDescent="0.2">
      <c r="A91" s="21" t="str">
        <f>IF(Weekly_Inspections!$B91="","",Weekly_Inspections!$A91&amp;"-A1")</f>
        <v/>
      </c>
      <c r="B91" s="22">
        <f>Weekly_Inspections!$B91</f>
        <v>0</v>
      </c>
      <c r="C91" s="23">
        <f>Weekly_Inspections!$E91</f>
        <v>0</v>
      </c>
      <c r="D91" s="23">
        <f>Weekly_Inspections!$F91</f>
        <v>0</v>
      </c>
      <c r="E91" s="21" t="str">
        <f>Weekly_Inspections!$H91</f>
        <v/>
      </c>
      <c r="F91" s="23">
        <f>IF(Weekly_Inspections!$AX91&lt;&gt;"",Weekly_Inspections!$AX91,IF(Weekly_Inspections!$AY91&lt;&gt;"",Weekly_Inspections!$AY91,IF(Weekly_Inspections!$AZ91&lt;&gt;"",Weekly_Inspections!$AZ91,IF(Weekly_Inspections!$BA91&lt;&gt;"",Weekly_Inspections!$BA91,IF(Weekly_Inspections!$BB91&lt;&gt;"",Weekly_Inspections!$BB91,Weekly_Inspections!$R91)))))</f>
        <v>0</v>
      </c>
      <c r="G91" s="23" t="str">
        <f>IF(OR(Weekly_Inspections!$AQ91&lt;&gt;"",Weekly_Inspections!$AR91&lt;&gt;"",Weekly_Inspections!$AS91&lt;&gt;""),Weekly_Inspections!$AQ91,"")</f>
        <v/>
      </c>
      <c r="H91" s="23">
        <f>Weekly_Inspections!$AP91</f>
        <v>0</v>
      </c>
      <c r="I91" s="23">
        <f>Weekly_Inspections!$AR91</f>
        <v>0</v>
      </c>
      <c r="J91" s="23">
        <f>Weekly_Inspections!$AS91</f>
        <v>0</v>
      </c>
      <c r="K91" s="23">
        <f>Weekly_Inspections!$AU91</f>
        <v>0</v>
      </c>
      <c r="L91" s="22">
        <f>Weekly_Inspections!$AV91</f>
        <v>0</v>
      </c>
      <c r="M91" s="23" t="str">
        <f t="shared" si="3"/>
        <v>Open</v>
      </c>
      <c r="N91" s="22"/>
      <c r="O91" s="21">
        <f t="shared" ca="1" si="4"/>
        <v>46113</v>
      </c>
      <c r="P91" s="21" t="str">
        <f t="shared" ca="1" si="5"/>
        <v>YES</v>
      </c>
      <c r="Q91" s="23">
        <f>Weekly_Inspections!$AW91</f>
        <v>0</v>
      </c>
    </row>
    <row r="92" spans="1:17" ht="15" customHeight="1" x14ac:dyDescent="0.2">
      <c r="A92" s="21" t="str">
        <f>IF(Weekly_Inspections!$B92="","",Weekly_Inspections!$A92&amp;"-A1")</f>
        <v/>
      </c>
      <c r="B92" s="22">
        <f>Weekly_Inspections!$B92</f>
        <v>0</v>
      </c>
      <c r="C92" s="23">
        <f>Weekly_Inspections!$E92</f>
        <v>0</v>
      </c>
      <c r="D92" s="23">
        <f>Weekly_Inspections!$F92</f>
        <v>0</v>
      </c>
      <c r="E92" s="21" t="str">
        <f>Weekly_Inspections!$H92</f>
        <v/>
      </c>
      <c r="F92" s="23">
        <f>IF(Weekly_Inspections!$AX92&lt;&gt;"",Weekly_Inspections!$AX92,IF(Weekly_Inspections!$AY92&lt;&gt;"",Weekly_Inspections!$AY92,IF(Weekly_Inspections!$AZ92&lt;&gt;"",Weekly_Inspections!$AZ92,IF(Weekly_Inspections!$BA92&lt;&gt;"",Weekly_Inspections!$BA92,IF(Weekly_Inspections!$BB92&lt;&gt;"",Weekly_Inspections!$BB92,Weekly_Inspections!$R92)))))</f>
        <v>0</v>
      </c>
      <c r="G92" s="23" t="str">
        <f>IF(OR(Weekly_Inspections!$AQ92&lt;&gt;"",Weekly_Inspections!$AR92&lt;&gt;"",Weekly_Inspections!$AS92&lt;&gt;""),Weekly_Inspections!$AQ92,"")</f>
        <v/>
      </c>
      <c r="H92" s="23">
        <f>Weekly_Inspections!$AP92</f>
        <v>0</v>
      </c>
      <c r="I92" s="23">
        <f>Weekly_Inspections!$AR92</f>
        <v>0</v>
      </c>
      <c r="J92" s="23">
        <f>Weekly_Inspections!$AS92</f>
        <v>0</v>
      </c>
      <c r="K92" s="23">
        <f>Weekly_Inspections!$AU92</f>
        <v>0</v>
      </c>
      <c r="L92" s="22">
        <f>Weekly_Inspections!$AV92</f>
        <v>0</v>
      </c>
      <c r="M92" s="23" t="str">
        <f t="shared" si="3"/>
        <v>Open</v>
      </c>
      <c r="N92" s="22"/>
      <c r="O92" s="21">
        <f t="shared" ca="1" si="4"/>
        <v>46113</v>
      </c>
      <c r="P92" s="21" t="str">
        <f t="shared" ca="1" si="5"/>
        <v>YES</v>
      </c>
      <c r="Q92" s="23">
        <f>Weekly_Inspections!$AW92</f>
        <v>0</v>
      </c>
    </row>
    <row r="93" spans="1:17" ht="15" customHeight="1" x14ac:dyDescent="0.2">
      <c r="A93" s="21" t="str">
        <f>IF(Weekly_Inspections!$B93="","",Weekly_Inspections!$A93&amp;"-A1")</f>
        <v/>
      </c>
      <c r="B93" s="22">
        <f>Weekly_Inspections!$B93</f>
        <v>0</v>
      </c>
      <c r="C93" s="23">
        <f>Weekly_Inspections!$E93</f>
        <v>0</v>
      </c>
      <c r="D93" s="23">
        <f>Weekly_Inspections!$F93</f>
        <v>0</v>
      </c>
      <c r="E93" s="21" t="str">
        <f>Weekly_Inspections!$H93</f>
        <v/>
      </c>
      <c r="F93" s="23">
        <f>IF(Weekly_Inspections!$AX93&lt;&gt;"",Weekly_Inspections!$AX93,IF(Weekly_Inspections!$AY93&lt;&gt;"",Weekly_Inspections!$AY93,IF(Weekly_Inspections!$AZ93&lt;&gt;"",Weekly_Inspections!$AZ93,IF(Weekly_Inspections!$BA93&lt;&gt;"",Weekly_Inspections!$BA93,IF(Weekly_Inspections!$BB93&lt;&gt;"",Weekly_Inspections!$BB93,Weekly_Inspections!$R93)))))</f>
        <v>0</v>
      </c>
      <c r="G93" s="23" t="str">
        <f>IF(OR(Weekly_Inspections!$AQ93&lt;&gt;"",Weekly_Inspections!$AR93&lt;&gt;"",Weekly_Inspections!$AS93&lt;&gt;""),Weekly_Inspections!$AQ93,"")</f>
        <v/>
      </c>
      <c r="H93" s="23">
        <f>Weekly_Inspections!$AP93</f>
        <v>0</v>
      </c>
      <c r="I93" s="23">
        <f>Weekly_Inspections!$AR93</f>
        <v>0</v>
      </c>
      <c r="J93" s="23">
        <f>Weekly_Inspections!$AS93</f>
        <v>0</v>
      </c>
      <c r="K93" s="23">
        <f>Weekly_Inspections!$AU93</f>
        <v>0</v>
      </c>
      <c r="L93" s="22">
        <f>Weekly_Inspections!$AV93</f>
        <v>0</v>
      </c>
      <c r="M93" s="23" t="str">
        <f t="shared" si="3"/>
        <v>Open</v>
      </c>
      <c r="N93" s="22"/>
      <c r="O93" s="21">
        <f t="shared" ca="1" si="4"/>
        <v>46113</v>
      </c>
      <c r="P93" s="21" t="str">
        <f t="shared" ca="1" si="5"/>
        <v>YES</v>
      </c>
      <c r="Q93" s="23">
        <f>Weekly_Inspections!$AW93</f>
        <v>0</v>
      </c>
    </row>
    <row r="94" spans="1:17" ht="15" customHeight="1" x14ac:dyDescent="0.2">
      <c r="A94" s="21" t="str">
        <f>IF(Weekly_Inspections!$B94="","",Weekly_Inspections!$A94&amp;"-A1")</f>
        <v/>
      </c>
      <c r="B94" s="22">
        <f>Weekly_Inspections!$B94</f>
        <v>0</v>
      </c>
      <c r="C94" s="23">
        <f>Weekly_Inspections!$E94</f>
        <v>0</v>
      </c>
      <c r="D94" s="23">
        <f>Weekly_Inspections!$F94</f>
        <v>0</v>
      </c>
      <c r="E94" s="21" t="str">
        <f>Weekly_Inspections!$H94</f>
        <v/>
      </c>
      <c r="F94" s="23">
        <f>IF(Weekly_Inspections!$AX94&lt;&gt;"",Weekly_Inspections!$AX94,IF(Weekly_Inspections!$AY94&lt;&gt;"",Weekly_Inspections!$AY94,IF(Weekly_Inspections!$AZ94&lt;&gt;"",Weekly_Inspections!$AZ94,IF(Weekly_Inspections!$BA94&lt;&gt;"",Weekly_Inspections!$BA94,IF(Weekly_Inspections!$BB94&lt;&gt;"",Weekly_Inspections!$BB94,Weekly_Inspections!$R94)))))</f>
        <v>0</v>
      </c>
      <c r="G94" s="23" t="str">
        <f>IF(OR(Weekly_Inspections!$AQ94&lt;&gt;"",Weekly_Inspections!$AR94&lt;&gt;"",Weekly_Inspections!$AS94&lt;&gt;""),Weekly_Inspections!$AQ94,"")</f>
        <v/>
      </c>
      <c r="H94" s="23">
        <f>Weekly_Inspections!$AP94</f>
        <v>0</v>
      </c>
      <c r="I94" s="23">
        <f>Weekly_Inspections!$AR94</f>
        <v>0</v>
      </c>
      <c r="J94" s="23">
        <f>Weekly_Inspections!$AS94</f>
        <v>0</v>
      </c>
      <c r="K94" s="23">
        <f>Weekly_Inspections!$AU94</f>
        <v>0</v>
      </c>
      <c r="L94" s="22">
        <f>Weekly_Inspections!$AV94</f>
        <v>0</v>
      </c>
      <c r="M94" s="23" t="str">
        <f t="shared" si="3"/>
        <v>Open</v>
      </c>
      <c r="N94" s="22"/>
      <c r="O94" s="21">
        <f t="shared" ca="1" si="4"/>
        <v>46113</v>
      </c>
      <c r="P94" s="21" t="str">
        <f t="shared" ca="1" si="5"/>
        <v>YES</v>
      </c>
      <c r="Q94" s="23">
        <f>Weekly_Inspections!$AW94</f>
        <v>0</v>
      </c>
    </row>
    <row r="95" spans="1:17" ht="15" customHeight="1" x14ac:dyDescent="0.2">
      <c r="A95" s="21" t="str">
        <f>IF(Weekly_Inspections!$B95="","",Weekly_Inspections!$A95&amp;"-A1")</f>
        <v/>
      </c>
      <c r="B95" s="22">
        <f>Weekly_Inspections!$B95</f>
        <v>0</v>
      </c>
      <c r="C95" s="23">
        <f>Weekly_Inspections!$E95</f>
        <v>0</v>
      </c>
      <c r="D95" s="23">
        <f>Weekly_Inspections!$F95</f>
        <v>0</v>
      </c>
      <c r="E95" s="21" t="str">
        <f>Weekly_Inspections!$H95</f>
        <v/>
      </c>
      <c r="F95" s="23">
        <f>IF(Weekly_Inspections!$AX95&lt;&gt;"",Weekly_Inspections!$AX95,IF(Weekly_Inspections!$AY95&lt;&gt;"",Weekly_Inspections!$AY95,IF(Weekly_Inspections!$AZ95&lt;&gt;"",Weekly_Inspections!$AZ95,IF(Weekly_Inspections!$BA95&lt;&gt;"",Weekly_Inspections!$BA95,IF(Weekly_Inspections!$BB95&lt;&gt;"",Weekly_Inspections!$BB95,Weekly_Inspections!$R95)))))</f>
        <v>0</v>
      </c>
      <c r="G95" s="23" t="str">
        <f>IF(OR(Weekly_Inspections!$AQ95&lt;&gt;"",Weekly_Inspections!$AR95&lt;&gt;"",Weekly_Inspections!$AS95&lt;&gt;""),Weekly_Inspections!$AQ95,"")</f>
        <v/>
      </c>
      <c r="H95" s="23">
        <f>Weekly_Inspections!$AP95</f>
        <v>0</v>
      </c>
      <c r="I95" s="23">
        <f>Weekly_Inspections!$AR95</f>
        <v>0</v>
      </c>
      <c r="J95" s="23">
        <f>Weekly_Inspections!$AS95</f>
        <v>0</v>
      </c>
      <c r="K95" s="23">
        <f>Weekly_Inspections!$AU95</f>
        <v>0</v>
      </c>
      <c r="L95" s="22">
        <f>Weekly_Inspections!$AV95</f>
        <v>0</v>
      </c>
      <c r="M95" s="23" t="str">
        <f t="shared" si="3"/>
        <v>Open</v>
      </c>
      <c r="N95" s="22"/>
      <c r="O95" s="21">
        <f t="shared" ca="1" si="4"/>
        <v>46113</v>
      </c>
      <c r="P95" s="21" t="str">
        <f t="shared" ca="1" si="5"/>
        <v>YES</v>
      </c>
      <c r="Q95" s="23">
        <f>Weekly_Inspections!$AW95</f>
        <v>0</v>
      </c>
    </row>
    <row r="96" spans="1:17" ht="15" customHeight="1" x14ac:dyDescent="0.2">
      <c r="A96" s="21" t="str">
        <f>IF(Weekly_Inspections!$B96="","",Weekly_Inspections!$A96&amp;"-A1")</f>
        <v/>
      </c>
      <c r="B96" s="22">
        <f>Weekly_Inspections!$B96</f>
        <v>0</v>
      </c>
      <c r="C96" s="23">
        <f>Weekly_Inspections!$E96</f>
        <v>0</v>
      </c>
      <c r="D96" s="23">
        <f>Weekly_Inspections!$F96</f>
        <v>0</v>
      </c>
      <c r="E96" s="21" t="str">
        <f>Weekly_Inspections!$H96</f>
        <v/>
      </c>
      <c r="F96" s="23">
        <f>IF(Weekly_Inspections!$AX96&lt;&gt;"",Weekly_Inspections!$AX96,IF(Weekly_Inspections!$AY96&lt;&gt;"",Weekly_Inspections!$AY96,IF(Weekly_Inspections!$AZ96&lt;&gt;"",Weekly_Inspections!$AZ96,IF(Weekly_Inspections!$BA96&lt;&gt;"",Weekly_Inspections!$BA96,IF(Weekly_Inspections!$BB96&lt;&gt;"",Weekly_Inspections!$BB96,Weekly_Inspections!$R96)))))</f>
        <v>0</v>
      </c>
      <c r="G96" s="23" t="str">
        <f>IF(OR(Weekly_Inspections!$AQ96&lt;&gt;"",Weekly_Inspections!$AR96&lt;&gt;"",Weekly_Inspections!$AS96&lt;&gt;""),Weekly_Inspections!$AQ96,"")</f>
        <v/>
      </c>
      <c r="H96" s="23">
        <f>Weekly_Inspections!$AP96</f>
        <v>0</v>
      </c>
      <c r="I96" s="23">
        <f>Weekly_Inspections!$AR96</f>
        <v>0</v>
      </c>
      <c r="J96" s="23">
        <f>Weekly_Inspections!$AS96</f>
        <v>0</v>
      </c>
      <c r="K96" s="23">
        <f>Weekly_Inspections!$AU96</f>
        <v>0</v>
      </c>
      <c r="L96" s="22">
        <f>Weekly_Inspections!$AV96</f>
        <v>0</v>
      </c>
      <c r="M96" s="23" t="str">
        <f t="shared" si="3"/>
        <v>Open</v>
      </c>
      <c r="N96" s="22"/>
      <c r="O96" s="21">
        <f t="shared" ca="1" si="4"/>
        <v>46113</v>
      </c>
      <c r="P96" s="21" t="str">
        <f t="shared" ca="1" si="5"/>
        <v>YES</v>
      </c>
      <c r="Q96" s="23">
        <f>Weekly_Inspections!$AW96</f>
        <v>0</v>
      </c>
    </row>
    <row r="97" spans="1:17" ht="15" customHeight="1" x14ac:dyDescent="0.2">
      <c r="A97" s="21" t="str">
        <f>IF(Weekly_Inspections!$B97="","",Weekly_Inspections!$A97&amp;"-A1")</f>
        <v/>
      </c>
      <c r="B97" s="22">
        <f>Weekly_Inspections!$B97</f>
        <v>0</v>
      </c>
      <c r="C97" s="23">
        <f>Weekly_Inspections!$E97</f>
        <v>0</v>
      </c>
      <c r="D97" s="23">
        <f>Weekly_Inspections!$F97</f>
        <v>0</v>
      </c>
      <c r="E97" s="21" t="str">
        <f>Weekly_Inspections!$H97</f>
        <v/>
      </c>
      <c r="F97" s="23">
        <f>IF(Weekly_Inspections!$AX97&lt;&gt;"",Weekly_Inspections!$AX97,IF(Weekly_Inspections!$AY97&lt;&gt;"",Weekly_Inspections!$AY97,IF(Weekly_Inspections!$AZ97&lt;&gt;"",Weekly_Inspections!$AZ97,IF(Weekly_Inspections!$BA97&lt;&gt;"",Weekly_Inspections!$BA97,IF(Weekly_Inspections!$BB97&lt;&gt;"",Weekly_Inspections!$BB97,Weekly_Inspections!$R97)))))</f>
        <v>0</v>
      </c>
      <c r="G97" s="23" t="str">
        <f>IF(OR(Weekly_Inspections!$AQ97&lt;&gt;"",Weekly_Inspections!$AR97&lt;&gt;"",Weekly_Inspections!$AS97&lt;&gt;""),Weekly_Inspections!$AQ97,"")</f>
        <v/>
      </c>
      <c r="H97" s="23">
        <f>Weekly_Inspections!$AP97</f>
        <v>0</v>
      </c>
      <c r="I97" s="23">
        <f>Weekly_Inspections!$AR97</f>
        <v>0</v>
      </c>
      <c r="J97" s="23">
        <f>Weekly_Inspections!$AS97</f>
        <v>0</v>
      </c>
      <c r="K97" s="23">
        <f>Weekly_Inspections!$AU97</f>
        <v>0</v>
      </c>
      <c r="L97" s="22">
        <f>Weekly_Inspections!$AV97</f>
        <v>0</v>
      </c>
      <c r="M97" s="23" t="str">
        <f t="shared" si="3"/>
        <v>Open</v>
      </c>
      <c r="N97" s="22"/>
      <c r="O97" s="21">
        <f t="shared" ca="1" si="4"/>
        <v>46113</v>
      </c>
      <c r="P97" s="21" t="str">
        <f t="shared" ca="1" si="5"/>
        <v>YES</v>
      </c>
      <c r="Q97" s="23">
        <f>Weekly_Inspections!$AW97</f>
        <v>0</v>
      </c>
    </row>
    <row r="98" spans="1:17" ht="15" customHeight="1" x14ac:dyDescent="0.2">
      <c r="A98" s="21" t="str">
        <f>IF(Weekly_Inspections!$B98="","",Weekly_Inspections!$A98&amp;"-A1")</f>
        <v/>
      </c>
      <c r="B98" s="22">
        <f>Weekly_Inspections!$B98</f>
        <v>0</v>
      </c>
      <c r="C98" s="23">
        <f>Weekly_Inspections!$E98</f>
        <v>0</v>
      </c>
      <c r="D98" s="23">
        <f>Weekly_Inspections!$F98</f>
        <v>0</v>
      </c>
      <c r="E98" s="21" t="str">
        <f>Weekly_Inspections!$H98</f>
        <v/>
      </c>
      <c r="F98" s="23">
        <f>IF(Weekly_Inspections!$AX98&lt;&gt;"",Weekly_Inspections!$AX98,IF(Weekly_Inspections!$AY98&lt;&gt;"",Weekly_Inspections!$AY98,IF(Weekly_Inspections!$AZ98&lt;&gt;"",Weekly_Inspections!$AZ98,IF(Weekly_Inspections!$BA98&lt;&gt;"",Weekly_Inspections!$BA98,IF(Weekly_Inspections!$BB98&lt;&gt;"",Weekly_Inspections!$BB98,Weekly_Inspections!$R98)))))</f>
        <v>0</v>
      </c>
      <c r="G98" s="23" t="str">
        <f>IF(OR(Weekly_Inspections!$AQ98&lt;&gt;"",Weekly_Inspections!$AR98&lt;&gt;"",Weekly_Inspections!$AS98&lt;&gt;""),Weekly_Inspections!$AQ98,"")</f>
        <v/>
      </c>
      <c r="H98" s="23">
        <f>Weekly_Inspections!$AP98</f>
        <v>0</v>
      </c>
      <c r="I98" s="23">
        <f>Weekly_Inspections!$AR98</f>
        <v>0</v>
      </c>
      <c r="J98" s="23">
        <f>Weekly_Inspections!$AS98</f>
        <v>0</v>
      </c>
      <c r="K98" s="23">
        <f>Weekly_Inspections!$AU98</f>
        <v>0</v>
      </c>
      <c r="L98" s="22">
        <f>Weekly_Inspections!$AV98</f>
        <v>0</v>
      </c>
      <c r="M98" s="23" t="str">
        <f t="shared" si="3"/>
        <v>Open</v>
      </c>
      <c r="N98" s="22"/>
      <c r="O98" s="21">
        <f t="shared" ca="1" si="4"/>
        <v>46113</v>
      </c>
      <c r="P98" s="21" t="str">
        <f t="shared" ca="1" si="5"/>
        <v>YES</v>
      </c>
      <c r="Q98" s="23">
        <f>Weekly_Inspections!$AW98</f>
        <v>0</v>
      </c>
    </row>
    <row r="99" spans="1:17" ht="15" customHeight="1" x14ac:dyDescent="0.2">
      <c r="A99" s="21" t="str">
        <f>IF(Weekly_Inspections!$B99="","",Weekly_Inspections!$A99&amp;"-A1")</f>
        <v/>
      </c>
      <c r="B99" s="22">
        <f>Weekly_Inspections!$B99</f>
        <v>0</v>
      </c>
      <c r="C99" s="23">
        <f>Weekly_Inspections!$E99</f>
        <v>0</v>
      </c>
      <c r="D99" s="23">
        <f>Weekly_Inspections!$F99</f>
        <v>0</v>
      </c>
      <c r="E99" s="21" t="str">
        <f>Weekly_Inspections!$H99</f>
        <v/>
      </c>
      <c r="F99" s="23">
        <f>IF(Weekly_Inspections!$AX99&lt;&gt;"",Weekly_Inspections!$AX99,IF(Weekly_Inspections!$AY99&lt;&gt;"",Weekly_Inspections!$AY99,IF(Weekly_Inspections!$AZ99&lt;&gt;"",Weekly_Inspections!$AZ99,IF(Weekly_Inspections!$BA99&lt;&gt;"",Weekly_Inspections!$BA99,IF(Weekly_Inspections!$BB99&lt;&gt;"",Weekly_Inspections!$BB99,Weekly_Inspections!$R99)))))</f>
        <v>0</v>
      </c>
      <c r="G99" s="23" t="str">
        <f>IF(OR(Weekly_Inspections!$AQ99&lt;&gt;"",Weekly_Inspections!$AR99&lt;&gt;"",Weekly_Inspections!$AS99&lt;&gt;""),Weekly_Inspections!$AQ99,"")</f>
        <v/>
      </c>
      <c r="H99" s="23">
        <f>Weekly_Inspections!$AP99</f>
        <v>0</v>
      </c>
      <c r="I99" s="23">
        <f>Weekly_Inspections!$AR99</f>
        <v>0</v>
      </c>
      <c r="J99" s="23">
        <f>Weekly_Inspections!$AS99</f>
        <v>0</v>
      </c>
      <c r="K99" s="23">
        <f>Weekly_Inspections!$AU99</f>
        <v>0</v>
      </c>
      <c r="L99" s="22">
        <f>Weekly_Inspections!$AV99</f>
        <v>0</v>
      </c>
      <c r="M99" s="23" t="str">
        <f t="shared" si="3"/>
        <v>Open</v>
      </c>
      <c r="N99" s="22"/>
      <c r="O99" s="21">
        <f t="shared" ca="1" si="4"/>
        <v>46113</v>
      </c>
      <c r="P99" s="21" t="str">
        <f t="shared" ca="1" si="5"/>
        <v>YES</v>
      </c>
      <c r="Q99" s="23">
        <f>Weekly_Inspections!$AW99</f>
        <v>0</v>
      </c>
    </row>
    <row r="100" spans="1:17" ht="15" customHeight="1" x14ac:dyDescent="0.2">
      <c r="A100" s="21" t="str">
        <f>IF(Weekly_Inspections!$B100="","",Weekly_Inspections!$A100&amp;"-A1")</f>
        <v/>
      </c>
      <c r="B100" s="22">
        <f>Weekly_Inspections!$B100</f>
        <v>0</v>
      </c>
      <c r="C100" s="23">
        <f>Weekly_Inspections!$E100</f>
        <v>0</v>
      </c>
      <c r="D100" s="23">
        <f>Weekly_Inspections!$F100</f>
        <v>0</v>
      </c>
      <c r="E100" s="21" t="str">
        <f>Weekly_Inspections!$H100</f>
        <v/>
      </c>
      <c r="F100" s="23">
        <f>IF(Weekly_Inspections!$AX100&lt;&gt;"",Weekly_Inspections!$AX100,IF(Weekly_Inspections!$AY100&lt;&gt;"",Weekly_Inspections!$AY100,IF(Weekly_Inspections!$AZ100&lt;&gt;"",Weekly_Inspections!$AZ100,IF(Weekly_Inspections!$BA100&lt;&gt;"",Weekly_Inspections!$BA100,IF(Weekly_Inspections!$BB100&lt;&gt;"",Weekly_Inspections!$BB100,Weekly_Inspections!$R100)))))</f>
        <v>0</v>
      </c>
      <c r="G100" s="23" t="str">
        <f>IF(OR(Weekly_Inspections!$AQ100&lt;&gt;"",Weekly_Inspections!$AR100&lt;&gt;"",Weekly_Inspections!$AS100&lt;&gt;""),Weekly_Inspections!$AQ100,"")</f>
        <v/>
      </c>
      <c r="H100" s="23">
        <f>Weekly_Inspections!$AP100</f>
        <v>0</v>
      </c>
      <c r="I100" s="23">
        <f>Weekly_Inspections!$AR100</f>
        <v>0</v>
      </c>
      <c r="J100" s="23">
        <f>Weekly_Inspections!$AS100</f>
        <v>0</v>
      </c>
      <c r="K100" s="23">
        <f>Weekly_Inspections!$AU100</f>
        <v>0</v>
      </c>
      <c r="L100" s="22">
        <f>Weekly_Inspections!$AV100</f>
        <v>0</v>
      </c>
      <c r="M100" s="23" t="str">
        <f t="shared" si="3"/>
        <v>Open</v>
      </c>
      <c r="N100" s="22"/>
      <c r="O100" s="21">
        <f t="shared" ca="1" si="4"/>
        <v>46113</v>
      </c>
      <c r="P100" s="21" t="str">
        <f t="shared" ca="1" si="5"/>
        <v>YES</v>
      </c>
      <c r="Q100" s="23">
        <f>Weekly_Inspections!$AW100</f>
        <v>0</v>
      </c>
    </row>
    <row r="101" spans="1:17" ht="15" customHeight="1" x14ac:dyDescent="0.2">
      <c r="A101" s="21" t="str">
        <f>IF(Weekly_Inspections!$B101="","",Weekly_Inspections!$A101&amp;"-A1")</f>
        <v/>
      </c>
      <c r="B101" s="22">
        <f>Weekly_Inspections!$B101</f>
        <v>0</v>
      </c>
      <c r="C101" s="23">
        <f>Weekly_Inspections!$E101</f>
        <v>0</v>
      </c>
      <c r="D101" s="23">
        <f>Weekly_Inspections!$F101</f>
        <v>0</v>
      </c>
      <c r="E101" s="21" t="str">
        <f>Weekly_Inspections!$H101</f>
        <v/>
      </c>
      <c r="F101" s="23">
        <f>IF(Weekly_Inspections!$AX101&lt;&gt;"",Weekly_Inspections!$AX101,IF(Weekly_Inspections!$AY101&lt;&gt;"",Weekly_Inspections!$AY101,IF(Weekly_Inspections!$AZ101&lt;&gt;"",Weekly_Inspections!$AZ101,IF(Weekly_Inspections!$BA101&lt;&gt;"",Weekly_Inspections!$BA101,IF(Weekly_Inspections!$BB101&lt;&gt;"",Weekly_Inspections!$BB101,Weekly_Inspections!$R101)))))</f>
        <v>0</v>
      </c>
      <c r="G101" s="23" t="str">
        <f>IF(OR(Weekly_Inspections!$AQ101&lt;&gt;"",Weekly_Inspections!$AR101&lt;&gt;"",Weekly_Inspections!$AS101&lt;&gt;""),Weekly_Inspections!$AQ101,"")</f>
        <v/>
      </c>
      <c r="H101" s="23">
        <f>Weekly_Inspections!$AP101</f>
        <v>0</v>
      </c>
      <c r="I101" s="23">
        <f>Weekly_Inspections!$AR101</f>
        <v>0</v>
      </c>
      <c r="J101" s="23">
        <f>Weekly_Inspections!$AS101</f>
        <v>0</v>
      </c>
      <c r="K101" s="23">
        <f>Weekly_Inspections!$AU101</f>
        <v>0</v>
      </c>
      <c r="L101" s="22">
        <f>Weekly_Inspections!$AV101</f>
        <v>0</v>
      </c>
      <c r="M101" s="23" t="str">
        <f t="shared" si="3"/>
        <v>Open</v>
      </c>
      <c r="N101" s="22"/>
      <c r="O101" s="21">
        <f t="shared" ca="1" si="4"/>
        <v>46113</v>
      </c>
      <c r="P101" s="21" t="str">
        <f t="shared" ca="1" si="5"/>
        <v>YES</v>
      </c>
      <c r="Q101" s="23">
        <f>Weekly_Inspections!$AW101</f>
        <v>0</v>
      </c>
    </row>
    <row r="102" spans="1:17" ht="15" customHeight="1" x14ac:dyDescent="0.2">
      <c r="A102" s="21" t="str">
        <f>IF(Weekly_Inspections!$B102="","",Weekly_Inspections!$A102&amp;"-A1")</f>
        <v/>
      </c>
      <c r="B102" s="22">
        <f>Weekly_Inspections!$B102</f>
        <v>0</v>
      </c>
      <c r="C102" s="23">
        <f>Weekly_Inspections!$E102</f>
        <v>0</v>
      </c>
      <c r="D102" s="23">
        <f>Weekly_Inspections!$F102</f>
        <v>0</v>
      </c>
      <c r="E102" s="21" t="str">
        <f>Weekly_Inspections!$H102</f>
        <v/>
      </c>
      <c r="F102" s="23">
        <f>IF(Weekly_Inspections!$AX102&lt;&gt;"",Weekly_Inspections!$AX102,IF(Weekly_Inspections!$AY102&lt;&gt;"",Weekly_Inspections!$AY102,IF(Weekly_Inspections!$AZ102&lt;&gt;"",Weekly_Inspections!$AZ102,IF(Weekly_Inspections!$BA102&lt;&gt;"",Weekly_Inspections!$BA102,IF(Weekly_Inspections!$BB102&lt;&gt;"",Weekly_Inspections!$BB102,Weekly_Inspections!$R102)))))</f>
        <v>0</v>
      </c>
      <c r="G102" s="23" t="str">
        <f>IF(OR(Weekly_Inspections!$AQ102&lt;&gt;"",Weekly_Inspections!$AR102&lt;&gt;"",Weekly_Inspections!$AS102&lt;&gt;""),Weekly_Inspections!$AQ102,"")</f>
        <v/>
      </c>
      <c r="H102" s="23">
        <f>Weekly_Inspections!$AP102</f>
        <v>0</v>
      </c>
      <c r="I102" s="23">
        <f>Weekly_Inspections!$AR102</f>
        <v>0</v>
      </c>
      <c r="J102" s="23">
        <f>Weekly_Inspections!$AS102</f>
        <v>0</v>
      </c>
      <c r="K102" s="23">
        <f>Weekly_Inspections!$AU102</f>
        <v>0</v>
      </c>
      <c r="L102" s="22">
        <f>Weekly_Inspections!$AV102</f>
        <v>0</v>
      </c>
      <c r="M102" s="23" t="str">
        <f t="shared" si="3"/>
        <v>Open</v>
      </c>
      <c r="N102" s="22"/>
      <c r="O102" s="21">
        <f t="shared" ca="1" si="4"/>
        <v>46113</v>
      </c>
      <c r="P102" s="21" t="str">
        <f t="shared" ca="1" si="5"/>
        <v>YES</v>
      </c>
      <c r="Q102" s="23">
        <f>Weekly_Inspections!$AW102</f>
        <v>0</v>
      </c>
    </row>
    <row r="103" spans="1:17" ht="15" customHeight="1" x14ac:dyDescent="0.2">
      <c r="A103" s="21" t="str">
        <f>IF(Weekly_Inspections!$B103="","",Weekly_Inspections!$A103&amp;"-A1")</f>
        <v/>
      </c>
      <c r="B103" s="22">
        <f>Weekly_Inspections!$B103</f>
        <v>0</v>
      </c>
      <c r="C103" s="23">
        <f>Weekly_Inspections!$E103</f>
        <v>0</v>
      </c>
      <c r="D103" s="23">
        <f>Weekly_Inspections!$F103</f>
        <v>0</v>
      </c>
      <c r="E103" s="21" t="str">
        <f>Weekly_Inspections!$H103</f>
        <v/>
      </c>
      <c r="F103" s="23">
        <f>IF(Weekly_Inspections!$AX103&lt;&gt;"",Weekly_Inspections!$AX103,IF(Weekly_Inspections!$AY103&lt;&gt;"",Weekly_Inspections!$AY103,IF(Weekly_Inspections!$AZ103&lt;&gt;"",Weekly_Inspections!$AZ103,IF(Weekly_Inspections!$BA103&lt;&gt;"",Weekly_Inspections!$BA103,IF(Weekly_Inspections!$BB103&lt;&gt;"",Weekly_Inspections!$BB103,Weekly_Inspections!$R103)))))</f>
        <v>0</v>
      </c>
      <c r="G103" s="23" t="str">
        <f>IF(OR(Weekly_Inspections!$AQ103&lt;&gt;"",Weekly_Inspections!$AR103&lt;&gt;"",Weekly_Inspections!$AS103&lt;&gt;""),Weekly_Inspections!$AQ103,"")</f>
        <v/>
      </c>
      <c r="H103" s="23">
        <f>Weekly_Inspections!$AP103</f>
        <v>0</v>
      </c>
      <c r="I103" s="23">
        <f>Weekly_Inspections!$AR103</f>
        <v>0</v>
      </c>
      <c r="J103" s="23">
        <f>Weekly_Inspections!$AS103</f>
        <v>0</v>
      </c>
      <c r="K103" s="23">
        <f>Weekly_Inspections!$AU103</f>
        <v>0</v>
      </c>
      <c r="L103" s="22">
        <f>Weekly_Inspections!$AV103</f>
        <v>0</v>
      </c>
      <c r="M103" s="23" t="str">
        <f t="shared" si="3"/>
        <v>Open</v>
      </c>
      <c r="N103" s="22"/>
      <c r="O103" s="21">
        <f t="shared" ca="1" si="4"/>
        <v>46113</v>
      </c>
      <c r="P103" s="21" t="str">
        <f t="shared" ca="1" si="5"/>
        <v>YES</v>
      </c>
      <c r="Q103" s="23">
        <f>Weekly_Inspections!$AW103</f>
        <v>0</v>
      </c>
    </row>
    <row r="104" spans="1:17" ht="15" customHeight="1" x14ac:dyDescent="0.2">
      <c r="A104" s="21" t="str">
        <f>IF(Weekly_Inspections!$B104="","",Weekly_Inspections!$A104&amp;"-A1")</f>
        <v/>
      </c>
      <c r="B104" s="22">
        <f>Weekly_Inspections!$B104</f>
        <v>0</v>
      </c>
      <c r="C104" s="23">
        <f>Weekly_Inspections!$E104</f>
        <v>0</v>
      </c>
      <c r="D104" s="23">
        <f>Weekly_Inspections!$F104</f>
        <v>0</v>
      </c>
      <c r="E104" s="21" t="str">
        <f>Weekly_Inspections!$H104</f>
        <v/>
      </c>
      <c r="F104" s="23">
        <f>IF(Weekly_Inspections!$AX104&lt;&gt;"",Weekly_Inspections!$AX104,IF(Weekly_Inspections!$AY104&lt;&gt;"",Weekly_Inspections!$AY104,IF(Weekly_Inspections!$AZ104&lt;&gt;"",Weekly_Inspections!$AZ104,IF(Weekly_Inspections!$BA104&lt;&gt;"",Weekly_Inspections!$BA104,IF(Weekly_Inspections!$BB104&lt;&gt;"",Weekly_Inspections!$BB104,Weekly_Inspections!$R104)))))</f>
        <v>0</v>
      </c>
      <c r="G104" s="23" t="str">
        <f>IF(OR(Weekly_Inspections!$AQ104&lt;&gt;"",Weekly_Inspections!$AR104&lt;&gt;"",Weekly_Inspections!$AS104&lt;&gt;""),Weekly_Inspections!$AQ104,"")</f>
        <v/>
      </c>
      <c r="H104" s="23">
        <f>Weekly_Inspections!$AP104</f>
        <v>0</v>
      </c>
      <c r="I104" s="23">
        <f>Weekly_Inspections!$AR104</f>
        <v>0</v>
      </c>
      <c r="J104" s="23">
        <f>Weekly_Inspections!$AS104</f>
        <v>0</v>
      </c>
      <c r="K104" s="23">
        <f>Weekly_Inspections!$AU104</f>
        <v>0</v>
      </c>
      <c r="L104" s="22">
        <f>Weekly_Inspections!$AV104</f>
        <v>0</v>
      </c>
      <c r="M104" s="23" t="str">
        <f t="shared" si="3"/>
        <v>Open</v>
      </c>
      <c r="N104" s="22"/>
      <c r="O104" s="21">
        <f t="shared" ca="1" si="4"/>
        <v>46113</v>
      </c>
      <c r="P104" s="21" t="str">
        <f t="shared" ca="1" si="5"/>
        <v>YES</v>
      </c>
      <c r="Q104" s="23">
        <f>Weekly_Inspections!$AW104</f>
        <v>0</v>
      </c>
    </row>
    <row r="105" spans="1:17" ht="15" customHeight="1" x14ac:dyDescent="0.2">
      <c r="A105" s="21" t="str">
        <f>IF(Weekly_Inspections!$B105="","",Weekly_Inspections!$A105&amp;"-A1")</f>
        <v/>
      </c>
      <c r="B105" s="22">
        <f>Weekly_Inspections!$B105</f>
        <v>0</v>
      </c>
      <c r="C105" s="23">
        <f>Weekly_Inspections!$E105</f>
        <v>0</v>
      </c>
      <c r="D105" s="23">
        <f>Weekly_Inspections!$F105</f>
        <v>0</v>
      </c>
      <c r="E105" s="21" t="str">
        <f>Weekly_Inspections!$H105</f>
        <v/>
      </c>
      <c r="F105" s="23">
        <f>IF(Weekly_Inspections!$AX105&lt;&gt;"",Weekly_Inspections!$AX105,IF(Weekly_Inspections!$AY105&lt;&gt;"",Weekly_Inspections!$AY105,IF(Weekly_Inspections!$AZ105&lt;&gt;"",Weekly_Inspections!$AZ105,IF(Weekly_Inspections!$BA105&lt;&gt;"",Weekly_Inspections!$BA105,IF(Weekly_Inspections!$BB105&lt;&gt;"",Weekly_Inspections!$BB105,Weekly_Inspections!$R105)))))</f>
        <v>0</v>
      </c>
      <c r="G105" s="23" t="str">
        <f>IF(OR(Weekly_Inspections!$AQ105&lt;&gt;"",Weekly_Inspections!$AR105&lt;&gt;"",Weekly_Inspections!$AS105&lt;&gt;""),Weekly_Inspections!$AQ105,"")</f>
        <v/>
      </c>
      <c r="H105" s="23">
        <f>Weekly_Inspections!$AP105</f>
        <v>0</v>
      </c>
      <c r="I105" s="23">
        <f>Weekly_Inspections!$AR105</f>
        <v>0</v>
      </c>
      <c r="J105" s="23">
        <f>Weekly_Inspections!$AS105</f>
        <v>0</v>
      </c>
      <c r="K105" s="23">
        <f>Weekly_Inspections!$AU105</f>
        <v>0</v>
      </c>
      <c r="L105" s="22">
        <f>Weekly_Inspections!$AV105</f>
        <v>0</v>
      </c>
      <c r="M105" s="23" t="str">
        <f t="shared" si="3"/>
        <v>Open</v>
      </c>
      <c r="N105" s="22"/>
      <c r="O105" s="21">
        <f t="shared" ca="1" si="4"/>
        <v>46113</v>
      </c>
      <c r="P105" s="21" t="str">
        <f t="shared" ca="1" si="5"/>
        <v>YES</v>
      </c>
      <c r="Q105" s="23">
        <f>Weekly_Inspections!$AW105</f>
        <v>0</v>
      </c>
    </row>
    <row r="106" spans="1:17" ht="15" customHeight="1" x14ac:dyDescent="0.2">
      <c r="A106" s="21" t="str">
        <f>IF(Weekly_Inspections!$B106="","",Weekly_Inspections!$A106&amp;"-A1")</f>
        <v/>
      </c>
      <c r="B106" s="22">
        <f>Weekly_Inspections!$B106</f>
        <v>0</v>
      </c>
      <c r="C106" s="23">
        <f>Weekly_Inspections!$E106</f>
        <v>0</v>
      </c>
      <c r="D106" s="23">
        <f>Weekly_Inspections!$F106</f>
        <v>0</v>
      </c>
      <c r="E106" s="21" t="str">
        <f>Weekly_Inspections!$H106</f>
        <v/>
      </c>
      <c r="F106" s="23">
        <f>IF(Weekly_Inspections!$AX106&lt;&gt;"",Weekly_Inspections!$AX106,IF(Weekly_Inspections!$AY106&lt;&gt;"",Weekly_Inspections!$AY106,IF(Weekly_Inspections!$AZ106&lt;&gt;"",Weekly_Inspections!$AZ106,IF(Weekly_Inspections!$BA106&lt;&gt;"",Weekly_Inspections!$BA106,IF(Weekly_Inspections!$BB106&lt;&gt;"",Weekly_Inspections!$BB106,Weekly_Inspections!$R106)))))</f>
        <v>0</v>
      </c>
      <c r="G106" s="23" t="str">
        <f>IF(OR(Weekly_Inspections!$AQ106&lt;&gt;"",Weekly_Inspections!$AR106&lt;&gt;"",Weekly_Inspections!$AS106&lt;&gt;""),Weekly_Inspections!$AQ106,"")</f>
        <v/>
      </c>
      <c r="H106" s="23">
        <f>Weekly_Inspections!$AP106</f>
        <v>0</v>
      </c>
      <c r="I106" s="23">
        <f>Weekly_Inspections!$AR106</f>
        <v>0</v>
      </c>
      <c r="J106" s="23">
        <f>Weekly_Inspections!$AS106</f>
        <v>0</v>
      </c>
      <c r="K106" s="23">
        <f>Weekly_Inspections!$AU106</f>
        <v>0</v>
      </c>
      <c r="L106" s="22">
        <f>Weekly_Inspections!$AV106</f>
        <v>0</v>
      </c>
      <c r="M106" s="23" t="str">
        <f t="shared" si="3"/>
        <v>Open</v>
      </c>
      <c r="N106" s="22"/>
      <c r="O106" s="21">
        <f t="shared" ca="1" si="4"/>
        <v>46113</v>
      </c>
      <c r="P106" s="21" t="str">
        <f t="shared" ca="1" si="5"/>
        <v>YES</v>
      </c>
      <c r="Q106" s="23">
        <f>Weekly_Inspections!$AW106</f>
        <v>0</v>
      </c>
    </row>
    <row r="107" spans="1:17" ht="15" customHeight="1" x14ac:dyDescent="0.2">
      <c r="A107" s="21" t="str">
        <f>IF(Weekly_Inspections!$B107="","",Weekly_Inspections!$A107&amp;"-A1")</f>
        <v/>
      </c>
      <c r="B107" s="22">
        <f>Weekly_Inspections!$B107</f>
        <v>0</v>
      </c>
      <c r="C107" s="23">
        <f>Weekly_Inspections!$E107</f>
        <v>0</v>
      </c>
      <c r="D107" s="23">
        <f>Weekly_Inspections!$F107</f>
        <v>0</v>
      </c>
      <c r="E107" s="21" t="str">
        <f>Weekly_Inspections!$H107</f>
        <v/>
      </c>
      <c r="F107" s="23">
        <f>IF(Weekly_Inspections!$AX107&lt;&gt;"",Weekly_Inspections!$AX107,IF(Weekly_Inspections!$AY107&lt;&gt;"",Weekly_Inspections!$AY107,IF(Weekly_Inspections!$AZ107&lt;&gt;"",Weekly_Inspections!$AZ107,IF(Weekly_Inspections!$BA107&lt;&gt;"",Weekly_Inspections!$BA107,IF(Weekly_Inspections!$BB107&lt;&gt;"",Weekly_Inspections!$BB107,Weekly_Inspections!$R107)))))</f>
        <v>0</v>
      </c>
      <c r="G107" s="23" t="str">
        <f>IF(OR(Weekly_Inspections!$AQ107&lt;&gt;"",Weekly_Inspections!$AR107&lt;&gt;"",Weekly_Inspections!$AS107&lt;&gt;""),Weekly_Inspections!$AQ107,"")</f>
        <v/>
      </c>
      <c r="H107" s="23">
        <f>Weekly_Inspections!$AP107</f>
        <v>0</v>
      </c>
      <c r="I107" s="23">
        <f>Weekly_Inspections!$AR107</f>
        <v>0</v>
      </c>
      <c r="J107" s="23">
        <f>Weekly_Inspections!$AS107</f>
        <v>0</v>
      </c>
      <c r="K107" s="23">
        <f>Weekly_Inspections!$AU107</f>
        <v>0</v>
      </c>
      <c r="L107" s="22">
        <f>Weekly_Inspections!$AV107</f>
        <v>0</v>
      </c>
      <c r="M107" s="23" t="str">
        <f t="shared" si="3"/>
        <v>Open</v>
      </c>
      <c r="N107" s="22"/>
      <c r="O107" s="21">
        <f t="shared" ca="1" si="4"/>
        <v>46113</v>
      </c>
      <c r="P107" s="21" t="str">
        <f t="shared" ca="1" si="5"/>
        <v>YES</v>
      </c>
      <c r="Q107" s="23">
        <f>Weekly_Inspections!$AW107</f>
        <v>0</v>
      </c>
    </row>
    <row r="108" spans="1:17" ht="15" customHeight="1" x14ac:dyDescent="0.2">
      <c r="A108" s="21" t="str">
        <f>IF(Weekly_Inspections!$B108="","",Weekly_Inspections!$A108&amp;"-A1")</f>
        <v/>
      </c>
      <c r="B108" s="22">
        <f>Weekly_Inspections!$B108</f>
        <v>0</v>
      </c>
      <c r="C108" s="23">
        <f>Weekly_Inspections!$E108</f>
        <v>0</v>
      </c>
      <c r="D108" s="23">
        <f>Weekly_Inspections!$F108</f>
        <v>0</v>
      </c>
      <c r="E108" s="21" t="str">
        <f>Weekly_Inspections!$H108</f>
        <v/>
      </c>
      <c r="F108" s="23">
        <f>IF(Weekly_Inspections!$AX108&lt;&gt;"",Weekly_Inspections!$AX108,IF(Weekly_Inspections!$AY108&lt;&gt;"",Weekly_Inspections!$AY108,IF(Weekly_Inspections!$AZ108&lt;&gt;"",Weekly_Inspections!$AZ108,IF(Weekly_Inspections!$BA108&lt;&gt;"",Weekly_Inspections!$BA108,IF(Weekly_Inspections!$BB108&lt;&gt;"",Weekly_Inspections!$BB108,Weekly_Inspections!$R108)))))</f>
        <v>0</v>
      </c>
      <c r="G108" s="23" t="str">
        <f>IF(OR(Weekly_Inspections!$AQ108&lt;&gt;"",Weekly_Inspections!$AR108&lt;&gt;"",Weekly_Inspections!$AS108&lt;&gt;""),Weekly_Inspections!$AQ108,"")</f>
        <v/>
      </c>
      <c r="H108" s="23">
        <f>Weekly_Inspections!$AP108</f>
        <v>0</v>
      </c>
      <c r="I108" s="23">
        <f>Weekly_Inspections!$AR108</f>
        <v>0</v>
      </c>
      <c r="J108" s="23">
        <f>Weekly_Inspections!$AS108</f>
        <v>0</v>
      </c>
      <c r="K108" s="23">
        <f>Weekly_Inspections!$AU108</f>
        <v>0</v>
      </c>
      <c r="L108" s="22">
        <f>Weekly_Inspections!$AV108</f>
        <v>0</v>
      </c>
      <c r="M108" s="23" t="str">
        <f t="shared" si="3"/>
        <v>Open</v>
      </c>
      <c r="N108" s="22"/>
      <c r="O108" s="21">
        <f t="shared" ca="1" si="4"/>
        <v>46113</v>
      </c>
      <c r="P108" s="21" t="str">
        <f t="shared" ca="1" si="5"/>
        <v>YES</v>
      </c>
      <c r="Q108" s="23">
        <f>Weekly_Inspections!$AW108</f>
        <v>0</v>
      </c>
    </row>
    <row r="109" spans="1:17" ht="15" customHeight="1" x14ac:dyDescent="0.2">
      <c r="A109" s="21" t="str">
        <f>IF(Weekly_Inspections!$B109="","",Weekly_Inspections!$A109&amp;"-A1")</f>
        <v/>
      </c>
      <c r="B109" s="22">
        <f>Weekly_Inspections!$B109</f>
        <v>0</v>
      </c>
      <c r="C109" s="23">
        <f>Weekly_Inspections!$E109</f>
        <v>0</v>
      </c>
      <c r="D109" s="23">
        <f>Weekly_Inspections!$F109</f>
        <v>0</v>
      </c>
      <c r="E109" s="21" t="str">
        <f>Weekly_Inspections!$H109</f>
        <v/>
      </c>
      <c r="F109" s="23">
        <f>IF(Weekly_Inspections!$AX109&lt;&gt;"",Weekly_Inspections!$AX109,IF(Weekly_Inspections!$AY109&lt;&gt;"",Weekly_Inspections!$AY109,IF(Weekly_Inspections!$AZ109&lt;&gt;"",Weekly_Inspections!$AZ109,IF(Weekly_Inspections!$BA109&lt;&gt;"",Weekly_Inspections!$BA109,IF(Weekly_Inspections!$BB109&lt;&gt;"",Weekly_Inspections!$BB109,Weekly_Inspections!$R109)))))</f>
        <v>0</v>
      </c>
      <c r="G109" s="23" t="str">
        <f>IF(OR(Weekly_Inspections!$AQ109&lt;&gt;"",Weekly_Inspections!$AR109&lt;&gt;"",Weekly_Inspections!$AS109&lt;&gt;""),Weekly_Inspections!$AQ109,"")</f>
        <v/>
      </c>
      <c r="H109" s="23">
        <f>Weekly_Inspections!$AP109</f>
        <v>0</v>
      </c>
      <c r="I109" s="23">
        <f>Weekly_Inspections!$AR109</f>
        <v>0</v>
      </c>
      <c r="J109" s="23">
        <f>Weekly_Inspections!$AS109</f>
        <v>0</v>
      </c>
      <c r="K109" s="23">
        <f>Weekly_Inspections!$AU109</f>
        <v>0</v>
      </c>
      <c r="L109" s="22">
        <f>Weekly_Inspections!$AV109</f>
        <v>0</v>
      </c>
      <c r="M109" s="23" t="str">
        <f t="shared" si="3"/>
        <v>Open</v>
      </c>
      <c r="N109" s="22"/>
      <c r="O109" s="21">
        <f t="shared" ca="1" si="4"/>
        <v>46113</v>
      </c>
      <c r="P109" s="21" t="str">
        <f t="shared" ca="1" si="5"/>
        <v>YES</v>
      </c>
      <c r="Q109" s="23">
        <f>Weekly_Inspections!$AW109</f>
        <v>0</v>
      </c>
    </row>
    <row r="110" spans="1:17" ht="15" customHeight="1" x14ac:dyDescent="0.2">
      <c r="A110" s="21" t="str">
        <f>IF(Weekly_Inspections!$B110="","",Weekly_Inspections!$A110&amp;"-A1")</f>
        <v/>
      </c>
      <c r="B110" s="22">
        <f>Weekly_Inspections!$B110</f>
        <v>0</v>
      </c>
      <c r="C110" s="23">
        <f>Weekly_Inspections!$E110</f>
        <v>0</v>
      </c>
      <c r="D110" s="23">
        <f>Weekly_Inspections!$F110</f>
        <v>0</v>
      </c>
      <c r="E110" s="21" t="str">
        <f>Weekly_Inspections!$H110</f>
        <v/>
      </c>
      <c r="F110" s="23">
        <f>IF(Weekly_Inspections!$AX110&lt;&gt;"",Weekly_Inspections!$AX110,IF(Weekly_Inspections!$AY110&lt;&gt;"",Weekly_Inspections!$AY110,IF(Weekly_Inspections!$AZ110&lt;&gt;"",Weekly_Inspections!$AZ110,IF(Weekly_Inspections!$BA110&lt;&gt;"",Weekly_Inspections!$BA110,IF(Weekly_Inspections!$BB110&lt;&gt;"",Weekly_Inspections!$BB110,Weekly_Inspections!$R110)))))</f>
        <v>0</v>
      </c>
      <c r="G110" s="23" t="str">
        <f>IF(OR(Weekly_Inspections!$AQ110&lt;&gt;"",Weekly_Inspections!$AR110&lt;&gt;"",Weekly_Inspections!$AS110&lt;&gt;""),Weekly_Inspections!$AQ110,"")</f>
        <v/>
      </c>
      <c r="H110" s="23">
        <f>Weekly_Inspections!$AP110</f>
        <v>0</v>
      </c>
      <c r="I110" s="23">
        <f>Weekly_Inspections!$AR110</f>
        <v>0</v>
      </c>
      <c r="J110" s="23">
        <f>Weekly_Inspections!$AS110</f>
        <v>0</v>
      </c>
      <c r="K110" s="23">
        <f>Weekly_Inspections!$AU110</f>
        <v>0</v>
      </c>
      <c r="L110" s="22">
        <f>Weekly_Inspections!$AV110</f>
        <v>0</v>
      </c>
      <c r="M110" s="23" t="str">
        <f t="shared" si="3"/>
        <v>Open</v>
      </c>
      <c r="N110" s="22"/>
      <c r="O110" s="21">
        <f t="shared" ca="1" si="4"/>
        <v>46113</v>
      </c>
      <c r="P110" s="21" t="str">
        <f t="shared" ca="1" si="5"/>
        <v>YES</v>
      </c>
      <c r="Q110" s="23">
        <f>Weekly_Inspections!$AW110</f>
        <v>0</v>
      </c>
    </row>
    <row r="111" spans="1:17" ht="15" customHeight="1" x14ac:dyDescent="0.2">
      <c r="A111" s="21" t="str">
        <f>IF(Weekly_Inspections!$B111="","",Weekly_Inspections!$A111&amp;"-A1")</f>
        <v/>
      </c>
      <c r="B111" s="22">
        <f>Weekly_Inspections!$B111</f>
        <v>0</v>
      </c>
      <c r="C111" s="23">
        <f>Weekly_Inspections!$E111</f>
        <v>0</v>
      </c>
      <c r="D111" s="23">
        <f>Weekly_Inspections!$F111</f>
        <v>0</v>
      </c>
      <c r="E111" s="21" t="str">
        <f>Weekly_Inspections!$H111</f>
        <v/>
      </c>
      <c r="F111" s="23">
        <f>IF(Weekly_Inspections!$AX111&lt;&gt;"",Weekly_Inspections!$AX111,IF(Weekly_Inspections!$AY111&lt;&gt;"",Weekly_Inspections!$AY111,IF(Weekly_Inspections!$AZ111&lt;&gt;"",Weekly_Inspections!$AZ111,IF(Weekly_Inspections!$BA111&lt;&gt;"",Weekly_Inspections!$BA111,IF(Weekly_Inspections!$BB111&lt;&gt;"",Weekly_Inspections!$BB111,Weekly_Inspections!$R111)))))</f>
        <v>0</v>
      </c>
      <c r="G111" s="23" t="str">
        <f>IF(OR(Weekly_Inspections!$AQ111&lt;&gt;"",Weekly_Inspections!$AR111&lt;&gt;"",Weekly_Inspections!$AS111&lt;&gt;""),Weekly_Inspections!$AQ111,"")</f>
        <v/>
      </c>
      <c r="H111" s="23">
        <f>Weekly_Inspections!$AP111</f>
        <v>0</v>
      </c>
      <c r="I111" s="23">
        <f>Weekly_Inspections!$AR111</f>
        <v>0</v>
      </c>
      <c r="J111" s="23">
        <f>Weekly_Inspections!$AS111</f>
        <v>0</v>
      </c>
      <c r="K111" s="23">
        <f>Weekly_Inspections!$AU111</f>
        <v>0</v>
      </c>
      <c r="L111" s="22">
        <f>Weekly_Inspections!$AV111</f>
        <v>0</v>
      </c>
      <c r="M111" s="23" t="str">
        <f t="shared" si="3"/>
        <v>Open</v>
      </c>
      <c r="N111" s="22"/>
      <c r="O111" s="21">
        <f t="shared" ca="1" si="4"/>
        <v>46113</v>
      </c>
      <c r="P111" s="21" t="str">
        <f t="shared" ca="1" si="5"/>
        <v>YES</v>
      </c>
      <c r="Q111" s="23">
        <f>Weekly_Inspections!$AW111</f>
        <v>0</v>
      </c>
    </row>
    <row r="112" spans="1:17" ht="15" customHeight="1" x14ac:dyDescent="0.2">
      <c r="A112" s="21" t="str">
        <f>IF(Weekly_Inspections!$B112="","",Weekly_Inspections!$A112&amp;"-A1")</f>
        <v/>
      </c>
      <c r="B112" s="22">
        <f>Weekly_Inspections!$B112</f>
        <v>0</v>
      </c>
      <c r="C112" s="23">
        <f>Weekly_Inspections!$E112</f>
        <v>0</v>
      </c>
      <c r="D112" s="23">
        <f>Weekly_Inspections!$F112</f>
        <v>0</v>
      </c>
      <c r="E112" s="21" t="str">
        <f>Weekly_Inspections!$H112</f>
        <v/>
      </c>
      <c r="F112" s="23">
        <f>IF(Weekly_Inspections!$AX112&lt;&gt;"",Weekly_Inspections!$AX112,IF(Weekly_Inspections!$AY112&lt;&gt;"",Weekly_Inspections!$AY112,IF(Weekly_Inspections!$AZ112&lt;&gt;"",Weekly_Inspections!$AZ112,IF(Weekly_Inspections!$BA112&lt;&gt;"",Weekly_Inspections!$BA112,IF(Weekly_Inspections!$BB112&lt;&gt;"",Weekly_Inspections!$BB112,Weekly_Inspections!$R112)))))</f>
        <v>0</v>
      </c>
      <c r="G112" s="23" t="str">
        <f>IF(OR(Weekly_Inspections!$AQ112&lt;&gt;"",Weekly_Inspections!$AR112&lt;&gt;"",Weekly_Inspections!$AS112&lt;&gt;""),Weekly_Inspections!$AQ112,"")</f>
        <v/>
      </c>
      <c r="H112" s="23">
        <f>Weekly_Inspections!$AP112</f>
        <v>0</v>
      </c>
      <c r="I112" s="23">
        <f>Weekly_Inspections!$AR112</f>
        <v>0</v>
      </c>
      <c r="J112" s="23">
        <f>Weekly_Inspections!$AS112</f>
        <v>0</v>
      </c>
      <c r="K112" s="23">
        <f>Weekly_Inspections!$AU112</f>
        <v>0</v>
      </c>
      <c r="L112" s="22">
        <f>Weekly_Inspections!$AV112</f>
        <v>0</v>
      </c>
      <c r="M112" s="23" t="str">
        <f t="shared" si="3"/>
        <v>Open</v>
      </c>
      <c r="N112" s="22"/>
      <c r="O112" s="21">
        <f t="shared" ca="1" si="4"/>
        <v>46113</v>
      </c>
      <c r="P112" s="21" t="str">
        <f t="shared" ca="1" si="5"/>
        <v>YES</v>
      </c>
      <c r="Q112" s="23">
        <f>Weekly_Inspections!$AW112</f>
        <v>0</v>
      </c>
    </row>
    <row r="113" spans="1:17" ht="15" customHeight="1" x14ac:dyDescent="0.2">
      <c r="A113" s="21" t="str">
        <f>IF(Weekly_Inspections!$B113="","",Weekly_Inspections!$A113&amp;"-A1")</f>
        <v/>
      </c>
      <c r="B113" s="22">
        <f>Weekly_Inspections!$B113</f>
        <v>0</v>
      </c>
      <c r="C113" s="23">
        <f>Weekly_Inspections!$E113</f>
        <v>0</v>
      </c>
      <c r="D113" s="23">
        <f>Weekly_Inspections!$F113</f>
        <v>0</v>
      </c>
      <c r="E113" s="21" t="str">
        <f>Weekly_Inspections!$H113</f>
        <v/>
      </c>
      <c r="F113" s="23">
        <f>IF(Weekly_Inspections!$AX113&lt;&gt;"",Weekly_Inspections!$AX113,IF(Weekly_Inspections!$AY113&lt;&gt;"",Weekly_Inspections!$AY113,IF(Weekly_Inspections!$AZ113&lt;&gt;"",Weekly_Inspections!$AZ113,IF(Weekly_Inspections!$BA113&lt;&gt;"",Weekly_Inspections!$BA113,IF(Weekly_Inspections!$BB113&lt;&gt;"",Weekly_Inspections!$BB113,Weekly_Inspections!$R113)))))</f>
        <v>0</v>
      </c>
      <c r="G113" s="23" t="str">
        <f>IF(OR(Weekly_Inspections!$AQ113&lt;&gt;"",Weekly_Inspections!$AR113&lt;&gt;"",Weekly_Inspections!$AS113&lt;&gt;""),Weekly_Inspections!$AQ113,"")</f>
        <v/>
      </c>
      <c r="H113" s="23">
        <f>Weekly_Inspections!$AP113</f>
        <v>0</v>
      </c>
      <c r="I113" s="23">
        <f>Weekly_Inspections!$AR113</f>
        <v>0</v>
      </c>
      <c r="J113" s="23">
        <f>Weekly_Inspections!$AS113</f>
        <v>0</v>
      </c>
      <c r="K113" s="23">
        <f>Weekly_Inspections!$AU113</f>
        <v>0</v>
      </c>
      <c r="L113" s="22">
        <f>Weekly_Inspections!$AV113</f>
        <v>0</v>
      </c>
      <c r="M113" s="23" t="str">
        <f t="shared" si="3"/>
        <v>Open</v>
      </c>
      <c r="N113" s="22"/>
      <c r="O113" s="21">
        <f t="shared" ca="1" si="4"/>
        <v>46113</v>
      </c>
      <c r="P113" s="21" t="str">
        <f t="shared" ca="1" si="5"/>
        <v>YES</v>
      </c>
      <c r="Q113" s="23">
        <f>Weekly_Inspections!$AW113</f>
        <v>0</v>
      </c>
    </row>
    <row r="114" spans="1:17" ht="15" customHeight="1" x14ac:dyDescent="0.2">
      <c r="A114" s="21" t="str">
        <f>IF(Weekly_Inspections!$B114="","",Weekly_Inspections!$A114&amp;"-A1")</f>
        <v/>
      </c>
      <c r="B114" s="22">
        <f>Weekly_Inspections!$B114</f>
        <v>0</v>
      </c>
      <c r="C114" s="23">
        <f>Weekly_Inspections!$E114</f>
        <v>0</v>
      </c>
      <c r="D114" s="23">
        <f>Weekly_Inspections!$F114</f>
        <v>0</v>
      </c>
      <c r="E114" s="21" t="str">
        <f>Weekly_Inspections!$H114</f>
        <v/>
      </c>
      <c r="F114" s="23">
        <f>IF(Weekly_Inspections!$AX114&lt;&gt;"",Weekly_Inspections!$AX114,IF(Weekly_Inspections!$AY114&lt;&gt;"",Weekly_Inspections!$AY114,IF(Weekly_Inspections!$AZ114&lt;&gt;"",Weekly_Inspections!$AZ114,IF(Weekly_Inspections!$BA114&lt;&gt;"",Weekly_Inspections!$BA114,IF(Weekly_Inspections!$BB114&lt;&gt;"",Weekly_Inspections!$BB114,Weekly_Inspections!$R114)))))</f>
        <v>0</v>
      </c>
      <c r="G114" s="23" t="str">
        <f>IF(OR(Weekly_Inspections!$AQ114&lt;&gt;"",Weekly_Inspections!$AR114&lt;&gt;"",Weekly_Inspections!$AS114&lt;&gt;""),Weekly_Inspections!$AQ114,"")</f>
        <v/>
      </c>
      <c r="H114" s="23">
        <f>Weekly_Inspections!$AP114</f>
        <v>0</v>
      </c>
      <c r="I114" s="23">
        <f>Weekly_Inspections!$AR114</f>
        <v>0</v>
      </c>
      <c r="J114" s="23">
        <f>Weekly_Inspections!$AS114</f>
        <v>0</v>
      </c>
      <c r="K114" s="23">
        <f>Weekly_Inspections!$AU114</f>
        <v>0</v>
      </c>
      <c r="L114" s="22">
        <f>Weekly_Inspections!$AV114</f>
        <v>0</v>
      </c>
      <c r="M114" s="23" t="str">
        <f t="shared" si="3"/>
        <v>Open</v>
      </c>
      <c r="N114" s="22"/>
      <c r="O114" s="21">
        <f t="shared" ca="1" si="4"/>
        <v>46113</v>
      </c>
      <c r="P114" s="21" t="str">
        <f t="shared" ca="1" si="5"/>
        <v>YES</v>
      </c>
      <c r="Q114" s="23">
        <f>Weekly_Inspections!$AW114</f>
        <v>0</v>
      </c>
    </row>
    <row r="115" spans="1:17" ht="15" customHeight="1" x14ac:dyDescent="0.2">
      <c r="A115" s="21" t="str">
        <f>IF(Weekly_Inspections!$B115="","",Weekly_Inspections!$A115&amp;"-A1")</f>
        <v/>
      </c>
      <c r="B115" s="22">
        <f>Weekly_Inspections!$B115</f>
        <v>0</v>
      </c>
      <c r="C115" s="23">
        <f>Weekly_Inspections!$E115</f>
        <v>0</v>
      </c>
      <c r="D115" s="23">
        <f>Weekly_Inspections!$F115</f>
        <v>0</v>
      </c>
      <c r="E115" s="21" t="str">
        <f>Weekly_Inspections!$H115</f>
        <v/>
      </c>
      <c r="F115" s="23">
        <f>IF(Weekly_Inspections!$AX115&lt;&gt;"",Weekly_Inspections!$AX115,IF(Weekly_Inspections!$AY115&lt;&gt;"",Weekly_Inspections!$AY115,IF(Weekly_Inspections!$AZ115&lt;&gt;"",Weekly_Inspections!$AZ115,IF(Weekly_Inspections!$BA115&lt;&gt;"",Weekly_Inspections!$BA115,IF(Weekly_Inspections!$BB115&lt;&gt;"",Weekly_Inspections!$BB115,Weekly_Inspections!$R115)))))</f>
        <v>0</v>
      </c>
      <c r="G115" s="23" t="str">
        <f>IF(OR(Weekly_Inspections!$AQ115&lt;&gt;"",Weekly_Inspections!$AR115&lt;&gt;"",Weekly_Inspections!$AS115&lt;&gt;""),Weekly_Inspections!$AQ115,"")</f>
        <v/>
      </c>
      <c r="H115" s="23">
        <f>Weekly_Inspections!$AP115</f>
        <v>0</v>
      </c>
      <c r="I115" s="23">
        <f>Weekly_Inspections!$AR115</f>
        <v>0</v>
      </c>
      <c r="J115" s="23">
        <f>Weekly_Inspections!$AS115</f>
        <v>0</v>
      </c>
      <c r="K115" s="23">
        <f>Weekly_Inspections!$AU115</f>
        <v>0</v>
      </c>
      <c r="L115" s="22">
        <f>Weekly_Inspections!$AV115</f>
        <v>0</v>
      </c>
      <c r="M115" s="23" t="str">
        <f t="shared" si="3"/>
        <v>Open</v>
      </c>
      <c r="N115" s="22"/>
      <c r="O115" s="21">
        <f t="shared" ca="1" si="4"/>
        <v>46113</v>
      </c>
      <c r="P115" s="21" t="str">
        <f t="shared" ca="1" si="5"/>
        <v>YES</v>
      </c>
      <c r="Q115" s="23">
        <f>Weekly_Inspections!$AW115</f>
        <v>0</v>
      </c>
    </row>
    <row r="116" spans="1:17" ht="15" customHeight="1" x14ac:dyDescent="0.2">
      <c r="A116" s="21" t="str">
        <f>IF(Weekly_Inspections!$B116="","",Weekly_Inspections!$A116&amp;"-A1")</f>
        <v/>
      </c>
      <c r="B116" s="22">
        <f>Weekly_Inspections!$B116</f>
        <v>0</v>
      </c>
      <c r="C116" s="23">
        <f>Weekly_Inspections!$E116</f>
        <v>0</v>
      </c>
      <c r="D116" s="23">
        <f>Weekly_Inspections!$F116</f>
        <v>0</v>
      </c>
      <c r="E116" s="21" t="str">
        <f>Weekly_Inspections!$H116</f>
        <v/>
      </c>
      <c r="F116" s="23">
        <f>IF(Weekly_Inspections!$AX116&lt;&gt;"",Weekly_Inspections!$AX116,IF(Weekly_Inspections!$AY116&lt;&gt;"",Weekly_Inspections!$AY116,IF(Weekly_Inspections!$AZ116&lt;&gt;"",Weekly_Inspections!$AZ116,IF(Weekly_Inspections!$BA116&lt;&gt;"",Weekly_Inspections!$BA116,IF(Weekly_Inspections!$BB116&lt;&gt;"",Weekly_Inspections!$BB116,Weekly_Inspections!$R116)))))</f>
        <v>0</v>
      </c>
      <c r="G116" s="23" t="str">
        <f>IF(OR(Weekly_Inspections!$AQ116&lt;&gt;"",Weekly_Inspections!$AR116&lt;&gt;"",Weekly_Inspections!$AS116&lt;&gt;""),Weekly_Inspections!$AQ116,"")</f>
        <v/>
      </c>
      <c r="H116" s="23">
        <f>Weekly_Inspections!$AP116</f>
        <v>0</v>
      </c>
      <c r="I116" s="23">
        <f>Weekly_Inspections!$AR116</f>
        <v>0</v>
      </c>
      <c r="J116" s="23">
        <f>Weekly_Inspections!$AS116</f>
        <v>0</v>
      </c>
      <c r="K116" s="23">
        <f>Weekly_Inspections!$AU116</f>
        <v>0</v>
      </c>
      <c r="L116" s="22">
        <f>Weekly_Inspections!$AV116</f>
        <v>0</v>
      </c>
      <c r="M116" s="23" t="str">
        <f t="shared" si="3"/>
        <v>Open</v>
      </c>
      <c r="N116" s="22"/>
      <c r="O116" s="21">
        <f t="shared" ca="1" si="4"/>
        <v>46113</v>
      </c>
      <c r="P116" s="21" t="str">
        <f t="shared" ca="1" si="5"/>
        <v>YES</v>
      </c>
      <c r="Q116" s="23">
        <f>Weekly_Inspections!$AW116</f>
        <v>0</v>
      </c>
    </row>
    <row r="117" spans="1:17" ht="15" customHeight="1" x14ac:dyDescent="0.2">
      <c r="A117" s="21" t="str">
        <f>IF(Weekly_Inspections!$B117="","",Weekly_Inspections!$A117&amp;"-A1")</f>
        <v/>
      </c>
      <c r="B117" s="22">
        <f>Weekly_Inspections!$B117</f>
        <v>0</v>
      </c>
      <c r="C117" s="23">
        <f>Weekly_Inspections!$E117</f>
        <v>0</v>
      </c>
      <c r="D117" s="23">
        <f>Weekly_Inspections!$F117</f>
        <v>0</v>
      </c>
      <c r="E117" s="21" t="str">
        <f>Weekly_Inspections!$H117</f>
        <v/>
      </c>
      <c r="F117" s="23">
        <f>IF(Weekly_Inspections!$AX117&lt;&gt;"",Weekly_Inspections!$AX117,IF(Weekly_Inspections!$AY117&lt;&gt;"",Weekly_Inspections!$AY117,IF(Weekly_Inspections!$AZ117&lt;&gt;"",Weekly_Inspections!$AZ117,IF(Weekly_Inspections!$BA117&lt;&gt;"",Weekly_Inspections!$BA117,IF(Weekly_Inspections!$BB117&lt;&gt;"",Weekly_Inspections!$BB117,Weekly_Inspections!$R117)))))</f>
        <v>0</v>
      </c>
      <c r="G117" s="23" t="str">
        <f>IF(OR(Weekly_Inspections!$AQ117&lt;&gt;"",Weekly_Inspections!$AR117&lt;&gt;"",Weekly_Inspections!$AS117&lt;&gt;""),Weekly_Inspections!$AQ117,"")</f>
        <v/>
      </c>
      <c r="H117" s="23">
        <f>Weekly_Inspections!$AP117</f>
        <v>0</v>
      </c>
      <c r="I117" s="23">
        <f>Weekly_Inspections!$AR117</f>
        <v>0</v>
      </c>
      <c r="J117" s="23">
        <f>Weekly_Inspections!$AS117</f>
        <v>0</v>
      </c>
      <c r="K117" s="23">
        <f>Weekly_Inspections!$AU117</f>
        <v>0</v>
      </c>
      <c r="L117" s="22">
        <f>Weekly_Inspections!$AV117</f>
        <v>0</v>
      </c>
      <c r="M117" s="23" t="str">
        <f t="shared" si="3"/>
        <v>Open</v>
      </c>
      <c r="N117" s="22"/>
      <c r="O117" s="21">
        <f t="shared" ca="1" si="4"/>
        <v>46113</v>
      </c>
      <c r="P117" s="21" t="str">
        <f t="shared" ca="1" si="5"/>
        <v>YES</v>
      </c>
      <c r="Q117" s="23">
        <f>Weekly_Inspections!$AW117</f>
        <v>0</v>
      </c>
    </row>
    <row r="118" spans="1:17" ht="15" customHeight="1" x14ac:dyDescent="0.2">
      <c r="A118" s="21" t="str">
        <f>IF(Weekly_Inspections!$B118="","",Weekly_Inspections!$A118&amp;"-A1")</f>
        <v/>
      </c>
      <c r="B118" s="22">
        <f>Weekly_Inspections!$B118</f>
        <v>0</v>
      </c>
      <c r="C118" s="23">
        <f>Weekly_Inspections!$E118</f>
        <v>0</v>
      </c>
      <c r="D118" s="23">
        <f>Weekly_Inspections!$F118</f>
        <v>0</v>
      </c>
      <c r="E118" s="21" t="str">
        <f>Weekly_Inspections!$H118</f>
        <v/>
      </c>
      <c r="F118" s="23">
        <f>IF(Weekly_Inspections!$AX118&lt;&gt;"",Weekly_Inspections!$AX118,IF(Weekly_Inspections!$AY118&lt;&gt;"",Weekly_Inspections!$AY118,IF(Weekly_Inspections!$AZ118&lt;&gt;"",Weekly_Inspections!$AZ118,IF(Weekly_Inspections!$BA118&lt;&gt;"",Weekly_Inspections!$BA118,IF(Weekly_Inspections!$BB118&lt;&gt;"",Weekly_Inspections!$BB118,Weekly_Inspections!$R118)))))</f>
        <v>0</v>
      </c>
      <c r="G118" s="23" t="str">
        <f>IF(OR(Weekly_Inspections!$AQ118&lt;&gt;"",Weekly_Inspections!$AR118&lt;&gt;"",Weekly_Inspections!$AS118&lt;&gt;""),Weekly_Inspections!$AQ118,"")</f>
        <v/>
      </c>
      <c r="H118" s="23">
        <f>Weekly_Inspections!$AP118</f>
        <v>0</v>
      </c>
      <c r="I118" s="23">
        <f>Weekly_Inspections!$AR118</f>
        <v>0</v>
      </c>
      <c r="J118" s="23">
        <f>Weekly_Inspections!$AS118</f>
        <v>0</v>
      </c>
      <c r="K118" s="23">
        <f>Weekly_Inspections!$AU118</f>
        <v>0</v>
      </c>
      <c r="L118" s="22">
        <f>Weekly_Inspections!$AV118</f>
        <v>0</v>
      </c>
      <c r="M118" s="23" t="str">
        <f t="shared" si="3"/>
        <v>Open</v>
      </c>
      <c r="N118" s="22"/>
      <c r="O118" s="21">
        <f t="shared" ca="1" si="4"/>
        <v>46113</v>
      </c>
      <c r="P118" s="21" t="str">
        <f t="shared" ca="1" si="5"/>
        <v>YES</v>
      </c>
      <c r="Q118" s="23">
        <f>Weekly_Inspections!$AW118</f>
        <v>0</v>
      </c>
    </row>
    <row r="119" spans="1:17" ht="15" customHeight="1" x14ac:dyDescent="0.2">
      <c r="A119" s="21" t="str">
        <f>IF(Weekly_Inspections!$B119="","",Weekly_Inspections!$A119&amp;"-A1")</f>
        <v/>
      </c>
      <c r="B119" s="22">
        <f>Weekly_Inspections!$B119</f>
        <v>0</v>
      </c>
      <c r="C119" s="23">
        <f>Weekly_Inspections!$E119</f>
        <v>0</v>
      </c>
      <c r="D119" s="23">
        <f>Weekly_Inspections!$F119</f>
        <v>0</v>
      </c>
      <c r="E119" s="21" t="str">
        <f>Weekly_Inspections!$H119</f>
        <v/>
      </c>
      <c r="F119" s="23">
        <f>IF(Weekly_Inspections!$AX119&lt;&gt;"",Weekly_Inspections!$AX119,IF(Weekly_Inspections!$AY119&lt;&gt;"",Weekly_Inspections!$AY119,IF(Weekly_Inspections!$AZ119&lt;&gt;"",Weekly_Inspections!$AZ119,IF(Weekly_Inspections!$BA119&lt;&gt;"",Weekly_Inspections!$BA119,IF(Weekly_Inspections!$BB119&lt;&gt;"",Weekly_Inspections!$BB119,Weekly_Inspections!$R119)))))</f>
        <v>0</v>
      </c>
      <c r="G119" s="23" t="str">
        <f>IF(OR(Weekly_Inspections!$AQ119&lt;&gt;"",Weekly_Inspections!$AR119&lt;&gt;"",Weekly_Inspections!$AS119&lt;&gt;""),Weekly_Inspections!$AQ119,"")</f>
        <v/>
      </c>
      <c r="H119" s="23">
        <f>Weekly_Inspections!$AP119</f>
        <v>0</v>
      </c>
      <c r="I119" s="23">
        <f>Weekly_Inspections!$AR119</f>
        <v>0</v>
      </c>
      <c r="J119" s="23">
        <f>Weekly_Inspections!$AS119</f>
        <v>0</v>
      </c>
      <c r="K119" s="23">
        <f>Weekly_Inspections!$AU119</f>
        <v>0</v>
      </c>
      <c r="L119" s="22">
        <f>Weekly_Inspections!$AV119</f>
        <v>0</v>
      </c>
      <c r="M119" s="23" t="str">
        <f t="shared" si="3"/>
        <v>Open</v>
      </c>
      <c r="N119" s="22"/>
      <c r="O119" s="21">
        <f t="shared" ca="1" si="4"/>
        <v>46113</v>
      </c>
      <c r="P119" s="21" t="str">
        <f t="shared" ca="1" si="5"/>
        <v>YES</v>
      </c>
      <c r="Q119" s="23">
        <f>Weekly_Inspections!$AW119</f>
        <v>0</v>
      </c>
    </row>
    <row r="120" spans="1:17" ht="15" customHeight="1" x14ac:dyDescent="0.2">
      <c r="A120" s="21" t="str">
        <f>IF(Weekly_Inspections!$B120="","",Weekly_Inspections!$A120&amp;"-A1")</f>
        <v/>
      </c>
      <c r="B120" s="22">
        <f>Weekly_Inspections!$B120</f>
        <v>0</v>
      </c>
      <c r="C120" s="23">
        <f>Weekly_Inspections!$E120</f>
        <v>0</v>
      </c>
      <c r="D120" s="23">
        <f>Weekly_Inspections!$F120</f>
        <v>0</v>
      </c>
      <c r="E120" s="21" t="str">
        <f>Weekly_Inspections!$H120</f>
        <v/>
      </c>
      <c r="F120" s="23">
        <f>IF(Weekly_Inspections!$AX120&lt;&gt;"",Weekly_Inspections!$AX120,IF(Weekly_Inspections!$AY120&lt;&gt;"",Weekly_Inspections!$AY120,IF(Weekly_Inspections!$AZ120&lt;&gt;"",Weekly_Inspections!$AZ120,IF(Weekly_Inspections!$BA120&lt;&gt;"",Weekly_Inspections!$BA120,IF(Weekly_Inspections!$BB120&lt;&gt;"",Weekly_Inspections!$BB120,Weekly_Inspections!$R120)))))</f>
        <v>0</v>
      </c>
      <c r="G120" s="23" t="str">
        <f>IF(OR(Weekly_Inspections!$AQ120&lt;&gt;"",Weekly_Inspections!$AR120&lt;&gt;"",Weekly_Inspections!$AS120&lt;&gt;""),Weekly_Inspections!$AQ120,"")</f>
        <v/>
      </c>
      <c r="H120" s="23">
        <f>Weekly_Inspections!$AP120</f>
        <v>0</v>
      </c>
      <c r="I120" s="23">
        <f>Weekly_Inspections!$AR120</f>
        <v>0</v>
      </c>
      <c r="J120" s="23">
        <f>Weekly_Inspections!$AS120</f>
        <v>0</v>
      </c>
      <c r="K120" s="23">
        <f>Weekly_Inspections!$AU120</f>
        <v>0</v>
      </c>
      <c r="L120" s="22">
        <f>Weekly_Inspections!$AV120</f>
        <v>0</v>
      </c>
      <c r="M120" s="23" t="str">
        <f t="shared" si="3"/>
        <v>Open</v>
      </c>
      <c r="N120" s="22"/>
      <c r="O120" s="21">
        <f t="shared" ca="1" si="4"/>
        <v>46113</v>
      </c>
      <c r="P120" s="21" t="str">
        <f t="shared" ca="1" si="5"/>
        <v>YES</v>
      </c>
      <c r="Q120" s="23">
        <f>Weekly_Inspections!$AW120</f>
        <v>0</v>
      </c>
    </row>
    <row r="121" spans="1:17" ht="15" customHeight="1" x14ac:dyDescent="0.2">
      <c r="A121" s="21" t="str">
        <f>IF(Weekly_Inspections!$B121="","",Weekly_Inspections!$A121&amp;"-A1")</f>
        <v/>
      </c>
      <c r="B121" s="22">
        <f>Weekly_Inspections!$B121</f>
        <v>0</v>
      </c>
      <c r="C121" s="23">
        <f>Weekly_Inspections!$E121</f>
        <v>0</v>
      </c>
      <c r="D121" s="23">
        <f>Weekly_Inspections!$F121</f>
        <v>0</v>
      </c>
      <c r="E121" s="21" t="str">
        <f>Weekly_Inspections!$H121</f>
        <v/>
      </c>
      <c r="F121" s="23">
        <f>IF(Weekly_Inspections!$AX121&lt;&gt;"",Weekly_Inspections!$AX121,IF(Weekly_Inspections!$AY121&lt;&gt;"",Weekly_Inspections!$AY121,IF(Weekly_Inspections!$AZ121&lt;&gt;"",Weekly_Inspections!$AZ121,IF(Weekly_Inspections!$BA121&lt;&gt;"",Weekly_Inspections!$BA121,IF(Weekly_Inspections!$BB121&lt;&gt;"",Weekly_Inspections!$BB121,Weekly_Inspections!$R121)))))</f>
        <v>0</v>
      </c>
      <c r="G121" s="23" t="str">
        <f>IF(OR(Weekly_Inspections!$AQ121&lt;&gt;"",Weekly_Inspections!$AR121&lt;&gt;"",Weekly_Inspections!$AS121&lt;&gt;""),Weekly_Inspections!$AQ121,"")</f>
        <v/>
      </c>
      <c r="H121" s="23">
        <f>Weekly_Inspections!$AP121</f>
        <v>0</v>
      </c>
      <c r="I121" s="23">
        <f>Weekly_Inspections!$AR121</f>
        <v>0</v>
      </c>
      <c r="J121" s="23">
        <f>Weekly_Inspections!$AS121</f>
        <v>0</v>
      </c>
      <c r="K121" s="23">
        <f>Weekly_Inspections!$AU121</f>
        <v>0</v>
      </c>
      <c r="L121" s="22">
        <f>Weekly_Inspections!$AV121</f>
        <v>0</v>
      </c>
      <c r="M121" s="23" t="str">
        <f t="shared" si="3"/>
        <v>Open</v>
      </c>
      <c r="N121" s="22"/>
      <c r="O121" s="21">
        <f t="shared" ca="1" si="4"/>
        <v>46113</v>
      </c>
      <c r="P121" s="21" t="str">
        <f t="shared" ca="1" si="5"/>
        <v>YES</v>
      </c>
      <c r="Q121" s="23">
        <f>Weekly_Inspections!$AW121</f>
        <v>0</v>
      </c>
    </row>
    <row r="122" spans="1:17" ht="15" customHeight="1" x14ac:dyDescent="0.2">
      <c r="A122" s="21" t="str">
        <f>IF(Weekly_Inspections!$B122="","",Weekly_Inspections!$A122&amp;"-A1")</f>
        <v/>
      </c>
      <c r="B122" s="22">
        <f>Weekly_Inspections!$B122</f>
        <v>0</v>
      </c>
      <c r="C122" s="23">
        <f>Weekly_Inspections!$E122</f>
        <v>0</v>
      </c>
      <c r="D122" s="23">
        <f>Weekly_Inspections!$F122</f>
        <v>0</v>
      </c>
      <c r="E122" s="21" t="str">
        <f>Weekly_Inspections!$H122</f>
        <v/>
      </c>
      <c r="F122" s="23">
        <f>IF(Weekly_Inspections!$AX122&lt;&gt;"",Weekly_Inspections!$AX122,IF(Weekly_Inspections!$AY122&lt;&gt;"",Weekly_Inspections!$AY122,IF(Weekly_Inspections!$AZ122&lt;&gt;"",Weekly_Inspections!$AZ122,IF(Weekly_Inspections!$BA122&lt;&gt;"",Weekly_Inspections!$BA122,IF(Weekly_Inspections!$BB122&lt;&gt;"",Weekly_Inspections!$BB122,Weekly_Inspections!$R122)))))</f>
        <v>0</v>
      </c>
      <c r="G122" s="23" t="str">
        <f>IF(OR(Weekly_Inspections!$AQ122&lt;&gt;"",Weekly_Inspections!$AR122&lt;&gt;"",Weekly_Inspections!$AS122&lt;&gt;""),Weekly_Inspections!$AQ122,"")</f>
        <v/>
      </c>
      <c r="H122" s="23">
        <f>Weekly_Inspections!$AP122</f>
        <v>0</v>
      </c>
      <c r="I122" s="23">
        <f>Weekly_Inspections!$AR122</f>
        <v>0</v>
      </c>
      <c r="J122" s="23">
        <f>Weekly_Inspections!$AS122</f>
        <v>0</v>
      </c>
      <c r="K122" s="23">
        <f>Weekly_Inspections!$AU122</f>
        <v>0</v>
      </c>
      <c r="L122" s="22">
        <f>Weekly_Inspections!$AV122</f>
        <v>0</v>
      </c>
      <c r="M122" s="23" t="str">
        <f t="shared" si="3"/>
        <v>Open</v>
      </c>
      <c r="N122" s="22"/>
      <c r="O122" s="21">
        <f t="shared" ca="1" si="4"/>
        <v>46113</v>
      </c>
      <c r="P122" s="21" t="str">
        <f t="shared" ca="1" si="5"/>
        <v>YES</v>
      </c>
      <c r="Q122" s="23">
        <f>Weekly_Inspections!$AW122</f>
        <v>0</v>
      </c>
    </row>
    <row r="123" spans="1:17" ht="15" customHeight="1" x14ac:dyDescent="0.2">
      <c r="A123" s="21" t="str">
        <f>IF(Weekly_Inspections!$B123="","",Weekly_Inspections!$A123&amp;"-A1")</f>
        <v/>
      </c>
      <c r="B123" s="22">
        <f>Weekly_Inspections!$B123</f>
        <v>0</v>
      </c>
      <c r="C123" s="23">
        <f>Weekly_Inspections!$E123</f>
        <v>0</v>
      </c>
      <c r="D123" s="23">
        <f>Weekly_Inspections!$F123</f>
        <v>0</v>
      </c>
      <c r="E123" s="21" t="str">
        <f>Weekly_Inspections!$H123</f>
        <v/>
      </c>
      <c r="F123" s="23">
        <f>IF(Weekly_Inspections!$AX123&lt;&gt;"",Weekly_Inspections!$AX123,IF(Weekly_Inspections!$AY123&lt;&gt;"",Weekly_Inspections!$AY123,IF(Weekly_Inspections!$AZ123&lt;&gt;"",Weekly_Inspections!$AZ123,IF(Weekly_Inspections!$BA123&lt;&gt;"",Weekly_Inspections!$BA123,IF(Weekly_Inspections!$BB123&lt;&gt;"",Weekly_Inspections!$BB123,Weekly_Inspections!$R123)))))</f>
        <v>0</v>
      </c>
      <c r="G123" s="23" t="str">
        <f>IF(OR(Weekly_Inspections!$AQ123&lt;&gt;"",Weekly_Inspections!$AR123&lt;&gt;"",Weekly_Inspections!$AS123&lt;&gt;""),Weekly_Inspections!$AQ123,"")</f>
        <v/>
      </c>
      <c r="H123" s="23">
        <f>Weekly_Inspections!$AP123</f>
        <v>0</v>
      </c>
      <c r="I123" s="23">
        <f>Weekly_Inspections!$AR123</f>
        <v>0</v>
      </c>
      <c r="J123" s="23">
        <f>Weekly_Inspections!$AS123</f>
        <v>0</v>
      </c>
      <c r="K123" s="23">
        <f>Weekly_Inspections!$AU123</f>
        <v>0</v>
      </c>
      <c r="L123" s="22">
        <f>Weekly_Inspections!$AV123</f>
        <v>0</v>
      </c>
      <c r="M123" s="23" t="str">
        <f t="shared" si="3"/>
        <v>Open</v>
      </c>
      <c r="N123" s="22"/>
      <c r="O123" s="21">
        <f t="shared" ca="1" si="4"/>
        <v>46113</v>
      </c>
      <c r="P123" s="21" t="str">
        <f t="shared" ca="1" si="5"/>
        <v>YES</v>
      </c>
      <c r="Q123" s="23">
        <f>Weekly_Inspections!$AW123</f>
        <v>0</v>
      </c>
    </row>
    <row r="124" spans="1:17" ht="15" customHeight="1" x14ac:dyDescent="0.2">
      <c r="A124" s="21" t="str">
        <f>IF(Weekly_Inspections!$B124="","",Weekly_Inspections!$A124&amp;"-A1")</f>
        <v/>
      </c>
      <c r="B124" s="22">
        <f>Weekly_Inspections!$B124</f>
        <v>0</v>
      </c>
      <c r="C124" s="23">
        <f>Weekly_Inspections!$E124</f>
        <v>0</v>
      </c>
      <c r="D124" s="23">
        <f>Weekly_Inspections!$F124</f>
        <v>0</v>
      </c>
      <c r="E124" s="21" t="str">
        <f>Weekly_Inspections!$H124</f>
        <v/>
      </c>
      <c r="F124" s="23">
        <f>IF(Weekly_Inspections!$AX124&lt;&gt;"",Weekly_Inspections!$AX124,IF(Weekly_Inspections!$AY124&lt;&gt;"",Weekly_Inspections!$AY124,IF(Weekly_Inspections!$AZ124&lt;&gt;"",Weekly_Inspections!$AZ124,IF(Weekly_Inspections!$BA124&lt;&gt;"",Weekly_Inspections!$BA124,IF(Weekly_Inspections!$BB124&lt;&gt;"",Weekly_Inspections!$BB124,Weekly_Inspections!$R124)))))</f>
        <v>0</v>
      </c>
      <c r="G124" s="23" t="str">
        <f>IF(OR(Weekly_Inspections!$AQ124&lt;&gt;"",Weekly_Inspections!$AR124&lt;&gt;"",Weekly_Inspections!$AS124&lt;&gt;""),Weekly_Inspections!$AQ124,"")</f>
        <v/>
      </c>
      <c r="H124" s="23">
        <f>Weekly_Inspections!$AP124</f>
        <v>0</v>
      </c>
      <c r="I124" s="23">
        <f>Weekly_Inspections!$AR124</f>
        <v>0</v>
      </c>
      <c r="J124" s="23">
        <f>Weekly_Inspections!$AS124</f>
        <v>0</v>
      </c>
      <c r="K124" s="23">
        <f>Weekly_Inspections!$AU124</f>
        <v>0</v>
      </c>
      <c r="L124" s="22">
        <f>Weekly_Inspections!$AV124</f>
        <v>0</v>
      </c>
      <c r="M124" s="23" t="str">
        <f t="shared" si="3"/>
        <v>Open</v>
      </c>
      <c r="N124" s="22"/>
      <c r="O124" s="21">
        <f t="shared" ca="1" si="4"/>
        <v>46113</v>
      </c>
      <c r="P124" s="21" t="str">
        <f t="shared" ca="1" si="5"/>
        <v>YES</v>
      </c>
      <c r="Q124" s="23">
        <f>Weekly_Inspections!$AW124</f>
        <v>0</v>
      </c>
    </row>
    <row r="125" spans="1:17" ht="15" customHeight="1" x14ac:dyDescent="0.2">
      <c r="A125" s="21" t="str">
        <f>IF(Weekly_Inspections!$B125="","",Weekly_Inspections!$A125&amp;"-A1")</f>
        <v/>
      </c>
      <c r="B125" s="22">
        <f>Weekly_Inspections!$B125</f>
        <v>0</v>
      </c>
      <c r="C125" s="23">
        <f>Weekly_Inspections!$E125</f>
        <v>0</v>
      </c>
      <c r="D125" s="23">
        <f>Weekly_Inspections!$F125</f>
        <v>0</v>
      </c>
      <c r="E125" s="21" t="str">
        <f>Weekly_Inspections!$H125</f>
        <v/>
      </c>
      <c r="F125" s="23">
        <f>IF(Weekly_Inspections!$AX125&lt;&gt;"",Weekly_Inspections!$AX125,IF(Weekly_Inspections!$AY125&lt;&gt;"",Weekly_Inspections!$AY125,IF(Weekly_Inspections!$AZ125&lt;&gt;"",Weekly_Inspections!$AZ125,IF(Weekly_Inspections!$BA125&lt;&gt;"",Weekly_Inspections!$BA125,IF(Weekly_Inspections!$BB125&lt;&gt;"",Weekly_Inspections!$BB125,Weekly_Inspections!$R125)))))</f>
        <v>0</v>
      </c>
      <c r="G125" s="23" t="str">
        <f>IF(OR(Weekly_Inspections!$AQ125&lt;&gt;"",Weekly_Inspections!$AR125&lt;&gt;"",Weekly_Inspections!$AS125&lt;&gt;""),Weekly_Inspections!$AQ125,"")</f>
        <v/>
      </c>
      <c r="H125" s="23">
        <f>Weekly_Inspections!$AP125</f>
        <v>0</v>
      </c>
      <c r="I125" s="23">
        <f>Weekly_Inspections!$AR125</f>
        <v>0</v>
      </c>
      <c r="J125" s="23">
        <f>Weekly_Inspections!$AS125</f>
        <v>0</v>
      </c>
      <c r="K125" s="23">
        <f>Weekly_Inspections!$AU125</f>
        <v>0</v>
      </c>
      <c r="L125" s="22">
        <f>Weekly_Inspections!$AV125</f>
        <v>0</v>
      </c>
      <c r="M125" s="23" t="str">
        <f t="shared" si="3"/>
        <v>Open</v>
      </c>
      <c r="N125" s="22"/>
      <c r="O125" s="21">
        <f t="shared" ca="1" si="4"/>
        <v>46113</v>
      </c>
      <c r="P125" s="21" t="str">
        <f t="shared" ca="1" si="5"/>
        <v>YES</v>
      </c>
      <c r="Q125" s="23">
        <f>Weekly_Inspections!$AW125</f>
        <v>0</v>
      </c>
    </row>
    <row r="126" spans="1:17" ht="15" customHeight="1" x14ac:dyDescent="0.2">
      <c r="A126" s="21" t="str">
        <f>IF(Weekly_Inspections!$B126="","",Weekly_Inspections!$A126&amp;"-A1")</f>
        <v/>
      </c>
      <c r="B126" s="22">
        <f>Weekly_Inspections!$B126</f>
        <v>0</v>
      </c>
      <c r="C126" s="23">
        <f>Weekly_Inspections!$E126</f>
        <v>0</v>
      </c>
      <c r="D126" s="23">
        <f>Weekly_Inspections!$F126</f>
        <v>0</v>
      </c>
      <c r="E126" s="21" t="str">
        <f>Weekly_Inspections!$H126</f>
        <v/>
      </c>
      <c r="F126" s="23">
        <f>IF(Weekly_Inspections!$AX126&lt;&gt;"",Weekly_Inspections!$AX126,IF(Weekly_Inspections!$AY126&lt;&gt;"",Weekly_Inspections!$AY126,IF(Weekly_Inspections!$AZ126&lt;&gt;"",Weekly_Inspections!$AZ126,IF(Weekly_Inspections!$BA126&lt;&gt;"",Weekly_Inspections!$BA126,IF(Weekly_Inspections!$BB126&lt;&gt;"",Weekly_Inspections!$BB126,Weekly_Inspections!$R126)))))</f>
        <v>0</v>
      </c>
      <c r="G126" s="23" t="str">
        <f>IF(OR(Weekly_Inspections!$AQ126&lt;&gt;"",Weekly_Inspections!$AR126&lt;&gt;"",Weekly_Inspections!$AS126&lt;&gt;""),Weekly_Inspections!$AQ126,"")</f>
        <v/>
      </c>
      <c r="H126" s="23">
        <f>Weekly_Inspections!$AP126</f>
        <v>0</v>
      </c>
      <c r="I126" s="23">
        <f>Weekly_Inspections!$AR126</f>
        <v>0</v>
      </c>
      <c r="J126" s="23">
        <f>Weekly_Inspections!$AS126</f>
        <v>0</v>
      </c>
      <c r="K126" s="23">
        <f>Weekly_Inspections!$AU126</f>
        <v>0</v>
      </c>
      <c r="L126" s="22">
        <f>Weekly_Inspections!$AV126</f>
        <v>0</v>
      </c>
      <c r="M126" s="23" t="str">
        <f t="shared" si="3"/>
        <v>Open</v>
      </c>
      <c r="N126" s="22"/>
      <c r="O126" s="21">
        <f t="shared" ca="1" si="4"/>
        <v>46113</v>
      </c>
      <c r="P126" s="21" t="str">
        <f t="shared" ca="1" si="5"/>
        <v>YES</v>
      </c>
      <c r="Q126" s="23">
        <f>Weekly_Inspections!$AW126</f>
        <v>0</v>
      </c>
    </row>
    <row r="127" spans="1:17" ht="15" customHeight="1" x14ac:dyDescent="0.2">
      <c r="A127" s="21" t="str">
        <f>IF(Weekly_Inspections!$B127="","",Weekly_Inspections!$A127&amp;"-A1")</f>
        <v/>
      </c>
      <c r="B127" s="22">
        <f>Weekly_Inspections!$B127</f>
        <v>0</v>
      </c>
      <c r="C127" s="23">
        <f>Weekly_Inspections!$E127</f>
        <v>0</v>
      </c>
      <c r="D127" s="23">
        <f>Weekly_Inspections!$F127</f>
        <v>0</v>
      </c>
      <c r="E127" s="21" t="str">
        <f>Weekly_Inspections!$H127</f>
        <v/>
      </c>
      <c r="F127" s="23">
        <f>IF(Weekly_Inspections!$AX127&lt;&gt;"",Weekly_Inspections!$AX127,IF(Weekly_Inspections!$AY127&lt;&gt;"",Weekly_Inspections!$AY127,IF(Weekly_Inspections!$AZ127&lt;&gt;"",Weekly_Inspections!$AZ127,IF(Weekly_Inspections!$BA127&lt;&gt;"",Weekly_Inspections!$BA127,IF(Weekly_Inspections!$BB127&lt;&gt;"",Weekly_Inspections!$BB127,Weekly_Inspections!$R127)))))</f>
        <v>0</v>
      </c>
      <c r="G127" s="23" t="str">
        <f>IF(OR(Weekly_Inspections!$AQ127&lt;&gt;"",Weekly_Inspections!$AR127&lt;&gt;"",Weekly_Inspections!$AS127&lt;&gt;""),Weekly_Inspections!$AQ127,"")</f>
        <v/>
      </c>
      <c r="H127" s="23">
        <f>Weekly_Inspections!$AP127</f>
        <v>0</v>
      </c>
      <c r="I127" s="23">
        <f>Weekly_Inspections!$AR127</f>
        <v>0</v>
      </c>
      <c r="J127" s="23">
        <f>Weekly_Inspections!$AS127</f>
        <v>0</v>
      </c>
      <c r="K127" s="23">
        <f>Weekly_Inspections!$AU127</f>
        <v>0</v>
      </c>
      <c r="L127" s="22">
        <f>Weekly_Inspections!$AV127</f>
        <v>0</v>
      </c>
      <c r="M127" s="23" t="str">
        <f t="shared" si="3"/>
        <v>Open</v>
      </c>
      <c r="N127" s="22"/>
      <c r="O127" s="21">
        <f t="shared" ca="1" si="4"/>
        <v>46113</v>
      </c>
      <c r="P127" s="21" t="str">
        <f t="shared" ca="1" si="5"/>
        <v>YES</v>
      </c>
      <c r="Q127" s="23">
        <f>Weekly_Inspections!$AW127</f>
        <v>0</v>
      </c>
    </row>
    <row r="128" spans="1:17" ht="15" customHeight="1" x14ac:dyDescent="0.2">
      <c r="A128" s="21" t="str">
        <f>IF(Weekly_Inspections!$B128="","",Weekly_Inspections!$A128&amp;"-A1")</f>
        <v/>
      </c>
      <c r="B128" s="22">
        <f>Weekly_Inspections!$B128</f>
        <v>0</v>
      </c>
      <c r="C128" s="23">
        <f>Weekly_Inspections!$E128</f>
        <v>0</v>
      </c>
      <c r="D128" s="23">
        <f>Weekly_Inspections!$F128</f>
        <v>0</v>
      </c>
      <c r="E128" s="21" t="str">
        <f>Weekly_Inspections!$H128</f>
        <v/>
      </c>
      <c r="F128" s="23">
        <f>IF(Weekly_Inspections!$AX128&lt;&gt;"",Weekly_Inspections!$AX128,IF(Weekly_Inspections!$AY128&lt;&gt;"",Weekly_Inspections!$AY128,IF(Weekly_Inspections!$AZ128&lt;&gt;"",Weekly_Inspections!$AZ128,IF(Weekly_Inspections!$BA128&lt;&gt;"",Weekly_Inspections!$BA128,IF(Weekly_Inspections!$BB128&lt;&gt;"",Weekly_Inspections!$BB128,Weekly_Inspections!$R128)))))</f>
        <v>0</v>
      </c>
      <c r="G128" s="23" t="str">
        <f>IF(OR(Weekly_Inspections!$AQ128&lt;&gt;"",Weekly_Inspections!$AR128&lt;&gt;"",Weekly_Inspections!$AS128&lt;&gt;""),Weekly_Inspections!$AQ128,"")</f>
        <v/>
      </c>
      <c r="H128" s="23">
        <f>Weekly_Inspections!$AP128</f>
        <v>0</v>
      </c>
      <c r="I128" s="23">
        <f>Weekly_Inspections!$AR128</f>
        <v>0</v>
      </c>
      <c r="J128" s="23">
        <f>Weekly_Inspections!$AS128</f>
        <v>0</v>
      </c>
      <c r="K128" s="23">
        <f>Weekly_Inspections!$AU128</f>
        <v>0</v>
      </c>
      <c r="L128" s="22">
        <f>Weekly_Inspections!$AV128</f>
        <v>0</v>
      </c>
      <c r="M128" s="23" t="str">
        <f t="shared" ref="M128:M191" si="6">IF($B128="","",IF($N128&lt;&gt;"","Closed",IF(OR($G128&lt;&gt;"",$I128&lt;&gt;"",$J128&lt;&gt;""),"Open","")))</f>
        <v>Open</v>
      </c>
      <c r="N128" s="22"/>
      <c r="O128" s="21">
        <f t="shared" ref="O128:O191" ca="1" si="7">IF($B128="","",IF($M128="Closed",IF($N128="","",$N128-$B128),TODAY()-$B128))</f>
        <v>46113</v>
      </c>
      <c r="P128" s="21" t="str">
        <f t="shared" ref="P128:P191" ca="1" si="8">IF(OR($B128="",$L128="",$M128="Closed"),"",IF(TODAY()&gt;$L128,"YES","NO"))</f>
        <v>YES</v>
      </c>
      <c r="Q128" s="23">
        <f>Weekly_Inspections!$AW128</f>
        <v>0</v>
      </c>
    </row>
    <row r="129" spans="1:17" ht="15" customHeight="1" x14ac:dyDescent="0.2">
      <c r="A129" s="21" t="str">
        <f>IF(Weekly_Inspections!$B129="","",Weekly_Inspections!$A129&amp;"-A1")</f>
        <v/>
      </c>
      <c r="B129" s="22">
        <f>Weekly_Inspections!$B129</f>
        <v>0</v>
      </c>
      <c r="C129" s="23">
        <f>Weekly_Inspections!$E129</f>
        <v>0</v>
      </c>
      <c r="D129" s="23">
        <f>Weekly_Inspections!$F129</f>
        <v>0</v>
      </c>
      <c r="E129" s="21" t="str">
        <f>Weekly_Inspections!$H129</f>
        <v/>
      </c>
      <c r="F129" s="23">
        <f>IF(Weekly_Inspections!$AX129&lt;&gt;"",Weekly_Inspections!$AX129,IF(Weekly_Inspections!$AY129&lt;&gt;"",Weekly_Inspections!$AY129,IF(Weekly_Inspections!$AZ129&lt;&gt;"",Weekly_Inspections!$AZ129,IF(Weekly_Inspections!$BA129&lt;&gt;"",Weekly_Inspections!$BA129,IF(Weekly_Inspections!$BB129&lt;&gt;"",Weekly_Inspections!$BB129,Weekly_Inspections!$R129)))))</f>
        <v>0</v>
      </c>
      <c r="G129" s="23" t="str">
        <f>IF(OR(Weekly_Inspections!$AQ129&lt;&gt;"",Weekly_Inspections!$AR129&lt;&gt;"",Weekly_Inspections!$AS129&lt;&gt;""),Weekly_Inspections!$AQ129,"")</f>
        <v/>
      </c>
      <c r="H129" s="23">
        <f>Weekly_Inspections!$AP129</f>
        <v>0</v>
      </c>
      <c r="I129" s="23">
        <f>Weekly_Inspections!$AR129</f>
        <v>0</v>
      </c>
      <c r="J129" s="23">
        <f>Weekly_Inspections!$AS129</f>
        <v>0</v>
      </c>
      <c r="K129" s="23">
        <f>Weekly_Inspections!$AU129</f>
        <v>0</v>
      </c>
      <c r="L129" s="22">
        <f>Weekly_Inspections!$AV129</f>
        <v>0</v>
      </c>
      <c r="M129" s="23" t="str">
        <f t="shared" si="6"/>
        <v>Open</v>
      </c>
      <c r="N129" s="22"/>
      <c r="O129" s="21">
        <f t="shared" ca="1" si="7"/>
        <v>46113</v>
      </c>
      <c r="P129" s="21" t="str">
        <f t="shared" ca="1" si="8"/>
        <v>YES</v>
      </c>
      <c r="Q129" s="23">
        <f>Weekly_Inspections!$AW129</f>
        <v>0</v>
      </c>
    </row>
    <row r="130" spans="1:17" ht="15" customHeight="1" x14ac:dyDescent="0.2">
      <c r="A130" s="21" t="str">
        <f>IF(Weekly_Inspections!$B130="","",Weekly_Inspections!$A130&amp;"-A1")</f>
        <v/>
      </c>
      <c r="B130" s="22">
        <f>Weekly_Inspections!$B130</f>
        <v>0</v>
      </c>
      <c r="C130" s="23">
        <f>Weekly_Inspections!$E130</f>
        <v>0</v>
      </c>
      <c r="D130" s="23">
        <f>Weekly_Inspections!$F130</f>
        <v>0</v>
      </c>
      <c r="E130" s="21" t="str">
        <f>Weekly_Inspections!$H130</f>
        <v/>
      </c>
      <c r="F130" s="23">
        <f>IF(Weekly_Inspections!$AX130&lt;&gt;"",Weekly_Inspections!$AX130,IF(Weekly_Inspections!$AY130&lt;&gt;"",Weekly_Inspections!$AY130,IF(Weekly_Inspections!$AZ130&lt;&gt;"",Weekly_Inspections!$AZ130,IF(Weekly_Inspections!$BA130&lt;&gt;"",Weekly_Inspections!$BA130,IF(Weekly_Inspections!$BB130&lt;&gt;"",Weekly_Inspections!$BB130,Weekly_Inspections!$R130)))))</f>
        <v>0</v>
      </c>
      <c r="G130" s="23" t="str">
        <f>IF(OR(Weekly_Inspections!$AQ130&lt;&gt;"",Weekly_Inspections!$AR130&lt;&gt;"",Weekly_Inspections!$AS130&lt;&gt;""),Weekly_Inspections!$AQ130,"")</f>
        <v/>
      </c>
      <c r="H130" s="23">
        <f>Weekly_Inspections!$AP130</f>
        <v>0</v>
      </c>
      <c r="I130" s="23">
        <f>Weekly_Inspections!$AR130</f>
        <v>0</v>
      </c>
      <c r="J130" s="23">
        <f>Weekly_Inspections!$AS130</f>
        <v>0</v>
      </c>
      <c r="K130" s="23">
        <f>Weekly_Inspections!$AU130</f>
        <v>0</v>
      </c>
      <c r="L130" s="22">
        <f>Weekly_Inspections!$AV130</f>
        <v>0</v>
      </c>
      <c r="M130" s="23" t="str">
        <f t="shared" si="6"/>
        <v>Open</v>
      </c>
      <c r="N130" s="22"/>
      <c r="O130" s="21">
        <f t="shared" ca="1" si="7"/>
        <v>46113</v>
      </c>
      <c r="P130" s="21" t="str">
        <f t="shared" ca="1" si="8"/>
        <v>YES</v>
      </c>
      <c r="Q130" s="23">
        <f>Weekly_Inspections!$AW130</f>
        <v>0</v>
      </c>
    </row>
    <row r="131" spans="1:17" ht="15" customHeight="1" x14ac:dyDescent="0.2">
      <c r="A131" s="21" t="str">
        <f>IF(Weekly_Inspections!$B131="","",Weekly_Inspections!$A131&amp;"-A1")</f>
        <v/>
      </c>
      <c r="B131" s="22">
        <f>Weekly_Inspections!$B131</f>
        <v>0</v>
      </c>
      <c r="C131" s="23">
        <f>Weekly_Inspections!$E131</f>
        <v>0</v>
      </c>
      <c r="D131" s="23">
        <f>Weekly_Inspections!$F131</f>
        <v>0</v>
      </c>
      <c r="E131" s="21" t="str">
        <f>Weekly_Inspections!$H131</f>
        <v/>
      </c>
      <c r="F131" s="23">
        <f>IF(Weekly_Inspections!$AX131&lt;&gt;"",Weekly_Inspections!$AX131,IF(Weekly_Inspections!$AY131&lt;&gt;"",Weekly_Inspections!$AY131,IF(Weekly_Inspections!$AZ131&lt;&gt;"",Weekly_Inspections!$AZ131,IF(Weekly_Inspections!$BA131&lt;&gt;"",Weekly_Inspections!$BA131,IF(Weekly_Inspections!$BB131&lt;&gt;"",Weekly_Inspections!$BB131,Weekly_Inspections!$R131)))))</f>
        <v>0</v>
      </c>
      <c r="G131" s="23" t="str">
        <f>IF(OR(Weekly_Inspections!$AQ131&lt;&gt;"",Weekly_Inspections!$AR131&lt;&gt;"",Weekly_Inspections!$AS131&lt;&gt;""),Weekly_Inspections!$AQ131,"")</f>
        <v/>
      </c>
      <c r="H131" s="23">
        <f>Weekly_Inspections!$AP131</f>
        <v>0</v>
      </c>
      <c r="I131" s="23">
        <f>Weekly_Inspections!$AR131</f>
        <v>0</v>
      </c>
      <c r="J131" s="23">
        <f>Weekly_Inspections!$AS131</f>
        <v>0</v>
      </c>
      <c r="K131" s="23">
        <f>Weekly_Inspections!$AU131</f>
        <v>0</v>
      </c>
      <c r="L131" s="22">
        <f>Weekly_Inspections!$AV131</f>
        <v>0</v>
      </c>
      <c r="M131" s="23" t="str">
        <f t="shared" si="6"/>
        <v>Open</v>
      </c>
      <c r="N131" s="22"/>
      <c r="O131" s="21">
        <f t="shared" ca="1" si="7"/>
        <v>46113</v>
      </c>
      <c r="P131" s="21" t="str">
        <f t="shared" ca="1" si="8"/>
        <v>YES</v>
      </c>
      <c r="Q131" s="23">
        <f>Weekly_Inspections!$AW131</f>
        <v>0</v>
      </c>
    </row>
    <row r="132" spans="1:17" ht="15" customHeight="1" x14ac:dyDescent="0.2">
      <c r="A132" s="21" t="str">
        <f>IF(Weekly_Inspections!$B132="","",Weekly_Inspections!$A132&amp;"-A1")</f>
        <v/>
      </c>
      <c r="B132" s="22">
        <f>Weekly_Inspections!$B132</f>
        <v>0</v>
      </c>
      <c r="C132" s="23">
        <f>Weekly_Inspections!$E132</f>
        <v>0</v>
      </c>
      <c r="D132" s="23">
        <f>Weekly_Inspections!$F132</f>
        <v>0</v>
      </c>
      <c r="E132" s="21" t="str">
        <f>Weekly_Inspections!$H132</f>
        <v/>
      </c>
      <c r="F132" s="23">
        <f>IF(Weekly_Inspections!$AX132&lt;&gt;"",Weekly_Inspections!$AX132,IF(Weekly_Inspections!$AY132&lt;&gt;"",Weekly_Inspections!$AY132,IF(Weekly_Inspections!$AZ132&lt;&gt;"",Weekly_Inspections!$AZ132,IF(Weekly_Inspections!$BA132&lt;&gt;"",Weekly_Inspections!$BA132,IF(Weekly_Inspections!$BB132&lt;&gt;"",Weekly_Inspections!$BB132,Weekly_Inspections!$R132)))))</f>
        <v>0</v>
      </c>
      <c r="G132" s="23" t="str">
        <f>IF(OR(Weekly_Inspections!$AQ132&lt;&gt;"",Weekly_Inspections!$AR132&lt;&gt;"",Weekly_Inspections!$AS132&lt;&gt;""),Weekly_Inspections!$AQ132,"")</f>
        <v/>
      </c>
      <c r="H132" s="23">
        <f>Weekly_Inspections!$AP132</f>
        <v>0</v>
      </c>
      <c r="I132" s="23">
        <f>Weekly_Inspections!$AR132</f>
        <v>0</v>
      </c>
      <c r="J132" s="23">
        <f>Weekly_Inspections!$AS132</f>
        <v>0</v>
      </c>
      <c r="K132" s="23">
        <f>Weekly_Inspections!$AU132</f>
        <v>0</v>
      </c>
      <c r="L132" s="22">
        <f>Weekly_Inspections!$AV132</f>
        <v>0</v>
      </c>
      <c r="M132" s="23" t="str">
        <f t="shared" si="6"/>
        <v>Open</v>
      </c>
      <c r="N132" s="22"/>
      <c r="O132" s="21">
        <f t="shared" ca="1" si="7"/>
        <v>46113</v>
      </c>
      <c r="P132" s="21" t="str">
        <f t="shared" ca="1" si="8"/>
        <v>YES</v>
      </c>
      <c r="Q132" s="23">
        <f>Weekly_Inspections!$AW132</f>
        <v>0</v>
      </c>
    </row>
    <row r="133" spans="1:17" ht="15" customHeight="1" x14ac:dyDescent="0.2">
      <c r="A133" s="21" t="str">
        <f>IF(Weekly_Inspections!$B133="","",Weekly_Inspections!$A133&amp;"-A1")</f>
        <v/>
      </c>
      <c r="B133" s="22">
        <f>Weekly_Inspections!$B133</f>
        <v>0</v>
      </c>
      <c r="C133" s="23">
        <f>Weekly_Inspections!$E133</f>
        <v>0</v>
      </c>
      <c r="D133" s="23">
        <f>Weekly_Inspections!$F133</f>
        <v>0</v>
      </c>
      <c r="E133" s="21" t="str">
        <f>Weekly_Inspections!$H133</f>
        <v/>
      </c>
      <c r="F133" s="23">
        <f>IF(Weekly_Inspections!$AX133&lt;&gt;"",Weekly_Inspections!$AX133,IF(Weekly_Inspections!$AY133&lt;&gt;"",Weekly_Inspections!$AY133,IF(Weekly_Inspections!$AZ133&lt;&gt;"",Weekly_Inspections!$AZ133,IF(Weekly_Inspections!$BA133&lt;&gt;"",Weekly_Inspections!$BA133,IF(Weekly_Inspections!$BB133&lt;&gt;"",Weekly_Inspections!$BB133,Weekly_Inspections!$R133)))))</f>
        <v>0</v>
      </c>
      <c r="G133" s="23" t="str">
        <f>IF(OR(Weekly_Inspections!$AQ133&lt;&gt;"",Weekly_Inspections!$AR133&lt;&gt;"",Weekly_Inspections!$AS133&lt;&gt;""),Weekly_Inspections!$AQ133,"")</f>
        <v/>
      </c>
      <c r="H133" s="23">
        <f>Weekly_Inspections!$AP133</f>
        <v>0</v>
      </c>
      <c r="I133" s="23">
        <f>Weekly_Inspections!$AR133</f>
        <v>0</v>
      </c>
      <c r="J133" s="23">
        <f>Weekly_Inspections!$AS133</f>
        <v>0</v>
      </c>
      <c r="K133" s="23">
        <f>Weekly_Inspections!$AU133</f>
        <v>0</v>
      </c>
      <c r="L133" s="22">
        <f>Weekly_Inspections!$AV133</f>
        <v>0</v>
      </c>
      <c r="M133" s="23" t="str">
        <f t="shared" si="6"/>
        <v>Open</v>
      </c>
      <c r="N133" s="22"/>
      <c r="O133" s="21">
        <f t="shared" ca="1" si="7"/>
        <v>46113</v>
      </c>
      <c r="P133" s="21" t="str">
        <f t="shared" ca="1" si="8"/>
        <v>YES</v>
      </c>
      <c r="Q133" s="23">
        <f>Weekly_Inspections!$AW133</f>
        <v>0</v>
      </c>
    </row>
    <row r="134" spans="1:17" ht="15" customHeight="1" x14ac:dyDescent="0.2">
      <c r="A134" s="21" t="str">
        <f>IF(Weekly_Inspections!$B134="","",Weekly_Inspections!$A134&amp;"-A1")</f>
        <v/>
      </c>
      <c r="B134" s="22">
        <f>Weekly_Inspections!$B134</f>
        <v>0</v>
      </c>
      <c r="C134" s="23">
        <f>Weekly_Inspections!$E134</f>
        <v>0</v>
      </c>
      <c r="D134" s="23">
        <f>Weekly_Inspections!$F134</f>
        <v>0</v>
      </c>
      <c r="E134" s="21" t="str">
        <f>Weekly_Inspections!$H134</f>
        <v/>
      </c>
      <c r="F134" s="23">
        <f>IF(Weekly_Inspections!$AX134&lt;&gt;"",Weekly_Inspections!$AX134,IF(Weekly_Inspections!$AY134&lt;&gt;"",Weekly_Inspections!$AY134,IF(Weekly_Inspections!$AZ134&lt;&gt;"",Weekly_Inspections!$AZ134,IF(Weekly_Inspections!$BA134&lt;&gt;"",Weekly_Inspections!$BA134,IF(Weekly_Inspections!$BB134&lt;&gt;"",Weekly_Inspections!$BB134,Weekly_Inspections!$R134)))))</f>
        <v>0</v>
      </c>
      <c r="G134" s="23" t="str">
        <f>IF(OR(Weekly_Inspections!$AQ134&lt;&gt;"",Weekly_Inspections!$AR134&lt;&gt;"",Weekly_Inspections!$AS134&lt;&gt;""),Weekly_Inspections!$AQ134,"")</f>
        <v/>
      </c>
      <c r="H134" s="23">
        <f>Weekly_Inspections!$AP134</f>
        <v>0</v>
      </c>
      <c r="I134" s="23">
        <f>Weekly_Inspections!$AR134</f>
        <v>0</v>
      </c>
      <c r="J134" s="23">
        <f>Weekly_Inspections!$AS134</f>
        <v>0</v>
      </c>
      <c r="K134" s="23">
        <f>Weekly_Inspections!$AU134</f>
        <v>0</v>
      </c>
      <c r="L134" s="22">
        <f>Weekly_Inspections!$AV134</f>
        <v>0</v>
      </c>
      <c r="M134" s="23" t="str">
        <f t="shared" si="6"/>
        <v>Open</v>
      </c>
      <c r="N134" s="22"/>
      <c r="O134" s="21">
        <f t="shared" ca="1" si="7"/>
        <v>46113</v>
      </c>
      <c r="P134" s="21" t="str">
        <f t="shared" ca="1" si="8"/>
        <v>YES</v>
      </c>
      <c r="Q134" s="23">
        <f>Weekly_Inspections!$AW134</f>
        <v>0</v>
      </c>
    </row>
    <row r="135" spans="1:17" ht="15" customHeight="1" x14ac:dyDescent="0.2">
      <c r="A135" s="21" t="str">
        <f>IF(Weekly_Inspections!$B135="","",Weekly_Inspections!$A135&amp;"-A1")</f>
        <v/>
      </c>
      <c r="B135" s="22">
        <f>Weekly_Inspections!$B135</f>
        <v>0</v>
      </c>
      <c r="C135" s="23">
        <f>Weekly_Inspections!$E135</f>
        <v>0</v>
      </c>
      <c r="D135" s="23">
        <f>Weekly_Inspections!$F135</f>
        <v>0</v>
      </c>
      <c r="E135" s="21" t="str">
        <f>Weekly_Inspections!$H135</f>
        <v/>
      </c>
      <c r="F135" s="23">
        <f>IF(Weekly_Inspections!$AX135&lt;&gt;"",Weekly_Inspections!$AX135,IF(Weekly_Inspections!$AY135&lt;&gt;"",Weekly_Inspections!$AY135,IF(Weekly_Inspections!$AZ135&lt;&gt;"",Weekly_Inspections!$AZ135,IF(Weekly_Inspections!$BA135&lt;&gt;"",Weekly_Inspections!$BA135,IF(Weekly_Inspections!$BB135&lt;&gt;"",Weekly_Inspections!$BB135,Weekly_Inspections!$R135)))))</f>
        <v>0</v>
      </c>
      <c r="G135" s="23" t="str">
        <f>IF(OR(Weekly_Inspections!$AQ135&lt;&gt;"",Weekly_Inspections!$AR135&lt;&gt;"",Weekly_Inspections!$AS135&lt;&gt;""),Weekly_Inspections!$AQ135,"")</f>
        <v/>
      </c>
      <c r="H135" s="23">
        <f>Weekly_Inspections!$AP135</f>
        <v>0</v>
      </c>
      <c r="I135" s="23">
        <f>Weekly_Inspections!$AR135</f>
        <v>0</v>
      </c>
      <c r="J135" s="23">
        <f>Weekly_Inspections!$AS135</f>
        <v>0</v>
      </c>
      <c r="K135" s="23">
        <f>Weekly_Inspections!$AU135</f>
        <v>0</v>
      </c>
      <c r="L135" s="22">
        <f>Weekly_Inspections!$AV135</f>
        <v>0</v>
      </c>
      <c r="M135" s="23" t="str">
        <f t="shared" si="6"/>
        <v>Open</v>
      </c>
      <c r="N135" s="22"/>
      <c r="O135" s="21">
        <f t="shared" ca="1" si="7"/>
        <v>46113</v>
      </c>
      <c r="P135" s="21" t="str">
        <f t="shared" ca="1" si="8"/>
        <v>YES</v>
      </c>
      <c r="Q135" s="23">
        <f>Weekly_Inspections!$AW135</f>
        <v>0</v>
      </c>
    </row>
    <row r="136" spans="1:17" ht="15" customHeight="1" x14ac:dyDescent="0.2">
      <c r="A136" s="21" t="str">
        <f>IF(Weekly_Inspections!$B136="","",Weekly_Inspections!$A136&amp;"-A1")</f>
        <v/>
      </c>
      <c r="B136" s="22">
        <f>Weekly_Inspections!$B136</f>
        <v>0</v>
      </c>
      <c r="C136" s="23">
        <f>Weekly_Inspections!$E136</f>
        <v>0</v>
      </c>
      <c r="D136" s="23">
        <f>Weekly_Inspections!$F136</f>
        <v>0</v>
      </c>
      <c r="E136" s="21" t="str">
        <f>Weekly_Inspections!$H136</f>
        <v/>
      </c>
      <c r="F136" s="23">
        <f>IF(Weekly_Inspections!$AX136&lt;&gt;"",Weekly_Inspections!$AX136,IF(Weekly_Inspections!$AY136&lt;&gt;"",Weekly_Inspections!$AY136,IF(Weekly_Inspections!$AZ136&lt;&gt;"",Weekly_Inspections!$AZ136,IF(Weekly_Inspections!$BA136&lt;&gt;"",Weekly_Inspections!$BA136,IF(Weekly_Inspections!$BB136&lt;&gt;"",Weekly_Inspections!$BB136,Weekly_Inspections!$R136)))))</f>
        <v>0</v>
      </c>
      <c r="G136" s="23" t="str">
        <f>IF(OR(Weekly_Inspections!$AQ136&lt;&gt;"",Weekly_Inspections!$AR136&lt;&gt;"",Weekly_Inspections!$AS136&lt;&gt;""),Weekly_Inspections!$AQ136,"")</f>
        <v/>
      </c>
      <c r="H136" s="23">
        <f>Weekly_Inspections!$AP136</f>
        <v>0</v>
      </c>
      <c r="I136" s="23">
        <f>Weekly_Inspections!$AR136</f>
        <v>0</v>
      </c>
      <c r="J136" s="23">
        <f>Weekly_Inspections!$AS136</f>
        <v>0</v>
      </c>
      <c r="K136" s="23">
        <f>Weekly_Inspections!$AU136</f>
        <v>0</v>
      </c>
      <c r="L136" s="22">
        <f>Weekly_Inspections!$AV136</f>
        <v>0</v>
      </c>
      <c r="M136" s="23" t="str">
        <f t="shared" si="6"/>
        <v>Open</v>
      </c>
      <c r="N136" s="22"/>
      <c r="O136" s="21">
        <f t="shared" ca="1" si="7"/>
        <v>46113</v>
      </c>
      <c r="P136" s="21" t="str">
        <f t="shared" ca="1" si="8"/>
        <v>YES</v>
      </c>
      <c r="Q136" s="23">
        <f>Weekly_Inspections!$AW136</f>
        <v>0</v>
      </c>
    </row>
    <row r="137" spans="1:17" ht="15" customHeight="1" x14ac:dyDescent="0.2">
      <c r="A137" s="21" t="str">
        <f>IF(Weekly_Inspections!$B137="","",Weekly_Inspections!$A137&amp;"-A1")</f>
        <v/>
      </c>
      <c r="B137" s="22">
        <f>Weekly_Inspections!$B137</f>
        <v>0</v>
      </c>
      <c r="C137" s="23">
        <f>Weekly_Inspections!$E137</f>
        <v>0</v>
      </c>
      <c r="D137" s="23">
        <f>Weekly_Inspections!$F137</f>
        <v>0</v>
      </c>
      <c r="E137" s="21" t="str">
        <f>Weekly_Inspections!$H137</f>
        <v/>
      </c>
      <c r="F137" s="23">
        <f>IF(Weekly_Inspections!$AX137&lt;&gt;"",Weekly_Inspections!$AX137,IF(Weekly_Inspections!$AY137&lt;&gt;"",Weekly_Inspections!$AY137,IF(Weekly_Inspections!$AZ137&lt;&gt;"",Weekly_Inspections!$AZ137,IF(Weekly_Inspections!$BA137&lt;&gt;"",Weekly_Inspections!$BA137,IF(Weekly_Inspections!$BB137&lt;&gt;"",Weekly_Inspections!$BB137,Weekly_Inspections!$R137)))))</f>
        <v>0</v>
      </c>
      <c r="G137" s="23" t="str">
        <f>IF(OR(Weekly_Inspections!$AQ137&lt;&gt;"",Weekly_Inspections!$AR137&lt;&gt;"",Weekly_Inspections!$AS137&lt;&gt;""),Weekly_Inspections!$AQ137,"")</f>
        <v/>
      </c>
      <c r="H137" s="23">
        <f>Weekly_Inspections!$AP137</f>
        <v>0</v>
      </c>
      <c r="I137" s="23">
        <f>Weekly_Inspections!$AR137</f>
        <v>0</v>
      </c>
      <c r="J137" s="23">
        <f>Weekly_Inspections!$AS137</f>
        <v>0</v>
      </c>
      <c r="K137" s="23">
        <f>Weekly_Inspections!$AU137</f>
        <v>0</v>
      </c>
      <c r="L137" s="22">
        <f>Weekly_Inspections!$AV137</f>
        <v>0</v>
      </c>
      <c r="M137" s="23" t="str">
        <f t="shared" si="6"/>
        <v>Open</v>
      </c>
      <c r="N137" s="22"/>
      <c r="O137" s="21">
        <f t="shared" ca="1" si="7"/>
        <v>46113</v>
      </c>
      <c r="P137" s="21" t="str">
        <f t="shared" ca="1" si="8"/>
        <v>YES</v>
      </c>
      <c r="Q137" s="23">
        <f>Weekly_Inspections!$AW137</f>
        <v>0</v>
      </c>
    </row>
    <row r="138" spans="1:17" ht="15" customHeight="1" x14ac:dyDescent="0.2">
      <c r="A138" s="21" t="str">
        <f>IF(Weekly_Inspections!$B138="","",Weekly_Inspections!$A138&amp;"-A1")</f>
        <v/>
      </c>
      <c r="B138" s="22">
        <f>Weekly_Inspections!$B138</f>
        <v>0</v>
      </c>
      <c r="C138" s="23">
        <f>Weekly_Inspections!$E138</f>
        <v>0</v>
      </c>
      <c r="D138" s="23">
        <f>Weekly_Inspections!$F138</f>
        <v>0</v>
      </c>
      <c r="E138" s="21" t="str">
        <f>Weekly_Inspections!$H138</f>
        <v/>
      </c>
      <c r="F138" s="23">
        <f>IF(Weekly_Inspections!$AX138&lt;&gt;"",Weekly_Inspections!$AX138,IF(Weekly_Inspections!$AY138&lt;&gt;"",Weekly_Inspections!$AY138,IF(Weekly_Inspections!$AZ138&lt;&gt;"",Weekly_Inspections!$AZ138,IF(Weekly_Inspections!$BA138&lt;&gt;"",Weekly_Inspections!$BA138,IF(Weekly_Inspections!$BB138&lt;&gt;"",Weekly_Inspections!$BB138,Weekly_Inspections!$R138)))))</f>
        <v>0</v>
      </c>
      <c r="G138" s="23" t="str">
        <f>IF(OR(Weekly_Inspections!$AQ138&lt;&gt;"",Weekly_Inspections!$AR138&lt;&gt;"",Weekly_Inspections!$AS138&lt;&gt;""),Weekly_Inspections!$AQ138,"")</f>
        <v/>
      </c>
      <c r="H138" s="23">
        <f>Weekly_Inspections!$AP138</f>
        <v>0</v>
      </c>
      <c r="I138" s="23">
        <f>Weekly_Inspections!$AR138</f>
        <v>0</v>
      </c>
      <c r="J138" s="23">
        <f>Weekly_Inspections!$AS138</f>
        <v>0</v>
      </c>
      <c r="K138" s="23">
        <f>Weekly_Inspections!$AU138</f>
        <v>0</v>
      </c>
      <c r="L138" s="22">
        <f>Weekly_Inspections!$AV138</f>
        <v>0</v>
      </c>
      <c r="M138" s="23" t="str">
        <f t="shared" si="6"/>
        <v>Open</v>
      </c>
      <c r="N138" s="22"/>
      <c r="O138" s="21">
        <f t="shared" ca="1" si="7"/>
        <v>46113</v>
      </c>
      <c r="P138" s="21" t="str">
        <f t="shared" ca="1" si="8"/>
        <v>YES</v>
      </c>
      <c r="Q138" s="23">
        <f>Weekly_Inspections!$AW138</f>
        <v>0</v>
      </c>
    </row>
    <row r="139" spans="1:17" ht="15" customHeight="1" x14ac:dyDescent="0.2">
      <c r="A139" s="21" t="str">
        <f>IF(Weekly_Inspections!$B139="","",Weekly_Inspections!$A139&amp;"-A1")</f>
        <v/>
      </c>
      <c r="B139" s="22">
        <f>Weekly_Inspections!$B139</f>
        <v>0</v>
      </c>
      <c r="C139" s="23">
        <f>Weekly_Inspections!$E139</f>
        <v>0</v>
      </c>
      <c r="D139" s="23">
        <f>Weekly_Inspections!$F139</f>
        <v>0</v>
      </c>
      <c r="E139" s="21" t="str">
        <f>Weekly_Inspections!$H139</f>
        <v/>
      </c>
      <c r="F139" s="23">
        <f>IF(Weekly_Inspections!$AX139&lt;&gt;"",Weekly_Inspections!$AX139,IF(Weekly_Inspections!$AY139&lt;&gt;"",Weekly_Inspections!$AY139,IF(Weekly_Inspections!$AZ139&lt;&gt;"",Weekly_Inspections!$AZ139,IF(Weekly_Inspections!$BA139&lt;&gt;"",Weekly_Inspections!$BA139,IF(Weekly_Inspections!$BB139&lt;&gt;"",Weekly_Inspections!$BB139,Weekly_Inspections!$R139)))))</f>
        <v>0</v>
      </c>
      <c r="G139" s="23" t="str">
        <f>IF(OR(Weekly_Inspections!$AQ139&lt;&gt;"",Weekly_Inspections!$AR139&lt;&gt;"",Weekly_Inspections!$AS139&lt;&gt;""),Weekly_Inspections!$AQ139,"")</f>
        <v/>
      </c>
      <c r="H139" s="23">
        <f>Weekly_Inspections!$AP139</f>
        <v>0</v>
      </c>
      <c r="I139" s="23">
        <f>Weekly_Inspections!$AR139</f>
        <v>0</v>
      </c>
      <c r="J139" s="23">
        <f>Weekly_Inspections!$AS139</f>
        <v>0</v>
      </c>
      <c r="K139" s="23">
        <f>Weekly_Inspections!$AU139</f>
        <v>0</v>
      </c>
      <c r="L139" s="22">
        <f>Weekly_Inspections!$AV139</f>
        <v>0</v>
      </c>
      <c r="M139" s="23" t="str">
        <f t="shared" si="6"/>
        <v>Open</v>
      </c>
      <c r="N139" s="22"/>
      <c r="O139" s="21">
        <f t="shared" ca="1" si="7"/>
        <v>46113</v>
      </c>
      <c r="P139" s="21" t="str">
        <f t="shared" ca="1" si="8"/>
        <v>YES</v>
      </c>
      <c r="Q139" s="23">
        <f>Weekly_Inspections!$AW139</f>
        <v>0</v>
      </c>
    </row>
    <row r="140" spans="1:17" ht="15" customHeight="1" x14ac:dyDescent="0.2">
      <c r="A140" s="21" t="str">
        <f>IF(Weekly_Inspections!$B140="","",Weekly_Inspections!$A140&amp;"-A1")</f>
        <v/>
      </c>
      <c r="B140" s="22">
        <f>Weekly_Inspections!$B140</f>
        <v>0</v>
      </c>
      <c r="C140" s="23">
        <f>Weekly_Inspections!$E140</f>
        <v>0</v>
      </c>
      <c r="D140" s="23">
        <f>Weekly_Inspections!$F140</f>
        <v>0</v>
      </c>
      <c r="E140" s="21" t="str">
        <f>Weekly_Inspections!$H140</f>
        <v/>
      </c>
      <c r="F140" s="23">
        <f>IF(Weekly_Inspections!$AX140&lt;&gt;"",Weekly_Inspections!$AX140,IF(Weekly_Inspections!$AY140&lt;&gt;"",Weekly_Inspections!$AY140,IF(Weekly_Inspections!$AZ140&lt;&gt;"",Weekly_Inspections!$AZ140,IF(Weekly_Inspections!$BA140&lt;&gt;"",Weekly_Inspections!$BA140,IF(Weekly_Inspections!$BB140&lt;&gt;"",Weekly_Inspections!$BB140,Weekly_Inspections!$R140)))))</f>
        <v>0</v>
      </c>
      <c r="G140" s="23" t="str">
        <f>IF(OR(Weekly_Inspections!$AQ140&lt;&gt;"",Weekly_Inspections!$AR140&lt;&gt;"",Weekly_Inspections!$AS140&lt;&gt;""),Weekly_Inspections!$AQ140,"")</f>
        <v/>
      </c>
      <c r="H140" s="23">
        <f>Weekly_Inspections!$AP140</f>
        <v>0</v>
      </c>
      <c r="I140" s="23">
        <f>Weekly_Inspections!$AR140</f>
        <v>0</v>
      </c>
      <c r="J140" s="23">
        <f>Weekly_Inspections!$AS140</f>
        <v>0</v>
      </c>
      <c r="K140" s="23">
        <f>Weekly_Inspections!$AU140</f>
        <v>0</v>
      </c>
      <c r="L140" s="22">
        <f>Weekly_Inspections!$AV140</f>
        <v>0</v>
      </c>
      <c r="M140" s="23" t="str">
        <f t="shared" si="6"/>
        <v>Open</v>
      </c>
      <c r="N140" s="22"/>
      <c r="O140" s="21">
        <f t="shared" ca="1" si="7"/>
        <v>46113</v>
      </c>
      <c r="P140" s="21" t="str">
        <f t="shared" ca="1" si="8"/>
        <v>YES</v>
      </c>
      <c r="Q140" s="23">
        <f>Weekly_Inspections!$AW140</f>
        <v>0</v>
      </c>
    </row>
    <row r="141" spans="1:17" ht="15" customHeight="1" x14ac:dyDescent="0.2">
      <c r="A141" s="21" t="str">
        <f>IF(Weekly_Inspections!$B141="","",Weekly_Inspections!$A141&amp;"-A1")</f>
        <v/>
      </c>
      <c r="B141" s="22">
        <f>Weekly_Inspections!$B141</f>
        <v>0</v>
      </c>
      <c r="C141" s="23">
        <f>Weekly_Inspections!$E141</f>
        <v>0</v>
      </c>
      <c r="D141" s="23">
        <f>Weekly_Inspections!$F141</f>
        <v>0</v>
      </c>
      <c r="E141" s="21" t="str">
        <f>Weekly_Inspections!$H141</f>
        <v/>
      </c>
      <c r="F141" s="23">
        <f>IF(Weekly_Inspections!$AX141&lt;&gt;"",Weekly_Inspections!$AX141,IF(Weekly_Inspections!$AY141&lt;&gt;"",Weekly_Inspections!$AY141,IF(Weekly_Inspections!$AZ141&lt;&gt;"",Weekly_Inspections!$AZ141,IF(Weekly_Inspections!$BA141&lt;&gt;"",Weekly_Inspections!$BA141,IF(Weekly_Inspections!$BB141&lt;&gt;"",Weekly_Inspections!$BB141,Weekly_Inspections!$R141)))))</f>
        <v>0</v>
      </c>
      <c r="G141" s="23" t="str">
        <f>IF(OR(Weekly_Inspections!$AQ141&lt;&gt;"",Weekly_Inspections!$AR141&lt;&gt;"",Weekly_Inspections!$AS141&lt;&gt;""),Weekly_Inspections!$AQ141,"")</f>
        <v/>
      </c>
      <c r="H141" s="23">
        <f>Weekly_Inspections!$AP141</f>
        <v>0</v>
      </c>
      <c r="I141" s="23">
        <f>Weekly_Inspections!$AR141</f>
        <v>0</v>
      </c>
      <c r="J141" s="23">
        <f>Weekly_Inspections!$AS141</f>
        <v>0</v>
      </c>
      <c r="K141" s="23">
        <f>Weekly_Inspections!$AU141</f>
        <v>0</v>
      </c>
      <c r="L141" s="22">
        <f>Weekly_Inspections!$AV141</f>
        <v>0</v>
      </c>
      <c r="M141" s="23" t="str">
        <f t="shared" si="6"/>
        <v>Open</v>
      </c>
      <c r="N141" s="22"/>
      <c r="O141" s="21">
        <f t="shared" ca="1" si="7"/>
        <v>46113</v>
      </c>
      <c r="P141" s="21" t="str">
        <f t="shared" ca="1" si="8"/>
        <v>YES</v>
      </c>
      <c r="Q141" s="23">
        <f>Weekly_Inspections!$AW141</f>
        <v>0</v>
      </c>
    </row>
    <row r="142" spans="1:17" ht="15" customHeight="1" x14ac:dyDescent="0.2">
      <c r="A142" s="21" t="str">
        <f>IF(Weekly_Inspections!$B142="","",Weekly_Inspections!$A142&amp;"-A1")</f>
        <v/>
      </c>
      <c r="B142" s="22">
        <f>Weekly_Inspections!$B142</f>
        <v>0</v>
      </c>
      <c r="C142" s="23">
        <f>Weekly_Inspections!$E142</f>
        <v>0</v>
      </c>
      <c r="D142" s="23">
        <f>Weekly_Inspections!$F142</f>
        <v>0</v>
      </c>
      <c r="E142" s="21" t="str">
        <f>Weekly_Inspections!$H142</f>
        <v/>
      </c>
      <c r="F142" s="23">
        <f>IF(Weekly_Inspections!$AX142&lt;&gt;"",Weekly_Inspections!$AX142,IF(Weekly_Inspections!$AY142&lt;&gt;"",Weekly_Inspections!$AY142,IF(Weekly_Inspections!$AZ142&lt;&gt;"",Weekly_Inspections!$AZ142,IF(Weekly_Inspections!$BA142&lt;&gt;"",Weekly_Inspections!$BA142,IF(Weekly_Inspections!$BB142&lt;&gt;"",Weekly_Inspections!$BB142,Weekly_Inspections!$R142)))))</f>
        <v>0</v>
      </c>
      <c r="G142" s="23" t="str">
        <f>IF(OR(Weekly_Inspections!$AQ142&lt;&gt;"",Weekly_Inspections!$AR142&lt;&gt;"",Weekly_Inspections!$AS142&lt;&gt;""),Weekly_Inspections!$AQ142,"")</f>
        <v/>
      </c>
      <c r="H142" s="23">
        <f>Weekly_Inspections!$AP142</f>
        <v>0</v>
      </c>
      <c r="I142" s="23">
        <f>Weekly_Inspections!$AR142</f>
        <v>0</v>
      </c>
      <c r="J142" s="23">
        <f>Weekly_Inspections!$AS142</f>
        <v>0</v>
      </c>
      <c r="K142" s="23">
        <f>Weekly_Inspections!$AU142</f>
        <v>0</v>
      </c>
      <c r="L142" s="22">
        <f>Weekly_Inspections!$AV142</f>
        <v>0</v>
      </c>
      <c r="M142" s="23" t="str">
        <f t="shared" si="6"/>
        <v>Open</v>
      </c>
      <c r="N142" s="22"/>
      <c r="O142" s="21">
        <f t="shared" ca="1" si="7"/>
        <v>46113</v>
      </c>
      <c r="P142" s="21" t="str">
        <f t="shared" ca="1" si="8"/>
        <v>YES</v>
      </c>
      <c r="Q142" s="23">
        <f>Weekly_Inspections!$AW142</f>
        <v>0</v>
      </c>
    </row>
    <row r="143" spans="1:17" ht="15" customHeight="1" x14ac:dyDescent="0.2">
      <c r="A143" s="21" t="str">
        <f>IF(Weekly_Inspections!$B143="","",Weekly_Inspections!$A143&amp;"-A1")</f>
        <v/>
      </c>
      <c r="B143" s="22">
        <f>Weekly_Inspections!$B143</f>
        <v>0</v>
      </c>
      <c r="C143" s="23">
        <f>Weekly_Inspections!$E143</f>
        <v>0</v>
      </c>
      <c r="D143" s="23">
        <f>Weekly_Inspections!$F143</f>
        <v>0</v>
      </c>
      <c r="E143" s="21" t="str">
        <f>Weekly_Inspections!$H143</f>
        <v/>
      </c>
      <c r="F143" s="23">
        <f>IF(Weekly_Inspections!$AX143&lt;&gt;"",Weekly_Inspections!$AX143,IF(Weekly_Inspections!$AY143&lt;&gt;"",Weekly_Inspections!$AY143,IF(Weekly_Inspections!$AZ143&lt;&gt;"",Weekly_Inspections!$AZ143,IF(Weekly_Inspections!$BA143&lt;&gt;"",Weekly_Inspections!$BA143,IF(Weekly_Inspections!$BB143&lt;&gt;"",Weekly_Inspections!$BB143,Weekly_Inspections!$R143)))))</f>
        <v>0</v>
      </c>
      <c r="G143" s="23" t="str">
        <f>IF(OR(Weekly_Inspections!$AQ143&lt;&gt;"",Weekly_Inspections!$AR143&lt;&gt;"",Weekly_Inspections!$AS143&lt;&gt;""),Weekly_Inspections!$AQ143,"")</f>
        <v/>
      </c>
      <c r="H143" s="23">
        <f>Weekly_Inspections!$AP143</f>
        <v>0</v>
      </c>
      <c r="I143" s="23">
        <f>Weekly_Inspections!$AR143</f>
        <v>0</v>
      </c>
      <c r="J143" s="23">
        <f>Weekly_Inspections!$AS143</f>
        <v>0</v>
      </c>
      <c r="K143" s="23">
        <f>Weekly_Inspections!$AU143</f>
        <v>0</v>
      </c>
      <c r="L143" s="22">
        <f>Weekly_Inspections!$AV143</f>
        <v>0</v>
      </c>
      <c r="M143" s="23" t="str">
        <f t="shared" si="6"/>
        <v>Open</v>
      </c>
      <c r="N143" s="22"/>
      <c r="O143" s="21">
        <f t="shared" ca="1" si="7"/>
        <v>46113</v>
      </c>
      <c r="P143" s="21" t="str">
        <f t="shared" ca="1" si="8"/>
        <v>YES</v>
      </c>
      <c r="Q143" s="23">
        <f>Weekly_Inspections!$AW143</f>
        <v>0</v>
      </c>
    </row>
    <row r="144" spans="1:17" ht="15" customHeight="1" x14ac:dyDescent="0.2">
      <c r="A144" s="21" t="str">
        <f>IF(Weekly_Inspections!$B144="","",Weekly_Inspections!$A144&amp;"-A1")</f>
        <v/>
      </c>
      <c r="B144" s="22">
        <f>Weekly_Inspections!$B144</f>
        <v>0</v>
      </c>
      <c r="C144" s="23">
        <f>Weekly_Inspections!$E144</f>
        <v>0</v>
      </c>
      <c r="D144" s="23">
        <f>Weekly_Inspections!$F144</f>
        <v>0</v>
      </c>
      <c r="E144" s="21" t="str">
        <f>Weekly_Inspections!$H144</f>
        <v/>
      </c>
      <c r="F144" s="23">
        <f>IF(Weekly_Inspections!$AX144&lt;&gt;"",Weekly_Inspections!$AX144,IF(Weekly_Inspections!$AY144&lt;&gt;"",Weekly_Inspections!$AY144,IF(Weekly_Inspections!$AZ144&lt;&gt;"",Weekly_Inspections!$AZ144,IF(Weekly_Inspections!$BA144&lt;&gt;"",Weekly_Inspections!$BA144,IF(Weekly_Inspections!$BB144&lt;&gt;"",Weekly_Inspections!$BB144,Weekly_Inspections!$R144)))))</f>
        <v>0</v>
      </c>
      <c r="G144" s="23" t="str">
        <f>IF(OR(Weekly_Inspections!$AQ144&lt;&gt;"",Weekly_Inspections!$AR144&lt;&gt;"",Weekly_Inspections!$AS144&lt;&gt;""),Weekly_Inspections!$AQ144,"")</f>
        <v/>
      </c>
      <c r="H144" s="23">
        <f>Weekly_Inspections!$AP144</f>
        <v>0</v>
      </c>
      <c r="I144" s="23">
        <f>Weekly_Inspections!$AR144</f>
        <v>0</v>
      </c>
      <c r="J144" s="23">
        <f>Weekly_Inspections!$AS144</f>
        <v>0</v>
      </c>
      <c r="K144" s="23">
        <f>Weekly_Inspections!$AU144</f>
        <v>0</v>
      </c>
      <c r="L144" s="22">
        <f>Weekly_Inspections!$AV144</f>
        <v>0</v>
      </c>
      <c r="M144" s="23" t="str">
        <f t="shared" si="6"/>
        <v>Open</v>
      </c>
      <c r="N144" s="22"/>
      <c r="O144" s="21">
        <f t="shared" ca="1" si="7"/>
        <v>46113</v>
      </c>
      <c r="P144" s="21" t="str">
        <f t="shared" ca="1" si="8"/>
        <v>YES</v>
      </c>
      <c r="Q144" s="23">
        <f>Weekly_Inspections!$AW144</f>
        <v>0</v>
      </c>
    </row>
    <row r="145" spans="1:17" ht="15" customHeight="1" x14ac:dyDescent="0.2">
      <c r="A145" s="21" t="str">
        <f>IF(Weekly_Inspections!$B145="","",Weekly_Inspections!$A145&amp;"-A1")</f>
        <v/>
      </c>
      <c r="B145" s="22">
        <f>Weekly_Inspections!$B145</f>
        <v>0</v>
      </c>
      <c r="C145" s="23">
        <f>Weekly_Inspections!$E145</f>
        <v>0</v>
      </c>
      <c r="D145" s="23">
        <f>Weekly_Inspections!$F145</f>
        <v>0</v>
      </c>
      <c r="E145" s="21" t="str">
        <f>Weekly_Inspections!$H145</f>
        <v/>
      </c>
      <c r="F145" s="23">
        <f>IF(Weekly_Inspections!$AX145&lt;&gt;"",Weekly_Inspections!$AX145,IF(Weekly_Inspections!$AY145&lt;&gt;"",Weekly_Inspections!$AY145,IF(Weekly_Inspections!$AZ145&lt;&gt;"",Weekly_Inspections!$AZ145,IF(Weekly_Inspections!$BA145&lt;&gt;"",Weekly_Inspections!$BA145,IF(Weekly_Inspections!$BB145&lt;&gt;"",Weekly_Inspections!$BB145,Weekly_Inspections!$R145)))))</f>
        <v>0</v>
      </c>
      <c r="G145" s="23" t="str">
        <f>IF(OR(Weekly_Inspections!$AQ145&lt;&gt;"",Weekly_Inspections!$AR145&lt;&gt;"",Weekly_Inspections!$AS145&lt;&gt;""),Weekly_Inspections!$AQ145,"")</f>
        <v/>
      </c>
      <c r="H145" s="23">
        <f>Weekly_Inspections!$AP145</f>
        <v>0</v>
      </c>
      <c r="I145" s="23">
        <f>Weekly_Inspections!$AR145</f>
        <v>0</v>
      </c>
      <c r="J145" s="23">
        <f>Weekly_Inspections!$AS145</f>
        <v>0</v>
      </c>
      <c r="K145" s="23">
        <f>Weekly_Inspections!$AU145</f>
        <v>0</v>
      </c>
      <c r="L145" s="22">
        <f>Weekly_Inspections!$AV145</f>
        <v>0</v>
      </c>
      <c r="M145" s="23" t="str">
        <f t="shared" si="6"/>
        <v>Open</v>
      </c>
      <c r="N145" s="22"/>
      <c r="O145" s="21">
        <f t="shared" ca="1" si="7"/>
        <v>46113</v>
      </c>
      <c r="P145" s="21" t="str">
        <f t="shared" ca="1" si="8"/>
        <v>YES</v>
      </c>
      <c r="Q145" s="23">
        <f>Weekly_Inspections!$AW145</f>
        <v>0</v>
      </c>
    </row>
    <row r="146" spans="1:17" ht="15" customHeight="1" x14ac:dyDescent="0.2">
      <c r="A146" s="21" t="str">
        <f>IF(Weekly_Inspections!$B146="","",Weekly_Inspections!$A146&amp;"-A1")</f>
        <v/>
      </c>
      <c r="B146" s="22">
        <f>Weekly_Inspections!$B146</f>
        <v>0</v>
      </c>
      <c r="C146" s="23">
        <f>Weekly_Inspections!$E146</f>
        <v>0</v>
      </c>
      <c r="D146" s="23">
        <f>Weekly_Inspections!$F146</f>
        <v>0</v>
      </c>
      <c r="E146" s="21" t="str">
        <f>Weekly_Inspections!$H146</f>
        <v/>
      </c>
      <c r="F146" s="23">
        <f>IF(Weekly_Inspections!$AX146&lt;&gt;"",Weekly_Inspections!$AX146,IF(Weekly_Inspections!$AY146&lt;&gt;"",Weekly_Inspections!$AY146,IF(Weekly_Inspections!$AZ146&lt;&gt;"",Weekly_Inspections!$AZ146,IF(Weekly_Inspections!$BA146&lt;&gt;"",Weekly_Inspections!$BA146,IF(Weekly_Inspections!$BB146&lt;&gt;"",Weekly_Inspections!$BB146,Weekly_Inspections!$R146)))))</f>
        <v>0</v>
      </c>
      <c r="G146" s="23" t="str">
        <f>IF(OR(Weekly_Inspections!$AQ146&lt;&gt;"",Weekly_Inspections!$AR146&lt;&gt;"",Weekly_Inspections!$AS146&lt;&gt;""),Weekly_Inspections!$AQ146,"")</f>
        <v/>
      </c>
      <c r="H146" s="23">
        <f>Weekly_Inspections!$AP146</f>
        <v>0</v>
      </c>
      <c r="I146" s="23">
        <f>Weekly_Inspections!$AR146</f>
        <v>0</v>
      </c>
      <c r="J146" s="23">
        <f>Weekly_Inspections!$AS146</f>
        <v>0</v>
      </c>
      <c r="K146" s="23">
        <f>Weekly_Inspections!$AU146</f>
        <v>0</v>
      </c>
      <c r="L146" s="22">
        <f>Weekly_Inspections!$AV146</f>
        <v>0</v>
      </c>
      <c r="M146" s="23" t="str">
        <f t="shared" si="6"/>
        <v>Open</v>
      </c>
      <c r="N146" s="22"/>
      <c r="O146" s="21">
        <f t="shared" ca="1" si="7"/>
        <v>46113</v>
      </c>
      <c r="P146" s="21" t="str">
        <f t="shared" ca="1" si="8"/>
        <v>YES</v>
      </c>
      <c r="Q146" s="23">
        <f>Weekly_Inspections!$AW146</f>
        <v>0</v>
      </c>
    </row>
    <row r="147" spans="1:17" ht="15" customHeight="1" x14ac:dyDescent="0.2">
      <c r="A147" s="21" t="str">
        <f>IF(Weekly_Inspections!$B147="","",Weekly_Inspections!$A147&amp;"-A1")</f>
        <v/>
      </c>
      <c r="B147" s="22">
        <f>Weekly_Inspections!$B147</f>
        <v>0</v>
      </c>
      <c r="C147" s="23">
        <f>Weekly_Inspections!$E147</f>
        <v>0</v>
      </c>
      <c r="D147" s="23">
        <f>Weekly_Inspections!$F147</f>
        <v>0</v>
      </c>
      <c r="E147" s="21" t="str">
        <f>Weekly_Inspections!$H147</f>
        <v/>
      </c>
      <c r="F147" s="23">
        <f>IF(Weekly_Inspections!$AX147&lt;&gt;"",Weekly_Inspections!$AX147,IF(Weekly_Inspections!$AY147&lt;&gt;"",Weekly_Inspections!$AY147,IF(Weekly_Inspections!$AZ147&lt;&gt;"",Weekly_Inspections!$AZ147,IF(Weekly_Inspections!$BA147&lt;&gt;"",Weekly_Inspections!$BA147,IF(Weekly_Inspections!$BB147&lt;&gt;"",Weekly_Inspections!$BB147,Weekly_Inspections!$R147)))))</f>
        <v>0</v>
      </c>
      <c r="G147" s="23" t="str">
        <f>IF(OR(Weekly_Inspections!$AQ147&lt;&gt;"",Weekly_Inspections!$AR147&lt;&gt;"",Weekly_Inspections!$AS147&lt;&gt;""),Weekly_Inspections!$AQ147,"")</f>
        <v/>
      </c>
      <c r="H147" s="23">
        <f>Weekly_Inspections!$AP147</f>
        <v>0</v>
      </c>
      <c r="I147" s="23">
        <f>Weekly_Inspections!$AR147</f>
        <v>0</v>
      </c>
      <c r="J147" s="23">
        <f>Weekly_Inspections!$AS147</f>
        <v>0</v>
      </c>
      <c r="K147" s="23">
        <f>Weekly_Inspections!$AU147</f>
        <v>0</v>
      </c>
      <c r="L147" s="22">
        <f>Weekly_Inspections!$AV147</f>
        <v>0</v>
      </c>
      <c r="M147" s="23" t="str">
        <f t="shared" si="6"/>
        <v>Open</v>
      </c>
      <c r="N147" s="22"/>
      <c r="O147" s="21">
        <f t="shared" ca="1" si="7"/>
        <v>46113</v>
      </c>
      <c r="P147" s="21" t="str">
        <f t="shared" ca="1" si="8"/>
        <v>YES</v>
      </c>
      <c r="Q147" s="23">
        <f>Weekly_Inspections!$AW147</f>
        <v>0</v>
      </c>
    </row>
    <row r="148" spans="1:17" ht="15" customHeight="1" x14ac:dyDescent="0.2">
      <c r="A148" s="21" t="str">
        <f>IF(Weekly_Inspections!$B148="","",Weekly_Inspections!$A148&amp;"-A1")</f>
        <v/>
      </c>
      <c r="B148" s="22">
        <f>Weekly_Inspections!$B148</f>
        <v>0</v>
      </c>
      <c r="C148" s="23">
        <f>Weekly_Inspections!$E148</f>
        <v>0</v>
      </c>
      <c r="D148" s="23">
        <f>Weekly_Inspections!$F148</f>
        <v>0</v>
      </c>
      <c r="E148" s="21" t="str">
        <f>Weekly_Inspections!$H148</f>
        <v/>
      </c>
      <c r="F148" s="23">
        <f>IF(Weekly_Inspections!$AX148&lt;&gt;"",Weekly_Inspections!$AX148,IF(Weekly_Inspections!$AY148&lt;&gt;"",Weekly_Inspections!$AY148,IF(Weekly_Inspections!$AZ148&lt;&gt;"",Weekly_Inspections!$AZ148,IF(Weekly_Inspections!$BA148&lt;&gt;"",Weekly_Inspections!$BA148,IF(Weekly_Inspections!$BB148&lt;&gt;"",Weekly_Inspections!$BB148,Weekly_Inspections!$R148)))))</f>
        <v>0</v>
      </c>
      <c r="G148" s="23" t="str">
        <f>IF(OR(Weekly_Inspections!$AQ148&lt;&gt;"",Weekly_Inspections!$AR148&lt;&gt;"",Weekly_Inspections!$AS148&lt;&gt;""),Weekly_Inspections!$AQ148,"")</f>
        <v/>
      </c>
      <c r="H148" s="23">
        <f>Weekly_Inspections!$AP148</f>
        <v>0</v>
      </c>
      <c r="I148" s="23">
        <f>Weekly_Inspections!$AR148</f>
        <v>0</v>
      </c>
      <c r="J148" s="23">
        <f>Weekly_Inspections!$AS148</f>
        <v>0</v>
      </c>
      <c r="K148" s="23">
        <f>Weekly_Inspections!$AU148</f>
        <v>0</v>
      </c>
      <c r="L148" s="22">
        <f>Weekly_Inspections!$AV148</f>
        <v>0</v>
      </c>
      <c r="M148" s="23" t="str">
        <f t="shared" si="6"/>
        <v>Open</v>
      </c>
      <c r="N148" s="22"/>
      <c r="O148" s="21">
        <f t="shared" ca="1" si="7"/>
        <v>46113</v>
      </c>
      <c r="P148" s="21" t="str">
        <f t="shared" ca="1" si="8"/>
        <v>YES</v>
      </c>
      <c r="Q148" s="23">
        <f>Weekly_Inspections!$AW148</f>
        <v>0</v>
      </c>
    </row>
    <row r="149" spans="1:17" ht="15" customHeight="1" x14ac:dyDescent="0.2">
      <c r="A149" s="21" t="str">
        <f>IF(Weekly_Inspections!$B149="","",Weekly_Inspections!$A149&amp;"-A1")</f>
        <v/>
      </c>
      <c r="B149" s="22">
        <f>Weekly_Inspections!$B149</f>
        <v>0</v>
      </c>
      <c r="C149" s="23">
        <f>Weekly_Inspections!$E149</f>
        <v>0</v>
      </c>
      <c r="D149" s="23">
        <f>Weekly_Inspections!$F149</f>
        <v>0</v>
      </c>
      <c r="E149" s="21" t="str">
        <f>Weekly_Inspections!$H149</f>
        <v/>
      </c>
      <c r="F149" s="23">
        <f>IF(Weekly_Inspections!$AX149&lt;&gt;"",Weekly_Inspections!$AX149,IF(Weekly_Inspections!$AY149&lt;&gt;"",Weekly_Inspections!$AY149,IF(Weekly_Inspections!$AZ149&lt;&gt;"",Weekly_Inspections!$AZ149,IF(Weekly_Inspections!$BA149&lt;&gt;"",Weekly_Inspections!$BA149,IF(Weekly_Inspections!$BB149&lt;&gt;"",Weekly_Inspections!$BB149,Weekly_Inspections!$R149)))))</f>
        <v>0</v>
      </c>
      <c r="G149" s="23" t="str">
        <f>IF(OR(Weekly_Inspections!$AQ149&lt;&gt;"",Weekly_Inspections!$AR149&lt;&gt;"",Weekly_Inspections!$AS149&lt;&gt;""),Weekly_Inspections!$AQ149,"")</f>
        <v/>
      </c>
      <c r="H149" s="23">
        <f>Weekly_Inspections!$AP149</f>
        <v>0</v>
      </c>
      <c r="I149" s="23">
        <f>Weekly_Inspections!$AR149</f>
        <v>0</v>
      </c>
      <c r="J149" s="23">
        <f>Weekly_Inspections!$AS149</f>
        <v>0</v>
      </c>
      <c r="K149" s="23">
        <f>Weekly_Inspections!$AU149</f>
        <v>0</v>
      </c>
      <c r="L149" s="22">
        <f>Weekly_Inspections!$AV149</f>
        <v>0</v>
      </c>
      <c r="M149" s="23" t="str">
        <f t="shared" si="6"/>
        <v>Open</v>
      </c>
      <c r="N149" s="22"/>
      <c r="O149" s="21">
        <f t="shared" ca="1" si="7"/>
        <v>46113</v>
      </c>
      <c r="P149" s="21" t="str">
        <f t="shared" ca="1" si="8"/>
        <v>YES</v>
      </c>
      <c r="Q149" s="23">
        <f>Weekly_Inspections!$AW149</f>
        <v>0</v>
      </c>
    </row>
    <row r="150" spans="1:17" ht="15" customHeight="1" x14ac:dyDescent="0.2">
      <c r="A150" s="21" t="str">
        <f>IF(Weekly_Inspections!$B150="","",Weekly_Inspections!$A150&amp;"-A1")</f>
        <v/>
      </c>
      <c r="B150" s="22">
        <f>Weekly_Inspections!$B150</f>
        <v>0</v>
      </c>
      <c r="C150" s="23">
        <f>Weekly_Inspections!$E150</f>
        <v>0</v>
      </c>
      <c r="D150" s="23">
        <f>Weekly_Inspections!$F150</f>
        <v>0</v>
      </c>
      <c r="E150" s="21" t="str">
        <f>Weekly_Inspections!$H150</f>
        <v/>
      </c>
      <c r="F150" s="23">
        <f>IF(Weekly_Inspections!$AX150&lt;&gt;"",Weekly_Inspections!$AX150,IF(Weekly_Inspections!$AY150&lt;&gt;"",Weekly_Inspections!$AY150,IF(Weekly_Inspections!$AZ150&lt;&gt;"",Weekly_Inspections!$AZ150,IF(Weekly_Inspections!$BA150&lt;&gt;"",Weekly_Inspections!$BA150,IF(Weekly_Inspections!$BB150&lt;&gt;"",Weekly_Inspections!$BB150,Weekly_Inspections!$R150)))))</f>
        <v>0</v>
      </c>
      <c r="G150" s="23" t="str">
        <f>IF(OR(Weekly_Inspections!$AQ150&lt;&gt;"",Weekly_Inspections!$AR150&lt;&gt;"",Weekly_Inspections!$AS150&lt;&gt;""),Weekly_Inspections!$AQ150,"")</f>
        <v/>
      </c>
      <c r="H150" s="23">
        <f>Weekly_Inspections!$AP150</f>
        <v>0</v>
      </c>
      <c r="I150" s="23">
        <f>Weekly_Inspections!$AR150</f>
        <v>0</v>
      </c>
      <c r="J150" s="23">
        <f>Weekly_Inspections!$AS150</f>
        <v>0</v>
      </c>
      <c r="K150" s="23">
        <f>Weekly_Inspections!$AU150</f>
        <v>0</v>
      </c>
      <c r="L150" s="22">
        <f>Weekly_Inspections!$AV150</f>
        <v>0</v>
      </c>
      <c r="M150" s="23" t="str">
        <f t="shared" si="6"/>
        <v>Open</v>
      </c>
      <c r="N150" s="22"/>
      <c r="O150" s="21">
        <f t="shared" ca="1" si="7"/>
        <v>46113</v>
      </c>
      <c r="P150" s="21" t="str">
        <f t="shared" ca="1" si="8"/>
        <v>YES</v>
      </c>
      <c r="Q150" s="23">
        <f>Weekly_Inspections!$AW150</f>
        <v>0</v>
      </c>
    </row>
    <row r="151" spans="1:17" ht="15" customHeight="1" x14ac:dyDescent="0.2">
      <c r="A151" s="21" t="str">
        <f>IF(Weekly_Inspections!$B151="","",Weekly_Inspections!$A151&amp;"-A1")</f>
        <v/>
      </c>
      <c r="B151" s="22">
        <f>Weekly_Inspections!$B151</f>
        <v>0</v>
      </c>
      <c r="C151" s="23">
        <f>Weekly_Inspections!$E151</f>
        <v>0</v>
      </c>
      <c r="D151" s="23">
        <f>Weekly_Inspections!$F151</f>
        <v>0</v>
      </c>
      <c r="E151" s="21" t="str">
        <f>Weekly_Inspections!$H151</f>
        <v/>
      </c>
      <c r="F151" s="23">
        <f>IF(Weekly_Inspections!$AX151&lt;&gt;"",Weekly_Inspections!$AX151,IF(Weekly_Inspections!$AY151&lt;&gt;"",Weekly_Inspections!$AY151,IF(Weekly_Inspections!$AZ151&lt;&gt;"",Weekly_Inspections!$AZ151,IF(Weekly_Inspections!$BA151&lt;&gt;"",Weekly_Inspections!$BA151,IF(Weekly_Inspections!$BB151&lt;&gt;"",Weekly_Inspections!$BB151,Weekly_Inspections!$R151)))))</f>
        <v>0</v>
      </c>
      <c r="G151" s="23" t="str">
        <f>IF(OR(Weekly_Inspections!$AQ151&lt;&gt;"",Weekly_Inspections!$AR151&lt;&gt;"",Weekly_Inspections!$AS151&lt;&gt;""),Weekly_Inspections!$AQ151,"")</f>
        <v/>
      </c>
      <c r="H151" s="23">
        <f>Weekly_Inspections!$AP151</f>
        <v>0</v>
      </c>
      <c r="I151" s="23">
        <f>Weekly_Inspections!$AR151</f>
        <v>0</v>
      </c>
      <c r="J151" s="23">
        <f>Weekly_Inspections!$AS151</f>
        <v>0</v>
      </c>
      <c r="K151" s="23">
        <f>Weekly_Inspections!$AU151</f>
        <v>0</v>
      </c>
      <c r="L151" s="22">
        <f>Weekly_Inspections!$AV151</f>
        <v>0</v>
      </c>
      <c r="M151" s="23" t="str">
        <f t="shared" si="6"/>
        <v>Open</v>
      </c>
      <c r="N151" s="22"/>
      <c r="O151" s="21">
        <f t="shared" ca="1" si="7"/>
        <v>46113</v>
      </c>
      <c r="P151" s="21" t="str">
        <f t="shared" ca="1" si="8"/>
        <v>YES</v>
      </c>
      <c r="Q151" s="23">
        <f>Weekly_Inspections!$AW151</f>
        <v>0</v>
      </c>
    </row>
    <row r="152" spans="1:17" ht="15" customHeight="1" x14ac:dyDescent="0.2">
      <c r="A152" s="21" t="str">
        <f>IF(Weekly_Inspections!$B152="","",Weekly_Inspections!$A152&amp;"-A1")</f>
        <v/>
      </c>
      <c r="B152" s="22">
        <f>Weekly_Inspections!$B152</f>
        <v>0</v>
      </c>
      <c r="C152" s="23">
        <f>Weekly_Inspections!$E152</f>
        <v>0</v>
      </c>
      <c r="D152" s="23">
        <f>Weekly_Inspections!$F152</f>
        <v>0</v>
      </c>
      <c r="E152" s="21" t="str">
        <f>Weekly_Inspections!$H152</f>
        <v/>
      </c>
      <c r="F152" s="23">
        <f>IF(Weekly_Inspections!$AX152&lt;&gt;"",Weekly_Inspections!$AX152,IF(Weekly_Inspections!$AY152&lt;&gt;"",Weekly_Inspections!$AY152,IF(Weekly_Inspections!$AZ152&lt;&gt;"",Weekly_Inspections!$AZ152,IF(Weekly_Inspections!$BA152&lt;&gt;"",Weekly_Inspections!$BA152,IF(Weekly_Inspections!$BB152&lt;&gt;"",Weekly_Inspections!$BB152,Weekly_Inspections!$R152)))))</f>
        <v>0</v>
      </c>
      <c r="G152" s="23" t="str">
        <f>IF(OR(Weekly_Inspections!$AQ152&lt;&gt;"",Weekly_Inspections!$AR152&lt;&gt;"",Weekly_Inspections!$AS152&lt;&gt;""),Weekly_Inspections!$AQ152,"")</f>
        <v/>
      </c>
      <c r="H152" s="23">
        <f>Weekly_Inspections!$AP152</f>
        <v>0</v>
      </c>
      <c r="I152" s="23">
        <f>Weekly_Inspections!$AR152</f>
        <v>0</v>
      </c>
      <c r="J152" s="23">
        <f>Weekly_Inspections!$AS152</f>
        <v>0</v>
      </c>
      <c r="K152" s="23">
        <f>Weekly_Inspections!$AU152</f>
        <v>0</v>
      </c>
      <c r="L152" s="22">
        <f>Weekly_Inspections!$AV152</f>
        <v>0</v>
      </c>
      <c r="M152" s="23" t="str">
        <f t="shared" si="6"/>
        <v>Open</v>
      </c>
      <c r="N152" s="22"/>
      <c r="O152" s="21">
        <f t="shared" ca="1" si="7"/>
        <v>46113</v>
      </c>
      <c r="P152" s="21" t="str">
        <f t="shared" ca="1" si="8"/>
        <v>YES</v>
      </c>
      <c r="Q152" s="23">
        <f>Weekly_Inspections!$AW152</f>
        <v>0</v>
      </c>
    </row>
    <row r="153" spans="1:17" ht="15" customHeight="1" x14ac:dyDescent="0.2">
      <c r="A153" s="21" t="str">
        <f>IF(Weekly_Inspections!$B153="","",Weekly_Inspections!$A153&amp;"-A1")</f>
        <v/>
      </c>
      <c r="B153" s="22">
        <f>Weekly_Inspections!$B153</f>
        <v>0</v>
      </c>
      <c r="C153" s="23">
        <f>Weekly_Inspections!$E153</f>
        <v>0</v>
      </c>
      <c r="D153" s="23">
        <f>Weekly_Inspections!$F153</f>
        <v>0</v>
      </c>
      <c r="E153" s="21" t="str">
        <f>Weekly_Inspections!$H153</f>
        <v/>
      </c>
      <c r="F153" s="23">
        <f>IF(Weekly_Inspections!$AX153&lt;&gt;"",Weekly_Inspections!$AX153,IF(Weekly_Inspections!$AY153&lt;&gt;"",Weekly_Inspections!$AY153,IF(Weekly_Inspections!$AZ153&lt;&gt;"",Weekly_Inspections!$AZ153,IF(Weekly_Inspections!$BA153&lt;&gt;"",Weekly_Inspections!$BA153,IF(Weekly_Inspections!$BB153&lt;&gt;"",Weekly_Inspections!$BB153,Weekly_Inspections!$R153)))))</f>
        <v>0</v>
      </c>
      <c r="G153" s="23" t="str">
        <f>IF(OR(Weekly_Inspections!$AQ153&lt;&gt;"",Weekly_Inspections!$AR153&lt;&gt;"",Weekly_Inspections!$AS153&lt;&gt;""),Weekly_Inspections!$AQ153,"")</f>
        <v/>
      </c>
      <c r="H153" s="23">
        <f>Weekly_Inspections!$AP153</f>
        <v>0</v>
      </c>
      <c r="I153" s="23">
        <f>Weekly_Inspections!$AR153</f>
        <v>0</v>
      </c>
      <c r="J153" s="23">
        <f>Weekly_Inspections!$AS153</f>
        <v>0</v>
      </c>
      <c r="K153" s="23">
        <f>Weekly_Inspections!$AU153</f>
        <v>0</v>
      </c>
      <c r="L153" s="22">
        <f>Weekly_Inspections!$AV153</f>
        <v>0</v>
      </c>
      <c r="M153" s="23" t="str">
        <f t="shared" si="6"/>
        <v>Open</v>
      </c>
      <c r="N153" s="22"/>
      <c r="O153" s="21">
        <f t="shared" ca="1" si="7"/>
        <v>46113</v>
      </c>
      <c r="P153" s="21" t="str">
        <f t="shared" ca="1" si="8"/>
        <v>YES</v>
      </c>
      <c r="Q153" s="23">
        <f>Weekly_Inspections!$AW153</f>
        <v>0</v>
      </c>
    </row>
    <row r="154" spans="1:17" ht="15" customHeight="1" x14ac:dyDescent="0.2">
      <c r="A154" s="21" t="str">
        <f>IF(Weekly_Inspections!$B154="","",Weekly_Inspections!$A154&amp;"-A1")</f>
        <v/>
      </c>
      <c r="B154" s="22">
        <f>Weekly_Inspections!$B154</f>
        <v>0</v>
      </c>
      <c r="C154" s="23">
        <f>Weekly_Inspections!$E154</f>
        <v>0</v>
      </c>
      <c r="D154" s="23">
        <f>Weekly_Inspections!$F154</f>
        <v>0</v>
      </c>
      <c r="E154" s="21" t="str">
        <f>Weekly_Inspections!$H154</f>
        <v/>
      </c>
      <c r="F154" s="23">
        <f>IF(Weekly_Inspections!$AX154&lt;&gt;"",Weekly_Inspections!$AX154,IF(Weekly_Inspections!$AY154&lt;&gt;"",Weekly_Inspections!$AY154,IF(Weekly_Inspections!$AZ154&lt;&gt;"",Weekly_Inspections!$AZ154,IF(Weekly_Inspections!$BA154&lt;&gt;"",Weekly_Inspections!$BA154,IF(Weekly_Inspections!$BB154&lt;&gt;"",Weekly_Inspections!$BB154,Weekly_Inspections!$R154)))))</f>
        <v>0</v>
      </c>
      <c r="G154" s="23" t="str">
        <f>IF(OR(Weekly_Inspections!$AQ154&lt;&gt;"",Weekly_Inspections!$AR154&lt;&gt;"",Weekly_Inspections!$AS154&lt;&gt;""),Weekly_Inspections!$AQ154,"")</f>
        <v/>
      </c>
      <c r="H154" s="23">
        <f>Weekly_Inspections!$AP154</f>
        <v>0</v>
      </c>
      <c r="I154" s="23">
        <f>Weekly_Inspections!$AR154</f>
        <v>0</v>
      </c>
      <c r="J154" s="23">
        <f>Weekly_Inspections!$AS154</f>
        <v>0</v>
      </c>
      <c r="K154" s="23">
        <f>Weekly_Inspections!$AU154</f>
        <v>0</v>
      </c>
      <c r="L154" s="22">
        <f>Weekly_Inspections!$AV154</f>
        <v>0</v>
      </c>
      <c r="M154" s="23" t="str">
        <f t="shared" si="6"/>
        <v>Open</v>
      </c>
      <c r="N154" s="22"/>
      <c r="O154" s="21">
        <f t="shared" ca="1" si="7"/>
        <v>46113</v>
      </c>
      <c r="P154" s="21" t="str">
        <f t="shared" ca="1" si="8"/>
        <v>YES</v>
      </c>
      <c r="Q154" s="23">
        <f>Weekly_Inspections!$AW154</f>
        <v>0</v>
      </c>
    </row>
    <row r="155" spans="1:17" ht="15" customHeight="1" x14ac:dyDescent="0.2">
      <c r="A155" s="21" t="str">
        <f>IF(Weekly_Inspections!$B155="","",Weekly_Inspections!$A155&amp;"-A1")</f>
        <v/>
      </c>
      <c r="B155" s="22">
        <f>Weekly_Inspections!$B155</f>
        <v>0</v>
      </c>
      <c r="C155" s="23">
        <f>Weekly_Inspections!$E155</f>
        <v>0</v>
      </c>
      <c r="D155" s="23">
        <f>Weekly_Inspections!$F155</f>
        <v>0</v>
      </c>
      <c r="E155" s="21" t="str">
        <f>Weekly_Inspections!$H155</f>
        <v/>
      </c>
      <c r="F155" s="23">
        <f>IF(Weekly_Inspections!$AX155&lt;&gt;"",Weekly_Inspections!$AX155,IF(Weekly_Inspections!$AY155&lt;&gt;"",Weekly_Inspections!$AY155,IF(Weekly_Inspections!$AZ155&lt;&gt;"",Weekly_Inspections!$AZ155,IF(Weekly_Inspections!$BA155&lt;&gt;"",Weekly_Inspections!$BA155,IF(Weekly_Inspections!$BB155&lt;&gt;"",Weekly_Inspections!$BB155,Weekly_Inspections!$R155)))))</f>
        <v>0</v>
      </c>
      <c r="G155" s="23" t="str">
        <f>IF(OR(Weekly_Inspections!$AQ155&lt;&gt;"",Weekly_Inspections!$AR155&lt;&gt;"",Weekly_Inspections!$AS155&lt;&gt;""),Weekly_Inspections!$AQ155,"")</f>
        <v/>
      </c>
      <c r="H155" s="23">
        <f>Weekly_Inspections!$AP155</f>
        <v>0</v>
      </c>
      <c r="I155" s="23">
        <f>Weekly_Inspections!$AR155</f>
        <v>0</v>
      </c>
      <c r="J155" s="23">
        <f>Weekly_Inspections!$AS155</f>
        <v>0</v>
      </c>
      <c r="K155" s="23">
        <f>Weekly_Inspections!$AU155</f>
        <v>0</v>
      </c>
      <c r="L155" s="22">
        <f>Weekly_Inspections!$AV155</f>
        <v>0</v>
      </c>
      <c r="M155" s="23" t="str">
        <f t="shared" si="6"/>
        <v>Open</v>
      </c>
      <c r="N155" s="22"/>
      <c r="O155" s="21">
        <f t="shared" ca="1" si="7"/>
        <v>46113</v>
      </c>
      <c r="P155" s="21" t="str">
        <f t="shared" ca="1" si="8"/>
        <v>YES</v>
      </c>
      <c r="Q155" s="23">
        <f>Weekly_Inspections!$AW155</f>
        <v>0</v>
      </c>
    </row>
    <row r="156" spans="1:17" ht="15" customHeight="1" x14ac:dyDescent="0.2">
      <c r="A156" s="21" t="str">
        <f>IF(Weekly_Inspections!$B156="","",Weekly_Inspections!$A156&amp;"-A1")</f>
        <v/>
      </c>
      <c r="B156" s="22">
        <f>Weekly_Inspections!$B156</f>
        <v>0</v>
      </c>
      <c r="C156" s="23">
        <f>Weekly_Inspections!$E156</f>
        <v>0</v>
      </c>
      <c r="D156" s="23">
        <f>Weekly_Inspections!$F156</f>
        <v>0</v>
      </c>
      <c r="E156" s="21" t="str">
        <f>Weekly_Inspections!$H156</f>
        <v/>
      </c>
      <c r="F156" s="23">
        <f>IF(Weekly_Inspections!$AX156&lt;&gt;"",Weekly_Inspections!$AX156,IF(Weekly_Inspections!$AY156&lt;&gt;"",Weekly_Inspections!$AY156,IF(Weekly_Inspections!$AZ156&lt;&gt;"",Weekly_Inspections!$AZ156,IF(Weekly_Inspections!$BA156&lt;&gt;"",Weekly_Inspections!$BA156,IF(Weekly_Inspections!$BB156&lt;&gt;"",Weekly_Inspections!$BB156,Weekly_Inspections!$R156)))))</f>
        <v>0</v>
      </c>
      <c r="G156" s="23" t="str">
        <f>IF(OR(Weekly_Inspections!$AQ156&lt;&gt;"",Weekly_Inspections!$AR156&lt;&gt;"",Weekly_Inspections!$AS156&lt;&gt;""),Weekly_Inspections!$AQ156,"")</f>
        <v/>
      </c>
      <c r="H156" s="23">
        <f>Weekly_Inspections!$AP156</f>
        <v>0</v>
      </c>
      <c r="I156" s="23">
        <f>Weekly_Inspections!$AR156</f>
        <v>0</v>
      </c>
      <c r="J156" s="23">
        <f>Weekly_Inspections!$AS156</f>
        <v>0</v>
      </c>
      <c r="K156" s="23">
        <f>Weekly_Inspections!$AU156</f>
        <v>0</v>
      </c>
      <c r="L156" s="22">
        <f>Weekly_Inspections!$AV156</f>
        <v>0</v>
      </c>
      <c r="M156" s="23" t="str">
        <f t="shared" si="6"/>
        <v>Open</v>
      </c>
      <c r="N156" s="22"/>
      <c r="O156" s="21">
        <f t="shared" ca="1" si="7"/>
        <v>46113</v>
      </c>
      <c r="P156" s="21" t="str">
        <f t="shared" ca="1" si="8"/>
        <v>YES</v>
      </c>
      <c r="Q156" s="23">
        <f>Weekly_Inspections!$AW156</f>
        <v>0</v>
      </c>
    </row>
    <row r="157" spans="1:17" ht="15" customHeight="1" x14ac:dyDescent="0.2">
      <c r="A157" s="21" t="str">
        <f>IF(Weekly_Inspections!$B157="","",Weekly_Inspections!$A157&amp;"-A1")</f>
        <v/>
      </c>
      <c r="B157" s="22">
        <f>Weekly_Inspections!$B157</f>
        <v>0</v>
      </c>
      <c r="C157" s="23">
        <f>Weekly_Inspections!$E157</f>
        <v>0</v>
      </c>
      <c r="D157" s="23">
        <f>Weekly_Inspections!$F157</f>
        <v>0</v>
      </c>
      <c r="E157" s="21" t="str">
        <f>Weekly_Inspections!$H157</f>
        <v/>
      </c>
      <c r="F157" s="23">
        <f>IF(Weekly_Inspections!$AX157&lt;&gt;"",Weekly_Inspections!$AX157,IF(Weekly_Inspections!$AY157&lt;&gt;"",Weekly_Inspections!$AY157,IF(Weekly_Inspections!$AZ157&lt;&gt;"",Weekly_Inspections!$AZ157,IF(Weekly_Inspections!$BA157&lt;&gt;"",Weekly_Inspections!$BA157,IF(Weekly_Inspections!$BB157&lt;&gt;"",Weekly_Inspections!$BB157,Weekly_Inspections!$R157)))))</f>
        <v>0</v>
      </c>
      <c r="G157" s="23" t="str">
        <f>IF(OR(Weekly_Inspections!$AQ157&lt;&gt;"",Weekly_Inspections!$AR157&lt;&gt;"",Weekly_Inspections!$AS157&lt;&gt;""),Weekly_Inspections!$AQ157,"")</f>
        <v/>
      </c>
      <c r="H157" s="23">
        <f>Weekly_Inspections!$AP157</f>
        <v>0</v>
      </c>
      <c r="I157" s="23">
        <f>Weekly_Inspections!$AR157</f>
        <v>0</v>
      </c>
      <c r="J157" s="23">
        <f>Weekly_Inspections!$AS157</f>
        <v>0</v>
      </c>
      <c r="K157" s="23">
        <f>Weekly_Inspections!$AU157</f>
        <v>0</v>
      </c>
      <c r="L157" s="22">
        <f>Weekly_Inspections!$AV157</f>
        <v>0</v>
      </c>
      <c r="M157" s="23" t="str">
        <f t="shared" si="6"/>
        <v>Open</v>
      </c>
      <c r="N157" s="22"/>
      <c r="O157" s="21">
        <f t="shared" ca="1" si="7"/>
        <v>46113</v>
      </c>
      <c r="P157" s="21" t="str">
        <f t="shared" ca="1" si="8"/>
        <v>YES</v>
      </c>
      <c r="Q157" s="23">
        <f>Weekly_Inspections!$AW157</f>
        <v>0</v>
      </c>
    </row>
    <row r="158" spans="1:17" ht="15" customHeight="1" x14ac:dyDescent="0.2">
      <c r="A158" s="21" t="str">
        <f>IF(Weekly_Inspections!$B158="","",Weekly_Inspections!$A158&amp;"-A1")</f>
        <v/>
      </c>
      <c r="B158" s="22">
        <f>Weekly_Inspections!$B158</f>
        <v>0</v>
      </c>
      <c r="C158" s="23">
        <f>Weekly_Inspections!$E158</f>
        <v>0</v>
      </c>
      <c r="D158" s="23">
        <f>Weekly_Inspections!$F158</f>
        <v>0</v>
      </c>
      <c r="E158" s="21" t="str">
        <f>Weekly_Inspections!$H158</f>
        <v/>
      </c>
      <c r="F158" s="23">
        <f>IF(Weekly_Inspections!$AX158&lt;&gt;"",Weekly_Inspections!$AX158,IF(Weekly_Inspections!$AY158&lt;&gt;"",Weekly_Inspections!$AY158,IF(Weekly_Inspections!$AZ158&lt;&gt;"",Weekly_Inspections!$AZ158,IF(Weekly_Inspections!$BA158&lt;&gt;"",Weekly_Inspections!$BA158,IF(Weekly_Inspections!$BB158&lt;&gt;"",Weekly_Inspections!$BB158,Weekly_Inspections!$R158)))))</f>
        <v>0</v>
      </c>
      <c r="G158" s="23" t="str">
        <f>IF(OR(Weekly_Inspections!$AQ158&lt;&gt;"",Weekly_Inspections!$AR158&lt;&gt;"",Weekly_Inspections!$AS158&lt;&gt;""),Weekly_Inspections!$AQ158,"")</f>
        <v/>
      </c>
      <c r="H158" s="23">
        <f>Weekly_Inspections!$AP158</f>
        <v>0</v>
      </c>
      <c r="I158" s="23">
        <f>Weekly_Inspections!$AR158</f>
        <v>0</v>
      </c>
      <c r="J158" s="23">
        <f>Weekly_Inspections!$AS158</f>
        <v>0</v>
      </c>
      <c r="K158" s="23">
        <f>Weekly_Inspections!$AU158</f>
        <v>0</v>
      </c>
      <c r="L158" s="22">
        <f>Weekly_Inspections!$AV158</f>
        <v>0</v>
      </c>
      <c r="M158" s="23" t="str">
        <f t="shared" si="6"/>
        <v>Open</v>
      </c>
      <c r="N158" s="22"/>
      <c r="O158" s="21">
        <f t="shared" ca="1" si="7"/>
        <v>46113</v>
      </c>
      <c r="P158" s="21" t="str">
        <f t="shared" ca="1" si="8"/>
        <v>YES</v>
      </c>
      <c r="Q158" s="23">
        <f>Weekly_Inspections!$AW158</f>
        <v>0</v>
      </c>
    </row>
    <row r="159" spans="1:17" ht="15" customHeight="1" x14ac:dyDescent="0.2">
      <c r="A159" s="21" t="str">
        <f>IF(Weekly_Inspections!$B159="","",Weekly_Inspections!$A159&amp;"-A1")</f>
        <v/>
      </c>
      <c r="B159" s="22">
        <f>Weekly_Inspections!$B159</f>
        <v>0</v>
      </c>
      <c r="C159" s="23">
        <f>Weekly_Inspections!$E159</f>
        <v>0</v>
      </c>
      <c r="D159" s="23">
        <f>Weekly_Inspections!$F159</f>
        <v>0</v>
      </c>
      <c r="E159" s="21" t="str">
        <f>Weekly_Inspections!$H159</f>
        <v/>
      </c>
      <c r="F159" s="23">
        <f>IF(Weekly_Inspections!$AX159&lt;&gt;"",Weekly_Inspections!$AX159,IF(Weekly_Inspections!$AY159&lt;&gt;"",Weekly_Inspections!$AY159,IF(Weekly_Inspections!$AZ159&lt;&gt;"",Weekly_Inspections!$AZ159,IF(Weekly_Inspections!$BA159&lt;&gt;"",Weekly_Inspections!$BA159,IF(Weekly_Inspections!$BB159&lt;&gt;"",Weekly_Inspections!$BB159,Weekly_Inspections!$R159)))))</f>
        <v>0</v>
      </c>
      <c r="G159" s="23" t="str">
        <f>IF(OR(Weekly_Inspections!$AQ159&lt;&gt;"",Weekly_Inspections!$AR159&lt;&gt;"",Weekly_Inspections!$AS159&lt;&gt;""),Weekly_Inspections!$AQ159,"")</f>
        <v/>
      </c>
      <c r="H159" s="23">
        <f>Weekly_Inspections!$AP159</f>
        <v>0</v>
      </c>
      <c r="I159" s="23">
        <f>Weekly_Inspections!$AR159</f>
        <v>0</v>
      </c>
      <c r="J159" s="23">
        <f>Weekly_Inspections!$AS159</f>
        <v>0</v>
      </c>
      <c r="K159" s="23">
        <f>Weekly_Inspections!$AU159</f>
        <v>0</v>
      </c>
      <c r="L159" s="22">
        <f>Weekly_Inspections!$AV159</f>
        <v>0</v>
      </c>
      <c r="M159" s="23" t="str">
        <f t="shared" si="6"/>
        <v>Open</v>
      </c>
      <c r="N159" s="22"/>
      <c r="O159" s="21">
        <f t="shared" ca="1" si="7"/>
        <v>46113</v>
      </c>
      <c r="P159" s="21" t="str">
        <f t="shared" ca="1" si="8"/>
        <v>YES</v>
      </c>
      <c r="Q159" s="23">
        <f>Weekly_Inspections!$AW159</f>
        <v>0</v>
      </c>
    </row>
    <row r="160" spans="1:17" ht="15" customHeight="1" x14ac:dyDescent="0.2">
      <c r="A160" s="21" t="str">
        <f>IF(Weekly_Inspections!$B160="","",Weekly_Inspections!$A160&amp;"-A1")</f>
        <v/>
      </c>
      <c r="B160" s="22">
        <f>Weekly_Inspections!$B160</f>
        <v>0</v>
      </c>
      <c r="C160" s="23">
        <f>Weekly_Inspections!$E160</f>
        <v>0</v>
      </c>
      <c r="D160" s="23">
        <f>Weekly_Inspections!$F160</f>
        <v>0</v>
      </c>
      <c r="E160" s="21" t="str">
        <f>Weekly_Inspections!$H160</f>
        <v/>
      </c>
      <c r="F160" s="23">
        <f>IF(Weekly_Inspections!$AX160&lt;&gt;"",Weekly_Inspections!$AX160,IF(Weekly_Inspections!$AY160&lt;&gt;"",Weekly_Inspections!$AY160,IF(Weekly_Inspections!$AZ160&lt;&gt;"",Weekly_Inspections!$AZ160,IF(Weekly_Inspections!$BA160&lt;&gt;"",Weekly_Inspections!$BA160,IF(Weekly_Inspections!$BB160&lt;&gt;"",Weekly_Inspections!$BB160,Weekly_Inspections!$R160)))))</f>
        <v>0</v>
      </c>
      <c r="G160" s="23" t="str">
        <f>IF(OR(Weekly_Inspections!$AQ160&lt;&gt;"",Weekly_Inspections!$AR160&lt;&gt;"",Weekly_Inspections!$AS160&lt;&gt;""),Weekly_Inspections!$AQ160,"")</f>
        <v/>
      </c>
      <c r="H160" s="23">
        <f>Weekly_Inspections!$AP160</f>
        <v>0</v>
      </c>
      <c r="I160" s="23">
        <f>Weekly_Inspections!$AR160</f>
        <v>0</v>
      </c>
      <c r="J160" s="23">
        <f>Weekly_Inspections!$AS160</f>
        <v>0</v>
      </c>
      <c r="K160" s="23">
        <f>Weekly_Inspections!$AU160</f>
        <v>0</v>
      </c>
      <c r="L160" s="22">
        <f>Weekly_Inspections!$AV160</f>
        <v>0</v>
      </c>
      <c r="M160" s="23" t="str">
        <f t="shared" si="6"/>
        <v>Open</v>
      </c>
      <c r="N160" s="22"/>
      <c r="O160" s="21">
        <f t="shared" ca="1" si="7"/>
        <v>46113</v>
      </c>
      <c r="P160" s="21" t="str">
        <f t="shared" ca="1" si="8"/>
        <v>YES</v>
      </c>
      <c r="Q160" s="23">
        <f>Weekly_Inspections!$AW160</f>
        <v>0</v>
      </c>
    </row>
    <row r="161" spans="1:17" ht="15" customHeight="1" x14ac:dyDescent="0.2">
      <c r="A161" s="21" t="str">
        <f>IF(Weekly_Inspections!$B161="","",Weekly_Inspections!$A161&amp;"-A1")</f>
        <v/>
      </c>
      <c r="B161" s="22">
        <f>Weekly_Inspections!$B161</f>
        <v>0</v>
      </c>
      <c r="C161" s="23">
        <f>Weekly_Inspections!$E161</f>
        <v>0</v>
      </c>
      <c r="D161" s="23">
        <f>Weekly_Inspections!$F161</f>
        <v>0</v>
      </c>
      <c r="E161" s="21" t="str">
        <f>Weekly_Inspections!$H161</f>
        <v/>
      </c>
      <c r="F161" s="23">
        <f>IF(Weekly_Inspections!$AX161&lt;&gt;"",Weekly_Inspections!$AX161,IF(Weekly_Inspections!$AY161&lt;&gt;"",Weekly_Inspections!$AY161,IF(Weekly_Inspections!$AZ161&lt;&gt;"",Weekly_Inspections!$AZ161,IF(Weekly_Inspections!$BA161&lt;&gt;"",Weekly_Inspections!$BA161,IF(Weekly_Inspections!$BB161&lt;&gt;"",Weekly_Inspections!$BB161,Weekly_Inspections!$R161)))))</f>
        <v>0</v>
      </c>
      <c r="G161" s="23" t="str">
        <f>IF(OR(Weekly_Inspections!$AQ161&lt;&gt;"",Weekly_Inspections!$AR161&lt;&gt;"",Weekly_Inspections!$AS161&lt;&gt;""),Weekly_Inspections!$AQ161,"")</f>
        <v/>
      </c>
      <c r="H161" s="23">
        <f>Weekly_Inspections!$AP161</f>
        <v>0</v>
      </c>
      <c r="I161" s="23">
        <f>Weekly_Inspections!$AR161</f>
        <v>0</v>
      </c>
      <c r="J161" s="23">
        <f>Weekly_Inspections!$AS161</f>
        <v>0</v>
      </c>
      <c r="K161" s="23">
        <f>Weekly_Inspections!$AU161</f>
        <v>0</v>
      </c>
      <c r="L161" s="22">
        <f>Weekly_Inspections!$AV161</f>
        <v>0</v>
      </c>
      <c r="M161" s="23" t="str">
        <f t="shared" si="6"/>
        <v>Open</v>
      </c>
      <c r="N161" s="22"/>
      <c r="O161" s="21">
        <f t="shared" ca="1" si="7"/>
        <v>46113</v>
      </c>
      <c r="P161" s="21" t="str">
        <f t="shared" ca="1" si="8"/>
        <v>YES</v>
      </c>
      <c r="Q161" s="23">
        <f>Weekly_Inspections!$AW161</f>
        <v>0</v>
      </c>
    </row>
    <row r="162" spans="1:17" ht="15" customHeight="1" x14ac:dyDescent="0.2">
      <c r="A162" s="21" t="str">
        <f>IF(Weekly_Inspections!$B162="","",Weekly_Inspections!$A162&amp;"-A1")</f>
        <v/>
      </c>
      <c r="B162" s="22">
        <f>Weekly_Inspections!$B162</f>
        <v>0</v>
      </c>
      <c r="C162" s="23">
        <f>Weekly_Inspections!$E162</f>
        <v>0</v>
      </c>
      <c r="D162" s="23">
        <f>Weekly_Inspections!$F162</f>
        <v>0</v>
      </c>
      <c r="E162" s="21" t="str">
        <f>Weekly_Inspections!$H162</f>
        <v/>
      </c>
      <c r="F162" s="23">
        <f>IF(Weekly_Inspections!$AX162&lt;&gt;"",Weekly_Inspections!$AX162,IF(Weekly_Inspections!$AY162&lt;&gt;"",Weekly_Inspections!$AY162,IF(Weekly_Inspections!$AZ162&lt;&gt;"",Weekly_Inspections!$AZ162,IF(Weekly_Inspections!$BA162&lt;&gt;"",Weekly_Inspections!$BA162,IF(Weekly_Inspections!$BB162&lt;&gt;"",Weekly_Inspections!$BB162,Weekly_Inspections!$R162)))))</f>
        <v>0</v>
      </c>
      <c r="G162" s="23" t="str">
        <f>IF(OR(Weekly_Inspections!$AQ162&lt;&gt;"",Weekly_Inspections!$AR162&lt;&gt;"",Weekly_Inspections!$AS162&lt;&gt;""),Weekly_Inspections!$AQ162,"")</f>
        <v/>
      </c>
      <c r="H162" s="23">
        <f>Weekly_Inspections!$AP162</f>
        <v>0</v>
      </c>
      <c r="I162" s="23">
        <f>Weekly_Inspections!$AR162</f>
        <v>0</v>
      </c>
      <c r="J162" s="23">
        <f>Weekly_Inspections!$AS162</f>
        <v>0</v>
      </c>
      <c r="K162" s="23">
        <f>Weekly_Inspections!$AU162</f>
        <v>0</v>
      </c>
      <c r="L162" s="22">
        <f>Weekly_Inspections!$AV162</f>
        <v>0</v>
      </c>
      <c r="M162" s="23" t="str">
        <f t="shared" si="6"/>
        <v>Open</v>
      </c>
      <c r="N162" s="22"/>
      <c r="O162" s="21">
        <f t="shared" ca="1" si="7"/>
        <v>46113</v>
      </c>
      <c r="P162" s="21" t="str">
        <f t="shared" ca="1" si="8"/>
        <v>YES</v>
      </c>
      <c r="Q162" s="23">
        <f>Weekly_Inspections!$AW162</f>
        <v>0</v>
      </c>
    </row>
    <row r="163" spans="1:17" ht="15" customHeight="1" x14ac:dyDescent="0.2">
      <c r="A163" s="21" t="str">
        <f>IF(Weekly_Inspections!$B163="","",Weekly_Inspections!$A163&amp;"-A1")</f>
        <v/>
      </c>
      <c r="B163" s="22">
        <f>Weekly_Inspections!$B163</f>
        <v>0</v>
      </c>
      <c r="C163" s="23">
        <f>Weekly_Inspections!$E163</f>
        <v>0</v>
      </c>
      <c r="D163" s="23">
        <f>Weekly_Inspections!$F163</f>
        <v>0</v>
      </c>
      <c r="E163" s="21" t="str">
        <f>Weekly_Inspections!$H163</f>
        <v/>
      </c>
      <c r="F163" s="23">
        <f>IF(Weekly_Inspections!$AX163&lt;&gt;"",Weekly_Inspections!$AX163,IF(Weekly_Inspections!$AY163&lt;&gt;"",Weekly_Inspections!$AY163,IF(Weekly_Inspections!$AZ163&lt;&gt;"",Weekly_Inspections!$AZ163,IF(Weekly_Inspections!$BA163&lt;&gt;"",Weekly_Inspections!$BA163,IF(Weekly_Inspections!$BB163&lt;&gt;"",Weekly_Inspections!$BB163,Weekly_Inspections!$R163)))))</f>
        <v>0</v>
      </c>
      <c r="G163" s="23" t="str">
        <f>IF(OR(Weekly_Inspections!$AQ163&lt;&gt;"",Weekly_Inspections!$AR163&lt;&gt;"",Weekly_Inspections!$AS163&lt;&gt;""),Weekly_Inspections!$AQ163,"")</f>
        <v/>
      </c>
      <c r="H163" s="23">
        <f>Weekly_Inspections!$AP163</f>
        <v>0</v>
      </c>
      <c r="I163" s="23">
        <f>Weekly_Inspections!$AR163</f>
        <v>0</v>
      </c>
      <c r="J163" s="23">
        <f>Weekly_Inspections!$AS163</f>
        <v>0</v>
      </c>
      <c r="K163" s="23">
        <f>Weekly_Inspections!$AU163</f>
        <v>0</v>
      </c>
      <c r="L163" s="22">
        <f>Weekly_Inspections!$AV163</f>
        <v>0</v>
      </c>
      <c r="M163" s="23" t="str">
        <f t="shared" si="6"/>
        <v>Open</v>
      </c>
      <c r="N163" s="22"/>
      <c r="O163" s="21">
        <f t="shared" ca="1" si="7"/>
        <v>46113</v>
      </c>
      <c r="P163" s="21" t="str">
        <f t="shared" ca="1" si="8"/>
        <v>YES</v>
      </c>
      <c r="Q163" s="23">
        <f>Weekly_Inspections!$AW163</f>
        <v>0</v>
      </c>
    </row>
    <row r="164" spans="1:17" ht="15" customHeight="1" x14ac:dyDescent="0.2">
      <c r="A164" s="21" t="str">
        <f>IF(Weekly_Inspections!$B164="","",Weekly_Inspections!$A164&amp;"-A1")</f>
        <v/>
      </c>
      <c r="B164" s="22">
        <f>Weekly_Inspections!$B164</f>
        <v>0</v>
      </c>
      <c r="C164" s="23">
        <f>Weekly_Inspections!$E164</f>
        <v>0</v>
      </c>
      <c r="D164" s="23">
        <f>Weekly_Inspections!$F164</f>
        <v>0</v>
      </c>
      <c r="E164" s="21" t="str">
        <f>Weekly_Inspections!$H164</f>
        <v/>
      </c>
      <c r="F164" s="23">
        <f>IF(Weekly_Inspections!$AX164&lt;&gt;"",Weekly_Inspections!$AX164,IF(Weekly_Inspections!$AY164&lt;&gt;"",Weekly_Inspections!$AY164,IF(Weekly_Inspections!$AZ164&lt;&gt;"",Weekly_Inspections!$AZ164,IF(Weekly_Inspections!$BA164&lt;&gt;"",Weekly_Inspections!$BA164,IF(Weekly_Inspections!$BB164&lt;&gt;"",Weekly_Inspections!$BB164,Weekly_Inspections!$R164)))))</f>
        <v>0</v>
      </c>
      <c r="G164" s="23" t="str">
        <f>IF(OR(Weekly_Inspections!$AQ164&lt;&gt;"",Weekly_Inspections!$AR164&lt;&gt;"",Weekly_Inspections!$AS164&lt;&gt;""),Weekly_Inspections!$AQ164,"")</f>
        <v/>
      </c>
      <c r="H164" s="23">
        <f>Weekly_Inspections!$AP164</f>
        <v>0</v>
      </c>
      <c r="I164" s="23">
        <f>Weekly_Inspections!$AR164</f>
        <v>0</v>
      </c>
      <c r="J164" s="23">
        <f>Weekly_Inspections!$AS164</f>
        <v>0</v>
      </c>
      <c r="K164" s="23">
        <f>Weekly_Inspections!$AU164</f>
        <v>0</v>
      </c>
      <c r="L164" s="22">
        <f>Weekly_Inspections!$AV164</f>
        <v>0</v>
      </c>
      <c r="M164" s="23" t="str">
        <f t="shared" si="6"/>
        <v>Open</v>
      </c>
      <c r="N164" s="22"/>
      <c r="O164" s="21">
        <f t="shared" ca="1" si="7"/>
        <v>46113</v>
      </c>
      <c r="P164" s="21" t="str">
        <f t="shared" ca="1" si="8"/>
        <v>YES</v>
      </c>
      <c r="Q164" s="23">
        <f>Weekly_Inspections!$AW164</f>
        <v>0</v>
      </c>
    </row>
    <row r="165" spans="1:17" ht="15" customHeight="1" x14ac:dyDescent="0.2">
      <c r="A165" s="21" t="str">
        <f>IF(Weekly_Inspections!$B165="","",Weekly_Inspections!$A165&amp;"-A1")</f>
        <v/>
      </c>
      <c r="B165" s="22">
        <f>Weekly_Inspections!$B165</f>
        <v>0</v>
      </c>
      <c r="C165" s="23">
        <f>Weekly_Inspections!$E165</f>
        <v>0</v>
      </c>
      <c r="D165" s="23">
        <f>Weekly_Inspections!$F165</f>
        <v>0</v>
      </c>
      <c r="E165" s="21" t="str">
        <f>Weekly_Inspections!$H165</f>
        <v/>
      </c>
      <c r="F165" s="23">
        <f>IF(Weekly_Inspections!$AX165&lt;&gt;"",Weekly_Inspections!$AX165,IF(Weekly_Inspections!$AY165&lt;&gt;"",Weekly_Inspections!$AY165,IF(Weekly_Inspections!$AZ165&lt;&gt;"",Weekly_Inspections!$AZ165,IF(Weekly_Inspections!$BA165&lt;&gt;"",Weekly_Inspections!$BA165,IF(Weekly_Inspections!$BB165&lt;&gt;"",Weekly_Inspections!$BB165,Weekly_Inspections!$R165)))))</f>
        <v>0</v>
      </c>
      <c r="G165" s="23" t="str">
        <f>IF(OR(Weekly_Inspections!$AQ165&lt;&gt;"",Weekly_Inspections!$AR165&lt;&gt;"",Weekly_Inspections!$AS165&lt;&gt;""),Weekly_Inspections!$AQ165,"")</f>
        <v/>
      </c>
      <c r="H165" s="23">
        <f>Weekly_Inspections!$AP165</f>
        <v>0</v>
      </c>
      <c r="I165" s="23">
        <f>Weekly_Inspections!$AR165</f>
        <v>0</v>
      </c>
      <c r="J165" s="23">
        <f>Weekly_Inspections!$AS165</f>
        <v>0</v>
      </c>
      <c r="K165" s="23">
        <f>Weekly_Inspections!$AU165</f>
        <v>0</v>
      </c>
      <c r="L165" s="22">
        <f>Weekly_Inspections!$AV165</f>
        <v>0</v>
      </c>
      <c r="M165" s="23" t="str">
        <f t="shared" si="6"/>
        <v>Open</v>
      </c>
      <c r="N165" s="22"/>
      <c r="O165" s="21">
        <f t="shared" ca="1" si="7"/>
        <v>46113</v>
      </c>
      <c r="P165" s="21" t="str">
        <f t="shared" ca="1" si="8"/>
        <v>YES</v>
      </c>
      <c r="Q165" s="23">
        <f>Weekly_Inspections!$AW165</f>
        <v>0</v>
      </c>
    </row>
    <row r="166" spans="1:17" ht="15" customHeight="1" x14ac:dyDescent="0.2">
      <c r="A166" s="21" t="str">
        <f>IF(Weekly_Inspections!$B166="","",Weekly_Inspections!$A166&amp;"-A1")</f>
        <v/>
      </c>
      <c r="B166" s="22">
        <f>Weekly_Inspections!$B166</f>
        <v>0</v>
      </c>
      <c r="C166" s="23">
        <f>Weekly_Inspections!$E166</f>
        <v>0</v>
      </c>
      <c r="D166" s="23">
        <f>Weekly_Inspections!$F166</f>
        <v>0</v>
      </c>
      <c r="E166" s="21" t="str">
        <f>Weekly_Inspections!$H166</f>
        <v/>
      </c>
      <c r="F166" s="23">
        <f>IF(Weekly_Inspections!$AX166&lt;&gt;"",Weekly_Inspections!$AX166,IF(Weekly_Inspections!$AY166&lt;&gt;"",Weekly_Inspections!$AY166,IF(Weekly_Inspections!$AZ166&lt;&gt;"",Weekly_Inspections!$AZ166,IF(Weekly_Inspections!$BA166&lt;&gt;"",Weekly_Inspections!$BA166,IF(Weekly_Inspections!$BB166&lt;&gt;"",Weekly_Inspections!$BB166,Weekly_Inspections!$R166)))))</f>
        <v>0</v>
      </c>
      <c r="G166" s="23" t="str">
        <f>IF(OR(Weekly_Inspections!$AQ166&lt;&gt;"",Weekly_Inspections!$AR166&lt;&gt;"",Weekly_Inspections!$AS166&lt;&gt;""),Weekly_Inspections!$AQ166,"")</f>
        <v/>
      </c>
      <c r="H166" s="23">
        <f>Weekly_Inspections!$AP166</f>
        <v>0</v>
      </c>
      <c r="I166" s="23">
        <f>Weekly_Inspections!$AR166</f>
        <v>0</v>
      </c>
      <c r="J166" s="23">
        <f>Weekly_Inspections!$AS166</f>
        <v>0</v>
      </c>
      <c r="K166" s="23">
        <f>Weekly_Inspections!$AU166</f>
        <v>0</v>
      </c>
      <c r="L166" s="22">
        <f>Weekly_Inspections!$AV166</f>
        <v>0</v>
      </c>
      <c r="M166" s="23" t="str">
        <f t="shared" si="6"/>
        <v>Open</v>
      </c>
      <c r="N166" s="22"/>
      <c r="O166" s="21">
        <f t="shared" ca="1" si="7"/>
        <v>46113</v>
      </c>
      <c r="P166" s="21" t="str">
        <f t="shared" ca="1" si="8"/>
        <v>YES</v>
      </c>
      <c r="Q166" s="23">
        <f>Weekly_Inspections!$AW166</f>
        <v>0</v>
      </c>
    </row>
    <row r="167" spans="1:17" ht="15" customHeight="1" x14ac:dyDescent="0.2">
      <c r="A167" s="21" t="str">
        <f>IF(Weekly_Inspections!$B167="","",Weekly_Inspections!$A167&amp;"-A1")</f>
        <v/>
      </c>
      <c r="B167" s="22">
        <f>Weekly_Inspections!$B167</f>
        <v>0</v>
      </c>
      <c r="C167" s="23">
        <f>Weekly_Inspections!$E167</f>
        <v>0</v>
      </c>
      <c r="D167" s="23">
        <f>Weekly_Inspections!$F167</f>
        <v>0</v>
      </c>
      <c r="E167" s="21" t="str">
        <f>Weekly_Inspections!$H167</f>
        <v/>
      </c>
      <c r="F167" s="23">
        <f>IF(Weekly_Inspections!$AX167&lt;&gt;"",Weekly_Inspections!$AX167,IF(Weekly_Inspections!$AY167&lt;&gt;"",Weekly_Inspections!$AY167,IF(Weekly_Inspections!$AZ167&lt;&gt;"",Weekly_Inspections!$AZ167,IF(Weekly_Inspections!$BA167&lt;&gt;"",Weekly_Inspections!$BA167,IF(Weekly_Inspections!$BB167&lt;&gt;"",Weekly_Inspections!$BB167,Weekly_Inspections!$R167)))))</f>
        <v>0</v>
      </c>
      <c r="G167" s="23" t="str">
        <f>IF(OR(Weekly_Inspections!$AQ167&lt;&gt;"",Weekly_Inspections!$AR167&lt;&gt;"",Weekly_Inspections!$AS167&lt;&gt;""),Weekly_Inspections!$AQ167,"")</f>
        <v/>
      </c>
      <c r="H167" s="23">
        <f>Weekly_Inspections!$AP167</f>
        <v>0</v>
      </c>
      <c r="I167" s="23">
        <f>Weekly_Inspections!$AR167</f>
        <v>0</v>
      </c>
      <c r="J167" s="23">
        <f>Weekly_Inspections!$AS167</f>
        <v>0</v>
      </c>
      <c r="K167" s="23">
        <f>Weekly_Inspections!$AU167</f>
        <v>0</v>
      </c>
      <c r="L167" s="22">
        <f>Weekly_Inspections!$AV167</f>
        <v>0</v>
      </c>
      <c r="M167" s="23" t="str">
        <f t="shared" si="6"/>
        <v>Open</v>
      </c>
      <c r="N167" s="22"/>
      <c r="O167" s="21">
        <f t="shared" ca="1" si="7"/>
        <v>46113</v>
      </c>
      <c r="P167" s="21" t="str">
        <f t="shared" ca="1" si="8"/>
        <v>YES</v>
      </c>
      <c r="Q167" s="23">
        <f>Weekly_Inspections!$AW167</f>
        <v>0</v>
      </c>
    </row>
    <row r="168" spans="1:17" ht="15" customHeight="1" x14ac:dyDescent="0.2">
      <c r="A168" s="21" t="str">
        <f>IF(Weekly_Inspections!$B168="","",Weekly_Inspections!$A168&amp;"-A1")</f>
        <v/>
      </c>
      <c r="B168" s="22">
        <f>Weekly_Inspections!$B168</f>
        <v>0</v>
      </c>
      <c r="C168" s="23">
        <f>Weekly_Inspections!$E168</f>
        <v>0</v>
      </c>
      <c r="D168" s="23">
        <f>Weekly_Inspections!$F168</f>
        <v>0</v>
      </c>
      <c r="E168" s="21" t="str">
        <f>Weekly_Inspections!$H168</f>
        <v/>
      </c>
      <c r="F168" s="23">
        <f>IF(Weekly_Inspections!$AX168&lt;&gt;"",Weekly_Inspections!$AX168,IF(Weekly_Inspections!$AY168&lt;&gt;"",Weekly_Inspections!$AY168,IF(Weekly_Inspections!$AZ168&lt;&gt;"",Weekly_Inspections!$AZ168,IF(Weekly_Inspections!$BA168&lt;&gt;"",Weekly_Inspections!$BA168,IF(Weekly_Inspections!$BB168&lt;&gt;"",Weekly_Inspections!$BB168,Weekly_Inspections!$R168)))))</f>
        <v>0</v>
      </c>
      <c r="G168" s="23" t="str">
        <f>IF(OR(Weekly_Inspections!$AQ168&lt;&gt;"",Weekly_Inspections!$AR168&lt;&gt;"",Weekly_Inspections!$AS168&lt;&gt;""),Weekly_Inspections!$AQ168,"")</f>
        <v/>
      </c>
      <c r="H168" s="23">
        <f>Weekly_Inspections!$AP168</f>
        <v>0</v>
      </c>
      <c r="I168" s="23">
        <f>Weekly_Inspections!$AR168</f>
        <v>0</v>
      </c>
      <c r="J168" s="23">
        <f>Weekly_Inspections!$AS168</f>
        <v>0</v>
      </c>
      <c r="K168" s="23">
        <f>Weekly_Inspections!$AU168</f>
        <v>0</v>
      </c>
      <c r="L168" s="22">
        <f>Weekly_Inspections!$AV168</f>
        <v>0</v>
      </c>
      <c r="M168" s="23" t="str">
        <f t="shared" si="6"/>
        <v>Open</v>
      </c>
      <c r="N168" s="22"/>
      <c r="O168" s="21">
        <f t="shared" ca="1" si="7"/>
        <v>46113</v>
      </c>
      <c r="P168" s="21" t="str">
        <f t="shared" ca="1" si="8"/>
        <v>YES</v>
      </c>
      <c r="Q168" s="23">
        <f>Weekly_Inspections!$AW168</f>
        <v>0</v>
      </c>
    </row>
    <row r="169" spans="1:17" ht="15" customHeight="1" x14ac:dyDescent="0.2">
      <c r="A169" s="21" t="str">
        <f>IF(Weekly_Inspections!$B169="","",Weekly_Inspections!$A169&amp;"-A1")</f>
        <v/>
      </c>
      <c r="B169" s="22">
        <f>Weekly_Inspections!$B169</f>
        <v>0</v>
      </c>
      <c r="C169" s="23">
        <f>Weekly_Inspections!$E169</f>
        <v>0</v>
      </c>
      <c r="D169" s="23">
        <f>Weekly_Inspections!$F169</f>
        <v>0</v>
      </c>
      <c r="E169" s="21" t="str">
        <f>Weekly_Inspections!$H169</f>
        <v/>
      </c>
      <c r="F169" s="23">
        <f>IF(Weekly_Inspections!$AX169&lt;&gt;"",Weekly_Inspections!$AX169,IF(Weekly_Inspections!$AY169&lt;&gt;"",Weekly_Inspections!$AY169,IF(Weekly_Inspections!$AZ169&lt;&gt;"",Weekly_Inspections!$AZ169,IF(Weekly_Inspections!$BA169&lt;&gt;"",Weekly_Inspections!$BA169,IF(Weekly_Inspections!$BB169&lt;&gt;"",Weekly_Inspections!$BB169,Weekly_Inspections!$R169)))))</f>
        <v>0</v>
      </c>
      <c r="G169" s="23" t="str">
        <f>IF(OR(Weekly_Inspections!$AQ169&lt;&gt;"",Weekly_Inspections!$AR169&lt;&gt;"",Weekly_Inspections!$AS169&lt;&gt;""),Weekly_Inspections!$AQ169,"")</f>
        <v/>
      </c>
      <c r="H169" s="23">
        <f>Weekly_Inspections!$AP169</f>
        <v>0</v>
      </c>
      <c r="I169" s="23">
        <f>Weekly_Inspections!$AR169</f>
        <v>0</v>
      </c>
      <c r="J169" s="23">
        <f>Weekly_Inspections!$AS169</f>
        <v>0</v>
      </c>
      <c r="K169" s="23">
        <f>Weekly_Inspections!$AU169</f>
        <v>0</v>
      </c>
      <c r="L169" s="22">
        <f>Weekly_Inspections!$AV169</f>
        <v>0</v>
      </c>
      <c r="M169" s="23" t="str">
        <f t="shared" si="6"/>
        <v>Open</v>
      </c>
      <c r="N169" s="22"/>
      <c r="O169" s="21">
        <f t="shared" ca="1" si="7"/>
        <v>46113</v>
      </c>
      <c r="P169" s="21" t="str">
        <f t="shared" ca="1" si="8"/>
        <v>YES</v>
      </c>
      <c r="Q169" s="23">
        <f>Weekly_Inspections!$AW169</f>
        <v>0</v>
      </c>
    </row>
    <row r="170" spans="1:17" ht="15" customHeight="1" x14ac:dyDescent="0.2">
      <c r="A170" s="21" t="str">
        <f>IF(Weekly_Inspections!$B170="","",Weekly_Inspections!$A170&amp;"-A1")</f>
        <v/>
      </c>
      <c r="B170" s="22">
        <f>Weekly_Inspections!$B170</f>
        <v>0</v>
      </c>
      <c r="C170" s="23">
        <f>Weekly_Inspections!$E170</f>
        <v>0</v>
      </c>
      <c r="D170" s="23">
        <f>Weekly_Inspections!$F170</f>
        <v>0</v>
      </c>
      <c r="E170" s="21" t="str">
        <f>Weekly_Inspections!$H170</f>
        <v/>
      </c>
      <c r="F170" s="23">
        <f>IF(Weekly_Inspections!$AX170&lt;&gt;"",Weekly_Inspections!$AX170,IF(Weekly_Inspections!$AY170&lt;&gt;"",Weekly_Inspections!$AY170,IF(Weekly_Inspections!$AZ170&lt;&gt;"",Weekly_Inspections!$AZ170,IF(Weekly_Inspections!$BA170&lt;&gt;"",Weekly_Inspections!$BA170,IF(Weekly_Inspections!$BB170&lt;&gt;"",Weekly_Inspections!$BB170,Weekly_Inspections!$R170)))))</f>
        <v>0</v>
      </c>
      <c r="G170" s="23" t="str">
        <f>IF(OR(Weekly_Inspections!$AQ170&lt;&gt;"",Weekly_Inspections!$AR170&lt;&gt;"",Weekly_Inspections!$AS170&lt;&gt;""),Weekly_Inspections!$AQ170,"")</f>
        <v/>
      </c>
      <c r="H170" s="23">
        <f>Weekly_Inspections!$AP170</f>
        <v>0</v>
      </c>
      <c r="I170" s="23">
        <f>Weekly_Inspections!$AR170</f>
        <v>0</v>
      </c>
      <c r="J170" s="23">
        <f>Weekly_Inspections!$AS170</f>
        <v>0</v>
      </c>
      <c r="K170" s="23">
        <f>Weekly_Inspections!$AU170</f>
        <v>0</v>
      </c>
      <c r="L170" s="22">
        <f>Weekly_Inspections!$AV170</f>
        <v>0</v>
      </c>
      <c r="M170" s="23" t="str">
        <f t="shared" si="6"/>
        <v>Open</v>
      </c>
      <c r="N170" s="22"/>
      <c r="O170" s="21">
        <f t="shared" ca="1" si="7"/>
        <v>46113</v>
      </c>
      <c r="P170" s="21" t="str">
        <f t="shared" ca="1" si="8"/>
        <v>YES</v>
      </c>
      <c r="Q170" s="23">
        <f>Weekly_Inspections!$AW170</f>
        <v>0</v>
      </c>
    </row>
    <row r="171" spans="1:17" ht="15" customHeight="1" x14ac:dyDescent="0.2">
      <c r="A171" s="21" t="str">
        <f>IF(Weekly_Inspections!$B171="","",Weekly_Inspections!$A171&amp;"-A1")</f>
        <v/>
      </c>
      <c r="B171" s="22">
        <f>Weekly_Inspections!$B171</f>
        <v>0</v>
      </c>
      <c r="C171" s="23">
        <f>Weekly_Inspections!$E171</f>
        <v>0</v>
      </c>
      <c r="D171" s="23">
        <f>Weekly_Inspections!$F171</f>
        <v>0</v>
      </c>
      <c r="E171" s="21" t="str">
        <f>Weekly_Inspections!$H171</f>
        <v/>
      </c>
      <c r="F171" s="23">
        <f>IF(Weekly_Inspections!$AX171&lt;&gt;"",Weekly_Inspections!$AX171,IF(Weekly_Inspections!$AY171&lt;&gt;"",Weekly_Inspections!$AY171,IF(Weekly_Inspections!$AZ171&lt;&gt;"",Weekly_Inspections!$AZ171,IF(Weekly_Inspections!$BA171&lt;&gt;"",Weekly_Inspections!$BA171,IF(Weekly_Inspections!$BB171&lt;&gt;"",Weekly_Inspections!$BB171,Weekly_Inspections!$R171)))))</f>
        <v>0</v>
      </c>
      <c r="G171" s="23" t="str">
        <f>IF(OR(Weekly_Inspections!$AQ171&lt;&gt;"",Weekly_Inspections!$AR171&lt;&gt;"",Weekly_Inspections!$AS171&lt;&gt;""),Weekly_Inspections!$AQ171,"")</f>
        <v/>
      </c>
      <c r="H171" s="23">
        <f>Weekly_Inspections!$AP171</f>
        <v>0</v>
      </c>
      <c r="I171" s="23">
        <f>Weekly_Inspections!$AR171</f>
        <v>0</v>
      </c>
      <c r="J171" s="23">
        <f>Weekly_Inspections!$AS171</f>
        <v>0</v>
      </c>
      <c r="K171" s="23">
        <f>Weekly_Inspections!$AU171</f>
        <v>0</v>
      </c>
      <c r="L171" s="22">
        <f>Weekly_Inspections!$AV171</f>
        <v>0</v>
      </c>
      <c r="M171" s="23" t="str">
        <f t="shared" si="6"/>
        <v>Open</v>
      </c>
      <c r="N171" s="22"/>
      <c r="O171" s="21">
        <f t="shared" ca="1" si="7"/>
        <v>46113</v>
      </c>
      <c r="P171" s="21" t="str">
        <f t="shared" ca="1" si="8"/>
        <v>YES</v>
      </c>
      <c r="Q171" s="23">
        <f>Weekly_Inspections!$AW171</f>
        <v>0</v>
      </c>
    </row>
    <row r="172" spans="1:17" ht="15" customHeight="1" x14ac:dyDescent="0.2">
      <c r="A172" s="21" t="str">
        <f>IF(Weekly_Inspections!$B172="","",Weekly_Inspections!$A172&amp;"-A1")</f>
        <v/>
      </c>
      <c r="B172" s="22">
        <f>Weekly_Inspections!$B172</f>
        <v>0</v>
      </c>
      <c r="C172" s="23">
        <f>Weekly_Inspections!$E172</f>
        <v>0</v>
      </c>
      <c r="D172" s="23">
        <f>Weekly_Inspections!$F172</f>
        <v>0</v>
      </c>
      <c r="E172" s="21" t="str">
        <f>Weekly_Inspections!$H172</f>
        <v/>
      </c>
      <c r="F172" s="23">
        <f>IF(Weekly_Inspections!$AX172&lt;&gt;"",Weekly_Inspections!$AX172,IF(Weekly_Inspections!$AY172&lt;&gt;"",Weekly_Inspections!$AY172,IF(Weekly_Inspections!$AZ172&lt;&gt;"",Weekly_Inspections!$AZ172,IF(Weekly_Inspections!$BA172&lt;&gt;"",Weekly_Inspections!$BA172,IF(Weekly_Inspections!$BB172&lt;&gt;"",Weekly_Inspections!$BB172,Weekly_Inspections!$R172)))))</f>
        <v>0</v>
      </c>
      <c r="G172" s="23" t="str">
        <f>IF(OR(Weekly_Inspections!$AQ172&lt;&gt;"",Weekly_Inspections!$AR172&lt;&gt;"",Weekly_Inspections!$AS172&lt;&gt;""),Weekly_Inspections!$AQ172,"")</f>
        <v/>
      </c>
      <c r="H172" s="23">
        <f>Weekly_Inspections!$AP172</f>
        <v>0</v>
      </c>
      <c r="I172" s="23">
        <f>Weekly_Inspections!$AR172</f>
        <v>0</v>
      </c>
      <c r="J172" s="23">
        <f>Weekly_Inspections!$AS172</f>
        <v>0</v>
      </c>
      <c r="K172" s="23">
        <f>Weekly_Inspections!$AU172</f>
        <v>0</v>
      </c>
      <c r="L172" s="22">
        <f>Weekly_Inspections!$AV172</f>
        <v>0</v>
      </c>
      <c r="M172" s="23" t="str">
        <f t="shared" si="6"/>
        <v>Open</v>
      </c>
      <c r="N172" s="22"/>
      <c r="O172" s="21">
        <f t="shared" ca="1" si="7"/>
        <v>46113</v>
      </c>
      <c r="P172" s="21" t="str">
        <f t="shared" ca="1" si="8"/>
        <v>YES</v>
      </c>
      <c r="Q172" s="23">
        <f>Weekly_Inspections!$AW172</f>
        <v>0</v>
      </c>
    </row>
    <row r="173" spans="1:17" ht="15" customHeight="1" x14ac:dyDescent="0.2">
      <c r="A173" s="21" t="str">
        <f>IF(Weekly_Inspections!$B173="","",Weekly_Inspections!$A173&amp;"-A1")</f>
        <v/>
      </c>
      <c r="B173" s="22">
        <f>Weekly_Inspections!$B173</f>
        <v>0</v>
      </c>
      <c r="C173" s="23">
        <f>Weekly_Inspections!$E173</f>
        <v>0</v>
      </c>
      <c r="D173" s="23">
        <f>Weekly_Inspections!$F173</f>
        <v>0</v>
      </c>
      <c r="E173" s="21" t="str">
        <f>Weekly_Inspections!$H173</f>
        <v/>
      </c>
      <c r="F173" s="23">
        <f>IF(Weekly_Inspections!$AX173&lt;&gt;"",Weekly_Inspections!$AX173,IF(Weekly_Inspections!$AY173&lt;&gt;"",Weekly_Inspections!$AY173,IF(Weekly_Inspections!$AZ173&lt;&gt;"",Weekly_Inspections!$AZ173,IF(Weekly_Inspections!$BA173&lt;&gt;"",Weekly_Inspections!$BA173,IF(Weekly_Inspections!$BB173&lt;&gt;"",Weekly_Inspections!$BB173,Weekly_Inspections!$R173)))))</f>
        <v>0</v>
      </c>
      <c r="G173" s="23" t="str">
        <f>IF(OR(Weekly_Inspections!$AQ173&lt;&gt;"",Weekly_Inspections!$AR173&lt;&gt;"",Weekly_Inspections!$AS173&lt;&gt;""),Weekly_Inspections!$AQ173,"")</f>
        <v/>
      </c>
      <c r="H173" s="23">
        <f>Weekly_Inspections!$AP173</f>
        <v>0</v>
      </c>
      <c r="I173" s="23">
        <f>Weekly_Inspections!$AR173</f>
        <v>0</v>
      </c>
      <c r="J173" s="23">
        <f>Weekly_Inspections!$AS173</f>
        <v>0</v>
      </c>
      <c r="K173" s="23">
        <f>Weekly_Inspections!$AU173</f>
        <v>0</v>
      </c>
      <c r="L173" s="22">
        <f>Weekly_Inspections!$AV173</f>
        <v>0</v>
      </c>
      <c r="M173" s="23" t="str">
        <f t="shared" si="6"/>
        <v>Open</v>
      </c>
      <c r="N173" s="22"/>
      <c r="O173" s="21">
        <f t="shared" ca="1" si="7"/>
        <v>46113</v>
      </c>
      <c r="P173" s="21" t="str">
        <f t="shared" ca="1" si="8"/>
        <v>YES</v>
      </c>
      <c r="Q173" s="23">
        <f>Weekly_Inspections!$AW173</f>
        <v>0</v>
      </c>
    </row>
    <row r="174" spans="1:17" ht="15" customHeight="1" x14ac:dyDescent="0.2">
      <c r="A174" s="21" t="str">
        <f>IF(Weekly_Inspections!$B174="","",Weekly_Inspections!$A174&amp;"-A1")</f>
        <v/>
      </c>
      <c r="B174" s="22">
        <f>Weekly_Inspections!$B174</f>
        <v>0</v>
      </c>
      <c r="C174" s="23">
        <f>Weekly_Inspections!$E174</f>
        <v>0</v>
      </c>
      <c r="D174" s="23">
        <f>Weekly_Inspections!$F174</f>
        <v>0</v>
      </c>
      <c r="E174" s="21" t="str">
        <f>Weekly_Inspections!$H174</f>
        <v/>
      </c>
      <c r="F174" s="23">
        <f>IF(Weekly_Inspections!$AX174&lt;&gt;"",Weekly_Inspections!$AX174,IF(Weekly_Inspections!$AY174&lt;&gt;"",Weekly_Inspections!$AY174,IF(Weekly_Inspections!$AZ174&lt;&gt;"",Weekly_Inspections!$AZ174,IF(Weekly_Inspections!$BA174&lt;&gt;"",Weekly_Inspections!$BA174,IF(Weekly_Inspections!$BB174&lt;&gt;"",Weekly_Inspections!$BB174,Weekly_Inspections!$R174)))))</f>
        <v>0</v>
      </c>
      <c r="G174" s="23" t="str">
        <f>IF(OR(Weekly_Inspections!$AQ174&lt;&gt;"",Weekly_Inspections!$AR174&lt;&gt;"",Weekly_Inspections!$AS174&lt;&gt;""),Weekly_Inspections!$AQ174,"")</f>
        <v/>
      </c>
      <c r="H174" s="23">
        <f>Weekly_Inspections!$AP174</f>
        <v>0</v>
      </c>
      <c r="I174" s="23">
        <f>Weekly_Inspections!$AR174</f>
        <v>0</v>
      </c>
      <c r="J174" s="23">
        <f>Weekly_Inspections!$AS174</f>
        <v>0</v>
      </c>
      <c r="K174" s="23">
        <f>Weekly_Inspections!$AU174</f>
        <v>0</v>
      </c>
      <c r="L174" s="22">
        <f>Weekly_Inspections!$AV174</f>
        <v>0</v>
      </c>
      <c r="M174" s="23" t="str">
        <f t="shared" si="6"/>
        <v>Open</v>
      </c>
      <c r="N174" s="22"/>
      <c r="O174" s="21">
        <f t="shared" ca="1" si="7"/>
        <v>46113</v>
      </c>
      <c r="P174" s="21" t="str">
        <f t="shared" ca="1" si="8"/>
        <v>YES</v>
      </c>
      <c r="Q174" s="23">
        <f>Weekly_Inspections!$AW174</f>
        <v>0</v>
      </c>
    </row>
    <row r="175" spans="1:17" ht="15" customHeight="1" x14ac:dyDescent="0.2">
      <c r="A175" s="21" t="str">
        <f>IF(Weekly_Inspections!$B175="","",Weekly_Inspections!$A175&amp;"-A1")</f>
        <v/>
      </c>
      <c r="B175" s="22">
        <f>Weekly_Inspections!$B175</f>
        <v>0</v>
      </c>
      <c r="C175" s="23">
        <f>Weekly_Inspections!$E175</f>
        <v>0</v>
      </c>
      <c r="D175" s="23">
        <f>Weekly_Inspections!$F175</f>
        <v>0</v>
      </c>
      <c r="E175" s="21" t="str">
        <f>Weekly_Inspections!$H175</f>
        <v/>
      </c>
      <c r="F175" s="23">
        <f>IF(Weekly_Inspections!$AX175&lt;&gt;"",Weekly_Inspections!$AX175,IF(Weekly_Inspections!$AY175&lt;&gt;"",Weekly_Inspections!$AY175,IF(Weekly_Inspections!$AZ175&lt;&gt;"",Weekly_Inspections!$AZ175,IF(Weekly_Inspections!$BA175&lt;&gt;"",Weekly_Inspections!$BA175,IF(Weekly_Inspections!$BB175&lt;&gt;"",Weekly_Inspections!$BB175,Weekly_Inspections!$R175)))))</f>
        <v>0</v>
      </c>
      <c r="G175" s="23" t="str">
        <f>IF(OR(Weekly_Inspections!$AQ175&lt;&gt;"",Weekly_Inspections!$AR175&lt;&gt;"",Weekly_Inspections!$AS175&lt;&gt;""),Weekly_Inspections!$AQ175,"")</f>
        <v/>
      </c>
      <c r="H175" s="23">
        <f>Weekly_Inspections!$AP175</f>
        <v>0</v>
      </c>
      <c r="I175" s="23">
        <f>Weekly_Inspections!$AR175</f>
        <v>0</v>
      </c>
      <c r="J175" s="23">
        <f>Weekly_Inspections!$AS175</f>
        <v>0</v>
      </c>
      <c r="K175" s="23">
        <f>Weekly_Inspections!$AU175</f>
        <v>0</v>
      </c>
      <c r="L175" s="22">
        <f>Weekly_Inspections!$AV175</f>
        <v>0</v>
      </c>
      <c r="M175" s="23" t="str">
        <f t="shared" si="6"/>
        <v>Open</v>
      </c>
      <c r="N175" s="22"/>
      <c r="O175" s="21">
        <f t="shared" ca="1" si="7"/>
        <v>46113</v>
      </c>
      <c r="P175" s="21" t="str">
        <f t="shared" ca="1" si="8"/>
        <v>YES</v>
      </c>
      <c r="Q175" s="23">
        <f>Weekly_Inspections!$AW175</f>
        <v>0</v>
      </c>
    </row>
    <row r="176" spans="1:17" ht="15" customHeight="1" x14ac:dyDescent="0.2">
      <c r="A176" s="21" t="str">
        <f>IF(Weekly_Inspections!$B176="","",Weekly_Inspections!$A176&amp;"-A1")</f>
        <v/>
      </c>
      <c r="B176" s="22">
        <f>Weekly_Inspections!$B176</f>
        <v>0</v>
      </c>
      <c r="C176" s="23">
        <f>Weekly_Inspections!$E176</f>
        <v>0</v>
      </c>
      <c r="D176" s="23">
        <f>Weekly_Inspections!$F176</f>
        <v>0</v>
      </c>
      <c r="E176" s="21" t="str">
        <f>Weekly_Inspections!$H176</f>
        <v/>
      </c>
      <c r="F176" s="23">
        <f>IF(Weekly_Inspections!$AX176&lt;&gt;"",Weekly_Inspections!$AX176,IF(Weekly_Inspections!$AY176&lt;&gt;"",Weekly_Inspections!$AY176,IF(Weekly_Inspections!$AZ176&lt;&gt;"",Weekly_Inspections!$AZ176,IF(Weekly_Inspections!$BA176&lt;&gt;"",Weekly_Inspections!$BA176,IF(Weekly_Inspections!$BB176&lt;&gt;"",Weekly_Inspections!$BB176,Weekly_Inspections!$R176)))))</f>
        <v>0</v>
      </c>
      <c r="G176" s="23" t="str">
        <f>IF(OR(Weekly_Inspections!$AQ176&lt;&gt;"",Weekly_Inspections!$AR176&lt;&gt;"",Weekly_Inspections!$AS176&lt;&gt;""),Weekly_Inspections!$AQ176,"")</f>
        <v/>
      </c>
      <c r="H176" s="23">
        <f>Weekly_Inspections!$AP176</f>
        <v>0</v>
      </c>
      <c r="I176" s="23">
        <f>Weekly_Inspections!$AR176</f>
        <v>0</v>
      </c>
      <c r="J176" s="23">
        <f>Weekly_Inspections!$AS176</f>
        <v>0</v>
      </c>
      <c r="K176" s="23">
        <f>Weekly_Inspections!$AU176</f>
        <v>0</v>
      </c>
      <c r="L176" s="22">
        <f>Weekly_Inspections!$AV176</f>
        <v>0</v>
      </c>
      <c r="M176" s="23" t="str">
        <f t="shared" si="6"/>
        <v>Open</v>
      </c>
      <c r="N176" s="22"/>
      <c r="O176" s="21">
        <f t="shared" ca="1" si="7"/>
        <v>46113</v>
      </c>
      <c r="P176" s="21" t="str">
        <f t="shared" ca="1" si="8"/>
        <v>YES</v>
      </c>
      <c r="Q176" s="23">
        <f>Weekly_Inspections!$AW176</f>
        <v>0</v>
      </c>
    </row>
    <row r="177" spans="1:17" ht="15" customHeight="1" x14ac:dyDescent="0.2">
      <c r="A177" s="21" t="str">
        <f>IF(Weekly_Inspections!$B177="","",Weekly_Inspections!$A177&amp;"-A1")</f>
        <v/>
      </c>
      <c r="B177" s="22">
        <f>Weekly_Inspections!$B177</f>
        <v>0</v>
      </c>
      <c r="C177" s="23">
        <f>Weekly_Inspections!$E177</f>
        <v>0</v>
      </c>
      <c r="D177" s="23">
        <f>Weekly_Inspections!$F177</f>
        <v>0</v>
      </c>
      <c r="E177" s="21" t="str">
        <f>Weekly_Inspections!$H177</f>
        <v/>
      </c>
      <c r="F177" s="23">
        <f>IF(Weekly_Inspections!$AX177&lt;&gt;"",Weekly_Inspections!$AX177,IF(Weekly_Inspections!$AY177&lt;&gt;"",Weekly_Inspections!$AY177,IF(Weekly_Inspections!$AZ177&lt;&gt;"",Weekly_Inspections!$AZ177,IF(Weekly_Inspections!$BA177&lt;&gt;"",Weekly_Inspections!$BA177,IF(Weekly_Inspections!$BB177&lt;&gt;"",Weekly_Inspections!$BB177,Weekly_Inspections!$R177)))))</f>
        <v>0</v>
      </c>
      <c r="G177" s="23" t="str">
        <f>IF(OR(Weekly_Inspections!$AQ177&lt;&gt;"",Weekly_Inspections!$AR177&lt;&gt;"",Weekly_Inspections!$AS177&lt;&gt;""),Weekly_Inspections!$AQ177,"")</f>
        <v/>
      </c>
      <c r="H177" s="23">
        <f>Weekly_Inspections!$AP177</f>
        <v>0</v>
      </c>
      <c r="I177" s="23">
        <f>Weekly_Inspections!$AR177</f>
        <v>0</v>
      </c>
      <c r="J177" s="23">
        <f>Weekly_Inspections!$AS177</f>
        <v>0</v>
      </c>
      <c r="K177" s="23">
        <f>Weekly_Inspections!$AU177</f>
        <v>0</v>
      </c>
      <c r="L177" s="22">
        <f>Weekly_Inspections!$AV177</f>
        <v>0</v>
      </c>
      <c r="M177" s="23" t="str">
        <f t="shared" si="6"/>
        <v>Open</v>
      </c>
      <c r="N177" s="22"/>
      <c r="O177" s="21">
        <f t="shared" ca="1" si="7"/>
        <v>46113</v>
      </c>
      <c r="P177" s="21" t="str">
        <f t="shared" ca="1" si="8"/>
        <v>YES</v>
      </c>
      <c r="Q177" s="23">
        <f>Weekly_Inspections!$AW177</f>
        <v>0</v>
      </c>
    </row>
    <row r="178" spans="1:17" ht="15" customHeight="1" x14ac:dyDescent="0.2">
      <c r="A178" s="21" t="str">
        <f>IF(Weekly_Inspections!$B178="","",Weekly_Inspections!$A178&amp;"-A1")</f>
        <v/>
      </c>
      <c r="B178" s="22">
        <f>Weekly_Inspections!$B178</f>
        <v>0</v>
      </c>
      <c r="C178" s="23">
        <f>Weekly_Inspections!$E178</f>
        <v>0</v>
      </c>
      <c r="D178" s="23">
        <f>Weekly_Inspections!$F178</f>
        <v>0</v>
      </c>
      <c r="E178" s="21" t="str">
        <f>Weekly_Inspections!$H178</f>
        <v/>
      </c>
      <c r="F178" s="23">
        <f>IF(Weekly_Inspections!$AX178&lt;&gt;"",Weekly_Inspections!$AX178,IF(Weekly_Inspections!$AY178&lt;&gt;"",Weekly_Inspections!$AY178,IF(Weekly_Inspections!$AZ178&lt;&gt;"",Weekly_Inspections!$AZ178,IF(Weekly_Inspections!$BA178&lt;&gt;"",Weekly_Inspections!$BA178,IF(Weekly_Inspections!$BB178&lt;&gt;"",Weekly_Inspections!$BB178,Weekly_Inspections!$R178)))))</f>
        <v>0</v>
      </c>
      <c r="G178" s="23" t="str">
        <f>IF(OR(Weekly_Inspections!$AQ178&lt;&gt;"",Weekly_Inspections!$AR178&lt;&gt;"",Weekly_Inspections!$AS178&lt;&gt;""),Weekly_Inspections!$AQ178,"")</f>
        <v/>
      </c>
      <c r="H178" s="23">
        <f>Weekly_Inspections!$AP178</f>
        <v>0</v>
      </c>
      <c r="I178" s="23">
        <f>Weekly_Inspections!$AR178</f>
        <v>0</v>
      </c>
      <c r="J178" s="23">
        <f>Weekly_Inspections!$AS178</f>
        <v>0</v>
      </c>
      <c r="K178" s="23">
        <f>Weekly_Inspections!$AU178</f>
        <v>0</v>
      </c>
      <c r="L178" s="22">
        <f>Weekly_Inspections!$AV178</f>
        <v>0</v>
      </c>
      <c r="M178" s="23" t="str">
        <f t="shared" si="6"/>
        <v>Open</v>
      </c>
      <c r="N178" s="22"/>
      <c r="O178" s="21">
        <f t="shared" ca="1" si="7"/>
        <v>46113</v>
      </c>
      <c r="P178" s="21" t="str">
        <f t="shared" ca="1" si="8"/>
        <v>YES</v>
      </c>
      <c r="Q178" s="23">
        <f>Weekly_Inspections!$AW178</f>
        <v>0</v>
      </c>
    </row>
    <row r="179" spans="1:17" ht="15" customHeight="1" x14ac:dyDescent="0.2">
      <c r="A179" s="21" t="str">
        <f>IF(Weekly_Inspections!$B179="","",Weekly_Inspections!$A179&amp;"-A1")</f>
        <v/>
      </c>
      <c r="B179" s="22">
        <f>Weekly_Inspections!$B179</f>
        <v>0</v>
      </c>
      <c r="C179" s="23">
        <f>Weekly_Inspections!$E179</f>
        <v>0</v>
      </c>
      <c r="D179" s="23">
        <f>Weekly_Inspections!$F179</f>
        <v>0</v>
      </c>
      <c r="E179" s="21" t="str">
        <f>Weekly_Inspections!$H179</f>
        <v/>
      </c>
      <c r="F179" s="23">
        <f>IF(Weekly_Inspections!$AX179&lt;&gt;"",Weekly_Inspections!$AX179,IF(Weekly_Inspections!$AY179&lt;&gt;"",Weekly_Inspections!$AY179,IF(Weekly_Inspections!$AZ179&lt;&gt;"",Weekly_Inspections!$AZ179,IF(Weekly_Inspections!$BA179&lt;&gt;"",Weekly_Inspections!$BA179,IF(Weekly_Inspections!$BB179&lt;&gt;"",Weekly_Inspections!$BB179,Weekly_Inspections!$R179)))))</f>
        <v>0</v>
      </c>
      <c r="G179" s="23" t="str">
        <f>IF(OR(Weekly_Inspections!$AQ179&lt;&gt;"",Weekly_Inspections!$AR179&lt;&gt;"",Weekly_Inspections!$AS179&lt;&gt;""),Weekly_Inspections!$AQ179,"")</f>
        <v/>
      </c>
      <c r="H179" s="23">
        <f>Weekly_Inspections!$AP179</f>
        <v>0</v>
      </c>
      <c r="I179" s="23">
        <f>Weekly_Inspections!$AR179</f>
        <v>0</v>
      </c>
      <c r="J179" s="23">
        <f>Weekly_Inspections!$AS179</f>
        <v>0</v>
      </c>
      <c r="K179" s="23">
        <f>Weekly_Inspections!$AU179</f>
        <v>0</v>
      </c>
      <c r="L179" s="22">
        <f>Weekly_Inspections!$AV179</f>
        <v>0</v>
      </c>
      <c r="M179" s="23" t="str">
        <f t="shared" si="6"/>
        <v>Open</v>
      </c>
      <c r="N179" s="22"/>
      <c r="O179" s="21">
        <f t="shared" ca="1" si="7"/>
        <v>46113</v>
      </c>
      <c r="P179" s="21" t="str">
        <f t="shared" ca="1" si="8"/>
        <v>YES</v>
      </c>
      <c r="Q179" s="23">
        <f>Weekly_Inspections!$AW179</f>
        <v>0</v>
      </c>
    </row>
    <row r="180" spans="1:17" ht="15" customHeight="1" x14ac:dyDescent="0.2">
      <c r="A180" s="21" t="str">
        <f>IF(Weekly_Inspections!$B180="","",Weekly_Inspections!$A180&amp;"-A1")</f>
        <v/>
      </c>
      <c r="B180" s="22">
        <f>Weekly_Inspections!$B180</f>
        <v>0</v>
      </c>
      <c r="C180" s="23">
        <f>Weekly_Inspections!$E180</f>
        <v>0</v>
      </c>
      <c r="D180" s="23">
        <f>Weekly_Inspections!$F180</f>
        <v>0</v>
      </c>
      <c r="E180" s="21" t="str">
        <f>Weekly_Inspections!$H180</f>
        <v/>
      </c>
      <c r="F180" s="23">
        <f>IF(Weekly_Inspections!$AX180&lt;&gt;"",Weekly_Inspections!$AX180,IF(Weekly_Inspections!$AY180&lt;&gt;"",Weekly_Inspections!$AY180,IF(Weekly_Inspections!$AZ180&lt;&gt;"",Weekly_Inspections!$AZ180,IF(Weekly_Inspections!$BA180&lt;&gt;"",Weekly_Inspections!$BA180,IF(Weekly_Inspections!$BB180&lt;&gt;"",Weekly_Inspections!$BB180,Weekly_Inspections!$R180)))))</f>
        <v>0</v>
      </c>
      <c r="G180" s="23" t="str">
        <f>IF(OR(Weekly_Inspections!$AQ180&lt;&gt;"",Weekly_Inspections!$AR180&lt;&gt;"",Weekly_Inspections!$AS180&lt;&gt;""),Weekly_Inspections!$AQ180,"")</f>
        <v/>
      </c>
      <c r="H180" s="23">
        <f>Weekly_Inspections!$AP180</f>
        <v>0</v>
      </c>
      <c r="I180" s="23">
        <f>Weekly_Inspections!$AR180</f>
        <v>0</v>
      </c>
      <c r="J180" s="23">
        <f>Weekly_Inspections!$AS180</f>
        <v>0</v>
      </c>
      <c r="K180" s="23">
        <f>Weekly_Inspections!$AU180</f>
        <v>0</v>
      </c>
      <c r="L180" s="22">
        <f>Weekly_Inspections!$AV180</f>
        <v>0</v>
      </c>
      <c r="M180" s="23" t="str">
        <f t="shared" si="6"/>
        <v>Open</v>
      </c>
      <c r="N180" s="22"/>
      <c r="O180" s="21">
        <f t="shared" ca="1" si="7"/>
        <v>46113</v>
      </c>
      <c r="P180" s="21" t="str">
        <f t="shared" ca="1" si="8"/>
        <v>YES</v>
      </c>
      <c r="Q180" s="23">
        <f>Weekly_Inspections!$AW180</f>
        <v>0</v>
      </c>
    </row>
    <row r="181" spans="1:17" ht="15" customHeight="1" x14ac:dyDescent="0.2">
      <c r="A181" s="21" t="str">
        <f>IF(Weekly_Inspections!$B181="","",Weekly_Inspections!$A181&amp;"-A1")</f>
        <v/>
      </c>
      <c r="B181" s="22">
        <f>Weekly_Inspections!$B181</f>
        <v>0</v>
      </c>
      <c r="C181" s="23">
        <f>Weekly_Inspections!$E181</f>
        <v>0</v>
      </c>
      <c r="D181" s="23">
        <f>Weekly_Inspections!$F181</f>
        <v>0</v>
      </c>
      <c r="E181" s="21" t="str">
        <f>Weekly_Inspections!$H181</f>
        <v/>
      </c>
      <c r="F181" s="23">
        <f>IF(Weekly_Inspections!$AX181&lt;&gt;"",Weekly_Inspections!$AX181,IF(Weekly_Inspections!$AY181&lt;&gt;"",Weekly_Inspections!$AY181,IF(Weekly_Inspections!$AZ181&lt;&gt;"",Weekly_Inspections!$AZ181,IF(Weekly_Inspections!$BA181&lt;&gt;"",Weekly_Inspections!$BA181,IF(Weekly_Inspections!$BB181&lt;&gt;"",Weekly_Inspections!$BB181,Weekly_Inspections!$R181)))))</f>
        <v>0</v>
      </c>
      <c r="G181" s="23" t="str">
        <f>IF(OR(Weekly_Inspections!$AQ181&lt;&gt;"",Weekly_Inspections!$AR181&lt;&gt;"",Weekly_Inspections!$AS181&lt;&gt;""),Weekly_Inspections!$AQ181,"")</f>
        <v/>
      </c>
      <c r="H181" s="23">
        <f>Weekly_Inspections!$AP181</f>
        <v>0</v>
      </c>
      <c r="I181" s="23">
        <f>Weekly_Inspections!$AR181</f>
        <v>0</v>
      </c>
      <c r="J181" s="23">
        <f>Weekly_Inspections!$AS181</f>
        <v>0</v>
      </c>
      <c r="K181" s="23">
        <f>Weekly_Inspections!$AU181</f>
        <v>0</v>
      </c>
      <c r="L181" s="22">
        <f>Weekly_Inspections!$AV181</f>
        <v>0</v>
      </c>
      <c r="M181" s="23" t="str">
        <f t="shared" si="6"/>
        <v>Open</v>
      </c>
      <c r="N181" s="22"/>
      <c r="O181" s="21">
        <f t="shared" ca="1" si="7"/>
        <v>46113</v>
      </c>
      <c r="P181" s="21" t="str">
        <f t="shared" ca="1" si="8"/>
        <v>YES</v>
      </c>
      <c r="Q181" s="23">
        <f>Weekly_Inspections!$AW181</f>
        <v>0</v>
      </c>
    </row>
    <row r="182" spans="1:17" ht="15" customHeight="1" x14ac:dyDescent="0.2">
      <c r="A182" s="21" t="str">
        <f>IF(Weekly_Inspections!$B182="","",Weekly_Inspections!$A182&amp;"-A1")</f>
        <v/>
      </c>
      <c r="B182" s="22">
        <f>Weekly_Inspections!$B182</f>
        <v>0</v>
      </c>
      <c r="C182" s="23">
        <f>Weekly_Inspections!$E182</f>
        <v>0</v>
      </c>
      <c r="D182" s="23">
        <f>Weekly_Inspections!$F182</f>
        <v>0</v>
      </c>
      <c r="E182" s="21" t="str">
        <f>Weekly_Inspections!$H182</f>
        <v/>
      </c>
      <c r="F182" s="23">
        <f>IF(Weekly_Inspections!$AX182&lt;&gt;"",Weekly_Inspections!$AX182,IF(Weekly_Inspections!$AY182&lt;&gt;"",Weekly_Inspections!$AY182,IF(Weekly_Inspections!$AZ182&lt;&gt;"",Weekly_Inspections!$AZ182,IF(Weekly_Inspections!$BA182&lt;&gt;"",Weekly_Inspections!$BA182,IF(Weekly_Inspections!$BB182&lt;&gt;"",Weekly_Inspections!$BB182,Weekly_Inspections!$R182)))))</f>
        <v>0</v>
      </c>
      <c r="G182" s="23" t="str">
        <f>IF(OR(Weekly_Inspections!$AQ182&lt;&gt;"",Weekly_Inspections!$AR182&lt;&gt;"",Weekly_Inspections!$AS182&lt;&gt;""),Weekly_Inspections!$AQ182,"")</f>
        <v/>
      </c>
      <c r="H182" s="23">
        <f>Weekly_Inspections!$AP182</f>
        <v>0</v>
      </c>
      <c r="I182" s="23">
        <f>Weekly_Inspections!$AR182</f>
        <v>0</v>
      </c>
      <c r="J182" s="23">
        <f>Weekly_Inspections!$AS182</f>
        <v>0</v>
      </c>
      <c r="K182" s="23">
        <f>Weekly_Inspections!$AU182</f>
        <v>0</v>
      </c>
      <c r="L182" s="22">
        <f>Weekly_Inspections!$AV182</f>
        <v>0</v>
      </c>
      <c r="M182" s="23" t="str">
        <f t="shared" si="6"/>
        <v>Open</v>
      </c>
      <c r="N182" s="22"/>
      <c r="O182" s="21">
        <f t="shared" ca="1" si="7"/>
        <v>46113</v>
      </c>
      <c r="P182" s="21" t="str">
        <f t="shared" ca="1" si="8"/>
        <v>YES</v>
      </c>
      <c r="Q182" s="23">
        <f>Weekly_Inspections!$AW182</f>
        <v>0</v>
      </c>
    </row>
    <row r="183" spans="1:17" ht="15" customHeight="1" x14ac:dyDescent="0.2">
      <c r="A183" s="21" t="str">
        <f>IF(Weekly_Inspections!$B183="","",Weekly_Inspections!$A183&amp;"-A1")</f>
        <v/>
      </c>
      <c r="B183" s="22">
        <f>Weekly_Inspections!$B183</f>
        <v>0</v>
      </c>
      <c r="C183" s="23">
        <f>Weekly_Inspections!$E183</f>
        <v>0</v>
      </c>
      <c r="D183" s="23">
        <f>Weekly_Inspections!$F183</f>
        <v>0</v>
      </c>
      <c r="E183" s="21" t="str">
        <f>Weekly_Inspections!$H183</f>
        <v/>
      </c>
      <c r="F183" s="23">
        <f>IF(Weekly_Inspections!$AX183&lt;&gt;"",Weekly_Inspections!$AX183,IF(Weekly_Inspections!$AY183&lt;&gt;"",Weekly_Inspections!$AY183,IF(Weekly_Inspections!$AZ183&lt;&gt;"",Weekly_Inspections!$AZ183,IF(Weekly_Inspections!$BA183&lt;&gt;"",Weekly_Inspections!$BA183,IF(Weekly_Inspections!$BB183&lt;&gt;"",Weekly_Inspections!$BB183,Weekly_Inspections!$R183)))))</f>
        <v>0</v>
      </c>
      <c r="G183" s="23" t="str">
        <f>IF(OR(Weekly_Inspections!$AQ183&lt;&gt;"",Weekly_Inspections!$AR183&lt;&gt;"",Weekly_Inspections!$AS183&lt;&gt;""),Weekly_Inspections!$AQ183,"")</f>
        <v/>
      </c>
      <c r="H183" s="23">
        <f>Weekly_Inspections!$AP183</f>
        <v>0</v>
      </c>
      <c r="I183" s="23">
        <f>Weekly_Inspections!$AR183</f>
        <v>0</v>
      </c>
      <c r="J183" s="23">
        <f>Weekly_Inspections!$AS183</f>
        <v>0</v>
      </c>
      <c r="K183" s="23">
        <f>Weekly_Inspections!$AU183</f>
        <v>0</v>
      </c>
      <c r="L183" s="22">
        <f>Weekly_Inspections!$AV183</f>
        <v>0</v>
      </c>
      <c r="M183" s="23" t="str">
        <f t="shared" si="6"/>
        <v>Open</v>
      </c>
      <c r="N183" s="22"/>
      <c r="O183" s="21">
        <f t="shared" ca="1" si="7"/>
        <v>46113</v>
      </c>
      <c r="P183" s="21" t="str">
        <f t="shared" ca="1" si="8"/>
        <v>YES</v>
      </c>
      <c r="Q183" s="23">
        <f>Weekly_Inspections!$AW183</f>
        <v>0</v>
      </c>
    </row>
    <row r="184" spans="1:17" ht="15" customHeight="1" x14ac:dyDescent="0.2">
      <c r="A184" s="21" t="str">
        <f>IF(Weekly_Inspections!$B184="","",Weekly_Inspections!$A184&amp;"-A1")</f>
        <v/>
      </c>
      <c r="B184" s="22">
        <f>Weekly_Inspections!$B184</f>
        <v>0</v>
      </c>
      <c r="C184" s="23">
        <f>Weekly_Inspections!$E184</f>
        <v>0</v>
      </c>
      <c r="D184" s="23">
        <f>Weekly_Inspections!$F184</f>
        <v>0</v>
      </c>
      <c r="E184" s="21" t="str">
        <f>Weekly_Inspections!$H184</f>
        <v/>
      </c>
      <c r="F184" s="23">
        <f>IF(Weekly_Inspections!$AX184&lt;&gt;"",Weekly_Inspections!$AX184,IF(Weekly_Inspections!$AY184&lt;&gt;"",Weekly_Inspections!$AY184,IF(Weekly_Inspections!$AZ184&lt;&gt;"",Weekly_Inspections!$AZ184,IF(Weekly_Inspections!$BA184&lt;&gt;"",Weekly_Inspections!$BA184,IF(Weekly_Inspections!$BB184&lt;&gt;"",Weekly_Inspections!$BB184,Weekly_Inspections!$R184)))))</f>
        <v>0</v>
      </c>
      <c r="G184" s="23" t="str">
        <f>IF(OR(Weekly_Inspections!$AQ184&lt;&gt;"",Weekly_Inspections!$AR184&lt;&gt;"",Weekly_Inspections!$AS184&lt;&gt;""),Weekly_Inspections!$AQ184,"")</f>
        <v/>
      </c>
      <c r="H184" s="23">
        <f>Weekly_Inspections!$AP184</f>
        <v>0</v>
      </c>
      <c r="I184" s="23">
        <f>Weekly_Inspections!$AR184</f>
        <v>0</v>
      </c>
      <c r="J184" s="23">
        <f>Weekly_Inspections!$AS184</f>
        <v>0</v>
      </c>
      <c r="K184" s="23">
        <f>Weekly_Inspections!$AU184</f>
        <v>0</v>
      </c>
      <c r="L184" s="22">
        <f>Weekly_Inspections!$AV184</f>
        <v>0</v>
      </c>
      <c r="M184" s="23" t="str">
        <f t="shared" si="6"/>
        <v>Open</v>
      </c>
      <c r="N184" s="22"/>
      <c r="O184" s="21">
        <f t="shared" ca="1" si="7"/>
        <v>46113</v>
      </c>
      <c r="P184" s="21" t="str">
        <f t="shared" ca="1" si="8"/>
        <v>YES</v>
      </c>
      <c r="Q184" s="23">
        <f>Weekly_Inspections!$AW184</f>
        <v>0</v>
      </c>
    </row>
    <row r="185" spans="1:17" ht="15" customHeight="1" x14ac:dyDescent="0.2">
      <c r="A185" s="21" t="str">
        <f>IF(Weekly_Inspections!$B185="","",Weekly_Inspections!$A185&amp;"-A1")</f>
        <v/>
      </c>
      <c r="B185" s="22">
        <f>Weekly_Inspections!$B185</f>
        <v>0</v>
      </c>
      <c r="C185" s="23">
        <f>Weekly_Inspections!$E185</f>
        <v>0</v>
      </c>
      <c r="D185" s="23">
        <f>Weekly_Inspections!$F185</f>
        <v>0</v>
      </c>
      <c r="E185" s="21" t="str">
        <f>Weekly_Inspections!$H185</f>
        <v/>
      </c>
      <c r="F185" s="23">
        <f>IF(Weekly_Inspections!$AX185&lt;&gt;"",Weekly_Inspections!$AX185,IF(Weekly_Inspections!$AY185&lt;&gt;"",Weekly_Inspections!$AY185,IF(Weekly_Inspections!$AZ185&lt;&gt;"",Weekly_Inspections!$AZ185,IF(Weekly_Inspections!$BA185&lt;&gt;"",Weekly_Inspections!$BA185,IF(Weekly_Inspections!$BB185&lt;&gt;"",Weekly_Inspections!$BB185,Weekly_Inspections!$R185)))))</f>
        <v>0</v>
      </c>
      <c r="G185" s="23" t="str">
        <f>IF(OR(Weekly_Inspections!$AQ185&lt;&gt;"",Weekly_Inspections!$AR185&lt;&gt;"",Weekly_Inspections!$AS185&lt;&gt;""),Weekly_Inspections!$AQ185,"")</f>
        <v/>
      </c>
      <c r="H185" s="23">
        <f>Weekly_Inspections!$AP185</f>
        <v>0</v>
      </c>
      <c r="I185" s="23">
        <f>Weekly_Inspections!$AR185</f>
        <v>0</v>
      </c>
      <c r="J185" s="23">
        <f>Weekly_Inspections!$AS185</f>
        <v>0</v>
      </c>
      <c r="K185" s="23">
        <f>Weekly_Inspections!$AU185</f>
        <v>0</v>
      </c>
      <c r="L185" s="22">
        <f>Weekly_Inspections!$AV185</f>
        <v>0</v>
      </c>
      <c r="M185" s="23" t="str">
        <f t="shared" si="6"/>
        <v>Open</v>
      </c>
      <c r="N185" s="22"/>
      <c r="O185" s="21">
        <f t="shared" ca="1" si="7"/>
        <v>46113</v>
      </c>
      <c r="P185" s="21" t="str">
        <f t="shared" ca="1" si="8"/>
        <v>YES</v>
      </c>
      <c r="Q185" s="23">
        <f>Weekly_Inspections!$AW185</f>
        <v>0</v>
      </c>
    </row>
    <row r="186" spans="1:17" ht="15" customHeight="1" x14ac:dyDescent="0.2">
      <c r="A186" s="21" t="str">
        <f>IF(Weekly_Inspections!$B186="","",Weekly_Inspections!$A186&amp;"-A1")</f>
        <v/>
      </c>
      <c r="B186" s="22">
        <f>Weekly_Inspections!$B186</f>
        <v>0</v>
      </c>
      <c r="C186" s="23">
        <f>Weekly_Inspections!$E186</f>
        <v>0</v>
      </c>
      <c r="D186" s="23">
        <f>Weekly_Inspections!$F186</f>
        <v>0</v>
      </c>
      <c r="E186" s="21" t="str">
        <f>Weekly_Inspections!$H186</f>
        <v/>
      </c>
      <c r="F186" s="23">
        <f>IF(Weekly_Inspections!$AX186&lt;&gt;"",Weekly_Inspections!$AX186,IF(Weekly_Inspections!$AY186&lt;&gt;"",Weekly_Inspections!$AY186,IF(Weekly_Inspections!$AZ186&lt;&gt;"",Weekly_Inspections!$AZ186,IF(Weekly_Inspections!$BA186&lt;&gt;"",Weekly_Inspections!$BA186,IF(Weekly_Inspections!$BB186&lt;&gt;"",Weekly_Inspections!$BB186,Weekly_Inspections!$R186)))))</f>
        <v>0</v>
      </c>
      <c r="G186" s="23" t="str">
        <f>IF(OR(Weekly_Inspections!$AQ186&lt;&gt;"",Weekly_Inspections!$AR186&lt;&gt;"",Weekly_Inspections!$AS186&lt;&gt;""),Weekly_Inspections!$AQ186,"")</f>
        <v/>
      </c>
      <c r="H186" s="23">
        <f>Weekly_Inspections!$AP186</f>
        <v>0</v>
      </c>
      <c r="I186" s="23">
        <f>Weekly_Inspections!$AR186</f>
        <v>0</v>
      </c>
      <c r="J186" s="23">
        <f>Weekly_Inspections!$AS186</f>
        <v>0</v>
      </c>
      <c r="K186" s="23">
        <f>Weekly_Inspections!$AU186</f>
        <v>0</v>
      </c>
      <c r="L186" s="22">
        <f>Weekly_Inspections!$AV186</f>
        <v>0</v>
      </c>
      <c r="M186" s="23" t="str">
        <f t="shared" si="6"/>
        <v>Open</v>
      </c>
      <c r="N186" s="22"/>
      <c r="O186" s="21">
        <f t="shared" ca="1" si="7"/>
        <v>46113</v>
      </c>
      <c r="P186" s="21" t="str">
        <f t="shared" ca="1" si="8"/>
        <v>YES</v>
      </c>
      <c r="Q186" s="23">
        <f>Weekly_Inspections!$AW186</f>
        <v>0</v>
      </c>
    </row>
    <row r="187" spans="1:17" ht="15" customHeight="1" x14ac:dyDescent="0.2">
      <c r="A187" s="21" t="str">
        <f>IF(Weekly_Inspections!$B187="","",Weekly_Inspections!$A187&amp;"-A1")</f>
        <v/>
      </c>
      <c r="B187" s="22">
        <f>Weekly_Inspections!$B187</f>
        <v>0</v>
      </c>
      <c r="C187" s="23">
        <f>Weekly_Inspections!$E187</f>
        <v>0</v>
      </c>
      <c r="D187" s="23">
        <f>Weekly_Inspections!$F187</f>
        <v>0</v>
      </c>
      <c r="E187" s="21" t="str">
        <f>Weekly_Inspections!$H187</f>
        <v/>
      </c>
      <c r="F187" s="23">
        <f>IF(Weekly_Inspections!$AX187&lt;&gt;"",Weekly_Inspections!$AX187,IF(Weekly_Inspections!$AY187&lt;&gt;"",Weekly_Inspections!$AY187,IF(Weekly_Inspections!$AZ187&lt;&gt;"",Weekly_Inspections!$AZ187,IF(Weekly_Inspections!$BA187&lt;&gt;"",Weekly_Inspections!$BA187,IF(Weekly_Inspections!$BB187&lt;&gt;"",Weekly_Inspections!$BB187,Weekly_Inspections!$R187)))))</f>
        <v>0</v>
      </c>
      <c r="G187" s="23" t="str">
        <f>IF(OR(Weekly_Inspections!$AQ187&lt;&gt;"",Weekly_Inspections!$AR187&lt;&gt;"",Weekly_Inspections!$AS187&lt;&gt;""),Weekly_Inspections!$AQ187,"")</f>
        <v/>
      </c>
      <c r="H187" s="23">
        <f>Weekly_Inspections!$AP187</f>
        <v>0</v>
      </c>
      <c r="I187" s="23">
        <f>Weekly_Inspections!$AR187</f>
        <v>0</v>
      </c>
      <c r="J187" s="23">
        <f>Weekly_Inspections!$AS187</f>
        <v>0</v>
      </c>
      <c r="K187" s="23">
        <f>Weekly_Inspections!$AU187</f>
        <v>0</v>
      </c>
      <c r="L187" s="22">
        <f>Weekly_Inspections!$AV187</f>
        <v>0</v>
      </c>
      <c r="M187" s="23" t="str">
        <f t="shared" si="6"/>
        <v>Open</v>
      </c>
      <c r="N187" s="22"/>
      <c r="O187" s="21">
        <f t="shared" ca="1" si="7"/>
        <v>46113</v>
      </c>
      <c r="P187" s="21" t="str">
        <f t="shared" ca="1" si="8"/>
        <v>YES</v>
      </c>
      <c r="Q187" s="23">
        <f>Weekly_Inspections!$AW187</f>
        <v>0</v>
      </c>
    </row>
    <row r="188" spans="1:17" ht="15" customHeight="1" x14ac:dyDescent="0.2">
      <c r="A188" s="21" t="str">
        <f>IF(Weekly_Inspections!$B188="","",Weekly_Inspections!$A188&amp;"-A1")</f>
        <v/>
      </c>
      <c r="B188" s="22">
        <f>Weekly_Inspections!$B188</f>
        <v>0</v>
      </c>
      <c r="C188" s="23">
        <f>Weekly_Inspections!$E188</f>
        <v>0</v>
      </c>
      <c r="D188" s="23">
        <f>Weekly_Inspections!$F188</f>
        <v>0</v>
      </c>
      <c r="E188" s="21" t="str">
        <f>Weekly_Inspections!$H188</f>
        <v/>
      </c>
      <c r="F188" s="23">
        <f>IF(Weekly_Inspections!$AX188&lt;&gt;"",Weekly_Inspections!$AX188,IF(Weekly_Inspections!$AY188&lt;&gt;"",Weekly_Inspections!$AY188,IF(Weekly_Inspections!$AZ188&lt;&gt;"",Weekly_Inspections!$AZ188,IF(Weekly_Inspections!$BA188&lt;&gt;"",Weekly_Inspections!$BA188,IF(Weekly_Inspections!$BB188&lt;&gt;"",Weekly_Inspections!$BB188,Weekly_Inspections!$R188)))))</f>
        <v>0</v>
      </c>
      <c r="G188" s="23" t="str">
        <f>IF(OR(Weekly_Inspections!$AQ188&lt;&gt;"",Weekly_Inspections!$AR188&lt;&gt;"",Weekly_Inspections!$AS188&lt;&gt;""),Weekly_Inspections!$AQ188,"")</f>
        <v/>
      </c>
      <c r="H188" s="23">
        <f>Weekly_Inspections!$AP188</f>
        <v>0</v>
      </c>
      <c r="I188" s="23">
        <f>Weekly_Inspections!$AR188</f>
        <v>0</v>
      </c>
      <c r="J188" s="23">
        <f>Weekly_Inspections!$AS188</f>
        <v>0</v>
      </c>
      <c r="K188" s="23">
        <f>Weekly_Inspections!$AU188</f>
        <v>0</v>
      </c>
      <c r="L188" s="22">
        <f>Weekly_Inspections!$AV188</f>
        <v>0</v>
      </c>
      <c r="M188" s="23" t="str">
        <f t="shared" si="6"/>
        <v>Open</v>
      </c>
      <c r="N188" s="22"/>
      <c r="O188" s="21">
        <f t="shared" ca="1" si="7"/>
        <v>46113</v>
      </c>
      <c r="P188" s="21" t="str">
        <f t="shared" ca="1" si="8"/>
        <v>YES</v>
      </c>
      <c r="Q188" s="23">
        <f>Weekly_Inspections!$AW188</f>
        <v>0</v>
      </c>
    </row>
    <row r="189" spans="1:17" ht="15" customHeight="1" x14ac:dyDescent="0.2">
      <c r="A189" s="21" t="str">
        <f>IF(Weekly_Inspections!$B189="","",Weekly_Inspections!$A189&amp;"-A1")</f>
        <v/>
      </c>
      <c r="B189" s="22">
        <f>Weekly_Inspections!$B189</f>
        <v>0</v>
      </c>
      <c r="C189" s="23">
        <f>Weekly_Inspections!$E189</f>
        <v>0</v>
      </c>
      <c r="D189" s="23">
        <f>Weekly_Inspections!$F189</f>
        <v>0</v>
      </c>
      <c r="E189" s="21" t="str">
        <f>Weekly_Inspections!$H189</f>
        <v/>
      </c>
      <c r="F189" s="23">
        <f>IF(Weekly_Inspections!$AX189&lt;&gt;"",Weekly_Inspections!$AX189,IF(Weekly_Inspections!$AY189&lt;&gt;"",Weekly_Inspections!$AY189,IF(Weekly_Inspections!$AZ189&lt;&gt;"",Weekly_Inspections!$AZ189,IF(Weekly_Inspections!$BA189&lt;&gt;"",Weekly_Inspections!$BA189,IF(Weekly_Inspections!$BB189&lt;&gt;"",Weekly_Inspections!$BB189,Weekly_Inspections!$R189)))))</f>
        <v>0</v>
      </c>
      <c r="G189" s="23" t="str">
        <f>IF(OR(Weekly_Inspections!$AQ189&lt;&gt;"",Weekly_Inspections!$AR189&lt;&gt;"",Weekly_Inspections!$AS189&lt;&gt;""),Weekly_Inspections!$AQ189,"")</f>
        <v/>
      </c>
      <c r="H189" s="23">
        <f>Weekly_Inspections!$AP189</f>
        <v>0</v>
      </c>
      <c r="I189" s="23">
        <f>Weekly_Inspections!$AR189</f>
        <v>0</v>
      </c>
      <c r="J189" s="23">
        <f>Weekly_Inspections!$AS189</f>
        <v>0</v>
      </c>
      <c r="K189" s="23">
        <f>Weekly_Inspections!$AU189</f>
        <v>0</v>
      </c>
      <c r="L189" s="22">
        <f>Weekly_Inspections!$AV189</f>
        <v>0</v>
      </c>
      <c r="M189" s="23" t="str">
        <f t="shared" si="6"/>
        <v>Open</v>
      </c>
      <c r="N189" s="22"/>
      <c r="O189" s="21">
        <f t="shared" ca="1" si="7"/>
        <v>46113</v>
      </c>
      <c r="P189" s="21" t="str">
        <f t="shared" ca="1" si="8"/>
        <v>YES</v>
      </c>
      <c r="Q189" s="23">
        <f>Weekly_Inspections!$AW189</f>
        <v>0</v>
      </c>
    </row>
    <row r="190" spans="1:17" ht="15" customHeight="1" x14ac:dyDescent="0.2">
      <c r="A190" s="21" t="str">
        <f>IF(Weekly_Inspections!$B190="","",Weekly_Inspections!$A190&amp;"-A1")</f>
        <v/>
      </c>
      <c r="B190" s="22">
        <f>Weekly_Inspections!$B190</f>
        <v>0</v>
      </c>
      <c r="C190" s="23">
        <f>Weekly_Inspections!$E190</f>
        <v>0</v>
      </c>
      <c r="D190" s="23">
        <f>Weekly_Inspections!$F190</f>
        <v>0</v>
      </c>
      <c r="E190" s="21" t="str">
        <f>Weekly_Inspections!$H190</f>
        <v/>
      </c>
      <c r="F190" s="23">
        <f>IF(Weekly_Inspections!$AX190&lt;&gt;"",Weekly_Inspections!$AX190,IF(Weekly_Inspections!$AY190&lt;&gt;"",Weekly_Inspections!$AY190,IF(Weekly_Inspections!$AZ190&lt;&gt;"",Weekly_Inspections!$AZ190,IF(Weekly_Inspections!$BA190&lt;&gt;"",Weekly_Inspections!$BA190,IF(Weekly_Inspections!$BB190&lt;&gt;"",Weekly_Inspections!$BB190,Weekly_Inspections!$R190)))))</f>
        <v>0</v>
      </c>
      <c r="G190" s="23" t="str">
        <f>IF(OR(Weekly_Inspections!$AQ190&lt;&gt;"",Weekly_Inspections!$AR190&lt;&gt;"",Weekly_Inspections!$AS190&lt;&gt;""),Weekly_Inspections!$AQ190,"")</f>
        <v/>
      </c>
      <c r="H190" s="23">
        <f>Weekly_Inspections!$AP190</f>
        <v>0</v>
      </c>
      <c r="I190" s="23">
        <f>Weekly_Inspections!$AR190</f>
        <v>0</v>
      </c>
      <c r="J190" s="23">
        <f>Weekly_Inspections!$AS190</f>
        <v>0</v>
      </c>
      <c r="K190" s="23">
        <f>Weekly_Inspections!$AU190</f>
        <v>0</v>
      </c>
      <c r="L190" s="22">
        <f>Weekly_Inspections!$AV190</f>
        <v>0</v>
      </c>
      <c r="M190" s="23" t="str">
        <f t="shared" si="6"/>
        <v>Open</v>
      </c>
      <c r="N190" s="22"/>
      <c r="O190" s="21">
        <f t="shared" ca="1" si="7"/>
        <v>46113</v>
      </c>
      <c r="P190" s="21" t="str">
        <f t="shared" ca="1" si="8"/>
        <v>YES</v>
      </c>
      <c r="Q190" s="23">
        <f>Weekly_Inspections!$AW190</f>
        <v>0</v>
      </c>
    </row>
    <row r="191" spans="1:17" ht="15" customHeight="1" x14ac:dyDescent="0.2">
      <c r="A191" s="21" t="str">
        <f>IF(Weekly_Inspections!$B191="","",Weekly_Inspections!$A191&amp;"-A1")</f>
        <v/>
      </c>
      <c r="B191" s="22">
        <f>Weekly_Inspections!$B191</f>
        <v>0</v>
      </c>
      <c r="C191" s="23">
        <f>Weekly_Inspections!$E191</f>
        <v>0</v>
      </c>
      <c r="D191" s="23">
        <f>Weekly_Inspections!$F191</f>
        <v>0</v>
      </c>
      <c r="E191" s="21" t="str">
        <f>Weekly_Inspections!$H191</f>
        <v/>
      </c>
      <c r="F191" s="23">
        <f>IF(Weekly_Inspections!$AX191&lt;&gt;"",Weekly_Inspections!$AX191,IF(Weekly_Inspections!$AY191&lt;&gt;"",Weekly_Inspections!$AY191,IF(Weekly_Inspections!$AZ191&lt;&gt;"",Weekly_Inspections!$AZ191,IF(Weekly_Inspections!$BA191&lt;&gt;"",Weekly_Inspections!$BA191,IF(Weekly_Inspections!$BB191&lt;&gt;"",Weekly_Inspections!$BB191,Weekly_Inspections!$R191)))))</f>
        <v>0</v>
      </c>
      <c r="G191" s="23" t="str">
        <f>IF(OR(Weekly_Inspections!$AQ191&lt;&gt;"",Weekly_Inspections!$AR191&lt;&gt;"",Weekly_Inspections!$AS191&lt;&gt;""),Weekly_Inspections!$AQ191,"")</f>
        <v/>
      </c>
      <c r="H191" s="23">
        <f>Weekly_Inspections!$AP191</f>
        <v>0</v>
      </c>
      <c r="I191" s="23">
        <f>Weekly_Inspections!$AR191</f>
        <v>0</v>
      </c>
      <c r="J191" s="23">
        <f>Weekly_Inspections!$AS191</f>
        <v>0</v>
      </c>
      <c r="K191" s="23">
        <f>Weekly_Inspections!$AU191</f>
        <v>0</v>
      </c>
      <c r="L191" s="22">
        <f>Weekly_Inspections!$AV191</f>
        <v>0</v>
      </c>
      <c r="M191" s="23" t="str">
        <f t="shared" si="6"/>
        <v>Open</v>
      </c>
      <c r="N191" s="22"/>
      <c r="O191" s="21">
        <f t="shared" ca="1" si="7"/>
        <v>46113</v>
      </c>
      <c r="P191" s="21" t="str">
        <f t="shared" ca="1" si="8"/>
        <v>YES</v>
      </c>
      <c r="Q191" s="23">
        <f>Weekly_Inspections!$AW191</f>
        <v>0</v>
      </c>
    </row>
    <row r="192" spans="1:17" ht="15" customHeight="1" x14ac:dyDescent="0.2">
      <c r="A192" s="21" t="str">
        <f>IF(Weekly_Inspections!$B192="","",Weekly_Inspections!$A192&amp;"-A1")</f>
        <v/>
      </c>
      <c r="B192" s="22">
        <f>Weekly_Inspections!$B192</f>
        <v>0</v>
      </c>
      <c r="C192" s="23">
        <f>Weekly_Inspections!$E192</f>
        <v>0</v>
      </c>
      <c r="D192" s="23">
        <f>Weekly_Inspections!$F192</f>
        <v>0</v>
      </c>
      <c r="E192" s="21" t="str">
        <f>Weekly_Inspections!$H192</f>
        <v/>
      </c>
      <c r="F192" s="23">
        <f>IF(Weekly_Inspections!$AX192&lt;&gt;"",Weekly_Inspections!$AX192,IF(Weekly_Inspections!$AY192&lt;&gt;"",Weekly_Inspections!$AY192,IF(Weekly_Inspections!$AZ192&lt;&gt;"",Weekly_Inspections!$AZ192,IF(Weekly_Inspections!$BA192&lt;&gt;"",Weekly_Inspections!$BA192,IF(Weekly_Inspections!$BB192&lt;&gt;"",Weekly_Inspections!$BB192,Weekly_Inspections!$R192)))))</f>
        <v>0</v>
      </c>
      <c r="G192" s="23" t="str">
        <f>IF(OR(Weekly_Inspections!$AQ192&lt;&gt;"",Weekly_Inspections!$AR192&lt;&gt;"",Weekly_Inspections!$AS192&lt;&gt;""),Weekly_Inspections!$AQ192,"")</f>
        <v/>
      </c>
      <c r="H192" s="23">
        <f>Weekly_Inspections!$AP192</f>
        <v>0</v>
      </c>
      <c r="I192" s="23">
        <f>Weekly_Inspections!$AR192</f>
        <v>0</v>
      </c>
      <c r="J192" s="23">
        <f>Weekly_Inspections!$AS192</f>
        <v>0</v>
      </c>
      <c r="K192" s="23">
        <f>Weekly_Inspections!$AU192</f>
        <v>0</v>
      </c>
      <c r="L192" s="22">
        <f>Weekly_Inspections!$AV192</f>
        <v>0</v>
      </c>
      <c r="M192" s="23" t="str">
        <f t="shared" ref="M192:M255" si="9">IF($B192="","",IF($N192&lt;&gt;"","Closed",IF(OR($G192&lt;&gt;"",$I192&lt;&gt;"",$J192&lt;&gt;""),"Open","")))</f>
        <v>Open</v>
      </c>
      <c r="N192" s="22"/>
      <c r="O192" s="21">
        <f t="shared" ref="O192:O255" ca="1" si="10">IF($B192="","",IF($M192="Closed",IF($N192="","",$N192-$B192),TODAY()-$B192))</f>
        <v>46113</v>
      </c>
      <c r="P192" s="21" t="str">
        <f t="shared" ref="P192:P255" ca="1" si="11">IF(OR($B192="",$L192="",$M192="Closed"),"",IF(TODAY()&gt;$L192,"YES","NO"))</f>
        <v>YES</v>
      </c>
      <c r="Q192" s="23">
        <f>Weekly_Inspections!$AW192</f>
        <v>0</v>
      </c>
    </row>
    <row r="193" spans="1:17" ht="15" customHeight="1" x14ac:dyDescent="0.2">
      <c r="A193" s="21" t="str">
        <f>IF(Weekly_Inspections!$B193="","",Weekly_Inspections!$A193&amp;"-A1")</f>
        <v/>
      </c>
      <c r="B193" s="22">
        <f>Weekly_Inspections!$B193</f>
        <v>0</v>
      </c>
      <c r="C193" s="23">
        <f>Weekly_Inspections!$E193</f>
        <v>0</v>
      </c>
      <c r="D193" s="23">
        <f>Weekly_Inspections!$F193</f>
        <v>0</v>
      </c>
      <c r="E193" s="21" t="str">
        <f>Weekly_Inspections!$H193</f>
        <v/>
      </c>
      <c r="F193" s="23">
        <f>IF(Weekly_Inspections!$AX193&lt;&gt;"",Weekly_Inspections!$AX193,IF(Weekly_Inspections!$AY193&lt;&gt;"",Weekly_Inspections!$AY193,IF(Weekly_Inspections!$AZ193&lt;&gt;"",Weekly_Inspections!$AZ193,IF(Weekly_Inspections!$BA193&lt;&gt;"",Weekly_Inspections!$BA193,IF(Weekly_Inspections!$BB193&lt;&gt;"",Weekly_Inspections!$BB193,Weekly_Inspections!$R193)))))</f>
        <v>0</v>
      </c>
      <c r="G193" s="23" t="str">
        <f>IF(OR(Weekly_Inspections!$AQ193&lt;&gt;"",Weekly_Inspections!$AR193&lt;&gt;"",Weekly_Inspections!$AS193&lt;&gt;""),Weekly_Inspections!$AQ193,"")</f>
        <v/>
      </c>
      <c r="H193" s="23">
        <f>Weekly_Inspections!$AP193</f>
        <v>0</v>
      </c>
      <c r="I193" s="23">
        <f>Weekly_Inspections!$AR193</f>
        <v>0</v>
      </c>
      <c r="J193" s="23">
        <f>Weekly_Inspections!$AS193</f>
        <v>0</v>
      </c>
      <c r="K193" s="23">
        <f>Weekly_Inspections!$AU193</f>
        <v>0</v>
      </c>
      <c r="L193" s="22">
        <f>Weekly_Inspections!$AV193</f>
        <v>0</v>
      </c>
      <c r="M193" s="23" t="str">
        <f t="shared" si="9"/>
        <v>Open</v>
      </c>
      <c r="N193" s="22"/>
      <c r="O193" s="21">
        <f t="shared" ca="1" si="10"/>
        <v>46113</v>
      </c>
      <c r="P193" s="21" t="str">
        <f t="shared" ca="1" si="11"/>
        <v>YES</v>
      </c>
      <c r="Q193" s="23">
        <f>Weekly_Inspections!$AW193</f>
        <v>0</v>
      </c>
    </row>
    <row r="194" spans="1:17" ht="15" customHeight="1" x14ac:dyDescent="0.2">
      <c r="A194" s="21" t="str">
        <f>IF(Weekly_Inspections!$B194="","",Weekly_Inspections!$A194&amp;"-A1")</f>
        <v/>
      </c>
      <c r="B194" s="22">
        <f>Weekly_Inspections!$B194</f>
        <v>0</v>
      </c>
      <c r="C194" s="23">
        <f>Weekly_Inspections!$E194</f>
        <v>0</v>
      </c>
      <c r="D194" s="23">
        <f>Weekly_Inspections!$F194</f>
        <v>0</v>
      </c>
      <c r="E194" s="21" t="str">
        <f>Weekly_Inspections!$H194</f>
        <v/>
      </c>
      <c r="F194" s="23">
        <f>IF(Weekly_Inspections!$AX194&lt;&gt;"",Weekly_Inspections!$AX194,IF(Weekly_Inspections!$AY194&lt;&gt;"",Weekly_Inspections!$AY194,IF(Weekly_Inspections!$AZ194&lt;&gt;"",Weekly_Inspections!$AZ194,IF(Weekly_Inspections!$BA194&lt;&gt;"",Weekly_Inspections!$BA194,IF(Weekly_Inspections!$BB194&lt;&gt;"",Weekly_Inspections!$BB194,Weekly_Inspections!$R194)))))</f>
        <v>0</v>
      </c>
      <c r="G194" s="23" t="str">
        <f>IF(OR(Weekly_Inspections!$AQ194&lt;&gt;"",Weekly_Inspections!$AR194&lt;&gt;"",Weekly_Inspections!$AS194&lt;&gt;""),Weekly_Inspections!$AQ194,"")</f>
        <v/>
      </c>
      <c r="H194" s="23">
        <f>Weekly_Inspections!$AP194</f>
        <v>0</v>
      </c>
      <c r="I194" s="23">
        <f>Weekly_Inspections!$AR194</f>
        <v>0</v>
      </c>
      <c r="J194" s="23">
        <f>Weekly_Inspections!$AS194</f>
        <v>0</v>
      </c>
      <c r="K194" s="23">
        <f>Weekly_Inspections!$AU194</f>
        <v>0</v>
      </c>
      <c r="L194" s="22">
        <f>Weekly_Inspections!$AV194</f>
        <v>0</v>
      </c>
      <c r="M194" s="23" t="str">
        <f t="shared" si="9"/>
        <v>Open</v>
      </c>
      <c r="N194" s="22"/>
      <c r="O194" s="21">
        <f t="shared" ca="1" si="10"/>
        <v>46113</v>
      </c>
      <c r="P194" s="21" t="str">
        <f t="shared" ca="1" si="11"/>
        <v>YES</v>
      </c>
      <c r="Q194" s="23">
        <f>Weekly_Inspections!$AW194</f>
        <v>0</v>
      </c>
    </row>
    <row r="195" spans="1:17" ht="15" customHeight="1" x14ac:dyDescent="0.2">
      <c r="A195" s="21" t="str">
        <f>IF(Weekly_Inspections!$B195="","",Weekly_Inspections!$A195&amp;"-A1")</f>
        <v/>
      </c>
      <c r="B195" s="22">
        <f>Weekly_Inspections!$B195</f>
        <v>0</v>
      </c>
      <c r="C195" s="23">
        <f>Weekly_Inspections!$E195</f>
        <v>0</v>
      </c>
      <c r="D195" s="23">
        <f>Weekly_Inspections!$F195</f>
        <v>0</v>
      </c>
      <c r="E195" s="21" t="str">
        <f>Weekly_Inspections!$H195</f>
        <v/>
      </c>
      <c r="F195" s="23">
        <f>IF(Weekly_Inspections!$AX195&lt;&gt;"",Weekly_Inspections!$AX195,IF(Weekly_Inspections!$AY195&lt;&gt;"",Weekly_Inspections!$AY195,IF(Weekly_Inspections!$AZ195&lt;&gt;"",Weekly_Inspections!$AZ195,IF(Weekly_Inspections!$BA195&lt;&gt;"",Weekly_Inspections!$BA195,IF(Weekly_Inspections!$BB195&lt;&gt;"",Weekly_Inspections!$BB195,Weekly_Inspections!$R195)))))</f>
        <v>0</v>
      </c>
      <c r="G195" s="23" t="str">
        <f>IF(OR(Weekly_Inspections!$AQ195&lt;&gt;"",Weekly_Inspections!$AR195&lt;&gt;"",Weekly_Inspections!$AS195&lt;&gt;""),Weekly_Inspections!$AQ195,"")</f>
        <v/>
      </c>
      <c r="H195" s="23">
        <f>Weekly_Inspections!$AP195</f>
        <v>0</v>
      </c>
      <c r="I195" s="23">
        <f>Weekly_Inspections!$AR195</f>
        <v>0</v>
      </c>
      <c r="J195" s="23">
        <f>Weekly_Inspections!$AS195</f>
        <v>0</v>
      </c>
      <c r="K195" s="23">
        <f>Weekly_Inspections!$AU195</f>
        <v>0</v>
      </c>
      <c r="L195" s="22">
        <f>Weekly_Inspections!$AV195</f>
        <v>0</v>
      </c>
      <c r="M195" s="23" t="str">
        <f t="shared" si="9"/>
        <v>Open</v>
      </c>
      <c r="N195" s="22"/>
      <c r="O195" s="21">
        <f t="shared" ca="1" si="10"/>
        <v>46113</v>
      </c>
      <c r="P195" s="21" t="str">
        <f t="shared" ca="1" si="11"/>
        <v>YES</v>
      </c>
      <c r="Q195" s="23">
        <f>Weekly_Inspections!$AW195</f>
        <v>0</v>
      </c>
    </row>
    <row r="196" spans="1:17" ht="15" customHeight="1" x14ac:dyDescent="0.2">
      <c r="A196" s="21" t="str">
        <f>IF(Weekly_Inspections!$B196="","",Weekly_Inspections!$A196&amp;"-A1")</f>
        <v/>
      </c>
      <c r="B196" s="22">
        <f>Weekly_Inspections!$B196</f>
        <v>0</v>
      </c>
      <c r="C196" s="23">
        <f>Weekly_Inspections!$E196</f>
        <v>0</v>
      </c>
      <c r="D196" s="23">
        <f>Weekly_Inspections!$F196</f>
        <v>0</v>
      </c>
      <c r="E196" s="21" t="str">
        <f>Weekly_Inspections!$H196</f>
        <v/>
      </c>
      <c r="F196" s="23">
        <f>IF(Weekly_Inspections!$AX196&lt;&gt;"",Weekly_Inspections!$AX196,IF(Weekly_Inspections!$AY196&lt;&gt;"",Weekly_Inspections!$AY196,IF(Weekly_Inspections!$AZ196&lt;&gt;"",Weekly_Inspections!$AZ196,IF(Weekly_Inspections!$BA196&lt;&gt;"",Weekly_Inspections!$BA196,IF(Weekly_Inspections!$BB196&lt;&gt;"",Weekly_Inspections!$BB196,Weekly_Inspections!$R196)))))</f>
        <v>0</v>
      </c>
      <c r="G196" s="23" t="str">
        <f>IF(OR(Weekly_Inspections!$AQ196&lt;&gt;"",Weekly_Inspections!$AR196&lt;&gt;"",Weekly_Inspections!$AS196&lt;&gt;""),Weekly_Inspections!$AQ196,"")</f>
        <v/>
      </c>
      <c r="H196" s="23">
        <f>Weekly_Inspections!$AP196</f>
        <v>0</v>
      </c>
      <c r="I196" s="23">
        <f>Weekly_Inspections!$AR196</f>
        <v>0</v>
      </c>
      <c r="J196" s="23">
        <f>Weekly_Inspections!$AS196</f>
        <v>0</v>
      </c>
      <c r="K196" s="23">
        <f>Weekly_Inspections!$AU196</f>
        <v>0</v>
      </c>
      <c r="L196" s="22">
        <f>Weekly_Inspections!$AV196</f>
        <v>0</v>
      </c>
      <c r="M196" s="23" t="str">
        <f t="shared" si="9"/>
        <v>Open</v>
      </c>
      <c r="N196" s="22"/>
      <c r="O196" s="21">
        <f t="shared" ca="1" si="10"/>
        <v>46113</v>
      </c>
      <c r="P196" s="21" t="str">
        <f t="shared" ca="1" si="11"/>
        <v>YES</v>
      </c>
      <c r="Q196" s="23">
        <f>Weekly_Inspections!$AW196</f>
        <v>0</v>
      </c>
    </row>
    <row r="197" spans="1:17" ht="15" customHeight="1" x14ac:dyDescent="0.2">
      <c r="A197" s="21" t="str">
        <f>IF(Weekly_Inspections!$B197="","",Weekly_Inspections!$A197&amp;"-A1")</f>
        <v/>
      </c>
      <c r="B197" s="22">
        <f>Weekly_Inspections!$B197</f>
        <v>0</v>
      </c>
      <c r="C197" s="23">
        <f>Weekly_Inspections!$E197</f>
        <v>0</v>
      </c>
      <c r="D197" s="23">
        <f>Weekly_Inspections!$F197</f>
        <v>0</v>
      </c>
      <c r="E197" s="21" t="str">
        <f>Weekly_Inspections!$H197</f>
        <v/>
      </c>
      <c r="F197" s="23">
        <f>IF(Weekly_Inspections!$AX197&lt;&gt;"",Weekly_Inspections!$AX197,IF(Weekly_Inspections!$AY197&lt;&gt;"",Weekly_Inspections!$AY197,IF(Weekly_Inspections!$AZ197&lt;&gt;"",Weekly_Inspections!$AZ197,IF(Weekly_Inspections!$BA197&lt;&gt;"",Weekly_Inspections!$BA197,IF(Weekly_Inspections!$BB197&lt;&gt;"",Weekly_Inspections!$BB197,Weekly_Inspections!$R197)))))</f>
        <v>0</v>
      </c>
      <c r="G197" s="23" t="str">
        <f>IF(OR(Weekly_Inspections!$AQ197&lt;&gt;"",Weekly_Inspections!$AR197&lt;&gt;"",Weekly_Inspections!$AS197&lt;&gt;""),Weekly_Inspections!$AQ197,"")</f>
        <v/>
      </c>
      <c r="H197" s="23">
        <f>Weekly_Inspections!$AP197</f>
        <v>0</v>
      </c>
      <c r="I197" s="23">
        <f>Weekly_Inspections!$AR197</f>
        <v>0</v>
      </c>
      <c r="J197" s="23">
        <f>Weekly_Inspections!$AS197</f>
        <v>0</v>
      </c>
      <c r="K197" s="23">
        <f>Weekly_Inspections!$AU197</f>
        <v>0</v>
      </c>
      <c r="L197" s="22">
        <f>Weekly_Inspections!$AV197</f>
        <v>0</v>
      </c>
      <c r="M197" s="23" t="str">
        <f t="shared" si="9"/>
        <v>Open</v>
      </c>
      <c r="N197" s="22"/>
      <c r="O197" s="21">
        <f t="shared" ca="1" si="10"/>
        <v>46113</v>
      </c>
      <c r="P197" s="21" t="str">
        <f t="shared" ca="1" si="11"/>
        <v>YES</v>
      </c>
      <c r="Q197" s="23">
        <f>Weekly_Inspections!$AW197</f>
        <v>0</v>
      </c>
    </row>
    <row r="198" spans="1:17" ht="15" customHeight="1" x14ac:dyDescent="0.2">
      <c r="A198" s="21" t="str">
        <f>IF(Weekly_Inspections!$B198="","",Weekly_Inspections!$A198&amp;"-A1")</f>
        <v/>
      </c>
      <c r="B198" s="22">
        <f>Weekly_Inspections!$B198</f>
        <v>0</v>
      </c>
      <c r="C198" s="23">
        <f>Weekly_Inspections!$E198</f>
        <v>0</v>
      </c>
      <c r="D198" s="23">
        <f>Weekly_Inspections!$F198</f>
        <v>0</v>
      </c>
      <c r="E198" s="21" t="str">
        <f>Weekly_Inspections!$H198</f>
        <v/>
      </c>
      <c r="F198" s="23">
        <f>IF(Weekly_Inspections!$AX198&lt;&gt;"",Weekly_Inspections!$AX198,IF(Weekly_Inspections!$AY198&lt;&gt;"",Weekly_Inspections!$AY198,IF(Weekly_Inspections!$AZ198&lt;&gt;"",Weekly_Inspections!$AZ198,IF(Weekly_Inspections!$BA198&lt;&gt;"",Weekly_Inspections!$BA198,IF(Weekly_Inspections!$BB198&lt;&gt;"",Weekly_Inspections!$BB198,Weekly_Inspections!$R198)))))</f>
        <v>0</v>
      </c>
      <c r="G198" s="23" t="str">
        <f>IF(OR(Weekly_Inspections!$AQ198&lt;&gt;"",Weekly_Inspections!$AR198&lt;&gt;"",Weekly_Inspections!$AS198&lt;&gt;""),Weekly_Inspections!$AQ198,"")</f>
        <v/>
      </c>
      <c r="H198" s="23">
        <f>Weekly_Inspections!$AP198</f>
        <v>0</v>
      </c>
      <c r="I198" s="23">
        <f>Weekly_Inspections!$AR198</f>
        <v>0</v>
      </c>
      <c r="J198" s="23">
        <f>Weekly_Inspections!$AS198</f>
        <v>0</v>
      </c>
      <c r="K198" s="23">
        <f>Weekly_Inspections!$AU198</f>
        <v>0</v>
      </c>
      <c r="L198" s="22">
        <f>Weekly_Inspections!$AV198</f>
        <v>0</v>
      </c>
      <c r="M198" s="23" t="str">
        <f t="shared" si="9"/>
        <v>Open</v>
      </c>
      <c r="N198" s="22"/>
      <c r="O198" s="21">
        <f t="shared" ca="1" si="10"/>
        <v>46113</v>
      </c>
      <c r="P198" s="21" t="str">
        <f t="shared" ca="1" si="11"/>
        <v>YES</v>
      </c>
      <c r="Q198" s="23">
        <f>Weekly_Inspections!$AW198</f>
        <v>0</v>
      </c>
    </row>
    <row r="199" spans="1:17" ht="15" customHeight="1" x14ac:dyDescent="0.2">
      <c r="A199" s="21" t="str">
        <f>IF(Weekly_Inspections!$B199="","",Weekly_Inspections!$A199&amp;"-A1")</f>
        <v/>
      </c>
      <c r="B199" s="22">
        <f>Weekly_Inspections!$B199</f>
        <v>0</v>
      </c>
      <c r="C199" s="23">
        <f>Weekly_Inspections!$E199</f>
        <v>0</v>
      </c>
      <c r="D199" s="23">
        <f>Weekly_Inspections!$F199</f>
        <v>0</v>
      </c>
      <c r="E199" s="21" t="str">
        <f>Weekly_Inspections!$H199</f>
        <v/>
      </c>
      <c r="F199" s="23">
        <f>IF(Weekly_Inspections!$AX199&lt;&gt;"",Weekly_Inspections!$AX199,IF(Weekly_Inspections!$AY199&lt;&gt;"",Weekly_Inspections!$AY199,IF(Weekly_Inspections!$AZ199&lt;&gt;"",Weekly_Inspections!$AZ199,IF(Weekly_Inspections!$BA199&lt;&gt;"",Weekly_Inspections!$BA199,IF(Weekly_Inspections!$BB199&lt;&gt;"",Weekly_Inspections!$BB199,Weekly_Inspections!$R199)))))</f>
        <v>0</v>
      </c>
      <c r="G199" s="23" t="str">
        <f>IF(OR(Weekly_Inspections!$AQ199&lt;&gt;"",Weekly_Inspections!$AR199&lt;&gt;"",Weekly_Inspections!$AS199&lt;&gt;""),Weekly_Inspections!$AQ199,"")</f>
        <v/>
      </c>
      <c r="H199" s="23">
        <f>Weekly_Inspections!$AP199</f>
        <v>0</v>
      </c>
      <c r="I199" s="23">
        <f>Weekly_Inspections!$AR199</f>
        <v>0</v>
      </c>
      <c r="J199" s="23">
        <f>Weekly_Inspections!$AS199</f>
        <v>0</v>
      </c>
      <c r="K199" s="23">
        <f>Weekly_Inspections!$AU199</f>
        <v>0</v>
      </c>
      <c r="L199" s="22">
        <f>Weekly_Inspections!$AV199</f>
        <v>0</v>
      </c>
      <c r="M199" s="23" t="str">
        <f t="shared" si="9"/>
        <v>Open</v>
      </c>
      <c r="N199" s="22"/>
      <c r="O199" s="21">
        <f t="shared" ca="1" si="10"/>
        <v>46113</v>
      </c>
      <c r="P199" s="21" t="str">
        <f t="shared" ca="1" si="11"/>
        <v>YES</v>
      </c>
      <c r="Q199" s="23">
        <f>Weekly_Inspections!$AW199</f>
        <v>0</v>
      </c>
    </row>
    <row r="200" spans="1:17" ht="15" customHeight="1" x14ac:dyDescent="0.2">
      <c r="A200" s="21" t="str">
        <f>IF(Weekly_Inspections!$B200="","",Weekly_Inspections!$A200&amp;"-A1")</f>
        <v/>
      </c>
      <c r="B200" s="22">
        <f>Weekly_Inspections!$B200</f>
        <v>0</v>
      </c>
      <c r="C200" s="23">
        <f>Weekly_Inspections!$E200</f>
        <v>0</v>
      </c>
      <c r="D200" s="23">
        <f>Weekly_Inspections!$F200</f>
        <v>0</v>
      </c>
      <c r="E200" s="21" t="str">
        <f>Weekly_Inspections!$H200</f>
        <v/>
      </c>
      <c r="F200" s="23">
        <f>IF(Weekly_Inspections!$AX200&lt;&gt;"",Weekly_Inspections!$AX200,IF(Weekly_Inspections!$AY200&lt;&gt;"",Weekly_Inspections!$AY200,IF(Weekly_Inspections!$AZ200&lt;&gt;"",Weekly_Inspections!$AZ200,IF(Weekly_Inspections!$BA200&lt;&gt;"",Weekly_Inspections!$BA200,IF(Weekly_Inspections!$BB200&lt;&gt;"",Weekly_Inspections!$BB200,Weekly_Inspections!$R200)))))</f>
        <v>0</v>
      </c>
      <c r="G200" s="23" t="str">
        <f>IF(OR(Weekly_Inspections!$AQ200&lt;&gt;"",Weekly_Inspections!$AR200&lt;&gt;"",Weekly_Inspections!$AS200&lt;&gt;""),Weekly_Inspections!$AQ200,"")</f>
        <v/>
      </c>
      <c r="H200" s="23">
        <f>Weekly_Inspections!$AP200</f>
        <v>0</v>
      </c>
      <c r="I200" s="23">
        <f>Weekly_Inspections!$AR200</f>
        <v>0</v>
      </c>
      <c r="J200" s="23">
        <f>Weekly_Inspections!$AS200</f>
        <v>0</v>
      </c>
      <c r="K200" s="23">
        <f>Weekly_Inspections!$AU200</f>
        <v>0</v>
      </c>
      <c r="L200" s="22">
        <f>Weekly_Inspections!$AV200</f>
        <v>0</v>
      </c>
      <c r="M200" s="23" t="str">
        <f t="shared" si="9"/>
        <v>Open</v>
      </c>
      <c r="N200" s="22"/>
      <c r="O200" s="21">
        <f t="shared" ca="1" si="10"/>
        <v>46113</v>
      </c>
      <c r="P200" s="21" t="str">
        <f t="shared" ca="1" si="11"/>
        <v>YES</v>
      </c>
      <c r="Q200" s="23">
        <f>Weekly_Inspections!$AW200</f>
        <v>0</v>
      </c>
    </row>
    <row r="201" spans="1:17" ht="15" customHeight="1" x14ac:dyDescent="0.2">
      <c r="A201" s="21" t="str">
        <f>IF(Weekly_Inspections!$B201="","",Weekly_Inspections!$A201&amp;"-A1")</f>
        <v/>
      </c>
      <c r="B201" s="22">
        <f>Weekly_Inspections!$B201</f>
        <v>0</v>
      </c>
      <c r="C201" s="23">
        <f>Weekly_Inspections!$E201</f>
        <v>0</v>
      </c>
      <c r="D201" s="23">
        <f>Weekly_Inspections!$F201</f>
        <v>0</v>
      </c>
      <c r="E201" s="21" t="str">
        <f>Weekly_Inspections!$H201</f>
        <v/>
      </c>
      <c r="F201" s="23">
        <f>IF(Weekly_Inspections!$AX201&lt;&gt;"",Weekly_Inspections!$AX201,IF(Weekly_Inspections!$AY201&lt;&gt;"",Weekly_Inspections!$AY201,IF(Weekly_Inspections!$AZ201&lt;&gt;"",Weekly_Inspections!$AZ201,IF(Weekly_Inspections!$BA201&lt;&gt;"",Weekly_Inspections!$BA201,IF(Weekly_Inspections!$BB201&lt;&gt;"",Weekly_Inspections!$BB201,Weekly_Inspections!$R201)))))</f>
        <v>0</v>
      </c>
      <c r="G201" s="23" t="str">
        <f>IF(OR(Weekly_Inspections!$AQ201&lt;&gt;"",Weekly_Inspections!$AR201&lt;&gt;"",Weekly_Inspections!$AS201&lt;&gt;""),Weekly_Inspections!$AQ201,"")</f>
        <v/>
      </c>
      <c r="H201" s="23">
        <f>Weekly_Inspections!$AP201</f>
        <v>0</v>
      </c>
      <c r="I201" s="23">
        <f>Weekly_Inspections!$AR201</f>
        <v>0</v>
      </c>
      <c r="J201" s="23">
        <f>Weekly_Inspections!$AS201</f>
        <v>0</v>
      </c>
      <c r="K201" s="23">
        <f>Weekly_Inspections!$AU201</f>
        <v>0</v>
      </c>
      <c r="L201" s="22">
        <f>Weekly_Inspections!$AV201</f>
        <v>0</v>
      </c>
      <c r="M201" s="23" t="str">
        <f t="shared" si="9"/>
        <v>Open</v>
      </c>
      <c r="N201" s="22"/>
      <c r="O201" s="21">
        <f t="shared" ca="1" si="10"/>
        <v>46113</v>
      </c>
      <c r="P201" s="21" t="str">
        <f t="shared" ca="1" si="11"/>
        <v>YES</v>
      </c>
      <c r="Q201" s="23">
        <f>Weekly_Inspections!$AW201</f>
        <v>0</v>
      </c>
    </row>
    <row r="202" spans="1:17" ht="15" customHeight="1" x14ac:dyDescent="0.2">
      <c r="A202" s="21" t="str">
        <f>IF(Weekly_Inspections!$B202="","",Weekly_Inspections!$A202&amp;"-A1")</f>
        <v/>
      </c>
      <c r="B202" s="22">
        <f>Weekly_Inspections!$B202</f>
        <v>0</v>
      </c>
      <c r="C202" s="23">
        <f>Weekly_Inspections!$E202</f>
        <v>0</v>
      </c>
      <c r="D202" s="23">
        <f>Weekly_Inspections!$F202</f>
        <v>0</v>
      </c>
      <c r="E202" s="21" t="str">
        <f>Weekly_Inspections!$H202</f>
        <v/>
      </c>
      <c r="F202" s="23">
        <f>IF(Weekly_Inspections!$AX202&lt;&gt;"",Weekly_Inspections!$AX202,IF(Weekly_Inspections!$AY202&lt;&gt;"",Weekly_Inspections!$AY202,IF(Weekly_Inspections!$AZ202&lt;&gt;"",Weekly_Inspections!$AZ202,IF(Weekly_Inspections!$BA202&lt;&gt;"",Weekly_Inspections!$BA202,IF(Weekly_Inspections!$BB202&lt;&gt;"",Weekly_Inspections!$BB202,Weekly_Inspections!$R202)))))</f>
        <v>0</v>
      </c>
      <c r="G202" s="23" t="str">
        <f>IF(OR(Weekly_Inspections!$AQ202&lt;&gt;"",Weekly_Inspections!$AR202&lt;&gt;"",Weekly_Inspections!$AS202&lt;&gt;""),Weekly_Inspections!$AQ202,"")</f>
        <v/>
      </c>
      <c r="H202" s="23">
        <f>Weekly_Inspections!$AP202</f>
        <v>0</v>
      </c>
      <c r="I202" s="23">
        <f>Weekly_Inspections!$AR202</f>
        <v>0</v>
      </c>
      <c r="J202" s="23">
        <f>Weekly_Inspections!$AS202</f>
        <v>0</v>
      </c>
      <c r="K202" s="23">
        <f>Weekly_Inspections!$AU202</f>
        <v>0</v>
      </c>
      <c r="L202" s="22">
        <f>Weekly_Inspections!$AV202</f>
        <v>0</v>
      </c>
      <c r="M202" s="23" t="str">
        <f t="shared" si="9"/>
        <v>Open</v>
      </c>
      <c r="N202" s="22"/>
      <c r="O202" s="21">
        <f t="shared" ca="1" si="10"/>
        <v>46113</v>
      </c>
      <c r="P202" s="21" t="str">
        <f t="shared" ca="1" si="11"/>
        <v>YES</v>
      </c>
      <c r="Q202" s="23">
        <f>Weekly_Inspections!$AW202</f>
        <v>0</v>
      </c>
    </row>
    <row r="203" spans="1:17" ht="15" customHeight="1" x14ac:dyDescent="0.2">
      <c r="A203" s="21" t="str">
        <f>IF(Weekly_Inspections!$B203="","",Weekly_Inspections!$A203&amp;"-A1")</f>
        <v/>
      </c>
      <c r="B203" s="22">
        <f>Weekly_Inspections!$B203</f>
        <v>0</v>
      </c>
      <c r="C203" s="23">
        <f>Weekly_Inspections!$E203</f>
        <v>0</v>
      </c>
      <c r="D203" s="23">
        <f>Weekly_Inspections!$F203</f>
        <v>0</v>
      </c>
      <c r="E203" s="21" t="str">
        <f>Weekly_Inspections!$H203</f>
        <v/>
      </c>
      <c r="F203" s="23">
        <f>IF(Weekly_Inspections!$AX203&lt;&gt;"",Weekly_Inspections!$AX203,IF(Weekly_Inspections!$AY203&lt;&gt;"",Weekly_Inspections!$AY203,IF(Weekly_Inspections!$AZ203&lt;&gt;"",Weekly_Inspections!$AZ203,IF(Weekly_Inspections!$BA203&lt;&gt;"",Weekly_Inspections!$BA203,IF(Weekly_Inspections!$BB203&lt;&gt;"",Weekly_Inspections!$BB203,Weekly_Inspections!$R203)))))</f>
        <v>0</v>
      </c>
      <c r="G203" s="23" t="str">
        <f>IF(OR(Weekly_Inspections!$AQ203&lt;&gt;"",Weekly_Inspections!$AR203&lt;&gt;"",Weekly_Inspections!$AS203&lt;&gt;""),Weekly_Inspections!$AQ203,"")</f>
        <v/>
      </c>
      <c r="H203" s="23">
        <f>Weekly_Inspections!$AP203</f>
        <v>0</v>
      </c>
      <c r="I203" s="23">
        <f>Weekly_Inspections!$AR203</f>
        <v>0</v>
      </c>
      <c r="J203" s="23">
        <f>Weekly_Inspections!$AS203</f>
        <v>0</v>
      </c>
      <c r="K203" s="23">
        <f>Weekly_Inspections!$AU203</f>
        <v>0</v>
      </c>
      <c r="L203" s="22">
        <f>Weekly_Inspections!$AV203</f>
        <v>0</v>
      </c>
      <c r="M203" s="23" t="str">
        <f t="shared" si="9"/>
        <v>Open</v>
      </c>
      <c r="N203" s="22"/>
      <c r="O203" s="21">
        <f t="shared" ca="1" si="10"/>
        <v>46113</v>
      </c>
      <c r="P203" s="21" t="str">
        <f t="shared" ca="1" si="11"/>
        <v>YES</v>
      </c>
      <c r="Q203" s="23">
        <f>Weekly_Inspections!$AW203</f>
        <v>0</v>
      </c>
    </row>
    <row r="204" spans="1:17" ht="15" customHeight="1" x14ac:dyDescent="0.2">
      <c r="A204" s="21" t="str">
        <f>IF(Weekly_Inspections!$B204="","",Weekly_Inspections!$A204&amp;"-A1")</f>
        <v/>
      </c>
      <c r="B204" s="22">
        <f>Weekly_Inspections!$B204</f>
        <v>0</v>
      </c>
      <c r="C204" s="23">
        <f>Weekly_Inspections!$E204</f>
        <v>0</v>
      </c>
      <c r="D204" s="23">
        <f>Weekly_Inspections!$F204</f>
        <v>0</v>
      </c>
      <c r="E204" s="21" t="str">
        <f>Weekly_Inspections!$H204</f>
        <v/>
      </c>
      <c r="F204" s="23">
        <f>IF(Weekly_Inspections!$AX204&lt;&gt;"",Weekly_Inspections!$AX204,IF(Weekly_Inspections!$AY204&lt;&gt;"",Weekly_Inspections!$AY204,IF(Weekly_Inspections!$AZ204&lt;&gt;"",Weekly_Inspections!$AZ204,IF(Weekly_Inspections!$BA204&lt;&gt;"",Weekly_Inspections!$BA204,IF(Weekly_Inspections!$BB204&lt;&gt;"",Weekly_Inspections!$BB204,Weekly_Inspections!$R204)))))</f>
        <v>0</v>
      </c>
      <c r="G204" s="23" t="str">
        <f>IF(OR(Weekly_Inspections!$AQ204&lt;&gt;"",Weekly_Inspections!$AR204&lt;&gt;"",Weekly_Inspections!$AS204&lt;&gt;""),Weekly_Inspections!$AQ204,"")</f>
        <v/>
      </c>
      <c r="H204" s="23">
        <f>Weekly_Inspections!$AP204</f>
        <v>0</v>
      </c>
      <c r="I204" s="23">
        <f>Weekly_Inspections!$AR204</f>
        <v>0</v>
      </c>
      <c r="J204" s="23">
        <f>Weekly_Inspections!$AS204</f>
        <v>0</v>
      </c>
      <c r="K204" s="23">
        <f>Weekly_Inspections!$AU204</f>
        <v>0</v>
      </c>
      <c r="L204" s="22">
        <f>Weekly_Inspections!$AV204</f>
        <v>0</v>
      </c>
      <c r="M204" s="23" t="str">
        <f t="shared" si="9"/>
        <v>Open</v>
      </c>
      <c r="N204" s="22"/>
      <c r="O204" s="21">
        <f t="shared" ca="1" si="10"/>
        <v>46113</v>
      </c>
      <c r="P204" s="21" t="str">
        <f t="shared" ca="1" si="11"/>
        <v>YES</v>
      </c>
      <c r="Q204" s="23">
        <f>Weekly_Inspections!$AW204</f>
        <v>0</v>
      </c>
    </row>
    <row r="205" spans="1:17" ht="15" customHeight="1" x14ac:dyDescent="0.2">
      <c r="A205" s="21" t="str">
        <f>IF(Weekly_Inspections!$B205="","",Weekly_Inspections!$A205&amp;"-A1")</f>
        <v/>
      </c>
      <c r="B205" s="22">
        <f>Weekly_Inspections!$B205</f>
        <v>0</v>
      </c>
      <c r="C205" s="23">
        <f>Weekly_Inspections!$E205</f>
        <v>0</v>
      </c>
      <c r="D205" s="23">
        <f>Weekly_Inspections!$F205</f>
        <v>0</v>
      </c>
      <c r="E205" s="21" t="str">
        <f>Weekly_Inspections!$H205</f>
        <v/>
      </c>
      <c r="F205" s="23">
        <f>IF(Weekly_Inspections!$AX205&lt;&gt;"",Weekly_Inspections!$AX205,IF(Weekly_Inspections!$AY205&lt;&gt;"",Weekly_Inspections!$AY205,IF(Weekly_Inspections!$AZ205&lt;&gt;"",Weekly_Inspections!$AZ205,IF(Weekly_Inspections!$BA205&lt;&gt;"",Weekly_Inspections!$BA205,IF(Weekly_Inspections!$BB205&lt;&gt;"",Weekly_Inspections!$BB205,Weekly_Inspections!$R205)))))</f>
        <v>0</v>
      </c>
      <c r="G205" s="23" t="str">
        <f>IF(OR(Weekly_Inspections!$AQ205&lt;&gt;"",Weekly_Inspections!$AR205&lt;&gt;"",Weekly_Inspections!$AS205&lt;&gt;""),Weekly_Inspections!$AQ205,"")</f>
        <v/>
      </c>
      <c r="H205" s="23">
        <f>Weekly_Inspections!$AP205</f>
        <v>0</v>
      </c>
      <c r="I205" s="23">
        <f>Weekly_Inspections!$AR205</f>
        <v>0</v>
      </c>
      <c r="J205" s="23">
        <f>Weekly_Inspections!$AS205</f>
        <v>0</v>
      </c>
      <c r="K205" s="23">
        <f>Weekly_Inspections!$AU205</f>
        <v>0</v>
      </c>
      <c r="L205" s="22">
        <f>Weekly_Inspections!$AV205</f>
        <v>0</v>
      </c>
      <c r="M205" s="23" t="str">
        <f t="shared" si="9"/>
        <v>Open</v>
      </c>
      <c r="N205" s="22"/>
      <c r="O205" s="21">
        <f t="shared" ca="1" si="10"/>
        <v>46113</v>
      </c>
      <c r="P205" s="21" t="str">
        <f t="shared" ca="1" si="11"/>
        <v>YES</v>
      </c>
      <c r="Q205" s="23">
        <f>Weekly_Inspections!$AW205</f>
        <v>0</v>
      </c>
    </row>
    <row r="206" spans="1:17" ht="15" customHeight="1" x14ac:dyDescent="0.2">
      <c r="A206" s="21" t="str">
        <f>IF(Weekly_Inspections!$B206="","",Weekly_Inspections!$A206&amp;"-A1")</f>
        <v/>
      </c>
      <c r="B206" s="22">
        <f>Weekly_Inspections!$B206</f>
        <v>0</v>
      </c>
      <c r="C206" s="23">
        <f>Weekly_Inspections!$E206</f>
        <v>0</v>
      </c>
      <c r="D206" s="23">
        <f>Weekly_Inspections!$F206</f>
        <v>0</v>
      </c>
      <c r="E206" s="21" t="str">
        <f>Weekly_Inspections!$H206</f>
        <v/>
      </c>
      <c r="F206" s="23">
        <f>IF(Weekly_Inspections!$AX206&lt;&gt;"",Weekly_Inspections!$AX206,IF(Weekly_Inspections!$AY206&lt;&gt;"",Weekly_Inspections!$AY206,IF(Weekly_Inspections!$AZ206&lt;&gt;"",Weekly_Inspections!$AZ206,IF(Weekly_Inspections!$BA206&lt;&gt;"",Weekly_Inspections!$BA206,IF(Weekly_Inspections!$BB206&lt;&gt;"",Weekly_Inspections!$BB206,Weekly_Inspections!$R206)))))</f>
        <v>0</v>
      </c>
      <c r="G206" s="23" t="str">
        <f>IF(OR(Weekly_Inspections!$AQ206&lt;&gt;"",Weekly_Inspections!$AR206&lt;&gt;"",Weekly_Inspections!$AS206&lt;&gt;""),Weekly_Inspections!$AQ206,"")</f>
        <v/>
      </c>
      <c r="H206" s="23">
        <f>Weekly_Inspections!$AP206</f>
        <v>0</v>
      </c>
      <c r="I206" s="23">
        <f>Weekly_Inspections!$AR206</f>
        <v>0</v>
      </c>
      <c r="J206" s="23">
        <f>Weekly_Inspections!$AS206</f>
        <v>0</v>
      </c>
      <c r="K206" s="23">
        <f>Weekly_Inspections!$AU206</f>
        <v>0</v>
      </c>
      <c r="L206" s="22">
        <f>Weekly_Inspections!$AV206</f>
        <v>0</v>
      </c>
      <c r="M206" s="23" t="str">
        <f t="shared" si="9"/>
        <v>Open</v>
      </c>
      <c r="N206" s="22"/>
      <c r="O206" s="21">
        <f t="shared" ca="1" si="10"/>
        <v>46113</v>
      </c>
      <c r="P206" s="21" t="str">
        <f t="shared" ca="1" si="11"/>
        <v>YES</v>
      </c>
      <c r="Q206" s="23">
        <f>Weekly_Inspections!$AW206</f>
        <v>0</v>
      </c>
    </row>
    <row r="207" spans="1:17" ht="15" customHeight="1" x14ac:dyDescent="0.2">
      <c r="A207" s="21" t="str">
        <f>IF(Weekly_Inspections!$B207="","",Weekly_Inspections!$A207&amp;"-A1")</f>
        <v/>
      </c>
      <c r="B207" s="22">
        <f>Weekly_Inspections!$B207</f>
        <v>0</v>
      </c>
      <c r="C207" s="23">
        <f>Weekly_Inspections!$E207</f>
        <v>0</v>
      </c>
      <c r="D207" s="23">
        <f>Weekly_Inspections!$F207</f>
        <v>0</v>
      </c>
      <c r="E207" s="21" t="str">
        <f>Weekly_Inspections!$H207</f>
        <v/>
      </c>
      <c r="F207" s="23">
        <f>IF(Weekly_Inspections!$AX207&lt;&gt;"",Weekly_Inspections!$AX207,IF(Weekly_Inspections!$AY207&lt;&gt;"",Weekly_Inspections!$AY207,IF(Weekly_Inspections!$AZ207&lt;&gt;"",Weekly_Inspections!$AZ207,IF(Weekly_Inspections!$BA207&lt;&gt;"",Weekly_Inspections!$BA207,IF(Weekly_Inspections!$BB207&lt;&gt;"",Weekly_Inspections!$BB207,Weekly_Inspections!$R207)))))</f>
        <v>0</v>
      </c>
      <c r="G207" s="23" t="str">
        <f>IF(OR(Weekly_Inspections!$AQ207&lt;&gt;"",Weekly_Inspections!$AR207&lt;&gt;"",Weekly_Inspections!$AS207&lt;&gt;""),Weekly_Inspections!$AQ207,"")</f>
        <v/>
      </c>
      <c r="H207" s="23">
        <f>Weekly_Inspections!$AP207</f>
        <v>0</v>
      </c>
      <c r="I207" s="23">
        <f>Weekly_Inspections!$AR207</f>
        <v>0</v>
      </c>
      <c r="J207" s="23">
        <f>Weekly_Inspections!$AS207</f>
        <v>0</v>
      </c>
      <c r="K207" s="23">
        <f>Weekly_Inspections!$AU207</f>
        <v>0</v>
      </c>
      <c r="L207" s="22">
        <f>Weekly_Inspections!$AV207</f>
        <v>0</v>
      </c>
      <c r="M207" s="23" t="str">
        <f t="shared" si="9"/>
        <v>Open</v>
      </c>
      <c r="N207" s="22"/>
      <c r="O207" s="21">
        <f t="shared" ca="1" si="10"/>
        <v>46113</v>
      </c>
      <c r="P207" s="21" t="str">
        <f t="shared" ca="1" si="11"/>
        <v>YES</v>
      </c>
      <c r="Q207" s="23">
        <f>Weekly_Inspections!$AW207</f>
        <v>0</v>
      </c>
    </row>
    <row r="208" spans="1:17" ht="15" customHeight="1" x14ac:dyDescent="0.2">
      <c r="A208" s="21" t="str">
        <f>IF(Weekly_Inspections!$B208="","",Weekly_Inspections!$A208&amp;"-A1")</f>
        <v/>
      </c>
      <c r="B208" s="22">
        <f>Weekly_Inspections!$B208</f>
        <v>0</v>
      </c>
      <c r="C208" s="23">
        <f>Weekly_Inspections!$E208</f>
        <v>0</v>
      </c>
      <c r="D208" s="23">
        <f>Weekly_Inspections!$F208</f>
        <v>0</v>
      </c>
      <c r="E208" s="21" t="str">
        <f>Weekly_Inspections!$H208</f>
        <v/>
      </c>
      <c r="F208" s="23">
        <f>IF(Weekly_Inspections!$AX208&lt;&gt;"",Weekly_Inspections!$AX208,IF(Weekly_Inspections!$AY208&lt;&gt;"",Weekly_Inspections!$AY208,IF(Weekly_Inspections!$AZ208&lt;&gt;"",Weekly_Inspections!$AZ208,IF(Weekly_Inspections!$BA208&lt;&gt;"",Weekly_Inspections!$BA208,IF(Weekly_Inspections!$BB208&lt;&gt;"",Weekly_Inspections!$BB208,Weekly_Inspections!$R208)))))</f>
        <v>0</v>
      </c>
      <c r="G208" s="23" t="str">
        <f>IF(OR(Weekly_Inspections!$AQ208&lt;&gt;"",Weekly_Inspections!$AR208&lt;&gt;"",Weekly_Inspections!$AS208&lt;&gt;""),Weekly_Inspections!$AQ208,"")</f>
        <v/>
      </c>
      <c r="H208" s="23">
        <f>Weekly_Inspections!$AP208</f>
        <v>0</v>
      </c>
      <c r="I208" s="23">
        <f>Weekly_Inspections!$AR208</f>
        <v>0</v>
      </c>
      <c r="J208" s="23">
        <f>Weekly_Inspections!$AS208</f>
        <v>0</v>
      </c>
      <c r="K208" s="23">
        <f>Weekly_Inspections!$AU208</f>
        <v>0</v>
      </c>
      <c r="L208" s="22">
        <f>Weekly_Inspections!$AV208</f>
        <v>0</v>
      </c>
      <c r="M208" s="23" t="str">
        <f t="shared" si="9"/>
        <v>Open</v>
      </c>
      <c r="N208" s="22"/>
      <c r="O208" s="21">
        <f t="shared" ca="1" si="10"/>
        <v>46113</v>
      </c>
      <c r="P208" s="21" t="str">
        <f t="shared" ca="1" si="11"/>
        <v>YES</v>
      </c>
      <c r="Q208" s="23">
        <f>Weekly_Inspections!$AW208</f>
        <v>0</v>
      </c>
    </row>
    <row r="209" spans="1:17" ht="15" customHeight="1" x14ac:dyDescent="0.2">
      <c r="A209" s="21" t="str">
        <f>IF(Weekly_Inspections!$B209="","",Weekly_Inspections!$A209&amp;"-A1")</f>
        <v/>
      </c>
      <c r="B209" s="22">
        <f>Weekly_Inspections!$B209</f>
        <v>0</v>
      </c>
      <c r="C209" s="23">
        <f>Weekly_Inspections!$E209</f>
        <v>0</v>
      </c>
      <c r="D209" s="23">
        <f>Weekly_Inspections!$F209</f>
        <v>0</v>
      </c>
      <c r="E209" s="21" t="str">
        <f>Weekly_Inspections!$H209</f>
        <v/>
      </c>
      <c r="F209" s="23">
        <f>IF(Weekly_Inspections!$AX209&lt;&gt;"",Weekly_Inspections!$AX209,IF(Weekly_Inspections!$AY209&lt;&gt;"",Weekly_Inspections!$AY209,IF(Weekly_Inspections!$AZ209&lt;&gt;"",Weekly_Inspections!$AZ209,IF(Weekly_Inspections!$BA209&lt;&gt;"",Weekly_Inspections!$BA209,IF(Weekly_Inspections!$BB209&lt;&gt;"",Weekly_Inspections!$BB209,Weekly_Inspections!$R209)))))</f>
        <v>0</v>
      </c>
      <c r="G209" s="23" t="str">
        <f>IF(OR(Weekly_Inspections!$AQ209&lt;&gt;"",Weekly_Inspections!$AR209&lt;&gt;"",Weekly_Inspections!$AS209&lt;&gt;""),Weekly_Inspections!$AQ209,"")</f>
        <v/>
      </c>
      <c r="H209" s="23">
        <f>Weekly_Inspections!$AP209</f>
        <v>0</v>
      </c>
      <c r="I209" s="23">
        <f>Weekly_Inspections!$AR209</f>
        <v>0</v>
      </c>
      <c r="J209" s="23">
        <f>Weekly_Inspections!$AS209</f>
        <v>0</v>
      </c>
      <c r="K209" s="23">
        <f>Weekly_Inspections!$AU209</f>
        <v>0</v>
      </c>
      <c r="L209" s="22">
        <f>Weekly_Inspections!$AV209</f>
        <v>0</v>
      </c>
      <c r="M209" s="23" t="str">
        <f t="shared" si="9"/>
        <v>Open</v>
      </c>
      <c r="N209" s="22"/>
      <c r="O209" s="21">
        <f t="shared" ca="1" si="10"/>
        <v>46113</v>
      </c>
      <c r="P209" s="21" t="str">
        <f t="shared" ca="1" si="11"/>
        <v>YES</v>
      </c>
      <c r="Q209" s="23">
        <f>Weekly_Inspections!$AW209</f>
        <v>0</v>
      </c>
    </row>
    <row r="210" spans="1:17" ht="15" customHeight="1" x14ac:dyDescent="0.2">
      <c r="A210" s="21" t="str">
        <f>IF(Weekly_Inspections!$B210="","",Weekly_Inspections!$A210&amp;"-A1")</f>
        <v/>
      </c>
      <c r="B210" s="22">
        <f>Weekly_Inspections!$B210</f>
        <v>0</v>
      </c>
      <c r="C210" s="23">
        <f>Weekly_Inspections!$E210</f>
        <v>0</v>
      </c>
      <c r="D210" s="23">
        <f>Weekly_Inspections!$F210</f>
        <v>0</v>
      </c>
      <c r="E210" s="21" t="str">
        <f>Weekly_Inspections!$H210</f>
        <v/>
      </c>
      <c r="F210" s="23">
        <f>IF(Weekly_Inspections!$AX210&lt;&gt;"",Weekly_Inspections!$AX210,IF(Weekly_Inspections!$AY210&lt;&gt;"",Weekly_Inspections!$AY210,IF(Weekly_Inspections!$AZ210&lt;&gt;"",Weekly_Inspections!$AZ210,IF(Weekly_Inspections!$BA210&lt;&gt;"",Weekly_Inspections!$BA210,IF(Weekly_Inspections!$BB210&lt;&gt;"",Weekly_Inspections!$BB210,Weekly_Inspections!$R210)))))</f>
        <v>0</v>
      </c>
      <c r="G210" s="23" t="str">
        <f>IF(OR(Weekly_Inspections!$AQ210&lt;&gt;"",Weekly_Inspections!$AR210&lt;&gt;"",Weekly_Inspections!$AS210&lt;&gt;""),Weekly_Inspections!$AQ210,"")</f>
        <v/>
      </c>
      <c r="H210" s="23">
        <f>Weekly_Inspections!$AP210</f>
        <v>0</v>
      </c>
      <c r="I210" s="23">
        <f>Weekly_Inspections!$AR210</f>
        <v>0</v>
      </c>
      <c r="J210" s="23">
        <f>Weekly_Inspections!$AS210</f>
        <v>0</v>
      </c>
      <c r="K210" s="23">
        <f>Weekly_Inspections!$AU210</f>
        <v>0</v>
      </c>
      <c r="L210" s="22">
        <f>Weekly_Inspections!$AV210</f>
        <v>0</v>
      </c>
      <c r="M210" s="23" t="str">
        <f t="shared" si="9"/>
        <v>Open</v>
      </c>
      <c r="N210" s="22"/>
      <c r="O210" s="21">
        <f t="shared" ca="1" si="10"/>
        <v>46113</v>
      </c>
      <c r="P210" s="21" t="str">
        <f t="shared" ca="1" si="11"/>
        <v>YES</v>
      </c>
      <c r="Q210" s="23">
        <f>Weekly_Inspections!$AW210</f>
        <v>0</v>
      </c>
    </row>
    <row r="211" spans="1:17" ht="15" customHeight="1" x14ac:dyDescent="0.2">
      <c r="A211" s="21" t="str">
        <f>IF(Weekly_Inspections!$B211="","",Weekly_Inspections!$A211&amp;"-A1")</f>
        <v/>
      </c>
      <c r="B211" s="22">
        <f>Weekly_Inspections!$B211</f>
        <v>0</v>
      </c>
      <c r="C211" s="23">
        <f>Weekly_Inspections!$E211</f>
        <v>0</v>
      </c>
      <c r="D211" s="23">
        <f>Weekly_Inspections!$F211</f>
        <v>0</v>
      </c>
      <c r="E211" s="21" t="str">
        <f>Weekly_Inspections!$H211</f>
        <v/>
      </c>
      <c r="F211" s="23">
        <f>IF(Weekly_Inspections!$AX211&lt;&gt;"",Weekly_Inspections!$AX211,IF(Weekly_Inspections!$AY211&lt;&gt;"",Weekly_Inspections!$AY211,IF(Weekly_Inspections!$AZ211&lt;&gt;"",Weekly_Inspections!$AZ211,IF(Weekly_Inspections!$BA211&lt;&gt;"",Weekly_Inspections!$BA211,IF(Weekly_Inspections!$BB211&lt;&gt;"",Weekly_Inspections!$BB211,Weekly_Inspections!$R211)))))</f>
        <v>0</v>
      </c>
      <c r="G211" s="23" t="str">
        <f>IF(OR(Weekly_Inspections!$AQ211&lt;&gt;"",Weekly_Inspections!$AR211&lt;&gt;"",Weekly_Inspections!$AS211&lt;&gt;""),Weekly_Inspections!$AQ211,"")</f>
        <v/>
      </c>
      <c r="H211" s="23">
        <f>Weekly_Inspections!$AP211</f>
        <v>0</v>
      </c>
      <c r="I211" s="23">
        <f>Weekly_Inspections!$AR211</f>
        <v>0</v>
      </c>
      <c r="J211" s="23">
        <f>Weekly_Inspections!$AS211</f>
        <v>0</v>
      </c>
      <c r="K211" s="23">
        <f>Weekly_Inspections!$AU211</f>
        <v>0</v>
      </c>
      <c r="L211" s="22">
        <f>Weekly_Inspections!$AV211</f>
        <v>0</v>
      </c>
      <c r="M211" s="23" t="str">
        <f t="shared" si="9"/>
        <v>Open</v>
      </c>
      <c r="N211" s="22"/>
      <c r="O211" s="21">
        <f t="shared" ca="1" si="10"/>
        <v>46113</v>
      </c>
      <c r="P211" s="21" t="str">
        <f t="shared" ca="1" si="11"/>
        <v>YES</v>
      </c>
      <c r="Q211" s="23">
        <f>Weekly_Inspections!$AW211</f>
        <v>0</v>
      </c>
    </row>
    <row r="212" spans="1:17" ht="15" customHeight="1" x14ac:dyDescent="0.2">
      <c r="A212" s="21" t="str">
        <f>IF(Weekly_Inspections!$B212="","",Weekly_Inspections!$A212&amp;"-A1")</f>
        <v/>
      </c>
      <c r="B212" s="22">
        <f>Weekly_Inspections!$B212</f>
        <v>0</v>
      </c>
      <c r="C212" s="23">
        <f>Weekly_Inspections!$E212</f>
        <v>0</v>
      </c>
      <c r="D212" s="23">
        <f>Weekly_Inspections!$F212</f>
        <v>0</v>
      </c>
      <c r="E212" s="21" t="str">
        <f>Weekly_Inspections!$H212</f>
        <v/>
      </c>
      <c r="F212" s="23">
        <f>IF(Weekly_Inspections!$AX212&lt;&gt;"",Weekly_Inspections!$AX212,IF(Weekly_Inspections!$AY212&lt;&gt;"",Weekly_Inspections!$AY212,IF(Weekly_Inspections!$AZ212&lt;&gt;"",Weekly_Inspections!$AZ212,IF(Weekly_Inspections!$BA212&lt;&gt;"",Weekly_Inspections!$BA212,IF(Weekly_Inspections!$BB212&lt;&gt;"",Weekly_Inspections!$BB212,Weekly_Inspections!$R212)))))</f>
        <v>0</v>
      </c>
      <c r="G212" s="23" t="str">
        <f>IF(OR(Weekly_Inspections!$AQ212&lt;&gt;"",Weekly_Inspections!$AR212&lt;&gt;"",Weekly_Inspections!$AS212&lt;&gt;""),Weekly_Inspections!$AQ212,"")</f>
        <v/>
      </c>
      <c r="H212" s="23">
        <f>Weekly_Inspections!$AP212</f>
        <v>0</v>
      </c>
      <c r="I212" s="23">
        <f>Weekly_Inspections!$AR212</f>
        <v>0</v>
      </c>
      <c r="J212" s="23">
        <f>Weekly_Inspections!$AS212</f>
        <v>0</v>
      </c>
      <c r="K212" s="23">
        <f>Weekly_Inspections!$AU212</f>
        <v>0</v>
      </c>
      <c r="L212" s="22">
        <f>Weekly_Inspections!$AV212</f>
        <v>0</v>
      </c>
      <c r="M212" s="23" t="str">
        <f t="shared" si="9"/>
        <v>Open</v>
      </c>
      <c r="N212" s="22"/>
      <c r="O212" s="21">
        <f t="shared" ca="1" si="10"/>
        <v>46113</v>
      </c>
      <c r="P212" s="21" t="str">
        <f t="shared" ca="1" si="11"/>
        <v>YES</v>
      </c>
      <c r="Q212" s="23">
        <f>Weekly_Inspections!$AW212</f>
        <v>0</v>
      </c>
    </row>
    <row r="213" spans="1:17" ht="15" customHeight="1" x14ac:dyDescent="0.2">
      <c r="A213" s="21" t="str">
        <f>IF(Weekly_Inspections!$B213="","",Weekly_Inspections!$A213&amp;"-A1")</f>
        <v/>
      </c>
      <c r="B213" s="22">
        <f>Weekly_Inspections!$B213</f>
        <v>0</v>
      </c>
      <c r="C213" s="23">
        <f>Weekly_Inspections!$E213</f>
        <v>0</v>
      </c>
      <c r="D213" s="23">
        <f>Weekly_Inspections!$F213</f>
        <v>0</v>
      </c>
      <c r="E213" s="21" t="str">
        <f>Weekly_Inspections!$H213</f>
        <v/>
      </c>
      <c r="F213" s="23">
        <f>IF(Weekly_Inspections!$AX213&lt;&gt;"",Weekly_Inspections!$AX213,IF(Weekly_Inspections!$AY213&lt;&gt;"",Weekly_Inspections!$AY213,IF(Weekly_Inspections!$AZ213&lt;&gt;"",Weekly_Inspections!$AZ213,IF(Weekly_Inspections!$BA213&lt;&gt;"",Weekly_Inspections!$BA213,IF(Weekly_Inspections!$BB213&lt;&gt;"",Weekly_Inspections!$BB213,Weekly_Inspections!$R213)))))</f>
        <v>0</v>
      </c>
      <c r="G213" s="23" t="str">
        <f>IF(OR(Weekly_Inspections!$AQ213&lt;&gt;"",Weekly_Inspections!$AR213&lt;&gt;"",Weekly_Inspections!$AS213&lt;&gt;""),Weekly_Inspections!$AQ213,"")</f>
        <v/>
      </c>
      <c r="H213" s="23">
        <f>Weekly_Inspections!$AP213</f>
        <v>0</v>
      </c>
      <c r="I213" s="23">
        <f>Weekly_Inspections!$AR213</f>
        <v>0</v>
      </c>
      <c r="J213" s="23">
        <f>Weekly_Inspections!$AS213</f>
        <v>0</v>
      </c>
      <c r="K213" s="23">
        <f>Weekly_Inspections!$AU213</f>
        <v>0</v>
      </c>
      <c r="L213" s="22">
        <f>Weekly_Inspections!$AV213</f>
        <v>0</v>
      </c>
      <c r="M213" s="23" t="str">
        <f t="shared" si="9"/>
        <v>Open</v>
      </c>
      <c r="N213" s="22"/>
      <c r="O213" s="21">
        <f t="shared" ca="1" si="10"/>
        <v>46113</v>
      </c>
      <c r="P213" s="21" t="str">
        <f t="shared" ca="1" si="11"/>
        <v>YES</v>
      </c>
      <c r="Q213" s="23">
        <f>Weekly_Inspections!$AW213</f>
        <v>0</v>
      </c>
    </row>
    <row r="214" spans="1:17" ht="15" customHeight="1" x14ac:dyDescent="0.2">
      <c r="A214" s="21" t="str">
        <f>IF(Weekly_Inspections!$B214="","",Weekly_Inspections!$A214&amp;"-A1")</f>
        <v/>
      </c>
      <c r="B214" s="22">
        <f>Weekly_Inspections!$B214</f>
        <v>0</v>
      </c>
      <c r="C214" s="23">
        <f>Weekly_Inspections!$E214</f>
        <v>0</v>
      </c>
      <c r="D214" s="23">
        <f>Weekly_Inspections!$F214</f>
        <v>0</v>
      </c>
      <c r="E214" s="21" t="str">
        <f>Weekly_Inspections!$H214</f>
        <v/>
      </c>
      <c r="F214" s="23">
        <f>IF(Weekly_Inspections!$AX214&lt;&gt;"",Weekly_Inspections!$AX214,IF(Weekly_Inspections!$AY214&lt;&gt;"",Weekly_Inspections!$AY214,IF(Weekly_Inspections!$AZ214&lt;&gt;"",Weekly_Inspections!$AZ214,IF(Weekly_Inspections!$BA214&lt;&gt;"",Weekly_Inspections!$BA214,IF(Weekly_Inspections!$BB214&lt;&gt;"",Weekly_Inspections!$BB214,Weekly_Inspections!$R214)))))</f>
        <v>0</v>
      </c>
      <c r="G214" s="23" t="str">
        <f>IF(OR(Weekly_Inspections!$AQ214&lt;&gt;"",Weekly_Inspections!$AR214&lt;&gt;"",Weekly_Inspections!$AS214&lt;&gt;""),Weekly_Inspections!$AQ214,"")</f>
        <v/>
      </c>
      <c r="H214" s="23">
        <f>Weekly_Inspections!$AP214</f>
        <v>0</v>
      </c>
      <c r="I214" s="23">
        <f>Weekly_Inspections!$AR214</f>
        <v>0</v>
      </c>
      <c r="J214" s="23">
        <f>Weekly_Inspections!$AS214</f>
        <v>0</v>
      </c>
      <c r="K214" s="23">
        <f>Weekly_Inspections!$AU214</f>
        <v>0</v>
      </c>
      <c r="L214" s="22">
        <f>Weekly_Inspections!$AV214</f>
        <v>0</v>
      </c>
      <c r="M214" s="23" t="str">
        <f t="shared" si="9"/>
        <v>Open</v>
      </c>
      <c r="N214" s="22"/>
      <c r="O214" s="21">
        <f t="shared" ca="1" si="10"/>
        <v>46113</v>
      </c>
      <c r="P214" s="21" t="str">
        <f t="shared" ca="1" si="11"/>
        <v>YES</v>
      </c>
      <c r="Q214" s="23">
        <f>Weekly_Inspections!$AW214</f>
        <v>0</v>
      </c>
    </row>
    <row r="215" spans="1:17" ht="15" customHeight="1" x14ac:dyDescent="0.2">
      <c r="A215" s="21" t="str">
        <f>IF(Weekly_Inspections!$B215="","",Weekly_Inspections!$A215&amp;"-A1")</f>
        <v/>
      </c>
      <c r="B215" s="22">
        <f>Weekly_Inspections!$B215</f>
        <v>0</v>
      </c>
      <c r="C215" s="23">
        <f>Weekly_Inspections!$E215</f>
        <v>0</v>
      </c>
      <c r="D215" s="23">
        <f>Weekly_Inspections!$F215</f>
        <v>0</v>
      </c>
      <c r="E215" s="21" t="str">
        <f>Weekly_Inspections!$H215</f>
        <v/>
      </c>
      <c r="F215" s="23">
        <f>IF(Weekly_Inspections!$AX215&lt;&gt;"",Weekly_Inspections!$AX215,IF(Weekly_Inspections!$AY215&lt;&gt;"",Weekly_Inspections!$AY215,IF(Weekly_Inspections!$AZ215&lt;&gt;"",Weekly_Inspections!$AZ215,IF(Weekly_Inspections!$BA215&lt;&gt;"",Weekly_Inspections!$BA215,IF(Weekly_Inspections!$BB215&lt;&gt;"",Weekly_Inspections!$BB215,Weekly_Inspections!$R215)))))</f>
        <v>0</v>
      </c>
      <c r="G215" s="23" t="str">
        <f>IF(OR(Weekly_Inspections!$AQ215&lt;&gt;"",Weekly_Inspections!$AR215&lt;&gt;"",Weekly_Inspections!$AS215&lt;&gt;""),Weekly_Inspections!$AQ215,"")</f>
        <v/>
      </c>
      <c r="H215" s="23">
        <f>Weekly_Inspections!$AP215</f>
        <v>0</v>
      </c>
      <c r="I215" s="23">
        <f>Weekly_Inspections!$AR215</f>
        <v>0</v>
      </c>
      <c r="J215" s="23">
        <f>Weekly_Inspections!$AS215</f>
        <v>0</v>
      </c>
      <c r="K215" s="23">
        <f>Weekly_Inspections!$AU215</f>
        <v>0</v>
      </c>
      <c r="L215" s="22">
        <f>Weekly_Inspections!$AV215</f>
        <v>0</v>
      </c>
      <c r="M215" s="23" t="str">
        <f t="shared" si="9"/>
        <v>Open</v>
      </c>
      <c r="N215" s="22"/>
      <c r="O215" s="21">
        <f t="shared" ca="1" si="10"/>
        <v>46113</v>
      </c>
      <c r="P215" s="21" t="str">
        <f t="shared" ca="1" si="11"/>
        <v>YES</v>
      </c>
      <c r="Q215" s="23">
        <f>Weekly_Inspections!$AW215</f>
        <v>0</v>
      </c>
    </row>
    <row r="216" spans="1:17" ht="15" customHeight="1" x14ac:dyDescent="0.2">
      <c r="A216" s="21" t="str">
        <f>IF(Weekly_Inspections!$B216="","",Weekly_Inspections!$A216&amp;"-A1")</f>
        <v/>
      </c>
      <c r="B216" s="22">
        <f>Weekly_Inspections!$B216</f>
        <v>0</v>
      </c>
      <c r="C216" s="23">
        <f>Weekly_Inspections!$E216</f>
        <v>0</v>
      </c>
      <c r="D216" s="23">
        <f>Weekly_Inspections!$F216</f>
        <v>0</v>
      </c>
      <c r="E216" s="21" t="str">
        <f>Weekly_Inspections!$H216</f>
        <v/>
      </c>
      <c r="F216" s="23">
        <f>IF(Weekly_Inspections!$AX216&lt;&gt;"",Weekly_Inspections!$AX216,IF(Weekly_Inspections!$AY216&lt;&gt;"",Weekly_Inspections!$AY216,IF(Weekly_Inspections!$AZ216&lt;&gt;"",Weekly_Inspections!$AZ216,IF(Weekly_Inspections!$BA216&lt;&gt;"",Weekly_Inspections!$BA216,IF(Weekly_Inspections!$BB216&lt;&gt;"",Weekly_Inspections!$BB216,Weekly_Inspections!$R216)))))</f>
        <v>0</v>
      </c>
      <c r="G216" s="23" t="str">
        <f>IF(OR(Weekly_Inspections!$AQ216&lt;&gt;"",Weekly_Inspections!$AR216&lt;&gt;"",Weekly_Inspections!$AS216&lt;&gt;""),Weekly_Inspections!$AQ216,"")</f>
        <v/>
      </c>
      <c r="H216" s="23">
        <f>Weekly_Inspections!$AP216</f>
        <v>0</v>
      </c>
      <c r="I216" s="23">
        <f>Weekly_Inspections!$AR216</f>
        <v>0</v>
      </c>
      <c r="J216" s="23">
        <f>Weekly_Inspections!$AS216</f>
        <v>0</v>
      </c>
      <c r="K216" s="23">
        <f>Weekly_Inspections!$AU216</f>
        <v>0</v>
      </c>
      <c r="L216" s="22">
        <f>Weekly_Inspections!$AV216</f>
        <v>0</v>
      </c>
      <c r="M216" s="23" t="str">
        <f t="shared" si="9"/>
        <v>Open</v>
      </c>
      <c r="N216" s="22"/>
      <c r="O216" s="21">
        <f t="shared" ca="1" si="10"/>
        <v>46113</v>
      </c>
      <c r="P216" s="21" t="str">
        <f t="shared" ca="1" si="11"/>
        <v>YES</v>
      </c>
      <c r="Q216" s="23">
        <f>Weekly_Inspections!$AW216</f>
        <v>0</v>
      </c>
    </row>
    <row r="217" spans="1:17" ht="15" customHeight="1" x14ac:dyDescent="0.2">
      <c r="A217" s="21" t="str">
        <f>IF(Weekly_Inspections!$B217="","",Weekly_Inspections!$A217&amp;"-A1")</f>
        <v/>
      </c>
      <c r="B217" s="22">
        <f>Weekly_Inspections!$B217</f>
        <v>0</v>
      </c>
      <c r="C217" s="23">
        <f>Weekly_Inspections!$E217</f>
        <v>0</v>
      </c>
      <c r="D217" s="23">
        <f>Weekly_Inspections!$F217</f>
        <v>0</v>
      </c>
      <c r="E217" s="21" t="str">
        <f>Weekly_Inspections!$H217</f>
        <v/>
      </c>
      <c r="F217" s="23">
        <f>IF(Weekly_Inspections!$AX217&lt;&gt;"",Weekly_Inspections!$AX217,IF(Weekly_Inspections!$AY217&lt;&gt;"",Weekly_Inspections!$AY217,IF(Weekly_Inspections!$AZ217&lt;&gt;"",Weekly_Inspections!$AZ217,IF(Weekly_Inspections!$BA217&lt;&gt;"",Weekly_Inspections!$BA217,IF(Weekly_Inspections!$BB217&lt;&gt;"",Weekly_Inspections!$BB217,Weekly_Inspections!$R217)))))</f>
        <v>0</v>
      </c>
      <c r="G217" s="23" t="str">
        <f>IF(OR(Weekly_Inspections!$AQ217&lt;&gt;"",Weekly_Inspections!$AR217&lt;&gt;"",Weekly_Inspections!$AS217&lt;&gt;""),Weekly_Inspections!$AQ217,"")</f>
        <v/>
      </c>
      <c r="H217" s="23">
        <f>Weekly_Inspections!$AP217</f>
        <v>0</v>
      </c>
      <c r="I217" s="23">
        <f>Weekly_Inspections!$AR217</f>
        <v>0</v>
      </c>
      <c r="J217" s="23">
        <f>Weekly_Inspections!$AS217</f>
        <v>0</v>
      </c>
      <c r="K217" s="23">
        <f>Weekly_Inspections!$AU217</f>
        <v>0</v>
      </c>
      <c r="L217" s="22">
        <f>Weekly_Inspections!$AV217</f>
        <v>0</v>
      </c>
      <c r="M217" s="23" t="str">
        <f t="shared" si="9"/>
        <v>Open</v>
      </c>
      <c r="N217" s="22"/>
      <c r="O217" s="21">
        <f t="shared" ca="1" si="10"/>
        <v>46113</v>
      </c>
      <c r="P217" s="21" t="str">
        <f t="shared" ca="1" si="11"/>
        <v>YES</v>
      </c>
      <c r="Q217" s="23">
        <f>Weekly_Inspections!$AW217</f>
        <v>0</v>
      </c>
    </row>
    <row r="218" spans="1:17" ht="15" customHeight="1" x14ac:dyDescent="0.2">
      <c r="A218" s="21" t="str">
        <f>IF(Weekly_Inspections!$B218="","",Weekly_Inspections!$A218&amp;"-A1")</f>
        <v/>
      </c>
      <c r="B218" s="22">
        <f>Weekly_Inspections!$B218</f>
        <v>0</v>
      </c>
      <c r="C218" s="23">
        <f>Weekly_Inspections!$E218</f>
        <v>0</v>
      </c>
      <c r="D218" s="23">
        <f>Weekly_Inspections!$F218</f>
        <v>0</v>
      </c>
      <c r="E218" s="21" t="str">
        <f>Weekly_Inspections!$H218</f>
        <v/>
      </c>
      <c r="F218" s="23">
        <f>IF(Weekly_Inspections!$AX218&lt;&gt;"",Weekly_Inspections!$AX218,IF(Weekly_Inspections!$AY218&lt;&gt;"",Weekly_Inspections!$AY218,IF(Weekly_Inspections!$AZ218&lt;&gt;"",Weekly_Inspections!$AZ218,IF(Weekly_Inspections!$BA218&lt;&gt;"",Weekly_Inspections!$BA218,IF(Weekly_Inspections!$BB218&lt;&gt;"",Weekly_Inspections!$BB218,Weekly_Inspections!$R218)))))</f>
        <v>0</v>
      </c>
      <c r="G218" s="23" t="str">
        <f>IF(OR(Weekly_Inspections!$AQ218&lt;&gt;"",Weekly_Inspections!$AR218&lt;&gt;"",Weekly_Inspections!$AS218&lt;&gt;""),Weekly_Inspections!$AQ218,"")</f>
        <v/>
      </c>
      <c r="H218" s="23">
        <f>Weekly_Inspections!$AP218</f>
        <v>0</v>
      </c>
      <c r="I218" s="23">
        <f>Weekly_Inspections!$AR218</f>
        <v>0</v>
      </c>
      <c r="J218" s="23">
        <f>Weekly_Inspections!$AS218</f>
        <v>0</v>
      </c>
      <c r="K218" s="23">
        <f>Weekly_Inspections!$AU218</f>
        <v>0</v>
      </c>
      <c r="L218" s="22">
        <f>Weekly_Inspections!$AV218</f>
        <v>0</v>
      </c>
      <c r="M218" s="23" t="str">
        <f t="shared" si="9"/>
        <v>Open</v>
      </c>
      <c r="N218" s="22"/>
      <c r="O218" s="21">
        <f t="shared" ca="1" si="10"/>
        <v>46113</v>
      </c>
      <c r="P218" s="21" t="str">
        <f t="shared" ca="1" si="11"/>
        <v>YES</v>
      </c>
      <c r="Q218" s="23">
        <f>Weekly_Inspections!$AW218</f>
        <v>0</v>
      </c>
    </row>
    <row r="219" spans="1:17" ht="15" customHeight="1" x14ac:dyDescent="0.2">
      <c r="A219" s="21" t="str">
        <f>IF(Weekly_Inspections!$B219="","",Weekly_Inspections!$A219&amp;"-A1")</f>
        <v/>
      </c>
      <c r="B219" s="22">
        <f>Weekly_Inspections!$B219</f>
        <v>0</v>
      </c>
      <c r="C219" s="23">
        <f>Weekly_Inspections!$E219</f>
        <v>0</v>
      </c>
      <c r="D219" s="23">
        <f>Weekly_Inspections!$F219</f>
        <v>0</v>
      </c>
      <c r="E219" s="21" t="str">
        <f>Weekly_Inspections!$H219</f>
        <v/>
      </c>
      <c r="F219" s="23">
        <f>IF(Weekly_Inspections!$AX219&lt;&gt;"",Weekly_Inspections!$AX219,IF(Weekly_Inspections!$AY219&lt;&gt;"",Weekly_Inspections!$AY219,IF(Weekly_Inspections!$AZ219&lt;&gt;"",Weekly_Inspections!$AZ219,IF(Weekly_Inspections!$BA219&lt;&gt;"",Weekly_Inspections!$BA219,IF(Weekly_Inspections!$BB219&lt;&gt;"",Weekly_Inspections!$BB219,Weekly_Inspections!$R219)))))</f>
        <v>0</v>
      </c>
      <c r="G219" s="23" t="str">
        <f>IF(OR(Weekly_Inspections!$AQ219&lt;&gt;"",Weekly_Inspections!$AR219&lt;&gt;"",Weekly_Inspections!$AS219&lt;&gt;""),Weekly_Inspections!$AQ219,"")</f>
        <v/>
      </c>
      <c r="H219" s="23">
        <f>Weekly_Inspections!$AP219</f>
        <v>0</v>
      </c>
      <c r="I219" s="23">
        <f>Weekly_Inspections!$AR219</f>
        <v>0</v>
      </c>
      <c r="J219" s="23">
        <f>Weekly_Inspections!$AS219</f>
        <v>0</v>
      </c>
      <c r="K219" s="23">
        <f>Weekly_Inspections!$AU219</f>
        <v>0</v>
      </c>
      <c r="L219" s="22">
        <f>Weekly_Inspections!$AV219</f>
        <v>0</v>
      </c>
      <c r="M219" s="23" t="str">
        <f t="shared" si="9"/>
        <v>Open</v>
      </c>
      <c r="N219" s="22"/>
      <c r="O219" s="21">
        <f t="shared" ca="1" si="10"/>
        <v>46113</v>
      </c>
      <c r="P219" s="21" t="str">
        <f t="shared" ca="1" si="11"/>
        <v>YES</v>
      </c>
      <c r="Q219" s="23">
        <f>Weekly_Inspections!$AW219</f>
        <v>0</v>
      </c>
    </row>
    <row r="220" spans="1:17" ht="15" customHeight="1" x14ac:dyDescent="0.2">
      <c r="A220" s="21" t="str">
        <f>IF(Weekly_Inspections!$B220="","",Weekly_Inspections!$A220&amp;"-A1")</f>
        <v/>
      </c>
      <c r="B220" s="22">
        <f>Weekly_Inspections!$B220</f>
        <v>0</v>
      </c>
      <c r="C220" s="23">
        <f>Weekly_Inspections!$E220</f>
        <v>0</v>
      </c>
      <c r="D220" s="23">
        <f>Weekly_Inspections!$F220</f>
        <v>0</v>
      </c>
      <c r="E220" s="21" t="str">
        <f>Weekly_Inspections!$H220</f>
        <v/>
      </c>
      <c r="F220" s="23">
        <f>IF(Weekly_Inspections!$AX220&lt;&gt;"",Weekly_Inspections!$AX220,IF(Weekly_Inspections!$AY220&lt;&gt;"",Weekly_Inspections!$AY220,IF(Weekly_Inspections!$AZ220&lt;&gt;"",Weekly_Inspections!$AZ220,IF(Weekly_Inspections!$BA220&lt;&gt;"",Weekly_Inspections!$BA220,IF(Weekly_Inspections!$BB220&lt;&gt;"",Weekly_Inspections!$BB220,Weekly_Inspections!$R220)))))</f>
        <v>0</v>
      </c>
      <c r="G220" s="23" t="str">
        <f>IF(OR(Weekly_Inspections!$AQ220&lt;&gt;"",Weekly_Inspections!$AR220&lt;&gt;"",Weekly_Inspections!$AS220&lt;&gt;""),Weekly_Inspections!$AQ220,"")</f>
        <v/>
      </c>
      <c r="H220" s="23">
        <f>Weekly_Inspections!$AP220</f>
        <v>0</v>
      </c>
      <c r="I220" s="23">
        <f>Weekly_Inspections!$AR220</f>
        <v>0</v>
      </c>
      <c r="J220" s="23">
        <f>Weekly_Inspections!$AS220</f>
        <v>0</v>
      </c>
      <c r="K220" s="23">
        <f>Weekly_Inspections!$AU220</f>
        <v>0</v>
      </c>
      <c r="L220" s="22">
        <f>Weekly_Inspections!$AV220</f>
        <v>0</v>
      </c>
      <c r="M220" s="23" t="str">
        <f t="shared" si="9"/>
        <v>Open</v>
      </c>
      <c r="N220" s="22"/>
      <c r="O220" s="21">
        <f t="shared" ca="1" si="10"/>
        <v>46113</v>
      </c>
      <c r="P220" s="21" t="str">
        <f t="shared" ca="1" si="11"/>
        <v>YES</v>
      </c>
      <c r="Q220" s="23">
        <f>Weekly_Inspections!$AW220</f>
        <v>0</v>
      </c>
    </row>
    <row r="221" spans="1:17" ht="15" customHeight="1" x14ac:dyDescent="0.2">
      <c r="A221" s="21" t="str">
        <f>IF(Weekly_Inspections!$B221="","",Weekly_Inspections!$A221&amp;"-A1")</f>
        <v/>
      </c>
      <c r="B221" s="22">
        <f>Weekly_Inspections!$B221</f>
        <v>0</v>
      </c>
      <c r="C221" s="23">
        <f>Weekly_Inspections!$E221</f>
        <v>0</v>
      </c>
      <c r="D221" s="23">
        <f>Weekly_Inspections!$F221</f>
        <v>0</v>
      </c>
      <c r="E221" s="21" t="str">
        <f>Weekly_Inspections!$H221</f>
        <v/>
      </c>
      <c r="F221" s="23">
        <f>IF(Weekly_Inspections!$AX221&lt;&gt;"",Weekly_Inspections!$AX221,IF(Weekly_Inspections!$AY221&lt;&gt;"",Weekly_Inspections!$AY221,IF(Weekly_Inspections!$AZ221&lt;&gt;"",Weekly_Inspections!$AZ221,IF(Weekly_Inspections!$BA221&lt;&gt;"",Weekly_Inspections!$BA221,IF(Weekly_Inspections!$BB221&lt;&gt;"",Weekly_Inspections!$BB221,Weekly_Inspections!$R221)))))</f>
        <v>0</v>
      </c>
      <c r="G221" s="23" t="str">
        <f>IF(OR(Weekly_Inspections!$AQ221&lt;&gt;"",Weekly_Inspections!$AR221&lt;&gt;"",Weekly_Inspections!$AS221&lt;&gt;""),Weekly_Inspections!$AQ221,"")</f>
        <v/>
      </c>
      <c r="H221" s="23">
        <f>Weekly_Inspections!$AP221</f>
        <v>0</v>
      </c>
      <c r="I221" s="23">
        <f>Weekly_Inspections!$AR221</f>
        <v>0</v>
      </c>
      <c r="J221" s="23">
        <f>Weekly_Inspections!$AS221</f>
        <v>0</v>
      </c>
      <c r="K221" s="23">
        <f>Weekly_Inspections!$AU221</f>
        <v>0</v>
      </c>
      <c r="L221" s="22">
        <f>Weekly_Inspections!$AV221</f>
        <v>0</v>
      </c>
      <c r="M221" s="23" t="str">
        <f t="shared" si="9"/>
        <v>Open</v>
      </c>
      <c r="N221" s="22"/>
      <c r="O221" s="21">
        <f t="shared" ca="1" si="10"/>
        <v>46113</v>
      </c>
      <c r="P221" s="21" t="str">
        <f t="shared" ca="1" si="11"/>
        <v>YES</v>
      </c>
      <c r="Q221" s="23">
        <f>Weekly_Inspections!$AW221</f>
        <v>0</v>
      </c>
    </row>
    <row r="222" spans="1:17" ht="15" customHeight="1" x14ac:dyDescent="0.2">
      <c r="A222" s="21" t="str">
        <f>IF(Weekly_Inspections!$B222="","",Weekly_Inspections!$A222&amp;"-A1")</f>
        <v/>
      </c>
      <c r="B222" s="22">
        <f>Weekly_Inspections!$B222</f>
        <v>0</v>
      </c>
      <c r="C222" s="23">
        <f>Weekly_Inspections!$E222</f>
        <v>0</v>
      </c>
      <c r="D222" s="23">
        <f>Weekly_Inspections!$F222</f>
        <v>0</v>
      </c>
      <c r="E222" s="21" t="str">
        <f>Weekly_Inspections!$H222</f>
        <v/>
      </c>
      <c r="F222" s="23">
        <f>IF(Weekly_Inspections!$AX222&lt;&gt;"",Weekly_Inspections!$AX222,IF(Weekly_Inspections!$AY222&lt;&gt;"",Weekly_Inspections!$AY222,IF(Weekly_Inspections!$AZ222&lt;&gt;"",Weekly_Inspections!$AZ222,IF(Weekly_Inspections!$BA222&lt;&gt;"",Weekly_Inspections!$BA222,IF(Weekly_Inspections!$BB222&lt;&gt;"",Weekly_Inspections!$BB222,Weekly_Inspections!$R222)))))</f>
        <v>0</v>
      </c>
      <c r="G222" s="23" t="str">
        <f>IF(OR(Weekly_Inspections!$AQ222&lt;&gt;"",Weekly_Inspections!$AR222&lt;&gt;"",Weekly_Inspections!$AS222&lt;&gt;""),Weekly_Inspections!$AQ222,"")</f>
        <v/>
      </c>
      <c r="H222" s="23">
        <f>Weekly_Inspections!$AP222</f>
        <v>0</v>
      </c>
      <c r="I222" s="23">
        <f>Weekly_Inspections!$AR222</f>
        <v>0</v>
      </c>
      <c r="J222" s="23">
        <f>Weekly_Inspections!$AS222</f>
        <v>0</v>
      </c>
      <c r="K222" s="23">
        <f>Weekly_Inspections!$AU222</f>
        <v>0</v>
      </c>
      <c r="L222" s="22">
        <f>Weekly_Inspections!$AV222</f>
        <v>0</v>
      </c>
      <c r="M222" s="23" t="str">
        <f t="shared" si="9"/>
        <v>Open</v>
      </c>
      <c r="N222" s="22"/>
      <c r="O222" s="21">
        <f t="shared" ca="1" si="10"/>
        <v>46113</v>
      </c>
      <c r="P222" s="21" t="str">
        <f t="shared" ca="1" si="11"/>
        <v>YES</v>
      </c>
      <c r="Q222" s="23">
        <f>Weekly_Inspections!$AW222</f>
        <v>0</v>
      </c>
    </row>
    <row r="223" spans="1:17" ht="15" customHeight="1" x14ac:dyDescent="0.2">
      <c r="A223" s="21" t="str">
        <f>IF(Weekly_Inspections!$B223="","",Weekly_Inspections!$A223&amp;"-A1")</f>
        <v/>
      </c>
      <c r="B223" s="22">
        <f>Weekly_Inspections!$B223</f>
        <v>0</v>
      </c>
      <c r="C223" s="23">
        <f>Weekly_Inspections!$E223</f>
        <v>0</v>
      </c>
      <c r="D223" s="23">
        <f>Weekly_Inspections!$F223</f>
        <v>0</v>
      </c>
      <c r="E223" s="21" t="str">
        <f>Weekly_Inspections!$H223</f>
        <v/>
      </c>
      <c r="F223" s="23">
        <f>IF(Weekly_Inspections!$AX223&lt;&gt;"",Weekly_Inspections!$AX223,IF(Weekly_Inspections!$AY223&lt;&gt;"",Weekly_Inspections!$AY223,IF(Weekly_Inspections!$AZ223&lt;&gt;"",Weekly_Inspections!$AZ223,IF(Weekly_Inspections!$BA223&lt;&gt;"",Weekly_Inspections!$BA223,IF(Weekly_Inspections!$BB223&lt;&gt;"",Weekly_Inspections!$BB223,Weekly_Inspections!$R223)))))</f>
        <v>0</v>
      </c>
      <c r="G223" s="23" t="str">
        <f>IF(OR(Weekly_Inspections!$AQ223&lt;&gt;"",Weekly_Inspections!$AR223&lt;&gt;"",Weekly_Inspections!$AS223&lt;&gt;""),Weekly_Inspections!$AQ223,"")</f>
        <v/>
      </c>
      <c r="H223" s="23">
        <f>Weekly_Inspections!$AP223</f>
        <v>0</v>
      </c>
      <c r="I223" s="23">
        <f>Weekly_Inspections!$AR223</f>
        <v>0</v>
      </c>
      <c r="J223" s="23">
        <f>Weekly_Inspections!$AS223</f>
        <v>0</v>
      </c>
      <c r="K223" s="23">
        <f>Weekly_Inspections!$AU223</f>
        <v>0</v>
      </c>
      <c r="L223" s="22">
        <f>Weekly_Inspections!$AV223</f>
        <v>0</v>
      </c>
      <c r="M223" s="23" t="str">
        <f t="shared" si="9"/>
        <v>Open</v>
      </c>
      <c r="N223" s="22"/>
      <c r="O223" s="21">
        <f t="shared" ca="1" si="10"/>
        <v>46113</v>
      </c>
      <c r="P223" s="21" t="str">
        <f t="shared" ca="1" si="11"/>
        <v>YES</v>
      </c>
      <c r="Q223" s="23">
        <f>Weekly_Inspections!$AW223</f>
        <v>0</v>
      </c>
    </row>
    <row r="224" spans="1:17" ht="15" customHeight="1" x14ac:dyDescent="0.2">
      <c r="A224" s="21" t="str">
        <f>IF(Weekly_Inspections!$B224="","",Weekly_Inspections!$A224&amp;"-A1")</f>
        <v/>
      </c>
      <c r="B224" s="22">
        <f>Weekly_Inspections!$B224</f>
        <v>0</v>
      </c>
      <c r="C224" s="23">
        <f>Weekly_Inspections!$E224</f>
        <v>0</v>
      </c>
      <c r="D224" s="23">
        <f>Weekly_Inspections!$F224</f>
        <v>0</v>
      </c>
      <c r="E224" s="21" t="str">
        <f>Weekly_Inspections!$H224</f>
        <v/>
      </c>
      <c r="F224" s="23">
        <f>IF(Weekly_Inspections!$AX224&lt;&gt;"",Weekly_Inspections!$AX224,IF(Weekly_Inspections!$AY224&lt;&gt;"",Weekly_Inspections!$AY224,IF(Weekly_Inspections!$AZ224&lt;&gt;"",Weekly_Inspections!$AZ224,IF(Weekly_Inspections!$BA224&lt;&gt;"",Weekly_Inspections!$BA224,IF(Weekly_Inspections!$BB224&lt;&gt;"",Weekly_Inspections!$BB224,Weekly_Inspections!$R224)))))</f>
        <v>0</v>
      </c>
      <c r="G224" s="23" t="str">
        <f>IF(OR(Weekly_Inspections!$AQ224&lt;&gt;"",Weekly_Inspections!$AR224&lt;&gt;"",Weekly_Inspections!$AS224&lt;&gt;""),Weekly_Inspections!$AQ224,"")</f>
        <v/>
      </c>
      <c r="H224" s="23">
        <f>Weekly_Inspections!$AP224</f>
        <v>0</v>
      </c>
      <c r="I224" s="23">
        <f>Weekly_Inspections!$AR224</f>
        <v>0</v>
      </c>
      <c r="J224" s="23">
        <f>Weekly_Inspections!$AS224</f>
        <v>0</v>
      </c>
      <c r="K224" s="23">
        <f>Weekly_Inspections!$AU224</f>
        <v>0</v>
      </c>
      <c r="L224" s="22">
        <f>Weekly_Inspections!$AV224</f>
        <v>0</v>
      </c>
      <c r="M224" s="23" t="str">
        <f t="shared" si="9"/>
        <v>Open</v>
      </c>
      <c r="N224" s="22"/>
      <c r="O224" s="21">
        <f t="shared" ca="1" si="10"/>
        <v>46113</v>
      </c>
      <c r="P224" s="21" t="str">
        <f t="shared" ca="1" si="11"/>
        <v>YES</v>
      </c>
      <c r="Q224" s="23">
        <f>Weekly_Inspections!$AW224</f>
        <v>0</v>
      </c>
    </row>
    <row r="225" spans="1:17" ht="15" customHeight="1" x14ac:dyDescent="0.2">
      <c r="A225" s="21" t="str">
        <f>IF(Weekly_Inspections!$B225="","",Weekly_Inspections!$A225&amp;"-A1")</f>
        <v/>
      </c>
      <c r="B225" s="22">
        <f>Weekly_Inspections!$B225</f>
        <v>0</v>
      </c>
      <c r="C225" s="23">
        <f>Weekly_Inspections!$E225</f>
        <v>0</v>
      </c>
      <c r="D225" s="23">
        <f>Weekly_Inspections!$F225</f>
        <v>0</v>
      </c>
      <c r="E225" s="21" t="str">
        <f>Weekly_Inspections!$H225</f>
        <v/>
      </c>
      <c r="F225" s="23">
        <f>IF(Weekly_Inspections!$AX225&lt;&gt;"",Weekly_Inspections!$AX225,IF(Weekly_Inspections!$AY225&lt;&gt;"",Weekly_Inspections!$AY225,IF(Weekly_Inspections!$AZ225&lt;&gt;"",Weekly_Inspections!$AZ225,IF(Weekly_Inspections!$BA225&lt;&gt;"",Weekly_Inspections!$BA225,IF(Weekly_Inspections!$BB225&lt;&gt;"",Weekly_Inspections!$BB225,Weekly_Inspections!$R225)))))</f>
        <v>0</v>
      </c>
      <c r="G225" s="23" t="str">
        <f>IF(OR(Weekly_Inspections!$AQ225&lt;&gt;"",Weekly_Inspections!$AR225&lt;&gt;"",Weekly_Inspections!$AS225&lt;&gt;""),Weekly_Inspections!$AQ225,"")</f>
        <v/>
      </c>
      <c r="H225" s="23">
        <f>Weekly_Inspections!$AP225</f>
        <v>0</v>
      </c>
      <c r="I225" s="23">
        <f>Weekly_Inspections!$AR225</f>
        <v>0</v>
      </c>
      <c r="J225" s="23">
        <f>Weekly_Inspections!$AS225</f>
        <v>0</v>
      </c>
      <c r="K225" s="23">
        <f>Weekly_Inspections!$AU225</f>
        <v>0</v>
      </c>
      <c r="L225" s="22">
        <f>Weekly_Inspections!$AV225</f>
        <v>0</v>
      </c>
      <c r="M225" s="23" t="str">
        <f t="shared" si="9"/>
        <v>Open</v>
      </c>
      <c r="N225" s="22"/>
      <c r="O225" s="21">
        <f t="shared" ca="1" si="10"/>
        <v>46113</v>
      </c>
      <c r="P225" s="21" t="str">
        <f t="shared" ca="1" si="11"/>
        <v>YES</v>
      </c>
      <c r="Q225" s="23">
        <f>Weekly_Inspections!$AW225</f>
        <v>0</v>
      </c>
    </row>
    <row r="226" spans="1:17" ht="15" customHeight="1" x14ac:dyDescent="0.2">
      <c r="A226" s="21" t="str">
        <f>IF(Weekly_Inspections!$B226="","",Weekly_Inspections!$A226&amp;"-A1")</f>
        <v/>
      </c>
      <c r="B226" s="22">
        <f>Weekly_Inspections!$B226</f>
        <v>0</v>
      </c>
      <c r="C226" s="23">
        <f>Weekly_Inspections!$E226</f>
        <v>0</v>
      </c>
      <c r="D226" s="23">
        <f>Weekly_Inspections!$F226</f>
        <v>0</v>
      </c>
      <c r="E226" s="21" t="str">
        <f>Weekly_Inspections!$H226</f>
        <v/>
      </c>
      <c r="F226" s="23">
        <f>IF(Weekly_Inspections!$AX226&lt;&gt;"",Weekly_Inspections!$AX226,IF(Weekly_Inspections!$AY226&lt;&gt;"",Weekly_Inspections!$AY226,IF(Weekly_Inspections!$AZ226&lt;&gt;"",Weekly_Inspections!$AZ226,IF(Weekly_Inspections!$BA226&lt;&gt;"",Weekly_Inspections!$BA226,IF(Weekly_Inspections!$BB226&lt;&gt;"",Weekly_Inspections!$BB226,Weekly_Inspections!$R226)))))</f>
        <v>0</v>
      </c>
      <c r="G226" s="23" t="str">
        <f>IF(OR(Weekly_Inspections!$AQ226&lt;&gt;"",Weekly_Inspections!$AR226&lt;&gt;"",Weekly_Inspections!$AS226&lt;&gt;""),Weekly_Inspections!$AQ226,"")</f>
        <v/>
      </c>
      <c r="H226" s="23">
        <f>Weekly_Inspections!$AP226</f>
        <v>0</v>
      </c>
      <c r="I226" s="23">
        <f>Weekly_Inspections!$AR226</f>
        <v>0</v>
      </c>
      <c r="J226" s="23">
        <f>Weekly_Inspections!$AS226</f>
        <v>0</v>
      </c>
      <c r="K226" s="23">
        <f>Weekly_Inspections!$AU226</f>
        <v>0</v>
      </c>
      <c r="L226" s="22">
        <f>Weekly_Inspections!$AV226</f>
        <v>0</v>
      </c>
      <c r="M226" s="23" t="str">
        <f t="shared" si="9"/>
        <v>Open</v>
      </c>
      <c r="N226" s="22"/>
      <c r="O226" s="21">
        <f t="shared" ca="1" si="10"/>
        <v>46113</v>
      </c>
      <c r="P226" s="21" t="str">
        <f t="shared" ca="1" si="11"/>
        <v>YES</v>
      </c>
      <c r="Q226" s="23">
        <f>Weekly_Inspections!$AW226</f>
        <v>0</v>
      </c>
    </row>
    <row r="227" spans="1:17" ht="15" customHeight="1" x14ac:dyDescent="0.2">
      <c r="A227" s="21" t="str">
        <f>IF(Weekly_Inspections!$B227="","",Weekly_Inspections!$A227&amp;"-A1")</f>
        <v/>
      </c>
      <c r="B227" s="22">
        <f>Weekly_Inspections!$B227</f>
        <v>0</v>
      </c>
      <c r="C227" s="23">
        <f>Weekly_Inspections!$E227</f>
        <v>0</v>
      </c>
      <c r="D227" s="23">
        <f>Weekly_Inspections!$F227</f>
        <v>0</v>
      </c>
      <c r="E227" s="21" t="str">
        <f>Weekly_Inspections!$H227</f>
        <v/>
      </c>
      <c r="F227" s="23">
        <f>IF(Weekly_Inspections!$AX227&lt;&gt;"",Weekly_Inspections!$AX227,IF(Weekly_Inspections!$AY227&lt;&gt;"",Weekly_Inspections!$AY227,IF(Weekly_Inspections!$AZ227&lt;&gt;"",Weekly_Inspections!$AZ227,IF(Weekly_Inspections!$BA227&lt;&gt;"",Weekly_Inspections!$BA227,IF(Weekly_Inspections!$BB227&lt;&gt;"",Weekly_Inspections!$BB227,Weekly_Inspections!$R227)))))</f>
        <v>0</v>
      </c>
      <c r="G227" s="23" t="str">
        <f>IF(OR(Weekly_Inspections!$AQ227&lt;&gt;"",Weekly_Inspections!$AR227&lt;&gt;"",Weekly_Inspections!$AS227&lt;&gt;""),Weekly_Inspections!$AQ227,"")</f>
        <v/>
      </c>
      <c r="H227" s="23">
        <f>Weekly_Inspections!$AP227</f>
        <v>0</v>
      </c>
      <c r="I227" s="23">
        <f>Weekly_Inspections!$AR227</f>
        <v>0</v>
      </c>
      <c r="J227" s="23">
        <f>Weekly_Inspections!$AS227</f>
        <v>0</v>
      </c>
      <c r="K227" s="23">
        <f>Weekly_Inspections!$AU227</f>
        <v>0</v>
      </c>
      <c r="L227" s="22">
        <f>Weekly_Inspections!$AV227</f>
        <v>0</v>
      </c>
      <c r="M227" s="23" t="str">
        <f t="shared" si="9"/>
        <v>Open</v>
      </c>
      <c r="N227" s="22"/>
      <c r="O227" s="21">
        <f t="shared" ca="1" si="10"/>
        <v>46113</v>
      </c>
      <c r="P227" s="21" t="str">
        <f t="shared" ca="1" si="11"/>
        <v>YES</v>
      </c>
      <c r="Q227" s="23">
        <f>Weekly_Inspections!$AW227</f>
        <v>0</v>
      </c>
    </row>
    <row r="228" spans="1:17" ht="15" customHeight="1" x14ac:dyDescent="0.2">
      <c r="A228" s="21" t="str">
        <f>IF(Weekly_Inspections!$B228="","",Weekly_Inspections!$A228&amp;"-A1")</f>
        <v/>
      </c>
      <c r="B228" s="22">
        <f>Weekly_Inspections!$B228</f>
        <v>0</v>
      </c>
      <c r="C228" s="23">
        <f>Weekly_Inspections!$E228</f>
        <v>0</v>
      </c>
      <c r="D228" s="23">
        <f>Weekly_Inspections!$F228</f>
        <v>0</v>
      </c>
      <c r="E228" s="21" t="str">
        <f>Weekly_Inspections!$H228</f>
        <v/>
      </c>
      <c r="F228" s="23">
        <f>IF(Weekly_Inspections!$AX228&lt;&gt;"",Weekly_Inspections!$AX228,IF(Weekly_Inspections!$AY228&lt;&gt;"",Weekly_Inspections!$AY228,IF(Weekly_Inspections!$AZ228&lt;&gt;"",Weekly_Inspections!$AZ228,IF(Weekly_Inspections!$BA228&lt;&gt;"",Weekly_Inspections!$BA228,IF(Weekly_Inspections!$BB228&lt;&gt;"",Weekly_Inspections!$BB228,Weekly_Inspections!$R228)))))</f>
        <v>0</v>
      </c>
      <c r="G228" s="23" t="str">
        <f>IF(OR(Weekly_Inspections!$AQ228&lt;&gt;"",Weekly_Inspections!$AR228&lt;&gt;"",Weekly_Inspections!$AS228&lt;&gt;""),Weekly_Inspections!$AQ228,"")</f>
        <v/>
      </c>
      <c r="H228" s="23">
        <f>Weekly_Inspections!$AP228</f>
        <v>0</v>
      </c>
      <c r="I228" s="23">
        <f>Weekly_Inspections!$AR228</f>
        <v>0</v>
      </c>
      <c r="J228" s="23">
        <f>Weekly_Inspections!$AS228</f>
        <v>0</v>
      </c>
      <c r="K228" s="23">
        <f>Weekly_Inspections!$AU228</f>
        <v>0</v>
      </c>
      <c r="L228" s="22">
        <f>Weekly_Inspections!$AV228</f>
        <v>0</v>
      </c>
      <c r="M228" s="23" t="str">
        <f t="shared" si="9"/>
        <v>Open</v>
      </c>
      <c r="N228" s="22"/>
      <c r="O228" s="21">
        <f t="shared" ca="1" si="10"/>
        <v>46113</v>
      </c>
      <c r="P228" s="21" t="str">
        <f t="shared" ca="1" si="11"/>
        <v>YES</v>
      </c>
      <c r="Q228" s="23">
        <f>Weekly_Inspections!$AW228</f>
        <v>0</v>
      </c>
    </row>
    <row r="229" spans="1:17" ht="15" customHeight="1" x14ac:dyDescent="0.2">
      <c r="A229" s="21" t="str">
        <f>IF(Weekly_Inspections!$B229="","",Weekly_Inspections!$A229&amp;"-A1")</f>
        <v/>
      </c>
      <c r="B229" s="22">
        <f>Weekly_Inspections!$B229</f>
        <v>0</v>
      </c>
      <c r="C229" s="23">
        <f>Weekly_Inspections!$E229</f>
        <v>0</v>
      </c>
      <c r="D229" s="23">
        <f>Weekly_Inspections!$F229</f>
        <v>0</v>
      </c>
      <c r="E229" s="21" t="str">
        <f>Weekly_Inspections!$H229</f>
        <v/>
      </c>
      <c r="F229" s="23">
        <f>IF(Weekly_Inspections!$AX229&lt;&gt;"",Weekly_Inspections!$AX229,IF(Weekly_Inspections!$AY229&lt;&gt;"",Weekly_Inspections!$AY229,IF(Weekly_Inspections!$AZ229&lt;&gt;"",Weekly_Inspections!$AZ229,IF(Weekly_Inspections!$BA229&lt;&gt;"",Weekly_Inspections!$BA229,IF(Weekly_Inspections!$BB229&lt;&gt;"",Weekly_Inspections!$BB229,Weekly_Inspections!$R229)))))</f>
        <v>0</v>
      </c>
      <c r="G229" s="23" t="str">
        <f>IF(OR(Weekly_Inspections!$AQ229&lt;&gt;"",Weekly_Inspections!$AR229&lt;&gt;"",Weekly_Inspections!$AS229&lt;&gt;""),Weekly_Inspections!$AQ229,"")</f>
        <v/>
      </c>
      <c r="H229" s="23">
        <f>Weekly_Inspections!$AP229</f>
        <v>0</v>
      </c>
      <c r="I229" s="23">
        <f>Weekly_Inspections!$AR229</f>
        <v>0</v>
      </c>
      <c r="J229" s="23">
        <f>Weekly_Inspections!$AS229</f>
        <v>0</v>
      </c>
      <c r="K229" s="23">
        <f>Weekly_Inspections!$AU229</f>
        <v>0</v>
      </c>
      <c r="L229" s="22">
        <f>Weekly_Inspections!$AV229</f>
        <v>0</v>
      </c>
      <c r="M229" s="23" t="str">
        <f t="shared" si="9"/>
        <v>Open</v>
      </c>
      <c r="N229" s="22"/>
      <c r="O229" s="21">
        <f t="shared" ca="1" si="10"/>
        <v>46113</v>
      </c>
      <c r="P229" s="21" t="str">
        <f t="shared" ca="1" si="11"/>
        <v>YES</v>
      </c>
      <c r="Q229" s="23">
        <f>Weekly_Inspections!$AW229</f>
        <v>0</v>
      </c>
    </row>
    <row r="230" spans="1:17" ht="15" customHeight="1" x14ac:dyDescent="0.2">
      <c r="A230" s="21" t="str">
        <f>IF(Weekly_Inspections!$B230="","",Weekly_Inspections!$A230&amp;"-A1")</f>
        <v/>
      </c>
      <c r="B230" s="22">
        <f>Weekly_Inspections!$B230</f>
        <v>0</v>
      </c>
      <c r="C230" s="23">
        <f>Weekly_Inspections!$E230</f>
        <v>0</v>
      </c>
      <c r="D230" s="23">
        <f>Weekly_Inspections!$F230</f>
        <v>0</v>
      </c>
      <c r="E230" s="21" t="str">
        <f>Weekly_Inspections!$H230</f>
        <v/>
      </c>
      <c r="F230" s="23">
        <f>IF(Weekly_Inspections!$AX230&lt;&gt;"",Weekly_Inspections!$AX230,IF(Weekly_Inspections!$AY230&lt;&gt;"",Weekly_Inspections!$AY230,IF(Weekly_Inspections!$AZ230&lt;&gt;"",Weekly_Inspections!$AZ230,IF(Weekly_Inspections!$BA230&lt;&gt;"",Weekly_Inspections!$BA230,IF(Weekly_Inspections!$BB230&lt;&gt;"",Weekly_Inspections!$BB230,Weekly_Inspections!$R230)))))</f>
        <v>0</v>
      </c>
      <c r="G230" s="23" t="str">
        <f>IF(OR(Weekly_Inspections!$AQ230&lt;&gt;"",Weekly_Inspections!$AR230&lt;&gt;"",Weekly_Inspections!$AS230&lt;&gt;""),Weekly_Inspections!$AQ230,"")</f>
        <v/>
      </c>
      <c r="H230" s="23">
        <f>Weekly_Inspections!$AP230</f>
        <v>0</v>
      </c>
      <c r="I230" s="23">
        <f>Weekly_Inspections!$AR230</f>
        <v>0</v>
      </c>
      <c r="J230" s="23">
        <f>Weekly_Inspections!$AS230</f>
        <v>0</v>
      </c>
      <c r="K230" s="23">
        <f>Weekly_Inspections!$AU230</f>
        <v>0</v>
      </c>
      <c r="L230" s="22">
        <f>Weekly_Inspections!$AV230</f>
        <v>0</v>
      </c>
      <c r="M230" s="23" t="str">
        <f t="shared" si="9"/>
        <v>Open</v>
      </c>
      <c r="N230" s="22"/>
      <c r="O230" s="21">
        <f t="shared" ca="1" si="10"/>
        <v>46113</v>
      </c>
      <c r="P230" s="21" t="str">
        <f t="shared" ca="1" si="11"/>
        <v>YES</v>
      </c>
      <c r="Q230" s="23">
        <f>Weekly_Inspections!$AW230</f>
        <v>0</v>
      </c>
    </row>
    <row r="231" spans="1:17" ht="15" customHeight="1" x14ac:dyDescent="0.2">
      <c r="A231" s="21" t="str">
        <f>IF(Weekly_Inspections!$B231="","",Weekly_Inspections!$A231&amp;"-A1")</f>
        <v/>
      </c>
      <c r="B231" s="22">
        <f>Weekly_Inspections!$B231</f>
        <v>0</v>
      </c>
      <c r="C231" s="23">
        <f>Weekly_Inspections!$E231</f>
        <v>0</v>
      </c>
      <c r="D231" s="23">
        <f>Weekly_Inspections!$F231</f>
        <v>0</v>
      </c>
      <c r="E231" s="21" t="str">
        <f>Weekly_Inspections!$H231</f>
        <v/>
      </c>
      <c r="F231" s="23">
        <f>IF(Weekly_Inspections!$AX231&lt;&gt;"",Weekly_Inspections!$AX231,IF(Weekly_Inspections!$AY231&lt;&gt;"",Weekly_Inspections!$AY231,IF(Weekly_Inspections!$AZ231&lt;&gt;"",Weekly_Inspections!$AZ231,IF(Weekly_Inspections!$BA231&lt;&gt;"",Weekly_Inspections!$BA231,IF(Weekly_Inspections!$BB231&lt;&gt;"",Weekly_Inspections!$BB231,Weekly_Inspections!$R231)))))</f>
        <v>0</v>
      </c>
      <c r="G231" s="23" t="str">
        <f>IF(OR(Weekly_Inspections!$AQ231&lt;&gt;"",Weekly_Inspections!$AR231&lt;&gt;"",Weekly_Inspections!$AS231&lt;&gt;""),Weekly_Inspections!$AQ231,"")</f>
        <v/>
      </c>
      <c r="H231" s="23">
        <f>Weekly_Inspections!$AP231</f>
        <v>0</v>
      </c>
      <c r="I231" s="23">
        <f>Weekly_Inspections!$AR231</f>
        <v>0</v>
      </c>
      <c r="J231" s="23">
        <f>Weekly_Inspections!$AS231</f>
        <v>0</v>
      </c>
      <c r="K231" s="23">
        <f>Weekly_Inspections!$AU231</f>
        <v>0</v>
      </c>
      <c r="L231" s="22">
        <f>Weekly_Inspections!$AV231</f>
        <v>0</v>
      </c>
      <c r="M231" s="23" t="str">
        <f t="shared" si="9"/>
        <v>Open</v>
      </c>
      <c r="N231" s="22"/>
      <c r="O231" s="21">
        <f t="shared" ca="1" si="10"/>
        <v>46113</v>
      </c>
      <c r="P231" s="21" t="str">
        <f t="shared" ca="1" si="11"/>
        <v>YES</v>
      </c>
      <c r="Q231" s="23">
        <f>Weekly_Inspections!$AW231</f>
        <v>0</v>
      </c>
    </row>
    <row r="232" spans="1:17" ht="15" customHeight="1" x14ac:dyDescent="0.2">
      <c r="A232" s="21" t="str">
        <f>IF(Weekly_Inspections!$B232="","",Weekly_Inspections!$A232&amp;"-A1")</f>
        <v/>
      </c>
      <c r="B232" s="22">
        <f>Weekly_Inspections!$B232</f>
        <v>0</v>
      </c>
      <c r="C232" s="23">
        <f>Weekly_Inspections!$E232</f>
        <v>0</v>
      </c>
      <c r="D232" s="23">
        <f>Weekly_Inspections!$F232</f>
        <v>0</v>
      </c>
      <c r="E232" s="21" t="str">
        <f>Weekly_Inspections!$H232</f>
        <v/>
      </c>
      <c r="F232" s="23">
        <f>IF(Weekly_Inspections!$AX232&lt;&gt;"",Weekly_Inspections!$AX232,IF(Weekly_Inspections!$AY232&lt;&gt;"",Weekly_Inspections!$AY232,IF(Weekly_Inspections!$AZ232&lt;&gt;"",Weekly_Inspections!$AZ232,IF(Weekly_Inspections!$BA232&lt;&gt;"",Weekly_Inspections!$BA232,IF(Weekly_Inspections!$BB232&lt;&gt;"",Weekly_Inspections!$BB232,Weekly_Inspections!$R232)))))</f>
        <v>0</v>
      </c>
      <c r="G232" s="23" t="str">
        <f>IF(OR(Weekly_Inspections!$AQ232&lt;&gt;"",Weekly_Inspections!$AR232&lt;&gt;"",Weekly_Inspections!$AS232&lt;&gt;""),Weekly_Inspections!$AQ232,"")</f>
        <v/>
      </c>
      <c r="H232" s="23">
        <f>Weekly_Inspections!$AP232</f>
        <v>0</v>
      </c>
      <c r="I232" s="23">
        <f>Weekly_Inspections!$AR232</f>
        <v>0</v>
      </c>
      <c r="J232" s="23">
        <f>Weekly_Inspections!$AS232</f>
        <v>0</v>
      </c>
      <c r="K232" s="23">
        <f>Weekly_Inspections!$AU232</f>
        <v>0</v>
      </c>
      <c r="L232" s="22">
        <f>Weekly_Inspections!$AV232</f>
        <v>0</v>
      </c>
      <c r="M232" s="23" t="str">
        <f t="shared" si="9"/>
        <v>Open</v>
      </c>
      <c r="N232" s="22"/>
      <c r="O232" s="21">
        <f t="shared" ca="1" si="10"/>
        <v>46113</v>
      </c>
      <c r="P232" s="21" t="str">
        <f t="shared" ca="1" si="11"/>
        <v>YES</v>
      </c>
      <c r="Q232" s="23">
        <f>Weekly_Inspections!$AW232</f>
        <v>0</v>
      </c>
    </row>
    <row r="233" spans="1:17" ht="15" customHeight="1" x14ac:dyDescent="0.2">
      <c r="A233" s="21" t="str">
        <f>IF(Weekly_Inspections!$B233="","",Weekly_Inspections!$A233&amp;"-A1")</f>
        <v/>
      </c>
      <c r="B233" s="22">
        <f>Weekly_Inspections!$B233</f>
        <v>0</v>
      </c>
      <c r="C233" s="23">
        <f>Weekly_Inspections!$E233</f>
        <v>0</v>
      </c>
      <c r="D233" s="23">
        <f>Weekly_Inspections!$F233</f>
        <v>0</v>
      </c>
      <c r="E233" s="21" t="str">
        <f>Weekly_Inspections!$H233</f>
        <v/>
      </c>
      <c r="F233" s="23">
        <f>IF(Weekly_Inspections!$AX233&lt;&gt;"",Weekly_Inspections!$AX233,IF(Weekly_Inspections!$AY233&lt;&gt;"",Weekly_Inspections!$AY233,IF(Weekly_Inspections!$AZ233&lt;&gt;"",Weekly_Inspections!$AZ233,IF(Weekly_Inspections!$BA233&lt;&gt;"",Weekly_Inspections!$BA233,IF(Weekly_Inspections!$BB233&lt;&gt;"",Weekly_Inspections!$BB233,Weekly_Inspections!$R233)))))</f>
        <v>0</v>
      </c>
      <c r="G233" s="23" t="str">
        <f>IF(OR(Weekly_Inspections!$AQ233&lt;&gt;"",Weekly_Inspections!$AR233&lt;&gt;"",Weekly_Inspections!$AS233&lt;&gt;""),Weekly_Inspections!$AQ233,"")</f>
        <v/>
      </c>
      <c r="H233" s="23">
        <f>Weekly_Inspections!$AP233</f>
        <v>0</v>
      </c>
      <c r="I233" s="23">
        <f>Weekly_Inspections!$AR233</f>
        <v>0</v>
      </c>
      <c r="J233" s="23">
        <f>Weekly_Inspections!$AS233</f>
        <v>0</v>
      </c>
      <c r="K233" s="23">
        <f>Weekly_Inspections!$AU233</f>
        <v>0</v>
      </c>
      <c r="L233" s="22">
        <f>Weekly_Inspections!$AV233</f>
        <v>0</v>
      </c>
      <c r="M233" s="23" t="str">
        <f t="shared" si="9"/>
        <v>Open</v>
      </c>
      <c r="N233" s="22"/>
      <c r="O233" s="21">
        <f t="shared" ca="1" si="10"/>
        <v>46113</v>
      </c>
      <c r="P233" s="21" t="str">
        <f t="shared" ca="1" si="11"/>
        <v>YES</v>
      </c>
      <c r="Q233" s="23">
        <f>Weekly_Inspections!$AW233</f>
        <v>0</v>
      </c>
    </row>
    <row r="234" spans="1:17" ht="15" customHeight="1" x14ac:dyDescent="0.2">
      <c r="A234" s="21" t="str">
        <f>IF(Weekly_Inspections!$B234="","",Weekly_Inspections!$A234&amp;"-A1")</f>
        <v/>
      </c>
      <c r="B234" s="22">
        <f>Weekly_Inspections!$B234</f>
        <v>0</v>
      </c>
      <c r="C234" s="23">
        <f>Weekly_Inspections!$E234</f>
        <v>0</v>
      </c>
      <c r="D234" s="23">
        <f>Weekly_Inspections!$F234</f>
        <v>0</v>
      </c>
      <c r="E234" s="21" t="str">
        <f>Weekly_Inspections!$H234</f>
        <v/>
      </c>
      <c r="F234" s="23">
        <f>IF(Weekly_Inspections!$AX234&lt;&gt;"",Weekly_Inspections!$AX234,IF(Weekly_Inspections!$AY234&lt;&gt;"",Weekly_Inspections!$AY234,IF(Weekly_Inspections!$AZ234&lt;&gt;"",Weekly_Inspections!$AZ234,IF(Weekly_Inspections!$BA234&lt;&gt;"",Weekly_Inspections!$BA234,IF(Weekly_Inspections!$BB234&lt;&gt;"",Weekly_Inspections!$BB234,Weekly_Inspections!$R234)))))</f>
        <v>0</v>
      </c>
      <c r="G234" s="23" t="str">
        <f>IF(OR(Weekly_Inspections!$AQ234&lt;&gt;"",Weekly_Inspections!$AR234&lt;&gt;"",Weekly_Inspections!$AS234&lt;&gt;""),Weekly_Inspections!$AQ234,"")</f>
        <v/>
      </c>
      <c r="H234" s="23">
        <f>Weekly_Inspections!$AP234</f>
        <v>0</v>
      </c>
      <c r="I234" s="23">
        <f>Weekly_Inspections!$AR234</f>
        <v>0</v>
      </c>
      <c r="J234" s="23">
        <f>Weekly_Inspections!$AS234</f>
        <v>0</v>
      </c>
      <c r="K234" s="23">
        <f>Weekly_Inspections!$AU234</f>
        <v>0</v>
      </c>
      <c r="L234" s="22">
        <f>Weekly_Inspections!$AV234</f>
        <v>0</v>
      </c>
      <c r="M234" s="23" t="str">
        <f t="shared" si="9"/>
        <v>Open</v>
      </c>
      <c r="N234" s="22"/>
      <c r="O234" s="21">
        <f t="shared" ca="1" si="10"/>
        <v>46113</v>
      </c>
      <c r="P234" s="21" t="str">
        <f t="shared" ca="1" si="11"/>
        <v>YES</v>
      </c>
      <c r="Q234" s="23">
        <f>Weekly_Inspections!$AW234</f>
        <v>0</v>
      </c>
    </row>
    <row r="235" spans="1:17" ht="15" customHeight="1" x14ac:dyDescent="0.2">
      <c r="A235" s="21" t="str">
        <f>IF(Weekly_Inspections!$B235="","",Weekly_Inspections!$A235&amp;"-A1")</f>
        <v/>
      </c>
      <c r="B235" s="22">
        <f>Weekly_Inspections!$B235</f>
        <v>0</v>
      </c>
      <c r="C235" s="23">
        <f>Weekly_Inspections!$E235</f>
        <v>0</v>
      </c>
      <c r="D235" s="23">
        <f>Weekly_Inspections!$F235</f>
        <v>0</v>
      </c>
      <c r="E235" s="21" t="str">
        <f>Weekly_Inspections!$H235</f>
        <v/>
      </c>
      <c r="F235" s="23">
        <f>IF(Weekly_Inspections!$AX235&lt;&gt;"",Weekly_Inspections!$AX235,IF(Weekly_Inspections!$AY235&lt;&gt;"",Weekly_Inspections!$AY235,IF(Weekly_Inspections!$AZ235&lt;&gt;"",Weekly_Inspections!$AZ235,IF(Weekly_Inspections!$BA235&lt;&gt;"",Weekly_Inspections!$BA235,IF(Weekly_Inspections!$BB235&lt;&gt;"",Weekly_Inspections!$BB235,Weekly_Inspections!$R235)))))</f>
        <v>0</v>
      </c>
      <c r="G235" s="23" t="str">
        <f>IF(OR(Weekly_Inspections!$AQ235&lt;&gt;"",Weekly_Inspections!$AR235&lt;&gt;"",Weekly_Inspections!$AS235&lt;&gt;""),Weekly_Inspections!$AQ235,"")</f>
        <v/>
      </c>
      <c r="H235" s="23">
        <f>Weekly_Inspections!$AP235</f>
        <v>0</v>
      </c>
      <c r="I235" s="23">
        <f>Weekly_Inspections!$AR235</f>
        <v>0</v>
      </c>
      <c r="J235" s="23">
        <f>Weekly_Inspections!$AS235</f>
        <v>0</v>
      </c>
      <c r="K235" s="23">
        <f>Weekly_Inspections!$AU235</f>
        <v>0</v>
      </c>
      <c r="L235" s="22">
        <f>Weekly_Inspections!$AV235</f>
        <v>0</v>
      </c>
      <c r="M235" s="23" t="str">
        <f t="shared" si="9"/>
        <v>Open</v>
      </c>
      <c r="N235" s="22"/>
      <c r="O235" s="21">
        <f t="shared" ca="1" si="10"/>
        <v>46113</v>
      </c>
      <c r="P235" s="21" t="str">
        <f t="shared" ca="1" si="11"/>
        <v>YES</v>
      </c>
      <c r="Q235" s="23">
        <f>Weekly_Inspections!$AW235</f>
        <v>0</v>
      </c>
    </row>
    <row r="236" spans="1:17" ht="15" customHeight="1" x14ac:dyDescent="0.2">
      <c r="A236" s="21" t="str">
        <f>IF(Weekly_Inspections!$B236="","",Weekly_Inspections!$A236&amp;"-A1")</f>
        <v/>
      </c>
      <c r="B236" s="22">
        <f>Weekly_Inspections!$B236</f>
        <v>0</v>
      </c>
      <c r="C236" s="23">
        <f>Weekly_Inspections!$E236</f>
        <v>0</v>
      </c>
      <c r="D236" s="23">
        <f>Weekly_Inspections!$F236</f>
        <v>0</v>
      </c>
      <c r="E236" s="21" t="str">
        <f>Weekly_Inspections!$H236</f>
        <v/>
      </c>
      <c r="F236" s="23">
        <f>IF(Weekly_Inspections!$AX236&lt;&gt;"",Weekly_Inspections!$AX236,IF(Weekly_Inspections!$AY236&lt;&gt;"",Weekly_Inspections!$AY236,IF(Weekly_Inspections!$AZ236&lt;&gt;"",Weekly_Inspections!$AZ236,IF(Weekly_Inspections!$BA236&lt;&gt;"",Weekly_Inspections!$BA236,IF(Weekly_Inspections!$BB236&lt;&gt;"",Weekly_Inspections!$BB236,Weekly_Inspections!$R236)))))</f>
        <v>0</v>
      </c>
      <c r="G236" s="23" t="str">
        <f>IF(OR(Weekly_Inspections!$AQ236&lt;&gt;"",Weekly_Inspections!$AR236&lt;&gt;"",Weekly_Inspections!$AS236&lt;&gt;""),Weekly_Inspections!$AQ236,"")</f>
        <v/>
      </c>
      <c r="H236" s="23">
        <f>Weekly_Inspections!$AP236</f>
        <v>0</v>
      </c>
      <c r="I236" s="23">
        <f>Weekly_Inspections!$AR236</f>
        <v>0</v>
      </c>
      <c r="J236" s="23">
        <f>Weekly_Inspections!$AS236</f>
        <v>0</v>
      </c>
      <c r="K236" s="23">
        <f>Weekly_Inspections!$AU236</f>
        <v>0</v>
      </c>
      <c r="L236" s="22">
        <f>Weekly_Inspections!$AV236</f>
        <v>0</v>
      </c>
      <c r="M236" s="23" t="str">
        <f t="shared" si="9"/>
        <v>Open</v>
      </c>
      <c r="N236" s="22"/>
      <c r="O236" s="21">
        <f t="shared" ca="1" si="10"/>
        <v>46113</v>
      </c>
      <c r="P236" s="21" t="str">
        <f t="shared" ca="1" si="11"/>
        <v>YES</v>
      </c>
      <c r="Q236" s="23">
        <f>Weekly_Inspections!$AW236</f>
        <v>0</v>
      </c>
    </row>
    <row r="237" spans="1:17" ht="15" customHeight="1" x14ac:dyDescent="0.2">
      <c r="A237" s="21" t="str">
        <f>IF(Weekly_Inspections!$B237="","",Weekly_Inspections!$A237&amp;"-A1")</f>
        <v/>
      </c>
      <c r="B237" s="22">
        <f>Weekly_Inspections!$B237</f>
        <v>0</v>
      </c>
      <c r="C237" s="23">
        <f>Weekly_Inspections!$E237</f>
        <v>0</v>
      </c>
      <c r="D237" s="23">
        <f>Weekly_Inspections!$F237</f>
        <v>0</v>
      </c>
      <c r="E237" s="21" t="str">
        <f>Weekly_Inspections!$H237</f>
        <v/>
      </c>
      <c r="F237" s="23">
        <f>IF(Weekly_Inspections!$AX237&lt;&gt;"",Weekly_Inspections!$AX237,IF(Weekly_Inspections!$AY237&lt;&gt;"",Weekly_Inspections!$AY237,IF(Weekly_Inspections!$AZ237&lt;&gt;"",Weekly_Inspections!$AZ237,IF(Weekly_Inspections!$BA237&lt;&gt;"",Weekly_Inspections!$BA237,IF(Weekly_Inspections!$BB237&lt;&gt;"",Weekly_Inspections!$BB237,Weekly_Inspections!$R237)))))</f>
        <v>0</v>
      </c>
      <c r="G237" s="23" t="str">
        <f>IF(OR(Weekly_Inspections!$AQ237&lt;&gt;"",Weekly_Inspections!$AR237&lt;&gt;"",Weekly_Inspections!$AS237&lt;&gt;""),Weekly_Inspections!$AQ237,"")</f>
        <v/>
      </c>
      <c r="H237" s="23">
        <f>Weekly_Inspections!$AP237</f>
        <v>0</v>
      </c>
      <c r="I237" s="23">
        <f>Weekly_Inspections!$AR237</f>
        <v>0</v>
      </c>
      <c r="J237" s="23">
        <f>Weekly_Inspections!$AS237</f>
        <v>0</v>
      </c>
      <c r="K237" s="23">
        <f>Weekly_Inspections!$AU237</f>
        <v>0</v>
      </c>
      <c r="L237" s="22">
        <f>Weekly_Inspections!$AV237</f>
        <v>0</v>
      </c>
      <c r="M237" s="23" t="str">
        <f t="shared" si="9"/>
        <v>Open</v>
      </c>
      <c r="N237" s="22"/>
      <c r="O237" s="21">
        <f t="shared" ca="1" si="10"/>
        <v>46113</v>
      </c>
      <c r="P237" s="21" t="str">
        <f t="shared" ca="1" si="11"/>
        <v>YES</v>
      </c>
      <c r="Q237" s="23">
        <f>Weekly_Inspections!$AW237</f>
        <v>0</v>
      </c>
    </row>
    <row r="238" spans="1:17" ht="15" customHeight="1" x14ac:dyDescent="0.2">
      <c r="A238" s="21" t="str">
        <f>IF(Weekly_Inspections!$B238="","",Weekly_Inspections!$A238&amp;"-A1")</f>
        <v/>
      </c>
      <c r="B238" s="22">
        <f>Weekly_Inspections!$B238</f>
        <v>0</v>
      </c>
      <c r="C238" s="23">
        <f>Weekly_Inspections!$E238</f>
        <v>0</v>
      </c>
      <c r="D238" s="23">
        <f>Weekly_Inspections!$F238</f>
        <v>0</v>
      </c>
      <c r="E238" s="21" t="str">
        <f>Weekly_Inspections!$H238</f>
        <v/>
      </c>
      <c r="F238" s="23">
        <f>IF(Weekly_Inspections!$AX238&lt;&gt;"",Weekly_Inspections!$AX238,IF(Weekly_Inspections!$AY238&lt;&gt;"",Weekly_Inspections!$AY238,IF(Weekly_Inspections!$AZ238&lt;&gt;"",Weekly_Inspections!$AZ238,IF(Weekly_Inspections!$BA238&lt;&gt;"",Weekly_Inspections!$BA238,IF(Weekly_Inspections!$BB238&lt;&gt;"",Weekly_Inspections!$BB238,Weekly_Inspections!$R238)))))</f>
        <v>0</v>
      </c>
      <c r="G238" s="23" t="str">
        <f>IF(OR(Weekly_Inspections!$AQ238&lt;&gt;"",Weekly_Inspections!$AR238&lt;&gt;"",Weekly_Inspections!$AS238&lt;&gt;""),Weekly_Inspections!$AQ238,"")</f>
        <v/>
      </c>
      <c r="H238" s="23">
        <f>Weekly_Inspections!$AP238</f>
        <v>0</v>
      </c>
      <c r="I238" s="23">
        <f>Weekly_Inspections!$AR238</f>
        <v>0</v>
      </c>
      <c r="J238" s="23">
        <f>Weekly_Inspections!$AS238</f>
        <v>0</v>
      </c>
      <c r="K238" s="23">
        <f>Weekly_Inspections!$AU238</f>
        <v>0</v>
      </c>
      <c r="L238" s="22">
        <f>Weekly_Inspections!$AV238</f>
        <v>0</v>
      </c>
      <c r="M238" s="23" t="str">
        <f t="shared" si="9"/>
        <v>Open</v>
      </c>
      <c r="N238" s="22"/>
      <c r="O238" s="21">
        <f t="shared" ca="1" si="10"/>
        <v>46113</v>
      </c>
      <c r="P238" s="21" t="str">
        <f t="shared" ca="1" si="11"/>
        <v>YES</v>
      </c>
      <c r="Q238" s="23">
        <f>Weekly_Inspections!$AW238</f>
        <v>0</v>
      </c>
    </row>
    <row r="239" spans="1:17" ht="15" customHeight="1" x14ac:dyDescent="0.2">
      <c r="A239" s="21" t="str">
        <f>IF(Weekly_Inspections!$B239="","",Weekly_Inspections!$A239&amp;"-A1")</f>
        <v/>
      </c>
      <c r="B239" s="22">
        <f>Weekly_Inspections!$B239</f>
        <v>0</v>
      </c>
      <c r="C239" s="23">
        <f>Weekly_Inspections!$E239</f>
        <v>0</v>
      </c>
      <c r="D239" s="23">
        <f>Weekly_Inspections!$F239</f>
        <v>0</v>
      </c>
      <c r="E239" s="21" t="str">
        <f>Weekly_Inspections!$H239</f>
        <v/>
      </c>
      <c r="F239" s="23">
        <f>IF(Weekly_Inspections!$AX239&lt;&gt;"",Weekly_Inspections!$AX239,IF(Weekly_Inspections!$AY239&lt;&gt;"",Weekly_Inspections!$AY239,IF(Weekly_Inspections!$AZ239&lt;&gt;"",Weekly_Inspections!$AZ239,IF(Weekly_Inspections!$BA239&lt;&gt;"",Weekly_Inspections!$BA239,IF(Weekly_Inspections!$BB239&lt;&gt;"",Weekly_Inspections!$BB239,Weekly_Inspections!$R239)))))</f>
        <v>0</v>
      </c>
      <c r="G239" s="23" t="str">
        <f>IF(OR(Weekly_Inspections!$AQ239&lt;&gt;"",Weekly_Inspections!$AR239&lt;&gt;"",Weekly_Inspections!$AS239&lt;&gt;""),Weekly_Inspections!$AQ239,"")</f>
        <v/>
      </c>
      <c r="H239" s="23">
        <f>Weekly_Inspections!$AP239</f>
        <v>0</v>
      </c>
      <c r="I239" s="23">
        <f>Weekly_Inspections!$AR239</f>
        <v>0</v>
      </c>
      <c r="J239" s="23">
        <f>Weekly_Inspections!$AS239</f>
        <v>0</v>
      </c>
      <c r="K239" s="23">
        <f>Weekly_Inspections!$AU239</f>
        <v>0</v>
      </c>
      <c r="L239" s="22">
        <f>Weekly_Inspections!$AV239</f>
        <v>0</v>
      </c>
      <c r="M239" s="23" t="str">
        <f t="shared" si="9"/>
        <v>Open</v>
      </c>
      <c r="N239" s="22"/>
      <c r="O239" s="21">
        <f t="shared" ca="1" si="10"/>
        <v>46113</v>
      </c>
      <c r="P239" s="21" t="str">
        <f t="shared" ca="1" si="11"/>
        <v>YES</v>
      </c>
      <c r="Q239" s="23">
        <f>Weekly_Inspections!$AW239</f>
        <v>0</v>
      </c>
    </row>
    <row r="240" spans="1:17" ht="15" customHeight="1" x14ac:dyDescent="0.2">
      <c r="A240" s="21" t="str">
        <f>IF(Weekly_Inspections!$B240="","",Weekly_Inspections!$A240&amp;"-A1")</f>
        <v/>
      </c>
      <c r="B240" s="22">
        <f>Weekly_Inspections!$B240</f>
        <v>0</v>
      </c>
      <c r="C240" s="23">
        <f>Weekly_Inspections!$E240</f>
        <v>0</v>
      </c>
      <c r="D240" s="23">
        <f>Weekly_Inspections!$F240</f>
        <v>0</v>
      </c>
      <c r="E240" s="21" t="str">
        <f>Weekly_Inspections!$H240</f>
        <v/>
      </c>
      <c r="F240" s="23">
        <f>IF(Weekly_Inspections!$AX240&lt;&gt;"",Weekly_Inspections!$AX240,IF(Weekly_Inspections!$AY240&lt;&gt;"",Weekly_Inspections!$AY240,IF(Weekly_Inspections!$AZ240&lt;&gt;"",Weekly_Inspections!$AZ240,IF(Weekly_Inspections!$BA240&lt;&gt;"",Weekly_Inspections!$BA240,IF(Weekly_Inspections!$BB240&lt;&gt;"",Weekly_Inspections!$BB240,Weekly_Inspections!$R240)))))</f>
        <v>0</v>
      </c>
      <c r="G240" s="23" t="str">
        <f>IF(OR(Weekly_Inspections!$AQ240&lt;&gt;"",Weekly_Inspections!$AR240&lt;&gt;"",Weekly_Inspections!$AS240&lt;&gt;""),Weekly_Inspections!$AQ240,"")</f>
        <v/>
      </c>
      <c r="H240" s="23">
        <f>Weekly_Inspections!$AP240</f>
        <v>0</v>
      </c>
      <c r="I240" s="23">
        <f>Weekly_Inspections!$AR240</f>
        <v>0</v>
      </c>
      <c r="J240" s="23">
        <f>Weekly_Inspections!$AS240</f>
        <v>0</v>
      </c>
      <c r="K240" s="23">
        <f>Weekly_Inspections!$AU240</f>
        <v>0</v>
      </c>
      <c r="L240" s="22">
        <f>Weekly_Inspections!$AV240</f>
        <v>0</v>
      </c>
      <c r="M240" s="23" t="str">
        <f t="shared" si="9"/>
        <v>Open</v>
      </c>
      <c r="N240" s="22"/>
      <c r="O240" s="21">
        <f t="shared" ca="1" si="10"/>
        <v>46113</v>
      </c>
      <c r="P240" s="21" t="str">
        <f t="shared" ca="1" si="11"/>
        <v>YES</v>
      </c>
      <c r="Q240" s="23">
        <f>Weekly_Inspections!$AW240</f>
        <v>0</v>
      </c>
    </row>
    <row r="241" spans="1:17" ht="15" customHeight="1" x14ac:dyDescent="0.2">
      <c r="A241" s="21" t="str">
        <f>IF(Weekly_Inspections!$B241="","",Weekly_Inspections!$A241&amp;"-A1")</f>
        <v/>
      </c>
      <c r="B241" s="22">
        <f>Weekly_Inspections!$B241</f>
        <v>0</v>
      </c>
      <c r="C241" s="23">
        <f>Weekly_Inspections!$E241</f>
        <v>0</v>
      </c>
      <c r="D241" s="23">
        <f>Weekly_Inspections!$F241</f>
        <v>0</v>
      </c>
      <c r="E241" s="21" t="str">
        <f>Weekly_Inspections!$H241</f>
        <v/>
      </c>
      <c r="F241" s="23">
        <f>IF(Weekly_Inspections!$AX241&lt;&gt;"",Weekly_Inspections!$AX241,IF(Weekly_Inspections!$AY241&lt;&gt;"",Weekly_Inspections!$AY241,IF(Weekly_Inspections!$AZ241&lt;&gt;"",Weekly_Inspections!$AZ241,IF(Weekly_Inspections!$BA241&lt;&gt;"",Weekly_Inspections!$BA241,IF(Weekly_Inspections!$BB241&lt;&gt;"",Weekly_Inspections!$BB241,Weekly_Inspections!$R241)))))</f>
        <v>0</v>
      </c>
      <c r="G241" s="23" t="str">
        <f>IF(OR(Weekly_Inspections!$AQ241&lt;&gt;"",Weekly_Inspections!$AR241&lt;&gt;"",Weekly_Inspections!$AS241&lt;&gt;""),Weekly_Inspections!$AQ241,"")</f>
        <v/>
      </c>
      <c r="H241" s="23">
        <f>Weekly_Inspections!$AP241</f>
        <v>0</v>
      </c>
      <c r="I241" s="23">
        <f>Weekly_Inspections!$AR241</f>
        <v>0</v>
      </c>
      <c r="J241" s="23">
        <f>Weekly_Inspections!$AS241</f>
        <v>0</v>
      </c>
      <c r="K241" s="23">
        <f>Weekly_Inspections!$AU241</f>
        <v>0</v>
      </c>
      <c r="L241" s="22">
        <f>Weekly_Inspections!$AV241</f>
        <v>0</v>
      </c>
      <c r="M241" s="23" t="str">
        <f t="shared" si="9"/>
        <v>Open</v>
      </c>
      <c r="N241" s="22"/>
      <c r="O241" s="21">
        <f t="shared" ca="1" si="10"/>
        <v>46113</v>
      </c>
      <c r="P241" s="21" t="str">
        <f t="shared" ca="1" si="11"/>
        <v>YES</v>
      </c>
      <c r="Q241" s="23">
        <f>Weekly_Inspections!$AW241</f>
        <v>0</v>
      </c>
    </row>
    <row r="242" spans="1:17" ht="15" customHeight="1" x14ac:dyDescent="0.2">
      <c r="A242" s="21" t="str">
        <f>IF(Weekly_Inspections!$B242="","",Weekly_Inspections!$A242&amp;"-A1")</f>
        <v/>
      </c>
      <c r="B242" s="22">
        <f>Weekly_Inspections!$B242</f>
        <v>0</v>
      </c>
      <c r="C242" s="23">
        <f>Weekly_Inspections!$E242</f>
        <v>0</v>
      </c>
      <c r="D242" s="23">
        <f>Weekly_Inspections!$F242</f>
        <v>0</v>
      </c>
      <c r="E242" s="21" t="str">
        <f>Weekly_Inspections!$H242</f>
        <v/>
      </c>
      <c r="F242" s="23">
        <f>IF(Weekly_Inspections!$AX242&lt;&gt;"",Weekly_Inspections!$AX242,IF(Weekly_Inspections!$AY242&lt;&gt;"",Weekly_Inspections!$AY242,IF(Weekly_Inspections!$AZ242&lt;&gt;"",Weekly_Inspections!$AZ242,IF(Weekly_Inspections!$BA242&lt;&gt;"",Weekly_Inspections!$BA242,IF(Weekly_Inspections!$BB242&lt;&gt;"",Weekly_Inspections!$BB242,Weekly_Inspections!$R242)))))</f>
        <v>0</v>
      </c>
      <c r="G242" s="23" t="str">
        <f>IF(OR(Weekly_Inspections!$AQ242&lt;&gt;"",Weekly_Inspections!$AR242&lt;&gt;"",Weekly_Inspections!$AS242&lt;&gt;""),Weekly_Inspections!$AQ242,"")</f>
        <v/>
      </c>
      <c r="H242" s="23">
        <f>Weekly_Inspections!$AP242</f>
        <v>0</v>
      </c>
      <c r="I242" s="23">
        <f>Weekly_Inspections!$AR242</f>
        <v>0</v>
      </c>
      <c r="J242" s="23">
        <f>Weekly_Inspections!$AS242</f>
        <v>0</v>
      </c>
      <c r="K242" s="23">
        <f>Weekly_Inspections!$AU242</f>
        <v>0</v>
      </c>
      <c r="L242" s="22">
        <f>Weekly_Inspections!$AV242</f>
        <v>0</v>
      </c>
      <c r="M242" s="23" t="str">
        <f t="shared" si="9"/>
        <v>Open</v>
      </c>
      <c r="N242" s="22"/>
      <c r="O242" s="21">
        <f t="shared" ca="1" si="10"/>
        <v>46113</v>
      </c>
      <c r="P242" s="21" t="str">
        <f t="shared" ca="1" si="11"/>
        <v>YES</v>
      </c>
      <c r="Q242" s="23">
        <f>Weekly_Inspections!$AW242</f>
        <v>0</v>
      </c>
    </row>
    <row r="243" spans="1:17" ht="15" customHeight="1" x14ac:dyDescent="0.2">
      <c r="A243" s="21" t="str">
        <f>IF(Weekly_Inspections!$B243="","",Weekly_Inspections!$A243&amp;"-A1")</f>
        <v/>
      </c>
      <c r="B243" s="22">
        <f>Weekly_Inspections!$B243</f>
        <v>0</v>
      </c>
      <c r="C243" s="23">
        <f>Weekly_Inspections!$E243</f>
        <v>0</v>
      </c>
      <c r="D243" s="23">
        <f>Weekly_Inspections!$F243</f>
        <v>0</v>
      </c>
      <c r="E243" s="21" t="str">
        <f>Weekly_Inspections!$H243</f>
        <v/>
      </c>
      <c r="F243" s="23">
        <f>IF(Weekly_Inspections!$AX243&lt;&gt;"",Weekly_Inspections!$AX243,IF(Weekly_Inspections!$AY243&lt;&gt;"",Weekly_Inspections!$AY243,IF(Weekly_Inspections!$AZ243&lt;&gt;"",Weekly_Inspections!$AZ243,IF(Weekly_Inspections!$BA243&lt;&gt;"",Weekly_Inspections!$BA243,IF(Weekly_Inspections!$BB243&lt;&gt;"",Weekly_Inspections!$BB243,Weekly_Inspections!$R243)))))</f>
        <v>0</v>
      </c>
      <c r="G243" s="23" t="str">
        <f>IF(OR(Weekly_Inspections!$AQ243&lt;&gt;"",Weekly_Inspections!$AR243&lt;&gt;"",Weekly_Inspections!$AS243&lt;&gt;""),Weekly_Inspections!$AQ243,"")</f>
        <v/>
      </c>
      <c r="H243" s="23">
        <f>Weekly_Inspections!$AP243</f>
        <v>0</v>
      </c>
      <c r="I243" s="23">
        <f>Weekly_Inspections!$AR243</f>
        <v>0</v>
      </c>
      <c r="J243" s="23">
        <f>Weekly_Inspections!$AS243</f>
        <v>0</v>
      </c>
      <c r="K243" s="23">
        <f>Weekly_Inspections!$AU243</f>
        <v>0</v>
      </c>
      <c r="L243" s="22">
        <f>Weekly_Inspections!$AV243</f>
        <v>0</v>
      </c>
      <c r="M243" s="23" t="str">
        <f t="shared" si="9"/>
        <v>Open</v>
      </c>
      <c r="N243" s="22"/>
      <c r="O243" s="21">
        <f t="shared" ca="1" si="10"/>
        <v>46113</v>
      </c>
      <c r="P243" s="21" t="str">
        <f t="shared" ca="1" si="11"/>
        <v>YES</v>
      </c>
      <c r="Q243" s="23">
        <f>Weekly_Inspections!$AW243</f>
        <v>0</v>
      </c>
    </row>
    <row r="244" spans="1:17" ht="15" customHeight="1" x14ac:dyDescent="0.2">
      <c r="A244" s="21" t="str">
        <f>IF(Weekly_Inspections!$B244="","",Weekly_Inspections!$A244&amp;"-A1")</f>
        <v/>
      </c>
      <c r="B244" s="22">
        <f>Weekly_Inspections!$B244</f>
        <v>0</v>
      </c>
      <c r="C244" s="23">
        <f>Weekly_Inspections!$E244</f>
        <v>0</v>
      </c>
      <c r="D244" s="23">
        <f>Weekly_Inspections!$F244</f>
        <v>0</v>
      </c>
      <c r="E244" s="21" t="str">
        <f>Weekly_Inspections!$H244</f>
        <v/>
      </c>
      <c r="F244" s="23">
        <f>IF(Weekly_Inspections!$AX244&lt;&gt;"",Weekly_Inspections!$AX244,IF(Weekly_Inspections!$AY244&lt;&gt;"",Weekly_Inspections!$AY244,IF(Weekly_Inspections!$AZ244&lt;&gt;"",Weekly_Inspections!$AZ244,IF(Weekly_Inspections!$BA244&lt;&gt;"",Weekly_Inspections!$BA244,IF(Weekly_Inspections!$BB244&lt;&gt;"",Weekly_Inspections!$BB244,Weekly_Inspections!$R244)))))</f>
        <v>0</v>
      </c>
      <c r="G244" s="23" t="str">
        <f>IF(OR(Weekly_Inspections!$AQ244&lt;&gt;"",Weekly_Inspections!$AR244&lt;&gt;"",Weekly_Inspections!$AS244&lt;&gt;""),Weekly_Inspections!$AQ244,"")</f>
        <v/>
      </c>
      <c r="H244" s="23">
        <f>Weekly_Inspections!$AP244</f>
        <v>0</v>
      </c>
      <c r="I244" s="23">
        <f>Weekly_Inspections!$AR244</f>
        <v>0</v>
      </c>
      <c r="J244" s="23">
        <f>Weekly_Inspections!$AS244</f>
        <v>0</v>
      </c>
      <c r="K244" s="23">
        <f>Weekly_Inspections!$AU244</f>
        <v>0</v>
      </c>
      <c r="L244" s="22">
        <f>Weekly_Inspections!$AV244</f>
        <v>0</v>
      </c>
      <c r="M244" s="23" t="str">
        <f t="shared" si="9"/>
        <v>Open</v>
      </c>
      <c r="N244" s="22"/>
      <c r="O244" s="21">
        <f t="shared" ca="1" si="10"/>
        <v>46113</v>
      </c>
      <c r="P244" s="21" t="str">
        <f t="shared" ca="1" si="11"/>
        <v>YES</v>
      </c>
      <c r="Q244" s="23">
        <f>Weekly_Inspections!$AW244</f>
        <v>0</v>
      </c>
    </row>
    <row r="245" spans="1:17" ht="15" customHeight="1" x14ac:dyDescent="0.2">
      <c r="A245" s="21" t="str">
        <f>IF(Weekly_Inspections!$B245="","",Weekly_Inspections!$A245&amp;"-A1")</f>
        <v/>
      </c>
      <c r="B245" s="22">
        <f>Weekly_Inspections!$B245</f>
        <v>0</v>
      </c>
      <c r="C245" s="23">
        <f>Weekly_Inspections!$E245</f>
        <v>0</v>
      </c>
      <c r="D245" s="23">
        <f>Weekly_Inspections!$F245</f>
        <v>0</v>
      </c>
      <c r="E245" s="21" t="str">
        <f>Weekly_Inspections!$H245</f>
        <v/>
      </c>
      <c r="F245" s="23">
        <f>IF(Weekly_Inspections!$AX245&lt;&gt;"",Weekly_Inspections!$AX245,IF(Weekly_Inspections!$AY245&lt;&gt;"",Weekly_Inspections!$AY245,IF(Weekly_Inspections!$AZ245&lt;&gt;"",Weekly_Inspections!$AZ245,IF(Weekly_Inspections!$BA245&lt;&gt;"",Weekly_Inspections!$BA245,IF(Weekly_Inspections!$BB245&lt;&gt;"",Weekly_Inspections!$BB245,Weekly_Inspections!$R245)))))</f>
        <v>0</v>
      </c>
      <c r="G245" s="23" t="str">
        <f>IF(OR(Weekly_Inspections!$AQ245&lt;&gt;"",Weekly_Inspections!$AR245&lt;&gt;"",Weekly_Inspections!$AS245&lt;&gt;""),Weekly_Inspections!$AQ245,"")</f>
        <v/>
      </c>
      <c r="H245" s="23">
        <f>Weekly_Inspections!$AP245</f>
        <v>0</v>
      </c>
      <c r="I245" s="23">
        <f>Weekly_Inspections!$AR245</f>
        <v>0</v>
      </c>
      <c r="J245" s="23">
        <f>Weekly_Inspections!$AS245</f>
        <v>0</v>
      </c>
      <c r="K245" s="23">
        <f>Weekly_Inspections!$AU245</f>
        <v>0</v>
      </c>
      <c r="L245" s="22">
        <f>Weekly_Inspections!$AV245</f>
        <v>0</v>
      </c>
      <c r="M245" s="23" t="str">
        <f t="shared" si="9"/>
        <v>Open</v>
      </c>
      <c r="N245" s="22"/>
      <c r="O245" s="21">
        <f t="shared" ca="1" si="10"/>
        <v>46113</v>
      </c>
      <c r="P245" s="21" t="str">
        <f t="shared" ca="1" si="11"/>
        <v>YES</v>
      </c>
      <c r="Q245" s="23">
        <f>Weekly_Inspections!$AW245</f>
        <v>0</v>
      </c>
    </row>
    <row r="246" spans="1:17" ht="15" customHeight="1" x14ac:dyDescent="0.2">
      <c r="A246" s="21" t="str">
        <f>IF(Weekly_Inspections!$B246="","",Weekly_Inspections!$A246&amp;"-A1")</f>
        <v/>
      </c>
      <c r="B246" s="22">
        <f>Weekly_Inspections!$B246</f>
        <v>0</v>
      </c>
      <c r="C246" s="23">
        <f>Weekly_Inspections!$E246</f>
        <v>0</v>
      </c>
      <c r="D246" s="23">
        <f>Weekly_Inspections!$F246</f>
        <v>0</v>
      </c>
      <c r="E246" s="21" t="str">
        <f>Weekly_Inspections!$H246</f>
        <v/>
      </c>
      <c r="F246" s="23">
        <f>IF(Weekly_Inspections!$AX246&lt;&gt;"",Weekly_Inspections!$AX246,IF(Weekly_Inspections!$AY246&lt;&gt;"",Weekly_Inspections!$AY246,IF(Weekly_Inspections!$AZ246&lt;&gt;"",Weekly_Inspections!$AZ246,IF(Weekly_Inspections!$BA246&lt;&gt;"",Weekly_Inspections!$BA246,IF(Weekly_Inspections!$BB246&lt;&gt;"",Weekly_Inspections!$BB246,Weekly_Inspections!$R246)))))</f>
        <v>0</v>
      </c>
      <c r="G246" s="23" t="str">
        <f>IF(OR(Weekly_Inspections!$AQ246&lt;&gt;"",Weekly_Inspections!$AR246&lt;&gt;"",Weekly_Inspections!$AS246&lt;&gt;""),Weekly_Inspections!$AQ246,"")</f>
        <v/>
      </c>
      <c r="H246" s="23">
        <f>Weekly_Inspections!$AP246</f>
        <v>0</v>
      </c>
      <c r="I246" s="23">
        <f>Weekly_Inspections!$AR246</f>
        <v>0</v>
      </c>
      <c r="J246" s="23">
        <f>Weekly_Inspections!$AS246</f>
        <v>0</v>
      </c>
      <c r="K246" s="23">
        <f>Weekly_Inspections!$AU246</f>
        <v>0</v>
      </c>
      <c r="L246" s="22">
        <f>Weekly_Inspections!$AV246</f>
        <v>0</v>
      </c>
      <c r="M246" s="23" t="str">
        <f t="shared" si="9"/>
        <v>Open</v>
      </c>
      <c r="N246" s="22"/>
      <c r="O246" s="21">
        <f t="shared" ca="1" si="10"/>
        <v>46113</v>
      </c>
      <c r="P246" s="21" t="str">
        <f t="shared" ca="1" si="11"/>
        <v>YES</v>
      </c>
      <c r="Q246" s="23">
        <f>Weekly_Inspections!$AW246</f>
        <v>0</v>
      </c>
    </row>
    <row r="247" spans="1:17" ht="15" customHeight="1" x14ac:dyDescent="0.2">
      <c r="A247" s="21" t="str">
        <f>IF(Weekly_Inspections!$B247="","",Weekly_Inspections!$A247&amp;"-A1")</f>
        <v/>
      </c>
      <c r="B247" s="22">
        <f>Weekly_Inspections!$B247</f>
        <v>0</v>
      </c>
      <c r="C247" s="23">
        <f>Weekly_Inspections!$E247</f>
        <v>0</v>
      </c>
      <c r="D247" s="23">
        <f>Weekly_Inspections!$F247</f>
        <v>0</v>
      </c>
      <c r="E247" s="21" t="str">
        <f>Weekly_Inspections!$H247</f>
        <v/>
      </c>
      <c r="F247" s="23">
        <f>IF(Weekly_Inspections!$AX247&lt;&gt;"",Weekly_Inspections!$AX247,IF(Weekly_Inspections!$AY247&lt;&gt;"",Weekly_Inspections!$AY247,IF(Weekly_Inspections!$AZ247&lt;&gt;"",Weekly_Inspections!$AZ247,IF(Weekly_Inspections!$BA247&lt;&gt;"",Weekly_Inspections!$BA247,IF(Weekly_Inspections!$BB247&lt;&gt;"",Weekly_Inspections!$BB247,Weekly_Inspections!$R247)))))</f>
        <v>0</v>
      </c>
      <c r="G247" s="23" t="str">
        <f>IF(OR(Weekly_Inspections!$AQ247&lt;&gt;"",Weekly_Inspections!$AR247&lt;&gt;"",Weekly_Inspections!$AS247&lt;&gt;""),Weekly_Inspections!$AQ247,"")</f>
        <v/>
      </c>
      <c r="H247" s="23">
        <f>Weekly_Inspections!$AP247</f>
        <v>0</v>
      </c>
      <c r="I247" s="23">
        <f>Weekly_Inspections!$AR247</f>
        <v>0</v>
      </c>
      <c r="J247" s="23">
        <f>Weekly_Inspections!$AS247</f>
        <v>0</v>
      </c>
      <c r="K247" s="23">
        <f>Weekly_Inspections!$AU247</f>
        <v>0</v>
      </c>
      <c r="L247" s="22">
        <f>Weekly_Inspections!$AV247</f>
        <v>0</v>
      </c>
      <c r="M247" s="23" t="str">
        <f t="shared" si="9"/>
        <v>Open</v>
      </c>
      <c r="N247" s="22"/>
      <c r="O247" s="21">
        <f t="shared" ca="1" si="10"/>
        <v>46113</v>
      </c>
      <c r="P247" s="21" t="str">
        <f t="shared" ca="1" si="11"/>
        <v>YES</v>
      </c>
      <c r="Q247" s="23">
        <f>Weekly_Inspections!$AW247</f>
        <v>0</v>
      </c>
    </row>
    <row r="248" spans="1:17" ht="15" customHeight="1" x14ac:dyDescent="0.2">
      <c r="A248" s="21" t="str">
        <f>IF(Weekly_Inspections!$B248="","",Weekly_Inspections!$A248&amp;"-A1")</f>
        <v/>
      </c>
      <c r="B248" s="22">
        <f>Weekly_Inspections!$B248</f>
        <v>0</v>
      </c>
      <c r="C248" s="23">
        <f>Weekly_Inspections!$E248</f>
        <v>0</v>
      </c>
      <c r="D248" s="23">
        <f>Weekly_Inspections!$F248</f>
        <v>0</v>
      </c>
      <c r="E248" s="21" t="str">
        <f>Weekly_Inspections!$H248</f>
        <v/>
      </c>
      <c r="F248" s="23">
        <f>IF(Weekly_Inspections!$AX248&lt;&gt;"",Weekly_Inspections!$AX248,IF(Weekly_Inspections!$AY248&lt;&gt;"",Weekly_Inspections!$AY248,IF(Weekly_Inspections!$AZ248&lt;&gt;"",Weekly_Inspections!$AZ248,IF(Weekly_Inspections!$BA248&lt;&gt;"",Weekly_Inspections!$BA248,IF(Weekly_Inspections!$BB248&lt;&gt;"",Weekly_Inspections!$BB248,Weekly_Inspections!$R248)))))</f>
        <v>0</v>
      </c>
      <c r="G248" s="23" t="str">
        <f>IF(OR(Weekly_Inspections!$AQ248&lt;&gt;"",Weekly_Inspections!$AR248&lt;&gt;"",Weekly_Inspections!$AS248&lt;&gt;""),Weekly_Inspections!$AQ248,"")</f>
        <v/>
      </c>
      <c r="H248" s="23">
        <f>Weekly_Inspections!$AP248</f>
        <v>0</v>
      </c>
      <c r="I248" s="23">
        <f>Weekly_Inspections!$AR248</f>
        <v>0</v>
      </c>
      <c r="J248" s="23">
        <f>Weekly_Inspections!$AS248</f>
        <v>0</v>
      </c>
      <c r="K248" s="23">
        <f>Weekly_Inspections!$AU248</f>
        <v>0</v>
      </c>
      <c r="L248" s="22">
        <f>Weekly_Inspections!$AV248</f>
        <v>0</v>
      </c>
      <c r="M248" s="23" t="str">
        <f t="shared" si="9"/>
        <v>Open</v>
      </c>
      <c r="N248" s="22"/>
      <c r="O248" s="21">
        <f t="shared" ca="1" si="10"/>
        <v>46113</v>
      </c>
      <c r="P248" s="21" t="str">
        <f t="shared" ca="1" si="11"/>
        <v>YES</v>
      </c>
      <c r="Q248" s="23">
        <f>Weekly_Inspections!$AW248</f>
        <v>0</v>
      </c>
    </row>
    <row r="249" spans="1:17" ht="15" customHeight="1" x14ac:dyDescent="0.2">
      <c r="A249" s="21" t="str">
        <f>IF(Weekly_Inspections!$B249="","",Weekly_Inspections!$A249&amp;"-A1")</f>
        <v/>
      </c>
      <c r="B249" s="22">
        <f>Weekly_Inspections!$B249</f>
        <v>0</v>
      </c>
      <c r="C249" s="23">
        <f>Weekly_Inspections!$E249</f>
        <v>0</v>
      </c>
      <c r="D249" s="23">
        <f>Weekly_Inspections!$F249</f>
        <v>0</v>
      </c>
      <c r="E249" s="21" t="str">
        <f>Weekly_Inspections!$H249</f>
        <v/>
      </c>
      <c r="F249" s="23">
        <f>IF(Weekly_Inspections!$AX249&lt;&gt;"",Weekly_Inspections!$AX249,IF(Weekly_Inspections!$AY249&lt;&gt;"",Weekly_Inspections!$AY249,IF(Weekly_Inspections!$AZ249&lt;&gt;"",Weekly_Inspections!$AZ249,IF(Weekly_Inspections!$BA249&lt;&gt;"",Weekly_Inspections!$BA249,IF(Weekly_Inspections!$BB249&lt;&gt;"",Weekly_Inspections!$BB249,Weekly_Inspections!$R249)))))</f>
        <v>0</v>
      </c>
      <c r="G249" s="23" t="str">
        <f>IF(OR(Weekly_Inspections!$AQ249&lt;&gt;"",Weekly_Inspections!$AR249&lt;&gt;"",Weekly_Inspections!$AS249&lt;&gt;""),Weekly_Inspections!$AQ249,"")</f>
        <v/>
      </c>
      <c r="H249" s="23">
        <f>Weekly_Inspections!$AP249</f>
        <v>0</v>
      </c>
      <c r="I249" s="23">
        <f>Weekly_Inspections!$AR249</f>
        <v>0</v>
      </c>
      <c r="J249" s="23">
        <f>Weekly_Inspections!$AS249</f>
        <v>0</v>
      </c>
      <c r="K249" s="23">
        <f>Weekly_Inspections!$AU249</f>
        <v>0</v>
      </c>
      <c r="L249" s="22">
        <f>Weekly_Inspections!$AV249</f>
        <v>0</v>
      </c>
      <c r="M249" s="23" t="str">
        <f t="shared" si="9"/>
        <v>Open</v>
      </c>
      <c r="N249" s="22"/>
      <c r="O249" s="21">
        <f t="shared" ca="1" si="10"/>
        <v>46113</v>
      </c>
      <c r="P249" s="21" t="str">
        <f t="shared" ca="1" si="11"/>
        <v>YES</v>
      </c>
      <c r="Q249" s="23">
        <f>Weekly_Inspections!$AW249</f>
        <v>0</v>
      </c>
    </row>
    <row r="250" spans="1:17" ht="15" customHeight="1" x14ac:dyDescent="0.2">
      <c r="A250" s="21" t="str">
        <f>IF(Weekly_Inspections!$B250="","",Weekly_Inspections!$A250&amp;"-A1")</f>
        <v/>
      </c>
      <c r="B250" s="22">
        <f>Weekly_Inspections!$B250</f>
        <v>0</v>
      </c>
      <c r="C250" s="23">
        <f>Weekly_Inspections!$E250</f>
        <v>0</v>
      </c>
      <c r="D250" s="23">
        <f>Weekly_Inspections!$F250</f>
        <v>0</v>
      </c>
      <c r="E250" s="21" t="str">
        <f>Weekly_Inspections!$H250</f>
        <v/>
      </c>
      <c r="F250" s="23">
        <f>IF(Weekly_Inspections!$AX250&lt;&gt;"",Weekly_Inspections!$AX250,IF(Weekly_Inspections!$AY250&lt;&gt;"",Weekly_Inspections!$AY250,IF(Weekly_Inspections!$AZ250&lt;&gt;"",Weekly_Inspections!$AZ250,IF(Weekly_Inspections!$BA250&lt;&gt;"",Weekly_Inspections!$BA250,IF(Weekly_Inspections!$BB250&lt;&gt;"",Weekly_Inspections!$BB250,Weekly_Inspections!$R250)))))</f>
        <v>0</v>
      </c>
      <c r="G250" s="23" t="str">
        <f>IF(OR(Weekly_Inspections!$AQ250&lt;&gt;"",Weekly_Inspections!$AR250&lt;&gt;"",Weekly_Inspections!$AS250&lt;&gt;""),Weekly_Inspections!$AQ250,"")</f>
        <v/>
      </c>
      <c r="H250" s="23">
        <f>Weekly_Inspections!$AP250</f>
        <v>0</v>
      </c>
      <c r="I250" s="23">
        <f>Weekly_Inspections!$AR250</f>
        <v>0</v>
      </c>
      <c r="J250" s="23">
        <f>Weekly_Inspections!$AS250</f>
        <v>0</v>
      </c>
      <c r="K250" s="23">
        <f>Weekly_Inspections!$AU250</f>
        <v>0</v>
      </c>
      <c r="L250" s="22">
        <f>Weekly_Inspections!$AV250</f>
        <v>0</v>
      </c>
      <c r="M250" s="23" t="str">
        <f t="shared" si="9"/>
        <v>Open</v>
      </c>
      <c r="N250" s="22"/>
      <c r="O250" s="21">
        <f t="shared" ca="1" si="10"/>
        <v>46113</v>
      </c>
      <c r="P250" s="21" t="str">
        <f t="shared" ca="1" si="11"/>
        <v>YES</v>
      </c>
      <c r="Q250" s="23">
        <f>Weekly_Inspections!$AW250</f>
        <v>0</v>
      </c>
    </row>
    <row r="251" spans="1:17" ht="15" customHeight="1" x14ac:dyDescent="0.2">
      <c r="A251" s="21" t="str">
        <f>IF(Weekly_Inspections!$B251="","",Weekly_Inspections!$A251&amp;"-A1")</f>
        <v/>
      </c>
      <c r="B251" s="22">
        <f>Weekly_Inspections!$B251</f>
        <v>0</v>
      </c>
      <c r="C251" s="23">
        <f>Weekly_Inspections!$E251</f>
        <v>0</v>
      </c>
      <c r="D251" s="23">
        <f>Weekly_Inspections!$F251</f>
        <v>0</v>
      </c>
      <c r="E251" s="21" t="str">
        <f>Weekly_Inspections!$H251</f>
        <v/>
      </c>
      <c r="F251" s="23">
        <f>IF(Weekly_Inspections!$AX251&lt;&gt;"",Weekly_Inspections!$AX251,IF(Weekly_Inspections!$AY251&lt;&gt;"",Weekly_Inspections!$AY251,IF(Weekly_Inspections!$AZ251&lt;&gt;"",Weekly_Inspections!$AZ251,IF(Weekly_Inspections!$BA251&lt;&gt;"",Weekly_Inspections!$BA251,IF(Weekly_Inspections!$BB251&lt;&gt;"",Weekly_Inspections!$BB251,Weekly_Inspections!$R251)))))</f>
        <v>0</v>
      </c>
      <c r="G251" s="23" t="str">
        <f>IF(OR(Weekly_Inspections!$AQ251&lt;&gt;"",Weekly_Inspections!$AR251&lt;&gt;"",Weekly_Inspections!$AS251&lt;&gt;""),Weekly_Inspections!$AQ251,"")</f>
        <v/>
      </c>
      <c r="H251" s="23">
        <f>Weekly_Inspections!$AP251</f>
        <v>0</v>
      </c>
      <c r="I251" s="23">
        <f>Weekly_Inspections!$AR251</f>
        <v>0</v>
      </c>
      <c r="J251" s="23">
        <f>Weekly_Inspections!$AS251</f>
        <v>0</v>
      </c>
      <c r="K251" s="23">
        <f>Weekly_Inspections!$AU251</f>
        <v>0</v>
      </c>
      <c r="L251" s="22">
        <f>Weekly_Inspections!$AV251</f>
        <v>0</v>
      </c>
      <c r="M251" s="23" t="str">
        <f t="shared" si="9"/>
        <v>Open</v>
      </c>
      <c r="N251" s="22"/>
      <c r="O251" s="21">
        <f t="shared" ca="1" si="10"/>
        <v>46113</v>
      </c>
      <c r="P251" s="21" t="str">
        <f t="shared" ca="1" si="11"/>
        <v>YES</v>
      </c>
      <c r="Q251" s="23">
        <f>Weekly_Inspections!$AW251</f>
        <v>0</v>
      </c>
    </row>
    <row r="252" spans="1:17" ht="15" customHeight="1" x14ac:dyDescent="0.2">
      <c r="A252" s="21" t="str">
        <f>IF(Weekly_Inspections!$B252="","",Weekly_Inspections!$A252&amp;"-A1")</f>
        <v/>
      </c>
      <c r="B252" s="22">
        <f>Weekly_Inspections!$B252</f>
        <v>0</v>
      </c>
      <c r="C252" s="23">
        <f>Weekly_Inspections!$E252</f>
        <v>0</v>
      </c>
      <c r="D252" s="23">
        <f>Weekly_Inspections!$F252</f>
        <v>0</v>
      </c>
      <c r="E252" s="21" t="str">
        <f>Weekly_Inspections!$H252</f>
        <v/>
      </c>
      <c r="F252" s="23">
        <f>IF(Weekly_Inspections!$AX252&lt;&gt;"",Weekly_Inspections!$AX252,IF(Weekly_Inspections!$AY252&lt;&gt;"",Weekly_Inspections!$AY252,IF(Weekly_Inspections!$AZ252&lt;&gt;"",Weekly_Inspections!$AZ252,IF(Weekly_Inspections!$BA252&lt;&gt;"",Weekly_Inspections!$BA252,IF(Weekly_Inspections!$BB252&lt;&gt;"",Weekly_Inspections!$BB252,Weekly_Inspections!$R252)))))</f>
        <v>0</v>
      </c>
      <c r="G252" s="23" t="str">
        <f>IF(OR(Weekly_Inspections!$AQ252&lt;&gt;"",Weekly_Inspections!$AR252&lt;&gt;"",Weekly_Inspections!$AS252&lt;&gt;""),Weekly_Inspections!$AQ252,"")</f>
        <v/>
      </c>
      <c r="H252" s="23">
        <f>Weekly_Inspections!$AP252</f>
        <v>0</v>
      </c>
      <c r="I252" s="23">
        <f>Weekly_Inspections!$AR252</f>
        <v>0</v>
      </c>
      <c r="J252" s="23">
        <f>Weekly_Inspections!$AS252</f>
        <v>0</v>
      </c>
      <c r="K252" s="23">
        <f>Weekly_Inspections!$AU252</f>
        <v>0</v>
      </c>
      <c r="L252" s="22">
        <f>Weekly_Inspections!$AV252</f>
        <v>0</v>
      </c>
      <c r="M252" s="23" t="str">
        <f t="shared" si="9"/>
        <v>Open</v>
      </c>
      <c r="N252" s="22"/>
      <c r="O252" s="21">
        <f t="shared" ca="1" si="10"/>
        <v>46113</v>
      </c>
      <c r="P252" s="21" t="str">
        <f t="shared" ca="1" si="11"/>
        <v>YES</v>
      </c>
      <c r="Q252" s="23">
        <f>Weekly_Inspections!$AW252</f>
        <v>0</v>
      </c>
    </row>
    <row r="253" spans="1:17" ht="15" customHeight="1" x14ac:dyDescent="0.2">
      <c r="A253" s="21" t="str">
        <f>IF(Weekly_Inspections!$B253="","",Weekly_Inspections!$A253&amp;"-A1")</f>
        <v/>
      </c>
      <c r="B253" s="22">
        <f>Weekly_Inspections!$B253</f>
        <v>0</v>
      </c>
      <c r="C253" s="23">
        <f>Weekly_Inspections!$E253</f>
        <v>0</v>
      </c>
      <c r="D253" s="23">
        <f>Weekly_Inspections!$F253</f>
        <v>0</v>
      </c>
      <c r="E253" s="21" t="str">
        <f>Weekly_Inspections!$H253</f>
        <v/>
      </c>
      <c r="F253" s="23">
        <f>IF(Weekly_Inspections!$AX253&lt;&gt;"",Weekly_Inspections!$AX253,IF(Weekly_Inspections!$AY253&lt;&gt;"",Weekly_Inspections!$AY253,IF(Weekly_Inspections!$AZ253&lt;&gt;"",Weekly_Inspections!$AZ253,IF(Weekly_Inspections!$BA253&lt;&gt;"",Weekly_Inspections!$BA253,IF(Weekly_Inspections!$BB253&lt;&gt;"",Weekly_Inspections!$BB253,Weekly_Inspections!$R253)))))</f>
        <v>0</v>
      </c>
      <c r="G253" s="23" t="str">
        <f>IF(OR(Weekly_Inspections!$AQ253&lt;&gt;"",Weekly_Inspections!$AR253&lt;&gt;"",Weekly_Inspections!$AS253&lt;&gt;""),Weekly_Inspections!$AQ253,"")</f>
        <v/>
      </c>
      <c r="H253" s="23">
        <f>Weekly_Inspections!$AP253</f>
        <v>0</v>
      </c>
      <c r="I253" s="23">
        <f>Weekly_Inspections!$AR253</f>
        <v>0</v>
      </c>
      <c r="J253" s="23">
        <f>Weekly_Inspections!$AS253</f>
        <v>0</v>
      </c>
      <c r="K253" s="23">
        <f>Weekly_Inspections!$AU253</f>
        <v>0</v>
      </c>
      <c r="L253" s="22">
        <f>Weekly_Inspections!$AV253</f>
        <v>0</v>
      </c>
      <c r="M253" s="23" t="str">
        <f t="shared" si="9"/>
        <v>Open</v>
      </c>
      <c r="N253" s="22"/>
      <c r="O253" s="21">
        <f t="shared" ca="1" si="10"/>
        <v>46113</v>
      </c>
      <c r="P253" s="21" t="str">
        <f t="shared" ca="1" si="11"/>
        <v>YES</v>
      </c>
      <c r="Q253" s="23">
        <f>Weekly_Inspections!$AW253</f>
        <v>0</v>
      </c>
    </row>
    <row r="254" spans="1:17" ht="15" customHeight="1" x14ac:dyDescent="0.2">
      <c r="A254" s="21" t="str">
        <f>IF(Weekly_Inspections!$B254="","",Weekly_Inspections!$A254&amp;"-A1")</f>
        <v/>
      </c>
      <c r="B254" s="22">
        <f>Weekly_Inspections!$B254</f>
        <v>0</v>
      </c>
      <c r="C254" s="23">
        <f>Weekly_Inspections!$E254</f>
        <v>0</v>
      </c>
      <c r="D254" s="23">
        <f>Weekly_Inspections!$F254</f>
        <v>0</v>
      </c>
      <c r="E254" s="21" t="str">
        <f>Weekly_Inspections!$H254</f>
        <v/>
      </c>
      <c r="F254" s="23">
        <f>IF(Weekly_Inspections!$AX254&lt;&gt;"",Weekly_Inspections!$AX254,IF(Weekly_Inspections!$AY254&lt;&gt;"",Weekly_Inspections!$AY254,IF(Weekly_Inspections!$AZ254&lt;&gt;"",Weekly_Inspections!$AZ254,IF(Weekly_Inspections!$BA254&lt;&gt;"",Weekly_Inspections!$BA254,IF(Weekly_Inspections!$BB254&lt;&gt;"",Weekly_Inspections!$BB254,Weekly_Inspections!$R254)))))</f>
        <v>0</v>
      </c>
      <c r="G254" s="23" t="str">
        <f>IF(OR(Weekly_Inspections!$AQ254&lt;&gt;"",Weekly_Inspections!$AR254&lt;&gt;"",Weekly_Inspections!$AS254&lt;&gt;""),Weekly_Inspections!$AQ254,"")</f>
        <v/>
      </c>
      <c r="H254" s="23">
        <f>Weekly_Inspections!$AP254</f>
        <v>0</v>
      </c>
      <c r="I254" s="23">
        <f>Weekly_Inspections!$AR254</f>
        <v>0</v>
      </c>
      <c r="J254" s="23">
        <f>Weekly_Inspections!$AS254</f>
        <v>0</v>
      </c>
      <c r="K254" s="23">
        <f>Weekly_Inspections!$AU254</f>
        <v>0</v>
      </c>
      <c r="L254" s="22">
        <f>Weekly_Inspections!$AV254</f>
        <v>0</v>
      </c>
      <c r="M254" s="23" t="str">
        <f t="shared" si="9"/>
        <v>Open</v>
      </c>
      <c r="N254" s="22"/>
      <c r="O254" s="21">
        <f t="shared" ca="1" si="10"/>
        <v>46113</v>
      </c>
      <c r="P254" s="21" t="str">
        <f t="shared" ca="1" si="11"/>
        <v>YES</v>
      </c>
      <c r="Q254" s="23">
        <f>Weekly_Inspections!$AW254</f>
        <v>0</v>
      </c>
    </row>
    <row r="255" spans="1:17" ht="15" customHeight="1" x14ac:dyDescent="0.2">
      <c r="A255" s="21" t="str">
        <f>IF(Weekly_Inspections!$B255="","",Weekly_Inspections!$A255&amp;"-A1")</f>
        <v/>
      </c>
      <c r="B255" s="22">
        <f>Weekly_Inspections!$B255</f>
        <v>0</v>
      </c>
      <c r="C255" s="23">
        <f>Weekly_Inspections!$E255</f>
        <v>0</v>
      </c>
      <c r="D255" s="23">
        <f>Weekly_Inspections!$F255</f>
        <v>0</v>
      </c>
      <c r="E255" s="21" t="str">
        <f>Weekly_Inspections!$H255</f>
        <v/>
      </c>
      <c r="F255" s="23">
        <f>IF(Weekly_Inspections!$AX255&lt;&gt;"",Weekly_Inspections!$AX255,IF(Weekly_Inspections!$AY255&lt;&gt;"",Weekly_Inspections!$AY255,IF(Weekly_Inspections!$AZ255&lt;&gt;"",Weekly_Inspections!$AZ255,IF(Weekly_Inspections!$BA255&lt;&gt;"",Weekly_Inspections!$BA255,IF(Weekly_Inspections!$BB255&lt;&gt;"",Weekly_Inspections!$BB255,Weekly_Inspections!$R255)))))</f>
        <v>0</v>
      </c>
      <c r="G255" s="23" t="str">
        <f>IF(OR(Weekly_Inspections!$AQ255&lt;&gt;"",Weekly_Inspections!$AR255&lt;&gt;"",Weekly_Inspections!$AS255&lt;&gt;""),Weekly_Inspections!$AQ255,"")</f>
        <v/>
      </c>
      <c r="H255" s="23">
        <f>Weekly_Inspections!$AP255</f>
        <v>0</v>
      </c>
      <c r="I255" s="23">
        <f>Weekly_Inspections!$AR255</f>
        <v>0</v>
      </c>
      <c r="J255" s="23">
        <f>Weekly_Inspections!$AS255</f>
        <v>0</v>
      </c>
      <c r="K255" s="23">
        <f>Weekly_Inspections!$AU255</f>
        <v>0</v>
      </c>
      <c r="L255" s="22">
        <f>Weekly_Inspections!$AV255</f>
        <v>0</v>
      </c>
      <c r="M255" s="23" t="str">
        <f t="shared" si="9"/>
        <v>Open</v>
      </c>
      <c r="N255" s="22"/>
      <c r="O255" s="21">
        <f t="shared" ca="1" si="10"/>
        <v>46113</v>
      </c>
      <c r="P255" s="21" t="str">
        <f t="shared" ca="1" si="11"/>
        <v>YES</v>
      </c>
      <c r="Q255" s="23">
        <f>Weekly_Inspections!$AW255</f>
        <v>0</v>
      </c>
    </row>
    <row r="256" spans="1:17" ht="15" customHeight="1" x14ac:dyDescent="0.2">
      <c r="A256" s="21" t="str">
        <f>IF(Weekly_Inspections!$B256="","",Weekly_Inspections!$A256&amp;"-A1")</f>
        <v/>
      </c>
      <c r="B256" s="22">
        <f>Weekly_Inspections!$B256</f>
        <v>0</v>
      </c>
      <c r="C256" s="23">
        <f>Weekly_Inspections!$E256</f>
        <v>0</v>
      </c>
      <c r="D256" s="23">
        <f>Weekly_Inspections!$F256</f>
        <v>0</v>
      </c>
      <c r="E256" s="21" t="str">
        <f>Weekly_Inspections!$H256</f>
        <v/>
      </c>
      <c r="F256" s="23">
        <f>IF(Weekly_Inspections!$AX256&lt;&gt;"",Weekly_Inspections!$AX256,IF(Weekly_Inspections!$AY256&lt;&gt;"",Weekly_Inspections!$AY256,IF(Weekly_Inspections!$AZ256&lt;&gt;"",Weekly_Inspections!$AZ256,IF(Weekly_Inspections!$BA256&lt;&gt;"",Weekly_Inspections!$BA256,IF(Weekly_Inspections!$BB256&lt;&gt;"",Weekly_Inspections!$BB256,Weekly_Inspections!$R256)))))</f>
        <v>0</v>
      </c>
      <c r="G256" s="23" t="str">
        <f>IF(OR(Weekly_Inspections!$AQ256&lt;&gt;"",Weekly_Inspections!$AR256&lt;&gt;"",Weekly_Inspections!$AS256&lt;&gt;""),Weekly_Inspections!$AQ256,"")</f>
        <v/>
      </c>
      <c r="H256" s="23">
        <f>Weekly_Inspections!$AP256</f>
        <v>0</v>
      </c>
      <c r="I256" s="23">
        <f>Weekly_Inspections!$AR256</f>
        <v>0</v>
      </c>
      <c r="J256" s="23">
        <f>Weekly_Inspections!$AS256</f>
        <v>0</v>
      </c>
      <c r="K256" s="23">
        <f>Weekly_Inspections!$AU256</f>
        <v>0</v>
      </c>
      <c r="L256" s="22">
        <f>Weekly_Inspections!$AV256</f>
        <v>0</v>
      </c>
      <c r="M256" s="23" t="str">
        <f t="shared" ref="M256:M319" si="12">IF($B256="","",IF($N256&lt;&gt;"","Closed",IF(OR($G256&lt;&gt;"",$I256&lt;&gt;"",$J256&lt;&gt;""),"Open","")))</f>
        <v>Open</v>
      </c>
      <c r="N256" s="22"/>
      <c r="O256" s="21">
        <f t="shared" ref="O256:O319" ca="1" si="13">IF($B256="","",IF($M256="Closed",IF($N256="","",$N256-$B256),TODAY()-$B256))</f>
        <v>46113</v>
      </c>
      <c r="P256" s="21" t="str">
        <f t="shared" ref="P256:P319" ca="1" si="14">IF(OR($B256="",$L256="",$M256="Closed"),"",IF(TODAY()&gt;$L256,"YES","NO"))</f>
        <v>YES</v>
      </c>
      <c r="Q256" s="23">
        <f>Weekly_Inspections!$AW256</f>
        <v>0</v>
      </c>
    </row>
    <row r="257" spans="1:17" ht="15" customHeight="1" x14ac:dyDescent="0.2">
      <c r="A257" s="21" t="str">
        <f>IF(Weekly_Inspections!$B257="","",Weekly_Inspections!$A257&amp;"-A1")</f>
        <v/>
      </c>
      <c r="B257" s="22">
        <f>Weekly_Inspections!$B257</f>
        <v>0</v>
      </c>
      <c r="C257" s="23">
        <f>Weekly_Inspections!$E257</f>
        <v>0</v>
      </c>
      <c r="D257" s="23">
        <f>Weekly_Inspections!$F257</f>
        <v>0</v>
      </c>
      <c r="E257" s="21" t="str">
        <f>Weekly_Inspections!$H257</f>
        <v/>
      </c>
      <c r="F257" s="23">
        <f>IF(Weekly_Inspections!$AX257&lt;&gt;"",Weekly_Inspections!$AX257,IF(Weekly_Inspections!$AY257&lt;&gt;"",Weekly_Inspections!$AY257,IF(Weekly_Inspections!$AZ257&lt;&gt;"",Weekly_Inspections!$AZ257,IF(Weekly_Inspections!$BA257&lt;&gt;"",Weekly_Inspections!$BA257,IF(Weekly_Inspections!$BB257&lt;&gt;"",Weekly_Inspections!$BB257,Weekly_Inspections!$R257)))))</f>
        <v>0</v>
      </c>
      <c r="G257" s="23" t="str">
        <f>IF(OR(Weekly_Inspections!$AQ257&lt;&gt;"",Weekly_Inspections!$AR257&lt;&gt;"",Weekly_Inspections!$AS257&lt;&gt;""),Weekly_Inspections!$AQ257,"")</f>
        <v/>
      </c>
      <c r="H257" s="23">
        <f>Weekly_Inspections!$AP257</f>
        <v>0</v>
      </c>
      <c r="I257" s="23">
        <f>Weekly_Inspections!$AR257</f>
        <v>0</v>
      </c>
      <c r="J257" s="23">
        <f>Weekly_Inspections!$AS257</f>
        <v>0</v>
      </c>
      <c r="K257" s="23">
        <f>Weekly_Inspections!$AU257</f>
        <v>0</v>
      </c>
      <c r="L257" s="22">
        <f>Weekly_Inspections!$AV257</f>
        <v>0</v>
      </c>
      <c r="M257" s="23" t="str">
        <f t="shared" si="12"/>
        <v>Open</v>
      </c>
      <c r="N257" s="22"/>
      <c r="O257" s="21">
        <f t="shared" ca="1" si="13"/>
        <v>46113</v>
      </c>
      <c r="P257" s="21" t="str">
        <f t="shared" ca="1" si="14"/>
        <v>YES</v>
      </c>
      <c r="Q257" s="23">
        <f>Weekly_Inspections!$AW257</f>
        <v>0</v>
      </c>
    </row>
    <row r="258" spans="1:17" ht="15" customHeight="1" x14ac:dyDescent="0.2">
      <c r="A258" s="21" t="str">
        <f>IF(Weekly_Inspections!$B258="","",Weekly_Inspections!$A258&amp;"-A1")</f>
        <v/>
      </c>
      <c r="B258" s="22">
        <f>Weekly_Inspections!$B258</f>
        <v>0</v>
      </c>
      <c r="C258" s="23">
        <f>Weekly_Inspections!$E258</f>
        <v>0</v>
      </c>
      <c r="D258" s="23">
        <f>Weekly_Inspections!$F258</f>
        <v>0</v>
      </c>
      <c r="E258" s="21" t="str">
        <f>Weekly_Inspections!$H258</f>
        <v/>
      </c>
      <c r="F258" s="23">
        <f>IF(Weekly_Inspections!$AX258&lt;&gt;"",Weekly_Inspections!$AX258,IF(Weekly_Inspections!$AY258&lt;&gt;"",Weekly_Inspections!$AY258,IF(Weekly_Inspections!$AZ258&lt;&gt;"",Weekly_Inspections!$AZ258,IF(Weekly_Inspections!$BA258&lt;&gt;"",Weekly_Inspections!$BA258,IF(Weekly_Inspections!$BB258&lt;&gt;"",Weekly_Inspections!$BB258,Weekly_Inspections!$R258)))))</f>
        <v>0</v>
      </c>
      <c r="G258" s="23" t="str">
        <f>IF(OR(Weekly_Inspections!$AQ258&lt;&gt;"",Weekly_Inspections!$AR258&lt;&gt;"",Weekly_Inspections!$AS258&lt;&gt;""),Weekly_Inspections!$AQ258,"")</f>
        <v/>
      </c>
      <c r="H258" s="23">
        <f>Weekly_Inspections!$AP258</f>
        <v>0</v>
      </c>
      <c r="I258" s="23">
        <f>Weekly_Inspections!$AR258</f>
        <v>0</v>
      </c>
      <c r="J258" s="23">
        <f>Weekly_Inspections!$AS258</f>
        <v>0</v>
      </c>
      <c r="K258" s="23">
        <f>Weekly_Inspections!$AU258</f>
        <v>0</v>
      </c>
      <c r="L258" s="22">
        <f>Weekly_Inspections!$AV258</f>
        <v>0</v>
      </c>
      <c r="M258" s="23" t="str">
        <f t="shared" si="12"/>
        <v>Open</v>
      </c>
      <c r="N258" s="22"/>
      <c r="O258" s="21">
        <f t="shared" ca="1" si="13"/>
        <v>46113</v>
      </c>
      <c r="P258" s="21" t="str">
        <f t="shared" ca="1" si="14"/>
        <v>YES</v>
      </c>
      <c r="Q258" s="23">
        <f>Weekly_Inspections!$AW258</f>
        <v>0</v>
      </c>
    </row>
    <row r="259" spans="1:17" ht="15" customHeight="1" x14ac:dyDescent="0.2">
      <c r="A259" s="21" t="str">
        <f>IF(Weekly_Inspections!$B259="","",Weekly_Inspections!$A259&amp;"-A1")</f>
        <v/>
      </c>
      <c r="B259" s="22">
        <f>Weekly_Inspections!$B259</f>
        <v>0</v>
      </c>
      <c r="C259" s="23">
        <f>Weekly_Inspections!$E259</f>
        <v>0</v>
      </c>
      <c r="D259" s="23">
        <f>Weekly_Inspections!$F259</f>
        <v>0</v>
      </c>
      <c r="E259" s="21" t="str">
        <f>Weekly_Inspections!$H259</f>
        <v/>
      </c>
      <c r="F259" s="23">
        <f>IF(Weekly_Inspections!$AX259&lt;&gt;"",Weekly_Inspections!$AX259,IF(Weekly_Inspections!$AY259&lt;&gt;"",Weekly_Inspections!$AY259,IF(Weekly_Inspections!$AZ259&lt;&gt;"",Weekly_Inspections!$AZ259,IF(Weekly_Inspections!$BA259&lt;&gt;"",Weekly_Inspections!$BA259,IF(Weekly_Inspections!$BB259&lt;&gt;"",Weekly_Inspections!$BB259,Weekly_Inspections!$R259)))))</f>
        <v>0</v>
      </c>
      <c r="G259" s="23" t="str">
        <f>IF(OR(Weekly_Inspections!$AQ259&lt;&gt;"",Weekly_Inspections!$AR259&lt;&gt;"",Weekly_Inspections!$AS259&lt;&gt;""),Weekly_Inspections!$AQ259,"")</f>
        <v/>
      </c>
      <c r="H259" s="23">
        <f>Weekly_Inspections!$AP259</f>
        <v>0</v>
      </c>
      <c r="I259" s="23">
        <f>Weekly_Inspections!$AR259</f>
        <v>0</v>
      </c>
      <c r="J259" s="23">
        <f>Weekly_Inspections!$AS259</f>
        <v>0</v>
      </c>
      <c r="K259" s="23">
        <f>Weekly_Inspections!$AU259</f>
        <v>0</v>
      </c>
      <c r="L259" s="22">
        <f>Weekly_Inspections!$AV259</f>
        <v>0</v>
      </c>
      <c r="M259" s="23" t="str">
        <f t="shared" si="12"/>
        <v>Open</v>
      </c>
      <c r="N259" s="22"/>
      <c r="O259" s="21">
        <f t="shared" ca="1" si="13"/>
        <v>46113</v>
      </c>
      <c r="P259" s="21" t="str">
        <f t="shared" ca="1" si="14"/>
        <v>YES</v>
      </c>
      <c r="Q259" s="23">
        <f>Weekly_Inspections!$AW259</f>
        <v>0</v>
      </c>
    </row>
    <row r="260" spans="1:17" ht="15" customHeight="1" x14ac:dyDescent="0.2">
      <c r="A260" s="21" t="str">
        <f>IF(Weekly_Inspections!$B260="","",Weekly_Inspections!$A260&amp;"-A1")</f>
        <v/>
      </c>
      <c r="B260" s="22">
        <f>Weekly_Inspections!$B260</f>
        <v>0</v>
      </c>
      <c r="C260" s="23">
        <f>Weekly_Inspections!$E260</f>
        <v>0</v>
      </c>
      <c r="D260" s="23">
        <f>Weekly_Inspections!$F260</f>
        <v>0</v>
      </c>
      <c r="E260" s="21" t="str">
        <f>Weekly_Inspections!$H260</f>
        <v/>
      </c>
      <c r="F260" s="23">
        <f>IF(Weekly_Inspections!$AX260&lt;&gt;"",Weekly_Inspections!$AX260,IF(Weekly_Inspections!$AY260&lt;&gt;"",Weekly_Inspections!$AY260,IF(Weekly_Inspections!$AZ260&lt;&gt;"",Weekly_Inspections!$AZ260,IF(Weekly_Inspections!$BA260&lt;&gt;"",Weekly_Inspections!$BA260,IF(Weekly_Inspections!$BB260&lt;&gt;"",Weekly_Inspections!$BB260,Weekly_Inspections!$R260)))))</f>
        <v>0</v>
      </c>
      <c r="G260" s="23" t="str">
        <f>IF(OR(Weekly_Inspections!$AQ260&lt;&gt;"",Weekly_Inspections!$AR260&lt;&gt;"",Weekly_Inspections!$AS260&lt;&gt;""),Weekly_Inspections!$AQ260,"")</f>
        <v/>
      </c>
      <c r="H260" s="23">
        <f>Weekly_Inspections!$AP260</f>
        <v>0</v>
      </c>
      <c r="I260" s="23">
        <f>Weekly_Inspections!$AR260</f>
        <v>0</v>
      </c>
      <c r="J260" s="23">
        <f>Weekly_Inspections!$AS260</f>
        <v>0</v>
      </c>
      <c r="K260" s="23">
        <f>Weekly_Inspections!$AU260</f>
        <v>0</v>
      </c>
      <c r="L260" s="22">
        <f>Weekly_Inspections!$AV260</f>
        <v>0</v>
      </c>
      <c r="M260" s="23" t="str">
        <f t="shared" si="12"/>
        <v>Open</v>
      </c>
      <c r="N260" s="22"/>
      <c r="O260" s="21">
        <f t="shared" ca="1" si="13"/>
        <v>46113</v>
      </c>
      <c r="P260" s="21" t="str">
        <f t="shared" ca="1" si="14"/>
        <v>YES</v>
      </c>
      <c r="Q260" s="23">
        <f>Weekly_Inspections!$AW260</f>
        <v>0</v>
      </c>
    </row>
    <row r="261" spans="1:17" ht="15" customHeight="1" x14ac:dyDescent="0.2">
      <c r="A261" s="21" t="str">
        <f>IF(Weekly_Inspections!$B261="","",Weekly_Inspections!$A261&amp;"-A1")</f>
        <v/>
      </c>
      <c r="B261" s="22">
        <f>Weekly_Inspections!$B261</f>
        <v>0</v>
      </c>
      <c r="C261" s="23">
        <f>Weekly_Inspections!$E261</f>
        <v>0</v>
      </c>
      <c r="D261" s="23">
        <f>Weekly_Inspections!$F261</f>
        <v>0</v>
      </c>
      <c r="E261" s="21" t="str">
        <f>Weekly_Inspections!$H261</f>
        <v/>
      </c>
      <c r="F261" s="23">
        <f>IF(Weekly_Inspections!$AX261&lt;&gt;"",Weekly_Inspections!$AX261,IF(Weekly_Inspections!$AY261&lt;&gt;"",Weekly_Inspections!$AY261,IF(Weekly_Inspections!$AZ261&lt;&gt;"",Weekly_Inspections!$AZ261,IF(Weekly_Inspections!$BA261&lt;&gt;"",Weekly_Inspections!$BA261,IF(Weekly_Inspections!$BB261&lt;&gt;"",Weekly_Inspections!$BB261,Weekly_Inspections!$R261)))))</f>
        <v>0</v>
      </c>
      <c r="G261" s="23" t="str">
        <f>IF(OR(Weekly_Inspections!$AQ261&lt;&gt;"",Weekly_Inspections!$AR261&lt;&gt;"",Weekly_Inspections!$AS261&lt;&gt;""),Weekly_Inspections!$AQ261,"")</f>
        <v/>
      </c>
      <c r="H261" s="23">
        <f>Weekly_Inspections!$AP261</f>
        <v>0</v>
      </c>
      <c r="I261" s="23">
        <f>Weekly_Inspections!$AR261</f>
        <v>0</v>
      </c>
      <c r="J261" s="23">
        <f>Weekly_Inspections!$AS261</f>
        <v>0</v>
      </c>
      <c r="K261" s="23">
        <f>Weekly_Inspections!$AU261</f>
        <v>0</v>
      </c>
      <c r="L261" s="22">
        <f>Weekly_Inspections!$AV261</f>
        <v>0</v>
      </c>
      <c r="M261" s="23" t="str">
        <f t="shared" si="12"/>
        <v>Open</v>
      </c>
      <c r="N261" s="22"/>
      <c r="O261" s="21">
        <f t="shared" ca="1" si="13"/>
        <v>46113</v>
      </c>
      <c r="P261" s="21" t="str">
        <f t="shared" ca="1" si="14"/>
        <v>YES</v>
      </c>
      <c r="Q261" s="23">
        <f>Weekly_Inspections!$AW261</f>
        <v>0</v>
      </c>
    </row>
    <row r="262" spans="1:17" ht="15" customHeight="1" x14ac:dyDescent="0.2">
      <c r="A262" s="21" t="str">
        <f>IF(Weekly_Inspections!$B262="","",Weekly_Inspections!$A262&amp;"-A1")</f>
        <v/>
      </c>
      <c r="B262" s="22">
        <f>Weekly_Inspections!$B262</f>
        <v>0</v>
      </c>
      <c r="C262" s="23">
        <f>Weekly_Inspections!$E262</f>
        <v>0</v>
      </c>
      <c r="D262" s="23">
        <f>Weekly_Inspections!$F262</f>
        <v>0</v>
      </c>
      <c r="E262" s="21" t="str">
        <f>Weekly_Inspections!$H262</f>
        <v/>
      </c>
      <c r="F262" s="23">
        <f>IF(Weekly_Inspections!$AX262&lt;&gt;"",Weekly_Inspections!$AX262,IF(Weekly_Inspections!$AY262&lt;&gt;"",Weekly_Inspections!$AY262,IF(Weekly_Inspections!$AZ262&lt;&gt;"",Weekly_Inspections!$AZ262,IF(Weekly_Inspections!$BA262&lt;&gt;"",Weekly_Inspections!$BA262,IF(Weekly_Inspections!$BB262&lt;&gt;"",Weekly_Inspections!$BB262,Weekly_Inspections!$R262)))))</f>
        <v>0</v>
      </c>
      <c r="G262" s="23" t="str">
        <f>IF(OR(Weekly_Inspections!$AQ262&lt;&gt;"",Weekly_Inspections!$AR262&lt;&gt;"",Weekly_Inspections!$AS262&lt;&gt;""),Weekly_Inspections!$AQ262,"")</f>
        <v/>
      </c>
      <c r="H262" s="23">
        <f>Weekly_Inspections!$AP262</f>
        <v>0</v>
      </c>
      <c r="I262" s="23">
        <f>Weekly_Inspections!$AR262</f>
        <v>0</v>
      </c>
      <c r="J262" s="23">
        <f>Weekly_Inspections!$AS262</f>
        <v>0</v>
      </c>
      <c r="K262" s="23">
        <f>Weekly_Inspections!$AU262</f>
        <v>0</v>
      </c>
      <c r="L262" s="22">
        <f>Weekly_Inspections!$AV262</f>
        <v>0</v>
      </c>
      <c r="M262" s="23" t="str">
        <f t="shared" si="12"/>
        <v>Open</v>
      </c>
      <c r="N262" s="22"/>
      <c r="O262" s="21">
        <f t="shared" ca="1" si="13"/>
        <v>46113</v>
      </c>
      <c r="P262" s="21" t="str">
        <f t="shared" ca="1" si="14"/>
        <v>YES</v>
      </c>
      <c r="Q262" s="23">
        <f>Weekly_Inspections!$AW262</f>
        <v>0</v>
      </c>
    </row>
    <row r="263" spans="1:17" ht="15" customHeight="1" x14ac:dyDescent="0.2">
      <c r="A263" s="21" t="str">
        <f>IF(Weekly_Inspections!$B263="","",Weekly_Inspections!$A263&amp;"-A1")</f>
        <v/>
      </c>
      <c r="B263" s="22">
        <f>Weekly_Inspections!$B263</f>
        <v>0</v>
      </c>
      <c r="C263" s="23">
        <f>Weekly_Inspections!$E263</f>
        <v>0</v>
      </c>
      <c r="D263" s="23">
        <f>Weekly_Inspections!$F263</f>
        <v>0</v>
      </c>
      <c r="E263" s="21" t="str">
        <f>Weekly_Inspections!$H263</f>
        <v/>
      </c>
      <c r="F263" s="23">
        <f>IF(Weekly_Inspections!$AX263&lt;&gt;"",Weekly_Inspections!$AX263,IF(Weekly_Inspections!$AY263&lt;&gt;"",Weekly_Inspections!$AY263,IF(Weekly_Inspections!$AZ263&lt;&gt;"",Weekly_Inspections!$AZ263,IF(Weekly_Inspections!$BA263&lt;&gt;"",Weekly_Inspections!$BA263,IF(Weekly_Inspections!$BB263&lt;&gt;"",Weekly_Inspections!$BB263,Weekly_Inspections!$R263)))))</f>
        <v>0</v>
      </c>
      <c r="G263" s="23" t="str">
        <f>IF(OR(Weekly_Inspections!$AQ263&lt;&gt;"",Weekly_Inspections!$AR263&lt;&gt;"",Weekly_Inspections!$AS263&lt;&gt;""),Weekly_Inspections!$AQ263,"")</f>
        <v/>
      </c>
      <c r="H263" s="23">
        <f>Weekly_Inspections!$AP263</f>
        <v>0</v>
      </c>
      <c r="I263" s="23">
        <f>Weekly_Inspections!$AR263</f>
        <v>0</v>
      </c>
      <c r="J263" s="23">
        <f>Weekly_Inspections!$AS263</f>
        <v>0</v>
      </c>
      <c r="K263" s="23">
        <f>Weekly_Inspections!$AU263</f>
        <v>0</v>
      </c>
      <c r="L263" s="22">
        <f>Weekly_Inspections!$AV263</f>
        <v>0</v>
      </c>
      <c r="M263" s="23" t="str">
        <f t="shared" si="12"/>
        <v>Open</v>
      </c>
      <c r="N263" s="22"/>
      <c r="O263" s="21">
        <f t="shared" ca="1" si="13"/>
        <v>46113</v>
      </c>
      <c r="P263" s="21" t="str">
        <f t="shared" ca="1" si="14"/>
        <v>YES</v>
      </c>
      <c r="Q263" s="23">
        <f>Weekly_Inspections!$AW263</f>
        <v>0</v>
      </c>
    </row>
    <row r="264" spans="1:17" ht="15" customHeight="1" x14ac:dyDescent="0.2">
      <c r="A264" s="21" t="str">
        <f>IF(Weekly_Inspections!$B264="","",Weekly_Inspections!$A264&amp;"-A1")</f>
        <v/>
      </c>
      <c r="B264" s="22">
        <f>Weekly_Inspections!$B264</f>
        <v>0</v>
      </c>
      <c r="C264" s="23">
        <f>Weekly_Inspections!$E264</f>
        <v>0</v>
      </c>
      <c r="D264" s="23">
        <f>Weekly_Inspections!$F264</f>
        <v>0</v>
      </c>
      <c r="E264" s="21" t="str">
        <f>Weekly_Inspections!$H264</f>
        <v/>
      </c>
      <c r="F264" s="23">
        <f>IF(Weekly_Inspections!$AX264&lt;&gt;"",Weekly_Inspections!$AX264,IF(Weekly_Inspections!$AY264&lt;&gt;"",Weekly_Inspections!$AY264,IF(Weekly_Inspections!$AZ264&lt;&gt;"",Weekly_Inspections!$AZ264,IF(Weekly_Inspections!$BA264&lt;&gt;"",Weekly_Inspections!$BA264,IF(Weekly_Inspections!$BB264&lt;&gt;"",Weekly_Inspections!$BB264,Weekly_Inspections!$R264)))))</f>
        <v>0</v>
      </c>
      <c r="G264" s="23" t="str">
        <f>IF(OR(Weekly_Inspections!$AQ264&lt;&gt;"",Weekly_Inspections!$AR264&lt;&gt;"",Weekly_Inspections!$AS264&lt;&gt;""),Weekly_Inspections!$AQ264,"")</f>
        <v/>
      </c>
      <c r="H264" s="23">
        <f>Weekly_Inspections!$AP264</f>
        <v>0</v>
      </c>
      <c r="I264" s="23">
        <f>Weekly_Inspections!$AR264</f>
        <v>0</v>
      </c>
      <c r="J264" s="23">
        <f>Weekly_Inspections!$AS264</f>
        <v>0</v>
      </c>
      <c r="K264" s="23">
        <f>Weekly_Inspections!$AU264</f>
        <v>0</v>
      </c>
      <c r="L264" s="22">
        <f>Weekly_Inspections!$AV264</f>
        <v>0</v>
      </c>
      <c r="M264" s="23" t="str">
        <f t="shared" si="12"/>
        <v>Open</v>
      </c>
      <c r="N264" s="22"/>
      <c r="O264" s="21">
        <f t="shared" ca="1" si="13"/>
        <v>46113</v>
      </c>
      <c r="P264" s="21" t="str">
        <f t="shared" ca="1" si="14"/>
        <v>YES</v>
      </c>
      <c r="Q264" s="23">
        <f>Weekly_Inspections!$AW264</f>
        <v>0</v>
      </c>
    </row>
    <row r="265" spans="1:17" ht="15" customHeight="1" x14ac:dyDescent="0.2">
      <c r="A265" s="21" t="str">
        <f>IF(Weekly_Inspections!$B265="","",Weekly_Inspections!$A265&amp;"-A1")</f>
        <v/>
      </c>
      <c r="B265" s="22">
        <f>Weekly_Inspections!$B265</f>
        <v>0</v>
      </c>
      <c r="C265" s="23">
        <f>Weekly_Inspections!$E265</f>
        <v>0</v>
      </c>
      <c r="D265" s="23">
        <f>Weekly_Inspections!$F265</f>
        <v>0</v>
      </c>
      <c r="E265" s="21" t="str">
        <f>Weekly_Inspections!$H265</f>
        <v/>
      </c>
      <c r="F265" s="23">
        <f>IF(Weekly_Inspections!$AX265&lt;&gt;"",Weekly_Inspections!$AX265,IF(Weekly_Inspections!$AY265&lt;&gt;"",Weekly_Inspections!$AY265,IF(Weekly_Inspections!$AZ265&lt;&gt;"",Weekly_Inspections!$AZ265,IF(Weekly_Inspections!$BA265&lt;&gt;"",Weekly_Inspections!$BA265,IF(Weekly_Inspections!$BB265&lt;&gt;"",Weekly_Inspections!$BB265,Weekly_Inspections!$R265)))))</f>
        <v>0</v>
      </c>
      <c r="G265" s="23" t="str">
        <f>IF(OR(Weekly_Inspections!$AQ265&lt;&gt;"",Weekly_Inspections!$AR265&lt;&gt;"",Weekly_Inspections!$AS265&lt;&gt;""),Weekly_Inspections!$AQ265,"")</f>
        <v/>
      </c>
      <c r="H265" s="23">
        <f>Weekly_Inspections!$AP265</f>
        <v>0</v>
      </c>
      <c r="I265" s="23">
        <f>Weekly_Inspections!$AR265</f>
        <v>0</v>
      </c>
      <c r="J265" s="23">
        <f>Weekly_Inspections!$AS265</f>
        <v>0</v>
      </c>
      <c r="K265" s="23">
        <f>Weekly_Inspections!$AU265</f>
        <v>0</v>
      </c>
      <c r="L265" s="22">
        <f>Weekly_Inspections!$AV265</f>
        <v>0</v>
      </c>
      <c r="M265" s="23" t="str">
        <f t="shared" si="12"/>
        <v>Open</v>
      </c>
      <c r="N265" s="22"/>
      <c r="O265" s="21">
        <f t="shared" ca="1" si="13"/>
        <v>46113</v>
      </c>
      <c r="P265" s="21" t="str">
        <f t="shared" ca="1" si="14"/>
        <v>YES</v>
      </c>
      <c r="Q265" s="23">
        <f>Weekly_Inspections!$AW265</f>
        <v>0</v>
      </c>
    </row>
    <row r="266" spans="1:17" ht="15" customHeight="1" x14ac:dyDescent="0.2">
      <c r="A266" s="21" t="str">
        <f>IF(Weekly_Inspections!$B266="","",Weekly_Inspections!$A266&amp;"-A1")</f>
        <v/>
      </c>
      <c r="B266" s="22">
        <f>Weekly_Inspections!$B266</f>
        <v>0</v>
      </c>
      <c r="C266" s="23">
        <f>Weekly_Inspections!$E266</f>
        <v>0</v>
      </c>
      <c r="D266" s="23">
        <f>Weekly_Inspections!$F266</f>
        <v>0</v>
      </c>
      <c r="E266" s="21" t="str">
        <f>Weekly_Inspections!$H266</f>
        <v/>
      </c>
      <c r="F266" s="23">
        <f>IF(Weekly_Inspections!$AX266&lt;&gt;"",Weekly_Inspections!$AX266,IF(Weekly_Inspections!$AY266&lt;&gt;"",Weekly_Inspections!$AY266,IF(Weekly_Inspections!$AZ266&lt;&gt;"",Weekly_Inspections!$AZ266,IF(Weekly_Inspections!$BA266&lt;&gt;"",Weekly_Inspections!$BA266,IF(Weekly_Inspections!$BB266&lt;&gt;"",Weekly_Inspections!$BB266,Weekly_Inspections!$R266)))))</f>
        <v>0</v>
      </c>
      <c r="G266" s="23" t="str">
        <f>IF(OR(Weekly_Inspections!$AQ266&lt;&gt;"",Weekly_Inspections!$AR266&lt;&gt;"",Weekly_Inspections!$AS266&lt;&gt;""),Weekly_Inspections!$AQ266,"")</f>
        <v/>
      </c>
      <c r="H266" s="23">
        <f>Weekly_Inspections!$AP266</f>
        <v>0</v>
      </c>
      <c r="I266" s="23">
        <f>Weekly_Inspections!$AR266</f>
        <v>0</v>
      </c>
      <c r="J266" s="23">
        <f>Weekly_Inspections!$AS266</f>
        <v>0</v>
      </c>
      <c r="K266" s="23">
        <f>Weekly_Inspections!$AU266</f>
        <v>0</v>
      </c>
      <c r="L266" s="22">
        <f>Weekly_Inspections!$AV266</f>
        <v>0</v>
      </c>
      <c r="M266" s="23" t="str">
        <f t="shared" si="12"/>
        <v>Open</v>
      </c>
      <c r="N266" s="22"/>
      <c r="O266" s="21">
        <f t="shared" ca="1" si="13"/>
        <v>46113</v>
      </c>
      <c r="P266" s="21" t="str">
        <f t="shared" ca="1" si="14"/>
        <v>YES</v>
      </c>
      <c r="Q266" s="23">
        <f>Weekly_Inspections!$AW266</f>
        <v>0</v>
      </c>
    </row>
    <row r="267" spans="1:17" ht="15" customHeight="1" x14ac:dyDescent="0.2">
      <c r="A267" s="21" t="str">
        <f>IF(Weekly_Inspections!$B267="","",Weekly_Inspections!$A267&amp;"-A1")</f>
        <v/>
      </c>
      <c r="B267" s="22">
        <f>Weekly_Inspections!$B267</f>
        <v>0</v>
      </c>
      <c r="C267" s="23">
        <f>Weekly_Inspections!$E267</f>
        <v>0</v>
      </c>
      <c r="D267" s="23">
        <f>Weekly_Inspections!$F267</f>
        <v>0</v>
      </c>
      <c r="E267" s="21" t="str">
        <f>Weekly_Inspections!$H267</f>
        <v/>
      </c>
      <c r="F267" s="23">
        <f>IF(Weekly_Inspections!$AX267&lt;&gt;"",Weekly_Inspections!$AX267,IF(Weekly_Inspections!$AY267&lt;&gt;"",Weekly_Inspections!$AY267,IF(Weekly_Inspections!$AZ267&lt;&gt;"",Weekly_Inspections!$AZ267,IF(Weekly_Inspections!$BA267&lt;&gt;"",Weekly_Inspections!$BA267,IF(Weekly_Inspections!$BB267&lt;&gt;"",Weekly_Inspections!$BB267,Weekly_Inspections!$R267)))))</f>
        <v>0</v>
      </c>
      <c r="G267" s="23" t="str">
        <f>IF(OR(Weekly_Inspections!$AQ267&lt;&gt;"",Weekly_Inspections!$AR267&lt;&gt;"",Weekly_Inspections!$AS267&lt;&gt;""),Weekly_Inspections!$AQ267,"")</f>
        <v/>
      </c>
      <c r="H267" s="23">
        <f>Weekly_Inspections!$AP267</f>
        <v>0</v>
      </c>
      <c r="I267" s="23">
        <f>Weekly_Inspections!$AR267</f>
        <v>0</v>
      </c>
      <c r="J267" s="23">
        <f>Weekly_Inspections!$AS267</f>
        <v>0</v>
      </c>
      <c r="K267" s="23">
        <f>Weekly_Inspections!$AU267</f>
        <v>0</v>
      </c>
      <c r="L267" s="22">
        <f>Weekly_Inspections!$AV267</f>
        <v>0</v>
      </c>
      <c r="M267" s="23" t="str">
        <f t="shared" si="12"/>
        <v>Open</v>
      </c>
      <c r="N267" s="22"/>
      <c r="O267" s="21">
        <f t="shared" ca="1" si="13"/>
        <v>46113</v>
      </c>
      <c r="P267" s="21" t="str">
        <f t="shared" ca="1" si="14"/>
        <v>YES</v>
      </c>
      <c r="Q267" s="23">
        <f>Weekly_Inspections!$AW267</f>
        <v>0</v>
      </c>
    </row>
    <row r="268" spans="1:17" ht="15" customHeight="1" x14ac:dyDescent="0.2">
      <c r="A268" s="21" t="str">
        <f>IF(Weekly_Inspections!$B268="","",Weekly_Inspections!$A268&amp;"-A1")</f>
        <v/>
      </c>
      <c r="B268" s="22">
        <f>Weekly_Inspections!$B268</f>
        <v>0</v>
      </c>
      <c r="C268" s="23">
        <f>Weekly_Inspections!$E268</f>
        <v>0</v>
      </c>
      <c r="D268" s="23">
        <f>Weekly_Inspections!$F268</f>
        <v>0</v>
      </c>
      <c r="E268" s="21" t="str">
        <f>Weekly_Inspections!$H268</f>
        <v/>
      </c>
      <c r="F268" s="23">
        <f>IF(Weekly_Inspections!$AX268&lt;&gt;"",Weekly_Inspections!$AX268,IF(Weekly_Inspections!$AY268&lt;&gt;"",Weekly_Inspections!$AY268,IF(Weekly_Inspections!$AZ268&lt;&gt;"",Weekly_Inspections!$AZ268,IF(Weekly_Inspections!$BA268&lt;&gt;"",Weekly_Inspections!$BA268,IF(Weekly_Inspections!$BB268&lt;&gt;"",Weekly_Inspections!$BB268,Weekly_Inspections!$R268)))))</f>
        <v>0</v>
      </c>
      <c r="G268" s="23" t="str">
        <f>IF(OR(Weekly_Inspections!$AQ268&lt;&gt;"",Weekly_Inspections!$AR268&lt;&gt;"",Weekly_Inspections!$AS268&lt;&gt;""),Weekly_Inspections!$AQ268,"")</f>
        <v/>
      </c>
      <c r="H268" s="23">
        <f>Weekly_Inspections!$AP268</f>
        <v>0</v>
      </c>
      <c r="I268" s="23">
        <f>Weekly_Inspections!$AR268</f>
        <v>0</v>
      </c>
      <c r="J268" s="23">
        <f>Weekly_Inspections!$AS268</f>
        <v>0</v>
      </c>
      <c r="K268" s="23">
        <f>Weekly_Inspections!$AU268</f>
        <v>0</v>
      </c>
      <c r="L268" s="22">
        <f>Weekly_Inspections!$AV268</f>
        <v>0</v>
      </c>
      <c r="M268" s="23" t="str">
        <f t="shared" si="12"/>
        <v>Open</v>
      </c>
      <c r="N268" s="22"/>
      <c r="O268" s="21">
        <f t="shared" ca="1" si="13"/>
        <v>46113</v>
      </c>
      <c r="P268" s="21" t="str">
        <f t="shared" ca="1" si="14"/>
        <v>YES</v>
      </c>
      <c r="Q268" s="23">
        <f>Weekly_Inspections!$AW268</f>
        <v>0</v>
      </c>
    </row>
    <row r="269" spans="1:17" ht="15" customHeight="1" x14ac:dyDescent="0.2">
      <c r="A269" s="21" t="str">
        <f>IF(Weekly_Inspections!$B269="","",Weekly_Inspections!$A269&amp;"-A1")</f>
        <v/>
      </c>
      <c r="B269" s="22">
        <f>Weekly_Inspections!$B269</f>
        <v>0</v>
      </c>
      <c r="C269" s="23">
        <f>Weekly_Inspections!$E269</f>
        <v>0</v>
      </c>
      <c r="D269" s="23">
        <f>Weekly_Inspections!$F269</f>
        <v>0</v>
      </c>
      <c r="E269" s="21" t="str">
        <f>Weekly_Inspections!$H269</f>
        <v/>
      </c>
      <c r="F269" s="23">
        <f>IF(Weekly_Inspections!$AX269&lt;&gt;"",Weekly_Inspections!$AX269,IF(Weekly_Inspections!$AY269&lt;&gt;"",Weekly_Inspections!$AY269,IF(Weekly_Inspections!$AZ269&lt;&gt;"",Weekly_Inspections!$AZ269,IF(Weekly_Inspections!$BA269&lt;&gt;"",Weekly_Inspections!$BA269,IF(Weekly_Inspections!$BB269&lt;&gt;"",Weekly_Inspections!$BB269,Weekly_Inspections!$R269)))))</f>
        <v>0</v>
      </c>
      <c r="G269" s="23" t="str">
        <f>IF(OR(Weekly_Inspections!$AQ269&lt;&gt;"",Weekly_Inspections!$AR269&lt;&gt;"",Weekly_Inspections!$AS269&lt;&gt;""),Weekly_Inspections!$AQ269,"")</f>
        <v/>
      </c>
      <c r="H269" s="23">
        <f>Weekly_Inspections!$AP269</f>
        <v>0</v>
      </c>
      <c r="I269" s="23">
        <f>Weekly_Inspections!$AR269</f>
        <v>0</v>
      </c>
      <c r="J269" s="23">
        <f>Weekly_Inspections!$AS269</f>
        <v>0</v>
      </c>
      <c r="K269" s="23">
        <f>Weekly_Inspections!$AU269</f>
        <v>0</v>
      </c>
      <c r="L269" s="22">
        <f>Weekly_Inspections!$AV269</f>
        <v>0</v>
      </c>
      <c r="M269" s="23" t="str">
        <f t="shared" si="12"/>
        <v>Open</v>
      </c>
      <c r="N269" s="22"/>
      <c r="O269" s="21">
        <f t="shared" ca="1" si="13"/>
        <v>46113</v>
      </c>
      <c r="P269" s="21" t="str">
        <f t="shared" ca="1" si="14"/>
        <v>YES</v>
      </c>
      <c r="Q269" s="23">
        <f>Weekly_Inspections!$AW269</f>
        <v>0</v>
      </c>
    </row>
    <row r="270" spans="1:17" ht="15" customHeight="1" x14ac:dyDescent="0.2">
      <c r="A270" s="21" t="str">
        <f>IF(Weekly_Inspections!$B270="","",Weekly_Inspections!$A270&amp;"-A1")</f>
        <v/>
      </c>
      <c r="B270" s="22">
        <f>Weekly_Inspections!$B270</f>
        <v>0</v>
      </c>
      <c r="C270" s="23">
        <f>Weekly_Inspections!$E270</f>
        <v>0</v>
      </c>
      <c r="D270" s="23">
        <f>Weekly_Inspections!$F270</f>
        <v>0</v>
      </c>
      <c r="E270" s="21" t="str">
        <f>Weekly_Inspections!$H270</f>
        <v/>
      </c>
      <c r="F270" s="23">
        <f>IF(Weekly_Inspections!$AX270&lt;&gt;"",Weekly_Inspections!$AX270,IF(Weekly_Inspections!$AY270&lt;&gt;"",Weekly_Inspections!$AY270,IF(Weekly_Inspections!$AZ270&lt;&gt;"",Weekly_Inspections!$AZ270,IF(Weekly_Inspections!$BA270&lt;&gt;"",Weekly_Inspections!$BA270,IF(Weekly_Inspections!$BB270&lt;&gt;"",Weekly_Inspections!$BB270,Weekly_Inspections!$R270)))))</f>
        <v>0</v>
      </c>
      <c r="G270" s="23" t="str">
        <f>IF(OR(Weekly_Inspections!$AQ270&lt;&gt;"",Weekly_Inspections!$AR270&lt;&gt;"",Weekly_Inspections!$AS270&lt;&gt;""),Weekly_Inspections!$AQ270,"")</f>
        <v/>
      </c>
      <c r="H270" s="23">
        <f>Weekly_Inspections!$AP270</f>
        <v>0</v>
      </c>
      <c r="I270" s="23">
        <f>Weekly_Inspections!$AR270</f>
        <v>0</v>
      </c>
      <c r="J270" s="23">
        <f>Weekly_Inspections!$AS270</f>
        <v>0</v>
      </c>
      <c r="K270" s="23">
        <f>Weekly_Inspections!$AU270</f>
        <v>0</v>
      </c>
      <c r="L270" s="22">
        <f>Weekly_Inspections!$AV270</f>
        <v>0</v>
      </c>
      <c r="M270" s="23" t="str">
        <f t="shared" si="12"/>
        <v>Open</v>
      </c>
      <c r="N270" s="22"/>
      <c r="O270" s="21">
        <f t="shared" ca="1" si="13"/>
        <v>46113</v>
      </c>
      <c r="P270" s="21" t="str">
        <f t="shared" ca="1" si="14"/>
        <v>YES</v>
      </c>
      <c r="Q270" s="23">
        <f>Weekly_Inspections!$AW270</f>
        <v>0</v>
      </c>
    </row>
    <row r="271" spans="1:17" ht="15" customHeight="1" x14ac:dyDescent="0.2">
      <c r="A271" s="21" t="str">
        <f>IF(Weekly_Inspections!$B271="","",Weekly_Inspections!$A271&amp;"-A1")</f>
        <v/>
      </c>
      <c r="B271" s="22">
        <f>Weekly_Inspections!$B271</f>
        <v>0</v>
      </c>
      <c r="C271" s="23">
        <f>Weekly_Inspections!$E271</f>
        <v>0</v>
      </c>
      <c r="D271" s="23">
        <f>Weekly_Inspections!$F271</f>
        <v>0</v>
      </c>
      <c r="E271" s="21" t="str">
        <f>Weekly_Inspections!$H271</f>
        <v/>
      </c>
      <c r="F271" s="23">
        <f>IF(Weekly_Inspections!$AX271&lt;&gt;"",Weekly_Inspections!$AX271,IF(Weekly_Inspections!$AY271&lt;&gt;"",Weekly_Inspections!$AY271,IF(Weekly_Inspections!$AZ271&lt;&gt;"",Weekly_Inspections!$AZ271,IF(Weekly_Inspections!$BA271&lt;&gt;"",Weekly_Inspections!$BA271,IF(Weekly_Inspections!$BB271&lt;&gt;"",Weekly_Inspections!$BB271,Weekly_Inspections!$R271)))))</f>
        <v>0</v>
      </c>
      <c r="G271" s="23" t="str">
        <f>IF(OR(Weekly_Inspections!$AQ271&lt;&gt;"",Weekly_Inspections!$AR271&lt;&gt;"",Weekly_Inspections!$AS271&lt;&gt;""),Weekly_Inspections!$AQ271,"")</f>
        <v/>
      </c>
      <c r="H271" s="23">
        <f>Weekly_Inspections!$AP271</f>
        <v>0</v>
      </c>
      <c r="I271" s="23">
        <f>Weekly_Inspections!$AR271</f>
        <v>0</v>
      </c>
      <c r="J271" s="23">
        <f>Weekly_Inspections!$AS271</f>
        <v>0</v>
      </c>
      <c r="K271" s="23">
        <f>Weekly_Inspections!$AU271</f>
        <v>0</v>
      </c>
      <c r="L271" s="22">
        <f>Weekly_Inspections!$AV271</f>
        <v>0</v>
      </c>
      <c r="M271" s="23" t="str">
        <f t="shared" si="12"/>
        <v>Open</v>
      </c>
      <c r="N271" s="22"/>
      <c r="O271" s="21">
        <f t="shared" ca="1" si="13"/>
        <v>46113</v>
      </c>
      <c r="P271" s="21" t="str">
        <f t="shared" ca="1" si="14"/>
        <v>YES</v>
      </c>
      <c r="Q271" s="23">
        <f>Weekly_Inspections!$AW271</f>
        <v>0</v>
      </c>
    </row>
    <row r="272" spans="1:17" ht="15" customHeight="1" x14ac:dyDescent="0.2">
      <c r="A272" s="21" t="str">
        <f>IF(Weekly_Inspections!$B272="","",Weekly_Inspections!$A272&amp;"-A1")</f>
        <v/>
      </c>
      <c r="B272" s="22">
        <f>Weekly_Inspections!$B272</f>
        <v>0</v>
      </c>
      <c r="C272" s="23">
        <f>Weekly_Inspections!$E272</f>
        <v>0</v>
      </c>
      <c r="D272" s="23">
        <f>Weekly_Inspections!$F272</f>
        <v>0</v>
      </c>
      <c r="E272" s="21" t="str">
        <f>Weekly_Inspections!$H272</f>
        <v/>
      </c>
      <c r="F272" s="23">
        <f>IF(Weekly_Inspections!$AX272&lt;&gt;"",Weekly_Inspections!$AX272,IF(Weekly_Inspections!$AY272&lt;&gt;"",Weekly_Inspections!$AY272,IF(Weekly_Inspections!$AZ272&lt;&gt;"",Weekly_Inspections!$AZ272,IF(Weekly_Inspections!$BA272&lt;&gt;"",Weekly_Inspections!$BA272,IF(Weekly_Inspections!$BB272&lt;&gt;"",Weekly_Inspections!$BB272,Weekly_Inspections!$R272)))))</f>
        <v>0</v>
      </c>
      <c r="G272" s="23" t="str">
        <f>IF(OR(Weekly_Inspections!$AQ272&lt;&gt;"",Weekly_Inspections!$AR272&lt;&gt;"",Weekly_Inspections!$AS272&lt;&gt;""),Weekly_Inspections!$AQ272,"")</f>
        <v/>
      </c>
      <c r="H272" s="23">
        <f>Weekly_Inspections!$AP272</f>
        <v>0</v>
      </c>
      <c r="I272" s="23">
        <f>Weekly_Inspections!$AR272</f>
        <v>0</v>
      </c>
      <c r="J272" s="23">
        <f>Weekly_Inspections!$AS272</f>
        <v>0</v>
      </c>
      <c r="K272" s="23">
        <f>Weekly_Inspections!$AU272</f>
        <v>0</v>
      </c>
      <c r="L272" s="22">
        <f>Weekly_Inspections!$AV272</f>
        <v>0</v>
      </c>
      <c r="M272" s="23" t="str">
        <f t="shared" si="12"/>
        <v>Open</v>
      </c>
      <c r="N272" s="22"/>
      <c r="O272" s="21">
        <f t="shared" ca="1" si="13"/>
        <v>46113</v>
      </c>
      <c r="P272" s="21" t="str">
        <f t="shared" ca="1" si="14"/>
        <v>YES</v>
      </c>
      <c r="Q272" s="23">
        <f>Weekly_Inspections!$AW272</f>
        <v>0</v>
      </c>
    </row>
    <row r="273" spans="1:17" ht="15" customHeight="1" x14ac:dyDescent="0.2">
      <c r="A273" s="21" t="str">
        <f>IF(Weekly_Inspections!$B273="","",Weekly_Inspections!$A273&amp;"-A1")</f>
        <v/>
      </c>
      <c r="B273" s="22">
        <f>Weekly_Inspections!$B273</f>
        <v>0</v>
      </c>
      <c r="C273" s="23">
        <f>Weekly_Inspections!$E273</f>
        <v>0</v>
      </c>
      <c r="D273" s="23">
        <f>Weekly_Inspections!$F273</f>
        <v>0</v>
      </c>
      <c r="E273" s="21" t="str">
        <f>Weekly_Inspections!$H273</f>
        <v/>
      </c>
      <c r="F273" s="23">
        <f>IF(Weekly_Inspections!$AX273&lt;&gt;"",Weekly_Inspections!$AX273,IF(Weekly_Inspections!$AY273&lt;&gt;"",Weekly_Inspections!$AY273,IF(Weekly_Inspections!$AZ273&lt;&gt;"",Weekly_Inspections!$AZ273,IF(Weekly_Inspections!$BA273&lt;&gt;"",Weekly_Inspections!$BA273,IF(Weekly_Inspections!$BB273&lt;&gt;"",Weekly_Inspections!$BB273,Weekly_Inspections!$R273)))))</f>
        <v>0</v>
      </c>
      <c r="G273" s="23" t="str">
        <f>IF(OR(Weekly_Inspections!$AQ273&lt;&gt;"",Weekly_Inspections!$AR273&lt;&gt;"",Weekly_Inspections!$AS273&lt;&gt;""),Weekly_Inspections!$AQ273,"")</f>
        <v/>
      </c>
      <c r="H273" s="23">
        <f>Weekly_Inspections!$AP273</f>
        <v>0</v>
      </c>
      <c r="I273" s="23">
        <f>Weekly_Inspections!$AR273</f>
        <v>0</v>
      </c>
      <c r="J273" s="23">
        <f>Weekly_Inspections!$AS273</f>
        <v>0</v>
      </c>
      <c r="K273" s="23">
        <f>Weekly_Inspections!$AU273</f>
        <v>0</v>
      </c>
      <c r="L273" s="22">
        <f>Weekly_Inspections!$AV273</f>
        <v>0</v>
      </c>
      <c r="M273" s="23" t="str">
        <f t="shared" si="12"/>
        <v>Open</v>
      </c>
      <c r="N273" s="22"/>
      <c r="O273" s="21">
        <f t="shared" ca="1" si="13"/>
        <v>46113</v>
      </c>
      <c r="P273" s="21" t="str">
        <f t="shared" ca="1" si="14"/>
        <v>YES</v>
      </c>
      <c r="Q273" s="23">
        <f>Weekly_Inspections!$AW273</f>
        <v>0</v>
      </c>
    </row>
    <row r="274" spans="1:17" ht="15" customHeight="1" x14ac:dyDescent="0.2">
      <c r="A274" s="21" t="str">
        <f>IF(Weekly_Inspections!$B274="","",Weekly_Inspections!$A274&amp;"-A1")</f>
        <v/>
      </c>
      <c r="B274" s="22">
        <f>Weekly_Inspections!$B274</f>
        <v>0</v>
      </c>
      <c r="C274" s="23">
        <f>Weekly_Inspections!$E274</f>
        <v>0</v>
      </c>
      <c r="D274" s="23">
        <f>Weekly_Inspections!$F274</f>
        <v>0</v>
      </c>
      <c r="E274" s="21" t="str">
        <f>Weekly_Inspections!$H274</f>
        <v/>
      </c>
      <c r="F274" s="23">
        <f>IF(Weekly_Inspections!$AX274&lt;&gt;"",Weekly_Inspections!$AX274,IF(Weekly_Inspections!$AY274&lt;&gt;"",Weekly_Inspections!$AY274,IF(Weekly_Inspections!$AZ274&lt;&gt;"",Weekly_Inspections!$AZ274,IF(Weekly_Inspections!$BA274&lt;&gt;"",Weekly_Inspections!$BA274,IF(Weekly_Inspections!$BB274&lt;&gt;"",Weekly_Inspections!$BB274,Weekly_Inspections!$R274)))))</f>
        <v>0</v>
      </c>
      <c r="G274" s="23" t="str">
        <f>IF(OR(Weekly_Inspections!$AQ274&lt;&gt;"",Weekly_Inspections!$AR274&lt;&gt;"",Weekly_Inspections!$AS274&lt;&gt;""),Weekly_Inspections!$AQ274,"")</f>
        <v/>
      </c>
      <c r="H274" s="23">
        <f>Weekly_Inspections!$AP274</f>
        <v>0</v>
      </c>
      <c r="I274" s="23">
        <f>Weekly_Inspections!$AR274</f>
        <v>0</v>
      </c>
      <c r="J274" s="23">
        <f>Weekly_Inspections!$AS274</f>
        <v>0</v>
      </c>
      <c r="K274" s="23">
        <f>Weekly_Inspections!$AU274</f>
        <v>0</v>
      </c>
      <c r="L274" s="22">
        <f>Weekly_Inspections!$AV274</f>
        <v>0</v>
      </c>
      <c r="M274" s="23" t="str">
        <f t="shared" si="12"/>
        <v>Open</v>
      </c>
      <c r="N274" s="22"/>
      <c r="O274" s="21">
        <f t="shared" ca="1" si="13"/>
        <v>46113</v>
      </c>
      <c r="P274" s="21" t="str">
        <f t="shared" ca="1" si="14"/>
        <v>YES</v>
      </c>
      <c r="Q274" s="23">
        <f>Weekly_Inspections!$AW274</f>
        <v>0</v>
      </c>
    </row>
    <row r="275" spans="1:17" ht="15" customHeight="1" x14ac:dyDescent="0.2">
      <c r="A275" s="21" t="str">
        <f>IF(Weekly_Inspections!$B275="","",Weekly_Inspections!$A275&amp;"-A1")</f>
        <v/>
      </c>
      <c r="B275" s="22">
        <f>Weekly_Inspections!$B275</f>
        <v>0</v>
      </c>
      <c r="C275" s="23">
        <f>Weekly_Inspections!$E275</f>
        <v>0</v>
      </c>
      <c r="D275" s="23">
        <f>Weekly_Inspections!$F275</f>
        <v>0</v>
      </c>
      <c r="E275" s="21" t="str">
        <f>Weekly_Inspections!$H275</f>
        <v/>
      </c>
      <c r="F275" s="23">
        <f>IF(Weekly_Inspections!$AX275&lt;&gt;"",Weekly_Inspections!$AX275,IF(Weekly_Inspections!$AY275&lt;&gt;"",Weekly_Inspections!$AY275,IF(Weekly_Inspections!$AZ275&lt;&gt;"",Weekly_Inspections!$AZ275,IF(Weekly_Inspections!$BA275&lt;&gt;"",Weekly_Inspections!$BA275,IF(Weekly_Inspections!$BB275&lt;&gt;"",Weekly_Inspections!$BB275,Weekly_Inspections!$R275)))))</f>
        <v>0</v>
      </c>
      <c r="G275" s="23" t="str">
        <f>IF(OR(Weekly_Inspections!$AQ275&lt;&gt;"",Weekly_Inspections!$AR275&lt;&gt;"",Weekly_Inspections!$AS275&lt;&gt;""),Weekly_Inspections!$AQ275,"")</f>
        <v/>
      </c>
      <c r="H275" s="23">
        <f>Weekly_Inspections!$AP275</f>
        <v>0</v>
      </c>
      <c r="I275" s="23">
        <f>Weekly_Inspections!$AR275</f>
        <v>0</v>
      </c>
      <c r="J275" s="23">
        <f>Weekly_Inspections!$AS275</f>
        <v>0</v>
      </c>
      <c r="K275" s="23">
        <f>Weekly_Inspections!$AU275</f>
        <v>0</v>
      </c>
      <c r="L275" s="22">
        <f>Weekly_Inspections!$AV275</f>
        <v>0</v>
      </c>
      <c r="M275" s="23" t="str">
        <f t="shared" si="12"/>
        <v>Open</v>
      </c>
      <c r="N275" s="22"/>
      <c r="O275" s="21">
        <f t="shared" ca="1" si="13"/>
        <v>46113</v>
      </c>
      <c r="P275" s="21" t="str">
        <f t="shared" ca="1" si="14"/>
        <v>YES</v>
      </c>
      <c r="Q275" s="23">
        <f>Weekly_Inspections!$AW275</f>
        <v>0</v>
      </c>
    </row>
    <row r="276" spans="1:17" ht="15" customHeight="1" x14ac:dyDescent="0.2">
      <c r="A276" s="21" t="str">
        <f>IF(Weekly_Inspections!$B276="","",Weekly_Inspections!$A276&amp;"-A1")</f>
        <v/>
      </c>
      <c r="B276" s="22">
        <f>Weekly_Inspections!$B276</f>
        <v>0</v>
      </c>
      <c r="C276" s="23">
        <f>Weekly_Inspections!$E276</f>
        <v>0</v>
      </c>
      <c r="D276" s="23">
        <f>Weekly_Inspections!$F276</f>
        <v>0</v>
      </c>
      <c r="E276" s="21" t="str">
        <f>Weekly_Inspections!$H276</f>
        <v/>
      </c>
      <c r="F276" s="23">
        <f>IF(Weekly_Inspections!$AX276&lt;&gt;"",Weekly_Inspections!$AX276,IF(Weekly_Inspections!$AY276&lt;&gt;"",Weekly_Inspections!$AY276,IF(Weekly_Inspections!$AZ276&lt;&gt;"",Weekly_Inspections!$AZ276,IF(Weekly_Inspections!$BA276&lt;&gt;"",Weekly_Inspections!$BA276,IF(Weekly_Inspections!$BB276&lt;&gt;"",Weekly_Inspections!$BB276,Weekly_Inspections!$R276)))))</f>
        <v>0</v>
      </c>
      <c r="G276" s="23" t="str">
        <f>IF(OR(Weekly_Inspections!$AQ276&lt;&gt;"",Weekly_Inspections!$AR276&lt;&gt;"",Weekly_Inspections!$AS276&lt;&gt;""),Weekly_Inspections!$AQ276,"")</f>
        <v/>
      </c>
      <c r="H276" s="23">
        <f>Weekly_Inspections!$AP276</f>
        <v>0</v>
      </c>
      <c r="I276" s="23">
        <f>Weekly_Inspections!$AR276</f>
        <v>0</v>
      </c>
      <c r="J276" s="23">
        <f>Weekly_Inspections!$AS276</f>
        <v>0</v>
      </c>
      <c r="K276" s="23">
        <f>Weekly_Inspections!$AU276</f>
        <v>0</v>
      </c>
      <c r="L276" s="22">
        <f>Weekly_Inspections!$AV276</f>
        <v>0</v>
      </c>
      <c r="M276" s="23" t="str">
        <f t="shared" si="12"/>
        <v>Open</v>
      </c>
      <c r="N276" s="22"/>
      <c r="O276" s="21">
        <f t="shared" ca="1" si="13"/>
        <v>46113</v>
      </c>
      <c r="P276" s="21" t="str">
        <f t="shared" ca="1" si="14"/>
        <v>YES</v>
      </c>
      <c r="Q276" s="23">
        <f>Weekly_Inspections!$AW276</f>
        <v>0</v>
      </c>
    </row>
    <row r="277" spans="1:17" ht="15" customHeight="1" x14ac:dyDescent="0.2">
      <c r="A277" s="21" t="str">
        <f>IF(Weekly_Inspections!$B277="","",Weekly_Inspections!$A277&amp;"-A1")</f>
        <v/>
      </c>
      <c r="B277" s="22">
        <f>Weekly_Inspections!$B277</f>
        <v>0</v>
      </c>
      <c r="C277" s="23">
        <f>Weekly_Inspections!$E277</f>
        <v>0</v>
      </c>
      <c r="D277" s="23">
        <f>Weekly_Inspections!$F277</f>
        <v>0</v>
      </c>
      <c r="E277" s="21" t="str">
        <f>Weekly_Inspections!$H277</f>
        <v/>
      </c>
      <c r="F277" s="23">
        <f>IF(Weekly_Inspections!$AX277&lt;&gt;"",Weekly_Inspections!$AX277,IF(Weekly_Inspections!$AY277&lt;&gt;"",Weekly_Inspections!$AY277,IF(Weekly_Inspections!$AZ277&lt;&gt;"",Weekly_Inspections!$AZ277,IF(Weekly_Inspections!$BA277&lt;&gt;"",Weekly_Inspections!$BA277,IF(Weekly_Inspections!$BB277&lt;&gt;"",Weekly_Inspections!$BB277,Weekly_Inspections!$R277)))))</f>
        <v>0</v>
      </c>
      <c r="G277" s="23" t="str">
        <f>IF(OR(Weekly_Inspections!$AQ277&lt;&gt;"",Weekly_Inspections!$AR277&lt;&gt;"",Weekly_Inspections!$AS277&lt;&gt;""),Weekly_Inspections!$AQ277,"")</f>
        <v/>
      </c>
      <c r="H277" s="23">
        <f>Weekly_Inspections!$AP277</f>
        <v>0</v>
      </c>
      <c r="I277" s="23">
        <f>Weekly_Inspections!$AR277</f>
        <v>0</v>
      </c>
      <c r="J277" s="23">
        <f>Weekly_Inspections!$AS277</f>
        <v>0</v>
      </c>
      <c r="K277" s="23">
        <f>Weekly_Inspections!$AU277</f>
        <v>0</v>
      </c>
      <c r="L277" s="22">
        <f>Weekly_Inspections!$AV277</f>
        <v>0</v>
      </c>
      <c r="M277" s="23" t="str">
        <f t="shared" si="12"/>
        <v>Open</v>
      </c>
      <c r="N277" s="22"/>
      <c r="O277" s="21">
        <f t="shared" ca="1" si="13"/>
        <v>46113</v>
      </c>
      <c r="P277" s="21" t="str">
        <f t="shared" ca="1" si="14"/>
        <v>YES</v>
      </c>
      <c r="Q277" s="23">
        <f>Weekly_Inspections!$AW277</f>
        <v>0</v>
      </c>
    </row>
    <row r="278" spans="1:17" ht="15" customHeight="1" x14ac:dyDescent="0.2">
      <c r="A278" s="21" t="str">
        <f>IF(Weekly_Inspections!$B278="","",Weekly_Inspections!$A278&amp;"-A1")</f>
        <v/>
      </c>
      <c r="B278" s="22">
        <f>Weekly_Inspections!$B278</f>
        <v>0</v>
      </c>
      <c r="C278" s="23">
        <f>Weekly_Inspections!$E278</f>
        <v>0</v>
      </c>
      <c r="D278" s="23">
        <f>Weekly_Inspections!$F278</f>
        <v>0</v>
      </c>
      <c r="E278" s="21" t="str">
        <f>Weekly_Inspections!$H278</f>
        <v/>
      </c>
      <c r="F278" s="23">
        <f>IF(Weekly_Inspections!$AX278&lt;&gt;"",Weekly_Inspections!$AX278,IF(Weekly_Inspections!$AY278&lt;&gt;"",Weekly_Inspections!$AY278,IF(Weekly_Inspections!$AZ278&lt;&gt;"",Weekly_Inspections!$AZ278,IF(Weekly_Inspections!$BA278&lt;&gt;"",Weekly_Inspections!$BA278,IF(Weekly_Inspections!$BB278&lt;&gt;"",Weekly_Inspections!$BB278,Weekly_Inspections!$R278)))))</f>
        <v>0</v>
      </c>
      <c r="G278" s="23" t="str">
        <f>IF(OR(Weekly_Inspections!$AQ278&lt;&gt;"",Weekly_Inspections!$AR278&lt;&gt;"",Weekly_Inspections!$AS278&lt;&gt;""),Weekly_Inspections!$AQ278,"")</f>
        <v/>
      </c>
      <c r="H278" s="23">
        <f>Weekly_Inspections!$AP278</f>
        <v>0</v>
      </c>
      <c r="I278" s="23">
        <f>Weekly_Inspections!$AR278</f>
        <v>0</v>
      </c>
      <c r="J278" s="23">
        <f>Weekly_Inspections!$AS278</f>
        <v>0</v>
      </c>
      <c r="K278" s="23">
        <f>Weekly_Inspections!$AU278</f>
        <v>0</v>
      </c>
      <c r="L278" s="22">
        <f>Weekly_Inspections!$AV278</f>
        <v>0</v>
      </c>
      <c r="M278" s="23" t="str">
        <f t="shared" si="12"/>
        <v>Open</v>
      </c>
      <c r="N278" s="22"/>
      <c r="O278" s="21">
        <f t="shared" ca="1" si="13"/>
        <v>46113</v>
      </c>
      <c r="P278" s="21" t="str">
        <f t="shared" ca="1" si="14"/>
        <v>YES</v>
      </c>
      <c r="Q278" s="23">
        <f>Weekly_Inspections!$AW278</f>
        <v>0</v>
      </c>
    </row>
    <row r="279" spans="1:17" ht="15" customHeight="1" x14ac:dyDescent="0.2">
      <c r="A279" s="21" t="str">
        <f>IF(Weekly_Inspections!$B279="","",Weekly_Inspections!$A279&amp;"-A1")</f>
        <v/>
      </c>
      <c r="B279" s="22">
        <f>Weekly_Inspections!$B279</f>
        <v>0</v>
      </c>
      <c r="C279" s="23">
        <f>Weekly_Inspections!$E279</f>
        <v>0</v>
      </c>
      <c r="D279" s="23">
        <f>Weekly_Inspections!$F279</f>
        <v>0</v>
      </c>
      <c r="E279" s="21" t="str">
        <f>Weekly_Inspections!$H279</f>
        <v/>
      </c>
      <c r="F279" s="23">
        <f>IF(Weekly_Inspections!$AX279&lt;&gt;"",Weekly_Inspections!$AX279,IF(Weekly_Inspections!$AY279&lt;&gt;"",Weekly_Inspections!$AY279,IF(Weekly_Inspections!$AZ279&lt;&gt;"",Weekly_Inspections!$AZ279,IF(Weekly_Inspections!$BA279&lt;&gt;"",Weekly_Inspections!$BA279,IF(Weekly_Inspections!$BB279&lt;&gt;"",Weekly_Inspections!$BB279,Weekly_Inspections!$R279)))))</f>
        <v>0</v>
      </c>
      <c r="G279" s="23" t="str">
        <f>IF(OR(Weekly_Inspections!$AQ279&lt;&gt;"",Weekly_Inspections!$AR279&lt;&gt;"",Weekly_Inspections!$AS279&lt;&gt;""),Weekly_Inspections!$AQ279,"")</f>
        <v/>
      </c>
      <c r="H279" s="23">
        <f>Weekly_Inspections!$AP279</f>
        <v>0</v>
      </c>
      <c r="I279" s="23">
        <f>Weekly_Inspections!$AR279</f>
        <v>0</v>
      </c>
      <c r="J279" s="23">
        <f>Weekly_Inspections!$AS279</f>
        <v>0</v>
      </c>
      <c r="K279" s="23">
        <f>Weekly_Inspections!$AU279</f>
        <v>0</v>
      </c>
      <c r="L279" s="22">
        <f>Weekly_Inspections!$AV279</f>
        <v>0</v>
      </c>
      <c r="M279" s="23" t="str">
        <f t="shared" si="12"/>
        <v>Open</v>
      </c>
      <c r="N279" s="22"/>
      <c r="O279" s="21">
        <f t="shared" ca="1" si="13"/>
        <v>46113</v>
      </c>
      <c r="P279" s="21" t="str">
        <f t="shared" ca="1" si="14"/>
        <v>YES</v>
      </c>
      <c r="Q279" s="23">
        <f>Weekly_Inspections!$AW279</f>
        <v>0</v>
      </c>
    </row>
    <row r="280" spans="1:17" ht="15" customHeight="1" x14ac:dyDescent="0.2">
      <c r="A280" s="21" t="str">
        <f>IF(Weekly_Inspections!$B280="","",Weekly_Inspections!$A280&amp;"-A1")</f>
        <v/>
      </c>
      <c r="B280" s="22">
        <f>Weekly_Inspections!$B280</f>
        <v>0</v>
      </c>
      <c r="C280" s="23">
        <f>Weekly_Inspections!$E280</f>
        <v>0</v>
      </c>
      <c r="D280" s="23">
        <f>Weekly_Inspections!$F280</f>
        <v>0</v>
      </c>
      <c r="E280" s="21" t="str">
        <f>Weekly_Inspections!$H280</f>
        <v/>
      </c>
      <c r="F280" s="23">
        <f>IF(Weekly_Inspections!$AX280&lt;&gt;"",Weekly_Inspections!$AX280,IF(Weekly_Inspections!$AY280&lt;&gt;"",Weekly_Inspections!$AY280,IF(Weekly_Inspections!$AZ280&lt;&gt;"",Weekly_Inspections!$AZ280,IF(Weekly_Inspections!$BA280&lt;&gt;"",Weekly_Inspections!$BA280,IF(Weekly_Inspections!$BB280&lt;&gt;"",Weekly_Inspections!$BB280,Weekly_Inspections!$R280)))))</f>
        <v>0</v>
      </c>
      <c r="G280" s="23" t="str">
        <f>IF(OR(Weekly_Inspections!$AQ280&lt;&gt;"",Weekly_Inspections!$AR280&lt;&gt;"",Weekly_Inspections!$AS280&lt;&gt;""),Weekly_Inspections!$AQ280,"")</f>
        <v/>
      </c>
      <c r="H280" s="23">
        <f>Weekly_Inspections!$AP280</f>
        <v>0</v>
      </c>
      <c r="I280" s="23">
        <f>Weekly_Inspections!$AR280</f>
        <v>0</v>
      </c>
      <c r="J280" s="23">
        <f>Weekly_Inspections!$AS280</f>
        <v>0</v>
      </c>
      <c r="K280" s="23">
        <f>Weekly_Inspections!$AU280</f>
        <v>0</v>
      </c>
      <c r="L280" s="22">
        <f>Weekly_Inspections!$AV280</f>
        <v>0</v>
      </c>
      <c r="M280" s="23" t="str">
        <f t="shared" si="12"/>
        <v>Open</v>
      </c>
      <c r="N280" s="22"/>
      <c r="O280" s="21">
        <f t="shared" ca="1" si="13"/>
        <v>46113</v>
      </c>
      <c r="P280" s="21" t="str">
        <f t="shared" ca="1" si="14"/>
        <v>YES</v>
      </c>
      <c r="Q280" s="23">
        <f>Weekly_Inspections!$AW280</f>
        <v>0</v>
      </c>
    </row>
    <row r="281" spans="1:17" ht="15" customHeight="1" x14ac:dyDescent="0.2">
      <c r="A281" s="21" t="str">
        <f>IF(Weekly_Inspections!$B281="","",Weekly_Inspections!$A281&amp;"-A1")</f>
        <v/>
      </c>
      <c r="B281" s="22">
        <f>Weekly_Inspections!$B281</f>
        <v>0</v>
      </c>
      <c r="C281" s="23">
        <f>Weekly_Inspections!$E281</f>
        <v>0</v>
      </c>
      <c r="D281" s="23">
        <f>Weekly_Inspections!$F281</f>
        <v>0</v>
      </c>
      <c r="E281" s="21" t="str">
        <f>Weekly_Inspections!$H281</f>
        <v/>
      </c>
      <c r="F281" s="23">
        <f>IF(Weekly_Inspections!$AX281&lt;&gt;"",Weekly_Inspections!$AX281,IF(Weekly_Inspections!$AY281&lt;&gt;"",Weekly_Inspections!$AY281,IF(Weekly_Inspections!$AZ281&lt;&gt;"",Weekly_Inspections!$AZ281,IF(Weekly_Inspections!$BA281&lt;&gt;"",Weekly_Inspections!$BA281,IF(Weekly_Inspections!$BB281&lt;&gt;"",Weekly_Inspections!$BB281,Weekly_Inspections!$R281)))))</f>
        <v>0</v>
      </c>
      <c r="G281" s="23" t="str">
        <f>IF(OR(Weekly_Inspections!$AQ281&lt;&gt;"",Weekly_Inspections!$AR281&lt;&gt;"",Weekly_Inspections!$AS281&lt;&gt;""),Weekly_Inspections!$AQ281,"")</f>
        <v/>
      </c>
      <c r="H281" s="23">
        <f>Weekly_Inspections!$AP281</f>
        <v>0</v>
      </c>
      <c r="I281" s="23">
        <f>Weekly_Inspections!$AR281</f>
        <v>0</v>
      </c>
      <c r="J281" s="23">
        <f>Weekly_Inspections!$AS281</f>
        <v>0</v>
      </c>
      <c r="K281" s="23">
        <f>Weekly_Inspections!$AU281</f>
        <v>0</v>
      </c>
      <c r="L281" s="22">
        <f>Weekly_Inspections!$AV281</f>
        <v>0</v>
      </c>
      <c r="M281" s="23" t="str">
        <f t="shared" si="12"/>
        <v>Open</v>
      </c>
      <c r="N281" s="22"/>
      <c r="O281" s="21">
        <f t="shared" ca="1" si="13"/>
        <v>46113</v>
      </c>
      <c r="P281" s="21" t="str">
        <f t="shared" ca="1" si="14"/>
        <v>YES</v>
      </c>
      <c r="Q281" s="23">
        <f>Weekly_Inspections!$AW281</f>
        <v>0</v>
      </c>
    </row>
    <row r="282" spans="1:17" ht="15" customHeight="1" x14ac:dyDescent="0.2">
      <c r="A282" s="21" t="str">
        <f>IF(Weekly_Inspections!$B282="","",Weekly_Inspections!$A282&amp;"-A1")</f>
        <v/>
      </c>
      <c r="B282" s="22">
        <f>Weekly_Inspections!$B282</f>
        <v>0</v>
      </c>
      <c r="C282" s="23">
        <f>Weekly_Inspections!$E282</f>
        <v>0</v>
      </c>
      <c r="D282" s="23">
        <f>Weekly_Inspections!$F282</f>
        <v>0</v>
      </c>
      <c r="E282" s="21" t="str">
        <f>Weekly_Inspections!$H282</f>
        <v/>
      </c>
      <c r="F282" s="23">
        <f>IF(Weekly_Inspections!$AX282&lt;&gt;"",Weekly_Inspections!$AX282,IF(Weekly_Inspections!$AY282&lt;&gt;"",Weekly_Inspections!$AY282,IF(Weekly_Inspections!$AZ282&lt;&gt;"",Weekly_Inspections!$AZ282,IF(Weekly_Inspections!$BA282&lt;&gt;"",Weekly_Inspections!$BA282,IF(Weekly_Inspections!$BB282&lt;&gt;"",Weekly_Inspections!$BB282,Weekly_Inspections!$R282)))))</f>
        <v>0</v>
      </c>
      <c r="G282" s="23" t="str">
        <f>IF(OR(Weekly_Inspections!$AQ282&lt;&gt;"",Weekly_Inspections!$AR282&lt;&gt;"",Weekly_Inspections!$AS282&lt;&gt;""),Weekly_Inspections!$AQ282,"")</f>
        <v/>
      </c>
      <c r="H282" s="23">
        <f>Weekly_Inspections!$AP282</f>
        <v>0</v>
      </c>
      <c r="I282" s="23">
        <f>Weekly_Inspections!$AR282</f>
        <v>0</v>
      </c>
      <c r="J282" s="23">
        <f>Weekly_Inspections!$AS282</f>
        <v>0</v>
      </c>
      <c r="K282" s="23">
        <f>Weekly_Inspections!$AU282</f>
        <v>0</v>
      </c>
      <c r="L282" s="22">
        <f>Weekly_Inspections!$AV282</f>
        <v>0</v>
      </c>
      <c r="M282" s="23" t="str">
        <f t="shared" si="12"/>
        <v>Open</v>
      </c>
      <c r="N282" s="22"/>
      <c r="O282" s="21">
        <f t="shared" ca="1" si="13"/>
        <v>46113</v>
      </c>
      <c r="P282" s="21" t="str">
        <f t="shared" ca="1" si="14"/>
        <v>YES</v>
      </c>
      <c r="Q282" s="23">
        <f>Weekly_Inspections!$AW282</f>
        <v>0</v>
      </c>
    </row>
    <row r="283" spans="1:17" ht="15" customHeight="1" x14ac:dyDescent="0.2">
      <c r="A283" s="21" t="str">
        <f>IF(Weekly_Inspections!$B283="","",Weekly_Inspections!$A283&amp;"-A1")</f>
        <v/>
      </c>
      <c r="B283" s="22">
        <f>Weekly_Inspections!$B283</f>
        <v>0</v>
      </c>
      <c r="C283" s="23">
        <f>Weekly_Inspections!$E283</f>
        <v>0</v>
      </c>
      <c r="D283" s="23">
        <f>Weekly_Inspections!$F283</f>
        <v>0</v>
      </c>
      <c r="E283" s="21" t="str">
        <f>Weekly_Inspections!$H283</f>
        <v/>
      </c>
      <c r="F283" s="23">
        <f>IF(Weekly_Inspections!$AX283&lt;&gt;"",Weekly_Inspections!$AX283,IF(Weekly_Inspections!$AY283&lt;&gt;"",Weekly_Inspections!$AY283,IF(Weekly_Inspections!$AZ283&lt;&gt;"",Weekly_Inspections!$AZ283,IF(Weekly_Inspections!$BA283&lt;&gt;"",Weekly_Inspections!$BA283,IF(Weekly_Inspections!$BB283&lt;&gt;"",Weekly_Inspections!$BB283,Weekly_Inspections!$R283)))))</f>
        <v>0</v>
      </c>
      <c r="G283" s="23" t="str">
        <f>IF(OR(Weekly_Inspections!$AQ283&lt;&gt;"",Weekly_Inspections!$AR283&lt;&gt;"",Weekly_Inspections!$AS283&lt;&gt;""),Weekly_Inspections!$AQ283,"")</f>
        <v/>
      </c>
      <c r="H283" s="23">
        <f>Weekly_Inspections!$AP283</f>
        <v>0</v>
      </c>
      <c r="I283" s="23">
        <f>Weekly_Inspections!$AR283</f>
        <v>0</v>
      </c>
      <c r="J283" s="23">
        <f>Weekly_Inspections!$AS283</f>
        <v>0</v>
      </c>
      <c r="K283" s="23">
        <f>Weekly_Inspections!$AU283</f>
        <v>0</v>
      </c>
      <c r="L283" s="22">
        <f>Weekly_Inspections!$AV283</f>
        <v>0</v>
      </c>
      <c r="M283" s="23" t="str">
        <f t="shared" si="12"/>
        <v>Open</v>
      </c>
      <c r="N283" s="22"/>
      <c r="O283" s="21">
        <f t="shared" ca="1" si="13"/>
        <v>46113</v>
      </c>
      <c r="P283" s="21" t="str">
        <f t="shared" ca="1" si="14"/>
        <v>YES</v>
      </c>
      <c r="Q283" s="23">
        <f>Weekly_Inspections!$AW283</f>
        <v>0</v>
      </c>
    </row>
    <row r="284" spans="1:17" ht="15" customHeight="1" x14ac:dyDescent="0.2">
      <c r="A284" s="21" t="str">
        <f>IF(Weekly_Inspections!$B284="","",Weekly_Inspections!$A284&amp;"-A1")</f>
        <v/>
      </c>
      <c r="B284" s="22">
        <f>Weekly_Inspections!$B284</f>
        <v>0</v>
      </c>
      <c r="C284" s="23">
        <f>Weekly_Inspections!$E284</f>
        <v>0</v>
      </c>
      <c r="D284" s="23">
        <f>Weekly_Inspections!$F284</f>
        <v>0</v>
      </c>
      <c r="E284" s="21" t="str">
        <f>Weekly_Inspections!$H284</f>
        <v/>
      </c>
      <c r="F284" s="23">
        <f>IF(Weekly_Inspections!$AX284&lt;&gt;"",Weekly_Inspections!$AX284,IF(Weekly_Inspections!$AY284&lt;&gt;"",Weekly_Inspections!$AY284,IF(Weekly_Inspections!$AZ284&lt;&gt;"",Weekly_Inspections!$AZ284,IF(Weekly_Inspections!$BA284&lt;&gt;"",Weekly_Inspections!$BA284,IF(Weekly_Inspections!$BB284&lt;&gt;"",Weekly_Inspections!$BB284,Weekly_Inspections!$R284)))))</f>
        <v>0</v>
      </c>
      <c r="G284" s="23" t="str">
        <f>IF(OR(Weekly_Inspections!$AQ284&lt;&gt;"",Weekly_Inspections!$AR284&lt;&gt;"",Weekly_Inspections!$AS284&lt;&gt;""),Weekly_Inspections!$AQ284,"")</f>
        <v/>
      </c>
      <c r="H284" s="23">
        <f>Weekly_Inspections!$AP284</f>
        <v>0</v>
      </c>
      <c r="I284" s="23">
        <f>Weekly_Inspections!$AR284</f>
        <v>0</v>
      </c>
      <c r="J284" s="23">
        <f>Weekly_Inspections!$AS284</f>
        <v>0</v>
      </c>
      <c r="K284" s="23">
        <f>Weekly_Inspections!$AU284</f>
        <v>0</v>
      </c>
      <c r="L284" s="22">
        <f>Weekly_Inspections!$AV284</f>
        <v>0</v>
      </c>
      <c r="M284" s="23" t="str">
        <f t="shared" si="12"/>
        <v>Open</v>
      </c>
      <c r="N284" s="22"/>
      <c r="O284" s="21">
        <f t="shared" ca="1" si="13"/>
        <v>46113</v>
      </c>
      <c r="P284" s="21" t="str">
        <f t="shared" ca="1" si="14"/>
        <v>YES</v>
      </c>
      <c r="Q284" s="23">
        <f>Weekly_Inspections!$AW284</f>
        <v>0</v>
      </c>
    </row>
    <row r="285" spans="1:17" ht="15" customHeight="1" x14ac:dyDescent="0.2">
      <c r="A285" s="21" t="str">
        <f>IF(Weekly_Inspections!$B285="","",Weekly_Inspections!$A285&amp;"-A1")</f>
        <v/>
      </c>
      <c r="B285" s="22">
        <f>Weekly_Inspections!$B285</f>
        <v>0</v>
      </c>
      <c r="C285" s="23">
        <f>Weekly_Inspections!$E285</f>
        <v>0</v>
      </c>
      <c r="D285" s="23">
        <f>Weekly_Inspections!$F285</f>
        <v>0</v>
      </c>
      <c r="E285" s="21" t="str">
        <f>Weekly_Inspections!$H285</f>
        <v/>
      </c>
      <c r="F285" s="23">
        <f>IF(Weekly_Inspections!$AX285&lt;&gt;"",Weekly_Inspections!$AX285,IF(Weekly_Inspections!$AY285&lt;&gt;"",Weekly_Inspections!$AY285,IF(Weekly_Inspections!$AZ285&lt;&gt;"",Weekly_Inspections!$AZ285,IF(Weekly_Inspections!$BA285&lt;&gt;"",Weekly_Inspections!$BA285,IF(Weekly_Inspections!$BB285&lt;&gt;"",Weekly_Inspections!$BB285,Weekly_Inspections!$R285)))))</f>
        <v>0</v>
      </c>
      <c r="G285" s="23" t="str">
        <f>IF(OR(Weekly_Inspections!$AQ285&lt;&gt;"",Weekly_Inspections!$AR285&lt;&gt;"",Weekly_Inspections!$AS285&lt;&gt;""),Weekly_Inspections!$AQ285,"")</f>
        <v/>
      </c>
      <c r="H285" s="23">
        <f>Weekly_Inspections!$AP285</f>
        <v>0</v>
      </c>
      <c r="I285" s="23">
        <f>Weekly_Inspections!$AR285</f>
        <v>0</v>
      </c>
      <c r="J285" s="23">
        <f>Weekly_Inspections!$AS285</f>
        <v>0</v>
      </c>
      <c r="K285" s="23">
        <f>Weekly_Inspections!$AU285</f>
        <v>0</v>
      </c>
      <c r="L285" s="22">
        <f>Weekly_Inspections!$AV285</f>
        <v>0</v>
      </c>
      <c r="M285" s="23" t="str">
        <f t="shared" si="12"/>
        <v>Open</v>
      </c>
      <c r="N285" s="22"/>
      <c r="O285" s="21">
        <f t="shared" ca="1" si="13"/>
        <v>46113</v>
      </c>
      <c r="P285" s="21" t="str">
        <f t="shared" ca="1" si="14"/>
        <v>YES</v>
      </c>
      <c r="Q285" s="23">
        <f>Weekly_Inspections!$AW285</f>
        <v>0</v>
      </c>
    </row>
    <row r="286" spans="1:17" ht="15" customHeight="1" x14ac:dyDescent="0.2">
      <c r="A286" s="21" t="str">
        <f>IF(Weekly_Inspections!$B286="","",Weekly_Inspections!$A286&amp;"-A1")</f>
        <v/>
      </c>
      <c r="B286" s="22">
        <f>Weekly_Inspections!$B286</f>
        <v>0</v>
      </c>
      <c r="C286" s="23">
        <f>Weekly_Inspections!$E286</f>
        <v>0</v>
      </c>
      <c r="D286" s="23">
        <f>Weekly_Inspections!$F286</f>
        <v>0</v>
      </c>
      <c r="E286" s="21" t="str">
        <f>Weekly_Inspections!$H286</f>
        <v/>
      </c>
      <c r="F286" s="23">
        <f>IF(Weekly_Inspections!$AX286&lt;&gt;"",Weekly_Inspections!$AX286,IF(Weekly_Inspections!$AY286&lt;&gt;"",Weekly_Inspections!$AY286,IF(Weekly_Inspections!$AZ286&lt;&gt;"",Weekly_Inspections!$AZ286,IF(Weekly_Inspections!$BA286&lt;&gt;"",Weekly_Inspections!$BA286,IF(Weekly_Inspections!$BB286&lt;&gt;"",Weekly_Inspections!$BB286,Weekly_Inspections!$R286)))))</f>
        <v>0</v>
      </c>
      <c r="G286" s="23" t="str">
        <f>IF(OR(Weekly_Inspections!$AQ286&lt;&gt;"",Weekly_Inspections!$AR286&lt;&gt;"",Weekly_Inspections!$AS286&lt;&gt;""),Weekly_Inspections!$AQ286,"")</f>
        <v/>
      </c>
      <c r="H286" s="23">
        <f>Weekly_Inspections!$AP286</f>
        <v>0</v>
      </c>
      <c r="I286" s="23">
        <f>Weekly_Inspections!$AR286</f>
        <v>0</v>
      </c>
      <c r="J286" s="23">
        <f>Weekly_Inspections!$AS286</f>
        <v>0</v>
      </c>
      <c r="K286" s="23">
        <f>Weekly_Inspections!$AU286</f>
        <v>0</v>
      </c>
      <c r="L286" s="22">
        <f>Weekly_Inspections!$AV286</f>
        <v>0</v>
      </c>
      <c r="M286" s="23" t="str">
        <f t="shared" si="12"/>
        <v>Open</v>
      </c>
      <c r="N286" s="22"/>
      <c r="O286" s="21">
        <f t="shared" ca="1" si="13"/>
        <v>46113</v>
      </c>
      <c r="P286" s="21" t="str">
        <f t="shared" ca="1" si="14"/>
        <v>YES</v>
      </c>
      <c r="Q286" s="23">
        <f>Weekly_Inspections!$AW286</f>
        <v>0</v>
      </c>
    </row>
    <row r="287" spans="1:17" ht="15" customHeight="1" x14ac:dyDescent="0.2">
      <c r="A287" s="21" t="str">
        <f>IF(Weekly_Inspections!$B287="","",Weekly_Inspections!$A287&amp;"-A1")</f>
        <v/>
      </c>
      <c r="B287" s="22">
        <f>Weekly_Inspections!$B287</f>
        <v>0</v>
      </c>
      <c r="C287" s="23">
        <f>Weekly_Inspections!$E287</f>
        <v>0</v>
      </c>
      <c r="D287" s="23">
        <f>Weekly_Inspections!$F287</f>
        <v>0</v>
      </c>
      <c r="E287" s="21" t="str">
        <f>Weekly_Inspections!$H287</f>
        <v/>
      </c>
      <c r="F287" s="23">
        <f>IF(Weekly_Inspections!$AX287&lt;&gt;"",Weekly_Inspections!$AX287,IF(Weekly_Inspections!$AY287&lt;&gt;"",Weekly_Inspections!$AY287,IF(Weekly_Inspections!$AZ287&lt;&gt;"",Weekly_Inspections!$AZ287,IF(Weekly_Inspections!$BA287&lt;&gt;"",Weekly_Inspections!$BA287,IF(Weekly_Inspections!$BB287&lt;&gt;"",Weekly_Inspections!$BB287,Weekly_Inspections!$R287)))))</f>
        <v>0</v>
      </c>
      <c r="G287" s="23" t="str">
        <f>IF(OR(Weekly_Inspections!$AQ287&lt;&gt;"",Weekly_Inspections!$AR287&lt;&gt;"",Weekly_Inspections!$AS287&lt;&gt;""),Weekly_Inspections!$AQ287,"")</f>
        <v/>
      </c>
      <c r="H287" s="23">
        <f>Weekly_Inspections!$AP287</f>
        <v>0</v>
      </c>
      <c r="I287" s="23">
        <f>Weekly_Inspections!$AR287</f>
        <v>0</v>
      </c>
      <c r="J287" s="23">
        <f>Weekly_Inspections!$AS287</f>
        <v>0</v>
      </c>
      <c r="K287" s="23">
        <f>Weekly_Inspections!$AU287</f>
        <v>0</v>
      </c>
      <c r="L287" s="22">
        <f>Weekly_Inspections!$AV287</f>
        <v>0</v>
      </c>
      <c r="M287" s="23" t="str">
        <f t="shared" si="12"/>
        <v>Open</v>
      </c>
      <c r="N287" s="22"/>
      <c r="O287" s="21">
        <f t="shared" ca="1" si="13"/>
        <v>46113</v>
      </c>
      <c r="P287" s="21" t="str">
        <f t="shared" ca="1" si="14"/>
        <v>YES</v>
      </c>
      <c r="Q287" s="23">
        <f>Weekly_Inspections!$AW287</f>
        <v>0</v>
      </c>
    </row>
    <row r="288" spans="1:17" ht="15" customHeight="1" x14ac:dyDescent="0.2">
      <c r="A288" s="21" t="str">
        <f>IF(Weekly_Inspections!$B288="","",Weekly_Inspections!$A288&amp;"-A1")</f>
        <v/>
      </c>
      <c r="B288" s="22">
        <f>Weekly_Inspections!$B288</f>
        <v>0</v>
      </c>
      <c r="C288" s="23">
        <f>Weekly_Inspections!$E288</f>
        <v>0</v>
      </c>
      <c r="D288" s="23">
        <f>Weekly_Inspections!$F288</f>
        <v>0</v>
      </c>
      <c r="E288" s="21" t="str">
        <f>Weekly_Inspections!$H288</f>
        <v/>
      </c>
      <c r="F288" s="23">
        <f>IF(Weekly_Inspections!$AX288&lt;&gt;"",Weekly_Inspections!$AX288,IF(Weekly_Inspections!$AY288&lt;&gt;"",Weekly_Inspections!$AY288,IF(Weekly_Inspections!$AZ288&lt;&gt;"",Weekly_Inspections!$AZ288,IF(Weekly_Inspections!$BA288&lt;&gt;"",Weekly_Inspections!$BA288,IF(Weekly_Inspections!$BB288&lt;&gt;"",Weekly_Inspections!$BB288,Weekly_Inspections!$R288)))))</f>
        <v>0</v>
      </c>
      <c r="G288" s="23" t="str">
        <f>IF(OR(Weekly_Inspections!$AQ288&lt;&gt;"",Weekly_Inspections!$AR288&lt;&gt;"",Weekly_Inspections!$AS288&lt;&gt;""),Weekly_Inspections!$AQ288,"")</f>
        <v/>
      </c>
      <c r="H288" s="23">
        <f>Weekly_Inspections!$AP288</f>
        <v>0</v>
      </c>
      <c r="I288" s="23">
        <f>Weekly_Inspections!$AR288</f>
        <v>0</v>
      </c>
      <c r="J288" s="23">
        <f>Weekly_Inspections!$AS288</f>
        <v>0</v>
      </c>
      <c r="K288" s="23">
        <f>Weekly_Inspections!$AU288</f>
        <v>0</v>
      </c>
      <c r="L288" s="22">
        <f>Weekly_Inspections!$AV288</f>
        <v>0</v>
      </c>
      <c r="M288" s="23" t="str">
        <f t="shared" si="12"/>
        <v>Open</v>
      </c>
      <c r="N288" s="22"/>
      <c r="O288" s="21">
        <f t="shared" ca="1" si="13"/>
        <v>46113</v>
      </c>
      <c r="P288" s="21" t="str">
        <f t="shared" ca="1" si="14"/>
        <v>YES</v>
      </c>
      <c r="Q288" s="23">
        <f>Weekly_Inspections!$AW288</f>
        <v>0</v>
      </c>
    </row>
    <row r="289" spans="1:17" ht="15" customHeight="1" x14ac:dyDescent="0.2">
      <c r="A289" s="21" t="str">
        <f>IF(Weekly_Inspections!$B289="","",Weekly_Inspections!$A289&amp;"-A1")</f>
        <v/>
      </c>
      <c r="B289" s="22">
        <f>Weekly_Inspections!$B289</f>
        <v>0</v>
      </c>
      <c r="C289" s="23">
        <f>Weekly_Inspections!$E289</f>
        <v>0</v>
      </c>
      <c r="D289" s="23">
        <f>Weekly_Inspections!$F289</f>
        <v>0</v>
      </c>
      <c r="E289" s="21" t="str">
        <f>Weekly_Inspections!$H289</f>
        <v/>
      </c>
      <c r="F289" s="23">
        <f>IF(Weekly_Inspections!$AX289&lt;&gt;"",Weekly_Inspections!$AX289,IF(Weekly_Inspections!$AY289&lt;&gt;"",Weekly_Inspections!$AY289,IF(Weekly_Inspections!$AZ289&lt;&gt;"",Weekly_Inspections!$AZ289,IF(Weekly_Inspections!$BA289&lt;&gt;"",Weekly_Inspections!$BA289,IF(Weekly_Inspections!$BB289&lt;&gt;"",Weekly_Inspections!$BB289,Weekly_Inspections!$R289)))))</f>
        <v>0</v>
      </c>
      <c r="G289" s="23" t="str">
        <f>IF(OR(Weekly_Inspections!$AQ289&lt;&gt;"",Weekly_Inspections!$AR289&lt;&gt;"",Weekly_Inspections!$AS289&lt;&gt;""),Weekly_Inspections!$AQ289,"")</f>
        <v/>
      </c>
      <c r="H289" s="23">
        <f>Weekly_Inspections!$AP289</f>
        <v>0</v>
      </c>
      <c r="I289" s="23">
        <f>Weekly_Inspections!$AR289</f>
        <v>0</v>
      </c>
      <c r="J289" s="23">
        <f>Weekly_Inspections!$AS289</f>
        <v>0</v>
      </c>
      <c r="K289" s="23">
        <f>Weekly_Inspections!$AU289</f>
        <v>0</v>
      </c>
      <c r="L289" s="22">
        <f>Weekly_Inspections!$AV289</f>
        <v>0</v>
      </c>
      <c r="M289" s="23" t="str">
        <f t="shared" si="12"/>
        <v>Open</v>
      </c>
      <c r="N289" s="22"/>
      <c r="O289" s="21">
        <f t="shared" ca="1" si="13"/>
        <v>46113</v>
      </c>
      <c r="P289" s="21" t="str">
        <f t="shared" ca="1" si="14"/>
        <v>YES</v>
      </c>
      <c r="Q289" s="23">
        <f>Weekly_Inspections!$AW289</f>
        <v>0</v>
      </c>
    </row>
    <row r="290" spans="1:17" ht="15" customHeight="1" x14ac:dyDescent="0.2">
      <c r="A290" s="21" t="str">
        <f>IF(Weekly_Inspections!$B290="","",Weekly_Inspections!$A290&amp;"-A1")</f>
        <v/>
      </c>
      <c r="B290" s="22">
        <f>Weekly_Inspections!$B290</f>
        <v>0</v>
      </c>
      <c r="C290" s="23">
        <f>Weekly_Inspections!$E290</f>
        <v>0</v>
      </c>
      <c r="D290" s="23">
        <f>Weekly_Inspections!$F290</f>
        <v>0</v>
      </c>
      <c r="E290" s="21" t="str">
        <f>Weekly_Inspections!$H290</f>
        <v/>
      </c>
      <c r="F290" s="23">
        <f>IF(Weekly_Inspections!$AX290&lt;&gt;"",Weekly_Inspections!$AX290,IF(Weekly_Inspections!$AY290&lt;&gt;"",Weekly_Inspections!$AY290,IF(Weekly_Inspections!$AZ290&lt;&gt;"",Weekly_Inspections!$AZ290,IF(Weekly_Inspections!$BA290&lt;&gt;"",Weekly_Inspections!$BA290,IF(Weekly_Inspections!$BB290&lt;&gt;"",Weekly_Inspections!$BB290,Weekly_Inspections!$R290)))))</f>
        <v>0</v>
      </c>
      <c r="G290" s="23" t="str">
        <f>IF(OR(Weekly_Inspections!$AQ290&lt;&gt;"",Weekly_Inspections!$AR290&lt;&gt;"",Weekly_Inspections!$AS290&lt;&gt;""),Weekly_Inspections!$AQ290,"")</f>
        <v/>
      </c>
      <c r="H290" s="23">
        <f>Weekly_Inspections!$AP290</f>
        <v>0</v>
      </c>
      <c r="I290" s="23">
        <f>Weekly_Inspections!$AR290</f>
        <v>0</v>
      </c>
      <c r="J290" s="23">
        <f>Weekly_Inspections!$AS290</f>
        <v>0</v>
      </c>
      <c r="K290" s="23">
        <f>Weekly_Inspections!$AU290</f>
        <v>0</v>
      </c>
      <c r="L290" s="22">
        <f>Weekly_Inspections!$AV290</f>
        <v>0</v>
      </c>
      <c r="M290" s="23" t="str">
        <f t="shared" si="12"/>
        <v>Open</v>
      </c>
      <c r="N290" s="22"/>
      <c r="O290" s="21">
        <f t="shared" ca="1" si="13"/>
        <v>46113</v>
      </c>
      <c r="P290" s="21" t="str">
        <f t="shared" ca="1" si="14"/>
        <v>YES</v>
      </c>
      <c r="Q290" s="23">
        <f>Weekly_Inspections!$AW290</f>
        <v>0</v>
      </c>
    </row>
    <row r="291" spans="1:17" ht="15" customHeight="1" x14ac:dyDescent="0.2">
      <c r="A291" s="21" t="str">
        <f>IF(Weekly_Inspections!$B291="","",Weekly_Inspections!$A291&amp;"-A1")</f>
        <v/>
      </c>
      <c r="B291" s="22">
        <f>Weekly_Inspections!$B291</f>
        <v>0</v>
      </c>
      <c r="C291" s="23">
        <f>Weekly_Inspections!$E291</f>
        <v>0</v>
      </c>
      <c r="D291" s="23">
        <f>Weekly_Inspections!$F291</f>
        <v>0</v>
      </c>
      <c r="E291" s="21" t="str">
        <f>Weekly_Inspections!$H291</f>
        <v/>
      </c>
      <c r="F291" s="23">
        <f>IF(Weekly_Inspections!$AX291&lt;&gt;"",Weekly_Inspections!$AX291,IF(Weekly_Inspections!$AY291&lt;&gt;"",Weekly_Inspections!$AY291,IF(Weekly_Inspections!$AZ291&lt;&gt;"",Weekly_Inspections!$AZ291,IF(Weekly_Inspections!$BA291&lt;&gt;"",Weekly_Inspections!$BA291,IF(Weekly_Inspections!$BB291&lt;&gt;"",Weekly_Inspections!$BB291,Weekly_Inspections!$R291)))))</f>
        <v>0</v>
      </c>
      <c r="G291" s="23" t="str">
        <f>IF(OR(Weekly_Inspections!$AQ291&lt;&gt;"",Weekly_Inspections!$AR291&lt;&gt;"",Weekly_Inspections!$AS291&lt;&gt;""),Weekly_Inspections!$AQ291,"")</f>
        <v/>
      </c>
      <c r="H291" s="23">
        <f>Weekly_Inspections!$AP291</f>
        <v>0</v>
      </c>
      <c r="I291" s="23">
        <f>Weekly_Inspections!$AR291</f>
        <v>0</v>
      </c>
      <c r="J291" s="23">
        <f>Weekly_Inspections!$AS291</f>
        <v>0</v>
      </c>
      <c r="K291" s="23">
        <f>Weekly_Inspections!$AU291</f>
        <v>0</v>
      </c>
      <c r="L291" s="22">
        <f>Weekly_Inspections!$AV291</f>
        <v>0</v>
      </c>
      <c r="M291" s="23" t="str">
        <f t="shared" si="12"/>
        <v>Open</v>
      </c>
      <c r="N291" s="22"/>
      <c r="O291" s="21">
        <f t="shared" ca="1" si="13"/>
        <v>46113</v>
      </c>
      <c r="P291" s="21" t="str">
        <f t="shared" ca="1" si="14"/>
        <v>YES</v>
      </c>
      <c r="Q291" s="23">
        <f>Weekly_Inspections!$AW291</f>
        <v>0</v>
      </c>
    </row>
    <row r="292" spans="1:17" ht="15" customHeight="1" x14ac:dyDescent="0.2">
      <c r="A292" s="21" t="str">
        <f>IF(Weekly_Inspections!$B292="","",Weekly_Inspections!$A292&amp;"-A1")</f>
        <v/>
      </c>
      <c r="B292" s="22">
        <f>Weekly_Inspections!$B292</f>
        <v>0</v>
      </c>
      <c r="C292" s="23">
        <f>Weekly_Inspections!$E292</f>
        <v>0</v>
      </c>
      <c r="D292" s="23">
        <f>Weekly_Inspections!$F292</f>
        <v>0</v>
      </c>
      <c r="E292" s="21" t="str">
        <f>Weekly_Inspections!$H292</f>
        <v/>
      </c>
      <c r="F292" s="23">
        <f>IF(Weekly_Inspections!$AX292&lt;&gt;"",Weekly_Inspections!$AX292,IF(Weekly_Inspections!$AY292&lt;&gt;"",Weekly_Inspections!$AY292,IF(Weekly_Inspections!$AZ292&lt;&gt;"",Weekly_Inspections!$AZ292,IF(Weekly_Inspections!$BA292&lt;&gt;"",Weekly_Inspections!$BA292,IF(Weekly_Inspections!$BB292&lt;&gt;"",Weekly_Inspections!$BB292,Weekly_Inspections!$R292)))))</f>
        <v>0</v>
      </c>
      <c r="G292" s="23" t="str">
        <f>IF(OR(Weekly_Inspections!$AQ292&lt;&gt;"",Weekly_Inspections!$AR292&lt;&gt;"",Weekly_Inspections!$AS292&lt;&gt;""),Weekly_Inspections!$AQ292,"")</f>
        <v/>
      </c>
      <c r="H292" s="23">
        <f>Weekly_Inspections!$AP292</f>
        <v>0</v>
      </c>
      <c r="I292" s="23">
        <f>Weekly_Inspections!$AR292</f>
        <v>0</v>
      </c>
      <c r="J292" s="23">
        <f>Weekly_Inspections!$AS292</f>
        <v>0</v>
      </c>
      <c r="K292" s="23">
        <f>Weekly_Inspections!$AU292</f>
        <v>0</v>
      </c>
      <c r="L292" s="22">
        <f>Weekly_Inspections!$AV292</f>
        <v>0</v>
      </c>
      <c r="M292" s="23" t="str">
        <f t="shared" si="12"/>
        <v>Open</v>
      </c>
      <c r="N292" s="22"/>
      <c r="O292" s="21">
        <f t="shared" ca="1" si="13"/>
        <v>46113</v>
      </c>
      <c r="P292" s="21" t="str">
        <f t="shared" ca="1" si="14"/>
        <v>YES</v>
      </c>
      <c r="Q292" s="23">
        <f>Weekly_Inspections!$AW292</f>
        <v>0</v>
      </c>
    </row>
    <row r="293" spans="1:17" ht="15" customHeight="1" x14ac:dyDescent="0.2">
      <c r="A293" s="21" t="str">
        <f>IF(Weekly_Inspections!$B293="","",Weekly_Inspections!$A293&amp;"-A1")</f>
        <v/>
      </c>
      <c r="B293" s="22">
        <f>Weekly_Inspections!$B293</f>
        <v>0</v>
      </c>
      <c r="C293" s="23">
        <f>Weekly_Inspections!$E293</f>
        <v>0</v>
      </c>
      <c r="D293" s="23">
        <f>Weekly_Inspections!$F293</f>
        <v>0</v>
      </c>
      <c r="E293" s="21" t="str">
        <f>Weekly_Inspections!$H293</f>
        <v/>
      </c>
      <c r="F293" s="23">
        <f>IF(Weekly_Inspections!$AX293&lt;&gt;"",Weekly_Inspections!$AX293,IF(Weekly_Inspections!$AY293&lt;&gt;"",Weekly_Inspections!$AY293,IF(Weekly_Inspections!$AZ293&lt;&gt;"",Weekly_Inspections!$AZ293,IF(Weekly_Inspections!$BA293&lt;&gt;"",Weekly_Inspections!$BA293,IF(Weekly_Inspections!$BB293&lt;&gt;"",Weekly_Inspections!$BB293,Weekly_Inspections!$R293)))))</f>
        <v>0</v>
      </c>
      <c r="G293" s="23" t="str">
        <f>IF(OR(Weekly_Inspections!$AQ293&lt;&gt;"",Weekly_Inspections!$AR293&lt;&gt;"",Weekly_Inspections!$AS293&lt;&gt;""),Weekly_Inspections!$AQ293,"")</f>
        <v/>
      </c>
      <c r="H293" s="23">
        <f>Weekly_Inspections!$AP293</f>
        <v>0</v>
      </c>
      <c r="I293" s="23">
        <f>Weekly_Inspections!$AR293</f>
        <v>0</v>
      </c>
      <c r="J293" s="23">
        <f>Weekly_Inspections!$AS293</f>
        <v>0</v>
      </c>
      <c r="K293" s="23">
        <f>Weekly_Inspections!$AU293</f>
        <v>0</v>
      </c>
      <c r="L293" s="22">
        <f>Weekly_Inspections!$AV293</f>
        <v>0</v>
      </c>
      <c r="M293" s="23" t="str">
        <f t="shared" si="12"/>
        <v>Open</v>
      </c>
      <c r="N293" s="22"/>
      <c r="O293" s="21">
        <f t="shared" ca="1" si="13"/>
        <v>46113</v>
      </c>
      <c r="P293" s="21" t="str">
        <f t="shared" ca="1" si="14"/>
        <v>YES</v>
      </c>
      <c r="Q293" s="23">
        <f>Weekly_Inspections!$AW293</f>
        <v>0</v>
      </c>
    </row>
    <row r="294" spans="1:17" ht="15" customHeight="1" x14ac:dyDescent="0.2">
      <c r="A294" s="21" t="str">
        <f>IF(Weekly_Inspections!$B294="","",Weekly_Inspections!$A294&amp;"-A1")</f>
        <v/>
      </c>
      <c r="B294" s="22">
        <f>Weekly_Inspections!$B294</f>
        <v>0</v>
      </c>
      <c r="C294" s="23">
        <f>Weekly_Inspections!$E294</f>
        <v>0</v>
      </c>
      <c r="D294" s="23">
        <f>Weekly_Inspections!$F294</f>
        <v>0</v>
      </c>
      <c r="E294" s="21" t="str">
        <f>Weekly_Inspections!$H294</f>
        <v/>
      </c>
      <c r="F294" s="23">
        <f>IF(Weekly_Inspections!$AX294&lt;&gt;"",Weekly_Inspections!$AX294,IF(Weekly_Inspections!$AY294&lt;&gt;"",Weekly_Inspections!$AY294,IF(Weekly_Inspections!$AZ294&lt;&gt;"",Weekly_Inspections!$AZ294,IF(Weekly_Inspections!$BA294&lt;&gt;"",Weekly_Inspections!$BA294,IF(Weekly_Inspections!$BB294&lt;&gt;"",Weekly_Inspections!$BB294,Weekly_Inspections!$R294)))))</f>
        <v>0</v>
      </c>
      <c r="G294" s="23" t="str">
        <f>IF(OR(Weekly_Inspections!$AQ294&lt;&gt;"",Weekly_Inspections!$AR294&lt;&gt;"",Weekly_Inspections!$AS294&lt;&gt;""),Weekly_Inspections!$AQ294,"")</f>
        <v/>
      </c>
      <c r="H294" s="23">
        <f>Weekly_Inspections!$AP294</f>
        <v>0</v>
      </c>
      <c r="I294" s="23">
        <f>Weekly_Inspections!$AR294</f>
        <v>0</v>
      </c>
      <c r="J294" s="23">
        <f>Weekly_Inspections!$AS294</f>
        <v>0</v>
      </c>
      <c r="K294" s="23">
        <f>Weekly_Inspections!$AU294</f>
        <v>0</v>
      </c>
      <c r="L294" s="22">
        <f>Weekly_Inspections!$AV294</f>
        <v>0</v>
      </c>
      <c r="M294" s="23" t="str">
        <f t="shared" si="12"/>
        <v>Open</v>
      </c>
      <c r="N294" s="22"/>
      <c r="O294" s="21">
        <f t="shared" ca="1" si="13"/>
        <v>46113</v>
      </c>
      <c r="P294" s="21" t="str">
        <f t="shared" ca="1" si="14"/>
        <v>YES</v>
      </c>
      <c r="Q294" s="23">
        <f>Weekly_Inspections!$AW294</f>
        <v>0</v>
      </c>
    </row>
    <row r="295" spans="1:17" ht="15" customHeight="1" x14ac:dyDescent="0.2">
      <c r="A295" s="21" t="str">
        <f>IF(Weekly_Inspections!$B295="","",Weekly_Inspections!$A295&amp;"-A1")</f>
        <v/>
      </c>
      <c r="B295" s="22">
        <f>Weekly_Inspections!$B295</f>
        <v>0</v>
      </c>
      <c r="C295" s="23">
        <f>Weekly_Inspections!$E295</f>
        <v>0</v>
      </c>
      <c r="D295" s="23">
        <f>Weekly_Inspections!$F295</f>
        <v>0</v>
      </c>
      <c r="E295" s="21" t="str">
        <f>Weekly_Inspections!$H295</f>
        <v/>
      </c>
      <c r="F295" s="23">
        <f>IF(Weekly_Inspections!$AX295&lt;&gt;"",Weekly_Inspections!$AX295,IF(Weekly_Inspections!$AY295&lt;&gt;"",Weekly_Inspections!$AY295,IF(Weekly_Inspections!$AZ295&lt;&gt;"",Weekly_Inspections!$AZ295,IF(Weekly_Inspections!$BA295&lt;&gt;"",Weekly_Inspections!$BA295,IF(Weekly_Inspections!$BB295&lt;&gt;"",Weekly_Inspections!$BB295,Weekly_Inspections!$R295)))))</f>
        <v>0</v>
      </c>
      <c r="G295" s="23" t="str">
        <f>IF(OR(Weekly_Inspections!$AQ295&lt;&gt;"",Weekly_Inspections!$AR295&lt;&gt;"",Weekly_Inspections!$AS295&lt;&gt;""),Weekly_Inspections!$AQ295,"")</f>
        <v/>
      </c>
      <c r="H295" s="23">
        <f>Weekly_Inspections!$AP295</f>
        <v>0</v>
      </c>
      <c r="I295" s="23">
        <f>Weekly_Inspections!$AR295</f>
        <v>0</v>
      </c>
      <c r="J295" s="23">
        <f>Weekly_Inspections!$AS295</f>
        <v>0</v>
      </c>
      <c r="K295" s="23">
        <f>Weekly_Inspections!$AU295</f>
        <v>0</v>
      </c>
      <c r="L295" s="22">
        <f>Weekly_Inspections!$AV295</f>
        <v>0</v>
      </c>
      <c r="M295" s="23" t="str">
        <f t="shared" si="12"/>
        <v>Open</v>
      </c>
      <c r="N295" s="22"/>
      <c r="O295" s="21">
        <f t="shared" ca="1" si="13"/>
        <v>46113</v>
      </c>
      <c r="P295" s="21" t="str">
        <f t="shared" ca="1" si="14"/>
        <v>YES</v>
      </c>
      <c r="Q295" s="23">
        <f>Weekly_Inspections!$AW295</f>
        <v>0</v>
      </c>
    </row>
    <row r="296" spans="1:17" ht="15" customHeight="1" x14ac:dyDescent="0.2">
      <c r="A296" s="21" t="str">
        <f>IF(Weekly_Inspections!$B296="","",Weekly_Inspections!$A296&amp;"-A1")</f>
        <v/>
      </c>
      <c r="B296" s="22">
        <f>Weekly_Inspections!$B296</f>
        <v>0</v>
      </c>
      <c r="C296" s="23">
        <f>Weekly_Inspections!$E296</f>
        <v>0</v>
      </c>
      <c r="D296" s="23">
        <f>Weekly_Inspections!$F296</f>
        <v>0</v>
      </c>
      <c r="E296" s="21" t="str">
        <f>Weekly_Inspections!$H296</f>
        <v/>
      </c>
      <c r="F296" s="23">
        <f>IF(Weekly_Inspections!$AX296&lt;&gt;"",Weekly_Inspections!$AX296,IF(Weekly_Inspections!$AY296&lt;&gt;"",Weekly_Inspections!$AY296,IF(Weekly_Inspections!$AZ296&lt;&gt;"",Weekly_Inspections!$AZ296,IF(Weekly_Inspections!$BA296&lt;&gt;"",Weekly_Inspections!$BA296,IF(Weekly_Inspections!$BB296&lt;&gt;"",Weekly_Inspections!$BB296,Weekly_Inspections!$R296)))))</f>
        <v>0</v>
      </c>
      <c r="G296" s="23" t="str">
        <f>IF(OR(Weekly_Inspections!$AQ296&lt;&gt;"",Weekly_Inspections!$AR296&lt;&gt;"",Weekly_Inspections!$AS296&lt;&gt;""),Weekly_Inspections!$AQ296,"")</f>
        <v/>
      </c>
      <c r="H296" s="23">
        <f>Weekly_Inspections!$AP296</f>
        <v>0</v>
      </c>
      <c r="I296" s="23">
        <f>Weekly_Inspections!$AR296</f>
        <v>0</v>
      </c>
      <c r="J296" s="23">
        <f>Weekly_Inspections!$AS296</f>
        <v>0</v>
      </c>
      <c r="K296" s="23">
        <f>Weekly_Inspections!$AU296</f>
        <v>0</v>
      </c>
      <c r="L296" s="22">
        <f>Weekly_Inspections!$AV296</f>
        <v>0</v>
      </c>
      <c r="M296" s="23" t="str">
        <f t="shared" si="12"/>
        <v>Open</v>
      </c>
      <c r="N296" s="22"/>
      <c r="O296" s="21">
        <f t="shared" ca="1" si="13"/>
        <v>46113</v>
      </c>
      <c r="P296" s="21" t="str">
        <f t="shared" ca="1" si="14"/>
        <v>YES</v>
      </c>
      <c r="Q296" s="23">
        <f>Weekly_Inspections!$AW296</f>
        <v>0</v>
      </c>
    </row>
    <row r="297" spans="1:17" ht="15" customHeight="1" x14ac:dyDescent="0.2">
      <c r="A297" s="21" t="str">
        <f>IF(Weekly_Inspections!$B297="","",Weekly_Inspections!$A297&amp;"-A1")</f>
        <v/>
      </c>
      <c r="B297" s="22">
        <f>Weekly_Inspections!$B297</f>
        <v>0</v>
      </c>
      <c r="C297" s="23">
        <f>Weekly_Inspections!$E297</f>
        <v>0</v>
      </c>
      <c r="D297" s="23">
        <f>Weekly_Inspections!$F297</f>
        <v>0</v>
      </c>
      <c r="E297" s="21" t="str">
        <f>Weekly_Inspections!$H297</f>
        <v/>
      </c>
      <c r="F297" s="23">
        <f>IF(Weekly_Inspections!$AX297&lt;&gt;"",Weekly_Inspections!$AX297,IF(Weekly_Inspections!$AY297&lt;&gt;"",Weekly_Inspections!$AY297,IF(Weekly_Inspections!$AZ297&lt;&gt;"",Weekly_Inspections!$AZ297,IF(Weekly_Inspections!$BA297&lt;&gt;"",Weekly_Inspections!$BA297,IF(Weekly_Inspections!$BB297&lt;&gt;"",Weekly_Inspections!$BB297,Weekly_Inspections!$R297)))))</f>
        <v>0</v>
      </c>
      <c r="G297" s="23" t="str">
        <f>IF(OR(Weekly_Inspections!$AQ297&lt;&gt;"",Weekly_Inspections!$AR297&lt;&gt;"",Weekly_Inspections!$AS297&lt;&gt;""),Weekly_Inspections!$AQ297,"")</f>
        <v/>
      </c>
      <c r="H297" s="23">
        <f>Weekly_Inspections!$AP297</f>
        <v>0</v>
      </c>
      <c r="I297" s="23">
        <f>Weekly_Inspections!$AR297</f>
        <v>0</v>
      </c>
      <c r="J297" s="23">
        <f>Weekly_Inspections!$AS297</f>
        <v>0</v>
      </c>
      <c r="K297" s="23">
        <f>Weekly_Inspections!$AU297</f>
        <v>0</v>
      </c>
      <c r="L297" s="22">
        <f>Weekly_Inspections!$AV297</f>
        <v>0</v>
      </c>
      <c r="M297" s="23" t="str">
        <f t="shared" si="12"/>
        <v>Open</v>
      </c>
      <c r="N297" s="22"/>
      <c r="O297" s="21">
        <f t="shared" ca="1" si="13"/>
        <v>46113</v>
      </c>
      <c r="P297" s="21" t="str">
        <f t="shared" ca="1" si="14"/>
        <v>YES</v>
      </c>
      <c r="Q297" s="23">
        <f>Weekly_Inspections!$AW297</f>
        <v>0</v>
      </c>
    </row>
    <row r="298" spans="1:17" ht="15" customHeight="1" x14ac:dyDescent="0.2">
      <c r="A298" s="21" t="str">
        <f>IF(Weekly_Inspections!$B298="","",Weekly_Inspections!$A298&amp;"-A1")</f>
        <v/>
      </c>
      <c r="B298" s="22">
        <f>Weekly_Inspections!$B298</f>
        <v>0</v>
      </c>
      <c r="C298" s="23">
        <f>Weekly_Inspections!$E298</f>
        <v>0</v>
      </c>
      <c r="D298" s="23">
        <f>Weekly_Inspections!$F298</f>
        <v>0</v>
      </c>
      <c r="E298" s="21" t="str">
        <f>Weekly_Inspections!$H298</f>
        <v/>
      </c>
      <c r="F298" s="23">
        <f>IF(Weekly_Inspections!$AX298&lt;&gt;"",Weekly_Inspections!$AX298,IF(Weekly_Inspections!$AY298&lt;&gt;"",Weekly_Inspections!$AY298,IF(Weekly_Inspections!$AZ298&lt;&gt;"",Weekly_Inspections!$AZ298,IF(Weekly_Inspections!$BA298&lt;&gt;"",Weekly_Inspections!$BA298,IF(Weekly_Inspections!$BB298&lt;&gt;"",Weekly_Inspections!$BB298,Weekly_Inspections!$R298)))))</f>
        <v>0</v>
      </c>
      <c r="G298" s="23" t="str">
        <f>IF(OR(Weekly_Inspections!$AQ298&lt;&gt;"",Weekly_Inspections!$AR298&lt;&gt;"",Weekly_Inspections!$AS298&lt;&gt;""),Weekly_Inspections!$AQ298,"")</f>
        <v/>
      </c>
      <c r="H298" s="23">
        <f>Weekly_Inspections!$AP298</f>
        <v>0</v>
      </c>
      <c r="I298" s="23">
        <f>Weekly_Inspections!$AR298</f>
        <v>0</v>
      </c>
      <c r="J298" s="23">
        <f>Weekly_Inspections!$AS298</f>
        <v>0</v>
      </c>
      <c r="K298" s="23">
        <f>Weekly_Inspections!$AU298</f>
        <v>0</v>
      </c>
      <c r="L298" s="22">
        <f>Weekly_Inspections!$AV298</f>
        <v>0</v>
      </c>
      <c r="M298" s="23" t="str">
        <f t="shared" si="12"/>
        <v>Open</v>
      </c>
      <c r="N298" s="22"/>
      <c r="O298" s="21">
        <f t="shared" ca="1" si="13"/>
        <v>46113</v>
      </c>
      <c r="P298" s="21" t="str">
        <f t="shared" ca="1" si="14"/>
        <v>YES</v>
      </c>
      <c r="Q298" s="23">
        <f>Weekly_Inspections!$AW298</f>
        <v>0</v>
      </c>
    </row>
    <row r="299" spans="1:17" ht="15" customHeight="1" x14ac:dyDescent="0.2">
      <c r="A299" s="21" t="str">
        <f>IF(Weekly_Inspections!$B299="","",Weekly_Inspections!$A299&amp;"-A1")</f>
        <v/>
      </c>
      <c r="B299" s="22">
        <f>Weekly_Inspections!$B299</f>
        <v>0</v>
      </c>
      <c r="C299" s="23">
        <f>Weekly_Inspections!$E299</f>
        <v>0</v>
      </c>
      <c r="D299" s="23">
        <f>Weekly_Inspections!$F299</f>
        <v>0</v>
      </c>
      <c r="E299" s="21" t="str">
        <f>Weekly_Inspections!$H299</f>
        <v/>
      </c>
      <c r="F299" s="23">
        <f>IF(Weekly_Inspections!$AX299&lt;&gt;"",Weekly_Inspections!$AX299,IF(Weekly_Inspections!$AY299&lt;&gt;"",Weekly_Inspections!$AY299,IF(Weekly_Inspections!$AZ299&lt;&gt;"",Weekly_Inspections!$AZ299,IF(Weekly_Inspections!$BA299&lt;&gt;"",Weekly_Inspections!$BA299,IF(Weekly_Inspections!$BB299&lt;&gt;"",Weekly_Inspections!$BB299,Weekly_Inspections!$R299)))))</f>
        <v>0</v>
      </c>
      <c r="G299" s="23" t="str">
        <f>IF(OR(Weekly_Inspections!$AQ299&lt;&gt;"",Weekly_Inspections!$AR299&lt;&gt;"",Weekly_Inspections!$AS299&lt;&gt;""),Weekly_Inspections!$AQ299,"")</f>
        <v/>
      </c>
      <c r="H299" s="23">
        <f>Weekly_Inspections!$AP299</f>
        <v>0</v>
      </c>
      <c r="I299" s="23">
        <f>Weekly_Inspections!$AR299</f>
        <v>0</v>
      </c>
      <c r="J299" s="23">
        <f>Weekly_Inspections!$AS299</f>
        <v>0</v>
      </c>
      <c r="K299" s="23">
        <f>Weekly_Inspections!$AU299</f>
        <v>0</v>
      </c>
      <c r="L299" s="22">
        <f>Weekly_Inspections!$AV299</f>
        <v>0</v>
      </c>
      <c r="M299" s="23" t="str">
        <f t="shared" si="12"/>
        <v>Open</v>
      </c>
      <c r="N299" s="22"/>
      <c r="O299" s="21">
        <f t="shared" ca="1" si="13"/>
        <v>46113</v>
      </c>
      <c r="P299" s="21" t="str">
        <f t="shared" ca="1" si="14"/>
        <v>YES</v>
      </c>
      <c r="Q299" s="23">
        <f>Weekly_Inspections!$AW299</f>
        <v>0</v>
      </c>
    </row>
    <row r="300" spans="1:17" ht="15" customHeight="1" x14ac:dyDescent="0.2">
      <c r="A300" s="21" t="str">
        <f>IF(Weekly_Inspections!$B300="","",Weekly_Inspections!$A300&amp;"-A1")</f>
        <v/>
      </c>
      <c r="B300" s="22">
        <f>Weekly_Inspections!$B300</f>
        <v>0</v>
      </c>
      <c r="C300" s="23">
        <f>Weekly_Inspections!$E300</f>
        <v>0</v>
      </c>
      <c r="D300" s="23">
        <f>Weekly_Inspections!$F300</f>
        <v>0</v>
      </c>
      <c r="E300" s="21" t="str">
        <f>Weekly_Inspections!$H300</f>
        <v/>
      </c>
      <c r="F300" s="23">
        <f>IF(Weekly_Inspections!$AX300&lt;&gt;"",Weekly_Inspections!$AX300,IF(Weekly_Inspections!$AY300&lt;&gt;"",Weekly_Inspections!$AY300,IF(Weekly_Inspections!$AZ300&lt;&gt;"",Weekly_Inspections!$AZ300,IF(Weekly_Inspections!$BA300&lt;&gt;"",Weekly_Inspections!$BA300,IF(Weekly_Inspections!$BB300&lt;&gt;"",Weekly_Inspections!$BB300,Weekly_Inspections!$R300)))))</f>
        <v>0</v>
      </c>
      <c r="G300" s="23" t="str">
        <f>IF(OR(Weekly_Inspections!$AQ300&lt;&gt;"",Weekly_Inspections!$AR300&lt;&gt;"",Weekly_Inspections!$AS300&lt;&gt;""),Weekly_Inspections!$AQ300,"")</f>
        <v/>
      </c>
      <c r="H300" s="23">
        <f>Weekly_Inspections!$AP300</f>
        <v>0</v>
      </c>
      <c r="I300" s="23">
        <f>Weekly_Inspections!$AR300</f>
        <v>0</v>
      </c>
      <c r="J300" s="23">
        <f>Weekly_Inspections!$AS300</f>
        <v>0</v>
      </c>
      <c r="K300" s="23">
        <f>Weekly_Inspections!$AU300</f>
        <v>0</v>
      </c>
      <c r="L300" s="22">
        <f>Weekly_Inspections!$AV300</f>
        <v>0</v>
      </c>
      <c r="M300" s="23" t="str">
        <f t="shared" si="12"/>
        <v>Open</v>
      </c>
      <c r="N300" s="22"/>
      <c r="O300" s="21">
        <f t="shared" ca="1" si="13"/>
        <v>46113</v>
      </c>
      <c r="P300" s="21" t="str">
        <f t="shared" ca="1" si="14"/>
        <v>YES</v>
      </c>
      <c r="Q300" s="23">
        <f>Weekly_Inspections!$AW300</f>
        <v>0</v>
      </c>
    </row>
    <row r="301" spans="1:17" ht="15" customHeight="1" x14ac:dyDescent="0.2">
      <c r="A301" s="21" t="str">
        <f>IF(Weekly_Inspections!$B301="","",Weekly_Inspections!$A301&amp;"-A1")</f>
        <v/>
      </c>
      <c r="B301" s="22">
        <f>Weekly_Inspections!$B301</f>
        <v>0</v>
      </c>
      <c r="C301" s="23">
        <f>Weekly_Inspections!$E301</f>
        <v>0</v>
      </c>
      <c r="D301" s="23">
        <f>Weekly_Inspections!$F301</f>
        <v>0</v>
      </c>
      <c r="E301" s="21" t="str">
        <f>Weekly_Inspections!$H301</f>
        <v/>
      </c>
      <c r="F301" s="23">
        <f>IF(Weekly_Inspections!$AX301&lt;&gt;"",Weekly_Inspections!$AX301,IF(Weekly_Inspections!$AY301&lt;&gt;"",Weekly_Inspections!$AY301,IF(Weekly_Inspections!$AZ301&lt;&gt;"",Weekly_Inspections!$AZ301,IF(Weekly_Inspections!$BA301&lt;&gt;"",Weekly_Inspections!$BA301,IF(Weekly_Inspections!$BB301&lt;&gt;"",Weekly_Inspections!$BB301,Weekly_Inspections!$R301)))))</f>
        <v>0</v>
      </c>
      <c r="G301" s="23" t="str">
        <f>IF(OR(Weekly_Inspections!$AQ301&lt;&gt;"",Weekly_Inspections!$AR301&lt;&gt;"",Weekly_Inspections!$AS301&lt;&gt;""),Weekly_Inspections!$AQ301,"")</f>
        <v/>
      </c>
      <c r="H301" s="23">
        <f>Weekly_Inspections!$AP301</f>
        <v>0</v>
      </c>
      <c r="I301" s="23">
        <f>Weekly_Inspections!$AR301</f>
        <v>0</v>
      </c>
      <c r="J301" s="23">
        <f>Weekly_Inspections!$AS301</f>
        <v>0</v>
      </c>
      <c r="K301" s="23">
        <f>Weekly_Inspections!$AU301</f>
        <v>0</v>
      </c>
      <c r="L301" s="22">
        <f>Weekly_Inspections!$AV301</f>
        <v>0</v>
      </c>
      <c r="M301" s="23" t="str">
        <f t="shared" si="12"/>
        <v>Open</v>
      </c>
      <c r="N301" s="22"/>
      <c r="O301" s="21">
        <f t="shared" ca="1" si="13"/>
        <v>46113</v>
      </c>
      <c r="P301" s="21" t="str">
        <f t="shared" ca="1" si="14"/>
        <v>YES</v>
      </c>
      <c r="Q301" s="23">
        <f>Weekly_Inspections!$AW301</f>
        <v>0</v>
      </c>
    </row>
    <row r="302" spans="1:17" ht="15" customHeight="1" x14ac:dyDescent="0.2">
      <c r="A302" s="21" t="str">
        <f>IF(Weekly_Inspections!$B302="","",Weekly_Inspections!$A302&amp;"-A1")</f>
        <v/>
      </c>
      <c r="B302" s="22">
        <f>Weekly_Inspections!$B302</f>
        <v>0</v>
      </c>
      <c r="C302" s="23">
        <f>Weekly_Inspections!$E302</f>
        <v>0</v>
      </c>
      <c r="D302" s="23">
        <f>Weekly_Inspections!$F302</f>
        <v>0</v>
      </c>
      <c r="E302" s="21" t="str">
        <f>Weekly_Inspections!$H302</f>
        <v/>
      </c>
      <c r="F302" s="23">
        <f>IF(Weekly_Inspections!$AX302&lt;&gt;"",Weekly_Inspections!$AX302,IF(Weekly_Inspections!$AY302&lt;&gt;"",Weekly_Inspections!$AY302,IF(Weekly_Inspections!$AZ302&lt;&gt;"",Weekly_Inspections!$AZ302,IF(Weekly_Inspections!$BA302&lt;&gt;"",Weekly_Inspections!$BA302,IF(Weekly_Inspections!$BB302&lt;&gt;"",Weekly_Inspections!$BB302,Weekly_Inspections!$R302)))))</f>
        <v>0</v>
      </c>
      <c r="G302" s="23" t="str">
        <f>IF(OR(Weekly_Inspections!$AQ302&lt;&gt;"",Weekly_Inspections!$AR302&lt;&gt;"",Weekly_Inspections!$AS302&lt;&gt;""),Weekly_Inspections!$AQ302,"")</f>
        <v/>
      </c>
      <c r="H302" s="23">
        <f>Weekly_Inspections!$AP302</f>
        <v>0</v>
      </c>
      <c r="I302" s="23">
        <f>Weekly_Inspections!$AR302</f>
        <v>0</v>
      </c>
      <c r="J302" s="23">
        <f>Weekly_Inspections!$AS302</f>
        <v>0</v>
      </c>
      <c r="K302" s="23">
        <f>Weekly_Inspections!$AU302</f>
        <v>0</v>
      </c>
      <c r="L302" s="22">
        <f>Weekly_Inspections!$AV302</f>
        <v>0</v>
      </c>
      <c r="M302" s="23" t="str">
        <f t="shared" si="12"/>
        <v>Open</v>
      </c>
      <c r="N302" s="22"/>
      <c r="O302" s="21">
        <f t="shared" ca="1" si="13"/>
        <v>46113</v>
      </c>
      <c r="P302" s="21" t="str">
        <f t="shared" ca="1" si="14"/>
        <v>YES</v>
      </c>
      <c r="Q302" s="23">
        <f>Weekly_Inspections!$AW302</f>
        <v>0</v>
      </c>
    </row>
    <row r="303" spans="1:17" ht="15" customHeight="1" x14ac:dyDescent="0.2">
      <c r="A303" s="21" t="str">
        <f>IF(Weekly_Inspections!$B303="","",Weekly_Inspections!$A303&amp;"-A1")</f>
        <v/>
      </c>
      <c r="B303" s="22">
        <f>Weekly_Inspections!$B303</f>
        <v>0</v>
      </c>
      <c r="C303" s="23">
        <f>Weekly_Inspections!$E303</f>
        <v>0</v>
      </c>
      <c r="D303" s="23">
        <f>Weekly_Inspections!$F303</f>
        <v>0</v>
      </c>
      <c r="E303" s="21" t="str">
        <f>Weekly_Inspections!$H303</f>
        <v/>
      </c>
      <c r="F303" s="23">
        <f>IF(Weekly_Inspections!$AX303&lt;&gt;"",Weekly_Inspections!$AX303,IF(Weekly_Inspections!$AY303&lt;&gt;"",Weekly_Inspections!$AY303,IF(Weekly_Inspections!$AZ303&lt;&gt;"",Weekly_Inspections!$AZ303,IF(Weekly_Inspections!$BA303&lt;&gt;"",Weekly_Inspections!$BA303,IF(Weekly_Inspections!$BB303&lt;&gt;"",Weekly_Inspections!$BB303,Weekly_Inspections!$R303)))))</f>
        <v>0</v>
      </c>
      <c r="G303" s="23" t="str">
        <f>IF(OR(Weekly_Inspections!$AQ303&lt;&gt;"",Weekly_Inspections!$AR303&lt;&gt;"",Weekly_Inspections!$AS303&lt;&gt;""),Weekly_Inspections!$AQ303,"")</f>
        <v/>
      </c>
      <c r="H303" s="23">
        <f>Weekly_Inspections!$AP303</f>
        <v>0</v>
      </c>
      <c r="I303" s="23">
        <f>Weekly_Inspections!$AR303</f>
        <v>0</v>
      </c>
      <c r="J303" s="23">
        <f>Weekly_Inspections!$AS303</f>
        <v>0</v>
      </c>
      <c r="K303" s="23">
        <f>Weekly_Inspections!$AU303</f>
        <v>0</v>
      </c>
      <c r="L303" s="22">
        <f>Weekly_Inspections!$AV303</f>
        <v>0</v>
      </c>
      <c r="M303" s="23" t="str">
        <f t="shared" si="12"/>
        <v>Open</v>
      </c>
      <c r="N303" s="22"/>
      <c r="O303" s="21">
        <f t="shared" ca="1" si="13"/>
        <v>46113</v>
      </c>
      <c r="P303" s="21" t="str">
        <f t="shared" ca="1" si="14"/>
        <v>YES</v>
      </c>
      <c r="Q303" s="23">
        <f>Weekly_Inspections!$AW303</f>
        <v>0</v>
      </c>
    </row>
    <row r="304" spans="1:17" ht="15" customHeight="1" x14ac:dyDescent="0.2">
      <c r="A304" s="21" t="str">
        <f>IF(Weekly_Inspections!$B304="","",Weekly_Inspections!$A304&amp;"-A1")</f>
        <v/>
      </c>
      <c r="B304" s="22">
        <f>Weekly_Inspections!$B304</f>
        <v>0</v>
      </c>
      <c r="C304" s="23">
        <f>Weekly_Inspections!$E304</f>
        <v>0</v>
      </c>
      <c r="D304" s="23">
        <f>Weekly_Inspections!$F304</f>
        <v>0</v>
      </c>
      <c r="E304" s="21" t="str">
        <f>Weekly_Inspections!$H304</f>
        <v/>
      </c>
      <c r="F304" s="23">
        <f>IF(Weekly_Inspections!$AX304&lt;&gt;"",Weekly_Inspections!$AX304,IF(Weekly_Inspections!$AY304&lt;&gt;"",Weekly_Inspections!$AY304,IF(Weekly_Inspections!$AZ304&lt;&gt;"",Weekly_Inspections!$AZ304,IF(Weekly_Inspections!$BA304&lt;&gt;"",Weekly_Inspections!$BA304,IF(Weekly_Inspections!$BB304&lt;&gt;"",Weekly_Inspections!$BB304,Weekly_Inspections!$R304)))))</f>
        <v>0</v>
      </c>
      <c r="G304" s="23" t="str">
        <f>IF(OR(Weekly_Inspections!$AQ304&lt;&gt;"",Weekly_Inspections!$AR304&lt;&gt;"",Weekly_Inspections!$AS304&lt;&gt;""),Weekly_Inspections!$AQ304,"")</f>
        <v/>
      </c>
      <c r="H304" s="23">
        <f>Weekly_Inspections!$AP304</f>
        <v>0</v>
      </c>
      <c r="I304" s="23">
        <f>Weekly_Inspections!$AR304</f>
        <v>0</v>
      </c>
      <c r="J304" s="23">
        <f>Weekly_Inspections!$AS304</f>
        <v>0</v>
      </c>
      <c r="K304" s="23">
        <f>Weekly_Inspections!$AU304</f>
        <v>0</v>
      </c>
      <c r="L304" s="22">
        <f>Weekly_Inspections!$AV304</f>
        <v>0</v>
      </c>
      <c r="M304" s="23" t="str">
        <f t="shared" si="12"/>
        <v>Open</v>
      </c>
      <c r="N304" s="22"/>
      <c r="O304" s="21">
        <f t="shared" ca="1" si="13"/>
        <v>46113</v>
      </c>
      <c r="P304" s="21" t="str">
        <f t="shared" ca="1" si="14"/>
        <v>YES</v>
      </c>
      <c r="Q304" s="23">
        <f>Weekly_Inspections!$AW304</f>
        <v>0</v>
      </c>
    </row>
    <row r="305" spans="1:17" ht="15" customHeight="1" x14ac:dyDescent="0.2">
      <c r="A305" s="21" t="str">
        <f>IF(Weekly_Inspections!$B305="","",Weekly_Inspections!$A305&amp;"-A1")</f>
        <v/>
      </c>
      <c r="B305" s="22">
        <f>Weekly_Inspections!$B305</f>
        <v>0</v>
      </c>
      <c r="C305" s="23">
        <f>Weekly_Inspections!$E305</f>
        <v>0</v>
      </c>
      <c r="D305" s="23">
        <f>Weekly_Inspections!$F305</f>
        <v>0</v>
      </c>
      <c r="E305" s="21" t="str">
        <f>Weekly_Inspections!$H305</f>
        <v/>
      </c>
      <c r="F305" s="23">
        <f>IF(Weekly_Inspections!$AX305&lt;&gt;"",Weekly_Inspections!$AX305,IF(Weekly_Inspections!$AY305&lt;&gt;"",Weekly_Inspections!$AY305,IF(Weekly_Inspections!$AZ305&lt;&gt;"",Weekly_Inspections!$AZ305,IF(Weekly_Inspections!$BA305&lt;&gt;"",Weekly_Inspections!$BA305,IF(Weekly_Inspections!$BB305&lt;&gt;"",Weekly_Inspections!$BB305,Weekly_Inspections!$R305)))))</f>
        <v>0</v>
      </c>
      <c r="G305" s="23" t="str">
        <f>IF(OR(Weekly_Inspections!$AQ305&lt;&gt;"",Weekly_Inspections!$AR305&lt;&gt;"",Weekly_Inspections!$AS305&lt;&gt;""),Weekly_Inspections!$AQ305,"")</f>
        <v/>
      </c>
      <c r="H305" s="23">
        <f>Weekly_Inspections!$AP305</f>
        <v>0</v>
      </c>
      <c r="I305" s="23">
        <f>Weekly_Inspections!$AR305</f>
        <v>0</v>
      </c>
      <c r="J305" s="23">
        <f>Weekly_Inspections!$AS305</f>
        <v>0</v>
      </c>
      <c r="K305" s="23">
        <f>Weekly_Inspections!$AU305</f>
        <v>0</v>
      </c>
      <c r="L305" s="22">
        <f>Weekly_Inspections!$AV305</f>
        <v>0</v>
      </c>
      <c r="M305" s="23" t="str">
        <f t="shared" si="12"/>
        <v>Open</v>
      </c>
      <c r="N305" s="22"/>
      <c r="O305" s="21">
        <f t="shared" ca="1" si="13"/>
        <v>46113</v>
      </c>
      <c r="P305" s="21" t="str">
        <f t="shared" ca="1" si="14"/>
        <v>YES</v>
      </c>
      <c r="Q305" s="23">
        <f>Weekly_Inspections!$AW305</f>
        <v>0</v>
      </c>
    </row>
    <row r="306" spans="1:17" ht="15" customHeight="1" x14ac:dyDescent="0.2">
      <c r="A306" s="21" t="str">
        <f>IF(Weekly_Inspections!$B306="","",Weekly_Inspections!$A306&amp;"-A1")</f>
        <v/>
      </c>
      <c r="B306" s="22">
        <f>Weekly_Inspections!$B306</f>
        <v>0</v>
      </c>
      <c r="C306" s="23">
        <f>Weekly_Inspections!$E306</f>
        <v>0</v>
      </c>
      <c r="D306" s="23">
        <f>Weekly_Inspections!$F306</f>
        <v>0</v>
      </c>
      <c r="E306" s="21" t="str">
        <f>Weekly_Inspections!$H306</f>
        <v/>
      </c>
      <c r="F306" s="23">
        <f>IF(Weekly_Inspections!$AX306&lt;&gt;"",Weekly_Inspections!$AX306,IF(Weekly_Inspections!$AY306&lt;&gt;"",Weekly_Inspections!$AY306,IF(Weekly_Inspections!$AZ306&lt;&gt;"",Weekly_Inspections!$AZ306,IF(Weekly_Inspections!$BA306&lt;&gt;"",Weekly_Inspections!$BA306,IF(Weekly_Inspections!$BB306&lt;&gt;"",Weekly_Inspections!$BB306,Weekly_Inspections!$R306)))))</f>
        <v>0</v>
      </c>
      <c r="G306" s="23" t="str">
        <f>IF(OR(Weekly_Inspections!$AQ306&lt;&gt;"",Weekly_Inspections!$AR306&lt;&gt;"",Weekly_Inspections!$AS306&lt;&gt;""),Weekly_Inspections!$AQ306,"")</f>
        <v/>
      </c>
      <c r="H306" s="23">
        <f>Weekly_Inspections!$AP306</f>
        <v>0</v>
      </c>
      <c r="I306" s="23">
        <f>Weekly_Inspections!$AR306</f>
        <v>0</v>
      </c>
      <c r="J306" s="23">
        <f>Weekly_Inspections!$AS306</f>
        <v>0</v>
      </c>
      <c r="K306" s="23">
        <f>Weekly_Inspections!$AU306</f>
        <v>0</v>
      </c>
      <c r="L306" s="22">
        <f>Weekly_Inspections!$AV306</f>
        <v>0</v>
      </c>
      <c r="M306" s="23" t="str">
        <f t="shared" si="12"/>
        <v>Open</v>
      </c>
      <c r="N306" s="22"/>
      <c r="O306" s="21">
        <f t="shared" ca="1" si="13"/>
        <v>46113</v>
      </c>
      <c r="P306" s="21" t="str">
        <f t="shared" ca="1" si="14"/>
        <v>YES</v>
      </c>
      <c r="Q306" s="23">
        <f>Weekly_Inspections!$AW306</f>
        <v>0</v>
      </c>
    </row>
    <row r="307" spans="1:17" ht="15" customHeight="1" x14ac:dyDescent="0.2">
      <c r="A307" s="21" t="str">
        <f>IF(Weekly_Inspections!$B307="","",Weekly_Inspections!$A307&amp;"-A1")</f>
        <v/>
      </c>
      <c r="B307" s="22">
        <f>Weekly_Inspections!$B307</f>
        <v>0</v>
      </c>
      <c r="C307" s="23">
        <f>Weekly_Inspections!$E307</f>
        <v>0</v>
      </c>
      <c r="D307" s="23">
        <f>Weekly_Inspections!$F307</f>
        <v>0</v>
      </c>
      <c r="E307" s="21" t="str">
        <f>Weekly_Inspections!$H307</f>
        <v/>
      </c>
      <c r="F307" s="23">
        <f>IF(Weekly_Inspections!$AX307&lt;&gt;"",Weekly_Inspections!$AX307,IF(Weekly_Inspections!$AY307&lt;&gt;"",Weekly_Inspections!$AY307,IF(Weekly_Inspections!$AZ307&lt;&gt;"",Weekly_Inspections!$AZ307,IF(Weekly_Inspections!$BA307&lt;&gt;"",Weekly_Inspections!$BA307,IF(Weekly_Inspections!$BB307&lt;&gt;"",Weekly_Inspections!$BB307,Weekly_Inspections!$R307)))))</f>
        <v>0</v>
      </c>
      <c r="G307" s="23" t="str">
        <f>IF(OR(Weekly_Inspections!$AQ307&lt;&gt;"",Weekly_Inspections!$AR307&lt;&gt;"",Weekly_Inspections!$AS307&lt;&gt;""),Weekly_Inspections!$AQ307,"")</f>
        <v/>
      </c>
      <c r="H307" s="23">
        <f>Weekly_Inspections!$AP307</f>
        <v>0</v>
      </c>
      <c r="I307" s="23">
        <f>Weekly_Inspections!$AR307</f>
        <v>0</v>
      </c>
      <c r="J307" s="23">
        <f>Weekly_Inspections!$AS307</f>
        <v>0</v>
      </c>
      <c r="K307" s="23">
        <f>Weekly_Inspections!$AU307</f>
        <v>0</v>
      </c>
      <c r="L307" s="22">
        <f>Weekly_Inspections!$AV307</f>
        <v>0</v>
      </c>
      <c r="M307" s="23" t="str">
        <f t="shared" si="12"/>
        <v>Open</v>
      </c>
      <c r="N307" s="22"/>
      <c r="O307" s="21">
        <f t="shared" ca="1" si="13"/>
        <v>46113</v>
      </c>
      <c r="P307" s="21" t="str">
        <f t="shared" ca="1" si="14"/>
        <v>YES</v>
      </c>
      <c r="Q307" s="23">
        <f>Weekly_Inspections!$AW307</f>
        <v>0</v>
      </c>
    </row>
    <row r="308" spans="1:17" ht="15" customHeight="1" x14ac:dyDescent="0.2">
      <c r="A308" s="21" t="str">
        <f>IF(Weekly_Inspections!$B308="","",Weekly_Inspections!$A308&amp;"-A1")</f>
        <v/>
      </c>
      <c r="B308" s="22">
        <f>Weekly_Inspections!$B308</f>
        <v>0</v>
      </c>
      <c r="C308" s="23">
        <f>Weekly_Inspections!$E308</f>
        <v>0</v>
      </c>
      <c r="D308" s="23">
        <f>Weekly_Inspections!$F308</f>
        <v>0</v>
      </c>
      <c r="E308" s="21" t="str">
        <f>Weekly_Inspections!$H308</f>
        <v/>
      </c>
      <c r="F308" s="23">
        <f>IF(Weekly_Inspections!$AX308&lt;&gt;"",Weekly_Inspections!$AX308,IF(Weekly_Inspections!$AY308&lt;&gt;"",Weekly_Inspections!$AY308,IF(Weekly_Inspections!$AZ308&lt;&gt;"",Weekly_Inspections!$AZ308,IF(Weekly_Inspections!$BA308&lt;&gt;"",Weekly_Inspections!$BA308,IF(Weekly_Inspections!$BB308&lt;&gt;"",Weekly_Inspections!$BB308,Weekly_Inspections!$R308)))))</f>
        <v>0</v>
      </c>
      <c r="G308" s="23" t="str">
        <f>IF(OR(Weekly_Inspections!$AQ308&lt;&gt;"",Weekly_Inspections!$AR308&lt;&gt;"",Weekly_Inspections!$AS308&lt;&gt;""),Weekly_Inspections!$AQ308,"")</f>
        <v/>
      </c>
      <c r="H308" s="23">
        <f>Weekly_Inspections!$AP308</f>
        <v>0</v>
      </c>
      <c r="I308" s="23">
        <f>Weekly_Inspections!$AR308</f>
        <v>0</v>
      </c>
      <c r="J308" s="23">
        <f>Weekly_Inspections!$AS308</f>
        <v>0</v>
      </c>
      <c r="K308" s="23">
        <f>Weekly_Inspections!$AU308</f>
        <v>0</v>
      </c>
      <c r="L308" s="22">
        <f>Weekly_Inspections!$AV308</f>
        <v>0</v>
      </c>
      <c r="M308" s="23" t="str">
        <f t="shared" si="12"/>
        <v>Open</v>
      </c>
      <c r="N308" s="22"/>
      <c r="O308" s="21">
        <f t="shared" ca="1" si="13"/>
        <v>46113</v>
      </c>
      <c r="P308" s="21" t="str">
        <f t="shared" ca="1" si="14"/>
        <v>YES</v>
      </c>
      <c r="Q308" s="23">
        <f>Weekly_Inspections!$AW308</f>
        <v>0</v>
      </c>
    </row>
    <row r="309" spans="1:17" ht="15" customHeight="1" x14ac:dyDescent="0.2">
      <c r="A309" s="21" t="str">
        <f>IF(Weekly_Inspections!$B309="","",Weekly_Inspections!$A309&amp;"-A1")</f>
        <v/>
      </c>
      <c r="B309" s="22">
        <f>Weekly_Inspections!$B309</f>
        <v>0</v>
      </c>
      <c r="C309" s="23">
        <f>Weekly_Inspections!$E309</f>
        <v>0</v>
      </c>
      <c r="D309" s="23">
        <f>Weekly_Inspections!$F309</f>
        <v>0</v>
      </c>
      <c r="E309" s="21" t="str">
        <f>Weekly_Inspections!$H309</f>
        <v/>
      </c>
      <c r="F309" s="23">
        <f>IF(Weekly_Inspections!$AX309&lt;&gt;"",Weekly_Inspections!$AX309,IF(Weekly_Inspections!$AY309&lt;&gt;"",Weekly_Inspections!$AY309,IF(Weekly_Inspections!$AZ309&lt;&gt;"",Weekly_Inspections!$AZ309,IF(Weekly_Inspections!$BA309&lt;&gt;"",Weekly_Inspections!$BA309,IF(Weekly_Inspections!$BB309&lt;&gt;"",Weekly_Inspections!$BB309,Weekly_Inspections!$R309)))))</f>
        <v>0</v>
      </c>
      <c r="G309" s="23" t="str">
        <f>IF(OR(Weekly_Inspections!$AQ309&lt;&gt;"",Weekly_Inspections!$AR309&lt;&gt;"",Weekly_Inspections!$AS309&lt;&gt;""),Weekly_Inspections!$AQ309,"")</f>
        <v/>
      </c>
      <c r="H309" s="23">
        <f>Weekly_Inspections!$AP309</f>
        <v>0</v>
      </c>
      <c r="I309" s="23">
        <f>Weekly_Inspections!$AR309</f>
        <v>0</v>
      </c>
      <c r="J309" s="23">
        <f>Weekly_Inspections!$AS309</f>
        <v>0</v>
      </c>
      <c r="K309" s="23">
        <f>Weekly_Inspections!$AU309</f>
        <v>0</v>
      </c>
      <c r="L309" s="22">
        <f>Weekly_Inspections!$AV309</f>
        <v>0</v>
      </c>
      <c r="M309" s="23" t="str">
        <f t="shared" si="12"/>
        <v>Open</v>
      </c>
      <c r="N309" s="22"/>
      <c r="O309" s="21">
        <f t="shared" ca="1" si="13"/>
        <v>46113</v>
      </c>
      <c r="P309" s="21" t="str">
        <f t="shared" ca="1" si="14"/>
        <v>YES</v>
      </c>
      <c r="Q309" s="23">
        <f>Weekly_Inspections!$AW309</f>
        <v>0</v>
      </c>
    </row>
    <row r="310" spans="1:17" ht="15" customHeight="1" x14ac:dyDescent="0.2">
      <c r="A310" s="21" t="str">
        <f>IF(Weekly_Inspections!$B310="","",Weekly_Inspections!$A310&amp;"-A1")</f>
        <v/>
      </c>
      <c r="B310" s="22">
        <f>Weekly_Inspections!$B310</f>
        <v>0</v>
      </c>
      <c r="C310" s="23">
        <f>Weekly_Inspections!$E310</f>
        <v>0</v>
      </c>
      <c r="D310" s="23">
        <f>Weekly_Inspections!$F310</f>
        <v>0</v>
      </c>
      <c r="E310" s="21" t="str">
        <f>Weekly_Inspections!$H310</f>
        <v/>
      </c>
      <c r="F310" s="23">
        <f>IF(Weekly_Inspections!$AX310&lt;&gt;"",Weekly_Inspections!$AX310,IF(Weekly_Inspections!$AY310&lt;&gt;"",Weekly_Inspections!$AY310,IF(Weekly_Inspections!$AZ310&lt;&gt;"",Weekly_Inspections!$AZ310,IF(Weekly_Inspections!$BA310&lt;&gt;"",Weekly_Inspections!$BA310,IF(Weekly_Inspections!$BB310&lt;&gt;"",Weekly_Inspections!$BB310,Weekly_Inspections!$R310)))))</f>
        <v>0</v>
      </c>
      <c r="G310" s="23" t="str">
        <f>IF(OR(Weekly_Inspections!$AQ310&lt;&gt;"",Weekly_Inspections!$AR310&lt;&gt;"",Weekly_Inspections!$AS310&lt;&gt;""),Weekly_Inspections!$AQ310,"")</f>
        <v/>
      </c>
      <c r="H310" s="23">
        <f>Weekly_Inspections!$AP310</f>
        <v>0</v>
      </c>
      <c r="I310" s="23">
        <f>Weekly_Inspections!$AR310</f>
        <v>0</v>
      </c>
      <c r="J310" s="23">
        <f>Weekly_Inspections!$AS310</f>
        <v>0</v>
      </c>
      <c r="K310" s="23">
        <f>Weekly_Inspections!$AU310</f>
        <v>0</v>
      </c>
      <c r="L310" s="22">
        <f>Weekly_Inspections!$AV310</f>
        <v>0</v>
      </c>
      <c r="M310" s="23" t="str">
        <f t="shared" si="12"/>
        <v>Open</v>
      </c>
      <c r="N310" s="22"/>
      <c r="O310" s="21">
        <f t="shared" ca="1" si="13"/>
        <v>46113</v>
      </c>
      <c r="P310" s="21" t="str">
        <f t="shared" ca="1" si="14"/>
        <v>YES</v>
      </c>
      <c r="Q310" s="23">
        <f>Weekly_Inspections!$AW310</f>
        <v>0</v>
      </c>
    </row>
    <row r="311" spans="1:17" ht="15" customHeight="1" x14ac:dyDescent="0.2">
      <c r="A311" s="21" t="str">
        <f>IF(Weekly_Inspections!$B311="","",Weekly_Inspections!$A311&amp;"-A1")</f>
        <v/>
      </c>
      <c r="B311" s="22">
        <f>Weekly_Inspections!$B311</f>
        <v>0</v>
      </c>
      <c r="C311" s="23">
        <f>Weekly_Inspections!$E311</f>
        <v>0</v>
      </c>
      <c r="D311" s="23">
        <f>Weekly_Inspections!$F311</f>
        <v>0</v>
      </c>
      <c r="E311" s="21" t="str">
        <f>Weekly_Inspections!$H311</f>
        <v/>
      </c>
      <c r="F311" s="23">
        <f>IF(Weekly_Inspections!$AX311&lt;&gt;"",Weekly_Inspections!$AX311,IF(Weekly_Inspections!$AY311&lt;&gt;"",Weekly_Inspections!$AY311,IF(Weekly_Inspections!$AZ311&lt;&gt;"",Weekly_Inspections!$AZ311,IF(Weekly_Inspections!$BA311&lt;&gt;"",Weekly_Inspections!$BA311,IF(Weekly_Inspections!$BB311&lt;&gt;"",Weekly_Inspections!$BB311,Weekly_Inspections!$R311)))))</f>
        <v>0</v>
      </c>
      <c r="G311" s="23" t="str">
        <f>IF(OR(Weekly_Inspections!$AQ311&lt;&gt;"",Weekly_Inspections!$AR311&lt;&gt;"",Weekly_Inspections!$AS311&lt;&gt;""),Weekly_Inspections!$AQ311,"")</f>
        <v/>
      </c>
      <c r="H311" s="23">
        <f>Weekly_Inspections!$AP311</f>
        <v>0</v>
      </c>
      <c r="I311" s="23">
        <f>Weekly_Inspections!$AR311</f>
        <v>0</v>
      </c>
      <c r="J311" s="23">
        <f>Weekly_Inspections!$AS311</f>
        <v>0</v>
      </c>
      <c r="K311" s="23">
        <f>Weekly_Inspections!$AU311</f>
        <v>0</v>
      </c>
      <c r="L311" s="22">
        <f>Weekly_Inspections!$AV311</f>
        <v>0</v>
      </c>
      <c r="M311" s="23" t="str">
        <f t="shared" si="12"/>
        <v>Open</v>
      </c>
      <c r="N311" s="22"/>
      <c r="O311" s="21">
        <f t="shared" ca="1" si="13"/>
        <v>46113</v>
      </c>
      <c r="P311" s="21" t="str">
        <f t="shared" ca="1" si="14"/>
        <v>YES</v>
      </c>
      <c r="Q311" s="23">
        <f>Weekly_Inspections!$AW311</f>
        <v>0</v>
      </c>
    </row>
    <row r="312" spans="1:17" ht="15" customHeight="1" x14ac:dyDescent="0.2">
      <c r="A312" s="21" t="str">
        <f>IF(Weekly_Inspections!$B312="","",Weekly_Inspections!$A312&amp;"-A1")</f>
        <v/>
      </c>
      <c r="B312" s="22">
        <f>Weekly_Inspections!$B312</f>
        <v>0</v>
      </c>
      <c r="C312" s="23">
        <f>Weekly_Inspections!$E312</f>
        <v>0</v>
      </c>
      <c r="D312" s="23">
        <f>Weekly_Inspections!$F312</f>
        <v>0</v>
      </c>
      <c r="E312" s="21" t="str">
        <f>Weekly_Inspections!$H312</f>
        <v/>
      </c>
      <c r="F312" s="23">
        <f>IF(Weekly_Inspections!$AX312&lt;&gt;"",Weekly_Inspections!$AX312,IF(Weekly_Inspections!$AY312&lt;&gt;"",Weekly_Inspections!$AY312,IF(Weekly_Inspections!$AZ312&lt;&gt;"",Weekly_Inspections!$AZ312,IF(Weekly_Inspections!$BA312&lt;&gt;"",Weekly_Inspections!$BA312,IF(Weekly_Inspections!$BB312&lt;&gt;"",Weekly_Inspections!$BB312,Weekly_Inspections!$R312)))))</f>
        <v>0</v>
      </c>
      <c r="G312" s="23" t="str">
        <f>IF(OR(Weekly_Inspections!$AQ312&lt;&gt;"",Weekly_Inspections!$AR312&lt;&gt;"",Weekly_Inspections!$AS312&lt;&gt;""),Weekly_Inspections!$AQ312,"")</f>
        <v/>
      </c>
      <c r="H312" s="23">
        <f>Weekly_Inspections!$AP312</f>
        <v>0</v>
      </c>
      <c r="I312" s="23">
        <f>Weekly_Inspections!$AR312</f>
        <v>0</v>
      </c>
      <c r="J312" s="23">
        <f>Weekly_Inspections!$AS312</f>
        <v>0</v>
      </c>
      <c r="K312" s="23">
        <f>Weekly_Inspections!$AU312</f>
        <v>0</v>
      </c>
      <c r="L312" s="22">
        <f>Weekly_Inspections!$AV312</f>
        <v>0</v>
      </c>
      <c r="M312" s="23" t="str">
        <f t="shared" si="12"/>
        <v>Open</v>
      </c>
      <c r="N312" s="22"/>
      <c r="O312" s="21">
        <f t="shared" ca="1" si="13"/>
        <v>46113</v>
      </c>
      <c r="P312" s="21" t="str">
        <f t="shared" ca="1" si="14"/>
        <v>YES</v>
      </c>
      <c r="Q312" s="23">
        <f>Weekly_Inspections!$AW312</f>
        <v>0</v>
      </c>
    </row>
    <row r="313" spans="1:17" ht="15" customHeight="1" x14ac:dyDescent="0.2">
      <c r="A313" s="21" t="str">
        <f>IF(Weekly_Inspections!$B313="","",Weekly_Inspections!$A313&amp;"-A1")</f>
        <v/>
      </c>
      <c r="B313" s="22">
        <f>Weekly_Inspections!$B313</f>
        <v>0</v>
      </c>
      <c r="C313" s="23">
        <f>Weekly_Inspections!$E313</f>
        <v>0</v>
      </c>
      <c r="D313" s="23">
        <f>Weekly_Inspections!$F313</f>
        <v>0</v>
      </c>
      <c r="E313" s="21" t="str">
        <f>Weekly_Inspections!$H313</f>
        <v/>
      </c>
      <c r="F313" s="23">
        <f>IF(Weekly_Inspections!$AX313&lt;&gt;"",Weekly_Inspections!$AX313,IF(Weekly_Inspections!$AY313&lt;&gt;"",Weekly_Inspections!$AY313,IF(Weekly_Inspections!$AZ313&lt;&gt;"",Weekly_Inspections!$AZ313,IF(Weekly_Inspections!$BA313&lt;&gt;"",Weekly_Inspections!$BA313,IF(Weekly_Inspections!$BB313&lt;&gt;"",Weekly_Inspections!$BB313,Weekly_Inspections!$R313)))))</f>
        <v>0</v>
      </c>
      <c r="G313" s="23" t="str">
        <f>IF(OR(Weekly_Inspections!$AQ313&lt;&gt;"",Weekly_Inspections!$AR313&lt;&gt;"",Weekly_Inspections!$AS313&lt;&gt;""),Weekly_Inspections!$AQ313,"")</f>
        <v/>
      </c>
      <c r="H313" s="23">
        <f>Weekly_Inspections!$AP313</f>
        <v>0</v>
      </c>
      <c r="I313" s="23">
        <f>Weekly_Inspections!$AR313</f>
        <v>0</v>
      </c>
      <c r="J313" s="23">
        <f>Weekly_Inspections!$AS313</f>
        <v>0</v>
      </c>
      <c r="K313" s="23">
        <f>Weekly_Inspections!$AU313</f>
        <v>0</v>
      </c>
      <c r="L313" s="22">
        <f>Weekly_Inspections!$AV313</f>
        <v>0</v>
      </c>
      <c r="M313" s="23" t="str">
        <f t="shared" si="12"/>
        <v>Open</v>
      </c>
      <c r="N313" s="22"/>
      <c r="O313" s="21">
        <f t="shared" ca="1" si="13"/>
        <v>46113</v>
      </c>
      <c r="P313" s="21" t="str">
        <f t="shared" ca="1" si="14"/>
        <v>YES</v>
      </c>
      <c r="Q313" s="23">
        <f>Weekly_Inspections!$AW313</f>
        <v>0</v>
      </c>
    </row>
    <row r="314" spans="1:17" ht="15" customHeight="1" x14ac:dyDescent="0.2">
      <c r="A314" s="21" t="str">
        <f>IF(Weekly_Inspections!$B314="","",Weekly_Inspections!$A314&amp;"-A1")</f>
        <v/>
      </c>
      <c r="B314" s="22">
        <f>Weekly_Inspections!$B314</f>
        <v>0</v>
      </c>
      <c r="C314" s="23">
        <f>Weekly_Inspections!$E314</f>
        <v>0</v>
      </c>
      <c r="D314" s="23">
        <f>Weekly_Inspections!$F314</f>
        <v>0</v>
      </c>
      <c r="E314" s="21" t="str">
        <f>Weekly_Inspections!$H314</f>
        <v/>
      </c>
      <c r="F314" s="23">
        <f>IF(Weekly_Inspections!$AX314&lt;&gt;"",Weekly_Inspections!$AX314,IF(Weekly_Inspections!$AY314&lt;&gt;"",Weekly_Inspections!$AY314,IF(Weekly_Inspections!$AZ314&lt;&gt;"",Weekly_Inspections!$AZ314,IF(Weekly_Inspections!$BA314&lt;&gt;"",Weekly_Inspections!$BA314,IF(Weekly_Inspections!$BB314&lt;&gt;"",Weekly_Inspections!$BB314,Weekly_Inspections!$R314)))))</f>
        <v>0</v>
      </c>
      <c r="G314" s="23" t="str">
        <f>IF(OR(Weekly_Inspections!$AQ314&lt;&gt;"",Weekly_Inspections!$AR314&lt;&gt;"",Weekly_Inspections!$AS314&lt;&gt;""),Weekly_Inspections!$AQ314,"")</f>
        <v/>
      </c>
      <c r="H314" s="23">
        <f>Weekly_Inspections!$AP314</f>
        <v>0</v>
      </c>
      <c r="I314" s="23">
        <f>Weekly_Inspections!$AR314</f>
        <v>0</v>
      </c>
      <c r="J314" s="23">
        <f>Weekly_Inspections!$AS314</f>
        <v>0</v>
      </c>
      <c r="K314" s="23">
        <f>Weekly_Inspections!$AU314</f>
        <v>0</v>
      </c>
      <c r="L314" s="22">
        <f>Weekly_Inspections!$AV314</f>
        <v>0</v>
      </c>
      <c r="M314" s="23" t="str">
        <f t="shared" si="12"/>
        <v>Open</v>
      </c>
      <c r="N314" s="22"/>
      <c r="O314" s="21">
        <f t="shared" ca="1" si="13"/>
        <v>46113</v>
      </c>
      <c r="P314" s="21" t="str">
        <f t="shared" ca="1" si="14"/>
        <v>YES</v>
      </c>
      <c r="Q314" s="23">
        <f>Weekly_Inspections!$AW314</f>
        <v>0</v>
      </c>
    </row>
    <row r="315" spans="1:17" ht="15" customHeight="1" x14ac:dyDescent="0.2">
      <c r="A315" s="21" t="str">
        <f>IF(Weekly_Inspections!$B315="","",Weekly_Inspections!$A315&amp;"-A1")</f>
        <v/>
      </c>
      <c r="B315" s="22">
        <f>Weekly_Inspections!$B315</f>
        <v>0</v>
      </c>
      <c r="C315" s="23">
        <f>Weekly_Inspections!$E315</f>
        <v>0</v>
      </c>
      <c r="D315" s="23">
        <f>Weekly_Inspections!$F315</f>
        <v>0</v>
      </c>
      <c r="E315" s="21" t="str">
        <f>Weekly_Inspections!$H315</f>
        <v/>
      </c>
      <c r="F315" s="23">
        <f>IF(Weekly_Inspections!$AX315&lt;&gt;"",Weekly_Inspections!$AX315,IF(Weekly_Inspections!$AY315&lt;&gt;"",Weekly_Inspections!$AY315,IF(Weekly_Inspections!$AZ315&lt;&gt;"",Weekly_Inspections!$AZ315,IF(Weekly_Inspections!$BA315&lt;&gt;"",Weekly_Inspections!$BA315,IF(Weekly_Inspections!$BB315&lt;&gt;"",Weekly_Inspections!$BB315,Weekly_Inspections!$R315)))))</f>
        <v>0</v>
      </c>
      <c r="G315" s="23" t="str">
        <f>IF(OR(Weekly_Inspections!$AQ315&lt;&gt;"",Weekly_Inspections!$AR315&lt;&gt;"",Weekly_Inspections!$AS315&lt;&gt;""),Weekly_Inspections!$AQ315,"")</f>
        <v/>
      </c>
      <c r="H315" s="23">
        <f>Weekly_Inspections!$AP315</f>
        <v>0</v>
      </c>
      <c r="I315" s="23">
        <f>Weekly_Inspections!$AR315</f>
        <v>0</v>
      </c>
      <c r="J315" s="23">
        <f>Weekly_Inspections!$AS315</f>
        <v>0</v>
      </c>
      <c r="K315" s="23">
        <f>Weekly_Inspections!$AU315</f>
        <v>0</v>
      </c>
      <c r="L315" s="22">
        <f>Weekly_Inspections!$AV315</f>
        <v>0</v>
      </c>
      <c r="M315" s="23" t="str">
        <f t="shared" si="12"/>
        <v>Open</v>
      </c>
      <c r="N315" s="22"/>
      <c r="O315" s="21">
        <f t="shared" ca="1" si="13"/>
        <v>46113</v>
      </c>
      <c r="P315" s="21" t="str">
        <f t="shared" ca="1" si="14"/>
        <v>YES</v>
      </c>
      <c r="Q315" s="23">
        <f>Weekly_Inspections!$AW315</f>
        <v>0</v>
      </c>
    </row>
    <row r="316" spans="1:17" ht="15" customHeight="1" x14ac:dyDescent="0.2">
      <c r="A316" s="21" t="str">
        <f>IF(Weekly_Inspections!$B316="","",Weekly_Inspections!$A316&amp;"-A1")</f>
        <v/>
      </c>
      <c r="B316" s="22">
        <f>Weekly_Inspections!$B316</f>
        <v>0</v>
      </c>
      <c r="C316" s="23">
        <f>Weekly_Inspections!$E316</f>
        <v>0</v>
      </c>
      <c r="D316" s="23">
        <f>Weekly_Inspections!$F316</f>
        <v>0</v>
      </c>
      <c r="E316" s="21" t="str">
        <f>Weekly_Inspections!$H316</f>
        <v/>
      </c>
      <c r="F316" s="23">
        <f>IF(Weekly_Inspections!$AX316&lt;&gt;"",Weekly_Inspections!$AX316,IF(Weekly_Inspections!$AY316&lt;&gt;"",Weekly_Inspections!$AY316,IF(Weekly_Inspections!$AZ316&lt;&gt;"",Weekly_Inspections!$AZ316,IF(Weekly_Inspections!$BA316&lt;&gt;"",Weekly_Inspections!$BA316,IF(Weekly_Inspections!$BB316&lt;&gt;"",Weekly_Inspections!$BB316,Weekly_Inspections!$R316)))))</f>
        <v>0</v>
      </c>
      <c r="G316" s="23" t="str">
        <f>IF(OR(Weekly_Inspections!$AQ316&lt;&gt;"",Weekly_Inspections!$AR316&lt;&gt;"",Weekly_Inspections!$AS316&lt;&gt;""),Weekly_Inspections!$AQ316,"")</f>
        <v/>
      </c>
      <c r="H316" s="23">
        <f>Weekly_Inspections!$AP316</f>
        <v>0</v>
      </c>
      <c r="I316" s="23">
        <f>Weekly_Inspections!$AR316</f>
        <v>0</v>
      </c>
      <c r="J316" s="23">
        <f>Weekly_Inspections!$AS316</f>
        <v>0</v>
      </c>
      <c r="K316" s="23">
        <f>Weekly_Inspections!$AU316</f>
        <v>0</v>
      </c>
      <c r="L316" s="22">
        <f>Weekly_Inspections!$AV316</f>
        <v>0</v>
      </c>
      <c r="M316" s="23" t="str">
        <f t="shared" si="12"/>
        <v>Open</v>
      </c>
      <c r="N316" s="22"/>
      <c r="O316" s="21">
        <f t="shared" ca="1" si="13"/>
        <v>46113</v>
      </c>
      <c r="P316" s="21" t="str">
        <f t="shared" ca="1" si="14"/>
        <v>YES</v>
      </c>
      <c r="Q316" s="23">
        <f>Weekly_Inspections!$AW316</f>
        <v>0</v>
      </c>
    </row>
    <row r="317" spans="1:17" ht="15" customHeight="1" x14ac:dyDescent="0.2">
      <c r="A317" s="21" t="str">
        <f>IF(Weekly_Inspections!$B317="","",Weekly_Inspections!$A317&amp;"-A1")</f>
        <v/>
      </c>
      <c r="B317" s="22">
        <f>Weekly_Inspections!$B317</f>
        <v>0</v>
      </c>
      <c r="C317" s="23">
        <f>Weekly_Inspections!$E317</f>
        <v>0</v>
      </c>
      <c r="D317" s="23">
        <f>Weekly_Inspections!$F317</f>
        <v>0</v>
      </c>
      <c r="E317" s="21" t="str">
        <f>Weekly_Inspections!$H317</f>
        <v/>
      </c>
      <c r="F317" s="23">
        <f>IF(Weekly_Inspections!$AX317&lt;&gt;"",Weekly_Inspections!$AX317,IF(Weekly_Inspections!$AY317&lt;&gt;"",Weekly_Inspections!$AY317,IF(Weekly_Inspections!$AZ317&lt;&gt;"",Weekly_Inspections!$AZ317,IF(Weekly_Inspections!$BA317&lt;&gt;"",Weekly_Inspections!$BA317,IF(Weekly_Inspections!$BB317&lt;&gt;"",Weekly_Inspections!$BB317,Weekly_Inspections!$R317)))))</f>
        <v>0</v>
      </c>
      <c r="G317" s="23" t="str">
        <f>IF(OR(Weekly_Inspections!$AQ317&lt;&gt;"",Weekly_Inspections!$AR317&lt;&gt;"",Weekly_Inspections!$AS317&lt;&gt;""),Weekly_Inspections!$AQ317,"")</f>
        <v/>
      </c>
      <c r="H317" s="23">
        <f>Weekly_Inspections!$AP317</f>
        <v>0</v>
      </c>
      <c r="I317" s="23">
        <f>Weekly_Inspections!$AR317</f>
        <v>0</v>
      </c>
      <c r="J317" s="23">
        <f>Weekly_Inspections!$AS317</f>
        <v>0</v>
      </c>
      <c r="K317" s="23">
        <f>Weekly_Inspections!$AU317</f>
        <v>0</v>
      </c>
      <c r="L317" s="22">
        <f>Weekly_Inspections!$AV317</f>
        <v>0</v>
      </c>
      <c r="M317" s="23" t="str">
        <f t="shared" si="12"/>
        <v>Open</v>
      </c>
      <c r="N317" s="22"/>
      <c r="O317" s="21">
        <f t="shared" ca="1" si="13"/>
        <v>46113</v>
      </c>
      <c r="P317" s="21" t="str">
        <f t="shared" ca="1" si="14"/>
        <v>YES</v>
      </c>
      <c r="Q317" s="23">
        <f>Weekly_Inspections!$AW317</f>
        <v>0</v>
      </c>
    </row>
    <row r="318" spans="1:17" ht="15" customHeight="1" x14ac:dyDescent="0.2">
      <c r="A318" s="21" t="str">
        <f>IF(Weekly_Inspections!$B318="","",Weekly_Inspections!$A318&amp;"-A1")</f>
        <v/>
      </c>
      <c r="B318" s="22">
        <f>Weekly_Inspections!$B318</f>
        <v>0</v>
      </c>
      <c r="C318" s="23">
        <f>Weekly_Inspections!$E318</f>
        <v>0</v>
      </c>
      <c r="D318" s="23">
        <f>Weekly_Inspections!$F318</f>
        <v>0</v>
      </c>
      <c r="E318" s="21" t="str">
        <f>Weekly_Inspections!$H318</f>
        <v/>
      </c>
      <c r="F318" s="23">
        <f>IF(Weekly_Inspections!$AX318&lt;&gt;"",Weekly_Inspections!$AX318,IF(Weekly_Inspections!$AY318&lt;&gt;"",Weekly_Inspections!$AY318,IF(Weekly_Inspections!$AZ318&lt;&gt;"",Weekly_Inspections!$AZ318,IF(Weekly_Inspections!$BA318&lt;&gt;"",Weekly_Inspections!$BA318,IF(Weekly_Inspections!$BB318&lt;&gt;"",Weekly_Inspections!$BB318,Weekly_Inspections!$R318)))))</f>
        <v>0</v>
      </c>
      <c r="G318" s="23" t="str">
        <f>IF(OR(Weekly_Inspections!$AQ318&lt;&gt;"",Weekly_Inspections!$AR318&lt;&gt;"",Weekly_Inspections!$AS318&lt;&gt;""),Weekly_Inspections!$AQ318,"")</f>
        <v/>
      </c>
      <c r="H318" s="23">
        <f>Weekly_Inspections!$AP318</f>
        <v>0</v>
      </c>
      <c r="I318" s="23">
        <f>Weekly_Inspections!$AR318</f>
        <v>0</v>
      </c>
      <c r="J318" s="23">
        <f>Weekly_Inspections!$AS318</f>
        <v>0</v>
      </c>
      <c r="K318" s="23">
        <f>Weekly_Inspections!$AU318</f>
        <v>0</v>
      </c>
      <c r="L318" s="22">
        <f>Weekly_Inspections!$AV318</f>
        <v>0</v>
      </c>
      <c r="M318" s="23" t="str">
        <f t="shared" si="12"/>
        <v>Open</v>
      </c>
      <c r="N318" s="22"/>
      <c r="O318" s="21">
        <f t="shared" ca="1" si="13"/>
        <v>46113</v>
      </c>
      <c r="P318" s="21" t="str">
        <f t="shared" ca="1" si="14"/>
        <v>YES</v>
      </c>
      <c r="Q318" s="23">
        <f>Weekly_Inspections!$AW318</f>
        <v>0</v>
      </c>
    </row>
    <row r="319" spans="1:17" ht="15" customHeight="1" x14ac:dyDescent="0.2">
      <c r="A319" s="21" t="str">
        <f>IF(Weekly_Inspections!$B319="","",Weekly_Inspections!$A319&amp;"-A1")</f>
        <v/>
      </c>
      <c r="B319" s="22">
        <f>Weekly_Inspections!$B319</f>
        <v>0</v>
      </c>
      <c r="C319" s="23">
        <f>Weekly_Inspections!$E319</f>
        <v>0</v>
      </c>
      <c r="D319" s="23">
        <f>Weekly_Inspections!$F319</f>
        <v>0</v>
      </c>
      <c r="E319" s="21" t="str">
        <f>Weekly_Inspections!$H319</f>
        <v/>
      </c>
      <c r="F319" s="23">
        <f>IF(Weekly_Inspections!$AX319&lt;&gt;"",Weekly_Inspections!$AX319,IF(Weekly_Inspections!$AY319&lt;&gt;"",Weekly_Inspections!$AY319,IF(Weekly_Inspections!$AZ319&lt;&gt;"",Weekly_Inspections!$AZ319,IF(Weekly_Inspections!$BA319&lt;&gt;"",Weekly_Inspections!$BA319,IF(Weekly_Inspections!$BB319&lt;&gt;"",Weekly_Inspections!$BB319,Weekly_Inspections!$R319)))))</f>
        <v>0</v>
      </c>
      <c r="G319" s="23" t="str">
        <f>IF(OR(Weekly_Inspections!$AQ319&lt;&gt;"",Weekly_Inspections!$AR319&lt;&gt;"",Weekly_Inspections!$AS319&lt;&gt;""),Weekly_Inspections!$AQ319,"")</f>
        <v/>
      </c>
      <c r="H319" s="23">
        <f>Weekly_Inspections!$AP319</f>
        <v>0</v>
      </c>
      <c r="I319" s="23">
        <f>Weekly_Inspections!$AR319</f>
        <v>0</v>
      </c>
      <c r="J319" s="23">
        <f>Weekly_Inspections!$AS319</f>
        <v>0</v>
      </c>
      <c r="K319" s="23">
        <f>Weekly_Inspections!$AU319</f>
        <v>0</v>
      </c>
      <c r="L319" s="22">
        <f>Weekly_Inspections!$AV319</f>
        <v>0</v>
      </c>
      <c r="M319" s="23" t="str">
        <f t="shared" si="12"/>
        <v>Open</v>
      </c>
      <c r="N319" s="22"/>
      <c r="O319" s="21">
        <f t="shared" ca="1" si="13"/>
        <v>46113</v>
      </c>
      <c r="P319" s="21" t="str">
        <f t="shared" ca="1" si="14"/>
        <v>YES</v>
      </c>
      <c r="Q319" s="23">
        <f>Weekly_Inspections!$AW319</f>
        <v>0</v>
      </c>
    </row>
    <row r="320" spans="1:17" ht="15" customHeight="1" x14ac:dyDescent="0.2">
      <c r="A320" s="21" t="str">
        <f>IF(Weekly_Inspections!$B320="","",Weekly_Inspections!$A320&amp;"-A1")</f>
        <v/>
      </c>
      <c r="B320" s="22">
        <f>Weekly_Inspections!$B320</f>
        <v>0</v>
      </c>
      <c r="C320" s="23">
        <f>Weekly_Inspections!$E320</f>
        <v>0</v>
      </c>
      <c r="D320" s="23">
        <f>Weekly_Inspections!$F320</f>
        <v>0</v>
      </c>
      <c r="E320" s="21" t="str">
        <f>Weekly_Inspections!$H320</f>
        <v/>
      </c>
      <c r="F320" s="23">
        <f>IF(Weekly_Inspections!$AX320&lt;&gt;"",Weekly_Inspections!$AX320,IF(Weekly_Inspections!$AY320&lt;&gt;"",Weekly_Inspections!$AY320,IF(Weekly_Inspections!$AZ320&lt;&gt;"",Weekly_Inspections!$AZ320,IF(Weekly_Inspections!$BA320&lt;&gt;"",Weekly_Inspections!$BA320,IF(Weekly_Inspections!$BB320&lt;&gt;"",Weekly_Inspections!$BB320,Weekly_Inspections!$R320)))))</f>
        <v>0</v>
      </c>
      <c r="G320" s="23" t="str">
        <f>IF(OR(Weekly_Inspections!$AQ320&lt;&gt;"",Weekly_Inspections!$AR320&lt;&gt;"",Weekly_Inspections!$AS320&lt;&gt;""),Weekly_Inspections!$AQ320,"")</f>
        <v/>
      </c>
      <c r="H320" s="23">
        <f>Weekly_Inspections!$AP320</f>
        <v>0</v>
      </c>
      <c r="I320" s="23">
        <f>Weekly_Inspections!$AR320</f>
        <v>0</v>
      </c>
      <c r="J320" s="23">
        <f>Weekly_Inspections!$AS320</f>
        <v>0</v>
      </c>
      <c r="K320" s="23">
        <f>Weekly_Inspections!$AU320</f>
        <v>0</v>
      </c>
      <c r="L320" s="22">
        <f>Weekly_Inspections!$AV320</f>
        <v>0</v>
      </c>
      <c r="M320" s="23" t="str">
        <f t="shared" ref="M320:M383" si="15">IF($B320="","",IF($N320&lt;&gt;"","Closed",IF(OR($G320&lt;&gt;"",$I320&lt;&gt;"",$J320&lt;&gt;""),"Open","")))</f>
        <v>Open</v>
      </c>
      <c r="N320" s="22"/>
      <c r="O320" s="21">
        <f t="shared" ref="O320:O383" ca="1" si="16">IF($B320="","",IF($M320="Closed",IF($N320="","",$N320-$B320),TODAY()-$B320))</f>
        <v>46113</v>
      </c>
      <c r="P320" s="21" t="str">
        <f t="shared" ref="P320:P383" ca="1" si="17">IF(OR($B320="",$L320="",$M320="Closed"),"",IF(TODAY()&gt;$L320,"YES","NO"))</f>
        <v>YES</v>
      </c>
      <c r="Q320" s="23">
        <f>Weekly_Inspections!$AW320</f>
        <v>0</v>
      </c>
    </row>
    <row r="321" spans="1:17" ht="15" customHeight="1" x14ac:dyDescent="0.2">
      <c r="A321" s="21" t="str">
        <f>IF(Weekly_Inspections!$B321="","",Weekly_Inspections!$A321&amp;"-A1")</f>
        <v/>
      </c>
      <c r="B321" s="22">
        <f>Weekly_Inspections!$B321</f>
        <v>0</v>
      </c>
      <c r="C321" s="23">
        <f>Weekly_Inspections!$E321</f>
        <v>0</v>
      </c>
      <c r="D321" s="23">
        <f>Weekly_Inspections!$F321</f>
        <v>0</v>
      </c>
      <c r="E321" s="21" t="str">
        <f>Weekly_Inspections!$H321</f>
        <v/>
      </c>
      <c r="F321" s="23">
        <f>IF(Weekly_Inspections!$AX321&lt;&gt;"",Weekly_Inspections!$AX321,IF(Weekly_Inspections!$AY321&lt;&gt;"",Weekly_Inspections!$AY321,IF(Weekly_Inspections!$AZ321&lt;&gt;"",Weekly_Inspections!$AZ321,IF(Weekly_Inspections!$BA321&lt;&gt;"",Weekly_Inspections!$BA321,IF(Weekly_Inspections!$BB321&lt;&gt;"",Weekly_Inspections!$BB321,Weekly_Inspections!$R321)))))</f>
        <v>0</v>
      </c>
      <c r="G321" s="23" t="str">
        <f>IF(OR(Weekly_Inspections!$AQ321&lt;&gt;"",Weekly_Inspections!$AR321&lt;&gt;"",Weekly_Inspections!$AS321&lt;&gt;""),Weekly_Inspections!$AQ321,"")</f>
        <v/>
      </c>
      <c r="H321" s="23">
        <f>Weekly_Inspections!$AP321</f>
        <v>0</v>
      </c>
      <c r="I321" s="23">
        <f>Weekly_Inspections!$AR321</f>
        <v>0</v>
      </c>
      <c r="J321" s="23">
        <f>Weekly_Inspections!$AS321</f>
        <v>0</v>
      </c>
      <c r="K321" s="23">
        <f>Weekly_Inspections!$AU321</f>
        <v>0</v>
      </c>
      <c r="L321" s="22">
        <f>Weekly_Inspections!$AV321</f>
        <v>0</v>
      </c>
      <c r="M321" s="23" t="str">
        <f t="shared" si="15"/>
        <v>Open</v>
      </c>
      <c r="N321" s="22"/>
      <c r="O321" s="21">
        <f t="shared" ca="1" si="16"/>
        <v>46113</v>
      </c>
      <c r="P321" s="21" t="str">
        <f t="shared" ca="1" si="17"/>
        <v>YES</v>
      </c>
      <c r="Q321" s="23">
        <f>Weekly_Inspections!$AW321</f>
        <v>0</v>
      </c>
    </row>
    <row r="322" spans="1:17" ht="15" customHeight="1" x14ac:dyDescent="0.2">
      <c r="A322" s="21" t="str">
        <f>IF(Weekly_Inspections!$B322="","",Weekly_Inspections!$A322&amp;"-A1")</f>
        <v/>
      </c>
      <c r="B322" s="22">
        <f>Weekly_Inspections!$B322</f>
        <v>0</v>
      </c>
      <c r="C322" s="23">
        <f>Weekly_Inspections!$E322</f>
        <v>0</v>
      </c>
      <c r="D322" s="23">
        <f>Weekly_Inspections!$F322</f>
        <v>0</v>
      </c>
      <c r="E322" s="21" t="str">
        <f>Weekly_Inspections!$H322</f>
        <v/>
      </c>
      <c r="F322" s="23">
        <f>IF(Weekly_Inspections!$AX322&lt;&gt;"",Weekly_Inspections!$AX322,IF(Weekly_Inspections!$AY322&lt;&gt;"",Weekly_Inspections!$AY322,IF(Weekly_Inspections!$AZ322&lt;&gt;"",Weekly_Inspections!$AZ322,IF(Weekly_Inspections!$BA322&lt;&gt;"",Weekly_Inspections!$BA322,IF(Weekly_Inspections!$BB322&lt;&gt;"",Weekly_Inspections!$BB322,Weekly_Inspections!$R322)))))</f>
        <v>0</v>
      </c>
      <c r="G322" s="23" t="str">
        <f>IF(OR(Weekly_Inspections!$AQ322&lt;&gt;"",Weekly_Inspections!$AR322&lt;&gt;"",Weekly_Inspections!$AS322&lt;&gt;""),Weekly_Inspections!$AQ322,"")</f>
        <v/>
      </c>
      <c r="H322" s="23">
        <f>Weekly_Inspections!$AP322</f>
        <v>0</v>
      </c>
      <c r="I322" s="23">
        <f>Weekly_Inspections!$AR322</f>
        <v>0</v>
      </c>
      <c r="J322" s="23">
        <f>Weekly_Inspections!$AS322</f>
        <v>0</v>
      </c>
      <c r="K322" s="23">
        <f>Weekly_Inspections!$AU322</f>
        <v>0</v>
      </c>
      <c r="L322" s="22">
        <f>Weekly_Inspections!$AV322</f>
        <v>0</v>
      </c>
      <c r="M322" s="23" t="str">
        <f t="shared" si="15"/>
        <v>Open</v>
      </c>
      <c r="N322" s="22"/>
      <c r="O322" s="21">
        <f t="shared" ca="1" si="16"/>
        <v>46113</v>
      </c>
      <c r="P322" s="21" t="str">
        <f t="shared" ca="1" si="17"/>
        <v>YES</v>
      </c>
      <c r="Q322" s="23">
        <f>Weekly_Inspections!$AW322</f>
        <v>0</v>
      </c>
    </row>
    <row r="323" spans="1:17" ht="15" customHeight="1" x14ac:dyDescent="0.2">
      <c r="A323" s="21" t="str">
        <f>IF(Weekly_Inspections!$B323="","",Weekly_Inspections!$A323&amp;"-A1")</f>
        <v/>
      </c>
      <c r="B323" s="22">
        <f>Weekly_Inspections!$B323</f>
        <v>0</v>
      </c>
      <c r="C323" s="23">
        <f>Weekly_Inspections!$E323</f>
        <v>0</v>
      </c>
      <c r="D323" s="23">
        <f>Weekly_Inspections!$F323</f>
        <v>0</v>
      </c>
      <c r="E323" s="21" t="str">
        <f>Weekly_Inspections!$H323</f>
        <v/>
      </c>
      <c r="F323" s="23">
        <f>IF(Weekly_Inspections!$AX323&lt;&gt;"",Weekly_Inspections!$AX323,IF(Weekly_Inspections!$AY323&lt;&gt;"",Weekly_Inspections!$AY323,IF(Weekly_Inspections!$AZ323&lt;&gt;"",Weekly_Inspections!$AZ323,IF(Weekly_Inspections!$BA323&lt;&gt;"",Weekly_Inspections!$BA323,IF(Weekly_Inspections!$BB323&lt;&gt;"",Weekly_Inspections!$BB323,Weekly_Inspections!$R323)))))</f>
        <v>0</v>
      </c>
      <c r="G323" s="23" t="str">
        <f>IF(OR(Weekly_Inspections!$AQ323&lt;&gt;"",Weekly_Inspections!$AR323&lt;&gt;"",Weekly_Inspections!$AS323&lt;&gt;""),Weekly_Inspections!$AQ323,"")</f>
        <v/>
      </c>
      <c r="H323" s="23">
        <f>Weekly_Inspections!$AP323</f>
        <v>0</v>
      </c>
      <c r="I323" s="23">
        <f>Weekly_Inspections!$AR323</f>
        <v>0</v>
      </c>
      <c r="J323" s="23">
        <f>Weekly_Inspections!$AS323</f>
        <v>0</v>
      </c>
      <c r="K323" s="23">
        <f>Weekly_Inspections!$AU323</f>
        <v>0</v>
      </c>
      <c r="L323" s="22">
        <f>Weekly_Inspections!$AV323</f>
        <v>0</v>
      </c>
      <c r="M323" s="23" t="str">
        <f t="shared" si="15"/>
        <v>Open</v>
      </c>
      <c r="N323" s="22"/>
      <c r="O323" s="21">
        <f t="shared" ca="1" si="16"/>
        <v>46113</v>
      </c>
      <c r="P323" s="21" t="str">
        <f t="shared" ca="1" si="17"/>
        <v>YES</v>
      </c>
      <c r="Q323" s="23">
        <f>Weekly_Inspections!$AW323</f>
        <v>0</v>
      </c>
    </row>
    <row r="324" spans="1:17" ht="15" customHeight="1" x14ac:dyDescent="0.2">
      <c r="A324" s="21" t="str">
        <f>IF(Weekly_Inspections!$B324="","",Weekly_Inspections!$A324&amp;"-A1")</f>
        <v/>
      </c>
      <c r="B324" s="22">
        <f>Weekly_Inspections!$B324</f>
        <v>0</v>
      </c>
      <c r="C324" s="23">
        <f>Weekly_Inspections!$E324</f>
        <v>0</v>
      </c>
      <c r="D324" s="23">
        <f>Weekly_Inspections!$F324</f>
        <v>0</v>
      </c>
      <c r="E324" s="21" t="str">
        <f>Weekly_Inspections!$H324</f>
        <v/>
      </c>
      <c r="F324" s="23">
        <f>IF(Weekly_Inspections!$AX324&lt;&gt;"",Weekly_Inspections!$AX324,IF(Weekly_Inspections!$AY324&lt;&gt;"",Weekly_Inspections!$AY324,IF(Weekly_Inspections!$AZ324&lt;&gt;"",Weekly_Inspections!$AZ324,IF(Weekly_Inspections!$BA324&lt;&gt;"",Weekly_Inspections!$BA324,IF(Weekly_Inspections!$BB324&lt;&gt;"",Weekly_Inspections!$BB324,Weekly_Inspections!$R324)))))</f>
        <v>0</v>
      </c>
      <c r="G324" s="23" t="str">
        <f>IF(OR(Weekly_Inspections!$AQ324&lt;&gt;"",Weekly_Inspections!$AR324&lt;&gt;"",Weekly_Inspections!$AS324&lt;&gt;""),Weekly_Inspections!$AQ324,"")</f>
        <v/>
      </c>
      <c r="H324" s="23">
        <f>Weekly_Inspections!$AP324</f>
        <v>0</v>
      </c>
      <c r="I324" s="23">
        <f>Weekly_Inspections!$AR324</f>
        <v>0</v>
      </c>
      <c r="J324" s="23">
        <f>Weekly_Inspections!$AS324</f>
        <v>0</v>
      </c>
      <c r="K324" s="23">
        <f>Weekly_Inspections!$AU324</f>
        <v>0</v>
      </c>
      <c r="L324" s="22">
        <f>Weekly_Inspections!$AV324</f>
        <v>0</v>
      </c>
      <c r="M324" s="23" t="str">
        <f t="shared" si="15"/>
        <v>Open</v>
      </c>
      <c r="N324" s="22"/>
      <c r="O324" s="21">
        <f t="shared" ca="1" si="16"/>
        <v>46113</v>
      </c>
      <c r="P324" s="21" t="str">
        <f t="shared" ca="1" si="17"/>
        <v>YES</v>
      </c>
      <c r="Q324" s="23">
        <f>Weekly_Inspections!$AW324</f>
        <v>0</v>
      </c>
    </row>
    <row r="325" spans="1:17" ht="15" customHeight="1" x14ac:dyDescent="0.2">
      <c r="A325" s="21" t="str">
        <f>IF(Weekly_Inspections!$B325="","",Weekly_Inspections!$A325&amp;"-A1")</f>
        <v/>
      </c>
      <c r="B325" s="22">
        <f>Weekly_Inspections!$B325</f>
        <v>0</v>
      </c>
      <c r="C325" s="23">
        <f>Weekly_Inspections!$E325</f>
        <v>0</v>
      </c>
      <c r="D325" s="23">
        <f>Weekly_Inspections!$F325</f>
        <v>0</v>
      </c>
      <c r="E325" s="21" t="str">
        <f>Weekly_Inspections!$H325</f>
        <v/>
      </c>
      <c r="F325" s="23">
        <f>IF(Weekly_Inspections!$AX325&lt;&gt;"",Weekly_Inspections!$AX325,IF(Weekly_Inspections!$AY325&lt;&gt;"",Weekly_Inspections!$AY325,IF(Weekly_Inspections!$AZ325&lt;&gt;"",Weekly_Inspections!$AZ325,IF(Weekly_Inspections!$BA325&lt;&gt;"",Weekly_Inspections!$BA325,IF(Weekly_Inspections!$BB325&lt;&gt;"",Weekly_Inspections!$BB325,Weekly_Inspections!$R325)))))</f>
        <v>0</v>
      </c>
      <c r="G325" s="23" t="str">
        <f>IF(OR(Weekly_Inspections!$AQ325&lt;&gt;"",Weekly_Inspections!$AR325&lt;&gt;"",Weekly_Inspections!$AS325&lt;&gt;""),Weekly_Inspections!$AQ325,"")</f>
        <v/>
      </c>
      <c r="H325" s="23">
        <f>Weekly_Inspections!$AP325</f>
        <v>0</v>
      </c>
      <c r="I325" s="23">
        <f>Weekly_Inspections!$AR325</f>
        <v>0</v>
      </c>
      <c r="J325" s="23">
        <f>Weekly_Inspections!$AS325</f>
        <v>0</v>
      </c>
      <c r="K325" s="23">
        <f>Weekly_Inspections!$AU325</f>
        <v>0</v>
      </c>
      <c r="L325" s="22">
        <f>Weekly_Inspections!$AV325</f>
        <v>0</v>
      </c>
      <c r="M325" s="23" t="str">
        <f t="shared" si="15"/>
        <v>Open</v>
      </c>
      <c r="N325" s="22"/>
      <c r="O325" s="21">
        <f t="shared" ca="1" si="16"/>
        <v>46113</v>
      </c>
      <c r="P325" s="21" t="str">
        <f t="shared" ca="1" si="17"/>
        <v>YES</v>
      </c>
      <c r="Q325" s="23">
        <f>Weekly_Inspections!$AW325</f>
        <v>0</v>
      </c>
    </row>
    <row r="326" spans="1:17" ht="15" customHeight="1" x14ac:dyDescent="0.2">
      <c r="A326" s="21" t="str">
        <f>IF(Weekly_Inspections!$B326="","",Weekly_Inspections!$A326&amp;"-A1")</f>
        <v/>
      </c>
      <c r="B326" s="22">
        <f>Weekly_Inspections!$B326</f>
        <v>0</v>
      </c>
      <c r="C326" s="23">
        <f>Weekly_Inspections!$E326</f>
        <v>0</v>
      </c>
      <c r="D326" s="23">
        <f>Weekly_Inspections!$F326</f>
        <v>0</v>
      </c>
      <c r="E326" s="21" t="str">
        <f>Weekly_Inspections!$H326</f>
        <v/>
      </c>
      <c r="F326" s="23">
        <f>IF(Weekly_Inspections!$AX326&lt;&gt;"",Weekly_Inspections!$AX326,IF(Weekly_Inspections!$AY326&lt;&gt;"",Weekly_Inspections!$AY326,IF(Weekly_Inspections!$AZ326&lt;&gt;"",Weekly_Inspections!$AZ326,IF(Weekly_Inspections!$BA326&lt;&gt;"",Weekly_Inspections!$BA326,IF(Weekly_Inspections!$BB326&lt;&gt;"",Weekly_Inspections!$BB326,Weekly_Inspections!$R326)))))</f>
        <v>0</v>
      </c>
      <c r="G326" s="23" t="str">
        <f>IF(OR(Weekly_Inspections!$AQ326&lt;&gt;"",Weekly_Inspections!$AR326&lt;&gt;"",Weekly_Inspections!$AS326&lt;&gt;""),Weekly_Inspections!$AQ326,"")</f>
        <v/>
      </c>
      <c r="H326" s="23">
        <f>Weekly_Inspections!$AP326</f>
        <v>0</v>
      </c>
      <c r="I326" s="23">
        <f>Weekly_Inspections!$AR326</f>
        <v>0</v>
      </c>
      <c r="J326" s="23">
        <f>Weekly_Inspections!$AS326</f>
        <v>0</v>
      </c>
      <c r="K326" s="23">
        <f>Weekly_Inspections!$AU326</f>
        <v>0</v>
      </c>
      <c r="L326" s="22">
        <f>Weekly_Inspections!$AV326</f>
        <v>0</v>
      </c>
      <c r="M326" s="23" t="str">
        <f t="shared" si="15"/>
        <v>Open</v>
      </c>
      <c r="N326" s="22"/>
      <c r="O326" s="21">
        <f t="shared" ca="1" si="16"/>
        <v>46113</v>
      </c>
      <c r="P326" s="21" t="str">
        <f t="shared" ca="1" si="17"/>
        <v>YES</v>
      </c>
      <c r="Q326" s="23">
        <f>Weekly_Inspections!$AW326</f>
        <v>0</v>
      </c>
    </row>
    <row r="327" spans="1:17" ht="15" customHeight="1" x14ac:dyDescent="0.2">
      <c r="A327" s="21" t="str">
        <f>IF(Weekly_Inspections!$B327="","",Weekly_Inspections!$A327&amp;"-A1")</f>
        <v/>
      </c>
      <c r="B327" s="22">
        <f>Weekly_Inspections!$B327</f>
        <v>0</v>
      </c>
      <c r="C327" s="23">
        <f>Weekly_Inspections!$E327</f>
        <v>0</v>
      </c>
      <c r="D327" s="23">
        <f>Weekly_Inspections!$F327</f>
        <v>0</v>
      </c>
      <c r="E327" s="21" t="str">
        <f>Weekly_Inspections!$H327</f>
        <v/>
      </c>
      <c r="F327" s="23">
        <f>IF(Weekly_Inspections!$AX327&lt;&gt;"",Weekly_Inspections!$AX327,IF(Weekly_Inspections!$AY327&lt;&gt;"",Weekly_Inspections!$AY327,IF(Weekly_Inspections!$AZ327&lt;&gt;"",Weekly_Inspections!$AZ327,IF(Weekly_Inspections!$BA327&lt;&gt;"",Weekly_Inspections!$BA327,IF(Weekly_Inspections!$BB327&lt;&gt;"",Weekly_Inspections!$BB327,Weekly_Inspections!$R327)))))</f>
        <v>0</v>
      </c>
      <c r="G327" s="23" t="str">
        <f>IF(OR(Weekly_Inspections!$AQ327&lt;&gt;"",Weekly_Inspections!$AR327&lt;&gt;"",Weekly_Inspections!$AS327&lt;&gt;""),Weekly_Inspections!$AQ327,"")</f>
        <v/>
      </c>
      <c r="H327" s="23">
        <f>Weekly_Inspections!$AP327</f>
        <v>0</v>
      </c>
      <c r="I327" s="23">
        <f>Weekly_Inspections!$AR327</f>
        <v>0</v>
      </c>
      <c r="J327" s="23">
        <f>Weekly_Inspections!$AS327</f>
        <v>0</v>
      </c>
      <c r="K327" s="23">
        <f>Weekly_Inspections!$AU327</f>
        <v>0</v>
      </c>
      <c r="L327" s="22">
        <f>Weekly_Inspections!$AV327</f>
        <v>0</v>
      </c>
      <c r="M327" s="23" t="str">
        <f t="shared" si="15"/>
        <v>Open</v>
      </c>
      <c r="N327" s="22"/>
      <c r="O327" s="21">
        <f t="shared" ca="1" si="16"/>
        <v>46113</v>
      </c>
      <c r="P327" s="21" t="str">
        <f t="shared" ca="1" si="17"/>
        <v>YES</v>
      </c>
      <c r="Q327" s="23">
        <f>Weekly_Inspections!$AW327</f>
        <v>0</v>
      </c>
    </row>
    <row r="328" spans="1:17" ht="15" customHeight="1" x14ac:dyDescent="0.2">
      <c r="A328" s="21" t="str">
        <f>IF(Weekly_Inspections!$B328="","",Weekly_Inspections!$A328&amp;"-A1")</f>
        <v/>
      </c>
      <c r="B328" s="22">
        <f>Weekly_Inspections!$B328</f>
        <v>0</v>
      </c>
      <c r="C328" s="23">
        <f>Weekly_Inspections!$E328</f>
        <v>0</v>
      </c>
      <c r="D328" s="23">
        <f>Weekly_Inspections!$F328</f>
        <v>0</v>
      </c>
      <c r="E328" s="21" t="str">
        <f>Weekly_Inspections!$H328</f>
        <v/>
      </c>
      <c r="F328" s="23">
        <f>IF(Weekly_Inspections!$AX328&lt;&gt;"",Weekly_Inspections!$AX328,IF(Weekly_Inspections!$AY328&lt;&gt;"",Weekly_Inspections!$AY328,IF(Weekly_Inspections!$AZ328&lt;&gt;"",Weekly_Inspections!$AZ328,IF(Weekly_Inspections!$BA328&lt;&gt;"",Weekly_Inspections!$BA328,IF(Weekly_Inspections!$BB328&lt;&gt;"",Weekly_Inspections!$BB328,Weekly_Inspections!$R328)))))</f>
        <v>0</v>
      </c>
      <c r="G328" s="23" t="str">
        <f>IF(OR(Weekly_Inspections!$AQ328&lt;&gt;"",Weekly_Inspections!$AR328&lt;&gt;"",Weekly_Inspections!$AS328&lt;&gt;""),Weekly_Inspections!$AQ328,"")</f>
        <v/>
      </c>
      <c r="H328" s="23">
        <f>Weekly_Inspections!$AP328</f>
        <v>0</v>
      </c>
      <c r="I328" s="23">
        <f>Weekly_Inspections!$AR328</f>
        <v>0</v>
      </c>
      <c r="J328" s="23">
        <f>Weekly_Inspections!$AS328</f>
        <v>0</v>
      </c>
      <c r="K328" s="23">
        <f>Weekly_Inspections!$AU328</f>
        <v>0</v>
      </c>
      <c r="L328" s="22">
        <f>Weekly_Inspections!$AV328</f>
        <v>0</v>
      </c>
      <c r="M328" s="23" t="str">
        <f t="shared" si="15"/>
        <v>Open</v>
      </c>
      <c r="N328" s="22"/>
      <c r="O328" s="21">
        <f t="shared" ca="1" si="16"/>
        <v>46113</v>
      </c>
      <c r="P328" s="21" t="str">
        <f t="shared" ca="1" si="17"/>
        <v>YES</v>
      </c>
      <c r="Q328" s="23">
        <f>Weekly_Inspections!$AW328</f>
        <v>0</v>
      </c>
    </row>
    <row r="329" spans="1:17" ht="15" customHeight="1" x14ac:dyDescent="0.2">
      <c r="A329" s="21" t="str">
        <f>IF(Weekly_Inspections!$B329="","",Weekly_Inspections!$A329&amp;"-A1")</f>
        <v/>
      </c>
      <c r="B329" s="22">
        <f>Weekly_Inspections!$B329</f>
        <v>0</v>
      </c>
      <c r="C329" s="23">
        <f>Weekly_Inspections!$E329</f>
        <v>0</v>
      </c>
      <c r="D329" s="23">
        <f>Weekly_Inspections!$F329</f>
        <v>0</v>
      </c>
      <c r="E329" s="21" t="str">
        <f>Weekly_Inspections!$H329</f>
        <v/>
      </c>
      <c r="F329" s="23">
        <f>IF(Weekly_Inspections!$AX329&lt;&gt;"",Weekly_Inspections!$AX329,IF(Weekly_Inspections!$AY329&lt;&gt;"",Weekly_Inspections!$AY329,IF(Weekly_Inspections!$AZ329&lt;&gt;"",Weekly_Inspections!$AZ329,IF(Weekly_Inspections!$BA329&lt;&gt;"",Weekly_Inspections!$BA329,IF(Weekly_Inspections!$BB329&lt;&gt;"",Weekly_Inspections!$BB329,Weekly_Inspections!$R329)))))</f>
        <v>0</v>
      </c>
      <c r="G329" s="23" t="str">
        <f>IF(OR(Weekly_Inspections!$AQ329&lt;&gt;"",Weekly_Inspections!$AR329&lt;&gt;"",Weekly_Inspections!$AS329&lt;&gt;""),Weekly_Inspections!$AQ329,"")</f>
        <v/>
      </c>
      <c r="H329" s="23">
        <f>Weekly_Inspections!$AP329</f>
        <v>0</v>
      </c>
      <c r="I329" s="23">
        <f>Weekly_Inspections!$AR329</f>
        <v>0</v>
      </c>
      <c r="J329" s="23">
        <f>Weekly_Inspections!$AS329</f>
        <v>0</v>
      </c>
      <c r="K329" s="23">
        <f>Weekly_Inspections!$AU329</f>
        <v>0</v>
      </c>
      <c r="L329" s="22">
        <f>Weekly_Inspections!$AV329</f>
        <v>0</v>
      </c>
      <c r="M329" s="23" t="str">
        <f t="shared" si="15"/>
        <v>Open</v>
      </c>
      <c r="N329" s="22"/>
      <c r="O329" s="21">
        <f t="shared" ca="1" si="16"/>
        <v>46113</v>
      </c>
      <c r="P329" s="21" t="str">
        <f t="shared" ca="1" si="17"/>
        <v>YES</v>
      </c>
      <c r="Q329" s="23">
        <f>Weekly_Inspections!$AW329</f>
        <v>0</v>
      </c>
    </row>
    <row r="330" spans="1:17" ht="15" customHeight="1" x14ac:dyDescent="0.2">
      <c r="A330" s="21" t="str">
        <f>IF(Weekly_Inspections!$B330="","",Weekly_Inspections!$A330&amp;"-A1")</f>
        <v/>
      </c>
      <c r="B330" s="22">
        <f>Weekly_Inspections!$B330</f>
        <v>0</v>
      </c>
      <c r="C330" s="23">
        <f>Weekly_Inspections!$E330</f>
        <v>0</v>
      </c>
      <c r="D330" s="23">
        <f>Weekly_Inspections!$F330</f>
        <v>0</v>
      </c>
      <c r="E330" s="21" t="str">
        <f>Weekly_Inspections!$H330</f>
        <v/>
      </c>
      <c r="F330" s="23">
        <f>IF(Weekly_Inspections!$AX330&lt;&gt;"",Weekly_Inspections!$AX330,IF(Weekly_Inspections!$AY330&lt;&gt;"",Weekly_Inspections!$AY330,IF(Weekly_Inspections!$AZ330&lt;&gt;"",Weekly_Inspections!$AZ330,IF(Weekly_Inspections!$BA330&lt;&gt;"",Weekly_Inspections!$BA330,IF(Weekly_Inspections!$BB330&lt;&gt;"",Weekly_Inspections!$BB330,Weekly_Inspections!$R330)))))</f>
        <v>0</v>
      </c>
      <c r="G330" s="23" t="str">
        <f>IF(OR(Weekly_Inspections!$AQ330&lt;&gt;"",Weekly_Inspections!$AR330&lt;&gt;"",Weekly_Inspections!$AS330&lt;&gt;""),Weekly_Inspections!$AQ330,"")</f>
        <v/>
      </c>
      <c r="H330" s="23">
        <f>Weekly_Inspections!$AP330</f>
        <v>0</v>
      </c>
      <c r="I330" s="23">
        <f>Weekly_Inspections!$AR330</f>
        <v>0</v>
      </c>
      <c r="J330" s="23">
        <f>Weekly_Inspections!$AS330</f>
        <v>0</v>
      </c>
      <c r="K330" s="23">
        <f>Weekly_Inspections!$AU330</f>
        <v>0</v>
      </c>
      <c r="L330" s="22">
        <f>Weekly_Inspections!$AV330</f>
        <v>0</v>
      </c>
      <c r="M330" s="23" t="str">
        <f t="shared" si="15"/>
        <v>Open</v>
      </c>
      <c r="N330" s="22"/>
      <c r="O330" s="21">
        <f t="shared" ca="1" si="16"/>
        <v>46113</v>
      </c>
      <c r="P330" s="21" t="str">
        <f t="shared" ca="1" si="17"/>
        <v>YES</v>
      </c>
      <c r="Q330" s="23">
        <f>Weekly_Inspections!$AW330</f>
        <v>0</v>
      </c>
    </row>
    <row r="331" spans="1:17" ht="15" customHeight="1" x14ac:dyDescent="0.2">
      <c r="A331" s="21" t="str">
        <f>IF(Weekly_Inspections!$B331="","",Weekly_Inspections!$A331&amp;"-A1")</f>
        <v/>
      </c>
      <c r="B331" s="22">
        <f>Weekly_Inspections!$B331</f>
        <v>0</v>
      </c>
      <c r="C331" s="23">
        <f>Weekly_Inspections!$E331</f>
        <v>0</v>
      </c>
      <c r="D331" s="23">
        <f>Weekly_Inspections!$F331</f>
        <v>0</v>
      </c>
      <c r="E331" s="21" t="str">
        <f>Weekly_Inspections!$H331</f>
        <v/>
      </c>
      <c r="F331" s="23">
        <f>IF(Weekly_Inspections!$AX331&lt;&gt;"",Weekly_Inspections!$AX331,IF(Weekly_Inspections!$AY331&lt;&gt;"",Weekly_Inspections!$AY331,IF(Weekly_Inspections!$AZ331&lt;&gt;"",Weekly_Inspections!$AZ331,IF(Weekly_Inspections!$BA331&lt;&gt;"",Weekly_Inspections!$BA331,IF(Weekly_Inspections!$BB331&lt;&gt;"",Weekly_Inspections!$BB331,Weekly_Inspections!$R331)))))</f>
        <v>0</v>
      </c>
      <c r="G331" s="23" t="str">
        <f>IF(OR(Weekly_Inspections!$AQ331&lt;&gt;"",Weekly_Inspections!$AR331&lt;&gt;"",Weekly_Inspections!$AS331&lt;&gt;""),Weekly_Inspections!$AQ331,"")</f>
        <v/>
      </c>
      <c r="H331" s="23">
        <f>Weekly_Inspections!$AP331</f>
        <v>0</v>
      </c>
      <c r="I331" s="23">
        <f>Weekly_Inspections!$AR331</f>
        <v>0</v>
      </c>
      <c r="J331" s="23">
        <f>Weekly_Inspections!$AS331</f>
        <v>0</v>
      </c>
      <c r="K331" s="23">
        <f>Weekly_Inspections!$AU331</f>
        <v>0</v>
      </c>
      <c r="L331" s="22">
        <f>Weekly_Inspections!$AV331</f>
        <v>0</v>
      </c>
      <c r="M331" s="23" t="str">
        <f t="shared" si="15"/>
        <v>Open</v>
      </c>
      <c r="N331" s="22"/>
      <c r="O331" s="21">
        <f t="shared" ca="1" si="16"/>
        <v>46113</v>
      </c>
      <c r="P331" s="21" t="str">
        <f t="shared" ca="1" si="17"/>
        <v>YES</v>
      </c>
      <c r="Q331" s="23">
        <f>Weekly_Inspections!$AW331</f>
        <v>0</v>
      </c>
    </row>
    <row r="332" spans="1:17" ht="15" customHeight="1" x14ac:dyDescent="0.2">
      <c r="A332" s="21" t="str">
        <f>IF(Weekly_Inspections!$B332="","",Weekly_Inspections!$A332&amp;"-A1")</f>
        <v/>
      </c>
      <c r="B332" s="22">
        <f>Weekly_Inspections!$B332</f>
        <v>0</v>
      </c>
      <c r="C332" s="23">
        <f>Weekly_Inspections!$E332</f>
        <v>0</v>
      </c>
      <c r="D332" s="23">
        <f>Weekly_Inspections!$F332</f>
        <v>0</v>
      </c>
      <c r="E332" s="21" t="str">
        <f>Weekly_Inspections!$H332</f>
        <v/>
      </c>
      <c r="F332" s="23">
        <f>IF(Weekly_Inspections!$AX332&lt;&gt;"",Weekly_Inspections!$AX332,IF(Weekly_Inspections!$AY332&lt;&gt;"",Weekly_Inspections!$AY332,IF(Weekly_Inspections!$AZ332&lt;&gt;"",Weekly_Inspections!$AZ332,IF(Weekly_Inspections!$BA332&lt;&gt;"",Weekly_Inspections!$BA332,IF(Weekly_Inspections!$BB332&lt;&gt;"",Weekly_Inspections!$BB332,Weekly_Inspections!$R332)))))</f>
        <v>0</v>
      </c>
      <c r="G332" s="23" t="str">
        <f>IF(OR(Weekly_Inspections!$AQ332&lt;&gt;"",Weekly_Inspections!$AR332&lt;&gt;"",Weekly_Inspections!$AS332&lt;&gt;""),Weekly_Inspections!$AQ332,"")</f>
        <v/>
      </c>
      <c r="H332" s="23">
        <f>Weekly_Inspections!$AP332</f>
        <v>0</v>
      </c>
      <c r="I332" s="23">
        <f>Weekly_Inspections!$AR332</f>
        <v>0</v>
      </c>
      <c r="J332" s="23">
        <f>Weekly_Inspections!$AS332</f>
        <v>0</v>
      </c>
      <c r="K332" s="23">
        <f>Weekly_Inspections!$AU332</f>
        <v>0</v>
      </c>
      <c r="L332" s="22">
        <f>Weekly_Inspections!$AV332</f>
        <v>0</v>
      </c>
      <c r="M332" s="23" t="str">
        <f t="shared" si="15"/>
        <v>Open</v>
      </c>
      <c r="N332" s="22"/>
      <c r="O332" s="21">
        <f t="shared" ca="1" si="16"/>
        <v>46113</v>
      </c>
      <c r="P332" s="21" t="str">
        <f t="shared" ca="1" si="17"/>
        <v>YES</v>
      </c>
      <c r="Q332" s="23">
        <f>Weekly_Inspections!$AW332</f>
        <v>0</v>
      </c>
    </row>
    <row r="333" spans="1:17" ht="15" customHeight="1" x14ac:dyDescent="0.2">
      <c r="A333" s="21" t="str">
        <f>IF(Weekly_Inspections!$B333="","",Weekly_Inspections!$A333&amp;"-A1")</f>
        <v/>
      </c>
      <c r="B333" s="22">
        <f>Weekly_Inspections!$B333</f>
        <v>0</v>
      </c>
      <c r="C333" s="23">
        <f>Weekly_Inspections!$E333</f>
        <v>0</v>
      </c>
      <c r="D333" s="23">
        <f>Weekly_Inspections!$F333</f>
        <v>0</v>
      </c>
      <c r="E333" s="21" t="str">
        <f>Weekly_Inspections!$H333</f>
        <v/>
      </c>
      <c r="F333" s="23">
        <f>IF(Weekly_Inspections!$AX333&lt;&gt;"",Weekly_Inspections!$AX333,IF(Weekly_Inspections!$AY333&lt;&gt;"",Weekly_Inspections!$AY333,IF(Weekly_Inspections!$AZ333&lt;&gt;"",Weekly_Inspections!$AZ333,IF(Weekly_Inspections!$BA333&lt;&gt;"",Weekly_Inspections!$BA333,IF(Weekly_Inspections!$BB333&lt;&gt;"",Weekly_Inspections!$BB333,Weekly_Inspections!$R333)))))</f>
        <v>0</v>
      </c>
      <c r="G333" s="23" t="str">
        <f>IF(OR(Weekly_Inspections!$AQ333&lt;&gt;"",Weekly_Inspections!$AR333&lt;&gt;"",Weekly_Inspections!$AS333&lt;&gt;""),Weekly_Inspections!$AQ333,"")</f>
        <v/>
      </c>
      <c r="H333" s="23">
        <f>Weekly_Inspections!$AP333</f>
        <v>0</v>
      </c>
      <c r="I333" s="23">
        <f>Weekly_Inspections!$AR333</f>
        <v>0</v>
      </c>
      <c r="J333" s="23">
        <f>Weekly_Inspections!$AS333</f>
        <v>0</v>
      </c>
      <c r="K333" s="23">
        <f>Weekly_Inspections!$AU333</f>
        <v>0</v>
      </c>
      <c r="L333" s="22">
        <f>Weekly_Inspections!$AV333</f>
        <v>0</v>
      </c>
      <c r="M333" s="23" t="str">
        <f t="shared" si="15"/>
        <v>Open</v>
      </c>
      <c r="N333" s="22"/>
      <c r="O333" s="21">
        <f t="shared" ca="1" si="16"/>
        <v>46113</v>
      </c>
      <c r="P333" s="21" t="str">
        <f t="shared" ca="1" si="17"/>
        <v>YES</v>
      </c>
      <c r="Q333" s="23">
        <f>Weekly_Inspections!$AW333</f>
        <v>0</v>
      </c>
    </row>
    <row r="334" spans="1:17" ht="15" customHeight="1" x14ac:dyDescent="0.2">
      <c r="A334" s="21" t="str">
        <f>IF(Weekly_Inspections!$B334="","",Weekly_Inspections!$A334&amp;"-A1")</f>
        <v/>
      </c>
      <c r="B334" s="22">
        <f>Weekly_Inspections!$B334</f>
        <v>0</v>
      </c>
      <c r="C334" s="23">
        <f>Weekly_Inspections!$E334</f>
        <v>0</v>
      </c>
      <c r="D334" s="23">
        <f>Weekly_Inspections!$F334</f>
        <v>0</v>
      </c>
      <c r="E334" s="21" t="str">
        <f>Weekly_Inspections!$H334</f>
        <v/>
      </c>
      <c r="F334" s="23">
        <f>IF(Weekly_Inspections!$AX334&lt;&gt;"",Weekly_Inspections!$AX334,IF(Weekly_Inspections!$AY334&lt;&gt;"",Weekly_Inspections!$AY334,IF(Weekly_Inspections!$AZ334&lt;&gt;"",Weekly_Inspections!$AZ334,IF(Weekly_Inspections!$BA334&lt;&gt;"",Weekly_Inspections!$BA334,IF(Weekly_Inspections!$BB334&lt;&gt;"",Weekly_Inspections!$BB334,Weekly_Inspections!$R334)))))</f>
        <v>0</v>
      </c>
      <c r="G334" s="23" t="str">
        <f>IF(OR(Weekly_Inspections!$AQ334&lt;&gt;"",Weekly_Inspections!$AR334&lt;&gt;"",Weekly_Inspections!$AS334&lt;&gt;""),Weekly_Inspections!$AQ334,"")</f>
        <v/>
      </c>
      <c r="H334" s="23">
        <f>Weekly_Inspections!$AP334</f>
        <v>0</v>
      </c>
      <c r="I334" s="23">
        <f>Weekly_Inspections!$AR334</f>
        <v>0</v>
      </c>
      <c r="J334" s="23">
        <f>Weekly_Inspections!$AS334</f>
        <v>0</v>
      </c>
      <c r="K334" s="23">
        <f>Weekly_Inspections!$AU334</f>
        <v>0</v>
      </c>
      <c r="L334" s="22">
        <f>Weekly_Inspections!$AV334</f>
        <v>0</v>
      </c>
      <c r="M334" s="23" t="str">
        <f t="shared" si="15"/>
        <v>Open</v>
      </c>
      <c r="N334" s="22"/>
      <c r="O334" s="21">
        <f t="shared" ca="1" si="16"/>
        <v>46113</v>
      </c>
      <c r="P334" s="21" t="str">
        <f t="shared" ca="1" si="17"/>
        <v>YES</v>
      </c>
      <c r="Q334" s="23">
        <f>Weekly_Inspections!$AW334</f>
        <v>0</v>
      </c>
    </row>
    <row r="335" spans="1:17" ht="15" customHeight="1" x14ac:dyDescent="0.2">
      <c r="A335" s="21" t="str">
        <f>IF(Weekly_Inspections!$B335="","",Weekly_Inspections!$A335&amp;"-A1")</f>
        <v/>
      </c>
      <c r="B335" s="22">
        <f>Weekly_Inspections!$B335</f>
        <v>0</v>
      </c>
      <c r="C335" s="23">
        <f>Weekly_Inspections!$E335</f>
        <v>0</v>
      </c>
      <c r="D335" s="23">
        <f>Weekly_Inspections!$F335</f>
        <v>0</v>
      </c>
      <c r="E335" s="21" t="str">
        <f>Weekly_Inspections!$H335</f>
        <v/>
      </c>
      <c r="F335" s="23">
        <f>IF(Weekly_Inspections!$AX335&lt;&gt;"",Weekly_Inspections!$AX335,IF(Weekly_Inspections!$AY335&lt;&gt;"",Weekly_Inspections!$AY335,IF(Weekly_Inspections!$AZ335&lt;&gt;"",Weekly_Inspections!$AZ335,IF(Weekly_Inspections!$BA335&lt;&gt;"",Weekly_Inspections!$BA335,IF(Weekly_Inspections!$BB335&lt;&gt;"",Weekly_Inspections!$BB335,Weekly_Inspections!$R335)))))</f>
        <v>0</v>
      </c>
      <c r="G335" s="23" t="str">
        <f>IF(OR(Weekly_Inspections!$AQ335&lt;&gt;"",Weekly_Inspections!$AR335&lt;&gt;"",Weekly_Inspections!$AS335&lt;&gt;""),Weekly_Inspections!$AQ335,"")</f>
        <v/>
      </c>
      <c r="H335" s="23">
        <f>Weekly_Inspections!$AP335</f>
        <v>0</v>
      </c>
      <c r="I335" s="23">
        <f>Weekly_Inspections!$AR335</f>
        <v>0</v>
      </c>
      <c r="J335" s="23">
        <f>Weekly_Inspections!$AS335</f>
        <v>0</v>
      </c>
      <c r="K335" s="23">
        <f>Weekly_Inspections!$AU335</f>
        <v>0</v>
      </c>
      <c r="L335" s="22">
        <f>Weekly_Inspections!$AV335</f>
        <v>0</v>
      </c>
      <c r="M335" s="23" t="str">
        <f t="shared" si="15"/>
        <v>Open</v>
      </c>
      <c r="N335" s="22"/>
      <c r="O335" s="21">
        <f t="shared" ca="1" si="16"/>
        <v>46113</v>
      </c>
      <c r="P335" s="21" t="str">
        <f t="shared" ca="1" si="17"/>
        <v>YES</v>
      </c>
      <c r="Q335" s="23">
        <f>Weekly_Inspections!$AW335</f>
        <v>0</v>
      </c>
    </row>
    <row r="336" spans="1:17" ht="15" customHeight="1" x14ac:dyDescent="0.2">
      <c r="A336" s="21" t="str">
        <f>IF(Weekly_Inspections!$B336="","",Weekly_Inspections!$A336&amp;"-A1")</f>
        <v/>
      </c>
      <c r="B336" s="22">
        <f>Weekly_Inspections!$B336</f>
        <v>0</v>
      </c>
      <c r="C336" s="23">
        <f>Weekly_Inspections!$E336</f>
        <v>0</v>
      </c>
      <c r="D336" s="23">
        <f>Weekly_Inspections!$F336</f>
        <v>0</v>
      </c>
      <c r="E336" s="21" t="str">
        <f>Weekly_Inspections!$H336</f>
        <v/>
      </c>
      <c r="F336" s="23">
        <f>IF(Weekly_Inspections!$AX336&lt;&gt;"",Weekly_Inspections!$AX336,IF(Weekly_Inspections!$AY336&lt;&gt;"",Weekly_Inspections!$AY336,IF(Weekly_Inspections!$AZ336&lt;&gt;"",Weekly_Inspections!$AZ336,IF(Weekly_Inspections!$BA336&lt;&gt;"",Weekly_Inspections!$BA336,IF(Weekly_Inspections!$BB336&lt;&gt;"",Weekly_Inspections!$BB336,Weekly_Inspections!$R336)))))</f>
        <v>0</v>
      </c>
      <c r="G336" s="23" t="str">
        <f>IF(OR(Weekly_Inspections!$AQ336&lt;&gt;"",Weekly_Inspections!$AR336&lt;&gt;"",Weekly_Inspections!$AS336&lt;&gt;""),Weekly_Inspections!$AQ336,"")</f>
        <v/>
      </c>
      <c r="H336" s="23">
        <f>Weekly_Inspections!$AP336</f>
        <v>0</v>
      </c>
      <c r="I336" s="23">
        <f>Weekly_Inspections!$AR336</f>
        <v>0</v>
      </c>
      <c r="J336" s="23">
        <f>Weekly_Inspections!$AS336</f>
        <v>0</v>
      </c>
      <c r="K336" s="23">
        <f>Weekly_Inspections!$AU336</f>
        <v>0</v>
      </c>
      <c r="L336" s="22">
        <f>Weekly_Inspections!$AV336</f>
        <v>0</v>
      </c>
      <c r="M336" s="23" t="str">
        <f t="shared" si="15"/>
        <v>Open</v>
      </c>
      <c r="N336" s="22"/>
      <c r="O336" s="21">
        <f t="shared" ca="1" si="16"/>
        <v>46113</v>
      </c>
      <c r="P336" s="21" t="str">
        <f t="shared" ca="1" si="17"/>
        <v>YES</v>
      </c>
      <c r="Q336" s="23">
        <f>Weekly_Inspections!$AW336</f>
        <v>0</v>
      </c>
    </row>
    <row r="337" spans="1:17" ht="15" customHeight="1" x14ac:dyDescent="0.2">
      <c r="A337" s="21" t="str">
        <f>IF(Weekly_Inspections!$B337="","",Weekly_Inspections!$A337&amp;"-A1")</f>
        <v/>
      </c>
      <c r="B337" s="22">
        <f>Weekly_Inspections!$B337</f>
        <v>0</v>
      </c>
      <c r="C337" s="23">
        <f>Weekly_Inspections!$E337</f>
        <v>0</v>
      </c>
      <c r="D337" s="23">
        <f>Weekly_Inspections!$F337</f>
        <v>0</v>
      </c>
      <c r="E337" s="21" t="str">
        <f>Weekly_Inspections!$H337</f>
        <v/>
      </c>
      <c r="F337" s="23">
        <f>IF(Weekly_Inspections!$AX337&lt;&gt;"",Weekly_Inspections!$AX337,IF(Weekly_Inspections!$AY337&lt;&gt;"",Weekly_Inspections!$AY337,IF(Weekly_Inspections!$AZ337&lt;&gt;"",Weekly_Inspections!$AZ337,IF(Weekly_Inspections!$BA337&lt;&gt;"",Weekly_Inspections!$BA337,IF(Weekly_Inspections!$BB337&lt;&gt;"",Weekly_Inspections!$BB337,Weekly_Inspections!$R337)))))</f>
        <v>0</v>
      </c>
      <c r="G337" s="23" t="str">
        <f>IF(OR(Weekly_Inspections!$AQ337&lt;&gt;"",Weekly_Inspections!$AR337&lt;&gt;"",Weekly_Inspections!$AS337&lt;&gt;""),Weekly_Inspections!$AQ337,"")</f>
        <v/>
      </c>
      <c r="H337" s="23">
        <f>Weekly_Inspections!$AP337</f>
        <v>0</v>
      </c>
      <c r="I337" s="23">
        <f>Weekly_Inspections!$AR337</f>
        <v>0</v>
      </c>
      <c r="J337" s="23">
        <f>Weekly_Inspections!$AS337</f>
        <v>0</v>
      </c>
      <c r="K337" s="23">
        <f>Weekly_Inspections!$AU337</f>
        <v>0</v>
      </c>
      <c r="L337" s="22">
        <f>Weekly_Inspections!$AV337</f>
        <v>0</v>
      </c>
      <c r="M337" s="23" t="str">
        <f t="shared" si="15"/>
        <v>Open</v>
      </c>
      <c r="N337" s="22"/>
      <c r="O337" s="21">
        <f t="shared" ca="1" si="16"/>
        <v>46113</v>
      </c>
      <c r="P337" s="21" t="str">
        <f t="shared" ca="1" si="17"/>
        <v>YES</v>
      </c>
      <c r="Q337" s="23">
        <f>Weekly_Inspections!$AW337</f>
        <v>0</v>
      </c>
    </row>
    <row r="338" spans="1:17" ht="15" customHeight="1" x14ac:dyDescent="0.2">
      <c r="A338" s="21" t="str">
        <f>IF(Weekly_Inspections!$B338="","",Weekly_Inspections!$A338&amp;"-A1")</f>
        <v/>
      </c>
      <c r="B338" s="22">
        <f>Weekly_Inspections!$B338</f>
        <v>0</v>
      </c>
      <c r="C338" s="23">
        <f>Weekly_Inspections!$E338</f>
        <v>0</v>
      </c>
      <c r="D338" s="23">
        <f>Weekly_Inspections!$F338</f>
        <v>0</v>
      </c>
      <c r="E338" s="21" t="str">
        <f>Weekly_Inspections!$H338</f>
        <v/>
      </c>
      <c r="F338" s="23">
        <f>IF(Weekly_Inspections!$AX338&lt;&gt;"",Weekly_Inspections!$AX338,IF(Weekly_Inspections!$AY338&lt;&gt;"",Weekly_Inspections!$AY338,IF(Weekly_Inspections!$AZ338&lt;&gt;"",Weekly_Inspections!$AZ338,IF(Weekly_Inspections!$BA338&lt;&gt;"",Weekly_Inspections!$BA338,IF(Weekly_Inspections!$BB338&lt;&gt;"",Weekly_Inspections!$BB338,Weekly_Inspections!$R338)))))</f>
        <v>0</v>
      </c>
      <c r="G338" s="23" t="str">
        <f>IF(OR(Weekly_Inspections!$AQ338&lt;&gt;"",Weekly_Inspections!$AR338&lt;&gt;"",Weekly_Inspections!$AS338&lt;&gt;""),Weekly_Inspections!$AQ338,"")</f>
        <v/>
      </c>
      <c r="H338" s="23">
        <f>Weekly_Inspections!$AP338</f>
        <v>0</v>
      </c>
      <c r="I338" s="23">
        <f>Weekly_Inspections!$AR338</f>
        <v>0</v>
      </c>
      <c r="J338" s="23">
        <f>Weekly_Inspections!$AS338</f>
        <v>0</v>
      </c>
      <c r="K338" s="23">
        <f>Weekly_Inspections!$AU338</f>
        <v>0</v>
      </c>
      <c r="L338" s="22">
        <f>Weekly_Inspections!$AV338</f>
        <v>0</v>
      </c>
      <c r="M338" s="23" t="str">
        <f t="shared" si="15"/>
        <v>Open</v>
      </c>
      <c r="N338" s="22"/>
      <c r="O338" s="21">
        <f t="shared" ca="1" si="16"/>
        <v>46113</v>
      </c>
      <c r="P338" s="21" t="str">
        <f t="shared" ca="1" si="17"/>
        <v>YES</v>
      </c>
      <c r="Q338" s="23">
        <f>Weekly_Inspections!$AW338</f>
        <v>0</v>
      </c>
    </row>
    <row r="339" spans="1:17" ht="15" customHeight="1" x14ac:dyDescent="0.2">
      <c r="A339" s="21" t="str">
        <f>IF(Weekly_Inspections!$B339="","",Weekly_Inspections!$A339&amp;"-A1")</f>
        <v/>
      </c>
      <c r="B339" s="22">
        <f>Weekly_Inspections!$B339</f>
        <v>0</v>
      </c>
      <c r="C339" s="23">
        <f>Weekly_Inspections!$E339</f>
        <v>0</v>
      </c>
      <c r="D339" s="23">
        <f>Weekly_Inspections!$F339</f>
        <v>0</v>
      </c>
      <c r="E339" s="21" t="str">
        <f>Weekly_Inspections!$H339</f>
        <v/>
      </c>
      <c r="F339" s="23">
        <f>IF(Weekly_Inspections!$AX339&lt;&gt;"",Weekly_Inspections!$AX339,IF(Weekly_Inspections!$AY339&lt;&gt;"",Weekly_Inspections!$AY339,IF(Weekly_Inspections!$AZ339&lt;&gt;"",Weekly_Inspections!$AZ339,IF(Weekly_Inspections!$BA339&lt;&gt;"",Weekly_Inspections!$BA339,IF(Weekly_Inspections!$BB339&lt;&gt;"",Weekly_Inspections!$BB339,Weekly_Inspections!$R339)))))</f>
        <v>0</v>
      </c>
      <c r="G339" s="23" t="str">
        <f>IF(OR(Weekly_Inspections!$AQ339&lt;&gt;"",Weekly_Inspections!$AR339&lt;&gt;"",Weekly_Inspections!$AS339&lt;&gt;""),Weekly_Inspections!$AQ339,"")</f>
        <v/>
      </c>
      <c r="H339" s="23">
        <f>Weekly_Inspections!$AP339</f>
        <v>0</v>
      </c>
      <c r="I339" s="23">
        <f>Weekly_Inspections!$AR339</f>
        <v>0</v>
      </c>
      <c r="J339" s="23">
        <f>Weekly_Inspections!$AS339</f>
        <v>0</v>
      </c>
      <c r="K339" s="23">
        <f>Weekly_Inspections!$AU339</f>
        <v>0</v>
      </c>
      <c r="L339" s="22">
        <f>Weekly_Inspections!$AV339</f>
        <v>0</v>
      </c>
      <c r="M339" s="23" t="str">
        <f t="shared" si="15"/>
        <v>Open</v>
      </c>
      <c r="N339" s="22"/>
      <c r="O339" s="21">
        <f t="shared" ca="1" si="16"/>
        <v>46113</v>
      </c>
      <c r="P339" s="21" t="str">
        <f t="shared" ca="1" si="17"/>
        <v>YES</v>
      </c>
      <c r="Q339" s="23">
        <f>Weekly_Inspections!$AW339</f>
        <v>0</v>
      </c>
    </row>
    <row r="340" spans="1:17" ht="15" customHeight="1" x14ac:dyDescent="0.2">
      <c r="A340" s="21" t="str">
        <f>IF(Weekly_Inspections!$B340="","",Weekly_Inspections!$A340&amp;"-A1")</f>
        <v/>
      </c>
      <c r="B340" s="22">
        <f>Weekly_Inspections!$B340</f>
        <v>0</v>
      </c>
      <c r="C340" s="23">
        <f>Weekly_Inspections!$E340</f>
        <v>0</v>
      </c>
      <c r="D340" s="23">
        <f>Weekly_Inspections!$F340</f>
        <v>0</v>
      </c>
      <c r="E340" s="21" t="str">
        <f>Weekly_Inspections!$H340</f>
        <v/>
      </c>
      <c r="F340" s="23">
        <f>IF(Weekly_Inspections!$AX340&lt;&gt;"",Weekly_Inspections!$AX340,IF(Weekly_Inspections!$AY340&lt;&gt;"",Weekly_Inspections!$AY340,IF(Weekly_Inspections!$AZ340&lt;&gt;"",Weekly_Inspections!$AZ340,IF(Weekly_Inspections!$BA340&lt;&gt;"",Weekly_Inspections!$BA340,IF(Weekly_Inspections!$BB340&lt;&gt;"",Weekly_Inspections!$BB340,Weekly_Inspections!$R340)))))</f>
        <v>0</v>
      </c>
      <c r="G340" s="23" t="str">
        <f>IF(OR(Weekly_Inspections!$AQ340&lt;&gt;"",Weekly_Inspections!$AR340&lt;&gt;"",Weekly_Inspections!$AS340&lt;&gt;""),Weekly_Inspections!$AQ340,"")</f>
        <v/>
      </c>
      <c r="H340" s="23">
        <f>Weekly_Inspections!$AP340</f>
        <v>0</v>
      </c>
      <c r="I340" s="23">
        <f>Weekly_Inspections!$AR340</f>
        <v>0</v>
      </c>
      <c r="J340" s="23">
        <f>Weekly_Inspections!$AS340</f>
        <v>0</v>
      </c>
      <c r="K340" s="23">
        <f>Weekly_Inspections!$AU340</f>
        <v>0</v>
      </c>
      <c r="L340" s="22">
        <f>Weekly_Inspections!$AV340</f>
        <v>0</v>
      </c>
      <c r="M340" s="23" t="str">
        <f t="shared" si="15"/>
        <v>Open</v>
      </c>
      <c r="N340" s="22"/>
      <c r="O340" s="21">
        <f t="shared" ca="1" si="16"/>
        <v>46113</v>
      </c>
      <c r="P340" s="21" t="str">
        <f t="shared" ca="1" si="17"/>
        <v>YES</v>
      </c>
      <c r="Q340" s="23">
        <f>Weekly_Inspections!$AW340</f>
        <v>0</v>
      </c>
    </row>
    <row r="341" spans="1:17" ht="15" customHeight="1" x14ac:dyDescent="0.2">
      <c r="A341" s="21" t="str">
        <f>IF(Weekly_Inspections!$B341="","",Weekly_Inspections!$A341&amp;"-A1")</f>
        <v/>
      </c>
      <c r="B341" s="22">
        <f>Weekly_Inspections!$B341</f>
        <v>0</v>
      </c>
      <c r="C341" s="23">
        <f>Weekly_Inspections!$E341</f>
        <v>0</v>
      </c>
      <c r="D341" s="23">
        <f>Weekly_Inspections!$F341</f>
        <v>0</v>
      </c>
      <c r="E341" s="21" t="str">
        <f>Weekly_Inspections!$H341</f>
        <v/>
      </c>
      <c r="F341" s="23">
        <f>IF(Weekly_Inspections!$AX341&lt;&gt;"",Weekly_Inspections!$AX341,IF(Weekly_Inspections!$AY341&lt;&gt;"",Weekly_Inspections!$AY341,IF(Weekly_Inspections!$AZ341&lt;&gt;"",Weekly_Inspections!$AZ341,IF(Weekly_Inspections!$BA341&lt;&gt;"",Weekly_Inspections!$BA341,IF(Weekly_Inspections!$BB341&lt;&gt;"",Weekly_Inspections!$BB341,Weekly_Inspections!$R341)))))</f>
        <v>0</v>
      </c>
      <c r="G341" s="23" t="str">
        <f>IF(OR(Weekly_Inspections!$AQ341&lt;&gt;"",Weekly_Inspections!$AR341&lt;&gt;"",Weekly_Inspections!$AS341&lt;&gt;""),Weekly_Inspections!$AQ341,"")</f>
        <v/>
      </c>
      <c r="H341" s="23">
        <f>Weekly_Inspections!$AP341</f>
        <v>0</v>
      </c>
      <c r="I341" s="23">
        <f>Weekly_Inspections!$AR341</f>
        <v>0</v>
      </c>
      <c r="J341" s="23">
        <f>Weekly_Inspections!$AS341</f>
        <v>0</v>
      </c>
      <c r="K341" s="23">
        <f>Weekly_Inspections!$AU341</f>
        <v>0</v>
      </c>
      <c r="L341" s="22">
        <f>Weekly_Inspections!$AV341</f>
        <v>0</v>
      </c>
      <c r="M341" s="23" t="str">
        <f t="shared" si="15"/>
        <v>Open</v>
      </c>
      <c r="N341" s="22"/>
      <c r="O341" s="21">
        <f t="shared" ca="1" si="16"/>
        <v>46113</v>
      </c>
      <c r="P341" s="21" t="str">
        <f t="shared" ca="1" si="17"/>
        <v>YES</v>
      </c>
      <c r="Q341" s="23">
        <f>Weekly_Inspections!$AW341</f>
        <v>0</v>
      </c>
    </row>
    <row r="342" spans="1:17" ht="15" customHeight="1" x14ac:dyDescent="0.2">
      <c r="A342" s="21" t="str">
        <f>IF(Weekly_Inspections!$B342="","",Weekly_Inspections!$A342&amp;"-A1")</f>
        <v/>
      </c>
      <c r="B342" s="22">
        <f>Weekly_Inspections!$B342</f>
        <v>0</v>
      </c>
      <c r="C342" s="23">
        <f>Weekly_Inspections!$E342</f>
        <v>0</v>
      </c>
      <c r="D342" s="23">
        <f>Weekly_Inspections!$F342</f>
        <v>0</v>
      </c>
      <c r="E342" s="21" t="str">
        <f>Weekly_Inspections!$H342</f>
        <v/>
      </c>
      <c r="F342" s="23">
        <f>IF(Weekly_Inspections!$AX342&lt;&gt;"",Weekly_Inspections!$AX342,IF(Weekly_Inspections!$AY342&lt;&gt;"",Weekly_Inspections!$AY342,IF(Weekly_Inspections!$AZ342&lt;&gt;"",Weekly_Inspections!$AZ342,IF(Weekly_Inspections!$BA342&lt;&gt;"",Weekly_Inspections!$BA342,IF(Weekly_Inspections!$BB342&lt;&gt;"",Weekly_Inspections!$BB342,Weekly_Inspections!$R342)))))</f>
        <v>0</v>
      </c>
      <c r="G342" s="23" t="str">
        <f>IF(OR(Weekly_Inspections!$AQ342&lt;&gt;"",Weekly_Inspections!$AR342&lt;&gt;"",Weekly_Inspections!$AS342&lt;&gt;""),Weekly_Inspections!$AQ342,"")</f>
        <v/>
      </c>
      <c r="H342" s="23">
        <f>Weekly_Inspections!$AP342</f>
        <v>0</v>
      </c>
      <c r="I342" s="23">
        <f>Weekly_Inspections!$AR342</f>
        <v>0</v>
      </c>
      <c r="J342" s="23">
        <f>Weekly_Inspections!$AS342</f>
        <v>0</v>
      </c>
      <c r="K342" s="23">
        <f>Weekly_Inspections!$AU342</f>
        <v>0</v>
      </c>
      <c r="L342" s="22">
        <f>Weekly_Inspections!$AV342</f>
        <v>0</v>
      </c>
      <c r="M342" s="23" t="str">
        <f t="shared" si="15"/>
        <v>Open</v>
      </c>
      <c r="N342" s="22"/>
      <c r="O342" s="21">
        <f t="shared" ca="1" si="16"/>
        <v>46113</v>
      </c>
      <c r="P342" s="21" t="str">
        <f t="shared" ca="1" si="17"/>
        <v>YES</v>
      </c>
      <c r="Q342" s="23">
        <f>Weekly_Inspections!$AW342</f>
        <v>0</v>
      </c>
    </row>
    <row r="343" spans="1:17" ht="15" customHeight="1" x14ac:dyDescent="0.2">
      <c r="A343" s="21" t="str">
        <f>IF(Weekly_Inspections!$B343="","",Weekly_Inspections!$A343&amp;"-A1")</f>
        <v/>
      </c>
      <c r="B343" s="22">
        <f>Weekly_Inspections!$B343</f>
        <v>0</v>
      </c>
      <c r="C343" s="23">
        <f>Weekly_Inspections!$E343</f>
        <v>0</v>
      </c>
      <c r="D343" s="23">
        <f>Weekly_Inspections!$F343</f>
        <v>0</v>
      </c>
      <c r="E343" s="21" t="str">
        <f>Weekly_Inspections!$H343</f>
        <v/>
      </c>
      <c r="F343" s="23">
        <f>IF(Weekly_Inspections!$AX343&lt;&gt;"",Weekly_Inspections!$AX343,IF(Weekly_Inspections!$AY343&lt;&gt;"",Weekly_Inspections!$AY343,IF(Weekly_Inspections!$AZ343&lt;&gt;"",Weekly_Inspections!$AZ343,IF(Weekly_Inspections!$BA343&lt;&gt;"",Weekly_Inspections!$BA343,IF(Weekly_Inspections!$BB343&lt;&gt;"",Weekly_Inspections!$BB343,Weekly_Inspections!$R343)))))</f>
        <v>0</v>
      </c>
      <c r="G343" s="23" t="str">
        <f>IF(OR(Weekly_Inspections!$AQ343&lt;&gt;"",Weekly_Inspections!$AR343&lt;&gt;"",Weekly_Inspections!$AS343&lt;&gt;""),Weekly_Inspections!$AQ343,"")</f>
        <v/>
      </c>
      <c r="H343" s="23">
        <f>Weekly_Inspections!$AP343</f>
        <v>0</v>
      </c>
      <c r="I343" s="23">
        <f>Weekly_Inspections!$AR343</f>
        <v>0</v>
      </c>
      <c r="J343" s="23">
        <f>Weekly_Inspections!$AS343</f>
        <v>0</v>
      </c>
      <c r="K343" s="23">
        <f>Weekly_Inspections!$AU343</f>
        <v>0</v>
      </c>
      <c r="L343" s="22">
        <f>Weekly_Inspections!$AV343</f>
        <v>0</v>
      </c>
      <c r="M343" s="23" t="str">
        <f t="shared" si="15"/>
        <v>Open</v>
      </c>
      <c r="N343" s="22"/>
      <c r="O343" s="21">
        <f t="shared" ca="1" si="16"/>
        <v>46113</v>
      </c>
      <c r="P343" s="21" t="str">
        <f t="shared" ca="1" si="17"/>
        <v>YES</v>
      </c>
      <c r="Q343" s="23">
        <f>Weekly_Inspections!$AW343</f>
        <v>0</v>
      </c>
    </row>
    <row r="344" spans="1:17" ht="15" customHeight="1" x14ac:dyDescent="0.2">
      <c r="A344" s="21" t="str">
        <f>IF(Weekly_Inspections!$B344="","",Weekly_Inspections!$A344&amp;"-A1")</f>
        <v/>
      </c>
      <c r="B344" s="22">
        <f>Weekly_Inspections!$B344</f>
        <v>0</v>
      </c>
      <c r="C344" s="23">
        <f>Weekly_Inspections!$E344</f>
        <v>0</v>
      </c>
      <c r="D344" s="23">
        <f>Weekly_Inspections!$F344</f>
        <v>0</v>
      </c>
      <c r="E344" s="21" t="str">
        <f>Weekly_Inspections!$H344</f>
        <v/>
      </c>
      <c r="F344" s="23">
        <f>IF(Weekly_Inspections!$AX344&lt;&gt;"",Weekly_Inspections!$AX344,IF(Weekly_Inspections!$AY344&lt;&gt;"",Weekly_Inspections!$AY344,IF(Weekly_Inspections!$AZ344&lt;&gt;"",Weekly_Inspections!$AZ344,IF(Weekly_Inspections!$BA344&lt;&gt;"",Weekly_Inspections!$BA344,IF(Weekly_Inspections!$BB344&lt;&gt;"",Weekly_Inspections!$BB344,Weekly_Inspections!$R344)))))</f>
        <v>0</v>
      </c>
      <c r="G344" s="23" t="str">
        <f>IF(OR(Weekly_Inspections!$AQ344&lt;&gt;"",Weekly_Inspections!$AR344&lt;&gt;"",Weekly_Inspections!$AS344&lt;&gt;""),Weekly_Inspections!$AQ344,"")</f>
        <v/>
      </c>
      <c r="H344" s="23">
        <f>Weekly_Inspections!$AP344</f>
        <v>0</v>
      </c>
      <c r="I344" s="23">
        <f>Weekly_Inspections!$AR344</f>
        <v>0</v>
      </c>
      <c r="J344" s="23">
        <f>Weekly_Inspections!$AS344</f>
        <v>0</v>
      </c>
      <c r="K344" s="23">
        <f>Weekly_Inspections!$AU344</f>
        <v>0</v>
      </c>
      <c r="L344" s="22">
        <f>Weekly_Inspections!$AV344</f>
        <v>0</v>
      </c>
      <c r="M344" s="23" t="str">
        <f t="shared" si="15"/>
        <v>Open</v>
      </c>
      <c r="N344" s="22"/>
      <c r="O344" s="21">
        <f t="shared" ca="1" si="16"/>
        <v>46113</v>
      </c>
      <c r="P344" s="21" t="str">
        <f t="shared" ca="1" si="17"/>
        <v>YES</v>
      </c>
      <c r="Q344" s="23">
        <f>Weekly_Inspections!$AW344</f>
        <v>0</v>
      </c>
    </row>
    <row r="345" spans="1:17" ht="15" customHeight="1" x14ac:dyDescent="0.2">
      <c r="A345" s="21" t="str">
        <f>IF(Weekly_Inspections!$B345="","",Weekly_Inspections!$A345&amp;"-A1")</f>
        <v/>
      </c>
      <c r="B345" s="22">
        <f>Weekly_Inspections!$B345</f>
        <v>0</v>
      </c>
      <c r="C345" s="23">
        <f>Weekly_Inspections!$E345</f>
        <v>0</v>
      </c>
      <c r="D345" s="23">
        <f>Weekly_Inspections!$F345</f>
        <v>0</v>
      </c>
      <c r="E345" s="21" t="str">
        <f>Weekly_Inspections!$H345</f>
        <v/>
      </c>
      <c r="F345" s="23">
        <f>IF(Weekly_Inspections!$AX345&lt;&gt;"",Weekly_Inspections!$AX345,IF(Weekly_Inspections!$AY345&lt;&gt;"",Weekly_Inspections!$AY345,IF(Weekly_Inspections!$AZ345&lt;&gt;"",Weekly_Inspections!$AZ345,IF(Weekly_Inspections!$BA345&lt;&gt;"",Weekly_Inspections!$BA345,IF(Weekly_Inspections!$BB345&lt;&gt;"",Weekly_Inspections!$BB345,Weekly_Inspections!$R345)))))</f>
        <v>0</v>
      </c>
      <c r="G345" s="23" t="str">
        <f>IF(OR(Weekly_Inspections!$AQ345&lt;&gt;"",Weekly_Inspections!$AR345&lt;&gt;"",Weekly_Inspections!$AS345&lt;&gt;""),Weekly_Inspections!$AQ345,"")</f>
        <v/>
      </c>
      <c r="H345" s="23">
        <f>Weekly_Inspections!$AP345</f>
        <v>0</v>
      </c>
      <c r="I345" s="23">
        <f>Weekly_Inspections!$AR345</f>
        <v>0</v>
      </c>
      <c r="J345" s="23">
        <f>Weekly_Inspections!$AS345</f>
        <v>0</v>
      </c>
      <c r="K345" s="23">
        <f>Weekly_Inspections!$AU345</f>
        <v>0</v>
      </c>
      <c r="L345" s="22">
        <f>Weekly_Inspections!$AV345</f>
        <v>0</v>
      </c>
      <c r="M345" s="23" t="str">
        <f t="shared" si="15"/>
        <v>Open</v>
      </c>
      <c r="N345" s="22"/>
      <c r="O345" s="21">
        <f t="shared" ca="1" si="16"/>
        <v>46113</v>
      </c>
      <c r="P345" s="21" t="str">
        <f t="shared" ca="1" si="17"/>
        <v>YES</v>
      </c>
      <c r="Q345" s="23">
        <f>Weekly_Inspections!$AW345</f>
        <v>0</v>
      </c>
    </row>
    <row r="346" spans="1:17" ht="15" customHeight="1" x14ac:dyDescent="0.2">
      <c r="A346" s="21" t="str">
        <f>IF(Weekly_Inspections!$B346="","",Weekly_Inspections!$A346&amp;"-A1")</f>
        <v/>
      </c>
      <c r="B346" s="22">
        <f>Weekly_Inspections!$B346</f>
        <v>0</v>
      </c>
      <c r="C346" s="23">
        <f>Weekly_Inspections!$E346</f>
        <v>0</v>
      </c>
      <c r="D346" s="23">
        <f>Weekly_Inspections!$F346</f>
        <v>0</v>
      </c>
      <c r="E346" s="21" t="str">
        <f>Weekly_Inspections!$H346</f>
        <v/>
      </c>
      <c r="F346" s="23">
        <f>IF(Weekly_Inspections!$AX346&lt;&gt;"",Weekly_Inspections!$AX346,IF(Weekly_Inspections!$AY346&lt;&gt;"",Weekly_Inspections!$AY346,IF(Weekly_Inspections!$AZ346&lt;&gt;"",Weekly_Inspections!$AZ346,IF(Weekly_Inspections!$BA346&lt;&gt;"",Weekly_Inspections!$BA346,IF(Weekly_Inspections!$BB346&lt;&gt;"",Weekly_Inspections!$BB346,Weekly_Inspections!$R346)))))</f>
        <v>0</v>
      </c>
      <c r="G346" s="23" t="str">
        <f>IF(OR(Weekly_Inspections!$AQ346&lt;&gt;"",Weekly_Inspections!$AR346&lt;&gt;"",Weekly_Inspections!$AS346&lt;&gt;""),Weekly_Inspections!$AQ346,"")</f>
        <v/>
      </c>
      <c r="H346" s="23">
        <f>Weekly_Inspections!$AP346</f>
        <v>0</v>
      </c>
      <c r="I346" s="23">
        <f>Weekly_Inspections!$AR346</f>
        <v>0</v>
      </c>
      <c r="J346" s="23">
        <f>Weekly_Inspections!$AS346</f>
        <v>0</v>
      </c>
      <c r="K346" s="23">
        <f>Weekly_Inspections!$AU346</f>
        <v>0</v>
      </c>
      <c r="L346" s="22">
        <f>Weekly_Inspections!$AV346</f>
        <v>0</v>
      </c>
      <c r="M346" s="23" t="str">
        <f t="shared" si="15"/>
        <v>Open</v>
      </c>
      <c r="N346" s="22"/>
      <c r="O346" s="21">
        <f t="shared" ca="1" si="16"/>
        <v>46113</v>
      </c>
      <c r="P346" s="21" t="str">
        <f t="shared" ca="1" si="17"/>
        <v>YES</v>
      </c>
      <c r="Q346" s="23">
        <f>Weekly_Inspections!$AW346</f>
        <v>0</v>
      </c>
    </row>
    <row r="347" spans="1:17" ht="15" customHeight="1" x14ac:dyDescent="0.2">
      <c r="A347" s="21" t="str">
        <f>IF(Weekly_Inspections!$B347="","",Weekly_Inspections!$A347&amp;"-A1")</f>
        <v/>
      </c>
      <c r="B347" s="22">
        <f>Weekly_Inspections!$B347</f>
        <v>0</v>
      </c>
      <c r="C347" s="23">
        <f>Weekly_Inspections!$E347</f>
        <v>0</v>
      </c>
      <c r="D347" s="23">
        <f>Weekly_Inspections!$F347</f>
        <v>0</v>
      </c>
      <c r="E347" s="21" t="str">
        <f>Weekly_Inspections!$H347</f>
        <v/>
      </c>
      <c r="F347" s="23">
        <f>IF(Weekly_Inspections!$AX347&lt;&gt;"",Weekly_Inspections!$AX347,IF(Weekly_Inspections!$AY347&lt;&gt;"",Weekly_Inspections!$AY347,IF(Weekly_Inspections!$AZ347&lt;&gt;"",Weekly_Inspections!$AZ347,IF(Weekly_Inspections!$BA347&lt;&gt;"",Weekly_Inspections!$BA347,IF(Weekly_Inspections!$BB347&lt;&gt;"",Weekly_Inspections!$BB347,Weekly_Inspections!$R347)))))</f>
        <v>0</v>
      </c>
      <c r="G347" s="23" t="str">
        <f>IF(OR(Weekly_Inspections!$AQ347&lt;&gt;"",Weekly_Inspections!$AR347&lt;&gt;"",Weekly_Inspections!$AS347&lt;&gt;""),Weekly_Inspections!$AQ347,"")</f>
        <v/>
      </c>
      <c r="H347" s="23">
        <f>Weekly_Inspections!$AP347</f>
        <v>0</v>
      </c>
      <c r="I347" s="23">
        <f>Weekly_Inspections!$AR347</f>
        <v>0</v>
      </c>
      <c r="J347" s="23">
        <f>Weekly_Inspections!$AS347</f>
        <v>0</v>
      </c>
      <c r="K347" s="23">
        <f>Weekly_Inspections!$AU347</f>
        <v>0</v>
      </c>
      <c r="L347" s="22">
        <f>Weekly_Inspections!$AV347</f>
        <v>0</v>
      </c>
      <c r="M347" s="23" t="str">
        <f t="shared" si="15"/>
        <v>Open</v>
      </c>
      <c r="N347" s="22"/>
      <c r="O347" s="21">
        <f t="shared" ca="1" si="16"/>
        <v>46113</v>
      </c>
      <c r="P347" s="21" t="str">
        <f t="shared" ca="1" si="17"/>
        <v>YES</v>
      </c>
      <c r="Q347" s="23">
        <f>Weekly_Inspections!$AW347</f>
        <v>0</v>
      </c>
    </row>
    <row r="348" spans="1:17" ht="15" customHeight="1" x14ac:dyDescent="0.2">
      <c r="A348" s="21" t="str">
        <f>IF(Weekly_Inspections!$B348="","",Weekly_Inspections!$A348&amp;"-A1")</f>
        <v/>
      </c>
      <c r="B348" s="22">
        <f>Weekly_Inspections!$B348</f>
        <v>0</v>
      </c>
      <c r="C348" s="23">
        <f>Weekly_Inspections!$E348</f>
        <v>0</v>
      </c>
      <c r="D348" s="23">
        <f>Weekly_Inspections!$F348</f>
        <v>0</v>
      </c>
      <c r="E348" s="21" t="str">
        <f>Weekly_Inspections!$H348</f>
        <v/>
      </c>
      <c r="F348" s="23">
        <f>IF(Weekly_Inspections!$AX348&lt;&gt;"",Weekly_Inspections!$AX348,IF(Weekly_Inspections!$AY348&lt;&gt;"",Weekly_Inspections!$AY348,IF(Weekly_Inspections!$AZ348&lt;&gt;"",Weekly_Inspections!$AZ348,IF(Weekly_Inspections!$BA348&lt;&gt;"",Weekly_Inspections!$BA348,IF(Weekly_Inspections!$BB348&lt;&gt;"",Weekly_Inspections!$BB348,Weekly_Inspections!$R348)))))</f>
        <v>0</v>
      </c>
      <c r="G348" s="23" t="str">
        <f>IF(OR(Weekly_Inspections!$AQ348&lt;&gt;"",Weekly_Inspections!$AR348&lt;&gt;"",Weekly_Inspections!$AS348&lt;&gt;""),Weekly_Inspections!$AQ348,"")</f>
        <v/>
      </c>
      <c r="H348" s="23">
        <f>Weekly_Inspections!$AP348</f>
        <v>0</v>
      </c>
      <c r="I348" s="23">
        <f>Weekly_Inspections!$AR348</f>
        <v>0</v>
      </c>
      <c r="J348" s="23">
        <f>Weekly_Inspections!$AS348</f>
        <v>0</v>
      </c>
      <c r="K348" s="23">
        <f>Weekly_Inspections!$AU348</f>
        <v>0</v>
      </c>
      <c r="L348" s="22">
        <f>Weekly_Inspections!$AV348</f>
        <v>0</v>
      </c>
      <c r="M348" s="23" t="str">
        <f t="shared" si="15"/>
        <v>Open</v>
      </c>
      <c r="N348" s="22"/>
      <c r="O348" s="21">
        <f t="shared" ca="1" si="16"/>
        <v>46113</v>
      </c>
      <c r="P348" s="21" t="str">
        <f t="shared" ca="1" si="17"/>
        <v>YES</v>
      </c>
      <c r="Q348" s="23">
        <f>Weekly_Inspections!$AW348</f>
        <v>0</v>
      </c>
    </row>
    <row r="349" spans="1:17" ht="15" customHeight="1" x14ac:dyDescent="0.2">
      <c r="A349" s="21" t="str">
        <f>IF(Weekly_Inspections!$B349="","",Weekly_Inspections!$A349&amp;"-A1")</f>
        <v/>
      </c>
      <c r="B349" s="22">
        <f>Weekly_Inspections!$B349</f>
        <v>0</v>
      </c>
      <c r="C349" s="23">
        <f>Weekly_Inspections!$E349</f>
        <v>0</v>
      </c>
      <c r="D349" s="23">
        <f>Weekly_Inspections!$F349</f>
        <v>0</v>
      </c>
      <c r="E349" s="21" t="str">
        <f>Weekly_Inspections!$H349</f>
        <v/>
      </c>
      <c r="F349" s="23">
        <f>IF(Weekly_Inspections!$AX349&lt;&gt;"",Weekly_Inspections!$AX349,IF(Weekly_Inspections!$AY349&lt;&gt;"",Weekly_Inspections!$AY349,IF(Weekly_Inspections!$AZ349&lt;&gt;"",Weekly_Inspections!$AZ349,IF(Weekly_Inspections!$BA349&lt;&gt;"",Weekly_Inspections!$BA349,IF(Weekly_Inspections!$BB349&lt;&gt;"",Weekly_Inspections!$BB349,Weekly_Inspections!$R349)))))</f>
        <v>0</v>
      </c>
      <c r="G349" s="23" t="str">
        <f>IF(OR(Weekly_Inspections!$AQ349&lt;&gt;"",Weekly_Inspections!$AR349&lt;&gt;"",Weekly_Inspections!$AS349&lt;&gt;""),Weekly_Inspections!$AQ349,"")</f>
        <v/>
      </c>
      <c r="H349" s="23">
        <f>Weekly_Inspections!$AP349</f>
        <v>0</v>
      </c>
      <c r="I349" s="23">
        <f>Weekly_Inspections!$AR349</f>
        <v>0</v>
      </c>
      <c r="J349" s="23">
        <f>Weekly_Inspections!$AS349</f>
        <v>0</v>
      </c>
      <c r="K349" s="23">
        <f>Weekly_Inspections!$AU349</f>
        <v>0</v>
      </c>
      <c r="L349" s="22">
        <f>Weekly_Inspections!$AV349</f>
        <v>0</v>
      </c>
      <c r="M349" s="23" t="str">
        <f t="shared" si="15"/>
        <v>Open</v>
      </c>
      <c r="N349" s="22"/>
      <c r="O349" s="21">
        <f t="shared" ca="1" si="16"/>
        <v>46113</v>
      </c>
      <c r="P349" s="21" t="str">
        <f t="shared" ca="1" si="17"/>
        <v>YES</v>
      </c>
      <c r="Q349" s="23">
        <f>Weekly_Inspections!$AW349</f>
        <v>0</v>
      </c>
    </row>
    <row r="350" spans="1:17" ht="15" customHeight="1" x14ac:dyDescent="0.2">
      <c r="A350" s="21" t="str">
        <f>IF(Weekly_Inspections!$B350="","",Weekly_Inspections!$A350&amp;"-A1")</f>
        <v/>
      </c>
      <c r="B350" s="22">
        <f>Weekly_Inspections!$B350</f>
        <v>0</v>
      </c>
      <c r="C350" s="23">
        <f>Weekly_Inspections!$E350</f>
        <v>0</v>
      </c>
      <c r="D350" s="23">
        <f>Weekly_Inspections!$F350</f>
        <v>0</v>
      </c>
      <c r="E350" s="21" t="str">
        <f>Weekly_Inspections!$H350</f>
        <v/>
      </c>
      <c r="F350" s="23">
        <f>IF(Weekly_Inspections!$AX350&lt;&gt;"",Weekly_Inspections!$AX350,IF(Weekly_Inspections!$AY350&lt;&gt;"",Weekly_Inspections!$AY350,IF(Weekly_Inspections!$AZ350&lt;&gt;"",Weekly_Inspections!$AZ350,IF(Weekly_Inspections!$BA350&lt;&gt;"",Weekly_Inspections!$BA350,IF(Weekly_Inspections!$BB350&lt;&gt;"",Weekly_Inspections!$BB350,Weekly_Inspections!$R350)))))</f>
        <v>0</v>
      </c>
      <c r="G350" s="23" t="str">
        <f>IF(OR(Weekly_Inspections!$AQ350&lt;&gt;"",Weekly_Inspections!$AR350&lt;&gt;"",Weekly_Inspections!$AS350&lt;&gt;""),Weekly_Inspections!$AQ350,"")</f>
        <v/>
      </c>
      <c r="H350" s="23">
        <f>Weekly_Inspections!$AP350</f>
        <v>0</v>
      </c>
      <c r="I350" s="23">
        <f>Weekly_Inspections!$AR350</f>
        <v>0</v>
      </c>
      <c r="J350" s="23">
        <f>Weekly_Inspections!$AS350</f>
        <v>0</v>
      </c>
      <c r="K350" s="23">
        <f>Weekly_Inspections!$AU350</f>
        <v>0</v>
      </c>
      <c r="L350" s="22">
        <f>Weekly_Inspections!$AV350</f>
        <v>0</v>
      </c>
      <c r="M350" s="23" t="str">
        <f t="shared" si="15"/>
        <v>Open</v>
      </c>
      <c r="N350" s="22"/>
      <c r="O350" s="21">
        <f t="shared" ca="1" si="16"/>
        <v>46113</v>
      </c>
      <c r="P350" s="21" t="str">
        <f t="shared" ca="1" si="17"/>
        <v>YES</v>
      </c>
      <c r="Q350" s="23">
        <f>Weekly_Inspections!$AW350</f>
        <v>0</v>
      </c>
    </row>
    <row r="351" spans="1:17" ht="15" customHeight="1" x14ac:dyDescent="0.2">
      <c r="A351" s="21" t="str">
        <f>IF(Weekly_Inspections!$B351="","",Weekly_Inspections!$A351&amp;"-A1")</f>
        <v/>
      </c>
      <c r="B351" s="22">
        <f>Weekly_Inspections!$B351</f>
        <v>0</v>
      </c>
      <c r="C351" s="23">
        <f>Weekly_Inspections!$E351</f>
        <v>0</v>
      </c>
      <c r="D351" s="23">
        <f>Weekly_Inspections!$F351</f>
        <v>0</v>
      </c>
      <c r="E351" s="21" t="str">
        <f>Weekly_Inspections!$H351</f>
        <v/>
      </c>
      <c r="F351" s="23">
        <f>IF(Weekly_Inspections!$AX351&lt;&gt;"",Weekly_Inspections!$AX351,IF(Weekly_Inspections!$AY351&lt;&gt;"",Weekly_Inspections!$AY351,IF(Weekly_Inspections!$AZ351&lt;&gt;"",Weekly_Inspections!$AZ351,IF(Weekly_Inspections!$BA351&lt;&gt;"",Weekly_Inspections!$BA351,IF(Weekly_Inspections!$BB351&lt;&gt;"",Weekly_Inspections!$BB351,Weekly_Inspections!$R351)))))</f>
        <v>0</v>
      </c>
      <c r="G351" s="23" t="str">
        <f>IF(OR(Weekly_Inspections!$AQ351&lt;&gt;"",Weekly_Inspections!$AR351&lt;&gt;"",Weekly_Inspections!$AS351&lt;&gt;""),Weekly_Inspections!$AQ351,"")</f>
        <v/>
      </c>
      <c r="H351" s="23">
        <f>Weekly_Inspections!$AP351</f>
        <v>0</v>
      </c>
      <c r="I351" s="23">
        <f>Weekly_Inspections!$AR351</f>
        <v>0</v>
      </c>
      <c r="J351" s="23">
        <f>Weekly_Inspections!$AS351</f>
        <v>0</v>
      </c>
      <c r="K351" s="23">
        <f>Weekly_Inspections!$AU351</f>
        <v>0</v>
      </c>
      <c r="L351" s="22">
        <f>Weekly_Inspections!$AV351</f>
        <v>0</v>
      </c>
      <c r="M351" s="23" t="str">
        <f t="shared" si="15"/>
        <v>Open</v>
      </c>
      <c r="N351" s="22"/>
      <c r="O351" s="21">
        <f t="shared" ca="1" si="16"/>
        <v>46113</v>
      </c>
      <c r="P351" s="21" t="str">
        <f t="shared" ca="1" si="17"/>
        <v>YES</v>
      </c>
      <c r="Q351" s="23">
        <f>Weekly_Inspections!$AW351</f>
        <v>0</v>
      </c>
    </row>
    <row r="352" spans="1:17" ht="15" customHeight="1" x14ac:dyDescent="0.2">
      <c r="A352" s="21" t="str">
        <f>IF(Weekly_Inspections!$B352="","",Weekly_Inspections!$A352&amp;"-A1")</f>
        <v/>
      </c>
      <c r="B352" s="22">
        <f>Weekly_Inspections!$B352</f>
        <v>0</v>
      </c>
      <c r="C352" s="23">
        <f>Weekly_Inspections!$E352</f>
        <v>0</v>
      </c>
      <c r="D352" s="23">
        <f>Weekly_Inspections!$F352</f>
        <v>0</v>
      </c>
      <c r="E352" s="21" t="str">
        <f>Weekly_Inspections!$H352</f>
        <v/>
      </c>
      <c r="F352" s="23">
        <f>IF(Weekly_Inspections!$AX352&lt;&gt;"",Weekly_Inspections!$AX352,IF(Weekly_Inspections!$AY352&lt;&gt;"",Weekly_Inspections!$AY352,IF(Weekly_Inspections!$AZ352&lt;&gt;"",Weekly_Inspections!$AZ352,IF(Weekly_Inspections!$BA352&lt;&gt;"",Weekly_Inspections!$BA352,IF(Weekly_Inspections!$BB352&lt;&gt;"",Weekly_Inspections!$BB352,Weekly_Inspections!$R352)))))</f>
        <v>0</v>
      </c>
      <c r="G352" s="23" t="str">
        <f>IF(OR(Weekly_Inspections!$AQ352&lt;&gt;"",Weekly_Inspections!$AR352&lt;&gt;"",Weekly_Inspections!$AS352&lt;&gt;""),Weekly_Inspections!$AQ352,"")</f>
        <v/>
      </c>
      <c r="H352" s="23">
        <f>Weekly_Inspections!$AP352</f>
        <v>0</v>
      </c>
      <c r="I352" s="23">
        <f>Weekly_Inspections!$AR352</f>
        <v>0</v>
      </c>
      <c r="J352" s="23">
        <f>Weekly_Inspections!$AS352</f>
        <v>0</v>
      </c>
      <c r="K352" s="23">
        <f>Weekly_Inspections!$AU352</f>
        <v>0</v>
      </c>
      <c r="L352" s="22">
        <f>Weekly_Inspections!$AV352</f>
        <v>0</v>
      </c>
      <c r="M352" s="23" t="str">
        <f t="shared" si="15"/>
        <v>Open</v>
      </c>
      <c r="N352" s="22"/>
      <c r="O352" s="21">
        <f t="shared" ca="1" si="16"/>
        <v>46113</v>
      </c>
      <c r="P352" s="21" t="str">
        <f t="shared" ca="1" si="17"/>
        <v>YES</v>
      </c>
      <c r="Q352" s="23">
        <f>Weekly_Inspections!$AW352</f>
        <v>0</v>
      </c>
    </row>
    <row r="353" spans="1:17" ht="15" customHeight="1" x14ac:dyDescent="0.2">
      <c r="A353" s="21" t="str">
        <f>IF(Weekly_Inspections!$B353="","",Weekly_Inspections!$A353&amp;"-A1")</f>
        <v/>
      </c>
      <c r="B353" s="22">
        <f>Weekly_Inspections!$B353</f>
        <v>0</v>
      </c>
      <c r="C353" s="23">
        <f>Weekly_Inspections!$E353</f>
        <v>0</v>
      </c>
      <c r="D353" s="23">
        <f>Weekly_Inspections!$F353</f>
        <v>0</v>
      </c>
      <c r="E353" s="21" t="str">
        <f>Weekly_Inspections!$H353</f>
        <v/>
      </c>
      <c r="F353" s="23">
        <f>IF(Weekly_Inspections!$AX353&lt;&gt;"",Weekly_Inspections!$AX353,IF(Weekly_Inspections!$AY353&lt;&gt;"",Weekly_Inspections!$AY353,IF(Weekly_Inspections!$AZ353&lt;&gt;"",Weekly_Inspections!$AZ353,IF(Weekly_Inspections!$BA353&lt;&gt;"",Weekly_Inspections!$BA353,IF(Weekly_Inspections!$BB353&lt;&gt;"",Weekly_Inspections!$BB353,Weekly_Inspections!$R353)))))</f>
        <v>0</v>
      </c>
      <c r="G353" s="23" t="str">
        <f>IF(OR(Weekly_Inspections!$AQ353&lt;&gt;"",Weekly_Inspections!$AR353&lt;&gt;"",Weekly_Inspections!$AS353&lt;&gt;""),Weekly_Inspections!$AQ353,"")</f>
        <v/>
      </c>
      <c r="H353" s="23">
        <f>Weekly_Inspections!$AP353</f>
        <v>0</v>
      </c>
      <c r="I353" s="23">
        <f>Weekly_Inspections!$AR353</f>
        <v>0</v>
      </c>
      <c r="J353" s="23">
        <f>Weekly_Inspections!$AS353</f>
        <v>0</v>
      </c>
      <c r="K353" s="23">
        <f>Weekly_Inspections!$AU353</f>
        <v>0</v>
      </c>
      <c r="L353" s="22">
        <f>Weekly_Inspections!$AV353</f>
        <v>0</v>
      </c>
      <c r="M353" s="23" t="str">
        <f t="shared" si="15"/>
        <v>Open</v>
      </c>
      <c r="N353" s="22"/>
      <c r="O353" s="21">
        <f t="shared" ca="1" si="16"/>
        <v>46113</v>
      </c>
      <c r="P353" s="21" t="str">
        <f t="shared" ca="1" si="17"/>
        <v>YES</v>
      </c>
      <c r="Q353" s="23">
        <f>Weekly_Inspections!$AW353</f>
        <v>0</v>
      </c>
    </row>
    <row r="354" spans="1:17" ht="15" customHeight="1" x14ac:dyDescent="0.2">
      <c r="A354" s="21" t="str">
        <f>IF(Weekly_Inspections!$B354="","",Weekly_Inspections!$A354&amp;"-A1")</f>
        <v/>
      </c>
      <c r="B354" s="22">
        <f>Weekly_Inspections!$B354</f>
        <v>0</v>
      </c>
      <c r="C354" s="23">
        <f>Weekly_Inspections!$E354</f>
        <v>0</v>
      </c>
      <c r="D354" s="23">
        <f>Weekly_Inspections!$F354</f>
        <v>0</v>
      </c>
      <c r="E354" s="21" t="str">
        <f>Weekly_Inspections!$H354</f>
        <v/>
      </c>
      <c r="F354" s="23">
        <f>IF(Weekly_Inspections!$AX354&lt;&gt;"",Weekly_Inspections!$AX354,IF(Weekly_Inspections!$AY354&lt;&gt;"",Weekly_Inspections!$AY354,IF(Weekly_Inspections!$AZ354&lt;&gt;"",Weekly_Inspections!$AZ354,IF(Weekly_Inspections!$BA354&lt;&gt;"",Weekly_Inspections!$BA354,IF(Weekly_Inspections!$BB354&lt;&gt;"",Weekly_Inspections!$BB354,Weekly_Inspections!$R354)))))</f>
        <v>0</v>
      </c>
      <c r="G354" s="23" t="str">
        <f>IF(OR(Weekly_Inspections!$AQ354&lt;&gt;"",Weekly_Inspections!$AR354&lt;&gt;"",Weekly_Inspections!$AS354&lt;&gt;""),Weekly_Inspections!$AQ354,"")</f>
        <v/>
      </c>
      <c r="H354" s="23">
        <f>Weekly_Inspections!$AP354</f>
        <v>0</v>
      </c>
      <c r="I354" s="23">
        <f>Weekly_Inspections!$AR354</f>
        <v>0</v>
      </c>
      <c r="J354" s="23">
        <f>Weekly_Inspections!$AS354</f>
        <v>0</v>
      </c>
      <c r="K354" s="23">
        <f>Weekly_Inspections!$AU354</f>
        <v>0</v>
      </c>
      <c r="L354" s="22">
        <f>Weekly_Inspections!$AV354</f>
        <v>0</v>
      </c>
      <c r="M354" s="23" t="str">
        <f t="shared" si="15"/>
        <v>Open</v>
      </c>
      <c r="N354" s="22"/>
      <c r="O354" s="21">
        <f t="shared" ca="1" si="16"/>
        <v>46113</v>
      </c>
      <c r="P354" s="21" t="str">
        <f t="shared" ca="1" si="17"/>
        <v>YES</v>
      </c>
      <c r="Q354" s="23">
        <f>Weekly_Inspections!$AW354</f>
        <v>0</v>
      </c>
    </row>
    <row r="355" spans="1:17" ht="15" customHeight="1" x14ac:dyDescent="0.2">
      <c r="A355" s="21" t="str">
        <f>IF(Weekly_Inspections!$B355="","",Weekly_Inspections!$A355&amp;"-A1")</f>
        <v/>
      </c>
      <c r="B355" s="22">
        <f>Weekly_Inspections!$B355</f>
        <v>0</v>
      </c>
      <c r="C355" s="23">
        <f>Weekly_Inspections!$E355</f>
        <v>0</v>
      </c>
      <c r="D355" s="23">
        <f>Weekly_Inspections!$F355</f>
        <v>0</v>
      </c>
      <c r="E355" s="21" t="str">
        <f>Weekly_Inspections!$H355</f>
        <v/>
      </c>
      <c r="F355" s="23">
        <f>IF(Weekly_Inspections!$AX355&lt;&gt;"",Weekly_Inspections!$AX355,IF(Weekly_Inspections!$AY355&lt;&gt;"",Weekly_Inspections!$AY355,IF(Weekly_Inspections!$AZ355&lt;&gt;"",Weekly_Inspections!$AZ355,IF(Weekly_Inspections!$BA355&lt;&gt;"",Weekly_Inspections!$BA355,IF(Weekly_Inspections!$BB355&lt;&gt;"",Weekly_Inspections!$BB355,Weekly_Inspections!$R355)))))</f>
        <v>0</v>
      </c>
      <c r="G355" s="23" t="str">
        <f>IF(OR(Weekly_Inspections!$AQ355&lt;&gt;"",Weekly_Inspections!$AR355&lt;&gt;"",Weekly_Inspections!$AS355&lt;&gt;""),Weekly_Inspections!$AQ355,"")</f>
        <v/>
      </c>
      <c r="H355" s="23">
        <f>Weekly_Inspections!$AP355</f>
        <v>0</v>
      </c>
      <c r="I355" s="23">
        <f>Weekly_Inspections!$AR355</f>
        <v>0</v>
      </c>
      <c r="J355" s="23">
        <f>Weekly_Inspections!$AS355</f>
        <v>0</v>
      </c>
      <c r="K355" s="23">
        <f>Weekly_Inspections!$AU355</f>
        <v>0</v>
      </c>
      <c r="L355" s="22">
        <f>Weekly_Inspections!$AV355</f>
        <v>0</v>
      </c>
      <c r="M355" s="23" t="str">
        <f t="shared" si="15"/>
        <v>Open</v>
      </c>
      <c r="N355" s="22"/>
      <c r="O355" s="21">
        <f t="shared" ca="1" si="16"/>
        <v>46113</v>
      </c>
      <c r="P355" s="21" t="str">
        <f t="shared" ca="1" si="17"/>
        <v>YES</v>
      </c>
      <c r="Q355" s="23">
        <f>Weekly_Inspections!$AW355</f>
        <v>0</v>
      </c>
    </row>
    <row r="356" spans="1:17" ht="15" customHeight="1" x14ac:dyDescent="0.2">
      <c r="A356" s="21" t="str">
        <f>IF(Weekly_Inspections!$B356="","",Weekly_Inspections!$A356&amp;"-A1")</f>
        <v/>
      </c>
      <c r="B356" s="22">
        <f>Weekly_Inspections!$B356</f>
        <v>0</v>
      </c>
      <c r="C356" s="23">
        <f>Weekly_Inspections!$E356</f>
        <v>0</v>
      </c>
      <c r="D356" s="23">
        <f>Weekly_Inspections!$F356</f>
        <v>0</v>
      </c>
      <c r="E356" s="21" t="str">
        <f>Weekly_Inspections!$H356</f>
        <v/>
      </c>
      <c r="F356" s="23">
        <f>IF(Weekly_Inspections!$AX356&lt;&gt;"",Weekly_Inspections!$AX356,IF(Weekly_Inspections!$AY356&lt;&gt;"",Weekly_Inspections!$AY356,IF(Weekly_Inspections!$AZ356&lt;&gt;"",Weekly_Inspections!$AZ356,IF(Weekly_Inspections!$BA356&lt;&gt;"",Weekly_Inspections!$BA356,IF(Weekly_Inspections!$BB356&lt;&gt;"",Weekly_Inspections!$BB356,Weekly_Inspections!$R356)))))</f>
        <v>0</v>
      </c>
      <c r="G356" s="23" t="str">
        <f>IF(OR(Weekly_Inspections!$AQ356&lt;&gt;"",Weekly_Inspections!$AR356&lt;&gt;"",Weekly_Inspections!$AS356&lt;&gt;""),Weekly_Inspections!$AQ356,"")</f>
        <v/>
      </c>
      <c r="H356" s="23">
        <f>Weekly_Inspections!$AP356</f>
        <v>0</v>
      </c>
      <c r="I356" s="23">
        <f>Weekly_Inspections!$AR356</f>
        <v>0</v>
      </c>
      <c r="J356" s="23">
        <f>Weekly_Inspections!$AS356</f>
        <v>0</v>
      </c>
      <c r="K356" s="23">
        <f>Weekly_Inspections!$AU356</f>
        <v>0</v>
      </c>
      <c r="L356" s="22">
        <f>Weekly_Inspections!$AV356</f>
        <v>0</v>
      </c>
      <c r="M356" s="23" t="str">
        <f t="shared" si="15"/>
        <v>Open</v>
      </c>
      <c r="N356" s="22"/>
      <c r="O356" s="21">
        <f t="shared" ca="1" si="16"/>
        <v>46113</v>
      </c>
      <c r="P356" s="21" t="str">
        <f t="shared" ca="1" si="17"/>
        <v>YES</v>
      </c>
      <c r="Q356" s="23">
        <f>Weekly_Inspections!$AW356</f>
        <v>0</v>
      </c>
    </row>
    <row r="357" spans="1:17" ht="15" customHeight="1" x14ac:dyDescent="0.2">
      <c r="A357" s="21" t="str">
        <f>IF(Weekly_Inspections!$B357="","",Weekly_Inspections!$A357&amp;"-A1")</f>
        <v/>
      </c>
      <c r="B357" s="22">
        <f>Weekly_Inspections!$B357</f>
        <v>0</v>
      </c>
      <c r="C357" s="23">
        <f>Weekly_Inspections!$E357</f>
        <v>0</v>
      </c>
      <c r="D357" s="23">
        <f>Weekly_Inspections!$F357</f>
        <v>0</v>
      </c>
      <c r="E357" s="21" t="str">
        <f>Weekly_Inspections!$H357</f>
        <v/>
      </c>
      <c r="F357" s="23">
        <f>IF(Weekly_Inspections!$AX357&lt;&gt;"",Weekly_Inspections!$AX357,IF(Weekly_Inspections!$AY357&lt;&gt;"",Weekly_Inspections!$AY357,IF(Weekly_Inspections!$AZ357&lt;&gt;"",Weekly_Inspections!$AZ357,IF(Weekly_Inspections!$BA357&lt;&gt;"",Weekly_Inspections!$BA357,IF(Weekly_Inspections!$BB357&lt;&gt;"",Weekly_Inspections!$BB357,Weekly_Inspections!$R357)))))</f>
        <v>0</v>
      </c>
      <c r="G357" s="23" t="str">
        <f>IF(OR(Weekly_Inspections!$AQ357&lt;&gt;"",Weekly_Inspections!$AR357&lt;&gt;"",Weekly_Inspections!$AS357&lt;&gt;""),Weekly_Inspections!$AQ357,"")</f>
        <v/>
      </c>
      <c r="H357" s="23">
        <f>Weekly_Inspections!$AP357</f>
        <v>0</v>
      </c>
      <c r="I357" s="23">
        <f>Weekly_Inspections!$AR357</f>
        <v>0</v>
      </c>
      <c r="J357" s="23">
        <f>Weekly_Inspections!$AS357</f>
        <v>0</v>
      </c>
      <c r="K357" s="23">
        <f>Weekly_Inspections!$AU357</f>
        <v>0</v>
      </c>
      <c r="L357" s="22">
        <f>Weekly_Inspections!$AV357</f>
        <v>0</v>
      </c>
      <c r="M357" s="23" t="str">
        <f t="shared" si="15"/>
        <v>Open</v>
      </c>
      <c r="N357" s="22"/>
      <c r="O357" s="21">
        <f t="shared" ca="1" si="16"/>
        <v>46113</v>
      </c>
      <c r="P357" s="21" t="str">
        <f t="shared" ca="1" si="17"/>
        <v>YES</v>
      </c>
      <c r="Q357" s="23">
        <f>Weekly_Inspections!$AW357</f>
        <v>0</v>
      </c>
    </row>
    <row r="358" spans="1:17" ht="15" customHeight="1" x14ac:dyDescent="0.2">
      <c r="A358" s="21" t="str">
        <f>IF(Weekly_Inspections!$B358="","",Weekly_Inspections!$A358&amp;"-A1")</f>
        <v/>
      </c>
      <c r="B358" s="22">
        <f>Weekly_Inspections!$B358</f>
        <v>0</v>
      </c>
      <c r="C358" s="23">
        <f>Weekly_Inspections!$E358</f>
        <v>0</v>
      </c>
      <c r="D358" s="23">
        <f>Weekly_Inspections!$F358</f>
        <v>0</v>
      </c>
      <c r="E358" s="21" t="str">
        <f>Weekly_Inspections!$H358</f>
        <v/>
      </c>
      <c r="F358" s="23">
        <f>IF(Weekly_Inspections!$AX358&lt;&gt;"",Weekly_Inspections!$AX358,IF(Weekly_Inspections!$AY358&lt;&gt;"",Weekly_Inspections!$AY358,IF(Weekly_Inspections!$AZ358&lt;&gt;"",Weekly_Inspections!$AZ358,IF(Weekly_Inspections!$BA358&lt;&gt;"",Weekly_Inspections!$BA358,IF(Weekly_Inspections!$BB358&lt;&gt;"",Weekly_Inspections!$BB358,Weekly_Inspections!$R358)))))</f>
        <v>0</v>
      </c>
      <c r="G358" s="23" t="str">
        <f>IF(OR(Weekly_Inspections!$AQ358&lt;&gt;"",Weekly_Inspections!$AR358&lt;&gt;"",Weekly_Inspections!$AS358&lt;&gt;""),Weekly_Inspections!$AQ358,"")</f>
        <v/>
      </c>
      <c r="H358" s="23">
        <f>Weekly_Inspections!$AP358</f>
        <v>0</v>
      </c>
      <c r="I358" s="23">
        <f>Weekly_Inspections!$AR358</f>
        <v>0</v>
      </c>
      <c r="J358" s="23">
        <f>Weekly_Inspections!$AS358</f>
        <v>0</v>
      </c>
      <c r="K358" s="23">
        <f>Weekly_Inspections!$AU358</f>
        <v>0</v>
      </c>
      <c r="L358" s="22">
        <f>Weekly_Inspections!$AV358</f>
        <v>0</v>
      </c>
      <c r="M358" s="23" t="str">
        <f t="shared" si="15"/>
        <v>Open</v>
      </c>
      <c r="N358" s="22"/>
      <c r="O358" s="21">
        <f t="shared" ca="1" si="16"/>
        <v>46113</v>
      </c>
      <c r="P358" s="21" t="str">
        <f t="shared" ca="1" si="17"/>
        <v>YES</v>
      </c>
      <c r="Q358" s="23">
        <f>Weekly_Inspections!$AW358</f>
        <v>0</v>
      </c>
    </row>
    <row r="359" spans="1:17" ht="15" customHeight="1" x14ac:dyDescent="0.2">
      <c r="A359" s="21" t="str">
        <f>IF(Weekly_Inspections!$B359="","",Weekly_Inspections!$A359&amp;"-A1")</f>
        <v/>
      </c>
      <c r="B359" s="22">
        <f>Weekly_Inspections!$B359</f>
        <v>0</v>
      </c>
      <c r="C359" s="23">
        <f>Weekly_Inspections!$E359</f>
        <v>0</v>
      </c>
      <c r="D359" s="23">
        <f>Weekly_Inspections!$F359</f>
        <v>0</v>
      </c>
      <c r="E359" s="21" t="str">
        <f>Weekly_Inspections!$H359</f>
        <v/>
      </c>
      <c r="F359" s="23">
        <f>IF(Weekly_Inspections!$AX359&lt;&gt;"",Weekly_Inspections!$AX359,IF(Weekly_Inspections!$AY359&lt;&gt;"",Weekly_Inspections!$AY359,IF(Weekly_Inspections!$AZ359&lt;&gt;"",Weekly_Inspections!$AZ359,IF(Weekly_Inspections!$BA359&lt;&gt;"",Weekly_Inspections!$BA359,IF(Weekly_Inspections!$BB359&lt;&gt;"",Weekly_Inspections!$BB359,Weekly_Inspections!$R359)))))</f>
        <v>0</v>
      </c>
      <c r="G359" s="23" t="str">
        <f>IF(OR(Weekly_Inspections!$AQ359&lt;&gt;"",Weekly_Inspections!$AR359&lt;&gt;"",Weekly_Inspections!$AS359&lt;&gt;""),Weekly_Inspections!$AQ359,"")</f>
        <v/>
      </c>
      <c r="H359" s="23">
        <f>Weekly_Inspections!$AP359</f>
        <v>0</v>
      </c>
      <c r="I359" s="23">
        <f>Weekly_Inspections!$AR359</f>
        <v>0</v>
      </c>
      <c r="J359" s="23">
        <f>Weekly_Inspections!$AS359</f>
        <v>0</v>
      </c>
      <c r="K359" s="23">
        <f>Weekly_Inspections!$AU359</f>
        <v>0</v>
      </c>
      <c r="L359" s="22">
        <f>Weekly_Inspections!$AV359</f>
        <v>0</v>
      </c>
      <c r="M359" s="23" t="str">
        <f t="shared" si="15"/>
        <v>Open</v>
      </c>
      <c r="N359" s="22"/>
      <c r="O359" s="21">
        <f t="shared" ca="1" si="16"/>
        <v>46113</v>
      </c>
      <c r="P359" s="21" t="str">
        <f t="shared" ca="1" si="17"/>
        <v>YES</v>
      </c>
      <c r="Q359" s="23">
        <f>Weekly_Inspections!$AW359</f>
        <v>0</v>
      </c>
    </row>
    <row r="360" spans="1:17" ht="15" customHeight="1" x14ac:dyDescent="0.2">
      <c r="A360" s="21" t="str">
        <f>IF(Weekly_Inspections!$B360="","",Weekly_Inspections!$A360&amp;"-A1")</f>
        <v/>
      </c>
      <c r="B360" s="22">
        <f>Weekly_Inspections!$B360</f>
        <v>0</v>
      </c>
      <c r="C360" s="23">
        <f>Weekly_Inspections!$E360</f>
        <v>0</v>
      </c>
      <c r="D360" s="23">
        <f>Weekly_Inspections!$F360</f>
        <v>0</v>
      </c>
      <c r="E360" s="21" t="str">
        <f>Weekly_Inspections!$H360</f>
        <v/>
      </c>
      <c r="F360" s="23">
        <f>IF(Weekly_Inspections!$AX360&lt;&gt;"",Weekly_Inspections!$AX360,IF(Weekly_Inspections!$AY360&lt;&gt;"",Weekly_Inspections!$AY360,IF(Weekly_Inspections!$AZ360&lt;&gt;"",Weekly_Inspections!$AZ360,IF(Weekly_Inspections!$BA360&lt;&gt;"",Weekly_Inspections!$BA360,IF(Weekly_Inspections!$BB360&lt;&gt;"",Weekly_Inspections!$BB360,Weekly_Inspections!$R360)))))</f>
        <v>0</v>
      </c>
      <c r="G360" s="23" t="str">
        <f>IF(OR(Weekly_Inspections!$AQ360&lt;&gt;"",Weekly_Inspections!$AR360&lt;&gt;"",Weekly_Inspections!$AS360&lt;&gt;""),Weekly_Inspections!$AQ360,"")</f>
        <v/>
      </c>
      <c r="H360" s="23">
        <f>Weekly_Inspections!$AP360</f>
        <v>0</v>
      </c>
      <c r="I360" s="23">
        <f>Weekly_Inspections!$AR360</f>
        <v>0</v>
      </c>
      <c r="J360" s="23">
        <f>Weekly_Inspections!$AS360</f>
        <v>0</v>
      </c>
      <c r="K360" s="23">
        <f>Weekly_Inspections!$AU360</f>
        <v>0</v>
      </c>
      <c r="L360" s="22">
        <f>Weekly_Inspections!$AV360</f>
        <v>0</v>
      </c>
      <c r="M360" s="23" t="str">
        <f t="shared" si="15"/>
        <v>Open</v>
      </c>
      <c r="N360" s="22"/>
      <c r="O360" s="21">
        <f t="shared" ca="1" si="16"/>
        <v>46113</v>
      </c>
      <c r="P360" s="21" t="str">
        <f t="shared" ca="1" si="17"/>
        <v>YES</v>
      </c>
      <c r="Q360" s="23">
        <f>Weekly_Inspections!$AW360</f>
        <v>0</v>
      </c>
    </row>
    <row r="361" spans="1:17" ht="15" customHeight="1" x14ac:dyDescent="0.2">
      <c r="A361" s="21" t="str">
        <f>IF(Weekly_Inspections!$B361="","",Weekly_Inspections!$A361&amp;"-A1")</f>
        <v/>
      </c>
      <c r="B361" s="22">
        <f>Weekly_Inspections!$B361</f>
        <v>0</v>
      </c>
      <c r="C361" s="23">
        <f>Weekly_Inspections!$E361</f>
        <v>0</v>
      </c>
      <c r="D361" s="23">
        <f>Weekly_Inspections!$F361</f>
        <v>0</v>
      </c>
      <c r="E361" s="21" t="str">
        <f>Weekly_Inspections!$H361</f>
        <v/>
      </c>
      <c r="F361" s="23">
        <f>IF(Weekly_Inspections!$AX361&lt;&gt;"",Weekly_Inspections!$AX361,IF(Weekly_Inspections!$AY361&lt;&gt;"",Weekly_Inspections!$AY361,IF(Weekly_Inspections!$AZ361&lt;&gt;"",Weekly_Inspections!$AZ361,IF(Weekly_Inspections!$BA361&lt;&gt;"",Weekly_Inspections!$BA361,IF(Weekly_Inspections!$BB361&lt;&gt;"",Weekly_Inspections!$BB361,Weekly_Inspections!$R361)))))</f>
        <v>0</v>
      </c>
      <c r="G361" s="23" t="str">
        <f>IF(OR(Weekly_Inspections!$AQ361&lt;&gt;"",Weekly_Inspections!$AR361&lt;&gt;"",Weekly_Inspections!$AS361&lt;&gt;""),Weekly_Inspections!$AQ361,"")</f>
        <v/>
      </c>
      <c r="H361" s="23">
        <f>Weekly_Inspections!$AP361</f>
        <v>0</v>
      </c>
      <c r="I361" s="23">
        <f>Weekly_Inspections!$AR361</f>
        <v>0</v>
      </c>
      <c r="J361" s="23">
        <f>Weekly_Inspections!$AS361</f>
        <v>0</v>
      </c>
      <c r="K361" s="23">
        <f>Weekly_Inspections!$AU361</f>
        <v>0</v>
      </c>
      <c r="L361" s="22">
        <f>Weekly_Inspections!$AV361</f>
        <v>0</v>
      </c>
      <c r="M361" s="23" t="str">
        <f t="shared" si="15"/>
        <v>Open</v>
      </c>
      <c r="N361" s="22"/>
      <c r="O361" s="21">
        <f t="shared" ca="1" si="16"/>
        <v>46113</v>
      </c>
      <c r="P361" s="21" t="str">
        <f t="shared" ca="1" si="17"/>
        <v>YES</v>
      </c>
      <c r="Q361" s="23">
        <f>Weekly_Inspections!$AW361</f>
        <v>0</v>
      </c>
    </row>
    <row r="362" spans="1:17" ht="15" customHeight="1" x14ac:dyDescent="0.2">
      <c r="A362" s="21" t="str">
        <f>IF(Weekly_Inspections!$B362="","",Weekly_Inspections!$A362&amp;"-A1")</f>
        <v/>
      </c>
      <c r="B362" s="22">
        <f>Weekly_Inspections!$B362</f>
        <v>0</v>
      </c>
      <c r="C362" s="23">
        <f>Weekly_Inspections!$E362</f>
        <v>0</v>
      </c>
      <c r="D362" s="23">
        <f>Weekly_Inspections!$F362</f>
        <v>0</v>
      </c>
      <c r="E362" s="21" t="str">
        <f>Weekly_Inspections!$H362</f>
        <v/>
      </c>
      <c r="F362" s="23">
        <f>IF(Weekly_Inspections!$AX362&lt;&gt;"",Weekly_Inspections!$AX362,IF(Weekly_Inspections!$AY362&lt;&gt;"",Weekly_Inspections!$AY362,IF(Weekly_Inspections!$AZ362&lt;&gt;"",Weekly_Inspections!$AZ362,IF(Weekly_Inspections!$BA362&lt;&gt;"",Weekly_Inspections!$BA362,IF(Weekly_Inspections!$BB362&lt;&gt;"",Weekly_Inspections!$BB362,Weekly_Inspections!$R362)))))</f>
        <v>0</v>
      </c>
      <c r="G362" s="23" t="str">
        <f>IF(OR(Weekly_Inspections!$AQ362&lt;&gt;"",Weekly_Inspections!$AR362&lt;&gt;"",Weekly_Inspections!$AS362&lt;&gt;""),Weekly_Inspections!$AQ362,"")</f>
        <v/>
      </c>
      <c r="H362" s="23">
        <f>Weekly_Inspections!$AP362</f>
        <v>0</v>
      </c>
      <c r="I362" s="23">
        <f>Weekly_Inspections!$AR362</f>
        <v>0</v>
      </c>
      <c r="J362" s="23">
        <f>Weekly_Inspections!$AS362</f>
        <v>0</v>
      </c>
      <c r="K362" s="23">
        <f>Weekly_Inspections!$AU362</f>
        <v>0</v>
      </c>
      <c r="L362" s="22">
        <f>Weekly_Inspections!$AV362</f>
        <v>0</v>
      </c>
      <c r="M362" s="23" t="str">
        <f t="shared" si="15"/>
        <v>Open</v>
      </c>
      <c r="N362" s="22"/>
      <c r="O362" s="21">
        <f t="shared" ca="1" si="16"/>
        <v>46113</v>
      </c>
      <c r="P362" s="21" t="str">
        <f t="shared" ca="1" si="17"/>
        <v>YES</v>
      </c>
      <c r="Q362" s="23">
        <f>Weekly_Inspections!$AW362</f>
        <v>0</v>
      </c>
    </row>
    <row r="363" spans="1:17" ht="15" customHeight="1" x14ac:dyDescent="0.2">
      <c r="A363" s="21" t="str">
        <f>IF(Weekly_Inspections!$B363="","",Weekly_Inspections!$A363&amp;"-A1")</f>
        <v/>
      </c>
      <c r="B363" s="22">
        <f>Weekly_Inspections!$B363</f>
        <v>0</v>
      </c>
      <c r="C363" s="23">
        <f>Weekly_Inspections!$E363</f>
        <v>0</v>
      </c>
      <c r="D363" s="23">
        <f>Weekly_Inspections!$F363</f>
        <v>0</v>
      </c>
      <c r="E363" s="21" t="str">
        <f>Weekly_Inspections!$H363</f>
        <v/>
      </c>
      <c r="F363" s="23">
        <f>IF(Weekly_Inspections!$AX363&lt;&gt;"",Weekly_Inspections!$AX363,IF(Weekly_Inspections!$AY363&lt;&gt;"",Weekly_Inspections!$AY363,IF(Weekly_Inspections!$AZ363&lt;&gt;"",Weekly_Inspections!$AZ363,IF(Weekly_Inspections!$BA363&lt;&gt;"",Weekly_Inspections!$BA363,IF(Weekly_Inspections!$BB363&lt;&gt;"",Weekly_Inspections!$BB363,Weekly_Inspections!$R363)))))</f>
        <v>0</v>
      </c>
      <c r="G363" s="23" t="str">
        <f>IF(OR(Weekly_Inspections!$AQ363&lt;&gt;"",Weekly_Inspections!$AR363&lt;&gt;"",Weekly_Inspections!$AS363&lt;&gt;""),Weekly_Inspections!$AQ363,"")</f>
        <v/>
      </c>
      <c r="H363" s="23">
        <f>Weekly_Inspections!$AP363</f>
        <v>0</v>
      </c>
      <c r="I363" s="23">
        <f>Weekly_Inspections!$AR363</f>
        <v>0</v>
      </c>
      <c r="J363" s="23">
        <f>Weekly_Inspections!$AS363</f>
        <v>0</v>
      </c>
      <c r="K363" s="23">
        <f>Weekly_Inspections!$AU363</f>
        <v>0</v>
      </c>
      <c r="L363" s="22">
        <f>Weekly_Inspections!$AV363</f>
        <v>0</v>
      </c>
      <c r="M363" s="23" t="str">
        <f t="shared" si="15"/>
        <v>Open</v>
      </c>
      <c r="N363" s="22"/>
      <c r="O363" s="21">
        <f t="shared" ca="1" si="16"/>
        <v>46113</v>
      </c>
      <c r="P363" s="21" t="str">
        <f t="shared" ca="1" si="17"/>
        <v>YES</v>
      </c>
      <c r="Q363" s="23">
        <f>Weekly_Inspections!$AW363</f>
        <v>0</v>
      </c>
    </row>
    <row r="364" spans="1:17" ht="15" customHeight="1" x14ac:dyDescent="0.2">
      <c r="A364" s="21" t="str">
        <f>IF(Weekly_Inspections!$B364="","",Weekly_Inspections!$A364&amp;"-A1")</f>
        <v/>
      </c>
      <c r="B364" s="22">
        <f>Weekly_Inspections!$B364</f>
        <v>0</v>
      </c>
      <c r="C364" s="23">
        <f>Weekly_Inspections!$E364</f>
        <v>0</v>
      </c>
      <c r="D364" s="23">
        <f>Weekly_Inspections!$F364</f>
        <v>0</v>
      </c>
      <c r="E364" s="21" t="str">
        <f>Weekly_Inspections!$H364</f>
        <v/>
      </c>
      <c r="F364" s="23">
        <f>IF(Weekly_Inspections!$AX364&lt;&gt;"",Weekly_Inspections!$AX364,IF(Weekly_Inspections!$AY364&lt;&gt;"",Weekly_Inspections!$AY364,IF(Weekly_Inspections!$AZ364&lt;&gt;"",Weekly_Inspections!$AZ364,IF(Weekly_Inspections!$BA364&lt;&gt;"",Weekly_Inspections!$BA364,IF(Weekly_Inspections!$BB364&lt;&gt;"",Weekly_Inspections!$BB364,Weekly_Inspections!$R364)))))</f>
        <v>0</v>
      </c>
      <c r="G364" s="23" t="str">
        <f>IF(OR(Weekly_Inspections!$AQ364&lt;&gt;"",Weekly_Inspections!$AR364&lt;&gt;"",Weekly_Inspections!$AS364&lt;&gt;""),Weekly_Inspections!$AQ364,"")</f>
        <v/>
      </c>
      <c r="H364" s="23">
        <f>Weekly_Inspections!$AP364</f>
        <v>0</v>
      </c>
      <c r="I364" s="23">
        <f>Weekly_Inspections!$AR364</f>
        <v>0</v>
      </c>
      <c r="J364" s="23">
        <f>Weekly_Inspections!$AS364</f>
        <v>0</v>
      </c>
      <c r="K364" s="23">
        <f>Weekly_Inspections!$AU364</f>
        <v>0</v>
      </c>
      <c r="L364" s="22">
        <f>Weekly_Inspections!$AV364</f>
        <v>0</v>
      </c>
      <c r="M364" s="23" t="str">
        <f t="shared" si="15"/>
        <v>Open</v>
      </c>
      <c r="N364" s="22"/>
      <c r="O364" s="21">
        <f t="shared" ca="1" si="16"/>
        <v>46113</v>
      </c>
      <c r="P364" s="21" t="str">
        <f t="shared" ca="1" si="17"/>
        <v>YES</v>
      </c>
      <c r="Q364" s="23">
        <f>Weekly_Inspections!$AW364</f>
        <v>0</v>
      </c>
    </row>
    <row r="365" spans="1:17" ht="15" customHeight="1" x14ac:dyDescent="0.2">
      <c r="A365" s="21" t="str">
        <f>IF(Weekly_Inspections!$B365="","",Weekly_Inspections!$A365&amp;"-A1")</f>
        <v/>
      </c>
      <c r="B365" s="22">
        <f>Weekly_Inspections!$B365</f>
        <v>0</v>
      </c>
      <c r="C365" s="23">
        <f>Weekly_Inspections!$E365</f>
        <v>0</v>
      </c>
      <c r="D365" s="23">
        <f>Weekly_Inspections!$F365</f>
        <v>0</v>
      </c>
      <c r="E365" s="21" t="str">
        <f>Weekly_Inspections!$H365</f>
        <v/>
      </c>
      <c r="F365" s="23">
        <f>IF(Weekly_Inspections!$AX365&lt;&gt;"",Weekly_Inspections!$AX365,IF(Weekly_Inspections!$AY365&lt;&gt;"",Weekly_Inspections!$AY365,IF(Weekly_Inspections!$AZ365&lt;&gt;"",Weekly_Inspections!$AZ365,IF(Weekly_Inspections!$BA365&lt;&gt;"",Weekly_Inspections!$BA365,IF(Weekly_Inspections!$BB365&lt;&gt;"",Weekly_Inspections!$BB365,Weekly_Inspections!$R365)))))</f>
        <v>0</v>
      </c>
      <c r="G365" s="23" t="str">
        <f>IF(OR(Weekly_Inspections!$AQ365&lt;&gt;"",Weekly_Inspections!$AR365&lt;&gt;"",Weekly_Inspections!$AS365&lt;&gt;""),Weekly_Inspections!$AQ365,"")</f>
        <v/>
      </c>
      <c r="H365" s="23">
        <f>Weekly_Inspections!$AP365</f>
        <v>0</v>
      </c>
      <c r="I365" s="23">
        <f>Weekly_Inspections!$AR365</f>
        <v>0</v>
      </c>
      <c r="J365" s="23">
        <f>Weekly_Inspections!$AS365</f>
        <v>0</v>
      </c>
      <c r="K365" s="23">
        <f>Weekly_Inspections!$AU365</f>
        <v>0</v>
      </c>
      <c r="L365" s="22">
        <f>Weekly_Inspections!$AV365</f>
        <v>0</v>
      </c>
      <c r="M365" s="23" t="str">
        <f t="shared" si="15"/>
        <v>Open</v>
      </c>
      <c r="N365" s="22"/>
      <c r="O365" s="21">
        <f t="shared" ca="1" si="16"/>
        <v>46113</v>
      </c>
      <c r="P365" s="21" t="str">
        <f t="shared" ca="1" si="17"/>
        <v>YES</v>
      </c>
      <c r="Q365" s="23">
        <f>Weekly_Inspections!$AW365</f>
        <v>0</v>
      </c>
    </row>
    <row r="366" spans="1:17" ht="15" customHeight="1" x14ac:dyDescent="0.2">
      <c r="A366" s="21" t="str">
        <f>IF(Weekly_Inspections!$B366="","",Weekly_Inspections!$A366&amp;"-A1")</f>
        <v/>
      </c>
      <c r="B366" s="22">
        <f>Weekly_Inspections!$B366</f>
        <v>0</v>
      </c>
      <c r="C366" s="23">
        <f>Weekly_Inspections!$E366</f>
        <v>0</v>
      </c>
      <c r="D366" s="23">
        <f>Weekly_Inspections!$F366</f>
        <v>0</v>
      </c>
      <c r="E366" s="21" t="str">
        <f>Weekly_Inspections!$H366</f>
        <v/>
      </c>
      <c r="F366" s="23">
        <f>IF(Weekly_Inspections!$AX366&lt;&gt;"",Weekly_Inspections!$AX366,IF(Weekly_Inspections!$AY366&lt;&gt;"",Weekly_Inspections!$AY366,IF(Weekly_Inspections!$AZ366&lt;&gt;"",Weekly_Inspections!$AZ366,IF(Weekly_Inspections!$BA366&lt;&gt;"",Weekly_Inspections!$BA366,IF(Weekly_Inspections!$BB366&lt;&gt;"",Weekly_Inspections!$BB366,Weekly_Inspections!$R366)))))</f>
        <v>0</v>
      </c>
      <c r="G366" s="23" t="str">
        <f>IF(OR(Weekly_Inspections!$AQ366&lt;&gt;"",Weekly_Inspections!$AR366&lt;&gt;"",Weekly_Inspections!$AS366&lt;&gt;""),Weekly_Inspections!$AQ366,"")</f>
        <v/>
      </c>
      <c r="H366" s="23">
        <f>Weekly_Inspections!$AP366</f>
        <v>0</v>
      </c>
      <c r="I366" s="23">
        <f>Weekly_Inspections!$AR366</f>
        <v>0</v>
      </c>
      <c r="J366" s="23">
        <f>Weekly_Inspections!$AS366</f>
        <v>0</v>
      </c>
      <c r="K366" s="23">
        <f>Weekly_Inspections!$AU366</f>
        <v>0</v>
      </c>
      <c r="L366" s="22">
        <f>Weekly_Inspections!$AV366</f>
        <v>0</v>
      </c>
      <c r="M366" s="23" t="str">
        <f t="shared" si="15"/>
        <v>Open</v>
      </c>
      <c r="N366" s="22"/>
      <c r="O366" s="21">
        <f t="shared" ca="1" si="16"/>
        <v>46113</v>
      </c>
      <c r="P366" s="21" t="str">
        <f t="shared" ca="1" si="17"/>
        <v>YES</v>
      </c>
      <c r="Q366" s="23">
        <f>Weekly_Inspections!$AW366</f>
        <v>0</v>
      </c>
    </row>
    <row r="367" spans="1:17" ht="15" customHeight="1" x14ac:dyDescent="0.2">
      <c r="A367" s="21" t="str">
        <f>IF(Weekly_Inspections!$B367="","",Weekly_Inspections!$A367&amp;"-A1")</f>
        <v/>
      </c>
      <c r="B367" s="22">
        <f>Weekly_Inspections!$B367</f>
        <v>0</v>
      </c>
      <c r="C367" s="23">
        <f>Weekly_Inspections!$E367</f>
        <v>0</v>
      </c>
      <c r="D367" s="23">
        <f>Weekly_Inspections!$F367</f>
        <v>0</v>
      </c>
      <c r="E367" s="21" t="str">
        <f>Weekly_Inspections!$H367</f>
        <v/>
      </c>
      <c r="F367" s="23">
        <f>IF(Weekly_Inspections!$AX367&lt;&gt;"",Weekly_Inspections!$AX367,IF(Weekly_Inspections!$AY367&lt;&gt;"",Weekly_Inspections!$AY367,IF(Weekly_Inspections!$AZ367&lt;&gt;"",Weekly_Inspections!$AZ367,IF(Weekly_Inspections!$BA367&lt;&gt;"",Weekly_Inspections!$BA367,IF(Weekly_Inspections!$BB367&lt;&gt;"",Weekly_Inspections!$BB367,Weekly_Inspections!$R367)))))</f>
        <v>0</v>
      </c>
      <c r="G367" s="23" t="str">
        <f>IF(OR(Weekly_Inspections!$AQ367&lt;&gt;"",Weekly_Inspections!$AR367&lt;&gt;"",Weekly_Inspections!$AS367&lt;&gt;""),Weekly_Inspections!$AQ367,"")</f>
        <v/>
      </c>
      <c r="H367" s="23">
        <f>Weekly_Inspections!$AP367</f>
        <v>0</v>
      </c>
      <c r="I367" s="23">
        <f>Weekly_Inspections!$AR367</f>
        <v>0</v>
      </c>
      <c r="J367" s="23">
        <f>Weekly_Inspections!$AS367</f>
        <v>0</v>
      </c>
      <c r="K367" s="23">
        <f>Weekly_Inspections!$AU367</f>
        <v>0</v>
      </c>
      <c r="L367" s="22">
        <f>Weekly_Inspections!$AV367</f>
        <v>0</v>
      </c>
      <c r="M367" s="23" t="str">
        <f t="shared" si="15"/>
        <v>Open</v>
      </c>
      <c r="N367" s="22"/>
      <c r="O367" s="21">
        <f t="shared" ca="1" si="16"/>
        <v>46113</v>
      </c>
      <c r="P367" s="21" t="str">
        <f t="shared" ca="1" si="17"/>
        <v>YES</v>
      </c>
      <c r="Q367" s="23">
        <f>Weekly_Inspections!$AW367</f>
        <v>0</v>
      </c>
    </row>
    <row r="368" spans="1:17" ht="15" customHeight="1" x14ac:dyDescent="0.2">
      <c r="A368" s="21" t="str">
        <f>IF(Weekly_Inspections!$B368="","",Weekly_Inspections!$A368&amp;"-A1")</f>
        <v/>
      </c>
      <c r="B368" s="22">
        <f>Weekly_Inspections!$B368</f>
        <v>0</v>
      </c>
      <c r="C368" s="23">
        <f>Weekly_Inspections!$E368</f>
        <v>0</v>
      </c>
      <c r="D368" s="23">
        <f>Weekly_Inspections!$F368</f>
        <v>0</v>
      </c>
      <c r="E368" s="21" t="str">
        <f>Weekly_Inspections!$H368</f>
        <v/>
      </c>
      <c r="F368" s="23">
        <f>IF(Weekly_Inspections!$AX368&lt;&gt;"",Weekly_Inspections!$AX368,IF(Weekly_Inspections!$AY368&lt;&gt;"",Weekly_Inspections!$AY368,IF(Weekly_Inspections!$AZ368&lt;&gt;"",Weekly_Inspections!$AZ368,IF(Weekly_Inspections!$BA368&lt;&gt;"",Weekly_Inspections!$BA368,IF(Weekly_Inspections!$BB368&lt;&gt;"",Weekly_Inspections!$BB368,Weekly_Inspections!$R368)))))</f>
        <v>0</v>
      </c>
      <c r="G368" s="23" t="str">
        <f>IF(OR(Weekly_Inspections!$AQ368&lt;&gt;"",Weekly_Inspections!$AR368&lt;&gt;"",Weekly_Inspections!$AS368&lt;&gt;""),Weekly_Inspections!$AQ368,"")</f>
        <v/>
      </c>
      <c r="H368" s="23">
        <f>Weekly_Inspections!$AP368</f>
        <v>0</v>
      </c>
      <c r="I368" s="23">
        <f>Weekly_Inspections!$AR368</f>
        <v>0</v>
      </c>
      <c r="J368" s="23">
        <f>Weekly_Inspections!$AS368</f>
        <v>0</v>
      </c>
      <c r="K368" s="23">
        <f>Weekly_Inspections!$AU368</f>
        <v>0</v>
      </c>
      <c r="L368" s="22">
        <f>Weekly_Inspections!$AV368</f>
        <v>0</v>
      </c>
      <c r="M368" s="23" t="str">
        <f t="shared" si="15"/>
        <v>Open</v>
      </c>
      <c r="N368" s="22"/>
      <c r="O368" s="21">
        <f t="shared" ca="1" si="16"/>
        <v>46113</v>
      </c>
      <c r="P368" s="21" t="str">
        <f t="shared" ca="1" si="17"/>
        <v>YES</v>
      </c>
      <c r="Q368" s="23">
        <f>Weekly_Inspections!$AW368</f>
        <v>0</v>
      </c>
    </row>
    <row r="369" spans="1:17" ht="15" customHeight="1" x14ac:dyDescent="0.2">
      <c r="A369" s="21" t="str">
        <f>IF(Weekly_Inspections!$B369="","",Weekly_Inspections!$A369&amp;"-A1")</f>
        <v/>
      </c>
      <c r="B369" s="22">
        <f>Weekly_Inspections!$B369</f>
        <v>0</v>
      </c>
      <c r="C369" s="23">
        <f>Weekly_Inspections!$E369</f>
        <v>0</v>
      </c>
      <c r="D369" s="23">
        <f>Weekly_Inspections!$F369</f>
        <v>0</v>
      </c>
      <c r="E369" s="21" t="str">
        <f>Weekly_Inspections!$H369</f>
        <v/>
      </c>
      <c r="F369" s="23">
        <f>IF(Weekly_Inspections!$AX369&lt;&gt;"",Weekly_Inspections!$AX369,IF(Weekly_Inspections!$AY369&lt;&gt;"",Weekly_Inspections!$AY369,IF(Weekly_Inspections!$AZ369&lt;&gt;"",Weekly_Inspections!$AZ369,IF(Weekly_Inspections!$BA369&lt;&gt;"",Weekly_Inspections!$BA369,IF(Weekly_Inspections!$BB369&lt;&gt;"",Weekly_Inspections!$BB369,Weekly_Inspections!$R369)))))</f>
        <v>0</v>
      </c>
      <c r="G369" s="23" t="str">
        <f>IF(OR(Weekly_Inspections!$AQ369&lt;&gt;"",Weekly_Inspections!$AR369&lt;&gt;"",Weekly_Inspections!$AS369&lt;&gt;""),Weekly_Inspections!$AQ369,"")</f>
        <v/>
      </c>
      <c r="H369" s="23">
        <f>Weekly_Inspections!$AP369</f>
        <v>0</v>
      </c>
      <c r="I369" s="23">
        <f>Weekly_Inspections!$AR369</f>
        <v>0</v>
      </c>
      <c r="J369" s="23">
        <f>Weekly_Inspections!$AS369</f>
        <v>0</v>
      </c>
      <c r="K369" s="23">
        <f>Weekly_Inspections!$AU369</f>
        <v>0</v>
      </c>
      <c r="L369" s="22">
        <f>Weekly_Inspections!$AV369</f>
        <v>0</v>
      </c>
      <c r="M369" s="23" t="str">
        <f t="shared" si="15"/>
        <v>Open</v>
      </c>
      <c r="N369" s="22"/>
      <c r="O369" s="21">
        <f t="shared" ca="1" si="16"/>
        <v>46113</v>
      </c>
      <c r="P369" s="21" t="str">
        <f t="shared" ca="1" si="17"/>
        <v>YES</v>
      </c>
      <c r="Q369" s="23">
        <f>Weekly_Inspections!$AW369</f>
        <v>0</v>
      </c>
    </row>
    <row r="370" spans="1:17" ht="15" customHeight="1" x14ac:dyDescent="0.2">
      <c r="A370" s="21" t="str">
        <f>IF(Weekly_Inspections!$B370="","",Weekly_Inspections!$A370&amp;"-A1")</f>
        <v/>
      </c>
      <c r="B370" s="22">
        <f>Weekly_Inspections!$B370</f>
        <v>0</v>
      </c>
      <c r="C370" s="23">
        <f>Weekly_Inspections!$E370</f>
        <v>0</v>
      </c>
      <c r="D370" s="23">
        <f>Weekly_Inspections!$F370</f>
        <v>0</v>
      </c>
      <c r="E370" s="21" t="str">
        <f>Weekly_Inspections!$H370</f>
        <v/>
      </c>
      <c r="F370" s="23">
        <f>IF(Weekly_Inspections!$AX370&lt;&gt;"",Weekly_Inspections!$AX370,IF(Weekly_Inspections!$AY370&lt;&gt;"",Weekly_Inspections!$AY370,IF(Weekly_Inspections!$AZ370&lt;&gt;"",Weekly_Inspections!$AZ370,IF(Weekly_Inspections!$BA370&lt;&gt;"",Weekly_Inspections!$BA370,IF(Weekly_Inspections!$BB370&lt;&gt;"",Weekly_Inspections!$BB370,Weekly_Inspections!$R370)))))</f>
        <v>0</v>
      </c>
      <c r="G370" s="23" t="str">
        <f>IF(OR(Weekly_Inspections!$AQ370&lt;&gt;"",Weekly_Inspections!$AR370&lt;&gt;"",Weekly_Inspections!$AS370&lt;&gt;""),Weekly_Inspections!$AQ370,"")</f>
        <v/>
      </c>
      <c r="H370" s="23">
        <f>Weekly_Inspections!$AP370</f>
        <v>0</v>
      </c>
      <c r="I370" s="23">
        <f>Weekly_Inspections!$AR370</f>
        <v>0</v>
      </c>
      <c r="J370" s="23">
        <f>Weekly_Inspections!$AS370</f>
        <v>0</v>
      </c>
      <c r="K370" s="23">
        <f>Weekly_Inspections!$AU370</f>
        <v>0</v>
      </c>
      <c r="L370" s="22">
        <f>Weekly_Inspections!$AV370</f>
        <v>0</v>
      </c>
      <c r="M370" s="23" t="str">
        <f t="shared" si="15"/>
        <v>Open</v>
      </c>
      <c r="N370" s="22"/>
      <c r="O370" s="21">
        <f t="shared" ca="1" si="16"/>
        <v>46113</v>
      </c>
      <c r="P370" s="21" t="str">
        <f t="shared" ca="1" si="17"/>
        <v>YES</v>
      </c>
      <c r="Q370" s="23">
        <f>Weekly_Inspections!$AW370</f>
        <v>0</v>
      </c>
    </row>
    <row r="371" spans="1:17" ht="15" customHeight="1" x14ac:dyDescent="0.2">
      <c r="A371" s="21" t="str">
        <f>IF(Weekly_Inspections!$B371="","",Weekly_Inspections!$A371&amp;"-A1")</f>
        <v/>
      </c>
      <c r="B371" s="22">
        <f>Weekly_Inspections!$B371</f>
        <v>0</v>
      </c>
      <c r="C371" s="23">
        <f>Weekly_Inspections!$E371</f>
        <v>0</v>
      </c>
      <c r="D371" s="23">
        <f>Weekly_Inspections!$F371</f>
        <v>0</v>
      </c>
      <c r="E371" s="21" t="str">
        <f>Weekly_Inspections!$H371</f>
        <v/>
      </c>
      <c r="F371" s="23">
        <f>IF(Weekly_Inspections!$AX371&lt;&gt;"",Weekly_Inspections!$AX371,IF(Weekly_Inspections!$AY371&lt;&gt;"",Weekly_Inspections!$AY371,IF(Weekly_Inspections!$AZ371&lt;&gt;"",Weekly_Inspections!$AZ371,IF(Weekly_Inspections!$BA371&lt;&gt;"",Weekly_Inspections!$BA371,IF(Weekly_Inspections!$BB371&lt;&gt;"",Weekly_Inspections!$BB371,Weekly_Inspections!$R371)))))</f>
        <v>0</v>
      </c>
      <c r="G371" s="23" t="str">
        <f>IF(OR(Weekly_Inspections!$AQ371&lt;&gt;"",Weekly_Inspections!$AR371&lt;&gt;"",Weekly_Inspections!$AS371&lt;&gt;""),Weekly_Inspections!$AQ371,"")</f>
        <v/>
      </c>
      <c r="H371" s="23">
        <f>Weekly_Inspections!$AP371</f>
        <v>0</v>
      </c>
      <c r="I371" s="23">
        <f>Weekly_Inspections!$AR371</f>
        <v>0</v>
      </c>
      <c r="J371" s="23">
        <f>Weekly_Inspections!$AS371</f>
        <v>0</v>
      </c>
      <c r="K371" s="23">
        <f>Weekly_Inspections!$AU371</f>
        <v>0</v>
      </c>
      <c r="L371" s="22">
        <f>Weekly_Inspections!$AV371</f>
        <v>0</v>
      </c>
      <c r="M371" s="23" t="str">
        <f t="shared" si="15"/>
        <v>Open</v>
      </c>
      <c r="N371" s="22"/>
      <c r="O371" s="21">
        <f t="shared" ca="1" si="16"/>
        <v>46113</v>
      </c>
      <c r="P371" s="21" t="str">
        <f t="shared" ca="1" si="17"/>
        <v>YES</v>
      </c>
      <c r="Q371" s="23">
        <f>Weekly_Inspections!$AW371</f>
        <v>0</v>
      </c>
    </row>
    <row r="372" spans="1:17" ht="15" customHeight="1" x14ac:dyDescent="0.2">
      <c r="A372" s="21" t="str">
        <f>IF(Weekly_Inspections!$B372="","",Weekly_Inspections!$A372&amp;"-A1")</f>
        <v/>
      </c>
      <c r="B372" s="22">
        <f>Weekly_Inspections!$B372</f>
        <v>0</v>
      </c>
      <c r="C372" s="23">
        <f>Weekly_Inspections!$E372</f>
        <v>0</v>
      </c>
      <c r="D372" s="23">
        <f>Weekly_Inspections!$F372</f>
        <v>0</v>
      </c>
      <c r="E372" s="21" t="str">
        <f>Weekly_Inspections!$H372</f>
        <v/>
      </c>
      <c r="F372" s="23">
        <f>IF(Weekly_Inspections!$AX372&lt;&gt;"",Weekly_Inspections!$AX372,IF(Weekly_Inspections!$AY372&lt;&gt;"",Weekly_Inspections!$AY372,IF(Weekly_Inspections!$AZ372&lt;&gt;"",Weekly_Inspections!$AZ372,IF(Weekly_Inspections!$BA372&lt;&gt;"",Weekly_Inspections!$BA372,IF(Weekly_Inspections!$BB372&lt;&gt;"",Weekly_Inspections!$BB372,Weekly_Inspections!$R372)))))</f>
        <v>0</v>
      </c>
      <c r="G372" s="23" t="str">
        <f>IF(OR(Weekly_Inspections!$AQ372&lt;&gt;"",Weekly_Inspections!$AR372&lt;&gt;"",Weekly_Inspections!$AS372&lt;&gt;""),Weekly_Inspections!$AQ372,"")</f>
        <v/>
      </c>
      <c r="H372" s="23">
        <f>Weekly_Inspections!$AP372</f>
        <v>0</v>
      </c>
      <c r="I372" s="23">
        <f>Weekly_Inspections!$AR372</f>
        <v>0</v>
      </c>
      <c r="J372" s="23">
        <f>Weekly_Inspections!$AS372</f>
        <v>0</v>
      </c>
      <c r="K372" s="23">
        <f>Weekly_Inspections!$AU372</f>
        <v>0</v>
      </c>
      <c r="L372" s="22">
        <f>Weekly_Inspections!$AV372</f>
        <v>0</v>
      </c>
      <c r="M372" s="23" t="str">
        <f t="shared" si="15"/>
        <v>Open</v>
      </c>
      <c r="N372" s="22"/>
      <c r="O372" s="21">
        <f t="shared" ca="1" si="16"/>
        <v>46113</v>
      </c>
      <c r="P372" s="21" t="str">
        <f t="shared" ca="1" si="17"/>
        <v>YES</v>
      </c>
      <c r="Q372" s="23">
        <f>Weekly_Inspections!$AW372</f>
        <v>0</v>
      </c>
    </row>
    <row r="373" spans="1:17" ht="15" customHeight="1" x14ac:dyDescent="0.2">
      <c r="A373" s="21" t="str">
        <f>IF(Weekly_Inspections!$B373="","",Weekly_Inspections!$A373&amp;"-A1")</f>
        <v/>
      </c>
      <c r="B373" s="22">
        <f>Weekly_Inspections!$B373</f>
        <v>0</v>
      </c>
      <c r="C373" s="23">
        <f>Weekly_Inspections!$E373</f>
        <v>0</v>
      </c>
      <c r="D373" s="23">
        <f>Weekly_Inspections!$F373</f>
        <v>0</v>
      </c>
      <c r="E373" s="21" t="str">
        <f>Weekly_Inspections!$H373</f>
        <v/>
      </c>
      <c r="F373" s="23">
        <f>IF(Weekly_Inspections!$AX373&lt;&gt;"",Weekly_Inspections!$AX373,IF(Weekly_Inspections!$AY373&lt;&gt;"",Weekly_Inspections!$AY373,IF(Weekly_Inspections!$AZ373&lt;&gt;"",Weekly_Inspections!$AZ373,IF(Weekly_Inspections!$BA373&lt;&gt;"",Weekly_Inspections!$BA373,IF(Weekly_Inspections!$BB373&lt;&gt;"",Weekly_Inspections!$BB373,Weekly_Inspections!$R373)))))</f>
        <v>0</v>
      </c>
      <c r="G373" s="23" t="str">
        <f>IF(OR(Weekly_Inspections!$AQ373&lt;&gt;"",Weekly_Inspections!$AR373&lt;&gt;"",Weekly_Inspections!$AS373&lt;&gt;""),Weekly_Inspections!$AQ373,"")</f>
        <v/>
      </c>
      <c r="H373" s="23">
        <f>Weekly_Inspections!$AP373</f>
        <v>0</v>
      </c>
      <c r="I373" s="23">
        <f>Weekly_Inspections!$AR373</f>
        <v>0</v>
      </c>
      <c r="J373" s="23">
        <f>Weekly_Inspections!$AS373</f>
        <v>0</v>
      </c>
      <c r="K373" s="23">
        <f>Weekly_Inspections!$AU373</f>
        <v>0</v>
      </c>
      <c r="L373" s="22">
        <f>Weekly_Inspections!$AV373</f>
        <v>0</v>
      </c>
      <c r="M373" s="23" t="str">
        <f t="shared" si="15"/>
        <v>Open</v>
      </c>
      <c r="N373" s="22"/>
      <c r="O373" s="21">
        <f t="shared" ca="1" si="16"/>
        <v>46113</v>
      </c>
      <c r="P373" s="21" t="str">
        <f t="shared" ca="1" si="17"/>
        <v>YES</v>
      </c>
      <c r="Q373" s="23">
        <f>Weekly_Inspections!$AW373</f>
        <v>0</v>
      </c>
    </row>
    <row r="374" spans="1:17" ht="15" customHeight="1" x14ac:dyDescent="0.2">
      <c r="A374" s="21" t="str">
        <f>IF(Weekly_Inspections!$B374="","",Weekly_Inspections!$A374&amp;"-A1")</f>
        <v/>
      </c>
      <c r="B374" s="22">
        <f>Weekly_Inspections!$B374</f>
        <v>0</v>
      </c>
      <c r="C374" s="23">
        <f>Weekly_Inspections!$E374</f>
        <v>0</v>
      </c>
      <c r="D374" s="23">
        <f>Weekly_Inspections!$F374</f>
        <v>0</v>
      </c>
      <c r="E374" s="21" t="str">
        <f>Weekly_Inspections!$H374</f>
        <v/>
      </c>
      <c r="F374" s="23">
        <f>IF(Weekly_Inspections!$AX374&lt;&gt;"",Weekly_Inspections!$AX374,IF(Weekly_Inspections!$AY374&lt;&gt;"",Weekly_Inspections!$AY374,IF(Weekly_Inspections!$AZ374&lt;&gt;"",Weekly_Inspections!$AZ374,IF(Weekly_Inspections!$BA374&lt;&gt;"",Weekly_Inspections!$BA374,IF(Weekly_Inspections!$BB374&lt;&gt;"",Weekly_Inspections!$BB374,Weekly_Inspections!$R374)))))</f>
        <v>0</v>
      </c>
      <c r="G374" s="23" t="str">
        <f>IF(OR(Weekly_Inspections!$AQ374&lt;&gt;"",Weekly_Inspections!$AR374&lt;&gt;"",Weekly_Inspections!$AS374&lt;&gt;""),Weekly_Inspections!$AQ374,"")</f>
        <v/>
      </c>
      <c r="H374" s="23">
        <f>Weekly_Inspections!$AP374</f>
        <v>0</v>
      </c>
      <c r="I374" s="23">
        <f>Weekly_Inspections!$AR374</f>
        <v>0</v>
      </c>
      <c r="J374" s="23">
        <f>Weekly_Inspections!$AS374</f>
        <v>0</v>
      </c>
      <c r="K374" s="23">
        <f>Weekly_Inspections!$AU374</f>
        <v>0</v>
      </c>
      <c r="L374" s="22">
        <f>Weekly_Inspections!$AV374</f>
        <v>0</v>
      </c>
      <c r="M374" s="23" t="str">
        <f t="shared" si="15"/>
        <v>Open</v>
      </c>
      <c r="N374" s="22"/>
      <c r="O374" s="21">
        <f t="shared" ca="1" si="16"/>
        <v>46113</v>
      </c>
      <c r="P374" s="21" t="str">
        <f t="shared" ca="1" si="17"/>
        <v>YES</v>
      </c>
      <c r="Q374" s="23">
        <f>Weekly_Inspections!$AW374</f>
        <v>0</v>
      </c>
    </row>
    <row r="375" spans="1:17" ht="15" customHeight="1" x14ac:dyDescent="0.2">
      <c r="A375" s="21" t="str">
        <f>IF(Weekly_Inspections!$B375="","",Weekly_Inspections!$A375&amp;"-A1")</f>
        <v/>
      </c>
      <c r="B375" s="22">
        <f>Weekly_Inspections!$B375</f>
        <v>0</v>
      </c>
      <c r="C375" s="23">
        <f>Weekly_Inspections!$E375</f>
        <v>0</v>
      </c>
      <c r="D375" s="23">
        <f>Weekly_Inspections!$F375</f>
        <v>0</v>
      </c>
      <c r="E375" s="21" t="str">
        <f>Weekly_Inspections!$H375</f>
        <v/>
      </c>
      <c r="F375" s="23">
        <f>IF(Weekly_Inspections!$AX375&lt;&gt;"",Weekly_Inspections!$AX375,IF(Weekly_Inspections!$AY375&lt;&gt;"",Weekly_Inspections!$AY375,IF(Weekly_Inspections!$AZ375&lt;&gt;"",Weekly_Inspections!$AZ375,IF(Weekly_Inspections!$BA375&lt;&gt;"",Weekly_Inspections!$BA375,IF(Weekly_Inspections!$BB375&lt;&gt;"",Weekly_Inspections!$BB375,Weekly_Inspections!$R375)))))</f>
        <v>0</v>
      </c>
      <c r="G375" s="23" t="str">
        <f>IF(OR(Weekly_Inspections!$AQ375&lt;&gt;"",Weekly_Inspections!$AR375&lt;&gt;"",Weekly_Inspections!$AS375&lt;&gt;""),Weekly_Inspections!$AQ375,"")</f>
        <v/>
      </c>
      <c r="H375" s="23">
        <f>Weekly_Inspections!$AP375</f>
        <v>0</v>
      </c>
      <c r="I375" s="23">
        <f>Weekly_Inspections!$AR375</f>
        <v>0</v>
      </c>
      <c r="J375" s="23">
        <f>Weekly_Inspections!$AS375</f>
        <v>0</v>
      </c>
      <c r="K375" s="23">
        <f>Weekly_Inspections!$AU375</f>
        <v>0</v>
      </c>
      <c r="L375" s="22">
        <f>Weekly_Inspections!$AV375</f>
        <v>0</v>
      </c>
      <c r="M375" s="23" t="str">
        <f t="shared" si="15"/>
        <v>Open</v>
      </c>
      <c r="N375" s="22"/>
      <c r="O375" s="21">
        <f t="shared" ca="1" si="16"/>
        <v>46113</v>
      </c>
      <c r="P375" s="21" t="str">
        <f t="shared" ca="1" si="17"/>
        <v>YES</v>
      </c>
      <c r="Q375" s="23">
        <f>Weekly_Inspections!$AW375</f>
        <v>0</v>
      </c>
    </row>
    <row r="376" spans="1:17" ht="15" customHeight="1" x14ac:dyDescent="0.2">
      <c r="A376" s="21" t="str">
        <f>IF(Weekly_Inspections!$B376="","",Weekly_Inspections!$A376&amp;"-A1")</f>
        <v/>
      </c>
      <c r="B376" s="22">
        <f>Weekly_Inspections!$B376</f>
        <v>0</v>
      </c>
      <c r="C376" s="23">
        <f>Weekly_Inspections!$E376</f>
        <v>0</v>
      </c>
      <c r="D376" s="23">
        <f>Weekly_Inspections!$F376</f>
        <v>0</v>
      </c>
      <c r="E376" s="21" t="str">
        <f>Weekly_Inspections!$H376</f>
        <v/>
      </c>
      <c r="F376" s="23">
        <f>IF(Weekly_Inspections!$AX376&lt;&gt;"",Weekly_Inspections!$AX376,IF(Weekly_Inspections!$AY376&lt;&gt;"",Weekly_Inspections!$AY376,IF(Weekly_Inspections!$AZ376&lt;&gt;"",Weekly_Inspections!$AZ376,IF(Weekly_Inspections!$BA376&lt;&gt;"",Weekly_Inspections!$BA376,IF(Weekly_Inspections!$BB376&lt;&gt;"",Weekly_Inspections!$BB376,Weekly_Inspections!$R376)))))</f>
        <v>0</v>
      </c>
      <c r="G376" s="23" t="str">
        <f>IF(OR(Weekly_Inspections!$AQ376&lt;&gt;"",Weekly_Inspections!$AR376&lt;&gt;"",Weekly_Inspections!$AS376&lt;&gt;""),Weekly_Inspections!$AQ376,"")</f>
        <v/>
      </c>
      <c r="H376" s="23">
        <f>Weekly_Inspections!$AP376</f>
        <v>0</v>
      </c>
      <c r="I376" s="23">
        <f>Weekly_Inspections!$AR376</f>
        <v>0</v>
      </c>
      <c r="J376" s="23">
        <f>Weekly_Inspections!$AS376</f>
        <v>0</v>
      </c>
      <c r="K376" s="23">
        <f>Weekly_Inspections!$AU376</f>
        <v>0</v>
      </c>
      <c r="L376" s="22">
        <f>Weekly_Inspections!$AV376</f>
        <v>0</v>
      </c>
      <c r="M376" s="23" t="str">
        <f t="shared" si="15"/>
        <v>Open</v>
      </c>
      <c r="N376" s="22"/>
      <c r="O376" s="21">
        <f t="shared" ca="1" si="16"/>
        <v>46113</v>
      </c>
      <c r="P376" s="21" t="str">
        <f t="shared" ca="1" si="17"/>
        <v>YES</v>
      </c>
      <c r="Q376" s="23">
        <f>Weekly_Inspections!$AW376</f>
        <v>0</v>
      </c>
    </row>
    <row r="377" spans="1:17" ht="15" customHeight="1" x14ac:dyDescent="0.2">
      <c r="A377" s="21" t="str">
        <f>IF(Weekly_Inspections!$B377="","",Weekly_Inspections!$A377&amp;"-A1")</f>
        <v/>
      </c>
      <c r="B377" s="22">
        <f>Weekly_Inspections!$B377</f>
        <v>0</v>
      </c>
      <c r="C377" s="23">
        <f>Weekly_Inspections!$E377</f>
        <v>0</v>
      </c>
      <c r="D377" s="23">
        <f>Weekly_Inspections!$F377</f>
        <v>0</v>
      </c>
      <c r="E377" s="21" t="str">
        <f>Weekly_Inspections!$H377</f>
        <v/>
      </c>
      <c r="F377" s="23">
        <f>IF(Weekly_Inspections!$AX377&lt;&gt;"",Weekly_Inspections!$AX377,IF(Weekly_Inspections!$AY377&lt;&gt;"",Weekly_Inspections!$AY377,IF(Weekly_Inspections!$AZ377&lt;&gt;"",Weekly_Inspections!$AZ377,IF(Weekly_Inspections!$BA377&lt;&gt;"",Weekly_Inspections!$BA377,IF(Weekly_Inspections!$BB377&lt;&gt;"",Weekly_Inspections!$BB377,Weekly_Inspections!$R377)))))</f>
        <v>0</v>
      </c>
      <c r="G377" s="23" t="str">
        <f>IF(OR(Weekly_Inspections!$AQ377&lt;&gt;"",Weekly_Inspections!$AR377&lt;&gt;"",Weekly_Inspections!$AS377&lt;&gt;""),Weekly_Inspections!$AQ377,"")</f>
        <v/>
      </c>
      <c r="H377" s="23">
        <f>Weekly_Inspections!$AP377</f>
        <v>0</v>
      </c>
      <c r="I377" s="23">
        <f>Weekly_Inspections!$AR377</f>
        <v>0</v>
      </c>
      <c r="J377" s="23">
        <f>Weekly_Inspections!$AS377</f>
        <v>0</v>
      </c>
      <c r="K377" s="23">
        <f>Weekly_Inspections!$AU377</f>
        <v>0</v>
      </c>
      <c r="L377" s="22">
        <f>Weekly_Inspections!$AV377</f>
        <v>0</v>
      </c>
      <c r="M377" s="23" t="str">
        <f t="shared" si="15"/>
        <v>Open</v>
      </c>
      <c r="N377" s="22"/>
      <c r="O377" s="21">
        <f t="shared" ca="1" si="16"/>
        <v>46113</v>
      </c>
      <c r="P377" s="21" t="str">
        <f t="shared" ca="1" si="17"/>
        <v>YES</v>
      </c>
      <c r="Q377" s="23">
        <f>Weekly_Inspections!$AW377</f>
        <v>0</v>
      </c>
    </row>
    <row r="378" spans="1:17" ht="15" customHeight="1" x14ac:dyDescent="0.2">
      <c r="A378" s="21" t="str">
        <f>IF(Weekly_Inspections!$B378="","",Weekly_Inspections!$A378&amp;"-A1")</f>
        <v/>
      </c>
      <c r="B378" s="22">
        <f>Weekly_Inspections!$B378</f>
        <v>0</v>
      </c>
      <c r="C378" s="23">
        <f>Weekly_Inspections!$E378</f>
        <v>0</v>
      </c>
      <c r="D378" s="23">
        <f>Weekly_Inspections!$F378</f>
        <v>0</v>
      </c>
      <c r="E378" s="21" t="str">
        <f>Weekly_Inspections!$H378</f>
        <v/>
      </c>
      <c r="F378" s="23">
        <f>IF(Weekly_Inspections!$AX378&lt;&gt;"",Weekly_Inspections!$AX378,IF(Weekly_Inspections!$AY378&lt;&gt;"",Weekly_Inspections!$AY378,IF(Weekly_Inspections!$AZ378&lt;&gt;"",Weekly_Inspections!$AZ378,IF(Weekly_Inspections!$BA378&lt;&gt;"",Weekly_Inspections!$BA378,IF(Weekly_Inspections!$BB378&lt;&gt;"",Weekly_Inspections!$BB378,Weekly_Inspections!$R378)))))</f>
        <v>0</v>
      </c>
      <c r="G378" s="23" t="str">
        <f>IF(OR(Weekly_Inspections!$AQ378&lt;&gt;"",Weekly_Inspections!$AR378&lt;&gt;"",Weekly_Inspections!$AS378&lt;&gt;""),Weekly_Inspections!$AQ378,"")</f>
        <v/>
      </c>
      <c r="H378" s="23">
        <f>Weekly_Inspections!$AP378</f>
        <v>0</v>
      </c>
      <c r="I378" s="23">
        <f>Weekly_Inspections!$AR378</f>
        <v>0</v>
      </c>
      <c r="J378" s="23">
        <f>Weekly_Inspections!$AS378</f>
        <v>0</v>
      </c>
      <c r="K378" s="23">
        <f>Weekly_Inspections!$AU378</f>
        <v>0</v>
      </c>
      <c r="L378" s="22">
        <f>Weekly_Inspections!$AV378</f>
        <v>0</v>
      </c>
      <c r="M378" s="23" t="str">
        <f t="shared" si="15"/>
        <v>Open</v>
      </c>
      <c r="N378" s="22"/>
      <c r="O378" s="21">
        <f t="shared" ca="1" si="16"/>
        <v>46113</v>
      </c>
      <c r="P378" s="21" t="str">
        <f t="shared" ca="1" si="17"/>
        <v>YES</v>
      </c>
      <c r="Q378" s="23">
        <f>Weekly_Inspections!$AW378</f>
        <v>0</v>
      </c>
    </row>
    <row r="379" spans="1:17" ht="15" customHeight="1" x14ac:dyDescent="0.2">
      <c r="A379" s="21" t="str">
        <f>IF(Weekly_Inspections!$B379="","",Weekly_Inspections!$A379&amp;"-A1")</f>
        <v/>
      </c>
      <c r="B379" s="22">
        <f>Weekly_Inspections!$B379</f>
        <v>0</v>
      </c>
      <c r="C379" s="23">
        <f>Weekly_Inspections!$E379</f>
        <v>0</v>
      </c>
      <c r="D379" s="23">
        <f>Weekly_Inspections!$F379</f>
        <v>0</v>
      </c>
      <c r="E379" s="21" t="str">
        <f>Weekly_Inspections!$H379</f>
        <v/>
      </c>
      <c r="F379" s="23">
        <f>IF(Weekly_Inspections!$AX379&lt;&gt;"",Weekly_Inspections!$AX379,IF(Weekly_Inspections!$AY379&lt;&gt;"",Weekly_Inspections!$AY379,IF(Weekly_Inspections!$AZ379&lt;&gt;"",Weekly_Inspections!$AZ379,IF(Weekly_Inspections!$BA379&lt;&gt;"",Weekly_Inspections!$BA379,IF(Weekly_Inspections!$BB379&lt;&gt;"",Weekly_Inspections!$BB379,Weekly_Inspections!$R379)))))</f>
        <v>0</v>
      </c>
      <c r="G379" s="23" t="str">
        <f>IF(OR(Weekly_Inspections!$AQ379&lt;&gt;"",Weekly_Inspections!$AR379&lt;&gt;"",Weekly_Inspections!$AS379&lt;&gt;""),Weekly_Inspections!$AQ379,"")</f>
        <v/>
      </c>
      <c r="H379" s="23">
        <f>Weekly_Inspections!$AP379</f>
        <v>0</v>
      </c>
      <c r="I379" s="23">
        <f>Weekly_Inspections!$AR379</f>
        <v>0</v>
      </c>
      <c r="J379" s="23">
        <f>Weekly_Inspections!$AS379</f>
        <v>0</v>
      </c>
      <c r="K379" s="23">
        <f>Weekly_Inspections!$AU379</f>
        <v>0</v>
      </c>
      <c r="L379" s="22">
        <f>Weekly_Inspections!$AV379</f>
        <v>0</v>
      </c>
      <c r="M379" s="23" t="str">
        <f t="shared" si="15"/>
        <v>Open</v>
      </c>
      <c r="N379" s="22"/>
      <c r="O379" s="21">
        <f t="shared" ca="1" si="16"/>
        <v>46113</v>
      </c>
      <c r="P379" s="21" t="str">
        <f t="shared" ca="1" si="17"/>
        <v>YES</v>
      </c>
      <c r="Q379" s="23">
        <f>Weekly_Inspections!$AW379</f>
        <v>0</v>
      </c>
    </row>
    <row r="380" spans="1:17" ht="15" customHeight="1" x14ac:dyDescent="0.2">
      <c r="A380" s="21" t="str">
        <f>IF(Weekly_Inspections!$B380="","",Weekly_Inspections!$A380&amp;"-A1")</f>
        <v/>
      </c>
      <c r="B380" s="22">
        <f>Weekly_Inspections!$B380</f>
        <v>0</v>
      </c>
      <c r="C380" s="23">
        <f>Weekly_Inspections!$E380</f>
        <v>0</v>
      </c>
      <c r="D380" s="23">
        <f>Weekly_Inspections!$F380</f>
        <v>0</v>
      </c>
      <c r="E380" s="21" t="str">
        <f>Weekly_Inspections!$H380</f>
        <v/>
      </c>
      <c r="F380" s="23">
        <f>IF(Weekly_Inspections!$AX380&lt;&gt;"",Weekly_Inspections!$AX380,IF(Weekly_Inspections!$AY380&lt;&gt;"",Weekly_Inspections!$AY380,IF(Weekly_Inspections!$AZ380&lt;&gt;"",Weekly_Inspections!$AZ380,IF(Weekly_Inspections!$BA380&lt;&gt;"",Weekly_Inspections!$BA380,IF(Weekly_Inspections!$BB380&lt;&gt;"",Weekly_Inspections!$BB380,Weekly_Inspections!$R380)))))</f>
        <v>0</v>
      </c>
      <c r="G380" s="23" t="str">
        <f>IF(OR(Weekly_Inspections!$AQ380&lt;&gt;"",Weekly_Inspections!$AR380&lt;&gt;"",Weekly_Inspections!$AS380&lt;&gt;""),Weekly_Inspections!$AQ380,"")</f>
        <v/>
      </c>
      <c r="H380" s="23">
        <f>Weekly_Inspections!$AP380</f>
        <v>0</v>
      </c>
      <c r="I380" s="23">
        <f>Weekly_Inspections!$AR380</f>
        <v>0</v>
      </c>
      <c r="J380" s="23">
        <f>Weekly_Inspections!$AS380</f>
        <v>0</v>
      </c>
      <c r="K380" s="23">
        <f>Weekly_Inspections!$AU380</f>
        <v>0</v>
      </c>
      <c r="L380" s="22">
        <f>Weekly_Inspections!$AV380</f>
        <v>0</v>
      </c>
      <c r="M380" s="23" t="str">
        <f t="shared" si="15"/>
        <v>Open</v>
      </c>
      <c r="N380" s="22"/>
      <c r="O380" s="21">
        <f t="shared" ca="1" si="16"/>
        <v>46113</v>
      </c>
      <c r="P380" s="21" t="str">
        <f t="shared" ca="1" si="17"/>
        <v>YES</v>
      </c>
      <c r="Q380" s="23">
        <f>Weekly_Inspections!$AW380</f>
        <v>0</v>
      </c>
    </row>
    <row r="381" spans="1:17" ht="15" customHeight="1" x14ac:dyDescent="0.2">
      <c r="A381" s="21" t="str">
        <f>IF(Weekly_Inspections!$B381="","",Weekly_Inspections!$A381&amp;"-A1")</f>
        <v/>
      </c>
      <c r="B381" s="22">
        <f>Weekly_Inspections!$B381</f>
        <v>0</v>
      </c>
      <c r="C381" s="23">
        <f>Weekly_Inspections!$E381</f>
        <v>0</v>
      </c>
      <c r="D381" s="23">
        <f>Weekly_Inspections!$F381</f>
        <v>0</v>
      </c>
      <c r="E381" s="21" t="str">
        <f>Weekly_Inspections!$H381</f>
        <v/>
      </c>
      <c r="F381" s="23">
        <f>IF(Weekly_Inspections!$AX381&lt;&gt;"",Weekly_Inspections!$AX381,IF(Weekly_Inspections!$AY381&lt;&gt;"",Weekly_Inspections!$AY381,IF(Weekly_Inspections!$AZ381&lt;&gt;"",Weekly_Inspections!$AZ381,IF(Weekly_Inspections!$BA381&lt;&gt;"",Weekly_Inspections!$BA381,IF(Weekly_Inspections!$BB381&lt;&gt;"",Weekly_Inspections!$BB381,Weekly_Inspections!$R381)))))</f>
        <v>0</v>
      </c>
      <c r="G381" s="23" t="str">
        <f>IF(OR(Weekly_Inspections!$AQ381&lt;&gt;"",Weekly_Inspections!$AR381&lt;&gt;"",Weekly_Inspections!$AS381&lt;&gt;""),Weekly_Inspections!$AQ381,"")</f>
        <v/>
      </c>
      <c r="H381" s="23">
        <f>Weekly_Inspections!$AP381</f>
        <v>0</v>
      </c>
      <c r="I381" s="23">
        <f>Weekly_Inspections!$AR381</f>
        <v>0</v>
      </c>
      <c r="J381" s="23">
        <f>Weekly_Inspections!$AS381</f>
        <v>0</v>
      </c>
      <c r="K381" s="23">
        <f>Weekly_Inspections!$AU381</f>
        <v>0</v>
      </c>
      <c r="L381" s="22">
        <f>Weekly_Inspections!$AV381</f>
        <v>0</v>
      </c>
      <c r="M381" s="23" t="str">
        <f t="shared" si="15"/>
        <v>Open</v>
      </c>
      <c r="N381" s="22"/>
      <c r="O381" s="21">
        <f t="shared" ca="1" si="16"/>
        <v>46113</v>
      </c>
      <c r="P381" s="21" t="str">
        <f t="shared" ca="1" si="17"/>
        <v>YES</v>
      </c>
      <c r="Q381" s="23">
        <f>Weekly_Inspections!$AW381</f>
        <v>0</v>
      </c>
    </row>
    <row r="382" spans="1:17" ht="15" customHeight="1" x14ac:dyDescent="0.2">
      <c r="A382" s="21" t="str">
        <f>IF(Weekly_Inspections!$B382="","",Weekly_Inspections!$A382&amp;"-A1")</f>
        <v/>
      </c>
      <c r="B382" s="22">
        <f>Weekly_Inspections!$B382</f>
        <v>0</v>
      </c>
      <c r="C382" s="23">
        <f>Weekly_Inspections!$E382</f>
        <v>0</v>
      </c>
      <c r="D382" s="23">
        <f>Weekly_Inspections!$F382</f>
        <v>0</v>
      </c>
      <c r="E382" s="21" t="str">
        <f>Weekly_Inspections!$H382</f>
        <v/>
      </c>
      <c r="F382" s="23">
        <f>IF(Weekly_Inspections!$AX382&lt;&gt;"",Weekly_Inspections!$AX382,IF(Weekly_Inspections!$AY382&lt;&gt;"",Weekly_Inspections!$AY382,IF(Weekly_Inspections!$AZ382&lt;&gt;"",Weekly_Inspections!$AZ382,IF(Weekly_Inspections!$BA382&lt;&gt;"",Weekly_Inspections!$BA382,IF(Weekly_Inspections!$BB382&lt;&gt;"",Weekly_Inspections!$BB382,Weekly_Inspections!$R382)))))</f>
        <v>0</v>
      </c>
      <c r="G382" s="23" t="str">
        <f>IF(OR(Weekly_Inspections!$AQ382&lt;&gt;"",Weekly_Inspections!$AR382&lt;&gt;"",Weekly_Inspections!$AS382&lt;&gt;""),Weekly_Inspections!$AQ382,"")</f>
        <v/>
      </c>
      <c r="H382" s="23">
        <f>Weekly_Inspections!$AP382</f>
        <v>0</v>
      </c>
      <c r="I382" s="23">
        <f>Weekly_Inspections!$AR382</f>
        <v>0</v>
      </c>
      <c r="J382" s="23">
        <f>Weekly_Inspections!$AS382</f>
        <v>0</v>
      </c>
      <c r="K382" s="23">
        <f>Weekly_Inspections!$AU382</f>
        <v>0</v>
      </c>
      <c r="L382" s="22">
        <f>Weekly_Inspections!$AV382</f>
        <v>0</v>
      </c>
      <c r="M382" s="23" t="str">
        <f t="shared" si="15"/>
        <v>Open</v>
      </c>
      <c r="N382" s="22"/>
      <c r="O382" s="21">
        <f t="shared" ca="1" si="16"/>
        <v>46113</v>
      </c>
      <c r="P382" s="21" t="str">
        <f t="shared" ca="1" si="17"/>
        <v>YES</v>
      </c>
      <c r="Q382" s="23">
        <f>Weekly_Inspections!$AW382</f>
        <v>0</v>
      </c>
    </row>
    <row r="383" spans="1:17" ht="15" customHeight="1" x14ac:dyDescent="0.2">
      <c r="A383" s="21" t="str">
        <f>IF(Weekly_Inspections!$B383="","",Weekly_Inspections!$A383&amp;"-A1")</f>
        <v/>
      </c>
      <c r="B383" s="22">
        <f>Weekly_Inspections!$B383</f>
        <v>0</v>
      </c>
      <c r="C383" s="23">
        <f>Weekly_Inspections!$E383</f>
        <v>0</v>
      </c>
      <c r="D383" s="23">
        <f>Weekly_Inspections!$F383</f>
        <v>0</v>
      </c>
      <c r="E383" s="21" t="str">
        <f>Weekly_Inspections!$H383</f>
        <v/>
      </c>
      <c r="F383" s="23">
        <f>IF(Weekly_Inspections!$AX383&lt;&gt;"",Weekly_Inspections!$AX383,IF(Weekly_Inspections!$AY383&lt;&gt;"",Weekly_Inspections!$AY383,IF(Weekly_Inspections!$AZ383&lt;&gt;"",Weekly_Inspections!$AZ383,IF(Weekly_Inspections!$BA383&lt;&gt;"",Weekly_Inspections!$BA383,IF(Weekly_Inspections!$BB383&lt;&gt;"",Weekly_Inspections!$BB383,Weekly_Inspections!$R383)))))</f>
        <v>0</v>
      </c>
      <c r="G383" s="23" t="str">
        <f>IF(OR(Weekly_Inspections!$AQ383&lt;&gt;"",Weekly_Inspections!$AR383&lt;&gt;"",Weekly_Inspections!$AS383&lt;&gt;""),Weekly_Inspections!$AQ383,"")</f>
        <v/>
      </c>
      <c r="H383" s="23">
        <f>Weekly_Inspections!$AP383</f>
        <v>0</v>
      </c>
      <c r="I383" s="23">
        <f>Weekly_Inspections!$AR383</f>
        <v>0</v>
      </c>
      <c r="J383" s="23">
        <f>Weekly_Inspections!$AS383</f>
        <v>0</v>
      </c>
      <c r="K383" s="23">
        <f>Weekly_Inspections!$AU383</f>
        <v>0</v>
      </c>
      <c r="L383" s="22">
        <f>Weekly_Inspections!$AV383</f>
        <v>0</v>
      </c>
      <c r="M383" s="23" t="str">
        <f t="shared" si="15"/>
        <v>Open</v>
      </c>
      <c r="N383" s="22"/>
      <c r="O383" s="21">
        <f t="shared" ca="1" si="16"/>
        <v>46113</v>
      </c>
      <c r="P383" s="21" t="str">
        <f t="shared" ca="1" si="17"/>
        <v>YES</v>
      </c>
      <c r="Q383" s="23">
        <f>Weekly_Inspections!$AW383</f>
        <v>0</v>
      </c>
    </row>
    <row r="384" spans="1:17" ht="15" customHeight="1" x14ac:dyDescent="0.2">
      <c r="A384" s="21" t="str">
        <f>IF(Weekly_Inspections!$B384="","",Weekly_Inspections!$A384&amp;"-A1")</f>
        <v/>
      </c>
      <c r="B384" s="22">
        <f>Weekly_Inspections!$B384</f>
        <v>0</v>
      </c>
      <c r="C384" s="23">
        <f>Weekly_Inspections!$E384</f>
        <v>0</v>
      </c>
      <c r="D384" s="23">
        <f>Weekly_Inspections!$F384</f>
        <v>0</v>
      </c>
      <c r="E384" s="21" t="str">
        <f>Weekly_Inspections!$H384</f>
        <v/>
      </c>
      <c r="F384" s="23">
        <f>IF(Weekly_Inspections!$AX384&lt;&gt;"",Weekly_Inspections!$AX384,IF(Weekly_Inspections!$AY384&lt;&gt;"",Weekly_Inspections!$AY384,IF(Weekly_Inspections!$AZ384&lt;&gt;"",Weekly_Inspections!$AZ384,IF(Weekly_Inspections!$BA384&lt;&gt;"",Weekly_Inspections!$BA384,IF(Weekly_Inspections!$BB384&lt;&gt;"",Weekly_Inspections!$BB384,Weekly_Inspections!$R384)))))</f>
        <v>0</v>
      </c>
      <c r="G384" s="23" t="str">
        <f>IF(OR(Weekly_Inspections!$AQ384&lt;&gt;"",Weekly_Inspections!$AR384&lt;&gt;"",Weekly_Inspections!$AS384&lt;&gt;""),Weekly_Inspections!$AQ384,"")</f>
        <v/>
      </c>
      <c r="H384" s="23">
        <f>Weekly_Inspections!$AP384</f>
        <v>0</v>
      </c>
      <c r="I384" s="23">
        <f>Weekly_Inspections!$AR384</f>
        <v>0</v>
      </c>
      <c r="J384" s="23">
        <f>Weekly_Inspections!$AS384</f>
        <v>0</v>
      </c>
      <c r="K384" s="23">
        <f>Weekly_Inspections!$AU384</f>
        <v>0</v>
      </c>
      <c r="L384" s="22">
        <f>Weekly_Inspections!$AV384</f>
        <v>0</v>
      </c>
      <c r="M384" s="23" t="str">
        <f t="shared" ref="M384:M447" si="18">IF($B384="","",IF($N384&lt;&gt;"","Closed",IF(OR($G384&lt;&gt;"",$I384&lt;&gt;"",$J384&lt;&gt;""),"Open","")))</f>
        <v>Open</v>
      </c>
      <c r="N384" s="22"/>
      <c r="O384" s="21">
        <f t="shared" ref="O384:O447" ca="1" si="19">IF($B384="","",IF($M384="Closed",IF($N384="","",$N384-$B384),TODAY()-$B384))</f>
        <v>46113</v>
      </c>
      <c r="P384" s="21" t="str">
        <f t="shared" ref="P384:P447" ca="1" si="20">IF(OR($B384="",$L384="",$M384="Closed"),"",IF(TODAY()&gt;$L384,"YES","NO"))</f>
        <v>YES</v>
      </c>
      <c r="Q384" s="23">
        <f>Weekly_Inspections!$AW384</f>
        <v>0</v>
      </c>
    </row>
    <row r="385" spans="1:17" ht="15" customHeight="1" x14ac:dyDescent="0.2">
      <c r="A385" s="21" t="str">
        <f>IF(Weekly_Inspections!$B385="","",Weekly_Inspections!$A385&amp;"-A1")</f>
        <v/>
      </c>
      <c r="B385" s="22">
        <f>Weekly_Inspections!$B385</f>
        <v>0</v>
      </c>
      <c r="C385" s="23">
        <f>Weekly_Inspections!$E385</f>
        <v>0</v>
      </c>
      <c r="D385" s="23">
        <f>Weekly_Inspections!$F385</f>
        <v>0</v>
      </c>
      <c r="E385" s="21" t="str">
        <f>Weekly_Inspections!$H385</f>
        <v/>
      </c>
      <c r="F385" s="23">
        <f>IF(Weekly_Inspections!$AX385&lt;&gt;"",Weekly_Inspections!$AX385,IF(Weekly_Inspections!$AY385&lt;&gt;"",Weekly_Inspections!$AY385,IF(Weekly_Inspections!$AZ385&lt;&gt;"",Weekly_Inspections!$AZ385,IF(Weekly_Inspections!$BA385&lt;&gt;"",Weekly_Inspections!$BA385,IF(Weekly_Inspections!$BB385&lt;&gt;"",Weekly_Inspections!$BB385,Weekly_Inspections!$R385)))))</f>
        <v>0</v>
      </c>
      <c r="G385" s="23" t="str">
        <f>IF(OR(Weekly_Inspections!$AQ385&lt;&gt;"",Weekly_Inspections!$AR385&lt;&gt;"",Weekly_Inspections!$AS385&lt;&gt;""),Weekly_Inspections!$AQ385,"")</f>
        <v/>
      </c>
      <c r="H385" s="23">
        <f>Weekly_Inspections!$AP385</f>
        <v>0</v>
      </c>
      <c r="I385" s="23">
        <f>Weekly_Inspections!$AR385</f>
        <v>0</v>
      </c>
      <c r="J385" s="23">
        <f>Weekly_Inspections!$AS385</f>
        <v>0</v>
      </c>
      <c r="K385" s="23">
        <f>Weekly_Inspections!$AU385</f>
        <v>0</v>
      </c>
      <c r="L385" s="22">
        <f>Weekly_Inspections!$AV385</f>
        <v>0</v>
      </c>
      <c r="M385" s="23" t="str">
        <f t="shared" si="18"/>
        <v>Open</v>
      </c>
      <c r="N385" s="22"/>
      <c r="O385" s="21">
        <f t="shared" ca="1" si="19"/>
        <v>46113</v>
      </c>
      <c r="P385" s="21" t="str">
        <f t="shared" ca="1" si="20"/>
        <v>YES</v>
      </c>
      <c r="Q385" s="23">
        <f>Weekly_Inspections!$AW385</f>
        <v>0</v>
      </c>
    </row>
    <row r="386" spans="1:17" ht="15" customHeight="1" x14ac:dyDescent="0.2">
      <c r="A386" s="21" t="str">
        <f>IF(Weekly_Inspections!$B386="","",Weekly_Inspections!$A386&amp;"-A1")</f>
        <v/>
      </c>
      <c r="B386" s="22">
        <f>Weekly_Inspections!$B386</f>
        <v>0</v>
      </c>
      <c r="C386" s="23">
        <f>Weekly_Inspections!$E386</f>
        <v>0</v>
      </c>
      <c r="D386" s="23">
        <f>Weekly_Inspections!$F386</f>
        <v>0</v>
      </c>
      <c r="E386" s="21" t="str">
        <f>Weekly_Inspections!$H386</f>
        <v/>
      </c>
      <c r="F386" s="23">
        <f>IF(Weekly_Inspections!$AX386&lt;&gt;"",Weekly_Inspections!$AX386,IF(Weekly_Inspections!$AY386&lt;&gt;"",Weekly_Inspections!$AY386,IF(Weekly_Inspections!$AZ386&lt;&gt;"",Weekly_Inspections!$AZ386,IF(Weekly_Inspections!$BA386&lt;&gt;"",Weekly_Inspections!$BA386,IF(Weekly_Inspections!$BB386&lt;&gt;"",Weekly_Inspections!$BB386,Weekly_Inspections!$R386)))))</f>
        <v>0</v>
      </c>
      <c r="G386" s="23" t="str">
        <f>IF(OR(Weekly_Inspections!$AQ386&lt;&gt;"",Weekly_Inspections!$AR386&lt;&gt;"",Weekly_Inspections!$AS386&lt;&gt;""),Weekly_Inspections!$AQ386,"")</f>
        <v/>
      </c>
      <c r="H386" s="23">
        <f>Weekly_Inspections!$AP386</f>
        <v>0</v>
      </c>
      <c r="I386" s="23">
        <f>Weekly_Inspections!$AR386</f>
        <v>0</v>
      </c>
      <c r="J386" s="23">
        <f>Weekly_Inspections!$AS386</f>
        <v>0</v>
      </c>
      <c r="K386" s="23">
        <f>Weekly_Inspections!$AU386</f>
        <v>0</v>
      </c>
      <c r="L386" s="22">
        <f>Weekly_Inspections!$AV386</f>
        <v>0</v>
      </c>
      <c r="M386" s="23" t="str">
        <f t="shared" si="18"/>
        <v>Open</v>
      </c>
      <c r="N386" s="22"/>
      <c r="O386" s="21">
        <f t="shared" ca="1" si="19"/>
        <v>46113</v>
      </c>
      <c r="P386" s="21" t="str">
        <f t="shared" ca="1" si="20"/>
        <v>YES</v>
      </c>
      <c r="Q386" s="23">
        <f>Weekly_Inspections!$AW386</f>
        <v>0</v>
      </c>
    </row>
    <row r="387" spans="1:17" ht="15" customHeight="1" x14ac:dyDescent="0.2">
      <c r="A387" s="21" t="str">
        <f>IF(Weekly_Inspections!$B387="","",Weekly_Inspections!$A387&amp;"-A1")</f>
        <v/>
      </c>
      <c r="B387" s="22">
        <f>Weekly_Inspections!$B387</f>
        <v>0</v>
      </c>
      <c r="C387" s="23">
        <f>Weekly_Inspections!$E387</f>
        <v>0</v>
      </c>
      <c r="D387" s="23">
        <f>Weekly_Inspections!$F387</f>
        <v>0</v>
      </c>
      <c r="E387" s="21" t="str">
        <f>Weekly_Inspections!$H387</f>
        <v/>
      </c>
      <c r="F387" s="23">
        <f>IF(Weekly_Inspections!$AX387&lt;&gt;"",Weekly_Inspections!$AX387,IF(Weekly_Inspections!$AY387&lt;&gt;"",Weekly_Inspections!$AY387,IF(Weekly_Inspections!$AZ387&lt;&gt;"",Weekly_Inspections!$AZ387,IF(Weekly_Inspections!$BA387&lt;&gt;"",Weekly_Inspections!$BA387,IF(Weekly_Inspections!$BB387&lt;&gt;"",Weekly_Inspections!$BB387,Weekly_Inspections!$R387)))))</f>
        <v>0</v>
      </c>
      <c r="G387" s="23" t="str">
        <f>IF(OR(Weekly_Inspections!$AQ387&lt;&gt;"",Weekly_Inspections!$AR387&lt;&gt;"",Weekly_Inspections!$AS387&lt;&gt;""),Weekly_Inspections!$AQ387,"")</f>
        <v/>
      </c>
      <c r="H387" s="23">
        <f>Weekly_Inspections!$AP387</f>
        <v>0</v>
      </c>
      <c r="I387" s="23">
        <f>Weekly_Inspections!$AR387</f>
        <v>0</v>
      </c>
      <c r="J387" s="23">
        <f>Weekly_Inspections!$AS387</f>
        <v>0</v>
      </c>
      <c r="K387" s="23">
        <f>Weekly_Inspections!$AU387</f>
        <v>0</v>
      </c>
      <c r="L387" s="22">
        <f>Weekly_Inspections!$AV387</f>
        <v>0</v>
      </c>
      <c r="M387" s="23" t="str">
        <f t="shared" si="18"/>
        <v>Open</v>
      </c>
      <c r="N387" s="22"/>
      <c r="O387" s="21">
        <f t="shared" ca="1" si="19"/>
        <v>46113</v>
      </c>
      <c r="P387" s="21" t="str">
        <f t="shared" ca="1" si="20"/>
        <v>YES</v>
      </c>
      <c r="Q387" s="23">
        <f>Weekly_Inspections!$AW387</f>
        <v>0</v>
      </c>
    </row>
    <row r="388" spans="1:17" ht="15" customHeight="1" x14ac:dyDescent="0.2">
      <c r="A388" s="21" t="str">
        <f>IF(Weekly_Inspections!$B388="","",Weekly_Inspections!$A388&amp;"-A1")</f>
        <v/>
      </c>
      <c r="B388" s="22">
        <f>Weekly_Inspections!$B388</f>
        <v>0</v>
      </c>
      <c r="C388" s="23">
        <f>Weekly_Inspections!$E388</f>
        <v>0</v>
      </c>
      <c r="D388" s="23">
        <f>Weekly_Inspections!$F388</f>
        <v>0</v>
      </c>
      <c r="E388" s="21" t="str">
        <f>Weekly_Inspections!$H388</f>
        <v/>
      </c>
      <c r="F388" s="23">
        <f>IF(Weekly_Inspections!$AX388&lt;&gt;"",Weekly_Inspections!$AX388,IF(Weekly_Inspections!$AY388&lt;&gt;"",Weekly_Inspections!$AY388,IF(Weekly_Inspections!$AZ388&lt;&gt;"",Weekly_Inspections!$AZ388,IF(Weekly_Inspections!$BA388&lt;&gt;"",Weekly_Inspections!$BA388,IF(Weekly_Inspections!$BB388&lt;&gt;"",Weekly_Inspections!$BB388,Weekly_Inspections!$R388)))))</f>
        <v>0</v>
      </c>
      <c r="G388" s="23" t="str">
        <f>IF(OR(Weekly_Inspections!$AQ388&lt;&gt;"",Weekly_Inspections!$AR388&lt;&gt;"",Weekly_Inspections!$AS388&lt;&gt;""),Weekly_Inspections!$AQ388,"")</f>
        <v/>
      </c>
      <c r="H388" s="23">
        <f>Weekly_Inspections!$AP388</f>
        <v>0</v>
      </c>
      <c r="I388" s="23">
        <f>Weekly_Inspections!$AR388</f>
        <v>0</v>
      </c>
      <c r="J388" s="23">
        <f>Weekly_Inspections!$AS388</f>
        <v>0</v>
      </c>
      <c r="K388" s="23">
        <f>Weekly_Inspections!$AU388</f>
        <v>0</v>
      </c>
      <c r="L388" s="22">
        <f>Weekly_Inspections!$AV388</f>
        <v>0</v>
      </c>
      <c r="M388" s="23" t="str">
        <f t="shared" si="18"/>
        <v>Open</v>
      </c>
      <c r="N388" s="22"/>
      <c r="O388" s="21">
        <f t="shared" ca="1" si="19"/>
        <v>46113</v>
      </c>
      <c r="P388" s="21" t="str">
        <f t="shared" ca="1" si="20"/>
        <v>YES</v>
      </c>
      <c r="Q388" s="23">
        <f>Weekly_Inspections!$AW388</f>
        <v>0</v>
      </c>
    </row>
    <row r="389" spans="1:17" ht="15" customHeight="1" x14ac:dyDescent="0.2">
      <c r="A389" s="21" t="str">
        <f>IF(Weekly_Inspections!$B389="","",Weekly_Inspections!$A389&amp;"-A1")</f>
        <v/>
      </c>
      <c r="B389" s="22">
        <f>Weekly_Inspections!$B389</f>
        <v>0</v>
      </c>
      <c r="C389" s="23">
        <f>Weekly_Inspections!$E389</f>
        <v>0</v>
      </c>
      <c r="D389" s="23">
        <f>Weekly_Inspections!$F389</f>
        <v>0</v>
      </c>
      <c r="E389" s="21" t="str">
        <f>Weekly_Inspections!$H389</f>
        <v/>
      </c>
      <c r="F389" s="23">
        <f>IF(Weekly_Inspections!$AX389&lt;&gt;"",Weekly_Inspections!$AX389,IF(Weekly_Inspections!$AY389&lt;&gt;"",Weekly_Inspections!$AY389,IF(Weekly_Inspections!$AZ389&lt;&gt;"",Weekly_Inspections!$AZ389,IF(Weekly_Inspections!$BA389&lt;&gt;"",Weekly_Inspections!$BA389,IF(Weekly_Inspections!$BB389&lt;&gt;"",Weekly_Inspections!$BB389,Weekly_Inspections!$R389)))))</f>
        <v>0</v>
      </c>
      <c r="G389" s="23" t="str">
        <f>IF(OR(Weekly_Inspections!$AQ389&lt;&gt;"",Weekly_Inspections!$AR389&lt;&gt;"",Weekly_Inspections!$AS389&lt;&gt;""),Weekly_Inspections!$AQ389,"")</f>
        <v/>
      </c>
      <c r="H389" s="23">
        <f>Weekly_Inspections!$AP389</f>
        <v>0</v>
      </c>
      <c r="I389" s="23">
        <f>Weekly_Inspections!$AR389</f>
        <v>0</v>
      </c>
      <c r="J389" s="23">
        <f>Weekly_Inspections!$AS389</f>
        <v>0</v>
      </c>
      <c r="K389" s="23">
        <f>Weekly_Inspections!$AU389</f>
        <v>0</v>
      </c>
      <c r="L389" s="22">
        <f>Weekly_Inspections!$AV389</f>
        <v>0</v>
      </c>
      <c r="M389" s="23" t="str">
        <f t="shared" si="18"/>
        <v>Open</v>
      </c>
      <c r="N389" s="22"/>
      <c r="O389" s="21">
        <f t="shared" ca="1" si="19"/>
        <v>46113</v>
      </c>
      <c r="P389" s="21" t="str">
        <f t="shared" ca="1" si="20"/>
        <v>YES</v>
      </c>
      <c r="Q389" s="23">
        <f>Weekly_Inspections!$AW389</f>
        <v>0</v>
      </c>
    </row>
    <row r="390" spans="1:17" ht="15" customHeight="1" x14ac:dyDescent="0.2">
      <c r="A390" s="21" t="str">
        <f>IF(Weekly_Inspections!$B390="","",Weekly_Inspections!$A390&amp;"-A1")</f>
        <v/>
      </c>
      <c r="B390" s="22">
        <f>Weekly_Inspections!$B390</f>
        <v>0</v>
      </c>
      <c r="C390" s="23">
        <f>Weekly_Inspections!$E390</f>
        <v>0</v>
      </c>
      <c r="D390" s="23">
        <f>Weekly_Inspections!$F390</f>
        <v>0</v>
      </c>
      <c r="E390" s="21" t="str">
        <f>Weekly_Inspections!$H390</f>
        <v/>
      </c>
      <c r="F390" s="23">
        <f>IF(Weekly_Inspections!$AX390&lt;&gt;"",Weekly_Inspections!$AX390,IF(Weekly_Inspections!$AY390&lt;&gt;"",Weekly_Inspections!$AY390,IF(Weekly_Inspections!$AZ390&lt;&gt;"",Weekly_Inspections!$AZ390,IF(Weekly_Inspections!$BA390&lt;&gt;"",Weekly_Inspections!$BA390,IF(Weekly_Inspections!$BB390&lt;&gt;"",Weekly_Inspections!$BB390,Weekly_Inspections!$R390)))))</f>
        <v>0</v>
      </c>
      <c r="G390" s="23" t="str">
        <f>IF(OR(Weekly_Inspections!$AQ390&lt;&gt;"",Weekly_Inspections!$AR390&lt;&gt;"",Weekly_Inspections!$AS390&lt;&gt;""),Weekly_Inspections!$AQ390,"")</f>
        <v/>
      </c>
      <c r="H390" s="23">
        <f>Weekly_Inspections!$AP390</f>
        <v>0</v>
      </c>
      <c r="I390" s="23">
        <f>Weekly_Inspections!$AR390</f>
        <v>0</v>
      </c>
      <c r="J390" s="23">
        <f>Weekly_Inspections!$AS390</f>
        <v>0</v>
      </c>
      <c r="K390" s="23">
        <f>Weekly_Inspections!$AU390</f>
        <v>0</v>
      </c>
      <c r="L390" s="22">
        <f>Weekly_Inspections!$AV390</f>
        <v>0</v>
      </c>
      <c r="M390" s="23" t="str">
        <f t="shared" si="18"/>
        <v>Open</v>
      </c>
      <c r="N390" s="22"/>
      <c r="O390" s="21">
        <f t="shared" ca="1" si="19"/>
        <v>46113</v>
      </c>
      <c r="P390" s="21" t="str">
        <f t="shared" ca="1" si="20"/>
        <v>YES</v>
      </c>
      <c r="Q390" s="23">
        <f>Weekly_Inspections!$AW390</f>
        <v>0</v>
      </c>
    </row>
    <row r="391" spans="1:17" ht="15" customHeight="1" x14ac:dyDescent="0.2">
      <c r="A391" s="21" t="str">
        <f>IF(Weekly_Inspections!$B391="","",Weekly_Inspections!$A391&amp;"-A1")</f>
        <v/>
      </c>
      <c r="B391" s="22">
        <f>Weekly_Inspections!$B391</f>
        <v>0</v>
      </c>
      <c r="C391" s="23">
        <f>Weekly_Inspections!$E391</f>
        <v>0</v>
      </c>
      <c r="D391" s="23">
        <f>Weekly_Inspections!$F391</f>
        <v>0</v>
      </c>
      <c r="E391" s="21" t="str">
        <f>Weekly_Inspections!$H391</f>
        <v/>
      </c>
      <c r="F391" s="23">
        <f>IF(Weekly_Inspections!$AX391&lt;&gt;"",Weekly_Inspections!$AX391,IF(Weekly_Inspections!$AY391&lt;&gt;"",Weekly_Inspections!$AY391,IF(Weekly_Inspections!$AZ391&lt;&gt;"",Weekly_Inspections!$AZ391,IF(Weekly_Inspections!$BA391&lt;&gt;"",Weekly_Inspections!$BA391,IF(Weekly_Inspections!$BB391&lt;&gt;"",Weekly_Inspections!$BB391,Weekly_Inspections!$R391)))))</f>
        <v>0</v>
      </c>
      <c r="G391" s="23" t="str">
        <f>IF(OR(Weekly_Inspections!$AQ391&lt;&gt;"",Weekly_Inspections!$AR391&lt;&gt;"",Weekly_Inspections!$AS391&lt;&gt;""),Weekly_Inspections!$AQ391,"")</f>
        <v/>
      </c>
      <c r="H391" s="23">
        <f>Weekly_Inspections!$AP391</f>
        <v>0</v>
      </c>
      <c r="I391" s="23">
        <f>Weekly_Inspections!$AR391</f>
        <v>0</v>
      </c>
      <c r="J391" s="23">
        <f>Weekly_Inspections!$AS391</f>
        <v>0</v>
      </c>
      <c r="K391" s="23">
        <f>Weekly_Inspections!$AU391</f>
        <v>0</v>
      </c>
      <c r="L391" s="22">
        <f>Weekly_Inspections!$AV391</f>
        <v>0</v>
      </c>
      <c r="M391" s="23" t="str">
        <f t="shared" si="18"/>
        <v>Open</v>
      </c>
      <c r="N391" s="22"/>
      <c r="O391" s="21">
        <f t="shared" ca="1" si="19"/>
        <v>46113</v>
      </c>
      <c r="P391" s="21" t="str">
        <f t="shared" ca="1" si="20"/>
        <v>YES</v>
      </c>
      <c r="Q391" s="23">
        <f>Weekly_Inspections!$AW391</f>
        <v>0</v>
      </c>
    </row>
    <row r="392" spans="1:17" ht="15" customHeight="1" x14ac:dyDescent="0.2">
      <c r="A392" s="21" t="str">
        <f>IF(Weekly_Inspections!$B392="","",Weekly_Inspections!$A392&amp;"-A1")</f>
        <v/>
      </c>
      <c r="B392" s="22">
        <f>Weekly_Inspections!$B392</f>
        <v>0</v>
      </c>
      <c r="C392" s="23">
        <f>Weekly_Inspections!$E392</f>
        <v>0</v>
      </c>
      <c r="D392" s="23">
        <f>Weekly_Inspections!$F392</f>
        <v>0</v>
      </c>
      <c r="E392" s="21" t="str">
        <f>Weekly_Inspections!$H392</f>
        <v/>
      </c>
      <c r="F392" s="23">
        <f>IF(Weekly_Inspections!$AX392&lt;&gt;"",Weekly_Inspections!$AX392,IF(Weekly_Inspections!$AY392&lt;&gt;"",Weekly_Inspections!$AY392,IF(Weekly_Inspections!$AZ392&lt;&gt;"",Weekly_Inspections!$AZ392,IF(Weekly_Inspections!$BA392&lt;&gt;"",Weekly_Inspections!$BA392,IF(Weekly_Inspections!$BB392&lt;&gt;"",Weekly_Inspections!$BB392,Weekly_Inspections!$R392)))))</f>
        <v>0</v>
      </c>
      <c r="G392" s="23" t="str">
        <f>IF(OR(Weekly_Inspections!$AQ392&lt;&gt;"",Weekly_Inspections!$AR392&lt;&gt;"",Weekly_Inspections!$AS392&lt;&gt;""),Weekly_Inspections!$AQ392,"")</f>
        <v/>
      </c>
      <c r="H392" s="23">
        <f>Weekly_Inspections!$AP392</f>
        <v>0</v>
      </c>
      <c r="I392" s="23">
        <f>Weekly_Inspections!$AR392</f>
        <v>0</v>
      </c>
      <c r="J392" s="23">
        <f>Weekly_Inspections!$AS392</f>
        <v>0</v>
      </c>
      <c r="K392" s="23">
        <f>Weekly_Inspections!$AU392</f>
        <v>0</v>
      </c>
      <c r="L392" s="22">
        <f>Weekly_Inspections!$AV392</f>
        <v>0</v>
      </c>
      <c r="M392" s="23" t="str">
        <f t="shared" si="18"/>
        <v>Open</v>
      </c>
      <c r="N392" s="22"/>
      <c r="O392" s="21">
        <f t="shared" ca="1" si="19"/>
        <v>46113</v>
      </c>
      <c r="P392" s="21" t="str">
        <f t="shared" ca="1" si="20"/>
        <v>YES</v>
      </c>
      <c r="Q392" s="23">
        <f>Weekly_Inspections!$AW392</f>
        <v>0</v>
      </c>
    </row>
    <row r="393" spans="1:17" ht="15" customHeight="1" x14ac:dyDescent="0.2">
      <c r="A393" s="21" t="str">
        <f>IF(Weekly_Inspections!$B393="","",Weekly_Inspections!$A393&amp;"-A1")</f>
        <v/>
      </c>
      <c r="B393" s="22">
        <f>Weekly_Inspections!$B393</f>
        <v>0</v>
      </c>
      <c r="C393" s="23">
        <f>Weekly_Inspections!$E393</f>
        <v>0</v>
      </c>
      <c r="D393" s="23">
        <f>Weekly_Inspections!$F393</f>
        <v>0</v>
      </c>
      <c r="E393" s="21" t="str">
        <f>Weekly_Inspections!$H393</f>
        <v/>
      </c>
      <c r="F393" s="23">
        <f>IF(Weekly_Inspections!$AX393&lt;&gt;"",Weekly_Inspections!$AX393,IF(Weekly_Inspections!$AY393&lt;&gt;"",Weekly_Inspections!$AY393,IF(Weekly_Inspections!$AZ393&lt;&gt;"",Weekly_Inspections!$AZ393,IF(Weekly_Inspections!$BA393&lt;&gt;"",Weekly_Inspections!$BA393,IF(Weekly_Inspections!$BB393&lt;&gt;"",Weekly_Inspections!$BB393,Weekly_Inspections!$R393)))))</f>
        <v>0</v>
      </c>
      <c r="G393" s="23" t="str">
        <f>IF(OR(Weekly_Inspections!$AQ393&lt;&gt;"",Weekly_Inspections!$AR393&lt;&gt;"",Weekly_Inspections!$AS393&lt;&gt;""),Weekly_Inspections!$AQ393,"")</f>
        <v/>
      </c>
      <c r="H393" s="23">
        <f>Weekly_Inspections!$AP393</f>
        <v>0</v>
      </c>
      <c r="I393" s="23">
        <f>Weekly_Inspections!$AR393</f>
        <v>0</v>
      </c>
      <c r="J393" s="23">
        <f>Weekly_Inspections!$AS393</f>
        <v>0</v>
      </c>
      <c r="K393" s="23">
        <f>Weekly_Inspections!$AU393</f>
        <v>0</v>
      </c>
      <c r="L393" s="22">
        <f>Weekly_Inspections!$AV393</f>
        <v>0</v>
      </c>
      <c r="M393" s="23" t="str">
        <f t="shared" si="18"/>
        <v>Open</v>
      </c>
      <c r="N393" s="22"/>
      <c r="O393" s="21">
        <f t="shared" ca="1" si="19"/>
        <v>46113</v>
      </c>
      <c r="P393" s="21" t="str">
        <f t="shared" ca="1" si="20"/>
        <v>YES</v>
      </c>
      <c r="Q393" s="23">
        <f>Weekly_Inspections!$AW393</f>
        <v>0</v>
      </c>
    </row>
    <row r="394" spans="1:17" ht="15" customHeight="1" x14ac:dyDescent="0.2">
      <c r="A394" s="21" t="str">
        <f>IF(Weekly_Inspections!$B394="","",Weekly_Inspections!$A394&amp;"-A1")</f>
        <v/>
      </c>
      <c r="B394" s="22">
        <f>Weekly_Inspections!$B394</f>
        <v>0</v>
      </c>
      <c r="C394" s="23">
        <f>Weekly_Inspections!$E394</f>
        <v>0</v>
      </c>
      <c r="D394" s="23">
        <f>Weekly_Inspections!$F394</f>
        <v>0</v>
      </c>
      <c r="E394" s="21" t="str">
        <f>Weekly_Inspections!$H394</f>
        <v/>
      </c>
      <c r="F394" s="23">
        <f>IF(Weekly_Inspections!$AX394&lt;&gt;"",Weekly_Inspections!$AX394,IF(Weekly_Inspections!$AY394&lt;&gt;"",Weekly_Inspections!$AY394,IF(Weekly_Inspections!$AZ394&lt;&gt;"",Weekly_Inspections!$AZ394,IF(Weekly_Inspections!$BA394&lt;&gt;"",Weekly_Inspections!$BA394,IF(Weekly_Inspections!$BB394&lt;&gt;"",Weekly_Inspections!$BB394,Weekly_Inspections!$R394)))))</f>
        <v>0</v>
      </c>
      <c r="G394" s="23" t="str">
        <f>IF(OR(Weekly_Inspections!$AQ394&lt;&gt;"",Weekly_Inspections!$AR394&lt;&gt;"",Weekly_Inspections!$AS394&lt;&gt;""),Weekly_Inspections!$AQ394,"")</f>
        <v/>
      </c>
      <c r="H394" s="23">
        <f>Weekly_Inspections!$AP394</f>
        <v>0</v>
      </c>
      <c r="I394" s="23">
        <f>Weekly_Inspections!$AR394</f>
        <v>0</v>
      </c>
      <c r="J394" s="23">
        <f>Weekly_Inspections!$AS394</f>
        <v>0</v>
      </c>
      <c r="K394" s="23">
        <f>Weekly_Inspections!$AU394</f>
        <v>0</v>
      </c>
      <c r="L394" s="22">
        <f>Weekly_Inspections!$AV394</f>
        <v>0</v>
      </c>
      <c r="M394" s="23" t="str">
        <f t="shared" si="18"/>
        <v>Open</v>
      </c>
      <c r="N394" s="22"/>
      <c r="O394" s="21">
        <f t="shared" ca="1" si="19"/>
        <v>46113</v>
      </c>
      <c r="P394" s="21" t="str">
        <f t="shared" ca="1" si="20"/>
        <v>YES</v>
      </c>
      <c r="Q394" s="23">
        <f>Weekly_Inspections!$AW394</f>
        <v>0</v>
      </c>
    </row>
    <row r="395" spans="1:17" ht="15" customHeight="1" x14ac:dyDescent="0.2">
      <c r="A395" s="21" t="str">
        <f>IF(Weekly_Inspections!$B395="","",Weekly_Inspections!$A395&amp;"-A1")</f>
        <v/>
      </c>
      <c r="B395" s="22">
        <f>Weekly_Inspections!$B395</f>
        <v>0</v>
      </c>
      <c r="C395" s="23">
        <f>Weekly_Inspections!$E395</f>
        <v>0</v>
      </c>
      <c r="D395" s="23">
        <f>Weekly_Inspections!$F395</f>
        <v>0</v>
      </c>
      <c r="E395" s="21" t="str">
        <f>Weekly_Inspections!$H395</f>
        <v/>
      </c>
      <c r="F395" s="23">
        <f>IF(Weekly_Inspections!$AX395&lt;&gt;"",Weekly_Inspections!$AX395,IF(Weekly_Inspections!$AY395&lt;&gt;"",Weekly_Inspections!$AY395,IF(Weekly_Inspections!$AZ395&lt;&gt;"",Weekly_Inspections!$AZ395,IF(Weekly_Inspections!$BA395&lt;&gt;"",Weekly_Inspections!$BA395,IF(Weekly_Inspections!$BB395&lt;&gt;"",Weekly_Inspections!$BB395,Weekly_Inspections!$R395)))))</f>
        <v>0</v>
      </c>
      <c r="G395" s="23" t="str">
        <f>IF(OR(Weekly_Inspections!$AQ395&lt;&gt;"",Weekly_Inspections!$AR395&lt;&gt;"",Weekly_Inspections!$AS395&lt;&gt;""),Weekly_Inspections!$AQ395,"")</f>
        <v/>
      </c>
      <c r="H395" s="23">
        <f>Weekly_Inspections!$AP395</f>
        <v>0</v>
      </c>
      <c r="I395" s="23">
        <f>Weekly_Inspections!$AR395</f>
        <v>0</v>
      </c>
      <c r="J395" s="23">
        <f>Weekly_Inspections!$AS395</f>
        <v>0</v>
      </c>
      <c r="K395" s="23">
        <f>Weekly_Inspections!$AU395</f>
        <v>0</v>
      </c>
      <c r="L395" s="22">
        <f>Weekly_Inspections!$AV395</f>
        <v>0</v>
      </c>
      <c r="M395" s="23" t="str">
        <f t="shared" si="18"/>
        <v>Open</v>
      </c>
      <c r="N395" s="22"/>
      <c r="O395" s="21">
        <f t="shared" ca="1" si="19"/>
        <v>46113</v>
      </c>
      <c r="P395" s="21" t="str">
        <f t="shared" ca="1" si="20"/>
        <v>YES</v>
      </c>
      <c r="Q395" s="23">
        <f>Weekly_Inspections!$AW395</f>
        <v>0</v>
      </c>
    </row>
    <row r="396" spans="1:17" ht="15" customHeight="1" x14ac:dyDescent="0.2">
      <c r="A396" s="21" t="str">
        <f>IF(Weekly_Inspections!$B396="","",Weekly_Inspections!$A396&amp;"-A1")</f>
        <v/>
      </c>
      <c r="B396" s="22">
        <f>Weekly_Inspections!$B396</f>
        <v>0</v>
      </c>
      <c r="C396" s="23">
        <f>Weekly_Inspections!$E396</f>
        <v>0</v>
      </c>
      <c r="D396" s="23">
        <f>Weekly_Inspections!$F396</f>
        <v>0</v>
      </c>
      <c r="E396" s="21" t="str">
        <f>Weekly_Inspections!$H396</f>
        <v/>
      </c>
      <c r="F396" s="23">
        <f>IF(Weekly_Inspections!$AX396&lt;&gt;"",Weekly_Inspections!$AX396,IF(Weekly_Inspections!$AY396&lt;&gt;"",Weekly_Inspections!$AY396,IF(Weekly_Inspections!$AZ396&lt;&gt;"",Weekly_Inspections!$AZ396,IF(Weekly_Inspections!$BA396&lt;&gt;"",Weekly_Inspections!$BA396,IF(Weekly_Inspections!$BB396&lt;&gt;"",Weekly_Inspections!$BB396,Weekly_Inspections!$R396)))))</f>
        <v>0</v>
      </c>
      <c r="G396" s="23" t="str">
        <f>IF(OR(Weekly_Inspections!$AQ396&lt;&gt;"",Weekly_Inspections!$AR396&lt;&gt;"",Weekly_Inspections!$AS396&lt;&gt;""),Weekly_Inspections!$AQ396,"")</f>
        <v/>
      </c>
      <c r="H396" s="23">
        <f>Weekly_Inspections!$AP396</f>
        <v>0</v>
      </c>
      <c r="I396" s="23">
        <f>Weekly_Inspections!$AR396</f>
        <v>0</v>
      </c>
      <c r="J396" s="23">
        <f>Weekly_Inspections!$AS396</f>
        <v>0</v>
      </c>
      <c r="K396" s="23">
        <f>Weekly_Inspections!$AU396</f>
        <v>0</v>
      </c>
      <c r="L396" s="22">
        <f>Weekly_Inspections!$AV396</f>
        <v>0</v>
      </c>
      <c r="M396" s="23" t="str">
        <f t="shared" si="18"/>
        <v>Open</v>
      </c>
      <c r="N396" s="22"/>
      <c r="O396" s="21">
        <f t="shared" ca="1" si="19"/>
        <v>46113</v>
      </c>
      <c r="P396" s="21" t="str">
        <f t="shared" ca="1" si="20"/>
        <v>YES</v>
      </c>
      <c r="Q396" s="23">
        <f>Weekly_Inspections!$AW396</f>
        <v>0</v>
      </c>
    </row>
    <row r="397" spans="1:17" ht="15" customHeight="1" x14ac:dyDescent="0.2">
      <c r="A397" s="21" t="str">
        <f>IF(Weekly_Inspections!$B397="","",Weekly_Inspections!$A397&amp;"-A1")</f>
        <v/>
      </c>
      <c r="B397" s="22">
        <f>Weekly_Inspections!$B397</f>
        <v>0</v>
      </c>
      <c r="C397" s="23">
        <f>Weekly_Inspections!$E397</f>
        <v>0</v>
      </c>
      <c r="D397" s="23">
        <f>Weekly_Inspections!$F397</f>
        <v>0</v>
      </c>
      <c r="E397" s="21" t="str">
        <f>Weekly_Inspections!$H397</f>
        <v/>
      </c>
      <c r="F397" s="23">
        <f>IF(Weekly_Inspections!$AX397&lt;&gt;"",Weekly_Inspections!$AX397,IF(Weekly_Inspections!$AY397&lt;&gt;"",Weekly_Inspections!$AY397,IF(Weekly_Inspections!$AZ397&lt;&gt;"",Weekly_Inspections!$AZ397,IF(Weekly_Inspections!$BA397&lt;&gt;"",Weekly_Inspections!$BA397,IF(Weekly_Inspections!$BB397&lt;&gt;"",Weekly_Inspections!$BB397,Weekly_Inspections!$R397)))))</f>
        <v>0</v>
      </c>
      <c r="G397" s="23" t="str">
        <f>IF(OR(Weekly_Inspections!$AQ397&lt;&gt;"",Weekly_Inspections!$AR397&lt;&gt;"",Weekly_Inspections!$AS397&lt;&gt;""),Weekly_Inspections!$AQ397,"")</f>
        <v/>
      </c>
      <c r="H397" s="23">
        <f>Weekly_Inspections!$AP397</f>
        <v>0</v>
      </c>
      <c r="I397" s="23">
        <f>Weekly_Inspections!$AR397</f>
        <v>0</v>
      </c>
      <c r="J397" s="23">
        <f>Weekly_Inspections!$AS397</f>
        <v>0</v>
      </c>
      <c r="K397" s="23">
        <f>Weekly_Inspections!$AU397</f>
        <v>0</v>
      </c>
      <c r="L397" s="22">
        <f>Weekly_Inspections!$AV397</f>
        <v>0</v>
      </c>
      <c r="M397" s="23" t="str">
        <f t="shared" si="18"/>
        <v>Open</v>
      </c>
      <c r="N397" s="22"/>
      <c r="O397" s="21">
        <f t="shared" ca="1" si="19"/>
        <v>46113</v>
      </c>
      <c r="P397" s="21" t="str">
        <f t="shared" ca="1" si="20"/>
        <v>YES</v>
      </c>
      <c r="Q397" s="23">
        <f>Weekly_Inspections!$AW397</f>
        <v>0</v>
      </c>
    </row>
    <row r="398" spans="1:17" ht="15" customHeight="1" x14ac:dyDescent="0.2">
      <c r="A398" s="21" t="str">
        <f>IF(Weekly_Inspections!$B398="","",Weekly_Inspections!$A398&amp;"-A1")</f>
        <v/>
      </c>
      <c r="B398" s="22">
        <f>Weekly_Inspections!$B398</f>
        <v>0</v>
      </c>
      <c r="C398" s="23">
        <f>Weekly_Inspections!$E398</f>
        <v>0</v>
      </c>
      <c r="D398" s="23">
        <f>Weekly_Inspections!$F398</f>
        <v>0</v>
      </c>
      <c r="E398" s="21" t="str">
        <f>Weekly_Inspections!$H398</f>
        <v/>
      </c>
      <c r="F398" s="23">
        <f>IF(Weekly_Inspections!$AX398&lt;&gt;"",Weekly_Inspections!$AX398,IF(Weekly_Inspections!$AY398&lt;&gt;"",Weekly_Inspections!$AY398,IF(Weekly_Inspections!$AZ398&lt;&gt;"",Weekly_Inspections!$AZ398,IF(Weekly_Inspections!$BA398&lt;&gt;"",Weekly_Inspections!$BA398,IF(Weekly_Inspections!$BB398&lt;&gt;"",Weekly_Inspections!$BB398,Weekly_Inspections!$R398)))))</f>
        <v>0</v>
      </c>
      <c r="G398" s="23" t="str">
        <f>IF(OR(Weekly_Inspections!$AQ398&lt;&gt;"",Weekly_Inspections!$AR398&lt;&gt;"",Weekly_Inspections!$AS398&lt;&gt;""),Weekly_Inspections!$AQ398,"")</f>
        <v/>
      </c>
      <c r="H398" s="23">
        <f>Weekly_Inspections!$AP398</f>
        <v>0</v>
      </c>
      <c r="I398" s="23">
        <f>Weekly_Inspections!$AR398</f>
        <v>0</v>
      </c>
      <c r="J398" s="23">
        <f>Weekly_Inspections!$AS398</f>
        <v>0</v>
      </c>
      <c r="K398" s="23">
        <f>Weekly_Inspections!$AU398</f>
        <v>0</v>
      </c>
      <c r="L398" s="22">
        <f>Weekly_Inspections!$AV398</f>
        <v>0</v>
      </c>
      <c r="M398" s="23" t="str">
        <f t="shared" si="18"/>
        <v>Open</v>
      </c>
      <c r="N398" s="22"/>
      <c r="O398" s="21">
        <f t="shared" ca="1" si="19"/>
        <v>46113</v>
      </c>
      <c r="P398" s="21" t="str">
        <f t="shared" ca="1" si="20"/>
        <v>YES</v>
      </c>
      <c r="Q398" s="23">
        <f>Weekly_Inspections!$AW398</f>
        <v>0</v>
      </c>
    </row>
    <row r="399" spans="1:17" ht="15" customHeight="1" x14ac:dyDescent="0.2">
      <c r="A399" s="21" t="str">
        <f>IF(Weekly_Inspections!$B399="","",Weekly_Inspections!$A399&amp;"-A1")</f>
        <v/>
      </c>
      <c r="B399" s="22">
        <f>Weekly_Inspections!$B399</f>
        <v>0</v>
      </c>
      <c r="C399" s="23">
        <f>Weekly_Inspections!$E399</f>
        <v>0</v>
      </c>
      <c r="D399" s="23">
        <f>Weekly_Inspections!$F399</f>
        <v>0</v>
      </c>
      <c r="E399" s="21" t="str">
        <f>Weekly_Inspections!$H399</f>
        <v/>
      </c>
      <c r="F399" s="23">
        <f>IF(Weekly_Inspections!$AX399&lt;&gt;"",Weekly_Inspections!$AX399,IF(Weekly_Inspections!$AY399&lt;&gt;"",Weekly_Inspections!$AY399,IF(Weekly_Inspections!$AZ399&lt;&gt;"",Weekly_Inspections!$AZ399,IF(Weekly_Inspections!$BA399&lt;&gt;"",Weekly_Inspections!$BA399,IF(Weekly_Inspections!$BB399&lt;&gt;"",Weekly_Inspections!$BB399,Weekly_Inspections!$R399)))))</f>
        <v>0</v>
      </c>
      <c r="G399" s="23" t="str">
        <f>IF(OR(Weekly_Inspections!$AQ399&lt;&gt;"",Weekly_Inspections!$AR399&lt;&gt;"",Weekly_Inspections!$AS399&lt;&gt;""),Weekly_Inspections!$AQ399,"")</f>
        <v/>
      </c>
      <c r="H399" s="23">
        <f>Weekly_Inspections!$AP399</f>
        <v>0</v>
      </c>
      <c r="I399" s="23">
        <f>Weekly_Inspections!$AR399</f>
        <v>0</v>
      </c>
      <c r="J399" s="23">
        <f>Weekly_Inspections!$AS399</f>
        <v>0</v>
      </c>
      <c r="K399" s="23">
        <f>Weekly_Inspections!$AU399</f>
        <v>0</v>
      </c>
      <c r="L399" s="22">
        <f>Weekly_Inspections!$AV399</f>
        <v>0</v>
      </c>
      <c r="M399" s="23" t="str">
        <f t="shared" si="18"/>
        <v>Open</v>
      </c>
      <c r="N399" s="22"/>
      <c r="O399" s="21">
        <f t="shared" ca="1" si="19"/>
        <v>46113</v>
      </c>
      <c r="P399" s="21" t="str">
        <f t="shared" ca="1" si="20"/>
        <v>YES</v>
      </c>
      <c r="Q399" s="23">
        <f>Weekly_Inspections!$AW399</f>
        <v>0</v>
      </c>
    </row>
    <row r="400" spans="1:17" ht="15" customHeight="1" x14ac:dyDescent="0.2">
      <c r="A400" s="21" t="str">
        <f>IF(Weekly_Inspections!$B400="","",Weekly_Inspections!$A400&amp;"-A1")</f>
        <v/>
      </c>
      <c r="B400" s="22">
        <f>Weekly_Inspections!$B400</f>
        <v>0</v>
      </c>
      <c r="C400" s="23">
        <f>Weekly_Inspections!$E400</f>
        <v>0</v>
      </c>
      <c r="D400" s="23">
        <f>Weekly_Inspections!$F400</f>
        <v>0</v>
      </c>
      <c r="E400" s="21" t="str">
        <f>Weekly_Inspections!$H400</f>
        <v/>
      </c>
      <c r="F400" s="23">
        <f>IF(Weekly_Inspections!$AX400&lt;&gt;"",Weekly_Inspections!$AX400,IF(Weekly_Inspections!$AY400&lt;&gt;"",Weekly_Inspections!$AY400,IF(Weekly_Inspections!$AZ400&lt;&gt;"",Weekly_Inspections!$AZ400,IF(Weekly_Inspections!$BA400&lt;&gt;"",Weekly_Inspections!$BA400,IF(Weekly_Inspections!$BB400&lt;&gt;"",Weekly_Inspections!$BB400,Weekly_Inspections!$R400)))))</f>
        <v>0</v>
      </c>
      <c r="G400" s="23" t="str">
        <f>IF(OR(Weekly_Inspections!$AQ400&lt;&gt;"",Weekly_Inspections!$AR400&lt;&gt;"",Weekly_Inspections!$AS400&lt;&gt;""),Weekly_Inspections!$AQ400,"")</f>
        <v/>
      </c>
      <c r="H400" s="23">
        <f>Weekly_Inspections!$AP400</f>
        <v>0</v>
      </c>
      <c r="I400" s="23">
        <f>Weekly_Inspections!$AR400</f>
        <v>0</v>
      </c>
      <c r="J400" s="23">
        <f>Weekly_Inspections!$AS400</f>
        <v>0</v>
      </c>
      <c r="K400" s="23">
        <f>Weekly_Inspections!$AU400</f>
        <v>0</v>
      </c>
      <c r="L400" s="22">
        <f>Weekly_Inspections!$AV400</f>
        <v>0</v>
      </c>
      <c r="M400" s="23" t="str">
        <f t="shared" si="18"/>
        <v>Open</v>
      </c>
      <c r="N400" s="22"/>
      <c r="O400" s="21">
        <f t="shared" ca="1" si="19"/>
        <v>46113</v>
      </c>
      <c r="P400" s="21" t="str">
        <f t="shared" ca="1" si="20"/>
        <v>YES</v>
      </c>
      <c r="Q400" s="23">
        <f>Weekly_Inspections!$AW400</f>
        <v>0</v>
      </c>
    </row>
    <row r="401" spans="1:17" ht="15" customHeight="1" x14ac:dyDescent="0.2">
      <c r="A401" s="21" t="str">
        <f>IF(Weekly_Inspections!$B401="","",Weekly_Inspections!$A401&amp;"-A1")</f>
        <v/>
      </c>
      <c r="B401" s="22">
        <f>Weekly_Inspections!$B401</f>
        <v>0</v>
      </c>
      <c r="C401" s="23">
        <f>Weekly_Inspections!$E401</f>
        <v>0</v>
      </c>
      <c r="D401" s="23">
        <f>Weekly_Inspections!$F401</f>
        <v>0</v>
      </c>
      <c r="E401" s="21" t="str">
        <f>Weekly_Inspections!$H401</f>
        <v/>
      </c>
      <c r="F401" s="23">
        <f>IF(Weekly_Inspections!$AX401&lt;&gt;"",Weekly_Inspections!$AX401,IF(Weekly_Inspections!$AY401&lt;&gt;"",Weekly_Inspections!$AY401,IF(Weekly_Inspections!$AZ401&lt;&gt;"",Weekly_Inspections!$AZ401,IF(Weekly_Inspections!$BA401&lt;&gt;"",Weekly_Inspections!$BA401,IF(Weekly_Inspections!$BB401&lt;&gt;"",Weekly_Inspections!$BB401,Weekly_Inspections!$R401)))))</f>
        <v>0</v>
      </c>
      <c r="G401" s="23" t="str">
        <f>IF(OR(Weekly_Inspections!$AQ401&lt;&gt;"",Weekly_Inspections!$AR401&lt;&gt;"",Weekly_Inspections!$AS401&lt;&gt;""),Weekly_Inspections!$AQ401,"")</f>
        <v/>
      </c>
      <c r="H401" s="23">
        <f>Weekly_Inspections!$AP401</f>
        <v>0</v>
      </c>
      <c r="I401" s="23">
        <f>Weekly_Inspections!$AR401</f>
        <v>0</v>
      </c>
      <c r="J401" s="23">
        <f>Weekly_Inspections!$AS401</f>
        <v>0</v>
      </c>
      <c r="K401" s="23">
        <f>Weekly_Inspections!$AU401</f>
        <v>0</v>
      </c>
      <c r="L401" s="22">
        <f>Weekly_Inspections!$AV401</f>
        <v>0</v>
      </c>
      <c r="M401" s="23" t="str">
        <f t="shared" si="18"/>
        <v>Open</v>
      </c>
      <c r="N401" s="22"/>
      <c r="O401" s="21">
        <f t="shared" ca="1" si="19"/>
        <v>46113</v>
      </c>
      <c r="P401" s="21" t="str">
        <f t="shared" ca="1" si="20"/>
        <v>YES</v>
      </c>
      <c r="Q401" s="23">
        <f>Weekly_Inspections!$AW401</f>
        <v>0</v>
      </c>
    </row>
    <row r="402" spans="1:17" ht="15" customHeight="1" x14ac:dyDescent="0.2">
      <c r="A402" s="21" t="str">
        <f>IF(Weekly_Inspections!$B402="","",Weekly_Inspections!$A402&amp;"-A1")</f>
        <v/>
      </c>
      <c r="B402" s="22">
        <f>Weekly_Inspections!$B402</f>
        <v>0</v>
      </c>
      <c r="C402" s="23">
        <f>Weekly_Inspections!$E402</f>
        <v>0</v>
      </c>
      <c r="D402" s="23">
        <f>Weekly_Inspections!$F402</f>
        <v>0</v>
      </c>
      <c r="E402" s="21" t="str">
        <f>Weekly_Inspections!$H402</f>
        <v/>
      </c>
      <c r="F402" s="23">
        <f>IF(Weekly_Inspections!$AX402&lt;&gt;"",Weekly_Inspections!$AX402,IF(Weekly_Inspections!$AY402&lt;&gt;"",Weekly_Inspections!$AY402,IF(Weekly_Inspections!$AZ402&lt;&gt;"",Weekly_Inspections!$AZ402,IF(Weekly_Inspections!$BA402&lt;&gt;"",Weekly_Inspections!$BA402,IF(Weekly_Inspections!$BB402&lt;&gt;"",Weekly_Inspections!$BB402,Weekly_Inspections!$R402)))))</f>
        <v>0</v>
      </c>
      <c r="G402" s="23" t="str">
        <f>IF(OR(Weekly_Inspections!$AQ402&lt;&gt;"",Weekly_Inspections!$AR402&lt;&gt;"",Weekly_Inspections!$AS402&lt;&gt;""),Weekly_Inspections!$AQ402,"")</f>
        <v/>
      </c>
      <c r="H402" s="23">
        <f>Weekly_Inspections!$AP402</f>
        <v>0</v>
      </c>
      <c r="I402" s="23">
        <f>Weekly_Inspections!$AR402</f>
        <v>0</v>
      </c>
      <c r="J402" s="23">
        <f>Weekly_Inspections!$AS402</f>
        <v>0</v>
      </c>
      <c r="K402" s="23">
        <f>Weekly_Inspections!$AU402</f>
        <v>0</v>
      </c>
      <c r="L402" s="22">
        <f>Weekly_Inspections!$AV402</f>
        <v>0</v>
      </c>
      <c r="M402" s="23" t="str">
        <f t="shared" si="18"/>
        <v>Open</v>
      </c>
      <c r="N402" s="22"/>
      <c r="O402" s="21">
        <f t="shared" ca="1" si="19"/>
        <v>46113</v>
      </c>
      <c r="P402" s="21" t="str">
        <f t="shared" ca="1" si="20"/>
        <v>YES</v>
      </c>
      <c r="Q402" s="23">
        <f>Weekly_Inspections!$AW402</f>
        <v>0</v>
      </c>
    </row>
    <row r="403" spans="1:17" ht="15" customHeight="1" x14ac:dyDescent="0.2">
      <c r="A403" s="21" t="str">
        <f>IF(Weekly_Inspections!$B403="","",Weekly_Inspections!$A403&amp;"-A1")</f>
        <v/>
      </c>
      <c r="B403" s="22">
        <f>Weekly_Inspections!$B403</f>
        <v>0</v>
      </c>
      <c r="C403" s="23">
        <f>Weekly_Inspections!$E403</f>
        <v>0</v>
      </c>
      <c r="D403" s="23">
        <f>Weekly_Inspections!$F403</f>
        <v>0</v>
      </c>
      <c r="E403" s="21" t="str">
        <f>Weekly_Inspections!$H403</f>
        <v/>
      </c>
      <c r="F403" s="23">
        <f>IF(Weekly_Inspections!$AX403&lt;&gt;"",Weekly_Inspections!$AX403,IF(Weekly_Inspections!$AY403&lt;&gt;"",Weekly_Inspections!$AY403,IF(Weekly_Inspections!$AZ403&lt;&gt;"",Weekly_Inspections!$AZ403,IF(Weekly_Inspections!$BA403&lt;&gt;"",Weekly_Inspections!$BA403,IF(Weekly_Inspections!$BB403&lt;&gt;"",Weekly_Inspections!$BB403,Weekly_Inspections!$R403)))))</f>
        <v>0</v>
      </c>
      <c r="G403" s="23" t="str">
        <f>IF(OR(Weekly_Inspections!$AQ403&lt;&gt;"",Weekly_Inspections!$AR403&lt;&gt;"",Weekly_Inspections!$AS403&lt;&gt;""),Weekly_Inspections!$AQ403,"")</f>
        <v/>
      </c>
      <c r="H403" s="23">
        <f>Weekly_Inspections!$AP403</f>
        <v>0</v>
      </c>
      <c r="I403" s="23">
        <f>Weekly_Inspections!$AR403</f>
        <v>0</v>
      </c>
      <c r="J403" s="23">
        <f>Weekly_Inspections!$AS403</f>
        <v>0</v>
      </c>
      <c r="K403" s="23">
        <f>Weekly_Inspections!$AU403</f>
        <v>0</v>
      </c>
      <c r="L403" s="22">
        <f>Weekly_Inspections!$AV403</f>
        <v>0</v>
      </c>
      <c r="M403" s="23" t="str">
        <f t="shared" si="18"/>
        <v>Open</v>
      </c>
      <c r="N403" s="22"/>
      <c r="O403" s="21">
        <f t="shared" ca="1" si="19"/>
        <v>46113</v>
      </c>
      <c r="P403" s="21" t="str">
        <f t="shared" ca="1" si="20"/>
        <v>YES</v>
      </c>
      <c r="Q403" s="23">
        <f>Weekly_Inspections!$AW403</f>
        <v>0</v>
      </c>
    </row>
    <row r="404" spans="1:17" ht="15" customHeight="1" x14ac:dyDescent="0.2">
      <c r="A404" s="21" t="str">
        <f>IF(Weekly_Inspections!$B404="","",Weekly_Inspections!$A404&amp;"-A1")</f>
        <v/>
      </c>
      <c r="B404" s="22">
        <f>Weekly_Inspections!$B404</f>
        <v>0</v>
      </c>
      <c r="C404" s="23">
        <f>Weekly_Inspections!$E404</f>
        <v>0</v>
      </c>
      <c r="D404" s="23">
        <f>Weekly_Inspections!$F404</f>
        <v>0</v>
      </c>
      <c r="E404" s="21" t="str">
        <f>Weekly_Inspections!$H404</f>
        <v/>
      </c>
      <c r="F404" s="23">
        <f>IF(Weekly_Inspections!$AX404&lt;&gt;"",Weekly_Inspections!$AX404,IF(Weekly_Inspections!$AY404&lt;&gt;"",Weekly_Inspections!$AY404,IF(Weekly_Inspections!$AZ404&lt;&gt;"",Weekly_Inspections!$AZ404,IF(Weekly_Inspections!$BA404&lt;&gt;"",Weekly_Inspections!$BA404,IF(Weekly_Inspections!$BB404&lt;&gt;"",Weekly_Inspections!$BB404,Weekly_Inspections!$R404)))))</f>
        <v>0</v>
      </c>
      <c r="G404" s="23" t="str">
        <f>IF(OR(Weekly_Inspections!$AQ404&lt;&gt;"",Weekly_Inspections!$AR404&lt;&gt;"",Weekly_Inspections!$AS404&lt;&gt;""),Weekly_Inspections!$AQ404,"")</f>
        <v/>
      </c>
      <c r="H404" s="23">
        <f>Weekly_Inspections!$AP404</f>
        <v>0</v>
      </c>
      <c r="I404" s="23">
        <f>Weekly_Inspections!$AR404</f>
        <v>0</v>
      </c>
      <c r="J404" s="23">
        <f>Weekly_Inspections!$AS404</f>
        <v>0</v>
      </c>
      <c r="K404" s="23">
        <f>Weekly_Inspections!$AU404</f>
        <v>0</v>
      </c>
      <c r="L404" s="22">
        <f>Weekly_Inspections!$AV404</f>
        <v>0</v>
      </c>
      <c r="M404" s="23" t="str">
        <f t="shared" si="18"/>
        <v>Open</v>
      </c>
      <c r="N404" s="22"/>
      <c r="O404" s="21">
        <f t="shared" ca="1" si="19"/>
        <v>46113</v>
      </c>
      <c r="P404" s="21" t="str">
        <f t="shared" ca="1" si="20"/>
        <v>YES</v>
      </c>
      <c r="Q404" s="23">
        <f>Weekly_Inspections!$AW404</f>
        <v>0</v>
      </c>
    </row>
    <row r="405" spans="1:17" ht="15" customHeight="1" x14ac:dyDescent="0.2">
      <c r="A405" s="21" t="str">
        <f>IF(Weekly_Inspections!$B405="","",Weekly_Inspections!$A405&amp;"-A1")</f>
        <v/>
      </c>
      <c r="B405" s="22">
        <f>Weekly_Inspections!$B405</f>
        <v>0</v>
      </c>
      <c r="C405" s="23">
        <f>Weekly_Inspections!$E405</f>
        <v>0</v>
      </c>
      <c r="D405" s="23">
        <f>Weekly_Inspections!$F405</f>
        <v>0</v>
      </c>
      <c r="E405" s="21" t="str">
        <f>Weekly_Inspections!$H405</f>
        <v/>
      </c>
      <c r="F405" s="23">
        <f>IF(Weekly_Inspections!$AX405&lt;&gt;"",Weekly_Inspections!$AX405,IF(Weekly_Inspections!$AY405&lt;&gt;"",Weekly_Inspections!$AY405,IF(Weekly_Inspections!$AZ405&lt;&gt;"",Weekly_Inspections!$AZ405,IF(Weekly_Inspections!$BA405&lt;&gt;"",Weekly_Inspections!$BA405,IF(Weekly_Inspections!$BB405&lt;&gt;"",Weekly_Inspections!$BB405,Weekly_Inspections!$R405)))))</f>
        <v>0</v>
      </c>
      <c r="G405" s="23" t="str">
        <f>IF(OR(Weekly_Inspections!$AQ405&lt;&gt;"",Weekly_Inspections!$AR405&lt;&gt;"",Weekly_Inspections!$AS405&lt;&gt;""),Weekly_Inspections!$AQ405,"")</f>
        <v/>
      </c>
      <c r="H405" s="23">
        <f>Weekly_Inspections!$AP405</f>
        <v>0</v>
      </c>
      <c r="I405" s="23">
        <f>Weekly_Inspections!$AR405</f>
        <v>0</v>
      </c>
      <c r="J405" s="23">
        <f>Weekly_Inspections!$AS405</f>
        <v>0</v>
      </c>
      <c r="K405" s="23">
        <f>Weekly_Inspections!$AU405</f>
        <v>0</v>
      </c>
      <c r="L405" s="22">
        <f>Weekly_Inspections!$AV405</f>
        <v>0</v>
      </c>
      <c r="M405" s="23" t="str">
        <f t="shared" si="18"/>
        <v>Open</v>
      </c>
      <c r="N405" s="22"/>
      <c r="O405" s="21">
        <f t="shared" ca="1" si="19"/>
        <v>46113</v>
      </c>
      <c r="P405" s="21" t="str">
        <f t="shared" ca="1" si="20"/>
        <v>YES</v>
      </c>
      <c r="Q405" s="23">
        <f>Weekly_Inspections!$AW405</f>
        <v>0</v>
      </c>
    </row>
    <row r="406" spans="1:17" ht="15" customHeight="1" x14ac:dyDescent="0.2">
      <c r="A406" s="21" t="str">
        <f>IF(Weekly_Inspections!$B406="","",Weekly_Inspections!$A406&amp;"-A1")</f>
        <v/>
      </c>
      <c r="B406" s="22">
        <f>Weekly_Inspections!$B406</f>
        <v>0</v>
      </c>
      <c r="C406" s="23">
        <f>Weekly_Inspections!$E406</f>
        <v>0</v>
      </c>
      <c r="D406" s="23">
        <f>Weekly_Inspections!$F406</f>
        <v>0</v>
      </c>
      <c r="E406" s="21" t="str">
        <f>Weekly_Inspections!$H406</f>
        <v/>
      </c>
      <c r="F406" s="23">
        <f>IF(Weekly_Inspections!$AX406&lt;&gt;"",Weekly_Inspections!$AX406,IF(Weekly_Inspections!$AY406&lt;&gt;"",Weekly_Inspections!$AY406,IF(Weekly_Inspections!$AZ406&lt;&gt;"",Weekly_Inspections!$AZ406,IF(Weekly_Inspections!$BA406&lt;&gt;"",Weekly_Inspections!$BA406,IF(Weekly_Inspections!$BB406&lt;&gt;"",Weekly_Inspections!$BB406,Weekly_Inspections!$R406)))))</f>
        <v>0</v>
      </c>
      <c r="G406" s="23" t="str">
        <f>IF(OR(Weekly_Inspections!$AQ406&lt;&gt;"",Weekly_Inspections!$AR406&lt;&gt;"",Weekly_Inspections!$AS406&lt;&gt;""),Weekly_Inspections!$AQ406,"")</f>
        <v/>
      </c>
      <c r="H406" s="23">
        <f>Weekly_Inspections!$AP406</f>
        <v>0</v>
      </c>
      <c r="I406" s="23">
        <f>Weekly_Inspections!$AR406</f>
        <v>0</v>
      </c>
      <c r="J406" s="23">
        <f>Weekly_Inspections!$AS406</f>
        <v>0</v>
      </c>
      <c r="K406" s="23">
        <f>Weekly_Inspections!$AU406</f>
        <v>0</v>
      </c>
      <c r="L406" s="22">
        <f>Weekly_Inspections!$AV406</f>
        <v>0</v>
      </c>
      <c r="M406" s="23" t="str">
        <f t="shared" si="18"/>
        <v>Open</v>
      </c>
      <c r="N406" s="22"/>
      <c r="O406" s="21">
        <f t="shared" ca="1" si="19"/>
        <v>46113</v>
      </c>
      <c r="P406" s="21" t="str">
        <f t="shared" ca="1" si="20"/>
        <v>YES</v>
      </c>
      <c r="Q406" s="23">
        <f>Weekly_Inspections!$AW406</f>
        <v>0</v>
      </c>
    </row>
    <row r="407" spans="1:17" ht="15" customHeight="1" x14ac:dyDescent="0.2">
      <c r="A407" s="21" t="str">
        <f>IF(Weekly_Inspections!$B407="","",Weekly_Inspections!$A407&amp;"-A1")</f>
        <v/>
      </c>
      <c r="B407" s="22">
        <f>Weekly_Inspections!$B407</f>
        <v>0</v>
      </c>
      <c r="C407" s="23">
        <f>Weekly_Inspections!$E407</f>
        <v>0</v>
      </c>
      <c r="D407" s="23">
        <f>Weekly_Inspections!$F407</f>
        <v>0</v>
      </c>
      <c r="E407" s="21" t="str">
        <f>Weekly_Inspections!$H407</f>
        <v/>
      </c>
      <c r="F407" s="23">
        <f>IF(Weekly_Inspections!$AX407&lt;&gt;"",Weekly_Inspections!$AX407,IF(Weekly_Inspections!$AY407&lt;&gt;"",Weekly_Inspections!$AY407,IF(Weekly_Inspections!$AZ407&lt;&gt;"",Weekly_Inspections!$AZ407,IF(Weekly_Inspections!$BA407&lt;&gt;"",Weekly_Inspections!$BA407,IF(Weekly_Inspections!$BB407&lt;&gt;"",Weekly_Inspections!$BB407,Weekly_Inspections!$R407)))))</f>
        <v>0</v>
      </c>
      <c r="G407" s="23" t="str">
        <f>IF(OR(Weekly_Inspections!$AQ407&lt;&gt;"",Weekly_Inspections!$AR407&lt;&gt;"",Weekly_Inspections!$AS407&lt;&gt;""),Weekly_Inspections!$AQ407,"")</f>
        <v/>
      </c>
      <c r="H407" s="23">
        <f>Weekly_Inspections!$AP407</f>
        <v>0</v>
      </c>
      <c r="I407" s="23">
        <f>Weekly_Inspections!$AR407</f>
        <v>0</v>
      </c>
      <c r="J407" s="23">
        <f>Weekly_Inspections!$AS407</f>
        <v>0</v>
      </c>
      <c r="K407" s="23">
        <f>Weekly_Inspections!$AU407</f>
        <v>0</v>
      </c>
      <c r="L407" s="22">
        <f>Weekly_Inspections!$AV407</f>
        <v>0</v>
      </c>
      <c r="M407" s="23" t="str">
        <f t="shared" si="18"/>
        <v>Open</v>
      </c>
      <c r="N407" s="22"/>
      <c r="O407" s="21">
        <f t="shared" ca="1" si="19"/>
        <v>46113</v>
      </c>
      <c r="P407" s="21" t="str">
        <f t="shared" ca="1" si="20"/>
        <v>YES</v>
      </c>
      <c r="Q407" s="23">
        <f>Weekly_Inspections!$AW407</f>
        <v>0</v>
      </c>
    </row>
    <row r="408" spans="1:17" ht="15" customHeight="1" x14ac:dyDescent="0.2">
      <c r="A408" s="21" t="str">
        <f>IF(Weekly_Inspections!$B408="","",Weekly_Inspections!$A408&amp;"-A1")</f>
        <v/>
      </c>
      <c r="B408" s="22">
        <f>Weekly_Inspections!$B408</f>
        <v>0</v>
      </c>
      <c r="C408" s="23">
        <f>Weekly_Inspections!$E408</f>
        <v>0</v>
      </c>
      <c r="D408" s="23">
        <f>Weekly_Inspections!$F408</f>
        <v>0</v>
      </c>
      <c r="E408" s="21" t="str">
        <f>Weekly_Inspections!$H408</f>
        <v/>
      </c>
      <c r="F408" s="23">
        <f>IF(Weekly_Inspections!$AX408&lt;&gt;"",Weekly_Inspections!$AX408,IF(Weekly_Inspections!$AY408&lt;&gt;"",Weekly_Inspections!$AY408,IF(Weekly_Inspections!$AZ408&lt;&gt;"",Weekly_Inspections!$AZ408,IF(Weekly_Inspections!$BA408&lt;&gt;"",Weekly_Inspections!$BA408,IF(Weekly_Inspections!$BB408&lt;&gt;"",Weekly_Inspections!$BB408,Weekly_Inspections!$R408)))))</f>
        <v>0</v>
      </c>
      <c r="G408" s="23" t="str">
        <f>IF(OR(Weekly_Inspections!$AQ408&lt;&gt;"",Weekly_Inspections!$AR408&lt;&gt;"",Weekly_Inspections!$AS408&lt;&gt;""),Weekly_Inspections!$AQ408,"")</f>
        <v/>
      </c>
      <c r="H408" s="23">
        <f>Weekly_Inspections!$AP408</f>
        <v>0</v>
      </c>
      <c r="I408" s="23">
        <f>Weekly_Inspections!$AR408</f>
        <v>0</v>
      </c>
      <c r="J408" s="23">
        <f>Weekly_Inspections!$AS408</f>
        <v>0</v>
      </c>
      <c r="K408" s="23">
        <f>Weekly_Inspections!$AU408</f>
        <v>0</v>
      </c>
      <c r="L408" s="22">
        <f>Weekly_Inspections!$AV408</f>
        <v>0</v>
      </c>
      <c r="M408" s="23" t="str">
        <f t="shared" si="18"/>
        <v>Open</v>
      </c>
      <c r="N408" s="22"/>
      <c r="O408" s="21">
        <f t="shared" ca="1" si="19"/>
        <v>46113</v>
      </c>
      <c r="P408" s="21" t="str">
        <f t="shared" ca="1" si="20"/>
        <v>YES</v>
      </c>
      <c r="Q408" s="23">
        <f>Weekly_Inspections!$AW408</f>
        <v>0</v>
      </c>
    </row>
    <row r="409" spans="1:17" ht="15" customHeight="1" x14ac:dyDescent="0.2">
      <c r="A409" s="21" t="str">
        <f>IF(Weekly_Inspections!$B409="","",Weekly_Inspections!$A409&amp;"-A1")</f>
        <v/>
      </c>
      <c r="B409" s="22">
        <f>Weekly_Inspections!$B409</f>
        <v>0</v>
      </c>
      <c r="C409" s="23">
        <f>Weekly_Inspections!$E409</f>
        <v>0</v>
      </c>
      <c r="D409" s="23">
        <f>Weekly_Inspections!$F409</f>
        <v>0</v>
      </c>
      <c r="E409" s="21" t="str">
        <f>Weekly_Inspections!$H409</f>
        <v/>
      </c>
      <c r="F409" s="23">
        <f>IF(Weekly_Inspections!$AX409&lt;&gt;"",Weekly_Inspections!$AX409,IF(Weekly_Inspections!$AY409&lt;&gt;"",Weekly_Inspections!$AY409,IF(Weekly_Inspections!$AZ409&lt;&gt;"",Weekly_Inspections!$AZ409,IF(Weekly_Inspections!$BA409&lt;&gt;"",Weekly_Inspections!$BA409,IF(Weekly_Inspections!$BB409&lt;&gt;"",Weekly_Inspections!$BB409,Weekly_Inspections!$R409)))))</f>
        <v>0</v>
      </c>
      <c r="G409" s="23" t="str">
        <f>IF(OR(Weekly_Inspections!$AQ409&lt;&gt;"",Weekly_Inspections!$AR409&lt;&gt;"",Weekly_Inspections!$AS409&lt;&gt;""),Weekly_Inspections!$AQ409,"")</f>
        <v/>
      </c>
      <c r="H409" s="23">
        <f>Weekly_Inspections!$AP409</f>
        <v>0</v>
      </c>
      <c r="I409" s="23">
        <f>Weekly_Inspections!$AR409</f>
        <v>0</v>
      </c>
      <c r="J409" s="23">
        <f>Weekly_Inspections!$AS409</f>
        <v>0</v>
      </c>
      <c r="K409" s="23">
        <f>Weekly_Inspections!$AU409</f>
        <v>0</v>
      </c>
      <c r="L409" s="22">
        <f>Weekly_Inspections!$AV409</f>
        <v>0</v>
      </c>
      <c r="M409" s="23" t="str">
        <f t="shared" si="18"/>
        <v>Open</v>
      </c>
      <c r="N409" s="22"/>
      <c r="O409" s="21">
        <f t="shared" ca="1" si="19"/>
        <v>46113</v>
      </c>
      <c r="P409" s="21" t="str">
        <f t="shared" ca="1" si="20"/>
        <v>YES</v>
      </c>
      <c r="Q409" s="23">
        <f>Weekly_Inspections!$AW409</f>
        <v>0</v>
      </c>
    </row>
    <row r="410" spans="1:17" ht="15" customHeight="1" x14ac:dyDescent="0.2">
      <c r="A410" s="21" t="str">
        <f>IF(Weekly_Inspections!$B410="","",Weekly_Inspections!$A410&amp;"-A1")</f>
        <v/>
      </c>
      <c r="B410" s="22">
        <f>Weekly_Inspections!$B410</f>
        <v>0</v>
      </c>
      <c r="C410" s="23">
        <f>Weekly_Inspections!$E410</f>
        <v>0</v>
      </c>
      <c r="D410" s="23">
        <f>Weekly_Inspections!$F410</f>
        <v>0</v>
      </c>
      <c r="E410" s="21" t="str">
        <f>Weekly_Inspections!$H410</f>
        <v/>
      </c>
      <c r="F410" s="23">
        <f>IF(Weekly_Inspections!$AX410&lt;&gt;"",Weekly_Inspections!$AX410,IF(Weekly_Inspections!$AY410&lt;&gt;"",Weekly_Inspections!$AY410,IF(Weekly_Inspections!$AZ410&lt;&gt;"",Weekly_Inspections!$AZ410,IF(Weekly_Inspections!$BA410&lt;&gt;"",Weekly_Inspections!$BA410,IF(Weekly_Inspections!$BB410&lt;&gt;"",Weekly_Inspections!$BB410,Weekly_Inspections!$R410)))))</f>
        <v>0</v>
      </c>
      <c r="G410" s="23" t="str">
        <f>IF(OR(Weekly_Inspections!$AQ410&lt;&gt;"",Weekly_Inspections!$AR410&lt;&gt;"",Weekly_Inspections!$AS410&lt;&gt;""),Weekly_Inspections!$AQ410,"")</f>
        <v/>
      </c>
      <c r="H410" s="23">
        <f>Weekly_Inspections!$AP410</f>
        <v>0</v>
      </c>
      <c r="I410" s="23">
        <f>Weekly_Inspections!$AR410</f>
        <v>0</v>
      </c>
      <c r="J410" s="23">
        <f>Weekly_Inspections!$AS410</f>
        <v>0</v>
      </c>
      <c r="K410" s="23">
        <f>Weekly_Inspections!$AU410</f>
        <v>0</v>
      </c>
      <c r="L410" s="22">
        <f>Weekly_Inspections!$AV410</f>
        <v>0</v>
      </c>
      <c r="M410" s="23" t="str">
        <f t="shared" si="18"/>
        <v>Open</v>
      </c>
      <c r="N410" s="22"/>
      <c r="O410" s="21">
        <f t="shared" ca="1" si="19"/>
        <v>46113</v>
      </c>
      <c r="P410" s="21" t="str">
        <f t="shared" ca="1" si="20"/>
        <v>YES</v>
      </c>
      <c r="Q410" s="23">
        <f>Weekly_Inspections!$AW410</f>
        <v>0</v>
      </c>
    </row>
    <row r="411" spans="1:17" ht="15" customHeight="1" x14ac:dyDescent="0.2">
      <c r="A411" s="21" t="str">
        <f>IF(Weekly_Inspections!$B411="","",Weekly_Inspections!$A411&amp;"-A1")</f>
        <v/>
      </c>
      <c r="B411" s="22">
        <f>Weekly_Inspections!$B411</f>
        <v>0</v>
      </c>
      <c r="C411" s="23">
        <f>Weekly_Inspections!$E411</f>
        <v>0</v>
      </c>
      <c r="D411" s="23">
        <f>Weekly_Inspections!$F411</f>
        <v>0</v>
      </c>
      <c r="E411" s="21" t="str">
        <f>Weekly_Inspections!$H411</f>
        <v/>
      </c>
      <c r="F411" s="23">
        <f>IF(Weekly_Inspections!$AX411&lt;&gt;"",Weekly_Inspections!$AX411,IF(Weekly_Inspections!$AY411&lt;&gt;"",Weekly_Inspections!$AY411,IF(Weekly_Inspections!$AZ411&lt;&gt;"",Weekly_Inspections!$AZ411,IF(Weekly_Inspections!$BA411&lt;&gt;"",Weekly_Inspections!$BA411,IF(Weekly_Inspections!$BB411&lt;&gt;"",Weekly_Inspections!$BB411,Weekly_Inspections!$R411)))))</f>
        <v>0</v>
      </c>
      <c r="G411" s="23" t="str">
        <f>IF(OR(Weekly_Inspections!$AQ411&lt;&gt;"",Weekly_Inspections!$AR411&lt;&gt;"",Weekly_Inspections!$AS411&lt;&gt;""),Weekly_Inspections!$AQ411,"")</f>
        <v/>
      </c>
      <c r="H411" s="23">
        <f>Weekly_Inspections!$AP411</f>
        <v>0</v>
      </c>
      <c r="I411" s="23">
        <f>Weekly_Inspections!$AR411</f>
        <v>0</v>
      </c>
      <c r="J411" s="23">
        <f>Weekly_Inspections!$AS411</f>
        <v>0</v>
      </c>
      <c r="K411" s="23">
        <f>Weekly_Inspections!$AU411</f>
        <v>0</v>
      </c>
      <c r="L411" s="22">
        <f>Weekly_Inspections!$AV411</f>
        <v>0</v>
      </c>
      <c r="M411" s="23" t="str">
        <f t="shared" si="18"/>
        <v>Open</v>
      </c>
      <c r="N411" s="22"/>
      <c r="O411" s="21">
        <f t="shared" ca="1" si="19"/>
        <v>46113</v>
      </c>
      <c r="P411" s="21" t="str">
        <f t="shared" ca="1" si="20"/>
        <v>YES</v>
      </c>
      <c r="Q411" s="23">
        <f>Weekly_Inspections!$AW411</f>
        <v>0</v>
      </c>
    </row>
    <row r="412" spans="1:17" ht="15" customHeight="1" x14ac:dyDescent="0.2">
      <c r="A412" s="21" t="str">
        <f>IF(Weekly_Inspections!$B412="","",Weekly_Inspections!$A412&amp;"-A1")</f>
        <v/>
      </c>
      <c r="B412" s="22">
        <f>Weekly_Inspections!$B412</f>
        <v>0</v>
      </c>
      <c r="C412" s="23">
        <f>Weekly_Inspections!$E412</f>
        <v>0</v>
      </c>
      <c r="D412" s="23">
        <f>Weekly_Inspections!$F412</f>
        <v>0</v>
      </c>
      <c r="E412" s="21" t="str">
        <f>Weekly_Inspections!$H412</f>
        <v/>
      </c>
      <c r="F412" s="23">
        <f>IF(Weekly_Inspections!$AX412&lt;&gt;"",Weekly_Inspections!$AX412,IF(Weekly_Inspections!$AY412&lt;&gt;"",Weekly_Inspections!$AY412,IF(Weekly_Inspections!$AZ412&lt;&gt;"",Weekly_Inspections!$AZ412,IF(Weekly_Inspections!$BA412&lt;&gt;"",Weekly_Inspections!$BA412,IF(Weekly_Inspections!$BB412&lt;&gt;"",Weekly_Inspections!$BB412,Weekly_Inspections!$R412)))))</f>
        <v>0</v>
      </c>
      <c r="G412" s="23" t="str">
        <f>IF(OR(Weekly_Inspections!$AQ412&lt;&gt;"",Weekly_Inspections!$AR412&lt;&gt;"",Weekly_Inspections!$AS412&lt;&gt;""),Weekly_Inspections!$AQ412,"")</f>
        <v/>
      </c>
      <c r="H412" s="23">
        <f>Weekly_Inspections!$AP412</f>
        <v>0</v>
      </c>
      <c r="I412" s="23">
        <f>Weekly_Inspections!$AR412</f>
        <v>0</v>
      </c>
      <c r="J412" s="23">
        <f>Weekly_Inspections!$AS412</f>
        <v>0</v>
      </c>
      <c r="K412" s="23">
        <f>Weekly_Inspections!$AU412</f>
        <v>0</v>
      </c>
      <c r="L412" s="22">
        <f>Weekly_Inspections!$AV412</f>
        <v>0</v>
      </c>
      <c r="M412" s="23" t="str">
        <f t="shared" si="18"/>
        <v>Open</v>
      </c>
      <c r="N412" s="22"/>
      <c r="O412" s="21">
        <f t="shared" ca="1" si="19"/>
        <v>46113</v>
      </c>
      <c r="P412" s="21" t="str">
        <f t="shared" ca="1" si="20"/>
        <v>YES</v>
      </c>
      <c r="Q412" s="23">
        <f>Weekly_Inspections!$AW412</f>
        <v>0</v>
      </c>
    </row>
    <row r="413" spans="1:17" ht="15" customHeight="1" x14ac:dyDescent="0.2">
      <c r="A413" s="21" t="str">
        <f>IF(Weekly_Inspections!$B413="","",Weekly_Inspections!$A413&amp;"-A1")</f>
        <v/>
      </c>
      <c r="B413" s="22">
        <f>Weekly_Inspections!$B413</f>
        <v>0</v>
      </c>
      <c r="C413" s="23">
        <f>Weekly_Inspections!$E413</f>
        <v>0</v>
      </c>
      <c r="D413" s="23">
        <f>Weekly_Inspections!$F413</f>
        <v>0</v>
      </c>
      <c r="E413" s="21" t="str">
        <f>Weekly_Inspections!$H413</f>
        <v/>
      </c>
      <c r="F413" s="23">
        <f>IF(Weekly_Inspections!$AX413&lt;&gt;"",Weekly_Inspections!$AX413,IF(Weekly_Inspections!$AY413&lt;&gt;"",Weekly_Inspections!$AY413,IF(Weekly_Inspections!$AZ413&lt;&gt;"",Weekly_Inspections!$AZ413,IF(Weekly_Inspections!$BA413&lt;&gt;"",Weekly_Inspections!$BA413,IF(Weekly_Inspections!$BB413&lt;&gt;"",Weekly_Inspections!$BB413,Weekly_Inspections!$R413)))))</f>
        <v>0</v>
      </c>
      <c r="G413" s="23" t="str">
        <f>IF(OR(Weekly_Inspections!$AQ413&lt;&gt;"",Weekly_Inspections!$AR413&lt;&gt;"",Weekly_Inspections!$AS413&lt;&gt;""),Weekly_Inspections!$AQ413,"")</f>
        <v/>
      </c>
      <c r="H413" s="23">
        <f>Weekly_Inspections!$AP413</f>
        <v>0</v>
      </c>
      <c r="I413" s="23">
        <f>Weekly_Inspections!$AR413</f>
        <v>0</v>
      </c>
      <c r="J413" s="23">
        <f>Weekly_Inspections!$AS413</f>
        <v>0</v>
      </c>
      <c r="K413" s="23">
        <f>Weekly_Inspections!$AU413</f>
        <v>0</v>
      </c>
      <c r="L413" s="22">
        <f>Weekly_Inspections!$AV413</f>
        <v>0</v>
      </c>
      <c r="M413" s="23" t="str">
        <f t="shared" si="18"/>
        <v>Open</v>
      </c>
      <c r="N413" s="22"/>
      <c r="O413" s="21">
        <f t="shared" ca="1" si="19"/>
        <v>46113</v>
      </c>
      <c r="P413" s="21" t="str">
        <f t="shared" ca="1" si="20"/>
        <v>YES</v>
      </c>
      <c r="Q413" s="23">
        <f>Weekly_Inspections!$AW413</f>
        <v>0</v>
      </c>
    </row>
    <row r="414" spans="1:17" ht="15" customHeight="1" x14ac:dyDescent="0.2">
      <c r="A414" s="21" t="str">
        <f>IF(Weekly_Inspections!$B414="","",Weekly_Inspections!$A414&amp;"-A1")</f>
        <v/>
      </c>
      <c r="B414" s="22">
        <f>Weekly_Inspections!$B414</f>
        <v>0</v>
      </c>
      <c r="C414" s="23">
        <f>Weekly_Inspections!$E414</f>
        <v>0</v>
      </c>
      <c r="D414" s="23">
        <f>Weekly_Inspections!$F414</f>
        <v>0</v>
      </c>
      <c r="E414" s="21" t="str">
        <f>Weekly_Inspections!$H414</f>
        <v/>
      </c>
      <c r="F414" s="23">
        <f>IF(Weekly_Inspections!$AX414&lt;&gt;"",Weekly_Inspections!$AX414,IF(Weekly_Inspections!$AY414&lt;&gt;"",Weekly_Inspections!$AY414,IF(Weekly_Inspections!$AZ414&lt;&gt;"",Weekly_Inspections!$AZ414,IF(Weekly_Inspections!$BA414&lt;&gt;"",Weekly_Inspections!$BA414,IF(Weekly_Inspections!$BB414&lt;&gt;"",Weekly_Inspections!$BB414,Weekly_Inspections!$R414)))))</f>
        <v>0</v>
      </c>
      <c r="G414" s="23" t="str">
        <f>IF(OR(Weekly_Inspections!$AQ414&lt;&gt;"",Weekly_Inspections!$AR414&lt;&gt;"",Weekly_Inspections!$AS414&lt;&gt;""),Weekly_Inspections!$AQ414,"")</f>
        <v/>
      </c>
      <c r="H414" s="23">
        <f>Weekly_Inspections!$AP414</f>
        <v>0</v>
      </c>
      <c r="I414" s="23">
        <f>Weekly_Inspections!$AR414</f>
        <v>0</v>
      </c>
      <c r="J414" s="23">
        <f>Weekly_Inspections!$AS414</f>
        <v>0</v>
      </c>
      <c r="K414" s="23">
        <f>Weekly_Inspections!$AU414</f>
        <v>0</v>
      </c>
      <c r="L414" s="22">
        <f>Weekly_Inspections!$AV414</f>
        <v>0</v>
      </c>
      <c r="M414" s="23" t="str">
        <f t="shared" si="18"/>
        <v>Open</v>
      </c>
      <c r="N414" s="22"/>
      <c r="O414" s="21">
        <f t="shared" ca="1" si="19"/>
        <v>46113</v>
      </c>
      <c r="P414" s="21" t="str">
        <f t="shared" ca="1" si="20"/>
        <v>YES</v>
      </c>
      <c r="Q414" s="23">
        <f>Weekly_Inspections!$AW414</f>
        <v>0</v>
      </c>
    </row>
    <row r="415" spans="1:17" ht="15" customHeight="1" x14ac:dyDescent="0.2">
      <c r="A415" s="21" t="str">
        <f>IF(Weekly_Inspections!$B415="","",Weekly_Inspections!$A415&amp;"-A1")</f>
        <v/>
      </c>
      <c r="B415" s="22">
        <f>Weekly_Inspections!$B415</f>
        <v>0</v>
      </c>
      <c r="C415" s="23">
        <f>Weekly_Inspections!$E415</f>
        <v>0</v>
      </c>
      <c r="D415" s="23">
        <f>Weekly_Inspections!$F415</f>
        <v>0</v>
      </c>
      <c r="E415" s="21" t="str">
        <f>Weekly_Inspections!$H415</f>
        <v/>
      </c>
      <c r="F415" s="23">
        <f>IF(Weekly_Inspections!$AX415&lt;&gt;"",Weekly_Inspections!$AX415,IF(Weekly_Inspections!$AY415&lt;&gt;"",Weekly_Inspections!$AY415,IF(Weekly_Inspections!$AZ415&lt;&gt;"",Weekly_Inspections!$AZ415,IF(Weekly_Inspections!$BA415&lt;&gt;"",Weekly_Inspections!$BA415,IF(Weekly_Inspections!$BB415&lt;&gt;"",Weekly_Inspections!$BB415,Weekly_Inspections!$R415)))))</f>
        <v>0</v>
      </c>
      <c r="G415" s="23" t="str">
        <f>IF(OR(Weekly_Inspections!$AQ415&lt;&gt;"",Weekly_Inspections!$AR415&lt;&gt;"",Weekly_Inspections!$AS415&lt;&gt;""),Weekly_Inspections!$AQ415,"")</f>
        <v/>
      </c>
      <c r="H415" s="23">
        <f>Weekly_Inspections!$AP415</f>
        <v>0</v>
      </c>
      <c r="I415" s="23">
        <f>Weekly_Inspections!$AR415</f>
        <v>0</v>
      </c>
      <c r="J415" s="23">
        <f>Weekly_Inspections!$AS415</f>
        <v>0</v>
      </c>
      <c r="K415" s="23">
        <f>Weekly_Inspections!$AU415</f>
        <v>0</v>
      </c>
      <c r="L415" s="22">
        <f>Weekly_Inspections!$AV415</f>
        <v>0</v>
      </c>
      <c r="M415" s="23" t="str">
        <f t="shared" si="18"/>
        <v>Open</v>
      </c>
      <c r="N415" s="22"/>
      <c r="O415" s="21">
        <f t="shared" ca="1" si="19"/>
        <v>46113</v>
      </c>
      <c r="P415" s="21" t="str">
        <f t="shared" ca="1" si="20"/>
        <v>YES</v>
      </c>
      <c r="Q415" s="23">
        <f>Weekly_Inspections!$AW415</f>
        <v>0</v>
      </c>
    </row>
    <row r="416" spans="1:17" ht="15" customHeight="1" x14ac:dyDescent="0.2">
      <c r="A416" s="21" t="str">
        <f>IF(Weekly_Inspections!$B416="","",Weekly_Inspections!$A416&amp;"-A1")</f>
        <v/>
      </c>
      <c r="B416" s="22">
        <f>Weekly_Inspections!$B416</f>
        <v>0</v>
      </c>
      <c r="C416" s="23">
        <f>Weekly_Inspections!$E416</f>
        <v>0</v>
      </c>
      <c r="D416" s="23">
        <f>Weekly_Inspections!$F416</f>
        <v>0</v>
      </c>
      <c r="E416" s="21" t="str">
        <f>Weekly_Inspections!$H416</f>
        <v/>
      </c>
      <c r="F416" s="23">
        <f>IF(Weekly_Inspections!$AX416&lt;&gt;"",Weekly_Inspections!$AX416,IF(Weekly_Inspections!$AY416&lt;&gt;"",Weekly_Inspections!$AY416,IF(Weekly_Inspections!$AZ416&lt;&gt;"",Weekly_Inspections!$AZ416,IF(Weekly_Inspections!$BA416&lt;&gt;"",Weekly_Inspections!$BA416,IF(Weekly_Inspections!$BB416&lt;&gt;"",Weekly_Inspections!$BB416,Weekly_Inspections!$R416)))))</f>
        <v>0</v>
      </c>
      <c r="G416" s="23" t="str">
        <f>IF(OR(Weekly_Inspections!$AQ416&lt;&gt;"",Weekly_Inspections!$AR416&lt;&gt;"",Weekly_Inspections!$AS416&lt;&gt;""),Weekly_Inspections!$AQ416,"")</f>
        <v/>
      </c>
      <c r="H416" s="23">
        <f>Weekly_Inspections!$AP416</f>
        <v>0</v>
      </c>
      <c r="I416" s="23">
        <f>Weekly_Inspections!$AR416</f>
        <v>0</v>
      </c>
      <c r="J416" s="23">
        <f>Weekly_Inspections!$AS416</f>
        <v>0</v>
      </c>
      <c r="K416" s="23">
        <f>Weekly_Inspections!$AU416</f>
        <v>0</v>
      </c>
      <c r="L416" s="22">
        <f>Weekly_Inspections!$AV416</f>
        <v>0</v>
      </c>
      <c r="M416" s="23" t="str">
        <f t="shared" si="18"/>
        <v>Open</v>
      </c>
      <c r="N416" s="22"/>
      <c r="O416" s="21">
        <f t="shared" ca="1" si="19"/>
        <v>46113</v>
      </c>
      <c r="P416" s="21" t="str">
        <f t="shared" ca="1" si="20"/>
        <v>YES</v>
      </c>
      <c r="Q416" s="23">
        <f>Weekly_Inspections!$AW416</f>
        <v>0</v>
      </c>
    </row>
    <row r="417" spans="1:17" ht="15" customHeight="1" x14ac:dyDescent="0.2">
      <c r="A417" s="21" t="str">
        <f>IF(Weekly_Inspections!$B417="","",Weekly_Inspections!$A417&amp;"-A1")</f>
        <v/>
      </c>
      <c r="B417" s="22">
        <f>Weekly_Inspections!$B417</f>
        <v>0</v>
      </c>
      <c r="C417" s="23">
        <f>Weekly_Inspections!$E417</f>
        <v>0</v>
      </c>
      <c r="D417" s="23">
        <f>Weekly_Inspections!$F417</f>
        <v>0</v>
      </c>
      <c r="E417" s="21" t="str">
        <f>Weekly_Inspections!$H417</f>
        <v/>
      </c>
      <c r="F417" s="23">
        <f>IF(Weekly_Inspections!$AX417&lt;&gt;"",Weekly_Inspections!$AX417,IF(Weekly_Inspections!$AY417&lt;&gt;"",Weekly_Inspections!$AY417,IF(Weekly_Inspections!$AZ417&lt;&gt;"",Weekly_Inspections!$AZ417,IF(Weekly_Inspections!$BA417&lt;&gt;"",Weekly_Inspections!$BA417,IF(Weekly_Inspections!$BB417&lt;&gt;"",Weekly_Inspections!$BB417,Weekly_Inspections!$R417)))))</f>
        <v>0</v>
      </c>
      <c r="G417" s="23" t="str">
        <f>IF(OR(Weekly_Inspections!$AQ417&lt;&gt;"",Weekly_Inspections!$AR417&lt;&gt;"",Weekly_Inspections!$AS417&lt;&gt;""),Weekly_Inspections!$AQ417,"")</f>
        <v/>
      </c>
      <c r="H417" s="23">
        <f>Weekly_Inspections!$AP417</f>
        <v>0</v>
      </c>
      <c r="I417" s="23">
        <f>Weekly_Inspections!$AR417</f>
        <v>0</v>
      </c>
      <c r="J417" s="23">
        <f>Weekly_Inspections!$AS417</f>
        <v>0</v>
      </c>
      <c r="K417" s="23">
        <f>Weekly_Inspections!$AU417</f>
        <v>0</v>
      </c>
      <c r="L417" s="22">
        <f>Weekly_Inspections!$AV417</f>
        <v>0</v>
      </c>
      <c r="M417" s="23" t="str">
        <f t="shared" si="18"/>
        <v>Open</v>
      </c>
      <c r="N417" s="22"/>
      <c r="O417" s="21">
        <f t="shared" ca="1" si="19"/>
        <v>46113</v>
      </c>
      <c r="P417" s="21" t="str">
        <f t="shared" ca="1" si="20"/>
        <v>YES</v>
      </c>
      <c r="Q417" s="23">
        <f>Weekly_Inspections!$AW417</f>
        <v>0</v>
      </c>
    </row>
    <row r="418" spans="1:17" ht="15" customHeight="1" x14ac:dyDescent="0.2">
      <c r="A418" s="21" t="str">
        <f>IF(Weekly_Inspections!$B418="","",Weekly_Inspections!$A418&amp;"-A1")</f>
        <v/>
      </c>
      <c r="B418" s="22">
        <f>Weekly_Inspections!$B418</f>
        <v>0</v>
      </c>
      <c r="C418" s="23">
        <f>Weekly_Inspections!$E418</f>
        <v>0</v>
      </c>
      <c r="D418" s="23">
        <f>Weekly_Inspections!$F418</f>
        <v>0</v>
      </c>
      <c r="E418" s="21" t="str">
        <f>Weekly_Inspections!$H418</f>
        <v/>
      </c>
      <c r="F418" s="23">
        <f>IF(Weekly_Inspections!$AX418&lt;&gt;"",Weekly_Inspections!$AX418,IF(Weekly_Inspections!$AY418&lt;&gt;"",Weekly_Inspections!$AY418,IF(Weekly_Inspections!$AZ418&lt;&gt;"",Weekly_Inspections!$AZ418,IF(Weekly_Inspections!$BA418&lt;&gt;"",Weekly_Inspections!$BA418,IF(Weekly_Inspections!$BB418&lt;&gt;"",Weekly_Inspections!$BB418,Weekly_Inspections!$R418)))))</f>
        <v>0</v>
      </c>
      <c r="G418" s="23" t="str">
        <f>IF(OR(Weekly_Inspections!$AQ418&lt;&gt;"",Weekly_Inspections!$AR418&lt;&gt;"",Weekly_Inspections!$AS418&lt;&gt;""),Weekly_Inspections!$AQ418,"")</f>
        <v/>
      </c>
      <c r="H418" s="23">
        <f>Weekly_Inspections!$AP418</f>
        <v>0</v>
      </c>
      <c r="I418" s="23">
        <f>Weekly_Inspections!$AR418</f>
        <v>0</v>
      </c>
      <c r="J418" s="23">
        <f>Weekly_Inspections!$AS418</f>
        <v>0</v>
      </c>
      <c r="K418" s="23">
        <f>Weekly_Inspections!$AU418</f>
        <v>0</v>
      </c>
      <c r="L418" s="22">
        <f>Weekly_Inspections!$AV418</f>
        <v>0</v>
      </c>
      <c r="M418" s="23" t="str">
        <f t="shared" si="18"/>
        <v>Open</v>
      </c>
      <c r="N418" s="22"/>
      <c r="O418" s="21">
        <f t="shared" ca="1" si="19"/>
        <v>46113</v>
      </c>
      <c r="P418" s="21" t="str">
        <f t="shared" ca="1" si="20"/>
        <v>YES</v>
      </c>
      <c r="Q418" s="23">
        <f>Weekly_Inspections!$AW418</f>
        <v>0</v>
      </c>
    </row>
    <row r="419" spans="1:17" ht="15" customHeight="1" x14ac:dyDescent="0.2">
      <c r="A419" s="21" t="str">
        <f>IF(Weekly_Inspections!$B419="","",Weekly_Inspections!$A419&amp;"-A1")</f>
        <v/>
      </c>
      <c r="B419" s="22">
        <f>Weekly_Inspections!$B419</f>
        <v>0</v>
      </c>
      <c r="C419" s="23">
        <f>Weekly_Inspections!$E419</f>
        <v>0</v>
      </c>
      <c r="D419" s="23">
        <f>Weekly_Inspections!$F419</f>
        <v>0</v>
      </c>
      <c r="E419" s="21" t="str">
        <f>Weekly_Inspections!$H419</f>
        <v/>
      </c>
      <c r="F419" s="23">
        <f>IF(Weekly_Inspections!$AX419&lt;&gt;"",Weekly_Inspections!$AX419,IF(Weekly_Inspections!$AY419&lt;&gt;"",Weekly_Inspections!$AY419,IF(Weekly_Inspections!$AZ419&lt;&gt;"",Weekly_Inspections!$AZ419,IF(Weekly_Inspections!$BA419&lt;&gt;"",Weekly_Inspections!$BA419,IF(Weekly_Inspections!$BB419&lt;&gt;"",Weekly_Inspections!$BB419,Weekly_Inspections!$R419)))))</f>
        <v>0</v>
      </c>
      <c r="G419" s="23" t="str">
        <f>IF(OR(Weekly_Inspections!$AQ419&lt;&gt;"",Weekly_Inspections!$AR419&lt;&gt;"",Weekly_Inspections!$AS419&lt;&gt;""),Weekly_Inspections!$AQ419,"")</f>
        <v/>
      </c>
      <c r="H419" s="23">
        <f>Weekly_Inspections!$AP419</f>
        <v>0</v>
      </c>
      <c r="I419" s="23">
        <f>Weekly_Inspections!$AR419</f>
        <v>0</v>
      </c>
      <c r="J419" s="23">
        <f>Weekly_Inspections!$AS419</f>
        <v>0</v>
      </c>
      <c r="K419" s="23">
        <f>Weekly_Inspections!$AU419</f>
        <v>0</v>
      </c>
      <c r="L419" s="22">
        <f>Weekly_Inspections!$AV419</f>
        <v>0</v>
      </c>
      <c r="M419" s="23" t="str">
        <f t="shared" si="18"/>
        <v>Open</v>
      </c>
      <c r="N419" s="22"/>
      <c r="O419" s="21">
        <f t="shared" ca="1" si="19"/>
        <v>46113</v>
      </c>
      <c r="P419" s="21" t="str">
        <f t="shared" ca="1" si="20"/>
        <v>YES</v>
      </c>
      <c r="Q419" s="23">
        <f>Weekly_Inspections!$AW419</f>
        <v>0</v>
      </c>
    </row>
    <row r="420" spans="1:17" ht="15" customHeight="1" x14ac:dyDescent="0.2">
      <c r="A420" s="21" t="str">
        <f>IF(Weekly_Inspections!$B420="","",Weekly_Inspections!$A420&amp;"-A1")</f>
        <v/>
      </c>
      <c r="B420" s="22">
        <f>Weekly_Inspections!$B420</f>
        <v>0</v>
      </c>
      <c r="C420" s="23">
        <f>Weekly_Inspections!$E420</f>
        <v>0</v>
      </c>
      <c r="D420" s="23">
        <f>Weekly_Inspections!$F420</f>
        <v>0</v>
      </c>
      <c r="E420" s="21" t="str">
        <f>Weekly_Inspections!$H420</f>
        <v/>
      </c>
      <c r="F420" s="23">
        <f>IF(Weekly_Inspections!$AX420&lt;&gt;"",Weekly_Inspections!$AX420,IF(Weekly_Inspections!$AY420&lt;&gt;"",Weekly_Inspections!$AY420,IF(Weekly_Inspections!$AZ420&lt;&gt;"",Weekly_Inspections!$AZ420,IF(Weekly_Inspections!$BA420&lt;&gt;"",Weekly_Inspections!$BA420,IF(Weekly_Inspections!$BB420&lt;&gt;"",Weekly_Inspections!$BB420,Weekly_Inspections!$R420)))))</f>
        <v>0</v>
      </c>
      <c r="G420" s="23" t="str">
        <f>IF(OR(Weekly_Inspections!$AQ420&lt;&gt;"",Weekly_Inspections!$AR420&lt;&gt;"",Weekly_Inspections!$AS420&lt;&gt;""),Weekly_Inspections!$AQ420,"")</f>
        <v/>
      </c>
      <c r="H420" s="23">
        <f>Weekly_Inspections!$AP420</f>
        <v>0</v>
      </c>
      <c r="I420" s="23">
        <f>Weekly_Inspections!$AR420</f>
        <v>0</v>
      </c>
      <c r="J420" s="23">
        <f>Weekly_Inspections!$AS420</f>
        <v>0</v>
      </c>
      <c r="K420" s="23">
        <f>Weekly_Inspections!$AU420</f>
        <v>0</v>
      </c>
      <c r="L420" s="22">
        <f>Weekly_Inspections!$AV420</f>
        <v>0</v>
      </c>
      <c r="M420" s="23" t="str">
        <f t="shared" si="18"/>
        <v>Open</v>
      </c>
      <c r="N420" s="22"/>
      <c r="O420" s="21">
        <f t="shared" ca="1" si="19"/>
        <v>46113</v>
      </c>
      <c r="P420" s="21" t="str">
        <f t="shared" ca="1" si="20"/>
        <v>YES</v>
      </c>
      <c r="Q420" s="23">
        <f>Weekly_Inspections!$AW420</f>
        <v>0</v>
      </c>
    </row>
    <row r="421" spans="1:17" ht="15" customHeight="1" x14ac:dyDescent="0.2">
      <c r="A421" s="21" t="str">
        <f>IF(Weekly_Inspections!$B421="","",Weekly_Inspections!$A421&amp;"-A1")</f>
        <v/>
      </c>
      <c r="B421" s="22">
        <f>Weekly_Inspections!$B421</f>
        <v>0</v>
      </c>
      <c r="C421" s="23">
        <f>Weekly_Inspections!$E421</f>
        <v>0</v>
      </c>
      <c r="D421" s="23">
        <f>Weekly_Inspections!$F421</f>
        <v>0</v>
      </c>
      <c r="E421" s="21" t="str">
        <f>Weekly_Inspections!$H421</f>
        <v/>
      </c>
      <c r="F421" s="23">
        <f>IF(Weekly_Inspections!$AX421&lt;&gt;"",Weekly_Inspections!$AX421,IF(Weekly_Inspections!$AY421&lt;&gt;"",Weekly_Inspections!$AY421,IF(Weekly_Inspections!$AZ421&lt;&gt;"",Weekly_Inspections!$AZ421,IF(Weekly_Inspections!$BA421&lt;&gt;"",Weekly_Inspections!$BA421,IF(Weekly_Inspections!$BB421&lt;&gt;"",Weekly_Inspections!$BB421,Weekly_Inspections!$R421)))))</f>
        <v>0</v>
      </c>
      <c r="G421" s="23" t="str">
        <f>IF(OR(Weekly_Inspections!$AQ421&lt;&gt;"",Weekly_Inspections!$AR421&lt;&gt;"",Weekly_Inspections!$AS421&lt;&gt;""),Weekly_Inspections!$AQ421,"")</f>
        <v/>
      </c>
      <c r="H421" s="23">
        <f>Weekly_Inspections!$AP421</f>
        <v>0</v>
      </c>
      <c r="I421" s="23">
        <f>Weekly_Inspections!$AR421</f>
        <v>0</v>
      </c>
      <c r="J421" s="23">
        <f>Weekly_Inspections!$AS421</f>
        <v>0</v>
      </c>
      <c r="K421" s="23">
        <f>Weekly_Inspections!$AU421</f>
        <v>0</v>
      </c>
      <c r="L421" s="22">
        <f>Weekly_Inspections!$AV421</f>
        <v>0</v>
      </c>
      <c r="M421" s="23" t="str">
        <f t="shared" si="18"/>
        <v>Open</v>
      </c>
      <c r="N421" s="22"/>
      <c r="O421" s="21">
        <f t="shared" ca="1" si="19"/>
        <v>46113</v>
      </c>
      <c r="P421" s="21" t="str">
        <f t="shared" ca="1" si="20"/>
        <v>YES</v>
      </c>
      <c r="Q421" s="23">
        <f>Weekly_Inspections!$AW421</f>
        <v>0</v>
      </c>
    </row>
    <row r="422" spans="1:17" ht="15" customHeight="1" x14ac:dyDescent="0.2">
      <c r="A422" s="21" t="str">
        <f>IF(Weekly_Inspections!$B422="","",Weekly_Inspections!$A422&amp;"-A1")</f>
        <v/>
      </c>
      <c r="B422" s="22">
        <f>Weekly_Inspections!$B422</f>
        <v>0</v>
      </c>
      <c r="C422" s="23">
        <f>Weekly_Inspections!$E422</f>
        <v>0</v>
      </c>
      <c r="D422" s="23">
        <f>Weekly_Inspections!$F422</f>
        <v>0</v>
      </c>
      <c r="E422" s="21" t="str">
        <f>Weekly_Inspections!$H422</f>
        <v/>
      </c>
      <c r="F422" s="23">
        <f>IF(Weekly_Inspections!$AX422&lt;&gt;"",Weekly_Inspections!$AX422,IF(Weekly_Inspections!$AY422&lt;&gt;"",Weekly_Inspections!$AY422,IF(Weekly_Inspections!$AZ422&lt;&gt;"",Weekly_Inspections!$AZ422,IF(Weekly_Inspections!$BA422&lt;&gt;"",Weekly_Inspections!$BA422,IF(Weekly_Inspections!$BB422&lt;&gt;"",Weekly_Inspections!$BB422,Weekly_Inspections!$R422)))))</f>
        <v>0</v>
      </c>
      <c r="G422" s="23" t="str">
        <f>IF(OR(Weekly_Inspections!$AQ422&lt;&gt;"",Weekly_Inspections!$AR422&lt;&gt;"",Weekly_Inspections!$AS422&lt;&gt;""),Weekly_Inspections!$AQ422,"")</f>
        <v/>
      </c>
      <c r="H422" s="23">
        <f>Weekly_Inspections!$AP422</f>
        <v>0</v>
      </c>
      <c r="I422" s="23">
        <f>Weekly_Inspections!$AR422</f>
        <v>0</v>
      </c>
      <c r="J422" s="23">
        <f>Weekly_Inspections!$AS422</f>
        <v>0</v>
      </c>
      <c r="K422" s="23">
        <f>Weekly_Inspections!$AU422</f>
        <v>0</v>
      </c>
      <c r="L422" s="22">
        <f>Weekly_Inspections!$AV422</f>
        <v>0</v>
      </c>
      <c r="M422" s="23" t="str">
        <f t="shared" si="18"/>
        <v>Open</v>
      </c>
      <c r="N422" s="22"/>
      <c r="O422" s="21">
        <f t="shared" ca="1" si="19"/>
        <v>46113</v>
      </c>
      <c r="P422" s="21" t="str">
        <f t="shared" ca="1" si="20"/>
        <v>YES</v>
      </c>
      <c r="Q422" s="23">
        <f>Weekly_Inspections!$AW422</f>
        <v>0</v>
      </c>
    </row>
    <row r="423" spans="1:17" ht="15" customHeight="1" x14ac:dyDescent="0.2">
      <c r="A423" s="21" t="str">
        <f>IF(Weekly_Inspections!$B423="","",Weekly_Inspections!$A423&amp;"-A1")</f>
        <v/>
      </c>
      <c r="B423" s="22">
        <f>Weekly_Inspections!$B423</f>
        <v>0</v>
      </c>
      <c r="C423" s="23">
        <f>Weekly_Inspections!$E423</f>
        <v>0</v>
      </c>
      <c r="D423" s="23">
        <f>Weekly_Inspections!$F423</f>
        <v>0</v>
      </c>
      <c r="E423" s="21" t="str">
        <f>Weekly_Inspections!$H423</f>
        <v/>
      </c>
      <c r="F423" s="23">
        <f>IF(Weekly_Inspections!$AX423&lt;&gt;"",Weekly_Inspections!$AX423,IF(Weekly_Inspections!$AY423&lt;&gt;"",Weekly_Inspections!$AY423,IF(Weekly_Inspections!$AZ423&lt;&gt;"",Weekly_Inspections!$AZ423,IF(Weekly_Inspections!$BA423&lt;&gt;"",Weekly_Inspections!$BA423,IF(Weekly_Inspections!$BB423&lt;&gt;"",Weekly_Inspections!$BB423,Weekly_Inspections!$R423)))))</f>
        <v>0</v>
      </c>
      <c r="G423" s="23" t="str">
        <f>IF(OR(Weekly_Inspections!$AQ423&lt;&gt;"",Weekly_Inspections!$AR423&lt;&gt;"",Weekly_Inspections!$AS423&lt;&gt;""),Weekly_Inspections!$AQ423,"")</f>
        <v/>
      </c>
      <c r="H423" s="23">
        <f>Weekly_Inspections!$AP423</f>
        <v>0</v>
      </c>
      <c r="I423" s="23">
        <f>Weekly_Inspections!$AR423</f>
        <v>0</v>
      </c>
      <c r="J423" s="23">
        <f>Weekly_Inspections!$AS423</f>
        <v>0</v>
      </c>
      <c r="K423" s="23">
        <f>Weekly_Inspections!$AU423</f>
        <v>0</v>
      </c>
      <c r="L423" s="22">
        <f>Weekly_Inspections!$AV423</f>
        <v>0</v>
      </c>
      <c r="M423" s="23" t="str">
        <f t="shared" si="18"/>
        <v>Open</v>
      </c>
      <c r="N423" s="22"/>
      <c r="O423" s="21">
        <f t="shared" ca="1" si="19"/>
        <v>46113</v>
      </c>
      <c r="P423" s="21" t="str">
        <f t="shared" ca="1" si="20"/>
        <v>YES</v>
      </c>
      <c r="Q423" s="23">
        <f>Weekly_Inspections!$AW423</f>
        <v>0</v>
      </c>
    </row>
    <row r="424" spans="1:17" ht="15" customHeight="1" x14ac:dyDescent="0.2">
      <c r="A424" s="21" t="str">
        <f>IF(Weekly_Inspections!$B424="","",Weekly_Inspections!$A424&amp;"-A1")</f>
        <v/>
      </c>
      <c r="B424" s="22">
        <f>Weekly_Inspections!$B424</f>
        <v>0</v>
      </c>
      <c r="C424" s="23">
        <f>Weekly_Inspections!$E424</f>
        <v>0</v>
      </c>
      <c r="D424" s="23">
        <f>Weekly_Inspections!$F424</f>
        <v>0</v>
      </c>
      <c r="E424" s="21" t="str">
        <f>Weekly_Inspections!$H424</f>
        <v/>
      </c>
      <c r="F424" s="23">
        <f>IF(Weekly_Inspections!$AX424&lt;&gt;"",Weekly_Inspections!$AX424,IF(Weekly_Inspections!$AY424&lt;&gt;"",Weekly_Inspections!$AY424,IF(Weekly_Inspections!$AZ424&lt;&gt;"",Weekly_Inspections!$AZ424,IF(Weekly_Inspections!$BA424&lt;&gt;"",Weekly_Inspections!$BA424,IF(Weekly_Inspections!$BB424&lt;&gt;"",Weekly_Inspections!$BB424,Weekly_Inspections!$R424)))))</f>
        <v>0</v>
      </c>
      <c r="G424" s="23" t="str">
        <f>IF(OR(Weekly_Inspections!$AQ424&lt;&gt;"",Weekly_Inspections!$AR424&lt;&gt;"",Weekly_Inspections!$AS424&lt;&gt;""),Weekly_Inspections!$AQ424,"")</f>
        <v/>
      </c>
      <c r="H424" s="23">
        <f>Weekly_Inspections!$AP424</f>
        <v>0</v>
      </c>
      <c r="I424" s="23">
        <f>Weekly_Inspections!$AR424</f>
        <v>0</v>
      </c>
      <c r="J424" s="23">
        <f>Weekly_Inspections!$AS424</f>
        <v>0</v>
      </c>
      <c r="K424" s="23">
        <f>Weekly_Inspections!$AU424</f>
        <v>0</v>
      </c>
      <c r="L424" s="22">
        <f>Weekly_Inspections!$AV424</f>
        <v>0</v>
      </c>
      <c r="M424" s="23" t="str">
        <f t="shared" si="18"/>
        <v>Open</v>
      </c>
      <c r="N424" s="22"/>
      <c r="O424" s="21">
        <f t="shared" ca="1" si="19"/>
        <v>46113</v>
      </c>
      <c r="P424" s="21" t="str">
        <f t="shared" ca="1" si="20"/>
        <v>YES</v>
      </c>
      <c r="Q424" s="23">
        <f>Weekly_Inspections!$AW424</f>
        <v>0</v>
      </c>
    </row>
    <row r="425" spans="1:17" ht="15" customHeight="1" x14ac:dyDescent="0.2">
      <c r="A425" s="21" t="str">
        <f>IF(Weekly_Inspections!$B425="","",Weekly_Inspections!$A425&amp;"-A1")</f>
        <v/>
      </c>
      <c r="B425" s="22">
        <f>Weekly_Inspections!$B425</f>
        <v>0</v>
      </c>
      <c r="C425" s="23">
        <f>Weekly_Inspections!$E425</f>
        <v>0</v>
      </c>
      <c r="D425" s="23">
        <f>Weekly_Inspections!$F425</f>
        <v>0</v>
      </c>
      <c r="E425" s="21" t="str">
        <f>Weekly_Inspections!$H425</f>
        <v/>
      </c>
      <c r="F425" s="23">
        <f>IF(Weekly_Inspections!$AX425&lt;&gt;"",Weekly_Inspections!$AX425,IF(Weekly_Inspections!$AY425&lt;&gt;"",Weekly_Inspections!$AY425,IF(Weekly_Inspections!$AZ425&lt;&gt;"",Weekly_Inspections!$AZ425,IF(Weekly_Inspections!$BA425&lt;&gt;"",Weekly_Inspections!$BA425,IF(Weekly_Inspections!$BB425&lt;&gt;"",Weekly_Inspections!$BB425,Weekly_Inspections!$R425)))))</f>
        <v>0</v>
      </c>
      <c r="G425" s="23" t="str">
        <f>IF(OR(Weekly_Inspections!$AQ425&lt;&gt;"",Weekly_Inspections!$AR425&lt;&gt;"",Weekly_Inspections!$AS425&lt;&gt;""),Weekly_Inspections!$AQ425,"")</f>
        <v/>
      </c>
      <c r="H425" s="23">
        <f>Weekly_Inspections!$AP425</f>
        <v>0</v>
      </c>
      <c r="I425" s="23">
        <f>Weekly_Inspections!$AR425</f>
        <v>0</v>
      </c>
      <c r="J425" s="23">
        <f>Weekly_Inspections!$AS425</f>
        <v>0</v>
      </c>
      <c r="K425" s="23">
        <f>Weekly_Inspections!$AU425</f>
        <v>0</v>
      </c>
      <c r="L425" s="22">
        <f>Weekly_Inspections!$AV425</f>
        <v>0</v>
      </c>
      <c r="M425" s="23" t="str">
        <f t="shared" si="18"/>
        <v>Open</v>
      </c>
      <c r="N425" s="22"/>
      <c r="O425" s="21">
        <f t="shared" ca="1" si="19"/>
        <v>46113</v>
      </c>
      <c r="P425" s="21" t="str">
        <f t="shared" ca="1" si="20"/>
        <v>YES</v>
      </c>
      <c r="Q425" s="23">
        <f>Weekly_Inspections!$AW425</f>
        <v>0</v>
      </c>
    </row>
    <row r="426" spans="1:17" ht="15" customHeight="1" x14ac:dyDescent="0.2">
      <c r="A426" s="21" t="str">
        <f>IF(Weekly_Inspections!$B426="","",Weekly_Inspections!$A426&amp;"-A1")</f>
        <v/>
      </c>
      <c r="B426" s="22">
        <f>Weekly_Inspections!$B426</f>
        <v>0</v>
      </c>
      <c r="C426" s="23">
        <f>Weekly_Inspections!$E426</f>
        <v>0</v>
      </c>
      <c r="D426" s="23">
        <f>Weekly_Inspections!$F426</f>
        <v>0</v>
      </c>
      <c r="E426" s="21" t="str">
        <f>Weekly_Inspections!$H426</f>
        <v/>
      </c>
      <c r="F426" s="23">
        <f>IF(Weekly_Inspections!$AX426&lt;&gt;"",Weekly_Inspections!$AX426,IF(Weekly_Inspections!$AY426&lt;&gt;"",Weekly_Inspections!$AY426,IF(Weekly_Inspections!$AZ426&lt;&gt;"",Weekly_Inspections!$AZ426,IF(Weekly_Inspections!$BA426&lt;&gt;"",Weekly_Inspections!$BA426,IF(Weekly_Inspections!$BB426&lt;&gt;"",Weekly_Inspections!$BB426,Weekly_Inspections!$R426)))))</f>
        <v>0</v>
      </c>
      <c r="G426" s="23" t="str">
        <f>IF(OR(Weekly_Inspections!$AQ426&lt;&gt;"",Weekly_Inspections!$AR426&lt;&gt;"",Weekly_Inspections!$AS426&lt;&gt;""),Weekly_Inspections!$AQ426,"")</f>
        <v/>
      </c>
      <c r="H426" s="23">
        <f>Weekly_Inspections!$AP426</f>
        <v>0</v>
      </c>
      <c r="I426" s="23">
        <f>Weekly_Inspections!$AR426</f>
        <v>0</v>
      </c>
      <c r="J426" s="23">
        <f>Weekly_Inspections!$AS426</f>
        <v>0</v>
      </c>
      <c r="K426" s="23">
        <f>Weekly_Inspections!$AU426</f>
        <v>0</v>
      </c>
      <c r="L426" s="22">
        <f>Weekly_Inspections!$AV426</f>
        <v>0</v>
      </c>
      <c r="M426" s="23" t="str">
        <f t="shared" si="18"/>
        <v>Open</v>
      </c>
      <c r="N426" s="22"/>
      <c r="O426" s="21">
        <f t="shared" ca="1" si="19"/>
        <v>46113</v>
      </c>
      <c r="P426" s="21" t="str">
        <f t="shared" ca="1" si="20"/>
        <v>YES</v>
      </c>
      <c r="Q426" s="23">
        <f>Weekly_Inspections!$AW426</f>
        <v>0</v>
      </c>
    </row>
    <row r="427" spans="1:17" ht="15" customHeight="1" x14ac:dyDescent="0.2">
      <c r="A427" s="21" t="str">
        <f>IF(Weekly_Inspections!$B427="","",Weekly_Inspections!$A427&amp;"-A1")</f>
        <v/>
      </c>
      <c r="B427" s="22">
        <f>Weekly_Inspections!$B427</f>
        <v>0</v>
      </c>
      <c r="C427" s="23">
        <f>Weekly_Inspections!$E427</f>
        <v>0</v>
      </c>
      <c r="D427" s="23">
        <f>Weekly_Inspections!$F427</f>
        <v>0</v>
      </c>
      <c r="E427" s="21" t="str">
        <f>Weekly_Inspections!$H427</f>
        <v/>
      </c>
      <c r="F427" s="23">
        <f>IF(Weekly_Inspections!$AX427&lt;&gt;"",Weekly_Inspections!$AX427,IF(Weekly_Inspections!$AY427&lt;&gt;"",Weekly_Inspections!$AY427,IF(Weekly_Inspections!$AZ427&lt;&gt;"",Weekly_Inspections!$AZ427,IF(Weekly_Inspections!$BA427&lt;&gt;"",Weekly_Inspections!$BA427,IF(Weekly_Inspections!$BB427&lt;&gt;"",Weekly_Inspections!$BB427,Weekly_Inspections!$R427)))))</f>
        <v>0</v>
      </c>
      <c r="G427" s="23" t="str">
        <f>IF(OR(Weekly_Inspections!$AQ427&lt;&gt;"",Weekly_Inspections!$AR427&lt;&gt;"",Weekly_Inspections!$AS427&lt;&gt;""),Weekly_Inspections!$AQ427,"")</f>
        <v/>
      </c>
      <c r="H427" s="23">
        <f>Weekly_Inspections!$AP427</f>
        <v>0</v>
      </c>
      <c r="I427" s="23">
        <f>Weekly_Inspections!$AR427</f>
        <v>0</v>
      </c>
      <c r="J427" s="23">
        <f>Weekly_Inspections!$AS427</f>
        <v>0</v>
      </c>
      <c r="K427" s="23">
        <f>Weekly_Inspections!$AU427</f>
        <v>0</v>
      </c>
      <c r="L427" s="22">
        <f>Weekly_Inspections!$AV427</f>
        <v>0</v>
      </c>
      <c r="M427" s="23" t="str">
        <f t="shared" si="18"/>
        <v>Open</v>
      </c>
      <c r="N427" s="22"/>
      <c r="O427" s="21">
        <f t="shared" ca="1" si="19"/>
        <v>46113</v>
      </c>
      <c r="P427" s="21" t="str">
        <f t="shared" ca="1" si="20"/>
        <v>YES</v>
      </c>
      <c r="Q427" s="23">
        <f>Weekly_Inspections!$AW427</f>
        <v>0</v>
      </c>
    </row>
    <row r="428" spans="1:17" ht="15" customHeight="1" x14ac:dyDescent="0.2">
      <c r="A428" s="21" t="str">
        <f>IF(Weekly_Inspections!$B428="","",Weekly_Inspections!$A428&amp;"-A1")</f>
        <v/>
      </c>
      <c r="B428" s="22">
        <f>Weekly_Inspections!$B428</f>
        <v>0</v>
      </c>
      <c r="C428" s="23">
        <f>Weekly_Inspections!$E428</f>
        <v>0</v>
      </c>
      <c r="D428" s="23">
        <f>Weekly_Inspections!$F428</f>
        <v>0</v>
      </c>
      <c r="E428" s="21" t="str">
        <f>Weekly_Inspections!$H428</f>
        <v/>
      </c>
      <c r="F428" s="23">
        <f>IF(Weekly_Inspections!$AX428&lt;&gt;"",Weekly_Inspections!$AX428,IF(Weekly_Inspections!$AY428&lt;&gt;"",Weekly_Inspections!$AY428,IF(Weekly_Inspections!$AZ428&lt;&gt;"",Weekly_Inspections!$AZ428,IF(Weekly_Inspections!$BA428&lt;&gt;"",Weekly_Inspections!$BA428,IF(Weekly_Inspections!$BB428&lt;&gt;"",Weekly_Inspections!$BB428,Weekly_Inspections!$R428)))))</f>
        <v>0</v>
      </c>
      <c r="G428" s="23" t="str">
        <f>IF(OR(Weekly_Inspections!$AQ428&lt;&gt;"",Weekly_Inspections!$AR428&lt;&gt;"",Weekly_Inspections!$AS428&lt;&gt;""),Weekly_Inspections!$AQ428,"")</f>
        <v/>
      </c>
      <c r="H428" s="23">
        <f>Weekly_Inspections!$AP428</f>
        <v>0</v>
      </c>
      <c r="I428" s="23">
        <f>Weekly_Inspections!$AR428</f>
        <v>0</v>
      </c>
      <c r="J428" s="23">
        <f>Weekly_Inspections!$AS428</f>
        <v>0</v>
      </c>
      <c r="K428" s="23">
        <f>Weekly_Inspections!$AU428</f>
        <v>0</v>
      </c>
      <c r="L428" s="22">
        <f>Weekly_Inspections!$AV428</f>
        <v>0</v>
      </c>
      <c r="M428" s="23" t="str">
        <f t="shared" si="18"/>
        <v>Open</v>
      </c>
      <c r="N428" s="22"/>
      <c r="O428" s="21">
        <f t="shared" ca="1" si="19"/>
        <v>46113</v>
      </c>
      <c r="P428" s="21" t="str">
        <f t="shared" ca="1" si="20"/>
        <v>YES</v>
      </c>
      <c r="Q428" s="23">
        <f>Weekly_Inspections!$AW428</f>
        <v>0</v>
      </c>
    </row>
    <row r="429" spans="1:17" ht="15" customHeight="1" x14ac:dyDescent="0.2">
      <c r="A429" s="21" t="str">
        <f>IF(Weekly_Inspections!$B429="","",Weekly_Inspections!$A429&amp;"-A1")</f>
        <v/>
      </c>
      <c r="B429" s="22">
        <f>Weekly_Inspections!$B429</f>
        <v>0</v>
      </c>
      <c r="C429" s="23">
        <f>Weekly_Inspections!$E429</f>
        <v>0</v>
      </c>
      <c r="D429" s="23">
        <f>Weekly_Inspections!$F429</f>
        <v>0</v>
      </c>
      <c r="E429" s="21" t="str">
        <f>Weekly_Inspections!$H429</f>
        <v/>
      </c>
      <c r="F429" s="23">
        <f>IF(Weekly_Inspections!$AX429&lt;&gt;"",Weekly_Inspections!$AX429,IF(Weekly_Inspections!$AY429&lt;&gt;"",Weekly_Inspections!$AY429,IF(Weekly_Inspections!$AZ429&lt;&gt;"",Weekly_Inspections!$AZ429,IF(Weekly_Inspections!$BA429&lt;&gt;"",Weekly_Inspections!$BA429,IF(Weekly_Inspections!$BB429&lt;&gt;"",Weekly_Inspections!$BB429,Weekly_Inspections!$R429)))))</f>
        <v>0</v>
      </c>
      <c r="G429" s="23" t="str">
        <f>IF(OR(Weekly_Inspections!$AQ429&lt;&gt;"",Weekly_Inspections!$AR429&lt;&gt;"",Weekly_Inspections!$AS429&lt;&gt;""),Weekly_Inspections!$AQ429,"")</f>
        <v/>
      </c>
      <c r="H429" s="23">
        <f>Weekly_Inspections!$AP429</f>
        <v>0</v>
      </c>
      <c r="I429" s="23">
        <f>Weekly_Inspections!$AR429</f>
        <v>0</v>
      </c>
      <c r="J429" s="23">
        <f>Weekly_Inspections!$AS429</f>
        <v>0</v>
      </c>
      <c r="K429" s="23">
        <f>Weekly_Inspections!$AU429</f>
        <v>0</v>
      </c>
      <c r="L429" s="22">
        <f>Weekly_Inspections!$AV429</f>
        <v>0</v>
      </c>
      <c r="M429" s="23" t="str">
        <f t="shared" si="18"/>
        <v>Open</v>
      </c>
      <c r="N429" s="22"/>
      <c r="O429" s="21">
        <f t="shared" ca="1" si="19"/>
        <v>46113</v>
      </c>
      <c r="P429" s="21" t="str">
        <f t="shared" ca="1" si="20"/>
        <v>YES</v>
      </c>
      <c r="Q429" s="23">
        <f>Weekly_Inspections!$AW429</f>
        <v>0</v>
      </c>
    </row>
    <row r="430" spans="1:17" ht="15" customHeight="1" x14ac:dyDescent="0.2">
      <c r="A430" s="21" t="str">
        <f>IF(Weekly_Inspections!$B430="","",Weekly_Inspections!$A430&amp;"-A1")</f>
        <v/>
      </c>
      <c r="B430" s="22">
        <f>Weekly_Inspections!$B430</f>
        <v>0</v>
      </c>
      <c r="C430" s="23">
        <f>Weekly_Inspections!$E430</f>
        <v>0</v>
      </c>
      <c r="D430" s="23">
        <f>Weekly_Inspections!$F430</f>
        <v>0</v>
      </c>
      <c r="E430" s="21" t="str">
        <f>Weekly_Inspections!$H430</f>
        <v/>
      </c>
      <c r="F430" s="23">
        <f>IF(Weekly_Inspections!$AX430&lt;&gt;"",Weekly_Inspections!$AX430,IF(Weekly_Inspections!$AY430&lt;&gt;"",Weekly_Inspections!$AY430,IF(Weekly_Inspections!$AZ430&lt;&gt;"",Weekly_Inspections!$AZ430,IF(Weekly_Inspections!$BA430&lt;&gt;"",Weekly_Inspections!$BA430,IF(Weekly_Inspections!$BB430&lt;&gt;"",Weekly_Inspections!$BB430,Weekly_Inspections!$R430)))))</f>
        <v>0</v>
      </c>
      <c r="G430" s="23" t="str">
        <f>IF(OR(Weekly_Inspections!$AQ430&lt;&gt;"",Weekly_Inspections!$AR430&lt;&gt;"",Weekly_Inspections!$AS430&lt;&gt;""),Weekly_Inspections!$AQ430,"")</f>
        <v/>
      </c>
      <c r="H430" s="23">
        <f>Weekly_Inspections!$AP430</f>
        <v>0</v>
      </c>
      <c r="I430" s="23">
        <f>Weekly_Inspections!$AR430</f>
        <v>0</v>
      </c>
      <c r="J430" s="23">
        <f>Weekly_Inspections!$AS430</f>
        <v>0</v>
      </c>
      <c r="K430" s="23">
        <f>Weekly_Inspections!$AU430</f>
        <v>0</v>
      </c>
      <c r="L430" s="22">
        <f>Weekly_Inspections!$AV430</f>
        <v>0</v>
      </c>
      <c r="M430" s="23" t="str">
        <f t="shared" si="18"/>
        <v>Open</v>
      </c>
      <c r="N430" s="22"/>
      <c r="O430" s="21">
        <f t="shared" ca="1" si="19"/>
        <v>46113</v>
      </c>
      <c r="P430" s="21" t="str">
        <f t="shared" ca="1" si="20"/>
        <v>YES</v>
      </c>
      <c r="Q430" s="23">
        <f>Weekly_Inspections!$AW430</f>
        <v>0</v>
      </c>
    </row>
    <row r="431" spans="1:17" ht="15" customHeight="1" x14ac:dyDescent="0.2">
      <c r="A431" s="21" t="str">
        <f>IF(Weekly_Inspections!$B431="","",Weekly_Inspections!$A431&amp;"-A1")</f>
        <v/>
      </c>
      <c r="B431" s="22">
        <f>Weekly_Inspections!$B431</f>
        <v>0</v>
      </c>
      <c r="C431" s="23">
        <f>Weekly_Inspections!$E431</f>
        <v>0</v>
      </c>
      <c r="D431" s="23">
        <f>Weekly_Inspections!$F431</f>
        <v>0</v>
      </c>
      <c r="E431" s="21" t="str">
        <f>Weekly_Inspections!$H431</f>
        <v/>
      </c>
      <c r="F431" s="23">
        <f>IF(Weekly_Inspections!$AX431&lt;&gt;"",Weekly_Inspections!$AX431,IF(Weekly_Inspections!$AY431&lt;&gt;"",Weekly_Inspections!$AY431,IF(Weekly_Inspections!$AZ431&lt;&gt;"",Weekly_Inspections!$AZ431,IF(Weekly_Inspections!$BA431&lt;&gt;"",Weekly_Inspections!$BA431,IF(Weekly_Inspections!$BB431&lt;&gt;"",Weekly_Inspections!$BB431,Weekly_Inspections!$R431)))))</f>
        <v>0</v>
      </c>
      <c r="G431" s="23" t="str">
        <f>IF(OR(Weekly_Inspections!$AQ431&lt;&gt;"",Weekly_Inspections!$AR431&lt;&gt;"",Weekly_Inspections!$AS431&lt;&gt;""),Weekly_Inspections!$AQ431,"")</f>
        <v/>
      </c>
      <c r="H431" s="23">
        <f>Weekly_Inspections!$AP431</f>
        <v>0</v>
      </c>
      <c r="I431" s="23">
        <f>Weekly_Inspections!$AR431</f>
        <v>0</v>
      </c>
      <c r="J431" s="23">
        <f>Weekly_Inspections!$AS431</f>
        <v>0</v>
      </c>
      <c r="K431" s="23">
        <f>Weekly_Inspections!$AU431</f>
        <v>0</v>
      </c>
      <c r="L431" s="22">
        <f>Weekly_Inspections!$AV431</f>
        <v>0</v>
      </c>
      <c r="M431" s="23" t="str">
        <f t="shared" si="18"/>
        <v>Open</v>
      </c>
      <c r="N431" s="22"/>
      <c r="O431" s="21">
        <f t="shared" ca="1" si="19"/>
        <v>46113</v>
      </c>
      <c r="P431" s="21" t="str">
        <f t="shared" ca="1" si="20"/>
        <v>YES</v>
      </c>
      <c r="Q431" s="23">
        <f>Weekly_Inspections!$AW431</f>
        <v>0</v>
      </c>
    </row>
    <row r="432" spans="1:17" ht="15" customHeight="1" x14ac:dyDescent="0.2">
      <c r="A432" s="21" t="str">
        <f>IF(Weekly_Inspections!$B432="","",Weekly_Inspections!$A432&amp;"-A1")</f>
        <v/>
      </c>
      <c r="B432" s="22">
        <f>Weekly_Inspections!$B432</f>
        <v>0</v>
      </c>
      <c r="C432" s="23">
        <f>Weekly_Inspections!$E432</f>
        <v>0</v>
      </c>
      <c r="D432" s="23">
        <f>Weekly_Inspections!$F432</f>
        <v>0</v>
      </c>
      <c r="E432" s="21" t="str">
        <f>Weekly_Inspections!$H432</f>
        <v/>
      </c>
      <c r="F432" s="23">
        <f>IF(Weekly_Inspections!$AX432&lt;&gt;"",Weekly_Inspections!$AX432,IF(Weekly_Inspections!$AY432&lt;&gt;"",Weekly_Inspections!$AY432,IF(Weekly_Inspections!$AZ432&lt;&gt;"",Weekly_Inspections!$AZ432,IF(Weekly_Inspections!$BA432&lt;&gt;"",Weekly_Inspections!$BA432,IF(Weekly_Inspections!$BB432&lt;&gt;"",Weekly_Inspections!$BB432,Weekly_Inspections!$R432)))))</f>
        <v>0</v>
      </c>
      <c r="G432" s="23" t="str">
        <f>IF(OR(Weekly_Inspections!$AQ432&lt;&gt;"",Weekly_Inspections!$AR432&lt;&gt;"",Weekly_Inspections!$AS432&lt;&gt;""),Weekly_Inspections!$AQ432,"")</f>
        <v/>
      </c>
      <c r="H432" s="23">
        <f>Weekly_Inspections!$AP432</f>
        <v>0</v>
      </c>
      <c r="I432" s="23">
        <f>Weekly_Inspections!$AR432</f>
        <v>0</v>
      </c>
      <c r="J432" s="23">
        <f>Weekly_Inspections!$AS432</f>
        <v>0</v>
      </c>
      <c r="K432" s="23">
        <f>Weekly_Inspections!$AU432</f>
        <v>0</v>
      </c>
      <c r="L432" s="22">
        <f>Weekly_Inspections!$AV432</f>
        <v>0</v>
      </c>
      <c r="M432" s="23" t="str">
        <f t="shared" si="18"/>
        <v>Open</v>
      </c>
      <c r="N432" s="22"/>
      <c r="O432" s="21">
        <f t="shared" ca="1" si="19"/>
        <v>46113</v>
      </c>
      <c r="P432" s="21" t="str">
        <f t="shared" ca="1" si="20"/>
        <v>YES</v>
      </c>
      <c r="Q432" s="23">
        <f>Weekly_Inspections!$AW432</f>
        <v>0</v>
      </c>
    </row>
    <row r="433" spans="1:17" ht="15" customHeight="1" x14ac:dyDescent="0.2">
      <c r="A433" s="21" t="str">
        <f>IF(Weekly_Inspections!$B433="","",Weekly_Inspections!$A433&amp;"-A1")</f>
        <v/>
      </c>
      <c r="B433" s="22">
        <f>Weekly_Inspections!$B433</f>
        <v>0</v>
      </c>
      <c r="C433" s="23">
        <f>Weekly_Inspections!$E433</f>
        <v>0</v>
      </c>
      <c r="D433" s="23">
        <f>Weekly_Inspections!$F433</f>
        <v>0</v>
      </c>
      <c r="E433" s="21" t="str">
        <f>Weekly_Inspections!$H433</f>
        <v/>
      </c>
      <c r="F433" s="23">
        <f>IF(Weekly_Inspections!$AX433&lt;&gt;"",Weekly_Inspections!$AX433,IF(Weekly_Inspections!$AY433&lt;&gt;"",Weekly_Inspections!$AY433,IF(Weekly_Inspections!$AZ433&lt;&gt;"",Weekly_Inspections!$AZ433,IF(Weekly_Inspections!$BA433&lt;&gt;"",Weekly_Inspections!$BA433,IF(Weekly_Inspections!$BB433&lt;&gt;"",Weekly_Inspections!$BB433,Weekly_Inspections!$R433)))))</f>
        <v>0</v>
      </c>
      <c r="G433" s="23" t="str">
        <f>IF(OR(Weekly_Inspections!$AQ433&lt;&gt;"",Weekly_Inspections!$AR433&lt;&gt;"",Weekly_Inspections!$AS433&lt;&gt;""),Weekly_Inspections!$AQ433,"")</f>
        <v/>
      </c>
      <c r="H433" s="23">
        <f>Weekly_Inspections!$AP433</f>
        <v>0</v>
      </c>
      <c r="I433" s="23">
        <f>Weekly_Inspections!$AR433</f>
        <v>0</v>
      </c>
      <c r="J433" s="23">
        <f>Weekly_Inspections!$AS433</f>
        <v>0</v>
      </c>
      <c r="K433" s="23">
        <f>Weekly_Inspections!$AU433</f>
        <v>0</v>
      </c>
      <c r="L433" s="22">
        <f>Weekly_Inspections!$AV433</f>
        <v>0</v>
      </c>
      <c r="M433" s="23" t="str">
        <f t="shared" si="18"/>
        <v>Open</v>
      </c>
      <c r="N433" s="22"/>
      <c r="O433" s="21">
        <f t="shared" ca="1" si="19"/>
        <v>46113</v>
      </c>
      <c r="P433" s="21" t="str">
        <f t="shared" ca="1" si="20"/>
        <v>YES</v>
      </c>
      <c r="Q433" s="23">
        <f>Weekly_Inspections!$AW433</f>
        <v>0</v>
      </c>
    </row>
    <row r="434" spans="1:17" ht="15" customHeight="1" x14ac:dyDescent="0.2">
      <c r="A434" s="21" t="str">
        <f>IF(Weekly_Inspections!$B434="","",Weekly_Inspections!$A434&amp;"-A1")</f>
        <v/>
      </c>
      <c r="B434" s="22">
        <f>Weekly_Inspections!$B434</f>
        <v>0</v>
      </c>
      <c r="C434" s="23">
        <f>Weekly_Inspections!$E434</f>
        <v>0</v>
      </c>
      <c r="D434" s="23">
        <f>Weekly_Inspections!$F434</f>
        <v>0</v>
      </c>
      <c r="E434" s="21" t="str">
        <f>Weekly_Inspections!$H434</f>
        <v/>
      </c>
      <c r="F434" s="23">
        <f>IF(Weekly_Inspections!$AX434&lt;&gt;"",Weekly_Inspections!$AX434,IF(Weekly_Inspections!$AY434&lt;&gt;"",Weekly_Inspections!$AY434,IF(Weekly_Inspections!$AZ434&lt;&gt;"",Weekly_Inspections!$AZ434,IF(Weekly_Inspections!$BA434&lt;&gt;"",Weekly_Inspections!$BA434,IF(Weekly_Inspections!$BB434&lt;&gt;"",Weekly_Inspections!$BB434,Weekly_Inspections!$R434)))))</f>
        <v>0</v>
      </c>
      <c r="G434" s="23" t="str">
        <f>IF(OR(Weekly_Inspections!$AQ434&lt;&gt;"",Weekly_Inspections!$AR434&lt;&gt;"",Weekly_Inspections!$AS434&lt;&gt;""),Weekly_Inspections!$AQ434,"")</f>
        <v/>
      </c>
      <c r="H434" s="23">
        <f>Weekly_Inspections!$AP434</f>
        <v>0</v>
      </c>
      <c r="I434" s="23">
        <f>Weekly_Inspections!$AR434</f>
        <v>0</v>
      </c>
      <c r="J434" s="23">
        <f>Weekly_Inspections!$AS434</f>
        <v>0</v>
      </c>
      <c r="K434" s="23">
        <f>Weekly_Inspections!$AU434</f>
        <v>0</v>
      </c>
      <c r="L434" s="22">
        <f>Weekly_Inspections!$AV434</f>
        <v>0</v>
      </c>
      <c r="M434" s="23" t="str">
        <f t="shared" si="18"/>
        <v>Open</v>
      </c>
      <c r="N434" s="22"/>
      <c r="O434" s="21">
        <f t="shared" ca="1" si="19"/>
        <v>46113</v>
      </c>
      <c r="P434" s="21" t="str">
        <f t="shared" ca="1" si="20"/>
        <v>YES</v>
      </c>
      <c r="Q434" s="23">
        <f>Weekly_Inspections!$AW434</f>
        <v>0</v>
      </c>
    </row>
    <row r="435" spans="1:17" ht="15" customHeight="1" x14ac:dyDescent="0.2">
      <c r="A435" s="21" t="str">
        <f>IF(Weekly_Inspections!$B435="","",Weekly_Inspections!$A435&amp;"-A1")</f>
        <v/>
      </c>
      <c r="B435" s="22">
        <f>Weekly_Inspections!$B435</f>
        <v>0</v>
      </c>
      <c r="C435" s="23">
        <f>Weekly_Inspections!$E435</f>
        <v>0</v>
      </c>
      <c r="D435" s="23">
        <f>Weekly_Inspections!$F435</f>
        <v>0</v>
      </c>
      <c r="E435" s="21" t="str">
        <f>Weekly_Inspections!$H435</f>
        <v/>
      </c>
      <c r="F435" s="23">
        <f>IF(Weekly_Inspections!$AX435&lt;&gt;"",Weekly_Inspections!$AX435,IF(Weekly_Inspections!$AY435&lt;&gt;"",Weekly_Inspections!$AY435,IF(Weekly_Inspections!$AZ435&lt;&gt;"",Weekly_Inspections!$AZ435,IF(Weekly_Inspections!$BA435&lt;&gt;"",Weekly_Inspections!$BA435,IF(Weekly_Inspections!$BB435&lt;&gt;"",Weekly_Inspections!$BB435,Weekly_Inspections!$R435)))))</f>
        <v>0</v>
      </c>
      <c r="G435" s="23" t="str">
        <f>IF(OR(Weekly_Inspections!$AQ435&lt;&gt;"",Weekly_Inspections!$AR435&lt;&gt;"",Weekly_Inspections!$AS435&lt;&gt;""),Weekly_Inspections!$AQ435,"")</f>
        <v/>
      </c>
      <c r="H435" s="23">
        <f>Weekly_Inspections!$AP435</f>
        <v>0</v>
      </c>
      <c r="I435" s="23">
        <f>Weekly_Inspections!$AR435</f>
        <v>0</v>
      </c>
      <c r="J435" s="23">
        <f>Weekly_Inspections!$AS435</f>
        <v>0</v>
      </c>
      <c r="K435" s="23">
        <f>Weekly_Inspections!$AU435</f>
        <v>0</v>
      </c>
      <c r="L435" s="22">
        <f>Weekly_Inspections!$AV435</f>
        <v>0</v>
      </c>
      <c r="M435" s="23" t="str">
        <f t="shared" si="18"/>
        <v>Open</v>
      </c>
      <c r="N435" s="22"/>
      <c r="O435" s="21">
        <f t="shared" ca="1" si="19"/>
        <v>46113</v>
      </c>
      <c r="P435" s="21" t="str">
        <f t="shared" ca="1" si="20"/>
        <v>YES</v>
      </c>
      <c r="Q435" s="23">
        <f>Weekly_Inspections!$AW435</f>
        <v>0</v>
      </c>
    </row>
    <row r="436" spans="1:17" ht="15" customHeight="1" x14ac:dyDescent="0.2">
      <c r="A436" s="21" t="str">
        <f>IF(Weekly_Inspections!$B436="","",Weekly_Inspections!$A436&amp;"-A1")</f>
        <v/>
      </c>
      <c r="B436" s="22">
        <f>Weekly_Inspections!$B436</f>
        <v>0</v>
      </c>
      <c r="C436" s="23">
        <f>Weekly_Inspections!$E436</f>
        <v>0</v>
      </c>
      <c r="D436" s="23">
        <f>Weekly_Inspections!$F436</f>
        <v>0</v>
      </c>
      <c r="E436" s="21" t="str">
        <f>Weekly_Inspections!$H436</f>
        <v/>
      </c>
      <c r="F436" s="23">
        <f>IF(Weekly_Inspections!$AX436&lt;&gt;"",Weekly_Inspections!$AX436,IF(Weekly_Inspections!$AY436&lt;&gt;"",Weekly_Inspections!$AY436,IF(Weekly_Inspections!$AZ436&lt;&gt;"",Weekly_Inspections!$AZ436,IF(Weekly_Inspections!$BA436&lt;&gt;"",Weekly_Inspections!$BA436,IF(Weekly_Inspections!$BB436&lt;&gt;"",Weekly_Inspections!$BB436,Weekly_Inspections!$R436)))))</f>
        <v>0</v>
      </c>
      <c r="G436" s="23" t="str">
        <f>IF(OR(Weekly_Inspections!$AQ436&lt;&gt;"",Weekly_Inspections!$AR436&lt;&gt;"",Weekly_Inspections!$AS436&lt;&gt;""),Weekly_Inspections!$AQ436,"")</f>
        <v/>
      </c>
      <c r="H436" s="23">
        <f>Weekly_Inspections!$AP436</f>
        <v>0</v>
      </c>
      <c r="I436" s="23">
        <f>Weekly_Inspections!$AR436</f>
        <v>0</v>
      </c>
      <c r="J436" s="23">
        <f>Weekly_Inspections!$AS436</f>
        <v>0</v>
      </c>
      <c r="K436" s="23">
        <f>Weekly_Inspections!$AU436</f>
        <v>0</v>
      </c>
      <c r="L436" s="22">
        <f>Weekly_Inspections!$AV436</f>
        <v>0</v>
      </c>
      <c r="M436" s="23" t="str">
        <f t="shared" si="18"/>
        <v>Open</v>
      </c>
      <c r="N436" s="22"/>
      <c r="O436" s="21">
        <f t="shared" ca="1" si="19"/>
        <v>46113</v>
      </c>
      <c r="P436" s="21" t="str">
        <f t="shared" ca="1" si="20"/>
        <v>YES</v>
      </c>
      <c r="Q436" s="23">
        <f>Weekly_Inspections!$AW436</f>
        <v>0</v>
      </c>
    </row>
    <row r="437" spans="1:17" ht="15" customHeight="1" x14ac:dyDescent="0.2">
      <c r="A437" s="21" t="str">
        <f>IF(Weekly_Inspections!$B437="","",Weekly_Inspections!$A437&amp;"-A1")</f>
        <v/>
      </c>
      <c r="B437" s="22">
        <f>Weekly_Inspections!$B437</f>
        <v>0</v>
      </c>
      <c r="C437" s="23">
        <f>Weekly_Inspections!$E437</f>
        <v>0</v>
      </c>
      <c r="D437" s="23">
        <f>Weekly_Inspections!$F437</f>
        <v>0</v>
      </c>
      <c r="E437" s="21" t="str">
        <f>Weekly_Inspections!$H437</f>
        <v/>
      </c>
      <c r="F437" s="23">
        <f>IF(Weekly_Inspections!$AX437&lt;&gt;"",Weekly_Inspections!$AX437,IF(Weekly_Inspections!$AY437&lt;&gt;"",Weekly_Inspections!$AY437,IF(Weekly_Inspections!$AZ437&lt;&gt;"",Weekly_Inspections!$AZ437,IF(Weekly_Inspections!$BA437&lt;&gt;"",Weekly_Inspections!$BA437,IF(Weekly_Inspections!$BB437&lt;&gt;"",Weekly_Inspections!$BB437,Weekly_Inspections!$R437)))))</f>
        <v>0</v>
      </c>
      <c r="G437" s="23" t="str">
        <f>IF(OR(Weekly_Inspections!$AQ437&lt;&gt;"",Weekly_Inspections!$AR437&lt;&gt;"",Weekly_Inspections!$AS437&lt;&gt;""),Weekly_Inspections!$AQ437,"")</f>
        <v/>
      </c>
      <c r="H437" s="23">
        <f>Weekly_Inspections!$AP437</f>
        <v>0</v>
      </c>
      <c r="I437" s="23">
        <f>Weekly_Inspections!$AR437</f>
        <v>0</v>
      </c>
      <c r="J437" s="23">
        <f>Weekly_Inspections!$AS437</f>
        <v>0</v>
      </c>
      <c r="K437" s="23">
        <f>Weekly_Inspections!$AU437</f>
        <v>0</v>
      </c>
      <c r="L437" s="22">
        <f>Weekly_Inspections!$AV437</f>
        <v>0</v>
      </c>
      <c r="M437" s="23" t="str">
        <f t="shared" si="18"/>
        <v>Open</v>
      </c>
      <c r="N437" s="22"/>
      <c r="O437" s="21">
        <f t="shared" ca="1" si="19"/>
        <v>46113</v>
      </c>
      <c r="P437" s="21" t="str">
        <f t="shared" ca="1" si="20"/>
        <v>YES</v>
      </c>
      <c r="Q437" s="23">
        <f>Weekly_Inspections!$AW437</f>
        <v>0</v>
      </c>
    </row>
    <row r="438" spans="1:17" ht="15" customHeight="1" x14ac:dyDescent="0.2">
      <c r="A438" s="21" t="str">
        <f>IF(Weekly_Inspections!$B438="","",Weekly_Inspections!$A438&amp;"-A1")</f>
        <v/>
      </c>
      <c r="B438" s="22">
        <f>Weekly_Inspections!$B438</f>
        <v>0</v>
      </c>
      <c r="C438" s="23">
        <f>Weekly_Inspections!$E438</f>
        <v>0</v>
      </c>
      <c r="D438" s="23">
        <f>Weekly_Inspections!$F438</f>
        <v>0</v>
      </c>
      <c r="E438" s="21" t="str">
        <f>Weekly_Inspections!$H438</f>
        <v/>
      </c>
      <c r="F438" s="23">
        <f>IF(Weekly_Inspections!$AX438&lt;&gt;"",Weekly_Inspections!$AX438,IF(Weekly_Inspections!$AY438&lt;&gt;"",Weekly_Inspections!$AY438,IF(Weekly_Inspections!$AZ438&lt;&gt;"",Weekly_Inspections!$AZ438,IF(Weekly_Inspections!$BA438&lt;&gt;"",Weekly_Inspections!$BA438,IF(Weekly_Inspections!$BB438&lt;&gt;"",Weekly_Inspections!$BB438,Weekly_Inspections!$R438)))))</f>
        <v>0</v>
      </c>
      <c r="G438" s="23" t="str">
        <f>IF(OR(Weekly_Inspections!$AQ438&lt;&gt;"",Weekly_Inspections!$AR438&lt;&gt;"",Weekly_Inspections!$AS438&lt;&gt;""),Weekly_Inspections!$AQ438,"")</f>
        <v/>
      </c>
      <c r="H438" s="23">
        <f>Weekly_Inspections!$AP438</f>
        <v>0</v>
      </c>
      <c r="I438" s="23">
        <f>Weekly_Inspections!$AR438</f>
        <v>0</v>
      </c>
      <c r="J438" s="23">
        <f>Weekly_Inspections!$AS438</f>
        <v>0</v>
      </c>
      <c r="K438" s="23">
        <f>Weekly_Inspections!$AU438</f>
        <v>0</v>
      </c>
      <c r="L438" s="22">
        <f>Weekly_Inspections!$AV438</f>
        <v>0</v>
      </c>
      <c r="M438" s="23" t="str">
        <f t="shared" si="18"/>
        <v>Open</v>
      </c>
      <c r="N438" s="22"/>
      <c r="O438" s="21">
        <f t="shared" ca="1" si="19"/>
        <v>46113</v>
      </c>
      <c r="P438" s="21" t="str">
        <f t="shared" ca="1" si="20"/>
        <v>YES</v>
      </c>
      <c r="Q438" s="23">
        <f>Weekly_Inspections!$AW438</f>
        <v>0</v>
      </c>
    </row>
    <row r="439" spans="1:17" ht="15" customHeight="1" x14ac:dyDescent="0.2">
      <c r="A439" s="21" t="str">
        <f>IF(Weekly_Inspections!$B439="","",Weekly_Inspections!$A439&amp;"-A1")</f>
        <v/>
      </c>
      <c r="B439" s="22">
        <f>Weekly_Inspections!$B439</f>
        <v>0</v>
      </c>
      <c r="C439" s="23">
        <f>Weekly_Inspections!$E439</f>
        <v>0</v>
      </c>
      <c r="D439" s="23">
        <f>Weekly_Inspections!$F439</f>
        <v>0</v>
      </c>
      <c r="E439" s="21" t="str">
        <f>Weekly_Inspections!$H439</f>
        <v/>
      </c>
      <c r="F439" s="23">
        <f>IF(Weekly_Inspections!$AX439&lt;&gt;"",Weekly_Inspections!$AX439,IF(Weekly_Inspections!$AY439&lt;&gt;"",Weekly_Inspections!$AY439,IF(Weekly_Inspections!$AZ439&lt;&gt;"",Weekly_Inspections!$AZ439,IF(Weekly_Inspections!$BA439&lt;&gt;"",Weekly_Inspections!$BA439,IF(Weekly_Inspections!$BB439&lt;&gt;"",Weekly_Inspections!$BB439,Weekly_Inspections!$R439)))))</f>
        <v>0</v>
      </c>
      <c r="G439" s="23" t="str">
        <f>IF(OR(Weekly_Inspections!$AQ439&lt;&gt;"",Weekly_Inspections!$AR439&lt;&gt;"",Weekly_Inspections!$AS439&lt;&gt;""),Weekly_Inspections!$AQ439,"")</f>
        <v/>
      </c>
      <c r="H439" s="23">
        <f>Weekly_Inspections!$AP439</f>
        <v>0</v>
      </c>
      <c r="I439" s="23">
        <f>Weekly_Inspections!$AR439</f>
        <v>0</v>
      </c>
      <c r="J439" s="23">
        <f>Weekly_Inspections!$AS439</f>
        <v>0</v>
      </c>
      <c r="K439" s="23">
        <f>Weekly_Inspections!$AU439</f>
        <v>0</v>
      </c>
      <c r="L439" s="22">
        <f>Weekly_Inspections!$AV439</f>
        <v>0</v>
      </c>
      <c r="M439" s="23" t="str">
        <f t="shared" si="18"/>
        <v>Open</v>
      </c>
      <c r="N439" s="22"/>
      <c r="O439" s="21">
        <f t="shared" ca="1" si="19"/>
        <v>46113</v>
      </c>
      <c r="P439" s="21" t="str">
        <f t="shared" ca="1" si="20"/>
        <v>YES</v>
      </c>
      <c r="Q439" s="23">
        <f>Weekly_Inspections!$AW439</f>
        <v>0</v>
      </c>
    </row>
    <row r="440" spans="1:17" ht="15" customHeight="1" x14ac:dyDescent="0.2">
      <c r="A440" s="21" t="str">
        <f>IF(Weekly_Inspections!$B440="","",Weekly_Inspections!$A440&amp;"-A1")</f>
        <v/>
      </c>
      <c r="B440" s="22">
        <f>Weekly_Inspections!$B440</f>
        <v>0</v>
      </c>
      <c r="C440" s="23">
        <f>Weekly_Inspections!$E440</f>
        <v>0</v>
      </c>
      <c r="D440" s="23">
        <f>Weekly_Inspections!$F440</f>
        <v>0</v>
      </c>
      <c r="E440" s="21" t="str">
        <f>Weekly_Inspections!$H440</f>
        <v/>
      </c>
      <c r="F440" s="23">
        <f>IF(Weekly_Inspections!$AX440&lt;&gt;"",Weekly_Inspections!$AX440,IF(Weekly_Inspections!$AY440&lt;&gt;"",Weekly_Inspections!$AY440,IF(Weekly_Inspections!$AZ440&lt;&gt;"",Weekly_Inspections!$AZ440,IF(Weekly_Inspections!$BA440&lt;&gt;"",Weekly_Inspections!$BA440,IF(Weekly_Inspections!$BB440&lt;&gt;"",Weekly_Inspections!$BB440,Weekly_Inspections!$R440)))))</f>
        <v>0</v>
      </c>
      <c r="G440" s="23" t="str">
        <f>IF(OR(Weekly_Inspections!$AQ440&lt;&gt;"",Weekly_Inspections!$AR440&lt;&gt;"",Weekly_Inspections!$AS440&lt;&gt;""),Weekly_Inspections!$AQ440,"")</f>
        <v/>
      </c>
      <c r="H440" s="23">
        <f>Weekly_Inspections!$AP440</f>
        <v>0</v>
      </c>
      <c r="I440" s="23">
        <f>Weekly_Inspections!$AR440</f>
        <v>0</v>
      </c>
      <c r="J440" s="23">
        <f>Weekly_Inspections!$AS440</f>
        <v>0</v>
      </c>
      <c r="K440" s="23">
        <f>Weekly_Inspections!$AU440</f>
        <v>0</v>
      </c>
      <c r="L440" s="22">
        <f>Weekly_Inspections!$AV440</f>
        <v>0</v>
      </c>
      <c r="M440" s="23" t="str">
        <f t="shared" si="18"/>
        <v>Open</v>
      </c>
      <c r="N440" s="22"/>
      <c r="O440" s="21">
        <f t="shared" ca="1" si="19"/>
        <v>46113</v>
      </c>
      <c r="P440" s="21" t="str">
        <f t="shared" ca="1" si="20"/>
        <v>YES</v>
      </c>
      <c r="Q440" s="23">
        <f>Weekly_Inspections!$AW440</f>
        <v>0</v>
      </c>
    </row>
    <row r="441" spans="1:17" ht="15" customHeight="1" x14ac:dyDescent="0.2">
      <c r="A441" s="21" t="str">
        <f>IF(Weekly_Inspections!$B441="","",Weekly_Inspections!$A441&amp;"-A1")</f>
        <v/>
      </c>
      <c r="B441" s="22">
        <f>Weekly_Inspections!$B441</f>
        <v>0</v>
      </c>
      <c r="C441" s="23">
        <f>Weekly_Inspections!$E441</f>
        <v>0</v>
      </c>
      <c r="D441" s="23">
        <f>Weekly_Inspections!$F441</f>
        <v>0</v>
      </c>
      <c r="E441" s="21" t="str">
        <f>Weekly_Inspections!$H441</f>
        <v/>
      </c>
      <c r="F441" s="23">
        <f>IF(Weekly_Inspections!$AX441&lt;&gt;"",Weekly_Inspections!$AX441,IF(Weekly_Inspections!$AY441&lt;&gt;"",Weekly_Inspections!$AY441,IF(Weekly_Inspections!$AZ441&lt;&gt;"",Weekly_Inspections!$AZ441,IF(Weekly_Inspections!$BA441&lt;&gt;"",Weekly_Inspections!$BA441,IF(Weekly_Inspections!$BB441&lt;&gt;"",Weekly_Inspections!$BB441,Weekly_Inspections!$R441)))))</f>
        <v>0</v>
      </c>
      <c r="G441" s="23" t="str">
        <f>IF(OR(Weekly_Inspections!$AQ441&lt;&gt;"",Weekly_Inspections!$AR441&lt;&gt;"",Weekly_Inspections!$AS441&lt;&gt;""),Weekly_Inspections!$AQ441,"")</f>
        <v/>
      </c>
      <c r="H441" s="23">
        <f>Weekly_Inspections!$AP441</f>
        <v>0</v>
      </c>
      <c r="I441" s="23">
        <f>Weekly_Inspections!$AR441</f>
        <v>0</v>
      </c>
      <c r="J441" s="23">
        <f>Weekly_Inspections!$AS441</f>
        <v>0</v>
      </c>
      <c r="K441" s="23">
        <f>Weekly_Inspections!$AU441</f>
        <v>0</v>
      </c>
      <c r="L441" s="22">
        <f>Weekly_Inspections!$AV441</f>
        <v>0</v>
      </c>
      <c r="M441" s="23" t="str">
        <f t="shared" si="18"/>
        <v>Open</v>
      </c>
      <c r="N441" s="22"/>
      <c r="O441" s="21">
        <f t="shared" ca="1" si="19"/>
        <v>46113</v>
      </c>
      <c r="P441" s="21" t="str">
        <f t="shared" ca="1" si="20"/>
        <v>YES</v>
      </c>
      <c r="Q441" s="23">
        <f>Weekly_Inspections!$AW441</f>
        <v>0</v>
      </c>
    </row>
    <row r="442" spans="1:17" ht="15" customHeight="1" x14ac:dyDescent="0.2">
      <c r="A442" s="21" t="str">
        <f>IF(Weekly_Inspections!$B442="","",Weekly_Inspections!$A442&amp;"-A1")</f>
        <v/>
      </c>
      <c r="B442" s="22">
        <f>Weekly_Inspections!$B442</f>
        <v>0</v>
      </c>
      <c r="C442" s="23">
        <f>Weekly_Inspections!$E442</f>
        <v>0</v>
      </c>
      <c r="D442" s="23">
        <f>Weekly_Inspections!$F442</f>
        <v>0</v>
      </c>
      <c r="E442" s="21" t="str">
        <f>Weekly_Inspections!$H442</f>
        <v/>
      </c>
      <c r="F442" s="23">
        <f>IF(Weekly_Inspections!$AX442&lt;&gt;"",Weekly_Inspections!$AX442,IF(Weekly_Inspections!$AY442&lt;&gt;"",Weekly_Inspections!$AY442,IF(Weekly_Inspections!$AZ442&lt;&gt;"",Weekly_Inspections!$AZ442,IF(Weekly_Inspections!$BA442&lt;&gt;"",Weekly_Inspections!$BA442,IF(Weekly_Inspections!$BB442&lt;&gt;"",Weekly_Inspections!$BB442,Weekly_Inspections!$R442)))))</f>
        <v>0</v>
      </c>
      <c r="G442" s="23" t="str">
        <f>IF(OR(Weekly_Inspections!$AQ442&lt;&gt;"",Weekly_Inspections!$AR442&lt;&gt;"",Weekly_Inspections!$AS442&lt;&gt;""),Weekly_Inspections!$AQ442,"")</f>
        <v/>
      </c>
      <c r="H442" s="23">
        <f>Weekly_Inspections!$AP442</f>
        <v>0</v>
      </c>
      <c r="I442" s="23">
        <f>Weekly_Inspections!$AR442</f>
        <v>0</v>
      </c>
      <c r="J442" s="23">
        <f>Weekly_Inspections!$AS442</f>
        <v>0</v>
      </c>
      <c r="K442" s="23">
        <f>Weekly_Inspections!$AU442</f>
        <v>0</v>
      </c>
      <c r="L442" s="22">
        <f>Weekly_Inspections!$AV442</f>
        <v>0</v>
      </c>
      <c r="M442" s="23" t="str">
        <f t="shared" si="18"/>
        <v>Open</v>
      </c>
      <c r="N442" s="22"/>
      <c r="O442" s="21">
        <f t="shared" ca="1" si="19"/>
        <v>46113</v>
      </c>
      <c r="P442" s="21" t="str">
        <f t="shared" ca="1" si="20"/>
        <v>YES</v>
      </c>
      <c r="Q442" s="23">
        <f>Weekly_Inspections!$AW442</f>
        <v>0</v>
      </c>
    </row>
    <row r="443" spans="1:17" ht="15" customHeight="1" x14ac:dyDescent="0.2">
      <c r="A443" s="21" t="str">
        <f>IF(Weekly_Inspections!$B443="","",Weekly_Inspections!$A443&amp;"-A1")</f>
        <v/>
      </c>
      <c r="B443" s="22">
        <f>Weekly_Inspections!$B443</f>
        <v>0</v>
      </c>
      <c r="C443" s="23">
        <f>Weekly_Inspections!$E443</f>
        <v>0</v>
      </c>
      <c r="D443" s="23">
        <f>Weekly_Inspections!$F443</f>
        <v>0</v>
      </c>
      <c r="E443" s="21" t="str">
        <f>Weekly_Inspections!$H443</f>
        <v/>
      </c>
      <c r="F443" s="23">
        <f>IF(Weekly_Inspections!$AX443&lt;&gt;"",Weekly_Inspections!$AX443,IF(Weekly_Inspections!$AY443&lt;&gt;"",Weekly_Inspections!$AY443,IF(Weekly_Inspections!$AZ443&lt;&gt;"",Weekly_Inspections!$AZ443,IF(Weekly_Inspections!$BA443&lt;&gt;"",Weekly_Inspections!$BA443,IF(Weekly_Inspections!$BB443&lt;&gt;"",Weekly_Inspections!$BB443,Weekly_Inspections!$R443)))))</f>
        <v>0</v>
      </c>
      <c r="G443" s="23" t="str">
        <f>IF(OR(Weekly_Inspections!$AQ443&lt;&gt;"",Weekly_Inspections!$AR443&lt;&gt;"",Weekly_Inspections!$AS443&lt;&gt;""),Weekly_Inspections!$AQ443,"")</f>
        <v/>
      </c>
      <c r="H443" s="23">
        <f>Weekly_Inspections!$AP443</f>
        <v>0</v>
      </c>
      <c r="I443" s="23">
        <f>Weekly_Inspections!$AR443</f>
        <v>0</v>
      </c>
      <c r="J443" s="23">
        <f>Weekly_Inspections!$AS443</f>
        <v>0</v>
      </c>
      <c r="K443" s="23">
        <f>Weekly_Inspections!$AU443</f>
        <v>0</v>
      </c>
      <c r="L443" s="22">
        <f>Weekly_Inspections!$AV443</f>
        <v>0</v>
      </c>
      <c r="M443" s="23" t="str">
        <f t="shared" si="18"/>
        <v>Open</v>
      </c>
      <c r="N443" s="22"/>
      <c r="O443" s="21">
        <f t="shared" ca="1" si="19"/>
        <v>46113</v>
      </c>
      <c r="P443" s="21" t="str">
        <f t="shared" ca="1" si="20"/>
        <v>YES</v>
      </c>
      <c r="Q443" s="23">
        <f>Weekly_Inspections!$AW443</f>
        <v>0</v>
      </c>
    </row>
    <row r="444" spans="1:17" ht="15" customHeight="1" x14ac:dyDescent="0.2">
      <c r="A444" s="21" t="str">
        <f>IF(Weekly_Inspections!$B444="","",Weekly_Inspections!$A444&amp;"-A1")</f>
        <v/>
      </c>
      <c r="B444" s="22">
        <f>Weekly_Inspections!$B444</f>
        <v>0</v>
      </c>
      <c r="C444" s="23">
        <f>Weekly_Inspections!$E444</f>
        <v>0</v>
      </c>
      <c r="D444" s="23">
        <f>Weekly_Inspections!$F444</f>
        <v>0</v>
      </c>
      <c r="E444" s="21" t="str">
        <f>Weekly_Inspections!$H444</f>
        <v/>
      </c>
      <c r="F444" s="23">
        <f>IF(Weekly_Inspections!$AX444&lt;&gt;"",Weekly_Inspections!$AX444,IF(Weekly_Inspections!$AY444&lt;&gt;"",Weekly_Inspections!$AY444,IF(Weekly_Inspections!$AZ444&lt;&gt;"",Weekly_Inspections!$AZ444,IF(Weekly_Inspections!$BA444&lt;&gt;"",Weekly_Inspections!$BA444,IF(Weekly_Inspections!$BB444&lt;&gt;"",Weekly_Inspections!$BB444,Weekly_Inspections!$R444)))))</f>
        <v>0</v>
      </c>
      <c r="G444" s="23" t="str">
        <f>IF(OR(Weekly_Inspections!$AQ444&lt;&gt;"",Weekly_Inspections!$AR444&lt;&gt;"",Weekly_Inspections!$AS444&lt;&gt;""),Weekly_Inspections!$AQ444,"")</f>
        <v/>
      </c>
      <c r="H444" s="23">
        <f>Weekly_Inspections!$AP444</f>
        <v>0</v>
      </c>
      <c r="I444" s="23">
        <f>Weekly_Inspections!$AR444</f>
        <v>0</v>
      </c>
      <c r="J444" s="23">
        <f>Weekly_Inspections!$AS444</f>
        <v>0</v>
      </c>
      <c r="K444" s="23">
        <f>Weekly_Inspections!$AU444</f>
        <v>0</v>
      </c>
      <c r="L444" s="22">
        <f>Weekly_Inspections!$AV444</f>
        <v>0</v>
      </c>
      <c r="M444" s="23" t="str">
        <f t="shared" si="18"/>
        <v>Open</v>
      </c>
      <c r="N444" s="22"/>
      <c r="O444" s="21">
        <f t="shared" ca="1" si="19"/>
        <v>46113</v>
      </c>
      <c r="P444" s="21" t="str">
        <f t="shared" ca="1" si="20"/>
        <v>YES</v>
      </c>
      <c r="Q444" s="23">
        <f>Weekly_Inspections!$AW444</f>
        <v>0</v>
      </c>
    </row>
    <row r="445" spans="1:17" ht="15" customHeight="1" x14ac:dyDescent="0.2">
      <c r="A445" s="21" t="str">
        <f>IF(Weekly_Inspections!$B445="","",Weekly_Inspections!$A445&amp;"-A1")</f>
        <v/>
      </c>
      <c r="B445" s="22">
        <f>Weekly_Inspections!$B445</f>
        <v>0</v>
      </c>
      <c r="C445" s="23">
        <f>Weekly_Inspections!$E445</f>
        <v>0</v>
      </c>
      <c r="D445" s="23">
        <f>Weekly_Inspections!$F445</f>
        <v>0</v>
      </c>
      <c r="E445" s="21" t="str">
        <f>Weekly_Inspections!$H445</f>
        <v/>
      </c>
      <c r="F445" s="23">
        <f>IF(Weekly_Inspections!$AX445&lt;&gt;"",Weekly_Inspections!$AX445,IF(Weekly_Inspections!$AY445&lt;&gt;"",Weekly_Inspections!$AY445,IF(Weekly_Inspections!$AZ445&lt;&gt;"",Weekly_Inspections!$AZ445,IF(Weekly_Inspections!$BA445&lt;&gt;"",Weekly_Inspections!$BA445,IF(Weekly_Inspections!$BB445&lt;&gt;"",Weekly_Inspections!$BB445,Weekly_Inspections!$R445)))))</f>
        <v>0</v>
      </c>
      <c r="G445" s="23" t="str">
        <f>IF(OR(Weekly_Inspections!$AQ445&lt;&gt;"",Weekly_Inspections!$AR445&lt;&gt;"",Weekly_Inspections!$AS445&lt;&gt;""),Weekly_Inspections!$AQ445,"")</f>
        <v/>
      </c>
      <c r="H445" s="23">
        <f>Weekly_Inspections!$AP445</f>
        <v>0</v>
      </c>
      <c r="I445" s="23">
        <f>Weekly_Inspections!$AR445</f>
        <v>0</v>
      </c>
      <c r="J445" s="23">
        <f>Weekly_Inspections!$AS445</f>
        <v>0</v>
      </c>
      <c r="K445" s="23">
        <f>Weekly_Inspections!$AU445</f>
        <v>0</v>
      </c>
      <c r="L445" s="22">
        <f>Weekly_Inspections!$AV445</f>
        <v>0</v>
      </c>
      <c r="M445" s="23" t="str">
        <f t="shared" si="18"/>
        <v>Open</v>
      </c>
      <c r="N445" s="22"/>
      <c r="O445" s="21">
        <f t="shared" ca="1" si="19"/>
        <v>46113</v>
      </c>
      <c r="P445" s="21" t="str">
        <f t="shared" ca="1" si="20"/>
        <v>YES</v>
      </c>
      <c r="Q445" s="23">
        <f>Weekly_Inspections!$AW445</f>
        <v>0</v>
      </c>
    </row>
    <row r="446" spans="1:17" ht="15" customHeight="1" x14ac:dyDescent="0.2">
      <c r="A446" s="21" t="str">
        <f>IF(Weekly_Inspections!$B446="","",Weekly_Inspections!$A446&amp;"-A1")</f>
        <v/>
      </c>
      <c r="B446" s="22">
        <f>Weekly_Inspections!$B446</f>
        <v>0</v>
      </c>
      <c r="C446" s="23">
        <f>Weekly_Inspections!$E446</f>
        <v>0</v>
      </c>
      <c r="D446" s="23">
        <f>Weekly_Inspections!$F446</f>
        <v>0</v>
      </c>
      <c r="E446" s="21" t="str">
        <f>Weekly_Inspections!$H446</f>
        <v/>
      </c>
      <c r="F446" s="23">
        <f>IF(Weekly_Inspections!$AX446&lt;&gt;"",Weekly_Inspections!$AX446,IF(Weekly_Inspections!$AY446&lt;&gt;"",Weekly_Inspections!$AY446,IF(Weekly_Inspections!$AZ446&lt;&gt;"",Weekly_Inspections!$AZ446,IF(Weekly_Inspections!$BA446&lt;&gt;"",Weekly_Inspections!$BA446,IF(Weekly_Inspections!$BB446&lt;&gt;"",Weekly_Inspections!$BB446,Weekly_Inspections!$R446)))))</f>
        <v>0</v>
      </c>
      <c r="G446" s="23" t="str">
        <f>IF(OR(Weekly_Inspections!$AQ446&lt;&gt;"",Weekly_Inspections!$AR446&lt;&gt;"",Weekly_Inspections!$AS446&lt;&gt;""),Weekly_Inspections!$AQ446,"")</f>
        <v/>
      </c>
      <c r="H446" s="23">
        <f>Weekly_Inspections!$AP446</f>
        <v>0</v>
      </c>
      <c r="I446" s="23">
        <f>Weekly_Inspections!$AR446</f>
        <v>0</v>
      </c>
      <c r="J446" s="23">
        <f>Weekly_Inspections!$AS446</f>
        <v>0</v>
      </c>
      <c r="K446" s="23">
        <f>Weekly_Inspections!$AU446</f>
        <v>0</v>
      </c>
      <c r="L446" s="22">
        <f>Weekly_Inspections!$AV446</f>
        <v>0</v>
      </c>
      <c r="M446" s="23" t="str">
        <f t="shared" si="18"/>
        <v>Open</v>
      </c>
      <c r="N446" s="22"/>
      <c r="O446" s="21">
        <f t="shared" ca="1" si="19"/>
        <v>46113</v>
      </c>
      <c r="P446" s="21" t="str">
        <f t="shared" ca="1" si="20"/>
        <v>YES</v>
      </c>
      <c r="Q446" s="23">
        <f>Weekly_Inspections!$AW446</f>
        <v>0</v>
      </c>
    </row>
    <row r="447" spans="1:17" ht="15" customHeight="1" x14ac:dyDescent="0.2">
      <c r="A447" s="21" t="str">
        <f>IF(Weekly_Inspections!$B447="","",Weekly_Inspections!$A447&amp;"-A1")</f>
        <v/>
      </c>
      <c r="B447" s="22">
        <f>Weekly_Inspections!$B447</f>
        <v>0</v>
      </c>
      <c r="C447" s="23">
        <f>Weekly_Inspections!$E447</f>
        <v>0</v>
      </c>
      <c r="D447" s="23">
        <f>Weekly_Inspections!$F447</f>
        <v>0</v>
      </c>
      <c r="E447" s="21" t="str">
        <f>Weekly_Inspections!$H447</f>
        <v/>
      </c>
      <c r="F447" s="23">
        <f>IF(Weekly_Inspections!$AX447&lt;&gt;"",Weekly_Inspections!$AX447,IF(Weekly_Inspections!$AY447&lt;&gt;"",Weekly_Inspections!$AY447,IF(Weekly_Inspections!$AZ447&lt;&gt;"",Weekly_Inspections!$AZ447,IF(Weekly_Inspections!$BA447&lt;&gt;"",Weekly_Inspections!$BA447,IF(Weekly_Inspections!$BB447&lt;&gt;"",Weekly_Inspections!$BB447,Weekly_Inspections!$R447)))))</f>
        <v>0</v>
      </c>
      <c r="G447" s="23" t="str">
        <f>IF(OR(Weekly_Inspections!$AQ447&lt;&gt;"",Weekly_Inspections!$AR447&lt;&gt;"",Weekly_Inspections!$AS447&lt;&gt;""),Weekly_Inspections!$AQ447,"")</f>
        <v/>
      </c>
      <c r="H447" s="23">
        <f>Weekly_Inspections!$AP447</f>
        <v>0</v>
      </c>
      <c r="I447" s="23">
        <f>Weekly_Inspections!$AR447</f>
        <v>0</v>
      </c>
      <c r="J447" s="23">
        <f>Weekly_Inspections!$AS447</f>
        <v>0</v>
      </c>
      <c r="K447" s="23">
        <f>Weekly_Inspections!$AU447</f>
        <v>0</v>
      </c>
      <c r="L447" s="22">
        <f>Weekly_Inspections!$AV447</f>
        <v>0</v>
      </c>
      <c r="M447" s="23" t="str">
        <f t="shared" si="18"/>
        <v>Open</v>
      </c>
      <c r="N447" s="22"/>
      <c r="O447" s="21">
        <f t="shared" ca="1" si="19"/>
        <v>46113</v>
      </c>
      <c r="P447" s="21" t="str">
        <f t="shared" ca="1" si="20"/>
        <v>YES</v>
      </c>
      <c r="Q447" s="23">
        <f>Weekly_Inspections!$AW447</f>
        <v>0</v>
      </c>
    </row>
    <row r="448" spans="1:17" ht="15" customHeight="1" x14ac:dyDescent="0.2">
      <c r="A448" s="21" t="str">
        <f>IF(Weekly_Inspections!$B448="","",Weekly_Inspections!$A448&amp;"-A1")</f>
        <v/>
      </c>
      <c r="B448" s="22">
        <f>Weekly_Inspections!$B448</f>
        <v>0</v>
      </c>
      <c r="C448" s="23">
        <f>Weekly_Inspections!$E448</f>
        <v>0</v>
      </c>
      <c r="D448" s="23">
        <f>Weekly_Inspections!$F448</f>
        <v>0</v>
      </c>
      <c r="E448" s="21" t="str">
        <f>Weekly_Inspections!$H448</f>
        <v/>
      </c>
      <c r="F448" s="23">
        <f>IF(Weekly_Inspections!$AX448&lt;&gt;"",Weekly_Inspections!$AX448,IF(Weekly_Inspections!$AY448&lt;&gt;"",Weekly_Inspections!$AY448,IF(Weekly_Inspections!$AZ448&lt;&gt;"",Weekly_Inspections!$AZ448,IF(Weekly_Inspections!$BA448&lt;&gt;"",Weekly_Inspections!$BA448,IF(Weekly_Inspections!$BB448&lt;&gt;"",Weekly_Inspections!$BB448,Weekly_Inspections!$R448)))))</f>
        <v>0</v>
      </c>
      <c r="G448" s="23" t="str">
        <f>IF(OR(Weekly_Inspections!$AQ448&lt;&gt;"",Weekly_Inspections!$AR448&lt;&gt;"",Weekly_Inspections!$AS448&lt;&gt;""),Weekly_Inspections!$AQ448,"")</f>
        <v/>
      </c>
      <c r="H448" s="23">
        <f>Weekly_Inspections!$AP448</f>
        <v>0</v>
      </c>
      <c r="I448" s="23">
        <f>Weekly_Inspections!$AR448</f>
        <v>0</v>
      </c>
      <c r="J448" s="23">
        <f>Weekly_Inspections!$AS448</f>
        <v>0</v>
      </c>
      <c r="K448" s="23">
        <f>Weekly_Inspections!$AU448</f>
        <v>0</v>
      </c>
      <c r="L448" s="22">
        <f>Weekly_Inspections!$AV448</f>
        <v>0</v>
      </c>
      <c r="M448" s="23" t="str">
        <f t="shared" ref="M448:M511" si="21">IF($B448="","",IF($N448&lt;&gt;"","Closed",IF(OR($G448&lt;&gt;"",$I448&lt;&gt;"",$J448&lt;&gt;""),"Open","")))</f>
        <v>Open</v>
      </c>
      <c r="N448" s="22"/>
      <c r="O448" s="21">
        <f t="shared" ref="O448:O511" ca="1" si="22">IF($B448="","",IF($M448="Closed",IF($N448="","",$N448-$B448),TODAY()-$B448))</f>
        <v>46113</v>
      </c>
      <c r="P448" s="21" t="str">
        <f t="shared" ref="P448:P511" ca="1" si="23">IF(OR($B448="",$L448="",$M448="Closed"),"",IF(TODAY()&gt;$L448,"YES","NO"))</f>
        <v>YES</v>
      </c>
      <c r="Q448" s="23">
        <f>Weekly_Inspections!$AW448</f>
        <v>0</v>
      </c>
    </row>
    <row r="449" spans="1:17" ht="15" customHeight="1" x14ac:dyDescent="0.2">
      <c r="A449" s="21" t="str">
        <f>IF(Weekly_Inspections!$B449="","",Weekly_Inspections!$A449&amp;"-A1")</f>
        <v/>
      </c>
      <c r="B449" s="22">
        <f>Weekly_Inspections!$B449</f>
        <v>0</v>
      </c>
      <c r="C449" s="23">
        <f>Weekly_Inspections!$E449</f>
        <v>0</v>
      </c>
      <c r="D449" s="23">
        <f>Weekly_Inspections!$F449</f>
        <v>0</v>
      </c>
      <c r="E449" s="21" t="str">
        <f>Weekly_Inspections!$H449</f>
        <v/>
      </c>
      <c r="F449" s="23">
        <f>IF(Weekly_Inspections!$AX449&lt;&gt;"",Weekly_Inspections!$AX449,IF(Weekly_Inspections!$AY449&lt;&gt;"",Weekly_Inspections!$AY449,IF(Weekly_Inspections!$AZ449&lt;&gt;"",Weekly_Inspections!$AZ449,IF(Weekly_Inspections!$BA449&lt;&gt;"",Weekly_Inspections!$BA449,IF(Weekly_Inspections!$BB449&lt;&gt;"",Weekly_Inspections!$BB449,Weekly_Inspections!$R449)))))</f>
        <v>0</v>
      </c>
      <c r="G449" s="23" t="str">
        <f>IF(OR(Weekly_Inspections!$AQ449&lt;&gt;"",Weekly_Inspections!$AR449&lt;&gt;"",Weekly_Inspections!$AS449&lt;&gt;""),Weekly_Inspections!$AQ449,"")</f>
        <v/>
      </c>
      <c r="H449" s="23">
        <f>Weekly_Inspections!$AP449</f>
        <v>0</v>
      </c>
      <c r="I449" s="23">
        <f>Weekly_Inspections!$AR449</f>
        <v>0</v>
      </c>
      <c r="J449" s="23">
        <f>Weekly_Inspections!$AS449</f>
        <v>0</v>
      </c>
      <c r="K449" s="23">
        <f>Weekly_Inspections!$AU449</f>
        <v>0</v>
      </c>
      <c r="L449" s="22">
        <f>Weekly_Inspections!$AV449</f>
        <v>0</v>
      </c>
      <c r="M449" s="23" t="str">
        <f t="shared" si="21"/>
        <v>Open</v>
      </c>
      <c r="N449" s="22"/>
      <c r="O449" s="21">
        <f t="shared" ca="1" si="22"/>
        <v>46113</v>
      </c>
      <c r="P449" s="21" t="str">
        <f t="shared" ca="1" si="23"/>
        <v>YES</v>
      </c>
      <c r="Q449" s="23">
        <f>Weekly_Inspections!$AW449</f>
        <v>0</v>
      </c>
    </row>
    <row r="450" spans="1:17" ht="15" customHeight="1" x14ac:dyDescent="0.2">
      <c r="A450" s="21" t="str">
        <f>IF(Weekly_Inspections!$B450="","",Weekly_Inspections!$A450&amp;"-A1")</f>
        <v/>
      </c>
      <c r="B450" s="22">
        <f>Weekly_Inspections!$B450</f>
        <v>0</v>
      </c>
      <c r="C450" s="23">
        <f>Weekly_Inspections!$E450</f>
        <v>0</v>
      </c>
      <c r="D450" s="23">
        <f>Weekly_Inspections!$F450</f>
        <v>0</v>
      </c>
      <c r="E450" s="21" t="str">
        <f>Weekly_Inspections!$H450</f>
        <v/>
      </c>
      <c r="F450" s="23">
        <f>IF(Weekly_Inspections!$AX450&lt;&gt;"",Weekly_Inspections!$AX450,IF(Weekly_Inspections!$AY450&lt;&gt;"",Weekly_Inspections!$AY450,IF(Weekly_Inspections!$AZ450&lt;&gt;"",Weekly_Inspections!$AZ450,IF(Weekly_Inspections!$BA450&lt;&gt;"",Weekly_Inspections!$BA450,IF(Weekly_Inspections!$BB450&lt;&gt;"",Weekly_Inspections!$BB450,Weekly_Inspections!$R450)))))</f>
        <v>0</v>
      </c>
      <c r="G450" s="23" t="str">
        <f>IF(OR(Weekly_Inspections!$AQ450&lt;&gt;"",Weekly_Inspections!$AR450&lt;&gt;"",Weekly_Inspections!$AS450&lt;&gt;""),Weekly_Inspections!$AQ450,"")</f>
        <v/>
      </c>
      <c r="H450" s="23">
        <f>Weekly_Inspections!$AP450</f>
        <v>0</v>
      </c>
      <c r="I450" s="23">
        <f>Weekly_Inspections!$AR450</f>
        <v>0</v>
      </c>
      <c r="J450" s="23">
        <f>Weekly_Inspections!$AS450</f>
        <v>0</v>
      </c>
      <c r="K450" s="23">
        <f>Weekly_Inspections!$AU450</f>
        <v>0</v>
      </c>
      <c r="L450" s="22">
        <f>Weekly_Inspections!$AV450</f>
        <v>0</v>
      </c>
      <c r="M450" s="23" t="str">
        <f t="shared" si="21"/>
        <v>Open</v>
      </c>
      <c r="N450" s="22"/>
      <c r="O450" s="21">
        <f t="shared" ca="1" si="22"/>
        <v>46113</v>
      </c>
      <c r="P450" s="21" t="str">
        <f t="shared" ca="1" si="23"/>
        <v>YES</v>
      </c>
      <c r="Q450" s="23">
        <f>Weekly_Inspections!$AW450</f>
        <v>0</v>
      </c>
    </row>
    <row r="451" spans="1:17" ht="15" customHeight="1" x14ac:dyDescent="0.2">
      <c r="A451" s="21" t="str">
        <f>IF(Weekly_Inspections!$B451="","",Weekly_Inspections!$A451&amp;"-A1")</f>
        <v/>
      </c>
      <c r="B451" s="22">
        <f>Weekly_Inspections!$B451</f>
        <v>0</v>
      </c>
      <c r="C451" s="23">
        <f>Weekly_Inspections!$E451</f>
        <v>0</v>
      </c>
      <c r="D451" s="23">
        <f>Weekly_Inspections!$F451</f>
        <v>0</v>
      </c>
      <c r="E451" s="21" t="str">
        <f>Weekly_Inspections!$H451</f>
        <v/>
      </c>
      <c r="F451" s="23">
        <f>IF(Weekly_Inspections!$AX451&lt;&gt;"",Weekly_Inspections!$AX451,IF(Weekly_Inspections!$AY451&lt;&gt;"",Weekly_Inspections!$AY451,IF(Weekly_Inspections!$AZ451&lt;&gt;"",Weekly_Inspections!$AZ451,IF(Weekly_Inspections!$BA451&lt;&gt;"",Weekly_Inspections!$BA451,IF(Weekly_Inspections!$BB451&lt;&gt;"",Weekly_Inspections!$BB451,Weekly_Inspections!$R451)))))</f>
        <v>0</v>
      </c>
      <c r="G451" s="23" t="str">
        <f>IF(OR(Weekly_Inspections!$AQ451&lt;&gt;"",Weekly_Inspections!$AR451&lt;&gt;"",Weekly_Inspections!$AS451&lt;&gt;""),Weekly_Inspections!$AQ451,"")</f>
        <v/>
      </c>
      <c r="H451" s="23">
        <f>Weekly_Inspections!$AP451</f>
        <v>0</v>
      </c>
      <c r="I451" s="23">
        <f>Weekly_Inspections!$AR451</f>
        <v>0</v>
      </c>
      <c r="J451" s="23">
        <f>Weekly_Inspections!$AS451</f>
        <v>0</v>
      </c>
      <c r="K451" s="23">
        <f>Weekly_Inspections!$AU451</f>
        <v>0</v>
      </c>
      <c r="L451" s="22">
        <f>Weekly_Inspections!$AV451</f>
        <v>0</v>
      </c>
      <c r="M451" s="23" t="str">
        <f t="shared" si="21"/>
        <v>Open</v>
      </c>
      <c r="N451" s="22"/>
      <c r="O451" s="21">
        <f t="shared" ca="1" si="22"/>
        <v>46113</v>
      </c>
      <c r="P451" s="21" t="str">
        <f t="shared" ca="1" si="23"/>
        <v>YES</v>
      </c>
      <c r="Q451" s="23">
        <f>Weekly_Inspections!$AW451</f>
        <v>0</v>
      </c>
    </row>
    <row r="452" spans="1:17" ht="15" customHeight="1" x14ac:dyDescent="0.2">
      <c r="A452" s="21" t="str">
        <f>IF(Weekly_Inspections!$B452="","",Weekly_Inspections!$A452&amp;"-A1")</f>
        <v/>
      </c>
      <c r="B452" s="22">
        <f>Weekly_Inspections!$B452</f>
        <v>0</v>
      </c>
      <c r="C452" s="23">
        <f>Weekly_Inspections!$E452</f>
        <v>0</v>
      </c>
      <c r="D452" s="23">
        <f>Weekly_Inspections!$F452</f>
        <v>0</v>
      </c>
      <c r="E452" s="21" t="str">
        <f>Weekly_Inspections!$H452</f>
        <v/>
      </c>
      <c r="F452" s="23">
        <f>IF(Weekly_Inspections!$AX452&lt;&gt;"",Weekly_Inspections!$AX452,IF(Weekly_Inspections!$AY452&lt;&gt;"",Weekly_Inspections!$AY452,IF(Weekly_Inspections!$AZ452&lt;&gt;"",Weekly_Inspections!$AZ452,IF(Weekly_Inspections!$BA452&lt;&gt;"",Weekly_Inspections!$BA452,IF(Weekly_Inspections!$BB452&lt;&gt;"",Weekly_Inspections!$BB452,Weekly_Inspections!$R452)))))</f>
        <v>0</v>
      </c>
      <c r="G452" s="23" t="str">
        <f>IF(OR(Weekly_Inspections!$AQ452&lt;&gt;"",Weekly_Inspections!$AR452&lt;&gt;"",Weekly_Inspections!$AS452&lt;&gt;""),Weekly_Inspections!$AQ452,"")</f>
        <v/>
      </c>
      <c r="H452" s="23">
        <f>Weekly_Inspections!$AP452</f>
        <v>0</v>
      </c>
      <c r="I452" s="23">
        <f>Weekly_Inspections!$AR452</f>
        <v>0</v>
      </c>
      <c r="J452" s="23">
        <f>Weekly_Inspections!$AS452</f>
        <v>0</v>
      </c>
      <c r="K452" s="23">
        <f>Weekly_Inspections!$AU452</f>
        <v>0</v>
      </c>
      <c r="L452" s="22">
        <f>Weekly_Inspections!$AV452</f>
        <v>0</v>
      </c>
      <c r="M452" s="23" t="str">
        <f t="shared" si="21"/>
        <v>Open</v>
      </c>
      <c r="N452" s="22"/>
      <c r="O452" s="21">
        <f t="shared" ca="1" si="22"/>
        <v>46113</v>
      </c>
      <c r="P452" s="21" t="str">
        <f t="shared" ca="1" si="23"/>
        <v>YES</v>
      </c>
      <c r="Q452" s="23">
        <f>Weekly_Inspections!$AW452</f>
        <v>0</v>
      </c>
    </row>
    <row r="453" spans="1:17" ht="15" customHeight="1" x14ac:dyDescent="0.2">
      <c r="A453" s="21" t="str">
        <f>IF(Weekly_Inspections!$B453="","",Weekly_Inspections!$A453&amp;"-A1")</f>
        <v/>
      </c>
      <c r="B453" s="22">
        <f>Weekly_Inspections!$B453</f>
        <v>0</v>
      </c>
      <c r="C453" s="23">
        <f>Weekly_Inspections!$E453</f>
        <v>0</v>
      </c>
      <c r="D453" s="23">
        <f>Weekly_Inspections!$F453</f>
        <v>0</v>
      </c>
      <c r="E453" s="21" t="str">
        <f>Weekly_Inspections!$H453</f>
        <v/>
      </c>
      <c r="F453" s="23">
        <f>IF(Weekly_Inspections!$AX453&lt;&gt;"",Weekly_Inspections!$AX453,IF(Weekly_Inspections!$AY453&lt;&gt;"",Weekly_Inspections!$AY453,IF(Weekly_Inspections!$AZ453&lt;&gt;"",Weekly_Inspections!$AZ453,IF(Weekly_Inspections!$BA453&lt;&gt;"",Weekly_Inspections!$BA453,IF(Weekly_Inspections!$BB453&lt;&gt;"",Weekly_Inspections!$BB453,Weekly_Inspections!$R453)))))</f>
        <v>0</v>
      </c>
      <c r="G453" s="23" t="str">
        <f>IF(OR(Weekly_Inspections!$AQ453&lt;&gt;"",Weekly_Inspections!$AR453&lt;&gt;"",Weekly_Inspections!$AS453&lt;&gt;""),Weekly_Inspections!$AQ453,"")</f>
        <v/>
      </c>
      <c r="H453" s="23">
        <f>Weekly_Inspections!$AP453</f>
        <v>0</v>
      </c>
      <c r="I453" s="23">
        <f>Weekly_Inspections!$AR453</f>
        <v>0</v>
      </c>
      <c r="J453" s="23">
        <f>Weekly_Inspections!$AS453</f>
        <v>0</v>
      </c>
      <c r="K453" s="23">
        <f>Weekly_Inspections!$AU453</f>
        <v>0</v>
      </c>
      <c r="L453" s="22">
        <f>Weekly_Inspections!$AV453</f>
        <v>0</v>
      </c>
      <c r="M453" s="23" t="str">
        <f t="shared" si="21"/>
        <v>Open</v>
      </c>
      <c r="N453" s="22"/>
      <c r="O453" s="21">
        <f t="shared" ca="1" si="22"/>
        <v>46113</v>
      </c>
      <c r="P453" s="21" t="str">
        <f t="shared" ca="1" si="23"/>
        <v>YES</v>
      </c>
      <c r="Q453" s="23">
        <f>Weekly_Inspections!$AW453</f>
        <v>0</v>
      </c>
    </row>
    <row r="454" spans="1:17" ht="15" customHeight="1" x14ac:dyDescent="0.2">
      <c r="A454" s="21" t="str">
        <f>IF(Weekly_Inspections!$B454="","",Weekly_Inspections!$A454&amp;"-A1")</f>
        <v/>
      </c>
      <c r="B454" s="22">
        <f>Weekly_Inspections!$B454</f>
        <v>0</v>
      </c>
      <c r="C454" s="23">
        <f>Weekly_Inspections!$E454</f>
        <v>0</v>
      </c>
      <c r="D454" s="23">
        <f>Weekly_Inspections!$F454</f>
        <v>0</v>
      </c>
      <c r="E454" s="21" t="str">
        <f>Weekly_Inspections!$H454</f>
        <v/>
      </c>
      <c r="F454" s="23">
        <f>IF(Weekly_Inspections!$AX454&lt;&gt;"",Weekly_Inspections!$AX454,IF(Weekly_Inspections!$AY454&lt;&gt;"",Weekly_Inspections!$AY454,IF(Weekly_Inspections!$AZ454&lt;&gt;"",Weekly_Inspections!$AZ454,IF(Weekly_Inspections!$BA454&lt;&gt;"",Weekly_Inspections!$BA454,IF(Weekly_Inspections!$BB454&lt;&gt;"",Weekly_Inspections!$BB454,Weekly_Inspections!$R454)))))</f>
        <v>0</v>
      </c>
      <c r="G454" s="23" t="str">
        <f>IF(OR(Weekly_Inspections!$AQ454&lt;&gt;"",Weekly_Inspections!$AR454&lt;&gt;"",Weekly_Inspections!$AS454&lt;&gt;""),Weekly_Inspections!$AQ454,"")</f>
        <v/>
      </c>
      <c r="H454" s="23">
        <f>Weekly_Inspections!$AP454</f>
        <v>0</v>
      </c>
      <c r="I454" s="23">
        <f>Weekly_Inspections!$AR454</f>
        <v>0</v>
      </c>
      <c r="J454" s="23">
        <f>Weekly_Inspections!$AS454</f>
        <v>0</v>
      </c>
      <c r="K454" s="23">
        <f>Weekly_Inspections!$AU454</f>
        <v>0</v>
      </c>
      <c r="L454" s="22">
        <f>Weekly_Inspections!$AV454</f>
        <v>0</v>
      </c>
      <c r="M454" s="23" t="str">
        <f t="shared" si="21"/>
        <v>Open</v>
      </c>
      <c r="N454" s="22"/>
      <c r="O454" s="21">
        <f t="shared" ca="1" si="22"/>
        <v>46113</v>
      </c>
      <c r="P454" s="21" t="str">
        <f t="shared" ca="1" si="23"/>
        <v>YES</v>
      </c>
      <c r="Q454" s="23">
        <f>Weekly_Inspections!$AW454</f>
        <v>0</v>
      </c>
    </row>
    <row r="455" spans="1:17" ht="15" customHeight="1" x14ac:dyDescent="0.2">
      <c r="A455" s="21" t="str">
        <f>IF(Weekly_Inspections!$B455="","",Weekly_Inspections!$A455&amp;"-A1")</f>
        <v/>
      </c>
      <c r="B455" s="22">
        <f>Weekly_Inspections!$B455</f>
        <v>0</v>
      </c>
      <c r="C455" s="23">
        <f>Weekly_Inspections!$E455</f>
        <v>0</v>
      </c>
      <c r="D455" s="23">
        <f>Weekly_Inspections!$F455</f>
        <v>0</v>
      </c>
      <c r="E455" s="21" t="str">
        <f>Weekly_Inspections!$H455</f>
        <v/>
      </c>
      <c r="F455" s="23">
        <f>IF(Weekly_Inspections!$AX455&lt;&gt;"",Weekly_Inspections!$AX455,IF(Weekly_Inspections!$AY455&lt;&gt;"",Weekly_Inspections!$AY455,IF(Weekly_Inspections!$AZ455&lt;&gt;"",Weekly_Inspections!$AZ455,IF(Weekly_Inspections!$BA455&lt;&gt;"",Weekly_Inspections!$BA455,IF(Weekly_Inspections!$BB455&lt;&gt;"",Weekly_Inspections!$BB455,Weekly_Inspections!$R455)))))</f>
        <v>0</v>
      </c>
      <c r="G455" s="23" t="str">
        <f>IF(OR(Weekly_Inspections!$AQ455&lt;&gt;"",Weekly_Inspections!$AR455&lt;&gt;"",Weekly_Inspections!$AS455&lt;&gt;""),Weekly_Inspections!$AQ455,"")</f>
        <v/>
      </c>
      <c r="H455" s="23">
        <f>Weekly_Inspections!$AP455</f>
        <v>0</v>
      </c>
      <c r="I455" s="23">
        <f>Weekly_Inspections!$AR455</f>
        <v>0</v>
      </c>
      <c r="J455" s="23">
        <f>Weekly_Inspections!$AS455</f>
        <v>0</v>
      </c>
      <c r="K455" s="23">
        <f>Weekly_Inspections!$AU455</f>
        <v>0</v>
      </c>
      <c r="L455" s="22">
        <f>Weekly_Inspections!$AV455</f>
        <v>0</v>
      </c>
      <c r="M455" s="23" t="str">
        <f t="shared" si="21"/>
        <v>Open</v>
      </c>
      <c r="N455" s="22"/>
      <c r="O455" s="21">
        <f t="shared" ca="1" si="22"/>
        <v>46113</v>
      </c>
      <c r="P455" s="21" t="str">
        <f t="shared" ca="1" si="23"/>
        <v>YES</v>
      </c>
      <c r="Q455" s="23">
        <f>Weekly_Inspections!$AW455</f>
        <v>0</v>
      </c>
    </row>
    <row r="456" spans="1:17" ht="15" customHeight="1" x14ac:dyDescent="0.2">
      <c r="A456" s="21" t="str">
        <f>IF(Weekly_Inspections!$B456="","",Weekly_Inspections!$A456&amp;"-A1")</f>
        <v/>
      </c>
      <c r="B456" s="22">
        <f>Weekly_Inspections!$B456</f>
        <v>0</v>
      </c>
      <c r="C456" s="23">
        <f>Weekly_Inspections!$E456</f>
        <v>0</v>
      </c>
      <c r="D456" s="23">
        <f>Weekly_Inspections!$F456</f>
        <v>0</v>
      </c>
      <c r="E456" s="21" t="str">
        <f>Weekly_Inspections!$H456</f>
        <v/>
      </c>
      <c r="F456" s="23">
        <f>IF(Weekly_Inspections!$AX456&lt;&gt;"",Weekly_Inspections!$AX456,IF(Weekly_Inspections!$AY456&lt;&gt;"",Weekly_Inspections!$AY456,IF(Weekly_Inspections!$AZ456&lt;&gt;"",Weekly_Inspections!$AZ456,IF(Weekly_Inspections!$BA456&lt;&gt;"",Weekly_Inspections!$BA456,IF(Weekly_Inspections!$BB456&lt;&gt;"",Weekly_Inspections!$BB456,Weekly_Inspections!$R456)))))</f>
        <v>0</v>
      </c>
      <c r="G456" s="23" t="str">
        <f>IF(OR(Weekly_Inspections!$AQ456&lt;&gt;"",Weekly_Inspections!$AR456&lt;&gt;"",Weekly_Inspections!$AS456&lt;&gt;""),Weekly_Inspections!$AQ456,"")</f>
        <v/>
      </c>
      <c r="H456" s="23">
        <f>Weekly_Inspections!$AP456</f>
        <v>0</v>
      </c>
      <c r="I456" s="23">
        <f>Weekly_Inspections!$AR456</f>
        <v>0</v>
      </c>
      <c r="J456" s="23">
        <f>Weekly_Inspections!$AS456</f>
        <v>0</v>
      </c>
      <c r="K456" s="23">
        <f>Weekly_Inspections!$AU456</f>
        <v>0</v>
      </c>
      <c r="L456" s="22">
        <f>Weekly_Inspections!$AV456</f>
        <v>0</v>
      </c>
      <c r="M456" s="23" t="str">
        <f t="shared" si="21"/>
        <v>Open</v>
      </c>
      <c r="N456" s="22"/>
      <c r="O456" s="21">
        <f t="shared" ca="1" si="22"/>
        <v>46113</v>
      </c>
      <c r="P456" s="21" t="str">
        <f t="shared" ca="1" si="23"/>
        <v>YES</v>
      </c>
      <c r="Q456" s="23">
        <f>Weekly_Inspections!$AW456</f>
        <v>0</v>
      </c>
    </row>
    <row r="457" spans="1:17" ht="15" customHeight="1" x14ac:dyDescent="0.2">
      <c r="A457" s="21" t="str">
        <f>IF(Weekly_Inspections!$B457="","",Weekly_Inspections!$A457&amp;"-A1")</f>
        <v/>
      </c>
      <c r="B457" s="22">
        <f>Weekly_Inspections!$B457</f>
        <v>0</v>
      </c>
      <c r="C457" s="23">
        <f>Weekly_Inspections!$E457</f>
        <v>0</v>
      </c>
      <c r="D457" s="23">
        <f>Weekly_Inspections!$F457</f>
        <v>0</v>
      </c>
      <c r="E457" s="21" t="str">
        <f>Weekly_Inspections!$H457</f>
        <v/>
      </c>
      <c r="F457" s="23">
        <f>IF(Weekly_Inspections!$AX457&lt;&gt;"",Weekly_Inspections!$AX457,IF(Weekly_Inspections!$AY457&lt;&gt;"",Weekly_Inspections!$AY457,IF(Weekly_Inspections!$AZ457&lt;&gt;"",Weekly_Inspections!$AZ457,IF(Weekly_Inspections!$BA457&lt;&gt;"",Weekly_Inspections!$BA457,IF(Weekly_Inspections!$BB457&lt;&gt;"",Weekly_Inspections!$BB457,Weekly_Inspections!$R457)))))</f>
        <v>0</v>
      </c>
      <c r="G457" s="23" t="str">
        <f>IF(OR(Weekly_Inspections!$AQ457&lt;&gt;"",Weekly_Inspections!$AR457&lt;&gt;"",Weekly_Inspections!$AS457&lt;&gt;""),Weekly_Inspections!$AQ457,"")</f>
        <v/>
      </c>
      <c r="H457" s="23">
        <f>Weekly_Inspections!$AP457</f>
        <v>0</v>
      </c>
      <c r="I457" s="23">
        <f>Weekly_Inspections!$AR457</f>
        <v>0</v>
      </c>
      <c r="J457" s="23">
        <f>Weekly_Inspections!$AS457</f>
        <v>0</v>
      </c>
      <c r="K457" s="23">
        <f>Weekly_Inspections!$AU457</f>
        <v>0</v>
      </c>
      <c r="L457" s="22">
        <f>Weekly_Inspections!$AV457</f>
        <v>0</v>
      </c>
      <c r="M457" s="23" t="str">
        <f t="shared" si="21"/>
        <v>Open</v>
      </c>
      <c r="N457" s="22"/>
      <c r="O457" s="21">
        <f t="shared" ca="1" si="22"/>
        <v>46113</v>
      </c>
      <c r="P457" s="21" t="str">
        <f t="shared" ca="1" si="23"/>
        <v>YES</v>
      </c>
      <c r="Q457" s="23">
        <f>Weekly_Inspections!$AW457</f>
        <v>0</v>
      </c>
    </row>
    <row r="458" spans="1:17" ht="15" customHeight="1" x14ac:dyDescent="0.2">
      <c r="A458" s="21" t="str">
        <f>IF(Weekly_Inspections!$B458="","",Weekly_Inspections!$A458&amp;"-A1")</f>
        <v/>
      </c>
      <c r="B458" s="22">
        <f>Weekly_Inspections!$B458</f>
        <v>0</v>
      </c>
      <c r="C458" s="23">
        <f>Weekly_Inspections!$E458</f>
        <v>0</v>
      </c>
      <c r="D458" s="23">
        <f>Weekly_Inspections!$F458</f>
        <v>0</v>
      </c>
      <c r="E458" s="21" t="str">
        <f>Weekly_Inspections!$H458</f>
        <v/>
      </c>
      <c r="F458" s="23">
        <f>IF(Weekly_Inspections!$AX458&lt;&gt;"",Weekly_Inspections!$AX458,IF(Weekly_Inspections!$AY458&lt;&gt;"",Weekly_Inspections!$AY458,IF(Weekly_Inspections!$AZ458&lt;&gt;"",Weekly_Inspections!$AZ458,IF(Weekly_Inspections!$BA458&lt;&gt;"",Weekly_Inspections!$BA458,IF(Weekly_Inspections!$BB458&lt;&gt;"",Weekly_Inspections!$BB458,Weekly_Inspections!$R458)))))</f>
        <v>0</v>
      </c>
      <c r="G458" s="23" t="str">
        <f>IF(OR(Weekly_Inspections!$AQ458&lt;&gt;"",Weekly_Inspections!$AR458&lt;&gt;"",Weekly_Inspections!$AS458&lt;&gt;""),Weekly_Inspections!$AQ458,"")</f>
        <v/>
      </c>
      <c r="H458" s="23">
        <f>Weekly_Inspections!$AP458</f>
        <v>0</v>
      </c>
      <c r="I458" s="23">
        <f>Weekly_Inspections!$AR458</f>
        <v>0</v>
      </c>
      <c r="J458" s="23">
        <f>Weekly_Inspections!$AS458</f>
        <v>0</v>
      </c>
      <c r="K458" s="23">
        <f>Weekly_Inspections!$AU458</f>
        <v>0</v>
      </c>
      <c r="L458" s="22">
        <f>Weekly_Inspections!$AV458</f>
        <v>0</v>
      </c>
      <c r="M458" s="23" t="str">
        <f t="shared" si="21"/>
        <v>Open</v>
      </c>
      <c r="N458" s="22"/>
      <c r="O458" s="21">
        <f t="shared" ca="1" si="22"/>
        <v>46113</v>
      </c>
      <c r="P458" s="21" t="str">
        <f t="shared" ca="1" si="23"/>
        <v>YES</v>
      </c>
      <c r="Q458" s="23">
        <f>Weekly_Inspections!$AW458</f>
        <v>0</v>
      </c>
    </row>
    <row r="459" spans="1:17" ht="15" customHeight="1" x14ac:dyDescent="0.2">
      <c r="A459" s="21" t="str">
        <f>IF(Weekly_Inspections!$B459="","",Weekly_Inspections!$A459&amp;"-A1")</f>
        <v/>
      </c>
      <c r="B459" s="22">
        <f>Weekly_Inspections!$B459</f>
        <v>0</v>
      </c>
      <c r="C459" s="23">
        <f>Weekly_Inspections!$E459</f>
        <v>0</v>
      </c>
      <c r="D459" s="23">
        <f>Weekly_Inspections!$F459</f>
        <v>0</v>
      </c>
      <c r="E459" s="21" t="str">
        <f>Weekly_Inspections!$H459</f>
        <v/>
      </c>
      <c r="F459" s="23">
        <f>IF(Weekly_Inspections!$AX459&lt;&gt;"",Weekly_Inspections!$AX459,IF(Weekly_Inspections!$AY459&lt;&gt;"",Weekly_Inspections!$AY459,IF(Weekly_Inspections!$AZ459&lt;&gt;"",Weekly_Inspections!$AZ459,IF(Weekly_Inspections!$BA459&lt;&gt;"",Weekly_Inspections!$BA459,IF(Weekly_Inspections!$BB459&lt;&gt;"",Weekly_Inspections!$BB459,Weekly_Inspections!$R459)))))</f>
        <v>0</v>
      </c>
      <c r="G459" s="23" t="str">
        <f>IF(OR(Weekly_Inspections!$AQ459&lt;&gt;"",Weekly_Inspections!$AR459&lt;&gt;"",Weekly_Inspections!$AS459&lt;&gt;""),Weekly_Inspections!$AQ459,"")</f>
        <v/>
      </c>
      <c r="H459" s="23">
        <f>Weekly_Inspections!$AP459</f>
        <v>0</v>
      </c>
      <c r="I459" s="23">
        <f>Weekly_Inspections!$AR459</f>
        <v>0</v>
      </c>
      <c r="J459" s="23">
        <f>Weekly_Inspections!$AS459</f>
        <v>0</v>
      </c>
      <c r="K459" s="23">
        <f>Weekly_Inspections!$AU459</f>
        <v>0</v>
      </c>
      <c r="L459" s="22">
        <f>Weekly_Inspections!$AV459</f>
        <v>0</v>
      </c>
      <c r="M459" s="23" t="str">
        <f t="shared" si="21"/>
        <v>Open</v>
      </c>
      <c r="N459" s="22"/>
      <c r="O459" s="21">
        <f t="shared" ca="1" si="22"/>
        <v>46113</v>
      </c>
      <c r="P459" s="21" t="str">
        <f t="shared" ca="1" si="23"/>
        <v>YES</v>
      </c>
      <c r="Q459" s="23">
        <f>Weekly_Inspections!$AW459</f>
        <v>0</v>
      </c>
    </row>
    <row r="460" spans="1:17" ht="15" customHeight="1" x14ac:dyDescent="0.2">
      <c r="A460" s="21" t="str">
        <f>IF(Weekly_Inspections!$B460="","",Weekly_Inspections!$A460&amp;"-A1")</f>
        <v/>
      </c>
      <c r="B460" s="22">
        <f>Weekly_Inspections!$B460</f>
        <v>0</v>
      </c>
      <c r="C460" s="23">
        <f>Weekly_Inspections!$E460</f>
        <v>0</v>
      </c>
      <c r="D460" s="23">
        <f>Weekly_Inspections!$F460</f>
        <v>0</v>
      </c>
      <c r="E460" s="21" t="str">
        <f>Weekly_Inspections!$H460</f>
        <v/>
      </c>
      <c r="F460" s="23">
        <f>IF(Weekly_Inspections!$AX460&lt;&gt;"",Weekly_Inspections!$AX460,IF(Weekly_Inspections!$AY460&lt;&gt;"",Weekly_Inspections!$AY460,IF(Weekly_Inspections!$AZ460&lt;&gt;"",Weekly_Inspections!$AZ460,IF(Weekly_Inspections!$BA460&lt;&gt;"",Weekly_Inspections!$BA460,IF(Weekly_Inspections!$BB460&lt;&gt;"",Weekly_Inspections!$BB460,Weekly_Inspections!$R460)))))</f>
        <v>0</v>
      </c>
      <c r="G460" s="23" t="str">
        <f>IF(OR(Weekly_Inspections!$AQ460&lt;&gt;"",Weekly_Inspections!$AR460&lt;&gt;"",Weekly_Inspections!$AS460&lt;&gt;""),Weekly_Inspections!$AQ460,"")</f>
        <v/>
      </c>
      <c r="H460" s="23">
        <f>Weekly_Inspections!$AP460</f>
        <v>0</v>
      </c>
      <c r="I460" s="23">
        <f>Weekly_Inspections!$AR460</f>
        <v>0</v>
      </c>
      <c r="J460" s="23">
        <f>Weekly_Inspections!$AS460</f>
        <v>0</v>
      </c>
      <c r="K460" s="23">
        <f>Weekly_Inspections!$AU460</f>
        <v>0</v>
      </c>
      <c r="L460" s="22">
        <f>Weekly_Inspections!$AV460</f>
        <v>0</v>
      </c>
      <c r="M460" s="23" t="str">
        <f t="shared" si="21"/>
        <v>Open</v>
      </c>
      <c r="N460" s="22"/>
      <c r="O460" s="21">
        <f t="shared" ca="1" si="22"/>
        <v>46113</v>
      </c>
      <c r="P460" s="21" t="str">
        <f t="shared" ca="1" si="23"/>
        <v>YES</v>
      </c>
      <c r="Q460" s="23">
        <f>Weekly_Inspections!$AW460</f>
        <v>0</v>
      </c>
    </row>
    <row r="461" spans="1:17" ht="15" customHeight="1" x14ac:dyDescent="0.2">
      <c r="A461" s="21" t="str">
        <f>IF(Weekly_Inspections!$B461="","",Weekly_Inspections!$A461&amp;"-A1")</f>
        <v/>
      </c>
      <c r="B461" s="22">
        <f>Weekly_Inspections!$B461</f>
        <v>0</v>
      </c>
      <c r="C461" s="23">
        <f>Weekly_Inspections!$E461</f>
        <v>0</v>
      </c>
      <c r="D461" s="23">
        <f>Weekly_Inspections!$F461</f>
        <v>0</v>
      </c>
      <c r="E461" s="21" t="str">
        <f>Weekly_Inspections!$H461</f>
        <v/>
      </c>
      <c r="F461" s="23">
        <f>IF(Weekly_Inspections!$AX461&lt;&gt;"",Weekly_Inspections!$AX461,IF(Weekly_Inspections!$AY461&lt;&gt;"",Weekly_Inspections!$AY461,IF(Weekly_Inspections!$AZ461&lt;&gt;"",Weekly_Inspections!$AZ461,IF(Weekly_Inspections!$BA461&lt;&gt;"",Weekly_Inspections!$BA461,IF(Weekly_Inspections!$BB461&lt;&gt;"",Weekly_Inspections!$BB461,Weekly_Inspections!$R461)))))</f>
        <v>0</v>
      </c>
      <c r="G461" s="23" t="str">
        <f>IF(OR(Weekly_Inspections!$AQ461&lt;&gt;"",Weekly_Inspections!$AR461&lt;&gt;"",Weekly_Inspections!$AS461&lt;&gt;""),Weekly_Inspections!$AQ461,"")</f>
        <v/>
      </c>
      <c r="H461" s="23">
        <f>Weekly_Inspections!$AP461</f>
        <v>0</v>
      </c>
      <c r="I461" s="23">
        <f>Weekly_Inspections!$AR461</f>
        <v>0</v>
      </c>
      <c r="J461" s="23">
        <f>Weekly_Inspections!$AS461</f>
        <v>0</v>
      </c>
      <c r="K461" s="23">
        <f>Weekly_Inspections!$AU461</f>
        <v>0</v>
      </c>
      <c r="L461" s="22">
        <f>Weekly_Inspections!$AV461</f>
        <v>0</v>
      </c>
      <c r="M461" s="23" t="str">
        <f t="shared" si="21"/>
        <v>Open</v>
      </c>
      <c r="N461" s="22"/>
      <c r="O461" s="21">
        <f t="shared" ca="1" si="22"/>
        <v>46113</v>
      </c>
      <c r="P461" s="21" t="str">
        <f t="shared" ca="1" si="23"/>
        <v>YES</v>
      </c>
      <c r="Q461" s="23">
        <f>Weekly_Inspections!$AW461</f>
        <v>0</v>
      </c>
    </row>
    <row r="462" spans="1:17" ht="15" customHeight="1" x14ac:dyDescent="0.2">
      <c r="A462" s="21" t="str">
        <f>IF(Weekly_Inspections!$B462="","",Weekly_Inspections!$A462&amp;"-A1")</f>
        <v/>
      </c>
      <c r="B462" s="22">
        <f>Weekly_Inspections!$B462</f>
        <v>0</v>
      </c>
      <c r="C462" s="23">
        <f>Weekly_Inspections!$E462</f>
        <v>0</v>
      </c>
      <c r="D462" s="23">
        <f>Weekly_Inspections!$F462</f>
        <v>0</v>
      </c>
      <c r="E462" s="21" t="str">
        <f>Weekly_Inspections!$H462</f>
        <v/>
      </c>
      <c r="F462" s="23">
        <f>IF(Weekly_Inspections!$AX462&lt;&gt;"",Weekly_Inspections!$AX462,IF(Weekly_Inspections!$AY462&lt;&gt;"",Weekly_Inspections!$AY462,IF(Weekly_Inspections!$AZ462&lt;&gt;"",Weekly_Inspections!$AZ462,IF(Weekly_Inspections!$BA462&lt;&gt;"",Weekly_Inspections!$BA462,IF(Weekly_Inspections!$BB462&lt;&gt;"",Weekly_Inspections!$BB462,Weekly_Inspections!$R462)))))</f>
        <v>0</v>
      </c>
      <c r="G462" s="23" t="str">
        <f>IF(OR(Weekly_Inspections!$AQ462&lt;&gt;"",Weekly_Inspections!$AR462&lt;&gt;"",Weekly_Inspections!$AS462&lt;&gt;""),Weekly_Inspections!$AQ462,"")</f>
        <v/>
      </c>
      <c r="H462" s="23">
        <f>Weekly_Inspections!$AP462</f>
        <v>0</v>
      </c>
      <c r="I462" s="23">
        <f>Weekly_Inspections!$AR462</f>
        <v>0</v>
      </c>
      <c r="J462" s="23">
        <f>Weekly_Inspections!$AS462</f>
        <v>0</v>
      </c>
      <c r="K462" s="23">
        <f>Weekly_Inspections!$AU462</f>
        <v>0</v>
      </c>
      <c r="L462" s="22">
        <f>Weekly_Inspections!$AV462</f>
        <v>0</v>
      </c>
      <c r="M462" s="23" t="str">
        <f t="shared" si="21"/>
        <v>Open</v>
      </c>
      <c r="N462" s="22"/>
      <c r="O462" s="21">
        <f t="shared" ca="1" si="22"/>
        <v>46113</v>
      </c>
      <c r="P462" s="21" t="str">
        <f t="shared" ca="1" si="23"/>
        <v>YES</v>
      </c>
      <c r="Q462" s="23">
        <f>Weekly_Inspections!$AW462</f>
        <v>0</v>
      </c>
    </row>
    <row r="463" spans="1:17" ht="15" customHeight="1" x14ac:dyDescent="0.2">
      <c r="A463" s="21" t="str">
        <f>IF(Weekly_Inspections!$B463="","",Weekly_Inspections!$A463&amp;"-A1")</f>
        <v/>
      </c>
      <c r="B463" s="22">
        <f>Weekly_Inspections!$B463</f>
        <v>0</v>
      </c>
      <c r="C463" s="23">
        <f>Weekly_Inspections!$E463</f>
        <v>0</v>
      </c>
      <c r="D463" s="23">
        <f>Weekly_Inspections!$F463</f>
        <v>0</v>
      </c>
      <c r="E463" s="21" t="str">
        <f>Weekly_Inspections!$H463</f>
        <v/>
      </c>
      <c r="F463" s="23">
        <f>IF(Weekly_Inspections!$AX463&lt;&gt;"",Weekly_Inspections!$AX463,IF(Weekly_Inspections!$AY463&lt;&gt;"",Weekly_Inspections!$AY463,IF(Weekly_Inspections!$AZ463&lt;&gt;"",Weekly_Inspections!$AZ463,IF(Weekly_Inspections!$BA463&lt;&gt;"",Weekly_Inspections!$BA463,IF(Weekly_Inspections!$BB463&lt;&gt;"",Weekly_Inspections!$BB463,Weekly_Inspections!$R463)))))</f>
        <v>0</v>
      </c>
      <c r="G463" s="23" t="str">
        <f>IF(OR(Weekly_Inspections!$AQ463&lt;&gt;"",Weekly_Inspections!$AR463&lt;&gt;"",Weekly_Inspections!$AS463&lt;&gt;""),Weekly_Inspections!$AQ463,"")</f>
        <v/>
      </c>
      <c r="H463" s="23">
        <f>Weekly_Inspections!$AP463</f>
        <v>0</v>
      </c>
      <c r="I463" s="23">
        <f>Weekly_Inspections!$AR463</f>
        <v>0</v>
      </c>
      <c r="J463" s="23">
        <f>Weekly_Inspections!$AS463</f>
        <v>0</v>
      </c>
      <c r="K463" s="23">
        <f>Weekly_Inspections!$AU463</f>
        <v>0</v>
      </c>
      <c r="L463" s="22">
        <f>Weekly_Inspections!$AV463</f>
        <v>0</v>
      </c>
      <c r="M463" s="23" t="str">
        <f t="shared" si="21"/>
        <v>Open</v>
      </c>
      <c r="N463" s="22"/>
      <c r="O463" s="21">
        <f t="shared" ca="1" si="22"/>
        <v>46113</v>
      </c>
      <c r="P463" s="21" t="str">
        <f t="shared" ca="1" si="23"/>
        <v>YES</v>
      </c>
      <c r="Q463" s="23">
        <f>Weekly_Inspections!$AW463</f>
        <v>0</v>
      </c>
    </row>
    <row r="464" spans="1:17" ht="15" customHeight="1" x14ac:dyDescent="0.2">
      <c r="A464" s="21" t="str">
        <f>IF(Weekly_Inspections!$B464="","",Weekly_Inspections!$A464&amp;"-A1")</f>
        <v/>
      </c>
      <c r="B464" s="22">
        <f>Weekly_Inspections!$B464</f>
        <v>0</v>
      </c>
      <c r="C464" s="23">
        <f>Weekly_Inspections!$E464</f>
        <v>0</v>
      </c>
      <c r="D464" s="23">
        <f>Weekly_Inspections!$F464</f>
        <v>0</v>
      </c>
      <c r="E464" s="21" t="str">
        <f>Weekly_Inspections!$H464</f>
        <v/>
      </c>
      <c r="F464" s="23">
        <f>IF(Weekly_Inspections!$AX464&lt;&gt;"",Weekly_Inspections!$AX464,IF(Weekly_Inspections!$AY464&lt;&gt;"",Weekly_Inspections!$AY464,IF(Weekly_Inspections!$AZ464&lt;&gt;"",Weekly_Inspections!$AZ464,IF(Weekly_Inspections!$BA464&lt;&gt;"",Weekly_Inspections!$BA464,IF(Weekly_Inspections!$BB464&lt;&gt;"",Weekly_Inspections!$BB464,Weekly_Inspections!$R464)))))</f>
        <v>0</v>
      </c>
      <c r="G464" s="23" t="str">
        <f>IF(OR(Weekly_Inspections!$AQ464&lt;&gt;"",Weekly_Inspections!$AR464&lt;&gt;"",Weekly_Inspections!$AS464&lt;&gt;""),Weekly_Inspections!$AQ464,"")</f>
        <v/>
      </c>
      <c r="H464" s="23">
        <f>Weekly_Inspections!$AP464</f>
        <v>0</v>
      </c>
      <c r="I464" s="23">
        <f>Weekly_Inspections!$AR464</f>
        <v>0</v>
      </c>
      <c r="J464" s="23">
        <f>Weekly_Inspections!$AS464</f>
        <v>0</v>
      </c>
      <c r="K464" s="23">
        <f>Weekly_Inspections!$AU464</f>
        <v>0</v>
      </c>
      <c r="L464" s="22">
        <f>Weekly_Inspections!$AV464</f>
        <v>0</v>
      </c>
      <c r="M464" s="23" t="str">
        <f t="shared" si="21"/>
        <v>Open</v>
      </c>
      <c r="N464" s="22"/>
      <c r="O464" s="21">
        <f t="shared" ca="1" si="22"/>
        <v>46113</v>
      </c>
      <c r="P464" s="21" t="str">
        <f t="shared" ca="1" si="23"/>
        <v>YES</v>
      </c>
      <c r="Q464" s="23">
        <f>Weekly_Inspections!$AW464</f>
        <v>0</v>
      </c>
    </row>
    <row r="465" spans="1:17" ht="15" customHeight="1" x14ac:dyDescent="0.2">
      <c r="A465" s="21" t="str">
        <f>IF(Weekly_Inspections!$B465="","",Weekly_Inspections!$A465&amp;"-A1")</f>
        <v/>
      </c>
      <c r="B465" s="22">
        <f>Weekly_Inspections!$B465</f>
        <v>0</v>
      </c>
      <c r="C465" s="23">
        <f>Weekly_Inspections!$E465</f>
        <v>0</v>
      </c>
      <c r="D465" s="23">
        <f>Weekly_Inspections!$F465</f>
        <v>0</v>
      </c>
      <c r="E465" s="21" t="str">
        <f>Weekly_Inspections!$H465</f>
        <v/>
      </c>
      <c r="F465" s="23">
        <f>IF(Weekly_Inspections!$AX465&lt;&gt;"",Weekly_Inspections!$AX465,IF(Weekly_Inspections!$AY465&lt;&gt;"",Weekly_Inspections!$AY465,IF(Weekly_Inspections!$AZ465&lt;&gt;"",Weekly_Inspections!$AZ465,IF(Weekly_Inspections!$BA465&lt;&gt;"",Weekly_Inspections!$BA465,IF(Weekly_Inspections!$BB465&lt;&gt;"",Weekly_Inspections!$BB465,Weekly_Inspections!$R465)))))</f>
        <v>0</v>
      </c>
      <c r="G465" s="23" t="str">
        <f>IF(OR(Weekly_Inspections!$AQ465&lt;&gt;"",Weekly_Inspections!$AR465&lt;&gt;"",Weekly_Inspections!$AS465&lt;&gt;""),Weekly_Inspections!$AQ465,"")</f>
        <v/>
      </c>
      <c r="H465" s="23">
        <f>Weekly_Inspections!$AP465</f>
        <v>0</v>
      </c>
      <c r="I465" s="23">
        <f>Weekly_Inspections!$AR465</f>
        <v>0</v>
      </c>
      <c r="J465" s="23">
        <f>Weekly_Inspections!$AS465</f>
        <v>0</v>
      </c>
      <c r="K465" s="23">
        <f>Weekly_Inspections!$AU465</f>
        <v>0</v>
      </c>
      <c r="L465" s="22">
        <f>Weekly_Inspections!$AV465</f>
        <v>0</v>
      </c>
      <c r="M465" s="23" t="str">
        <f t="shared" si="21"/>
        <v>Open</v>
      </c>
      <c r="N465" s="22"/>
      <c r="O465" s="21">
        <f t="shared" ca="1" si="22"/>
        <v>46113</v>
      </c>
      <c r="P465" s="21" t="str">
        <f t="shared" ca="1" si="23"/>
        <v>YES</v>
      </c>
      <c r="Q465" s="23">
        <f>Weekly_Inspections!$AW465</f>
        <v>0</v>
      </c>
    </row>
    <row r="466" spans="1:17" ht="15" customHeight="1" x14ac:dyDescent="0.2">
      <c r="A466" s="21" t="str">
        <f>IF(Weekly_Inspections!$B466="","",Weekly_Inspections!$A466&amp;"-A1")</f>
        <v/>
      </c>
      <c r="B466" s="22">
        <f>Weekly_Inspections!$B466</f>
        <v>0</v>
      </c>
      <c r="C466" s="23">
        <f>Weekly_Inspections!$E466</f>
        <v>0</v>
      </c>
      <c r="D466" s="23">
        <f>Weekly_Inspections!$F466</f>
        <v>0</v>
      </c>
      <c r="E466" s="21" t="str">
        <f>Weekly_Inspections!$H466</f>
        <v/>
      </c>
      <c r="F466" s="23">
        <f>IF(Weekly_Inspections!$AX466&lt;&gt;"",Weekly_Inspections!$AX466,IF(Weekly_Inspections!$AY466&lt;&gt;"",Weekly_Inspections!$AY466,IF(Weekly_Inspections!$AZ466&lt;&gt;"",Weekly_Inspections!$AZ466,IF(Weekly_Inspections!$BA466&lt;&gt;"",Weekly_Inspections!$BA466,IF(Weekly_Inspections!$BB466&lt;&gt;"",Weekly_Inspections!$BB466,Weekly_Inspections!$R466)))))</f>
        <v>0</v>
      </c>
      <c r="G466" s="23" t="str">
        <f>IF(OR(Weekly_Inspections!$AQ466&lt;&gt;"",Weekly_Inspections!$AR466&lt;&gt;"",Weekly_Inspections!$AS466&lt;&gt;""),Weekly_Inspections!$AQ466,"")</f>
        <v/>
      </c>
      <c r="H466" s="23">
        <f>Weekly_Inspections!$AP466</f>
        <v>0</v>
      </c>
      <c r="I466" s="23">
        <f>Weekly_Inspections!$AR466</f>
        <v>0</v>
      </c>
      <c r="J466" s="23">
        <f>Weekly_Inspections!$AS466</f>
        <v>0</v>
      </c>
      <c r="K466" s="23">
        <f>Weekly_Inspections!$AU466</f>
        <v>0</v>
      </c>
      <c r="L466" s="22">
        <f>Weekly_Inspections!$AV466</f>
        <v>0</v>
      </c>
      <c r="M466" s="23" t="str">
        <f t="shared" si="21"/>
        <v>Open</v>
      </c>
      <c r="N466" s="22"/>
      <c r="O466" s="21">
        <f t="shared" ca="1" si="22"/>
        <v>46113</v>
      </c>
      <c r="P466" s="21" t="str">
        <f t="shared" ca="1" si="23"/>
        <v>YES</v>
      </c>
      <c r="Q466" s="23">
        <f>Weekly_Inspections!$AW466</f>
        <v>0</v>
      </c>
    </row>
    <row r="467" spans="1:17" ht="15" customHeight="1" x14ac:dyDescent="0.2">
      <c r="A467" s="21" t="str">
        <f>IF(Weekly_Inspections!$B467="","",Weekly_Inspections!$A467&amp;"-A1")</f>
        <v/>
      </c>
      <c r="B467" s="22">
        <f>Weekly_Inspections!$B467</f>
        <v>0</v>
      </c>
      <c r="C467" s="23">
        <f>Weekly_Inspections!$E467</f>
        <v>0</v>
      </c>
      <c r="D467" s="23">
        <f>Weekly_Inspections!$F467</f>
        <v>0</v>
      </c>
      <c r="E467" s="21" t="str">
        <f>Weekly_Inspections!$H467</f>
        <v/>
      </c>
      <c r="F467" s="23">
        <f>IF(Weekly_Inspections!$AX467&lt;&gt;"",Weekly_Inspections!$AX467,IF(Weekly_Inspections!$AY467&lt;&gt;"",Weekly_Inspections!$AY467,IF(Weekly_Inspections!$AZ467&lt;&gt;"",Weekly_Inspections!$AZ467,IF(Weekly_Inspections!$BA467&lt;&gt;"",Weekly_Inspections!$BA467,IF(Weekly_Inspections!$BB467&lt;&gt;"",Weekly_Inspections!$BB467,Weekly_Inspections!$R467)))))</f>
        <v>0</v>
      </c>
      <c r="G467" s="23" t="str">
        <f>IF(OR(Weekly_Inspections!$AQ467&lt;&gt;"",Weekly_Inspections!$AR467&lt;&gt;"",Weekly_Inspections!$AS467&lt;&gt;""),Weekly_Inspections!$AQ467,"")</f>
        <v/>
      </c>
      <c r="H467" s="23">
        <f>Weekly_Inspections!$AP467</f>
        <v>0</v>
      </c>
      <c r="I467" s="23">
        <f>Weekly_Inspections!$AR467</f>
        <v>0</v>
      </c>
      <c r="J467" s="23">
        <f>Weekly_Inspections!$AS467</f>
        <v>0</v>
      </c>
      <c r="K467" s="23">
        <f>Weekly_Inspections!$AU467</f>
        <v>0</v>
      </c>
      <c r="L467" s="22">
        <f>Weekly_Inspections!$AV467</f>
        <v>0</v>
      </c>
      <c r="M467" s="23" t="str">
        <f t="shared" si="21"/>
        <v>Open</v>
      </c>
      <c r="N467" s="22"/>
      <c r="O467" s="21">
        <f t="shared" ca="1" si="22"/>
        <v>46113</v>
      </c>
      <c r="P467" s="21" t="str">
        <f t="shared" ca="1" si="23"/>
        <v>YES</v>
      </c>
      <c r="Q467" s="23">
        <f>Weekly_Inspections!$AW467</f>
        <v>0</v>
      </c>
    </row>
    <row r="468" spans="1:17" ht="15" customHeight="1" x14ac:dyDescent="0.2">
      <c r="A468" s="21" t="str">
        <f>IF(Weekly_Inspections!$B468="","",Weekly_Inspections!$A468&amp;"-A1")</f>
        <v/>
      </c>
      <c r="B468" s="22">
        <f>Weekly_Inspections!$B468</f>
        <v>0</v>
      </c>
      <c r="C468" s="23">
        <f>Weekly_Inspections!$E468</f>
        <v>0</v>
      </c>
      <c r="D468" s="23">
        <f>Weekly_Inspections!$F468</f>
        <v>0</v>
      </c>
      <c r="E468" s="21" t="str">
        <f>Weekly_Inspections!$H468</f>
        <v/>
      </c>
      <c r="F468" s="23">
        <f>IF(Weekly_Inspections!$AX468&lt;&gt;"",Weekly_Inspections!$AX468,IF(Weekly_Inspections!$AY468&lt;&gt;"",Weekly_Inspections!$AY468,IF(Weekly_Inspections!$AZ468&lt;&gt;"",Weekly_Inspections!$AZ468,IF(Weekly_Inspections!$BA468&lt;&gt;"",Weekly_Inspections!$BA468,IF(Weekly_Inspections!$BB468&lt;&gt;"",Weekly_Inspections!$BB468,Weekly_Inspections!$R468)))))</f>
        <v>0</v>
      </c>
      <c r="G468" s="23" t="str">
        <f>IF(OR(Weekly_Inspections!$AQ468&lt;&gt;"",Weekly_Inspections!$AR468&lt;&gt;"",Weekly_Inspections!$AS468&lt;&gt;""),Weekly_Inspections!$AQ468,"")</f>
        <v/>
      </c>
      <c r="H468" s="23">
        <f>Weekly_Inspections!$AP468</f>
        <v>0</v>
      </c>
      <c r="I468" s="23">
        <f>Weekly_Inspections!$AR468</f>
        <v>0</v>
      </c>
      <c r="J468" s="23">
        <f>Weekly_Inspections!$AS468</f>
        <v>0</v>
      </c>
      <c r="K468" s="23">
        <f>Weekly_Inspections!$AU468</f>
        <v>0</v>
      </c>
      <c r="L468" s="22">
        <f>Weekly_Inspections!$AV468</f>
        <v>0</v>
      </c>
      <c r="M468" s="23" t="str">
        <f t="shared" si="21"/>
        <v>Open</v>
      </c>
      <c r="N468" s="22"/>
      <c r="O468" s="21">
        <f t="shared" ca="1" si="22"/>
        <v>46113</v>
      </c>
      <c r="P468" s="21" t="str">
        <f t="shared" ca="1" si="23"/>
        <v>YES</v>
      </c>
      <c r="Q468" s="23">
        <f>Weekly_Inspections!$AW468</f>
        <v>0</v>
      </c>
    </row>
    <row r="469" spans="1:17" ht="15" customHeight="1" x14ac:dyDescent="0.2">
      <c r="A469" s="21" t="str">
        <f>IF(Weekly_Inspections!$B469="","",Weekly_Inspections!$A469&amp;"-A1")</f>
        <v/>
      </c>
      <c r="B469" s="22">
        <f>Weekly_Inspections!$B469</f>
        <v>0</v>
      </c>
      <c r="C469" s="23">
        <f>Weekly_Inspections!$E469</f>
        <v>0</v>
      </c>
      <c r="D469" s="23">
        <f>Weekly_Inspections!$F469</f>
        <v>0</v>
      </c>
      <c r="E469" s="21" t="str">
        <f>Weekly_Inspections!$H469</f>
        <v/>
      </c>
      <c r="F469" s="23">
        <f>IF(Weekly_Inspections!$AX469&lt;&gt;"",Weekly_Inspections!$AX469,IF(Weekly_Inspections!$AY469&lt;&gt;"",Weekly_Inspections!$AY469,IF(Weekly_Inspections!$AZ469&lt;&gt;"",Weekly_Inspections!$AZ469,IF(Weekly_Inspections!$BA469&lt;&gt;"",Weekly_Inspections!$BA469,IF(Weekly_Inspections!$BB469&lt;&gt;"",Weekly_Inspections!$BB469,Weekly_Inspections!$R469)))))</f>
        <v>0</v>
      </c>
      <c r="G469" s="23" t="str">
        <f>IF(OR(Weekly_Inspections!$AQ469&lt;&gt;"",Weekly_Inspections!$AR469&lt;&gt;"",Weekly_Inspections!$AS469&lt;&gt;""),Weekly_Inspections!$AQ469,"")</f>
        <v/>
      </c>
      <c r="H469" s="23">
        <f>Weekly_Inspections!$AP469</f>
        <v>0</v>
      </c>
      <c r="I469" s="23">
        <f>Weekly_Inspections!$AR469</f>
        <v>0</v>
      </c>
      <c r="J469" s="23">
        <f>Weekly_Inspections!$AS469</f>
        <v>0</v>
      </c>
      <c r="K469" s="23">
        <f>Weekly_Inspections!$AU469</f>
        <v>0</v>
      </c>
      <c r="L469" s="22">
        <f>Weekly_Inspections!$AV469</f>
        <v>0</v>
      </c>
      <c r="M469" s="23" t="str">
        <f t="shared" si="21"/>
        <v>Open</v>
      </c>
      <c r="N469" s="22"/>
      <c r="O469" s="21">
        <f t="shared" ca="1" si="22"/>
        <v>46113</v>
      </c>
      <c r="P469" s="21" t="str">
        <f t="shared" ca="1" si="23"/>
        <v>YES</v>
      </c>
      <c r="Q469" s="23">
        <f>Weekly_Inspections!$AW469</f>
        <v>0</v>
      </c>
    </row>
    <row r="470" spans="1:17" ht="15" customHeight="1" x14ac:dyDescent="0.2">
      <c r="A470" s="21" t="str">
        <f>IF(Weekly_Inspections!$B470="","",Weekly_Inspections!$A470&amp;"-A1")</f>
        <v/>
      </c>
      <c r="B470" s="22">
        <f>Weekly_Inspections!$B470</f>
        <v>0</v>
      </c>
      <c r="C470" s="23">
        <f>Weekly_Inspections!$E470</f>
        <v>0</v>
      </c>
      <c r="D470" s="23">
        <f>Weekly_Inspections!$F470</f>
        <v>0</v>
      </c>
      <c r="E470" s="21" t="str">
        <f>Weekly_Inspections!$H470</f>
        <v/>
      </c>
      <c r="F470" s="23">
        <f>IF(Weekly_Inspections!$AX470&lt;&gt;"",Weekly_Inspections!$AX470,IF(Weekly_Inspections!$AY470&lt;&gt;"",Weekly_Inspections!$AY470,IF(Weekly_Inspections!$AZ470&lt;&gt;"",Weekly_Inspections!$AZ470,IF(Weekly_Inspections!$BA470&lt;&gt;"",Weekly_Inspections!$BA470,IF(Weekly_Inspections!$BB470&lt;&gt;"",Weekly_Inspections!$BB470,Weekly_Inspections!$R470)))))</f>
        <v>0</v>
      </c>
      <c r="G470" s="23" t="str">
        <f>IF(OR(Weekly_Inspections!$AQ470&lt;&gt;"",Weekly_Inspections!$AR470&lt;&gt;"",Weekly_Inspections!$AS470&lt;&gt;""),Weekly_Inspections!$AQ470,"")</f>
        <v/>
      </c>
      <c r="H470" s="23">
        <f>Weekly_Inspections!$AP470</f>
        <v>0</v>
      </c>
      <c r="I470" s="23">
        <f>Weekly_Inspections!$AR470</f>
        <v>0</v>
      </c>
      <c r="J470" s="23">
        <f>Weekly_Inspections!$AS470</f>
        <v>0</v>
      </c>
      <c r="K470" s="23">
        <f>Weekly_Inspections!$AU470</f>
        <v>0</v>
      </c>
      <c r="L470" s="22">
        <f>Weekly_Inspections!$AV470</f>
        <v>0</v>
      </c>
      <c r="M470" s="23" t="str">
        <f t="shared" si="21"/>
        <v>Open</v>
      </c>
      <c r="N470" s="22"/>
      <c r="O470" s="21">
        <f t="shared" ca="1" si="22"/>
        <v>46113</v>
      </c>
      <c r="P470" s="21" t="str">
        <f t="shared" ca="1" si="23"/>
        <v>YES</v>
      </c>
      <c r="Q470" s="23">
        <f>Weekly_Inspections!$AW470</f>
        <v>0</v>
      </c>
    </row>
    <row r="471" spans="1:17" ht="15" customHeight="1" x14ac:dyDescent="0.2">
      <c r="A471" s="21" t="str">
        <f>IF(Weekly_Inspections!$B471="","",Weekly_Inspections!$A471&amp;"-A1")</f>
        <v/>
      </c>
      <c r="B471" s="22">
        <f>Weekly_Inspections!$B471</f>
        <v>0</v>
      </c>
      <c r="C471" s="23">
        <f>Weekly_Inspections!$E471</f>
        <v>0</v>
      </c>
      <c r="D471" s="23">
        <f>Weekly_Inspections!$F471</f>
        <v>0</v>
      </c>
      <c r="E471" s="21" t="str">
        <f>Weekly_Inspections!$H471</f>
        <v/>
      </c>
      <c r="F471" s="23">
        <f>IF(Weekly_Inspections!$AX471&lt;&gt;"",Weekly_Inspections!$AX471,IF(Weekly_Inspections!$AY471&lt;&gt;"",Weekly_Inspections!$AY471,IF(Weekly_Inspections!$AZ471&lt;&gt;"",Weekly_Inspections!$AZ471,IF(Weekly_Inspections!$BA471&lt;&gt;"",Weekly_Inspections!$BA471,IF(Weekly_Inspections!$BB471&lt;&gt;"",Weekly_Inspections!$BB471,Weekly_Inspections!$R471)))))</f>
        <v>0</v>
      </c>
      <c r="G471" s="23" t="str">
        <f>IF(OR(Weekly_Inspections!$AQ471&lt;&gt;"",Weekly_Inspections!$AR471&lt;&gt;"",Weekly_Inspections!$AS471&lt;&gt;""),Weekly_Inspections!$AQ471,"")</f>
        <v/>
      </c>
      <c r="H471" s="23">
        <f>Weekly_Inspections!$AP471</f>
        <v>0</v>
      </c>
      <c r="I471" s="23">
        <f>Weekly_Inspections!$AR471</f>
        <v>0</v>
      </c>
      <c r="J471" s="23">
        <f>Weekly_Inspections!$AS471</f>
        <v>0</v>
      </c>
      <c r="K471" s="23">
        <f>Weekly_Inspections!$AU471</f>
        <v>0</v>
      </c>
      <c r="L471" s="22">
        <f>Weekly_Inspections!$AV471</f>
        <v>0</v>
      </c>
      <c r="M471" s="23" t="str">
        <f t="shared" si="21"/>
        <v>Open</v>
      </c>
      <c r="N471" s="22"/>
      <c r="O471" s="21">
        <f t="shared" ca="1" si="22"/>
        <v>46113</v>
      </c>
      <c r="P471" s="21" t="str">
        <f t="shared" ca="1" si="23"/>
        <v>YES</v>
      </c>
      <c r="Q471" s="23">
        <f>Weekly_Inspections!$AW471</f>
        <v>0</v>
      </c>
    </row>
    <row r="472" spans="1:17" ht="15" customHeight="1" x14ac:dyDescent="0.2">
      <c r="A472" s="21" t="str">
        <f>IF(Weekly_Inspections!$B472="","",Weekly_Inspections!$A472&amp;"-A1")</f>
        <v/>
      </c>
      <c r="B472" s="22">
        <f>Weekly_Inspections!$B472</f>
        <v>0</v>
      </c>
      <c r="C472" s="23">
        <f>Weekly_Inspections!$E472</f>
        <v>0</v>
      </c>
      <c r="D472" s="23">
        <f>Weekly_Inspections!$F472</f>
        <v>0</v>
      </c>
      <c r="E472" s="21" t="str">
        <f>Weekly_Inspections!$H472</f>
        <v/>
      </c>
      <c r="F472" s="23">
        <f>IF(Weekly_Inspections!$AX472&lt;&gt;"",Weekly_Inspections!$AX472,IF(Weekly_Inspections!$AY472&lt;&gt;"",Weekly_Inspections!$AY472,IF(Weekly_Inspections!$AZ472&lt;&gt;"",Weekly_Inspections!$AZ472,IF(Weekly_Inspections!$BA472&lt;&gt;"",Weekly_Inspections!$BA472,IF(Weekly_Inspections!$BB472&lt;&gt;"",Weekly_Inspections!$BB472,Weekly_Inspections!$R472)))))</f>
        <v>0</v>
      </c>
      <c r="G472" s="23" t="str">
        <f>IF(OR(Weekly_Inspections!$AQ472&lt;&gt;"",Weekly_Inspections!$AR472&lt;&gt;"",Weekly_Inspections!$AS472&lt;&gt;""),Weekly_Inspections!$AQ472,"")</f>
        <v/>
      </c>
      <c r="H472" s="23">
        <f>Weekly_Inspections!$AP472</f>
        <v>0</v>
      </c>
      <c r="I472" s="23">
        <f>Weekly_Inspections!$AR472</f>
        <v>0</v>
      </c>
      <c r="J472" s="23">
        <f>Weekly_Inspections!$AS472</f>
        <v>0</v>
      </c>
      <c r="K472" s="23">
        <f>Weekly_Inspections!$AU472</f>
        <v>0</v>
      </c>
      <c r="L472" s="22">
        <f>Weekly_Inspections!$AV472</f>
        <v>0</v>
      </c>
      <c r="M472" s="23" t="str">
        <f t="shared" si="21"/>
        <v>Open</v>
      </c>
      <c r="N472" s="22"/>
      <c r="O472" s="21">
        <f t="shared" ca="1" si="22"/>
        <v>46113</v>
      </c>
      <c r="P472" s="21" t="str">
        <f t="shared" ca="1" si="23"/>
        <v>YES</v>
      </c>
      <c r="Q472" s="23">
        <f>Weekly_Inspections!$AW472</f>
        <v>0</v>
      </c>
    </row>
    <row r="473" spans="1:17" ht="15" customHeight="1" x14ac:dyDescent="0.2">
      <c r="A473" s="21" t="str">
        <f>IF(Weekly_Inspections!$B473="","",Weekly_Inspections!$A473&amp;"-A1")</f>
        <v/>
      </c>
      <c r="B473" s="22">
        <f>Weekly_Inspections!$B473</f>
        <v>0</v>
      </c>
      <c r="C473" s="23">
        <f>Weekly_Inspections!$E473</f>
        <v>0</v>
      </c>
      <c r="D473" s="23">
        <f>Weekly_Inspections!$F473</f>
        <v>0</v>
      </c>
      <c r="E473" s="21" t="str">
        <f>Weekly_Inspections!$H473</f>
        <v/>
      </c>
      <c r="F473" s="23">
        <f>IF(Weekly_Inspections!$AX473&lt;&gt;"",Weekly_Inspections!$AX473,IF(Weekly_Inspections!$AY473&lt;&gt;"",Weekly_Inspections!$AY473,IF(Weekly_Inspections!$AZ473&lt;&gt;"",Weekly_Inspections!$AZ473,IF(Weekly_Inspections!$BA473&lt;&gt;"",Weekly_Inspections!$BA473,IF(Weekly_Inspections!$BB473&lt;&gt;"",Weekly_Inspections!$BB473,Weekly_Inspections!$R473)))))</f>
        <v>0</v>
      </c>
      <c r="G473" s="23" t="str">
        <f>IF(OR(Weekly_Inspections!$AQ473&lt;&gt;"",Weekly_Inspections!$AR473&lt;&gt;"",Weekly_Inspections!$AS473&lt;&gt;""),Weekly_Inspections!$AQ473,"")</f>
        <v/>
      </c>
      <c r="H473" s="23">
        <f>Weekly_Inspections!$AP473</f>
        <v>0</v>
      </c>
      <c r="I473" s="23">
        <f>Weekly_Inspections!$AR473</f>
        <v>0</v>
      </c>
      <c r="J473" s="23">
        <f>Weekly_Inspections!$AS473</f>
        <v>0</v>
      </c>
      <c r="K473" s="23">
        <f>Weekly_Inspections!$AU473</f>
        <v>0</v>
      </c>
      <c r="L473" s="22">
        <f>Weekly_Inspections!$AV473</f>
        <v>0</v>
      </c>
      <c r="M473" s="23" t="str">
        <f t="shared" si="21"/>
        <v>Open</v>
      </c>
      <c r="N473" s="22"/>
      <c r="O473" s="21">
        <f t="shared" ca="1" si="22"/>
        <v>46113</v>
      </c>
      <c r="P473" s="21" t="str">
        <f t="shared" ca="1" si="23"/>
        <v>YES</v>
      </c>
      <c r="Q473" s="23">
        <f>Weekly_Inspections!$AW473</f>
        <v>0</v>
      </c>
    </row>
    <row r="474" spans="1:17" ht="15" customHeight="1" x14ac:dyDescent="0.2">
      <c r="A474" s="21" t="str">
        <f>IF(Weekly_Inspections!$B474="","",Weekly_Inspections!$A474&amp;"-A1")</f>
        <v/>
      </c>
      <c r="B474" s="22">
        <f>Weekly_Inspections!$B474</f>
        <v>0</v>
      </c>
      <c r="C474" s="23">
        <f>Weekly_Inspections!$E474</f>
        <v>0</v>
      </c>
      <c r="D474" s="23">
        <f>Weekly_Inspections!$F474</f>
        <v>0</v>
      </c>
      <c r="E474" s="21" t="str">
        <f>Weekly_Inspections!$H474</f>
        <v/>
      </c>
      <c r="F474" s="23">
        <f>IF(Weekly_Inspections!$AX474&lt;&gt;"",Weekly_Inspections!$AX474,IF(Weekly_Inspections!$AY474&lt;&gt;"",Weekly_Inspections!$AY474,IF(Weekly_Inspections!$AZ474&lt;&gt;"",Weekly_Inspections!$AZ474,IF(Weekly_Inspections!$BA474&lt;&gt;"",Weekly_Inspections!$BA474,IF(Weekly_Inspections!$BB474&lt;&gt;"",Weekly_Inspections!$BB474,Weekly_Inspections!$R474)))))</f>
        <v>0</v>
      </c>
      <c r="G474" s="23" t="str">
        <f>IF(OR(Weekly_Inspections!$AQ474&lt;&gt;"",Weekly_Inspections!$AR474&lt;&gt;"",Weekly_Inspections!$AS474&lt;&gt;""),Weekly_Inspections!$AQ474,"")</f>
        <v/>
      </c>
      <c r="H474" s="23">
        <f>Weekly_Inspections!$AP474</f>
        <v>0</v>
      </c>
      <c r="I474" s="23">
        <f>Weekly_Inspections!$AR474</f>
        <v>0</v>
      </c>
      <c r="J474" s="23">
        <f>Weekly_Inspections!$AS474</f>
        <v>0</v>
      </c>
      <c r="K474" s="23">
        <f>Weekly_Inspections!$AU474</f>
        <v>0</v>
      </c>
      <c r="L474" s="22">
        <f>Weekly_Inspections!$AV474</f>
        <v>0</v>
      </c>
      <c r="M474" s="23" t="str">
        <f t="shared" si="21"/>
        <v>Open</v>
      </c>
      <c r="N474" s="22"/>
      <c r="O474" s="21">
        <f t="shared" ca="1" si="22"/>
        <v>46113</v>
      </c>
      <c r="P474" s="21" t="str">
        <f t="shared" ca="1" si="23"/>
        <v>YES</v>
      </c>
      <c r="Q474" s="23">
        <f>Weekly_Inspections!$AW474</f>
        <v>0</v>
      </c>
    </row>
    <row r="475" spans="1:17" ht="15" customHeight="1" x14ac:dyDescent="0.2">
      <c r="A475" s="21" t="str">
        <f>IF(Weekly_Inspections!$B475="","",Weekly_Inspections!$A475&amp;"-A1")</f>
        <v/>
      </c>
      <c r="B475" s="22">
        <f>Weekly_Inspections!$B475</f>
        <v>0</v>
      </c>
      <c r="C475" s="23">
        <f>Weekly_Inspections!$E475</f>
        <v>0</v>
      </c>
      <c r="D475" s="23">
        <f>Weekly_Inspections!$F475</f>
        <v>0</v>
      </c>
      <c r="E475" s="21" t="str">
        <f>Weekly_Inspections!$H475</f>
        <v/>
      </c>
      <c r="F475" s="23">
        <f>IF(Weekly_Inspections!$AX475&lt;&gt;"",Weekly_Inspections!$AX475,IF(Weekly_Inspections!$AY475&lt;&gt;"",Weekly_Inspections!$AY475,IF(Weekly_Inspections!$AZ475&lt;&gt;"",Weekly_Inspections!$AZ475,IF(Weekly_Inspections!$BA475&lt;&gt;"",Weekly_Inspections!$BA475,IF(Weekly_Inspections!$BB475&lt;&gt;"",Weekly_Inspections!$BB475,Weekly_Inspections!$R475)))))</f>
        <v>0</v>
      </c>
      <c r="G475" s="23" t="str">
        <f>IF(OR(Weekly_Inspections!$AQ475&lt;&gt;"",Weekly_Inspections!$AR475&lt;&gt;"",Weekly_Inspections!$AS475&lt;&gt;""),Weekly_Inspections!$AQ475,"")</f>
        <v/>
      </c>
      <c r="H475" s="23">
        <f>Weekly_Inspections!$AP475</f>
        <v>0</v>
      </c>
      <c r="I475" s="23">
        <f>Weekly_Inspections!$AR475</f>
        <v>0</v>
      </c>
      <c r="J475" s="23">
        <f>Weekly_Inspections!$AS475</f>
        <v>0</v>
      </c>
      <c r="K475" s="23">
        <f>Weekly_Inspections!$AU475</f>
        <v>0</v>
      </c>
      <c r="L475" s="22">
        <f>Weekly_Inspections!$AV475</f>
        <v>0</v>
      </c>
      <c r="M475" s="23" t="str">
        <f t="shared" si="21"/>
        <v>Open</v>
      </c>
      <c r="N475" s="22"/>
      <c r="O475" s="21">
        <f t="shared" ca="1" si="22"/>
        <v>46113</v>
      </c>
      <c r="P475" s="21" t="str">
        <f t="shared" ca="1" si="23"/>
        <v>YES</v>
      </c>
      <c r="Q475" s="23">
        <f>Weekly_Inspections!$AW475</f>
        <v>0</v>
      </c>
    </row>
    <row r="476" spans="1:17" ht="15" customHeight="1" x14ac:dyDescent="0.2">
      <c r="A476" s="21" t="str">
        <f>IF(Weekly_Inspections!$B476="","",Weekly_Inspections!$A476&amp;"-A1")</f>
        <v/>
      </c>
      <c r="B476" s="22">
        <f>Weekly_Inspections!$B476</f>
        <v>0</v>
      </c>
      <c r="C476" s="23">
        <f>Weekly_Inspections!$E476</f>
        <v>0</v>
      </c>
      <c r="D476" s="23">
        <f>Weekly_Inspections!$F476</f>
        <v>0</v>
      </c>
      <c r="E476" s="21" t="str">
        <f>Weekly_Inspections!$H476</f>
        <v/>
      </c>
      <c r="F476" s="23">
        <f>IF(Weekly_Inspections!$AX476&lt;&gt;"",Weekly_Inspections!$AX476,IF(Weekly_Inspections!$AY476&lt;&gt;"",Weekly_Inspections!$AY476,IF(Weekly_Inspections!$AZ476&lt;&gt;"",Weekly_Inspections!$AZ476,IF(Weekly_Inspections!$BA476&lt;&gt;"",Weekly_Inspections!$BA476,IF(Weekly_Inspections!$BB476&lt;&gt;"",Weekly_Inspections!$BB476,Weekly_Inspections!$R476)))))</f>
        <v>0</v>
      </c>
      <c r="G476" s="23" t="str">
        <f>IF(OR(Weekly_Inspections!$AQ476&lt;&gt;"",Weekly_Inspections!$AR476&lt;&gt;"",Weekly_Inspections!$AS476&lt;&gt;""),Weekly_Inspections!$AQ476,"")</f>
        <v/>
      </c>
      <c r="H476" s="23">
        <f>Weekly_Inspections!$AP476</f>
        <v>0</v>
      </c>
      <c r="I476" s="23">
        <f>Weekly_Inspections!$AR476</f>
        <v>0</v>
      </c>
      <c r="J476" s="23">
        <f>Weekly_Inspections!$AS476</f>
        <v>0</v>
      </c>
      <c r="K476" s="23">
        <f>Weekly_Inspections!$AU476</f>
        <v>0</v>
      </c>
      <c r="L476" s="22">
        <f>Weekly_Inspections!$AV476</f>
        <v>0</v>
      </c>
      <c r="M476" s="23" t="str">
        <f t="shared" si="21"/>
        <v>Open</v>
      </c>
      <c r="N476" s="22"/>
      <c r="O476" s="21">
        <f t="shared" ca="1" si="22"/>
        <v>46113</v>
      </c>
      <c r="P476" s="21" t="str">
        <f t="shared" ca="1" si="23"/>
        <v>YES</v>
      </c>
      <c r="Q476" s="23">
        <f>Weekly_Inspections!$AW476</f>
        <v>0</v>
      </c>
    </row>
    <row r="477" spans="1:17" ht="15" customHeight="1" x14ac:dyDescent="0.2">
      <c r="A477" s="21" t="str">
        <f>IF(Weekly_Inspections!$B477="","",Weekly_Inspections!$A477&amp;"-A1")</f>
        <v/>
      </c>
      <c r="B477" s="22">
        <f>Weekly_Inspections!$B477</f>
        <v>0</v>
      </c>
      <c r="C477" s="23">
        <f>Weekly_Inspections!$E477</f>
        <v>0</v>
      </c>
      <c r="D477" s="23">
        <f>Weekly_Inspections!$F477</f>
        <v>0</v>
      </c>
      <c r="E477" s="21" t="str">
        <f>Weekly_Inspections!$H477</f>
        <v/>
      </c>
      <c r="F477" s="23">
        <f>IF(Weekly_Inspections!$AX477&lt;&gt;"",Weekly_Inspections!$AX477,IF(Weekly_Inspections!$AY477&lt;&gt;"",Weekly_Inspections!$AY477,IF(Weekly_Inspections!$AZ477&lt;&gt;"",Weekly_Inspections!$AZ477,IF(Weekly_Inspections!$BA477&lt;&gt;"",Weekly_Inspections!$BA477,IF(Weekly_Inspections!$BB477&lt;&gt;"",Weekly_Inspections!$BB477,Weekly_Inspections!$R477)))))</f>
        <v>0</v>
      </c>
      <c r="G477" s="23" t="str">
        <f>IF(OR(Weekly_Inspections!$AQ477&lt;&gt;"",Weekly_Inspections!$AR477&lt;&gt;"",Weekly_Inspections!$AS477&lt;&gt;""),Weekly_Inspections!$AQ477,"")</f>
        <v/>
      </c>
      <c r="H477" s="23">
        <f>Weekly_Inspections!$AP477</f>
        <v>0</v>
      </c>
      <c r="I477" s="23">
        <f>Weekly_Inspections!$AR477</f>
        <v>0</v>
      </c>
      <c r="J477" s="23">
        <f>Weekly_Inspections!$AS477</f>
        <v>0</v>
      </c>
      <c r="K477" s="23">
        <f>Weekly_Inspections!$AU477</f>
        <v>0</v>
      </c>
      <c r="L477" s="22">
        <f>Weekly_Inspections!$AV477</f>
        <v>0</v>
      </c>
      <c r="M477" s="23" t="str">
        <f t="shared" si="21"/>
        <v>Open</v>
      </c>
      <c r="N477" s="22"/>
      <c r="O477" s="21">
        <f t="shared" ca="1" si="22"/>
        <v>46113</v>
      </c>
      <c r="P477" s="21" t="str">
        <f t="shared" ca="1" si="23"/>
        <v>YES</v>
      </c>
      <c r="Q477" s="23">
        <f>Weekly_Inspections!$AW477</f>
        <v>0</v>
      </c>
    </row>
    <row r="478" spans="1:17" ht="15" customHeight="1" x14ac:dyDescent="0.2">
      <c r="A478" s="21" t="str">
        <f>IF(Weekly_Inspections!$B478="","",Weekly_Inspections!$A478&amp;"-A1")</f>
        <v/>
      </c>
      <c r="B478" s="22">
        <f>Weekly_Inspections!$B478</f>
        <v>0</v>
      </c>
      <c r="C478" s="23">
        <f>Weekly_Inspections!$E478</f>
        <v>0</v>
      </c>
      <c r="D478" s="23">
        <f>Weekly_Inspections!$F478</f>
        <v>0</v>
      </c>
      <c r="E478" s="21" t="str">
        <f>Weekly_Inspections!$H478</f>
        <v/>
      </c>
      <c r="F478" s="23">
        <f>IF(Weekly_Inspections!$AX478&lt;&gt;"",Weekly_Inspections!$AX478,IF(Weekly_Inspections!$AY478&lt;&gt;"",Weekly_Inspections!$AY478,IF(Weekly_Inspections!$AZ478&lt;&gt;"",Weekly_Inspections!$AZ478,IF(Weekly_Inspections!$BA478&lt;&gt;"",Weekly_Inspections!$BA478,IF(Weekly_Inspections!$BB478&lt;&gt;"",Weekly_Inspections!$BB478,Weekly_Inspections!$R478)))))</f>
        <v>0</v>
      </c>
      <c r="G478" s="23" t="str">
        <f>IF(OR(Weekly_Inspections!$AQ478&lt;&gt;"",Weekly_Inspections!$AR478&lt;&gt;"",Weekly_Inspections!$AS478&lt;&gt;""),Weekly_Inspections!$AQ478,"")</f>
        <v/>
      </c>
      <c r="H478" s="23">
        <f>Weekly_Inspections!$AP478</f>
        <v>0</v>
      </c>
      <c r="I478" s="23">
        <f>Weekly_Inspections!$AR478</f>
        <v>0</v>
      </c>
      <c r="J478" s="23">
        <f>Weekly_Inspections!$AS478</f>
        <v>0</v>
      </c>
      <c r="K478" s="23">
        <f>Weekly_Inspections!$AU478</f>
        <v>0</v>
      </c>
      <c r="L478" s="22">
        <f>Weekly_Inspections!$AV478</f>
        <v>0</v>
      </c>
      <c r="M478" s="23" t="str">
        <f t="shared" si="21"/>
        <v>Open</v>
      </c>
      <c r="N478" s="22"/>
      <c r="O478" s="21">
        <f t="shared" ca="1" si="22"/>
        <v>46113</v>
      </c>
      <c r="P478" s="21" t="str">
        <f t="shared" ca="1" si="23"/>
        <v>YES</v>
      </c>
      <c r="Q478" s="23">
        <f>Weekly_Inspections!$AW478</f>
        <v>0</v>
      </c>
    </row>
    <row r="479" spans="1:17" ht="15" customHeight="1" x14ac:dyDescent="0.2">
      <c r="A479" s="21" t="str">
        <f>IF(Weekly_Inspections!$B479="","",Weekly_Inspections!$A479&amp;"-A1")</f>
        <v/>
      </c>
      <c r="B479" s="22">
        <f>Weekly_Inspections!$B479</f>
        <v>0</v>
      </c>
      <c r="C479" s="23">
        <f>Weekly_Inspections!$E479</f>
        <v>0</v>
      </c>
      <c r="D479" s="23">
        <f>Weekly_Inspections!$F479</f>
        <v>0</v>
      </c>
      <c r="E479" s="21" t="str">
        <f>Weekly_Inspections!$H479</f>
        <v/>
      </c>
      <c r="F479" s="23">
        <f>IF(Weekly_Inspections!$AX479&lt;&gt;"",Weekly_Inspections!$AX479,IF(Weekly_Inspections!$AY479&lt;&gt;"",Weekly_Inspections!$AY479,IF(Weekly_Inspections!$AZ479&lt;&gt;"",Weekly_Inspections!$AZ479,IF(Weekly_Inspections!$BA479&lt;&gt;"",Weekly_Inspections!$BA479,IF(Weekly_Inspections!$BB479&lt;&gt;"",Weekly_Inspections!$BB479,Weekly_Inspections!$R479)))))</f>
        <v>0</v>
      </c>
      <c r="G479" s="23" t="str">
        <f>IF(OR(Weekly_Inspections!$AQ479&lt;&gt;"",Weekly_Inspections!$AR479&lt;&gt;"",Weekly_Inspections!$AS479&lt;&gt;""),Weekly_Inspections!$AQ479,"")</f>
        <v/>
      </c>
      <c r="H479" s="23">
        <f>Weekly_Inspections!$AP479</f>
        <v>0</v>
      </c>
      <c r="I479" s="23">
        <f>Weekly_Inspections!$AR479</f>
        <v>0</v>
      </c>
      <c r="J479" s="23">
        <f>Weekly_Inspections!$AS479</f>
        <v>0</v>
      </c>
      <c r="K479" s="23">
        <f>Weekly_Inspections!$AU479</f>
        <v>0</v>
      </c>
      <c r="L479" s="22">
        <f>Weekly_Inspections!$AV479</f>
        <v>0</v>
      </c>
      <c r="M479" s="23" t="str">
        <f t="shared" si="21"/>
        <v>Open</v>
      </c>
      <c r="N479" s="22"/>
      <c r="O479" s="21">
        <f t="shared" ca="1" si="22"/>
        <v>46113</v>
      </c>
      <c r="P479" s="21" t="str">
        <f t="shared" ca="1" si="23"/>
        <v>YES</v>
      </c>
      <c r="Q479" s="23">
        <f>Weekly_Inspections!$AW479</f>
        <v>0</v>
      </c>
    </row>
    <row r="480" spans="1:17" ht="15" customHeight="1" x14ac:dyDescent="0.2">
      <c r="A480" s="21" t="str">
        <f>IF(Weekly_Inspections!$B480="","",Weekly_Inspections!$A480&amp;"-A1")</f>
        <v/>
      </c>
      <c r="B480" s="22">
        <f>Weekly_Inspections!$B480</f>
        <v>0</v>
      </c>
      <c r="C480" s="23">
        <f>Weekly_Inspections!$E480</f>
        <v>0</v>
      </c>
      <c r="D480" s="23">
        <f>Weekly_Inspections!$F480</f>
        <v>0</v>
      </c>
      <c r="E480" s="21" t="str">
        <f>Weekly_Inspections!$H480</f>
        <v/>
      </c>
      <c r="F480" s="23">
        <f>IF(Weekly_Inspections!$AX480&lt;&gt;"",Weekly_Inspections!$AX480,IF(Weekly_Inspections!$AY480&lt;&gt;"",Weekly_Inspections!$AY480,IF(Weekly_Inspections!$AZ480&lt;&gt;"",Weekly_Inspections!$AZ480,IF(Weekly_Inspections!$BA480&lt;&gt;"",Weekly_Inspections!$BA480,IF(Weekly_Inspections!$BB480&lt;&gt;"",Weekly_Inspections!$BB480,Weekly_Inspections!$R480)))))</f>
        <v>0</v>
      </c>
      <c r="G480" s="23" t="str">
        <f>IF(OR(Weekly_Inspections!$AQ480&lt;&gt;"",Weekly_Inspections!$AR480&lt;&gt;"",Weekly_Inspections!$AS480&lt;&gt;""),Weekly_Inspections!$AQ480,"")</f>
        <v/>
      </c>
      <c r="H480" s="23">
        <f>Weekly_Inspections!$AP480</f>
        <v>0</v>
      </c>
      <c r="I480" s="23">
        <f>Weekly_Inspections!$AR480</f>
        <v>0</v>
      </c>
      <c r="J480" s="23">
        <f>Weekly_Inspections!$AS480</f>
        <v>0</v>
      </c>
      <c r="K480" s="23">
        <f>Weekly_Inspections!$AU480</f>
        <v>0</v>
      </c>
      <c r="L480" s="22">
        <f>Weekly_Inspections!$AV480</f>
        <v>0</v>
      </c>
      <c r="M480" s="23" t="str">
        <f t="shared" si="21"/>
        <v>Open</v>
      </c>
      <c r="N480" s="22"/>
      <c r="O480" s="21">
        <f t="shared" ca="1" si="22"/>
        <v>46113</v>
      </c>
      <c r="P480" s="21" t="str">
        <f t="shared" ca="1" si="23"/>
        <v>YES</v>
      </c>
      <c r="Q480" s="23">
        <f>Weekly_Inspections!$AW480</f>
        <v>0</v>
      </c>
    </row>
    <row r="481" spans="1:17" ht="15" customHeight="1" x14ac:dyDescent="0.2">
      <c r="A481" s="21" t="str">
        <f>IF(Weekly_Inspections!$B481="","",Weekly_Inspections!$A481&amp;"-A1")</f>
        <v/>
      </c>
      <c r="B481" s="22">
        <f>Weekly_Inspections!$B481</f>
        <v>0</v>
      </c>
      <c r="C481" s="23">
        <f>Weekly_Inspections!$E481</f>
        <v>0</v>
      </c>
      <c r="D481" s="23">
        <f>Weekly_Inspections!$F481</f>
        <v>0</v>
      </c>
      <c r="E481" s="21" t="str">
        <f>Weekly_Inspections!$H481</f>
        <v/>
      </c>
      <c r="F481" s="23">
        <f>IF(Weekly_Inspections!$AX481&lt;&gt;"",Weekly_Inspections!$AX481,IF(Weekly_Inspections!$AY481&lt;&gt;"",Weekly_Inspections!$AY481,IF(Weekly_Inspections!$AZ481&lt;&gt;"",Weekly_Inspections!$AZ481,IF(Weekly_Inspections!$BA481&lt;&gt;"",Weekly_Inspections!$BA481,IF(Weekly_Inspections!$BB481&lt;&gt;"",Weekly_Inspections!$BB481,Weekly_Inspections!$R481)))))</f>
        <v>0</v>
      </c>
      <c r="G481" s="23" t="str">
        <f>IF(OR(Weekly_Inspections!$AQ481&lt;&gt;"",Weekly_Inspections!$AR481&lt;&gt;"",Weekly_Inspections!$AS481&lt;&gt;""),Weekly_Inspections!$AQ481,"")</f>
        <v/>
      </c>
      <c r="H481" s="23">
        <f>Weekly_Inspections!$AP481</f>
        <v>0</v>
      </c>
      <c r="I481" s="23">
        <f>Weekly_Inspections!$AR481</f>
        <v>0</v>
      </c>
      <c r="J481" s="23">
        <f>Weekly_Inspections!$AS481</f>
        <v>0</v>
      </c>
      <c r="K481" s="23">
        <f>Weekly_Inspections!$AU481</f>
        <v>0</v>
      </c>
      <c r="L481" s="22">
        <f>Weekly_Inspections!$AV481</f>
        <v>0</v>
      </c>
      <c r="M481" s="23" t="str">
        <f t="shared" si="21"/>
        <v>Open</v>
      </c>
      <c r="N481" s="22"/>
      <c r="O481" s="21">
        <f t="shared" ca="1" si="22"/>
        <v>46113</v>
      </c>
      <c r="P481" s="21" t="str">
        <f t="shared" ca="1" si="23"/>
        <v>YES</v>
      </c>
      <c r="Q481" s="23">
        <f>Weekly_Inspections!$AW481</f>
        <v>0</v>
      </c>
    </row>
    <row r="482" spans="1:17" ht="15" customHeight="1" x14ac:dyDescent="0.2">
      <c r="A482" s="21" t="str">
        <f>IF(Weekly_Inspections!$B482="","",Weekly_Inspections!$A482&amp;"-A1")</f>
        <v/>
      </c>
      <c r="B482" s="22">
        <f>Weekly_Inspections!$B482</f>
        <v>0</v>
      </c>
      <c r="C482" s="23">
        <f>Weekly_Inspections!$E482</f>
        <v>0</v>
      </c>
      <c r="D482" s="23">
        <f>Weekly_Inspections!$F482</f>
        <v>0</v>
      </c>
      <c r="E482" s="21" t="str">
        <f>Weekly_Inspections!$H482</f>
        <v/>
      </c>
      <c r="F482" s="23">
        <f>IF(Weekly_Inspections!$AX482&lt;&gt;"",Weekly_Inspections!$AX482,IF(Weekly_Inspections!$AY482&lt;&gt;"",Weekly_Inspections!$AY482,IF(Weekly_Inspections!$AZ482&lt;&gt;"",Weekly_Inspections!$AZ482,IF(Weekly_Inspections!$BA482&lt;&gt;"",Weekly_Inspections!$BA482,IF(Weekly_Inspections!$BB482&lt;&gt;"",Weekly_Inspections!$BB482,Weekly_Inspections!$R482)))))</f>
        <v>0</v>
      </c>
      <c r="G482" s="23" t="str">
        <f>IF(OR(Weekly_Inspections!$AQ482&lt;&gt;"",Weekly_Inspections!$AR482&lt;&gt;"",Weekly_Inspections!$AS482&lt;&gt;""),Weekly_Inspections!$AQ482,"")</f>
        <v/>
      </c>
      <c r="H482" s="23">
        <f>Weekly_Inspections!$AP482</f>
        <v>0</v>
      </c>
      <c r="I482" s="23">
        <f>Weekly_Inspections!$AR482</f>
        <v>0</v>
      </c>
      <c r="J482" s="23">
        <f>Weekly_Inspections!$AS482</f>
        <v>0</v>
      </c>
      <c r="K482" s="23">
        <f>Weekly_Inspections!$AU482</f>
        <v>0</v>
      </c>
      <c r="L482" s="22">
        <f>Weekly_Inspections!$AV482</f>
        <v>0</v>
      </c>
      <c r="M482" s="23" t="str">
        <f t="shared" si="21"/>
        <v>Open</v>
      </c>
      <c r="N482" s="22"/>
      <c r="O482" s="21">
        <f t="shared" ca="1" si="22"/>
        <v>46113</v>
      </c>
      <c r="P482" s="21" t="str">
        <f t="shared" ca="1" si="23"/>
        <v>YES</v>
      </c>
      <c r="Q482" s="23">
        <f>Weekly_Inspections!$AW482</f>
        <v>0</v>
      </c>
    </row>
    <row r="483" spans="1:17" ht="15" customHeight="1" x14ac:dyDescent="0.2">
      <c r="A483" s="21" t="str">
        <f>IF(Weekly_Inspections!$B483="","",Weekly_Inspections!$A483&amp;"-A1")</f>
        <v/>
      </c>
      <c r="B483" s="22">
        <f>Weekly_Inspections!$B483</f>
        <v>0</v>
      </c>
      <c r="C483" s="23">
        <f>Weekly_Inspections!$E483</f>
        <v>0</v>
      </c>
      <c r="D483" s="23">
        <f>Weekly_Inspections!$F483</f>
        <v>0</v>
      </c>
      <c r="E483" s="21" t="str">
        <f>Weekly_Inspections!$H483</f>
        <v/>
      </c>
      <c r="F483" s="23">
        <f>IF(Weekly_Inspections!$AX483&lt;&gt;"",Weekly_Inspections!$AX483,IF(Weekly_Inspections!$AY483&lt;&gt;"",Weekly_Inspections!$AY483,IF(Weekly_Inspections!$AZ483&lt;&gt;"",Weekly_Inspections!$AZ483,IF(Weekly_Inspections!$BA483&lt;&gt;"",Weekly_Inspections!$BA483,IF(Weekly_Inspections!$BB483&lt;&gt;"",Weekly_Inspections!$BB483,Weekly_Inspections!$R483)))))</f>
        <v>0</v>
      </c>
      <c r="G483" s="23" t="str">
        <f>IF(OR(Weekly_Inspections!$AQ483&lt;&gt;"",Weekly_Inspections!$AR483&lt;&gt;"",Weekly_Inspections!$AS483&lt;&gt;""),Weekly_Inspections!$AQ483,"")</f>
        <v/>
      </c>
      <c r="H483" s="23">
        <f>Weekly_Inspections!$AP483</f>
        <v>0</v>
      </c>
      <c r="I483" s="23">
        <f>Weekly_Inspections!$AR483</f>
        <v>0</v>
      </c>
      <c r="J483" s="23">
        <f>Weekly_Inspections!$AS483</f>
        <v>0</v>
      </c>
      <c r="K483" s="23">
        <f>Weekly_Inspections!$AU483</f>
        <v>0</v>
      </c>
      <c r="L483" s="22">
        <f>Weekly_Inspections!$AV483</f>
        <v>0</v>
      </c>
      <c r="M483" s="23" t="str">
        <f t="shared" si="21"/>
        <v>Open</v>
      </c>
      <c r="N483" s="22"/>
      <c r="O483" s="21">
        <f t="shared" ca="1" si="22"/>
        <v>46113</v>
      </c>
      <c r="P483" s="21" t="str">
        <f t="shared" ca="1" si="23"/>
        <v>YES</v>
      </c>
      <c r="Q483" s="23">
        <f>Weekly_Inspections!$AW483</f>
        <v>0</v>
      </c>
    </row>
    <row r="484" spans="1:17" ht="15" customHeight="1" x14ac:dyDescent="0.2">
      <c r="A484" s="21" t="str">
        <f>IF(Weekly_Inspections!$B484="","",Weekly_Inspections!$A484&amp;"-A1")</f>
        <v/>
      </c>
      <c r="B484" s="22">
        <f>Weekly_Inspections!$B484</f>
        <v>0</v>
      </c>
      <c r="C484" s="23">
        <f>Weekly_Inspections!$E484</f>
        <v>0</v>
      </c>
      <c r="D484" s="23">
        <f>Weekly_Inspections!$F484</f>
        <v>0</v>
      </c>
      <c r="E484" s="21" t="str">
        <f>Weekly_Inspections!$H484</f>
        <v/>
      </c>
      <c r="F484" s="23">
        <f>IF(Weekly_Inspections!$AX484&lt;&gt;"",Weekly_Inspections!$AX484,IF(Weekly_Inspections!$AY484&lt;&gt;"",Weekly_Inspections!$AY484,IF(Weekly_Inspections!$AZ484&lt;&gt;"",Weekly_Inspections!$AZ484,IF(Weekly_Inspections!$BA484&lt;&gt;"",Weekly_Inspections!$BA484,IF(Weekly_Inspections!$BB484&lt;&gt;"",Weekly_Inspections!$BB484,Weekly_Inspections!$R484)))))</f>
        <v>0</v>
      </c>
      <c r="G484" s="23" t="str">
        <f>IF(OR(Weekly_Inspections!$AQ484&lt;&gt;"",Weekly_Inspections!$AR484&lt;&gt;"",Weekly_Inspections!$AS484&lt;&gt;""),Weekly_Inspections!$AQ484,"")</f>
        <v/>
      </c>
      <c r="H484" s="23">
        <f>Weekly_Inspections!$AP484</f>
        <v>0</v>
      </c>
      <c r="I484" s="23">
        <f>Weekly_Inspections!$AR484</f>
        <v>0</v>
      </c>
      <c r="J484" s="23">
        <f>Weekly_Inspections!$AS484</f>
        <v>0</v>
      </c>
      <c r="K484" s="23">
        <f>Weekly_Inspections!$AU484</f>
        <v>0</v>
      </c>
      <c r="L484" s="22">
        <f>Weekly_Inspections!$AV484</f>
        <v>0</v>
      </c>
      <c r="M484" s="23" t="str">
        <f t="shared" si="21"/>
        <v>Open</v>
      </c>
      <c r="N484" s="22"/>
      <c r="O484" s="21">
        <f t="shared" ca="1" si="22"/>
        <v>46113</v>
      </c>
      <c r="P484" s="21" t="str">
        <f t="shared" ca="1" si="23"/>
        <v>YES</v>
      </c>
      <c r="Q484" s="23">
        <f>Weekly_Inspections!$AW484</f>
        <v>0</v>
      </c>
    </row>
    <row r="485" spans="1:17" ht="15" customHeight="1" x14ac:dyDescent="0.2">
      <c r="A485" s="21" t="str">
        <f>IF(Weekly_Inspections!$B485="","",Weekly_Inspections!$A485&amp;"-A1")</f>
        <v/>
      </c>
      <c r="B485" s="22">
        <f>Weekly_Inspections!$B485</f>
        <v>0</v>
      </c>
      <c r="C485" s="23">
        <f>Weekly_Inspections!$E485</f>
        <v>0</v>
      </c>
      <c r="D485" s="23">
        <f>Weekly_Inspections!$F485</f>
        <v>0</v>
      </c>
      <c r="E485" s="21" t="str">
        <f>Weekly_Inspections!$H485</f>
        <v/>
      </c>
      <c r="F485" s="23">
        <f>IF(Weekly_Inspections!$AX485&lt;&gt;"",Weekly_Inspections!$AX485,IF(Weekly_Inspections!$AY485&lt;&gt;"",Weekly_Inspections!$AY485,IF(Weekly_Inspections!$AZ485&lt;&gt;"",Weekly_Inspections!$AZ485,IF(Weekly_Inspections!$BA485&lt;&gt;"",Weekly_Inspections!$BA485,IF(Weekly_Inspections!$BB485&lt;&gt;"",Weekly_Inspections!$BB485,Weekly_Inspections!$R485)))))</f>
        <v>0</v>
      </c>
      <c r="G485" s="23" t="str">
        <f>IF(OR(Weekly_Inspections!$AQ485&lt;&gt;"",Weekly_Inspections!$AR485&lt;&gt;"",Weekly_Inspections!$AS485&lt;&gt;""),Weekly_Inspections!$AQ485,"")</f>
        <v/>
      </c>
      <c r="H485" s="23">
        <f>Weekly_Inspections!$AP485</f>
        <v>0</v>
      </c>
      <c r="I485" s="23">
        <f>Weekly_Inspections!$AR485</f>
        <v>0</v>
      </c>
      <c r="J485" s="23">
        <f>Weekly_Inspections!$AS485</f>
        <v>0</v>
      </c>
      <c r="K485" s="23">
        <f>Weekly_Inspections!$AU485</f>
        <v>0</v>
      </c>
      <c r="L485" s="22">
        <f>Weekly_Inspections!$AV485</f>
        <v>0</v>
      </c>
      <c r="M485" s="23" t="str">
        <f t="shared" si="21"/>
        <v>Open</v>
      </c>
      <c r="N485" s="22"/>
      <c r="O485" s="21">
        <f t="shared" ca="1" si="22"/>
        <v>46113</v>
      </c>
      <c r="P485" s="21" t="str">
        <f t="shared" ca="1" si="23"/>
        <v>YES</v>
      </c>
      <c r="Q485" s="23">
        <f>Weekly_Inspections!$AW485</f>
        <v>0</v>
      </c>
    </row>
    <row r="486" spans="1:17" ht="15" customHeight="1" x14ac:dyDescent="0.2">
      <c r="A486" s="21" t="str">
        <f>IF(Weekly_Inspections!$B486="","",Weekly_Inspections!$A486&amp;"-A1")</f>
        <v/>
      </c>
      <c r="B486" s="22">
        <f>Weekly_Inspections!$B486</f>
        <v>0</v>
      </c>
      <c r="C486" s="23">
        <f>Weekly_Inspections!$E486</f>
        <v>0</v>
      </c>
      <c r="D486" s="23">
        <f>Weekly_Inspections!$F486</f>
        <v>0</v>
      </c>
      <c r="E486" s="21" t="str">
        <f>Weekly_Inspections!$H486</f>
        <v/>
      </c>
      <c r="F486" s="23">
        <f>IF(Weekly_Inspections!$AX486&lt;&gt;"",Weekly_Inspections!$AX486,IF(Weekly_Inspections!$AY486&lt;&gt;"",Weekly_Inspections!$AY486,IF(Weekly_Inspections!$AZ486&lt;&gt;"",Weekly_Inspections!$AZ486,IF(Weekly_Inspections!$BA486&lt;&gt;"",Weekly_Inspections!$BA486,IF(Weekly_Inspections!$BB486&lt;&gt;"",Weekly_Inspections!$BB486,Weekly_Inspections!$R486)))))</f>
        <v>0</v>
      </c>
      <c r="G486" s="23" t="str">
        <f>IF(OR(Weekly_Inspections!$AQ486&lt;&gt;"",Weekly_Inspections!$AR486&lt;&gt;"",Weekly_Inspections!$AS486&lt;&gt;""),Weekly_Inspections!$AQ486,"")</f>
        <v/>
      </c>
      <c r="H486" s="23">
        <f>Weekly_Inspections!$AP486</f>
        <v>0</v>
      </c>
      <c r="I486" s="23">
        <f>Weekly_Inspections!$AR486</f>
        <v>0</v>
      </c>
      <c r="J486" s="23">
        <f>Weekly_Inspections!$AS486</f>
        <v>0</v>
      </c>
      <c r="K486" s="23">
        <f>Weekly_Inspections!$AU486</f>
        <v>0</v>
      </c>
      <c r="L486" s="22">
        <f>Weekly_Inspections!$AV486</f>
        <v>0</v>
      </c>
      <c r="M486" s="23" t="str">
        <f t="shared" si="21"/>
        <v>Open</v>
      </c>
      <c r="N486" s="22"/>
      <c r="O486" s="21">
        <f t="shared" ca="1" si="22"/>
        <v>46113</v>
      </c>
      <c r="P486" s="21" t="str">
        <f t="shared" ca="1" si="23"/>
        <v>YES</v>
      </c>
      <c r="Q486" s="23">
        <f>Weekly_Inspections!$AW486</f>
        <v>0</v>
      </c>
    </row>
    <row r="487" spans="1:17" ht="15" customHeight="1" x14ac:dyDescent="0.2">
      <c r="A487" s="21" t="str">
        <f>IF(Weekly_Inspections!$B487="","",Weekly_Inspections!$A487&amp;"-A1")</f>
        <v/>
      </c>
      <c r="B487" s="22">
        <f>Weekly_Inspections!$B487</f>
        <v>0</v>
      </c>
      <c r="C487" s="23">
        <f>Weekly_Inspections!$E487</f>
        <v>0</v>
      </c>
      <c r="D487" s="23">
        <f>Weekly_Inspections!$F487</f>
        <v>0</v>
      </c>
      <c r="E487" s="21" t="str">
        <f>Weekly_Inspections!$H487</f>
        <v/>
      </c>
      <c r="F487" s="23">
        <f>IF(Weekly_Inspections!$AX487&lt;&gt;"",Weekly_Inspections!$AX487,IF(Weekly_Inspections!$AY487&lt;&gt;"",Weekly_Inspections!$AY487,IF(Weekly_Inspections!$AZ487&lt;&gt;"",Weekly_Inspections!$AZ487,IF(Weekly_Inspections!$BA487&lt;&gt;"",Weekly_Inspections!$BA487,IF(Weekly_Inspections!$BB487&lt;&gt;"",Weekly_Inspections!$BB487,Weekly_Inspections!$R487)))))</f>
        <v>0</v>
      </c>
      <c r="G487" s="23" t="str">
        <f>IF(OR(Weekly_Inspections!$AQ487&lt;&gt;"",Weekly_Inspections!$AR487&lt;&gt;"",Weekly_Inspections!$AS487&lt;&gt;""),Weekly_Inspections!$AQ487,"")</f>
        <v/>
      </c>
      <c r="H487" s="23">
        <f>Weekly_Inspections!$AP487</f>
        <v>0</v>
      </c>
      <c r="I487" s="23">
        <f>Weekly_Inspections!$AR487</f>
        <v>0</v>
      </c>
      <c r="J487" s="23">
        <f>Weekly_Inspections!$AS487</f>
        <v>0</v>
      </c>
      <c r="K487" s="23">
        <f>Weekly_Inspections!$AU487</f>
        <v>0</v>
      </c>
      <c r="L487" s="22">
        <f>Weekly_Inspections!$AV487</f>
        <v>0</v>
      </c>
      <c r="M487" s="23" t="str">
        <f t="shared" si="21"/>
        <v>Open</v>
      </c>
      <c r="N487" s="22"/>
      <c r="O487" s="21">
        <f t="shared" ca="1" si="22"/>
        <v>46113</v>
      </c>
      <c r="P487" s="21" t="str">
        <f t="shared" ca="1" si="23"/>
        <v>YES</v>
      </c>
      <c r="Q487" s="23">
        <f>Weekly_Inspections!$AW487</f>
        <v>0</v>
      </c>
    </row>
    <row r="488" spans="1:17" ht="15" customHeight="1" x14ac:dyDescent="0.2">
      <c r="A488" s="21" t="str">
        <f>IF(Weekly_Inspections!$B488="","",Weekly_Inspections!$A488&amp;"-A1")</f>
        <v/>
      </c>
      <c r="B488" s="22">
        <f>Weekly_Inspections!$B488</f>
        <v>0</v>
      </c>
      <c r="C488" s="23">
        <f>Weekly_Inspections!$E488</f>
        <v>0</v>
      </c>
      <c r="D488" s="23">
        <f>Weekly_Inspections!$F488</f>
        <v>0</v>
      </c>
      <c r="E488" s="21" t="str">
        <f>Weekly_Inspections!$H488</f>
        <v/>
      </c>
      <c r="F488" s="23">
        <f>IF(Weekly_Inspections!$AX488&lt;&gt;"",Weekly_Inspections!$AX488,IF(Weekly_Inspections!$AY488&lt;&gt;"",Weekly_Inspections!$AY488,IF(Weekly_Inspections!$AZ488&lt;&gt;"",Weekly_Inspections!$AZ488,IF(Weekly_Inspections!$BA488&lt;&gt;"",Weekly_Inspections!$BA488,IF(Weekly_Inspections!$BB488&lt;&gt;"",Weekly_Inspections!$BB488,Weekly_Inspections!$R488)))))</f>
        <v>0</v>
      </c>
      <c r="G488" s="23" t="str">
        <f>IF(OR(Weekly_Inspections!$AQ488&lt;&gt;"",Weekly_Inspections!$AR488&lt;&gt;"",Weekly_Inspections!$AS488&lt;&gt;""),Weekly_Inspections!$AQ488,"")</f>
        <v/>
      </c>
      <c r="H488" s="23">
        <f>Weekly_Inspections!$AP488</f>
        <v>0</v>
      </c>
      <c r="I488" s="23">
        <f>Weekly_Inspections!$AR488</f>
        <v>0</v>
      </c>
      <c r="J488" s="23">
        <f>Weekly_Inspections!$AS488</f>
        <v>0</v>
      </c>
      <c r="K488" s="23">
        <f>Weekly_Inspections!$AU488</f>
        <v>0</v>
      </c>
      <c r="L488" s="22">
        <f>Weekly_Inspections!$AV488</f>
        <v>0</v>
      </c>
      <c r="M488" s="23" t="str">
        <f t="shared" si="21"/>
        <v>Open</v>
      </c>
      <c r="N488" s="22"/>
      <c r="O488" s="21">
        <f t="shared" ca="1" si="22"/>
        <v>46113</v>
      </c>
      <c r="P488" s="21" t="str">
        <f t="shared" ca="1" si="23"/>
        <v>YES</v>
      </c>
      <c r="Q488" s="23">
        <f>Weekly_Inspections!$AW488</f>
        <v>0</v>
      </c>
    </row>
    <row r="489" spans="1:17" ht="15" customHeight="1" x14ac:dyDescent="0.2">
      <c r="A489" s="21" t="str">
        <f>IF(Weekly_Inspections!$B489="","",Weekly_Inspections!$A489&amp;"-A1")</f>
        <v/>
      </c>
      <c r="B489" s="22">
        <f>Weekly_Inspections!$B489</f>
        <v>0</v>
      </c>
      <c r="C489" s="23">
        <f>Weekly_Inspections!$E489</f>
        <v>0</v>
      </c>
      <c r="D489" s="23">
        <f>Weekly_Inspections!$F489</f>
        <v>0</v>
      </c>
      <c r="E489" s="21" t="str">
        <f>Weekly_Inspections!$H489</f>
        <v/>
      </c>
      <c r="F489" s="23">
        <f>IF(Weekly_Inspections!$AX489&lt;&gt;"",Weekly_Inspections!$AX489,IF(Weekly_Inspections!$AY489&lt;&gt;"",Weekly_Inspections!$AY489,IF(Weekly_Inspections!$AZ489&lt;&gt;"",Weekly_Inspections!$AZ489,IF(Weekly_Inspections!$BA489&lt;&gt;"",Weekly_Inspections!$BA489,IF(Weekly_Inspections!$BB489&lt;&gt;"",Weekly_Inspections!$BB489,Weekly_Inspections!$R489)))))</f>
        <v>0</v>
      </c>
      <c r="G489" s="23" t="str">
        <f>IF(OR(Weekly_Inspections!$AQ489&lt;&gt;"",Weekly_Inspections!$AR489&lt;&gt;"",Weekly_Inspections!$AS489&lt;&gt;""),Weekly_Inspections!$AQ489,"")</f>
        <v/>
      </c>
      <c r="H489" s="23">
        <f>Weekly_Inspections!$AP489</f>
        <v>0</v>
      </c>
      <c r="I489" s="23">
        <f>Weekly_Inspections!$AR489</f>
        <v>0</v>
      </c>
      <c r="J489" s="23">
        <f>Weekly_Inspections!$AS489</f>
        <v>0</v>
      </c>
      <c r="K489" s="23">
        <f>Weekly_Inspections!$AU489</f>
        <v>0</v>
      </c>
      <c r="L489" s="22">
        <f>Weekly_Inspections!$AV489</f>
        <v>0</v>
      </c>
      <c r="M489" s="23" t="str">
        <f t="shared" si="21"/>
        <v>Open</v>
      </c>
      <c r="N489" s="22"/>
      <c r="O489" s="21">
        <f t="shared" ca="1" si="22"/>
        <v>46113</v>
      </c>
      <c r="P489" s="21" t="str">
        <f t="shared" ca="1" si="23"/>
        <v>YES</v>
      </c>
      <c r="Q489" s="23">
        <f>Weekly_Inspections!$AW489</f>
        <v>0</v>
      </c>
    </row>
    <row r="490" spans="1:17" ht="15" customHeight="1" x14ac:dyDescent="0.2">
      <c r="A490" s="21" t="str">
        <f>IF(Weekly_Inspections!$B490="","",Weekly_Inspections!$A490&amp;"-A1")</f>
        <v/>
      </c>
      <c r="B490" s="22">
        <f>Weekly_Inspections!$B490</f>
        <v>0</v>
      </c>
      <c r="C490" s="23">
        <f>Weekly_Inspections!$E490</f>
        <v>0</v>
      </c>
      <c r="D490" s="23">
        <f>Weekly_Inspections!$F490</f>
        <v>0</v>
      </c>
      <c r="E490" s="21" t="str">
        <f>Weekly_Inspections!$H490</f>
        <v/>
      </c>
      <c r="F490" s="23">
        <f>IF(Weekly_Inspections!$AX490&lt;&gt;"",Weekly_Inspections!$AX490,IF(Weekly_Inspections!$AY490&lt;&gt;"",Weekly_Inspections!$AY490,IF(Weekly_Inspections!$AZ490&lt;&gt;"",Weekly_Inspections!$AZ490,IF(Weekly_Inspections!$BA490&lt;&gt;"",Weekly_Inspections!$BA490,IF(Weekly_Inspections!$BB490&lt;&gt;"",Weekly_Inspections!$BB490,Weekly_Inspections!$R490)))))</f>
        <v>0</v>
      </c>
      <c r="G490" s="23" t="str">
        <f>IF(OR(Weekly_Inspections!$AQ490&lt;&gt;"",Weekly_Inspections!$AR490&lt;&gt;"",Weekly_Inspections!$AS490&lt;&gt;""),Weekly_Inspections!$AQ490,"")</f>
        <v/>
      </c>
      <c r="H490" s="23">
        <f>Weekly_Inspections!$AP490</f>
        <v>0</v>
      </c>
      <c r="I490" s="23">
        <f>Weekly_Inspections!$AR490</f>
        <v>0</v>
      </c>
      <c r="J490" s="23">
        <f>Weekly_Inspections!$AS490</f>
        <v>0</v>
      </c>
      <c r="K490" s="23">
        <f>Weekly_Inspections!$AU490</f>
        <v>0</v>
      </c>
      <c r="L490" s="22">
        <f>Weekly_Inspections!$AV490</f>
        <v>0</v>
      </c>
      <c r="M490" s="23" t="str">
        <f t="shared" si="21"/>
        <v>Open</v>
      </c>
      <c r="N490" s="22"/>
      <c r="O490" s="21">
        <f t="shared" ca="1" si="22"/>
        <v>46113</v>
      </c>
      <c r="P490" s="21" t="str">
        <f t="shared" ca="1" si="23"/>
        <v>YES</v>
      </c>
      <c r="Q490" s="23">
        <f>Weekly_Inspections!$AW490</f>
        <v>0</v>
      </c>
    </row>
    <row r="491" spans="1:17" ht="15" customHeight="1" x14ac:dyDescent="0.2">
      <c r="A491" s="21" t="str">
        <f>IF(Weekly_Inspections!$B491="","",Weekly_Inspections!$A491&amp;"-A1")</f>
        <v/>
      </c>
      <c r="B491" s="22">
        <f>Weekly_Inspections!$B491</f>
        <v>0</v>
      </c>
      <c r="C491" s="23">
        <f>Weekly_Inspections!$E491</f>
        <v>0</v>
      </c>
      <c r="D491" s="23">
        <f>Weekly_Inspections!$F491</f>
        <v>0</v>
      </c>
      <c r="E491" s="21" t="str">
        <f>Weekly_Inspections!$H491</f>
        <v/>
      </c>
      <c r="F491" s="23">
        <f>IF(Weekly_Inspections!$AX491&lt;&gt;"",Weekly_Inspections!$AX491,IF(Weekly_Inspections!$AY491&lt;&gt;"",Weekly_Inspections!$AY491,IF(Weekly_Inspections!$AZ491&lt;&gt;"",Weekly_Inspections!$AZ491,IF(Weekly_Inspections!$BA491&lt;&gt;"",Weekly_Inspections!$BA491,IF(Weekly_Inspections!$BB491&lt;&gt;"",Weekly_Inspections!$BB491,Weekly_Inspections!$R491)))))</f>
        <v>0</v>
      </c>
      <c r="G491" s="23" t="str">
        <f>IF(OR(Weekly_Inspections!$AQ491&lt;&gt;"",Weekly_Inspections!$AR491&lt;&gt;"",Weekly_Inspections!$AS491&lt;&gt;""),Weekly_Inspections!$AQ491,"")</f>
        <v/>
      </c>
      <c r="H491" s="23">
        <f>Weekly_Inspections!$AP491</f>
        <v>0</v>
      </c>
      <c r="I491" s="23">
        <f>Weekly_Inspections!$AR491</f>
        <v>0</v>
      </c>
      <c r="J491" s="23">
        <f>Weekly_Inspections!$AS491</f>
        <v>0</v>
      </c>
      <c r="K491" s="23">
        <f>Weekly_Inspections!$AU491</f>
        <v>0</v>
      </c>
      <c r="L491" s="22">
        <f>Weekly_Inspections!$AV491</f>
        <v>0</v>
      </c>
      <c r="M491" s="23" t="str">
        <f t="shared" si="21"/>
        <v>Open</v>
      </c>
      <c r="N491" s="22"/>
      <c r="O491" s="21">
        <f t="shared" ca="1" si="22"/>
        <v>46113</v>
      </c>
      <c r="P491" s="21" t="str">
        <f t="shared" ca="1" si="23"/>
        <v>YES</v>
      </c>
      <c r="Q491" s="23">
        <f>Weekly_Inspections!$AW491</f>
        <v>0</v>
      </c>
    </row>
    <row r="492" spans="1:17" ht="15" customHeight="1" x14ac:dyDescent="0.2">
      <c r="A492" s="21" t="str">
        <f>IF(Weekly_Inspections!$B492="","",Weekly_Inspections!$A492&amp;"-A1")</f>
        <v/>
      </c>
      <c r="B492" s="22">
        <f>Weekly_Inspections!$B492</f>
        <v>0</v>
      </c>
      <c r="C492" s="23">
        <f>Weekly_Inspections!$E492</f>
        <v>0</v>
      </c>
      <c r="D492" s="23">
        <f>Weekly_Inspections!$F492</f>
        <v>0</v>
      </c>
      <c r="E492" s="21" t="str">
        <f>Weekly_Inspections!$H492</f>
        <v/>
      </c>
      <c r="F492" s="23">
        <f>IF(Weekly_Inspections!$AX492&lt;&gt;"",Weekly_Inspections!$AX492,IF(Weekly_Inspections!$AY492&lt;&gt;"",Weekly_Inspections!$AY492,IF(Weekly_Inspections!$AZ492&lt;&gt;"",Weekly_Inspections!$AZ492,IF(Weekly_Inspections!$BA492&lt;&gt;"",Weekly_Inspections!$BA492,IF(Weekly_Inspections!$BB492&lt;&gt;"",Weekly_Inspections!$BB492,Weekly_Inspections!$R492)))))</f>
        <v>0</v>
      </c>
      <c r="G492" s="23" t="str">
        <f>IF(OR(Weekly_Inspections!$AQ492&lt;&gt;"",Weekly_Inspections!$AR492&lt;&gt;"",Weekly_Inspections!$AS492&lt;&gt;""),Weekly_Inspections!$AQ492,"")</f>
        <v/>
      </c>
      <c r="H492" s="23">
        <f>Weekly_Inspections!$AP492</f>
        <v>0</v>
      </c>
      <c r="I492" s="23">
        <f>Weekly_Inspections!$AR492</f>
        <v>0</v>
      </c>
      <c r="J492" s="23">
        <f>Weekly_Inspections!$AS492</f>
        <v>0</v>
      </c>
      <c r="K492" s="23">
        <f>Weekly_Inspections!$AU492</f>
        <v>0</v>
      </c>
      <c r="L492" s="22">
        <f>Weekly_Inspections!$AV492</f>
        <v>0</v>
      </c>
      <c r="M492" s="23" t="str">
        <f t="shared" si="21"/>
        <v>Open</v>
      </c>
      <c r="N492" s="22"/>
      <c r="O492" s="21">
        <f t="shared" ca="1" si="22"/>
        <v>46113</v>
      </c>
      <c r="P492" s="21" t="str">
        <f t="shared" ca="1" si="23"/>
        <v>YES</v>
      </c>
      <c r="Q492" s="23">
        <f>Weekly_Inspections!$AW492</f>
        <v>0</v>
      </c>
    </row>
    <row r="493" spans="1:17" ht="15" customHeight="1" x14ac:dyDescent="0.2">
      <c r="A493" s="21" t="str">
        <f>IF(Weekly_Inspections!$B493="","",Weekly_Inspections!$A493&amp;"-A1")</f>
        <v/>
      </c>
      <c r="B493" s="22">
        <f>Weekly_Inspections!$B493</f>
        <v>0</v>
      </c>
      <c r="C493" s="23">
        <f>Weekly_Inspections!$E493</f>
        <v>0</v>
      </c>
      <c r="D493" s="23">
        <f>Weekly_Inspections!$F493</f>
        <v>0</v>
      </c>
      <c r="E493" s="21" t="str">
        <f>Weekly_Inspections!$H493</f>
        <v/>
      </c>
      <c r="F493" s="23">
        <f>IF(Weekly_Inspections!$AX493&lt;&gt;"",Weekly_Inspections!$AX493,IF(Weekly_Inspections!$AY493&lt;&gt;"",Weekly_Inspections!$AY493,IF(Weekly_Inspections!$AZ493&lt;&gt;"",Weekly_Inspections!$AZ493,IF(Weekly_Inspections!$BA493&lt;&gt;"",Weekly_Inspections!$BA493,IF(Weekly_Inspections!$BB493&lt;&gt;"",Weekly_Inspections!$BB493,Weekly_Inspections!$R493)))))</f>
        <v>0</v>
      </c>
      <c r="G493" s="23" t="str">
        <f>IF(OR(Weekly_Inspections!$AQ493&lt;&gt;"",Weekly_Inspections!$AR493&lt;&gt;"",Weekly_Inspections!$AS493&lt;&gt;""),Weekly_Inspections!$AQ493,"")</f>
        <v/>
      </c>
      <c r="H493" s="23">
        <f>Weekly_Inspections!$AP493</f>
        <v>0</v>
      </c>
      <c r="I493" s="23">
        <f>Weekly_Inspections!$AR493</f>
        <v>0</v>
      </c>
      <c r="J493" s="23">
        <f>Weekly_Inspections!$AS493</f>
        <v>0</v>
      </c>
      <c r="K493" s="23">
        <f>Weekly_Inspections!$AU493</f>
        <v>0</v>
      </c>
      <c r="L493" s="22">
        <f>Weekly_Inspections!$AV493</f>
        <v>0</v>
      </c>
      <c r="M493" s="23" t="str">
        <f t="shared" si="21"/>
        <v>Open</v>
      </c>
      <c r="N493" s="22"/>
      <c r="O493" s="21">
        <f t="shared" ca="1" si="22"/>
        <v>46113</v>
      </c>
      <c r="P493" s="21" t="str">
        <f t="shared" ca="1" si="23"/>
        <v>YES</v>
      </c>
      <c r="Q493" s="23">
        <f>Weekly_Inspections!$AW493</f>
        <v>0</v>
      </c>
    </row>
    <row r="494" spans="1:17" ht="15" customHeight="1" x14ac:dyDescent="0.2">
      <c r="A494" s="21" t="str">
        <f>IF(Weekly_Inspections!$B494="","",Weekly_Inspections!$A494&amp;"-A1")</f>
        <v/>
      </c>
      <c r="B494" s="22">
        <f>Weekly_Inspections!$B494</f>
        <v>0</v>
      </c>
      <c r="C494" s="23">
        <f>Weekly_Inspections!$E494</f>
        <v>0</v>
      </c>
      <c r="D494" s="23">
        <f>Weekly_Inspections!$F494</f>
        <v>0</v>
      </c>
      <c r="E494" s="21" t="str">
        <f>Weekly_Inspections!$H494</f>
        <v/>
      </c>
      <c r="F494" s="23">
        <f>IF(Weekly_Inspections!$AX494&lt;&gt;"",Weekly_Inspections!$AX494,IF(Weekly_Inspections!$AY494&lt;&gt;"",Weekly_Inspections!$AY494,IF(Weekly_Inspections!$AZ494&lt;&gt;"",Weekly_Inspections!$AZ494,IF(Weekly_Inspections!$BA494&lt;&gt;"",Weekly_Inspections!$BA494,IF(Weekly_Inspections!$BB494&lt;&gt;"",Weekly_Inspections!$BB494,Weekly_Inspections!$R494)))))</f>
        <v>0</v>
      </c>
      <c r="G494" s="23" t="str">
        <f>IF(OR(Weekly_Inspections!$AQ494&lt;&gt;"",Weekly_Inspections!$AR494&lt;&gt;"",Weekly_Inspections!$AS494&lt;&gt;""),Weekly_Inspections!$AQ494,"")</f>
        <v/>
      </c>
      <c r="H494" s="23">
        <f>Weekly_Inspections!$AP494</f>
        <v>0</v>
      </c>
      <c r="I494" s="23">
        <f>Weekly_Inspections!$AR494</f>
        <v>0</v>
      </c>
      <c r="J494" s="23">
        <f>Weekly_Inspections!$AS494</f>
        <v>0</v>
      </c>
      <c r="K494" s="23">
        <f>Weekly_Inspections!$AU494</f>
        <v>0</v>
      </c>
      <c r="L494" s="22">
        <f>Weekly_Inspections!$AV494</f>
        <v>0</v>
      </c>
      <c r="M494" s="23" t="str">
        <f t="shared" si="21"/>
        <v>Open</v>
      </c>
      <c r="N494" s="22"/>
      <c r="O494" s="21">
        <f t="shared" ca="1" si="22"/>
        <v>46113</v>
      </c>
      <c r="P494" s="21" t="str">
        <f t="shared" ca="1" si="23"/>
        <v>YES</v>
      </c>
      <c r="Q494" s="23">
        <f>Weekly_Inspections!$AW494</f>
        <v>0</v>
      </c>
    </row>
    <row r="495" spans="1:17" ht="15" customHeight="1" x14ac:dyDescent="0.2">
      <c r="A495" s="21" t="str">
        <f>IF(Weekly_Inspections!$B495="","",Weekly_Inspections!$A495&amp;"-A1")</f>
        <v/>
      </c>
      <c r="B495" s="22">
        <f>Weekly_Inspections!$B495</f>
        <v>0</v>
      </c>
      <c r="C495" s="23">
        <f>Weekly_Inspections!$E495</f>
        <v>0</v>
      </c>
      <c r="D495" s="23">
        <f>Weekly_Inspections!$F495</f>
        <v>0</v>
      </c>
      <c r="E495" s="21" t="str">
        <f>Weekly_Inspections!$H495</f>
        <v/>
      </c>
      <c r="F495" s="23">
        <f>IF(Weekly_Inspections!$AX495&lt;&gt;"",Weekly_Inspections!$AX495,IF(Weekly_Inspections!$AY495&lt;&gt;"",Weekly_Inspections!$AY495,IF(Weekly_Inspections!$AZ495&lt;&gt;"",Weekly_Inspections!$AZ495,IF(Weekly_Inspections!$BA495&lt;&gt;"",Weekly_Inspections!$BA495,IF(Weekly_Inspections!$BB495&lt;&gt;"",Weekly_Inspections!$BB495,Weekly_Inspections!$R495)))))</f>
        <v>0</v>
      </c>
      <c r="G495" s="23" t="str">
        <f>IF(OR(Weekly_Inspections!$AQ495&lt;&gt;"",Weekly_Inspections!$AR495&lt;&gt;"",Weekly_Inspections!$AS495&lt;&gt;""),Weekly_Inspections!$AQ495,"")</f>
        <v/>
      </c>
      <c r="H495" s="23">
        <f>Weekly_Inspections!$AP495</f>
        <v>0</v>
      </c>
      <c r="I495" s="23">
        <f>Weekly_Inspections!$AR495</f>
        <v>0</v>
      </c>
      <c r="J495" s="23">
        <f>Weekly_Inspections!$AS495</f>
        <v>0</v>
      </c>
      <c r="K495" s="23">
        <f>Weekly_Inspections!$AU495</f>
        <v>0</v>
      </c>
      <c r="L495" s="22">
        <f>Weekly_Inspections!$AV495</f>
        <v>0</v>
      </c>
      <c r="M495" s="23" t="str">
        <f t="shared" si="21"/>
        <v>Open</v>
      </c>
      <c r="N495" s="22"/>
      <c r="O495" s="21">
        <f t="shared" ca="1" si="22"/>
        <v>46113</v>
      </c>
      <c r="P495" s="21" t="str">
        <f t="shared" ca="1" si="23"/>
        <v>YES</v>
      </c>
      <c r="Q495" s="23">
        <f>Weekly_Inspections!$AW495</f>
        <v>0</v>
      </c>
    </row>
    <row r="496" spans="1:17" ht="15" customHeight="1" x14ac:dyDescent="0.2">
      <c r="A496" s="21" t="str">
        <f>IF(Weekly_Inspections!$B496="","",Weekly_Inspections!$A496&amp;"-A1")</f>
        <v/>
      </c>
      <c r="B496" s="22">
        <f>Weekly_Inspections!$B496</f>
        <v>0</v>
      </c>
      <c r="C496" s="23">
        <f>Weekly_Inspections!$E496</f>
        <v>0</v>
      </c>
      <c r="D496" s="23">
        <f>Weekly_Inspections!$F496</f>
        <v>0</v>
      </c>
      <c r="E496" s="21" t="str">
        <f>Weekly_Inspections!$H496</f>
        <v/>
      </c>
      <c r="F496" s="23">
        <f>IF(Weekly_Inspections!$AX496&lt;&gt;"",Weekly_Inspections!$AX496,IF(Weekly_Inspections!$AY496&lt;&gt;"",Weekly_Inspections!$AY496,IF(Weekly_Inspections!$AZ496&lt;&gt;"",Weekly_Inspections!$AZ496,IF(Weekly_Inspections!$BA496&lt;&gt;"",Weekly_Inspections!$BA496,IF(Weekly_Inspections!$BB496&lt;&gt;"",Weekly_Inspections!$BB496,Weekly_Inspections!$R496)))))</f>
        <v>0</v>
      </c>
      <c r="G496" s="23" t="str">
        <f>IF(OR(Weekly_Inspections!$AQ496&lt;&gt;"",Weekly_Inspections!$AR496&lt;&gt;"",Weekly_Inspections!$AS496&lt;&gt;""),Weekly_Inspections!$AQ496,"")</f>
        <v/>
      </c>
      <c r="H496" s="23">
        <f>Weekly_Inspections!$AP496</f>
        <v>0</v>
      </c>
      <c r="I496" s="23">
        <f>Weekly_Inspections!$AR496</f>
        <v>0</v>
      </c>
      <c r="J496" s="23">
        <f>Weekly_Inspections!$AS496</f>
        <v>0</v>
      </c>
      <c r="K496" s="23">
        <f>Weekly_Inspections!$AU496</f>
        <v>0</v>
      </c>
      <c r="L496" s="22">
        <f>Weekly_Inspections!$AV496</f>
        <v>0</v>
      </c>
      <c r="M496" s="23" t="str">
        <f t="shared" si="21"/>
        <v>Open</v>
      </c>
      <c r="N496" s="22"/>
      <c r="O496" s="21">
        <f t="shared" ca="1" si="22"/>
        <v>46113</v>
      </c>
      <c r="P496" s="21" t="str">
        <f t="shared" ca="1" si="23"/>
        <v>YES</v>
      </c>
      <c r="Q496" s="23">
        <f>Weekly_Inspections!$AW496</f>
        <v>0</v>
      </c>
    </row>
    <row r="497" spans="1:17" ht="15" customHeight="1" x14ac:dyDescent="0.2">
      <c r="A497" s="21" t="str">
        <f>IF(Weekly_Inspections!$B497="","",Weekly_Inspections!$A497&amp;"-A1")</f>
        <v/>
      </c>
      <c r="B497" s="22">
        <f>Weekly_Inspections!$B497</f>
        <v>0</v>
      </c>
      <c r="C497" s="23">
        <f>Weekly_Inspections!$E497</f>
        <v>0</v>
      </c>
      <c r="D497" s="23">
        <f>Weekly_Inspections!$F497</f>
        <v>0</v>
      </c>
      <c r="E497" s="21" t="str">
        <f>Weekly_Inspections!$H497</f>
        <v/>
      </c>
      <c r="F497" s="23">
        <f>IF(Weekly_Inspections!$AX497&lt;&gt;"",Weekly_Inspections!$AX497,IF(Weekly_Inspections!$AY497&lt;&gt;"",Weekly_Inspections!$AY497,IF(Weekly_Inspections!$AZ497&lt;&gt;"",Weekly_Inspections!$AZ497,IF(Weekly_Inspections!$BA497&lt;&gt;"",Weekly_Inspections!$BA497,IF(Weekly_Inspections!$BB497&lt;&gt;"",Weekly_Inspections!$BB497,Weekly_Inspections!$R497)))))</f>
        <v>0</v>
      </c>
      <c r="G497" s="23" t="str">
        <f>IF(OR(Weekly_Inspections!$AQ497&lt;&gt;"",Weekly_Inspections!$AR497&lt;&gt;"",Weekly_Inspections!$AS497&lt;&gt;""),Weekly_Inspections!$AQ497,"")</f>
        <v/>
      </c>
      <c r="H497" s="23">
        <f>Weekly_Inspections!$AP497</f>
        <v>0</v>
      </c>
      <c r="I497" s="23">
        <f>Weekly_Inspections!$AR497</f>
        <v>0</v>
      </c>
      <c r="J497" s="23">
        <f>Weekly_Inspections!$AS497</f>
        <v>0</v>
      </c>
      <c r="K497" s="23">
        <f>Weekly_Inspections!$AU497</f>
        <v>0</v>
      </c>
      <c r="L497" s="22">
        <f>Weekly_Inspections!$AV497</f>
        <v>0</v>
      </c>
      <c r="M497" s="23" t="str">
        <f t="shared" si="21"/>
        <v>Open</v>
      </c>
      <c r="N497" s="22"/>
      <c r="O497" s="21">
        <f t="shared" ca="1" si="22"/>
        <v>46113</v>
      </c>
      <c r="P497" s="21" t="str">
        <f t="shared" ca="1" si="23"/>
        <v>YES</v>
      </c>
      <c r="Q497" s="23">
        <f>Weekly_Inspections!$AW497</f>
        <v>0</v>
      </c>
    </row>
    <row r="498" spans="1:17" ht="15" customHeight="1" x14ac:dyDescent="0.2">
      <c r="A498" s="21" t="str">
        <f>IF(Weekly_Inspections!$B498="","",Weekly_Inspections!$A498&amp;"-A1")</f>
        <v/>
      </c>
      <c r="B498" s="22">
        <f>Weekly_Inspections!$B498</f>
        <v>0</v>
      </c>
      <c r="C498" s="23">
        <f>Weekly_Inspections!$E498</f>
        <v>0</v>
      </c>
      <c r="D498" s="23">
        <f>Weekly_Inspections!$F498</f>
        <v>0</v>
      </c>
      <c r="E498" s="21" t="str">
        <f>Weekly_Inspections!$H498</f>
        <v/>
      </c>
      <c r="F498" s="23">
        <f>IF(Weekly_Inspections!$AX498&lt;&gt;"",Weekly_Inspections!$AX498,IF(Weekly_Inspections!$AY498&lt;&gt;"",Weekly_Inspections!$AY498,IF(Weekly_Inspections!$AZ498&lt;&gt;"",Weekly_Inspections!$AZ498,IF(Weekly_Inspections!$BA498&lt;&gt;"",Weekly_Inspections!$BA498,IF(Weekly_Inspections!$BB498&lt;&gt;"",Weekly_Inspections!$BB498,Weekly_Inspections!$R498)))))</f>
        <v>0</v>
      </c>
      <c r="G498" s="23" t="str">
        <f>IF(OR(Weekly_Inspections!$AQ498&lt;&gt;"",Weekly_Inspections!$AR498&lt;&gt;"",Weekly_Inspections!$AS498&lt;&gt;""),Weekly_Inspections!$AQ498,"")</f>
        <v/>
      </c>
      <c r="H498" s="23">
        <f>Weekly_Inspections!$AP498</f>
        <v>0</v>
      </c>
      <c r="I498" s="23">
        <f>Weekly_Inspections!$AR498</f>
        <v>0</v>
      </c>
      <c r="J498" s="23">
        <f>Weekly_Inspections!$AS498</f>
        <v>0</v>
      </c>
      <c r="K498" s="23">
        <f>Weekly_Inspections!$AU498</f>
        <v>0</v>
      </c>
      <c r="L498" s="22">
        <f>Weekly_Inspections!$AV498</f>
        <v>0</v>
      </c>
      <c r="M498" s="23" t="str">
        <f t="shared" si="21"/>
        <v>Open</v>
      </c>
      <c r="N498" s="22"/>
      <c r="O498" s="21">
        <f t="shared" ca="1" si="22"/>
        <v>46113</v>
      </c>
      <c r="P498" s="21" t="str">
        <f t="shared" ca="1" si="23"/>
        <v>YES</v>
      </c>
      <c r="Q498" s="23">
        <f>Weekly_Inspections!$AW498</f>
        <v>0</v>
      </c>
    </row>
    <row r="499" spans="1:17" ht="15" customHeight="1" x14ac:dyDescent="0.2">
      <c r="A499" s="21" t="str">
        <f>IF(Weekly_Inspections!$B499="","",Weekly_Inspections!$A499&amp;"-A1")</f>
        <v/>
      </c>
      <c r="B499" s="22">
        <f>Weekly_Inspections!$B499</f>
        <v>0</v>
      </c>
      <c r="C499" s="23">
        <f>Weekly_Inspections!$E499</f>
        <v>0</v>
      </c>
      <c r="D499" s="23">
        <f>Weekly_Inspections!$F499</f>
        <v>0</v>
      </c>
      <c r="E499" s="21" t="str">
        <f>Weekly_Inspections!$H499</f>
        <v/>
      </c>
      <c r="F499" s="23">
        <f>IF(Weekly_Inspections!$AX499&lt;&gt;"",Weekly_Inspections!$AX499,IF(Weekly_Inspections!$AY499&lt;&gt;"",Weekly_Inspections!$AY499,IF(Weekly_Inspections!$AZ499&lt;&gt;"",Weekly_Inspections!$AZ499,IF(Weekly_Inspections!$BA499&lt;&gt;"",Weekly_Inspections!$BA499,IF(Weekly_Inspections!$BB499&lt;&gt;"",Weekly_Inspections!$BB499,Weekly_Inspections!$R499)))))</f>
        <v>0</v>
      </c>
      <c r="G499" s="23" t="str">
        <f>IF(OR(Weekly_Inspections!$AQ499&lt;&gt;"",Weekly_Inspections!$AR499&lt;&gt;"",Weekly_Inspections!$AS499&lt;&gt;""),Weekly_Inspections!$AQ499,"")</f>
        <v/>
      </c>
      <c r="H499" s="23">
        <f>Weekly_Inspections!$AP499</f>
        <v>0</v>
      </c>
      <c r="I499" s="23">
        <f>Weekly_Inspections!$AR499</f>
        <v>0</v>
      </c>
      <c r="J499" s="23">
        <f>Weekly_Inspections!$AS499</f>
        <v>0</v>
      </c>
      <c r="K499" s="23">
        <f>Weekly_Inspections!$AU499</f>
        <v>0</v>
      </c>
      <c r="L499" s="22">
        <f>Weekly_Inspections!$AV499</f>
        <v>0</v>
      </c>
      <c r="M499" s="23" t="str">
        <f t="shared" si="21"/>
        <v>Open</v>
      </c>
      <c r="N499" s="22"/>
      <c r="O499" s="21">
        <f t="shared" ca="1" si="22"/>
        <v>46113</v>
      </c>
      <c r="P499" s="21" t="str">
        <f t="shared" ca="1" si="23"/>
        <v>YES</v>
      </c>
      <c r="Q499" s="23">
        <f>Weekly_Inspections!$AW499</f>
        <v>0</v>
      </c>
    </row>
    <row r="500" spans="1:17" ht="15" customHeight="1" x14ac:dyDescent="0.2">
      <c r="A500" t="str">
        <f>IF(Weekly_Inspections!$B500="","",Weekly_Inspections!$A500&amp;"-A1")</f>
        <v/>
      </c>
      <c r="B500" s="24">
        <f>Weekly_Inspections!$B500</f>
        <v>0</v>
      </c>
      <c r="C500">
        <f>Weekly_Inspections!$E500</f>
        <v>0</v>
      </c>
      <c r="D500">
        <f>Weekly_Inspections!$F500</f>
        <v>0</v>
      </c>
      <c r="E500" t="str">
        <f>Weekly_Inspections!$H500</f>
        <v/>
      </c>
      <c r="F500">
        <f>IF(Weekly_Inspections!$AX500&lt;&gt;"",Weekly_Inspections!$AX500,IF(Weekly_Inspections!$AY500&lt;&gt;"",Weekly_Inspections!$AY500,IF(Weekly_Inspections!$AZ500&lt;&gt;"",Weekly_Inspections!$AZ500,IF(Weekly_Inspections!$BA500&lt;&gt;"",Weekly_Inspections!$BA500,IF(Weekly_Inspections!$BB500&lt;&gt;"",Weekly_Inspections!$BB500,Weekly_Inspections!$R500)))))</f>
        <v>0</v>
      </c>
      <c r="G500" t="str">
        <f>IF(OR(Weekly_Inspections!$AQ500&lt;&gt;"",Weekly_Inspections!$AR500&lt;&gt;"",Weekly_Inspections!$AS500&lt;&gt;""),Weekly_Inspections!$AQ500,"")</f>
        <v/>
      </c>
      <c r="H500">
        <f>Weekly_Inspections!$AP500</f>
        <v>0</v>
      </c>
      <c r="I500">
        <f>Weekly_Inspections!$AR500</f>
        <v>0</v>
      </c>
      <c r="J500">
        <f>Weekly_Inspections!$AS500</f>
        <v>0</v>
      </c>
      <c r="K500">
        <f>Weekly_Inspections!$AU500</f>
        <v>0</v>
      </c>
      <c r="L500" s="24">
        <f>Weekly_Inspections!$AV500</f>
        <v>0</v>
      </c>
      <c r="M500" t="str">
        <f t="shared" si="21"/>
        <v>Open</v>
      </c>
      <c r="N500" s="24"/>
      <c r="O500">
        <f t="shared" ca="1" si="22"/>
        <v>46113</v>
      </c>
      <c r="P500" t="str">
        <f t="shared" ca="1" si="23"/>
        <v>YES</v>
      </c>
      <c r="Q500">
        <f>Weekly_Inspections!$AW500</f>
        <v>0</v>
      </c>
    </row>
    <row r="501" spans="1:17" ht="15" customHeight="1" x14ac:dyDescent="0.2">
      <c r="A501" t="str">
        <f>IF(Weekly_Inspections!$B501="","",Weekly_Inspections!$A501&amp;"-A1")</f>
        <v/>
      </c>
      <c r="B501" s="24">
        <f>Weekly_Inspections!$B501</f>
        <v>0</v>
      </c>
      <c r="C501">
        <f>Weekly_Inspections!$E501</f>
        <v>0</v>
      </c>
      <c r="D501">
        <f>Weekly_Inspections!$F501</f>
        <v>0</v>
      </c>
      <c r="E501" t="str">
        <f>Weekly_Inspections!$H501</f>
        <v/>
      </c>
      <c r="F501">
        <f>IF(Weekly_Inspections!$AX501&lt;&gt;"",Weekly_Inspections!$AX501,IF(Weekly_Inspections!$AY501&lt;&gt;"",Weekly_Inspections!$AY501,IF(Weekly_Inspections!$AZ501&lt;&gt;"",Weekly_Inspections!$AZ501,IF(Weekly_Inspections!$BA501&lt;&gt;"",Weekly_Inspections!$BA501,IF(Weekly_Inspections!$BB501&lt;&gt;"",Weekly_Inspections!$BB501,Weekly_Inspections!$R501)))))</f>
        <v>0</v>
      </c>
      <c r="G501" t="str">
        <f>IF(OR(Weekly_Inspections!$AQ501&lt;&gt;"",Weekly_Inspections!$AR501&lt;&gt;"",Weekly_Inspections!$AS501&lt;&gt;""),Weekly_Inspections!$AQ501,"")</f>
        <v/>
      </c>
      <c r="H501">
        <f>Weekly_Inspections!$AP501</f>
        <v>0</v>
      </c>
      <c r="I501">
        <f>Weekly_Inspections!$AR501</f>
        <v>0</v>
      </c>
      <c r="J501">
        <f>Weekly_Inspections!$AS501</f>
        <v>0</v>
      </c>
      <c r="K501">
        <f>Weekly_Inspections!$AU501</f>
        <v>0</v>
      </c>
      <c r="L501" s="24">
        <f>Weekly_Inspections!$AV501</f>
        <v>0</v>
      </c>
      <c r="M501" t="str">
        <f t="shared" si="21"/>
        <v>Open</v>
      </c>
      <c r="N501" s="24"/>
      <c r="O501">
        <f t="shared" ca="1" si="22"/>
        <v>46113</v>
      </c>
      <c r="P501" t="str">
        <f t="shared" ca="1" si="23"/>
        <v>YES</v>
      </c>
      <c r="Q501">
        <f>Weekly_Inspections!$AW501</f>
        <v>0</v>
      </c>
    </row>
    <row r="502" spans="1:17" ht="15" customHeight="1" x14ac:dyDescent="0.2">
      <c r="A502" t="str">
        <f>IF(Weekly_Inspections!$B502="","",Weekly_Inspections!$A502&amp;"-A1")</f>
        <v/>
      </c>
      <c r="B502" s="24">
        <f>Weekly_Inspections!$B502</f>
        <v>0</v>
      </c>
      <c r="C502">
        <f>Weekly_Inspections!$E502</f>
        <v>0</v>
      </c>
      <c r="D502">
        <f>Weekly_Inspections!$F502</f>
        <v>0</v>
      </c>
      <c r="E502" t="str">
        <f>Weekly_Inspections!$H502</f>
        <v/>
      </c>
      <c r="F502">
        <f>IF(Weekly_Inspections!$AX502&lt;&gt;"",Weekly_Inspections!$AX502,IF(Weekly_Inspections!$AY502&lt;&gt;"",Weekly_Inspections!$AY502,IF(Weekly_Inspections!$AZ502&lt;&gt;"",Weekly_Inspections!$AZ502,IF(Weekly_Inspections!$BA502&lt;&gt;"",Weekly_Inspections!$BA502,IF(Weekly_Inspections!$BB502&lt;&gt;"",Weekly_Inspections!$BB502,Weekly_Inspections!$R502)))))</f>
        <v>0</v>
      </c>
      <c r="G502" t="str">
        <f>IF(OR(Weekly_Inspections!$AQ502&lt;&gt;"",Weekly_Inspections!$AR502&lt;&gt;"",Weekly_Inspections!$AS502&lt;&gt;""),Weekly_Inspections!$AQ502,"")</f>
        <v/>
      </c>
      <c r="H502">
        <f>Weekly_Inspections!$AP502</f>
        <v>0</v>
      </c>
      <c r="I502">
        <f>Weekly_Inspections!$AR502</f>
        <v>0</v>
      </c>
      <c r="J502">
        <f>Weekly_Inspections!$AS502</f>
        <v>0</v>
      </c>
      <c r="K502">
        <f>Weekly_Inspections!$AU502</f>
        <v>0</v>
      </c>
      <c r="L502" s="24">
        <f>Weekly_Inspections!$AV502</f>
        <v>0</v>
      </c>
      <c r="M502" t="str">
        <f t="shared" si="21"/>
        <v>Open</v>
      </c>
      <c r="N502" s="24"/>
      <c r="O502">
        <f t="shared" ca="1" si="22"/>
        <v>46113</v>
      </c>
      <c r="P502" t="str">
        <f t="shared" ca="1" si="23"/>
        <v>YES</v>
      </c>
      <c r="Q502">
        <f>Weekly_Inspections!$AW502</f>
        <v>0</v>
      </c>
    </row>
    <row r="503" spans="1:17" ht="15" customHeight="1" x14ac:dyDescent="0.2">
      <c r="A503" t="str">
        <f>IF(Weekly_Inspections!$B503="","",Weekly_Inspections!$A503&amp;"-A1")</f>
        <v/>
      </c>
      <c r="B503" s="24">
        <f>Weekly_Inspections!$B503</f>
        <v>0</v>
      </c>
      <c r="C503">
        <f>Weekly_Inspections!$E503</f>
        <v>0</v>
      </c>
      <c r="D503">
        <f>Weekly_Inspections!$F503</f>
        <v>0</v>
      </c>
      <c r="E503" t="str">
        <f>Weekly_Inspections!$H503</f>
        <v/>
      </c>
      <c r="F503">
        <f>IF(Weekly_Inspections!$AX503&lt;&gt;"",Weekly_Inspections!$AX503,IF(Weekly_Inspections!$AY503&lt;&gt;"",Weekly_Inspections!$AY503,IF(Weekly_Inspections!$AZ503&lt;&gt;"",Weekly_Inspections!$AZ503,IF(Weekly_Inspections!$BA503&lt;&gt;"",Weekly_Inspections!$BA503,IF(Weekly_Inspections!$BB503&lt;&gt;"",Weekly_Inspections!$BB503,Weekly_Inspections!$R503)))))</f>
        <v>0</v>
      </c>
      <c r="G503" t="str">
        <f>IF(OR(Weekly_Inspections!$AQ503&lt;&gt;"",Weekly_Inspections!$AR503&lt;&gt;"",Weekly_Inspections!$AS503&lt;&gt;""),Weekly_Inspections!$AQ503,"")</f>
        <v/>
      </c>
      <c r="H503">
        <f>Weekly_Inspections!$AP503</f>
        <v>0</v>
      </c>
      <c r="I503">
        <f>Weekly_Inspections!$AR503</f>
        <v>0</v>
      </c>
      <c r="J503">
        <f>Weekly_Inspections!$AS503</f>
        <v>0</v>
      </c>
      <c r="K503">
        <f>Weekly_Inspections!$AU503</f>
        <v>0</v>
      </c>
      <c r="L503" s="24">
        <f>Weekly_Inspections!$AV503</f>
        <v>0</v>
      </c>
      <c r="M503" t="str">
        <f t="shared" si="21"/>
        <v>Open</v>
      </c>
      <c r="N503" s="24"/>
      <c r="O503">
        <f t="shared" ca="1" si="22"/>
        <v>46113</v>
      </c>
      <c r="P503" t="str">
        <f t="shared" ca="1" si="23"/>
        <v>YES</v>
      </c>
      <c r="Q503">
        <f>Weekly_Inspections!$AW503</f>
        <v>0</v>
      </c>
    </row>
    <row r="504" spans="1:17" ht="15" customHeight="1" x14ac:dyDescent="0.2">
      <c r="A504" t="str">
        <f>IF(Weekly_Inspections!$B504="","",Weekly_Inspections!$A504&amp;"-A1")</f>
        <v/>
      </c>
      <c r="B504" s="24">
        <f>Weekly_Inspections!$B504</f>
        <v>0</v>
      </c>
      <c r="C504">
        <f>Weekly_Inspections!$E504</f>
        <v>0</v>
      </c>
      <c r="D504">
        <f>Weekly_Inspections!$F504</f>
        <v>0</v>
      </c>
      <c r="E504" t="str">
        <f>Weekly_Inspections!$H504</f>
        <v/>
      </c>
      <c r="F504">
        <f>IF(Weekly_Inspections!$AX504&lt;&gt;"",Weekly_Inspections!$AX504,IF(Weekly_Inspections!$AY504&lt;&gt;"",Weekly_Inspections!$AY504,IF(Weekly_Inspections!$AZ504&lt;&gt;"",Weekly_Inspections!$AZ504,IF(Weekly_Inspections!$BA504&lt;&gt;"",Weekly_Inspections!$BA504,IF(Weekly_Inspections!$BB504&lt;&gt;"",Weekly_Inspections!$BB504,Weekly_Inspections!$R504)))))</f>
        <v>0</v>
      </c>
      <c r="G504" t="str">
        <f>IF(OR(Weekly_Inspections!$AQ504&lt;&gt;"",Weekly_Inspections!$AR504&lt;&gt;"",Weekly_Inspections!$AS504&lt;&gt;""),Weekly_Inspections!$AQ504,"")</f>
        <v/>
      </c>
      <c r="H504">
        <f>Weekly_Inspections!$AP504</f>
        <v>0</v>
      </c>
      <c r="I504">
        <f>Weekly_Inspections!$AR504</f>
        <v>0</v>
      </c>
      <c r="J504">
        <f>Weekly_Inspections!$AS504</f>
        <v>0</v>
      </c>
      <c r="K504">
        <f>Weekly_Inspections!$AU504</f>
        <v>0</v>
      </c>
      <c r="L504" s="24">
        <f>Weekly_Inspections!$AV504</f>
        <v>0</v>
      </c>
      <c r="M504" t="str">
        <f t="shared" si="21"/>
        <v>Open</v>
      </c>
      <c r="N504" s="24"/>
      <c r="O504">
        <f t="shared" ca="1" si="22"/>
        <v>46113</v>
      </c>
      <c r="P504" t="str">
        <f t="shared" ca="1" si="23"/>
        <v>YES</v>
      </c>
      <c r="Q504">
        <f>Weekly_Inspections!$AW504</f>
        <v>0</v>
      </c>
    </row>
    <row r="505" spans="1:17" ht="15" customHeight="1" x14ac:dyDescent="0.2">
      <c r="A505" t="str">
        <f>IF(Weekly_Inspections!$B505="","",Weekly_Inspections!$A505&amp;"-A1")</f>
        <v/>
      </c>
      <c r="B505" s="24">
        <f>Weekly_Inspections!$B505</f>
        <v>0</v>
      </c>
      <c r="C505">
        <f>Weekly_Inspections!$E505</f>
        <v>0</v>
      </c>
      <c r="D505">
        <f>Weekly_Inspections!$F505</f>
        <v>0</v>
      </c>
      <c r="E505" t="str">
        <f>Weekly_Inspections!$H505</f>
        <v/>
      </c>
      <c r="F505">
        <f>IF(Weekly_Inspections!$AX505&lt;&gt;"",Weekly_Inspections!$AX505,IF(Weekly_Inspections!$AY505&lt;&gt;"",Weekly_Inspections!$AY505,IF(Weekly_Inspections!$AZ505&lt;&gt;"",Weekly_Inspections!$AZ505,IF(Weekly_Inspections!$BA505&lt;&gt;"",Weekly_Inspections!$BA505,IF(Weekly_Inspections!$BB505&lt;&gt;"",Weekly_Inspections!$BB505,Weekly_Inspections!$R505)))))</f>
        <v>0</v>
      </c>
      <c r="G505" t="str">
        <f>IF(OR(Weekly_Inspections!$AQ505&lt;&gt;"",Weekly_Inspections!$AR505&lt;&gt;"",Weekly_Inspections!$AS505&lt;&gt;""),Weekly_Inspections!$AQ505,"")</f>
        <v/>
      </c>
      <c r="H505">
        <f>Weekly_Inspections!$AP505</f>
        <v>0</v>
      </c>
      <c r="I505">
        <f>Weekly_Inspections!$AR505</f>
        <v>0</v>
      </c>
      <c r="J505">
        <f>Weekly_Inspections!$AS505</f>
        <v>0</v>
      </c>
      <c r="K505">
        <f>Weekly_Inspections!$AU505</f>
        <v>0</v>
      </c>
      <c r="L505" s="24">
        <f>Weekly_Inspections!$AV505</f>
        <v>0</v>
      </c>
      <c r="M505" t="str">
        <f t="shared" si="21"/>
        <v>Open</v>
      </c>
      <c r="N505" s="24"/>
      <c r="O505">
        <f t="shared" ca="1" si="22"/>
        <v>46113</v>
      </c>
      <c r="P505" t="str">
        <f t="shared" ca="1" si="23"/>
        <v>YES</v>
      </c>
      <c r="Q505">
        <f>Weekly_Inspections!$AW505</f>
        <v>0</v>
      </c>
    </row>
    <row r="506" spans="1:17" ht="15" customHeight="1" x14ac:dyDescent="0.2">
      <c r="A506" t="str">
        <f>IF(Weekly_Inspections!$B506="","",Weekly_Inspections!$A506&amp;"-A1")</f>
        <v/>
      </c>
      <c r="B506" s="24">
        <f>Weekly_Inspections!$B506</f>
        <v>0</v>
      </c>
      <c r="C506">
        <f>Weekly_Inspections!$E506</f>
        <v>0</v>
      </c>
      <c r="D506">
        <f>Weekly_Inspections!$F506</f>
        <v>0</v>
      </c>
      <c r="E506" t="str">
        <f>Weekly_Inspections!$H506</f>
        <v/>
      </c>
      <c r="F506">
        <f>IF(Weekly_Inspections!$AX506&lt;&gt;"",Weekly_Inspections!$AX506,IF(Weekly_Inspections!$AY506&lt;&gt;"",Weekly_Inspections!$AY506,IF(Weekly_Inspections!$AZ506&lt;&gt;"",Weekly_Inspections!$AZ506,IF(Weekly_Inspections!$BA506&lt;&gt;"",Weekly_Inspections!$BA506,IF(Weekly_Inspections!$BB506&lt;&gt;"",Weekly_Inspections!$BB506,Weekly_Inspections!$R506)))))</f>
        <v>0</v>
      </c>
      <c r="G506" t="str">
        <f>IF(OR(Weekly_Inspections!$AQ506&lt;&gt;"",Weekly_Inspections!$AR506&lt;&gt;"",Weekly_Inspections!$AS506&lt;&gt;""),Weekly_Inspections!$AQ506,"")</f>
        <v/>
      </c>
      <c r="H506">
        <f>Weekly_Inspections!$AP506</f>
        <v>0</v>
      </c>
      <c r="I506">
        <f>Weekly_Inspections!$AR506</f>
        <v>0</v>
      </c>
      <c r="J506">
        <f>Weekly_Inspections!$AS506</f>
        <v>0</v>
      </c>
      <c r="K506">
        <f>Weekly_Inspections!$AU506</f>
        <v>0</v>
      </c>
      <c r="L506" s="24">
        <f>Weekly_Inspections!$AV506</f>
        <v>0</v>
      </c>
      <c r="M506" t="str">
        <f t="shared" si="21"/>
        <v>Open</v>
      </c>
      <c r="N506" s="24"/>
      <c r="O506">
        <f t="shared" ca="1" si="22"/>
        <v>46113</v>
      </c>
      <c r="P506" t="str">
        <f t="shared" ca="1" si="23"/>
        <v>YES</v>
      </c>
      <c r="Q506">
        <f>Weekly_Inspections!$AW506</f>
        <v>0</v>
      </c>
    </row>
    <row r="507" spans="1:17" ht="15" customHeight="1" x14ac:dyDescent="0.2">
      <c r="A507" t="str">
        <f>IF(Weekly_Inspections!$B507="","",Weekly_Inspections!$A507&amp;"-A1")</f>
        <v/>
      </c>
      <c r="B507" s="24">
        <f>Weekly_Inspections!$B507</f>
        <v>0</v>
      </c>
      <c r="C507">
        <f>Weekly_Inspections!$E507</f>
        <v>0</v>
      </c>
      <c r="D507">
        <f>Weekly_Inspections!$F507</f>
        <v>0</v>
      </c>
      <c r="E507" t="str">
        <f>Weekly_Inspections!$H507</f>
        <v/>
      </c>
      <c r="F507">
        <f>IF(Weekly_Inspections!$AX507&lt;&gt;"",Weekly_Inspections!$AX507,IF(Weekly_Inspections!$AY507&lt;&gt;"",Weekly_Inspections!$AY507,IF(Weekly_Inspections!$AZ507&lt;&gt;"",Weekly_Inspections!$AZ507,IF(Weekly_Inspections!$BA507&lt;&gt;"",Weekly_Inspections!$BA507,IF(Weekly_Inspections!$BB507&lt;&gt;"",Weekly_Inspections!$BB507,Weekly_Inspections!$R507)))))</f>
        <v>0</v>
      </c>
      <c r="G507" t="str">
        <f>IF(OR(Weekly_Inspections!$AQ507&lt;&gt;"",Weekly_Inspections!$AR507&lt;&gt;"",Weekly_Inspections!$AS507&lt;&gt;""),Weekly_Inspections!$AQ507,"")</f>
        <v/>
      </c>
      <c r="H507">
        <f>Weekly_Inspections!$AP507</f>
        <v>0</v>
      </c>
      <c r="I507">
        <f>Weekly_Inspections!$AR507</f>
        <v>0</v>
      </c>
      <c r="J507">
        <f>Weekly_Inspections!$AS507</f>
        <v>0</v>
      </c>
      <c r="K507">
        <f>Weekly_Inspections!$AU507</f>
        <v>0</v>
      </c>
      <c r="L507" s="24">
        <f>Weekly_Inspections!$AV507</f>
        <v>0</v>
      </c>
      <c r="M507" t="str">
        <f t="shared" si="21"/>
        <v>Open</v>
      </c>
      <c r="N507" s="24"/>
      <c r="O507">
        <f t="shared" ca="1" si="22"/>
        <v>46113</v>
      </c>
      <c r="P507" t="str">
        <f t="shared" ca="1" si="23"/>
        <v>YES</v>
      </c>
      <c r="Q507">
        <f>Weekly_Inspections!$AW507</f>
        <v>0</v>
      </c>
    </row>
    <row r="508" spans="1:17" ht="15" customHeight="1" x14ac:dyDescent="0.2">
      <c r="A508" t="str">
        <f>IF(Weekly_Inspections!$B508="","",Weekly_Inspections!$A508&amp;"-A1")</f>
        <v/>
      </c>
      <c r="B508" s="24">
        <f>Weekly_Inspections!$B508</f>
        <v>0</v>
      </c>
      <c r="C508">
        <f>Weekly_Inspections!$E508</f>
        <v>0</v>
      </c>
      <c r="D508">
        <f>Weekly_Inspections!$F508</f>
        <v>0</v>
      </c>
      <c r="E508" t="str">
        <f>Weekly_Inspections!$H508</f>
        <v/>
      </c>
      <c r="F508">
        <f>IF(Weekly_Inspections!$AX508&lt;&gt;"",Weekly_Inspections!$AX508,IF(Weekly_Inspections!$AY508&lt;&gt;"",Weekly_Inspections!$AY508,IF(Weekly_Inspections!$AZ508&lt;&gt;"",Weekly_Inspections!$AZ508,IF(Weekly_Inspections!$BA508&lt;&gt;"",Weekly_Inspections!$BA508,IF(Weekly_Inspections!$BB508&lt;&gt;"",Weekly_Inspections!$BB508,Weekly_Inspections!$R508)))))</f>
        <v>0</v>
      </c>
      <c r="G508" t="str">
        <f>IF(OR(Weekly_Inspections!$AQ508&lt;&gt;"",Weekly_Inspections!$AR508&lt;&gt;"",Weekly_Inspections!$AS508&lt;&gt;""),Weekly_Inspections!$AQ508,"")</f>
        <v/>
      </c>
      <c r="H508">
        <f>Weekly_Inspections!$AP508</f>
        <v>0</v>
      </c>
      <c r="I508">
        <f>Weekly_Inspections!$AR508</f>
        <v>0</v>
      </c>
      <c r="J508">
        <f>Weekly_Inspections!$AS508</f>
        <v>0</v>
      </c>
      <c r="K508">
        <f>Weekly_Inspections!$AU508</f>
        <v>0</v>
      </c>
      <c r="L508" s="24">
        <f>Weekly_Inspections!$AV508</f>
        <v>0</v>
      </c>
      <c r="M508" t="str">
        <f t="shared" si="21"/>
        <v>Open</v>
      </c>
      <c r="N508" s="24"/>
      <c r="O508">
        <f t="shared" ca="1" si="22"/>
        <v>46113</v>
      </c>
      <c r="P508" t="str">
        <f t="shared" ca="1" si="23"/>
        <v>YES</v>
      </c>
      <c r="Q508">
        <f>Weekly_Inspections!$AW508</f>
        <v>0</v>
      </c>
    </row>
    <row r="509" spans="1:17" ht="15" customHeight="1" x14ac:dyDescent="0.2">
      <c r="A509" t="str">
        <f>IF(Weekly_Inspections!$B509="","",Weekly_Inspections!$A509&amp;"-A1")</f>
        <v/>
      </c>
      <c r="B509" s="24">
        <f>Weekly_Inspections!$B509</f>
        <v>0</v>
      </c>
      <c r="C509">
        <f>Weekly_Inspections!$E509</f>
        <v>0</v>
      </c>
      <c r="D509">
        <f>Weekly_Inspections!$F509</f>
        <v>0</v>
      </c>
      <c r="E509" t="str">
        <f>Weekly_Inspections!$H509</f>
        <v/>
      </c>
      <c r="F509">
        <f>IF(Weekly_Inspections!$AX509&lt;&gt;"",Weekly_Inspections!$AX509,IF(Weekly_Inspections!$AY509&lt;&gt;"",Weekly_Inspections!$AY509,IF(Weekly_Inspections!$AZ509&lt;&gt;"",Weekly_Inspections!$AZ509,IF(Weekly_Inspections!$BA509&lt;&gt;"",Weekly_Inspections!$BA509,IF(Weekly_Inspections!$BB509&lt;&gt;"",Weekly_Inspections!$BB509,Weekly_Inspections!$R509)))))</f>
        <v>0</v>
      </c>
      <c r="G509" t="str">
        <f>IF(OR(Weekly_Inspections!$AQ509&lt;&gt;"",Weekly_Inspections!$AR509&lt;&gt;"",Weekly_Inspections!$AS509&lt;&gt;""),Weekly_Inspections!$AQ509,"")</f>
        <v/>
      </c>
      <c r="H509">
        <f>Weekly_Inspections!$AP509</f>
        <v>0</v>
      </c>
      <c r="I509">
        <f>Weekly_Inspections!$AR509</f>
        <v>0</v>
      </c>
      <c r="J509">
        <f>Weekly_Inspections!$AS509</f>
        <v>0</v>
      </c>
      <c r="K509">
        <f>Weekly_Inspections!$AU509</f>
        <v>0</v>
      </c>
      <c r="L509" s="24">
        <f>Weekly_Inspections!$AV509</f>
        <v>0</v>
      </c>
      <c r="M509" t="str">
        <f t="shared" si="21"/>
        <v>Open</v>
      </c>
      <c r="N509" s="24"/>
      <c r="O509">
        <f t="shared" ca="1" si="22"/>
        <v>46113</v>
      </c>
      <c r="P509" t="str">
        <f t="shared" ca="1" si="23"/>
        <v>YES</v>
      </c>
      <c r="Q509">
        <f>Weekly_Inspections!$AW509</f>
        <v>0</v>
      </c>
    </row>
    <row r="510" spans="1:17" ht="15" customHeight="1" x14ac:dyDescent="0.2">
      <c r="A510" t="str">
        <f>IF(Weekly_Inspections!$B510="","",Weekly_Inspections!$A510&amp;"-A1")</f>
        <v/>
      </c>
      <c r="B510" s="24">
        <f>Weekly_Inspections!$B510</f>
        <v>0</v>
      </c>
      <c r="C510">
        <f>Weekly_Inspections!$E510</f>
        <v>0</v>
      </c>
      <c r="D510">
        <f>Weekly_Inspections!$F510</f>
        <v>0</v>
      </c>
      <c r="E510" t="str">
        <f>Weekly_Inspections!$H510</f>
        <v/>
      </c>
      <c r="F510">
        <f>IF(Weekly_Inspections!$AX510&lt;&gt;"",Weekly_Inspections!$AX510,IF(Weekly_Inspections!$AY510&lt;&gt;"",Weekly_Inspections!$AY510,IF(Weekly_Inspections!$AZ510&lt;&gt;"",Weekly_Inspections!$AZ510,IF(Weekly_Inspections!$BA510&lt;&gt;"",Weekly_Inspections!$BA510,IF(Weekly_Inspections!$BB510&lt;&gt;"",Weekly_Inspections!$BB510,Weekly_Inspections!$R510)))))</f>
        <v>0</v>
      </c>
      <c r="G510" t="str">
        <f>IF(OR(Weekly_Inspections!$AQ510&lt;&gt;"",Weekly_Inspections!$AR510&lt;&gt;"",Weekly_Inspections!$AS510&lt;&gt;""),Weekly_Inspections!$AQ510,"")</f>
        <v/>
      </c>
      <c r="H510">
        <f>Weekly_Inspections!$AP510</f>
        <v>0</v>
      </c>
      <c r="I510">
        <f>Weekly_Inspections!$AR510</f>
        <v>0</v>
      </c>
      <c r="J510">
        <f>Weekly_Inspections!$AS510</f>
        <v>0</v>
      </c>
      <c r="K510">
        <f>Weekly_Inspections!$AU510</f>
        <v>0</v>
      </c>
      <c r="L510" s="24">
        <f>Weekly_Inspections!$AV510</f>
        <v>0</v>
      </c>
      <c r="M510" t="str">
        <f t="shared" si="21"/>
        <v>Open</v>
      </c>
      <c r="N510" s="24"/>
      <c r="O510">
        <f t="shared" ca="1" si="22"/>
        <v>46113</v>
      </c>
      <c r="P510" t="str">
        <f t="shared" ca="1" si="23"/>
        <v>YES</v>
      </c>
      <c r="Q510">
        <f>Weekly_Inspections!$AW510</f>
        <v>0</v>
      </c>
    </row>
    <row r="511" spans="1:17" ht="15" customHeight="1" x14ac:dyDescent="0.2">
      <c r="A511" t="str">
        <f>IF(Weekly_Inspections!$B511="","",Weekly_Inspections!$A511&amp;"-A1")</f>
        <v/>
      </c>
      <c r="B511" s="24">
        <f>Weekly_Inspections!$B511</f>
        <v>0</v>
      </c>
      <c r="C511">
        <f>Weekly_Inspections!$E511</f>
        <v>0</v>
      </c>
      <c r="D511">
        <f>Weekly_Inspections!$F511</f>
        <v>0</v>
      </c>
      <c r="E511" t="str">
        <f>Weekly_Inspections!$H511</f>
        <v/>
      </c>
      <c r="F511">
        <f>IF(Weekly_Inspections!$AX511&lt;&gt;"",Weekly_Inspections!$AX511,IF(Weekly_Inspections!$AY511&lt;&gt;"",Weekly_Inspections!$AY511,IF(Weekly_Inspections!$AZ511&lt;&gt;"",Weekly_Inspections!$AZ511,IF(Weekly_Inspections!$BA511&lt;&gt;"",Weekly_Inspections!$BA511,IF(Weekly_Inspections!$BB511&lt;&gt;"",Weekly_Inspections!$BB511,Weekly_Inspections!$R511)))))</f>
        <v>0</v>
      </c>
      <c r="G511" t="str">
        <f>IF(OR(Weekly_Inspections!$AQ511&lt;&gt;"",Weekly_Inspections!$AR511&lt;&gt;"",Weekly_Inspections!$AS511&lt;&gt;""),Weekly_Inspections!$AQ511,"")</f>
        <v/>
      </c>
      <c r="H511">
        <f>Weekly_Inspections!$AP511</f>
        <v>0</v>
      </c>
      <c r="I511">
        <f>Weekly_Inspections!$AR511</f>
        <v>0</v>
      </c>
      <c r="J511">
        <f>Weekly_Inspections!$AS511</f>
        <v>0</v>
      </c>
      <c r="K511">
        <f>Weekly_Inspections!$AU511</f>
        <v>0</v>
      </c>
      <c r="L511" s="24">
        <f>Weekly_Inspections!$AV511</f>
        <v>0</v>
      </c>
      <c r="M511" t="str">
        <f t="shared" si="21"/>
        <v>Open</v>
      </c>
      <c r="N511" s="24"/>
      <c r="O511">
        <f t="shared" ca="1" si="22"/>
        <v>46113</v>
      </c>
      <c r="P511" t="str">
        <f t="shared" ca="1" si="23"/>
        <v>YES</v>
      </c>
      <c r="Q511">
        <f>Weekly_Inspections!$AW511</f>
        <v>0</v>
      </c>
    </row>
    <row r="512" spans="1:17" ht="15" customHeight="1" x14ac:dyDescent="0.2">
      <c r="A512" t="str">
        <f>IF(Weekly_Inspections!$B512="","",Weekly_Inspections!$A512&amp;"-A1")</f>
        <v/>
      </c>
      <c r="B512" s="24">
        <f>Weekly_Inspections!$B512</f>
        <v>0</v>
      </c>
      <c r="C512">
        <f>Weekly_Inspections!$E512</f>
        <v>0</v>
      </c>
      <c r="D512">
        <f>Weekly_Inspections!$F512</f>
        <v>0</v>
      </c>
      <c r="E512" t="str">
        <f>Weekly_Inspections!$H512</f>
        <v/>
      </c>
      <c r="F512">
        <f>IF(Weekly_Inspections!$AX512&lt;&gt;"",Weekly_Inspections!$AX512,IF(Weekly_Inspections!$AY512&lt;&gt;"",Weekly_Inspections!$AY512,IF(Weekly_Inspections!$AZ512&lt;&gt;"",Weekly_Inspections!$AZ512,IF(Weekly_Inspections!$BA512&lt;&gt;"",Weekly_Inspections!$BA512,IF(Weekly_Inspections!$BB512&lt;&gt;"",Weekly_Inspections!$BB512,Weekly_Inspections!$R512)))))</f>
        <v>0</v>
      </c>
      <c r="G512" t="str">
        <f>IF(OR(Weekly_Inspections!$AQ512&lt;&gt;"",Weekly_Inspections!$AR512&lt;&gt;"",Weekly_Inspections!$AS512&lt;&gt;""),Weekly_Inspections!$AQ512,"")</f>
        <v/>
      </c>
      <c r="H512">
        <f>Weekly_Inspections!$AP512</f>
        <v>0</v>
      </c>
      <c r="I512">
        <f>Weekly_Inspections!$AR512</f>
        <v>0</v>
      </c>
      <c r="J512">
        <f>Weekly_Inspections!$AS512</f>
        <v>0</v>
      </c>
      <c r="K512">
        <f>Weekly_Inspections!$AU512</f>
        <v>0</v>
      </c>
      <c r="L512" s="24">
        <f>Weekly_Inspections!$AV512</f>
        <v>0</v>
      </c>
      <c r="M512" t="str">
        <f t="shared" ref="M512:M575" si="24">IF($B512="","",IF($N512&lt;&gt;"","Closed",IF(OR($G512&lt;&gt;"",$I512&lt;&gt;"",$J512&lt;&gt;""),"Open","")))</f>
        <v>Open</v>
      </c>
      <c r="N512" s="24"/>
      <c r="O512">
        <f t="shared" ref="O512:O575" ca="1" si="25">IF($B512="","",IF($M512="Closed",IF($N512="","",$N512-$B512),TODAY()-$B512))</f>
        <v>46113</v>
      </c>
      <c r="P512" t="str">
        <f t="shared" ref="P512:P575" ca="1" si="26">IF(OR($B512="",$L512="",$M512="Closed"),"",IF(TODAY()&gt;$L512,"YES","NO"))</f>
        <v>YES</v>
      </c>
      <c r="Q512">
        <f>Weekly_Inspections!$AW512</f>
        <v>0</v>
      </c>
    </row>
    <row r="513" spans="1:17" ht="15" customHeight="1" x14ac:dyDescent="0.2">
      <c r="A513" t="str">
        <f>IF(Weekly_Inspections!$B513="","",Weekly_Inspections!$A513&amp;"-A1")</f>
        <v/>
      </c>
      <c r="B513" s="24">
        <f>Weekly_Inspections!$B513</f>
        <v>0</v>
      </c>
      <c r="C513">
        <f>Weekly_Inspections!$E513</f>
        <v>0</v>
      </c>
      <c r="D513">
        <f>Weekly_Inspections!$F513</f>
        <v>0</v>
      </c>
      <c r="E513" t="str">
        <f>Weekly_Inspections!$H513</f>
        <v/>
      </c>
      <c r="F513">
        <f>IF(Weekly_Inspections!$AX513&lt;&gt;"",Weekly_Inspections!$AX513,IF(Weekly_Inspections!$AY513&lt;&gt;"",Weekly_Inspections!$AY513,IF(Weekly_Inspections!$AZ513&lt;&gt;"",Weekly_Inspections!$AZ513,IF(Weekly_Inspections!$BA513&lt;&gt;"",Weekly_Inspections!$BA513,IF(Weekly_Inspections!$BB513&lt;&gt;"",Weekly_Inspections!$BB513,Weekly_Inspections!$R513)))))</f>
        <v>0</v>
      </c>
      <c r="G513" t="str">
        <f>IF(OR(Weekly_Inspections!$AQ513&lt;&gt;"",Weekly_Inspections!$AR513&lt;&gt;"",Weekly_Inspections!$AS513&lt;&gt;""),Weekly_Inspections!$AQ513,"")</f>
        <v/>
      </c>
      <c r="H513">
        <f>Weekly_Inspections!$AP513</f>
        <v>0</v>
      </c>
      <c r="I513">
        <f>Weekly_Inspections!$AR513</f>
        <v>0</v>
      </c>
      <c r="J513">
        <f>Weekly_Inspections!$AS513</f>
        <v>0</v>
      </c>
      <c r="K513">
        <f>Weekly_Inspections!$AU513</f>
        <v>0</v>
      </c>
      <c r="L513" s="24">
        <f>Weekly_Inspections!$AV513</f>
        <v>0</v>
      </c>
      <c r="M513" t="str">
        <f t="shared" si="24"/>
        <v>Open</v>
      </c>
      <c r="N513" s="24"/>
      <c r="O513">
        <f t="shared" ca="1" si="25"/>
        <v>46113</v>
      </c>
      <c r="P513" t="str">
        <f t="shared" ca="1" si="26"/>
        <v>YES</v>
      </c>
      <c r="Q513">
        <f>Weekly_Inspections!$AW513</f>
        <v>0</v>
      </c>
    </row>
    <row r="514" spans="1:17" ht="15" customHeight="1" x14ac:dyDescent="0.2">
      <c r="A514" t="str">
        <f>IF(Weekly_Inspections!$B514="","",Weekly_Inspections!$A514&amp;"-A1")</f>
        <v/>
      </c>
      <c r="B514" s="24">
        <f>Weekly_Inspections!$B514</f>
        <v>0</v>
      </c>
      <c r="C514">
        <f>Weekly_Inspections!$E514</f>
        <v>0</v>
      </c>
      <c r="D514">
        <f>Weekly_Inspections!$F514</f>
        <v>0</v>
      </c>
      <c r="E514" t="str">
        <f>Weekly_Inspections!$H514</f>
        <v/>
      </c>
      <c r="F514">
        <f>IF(Weekly_Inspections!$AX514&lt;&gt;"",Weekly_Inspections!$AX514,IF(Weekly_Inspections!$AY514&lt;&gt;"",Weekly_Inspections!$AY514,IF(Weekly_Inspections!$AZ514&lt;&gt;"",Weekly_Inspections!$AZ514,IF(Weekly_Inspections!$BA514&lt;&gt;"",Weekly_Inspections!$BA514,IF(Weekly_Inspections!$BB514&lt;&gt;"",Weekly_Inspections!$BB514,Weekly_Inspections!$R514)))))</f>
        <v>0</v>
      </c>
      <c r="G514" t="str">
        <f>IF(OR(Weekly_Inspections!$AQ514&lt;&gt;"",Weekly_Inspections!$AR514&lt;&gt;"",Weekly_Inspections!$AS514&lt;&gt;""),Weekly_Inspections!$AQ514,"")</f>
        <v/>
      </c>
      <c r="H514">
        <f>Weekly_Inspections!$AP514</f>
        <v>0</v>
      </c>
      <c r="I514">
        <f>Weekly_Inspections!$AR514</f>
        <v>0</v>
      </c>
      <c r="J514">
        <f>Weekly_Inspections!$AS514</f>
        <v>0</v>
      </c>
      <c r="K514">
        <f>Weekly_Inspections!$AU514</f>
        <v>0</v>
      </c>
      <c r="L514" s="24">
        <f>Weekly_Inspections!$AV514</f>
        <v>0</v>
      </c>
      <c r="M514" t="str">
        <f t="shared" si="24"/>
        <v>Open</v>
      </c>
      <c r="N514" s="24"/>
      <c r="O514">
        <f t="shared" ca="1" si="25"/>
        <v>46113</v>
      </c>
      <c r="P514" t="str">
        <f t="shared" ca="1" si="26"/>
        <v>YES</v>
      </c>
      <c r="Q514">
        <f>Weekly_Inspections!$AW514</f>
        <v>0</v>
      </c>
    </row>
    <row r="515" spans="1:17" ht="15" customHeight="1" x14ac:dyDescent="0.2">
      <c r="A515" t="str">
        <f>IF(Weekly_Inspections!$B515="","",Weekly_Inspections!$A515&amp;"-A1")</f>
        <v/>
      </c>
      <c r="B515" s="24">
        <f>Weekly_Inspections!$B515</f>
        <v>0</v>
      </c>
      <c r="C515">
        <f>Weekly_Inspections!$E515</f>
        <v>0</v>
      </c>
      <c r="D515">
        <f>Weekly_Inspections!$F515</f>
        <v>0</v>
      </c>
      <c r="E515" t="str">
        <f>Weekly_Inspections!$H515</f>
        <v/>
      </c>
      <c r="F515">
        <f>IF(Weekly_Inspections!$AX515&lt;&gt;"",Weekly_Inspections!$AX515,IF(Weekly_Inspections!$AY515&lt;&gt;"",Weekly_Inspections!$AY515,IF(Weekly_Inspections!$AZ515&lt;&gt;"",Weekly_Inspections!$AZ515,IF(Weekly_Inspections!$BA515&lt;&gt;"",Weekly_Inspections!$BA515,IF(Weekly_Inspections!$BB515&lt;&gt;"",Weekly_Inspections!$BB515,Weekly_Inspections!$R515)))))</f>
        <v>0</v>
      </c>
      <c r="G515" t="str">
        <f>IF(OR(Weekly_Inspections!$AQ515&lt;&gt;"",Weekly_Inspections!$AR515&lt;&gt;"",Weekly_Inspections!$AS515&lt;&gt;""),Weekly_Inspections!$AQ515,"")</f>
        <v/>
      </c>
      <c r="H515">
        <f>Weekly_Inspections!$AP515</f>
        <v>0</v>
      </c>
      <c r="I515">
        <f>Weekly_Inspections!$AR515</f>
        <v>0</v>
      </c>
      <c r="J515">
        <f>Weekly_Inspections!$AS515</f>
        <v>0</v>
      </c>
      <c r="K515">
        <f>Weekly_Inspections!$AU515</f>
        <v>0</v>
      </c>
      <c r="L515" s="24">
        <f>Weekly_Inspections!$AV515</f>
        <v>0</v>
      </c>
      <c r="M515" t="str">
        <f t="shared" si="24"/>
        <v>Open</v>
      </c>
      <c r="N515" s="24"/>
      <c r="O515">
        <f t="shared" ca="1" si="25"/>
        <v>46113</v>
      </c>
      <c r="P515" t="str">
        <f t="shared" ca="1" si="26"/>
        <v>YES</v>
      </c>
      <c r="Q515">
        <f>Weekly_Inspections!$AW515</f>
        <v>0</v>
      </c>
    </row>
    <row r="516" spans="1:17" ht="15" customHeight="1" x14ac:dyDescent="0.2">
      <c r="A516" t="str">
        <f>IF(Weekly_Inspections!$B516="","",Weekly_Inspections!$A516&amp;"-A1")</f>
        <v/>
      </c>
      <c r="B516" s="24">
        <f>Weekly_Inspections!$B516</f>
        <v>0</v>
      </c>
      <c r="C516">
        <f>Weekly_Inspections!$E516</f>
        <v>0</v>
      </c>
      <c r="D516">
        <f>Weekly_Inspections!$F516</f>
        <v>0</v>
      </c>
      <c r="E516" t="str">
        <f>Weekly_Inspections!$H516</f>
        <v/>
      </c>
      <c r="F516">
        <f>IF(Weekly_Inspections!$AX516&lt;&gt;"",Weekly_Inspections!$AX516,IF(Weekly_Inspections!$AY516&lt;&gt;"",Weekly_Inspections!$AY516,IF(Weekly_Inspections!$AZ516&lt;&gt;"",Weekly_Inspections!$AZ516,IF(Weekly_Inspections!$BA516&lt;&gt;"",Weekly_Inspections!$BA516,IF(Weekly_Inspections!$BB516&lt;&gt;"",Weekly_Inspections!$BB516,Weekly_Inspections!$R516)))))</f>
        <v>0</v>
      </c>
      <c r="G516" t="str">
        <f>IF(OR(Weekly_Inspections!$AQ516&lt;&gt;"",Weekly_Inspections!$AR516&lt;&gt;"",Weekly_Inspections!$AS516&lt;&gt;""),Weekly_Inspections!$AQ516,"")</f>
        <v/>
      </c>
      <c r="H516">
        <f>Weekly_Inspections!$AP516</f>
        <v>0</v>
      </c>
      <c r="I516">
        <f>Weekly_Inspections!$AR516</f>
        <v>0</v>
      </c>
      <c r="J516">
        <f>Weekly_Inspections!$AS516</f>
        <v>0</v>
      </c>
      <c r="K516">
        <f>Weekly_Inspections!$AU516</f>
        <v>0</v>
      </c>
      <c r="L516" s="24">
        <f>Weekly_Inspections!$AV516</f>
        <v>0</v>
      </c>
      <c r="M516" t="str">
        <f t="shared" si="24"/>
        <v>Open</v>
      </c>
      <c r="N516" s="24"/>
      <c r="O516">
        <f t="shared" ca="1" si="25"/>
        <v>46113</v>
      </c>
      <c r="P516" t="str">
        <f t="shared" ca="1" si="26"/>
        <v>YES</v>
      </c>
      <c r="Q516">
        <f>Weekly_Inspections!$AW516</f>
        <v>0</v>
      </c>
    </row>
    <row r="517" spans="1:17" ht="15" customHeight="1" x14ac:dyDescent="0.2">
      <c r="A517" t="str">
        <f>IF(Weekly_Inspections!$B517="","",Weekly_Inspections!$A517&amp;"-A1")</f>
        <v/>
      </c>
      <c r="B517" s="24">
        <f>Weekly_Inspections!$B517</f>
        <v>0</v>
      </c>
      <c r="C517">
        <f>Weekly_Inspections!$E517</f>
        <v>0</v>
      </c>
      <c r="D517">
        <f>Weekly_Inspections!$F517</f>
        <v>0</v>
      </c>
      <c r="E517" t="str">
        <f>Weekly_Inspections!$H517</f>
        <v/>
      </c>
      <c r="F517">
        <f>IF(Weekly_Inspections!$AX517&lt;&gt;"",Weekly_Inspections!$AX517,IF(Weekly_Inspections!$AY517&lt;&gt;"",Weekly_Inspections!$AY517,IF(Weekly_Inspections!$AZ517&lt;&gt;"",Weekly_Inspections!$AZ517,IF(Weekly_Inspections!$BA517&lt;&gt;"",Weekly_Inspections!$BA517,IF(Weekly_Inspections!$BB517&lt;&gt;"",Weekly_Inspections!$BB517,Weekly_Inspections!$R517)))))</f>
        <v>0</v>
      </c>
      <c r="G517" t="str">
        <f>IF(OR(Weekly_Inspections!$AQ517&lt;&gt;"",Weekly_Inspections!$AR517&lt;&gt;"",Weekly_Inspections!$AS517&lt;&gt;""),Weekly_Inspections!$AQ517,"")</f>
        <v/>
      </c>
      <c r="H517">
        <f>Weekly_Inspections!$AP517</f>
        <v>0</v>
      </c>
      <c r="I517">
        <f>Weekly_Inspections!$AR517</f>
        <v>0</v>
      </c>
      <c r="J517">
        <f>Weekly_Inspections!$AS517</f>
        <v>0</v>
      </c>
      <c r="K517">
        <f>Weekly_Inspections!$AU517</f>
        <v>0</v>
      </c>
      <c r="L517" s="24">
        <f>Weekly_Inspections!$AV517</f>
        <v>0</v>
      </c>
      <c r="M517" t="str">
        <f t="shared" si="24"/>
        <v>Open</v>
      </c>
      <c r="N517" s="24"/>
      <c r="O517">
        <f t="shared" ca="1" si="25"/>
        <v>46113</v>
      </c>
      <c r="P517" t="str">
        <f t="shared" ca="1" si="26"/>
        <v>YES</v>
      </c>
      <c r="Q517">
        <f>Weekly_Inspections!$AW517</f>
        <v>0</v>
      </c>
    </row>
    <row r="518" spans="1:17" ht="15" customHeight="1" x14ac:dyDescent="0.2">
      <c r="A518" t="str">
        <f>IF(Weekly_Inspections!$B518="","",Weekly_Inspections!$A518&amp;"-A1")</f>
        <v/>
      </c>
      <c r="B518" s="24">
        <f>Weekly_Inspections!$B518</f>
        <v>0</v>
      </c>
      <c r="C518">
        <f>Weekly_Inspections!$E518</f>
        <v>0</v>
      </c>
      <c r="D518">
        <f>Weekly_Inspections!$F518</f>
        <v>0</v>
      </c>
      <c r="E518" t="str">
        <f>Weekly_Inspections!$H518</f>
        <v/>
      </c>
      <c r="F518">
        <f>IF(Weekly_Inspections!$AX518&lt;&gt;"",Weekly_Inspections!$AX518,IF(Weekly_Inspections!$AY518&lt;&gt;"",Weekly_Inspections!$AY518,IF(Weekly_Inspections!$AZ518&lt;&gt;"",Weekly_Inspections!$AZ518,IF(Weekly_Inspections!$BA518&lt;&gt;"",Weekly_Inspections!$BA518,IF(Weekly_Inspections!$BB518&lt;&gt;"",Weekly_Inspections!$BB518,Weekly_Inspections!$R518)))))</f>
        <v>0</v>
      </c>
      <c r="G518" t="str">
        <f>IF(OR(Weekly_Inspections!$AQ518&lt;&gt;"",Weekly_Inspections!$AR518&lt;&gt;"",Weekly_Inspections!$AS518&lt;&gt;""),Weekly_Inspections!$AQ518,"")</f>
        <v/>
      </c>
      <c r="H518">
        <f>Weekly_Inspections!$AP518</f>
        <v>0</v>
      </c>
      <c r="I518">
        <f>Weekly_Inspections!$AR518</f>
        <v>0</v>
      </c>
      <c r="J518">
        <f>Weekly_Inspections!$AS518</f>
        <v>0</v>
      </c>
      <c r="K518">
        <f>Weekly_Inspections!$AU518</f>
        <v>0</v>
      </c>
      <c r="L518" s="24">
        <f>Weekly_Inspections!$AV518</f>
        <v>0</v>
      </c>
      <c r="M518" t="str">
        <f t="shared" si="24"/>
        <v>Open</v>
      </c>
      <c r="N518" s="24"/>
      <c r="O518">
        <f t="shared" ca="1" si="25"/>
        <v>46113</v>
      </c>
      <c r="P518" t="str">
        <f t="shared" ca="1" si="26"/>
        <v>YES</v>
      </c>
      <c r="Q518">
        <f>Weekly_Inspections!$AW518</f>
        <v>0</v>
      </c>
    </row>
    <row r="519" spans="1:17" ht="15" customHeight="1" x14ac:dyDescent="0.2">
      <c r="A519" t="str">
        <f>IF(Weekly_Inspections!$B519="","",Weekly_Inspections!$A519&amp;"-A1")</f>
        <v/>
      </c>
      <c r="B519" s="24">
        <f>Weekly_Inspections!$B519</f>
        <v>0</v>
      </c>
      <c r="C519">
        <f>Weekly_Inspections!$E519</f>
        <v>0</v>
      </c>
      <c r="D519">
        <f>Weekly_Inspections!$F519</f>
        <v>0</v>
      </c>
      <c r="E519" t="str">
        <f>Weekly_Inspections!$H519</f>
        <v/>
      </c>
      <c r="F519">
        <f>IF(Weekly_Inspections!$AX519&lt;&gt;"",Weekly_Inspections!$AX519,IF(Weekly_Inspections!$AY519&lt;&gt;"",Weekly_Inspections!$AY519,IF(Weekly_Inspections!$AZ519&lt;&gt;"",Weekly_Inspections!$AZ519,IF(Weekly_Inspections!$BA519&lt;&gt;"",Weekly_Inspections!$BA519,IF(Weekly_Inspections!$BB519&lt;&gt;"",Weekly_Inspections!$BB519,Weekly_Inspections!$R519)))))</f>
        <v>0</v>
      </c>
      <c r="G519" t="str">
        <f>IF(OR(Weekly_Inspections!$AQ519&lt;&gt;"",Weekly_Inspections!$AR519&lt;&gt;"",Weekly_Inspections!$AS519&lt;&gt;""),Weekly_Inspections!$AQ519,"")</f>
        <v/>
      </c>
      <c r="H519">
        <f>Weekly_Inspections!$AP519</f>
        <v>0</v>
      </c>
      <c r="I519">
        <f>Weekly_Inspections!$AR519</f>
        <v>0</v>
      </c>
      <c r="J519">
        <f>Weekly_Inspections!$AS519</f>
        <v>0</v>
      </c>
      <c r="K519">
        <f>Weekly_Inspections!$AU519</f>
        <v>0</v>
      </c>
      <c r="L519" s="24">
        <f>Weekly_Inspections!$AV519</f>
        <v>0</v>
      </c>
      <c r="M519" t="str">
        <f t="shared" si="24"/>
        <v>Open</v>
      </c>
      <c r="N519" s="24"/>
      <c r="O519">
        <f t="shared" ca="1" si="25"/>
        <v>46113</v>
      </c>
      <c r="P519" t="str">
        <f t="shared" ca="1" si="26"/>
        <v>YES</v>
      </c>
      <c r="Q519">
        <f>Weekly_Inspections!$AW519</f>
        <v>0</v>
      </c>
    </row>
    <row r="520" spans="1:17" ht="15" customHeight="1" x14ac:dyDescent="0.2">
      <c r="A520" t="str">
        <f>IF(Weekly_Inspections!$B520="","",Weekly_Inspections!$A520&amp;"-A1")</f>
        <v/>
      </c>
      <c r="B520" s="24">
        <f>Weekly_Inspections!$B520</f>
        <v>0</v>
      </c>
      <c r="C520">
        <f>Weekly_Inspections!$E520</f>
        <v>0</v>
      </c>
      <c r="D520">
        <f>Weekly_Inspections!$F520</f>
        <v>0</v>
      </c>
      <c r="E520" t="str">
        <f>Weekly_Inspections!$H520</f>
        <v/>
      </c>
      <c r="F520">
        <f>IF(Weekly_Inspections!$AX520&lt;&gt;"",Weekly_Inspections!$AX520,IF(Weekly_Inspections!$AY520&lt;&gt;"",Weekly_Inspections!$AY520,IF(Weekly_Inspections!$AZ520&lt;&gt;"",Weekly_Inspections!$AZ520,IF(Weekly_Inspections!$BA520&lt;&gt;"",Weekly_Inspections!$BA520,IF(Weekly_Inspections!$BB520&lt;&gt;"",Weekly_Inspections!$BB520,Weekly_Inspections!$R520)))))</f>
        <v>0</v>
      </c>
      <c r="G520" t="str">
        <f>IF(OR(Weekly_Inspections!$AQ520&lt;&gt;"",Weekly_Inspections!$AR520&lt;&gt;"",Weekly_Inspections!$AS520&lt;&gt;""),Weekly_Inspections!$AQ520,"")</f>
        <v/>
      </c>
      <c r="H520">
        <f>Weekly_Inspections!$AP520</f>
        <v>0</v>
      </c>
      <c r="I520">
        <f>Weekly_Inspections!$AR520</f>
        <v>0</v>
      </c>
      <c r="J520">
        <f>Weekly_Inspections!$AS520</f>
        <v>0</v>
      </c>
      <c r="K520">
        <f>Weekly_Inspections!$AU520</f>
        <v>0</v>
      </c>
      <c r="L520" s="24">
        <f>Weekly_Inspections!$AV520</f>
        <v>0</v>
      </c>
      <c r="M520" t="str">
        <f t="shared" si="24"/>
        <v>Open</v>
      </c>
      <c r="N520" s="24"/>
      <c r="O520">
        <f t="shared" ca="1" si="25"/>
        <v>46113</v>
      </c>
      <c r="P520" t="str">
        <f t="shared" ca="1" si="26"/>
        <v>YES</v>
      </c>
      <c r="Q520">
        <f>Weekly_Inspections!$AW520</f>
        <v>0</v>
      </c>
    </row>
    <row r="521" spans="1:17" ht="15" customHeight="1" x14ac:dyDescent="0.2">
      <c r="A521" t="str">
        <f>IF(Weekly_Inspections!$B521="","",Weekly_Inspections!$A521&amp;"-A1")</f>
        <v/>
      </c>
      <c r="B521" s="24">
        <f>Weekly_Inspections!$B521</f>
        <v>0</v>
      </c>
      <c r="C521">
        <f>Weekly_Inspections!$E521</f>
        <v>0</v>
      </c>
      <c r="D521">
        <f>Weekly_Inspections!$F521</f>
        <v>0</v>
      </c>
      <c r="E521" t="str">
        <f>Weekly_Inspections!$H521</f>
        <v/>
      </c>
      <c r="F521">
        <f>IF(Weekly_Inspections!$AX521&lt;&gt;"",Weekly_Inspections!$AX521,IF(Weekly_Inspections!$AY521&lt;&gt;"",Weekly_Inspections!$AY521,IF(Weekly_Inspections!$AZ521&lt;&gt;"",Weekly_Inspections!$AZ521,IF(Weekly_Inspections!$BA521&lt;&gt;"",Weekly_Inspections!$BA521,IF(Weekly_Inspections!$BB521&lt;&gt;"",Weekly_Inspections!$BB521,Weekly_Inspections!$R521)))))</f>
        <v>0</v>
      </c>
      <c r="G521" t="str">
        <f>IF(OR(Weekly_Inspections!$AQ521&lt;&gt;"",Weekly_Inspections!$AR521&lt;&gt;"",Weekly_Inspections!$AS521&lt;&gt;""),Weekly_Inspections!$AQ521,"")</f>
        <v/>
      </c>
      <c r="H521">
        <f>Weekly_Inspections!$AP521</f>
        <v>0</v>
      </c>
      <c r="I521">
        <f>Weekly_Inspections!$AR521</f>
        <v>0</v>
      </c>
      <c r="J521">
        <f>Weekly_Inspections!$AS521</f>
        <v>0</v>
      </c>
      <c r="K521">
        <f>Weekly_Inspections!$AU521</f>
        <v>0</v>
      </c>
      <c r="L521" s="24">
        <f>Weekly_Inspections!$AV521</f>
        <v>0</v>
      </c>
      <c r="M521" t="str">
        <f t="shared" si="24"/>
        <v>Open</v>
      </c>
      <c r="N521" s="24"/>
      <c r="O521">
        <f t="shared" ca="1" si="25"/>
        <v>46113</v>
      </c>
      <c r="P521" t="str">
        <f t="shared" ca="1" si="26"/>
        <v>YES</v>
      </c>
      <c r="Q521">
        <f>Weekly_Inspections!$AW521</f>
        <v>0</v>
      </c>
    </row>
    <row r="522" spans="1:17" ht="15" customHeight="1" x14ac:dyDescent="0.2">
      <c r="A522" t="str">
        <f>IF(Weekly_Inspections!$B522="","",Weekly_Inspections!$A522&amp;"-A1")</f>
        <v/>
      </c>
      <c r="B522" s="24">
        <f>Weekly_Inspections!$B522</f>
        <v>0</v>
      </c>
      <c r="C522">
        <f>Weekly_Inspections!$E522</f>
        <v>0</v>
      </c>
      <c r="D522">
        <f>Weekly_Inspections!$F522</f>
        <v>0</v>
      </c>
      <c r="E522" t="str">
        <f>Weekly_Inspections!$H522</f>
        <v/>
      </c>
      <c r="F522">
        <f>IF(Weekly_Inspections!$AX522&lt;&gt;"",Weekly_Inspections!$AX522,IF(Weekly_Inspections!$AY522&lt;&gt;"",Weekly_Inspections!$AY522,IF(Weekly_Inspections!$AZ522&lt;&gt;"",Weekly_Inspections!$AZ522,IF(Weekly_Inspections!$BA522&lt;&gt;"",Weekly_Inspections!$BA522,IF(Weekly_Inspections!$BB522&lt;&gt;"",Weekly_Inspections!$BB522,Weekly_Inspections!$R522)))))</f>
        <v>0</v>
      </c>
      <c r="G522" t="str">
        <f>IF(OR(Weekly_Inspections!$AQ522&lt;&gt;"",Weekly_Inspections!$AR522&lt;&gt;"",Weekly_Inspections!$AS522&lt;&gt;""),Weekly_Inspections!$AQ522,"")</f>
        <v/>
      </c>
      <c r="H522">
        <f>Weekly_Inspections!$AP522</f>
        <v>0</v>
      </c>
      <c r="I522">
        <f>Weekly_Inspections!$AR522</f>
        <v>0</v>
      </c>
      <c r="J522">
        <f>Weekly_Inspections!$AS522</f>
        <v>0</v>
      </c>
      <c r="K522">
        <f>Weekly_Inspections!$AU522</f>
        <v>0</v>
      </c>
      <c r="L522" s="24">
        <f>Weekly_Inspections!$AV522</f>
        <v>0</v>
      </c>
      <c r="M522" t="str">
        <f t="shared" si="24"/>
        <v>Open</v>
      </c>
      <c r="N522" s="24"/>
      <c r="O522">
        <f t="shared" ca="1" si="25"/>
        <v>46113</v>
      </c>
      <c r="P522" t="str">
        <f t="shared" ca="1" si="26"/>
        <v>YES</v>
      </c>
      <c r="Q522">
        <f>Weekly_Inspections!$AW522</f>
        <v>0</v>
      </c>
    </row>
    <row r="523" spans="1:17" ht="15" customHeight="1" x14ac:dyDescent="0.2">
      <c r="A523" t="str">
        <f>IF(Weekly_Inspections!$B523="","",Weekly_Inspections!$A523&amp;"-A1")</f>
        <v/>
      </c>
      <c r="B523" s="24">
        <f>Weekly_Inspections!$B523</f>
        <v>0</v>
      </c>
      <c r="C523">
        <f>Weekly_Inspections!$E523</f>
        <v>0</v>
      </c>
      <c r="D523">
        <f>Weekly_Inspections!$F523</f>
        <v>0</v>
      </c>
      <c r="E523" t="str">
        <f>Weekly_Inspections!$H523</f>
        <v/>
      </c>
      <c r="F523">
        <f>IF(Weekly_Inspections!$AX523&lt;&gt;"",Weekly_Inspections!$AX523,IF(Weekly_Inspections!$AY523&lt;&gt;"",Weekly_Inspections!$AY523,IF(Weekly_Inspections!$AZ523&lt;&gt;"",Weekly_Inspections!$AZ523,IF(Weekly_Inspections!$BA523&lt;&gt;"",Weekly_Inspections!$BA523,IF(Weekly_Inspections!$BB523&lt;&gt;"",Weekly_Inspections!$BB523,Weekly_Inspections!$R523)))))</f>
        <v>0</v>
      </c>
      <c r="G523" t="str">
        <f>IF(OR(Weekly_Inspections!$AQ523&lt;&gt;"",Weekly_Inspections!$AR523&lt;&gt;"",Weekly_Inspections!$AS523&lt;&gt;""),Weekly_Inspections!$AQ523,"")</f>
        <v/>
      </c>
      <c r="H523">
        <f>Weekly_Inspections!$AP523</f>
        <v>0</v>
      </c>
      <c r="I523">
        <f>Weekly_Inspections!$AR523</f>
        <v>0</v>
      </c>
      <c r="J523">
        <f>Weekly_Inspections!$AS523</f>
        <v>0</v>
      </c>
      <c r="K523">
        <f>Weekly_Inspections!$AU523</f>
        <v>0</v>
      </c>
      <c r="L523" s="24">
        <f>Weekly_Inspections!$AV523</f>
        <v>0</v>
      </c>
      <c r="M523" t="str">
        <f t="shared" si="24"/>
        <v>Open</v>
      </c>
      <c r="N523" s="24"/>
      <c r="O523">
        <f t="shared" ca="1" si="25"/>
        <v>46113</v>
      </c>
      <c r="P523" t="str">
        <f t="shared" ca="1" si="26"/>
        <v>YES</v>
      </c>
      <c r="Q523">
        <f>Weekly_Inspections!$AW523</f>
        <v>0</v>
      </c>
    </row>
    <row r="524" spans="1:17" ht="15" customHeight="1" x14ac:dyDescent="0.2">
      <c r="A524" t="str">
        <f>IF(Weekly_Inspections!$B524="","",Weekly_Inspections!$A524&amp;"-A1")</f>
        <v/>
      </c>
      <c r="B524" s="24">
        <f>Weekly_Inspections!$B524</f>
        <v>0</v>
      </c>
      <c r="C524">
        <f>Weekly_Inspections!$E524</f>
        <v>0</v>
      </c>
      <c r="D524">
        <f>Weekly_Inspections!$F524</f>
        <v>0</v>
      </c>
      <c r="E524" t="str">
        <f>Weekly_Inspections!$H524</f>
        <v/>
      </c>
      <c r="F524">
        <f>IF(Weekly_Inspections!$AX524&lt;&gt;"",Weekly_Inspections!$AX524,IF(Weekly_Inspections!$AY524&lt;&gt;"",Weekly_Inspections!$AY524,IF(Weekly_Inspections!$AZ524&lt;&gt;"",Weekly_Inspections!$AZ524,IF(Weekly_Inspections!$BA524&lt;&gt;"",Weekly_Inspections!$BA524,IF(Weekly_Inspections!$BB524&lt;&gt;"",Weekly_Inspections!$BB524,Weekly_Inspections!$R524)))))</f>
        <v>0</v>
      </c>
      <c r="G524" t="str">
        <f>IF(OR(Weekly_Inspections!$AQ524&lt;&gt;"",Weekly_Inspections!$AR524&lt;&gt;"",Weekly_Inspections!$AS524&lt;&gt;""),Weekly_Inspections!$AQ524,"")</f>
        <v/>
      </c>
      <c r="H524">
        <f>Weekly_Inspections!$AP524</f>
        <v>0</v>
      </c>
      <c r="I524">
        <f>Weekly_Inspections!$AR524</f>
        <v>0</v>
      </c>
      <c r="J524">
        <f>Weekly_Inspections!$AS524</f>
        <v>0</v>
      </c>
      <c r="K524">
        <f>Weekly_Inspections!$AU524</f>
        <v>0</v>
      </c>
      <c r="L524" s="24">
        <f>Weekly_Inspections!$AV524</f>
        <v>0</v>
      </c>
      <c r="M524" t="str">
        <f t="shared" si="24"/>
        <v>Open</v>
      </c>
      <c r="N524" s="24"/>
      <c r="O524">
        <f t="shared" ca="1" si="25"/>
        <v>46113</v>
      </c>
      <c r="P524" t="str">
        <f t="shared" ca="1" si="26"/>
        <v>YES</v>
      </c>
      <c r="Q524">
        <f>Weekly_Inspections!$AW524</f>
        <v>0</v>
      </c>
    </row>
    <row r="525" spans="1:17" ht="15" customHeight="1" x14ac:dyDescent="0.2">
      <c r="A525" t="str">
        <f>IF(Weekly_Inspections!$B525="","",Weekly_Inspections!$A525&amp;"-A1")</f>
        <v/>
      </c>
      <c r="B525" s="24">
        <f>Weekly_Inspections!$B525</f>
        <v>0</v>
      </c>
      <c r="C525">
        <f>Weekly_Inspections!$E525</f>
        <v>0</v>
      </c>
      <c r="D525">
        <f>Weekly_Inspections!$F525</f>
        <v>0</v>
      </c>
      <c r="E525" t="str">
        <f>Weekly_Inspections!$H525</f>
        <v/>
      </c>
      <c r="F525">
        <f>IF(Weekly_Inspections!$AX525&lt;&gt;"",Weekly_Inspections!$AX525,IF(Weekly_Inspections!$AY525&lt;&gt;"",Weekly_Inspections!$AY525,IF(Weekly_Inspections!$AZ525&lt;&gt;"",Weekly_Inspections!$AZ525,IF(Weekly_Inspections!$BA525&lt;&gt;"",Weekly_Inspections!$BA525,IF(Weekly_Inspections!$BB525&lt;&gt;"",Weekly_Inspections!$BB525,Weekly_Inspections!$R525)))))</f>
        <v>0</v>
      </c>
      <c r="G525" t="str">
        <f>IF(OR(Weekly_Inspections!$AQ525&lt;&gt;"",Weekly_Inspections!$AR525&lt;&gt;"",Weekly_Inspections!$AS525&lt;&gt;""),Weekly_Inspections!$AQ525,"")</f>
        <v/>
      </c>
      <c r="H525">
        <f>Weekly_Inspections!$AP525</f>
        <v>0</v>
      </c>
      <c r="I525">
        <f>Weekly_Inspections!$AR525</f>
        <v>0</v>
      </c>
      <c r="J525">
        <f>Weekly_Inspections!$AS525</f>
        <v>0</v>
      </c>
      <c r="K525">
        <f>Weekly_Inspections!$AU525</f>
        <v>0</v>
      </c>
      <c r="L525" s="24">
        <f>Weekly_Inspections!$AV525</f>
        <v>0</v>
      </c>
      <c r="M525" t="str">
        <f t="shared" si="24"/>
        <v>Open</v>
      </c>
      <c r="N525" s="24"/>
      <c r="O525">
        <f t="shared" ca="1" si="25"/>
        <v>46113</v>
      </c>
      <c r="P525" t="str">
        <f t="shared" ca="1" si="26"/>
        <v>YES</v>
      </c>
      <c r="Q525">
        <f>Weekly_Inspections!$AW525</f>
        <v>0</v>
      </c>
    </row>
    <row r="526" spans="1:17" ht="15" customHeight="1" x14ac:dyDescent="0.2">
      <c r="A526" t="str">
        <f>IF(Weekly_Inspections!$B526="","",Weekly_Inspections!$A526&amp;"-A1")</f>
        <v/>
      </c>
      <c r="B526" s="24">
        <f>Weekly_Inspections!$B526</f>
        <v>0</v>
      </c>
      <c r="C526">
        <f>Weekly_Inspections!$E526</f>
        <v>0</v>
      </c>
      <c r="D526">
        <f>Weekly_Inspections!$F526</f>
        <v>0</v>
      </c>
      <c r="E526" t="str">
        <f>Weekly_Inspections!$H526</f>
        <v/>
      </c>
      <c r="F526">
        <f>IF(Weekly_Inspections!$AX526&lt;&gt;"",Weekly_Inspections!$AX526,IF(Weekly_Inspections!$AY526&lt;&gt;"",Weekly_Inspections!$AY526,IF(Weekly_Inspections!$AZ526&lt;&gt;"",Weekly_Inspections!$AZ526,IF(Weekly_Inspections!$BA526&lt;&gt;"",Weekly_Inspections!$BA526,IF(Weekly_Inspections!$BB526&lt;&gt;"",Weekly_Inspections!$BB526,Weekly_Inspections!$R526)))))</f>
        <v>0</v>
      </c>
      <c r="G526" t="str">
        <f>IF(OR(Weekly_Inspections!$AQ526&lt;&gt;"",Weekly_Inspections!$AR526&lt;&gt;"",Weekly_Inspections!$AS526&lt;&gt;""),Weekly_Inspections!$AQ526,"")</f>
        <v/>
      </c>
      <c r="H526">
        <f>Weekly_Inspections!$AP526</f>
        <v>0</v>
      </c>
      <c r="I526">
        <f>Weekly_Inspections!$AR526</f>
        <v>0</v>
      </c>
      <c r="J526">
        <f>Weekly_Inspections!$AS526</f>
        <v>0</v>
      </c>
      <c r="K526">
        <f>Weekly_Inspections!$AU526</f>
        <v>0</v>
      </c>
      <c r="L526" s="24">
        <f>Weekly_Inspections!$AV526</f>
        <v>0</v>
      </c>
      <c r="M526" t="str">
        <f t="shared" si="24"/>
        <v>Open</v>
      </c>
      <c r="N526" s="24"/>
      <c r="O526">
        <f t="shared" ca="1" si="25"/>
        <v>46113</v>
      </c>
      <c r="P526" t="str">
        <f t="shared" ca="1" si="26"/>
        <v>YES</v>
      </c>
      <c r="Q526">
        <f>Weekly_Inspections!$AW526</f>
        <v>0</v>
      </c>
    </row>
    <row r="527" spans="1:17" ht="15" customHeight="1" x14ac:dyDescent="0.2">
      <c r="A527" t="str">
        <f>IF(Weekly_Inspections!$B527="","",Weekly_Inspections!$A527&amp;"-A1")</f>
        <v/>
      </c>
      <c r="B527" s="24">
        <f>Weekly_Inspections!$B527</f>
        <v>0</v>
      </c>
      <c r="C527">
        <f>Weekly_Inspections!$E527</f>
        <v>0</v>
      </c>
      <c r="D527">
        <f>Weekly_Inspections!$F527</f>
        <v>0</v>
      </c>
      <c r="E527" t="str">
        <f>Weekly_Inspections!$H527</f>
        <v/>
      </c>
      <c r="F527">
        <f>IF(Weekly_Inspections!$AX527&lt;&gt;"",Weekly_Inspections!$AX527,IF(Weekly_Inspections!$AY527&lt;&gt;"",Weekly_Inspections!$AY527,IF(Weekly_Inspections!$AZ527&lt;&gt;"",Weekly_Inspections!$AZ527,IF(Weekly_Inspections!$BA527&lt;&gt;"",Weekly_Inspections!$BA527,IF(Weekly_Inspections!$BB527&lt;&gt;"",Weekly_Inspections!$BB527,Weekly_Inspections!$R527)))))</f>
        <v>0</v>
      </c>
      <c r="G527" t="str">
        <f>IF(OR(Weekly_Inspections!$AQ527&lt;&gt;"",Weekly_Inspections!$AR527&lt;&gt;"",Weekly_Inspections!$AS527&lt;&gt;""),Weekly_Inspections!$AQ527,"")</f>
        <v/>
      </c>
      <c r="H527">
        <f>Weekly_Inspections!$AP527</f>
        <v>0</v>
      </c>
      <c r="I527">
        <f>Weekly_Inspections!$AR527</f>
        <v>0</v>
      </c>
      <c r="J527">
        <f>Weekly_Inspections!$AS527</f>
        <v>0</v>
      </c>
      <c r="K527">
        <f>Weekly_Inspections!$AU527</f>
        <v>0</v>
      </c>
      <c r="L527" s="24">
        <f>Weekly_Inspections!$AV527</f>
        <v>0</v>
      </c>
      <c r="M527" t="str">
        <f t="shared" si="24"/>
        <v>Open</v>
      </c>
      <c r="N527" s="24"/>
      <c r="O527">
        <f t="shared" ca="1" si="25"/>
        <v>46113</v>
      </c>
      <c r="P527" t="str">
        <f t="shared" ca="1" si="26"/>
        <v>YES</v>
      </c>
      <c r="Q527">
        <f>Weekly_Inspections!$AW527</f>
        <v>0</v>
      </c>
    </row>
    <row r="528" spans="1:17" ht="15" customHeight="1" x14ac:dyDescent="0.2">
      <c r="A528" t="str">
        <f>IF(Weekly_Inspections!$B528="","",Weekly_Inspections!$A528&amp;"-A1")</f>
        <v/>
      </c>
      <c r="B528" s="24">
        <f>Weekly_Inspections!$B528</f>
        <v>0</v>
      </c>
      <c r="C528">
        <f>Weekly_Inspections!$E528</f>
        <v>0</v>
      </c>
      <c r="D528">
        <f>Weekly_Inspections!$F528</f>
        <v>0</v>
      </c>
      <c r="E528" t="str">
        <f>Weekly_Inspections!$H528</f>
        <v/>
      </c>
      <c r="F528">
        <f>IF(Weekly_Inspections!$AX528&lt;&gt;"",Weekly_Inspections!$AX528,IF(Weekly_Inspections!$AY528&lt;&gt;"",Weekly_Inspections!$AY528,IF(Weekly_Inspections!$AZ528&lt;&gt;"",Weekly_Inspections!$AZ528,IF(Weekly_Inspections!$BA528&lt;&gt;"",Weekly_Inspections!$BA528,IF(Weekly_Inspections!$BB528&lt;&gt;"",Weekly_Inspections!$BB528,Weekly_Inspections!$R528)))))</f>
        <v>0</v>
      </c>
      <c r="G528" t="str">
        <f>IF(OR(Weekly_Inspections!$AQ528&lt;&gt;"",Weekly_Inspections!$AR528&lt;&gt;"",Weekly_Inspections!$AS528&lt;&gt;""),Weekly_Inspections!$AQ528,"")</f>
        <v/>
      </c>
      <c r="H528">
        <f>Weekly_Inspections!$AP528</f>
        <v>0</v>
      </c>
      <c r="I528">
        <f>Weekly_Inspections!$AR528</f>
        <v>0</v>
      </c>
      <c r="J528">
        <f>Weekly_Inspections!$AS528</f>
        <v>0</v>
      </c>
      <c r="K528">
        <f>Weekly_Inspections!$AU528</f>
        <v>0</v>
      </c>
      <c r="L528" s="24">
        <f>Weekly_Inspections!$AV528</f>
        <v>0</v>
      </c>
      <c r="M528" t="str">
        <f t="shared" si="24"/>
        <v>Open</v>
      </c>
      <c r="N528" s="24"/>
      <c r="O528">
        <f t="shared" ca="1" si="25"/>
        <v>46113</v>
      </c>
      <c r="P528" t="str">
        <f t="shared" ca="1" si="26"/>
        <v>YES</v>
      </c>
      <c r="Q528">
        <f>Weekly_Inspections!$AW528</f>
        <v>0</v>
      </c>
    </row>
    <row r="529" spans="1:17" ht="15" customHeight="1" x14ac:dyDescent="0.2">
      <c r="A529" t="str">
        <f>IF(Weekly_Inspections!$B529="","",Weekly_Inspections!$A529&amp;"-A1")</f>
        <v/>
      </c>
      <c r="B529" s="24">
        <f>Weekly_Inspections!$B529</f>
        <v>0</v>
      </c>
      <c r="C529">
        <f>Weekly_Inspections!$E529</f>
        <v>0</v>
      </c>
      <c r="D529">
        <f>Weekly_Inspections!$F529</f>
        <v>0</v>
      </c>
      <c r="E529" t="str">
        <f>Weekly_Inspections!$H529</f>
        <v/>
      </c>
      <c r="F529">
        <f>IF(Weekly_Inspections!$AX529&lt;&gt;"",Weekly_Inspections!$AX529,IF(Weekly_Inspections!$AY529&lt;&gt;"",Weekly_Inspections!$AY529,IF(Weekly_Inspections!$AZ529&lt;&gt;"",Weekly_Inspections!$AZ529,IF(Weekly_Inspections!$BA529&lt;&gt;"",Weekly_Inspections!$BA529,IF(Weekly_Inspections!$BB529&lt;&gt;"",Weekly_Inspections!$BB529,Weekly_Inspections!$R529)))))</f>
        <v>0</v>
      </c>
      <c r="G529" t="str">
        <f>IF(OR(Weekly_Inspections!$AQ529&lt;&gt;"",Weekly_Inspections!$AR529&lt;&gt;"",Weekly_Inspections!$AS529&lt;&gt;""),Weekly_Inspections!$AQ529,"")</f>
        <v/>
      </c>
      <c r="H529">
        <f>Weekly_Inspections!$AP529</f>
        <v>0</v>
      </c>
      <c r="I529">
        <f>Weekly_Inspections!$AR529</f>
        <v>0</v>
      </c>
      <c r="J529">
        <f>Weekly_Inspections!$AS529</f>
        <v>0</v>
      </c>
      <c r="K529">
        <f>Weekly_Inspections!$AU529</f>
        <v>0</v>
      </c>
      <c r="L529" s="24">
        <f>Weekly_Inspections!$AV529</f>
        <v>0</v>
      </c>
      <c r="M529" t="str">
        <f t="shared" si="24"/>
        <v>Open</v>
      </c>
      <c r="N529" s="24"/>
      <c r="O529">
        <f t="shared" ca="1" si="25"/>
        <v>46113</v>
      </c>
      <c r="P529" t="str">
        <f t="shared" ca="1" si="26"/>
        <v>YES</v>
      </c>
      <c r="Q529">
        <f>Weekly_Inspections!$AW529</f>
        <v>0</v>
      </c>
    </row>
    <row r="530" spans="1:17" ht="15" customHeight="1" x14ac:dyDescent="0.2">
      <c r="A530" t="str">
        <f>IF(Weekly_Inspections!$B530="","",Weekly_Inspections!$A530&amp;"-A1")</f>
        <v/>
      </c>
      <c r="B530" s="24">
        <f>Weekly_Inspections!$B530</f>
        <v>0</v>
      </c>
      <c r="C530">
        <f>Weekly_Inspections!$E530</f>
        <v>0</v>
      </c>
      <c r="D530">
        <f>Weekly_Inspections!$F530</f>
        <v>0</v>
      </c>
      <c r="E530" t="str">
        <f>Weekly_Inspections!$H530</f>
        <v/>
      </c>
      <c r="F530">
        <f>IF(Weekly_Inspections!$AX530&lt;&gt;"",Weekly_Inspections!$AX530,IF(Weekly_Inspections!$AY530&lt;&gt;"",Weekly_Inspections!$AY530,IF(Weekly_Inspections!$AZ530&lt;&gt;"",Weekly_Inspections!$AZ530,IF(Weekly_Inspections!$BA530&lt;&gt;"",Weekly_Inspections!$BA530,IF(Weekly_Inspections!$BB530&lt;&gt;"",Weekly_Inspections!$BB530,Weekly_Inspections!$R530)))))</f>
        <v>0</v>
      </c>
      <c r="G530" t="str">
        <f>IF(OR(Weekly_Inspections!$AQ530&lt;&gt;"",Weekly_Inspections!$AR530&lt;&gt;"",Weekly_Inspections!$AS530&lt;&gt;""),Weekly_Inspections!$AQ530,"")</f>
        <v/>
      </c>
      <c r="H530">
        <f>Weekly_Inspections!$AP530</f>
        <v>0</v>
      </c>
      <c r="I530">
        <f>Weekly_Inspections!$AR530</f>
        <v>0</v>
      </c>
      <c r="J530">
        <f>Weekly_Inspections!$AS530</f>
        <v>0</v>
      </c>
      <c r="K530">
        <f>Weekly_Inspections!$AU530</f>
        <v>0</v>
      </c>
      <c r="L530" s="24">
        <f>Weekly_Inspections!$AV530</f>
        <v>0</v>
      </c>
      <c r="M530" t="str">
        <f t="shared" si="24"/>
        <v>Open</v>
      </c>
      <c r="N530" s="24"/>
      <c r="O530">
        <f t="shared" ca="1" si="25"/>
        <v>46113</v>
      </c>
      <c r="P530" t="str">
        <f t="shared" ca="1" si="26"/>
        <v>YES</v>
      </c>
      <c r="Q530">
        <f>Weekly_Inspections!$AW530</f>
        <v>0</v>
      </c>
    </row>
    <row r="531" spans="1:17" ht="15" customHeight="1" x14ac:dyDescent="0.2">
      <c r="A531" t="str">
        <f>IF(Weekly_Inspections!$B531="","",Weekly_Inspections!$A531&amp;"-A1")</f>
        <v/>
      </c>
      <c r="B531" s="24">
        <f>Weekly_Inspections!$B531</f>
        <v>0</v>
      </c>
      <c r="C531">
        <f>Weekly_Inspections!$E531</f>
        <v>0</v>
      </c>
      <c r="D531">
        <f>Weekly_Inspections!$F531</f>
        <v>0</v>
      </c>
      <c r="E531" t="str">
        <f>Weekly_Inspections!$H531</f>
        <v/>
      </c>
      <c r="F531">
        <f>IF(Weekly_Inspections!$AX531&lt;&gt;"",Weekly_Inspections!$AX531,IF(Weekly_Inspections!$AY531&lt;&gt;"",Weekly_Inspections!$AY531,IF(Weekly_Inspections!$AZ531&lt;&gt;"",Weekly_Inspections!$AZ531,IF(Weekly_Inspections!$BA531&lt;&gt;"",Weekly_Inspections!$BA531,IF(Weekly_Inspections!$BB531&lt;&gt;"",Weekly_Inspections!$BB531,Weekly_Inspections!$R531)))))</f>
        <v>0</v>
      </c>
      <c r="G531" t="str">
        <f>IF(OR(Weekly_Inspections!$AQ531&lt;&gt;"",Weekly_Inspections!$AR531&lt;&gt;"",Weekly_Inspections!$AS531&lt;&gt;""),Weekly_Inspections!$AQ531,"")</f>
        <v/>
      </c>
      <c r="H531">
        <f>Weekly_Inspections!$AP531</f>
        <v>0</v>
      </c>
      <c r="I531">
        <f>Weekly_Inspections!$AR531</f>
        <v>0</v>
      </c>
      <c r="J531">
        <f>Weekly_Inspections!$AS531</f>
        <v>0</v>
      </c>
      <c r="K531">
        <f>Weekly_Inspections!$AU531</f>
        <v>0</v>
      </c>
      <c r="L531" s="24">
        <f>Weekly_Inspections!$AV531</f>
        <v>0</v>
      </c>
      <c r="M531" t="str">
        <f t="shared" si="24"/>
        <v>Open</v>
      </c>
      <c r="N531" s="24"/>
      <c r="O531">
        <f t="shared" ca="1" si="25"/>
        <v>46113</v>
      </c>
      <c r="P531" t="str">
        <f t="shared" ca="1" si="26"/>
        <v>YES</v>
      </c>
      <c r="Q531">
        <f>Weekly_Inspections!$AW531</f>
        <v>0</v>
      </c>
    </row>
    <row r="532" spans="1:17" ht="15" customHeight="1" x14ac:dyDescent="0.2">
      <c r="A532" t="str">
        <f>IF(Weekly_Inspections!$B532="","",Weekly_Inspections!$A532&amp;"-A1")</f>
        <v/>
      </c>
      <c r="B532" s="24">
        <f>Weekly_Inspections!$B532</f>
        <v>0</v>
      </c>
      <c r="C532">
        <f>Weekly_Inspections!$E532</f>
        <v>0</v>
      </c>
      <c r="D532">
        <f>Weekly_Inspections!$F532</f>
        <v>0</v>
      </c>
      <c r="E532" t="str">
        <f>Weekly_Inspections!$H532</f>
        <v/>
      </c>
      <c r="F532">
        <f>IF(Weekly_Inspections!$AX532&lt;&gt;"",Weekly_Inspections!$AX532,IF(Weekly_Inspections!$AY532&lt;&gt;"",Weekly_Inspections!$AY532,IF(Weekly_Inspections!$AZ532&lt;&gt;"",Weekly_Inspections!$AZ532,IF(Weekly_Inspections!$BA532&lt;&gt;"",Weekly_Inspections!$BA532,IF(Weekly_Inspections!$BB532&lt;&gt;"",Weekly_Inspections!$BB532,Weekly_Inspections!$R532)))))</f>
        <v>0</v>
      </c>
      <c r="G532" t="str">
        <f>IF(OR(Weekly_Inspections!$AQ532&lt;&gt;"",Weekly_Inspections!$AR532&lt;&gt;"",Weekly_Inspections!$AS532&lt;&gt;""),Weekly_Inspections!$AQ532,"")</f>
        <v/>
      </c>
      <c r="H532">
        <f>Weekly_Inspections!$AP532</f>
        <v>0</v>
      </c>
      <c r="I532">
        <f>Weekly_Inspections!$AR532</f>
        <v>0</v>
      </c>
      <c r="J532">
        <f>Weekly_Inspections!$AS532</f>
        <v>0</v>
      </c>
      <c r="K532">
        <f>Weekly_Inspections!$AU532</f>
        <v>0</v>
      </c>
      <c r="L532" s="24">
        <f>Weekly_Inspections!$AV532</f>
        <v>0</v>
      </c>
      <c r="M532" t="str">
        <f t="shared" si="24"/>
        <v>Open</v>
      </c>
      <c r="N532" s="24"/>
      <c r="O532">
        <f t="shared" ca="1" si="25"/>
        <v>46113</v>
      </c>
      <c r="P532" t="str">
        <f t="shared" ca="1" si="26"/>
        <v>YES</v>
      </c>
      <c r="Q532">
        <f>Weekly_Inspections!$AW532</f>
        <v>0</v>
      </c>
    </row>
    <row r="533" spans="1:17" ht="15" customHeight="1" x14ac:dyDescent="0.2">
      <c r="A533" t="str">
        <f>IF(Weekly_Inspections!$B533="","",Weekly_Inspections!$A533&amp;"-A1")</f>
        <v/>
      </c>
      <c r="B533" s="24">
        <f>Weekly_Inspections!$B533</f>
        <v>0</v>
      </c>
      <c r="C533">
        <f>Weekly_Inspections!$E533</f>
        <v>0</v>
      </c>
      <c r="D533">
        <f>Weekly_Inspections!$F533</f>
        <v>0</v>
      </c>
      <c r="E533" t="str">
        <f>Weekly_Inspections!$H533</f>
        <v/>
      </c>
      <c r="F533">
        <f>IF(Weekly_Inspections!$AX533&lt;&gt;"",Weekly_Inspections!$AX533,IF(Weekly_Inspections!$AY533&lt;&gt;"",Weekly_Inspections!$AY533,IF(Weekly_Inspections!$AZ533&lt;&gt;"",Weekly_Inspections!$AZ533,IF(Weekly_Inspections!$BA533&lt;&gt;"",Weekly_Inspections!$BA533,IF(Weekly_Inspections!$BB533&lt;&gt;"",Weekly_Inspections!$BB533,Weekly_Inspections!$R533)))))</f>
        <v>0</v>
      </c>
      <c r="G533" t="str">
        <f>IF(OR(Weekly_Inspections!$AQ533&lt;&gt;"",Weekly_Inspections!$AR533&lt;&gt;"",Weekly_Inspections!$AS533&lt;&gt;""),Weekly_Inspections!$AQ533,"")</f>
        <v/>
      </c>
      <c r="H533">
        <f>Weekly_Inspections!$AP533</f>
        <v>0</v>
      </c>
      <c r="I533">
        <f>Weekly_Inspections!$AR533</f>
        <v>0</v>
      </c>
      <c r="J533">
        <f>Weekly_Inspections!$AS533</f>
        <v>0</v>
      </c>
      <c r="K533">
        <f>Weekly_Inspections!$AU533</f>
        <v>0</v>
      </c>
      <c r="L533" s="24">
        <f>Weekly_Inspections!$AV533</f>
        <v>0</v>
      </c>
      <c r="M533" t="str">
        <f t="shared" si="24"/>
        <v>Open</v>
      </c>
      <c r="N533" s="24"/>
      <c r="O533">
        <f t="shared" ca="1" si="25"/>
        <v>46113</v>
      </c>
      <c r="P533" t="str">
        <f t="shared" ca="1" si="26"/>
        <v>YES</v>
      </c>
      <c r="Q533">
        <f>Weekly_Inspections!$AW533</f>
        <v>0</v>
      </c>
    </row>
    <row r="534" spans="1:17" ht="15" customHeight="1" x14ac:dyDescent="0.2">
      <c r="A534" t="str">
        <f>IF(Weekly_Inspections!$B534="","",Weekly_Inspections!$A534&amp;"-A1")</f>
        <v/>
      </c>
      <c r="B534" s="24">
        <f>Weekly_Inspections!$B534</f>
        <v>0</v>
      </c>
      <c r="C534">
        <f>Weekly_Inspections!$E534</f>
        <v>0</v>
      </c>
      <c r="D534">
        <f>Weekly_Inspections!$F534</f>
        <v>0</v>
      </c>
      <c r="E534" t="str">
        <f>Weekly_Inspections!$H534</f>
        <v/>
      </c>
      <c r="F534">
        <f>IF(Weekly_Inspections!$AX534&lt;&gt;"",Weekly_Inspections!$AX534,IF(Weekly_Inspections!$AY534&lt;&gt;"",Weekly_Inspections!$AY534,IF(Weekly_Inspections!$AZ534&lt;&gt;"",Weekly_Inspections!$AZ534,IF(Weekly_Inspections!$BA534&lt;&gt;"",Weekly_Inspections!$BA534,IF(Weekly_Inspections!$BB534&lt;&gt;"",Weekly_Inspections!$BB534,Weekly_Inspections!$R534)))))</f>
        <v>0</v>
      </c>
      <c r="G534" t="str">
        <f>IF(OR(Weekly_Inspections!$AQ534&lt;&gt;"",Weekly_Inspections!$AR534&lt;&gt;"",Weekly_Inspections!$AS534&lt;&gt;""),Weekly_Inspections!$AQ534,"")</f>
        <v/>
      </c>
      <c r="H534">
        <f>Weekly_Inspections!$AP534</f>
        <v>0</v>
      </c>
      <c r="I534">
        <f>Weekly_Inspections!$AR534</f>
        <v>0</v>
      </c>
      <c r="J534">
        <f>Weekly_Inspections!$AS534</f>
        <v>0</v>
      </c>
      <c r="K534">
        <f>Weekly_Inspections!$AU534</f>
        <v>0</v>
      </c>
      <c r="L534" s="24">
        <f>Weekly_Inspections!$AV534</f>
        <v>0</v>
      </c>
      <c r="M534" t="str">
        <f t="shared" si="24"/>
        <v>Open</v>
      </c>
      <c r="N534" s="24"/>
      <c r="O534">
        <f t="shared" ca="1" si="25"/>
        <v>46113</v>
      </c>
      <c r="P534" t="str">
        <f t="shared" ca="1" si="26"/>
        <v>YES</v>
      </c>
      <c r="Q534">
        <f>Weekly_Inspections!$AW534</f>
        <v>0</v>
      </c>
    </row>
    <row r="535" spans="1:17" ht="15" customHeight="1" x14ac:dyDescent="0.2">
      <c r="A535" t="str">
        <f>IF(Weekly_Inspections!$B535="","",Weekly_Inspections!$A535&amp;"-A1")</f>
        <v/>
      </c>
      <c r="B535" s="24">
        <f>Weekly_Inspections!$B535</f>
        <v>0</v>
      </c>
      <c r="C535">
        <f>Weekly_Inspections!$E535</f>
        <v>0</v>
      </c>
      <c r="D535">
        <f>Weekly_Inspections!$F535</f>
        <v>0</v>
      </c>
      <c r="E535" t="str">
        <f>Weekly_Inspections!$H535</f>
        <v/>
      </c>
      <c r="F535">
        <f>IF(Weekly_Inspections!$AX535&lt;&gt;"",Weekly_Inspections!$AX535,IF(Weekly_Inspections!$AY535&lt;&gt;"",Weekly_Inspections!$AY535,IF(Weekly_Inspections!$AZ535&lt;&gt;"",Weekly_Inspections!$AZ535,IF(Weekly_Inspections!$BA535&lt;&gt;"",Weekly_Inspections!$BA535,IF(Weekly_Inspections!$BB535&lt;&gt;"",Weekly_Inspections!$BB535,Weekly_Inspections!$R535)))))</f>
        <v>0</v>
      </c>
      <c r="G535" t="str">
        <f>IF(OR(Weekly_Inspections!$AQ535&lt;&gt;"",Weekly_Inspections!$AR535&lt;&gt;"",Weekly_Inspections!$AS535&lt;&gt;""),Weekly_Inspections!$AQ535,"")</f>
        <v/>
      </c>
      <c r="H535">
        <f>Weekly_Inspections!$AP535</f>
        <v>0</v>
      </c>
      <c r="I535">
        <f>Weekly_Inspections!$AR535</f>
        <v>0</v>
      </c>
      <c r="J535">
        <f>Weekly_Inspections!$AS535</f>
        <v>0</v>
      </c>
      <c r="K535">
        <f>Weekly_Inspections!$AU535</f>
        <v>0</v>
      </c>
      <c r="L535" s="24">
        <f>Weekly_Inspections!$AV535</f>
        <v>0</v>
      </c>
      <c r="M535" t="str">
        <f t="shared" si="24"/>
        <v>Open</v>
      </c>
      <c r="N535" s="24"/>
      <c r="O535">
        <f t="shared" ca="1" si="25"/>
        <v>46113</v>
      </c>
      <c r="P535" t="str">
        <f t="shared" ca="1" si="26"/>
        <v>YES</v>
      </c>
      <c r="Q535">
        <f>Weekly_Inspections!$AW535</f>
        <v>0</v>
      </c>
    </row>
    <row r="536" spans="1:17" ht="15" customHeight="1" x14ac:dyDescent="0.2">
      <c r="A536" t="str">
        <f>IF(Weekly_Inspections!$B536="","",Weekly_Inspections!$A536&amp;"-A1")</f>
        <v/>
      </c>
      <c r="B536" s="24">
        <f>Weekly_Inspections!$B536</f>
        <v>0</v>
      </c>
      <c r="C536">
        <f>Weekly_Inspections!$E536</f>
        <v>0</v>
      </c>
      <c r="D536">
        <f>Weekly_Inspections!$F536</f>
        <v>0</v>
      </c>
      <c r="E536" t="str">
        <f>Weekly_Inspections!$H536</f>
        <v/>
      </c>
      <c r="F536">
        <f>IF(Weekly_Inspections!$AX536&lt;&gt;"",Weekly_Inspections!$AX536,IF(Weekly_Inspections!$AY536&lt;&gt;"",Weekly_Inspections!$AY536,IF(Weekly_Inspections!$AZ536&lt;&gt;"",Weekly_Inspections!$AZ536,IF(Weekly_Inspections!$BA536&lt;&gt;"",Weekly_Inspections!$BA536,IF(Weekly_Inspections!$BB536&lt;&gt;"",Weekly_Inspections!$BB536,Weekly_Inspections!$R536)))))</f>
        <v>0</v>
      </c>
      <c r="G536" t="str">
        <f>IF(OR(Weekly_Inspections!$AQ536&lt;&gt;"",Weekly_Inspections!$AR536&lt;&gt;"",Weekly_Inspections!$AS536&lt;&gt;""),Weekly_Inspections!$AQ536,"")</f>
        <v/>
      </c>
      <c r="H536">
        <f>Weekly_Inspections!$AP536</f>
        <v>0</v>
      </c>
      <c r="I536">
        <f>Weekly_Inspections!$AR536</f>
        <v>0</v>
      </c>
      <c r="J536">
        <f>Weekly_Inspections!$AS536</f>
        <v>0</v>
      </c>
      <c r="K536">
        <f>Weekly_Inspections!$AU536</f>
        <v>0</v>
      </c>
      <c r="L536" s="24">
        <f>Weekly_Inspections!$AV536</f>
        <v>0</v>
      </c>
      <c r="M536" t="str">
        <f t="shared" si="24"/>
        <v>Open</v>
      </c>
      <c r="N536" s="24"/>
      <c r="O536">
        <f t="shared" ca="1" si="25"/>
        <v>46113</v>
      </c>
      <c r="P536" t="str">
        <f t="shared" ca="1" si="26"/>
        <v>YES</v>
      </c>
      <c r="Q536">
        <f>Weekly_Inspections!$AW536</f>
        <v>0</v>
      </c>
    </row>
    <row r="537" spans="1:17" ht="15" customHeight="1" x14ac:dyDescent="0.2">
      <c r="A537" t="str">
        <f>IF(Weekly_Inspections!$B537="","",Weekly_Inspections!$A537&amp;"-A1")</f>
        <v/>
      </c>
      <c r="B537" s="24">
        <f>Weekly_Inspections!$B537</f>
        <v>0</v>
      </c>
      <c r="C537">
        <f>Weekly_Inspections!$E537</f>
        <v>0</v>
      </c>
      <c r="D537">
        <f>Weekly_Inspections!$F537</f>
        <v>0</v>
      </c>
      <c r="E537" t="str">
        <f>Weekly_Inspections!$H537</f>
        <v/>
      </c>
      <c r="F537">
        <f>IF(Weekly_Inspections!$AX537&lt;&gt;"",Weekly_Inspections!$AX537,IF(Weekly_Inspections!$AY537&lt;&gt;"",Weekly_Inspections!$AY537,IF(Weekly_Inspections!$AZ537&lt;&gt;"",Weekly_Inspections!$AZ537,IF(Weekly_Inspections!$BA537&lt;&gt;"",Weekly_Inspections!$BA537,IF(Weekly_Inspections!$BB537&lt;&gt;"",Weekly_Inspections!$BB537,Weekly_Inspections!$R537)))))</f>
        <v>0</v>
      </c>
      <c r="G537" t="str">
        <f>IF(OR(Weekly_Inspections!$AQ537&lt;&gt;"",Weekly_Inspections!$AR537&lt;&gt;"",Weekly_Inspections!$AS537&lt;&gt;""),Weekly_Inspections!$AQ537,"")</f>
        <v/>
      </c>
      <c r="H537">
        <f>Weekly_Inspections!$AP537</f>
        <v>0</v>
      </c>
      <c r="I537">
        <f>Weekly_Inspections!$AR537</f>
        <v>0</v>
      </c>
      <c r="J537">
        <f>Weekly_Inspections!$AS537</f>
        <v>0</v>
      </c>
      <c r="K537">
        <f>Weekly_Inspections!$AU537</f>
        <v>0</v>
      </c>
      <c r="L537" s="24">
        <f>Weekly_Inspections!$AV537</f>
        <v>0</v>
      </c>
      <c r="M537" t="str">
        <f t="shared" si="24"/>
        <v>Open</v>
      </c>
      <c r="N537" s="24"/>
      <c r="O537">
        <f t="shared" ca="1" si="25"/>
        <v>46113</v>
      </c>
      <c r="P537" t="str">
        <f t="shared" ca="1" si="26"/>
        <v>YES</v>
      </c>
      <c r="Q537">
        <f>Weekly_Inspections!$AW537</f>
        <v>0</v>
      </c>
    </row>
    <row r="538" spans="1:17" ht="15" customHeight="1" x14ac:dyDescent="0.2">
      <c r="A538" t="str">
        <f>IF(Weekly_Inspections!$B538="","",Weekly_Inspections!$A538&amp;"-A1")</f>
        <v/>
      </c>
      <c r="B538" s="24">
        <f>Weekly_Inspections!$B538</f>
        <v>0</v>
      </c>
      <c r="C538">
        <f>Weekly_Inspections!$E538</f>
        <v>0</v>
      </c>
      <c r="D538">
        <f>Weekly_Inspections!$F538</f>
        <v>0</v>
      </c>
      <c r="E538" t="str">
        <f>Weekly_Inspections!$H538</f>
        <v/>
      </c>
      <c r="F538">
        <f>IF(Weekly_Inspections!$AX538&lt;&gt;"",Weekly_Inspections!$AX538,IF(Weekly_Inspections!$AY538&lt;&gt;"",Weekly_Inspections!$AY538,IF(Weekly_Inspections!$AZ538&lt;&gt;"",Weekly_Inspections!$AZ538,IF(Weekly_Inspections!$BA538&lt;&gt;"",Weekly_Inspections!$BA538,IF(Weekly_Inspections!$BB538&lt;&gt;"",Weekly_Inspections!$BB538,Weekly_Inspections!$R538)))))</f>
        <v>0</v>
      </c>
      <c r="G538" t="str">
        <f>IF(OR(Weekly_Inspections!$AQ538&lt;&gt;"",Weekly_Inspections!$AR538&lt;&gt;"",Weekly_Inspections!$AS538&lt;&gt;""),Weekly_Inspections!$AQ538,"")</f>
        <v/>
      </c>
      <c r="H538">
        <f>Weekly_Inspections!$AP538</f>
        <v>0</v>
      </c>
      <c r="I538">
        <f>Weekly_Inspections!$AR538</f>
        <v>0</v>
      </c>
      <c r="J538">
        <f>Weekly_Inspections!$AS538</f>
        <v>0</v>
      </c>
      <c r="K538">
        <f>Weekly_Inspections!$AU538</f>
        <v>0</v>
      </c>
      <c r="L538" s="24">
        <f>Weekly_Inspections!$AV538</f>
        <v>0</v>
      </c>
      <c r="M538" t="str">
        <f t="shared" si="24"/>
        <v>Open</v>
      </c>
      <c r="N538" s="24"/>
      <c r="O538">
        <f t="shared" ca="1" si="25"/>
        <v>46113</v>
      </c>
      <c r="P538" t="str">
        <f t="shared" ca="1" si="26"/>
        <v>YES</v>
      </c>
      <c r="Q538">
        <f>Weekly_Inspections!$AW538</f>
        <v>0</v>
      </c>
    </row>
    <row r="539" spans="1:17" ht="15" customHeight="1" x14ac:dyDescent="0.2">
      <c r="A539" t="str">
        <f>IF(Weekly_Inspections!$B539="","",Weekly_Inspections!$A539&amp;"-A1")</f>
        <v/>
      </c>
      <c r="B539" s="24">
        <f>Weekly_Inspections!$B539</f>
        <v>0</v>
      </c>
      <c r="C539">
        <f>Weekly_Inspections!$E539</f>
        <v>0</v>
      </c>
      <c r="D539">
        <f>Weekly_Inspections!$F539</f>
        <v>0</v>
      </c>
      <c r="E539" t="str">
        <f>Weekly_Inspections!$H539</f>
        <v/>
      </c>
      <c r="F539">
        <f>IF(Weekly_Inspections!$AX539&lt;&gt;"",Weekly_Inspections!$AX539,IF(Weekly_Inspections!$AY539&lt;&gt;"",Weekly_Inspections!$AY539,IF(Weekly_Inspections!$AZ539&lt;&gt;"",Weekly_Inspections!$AZ539,IF(Weekly_Inspections!$BA539&lt;&gt;"",Weekly_Inspections!$BA539,IF(Weekly_Inspections!$BB539&lt;&gt;"",Weekly_Inspections!$BB539,Weekly_Inspections!$R539)))))</f>
        <v>0</v>
      </c>
      <c r="G539" t="str">
        <f>IF(OR(Weekly_Inspections!$AQ539&lt;&gt;"",Weekly_Inspections!$AR539&lt;&gt;"",Weekly_Inspections!$AS539&lt;&gt;""),Weekly_Inspections!$AQ539,"")</f>
        <v/>
      </c>
      <c r="H539">
        <f>Weekly_Inspections!$AP539</f>
        <v>0</v>
      </c>
      <c r="I539">
        <f>Weekly_Inspections!$AR539</f>
        <v>0</v>
      </c>
      <c r="J539">
        <f>Weekly_Inspections!$AS539</f>
        <v>0</v>
      </c>
      <c r="K539">
        <f>Weekly_Inspections!$AU539</f>
        <v>0</v>
      </c>
      <c r="L539" s="24">
        <f>Weekly_Inspections!$AV539</f>
        <v>0</v>
      </c>
      <c r="M539" t="str">
        <f t="shared" si="24"/>
        <v>Open</v>
      </c>
      <c r="N539" s="24"/>
      <c r="O539">
        <f t="shared" ca="1" si="25"/>
        <v>46113</v>
      </c>
      <c r="P539" t="str">
        <f t="shared" ca="1" si="26"/>
        <v>YES</v>
      </c>
      <c r="Q539">
        <f>Weekly_Inspections!$AW539</f>
        <v>0</v>
      </c>
    </row>
    <row r="540" spans="1:17" ht="15" customHeight="1" x14ac:dyDescent="0.2">
      <c r="A540" t="str">
        <f>IF(Weekly_Inspections!$B540="","",Weekly_Inspections!$A540&amp;"-A1")</f>
        <v/>
      </c>
      <c r="B540" s="24">
        <f>Weekly_Inspections!$B540</f>
        <v>0</v>
      </c>
      <c r="C540">
        <f>Weekly_Inspections!$E540</f>
        <v>0</v>
      </c>
      <c r="D540">
        <f>Weekly_Inspections!$F540</f>
        <v>0</v>
      </c>
      <c r="E540" t="str">
        <f>Weekly_Inspections!$H540</f>
        <v/>
      </c>
      <c r="F540">
        <f>IF(Weekly_Inspections!$AX540&lt;&gt;"",Weekly_Inspections!$AX540,IF(Weekly_Inspections!$AY540&lt;&gt;"",Weekly_Inspections!$AY540,IF(Weekly_Inspections!$AZ540&lt;&gt;"",Weekly_Inspections!$AZ540,IF(Weekly_Inspections!$BA540&lt;&gt;"",Weekly_Inspections!$BA540,IF(Weekly_Inspections!$BB540&lt;&gt;"",Weekly_Inspections!$BB540,Weekly_Inspections!$R540)))))</f>
        <v>0</v>
      </c>
      <c r="G540" t="str">
        <f>IF(OR(Weekly_Inspections!$AQ540&lt;&gt;"",Weekly_Inspections!$AR540&lt;&gt;"",Weekly_Inspections!$AS540&lt;&gt;""),Weekly_Inspections!$AQ540,"")</f>
        <v/>
      </c>
      <c r="H540">
        <f>Weekly_Inspections!$AP540</f>
        <v>0</v>
      </c>
      <c r="I540">
        <f>Weekly_Inspections!$AR540</f>
        <v>0</v>
      </c>
      <c r="J540">
        <f>Weekly_Inspections!$AS540</f>
        <v>0</v>
      </c>
      <c r="K540">
        <f>Weekly_Inspections!$AU540</f>
        <v>0</v>
      </c>
      <c r="L540" s="24">
        <f>Weekly_Inspections!$AV540</f>
        <v>0</v>
      </c>
      <c r="M540" t="str">
        <f t="shared" si="24"/>
        <v>Open</v>
      </c>
      <c r="N540" s="24"/>
      <c r="O540">
        <f t="shared" ca="1" si="25"/>
        <v>46113</v>
      </c>
      <c r="P540" t="str">
        <f t="shared" ca="1" si="26"/>
        <v>YES</v>
      </c>
      <c r="Q540">
        <f>Weekly_Inspections!$AW540</f>
        <v>0</v>
      </c>
    </row>
    <row r="541" spans="1:17" ht="15" customHeight="1" x14ac:dyDescent="0.2">
      <c r="A541" t="str">
        <f>IF(Weekly_Inspections!$B541="","",Weekly_Inspections!$A541&amp;"-A1")</f>
        <v/>
      </c>
      <c r="B541" s="24">
        <f>Weekly_Inspections!$B541</f>
        <v>0</v>
      </c>
      <c r="C541">
        <f>Weekly_Inspections!$E541</f>
        <v>0</v>
      </c>
      <c r="D541">
        <f>Weekly_Inspections!$F541</f>
        <v>0</v>
      </c>
      <c r="E541" t="str">
        <f>Weekly_Inspections!$H541</f>
        <v/>
      </c>
      <c r="F541">
        <f>IF(Weekly_Inspections!$AX541&lt;&gt;"",Weekly_Inspections!$AX541,IF(Weekly_Inspections!$AY541&lt;&gt;"",Weekly_Inspections!$AY541,IF(Weekly_Inspections!$AZ541&lt;&gt;"",Weekly_Inspections!$AZ541,IF(Weekly_Inspections!$BA541&lt;&gt;"",Weekly_Inspections!$BA541,IF(Weekly_Inspections!$BB541&lt;&gt;"",Weekly_Inspections!$BB541,Weekly_Inspections!$R541)))))</f>
        <v>0</v>
      </c>
      <c r="G541" t="str">
        <f>IF(OR(Weekly_Inspections!$AQ541&lt;&gt;"",Weekly_Inspections!$AR541&lt;&gt;"",Weekly_Inspections!$AS541&lt;&gt;""),Weekly_Inspections!$AQ541,"")</f>
        <v/>
      </c>
      <c r="H541">
        <f>Weekly_Inspections!$AP541</f>
        <v>0</v>
      </c>
      <c r="I541">
        <f>Weekly_Inspections!$AR541</f>
        <v>0</v>
      </c>
      <c r="J541">
        <f>Weekly_Inspections!$AS541</f>
        <v>0</v>
      </c>
      <c r="K541">
        <f>Weekly_Inspections!$AU541</f>
        <v>0</v>
      </c>
      <c r="L541" s="24">
        <f>Weekly_Inspections!$AV541</f>
        <v>0</v>
      </c>
      <c r="M541" t="str">
        <f t="shared" si="24"/>
        <v>Open</v>
      </c>
      <c r="N541" s="24"/>
      <c r="O541">
        <f t="shared" ca="1" si="25"/>
        <v>46113</v>
      </c>
      <c r="P541" t="str">
        <f t="shared" ca="1" si="26"/>
        <v>YES</v>
      </c>
      <c r="Q541">
        <f>Weekly_Inspections!$AW541</f>
        <v>0</v>
      </c>
    </row>
    <row r="542" spans="1:17" ht="15" customHeight="1" x14ac:dyDescent="0.2">
      <c r="A542" t="str">
        <f>IF(Weekly_Inspections!$B542="","",Weekly_Inspections!$A542&amp;"-A1")</f>
        <v/>
      </c>
      <c r="B542" s="24">
        <f>Weekly_Inspections!$B542</f>
        <v>0</v>
      </c>
      <c r="C542">
        <f>Weekly_Inspections!$E542</f>
        <v>0</v>
      </c>
      <c r="D542">
        <f>Weekly_Inspections!$F542</f>
        <v>0</v>
      </c>
      <c r="E542" t="str">
        <f>Weekly_Inspections!$H542</f>
        <v/>
      </c>
      <c r="F542">
        <f>IF(Weekly_Inspections!$AX542&lt;&gt;"",Weekly_Inspections!$AX542,IF(Weekly_Inspections!$AY542&lt;&gt;"",Weekly_Inspections!$AY542,IF(Weekly_Inspections!$AZ542&lt;&gt;"",Weekly_Inspections!$AZ542,IF(Weekly_Inspections!$BA542&lt;&gt;"",Weekly_Inspections!$BA542,IF(Weekly_Inspections!$BB542&lt;&gt;"",Weekly_Inspections!$BB542,Weekly_Inspections!$R542)))))</f>
        <v>0</v>
      </c>
      <c r="G542" t="str">
        <f>IF(OR(Weekly_Inspections!$AQ542&lt;&gt;"",Weekly_Inspections!$AR542&lt;&gt;"",Weekly_Inspections!$AS542&lt;&gt;""),Weekly_Inspections!$AQ542,"")</f>
        <v/>
      </c>
      <c r="H542">
        <f>Weekly_Inspections!$AP542</f>
        <v>0</v>
      </c>
      <c r="I542">
        <f>Weekly_Inspections!$AR542</f>
        <v>0</v>
      </c>
      <c r="J542">
        <f>Weekly_Inspections!$AS542</f>
        <v>0</v>
      </c>
      <c r="K542">
        <f>Weekly_Inspections!$AU542</f>
        <v>0</v>
      </c>
      <c r="L542" s="24">
        <f>Weekly_Inspections!$AV542</f>
        <v>0</v>
      </c>
      <c r="M542" t="str">
        <f t="shared" si="24"/>
        <v>Open</v>
      </c>
      <c r="N542" s="24"/>
      <c r="O542">
        <f t="shared" ca="1" si="25"/>
        <v>46113</v>
      </c>
      <c r="P542" t="str">
        <f t="shared" ca="1" si="26"/>
        <v>YES</v>
      </c>
      <c r="Q542">
        <f>Weekly_Inspections!$AW542</f>
        <v>0</v>
      </c>
    </row>
    <row r="543" spans="1:17" ht="15" customHeight="1" x14ac:dyDescent="0.2">
      <c r="A543" t="str">
        <f>IF(Weekly_Inspections!$B543="","",Weekly_Inspections!$A543&amp;"-A1")</f>
        <v/>
      </c>
      <c r="B543" s="24">
        <f>Weekly_Inspections!$B543</f>
        <v>0</v>
      </c>
      <c r="C543">
        <f>Weekly_Inspections!$E543</f>
        <v>0</v>
      </c>
      <c r="D543">
        <f>Weekly_Inspections!$F543</f>
        <v>0</v>
      </c>
      <c r="E543" t="str">
        <f>Weekly_Inspections!$H543</f>
        <v/>
      </c>
      <c r="F543">
        <f>IF(Weekly_Inspections!$AX543&lt;&gt;"",Weekly_Inspections!$AX543,IF(Weekly_Inspections!$AY543&lt;&gt;"",Weekly_Inspections!$AY543,IF(Weekly_Inspections!$AZ543&lt;&gt;"",Weekly_Inspections!$AZ543,IF(Weekly_Inspections!$BA543&lt;&gt;"",Weekly_Inspections!$BA543,IF(Weekly_Inspections!$BB543&lt;&gt;"",Weekly_Inspections!$BB543,Weekly_Inspections!$R543)))))</f>
        <v>0</v>
      </c>
      <c r="G543" t="str">
        <f>IF(OR(Weekly_Inspections!$AQ543&lt;&gt;"",Weekly_Inspections!$AR543&lt;&gt;"",Weekly_Inspections!$AS543&lt;&gt;""),Weekly_Inspections!$AQ543,"")</f>
        <v/>
      </c>
      <c r="H543">
        <f>Weekly_Inspections!$AP543</f>
        <v>0</v>
      </c>
      <c r="I543">
        <f>Weekly_Inspections!$AR543</f>
        <v>0</v>
      </c>
      <c r="J543">
        <f>Weekly_Inspections!$AS543</f>
        <v>0</v>
      </c>
      <c r="K543">
        <f>Weekly_Inspections!$AU543</f>
        <v>0</v>
      </c>
      <c r="L543" s="24">
        <f>Weekly_Inspections!$AV543</f>
        <v>0</v>
      </c>
      <c r="M543" t="str">
        <f t="shared" si="24"/>
        <v>Open</v>
      </c>
      <c r="N543" s="24"/>
      <c r="O543">
        <f t="shared" ca="1" si="25"/>
        <v>46113</v>
      </c>
      <c r="P543" t="str">
        <f t="shared" ca="1" si="26"/>
        <v>YES</v>
      </c>
      <c r="Q543">
        <f>Weekly_Inspections!$AW543</f>
        <v>0</v>
      </c>
    </row>
    <row r="544" spans="1:17" ht="15" customHeight="1" x14ac:dyDescent="0.2">
      <c r="A544" t="str">
        <f>IF(Weekly_Inspections!$B544="","",Weekly_Inspections!$A544&amp;"-A1")</f>
        <v/>
      </c>
      <c r="B544" s="24">
        <f>Weekly_Inspections!$B544</f>
        <v>0</v>
      </c>
      <c r="C544">
        <f>Weekly_Inspections!$E544</f>
        <v>0</v>
      </c>
      <c r="D544">
        <f>Weekly_Inspections!$F544</f>
        <v>0</v>
      </c>
      <c r="E544" t="str">
        <f>Weekly_Inspections!$H544</f>
        <v/>
      </c>
      <c r="F544">
        <f>IF(Weekly_Inspections!$AX544&lt;&gt;"",Weekly_Inspections!$AX544,IF(Weekly_Inspections!$AY544&lt;&gt;"",Weekly_Inspections!$AY544,IF(Weekly_Inspections!$AZ544&lt;&gt;"",Weekly_Inspections!$AZ544,IF(Weekly_Inspections!$BA544&lt;&gt;"",Weekly_Inspections!$BA544,IF(Weekly_Inspections!$BB544&lt;&gt;"",Weekly_Inspections!$BB544,Weekly_Inspections!$R544)))))</f>
        <v>0</v>
      </c>
      <c r="G544" t="str">
        <f>IF(OR(Weekly_Inspections!$AQ544&lt;&gt;"",Weekly_Inspections!$AR544&lt;&gt;"",Weekly_Inspections!$AS544&lt;&gt;""),Weekly_Inspections!$AQ544,"")</f>
        <v/>
      </c>
      <c r="H544">
        <f>Weekly_Inspections!$AP544</f>
        <v>0</v>
      </c>
      <c r="I544">
        <f>Weekly_Inspections!$AR544</f>
        <v>0</v>
      </c>
      <c r="J544">
        <f>Weekly_Inspections!$AS544</f>
        <v>0</v>
      </c>
      <c r="K544">
        <f>Weekly_Inspections!$AU544</f>
        <v>0</v>
      </c>
      <c r="L544" s="24">
        <f>Weekly_Inspections!$AV544</f>
        <v>0</v>
      </c>
      <c r="M544" t="str">
        <f t="shared" si="24"/>
        <v>Open</v>
      </c>
      <c r="N544" s="24"/>
      <c r="O544">
        <f t="shared" ca="1" si="25"/>
        <v>46113</v>
      </c>
      <c r="P544" t="str">
        <f t="shared" ca="1" si="26"/>
        <v>YES</v>
      </c>
      <c r="Q544">
        <f>Weekly_Inspections!$AW544</f>
        <v>0</v>
      </c>
    </row>
    <row r="545" spans="1:17" ht="15" customHeight="1" x14ac:dyDescent="0.2">
      <c r="A545" t="str">
        <f>IF(Weekly_Inspections!$B545="","",Weekly_Inspections!$A545&amp;"-A1")</f>
        <v/>
      </c>
      <c r="B545" s="24">
        <f>Weekly_Inspections!$B545</f>
        <v>0</v>
      </c>
      <c r="C545">
        <f>Weekly_Inspections!$E545</f>
        <v>0</v>
      </c>
      <c r="D545">
        <f>Weekly_Inspections!$F545</f>
        <v>0</v>
      </c>
      <c r="E545" t="str">
        <f>Weekly_Inspections!$H545</f>
        <v/>
      </c>
      <c r="F545">
        <f>IF(Weekly_Inspections!$AX545&lt;&gt;"",Weekly_Inspections!$AX545,IF(Weekly_Inspections!$AY545&lt;&gt;"",Weekly_Inspections!$AY545,IF(Weekly_Inspections!$AZ545&lt;&gt;"",Weekly_Inspections!$AZ545,IF(Weekly_Inspections!$BA545&lt;&gt;"",Weekly_Inspections!$BA545,IF(Weekly_Inspections!$BB545&lt;&gt;"",Weekly_Inspections!$BB545,Weekly_Inspections!$R545)))))</f>
        <v>0</v>
      </c>
      <c r="G545" t="str">
        <f>IF(OR(Weekly_Inspections!$AQ545&lt;&gt;"",Weekly_Inspections!$AR545&lt;&gt;"",Weekly_Inspections!$AS545&lt;&gt;""),Weekly_Inspections!$AQ545,"")</f>
        <v/>
      </c>
      <c r="H545">
        <f>Weekly_Inspections!$AP545</f>
        <v>0</v>
      </c>
      <c r="I545">
        <f>Weekly_Inspections!$AR545</f>
        <v>0</v>
      </c>
      <c r="J545">
        <f>Weekly_Inspections!$AS545</f>
        <v>0</v>
      </c>
      <c r="K545">
        <f>Weekly_Inspections!$AU545</f>
        <v>0</v>
      </c>
      <c r="L545" s="24">
        <f>Weekly_Inspections!$AV545</f>
        <v>0</v>
      </c>
      <c r="M545" t="str">
        <f t="shared" si="24"/>
        <v>Open</v>
      </c>
      <c r="N545" s="24"/>
      <c r="O545">
        <f t="shared" ca="1" si="25"/>
        <v>46113</v>
      </c>
      <c r="P545" t="str">
        <f t="shared" ca="1" si="26"/>
        <v>YES</v>
      </c>
      <c r="Q545">
        <f>Weekly_Inspections!$AW545</f>
        <v>0</v>
      </c>
    </row>
    <row r="546" spans="1:17" ht="15" customHeight="1" x14ac:dyDescent="0.2">
      <c r="A546" t="str">
        <f>IF(Weekly_Inspections!$B546="","",Weekly_Inspections!$A546&amp;"-A1")</f>
        <v/>
      </c>
      <c r="B546" s="24">
        <f>Weekly_Inspections!$B546</f>
        <v>0</v>
      </c>
      <c r="C546">
        <f>Weekly_Inspections!$E546</f>
        <v>0</v>
      </c>
      <c r="D546">
        <f>Weekly_Inspections!$F546</f>
        <v>0</v>
      </c>
      <c r="E546" t="str">
        <f>Weekly_Inspections!$H546</f>
        <v/>
      </c>
      <c r="F546">
        <f>IF(Weekly_Inspections!$AX546&lt;&gt;"",Weekly_Inspections!$AX546,IF(Weekly_Inspections!$AY546&lt;&gt;"",Weekly_Inspections!$AY546,IF(Weekly_Inspections!$AZ546&lt;&gt;"",Weekly_Inspections!$AZ546,IF(Weekly_Inspections!$BA546&lt;&gt;"",Weekly_Inspections!$BA546,IF(Weekly_Inspections!$BB546&lt;&gt;"",Weekly_Inspections!$BB546,Weekly_Inspections!$R546)))))</f>
        <v>0</v>
      </c>
      <c r="G546" t="str">
        <f>IF(OR(Weekly_Inspections!$AQ546&lt;&gt;"",Weekly_Inspections!$AR546&lt;&gt;"",Weekly_Inspections!$AS546&lt;&gt;""),Weekly_Inspections!$AQ546,"")</f>
        <v/>
      </c>
      <c r="H546">
        <f>Weekly_Inspections!$AP546</f>
        <v>0</v>
      </c>
      <c r="I546">
        <f>Weekly_Inspections!$AR546</f>
        <v>0</v>
      </c>
      <c r="J546">
        <f>Weekly_Inspections!$AS546</f>
        <v>0</v>
      </c>
      <c r="K546">
        <f>Weekly_Inspections!$AU546</f>
        <v>0</v>
      </c>
      <c r="L546" s="24">
        <f>Weekly_Inspections!$AV546</f>
        <v>0</v>
      </c>
      <c r="M546" t="str">
        <f t="shared" si="24"/>
        <v>Open</v>
      </c>
      <c r="N546" s="24"/>
      <c r="O546">
        <f t="shared" ca="1" si="25"/>
        <v>46113</v>
      </c>
      <c r="P546" t="str">
        <f t="shared" ca="1" si="26"/>
        <v>YES</v>
      </c>
      <c r="Q546">
        <f>Weekly_Inspections!$AW546</f>
        <v>0</v>
      </c>
    </row>
    <row r="547" spans="1:17" ht="15" customHeight="1" x14ac:dyDescent="0.2">
      <c r="A547" t="str">
        <f>IF(Weekly_Inspections!$B547="","",Weekly_Inspections!$A547&amp;"-A1")</f>
        <v/>
      </c>
      <c r="B547" s="24">
        <f>Weekly_Inspections!$B547</f>
        <v>0</v>
      </c>
      <c r="C547">
        <f>Weekly_Inspections!$E547</f>
        <v>0</v>
      </c>
      <c r="D547">
        <f>Weekly_Inspections!$F547</f>
        <v>0</v>
      </c>
      <c r="E547" t="str">
        <f>Weekly_Inspections!$H547</f>
        <v/>
      </c>
      <c r="F547">
        <f>IF(Weekly_Inspections!$AX547&lt;&gt;"",Weekly_Inspections!$AX547,IF(Weekly_Inspections!$AY547&lt;&gt;"",Weekly_Inspections!$AY547,IF(Weekly_Inspections!$AZ547&lt;&gt;"",Weekly_Inspections!$AZ547,IF(Weekly_Inspections!$BA547&lt;&gt;"",Weekly_Inspections!$BA547,IF(Weekly_Inspections!$BB547&lt;&gt;"",Weekly_Inspections!$BB547,Weekly_Inspections!$R547)))))</f>
        <v>0</v>
      </c>
      <c r="G547" t="str">
        <f>IF(OR(Weekly_Inspections!$AQ547&lt;&gt;"",Weekly_Inspections!$AR547&lt;&gt;"",Weekly_Inspections!$AS547&lt;&gt;""),Weekly_Inspections!$AQ547,"")</f>
        <v/>
      </c>
      <c r="H547">
        <f>Weekly_Inspections!$AP547</f>
        <v>0</v>
      </c>
      <c r="I547">
        <f>Weekly_Inspections!$AR547</f>
        <v>0</v>
      </c>
      <c r="J547">
        <f>Weekly_Inspections!$AS547</f>
        <v>0</v>
      </c>
      <c r="K547">
        <f>Weekly_Inspections!$AU547</f>
        <v>0</v>
      </c>
      <c r="L547" s="24">
        <f>Weekly_Inspections!$AV547</f>
        <v>0</v>
      </c>
      <c r="M547" t="str">
        <f t="shared" si="24"/>
        <v>Open</v>
      </c>
      <c r="N547" s="24"/>
      <c r="O547">
        <f t="shared" ca="1" si="25"/>
        <v>46113</v>
      </c>
      <c r="P547" t="str">
        <f t="shared" ca="1" si="26"/>
        <v>YES</v>
      </c>
      <c r="Q547">
        <f>Weekly_Inspections!$AW547</f>
        <v>0</v>
      </c>
    </row>
    <row r="548" spans="1:17" ht="15" customHeight="1" x14ac:dyDescent="0.2">
      <c r="A548" t="str">
        <f>IF(Weekly_Inspections!$B548="","",Weekly_Inspections!$A548&amp;"-A1")</f>
        <v/>
      </c>
      <c r="B548" s="24">
        <f>Weekly_Inspections!$B548</f>
        <v>0</v>
      </c>
      <c r="C548">
        <f>Weekly_Inspections!$E548</f>
        <v>0</v>
      </c>
      <c r="D548">
        <f>Weekly_Inspections!$F548</f>
        <v>0</v>
      </c>
      <c r="E548" t="str">
        <f>Weekly_Inspections!$H548</f>
        <v/>
      </c>
      <c r="F548">
        <f>IF(Weekly_Inspections!$AX548&lt;&gt;"",Weekly_Inspections!$AX548,IF(Weekly_Inspections!$AY548&lt;&gt;"",Weekly_Inspections!$AY548,IF(Weekly_Inspections!$AZ548&lt;&gt;"",Weekly_Inspections!$AZ548,IF(Weekly_Inspections!$BA548&lt;&gt;"",Weekly_Inspections!$BA548,IF(Weekly_Inspections!$BB548&lt;&gt;"",Weekly_Inspections!$BB548,Weekly_Inspections!$R548)))))</f>
        <v>0</v>
      </c>
      <c r="G548" t="str">
        <f>IF(OR(Weekly_Inspections!$AQ548&lt;&gt;"",Weekly_Inspections!$AR548&lt;&gt;"",Weekly_Inspections!$AS548&lt;&gt;""),Weekly_Inspections!$AQ548,"")</f>
        <v/>
      </c>
      <c r="H548">
        <f>Weekly_Inspections!$AP548</f>
        <v>0</v>
      </c>
      <c r="I548">
        <f>Weekly_Inspections!$AR548</f>
        <v>0</v>
      </c>
      <c r="J548">
        <f>Weekly_Inspections!$AS548</f>
        <v>0</v>
      </c>
      <c r="K548">
        <f>Weekly_Inspections!$AU548</f>
        <v>0</v>
      </c>
      <c r="L548" s="24">
        <f>Weekly_Inspections!$AV548</f>
        <v>0</v>
      </c>
      <c r="M548" t="str">
        <f t="shared" si="24"/>
        <v>Open</v>
      </c>
      <c r="N548" s="24"/>
      <c r="O548">
        <f t="shared" ca="1" si="25"/>
        <v>46113</v>
      </c>
      <c r="P548" t="str">
        <f t="shared" ca="1" si="26"/>
        <v>YES</v>
      </c>
      <c r="Q548">
        <f>Weekly_Inspections!$AW548</f>
        <v>0</v>
      </c>
    </row>
    <row r="549" spans="1:17" ht="15" customHeight="1" x14ac:dyDescent="0.2">
      <c r="A549" t="str">
        <f>IF(Weekly_Inspections!$B549="","",Weekly_Inspections!$A549&amp;"-A1")</f>
        <v/>
      </c>
      <c r="B549" s="24">
        <f>Weekly_Inspections!$B549</f>
        <v>0</v>
      </c>
      <c r="C549">
        <f>Weekly_Inspections!$E549</f>
        <v>0</v>
      </c>
      <c r="D549">
        <f>Weekly_Inspections!$F549</f>
        <v>0</v>
      </c>
      <c r="E549" t="str">
        <f>Weekly_Inspections!$H549</f>
        <v/>
      </c>
      <c r="F549">
        <f>IF(Weekly_Inspections!$AX549&lt;&gt;"",Weekly_Inspections!$AX549,IF(Weekly_Inspections!$AY549&lt;&gt;"",Weekly_Inspections!$AY549,IF(Weekly_Inspections!$AZ549&lt;&gt;"",Weekly_Inspections!$AZ549,IF(Weekly_Inspections!$BA549&lt;&gt;"",Weekly_Inspections!$BA549,IF(Weekly_Inspections!$BB549&lt;&gt;"",Weekly_Inspections!$BB549,Weekly_Inspections!$R549)))))</f>
        <v>0</v>
      </c>
      <c r="G549" t="str">
        <f>IF(OR(Weekly_Inspections!$AQ549&lt;&gt;"",Weekly_Inspections!$AR549&lt;&gt;"",Weekly_Inspections!$AS549&lt;&gt;""),Weekly_Inspections!$AQ549,"")</f>
        <v/>
      </c>
      <c r="H549">
        <f>Weekly_Inspections!$AP549</f>
        <v>0</v>
      </c>
      <c r="I549">
        <f>Weekly_Inspections!$AR549</f>
        <v>0</v>
      </c>
      <c r="J549">
        <f>Weekly_Inspections!$AS549</f>
        <v>0</v>
      </c>
      <c r="K549">
        <f>Weekly_Inspections!$AU549</f>
        <v>0</v>
      </c>
      <c r="L549" s="24">
        <f>Weekly_Inspections!$AV549</f>
        <v>0</v>
      </c>
      <c r="M549" t="str">
        <f t="shared" si="24"/>
        <v>Open</v>
      </c>
      <c r="N549" s="24"/>
      <c r="O549">
        <f t="shared" ca="1" si="25"/>
        <v>46113</v>
      </c>
      <c r="P549" t="str">
        <f t="shared" ca="1" si="26"/>
        <v>YES</v>
      </c>
      <c r="Q549">
        <f>Weekly_Inspections!$AW549</f>
        <v>0</v>
      </c>
    </row>
    <row r="550" spans="1:17" ht="15" customHeight="1" x14ac:dyDescent="0.2">
      <c r="A550" t="str">
        <f>IF(Weekly_Inspections!$B550="","",Weekly_Inspections!$A550&amp;"-A1")</f>
        <v/>
      </c>
      <c r="B550" s="24">
        <f>Weekly_Inspections!$B550</f>
        <v>0</v>
      </c>
      <c r="C550">
        <f>Weekly_Inspections!$E550</f>
        <v>0</v>
      </c>
      <c r="D550">
        <f>Weekly_Inspections!$F550</f>
        <v>0</v>
      </c>
      <c r="E550" t="str">
        <f>Weekly_Inspections!$H550</f>
        <v/>
      </c>
      <c r="F550">
        <f>IF(Weekly_Inspections!$AX550&lt;&gt;"",Weekly_Inspections!$AX550,IF(Weekly_Inspections!$AY550&lt;&gt;"",Weekly_Inspections!$AY550,IF(Weekly_Inspections!$AZ550&lt;&gt;"",Weekly_Inspections!$AZ550,IF(Weekly_Inspections!$BA550&lt;&gt;"",Weekly_Inspections!$BA550,IF(Weekly_Inspections!$BB550&lt;&gt;"",Weekly_Inspections!$BB550,Weekly_Inspections!$R550)))))</f>
        <v>0</v>
      </c>
      <c r="G550" t="str">
        <f>IF(OR(Weekly_Inspections!$AQ550&lt;&gt;"",Weekly_Inspections!$AR550&lt;&gt;"",Weekly_Inspections!$AS550&lt;&gt;""),Weekly_Inspections!$AQ550,"")</f>
        <v/>
      </c>
      <c r="H550">
        <f>Weekly_Inspections!$AP550</f>
        <v>0</v>
      </c>
      <c r="I550">
        <f>Weekly_Inspections!$AR550</f>
        <v>0</v>
      </c>
      <c r="J550">
        <f>Weekly_Inspections!$AS550</f>
        <v>0</v>
      </c>
      <c r="K550">
        <f>Weekly_Inspections!$AU550</f>
        <v>0</v>
      </c>
      <c r="L550" s="24">
        <f>Weekly_Inspections!$AV550</f>
        <v>0</v>
      </c>
      <c r="M550" t="str">
        <f t="shared" si="24"/>
        <v>Open</v>
      </c>
      <c r="N550" s="24"/>
      <c r="O550">
        <f t="shared" ca="1" si="25"/>
        <v>46113</v>
      </c>
      <c r="P550" t="str">
        <f t="shared" ca="1" si="26"/>
        <v>YES</v>
      </c>
      <c r="Q550">
        <f>Weekly_Inspections!$AW550</f>
        <v>0</v>
      </c>
    </row>
    <row r="551" spans="1:17" ht="15" customHeight="1" x14ac:dyDescent="0.2">
      <c r="A551" t="str">
        <f>IF(Weekly_Inspections!$B551="","",Weekly_Inspections!$A551&amp;"-A1")</f>
        <v/>
      </c>
      <c r="B551" s="24">
        <f>Weekly_Inspections!$B551</f>
        <v>0</v>
      </c>
      <c r="C551">
        <f>Weekly_Inspections!$E551</f>
        <v>0</v>
      </c>
      <c r="D551">
        <f>Weekly_Inspections!$F551</f>
        <v>0</v>
      </c>
      <c r="E551" t="str">
        <f>Weekly_Inspections!$H551</f>
        <v/>
      </c>
      <c r="F551">
        <f>IF(Weekly_Inspections!$AX551&lt;&gt;"",Weekly_Inspections!$AX551,IF(Weekly_Inspections!$AY551&lt;&gt;"",Weekly_Inspections!$AY551,IF(Weekly_Inspections!$AZ551&lt;&gt;"",Weekly_Inspections!$AZ551,IF(Weekly_Inspections!$BA551&lt;&gt;"",Weekly_Inspections!$BA551,IF(Weekly_Inspections!$BB551&lt;&gt;"",Weekly_Inspections!$BB551,Weekly_Inspections!$R551)))))</f>
        <v>0</v>
      </c>
      <c r="G551" t="str">
        <f>IF(OR(Weekly_Inspections!$AQ551&lt;&gt;"",Weekly_Inspections!$AR551&lt;&gt;"",Weekly_Inspections!$AS551&lt;&gt;""),Weekly_Inspections!$AQ551,"")</f>
        <v/>
      </c>
      <c r="H551">
        <f>Weekly_Inspections!$AP551</f>
        <v>0</v>
      </c>
      <c r="I551">
        <f>Weekly_Inspections!$AR551</f>
        <v>0</v>
      </c>
      <c r="J551">
        <f>Weekly_Inspections!$AS551</f>
        <v>0</v>
      </c>
      <c r="K551">
        <f>Weekly_Inspections!$AU551</f>
        <v>0</v>
      </c>
      <c r="L551" s="24">
        <f>Weekly_Inspections!$AV551</f>
        <v>0</v>
      </c>
      <c r="M551" t="str">
        <f t="shared" si="24"/>
        <v>Open</v>
      </c>
      <c r="N551" s="24"/>
      <c r="O551">
        <f t="shared" ca="1" si="25"/>
        <v>46113</v>
      </c>
      <c r="P551" t="str">
        <f t="shared" ca="1" si="26"/>
        <v>YES</v>
      </c>
      <c r="Q551">
        <f>Weekly_Inspections!$AW551</f>
        <v>0</v>
      </c>
    </row>
    <row r="552" spans="1:17" ht="15" customHeight="1" x14ac:dyDescent="0.2">
      <c r="A552" t="str">
        <f>IF(Weekly_Inspections!$B552="","",Weekly_Inspections!$A552&amp;"-A1")</f>
        <v/>
      </c>
      <c r="B552" s="24">
        <f>Weekly_Inspections!$B552</f>
        <v>0</v>
      </c>
      <c r="C552">
        <f>Weekly_Inspections!$E552</f>
        <v>0</v>
      </c>
      <c r="D552">
        <f>Weekly_Inspections!$F552</f>
        <v>0</v>
      </c>
      <c r="E552" t="str">
        <f>Weekly_Inspections!$H552</f>
        <v/>
      </c>
      <c r="F552">
        <f>IF(Weekly_Inspections!$AX552&lt;&gt;"",Weekly_Inspections!$AX552,IF(Weekly_Inspections!$AY552&lt;&gt;"",Weekly_Inspections!$AY552,IF(Weekly_Inspections!$AZ552&lt;&gt;"",Weekly_Inspections!$AZ552,IF(Weekly_Inspections!$BA552&lt;&gt;"",Weekly_Inspections!$BA552,IF(Weekly_Inspections!$BB552&lt;&gt;"",Weekly_Inspections!$BB552,Weekly_Inspections!$R552)))))</f>
        <v>0</v>
      </c>
      <c r="G552" t="str">
        <f>IF(OR(Weekly_Inspections!$AQ552&lt;&gt;"",Weekly_Inspections!$AR552&lt;&gt;"",Weekly_Inspections!$AS552&lt;&gt;""),Weekly_Inspections!$AQ552,"")</f>
        <v/>
      </c>
      <c r="H552">
        <f>Weekly_Inspections!$AP552</f>
        <v>0</v>
      </c>
      <c r="I552">
        <f>Weekly_Inspections!$AR552</f>
        <v>0</v>
      </c>
      <c r="J552">
        <f>Weekly_Inspections!$AS552</f>
        <v>0</v>
      </c>
      <c r="K552">
        <f>Weekly_Inspections!$AU552</f>
        <v>0</v>
      </c>
      <c r="L552" s="24">
        <f>Weekly_Inspections!$AV552</f>
        <v>0</v>
      </c>
      <c r="M552" t="str">
        <f t="shared" si="24"/>
        <v>Open</v>
      </c>
      <c r="N552" s="24"/>
      <c r="O552">
        <f t="shared" ca="1" si="25"/>
        <v>46113</v>
      </c>
      <c r="P552" t="str">
        <f t="shared" ca="1" si="26"/>
        <v>YES</v>
      </c>
      <c r="Q552">
        <f>Weekly_Inspections!$AW552</f>
        <v>0</v>
      </c>
    </row>
    <row r="553" spans="1:17" ht="15" customHeight="1" x14ac:dyDescent="0.2">
      <c r="A553" t="str">
        <f>IF(Weekly_Inspections!$B553="","",Weekly_Inspections!$A553&amp;"-A1")</f>
        <v/>
      </c>
      <c r="B553" s="24">
        <f>Weekly_Inspections!$B553</f>
        <v>0</v>
      </c>
      <c r="C553">
        <f>Weekly_Inspections!$E553</f>
        <v>0</v>
      </c>
      <c r="D553">
        <f>Weekly_Inspections!$F553</f>
        <v>0</v>
      </c>
      <c r="E553" t="str">
        <f>Weekly_Inspections!$H553</f>
        <v/>
      </c>
      <c r="F553">
        <f>IF(Weekly_Inspections!$AX553&lt;&gt;"",Weekly_Inspections!$AX553,IF(Weekly_Inspections!$AY553&lt;&gt;"",Weekly_Inspections!$AY553,IF(Weekly_Inspections!$AZ553&lt;&gt;"",Weekly_Inspections!$AZ553,IF(Weekly_Inspections!$BA553&lt;&gt;"",Weekly_Inspections!$BA553,IF(Weekly_Inspections!$BB553&lt;&gt;"",Weekly_Inspections!$BB553,Weekly_Inspections!$R553)))))</f>
        <v>0</v>
      </c>
      <c r="G553" t="str">
        <f>IF(OR(Weekly_Inspections!$AQ553&lt;&gt;"",Weekly_Inspections!$AR553&lt;&gt;"",Weekly_Inspections!$AS553&lt;&gt;""),Weekly_Inspections!$AQ553,"")</f>
        <v/>
      </c>
      <c r="H553">
        <f>Weekly_Inspections!$AP553</f>
        <v>0</v>
      </c>
      <c r="I553">
        <f>Weekly_Inspections!$AR553</f>
        <v>0</v>
      </c>
      <c r="J553">
        <f>Weekly_Inspections!$AS553</f>
        <v>0</v>
      </c>
      <c r="K553">
        <f>Weekly_Inspections!$AU553</f>
        <v>0</v>
      </c>
      <c r="L553" s="24">
        <f>Weekly_Inspections!$AV553</f>
        <v>0</v>
      </c>
      <c r="M553" t="str">
        <f t="shared" si="24"/>
        <v>Open</v>
      </c>
      <c r="N553" s="24"/>
      <c r="O553">
        <f t="shared" ca="1" si="25"/>
        <v>46113</v>
      </c>
      <c r="P553" t="str">
        <f t="shared" ca="1" si="26"/>
        <v>YES</v>
      </c>
      <c r="Q553">
        <f>Weekly_Inspections!$AW553</f>
        <v>0</v>
      </c>
    </row>
    <row r="554" spans="1:17" ht="15" customHeight="1" x14ac:dyDescent="0.2">
      <c r="A554" t="str">
        <f>IF(Weekly_Inspections!$B554="","",Weekly_Inspections!$A554&amp;"-A1")</f>
        <v/>
      </c>
      <c r="B554" s="24">
        <f>Weekly_Inspections!$B554</f>
        <v>0</v>
      </c>
      <c r="C554">
        <f>Weekly_Inspections!$E554</f>
        <v>0</v>
      </c>
      <c r="D554">
        <f>Weekly_Inspections!$F554</f>
        <v>0</v>
      </c>
      <c r="E554" t="str">
        <f>Weekly_Inspections!$H554</f>
        <v/>
      </c>
      <c r="F554">
        <f>IF(Weekly_Inspections!$AX554&lt;&gt;"",Weekly_Inspections!$AX554,IF(Weekly_Inspections!$AY554&lt;&gt;"",Weekly_Inspections!$AY554,IF(Weekly_Inspections!$AZ554&lt;&gt;"",Weekly_Inspections!$AZ554,IF(Weekly_Inspections!$BA554&lt;&gt;"",Weekly_Inspections!$BA554,IF(Weekly_Inspections!$BB554&lt;&gt;"",Weekly_Inspections!$BB554,Weekly_Inspections!$R554)))))</f>
        <v>0</v>
      </c>
      <c r="G554" t="str">
        <f>IF(OR(Weekly_Inspections!$AQ554&lt;&gt;"",Weekly_Inspections!$AR554&lt;&gt;"",Weekly_Inspections!$AS554&lt;&gt;""),Weekly_Inspections!$AQ554,"")</f>
        <v/>
      </c>
      <c r="H554">
        <f>Weekly_Inspections!$AP554</f>
        <v>0</v>
      </c>
      <c r="I554">
        <f>Weekly_Inspections!$AR554</f>
        <v>0</v>
      </c>
      <c r="J554">
        <f>Weekly_Inspections!$AS554</f>
        <v>0</v>
      </c>
      <c r="K554">
        <f>Weekly_Inspections!$AU554</f>
        <v>0</v>
      </c>
      <c r="L554" s="24">
        <f>Weekly_Inspections!$AV554</f>
        <v>0</v>
      </c>
      <c r="M554" t="str">
        <f t="shared" si="24"/>
        <v>Open</v>
      </c>
      <c r="N554" s="24"/>
      <c r="O554">
        <f t="shared" ca="1" si="25"/>
        <v>46113</v>
      </c>
      <c r="P554" t="str">
        <f t="shared" ca="1" si="26"/>
        <v>YES</v>
      </c>
      <c r="Q554">
        <f>Weekly_Inspections!$AW554</f>
        <v>0</v>
      </c>
    </row>
    <row r="555" spans="1:17" ht="15" customHeight="1" x14ac:dyDescent="0.2">
      <c r="A555" t="str">
        <f>IF(Weekly_Inspections!$B555="","",Weekly_Inspections!$A555&amp;"-A1")</f>
        <v/>
      </c>
      <c r="B555" s="24">
        <f>Weekly_Inspections!$B555</f>
        <v>0</v>
      </c>
      <c r="C555">
        <f>Weekly_Inspections!$E555</f>
        <v>0</v>
      </c>
      <c r="D555">
        <f>Weekly_Inspections!$F555</f>
        <v>0</v>
      </c>
      <c r="E555" t="str">
        <f>Weekly_Inspections!$H555</f>
        <v/>
      </c>
      <c r="F555">
        <f>IF(Weekly_Inspections!$AX555&lt;&gt;"",Weekly_Inspections!$AX555,IF(Weekly_Inspections!$AY555&lt;&gt;"",Weekly_Inspections!$AY555,IF(Weekly_Inspections!$AZ555&lt;&gt;"",Weekly_Inspections!$AZ555,IF(Weekly_Inspections!$BA555&lt;&gt;"",Weekly_Inspections!$BA555,IF(Weekly_Inspections!$BB555&lt;&gt;"",Weekly_Inspections!$BB555,Weekly_Inspections!$R555)))))</f>
        <v>0</v>
      </c>
      <c r="G555" t="str">
        <f>IF(OR(Weekly_Inspections!$AQ555&lt;&gt;"",Weekly_Inspections!$AR555&lt;&gt;"",Weekly_Inspections!$AS555&lt;&gt;""),Weekly_Inspections!$AQ555,"")</f>
        <v/>
      </c>
      <c r="H555">
        <f>Weekly_Inspections!$AP555</f>
        <v>0</v>
      </c>
      <c r="I555">
        <f>Weekly_Inspections!$AR555</f>
        <v>0</v>
      </c>
      <c r="J555">
        <f>Weekly_Inspections!$AS555</f>
        <v>0</v>
      </c>
      <c r="K555">
        <f>Weekly_Inspections!$AU555</f>
        <v>0</v>
      </c>
      <c r="L555" s="24">
        <f>Weekly_Inspections!$AV555</f>
        <v>0</v>
      </c>
      <c r="M555" t="str">
        <f t="shared" si="24"/>
        <v>Open</v>
      </c>
      <c r="N555" s="24"/>
      <c r="O555">
        <f t="shared" ca="1" si="25"/>
        <v>46113</v>
      </c>
      <c r="P555" t="str">
        <f t="shared" ca="1" si="26"/>
        <v>YES</v>
      </c>
      <c r="Q555">
        <f>Weekly_Inspections!$AW555</f>
        <v>0</v>
      </c>
    </row>
    <row r="556" spans="1:17" ht="15" customHeight="1" x14ac:dyDescent="0.2">
      <c r="A556" t="str">
        <f>IF(Weekly_Inspections!$B556="","",Weekly_Inspections!$A556&amp;"-A1")</f>
        <v/>
      </c>
      <c r="B556" s="24">
        <f>Weekly_Inspections!$B556</f>
        <v>0</v>
      </c>
      <c r="C556">
        <f>Weekly_Inspections!$E556</f>
        <v>0</v>
      </c>
      <c r="D556">
        <f>Weekly_Inspections!$F556</f>
        <v>0</v>
      </c>
      <c r="E556" t="str">
        <f>Weekly_Inspections!$H556</f>
        <v/>
      </c>
      <c r="F556">
        <f>IF(Weekly_Inspections!$AX556&lt;&gt;"",Weekly_Inspections!$AX556,IF(Weekly_Inspections!$AY556&lt;&gt;"",Weekly_Inspections!$AY556,IF(Weekly_Inspections!$AZ556&lt;&gt;"",Weekly_Inspections!$AZ556,IF(Weekly_Inspections!$BA556&lt;&gt;"",Weekly_Inspections!$BA556,IF(Weekly_Inspections!$BB556&lt;&gt;"",Weekly_Inspections!$BB556,Weekly_Inspections!$R556)))))</f>
        <v>0</v>
      </c>
      <c r="G556" t="str">
        <f>IF(OR(Weekly_Inspections!$AQ556&lt;&gt;"",Weekly_Inspections!$AR556&lt;&gt;"",Weekly_Inspections!$AS556&lt;&gt;""),Weekly_Inspections!$AQ556,"")</f>
        <v/>
      </c>
      <c r="H556">
        <f>Weekly_Inspections!$AP556</f>
        <v>0</v>
      </c>
      <c r="I556">
        <f>Weekly_Inspections!$AR556</f>
        <v>0</v>
      </c>
      <c r="J556">
        <f>Weekly_Inspections!$AS556</f>
        <v>0</v>
      </c>
      <c r="K556">
        <f>Weekly_Inspections!$AU556</f>
        <v>0</v>
      </c>
      <c r="L556" s="24">
        <f>Weekly_Inspections!$AV556</f>
        <v>0</v>
      </c>
      <c r="M556" t="str">
        <f t="shared" si="24"/>
        <v>Open</v>
      </c>
      <c r="N556" s="24"/>
      <c r="O556">
        <f t="shared" ca="1" si="25"/>
        <v>46113</v>
      </c>
      <c r="P556" t="str">
        <f t="shared" ca="1" si="26"/>
        <v>YES</v>
      </c>
      <c r="Q556">
        <f>Weekly_Inspections!$AW556</f>
        <v>0</v>
      </c>
    </row>
    <row r="557" spans="1:17" ht="15" customHeight="1" x14ac:dyDescent="0.2">
      <c r="A557" t="str">
        <f>IF(Weekly_Inspections!$B557="","",Weekly_Inspections!$A557&amp;"-A1")</f>
        <v/>
      </c>
      <c r="B557" s="24">
        <f>Weekly_Inspections!$B557</f>
        <v>0</v>
      </c>
      <c r="C557">
        <f>Weekly_Inspections!$E557</f>
        <v>0</v>
      </c>
      <c r="D557">
        <f>Weekly_Inspections!$F557</f>
        <v>0</v>
      </c>
      <c r="E557" t="str">
        <f>Weekly_Inspections!$H557</f>
        <v/>
      </c>
      <c r="F557">
        <f>IF(Weekly_Inspections!$AX557&lt;&gt;"",Weekly_Inspections!$AX557,IF(Weekly_Inspections!$AY557&lt;&gt;"",Weekly_Inspections!$AY557,IF(Weekly_Inspections!$AZ557&lt;&gt;"",Weekly_Inspections!$AZ557,IF(Weekly_Inspections!$BA557&lt;&gt;"",Weekly_Inspections!$BA557,IF(Weekly_Inspections!$BB557&lt;&gt;"",Weekly_Inspections!$BB557,Weekly_Inspections!$R557)))))</f>
        <v>0</v>
      </c>
      <c r="G557" t="str">
        <f>IF(OR(Weekly_Inspections!$AQ557&lt;&gt;"",Weekly_Inspections!$AR557&lt;&gt;"",Weekly_Inspections!$AS557&lt;&gt;""),Weekly_Inspections!$AQ557,"")</f>
        <v/>
      </c>
      <c r="H557">
        <f>Weekly_Inspections!$AP557</f>
        <v>0</v>
      </c>
      <c r="I557">
        <f>Weekly_Inspections!$AR557</f>
        <v>0</v>
      </c>
      <c r="J557">
        <f>Weekly_Inspections!$AS557</f>
        <v>0</v>
      </c>
      <c r="K557">
        <f>Weekly_Inspections!$AU557</f>
        <v>0</v>
      </c>
      <c r="L557" s="24">
        <f>Weekly_Inspections!$AV557</f>
        <v>0</v>
      </c>
      <c r="M557" t="str">
        <f t="shared" si="24"/>
        <v>Open</v>
      </c>
      <c r="N557" s="24"/>
      <c r="O557">
        <f t="shared" ca="1" si="25"/>
        <v>46113</v>
      </c>
      <c r="P557" t="str">
        <f t="shared" ca="1" si="26"/>
        <v>YES</v>
      </c>
      <c r="Q557">
        <f>Weekly_Inspections!$AW557</f>
        <v>0</v>
      </c>
    </row>
    <row r="558" spans="1:17" ht="15" customHeight="1" x14ac:dyDescent="0.2">
      <c r="A558" t="str">
        <f>IF(Weekly_Inspections!$B558="","",Weekly_Inspections!$A558&amp;"-A1")</f>
        <v/>
      </c>
      <c r="B558" s="24">
        <f>Weekly_Inspections!$B558</f>
        <v>0</v>
      </c>
      <c r="C558">
        <f>Weekly_Inspections!$E558</f>
        <v>0</v>
      </c>
      <c r="D558">
        <f>Weekly_Inspections!$F558</f>
        <v>0</v>
      </c>
      <c r="E558" t="str">
        <f>Weekly_Inspections!$H558</f>
        <v/>
      </c>
      <c r="F558">
        <f>IF(Weekly_Inspections!$AX558&lt;&gt;"",Weekly_Inspections!$AX558,IF(Weekly_Inspections!$AY558&lt;&gt;"",Weekly_Inspections!$AY558,IF(Weekly_Inspections!$AZ558&lt;&gt;"",Weekly_Inspections!$AZ558,IF(Weekly_Inspections!$BA558&lt;&gt;"",Weekly_Inspections!$BA558,IF(Weekly_Inspections!$BB558&lt;&gt;"",Weekly_Inspections!$BB558,Weekly_Inspections!$R558)))))</f>
        <v>0</v>
      </c>
      <c r="G558" t="str">
        <f>IF(OR(Weekly_Inspections!$AQ558&lt;&gt;"",Weekly_Inspections!$AR558&lt;&gt;"",Weekly_Inspections!$AS558&lt;&gt;""),Weekly_Inspections!$AQ558,"")</f>
        <v/>
      </c>
      <c r="H558">
        <f>Weekly_Inspections!$AP558</f>
        <v>0</v>
      </c>
      <c r="I558">
        <f>Weekly_Inspections!$AR558</f>
        <v>0</v>
      </c>
      <c r="J558">
        <f>Weekly_Inspections!$AS558</f>
        <v>0</v>
      </c>
      <c r="K558">
        <f>Weekly_Inspections!$AU558</f>
        <v>0</v>
      </c>
      <c r="L558" s="24">
        <f>Weekly_Inspections!$AV558</f>
        <v>0</v>
      </c>
      <c r="M558" t="str">
        <f t="shared" si="24"/>
        <v>Open</v>
      </c>
      <c r="N558" s="24"/>
      <c r="O558">
        <f t="shared" ca="1" si="25"/>
        <v>46113</v>
      </c>
      <c r="P558" t="str">
        <f t="shared" ca="1" si="26"/>
        <v>YES</v>
      </c>
      <c r="Q558">
        <f>Weekly_Inspections!$AW558</f>
        <v>0</v>
      </c>
    </row>
    <row r="559" spans="1:17" ht="15" customHeight="1" x14ac:dyDescent="0.2">
      <c r="A559" t="str">
        <f>IF(Weekly_Inspections!$B559="","",Weekly_Inspections!$A559&amp;"-A1")</f>
        <v/>
      </c>
      <c r="B559" s="24">
        <f>Weekly_Inspections!$B559</f>
        <v>0</v>
      </c>
      <c r="C559">
        <f>Weekly_Inspections!$E559</f>
        <v>0</v>
      </c>
      <c r="D559">
        <f>Weekly_Inspections!$F559</f>
        <v>0</v>
      </c>
      <c r="E559" t="str">
        <f>Weekly_Inspections!$H559</f>
        <v/>
      </c>
      <c r="F559">
        <f>IF(Weekly_Inspections!$AX559&lt;&gt;"",Weekly_Inspections!$AX559,IF(Weekly_Inspections!$AY559&lt;&gt;"",Weekly_Inspections!$AY559,IF(Weekly_Inspections!$AZ559&lt;&gt;"",Weekly_Inspections!$AZ559,IF(Weekly_Inspections!$BA559&lt;&gt;"",Weekly_Inspections!$BA559,IF(Weekly_Inspections!$BB559&lt;&gt;"",Weekly_Inspections!$BB559,Weekly_Inspections!$R559)))))</f>
        <v>0</v>
      </c>
      <c r="G559" t="str">
        <f>IF(OR(Weekly_Inspections!$AQ559&lt;&gt;"",Weekly_Inspections!$AR559&lt;&gt;"",Weekly_Inspections!$AS559&lt;&gt;""),Weekly_Inspections!$AQ559,"")</f>
        <v/>
      </c>
      <c r="H559">
        <f>Weekly_Inspections!$AP559</f>
        <v>0</v>
      </c>
      <c r="I559">
        <f>Weekly_Inspections!$AR559</f>
        <v>0</v>
      </c>
      <c r="J559">
        <f>Weekly_Inspections!$AS559</f>
        <v>0</v>
      </c>
      <c r="K559">
        <f>Weekly_Inspections!$AU559</f>
        <v>0</v>
      </c>
      <c r="L559" s="24">
        <f>Weekly_Inspections!$AV559</f>
        <v>0</v>
      </c>
      <c r="M559" t="str">
        <f t="shared" si="24"/>
        <v>Open</v>
      </c>
      <c r="N559" s="24"/>
      <c r="O559">
        <f t="shared" ca="1" si="25"/>
        <v>46113</v>
      </c>
      <c r="P559" t="str">
        <f t="shared" ca="1" si="26"/>
        <v>YES</v>
      </c>
      <c r="Q559">
        <f>Weekly_Inspections!$AW559</f>
        <v>0</v>
      </c>
    </row>
    <row r="560" spans="1:17" ht="15" customHeight="1" x14ac:dyDescent="0.2">
      <c r="A560" t="str">
        <f>IF(Weekly_Inspections!$B560="","",Weekly_Inspections!$A560&amp;"-A1")</f>
        <v/>
      </c>
      <c r="B560" s="24">
        <f>Weekly_Inspections!$B560</f>
        <v>0</v>
      </c>
      <c r="C560">
        <f>Weekly_Inspections!$E560</f>
        <v>0</v>
      </c>
      <c r="D560">
        <f>Weekly_Inspections!$F560</f>
        <v>0</v>
      </c>
      <c r="E560" t="str">
        <f>Weekly_Inspections!$H560</f>
        <v/>
      </c>
      <c r="F560">
        <f>IF(Weekly_Inspections!$AX560&lt;&gt;"",Weekly_Inspections!$AX560,IF(Weekly_Inspections!$AY560&lt;&gt;"",Weekly_Inspections!$AY560,IF(Weekly_Inspections!$AZ560&lt;&gt;"",Weekly_Inspections!$AZ560,IF(Weekly_Inspections!$BA560&lt;&gt;"",Weekly_Inspections!$BA560,IF(Weekly_Inspections!$BB560&lt;&gt;"",Weekly_Inspections!$BB560,Weekly_Inspections!$R560)))))</f>
        <v>0</v>
      </c>
      <c r="G560" t="str">
        <f>IF(OR(Weekly_Inspections!$AQ560&lt;&gt;"",Weekly_Inspections!$AR560&lt;&gt;"",Weekly_Inspections!$AS560&lt;&gt;""),Weekly_Inspections!$AQ560,"")</f>
        <v/>
      </c>
      <c r="H560">
        <f>Weekly_Inspections!$AP560</f>
        <v>0</v>
      </c>
      <c r="I560">
        <f>Weekly_Inspections!$AR560</f>
        <v>0</v>
      </c>
      <c r="J560">
        <f>Weekly_Inspections!$AS560</f>
        <v>0</v>
      </c>
      <c r="K560">
        <f>Weekly_Inspections!$AU560</f>
        <v>0</v>
      </c>
      <c r="L560" s="24">
        <f>Weekly_Inspections!$AV560</f>
        <v>0</v>
      </c>
      <c r="M560" t="str">
        <f t="shared" si="24"/>
        <v>Open</v>
      </c>
      <c r="N560" s="24"/>
      <c r="O560">
        <f t="shared" ca="1" si="25"/>
        <v>46113</v>
      </c>
      <c r="P560" t="str">
        <f t="shared" ca="1" si="26"/>
        <v>YES</v>
      </c>
      <c r="Q560">
        <f>Weekly_Inspections!$AW560</f>
        <v>0</v>
      </c>
    </row>
    <row r="561" spans="1:17" ht="15" customHeight="1" x14ac:dyDescent="0.2">
      <c r="A561" t="str">
        <f>IF(Weekly_Inspections!$B561="","",Weekly_Inspections!$A561&amp;"-A1")</f>
        <v/>
      </c>
      <c r="B561" s="24">
        <f>Weekly_Inspections!$B561</f>
        <v>0</v>
      </c>
      <c r="C561">
        <f>Weekly_Inspections!$E561</f>
        <v>0</v>
      </c>
      <c r="D561">
        <f>Weekly_Inspections!$F561</f>
        <v>0</v>
      </c>
      <c r="E561" t="str">
        <f>Weekly_Inspections!$H561</f>
        <v/>
      </c>
      <c r="F561">
        <f>IF(Weekly_Inspections!$AX561&lt;&gt;"",Weekly_Inspections!$AX561,IF(Weekly_Inspections!$AY561&lt;&gt;"",Weekly_Inspections!$AY561,IF(Weekly_Inspections!$AZ561&lt;&gt;"",Weekly_Inspections!$AZ561,IF(Weekly_Inspections!$BA561&lt;&gt;"",Weekly_Inspections!$BA561,IF(Weekly_Inspections!$BB561&lt;&gt;"",Weekly_Inspections!$BB561,Weekly_Inspections!$R561)))))</f>
        <v>0</v>
      </c>
      <c r="G561" t="str">
        <f>IF(OR(Weekly_Inspections!$AQ561&lt;&gt;"",Weekly_Inspections!$AR561&lt;&gt;"",Weekly_Inspections!$AS561&lt;&gt;""),Weekly_Inspections!$AQ561,"")</f>
        <v/>
      </c>
      <c r="H561">
        <f>Weekly_Inspections!$AP561</f>
        <v>0</v>
      </c>
      <c r="I561">
        <f>Weekly_Inspections!$AR561</f>
        <v>0</v>
      </c>
      <c r="J561">
        <f>Weekly_Inspections!$AS561</f>
        <v>0</v>
      </c>
      <c r="K561">
        <f>Weekly_Inspections!$AU561</f>
        <v>0</v>
      </c>
      <c r="L561" s="24">
        <f>Weekly_Inspections!$AV561</f>
        <v>0</v>
      </c>
      <c r="M561" t="str">
        <f t="shared" si="24"/>
        <v>Open</v>
      </c>
      <c r="N561" s="24"/>
      <c r="O561">
        <f t="shared" ca="1" si="25"/>
        <v>46113</v>
      </c>
      <c r="P561" t="str">
        <f t="shared" ca="1" si="26"/>
        <v>YES</v>
      </c>
      <c r="Q561">
        <f>Weekly_Inspections!$AW561</f>
        <v>0</v>
      </c>
    </row>
    <row r="562" spans="1:17" ht="15" customHeight="1" x14ac:dyDescent="0.2">
      <c r="A562" t="str">
        <f>IF(Weekly_Inspections!$B562="","",Weekly_Inspections!$A562&amp;"-A1")</f>
        <v/>
      </c>
      <c r="B562" s="24">
        <f>Weekly_Inspections!$B562</f>
        <v>0</v>
      </c>
      <c r="C562">
        <f>Weekly_Inspections!$E562</f>
        <v>0</v>
      </c>
      <c r="D562">
        <f>Weekly_Inspections!$F562</f>
        <v>0</v>
      </c>
      <c r="E562" t="str">
        <f>Weekly_Inspections!$H562</f>
        <v/>
      </c>
      <c r="F562">
        <f>IF(Weekly_Inspections!$AX562&lt;&gt;"",Weekly_Inspections!$AX562,IF(Weekly_Inspections!$AY562&lt;&gt;"",Weekly_Inspections!$AY562,IF(Weekly_Inspections!$AZ562&lt;&gt;"",Weekly_Inspections!$AZ562,IF(Weekly_Inspections!$BA562&lt;&gt;"",Weekly_Inspections!$BA562,IF(Weekly_Inspections!$BB562&lt;&gt;"",Weekly_Inspections!$BB562,Weekly_Inspections!$R562)))))</f>
        <v>0</v>
      </c>
      <c r="G562" t="str">
        <f>IF(OR(Weekly_Inspections!$AQ562&lt;&gt;"",Weekly_Inspections!$AR562&lt;&gt;"",Weekly_Inspections!$AS562&lt;&gt;""),Weekly_Inspections!$AQ562,"")</f>
        <v/>
      </c>
      <c r="H562">
        <f>Weekly_Inspections!$AP562</f>
        <v>0</v>
      </c>
      <c r="I562">
        <f>Weekly_Inspections!$AR562</f>
        <v>0</v>
      </c>
      <c r="J562">
        <f>Weekly_Inspections!$AS562</f>
        <v>0</v>
      </c>
      <c r="K562">
        <f>Weekly_Inspections!$AU562</f>
        <v>0</v>
      </c>
      <c r="L562" s="24">
        <f>Weekly_Inspections!$AV562</f>
        <v>0</v>
      </c>
      <c r="M562" t="str">
        <f t="shared" si="24"/>
        <v>Open</v>
      </c>
      <c r="N562" s="24"/>
      <c r="O562">
        <f t="shared" ca="1" si="25"/>
        <v>46113</v>
      </c>
      <c r="P562" t="str">
        <f t="shared" ca="1" si="26"/>
        <v>YES</v>
      </c>
      <c r="Q562">
        <f>Weekly_Inspections!$AW562</f>
        <v>0</v>
      </c>
    </row>
    <row r="563" spans="1:17" ht="15" customHeight="1" x14ac:dyDescent="0.2">
      <c r="A563" t="str">
        <f>IF(Weekly_Inspections!$B563="","",Weekly_Inspections!$A563&amp;"-A1")</f>
        <v/>
      </c>
      <c r="B563" s="24">
        <f>Weekly_Inspections!$B563</f>
        <v>0</v>
      </c>
      <c r="C563">
        <f>Weekly_Inspections!$E563</f>
        <v>0</v>
      </c>
      <c r="D563">
        <f>Weekly_Inspections!$F563</f>
        <v>0</v>
      </c>
      <c r="E563" t="str">
        <f>Weekly_Inspections!$H563</f>
        <v/>
      </c>
      <c r="F563">
        <f>IF(Weekly_Inspections!$AX563&lt;&gt;"",Weekly_Inspections!$AX563,IF(Weekly_Inspections!$AY563&lt;&gt;"",Weekly_Inspections!$AY563,IF(Weekly_Inspections!$AZ563&lt;&gt;"",Weekly_Inspections!$AZ563,IF(Weekly_Inspections!$BA563&lt;&gt;"",Weekly_Inspections!$BA563,IF(Weekly_Inspections!$BB563&lt;&gt;"",Weekly_Inspections!$BB563,Weekly_Inspections!$R563)))))</f>
        <v>0</v>
      </c>
      <c r="G563" t="str">
        <f>IF(OR(Weekly_Inspections!$AQ563&lt;&gt;"",Weekly_Inspections!$AR563&lt;&gt;"",Weekly_Inspections!$AS563&lt;&gt;""),Weekly_Inspections!$AQ563,"")</f>
        <v/>
      </c>
      <c r="H563">
        <f>Weekly_Inspections!$AP563</f>
        <v>0</v>
      </c>
      <c r="I563">
        <f>Weekly_Inspections!$AR563</f>
        <v>0</v>
      </c>
      <c r="J563">
        <f>Weekly_Inspections!$AS563</f>
        <v>0</v>
      </c>
      <c r="K563">
        <f>Weekly_Inspections!$AU563</f>
        <v>0</v>
      </c>
      <c r="L563" s="24">
        <f>Weekly_Inspections!$AV563</f>
        <v>0</v>
      </c>
      <c r="M563" t="str">
        <f t="shared" si="24"/>
        <v>Open</v>
      </c>
      <c r="N563" s="24"/>
      <c r="O563">
        <f t="shared" ca="1" si="25"/>
        <v>46113</v>
      </c>
      <c r="P563" t="str">
        <f t="shared" ca="1" si="26"/>
        <v>YES</v>
      </c>
      <c r="Q563">
        <f>Weekly_Inspections!$AW563</f>
        <v>0</v>
      </c>
    </row>
    <row r="564" spans="1:17" ht="15" customHeight="1" x14ac:dyDescent="0.2">
      <c r="A564" t="str">
        <f>IF(Weekly_Inspections!$B564="","",Weekly_Inspections!$A564&amp;"-A1")</f>
        <v/>
      </c>
      <c r="B564" s="24">
        <f>Weekly_Inspections!$B564</f>
        <v>0</v>
      </c>
      <c r="C564">
        <f>Weekly_Inspections!$E564</f>
        <v>0</v>
      </c>
      <c r="D564">
        <f>Weekly_Inspections!$F564</f>
        <v>0</v>
      </c>
      <c r="E564" t="str">
        <f>Weekly_Inspections!$H564</f>
        <v/>
      </c>
      <c r="F564">
        <f>IF(Weekly_Inspections!$AX564&lt;&gt;"",Weekly_Inspections!$AX564,IF(Weekly_Inspections!$AY564&lt;&gt;"",Weekly_Inspections!$AY564,IF(Weekly_Inspections!$AZ564&lt;&gt;"",Weekly_Inspections!$AZ564,IF(Weekly_Inspections!$BA564&lt;&gt;"",Weekly_Inspections!$BA564,IF(Weekly_Inspections!$BB564&lt;&gt;"",Weekly_Inspections!$BB564,Weekly_Inspections!$R564)))))</f>
        <v>0</v>
      </c>
      <c r="G564" t="str">
        <f>IF(OR(Weekly_Inspections!$AQ564&lt;&gt;"",Weekly_Inspections!$AR564&lt;&gt;"",Weekly_Inspections!$AS564&lt;&gt;""),Weekly_Inspections!$AQ564,"")</f>
        <v/>
      </c>
      <c r="H564">
        <f>Weekly_Inspections!$AP564</f>
        <v>0</v>
      </c>
      <c r="I564">
        <f>Weekly_Inspections!$AR564</f>
        <v>0</v>
      </c>
      <c r="J564">
        <f>Weekly_Inspections!$AS564</f>
        <v>0</v>
      </c>
      <c r="K564">
        <f>Weekly_Inspections!$AU564</f>
        <v>0</v>
      </c>
      <c r="L564" s="24">
        <f>Weekly_Inspections!$AV564</f>
        <v>0</v>
      </c>
      <c r="M564" t="str">
        <f t="shared" si="24"/>
        <v>Open</v>
      </c>
      <c r="N564" s="24"/>
      <c r="O564">
        <f t="shared" ca="1" si="25"/>
        <v>46113</v>
      </c>
      <c r="P564" t="str">
        <f t="shared" ca="1" si="26"/>
        <v>YES</v>
      </c>
      <c r="Q564">
        <f>Weekly_Inspections!$AW564</f>
        <v>0</v>
      </c>
    </row>
    <row r="565" spans="1:17" ht="15" customHeight="1" x14ac:dyDescent="0.2">
      <c r="A565" t="str">
        <f>IF(Weekly_Inspections!$B565="","",Weekly_Inspections!$A565&amp;"-A1")</f>
        <v/>
      </c>
      <c r="B565" s="24">
        <f>Weekly_Inspections!$B565</f>
        <v>0</v>
      </c>
      <c r="C565">
        <f>Weekly_Inspections!$E565</f>
        <v>0</v>
      </c>
      <c r="D565">
        <f>Weekly_Inspections!$F565</f>
        <v>0</v>
      </c>
      <c r="E565" t="str">
        <f>Weekly_Inspections!$H565</f>
        <v/>
      </c>
      <c r="F565">
        <f>IF(Weekly_Inspections!$AX565&lt;&gt;"",Weekly_Inspections!$AX565,IF(Weekly_Inspections!$AY565&lt;&gt;"",Weekly_Inspections!$AY565,IF(Weekly_Inspections!$AZ565&lt;&gt;"",Weekly_Inspections!$AZ565,IF(Weekly_Inspections!$BA565&lt;&gt;"",Weekly_Inspections!$BA565,IF(Weekly_Inspections!$BB565&lt;&gt;"",Weekly_Inspections!$BB565,Weekly_Inspections!$R565)))))</f>
        <v>0</v>
      </c>
      <c r="G565" t="str">
        <f>IF(OR(Weekly_Inspections!$AQ565&lt;&gt;"",Weekly_Inspections!$AR565&lt;&gt;"",Weekly_Inspections!$AS565&lt;&gt;""),Weekly_Inspections!$AQ565,"")</f>
        <v/>
      </c>
      <c r="H565">
        <f>Weekly_Inspections!$AP565</f>
        <v>0</v>
      </c>
      <c r="I565">
        <f>Weekly_Inspections!$AR565</f>
        <v>0</v>
      </c>
      <c r="J565">
        <f>Weekly_Inspections!$AS565</f>
        <v>0</v>
      </c>
      <c r="K565">
        <f>Weekly_Inspections!$AU565</f>
        <v>0</v>
      </c>
      <c r="L565" s="24">
        <f>Weekly_Inspections!$AV565</f>
        <v>0</v>
      </c>
      <c r="M565" t="str">
        <f t="shared" si="24"/>
        <v>Open</v>
      </c>
      <c r="N565" s="24"/>
      <c r="O565">
        <f t="shared" ca="1" si="25"/>
        <v>46113</v>
      </c>
      <c r="P565" t="str">
        <f t="shared" ca="1" si="26"/>
        <v>YES</v>
      </c>
      <c r="Q565">
        <f>Weekly_Inspections!$AW565</f>
        <v>0</v>
      </c>
    </row>
    <row r="566" spans="1:17" ht="15" customHeight="1" x14ac:dyDescent="0.2">
      <c r="A566" t="str">
        <f>IF(Weekly_Inspections!$B566="","",Weekly_Inspections!$A566&amp;"-A1")</f>
        <v/>
      </c>
      <c r="B566" s="24">
        <f>Weekly_Inspections!$B566</f>
        <v>0</v>
      </c>
      <c r="C566">
        <f>Weekly_Inspections!$E566</f>
        <v>0</v>
      </c>
      <c r="D566">
        <f>Weekly_Inspections!$F566</f>
        <v>0</v>
      </c>
      <c r="E566" t="str">
        <f>Weekly_Inspections!$H566</f>
        <v/>
      </c>
      <c r="F566">
        <f>IF(Weekly_Inspections!$AX566&lt;&gt;"",Weekly_Inspections!$AX566,IF(Weekly_Inspections!$AY566&lt;&gt;"",Weekly_Inspections!$AY566,IF(Weekly_Inspections!$AZ566&lt;&gt;"",Weekly_Inspections!$AZ566,IF(Weekly_Inspections!$BA566&lt;&gt;"",Weekly_Inspections!$BA566,IF(Weekly_Inspections!$BB566&lt;&gt;"",Weekly_Inspections!$BB566,Weekly_Inspections!$R566)))))</f>
        <v>0</v>
      </c>
      <c r="G566" t="str">
        <f>IF(OR(Weekly_Inspections!$AQ566&lt;&gt;"",Weekly_Inspections!$AR566&lt;&gt;"",Weekly_Inspections!$AS566&lt;&gt;""),Weekly_Inspections!$AQ566,"")</f>
        <v/>
      </c>
      <c r="H566">
        <f>Weekly_Inspections!$AP566</f>
        <v>0</v>
      </c>
      <c r="I566">
        <f>Weekly_Inspections!$AR566</f>
        <v>0</v>
      </c>
      <c r="J566">
        <f>Weekly_Inspections!$AS566</f>
        <v>0</v>
      </c>
      <c r="K566">
        <f>Weekly_Inspections!$AU566</f>
        <v>0</v>
      </c>
      <c r="L566" s="24">
        <f>Weekly_Inspections!$AV566</f>
        <v>0</v>
      </c>
      <c r="M566" t="str">
        <f t="shared" si="24"/>
        <v>Open</v>
      </c>
      <c r="N566" s="24"/>
      <c r="O566">
        <f t="shared" ca="1" si="25"/>
        <v>46113</v>
      </c>
      <c r="P566" t="str">
        <f t="shared" ca="1" si="26"/>
        <v>YES</v>
      </c>
      <c r="Q566">
        <f>Weekly_Inspections!$AW566</f>
        <v>0</v>
      </c>
    </row>
    <row r="567" spans="1:17" ht="15" customHeight="1" x14ac:dyDescent="0.2">
      <c r="A567" t="str">
        <f>IF(Weekly_Inspections!$B567="","",Weekly_Inspections!$A567&amp;"-A1")</f>
        <v/>
      </c>
      <c r="B567" s="24">
        <f>Weekly_Inspections!$B567</f>
        <v>0</v>
      </c>
      <c r="C567">
        <f>Weekly_Inspections!$E567</f>
        <v>0</v>
      </c>
      <c r="D567">
        <f>Weekly_Inspections!$F567</f>
        <v>0</v>
      </c>
      <c r="E567" t="str">
        <f>Weekly_Inspections!$H567</f>
        <v/>
      </c>
      <c r="F567">
        <f>IF(Weekly_Inspections!$AX567&lt;&gt;"",Weekly_Inspections!$AX567,IF(Weekly_Inspections!$AY567&lt;&gt;"",Weekly_Inspections!$AY567,IF(Weekly_Inspections!$AZ567&lt;&gt;"",Weekly_Inspections!$AZ567,IF(Weekly_Inspections!$BA567&lt;&gt;"",Weekly_Inspections!$BA567,IF(Weekly_Inspections!$BB567&lt;&gt;"",Weekly_Inspections!$BB567,Weekly_Inspections!$R567)))))</f>
        <v>0</v>
      </c>
      <c r="G567" t="str">
        <f>IF(OR(Weekly_Inspections!$AQ567&lt;&gt;"",Weekly_Inspections!$AR567&lt;&gt;"",Weekly_Inspections!$AS567&lt;&gt;""),Weekly_Inspections!$AQ567,"")</f>
        <v/>
      </c>
      <c r="H567">
        <f>Weekly_Inspections!$AP567</f>
        <v>0</v>
      </c>
      <c r="I567">
        <f>Weekly_Inspections!$AR567</f>
        <v>0</v>
      </c>
      <c r="J567">
        <f>Weekly_Inspections!$AS567</f>
        <v>0</v>
      </c>
      <c r="K567">
        <f>Weekly_Inspections!$AU567</f>
        <v>0</v>
      </c>
      <c r="L567" s="24">
        <f>Weekly_Inspections!$AV567</f>
        <v>0</v>
      </c>
      <c r="M567" t="str">
        <f t="shared" si="24"/>
        <v>Open</v>
      </c>
      <c r="N567" s="24"/>
      <c r="O567">
        <f t="shared" ca="1" si="25"/>
        <v>46113</v>
      </c>
      <c r="P567" t="str">
        <f t="shared" ca="1" si="26"/>
        <v>YES</v>
      </c>
      <c r="Q567">
        <f>Weekly_Inspections!$AW567</f>
        <v>0</v>
      </c>
    </row>
    <row r="568" spans="1:17" ht="15" customHeight="1" x14ac:dyDescent="0.2">
      <c r="A568" t="str">
        <f>IF(Weekly_Inspections!$B568="","",Weekly_Inspections!$A568&amp;"-A1")</f>
        <v/>
      </c>
      <c r="B568" s="24">
        <f>Weekly_Inspections!$B568</f>
        <v>0</v>
      </c>
      <c r="C568">
        <f>Weekly_Inspections!$E568</f>
        <v>0</v>
      </c>
      <c r="D568">
        <f>Weekly_Inspections!$F568</f>
        <v>0</v>
      </c>
      <c r="E568" t="str">
        <f>Weekly_Inspections!$H568</f>
        <v/>
      </c>
      <c r="F568">
        <f>IF(Weekly_Inspections!$AX568&lt;&gt;"",Weekly_Inspections!$AX568,IF(Weekly_Inspections!$AY568&lt;&gt;"",Weekly_Inspections!$AY568,IF(Weekly_Inspections!$AZ568&lt;&gt;"",Weekly_Inspections!$AZ568,IF(Weekly_Inspections!$BA568&lt;&gt;"",Weekly_Inspections!$BA568,IF(Weekly_Inspections!$BB568&lt;&gt;"",Weekly_Inspections!$BB568,Weekly_Inspections!$R568)))))</f>
        <v>0</v>
      </c>
      <c r="G568" t="str">
        <f>IF(OR(Weekly_Inspections!$AQ568&lt;&gt;"",Weekly_Inspections!$AR568&lt;&gt;"",Weekly_Inspections!$AS568&lt;&gt;""),Weekly_Inspections!$AQ568,"")</f>
        <v/>
      </c>
      <c r="H568">
        <f>Weekly_Inspections!$AP568</f>
        <v>0</v>
      </c>
      <c r="I568">
        <f>Weekly_Inspections!$AR568</f>
        <v>0</v>
      </c>
      <c r="J568">
        <f>Weekly_Inspections!$AS568</f>
        <v>0</v>
      </c>
      <c r="K568">
        <f>Weekly_Inspections!$AU568</f>
        <v>0</v>
      </c>
      <c r="L568" s="24">
        <f>Weekly_Inspections!$AV568</f>
        <v>0</v>
      </c>
      <c r="M568" t="str">
        <f t="shared" si="24"/>
        <v>Open</v>
      </c>
      <c r="N568" s="24"/>
      <c r="O568">
        <f t="shared" ca="1" si="25"/>
        <v>46113</v>
      </c>
      <c r="P568" t="str">
        <f t="shared" ca="1" si="26"/>
        <v>YES</v>
      </c>
      <c r="Q568">
        <f>Weekly_Inspections!$AW568</f>
        <v>0</v>
      </c>
    </row>
    <row r="569" spans="1:17" ht="15" customHeight="1" x14ac:dyDescent="0.2">
      <c r="A569" t="str">
        <f>IF(Weekly_Inspections!$B569="","",Weekly_Inspections!$A569&amp;"-A1")</f>
        <v/>
      </c>
      <c r="B569" s="24">
        <f>Weekly_Inspections!$B569</f>
        <v>0</v>
      </c>
      <c r="C569">
        <f>Weekly_Inspections!$E569</f>
        <v>0</v>
      </c>
      <c r="D569">
        <f>Weekly_Inspections!$F569</f>
        <v>0</v>
      </c>
      <c r="E569" t="str">
        <f>Weekly_Inspections!$H569</f>
        <v/>
      </c>
      <c r="F569">
        <f>IF(Weekly_Inspections!$AX569&lt;&gt;"",Weekly_Inspections!$AX569,IF(Weekly_Inspections!$AY569&lt;&gt;"",Weekly_Inspections!$AY569,IF(Weekly_Inspections!$AZ569&lt;&gt;"",Weekly_Inspections!$AZ569,IF(Weekly_Inspections!$BA569&lt;&gt;"",Weekly_Inspections!$BA569,IF(Weekly_Inspections!$BB569&lt;&gt;"",Weekly_Inspections!$BB569,Weekly_Inspections!$R569)))))</f>
        <v>0</v>
      </c>
      <c r="G569" t="str">
        <f>IF(OR(Weekly_Inspections!$AQ569&lt;&gt;"",Weekly_Inspections!$AR569&lt;&gt;"",Weekly_Inspections!$AS569&lt;&gt;""),Weekly_Inspections!$AQ569,"")</f>
        <v/>
      </c>
      <c r="H569">
        <f>Weekly_Inspections!$AP569</f>
        <v>0</v>
      </c>
      <c r="I569">
        <f>Weekly_Inspections!$AR569</f>
        <v>0</v>
      </c>
      <c r="J569">
        <f>Weekly_Inspections!$AS569</f>
        <v>0</v>
      </c>
      <c r="K569">
        <f>Weekly_Inspections!$AU569</f>
        <v>0</v>
      </c>
      <c r="L569" s="24">
        <f>Weekly_Inspections!$AV569</f>
        <v>0</v>
      </c>
      <c r="M569" t="str">
        <f t="shared" si="24"/>
        <v>Open</v>
      </c>
      <c r="N569" s="24"/>
      <c r="O569">
        <f t="shared" ca="1" si="25"/>
        <v>46113</v>
      </c>
      <c r="P569" t="str">
        <f t="shared" ca="1" si="26"/>
        <v>YES</v>
      </c>
      <c r="Q569">
        <f>Weekly_Inspections!$AW569</f>
        <v>0</v>
      </c>
    </row>
    <row r="570" spans="1:17" ht="15" customHeight="1" x14ac:dyDescent="0.2">
      <c r="A570" t="str">
        <f>IF(Weekly_Inspections!$B570="","",Weekly_Inspections!$A570&amp;"-A1")</f>
        <v/>
      </c>
      <c r="B570" s="24">
        <f>Weekly_Inspections!$B570</f>
        <v>0</v>
      </c>
      <c r="C570">
        <f>Weekly_Inspections!$E570</f>
        <v>0</v>
      </c>
      <c r="D570">
        <f>Weekly_Inspections!$F570</f>
        <v>0</v>
      </c>
      <c r="E570" t="str">
        <f>Weekly_Inspections!$H570</f>
        <v/>
      </c>
      <c r="F570">
        <f>IF(Weekly_Inspections!$AX570&lt;&gt;"",Weekly_Inspections!$AX570,IF(Weekly_Inspections!$AY570&lt;&gt;"",Weekly_Inspections!$AY570,IF(Weekly_Inspections!$AZ570&lt;&gt;"",Weekly_Inspections!$AZ570,IF(Weekly_Inspections!$BA570&lt;&gt;"",Weekly_Inspections!$BA570,IF(Weekly_Inspections!$BB570&lt;&gt;"",Weekly_Inspections!$BB570,Weekly_Inspections!$R570)))))</f>
        <v>0</v>
      </c>
      <c r="G570" t="str">
        <f>IF(OR(Weekly_Inspections!$AQ570&lt;&gt;"",Weekly_Inspections!$AR570&lt;&gt;"",Weekly_Inspections!$AS570&lt;&gt;""),Weekly_Inspections!$AQ570,"")</f>
        <v/>
      </c>
      <c r="H570">
        <f>Weekly_Inspections!$AP570</f>
        <v>0</v>
      </c>
      <c r="I570">
        <f>Weekly_Inspections!$AR570</f>
        <v>0</v>
      </c>
      <c r="J570">
        <f>Weekly_Inspections!$AS570</f>
        <v>0</v>
      </c>
      <c r="K570">
        <f>Weekly_Inspections!$AU570</f>
        <v>0</v>
      </c>
      <c r="L570" s="24">
        <f>Weekly_Inspections!$AV570</f>
        <v>0</v>
      </c>
      <c r="M570" t="str">
        <f t="shared" si="24"/>
        <v>Open</v>
      </c>
      <c r="N570" s="24"/>
      <c r="O570">
        <f t="shared" ca="1" si="25"/>
        <v>46113</v>
      </c>
      <c r="P570" t="str">
        <f t="shared" ca="1" si="26"/>
        <v>YES</v>
      </c>
      <c r="Q570">
        <f>Weekly_Inspections!$AW570</f>
        <v>0</v>
      </c>
    </row>
    <row r="571" spans="1:17" ht="15" customHeight="1" x14ac:dyDescent="0.2">
      <c r="A571" t="str">
        <f>IF(Weekly_Inspections!$B571="","",Weekly_Inspections!$A571&amp;"-A1")</f>
        <v/>
      </c>
      <c r="B571" s="24">
        <f>Weekly_Inspections!$B571</f>
        <v>0</v>
      </c>
      <c r="C571">
        <f>Weekly_Inspections!$E571</f>
        <v>0</v>
      </c>
      <c r="D571">
        <f>Weekly_Inspections!$F571</f>
        <v>0</v>
      </c>
      <c r="E571" t="str">
        <f>Weekly_Inspections!$H571</f>
        <v/>
      </c>
      <c r="F571">
        <f>IF(Weekly_Inspections!$AX571&lt;&gt;"",Weekly_Inspections!$AX571,IF(Weekly_Inspections!$AY571&lt;&gt;"",Weekly_Inspections!$AY571,IF(Weekly_Inspections!$AZ571&lt;&gt;"",Weekly_Inspections!$AZ571,IF(Weekly_Inspections!$BA571&lt;&gt;"",Weekly_Inspections!$BA571,IF(Weekly_Inspections!$BB571&lt;&gt;"",Weekly_Inspections!$BB571,Weekly_Inspections!$R571)))))</f>
        <v>0</v>
      </c>
      <c r="G571" t="str">
        <f>IF(OR(Weekly_Inspections!$AQ571&lt;&gt;"",Weekly_Inspections!$AR571&lt;&gt;"",Weekly_Inspections!$AS571&lt;&gt;""),Weekly_Inspections!$AQ571,"")</f>
        <v/>
      </c>
      <c r="H571">
        <f>Weekly_Inspections!$AP571</f>
        <v>0</v>
      </c>
      <c r="I571">
        <f>Weekly_Inspections!$AR571</f>
        <v>0</v>
      </c>
      <c r="J571">
        <f>Weekly_Inspections!$AS571</f>
        <v>0</v>
      </c>
      <c r="K571">
        <f>Weekly_Inspections!$AU571</f>
        <v>0</v>
      </c>
      <c r="L571" s="24">
        <f>Weekly_Inspections!$AV571</f>
        <v>0</v>
      </c>
      <c r="M571" t="str">
        <f t="shared" si="24"/>
        <v>Open</v>
      </c>
      <c r="N571" s="24"/>
      <c r="O571">
        <f t="shared" ca="1" si="25"/>
        <v>46113</v>
      </c>
      <c r="P571" t="str">
        <f t="shared" ca="1" si="26"/>
        <v>YES</v>
      </c>
      <c r="Q571">
        <f>Weekly_Inspections!$AW571</f>
        <v>0</v>
      </c>
    </row>
    <row r="572" spans="1:17" ht="15" customHeight="1" x14ac:dyDescent="0.2">
      <c r="A572" t="str">
        <f>IF(Weekly_Inspections!$B572="","",Weekly_Inspections!$A572&amp;"-A1")</f>
        <v/>
      </c>
      <c r="B572" s="24">
        <f>Weekly_Inspections!$B572</f>
        <v>0</v>
      </c>
      <c r="C572">
        <f>Weekly_Inspections!$E572</f>
        <v>0</v>
      </c>
      <c r="D572">
        <f>Weekly_Inspections!$F572</f>
        <v>0</v>
      </c>
      <c r="E572" t="str">
        <f>Weekly_Inspections!$H572</f>
        <v/>
      </c>
      <c r="F572">
        <f>IF(Weekly_Inspections!$AX572&lt;&gt;"",Weekly_Inspections!$AX572,IF(Weekly_Inspections!$AY572&lt;&gt;"",Weekly_Inspections!$AY572,IF(Weekly_Inspections!$AZ572&lt;&gt;"",Weekly_Inspections!$AZ572,IF(Weekly_Inspections!$BA572&lt;&gt;"",Weekly_Inspections!$BA572,IF(Weekly_Inspections!$BB572&lt;&gt;"",Weekly_Inspections!$BB572,Weekly_Inspections!$R572)))))</f>
        <v>0</v>
      </c>
      <c r="G572" t="str">
        <f>IF(OR(Weekly_Inspections!$AQ572&lt;&gt;"",Weekly_Inspections!$AR572&lt;&gt;"",Weekly_Inspections!$AS572&lt;&gt;""),Weekly_Inspections!$AQ572,"")</f>
        <v/>
      </c>
      <c r="H572">
        <f>Weekly_Inspections!$AP572</f>
        <v>0</v>
      </c>
      <c r="I572">
        <f>Weekly_Inspections!$AR572</f>
        <v>0</v>
      </c>
      <c r="J572">
        <f>Weekly_Inspections!$AS572</f>
        <v>0</v>
      </c>
      <c r="K572">
        <f>Weekly_Inspections!$AU572</f>
        <v>0</v>
      </c>
      <c r="L572" s="24">
        <f>Weekly_Inspections!$AV572</f>
        <v>0</v>
      </c>
      <c r="M572" t="str">
        <f t="shared" si="24"/>
        <v>Open</v>
      </c>
      <c r="N572" s="24"/>
      <c r="O572">
        <f t="shared" ca="1" si="25"/>
        <v>46113</v>
      </c>
      <c r="P572" t="str">
        <f t="shared" ca="1" si="26"/>
        <v>YES</v>
      </c>
      <c r="Q572">
        <f>Weekly_Inspections!$AW572</f>
        <v>0</v>
      </c>
    </row>
    <row r="573" spans="1:17" ht="15" customHeight="1" x14ac:dyDescent="0.2">
      <c r="A573" t="str">
        <f>IF(Weekly_Inspections!$B573="","",Weekly_Inspections!$A573&amp;"-A1")</f>
        <v/>
      </c>
      <c r="B573" s="24">
        <f>Weekly_Inspections!$B573</f>
        <v>0</v>
      </c>
      <c r="C573">
        <f>Weekly_Inspections!$E573</f>
        <v>0</v>
      </c>
      <c r="D573">
        <f>Weekly_Inspections!$F573</f>
        <v>0</v>
      </c>
      <c r="E573" t="str">
        <f>Weekly_Inspections!$H573</f>
        <v/>
      </c>
      <c r="F573">
        <f>IF(Weekly_Inspections!$AX573&lt;&gt;"",Weekly_Inspections!$AX573,IF(Weekly_Inspections!$AY573&lt;&gt;"",Weekly_Inspections!$AY573,IF(Weekly_Inspections!$AZ573&lt;&gt;"",Weekly_Inspections!$AZ573,IF(Weekly_Inspections!$BA573&lt;&gt;"",Weekly_Inspections!$BA573,IF(Weekly_Inspections!$BB573&lt;&gt;"",Weekly_Inspections!$BB573,Weekly_Inspections!$R573)))))</f>
        <v>0</v>
      </c>
      <c r="G573" t="str">
        <f>IF(OR(Weekly_Inspections!$AQ573&lt;&gt;"",Weekly_Inspections!$AR573&lt;&gt;"",Weekly_Inspections!$AS573&lt;&gt;""),Weekly_Inspections!$AQ573,"")</f>
        <v/>
      </c>
      <c r="H573">
        <f>Weekly_Inspections!$AP573</f>
        <v>0</v>
      </c>
      <c r="I573">
        <f>Weekly_Inspections!$AR573</f>
        <v>0</v>
      </c>
      <c r="J573">
        <f>Weekly_Inspections!$AS573</f>
        <v>0</v>
      </c>
      <c r="K573">
        <f>Weekly_Inspections!$AU573</f>
        <v>0</v>
      </c>
      <c r="L573" s="24">
        <f>Weekly_Inspections!$AV573</f>
        <v>0</v>
      </c>
      <c r="M573" t="str">
        <f t="shared" si="24"/>
        <v>Open</v>
      </c>
      <c r="N573" s="24"/>
      <c r="O573">
        <f t="shared" ca="1" si="25"/>
        <v>46113</v>
      </c>
      <c r="P573" t="str">
        <f t="shared" ca="1" si="26"/>
        <v>YES</v>
      </c>
      <c r="Q573">
        <f>Weekly_Inspections!$AW573</f>
        <v>0</v>
      </c>
    </row>
    <row r="574" spans="1:17" ht="15" customHeight="1" x14ac:dyDescent="0.2">
      <c r="A574" t="str">
        <f>IF(Weekly_Inspections!$B574="","",Weekly_Inspections!$A574&amp;"-A1")</f>
        <v/>
      </c>
      <c r="B574" s="24">
        <f>Weekly_Inspections!$B574</f>
        <v>0</v>
      </c>
      <c r="C574">
        <f>Weekly_Inspections!$E574</f>
        <v>0</v>
      </c>
      <c r="D574">
        <f>Weekly_Inspections!$F574</f>
        <v>0</v>
      </c>
      <c r="E574" t="str">
        <f>Weekly_Inspections!$H574</f>
        <v/>
      </c>
      <c r="F574">
        <f>IF(Weekly_Inspections!$AX574&lt;&gt;"",Weekly_Inspections!$AX574,IF(Weekly_Inspections!$AY574&lt;&gt;"",Weekly_Inspections!$AY574,IF(Weekly_Inspections!$AZ574&lt;&gt;"",Weekly_Inspections!$AZ574,IF(Weekly_Inspections!$BA574&lt;&gt;"",Weekly_Inspections!$BA574,IF(Weekly_Inspections!$BB574&lt;&gt;"",Weekly_Inspections!$BB574,Weekly_Inspections!$R574)))))</f>
        <v>0</v>
      </c>
      <c r="G574" t="str">
        <f>IF(OR(Weekly_Inspections!$AQ574&lt;&gt;"",Weekly_Inspections!$AR574&lt;&gt;"",Weekly_Inspections!$AS574&lt;&gt;""),Weekly_Inspections!$AQ574,"")</f>
        <v/>
      </c>
      <c r="H574">
        <f>Weekly_Inspections!$AP574</f>
        <v>0</v>
      </c>
      <c r="I574">
        <f>Weekly_Inspections!$AR574</f>
        <v>0</v>
      </c>
      <c r="J574">
        <f>Weekly_Inspections!$AS574</f>
        <v>0</v>
      </c>
      <c r="K574">
        <f>Weekly_Inspections!$AU574</f>
        <v>0</v>
      </c>
      <c r="L574" s="24">
        <f>Weekly_Inspections!$AV574</f>
        <v>0</v>
      </c>
      <c r="M574" t="str">
        <f t="shared" si="24"/>
        <v>Open</v>
      </c>
      <c r="N574" s="24"/>
      <c r="O574">
        <f t="shared" ca="1" si="25"/>
        <v>46113</v>
      </c>
      <c r="P574" t="str">
        <f t="shared" ca="1" si="26"/>
        <v>YES</v>
      </c>
      <c r="Q574">
        <f>Weekly_Inspections!$AW574</f>
        <v>0</v>
      </c>
    </row>
    <row r="575" spans="1:17" ht="15" customHeight="1" x14ac:dyDescent="0.2">
      <c r="A575" t="str">
        <f>IF(Weekly_Inspections!$B575="","",Weekly_Inspections!$A575&amp;"-A1")</f>
        <v/>
      </c>
      <c r="B575" s="24">
        <f>Weekly_Inspections!$B575</f>
        <v>0</v>
      </c>
      <c r="C575">
        <f>Weekly_Inspections!$E575</f>
        <v>0</v>
      </c>
      <c r="D575">
        <f>Weekly_Inspections!$F575</f>
        <v>0</v>
      </c>
      <c r="E575" t="str">
        <f>Weekly_Inspections!$H575</f>
        <v/>
      </c>
      <c r="F575">
        <f>IF(Weekly_Inspections!$AX575&lt;&gt;"",Weekly_Inspections!$AX575,IF(Weekly_Inspections!$AY575&lt;&gt;"",Weekly_Inspections!$AY575,IF(Weekly_Inspections!$AZ575&lt;&gt;"",Weekly_Inspections!$AZ575,IF(Weekly_Inspections!$BA575&lt;&gt;"",Weekly_Inspections!$BA575,IF(Weekly_Inspections!$BB575&lt;&gt;"",Weekly_Inspections!$BB575,Weekly_Inspections!$R575)))))</f>
        <v>0</v>
      </c>
      <c r="G575" t="str">
        <f>IF(OR(Weekly_Inspections!$AQ575&lt;&gt;"",Weekly_Inspections!$AR575&lt;&gt;"",Weekly_Inspections!$AS575&lt;&gt;""),Weekly_Inspections!$AQ575,"")</f>
        <v/>
      </c>
      <c r="H575">
        <f>Weekly_Inspections!$AP575</f>
        <v>0</v>
      </c>
      <c r="I575">
        <f>Weekly_Inspections!$AR575</f>
        <v>0</v>
      </c>
      <c r="J575">
        <f>Weekly_Inspections!$AS575</f>
        <v>0</v>
      </c>
      <c r="K575">
        <f>Weekly_Inspections!$AU575</f>
        <v>0</v>
      </c>
      <c r="L575" s="24">
        <f>Weekly_Inspections!$AV575</f>
        <v>0</v>
      </c>
      <c r="M575" t="str">
        <f t="shared" si="24"/>
        <v>Open</v>
      </c>
      <c r="N575" s="24"/>
      <c r="O575">
        <f t="shared" ca="1" si="25"/>
        <v>46113</v>
      </c>
      <c r="P575" t="str">
        <f t="shared" ca="1" si="26"/>
        <v>YES</v>
      </c>
      <c r="Q575">
        <f>Weekly_Inspections!$AW575</f>
        <v>0</v>
      </c>
    </row>
    <row r="576" spans="1:17" ht="15" customHeight="1" x14ac:dyDescent="0.2">
      <c r="A576" t="str">
        <f>IF(Weekly_Inspections!$B576="","",Weekly_Inspections!$A576&amp;"-A1")</f>
        <v/>
      </c>
      <c r="B576" s="24">
        <f>Weekly_Inspections!$B576</f>
        <v>0</v>
      </c>
      <c r="C576">
        <f>Weekly_Inspections!$E576</f>
        <v>0</v>
      </c>
      <c r="D576">
        <f>Weekly_Inspections!$F576</f>
        <v>0</v>
      </c>
      <c r="E576" t="str">
        <f>Weekly_Inspections!$H576</f>
        <v/>
      </c>
      <c r="F576">
        <f>IF(Weekly_Inspections!$AX576&lt;&gt;"",Weekly_Inspections!$AX576,IF(Weekly_Inspections!$AY576&lt;&gt;"",Weekly_Inspections!$AY576,IF(Weekly_Inspections!$AZ576&lt;&gt;"",Weekly_Inspections!$AZ576,IF(Weekly_Inspections!$BA576&lt;&gt;"",Weekly_Inspections!$BA576,IF(Weekly_Inspections!$BB576&lt;&gt;"",Weekly_Inspections!$BB576,Weekly_Inspections!$R576)))))</f>
        <v>0</v>
      </c>
      <c r="G576" t="str">
        <f>IF(OR(Weekly_Inspections!$AQ576&lt;&gt;"",Weekly_Inspections!$AR576&lt;&gt;"",Weekly_Inspections!$AS576&lt;&gt;""),Weekly_Inspections!$AQ576,"")</f>
        <v/>
      </c>
      <c r="H576">
        <f>Weekly_Inspections!$AP576</f>
        <v>0</v>
      </c>
      <c r="I576">
        <f>Weekly_Inspections!$AR576</f>
        <v>0</v>
      </c>
      <c r="J576">
        <f>Weekly_Inspections!$AS576</f>
        <v>0</v>
      </c>
      <c r="K576">
        <f>Weekly_Inspections!$AU576</f>
        <v>0</v>
      </c>
      <c r="L576" s="24">
        <f>Weekly_Inspections!$AV576</f>
        <v>0</v>
      </c>
      <c r="M576" t="str">
        <f t="shared" ref="M576:M639" si="27">IF($B576="","",IF($N576&lt;&gt;"","Closed",IF(OR($G576&lt;&gt;"",$I576&lt;&gt;"",$J576&lt;&gt;""),"Open","")))</f>
        <v>Open</v>
      </c>
      <c r="N576" s="24"/>
      <c r="O576">
        <f t="shared" ref="O576:O639" ca="1" si="28">IF($B576="","",IF($M576="Closed",IF($N576="","",$N576-$B576),TODAY()-$B576))</f>
        <v>46113</v>
      </c>
      <c r="P576" t="str">
        <f t="shared" ref="P576:P639" ca="1" si="29">IF(OR($B576="",$L576="",$M576="Closed"),"",IF(TODAY()&gt;$L576,"YES","NO"))</f>
        <v>YES</v>
      </c>
      <c r="Q576">
        <f>Weekly_Inspections!$AW576</f>
        <v>0</v>
      </c>
    </row>
    <row r="577" spans="1:17" ht="15" customHeight="1" x14ac:dyDescent="0.2">
      <c r="A577" t="str">
        <f>IF(Weekly_Inspections!$B577="","",Weekly_Inspections!$A577&amp;"-A1")</f>
        <v/>
      </c>
      <c r="B577" s="24">
        <f>Weekly_Inspections!$B577</f>
        <v>0</v>
      </c>
      <c r="C577">
        <f>Weekly_Inspections!$E577</f>
        <v>0</v>
      </c>
      <c r="D577">
        <f>Weekly_Inspections!$F577</f>
        <v>0</v>
      </c>
      <c r="E577" t="str">
        <f>Weekly_Inspections!$H577</f>
        <v/>
      </c>
      <c r="F577">
        <f>IF(Weekly_Inspections!$AX577&lt;&gt;"",Weekly_Inspections!$AX577,IF(Weekly_Inspections!$AY577&lt;&gt;"",Weekly_Inspections!$AY577,IF(Weekly_Inspections!$AZ577&lt;&gt;"",Weekly_Inspections!$AZ577,IF(Weekly_Inspections!$BA577&lt;&gt;"",Weekly_Inspections!$BA577,IF(Weekly_Inspections!$BB577&lt;&gt;"",Weekly_Inspections!$BB577,Weekly_Inspections!$R577)))))</f>
        <v>0</v>
      </c>
      <c r="G577" t="str">
        <f>IF(OR(Weekly_Inspections!$AQ577&lt;&gt;"",Weekly_Inspections!$AR577&lt;&gt;"",Weekly_Inspections!$AS577&lt;&gt;""),Weekly_Inspections!$AQ577,"")</f>
        <v/>
      </c>
      <c r="H577">
        <f>Weekly_Inspections!$AP577</f>
        <v>0</v>
      </c>
      <c r="I577">
        <f>Weekly_Inspections!$AR577</f>
        <v>0</v>
      </c>
      <c r="J577">
        <f>Weekly_Inspections!$AS577</f>
        <v>0</v>
      </c>
      <c r="K577">
        <f>Weekly_Inspections!$AU577</f>
        <v>0</v>
      </c>
      <c r="L577" s="24">
        <f>Weekly_Inspections!$AV577</f>
        <v>0</v>
      </c>
      <c r="M577" t="str">
        <f t="shared" si="27"/>
        <v>Open</v>
      </c>
      <c r="N577" s="24"/>
      <c r="O577">
        <f t="shared" ca="1" si="28"/>
        <v>46113</v>
      </c>
      <c r="P577" t="str">
        <f t="shared" ca="1" si="29"/>
        <v>YES</v>
      </c>
      <c r="Q577">
        <f>Weekly_Inspections!$AW577</f>
        <v>0</v>
      </c>
    </row>
    <row r="578" spans="1:17" ht="15" customHeight="1" x14ac:dyDescent="0.2">
      <c r="A578" t="str">
        <f>IF(Weekly_Inspections!$B578="","",Weekly_Inspections!$A578&amp;"-A1")</f>
        <v/>
      </c>
      <c r="B578" s="24">
        <f>Weekly_Inspections!$B578</f>
        <v>0</v>
      </c>
      <c r="C578">
        <f>Weekly_Inspections!$E578</f>
        <v>0</v>
      </c>
      <c r="D578">
        <f>Weekly_Inspections!$F578</f>
        <v>0</v>
      </c>
      <c r="E578" t="str">
        <f>Weekly_Inspections!$H578</f>
        <v/>
      </c>
      <c r="F578">
        <f>IF(Weekly_Inspections!$AX578&lt;&gt;"",Weekly_Inspections!$AX578,IF(Weekly_Inspections!$AY578&lt;&gt;"",Weekly_Inspections!$AY578,IF(Weekly_Inspections!$AZ578&lt;&gt;"",Weekly_Inspections!$AZ578,IF(Weekly_Inspections!$BA578&lt;&gt;"",Weekly_Inspections!$BA578,IF(Weekly_Inspections!$BB578&lt;&gt;"",Weekly_Inspections!$BB578,Weekly_Inspections!$R578)))))</f>
        <v>0</v>
      </c>
      <c r="G578" t="str">
        <f>IF(OR(Weekly_Inspections!$AQ578&lt;&gt;"",Weekly_Inspections!$AR578&lt;&gt;"",Weekly_Inspections!$AS578&lt;&gt;""),Weekly_Inspections!$AQ578,"")</f>
        <v/>
      </c>
      <c r="H578">
        <f>Weekly_Inspections!$AP578</f>
        <v>0</v>
      </c>
      <c r="I578">
        <f>Weekly_Inspections!$AR578</f>
        <v>0</v>
      </c>
      <c r="J578">
        <f>Weekly_Inspections!$AS578</f>
        <v>0</v>
      </c>
      <c r="K578">
        <f>Weekly_Inspections!$AU578</f>
        <v>0</v>
      </c>
      <c r="L578" s="24">
        <f>Weekly_Inspections!$AV578</f>
        <v>0</v>
      </c>
      <c r="M578" t="str">
        <f t="shared" si="27"/>
        <v>Open</v>
      </c>
      <c r="N578" s="24"/>
      <c r="O578">
        <f t="shared" ca="1" si="28"/>
        <v>46113</v>
      </c>
      <c r="P578" t="str">
        <f t="shared" ca="1" si="29"/>
        <v>YES</v>
      </c>
      <c r="Q578">
        <f>Weekly_Inspections!$AW578</f>
        <v>0</v>
      </c>
    </row>
    <row r="579" spans="1:17" ht="15" customHeight="1" x14ac:dyDescent="0.2">
      <c r="A579" t="str">
        <f>IF(Weekly_Inspections!$B579="","",Weekly_Inspections!$A579&amp;"-A1")</f>
        <v/>
      </c>
      <c r="B579" s="24">
        <f>Weekly_Inspections!$B579</f>
        <v>0</v>
      </c>
      <c r="C579">
        <f>Weekly_Inspections!$E579</f>
        <v>0</v>
      </c>
      <c r="D579">
        <f>Weekly_Inspections!$F579</f>
        <v>0</v>
      </c>
      <c r="E579" t="str">
        <f>Weekly_Inspections!$H579</f>
        <v/>
      </c>
      <c r="F579">
        <f>IF(Weekly_Inspections!$AX579&lt;&gt;"",Weekly_Inspections!$AX579,IF(Weekly_Inspections!$AY579&lt;&gt;"",Weekly_Inspections!$AY579,IF(Weekly_Inspections!$AZ579&lt;&gt;"",Weekly_Inspections!$AZ579,IF(Weekly_Inspections!$BA579&lt;&gt;"",Weekly_Inspections!$BA579,IF(Weekly_Inspections!$BB579&lt;&gt;"",Weekly_Inspections!$BB579,Weekly_Inspections!$R579)))))</f>
        <v>0</v>
      </c>
      <c r="G579" t="str">
        <f>IF(OR(Weekly_Inspections!$AQ579&lt;&gt;"",Weekly_Inspections!$AR579&lt;&gt;"",Weekly_Inspections!$AS579&lt;&gt;""),Weekly_Inspections!$AQ579,"")</f>
        <v/>
      </c>
      <c r="H579">
        <f>Weekly_Inspections!$AP579</f>
        <v>0</v>
      </c>
      <c r="I579">
        <f>Weekly_Inspections!$AR579</f>
        <v>0</v>
      </c>
      <c r="J579">
        <f>Weekly_Inspections!$AS579</f>
        <v>0</v>
      </c>
      <c r="K579">
        <f>Weekly_Inspections!$AU579</f>
        <v>0</v>
      </c>
      <c r="L579" s="24">
        <f>Weekly_Inspections!$AV579</f>
        <v>0</v>
      </c>
      <c r="M579" t="str">
        <f t="shared" si="27"/>
        <v>Open</v>
      </c>
      <c r="N579" s="24"/>
      <c r="O579">
        <f t="shared" ca="1" si="28"/>
        <v>46113</v>
      </c>
      <c r="P579" t="str">
        <f t="shared" ca="1" si="29"/>
        <v>YES</v>
      </c>
      <c r="Q579">
        <f>Weekly_Inspections!$AW579</f>
        <v>0</v>
      </c>
    </row>
    <row r="580" spans="1:17" ht="15" customHeight="1" x14ac:dyDescent="0.2">
      <c r="A580" t="str">
        <f>IF(Weekly_Inspections!$B580="","",Weekly_Inspections!$A580&amp;"-A1")</f>
        <v/>
      </c>
      <c r="B580" s="24">
        <f>Weekly_Inspections!$B580</f>
        <v>0</v>
      </c>
      <c r="C580">
        <f>Weekly_Inspections!$E580</f>
        <v>0</v>
      </c>
      <c r="D580">
        <f>Weekly_Inspections!$F580</f>
        <v>0</v>
      </c>
      <c r="E580" t="str">
        <f>Weekly_Inspections!$H580</f>
        <v/>
      </c>
      <c r="F580">
        <f>IF(Weekly_Inspections!$AX580&lt;&gt;"",Weekly_Inspections!$AX580,IF(Weekly_Inspections!$AY580&lt;&gt;"",Weekly_Inspections!$AY580,IF(Weekly_Inspections!$AZ580&lt;&gt;"",Weekly_Inspections!$AZ580,IF(Weekly_Inspections!$BA580&lt;&gt;"",Weekly_Inspections!$BA580,IF(Weekly_Inspections!$BB580&lt;&gt;"",Weekly_Inspections!$BB580,Weekly_Inspections!$R580)))))</f>
        <v>0</v>
      </c>
      <c r="G580" t="str">
        <f>IF(OR(Weekly_Inspections!$AQ580&lt;&gt;"",Weekly_Inspections!$AR580&lt;&gt;"",Weekly_Inspections!$AS580&lt;&gt;""),Weekly_Inspections!$AQ580,"")</f>
        <v/>
      </c>
      <c r="H580">
        <f>Weekly_Inspections!$AP580</f>
        <v>0</v>
      </c>
      <c r="I580">
        <f>Weekly_Inspections!$AR580</f>
        <v>0</v>
      </c>
      <c r="J580">
        <f>Weekly_Inspections!$AS580</f>
        <v>0</v>
      </c>
      <c r="K580">
        <f>Weekly_Inspections!$AU580</f>
        <v>0</v>
      </c>
      <c r="L580" s="24">
        <f>Weekly_Inspections!$AV580</f>
        <v>0</v>
      </c>
      <c r="M580" t="str">
        <f t="shared" si="27"/>
        <v>Open</v>
      </c>
      <c r="N580" s="24"/>
      <c r="O580">
        <f t="shared" ca="1" si="28"/>
        <v>46113</v>
      </c>
      <c r="P580" t="str">
        <f t="shared" ca="1" si="29"/>
        <v>YES</v>
      </c>
      <c r="Q580">
        <f>Weekly_Inspections!$AW580</f>
        <v>0</v>
      </c>
    </row>
    <row r="581" spans="1:17" ht="15" customHeight="1" x14ac:dyDescent="0.2">
      <c r="A581" t="str">
        <f>IF(Weekly_Inspections!$B581="","",Weekly_Inspections!$A581&amp;"-A1")</f>
        <v/>
      </c>
      <c r="B581" s="24">
        <f>Weekly_Inspections!$B581</f>
        <v>0</v>
      </c>
      <c r="C581">
        <f>Weekly_Inspections!$E581</f>
        <v>0</v>
      </c>
      <c r="D581">
        <f>Weekly_Inspections!$F581</f>
        <v>0</v>
      </c>
      <c r="E581" t="str">
        <f>Weekly_Inspections!$H581</f>
        <v/>
      </c>
      <c r="F581">
        <f>IF(Weekly_Inspections!$AX581&lt;&gt;"",Weekly_Inspections!$AX581,IF(Weekly_Inspections!$AY581&lt;&gt;"",Weekly_Inspections!$AY581,IF(Weekly_Inspections!$AZ581&lt;&gt;"",Weekly_Inspections!$AZ581,IF(Weekly_Inspections!$BA581&lt;&gt;"",Weekly_Inspections!$BA581,IF(Weekly_Inspections!$BB581&lt;&gt;"",Weekly_Inspections!$BB581,Weekly_Inspections!$R581)))))</f>
        <v>0</v>
      </c>
      <c r="G581" t="str">
        <f>IF(OR(Weekly_Inspections!$AQ581&lt;&gt;"",Weekly_Inspections!$AR581&lt;&gt;"",Weekly_Inspections!$AS581&lt;&gt;""),Weekly_Inspections!$AQ581,"")</f>
        <v/>
      </c>
      <c r="H581">
        <f>Weekly_Inspections!$AP581</f>
        <v>0</v>
      </c>
      <c r="I581">
        <f>Weekly_Inspections!$AR581</f>
        <v>0</v>
      </c>
      <c r="J581">
        <f>Weekly_Inspections!$AS581</f>
        <v>0</v>
      </c>
      <c r="K581">
        <f>Weekly_Inspections!$AU581</f>
        <v>0</v>
      </c>
      <c r="L581" s="24">
        <f>Weekly_Inspections!$AV581</f>
        <v>0</v>
      </c>
      <c r="M581" t="str">
        <f t="shared" si="27"/>
        <v>Open</v>
      </c>
      <c r="N581" s="24"/>
      <c r="O581">
        <f t="shared" ca="1" si="28"/>
        <v>46113</v>
      </c>
      <c r="P581" t="str">
        <f t="shared" ca="1" si="29"/>
        <v>YES</v>
      </c>
      <c r="Q581">
        <f>Weekly_Inspections!$AW581</f>
        <v>0</v>
      </c>
    </row>
    <row r="582" spans="1:17" ht="15" customHeight="1" x14ac:dyDescent="0.2">
      <c r="A582" t="str">
        <f>IF(Weekly_Inspections!$B582="","",Weekly_Inspections!$A582&amp;"-A1")</f>
        <v/>
      </c>
      <c r="B582" s="24">
        <f>Weekly_Inspections!$B582</f>
        <v>0</v>
      </c>
      <c r="C582">
        <f>Weekly_Inspections!$E582</f>
        <v>0</v>
      </c>
      <c r="D582">
        <f>Weekly_Inspections!$F582</f>
        <v>0</v>
      </c>
      <c r="E582" t="str">
        <f>Weekly_Inspections!$H582</f>
        <v/>
      </c>
      <c r="F582">
        <f>IF(Weekly_Inspections!$AX582&lt;&gt;"",Weekly_Inspections!$AX582,IF(Weekly_Inspections!$AY582&lt;&gt;"",Weekly_Inspections!$AY582,IF(Weekly_Inspections!$AZ582&lt;&gt;"",Weekly_Inspections!$AZ582,IF(Weekly_Inspections!$BA582&lt;&gt;"",Weekly_Inspections!$BA582,IF(Weekly_Inspections!$BB582&lt;&gt;"",Weekly_Inspections!$BB582,Weekly_Inspections!$R582)))))</f>
        <v>0</v>
      </c>
      <c r="G582" t="str">
        <f>IF(OR(Weekly_Inspections!$AQ582&lt;&gt;"",Weekly_Inspections!$AR582&lt;&gt;"",Weekly_Inspections!$AS582&lt;&gt;""),Weekly_Inspections!$AQ582,"")</f>
        <v/>
      </c>
      <c r="H582">
        <f>Weekly_Inspections!$AP582</f>
        <v>0</v>
      </c>
      <c r="I582">
        <f>Weekly_Inspections!$AR582</f>
        <v>0</v>
      </c>
      <c r="J582">
        <f>Weekly_Inspections!$AS582</f>
        <v>0</v>
      </c>
      <c r="K582">
        <f>Weekly_Inspections!$AU582</f>
        <v>0</v>
      </c>
      <c r="L582" s="24">
        <f>Weekly_Inspections!$AV582</f>
        <v>0</v>
      </c>
      <c r="M582" t="str">
        <f t="shared" si="27"/>
        <v>Open</v>
      </c>
      <c r="N582" s="24"/>
      <c r="O582">
        <f t="shared" ca="1" si="28"/>
        <v>46113</v>
      </c>
      <c r="P582" t="str">
        <f t="shared" ca="1" si="29"/>
        <v>YES</v>
      </c>
      <c r="Q582">
        <f>Weekly_Inspections!$AW582</f>
        <v>0</v>
      </c>
    </row>
    <row r="583" spans="1:17" ht="15" customHeight="1" x14ac:dyDescent="0.2">
      <c r="A583" t="str">
        <f>IF(Weekly_Inspections!$B583="","",Weekly_Inspections!$A583&amp;"-A1")</f>
        <v/>
      </c>
      <c r="B583" s="24">
        <f>Weekly_Inspections!$B583</f>
        <v>0</v>
      </c>
      <c r="C583">
        <f>Weekly_Inspections!$E583</f>
        <v>0</v>
      </c>
      <c r="D583">
        <f>Weekly_Inspections!$F583</f>
        <v>0</v>
      </c>
      <c r="E583" t="str">
        <f>Weekly_Inspections!$H583</f>
        <v/>
      </c>
      <c r="F583">
        <f>IF(Weekly_Inspections!$AX583&lt;&gt;"",Weekly_Inspections!$AX583,IF(Weekly_Inspections!$AY583&lt;&gt;"",Weekly_Inspections!$AY583,IF(Weekly_Inspections!$AZ583&lt;&gt;"",Weekly_Inspections!$AZ583,IF(Weekly_Inspections!$BA583&lt;&gt;"",Weekly_Inspections!$BA583,IF(Weekly_Inspections!$BB583&lt;&gt;"",Weekly_Inspections!$BB583,Weekly_Inspections!$R583)))))</f>
        <v>0</v>
      </c>
      <c r="G583" t="str">
        <f>IF(OR(Weekly_Inspections!$AQ583&lt;&gt;"",Weekly_Inspections!$AR583&lt;&gt;"",Weekly_Inspections!$AS583&lt;&gt;""),Weekly_Inspections!$AQ583,"")</f>
        <v/>
      </c>
      <c r="H583">
        <f>Weekly_Inspections!$AP583</f>
        <v>0</v>
      </c>
      <c r="I583">
        <f>Weekly_Inspections!$AR583</f>
        <v>0</v>
      </c>
      <c r="J583">
        <f>Weekly_Inspections!$AS583</f>
        <v>0</v>
      </c>
      <c r="K583">
        <f>Weekly_Inspections!$AU583</f>
        <v>0</v>
      </c>
      <c r="L583" s="24">
        <f>Weekly_Inspections!$AV583</f>
        <v>0</v>
      </c>
      <c r="M583" t="str">
        <f t="shared" si="27"/>
        <v>Open</v>
      </c>
      <c r="N583" s="24"/>
      <c r="O583">
        <f t="shared" ca="1" si="28"/>
        <v>46113</v>
      </c>
      <c r="P583" t="str">
        <f t="shared" ca="1" si="29"/>
        <v>YES</v>
      </c>
      <c r="Q583">
        <f>Weekly_Inspections!$AW583</f>
        <v>0</v>
      </c>
    </row>
    <row r="584" spans="1:17" ht="15" customHeight="1" x14ac:dyDescent="0.2">
      <c r="A584" t="str">
        <f>IF(Weekly_Inspections!$B584="","",Weekly_Inspections!$A584&amp;"-A1")</f>
        <v/>
      </c>
      <c r="B584" s="24">
        <f>Weekly_Inspections!$B584</f>
        <v>0</v>
      </c>
      <c r="C584">
        <f>Weekly_Inspections!$E584</f>
        <v>0</v>
      </c>
      <c r="D584">
        <f>Weekly_Inspections!$F584</f>
        <v>0</v>
      </c>
      <c r="E584" t="str">
        <f>Weekly_Inspections!$H584</f>
        <v/>
      </c>
      <c r="F584">
        <f>IF(Weekly_Inspections!$AX584&lt;&gt;"",Weekly_Inspections!$AX584,IF(Weekly_Inspections!$AY584&lt;&gt;"",Weekly_Inspections!$AY584,IF(Weekly_Inspections!$AZ584&lt;&gt;"",Weekly_Inspections!$AZ584,IF(Weekly_Inspections!$BA584&lt;&gt;"",Weekly_Inspections!$BA584,IF(Weekly_Inspections!$BB584&lt;&gt;"",Weekly_Inspections!$BB584,Weekly_Inspections!$R584)))))</f>
        <v>0</v>
      </c>
      <c r="G584" t="str">
        <f>IF(OR(Weekly_Inspections!$AQ584&lt;&gt;"",Weekly_Inspections!$AR584&lt;&gt;"",Weekly_Inspections!$AS584&lt;&gt;""),Weekly_Inspections!$AQ584,"")</f>
        <v/>
      </c>
      <c r="H584">
        <f>Weekly_Inspections!$AP584</f>
        <v>0</v>
      </c>
      <c r="I584">
        <f>Weekly_Inspections!$AR584</f>
        <v>0</v>
      </c>
      <c r="J584">
        <f>Weekly_Inspections!$AS584</f>
        <v>0</v>
      </c>
      <c r="K584">
        <f>Weekly_Inspections!$AU584</f>
        <v>0</v>
      </c>
      <c r="L584" s="24">
        <f>Weekly_Inspections!$AV584</f>
        <v>0</v>
      </c>
      <c r="M584" t="str">
        <f t="shared" si="27"/>
        <v>Open</v>
      </c>
      <c r="N584" s="24"/>
      <c r="O584">
        <f t="shared" ca="1" si="28"/>
        <v>46113</v>
      </c>
      <c r="P584" t="str">
        <f t="shared" ca="1" si="29"/>
        <v>YES</v>
      </c>
      <c r="Q584">
        <f>Weekly_Inspections!$AW584</f>
        <v>0</v>
      </c>
    </row>
    <row r="585" spans="1:17" ht="15" customHeight="1" x14ac:dyDescent="0.2">
      <c r="A585" t="str">
        <f>IF(Weekly_Inspections!$B585="","",Weekly_Inspections!$A585&amp;"-A1")</f>
        <v/>
      </c>
      <c r="B585" s="24">
        <f>Weekly_Inspections!$B585</f>
        <v>0</v>
      </c>
      <c r="C585">
        <f>Weekly_Inspections!$E585</f>
        <v>0</v>
      </c>
      <c r="D585">
        <f>Weekly_Inspections!$F585</f>
        <v>0</v>
      </c>
      <c r="E585" t="str">
        <f>Weekly_Inspections!$H585</f>
        <v/>
      </c>
      <c r="F585">
        <f>IF(Weekly_Inspections!$AX585&lt;&gt;"",Weekly_Inspections!$AX585,IF(Weekly_Inspections!$AY585&lt;&gt;"",Weekly_Inspections!$AY585,IF(Weekly_Inspections!$AZ585&lt;&gt;"",Weekly_Inspections!$AZ585,IF(Weekly_Inspections!$BA585&lt;&gt;"",Weekly_Inspections!$BA585,IF(Weekly_Inspections!$BB585&lt;&gt;"",Weekly_Inspections!$BB585,Weekly_Inspections!$R585)))))</f>
        <v>0</v>
      </c>
      <c r="G585" t="str">
        <f>IF(OR(Weekly_Inspections!$AQ585&lt;&gt;"",Weekly_Inspections!$AR585&lt;&gt;"",Weekly_Inspections!$AS585&lt;&gt;""),Weekly_Inspections!$AQ585,"")</f>
        <v/>
      </c>
      <c r="H585">
        <f>Weekly_Inspections!$AP585</f>
        <v>0</v>
      </c>
      <c r="I585">
        <f>Weekly_Inspections!$AR585</f>
        <v>0</v>
      </c>
      <c r="J585">
        <f>Weekly_Inspections!$AS585</f>
        <v>0</v>
      </c>
      <c r="K585">
        <f>Weekly_Inspections!$AU585</f>
        <v>0</v>
      </c>
      <c r="L585" s="24">
        <f>Weekly_Inspections!$AV585</f>
        <v>0</v>
      </c>
      <c r="M585" t="str">
        <f t="shared" si="27"/>
        <v>Open</v>
      </c>
      <c r="N585" s="24"/>
      <c r="O585">
        <f t="shared" ca="1" si="28"/>
        <v>46113</v>
      </c>
      <c r="P585" t="str">
        <f t="shared" ca="1" si="29"/>
        <v>YES</v>
      </c>
      <c r="Q585">
        <f>Weekly_Inspections!$AW585</f>
        <v>0</v>
      </c>
    </row>
    <row r="586" spans="1:17" ht="15" customHeight="1" x14ac:dyDescent="0.2">
      <c r="A586" t="str">
        <f>IF(Weekly_Inspections!$B586="","",Weekly_Inspections!$A586&amp;"-A1")</f>
        <v/>
      </c>
      <c r="B586" s="24">
        <f>Weekly_Inspections!$B586</f>
        <v>0</v>
      </c>
      <c r="C586">
        <f>Weekly_Inspections!$E586</f>
        <v>0</v>
      </c>
      <c r="D586">
        <f>Weekly_Inspections!$F586</f>
        <v>0</v>
      </c>
      <c r="E586" t="str">
        <f>Weekly_Inspections!$H586</f>
        <v/>
      </c>
      <c r="F586">
        <f>IF(Weekly_Inspections!$AX586&lt;&gt;"",Weekly_Inspections!$AX586,IF(Weekly_Inspections!$AY586&lt;&gt;"",Weekly_Inspections!$AY586,IF(Weekly_Inspections!$AZ586&lt;&gt;"",Weekly_Inspections!$AZ586,IF(Weekly_Inspections!$BA586&lt;&gt;"",Weekly_Inspections!$BA586,IF(Weekly_Inspections!$BB586&lt;&gt;"",Weekly_Inspections!$BB586,Weekly_Inspections!$R586)))))</f>
        <v>0</v>
      </c>
      <c r="G586" t="str">
        <f>IF(OR(Weekly_Inspections!$AQ586&lt;&gt;"",Weekly_Inspections!$AR586&lt;&gt;"",Weekly_Inspections!$AS586&lt;&gt;""),Weekly_Inspections!$AQ586,"")</f>
        <v/>
      </c>
      <c r="H586">
        <f>Weekly_Inspections!$AP586</f>
        <v>0</v>
      </c>
      <c r="I586">
        <f>Weekly_Inspections!$AR586</f>
        <v>0</v>
      </c>
      <c r="J586">
        <f>Weekly_Inspections!$AS586</f>
        <v>0</v>
      </c>
      <c r="K586">
        <f>Weekly_Inspections!$AU586</f>
        <v>0</v>
      </c>
      <c r="L586" s="24">
        <f>Weekly_Inspections!$AV586</f>
        <v>0</v>
      </c>
      <c r="M586" t="str">
        <f t="shared" si="27"/>
        <v>Open</v>
      </c>
      <c r="N586" s="24"/>
      <c r="O586">
        <f t="shared" ca="1" si="28"/>
        <v>46113</v>
      </c>
      <c r="P586" t="str">
        <f t="shared" ca="1" si="29"/>
        <v>YES</v>
      </c>
      <c r="Q586">
        <f>Weekly_Inspections!$AW586</f>
        <v>0</v>
      </c>
    </row>
    <row r="587" spans="1:17" ht="15" customHeight="1" x14ac:dyDescent="0.2">
      <c r="A587" t="str">
        <f>IF(Weekly_Inspections!$B587="","",Weekly_Inspections!$A587&amp;"-A1")</f>
        <v/>
      </c>
      <c r="B587" s="24">
        <f>Weekly_Inspections!$B587</f>
        <v>0</v>
      </c>
      <c r="C587">
        <f>Weekly_Inspections!$E587</f>
        <v>0</v>
      </c>
      <c r="D587">
        <f>Weekly_Inspections!$F587</f>
        <v>0</v>
      </c>
      <c r="E587" t="str">
        <f>Weekly_Inspections!$H587</f>
        <v/>
      </c>
      <c r="F587">
        <f>IF(Weekly_Inspections!$AX587&lt;&gt;"",Weekly_Inspections!$AX587,IF(Weekly_Inspections!$AY587&lt;&gt;"",Weekly_Inspections!$AY587,IF(Weekly_Inspections!$AZ587&lt;&gt;"",Weekly_Inspections!$AZ587,IF(Weekly_Inspections!$BA587&lt;&gt;"",Weekly_Inspections!$BA587,IF(Weekly_Inspections!$BB587&lt;&gt;"",Weekly_Inspections!$BB587,Weekly_Inspections!$R587)))))</f>
        <v>0</v>
      </c>
      <c r="G587" t="str">
        <f>IF(OR(Weekly_Inspections!$AQ587&lt;&gt;"",Weekly_Inspections!$AR587&lt;&gt;"",Weekly_Inspections!$AS587&lt;&gt;""),Weekly_Inspections!$AQ587,"")</f>
        <v/>
      </c>
      <c r="H587">
        <f>Weekly_Inspections!$AP587</f>
        <v>0</v>
      </c>
      <c r="I587">
        <f>Weekly_Inspections!$AR587</f>
        <v>0</v>
      </c>
      <c r="J587">
        <f>Weekly_Inspections!$AS587</f>
        <v>0</v>
      </c>
      <c r="K587">
        <f>Weekly_Inspections!$AU587</f>
        <v>0</v>
      </c>
      <c r="L587" s="24">
        <f>Weekly_Inspections!$AV587</f>
        <v>0</v>
      </c>
      <c r="M587" t="str">
        <f t="shared" si="27"/>
        <v>Open</v>
      </c>
      <c r="N587" s="24"/>
      <c r="O587">
        <f t="shared" ca="1" si="28"/>
        <v>46113</v>
      </c>
      <c r="P587" t="str">
        <f t="shared" ca="1" si="29"/>
        <v>YES</v>
      </c>
      <c r="Q587">
        <f>Weekly_Inspections!$AW587</f>
        <v>0</v>
      </c>
    </row>
    <row r="588" spans="1:17" ht="15" customHeight="1" x14ac:dyDescent="0.2">
      <c r="A588" t="str">
        <f>IF(Weekly_Inspections!$B588="","",Weekly_Inspections!$A588&amp;"-A1")</f>
        <v/>
      </c>
      <c r="B588" s="24">
        <f>Weekly_Inspections!$B588</f>
        <v>0</v>
      </c>
      <c r="C588">
        <f>Weekly_Inspections!$E588</f>
        <v>0</v>
      </c>
      <c r="D588">
        <f>Weekly_Inspections!$F588</f>
        <v>0</v>
      </c>
      <c r="E588" t="str">
        <f>Weekly_Inspections!$H588</f>
        <v/>
      </c>
      <c r="F588">
        <f>IF(Weekly_Inspections!$AX588&lt;&gt;"",Weekly_Inspections!$AX588,IF(Weekly_Inspections!$AY588&lt;&gt;"",Weekly_Inspections!$AY588,IF(Weekly_Inspections!$AZ588&lt;&gt;"",Weekly_Inspections!$AZ588,IF(Weekly_Inspections!$BA588&lt;&gt;"",Weekly_Inspections!$BA588,IF(Weekly_Inspections!$BB588&lt;&gt;"",Weekly_Inspections!$BB588,Weekly_Inspections!$R588)))))</f>
        <v>0</v>
      </c>
      <c r="G588" t="str">
        <f>IF(OR(Weekly_Inspections!$AQ588&lt;&gt;"",Weekly_Inspections!$AR588&lt;&gt;"",Weekly_Inspections!$AS588&lt;&gt;""),Weekly_Inspections!$AQ588,"")</f>
        <v/>
      </c>
      <c r="H588">
        <f>Weekly_Inspections!$AP588</f>
        <v>0</v>
      </c>
      <c r="I588">
        <f>Weekly_Inspections!$AR588</f>
        <v>0</v>
      </c>
      <c r="J588">
        <f>Weekly_Inspections!$AS588</f>
        <v>0</v>
      </c>
      <c r="K588">
        <f>Weekly_Inspections!$AU588</f>
        <v>0</v>
      </c>
      <c r="L588" s="24">
        <f>Weekly_Inspections!$AV588</f>
        <v>0</v>
      </c>
      <c r="M588" t="str">
        <f t="shared" si="27"/>
        <v>Open</v>
      </c>
      <c r="N588" s="24"/>
      <c r="O588">
        <f t="shared" ca="1" si="28"/>
        <v>46113</v>
      </c>
      <c r="P588" t="str">
        <f t="shared" ca="1" si="29"/>
        <v>YES</v>
      </c>
      <c r="Q588">
        <f>Weekly_Inspections!$AW588</f>
        <v>0</v>
      </c>
    </row>
    <row r="589" spans="1:17" ht="15" customHeight="1" x14ac:dyDescent="0.2">
      <c r="A589" t="str">
        <f>IF(Weekly_Inspections!$B589="","",Weekly_Inspections!$A589&amp;"-A1")</f>
        <v/>
      </c>
      <c r="B589" s="24">
        <f>Weekly_Inspections!$B589</f>
        <v>0</v>
      </c>
      <c r="C589">
        <f>Weekly_Inspections!$E589</f>
        <v>0</v>
      </c>
      <c r="D589">
        <f>Weekly_Inspections!$F589</f>
        <v>0</v>
      </c>
      <c r="E589" t="str">
        <f>Weekly_Inspections!$H589</f>
        <v/>
      </c>
      <c r="F589">
        <f>IF(Weekly_Inspections!$AX589&lt;&gt;"",Weekly_Inspections!$AX589,IF(Weekly_Inspections!$AY589&lt;&gt;"",Weekly_Inspections!$AY589,IF(Weekly_Inspections!$AZ589&lt;&gt;"",Weekly_Inspections!$AZ589,IF(Weekly_Inspections!$BA589&lt;&gt;"",Weekly_Inspections!$BA589,IF(Weekly_Inspections!$BB589&lt;&gt;"",Weekly_Inspections!$BB589,Weekly_Inspections!$R589)))))</f>
        <v>0</v>
      </c>
      <c r="G589" t="str">
        <f>IF(OR(Weekly_Inspections!$AQ589&lt;&gt;"",Weekly_Inspections!$AR589&lt;&gt;"",Weekly_Inspections!$AS589&lt;&gt;""),Weekly_Inspections!$AQ589,"")</f>
        <v/>
      </c>
      <c r="H589">
        <f>Weekly_Inspections!$AP589</f>
        <v>0</v>
      </c>
      <c r="I589">
        <f>Weekly_Inspections!$AR589</f>
        <v>0</v>
      </c>
      <c r="J589">
        <f>Weekly_Inspections!$AS589</f>
        <v>0</v>
      </c>
      <c r="K589">
        <f>Weekly_Inspections!$AU589</f>
        <v>0</v>
      </c>
      <c r="L589" s="24">
        <f>Weekly_Inspections!$AV589</f>
        <v>0</v>
      </c>
      <c r="M589" t="str">
        <f t="shared" si="27"/>
        <v>Open</v>
      </c>
      <c r="N589" s="24"/>
      <c r="O589">
        <f t="shared" ca="1" si="28"/>
        <v>46113</v>
      </c>
      <c r="P589" t="str">
        <f t="shared" ca="1" si="29"/>
        <v>YES</v>
      </c>
      <c r="Q589">
        <f>Weekly_Inspections!$AW589</f>
        <v>0</v>
      </c>
    </row>
    <row r="590" spans="1:17" ht="15" customHeight="1" x14ac:dyDescent="0.2">
      <c r="A590" t="str">
        <f>IF(Weekly_Inspections!$B590="","",Weekly_Inspections!$A590&amp;"-A1")</f>
        <v/>
      </c>
      <c r="B590" s="24">
        <f>Weekly_Inspections!$B590</f>
        <v>0</v>
      </c>
      <c r="C590">
        <f>Weekly_Inspections!$E590</f>
        <v>0</v>
      </c>
      <c r="D590">
        <f>Weekly_Inspections!$F590</f>
        <v>0</v>
      </c>
      <c r="E590" t="str">
        <f>Weekly_Inspections!$H590</f>
        <v/>
      </c>
      <c r="F590">
        <f>IF(Weekly_Inspections!$AX590&lt;&gt;"",Weekly_Inspections!$AX590,IF(Weekly_Inspections!$AY590&lt;&gt;"",Weekly_Inspections!$AY590,IF(Weekly_Inspections!$AZ590&lt;&gt;"",Weekly_Inspections!$AZ590,IF(Weekly_Inspections!$BA590&lt;&gt;"",Weekly_Inspections!$BA590,IF(Weekly_Inspections!$BB590&lt;&gt;"",Weekly_Inspections!$BB590,Weekly_Inspections!$R590)))))</f>
        <v>0</v>
      </c>
      <c r="G590" t="str">
        <f>IF(OR(Weekly_Inspections!$AQ590&lt;&gt;"",Weekly_Inspections!$AR590&lt;&gt;"",Weekly_Inspections!$AS590&lt;&gt;""),Weekly_Inspections!$AQ590,"")</f>
        <v/>
      </c>
      <c r="H590">
        <f>Weekly_Inspections!$AP590</f>
        <v>0</v>
      </c>
      <c r="I590">
        <f>Weekly_Inspections!$AR590</f>
        <v>0</v>
      </c>
      <c r="J590">
        <f>Weekly_Inspections!$AS590</f>
        <v>0</v>
      </c>
      <c r="K590">
        <f>Weekly_Inspections!$AU590</f>
        <v>0</v>
      </c>
      <c r="L590" s="24">
        <f>Weekly_Inspections!$AV590</f>
        <v>0</v>
      </c>
      <c r="M590" t="str">
        <f t="shared" si="27"/>
        <v>Open</v>
      </c>
      <c r="N590" s="24"/>
      <c r="O590">
        <f t="shared" ca="1" si="28"/>
        <v>46113</v>
      </c>
      <c r="P590" t="str">
        <f t="shared" ca="1" si="29"/>
        <v>YES</v>
      </c>
      <c r="Q590">
        <f>Weekly_Inspections!$AW590</f>
        <v>0</v>
      </c>
    </row>
    <row r="591" spans="1:17" ht="15" customHeight="1" x14ac:dyDescent="0.2">
      <c r="A591" t="str">
        <f>IF(Weekly_Inspections!$B591="","",Weekly_Inspections!$A591&amp;"-A1")</f>
        <v/>
      </c>
      <c r="B591" s="24">
        <f>Weekly_Inspections!$B591</f>
        <v>0</v>
      </c>
      <c r="C591">
        <f>Weekly_Inspections!$E591</f>
        <v>0</v>
      </c>
      <c r="D591">
        <f>Weekly_Inspections!$F591</f>
        <v>0</v>
      </c>
      <c r="E591" t="str">
        <f>Weekly_Inspections!$H591</f>
        <v/>
      </c>
      <c r="F591">
        <f>IF(Weekly_Inspections!$AX591&lt;&gt;"",Weekly_Inspections!$AX591,IF(Weekly_Inspections!$AY591&lt;&gt;"",Weekly_Inspections!$AY591,IF(Weekly_Inspections!$AZ591&lt;&gt;"",Weekly_Inspections!$AZ591,IF(Weekly_Inspections!$BA591&lt;&gt;"",Weekly_Inspections!$BA591,IF(Weekly_Inspections!$BB591&lt;&gt;"",Weekly_Inspections!$BB591,Weekly_Inspections!$R591)))))</f>
        <v>0</v>
      </c>
      <c r="G591" t="str">
        <f>IF(OR(Weekly_Inspections!$AQ591&lt;&gt;"",Weekly_Inspections!$AR591&lt;&gt;"",Weekly_Inspections!$AS591&lt;&gt;""),Weekly_Inspections!$AQ591,"")</f>
        <v/>
      </c>
      <c r="H591">
        <f>Weekly_Inspections!$AP591</f>
        <v>0</v>
      </c>
      <c r="I591">
        <f>Weekly_Inspections!$AR591</f>
        <v>0</v>
      </c>
      <c r="J591">
        <f>Weekly_Inspections!$AS591</f>
        <v>0</v>
      </c>
      <c r="K591">
        <f>Weekly_Inspections!$AU591</f>
        <v>0</v>
      </c>
      <c r="L591" s="24">
        <f>Weekly_Inspections!$AV591</f>
        <v>0</v>
      </c>
      <c r="M591" t="str">
        <f t="shared" si="27"/>
        <v>Open</v>
      </c>
      <c r="N591" s="24"/>
      <c r="O591">
        <f t="shared" ca="1" si="28"/>
        <v>46113</v>
      </c>
      <c r="P591" t="str">
        <f t="shared" ca="1" si="29"/>
        <v>YES</v>
      </c>
      <c r="Q591">
        <f>Weekly_Inspections!$AW591</f>
        <v>0</v>
      </c>
    </row>
    <row r="592" spans="1:17" ht="15" customHeight="1" x14ac:dyDescent="0.2">
      <c r="A592" t="str">
        <f>IF(Weekly_Inspections!$B592="","",Weekly_Inspections!$A592&amp;"-A1")</f>
        <v/>
      </c>
      <c r="B592" s="24">
        <f>Weekly_Inspections!$B592</f>
        <v>0</v>
      </c>
      <c r="C592">
        <f>Weekly_Inspections!$E592</f>
        <v>0</v>
      </c>
      <c r="D592">
        <f>Weekly_Inspections!$F592</f>
        <v>0</v>
      </c>
      <c r="E592" t="str">
        <f>Weekly_Inspections!$H592</f>
        <v/>
      </c>
      <c r="F592">
        <f>IF(Weekly_Inspections!$AX592&lt;&gt;"",Weekly_Inspections!$AX592,IF(Weekly_Inspections!$AY592&lt;&gt;"",Weekly_Inspections!$AY592,IF(Weekly_Inspections!$AZ592&lt;&gt;"",Weekly_Inspections!$AZ592,IF(Weekly_Inspections!$BA592&lt;&gt;"",Weekly_Inspections!$BA592,IF(Weekly_Inspections!$BB592&lt;&gt;"",Weekly_Inspections!$BB592,Weekly_Inspections!$R592)))))</f>
        <v>0</v>
      </c>
      <c r="G592" t="str">
        <f>IF(OR(Weekly_Inspections!$AQ592&lt;&gt;"",Weekly_Inspections!$AR592&lt;&gt;"",Weekly_Inspections!$AS592&lt;&gt;""),Weekly_Inspections!$AQ592,"")</f>
        <v/>
      </c>
      <c r="H592">
        <f>Weekly_Inspections!$AP592</f>
        <v>0</v>
      </c>
      <c r="I592">
        <f>Weekly_Inspections!$AR592</f>
        <v>0</v>
      </c>
      <c r="J592">
        <f>Weekly_Inspections!$AS592</f>
        <v>0</v>
      </c>
      <c r="K592">
        <f>Weekly_Inspections!$AU592</f>
        <v>0</v>
      </c>
      <c r="L592" s="24">
        <f>Weekly_Inspections!$AV592</f>
        <v>0</v>
      </c>
      <c r="M592" t="str">
        <f t="shared" si="27"/>
        <v>Open</v>
      </c>
      <c r="N592" s="24"/>
      <c r="O592">
        <f t="shared" ca="1" si="28"/>
        <v>46113</v>
      </c>
      <c r="P592" t="str">
        <f t="shared" ca="1" si="29"/>
        <v>YES</v>
      </c>
      <c r="Q592">
        <f>Weekly_Inspections!$AW592</f>
        <v>0</v>
      </c>
    </row>
    <row r="593" spans="1:17" ht="15" customHeight="1" x14ac:dyDescent="0.2">
      <c r="A593" t="str">
        <f>IF(Weekly_Inspections!$B593="","",Weekly_Inspections!$A593&amp;"-A1")</f>
        <v/>
      </c>
      <c r="B593" s="24">
        <f>Weekly_Inspections!$B593</f>
        <v>0</v>
      </c>
      <c r="C593">
        <f>Weekly_Inspections!$E593</f>
        <v>0</v>
      </c>
      <c r="D593">
        <f>Weekly_Inspections!$F593</f>
        <v>0</v>
      </c>
      <c r="E593" t="str">
        <f>Weekly_Inspections!$H593</f>
        <v/>
      </c>
      <c r="F593">
        <f>IF(Weekly_Inspections!$AX593&lt;&gt;"",Weekly_Inspections!$AX593,IF(Weekly_Inspections!$AY593&lt;&gt;"",Weekly_Inspections!$AY593,IF(Weekly_Inspections!$AZ593&lt;&gt;"",Weekly_Inspections!$AZ593,IF(Weekly_Inspections!$BA593&lt;&gt;"",Weekly_Inspections!$BA593,IF(Weekly_Inspections!$BB593&lt;&gt;"",Weekly_Inspections!$BB593,Weekly_Inspections!$R593)))))</f>
        <v>0</v>
      </c>
      <c r="G593" t="str">
        <f>IF(OR(Weekly_Inspections!$AQ593&lt;&gt;"",Weekly_Inspections!$AR593&lt;&gt;"",Weekly_Inspections!$AS593&lt;&gt;""),Weekly_Inspections!$AQ593,"")</f>
        <v/>
      </c>
      <c r="H593">
        <f>Weekly_Inspections!$AP593</f>
        <v>0</v>
      </c>
      <c r="I593">
        <f>Weekly_Inspections!$AR593</f>
        <v>0</v>
      </c>
      <c r="J593">
        <f>Weekly_Inspections!$AS593</f>
        <v>0</v>
      </c>
      <c r="K593">
        <f>Weekly_Inspections!$AU593</f>
        <v>0</v>
      </c>
      <c r="L593" s="24">
        <f>Weekly_Inspections!$AV593</f>
        <v>0</v>
      </c>
      <c r="M593" t="str">
        <f t="shared" si="27"/>
        <v>Open</v>
      </c>
      <c r="N593" s="24"/>
      <c r="O593">
        <f t="shared" ca="1" si="28"/>
        <v>46113</v>
      </c>
      <c r="P593" t="str">
        <f t="shared" ca="1" si="29"/>
        <v>YES</v>
      </c>
      <c r="Q593">
        <f>Weekly_Inspections!$AW593</f>
        <v>0</v>
      </c>
    </row>
    <row r="594" spans="1:17" ht="15" customHeight="1" x14ac:dyDescent="0.2">
      <c r="A594" t="str">
        <f>IF(Weekly_Inspections!$B594="","",Weekly_Inspections!$A594&amp;"-A1")</f>
        <v/>
      </c>
      <c r="B594" s="24">
        <f>Weekly_Inspections!$B594</f>
        <v>0</v>
      </c>
      <c r="C594">
        <f>Weekly_Inspections!$E594</f>
        <v>0</v>
      </c>
      <c r="D594">
        <f>Weekly_Inspections!$F594</f>
        <v>0</v>
      </c>
      <c r="E594" t="str">
        <f>Weekly_Inspections!$H594</f>
        <v/>
      </c>
      <c r="F594">
        <f>IF(Weekly_Inspections!$AX594&lt;&gt;"",Weekly_Inspections!$AX594,IF(Weekly_Inspections!$AY594&lt;&gt;"",Weekly_Inspections!$AY594,IF(Weekly_Inspections!$AZ594&lt;&gt;"",Weekly_Inspections!$AZ594,IF(Weekly_Inspections!$BA594&lt;&gt;"",Weekly_Inspections!$BA594,IF(Weekly_Inspections!$BB594&lt;&gt;"",Weekly_Inspections!$BB594,Weekly_Inspections!$R594)))))</f>
        <v>0</v>
      </c>
      <c r="G594" t="str">
        <f>IF(OR(Weekly_Inspections!$AQ594&lt;&gt;"",Weekly_Inspections!$AR594&lt;&gt;"",Weekly_Inspections!$AS594&lt;&gt;""),Weekly_Inspections!$AQ594,"")</f>
        <v/>
      </c>
      <c r="H594">
        <f>Weekly_Inspections!$AP594</f>
        <v>0</v>
      </c>
      <c r="I594">
        <f>Weekly_Inspections!$AR594</f>
        <v>0</v>
      </c>
      <c r="J594">
        <f>Weekly_Inspections!$AS594</f>
        <v>0</v>
      </c>
      <c r="K594">
        <f>Weekly_Inspections!$AU594</f>
        <v>0</v>
      </c>
      <c r="L594" s="24">
        <f>Weekly_Inspections!$AV594</f>
        <v>0</v>
      </c>
      <c r="M594" t="str">
        <f t="shared" si="27"/>
        <v>Open</v>
      </c>
      <c r="N594" s="24"/>
      <c r="O594">
        <f t="shared" ca="1" si="28"/>
        <v>46113</v>
      </c>
      <c r="P594" t="str">
        <f t="shared" ca="1" si="29"/>
        <v>YES</v>
      </c>
      <c r="Q594">
        <f>Weekly_Inspections!$AW594</f>
        <v>0</v>
      </c>
    </row>
    <row r="595" spans="1:17" ht="15" customHeight="1" x14ac:dyDescent="0.2">
      <c r="A595" t="str">
        <f>IF(Weekly_Inspections!$B595="","",Weekly_Inspections!$A595&amp;"-A1")</f>
        <v/>
      </c>
      <c r="B595" s="24">
        <f>Weekly_Inspections!$B595</f>
        <v>0</v>
      </c>
      <c r="C595">
        <f>Weekly_Inspections!$E595</f>
        <v>0</v>
      </c>
      <c r="D595">
        <f>Weekly_Inspections!$F595</f>
        <v>0</v>
      </c>
      <c r="E595" t="str">
        <f>Weekly_Inspections!$H595</f>
        <v/>
      </c>
      <c r="F595">
        <f>IF(Weekly_Inspections!$AX595&lt;&gt;"",Weekly_Inspections!$AX595,IF(Weekly_Inspections!$AY595&lt;&gt;"",Weekly_Inspections!$AY595,IF(Weekly_Inspections!$AZ595&lt;&gt;"",Weekly_Inspections!$AZ595,IF(Weekly_Inspections!$BA595&lt;&gt;"",Weekly_Inspections!$BA595,IF(Weekly_Inspections!$BB595&lt;&gt;"",Weekly_Inspections!$BB595,Weekly_Inspections!$R595)))))</f>
        <v>0</v>
      </c>
      <c r="G595" t="str">
        <f>IF(OR(Weekly_Inspections!$AQ595&lt;&gt;"",Weekly_Inspections!$AR595&lt;&gt;"",Weekly_Inspections!$AS595&lt;&gt;""),Weekly_Inspections!$AQ595,"")</f>
        <v/>
      </c>
      <c r="H595">
        <f>Weekly_Inspections!$AP595</f>
        <v>0</v>
      </c>
      <c r="I595">
        <f>Weekly_Inspections!$AR595</f>
        <v>0</v>
      </c>
      <c r="J595">
        <f>Weekly_Inspections!$AS595</f>
        <v>0</v>
      </c>
      <c r="K595">
        <f>Weekly_Inspections!$AU595</f>
        <v>0</v>
      </c>
      <c r="L595" s="24">
        <f>Weekly_Inspections!$AV595</f>
        <v>0</v>
      </c>
      <c r="M595" t="str">
        <f t="shared" si="27"/>
        <v>Open</v>
      </c>
      <c r="N595" s="24"/>
      <c r="O595">
        <f t="shared" ca="1" si="28"/>
        <v>46113</v>
      </c>
      <c r="P595" t="str">
        <f t="shared" ca="1" si="29"/>
        <v>YES</v>
      </c>
      <c r="Q595">
        <f>Weekly_Inspections!$AW595</f>
        <v>0</v>
      </c>
    </row>
    <row r="596" spans="1:17" ht="15" customHeight="1" x14ac:dyDescent="0.2">
      <c r="A596" t="str">
        <f>IF(Weekly_Inspections!$B596="","",Weekly_Inspections!$A596&amp;"-A1")</f>
        <v/>
      </c>
      <c r="B596" s="24">
        <f>Weekly_Inspections!$B596</f>
        <v>0</v>
      </c>
      <c r="C596">
        <f>Weekly_Inspections!$E596</f>
        <v>0</v>
      </c>
      <c r="D596">
        <f>Weekly_Inspections!$F596</f>
        <v>0</v>
      </c>
      <c r="E596" t="str">
        <f>Weekly_Inspections!$H596</f>
        <v/>
      </c>
      <c r="F596">
        <f>IF(Weekly_Inspections!$AX596&lt;&gt;"",Weekly_Inspections!$AX596,IF(Weekly_Inspections!$AY596&lt;&gt;"",Weekly_Inspections!$AY596,IF(Weekly_Inspections!$AZ596&lt;&gt;"",Weekly_Inspections!$AZ596,IF(Weekly_Inspections!$BA596&lt;&gt;"",Weekly_Inspections!$BA596,IF(Weekly_Inspections!$BB596&lt;&gt;"",Weekly_Inspections!$BB596,Weekly_Inspections!$R596)))))</f>
        <v>0</v>
      </c>
      <c r="G596" t="str">
        <f>IF(OR(Weekly_Inspections!$AQ596&lt;&gt;"",Weekly_Inspections!$AR596&lt;&gt;"",Weekly_Inspections!$AS596&lt;&gt;""),Weekly_Inspections!$AQ596,"")</f>
        <v/>
      </c>
      <c r="H596">
        <f>Weekly_Inspections!$AP596</f>
        <v>0</v>
      </c>
      <c r="I596">
        <f>Weekly_Inspections!$AR596</f>
        <v>0</v>
      </c>
      <c r="J596">
        <f>Weekly_Inspections!$AS596</f>
        <v>0</v>
      </c>
      <c r="K596">
        <f>Weekly_Inspections!$AU596</f>
        <v>0</v>
      </c>
      <c r="L596" s="24">
        <f>Weekly_Inspections!$AV596</f>
        <v>0</v>
      </c>
      <c r="M596" t="str">
        <f t="shared" si="27"/>
        <v>Open</v>
      </c>
      <c r="N596" s="24"/>
      <c r="O596">
        <f t="shared" ca="1" si="28"/>
        <v>46113</v>
      </c>
      <c r="P596" t="str">
        <f t="shared" ca="1" si="29"/>
        <v>YES</v>
      </c>
      <c r="Q596">
        <f>Weekly_Inspections!$AW596</f>
        <v>0</v>
      </c>
    </row>
    <row r="597" spans="1:17" ht="15" customHeight="1" x14ac:dyDescent="0.2">
      <c r="A597" t="str">
        <f>IF(Weekly_Inspections!$B597="","",Weekly_Inspections!$A597&amp;"-A1")</f>
        <v/>
      </c>
      <c r="B597" s="24">
        <f>Weekly_Inspections!$B597</f>
        <v>0</v>
      </c>
      <c r="C597">
        <f>Weekly_Inspections!$E597</f>
        <v>0</v>
      </c>
      <c r="D597">
        <f>Weekly_Inspections!$F597</f>
        <v>0</v>
      </c>
      <c r="E597" t="str">
        <f>Weekly_Inspections!$H597</f>
        <v/>
      </c>
      <c r="F597">
        <f>IF(Weekly_Inspections!$AX597&lt;&gt;"",Weekly_Inspections!$AX597,IF(Weekly_Inspections!$AY597&lt;&gt;"",Weekly_Inspections!$AY597,IF(Weekly_Inspections!$AZ597&lt;&gt;"",Weekly_Inspections!$AZ597,IF(Weekly_Inspections!$BA597&lt;&gt;"",Weekly_Inspections!$BA597,IF(Weekly_Inspections!$BB597&lt;&gt;"",Weekly_Inspections!$BB597,Weekly_Inspections!$R597)))))</f>
        <v>0</v>
      </c>
      <c r="G597" t="str">
        <f>IF(OR(Weekly_Inspections!$AQ597&lt;&gt;"",Weekly_Inspections!$AR597&lt;&gt;"",Weekly_Inspections!$AS597&lt;&gt;""),Weekly_Inspections!$AQ597,"")</f>
        <v/>
      </c>
      <c r="H597">
        <f>Weekly_Inspections!$AP597</f>
        <v>0</v>
      </c>
      <c r="I597">
        <f>Weekly_Inspections!$AR597</f>
        <v>0</v>
      </c>
      <c r="J597">
        <f>Weekly_Inspections!$AS597</f>
        <v>0</v>
      </c>
      <c r="K597">
        <f>Weekly_Inspections!$AU597</f>
        <v>0</v>
      </c>
      <c r="L597" s="24">
        <f>Weekly_Inspections!$AV597</f>
        <v>0</v>
      </c>
      <c r="M597" t="str">
        <f t="shared" si="27"/>
        <v>Open</v>
      </c>
      <c r="N597" s="24"/>
      <c r="O597">
        <f t="shared" ca="1" si="28"/>
        <v>46113</v>
      </c>
      <c r="P597" t="str">
        <f t="shared" ca="1" si="29"/>
        <v>YES</v>
      </c>
      <c r="Q597">
        <f>Weekly_Inspections!$AW597</f>
        <v>0</v>
      </c>
    </row>
    <row r="598" spans="1:17" ht="15" customHeight="1" x14ac:dyDescent="0.2">
      <c r="A598" t="str">
        <f>IF(Weekly_Inspections!$B598="","",Weekly_Inspections!$A598&amp;"-A1")</f>
        <v/>
      </c>
      <c r="B598" s="24">
        <f>Weekly_Inspections!$B598</f>
        <v>0</v>
      </c>
      <c r="C598">
        <f>Weekly_Inspections!$E598</f>
        <v>0</v>
      </c>
      <c r="D598">
        <f>Weekly_Inspections!$F598</f>
        <v>0</v>
      </c>
      <c r="E598" t="str">
        <f>Weekly_Inspections!$H598</f>
        <v/>
      </c>
      <c r="F598">
        <f>IF(Weekly_Inspections!$AX598&lt;&gt;"",Weekly_Inspections!$AX598,IF(Weekly_Inspections!$AY598&lt;&gt;"",Weekly_Inspections!$AY598,IF(Weekly_Inspections!$AZ598&lt;&gt;"",Weekly_Inspections!$AZ598,IF(Weekly_Inspections!$BA598&lt;&gt;"",Weekly_Inspections!$BA598,IF(Weekly_Inspections!$BB598&lt;&gt;"",Weekly_Inspections!$BB598,Weekly_Inspections!$R598)))))</f>
        <v>0</v>
      </c>
      <c r="G598" t="str">
        <f>IF(OR(Weekly_Inspections!$AQ598&lt;&gt;"",Weekly_Inspections!$AR598&lt;&gt;"",Weekly_Inspections!$AS598&lt;&gt;""),Weekly_Inspections!$AQ598,"")</f>
        <v/>
      </c>
      <c r="H598">
        <f>Weekly_Inspections!$AP598</f>
        <v>0</v>
      </c>
      <c r="I598">
        <f>Weekly_Inspections!$AR598</f>
        <v>0</v>
      </c>
      <c r="J598">
        <f>Weekly_Inspections!$AS598</f>
        <v>0</v>
      </c>
      <c r="K598">
        <f>Weekly_Inspections!$AU598</f>
        <v>0</v>
      </c>
      <c r="L598" s="24">
        <f>Weekly_Inspections!$AV598</f>
        <v>0</v>
      </c>
      <c r="M598" t="str">
        <f t="shared" si="27"/>
        <v>Open</v>
      </c>
      <c r="N598" s="24"/>
      <c r="O598">
        <f t="shared" ca="1" si="28"/>
        <v>46113</v>
      </c>
      <c r="P598" t="str">
        <f t="shared" ca="1" si="29"/>
        <v>YES</v>
      </c>
      <c r="Q598">
        <f>Weekly_Inspections!$AW598</f>
        <v>0</v>
      </c>
    </row>
    <row r="599" spans="1:17" ht="15" customHeight="1" x14ac:dyDescent="0.2">
      <c r="A599" t="str">
        <f>IF(Weekly_Inspections!$B599="","",Weekly_Inspections!$A599&amp;"-A1")</f>
        <v/>
      </c>
      <c r="B599" s="24">
        <f>Weekly_Inspections!$B599</f>
        <v>0</v>
      </c>
      <c r="C599">
        <f>Weekly_Inspections!$E599</f>
        <v>0</v>
      </c>
      <c r="D599">
        <f>Weekly_Inspections!$F599</f>
        <v>0</v>
      </c>
      <c r="E599" t="str">
        <f>Weekly_Inspections!$H599</f>
        <v/>
      </c>
      <c r="F599">
        <f>IF(Weekly_Inspections!$AX599&lt;&gt;"",Weekly_Inspections!$AX599,IF(Weekly_Inspections!$AY599&lt;&gt;"",Weekly_Inspections!$AY599,IF(Weekly_Inspections!$AZ599&lt;&gt;"",Weekly_Inspections!$AZ599,IF(Weekly_Inspections!$BA599&lt;&gt;"",Weekly_Inspections!$BA599,IF(Weekly_Inspections!$BB599&lt;&gt;"",Weekly_Inspections!$BB599,Weekly_Inspections!$R599)))))</f>
        <v>0</v>
      </c>
      <c r="G599" t="str">
        <f>IF(OR(Weekly_Inspections!$AQ599&lt;&gt;"",Weekly_Inspections!$AR599&lt;&gt;"",Weekly_Inspections!$AS599&lt;&gt;""),Weekly_Inspections!$AQ599,"")</f>
        <v/>
      </c>
      <c r="H599">
        <f>Weekly_Inspections!$AP599</f>
        <v>0</v>
      </c>
      <c r="I599">
        <f>Weekly_Inspections!$AR599</f>
        <v>0</v>
      </c>
      <c r="J599">
        <f>Weekly_Inspections!$AS599</f>
        <v>0</v>
      </c>
      <c r="K599">
        <f>Weekly_Inspections!$AU599</f>
        <v>0</v>
      </c>
      <c r="L599" s="24">
        <f>Weekly_Inspections!$AV599</f>
        <v>0</v>
      </c>
      <c r="M599" t="str">
        <f t="shared" si="27"/>
        <v>Open</v>
      </c>
      <c r="N599" s="24"/>
      <c r="O599">
        <f t="shared" ca="1" si="28"/>
        <v>46113</v>
      </c>
      <c r="P599" t="str">
        <f t="shared" ca="1" si="29"/>
        <v>YES</v>
      </c>
      <c r="Q599">
        <f>Weekly_Inspections!$AW599</f>
        <v>0</v>
      </c>
    </row>
    <row r="600" spans="1:17" ht="15" customHeight="1" x14ac:dyDescent="0.2">
      <c r="A600" t="str">
        <f>IF(Weekly_Inspections!$B600="","",Weekly_Inspections!$A600&amp;"-A1")</f>
        <v/>
      </c>
      <c r="B600" s="24">
        <f>Weekly_Inspections!$B600</f>
        <v>0</v>
      </c>
      <c r="C600">
        <f>Weekly_Inspections!$E600</f>
        <v>0</v>
      </c>
      <c r="D600">
        <f>Weekly_Inspections!$F600</f>
        <v>0</v>
      </c>
      <c r="E600" t="str">
        <f>Weekly_Inspections!$H600</f>
        <v/>
      </c>
      <c r="F600">
        <f>IF(Weekly_Inspections!$AX600&lt;&gt;"",Weekly_Inspections!$AX600,IF(Weekly_Inspections!$AY600&lt;&gt;"",Weekly_Inspections!$AY600,IF(Weekly_Inspections!$AZ600&lt;&gt;"",Weekly_Inspections!$AZ600,IF(Weekly_Inspections!$BA600&lt;&gt;"",Weekly_Inspections!$BA600,IF(Weekly_Inspections!$BB600&lt;&gt;"",Weekly_Inspections!$BB600,Weekly_Inspections!$R600)))))</f>
        <v>0</v>
      </c>
      <c r="G600" t="str">
        <f>IF(OR(Weekly_Inspections!$AQ600&lt;&gt;"",Weekly_Inspections!$AR600&lt;&gt;"",Weekly_Inspections!$AS600&lt;&gt;""),Weekly_Inspections!$AQ600,"")</f>
        <v/>
      </c>
      <c r="H600">
        <f>Weekly_Inspections!$AP600</f>
        <v>0</v>
      </c>
      <c r="I600">
        <f>Weekly_Inspections!$AR600</f>
        <v>0</v>
      </c>
      <c r="J600">
        <f>Weekly_Inspections!$AS600</f>
        <v>0</v>
      </c>
      <c r="K600">
        <f>Weekly_Inspections!$AU600</f>
        <v>0</v>
      </c>
      <c r="L600" s="24">
        <f>Weekly_Inspections!$AV600</f>
        <v>0</v>
      </c>
      <c r="M600" t="str">
        <f t="shared" si="27"/>
        <v>Open</v>
      </c>
      <c r="N600" s="24"/>
      <c r="O600">
        <f t="shared" ca="1" si="28"/>
        <v>46113</v>
      </c>
      <c r="P600" t="str">
        <f t="shared" ca="1" si="29"/>
        <v>YES</v>
      </c>
      <c r="Q600">
        <f>Weekly_Inspections!$AW600</f>
        <v>0</v>
      </c>
    </row>
    <row r="601" spans="1:17" ht="15" customHeight="1" x14ac:dyDescent="0.2">
      <c r="A601" t="str">
        <f>IF(Weekly_Inspections!$B601="","",Weekly_Inspections!$A601&amp;"-A1")</f>
        <v/>
      </c>
      <c r="B601" s="24">
        <f>Weekly_Inspections!$B601</f>
        <v>0</v>
      </c>
      <c r="C601">
        <f>Weekly_Inspections!$E601</f>
        <v>0</v>
      </c>
      <c r="D601">
        <f>Weekly_Inspections!$F601</f>
        <v>0</v>
      </c>
      <c r="E601" t="str">
        <f>Weekly_Inspections!$H601</f>
        <v/>
      </c>
      <c r="F601">
        <f>IF(Weekly_Inspections!$AX601&lt;&gt;"",Weekly_Inspections!$AX601,IF(Weekly_Inspections!$AY601&lt;&gt;"",Weekly_Inspections!$AY601,IF(Weekly_Inspections!$AZ601&lt;&gt;"",Weekly_Inspections!$AZ601,IF(Weekly_Inspections!$BA601&lt;&gt;"",Weekly_Inspections!$BA601,IF(Weekly_Inspections!$BB601&lt;&gt;"",Weekly_Inspections!$BB601,Weekly_Inspections!$R601)))))</f>
        <v>0</v>
      </c>
      <c r="G601" t="str">
        <f>IF(OR(Weekly_Inspections!$AQ601&lt;&gt;"",Weekly_Inspections!$AR601&lt;&gt;"",Weekly_Inspections!$AS601&lt;&gt;""),Weekly_Inspections!$AQ601,"")</f>
        <v/>
      </c>
      <c r="H601">
        <f>Weekly_Inspections!$AP601</f>
        <v>0</v>
      </c>
      <c r="I601">
        <f>Weekly_Inspections!$AR601</f>
        <v>0</v>
      </c>
      <c r="J601">
        <f>Weekly_Inspections!$AS601</f>
        <v>0</v>
      </c>
      <c r="K601">
        <f>Weekly_Inspections!$AU601</f>
        <v>0</v>
      </c>
      <c r="L601" s="24">
        <f>Weekly_Inspections!$AV601</f>
        <v>0</v>
      </c>
      <c r="M601" t="str">
        <f t="shared" si="27"/>
        <v>Open</v>
      </c>
      <c r="N601" s="24"/>
      <c r="O601">
        <f t="shared" ca="1" si="28"/>
        <v>46113</v>
      </c>
      <c r="P601" t="str">
        <f t="shared" ca="1" si="29"/>
        <v>YES</v>
      </c>
      <c r="Q601">
        <f>Weekly_Inspections!$AW601</f>
        <v>0</v>
      </c>
    </row>
    <row r="602" spans="1:17" ht="15" customHeight="1" x14ac:dyDescent="0.2">
      <c r="A602" t="str">
        <f>IF(Weekly_Inspections!$B602="","",Weekly_Inspections!$A602&amp;"-A1")</f>
        <v/>
      </c>
      <c r="B602" s="24">
        <f>Weekly_Inspections!$B602</f>
        <v>0</v>
      </c>
      <c r="C602">
        <f>Weekly_Inspections!$E602</f>
        <v>0</v>
      </c>
      <c r="D602">
        <f>Weekly_Inspections!$F602</f>
        <v>0</v>
      </c>
      <c r="E602" t="str">
        <f>Weekly_Inspections!$H602</f>
        <v/>
      </c>
      <c r="F602">
        <f>IF(Weekly_Inspections!$AX602&lt;&gt;"",Weekly_Inspections!$AX602,IF(Weekly_Inspections!$AY602&lt;&gt;"",Weekly_Inspections!$AY602,IF(Weekly_Inspections!$AZ602&lt;&gt;"",Weekly_Inspections!$AZ602,IF(Weekly_Inspections!$BA602&lt;&gt;"",Weekly_Inspections!$BA602,IF(Weekly_Inspections!$BB602&lt;&gt;"",Weekly_Inspections!$BB602,Weekly_Inspections!$R602)))))</f>
        <v>0</v>
      </c>
      <c r="G602" t="str">
        <f>IF(OR(Weekly_Inspections!$AQ602&lt;&gt;"",Weekly_Inspections!$AR602&lt;&gt;"",Weekly_Inspections!$AS602&lt;&gt;""),Weekly_Inspections!$AQ602,"")</f>
        <v/>
      </c>
      <c r="H602">
        <f>Weekly_Inspections!$AP602</f>
        <v>0</v>
      </c>
      <c r="I602">
        <f>Weekly_Inspections!$AR602</f>
        <v>0</v>
      </c>
      <c r="J602">
        <f>Weekly_Inspections!$AS602</f>
        <v>0</v>
      </c>
      <c r="K602">
        <f>Weekly_Inspections!$AU602</f>
        <v>0</v>
      </c>
      <c r="L602" s="24">
        <f>Weekly_Inspections!$AV602</f>
        <v>0</v>
      </c>
      <c r="M602" t="str">
        <f t="shared" si="27"/>
        <v>Open</v>
      </c>
      <c r="N602" s="24"/>
      <c r="O602">
        <f t="shared" ca="1" si="28"/>
        <v>46113</v>
      </c>
      <c r="P602" t="str">
        <f t="shared" ca="1" si="29"/>
        <v>YES</v>
      </c>
      <c r="Q602">
        <f>Weekly_Inspections!$AW602</f>
        <v>0</v>
      </c>
    </row>
    <row r="603" spans="1:17" ht="15" customHeight="1" x14ac:dyDescent="0.2">
      <c r="A603" t="str">
        <f>IF(Weekly_Inspections!$B603="","",Weekly_Inspections!$A603&amp;"-A1")</f>
        <v/>
      </c>
      <c r="B603" s="24">
        <f>Weekly_Inspections!$B603</f>
        <v>0</v>
      </c>
      <c r="C603">
        <f>Weekly_Inspections!$E603</f>
        <v>0</v>
      </c>
      <c r="D603">
        <f>Weekly_Inspections!$F603</f>
        <v>0</v>
      </c>
      <c r="E603" t="str">
        <f>Weekly_Inspections!$H603</f>
        <v/>
      </c>
      <c r="F603">
        <f>IF(Weekly_Inspections!$AX603&lt;&gt;"",Weekly_Inspections!$AX603,IF(Weekly_Inspections!$AY603&lt;&gt;"",Weekly_Inspections!$AY603,IF(Weekly_Inspections!$AZ603&lt;&gt;"",Weekly_Inspections!$AZ603,IF(Weekly_Inspections!$BA603&lt;&gt;"",Weekly_Inspections!$BA603,IF(Weekly_Inspections!$BB603&lt;&gt;"",Weekly_Inspections!$BB603,Weekly_Inspections!$R603)))))</f>
        <v>0</v>
      </c>
      <c r="G603" t="str">
        <f>IF(OR(Weekly_Inspections!$AQ603&lt;&gt;"",Weekly_Inspections!$AR603&lt;&gt;"",Weekly_Inspections!$AS603&lt;&gt;""),Weekly_Inspections!$AQ603,"")</f>
        <v/>
      </c>
      <c r="H603">
        <f>Weekly_Inspections!$AP603</f>
        <v>0</v>
      </c>
      <c r="I603">
        <f>Weekly_Inspections!$AR603</f>
        <v>0</v>
      </c>
      <c r="J603">
        <f>Weekly_Inspections!$AS603</f>
        <v>0</v>
      </c>
      <c r="K603">
        <f>Weekly_Inspections!$AU603</f>
        <v>0</v>
      </c>
      <c r="L603" s="24">
        <f>Weekly_Inspections!$AV603</f>
        <v>0</v>
      </c>
      <c r="M603" t="str">
        <f t="shared" si="27"/>
        <v>Open</v>
      </c>
      <c r="N603" s="24"/>
      <c r="O603">
        <f t="shared" ca="1" si="28"/>
        <v>46113</v>
      </c>
      <c r="P603" t="str">
        <f t="shared" ca="1" si="29"/>
        <v>YES</v>
      </c>
      <c r="Q603">
        <f>Weekly_Inspections!$AW603</f>
        <v>0</v>
      </c>
    </row>
    <row r="604" spans="1:17" ht="15" customHeight="1" x14ac:dyDescent="0.2">
      <c r="A604" t="str">
        <f>IF(Weekly_Inspections!$B604="","",Weekly_Inspections!$A604&amp;"-A1")</f>
        <v/>
      </c>
      <c r="B604" s="24">
        <f>Weekly_Inspections!$B604</f>
        <v>0</v>
      </c>
      <c r="C604">
        <f>Weekly_Inspections!$E604</f>
        <v>0</v>
      </c>
      <c r="D604">
        <f>Weekly_Inspections!$F604</f>
        <v>0</v>
      </c>
      <c r="E604" t="str">
        <f>Weekly_Inspections!$H604</f>
        <v/>
      </c>
      <c r="F604">
        <f>IF(Weekly_Inspections!$AX604&lt;&gt;"",Weekly_Inspections!$AX604,IF(Weekly_Inspections!$AY604&lt;&gt;"",Weekly_Inspections!$AY604,IF(Weekly_Inspections!$AZ604&lt;&gt;"",Weekly_Inspections!$AZ604,IF(Weekly_Inspections!$BA604&lt;&gt;"",Weekly_Inspections!$BA604,IF(Weekly_Inspections!$BB604&lt;&gt;"",Weekly_Inspections!$BB604,Weekly_Inspections!$R604)))))</f>
        <v>0</v>
      </c>
      <c r="G604" t="str">
        <f>IF(OR(Weekly_Inspections!$AQ604&lt;&gt;"",Weekly_Inspections!$AR604&lt;&gt;"",Weekly_Inspections!$AS604&lt;&gt;""),Weekly_Inspections!$AQ604,"")</f>
        <v/>
      </c>
      <c r="H604">
        <f>Weekly_Inspections!$AP604</f>
        <v>0</v>
      </c>
      <c r="I604">
        <f>Weekly_Inspections!$AR604</f>
        <v>0</v>
      </c>
      <c r="J604">
        <f>Weekly_Inspections!$AS604</f>
        <v>0</v>
      </c>
      <c r="K604">
        <f>Weekly_Inspections!$AU604</f>
        <v>0</v>
      </c>
      <c r="L604" s="24">
        <f>Weekly_Inspections!$AV604</f>
        <v>0</v>
      </c>
      <c r="M604" t="str">
        <f t="shared" si="27"/>
        <v>Open</v>
      </c>
      <c r="N604" s="24"/>
      <c r="O604">
        <f t="shared" ca="1" si="28"/>
        <v>46113</v>
      </c>
      <c r="P604" t="str">
        <f t="shared" ca="1" si="29"/>
        <v>YES</v>
      </c>
      <c r="Q604">
        <f>Weekly_Inspections!$AW604</f>
        <v>0</v>
      </c>
    </row>
    <row r="605" spans="1:17" ht="15" customHeight="1" x14ac:dyDescent="0.2">
      <c r="A605" t="str">
        <f>IF(Weekly_Inspections!$B605="","",Weekly_Inspections!$A605&amp;"-A1")</f>
        <v/>
      </c>
      <c r="B605" s="24">
        <f>Weekly_Inspections!$B605</f>
        <v>0</v>
      </c>
      <c r="C605">
        <f>Weekly_Inspections!$E605</f>
        <v>0</v>
      </c>
      <c r="D605">
        <f>Weekly_Inspections!$F605</f>
        <v>0</v>
      </c>
      <c r="E605" t="str">
        <f>Weekly_Inspections!$H605</f>
        <v/>
      </c>
      <c r="F605">
        <f>IF(Weekly_Inspections!$AX605&lt;&gt;"",Weekly_Inspections!$AX605,IF(Weekly_Inspections!$AY605&lt;&gt;"",Weekly_Inspections!$AY605,IF(Weekly_Inspections!$AZ605&lt;&gt;"",Weekly_Inspections!$AZ605,IF(Weekly_Inspections!$BA605&lt;&gt;"",Weekly_Inspections!$BA605,IF(Weekly_Inspections!$BB605&lt;&gt;"",Weekly_Inspections!$BB605,Weekly_Inspections!$R605)))))</f>
        <v>0</v>
      </c>
      <c r="G605" t="str">
        <f>IF(OR(Weekly_Inspections!$AQ605&lt;&gt;"",Weekly_Inspections!$AR605&lt;&gt;"",Weekly_Inspections!$AS605&lt;&gt;""),Weekly_Inspections!$AQ605,"")</f>
        <v/>
      </c>
      <c r="H605">
        <f>Weekly_Inspections!$AP605</f>
        <v>0</v>
      </c>
      <c r="I605">
        <f>Weekly_Inspections!$AR605</f>
        <v>0</v>
      </c>
      <c r="J605">
        <f>Weekly_Inspections!$AS605</f>
        <v>0</v>
      </c>
      <c r="K605">
        <f>Weekly_Inspections!$AU605</f>
        <v>0</v>
      </c>
      <c r="L605" s="24">
        <f>Weekly_Inspections!$AV605</f>
        <v>0</v>
      </c>
      <c r="M605" t="str">
        <f t="shared" si="27"/>
        <v>Open</v>
      </c>
      <c r="N605" s="24"/>
      <c r="O605">
        <f t="shared" ca="1" si="28"/>
        <v>46113</v>
      </c>
      <c r="P605" t="str">
        <f t="shared" ca="1" si="29"/>
        <v>YES</v>
      </c>
      <c r="Q605">
        <f>Weekly_Inspections!$AW605</f>
        <v>0</v>
      </c>
    </row>
    <row r="606" spans="1:17" ht="15" customHeight="1" x14ac:dyDescent="0.2">
      <c r="A606" t="str">
        <f>IF(Weekly_Inspections!$B606="","",Weekly_Inspections!$A606&amp;"-A1")</f>
        <v/>
      </c>
      <c r="B606" s="24">
        <f>Weekly_Inspections!$B606</f>
        <v>0</v>
      </c>
      <c r="C606">
        <f>Weekly_Inspections!$E606</f>
        <v>0</v>
      </c>
      <c r="D606">
        <f>Weekly_Inspections!$F606</f>
        <v>0</v>
      </c>
      <c r="E606" t="str">
        <f>Weekly_Inspections!$H606</f>
        <v/>
      </c>
      <c r="F606">
        <f>IF(Weekly_Inspections!$AX606&lt;&gt;"",Weekly_Inspections!$AX606,IF(Weekly_Inspections!$AY606&lt;&gt;"",Weekly_Inspections!$AY606,IF(Weekly_Inspections!$AZ606&lt;&gt;"",Weekly_Inspections!$AZ606,IF(Weekly_Inspections!$BA606&lt;&gt;"",Weekly_Inspections!$BA606,IF(Weekly_Inspections!$BB606&lt;&gt;"",Weekly_Inspections!$BB606,Weekly_Inspections!$R606)))))</f>
        <v>0</v>
      </c>
      <c r="G606" t="str">
        <f>IF(OR(Weekly_Inspections!$AQ606&lt;&gt;"",Weekly_Inspections!$AR606&lt;&gt;"",Weekly_Inspections!$AS606&lt;&gt;""),Weekly_Inspections!$AQ606,"")</f>
        <v/>
      </c>
      <c r="H606">
        <f>Weekly_Inspections!$AP606</f>
        <v>0</v>
      </c>
      <c r="I606">
        <f>Weekly_Inspections!$AR606</f>
        <v>0</v>
      </c>
      <c r="J606">
        <f>Weekly_Inspections!$AS606</f>
        <v>0</v>
      </c>
      <c r="K606">
        <f>Weekly_Inspections!$AU606</f>
        <v>0</v>
      </c>
      <c r="L606" s="24">
        <f>Weekly_Inspections!$AV606</f>
        <v>0</v>
      </c>
      <c r="M606" t="str">
        <f t="shared" si="27"/>
        <v>Open</v>
      </c>
      <c r="N606" s="24"/>
      <c r="O606">
        <f t="shared" ca="1" si="28"/>
        <v>46113</v>
      </c>
      <c r="P606" t="str">
        <f t="shared" ca="1" si="29"/>
        <v>YES</v>
      </c>
      <c r="Q606">
        <f>Weekly_Inspections!$AW606</f>
        <v>0</v>
      </c>
    </row>
    <row r="607" spans="1:17" ht="15" customHeight="1" x14ac:dyDescent="0.2">
      <c r="A607" t="str">
        <f>IF(Weekly_Inspections!$B607="","",Weekly_Inspections!$A607&amp;"-A1")</f>
        <v/>
      </c>
      <c r="B607" s="24">
        <f>Weekly_Inspections!$B607</f>
        <v>0</v>
      </c>
      <c r="C607">
        <f>Weekly_Inspections!$E607</f>
        <v>0</v>
      </c>
      <c r="D607">
        <f>Weekly_Inspections!$F607</f>
        <v>0</v>
      </c>
      <c r="E607" t="str">
        <f>Weekly_Inspections!$H607</f>
        <v/>
      </c>
      <c r="F607">
        <f>IF(Weekly_Inspections!$AX607&lt;&gt;"",Weekly_Inspections!$AX607,IF(Weekly_Inspections!$AY607&lt;&gt;"",Weekly_Inspections!$AY607,IF(Weekly_Inspections!$AZ607&lt;&gt;"",Weekly_Inspections!$AZ607,IF(Weekly_Inspections!$BA607&lt;&gt;"",Weekly_Inspections!$BA607,IF(Weekly_Inspections!$BB607&lt;&gt;"",Weekly_Inspections!$BB607,Weekly_Inspections!$R607)))))</f>
        <v>0</v>
      </c>
      <c r="G607" t="str">
        <f>IF(OR(Weekly_Inspections!$AQ607&lt;&gt;"",Weekly_Inspections!$AR607&lt;&gt;"",Weekly_Inspections!$AS607&lt;&gt;""),Weekly_Inspections!$AQ607,"")</f>
        <v/>
      </c>
      <c r="H607">
        <f>Weekly_Inspections!$AP607</f>
        <v>0</v>
      </c>
      <c r="I607">
        <f>Weekly_Inspections!$AR607</f>
        <v>0</v>
      </c>
      <c r="J607">
        <f>Weekly_Inspections!$AS607</f>
        <v>0</v>
      </c>
      <c r="K607">
        <f>Weekly_Inspections!$AU607</f>
        <v>0</v>
      </c>
      <c r="L607" s="24">
        <f>Weekly_Inspections!$AV607</f>
        <v>0</v>
      </c>
      <c r="M607" t="str">
        <f t="shared" si="27"/>
        <v>Open</v>
      </c>
      <c r="N607" s="24"/>
      <c r="O607">
        <f t="shared" ca="1" si="28"/>
        <v>46113</v>
      </c>
      <c r="P607" t="str">
        <f t="shared" ca="1" si="29"/>
        <v>YES</v>
      </c>
      <c r="Q607">
        <f>Weekly_Inspections!$AW607</f>
        <v>0</v>
      </c>
    </row>
    <row r="608" spans="1:17" ht="15" customHeight="1" x14ac:dyDescent="0.2">
      <c r="A608" t="str">
        <f>IF(Weekly_Inspections!$B608="","",Weekly_Inspections!$A608&amp;"-A1")</f>
        <v/>
      </c>
      <c r="B608" s="24">
        <f>Weekly_Inspections!$B608</f>
        <v>0</v>
      </c>
      <c r="C608">
        <f>Weekly_Inspections!$E608</f>
        <v>0</v>
      </c>
      <c r="D608">
        <f>Weekly_Inspections!$F608</f>
        <v>0</v>
      </c>
      <c r="E608" t="str">
        <f>Weekly_Inspections!$H608</f>
        <v/>
      </c>
      <c r="F608">
        <f>IF(Weekly_Inspections!$AX608&lt;&gt;"",Weekly_Inspections!$AX608,IF(Weekly_Inspections!$AY608&lt;&gt;"",Weekly_Inspections!$AY608,IF(Weekly_Inspections!$AZ608&lt;&gt;"",Weekly_Inspections!$AZ608,IF(Weekly_Inspections!$BA608&lt;&gt;"",Weekly_Inspections!$BA608,IF(Weekly_Inspections!$BB608&lt;&gt;"",Weekly_Inspections!$BB608,Weekly_Inspections!$R608)))))</f>
        <v>0</v>
      </c>
      <c r="G608" t="str">
        <f>IF(OR(Weekly_Inspections!$AQ608&lt;&gt;"",Weekly_Inspections!$AR608&lt;&gt;"",Weekly_Inspections!$AS608&lt;&gt;""),Weekly_Inspections!$AQ608,"")</f>
        <v/>
      </c>
      <c r="H608">
        <f>Weekly_Inspections!$AP608</f>
        <v>0</v>
      </c>
      <c r="I608">
        <f>Weekly_Inspections!$AR608</f>
        <v>0</v>
      </c>
      <c r="J608">
        <f>Weekly_Inspections!$AS608</f>
        <v>0</v>
      </c>
      <c r="K608">
        <f>Weekly_Inspections!$AU608</f>
        <v>0</v>
      </c>
      <c r="L608" s="24">
        <f>Weekly_Inspections!$AV608</f>
        <v>0</v>
      </c>
      <c r="M608" t="str">
        <f t="shared" si="27"/>
        <v>Open</v>
      </c>
      <c r="N608" s="24"/>
      <c r="O608">
        <f t="shared" ca="1" si="28"/>
        <v>46113</v>
      </c>
      <c r="P608" t="str">
        <f t="shared" ca="1" si="29"/>
        <v>YES</v>
      </c>
      <c r="Q608">
        <f>Weekly_Inspections!$AW608</f>
        <v>0</v>
      </c>
    </row>
    <row r="609" spans="1:17" ht="15" customHeight="1" x14ac:dyDescent="0.2">
      <c r="A609" t="str">
        <f>IF(Weekly_Inspections!$B609="","",Weekly_Inspections!$A609&amp;"-A1")</f>
        <v/>
      </c>
      <c r="B609" s="24">
        <f>Weekly_Inspections!$B609</f>
        <v>0</v>
      </c>
      <c r="C609">
        <f>Weekly_Inspections!$E609</f>
        <v>0</v>
      </c>
      <c r="D609">
        <f>Weekly_Inspections!$F609</f>
        <v>0</v>
      </c>
      <c r="E609" t="str">
        <f>Weekly_Inspections!$H609</f>
        <v/>
      </c>
      <c r="F609">
        <f>IF(Weekly_Inspections!$AX609&lt;&gt;"",Weekly_Inspections!$AX609,IF(Weekly_Inspections!$AY609&lt;&gt;"",Weekly_Inspections!$AY609,IF(Weekly_Inspections!$AZ609&lt;&gt;"",Weekly_Inspections!$AZ609,IF(Weekly_Inspections!$BA609&lt;&gt;"",Weekly_Inspections!$BA609,IF(Weekly_Inspections!$BB609&lt;&gt;"",Weekly_Inspections!$BB609,Weekly_Inspections!$R609)))))</f>
        <v>0</v>
      </c>
      <c r="G609" t="str">
        <f>IF(OR(Weekly_Inspections!$AQ609&lt;&gt;"",Weekly_Inspections!$AR609&lt;&gt;"",Weekly_Inspections!$AS609&lt;&gt;""),Weekly_Inspections!$AQ609,"")</f>
        <v/>
      </c>
      <c r="H609">
        <f>Weekly_Inspections!$AP609</f>
        <v>0</v>
      </c>
      <c r="I609">
        <f>Weekly_Inspections!$AR609</f>
        <v>0</v>
      </c>
      <c r="J609">
        <f>Weekly_Inspections!$AS609</f>
        <v>0</v>
      </c>
      <c r="K609">
        <f>Weekly_Inspections!$AU609</f>
        <v>0</v>
      </c>
      <c r="L609" s="24">
        <f>Weekly_Inspections!$AV609</f>
        <v>0</v>
      </c>
      <c r="M609" t="str">
        <f t="shared" si="27"/>
        <v>Open</v>
      </c>
      <c r="N609" s="24"/>
      <c r="O609">
        <f t="shared" ca="1" si="28"/>
        <v>46113</v>
      </c>
      <c r="P609" t="str">
        <f t="shared" ca="1" si="29"/>
        <v>YES</v>
      </c>
      <c r="Q609">
        <f>Weekly_Inspections!$AW609</f>
        <v>0</v>
      </c>
    </row>
    <row r="610" spans="1:17" ht="15" customHeight="1" x14ac:dyDescent="0.2">
      <c r="A610" t="str">
        <f>IF(Weekly_Inspections!$B610="","",Weekly_Inspections!$A610&amp;"-A1")</f>
        <v/>
      </c>
      <c r="B610" s="24">
        <f>Weekly_Inspections!$B610</f>
        <v>0</v>
      </c>
      <c r="C610">
        <f>Weekly_Inspections!$E610</f>
        <v>0</v>
      </c>
      <c r="D610">
        <f>Weekly_Inspections!$F610</f>
        <v>0</v>
      </c>
      <c r="E610" t="str">
        <f>Weekly_Inspections!$H610</f>
        <v/>
      </c>
      <c r="F610">
        <f>IF(Weekly_Inspections!$AX610&lt;&gt;"",Weekly_Inspections!$AX610,IF(Weekly_Inspections!$AY610&lt;&gt;"",Weekly_Inspections!$AY610,IF(Weekly_Inspections!$AZ610&lt;&gt;"",Weekly_Inspections!$AZ610,IF(Weekly_Inspections!$BA610&lt;&gt;"",Weekly_Inspections!$BA610,IF(Weekly_Inspections!$BB610&lt;&gt;"",Weekly_Inspections!$BB610,Weekly_Inspections!$R610)))))</f>
        <v>0</v>
      </c>
      <c r="G610" t="str">
        <f>IF(OR(Weekly_Inspections!$AQ610&lt;&gt;"",Weekly_Inspections!$AR610&lt;&gt;"",Weekly_Inspections!$AS610&lt;&gt;""),Weekly_Inspections!$AQ610,"")</f>
        <v/>
      </c>
      <c r="H610">
        <f>Weekly_Inspections!$AP610</f>
        <v>0</v>
      </c>
      <c r="I610">
        <f>Weekly_Inspections!$AR610</f>
        <v>0</v>
      </c>
      <c r="J610">
        <f>Weekly_Inspections!$AS610</f>
        <v>0</v>
      </c>
      <c r="K610">
        <f>Weekly_Inspections!$AU610</f>
        <v>0</v>
      </c>
      <c r="L610" s="24">
        <f>Weekly_Inspections!$AV610</f>
        <v>0</v>
      </c>
      <c r="M610" t="str">
        <f t="shared" si="27"/>
        <v>Open</v>
      </c>
      <c r="N610" s="24"/>
      <c r="O610">
        <f t="shared" ca="1" si="28"/>
        <v>46113</v>
      </c>
      <c r="P610" t="str">
        <f t="shared" ca="1" si="29"/>
        <v>YES</v>
      </c>
      <c r="Q610">
        <f>Weekly_Inspections!$AW610</f>
        <v>0</v>
      </c>
    </row>
    <row r="611" spans="1:17" ht="15" customHeight="1" x14ac:dyDescent="0.2">
      <c r="A611" t="str">
        <f>IF(Weekly_Inspections!$B611="","",Weekly_Inspections!$A611&amp;"-A1")</f>
        <v/>
      </c>
      <c r="B611" s="24">
        <f>Weekly_Inspections!$B611</f>
        <v>0</v>
      </c>
      <c r="C611">
        <f>Weekly_Inspections!$E611</f>
        <v>0</v>
      </c>
      <c r="D611">
        <f>Weekly_Inspections!$F611</f>
        <v>0</v>
      </c>
      <c r="E611" t="str">
        <f>Weekly_Inspections!$H611</f>
        <v/>
      </c>
      <c r="F611">
        <f>IF(Weekly_Inspections!$AX611&lt;&gt;"",Weekly_Inspections!$AX611,IF(Weekly_Inspections!$AY611&lt;&gt;"",Weekly_Inspections!$AY611,IF(Weekly_Inspections!$AZ611&lt;&gt;"",Weekly_Inspections!$AZ611,IF(Weekly_Inspections!$BA611&lt;&gt;"",Weekly_Inspections!$BA611,IF(Weekly_Inspections!$BB611&lt;&gt;"",Weekly_Inspections!$BB611,Weekly_Inspections!$R611)))))</f>
        <v>0</v>
      </c>
      <c r="G611" t="str">
        <f>IF(OR(Weekly_Inspections!$AQ611&lt;&gt;"",Weekly_Inspections!$AR611&lt;&gt;"",Weekly_Inspections!$AS611&lt;&gt;""),Weekly_Inspections!$AQ611,"")</f>
        <v/>
      </c>
      <c r="H611">
        <f>Weekly_Inspections!$AP611</f>
        <v>0</v>
      </c>
      <c r="I611">
        <f>Weekly_Inspections!$AR611</f>
        <v>0</v>
      </c>
      <c r="J611">
        <f>Weekly_Inspections!$AS611</f>
        <v>0</v>
      </c>
      <c r="K611">
        <f>Weekly_Inspections!$AU611</f>
        <v>0</v>
      </c>
      <c r="L611" s="24">
        <f>Weekly_Inspections!$AV611</f>
        <v>0</v>
      </c>
      <c r="M611" t="str">
        <f t="shared" si="27"/>
        <v>Open</v>
      </c>
      <c r="N611" s="24"/>
      <c r="O611">
        <f t="shared" ca="1" si="28"/>
        <v>46113</v>
      </c>
      <c r="P611" t="str">
        <f t="shared" ca="1" si="29"/>
        <v>YES</v>
      </c>
      <c r="Q611">
        <f>Weekly_Inspections!$AW611</f>
        <v>0</v>
      </c>
    </row>
    <row r="612" spans="1:17" ht="15" customHeight="1" x14ac:dyDescent="0.2">
      <c r="A612" t="str">
        <f>IF(Weekly_Inspections!$B612="","",Weekly_Inspections!$A612&amp;"-A1")</f>
        <v/>
      </c>
      <c r="B612" s="24">
        <f>Weekly_Inspections!$B612</f>
        <v>0</v>
      </c>
      <c r="C612">
        <f>Weekly_Inspections!$E612</f>
        <v>0</v>
      </c>
      <c r="D612">
        <f>Weekly_Inspections!$F612</f>
        <v>0</v>
      </c>
      <c r="E612" t="str">
        <f>Weekly_Inspections!$H612</f>
        <v/>
      </c>
      <c r="F612">
        <f>IF(Weekly_Inspections!$AX612&lt;&gt;"",Weekly_Inspections!$AX612,IF(Weekly_Inspections!$AY612&lt;&gt;"",Weekly_Inspections!$AY612,IF(Weekly_Inspections!$AZ612&lt;&gt;"",Weekly_Inspections!$AZ612,IF(Weekly_Inspections!$BA612&lt;&gt;"",Weekly_Inspections!$BA612,IF(Weekly_Inspections!$BB612&lt;&gt;"",Weekly_Inspections!$BB612,Weekly_Inspections!$R612)))))</f>
        <v>0</v>
      </c>
      <c r="G612" t="str">
        <f>IF(OR(Weekly_Inspections!$AQ612&lt;&gt;"",Weekly_Inspections!$AR612&lt;&gt;"",Weekly_Inspections!$AS612&lt;&gt;""),Weekly_Inspections!$AQ612,"")</f>
        <v/>
      </c>
      <c r="H612">
        <f>Weekly_Inspections!$AP612</f>
        <v>0</v>
      </c>
      <c r="I612">
        <f>Weekly_Inspections!$AR612</f>
        <v>0</v>
      </c>
      <c r="J612">
        <f>Weekly_Inspections!$AS612</f>
        <v>0</v>
      </c>
      <c r="K612">
        <f>Weekly_Inspections!$AU612</f>
        <v>0</v>
      </c>
      <c r="L612" s="24">
        <f>Weekly_Inspections!$AV612</f>
        <v>0</v>
      </c>
      <c r="M612" t="str">
        <f t="shared" si="27"/>
        <v>Open</v>
      </c>
      <c r="N612" s="24"/>
      <c r="O612">
        <f t="shared" ca="1" si="28"/>
        <v>46113</v>
      </c>
      <c r="P612" t="str">
        <f t="shared" ca="1" si="29"/>
        <v>YES</v>
      </c>
      <c r="Q612">
        <f>Weekly_Inspections!$AW612</f>
        <v>0</v>
      </c>
    </row>
    <row r="613" spans="1:17" ht="15" customHeight="1" x14ac:dyDescent="0.2">
      <c r="A613" t="str">
        <f>IF(Weekly_Inspections!$B613="","",Weekly_Inspections!$A613&amp;"-A1")</f>
        <v/>
      </c>
      <c r="B613" s="24">
        <f>Weekly_Inspections!$B613</f>
        <v>0</v>
      </c>
      <c r="C613">
        <f>Weekly_Inspections!$E613</f>
        <v>0</v>
      </c>
      <c r="D613">
        <f>Weekly_Inspections!$F613</f>
        <v>0</v>
      </c>
      <c r="E613" t="str">
        <f>Weekly_Inspections!$H613</f>
        <v/>
      </c>
      <c r="F613">
        <f>IF(Weekly_Inspections!$AX613&lt;&gt;"",Weekly_Inspections!$AX613,IF(Weekly_Inspections!$AY613&lt;&gt;"",Weekly_Inspections!$AY613,IF(Weekly_Inspections!$AZ613&lt;&gt;"",Weekly_Inspections!$AZ613,IF(Weekly_Inspections!$BA613&lt;&gt;"",Weekly_Inspections!$BA613,IF(Weekly_Inspections!$BB613&lt;&gt;"",Weekly_Inspections!$BB613,Weekly_Inspections!$R613)))))</f>
        <v>0</v>
      </c>
      <c r="G613" t="str">
        <f>IF(OR(Weekly_Inspections!$AQ613&lt;&gt;"",Weekly_Inspections!$AR613&lt;&gt;"",Weekly_Inspections!$AS613&lt;&gt;""),Weekly_Inspections!$AQ613,"")</f>
        <v/>
      </c>
      <c r="H613">
        <f>Weekly_Inspections!$AP613</f>
        <v>0</v>
      </c>
      <c r="I613">
        <f>Weekly_Inspections!$AR613</f>
        <v>0</v>
      </c>
      <c r="J613">
        <f>Weekly_Inspections!$AS613</f>
        <v>0</v>
      </c>
      <c r="K613">
        <f>Weekly_Inspections!$AU613</f>
        <v>0</v>
      </c>
      <c r="L613" s="24">
        <f>Weekly_Inspections!$AV613</f>
        <v>0</v>
      </c>
      <c r="M613" t="str">
        <f t="shared" si="27"/>
        <v>Open</v>
      </c>
      <c r="N613" s="24"/>
      <c r="O613">
        <f t="shared" ca="1" si="28"/>
        <v>46113</v>
      </c>
      <c r="P613" t="str">
        <f t="shared" ca="1" si="29"/>
        <v>YES</v>
      </c>
      <c r="Q613">
        <f>Weekly_Inspections!$AW613</f>
        <v>0</v>
      </c>
    </row>
    <row r="614" spans="1:17" ht="15" customHeight="1" x14ac:dyDescent="0.2">
      <c r="A614" t="str">
        <f>IF(Weekly_Inspections!$B614="","",Weekly_Inspections!$A614&amp;"-A1")</f>
        <v/>
      </c>
      <c r="B614" s="24">
        <f>Weekly_Inspections!$B614</f>
        <v>0</v>
      </c>
      <c r="C614">
        <f>Weekly_Inspections!$E614</f>
        <v>0</v>
      </c>
      <c r="D614">
        <f>Weekly_Inspections!$F614</f>
        <v>0</v>
      </c>
      <c r="E614" t="str">
        <f>Weekly_Inspections!$H614</f>
        <v/>
      </c>
      <c r="F614">
        <f>IF(Weekly_Inspections!$AX614&lt;&gt;"",Weekly_Inspections!$AX614,IF(Weekly_Inspections!$AY614&lt;&gt;"",Weekly_Inspections!$AY614,IF(Weekly_Inspections!$AZ614&lt;&gt;"",Weekly_Inspections!$AZ614,IF(Weekly_Inspections!$BA614&lt;&gt;"",Weekly_Inspections!$BA614,IF(Weekly_Inspections!$BB614&lt;&gt;"",Weekly_Inspections!$BB614,Weekly_Inspections!$R614)))))</f>
        <v>0</v>
      </c>
      <c r="G614" t="str">
        <f>IF(OR(Weekly_Inspections!$AQ614&lt;&gt;"",Weekly_Inspections!$AR614&lt;&gt;"",Weekly_Inspections!$AS614&lt;&gt;""),Weekly_Inspections!$AQ614,"")</f>
        <v/>
      </c>
      <c r="H614">
        <f>Weekly_Inspections!$AP614</f>
        <v>0</v>
      </c>
      <c r="I614">
        <f>Weekly_Inspections!$AR614</f>
        <v>0</v>
      </c>
      <c r="J614">
        <f>Weekly_Inspections!$AS614</f>
        <v>0</v>
      </c>
      <c r="K614">
        <f>Weekly_Inspections!$AU614</f>
        <v>0</v>
      </c>
      <c r="L614" s="24">
        <f>Weekly_Inspections!$AV614</f>
        <v>0</v>
      </c>
      <c r="M614" t="str">
        <f t="shared" si="27"/>
        <v>Open</v>
      </c>
      <c r="N614" s="24"/>
      <c r="O614">
        <f t="shared" ca="1" si="28"/>
        <v>46113</v>
      </c>
      <c r="P614" t="str">
        <f t="shared" ca="1" si="29"/>
        <v>YES</v>
      </c>
      <c r="Q614">
        <f>Weekly_Inspections!$AW614</f>
        <v>0</v>
      </c>
    </row>
    <row r="615" spans="1:17" ht="15" customHeight="1" x14ac:dyDescent="0.2">
      <c r="A615" t="str">
        <f>IF(Weekly_Inspections!$B615="","",Weekly_Inspections!$A615&amp;"-A1")</f>
        <v/>
      </c>
      <c r="B615" s="24">
        <f>Weekly_Inspections!$B615</f>
        <v>0</v>
      </c>
      <c r="C615">
        <f>Weekly_Inspections!$E615</f>
        <v>0</v>
      </c>
      <c r="D615">
        <f>Weekly_Inspections!$F615</f>
        <v>0</v>
      </c>
      <c r="E615" t="str">
        <f>Weekly_Inspections!$H615</f>
        <v/>
      </c>
      <c r="F615">
        <f>IF(Weekly_Inspections!$AX615&lt;&gt;"",Weekly_Inspections!$AX615,IF(Weekly_Inspections!$AY615&lt;&gt;"",Weekly_Inspections!$AY615,IF(Weekly_Inspections!$AZ615&lt;&gt;"",Weekly_Inspections!$AZ615,IF(Weekly_Inspections!$BA615&lt;&gt;"",Weekly_Inspections!$BA615,IF(Weekly_Inspections!$BB615&lt;&gt;"",Weekly_Inspections!$BB615,Weekly_Inspections!$R615)))))</f>
        <v>0</v>
      </c>
      <c r="G615" t="str">
        <f>IF(OR(Weekly_Inspections!$AQ615&lt;&gt;"",Weekly_Inspections!$AR615&lt;&gt;"",Weekly_Inspections!$AS615&lt;&gt;""),Weekly_Inspections!$AQ615,"")</f>
        <v/>
      </c>
      <c r="H615">
        <f>Weekly_Inspections!$AP615</f>
        <v>0</v>
      </c>
      <c r="I615">
        <f>Weekly_Inspections!$AR615</f>
        <v>0</v>
      </c>
      <c r="J615">
        <f>Weekly_Inspections!$AS615</f>
        <v>0</v>
      </c>
      <c r="K615">
        <f>Weekly_Inspections!$AU615</f>
        <v>0</v>
      </c>
      <c r="L615" s="24">
        <f>Weekly_Inspections!$AV615</f>
        <v>0</v>
      </c>
      <c r="M615" t="str">
        <f t="shared" si="27"/>
        <v>Open</v>
      </c>
      <c r="N615" s="24"/>
      <c r="O615">
        <f t="shared" ca="1" si="28"/>
        <v>46113</v>
      </c>
      <c r="P615" t="str">
        <f t="shared" ca="1" si="29"/>
        <v>YES</v>
      </c>
      <c r="Q615">
        <f>Weekly_Inspections!$AW615</f>
        <v>0</v>
      </c>
    </row>
    <row r="616" spans="1:17" ht="15" customHeight="1" x14ac:dyDescent="0.2">
      <c r="A616" t="str">
        <f>IF(Weekly_Inspections!$B616="","",Weekly_Inspections!$A616&amp;"-A1")</f>
        <v/>
      </c>
      <c r="B616" s="24">
        <f>Weekly_Inspections!$B616</f>
        <v>0</v>
      </c>
      <c r="C616">
        <f>Weekly_Inspections!$E616</f>
        <v>0</v>
      </c>
      <c r="D616">
        <f>Weekly_Inspections!$F616</f>
        <v>0</v>
      </c>
      <c r="E616" t="str">
        <f>Weekly_Inspections!$H616</f>
        <v/>
      </c>
      <c r="F616">
        <f>IF(Weekly_Inspections!$AX616&lt;&gt;"",Weekly_Inspections!$AX616,IF(Weekly_Inspections!$AY616&lt;&gt;"",Weekly_Inspections!$AY616,IF(Weekly_Inspections!$AZ616&lt;&gt;"",Weekly_Inspections!$AZ616,IF(Weekly_Inspections!$BA616&lt;&gt;"",Weekly_Inspections!$BA616,IF(Weekly_Inspections!$BB616&lt;&gt;"",Weekly_Inspections!$BB616,Weekly_Inspections!$R616)))))</f>
        <v>0</v>
      </c>
      <c r="G616" t="str">
        <f>IF(OR(Weekly_Inspections!$AQ616&lt;&gt;"",Weekly_Inspections!$AR616&lt;&gt;"",Weekly_Inspections!$AS616&lt;&gt;""),Weekly_Inspections!$AQ616,"")</f>
        <v/>
      </c>
      <c r="H616">
        <f>Weekly_Inspections!$AP616</f>
        <v>0</v>
      </c>
      <c r="I616">
        <f>Weekly_Inspections!$AR616</f>
        <v>0</v>
      </c>
      <c r="J616">
        <f>Weekly_Inspections!$AS616</f>
        <v>0</v>
      </c>
      <c r="K616">
        <f>Weekly_Inspections!$AU616</f>
        <v>0</v>
      </c>
      <c r="L616" s="24">
        <f>Weekly_Inspections!$AV616</f>
        <v>0</v>
      </c>
      <c r="M616" t="str">
        <f t="shared" si="27"/>
        <v>Open</v>
      </c>
      <c r="N616" s="24"/>
      <c r="O616">
        <f t="shared" ca="1" si="28"/>
        <v>46113</v>
      </c>
      <c r="P616" t="str">
        <f t="shared" ca="1" si="29"/>
        <v>YES</v>
      </c>
      <c r="Q616">
        <f>Weekly_Inspections!$AW616</f>
        <v>0</v>
      </c>
    </row>
    <row r="617" spans="1:17" ht="15" customHeight="1" x14ac:dyDescent="0.2">
      <c r="A617" t="str">
        <f>IF(Weekly_Inspections!$B617="","",Weekly_Inspections!$A617&amp;"-A1")</f>
        <v/>
      </c>
      <c r="B617" s="24">
        <f>Weekly_Inspections!$B617</f>
        <v>0</v>
      </c>
      <c r="C617">
        <f>Weekly_Inspections!$E617</f>
        <v>0</v>
      </c>
      <c r="D617">
        <f>Weekly_Inspections!$F617</f>
        <v>0</v>
      </c>
      <c r="E617" t="str">
        <f>Weekly_Inspections!$H617</f>
        <v/>
      </c>
      <c r="F617">
        <f>IF(Weekly_Inspections!$AX617&lt;&gt;"",Weekly_Inspections!$AX617,IF(Weekly_Inspections!$AY617&lt;&gt;"",Weekly_Inspections!$AY617,IF(Weekly_Inspections!$AZ617&lt;&gt;"",Weekly_Inspections!$AZ617,IF(Weekly_Inspections!$BA617&lt;&gt;"",Weekly_Inspections!$BA617,IF(Weekly_Inspections!$BB617&lt;&gt;"",Weekly_Inspections!$BB617,Weekly_Inspections!$R617)))))</f>
        <v>0</v>
      </c>
      <c r="G617" t="str">
        <f>IF(OR(Weekly_Inspections!$AQ617&lt;&gt;"",Weekly_Inspections!$AR617&lt;&gt;"",Weekly_Inspections!$AS617&lt;&gt;""),Weekly_Inspections!$AQ617,"")</f>
        <v/>
      </c>
      <c r="H617">
        <f>Weekly_Inspections!$AP617</f>
        <v>0</v>
      </c>
      <c r="I617">
        <f>Weekly_Inspections!$AR617</f>
        <v>0</v>
      </c>
      <c r="J617">
        <f>Weekly_Inspections!$AS617</f>
        <v>0</v>
      </c>
      <c r="K617">
        <f>Weekly_Inspections!$AU617</f>
        <v>0</v>
      </c>
      <c r="L617" s="24">
        <f>Weekly_Inspections!$AV617</f>
        <v>0</v>
      </c>
      <c r="M617" t="str">
        <f t="shared" si="27"/>
        <v>Open</v>
      </c>
      <c r="N617" s="24"/>
      <c r="O617">
        <f t="shared" ca="1" si="28"/>
        <v>46113</v>
      </c>
      <c r="P617" t="str">
        <f t="shared" ca="1" si="29"/>
        <v>YES</v>
      </c>
      <c r="Q617">
        <f>Weekly_Inspections!$AW617</f>
        <v>0</v>
      </c>
    </row>
    <row r="618" spans="1:17" ht="15" customHeight="1" x14ac:dyDescent="0.2">
      <c r="A618" t="str">
        <f>IF(Weekly_Inspections!$B618="","",Weekly_Inspections!$A618&amp;"-A1")</f>
        <v/>
      </c>
      <c r="B618" s="24">
        <f>Weekly_Inspections!$B618</f>
        <v>0</v>
      </c>
      <c r="C618">
        <f>Weekly_Inspections!$E618</f>
        <v>0</v>
      </c>
      <c r="D618">
        <f>Weekly_Inspections!$F618</f>
        <v>0</v>
      </c>
      <c r="E618" t="str">
        <f>Weekly_Inspections!$H618</f>
        <v/>
      </c>
      <c r="F618">
        <f>IF(Weekly_Inspections!$AX618&lt;&gt;"",Weekly_Inspections!$AX618,IF(Weekly_Inspections!$AY618&lt;&gt;"",Weekly_Inspections!$AY618,IF(Weekly_Inspections!$AZ618&lt;&gt;"",Weekly_Inspections!$AZ618,IF(Weekly_Inspections!$BA618&lt;&gt;"",Weekly_Inspections!$BA618,IF(Weekly_Inspections!$BB618&lt;&gt;"",Weekly_Inspections!$BB618,Weekly_Inspections!$R618)))))</f>
        <v>0</v>
      </c>
      <c r="G618" t="str">
        <f>IF(OR(Weekly_Inspections!$AQ618&lt;&gt;"",Weekly_Inspections!$AR618&lt;&gt;"",Weekly_Inspections!$AS618&lt;&gt;""),Weekly_Inspections!$AQ618,"")</f>
        <v/>
      </c>
      <c r="H618">
        <f>Weekly_Inspections!$AP618</f>
        <v>0</v>
      </c>
      <c r="I618">
        <f>Weekly_Inspections!$AR618</f>
        <v>0</v>
      </c>
      <c r="J618">
        <f>Weekly_Inspections!$AS618</f>
        <v>0</v>
      </c>
      <c r="K618">
        <f>Weekly_Inspections!$AU618</f>
        <v>0</v>
      </c>
      <c r="L618" s="24">
        <f>Weekly_Inspections!$AV618</f>
        <v>0</v>
      </c>
      <c r="M618" t="str">
        <f t="shared" si="27"/>
        <v>Open</v>
      </c>
      <c r="N618" s="24"/>
      <c r="O618">
        <f t="shared" ca="1" si="28"/>
        <v>46113</v>
      </c>
      <c r="P618" t="str">
        <f t="shared" ca="1" si="29"/>
        <v>YES</v>
      </c>
      <c r="Q618">
        <f>Weekly_Inspections!$AW618</f>
        <v>0</v>
      </c>
    </row>
    <row r="619" spans="1:17" ht="15" customHeight="1" x14ac:dyDescent="0.2">
      <c r="A619" t="str">
        <f>IF(Weekly_Inspections!$B619="","",Weekly_Inspections!$A619&amp;"-A1")</f>
        <v/>
      </c>
      <c r="B619" s="24">
        <f>Weekly_Inspections!$B619</f>
        <v>0</v>
      </c>
      <c r="C619">
        <f>Weekly_Inspections!$E619</f>
        <v>0</v>
      </c>
      <c r="D619">
        <f>Weekly_Inspections!$F619</f>
        <v>0</v>
      </c>
      <c r="E619" t="str">
        <f>Weekly_Inspections!$H619</f>
        <v/>
      </c>
      <c r="F619">
        <f>IF(Weekly_Inspections!$AX619&lt;&gt;"",Weekly_Inspections!$AX619,IF(Weekly_Inspections!$AY619&lt;&gt;"",Weekly_Inspections!$AY619,IF(Weekly_Inspections!$AZ619&lt;&gt;"",Weekly_Inspections!$AZ619,IF(Weekly_Inspections!$BA619&lt;&gt;"",Weekly_Inspections!$BA619,IF(Weekly_Inspections!$BB619&lt;&gt;"",Weekly_Inspections!$BB619,Weekly_Inspections!$R619)))))</f>
        <v>0</v>
      </c>
      <c r="G619" t="str">
        <f>IF(OR(Weekly_Inspections!$AQ619&lt;&gt;"",Weekly_Inspections!$AR619&lt;&gt;"",Weekly_Inspections!$AS619&lt;&gt;""),Weekly_Inspections!$AQ619,"")</f>
        <v/>
      </c>
      <c r="H619">
        <f>Weekly_Inspections!$AP619</f>
        <v>0</v>
      </c>
      <c r="I619">
        <f>Weekly_Inspections!$AR619</f>
        <v>0</v>
      </c>
      <c r="J619">
        <f>Weekly_Inspections!$AS619</f>
        <v>0</v>
      </c>
      <c r="K619">
        <f>Weekly_Inspections!$AU619</f>
        <v>0</v>
      </c>
      <c r="L619" s="24">
        <f>Weekly_Inspections!$AV619</f>
        <v>0</v>
      </c>
      <c r="M619" t="str">
        <f t="shared" si="27"/>
        <v>Open</v>
      </c>
      <c r="N619" s="24"/>
      <c r="O619">
        <f t="shared" ca="1" si="28"/>
        <v>46113</v>
      </c>
      <c r="P619" t="str">
        <f t="shared" ca="1" si="29"/>
        <v>YES</v>
      </c>
      <c r="Q619">
        <f>Weekly_Inspections!$AW619</f>
        <v>0</v>
      </c>
    </row>
    <row r="620" spans="1:17" ht="15" customHeight="1" x14ac:dyDescent="0.2">
      <c r="A620" t="str">
        <f>IF(Weekly_Inspections!$B620="","",Weekly_Inspections!$A620&amp;"-A1")</f>
        <v/>
      </c>
      <c r="B620" s="24">
        <f>Weekly_Inspections!$B620</f>
        <v>0</v>
      </c>
      <c r="C620">
        <f>Weekly_Inspections!$E620</f>
        <v>0</v>
      </c>
      <c r="D620">
        <f>Weekly_Inspections!$F620</f>
        <v>0</v>
      </c>
      <c r="E620" t="str">
        <f>Weekly_Inspections!$H620</f>
        <v/>
      </c>
      <c r="F620">
        <f>IF(Weekly_Inspections!$AX620&lt;&gt;"",Weekly_Inspections!$AX620,IF(Weekly_Inspections!$AY620&lt;&gt;"",Weekly_Inspections!$AY620,IF(Weekly_Inspections!$AZ620&lt;&gt;"",Weekly_Inspections!$AZ620,IF(Weekly_Inspections!$BA620&lt;&gt;"",Weekly_Inspections!$BA620,IF(Weekly_Inspections!$BB620&lt;&gt;"",Weekly_Inspections!$BB620,Weekly_Inspections!$R620)))))</f>
        <v>0</v>
      </c>
      <c r="G620" t="str">
        <f>IF(OR(Weekly_Inspections!$AQ620&lt;&gt;"",Weekly_Inspections!$AR620&lt;&gt;"",Weekly_Inspections!$AS620&lt;&gt;""),Weekly_Inspections!$AQ620,"")</f>
        <v/>
      </c>
      <c r="H620">
        <f>Weekly_Inspections!$AP620</f>
        <v>0</v>
      </c>
      <c r="I620">
        <f>Weekly_Inspections!$AR620</f>
        <v>0</v>
      </c>
      <c r="J620">
        <f>Weekly_Inspections!$AS620</f>
        <v>0</v>
      </c>
      <c r="K620">
        <f>Weekly_Inspections!$AU620</f>
        <v>0</v>
      </c>
      <c r="L620" s="24">
        <f>Weekly_Inspections!$AV620</f>
        <v>0</v>
      </c>
      <c r="M620" t="str">
        <f t="shared" si="27"/>
        <v>Open</v>
      </c>
      <c r="N620" s="24"/>
      <c r="O620">
        <f t="shared" ca="1" si="28"/>
        <v>46113</v>
      </c>
      <c r="P620" t="str">
        <f t="shared" ca="1" si="29"/>
        <v>YES</v>
      </c>
      <c r="Q620">
        <f>Weekly_Inspections!$AW620</f>
        <v>0</v>
      </c>
    </row>
    <row r="621" spans="1:17" ht="15" customHeight="1" x14ac:dyDescent="0.2">
      <c r="A621" t="str">
        <f>IF(Weekly_Inspections!$B621="","",Weekly_Inspections!$A621&amp;"-A1")</f>
        <v/>
      </c>
      <c r="B621" s="24">
        <f>Weekly_Inspections!$B621</f>
        <v>0</v>
      </c>
      <c r="C621">
        <f>Weekly_Inspections!$E621</f>
        <v>0</v>
      </c>
      <c r="D621">
        <f>Weekly_Inspections!$F621</f>
        <v>0</v>
      </c>
      <c r="E621" t="str">
        <f>Weekly_Inspections!$H621</f>
        <v/>
      </c>
      <c r="F621">
        <f>IF(Weekly_Inspections!$AX621&lt;&gt;"",Weekly_Inspections!$AX621,IF(Weekly_Inspections!$AY621&lt;&gt;"",Weekly_Inspections!$AY621,IF(Weekly_Inspections!$AZ621&lt;&gt;"",Weekly_Inspections!$AZ621,IF(Weekly_Inspections!$BA621&lt;&gt;"",Weekly_Inspections!$BA621,IF(Weekly_Inspections!$BB621&lt;&gt;"",Weekly_Inspections!$BB621,Weekly_Inspections!$R621)))))</f>
        <v>0</v>
      </c>
      <c r="G621" t="str">
        <f>IF(OR(Weekly_Inspections!$AQ621&lt;&gt;"",Weekly_Inspections!$AR621&lt;&gt;"",Weekly_Inspections!$AS621&lt;&gt;""),Weekly_Inspections!$AQ621,"")</f>
        <v/>
      </c>
      <c r="H621">
        <f>Weekly_Inspections!$AP621</f>
        <v>0</v>
      </c>
      <c r="I621">
        <f>Weekly_Inspections!$AR621</f>
        <v>0</v>
      </c>
      <c r="J621">
        <f>Weekly_Inspections!$AS621</f>
        <v>0</v>
      </c>
      <c r="K621">
        <f>Weekly_Inspections!$AU621</f>
        <v>0</v>
      </c>
      <c r="L621" s="24">
        <f>Weekly_Inspections!$AV621</f>
        <v>0</v>
      </c>
      <c r="M621" t="str">
        <f t="shared" si="27"/>
        <v>Open</v>
      </c>
      <c r="N621" s="24"/>
      <c r="O621">
        <f t="shared" ca="1" si="28"/>
        <v>46113</v>
      </c>
      <c r="P621" t="str">
        <f t="shared" ca="1" si="29"/>
        <v>YES</v>
      </c>
      <c r="Q621">
        <f>Weekly_Inspections!$AW621</f>
        <v>0</v>
      </c>
    </row>
    <row r="622" spans="1:17" ht="15" customHeight="1" x14ac:dyDescent="0.2">
      <c r="A622" t="str">
        <f>IF(Weekly_Inspections!$B622="","",Weekly_Inspections!$A622&amp;"-A1")</f>
        <v/>
      </c>
      <c r="B622" s="24">
        <f>Weekly_Inspections!$B622</f>
        <v>0</v>
      </c>
      <c r="C622">
        <f>Weekly_Inspections!$E622</f>
        <v>0</v>
      </c>
      <c r="D622">
        <f>Weekly_Inspections!$F622</f>
        <v>0</v>
      </c>
      <c r="E622" t="str">
        <f>Weekly_Inspections!$H622</f>
        <v/>
      </c>
      <c r="F622">
        <f>IF(Weekly_Inspections!$AX622&lt;&gt;"",Weekly_Inspections!$AX622,IF(Weekly_Inspections!$AY622&lt;&gt;"",Weekly_Inspections!$AY622,IF(Weekly_Inspections!$AZ622&lt;&gt;"",Weekly_Inspections!$AZ622,IF(Weekly_Inspections!$BA622&lt;&gt;"",Weekly_Inspections!$BA622,IF(Weekly_Inspections!$BB622&lt;&gt;"",Weekly_Inspections!$BB622,Weekly_Inspections!$R622)))))</f>
        <v>0</v>
      </c>
      <c r="G622" t="str">
        <f>IF(OR(Weekly_Inspections!$AQ622&lt;&gt;"",Weekly_Inspections!$AR622&lt;&gt;"",Weekly_Inspections!$AS622&lt;&gt;""),Weekly_Inspections!$AQ622,"")</f>
        <v/>
      </c>
      <c r="H622">
        <f>Weekly_Inspections!$AP622</f>
        <v>0</v>
      </c>
      <c r="I622">
        <f>Weekly_Inspections!$AR622</f>
        <v>0</v>
      </c>
      <c r="J622">
        <f>Weekly_Inspections!$AS622</f>
        <v>0</v>
      </c>
      <c r="K622">
        <f>Weekly_Inspections!$AU622</f>
        <v>0</v>
      </c>
      <c r="L622" s="24">
        <f>Weekly_Inspections!$AV622</f>
        <v>0</v>
      </c>
      <c r="M622" t="str">
        <f t="shared" si="27"/>
        <v>Open</v>
      </c>
      <c r="N622" s="24"/>
      <c r="O622">
        <f t="shared" ca="1" si="28"/>
        <v>46113</v>
      </c>
      <c r="P622" t="str">
        <f t="shared" ca="1" si="29"/>
        <v>YES</v>
      </c>
      <c r="Q622">
        <f>Weekly_Inspections!$AW622</f>
        <v>0</v>
      </c>
    </row>
    <row r="623" spans="1:17" ht="15" customHeight="1" x14ac:dyDescent="0.2">
      <c r="A623" t="str">
        <f>IF(Weekly_Inspections!$B623="","",Weekly_Inspections!$A623&amp;"-A1")</f>
        <v/>
      </c>
      <c r="B623" s="24">
        <f>Weekly_Inspections!$B623</f>
        <v>0</v>
      </c>
      <c r="C623">
        <f>Weekly_Inspections!$E623</f>
        <v>0</v>
      </c>
      <c r="D623">
        <f>Weekly_Inspections!$F623</f>
        <v>0</v>
      </c>
      <c r="E623" t="str">
        <f>Weekly_Inspections!$H623</f>
        <v/>
      </c>
      <c r="F623">
        <f>IF(Weekly_Inspections!$AX623&lt;&gt;"",Weekly_Inspections!$AX623,IF(Weekly_Inspections!$AY623&lt;&gt;"",Weekly_Inspections!$AY623,IF(Weekly_Inspections!$AZ623&lt;&gt;"",Weekly_Inspections!$AZ623,IF(Weekly_Inspections!$BA623&lt;&gt;"",Weekly_Inspections!$BA623,IF(Weekly_Inspections!$BB623&lt;&gt;"",Weekly_Inspections!$BB623,Weekly_Inspections!$R623)))))</f>
        <v>0</v>
      </c>
      <c r="G623" t="str">
        <f>IF(OR(Weekly_Inspections!$AQ623&lt;&gt;"",Weekly_Inspections!$AR623&lt;&gt;"",Weekly_Inspections!$AS623&lt;&gt;""),Weekly_Inspections!$AQ623,"")</f>
        <v/>
      </c>
      <c r="H623">
        <f>Weekly_Inspections!$AP623</f>
        <v>0</v>
      </c>
      <c r="I623">
        <f>Weekly_Inspections!$AR623</f>
        <v>0</v>
      </c>
      <c r="J623">
        <f>Weekly_Inspections!$AS623</f>
        <v>0</v>
      </c>
      <c r="K623">
        <f>Weekly_Inspections!$AU623</f>
        <v>0</v>
      </c>
      <c r="L623" s="24">
        <f>Weekly_Inspections!$AV623</f>
        <v>0</v>
      </c>
      <c r="M623" t="str">
        <f t="shared" si="27"/>
        <v>Open</v>
      </c>
      <c r="N623" s="24"/>
      <c r="O623">
        <f t="shared" ca="1" si="28"/>
        <v>46113</v>
      </c>
      <c r="P623" t="str">
        <f t="shared" ca="1" si="29"/>
        <v>YES</v>
      </c>
      <c r="Q623">
        <f>Weekly_Inspections!$AW623</f>
        <v>0</v>
      </c>
    </row>
    <row r="624" spans="1:17" ht="15" customHeight="1" x14ac:dyDescent="0.2">
      <c r="A624" t="str">
        <f>IF(Weekly_Inspections!$B624="","",Weekly_Inspections!$A624&amp;"-A1")</f>
        <v/>
      </c>
      <c r="B624" s="24">
        <f>Weekly_Inspections!$B624</f>
        <v>0</v>
      </c>
      <c r="C624">
        <f>Weekly_Inspections!$E624</f>
        <v>0</v>
      </c>
      <c r="D624">
        <f>Weekly_Inspections!$F624</f>
        <v>0</v>
      </c>
      <c r="E624" t="str">
        <f>Weekly_Inspections!$H624</f>
        <v/>
      </c>
      <c r="F624">
        <f>IF(Weekly_Inspections!$AX624&lt;&gt;"",Weekly_Inspections!$AX624,IF(Weekly_Inspections!$AY624&lt;&gt;"",Weekly_Inspections!$AY624,IF(Weekly_Inspections!$AZ624&lt;&gt;"",Weekly_Inspections!$AZ624,IF(Weekly_Inspections!$BA624&lt;&gt;"",Weekly_Inspections!$BA624,IF(Weekly_Inspections!$BB624&lt;&gt;"",Weekly_Inspections!$BB624,Weekly_Inspections!$R624)))))</f>
        <v>0</v>
      </c>
      <c r="G624" t="str">
        <f>IF(OR(Weekly_Inspections!$AQ624&lt;&gt;"",Weekly_Inspections!$AR624&lt;&gt;"",Weekly_Inspections!$AS624&lt;&gt;""),Weekly_Inspections!$AQ624,"")</f>
        <v/>
      </c>
      <c r="H624">
        <f>Weekly_Inspections!$AP624</f>
        <v>0</v>
      </c>
      <c r="I624">
        <f>Weekly_Inspections!$AR624</f>
        <v>0</v>
      </c>
      <c r="J624">
        <f>Weekly_Inspections!$AS624</f>
        <v>0</v>
      </c>
      <c r="K624">
        <f>Weekly_Inspections!$AU624</f>
        <v>0</v>
      </c>
      <c r="L624" s="24">
        <f>Weekly_Inspections!$AV624</f>
        <v>0</v>
      </c>
      <c r="M624" t="str">
        <f t="shared" si="27"/>
        <v>Open</v>
      </c>
      <c r="N624" s="24"/>
      <c r="O624">
        <f t="shared" ca="1" si="28"/>
        <v>46113</v>
      </c>
      <c r="P624" t="str">
        <f t="shared" ca="1" si="29"/>
        <v>YES</v>
      </c>
      <c r="Q624">
        <f>Weekly_Inspections!$AW624</f>
        <v>0</v>
      </c>
    </row>
    <row r="625" spans="1:17" ht="15" customHeight="1" x14ac:dyDescent="0.2">
      <c r="A625" t="str">
        <f>IF(Weekly_Inspections!$B625="","",Weekly_Inspections!$A625&amp;"-A1")</f>
        <v/>
      </c>
      <c r="B625" s="24">
        <f>Weekly_Inspections!$B625</f>
        <v>0</v>
      </c>
      <c r="C625">
        <f>Weekly_Inspections!$E625</f>
        <v>0</v>
      </c>
      <c r="D625">
        <f>Weekly_Inspections!$F625</f>
        <v>0</v>
      </c>
      <c r="E625" t="str">
        <f>Weekly_Inspections!$H625</f>
        <v/>
      </c>
      <c r="F625">
        <f>IF(Weekly_Inspections!$AX625&lt;&gt;"",Weekly_Inspections!$AX625,IF(Weekly_Inspections!$AY625&lt;&gt;"",Weekly_Inspections!$AY625,IF(Weekly_Inspections!$AZ625&lt;&gt;"",Weekly_Inspections!$AZ625,IF(Weekly_Inspections!$BA625&lt;&gt;"",Weekly_Inspections!$BA625,IF(Weekly_Inspections!$BB625&lt;&gt;"",Weekly_Inspections!$BB625,Weekly_Inspections!$R625)))))</f>
        <v>0</v>
      </c>
      <c r="G625" t="str">
        <f>IF(OR(Weekly_Inspections!$AQ625&lt;&gt;"",Weekly_Inspections!$AR625&lt;&gt;"",Weekly_Inspections!$AS625&lt;&gt;""),Weekly_Inspections!$AQ625,"")</f>
        <v/>
      </c>
      <c r="H625">
        <f>Weekly_Inspections!$AP625</f>
        <v>0</v>
      </c>
      <c r="I625">
        <f>Weekly_Inspections!$AR625</f>
        <v>0</v>
      </c>
      <c r="J625">
        <f>Weekly_Inspections!$AS625</f>
        <v>0</v>
      </c>
      <c r="K625">
        <f>Weekly_Inspections!$AU625</f>
        <v>0</v>
      </c>
      <c r="L625" s="24">
        <f>Weekly_Inspections!$AV625</f>
        <v>0</v>
      </c>
      <c r="M625" t="str">
        <f t="shared" si="27"/>
        <v>Open</v>
      </c>
      <c r="N625" s="24"/>
      <c r="O625">
        <f t="shared" ca="1" si="28"/>
        <v>46113</v>
      </c>
      <c r="P625" t="str">
        <f t="shared" ca="1" si="29"/>
        <v>YES</v>
      </c>
      <c r="Q625">
        <f>Weekly_Inspections!$AW625</f>
        <v>0</v>
      </c>
    </row>
    <row r="626" spans="1:17" ht="15" customHeight="1" x14ac:dyDescent="0.2">
      <c r="A626" t="str">
        <f>IF(Weekly_Inspections!$B626="","",Weekly_Inspections!$A626&amp;"-A1")</f>
        <v/>
      </c>
      <c r="B626" s="24">
        <f>Weekly_Inspections!$B626</f>
        <v>0</v>
      </c>
      <c r="C626">
        <f>Weekly_Inspections!$E626</f>
        <v>0</v>
      </c>
      <c r="D626">
        <f>Weekly_Inspections!$F626</f>
        <v>0</v>
      </c>
      <c r="E626" t="str">
        <f>Weekly_Inspections!$H626</f>
        <v/>
      </c>
      <c r="F626">
        <f>IF(Weekly_Inspections!$AX626&lt;&gt;"",Weekly_Inspections!$AX626,IF(Weekly_Inspections!$AY626&lt;&gt;"",Weekly_Inspections!$AY626,IF(Weekly_Inspections!$AZ626&lt;&gt;"",Weekly_Inspections!$AZ626,IF(Weekly_Inspections!$BA626&lt;&gt;"",Weekly_Inspections!$BA626,IF(Weekly_Inspections!$BB626&lt;&gt;"",Weekly_Inspections!$BB626,Weekly_Inspections!$R626)))))</f>
        <v>0</v>
      </c>
      <c r="G626" t="str">
        <f>IF(OR(Weekly_Inspections!$AQ626&lt;&gt;"",Weekly_Inspections!$AR626&lt;&gt;"",Weekly_Inspections!$AS626&lt;&gt;""),Weekly_Inspections!$AQ626,"")</f>
        <v/>
      </c>
      <c r="H626">
        <f>Weekly_Inspections!$AP626</f>
        <v>0</v>
      </c>
      <c r="I626">
        <f>Weekly_Inspections!$AR626</f>
        <v>0</v>
      </c>
      <c r="J626">
        <f>Weekly_Inspections!$AS626</f>
        <v>0</v>
      </c>
      <c r="K626">
        <f>Weekly_Inspections!$AU626</f>
        <v>0</v>
      </c>
      <c r="L626" s="24">
        <f>Weekly_Inspections!$AV626</f>
        <v>0</v>
      </c>
      <c r="M626" t="str">
        <f t="shared" si="27"/>
        <v>Open</v>
      </c>
      <c r="N626" s="24"/>
      <c r="O626">
        <f t="shared" ca="1" si="28"/>
        <v>46113</v>
      </c>
      <c r="P626" t="str">
        <f t="shared" ca="1" si="29"/>
        <v>YES</v>
      </c>
      <c r="Q626">
        <f>Weekly_Inspections!$AW626</f>
        <v>0</v>
      </c>
    </row>
    <row r="627" spans="1:17" ht="15" customHeight="1" x14ac:dyDescent="0.2">
      <c r="A627" t="str">
        <f>IF(Weekly_Inspections!$B627="","",Weekly_Inspections!$A627&amp;"-A1")</f>
        <v/>
      </c>
      <c r="B627" s="24">
        <f>Weekly_Inspections!$B627</f>
        <v>0</v>
      </c>
      <c r="C627">
        <f>Weekly_Inspections!$E627</f>
        <v>0</v>
      </c>
      <c r="D627">
        <f>Weekly_Inspections!$F627</f>
        <v>0</v>
      </c>
      <c r="E627" t="str">
        <f>Weekly_Inspections!$H627</f>
        <v/>
      </c>
      <c r="F627">
        <f>IF(Weekly_Inspections!$AX627&lt;&gt;"",Weekly_Inspections!$AX627,IF(Weekly_Inspections!$AY627&lt;&gt;"",Weekly_Inspections!$AY627,IF(Weekly_Inspections!$AZ627&lt;&gt;"",Weekly_Inspections!$AZ627,IF(Weekly_Inspections!$BA627&lt;&gt;"",Weekly_Inspections!$BA627,IF(Weekly_Inspections!$BB627&lt;&gt;"",Weekly_Inspections!$BB627,Weekly_Inspections!$R627)))))</f>
        <v>0</v>
      </c>
      <c r="G627" t="str">
        <f>IF(OR(Weekly_Inspections!$AQ627&lt;&gt;"",Weekly_Inspections!$AR627&lt;&gt;"",Weekly_Inspections!$AS627&lt;&gt;""),Weekly_Inspections!$AQ627,"")</f>
        <v/>
      </c>
      <c r="H627">
        <f>Weekly_Inspections!$AP627</f>
        <v>0</v>
      </c>
      <c r="I627">
        <f>Weekly_Inspections!$AR627</f>
        <v>0</v>
      </c>
      <c r="J627">
        <f>Weekly_Inspections!$AS627</f>
        <v>0</v>
      </c>
      <c r="K627">
        <f>Weekly_Inspections!$AU627</f>
        <v>0</v>
      </c>
      <c r="L627" s="24">
        <f>Weekly_Inspections!$AV627</f>
        <v>0</v>
      </c>
      <c r="M627" t="str">
        <f t="shared" si="27"/>
        <v>Open</v>
      </c>
      <c r="N627" s="24"/>
      <c r="O627">
        <f t="shared" ca="1" si="28"/>
        <v>46113</v>
      </c>
      <c r="P627" t="str">
        <f t="shared" ca="1" si="29"/>
        <v>YES</v>
      </c>
      <c r="Q627">
        <f>Weekly_Inspections!$AW627</f>
        <v>0</v>
      </c>
    </row>
    <row r="628" spans="1:17" ht="15" customHeight="1" x14ac:dyDescent="0.2">
      <c r="A628" t="str">
        <f>IF(Weekly_Inspections!$B628="","",Weekly_Inspections!$A628&amp;"-A1")</f>
        <v/>
      </c>
      <c r="B628" s="24">
        <f>Weekly_Inspections!$B628</f>
        <v>0</v>
      </c>
      <c r="C628">
        <f>Weekly_Inspections!$E628</f>
        <v>0</v>
      </c>
      <c r="D628">
        <f>Weekly_Inspections!$F628</f>
        <v>0</v>
      </c>
      <c r="E628" t="str">
        <f>Weekly_Inspections!$H628</f>
        <v/>
      </c>
      <c r="F628">
        <f>IF(Weekly_Inspections!$AX628&lt;&gt;"",Weekly_Inspections!$AX628,IF(Weekly_Inspections!$AY628&lt;&gt;"",Weekly_Inspections!$AY628,IF(Weekly_Inspections!$AZ628&lt;&gt;"",Weekly_Inspections!$AZ628,IF(Weekly_Inspections!$BA628&lt;&gt;"",Weekly_Inspections!$BA628,IF(Weekly_Inspections!$BB628&lt;&gt;"",Weekly_Inspections!$BB628,Weekly_Inspections!$R628)))))</f>
        <v>0</v>
      </c>
      <c r="G628" t="str">
        <f>IF(OR(Weekly_Inspections!$AQ628&lt;&gt;"",Weekly_Inspections!$AR628&lt;&gt;"",Weekly_Inspections!$AS628&lt;&gt;""),Weekly_Inspections!$AQ628,"")</f>
        <v/>
      </c>
      <c r="H628">
        <f>Weekly_Inspections!$AP628</f>
        <v>0</v>
      </c>
      <c r="I628">
        <f>Weekly_Inspections!$AR628</f>
        <v>0</v>
      </c>
      <c r="J628">
        <f>Weekly_Inspections!$AS628</f>
        <v>0</v>
      </c>
      <c r="K628">
        <f>Weekly_Inspections!$AU628</f>
        <v>0</v>
      </c>
      <c r="L628" s="24">
        <f>Weekly_Inspections!$AV628</f>
        <v>0</v>
      </c>
      <c r="M628" t="str">
        <f t="shared" si="27"/>
        <v>Open</v>
      </c>
      <c r="N628" s="24"/>
      <c r="O628">
        <f t="shared" ca="1" si="28"/>
        <v>46113</v>
      </c>
      <c r="P628" t="str">
        <f t="shared" ca="1" si="29"/>
        <v>YES</v>
      </c>
      <c r="Q628">
        <f>Weekly_Inspections!$AW628</f>
        <v>0</v>
      </c>
    </row>
    <row r="629" spans="1:17" ht="15" customHeight="1" x14ac:dyDescent="0.2">
      <c r="A629" t="str">
        <f>IF(Weekly_Inspections!$B629="","",Weekly_Inspections!$A629&amp;"-A1")</f>
        <v/>
      </c>
      <c r="B629" s="24">
        <f>Weekly_Inspections!$B629</f>
        <v>0</v>
      </c>
      <c r="C629">
        <f>Weekly_Inspections!$E629</f>
        <v>0</v>
      </c>
      <c r="D629">
        <f>Weekly_Inspections!$F629</f>
        <v>0</v>
      </c>
      <c r="E629" t="str">
        <f>Weekly_Inspections!$H629</f>
        <v/>
      </c>
      <c r="F629">
        <f>IF(Weekly_Inspections!$AX629&lt;&gt;"",Weekly_Inspections!$AX629,IF(Weekly_Inspections!$AY629&lt;&gt;"",Weekly_Inspections!$AY629,IF(Weekly_Inspections!$AZ629&lt;&gt;"",Weekly_Inspections!$AZ629,IF(Weekly_Inspections!$BA629&lt;&gt;"",Weekly_Inspections!$BA629,IF(Weekly_Inspections!$BB629&lt;&gt;"",Weekly_Inspections!$BB629,Weekly_Inspections!$R629)))))</f>
        <v>0</v>
      </c>
      <c r="G629" t="str">
        <f>IF(OR(Weekly_Inspections!$AQ629&lt;&gt;"",Weekly_Inspections!$AR629&lt;&gt;"",Weekly_Inspections!$AS629&lt;&gt;""),Weekly_Inspections!$AQ629,"")</f>
        <v/>
      </c>
      <c r="H629">
        <f>Weekly_Inspections!$AP629</f>
        <v>0</v>
      </c>
      <c r="I629">
        <f>Weekly_Inspections!$AR629</f>
        <v>0</v>
      </c>
      <c r="J629">
        <f>Weekly_Inspections!$AS629</f>
        <v>0</v>
      </c>
      <c r="K629">
        <f>Weekly_Inspections!$AU629</f>
        <v>0</v>
      </c>
      <c r="L629" s="24">
        <f>Weekly_Inspections!$AV629</f>
        <v>0</v>
      </c>
      <c r="M629" t="str">
        <f t="shared" si="27"/>
        <v>Open</v>
      </c>
      <c r="N629" s="24"/>
      <c r="O629">
        <f t="shared" ca="1" si="28"/>
        <v>46113</v>
      </c>
      <c r="P629" t="str">
        <f t="shared" ca="1" si="29"/>
        <v>YES</v>
      </c>
      <c r="Q629">
        <f>Weekly_Inspections!$AW629</f>
        <v>0</v>
      </c>
    </row>
    <row r="630" spans="1:17" ht="15" customHeight="1" x14ac:dyDescent="0.2">
      <c r="A630" t="str">
        <f>IF(Weekly_Inspections!$B630="","",Weekly_Inspections!$A630&amp;"-A1")</f>
        <v/>
      </c>
      <c r="B630" s="24">
        <f>Weekly_Inspections!$B630</f>
        <v>0</v>
      </c>
      <c r="C630">
        <f>Weekly_Inspections!$E630</f>
        <v>0</v>
      </c>
      <c r="D630">
        <f>Weekly_Inspections!$F630</f>
        <v>0</v>
      </c>
      <c r="E630" t="str">
        <f>Weekly_Inspections!$H630</f>
        <v/>
      </c>
      <c r="F630">
        <f>IF(Weekly_Inspections!$AX630&lt;&gt;"",Weekly_Inspections!$AX630,IF(Weekly_Inspections!$AY630&lt;&gt;"",Weekly_Inspections!$AY630,IF(Weekly_Inspections!$AZ630&lt;&gt;"",Weekly_Inspections!$AZ630,IF(Weekly_Inspections!$BA630&lt;&gt;"",Weekly_Inspections!$BA630,IF(Weekly_Inspections!$BB630&lt;&gt;"",Weekly_Inspections!$BB630,Weekly_Inspections!$R630)))))</f>
        <v>0</v>
      </c>
      <c r="G630" t="str">
        <f>IF(OR(Weekly_Inspections!$AQ630&lt;&gt;"",Weekly_Inspections!$AR630&lt;&gt;"",Weekly_Inspections!$AS630&lt;&gt;""),Weekly_Inspections!$AQ630,"")</f>
        <v/>
      </c>
      <c r="H630">
        <f>Weekly_Inspections!$AP630</f>
        <v>0</v>
      </c>
      <c r="I630">
        <f>Weekly_Inspections!$AR630</f>
        <v>0</v>
      </c>
      <c r="J630">
        <f>Weekly_Inspections!$AS630</f>
        <v>0</v>
      </c>
      <c r="K630">
        <f>Weekly_Inspections!$AU630</f>
        <v>0</v>
      </c>
      <c r="L630" s="24">
        <f>Weekly_Inspections!$AV630</f>
        <v>0</v>
      </c>
      <c r="M630" t="str">
        <f t="shared" si="27"/>
        <v>Open</v>
      </c>
      <c r="N630" s="24"/>
      <c r="O630">
        <f t="shared" ca="1" si="28"/>
        <v>46113</v>
      </c>
      <c r="P630" t="str">
        <f t="shared" ca="1" si="29"/>
        <v>YES</v>
      </c>
      <c r="Q630">
        <f>Weekly_Inspections!$AW630</f>
        <v>0</v>
      </c>
    </row>
    <row r="631" spans="1:17" ht="15" customHeight="1" x14ac:dyDescent="0.2">
      <c r="A631" t="str">
        <f>IF(Weekly_Inspections!$B631="","",Weekly_Inspections!$A631&amp;"-A1")</f>
        <v/>
      </c>
      <c r="B631" s="24">
        <f>Weekly_Inspections!$B631</f>
        <v>0</v>
      </c>
      <c r="C631">
        <f>Weekly_Inspections!$E631</f>
        <v>0</v>
      </c>
      <c r="D631">
        <f>Weekly_Inspections!$F631</f>
        <v>0</v>
      </c>
      <c r="E631" t="str">
        <f>Weekly_Inspections!$H631</f>
        <v/>
      </c>
      <c r="F631">
        <f>IF(Weekly_Inspections!$AX631&lt;&gt;"",Weekly_Inspections!$AX631,IF(Weekly_Inspections!$AY631&lt;&gt;"",Weekly_Inspections!$AY631,IF(Weekly_Inspections!$AZ631&lt;&gt;"",Weekly_Inspections!$AZ631,IF(Weekly_Inspections!$BA631&lt;&gt;"",Weekly_Inspections!$BA631,IF(Weekly_Inspections!$BB631&lt;&gt;"",Weekly_Inspections!$BB631,Weekly_Inspections!$R631)))))</f>
        <v>0</v>
      </c>
      <c r="G631" t="str">
        <f>IF(OR(Weekly_Inspections!$AQ631&lt;&gt;"",Weekly_Inspections!$AR631&lt;&gt;"",Weekly_Inspections!$AS631&lt;&gt;""),Weekly_Inspections!$AQ631,"")</f>
        <v/>
      </c>
      <c r="H631">
        <f>Weekly_Inspections!$AP631</f>
        <v>0</v>
      </c>
      <c r="I631">
        <f>Weekly_Inspections!$AR631</f>
        <v>0</v>
      </c>
      <c r="J631">
        <f>Weekly_Inspections!$AS631</f>
        <v>0</v>
      </c>
      <c r="K631">
        <f>Weekly_Inspections!$AU631</f>
        <v>0</v>
      </c>
      <c r="L631" s="24">
        <f>Weekly_Inspections!$AV631</f>
        <v>0</v>
      </c>
      <c r="M631" t="str">
        <f t="shared" si="27"/>
        <v>Open</v>
      </c>
      <c r="N631" s="24"/>
      <c r="O631">
        <f t="shared" ca="1" si="28"/>
        <v>46113</v>
      </c>
      <c r="P631" t="str">
        <f t="shared" ca="1" si="29"/>
        <v>YES</v>
      </c>
      <c r="Q631">
        <f>Weekly_Inspections!$AW631</f>
        <v>0</v>
      </c>
    </row>
    <row r="632" spans="1:17" ht="15" customHeight="1" x14ac:dyDescent="0.2">
      <c r="A632" t="str">
        <f>IF(Weekly_Inspections!$B632="","",Weekly_Inspections!$A632&amp;"-A1")</f>
        <v/>
      </c>
      <c r="B632" s="24">
        <f>Weekly_Inspections!$B632</f>
        <v>0</v>
      </c>
      <c r="C632">
        <f>Weekly_Inspections!$E632</f>
        <v>0</v>
      </c>
      <c r="D632">
        <f>Weekly_Inspections!$F632</f>
        <v>0</v>
      </c>
      <c r="E632" t="str">
        <f>Weekly_Inspections!$H632</f>
        <v/>
      </c>
      <c r="F632">
        <f>IF(Weekly_Inspections!$AX632&lt;&gt;"",Weekly_Inspections!$AX632,IF(Weekly_Inspections!$AY632&lt;&gt;"",Weekly_Inspections!$AY632,IF(Weekly_Inspections!$AZ632&lt;&gt;"",Weekly_Inspections!$AZ632,IF(Weekly_Inspections!$BA632&lt;&gt;"",Weekly_Inspections!$BA632,IF(Weekly_Inspections!$BB632&lt;&gt;"",Weekly_Inspections!$BB632,Weekly_Inspections!$R632)))))</f>
        <v>0</v>
      </c>
      <c r="G632" t="str">
        <f>IF(OR(Weekly_Inspections!$AQ632&lt;&gt;"",Weekly_Inspections!$AR632&lt;&gt;"",Weekly_Inspections!$AS632&lt;&gt;""),Weekly_Inspections!$AQ632,"")</f>
        <v/>
      </c>
      <c r="H632">
        <f>Weekly_Inspections!$AP632</f>
        <v>0</v>
      </c>
      <c r="I632">
        <f>Weekly_Inspections!$AR632</f>
        <v>0</v>
      </c>
      <c r="J632">
        <f>Weekly_Inspections!$AS632</f>
        <v>0</v>
      </c>
      <c r="K632">
        <f>Weekly_Inspections!$AU632</f>
        <v>0</v>
      </c>
      <c r="L632" s="24">
        <f>Weekly_Inspections!$AV632</f>
        <v>0</v>
      </c>
      <c r="M632" t="str">
        <f t="shared" si="27"/>
        <v>Open</v>
      </c>
      <c r="N632" s="24"/>
      <c r="O632">
        <f t="shared" ca="1" si="28"/>
        <v>46113</v>
      </c>
      <c r="P632" t="str">
        <f t="shared" ca="1" si="29"/>
        <v>YES</v>
      </c>
      <c r="Q632">
        <f>Weekly_Inspections!$AW632</f>
        <v>0</v>
      </c>
    </row>
    <row r="633" spans="1:17" ht="15" customHeight="1" x14ac:dyDescent="0.2">
      <c r="A633" t="str">
        <f>IF(Weekly_Inspections!$B633="","",Weekly_Inspections!$A633&amp;"-A1")</f>
        <v/>
      </c>
      <c r="B633" s="24">
        <f>Weekly_Inspections!$B633</f>
        <v>0</v>
      </c>
      <c r="C633">
        <f>Weekly_Inspections!$E633</f>
        <v>0</v>
      </c>
      <c r="D633">
        <f>Weekly_Inspections!$F633</f>
        <v>0</v>
      </c>
      <c r="E633" t="str">
        <f>Weekly_Inspections!$H633</f>
        <v/>
      </c>
      <c r="F633">
        <f>IF(Weekly_Inspections!$AX633&lt;&gt;"",Weekly_Inspections!$AX633,IF(Weekly_Inspections!$AY633&lt;&gt;"",Weekly_Inspections!$AY633,IF(Weekly_Inspections!$AZ633&lt;&gt;"",Weekly_Inspections!$AZ633,IF(Weekly_Inspections!$BA633&lt;&gt;"",Weekly_Inspections!$BA633,IF(Weekly_Inspections!$BB633&lt;&gt;"",Weekly_Inspections!$BB633,Weekly_Inspections!$R633)))))</f>
        <v>0</v>
      </c>
      <c r="G633" t="str">
        <f>IF(OR(Weekly_Inspections!$AQ633&lt;&gt;"",Weekly_Inspections!$AR633&lt;&gt;"",Weekly_Inspections!$AS633&lt;&gt;""),Weekly_Inspections!$AQ633,"")</f>
        <v/>
      </c>
      <c r="H633">
        <f>Weekly_Inspections!$AP633</f>
        <v>0</v>
      </c>
      <c r="I633">
        <f>Weekly_Inspections!$AR633</f>
        <v>0</v>
      </c>
      <c r="J633">
        <f>Weekly_Inspections!$AS633</f>
        <v>0</v>
      </c>
      <c r="K633">
        <f>Weekly_Inspections!$AU633</f>
        <v>0</v>
      </c>
      <c r="L633" s="24">
        <f>Weekly_Inspections!$AV633</f>
        <v>0</v>
      </c>
      <c r="M633" t="str">
        <f t="shared" si="27"/>
        <v>Open</v>
      </c>
      <c r="N633" s="24"/>
      <c r="O633">
        <f t="shared" ca="1" si="28"/>
        <v>46113</v>
      </c>
      <c r="P633" t="str">
        <f t="shared" ca="1" si="29"/>
        <v>YES</v>
      </c>
      <c r="Q633">
        <f>Weekly_Inspections!$AW633</f>
        <v>0</v>
      </c>
    </row>
    <row r="634" spans="1:17" ht="15" customHeight="1" x14ac:dyDescent="0.2">
      <c r="A634" t="str">
        <f>IF(Weekly_Inspections!$B634="","",Weekly_Inspections!$A634&amp;"-A1")</f>
        <v/>
      </c>
      <c r="B634" s="24">
        <f>Weekly_Inspections!$B634</f>
        <v>0</v>
      </c>
      <c r="C634">
        <f>Weekly_Inspections!$E634</f>
        <v>0</v>
      </c>
      <c r="D634">
        <f>Weekly_Inspections!$F634</f>
        <v>0</v>
      </c>
      <c r="E634" t="str">
        <f>Weekly_Inspections!$H634</f>
        <v/>
      </c>
      <c r="F634">
        <f>IF(Weekly_Inspections!$AX634&lt;&gt;"",Weekly_Inspections!$AX634,IF(Weekly_Inspections!$AY634&lt;&gt;"",Weekly_Inspections!$AY634,IF(Weekly_Inspections!$AZ634&lt;&gt;"",Weekly_Inspections!$AZ634,IF(Weekly_Inspections!$BA634&lt;&gt;"",Weekly_Inspections!$BA634,IF(Weekly_Inspections!$BB634&lt;&gt;"",Weekly_Inspections!$BB634,Weekly_Inspections!$R634)))))</f>
        <v>0</v>
      </c>
      <c r="G634" t="str">
        <f>IF(OR(Weekly_Inspections!$AQ634&lt;&gt;"",Weekly_Inspections!$AR634&lt;&gt;"",Weekly_Inspections!$AS634&lt;&gt;""),Weekly_Inspections!$AQ634,"")</f>
        <v/>
      </c>
      <c r="H634">
        <f>Weekly_Inspections!$AP634</f>
        <v>0</v>
      </c>
      <c r="I634">
        <f>Weekly_Inspections!$AR634</f>
        <v>0</v>
      </c>
      <c r="J634">
        <f>Weekly_Inspections!$AS634</f>
        <v>0</v>
      </c>
      <c r="K634">
        <f>Weekly_Inspections!$AU634</f>
        <v>0</v>
      </c>
      <c r="L634" s="24">
        <f>Weekly_Inspections!$AV634</f>
        <v>0</v>
      </c>
      <c r="M634" t="str">
        <f t="shared" si="27"/>
        <v>Open</v>
      </c>
      <c r="N634" s="24"/>
      <c r="O634">
        <f t="shared" ca="1" si="28"/>
        <v>46113</v>
      </c>
      <c r="P634" t="str">
        <f t="shared" ca="1" si="29"/>
        <v>YES</v>
      </c>
      <c r="Q634">
        <f>Weekly_Inspections!$AW634</f>
        <v>0</v>
      </c>
    </row>
    <row r="635" spans="1:17" ht="15" customHeight="1" x14ac:dyDescent="0.2">
      <c r="A635" t="str">
        <f>IF(Weekly_Inspections!$B635="","",Weekly_Inspections!$A635&amp;"-A1")</f>
        <v/>
      </c>
      <c r="B635" s="24">
        <f>Weekly_Inspections!$B635</f>
        <v>0</v>
      </c>
      <c r="C635">
        <f>Weekly_Inspections!$E635</f>
        <v>0</v>
      </c>
      <c r="D635">
        <f>Weekly_Inspections!$F635</f>
        <v>0</v>
      </c>
      <c r="E635" t="str">
        <f>Weekly_Inspections!$H635</f>
        <v/>
      </c>
      <c r="F635">
        <f>IF(Weekly_Inspections!$AX635&lt;&gt;"",Weekly_Inspections!$AX635,IF(Weekly_Inspections!$AY635&lt;&gt;"",Weekly_Inspections!$AY635,IF(Weekly_Inspections!$AZ635&lt;&gt;"",Weekly_Inspections!$AZ635,IF(Weekly_Inspections!$BA635&lt;&gt;"",Weekly_Inspections!$BA635,IF(Weekly_Inspections!$BB635&lt;&gt;"",Weekly_Inspections!$BB635,Weekly_Inspections!$R635)))))</f>
        <v>0</v>
      </c>
      <c r="G635" t="str">
        <f>IF(OR(Weekly_Inspections!$AQ635&lt;&gt;"",Weekly_Inspections!$AR635&lt;&gt;"",Weekly_Inspections!$AS635&lt;&gt;""),Weekly_Inspections!$AQ635,"")</f>
        <v/>
      </c>
      <c r="H635">
        <f>Weekly_Inspections!$AP635</f>
        <v>0</v>
      </c>
      <c r="I635">
        <f>Weekly_Inspections!$AR635</f>
        <v>0</v>
      </c>
      <c r="J635">
        <f>Weekly_Inspections!$AS635</f>
        <v>0</v>
      </c>
      <c r="K635">
        <f>Weekly_Inspections!$AU635</f>
        <v>0</v>
      </c>
      <c r="L635" s="24">
        <f>Weekly_Inspections!$AV635</f>
        <v>0</v>
      </c>
      <c r="M635" t="str">
        <f t="shared" si="27"/>
        <v>Open</v>
      </c>
      <c r="N635" s="24"/>
      <c r="O635">
        <f t="shared" ca="1" si="28"/>
        <v>46113</v>
      </c>
      <c r="P635" t="str">
        <f t="shared" ca="1" si="29"/>
        <v>YES</v>
      </c>
      <c r="Q635">
        <f>Weekly_Inspections!$AW635</f>
        <v>0</v>
      </c>
    </row>
    <row r="636" spans="1:17" ht="15" customHeight="1" x14ac:dyDescent="0.2">
      <c r="A636" t="str">
        <f>IF(Weekly_Inspections!$B636="","",Weekly_Inspections!$A636&amp;"-A1")</f>
        <v/>
      </c>
      <c r="B636" s="24">
        <f>Weekly_Inspections!$B636</f>
        <v>0</v>
      </c>
      <c r="C636">
        <f>Weekly_Inspections!$E636</f>
        <v>0</v>
      </c>
      <c r="D636">
        <f>Weekly_Inspections!$F636</f>
        <v>0</v>
      </c>
      <c r="E636" t="str">
        <f>Weekly_Inspections!$H636</f>
        <v/>
      </c>
      <c r="F636">
        <f>IF(Weekly_Inspections!$AX636&lt;&gt;"",Weekly_Inspections!$AX636,IF(Weekly_Inspections!$AY636&lt;&gt;"",Weekly_Inspections!$AY636,IF(Weekly_Inspections!$AZ636&lt;&gt;"",Weekly_Inspections!$AZ636,IF(Weekly_Inspections!$BA636&lt;&gt;"",Weekly_Inspections!$BA636,IF(Weekly_Inspections!$BB636&lt;&gt;"",Weekly_Inspections!$BB636,Weekly_Inspections!$R636)))))</f>
        <v>0</v>
      </c>
      <c r="G636" t="str">
        <f>IF(OR(Weekly_Inspections!$AQ636&lt;&gt;"",Weekly_Inspections!$AR636&lt;&gt;"",Weekly_Inspections!$AS636&lt;&gt;""),Weekly_Inspections!$AQ636,"")</f>
        <v/>
      </c>
      <c r="H636">
        <f>Weekly_Inspections!$AP636</f>
        <v>0</v>
      </c>
      <c r="I636">
        <f>Weekly_Inspections!$AR636</f>
        <v>0</v>
      </c>
      <c r="J636">
        <f>Weekly_Inspections!$AS636</f>
        <v>0</v>
      </c>
      <c r="K636">
        <f>Weekly_Inspections!$AU636</f>
        <v>0</v>
      </c>
      <c r="L636" s="24">
        <f>Weekly_Inspections!$AV636</f>
        <v>0</v>
      </c>
      <c r="M636" t="str">
        <f t="shared" si="27"/>
        <v>Open</v>
      </c>
      <c r="N636" s="24"/>
      <c r="O636">
        <f t="shared" ca="1" si="28"/>
        <v>46113</v>
      </c>
      <c r="P636" t="str">
        <f t="shared" ca="1" si="29"/>
        <v>YES</v>
      </c>
      <c r="Q636">
        <f>Weekly_Inspections!$AW636</f>
        <v>0</v>
      </c>
    </row>
    <row r="637" spans="1:17" ht="15" customHeight="1" x14ac:dyDescent="0.2">
      <c r="A637" t="str">
        <f>IF(Weekly_Inspections!$B637="","",Weekly_Inspections!$A637&amp;"-A1")</f>
        <v/>
      </c>
      <c r="B637" s="24">
        <f>Weekly_Inspections!$B637</f>
        <v>0</v>
      </c>
      <c r="C637">
        <f>Weekly_Inspections!$E637</f>
        <v>0</v>
      </c>
      <c r="D637">
        <f>Weekly_Inspections!$F637</f>
        <v>0</v>
      </c>
      <c r="E637" t="str">
        <f>Weekly_Inspections!$H637</f>
        <v/>
      </c>
      <c r="F637">
        <f>IF(Weekly_Inspections!$AX637&lt;&gt;"",Weekly_Inspections!$AX637,IF(Weekly_Inspections!$AY637&lt;&gt;"",Weekly_Inspections!$AY637,IF(Weekly_Inspections!$AZ637&lt;&gt;"",Weekly_Inspections!$AZ637,IF(Weekly_Inspections!$BA637&lt;&gt;"",Weekly_Inspections!$BA637,IF(Weekly_Inspections!$BB637&lt;&gt;"",Weekly_Inspections!$BB637,Weekly_Inspections!$R637)))))</f>
        <v>0</v>
      </c>
      <c r="G637" t="str">
        <f>IF(OR(Weekly_Inspections!$AQ637&lt;&gt;"",Weekly_Inspections!$AR637&lt;&gt;"",Weekly_Inspections!$AS637&lt;&gt;""),Weekly_Inspections!$AQ637,"")</f>
        <v/>
      </c>
      <c r="H637">
        <f>Weekly_Inspections!$AP637</f>
        <v>0</v>
      </c>
      <c r="I637">
        <f>Weekly_Inspections!$AR637</f>
        <v>0</v>
      </c>
      <c r="J637">
        <f>Weekly_Inspections!$AS637</f>
        <v>0</v>
      </c>
      <c r="K637">
        <f>Weekly_Inspections!$AU637</f>
        <v>0</v>
      </c>
      <c r="L637" s="24">
        <f>Weekly_Inspections!$AV637</f>
        <v>0</v>
      </c>
      <c r="M637" t="str">
        <f t="shared" si="27"/>
        <v>Open</v>
      </c>
      <c r="N637" s="24"/>
      <c r="O637">
        <f t="shared" ca="1" si="28"/>
        <v>46113</v>
      </c>
      <c r="P637" t="str">
        <f t="shared" ca="1" si="29"/>
        <v>YES</v>
      </c>
      <c r="Q637">
        <f>Weekly_Inspections!$AW637</f>
        <v>0</v>
      </c>
    </row>
    <row r="638" spans="1:17" ht="15" customHeight="1" x14ac:dyDescent="0.2">
      <c r="A638" t="str">
        <f>IF(Weekly_Inspections!$B638="","",Weekly_Inspections!$A638&amp;"-A1")</f>
        <v/>
      </c>
      <c r="B638" s="24">
        <f>Weekly_Inspections!$B638</f>
        <v>0</v>
      </c>
      <c r="C638">
        <f>Weekly_Inspections!$E638</f>
        <v>0</v>
      </c>
      <c r="D638">
        <f>Weekly_Inspections!$F638</f>
        <v>0</v>
      </c>
      <c r="E638" t="str">
        <f>Weekly_Inspections!$H638</f>
        <v/>
      </c>
      <c r="F638">
        <f>IF(Weekly_Inspections!$AX638&lt;&gt;"",Weekly_Inspections!$AX638,IF(Weekly_Inspections!$AY638&lt;&gt;"",Weekly_Inspections!$AY638,IF(Weekly_Inspections!$AZ638&lt;&gt;"",Weekly_Inspections!$AZ638,IF(Weekly_Inspections!$BA638&lt;&gt;"",Weekly_Inspections!$BA638,IF(Weekly_Inspections!$BB638&lt;&gt;"",Weekly_Inspections!$BB638,Weekly_Inspections!$R638)))))</f>
        <v>0</v>
      </c>
      <c r="G638" t="str">
        <f>IF(OR(Weekly_Inspections!$AQ638&lt;&gt;"",Weekly_Inspections!$AR638&lt;&gt;"",Weekly_Inspections!$AS638&lt;&gt;""),Weekly_Inspections!$AQ638,"")</f>
        <v/>
      </c>
      <c r="H638">
        <f>Weekly_Inspections!$AP638</f>
        <v>0</v>
      </c>
      <c r="I638">
        <f>Weekly_Inspections!$AR638</f>
        <v>0</v>
      </c>
      <c r="J638">
        <f>Weekly_Inspections!$AS638</f>
        <v>0</v>
      </c>
      <c r="K638">
        <f>Weekly_Inspections!$AU638</f>
        <v>0</v>
      </c>
      <c r="L638" s="24">
        <f>Weekly_Inspections!$AV638</f>
        <v>0</v>
      </c>
      <c r="M638" t="str">
        <f t="shared" si="27"/>
        <v>Open</v>
      </c>
      <c r="N638" s="24"/>
      <c r="O638">
        <f t="shared" ca="1" si="28"/>
        <v>46113</v>
      </c>
      <c r="P638" t="str">
        <f t="shared" ca="1" si="29"/>
        <v>YES</v>
      </c>
      <c r="Q638">
        <f>Weekly_Inspections!$AW638</f>
        <v>0</v>
      </c>
    </row>
    <row r="639" spans="1:17" ht="15" customHeight="1" x14ac:dyDescent="0.2">
      <c r="A639" t="str">
        <f>IF(Weekly_Inspections!$B639="","",Weekly_Inspections!$A639&amp;"-A1")</f>
        <v/>
      </c>
      <c r="B639" s="24">
        <f>Weekly_Inspections!$B639</f>
        <v>0</v>
      </c>
      <c r="C639">
        <f>Weekly_Inspections!$E639</f>
        <v>0</v>
      </c>
      <c r="D639">
        <f>Weekly_Inspections!$F639</f>
        <v>0</v>
      </c>
      <c r="E639" t="str">
        <f>Weekly_Inspections!$H639</f>
        <v/>
      </c>
      <c r="F639">
        <f>IF(Weekly_Inspections!$AX639&lt;&gt;"",Weekly_Inspections!$AX639,IF(Weekly_Inspections!$AY639&lt;&gt;"",Weekly_Inspections!$AY639,IF(Weekly_Inspections!$AZ639&lt;&gt;"",Weekly_Inspections!$AZ639,IF(Weekly_Inspections!$BA639&lt;&gt;"",Weekly_Inspections!$BA639,IF(Weekly_Inspections!$BB639&lt;&gt;"",Weekly_Inspections!$BB639,Weekly_Inspections!$R639)))))</f>
        <v>0</v>
      </c>
      <c r="G639" t="str">
        <f>IF(OR(Weekly_Inspections!$AQ639&lt;&gt;"",Weekly_Inspections!$AR639&lt;&gt;"",Weekly_Inspections!$AS639&lt;&gt;""),Weekly_Inspections!$AQ639,"")</f>
        <v/>
      </c>
      <c r="H639">
        <f>Weekly_Inspections!$AP639</f>
        <v>0</v>
      </c>
      <c r="I639">
        <f>Weekly_Inspections!$AR639</f>
        <v>0</v>
      </c>
      <c r="J639">
        <f>Weekly_Inspections!$AS639</f>
        <v>0</v>
      </c>
      <c r="K639">
        <f>Weekly_Inspections!$AU639</f>
        <v>0</v>
      </c>
      <c r="L639" s="24">
        <f>Weekly_Inspections!$AV639</f>
        <v>0</v>
      </c>
      <c r="M639" t="str">
        <f t="shared" si="27"/>
        <v>Open</v>
      </c>
      <c r="N639" s="24"/>
      <c r="O639">
        <f t="shared" ca="1" si="28"/>
        <v>46113</v>
      </c>
      <c r="P639" t="str">
        <f t="shared" ca="1" si="29"/>
        <v>YES</v>
      </c>
      <c r="Q639">
        <f>Weekly_Inspections!$AW639</f>
        <v>0</v>
      </c>
    </row>
    <row r="640" spans="1:17" ht="15" customHeight="1" x14ac:dyDescent="0.2">
      <c r="A640" t="str">
        <f>IF(Weekly_Inspections!$B640="","",Weekly_Inspections!$A640&amp;"-A1")</f>
        <v/>
      </c>
      <c r="B640" s="24">
        <f>Weekly_Inspections!$B640</f>
        <v>0</v>
      </c>
      <c r="C640">
        <f>Weekly_Inspections!$E640</f>
        <v>0</v>
      </c>
      <c r="D640">
        <f>Weekly_Inspections!$F640</f>
        <v>0</v>
      </c>
      <c r="E640" t="str">
        <f>Weekly_Inspections!$H640</f>
        <v/>
      </c>
      <c r="F640">
        <f>IF(Weekly_Inspections!$AX640&lt;&gt;"",Weekly_Inspections!$AX640,IF(Weekly_Inspections!$AY640&lt;&gt;"",Weekly_Inspections!$AY640,IF(Weekly_Inspections!$AZ640&lt;&gt;"",Weekly_Inspections!$AZ640,IF(Weekly_Inspections!$BA640&lt;&gt;"",Weekly_Inspections!$BA640,IF(Weekly_Inspections!$BB640&lt;&gt;"",Weekly_Inspections!$BB640,Weekly_Inspections!$R640)))))</f>
        <v>0</v>
      </c>
      <c r="G640" t="str">
        <f>IF(OR(Weekly_Inspections!$AQ640&lt;&gt;"",Weekly_Inspections!$AR640&lt;&gt;"",Weekly_Inspections!$AS640&lt;&gt;""),Weekly_Inspections!$AQ640,"")</f>
        <v/>
      </c>
      <c r="H640">
        <f>Weekly_Inspections!$AP640</f>
        <v>0</v>
      </c>
      <c r="I640">
        <f>Weekly_Inspections!$AR640</f>
        <v>0</v>
      </c>
      <c r="J640">
        <f>Weekly_Inspections!$AS640</f>
        <v>0</v>
      </c>
      <c r="K640">
        <f>Weekly_Inspections!$AU640</f>
        <v>0</v>
      </c>
      <c r="L640" s="24">
        <f>Weekly_Inspections!$AV640</f>
        <v>0</v>
      </c>
      <c r="M640" t="str">
        <f t="shared" ref="M640:M703" si="30">IF($B640="","",IF($N640&lt;&gt;"","Closed",IF(OR($G640&lt;&gt;"",$I640&lt;&gt;"",$J640&lt;&gt;""),"Open","")))</f>
        <v>Open</v>
      </c>
      <c r="N640" s="24"/>
      <c r="O640">
        <f t="shared" ref="O640:O703" ca="1" si="31">IF($B640="","",IF($M640="Closed",IF($N640="","",$N640-$B640),TODAY()-$B640))</f>
        <v>46113</v>
      </c>
      <c r="P640" t="str">
        <f t="shared" ref="P640:P703" ca="1" si="32">IF(OR($B640="",$L640="",$M640="Closed"),"",IF(TODAY()&gt;$L640,"YES","NO"))</f>
        <v>YES</v>
      </c>
      <c r="Q640">
        <f>Weekly_Inspections!$AW640</f>
        <v>0</v>
      </c>
    </row>
    <row r="641" spans="1:17" ht="15" customHeight="1" x14ac:dyDescent="0.2">
      <c r="A641" t="str">
        <f>IF(Weekly_Inspections!$B641="","",Weekly_Inspections!$A641&amp;"-A1")</f>
        <v/>
      </c>
      <c r="B641" s="24">
        <f>Weekly_Inspections!$B641</f>
        <v>0</v>
      </c>
      <c r="C641">
        <f>Weekly_Inspections!$E641</f>
        <v>0</v>
      </c>
      <c r="D641">
        <f>Weekly_Inspections!$F641</f>
        <v>0</v>
      </c>
      <c r="E641" t="str">
        <f>Weekly_Inspections!$H641</f>
        <v/>
      </c>
      <c r="F641">
        <f>IF(Weekly_Inspections!$AX641&lt;&gt;"",Weekly_Inspections!$AX641,IF(Weekly_Inspections!$AY641&lt;&gt;"",Weekly_Inspections!$AY641,IF(Weekly_Inspections!$AZ641&lt;&gt;"",Weekly_Inspections!$AZ641,IF(Weekly_Inspections!$BA641&lt;&gt;"",Weekly_Inspections!$BA641,IF(Weekly_Inspections!$BB641&lt;&gt;"",Weekly_Inspections!$BB641,Weekly_Inspections!$R641)))))</f>
        <v>0</v>
      </c>
      <c r="G641" t="str">
        <f>IF(OR(Weekly_Inspections!$AQ641&lt;&gt;"",Weekly_Inspections!$AR641&lt;&gt;"",Weekly_Inspections!$AS641&lt;&gt;""),Weekly_Inspections!$AQ641,"")</f>
        <v/>
      </c>
      <c r="H641">
        <f>Weekly_Inspections!$AP641</f>
        <v>0</v>
      </c>
      <c r="I641">
        <f>Weekly_Inspections!$AR641</f>
        <v>0</v>
      </c>
      <c r="J641">
        <f>Weekly_Inspections!$AS641</f>
        <v>0</v>
      </c>
      <c r="K641">
        <f>Weekly_Inspections!$AU641</f>
        <v>0</v>
      </c>
      <c r="L641" s="24">
        <f>Weekly_Inspections!$AV641</f>
        <v>0</v>
      </c>
      <c r="M641" t="str">
        <f t="shared" si="30"/>
        <v>Open</v>
      </c>
      <c r="N641" s="24"/>
      <c r="O641">
        <f t="shared" ca="1" si="31"/>
        <v>46113</v>
      </c>
      <c r="P641" t="str">
        <f t="shared" ca="1" si="32"/>
        <v>YES</v>
      </c>
      <c r="Q641">
        <f>Weekly_Inspections!$AW641</f>
        <v>0</v>
      </c>
    </row>
    <row r="642" spans="1:17" ht="15" customHeight="1" x14ac:dyDescent="0.2">
      <c r="A642" t="str">
        <f>IF(Weekly_Inspections!$B642="","",Weekly_Inspections!$A642&amp;"-A1")</f>
        <v/>
      </c>
      <c r="B642" s="24">
        <f>Weekly_Inspections!$B642</f>
        <v>0</v>
      </c>
      <c r="C642">
        <f>Weekly_Inspections!$E642</f>
        <v>0</v>
      </c>
      <c r="D642">
        <f>Weekly_Inspections!$F642</f>
        <v>0</v>
      </c>
      <c r="E642" t="str">
        <f>Weekly_Inspections!$H642</f>
        <v/>
      </c>
      <c r="F642">
        <f>IF(Weekly_Inspections!$AX642&lt;&gt;"",Weekly_Inspections!$AX642,IF(Weekly_Inspections!$AY642&lt;&gt;"",Weekly_Inspections!$AY642,IF(Weekly_Inspections!$AZ642&lt;&gt;"",Weekly_Inspections!$AZ642,IF(Weekly_Inspections!$BA642&lt;&gt;"",Weekly_Inspections!$BA642,IF(Weekly_Inspections!$BB642&lt;&gt;"",Weekly_Inspections!$BB642,Weekly_Inspections!$R642)))))</f>
        <v>0</v>
      </c>
      <c r="G642" t="str">
        <f>IF(OR(Weekly_Inspections!$AQ642&lt;&gt;"",Weekly_Inspections!$AR642&lt;&gt;"",Weekly_Inspections!$AS642&lt;&gt;""),Weekly_Inspections!$AQ642,"")</f>
        <v/>
      </c>
      <c r="H642">
        <f>Weekly_Inspections!$AP642</f>
        <v>0</v>
      </c>
      <c r="I642">
        <f>Weekly_Inspections!$AR642</f>
        <v>0</v>
      </c>
      <c r="J642">
        <f>Weekly_Inspections!$AS642</f>
        <v>0</v>
      </c>
      <c r="K642">
        <f>Weekly_Inspections!$AU642</f>
        <v>0</v>
      </c>
      <c r="L642" s="24">
        <f>Weekly_Inspections!$AV642</f>
        <v>0</v>
      </c>
      <c r="M642" t="str">
        <f t="shared" si="30"/>
        <v>Open</v>
      </c>
      <c r="N642" s="24"/>
      <c r="O642">
        <f t="shared" ca="1" si="31"/>
        <v>46113</v>
      </c>
      <c r="P642" t="str">
        <f t="shared" ca="1" si="32"/>
        <v>YES</v>
      </c>
      <c r="Q642">
        <f>Weekly_Inspections!$AW642</f>
        <v>0</v>
      </c>
    </row>
    <row r="643" spans="1:17" ht="15" customHeight="1" x14ac:dyDescent="0.2">
      <c r="A643" t="str">
        <f>IF(Weekly_Inspections!$B643="","",Weekly_Inspections!$A643&amp;"-A1")</f>
        <v/>
      </c>
      <c r="B643" s="24">
        <f>Weekly_Inspections!$B643</f>
        <v>0</v>
      </c>
      <c r="C643">
        <f>Weekly_Inspections!$E643</f>
        <v>0</v>
      </c>
      <c r="D643">
        <f>Weekly_Inspections!$F643</f>
        <v>0</v>
      </c>
      <c r="E643" t="str">
        <f>Weekly_Inspections!$H643</f>
        <v/>
      </c>
      <c r="F643">
        <f>IF(Weekly_Inspections!$AX643&lt;&gt;"",Weekly_Inspections!$AX643,IF(Weekly_Inspections!$AY643&lt;&gt;"",Weekly_Inspections!$AY643,IF(Weekly_Inspections!$AZ643&lt;&gt;"",Weekly_Inspections!$AZ643,IF(Weekly_Inspections!$BA643&lt;&gt;"",Weekly_Inspections!$BA643,IF(Weekly_Inspections!$BB643&lt;&gt;"",Weekly_Inspections!$BB643,Weekly_Inspections!$R643)))))</f>
        <v>0</v>
      </c>
      <c r="G643" t="str">
        <f>IF(OR(Weekly_Inspections!$AQ643&lt;&gt;"",Weekly_Inspections!$AR643&lt;&gt;"",Weekly_Inspections!$AS643&lt;&gt;""),Weekly_Inspections!$AQ643,"")</f>
        <v/>
      </c>
      <c r="H643">
        <f>Weekly_Inspections!$AP643</f>
        <v>0</v>
      </c>
      <c r="I643">
        <f>Weekly_Inspections!$AR643</f>
        <v>0</v>
      </c>
      <c r="J643">
        <f>Weekly_Inspections!$AS643</f>
        <v>0</v>
      </c>
      <c r="K643">
        <f>Weekly_Inspections!$AU643</f>
        <v>0</v>
      </c>
      <c r="L643" s="24">
        <f>Weekly_Inspections!$AV643</f>
        <v>0</v>
      </c>
      <c r="M643" t="str">
        <f t="shared" si="30"/>
        <v>Open</v>
      </c>
      <c r="N643" s="24"/>
      <c r="O643">
        <f t="shared" ca="1" si="31"/>
        <v>46113</v>
      </c>
      <c r="P643" t="str">
        <f t="shared" ca="1" si="32"/>
        <v>YES</v>
      </c>
      <c r="Q643">
        <f>Weekly_Inspections!$AW643</f>
        <v>0</v>
      </c>
    </row>
    <row r="644" spans="1:17" ht="15" customHeight="1" x14ac:dyDescent="0.2">
      <c r="A644" t="str">
        <f>IF(Weekly_Inspections!$B644="","",Weekly_Inspections!$A644&amp;"-A1")</f>
        <v/>
      </c>
      <c r="B644" s="24">
        <f>Weekly_Inspections!$B644</f>
        <v>0</v>
      </c>
      <c r="C644">
        <f>Weekly_Inspections!$E644</f>
        <v>0</v>
      </c>
      <c r="D644">
        <f>Weekly_Inspections!$F644</f>
        <v>0</v>
      </c>
      <c r="E644" t="str">
        <f>Weekly_Inspections!$H644</f>
        <v/>
      </c>
      <c r="F644">
        <f>IF(Weekly_Inspections!$AX644&lt;&gt;"",Weekly_Inspections!$AX644,IF(Weekly_Inspections!$AY644&lt;&gt;"",Weekly_Inspections!$AY644,IF(Weekly_Inspections!$AZ644&lt;&gt;"",Weekly_Inspections!$AZ644,IF(Weekly_Inspections!$BA644&lt;&gt;"",Weekly_Inspections!$BA644,IF(Weekly_Inspections!$BB644&lt;&gt;"",Weekly_Inspections!$BB644,Weekly_Inspections!$R644)))))</f>
        <v>0</v>
      </c>
      <c r="G644" t="str">
        <f>IF(OR(Weekly_Inspections!$AQ644&lt;&gt;"",Weekly_Inspections!$AR644&lt;&gt;"",Weekly_Inspections!$AS644&lt;&gt;""),Weekly_Inspections!$AQ644,"")</f>
        <v/>
      </c>
      <c r="H644">
        <f>Weekly_Inspections!$AP644</f>
        <v>0</v>
      </c>
      <c r="I644">
        <f>Weekly_Inspections!$AR644</f>
        <v>0</v>
      </c>
      <c r="J644">
        <f>Weekly_Inspections!$AS644</f>
        <v>0</v>
      </c>
      <c r="K644">
        <f>Weekly_Inspections!$AU644</f>
        <v>0</v>
      </c>
      <c r="L644" s="24">
        <f>Weekly_Inspections!$AV644</f>
        <v>0</v>
      </c>
      <c r="M644" t="str">
        <f t="shared" si="30"/>
        <v>Open</v>
      </c>
      <c r="N644" s="24"/>
      <c r="O644">
        <f t="shared" ca="1" si="31"/>
        <v>46113</v>
      </c>
      <c r="P644" t="str">
        <f t="shared" ca="1" si="32"/>
        <v>YES</v>
      </c>
      <c r="Q644">
        <f>Weekly_Inspections!$AW644</f>
        <v>0</v>
      </c>
    </row>
    <row r="645" spans="1:17" ht="15" customHeight="1" x14ac:dyDescent="0.2">
      <c r="A645" t="str">
        <f>IF(Weekly_Inspections!$B645="","",Weekly_Inspections!$A645&amp;"-A1")</f>
        <v/>
      </c>
      <c r="B645" s="24">
        <f>Weekly_Inspections!$B645</f>
        <v>0</v>
      </c>
      <c r="C645">
        <f>Weekly_Inspections!$E645</f>
        <v>0</v>
      </c>
      <c r="D645">
        <f>Weekly_Inspections!$F645</f>
        <v>0</v>
      </c>
      <c r="E645" t="str">
        <f>Weekly_Inspections!$H645</f>
        <v/>
      </c>
      <c r="F645">
        <f>IF(Weekly_Inspections!$AX645&lt;&gt;"",Weekly_Inspections!$AX645,IF(Weekly_Inspections!$AY645&lt;&gt;"",Weekly_Inspections!$AY645,IF(Weekly_Inspections!$AZ645&lt;&gt;"",Weekly_Inspections!$AZ645,IF(Weekly_Inspections!$BA645&lt;&gt;"",Weekly_Inspections!$BA645,IF(Weekly_Inspections!$BB645&lt;&gt;"",Weekly_Inspections!$BB645,Weekly_Inspections!$R645)))))</f>
        <v>0</v>
      </c>
      <c r="G645" t="str">
        <f>IF(OR(Weekly_Inspections!$AQ645&lt;&gt;"",Weekly_Inspections!$AR645&lt;&gt;"",Weekly_Inspections!$AS645&lt;&gt;""),Weekly_Inspections!$AQ645,"")</f>
        <v/>
      </c>
      <c r="H645">
        <f>Weekly_Inspections!$AP645</f>
        <v>0</v>
      </c>
      <c r="I645">
        <f>Weekly_Inspections!$AR645</f>
        <v>0</v>
      </c>
      <c r="J645">
        <f>Weekly_Inspections!$AS645</f>
        <v>0</v>
      </c>
      <c r="K645">
        <f>Weekly_Inspections!$AU645</f>
        <v>0</v>
      </c>
      <c r="L645" s="24">
        <f>Weekly_Inspections!$AV645</f>
        <v>0</v>
      </c>
      <c r="M645" t="str">
        <f t="shared" si="30"/>
        <v>Open</v>
      </c>
      <c r="N645" s="24"/>
      <c r="O645">
        <f t="shared" ca="1" si="31"/>
        <v>46113</v>
      </c>
      <c r="P645" t="str">
        <f t="shared" ca="1" si="32"/>
        <v>YES</v>
      </c>
      <c r="Q645">
        <f>Weekly_Inspections!$AW645</f>
        <v>0</v>
      </c>
    </row>
    <row r="646" spans="1:17" ht="15" customHeight="1" x14ac:dyDescent="0.2">
      <c r="A646" t="str">
        <f>IF(Weekly_Inspections!$B646="","",Weekly_Inspections!$A646&amp;"-A1")</f>
        <v/>
      </c>
      <c r="B646" s="24">
        <f>Weekly_Inspections!$B646</f>
        <v>0</v>
      </c>
      <c r="C646">
        <f>Weekly_Inspections!$E646</f>
        <v>0</v>
      </c>
      <c r="D646">
        <f>Weekly_Inspections!$F646</f>
        <v>0</v>
      </c>
      <c r="E646" t="str">
        <f>Weekly_Inspections!$H646</f>
        <v/>
      </c>
      <c r="F646">
        <f>IF(Weekly_Inspections!$AX646&lt;&gt;"",Weekly_Inspections!$AX646,IF(Weekly_Inspections!$AY646&lt;&gt;"",Weekly_Inspections!$AY646,IF(Weekly_Inspections!$AZ646&lt;&gt;"",Weekly_Inspections!$AZ646,IF(Weekly_Inspections!$BA646&lt;&gt;"",Weekly_Inspections!$BA646,IF(Weekly_Inspections!$BB646&lt;&gt;"",Weekly_Inspections!$BB646,Weekly_Inspections!$R646)))))</f>
        <v>0</v>
      </c>
      <c r="G646" t="str">
        <f>IF(OR(Weekly_Inspections!$AQ646&lt;&gt;"",Weekly_Inspections!$AR646&lt;&gt;"",Weekly_Inspections!$AS646&lt;&gt;""),Weekly_Inspections!$AQ646,"")</f>
        <v/>
      </c>
      <c r="H646">
        <f>Weekly_Inspections!$AP646</f>
        <v>0</v>
      </c>
      <c r="I646">
        <f>Weekly_Inspections!$AR646</f>
        <v>0</v>
      </c>
      <c r="J646">
        <f>Weekly_Inspections!$AS646</f>
        <v>0</v>
      </c>
      <c r="K646">
        <f>Weekly_Inspections!$AU646</f>
        <v>0</v>
      </c>
      <c r="L646" s="24">
        <f>Weekly_Inspections!$AV646</f>
        <v>0</v>
      </c>
      <c r="M646" t="str">
        <f t="shared" si="30"/>
        <v>Open</v>
      </c>
      <c r="N646" s="24"/>
      <c r="O646">
        <f t="shared" ca="1" si="31"/>
        <v>46113</v>
      </c>
      <c r="P646" t="str">
        <f t="shared" ca="1" si="32"/>
        <v>YES</v>
      </c>
      <c r="Q646">
        <f>Weekly_Inspections!$AW646</f>
        <v>0</v>
      </c>
    </row>
    <row r="647" spans="1:17" ht="15" customHeight="1" x14ac:dyDescent="0.2">
      <c r="A647" t="str">
        <f>IF(Weekly_Inspections!$B647="","",Weekly_Inspections!$A647&amp;"-A1")</f>
        <v/>
      </c>
      <c r="B647" s="24">
        <f>Weekly_Inspections!$B647</f>
        <v>0</v>
      </c>
      <c r="C647">
        <f>Weekly_Inspections!$E647</f>
        <v>0</v>
      </c>
      <c r="D647">
        <f>Weekly_Inspections!$F647</f>
        <v>0</v>
      </c>
      <c r="E647" t="str">
        <f>Weekly_Inspections!$H647</f>
        <v/>
      </c>
      <c r="F647">
        <f>IF(Weekly_Inspections!$AX647&lt;&gt;"",Weekly_Inspections!$AX647,IF(Weekly_Inspections!$AY647&lt;&gt;"",Weekly_Inspections!$AY647,IF(Weekly_Inspections!$AZ647&lt;&gt;"",Weekly_Inspections!$AZ647,IF(Weekly_Inspections!$BA647&lt;&gt;"",Weekly_Inspections!$BA647,IF(Weekly_Inspections!$BB647&lt;&gt;"",Weekly_Inspections!$BB647,Weekly_Inspections!$R647)))))</f>
        <v>0</v>
      </c>
      <c r="G647" t="str">
        <f>IF(OR(Weekly_Inspections!$AQ647&lt;&gt;"",Weekly_Inspections!$AR647&lt;&gt;"",Weekly_Inspections!$AS647&lt;&gt;""),Weekly_Inspections!$AQ647,"")</f>
        <v/>
      </c>
      <c r="H647">
        <f>Weekly_Inspections!$AP647</f>
        <v>0</v>
      </c>
      <c r="I647">
        <f>Weekly_Inspections!$AR647</f>
        <v>0</v>
      </c>
      <c r="J647">
        <f>Weekly_Inspections!$AS647</f>
        <v>0</v>
      </c>
      <c r="K647">
        <f>Weekly_Inspections!$AU647</f>
        <v>0</v>
      </c>
      <c r="L647" s="24">
        <f>Weekly_Inspections!$AV647</f>
        <v>0</v>
      </c>
      <c r="M647" t="str">
        <f t="shared" si="30"/>
        <v>Open</v>
      </c>
      <c r="N647" s="24"/>
      <c r="O647">
        <f t="shared" ca="1" si="31"/>
        <v>46113</v>
      </c>
      <c r="P647" t="str">
        <f t="shared" ca="1" si="32"/>
        <v>YES</v>
      </c>
      <c r="Q647">
        <f>Weekly_Inspections!$AW647</f>
        <v>0</v>
      </c>
    </row>
    <row r="648" spans="1:17" ht="15" customHeight="1" x14ac:dyDescent="0.2">
      <c r="A648" t="str">
        <f>IF(Weekly_Inspections!$B648="","",Weekly_Inspections!$A648&amp;"-A1")</f>
        <v/>
      </c>
      <c r="B648" s="24">
        <f>Weekly_Inspections!$B648</f>
        <v>0</v>
      </c>
      <c r="C648">
        <f>Weekly_Inspections!$E648</f>
        <v>0</v>
      </c>
      <c r="D648">
        <f>Weekly_Inspections!$F648</f>
        <v>0</v>
      </c>
      <c r="E648" t="str">
        <f>Weekly_Inspections!$H648</f>
        <v/>
      </c>
      <c r="F648">
        <f>IF(Weekly_Inspections!$AX648&lt;&gt;"",Weekly_Inspections!$AX648,IF(Weekly_Inspections!$AY648&lt;&gt;"",Weekly_Inspections!$AY648,IF(Weekly_Inspections!$AZ648&lt;&gt;"",Weekly_Inspections!$AZ648,IF(Weekly_Inspections!$BA648&lt;&gt;"",Weekly_Inspections!$BA648,IF(Weekly_Inspections!$BB648&lt;&gt;"",Weekly_Inspections!$BB648,Weekly_Inspections!$R648)))))</f>
        <v>0</v>
      </c>
      <c r="G648" t="str">
        <f>IF(OR(Weekly_Inspections!$AQ648&lt;&gt;"",Weekly_Inspections!$AR648&lt;&gt;"",Weekly_Inspections!$AS648&lt;&gt;""),Weekly_Inspections!$AQ648,"")</f>
        <v/>
      </c>
      <c r="H648">
        <f>Weekly_Inspections!$AP648</f>
        <v>0</v>
      </c>
      <c r="I648">
        <f>Weekly_Inspections!$AR648</f>
        <v>0</v>
      </c>
      <c r="J648">
        <f>Weekly_Inspections!$AS648</f>
        <v>0</v>
      </c>
      <c r="K648">
        <f>Weekly_Inspections!$AU648</f>
        <v>0</v>
      </c>
      <c r="L648" s="24">
        <f>Weekly_Inspections!$AV648</f>
        <v>0</v>
      </c>
      <c r="M648" t="str">
        <f t="shared" si="30"/>
        <v>Open</v>
      </c>
      <c r="N648" s="24"/>
      <c r="O648">
        <f t="shared" ca="1" si="31"/>
        <v>46113</v>
      </c>
      <c r="P648" t="str">
        <f t="shared" ca="1" si="32"/>
        <v>YES</v>
      </c>
      <c r="Q648">
        <f>Weekly_Inspections!$AW648</f>
        <v>0</v>
      </c>
    </row>
    <row r="649" spans="1:17" ht="15" customHeight="1" x14ac:dyDescent="0.2">
      <c r="A649" t="str">
        <f>IF(Weekly_Inspections!$B649="","",Weekly_Inspections!$A649&amp;"-A1")</f>
        <v/>
      </c>
      <c r="B649" s="24">
        <f>Weekly_Inspections!$B649</f>
        <v>0</v>
      </c>
      <c r="C649">
        <f>Weekly_Inspections!$E649</f>
        <v>0</v>
      </c>
      <c r="D649">
        <f>Weekly_Inspections!$F649</f>
        <v>0</v>
      </c>
      <c r="E649" t="str">
        <f>Weekly_Inspections!$H649</f>
        <v/>
      </c>
      <c r="F649">
        <f>IF(Weekly_Inspections!$AX649&lt;&gt;"",Weekly_Inspections!$AX649,IF(Weekly_Inspections!$AY649&lt;&gt;"",Weekly_Inspections!$AY649,IF(Weekly_Inspections!$AZ649&lt;&gt;"",Weekly_Inspections!$AZ649,IF(Weekly_Inspections!$BA649&lt;&gt;"",Weekly_Inspections!$BA649,IF(Weekly_Inspections!$BB649&lt;&gt;"",Weekly_Inspections!$BB649,Weekly_Inspections!$R649)))))</f>
        <v>0</v>
      </c>
      <c r="G649" t="str">
        <f>IF(OR(Weekly_Inspections!$AQ649&lt;&gt;"",Weekly_Inspections!$AR649&lt;&gt;"",Weekly_Inspections!$AS649&lt;&gt;""),Weekly_Inspections!$AQ649,"")</f>
        <v/>
      </c>
      <c r="H649">
        <f>Weekly_Inspections!$AP649</f>
        <v>0</v>
      </c>
      <c r="I649">
        <f>Weekly_Inspections!$AR649</f>
        <v>0</v>
      </c>
      <c r="J649">
        <f>Weekly_Inspections!$AS649</f>
        <v>0</v>
      </c>
      <c r="K649">
        <f>Weekly_Inspections!$AU649</f>
        <v>0</v>
      </c>
      <c r="L649" s="24">
        <f>Weekly_Inspections!$AV649</f>
        <v>0</v>
      </c>
      <c r="M649" t="str">
        <f t="shared" si="30"/>
        <v>Open</v>
      </c>
      <c r="N649" s="24"/>
      <c r="O649">
        <f t="shared" ca="1" si="31"/>
        <v>46113</v>
      </c>
      <c r="P649" t="str">
        <f t="shared" ca="1" si="32"/>
        <v>YES</v>
      </c>
      <c r="Q649">
        <f>Weekly_Inspections!$AW649</f>
        <v>0</v>
      </c>
    </row>
    <row r="650" spans="1:17" ht="15" customHeight="1" x14ac:dyDescent="0.2">
      <c r="A650" t="str">
        <f>IF(Weekly_Inspections!$B650="","",Weekly_Inspections!$A650&amp;"-A1")</f>
        <v/>
      </c>
      <c r="B650" s="24">
        <f>Weekly_Inspections!$B650</f>
        <v>0</v>
      </c>
      <c r="C650">
        <f>Weekly_Inspections!$E650</f>
        <v>0</v>
      </c>
      <c r="D650">
        <f>Weekly_Inspections!$F650</f>
        <v>0</v>
      </c>
      <c r="E650" t="str">
        <f>Weekly_Inspections!$H650</f>
        <v/>
      </c>
      <c r="F650">
        <f>IF(Weekly_Inspections!$AX650&lt;&gt;"",Weekly_Inspections!$AX650,IF(Weekly_Inspections!$AY650&lt;&gt;"",Weekly_Inspections!$AY650,IF(Weekly_Inspections!$AZ650&lt;&gt;"",Weekly_Inspections!$AZ650,IF(Weekly_Inspections!$BA650&lt;&gt;"",Weekly_Inspections!$BA650,IF(Weekly_Inspections!$BB650&lt;&gt;"",Weekly_Inspections!$BB650,Weekly_Inspections!$R650)))))</f>
        <v>0</v>
      </c>
      <c r="G650" t="str">
        <f>IF(OR(Weekly_Inspections!$AQ650&lt;&gt;"",Weekly_Inspections!$AR650&lt;&gt;"",Weekly_Inspections!$AS650&lt;&gt;""),Weekly_Inspections!$AQ650,"")</f>
        <v/>
      </c>
      <c r="H650">
        <f>Weekly_Inspections!$AP650</f>
        <v>0</v>
      </c>
      <c r="I650">
        <f>Weekly_Inspections!$AR650</f>
        <v>0</v>
      </c>
      <c r="J650">
        <f>Weekly_Inspections!$AS650</f>
        <v>0</v>
      </c>
      <c r="K650">
        <f>Weekly_Inspections!$AU650</f>
        <v>0</v>
      </c>
      <c r="L650" s="24">
        <f>Weekly_Inspections!$AV650</f>
        <v>0</v>
      </c>
      <c r="M650" t="str">
        <f t="shared" si="30"/>
        <v>Open</v>
      </c>
      <c r="N650" s="24"/>
      <c r="O650">
        <f t="shared" ca="1" si="31"/>
        <v>46113</v>
      </c>
      <c r="P650" t="str">
        <f t="shared" ca="1" si="32"/>
        <v>YES</v>
      </c>
      <c r="Q650">
        <f>Weekly_Inspections!$AW650</f>
        <v>0</v>
      </c>
    </row>
    <row r="651" spans="1:17" ht="15" customHeight="1" x14ac:dyDescent="0.2">
      <c r="A651" t="str">
        <f>IF(Weekly_Inspections!$B651="","",Weekly_Inspections!$A651&amp;"-A1")</f>
        <v/>
      </c>
      <c r="B651" s="24">
        <f>Weekly_Inspections!$B651</f>
        <v>0</v>
      </c>
      <c r="C651">
        <f>Weekly_Inspections!$E651</f>
        <v>0</v>
      </c>
      <c r="D651">
        <f>Weekly_Inspections!$F651</f>
        <v>0</v>
      </c>
      <c r="E651" t="str">
        <f>Weekly_Inspections!$H651</f>
        <v/>
      </c>
      <c r="F651">
        <f>IF(Weekly_Inspections!$AX651&lt;&gt;"",Weekly_Inspections!$AX651,IF(Weekly_Inspections!$AY651&lt;&gt;"",Weekly_Inspections!$AY651,IF(Weekly_Inspections!$AZ651&lt;&gt;"",Weekly_Inspections!$AZ651,IF(Weekly_Inspections!$BA651&lt;&gt;"",Weekly_Inspections!$BA651,IF(Weekly_Inspections!$BB651&lt;&gt;"",Weekly_Inspections!$BB651,Weekly_Inspections!$R651)))))</f>
        <v>0</v>
      </c>
      <c r="G651" t="str">
        <f>IF(OR(Weekly_Inspections!$AQ651&lt;&gt;"",Weekly_Inspections!$AR651&lt;&gt;"",Weekly_Inspections!$AS651&lt;&gt;""),Weekly_Inspections!$AQ651,"")</f>
        <v/>
      </c>
      <c r="H651">
        <f>Weekly_Inspections!$AP651</f>
        <v>0</v>
      </c>
      <c r="I651">
        <f>Weekly_Inspections!$AR651</f>
        <v>0</v>
      </c>
      <c r="J651">
        <f>Weekly_Inspections!$AS651</f>
        <v>0</v>
      </c>
      <c r="K651">
        <f>Weekly_Inspections!$AU651</f>
        <v>0</v>
      </c>
      <c r="L651" s="24">
        <f>Weekly_Inspections!$AV651</f>
        <v>0</v>
      </c>
      <c r="M651" t="str">
        <f t="shared" si="30"/>
        <v>Open</v>
      </c>
      <c r="N651" s="24"/>
      <c r="O651">
        <f t="shared" ca="1" si="31"/>
        <v>46113</v>
      </c>
      <c r="P651" t="str">
        <f t="shared" ca="1" si="32"/>
        <v>YES</v>
      </c>
      <c r="Q651">
        <f>Weekly_Inspections!$AW651</f>
        <v>0</v>
      </c>
    </row>
    <row r="652" spans="1:17" ht="15" customHeight="1" x14ac:dyDescent="0.2">
      <c r="A652" t="str">
        <f>IF(Weekly_Inspections!$B652="","",Weekly_Inspections!$A652&amp;"-A1")</f>
        <v/>
      </c>
      <c r="B652" s="24">
        <f>Weekly_Inspections!$B652</f>
        <v>0</v>
      </c>
      <c r="C652">
        <f>Weekly_Inspections!$E652</f>
        <v>0</v>
      </c>
      <c r="D652">
        <f>Weekly_Inspections!$F652</f>
        <v>0</v>
      </c>
      <c r="E652" t="str">
        <f>Weekly_Inspections!$H652</f>
        <v/>
      </c>
      <c r="F652">
        <f>IF(Weekly_Inspections!$AX652&lt;&gt;"",Weekly_Inspections!$AX652,IF(Weekly_Inspections!$AY652&lt;&gt;"",Weekly_Inspections!$AY652,IF(Weekly_Inspections!$AZ652&lt;&gt;"",Weekly_Inspections!$AZ652,IF(Weekly_Inspections!$BA652&lt;&gt;"",Weekly_Inspections!$BA652,IF(Weekly_Inspections!$BB652&lt;&gt;"",Weekly_Inspections!$BB652,Weekly_Inspections!$R652)))))</f>
        <v>0</v>
      </c>
      <c r="G652" t="str">
        <f>IF(OR(Weekly_Inspections!$AQ652&lt;&gt;"",Weekly_Inspections!$AR652&lt;&gt;"",Weekly_Inspections!$AS652&lt;&gt;""),Weekly_Inspections!$AQ652,"")</f>
        <v/>
      </c>
      <c r="H652">
        <f>Weekly_Inspections!$AP652</f>
        <v>0</v>
      </c>
      <c r="I652">
        <f>Weekly_Inspections!$AR652</f>
        <v>0</v>
      </c>
      <c r="J652">
        <f>Weekly_Inspections!$AS652</f>
        <v>0</v>
      </c>
      <c r="K652">
        <f>Weekly_Inspections!$AU652</f>
        <v>0</v>
      </c>
      <c r="L652" s="24">
        <f>Weekly_Inspections!$AV652</f>
        <v>0</v>
      </c>
      <c r="M652" t="str">
        <f t="shared" si="30"/>
        <v>Open</v>
      </c>
      <c r="N652" s="24"/>
      <c r="O652">
        <f t="shared" ca="1" si="31"/>
        <v>46113</v>
      </c>
      <c r="P652" t="str">
        <f t="shared" ca="1" si="32"/>
        <v>YES</v>
      </c>
      <c r="Q652">
        <f>Weekly_Inspections!$AW652</f>
        <v>0</v>
      </c>
    </row>
    <row r="653" spans="1:17" ht="15" customHeight="1" x14ac:dyDescent="0.2">
      <c r="A653" t="str">
        <f>IF(Weekly_Inspections!$B653="","",Weekly_Inspections!$A653&amp;"-A1")</f>
        <v/>
      </c>
      <c r="B653" s="24">
        <f>Weekly_Inspections!$B653</f>
        <v>0</v>
      </c>
      <c r="C653">
        <f>Weekly_Inspections!$E653</f>
        <v>0</v>
      </c>
      <c r="D653">
        <f>Weekly_Inspections!$F653</f>
        <v>0</v>
      </c>
      <c r="E653" t="str">
        <f>Weekly_Inspections!$H653</f>
        <v/>
      </c>
      <c r="F653">
        <f>IF(Weekly_Inspections!$AX653&lt;&gt;"",Weekly_Inspections!$AX653,IF(Weekly_Inspections!$AY653&lt;&gt;"",Weekly_Inspections!$AY653,IF(Weekly_Inspections!$AZ653&lt;&gt;"",Weekly_Inspections!$AZ653,IF(Weekly_Inspections!$BA653&lt;&gt;"",Weekly_Inspections!$BA653,IF(Weekly_Inspections!$BB653&lt;&gt;"",Weekly_Inspections!$BB653,Weekly_Inspections!$R653)))))</f>
        <v>0</v>
      </c>
      <c r="G653" t="str">
        <f>IF(OR(Weekly_Inspections!$AQ653&lt;&gt;"",Weekly_Inspections!$AR653&lt;&gt;"",Weekly_Inspections!$AS653&lt;&gt;""),Weekly_Inspections!$AQ653,"")</f>
        <v/>
      </c>
      <c r="H653">
        <f>Weekly_Inspections!$AP653</f>
        <v>0</v>
      </c>
      <c r="I653">
        <f>Weekly_Inspections!$AR653</f>
        <v>0</v>
      </c>
      <c r="J653">
        <f>Weekly_Inspections!$AS653</f>
        <v>0</v>
      </c>
      <c r="K653">
        <f>Weekly_Inspections!$AU653</f>
        <v>0</v>
      </c>
      <c r="L653" s="24">
        <f>Weekly_Inspections!$AV653</f>
        <v>0</v>
      </c>
      <c r="M653" t="str">
        <f t="shared" si="30"/>
        <v>Open</v>
      </c>
      <c r="N653" s="24"/>
      <c r="O653">
        <f t="shared" ca="1" si="31"/>
        <v>46113</v>
      </c>
      <c r="P653" t="str">
        <f t="shared" ca="1" si="32"/>
        <v>YES</v>
      </c>
      <c r="Q653">
        <f>Weekly_Inspections!$AW653</f>
        <v>0</v>
      </c>
    </row>
    <row r="654" spans="1:17" ht="15" customHeight="1" x14ac:dyDescent="0.2">
      <c r="A654" t="str">
        <f>IF(Weekly_Inspections!$B654="","",Weekly_Inspections!$A654&amp;"-A1")</f>
        <v/>
      </c>
      <c r="B654" s="24">
        <f>Weekly_Inspections!$B654</f>
        <v>0</v>
      </c>
      <c r="C654">
        <f>Weekly_Inspections!$E654</f>
        <v>0</v>
      </c>
      <c r="D654">
        <f>Weekly_Inspections!$F654</f>
        <v>0</v>
      </c>
      <c r="E654" t="str">
        <f>Weekly_Inspections!$H654</f>
        <v/>
      </c>
      <c r="F654">
        <f>IF(Weekly_Inspections!$AX654&lt;&gt;"",Weekly_Inspections!$AX654,IF(Weekly_Inspections!$AY654&lt;&gt;"",Weekly_Inspections!$AY654,IF(Weekly_Inspections!$AZ654&lt;&gt;"",Weekly_Inspections!$AZ654,IF(Weekly_Inspections!$BA654&lt;&gt;"",Weekly_Inspections!$BA654,IF(Weekly_Inspections!$BB654&lt;&gt;"",Weekly_Inspections!$BB654,Weekly_Inspections!$R654)))))</f>
        <v>0</v>
      </c>
      <c r="G654" t="str">
        <f>IF(OR(Weekly_Inspections!$AQ654&lt;&gt;"",Weekly_Inspections!$AR654&lt;&gt;"",Weekly_Inspections!$AS654&lt;&gt;""),Weekly_Inspections!$AQ654,"")</f>
        <v/>
      </c>
      <c r="H654">
        <f>Weekly_Inspections!$AP654</f>
        <v>0</v>
      </c>
      <c r="I654">
        <f>Weekly_Inspections!$AR654</f>
        <v>0</v>
      </c>
      <c r="J654">
        <f>Weekly_Inspections!$AS654</f>
        <v>0</v>
      </c>
      <c r="K654">
        <f>Weekly_Inspections!$AU654</f>
        <v>0</v>
      </c>
      <c r="L654" s="24">
        <f>Weekly_Inspections!$AV654</f>
        <v>0</v>
      </c>
      <c r="M654" t="str">
        <f t="shared" si="30"/>
        <v>Open</v>
      </c>
      <c r="N654" s="24"/>
      <c r="O654">
        <f t="shared" ca="1" si="31"/>
        <v>46113</v>
      </c>
      <c r="P654" t="str">
        <f t="shared" ca="1" si="32"/>
        <v>YES</v>
      </c>
      <c r="Q654">
        <f>Weekly_Inspections!$AW654</f>
        <v>0</v>
      </c>
    </row>
    <row r="655" spans="1:17" ht="15" customHeight="1" x14ac:dyDescent="0.2">
      <c r="A655" t="str">
        <f>IF(Weekly_Inspections!$B655="","",Weekly_Inspections!$A655&amp;"-A1")</f>
        <v/>
      </c>
      <c r="B655" s="24">
        <f>Weekly_Inspections!$B655</f>
        <v>0</v>
      </c>
      <c r="C655">
        <f>Weekly_Inspections!$E655</f>
        <v>0</v>
      </c>
      <c r="D655">
        <f>Weekly_Inspections!$F655</f>
        <v>0</v>
      </c>
      <c r="E655" t="str">
        <f>Weekly_Inspections!$H655</f>
        <v/>
      </c>
      <c r="F655">
        <f>IF(Weekly_Inspections!$AX655&lt;&gt;"",Weekly_Inspections!$AX655,IF(Weekly_Inspections!$AY655&lt;&gt;"",Weekly_Inspections!$AY655,IF(Weekly_Inspections!$AZ655&lt;&gt;"",Weekly_Inspections!$AZ655,IF(Weekly_Inspections!$BA655&lt;&gt;"",Weekly_Inspections!$BA655,IF(Weekly_Inspections!$BB655&lt;&gt;"",Weekly_Inspections!$BB655,Weekly_Inspections!$R655)))))</f>
        <v>0</v>
      </c>
      <c r="G655" t="str">
        <f>IF(OR(Weekly_Inspections!$AQ655&lt;&gt;"",Weekly_Inspections!$AR655&lt;&gt;"",Weekly_Inspections!$AS655&lt;&gt;""),Weekly_Inspections!$AQ655,"")</f>
        <v/>
      </c>
      <c r="H655">
        <f>Weekly_Inspections!$AP655</f>
        <v>0</v>
      </c>
      <c r="I655">
        <f>Weekly_Inspections!$AR655</f>
        <v>0</v>
      </c>
      <c r="J655">
        <f>Weekly_Inspections!$AS655</f>
        <v>0</v>
      </c>
      <c r="K655">
        <f>Weekly_Inspections!$AU655</f>
        <v>0</v>
      </c>
      <c r="L655" s="24">
        <f>Weekly_Inspections!$AV655</f>
        <v>0</v>
      </c>
      <c r="M655" t="str">
        <f t="shared" si="30"/>
        <v>Open</v>
      </c>
      <c r="N655" s="24"/>
      <c r="O655">
        <f t="shared" ca="1" si="31"/>
        <v>46113</v>
      </c>
      <c r="P655" t="str">
        <f t="shared" ca="1" si="32"/>
        <v>YES</v>
      </c>
      <c r="Q655">
        <f>Weekly_Inspections!$AW655</f>
        <v>0</v>
      </c>
    </row>
    <row r="656" spans="1:17" ht="15" customHeight="1" x14ac:dyDescent="0.2">
      <c r="A656" t="str">
        <f>IF(Weekly_Inspections!$B656="","",Weekly_Inspections!$A656&amp;"-A1")</f>
        <v/>
      </c>
      <c r="B656" s="24">
        <f>Weekly_Inspections!$B656</f>
        <v>0</v>
      </c>
      <c r="C656">
        <f>Weekly_Inspections!$E656</f>
        <v>0</v>
      </c>
      <c r="D656">
        <f>Weekly_Inspections!$F656</f>
        <v>0</v>
      </c>
      <c r="E656" t="str">
        <f>Weekly_Inspections!$H656</f>
        <v/>
      </c>
      <c r="F656">
        <f>IF(Weekly_Inspections!$AX656&lt;&gt;"",Weekly_Inspections!$AX656,IF(Weekly_Inspections!$AY656&lt;&gt;"",Weekly_Inspections!$AY656,IF(Weekly_Inspections!$AZ656&lt;&gt;"",Weekly_Inspections!$AZ656,IF(Weekly_Inspections!$BA656&lt;&gt;"",Weekly_Inspections!$BA656,IF(Weekly_Inspections!$BB656&lt;&gt;"",Weekly_Inspections!$BB656,Weekly_Inspections!$R656)))))</f>
        <v>0</v>
      </c>
      <c r="G656" t="str">
        <f>IF(OR(Weekly_Inspections!$AQ656&lt;&gt;"",Weekly_Inspections!$AR656&lt;&gt;"",Weekly_Inspections!$AS656&lt;&gt;""),Weekly_Inspections!$AQ656,"")</f>
        <v/>
      </c>
      <c r="H656">
        <f>Weekly_Inspections!$AP656</f>
        <v>0</v>
      </c>
      <c r="I656">
        <f>Weekly_Inspections!$AR656</f>
        <v>0</v>
      </c>
      <c r="J656">
        <f>Weekly_Inspections!$AS656</f>
        <v>0</v>
      </c>
      <c r="K656">
        <f>Weekly_Inspections!$AU656</f>
        <v>0</v>
      </c>
      <c r="L656" s="24">
        <f>Weekly_Inspections!$AV656</f>
        <v>0</v>
      </c>
      <c r="M656" t="str">
        <f t="shared" si="30"/>
        <v>Open</v>
      </c>
      <c r="N656" s="24"/>
      <c r="O656">
        <f t="shared" ca="1" si="31"/>
        <v>46113</v>
      </c>
      <c r="P656" t="str">
        <f t="shared" ca="1" si="32"/>
        <v>YES</v>
      </c>
      <c r="Q656">
        <f>Weekly_Inspections!$AW656</f>
        <v>0</v>
      </c>
    </row>
    <row r="657" spans="1:17" ht="15" customHeight="1" x14ac:dyDescent="0.2">
      <c r="A657" t="str">
        <f>IF(Weekly_Inspections!$B657="","",Weekly_Inspections!$A657&amp;"-A1")</f>
        <v/>
      </c>
      <c r="B657" s="24">
        <f>Weekly_Inspections!$B657</f>
        <v>0</v>
      </c>
      <c r="C657">
        <f>Weekly_Inspections!$E657</f>
        <v>0</v>
      </c>
      <c r="D657">
        <f>Weekly_Inspections!$F657</f>
        <v>0</v>
      </c>
      <c r="E657" t="str">
        <f>Weekly_Inspections!$H657</f>
        <v/>
      </c>
      <c r="F657">
        <f>IF(Weekly_Inspections!$AX657&lt;&gt;"",Weekly_Inspections!$AX657,IF(Weekly_Inspections!$AY657&lt;&gt;"",Weekly_Inspections!$AY657,IF(Weekly_Inspections!$AZ657&lt;&gt;"",Weekly_Inspections!$AZ657,IF(Weekly_Inspections!$BA657&lt;&gt;"",Weekly_Inspections!$BA657,IF(Weekly_Inspections!$BB657&lt;&gt;"",Weekly_Inspections!$BB657,Weekly_Inspections!$R657)))))</f>
        <v>0</v>
      </c>
      <c r="G657" t="str">
        <f>IF(OR(Weekly_Inspections!$AQ657&lt;&gt;"",Weekly_Inspections!$AR657&lt;&gt;"",Weekly_Inspections!$AS657&lt;&gt;""),Weekly_Inspections!$AQ657,"")</f>
        <v/>
      </c>
      <c r="H657">
        <f>Weekly_Inspections!$AP657</f>
        <v>0</v>
      </c>
      <c r="I657">
        <f>Weekly_Inspections!$AR657</f>
        <v>0</v>
      </c>
      <c r="J657">
        <f>Weekly_Inspections!$AS657</f>
        <v>0</v>
      </c>
      <c r="K657">
        <f>Weekly_Inspections!$AU657</f>
        <v>0</v>
      </c>
      <c r="L657" s="24">
        <f>Weekly_Inspections!$AV657</f>
        <v>0</v>
      </c>
      <c r="M657" t="str">
        <f t="shared" si="30"/>
        <v>Open</v>
      </c>
      <c r="N657" s="24"/>
      <c r="O657">
        <f t="shared" ca="1" si="31"/>
        <v>46113</v>
      </c>
      <c r="P657" t="str">
        <f t="shared" ca="1" si="32"/>
        <v>YES</v>
      </c>
      <c r="Q657">
        <f>Weekly_Inspections!$AW657</f>
        <v>0</v>
      </c>
    </row>
    <row r="658" spans="1:17" ht="15" customHeight="1" x14ac:dyDescent="0.2">
      <c r="A658" t="str">
        <f>IF(Weekly_Inspections!$B658="","",Weekly_Inspections!$A658&amp;"-A1")</f>
        <v/>
      </c>
      <c r="B658" s="24">
        <f>Weekly_Inspections!$B658</f>
        <v>0</v>
      </c>
      <c r="C658">
        <f>Weekly_Inspections!$E658</f>
        <v>0</v>
      </c>
      <c r="D658">
        <f>Weekly_Inspections!$F658</f>
        <v>0</v>
      </c>
      <c r="E658" t="str">
        <f>Weekly_Inspections!$H658</f>
        <v/>
      </c>
      <c r="F658">
        <f>IF(Weekly_Inspections!$AX658&lt;&gt;"",Weekly_Inspections!$AX658,IF(Weekly_Inspections!$AY658&lt;&gt;"",Weekly_Inspections!$AY658,IF(Weekly_Inspections!$AZ658&lt;&gt;"",Weekly_Inspections!$AZ658,IF(Weekly_Inspections!$BA658&lt;&gt;"",Weekly_Inspections!$BA658,IF(Weekly_Inspections!$BB658&lt;&gt;"",Weekly_Inspections!$BB658,Weekly_Inspections!$R658)))))</f>
        <v>0</v>
      </c>
      <c r="G658" t="str">
        <f>IF(OR(Weekly_Inspections!$AQ658&lt;&gt;"",Weekly_Inspections!$AR658&lt;&gt;"",Weekly_Inspections!$AS658&lt;&gt;""),Weekly_Inspections!$AQ658,"")</f>
        <v/>
      </c>
      <c r="H658">
        <f>Weekly_Inspections!$AP658</f>
        <v>0</v>
      </c>
      <c r="I658">
        <f>Weekly_Inspections!$AR658</f>
        <v>0</v>
      </c>
      <c r="J658">
        <f>Weekly_Inspections!$AS658</f>
        <v>0</v>
      </c>
      <c r="K658">
        <f>Weekly_Inspections!$AU658</f>
        <v>0</v>
      </c>
      <c r="L658" s="24">
        <f>Weekly_Inspections!$AV658</f>
        <v>0</v>
      </c>
      <c r="M658" t="str">
        <f t="shared" si="30"/>
        <v>Open</v>
      </c>
      <c r="N658" s="24"/>
      <c r="O658">
        <f t="shared" ca="1" si="31"/>
        <v>46113</v>
      </c>
      <c r="P658" t="str">
        <f t="shared" ca="1" si="32"/>
        <v>YES</v>
      </c>
      <c r="Q658">
        <f>Weekly_Inspections!$AW658</f>
        <v>0</v>
      </c>
    </row>
    <row r="659" spans="1:17" ht="15" customHeight="1" x14ac:dyDescent="0.2">
      <c r="A659" t="str">
        <f>IF(Weekly_Inspections!$B659="","",Weekly_Inspections!$A659&amp;"-A1")</f>
        <v/>
      </c>
      <c r="B659" s="24">
        <f>Weekly_Inspections!$B659</f>
        <v>0</v>
      </c>
      <c r="C659">
        <f>Weekly_Inspections!$E659</f>
        <v>0</v>
      </c>
      <c r="D659">
        <f>Weekly_Inspections!$F659</f>
        <v>0</v>
      </c>
      <c r="E659" t="str">
        <f>Weekly_Inspections!$H659</f>
        <v/>
      </c>
      <c r="F659">
        <f>IF(Weekly_Inspections!$AX659&lt;&gt;"",Weekly_Inspections!$AX659,IF(Weekly_Inspections!$AY659&lt;&gt;"",Weekly_Inspections!$AY659,IF(Weekly_Inspections!$AZ659&lt;&gt;"",Weekly_Inspections!$AZ659,IF(Weekly_Inspections!$BA659&lt;&gt;"",Weekly_Inspections!$BA659,IF(Weekly_Inspections!$BB659&lt;&gt;"",Weekly_Inspections!$BB659,Weekly_Inspections!$R659)))))</f>
        <v>0</v>
      </c>
      <c r="G659" t="str">
        <f>IF(OR(Weekly_Inspections!$AQ659&lt;&gt;"",Weekly_Inspections!$AR659&lt;&gt;"",Weekly_Inspections!$AS659&lt;&gt;""),Weekly_Inspections!$AQ659,"")</f>
        <v/>
      </c>
      <c r="H659">
        <f>Weekly_Inspections!$AP659</f>
        <v>0</v>
      </c>
      <c r="I659">
        <f>Weekly_Inspections!$AR659</f>
        <v>0</v>
      </c>
      <c r="J659">
        <f>Weekly_Inspections!$AS659</f>
        <v>0</v>
      </c>
      <c r="K659">
        <f>Weekly_Inspections!$AU659</f>
        <v>0</v>
      </c>
      <c r="L659" s="24">
        <f>Weekly_Inspections!$AV659</f>
        <v>0</v>
      </c>
      <c r="M659" t="str">
        <f t="shared" si="30"/>
        <v>Open</v>
      </c>
      <c r="N659" s="24"/>
      <c r="O659">
        <f t="shared" ca="1" si="31"/>
        <v>46113</v>
      </c>
      <c r="P659" t="str">
        <f t="shared" ca="1" si="32"/>
        <v>YES</v>
      </c>
      <c r="Q659">
        <f>Weekly_Inspections!$AW659</f>
        <v>0</v>
      </c>
    </row>
    <row r="660" spans="1:17" ht="15" customHeight="1" x14ac:dyDescent="0.2">
      <c r="A660" t="str">
        <f>IF(Weekly_Inspections!$B660="","",Weekly_Inspections!$A660&amp;"-A1")</f>
        <v/>
      </c>
      <c r="B660" s="24">
        <f>Weekly_Inspections!$B660</f>
        <v>0</v>
      </c>
      <c r="C660">
        <f>Weekly_Inspections!$E660</f>
        <v>0</v>
      </c>
      <c r="D660">
        <f>Weekly_Inspections!$F660</f>
        <v>0</v>
      </c>
      <c r="E660" t="str">
        <f>Weekly_Inspections!$H660</f>
        <v/>
      </c>
      <c r="F660">
        <f>IF(Weekly_Inspections!$AX660&lt;&gt;"",Weekly_Inspections!$AX660,IF(Weekly_Inspections!$AY660&lt;&gt;"",Weekly_Inspections!$AY660,IF(Weekly_Inspections!$AZ660&lt;&gt;"",Weekly_Inspections!$AZ660,IF(Weekly_Inspections!$BA660&lt;&gt;"",Weekly_Inspections!$BA660,IF(Weekly_Inspections!$BB660&lt;&gt;"",Weekly_Inspections!$BB660,Weekly_Inspections!$R660)))))</f>
        <v>0</v>
      </c>
      <c r="G660" t="str">
        <f>IF(OR(Weekly_Inspections!$AQ660&lt;&gt;"",Weekly_Inspections!$AR660&lt;&gt;"",Weekly_Inspections!$AS660&lt;&gt;""),Weekly_Inspections!$AQ660,"")</f>
        <v/>
      </c>
      <c r="H660">
        <f>Weekly_Inspections!$AP660</f>
        <v>0</v>
      </c>
      <c r="I660">
        <f>Weekly_Inspections!$AR660</f>
        <v>0</v>
      </c>
      <c r="J660">
        <f>Weekly_Inspections!$AS660</f>
        <v>0</v>
      </c>
      <c r="K660">
        <f>Weekly_Inspections!$AU660</f>
        <v>0</v>
      </c>
      <c r="L660" s="24">
        <f>Weekly_Inspections!$AV660</f>
        <v>0</v>
      </c>
      <c r="M660" t="str">
        <f t="shared" si="30"/>
        <v>Open</v>
      </c>
      <c r="N660" s="24"/>
      <c r="O660">
        <f t="shared" ca="1" si="31"/>
        <v>46113</v>
      </c>
      <c r="P660" t="str">
        <f t="shared" ca="1" si="32"/>
        <v>YES</v>
      </c>
      <c r="Q660">
        <f>Weekly_Inspections!$AW660</f>
        <v>0</v>
      </c>
    </row>
    <row r="661" spans="1:17" ht="15" customHeight="1" x14ac:dyDescent="0.2">
      <c r="A661" t="str">
        <f>IF(Weekly_Inspections!$B661="","",Weekly_Inspections!$A661&amp;"-A1")</f>
        <v/>
      </c>
      <c r="B661" s="24">
        <f>Weekly_Inspections!$B661</f>
        <v>0</v>
      </c>
      <c r="C661">
        <f>Weekly_Inspections!$E661</f>
        <v>0</v>
      </c>
      <c r="D661">
        <f>Weekly_Inspections!$F661</f>
        <v>0</v>
      </c>
      <c r="E661" t="str">
        <f>Weekly_Inspections!$H661</f>
        <v/>
      </c>
      <c r="F661">
        <f>IF(Weekly_Inspections!$AX661&lt;&gt;"",Weekly_Inspections!$AX661,IF(Weekly_Inspections!$AY661&lt;&gt;"",Weekly_Inspections!$AY661,IF(Weekly_Inspections!$AZ661&lt;&gt;"",Weekly_Inspections!$AZ661,IF(Weekly_Inspections!$BA661&lt;&gt;"",Weekly_Inspections!$BA661,IF(Weekly_Inspections!$BB661&lt;&gt;"",Weekly_Inspections!$BB661,Weekly_Inspections!$R661)))))</f>
        <v>0</v>
      </c>
      <c r="G661" t="str">
        <f>IF(OR(Weekly_Inspections!$AQ661&lt;&gt;"",Weekly_Inspections!$AR661&lt;&gt;"",Weekly_Inspections!$AS661&lt;&gt;""),Weekly_Inspections!$AQ661,"")</f>
        <v/>
      </c>
      <c r="H661">
        <f>Weekly_Inspections!$AP661</f>
        <v>0</v>
      </c>
      <c r="I661">
        <f>Weekly_Inspections!$AR661</f>
        <v>0</v>
      </c>
      <c r="J661">
        <f>Weekly_Inspections!$AS661</f>
        <v>0</v>
      </c>
      <c r="K661">
        <f>Weekly_Inspections!$AU661</f>
        <v>0</v>
      </c>
      <c r="L661" s="24">
        <f>Weekly_Inspections!$AV661</f>
        <v>0</v>
      </c>
      <c r="M661" t="str">
        <f t="shared" si="30"/>
        <v>Open</v>
      </c>
      <c r="N661" s="24"/>
      <c r="O661">
        <f t="shared" ca="1" si="31"/>
        <v>46113</v>
      </c>
      <c r="P661" t="str">
        <f t="shared" ca="1" si="32"/>
        <v>YES</v>
      </c>
      <c r="Q661">
        <f>Weekly_Inspections!$AW661</f>
        <v>0</v>
      </c>
    </row>
    <row r="662" spans="1:17" ht="15" customHeight="1" x14ac:dyDescent="0.2">
      <c r="A662" t="str">
        <f>IF(Weekly_Inspections!$B662="","",Weekly_Inspections!$A662&amp;"-A1")</f>
        <v/>
      </c>
      <c r="B662" s="24">
        <f>Weekly_Inspections!$B662</f>
        <v>0</v>
      </c>
      <c r="C662">
        <f>Weekly_Inspections!$E662</f>
        <v>0</v>
      </c>
      <c r="D662">
        <f>Weekly_Inspections!$F662</f>
        <v>0</v>
      </c>
      <c r="E662" t="str">
        <f>Weekly_Inspections!$H662</f>
        <v/>
      </c>
      <c r="F662">
        <f>IF(Weekly_Inspections!$AX662&lt;&gt;"",Weekly_Inspections!$AX662,IF(Weekly_Inspections!$AY662&lt;&gt;"",Weekly_Inspections!$AY662,IF(Weekly_Inspections!$AZ662&lt;&gt;"",Weekly_Inspections!$AZ662,IF(Weekly_Inspections!$BA662&lt;&gt;"",Weekly_Inspections!$BA662,IF(Weekly_Inspections!$BB662&lt;&gt;"",Weekly_Inspections!$BB662,Weekly_Inspections!$R662)))))</f>
        <v>0</v>
      </c>
      <c r="G662" t="str">
        <f>IF(OR(Weekly_Inspections!$AQ662&lt;&gt;"",Weekly_Inspections!$AR662&lt;&gt;"",Weekly_Inspections!$AS662&lt;&gt;""),Weekly_Inspections!$AQ662,"")</f>
        <v/>
      </c>
      <c r="H662">
        <f>Weekly_Inspections!$AP662</f>
        <v>0</v>
      </c>
      <c r="I662">
        <f>Weekly_Inspections!$AR662</f>
        <v>0</v>
      </c>
      <c r="J662">
        <f>Weekly_Inspections!$AS662</f>
        <v>0</v>
      </c>
      <c r="K662">
        <f>Weekly_Inspections!$AU662</f>
        <v>0</v>
      </c>
      <c r="L662" s="24">
        <f>Weekly_Inspections!$AV662</f>
        <v>0</v>
      </c>
      <c r="M662" t="str">
        <f t="shared" si="30"/>
        <v>Open</v>
      </c>
      <c r="N662" s="24"/>
      <c r="O662">
        <f t="shared" ca="1" si="31"/>
        <v>46113</v>
      </c>
      <c r="P662" t="str">
        <f t="shared" ca="1" si="32"/>
        <v>YES</v>
      </c>
      <c r="Q662">
        <f>Weekly_Inspections!$AW662</f>
        <v>0</v>
      </c>
    </row>
    <row r="663" spans="1:17" ht="15" customHeight="1" x14ac:dyDescent="0.2">
      <c r="A663" t="str">
        <f>IF(Weekly_Inspections!$B663="","",Weekly_Inspections!$A663&amp;"-A1")</f>
        <v/>
      </c>
      <c r="B663" s="24">
        <f>Weekly_Inspections!$B663</f>
        <v>0</v>
      </c>
      <c r="C663">
        <f>Weekly_Inspections!$E663</f>
        <v>0</v>
      </c>
      <c r="D663">
        <f>Weekly_Inspections!$F663</f>
        <v>0</v>
      </c>
      <c r="E663" t="str">
        <f>Weekly_Inspections!$H663</f>
        <v/>
      </c>
      <c r="F663">
        <f>IF(Weekly_Inspections!$AX663&lt;&gt;"",Weekly_Inspections!$AX663,IF(Weekly_Inspections!$AY663&lt;&gt;"",Weekly_Inspections!$AY663,IF(Weekly_Inspections!$AZ663&lt;&gt;"",Weekly_Inspections!$AZ663,IF(Weekly_Inspections!$BA663&lt;&gt;"",Weekly_Inspections!$BA663,IF(Weekly_Inspections!$BB663&lt;&gt;"",Weekly_Inspections!$BB663,Weekly_Inspections!$R663)))))</f>
        <v>0</v>
      </c>
      <c r="G663" t="str">
        <f>IF(OR(Weekly_Inspections!$AQ663&lt;&gt;"",Weekly_Inspections!$AR663&lt;&gt;"",Weekly_Inspections!$AS663&lt;&gt;""),Weekly_Inspections!$AQ663,"")</f>
        <v/>
      </c>
      <c r="H663">
        <f>Weekly_Inspections!$AP663</f>
        <v>0</v>
      </c>
      <c r="I663">
        <f>Weekly_Inspections!$AR663</f>
        <v>0</v>
      </c>
      <c r="J663">
        <f>Weekly_Inspections!$AS663</f>
        <v>0</v>
      </c>
      <c r="K663">
        <f>Weekly_Inspections!$AU663</f>
        <v>0</v>
      </c>
      <c r="L663" s="24">
        <f>Weekly_Inspections!$AV663</f>
        <v>0</v>
      </c>
      <c r="M663" t="str">
        <f t="shared" si="30"/>
        <v>Open</v>
      </c>
      <c r="N663" s="24"/>
      <c r="O663">
        <f t="shared" ca="1" si="31"/>
        <v>46113</v>
      </c>
      <c r="P663" t="str">
        <f t="shared" ca="1" si="32"/>
        <v>YES</v>
      </c>
      <c r="Q663">
        <f>Weekly_Inspections!$AW663</f>
        <v>0</v>
      </c>
    </row>
    <row r="664" spans="1:17" ht="15" customHeight="1" x14ac:dyDescent="0.2">
      <c r="A664" t="str">
        <f>IF(Weekly_Inspections!$B664="","",Weekly_Inspections!$A664&amp;"-A1")</f>
        <v/>
      </c>
      <c r="B664" s="24">
        <f>Weekly_Inspections!$B664</f>
        <v>0</v>
      </c>
      <c r="C664">
        <f>Weekly_Inspections!$E664</f>
        <v>0</v>
      </c>
      <c r="D664">
        <f>Weekly_Inspections!$F664</f>
        <v>0</v>
      </c>
      <c r="E664" t="str">
        <f>Weekly_Inspections!$H664</f>
        <v/>
      </c>
      <c r="F664">
        <f>IF(Weekly_Inspections!$AX664&lt;&gt;"",Weekly_Inspections!$AX664,IF(Weekly_Inspections!$AY664&lt;&gt;"",Weekly_Inspections!$AY664,IF(Weekly_Inspections!$AZ664&lt;&gt;"",Weekly_Inspections!$AZ664,IF(Weekly_Inspections!$BA664&lt;&gt;"",Weekly_Inspections!$BA664,IF(Weekly_Inspections!$BB664&lt;&gt;"",Weekly_Inspections!$BB664,Weekly_Inspections!$R664)))))</f>
        <v>0</v>
      </c>
      <c r="G664" t="str">
        <f>IF(OR(Weekly_Inspections!$AQ664&lt;&gt;"",Weekly_Inspections!$AR664&lt;&gt;"",Weekly_Inspections!$AS664&lt;&gt;""),Weekly_Inspections!$AQ664,"")</f>
        <v/>
      </c>
      <c r="H664">
        <f>Weekly_Inspections!$AP664</f>
        <v>0</v>
      </c>
      <c r="I664">
        <f>Weekly_Inspections!$AR664</f>
        <v>0</v>
      </c>
      <c r="J664">
        <f>Weekly_Inspections!$AS664</f>
        <v>0</v>
      </c>
      <c r="K664">
        <f>Weekly_Inspections!$AU664</f>
        <v>0</v>
      </c>
      <c r="L664" s="24">
        <f>Weekly_Inspections!$AV664</f>
        <v>0</v>
      </c>
      <c r="M664" t="str">
        <f t="shared" si="30"/>
        <v>Open</v>
      </c>
      <c r="N664" s="24"/>
      <c r="O664">
        <f t="shared" ca="1" si="31"/>
        <v>46113</v>
      </c>
      <c r="P664" t="str">
        <f t="shared" ca="1" si="32"/>
        <v>YES</v>
      </c>
      <c r="Q664">
        <f>Weekly_Inspections!$AW664</f>
        <v>0</v>
      </c>
    </row>
    <row r="665" spans="1:17" ht="15" customHeight="1" x14ac:dyDescent="0.2">
      <c r="A665" t="str">
        <f>IF(Weekly_Inspections!$B665="","",Weekly_Inspections!$A665&amp;"-A1")</f>
        <v/>
      </c>
      <c r="B665" s="24">
        <f>Weekly_Inspections!$B665</f>
        <v>0</v>
      </c>
      <c r="C665">
        <f>Weekly_Inspections!$E665</f>
        <v>0</v>
      </c>
      <c r="D665">
        <f>Weekly_Inspections!$F665</f>
        <v>0</v>
      </c>
      <c r="E665" t="str">
        <f>Weekly_Inspections!$H665</f>
        <v/>
      </c>
      <c r="F665">
        <f>IF(Weekly_Inspections!$AX665&lt;&gt;"",Weekly_Inspections!$AX665,IF(Weekly_Inspections!$AY665&lt;&gt;"",Weekly_Inspections!$AY665,IF(Weekly_Inspections!$AZ665&lt;&gt;"",Weekly_Inspections!$AZ665,IF(Weekly_Inspections!$BA665&lt;&gt;"",Weekly_Inspections!$BA665,IF(Weekly_Inspections!$BB665&lt;&gt;"",Weekly_Inspections!$BB665,Weekly_Inspections!$R665)))))</f>
        <v>0</v>
      </c>
      <c r="G665" t="str">
        <f>IF(OR(Weekly_Inspections!$AQ665&lt;&gt;"",Weekly_Inspections!$AR665&lt;&gt;"",Weekly_Inspections!$AS665&lt;&gt;""),Weekly_Inspections!$AQ665,"")</f>
        <v/>
      </c>
      <c r="H665">
        <f>Weekly_Inspections!$AP665</f>
        <v>0</v>
      </c>
      <c r="I665">
        <f>Weekly_Inspections!$AR665</f>
        <v>0</v>
      </c>
      <c r="J665">
        <f>Weekly_Inspections!$AS665</f>
        <v>0</v>
      </c>
      <c r="K665">
        <f>Weekly_Inspections!$AU665</f>
        <v>0</v>
      </c>
      <c r="L665" s="24">
        <f>Weekly_Inspections!$AV665</f>
        <v>0</v>
      </c>
      <c r="M665" t="str">
        <f t="shared" si="30"/>
        <v>Open</v>
      </c>
      <c r="N665" s="24"/>
      <c r="O665">
        <f t="shared" ca="1" si="31"/>
        <v>46113</v>
      </c>
      <c r="P665" t="str">
        <f t="shared" ca="1" si="32"/>
        <v>YES</v>
      </c>
      <c r="Q665">
        <f>Weekly_Inspections!$AW665</f>
        <v>0</v>
      </c>
    </row>
    <row r="666" spans="1:17" ht="15" customHeight="1" x14ac:dyDescent="0.2">
      <c r="A666" t="str">
        <f>IF(Weekly_Inspections!$B666="","",Weekly_Inspections!$A666&amp;"-A1")</f>
        <v/>
      </c>
      <c r="B666" s="24">
        <f>Weekly_Inspections!$B666</f>
        <v>0</v>
      </c>
      <c r="C666">
        <f>Weekly_Inspections!$E666</f>
        <v>0</v>
      </c>
      <c r="D666">
        <f>Weekly_Inspections!$F666</f>
        <v>0</v>
      </c>
      <c r="E666" t="str">
        <f>Weekly_Inspections!$H666</f>
        <v/>
      </c>
      <c r="F666">
        <f>IF(Weekly_Inspections!$AX666&lt;&gt;"",Weekly_Inspections!$AX666,IF(Weekly_Inspections!$AY666&lt;&gt;"",Weekly_Inspections!$AY666,IF(Weekly_Inspections!$AZ666&lt;&gt;"",Weekly_Inspections!$AZ666,IF(Weekly_Inspections!$BA666&lt;&gt;"",Weekly_Inspections!$BA666,IF(Weekly_Inspections!$BB666&lt;&gt;"",Weekly_Inspections!$BB666,Weekly_Inspections!$R666)))))</f>
        <v>0</v>
      </c>
      <c r="G666" t="str">
        <f>IF(OR(Weekly_Inspections!$AQ666&lt;&gt;"",Weekly_Inspections!$AR666&lt;&gt;"",Weekly_Inspections!$AS666&lt;&gt;""),Weekly_Inspections!$AQ666,"")</f>
        <v/>
      </c>
      <c r="H666">
        <f>Weekly_Inspections!$AP666</f>
        <v>0</v>
      </c>
      <c r="I666">
        <f>Weekly_Inspections!$AR666</f>
        <v>0</v>
      </c>
      <c r="J666">
        <f>Weekly_Inspections!$AS666</f>
        <v>0</v>
      </c>
      <c r="K666">
        <f>Weekly_Inspections!$AU666</f>
        <v>0</v>
      </c>
      <c r="L666" s="24">
        <f>Weekly_Inspections!$AV666</f>
        <v>0</v>
      </c>
      <c r="M666" t="str">
        <f t="shared" si="30"/>
        <v>Open</v>
      </c>
      <c r="N666" s="24"/>
      <c r="O666">
        <f t="shared" ca="1" si="31"/>
        <v>46113</v>
      </c>
      <c r="P666" t="str">
        <f t="shared" ca="1" si="32"/>
        <v>YES</v>
      </c>
      <c r="Q666">
        <f>Weekly_Inspections!$AW666</f>
        <v>0</v>
      </c>
    </row>
    <row r="667" spans="1:17" ht="15" customHeight="1" x14ac:dyDescent="0.2">
      <c r="A667" t="str">
        <f>IF(Weekly_Inspections!$B667="","",Weekly_Inspections!$A667&amp;"-A1")</f>
        <v/>
      </c>
      <c r="B667" s="24">
        <f>Weekly_Inspections!$B667</f>
        <v>0</v>
      </c>
      <c r="C667">
        <f>Weekly_Inspections!$E667</f>
        <v>0</v>
      </c>
      <c r="D667">
        <f>Weekly_Inspections!$F667</f>
        <v>0</v>
      </c>
      <c r="E667" t="str">
        <f>Weekly_Inspections!$H667</f>
        <v/>
      </c>
      <c r="F667">
        <f>IF(Weekly_Inspections!$AX667&lt;&gt;"",Weekly_Inspections!$AX667,IF(Weekly_Inspections!$AY667&lt;&gt;"",Weekly_Inspections!$AY667,IF(Weekly_Inspections!$AZ667&lt;&gt;"",Weekly_Inspections!$AZ667,IF(Weekly_Inspections!$BA667&lt;&gt;"",Weekly_Inspections!$BA667,IF(Weekly_Inspections!$BB667&lt;&gt;"",Weekly_Inspections!$BB667,Weekly_Inspections!$R667)))))</f>
        <v>0</v>
      </c>
      <c r="G667" t="str">
        <f>IF(OR(Weekly_Inspections!$AQ667&lt;&gt;"",Weekly_Inspections!$AR667&lt;&gt;"",Weekly_Inspections!$AS667&lt;&gt;""),Weekly_Inspections!$AQ667,"")</f>
        <v/>
      </c>
      <c r="H667">
        <f>Weekly_Inspections!$AP667</f>
        <v>0</v>
      </c>
      <c r="I667">
        <f>Weekly_Inspections!$AR667</f>
        <v>0</v>
      </c>
      <c r="J667">
        <f>Weekly_Inspections!$AS667</f>
        <v>0</v>
      </c>
      <c r="K667">
        <f>Weekly_Inspections!$AU667</f>
        <v>0</v>
      </c>
      <c r="L667" s="24">
        <f>Weekly_Inspections!$AV667</f>
        <v>0</v>
      </c>
      <c r="M667" t="str">
        <f t="shared" si="30"/>
        <v>Open</v>
      </c>
      <c r="N667" s="24"/>
      <c r="O667">
        <f t="shared" ca="1" si="31"/>
        <v>46113</v>
      </c>
      <c r="P667" t="str">
        <f t="shared" ca="1" si="32"/>
        <v>YES</v>
      </c>
      <c r="Q667">
        <f>Weekly_Inspections!$AW667</f>
        <v>0</v>
      </c>
    </row>
    <row r="668" spans="1:17" ht="15" customHeight="1" x14ac:dyDescent="0.2">
      <c r="A668" t="str">
        <f>IF(Weekly_Inspections!$B668="","",Weekly_Inspections!$A668&amp;"-A1")</f>
        <v/>
      </c>
      <c r="B668" s="24">
        <f>Weekly_Inspections!$B668</f>
        <v>0</v>
      </c>
      <c r="C668">
        <f>Weekly_Inspections!$E668</f>
        <v>0</v>
      </c>
      <c r="D668">
        <f>Weekly_Inspections!$F668</f>
        <v>0</v>
      </c>
      <c r="E668" t="str">
        <f>Weekly_Inspections!$H668</f>
        <v/>
      </c>
      <c r="F668">
        <f>IF(Weekly_Inspections!$AX668&lt;&gt;"",Weekly_Inspections!$AX668,IF(Weekly_Inspections!$AY668&lt;&gt;"",Weekly_Inspections!$AY668,IF(Weekly_Inspections!$AZ668&lt;&gt;"",Weekly_Inspections!$AZ668,IF(Weekly_Inspections!$BA668&lt;&gt;"",Weekly_Inspections!$BA668,IF(Weekly_Inspections!$BB668&lt;&gt;"",Weekly_Inspections!$BB668,Weekly_Inspections!$R668)))))</f>
        <v>0</v>
      </c>
      <c r="G668" t="str">
        <f>IF(OR(Weekly_Inspections!$AQ668&lt;&gt;"",Weekly_Inspections!$AR668&lt;&gt;"",Weekly_Inspections!$AS668&lt;&gt;""),Weekly_Inspections!$AQ668,"")</f>
        <v/>
      </c>
      <c r="H668">
        <f>Weekly_Inspections!$AP668</f>
        <v>0</v>
      </c>
      <c r="I668">
        <f>Weekly_Inspections!$AR668</f>
        <v>0</v>
      </c>
      <c r="J668">
        <f>Weekly_Inspections!$AS668</f>
        <v>0</v>
      </c>
      <c r="K668">
        <f>Weekly_Inspections!$AU668</f>
        <v>0</v>
      </c>
      <c r="L668" s="24">
        <f>Weekly_Inspections!$AV668</f>
        <v>0</v>
      </c>
      <c r="M668" t="str">
        <f t="shared" si="30"/>
        <v>Open</v>
      </c>
      <c r="N668" s="24"/>
      <c r="O668">
        <f t="shared" ca="1" si="31"/>
        <v>46113</v>
      </c>
      <c r="P668" t="str">
        <f t="shared" ca="1" si="32"/>
        <v>YES</v>
      </c>
      <c r="Q668">
        <f>Weekly_Inspections!$AW668</f>
        <v>0</v>
      </c>
    </row>
    <row r="669" spans="1:17" ht="15" customHeight="1" x14ac:dyDescent="0.2">
      <c r="A669" t="str">
        <f>IF(Weekly_Inspections!$B669="","",Weekly_Inspections!$A669&amp;"-A1")</f>
        <v/>
      </c>
      <c r="B669" s="24">
        <f>Weekly_Inspections!$B669</f>
        <v>0</v>
      </c>
      <c r="C669">
        <f>Weekly_Inspections!$E669</f>
        <v>0</v>
      </c>
      <c r="D669">
        <f>Weekly_Inspections!$F669</f>
        <v>0</v>
      </c>
      <c r="E669" t="str">
        <f>Weekly_Inspections!$H669</f>
        <v/>
      </c>
      <c r="F669">
        <f>IF(Weekly_Inspections!$AX669&lt;&gt;"",Weekly_Inspections!$AX669,IF(Weekly_Inspections!$AY669&lt;&gt;"",Weekly_Inspections!$AY669,IF(Weekly_Inspections!$AZ669&lt;&gt;"",Weekly_Inspections!$AZ669,IF(Weekly_Inspections!$BA669&lt;&gt;"",Weekly_Inspections!$BA669,IF(Weekly_Inspections!$BB669&lt;&gt;"",Weekly_Inspections!$BB669,Weekly_Inspections!$R669)))))</f>
        <v>0</v>
      </c>
      <c r="G669" t="str">
        <f>IF(OR(Weekly_Inspections!$AQ669&lt;&gt;"",Weekly_Inspections!$AR669&lt;&gt;"",Weekly_Inspections!$AS669&lt;&gt;""),Weekly_Inspections!$AQ669,"")</f>
        <v/>
      </c>
      <c r="H669">
        <f>Weekly_Inspections!$AP669</f>
        <v>0</v>
      </c>
      <c r="I669">
        <f>Weekly_Inspections!$AR669</f>
        <v>0</v>
      </c>
      <c r="J669">
        <f>Weekly_Inspections!$AS669</f>
        <v>0</v>
      </c>
      <c r="K669">
        <f>Weekly_Inspections!$AU669</f>
        <v>0</v>
      </c>
      <c r="L669" s="24">
        <f>Weekly_Inspections!$AV669</f>
        <v>0</v>
      </c>
      <c r="M669" t="str">
        <f t="shared" si="30"/>
        <v>Open</v>
      </c>
      <c r="N669" s="24"/>
      <c r="O669">
        <f t="shared" ca="1" si="31"/>
        <v>46113</v>
      </c>
      <c r="P669" t="str">
        <f t="shared" ca="1" si="32"/>
        <v>YES</v>
      </c>
      <c r="Q669">
        <f>Weekly_Inspections!$AW669</f>
        <v>0</v>
      </c>
    </row>
    <row r="670" spans="1:17" ht="15" customHeight="1" x14ac:dyDescent="0.2">
      <c r="A670" t="str">
        <f>IF(Weekly_Inspections!$B670="","",Weekly_Inspections!$A670&amp;"-A1")</f>
        <v/>
      </c>
      <c r="B670" s="24">
        <f>Weekly_Inspections!$B670</f>
        <v>0</v>
      </c>
      <c r="C670">
        <f>Weekly_Inspections!$E670</f>
        <v>0</v>
      </c>
      <c r="D670">
        <f>Weekly_Inspections!$F670</f>
        <v>0</v>
      </c>
      <c r="E670" t="str">
        <f>Weekly_Inspections!$H670</f>
        <v/>
      </c>
      <c r="F670">
        <f>IF(Weekly_Inspections!$AX670&lt;&gt;"",Weekly_Inspections!$AX670,IF(Weekly_Inspections!$AY670&lt;&gt;"",Weekly_Inspections!$AY670,IF(Weekly_Inspections!$AZ670&lt;&gt;"",Weekly_Inspections!$AZ670,IF(Weekly_Inspections!$BA670&lt;&gt;"",Weekly_Inspections!$BA670,IF(Weekly_Inspections!$BB670&lt;&gt;"",Weekly_Inspections!$BB670,Weekly_Inspections!$R670)))))</f>
        <v>0</v>
      </c>
      <c r="G670" t="str">
        <f>IF(OR(Weekly_Inspections!$AQ670&lt;&gt;"",Weekly_Inspections!$AR670&lt;&gt;"",Weekly_Inspections!$AS670&lt;&gt;""),Weekly_Inspections!$AQ670,"")</f>
        <v/>
      </c>
      <c r="H670">
        <f>Weekly_Inspections!$AP670</f>
        <v>0</v>
      </c>
      <c r="I670">
        <f>Weekly_Inspections!$AR670</f>
        <v>0</v>
      </c>
      <c r="J670">
        <f>Weekly_Inspections!$AS670</f>
        <v>0</v>
      </c>
      <c r="K670">
        <f>Weekly_Inspections!$AU670</f>
        <v>0</v>
      </c>
      <c r="L670" s="24">
        <f>Weekly_Inspections!$AV670</f>
        <v>0</v>
      </c>
      <c r="M670" t="str">
        <f t="shared" si="30"/>
        <v>Open</v>
      </c>
      <c r="N670" s="24"/>
      <c r="O670">
        <f t="shared" ca="1" si="31"/>
        <v>46113</v>
      </c>
      <c r="P670" t="str">
        <f t="shared" ca="1" si="32"/>
        <v>YES</v>
      </c>
      <c r="Q670">
        <f>Weekly_Inspections!$AW670</f>
        <v>0</v>
      </c>
    </row>
    <row r="671" spans="1:17" ht="15" customHeight="1" x14ac:dyDescent="0.2">
      <c r="A671" t="str">
        <f>IF(Weekly_Inspections!$B671="","",Weekly_Inspections!$A671&amp;"-A1")</f>
        <v/>
      </c>
      <c r="B671" s="24">
        <f>Weekly_Inspections!$B671</f>
        <v>0</v>
      </c>
      <c r="C671">
        <f>Weekly_Inspections!$E671</f>
        <v>0</v>
      </c>
      <c r="D671">
        <f>Weekly_Inspections!$F671</f>
        <v>0</v>
      </c>
      <c r="E671" t="str">
        <f>Weekly_Inspections!$H671</f>
        <v/>
      </c>
      <c r="F671">
        <f>IF(Weekly_Inspections!$AX671&lt;&gt;"",Weekly_Inspections!$AX671,IF(Weekly_Inspections!$AY671&lt;&gt;"",Weekly_Inspections!$AY671,IF(Weekly_Inspections!$AZ671&lt;&gt;"",Weekly_Inspections!$AZ671,IF(Weekly_Inspections!$BA671&lt;&gt;"",Weekly_Inspections!$BA671,IF(Weekly_Inspections!$BB671&lt;&gt;"",Weekly_Inspections!$BB671,Weekly_Inspections!$R671)))))</f>
        <v>0</v>
      </c>
      <c r="G671" t="str">
        <f>IF(OR(Weekly_Inspections!$AQ671&lt;&gt;"",Weekly_Inspections!$AR671&lt;&gt;"",Weekly_Inspections!$AS671&lt;&gt;""),Weekly_Inspections!$AQ671,"")</f>
        <v/>
      </c>
      <c r="H671">
        <f>Weekly_Inspections!$AP671</f>
        <v>0</v>
      </c>
      <c r="I671">
        <f>Weekly_Inspections!$AR671</f>
        <v>0</v>
      </c>
      <c r="J671">
        <f>Weekly_Inspections!$AS671</f>
        <v>0</v>
      </c>
      <c r="K671">
        <f>Weekly_Inspections!$AU671</f>
        <v>0</v>
      </c>
      <c r="L671" s="24">
        <f>Weekly_Inspections!$AV671</f>
        <v>0</v>
      </c>
      <c r="M671" t="str">
        <f t="shared" si="30"/>
        <v>Open</v>
      </c>
      <c r="N671" s="24"/>
      <c r="O671">
        <f t="shared" ca="1" si="31"/>
        <v>46113</v>
      </c>
      <c r="P671" t="str">
        <f t="shared" ca="1" si="32"/>
        <v>YES</v>
      </c>
      <c r="Q671">
        <f>Weekly_Inspections!$AW671</f>
        <v>0</v>
      </c>
    </row>
    <row r="672" spans="1:17" ht="15" customHeight="1" x14ac:dyDescent="0.2">
      <c r="A672" t="str">
        <f>IF(Weekly_Inspections!$B672="","",Weekly_Inspections!$A672&amp;"-A1")</f>
        <v/>
      </c>
      <c r="B672" s="24">
        <f>Weekly_Inspections!$B672</f>
        <v>0</v>
      </c>
      <c r="C672">
        <f>Weekly_Inspections!$E672</f>
        <v>0</v>
      </c>
      <c r="D672">
        <f>Weekly_Inspections!$F672</f>
        <v>0</v>
      </c>
      <c r="E672" t="str">
        <f>Weekly_Inspections!$H672</f>
        <v/>
      </c>
      <c r="F672">
        <f>IF(Weekly_Inspections!$AX672&lt;&gt;"",Weekly_Inspections!$AX672,IF(Weekly_Inspections!$AY672&lt;&gt;"",Weekly_Inspections!$AY672,IF(Weekly_Inspections!$AZ672&lt;&gt;"",Weekly_Inspections!$AZ672,IF(Weekly_Inspections!$BA672&lt;&gt;"",Weekly_Inspections!$BA672,IF(Weekly_Inspections!$BB672&lt;&gt;"",Weekly_Inspections!$BB672,Weekly_Inspections!$R672)))))</f>
        <v>0</v>
      </c>
      <c r="G672" t="str">
        <f>IF(OR(Weekly_Inspections!$AQ672&lt;&gt;"",Weekly_Inspections!$AR672&lt;&gt;"",Weekly_Inspections!$AS672&lt;&gt;""),Weekly_Inspections!$AQ672,"")</f>
        <v/>
      </c>
      <c r="H672">
        <f>Weekly_Inspections!$AP672</f>
        <v>0</v>
      </c>
      <c r="I672">
        <f>Weekly_Inspections!$AR672</f>
        <v>0</v>
      </c>
      <c r="J672">
        <f>Weekly_Inspections!$AS672</f>
        <v>0</v>
      </c>
      <c r="K672">
        <f>Weekly_Inspections!$AU672</f>
        <v>0</v>
      </c>
      <c r="L672" s="24">
        <f>Weekly_Inspections!$AV672</f>
        <v>0</v>
      </c>
      <c r="M672" t="str">
        <f t="shared" si="30"/>
        <v>Open</v>
      </c>
      <c r="N672" s="24"/>
      <c r="O672">
        <f t="shared" ca="1" si="31"/>
        <v>46113</v>
      </c>
      <c r="P672" t="str">
        <f t="shared" ca="1" si="32"/>
        <v>YES</v>
      </c>
      <c r="Q672">
        <f>Weekly_Inspections!$AW672</f>
        <v>0</v>
      </c>
    </row>
    <row r="673" spans="1:17" ht="15" customHeight="1" x14ac:dyDescent="0.2">
      <c r="A673" t="str">
        <f>IF(Weekly_Inspections!$B673="","",Weekly_Inspections!$A673&amp;"-A1")</f>
        <v/>
      </c>
      <c r="B673" s="24">
        <f>Weekly_Inspections!$B673</f>
        <v>0</v>
      </c>
      <c r="C673">
        <f>Weekly_Inspections!$E673</f>
        <v>0</v>
      </c>
      <c r="D673">
        <f>Weekly_Inspections!$F673</f>
        <v>0</v>
      </c>
      <c r="E673" t="str">
        <f>Weekly_Inspections!$H673</f>
        <v/>
      </c>
      <c r="F673">
        <f>IF(Weekly_Inspections!$AX673&lt;&gt;"",Weekly_Inspections!$AX673,IF(Weekly_Inspections!$AY673&lt;&gt;"",Weekly_Inspections!$AY673,IF(Weekly_Inspections!$AZ673&lt;&gt;"",Weekly_Inspections!$AZ673,IF(Weekly_Inspections!$BA673&lt;&gt;"",Weekly_Inspections!$BA673,IF(Weekly_Inspections!$BB673&lt;&gt;"",Weekly_Inspections!$BB673,Weekly_Inspections!$R673)))))</f>
        <v>0</v>
      </c>
      <c r="G673" t="str">
        <f>IF(OR(Weekly_Inspections!$AQ673&lt;&gt;"",Weekly_Inspections!$AR673&lt;&gt;"",Weekly_Inspections!$AS673&lt;&gt;""),Weekly_Inspections!$AQ673,"")</f>
        <v/>
      </c>
      <c r="H673">
        <f>Weekly_Inspections!$AP673</f>
        <v>0</v>
      </c>
      <c r="I673">
        <f>Weekly_Inspections!$AR673</f>
        <v>0</v>
      </c>
      <c r="J673">
        <f>Weekly_Inspections!$AS673</f>
        <v>0</v>
      </c>
      <c r="K673">
        <f>Weekly_Inspections!$AU673</f>
        <v>0</v>
      </c>
      <c r="L673" s="24">
        <f>Weekly_Inspections!$AV673</f>
        <v>0</v>
      </c>
      <c r="M673" t="str">
        <f t="shared" si="30"/>
        <v>Open</v>
      </c>
      <c r="N673" s="24"/>
      <c r="O673">
        <f t="shared" ca="1" si="31"/>
        <v>46113</v>
      </c>
      <c r="P673" t="str">
        <f t="shared" ca="1" si="32"/>
        <v>YES</v>
      </c>
      <c r="Q673">
        <f>Weekly_Inspections!$AW673</f>
        <v>0</v>
      </c>
    </row>
    <row r="674" spans="1:17" ht="15" customHeight="1" x14ac:dyDescent="0.2">
      <c r="A674" t="str">
        <f>IF(Weekly_Inspections!$B674="","",Weekly_Inspections!$A674&amp;"-A1")</f>
        <v/>
      </c>
      <c r="B674" s="24">
        <f>Weekly_Inspections!$B674</f>
        <v>0</v>
      </c>
      <c r="C674">
        <f>Weekly_Inspections!$E674</f>
        <v>0</v>
      </c>
      <c r="D674">
        <f>Weekly_Inspections!$F674</f>
        <v>0</v>
      </c>
      <c r="E674" t="str">
        <f>Weekly_Inspections!$H674</f>
        <v/>
      </c>
      <c r="F674">
        <f>IF(Weekly_Inspections!$AX674&lt;&gt;"",Weekly_Inspections!$AX674,IF(Weekly_Inspections!$AY674&lt;&gt;"",Weekly_Inspections!$AY674,IF(Weekly_Inspections!$AZ674&lt;&gt;"",Weekly_Inspections!$AZ674,IF(Weekly_Inspections!$BA674&lt;&gt;"",Weekly_Inspections!$BA674,IF(Weekly_Inspections!$BB674&lt;&gt;"",Weekly_Inspections!$BB674,Weekly_Inspections!$R674)))))</f>
        <v>0</v>
      </c>
      <c r="G674" t="str">
        <f>IF(OR(Weekly_Inspections!$AQ674&lt;&gt;"",Weekly_Inspections!$AR674&lt;&gt;"",Weekly_Inspections!$AS674&lt;&gt;""),Weekly_Inspections!$AQ674,"")</f>
        <v/>
      </c>
      <c r="H674">
        <f>Weekly_Inspections!$AP674</f>
        <v>0</v>
      </c>
      <c r="I674">
        <f>Weekly_Inspections!$AR674</f>
        <v>0</v>
      </c>
      <c r="J674">
        <f>Weekly_Inspections!$AS674</f>
        <v>0</v>
      </c>
      <c r="K674">
        <f>Weekly_Inspections!$AU674</f>
        <v>0</v>
      </c>
      <c r="L674" s="24">
        <f>Weekly_Inspections!$AV674</f>
        <v>0</v>
      </c>
      <c r="M674" t="str">
        <f t="shared" si="30"/>
        <v>Open</v>
      </c>
      <c r="N674" s="24"/>
      <c r="O674">
        <f t="shared" ca="1" si="31"/>
        <v>46113</v>
      </c>
      <c r="P674" t="str">
        <f t="shared" ca="1" si="32"/>
        <v>YES</v>
      </c>
      <c r="Q674">
        <f>Weekly_Inspections!$AW674</f>
        <v>0</v>
      </c>
    </row>
    <row r="675" spans="1:17" ht="15" customHeight="1" x14ac:dyDescent="0.2">
      <c r="A675" t="str">
        <f>IF(Weekly_Inspections!$B675="","",Weekly_Inspections!$A675&amp;"-A1")</f>
        <v/>
      </c>
      <c r="B675" s="24">
        <f>Weekly_Inspections!$B675</f>
        <v>0</v>
      </c>
      <c r="C675">
        <f>Weekly_Inspections!$E675</f>
        <v>0</v>
      </c>
      <c r="D675">
        <f>Weekly_Inspections!$F675</f>
        <v>0</v>
      </c>
      <c r="E675" t="str">
        <f>Weekly_Inspections!$H675</f>
        <v/>
      </c>
      <c r="F675">
        <f>IF(Weekly_Inspections!$AX675&lt;&gt;"",Weekly_Inspections!$AX675,IF(Weekly_Inspections!$AY675&lt;&gt;"",Weekly_Inspections!$AY675,IF(Weekly_Inspections!$AZ675&lt;&gt;"",Weekly_Inspections!$AZ675,IF(Weekly_Inspections!$BA675&lt;&gt;"",Weekly_Inspections!$BA675,IF(Weekly_Inspections!$BB675&lt;&gt;"",Weekly_Inspections!$BB675,Weekly_Inspections!$R675)))))</f>
        <v>0</v>
      </c>
      <c r="G675" t="str">
        <f>IF(OR(Weekly_Inspections!$AQ675&lt;&gt;"",Weekly_Inspections!$AR675&lt;&gt;"",Weekly_Inspections!$AS675&lt;&gt;""),Weekly_Inspections!$AQ675,"")</f>
        <v/>
      </c>
      <c r="H675">
        <f>Weekly_Inspections!$AP675</f>
        <v>0</v>
      </c>
      <c r="I675">
        <f>Weekly_Inspections!$AR675</f>
        <v>0</v>
      </c>
      <c r="J675">
        <f>Weekly_Inspections!$AS675</f>
        <v>0</v>
      </c>
      <c r="K675">
        <f>Weekly_Inspections!$AU675</f>
        <v>0</v>
      </c>
      <c r="L675" s="24">
        <f>Weekly_Inspections!$AV675</f>
        <v>0</v>
      </c>
      <c r="M675" t="str">
        <f t="shared" si="30"/>
        <v>Open</v>
      </c>
      <c r="N675" s="24"/>
      <c r="O675">
        <f t="shared" ca="1" si="31"/>
        <v>46113</v>
      </c>
      <c r="P675" t="str">
        <f t="shared" ca="1" si="32"/>
        <v>YES</v>
      </c>
      <c r="Q675">
        <f>Weekly_Inspections!$AW675</f>
        <v>0</v>
      </c>
    </row>
    <row r="676" spans="1:17" ht="15" customHeight="1" x14ac:dyDescent="0.2">
      <c r="A676" t="str">
        <f>IF(Weekly_Inspections!$B676="","",Weekly_Inspections!$A676&amp;"-A1")</f>
        <v/>
      </c>
      <c r="B676" s="24">
        <f>Weekly_Inspections!$B676</f>
        <v>0</v>
      </c>
      <c r="C676">
        <f>Weekly_Inspections!$E676</f>
        <v>0</v>
      </c>
      <c r="D676">
        <f>Weekly_Inspections!$F676</f>
        <v>0</v>
      </c>
      <c r="E676" t="str">
        <f>Weekly_Inspections!$H676</f>
        <v/>
      </c>
      <c r="F676">
        <f>IF(Weekly_Inspections!$AX676&lt;&gt;"",Weekly_Inspections!$AX676,IF(Weekly_Inspections!$AY676&lt;&gt;"",Weekly_Inspections!$AY676,IF(Weekly_Inspections!$AZ676&lt;&gt;"",Weekly_Inspections!$AZ676,IF(Weekly_Inspections!$BA676&lt;&gt;"",Weekly_Inspections!$BA676,IF(Weekly_Inspections!$BB676&lt;&gt;"",Weekly_Inspections!$BB676,Weekly_Inspections!$R676)))))</f>
        <v>0</v>
      </c>
      <c r="G676" t="str">
        <f>IF(OR(Weekly_Inspections!$AQ676&lt;&gt;"",Weekly_Inspections!$AR676&lt;&gt;"",Weekly_Inspections!$AS676&lt;&gt;""),Weekly_Inspections!$AQ676,"")</f>
        <v/>
      </c>
      <c r="H676">
        <f>Weekly_Inspections!$AP676</f>
        <v>0</v>
      </c>
      <c r="I676">
        <f>Weekly_Inspections!$AR676</f>
        <v>0</v>
      </c>
      <c r="J676">
        <f>Weekly_Inspections!$AS676</f>
        <v>0</v>
      </c>
      <c r="K676">
        <f>Weekly_Inspections!$AU676</f>
        <v>0</v>
      </c>
      <c r="L676" s="24">
        <f>Weekly_Inspections!$AV676</f>
        <v>0</v>
      </c>
      <c r="M676" t="str">
        <f t="shared" si="30"/>
        <v>Open</v>
      </c>
      <c r="N676" s="24"/>
      <c r="O676">
        <f t="shared" ca="1" si="31"/>
        <v>46113</v>
      </c>
      <c r="P676" t="str">
        <f t="shared" ca="1" si="32"/>
        <v>YES</v>
      </c>
      <c r="Q676">
        <f>Weekly_Inspections!$AW676</f>
        <v>0</v>
      </c>
    </row>
    <row r="677" spans="1:17" ht="15" customHeight="1" x14ac:dyDescent="0.2">
      <c r="A677" t="str">
        <f>IF(Weekly_Inspections!$B677="","",Weekly_Inspections!$A677&amp;"-A1")</f>
        <v/>
      </c>
      <c r="B677" s="24">
        <f>Weekly_Inspections!$B677</f>
        <v>0</v>
      </c>
      <c r="C677">
        <f>Weekly_Inspections!$E677</f>
        <v>0</v>
      </c>
      <c r="D677">
        <f>Weekly_Inspections!$F677</f>
        <v>0</v>
      </c>
      <c r="E677" t="str">
        <f>Weekly_Inspections!$H677</f>
        <v/>
      </c>
      <c r="F677">
        <f>IF(Weekly_Inspections!$AX677&lt;&gt;"",Weekly_Inspections!$AX677,IF(Weekly_Inspections!$AY677&lt;&gt;"",Weekly_Inspections!$AY677,IF(Weekly_Inspections!$AZ677&lt;&gt;"",Weekly_Inspections!$AZ677,IF(Weekly_Inspections!$BA677&lt;&gt;"",Weekly_Inspections!$BA677,IF(Weekly_Inspections!$BB677&lt;&gt;"",Weekly_Inspections!$BB677,Weekly_Inspections!$R677)))))</f>
        <v>0</v>
      </c>
      <c r="G677" t="str">
        <f>IF(OR(Weekly_Inspections!$AQ677&lt;&gt;"",Weekly_Inspections!$AR677&lt;&gt;"",Weekly_Inspections!$AS677&lt;&gt;""),Weekly_Inspections!$AQ677,"")</f>
        <v/>
      </c>
      <c r="H677">
        <f>Weekly_Inspections!$AP677</f>
        <v>0</v>
      </c>
      <c r="I677">
        <f>Weekly_Inspections!$AR677</f>
        <v>0</v>
      </c>
      <c r="J677">
        <f>Weekly_Inspections!$AS677</f>
        <v>0</v>
      </c>
      <c r="K677">
        <f>Weekly_Inspections!$AU677</f>
        <v>0</v>
      </c>
      <c r="L677" s="24">
        <f>Weekly_Inspections!$AV677</f>
        <v>0</v>
      </c>
      <c r="M677" t="str">
        <f t="shared" si="30"/>
        <v>Open</v>
      </c>
      <c r="N677" s="24"/>
      <c r="O677">
        <f t="shared" ca="1" si="31"/>
        <v>46113</v>
      </c>
      <c r="P677" t="str">
        <f t="shared" ca="1" si="32"/>
        <v>YES</v>
      </c>
      <c r="Q677">
        <f>Weekly_Inspections!$AW677</f>
        <v>0</v>
      </c>
    </row>
    <row r="678" spans="1:17" ht="15" customHeight="1" x14ac:dyDescent="0.2">
      <c r="A678" t="str">
        <f>IF(Weekly_Inspections!$B678="","",Weekly_Inspections!$A678&amp;"-A1")</f>
        <v/>
      </c>
      <c r="B678" s="24">
        <f>Weekly_Inspections!$B678</f>
        <v>0</v>
      </c>
      <c r="C678">
        <f>Weekly_Inspections!$E678</f>
        <v>0</v>
      </c>
      <c r="D678">
        <f>Weekly_Inspections!$F678</f>
        <v>0</v>
      </c>
      <c r="E678" t="str">
        <f>Weekly_Inspections!$H678</f>
        <v/>
      </c>
      <c r="F678">
        <f>IF(Weekly_Inspections!$AX678&lt;&gt;"",Weekly_Inspections!$AX678,IF(Weekly_Inspections!$AY678&lt;&gt;"",Weekly_Inspections!$AY678,IF(Weekly_Inspections!$AZ678&lt;&gt;"",Weekly_Inspections!$AZ678,IF(Weekly_Inspections!$BA678&lt;&gt;"",Weekly_Inspections!$BA678,IF(Weekly_Inspections!$BB678&lt;&gt;"",Weekly_Inspections!$BB678,Weekly_Inspections!$R678)))))</f>
        <v>0</v>
      </c>
      <c r="G678" t="str">
        <f>IF(OR(Weekly_Inspections!$AQ678&lt;&gt;"",Weekly_Inspections!$AR678&lt;&gt;"",Weekly_Inspections!$AS678&lt;&gt;""),Weekly_Inspections!$AQ678,"")</f>
        <v/>
      </c>
      <c r="H678">
        <f>Weekly_Inspections!$AP678</f>
        <v>0</v>
      </c>
      <c r="I678">
        <f>Weekly_Inspections!$AR678</f>
        <v>0</v>
      </c>
      <c r="J678">
        <f>Weekly_Inspections!$AS678</f>
        <v>0</v>
      </c>
      <c r="K678">
        <f>Weekly_Inspections!$AU678</f>
        <v>0</v>
      </c>
      <c r="L678" s="24">
        <f>Weekly_Inspections!$AV678</f>
        <v>0</v>
      </c>
      <c r="M678" t="str">
        <f t="shared" si="30"/>
        <v>Open</v>
      </c>
      <c r="N678" s="24"/>
      <c r="O678">
        <f t="shared" ca="1" si="31"/>
        <v>46113</v>
      </c>
      <c r="P678" t="str">
        <f t="shared" ca="1" si="32"/>
        <v>YES</v>
      </c>
      <c r="Q678">
        <f>Weekly_Inspections!$AW678</f>
        <v>0</v>
      </c>
    </row>
    <row r="679" spans="1:17" ht="15" customHeight="1" x14ac:dyDescent="0.2">
      <c r="A679" t="str">
        <f>IF(Weekly_Inspections!$B679="","",Weekly_Inspections!$A679&amp;"-A1")</f>
        <v/>
      </c>
      <c r="B679" s="24">
        <f>Weekly_Inspections!$B679</f>
        <v>0</v>
      </c>
      <c r="C679">
        <f>Weekly_Inspections!$E679</f>
        <v>0</v>
      </c>
      <c r="D679">
        <f>Weekly_Inspections!$F679</f>
        <v>0</v>
      </c>
      <c r="E679" t="str">
        <f>Weekly_Inspections!$H679</f>
        <v/>
      </c>
      <c r="F679">
        <f>IF(Weekly_Inspections!$AX679&lt;&gt;"",Weekly_Inspections!$AX679,IF(Weekly_Inspections!$AY679&lt;&gt;"",Weekly_Inspections!$AY679,IF(Weekly_Inspections!$AZ679&lt;&gt;"",Weekly_Inspections!$AZ679,IF(Weekly_Inspections!$BA679&lt;&gt;"",Weekly_Inspections!$BA679,IF(Weekly_Inspections!$BB679&lt;&gt;"",Weekly_Inspections!$BB679,Weekly_Inspections!$R679)))))</f>
        <v>0</v>
      </c>
      <c r="G679" t="str">
        <f>IF(OR(Weekly_Inspections!$AQ679&lt;&gt;"",Weekly_Inspections!$AR679&lt;&gt;"",Weekly_Inspections!$AS679&lt;&gt;""),Weekly_Inspections!$AQ679,"")</f>
        <v/>
      </c>
      <c r="H679">
        <f>Weekly_Inspections!$AP679</f>
        <v>0</v>
      </c>
      <c r="I679">
        <f>Weekly_Inspections!$AR679</f>
        <v>0</v>
      </c>
      <c r="J679">
        <f>Weekly_Inspections!$AS679</f>
        <v>0</v>
      </c>
      <c r="K679">
        <f>Weekly_Inspections!$AU679</f>
        <v>0</v>
      </c>
      <c r="L679" s="24">
        <f>Weekly_Inspections!$AV679</f>
        <v>0</v>
      </c>
      <c r="M679" t="str">
        <f t="shared" si="30"/>
        <v>Open</v>
      </c>
      <c r="N679" s="24"/>
      <c r="O679">
        <f t="shared" ca="1" si="31"/>
        <v>46113</v>
      </c>
      <c r="P679" t="str">
        <f t="shared" ca="1" si="32"/>
        <v>YES</v>
      </c>
      <c r="Q679">
        <f>Weekly_Inspections!$AW679</f>
        <v>0</v>
      </c>
    </row>
    <row r="680" spans="1:17" ht="15" customHeight="1" x14ac:dyDescent="0.2">
      <c r="A680" t="str">
        <f>IF(Weekly_Inspections!$B680="","",Weekly_Inspections!$A680&amp;"-A1")</f>
        <v/>
      </c>
      <c r="B680" s="24">
        <f>Weekly_Inspections!$B680</f>
        <v>0</v>
      </c>
      <c r="C680">
        <f>Weekly_Inspections!$E680</f>
        <v>0</v>
      </c>
      <c r="D680">
        <f>Weekly_Inspections!$F680</f>
        <v>0</v>
      </c>
      <c r="E680" t="str">
        <f>Weekly_Inspections!$H680</f>
        <v/>
      </c>
      <c r="F680">
        <f>IF(Weekly_Inspections!$AX680&lt;&gt;"",Weekly_Inspections!$AX680,IF(Weekly_Inspections!$AY680&lt;&gt;"",Weekly_Inspections!$AY680,IF(Weekly_Inspections!$AZ680&lt;&gt;"",Weekly_Inspections!$AZ680,IF(Weekly_Inspections!$BA680&lt;&gt;"",Weekly_Inspections!$BA680,IF(Weekly_Inspections!$BB680&lt;&gt;"",Weekly_Inspections!$BB680,Weekly_Inspections!$R680)))))</f>
        <v>0</v>
      </c>
      <c r="G680" t="str">
        <f>IF(OR(Weekly_Inspections!$AQ680&lt;&gt;"",Weekly_Inspections!$AR680&lt;&gt;"",Weekly_Inspections!$AS680&lt;&gt;""),Weekly_Inspections!$AQ680,"")</f>
        <v/>
      </c>
      <c r="H680">
        <f>Weekly_Inspections!$AP680</f>
        <v>0</v>
      </c>
      <c r="I680">
        <f>Weekly_Inspections!$AR680</f>
        <v>0</v>
      </c>
      <c r="J680">
        <f>Weekly_Inspections!$AS680</f>
        <v>0</v>
      </c>
      <c r="K680">
        <f>Weekly_Inspections!$AU680</f>
        <v>0</v>
      </c>
      <c r="L680" s="24">
        <f>Weekly_Inspections!$AV680</f>
        <v>0</v>
      </c>
      <c r="M680" t="str">
        <f t="shared" si="30"/>
        <v>Open</v>
      </c>
      <c r="N680" s="24"/>
      <c r="O680">
        <f t="shared" ca="1" si="31"/>
        <v>46113</v>
      </c>
      <c r="P680" t="str">
        <f t="shared" ca="1" si="32"/>
        <v>YES</v>
      </c>
      <c r="Q680">
        <f>Weekly_Inspections!$AW680</f>
        <v>0</v>
      </c>
    </row>
    <row r="681" spans="1:17" ht="15" customHeight="1" x14ac:dyDescent="0.2">
      <c r="A681" t="str">
        <f>IF(Weekly_Inspections!$B681="","",Weekly_Inspections!$A681&amp;"-A1")</f>
        <v/>
      </c>
      <c r="B681" s="24">
        <f>Weekly_Inspections!$B681</f>
        <v>0</v>
      </c>
      <c r="C681">
        <f>Weekly_Inspections!$E681</f>
        <v>0</v>
      </c>
      <c r="D681">
        <f>Weekly_Inspections!$F681</f>
        <v>0</v>
      </c>
      <c r="E681" t="str">
        <f>Weekly_Inspections!$H681</f>
        <v/>
      </c>
      <c r="F681">
        <f>IF(Weekly_Inspections!$AX681&lt;&gt;"",Weekly_Inspections!$AX681,IF(Weekly_Inspections!$AY681&lt;&gt;"",Weekly_Inspections!$AY681,IF(Weekly_Inspections!$AZ681&lt;&gt;"",Weekly_Inspections!$AZ681,IF(Weekly_Inspections!$BA681&lt;&gt;"",Weekly_Inspections!$BA681,IF(Weekly_Inspections!$BB681&lt;&gt;"",Weekly_Inspections!$BB681,Weekly_Inspections!$R681)))))</f>
        <v>0</v>
      </c>
      <c r="G681" t="str">
        <f>IF(OR(Weekly_Inspections!$AQ681&lt;&gt;"",Weekly_Inspections!$AR681&lt;&gt;"",Weekly_Inspections!$AS681&lt;&gt;""),Weekly_Inspections!$AQ681,"")</f>
        <v/>
      </c>
      <c r="H681">
        <f>Weekly_Inspections!$AP681</f>
        <v>0</v>
      </c>
      <c r="I681">
        <f>Weekly_Inspections!$AR681</f>
        <v>0</v>
      </c>
      <c r="J681">
        <f>Weekly_Inspections!$AS681</f>
        <v>0</v>
      </c>
      <c r="K681">
        <f>Weekly_Inspections!$AU681</f>
        <v>0</v>
      </c>
      <c r="L681" s="24">
        <f>Weekly_Inspections!$AV681</f>
        <v>0</v>
      </c>
      <c r="M681" t="str">
        <f t="shared" si="30"/>
        <v>Open</v>
      </c>
      <c r="N681" s="24"/>
      <c r="O681">
        <f t="shared" ca="1" si="31"/>
        <v>46113</v>
      </c>
      <c r="P681" t="str">
        <f t="shared" ca="1" si="32"/>
        <v>YES</v>
      </c>
      <c r="Q681">
        <f>Weekly_Inspections!$AW681</f>
        <v>0</v>
      </c>
    </row>
    <row r="682" spans="1:17" ht="15" customHeight="1" x14ac:dyDescent="0.2">
      <c r="A682" t="str">
        <f>IF(Weekly_Inspections!$B682="","",Weekly_Inspections!$A682&amp;"-A1")</f>
        <v/>
      </c>
      <c r="B682" s="24">
        <f>Weekly_Inspections!$B682</f>
        <v>0</v>
      </c>
      <c r="C682">
        <f>Weekly_Inspections!$E682</f>
        <v>0</v>
      </c>
      <c r="D682">
        <f>Weekly_Inspections!$F682</f>
        <v>0</v>
      </c>
      <c r="E682" t="str">
        <f>Weekly_Inspections!$H682</f>
        <v/>
      </c>
      <c r="F682">
        <f>IF(Weekly_Inspections!$AX682&lt;&gt;"",Weekly_Inspections!$AX682,IF(Weekly_Inspections!$AY682&lt;&gt;"",Weekly_Inspections!$AY682,IF(Weekly_Inspections!$AZ682&lt;&gt;"",Weekly_Inspections!$AZ682,IF(Weekly_Inspections!$BA682&lt;&gt;"",Weekly_Inspections!$BA682,IF(Weekly_Inspections!$BB682&lt;&gt;"",Weekly_Inspections!$BB682,Weekly_Inspections!$R682)))))</f>
        <v>0</v>
      </c>
      <c r="G682" t="str">
        <f>IF(OR(Weekly_Inspections!$AQ682&lt;&gt;"",Weekly_Inspections!$AR682&lt;&gt;"",Weekly_Inspections!$AS682&lt;&gt;""),Weekly_Inspections!$AQ682,"")</f>
        <v/>
      </c>
      <c r="H682">
        <f>Weekly_Inspections!$AP682</f>
        <v>0</v>
      </c>
      <c r="I682">
        <f>Weekly_Inspections!$AR682</f>
        <v>0</v>
      </c>
      <c r="J682">
        <f>Weekly_Inspections!$AS682</f>
        <v>0</v>
      </c>
      <c r="K682">
        <f>Weekly_Inspections!$AU682</f>
        <v>0</v>
      </c>
      <c r="L682" s="24">
        <f>Weekly_Inspections!$AV682</f>
        <v>0</v>
      </c>
      <c r="M682" t="str">
        <f t="shared" si="30"/>
        <v>Open</v>
      </c>
      <c r="N682" s="24"/>
      <c r="O682">
        <f t="shared" ca="1" si="31"/>
        <v>46113</v>
      </c>
      <c r="P682" t="str">
        <f t="shared" ca="1" si="32"/>
        <v>YES</v>
      </c>
      <c r="Q682">
        <f>Weekly_Inspections!$AW682</f>
        <v>0</v>
      </c>
    </row>
    <row r="683" spans="1:17" ht="15" customHeight="1" x14ac:dyDescent="0.2">
      <c r="A683" t="str">
        <f>IF(Weekly_Inspections!$B683="","",Weekly_Inspections!$A683&amp;"-A1")</f>
        <v/>
      </c>
      <c r="B683" s="24">
        <f>Weekly_Inspections!$B683</f>
        <v>0</v>
      </c>
      <c r="C683">
        <f>Weekly_Inspections!$E683</f>
        <v>0</v>
      </c>
      <c r="D683">
        <f>Weekly_Inspections!$F683</f>
        <v>0</v>
      </c>
      <c r="E683" t="str">
        <f>Weekly_Inspections!$H683</f>
        <v/>
      </c>
      <c r="F683">
        <f>IF(Weekly_Inspections!$AX683&lt;&gt;"",Weekly_Inspections!$AX683,IF(Weekly_Inspections!$AY683&lt;&gt;"",Weekly_Inspections!$AY683,IF(Weekly_Inspections!$AZ683&lt;&gt;"",Weekly_Inspections!$AZ683,IF(Weekly_Inspections!$BA683&lt;&gt;"",Weekly_Inspections!$BA683,IF(Weekly_Inspections!$BB683&lt;&gt;"",Weekly_Inspections!$BB683,Weekly_Inspections!$R683)))))</f>
        <v>0</v>
      </c>
      <c r="G683" t="str">
        <f>IF(OR(Weekly_Inspections!$AQ683&lt;&gt;"",Weekly_Inspections!$AR683&lt;&gt;"",Weekly_Inspections!$AS683&lt;&gt;""),Weekly_Inspections!$AQ683,"")</f>
        <v/>
      </c>
      <c r="H683">
        <f>Weekly_Inspections!$AP683</f>
        <v>0</v>
      </c>
      <c r="I683">
        <f>Weekly_Inspections!$AR683</f>
        <v>0</v>
      </c>
      <c r="J683">
        <f>Weekly_Inspections!$AS683</f>
        <v>0</v>
      </c>
      <c r="K683">
        <f>Weekly_Inspections!$AU683</f>
        <v>0</v>
      </c>
      <c r="L683" s="24">
        <f>Weekly_Inspections!$AV683</f>
        <v>0</v>
      </c>
      <c r="M683" t="str">
        <f t="shared" si="30"/>
        <v>Open</v>
      </c>
      <c r="N683" s="24"/>
      <c r="O683">
        <f t="shared" ca="1" si="31"/>
        <v>46113</v>
      </c>
      <c r="P683" t="str">
        <f t="shared" ca="1" si="32"/>
        <v>YES</v>
      </c>
      <c r="Q683">
        <f>Weekly_Inspections!$AW683</f>
        <v>0</v>
      </c>
    </row>
    <row r="684" spans="1:17" ht="15" customHeight="1" x14ac:dyDescent="0.2">
      <c r="A684" t="str">
        <f>IF(Weekly_Inspections!$B684="","",Weekly_Inspections!$A684&amp;"-A1")</f>
        <v/>
      </c>
      <c r="B684" s="24">
        <f>Weekly_Inspections!$B684</f>
        <v>0</v>
      </c>
      <c r="C684">
        <f>Weekly_Inspections!$E684</f>
        <v>0</v>
      </c>
      <c r="D684">
        <f>Weekly_Inspections!$F684</f>
        <v>0</v>
      </c>
      <c r="E684" t="str">
        <f>Weekly_Inspections!$H684</f>
        <v/>
      </c>
      <c r="F684">
        <f>IF(Weekly_Inspections!$AX684&lt;&gt;"",Weekly_Inspections!$AX684,IF(Weekly_Inspections!$AY684&lt;&gt;"",Weekly_Inspections!$AY684,IF(Weekly_Inspections!$AZ684&lt;&gt;"",Weekly_Inspections!$AZ684,IF(Weekly_Inspections!$BA684&lt;&gt;"",Weekly_Inspections!$BA684,IF(Weekly_Inspections!$BB684&lt;&gt;"",Weekly_Inspections!$BB684,Weekly_Inspections!$R684)))))</f>
        <v>0</v>
      </c>
      <c r="G684" t="str">
        <f>IF(OR(Weekly_Inspections!$AQ684&lt;&gt;"",Weekly_Inspections!$AR684&lt;&gt;"",Weekly_Inspections!$AS684&lt;&gt;""),Weekly_Inspections!$AQ684,"")</f>
        <v/>
      </c>
      <c r="H684">
        <f>Weekly_Inspections!$AP684</f>
        <v>0</v>
      </c>
      <c r="I684">
        <f>Weekly_Inspections!$AR684</f>
        <v>0</v>
      </c>
      <c r="J684">
        <f>Weekly_Inspections!$AS684</f>
        <v>0</v>
      </c>
      <c r="K684">
        <f>Weekly_Inspections!$AU684</f>
        <v>0</v>
      </c>
      <c r="L684" s="24">
        <f>Weekly_Inspections!$AV684</f>
        <v>0</v>
      </c>
      <c r="M684" t="str">
        <f t="shared" si="30"/>
        <v>Open</v>
      </c>
      <c r="N684" s="24"/>
      <c r="O684">
        <f t="shared" ca="1" si="31"/>
        <v>46113</v>
      </c>
      <c r="P684" t="str">
        <f t="shared" ca="1" si="32"/>
        <v>YES</v>
      </c>
      <c r="Q684">
        <f>Weekly_Inspections!$AW684</f>
        <v>0</v>
      </c>
    </row>
    <row r="685" spans="1:17" ht="15" customHeight="1" x14ac:dyDescent="0.2">
      <c r="A685" t="str">
        <f>IF(Weekly_Inspections!$B685="","",Weekly_Inspections!$A685&amp;"-A1")</f>
        <v/>
      </c>
      <c r="B685" s="24">
        <f>Weekly_Inspections!$B685</f>
        <v>0</v>
      </c>
      <c r="C685">
        <f>Weekly_Inspections!$E685</f>
        <v>0</v>
      </c>
      <c r="D685">
        <f>Weekly_Inspections!$F685</f>
        <v>0</v>
      </c>
      <c r="E685" t="str">
        <f>Weekly_Inspections!$H685</f>
        <v/>
      </c>
      <c r="F685">
        <f>IF(Weekly_Inspections!$AX685&lt;&gt;"",Weekly_Inspections!$AX685,IF(Weekly_Inspections!$AY685&lt;&gt;"",Weekly_Inspections!$AY685,IF(Weekly_Inspections!$AZ685&lt;&gt;"",Weekly_Inspections!$AZ685,IF(Weekly_Inspections!$BA685&lt;&gt;"",Weekly_Inspections!$BA685,IF(Weekly_Inspections!$BB685&lt;&gt;"",Weekly_Inspections!$BB685,Weekly_Inspections!$R685)))))</f>
        <v>0</v>
      </c>
      <c r="G685" t="str">
        <f>IF(OR(Weekly_Inspections!$AQ685&lt;&gt;"",Weekly_Inspections!$AR685&lt;&gt;"",Weekly_Inspections!$AS685&lt;&gt;""),Weekly_Inspections!$AQ685,"")</f>
        <v/>
      </c>
      <c r="H685">
        <f>Weekly_Inspections!$AP685</f>
        <v>0</v>
      </c>
      <c r="I685">
        <f>Weekly_Inspections!$AR685</f>
        <v>0</v>
      </c>
      <c r="J685">
        <f>Weekly_Inspections!$AS685</f>
        <v>0</v>
      </c>
      <c r="K685">
        <f>Weekly_Inspections!$AU685</f>
        <v>0</v>
      </c>
      <c r="L685" s="24">
        <f>Weekly_Inspections!$AV685</f>
        <v>0</v>
      </c>
      <c r="M685" t="str">
        <f t="shared" si="30"/>
        <v>Open</v>
      </c>
      <c r="N685" s="24"/>
      <c r="O685">
        <f t="shared" ca="1" si="31"/>
        <v>46113</v>
      </c>
      <c r="P685" t="str">
        <f t="shared" ca="1" si="32"/>
        <v>YES</v>
      </c>
      <c r="Q685">
        <f>Weekly_Inspections!$AW685</f>
        <v>0</v>
      </c>
    </row>
    <row r="686" spans="1:17" ht="15" customHeight="1" x14ac:dyDescent="0.2">
      <c r="A686" t="str">
        <f>IF(Weekly_Inspections!$B686="","",Weekly_Inspections!$A686&amp;"-A1")</f>
        <v/>
      </c>
      <c r="B686" s="24">
        <f>Weekly_Inspections!$B686</f>
        <v>0</v>
      </c>
      <c r="C686">
        <f>Weekly_Inspections!$E686</f>
        <v>0</v>
      </c>
      <c r="D686">
        <f>Weekly_Inspections!$F686</f>
        <v>0</v>
      </c>
      <c r="E686" t="str">
        <f>Weekly_Inspections!$H686</f>
        <v/>
      </c>
      <c r="F686">
        <f>IF(Weekly_Inspections!$AX686&lt;&gt;"",Weekly_Inspections!$AX686,IF(Weekly_Inspections!$AY686&lt;&gt;"",Weekly_Inspections!$AY686,IF(Weekly_Inspections!$AZ686&lt;&gt;"",Weekly_Inspections!$AZ686,IF(Weekly_Inspections!$BA686&lt;&gt;"",Weekly_Inspections!$BA686,IF(Weekly_Inspections!$BB686&lt;&gt;"",Weekly_Inspections!$BB686,Weekly_Inspections!$R686)))))</f>
        <v>0</v>
      </c>
      <c r="G686" t="str">
        <f>IF(OR(Weekly_Inspections!$AQ686&lt;&gt;"",Weekly_Inspections!$AR686&lt;&gt;"",Weekly_Inspections!$AS686&lt;&gt;""),Weekly_Inspections!$AQ686,"")</f>
        <v/>
      </c>
      <c r="H686">
        <f>Weekly_Inspections!$AP686</f>
        <v>0</v>
      </c>
      <c r="I686">
        <f>Weekly_Inspections!$AR686</f>
        <v>0</v>
      </c>
      <c r="J686">
        <f>Weekly_Inspections!$AS686</f>
        <v>0</v>
      </c>
      <c r="K686">
        <f>Weekly_Inspections!$AU686</f>
        <v>0</v>
      </c>
      <c r="L686" s="24">
        <f>Weekly_Inspections!$AV686</f>
        <v>0</v>
      </c>
      <c r="M686" t="str">
        <f t="shared" si="30"/>
        <v>Open</v>
      </c>
      <c r="N686" s="24"/>
      <c r="O686">
        <f t="shared" ca="1" si="31"/>
        <v>46113</v>
      </c>
      <c r="P686" t="str">
        <f t="shared" ca="1" si="32"/>
        <v>YES</v>
      </c>
      <c r="Q686">
        <f>Weekly_Inspections!$AW686</f>
        <v>0</v>
      </c>
    </row>
    <row r="687" spans="1:17" ht="15" customHeight="1" x14ac:dyDescent="0.2">
      <c r="A687" t="str">
        <f>IF(Weekly_Inspections!$B687="","",Weekly_Inspections!$A687&amp;"-A1")</f>
        <v/>
      </c>
      <c r="B687" s="24">
        <f>Weekly_Inspections!$B687</f>
        <v>0</v>
      </c>
      <c r="C687">
        <f>Weekly_Inspections!$E687</f>
        <v>0</v>
      </c>
      <c r="D687">
        <f>Weekly_Inspections!$F687</f>
        <v>0</v>
      </c>
      <c r="E687" t="str">
        <f>Weekly_Inspections!$H687</f>
        <v/>
      </c>
      <c r="F687">
        <f>IF(Weekly_Inspections!$AX687&lt;&gt;"",Weekly_Inspections!$AX687,IF(Weekly_Inspections!$AY687&lt;&gt;"",Weekly_Inspections!$AY687,IF(Weekly_Inspections!$AZ687&lt;&gt;"",Weekly_Inspections!$AZ687,IF(Weekly_Inspections!$BA687&lt;&gt;"",Weekly_Inspections!$BA687,IF(Weekly_Inspections!$BB687&lt;&gt;"",Weekly_Inspections!$BB687,Weekly_Inspections!$R687)))))</f>
        <v>0</v>
      </c>
      <c r="G687" t="str">
        <f>IF(OR(Weekly_Inspections!$AQ687&lt;&gt;"",Weekly_Inspections!$AR687&lt;&gt;"",Weekly_Inspections!$AS687&lt;&gt;""),Weekly_Inspections!$AQ687,"")</f>
        <v/>
      </c>
      <c r="H687">
        <f>Weekly_Inspections!$AP687</f>
        <v>0</v>
      </c>
      <c r="I687">
        <f>Weekly_Inspections!$AR687</f>
        <v>0</v>
      </c>
      <c r="J687">
        <f>Weekly_Inspections!$AS687</f>
        <v>0</v>
      </c>
      <c r="K687">
        <f>Weekly_Inspections!$AU687</f>
        <v>0</v>
      </c>
      <c r="L687" s="24">
        <f>Weekly_Inspections!$AV687</f>
        <v>0</v>
      </c>
      <c r="M687" t="str">
        <f t="shared" si="30"/>
        <v>Open</v>
      </c>
      <c r="N687" s="24"/>
      <c r="O687">
        <f t="shared" ca="1" si="31"/>
        <v>46113</v>
      </c>
      <c r="P687" t="str">
        <f t="shared" ca="1" si="32"/>
        <v>YES</v>
      </c>
      <c r="Q687">
        <f>Weekly_Inspections!$AW687</f>
        <v>0</v>
      </c>
    </row>
    <row r="688" spans="1:17" ht="15" customHeight="1" x14ac:dyDescent="0.2">
      <c r="A688" t="str">
        <f>IF(Weekly_Inspections!$B688="","",Weekly_Inspections!$A688&amp;"-A1")</f>
        <v/>
      </c>
      <c r="B688" s="24">
        <f>Weekly_Inspections!$B688</f>
        <v>0</v>
      </c>
      <c r="C688">
        <f>Weekly_Inspections!$E688</f>
        <v>0</v>
      </c>
      <c r="D688">
        <f>Weekly_Inspections!$F688</f>
        <v>0</v>
      </c>
      <c r="E688" t="str">
        <f>Weekly_Inspections!$H688</f>
        <v/>
      </c>
      <c r="F688">
        <f>IF(Weekly_Inspections!$AX688&lt;&gt;"",Weekly_Inspections!$AX688,IF(Weekly_Inspections!$AY688&lt;&gt;"",Weekly_Inspections!$AY688,IF(Weekly_Inspections!$AZ688&lt;&gt;"",Weekly_Inspections!$AZ688,IF(Weekly_Inspections!$BA688&lt;&gt;"",Weekly_Inspections!$BA688,IF(Weekly_Inspections!$BB688&lt;&gt;"",Weekly_Inspections!$BB688,Weekly_Inspections!$R688)))))</f>
        <v>0</v>
      </c>
      <c r="G688" t="str">
        <f>IF(OR(Weekly_Inspections!$AQ688&lt;&gt;"",Weekly_Inspections!$AR688&lt;&gt;"",Weekly_Inspections!$AS688&lt;&gt;""),Weekly_Inspections!$AQ688,"")</f>
        <v/>
      </c>
      <c r="H688">
        <f>Weekly_Inspections!$AP688</f>
        <v>0</v>
      </c>
      <c r="I688">
        <f>Weekly_Inspections!$AR688</f>
        <v>0</v>
      </c>
      <c r="J688">
        <f>Weekly_Inspections!$AS688</f>
        <v>0</v>
      </c>
      <c r="K688">
        <f>Weekly_Inspections!$AU688</f>
        <v>0</v>
      </c>
      <c r="L688" s="24">
        <f>Weekly_Inspections!$AV688</f>
        <v>0</v>
      </c>
      <c r="M688" t="str">
        <f t="shared" si="30"/>
        <v>Open</v>
      </c>
      <c r="N688" s="24"/>
      <c r="O688">
        <f t="shared" ca="1" si="31"/>
        <v>46113</v>
      </c>
      <c r="P688" t="str">
        <f t="shared" ca="1" si="32"/>
        <v>YES</v>
      </c>
      <c r="Q688">
        <f>Weekly_Inspections!$AW688</f>
        <v>0</v>
      </c>
    </row>
    <row r="689" spans="1:17" ht="15" customHeight="1" x14ac:dyDescent="0.2">
      <c r="A689" t="str">
        <f>IF(Weekly_Inspections!$B689="","",Weekly_Inspections!$A689&amp;"-A1")</f>
        <v/>
      </c>
      <c r="B689" s="24">
        <f>Weekly_Inspections!$B689</f>
        <v>0</v>
      </c>
      <c r="C689">
        <f>Weekly_Inspections!$E689</f>
        <v>0</v>
      </c>
      <c r="D689">
        <f>Weekly_Inspections!$F689</f>
        <v>0</v>
      </c>
      <c r="E689" t="str">
        <f>Weekly_Inspections!$H689</f>
        <v/>
      </c>
      <c r="F689">
        <f>IF(Weekly_Inspections!$AX689&lt;&gt;"",Weekly_Inspections!$AX689,IF(Weekly_Inspections!$AY689&lt;&gt;"",Weekly_Inspections!$AY689,IF(Weekly_Inspections!$AZ689&lt;&gt;"",Weekly_Inspections!$AZ689,IF(Weekly_Inspections!$BA689&lt;&gt;"",Weekly_Inspections!$BA689,IF(Weekly_Inspections!$BB689&lt;&gt;"",Weekly_Inspections!$BB689,Weekly_Inspections!$R689)))))</f>
        <v>0</v>
      </c>
      <c r="G689" t="str">
        <f>IF(OR(Weekly_Inspections!$AQ689&lt;&gt;"",Weekly_Inspections!$AR689&lt;&gt;"",Weekly_Inspections!$AS689&lt;&gt;""),Weekly_Inspections!$AQ689,"")</f>
        <v/>
      </c>
      <c r="H689">
        <f>Weekly_Inspections!$AP689</f>
        <v>0</v>
      </c>
      <c r="I689">
        <f>Weekly_Inspections!$AR689</f>
        <v>0</v>
      </c>
      <c r="J689">
        <f>Weekly_Inspections!$AS689</f>
        <v>0</v>
      </c>
      <c r="K689">
        <f>Weekly_Inspections!$AU689</f>
        <v>0</v>
      </c>
      <c r="L689" s="24">
        <f>Weekly_Inspections!$AV689</f>
        <v>0</v>
      </c>
      <c r="M689" t="str">
        <f t="shared" si="30"/>
        <v>Open</v>
      </c>
      <c r="N689" s="24"/>
      <c r="O689">
        <f t="shared" ca="1" si="31"/>
        <v>46113</v>
      </c>
      <c r="P689" t="str">
        <f t="shared" ca="1" si="32"/>
        <v>YES</v>
      </c>
      <c r="Q689">
        <f>Weekly_Inspections!$AW689</f>
        <v>0</v>
      </c>
    </row>
    <row r="690" spans="1:17" ht="15" customHeight="1" x14ac:dyDescent="0.2">
      <c r="A690" t="str">
        <f>IF(Weekly_Inspections!$B690="","",Weekly_Inspections!$A690&amp;"-A1")</f>
        <v/>
      </c>
      <c r="B690" s="24">
        <f>Weekly_Inspections!$B690</f>
        <v>0</v>
      </c>
      <c r="C690">
        <f>Weekly_Inspections!$E690</f>
        <v>0</v>
      </c>
      <c r="D690">
        <f>Weekly_Inspections!$F690</f>
        <v>0</v>
      </c>
      <c r="E690" t="str">
        <f>Weekly_Inspections!$H690</f>
        <v/>
      </c>
      <c r="F690">
        <f>IF(Weekly_Inspections!$AX690&lt;&gt;"",Weekly_Inspections!$AX690,IF(Weekly_Inspections!$AY690&lt;&gt;"",Weekly_Inspections!$AY690,IF(Weekly_Inspections!$AZ690&lt;&gt;"",Weekly_Inspections!$AZ690,IF(Weekly_Inspections!$BA690&lt;&gt;"",Weekly_Inspections!$BA690,IF(Weekly_Inspections!$BB690&lt;&gt;"",Weekly_Inspections!$BB690,Weekly_Inspections!$R690)))))</f>
        <v>0</v>
      </c>
      <c r="G690" t="str">
        <f>IF(OR(Weekly_Inspections!$AQ690&lt;&gt;"",Weekly_Inspections!$AR690&lt;&gt;"",Weekly_Inspections!$AS690&lt;&gt;""),Weekly_Inspections!$AQ690,"")</f>
        <v/>
      </c>
      <c r="H690">
        <f>Weekly_Inspections!$AP690</f>
        <v>0</v>
      </c>
      <c r="I690">
        <f>Weekly_Inspections!$AR690</f>
        <v>0</v>
      </c>
      <c r="J690">
        <f>Weekly_Inspections!$AS690</f>
        <v>0</v>
      </c>
      <c r="K690">
        <f>Weekly_Inspections!$AU690</f>
        <v>0</v>
      </c>
      <c r="L690" s="24">
        <f>Weekly_Inspections!$AV690</f>
        <v>0</v>
      </c>
      <c r="M690" t="str">
        <f t="shared" si="30"/>
        <v>Open</v>
      </c>
      <c r="N690" s="24"/>
      <c r="O690">
        <f t="shared" ca="1" si="31"/>
        <v>46113</v>
      </c>
      <c r="P690" t="str">
        <f t="shared" ca="1" si="32"/>
        <v>YES</v>
      </c>
      <c r="Q690">
        <f>Weekly_Inspections!$AW690</f>
        <v>0</v>
      </c>
    </row>
    <row r="691" spans="1:17" ht="15" customHeight="1" x14ac:dyDescent="0.2">
      <c r="A691" t="str">
        <f>IF(Weekly_Inspections!$B691="","",Weekly_Inspections!$A691&amp;"-A1")</f>
        <v/>
      </c>
      <c r="B691" s="24">
        <f>Weekly_Inspections!$B691</f>
        <v>0</v>
      </c>
      <c r="C691">
        <f>Weekly_Inspections!$E691</f>
        <v>0</v>
      </c>
      <c r="D691">
        <f>Weekly_Inspections!$F691</f>
        <v>0</v>
      </c>
      <c r="E691" t="str">
        <f>Weekly_Inspections!$H691</f>
        <v/>
      </c>
      <c r="F691">
        <f>IF(Weekly_Inspections!$AX691&lt;&gt;"",Weekly_Inspections!$AX691,IF(Weekly_Inspections!$AY691&lt;&gt;"",Weekly_Inspections!$AY691,IF(Weekly_Inspections!$AZ691&lt;&gt;"",Weekly_Inspections!$AZ691,IF(Weekly_Inspections!$BA691&lt;&gt;"",Weekly_Inspections!$BA691,IF(Weekly_Inspections!$BB691&lt;&gt;"",Weekly_Inspections!$BB691,Weekly_Inspections!$R691)))))</f>
        <v>0</v>
      </c>
      <c r="G691" t="str">
        <f>IF(OR(Weekly_Inspections!$AQ691&lt;&gt;"",Weekly_Inspections!$AR691&lt;&gt;"",Weekly_Inspections!$AS691&lt;&gt;""),Weekly_Inspections!$AQ691,"")</f>
        <v/>
      </c>
      <c r="H691">
        <f>Weekly_Inspections!$AP691</f>
        <v>0</v>
      </c>
      <c r="I691">
        <f>Weekly_Inspections!$AR691</f>
        <v>0</v>
      </c>
      <c r="J691">
        <f>Weekly_Inspections!$AS691</f>
        <v>0</v>
      </c>
      <c r="K691">
        <f>Weekly_Inspections!$AU691</f>
        <v>0</v>
      </c>
      <c r="L691" s="24">
        <f>Weekly_Inspections!$AV691</f>
        <v>0</v>
      </c>
      <c r="M691" t="str">
        <f t="shared" si="30"/>
        <v>Open</v>
      </c>
      <c r="N691" s="24"/>
      <c r="O691">
        <f t="shared" ca="1" si="31"/>
        <v>46113</v>
      </c>
      <c r="P691" t="str">
        <f t="shared" ca="1" si="32"/>
        <v>YES</v>
      </c>
      <c r="Q691">
        <f>Weekly_Inspections!$AW691</f>
        <v>0</v>
      </c>
    </row>
    <row r="692" spans="1:17" ht="15" customHeight="1" x14ac:dyDescent="0.2">
      <c r="A692" t="str">
        <f>IF(Weekly_Inspections!$B692="","",Weekly_Inspections!$A692&amp;"-A1")</f>
        <v/>
      </c>
      <c r="B692" s="24">
        <f>Weekly_Inspections!$B692</f>
        <v>0</v>
      </c>
      <c r="C692">
        <f>Weekly_Inspections!$E692</f>
        <v>0</v>
      </c>
      <c r="D692">
        <f>Weekly_Inspections!$F692</f>
        <v>0</v>
      </c>
      <c r="E692" t="str">
        <f>Weekly_Inspections!$H692</f>
        <v/>
      </c>
      <c r="F692">
        <f>IF(Weekly_Inspections!$AX692&lt;&gt;"",Weekly_Inspections!$AX692,IF(Weekly_Inspections!$AY692&lt;&gt;"",Weekly_Inspections!$AY692,IF(Weekly_Inspections!$AZ692&lt;&gt;"",Weekly_Inspections!$AZ692,IF(Weekly_Inspections!$BA692&lt;&gt;"",Weekly_Inspections!$BA692,IF(Weekly_Inspections!$BB692&lt;&gt;"",Weekly_Inspections!$BB692,Weekly_Inspections!$R692)))))</f>
        <v>0</v>
      </c>
      <c r="G692" t="str">
        <f>IF(OR(Weekly_Inspections!$AQ692&lt;&gt;"",Weekly_Inspections!$AR692&lt;&gt;"",Weekly_Inspections!$AS692&lt;&gt;""),Weekly_Inspections!$AQ692,"")</f>
        <v/>
      </c>
      <c r="H692">
        <f>Weekly_Inspections!$AP692</f>
        <v>0</v>
      </c>
      <c r="I692">
        <f>Weekly_Inspections!$AR692</f>
        <v>0</v>
      </c>
      <c r="J692">
        <f>Weekly_Inspections!$AS692</f>
        <v>0</v>
      </c>
      <c r="K692">
        <f>Weekly_Inspections!$AU692</f>
        <v>0</v>
      </c>
      <c r="L692" s="24">
        <f>Weekly_Inspections!$AV692</f>
        <v>0</v>
      </c>
      <c r="M692" t="str">
        <f t="shared" si="30"/>
        <v>Open</v>
      </c>
      <c r="N692" s="24"/>
      <c r="O692">
        <f t="shared" ca="1" si="31"/>
        <v>46113</v>
      </c>
      <c r="P692" t="str">
        <f t="shared" ca="1" si="32"/>
        <v>YES</v>
      </c>
      <c r="Q692">
        <f>Weekly_Inspections!$AW692</f>
        <v>0</v>
      </c>
    </row>
    <row r="693" spans="1:17" ht="15" customHeight="1" x14ac:dyDescent="0.2">
      <c r="A693" t="str">
        <f>IF(Weekly_Inspections!$B693="","",Weekly_Inspections!$A693&amp;"-A1")</f>
        <v/>
      </c>
      <c r="B693" s="24">
        <f>Weekly_Inspections!$B693</f>
        <v>0</v>
      </c>
      <c r="C693">
        <f>Weekly_Inspections!$E693</f>
        <v>0</v>
      </c>
      <c r="D693">
        <f>Weekly_Inspections!$F693</f>
        <v>0</v>
      </c>
      <c r="E693" t="str">
        <f>Weekly_Inspections!$H693</f>
        <v/>
      </c>
      <c r="F693">
        <f>IF(Weekly_Inspections!$AX693&lt;&gt;"",Weekly_Inspections!$AX693,IF(Weekly_Inspections!$AY693&lt;&gt;"",Weekly_Inspections!$AY693,IF(Weekly_Inspections!$AZ693&lt;&gt;"",Weekly_Inspections!$AZ693,IF(Weekly_Inspections!$BA693&lt;&gt;"",Weekly_Inspections!$BA693,IF(Weekly_Inspections!$BB693&lt;&gt;"",Weekly_Inspections!$BB693,Weekly_Inspections!$R693)))))</f>
        <v>0</v>
      </c>
      <c r="G693" t="str">
        <f>IF(OR(Weekly_Inspections!$AQ693&lt;&gt;"",Weekly_Inspections!$AR693&lt;&gt;"",Weekly_Inspections!$AS693&lt;&gt;""),Weekly_Inspections!$AQ693,"")</f>
        <v/>
      </c>
      <c r="H693">
        <f>Weekly_Inspections!$AP693</f>
        <v>0</v>
      </c>
      <c r="I693">
        <f>Weekly_Inspections!$AR693</f>
        <v>0</v>
      </c>
      <c r="J693">
        <f>Weekly_Inspections!$AS693</f>
        <v>0</v>
      </c>
      <c r="K693">
        <f>Weekly_Inspections!$AU693</f>
        <v>0</v>
      </c>
      <c r="L693" s="24">
        <f>Weekly_Inspections!$AV693</f>
        <v>0</v>
      </c>
      <c r="M693" t="str">
        <f t="shared" si="30"/>
        <v>Open</v>
      </c>
      <c r="N693" s="24"/>
      <c r="O693">
        <f t="shared" ca="1" si="31"/>
        <v>46113</v>
      </c>
      <c r="P693" t="str">
        <f t="shared" ca="1" si="32"/>
        <v>YES</v>
      </c>
      <c r="Q693">
        <f>Weekly_Inspections!$AW693</f>
        <v>0</v>
      </c>
    </row>
    <row r="694" spans="1:17" ht="15" customHeight="1" x14ac:dyDescent="0.2">
      <c r="A694" t="str">
        <f>IF(Weekly_Inspections!$B694="","",Weekly_Inspections!$A694&amp;"-A1")</f>
        <v/>
      </c>
      <c r="B694" s="24">
        <f>Weekly_Inspections!$B694</f>
        <v>0</v>
      </c>
      <c r="C694">
        <f>Weekly_Inspections!$E694</f>
        <v>0</v>
      </c>
      <c r="D694">
        <f>Weekly_Inspections!$F694</f>
        <v>0</v>
      </c>
      <c r="E694" t="str">
        <f>Weekly_Inspections!$H694</f>
        <v/>
      </c>
      <c r="F694">
        <f>IF(Weekly_Inspections!$AX694&lt;&gt;"",Weekly_Inspections!$AX694,IF(Weekly_Inspections!$AY694&lt;&gt;"",Weekly_Inspections!$AY694,IF(Weekly_Inspections!$AZ694&lt;&gt;"",Weekly_Inspections!$AZ694,IF(Weekly_Inspections!$BA694&lt;&gt;"",Weekly_Inspections!$BA694,IF(Weekly_Inspections!$BB694&lt;&gt;"",Weekly_Inspections!$BB694,Weekly_Inspections!$R694)))))</f>
        <v>0</v>
      </c>
      <c r="G694" t="str">
        <f>IF(OR(Weekly_Inspections!$AQ694&lt;&gt;"",Weekly_Inspections!$AR694&lt;&gt;"",Weekly_Inspections!$AS694&lt;&gt;""),Weekly_Inspections!$AQ694,"")</f>
        <v/>
      </c>
      <c r="H694">
        <f>Weekly_Inspections!$AP694</f>
        <v>0</v>
      </c>
      <c r="I694">
        <f>Weekly_Inspections!$AR694</f>
        <v>0</v>
      </c>
      <c r="J694">
        <f>Weekly_Inspections!$AS694</f>
        <v>0</v>
      </c>
      <c r="K694">
        <f>Weekly_Inspections!$AU694</f>
        <v>0</v>
      </c>
      <c r="L694" s="24">
        <f>Weekly_Inspections!$AV694</f>
        <v>0</v>
      </c>
      <c r="M694" t="str">
        <f t="shared" si="30"/>
        <v>Open</v>
      </c>
      <c r="N694" s="24"/>
      <c r="O694">
        <f t="shared" ca="1" si="31"/>
        <v>46113</v>
      </c>
      <c r="P694" t="str">
        <f t="shared" ca="1" si="32"/>
        <v>YES</v>
      </c>
      <c r="Q694">
        <f>Weekly_Inspections!$AW694</f>
        <v>0</v>
      </c>
    </row>
    <row r="695" spans="1:17" ht="15" customHeight="1" x14ac:dyDescent="0.2">
      <c r="A695" t="str">
        <f>IF(Weekly_Inspections!$B695="","",Weekly_Inspections!$A695&amp;"-A1")</f>
        <v/>
      </c>
      <c r="B695" s="24">
        <f>Weekly_Inspections!$B695</f>
        <v>0</v>
      </c>
      <c r="C695">
        <f>Weekly_Inspections!$E695</f>
        <v>0</v>
      </c>
      <c r="D695">
        <f>Weekly_Inspections!$F695</f>
        <v>0</v>
      </c>
      <c r="E695" t="str">
        <f>Weekly_Inspections!$H695</f>
        <v/>
      </c>
      <c r="F695">
        <f>IF(Weekly_Inspections!$AX695&lt;&gt;"",Weekly_Inspections!$AX695,IF(Weekly_Inspections!$AY695&lt;&gt;"",Weekly_Inspections!$AY695,IF(Weekly_Inspections!$AZ695&lt;&gt;"",Weekly_Inspections!$AZ695,IF(Weekly_Inspections!$BA695&lt;&gt;"",Weekly_Inspections!$BA695,IF(Weekly_Inspections!$BB695&lt;&gt;"",Weekly_Inspections!$BB695,Weekly_Inspections!$R695)))))</f>
        <v>0</v>
      </c>
      <c r="G695" t="str">
        <f>IF(OR(Weekly_Inspections!$AQ695&lt;&gt;"",Weekly_Inspections!$AR695&lt;&gt;"",Weekly_Inspections!$AS695&lt;&gt;""),Weekly_Inspections!$AQ695,"")</f>
        <v/>
      </c>
      <c r="H695">
        <f>Weekly_Inspections!$AP695</f>
        <v>0</v>
      </c>
      <c r="I695">
        <f>Weekly_Inspections!$AR695</f>
        <v>0</v>
      </c>
      <c r="J695">
        <f>Weekly_Inspections!$AS695</f>
        <v>0</v>
      </c>
      <c r="K695">
        <f>Weekly_Inspections!$AU695</f>
        <v>0</v>
      </c>
      <c r="L695" s="24">
        <f>Weekly_Inspections!$AV695</f>
        <v>0</v>
      </c>
      <c r="M695" t="str">
        <f t="shared" si="30"/>
        <v>Open</v>
      </c>
      <c r="N695" s="24"/>
      <c r="O695">
        <f t="shared" ca="1" si="31"/>
        <v>46113</v>
      </c>
      <c r="P695" t="str">
        <f t="shared" ca="1" si="32"/>
        <v>YES</v>
      </c>
      <c r="Q695">
        <f>Weekly_Inspections!$AW695</f>
        <v>0</v>
      </c>
    </row>
    <row r="696" spans="1:17" ht="15" customHeight="1" x14ac:dyDescent="0.2">
      <c r="A696" t="str">
        <f>IF(Weekly_Inspections!$B696="","",Weekly_Inspections!$A696&amp;"-A1")</f>
        <v/>
      </c>
      <c r="B696" s="24">
        <f>Weekly_Inspections!$B696</f>
        <v>0</v>
      </c>
      <c r="C696">
        <f>Weekly_Inspections!$E696</f>
        <v>0</v>
      </c>
      <c r="D696">
        <f>Weekly_Inspections!$F696</f>
        <v>0</v>
      </c>
      <c r="E696" t="str">
        <f>Weekly_Inspections!$H696</f>
        <v/>
      </c>
      <c r="F696">
        <f>IF(Weekly_Inspections!$AX696&lt;&gt;"",Weekly_Inspections!$AX696,IF(Weekly_Inspections!$AY696&lt;&gt;"",Weekly_Inspections!$AY696,IF(Weekly_Inspections!$AZ696&lt;&gt;"",Weekly_Inspections!$AZ696,IF(Weekly_Inspections!$BA696&lt;&gt;"",Weekly_Inspections!$BA696,IF(Weekly_Inspections!$BB696&lt;&gt;"",Weekly_Inspections!$BB696,Weekly_Inspections!$R696)))))</f>
        <v>0</v>
      </c>
      <c r="G696" t="str">
        <f>IF(OR(Weekly_Inspections!$AQ696&lt;&gt;"",Weekly_Inspections!$AR696&lt;&gt;"",Weekly_Inspections!$AS696&lt;&gt;""),Weekly_Inspections!$AQ696,"")</f>
        <v/>
      </c>
      <c r="H696">
        <f>Weekly_Inspections!$AP696</f>
        <v>0</v>
      </c>
      <c r="I696">
        <f>Weekly_Inspections!$AR696</f>
        <v>0</v>
      </c>
      <c r="J696">
        <f>Weekly_Inspections!$AS696</f>
        <v>0</v>
      </c>
      <c r="K696">
        <f>Weekly_Inspections!$AU696</f>
        <v>0</v>
      </c>
      <c r="L696" s="24">
        <f>Weekly_Inspections!$AV696</f>
        <v>0</v>
      </c>
      <c r="M696" t="str">
        <f t="shared" si="30"/>
        <v>Open</v>
      </c>
      <c r="N696" s="24"/>
      <c r="O696">
        <f t="shared" ca="1" si="31"/>
        <v>46113</v>
      </c>
      <c r="P696" t="str">
        <f t="shared" ca="1" si="32"/>
        <v>YES</v>
      </c>
      <c r="Q696">
        <f>Weekly_Inspections!$AW696</f>
        <v>0</v>
      </c>
    </row>
    <row r="697" spans="1:17" ht="15" customHeight="1" x14ac:dyDescent="0.2">
      <c r="A697" t="str">
        <f>IF(Weekly_Inspections!$B697="","",Weekly_Inspections!$A697&amp;"-A1")</f>
        <v/>
      </c>
      <c r="B697" s="24">
        <f>Weekly_Inspections!$B697</f>
        <v>0</v>
      </c>
      <c r="C697">
        <f>Weekly_Inspections!$E697</f>
        <v>0</v>
      </c>
      <c r="D697">
        <f>Weekly_Inspections!$F697</f>
        <v>0</v>
      </c>
      <c r="E697" t="str">
        <f>Weekly_Inspections!$H697</f>
        <v/>
      </c>
      <c r="F697">
        <f>IF(Weekly_Inspections!$AX697&lt;&gt;"",Weekly_Inspections!$AX697,IF(Weekly_Inspections!$AY697&lt;&gt;"",Weekly_Inspections!$AY697,IF(Weekly_Inspections!$AZ697&lt;&gt;"",Weekly_Inspections!$AZ697,IF(Weekly_Inspections!$BA697&lt;&gt;"",Weekly_Inspections!$BA697,IF(Weekly_Inspections!$BB697&lt;&gt;"",Weekly_Inspections!$BB697,Weekly_Inspections!$R697)))))</f>
        <v>0</v>
      </c>
      <c r="G697" t="str">
        <f>IF(OR(Weekly_Inspections!$AQ697&lt;&gt;"",Weekly_Inspections!$AR697&lt;&gt;"",Weekly_Inspections!$AS697&lt;&gt;""),Weekly_Inspections!$AQ697,"")</f>
        <v/>
      </c>
      <c r="H697">
        <f>Weekly_Inspections!$AP697</f>
        <v>0</v>
      </c>
      <c r="I697">
        <f>Weekly_Inspections!$AR697</f>
        <v>0</v>
      </c>
      <c r="J697">
        <f>Weekly_Inspections!$AS697</f>
        <v>0</v>
      </c>
      <c r="K697">
        <f>Weekly_Inspections!$AU697</f>
        <v>0</v>
      </c>
      <c r="L697" s="24">
        <f>Weekly_Inspections!$AV697</f>
        <v>0</v>
      </c>
      <c r="M697" t="str">
        <f t="shared" si="30"/>
        <v>Open</v>
      </c>
      <c r="N697" s="24"/>
      <c r="O697">
        <f t="shared" ca="1" si="31"/>
        <v>46113</v>
      </c>
      <c r="P697" t="str">
        <f t="shared" ca="1" si="32"/>
        <v>YES</v>
      </c>
      <c r="Q697">
        <f>Weekly_Inspections!$AW697</f>
        <v>0</v>
      </c>
    </row>
    <row r="698" spans="1:17" ht="15" customHeight="1" x14ac:dyDescent="0.2">
      <c r="A698" t="str">
        <f>IF(Weekly_Inspections!$B698="","",Weekly_Inspections!$A698&amp;"-A1")</f>
        <v/>
      </c>
      <c r="B698" s="24">
        <f>Weekly_Inspections!$B698</f>
        <v>0</v>
      </c>
      <c r="C698">
        <f>Weekly_Inspections!$E698</f>
        <v>0</v>
      </c>
      <c r="D698">
        <f>Weekly_Inspections!$F698</f>
        <v>0</v>
      </c>
      <c r="E698" t="str">
        <f>Weekly_Inspections!$H698</f>
        <v/>
      </c>
      <c r="F698">
        <f>IF(Weekly_Inspections!$AX698&lt;&gt;"",Weekly_Inspections!$AX698,IF(Weekly_Inspections!$AY698&lt;&gt;"",Weekly_Inspections!$AY698,IF(Weekly_Inspections!$AZ698&lt;&gt;"",Weekly_Inspections!$AZ698,IF(Weekly_Inspections!$BA698&lt;&gt;"",Weekly_Inspections!$BA698,IF(Weekly_Inspections!$BB698&lt;&gt;"",Weekly_Inspections!$BB698,Weekly_Inspections!$R698)))))</f>
        <v>0</v>
      </c>
      <c r="G698" t="str">
        <f>IF(OR(Weekly_Inspections!$AQ698&lt;&gt;"",Weekly_Inspections!$AR698&lt;&gt;"",Weekly_Inspections!$AS698&lt;&gt;""),Weekly_Inspections!$AQ698,"")</f>
        <v/>
      </c>
      <c r="H698">
        <f>Weekly_Inspections!$AP698</f>
        <v>0</v>
      </c>
      <c r="I698">
        <f>Weekly_Inspections!$AR698</f>
        <v>0</v>
      </c>
      <c r="J698">
        <f>Weekly_Inspections!$AS698</f>
        <v>0</v>
      </c>
      <c r="K698">
        <f>Weekly_Inspections!$AU698</f>
        <v>0</v>
      </c>
      <c r="L698" s="24">
        <f>Weekly_Inspections!$AV698</f>
        <v>0</v>
      </c>
      <c r="M698" t="str">
        <f t="shared" si="30"/>
        <v>Open</v>
      </c>
      <c r="N698" s="24"/>
      <c r="O698">
        <f t="shared" ca="1" si="31"/>
        <v>46113</v>
      </c>
      <c r="P698" t="str">
        <f t="shared" ca="1" si="32"/>
        <v>YES</v>
      </c>
      <c r="Q698">
        <f>Weekly_Inspections!$AW698</f>
        <v>0</v>
      </c>
    </row>
    <row r="699" spans="1:17" ht="15" customHeight="1" x14ac:dyDescent="0.2">
      <c r="A699" t="str">
        <f>IF(Weekly_Inspections!$B699="","",Weekly_Inspections!$A699&amp;"-A1")</f>
        <v/>
      </c>
      <c r="B699" s="24">
        <f>Weekly_Inspections!$B699</f>
        <v>0</v>
      </c>
      <c r="C699">
        <f>Weekly_Inspections!$E699</f>
        <v>0</v>
      </c>
      <c r="D699">
        <f>Weekly_Inspections!$F699</f>
        <v>0</v>
      </c>
      <c r="E699" t="str">
        <f>Weekly_Inspections!$H699</f>
        <v/>
      </c>
      <c r="F699">
        <f>IF(Weekly_Inspections!$AX699&lt;&gt;"",Weekly_Inspections!$AX699,IF(Weekly_Inspections!$AY699&lt;&gt;"",Weekly_Inspections!$AY699,IF(Weekly_Inspections!$AZ699&lt;&gt;"",Weekly_Inspections!$AZ699,IF(Weekly_Inspections!$BA699&lt;&gt;"",Weekly_Inspections!$BA699,IF(Weekly_Inspections!$BB699&lt;&gt;"",Weekly_Inspections!$BB699,Weekly_Inspections!$R699)))))</f>
        <v>0</v>
      </c>
      <c r="G699" t="str">
        <f>IF(OR(Weekly_Inspections!$AQ699&lt;&gt;"",Weekly_Inspections!$AR699&lt;&gt;"",Weekly_Inspections!$AS699&lt;&gt;""),Weekly_Inspections!$AQ699,"")</f>
        <v/>
      </c>
      <c r="H699">
        <f>Weekly_Inspections!$AP699</f>
        <v>0</v>
      </c>
      <c r="I699">
        <f>Weekly_Inspections!$AR699</f>
        <v>0</v>
      </c>
      <c r="J699">
        <f>Weekly_Inspections!$AS699</f>
        <v>0</v>
      </c>
      <c r="K699">
        <f>Weekly_Inspections!$AU699</f>
        <v>0</v>
      </c>
      <c r="L699" s="24">
        <f>Weekly_Inspections!$AV699</f>
        <v>0</v>
      </c>
      <c r="M699" t="str">
        <f t="shared" si="30"/>
        <v>Open</v>
      </c>
      <c r="N699" s="24"/>
      <c r="O699">
        <f t="shared" ca="1" si="31"/>
        <v>46113</v>
      </c>
      <c r="P699" t="str">
        <f t="shared" ca="1" si="32"/>
        <v>YES</v>
      </c>
      <c r="Q699">
        <f>Weekly_Inspections!$AW699</f>
        <v>0</v>
      </c>
    </row>
    <row r="700" spans="1:17" ht="15" customHeight="1" x14ac:dyDescent="0.2">
      <c r="A700" t="str">
        <f>IF(Weekly_Inspections!$B700="","",Weekly_Inspections!$A700&amp;"-A1")</f>
        <v/>
      </c>
      <c r="B700" s="24">
        <f>Weekly_Inspections!$B700</f>
        <v>0</v>
      </c>
      <c r="C700">
        <f>Weekly_Inspections!$E700</f>
        <v>0</v>
      </c>
      <c r="D700">
        <f>Weekly_Inspections!$F700</f>
        <v>0</v>
      </c>
      <c r="E700" t="str">
        <f>Weekly_Inspections!$H700</f>
        <v/>
      </c>
      <c r="F700">
        <f>IF(Weekly_Inspections!$AX700&lt;&gt;"",Weekly_Inspections!$AX700,IF(Weekly_Inspections!$AY700&lt;&gt;"",Weekly_Inspections!$AY700,IF(Weekly_Inspections!$AZ700&lt;&gt;"",Weekly_Inspections!$AZ700,IF(Weekly_Inspections!$BA700&lt;&gt;"",Weekly_Inspections!$BA700,IF(Weekly_Inspections!$BB700&lt;&gt;"",Weekly_Inspections!$BB700,Weekly_Inspections!$R700)))))</f>
        <v>0</v>
      </c>
      <c r="G700" t="str">
        <f>IF(OR(Weekly_Inspections!$AQ700&lt;&gt;"",Weekly_Inspections!$AR700&lt;&gt;"",Weekly_Inspections!$AS700&lt;&gt;""),Weekly_Inspections!$AQ700,"")</f>
        <v/>
      </c>
      <c r="H700">
        <f>Weekly_Inspections!$AP700</f>
        <v>0</v>
      </c>
      <c r="I700">
        <f>Weekly_Inspections!$AR700</f>
        <v>0</v>
      </c>
      <c r="J700">
        <f>Weekly_Inspections!$AS700</f>
        <v>0</v>
      </c>
      <c r="K700">
        <f>Weekly_Inspections!$AU700</f>
        <v>0</v>
      </c>
      <c r="L700" s="24">
        <f>Weekly_Inspections!$AV700</f>
        <v>0</v>
      </c>
      <c r="M700" t="str">
        <f t="shared" si="30"/>
        <v>Open</v>
      </c>
      <c r="N700" s="24"/>
      <c r="O700">
        <f t="shared" ca="1" si="31"/>
        <v>46113</v>
      </c>
      <c r="P700" t="str">
        <f t="shared" ca="1" si="32"/>
        <v>YES</v>
      </c>
      <c r="Q700">
        <f>Weekly_Inspections!$AW700</f>
        <v>0</v>
      </c>
    </row>
    <row r="701" spans="1:17" ht="15" customHeight="1" x14ac:dyDescent="0.2">
      <c r="A701" t="str">
        <f>IF(Weekly_Inspections!$B701="","",Weekly_Inspections!$A701&amp;"-A1")</f>
        <v/>
      </c>
      <c r="B701" s="24">
        <f>Weekly_Inspections!$B701</f>
        <v>0</v>
      </c>
      <c r="C701">
        <f>Weekly_Inspections!$E701</f>
        <v>0</v>
      </c>
      <c r="D701">
        <f>Weekly_Inspections!$F701</f>
        <v>0</v>
      </c>
      <c r="E701" t="str">
        <f>Weekly_Inspections!$H701</f>
        <v/>
      </c>
      <c r="F701">
        <f>IF(Weekly_Inspections!$AX701&lt;&gt;"",Weekly_Inspections!$AX701,IF(Weekly_Inspections!$AY701&lt;&gt;"",Weekly_Inspections!$AY701,IF(Weekly_Inspections!$AZ701&lt;&gt;"",Weekly_Inspections!$AZ701,IF(Weekly_Inspections!$BA701&lt;&gt;"",Weekly_Inspections!$BA701,IF(Weekly_Inspections!$BB701&lt;&gt;"",Weekly_Inspections!$BB701,Weekly_Inspections!$R701)))))</f>
        <v>0</v>
      </c>
      <c r="G701" t="str">
        <f>IF(OR(Weekly_Inspections!$AQ701&lt;&gt;"",Weekly_Inspections!$AR701&lt;&gt;"",Weekly_Inspections!$AS701&lt;&gt;""),Weekly_Inspections!$AQ701,"")</f>
        <v/>
      </c>
      <c r="H701">
        <f>Weekly_Inspections!$AP701</f>
        <v>0</v>
      </c>
      <c r="I701">
        <f>Weekly_Inspections!$AR701</f>
        <v>0</v>
      </c>
      <c r="J701">
        <f>Weekly_Inspections!$AS701</f>
        <v>0</v>
      </c>
      <c r="K701">
        <f>Weekly_Inspections!$AU701</f>
        <v>0</v>
      </c>
      <c r="L701" s="24">
        <f>Weekly_Inspections!$AV701</f>
        <v>0</v>
      </c>
      <c r="M701" t="str">
        <f t="shared" si="30"/>
        <v>Open</v>
      </c>
      <c r="N701" s="24"/>
      <c r="O701">
        <f t="shared" ca="1" si="31"/>
        <v>46113</v>
      </c>
      <c r="P701" t="str">
        <f t="shared" ca="1" si="32"/>
        <v>YES</v>
      </c>
      <c r="Q701">
        <f>Weekly_Inspections!$AW701</f>
        <v>0</v>
      </c>
    </row>
    <row r="702" spans="1:17" ht="15" customHeight="1" x14ac:dyDescent="0.2">
      <c r="A702" t="str">
        <f>IF(Weekly_Inspections!$B702="","",Weekly_Inspections!$A702&amp;"-A1")</f>
        <v/>
      </c>
      <c r="B702" s="24">
        <f>Weekly_Inspections!$B702</f>
        <v>0</v>
      </c>
      <c r="C702">
        <f>Weekly_Inspections!$E702</f>
        <v>0</v>
      </c>
      <c r="D702">
        <f>Weekly_Inspections!$F702</f>
        <v>0</v>
      </c>
      <c r="E702" t="str">
        <f>Weekly_Inspections!$H702</f>
        <v/>
      </c>
      <c r="F702">
        <f>IF(Weekly_Inspections!$AX702&lt;&gt;"",Weekly_Inspections!$AX702,IF(Weekly_Inspections!$AY702&lt;&gt;"",Weekly_Inspections!$AY702,IF(Weekly_Inspections!$AZ702&lt;&gt;"",Weekly_Inspections!$AZ702,IF(Weekly_Inspections!$BA702&lt;&gt;"",Weekly_Inspections!$BA702,IF(Weekly_Inspections!$BB702&lt;&gt;"",Weekly_Inspections!$BB702,Weekly_Inspections!$R702)))))</f>
        <v>0</v>
      </c>
      <c r="G702" t="str">
        <f>IF(OR(Weekly_Inspections!$AQ702&lt;&gt;"",Weekly_Inspections!$AR702&lt;&gt;"",Weekly_Inspections!$AS702&lt;&gt;""),Weekly_Inspections!$AQ702,"")</f>
        <v/>
      </c>
      <c r="H702">
        <f>Weekly_Inspections!$AP702</f>
        <v>0</v>
      </c>
      <c r="I702">
        <f>Weekly_Inspections!$AR702</f>
        <v>0</v>
      </c>
      <c r="J702">
        <f>Weekly_Inspections!$AS702</f>
        <v>0</v>
      </c>
      <c r="K702">
        <f>Weekly_Inspections!$AU702</f>
        <v>0</v>
      </c>
      <c r="L702" s="24">
        <f>Weekly_Inspections!$AV702</f>
        <v>0</v>
      </c>
      <c r="M702" t="str">
        <f t="shared" si="30"/>
        <v>Open</v>
      </c>
      <c r="N702" s="24"/>
      <c r="O702">
        <f t="shared" ca="1" si="31"/>
        <v>46113</v>
      </c>
      <c r="P702" t="str">
        <f t="shared" ca="1" si="32"/>
        <v>YES</v>
      </c>
      <c r="Q702">
        <f>Weekly_Inspections!$AW702</f>
        <v>0</v>
      </c>
    </row>
    <row r="703" spans="1:17" ht="15" customHeight="1" x14ac:dyDescent="0.2">
      <c r="A703" t="str">
        <f>IF(Weekly_Inspections!$B703="","",Weekly_Inspections!$A703&amp;"-A1")</f>
        <v/>
      </c>
      <c r="B703" s="24">
        <f>Weekly_Inspections!$B703</f>
        <v>0</v>
      </c>
      <c r="C703">
        <f>Weekly_Inspections!$E703</f>
        <v>0</v>
      </c>
      <c r="D703">
        <f>Weekly_Inspections!$F703</f>
        <v>0</v>
      </c>
      <c r="E703" t="str">
        <f>Weekly_Inspections!$H703</f>
        <v/>
      </c>
      <c r="F703">
        <f>IF(Weekly_Inspections!$AX703&lt;&gt;"",Weekly_Inspections!$AX703,IF(Weekly_Inspections!$AY703&lt;&gt;"",Weekly_Inspections!$AY703,IF(Weekly_Inspections!$AZ703&lt;&gt;"",Weekly_Inspections!$AZ703,IF(Weekly_Inspections!$BA703&lt;&gt;"",Weekly_Inspections!$BA703,IF(Weekly_Inspections!$BB703&lt;&gt;"",Weekly_Inspections!$BB703,Weekly_Inspections!$R703)))))</f>
        <v>0</v>
      </c>
      <c r="G703" t="str">
        <f>IF(OR(Weekly_Inspections!$AQ703&lt;&gt;"",Weekly_Inspections!$AR703&lt;&gt;"",Weekly_Inspections!$AS703&lt;&gt;""),Weekly_Inspections!$AQ703,"")</f>
        <v/>
      </c>
      <c r="H703">
        <f>Weekly_Inspections!$AP703</f>
        <v>0</v>
      </c>
      <c r="I703">
        <f>Weekly_Inspections!$AR703</f>
        <v>0</v>
      </c>
      <c r="J703">
        <f>Weekly_Inspections!$AS703</f>
        <v>0</v>
      </c>
      <c r="K703">
        <f>Weekly_Inspections!$AU703</f>
        <v>0</v>
      </c>
      <c r="L703" s="24">
        <f>Weekly_Inspections!$AV703</f>
        <v>0</v>
      </c>
      <c r="M703" t="str">
        <f t="shared" si="30"/>
        <v>Open</v>
      </c>
      <c r="N703" s="24"/>
      <c r="O703">
        <f t="shared" ca="1" si="31"/>
        <v>46113</v>
      </c>
      <c r="P703" t="str">
        <f t="shared" ca="1" si="32"/>
        <v>YES</v>
      </c>
      <c r="Q703">
        <f>Weekly_Inspections!$AW703</f>
        <v>0</v>
      </c>
    </row>
    <row r="704" spans="1:17" ht="15" customHeight="1" x14ac:dyDescent="0.2">
      <c r="A704" t="str">
        <f>IF(Weekly_Inspections!$B704="","",Weekly_Inspections!$A704&amp;"-A1")</f>
        <v/>
      </c>
      <c r="B704" s="24">
        <f>Weekly_Inspections!$B704</f>
        <v>0</v>
      </c>
      <c r="C704">
        <f>Weekly_Inspections!$E704</f>
        <v>0</v>
      </c>
      <c r="D704">
        <f>Weekly_Inspections!$F704</f>
        <v>0</v>
      </c>
      <c r="E704" t="str">
        <f>Weekly_Inspections!$H704</f>
        <v/>
      </c>
      <c r="F704">
        <f>IF(Weekly_Inspections!$AX704&lt;&gt;"",Weekly_Inspections!$AX704,IF(Weekly_Inspections!$AY704&lt;&gt;"",Weekly_Inspections!$AY704,IF(Weekly_Inspections!$AZ704&lt;&gt;"",Weekly_Inspections!$AZ704,IF(Weekly_Inspections!$BA704&lt;&gt;"",Weekly_Inspections!$BA704,IF(Weekly_Inspections!$BB704&lt;&gt;"",Weekly_Inspections!$BB704,Weekly_Inspections!$R704)))))</f>
        <v>0</v>
      </c>
      <c r="G704" t="str">
        <f>IF(OR(Weekly_Inspections!$AQ704&lt;&gt;"",Weekly_Inspections!$AR704&lt;&gt;"",Weekly_Inspections!$AS704&lt;&gt;""),Weekly_Inspections!$AQ704,"")</f>
        <v/>
      </c>
      <c r="H704">
        <f>Weekly_Inspections!$AP704</f>
        <v>0</v>
      </c>
      <c r="I704">
        <f>Weekly_Inspections!$AR704</f>
        <v>0</v>
      </c>
      <c r="J704">
        <f>Weekly_Inspections!$AS704</f>
        <v>0</v>
      </c>
      <c r="K704">
        <f>Weekly_Inspections!$AU704</f>
        <v>0</v>
      </c>
      <c r="L704" s="24">
        <f>Weekly_Inspections!$AV704</f>
        <v>0</v>
      </c>
      <c r="M704" t="str">
        <f t="shared" ref="M704:M767" si="33">IF($B704="","",IF($N704&lt;&gt;"","Closed",IF(OR($G704&lt;&gt;"",$I704&lt;&gt;"",$J704&lt;&gt;""),"Open","")))</f>
        <v>Open</v>
      </c>
      <c r="N704" s="24"/>
      <c r="O704">
        <f t="shared" ref="O704:O767" ca="1" si="34">IF($B704="","",IF($M704="Closed",IF($N704="","",$N704-$B704),TODAY()-$B704))</f>
        <v>46113</v>
      </c>
      <c r="P704" t="str">
        <f t="shared" ref="P704:P767" ca="1" si="35">IF(OR($B704="",$L704="",$M704="Closed"),"",IF(TODAY()&gt;$L704,"YES","NO"))</f>
        <v>YES</v>
      </c>
      <c r="Q704">
        <f>Weekly_Inspections!$AW704</f>
        <v>0</v>
      </c>
    </row>
    <row r="705" spans="1:17" ht="15" customHeight="1" x14ac:dyDescent="0.2">
      <c r="A705" t="str">
        <f>IF(Weekly_Inspections!$B705="","",Weekly_Inspections!$A705&amp;"-A1")</f>
        <v/>
      </c>
      <c r="B705" s="24">
        <f>Weekly_Inspections!$B705</f>
        <v>0</v>
      </c>
      <c r="C705">
        <f>Weekly_Inspections!$E705</f>
        <v>0</v>
      </c>
      <c r="D705">
        <f>Weekly_Inspections!$F705</f>
        <v>0</v>
      </c>
      <c r="E705" t="str">
        <f>Weekly_Inspections!$H705</f>
        <v/>
      </c>
      <c r="F705">
        <f>IF(Weekly_Inspections!$AX705&lt;&gt;"",Weekly_Inspections!$AX705,IF(Weekly_Inspections!$AY705&lt;&gt;"",Weekly_Inspections!$AY705,IF(Weekly_Inspections!$AZ705&lt;&gt;"",Weekly_Inspections!$AZ705,IF(Weekly_Inspections!$BA705&lt;&gt;"",Weekly_Inspections!$BA705,IF(Weekly_Inspections!$BB705&lt;&gt;"",Weekly_Inspections!$BB705,Weekly_Inspections!$R705)))))</f>
        <v>0</v>
      </c>
      <c r="G705" t="str">
        <f>IF(OR(Weekly_Inspections!$AQ705&lt;&gt;"",Weekly_Inspections!$AR705&lt;&gt;"",Weekly_Inspections!$AS705&lt;&gt;""),Weekly_Inspections!$AQ705,"")</f>
        <v/>
      </c>
      <c r="H705">
        <f>Weekly_Inspections!$AP705</f>
        <v>0</v>
      </c>
      <c r="I705">
        <f>Weekly_Inspections!$AR705</f>
        <v>0</v>
      </c>
      <c r="J705">
        <f>Weekly_Inspections!$AS705</f>
        <v>0</v>
      </c>
      <c r="K705">
        <f>Weekly_Inspections!$AU705</f>
        <v>0</v>
      </c>
      <c r="L705" s="24">
        <f>Weekly_Inspections!$AV705</f>
        <v>0</v>
      </c>
      <c r="M705" t="str">
        <f t="shared" si="33"/>
        <v>Open</v>
      </c>
      <c r="N705" s="24"/>
      <c r="O705">
        <f t="shared" ca="1" si="34"/>
        <v>46113</v>
      </c>
      <c r="P705" t="str">
        <f t="shared" ca="1" si="35"/>
        <v>YES</v>
      </c>
      <c r="Q705">
        <f>Weekly_Inspections!$AW705</f>
        <v>0</v>
      </c>
    </row>
    <row r="706" spans="1:17" ht="15" customHeight="1" x14ac:dyDescent="0.2">
      <c r="A706" t="str">
        <f>IF(Weekly_Inspections!$B706="","",Weekly_Inspections!$A706&amp;"-A1")</f>
        <v/>
      </c>
      <c r="B706" s="24">
        <f>Weekly_Inspections!$B706</f>
        <v>0</v>
      </c>
      <c r="C706">
        <f>Weekly_Inspections!$E706</f>
        <v>0</v>
      </c>
      <c r="D706">
        <f>Weekly_Inspections!$F706</f>
        <v>0</v>
      </c>
      <c r="E706" t="str">
        <f>Weekly_Inspections!$H706</f>
        <v/>
      </c>
      <c r="F706">
        <f>IF(Weekly_Inspections!$AX706&lt;&gt;"",Weekly_Inspections!$AX706,IF(Weekly_Inspections!$AY706&lt;&gt;"",Weekly_Inspections!$AY706,IF(Weekly_Inspections!$AZ706&lt;&gt;"",Weekly_Inspections!$AZ706,IF(Weekly_Inspections!$BA706&lt;&gt;"",Weekly_Inspections!$BA706,IF(Weekly_Inspections!$BB706&lt;&gt;"",Weekly_Inspections!$BB706,Weekly_Inspections!$R706)))))</f>
        <v>0</v>
      </c>
      <c r="G706" t="str">
        <f>IF(OR(Weekly_Inspections!$AQ706&lt;&gt;"",Weekly_Inspections!$AR706&lt;&gt;"",Weekly_Inspections!$AS706&lt;&gt;""),Weekly_Inspections!$AQ706,"")</f>
        <v/>
      </c>
      <c r="H706">
        <f>Weekly_Inspections!$AP706</f>
        <v>0</v>
      </c>
      <c r="I706">
        <f>Weekly_Inspections!$AR706</f>
        <v>0</v>
      </c>
      <c r="J706">
        <f>Weekly_Inspections!$AS706</f>
        <v>0</v>
      </c>
      <c r="K706">
        <f>Weekly_Inspections!$AU706</f>
        <v>0</v>
      </c>
      <c r="L706" s="24">
        <f>Weekly_Inspections!$AV706</f>
        <v>0</v>
      </c>
      <c r="M706" t="str">
        <f t="shared" si="33"/>
        <v>Open</v>
      </c>
      <c r="N706" s="24"/>
      <c r="O706">
        <f t="shared" ca="1" si="34"/>
        <v>46113</v>
      </c>
      <c r="P706" t="str">
        <f t="shared" ca="1" si="35"/>
        <v>YES</v>
      </c>
      <c r="Q706">
        <f>Weekly_Inspections!$AW706</f>
        <v>0</v>
      </c>
    </row>
    <row r="707" spans="1:17" ht="15" customHeight="1" x14ac:dyDescent="0.2">
      <c r="A707" t="str">
        <f>IF(Weekly_Inspections!$B707="","",Weekly_Inspections!$A707&amp;"-A1")</f>
        <v/>
      </c>
      <c r="B707" s="24">
        <f>Weekly_Inspections!$B707</f>
        <v>0</v>
      </c>
      <c r="C707">
        <f>Weekly_Inspections!$E707</f>
        <v>0</v>
      </c>
      <c r="D707">
        <f>Weekly_Inspections!$F707</f>
        <v>0</v>
      </c>
      <c r="E707" t="str">
        <f>Weekly_Inspections!$H707</f>
        <v/>
      </c>
      <c r="F707">
        <f>IF(Weekly_Inspections!$AX707&lt;&gt;"",Weekly_Inspections!$AX707,IF(Weekly_Inspections!$AY707&lt;&gt;"",Weekly_Inspections!$AY707,IF(Weekly_Inspections!$AZ707&lt;&gt;"",Weekly_Inspections!$AZ707,IF(Weekly_Inspections!$BA707&lt;&gt;"",Weekly_Inspections!$BA707,IF(Weekly_Inspections!$BB707&lt;&gt;"",Weekly_Inspections!$BB707,Weekly_Inspections!$R707)))))</f>
        <v>0</v>
      </c>
      <c r="G707" t="str">
        <f>IF(OR(Weekly_Inspections!$AQ707&lt;&gt;"",Weekly_Inspections!$AR707&lt;&gt;"",Weekly_Inspections!$AS707&lt;&gt;""),Weekly_Inspections!$AQ707,"")</f>
        <v/>
      </c>
      <c r="H707">
        <f>Weekly_Inspections!$AP707</f>
        <v>0</v>
      </c>
      <c r="I707">
        <f>Weekly_Inspections!$AR707</f>
        <v>0</v>
      </c>
      <c r="J707">
        <f>Weekly_Inspections!$AS707</f>
        <v>0</v>
      </c>
      <c r="K707">
        <f>Weekly_Inspections!$AU707</f>
        <v>0</v>
      </c>
      <c r="L707" s="24">
        <f>Weekly_Inspections!$AV707</f>
        <v>0</v>
      </c>
      <c r="M707" t="str">
        <f t="shared" si="33"/>
        <v>Open</v>
      </c>
      <c r="N707" s="24"/>
      <c r="O707">
        <f t="shared" ca="1" si="34"/>
        <v>46113</v>
      </c>
      <c r="P707" t="str">
        <f t="shared" ca="1" si="35"/>
        <v>YES</v>
      </c>
      <c r="Q707">
        <f>Weekly_Inspections!$AW707</f>
        <v>0</v>
      </c>
    </row>
    <row r="708" spans="1:17" ht="15" customHeight="1" x14ac:dyDescent="0.2">
      <c r="A708" t="str">
        <f>IF(Weekly_Inspections!$B708="","",Weekly_Inspections!$A708&amp;"-A1")</f>
        <v/>
      </c>
      <c r="B708" s="24">
        <f>Weekly_Inspections!$B708</f>
        <v>0</v>
      </c>
      <c r="C708">
        <f>Weekly_Inspections!$E708</f>
        <v>0</v>
      </c>
      <c r="D708">
        <f>Weekly_Inspections!$F708</f>
        <v>0</v>
      </c>
      <c r="E708" t="str">
        <f>Weekly_Inspections!$H708</f>
        <v/>
      </c>
      <c r="F708">
        <f>IF(Weekly_Inspections!$AX708&lt;&gt;"",Weekly_Inspections!$AX708,IF(Weekly_Inspections!$AY708&lt;&gt;"",Weekly_Inspections!$AY708,IF(Weekly_Inspections!$AZ708&lt;&gt;"",Weekly_Inspections!$AZ708,IF(Weekly_Inspections!$BA708&lt;&gt;"",Weekly_Inspections!$BA708,IF(Weekly_Inspections!$BB708&lt;&gt;"",Weekly_Inspections!$BB708,Weekly_Inspections!$R708)))))</f>
        <v>0</v>
      </c>
      <c r="G708" t="str">
        <f>IF(OR(Weekly_Inspections!$AQ708&lt;&gt;"",Weekly_Inspections!$AR708&lt;&gt;"",Weekly_Inspections!$AS708&lt;&gt;""),Weekly_Inspections!$AQ708,"")</f>
        <v/>
      </c>
      <c r="H708">
        <f>Weekly_Inspections!$AP708</f>
        <v>0</v>
      </c>
      <c r="I708">
        <f>Weekly_Inspections!$AR708</f>
        <v>0</v>
      </c>
      <c r="J708">
        <f>Weekly_Inspections!$AS708</f>
        <v>0</v>
      </c>
      <c r="K708">
        <f>Weekly_Inspections!$AU708</f>
        <v>0</v>
      </c>
      <c r="L708" s="24">
        <f>Weekly_Inspections!$AV708</f>
        <v>0</v>
      </c>
      <c r="M708" t="str">
        <f t="shared" si="33"/>
        <v>Open</v>
      </c>
      <c r="N708" s="24"/>
      <c r="O708">
        <f t="shared" ca="1" si="34"/>
        <v>46113</v>
      </c>
      <c r="P708" t="str">
        <f t="shared" ca="1" si="35"/>
        <v>YES</v>
      </c>
      <c r="Q708">
        <f>Weekly_Inspections!$AW708</f>
        <v>0</v>
      </c>
    </row>
    <row r="709" spans="1:17" ht="15" customHeight="1" x14ac:dyDescent="0.2">
      <c r="A709" t="str">
        <f>IF(Weekly_Inspections!$B709="","",Weekly_Inspections!$A709&amp;"-A1")</f>
        <v/>
      </c>
      <c r="B709" s="24">
        <f>Weekly_Inspections!$B709</f>
        <v>0</v>
      </c>
      <c r="C709">
        <f>Weekly_Inspections!$E709</f>
        <v>0</v>
      </c>
      <c r="D709">
        <f>Weekly_Inspections!$F709</f>
        <v>0</v>
      </c>
      <c r="E709" t="str">
        <f>Weekly_Inspections!$H709</f>
        <v/>
      </c>
      <c r="F709">
        <f>IF(Weekly_Inspections!$AX709&lt;&gt;"",Weekly_Inspections!$AX709,IF(Weekly_Inspections!$AY709&lt;&gt;"",Weekly_Inspections!$AY709,IF(Weekly_Inspections!$AZ709&lt;&gt;"",Weekly_Inspections!$AZ709,IF(Weekly_Inspections!$BA709&lt;&gt;"",Weekly_Inspections!$BA709,IF(Weekly_Inspections!$BB709&lt;&gt;"",Weekly_Inspections!$BB709,Weekly_Inspections!$R709)))))</f>
        <v>0</v>
      </c>
      <c r="G709" t="str">
        <f>IF(OR(Weekly_Inspections!$AQ709&lt;&gt;"",Weekly_Inspections!$AR709&lt;&gt;"",Weekly_Inspections!$AS709&lt;&gt;""),Weekly_Inspections!$AQ709,"")</f>
        <v/>
      </c>
      <c r="H709">
        <f>Weekly_Inspections!$AP709</f>
        <v>0</v>
      </c>
      <c r="I709">
        <f>Weekly_Inspections!$AR709</f>
        <v>0</v>
      </c>
      <c r="J709">
        <f>Weekly_Inspections!$AS709</f>
        <v>0</v>
      </c>
      <c r="K709">
        <f>Weekly_Inspections!$AU709</f>
        <v>0</v>
      </c>
      <c r="L709" s="24">
        <f>Weekly_Inspections!$AV709</f>
        <v>0</v>
      </c>
      <c r="M709" t="str">
        <f t="shared" si="33"/>
        <v>Open</v>
      </c>
      <c r="N709" s="24"/>
      <c r="O709">
        <f t="shared" ca="1" si="34"/>
        <v>46113</v>
      </c>
      <c r="P709" t="str">
        <f t="shared" ca="1" si="35"/>
        <v>YES</v>
      </c>
      <c r="Q709">
        <f>Weekly_Inspections!$AW709</f>
        <v>0</v>
      </c>
    </row>
    <row r="710" spans="1:17" ht="15" customHeight="1" x14ac:dyDescent="0.2">
      <c r="A710" t="str">
        <f>IF(Weekly_Inspections!$B710="","",Weekly_Inspections!$A710&amp;"-A1")</f>
        <v/>
      </c>
      <c r="B710" s="24">
        <f>Weekly_Inspections!$B710</f>
        <v>0</v>
      </c>
      <c r="C710">
        <f>Weekly_Inspections!$E710</f>
        <v>0</v>
      </c>
      <c r="D710">
        <f>Weekly_Inspections!$F710</f>
        <v>0</v>
      </c>
      <c r="E710" t="str">
        <f>Weekly_Inspections!$H710</f>
        <v/>
      </c>
      <c r="F710">
        <f>IF(Weekly_Inspections!$AX710&lt;&gt;"",Weekly_Inspections!$AX710,IF(Weekly_Inspections!$AY710&lt;&gt;"",Weekly_Inspections!$AY710,IF(Weekly_Inspections!$AZ710&lt;&gt;"",Weekly_Inspections!$AZ710,IF(Weekly_Inspections!$BA710&lt;&gt;"",Weekly_Inspections!$BA710,IF(Weekly_Inspections!$BB710&lt;&gt;"",Weekly_Inspections!$BB710,Weekly_Inspections!$R710)))))</f>
        <v>0</v>
      </c>
      <c r="G710" t="str">
        <f>IF(OR(Weekly_Inspections!$AQ710&lt;&gt;"",Weekly_Inspections!$AR710&lt;&gt;"",Weekly_Inspections!$AS710&lt;&gt;""),Weekly_Inspections!$AQ710,"")</f>
        <v/>
      </c>
      <c r="H710">
        <f>Weekly_Inspections!$AP710</f>
        <v>0</v>
      </c>
      <c r="I710">
        <f>Weekly_Inspections!$AR710</f>
        <v>0</v>
      </c>
      <c r="J710">
        <f>Weekly_Inspections!$AS710</f>
        <v>0</v>
      </c>
      <c r="K710">
        <f>Weekly_Inspections!$AU710</f>
        <v>0</v>
      </c>
      <c r="L710" s="24">
        <f>Weekly_Inspections!$AV710</f>
        <v>0</v>
      </c>
      <c r="M710" t="str">
        <f t="shared" si="33"/>
        <v>Open</v>
      </c>
      <c r="N710" s="24"/>
      <c r="O710">
        <f t="shared" ca="1" si="34"/>
        <v>46113</v>
      </c>
      <c r="P710" t="str">
        <f t="shared" ca="1" si="35"/>
        <v>YES</v>
      </c>
      <c r="Q710">
        <f>Weekly_Inspections!$AW710</f>
        <v>0</v>
      </c>
    </row>
    <row r="711" spans="1:17" ht="15" customHeight="1" x14ac:dyDescent="0.2">
      <c r="A711" t="str">
        <f>IF(Weekly_Inspections!$B711="","",Weekly_Inspections!$A711&amp;"-A1")</f>
        <v/>
      </c>
      <c r="B711" s="24">
        <f>Weekly_Inspections!$B711</f>
        <v>0</v>
      </c>
      <c r="C711">
        <f>Weekly_Inspections!$E711</f>
        <v>0</v>
      </c>
      <c r="D711">
        <f>Weekly_Inspections!$F711</f>
        <v>0</v>
      </c>
      <c r="E711" t="str">
        <f>Weekly_Inspections!$H711</f>
        <v/>
      </c>
      <c r="F711">
        <f>IF(Weekly_Inspections!$AX711&lt;&gt;"",Weekly_Inspections!$AX711,IF(Weekly_Inspections!$AY711&lt;&gt;"",Weekly_Inspections!$AY711,IF(Weekly_Inspections!$AZ711&lt;&gt;"",Weekly_Inspections!$AZ711,IF(Weekly_Inspections!$BA711&lt;&gt;"",Weekly_Inspections!$BA711,IF(Weekly_Inspections!$BB711&lt;&gt;"",Weekly_Inspections!$BB711,Weekly_Inspections!$R711)))))</f>
        <v>0</v>
      </c>
      <c r="G711" t="str">
        <f>IF(OR(Weekly_Inspections!$AQ711&lt;&gt;"",Weekly_Inspections!$AR711&lt;&gt;"",Weekly_Inspections!$AS711&lt;&gt;""),Weekly_Inspections!$AQ711,"")</f>
        <v/>
      </c>
      <c r="H711">
        <f>Weekly_Inspections!$AP711</f>
        <v>0</v>
      </c>
      <c r="I711">
        <f>Weekly_Inspections!$AR711</f>
        <v>0</v>
      </c>
      <c r="J711">
        <f>Weekly_Inspections!$AS711</f>
        <v>0</v>
      </c>
      <c r="K711">
        <f>Weekly_Inspections!$AU711</f>
        <v>0</v>
      </c>
      <c r="L711" s="24">
        <f>Weekly_Inspections!$AV711</f>
        <v>0</v>
      </c>
      <c r="M711" t="str">
        <f t="shared" si="33"/>
        <v>Open</v>
      </c>
      <c r="N711" s="24"/>
      <c r="O711">
        <f t="shared" ca="1" si="34"/>
        <v>46113</v>
      </c>
      <c r="P711" t="str">
        <f t="shared" ca="1" si="35"/>
        <v>YES</v>
      </c>
      <c r="Q711">
        <f>Weekly_Inspections!$AW711</f>
        <v>0</v>
      </c>
    </row>
    <row r="712" spans="1:17" ht="15" customHeight="1" x14ac:dyDescent="0.2">
      <c r="A712" t="str">
        <f>IF(Weekly_Inspections!$B712="","",Weekly_Inspections!$A712&amp;"-A1")</f>
        <v/>
      </c>
      <c r="B712" s="24">
        <f>Weekly_Inspections!$B712</f>
        <v>0</v>
      </c>
      <c r="C712">
        <f>Weekly_Inspections!$E712</f>
        <v>0</v>
      </c>
      <c r="D712">
        <f>Weekly_Inspections!$F712</f>
        <v>0</v>
      </c>
      <c r="E712" t="str">
        <f>Weekly_Inspections!$H712</f>
        <v/>
      </c>
      <c r="F712">
        <f>IF(Weekly_Inspections!$AX712&lt;&gt;"",Weekly_Inspections!$AX712,IF(Weekly_Inspections!$AY712&lt;&gt;"",Weekly_Inspections!$AY712,IF(Weekly_Inspections!$AZ712&lt;&gt;"",Weekly_Inspections!$AZ712,IF(Weekly_Inspections!$BA712&lt;&gt;"",Weekly_Inspections!$BA712,IF(Weekly_Inspections!$BB712&lt;&gt;"",Weekly_Inspections!$BB712,Weekly_Inspections!$R712)))))</f>
        <v>0</v>
      </c>
      <c r="G712" t="str">
        <f>IF(OR(Weekly_Inspections!$AQ712&lt;&gt;"",Weekly_Inspections!$AR712&lt;&gt;"",Weekly_Inspections!$AS712&lt;&gt;""),Weekly_Inspections!$AQ712,"")</f>
        <v/>
      </c>
      <c r="H712">
        <f>Weekly_Inspections!$AP712</f>
        <v>0</v>
      </c>
      <c r="I712">
        <f>Weekly_Inspections!$AR712</f>
        <v>0</v>
      </c>
      <c r="J712">
        <f>Weekly_Inspections!$AS712</f>
        <v>0</v>
      </c>
      <c r="K712">
        <f>Weekly_Inspections!$AU712</f>
        <v>0</v>
      </c>
      <c r="L712" s="24">
        <f>Weekly_Inspections!$AV712</f>
        <v>0</v>
      </c>
      <c r="M712" t="str">
        <f t="shared" si="33"/>
        <v>Open</v>
      </c>
      <c r="N712" s="24"/>
      <c r="O712">
        <f t="shared" ca="1" si="34"/>
        <v>46113</v>
      </c>
      <c r="P712" t="str">
        <f t="shared" ca="1" si="35"/>
        <v>YES</v>
      </c>
      <c r="Q712">
        <f>Weekly_Inspections!$AW712</f>
        <v>0</v>
      </c>
    </row>
    <row r="713" spans="1:17" ht="15" customHeight="1" x14ac:dyDescent="0.2">
      <c r="A713" t="str">
        <f>IF(Weekly_Inspections!$B713="","",Weekly_Inspections!$A713&amp;"-A1")</f>
        <v/>
      </c>
      <c r="B713" s="24">
        <f>Weekly_Inspections!$B713</f>
        <v>0</v>
      </c>
      <c r="C713">
        <f>Weekly_Inspections!$E713</f>
        <v>0</v>
      </c>
      <c r="D713">
        <f>Weekly_Inspections!$F713</f>
        <v>0</v>
      </c>
      <c r="E713" t="str">
        <f>Weekly_Inspections!$H713</f>
        <v/>
      </c>
      <c r="F713">
        <f>IF(Weekly_Inspections!$AX713&lt;&gt;"",Weekly_Inspections!$AX713,IF(Weekly_Inspections!$AY713&lt;&gt;"",Weekly_Inspections!$AY713,IF(Weekly_Inspections!$AZ713&lt;&gt;"",Weekly_Inspections!$AZ713,IF(Weekly_Inspections!$BA713&lt;&gt;"",Weekly_Inspections!$BA713,IF(Weekly_Inspections!$BB713&lt;&gt;"",Weekly_Inspections!$BB713,Weekly_Inspections!$R713)))))</f>
        <v>0</v>
      </c>
      <c r="G713" t="str">
        <f>IF(OR(Weekly_Inspections!$AQ713&lt;&gt;"",Weekly_Inspections!$AR713&lt;&gt;"",Weekly_Inspections!$AS713&lt;&gt;""),Weekly_Inspections!$AQ713,"")</f>
        <v/>
      </c>
      <c r="H713">
        <f>Weekly_Inspections!$AP713</f>
        <v>0</v>
      </c>
      <c r="I713">
        <f>Weekly_Inspections!$AR713</f>
        <v>0</v>
      </c>
      <c r="J713">
        <f>Weekly_Inspections!$AS713</f>
        <v>0</v>
      </c>
      <c r="K713">
        <f>Weekly_Inspections!$AU713</f>
        <v>0</v>
      </c>
      <c r="L713" s="24">
        <f>Weekly_Inspections!$AV713</f>
        <v>0</v>
      </c>
      <c r="M713" t="str">
        <f t="shared" si="33"/>
        <v>Open</v>
      </c>
      <c r="N713" s="24"/>
      <c r="O713">
        <f t="shared" ca="1" si="34"/>
        <v>46113</v>
      </c>
      <c r="P713" t="str">
        <f t="shared" ca="1" si="35"/>
        <v>YES</v>
      </c>
      <c r="Q713">
        <f>Weekly_Inspections!$AW713</f>
        <v>0</v>
      </c>
    </row>
    <row r="714" spans="1:17" ht="15" customHeight="1" x14ac:dyDescent="0.2">
      <c r="A714" t="str">
        <f>IF(Weekly_Inspections!$B714="","",Weekly_Inspections!$A714&amp;"-A1")</f>
        <v/>
      </c>
      <c r="B714" s="24">
        <f>Weekly_Inspections!$B714</f>
        <v>0</v>
      </c>
      <c r="C714">
        <f>Weekly_Inspections!$E714</f>
        <v>0</v>
      </c>
      <c r="D714">
        <f>Weekly_Inspections!$F714</f>
        <v>0</v>
      </c>
      <c r="E714" t="str">
        <f>Weekly_Inspections!$H714</f>
        <v/>
      </c>
      <c r="F714">
        <f>IF(Weekly_Inspections!$AX714&lt;&gt;"",Weekly_Inspections!$AX714,IF(Weekly_Inspections!$AY714&lt;&gt;"",Weekly_Inspections!$AY714,IF(Weekly_Inspections!$AZ714&lt;&gt;"",Weekly_Inspections!$AZ714,IF(Weekly_Inspections!$BA714&lt;&gt;"",Weekly_Inspections!$BA714,IF(Weekly_Inspections!$BB714&lt;&gt;"",Weekly_Inspections!$BB714,Weekly_Inspections!$R714)))))</f>
        <v>0</v>
      </c>
      <c r="G714" t="str">
        <f>IF(OR(Weekly_Inspections!$AQ714&lt;&gt;"",Weekly_Inspections!$AR714&lt;&gt;"",Weekly_Inspections!$AS714&lt;&gt;""),Weekly_Inspections!$AQ714,"")</f>
        <v/>
      </c>
      <c r="H714">
        <f>Weekly_Inspections!$AP714</f>
        <v>0</v>
      </c>
      <c r="I714">
        <f>Weekly_Inspections!$AR714</f>
        <v>0</v>
      </c>
      <c r="J714">
        <f>Weekly_Inspections!$AS714</f>
        <v>0</v>
      </c>
      <c r="K714">
        <f>Weekly_Inspections!$AU714</f>
        <v>0</v>
      </c>
      <c r="L714" s="24">
        <f>Weekly_Inspections!$AV714</f>
        <v>0</v>
      </c>
      <c r="M714" t="str">
        <f t="shared" si="33"/>
        <v>Open</v>
      </c>
      <c r="N714" s="24"/>
      <c r="O714">
        <f t="shared" ca="1" si="34"/>
        <v>46113</v>
      </c>
      <c r="P714" t="str">
        <f t="shared" ca="1" si="35"/>
        <v>YES</v>
      </c>
      <c r="Q714">
        <f>Weekly_Inspections!$AW714</f>
        <v>0</v>
      </c>
    </row>
    <row r="715" spans="1:17" ht="15" customHeight="1" x14ac:dyDescent="0.2">
      <c r="A715" t="str">
        <f>IF(Weekly_Inspections!$B715="","",Weekly_Inspections!$A715&amp;"-A1")</f>
        <v/>
      </c>
      <c r="B715" s="24">
        <f>Weekly_Inspections!$B715</f>
        <v>0</v>
      </c>
      <c r="C715">
        <f>Weekly_Inspections!$E715</f>
        <v>0</v>
      </c>
      <c r="D715">
        <f>Weekly_Inspections!$F715</f>
        <v>0</v>
      </c>
      <c r="E715" t="str">
        <f>Weekly_Inspections!$H715</f>
        <v/>
      </c>
      <c r="F715">
        <f>IF(Weekly_Inspections!$AX715&lt;&gt;"",Weekly_Inspections!$AX715,IF(Weekly_Inspections!$AY715&lt;&gt;"",Weekly_Inspections!$AY715,IF(Weekly_Inspections!$AZ715&lt;&gt;"",Weekly_Inspections!$AZ715,IF(Weekly_Inspections!$BA715&lt;&gt;"",Weekly_Inspections!$BA715,IF(Weekly_Inspections!$BB715&lt;&gt;"",Weekly_Inspections!$BB715,Weekly_Inspections!$R715)))))</f>
        <v>0</v>
      </c>
      <c r="G715" t="str">
        <f>IF(OR(Weekly_Inspections!$AQ715&lt;&gt;"",Weekly_Inspections!$AR715&lt;&gt;"",Weekly_Inspections!$AS715&lt;&gt;""),Weekly_Inspections!$AQ715,"")</f>
        <v/>
      </c>
      <c r="H715">
        <f>Weekly_Inspections!$AP715</f>
        <v>0</v>
      </c>
      <c r="I715">
        <f>Weekly_Inspections!$AR715</f>
        <v>0</v>
      </c>
      <c r="J715">
        <f>Weekly_Inspections!$AS715</f>
        <v>0</v>
      </c>
      <c r="K715">
        <f>Weekly_Inspections!$AU715</f>
        <v>0</v>
      </c>
      <c r="L715" s="24">
        <f>Weekly_Inspections!$AV715</f>
        <v>0</v>
      </c>
      <c r="M715" t="str">
        <f t="shared" si="33"/>
        <v>Open</v>
      </c>
      <c r="N715" s="24"/>
      <c r="O715">
        <f t="shared" ca="1" si="34"/>
        <v>46113</v>
      </c>
      <c r="P715" t="str">
        <f t="shared" ca="1" si="35"/>
        <v>YES</v>
      </c>
      <c r="Q715">
        <f>Weekly_Inspections!$AW715</f>
        <v>0</v>
      </c>
    </row>
    <row r="716" spans="1:17" ht="15" customHeight="1" x14ac:dyDescent="0.2">
      <c r="A716" t="str">
        <f>IF(Weekly_Inspections!$B716="","",Weekly_Inspections!$A716&amp;"-A1")</f>
        <v/>
      </c>
      <c r="B716" s="24">
        <f>Weekly_Inspections!$B716</f>
        <v>0</v>
      </c>
      <c r="C716">
        <f>Weekly_Inspections!$E716</f>
        <v>0</v>
      </c>
      <c r="D716">
        <f>Weekly_Inspections!$F716</f>
        <v>0</v>
      </c>
      <c r="E716" t="str">
        <f>Weekly_Inspections!$H716</f>
        <v/>
      </c>
      <c r="F716">
        <f>IF(Weekly_Inspections!$AX716&lt;&gt;"",Weekly_Inspections!$AX716,IF(Weekly_Inspections!$AY716&lt;&gt;"",Weekly_Inspections!$AY716,IF(Weekly_Inspections!$AZ716&lt;&gt;"",Weekly_Inspections!$AZ716,IF(Weekly_Inspections!$BA716&lt;&gt;"",Weekly_Inspections!$BA716,IF(Weekly_Inspections!$BB716&lt;&gt;"",Weekly_Inspections!$BB716,Weekly_Inspections!$R716)))))</f>
        <v>0</v>
      </c>
      <c r="G716" t="str">
        <f>IF(OR(Weekly_Inspections!$AQ716&lt;&gt;"",Weekly_Inspections!$AR716&lt;&gt;"",Weekly_Inspections!$AS716&lt;&gt;""),Weekly_Inspections!$AQ716,"")</f>
        <v/>
      </c>
      <c r="H716">
        <f>Weekly_Inspections!$AP716</f>
        <v>0</v>
      </c>
      <c r="I716">
        <f>Weekly_Inspections!$AR716</f>
        <v>0</v>
      </c>
      <c r="J716">
        <f>Weekly_Inspections!$AS716</f>
        <v>0</v>
      </c>
      <c r="K716">
        <f>Weekly_Inspections!$AU716</f>
        <v>0</v>
      </c>
      <c r="L716" s="24">
        <f>Weekly_Inspections!$AV716</f>
        <v>0</v>
      </c>
      <c r="M716" t="str">
        <f t="shared" si="33"/>
        <v>Open</v>
      </c>
      <c r="N716" s="24"/>
      <c r="O716">
        <f t="shared" ca="1" si="34"/>
        <v>46113</v>
      </c>
      <c r="P716" t="str">
        <f t="shared" ca="1" si="35"/>
        <v>YES</v>
      </c>
      <c r="Q716">
        <f>Weekly_Inspections!$AW716</f>
        <v>0</v>
      </c>
    </row>
    <row r="717" spans="1:17" ht="15" customHeight="1" x14ac:dyDescent="0.2">
      <c r="A717" t="str">
        <f>IF(Weekly_Inspections!$B717="","",Weekly_Inspections!$A717&amp;"-A1")</f>
        <v/>
      </c>
      <c r="B717" s="24">
        <f>Weekly_Inspections!$B717</f>
        <v>0</v>
      </c>
      <c r="C717">
        <f>Weekly_Inspections!$E717</f>
        <v>0</v>
      </c>
      <c r="D717">
        <f>Weekly_Inspections!$F717</f>
        <v>0</v>
      </c>
      <c r="E717" t="str">
        <f>Weekly_Inspections!$H717</f>
        <v/>
      </c>
      <c r="F717">
        <f>IF(Weekly_Inspections!$AX717&lt;&gt;"",Weekly_Inspections!$AX717,IF(Weekly_Inspections!$AY717&lt;&gt;"",Weekly_Inspections!$AY717,IF(Weekly_Inspections!$AZ717&lt;&gt;"",Weekly_Inspections!$AZ717,IF(Weekly_Inspections!$BA717&lt;&gt;"",Weekly_Inspections!$BA717,IF(Weekly_Inspections!$BB717&lt;&gt;"",Weekly_Inspections!$BB717,Weekly_Inspections!$R717)))))</f>
        <v>0</v>
      </c>
      <c r="G717" t="str">
        <f>IF(OR(Weekly_Inspections!$AQ717&lt;&gt;"",Weekly_Inspections!$AR717&lt;&gt;"",Weekly_Inspections!$AS717&lt;&gt;""),Weekly_Inspections!$AQ717,"")</f>
        <v/>
      </c>
      <c r="H717">
        <f>Weekly_Inspections!$AP717</f>
        <v>0</v>
      </c>
      <c r="I717">
        <f>Weekly_Inspections!$AR717</f>
        <v>0</v>
      </c>
      <c r="J717">
        <f>Weekly_Inspections!$AS717</f>
        <v>0</v>
      </c>
      <c r="K717">
        <f>Weekly_Inspections!$AU717</f>
        <v>0</v>
      </c>
      <c r="L717" s="24">
        <f>Weekly_Inspections!$AV717</f>
        <v>0</v>
      </c>
      <c r="M717" t="str">
        <f t="shared" si="33"/>
        <v>Open</v>
      </c>
      <c r="N717" s="24"/>
      <c r="O717">
        <f t="shared" ca="1" si="34"/>
        <v>46113</v>
      </c>
      <c r="P717" t="str">
        <f t="shared" ca="1" si="35"/>
        <v>YES</v>
      </c>
      <c r="Q717">
        <f>Weekly_Inspections!$AW717</f>
        <v>0</v>
      </c>
    </row>
    <row r="718" spans="1:17" ht="15" customHeight="1" x14ac:dyDescent="0.2">
      <c r="A718" t="str">
        <f>IF(Weekly_Inspections!$B718="","",Weekly_Inspections!$A718&amp;"-A1")</f>
        <v/>
      </c>
      <c r="B718" s="24">
        <f>Weekly_Inspections!$B718</f>
        <v>0</v>
      </c>
      <c r="C718">
        <f>Weekly_Inspections!$E718</f>
        <v>0</v>
      </c>
      <c r="D718">
        <f>Weekly_Inspections!$F718</f>
        <v>0</v>
      </c>
      <c r="E718" t="str">
        <f>Weekly_Inspections!$H718</f>
        <v/>
      </c>
      <c r="F718">
        <f>IF(Weekly_Inspections!$AX718&lt;&gt;"",Weekly_Inspections!$AX718,IF(Weekly_Inspections!$AY718&lt;&gt;"",Weekly_Inspections!$AY718,IF(Weekly_Inspections!$AZ718&lt;&gt;"",Weekly_Inspections!$AZ718,IF(Weekly_Inspections!$BA718&lt;&gt;"",Weekly_Inspections!$BA718,IF(Weekly_Inspections!$BB718&lt;&gt;"",Weekly_Inspections!$BB718,Weekly_Inspections!$R718)))))</f>
        <v>0</v>
      </c>
      <c r="G718" t="str">
        <f>IF(OR(Weekly_Inspections!$AQ718&lt;&gt;"",Weekly_Inspections!$AR718&lt;&gt;"",Weekly_Inspections!$AS718&lt;&gt;""),Weekly_Inspections!$AQ718,"")</f>
        <v/>
      </c>
      <c r="H718">
        <f>Weekly_Inspections!$AP718</f>
        <v>0</v>
      </c>
      <c r="I718">
        <f>Weekly_Inspections!$AR718</f>
        <v>0</v>
      </c>
      <c r="J718">
        <f>Weekly_Inspections!$AS718</f>
        <v>0</v>
      </c>
      <c r="K718">
        <f>Weekly_Inspections!$AU718</f>
        <v>0</v>
      </c>
      <c r="L718" s="24">
        <f>Weekly_Inspections!$AV718</f>
        <v>0</v>
      </c>
      <c r="M718" t="str">
        <f t="shared" si="33"/>
        <v>Open</v>
      </c>
      <c r="N718" s="24"/>
      <c r="O718">
        <f t="shared" ca="1" si="34"/>
        <v>46113</v>
      </c>
      <c r="P718" t="str">
        <f t="shared" ca="1" si="35"/>
        <v>YES</v>
      </c>
      <c r="Q718">
        <f>Weekly_Inspections!$AW718</f>
        <v>0</v>
      </c>
    </row>
    <row r="719" spans="1:17" ht="15" customHeight="1" x14ac:dyDescent="0.2">
      <c r="A719" t="str">
        <f>IF(Weekly_Inspections!$B719="","",Weekly_Inspections!$A719&amp;"-A1")</f>
        <v/>
      </c>
      <c r="B719" s="24">
        <f>Weekly_Inspections!$B719</f>
        <v>0</v>
      </c>
      <c r="C719">
        <f>Weekly_Inspections!$E719</f>
        <v>0</v>
      </c>
      <c r="D719">
        <f>Weekly_Inspections!$F719</f>
        <v>0</v>
      </c>
      <c r="E719" t="str">
        <f>Weekly_Inspections!$H719</f>
        <v/>
      </c>
      <c r="F719">
        <f>IF(Weekly_Inspections!$AX719&lt;&gt;"",Weekly_Inspections!$AX719,IF(Weekly_Inspections!$AY719&lt;&gt;"",Weekly_Inspections!$AY719,IF(Weekly_Inspections!$AZ719&lt;&gt;"",Weekly_Inspections!$AZ719,IF(Weekly_Inspections!$BA719&lt;&gt;"",Weekly_Inspections!$BA719,IF(Weekly_Inspections!$BB719&lt;&gt;"",Weekly_Inspections!$BB719,Weekly_Inspections!$R719)))))</f>
        <v>0</v>
      </c>
      <c r="G719" t="str">
        <f>IF(OR(Weekly_Inspections!$AQ719&lt;&gt;"",Weekly_Inspections!$AR719&lt;&gt;"",Weekly_Inspections!$AS719&lt;&gt;""),Weekly_Inspections!$AQ719,"")</f>
        <v/>
      </c>
      <c r="H719">
        <f>Weekly_Inspections!$AP719</f>
        <v>0</v>
      </c>
      <c r="I719">
        <f>Weekly_Inspections!$AR719</f>
        <v>0</v>
      </c>
      <c r="J719">
        <f>Weekly_Inspections!$AS719</f>
        <v>0</v>
      </c>
      <c r="K719">
        <f>Weekly_Inspections!$AU719</f>
        <v>0</v>
      </c>
      <c r="L719" s="24">
        <f>Weekly_Inspections!$AV719</f>
        <v>0</v>
      </c>
      <c r="M719" t="str">
        <f t="shared" si="33"/>
        <v>Open</v>
      </c>
      <c r="N719" s="24"/>
      <c r="O719">
        <f t="shared" ca="1" si="34"/>
        <v>46113</v>
      </c>
      <c r="P719" t="str">
        <f t="shared" ca="1" si="35"/>
        <v>YES</v>
      </c>
      <c r="Q719">
        <f>Weekly_Inspections!$AW719</f>
        <v>0</v>
      </c>
    </row>
    <row r="720" spans="1:17" ht="15" customHeight="1" x14ac:dyDescent="0.2">
      <c r="A720" t="str">
        <f>IF(Weekly_Inspections!$B720="","",Weekly_Inspections!$A720&amp;"-A1")</f>
        <v/>
      </c>
      <c r="B720" s="24">
        <f>Weekly_Inspections!$B720</f>
        <v>0</v>
      </c>
      <c r="C720">
        <f>Weekly_Inspections!$E720</f>
        <v>0</v>
      </c>
      <c r="D720">
        <f>Weekly_Inspections!$F720</f>
        <v>0</v>
      </c>
      <c r="E720" t="str">
        <f>Weekly_Inspections!$H720</f>
        <v/>
      </c>
      <c r="F720">
        <f>IF(Weekly_Inspections!$AX720&lt;&gt;"",Weekly_Inspections!$AX720,IF(Weekly_Inspections!$AY720&lt;&gt;"",Weekly_Inspections!$AY720,IF(Weekly_Inspections!$AZ720&lt;&gt;"",Weekly_Inspections!$AZ720,IF(Weekly_Inspections!$BA720&lt;&gt;"",Weekly_Inspections!$BA720,IF(Weekly_Inspections!$BB720&lt;&gt;"",Weekly_Inspections!$BB720,Weekly_Inspections!$R720)))))</f>
        <v>0</v>
      </c>
      <c r="G720" t="str">
        <f>IF(OR(Weekly_Inspections!$AQ720&lt;&gt;"",Weekly_Inspections!$AR720&lt;&gt;"",Weekly_Inspections!$AS720&lt;&gt;""),Weekly_Inspections!$AQ720,"")</f>
        <v/>
      </c>
      <c r="H720">
        <f>Weekly_Inspections!$AP720</f>
        <v>0</v>
      </c>
      <c r="I720">
        <f>Weekly_Inspections!$AR720</f>
        <v>0</v>
      </c>
      <c r="J720">
        <f>Weekly_Inspections!$AS720</f>
        <v>0</v>
      </c>
      <c r="K720">
        <f>Weekly_Inspections!$AU720</f>
        <v>0</v>
      </c>
      <c r="L720" s="24">
        <f>Weekly_Inspections!$AV720</f>
        <v>0</v>
      </c>
      <c r="M720" t="str">
        <f t="shared" si="33"/>
        <v>Open</v>
      </c>
      <c r="N720" s="24"/>
      <c r="O720">
        <f t="shared" ca="1" si="34"/>
        <v>46113</v>
      </c>
      <c r="P720" t="str">
        <f t="shared" ca="1" si="35"/>
        <v>YES</v>
      </c>
      <c r="Q720">
        <f>Weekly_Inspections!$AW720</f>
        <v>0</v>
      </c>
    </row>
    <row r="721" spans="1:17" ht="15" customHeight="1" x14ac:dyDescent="0.2">
      <c r="A721" t="str">
        <f>IF(Weekly_Inspections!$B721="","",Weekly_Inspections!$A721&amp;"-A1")</f>
        <v/>
      </c>
      <c r="B721" s="24">
        <f>Weekly_Inspections!$B721</f>
        <v>0</v>
      </c>
      <c r="C721">
        <f>Weekly_Inspections!$E721</f>
        <v>0</v>
      </c>
      <c r="D721">
        <f>Weekly_Inspections!$F721</f>
        <v>0</v>
      </c>
      <c r="E721" t="str">
        <f>Weekly_Inspections!$H721</f>
        <v/>
      </c>
      <c r="F721">
        <f>IF(Weekly_Inspections!$AX721&lt;&gt;"",Weekly_Inspections!$AX721,IF(Weekly_Inspections!$AY721&lt;&gt;"",Weekly_Inspections!$AY721,IF(Weekly_Inspections!$AZ721&lt;&gt;"",Weekly_Inspections!$AZ721,IF(Weekly_Inspections!$BA721&lt;&gt;"",Weekly_Inspections!$BA721,IF(Weekly_Inspections!$BB721&lt;&gt;"",Weekly_Inspections!$BB721,Weekly_Inspections!$R721)))))</f>
        <v>0</v>
      </c>
      <c r="G721" t="str">
        <f>IF(OR(Weekly_Inspections!$AQ721&lt;&gt;"",Weekly_Inspections!$AR721&lt;&gt;"",Weekly_Inspections!$AS721&lt;&gt;""),Weekly_Inspections!$AQ721,"")</f>
        <v/>
      </c>
      <c r="H721">
        <f>Weekly_Inspections!$AP721</f>
        <v>0</v>
      </c>
      <c r="I721">
        <f>Weekly_Inspections!$AR721</f>
        <v>0</v>
      </c>
      <c r="J721">
        <f>Weekly_Inspections!$AS721</f>
        <v>0</v>
      </c>
      <c r="K721">
        <f>Weekly_Inspections!$AU721</f>
        <v>0</v>
      </c>
      <c r="L721" s="24">
        <f>Weekly_Inspections!$AV721</f>
        <v>0</v>
      </c>
      <c r="M721" t="str">
        <f t="shared" si="33"/>
        <v>Open</v>
      </c>
      <c r="N721" s="24"/>
      <c r="O721">
        <f t="shared" ca="1" si="34"/>
        <v>46113</v>
      </c>
      <c r="P721" t="str">
        <f t="shared" ca="1" si="35"/>
        <v>YES</v>
      </c>
      <c r="Q721">
        <f>Weekly_Inspections!$AW721</f>
        <v>0</v>
      </c>
    </row>
    <row r="722" spans="1:17" ht="15" customHeight="1" x14ac:dyDescent="0.2">
      <c r="A722" t="str">
        <f>IF(Weekly_Inspections!$B722="","",Weekly_Inspections!$A722&amp;"-A1")</f>
        <v/>
      </c>
      <c r="B722" s="24">
        <f>Weekly_Inspections!$B722</f>
        <v>0</v>
      </c>
      <c r="C722">
        <f>Weekly_Inspections!$E722</f>
        <v>0</v>
      </c>
      <c r="D722">
        <f>Weekly_Inspections!$F722</f>
        <v>0</v>
      </c>
      <c r="E722" t="str">
        <f>Weekly_Inspections!$H722</f>
        <v/>
      </c>
      <c r="F722">
        <f>IF(Weekly_Inspections!$AX722&lt;&gt;"",Weekly_Inspections!$AX722,IF(Weekly_Inspections!$AY722&lt;&gt;"",Weekly_Inspections!$AY722,IF(Weekly_Inspections!$AZ722&lt;&gt;"",Weekly_Inspections!$AZ722,IF(Weekly_Inspections!$BA722&lt;&gt;"",Weekly_Inspections!$BA722,IF(Weekly_Inspections!$BB722&lt;&gt;"",Weekly_Inspections!$BB722,Weekly_Inspections!$R722)))))</f>
        <v>0</v>
      </c>
      <c r="G722" t="str">
        <f>IF(OR(Weekly_Inspections!$AQ722&lt;&gt;"",Weekly_Inspections!$AR722&lt;&gt;"",Weekly_Inspections!$AS722&lt;&gt;""),Weekly_Inspections!$AQ722,"")</f>
        <v/>
      </c>
      <c r="H722">
        <f>Weekly_Inspections!$AP722</f>
        <v>0</v>
      </c>
      <c r="I722">
        <f>Weekly_Inspections!$AR722</f>
        <v>0</v>
      </c>
      <c r="J722">
        <f>Weekly_Inspections!$AS722</f>
        <v>0</v>
      </c>
      <c r="K722">
        <f>Weekly_Inspections!$AU722</f>
        <v>0</v>
      </c>
      <c r="L722" s="24">
        <f>Weekly_Inspections!$AV722</f>
        <v>0</v>
      </c>
      <c r="M722" t="str">
        <f t="shared" si="33"/>
        <v>Open</v>
      </c>
      <c r="N722" s="24"/>
      <c r="O722">
        <f t="shared" ca="1" si="34"/>
        <v>46113</v>
      </c>
      <c r="P722" t="str">
        <f t="shared" ca="1" si="35"/>
        <v>YES</v>
      </c>
      <c r="Q722">
        <f>Weekly_Inspections!$AW722</f>
        <v>0</v>
      </c>
    </row>
    <row r="723" spans="1:17" ht="15" customHeight="1" x14ac:dyDescent="0.2">
      <c r="A723" t="str">
        <f>IF(Weekly_Inspections!$B723="","",Weekly_Inspections!$A723&amp;"-A1")</f>
        <v/>
      </c>
      <c r="B723" s="24">
        <f>Weekly_Inspections!$B723</f>
        <v>0</v>
      </c>
      <c r="C723">
        <f>Weekly_Inspections!$E723</f>
        <v>0</v>
      </c>
      <c r="D723">
        <f>Weekly_Inspections!$F723</f>
        <v>0</v>
      </c>
      <c r="E723" t="str">
        <f>Weekly_Inspections!$H723</f>
        <v/>
      </c>
      <c r="F723">
        <f>IF(Weekly_Inspections!$AX723&lt;&gt;"",Weekly_Inspections!$AX723,IF(Weekly_Inspections!$AY723&lt;&gt;"",Weekly_Inspections!$AY723,IF(Weekly_Inspections!$AZ723&lt;&gt;"",Weekly_Inspections!$AZ723,IF(Weekly_Inspections!$BA723&lt;&gt;"",Weekly_Inspections!$BA723,IF(Weekly_Inspections!$BB723&lt;&gt;"",Weekly_Inspections!$BB723,Weekly_Inspections!$R723)))))</f>
        <v>0</v>
      </c>
      <c r="G723" t="str">
        <f>IF(OR(Weekly_Inspections!$AQ723&lt;&gt;"",Weekly_Inspections!$AR723&lt;&gt;"",Weekly_Inspections!$AS723&lt;&gt;""),Weekly_Inspections!$AQ723,"")</f>
        <v/>
      </c>
      <c r="H723">
        <f>Weekly_Inspections!$AP723</f>
        <v>0</v>
      </c>
      <c r="I723">
        <f>Weekly_Inspections!$AR723</f>
        <v>0</v>
      </c>
      <c r="J723">
        <f>Weekly_Inspections!$AS723</f>
        <v>0</v>
      </c>
      <c r="K723">
        <f>Weekly_Inspections!$AU723</f>
        <v>0</v>
      </c>
      <c r="L723" s="24">
        <f>Weekly_Inspections!$AV723</f>
        <v>0</v>
      </c>
      <c r="M723" t="str">
        <f t="shared" si="33"/>
        <v>Open</v>
      </c>
      <c r="N723" s="24"/>
      <c r="O723">
        <f t="shared" ca="1" si="34"/>
        <v>46113</v>
      </c>
      <c r="P723" t="str">
        <f t="shared" ca="1" si="35"/>
        <v>YES</v>
      </c>
      <c r="Q723">
        <f>Weekly_Inspections!$AW723</f>
        <v>0</v>
      </c>
    </row>
    <row r="724" spans="1:17" ht="15" customHeight="1" x14ac:dyDescent="0.2">
      <c r="A724" t="str">
        <f>IF(Weekly_Inspections!$B724="","",Weekly_Inspections!$A724&amp;"-A1")</f>
        <v/>
      </c>
      <c r="B724" s="24">
        <f>Weekly_Inspections!$B724</f>
        <v>0</v>
      </c>
      <c r="C724">
        <f>Weekly_Inspections!$E724</f>
        <v>0</v>
      </c>
      <c r="D724">
        <f>Weekly_Inspections!$F724</f>
        <v>0</v>
      </c>
      <c r="E724" t="str">
        <f>Weekly_Inspections!$H724</f>
        <v/>
      </c>
      <c r="F724">
        <f>IF(Weekly_Inspections!$AX724&lt;&gt;"",Weekly_Inspections!$AX724,IF(Weekly_Inspections!$AY724&lt;&gt;"",Weekly_Inspections!$AY724,IF(Weekly_Inspections!$AZ724&lt;&gt;"",Weekly_Inspections!$AZ724,IF(Weekly_Inspections!$BA724&lt;&gt;"",Weekly_Inspections!$BA724,IF(Weekly_Inspections!$BB724&lt;&gt;"",Weekly_Inspections!$BB724,Weekly_Inspections!$R724)))))</f>
        <v>0</v>
      </c>
      <c r="G724" t="str">
        <f>IF(OR(Weekly_Inspections!$AQ724&lt;&gt;"",Weekly_Inspections!$AR724&lt;&gt;"",Weekly_Inspections!$AS724&lt;&gt;""),Weekly_Inspections!$AQ724,"")</f>
        <v/>
      </c>
      <c r="H724">
        <f>Weekly_Inspections!$AP724</f>
        <v>0</v>
      </c>
      <c r="I724">
        <f>Weekly_Inspections!$AR724</f>
        <v>0</v>
      </c>
      <c r="J724">
        <f>Weekly_Inspections!$AS724</f>
        <v>0</v>
      </c>
      <c r="K724">
        <f>Weekly_Inspections!$AU724</f>
        <v>0</v>
      </c>
      <c r="L724" s="24">
        <f>Weekly_Inspections!$AV724</f>
        <v>0</v>
      </c>
      <c r="M724" t="str">
        <f t="shared" si="33"/>
        <v>Open</v>
      </c>
      <c r="N724" s="24"/>
      <c r="O724">
        <f t="shared" ca="1" si="34"/>
        <v>46113</v>
      </c>
      <c r="P724" t="str">
        <f t="shared" ca="1" si="35"/>
        <v>YES</v>
      </c>
      <c r="Q724">
        <f>Weekly_Inspections!$AW724</f>
        <v>0</v>
      </c>
    </row>
    <row r="725" spans="1:17" ht="15" customHeight="1" x14ac:dyDescent="0.2">
      <c r="A725" t="str">
        <f>IF(Weekly_Inspections!$B725="","",Weekly_Inspections!$A725&amp;"-A1")</f>
        <v/>
      </c>
      <c r="B725" s="24">
        <f>Weekly_Inspections!$B725</f>
        <v>0</v>
      </c>
      <c r="C725">
        <f>Weekly_Inspections!$E725</f>
        <v>0</v>
      </c>
      <c r="D725">
        <f>Weekly_Inspections!$F725</f>
        <v>0</v>
      </c>
      <c r="E725" t="str">
        <f>Weekly_Inspections!$H725</f>
        <v/>
      </c>
      <c r="F725">
        <f>IF(Weekly_Inspections!$AX725&lt;&gt;"",Weekly_Inspections!$AX725,IF(Weekly_Inspections!$AY725&lt;&gt;"",Weekly_Inspections!$AY725,IF(Weekly_Inspections!$AZ725&lt;&gt;"",Weekly_Inspections!$AZ725,IF(Weekly_Inspections!$BA725&lt;&gt;"",Weekly_Inspections!$BA725,IF(Weekly_Inspections!$BB725&lt;&gt;"",Weekly_Inspections!$BB725,Weekly_Inspections!$R725)))))</f>
        <v>0</v>
      </c>
      <c r="G725" t="str">
        <f>IF(OR(Weekly_Inspections!$AQ725&lt;&gt;"",Weekly_Inspections!$AR725&lt;&gt;"",Weekly_Inspections!$AS725&lt;&gt;""),Weekly_Inspections!$AQ725,"")</f>
        <v/>
      </c>
      <c r="H725">
        <f>Weekly_Inspections!$AP725</f>
        <v>0</v>
      </c>
      <c r="I725">
        <f>Weekly_Inspections!$AR725</f>
        <v>0</v>
      </c>
      <c r="J725">
        <f>Weekly_Inspections!$AS725</f>
        <v>0</v>
      </c>
      <c r="K725">
        <f>Weekly_Inspections!$AU725</f>
        <v>0</v>
      </c>
      <c r="L725" s="24">
        <f>Weekly_Inspections!$AV725</f>
        <v>0</v>
      </c>
      <c r="M725" t="str">
        <f t="shared" si="33"/>
        <v>Open</v>
      </c>
      <c r="N725" s="24"/>
      <c r="O725">
        <f t="shared" ca="1" si="34"/>
        <v>46113</v>
      </c>
      <c r="P725" t="str">
        <f t="shared" ca="1" si="35"/>
        <v>YES</v>
      </c>
      <c r="Q725">
        <f>Weekly_Inspections!$AW725</f>
        <v>0</v>
      </c>
    </row>
    <row r="726" spans="1:17" ht="15" customHeight="1" x14ac:dyDescent="0.2">
      <c r="A726" t="str">
        <f>IF(Weekly_Inspections!$B726="","",Weekly_Inspections!$A726&amp;"-A1")</f>
        <v/>
      </c>
      <c r="B726" s="24">
        <f>Weekly_Inspections!$B726</f>
        <v>0</v>
      </c>
      <c r="C726">
        <f>Weekly_Inspections!$E726</f>
        <v>0</v>
      </c>
      <c r="D726">
        <f>Weekly_Inspections!$F726</f>
        <v>0</v>
      </c>
      <c r="E726" t="str">
        <f>Weekly_Inspections!$H726</f>
        <v/>
      </c>
      <c r="F726">
        <f>IF(Weekly_Inspections!$AX726&lt;&gt;"",Weekly_Inspections!$AX726,IF(Weekly_Inspections!$AY726&lt;&gt;"",Weekly_Inspections!$AY726,IF(Weekly_Inspections!$AZ726&lt;&gt;"",Weekly_Inspections!$AZ726,IF(Weekly_Inspections!$BA726&lt;&gt;"",Weekly_Inspections!$BA726,IF(Weekly_Inspections!$BB726&lt;&gt;"",Weekly_Inspections!$BB726,Weekly_Inspections!$R726)))))</f>
        <v>0</v>
      </c>
      <c r="G726" t="str">
        <f>IF(OR(Weekly_Inspections!$AQ726&lt;&gt;"",Weekly_Inspections!$AR726&lt;&gt;"",Weekly_Inspections!$AS726&lt;&gt;""),Weekly_Inspections!$AQ726,"")</f>
        <v/>
      </c>
      <c r="H726">
        <f>Weekly_Inspections!$AP726</f>
        <v>0</v>
      </c>
      <c r="I726">
        <f>Weekly_Inspections!$AR726</f>
        <v>0</v>
      </c>
      <c r="J726">
        <f>Weekly_Inspections!$AS726</f>
        <v>0</v>
      </c>
      <c r="K726">
        <f>Weekly_Inspections!$AU726</f>
        <v>0</v>
      </c>
      <c r="L726" s="24">
        <f>Weekly_Inspections!$AV726</f>
        <v>0</v>
      </c>
      <c r="M726" t="str">
        <f t="shared" si="33"/>
        <v>Open</v>
      </c>
      <c r="N726" s="24"/>
      <c r="O726">
        <f t="shared" ca="1" si="34"/>
        <v>46113</v>
      </c>
      <c r="P726" t="str">
        <f t="shared" ca="1" si="35"/>
        <v>YES</v>
      </c>
      <c r="Q726">
        <f>Weekly_Inspections!$AW726</f>
        <v>0</v>
      </c>
    </row>
    <row r="727" spans="1:17" ht="15" customHeight="1" x14ac:dyDescent="0.2">
      <c r="A727" t="str">
        <f>IF(Weekly_Inspections!$B727="","",Weekly_Inspections!$A727&amp;"-A1")</f>
        <v/>
      </c>
      <c r="B727" s="24">
        <f>Weekly_Inspections!$B727</f>
        <v>0</v>
      </c>
      <c r="C727">
        <f>Weekly_Inspections!$E727</f>
        <v>0</v>
      </c>
      <c r="D727">
        <f>Weekly_Inspections!$F727</f>
        <v>0</v>
      </c>
      <c r="E727" t="str">
        <f>Weekly_Inspections!$H727</f>
        <v/>
      </c>
      <c r="F727">
        <f>IF(Weekly_Inspections!$AX727&lt;&gt;"",Weekly_Inspections!$AX727,IF(Weekly_Inspections!$AY727&lt;&gt;"",Weekly_Inspections!$AY727,IF(Weekly_Inspections!$AZ727&lt;&gt;"",Weekly_Inspections!$AZ727,IF(Weekly_Inspections!$BA727&lt;&gt;"",Weekly_Inspections!$BA727,IF(Weekly_Inspections!$BB727&lt;&gt;"",Weekly_Inspections!$BB727,Weekly_Inspections!$R727)))))</f>
        <v>0</v>
      </c>
      <c r="G727" t="str">
        <f>IF(OR(Weekly_Inspections!$AQ727&lt;&gt;"",Weekly_Inspections!$AR727&lt;&gt;"",Weekly_Inspections!$AS727&lt;&gt;""),Weekly_Inspections!$AQ727,"")</f>
        <v/>
      </c>
      <c r="H727">
        <f>Weekly_Inspections!$AP727</f>
        <v>0</v>
      </c>
      <c r="I727">
        <f>Weekly_Inspections!$AR727</f>
        <v>0</v>
      </c>
      <c r="J727">
        <f>Weekly_Inspections!$AS727</f>
        <v>0</v>
      </c>
      <c r="K727">
        <f>Weekly_Inspections!$AU727</f>
        <v>0</v>
      </c>
      <c r="L727" s="24">
        <f>Weekly_Inspections!$AV727</f>
        <v>0</v>
      </c>
      <c r="M727" t="str">
        <f t="shared" si="33"/>
        <v>Open</v>
      </c>
      <c r="N727" s="24"/>
      <c r="O727">
        <f t="shared" ca="1" si="34"/>
        <v>46113</v>
      </c>
      <c r="P727" t="str">
        <f t="shared" ca="1" si="35"/>
        <v>YES</v>
      </c>
      <c r="Q727">
        <f>Weekly_Inspections!$AW727</f>
        <v>0</v>
      </c>
    </row>
    <row r="728" spans="1:17" ht="15" customHeight="1" x14ac:dyDescent="0.2">
      <c r="A728" t="str">
        <f>IF(Weekly_Inspections!$B728="","",Weekly_Inspections!$A728&amp;"-A1")</f>
        <v/>
      </c>
      <c r="B728" s="24">
        <f>Weekly_Inspections!$B728</f>
        <v>0</v>
      </c>
      <c r="C728">
        <f>Weekly_Inspections!$E728</f>
        <v>0</v>
      </c>
      <c r="D728">
        <f>Weekly_Inspections!$F728</f>
        <v>0</v>
      </c>
      <c r="E728" t="str">
        <f>Weekly_Inspections!$H728</f>
        <v/>
      </c>
      <c r="F728">
        <f>IF(Weekly_Inspections!$AX728&lt;&gt;"",Weekly_Inspections!$AX728,IF(Weekly_Inspections!$AY728&lt;&gt;"",Weekly_Inspections!$AY728,IF(Weekly_Inspections!$AZ728&lt;&gt;"",Weekly_Inspections!$AZ728,IF(Weekly_Inspections!$BA728&lt;&gt;"",Weekly_Inspections!$BA728,IF(Weekly_Inspections!$BB728&lt;&gt;"",Weekly_Inspections!$BB728,Weekly_Inspections!$R728)))))</f>
        <v>0</v>
      </c>
      <c r="G728" t="str">
        <f>IF(OR(Weekly_Inspections!$AQ728&lt;&gt;"",Weekly_Inspections!$AR728&lt;&gt;"",Weekly_Inspections!$AS728&lt;&gt;""),Weekly_Inspections!$AQ728,"")</f>
        <v/>
      </c>
      <c r="H728">
        <f>Weekly_Inspections!$AP728</f>
        <v>0</v>
      </c>
      <c r="I728">
        <f>Weekly_Inspections!$AR728</f>
        <v>0</v>
      </c>
      <c r="J728">
        <f>Weekly_Inspections!$AS728</f>
        <v>0</v>
      </c>
      <c r="K728">
        <f>Weekly_Inspections!$AU728</f>
        <v>0</v>
      </c>
      <c r="L728" s="24">
        <f>Weekly_Inspections!$AV728</f>
        <v>0</v>
      </c>
      <c r="M728" t="str">
        <f t="shared" si="33"/>
        <v>Open</v>
      </c>
      <c r="N728" s="24"/>
      <c r="O728">
        <f t="shared" ca="1" si="34"/>
        <v>46113</v>
      </c>
      <c r="P728" t="str">
        <f t="shared" ca="1" si="35"/>
        <v>YES</v>
      </c>
      <c r="Q728">
        <f>Weekly_Inspections!$AW728</f>
        <v>0</v>
      </c>
    </row>
    <row r="729" spans="1:17" ht="15" customHeight="1" x14ac:dyDescent="0.2">
      <c r="A729" t="str">
        <f>IF(Weekly_Inspections!$B729="","",Weekly_Inspections!$A729&amp;"-A1")</f>
        <v/>
      </c>
      <c r="B729" s="24">
        <f>Weekly_Inspections!$B729</f>
        <v>0</v>
      </c>
      <c r="C729">
        <f>Weekly_Inspections!$E729</f>
        <v>0</v>
      </c>
      <c r="D729">
        <f>Weekly_Inspections!$F729</f>
        <v>0</v>
      </c>
      <c r="E729" t="str">
        <f>Weekly_Inspections!$H729</f>
        <v/>
      </c>
      <c r="F729">
        <f>IF(Weekly_Inspections!$AX729&lt;&gt;"",Weekly_Inspections!$AX729,IF(Weekly_Inspections!$AY729&lt;&gt;"",Weekly_Inspections!$AY729,IF(Weekly_Inspections!$AZ729&lt;&gt;"",Weekly_Inspections!$AZ729,IF(Weekly_Inspections!$BA729&lt;&gt;"",Weekly_Inspections!$BA729,IF(Weekly_Inspections!$BB729&lt;&gt;"",Weekly_Inspections!$BB729,Weekly_Inspections!$R729)))))</f>
        <v>0</v>
      </c>
      <c r="G729" t="str">
        <f>IF(OR(Weekly_Inspections!$AQ729&lt;&gt;"",Weekly_Inspections!$AR729&lt;&gt;"",Weekly_Inspections!$AS729&lt;&gt;""),Weekly_Inspections!$AQ729,"")</f>
        <v/>
      </c>
      <c r="H729">
        <f>Weekly_Inspections!$AP729</f>
        <v>0</v>
      </c>
      <c r="I729">
        <f>Weekly_Inspections!$AR729</f>
        <v>0</v>
      </c>
      <c r="J729">
        <f>Weekly_Inspections!$AS729</f>
        <v>0</v>
      </c>
      <c r="K729">
        <f>Weekly_Inspections!$AU729</f>
        <v>0</v>
      </c>
      <c r="L729" s="24">
        <f>Weekly_Inspections!$AV729</f>
        <v>0</v>
      </c>
      <c r="M729" t="str">
        <f t="shared" si="33"/>
        <v>Open</v>
      </c>
      <c r="N729" s="24"/>
      <c r="O729">
        <f t="shared" ca="1" si="34"/>
        <v>46113</v>
      </c>
      <c r="P729" t="str">
        <f t="shared" ca="1" si="35"/>
        <v>YES</v>
      </c>
      <c r="Q729">
        <f>Weekly_Inspections!$AW729</f>
        <v>0</v>
      </c>
    </row>
    <row r="730" spans="1:17" ht="15" customHeight="1" x14ac:dyDescent="0.2">
      <c r="A730" t="str">
        <f>IF(Weekly_Inspections!$B730="","",Weekly_Inspections!$A730&amp;"-A1")</f>
        <v/>
      </c>
      <c r="B730" s="24">
        <f>Weekly_Inspections!$B730</f>
        <v>0</v>
      </c>
      <c r="C730">
        <f>Weekly_Inspections!$E730</f>
        <v>0</v>
      </c>
      <c r="D730">
        <f>Weekly_Inspections!$F730</f>
        <v>0</v>
      </c>
      <c r="E730" t="str">
        <f>Weekly_Inspections!$H730</f>
        <v/>
      </c>
      <c r="F730">
        <f>IF(Weekly_Inspections!$AX730&lt;&gt;"",Weekly_Inspections!$AX730,IF(Weekly_Inspections!$AY730&lt;&gt;"",Weekly_Inspections!$AY730,IF(Weekly_Inspections!$AZ730&lt;&gt;"",Weekly_Inspections!$AZ730,IF(Weekly_Inspections!$BA730&lt;&gt;"",Weekly_Inspections!$BA730,IF(Weekly_Inspections!$BB730&lt;&gt;"",Weekly_Inspections!$BB730,Weekly_Inspections!$R730)))))</f>
        <v>0</v>
      </c>
      <c r="G730" t="str">
        <f>IF(OR(Weekly_Inspections!$AQ730&lt;&gt;"",Weekly_Inspections!$AR730&lt;&gt;"",Weekly_Inspections!$AS730&lt;&gt;""),Weekly_Inspections!$AQ730,"")</f>
        <v/>
      </c>
      <c r="H730">
        <f>Weekly_Inspections!$AP730</f>
        <v>0</v>
      </c>
      <c r="I730">
        <f>Weekly_Inspections!$AR730</f>
        <v>0</v>
      </c>
      <c r="J730">
        <f>Weekly_Inspections!$AS730</f>
        <v>0</v>
      </c>
      <c r="K730">
        <f>Weekly_Inspections!$AU730</f>
        <v>0</v>
      </c>
      <c r="L730" s="24">
        <f>Weekly_Inspections!$AV730</f>
        <v>0</v>
      </c>
      <c r="M730" t="str">
        <f t="shared" si="33"/>
        <v>Open</v>
      </c>
      <c r="N730" s="24"/>
      <c r="O730">
        <f t="shared" ca="1" si="34"/>
        <v>46113</v>
      </c>
      <c r="P730" t="str">
        <f t="shared" ca="1" si="35"/>
        <v>YES</v>
      </c>
      <c r="Q730">
        <f>Weekly_Inspections!$AW730</f>
        <v>0</v>
      </c>
    </row>
    <row r="731" spans="1:17" ht="15" customHeight="1" x14ac:dyDescent="0.2">
      <c r="A731" t="str">
        <f>IF(Weekly_Inspections!$B731="","",Weekly_Inspections!$A731&amp;"-A1")</f>
        <v/>
      </c>
      <c r="B731" s="24">
        <f>Weekly_Inspections!$B731</f>
        <v>0</v>
      </c>
      <c r="C731">
        <f>Weekly_Inspections!$E731</f>
        <v>0</v>
      </c>
      <c r="D731">
        <f>Weekly_Inspections!$F731</f>
        <v>0</v>
      </c>
      <c r="E731" t="str">
        <f>Weekly_Inspections!$H731</f>
        <v/>
      </c>
      <c r="F731">
        <f>IF(Weekly_Inspections!$AX731&lt;&gt;"",Weekly_Inspections!$AX731,IF(Weekly_Inspections!$AY731&lt;&gt;"",Weekly_Inspections!$AY731,IF(Weekly_Inspections!$AZ731&lt;&gt;"",Weekly_Inspections!$AZ731,IF(Weekly_Inspections!$BA731&lt;&gt;"",Weekly_Inspections!$BA731,IF(Weekly_Inspections!$BB731&lt;&gt;"",Weekly_Inspections!$BB731,Weekly_Inspections!$R731)))))</f>
        <v>0</v>
      </c>
      <c r="G731" t="str">
        <f>IF(OR(Weekly_Inspections!$AQ731&lt;&gt;"",Weekly_Inspections!$AR731&lt;&gt;"",Weekly_Inspections!$AS731&lt;&gt;""),Weekly_Inspections!$AQ731,"")</f>
        <v/>
      </c>
      <c r="H731">
        <f>Weekly_Inspections!$AP731</f>
        <v>0</v>
      </c>
      <c r="I731">
        <f>Weekly_Inspections!$AR731</f>
        <v>0</v>
      </c>
      <c r="J731">
        <f>Weekly_Inspections!$AS731</f>
        <v>0</v>
      </c>
      <c r="K731">
        <f>Weekly_Inspections!$AU731</f>
        <v>0</v>
      </c>
      <c r="L731" s="24">
        <f>Weekly_Inspections!$AV731</f>
        <v>0</v>
      </c>
      <c r="M731" t="str">
        <f t="shared" si="33"/>
        <v>Open</v>
      </c>
      <c r="N731" s="24"/>
      <c r="O731">
        <f t="shared" ca="1" si="34"/>
        <v>46113</v>
      </c>
      <c r="P731" t="str">
        <f t="shared" ca="1" si="35"/>
        <v>YES</v>
      </c>
      <c r="Q731">
        <f>Weekly_Inspections!$AW731</f>
        <v>0</v>
      </c>
    </row>
    <row r="732" spans="1:17" ht="15" customHeight="1" x14ac:dyDescent="0.2">
      <c r="A732" t="str">
        <f>IF(Weekly_Inspections!$B732="","",Weekly_Inspections!$A732&amp;"-A1")</f>
        <v/>
      </c>
      <c r="B732" s="24">
        <f>Weekly_Inspections!$B732</f>
        <v>0</v>
      </c>
      <c r="C732">
        <f>Weekly_Inspections!$E732</f>
        <v>0</v>
      </c>
      <c r="D732">
        <f>Weekly_Inspections!$F732</f>
        <v>0</v>
      </c>
      <c r="E732" t="str">
        <f>Weekly_Inspections!$H732</f>
        <v/>
      </c>
      <c r="F732">
        <f>IF(Weekly_Inspections!$AX732&lt;&gt;"",Weekly_Inspections!$AX732,IF(Weekly_Inspections!$AY732&lt;&gt;"",Weekly_Inspections!$AY732,IF(Weekly_Inspections!$AZ732&lt;&gt;"",Weekly_Inspections!$AZ732,IF(Weekly_Inspections!$BA732&lt;&gt;"",Weekly_Inspections!$BA732,IF(Weekly_Inspections!$BB732&lt;&gt;"",Weekly_Inspections!$BB732,Weekly_Inspections!$R732)))))</f>
        <v>0</v>
      </c>
      <c r="G732" t="str">
        <f>IF(OR(Weekly_Inspections!$AQ732&lt;&gt;"",Weekly_Inspections!$AR732&lt;&gt;"",Weekly_Inspections!$AS732&lt;&gt;""),Weekly_Inspections!$AQ732,"")</f>
        <v/>
      </c>
      <c r="H732">
        <f>Weekly_Inspections!$AP732</f>
        <v>0</v>
      </c>
      <c r="I732">
        <f>Weekly_Inspections!$AR732</f>
        <v>0</v>
      </c>
      <c r="J732">
        <f>Weekly_Inspections!$AS732</f>
        <v>0</v>
      </c>
      <c r="K732">
        <f>Weekly_Inspections!$AU732</f>
        <v>0</v>
      </c>
      <c r="L732" s="24">
        <f>Weekly_Inspections!$AV732</f>
        <v>0</v>
      </c>
      <c r="M732" t="str">
        <f t="shared" si="33"/>
        <v>Open</v>
      </c>
      <c r="N732" s="24"/>
      <c r="O732">
        <f t="shared" ca="1" si="34"/>
        <v>46113</v>
      </c>
      <c r="P732" t="str">
        <f t="shared" ca="1" si="35"/>
        <v>YES</v>
      </c>
      <c r="Q732">
        <f>Weekly_Inspections!$AW732</f>
        <v>0</v>
      </c>
    </row>
    <row r="733" spans="1:17" ht="15" customHeight="1" x14ac:dyDescent="0.2">
      <c r="A733" t="str">
        <f>IF(Weekly_Inspections!$B733="","",Weekly_Inspections!$A733&amp;"-A1")</f>
        <v/>
      </c>
      <c r="B733" s="24">
        <f>Weekly_Inspections!$B733</f>
        <v>0</v>
      </c>
      <c r="C733">
        <f>Weekly_Inspections!$E733</f>
        <v>0</v>
      </c>
      <c r="D733">
        <f>Weekly_Inspections!$F733</f>
        <v>0</v>
      </c>
      <c r="E733" t="str">
        <f>Weekly_Inspections!$H733</f>
        <v/>
      </c>
      <c r="F733">
        <f>IF(Weekly_Inspections!$AX733&lt;&gt;"",Weekly_Inspections!$AX733,IF(Weekly_Inspections!$AY733&lt;&gt;"",Weekly_Inspections!$AY733,IF(Weekly_Inspections!$AZ733&lt;&gt;"",Weekly_Inspections!$AZ733,IF(Weekly_Inspections!$BA733&lt;&gt;"",Weekly_Inspections!$BA733,IF(Weekly_Inspections!$BB733&lt;&gt;"",Weekly_Inspections!$BB733,Weekly_Inspections!$R733)))))</f>
        <v>0</v>
      </c>
      <c r="G733" t="str">
        <f>IF(OR(Weekly_Inspections!$AQ733&lt;&gt;"",Weekly_Inspections!$AR733&lt;&gt;"",Weekly_Inspections!$AS733&lt;&gt;""),Weekly_Inspections!$AQ733,"")</f>
        <v/>
      </c>
      <c r="H733">
        <f>Weekly_Inspections!$AP733</f>
        <v>0</v>
      </c>
      <c r="I733">
        <f>Weekly_Inspections!$AR733</f>
        <v>0</v>
      </c>
      <c r="J733">
        <f>Weekly_Inspections!$AS733</f>
        <v>0</v>
      </c>
      <c r="K733">
        <f>Weekly_Inspections!$AU733</f>
        <v>0</v>
      </c>
      <c r="L733" s="24">
        <f>Weekly_Inspections!$AV733</f>
        <v>0</v>
      </c>
      <c r="M733" t="str">
        <f t="shared" si="33"/>
        <v>Open</v>
      </c>
      <c r="N733" s="24"/>
      <c r="O733">
        <f t="shared" ca="1" si="34"/>
        <v>46113</v>
      </c>
      <c r="P733" t="str">
        <f t="shared" ca="1" si="35"/>
        <v>YES</v>
      </c>
      <c r="Q733">
        <f>Weekly_Inspections!$AW733</f>
        <v>0</v>
      </c>
    </row>
    <row r="734" spans="1:17" ht="15" customHeight="1" x14ac:dyDescent="0.2">
      <c r="A734" t="str">
        <f>IF(Weekly_Inspections!$B734="","",Weekly_Inspections!$A734&amp;"-A1")</f>
        <v/>
      </c>
      <c r="B734" s="24">
        <f>Weekly_Inspections!$B734</f>
        <v>0</v>
      </c>
      <c r="C734">
        <f>Weekly_Inspections!$E734</f>
        <v>0</v>
      </c>
      <c r="D734">
        <f>Weekly_Inspections!$F734</f>
        <v>0</v>
      </c>
      <c r="E734" t="str">
        <f>Weekly_Inspections!$H734</f>
        <v/>
      </c>
      <c r="F734">
        <f>IF(Weekly_Inspections!$AX734&lt;&gt;"",Weekly_Inspections!$AX734,IF(Weekly_Inspections!$AY734&lt;&gt;"",Weekly_Inspections!$AY734,IF(Weekly_Inspections!$AZ734&lt;&gt;"",Weekly_Inspections!$AZ734,IF(Weekly_Inspections!$BA734&lt;&gt;"",Weekly_Inspections!$BA734,IF(Weekly_Inspections!$BB734&lt;&gt;"",Weekly_Inspections!$BB734,Weekly_Inspections!$R734)))))</f>
        <v>0</v>
      </c>
      <c r="G734" t="str">
        <f>IF(OR(Weekly_Inspections!$AQ734&lt;&gt;"",Weekly_Inspections!$AR734&lt;&gt;"",Weekly_Inspections!$AS734&lt;&gt;""),Weekly_Inspections!$AQ734,"")</f>
        <v/>
      </c>
      <c r="H734">
        <f>Weekly_Inspections!$AP734</f>
        <v>0</v>
      </c>
      <c r="I734">
        <f>Weekly_Inspections!$AR734</f>
        <v>0</v>
      </c>
      <c r="J734">
        <f>Weekly_Inspections!$AS734</f>
        <v>0</v>
      </c>
      <c r="K734">
        <f>Weekly_Inspections!$AU734</f>
        <v>0</v>
      </c>
      <c r="L734" s="24">
        <f>Weekly_Inspections!$AV734</f>
        <v>0</v>
      </c>
      <c r="M734" t="str">
        <f t="shared" si="33"/>
        <v>Open</v>
      </c>
      <c r="N734" s="24"/>
      <c r="O734">
        <f t="shared" ca="1" si="34"/>
        <v>46113</v>
      </c>
      <c r="P734" t="str">
        <f t="shared" ca="1" si="35"/>
        <v>YES</v>
      </c>
      <c r="Q734">
        <f>Weekly_Inspections!$AW734</f>
        <v>0</v>
      </c>
    </row>
    <row r="735" spans="1:17" ht="15" customHeight="1" x14ac:dyDescent="0.2">
      <c r="A735" t="str">
        <f>IF(Weekly_Inspections!$B735="","",Weekly_Inspections!$A735&amp;"-A1")</f>
        <v/>
      </c>
      <c r="B735" s="24">
        <f>Weekly_Inspections!$B735</f>
        <v>0</v>
      </c>
      <c r="C735">
        <f>Weekly_Inspections!$E735</f>
        <v>0</v>
      </c>
      <c r="D735">
        <f>Weekly_Inspections!$F735</f>
        <v>0</v>
      </c>
      <c r="E735" t="str">
        <f>Weekly_Inspections!$H735</f>
        <v/>
      </c>
      <c r="F735">
        <f>IF(Weekly_Inspections!$AX735&lt;&gt;"",Weekly_Inspections!$AX735,IF(Weekly_Inspections!$AY735&lt;&gt;"",Weekly_Inspections!$AY735,IF(Weekly_Inspections!$AZ735&lt;&gt;"",Weekly_Inspections!$AZ735,IF(Weekly_Inspections!$BA735&lt;&gt;"",Weekly_Inspections!$BA735,IF(Weekly_Inspections!$BB735&lt;&gt;"",Weekly_Inspections!$BB735,Weekly_Inspections!$R735)))))</f>
        <v>0</v>
      </c>
      <c r="G735" t="str">
        <f>IF(OR(Weekly_Inspections!$AQ735&lt;&gt;"",Weekly_Inspections!$AR735&lt;&gt;"",Weekly_Inspections!$AS735&lt;&gt;""),Weekly_Inspections!$AQ735,"")</f>
        <v/>
      </c>
      <c r="H735">
        <f>Weekly_Inspections!$AP735</f>
        <v>0</v>
      </c>
      <c r="I735">
        <f>Weekly_Inspections!$AR735</f>
        <v>0</v>
      </c>
      <c r="J735">
        <f>Weekly_Inspections!$AS735</f>
        <v>0</v>
      </c>
      <c r="K735">
        <f>Weekly_Inspections!$AU735</f>
        <v>0</v>
      </c>
      <c r="L735" s="24">
        <f>Weekly_Inspections!$AV735</f>
        <v>0</v>
      </c>
      <c r="M735" t="str">
        <f t="shared" si="33"/>
        <v>Open</v>
      </c>
      <c r="N735" s="24"/>
      <c r="O735">
        <f t="shared" ca="1" si="34"/>
        <v>46113</v>
      </c>
      <c r="P735" t="str">
        <f t="shared" ca="1" si="35"/>
        <v>YES</v>
      </c>
      <c r="Q735">
        <f>Weekly_Inspections!$AW735</f>
        <v>0</v>
      </c>
    </row>
    <row r="736" spans="1:17" ht="15" customHeight="1" x14ac:dyDescent="0.2">
      <c r="A736" t="str">
        <f>IF(Weekly_Inspections!$B736="","",Weekly_Inspections!$A736&amp;"-A1")</f>
        <v/>
      </c>
      <c r="B736" s="24">
        <f>Weekly_Inspections!$B736</f>
        <v>0</v>
      </c>
      <c r="C736">
        <f>Weekly_Inspections!$E736</f>
        <v>0</v>
      </c>
      <c r="D736">
        <f>Weekly_Inspections!$F736</f>
        <v>0</v>
      </c>
      <c r="E736" t="str">
        <f>Weekly_Inspections!$H736</f>
        <v/>
      </c>
      <c r="F736">
        <f>IF(Weekly_Inspections!$AX736&lt;&gt;"",Weekly_Inspections!$AX736,IF(Weekly_Inspections!$AY736&lt;&gt;"",Weekly_Inspections!$AY736,IF(Weekly_Inspections!$AZ736&lt;&gt;"",Weekly_Inspections!$AZ736,IF(Weekly_Inspections!$BA736&lt;&gt;"",Weekly_Inspections!$BA736,IF(Weekly_Inspections!$BB736&lt;&gt;"",Weekly_Inspections!$BB736,Weekly_Inspections!$R736)))))</f>
        <v>0</v>
      </c>
      <c r="G736" t="str">
        <f>IF(OR(Weekly_Inspections!$AQ736&lt;&gt;"",Weekly_Inspections!$AR736&lt;&gt;"",Weekly_Inspections!$AS736&lt;&gt;""),Weekly_Inspections!$AQ736,"")</f>
        <v/>
      </c>
      <c r="H736">
        <f>Weekly_Inspections!$AP736</f>
        <v>0</v>
      </c>
      <c r="I736">
        <f>Weekly_Inspections!$AR736</f>
        <v>0</v>
      </c>
      <c r="J736">
        <f>Weekly_Inspections!$AS736</f>
        <v>0</v>
      </c>
      <c r="K736">
        <f>Weekly_Inspections!$AU736</f>
        <v>0</v>
      </c>
      <c r="L736" s="24">
        <f>Weekly_Inspections!$AV736</f>
        <v>0</v>
      </c>
      <c r="M736" t="str">
        <f t="shared" si="33"/>
        <v>Open</v>
      </c>
      <c r="N736" s="24"/>
      <c r="O736">
        <f t="shared" ca="1" si="34"/>
        <v>46113</v>
      </c>
      <c r="P736" t="str">
        <f t="shared" ca="1" si="35"/>
        <v>YES</v>
      </c>
      <c r="Q736">
        <f>Weekly_Inspections!$AW736</f>
        <v>0</v>
      </c>
    </row>
    <row r="737" spans="1:17" ht="15" customHeight="1" x14ac:dyDescent="0.2">
      <c r="A737" t="str">
        <f>IF(Weekly_Inspections!$B737="","",Weekly_Inspections!$A737&amp;"-A1")</f>
        <v/>
      </c>
      <c r="B737" s="24">
        <f>Weekly_Inspections!$B737</f>
        <v>0</v>
      </c>
      <c r="C737">
        <f>Weekly_Inspections!$E737</f>
        <v>0</v>
      </c>
      <c r="D737">
        <f>Weekly_Inspections!$F737</f>
        <v>0</v>
      </c>
      <c r="E737" t="str">
        <f>Weekly_Inspections!$H737</f>
        <v/>
      </c>
      <c r="F737">
        <f>IF(Weekly_Inspections!$AX737&lt;&gt;"",Weekly_Inspections!$AX737,IF(Weekly_Inspections!$AY737&lt;&gt;"",Weekly_Inspections!$AY737,IF(Weekly_Inspections!$AZ737&lt;&gt;"",Weekly_Inspections!$AZ737,IF(Weekly_Inspections!$BA737&lt;&gt;"",Weekly_Inspections!$BA737,IF(Weekly_Inspections!$BB737&lt;&gt;"",Weekly_Inspections!$BB737,Weekly_Inspections!$R737)))))</f>
        <v>0</v>
      </c>
      <c r="G737" t="str">
        <f>IF(OR(Weekly_Inspections!$AQ737&lt;&gt;"",Weekly_Inspections!$AR737&lt;&gt;"",Weekly_Inspections!$AS737&lt;&gt;""),Weekly_Inspections!$AQ737,"")</f>
        <v/>
      </c>
      <c r="H737">
        <f>Weekly_Inspections!$AP737</f>
        <v>0</v>
      </c>
      <c r="I737">
        <f>Weekly_Inspections!$AR737</f>
        <v>0</v>
      </c>
      <c r="J737">
        <f>Weekly_Inspections!$AS737</f>
        <v>0</v>
      </c>
      <c r="K737">
        <f>Weekly_Inspections!$AU737</f>
        <v>0</v>
      </c>
      <c r="L737" s="24">
        <f>Weekly_Inspections!$AV737</f>
        <v>0</v>
      </c>
      <c r="M737" t="str">
        <f t="shared" si="33"/>
        <v>Open</v>
      </c>
      <c r="N737" s="24"/>
      <c r="O737">
        <f t="shared" ca="1" si="34"/>
        <v>46113</v>
      </c>
      <c r="P737" t="str">
        <f t="shared" ca="1" si="35"/>
        <v>YES</v>
      </c>
      <c r="Q737">
        <f>Weekly_Inspections!$AW737</f>
        <v>0</v>
      </c>
    </row>
    <row r="738" spans="1:17" ht="15" customHeight="1" x14ac:dyDescent="0.2">
      <c r="A738" t="str">
        <f>IF(Weekly_Inspections!$B738="","",Weekly_Inspections!$A738&amp;"-A1")</f>
        <v/>
      </c>
      <c r="B738" s="24">
        <f>Weekly_Inspections!$B738</f>
        <v>0</v>
      </c>
      <c r="C738">
        <f>Weekly_Inspections!$E738</f>
        <v>0</v>
      </c>
      <c r="D738">
        <f>Weekly_Inspections!$F738</f>
        <v>0</v>
      </c>
      <c r="E738" t="str">
        <f>Weekly_Inspections!$H738</f>
        <v/>
      </c>
      <c r="F738">
        <f>IF(Weekly_Inspections!$AX738&lt;&gt;"",Weekly_Inspections!$AX738,IF(Weekly_Inspections!$AY738&lt;&gt;"",Weekly_Inspections!$AY738,IF(Weekly_Inspections!$AZ738&lt;&gt;"",Weekly_Inspections!$AZ738,IF(Weekly_Inspections!$BA738&lt;&gt;"",Weekly_Inspections!$BA738,IF(Weekly_Inspections!$BB738&lt;&gt;"",Weekly_Inspections!$BB738,Weekly_Inspections!$R738)))))</f>
        <v>0</v>
      </c>
      <c r="G738" t="str">
        <f>IF(OR(Weekly_Inspections!$AQ738&lt;&gt;"",Weekly_Inspections!$AR738&lt;&gt;"",Weekly_Inspections!$AS738&lt;&gt;""),Weekly_Inspections!$AQ738,"")</f>
        <v/>
      </c>
      <c r="H738">
        <f>Weekly_Inspections!$AP738</f>
        <v>0</v>
      </c>
      <c r="I738">
        <f>Weekly_Inspections!$AR738</f>
        <v>0</v>
      </c>
      <c r="J738">
        <f>Weekly_Inspections!$AS738</f>
        <v>0</v>
      </c>
      <c r="K738">
        <f>Weekly_Inspections!$AU738</f>
        <v>0</v>
      </c>
      <c r="L738" s="24">
        <f>Weekly_Inspections!$AV738</f>
        <v>0</v>
      </c>
      <c r="M738" t="str">
        <f t="shared" si="33"/>
        <v>Open</v>
      </c>
      <c r="N738" s="24"/>
      <c r="O738">
        <f t="shared" ca="1" si="34"/>
        <v>46113</v>
      </c>
      <c r="P738" t="str">
        <f t="shared" ca="1" si="35"/>
        <v>YES</v>
      </c>
      <c r="Q738">
        <f>Weekly_Inspections!$AW738</f>
        <v>0</v>
      </c>
    </row>
    <row r="739" spans="1:17" ht="15" customHeight="1" x14ac:dyDescent="0.2">
      <c r="A739" t="str">
        <f>IF(Weekly_Inspections!$B739="","",Weekly_Inspections!$A739&amp;"-A1")</f>
        <v/>
      </c>
      <c r="B739" s="24">
        <f>Weekly_Inspections!$B739</f>
        <v>0</v>
      </c>
      <c r="C739">
        <f>Weekly_Inspections!$E739</f>
        <v>0</v>
      </c>
      <c r="D739">
        <f>Weekly_Inspections!$F739</f>
        <v>0</v>
      </c>
      <c r="E739" t="str">
        <f>Weekly_Inspections!$H739</f>
        <v/>
      </c>
      <c r="F739">
        <f>IF(Weekly_Inspections!$AX739&lt;&gt;"",Weekly_Inspections!$AX739,IF(Weekly_Inspections!$AY739&lt;&gt;"",Weekly_Inspections!$AY739,IF(Weekly_Inspections!$AZ739&lt;&gt;"",Weekly_Inspections!$AZ739,IF(Weekly_Inspections!$BA739&lt;&gt;"",Weekly_Inspections!$BA739,IF(Weekly_Inspections!$BB739&lt;&gt;"",Weekly_Inspections!$BB739,Weekly_Inspections!$R739)))))</f>
        <v>0</v>
      </c>
      <c r="G739" t="str">
        <f>IF(OR(Weekly_Inspections!$AQ739&lt;&gt;"",Weekly_Inspections!$AR739&lt;&gt;"",Weekly_Inspections!$AS739&lt;&gt;""),Weekly_Inspections!$AQ739,"")</f>
        <v/>
      </c>
      <c r="H739">
        <f>Weekly_Inspections!$AP739</f>
        <v>0</v>
      </c>
      <c r="I739">
        <f>Weekly_Inspections!$AR739</f>
        <v>0</v>
      </c>
      <c r="J739">
        <f>Weekly_Inspections!$AS739</f>
        <v>0</v>
      </c>
      <c r="K739">
        <f>Weekly_Inspections!$AU739</f>
        <v>0</v>
      </c>
      <c r="L739" s="24">
        <f>Weekly_Inspections!$AV739</f>
        <v>0</v>
      </c>
      <c r="M739" t="str">
        <f t="shared" si="33"/>
        <v>Open</v>
      </c>
      <c r="N739" s="24"/>
      <c r="O739">
        <f t="shared" ca="1" si="34"/>
        <v>46113</v>
      </c>
      <c r="P739" t="str">
        <f t="shared" ca="1" si="35"/>
        <v>YES</v>
      </c>
      <c r="Q739">
        <f>Weekly_Inspections!$AW739</f>
        <v>0</v>
      </c>
    </row>
    <row r="740" spans="1:17" ht="15" customHeight="1" x14ac:dyDescent="0.2">
      <c r="A740" t="str">
        <f>IF(Weekly_Inspections!$B740="","",Weekly_Inspections!$A740&amp;"-A1")</f>
        <v/>
      </c>
      <c r="B740" s="24">
        <f>Weekly_Inspections!$B740</f>
        <v>0</v>
      </c>
      <c r="C740">
        <f>Weekly_Inspections!$E740</f>
        <v>0</v>
      </c>
      <c r="D740">
        <f>Weekly_Inspections!$F740</f>
        <v>0</v>
      </c>
      <c r="E740" t="str">
        <f>Weekly_Inspections!$H740</f>
        <v/>
      </c>
      <c r="F740">
        <f>IF(Weekly_Inspections!$AX740&lt;&gt;"",Weekly_Inspections!$AX740,IF(Weekly_Inspections!$AY740&lt;&gt;"",Weekly_Inspections!$AY740,IF(Weekly_Inspections!$AZ740&lt;&gt;"",Weekly_Inspections!$AZ740,IF(Weekly_Inspections!$BA740&lt;&gt;"",Weekly_Inspections!$BA740,IF(Weekly_Inspections!$BB740&lt;&gt;"",Weekly_Inspections!$BB740,Weekly_Inspections!$R740)))))</f>
        <v>0</v>
      </c>
      <c r="G740" t="str">
        <f>IF(OR(Weekly_Inspections!$AQ740&lt;&gt;"",Weekly_Inspections!$AR740&lt;&gt;"",Weekly_Inspections!$AS740&lt;&gt;""),Weekly_Inspections!$AQ740,"")</f>
        <v/>
      </c>
      <c r="H740">
        <f>Weekly_Inspections!$AP740</f>
        <v>0</v>
      </c>
      <c r="I740">
        <f>Weekly_Inspections!$AR740</f>
        <v>0</v>
      </c>
      <c r="J740">
        <f>Weekly_Inspections!$AS740</f>
        <v>0</v>
      </c>
      <c r="K740">
        <f>Weekly_Inspections!$AU740</f>
        <v>0</v>
      </c>
      <c r="L740" s="24">
        <f>Weekly_Inspections!$AV740</f>
        <v>0</v>
      </c>
      <c r="M740" t="str">
        <f t="shared" si="33"/>
        <v>Open</v>
      </c>
      <c r="N740" s="24"/>
      <c r="O740">
        <f t="shared" ca="1" si="34"/>
        <v>46113</v>
      </c>
      <c r="P740" t="str">
        <f t="shared" ca="1" si="35"/>
        <v>YES</v>
      </c>
      <c r="Q740">
        <f>Weekly_Inspections!$AW740</f>
        <v>0</v>
      </c>
    </row>
    <row r="741" spans="1:17" ht="15" customHeight="1" x14ac:dyDescent="0.2">
      <c r="A741" t="str">
        <f>IF(Weekly_Inspections!$B741="","",Weekly_Inspections!$A741&amp;"-A1")</f>
        <v/>
      </c>
      <c r="B741" s="24">
        <f>Weekly_Inspections!$B741</f>
        <v>0</v>
      </c>
      <c r="C741">
        <f>Weekly_Inspections!$E741</f>
        <v>0</v>
      </c>
      <c r="D741">
        <f>Weekly_Inspections!$F741</f>
        <v>0</v>
      </c>
      <c r="E741" t="str">
        <f>Weekly_Inspections!$H741</f>
        <v/>
      </c>
      <c r="F741">
        <f>IF(Weekly_Inspections!$AX741&lt;&gt;"",Weekly_Inspections!$AX741,IF(Weekly_Inspections!$AY741&lt;&gt;"",Weekly_Inspections!$AY741,IF(Weekly_Inspections!$AZ741&lt;&gt;"",Weekly_Inspections!$AZ741,IF(Weekly_Inspections!$BA741&lt;&gt;"",Weekly_Inspections!$BA741,IF(Weekly_Inspections!$BB741&lt;&gt;"",Weekly_Inspections!$BB741,Weekly_Inspections!$R741)))))</f>
        <v>0</v>
      </c>
      <c r="G741" t="str">
        <f>IF(OR(Weekly_Inspections!$AQ741&lt;&gt;"",Weekly_Inspections!$AR741&lt;&gt;"",Weekly_Inspections!$AS741&lt;&gt;""),Weekly_Inspections!$AQ741,"")</f>
        <v/>
      </c>
      <c r="H741">
        <f>Weekly_Inspections!$AP741</f>
        <v>0</v>
      </c>
      <c r="I741">
        <f>Weekly_Inspections!$AR741</f>
        <v>0</v>
      </c>
      <c r="J741">
        <f>Weekly_Inspections!$AS741</f>
        <v>0</v>
      </c>
      <c r="K741">
        <f>Weekly_Inspections!$AU741</f>
        <v>0</v>
      </c>
      <c r="L741" s="24">
        <f>Weekly_Inspections!$AV741</f>
        <v>0</v>
      </c>
      <c r="M741" t="str">
        <f t="shared" si="33"/>
        <v>Open</v>
      </c>
      <c r="N741" s="24"/>
      <c r="O741">
        <f t="shared" ca="1" si="34"/>
        <v>46113</v>
      </c>
      <c r="P741" t="str">
        <f t="shared" ca="1" si="35"/>
        <v>YES</v>
      </c>
      <c r="Q741">
        <f>Weekly_Inspections!$AW741</f>
        <v>0</v>
      </c>
    </row>
    <row r="742" spans="1:17" ht="15" customHeight="1" x14ac:dyDescent="0.2">
      <c r="A742" t="str">
        <f>IF(Weekly_Inspections!$B742="","",Weekly_Inspections!$A742&amp;"-A1")</f>
        <v/>
      </c>
      <c r="B742" s="24">
        <f>Weekly_Inspections!$B742</f>
        <v>0</v>
      </c>
      <c r="C742">
        <f>Weekly_Inspections!$E742</f>
        <v>0</v>
      </c>
      <c r="D742">
        <f>Weekly_Inspections!$F742</f>
        <v>0</v>
      </c>
      <c r="E742" t="str">
        <f>Weekly_Inspections!$H742</f>
        <v/>
      </c>
      <c r="F742">
        <f>IF(Weekly_Inspections!$AX742&lt;&gt;"",Weekly_Inspections!$AX742,IF(Weekly_Inspections!$AY742&lt;&gt;"",Weekly_Inspections!$AY742,IF(Weekly_Inspections!$AZ742&lt;&gt;"",Weekly_Inspections!$AZ742,IF(Weekly_Inspections!$BA742&lt;&gt;"",Weekly_Inspections!$BA742,IF(Weekly_Inspections!$BB742&lt;&gt;"",Weekly_Inspections!$BB742,Weekly_Inspections!$R742)))))</f>
        <v>0</v>
      </c>
      <c r="G742" t="str">
        <f>IF(OR(Weekly_Inspections!$AQ742&lt;&gt;"",Weekly_Inspections!$AR742&lt;&gt;"",Weekly_Inspections!$AS742&lt;&gt;""),Weekly_Inspections!$AQ742,"")</f>
        <v/>
      </c>
      <c r="H742">
        <f>Weekly_Inspections!$AP742</f>
        <v>0</v>
      </c>
      <c r="I742">
        <f>Weekly_Inspections!$AR742</f>
        <v>0</v>
      </c>
      <c r="J742">
        <f>Weekly_Inspections!$AS742</f>
        <v>0</v>
      </c>
      <c r="K742">
        <f>Weekly_Inspections!$AU742</f>
        <v>0</v>
      </c>
      <c r="L742" s="24">
        <f>Weekly_Inspections!$AV742</f>
        <v>0</v>
      </c>
      <c r="M742" t="str">
        <f t="shared" si="33"/>
        <v>Open</v>
      </c>
      <c r="N742" s="24"/>
      <c r="O742">
        <f t="shared" ca="1" si="34"/>
        <v>46113</v>
      </c>
      <c r="P742" t="str">
        <f t="shared" ca="1" si="35"/>
        <v>YES</v>
      </c>
      <c r="Q742">
        <f>Weekly_Inspections!$AW742</f>
        <v>0</v>
      </c>
    </row>
    <row r="743" spans="1:17" ht="15" customHeight="1" x14ac:dyDescent="0.2">
      <c r="A743" t="str">
        <f>IF(Weekly_Inspections!$B743="","",Weekly_Inspections!$A743&amp;"-A1")</f>
        <v/>
      </c>
      <c r="B743" s="24">
        <f>Weekly_Inspections!$B743</f>
        <v>0</v>
      </c>
      <c r="C743">
        <f>Weekly_Inspections!$E743</f>
        <v>0</v>
      </c>
      <c r="D743">
        <f>Weekly_Inspections!$F743</f>
        <v>0</v>
      </c>
      <c r="E743" t="str">
        <f>Weekly_Inspections!$H743</f>
        <v/>
      </c>
      <c r="F743">
        <f>IF(Weekly_Inspections!$AX743&lt;&gt;"",Weekly_Inspections!$AX743,IF(Weekly_Inspections!$AY743&lt;&gt;"",Weekly_Inspections!$AY743,IF(Weekly_Inspections!$AZ743&lt;&gt;"",Weekly_Inspections!$AZ743,IF(Weekly_Inspections!$BA743&lt;&gt;"",Weekly_Inspections!$BA743,IF(Weekly_Inspections!$BB743&lt;&gt;"",Weekly_Inspections!$BB743,Weekly_Inspections!$R743)))))</f>
        <v>0</v>
      </c>
      <c r="G743" t="str">
        <f>IF(OR(Weekly_Inspections!$AQ743&lt;&gt;"",Weekly_Inspections!$AR743&lt;&gt;"",Weekly_Inspections!$AS743&lt;&gt;""),Weekly_Inspections!$AQ743,"")</f>
        <v/>
      </c>
      <c r="H743">
        <f>Weekly_Inspections!$AP743</f>
        <v>0</v>
      </c>
      <c r="I743">
        <f>Weekly_Inspections!$AR743</f>
        <v>0</v>
      </c>
      <c r="J743">
        <f>Weekly_Inspections!$AS743</f>
        <v>0</v>
      </c>
      <c r="K743">
        <f>Weekly_Inspections!$AU743</f>
        <v>0</v>
      </c>
      <c r="L743" s="24">
        <f>Weekly_Inspections!$AV743</f>
        <v>0</v>
      </c>
      <c r="M743" t="str">
        <f t="shared" si="33"/>
        <v>Open</v>
      </c>
      <c r="N743" s="24"/>
      <c r="O743">
        <f t="shared" ca="1" si="34"/>
        <v>46113</v>
      </c>
      <c r="P743" t="str">
        <f t="shared" ca="1" si="35"/>
        <v>YES</v>
      </c>
      <c r="Q743">
        <f>Weekly_Inspections!$AW743</f>
        <v>0</v>
      </c>
    </row>
    <row r="744" spans="1:17" ht="15" customHeight="1" x14ac:dyDescent="0.2">
      <c r="A744" t="str">
        <f>IF(Weekly_Inspections!$B744="","",Weekly_Inspections!$A744&amp;"-A1")</f>
        <v/>
      </c>
      <c r="B744" s="24">
        <f>Weekly_Inspections!$B744</f>
        <v>0</v>
      </c>
      <c r="C744">
        <f>Weekly_Inspections!$E744</f>
        <v>0</v>
      </c>
      <c r="D744">
        <f>Weekly_Inspections!$F744</f>
        <v>0</v>
      </c>
      <c r="E744" t="str">
        <f>Weekly_Inspections!$H744</f>
        <v/>
      </c>
      <c r="F744">
        <f>IF(Weekly_Inspections!$AX744&lt;&gt;"",Weekly_Inspections!$AX744,IF(Weekly_Inspections!$AY744&lt;&gt;"",Weekly_Inspections!$AY744,IF(Weekly_Inspections!$AZ744&lt;&gt;"",Weekly_Inspections!$AZ744,IF(Weekly_Inspections!$BA744&lt;&gt;"",Weekly_Inspections!$BA744,IF(Weekly_Inspections!$BB744&lt;&gt;"",Weekly_Inspections!$BB744,Weekly_Inspections!$R744)))))</f>
        <v>0</v>
      </c>
      <c r="G744" t="str">
        <f>IF(OR(Weekly_Inspections!$AQ744&lt;&gt;"",Weekly_Inspections!$AR744&lt;&gt;"",Weekly_Inspections!$AS744&lt;&gt;""),Weekly_Inspections!$AQ744,"")</f>
        <v/>
      </c>
      <c r="H744">
        <f>Weekly_Inspections!$AP744</f>
        <v>0</v>
      </c>
      <c r="I744">
        <f>Weekly_Inspections!$AR744</f>
        <v>0</v>
      </c>
      <c r="J744">
        <f>Weekly_Inspections!$AS744</f>
        <v>0</v>
      </c>
      <c r="K744">
        <f>Weekly_Inspections!$AU744</f>
        <v>0</v>
      </c>
      <c r="L744" s="24">
        <f>Weekly_Inspections!$AV744</f>
        <v>0</v>
      </c>
      <c r="M744" t="str">
        <f t="shared" si="33"/>
        <v>Open</v>
      </c>
      <c r="N744" s="24"/>
      <c r="O744">
        <f t="shared" ca="1" si="34"/>
        <v>46113</v>
      </c>
      <c r="P744" t="str">
        <f t="shared" ca="1" si="35"/>
        <v>YES</v>
      </c>
      <c r="Q744">
        <f>Weekly_Inspections!$AW744</f>
        <v>0</v>
      </c>
    </row>
    <row r="745" spans="1:17" ht="15" customHeight="1" x14ac:dyDescent="0.2">
      <c r="A745" t="str">
        <f>IF(Weekly_Inspections!$B745="","",Weekly_Inspections!$A745&amp;"-A1")</f>
        <v/>
      </c>
      <c r="B745" s="24">
        <f>Weekly_Inspections!$B745</f>
        <v>0</v>
      </c>
      <c r="C745">
        <f>Weekly_Inspections!$E745</f>
        <v>0</v>
      </c>
      <c r="D745">
        <f>Weekly_Inspections!$F745</f>
        <v>0</v>
      </c>
      <c r="E745" t="str">
        <f>Weekly_Inspections!$H745</f>
        <v/>
      </c>
      <c r="F745">
        <f>IF(Weekly_Inspections!$AX745&lt;&gt;"",Weekly_Inspections!$AX745,IF(Weekly_Inspections!$AY745&lt;&gt;"",Weekly_Inspections!$AY745,IF(Weekly_Inspections!$AZ745&lt;&gt;"",Weekly_Inspections!$AZ745,IF(Weekly_Inspections!$BA745&lt;&gt;"",Weekly_Inspections!$BA745,IF(Weekly_Inspections!$BB745&lt;&gt;"",Weekly_Inspections!$BB745,Weekly_Inspections!$R745)))))</f>
        <v>0</v>
      </c>
      <c r="G745" t="str">
        <f>IF(OR(Weekly_Inspections!$AQ745&lt;&gt;"",Weekly_Inspections!$AR745&lt;&gt;"",Weekly_Inspections!$AS745&lt;&gt;""),Weekly_Inspections!$AQ745,"")</f>
        <v/>
      </c>
      <c r="H745">
        <f>Weekly_Inspections!$AP745</f>
        <v>0</v>
      </c>
      <c r="I745">
        <f>Weekly_Inspections!$AR745</f>
        <v>0</v>
      </c>
      <c r="J745">
        <f>Weekly_Inspections!$AS745</f>
        <v>0</v>
      </c>
      <c r="K745">
        <f>Weekly_Inspections!$AU745</f>
        <v>0</v>
      </c>
      <c r="L745" s="24">
        <f>Weekly_Inspections!$AV745</f>
        <v>0</v>
      </c>
      <c r="M745" t="str">
        <f t="shared" si="33"/>
        <v>Open</v>
      </c>
      <c r="N745" s="24"/>
      <c r="O745">
        <f t="shared" ca="1" si="34"/>
        <v>46113</v>
      </c>
      <c r="P745" t="str">
        <f t="shared" ca="1" si="35"/>
        <v>YES</v>
      </c>
      <c r="Q745">
        <f>Weekly_Inspections!$AW745</f>
        <v>0</v>
      </c>
    </row>
    <row r="746" spans="1:17" ht="15" customHeight="1" x14ac:dyDescent="0.2">
      <c r="A746" t="str">
        <f>IF(Weekly_Inspections!$B746="","",Weekly_Inspections!$A746&amp;"-A1")</f>
        <v/>
      </c>
      <c r="B746" s="24">
        <f>Weekly_Inspections!$B746</f>
        <v>0</v>
      </c>
      <c r="C746">
        <f>Weekly_Inspections!$E746</f>
        <v>0</v>
      </c>
      <c r="D746">
        <f>Weekly_Inspections!$F746</f>
        <v>0</v>
      </c>
      <c r="E746" t="str">
        <f>Weekly_Inspections!$H746</f>
        <v/>
      </c>
      <c r="F746">
        <f>IF(Weekly_Inspections!$AX746&lt;&gt;"",Weekly_Inspections!$AX746,IF(Weekly_Inspections!$AY746&lt;&gt;"",Weekly_Inspections!$AY746,IF(Weekly_Inspections!$AZ746&lt;&gt;"",Weekly_Inspections!$AZ746,IF(Weekly_Inspections!$BA746&lt;&gt;"",Weekly_Inspections!$BA746,IF(Weekly_Inspections!$BB746&lt;&gt;"",Weekly_Inspections!$BB746,Weekly_Inspections!$R746)))))</f>
        <v>0</v>
      </c>
      <c r="G746" t="str">
        <f>IF(OR(Weekly_Inspections!$AQ746&lt;&gt;"",Weekly_Inspections!$AR746&lt;&gt;"",Weekly_Inspections!$AS746&lt;&gt;""),Weekly_Inspections!$AQ746,"")</f>
        <v/>
      </c>
      <c r="H746">
        <f>Weekly_Inspections!$AP746</f>
        <v>0</v>
      </c>
      <c r="I746">
        <f>Weekly_Inspections!$AR746</f>
        <v>0</v>
      </c>
      <c r="J746">
        <f>Weekly_Inspections!$AS746</f>
        <v>0</v>
      </c>
      <c r="K746">
        <f>Weekly_Inspections!$AU746</f>
        <v>0</v>
      </c>
      <c r="L746" s="24">
        <f>Weekly_Inspections!$AV746</f>
        <v>0</v>
      </c>
      <c r="M746" t="str">
        <f t="shared" si="33"/>
        <v>Open</v>
      </c>
      <c r="N746" s="24"/>
      <c r="O746">
        <f t="shared" ca="1" si="34"/>
        <v>46113</v>
      </c>
      <c r="P746" t="str">
        <f t="shared" ca="1" si="35"/>
        <v>YES</v>
      </c>
      <c r="Q746">
        <f>Weekly_Inspections!$AW746</f>
        <v>0</v>
      </c>
    </row>
    <row r="747" spans="1:17" ht="15" customHeight="1" x14ac:dyDescent="0.2">
      <c r="A747" t="str">
        <f>IF(Weekly_Inspections!$B747="","",Weekly_Inspections!$A747&amp;"-A1")</f>
        <v/>
      </c>
      <c r="B747" s="24">
        <f>Weekly_Inspections!$B747</f>
        <v>0</v>
      </c>
      <c r="C747">
        <f>Weekly_Inspections!$E747</f>
        <v>0</v>
      </c>
      <c r="D747">
        <f>Weekly_Inspections!$F747</f>
        <v>0</v>
      </c>
      <c r="E747" t="str">
        <f>Weekly_Inspections!$H747</f>
        <v/>
      </c>
      <c r="F747">
        <f>IF(Weekly_Inspections!$AX747&lt;&gt;"",Weekly_Inspections!$AX747,IF(Weekly_Inspections!$AY747&lt;&gt;"",Weekly_Inspections!$AY747,IF(Weekly_Inspections!$AZ747&lt;&gt;"",Weekly_Inspections!$AZ747,IF(Weekly_Inspections!$BA747&lt;&gt;"",Weekly_Inspections!$BA747,IF(Weekly_Inspections!$BB747&lt;&gt;"",Weekly_Inspections!$BB747,Weekly_Inspections!$R747)))))</f>
        <v>0</v>
      </c>
      <c r="G747" t="str">
        <f>IF(OR(Weekly_Inspections!$AQ747&lt;&gt;"",Weekly_Inspections!$AR747&lt;&gt;"",Weekly_Inspections!$AS747&lt;&gt;""),Weekly_Inspections!$AQ747,"")</f>
        <v/>
      </c>
      <c r="H747">
        <f>Weekly_Inspections!$AP747</f>
        <v>0</v>
      </c>
      <c r="I747">
        <f>Weekly_Inspections!$AR747</f>
        <v>0</v>
      </c>
      <c r="J747">
        <f>Weekly_Inspections!$AS747</f>
        <v>0</v>
      </c>
      <c r="K747">
        <f>Weekly_Inspections!$AU747</f>
        <v>0</v>
      </c>
      <c r="L747" s="24">
        <f>Weekly_Inspections!$AV747</f>
        <v>0</v>
      </c>
      <c r="M747" t="str">
        <f t="shared" si="33"/>
        <v>Open</v>
      </c>
      <c r="N747" s="24"/>
      <c r="O747">
        <f t="shared" ca="1" si="34"/>
        <v>46113</v>
      </c>
      <c r="P747" t="str">
        <f t="shared" ca="1" si="35"/>
        <v>YES</v>
      </c>
      <c r="Q747">
        <f>Weekly_Inspections!$AW747</f>
        <v>0</v>
      </c>
    </row>
    <row r="748" spans="1:17" ht="15" customHeight="1" x14ac:dyDescent="0.2">
      <c r="A748" t="str">
        <f>IF(Weekly_Inspections!$B748="","",Weekly_Inspections!$A748&amp;"-A1")</f>
        <v/>
      </c>
      <c r="B748" s="24">
        <f>Weekly_Inspections!$B748</f>
        <v>0</v>
      </c>
      <c r="C748">
        <f>Weekly_Inspections!$E748</f>
        <v>0</v>
      </c>
      <c r="D748">
        <f>Weekly_Inspections!$F748</f>
        <v>0</v>
      </c>
      <c r="E748" t="str">
        <f>Weekly_Inspections!$H748</f>
        <v/>
      </c>
      <c r="F748">
        <f>IF(Weekly_Inspections!$AX748&lt;&gt;"",Weekly_Inspections!$AX748,IF(Weekly_Inspections!$AY748&lt;&gt;"",Weekly_Inspections!$AY748,IF(Weekly_Inspections!$AZ748&lt;&gt;"",Weekly_Inspections!$AZ748,IF(Weekly_Inspections!$BA748&lt;&gt;"",Weekly_Inspections!$BA748,IF(Weekly_Inspections!$BB748&lt;&gt;"",Weekly_Inspections!$BB748,Weekly_Inspections!$R748)))))</f>
        <v>0</v>
      </c>
      <c r="G748" t="str">
        <f>IF(OR(Weekly_Inspections!$AQ748&lt;&gt;"",Weekly_Inspections!$AR748&lt;&gt;"",Weekly_Inspections!$AS748&lt;&gt;""),Weekly_Inspections!$AQ748,"")</f>
        <v/>
      </c>
      <c r="H748">
        <f>Weekly_Inspections!$AP748</f>
        <v>0</v>
      </c>
      <c r="I748">
        <f>Weekly_Inspections!$AR748</f>
        <v>0</v>
      </c>
      <c r="J748">
        <f>Weekly_Inspections!$AS748</f>
        <v>0</v>
      </c>
      <c r="K748">
        <f>Weekly_Inspections!$AU748</f>
        <v>0</v>
      </c>
      <c r="L748" s="24">
        <f>Weekly_Inspections!$AV748</f>
        <v>0</v>
      </c>
      <c r="M748" t="str">
        <f t="shared" si="33"/>
        <v>Open</v>
      </c>
      <c r="N748" s="24"/>
      <c r="O748">
        <f t="shared" ca="1" si="34"/>
        <v>46113</v>
      </c>
      <c r="P748" t="str">
        <f t="shared" ca="1" si="35"/>
        <v>YES</v>
      </c>
      <c r="Q748">
        <f>Weekly_Inspections!$AW748</f>
        <v>0</v>
      </c>
    </row>
    <row r="749" spans="1:17" ht="15" customHeight="1" x14ac:dyDescent="0.2">
      <c r="A749" t="str">
        <f>IF(Weekly_Inspections!$B749="","",Weekly_Inspections!$A749&amp;"-A1")</f>
        <v/>
      </c>
      <c r="B749" s="24">
        <f>Weekly_Inspections!$B749</f>
        <v>0</v>
      </c>
      <c r="C749">
        <f>Weekly_Inspections!$E749</f>
        <v>0</v>
      </c>
      <c r="D749">
        <f>Weekly_Inspections!$F749</f>
        <v>0</v>
      </c>
      <c r="E749" t="str">
        <f>Weekly_Inspections!$H749</f>
        <v/>
      </c>
      <c r="F749">
        <f>IF(Weekly_Inspections!$AX749&lt;&gt;"",Weekly_Inspections!$AX749,IF(Weekly_Inspections!$AY749&lt;&gt;"",Weekly_Inspections!$AY749,IF(Weekly_Inspections!$AZ749&lt;&gt;"",Weekly_Inspections!$AZ749,IF(Weekly_Inspections!$BA749&lt;&gt;"",Weekly_Inspections!$BA749,IF(Weekly_Inspections!$BB749&lt;&gt;"",Weekly_Inspections!$BB749,Weekly_Inspections!$R749)))))</f>
        <v>0</v>
      </c>
      <c r="G749" t="str">
        <f>IF(OR(Weekly_Inspections!$AQ749&lt;&gt;"",Weekly_Inspections!$AR749&lt;&gt;"",Weekly_Inspections!$AS749&lt;&gt;""),Weekly_Inspections!$AQ749,"")</f>
        <v/>
      </c>
      <c r="H749">
        <f>Weekly_Inspections!$AP749</f>
        <v>0</v>
      </c>
      <c r="I749">
        <f>Weekly_Inspections!$AR749</f>
        <v>0</v>
      </c>
      <c r="J749">
        <f>Weekly_Inspections!$AS749</f>
        <v>0</v>
      </c>
      <c r="K749">
        <f>Weekly_Inspections!$AU749</f>
        <v>0</v>
      </c>
      <c r="L749" s="24">
        <f>Weekly_Inspections!$AV749</f>
        <v>0</v>
      </c>
      <c r="M749" t="str">
        <f t="shared" si="33"/>
        <v>Open</v>
      </c>
      <c r="N749" s="24"/>
      <c r="O749">
        <f t="shared" ca="1" si="34"/>
        <v>46113</v>
      </c>
      <c r="P749" t="str">
        <f t="shared" ca="1" si="35"/>
        <v>YES</v>
      </c>
      <c r="Q749">
        <f>Weekly_Inspections!$AW749</f>
        <v>0</v>
      </c>
    </row>
    <row r="750" spans="1:17" ht="15" customHeight="1" x14ac:dyDescent="0.2">
      <c r="A750" t="str">
        <f>IF(Weekly_Inspections!$B750="","",Weekly_Inspections!$A750&amp;"-A1")</f>
        <v/>
      </c>
      <c r="B750" s="24">
        <f>Weekly_Inspections!$B750</f>
        <v>0</v>
      </c>
      <c r="C750">
        <f>Weekly_Inspections!$E750</f>
        <v>0</v>
      </c>
      <c r="D750">
        <f>Weekly_Inspections!$F750</f>
        <v>0</v>
      </c>
      <c r="E750" t="str">
        <f>Weekly_Inspections!$H750</f>
        <v/>
      </c>
      <c r="F750">
        <f>IF(Weekly_Inspections!$AX750&lt;&gt;"",Weekly_Inspections!$AX750,IF(Weekly_Inspections!$AY750&lt;&gt;"",Weekly_Inspections!$AY750,IF(Weekly_Inspections!$AZ750&lt;&gt;"",Weekly_Inspections!$AZ750,IF(Weekly_Inspections!$BA750&lt;&gt;"",Weekly_Inspections!$BA750,IF(Weekly_Inspections!$BB750&lt;&gt;"",Weekly_Inspections!$BB750,Weekly_Inspections!$R750)))))</f>
        <v>0</v>
      </c>
      <c r="G750" t="str">
        <f>IF(OR(Weekly_Inspections!$AQ750&lt;&gt;"",Weekly_Inspections!$AR750&lt;&gt;"",Weekly_Inspections!$AS750&lt;&gt;""),Weekly_Inspections!$AQ750,"")</f>
        <v/>
      </c>
      <c r="H750">
        <f>Weekly_Inspections!$AP750</f>
        <v>0</v>
      </c>
      <c r="I750">
        <f>Weekly_Inspections!$AR750</f>
        <v>0</v>
      </c>
      <c r="J750">
        <f>Weekly_Inspections!$AS750</f>
        <v>0</v>
      </c>
      <c r="K750">
        <f>Weekly_Inspections!$AU750</f>
        <v>0</v>
      </c>
      <c r="L750" s="24">
        <f>Weekly_Inspections!$AV750</f>
        <v>0</v>
      </c>
      <c r="M750" t="str">
        <f t="shared" si="33"/>
        <v>Open</v>
      </c>
      <c r="N750" s="24"/>
      <c r="O750">
        <f t="shared" ca="1" si="34"/>
        <v>46113</v>
      </c>
      <c r="P750" t="str">
        <f t="shared" ca="1" si="35"/>
        <v>YES</v>
      </c>
      <c r="Q750">
        <f>Weekly_Inspections!$AW750</f>
        <v>0</v>
      </c>
    </row>
    <row r="751" spans="1:17" ht="15" customHeight="1" x14ac:dyDescent="0.2">
      <c r="A751" t="str">
        <f>IF(Weekly_Inspections!$B751="","",Weekly_Inspections!$A751&amp;"-A1")</f>
        <v/>
      </c>
      <c r="B751" s="24">
        <f>Weekly_Inspections!$B751</f>
        <v>0</v>
      </c>
      <c r="C751">
        <f>Weekly_Inspections!$E751</f>
        <v>0</v>
      </c>
      <c r="D751">
        <f>Weekly_Inspections!$F751</f>
        <v>0</v>
      </c>
      <c r="E751" t="str">
        <f>Weekly_Inspections!$H751</f>
        <v/>
      </c>
      <c r="F751">
        <f>IF(Weekly_Inspections!$AX751&lt;&gt;"",Weekly_Inspections!$AX751,IF(Weekly_Inspections!$AY751&lt;&gt;"",Weekly_Inspections!$AY751,IF(Weekly_Inspections!$AZ751&lt;&gt;"",Weekly_Inspections!$AZ751,IF(Weekly_Inspections!$BA751&lt;&gt;"",Weekly_Inspections!$BA751,IF(Weekly_Inspections!$BB751&lt;&gt;"",Weekly_Inspections!$BB751,Weekly_Inspections!$R751)))))</f>
        <v>0</v>
      </c>
      <c r="G751" t="str">
        <f>IF(OR(Weekly_Inspections!$AQ751&lt;&gt;"",Weekly_Inspections!$AR751&lt;&gt;"",Weekly_Inspections!$AS751&lt;&gt;""),Weekly_Inspections!$AQ751,"")</f>
        <v/>
      </c>
      <c r="H751">
        <f>Weekly_Inspections!$AP751</f>
        <v>0</v>
      </c>
      <c r="I751">
        <f>Weekly_Inspections!$AR751</f>
        <v>0</v>
      </c>
      <c r="J751">
        <f>Weekly_Inspections!$AS751</f>
        <v>0</v>
      </c>
      <c r="K751">
        <f>Weekly_Inspections!$AU751</f>
        <v>0</v>
      </c>
      <c r="L751" s="24">
        <f>Weekly_Inspections!$AV751</f>
        <v>0</v>
      </c>
      <c r="M751" t="str">
        <f t="shared" si="33"/>
        <v>Open</v>
      </c>
      <c r="N751" s="24"/>
      <c r="O751">
        <f t="shared" ca="1" si="34"/>
        <v>46113</v>
      </c>
      <c r="P751" t="str">
        <f t="shared" ca="1" si="35"/>
        <v>YES</v>
      </c>
      <c r="Q751">
        <f>Weekly_Inspections!$AW751</f>
        <v>0</v>
      </c>
    </row>
    <row r="752" spans="1:17" ht="15" customHeight="1" x14ac:dyDescent="0.2">
      <c r="A752" t="str">
        <f>IF(Weekly_Inspections!$B752="","",Weekly_Inspections!$A752&amp;"-A1")</f>
        <v/>
      </c>
      <c r="B752" s="24">
        <f>Weekly_Inspections!$B752</f>
        <v>0</v>
      </c>
      <c r="C752">
        <f>Weekly_Inspections!$E752</f>
        <v>0</v>
      </c>
      <c r="D752">
        <f>Weekly_Inspections!$F752</f>
        <v>0</v>
      </c>
      <c r="E752" t="str">
        <f>Weekly_Inspections!$H752</f>
        <v/>
      </c>
      <c r="F752">
        <f>IF(Weekly_Inspections!$AX752&lt;&gt;"",Weekly_Inspections!$AX752,IF(Weekly_Inspections!$AY752&lt;&gt;"",Weekly_Inspections!$AY752,IF(Weekly_Inspections!$AZ752&lt;&gt;"",Weekly_Inspections!$AZ752,IF(Weekly_Inspections!$BA752&lt;&gt;"",Weekly_Inspections!$BA752,IF(Weekly_Inspections!$BB752&lt;&gt;"",Weekly_Inspections!$BB752,Weekly_Inspections!$R752)))))</f>
        <v>0</v>
      </c>
      <c r="G752" t="str">
        <f>IF(OR(Weekly_Inspections!$AQ752&lt;&gt;"",Weekly_Inspections!$AR752&lt;&gt;"",Weekly_Inspections!$AS752&lt;&gt;""),Weekly_Inspections!$AQ752,"")</f>
        <v/>
      </c>
      <c r="H752">
        <f>Weekly_Inspections!$AP752</f>
        <v>0</v>
      </c>
      <c r="I752">
        <f>Weekly_Inspections!$AR752</f>
        <v>0</v>
      </c>
      <c r="J752">
        <f>Weekly_Inspections!$AS752</f>
        <v>0</v>
      </c>
      <c r="K752">
        <f>Weekly_Inspections!$AU752</f>
        <v>0</v>
      </c>
      <c r="L752" s="24">
        <f>Weekly_Inspections!$AV752</f>
        <v>0</v>
      </c>
      <c r="M752" t="str">
        <f t="shared" si="33"/>
        <v>Open</v>
      </c>
      <c r="N752" s="24"/>
      <c r="O752">
        <f t="shared" ca="1" si="34"/>
        <v>46113</v>
      </c>
      <c r="P752" t="str">
        <f t="shared" ca="1" si="35"/>
        <v>YES</v>
      </c>
      <c r="Q752">
        <f>Weekly_Inspections!$AW752</f>
        <v>0</v>
      </c>
    </row>
    <row r="753" spans="1:17" ht="15" customHeight="1" x14ac:dyDescent="0.2">
      <c r="A753" t="str">
        <f>IF(Weekly_Inspections!$B753="","",Weekly_Inspections!$A753&amp;"-A1")</f>
        <v/>
      </c>
      <c r="B753" s="24">
        <f>Weekly_Inspections!$B753</f>
        <v>0</v>
      </c>
      <c r="C753">
        <f>Weekly_Inspections!$E753</f>
        <v>0</v>
      </c>
      <c r="D753">
        <f>Weekly_Inspections!$F753</f>
        <v>0</v>
      </c>
      <c r="E753" t="str">
        <f>Weekly_Inspections!$H753</f>
        <v/>
      </c>
      <c r="F753">
        <f>IF(Weekly_Inspections!$AX753&lt;&gt;"",Weekly_Inspections!$AX753,IF(Weekly_Inspections!$AY753&lt;&gt;"",Weekly_Inspections!$AY753,IF(Weekly_Inspections!$AZ753&lt;&gt;"",Weekly_Inspections!$AZ753,IF(Weekly_Inspections!$BA753&lt;&gt;"",Weekly_Inspections!$BA753,IF(Weekly_Inspections!$BB753&lt;&gt;"",Weekly_Inspections!$BB753,Weekly_Inspections!$R753)))))</f>
        <v>0</v>
      </c>
      <c r="G753" t="str">
        <f>IF(OR(Weekly_Inspections!$AQ753&lt;&gt;"",Weekly_Inspections!$AR753&lt;&gt;"",Weekly_Inspections!$AS753&lt;&gt;""),Weekly_Inspections!$AQ753,"")</f>
        <v/>
      </c>
      <c r="H753">
        <f>Weekly_Inspections!$AP753</f>
        <v>0</v>
      </c>
      <c r="I753">
        <f>Weekly_Inspections!$AR753</f>
        <v>0</v>
      </c>
      <c r="J753">
        <f>Weekly_Inspections!$AS753</f>
        <v>0</v>
      </c>
      <c r="K753">
        <f>Weekly_Inspections!$AU753</f>
        <v>0</v>
      </c>
      <c r="L753" s="24">
        <f>Weekly_Inspections!$AV753</f>
        <v>0</v>
      </c>
      <c r="M753" t="str">
        <f t="shared" si="33"/>
        <v>Open</v>
      </c>
      <c r="N753" s="24"/>
      <c r="O753">
        <f t="shared" ca="1" si="34"/>
        <v>46113</v>
      </c>
      <c r="P753" t="str">
        <f t="shared" ca="1" si="35"/>
        <v>YES</v>
      </c>
      <c r="Q753">
        <f>Weekly_Inspections!$AW753</f>
        <v>0</v>
      </c>
    </row>
    <row r="754" spans="1:17" ht="15" customHeight="1" x14ac:dyDescent="0.2">
      <c r="A754" t="str">
        <f>IF(Weekly_Inspections!$B754="","",Weekly_Inspections!$A754&amp;"-A1")</f>
        <v/>
      </c>
      <c r="B754" s="24">
        <f>Weekly_Inspections!$B754</f>
        <v>0</v>
      </c>
      <c r="C754">
        <f>Weekly_Inspections!$E754</f>
        <v>0</v>
      </c>
      <c r="D754">
        <f>Weekly_Inspections!$F754</f>
        <v>0</v>
      </c>
      <c r="E754" t="str">
        <f>Weekly_Inspections!$H754</f>
        <v/>
      </c>
      <c r="F754">
        <f>IF(Weekly_Inspections!$AX754&lt;&gt;"",Weekly_Inspections!$AX754,IF(Weekly_Inspections!$AY754&lt;&gt;"",Weekly_Inspections!$AY754,IF(Weekly_Inspections!$AZ754&lt;&gt;"",Weekly_Inspections!$AZ754,IF(Weekly_Inspections!$BA754&lt;&gt;"",Weekly_Inspections!$BA754,IF(Weekly_Inspections!$BB754&lt;&gt;"",Weekly_Inspections!$BB754,Weekly_Inspections!$R754)))))</f>
        <v>0</v>
      </c>
      <c r="G754" t="str">
        <f>IF(OR(Weekly_Inspections!$AQ754&lt;&gt;"",Weekly_Inspections!$AR754&lt;&gt;"",Weekly_Inspections!$AS754&lt;&gt;""),Weekly_Inspections!$AQ754,"")</f>
        <v/>
      </c>
      <c r="H754">
        <f>Weekly_Inspections!$AP754</f>
        <v>0</v>
      </c>
      <c r="I754">
        <f>Weekly_Inspections!$AR754</f>
        <v>0</v>
      </c>
      <c r="J754">
        <f>Weekly_Inspections!$AS754</f>
        <v>0</v>
      </c>
      <c r="K754">
        <f>Weekly_Inspections!$AU754</f>
        <v>0</v>
      </c>
      <c r="L754" s="24">
        <f>Weekly_Inspections!$AV754</f>
        <v>0</v>
      </c>
      <c r="M754" t="str">
        <f t="shared" si="33"/>
        <v>Open</v>
      </c>
      <c r="N754" s="24"/>
      <c r="O754">
        <f t="shared" ca="1" si="34"/>
        <v>46113</v>
      </c>
      <c r="P754" t="str">
        <f t="shared" ca="1" si="35"/>
        <v>YES</v>
      </c>
      <c r="Q754">
        <f>Weekly_Inspections!$AW754</f>
        <v>0</v>
      </c>
    </row>
    <row r="755" spans="1:17" ht="15" customHeight="1" x14ac:dyDescent="0.2">
      <c r="A755" t="str">
        <f>IF(Weekly_Inspections!$B755="","",Weekly_Inspections!$A755&amp;"-A1")</f>
        <v/>
      </c>
      <c r="B755" s="24">
        <f>Weekly_Inspections!$B755</f>
        <v>0</v>
      </c>
      <c r="C755">
        <f>Weekly_Inspections!$E755</f>
        <v>0</v>
      </c>
      <c r="D755">
        <f>Weekly_Inspections!$F755</f>
        <v>0</v>
      </c>
      <c r="E755" t="str">
        <f>Weekly_Inspections!$H755</f>
        <v/>
      </c>
      <c r="F755">
        <f>IF(Weekly_Inspections!$AX755&lt;&gt;"",Weekly_Inspections!$AX755,IF(Weekly_Inspections!$AY755&lt;&gt;"",Weekly_Inspections!$AY755,IF(Weekly_Inspections!$AZ755&lt;&gt;"",Weekly_Inspections!$AZ755,IF(Weekly_Inspections!$BA755&lt;&gt;"",Weekly_Inspections!$BA755,IF(Weekly_Inspections!$BB755&lt;&gt;"",Weekly_Inspections!$BB755,Weekly_Inspections!$R755)))))</f>
        <v>0</v>
      </c>
      <c r="G755" t="str">
        <f>IF(OR(Weekly_Inspections!$AQ755&lt;&gt;"",Weekly_Inspections!$AR755&lt;&gt;"",Weekly_Inspections!$AS755&lt;&gt;""),Weekly_Inspections!$AQ755,"")</f>
        <v/>
      </c>
      <c r="H755">
        <f>Weekly_Inspections!$AP755</f>
        <v>0</v>
      </c>
      <c r="I755">
        <f>Weekly_Inspections!$AR755</f>
        <v>0</v>
      </c>
      <c r="J755">
        <f>Weekly_Inspections!$AS755</f>
        <v>0</v>
      </c>
      <c r="K755">
        <f>Weekly_Inspections!$AU755</f>
        <v>0</v>
      </c>
      <c r="L755" s="24">
        <f>Weekly_Inspections!$AV755</f>
        <v>0</v>
      </c>
      <c r="M755" t="str">
        <f t="shared" si="33"/>
        <v>Open</v>
      </c>
      <c r="N755" s="24"/>
      <c r="O755">
        <f t="shared" ca="1" si="34"/>
        <v>46113</v>
      </c>
      <c r="P755" t="str">
        <f t="shared" ca="1" si="35"/>
        <v>YES</v>
      </c>
      <c r="Q755">
        <f>Weekly_Inspections!$AW755</f>
        <v>0</v>
      </c>
    </row>
    <row r="756" spans="1:17" ht="15" customHeight="1" x14ac:dyDescent="0.2">
      <c r="A756" t="str">
        <f>IF(Weekly_Inspections!$B756="","",Weekly_Inspections!$A756&amp;"-A1")</f>
        <v/>
      </c>
      <c r="B756" s="24">
        <f>Weekly_Inspections!$B756</f>
        <v>0</v>
      </c>
      <c r="C756">
        <f>Weekly_Inspections!$E756</f>
        <v>0</v>
      </c>
      <c r="D756">
        <f>Weekly_Inspections!$F756</f>
        <v>0</v>
      </c>
      <c r="E756" t="str">
        <f>Weekly_Inspections!$H756</f>
        <v/>
      </c>
      <c r="F756">
        <f>IF(Weekly_Inspections!$AX756&lt;&gt;"",Weekly_Inspections!$AX756,IF(Weekly_Inspections!$AY756&lt;&gt;"",Weekly_Inspections!$AY756,IF(Weekly_Inspections!$AZ756&lt;&gt;"",Weekly_Inspections!$AZ756,IF(Weekly_Inspections!$BA756&lt;&gt;"",Weekly_Inspections!$BA756,IF(Weekly_Inspections!$BB756&lt;&gt;"",Weekly_Inspections!$BB756,Weekly_Inspections!$R756)))))</f>
        <v>0</v>
      </c>
      <c r="G756" t="str">
        <f>IF(OR(Weekly_Inspections!$AQ756&lt;&gt;"",Weekly_Inspections!$AR756&lt;&gt;"",Weekly_Inspections!$AS756&lt;&gt;""),Weekly_Inspections!$AQ756,"")</f>
        <v/>
      </c>
      <c r="H756">
        <f>Weekly_Inspections!$AP756</f>
        <v>0</v>
      </c>
      <c r="I756">
        <f>Weekly_Inspections!$AR756</f>
        <v>0</v>
      </c>
      <c r="J756">
        <f>Weekly_Inspections!$AS756</f>
        <v>0</v>
      </c>
      <c r="K756">
        <f>Weekly_Inspections!$AU756</f>
        <v>0</v>
      </c>
      <c r="L756" s="24">
        <f>Weekly_Inspections!$AV756</f>
        <v>0</v>
      </c>
      <c r="M756" t="str">
        <f t="shared" si="33"/>
        <v>Open</v>
      </c>
      <c r="N756" s="24"/>
      <c r="O756">
        <f t="shared" ca="1" si="34"/>
        <v>46113</v>
      </c>
      <c r="P756" t="str">
        <f t="shared" ca="1" si="35"/>
        <v>YES</v>
      </c>
      <c r="Q756">
        <f>Weekly_Inspections!$AW756</f>
        <v>0</v>
      </c>
    </row>
    <row r="757" spans="1:17" ht="15" customHeight="1" x14ac:dyDescent="0.2">
      <c r="A757" t="str">
        <f>IF(Weekly_Inspections!$B757="","",Weekly_Inspections!$A757&amp;"-A1")</f>
        <v/>
      </c>
      <c r="B757" s="24">
        <f>Weekly_Inspections!$B757</f>
        <v>0</v>
      </c>
      <c r="C757">
        <f>Weekly_Inspections!$E757</f>
        <v>0</v>
      </c>
      <c r="D757">
        <f>Weekly_Inspections!$F757</f>
        <v>0</v>
      </c>
      <c r="E757" t="str">
        <f>Weekly_Inspections!$H757</f>
        <v/>
      </c>
      <c r="F757">
        <f>IF(Weekly_Inspections!$AX757&lt;&gt;"",Weekly_Inspections!$AX757,IF(Weekly_Inspections!$AY757&lt;&gt;"",Weekly_Inspections!$AY757,IF(Weekly_Inspections!$AZ757&lt;&gt;"",Weekly_Inspections!$AZ757,IF(Weekly_Inspections!$BA757&lt;&gt;"",Weekly_Inspections!$BA757,IF(Weekly_Inspections!$BB757&lt;&gt;"",Weekly_Inspections!$BB757,Weekly_Inspections!$R757)))))</f>
        <v>0</v>
      </c>
      <c r="G757" t="str">
        <f>IF(OR(Weekly_Inspections!$AQ757&lt;&gt;"",Weekly_Inspections!$AR757&lt;&gt;"",Weekly_Inspections!$AS757&lt;&gt;""),Weekly_Inspections!$AQ757,"")</f>
        <v/>
      </c>
      <c r="H757">
        <f>Weekly_Inspections!$AP757</f>
        <v>0</v>
      </c>
      <c r="I757">
        <f>Weekly_Inspections!$AR757</f>
        <v>0</v>
      </c>
      <c r="J757">
        <f>Weekly_Inspections!$AS757</f>
        <v>0</v>
      </c>
      <c r="K757">
        <f>Weekly_Inspections!$AU757</f>
        <v>0</v>
      </c>
      <c r="L757" s="24">
        <f>Weekly_Inspections!$AV757</f>
        <v>0</v>
      </c>
      <c r="M757" t="str">
        <f t="shared" si="33"/>
        <v>Open</v>
      </c>
      <c r="N757" s="24"/>
      <c r="O757">
        <f t="shared" ca="1" si="34"/>
        <v>46113</v>
      </c>
      <c r="P757" t="str">
        <f t="shared" ca="1" si="35"/>
        <v>YES</v>
      </c>
      <c r="Q757">
        <f>Weekly_Inspections!$AW757</f>
        <v>0</v>
      </c>
    </row>
    <row r="758" spans="1:17" ht="15" customHeight="1" x14ac:dyDescent="0.2">
      <c r="A758" t="str">
        <f>IF(Weekly_Inspections!$B758="","",Weekly_Inspections!$A758&amp;"-A1")</f>
        <v/>
      </c>
      <c r="B758" s="24">
        <f>Weekly_Inspections!$B758</f>
        <v>0</v>
      </c>
      <c r="C758">
        <f>Weekly_Inspections!$E758</f>
        <v>0</v>
      </c>
      <c r="D758">
        <f>Weekly_Inspections!$F758</f>
        <v>0</v>
      </c>
      <c r="E758" t="str">
        <f>Weekly_Inspections!$H758</f>
        <v/>
      </c>
      <c r="F758">
        <f>IF(Weekly_Inspections!$AX758&lt;&gt;"",Weekly_Inspections!$AX758,IF(Weekly_Inspections!$AY758&lt;&gt;"",Weekly_Inspections!$AY758,IF(Weekly_Inspections!$AZ758&lt;&gt;"",Weekly_Inspections!$AZ758,IF(Weekly_Inspections!$BA758&lt;&gt;"",Weekly_Inspections!$BA758,IF(Weekly_Inspections!$BB758&lt;&gt;"",Weekly_Inspections!$BB758,Weekly_Inspections!$R758)))))</f>
        <v>0</v>
      </c>
      <c r="G758" t="str">
        <f>IF(OR(Weekly_Inspections!$AQ758&lt;&gt;"",Weekly_Inspections!$AR758&lt;&gt;"",Weekly_Inspections!$AS758&lt;&gt;""),Weekly_Inspections!$AQ758,"")</f>
        <v/>
      </c>
      <c r="H758">
        <f>Weekly_Inspections!$AP758</f>
        <v>0</v>
      </c>
      <c r="I758">
        <f>Weekly_Inspections!$AR758</f>
        <v>0</v>
      </c>
      <c r="J758">
        <f>Weekly_Inspections!$AS758</f>
        <v>0</v>
      </c>
      <c r="K758">
        <f>Weekly_Inspections!$AU758</f>
        <v>0</v>
      </c>
      <c r="L758" s="24">
        <f>Weekly_Inspections!$AV758</f>
        <v>0</v>
      </c>
      <c r="M758" t="str">
        <f t="shared" si="33"/>
        <v>Open</v>
      </c>
      <c r="N758" s="24"/>
      <c r="O758">
        <f t="shared" ca="1" si="34"/>
        <v>46113</v>
      </c>
      <c r="P758" t="str">
        <f t="shared" ca="1" si="35"/>
        <v>YES</v>
      </c>
      <c r="Q758">
        <f>Weekly_Inspections!$AW758</f>
        <v>0</v>
      </c>
    </row>
    <row r="759" spans="1:17" ht="15" customHeight="1" x14ac:dyDescent="0.2">
      <c r="A759" t="str">
        <f>IF(Weekly_Inspections!$B759="","",Weekly_Inspections!$A759&amp;"-A1")</f>
        <v/>
      </c>
      <c r="B759" s="24">
        <f>Weekly_Inspections!$B759</f>
        <v>0</v>
      </c>
      <c r="C759">
        <f>Weekly_Inspections!$E759</f>
        <v>0</v>
      </c>
      <c r="D759">
        <f>Weekly_Inspections!$F759</f>
        <v>0</v>
      </c>
      <c r="E759" t="str">
        <f>Weekly_Inspections!$H759</f>
        <v/>
      </c>
      <c r="F759">
        <f>IF(Weekly_Inspections!$AX759&lt;&gt;"",Weekly_Inspections!$AX759,IF(Weekly_Inspections!$AY759&lt;&gt;"",Weekly_Inspections!$AY759,IF(Weekly_Inspections!$AZ759&lt;&gt;"",Weekly_Inspections!$AZ759,IF(Weekly_Inspections!$BA759&lt;&gt;"",Weekly_Inspections!$BA759,IF(Weekly_Inspections!$BB759&lt;&gt;"",Weekly_Inspections!$BB759,Weekly_Inspections!$R759)))))</f>
        <v>0</v>
      </c>
      <c r="G759" t="str">
        <f>IF(OR(Weekly_Inspections!$AQ759&lt;&gt;"",Weekly_Inspections!$AR759&lt;&gt;"",Weekly_Inspections!$AS759&lt;&gt;""),Weekly_Inspections!$AQ759,"")</f>
        <v/>
      </c>
      <c r="H759">
        <f>Weekly_Inspections!$AP759</f>
        <v>0</v>
      </c>
      <c r="I759">
        <f>Weekly_Inspections!$AR759</f>
        <v>0</v>
      </c>
      <c r="J759">
        <f>Weekly_Inspections!$AS759</f>
        <v>0</v>
      </c>
      <c r="K759">
        <f>Weekly_Inspections!$AU759</f>
        <v>0</v>
      </c>
      <c r="L759" s="24">
        <f>Weekly_Inspections!$AV759</f>
        <v>0</v>
      </c>
      <c r="M759" t="str">
        <f t="shared" si="33"/>
        <v>Open</v>
      </c>
      <c r="N759" s="24"/>
      <c r="O759">
        <f t="shared" ca="1" si="34"/>
        <v>46113</v>
      </c>
      <c r="P759" t="str">
        <f t="shared" ca="1" si="35"/>
        <v>YES</v>
      </c>
      <c r="Q759">
        <f>Weekly_Inspections!$AW759</f>
        <v>0</v>
      </c>
    </row>
    <row r="760" spans="1:17" ht="15" customHeight="1" x14ac:dyDescent="0.2">
      <c r="A760" t="str">
        <f>IF(Weekly_Inspections!$B760="","",Weekly_Inspections!$A760&amp;"-A1")</f>
        <v/>
      </c>
      <c r="B760" s="24">
        <f>Weekly_Inspections!$B760</f>
        <v>0</v>
      </c>
      <c r="C760">
        <f>Weekly_Inspections!$E760</f>
        <v>0</v>
      </c>
      <c r="D760">
        <f>Weekly_Inspections!$F760</f>
        <v>0</v>
      </c>
      <c r="E760" t="str">
        <f>Weekly_Inspections!$H760</f>
        <v/>
      </c>
      <c r="F760">
        <f>IF(Weekly_Inspections!$AX760&lt;&gt;"",Weekly_Inspections!$AX760,IF(Weekly_Inspections!$AY760&lt;&gt;"",Weekly_Inspections!$AY760,IF(Weekly_Inspections!$AZ760&lt;&gt;"",Weekly_Inspections!$AZ760,IF(Weekly_Inspections!$BA760&lt;&gt;"",Weekly_Inspections!$BA760,IF(Weekly_Inspections!$BB760&lt;&gt;"",Weekly_Inspections!$BB760,Weekly_Inspections!$R760)))))</f>
        <v>0</v>
      </c>
      <c r="G760" t="str">
        <f>IF(OR(Weekly_Inspections!$AQ760&lt;&gt;"",Weekly_Inspections!$AR760&lt;&gt;"",Weekly_Inspections!$AS760&lt;&gt;""),Weekly_Inspections!$AQ760,"")</f>
        <v/>
      </c>
      <c r="H760">
        <f>Weekly_Inspections!$AP760</f>
        <v>0</v>
      </c>
      <c r="I760">
        <f>Weekly_Inspections!$AR760</f>
        <v>0</v>
      </c>
      <c r="J760">
        <f>Weekly_Inspections!$AS760</f>
        <v>0</v>
      </c>
      <c r="K760">
        <f>Weekly_Inspections!$AU760</f>
        <v>0</v>
      </c>
      <c r="L760" s="24">
        <f>Weekly_Inspections!$AV760</f>
        <v>0</v>
      </c>
      <c r="M760" t="str">
        <f t="shared" si="33"/>
        <v>Open</v>
      </c>
      <c r="N760" s="24"/>
      <c r="O760">
        <f t="shared" ca="1" si="34"/>
        <v>46113</v>
      </c>
      <c r="P760" t="str">
        <f t="shared" ca="1" si="35"/>
        <v>YES</v>
      </c>
      <c r="Q760">
        <f>Weekly_Inspections!$AW760</f>
        <v>0</v>
      </c>
    </row>
    <row r="761" spans="1:17" ht="15" customHeight="1" x14ac:dyDescent="0.2">
      <c r="A761" t="str">
        <f>IF(Weekly_Inspections!$B761="","",Weekly_Inspections!$A761&amp;"-A1")</f>
        <v/>
      </c>
      <c r="B761" s="24">
        <f>Weekly_Inspections!$B761</f>
        <v>0</v>
      </c>
      <c r="C761">
        <f>Weekly_Inspections!$E761</f>
        <v>0</v>
      </c>
      <c r="D761">
        <f>Weekly_Inspections!$F761</f>
        <v>0</v>
      </c>
      <c r="E761" t="str">
        <f>Weekly_Inspections!$H761</f>
        <v/>
      </c>
      <c r="F761">
        <f>IF(Weekly_Inspections!$AX761&lt;&gt;"",Weekly_Inspections!$AX761,IF(Weekly_Inspections!$AY761&lt;&gt;"",Weekly_Inspections!$AY761,IF(Weekly_Inspections!$AZ761&lt;&gt;"",Weekly_Inspections!$AZ761,IF(Weekly_Inspections!$BA761&lt;&gt;"",Weekly_Inspections!$BA761,IF(Weekly_Inspections!$BB761&lt;&gt;"",Weekly_Inspections!$BB761,Weekly_Inspections!$R761)))))</f>
        <v>0</v>
      </c>
      <c r="G761" t="str">
        <f>IF(OR(Weekly_Inspections!$AQ761&lt;&gt;"",Weekly_Inspections!$AR761&lt;&gt;"",Weekly_Inspections!$AS761&lt;&gt;""),Weekly_Inspections!$AQ761,"")</f>
        <v/>
      </c>
      <c r="H761">
        <f>Weekly_Inspections!$AP761</f>
        <v>0</v>
      </c>
      <c r="I761">
        <f>Weekly_Inspections!$AR761</f>
        <v>0</v>
      </c>
      <c r="J761">
        <f>Weekly_Inspections!$AS761</f>
        <v>0</v>
      </c>
      <c r="K761">
        <f>Weekly_Inspections!$AU761</f>
        <v>0</v>
      </c>
      <c r="L761" s="24">
        <f>Weekly_Inspections!$AV761</f>
        <v>0</v>
      </c>
      <c r="M761" t="str">
        <f t="shared" si="33"/>
        <v>Open</v>
      </c>
      <c r="N761" s="24"/>
      <c r="O761">
        <f t="shared" ca="1" si="34"/>
        <v>46113</v>
      </c>
      <c r="P761" t="str">
        <f t="shared" ca="1" si="35"/>
        <v>YES</v>
      </c>
      <c r="Q761">
        <f>Weekly_Inspections!$AW761</f>
        <v>0</v>
      </c>
    </row>
    <row r="762" spans="1:17" ht="15" customHeight="1" x14ac:dyDescent="0.2">
      <c r="A762" t="str">
        <f>IF(Weekly_Inspections!$B762="","",Weekly_Inspections!$A762&amp;"-A1")</f>
        <v/>
      </c>
      <c r="B762" s="24">
        <f>Weekly_Inspections!$B762</f>
        <v>0</v>
      </c>
      <c r="C762">
        <f>Weekly_Inspections!$E762</f>
        <v>0</v>
      </c>
      <c r="D762">
        <f>Weekly_Inspections!$F762</f>
        <v>0</v>
      </c>
      <c r="E762" t="str">
        <f>Weekly_Inspections!$H762</f>
        <v/>
      </c>
      <c r="F762">
        <f>IF(Weekly_Inspections!$AX762&lt;&gt;"",Weekly_Inspections!$AX762,IF(Weekly_Inspections!$AY762&lt;&gt;"",Weekly_Inspections!$AY762,IF(Weekly_Inspections!$AZ762&lt;&gt;"",Weekly_Inspections!$AZ762,IF(Weekly_Inspections!$BA762&lt;&gt;"",Weekly_Inspections!$BA762,IF(Weekly_Inspections!$BB762&lt;&gt;"",Weekly_Inspections!$BB762,Weekly_Inspections!$R762)))))</f>
        <v>0</v>
      </c>
      <c r="G762" t="str">
        <f>IF(OR(Weekly_Inspections!$AQ762&lt;&gt;"",Weekly_Inspections!$AR762&lt;&gt;"",Weekly_Inspections!$AS762&lt;&gt;""),Weekly_Inspections!$AQ762,"")</f>
        <v/>
      </c>
      <c r="H762">
        <f>Weekly_Inspections!$AP762</f>
        <v>0</v>
      </c>
      <c r="I762">
        <f>Weekly_Inspections!$AR762</f>
        <v>0</v>
      </c>
      <c r="J762">
        <f>Weekly_Inspections!$AS762</f>
        <v>0</v>
      </c>
      <c r="K762">
        <f>Weekly_Inspections!$AU762</f>
        <v>0</v>
      </c>
      <c r="L762" s="24">
        <f>Weekly_Inspections!$AV762</f>
        <v>0</v>
      </c>
      <c r="M762" t="str">
        <f t="shared" si="33"/>
        <v>Open</v>
      </c>
      <c r="N762" s="24"/>
      <c r="O762">
        <f t="shared" ca="1" si="34"/>
        <v>46113</v>
      </c>
      <c r="P762" t="str">
        <f t="shared" ca="1" si="35"/>
        <v>YES</v>
      </c>
      <c r="Q762">
        <f>Weekly_Inspections!$AW762</f>
        <v>0</v>
      </c>
    </row>
    <row r="763" spans="1:17" ht="15" customHeight="1" x14ac:dyDescent="0.2">
      <c r="A763" t="str">
        <f>IF(Weekly_Inspections!$B763="","",Weekly_Inspections!$A763&amp;"-A1")</f>
        <v/>
      </c>
      <c r="B763" s="24">
        <f>Weekly_Inspections!$B763</f>
        <v>0</v>
      </c>
      <c r="C763">
        <f>Weekly_Inspections!$E763</f>
        <v>0</v>
      </c>
      <c r="D763">
        <f>Weekly_Inspections!$F763</f>
        <v>0</v>
      </c>
      <c r="E763" t="str">
        <f>Weekly_Inspections!$H763</f>
        <v/>
      </c>
      <c r="F763">
        <f>IF(Weekly_Inspections!$AX763&lt;&gt;"",Weekly_Inspections!$AX763,IF(Weekly_Inspections!$AY763&lt;&gt;"",Weekly_Inspections!$AY763,IF(Weekly_Inspections!$AZ763&lt;&gt;"",Weekly_Inspections!$AZ763,IF(Weekly_Inspections!$BA763&lt;&gt;"",Weekly_Inspections!$BA763,IF(Weekly_Inspections!$BB763&lt;&gt;"",Weekly_Inspections!$BB763,Weekly_Inspections!$R763)))))</f>
        <v>0</v>
      </c>
      <c r="G763" t="str">
        <f>IF(OR(Weekly_Inspections!$AQ763&lt;&gt;"",Weekly_Inspections!$AR763&lt;&gt;"",Weekly_Inspections!$AS763&lt;&gt;""),Weekly_Inspections!$AQ763,"")</f>
        <v/>
      </c>
      <c r="H763">
        <f>Weekly_Inspections!$AP763</f>
        <v>0</v>
      </c>
      <c r="I763">
        <f>Weekly_Inspections!$AR763</f>
        <v>0</v>
      </c>
      <c r="J763">
        <f>Weekly_Inspections!$AS763</f>
        <v>0</v>
      </c>
      <c r="K763">
        <f>Weekly_Inspections!$AU763</f>
        <v>0</v>
      </c>
      <c r="L763" s="24">
        <f>Weekly_Inspections!$AV763</f>
        <v>0</v>
      </c>
      <c r="M763" t="str">
        <f t="shared" si="33"/>
        <v>Open</v>
      </c>
      <c r="N763" s="24"/>
      <c r="O763">
        <f t="shared" ca="1" si="34"/>
        <v>46113</v>
      </c>
      <c r="P763" t="str">
        <f t="shared" ca="1" si="35"/>
        <v>YES</v>
      </c>
      <c r="Q763">
        <f>Weekly_Inspections!$AW763</f>
        <v>0</v>
      </c>
    </row>
    <row r="764" spans="1:17" ht="15" customHeight="1" x14ac:dyDescent="0.2">
      <c r="A764" t="str">
        <f>IF(Weekly_Inspections!$B764="","",Weekly_Inspections!$A764&amp;"-A1")</f>
        <v/>
      </c>
      <c r="B764" s="24">
        <f>Weekly_Inspections!$B764</f>
        <v>0</v>
      </c>
      <c r="C764">
        <f>Weekly_Inspections!$E764</f>
        <v>0</v>
      </c>
      <c r="D764">
        <f>Weekly_Inspections!$F764</f>
        <v>0</v>
      </c>
      <c r="E764" t="str">
        <f>Weekly_Inspections!$H764</f>
        <v/>
      </c>
      <c r="F764">
        <f>IF(Weekly_Inspections!$AX764&lt;&gt;"",Weekly_Inspections!$AX764,IF(Weekly_Inspections!$AY764&lt;&gt;"",Weekly_Inspections!$AY764,IF(Weekly_Inspections!$AZ764&lt;&gt;"",Weekly_Inspections!$AZ764,IF(Weekly_Inspections!$BA764&lt;&gt;"",Weekly_Inspections!$BA764,IF(Weekly_Inspections!$BB764&lt;&gt;"",Weekly_Inspections!$BB764,Weekly_Inspections!$R764)))))</f>
        <v>0</v>
      </c>
      <c r="G764" t="str">
        <f>IF(OR(Weekly_Inspections!$AQ764&lt;&gt;"",Weekly_Inspections!$AR764&lt;&gt;"",Weekly_Inspections!$AS764&lt;&gt;""),Weekly_Inspections!$AQ764,"")</f>
        <v/>
      </c>
      <c r="H764">
        <f>Weekly_Inspections!$AP764</f>
        <v>0</v>
      </c>
      <c r="I764">
        <f>Weekly_Inspections!$AR764</f>
        <v>0</v>
      </c>
      <c r="J764">
        <f>Weekly_Inspections!$AS764</f>
        <v>0</v>
      </c>
      <c r="K764">
        <f>Weekly_Inspections!$AU764</f>
        <v>0</v>
      </c>
      <c r="L764" s="24">
        <f>Weekly_Inspections!$AV764</f>
        <v>0</v>
      </c>
      <c r="M764" t="str">
        <f t="shared" si="33"/>
        <v>Open</v>
      </c>
      <c r="N764" s="24"/>
      <c r="O764">
        <f t="shared" ca="1" si="34"/>
        <v>46113</v>
      </c>
      <c r="P764" t="str">
        <f t="shared" ca="1" si="35"/>
        <v>YES</v>
      </c>
      <c r="Q764">
        <f>Weekly_Inspections!$AW764</f>
        <v>0</v>
      </c>
    </row>
    <row r="765" spans="1:17" ht="15" customHeight="1" x14ac:dyDescent="0.2">
      <c r="A765" t="str">
        <f>IF(Weekly_Inspections!$B765="","",Weekly_Inspections!$A765&amp;"-A1")</f>
        <v/>
      </c>
      <c r="B765" s="24">
        <f>Weekly_Inspections!$B765</f>
        <v>0</v>
      </c>
      <c r="C765">
        <f>Weekly_Inspections!$E765</f>
        <v>0</v>
      </c>
      <c r="D765">
        <f>Weekly_Inspections!$F765</f>
        <v>0</v>
      </c>
      <c r="E765" t="str">
        <f>Weekly_Inspections!$H765</f>
        <v/>
      </c>
      <c r="F765">
        <f>IF(Weekly_Inspections!$AX765&lt;&gt;"",Weekly_Inspections!$AX765,IF(Weekly_Inspections!$AY765&lt;&gt;"",Weekly_Inspections!$AY765,IF(Weekly_Inspections!$AZ765&lt;&gt;"",Weekly_Inspections!$AZ765,IF(Weekly_Inspections!$BA765&lt;&gt;"",Weekly_Inspections!$BA765,IF(Weekly_Inspections!$BB765&lt;&gt;"",Weekly_Inspections!$BB765,Weekly_Inspections!$R765)))))</f>
        <v>0</v>
      </c>
      <c r="G765" t="str">
        <f>IF(OR(Weekly_Inspections!$AQ765&lt;&gt;"",Weekly_Inspections!$AR765&lt;&gt;"",Weekly_Inspections!$AS765&lt;&gt;""),Weekly_Inspections!$AQ765,"")</f>
        <v/>
      </c>
      <c r="H765">
        <f>Weekly_Inspections!$AP765</f>
        <v>0</v>
      </c>
      <c r="I765">
        <f>Weekly_Inspections!$AR765</f>
        <v>0</v>
      </c>
      <c r="J765">
        <f>Weekly_Inspections!$AS765</f>
        <v>0</v>
      </c>
      <c r="K765">
        <f>Weekly_Inspections!$AU765</f>
        <v>0</v>
      </c>
      <c r="L765" s="24">
        <f>Weekly_Inspections!$AV765</f>
        <v>0</v>
      </c>
      <c r="M765" t="str">
        <f t="shared" si="33"/>
        <v>Open</v>
      </c>
      <c r="N765" s="24"/>
      <c r="O765">
        <f t="shared" ca="1" si="34"/>
        <v>46113</v>
      </c>
      <c r="P765" t="str">
        <f t="shared" ca="1" si="35"/>
        <v>YES</v>
      </c>
      <c r="Q765">
        <f>Weekly_Inspections!$AW765</f>
        <v>0</v>
      </c>
    </row>
    <row r="766" spans="1:17" ht="15" customHeight="1" x14ac:dyDescent="0.2">
      <c r="A766" t="str">
        <f>IF(Weekly_Inspections!$B766="","",Weekly_Inspections!$A766&amp;"-A1")</f>
        <v/>
      </c>
      <c r="B766" s="24">
        <f>Weekly_Inspections!$B766</f>
        <v>0</v>
      </c>
      <c r="C766">
        <f>Weekly_Inspections!$E766</f>
        <v>0</v>
      </c>
      <c r="D766">
        <f>Weekly_Inspections!$F766</f>
        <v>0</v>
      </c>
      <c r="E766" t="str">
        <f>Weekly_Inspections!$H766</f>
        <v/>
      </c>
      <c r="F766">
        <f>IF(Weekly_Inspections!$AX766&lt;&gt;"",Weekly_Inspections!$AX766,IF(Weekly_Inspections!$AY766&lt;&gt;"",Weekly_Inspections!$AY766,IF(Weekly_Inspections!$AZ766&lt;&gt;"",Weekly_Inspections!$AZ766,IF(Weekly_Inspections!$BA766&lt;&gt;"",Weekly_Inspections!$BA766,IF(Weekly_Inspections!$BB766&lt;&gt;"",Weekly_Inspections!$BB766,Weekly_Inspections!$R766)))))</f>
        <v>0</v>
      </c>
      <c r="G766" t="str">
        <f>IF(OR(Weekly_Inspections!$AQ766&lt;&gt;"",Weekly_Inspections!$AR766&lt;&gt;"",Weekly_Inspections!$AS766&lt;&gt;""),Weekly_Inspections!$AQ766,"")</f>
        <v/>
      </c>
      <c r="H766">
        <f>Weekly_Inspections!$AP766</f>
        <v>0</v>
      </c>
      <c r="I766">
        <f>Weekly_Inspections!$AR766</f>
        <v>0</v>
      </c>
      <c r="J766">
        <f>Weekly_Inspections!$AS766</f>
        <v>0</v>
      </c>
      <c r="K766">
        <f>Weekly_Inspections!$AU766</f>
        <v>0</v>
      </c>
      <c r="L766" s="24">
        <f>Weekly_Inspections!$AV766</f>
        <v>0</v>
      </c>
      <c r="M766" t="str">
        <f t="shared" si="33"/>
        <v>Open</v>
      </c>
      <c r="N766" s="24"/>
      <c r="O766">
        <f t="shared" ca="1" si="34"/>
        <v>46113</v>
      </c>
      <c r="P766" t="str">
        <f t="shared" ca="1" si="35"/>
        <v>YES</v>
      </c>
      <c r="Q766">
        <f>Weekly_Inspections!$AW766</f>
        <v>0</v>
      </c>
    </row>
    <row r="767" spans="1:17" ht="15" customHeight="1" x14ac:dyDescent="0.2">
      <c r="A767" t="str">
        <f>IF(Weekly_Inspections!$B767="","",Weekly_Inspections!$A767&amp;"-A1")</f>
        <v/>
      </c>
      <c r="B767" s="24">
        <f>Weekly_Inspections!$B767</f>
        <v>0</v>
      </c>
      <c r="C767">
        <f>Weekly_Inspections!$E767</f>
        <v>0</v>
      </c>
      <c r="D767">
        <f>Weekly_Inspections!$F767</f>
        <v>0</v>
      </c>
      <c r="E767" t="str">
        <f>Weekly_Inspections!$H767</f>
        <v/>
      </c>
      <c r="F767">
        <f>IF(Weekly_Inspections!$AX767&lt;&gt;"",Weekly_Inspections!$AX767,IF(Weekly_Inspections!$AY767&lt;&gt;"",Weekly_Inspections!$AY767,IF(Weekly_Inspections!$AZ767&lt;&gt;"",Weekly_Inspections!$AZ767,IF(Weekly_Inspections!$BA767&lt;&gt;"",Weekly_Inspections!$BA767,IF(Weekly_Inspections!$BB767&lt;&gt;"",Weekly_Inspections!$BB767,Weekly_Inspections!$R767)))))</f>
        <v>0</v>
      </c>
      <c r="G767" t="str">
        <f>IF(OR(Weekly_Inspections!$AQ767&lt;&gt;"",Weekly_Inspections!$AR767&lt;&gt;"",Weekly_Inspections!$AS767&lt;&gt;""),Weekly_Inspections!$AQ767,"")</f>
        <v/>
      </c>
      <c r="H767">
        <f>Weekly_Inspections!$AP767</f>
        <v>0</v>
      </c>
      <c r="I767">
        <f>Weekly_Inspections!$AR767</f>
        <v>0</v>
      </c>
      <c r="J767">
        <f>Weekly_Inspections!$AS767</f>
        <v>0</v>
      </c>
      <c r="K767">
        <f>Weekly_Inspections!$AU767</f>
        <v>0</v>
      </c>
      <c r="L767" s="24">
        <f>Weekly_Inspections!$AV767</f>
        <v>0</v>
      </c>
      <c r="M767" t="str">
        <f t="shared" si="33"/>
        <v>Open</v>
      </c>
      <c r="N767" s="24"/>
      <c r="O767">
        <f t="shared" ca="1" si="34"/>
        <v>46113</v>
      </c>
      <c r="P767" t="str">
        <f t="shared" ca="1" si="35"/>
        <v>YES</v>
      </c>
      <c r="Q767">
        <f>Weekly_Inspections!$AW767</f>
        <v>0</v>
      </c>
    </row>
    <row r="768" spans="1:17" ht="15" customHeight="1" x14ac:dyDescent="0.2">
      <c r="A768" t="str">
        <f>IF(Weekly_Inspections!$B768="","",Weekly_Inspections!$A768&amp;"-A1")</f>
        <v/>
      </c>
      <c r="B768" s="24">
        <f>Weekly_Inspections!$B768</f>
        <v>0</v>
      </c>
      <c r="C768">
        <f>Weekly_Inspections!$E768</f>
        <v>0</v>
      </c>
      <c r="D768">
        <f>Weekly_Inspections!$F768</f>
        <v>0</v>
      </c>
      <c r="E768" t="str">
        <f>Weekly_Inspections!$H768</f>
        <v/>
      </c>
      <c r="F768">
        <f>IF(Weekly_Inspections!$AX768&lt;&gt;"",Weekly_Inspections!$AX768,IF(Weekly_Inspections!$AY768&lt;&gt;"",Weekly_Inspections!$AY768,IF(Weekly_Inspections!$AZ768&lt;&gt;"",Weekly_Inspections!$AZ768,IF(Weekly_Inspections!$BA768&lt;&gt;"",Weekly_Inspections!$BA768,IF(Weekly_Inspections!$BB768&lt;&gt;"",Weekly_Inspections!$BB768,Weekly_Inspections!$R768)))))</f>
        <v>0</v>
      </c>
      <c r="G768" t="str">
        <f>IF(OR(Weekly_Inspections!$AQ768&lt;&gt;"",Weekly_Inspections!$AR768&lt;&gt;"",Weekly_Inspections!$AS768&lt;&gt;""),Weekly_Inspections!$AQ768,"")</f>
        <v/>
      </c>
      <c r="H768">
        <f>Weekly_Inspections!$AP768</f>
        <v>0</v>
      </c>
      <c r="I768">
        <f>Weekly_Inspections!$AR768</f>
        <v>0</v>
      </c>
      <c r="J768">
        <f>Weekly_Inspections!$AS768</f>
        <v>0</v>
      </c>
      <c r="K768">
        <f>Weekly_Inspections!$AU768</f>
        <v>0</v>
      </c>
      <c r="L768" s="24">
        <f>Weekly_Inspections!$AV768</f>
        <v>0</v>
      </c>
      <c r="M768" t="str">
        <f t="shared" ref="M768:M831" si="36">IF($B768="","",IF($N768&lt;&gt;"","Closed",IF(OR($G768&lt;&gt;"",$I768&lt;&gt;"",$J768&lt;&gt;""),"Open","")))</f>
        <v>Open</v>
      </c>
      <c r="N768" s="24"/>
      <c r="O768">
        <f t="shared" ref="O768:O831" ca="1" si="37">IF($B768="","",IF($M768="Closed",IF($N768="","",$N768-$B768),TODAY()-$B768))</f>
        <v>46113</v>
      </c>
      <c r="P768" t="str">
        <f t="shared" ref="P768:P831" ca="1" si="38">IF(OR($B768="",$L768="",$M768="Closed"),"",IF(TODAY()&gt;$L768,"YES","NO"))</f>
        <v>YES</v>
      </c>
      <c r="Q768">
        <f>Weekly_Inspections!$AW768</f>
        <v>0</v>
      </c>
    </row>
    <row r="769" spans="1:17" ht="15" customHeight="1" x14ac:dyDescent="0.2">
      <c r="A769" t="str">
        <f>IF(Weekly_Inspections!$B769="","",Weekly_Inspections!$A769&amp;"-A1")</f>
        <v/>
      </c>
      <c r="B769" s="24">
        <f>Weekly_Inspections!$B769</f>
        <v>0</v>
      </c>
      <c r="C769">
        <f>Weekly_Inspections!$E769</f>
        <v>0</v>
      </c>
      <c r="D769">
        <f>Weekly_Inspections!$F769</f>
        <v>0</v>
      </c>
      <c r="E769" t="str">
        <f>Weekly_Inspections!$H769</f>
        <v/>
      </c>
      <c r="F769">
        <f>IF(Weekly_Inspections!$AX769&lt;&gt;"",Weekly_Inspections!$AX769,IF(Weekly_Inspections!$AY769&lt;&gt;"",Weekly_Inspections!$AY769,IF(Weekly_Inspections!$AZ769&lt;&gt;"",Weekly_Inspections!$AZ769,IF(Weekly_Inspections!$BA769&lt;&gt;"",Weekly_Inspections!$BA769,IF(Weekly_Inspections!$BB769&lt;&gt;"",Weekly_Inspections!$BB769,Weekly_Inspections!$R769)))))</f>
        <v>0</v>
      </c>
      <c r="G769" t="str">
        <f>IF(OR(Weekly_Inspections!$AQ769&lt;&gt;"",Weekly_Inspections!$AR769&lt;&gt;"",Weekly_Inspections!$AS769&lt;&gt;""),Weekly_Inspections!$AQ769,"")</f>
        <v/>
      </c>
      <c r="H769">
        <f>Weekly_Inspections!$AP769</f>
        <v>0</v>
      </c>
      <c r="I769">
        <f>Weekly_Inspections!$AR769</f>
        <v>0</v>
      </c>
      <c r="J769">
        <f>Weekly_Inspections!$AS769</f>
        <v>0</v>
      </c>
      <c r="K769">
        <f>Weekly_Inspections!$AU769</f>
        <v>0</v>
      </c>
      <c r="L769" s="24">
        <f>Weekly_Inspections!$AV769</f>
        <v>0</v>
      </c>
      <c r="M769" t="str">
        <f t="shared" si="36"/>
        <v>Open</v>
      </c>
      <c r="N769" s="24"/>
      <c r="O769">
        <f t="shared" ca="1" si="37"/>
        <v>46113</v>
      </c>
      <c r="P769" t="str">
        <f t="shared" ca="1" si="38"/>
        <v>YES</v>
      </c>
      <c r="Q769">
        <f>Weekly_Inspections!$AW769</f>
        <v>0</v>
      </c>
    </row>
    <row r="770" spans="1:17" ht="15" customHeight="1" x14ac:dyDescent="0.2">
      <c r="A770" t="str">
        <f>IF(Weekly_Inspections!$B770="","",Weekly_Inspections!$A770&amp;"-A1")</f>
        <v/>
      </c>
      <c r="B770" s="24">
        <f>Weekly_Inspections!$B770</f>
        <v>0</v>
      </c>
      <c r="C770">
        <f>Weekly_Inspections!$E770</f>
        <v>0</v>
      </c>
      <c r="D770">
        <f>Weekly_Inspections!$F770</f>
        <v>0</v>
      </c>
      <c r="E770" t="str">
        <f>Weekly_Inspections!$H770</f>
        <v/>
      </c>
      <c r="F770">
        <f>IF(Weekly_Inspections!$AX770&lt;&gt;"",Weekly_Inspections!$AX770,IF(Weekly_Inspections!$AY770&lt;&gt;"",Weekly_Inspections!$AY770,IF(Weekly_Inspections!$AZ770&lt;&gt;"",Weekly_Inspections!$AZ770,IF(Weekly_Inspections!$BA770&lt;&gt;"",Weekly_Inspections!$BA770,IF(Weekly_Inspections!$BB770&lt;&gt;"",Weekly_Inspections!$BB770,Weekly_Inspections!$R770)))))</f>
        <v>0</v>
      </c>
      <c r="G770" t="str">
        <f>IF(OR(Weekly_Inspections!$AQ770&lt;&gt;"",Weekly_Inspections!$AR770&lt;&gt;"",Weekly_Inspections!$AS770&lt;&gt;""),Weekly_Inspections!$AQ770,"")</f>
        <v/>
      </c>
      <c r="H770">
        <f>Weekly_Inspections!$AP770</f>
        <v>0</v>
      </c>
      <c r="I770">
        <f>Weekly_Inspections!$AR770</f>
        <v>0</v>
      </c>
      <c r="J770">
        <f>Weekly_Inspections!$AS770</f>
        <v>0</v>
      </c>
      <c r="K770">
        <f>Weekly_Inspections!$AU770</f>
        <v>0</v>
      </c>
      <c r="L770" s="24">
        <f>Weekly_Inspections!$AV770</f>
        <v>0</v>
      </c>
      <c r="M770" t="str">
        <f t="shared" si="36"/>
        <v>Open</v>
      </c>
      <c r="N770" s="24"/>
      <c r="O770">
        <f t="shared" ca="1" si="37"/>
        <v>46113</v>
      </c>
      <c r="P770" t="str">
        <f t="shared" ca="1" si="38"/>
        <v>YES</v>
      </c>
      <c r="Q770">
        <f>Weekly_Inspections!$AW770</f>
        <v>0</v>
      </c>
    </row>
    <row r="771" spans="1:17" ht="15" customHeight="1" x14ac:dyDescent="0.2">
      <c r="A771" t="str">
        <f>IF(Weekly_Inspections!$B771="","",Weekly_Inspections!$A771&amp;"-A1")</f>
        <v/>
      </c>
      <c r="B771" s="24">
        <f>Weekly_Inspections!$B771</f>
        <v>0</v>
      </c>
      <c r="C771">
        <f>Weekly_Inspections!$E771</f>
        <v>0</v>
      </c>
      <c r="D771">
        <f>Weekly_Inspections!$F771</f>
        <v>0</v>
      </c>
      <c r="E771" t="str">
        <f>Weekly_Inspections!$H771</f>
        <v/>
      </c>
      <c r="F771">
        <f>IF(Weekly_Inspections!$AX771&lt;&gt;"",Weekly_Inspections!$AX771,IF(Weekly_Inspections!$AY771&lt;&gt;"",Weekly_Inspections!$AY771,IF(Weekly_Inspections!$AZ771&lt;&gt;"",Weekly_Inspections!$AZ771,IF(Weekly_Inspections!$BA771&lt;&gt;"",Weekly_Inspections!$BA771,IF(Weekly_Inspections!$BB771&lt;&gt;"",Weekly_Inspections!$BB771,Weekly_Inspections!$R771)))))</f>
        <v>0</v>
      </c>
      <c r="G771" t="str">
        <f>IF(OR(Weekly_Inspections!$AQ771&lt;&gt;"",Weekly_Inspections!$AR771&lt;&gt;"",Weekly_Inspections!$AS771&lt;&gt;""),Weekly_Inspections!$AQ771,"")</f>
        <v/>
      </c>
      <c r="H771">
        <f>Weekly_Inspections!$AP771</f>
        <v>0</v>
      </c>
      <c r="I771">
        <f>Weekly_Inspections!$AR771</f>
        <v>0</v>
      </c>
      <c r="J771">
        <f>Weekly_Inspections!$AS771</f>
        <v>0</v>
      </c>
      <c r="K771">
        <f>Weekly_Inspections!$AU771</f>
        <v>0</v>
      </c>
      <c r="L771" s="24">
        <f>Weekly_Inspections!$AV771</f>
        <v>0</v>
      </c>
      <c r="M771" t="str">
        <f t="shared" si="36"/>
        <v>Open</v>
      </c>
      <c r="N771" s="24"/>
      <c r="O771">
        <f t="shared" ca="1" si="37"/>
        <v>46113</v>
      </c>
      <c r="P771" t="str">
        <f t="shared" ca="1" si="38"/>
        <v>YES</v>
      </c>
      <c r="Q771">
        <f>Weekly_Inspections!$AW771</f>
        <v>0</v>
      </c>
    </row>
    <row r="772" spans="1:17" ht="15" customHeight="1" x14ac:dyDescent="0.2">
      <c r="A772" t="str">
        <f>IF(Weekly_Inspections!$B772="","",Weekly_Inspections!$A772&amp;"-A1")</f>
        <v/>
      </c>
      <c r="B772" s="24">
        <f>Weekly_Inspections!$B772</f>
        <v>0</v>
      </c>
      <c r="C772">
        <f>Weekly_Inspections!$E772</f>
        <v>0</v>
      </c>
      <c r="D772">
        <f>Weekly_Inspections!$F772</f>
        <v>0</v>
      </c>
      <c r="E772" t="str">
        <f>Weekly_Inspections!$H772</f>
        <v/>
      </c>
      <c r="F772">
        <f>IF(Weekly_Inspections!$AX772&lt;&gt;"",Weekly_Inspections!$AX772,IF(Weekly_Inspections!$AY772&lt;&gt;"",Weekly_Inspections!$AY772,IF(Weekly_Inspections!$AZ772&lt;&gt;"",Weekly_Inspections!$AZ772,IF(Weekly_Inspections!$BA772&lt;&gt;"",Weekly_Inspections!$BA772,IF(Weekly_Inspections!$BB772&lt;&gt;"",Weekly_Inspections!$BB772,Weekly_Inspections!$R772)))))</f>
        <v>0</v>
      </c>
      <c r="G772" t="str">
        <f>IF(OR(Weekly_Inspections!$AQ772&lt;&gt;"",Weekly_Inspections!$AR772&lt;&gt;"",Weekly_Inspections!$AS772&lt;&gt;""),Weekly_Inspections!$AQ772,"")</f>
        <v/>
      </c>
      <c r="H772">
        <f>Weekly_Inspections!$AP772</f>
        <v>0</v>
      </c>
      <c r="I772">
        <f>Weekly_Inspections!$AR772</f>
        <v>0</v>
      </c>
      <c r="J772">
        <f>Weekly_Inspections!$AS772</f>
        <v>0</v>
      </c>
      <c r="K772">
        <f>Weekly_Inspections!$AU772</f>
        <v>0</v>
      </c>
      <c r="L772" s="24">
        <f>Weekly_Inspections!$AV772</f>
        <v>0</v>
      </c>
      <c r="M772" t="str">
        <f t="shared" si="36"/>
        <v>Open</v>
      </c>
      <c r="N772" s="24"/>
      <c r="O772">
        <f t="shared" ca="1" si="37"/>
        <v>46113</v>
      </c>
      <c r="P772" t="str">
        <f t="shared" ca="1" si="38"/>
        <v>YES</v>
      </c>
      <c r="Q772">
        <f>Weekly_Inspections!$AW772</f>
        <v>0</v>
      </c>
    </row>
    <row r="773" spans="1:17" ht="15" customHeight="1" x14ac:dyDescent="0.2">
      <c r="A773" t="str">
        <f>IF(Weekly_Inspections!$B773="","",Weekly_Inspections!$A773&amp;"-A1")</f>
        <v/>
      </c>
      <c r="B773" s="24">
        <f>Weekly_Inspections!$B773</f>
        <v>0</v>
      </c>
      <c r="C773">
        <f>Weekly_Inspections!$E773</f>
        <v>0</v>
      </c>
      <c r="D773">
        <f>Weekly_Inspections!$F773</f>
        <v>0</v>
      </c>
      <c r="E773" t="str">
        <f>Weekly_Inspections!$H773</f>
        <v/>
      </c>
      <c r="F773">
        <f>IF(Weekly_Inspections!$AX773&lt;&gt;"",Weekly_Inspections!$AX773,IF(Weekly_Inspections!$AY773&lt;&gt;"",Weekly_Inspections!$AY773,IF(Weekly_Inspections!$AZ773&lt;&gt;"",Weekly_Inspections!$AZ773,IF(Weekly_Inspections!$BA773&lt;&gt;"",Weekly_Inspections!$BA773,IF(Weekly_Inspections!$BB773&lt;&gt;"",Weekly_Inspections!$BB773,Weekly_Inspections!$R773)))))</f>
        <v>0</v>
      </c>
      <c r="G773" t="str">
        <f>IF(OR(Weekly_Inspections!$AQ773&lt;&gt;"",Weekly_Inspections!$AR773&lt;&gt;"",Weekly_Inspections!$AS773&lt;&gt;""),Weekly_Inspections!$AQ773,"")</f>
        <v/>
      </c>
      <c r="H773">
        <f>Weekly_Inspections!$AP773</f>
        <v>0</v>
      </c>
      <c r="I773">
        <f>Weekly_Inspections!$AR773</f>
        <v>0</v>
      </c>
      <c r="J773">
        <f>Weekly_Inspections!$AS773</f>
        <v>0</v>
      </c>
      <c r="K773">
        <f>Weekly_Inspections!$AU773</f>
        <v>0</v>
      </c>
      <c r="L773" s="24">
        <f>Weekly_Inspections!$AV773</f>
        <v>0</v>
      </c>
      <c r="M773" t="str">
        <f t="shared" si="36"/>
        <v>Open</v>
      </c>
      <c r="N773" s="24"/>
      <c r="O773">
        <f t="shared" ca="1" si="37"/>
        <v>46113</v>
      </c>
      <c r="P773" t="str">
        <f t="shared" ca="1" si="38"/>
        <v>YES</v>
      </c>
      <c r="Q773">
        <f>Weekly_Inspections!$AW773</f>
        <v>0</v>
      </c>
    </row>
    <row r="774" spans="1:17" ht="15" customHeight="1" x14ac:dyDescent="0.2">
      <c r="A774" t="str">
        <f>IF(Weekly_Inspections!$B774="","",Weekly_Inspections!$A774&amp;"-A1")</f>
        <v/>
      </c>
      <c r="B774" s="24">
        <f>Weekly_Inspections!$B774</f>
        <v>0</v>
      </c>
      <c r="C774">
        <f>Weekly_Inspections!$E774</f>
        <v>0</v>
      </c>
      <c r="D774">
        <f>Weekly_Inspections!$F774</f>
        <v>0</v>
      </c>
      <c r="E774" t="str">
        <f>Weekly_Inspections!$H774</f>
        <v/>
      </c>
      <c r="F774">
        <f>IF(Weekly_Inspections!$AX774&lt;&gt;"",Weekly_Inspections!$AX774,IF(Weekly_Inspections!$AY774&lt;&gt;"",Weekly_Inspections!$AY774,IF(Weekly_Inspections!$AZ774&lt;&gt;"",Weekly_Inspections!$AZ774,IF(Weekly_Inspections!$BA774&lt;&gt;"",Weekly_Inspections!$BA774,IF(Weekly_Inspections!$BB774&lt;&gt;"",Weekly_Inspections!$BB774,Weekly_Inspections!$R774)))))</f>
        <v>0</v>
      </c>
      <c r="G774" t="str">
        <f>IF(OR(Weekly_Inspections!$AQ774&lt;&gt;"",Weekly_Inspections!$AR774&lt;&gt;"",Weekly_Inspections!$AS774&lt;&gt;""),Weekly_Inspections!$AQ774,"")</f>
        <v/>
      </c>
      <c r="H774">
        <f>Weekly_Inspections!$AP774</f>
        <v>0</v>
      </c>
      <c r="I774">
        <f>Weekly_Inspections!$AR774</f>
        <v>0</v>
      </c>
      <c r="J774">
        <f>Weekly_Inspections!$AS774</f>
        <v>0</v>
      </c>
      <c r="K774">
        <f>Weekly_Inspections!$AU774</f>
        <v>0</v>
      </c>
      <c r="L774" s="24">
        <f>Weekly_Inspections!$AV774</f>
        <v>0</v>
      </c>
      <c r="M774" t="str">
        <f t="shared" si="36"/>
        <v>Open</v>
      </c>
      <c r="N774" s="24"/>
      <c r="O774">
        <f t="shared" ca="1" si="37"/>
        <v>46113</v>
      </c>
      <c r="P774" t="str">
        <f t="shared" ca="1" si="38"/>
        <v>YES</v>
      </c>
      <c r="Q774">
        <f>Weekly_Inspections!$AW774</f>
        <v>0</v>
      </c>
    </row>
    <row r="775" spans="1:17" ht="15" customHeight="1" x14ac:dyDescent="0.2">
      <c r="A775" t="str">
        <f>IF(Weekly_Inspections!$B775="","",Weekly_Inspections!$A775&amp;"-A1")</f>
        <v/>
      </c>
      <c r="B775" s="24">
        <f>Weekly_Inspections!$B775</f>
        <v>0</v>
      </c>
      <c r="C775">
        <f>Weekly_Inspections!$E775</f>
        <v>0</v>
      </c>
      <c r="D775">
        <f>Weekly_Inspections!$F775</f>
        <v>0</v>
      </c>
      <c r="E775" t="str">
        <f>Weekly_Inspections!$H775</f>
        <v/>
      </c>
      <c r="F775">
        <f>IF(Weekly_Inspections!$AX775&lt;&gt;"",Weekly_Inspections!$AX775,IF(Weekly_Inspections!$AY775&lt;&gt;"",Weekly_Inspections!$AY775,IF(Weekly_Inspections!$AZ775&lt;&gt;"",Weekly_Inspections!$AZ775,IF(Weekly_Inspections!$BA775&lt;&gt;"",Weekly_Inspections!$BA775,IF(Weekly_Inspections!$BB775&lt;&gt;"",Weekly_Inspections!$BB775,Weekly_Inspections!$R775)))))</f>
        <v>0</v>
      </c>
      <c r="G775" t="str">
        <f>IF(OR(Weekly_Inspections!$AQ775&lt;&gt;"",Weekly_Inspections!$AR775&lt;&gt;"",Weekly_Inspections!$AS775&lt;&gt;""),Weekly_Inspections!$AQ775,"")</f>
        <v/>
      </c>
      <c r="H775">
        <f>Weekly_Inspections!$AP775</f>
        <v>0</v>
      </c>
      <c r="I775">
        <f>Weekly_Inspections!$AR775</f>
        <v>0</v>
      </c>
      <c r="J775">
        <f>Weekly_Inspections!$AS775</f>
        <v>0</v>
      </c>
      <c r="K775">
        <f>Weekly_Inspections!$AU775</f>
        <v>0</v>
      </c>
      <c r="L775" s="24">
        <f>Weekly_Inspections!$AV775</f>
        <v>0</v>
      </c>
      <c r="M775" t="str">
        <f t="shared" si="36"/>
        <v>Open</v>
      </c>
      <c r="N775" s="24"/>
      <c r="O775">
        <f t="shared" ca="1" si="37"/>
        <v>46113</v>
      </c>
      <c r="P775" t="str">
        <f t="shared" ca="1" si="38"/>
        <v>YES</v>
      </c>
      <c r="Q775">
        <f>Weekly_Inspections!$AW775</f>
        <v>0</v>
      </c>
    </row>
    <row r="776" spans="1:17" ht="15" customHeight="1" x14ac:dyDescent="0.2">
      <c r="A776" t="str">
        <f>IF(Weekly_Inspections!$B776="","",Weekly_Inspections!$A776&amp;"-A1")</f>
        <v/>
      </c>
      <c r="B776" s="24">
        <f>Weekly_Inspections!$B776</f>
        <v>0</v>
      </c>
      <c r="C776">
        <f>Weekly_Inspections!$E776</f>
        <v>0</v>
      </c>
      <c r="D776">
        <f>Weekly_Inspections!$F776</f>
        <v>0</v>
      </c>
      <c r="E776" t="str">
        <f>Weekly_Inspections!$H776</f>
        <v/>
      </c>
      <c r="F776">
        <f>IF(Weekly_Inspections!$AX776&lt;&gt;"",Weekly_Inspections!$AX776,IF(Weekly_Inspections!$AY776&lt;&gt;"",Weekly_Inspections!$AY776,IF(Weekly_Inspections!$AZ776&lt;&gt;"",Weekly_Inspections!$AZ776,IF(Weekly_Inspections!$BA776&lt;&gt;"",Weekly_Inspections!$BA776,IF(Weekly_Inspections!$BB776&lt;&gt;"",Weekly_Inspections!$BB776,Weekly_Inspections!$R776)))))</f>
        <v>0</v>
      </c>
      <c r="G776" t="str">
        <f>IF(OR(Weekly_Inspections!$AQ776&lt;&gt;"",Weekly_Inspections!$AR776&lt;&gt;"",Weekly_Inspections!$AS776&lt;&gt;""),Weekly_Inspections!$AQ776,"")</f>
        <v/>
      </c>
      <c r="H776">
        <f>Weekly_Inspections!$AP776</f>
        <v>0</v>
      </c>
      <c r="I776">
        <f>Weekly_Inspections!$AR776</f>
        <v>0</v>
      </c>
      <c r="J776">
        <f>Weekly_Inspections!$AS776</f>
        <v>0</v>
      </c>
      <c r="K776">
        <f>Weekly_Inspections!$AU776</f>
        <v>0</v>
      </c>
      <c r="L776" s="24">
        <f>Weekly_Inspections!$AV776</f>
        <v>0</v>
      </c>
      <c r="M776" t="str">
        <f t="shared" si="36"/>
        <v>Open</v>
      </c>
      <c r="N776" s="24"/>
      <c r="O776">
        <f t="shared" ca="1" si="37"/>
        <v>46113</v>
      </c>
      <c r="P776" t="str">
        <f t="shared" ca="1" si="38"/>
        <v>YES</v>
      </c>
      <c r="Q776">
        <f>Weekly_Inspections!$AW776</f>
        <v>0</v>
      </c>
    </row>
    <row r="777" spans="1:17" ht="15" customHeight="1" x14ac:dyDescent="0.2">
      <c r="A777" t="str">
        <f>IF(Weekly_Inspections!$B777="","",Weekly_Inspections!$A777&amp;"-A1")</f>
        <v/>
      </c>
      <c r="B777" s="24">
        <f>Weekly_Inspections!$B777</f>
        <v>0</v>
      </c>
      <c r="C777">
        <f>Weekly_Inspections!$E777</f>
        <v>0</v>
      </c>
      <c r="D777">
        <f>Weekly_Inspections!$F777</f>
        <v>0</v>
      </c>
      <c r="E777" t="str">
        <f>Weekly_Inspections!$H777</f>
        <v/>
      </c>
      <c r="F777">
        <f>IF(Weekly_Inspections!$AX777&lt;&gt;"",Weekly_Inspections!$AX777,IF(Weekly_Inspections!$AY777&lt;&gt;"",Weekly_Inspections!$AY777,IF(Weekly_Inspections!$AZ777&lt;&gt;"",Weekly_Inspections!$AZ777,IF(Weekly_Inspections!$BA777&lt;&gt;"",Weekly_Inspections!$BA777,IF(Weekly_Inspections!$BB777&lt;&gt;"",Weekly_Inspections!$BB777,Weekly_Inspections!$R777)))))</f>
        <v>0</v>
      </c>
      <c r="G777" t="str">
        <f>IF(OR(Weekly_Inspections!$AQ777&lt;&gt;"",Weekly_Inspections!$AR777&lt;&gt;"",Weekly_Inspections!$AS777&lt;&gt;""),Weekly_Inspections!$AQ777,"")</f>
        <v/>
      </c>
      <c r="H777">
        <f>Weekly_Inspections!$AP777</f>
        <v>0</v>
      </c>
      <c r="I777">
        <f>Weekly_Inspections!$AR777</f>
        <v>0</v>
      </c>
      <c r="J777">
        <f>Weekly_Inspections!$AS777</f>
        <v>0</v>
      </c>
      <c r="K777">
        <f>Weekly_Inspections!$AU777</f>
        <v>0</v>
      </c>
      <c r="L777" s="24">
        <f>Weekly_Inspections!$AV777</f>
        <v>0</v>
      </c>
      <c r="M777" t="str">
        <f t="shared" si="36"/>
        <v>Open</v>
      </c>
      <c r="N777" s="24"/>
      <c r="O777">
        <f t="shared" ca="1" si="37"/>
        <v>46113</v>
      </c>
      <c r="P777" t="str">
        <f t="shared" ca="1" si="38"/>
        <v>YES</v>
      </c>
      <c r="Q777">
        <f>Weekly_Inspections!$AW777</f>
        <v>0</v>
      </c>
    </row>
    <row r="778" spans="1:17" ht="15" customHeight="1" x14ac:dyDescent="0.2">
      <c r="A778" t="str">
        <f>IF(Weekly_Inspections!$B778="","",Weekly_Inspections!$A778&amp;"-A1")</f>
        <v/>
      </c>
      <c r="B778" s="24">
        <f>Weekly_Inspections!$B778</f>
        <v>0</v>
      </c>
      <c r="C778">
        <f>Weekly_Inspections!$E778</f>
        <v>0</v>
      </c>
      <c r="D778">
        <f>Weekly_Inspections!$F778</f>
        <v>0</v>
      </c>
      <c r="E778" t="str">
        <f>Weekly_Inspections!$H778</f>
        <v/>
      </c>
      <c r="F778">
        <f>IF(Weekly_Inspections!$AX778&lt;&gt;"",Weekly_Inspections!$AX778,IF(Weekly_Inspections!$AY778&lt;&gt;"",Weekly_Inspections!$AY778,IF(Weekly_Inspections!$AZ778&lt;&gt;"",Weekly_Inspections!$AZ778,IF(Weekly_Inspections!$BA778&lt;&gt;"",Weekly_Inspections!$BA778,IF(Weekly_Inspections!$BB778&lt;&gt;"",Weekly_Inspections!$BB778,Weekly_Inspections!$R778)))))</f>
        <v>0</v>
      </c>
      <c r="G778" t="str">
        <f>IF(OR(Weekly_Inspections!$AQ778&lt;&gt;"",Weekly_Inspections!$AR778&lt;&gt;"",Weekly_Inspections!$AS778&lt;&gt;""),Weekly_Inspections!$AQ778,"")</f>
        <v/>
      </c>
      <c r="H778">
        <f>Weekly_Inspections!$AP778</f>
        <v>0</v>
      </c>
      <c r="I778">
        <f>Weekly_Inspections!$AR778</f>
        <v>0</v>
      </c>
      <c r="J778">
        <f>Weekly_Inspections!$AS778</f>
        <v>0</v>
      </c>
      <c r="K778">
        <f>Weekly_Inspections!$AU778</f>
        <v>0</v>
      </c>
      <c r="L778" s="24">
        <f>Weekly_Inspections!$AV778</f>
        <v>0</v>
      </c>
      <c r="M778" t="str">
        <f t="shared" si="36"/>
        <v>Open</v>
      </c>
      <c r="N778" s="24"/>
      <c r="O778">
        <f t="shared" ca="1" si="37"/>
        <v>46113</v>
      </c>
      <c r="P778" t="str">
        <f t="shared" ca="1" si="38"/>
        <v>YES</v>
      </c>
      <c r="Q778">
        <f>Weekly_Inspections!$AW778</f>
        <v>0</v>
      </c>
    </row>
    <row r="779" spans="1:17" ht="15" customHeight="1" x14ac:dyDescent="0.2">
      <c r="A779" t="str">
        <f>IF(Weekly_Inspections!$B779="","",Weekly_Inspections!$A779&amp;"-A1")</f>
        <v/>
      </c>
      <c r="B779" s="24">
        <f>Weekly_Inspections!$B779</f>
        <v>0</v>
      </c>
      <c r="C779">
        <f>Weekly_Inspections!$E779</f>
        <v>0</v>
      </c>
      <c r="D779">
        <f>Weekly_Inspections!$F779</f>
        <v>0</v>
      </c>
      <c r="E779" t="str">
        <f>Weekly_Inspections!$H779</f>
        <v/>
      </c>
      <c r="F779">
        <f>IF(Weekly_Inspections!$AX779&lt;&gt;"",Weekly_Inspections!$AX779,IF(Weekly_Inspections!$AY779&lt;&gt;"",Weekly_Inspections!$AY779,IF(Weekly_Inspections!$AZ779&lt;&gt;"",Weekly_Inspections!$AZ779,IF(Weekly_Inspections!$BA779&lt;&gt;"",Weekly_Inspections!$BA779,IF(Weekly_Inspections!$BB779&lt;&gt;"",Weekly_Inspections!$BB779,Weekly_Inspections!$R779)))))</f>
        <v>0</v>
      </c>
      <c r="G779" t="str">
        <f>IF(OR(Weekly_Inspections!$AQ779&lt;&gt;"",Weekly_Inspections!$AR779&lt;&gt;"",Weekly_Inspections!$AS779&lt;&gt;""),Weekly_Inspections!$AQ779,"")</f>
        <v/>
      </c>
      <c r="H779">
        <f>Weekly_Inspections!$AP779</f>
        <v>0</v>
      </c>
      <c r="I779">
        <f>Weekly_Inspections!$AR779</f>
        <v>0</v>
      </c>
      <c r="J779">
        <f>Weekly_Inspections!$AS779</f>
        <v>0</v>
      </c>
      <c r="K779">
        <f>Weekly_Inspections!$AU779</f>
        <v>0</v>
      </c>
      <c r="L779" s="24">
        <f>Weekly_Inspections!$AV779</f>
        <v>0</v>
      </c>
      <c r="M779" t="str">
        <f t="shared" si="36"/>
        <v>Open</v>
      </c>
      <c r="N779" s="24"/>
      <c r="O779">
        <f t="shared" ca="1" si="37"/>
        <v>46113</v>
      </c>
      <c r="P779" t="str">
        <f t="shared" ca="1" si="38"/>
        <v>YES</v>
      </c>
      <c r="Q779">
        <f>Weekly_Inspections!$AW779</f>
        <v>0</v>
      </c>
    </row>
    <row r="780" spans="1:17" ht="15" customHeight="1" x14ac:dyDescent="0.2">
      <c r="A780" t="str">
        <f>IF(Weekly_Inspections!$B780="","",Weekly_Inspections!$A780&amp;"-A1")</f>
        <v/>
      </c>
      <c r="B780" s="24">
        <f>Weekly_Inspections!$B780</f>
        <v>0</v>
      </c>
      <c r="C780">
        <f>Weekly_Inspections!$E780</f>
        <v>0</v>
      </c>
      <c r="D780">
        <f>Weekly_Inspections!$F780</f>
        <v>0</v>
      </c>
      <c r="E780" t="str">
        <f>Weekly_Inspections!$H780</f>
        <v/>
      </c>
      <c r="F780">
        <f>IF(Weekly_Inspections!$AX780&lt;&gt;"",Weekly_Inspections!$AX780,IF(Weekly_Inspections!$AY780&lt;&gt;"",Weekly_Inspections!$AY780,IF(Weekly_Inspections!$AZ780&lt;&gt;"",Weekly_Inspections!$AZ780,IF(Weekly_Inspections!$BA780&lt;&gt;"",Weekly_Inspections!$BA780,IF(Weekly_Inspections!$BB780&lt;&gt;"",Weekly_Inspections!$BB780,Weekly_Inspections!$R780)))))</f>
        <v>0</v>
      </c>
      <c r="G780" t="str">
        <f>IF(OR(Weekly_Inspections!$AQ780&lt;&gt;"",Weekly_Inspections!$AR780&lt;&gt;"",Weekly_Inspections!$AS780&lt;&gt;""),Weekly_Inspections!$AQ780,"")</f>
        <v/>
      </c>
      <c r="H780">
        <f>Weekly_Inspections!$AP780</f>
        <v>0</v>
      </c>
      <c r="I780">
        <f>Weekly_Inspections!$AR780</f>
        <v>0</v>
      </c>
      <c r="J780">
        <f>Weekly_Inspections!$AS780</f>
        <v>0</v>
      </c>
      <c r="K780">
        <f>Weekly_Inspections!$AU780</f>
        <v>0</v>
      </c>
      <c r="L780" s="24">
        <f>Weekly_Inspections!$AV780</f>
        <v>0</v>
      </c>
      <c r="M780" t="str">
        <f t="shared" si="36"/>
        <v>Open</v>
      </c>
      <c r="N780" s="24"/>
      <c r="O780">
        <f t="shared" ca="1" si="37"/>
        <v>46113</v>
      </c>
      <c r="P780" t="str">
        <f t="shared" ca="1" si="38"/>
        <v>YES</v>
      </c>
      <c r="Q780">
        <f>Weekly_Inspections!$AW780</f>
        <v>0</v>
      </c>
    </row>
    <row r="781" spans="1:17" ht="15" customHeight="1" x14ac:dyDescent="0.2">
      <c r="A781" t="str">
        <f>IF(Weekly_Inspections!$B781="","",Weekly_Inspections!$A781&amp;"-A1")</f>
        <v/>
      </c>
      <c r="B781" s="24">
        <f>Weekly_Inspections!$B781</f>
        <v>0</v>
      </c>
      <c r="C781">
        <f>Weekly_Inspections!$E781</f>
        <v>0</v>
      </c>
      <c r="D781">
        <f>Weekly_Inspections!$F781</f>
        <v>0</v>
      </c>
      <c r="E781" t="str">
        <f>Weekly_Inspections!$H781</f>
        <v/>
      </c>
      <c r="F781">
        <f>IF(Weekly_Inspections!$AX781&lt;&gt;"",Weekly_Inspections!$AX781,IF(Weekly_Inspections!$AY781&lt;&gt;"",Weekly_Inspections!$AY781,IF(Weekly_Inspections!$AZ781&lt;&gt;"",Weekly_Inspections!$AZ781,IF(Weekly_Inspections!$BA781&lt;&gt;"",Weekly_Inspections!$BA781,IF(Weekly_Inspections!$BB781&lt;&gt;"",Weekly_Inspections!$BB781,Weekly_Inspections!$R781)))))</f>
        <v>0</v>
      </c>
      <c r="G781" t="str">
        <f>IF(OR(Weekly_Inspections!$AQ781&lt;&gt;"",Weekly_Inspections!$AR781&lt;&gt;"",Weekly_Inspections!$AS781&lt;&gt;""),Weekly_Inspections!$AQ781,"")</f>
        <v/>
      </c>
      <c r="H781">
        <f>Weekly_Inspections!$AP781</f>
        <v>0</v>
      </c>
      <c r="I781">
        <f>Weekly_Inspections!$AR781</f>
        <v>0</v>
      </c>
      <c r="J781">
        <f>Weekly_Inspections!$AS781</f>
        <v>0</v>
      </c>
      <c r="K781">
        <f>Weekly_Inspections!$AU781</f>
        <v>0</v>
      </c>
      <c r="L781" s="24">
        <f>Weekly_Inspections!$AV781</f>
        <v>0</v>
      </c>
      <c r="M781" t="str">
        <f t="shared" si="36"/>
        <v>Open</v>
      </c>
      <c r="N781" s="24"/>
      <c r="O781">
        <f t="shared" ca="1" si="37"/>
        <v>46113</v>
      </c>
      <c r="P781" t="str">
        <f t="shared" ca="1" si="38"/>
        <v>YES</v>
      </c>
      <c r="Q781">
        <f>Weekly_Inspections!$AW781</f>
        <v>0</v>
      </c>
    </row>
    <row r="782" spans="1:17" ht="15" customHeight="1" x14ac:dyDescent="0.2">
      <c r="A782" t="str">
        <f>IF(Weekly_Inspections!$B782="","",Weekly_Inspections!$A782&amp;"-A1")</f>
        <v/>
      </c>
      <c r="B782" s="24">
        <f>Weekly_Inspections!$B782</f>
        <v>0</v>
      </c>
      <c r="C782">
        <f>Weekly_Inspections!$E782</f>
        <v>0</v>
      </c>
      <c r="D782">
        <f>Weekly_Inspections!$F782</f>
        <v>0</v>
      </c>
      <c r="E782" t="str">
        <f>Weekly_Inspections!$H782</f>
        <v/>
      </c>
      <c r="F782">
        <f>IF(Weekly_Inspections!$AX782&lt;&gt;"",Weekly_Inspections!$AX782,IF(Weekly_Inspections!$AY782&lt;&gt;"",Weekly_Inspections!$AY782,IF(Weekly_Inspections!$AZ782&lt;&gt;"",Weekly_Inspections!$AZ782,IF(Weekly_Inspections!$BA782&lt;&gt;"",Weekly_Inspections!$BA782,IF(Weekly_Inspections!$BB782&lt;&gt;"",Weekly_Inspections!$BB782,Weekly_Inspections!$R782)))))</f>
        <v>0</v>
      </c>
      <c r="G782" t="str">
        <f>IF(OR(Weekly_Inspections!$AQ782&lt;&gt;"",Weekly_Inspections!$AR782&lt;&gt;"",Weekly_Inspections!$AS782&lt;&gt;""),Weekly_Inspections!$AQ782,"")</f>
        <v/>
      </c>
      <c r="H782">
        <f>Weekly_Inspections!$AP782</f>
        <v>0</v>
      </c>
      <c r="I782">
        <f>Weekly_Inspections!$AR782</f>
        <v>0</v>
      </c>
      <c r="J782">
        <f>Weekly_Inspections!$AS782</f>
        <v>0</v>
      </c>
      <c r="K782">
        <f>Weekly_Inspections!$AU782</f>
        <v>0</v>
      </c>
      <c r="L782" s="24">
        <f>Weekly_Inspections!$AV782</f>
        <v>0</v>
      </c>
      <c r="M782" t="str">
        <f t="shared" si="36"/>
        <v>Open</v>
      </c>
      <c r="N782" s="24"/>
      <c r="O782">
        <f t="shared" ca="1" si="37"/>
        <v>46113</v>
      </c>
      <c r="P782" t="str">
        <f t="shared" ca="1" si="38"/>
        <v>YES</v>
      </c>
      <c r="Q782">
        <f>Weekly_Inspections!$AW782</f>
        <v>0</v>
      </c>
    </row>
    <row r="783" spans="1:17" ht="15" customHeight="1" x14ac:dyDescent="0.2">
      <c r="A783" t="str">
        <f>IF(Weekly_Inspections!$B783="","",Weekly_Inspections!$A783&amp;"-A1")</f>
        <v/>
      </c>
      <c r="B783" s="24">
        <f>Weekly_Inspections!$B783</f>
        <v>0</v>
      </c>
      <c r="C783">
        <f>Weekly_Inspections!$E783</f>
        <v>0</v>
      </c>
      <c r="D783">
        <f>Weekly_Inspections!$F783</f>
        <v>0</v>
      </c>
      <c r="E783" t="str">
        <f>Weekly_Inspections!$H783</f>
        <v/>
      </c>
      <c r="F783">
        <f>IF(Weekly_Inspections!$AX783&lt;&gt;"",Weekly_Inspections!$AX783,IF(Weekly_Inspections!$AY783&lt;&gt;"",Weekly_Inspections!$AY783,IF(Weekly_Inspections!$AZ783&lt;&gt;"",Weekly_Inspections!$AZ783,IF(Weekly_Inspections!$BA783&lt;&gt;"",Weekly_Inspections!$BA783,IF(Weekly_Inspections!$BB783&lt;&gt;"",Weekly_Inspections!$BB783,Weekly_Inspections!$R783)))))</f>
        <v>0</v>
      </c>
      <c r="G783" t="str">
        <f>IF(OR(Weekly_Inspections!$AQ783&lt;&gt;"",Weekly_Inspections!$AR783&lt;&gt;"",Weekly_Inspections!$AS783&lt;&gt;""),Weekly_Inspections!$AQ783,"")</f>
        <v/>
      </c>
      <c r="H783">
        <f>Weekly_Inspections!$AP783</f>
        <v>0</v>
      </c>
      <c r="I783">
        <f>Weekly_Inspections!$AR783</f>
        <v>0</v>
      </c>
      <c r="J783">
        <f>Weekly_Inspections!$AS783</f>
        <v>0</v>
      </c>
      <c r="K783">
        <f>Weekly_Inspections!$AU783</f>
        <v>0</v>
      </c>
      <c r="L783" s="24">
        <f>Weekly_Inspections!$AV783</f>
        <v>0</v>
      </c>
      <c r="M783" t="str">
        <f t="shared" si="36"/>
        <v>Open</v>
      </c>
      <c r="N783" s="24"/>
      <c r="O783">
        <f t="shared" ca="1" si="37"/>
        <v>46113</v>
      </c>
      <c r="P783" t="str">
        <f t="shared" ca="1" si="38"/>
        <v>YES</v>
      </c>
      <c r="Q783">
        <f>Weekly_Inspections!$AW783</f>
        <v>0</v>
      </c>
    </row>
    <row r="784" spans="1:17" ht="15" customHeight="1" x14ac:dyDescent="0.2">
      <c r="A784" t="str">
        <f>IF(Weekly_Inspections!$B784="","",Weekly_Inspections!$A784&amp;"-A1")</f>
        <v/>
      </c>
      <c r="B784" s="24">
        <f>Weekly_Inspections!$B784</f>
        <v>0</v>
      </c>
      <c r="C784">
        <f>Weekly_Inspections!$E784</f>
        <v>0</v>
      </c>
      <c r="D784">
        <f>Weekly_Inspections!$F784</f>
        <v>0</v>
      </c>
      <c r="E784" t="str">
        <f>Weekly_Inspections!$H784</f>
        <v/>
      </c>
      <c r="F784">
        <f>IF(Weekly_Inspections!$AX784&lt;&gt;"",Weekly_Inspections!$AX784,IF(Weekly_Inspections!$AY784&lt;&gt;"",Weekly_Inspections!$AY784,IF(Weekly_Inspections!$AZ784&lt;&gt;"",Weekly_Inspections!$AZ784,IF(Weekly_Inspections!$BA784&lt;&gt;"",Weekly_Inspections!$BA784,IF(Weekly_Inspections!$BB784&lt;&gt;"",Weekly_Inspections!$BB784,Weekly_Inspections!$R784)))))</f>
        <v>0</v>
      </c>
      <c r="G784" t="str">
        <f>IF(OR(Weekly_Inspections!$AQ784&lt;&gt;"",Weekly_Inspections!$AR784&lt;&gt;"",Weekly_Inspections!$AS784&lt;&gt;""),Weekly_Inspections!$AQ784,"")</f>
        <v/>
      </c>
      <c r="H784">
        <f>Weekly_Inspections!$AP784</f>
        <v>0</v>
      </c>
      <c r="I784">
        <f>Weekly_Inspections!$AR784</f>
        <v>0</v>
      </c>
      <c r="J784">
        <f>Weekly_Inspections!$AS784</f>
        <v>0</v>
      </c>
      <c r="K784">
        <f>Weekly_Inspections!$AU784</f>
        <v>0</v>
      </c>
      <c r="L784" s="24">
        <f>Weekly_Inspections!$AV784</f>
        <v>0</v>
      </c>
      <c r="M784" t="str">
        <f t="shared" si="36"/>
        <v>Open</v>
      </c>
      <c r="N784" s="24"/>
      <c r="O784">
        <f t="shared" ca="1" si="37"/>
        <v>46113</v>
      </c>
      <c r="P784" t="str">
        <f t="shared" ca="1" si="38"/>
        <v>YES</v>
      </c>
      <c r="Q784">
        <f>Weekly_Inspections!$AW784</f>
        <v>0</v>
      </c>
    </row>
    <row r="785" spans="1:17" ht="15" customHeight="1" x14ac:dyDescent="0.2">
      <c r="A785" t="str">
        <f>IF(Weekly_Inspections!$B785="","",Weekly_Inspections!$A785&amp;"-A1")</f>
        <v/>
      </c>
      <c r="B785" s="24">
        <f>Weekly_Inspections!$B785</f>
        <v>0</v>
      </c>
      <c r="C785">
        <f>Weekly_Inspections!$E785</f>
        <v>0</v>
      </c>
      <c r="D785">
        <f>Weekly_Inspections!$F785</f>
        <v>0</v>
      </c>
      <c r="E785" t="str">
        <f>Weekly_Inspections!$H785</f>
        <v/>
      </c>
      <c r="F785">
        <f>IF(Weekly_Inspections!$AX785&lt;&gt;"",Weekly_Inspections!$AX785,IF(Weekly_Inspections!$AY785&lt;&gt;"",Weekly_Inspections!$AY785,IF(Weekly_Inspections!$AZ785&lt;&gt;"",Weekly_Inspections!$AZ785,IF(Weekly_Inspections!$BA785&lt;&gt;"",Weekly_Inspections!$BA785,IF(Weekly_Inspections!$BB785&lt;&gt;"",Weekly_Inspections!$BB785,Weekly_Inspections!$R785)))))</f>
        <v>0</v>
      </c>
      <c r="G785" t="str">
        <f>IF(OR(Weekly_Inspections!$AQ785&lt;&gt;"",Weekly_Inspections!$AR785&lt;&gt;"",Weekly_Inspections!$AS785&lt;&gt;""),Weekly_Inspections!$AQ785,"")</f>
        <v/>
      </c>
      <c r="H785">
        <f>Weekly_Inspections!$AP785</f>
        <v>0</v>
      </c>
      <c r="I785">
        <f>Weekly_Inspections!$AR785</f>
        <v>0</v>
      </c>
      <c r="J785">
        <f>Weekly_Inspections!$AS785</f>
        <v>0</v>
      </c>
      <c r="K785">
        <f>Weekly_Inspections!$AU785</f>
        <v>0</v>
      </c>
      <c r="L785" s="24">
        <f>Weekly_Inspections!$AV785</f>
        <v>0</v>
      </c>
      <c r="M785" t="str">
        <f t="shared" si="36"/>
        <v>Open</v>
      </c>
      <c r="N785" s="24"/>
      <c r="O785">
        <f t="shared" ca="1" si="37"/>
        <v>46113</v>
      </c>
      <c r="P785" t="str">
        <f t="shared" ca="1" si="38"/>
        <v>YES</v>
      </c>
      <c r="Q785">
        <f>Weekly_Inspections!$AW785</f>
        <v>0</v>
      </c>
    </row>
    <row r="786" spans="1:17" ht="15" customHeight="1" x14ac:dyDescent="0.2">
      <c r="A786" t="str">
        <f>IF(Weekly_Inspections!$B786="","",Weekly_Inspections!$A786&amp;"-A1")</f>
        <v/>
      </c>
      <c r="B786" s="24">
        <f>Weekly_Inspections!$B786</f>
        <v>0</v>
      </c>
      <c r="C786">
        <f>Weekly_Inspections!$E786</f>
        <v>0</v>
      </c>
      <c r="D786">
        <f>Weekly_Inspections!$F786</f>
        <v>0</v>
      </c>
      <c r="E786" t="str">
        <f>Weekly_Inspections!$H786</f>
        <v/>
      </c>
      <c r="F786">
        <f>IF(Weekly_Inspections!$AX786&lt;&gt;"",Weekly_Inspections!$AX786,IF(Weekly_Inspections!$AY786&lt;&gt;"",Weekly_Inspections!$AY786,IF(Weekly_Inspections!$AZ786&lt;&gt;"",Weekly_Inspections!$AZ786,IF(Weekly_Inspections!$BA786&lt;&gt;"",Weekly_Inspections!$BA786,IF(Weekly_Inspections!$BB786&lt;&gt;"",Weekly_Inspections!$BB786,Weekly_Inspections!$R786)))))</f>
        <v>0</v>
      </c>
      <c r="G786" t="str">
        <f>IF(OR(Weekly_Inspections!$AQ786&lt;&gt;"",Weekly_Inspections!$AR786&lt;&gt;"",Weekly_Inspections!$AS786&lt;&gt;""),Weekly_Inspections!$AQ786,"")</f>
        <v/>
      </c>
      <c r="H786">
        <f>Weekly_Inspections!$AP786</f>
        <v>0</v>
      </c>
      <c r="I786">
        <f>Weekly_Inspections!$AR786</f>
        <v>0</v>
      </c>
      <c r="J786">
        <f>Weekly_Inspections!$AS786</f>
        <v>0</v>
      </c>
      <c r="K786">
        <f>Weekly_Inspections!$AU786</f>
        <v>0</v>
      </c>
      <c r="L786" s="24">
        <f>Weekly_Inspections!$AV786</f>
        <v>0</v>
      </c>
      <c r="M786" t="str">
        <f t="shared" si="36"/>
        <v>Open</v>
      </c>
      <c r="N786" s="24"/>
      <c r="O786">
        <f t="shared" ca="1" si="37"/>
        <v>46113</v>
      </c>
      <c r="P786" t="str">
        <f t="shared" ca="1" si="38"/>
        <v>YES</v>
      </c>
      <c r="Q786">
        <f>Weekly_Inspections!$AW786</f>
        <v>0</v>
      </c>
    </row>
    <row r="787" spans="1:17" ht="15" customHeight="1" x14ac:dyDescent="0.2">
      <c r="A787" t="str">
        <f>IF(Weekly_Inspections!$B787="","",Weekly_Inspections!$A787&amp;"-A1")</f>
        <v/>
      </c>
      <c r="B787" s="24">
        <f>Weekly_Inspections!$B787</f>
        <v>0</v>
      </c>
      <c r="C787">
        <f>Weekly_Inspections!$E787</f>
        <v>0</v>
      </c>
      <c r="D787">
        <f>Weekly_Inspections!$F787</f>
        <v>0</v>
      </c>
      <c r="E787" t="str">
        <f>Weekly_Inspections!$H787</f>
        <v/>
      </c>
      <c r="F787">
        <f>IF(Weekly_Inspections!$AX787&lt;&gt;"",Weekly_Inspections!$AX787,IF(Weekly_Inspections!$AY787&lt;&gt;"",Weekly_Inspections!$AY787,IF(Weekly_Inspections!$AZ787&lt;&gt;"",Weekly_Inspections!$AZ787,IF(Weekly_Inspections!$BA787&lt;&gt;"",Weekly_Inspections!$BA787,IF(Weekly_Inspections!$BB787&lt;&gt;"",Weekly_Inspections!$BB787,Weekly_Inspections!$R787)))))</f>
        <v>0</v>
      </c>
      <c r="G787" t="str">
        <f>IF(OR(Weekly_Inspections!$AQ787&lt;&gt;"",Weekly_Inspections!$AR787&lt;&gt;"",Weekly_Inspections!$AS787&lt;&gt;""),Weekly_Inspections!$AQ787,"")</f>
        <v/>
      </c>
      <c r="H787">
        <f>Weekly_Inspections!$AP787</f>
        <v>0</v>
      </c>
      <c r="I787">
        <f>Weekly_Inspections!$AR787</f>
        <v>0</v>
      </c>
      <c r="J787">
        <f>Weekly_Inspections!$AS787</f>
        <v>0</v>
      </c>
      <c r="K787">
        <f>Weekly_Inspections!$AU787</f>
        <v>0</v>
      </c>
      <c r="L787" s="24">
        <f>Weekly_Inspections!$AV787</f>
        <v>0</v>
      </c>
      <c r="M787" t="str">
        <f t="shared" si="36"/>
        <v>Open</v>
      </c>
      <c r="N787" s="24"/>
      <c r="O787">
        <f t="shared" ca="1" si="37"/>
        <v>46113</v>
      </c>
      <c r="P787" t="str">
        <f t="shared" ca="1" si="38"/>
        <v>YES</v>
      </c>
      <c r="Q787">
        <f>Weekly_Inspections!$AW787</f>
        <v>0</v>
      </c>
    </row>
    <row r="788" spans="1:17" ht="15" customHeight="1" x14ac:dyDescent="0.2">
      <c r="A788" t="str">
        <f>IF(Weekly_Inspections!$B788="","",Weekly_Inspections!$A788&amp;"-A1")</f>
        <v/>
      </c>
      <c r="B788" s="24">
        <f>Weekly_Inspections!$B788</f>
        <v>0</v>
      </c>
      <c r="C788">
        <f>Weekly_Inspections!$E788</f>
        <v>0</v>
      </c>
      <c r="D788">
        <f>Weekly_Inspections!$F788</f>
        <v>0</v>
      </c>
      <c r="E788" t="str">
        <f>Weekly_Inspections!$H788</f>
        <v/>
      </c>
      <c r="F788">
        <f>IF(Weekly_Inspections!$AX788&lt;&gt;"",Weekly_Inspections!$AX788,IF(Weekly_Inspections!$AY788&lt;&gt;"",Weekly_Inspections!$AY788,IF(Weekly_Inspections!$AZ788&lt;&gt;"",Weekly_Inspections!$AZ788,IF(Weekly_Inspections!$BA788&lt;&gt;"",Weekly_Inspections!$BA788,IF(Weekly_Inspections!$BB788&lt;&gt;"",Weekly_Inspections!$BB788,Weekly_Inspections!$R788)))))</f>
        <v>0</v>
      </c>
      <c r="G788" t="str">
        <f>IF(OR(Weekly_Inspections!$AQ788&lt;&gt;"",Weekly_Inspections!$AR788&lt;&gt;"",Weekly_Inspections!$AS788&lt;&gt;""),Weekly_Inspections!$AQ788,"")</f>
        <v/>
      </c>
      <c r="H788">
        <f>Weekly_Inspections!$AP788</f>
        <v>0</v>
      </c>
      <c r="I788">
        <f>Weekly_Inspections!$AR788</f>
        <v>0</v>
      </c>
      <c r="J788">
        <f>Weekly_Inspections!$AS788</f>
        <v>0</v>
      </c>
      <c r="K788">
        <f>Weekly_Inspections!$AU788</f>
        <v>0</v>
      </c>
      <c r="L788" s="24">
        <f>Weekly_Inspections!$AV788</f>
        <v>0</v>
      </c>
      <c r="M788" t="str">
        <f t="shared" si="36"/>
        <v>Open</v>
      </c>
      <c r="N788" s="24"/>
      <c r="O788">
        <f t="shared" ca="1" si="37"/>
        <v>46113</v>
      </c>
      <c r="P788" t="str">
        <f t="shared" ca="1" si="38"/>
        <v>YES</v>
      </c>
      <c r="Q788">
        <f>Weekly_Inspections!$AW788</f>
        <v>0</v>
      </c>
    </row>
    <row r="789" spans="1:17" ht="15" customHeight="1" x14ac:dyDescent="0.2">
      <c r="A789" t="str">
        <f>IF(Weekly_Inspections!$B789="","",Weekly_Inspections!$A789&amp;"-A1")</f>
        <v/>
      </c>
      <c r="B789" s="24">
        <f>Weekly_Inspections!$B789</f>
        <v>0</v>
      </c>
      <c r="C789">
        <f>Weekly_Inspections!$E789</f>
        <v>0</v>
      </c>
      <c r="D789">
        <f>Weekly_Inspections!$F789</f>
        <v>0</v>
      </c>
      <c r="E789" t="str">
        <f>Weekly_Inspections!$H789</f>
        <v/>
      </c>
      <c r="F789">
        <f>IF(Weekly_Inspections!$AX789&lt;&gt;"",Weekly_Inspections!$AX789,IF(Weekly_Inspections!$AY789&lt;&gt;"",Weekly_Inspections!$AY789,IF(Weekly_Inspections!$AZ789&lt;&gt;"",Weekly_Inspections!$AZ789,IF(Weekly_Inspections!$BA789&lt;&gt;"",Weekly_Inspections!$BA789,IF(Weekly_Inspections!$BB789&lt;&gt;"",Weekly_Inspections!$BB789,Weekly_Inspections!$R789)))))</f>
        <v>0</v>
      </c>
      <c r="G789" t="str">
        <f>IF(OR(Weekly_Inspections!$AQ789&lt;&gt;"",Weekly_Inspections!$AR789&lt;&gt;"",Weekly_Inspections!$AS789&lt;&gt;""),Weekly_Inspections!$AQ789,"")</f>
        <v/>
      </c>
      <c r="H789">
        <f>Weekly_Inspections!$AP789</f>
        <v>0</v>
      </c>
      <c r="I789">
        <f>Weekly_Inspections!$AR789</f>
        <v>0</v>
      </c>
      <c r="J789">
        <f>Weekly_Inspections!$AS789</f>
        <v>0</v>
      </c>
      <c r="K789">
        <f>Weekly_Inspections!$AU789</f>
        <v>0</v>
      </c>
      <c r="L789" s="24">
        <f>Weekly_Inspections!$AV789</f>
        <v>0</v>
      </c>
      <c r="M789" t="str">
        <f t="shared" si="36"/>
        <v>Open</v>
      </c>
      <c r="N789" s="24"/>
      <c r="O789">
        <f t="shared" ca="1" si="37"/>
        <v>46113</v>
      </c>
      <c r="P789" t="str">
        <f t="shared" ca="1" si="38"/>
        <v>YES</v>
      </c>
      <c r="Q789">
        <f>Weekly_Inspections!$AW789</f>
        <v>0</v>
      </c>
    </row>
    <row r="790" spans="1:17" ht="15" customHeight="1" x14ac:dyDescent="0.2">
      <c r="A790" t="str">
        <f>IF(Weekly_Inspections!$B790="","",Weekly_Inspections!$A790&amp;"-A1")</f>
        <v/>
      </c>
      <c r="B790" s="24">
        <f>Weekly_Inspections!$B790</f>
        <v>0</v>
      </c>
      <c r="C790">
        <f>Weekly_Inspections!$E790</f>
        <v>0</v>
      </c>
      <c r="D790">
        <f>Weekly_Inspections!$F790</f>
        <v>0</v>
      </c>
      <c r="E790" t="str">
        <f>Weekly_Inspections!$H790</f>
        <v/>
      </c>
      <c r="F790">
        <f>IF(Weekly_Inspections!$AX790&lt;&gt;"",Weekly_Inspections!$AX790,IF(Weekly_Inspections!$AY790&lt;&gt;"",Weekly_Inspections!$AY790,IF(Weekly_Inspections!$AZ790&lt;&gt;"",Weekly_Inspections!$AZ790,IF(Weekly_Inspections!$BA790&lt;&gt;"",Weekly_Inspections!$BA790,IF(Weekly_Inspections!$BB790&lt;&gt;"",Weekly_Inspections!$BB790,Weekly_Inspections!$R790)))))</f>
        <v>0</v>
      </c>
      <c r="G790" t="str">
        <f>IF(OR(Weekly_Inspections!$AQ790&lt;&gt;"",Weekly_Inspections!$AR790&lt;&gt;"",Weekly_Inspections!$AS790&lt;&gt;""),Weekly_Inspections!$AQ790,"")</f>
        <v/>
      </c>
      <c r="H790">
        <f>Weekly_Inspections!$AP790</f>
        <v>0</v>
      </c>
      <c r="I790">
        <f>Weekly_Inspections!$AR790</f>
        <v>0</v>
      </c>
      <c r="J790">
        <f>Weekly_Inspections!$AS790</f>
        <v>0</v>
      </c>
      <c r="K790">
        <f>Weekly_Inspections!$AU790</f>
        <v>0</v>
      </c>
      <c r="L790" s="24">
        <f>Weekly_Inspections!$AV790</f>
        <v>0</v>
      </c>
      <c r="M790" t="str">
        <f t="shared" si="36"/>
        <v>Open</v>
      </c>
      <c r="N790" s="24"/>
      <c r="O790">
        <f t="shared" ca="1" si="37"/>
        <v>46113</v>
      </c>
      <c r="P790" t="str">
        <f t="shared" ca="1" si="38"/>
        <v>YES</v>
      </c>
      <c r="Q790">
        <f>Weekly_Inspections!$AW790</f>
        <v>0</v>
      </c>
    </row>
    <row r="791" spans="1:17" ht="15" customHeight="1" x14ac:dyDescent="0.2">
      <c r="A791" t="str">
        <f>IF(Weekly_Inspections!$B791="","",Weekly_Inspections!$A791&amp;"-A1")</f>
        <v/>
      </c>
      <c r="B791" s="24">
        <f>Weekly_Inspections!$B791</f>
        <v>0</v>
      </c>
      <c r="C791">
        <f>Weekly_Inspections!$E791</f>
        <v>0</v>
      </c>
      <c r="D791">
        <f>Weekly_Inspections!$F791</f>
        <v>0</v>
      </c>
      <c r="E791" t="str">
        <f>Weekly_Inspections!$H791</f>
        <v/>
      </c>
      <c r="F791">
        <f>IF(Weekly_Inspections!$AX791&lt;&gt;"",Weekly_Inspections!$AX791,IF(Weekly_Inspections!$AY791&lt;&gt;"",Weekly_Inspections!$AY791,IF(Weekly_Inspections!$AZ791&lt;&gt;"",Weekly_Inspections!$AZ791,IF(Weekly_Inspections!$BA791&lt;&gt;"",Weekly_Inspections!$BA791,IF(Weekly_Inspections!$BB791&lt;&gt;"",Weekly_Inspections!$BB791,Weekly_Inspections!$R791)))))</f>
        <v>0</v>
      </c>
      <c r="G791" t="str">
        <f>IF(OR(Weekly_Inspections!$AQ791&lt;&gt;"",Weekly_Inspections!$AR791&lt;&gt;"",Weekly_Inspections!$AS791&lt;&gt;""),Weekly_Inspections!$AQ791,"")</f>
        <v/>
      </c>
      <c r="H791">
        <f>Weekly_Inspections!$AP791</f>
        <v>0</v>
      </c>
      <c r="I791">
        <f>Weekly_Inspections!$AR791</f>
        <v>0</v>
      </c>
      <c r="J791">
        <f>Weekly_Inspections!$AS791</f>
        <v>0</v>
      </c>
      <c r="K791">
        <f>Weekly_Inspections!$AU791</f>
        <v>0</v>
      </c>
      <c r="L791" s="24">
        <f>Weekly_Inspections!$AV791</f>
        <v>0</v>
      </c>
      <c r="M791" t="str">
        <f t="shared" si="36"/>
        <v>Open</v>
      </c>
      <c r="N791" s="24"/>
      <c r="O791">
        <f t="shared" ca="1" si="37"/>
        <v>46113</v>
      </c>
      <c r="P791" t="str">
        <f t="shared" ca="1" si="38"/>
        <v>YES</v>
      </c>
      <c r="Q791">
        <f>Weekly_Inspections!$AW791</f>
        <v>0</v>
      </c>
    </row>
    <row r="792" spans="1:17" ht="15" customHeight="1" x14ac:dyDescent="0.2">
      <c r="A792" t="str">
        <f>IF(Weekly_Inspections!$B792="","",Weekly_Inspections!$A792&amp;"-A1")</f>
        <v/>
      </c>
      <c r="B792" s="24">
        <f>Weekly_Inspections!$B792</f>
        <v>0</v>
      </c>
      <c r="C792">
        <f>Weekly_Inspections!$E792</f>
        <v>0</v>
      </c>
      <c r="D792">
        <f>Weekly_Inspections!$F792</f>
        <v>0</v>
      </c>
      <c r="E792" t="str">
        <f>Weekly_Inspections!$H792</f>
        <v/>
      </c>
      <c r="F792">
        <f>IF(Weekly_Inspections!$AX792&lt;&gt;"",Weekly_Inspections!$AX792,IF(Weekly_Inspections!$AY792&lt;&gt;"",Weekly_Inspections!$AY792,IF(Weekly_Inspections!$AZ792&lt;&gt;"",Weekly_Inspections!$AZ792,IF(Weekly_Inspections!$BA792&lt;&gt;"",Weekly_Inspections!$BA792,IF(Weekly_Inspections!$BB792&lt;&gt;"",Weekly_Inspections!$BB792,Weekly_Inspections!$R792)))))</f>
        <v>0</v>
      </c>
      <c r="G792" t="str">
        <f>IF(OR(Weekly_Inspections!$AQ792&lt;&gt;"",Weekly_Inspections!$AR792&lt;&gt;"",Weekly_Inspections!$AS792&lt;&gt;""),Weekly_Inspections!$AQ792,"")</f>
        <v/>
      </c>
      <c r="H792">
        <f>Weekly_Inspections!$AP792</f>
        <v>0</v>
      </c>
      <c r="I792">
        <f>Weekly_Inspections!$AR792</f>
        <v>0</v>
      </c>
      <c r="J792">
        <f>Weekly_Inspections!$AS792</f>
        <v>0</v>
      </c>
      <c r="K792">
        <f>Weekly_Inspections!$AU792</f>
        <v>0</v>
      </c>
      <c r="L792" s="24">
        <f>Weekly_Inspections!$AV792</f>
        <v>0</v>
      </c>
      <c r="M792" t="str">
        <f t="shared" si="36"/>
        <v>Open</v>
      </c>
      <c r="N792" s="24"/>
      <c r="O792">
        <f t="shared" ca="1" si="37"/>
        <v>46113</v>
      </c>
      <c r="P792" t="str">
        <f t="shared" ca="1" si="38"/>
        <v>YES</v>
      </c>
      <c r="Q792">
        <f>Weekly_Inspections!$AW792</f>
        <v>0</v>
      </c>
    </row>
    <row r="793" spans="1:17" ht="15" customHeight="1" x14ac:dyDescent="0.2">
      <c r="A793" t="str">
        <f>IF(Weekly_Inspections!$B793="","",Weekly_Inspections!$A793&amp;"-A1")</f>
        <v/>
      </c>
      <c r="B793" s="24">
        <f>Weekly_Inspections!$B793</f>
        <v>0</v>
      </c>
      <c r="C793">
        <f>Weekly_Inspections!$E793</f>
        <v>0</v>
      </c>
      <c r="D793">
        <f>Weekly_Inspections!$F793</f>
        <v>0</v>
      </c>
      <c r="E793" t="str">
        <f>Weekly_Inspections!$H793</f>
        <v/>
      </c>
      <c r="F793">
        <f>IF(Weekly_Inspections!$AX793&lt;&gt;"",Weekly_Inspections!$AX793,IF(Weekly_Inspections!$AY793&lt;&gt;"",Weekly_Inspections!$AY793,IF(Weekly_Inspections!$AZ793&lt;&gt;"",Weekly_Inspections!$AZ793,IF(Weekly_Inspections!$BA793&lt;&gt;"",Weekly_Inspections!$BA793,IF(Weekly_Inspections!$BB793&lt;&gt;"",Weekly_Inspections!$BB793,Weekly_Inspections!$R793)))))</f>
        <v>0</v>
      </c>
      <c r="G793" t="str">
        <f>IF(OR(Weekly_Inspections!$AQ793&lt;&gt;"",Weekly_Inspections!$AR793&lt;&gt;"",Weekly_Inspections!$AS793&lt;&gt;""),Weekly_Inspections!$AQ793,"")</f>
        <v/>
      </c>
      <c r="H793">
        <f>Weekly_Inspections!$AP793</f>
        <v>0</v>
      </c>
      <c r="I793">
        <f>Weekly_Inspections!$AR793</f>
        <v>0</v>
      </c>
      <c r="J793">
        <f>Weekly_Inspections!$AS793</f>
        <v>0</v>
      </c>
      <c r="K793">
        <f>Weekly_Inspections!$AU793</f>
        <v>0</v>
      </c>
      <c r="L793" s="24">
        <f>Weekly_Inspections!$AV793</f>
        <v>0</v>
      </c>
      <c r="M793" t="str">
        <f t="shared" si="36"/>
        <v>Open</v>
      </c>
      <c r="N793" s="24"/>
      <c r="O793">
        <f t="shared" ca="1" si="37"/>
        <v>46113</v>
      </c>
      <c r="P793" t="str">
        <f t="shared" ca="1" si="38"/>
        <v>YES</v>
      </c>
      <c r="Q793">
        <f>Weekly_Inspections!$AW793</f>
        <v>0</v>
      </c>
    </row>
    <row r="794" spans="1:17" ht="15" customHeight="1" x14ac:dyDescent="0.2">
      <c r="A794" t="str">
        <f>IF(Weekly_Inspections!$B794="","",Weekly_Inspections!$A794&amp;"-A1")</f>
        <v/>
      </c>
      <c r="B794" s="24">
        <f>Weekly_Inspections!$B794</f>
        <v>0</v>
      </c>
      <c r="C794">
        <f>Weekly_Inspections!$E794</f>
        <v>0</v>
      </c>
      <c r="D794">
        <f>Weekly_Inspections!$F794</f>
        <v>0</v>
      </c>
      <c r="E794" t="str">
        <f>Weekly_Inspections!$H794</f>
        <v/>
      </c>
      <c r="F794">
        <f>IF(Weekly_Inspections!$AX794&lt;&gt;"",Weekly_Inspections!$AX794,IF(Weekly_Inspections!$AY794&lt;&gt;"",Weekly_Inspections!$AY794,IF(Weekly_Inspections!$AZ794&lt;&gt;"",Weekly_Inspections!$AZ794,IF(Weekly_Inspections!$BA794&lt;&gt;"",Weekly_Inspections!$BA794,IF(Weekly_Inspections!$BB794&lt;&gt;"",Weekly_Inspections!$BB794,Weekly_Inspections!$R794)))))</f>
        <v>0</v>
      </c>
      <c r="G794" t="str">
        <f>IF(OR(Weekly_Inspections!$AQ794&lt;&gt;"",Weekly_Inspections!$AR794&lt;&gt;"",Weekly_Inspections!$AS794&lt;&gt;""),Weekly_Inspections!$AQ794,"")</f>
        <v/>
      </c>
      <c r="H794">
        <f>Weekly_Inspections!$AP794</f>
        <v>0</v>
      </c>
      <c r="I794">
        <f>Weekly_Inspections!$AR794</f>
        <v>0</v>
      </c>
      <c r="J794">
        <f>Weekly_Inspections!$AS794</f>
        <v>0</v>
      </c>
      <c r="K794">
        <f>Weekly_Inspections!$AU794</f>
        <v>0</v>
      </c>
      <c r="L794" s="24">
        <f>Weekly_Inspections!$AV794</f>
        <v>0</v>
      </c>
      <c r="M794" t="str">
        <f t="shared" si="36"/>
        <v>Open</v>
      </c>
      <c r="N794" s="24"/>
      <c r="O794">
        <f t="shared" ca="1" si="37"/>
        <v>46113</v>
      </c>
      <c r="P794" t="str">
        <f t="shared" ca="1" si="38"/>
        <v>YES</v>
      </c>
      <c r="Q794">
        <f>Weekly_Inspections!$AW794</f>
        <v>0</v>
      </c>
    </row>
    <row r="795" spans="1:17" ht="15" customHeight="1" x14ac:dyDescent="0.2">
      <c r="A795" t="str">
        <f>IF(Weekly_Inspections!$B795="","",Weekly_Inspections!$A795&amp;"-A1")</f>
        <v/>
      </c>
      <c r="B795" s="24">
        <f>Weekly_Inspections!$B795</f>
        <v>0</v>
      </c>
      <c r="C795">
        <f>Weekly_Inspections!$E795</f>
        <v>0</v>
      </c>
      <c r="D795">
        <f>Weekly_Inspections!$F795</f>
        <v>0</v>
      </c>
      <c r="E795" t="str">
        <f>Weekly_Inspections!$H795</f>
        <v/>
      </c>
      <c r="F795">
        <f>IF(Weekly_Inspections!$AX795&lt;&gt;"",Weekly_Inspections!$AX795,IF(Weekly_Inspections!$AY795&lt;&gt;"",Weekly_Inspections!$AY795,IF(Weekly_Inspections!$AZ795&lt;&gt;"",Weekly_Inspections!$AZ795,IF(Weekly_Inspections!$BA795&lt;&gt;"",Weekly_Inspections!$BA795,IF(Weekly_Inspections!$BB795&lt;&gt;"",Weekly_Inspections!$BB795,Weekly_Inspections!$R795)))))</f>
        <v>0</v>
      </c>
      <c r="G795" t="str">
        <f>IF(OR(Weekly_Inspections!$AQ795&lt;&gt;"",Weekly_Inspections!$AR795&lt;&gt;"",Weekly_Inspections!$AS795&lt;&gt;""),Weekly_Inspections!$AQ795,"")</f>
        <v/>
      </c>
      <c r="H795">
        <f>Weekly_Inspections!$AP795</f>
        <v>0</v>
      </c>
      <c r="I795">
        <f>Weekly_Inspections!$AR795</f>
        <v>0</v>
      </c>
      <c r="J795">
        <f>Weekly_Inspections!$AS795</f>
        <v>0</v>
      </c>
      <c r="K795">
        <f>Weekly_Inspections!$AU795</f>
        <v>0</v>
      </c>
      <c r="L795" s="24">
        <f>Weekly_Inspections!$AV795</f>
        <v>0</v>
      </c>
      <c r="M795" t="str">
        <f t="shared" si="36"/>
        <v>Open</v>
      </c>
      <c r="N795" s="24"/>
      <c r="O795">
        <f t="shared" ca="1" si="37"/>
        <v>46113</v>
      </c>
      <c r="P795" t="str">
        <f t="shared" ca="1" si="38"/>
        <v>YES</v>
      </c>
      <c r="Q795">
        <f>Weekly_Inspections!$AW795</f>
        <v>0</v>
      </c>
    </row>
    <row r="796" spans="1:17" ht="15" customHeight="1" x14ac:dyDescent="0.2">
      <c r="A796" t="str">
        <f>IF(Weekly_Inspections!$B796="","",Weekly_Inspections!$A796&amp;"-A1")</f>
        <v/>
      </c>
      <c r="B796" s="24">
        <f>Weekly_Inspections!$B796</f>
        <v>0</v>
      </c>
      <c r="C796">
        <f>Weekly_Inspections!$E796</f>
        <v>0</v>
      </c>
      <c r="D796">
        <f>Weekly_Inspections!$F796</f>
        <v>0</v>
      </c>
      <c r="E796" t="str">
        <f>Weekly_Inspections!$H796</f>
        <v/>
      </c>
      <c r="F796">
        <f>IF(Weekly_Inspections!$AX796&lt;&gt;"",Weekly_Inspections!$AX796,IF(Weekly_Inspections!$AY796&lt;&gt;"",Weekly_Inspections!$AY796,IF(Weekly_Inspections!$AZ796&lt;&gt;"",Weekly_Inspections!$AZ796,IF(Weekly_Inspections!$BA796&lt;&gt;"",Weekly_Inspections!$BA796,IF(Weekly_Inspections!$BB796&lt;&gt;"",Weekly_Inspections!$BB796,Weekly_Inspections!$R796)))))</f>
        <v>0</v>
      </c>
      <c r="G796" t="str">
        <f>IF(OR(Weekly_Inspections!$AQ796&lt;&gt;"",Weekly_Inspections!$AR796&lt;&gt;"",Weekly_Inspections!$AS796&lt;&gt;""),Weekly_Inspections!$AQ796,"")</f>
        <v/>
      </c>
      <c r="H796">
        <f>Weekly_Inspections!$AP796</f>
        <v>0</v>
      </c>
      <c r="I796">
        <f>Weekly_Inspections!$AR796</f>
        <v>0</v>
      </c>
      <c r="J796">
        <f>Weekly_Inspections!$AS796</f>
        <v>0</v>
      </c>
      <c r="K796">
        <f>Weekly_Inspections!$AU796</f>
        <v>0</v>
      </c>
      <c r="L796" s="24">
        <f>Weekly_Inspections!$AV796</f>
        <v>0</v>
      </c>
      <c r="M796" t="str">
        <f t="shared" si="36"/>
        <v>Open</v>
      </c>
      <c r="N796" s="24"/>
      <c r="O796">
        <f t="shared" ca="1" si="37"/>
        <v>46113</v>
      </c>
      <c r="P796" t="str">
        <f t="shared" ca="1" si="38"/>
        <v>YES</v>
      </c>
      <c r="Q796">
        <f>Weekly_Inspections!$AW796</f>
        <v>0</v>
      </c>
    </row>
    <row r="797" spans="1:17" ht="15" customHeight="1" x14ac:dyDescent="0.2">
      <c r="A797" t="str">
        <f>IF(Weekly_Inspections!$B797="","",Weekly_Inspections!$A797&amp;"-A1")</f>
        <v/>
      </c>
      <c r="B797" s="24">
        <f>Weekly_Inspections!$B797</f>
        <v>0</v>
      </c>
      <c r="C797">
        <f>Weekly_Inspections!$E797</f>
        <v>0</v>
      </c>
      <c r="D797">
        <f>Weekly_Inspections!$F797</f>
        <v>0</v>
      </c>
      <c r="E797" t="str">
        <f>Weekly_Inspections!$H797</f>
        <v/>
      </c>
      <c r="F797">
        <f>IF(Weekly_Inspections!$AX797&lt;&gt;"",Weekly_Inspections!$AX797,IF(Weekly_Inspections!$AY797&lt;&gt;"",Weekly_Inspections!$AY797,IF(Weekly_Inspections!$AZ797&lt;&gt;"",Weekly_Inspections!$AZ797,IF(Weekly_Inspections!$BA797&lt;&gt;"",Weekly_Inspections!$BA797,IF(Weekly_Inspections!$BB797&lt;&gt;"",Weekly_Inspections!$BB797,Weekly_Inspections!$R797)))))</f>
        <v>0</v>
      </c>
      <c r="G797" t="str">
        <f>IF(OR(Weekly_Inspections!$AQ797&lt;&gt;"",Weekly_Inspections!$AR797&lt;&gt;"",Weekly_Inspections!$AS797&lt;&gt;""),Weekly_Inspections!$AQ797,"")</f>
        <v/>
      </c>
      <c r="H797">
        <f>Weekly_Inspections!$AP797</f>
        <v>0</v>
      </c>
      <c r="I797">
        <f>Weekly_Inspections!$AR797</f>
        <v>0</v>
      </c>
      <c r="J797">
        <f>Weekly_Inspections!$AS797</f>
        <v>0</v>
      </c>
      <c r="K797">
        <f>Weekly_Inspections!$AU797</f>
        <v>0</v>
      </c>
      <c r="L797" s="24">
        <f>Weekly_Inspections!$AV797</f>
        <v>0</v>
      </c>
      <c r="M797" t="str">
        <f t="shared" si="36"/>
        <v>Open</v>
      </c>
      <c r="N797" s="24"/>
      <c r="O797">
        <f t="shared" ca="1" si="37"/>
        <v>46113</v>
      </c>
      <c r="P797" t="str">
        <f t="shared" ca="1" si="38"/>
        <v>YES</v>
      </c>
      <c r="Q797">
        <f>Weekly_Inspections!$AW797</f>
        <v>0</v>
      </c>
    </row>
    <row r="798" spans="1:17" ht="15" customHeight="1" x14ac:dyDescent="0.2">
      <c r="A798" t="str">
        <f>IF(Weekly_Inspections!$B798="","",Weekly_Inspections!$A798&amp;"-A1")</f>
        <v/>
      </c>
      <c r="B798" s="24">
        <f>Weekly_Inspections!$B798</f>
        <v>0</v>
      </c>
      <c r="C798">
        <f>Weekly_Inspections!$E798</f>
        <v>0</v>
      </c>
      <c r="D798">
        <f>Weekly_Inspections!$F798</f>
        <v>0</v>
      </c>
      <c r="E798" t="str">
        <f>Weekly_Inspections!$H798</f>
        <v/>
      </c>
      <c r="F798">
        <f>IF(Weekly_Inspections!$AX798&lt;&gt;"",Weekly_Inspections!$AX798,IF(Weekly_Inspections!$AY798&lt;&gt;"",Weekly_Inspections!$AY798,IF(Weekly_Inspections!$AZ798&lt;&gt;"",Weekly_Inspections!$AZ798,IF(Weekly_Inspections!$BA798&lt;&gt;"",Weekly_Inspections!$BA798,IF(Weekly_Inspections!$BB798&lt;&gt;"",Weekly_Inspections!$BB798,Weekly_Inspections!$R798)))))</f>
        <v>0</v>
      </c>
      <c r="G798" t="str">
        <f>IF(OR(Weekly_Inspections!$AQ798&lt;&gt;"",Weekly_Inspections!$AR798&lt;&gt;"",Weekly_Inspections!$AS798&lt;&gt;""),Weekly_Inspections!$AQ798,"")</f>
        <v/>
      </c>
      <c r="H798">
        <f>Weekly_Inspections!$AP798</f>
        <v>0</v>
      </c>
      <c r="I798">
        <f>Weekly_Inspections!$AR798</f>
        <v>0</v>
      </c>
      <c r="J798">
        <f>Weekly_Inspections!$AS798</f>
        <v>0</v>
      </c>
      <c r="K798">
        <f>Weekly_Inspections!$AU798</f>
        <v>0</v>
      </c>
      <c r="L798" s="24">
        <f>Weekly_Inspections!$AV798</f>
        <v>0</v>
      </c>
      <c r="M798" t="str">
        <f t="shared" si="36"/>
        <v>Open</v>
      </c>
      <c r="N798" s="24"/>
      <c r="O798">
        <f t="shared" ca="1" si="37"/>
        <v>46113</v>
      </c>
      <c r="P798" t="str">
        <f t="shared" ca="1" si="38"/>
        <v>YES</v>
      </c>
      <c r="Q798">
        <f>Weekly_Inspections!$AW798</f>
        <v>0</v>
      </c>
    </row>
    <row r="799" spans="1:17" ht="15" customHeight="1" x14ac:dyDescent="0.2">
      <c r="A799" t="str">
        <f>IF(Weekly_Inspections!$B799="","",Weekly_Inspections!$A799&amp;"-A1")</f>
        <v/>
      </c>
      <c r="B799" s="24">
        <f>Weekly_Inspections!$B799</f>
        <v>0</v>
      </c>
      <c r="C799">
        <f>Weekly_Inspections!$E799</f>
        <v>0</v>
      </c>
      <c r="D799">
        <f>Weekly_Inspections!$F799</f>
        <v>0</v>
      </c>
      <c r="E799" t="str">
        <f>Weekly_Inspections!$H799</f>
        <v/>
      </c>
      <c r="F799">
        <f>IF(Weekly_Inspections!$AX799&lt;&gt;"",Weekly_Inspections!$AX799,IF(Weekly_Inspections!$AY799&lt;&gt;"",Weekly_Inspections!$AY799,IF(Weekly_Inspections!$AZ799&lt;&gt;"",Weekly_Inspections!$AZ799,IF(Weekly_Inspections!$BA799&lt;&gt;"",Weekly_Inspections!$BA799,IF(Weekly_Inspections!$BB799&lt;&gt;"",Weekly_Inspections!$BB799,Weekly_Inspections!$R799)))))</f>
        <v>0</v>
      </c>
      <c r="G799" t="str">
        <f>IF(OR(Weekly_Inspections!$AQ799&lt;&gt;"",Weekly_Inspections!$AR799&lt;&gt;"",Weekly_Inspections!$AS799&lt;&gt;""),Weekly_Inspections!$AQ799,"")</f>
        <v/>
      </c>
      <c r="H799">
        <f>Weekly_Inspections!$AP799</f>
        <v>0</v>
      </c>
      <c r="I799">
        <f>Weekly_Inspections!$AR799</f>
        <v>0</v>
      </c>
      <c r="J799">
        <f>Weekly_Inspections!$AS799</f>
        <v>0</v>
      </c>
      <c r="K799">
        <f>Weekly_Inspections!$AU799</f>
        <v>0</v>
      </c>
      <c r="L799" s="24">
        <f>Weekly_Inspections!$AV799</f>
        <v>0</v>
      </c>
      <c r="M799" t="str">
        <f t="shared" si="36"/>
        <v>Open</v>
      </c>
      <c r="N799" s="24"/>
      <c r="O799">
        <f t="shared" ca="1" si="37"/>
        <v>46113</v>
      </c>
      <c r="P799" t="str">
        <f t="shared" ca="1" si="38"/>
        <v>YES</v>
      </c>
      <c r="Q799">
        <f>Weekly_Inspections!$AW799</f>
        <v>0</v>
      </c>
    </row>
    <row r="800" spans="1:17" ht="15" customHeight="1" x14ac:dyDescent="0.2">
      <c r="A800" t="str">
        <f>IF(Weekly_Inspections!$B800="","",Weekly_Inspections!$A800&amp;"-A1")</f>
        <v/>
      </c>
      <c r="B800" s="24">
        <f>Weekly_Inspections!$B800</f>
        <v>0</v>
      </c>
      <c r="C800">
        <f>Weekly_Inspections!$E800</f>
        <v>0</v>
      </c>
      <c r="D800">
        <f>Weekly_Inspections!$F800</f>
        <v>0</v>
      </c>
      <c r="E800" t="str">
        <f>Weekly_Inspections!$H800</f>
        <v/>
      </c>
      <c r="F800">
        <f>IF(Weekly_Inspections!$AX800&lt;&gt;"",Weekly_Inspections!$AX800,IF(Weekly_Inspections!$AY800&lt;&gt;"",Weekly_Inspections!$AY800,IF(Weekly_Inspections!$AZ800&lt;&gt;"",Weekly_Inspections!$AZ800,IF(Weekly_Inspections!$BA800&lt;&gt;"",Weekly_Inspections!$BA800,IF(Weekly_Inspections!$BB800&lt;&gt;"",Weekly_Inspections!$BB800,Weekly_Inspections!$R800)))))</f>
        <v>0</v>
      </c>
      <c r="G800" t="str">
        <f>IF(OR(Weekly_Inspections!$AQ800&lt;&gt;"",Weekly_Inspections!$AR800&lt;&gt;"",Weekly_Inspections!$AS800&lt;&gt;""),Weekly_Inspections!$AQ800,"")</f>
        <v/>
      </c>
      <c r="H800">
        <f>Weekly_Inspections!$AP800</f>
        <v>0</v>
      </c>
      <c r="I800">
        <f>Weekly_Inspections!$AR800</f>
        <v>0</v>
      </c>
      <c r="J800">
        <f>Weekly_Inspections!$AS800</f>
        <v>0</v>
      </c>
      <c r="K800">
        <f>Weekly_Inspections!$AU800</f>
        <v>0</v>
      </c>
      <c r="L800" s="24">
        <f>Weekly_Inspections!$AV800</f>
        <v>0</v>
      </c>
      <c r="M800" t="str">
        <f t="shared" si="36"/>
        <v>Open</v>
      </c>
      <c r="N800" s="24"/>
      <c r="O800">
        <f t="shared" ca="1" si="37"/>
        <v>46113</v>
      </c>
      <c r="P800" t="str">
        <f t="shared" ca="1" si="38"/>
        <v>YES</v>
      </c>
      <c r="Q800">
        <f>Weekly_Inspections!$AW800</f>
        <v>0</v>
      </c>
    </row>
    <row r="801" spans="1:17" ht="15" customHeight="1" x14ac:dyDescent="0.2">
      <c r="A801" t="str">
        <f>IF(Weekly_Inspections!$B801="","",Weekly_Inspections!$A801&amp;"-A1")</f>
        <v/>
      </c>
      <c r="B801" s="24">
        <f>Weekly_Inspections!$B801</f>
        <v>0</v>
      </c>
      <c r="C801">
        <f>Weekly_Inspections!$E801</f>
        <v>0</v>
      </c>
      <c r="D801">
        <f>Weekly_Inspections!$F801</f>
        <v>0</v>
      </c>
      <c r="E801" t="str">
        <f>Weekly_Inspections!$H801</f>
        <v/>
      </c>
      <c r="F801">
        <f>IF(Weekly_Inspections!$AX801&lt;&gt;"",Weekly_Inspections!$AX801,IF(Weekly_Inspections!$AY801&lt;&gt;"",Weekly_Inspections!$AY801,IF(Weekly_Inspections!$AZ801&lt;&gt;"",Weekly_Inspections!$AZ801,IF(Weekly_Inspections!$BA801&lt;&gt;"",Weekly_Inspections!$BA801,IF(Weekly_Inspections!$BB801&lt;&gt;"",Weekly_Inspections!$BB801,Weekly_Inspections!$R801)))))</f>
        <v>0</v>
      </c>
      <c r="G801" t="str">
        <f>IF(OR(Weekly_Inspections!$AQ801&lt;&gt;"",Weekly_Inspections!$AR801&lt;&gt;"",Weekly_Inspections!$AS801&lt;&gt;""),Weekly_Inspections!$AQ801,"")</f>
        <v/>
      </c>
      <c r="H801">
        <f>Weekly_Inspections!$AP801</f>
        <v>0</v>
      </c>
      <c r="I801">
        <f>Weekly_Inspections!$AR801</f>
        <v>0</v>
      </c>
      <c r="J801">
        <f>Weekly_Inspections!$AS801</f>
        <v>0</v>
      </c>
      <c r="K801">
        <f>Weekly_Inspections!$AU801</f>
        <v>0</v>
      </c>
      <c r="L801" s="24">
        <f>Weekly_Inspections!$AV801</f>
        <v>0</v>
      </c>
      <c r="M801" t="str">
        <f t="shared" si="36"/>
        <v>Open</v>
      </c>
      <c r="N801" s="24"/>
      <c r="O801">
        <f t="shared" ca="1" si="37"/>
        <v>46113</v>
      </c>
      <c r="P801" t="str">
        <f t="shared" ca="1" si="38"/>
        <v>YES</v>
      </c>
      <c r="Q801">
        <f>Weekly_Inspections!$AW801</f>
        <v>0</v>
      </c>
    </row>
    <row r="802" spans="1:17" ht="15" customHeight="1" x14ac:dyDescent="0.2">
      <c r="A802" t="str">
        <f>IF(Weekly_Inspections!$B802="","",Weekly_Inspections!$A802&amp;"-A1")</f>
        <v/>
      </c>
      <c r="B802" s="24">
        <f>Weekly_Inspections!$B802</f>
        <v>0</v>
      </c>
      <c r="C802">
        <f>Weekly_Inspections!$E802</f>
        <v>0</v>
      </c>
      <c r="D802">
        <f>Weekly_Inspections!$F802</f>
        <v>0</v>
      </c>
      <c r="E802" t="str">
        <f>Weekly_Inspections!$H802</f>
        <v/>
      </c>
      <c r="F802">
        <f>IF(Weekly_Inspections!$AX802&lt;&gt;"",Weekly_Inspections!$AX802,IF(Weekly_Inspections!$AY802&lt;&gt;"",Weekly_Inspections!$AY802,IF(Weekly_Inspections!$AZ802&lt;&gt;"",Weekly_Inspections!$AZ802,IF(Weekly_Inspections!$BA802&lt;&gt;"",Weekly_Inspections!$BA802,IF(Weekly_Inspections!$BB802&lt;&gt;"",Weekly_Inspections!$BB802,Weekly_Inspections!$R802)))))</f>
        <v>0</v>
      </c>
      <c r="G802" t="str">
        <f>IF(OR(Weekly_Inspections!$AQ802&lt;&gt;"",Weekly_Inspections!$AR802&lt;&gt;"",Weekly_Inspections!$AS802&lt;&gt;""),Weekly_Inspections!$AQ802,"")</f>
        <v/>
      </c>
      <c r="H802">
        <f>Weekly_Inspections!$AP802</f>
        <v>0</v>
      </c>
      <c r="I802">
        <f>Weekly_Inspections!$AR802</f>
        <v>0</v>
      </c>
      <c r="J802">
        <f>Weekly_Inspections!$AS802</f>
        <v>0</v>
      </c>
      <c r="K802">
        <f>Weekly_Inspections!$AU802</f>
        <v>0</v>
      </c>
      <c r="L802" s="24">
        <f>Weekly_Inspections!$AV802</f>
        <v>0</v>
      </c>
      <c r="M802" t="str">
        <f t="shared" si="36"/>
        <v>Open</v>
      </c>
      <c r="N802" s="24"/>
      <c r="O802">
        <f t="shared" ca="1" si="37"/>
        <v>46113</v>
      </c>
      <c r="P802" t="str">
        <f t="shared" ca="1" si="38"/>
        <v>YES</v>
      </c>
      <c r="Q802">
        <f>Weekly_Inspections!$AW802</f>
        <v>0</v>
      </c>
    </row>
    <row r="803" spans="1:17" ht="15" customHeight="1" x14ac:dyDescent="0.2">
      <c r="A803" t="str">
        <f>IF(Weekly_Inspections!$B803="","",Weekly_Inspections!$A803&amp;"-A1")</f>
        <v/>
      </c>
      <c r="B803" s="24">
        <f>Weekly_Inspections!$B803</f>
        <v>0</v>
      </c>
      <c r="C803">
        <f>Weekly_Inspections!$E803</f>
        <v>0</v>
      </c>
      <c r="D803">
        <f>Weekly_Inspections!$F803</f>
        <v>0</v>
      </c>
      <c r="E803" t="str">
        <f>Weekly_Inspections!$H803</f>
        <v/>
      </c>
      <c r="F803">
        <f>IF(Weekly_Inspections!$AX803&lt;&gt;"",Weekly_Inspections!$AX803,IF(Weekly_Inspections!$AY803&lt;&gt;"",Weekly_Inspections!$AY803,IF(Weekly_Inspections!$AZ803&lt;&gt;"",Weekly_Inspections!$AZ803,IF(Weekly_Inspections!$BA803&lt;&gt;"",Weekly_Inspections!$BA803,IF(Weekly_Inspections!$BB803&lt;&gt;"",Weekly_Inspections!$BB803,Weekly_Inspections!$R803)))))</f>
        <v>0</v>
      </c>
      <c r="G803" t="str">
        <f>IF(OR(Weekly_Inspections!$AQ803&lt;&gt;"",Weekly_Inspections!$AR803&lt;&gt;"",Weekly_Inspections!$AS803&lt;&gt;""),Weekly_Inspections!$AQ803,"")</f>
        <v/>
      </c>
      <c r="H803">
        <f>Weekly_Inspections!$AP803</f>
        <v>0</v>
      </c>
      <c r="I803">
        <f>Weekly_Inspections!$AR803</f>
        <v>0</v>
      </c>
      <c r="J803">
        <f>Weekly_Inspections!$AS803</f>
        <v>0</v>
      </c>
      <c r="K803">
        <f>Weekly_Inspections!$AU803</f>
        <v>0</v>
      </c>
      <c r="L803" s="24">
        <f>Weekly_Inspections!$AV803</f>
        <v>0</v>
      </c>
      <c r="M803" t="str">
        <f t="shared" si="36"/>
        <v>Open</v>
      </c>
      <c r="N803" s="24"/>
      <c r="O803">
        <f t="shared" ca="1" si="37"/>
        <v>46113</v>
      </c>
      <c r="P803" t="str">
        <f t="shared" ca="1" si="38"/>
        <v>YES</v>
      </c>
      <c r="Q803">
        <f>Weekly_Inspections!$AW803</f>
        <v>0</v>
      </c>
    </row>
    <row r="804" spans="1:17" ht="15" customHeight="1" x14ac:dyDescent="0.2">
      <c r="A804" t="str">
        <f>IF(Weekly_Inspections!$B804="","",Weekly_Inspections!$A804&amp;"-A1")</f>
        <v/>
      </c>
      <c r="B804" s="24">
        <f>Weekly_Inspections!$B804</f>
        <v>0</v>
      </c>
      <c r="C804">
        <f>Weekly_Inspections!$E804</f>
        <v>0</v>
      </c>
      <c r="D804">
        <f>Weekly_Inspections!$F804</f>
        <v>0</v>
      </c>
      <c r="E804" t="str">
        <f>Weekly_Inspections!$H804</f>
        <v/>
      </c>
      <c r="F804">
        <f>IF(Weekly_Inspections!$AX804&lt;&gt;"",Weekly_Inspections!$AX804,IF(Weekly_Inspections!$AY804&lt;&gt;"",Weekly_Inspections!$AY804,IF(Weekly_Inspections!$AZ804&lt;&gt;"",Weekly_Inspections!$AZ804,IF(Weekly_Inspections!$BA804&lt;&gt;"",Weekly_Inspections!$BA804,IF(Weekly_Inspections!$BB804&lt;&gt;"",Weekly_Inspections!$BB804,Weekly_Inspections!$R804)))))</f>
        <v>0</v>
      </c>
      <c r="G804" t="str">
        <f>IF(OR(Weekly_Inspections!$AQ804&lt;&gt;"",Weekly_Inspections!$AR804&lt;&gt;"",Weekly_Inspections!$AS804&lt;&gt;""),Weekly_Inspections!$AQ804,"")</f>
        <v/>
      </c>
      <c r="H804">
        <f>Weekly_Inspections!$AP804</f>
        <v>0</v>
      </c>
      <c r="I804">
        <f>Weekly_Inspections!$AR804</f>
        <v>0</v>
      </c>
      <c r="J804">
        <f>Weekly_Inspections!$AS804</f>
        <v>0</v>
      </c>
      <c r="K804">
        <f>Weekly_Inspections!$AU804</f>
        <v>0</v>
      </c>
      <c r="L804" s="24">
        <f>Weekly_Inspections!$AV804</f>
        <v>0</v>
      </c>
      <c r="M804" t="str">
        <f t="shared" si="36"/>
        <v>Open</v>
      </c>
      <c r="N804" s="24"/>
      <c r="O804">
        <f t="shared" ca="1" si="37"/>
        <v>46113</v>
      </c>
      <c r="P804" t="str">
        <f t="shared" ca="1" si="38"/>
        <v>YES</v>
      </c>
      <c r="Q804">
        <f>Weekly_Inspections!$AW804</f>
        <v>0</v>
      </c>
    </row>
    <row r="805" spans="1:17" ht="15" customHeight="1" x14ac:dyDescent="0.2">
      <c r="A805" t="str">
        <f>IF(Weekly_Inspections!$B805="","",Weekly_Inspections!$A805&amp;"-A1")</f>
        <v/>
      </c>
      <c r="B805" s="24">
        <f>Weekly_Inspections!$B805</f>
        <v>0</v>
      </c>
      <c r="C805">
        <f>Weekly_Inspections!$E805</f>
        <v>0</v>
      </c>
      <c r="D805">
        <f>Weekly_Inspections!$F805</f>
        <v>0</v>
      </c>
      <c r="E805" t="str">
        <f>Weekly_Inspections!$H805</f>
        <v/>
      </c>
      <c r="F805">
        <f>IF(Weekly_Inspections!$AX805&lt;&gt;"",Weekly_Inspections!$AX805,IF(Weekly_Inspections!$AY805&lt;&gt;"",Weekly_Inspections!$AY805,IF(Weekly_Inspections!$AZ805&lt;&gt;"",Weekly_Inspections!$AZ805,IF(Weekly_Inspections!$BA805&lt;&gt;"",Weekly_Inspections!$BA805,IF(Weekly_Inspections!$BB805&lt;&gt;"",Weekly_Inspections!$BB805,Weekly_Inspections!$R805)))))</f>
        <v>0</v>
      </c>
      <c r="G805" t="str">
        <f>IF(OR(Weekly_Inspections!$AQ805&lt;&gt;"",Weekly_Inspections!$AR805&lt;&gt;"",Weekly_Inspections!$AS805&lt;&gt;""),Weekly_Inspections!$AQ805,"")</f>
        <v/>
      </c>
      <c r="H805">
        <f>Weekly_Inspections!$AP805</f>
        <v>0</v>
      </c>
      <c r="I805">
        <f>Weekly_Inspections!$AR805</f>
        <v>0</v>
      </c>
      <c r="J805">
        <f>Weekly_Inspections!$AS805</f>
        <v>0</v>
      </c>
      <c r="K805">
        <f>Weekly_Inspections!$AU805</f>
        <v>0</v>
      </c>
      <c r="L805" s="24">
        <f>Weekly_Inspections!$AV805</f>
        <v>0</v>
      </c>
      <c r="M805" t="str">
        <f t="shared" si="36"/>
        <v>Open</v>
      </c>
      <c r="N805" s="24"/>
      <c r="O805">
        <f t="shared" ca="1" si="37"/>
        <v>46113</v>
      </c>
      <c r="P805" t="str">
        <f t="shared" ca="1" si="38"/>
        <v>YES</v>
      </c>
      <c r="Q805">
        <f>Weekly_Inspections!$AW805</f>
        <v>0</v>
      </c>
    </row>
    <row r="806" spans="1:17" ht="15" customHeight="1" x14ac:dyDescent="0.2">
      <c r="A806" t="str">
        <f>IF(Weekly_Inspections!$B806="","",Weekly_Inspections!$A806&amp;"-A1")</f>
        <v/>
      </c>
      <c r="B806" s="24">
        <f>Weekly_Inspections!$B806</f>
        <v>0</v>
      </c>
      <c r="C806">
        <f>Weekly_Inspections!$E806</f>
        <v>0</v>
      </c>
      <c r="D806">
        <f>Weekly_Inspections!$F806</f>
        <v>0</v>
      </c>
      <c r="E806" t="str">
        <f>Weekly_Inspections!$H806</f>
        <v/>
      </c>
      <c r="F806">
        <f>IF(Weekly_Inspections!$AX806&lt;&gt;"",Weekly_Inspections!$AX806,IF(Weekly_Inspections!$AY806&lt;&gt;"",Weekly_Inspections!$AY806,IF(Weekly_Inspections!$AZ806&lt;&gt;"",Weekly_Inspections!$AZ806,IF(Weekly_Inspections!$BA806&lt;&gt;"",Weekly_Inspections!$BA806,IF(Weekly_Inspections!$BB806&lt;&gt;"",Weekly_Inspections!$BB806,Weekly_Inspections!$R806)))))</f>
        <v>0</v>
      </c>
      <c r="G806" t="str">
        <f>IF(OR(Weekly_Inspections!$AQ806&lt;&gt;"",Weekly_Inspections!$AR806&lt;&gt;"",Weekly_Inspections!$AS806&lt;&gt;""),Weekly_Inspections!$AQ806,"")</f>
        <v/>
      </c>
      <c r="H806">
        <f>Weekly_Inspections!$AP806</f>
        <v>0</v>
      </c>
      <c r="I806">
        <f>Weekly_Inspections!$AR806</f>
        <v>0</v>
      </c>
      <c r="J806">
        <f>Weekly_Inspections!$AS806</f>
        <v>0</v>
      </c>
      <c r="K806">
        <f>Weekly_Inspections!$AU806</f>
        <v>0</v>
      </c>
      <c r="L806" s="24">
        <f>Weekly_Inspections!$AV806</f>
        <v>0</v>
      </c>
      <c r="M806" t="str">
        <f t="shared" si="36"/>
        <v>Open</v>
      </c>
      <c r="N806" s="24"/>
      <c r="O806">
        <f t="shared" ca="1" si="37"/>
        <v>46113</v>
      </c>
      <c r="P806" t="str">
        <f t="shared" ca="1" si="38"/>
        <v>YES</v>
      </c>
      <c r="Q806">
        <f>Weekly_Inspections!$AW806</f>
        <v>0</v>
      </c>
    </row>
    <row r="807" spans="1:17" ht="15" customHeight="1" x14ac:dyDescent="0.2">
      <c r="A807" t="str">
        <f>IF(Weekly_Inspections!$B807="","",Weekly_Inspections!$A807&amp;"-A1")</f>
        <v/>
      </c>
      <c r="B807" s="24">
        <f>Weekly_Inspections!$B807</f>
        <v>0</v>
      </c>
      <c r="C807">
        <f>Weekly_Inspections!$E807</f>
        <v>0</v>
      </c>
      <c r="D807">
        <f>Weekly_Inspections!$F807</f>
        <v>0</v>
      </c>
      <c r="E807" t="str">
        <f>Weekly_Inspections!$H807</f>
        <v/>
      </c>
      <c r="F807">
        <f>IF(Weekly_Inspections!$AX807&lt;&gt;"",Weekly_Inspections!$AX807,IF(Weekly_Inspections!$AY807&lt;&gt;"",Weekly_Inspections!$AY807,IF(Weekly_Inspections!$AZ807&lt;&gt;"",Weekly_Inspections!$AZ807,IF(Weekly_Inspections!$BA807&lt;&gt;"",Weekly_Inspections!$BA807,IF(Weekly_Inspections!$BB807&lt;&gt;"",Weekly_Inspections!$BB807,Weekly_Inspections!$R807)))))</f>
        <v>0</v>
      </c>
      <c r="G807" t="str">
        <f>IF(OR(Weekly_Inspections!$AQ807&lt;&gt;"",Weekly_Inspections!$AR807&lt;&gt;"",Weekly_Inspections!$AS807&lt;&gt;""),Weekly_Inspections!$AQ807,"")</f>
        <v/>
      </c>
      <c r="H807">
        <f>Weekly_Inspections!$AP807</f>
        <v>0</v>
      </c>
      <c r="I807">
        <f>Weekly_Inspections!$AR807</f>
        <v>0</v>
      </c>
      <c r="J807">
        <f>Weekly_Inspections!$AS807</f>
        <v>0</v>
      </c>
      <c r="K807">
        <f>Weekly_Inspections!$AU807</f>
        <v>0</v>
      </c>
      <c r="L807" s="24">
        <f>Weekly_Inspections!$AV807</f>
        <v>0</v>
      </c>
      <c r="M807" t="str">
        <f t="shared" si="36"/>
        <v>Open</v>
      </c>
      <c r="N807" s="24"/>
      <c r="O807">
        <f t="shared" ca="1" si="37"/>
        <v>46113</v>
      </c>
      <c r="P807" t="str">
        <f t="shared" ca="1" si="38"/>
        <v>YES</v>
      </c>
      <c r="Q807">
        <f>Weekly_Inspections!$AW807</f>
        <v>0</v>
      </c>
    </row>
    <row r="808" spans="1:17" ht="15" customHeight="1" x14ac:dyDescent="0.2">
      <c r="A808" t="str">
        <f>IF(Weekly_Inspections!$B808="","",Weekly_Inspections!$A808&amp;"-A1")</f>
        <v/>
      </c>
      <c r="B808" s="24">
        <f>Weekly_Inspections!$B808</f>
        <v>0</v>
      </c>
      <c r="C808">
        <f>Weekly_Inspections!$E808</f>
        <v>0</v>
      </c>
      <c r="D808">
        <f>Weekly_Inspections!$F808</f>
        <v>0</v>
      </c>
      <c r="E808" t="str">
        <f>Weekly_Inspections!$H808</f>
        <v/>
      </c>
      <c r="F808">
        <f>IF(Weekly_Inspections!$AX808&lt;&gt;"",Weekly_Inspections!$AX808,IF(Weekly_Inspections!$AY808&lt;&gt;"",Weekly_Inspections!$AY808,IF(Weekly_Inspections!$AZ808&lt;&gt;"",Weekly_Inspections!$AZ808,IF(Weekly_Inspections!$BA808&lt;&gt;"",Weekly_Inspections!$BA808,IF(Weekly_Inspections!$BB808&lt;&gt;"",Weekly_Inspections!$BB808,Weekly_Inspections!$R808)))))</f>
        <v>0</v>
      </c>
      <c r="G808" t="str">
        <f>IF(OR(Weekly_Inspections!$AQ808&lt;&gt;"",Weekly_Inspections!$AR808&lt;&gt;"",Weekly_Inspections!$AS808&lt;&gt;""),Weekly_Inspections!$AQ808,"")</f>
        <v/>
      </c>
      <c r="H808">
        <f>Weekly_Inspections!$AP808</f>
        <v>0</v>
      </c>
      <c r="I808">
        <f>Weekly_Inspections!$AR808</f>
        <v>0</v>
      </c>
      <c r="J808">
        <f>Weekly_Inspections!$AS808</f>
        <v>0</v>
      </c>
      <c r="K808">
        <f>Weekly_Inspections!$AU808</f>
        <v>0</v>
      </c>
      <c r="L808" s="24">
        <f>Weekly_Inspections!$AV808</f>
        <v>0</v>
      </c>
      <c r="M808" t="str">
        <f t="shared" si="36"/>
        <v>Open</v>
      </c>
      <c r="N808" s="24"/>
      <c r="O808">
        <f t="shared" ca="1" si="37"/>
        <v>46113</v>
      </c>
      <c r="P808" t="str">
        <f t="shared" ca="1" si="38"/>
        <v>YES</v>
      </c>
      <c r="Q808">
        <f>Weekly_Inspections!$AW808</f>
        <v>0</v>
      </c>
    </row>
    <row r="809" spans="1:17" ht="15" customHeight="1" x14ac:dyDescent="0.2">
      <c r="A809" t="str">
        <f>IF(Weekly_Inspections!$B809="","",Weekly_Inspections!$A809&amp;"-A1")</f>
        <v/>
      </c>
      <c r="B809" s="24">
        <f>Weekly_Inspections!$B809</f>
        <v>0</v>
      </c>
      <c r="C809">
        <f>Weekly_Inspections!$E809</f>
        <v>0</v>
      </c>
      <c r="D809">
        <f>Weekly_Inspections!$F809</f>
        <v>0</v>
      </c>
      <c r="E809" t="str">
        <f>Weekly_Inspections!$H809</f>
        <v/>
      </c>
      <c r="F809">
        <f>IF(Weekly_Inspections!$AX809&lt;&gt;"",Weekly_Inspections!$AX809,IF(Weekly_Inspections!$AY809&lt;&gt;"",Weekly_Inspections!$AY809,IF(Weekly_Inspections!$AZ809&lt;&gt;"",Weekly_Inspections!$AZ809,IF(Weekly_Inspections!$BA809&lt;&gt;"",Weekly_Inspections!$BA809,IF(Weekly_Inspections!$BB809&lt;&gt;"",Weekly_Inspections!$BB809,Weekly_Inspections!$R809)))))</f>
        <v>0</v>
      </c>
      <c r="G809" t="str">
        <f>IF(OR(Weekly_Inspections!$AQ809&lt;&gt;"",Weekly_Inspections!$AR809&lt;&gt;"",Weekly_Inspections!$AS809&lt;&gt;""),Weekly_Inspections!$AQ809,"")</f>
        <v/>
      </c>
      <c r="H809">
        <f>Weekly_Inspections!$AP809</f>
        <v>0</v>
      </c>
      <c r="I809">
        <f>Weekly_Inspections!$AR809</f>
        <v>0</v>
      </c>
      <c r="J809">
        <f>Weekly_Inspections!$AS809</f>
        <v>0</v>
      </c>
      <c r="K809">
        <f>Weekly_Inspections!$AU809</f>
        <v>0</v>
      </c>
      <c r="L809" s="24">
        <f>Weekly_Inspections!$AV809</f>
        <v>0</v>
      </c>
      <c r="M809" t="str">
        <f t="shared" si="36"/>
        <v>Open</v>
      </c>
      <c r="N809" s="24"/>
      <c r="O809">
        <f t="shared" ca="1" si="37"/>
        <v>46113</v>
      </c>
      <c r="P809" t="str">
        <f t="shared" ca="1" si="38"/>
        <v>YES</v>
      </c>
      <c r="Q809">
        <f>Weekly_Inspections!$AW809</f>
        <v>0</v>
      </c>
    </row>
    <row r="810" spans="1:17" ht="15" customHeight="1" x14ac:dyDescent="0.2">
      <c r="A810" t="str">
        <f>IF(Weekly_Inspections!$B810="","",Weekly_Inspections!$A810&amp;"-A1")</f>
        <v/>
      </c>
      <c r="B810" s="24">
        <f>Weekly_Inspections!$B810</f>
        <v>0</v>
      </c>
      <c r="C810">
        <f>Weekly_Inspections!$E810</f>
        <v>0</v>
      </c>
      <c r="D810">
        <f>Weekly_Inspections!$F810</f>
        <v>0</v>
      </c>
      <c r="E810" t="str">
        <f>Weekly_Inspections!$H810</f>
        <v/>
      </c>
      <c r="F810">
        <f>IF(Weekly_Inspections!$AX810&lt;&gt;"",Weekly_Inspections!$AX810,IF(Weekly_Inspections!$AY810&lt;&gt;"",Weekly_Inspections!$AY810,IF(Weekly_Inspections!$AZ810&lt;&gt;"",Weekly_Inspections!$AZ810,IF(Weekly_Inspections!$BA810&lt;&gt;"",Weekly_Inspections!$BA810,IF(Weekly_Inspections!$BB810&lt;&gt;"",Weekly_Inspections!$BB810,Weekly_Inspections!$R810)))))</f>
        <v>0</v>
      </c>
      <c r="G810" t="str">
        <f>IF(OR(Weekly_Inspections!$AQ810&lt;&gt;"",Weekly_Inspections!$AR810&lt;&gt;"",Weekly_Inspections!$AS810&lt;&gt;""),Weekly_Inspections!$AQ810,"")</f>
        <v/>
      </c>
      <c r="H810">
        <f>Weekly_Inspections!$AP810</f>
        <v>0</v>
      </c>
      <c r="I810">
        <f>Weekly_Inspections!$AR810</f>
        <v>0</v>
      </c>
      <c r="J810">
        <f>Weekly_Inspections!$AS810</f>
        <v>0</v>
      </c>
      <c r="K810">
        <f>Weekly_Inspections!$AU810</f>
        <v>0</v>
      </c>
      <c r="L810" s="24">
        <f>Weekly_Inspections!$AV810</f>
        <v>0</v>
      </c>
      <c r="M810" t="str">
        <f t="shared" si="36"/>
        <v>Open</v>
      </c>
      <c r="N810" s="24"/>
      <c r="O810">
        <f t="shared" ca="1" si="37"/>
        <v>46113</v>
      </c>
      <c r="P810" t="str">
        <f t="shared" ca="1" si="38"/>
        <v>YES</v>
      </c>
      <c r="Q810">
        <f>Weekly_Inspections!$AW810</f>
        <v>0</v>
      </c>
    </row>
    <row r="811" spans="1:17" ht="15" customHeight="1" x14ac:dyDescent="0.2">
      <c r="A811" t="str">
        <f>IF(Weekly_Inspections!$B811="","",Weekly_Inspections!$A811&amp;"-A1")</f>
        <v/>
      </c>
      <c r="B811" s="24">
        <f>Weekly_Inspections!$B811</f>
        <v>0</v>
      </c>
      <c r="C811">
        <f>Weekly_Inspections!$E811</f>
        <v>0</v>
      </c>
      <c r="D811">
        <f>Weekly_Inspections!$F811</f>
        <v>0</v>
      </c>
      <c r="E811" t="str">
        <f>Weekly_Inspections!$H811</f>
        <v/>
      </c>
      <c r="F811">
        <f>IF(Weekly_Inspections!$AX811&lt;&gt;"",Weekly_Inspections!$AX811,IF(Weekly_Inspections!$AY811&lt;&gt;"",Weekly_Inspections!$AY811,IF(Weekly_Inspections!$AZ811&lt;&gt;"",Weekly_Inspections!$AZ811,IF(Weekly_Inspections!$BA811&lt;&gt;"",Weekly_Inspections!$BA811,IF(Weekly_Inspections!$BB811&lt;&gt;"",Weekly_Inspections!$BB811,Weekly_Inspections!$R811)))))</f>
        <v>0</v>
      </c>
      <c r="G811" t="str">
        <f>IF(OR(Weekly_Inspections!$AQ811&lt;&gt;"",Weekly_Inspections!$AR811&lt;&gt;"",Weekly_Inspections!$AS811&lt;&gt;""),Weekly_Inspections!$AQ811,"")</f>
        <v/>
      </c>
      <c r="H811">
        <f>Weekly_Inspections!$AP811</f>
        <v>0</v>
      </c>
      <c r="I811">
        <f>Weekly_Inspections!$AR811</f>
        <v>0</v>
      </c>
      <c r="J811">
        <f>Weekly_Inspections!$AS811</f>
        <v>0</v>
      </c>
      <c r="K811">
        <f>Weekly_Inspections!$AU811</f>
        <v>0</v>
      </c>
      <c r="L811" s="24">
        <f>Weekly_Inspections!$AV811</f>
        <v>0</v>
      </c>
      <c r="M811" t="str">
        <f t="shared" si="36"/>
        <v>Open</v>
      </c>
      <c r="N811" s="24"/>
      <c r="O811">
        <f t="shared" ca="1" si="37"/>
        <v>46113</v>
      </c>
      <c r="P811" t="str">
        <f t="shared" ca="1" si="38"/>
        <v>YES</v>
      </c>
      <c r="Q811">
        <f>Weekly_Inspections!$AW811</f>
        <v>0</v>
      </c>
    </row>
    <row r="812" spans="1:17" ht="15" customHeight="1" x14ac:dyDescent="0.2">
      <c r="A812" t="str">
        <f>IF(Weekly_Inspections!$B812="","",Weekly_Inspections!$A812&amp;"-A1")</f>
        <v/>
      </c>
      <c r="B812" s="24">
        <f>Weekly_Inspections!$B812</f>
        <v>0</v>
      </c>
      <c r="C812">
        <f>Weekly_Inspections!$E812</f>
        <v>0</v>
      </c>
      <c r="D812">
        <f>Weekly_Inspections!$F812</f>
        <v>0</v>
      </c>
      <c r="E812" t="str">
        <f>Weekly_Inspections!$H812</f>
        <v/>
      </c>
      <c r="F812">
        <f>IF(Weekly_Inspections!$AX812&lt;&gt;"",Weekly_Inspections!$AX812,IF(Weekly_Inspections!$AY812&lt;&gt;"",Weekly_Inspections!$AY812,IF(Weekly_Inspections!$AZ812&lt;&gt;"",Weekly_Inspections!$AZ812,IF(Weekly_Inspections!$BA812&lt;&gt;"",Weekly_Inspections!$BA812,IF(Weekly_Inspections!$BB812&lt;&gt;"",Weekly_Inspections!$BB812,Weekly_Inspections!$R812)))))</f>
        <v>0</v>
      </c>
      <c r="G812" t="str">
        <f>IF(OR(Weekly_Inspections!$AQ812&lt;&gt;"",Weekly_Inspections!$AR812&lt;&gt;"",Weekly_Inspections!$AS812&lt;&gt;""),Weekly_Inspections!$AQ812,"")</f>
        <v/>
      </c>
      <c r="H812">
        <f>Weekly_Inspections!$AP812</f>
        <v>0</v>
      </c>
      <c r="I812">
        <f>Weekly_Inspections!$AR812</f>
        <v>0</v>
      </c>
      <c r="J812">
        <f>Weekly_Inspections!$AS812</f>
        <v>0</v>
      </c>
      <c r="K812">
        <f>Weekly_Inspections!$AU812</f>
        <v>0</v>
      </c>
      <c r="L812" s="24">
        <f>Weekly_Inspections!$AV812</f>
        <v>0</v>
      </c>
      <c r="M812" t="str">
        <f t="shared" si="36"/>
        <v>Open</v>
      </c>
      <c r="N812" s="24"/>
      <c r="O812">
        <f t="shared" ca="1" si="37"/>
        <v>46113</v>
      </c>
      <c r="P812" t="str">
        <f t="shared" ca="1" si="38"/>
        <v>YES</v>
      </c>
      <c r="Q812">
        <f>Weekly_Inspections!$AW812</f>
        <v>0</v>
      </c>
    </row>
    <row r="813" spans="1:17" ht="15" customHeight="1" x14ac:dyDescent="0.2">
      <c r="A813" t="str">
        <f>IF(Weekly_Inspections!$B813="","",Weekly_Inspections!$A813&amp;"-A1")</f>
        <v/>
      </c>
      <c r="B813" s="24">
        <f>Weekly_Inspections!$B813</f>
        <v>0</v>
      </c>
      <c r="C813">
        <f>Weekly_Inspections!$E813</f>
        <v>0</v>
      </c>
      <c r="D813">
        <f>Weekly_Inspections!$F813</f>
        <v>0</v>
      </c>
      <c r="E813" t="str">
        <f>Weekly_Inspections!$H813</f>
        <v/>
      </c>
      <c r="F813">
        <f>IF(Weekly_Inspections!$AX813&lt;&gt;"",Weekly_Inspections!$AX813,IF(Weekly_Inspections!$AY813&lt;&gt;"",Weekly_Inspections!$AY813,IF(Weekly_Inspections!$AZ813&lt;&gt;"",Weekly_Inspections!$AZ813,IF(Weekly_Inspections!$BA813&lt;&gt;"",Weekly_Inspections!$BA813,IF(Weekly_Inspections!$BB813&lt;&gt;"",Weekly_Inspections!$BB813,Weekly_Inspections!$R813)))))</f>
        <v>0</v>
      </c>
      <c r="G813" t="str">
        <f>IF(OR(Weekly_Inspections!$AQ813&lt;&gt;"",Weekly_Inspections!$AR813&lt;&gt;"",Weekly_Inspections!$AS813&lt;&gt;""),Weekly_Inspections!$AQ813,"")</f>
        <v/>
      </c>
      <c r="H813">
        <f>Weekly_Inspections!$AP813</f>
        <v>0</v>
      </c>
      <c r="I813">
        <f>Weekly_Inspections!$AR813</f>
        <v>0</v>
      </c>
      <c r="J813">
        <f>Weekly_Inspections!$AS813</f>
        <v>0</v>
      </c>
      <c r="K813">
        <f>Weekly_Inspections!$AU813</f>
        <v>0</v>
      </c>
      <c r="L813" s="24">
        <f>Weekly_Inspections!$AV813</f>
        <v>0</v>
      </c>
      <c r="M813" t="str">
        <f t="shared" si="36"/>
        <v>Open</v>
      </c>
      <c r="N813" s="24"/>
      <c r="O813">
        <f t="shared" ca="1" si="37"/>
        <v>46113</v>
      </c>
      <c r="P813" t="str">
        <f t="shared" ca="1" si="38"/>
        <v>YES</v>
      </c>
      <c r="Q813">
        <f>Weekly_Inspections!$AW813</f>
        <v>0</v>
      </c>
    </row>
    <row r="814" spans="1:17" ht="15" customHeight="1" x14ac:dyDescent="0.2">
      <c r="A814" t="str">
        <f>IF(Weekly_Inspections!$B814="","",Weekly_Inspections!$A814&amp;"-A1")</f>
        <v/>
      </c>
      <c r="B814" s="24">
        <f>Weekly_Inspections!$B814</f>
        <v>0</v>
      </c>
      <c r="C814">
        <f>Weekly_Inspections!$E814</f>
        <v>0</v>
      </c>
      <c r="D814">
        <f>Weekly_Inspections!$F814</f>
        <v>0</v>
      </c>
      <c r="E814" t="str">
        <f>Weekly_Inspections!$H814</f>
        <v/>
      </c>
      <c r="F814">
        <f>IF(Weekly_Inspections!$AX814&lt;&gt;"",Weekly_Inspections!$AX814,IF(Weekly_Inspections!$AY814&lt;&gt;"",Weekly_Inspections!$AY814,IF(Weekly_Inspections!$AZ814&lt;&gt;"",Weekly_Inspections!$AZ814,IF(Weekly_Inspections!$BA814&lt;&gt;"",Weekly_Inspections!$BA814,IF(Weekly_Inspections!$BB814&lt;&gt;"",Weekly_Inspections!$BB814,Weekly_Inspections!$R814)))))</f>
        <v>0</v>
      </c>
      <c r="G814" t="str">
        <f>IF(OR(Weekly_Inspections!$AQ814&lt;&gt;"",Weekly_Inspections!$AR814&lt;&gt;"",Weekly_Inspections!$AS814&lt;&gt;""),Weekly_Inspections!$AQ814,"")</f>
        <v/>
      </c>
      <c r="H814">
        <f>Weekly_Inspections!$AP814</f>
        <v>0</v>
      </c>
      <c r="I814">
        <f>Weekly_Inspections!$AR814</f>
        <v>0</v>
      </c>
      <c r="J814">
        <f>Weekly_Inspections!$AS814</f>
        <v>0</v>
      </c>
      <c r="K814">
        <f>Weekly_Inspections!$AU814</f>
        <v>0</v>
      </c>
      <c r="L814" s="24">
        <f>Weekly_Inspections!$AV814</f>
        <v>0</v>
      </c>
      <c r="M814" t="str">
        <f t="shared" si="36"/>
        <v>Open</v>
      </c>
      <c r="N814" s="24"/>
      <c r="O814">
        <f t="shared" ca="1" si="37"/>
        <v>46113</v>
      </c>
      <c r="P814" t="str">
        <f t="shared" ca="1" si="38"/>
        <v>YES</v>
      </c>
      <c r="Q814">
        <f>Weekly_Inspections!$AW814</f>
        <v>0</v>
      </c>
    </row>
    <row r="815" spans="1:17" ht="15" customHeight="1" x14ac:dyDescent="0.2">
      <c r="A815" t="str">
        <f>IF(Weekly_Inspections!$B815="","",Weekly_Inspections!$A815&amp;"-A1")</f>
        <v/>
      </c>
      <c r="B815" s="24">
        <f>Weekly_Inspections!$B815</f>
        <v>0</v>
      </c>
      <c r="C815">
        <f>Weekly_Inspections!$E815</f>
        <v>0</v>
      </c>
      <c r="D815">
        <f>Weekly_Inspections!$F815</f>
        <v>0</v>
      </c>
      <c r="E815" t="str">
        <f>Weekly_Inspections!$H815</f>
        <v/>
      </c>
      <c r="F815">
        <f>IF(Weekly_Inspections!$AX815&lt;&gt;"",Weekly_Inspections!$AX815,IF(Weekly_Inspections!$AY815&lt;&gt;"",Weekly_Inspections!$AY815,IF(Weekly_Inspections!$AZ815&lt;&gt;"",Weekly_Inspections!$AZ815,IF(Weekly_Inspections!$BA815&lt;&gt;"",Weekly_Inspections!$BA815,IF(Weekly_Inspections!$BB815&lt;&gt;"",Weekly_Inspections!$BB815,Weekly_Inspections!$R815)))))</f>
        <v>0</v>
      </c>
      <c r="G815" t="str">
        <f>IF(OR(Weekly_Inspections!$AQ815&lt;&gt;"",Weekly_Inspections!$AR815&lt;&gt;"",Weekly_Inspections!$AS815&lt;&gt;""),Weekly_Inspections!$AQ815,"")</f>
        <v/>
      </c>
      <c r="H815">
        <f>Weekly_Inspections!$AP815</f>
        <v>0</v>
      </c>
      <c r="I815">
        <f>Weekly_Inspections!$AR815</f>
        <v>0</v>
      </c>
      <c r="J815">
        <f>Weekly_Inspections!$AS815</f>
        <v>0</v>
      </c>
      <c r="K815">
        <f>Weekly_Inspections!$AU815</f>
        <v>0</v>
      </c>
      <c r="L815" s="24">
        <f>Weekly_Inspections!$AV815</f>
        <v>0</v>
      </c>
      <c r="M815" t="str">
        <f t="shared" si="36"/>
        <v>Open</v>
      </c>
      <c r="N815" s="24"/>
      <c r="O815">
        <f t="shared" ca="1" si="37"/>
        <v>46113</v>
      </c>
      <c r="P815" t="str">
        <f t="shared" ca="1" si="38"/>
        <v>YES</v>
      </c>
      <c r="Q815">
        <f>Weekly_Inspections!$AW815</f>
        <v>0</v>
      </c>
    </row>
    <row r="816" spans="1:17" ht="15" customHeight="1" x14ac:dyDescent="0.2">
      <c r="A816" t="str">
        <f>IF(Weekly_Inspections!$B816="","",Weekly_Inspections!$A816&amp;"-A1")</f>
        <v/>
      </c>
      <c r="B816" s="24">
        <f>Weekly_Inspections!$B816</f>
        <v>0</v>
      </c>
      <c r="C816">
        <f>Weekly_Inspections!$E816</f>
        <v>0</v>
      </c>
      <c r="D816">
        <f>Weekly_Inspections!$F816</f>
        <v>0</v>
      </c>
      <c r="E816" t="str">
        <f>Weekly_Inspections!$H816</f>
        <v/>
      </c>
      <c r="F816">
        <f>IF(Weekly_Inspections!$AX816&lt;&gt;"",Weekly_Inspections!$AX816,IF(Weekly_Inspections!$AY816&lt;&gt;"",Weekly_Inspections!$AY816,IF(Weekly_Inspections!$AZ816&lt;&gt;"",Weekly_Inspections!$AZ816,IF(Weekly_Inspections!$BA816&lt;&gt;"",Weekly_Inspections!$BA816,IF(Weekly_Inspections!$BB816&lt;&gt;"",Weekly_Inspections!$BB816,Weekly_Inspections!$R816)))))</f>
        <v>0</v>
      </c>
      <c r="G816" t="str">
        <f>IF(OR(Weekly_Inspections!$AQ816&lt;&gt;"",Weekly_Inspections!$AR816&lt;&gt;"",Weekly_Inspections!$AS816&lt;&gt;""),Weekly_Inspections!$AQ816,"")</f>
        <v/>
      </c>
      <c r="H816">
        <f>Weekly_Inspections!$AP816</f>
        <v>0</v>
      </c>
      <c r="I816">
        <f>Weekly_Inspections!$AR816</f>
        <v>0</v>
      </c>
      <c r="J816">
        <f>Weekly_Inspections!$AS816</f>
        <v>0</v>
      </c>
      <c r="K816">
        <f>Weekly_Inspections!$AU816</f>
        <v>0</v>
      </c>
      <c r="L816" s="24">
        <f>Weekly_Inspections!$AV816</f>
        <v>0</v>
      </c>
      <c r="M816" t="str">
        <f t="shared" si="36"/>
        <v>Open</v>
      </c>
      <c r="N816" s="24"/>
      <c r="O816">
        <f t="shared" ca="1" si="37"/>
        <v>46113</v>
      </c>
      <c r="P816" t="str">
        <f t="shared" ca="1" si="38"/>
        <v>YES</v>
      </c>
      <c r="Q816">
        <f>Weekly_Inspections!$AW816</f>
        <v>0</v>
      </c>
    </row>
    <row r="817" spans="1:17" ht="15" customHeight="1" x14ac:dyDescent="0.2">
      <c r="A817" t="str">
        <f>IF(Weekly_Inspections!$B817="","",Weekly_Inspections!$A817&amp;"-A1")</f>
        <v/>
      </c>
      <c r="B817" s="24">
        <f>Weekly_Inspections!$B817</f>
        <v>0</v>
      </c>
      <c r="C817">
        <f>Weekly_Inspections!$E817</f>
        <v>0</v>
      </c>
      <c r="D817">
        <f>Weekly_Inspections!$F817</f>
        <v>0</v>
      </c>
      <c r="E817" t="str">
        <f>Weekly_Inspections!$H817</f>
        <v/>
      </c>
      <c r="F817">
        <f>IF(Weekly_Inspections!$AX817&lt;&gt;"",Weekly_Inspections!$AX817,IF(Weekly_Inspections!$AY817&lt;&gt;"",Weekly_Inspections!$AY817,IF(Weekly_Inspections!$AZ817&lt;&gt;"",Weekly_Inspections!$AZ817,IF(Weekly_Inspections!$BA817&lt;&gt;"",Weekly_Inspections!$BA817,IF(Weekly_Inspections!$BB817&lt;&gt;"",Weekly_Inspections!$BB817,Weekly_Inspections!$R817)))))</f>
        <v>0</v>
      </c>
      <c r="G817" t="str">
        <f>IF(OR(Weekly_Inspections!$AQ817&lt;&gt;"",Weekly_Inspections!$AR817&lt;&gt;"",Weekly_Inspections!$AS817&lt;&gt;""),Weekly_Inspections!$AQ817,"")</f>
        <v/>
      </c>
      <c r="H817">
        <f>Weekly_Inspections!$AP817</f>
        <v>0</v>
      </c>
      <c r="I817">
        <f>Weekly_Inspections!$AR817</f>
        <v>0</v>
      </c>
      <c r="J817">
        <f>Weekly_Inspections!$AS817</f>
        <v>0</v>
      </c>
      <c r="K817">
        <f>Weekly_Inspections!$AU817</f>
        <v>0</v>
      </c>
      <c r="L817" s="24">
        <f>Weekly_Inspections!$AV817</f>
        <v>0</v>
      </c>
      <c r="M817" t="str">
        <f t="shared" si="36"/>
        <v>Open</v>
      </c>
      <c r="N817" s="24"/>
      <c r="O817">
        <f t="shared" ca="1" si="37"/>
        <v>46113</v>
      </c>
      <c r="P817" t="str">
        <f t="shared" ca="1" si="38"/>
        <v>YES</v>
      </c>
      <c r="Q817">
        <f>Weekly_Inspections!$AW817</f>
        <v>0</v>
      </c>
    </row>
    <row r="818" spans="1:17" ht="15" customHeight="1" x14ac:dyDescent="0.2">
      <c r="A818" t="str">
        <f>IF(Weekly_Inspections!$B818="","",Weekly_Inspections!$A818&amp;"-A1")</f>
        <v/>
      </c>
      <c r="B818" s="24">
        <f>Weekly_Inspections!$B818</f>
        <v>0</v>
      </c>
      <c r="C818">
        <f>Weekly_Inspections!$E818</f>
        <v>0</v>
      </c>
      <c r="D818">
        <f>Weekly_Inspections!$F818</f>
        <v>0</v>
      </c>
      <c r="E818" t="str">
        <f>Weekly_Inspections!$H818</f>
        <v/>
      </c>
      <c r="F818">
        <f>IF(Weekly_Inspections!$AX818&lt;&gt;"",Weekly_Inspections!$AX818,IF(Weekly_Inspections!$AY818&lt;&gt;"",Weekly_Inspections!$AY818,IF(Weekly_Inspections!$AZ818&lt;&gt;"",Weekly_Inspections!$AZ818,IF(Weekly_Inspections!$BA818&lt;&gt;"",Weekly_Inspections!$BA818,IF(Weekly_Inspections!$BB818&lt;&gt;"",Weekly_Inspections!$BB818,Weekly_Inspections!$R818)))))</f>
        <v>0</v>
      </c>
      <c r="G818" t="str">
        <f>IF(OR(Weekly_Inspections!$AQ818&lt;&gt;"",Weekly_Inspections!$AR818&lt;&gt;"",Weekly_Inspections!$AS818&lt;&gt;""),Weekly_Inspections!$AQ818,"")</f>
        <v/>
      </c>
      <c r="H818">
        <f>Weekly_Inspections!$AP818</f>
        <v>0</v>
      </c>
      <c r="I818">
        <f>Weekly_Inspections!$AR818</f>
        <v>0</v>
      </c>
      <c r="J818">
        <f>Weekly_Inspections!$AS818</f>
        <v>0</v>
      </c>
      <c r="K818">
        <f>Weekly_Inspections!$AU818</f>
        <v>0</v>
      </c>
      <c r="L818" s="24">
        <f>Weekly_Inspections!$AV818</f>
        <v>0</v>
      </c>
      <c r="M818" t="str">
        <f t="shared" si="36"/>
        <v>Open</v>
      </c>
      <c r="N818" s="24"/>
      <c r="O818">
        <f t="shared" ca="1" si="37"/>
        <v>46113</v>
      </c>
      <c r="P818" t="str">
        <f t="shared" ca="1" si="38"/>
        <v>YES</v>
      </c>
      <c r="Q818">
        <f>Weekly_Inspections!$AW818</f>
        <v>0</v>
      </c>
    </row>
    <row r="819" spans="1:17" ht="15" customHeight="1" x14ac:dyDescent="0.2">
      <c r="A819" t="str">
        <f>IF(Weekly_Inspections!$B819="","",Weekly_Inspections!$A819&amp;"-A1")</f>
        <v/>
      </c>
      <c r="B819" s="24">
        <f>Weekly_Inspections!$B819</f>
        <v>0</v>
      </c>
      <c r="C819">
        <f>Weekly_Inspections!$E819</f>
        <v>0</v>
      </c>
      <c r="D819">
        <f>Weekly_Inspections!$F819</f>
        <v>0</v>
      </c>
      <c r="E819" t="str">
        <f>Weekly_Inspections!$H819</f>
        <v/>
      </c>
      <c r="F819">
        <f>IF(Weekly_Inspections!$AX819&lt;&gt;"",Weekly_Inspections!$AX819,IF(Weekly_Inspections!$AY819&lt;&gt;"",Weekly_Inspections!$AY819,IF(Weekly_Inspections!$AZ819&lt;&gt;"",Weekly_Inspections!$AZ819,IF(Weekly_Inspections!$BA819&lt;&gt;"",Weekly_Inspections!$BA819,IF(Weekly_Inspections!$BB819&lt;&gt;"",Weekly_Inspections!$BB819,Weekly_Inspections!$R819)))))</f>
        <v>0</v>
      </c>
      <c r="G819" t="str">
        <f>IF(OR(Weekly_Inspections!$AQ819&lt;&gt;"",Weekly_Inspections!$AR819&lt;&gt;"",Weekly_Inspections!$AS819&lt;&gt;""),Weekly_Inspections!$AQ819,"")</f>
        <v/>
      </c>
      <c r="H819">
        <f>Weekly_Inspections!$AP819</f>
        <v>0</v>
      </c>
      <c r="I819">
        <f>Weekly_Inspections!$AR819</f>
        <v>0</v>
      </c>
      <c r="J819">
        <f>Weekly_Inspections!$AS819</f>
        <v>0</v>
      </c>
      <c r="K819">
        <f>Weekly_Inspections!$AU819</f>
        <v>0</v>
      </c>
      <c r="L819" s="24">
        <f>Weekly_Inspections!$AV819</f>
        <v>0</v>
      </c>
      <c r="M819" t="str">
        <f t="shared" si="36"/>
        <v>Open</v>
      </c>
      <c r="N819" s="24"/>
      <c r="O819">
        <f t="shared" ca="1" si="37"/>
        <v>46113</v>
      </c>
      <c r="P819" t="str">
        <f t="shared" ca="1" si="38"/>
        <v>YES</v>
      </c>
      <c r="Q819">
        <f>Weekly_Inspections!$AW819</f>
        <v>0</v>
      </c>
    </row>
    <row r="820" spans="1:17" ht="15" customHeight="1" x14ac:dyDescent="0.2">
      <c r="A820" t="str">
        <f>IF(Weekly_Inspections!$B820="","",Weekly_Inspections!$A820&amp;"-A1")</f>
        <v/>
      </c>
      <c r="B820" s="24">
        <f>Weekly_Inspections!$B820</f>
        <v>0</v>
      </c>
      <c r="C820">
        <f>Weekly_Inspections!$E820</f>
        <v>0</v>
      </c>
      <c r="D820">
        <f>Weekly_Inspections!$F820</f>
        <v>0</v>
      </c>
      <c r="E820" t="str">
        <f>Weekly_Inspections!$H820</f>
        <v/>
      </c>
      <c r="F820">
        <f>IF(Weekly_Inspections!$AX820&lt;&gt;"",Weekly_Inspections!$AX820,IF(Weekly_Inspections!$AY820&lt;&gt;"",Weekly_Inspections!$AY820,IF(Weekly_Inspections!$AZ820&lt;&gt;"",Weekly_Inspections!$AZ820,IF(Weekly_Inspections!$BA820&lt;&gt;"",Weekly_Inspections!$BA820,IF(Weekly_Inspections!$BB820&lt;&gt;"",Weekly_Inspections!$BB820,Weekly_Inspections!$R820)))))</f>
        <v>0</v>
      </c>
      <c r="G820" t="str">
        <f>IF(OR(Weekly_Inspections!$AQ820&lt;&gt;"",Weekly_Inspections!$AR820&lt;&gt;"",Weekly_Inspections!$AS820&lt;&gt;""),Weekly_Inspections!$AQ820,"")</f>
        <v/>
      </c>
      <c r="H820">
        <f>Weekly_Inspections!$AP820</f>
        <v>0</v>
      </c>
      <c r="I820">
        <f>Weekly_Inspections!$AR820</f>
        <v>0</v>
      </c>
      <c r="J820">
        <f>Weekly_Inspections!$AS820</f>
        <v>0</v>
      </c>
      <c r="K820">
        <f>Weekly_Inspections!$AU820</f>
        <v>0</v>
      </c>
      <c r="L820" s="24">
        <f>Weekly_Inspections!$AV820</f>
        <v>0</v>
      </c>
      <c r="M820" t="str">
        <f t="shared" si="36"/>
        <v>Open</v>
      </c>
      <c r="N820" s="24"/>
      <c r="O820">
        <f t="shared" ca="1" si="37"/>
        <v>46113</v>
      </c>
      <c r="P820" t="str">
        <f t="shared" ca="1" si="38"/>
        <v>YES</v>
      </c>
      <c r="Q820">
        <f>Weekly_Inspections!$AW820</f>
        <v>0</v>
      </c>
    </row>
    <row r="821" spans="1:17" ht="15" customHeight="1" x14ac:dyDescent="0.2">
      <c r="A821" t="str">
        <f>IF(Weekly_Inspections!$B821="","",Weekly_Inspections!$A821&amp;"-A1")</f>
        <v/>
      </c>
      <c r="B821" s="24">
        <f>Weekly_Inspections!$B821</f>
        <v>0</v>
      </c>
      <c r="C821">
        <f>Weekly_Inspections!$E821</f>
        <v>0</v>
      </c>
      <c r="D821">
        <f>Weekly_Inspections!$F821</f>
        <v>0</v>
      </c>
      <c r="E821" t="str">
        <f>Weekly_Inspections!$H821</f>
        <v/>
      </c>
      <c r="F821">
        <f>IF(Weekly_Inspections!$AX821&lt;&gt;"",Weekly_Inspections!$AX821,IF(Weekly_Inspections!$AY821&lt;&gt;"",Weekly_Inspections!$AY821,IF(Weekly_Inspections!$AZ821&lt;&gt;"",Weekly_Inspections!$AZ821,IF(Weekly_Inspections!$BA821&lt;&gt;"",Weekly_Inspections!$BA821,IF(Weekly_Inspections!$BB821&lt;&gt;"",Weekly_Inspections!$BB821,Weekly_Inspections!$R821)))))</f>
        <v>0</v>
      </c>
      <c r="G821" t="str">
        <f>IF(OR(Weekly_Inspections!$AQ821&lt;&gt;"",Weekly_Inspections!$AR821&lt;&gt;"",Weekly_Inspections!$AS821&lt;&gt;""),Weekly_Inspections!$AQ821,"")</f>
        <v/>
      </c>
      <c r="H821">
        <f>Weekly_Inspections!$AP821</f>
        <v>0</v>
      </c>
      <c r="I821">
        <f>Weekly_Inspections!$AR821</f>
        <v>0</v>
      </c>
      <c r="J821">
        <f>Weekly_Inspections!$AS821</f>
        <v>0</v>
      </c>
      <c r="K821">
        <f>Weekly_Inspections!$AU821</f>
        <v>0</v>
      </c>
      <c r="L821" s="24">
        <f>Weekly_Inspections!$AV821</f>
        <v>0</v>
      </c>
      <c r="M821" t="str">
        <f t="shared" si="36"/>
        <v>Open</v>
      </c>
      <c r="N821" s="24"/>
      <c r="O821">
        <f t="shared" ca="1" si="37"/>
        <v>46113</v>
      </c>
      <c r="P821" t="str">
        <f t="shared" ca="1" si="38"/>
        <v>YES</v>
      </c>
      <c r="Q821">
        <f>Weekly_Inspections!$AW821</f>
        <v>0</v>
      </c>
    </row>
    <row r="822" spans="1:17" ht="15" customHeight="1" x14ac:dyDescent="0.2">
      <c r="A822" t="str">
        <f>IF(Weekly_Inspections!$B822="","",Weekly_Inspections!$A822&amp;"-A1")</f>
        <v/>
      </c>
      <c r="B822" s="24">
        <f>Weekly_Inspections!$B822</f>
        <v>0</v>
      </c>
      <c r="C822">
        <f>Weekly_Inspections!$E822</f>
        <v>0</v>
      </c>
      <c r="D822">
        <f>Weekly_Inspections!$F822</f>
        <v>0</v>
      </c>
      <c r="E822" t="str">
        <f>Weekly_Inspections!$H822</f>
        <v/>
      </c>
      <c r="F822">
        <f>IF(Weekly_Inspections!$AX822&lt;&gt;"",Weekly_Inspections!$AX822,IF(Weekly_Inspections!$AY822&lt;&gt;"",Weekly_Inspections!$AY822,IF(Weekly_Inspections!$AZ822&lt;&gt;"",Weekly_Inspections!$AZ822,IF(Weekly_Inspections!$BA822&lt;&gt;"",Weekly_Inspections!$BA822,IF(Weekly_Inspections!$BB822&lt;&gt;"",Weekly_Inspections!$BB822,Weekly_Inspections!$R822)))))</f>
        <v>0</v>
      </c>
      <c r="G822" t="str">
        <f>IF(OR(Weekly_Inspections!$AQ822&lt;&gt;"",Weekly_Inspections!$AR822&lt;&gt;"",Weekly_Inspections!$AS822&lt;&gt;""),Weekly_Inspections!$AQ822,"")</f>
        <v/>
      </c>
      <c r="H822">
        <f>Weekly_Inspections!$AP822</f>
        <v>0</v>
      </c>
      <c r="I822">
        <f>Weekly_Inspections!$AR822</f>
        <v>0</v>
      </c>
      <c r="J822">
        <f>Weekly_Inspections!$AS822</f>
        <v>0</v>
      </c>
      <c r="K822">
        <f>Weekly_Inspections!$AU822</f>
        <v>0</v>
      </c>
      <c r="L822" s="24">
        <f>Weekly_Inspections!$AV822</f>
        <v>0</v>
      </c>
      <c r="M822" t="str">
        <f t="shared" si="36"/>
        <v>Open</v>
      </c>
      <c r="N822" s="24"/>
      <c r="O822">
        <f t="shared" ca="1" si="37"/>
        <v>46113</v>
      </c>
      <c r="P822" t="str">
        <f t="shared" ca="1" si="38"/>
        <v>YES</v>
      </c>
      <c r="Q822">
        <f>Weekly_Inspections!$AW822</f>
        <v>0</v>
      </c>
    </row>
    <row r="823" spans="1:17" ht="15" customHeight="1" x14ac:dyDescent="0.2">
      <c r="A823" t="str">
        <f>IF(Weekly_Inspections!$B823="","",Weekly_Inspections!$A823&amp;"-A1")</f>
        <v/>
      </c>
      <c r="B823" s="24">
        <f>Weekly_Inspections!$B823</f>
        <v>0</v>
      </c>
      <c r="C823">
        <f>Weekly_Inspections!$E823</f>
        <v>0</v>
      </c>
      <c r="D823">
        <f>Weekly_Inspections!$F823</f>
        <v>0</v>
      </c>
      <c r="E823" t="str">
        <f>Weekly_Inspections!$H823</f>
        <v/>
      </c>
      <c r="F823">
        <f>IF(Weekly_Inspections!$AX823&lt;&gt;"",Weekly_Inspections!$AX823,IF(Weekly_Inspections!$AY823&lt;&gt;"",Weekly_Inspections!$AY823,IF(Weekly_Inspections!$AZ823&lt;&gt;"",Weekly_Inspections!$AZ823,IF(Weekly_Inspections!$BA823&lt;&gt;"",Weekly_Inspections!$BA823,IF(Weekly_Inspections!$BB823&lt;&gt;"",Weekly_Inspections!$BB823,Weekly_Inspections!$R823)))))</f>
        <v>0</v>
      </c>
      <c r="G823" t="str">
        <f>IF(OR(Weekly_Inspections!$AQ823&lt;&gt;"",Weekly_Inspections!$AR823&lt;&gt;"",Weekly_Inspections!$AS823&lt;&gt;""),Weekly_Inspections!$AQ823,"")</f>
        <v/>
      </c>
      <c r="H823">
        <f>Weekly_Inspections!$AP823</f>
        <v>0</v>
      </c>
      <c r="I823">
        <f>Weekly_Inspections!$AR823</f>
        <v>0</v>
      </c>
      <c r="J823">
        <f>Weekly_Inspections!$AS823</f>
        <v>0</v>
      </c>
      <c r="K823">
        <f>Weekly_Inspections!$AU823</f>
        <v>0</v>
      </c>
      <c r="L823" s="24">
        <f>Weekly_Inspections!$AV823</f>
        <v>0</v>
      </c>
      <c r="M823" t="str">
        <f t="shared" si="36"/>
        <v>Open</v>
      </c>
      <c r="N823" s="24"/>
      <c r="O823">
        <f t="shared" ca="1" si="37"/>
        <v>46113</v>
      </c>
      <c r="P823" t="str">
        <f t="shared" ca="1" si="38"/>
        <v>YES</v>
      </c>
      <c r="Q823">
        <f>Weekly_Inspections!$AW823</f>
        <v>0</v>
      </c>
    </row>
    <row r="824" spans="1:17" ht="15" customHeight="1" x14ac:dyDescent="0.2">
      <c r="A824" t="str">
        <f>IF(Weekly_Inspections!$B824="","",Weekly_Inspections!$A824&amp;"-A1")</f>
        <v/>
      </c>
      <c r="B824" s="24">
        <f>Weekly_Inspections!$B824</f>
        <v>0</v>
      </c>
      <c r="C824">
        <f>Weekly_Inspections!$E824</f>
        <v>0</v>
      </c>
      <c r="D824">
        <f>Weekly_Inspections!$F824</f>
        <v>0</v>
      </c>
      <c r="E824" t="str">
        <f>Weekly_Inspections!$H824</f>
        <v/>
      </c>
      <c r="F824">
        <f>IF(Weekly_Inspections!$AX824&lt;&gt;"",Weekly_Inspections!$AX824,IF(Weekly_Inspections!$AY824&lt;&gt;"",Weekly_Inspections!$AY824,IF(Weekly_Inspections!$AZ824&lt;&gt;"",Weekly_Inspections!$AZ824,IF(Weekly_Inspections!$BA824&lt;&gt;"",Weekly_Inspections!$BA824,IF(Weekly_Inspections!$BB824&lt;&gt;"",Weekly_Inspections!$BB824,Weekly_Inspections!$R824)))))</f>
        <v>0</v>
      </c>
      <c r="G824" t="str">
        <f>IF(OR(Weekly_Inspections!$AQ824&lt;&gt;"",Weekly_Inspections!$AR824&lt;&gt;"",Weekly_Inspections!$AS824&lt;&gt;""),Weekly_Inspections!$AQ824,"")</f>
        <v/>
      </c>
      <c r="H824">
        <f>Weekly_Inspections!$AP824</f>
        <v>0</v>
      </c>
      <c r="I824">
        <f>Weekly_Inspections!$AR824</f>
        <v>0</v>
      </c>
      <c r="J824">
        <f>Weekly_Inspections!$AS824</f>
        <v>0</v>
      </c>
      <c r="K824">
        <f>Weekly_Inspections!$AU824</f>
        <v>0</v>
      </c>
      <c r="L824" s="24">
        <f>Weekly_Inspections!$AV824</f>
        <v>0</v>
      </c>
      <c r="M824" t="str">
        <f t="shared" si="36"/>
        <v>Open</v>
      </c>
      <c r="N824" s="24"/>
      <c r="O824">
        <f t="shared" ca="1" si="37"/>
        <v>46113</v>
      </c>
      <c r="P824" t="str">
        <f t="shared" ca="1" si="38"/>
        <v>YES</v>
      </c>
      <c r="Q824">
        <f>Weekly_Inspections!$AW824</f>
        <v>0</v>
      </c>
    </row>
    <row r="825" spans="1:17" ht="15" customHeight="1" x14ac:dyDescent="0.2">
      <c r="A825" t="str">
        <f>IF(Weekly_Inspections!$B825="","",Weekly_Inspections!$A825&amp;"-A1")</f>
        <v/>
      </c>
      <c r="B825" s="24">
        <f>Weekly_Inspections!$B825</f>
        <v>0</v>
      </c>
      <c r="C825">
        <f>Weekly_Inspections!$E825</f>
        <v>0</v>
      </c>
      <c r="D825">
        <f>Weekly_Inspections!$F825</f>
        <v>0</v>
      </c>
      <c r="E825" t="str">
        <f>Weekly_Inspections!$H825</f>
        <v/>
      </c>
      <c r="F825">
        <f>IF(Weekly_Inspections!$AX825&lt;&gt;"",Weekly_Inspections!$AX825,IF(Weekly_Inspections!$AY825&lt;&gt;"",Weekly_Inspections!$AY825,IF(Weekly_Inspections!$AZ825&lt;&gt;"",Weekly_Inspections!$AZ825,IF(Weekly_Inspections!$BA825&lt;&gt;"",Weekly_Inspections!$BA825,IF(Weekly_Inspections!$BB825&lt;&gt;"",Weekly_Inspections!$BB825,Weekly_Inspections!$R825)))))</f>
        <v>0</v>
      </c>
      <c r="G825" t="str">
        <f>IF(OR(Weekly_Inspections!$AQ825&lt;&gt;"",Weekly_Inspections!$AR825&lt;&gt;"",Weekly_Inspections!$AS825&lt;&gt;""),Weekly_Inspections!$AQ825,"")</f>
        <v/>
      </c>
      <c r="H825">
        <f>Weekly_Inspections!$AP825</f>
        <v>0</v>
      </c>
      <c r="I825">
        <f>Weekly_Inspections!$AR825</f>
        <v>0</v>
      </c>
      <c r="J825">
        <f>Weekly_Inspections!$AS825</f>
        <v>0</v>
      </c>
      <c r="K825">
        <f>Weekly_Inspections!$AU825</f>
        <v>0</v>
      </c>
      <c r="L825" s="24">
        <f>Weekly_Inspections!$AV825</f>
        <v>0</v>
      </c>
      <c r="M825" t="str">
        <f t="shared" si="36"/>
        <v>Open</v>
      </c>
      <c r="N825" s="24"/>
      <c r="O825">
        <f t="shared" ca="1" si="37"/>
        <v>46113</v>
      </c>
      <c r="P825" t="str">
        <f t="shared" ca="1" si="38"/>
        <v>YES</v>
      </c>
      <c r="Q825">
        <f>Weekly_Inspections!$AW825</f>
        <v>0</v>
      </c>
    </row>
    <row r="826" spans="1:17" ht="15" customHeight="1" x14ac:dyDescent="0.2">
      <c r="A826" t="str">
        <f>IF(Weekly_Inspections!$B826="","",Weekly_Inspections!$A826&amp;"-A1")</f>
        <v/>
      </c>
      <c r="B826" s="24">
        <f>Weekly_Inspections!$B826</f>
        <v>0</v>
      </c>
      <c r="C826">
        <f>Weekly_Inspections!$E826</f>
        <v>0</v>
      </c>
      <c r="D826">
        <f>Weekly_Inspections!$F826</f>
        <v>0</v>
      </c>
      <c r="E826" t="str">
        <f>Weekly_Inspections!$H826</f>
        <v/>
      </c>
      <c r="F826">
        <f>IF(Weekly_Inspections!$AX826&lt;&gt;"",Weekly_Inspections!$AX826,IF(Weekly_Inspections!$AY826&lt;&gt;"",Weekly_Inspections!$AY826,IF(Weekly_Inspections!$AZ826&lt;&gt;"",Weekly_Inspections!$AZ826,IF(Weekly_Inspections!$BA826&lt;&gt;"",Weekly_Inspections!$BA826,IF(Weekly_Inspections!$BB826&lt;&gt;"",Weekly_Inspections!$BB826,Weekly_Inspections!$R826)))))</f>
        <v>0</v>
      </c>
      <c r="G826" t="str">
        <f>IF(OR(Weekly_Inspections!$AQ826&lt;&gt;"",Weekly_Inspections!$AR826&lt;&gt;"",Weekly_Inspections!$AS826&lt;&gt;""),Weekly_Inspections!$AQ826,"")</f>
        <v/>
      </c>
      <c r="H826">
        <f>Weekly_Inspections!$AP826</f>
        <v>0</v>
      </c>
      <c r="I826">
        <f>Weekly_Inspections!$AR826</f>
        <v>0</v>
      </c>
      <c r="J826">
        <f>Weekly_Inspections!$AS826</f>
        <v>0</v>
      </c>
      <c r="K826">
        <f>Weekly_Inspections!$AU826</f>
        <v>0</v>
      </c>
      <c r="L826" s="24">
        <f>Weekly_Inspections!$AV826</f>
        <v>0</v>
      </c>
      <c r="M826" t="str">
        <f t="shared" si="36"/>
        <v>Open</v>
      </c>
      <c r="N826" s="24"/>
      <c r="O826">
        <f t="shared" ca="1" si="37"/>
        <v>46113</v>
      </c>
      <c r="P826" t="str">
        <f t="shared" ca="1" si="38"/>
        <v>YES</v>
      </c>
      <c r="Q826">
        <f>Weekly_Inspections!$AW826</f>
        <v>0</v>
      </c>
    </row>
    <row r="827" spans="1:17" ht="15" customHeight="1" x14ac:dyDescent="0.2">
      <c r="A827" t="str">
        <f>IF(Weekly_Inspections!$B827="","",Weekly_Inspections!$A827&amp;"-A1")</f>
        <v/>
      </c>
      <c r="B827" s="24">
        <f>Weekly_Inspections!$B827</f>
        <v>0</v>
      </c>
      <c r="C827">
        <f>Weekly_Inspections!$E827</f>
        <v>0</v>
      </c>
      <c r="D827">
        <f>Weekly_Inspections!$F827</f>
        <v>0</v>
      </c>
      <c r="E827" t="str">
        <f>Weekly_Inspections!$H827</f>
        <v/>
      </c>
      <c r="F827">
        <f>IF(Weekly_Inspections!$AX827&lt;&gt;"",Weekly_Inspections!$AX827,IF(Weekly_Inspections!$AY827&lt;&gt;"",Weekly_Inspections!$AY827,IF(Weekly_Inspections!$AZ827&lt;&gt;"",Weekly_Inspections!$AZ827,IF(Weekly_Inspections!$BA827&lt;&gt;"",Weekly_Inspections!$BA827,IF(Weekly_Inspections!$BB827&lt;&gt;"",Weekly_Inspections!$BB827,Weekly_Inspections!$R827)))))</f>
        <v>0</v>
      </c>
      <c r="G827" t="str">
        <f>IF(OR(Weekly_Inspections!$AQ827&lt;&gt;"",Weekly_Inspections!$AR827&lt;&gt;"",Weekly_Inspections!$AS827&lt;&gt;""),Weekly_Inspections!$AQ827,"")</f>
        <v/>
      </c>
      <c r="H827">
        <f>Weekly_Inspections!$AP827</f>
        <v>0</v>
      </c>
      <c r="I827">
        <f>Weekly_Inspections!$AR827</f>
        <v>0</v>
      </c>
      <c r="J827">
        <f>Weekly_Inspections!$AS827</f>
        <v>0</v>
      </c>
      <c r="K827">
        <f>Weekly_Inspections!$AU827</f>
        <v>0</v>
      </c>
      <c r="L827" s="24">
        <f>Weekly_Inspections!$AV827</f>
        <v>0</v>
      </c>
      <c r="M827" t="str">
        <f t="shared" si="36"/>
        <v>Open</v>
      </c>
      <c r="N827" s="24"/>
      <c r="O827">
        <f t="shared" ca="1" si="37"/>
        <v>46113</v>
      </c>
      <c r="P827" t="str">
        <f t="shared" ca="1" si="38"/>
        <v>YES</v>
      </c>
      <c r="Q827">
        <f>Weekly_Inspections!$AW827</f>
        <v>0</v>
      </c>
    </row>
    <row r="828" spans="1:17" ht="15" customHeight="1" x14ac:dyDescent="0.2">
      <c r="A828" t="str">
        <f>IF(Weekly_Inspections!$B828="","",Weekly_Inspections!$A828&amp;"-A1")</f>
        <v/>
      </c>
      <c r="B828" s="24">
        <f>Weekly_Inspections!$B828</f>
        <v>0</v>
      </c>
      <c r="C828">
        <f>Weekly_Inspections!$E828</f>
        <v>0</v>
      </c>
      <c r="D828">
        <f>Weekly_Inspections!$F828</f>
        <v>0</v>
      </c>
      <c r="E828" t="str">
        <f>Weekly_Inspections!$H828</f>
        <v/>
      </c>
      <c r="F828">
        <f>IF(Weekly_Inspections!$AX828&lt;&gt;"",Weekly_Inspections!$AX828,IF(Weekly_Inspections!$AY828&lt;&gt;"",Weekly_Inspections!$AY828,IF(Weekly_Inspections!$AZ828&lt;&gt;"",Weekly_Inspections!$AZ828,IF(Weekly_Inspections!$BA828&lt;&gt;"",Weekly_Inspections!$BA828,IF(Weekly_Inspections!$BB828&lt;&gt;"",Weekly_Inspections!$BB828,Weekly_Inspections!$R828)))))</f>
        <v>0</v>
      </c>
      <c r="G828" t="str">
        <f>IF(OR(Weekly_Inspections!$AQ828&lt;&gt;"",Weekly_Inspections!$AR828&lt;&gt;"",Weekly_Inspections!$AS828&lt;&gt;""),Weekly_Inspections!$AQ828,"")</f>
        <v/>
      </c>
      <c r="H828">
        <f>Weekly_Inspections!$AP828</f>
        <v>0</v>
      </c>
      <c r="I828">
        <f>Weekly_Inspections!$AR828</f>
        <v>0</v>
      </c>
      <c r="J828">
        <f>Weekly_Inspections!$AS828</f>
        <v>0</v>
      </c>
      <c r="K828">
        <f>Weekly_Inspections!$AU828</f>
        <v>0</v>
      </c>
      <c r="L828" s="24">
        <f>Weekly_Inspections!$AV828</f>
        <v>0</v>
      </c>
      <c r="M828" t="str">
        <f t="shared" si="36"/>
        <v>Open</v>
      </c>
      <c r="N828" s="24"/>
      <c r="O828">
        <f t="shared" ca="1" si="37"/>
        <v>46113</v>
      </c>
      <c r="P828" t="str">
        <f t="shared" ca="1" si="38"/>
        <v>YES</v>
      </c>
      <c r="Q828">
        <f>Weekly_Inspections!$AW828</f>
        <v>0</v>
      </c>
    </row>
    <row r="829" spans="1:17" ht="15" customHeight="1" x14ac:dyDescent="0.2">
      <c r="A829" t="str">
        <f>IF(Weekly_Inspections!$B829="","",Weekly_Inspections!$A829&amp;"-A1")</f>
        <v/>
      </c>
      <c r="B829" s="24">
        <f>Weekly_Inspections!$B829</f>
        <v>0</v>
      </c>
      <c r="C829">
        <f>Weekly_Inspections!$E829</f>
        <v>0</v>
      </c>
      <c r="D829">
        <f>Weekly_Inspections!$F829</f>
        <v>0</v>
      </c>
      <c r="E829" t="str">
        <f>Weekly_Inspections!$H829</f>
        <v/>
      </c>
      <c r="F829">
        <f>IF(Weekly_Inspections!$AX829&lt;&gt;"",Weekly_Inspections!$AX829,IF(Weekly_Inspections!$AY829&lt;&gt;"",Weekly_Inspections!$AY829,IF(Weekly_Inspections!$AZ829&lt;&gt;"",Weekly_Inspections!$AZ829,IF(Weekly_Inspections!$BA829&lt;&gt;"",Weekly_Inspections!$BA829,IF(Weekly_Inspections!$BB829&lt;&gt;"",Weekly_Inspections!$BB829,Weekly_Inspections!$R829)))))</f>
        <v>0</v>
      </c>
      <c r="G829" t="str">
        <f>IF(OR(Weekly_Inspections!$AQ829&lt;&gt;"",Weekly_Inspections!$AR829&lt;&gt;"",Weekly_Inspections!$AS829&lt;&gt;""),Weekly_Inspections!$AQ829,"")</f>
        <v/>
      </c>
      <c r="H829">
        <f>Weekly_Inspections!$AP829</f>
        <v>0</v>
      </c>
      <c r="I829">
        <f>Weekly_Inspections!$AR829</f>
        <v>0</v>
      </c>
      <c r="J829">
        <f>Weekly_Inspections!$AS829</f>
        <v>0</v>
      </c>
      <c r="K829">
        <f>Weekly_Inspections!$AU829</f>
        <v>0</v>
      </c>
      <c r="L829" s="24">
        <f>Weekly_Inspections!$AV829</f>
        <v>0</v>
      </c>
      <c r="M829" t="str">
        <f t="shared" si="36"/>
        <v>Open</v>
      </c>
      <c r="N829" s="24"/>
      <c r="O829">
        <f t="shared" ca="1" si="37"/>
        <v>46113</v>
      </c>
      <c r="P829" t="str">
        <f t="shared" ca="1" si="38"/>
        <v>YES</v>
      </c>
      <c r="Q829">
        <f>Weekly_Inspections!$AW829</f>
        <v>0</v>
      </c>
    </row>
    <row r="830" spans="1:17" ht="15" customHeight="1" x14ac:dyDescent="0.2">
      <c r="A830" t="str">
        <f>IF(Weekly_Inspections!$B830="","",Weekly_Inspections!$A830&amp;"-A1")</f>
        <v/>
      </c>
      <c r="B830" s="24">
        <f>Weekly_Inspections!$B830</f>
        <v>0</v>
      </c>
      <c r="C830">
        <f>Weekly_Inspections!$E830</f>
        <v>0</v>
      </c>
      <c r="D830">
        <f>Weekly_Inspections!$F830</f>
        <v>0</v>
      </c>
      <c r="E830" t="str">
        <f>Weekly_Inspections!$H830</f>
        <v/>
      </c>
      <c r="F830">
        <f>IF(Weekly_Inspections!$AX830&lt;&gt;"",Weekly_Inspections!$AX830,IF(Weekly_Inspections!$AY830&lt;&gt;"",Weekly_Inspections!$AY830,IF(Weekly_Inspections!$AZ830&lt;&gt;"",Weekly_Inspections!$AZ830,IF(Weekly_Inspections!$BA830&lt;&gt;"",Weekly_Inspections!$BA830,IF(Weekly_Inspections!$BB830&lt;&gt;"",Weekly_Inspections!$BB830,Weekly_Inspections!$R830)))))</f>
        <v>0</v>
      </c>
      <c r="G830" t="str">
        <f>IF(OR(Weekly_Inspections!$AQ830&lt;&gt;"",Weekly_Inspections!$AR830&lt;&gt;"",Weekly_Inspections!$AS830&lt;&gt;""),Weekly_Inspections!$AQ830,"")</f>
        <v/>
      </c>
      <c r="H830">
        <f>Weekly_Inspections!$AP830</f>
        <v>0</v>
      </c>
      <c r="I830">
        <f>Weekly_Inspections!$AR830</f>
        <v>0</v>
      </c>
      <c r="J830">
        <f>Weekly_Inspections!$AS830</f>
        <v>0</v>
      </c>
      <c r="K830">
        <f>Weekly_Inspections!$AU830</f>
        <v>0</v>
      </c>
      <c r="L830" s="24">
        <f>Weekly_Inspections!$AV830</f>
        <v>0</v>
      </c>
      <c r="M830" t="str">
        <f t="shared" si="36"/>
        <v>Open</v>
      </c>
      <c r="N830" s="24"/>
      <c r="O830">
        <f t="shared" ca="1" si="37"/>
        <v>46113</v>
      </c>
      <c r="P830" t="str">
        <f t="shared" ca="1" si="38"/>
        <v>YES</v>
      </c>
      <c r="Q830">
        <f>Weekly_Inspections!$AW830</f>
        <v>0</v>
      </c>
    </row>
    <row r="831" spans="1:17" ht="15" customHeight="1" x14ac:dyDescent="0.2">
      <c r="A831" t="str">
        <f>IF(Weekly_Inspections!$B831="","",Weekly_Inspections!$A831&amp;"-A1")</f>
        <v/>
      </c>
      <c r="B831" s="24">
        <f>Weekly_Inspections!$B831</f>
        <v>0</v>
      </c>
      <c r="C831">
        <f>Weekly_Inspections!$E831</f>
        <v>0</v>
      </c>
      <c r="D831">
        <f>Weekly_Inspections!$F831</f>
        <v>0</v>
      </c>
      <c r="E831" t="str">
        <f>Weekly_Inspections!$H831</f>
        <v/>
      </c>
      <c r="F831">
        <f>IF(Weekly_Inspections!$AX831&lt;&gt;"",Weekly_Inspections!$AX831,IF(Weekly_Inspections!$AY831&lt;&gt;"",Weekly_Inspections!$AY831,IF(Weekly_Inspections!$AZ831&lt;&gt;"",Weekly_Inspections!$AZ831,IF(Weekly_Inspections!$BA831&lt;&gt;"",Weekly_Inspections!$BA831,IF(Weekly_Inspections!$BB831&lt;&gt;"",Weekly_Inspections!$BB831,Weekly_Inspections!$R831)))))</f>
        <v>0</v>
      </c>
      <c r="G831" t="str">
        <f>IF(OR(Weekly_Inspections!$AQ831&lt;&gt;"",Weekly_Inspections!$AR831&lt;&gt;"",Weekly_Inspections!$AS831&lt;&gt;""),Weekly_Inspections!$AQ831,"")</f>
        <v/>
      </c>
      <c r="H831">
        <f>Weekly_Inspections!$AP831</f>
        <v>0</v>
      </c>
      <c r="I831">
        <f>Weekly_Inspections!$AR831</f>
        <v>0</v>
      </c>
      <c r="J831">
        <f>Weekly_Inspections!$AS831</f>
        <v>0</v>
      </c>
      <c r="K831">
        <f>Weekly_Inspections!$AU831</f>
        <v>0</v>
      </c>
      <c r="L831" s="24">
        <f>Weekly_Inspections!$AV831</f>
        <v>0</v>
      </c>
      <c r="M831" t="str">
        <f t="shared" si="36"/>
        <v>Open</v>
      </c>
      <c r="N831" s="24"/>
      <c r="O831">
        <f t="shared" ca="1" si="37"/>
        <v>46113</v>
      </c>
      <c r="P831" t="str">
        <f t="shared" ca="1" si="38"/>
        <v>YES</v>
      </c>
      <c r="Q831">
        <f>Weekly_Inspections!$AW831</f>
        <v>0</v>
      </c>
    </row>
    <row r="832" spans="1:17" ht="15" customHeight="1" x14ac:dyDescent="0.2">
      <c r="A832" t="str">
        <f>IF(Weekly_Inspections!$B832="","",Weekly_Inspections!$A832&amp;"-A1")</f>
        <v/>
      </c>
      <c r="B832" s="24">
        <f>Weekly_Inspections!$B832</f>
        <v>0</v>
      </c>
      <c r="C832">
        <f>Weekly_Inspections!$E832</f>
        <v>0</v>
      </c>
      <c r="D832">
        <f>Weekly_Inspections!$F832</f>
        <v>0</v>
      </c>
      <c r="E832" t="str">
        <f>Weekly_Inspections!$H832</f>
        <v/>
      </c>
      <c r="F832">
        <f>IF(Weekly_Inspections!$AX832&lt;&gt;"",Weekly_Inspections!$AX832,IF(Weekly_Inspections!$AY832&lt;&gt;"",Weekly_Inspections!$AY832,IF(Weekly_Inspections!$AZ832&lt;&gt;"",Weekly_Inspections!$AZ832,IF(Weekly_Inspections!$BA832&lt;&gt;"",Weekly_Inspections!$BA832,IF(Weekly_Inspections!$BB832&lt;&gt;"",Weekly_Inspections!$BB832,Weekly_Inspections!$R832)))))</f>
        <v>0</v>
      </c>
      <c r="G832" t="str">
        <f>IF(OR(Weekly_Inspections!$AQ832&lt;&gt;"",Weekly_Inspections!$AR832&lt;&gt;"",Weekly_Inspections!$AS832&lt;&gt;""),Weekly_Inspections!$AQ832,"")</f>
        <v/>
      </c>
      <c r="H832">
        <f>Weekly_Inspections!$AP832</f>
        <v>0</v>
      </c>
      <c r="I832">
        <f>Weekly_Inspections!$AR832</f>
        <v>0</v>
      </c>
      <c r="J832">
        <f>Weekly_Inspections!$AS832</f>
        <v>0</v>
      </c>
      <c r="K832">
        <f>Weekly_Inspections!$AU832</f>
        <v>0</v>
      </c>
      <c r="L832" s="24">
        <f>Weekly_Inspections!$AV832</f>
        <v>0</v>
      </c>
      <c r="M832" t="str">
        <f t="shared" ref="M832:M895" si="39">IF($B832="","",IF($N832&lt;&gt;"","Closed",IF(OR($G832&lt;&gt;"",$I832&lt;&gt;"",$J832&lt;&gt;""),"Open","")))</f>
        <v>Open</v>
      </c>
      <c r="N832" s="24"/>
      <c r="O832">
        <f t="shared" ref="O832:O895" ca="1" si="40">IF($B832="","",IF($M832="Closed",IF($N832="","",$N832-$B832),TODAY()-$B832))</f>
        <v>46113</v>
      </c>
      <c r="P832" t="str">
        <f t="shared" ref="P832:P895" ca="1" si="41">IF(OR($B832="",$L832="",$M832="Closed"),"",IF(TODAY()&gt;$L832,"YES","NO"))</f>
        <v>YES</v>
      </c>
      <c r="Q832">
        <f>Weekly_Inspections!$AW832</f>
        <v>0</v>
      </c>
    </row>
    <row r="833" spans="1:17" ht="15" customHeight="1" x14ac:dyDescent="0.2">
      <c r="A833" t="str">
        <f>IF(Weekly_Inspections!$B833="","",Weekly_Inspections!$A833&amp;"-A1")</f>
        <v/>
      </c>
      <c r="B833" s="24">
        <f>Weekly_Inspections!$B833</f>
        <v>0</v>
      </c>
      <c r="C833">
        <f>Weekly_Inspections!$E833</f>
        <v>0</v>
      </c>
      <c r="D833">
        <f>Weekly_Inspections!$F833</f>
        <v>0</v>
      </c>
      <c r="E833" t="str">
        <f>Weekly_Inspections!$H833</f>
        <v/>
      </c>
      <c r="F833">
        <f>IF(Weekly_Inspections!$AX833&lt;&gt;"",Weekly_Inspections!$AX833,IF(Weekly_Inspections!$AY833&lt;&gt;"",Weekly_Inspections!$AY833,IF(Weekly_Inspections!$AZ833&lt;&gt;"",Weekly_Inspections!$AZ833,IF(Weekly_Inspections!$BA833&lt;&gt;"",Weekly_Inspections!$BA833,IF(Weekly_Inspections!$BB833&lt;&gt;"",Weekly_Inspections!$BB833,Weekly_Inspections!$R833)))))</f>
        <v>0</v>
      </c>
      <c r="G833" t="str">
        <f>IF(OR(Weekly_Inspections!$AQ833&lt;&gt;"",Weekly_Inspections!$AR833&lt;&gt;"",Weekly_Inspections!$AS833&lt;&gt;""),Weekly_Inspections!$AQ833,"")</f>
        <v/>
      </c>
      <c r="H833">
        <f>Weekly_Inspections!$AP833</f>
        <v>0</v>
      </c>
      <c r="I833">
        <f>Weekly_Inspections!$AR833</f>
        <v>0</v>
      </c>
      <c r="J833">
        <f>Weekly_Inspections!$AS833</f>
        <v>0</v>
      </c>
      <c r="K833">
        <f>Weekly_Inspections!$AU833</f>
        <v>0</v>
      </c>
      <c r="L833" s="24">
        <f>Weekly_Inspections!$AV833</f>
        <v>0</v>
      </c>
      <c r="M833" t="str">
        <f t="shared" si="39"/>
        <v>Open</v>
      </c>
      <c r="N833" s="24"/>
      <c r="O833">
        <f t="shared" ca="1" si="40"/>
        <v>46113</v>
      </c>
      <c r="P833" t="str">
        <f t="shared" ca="1" si="41"/>
        <v>YES</v>
      </c>
      <c r="Q833">
        <f>Weekly_Inspections!$AW833</f>
        <v>0</v>
      </c>
    </row>
    <row r="834" spans="1:17" ht="15" customHeight="1" x14ac:dyDescent="0.2">
      <c r="A834" t="str">
        <f>IF(Weekly_Inspections!$B834="","",Weekly_Inspections!$A834&amp;"-A1")</f>
        <v/>
      </c>
      <c r="B834" s="24">
        <f>Weekly_Inspections!$B834</f>
        <v>0</v>
      </c>
      <c r="C834">
        <f>Weekly_Inspections!$E834</f>
        <v>0</v>
      </c>
      <c r="D834">
        <f>Weekly_Inspections!$F834</f>
        <v>0</v>
      </c>
      <c r="E834" t="str">
        <f>Weekly_Inspections!$H834</f>
        <v/>
      </c>
      <c r="F834">
        <f>IF(Weekly_Inspections!$AX834&lt;&gt;"",Weekly_Inspections!$AX834,IF(Weekly_Inspections!$AY834&lt;&gt;"",Weekly_Inspections!$AY834,IF(Weekly_Inspections!$AZ834&lt;&gt;"",Weekly_Inspections!$AZ834,IF(Weekly_Inspections!$BA834&lt;&gt;"",Weekly_Inspections!$BA834,IF(Weekly_Inspections!$BB834&lt;&gt;"",Weekly_Inspections!$BB834,Weekly_Inspections!$R834)))))</f>
        <v>0</v>
      </c>
      <c r="G834" t="str">
        <f>IF(OR(Weekly_Inspections!$AQ834&lt;&gt;"",Weekly_Inspections!$AR834&lt;&gt;"",Weekly_Inspections!$AS834&lt;&gt;""),Weekly_Inspections!$AQ834,"")</f>
        <v/>
      </c>
      <c r="H834">
        <f>Weekly_Inspections!$AP834</f>
        <v>0</v>
      </c>
      <c r="I834">
        <f>Weekly_Inspections!$AR834</f>
        <v>0</v>
      </c>
      <c r="J834">
        <f>Weekly_Inspections!$AS834</f>
        <v>0</v>
      </c>
      <c r="K834">
        <f>Weekly_Inspections!$AU834</f>
        <v>0</v>
      </c>
      <c r="L834" s="24">
        <f>Weekly_Inspections!$AV834</f>
        <v>0</v>
      </c>
      <c r="M834" t="str">
        <f t="shared" si="39"/>
        <v>Open</v>
      </c>
      <c r="N834" s="24"/>
      <c r="O834">
        <f t="shared" ca="1" si="40"/>
        <v>46113</v>
      </c>
      <c r="P834" t="str">
        <f t="shared" ca="1" si="41"/>
        <v>YES</v>
      </c>
      <c r="Q834">
        <f>Weekly_Inspections!$AW834</f>
        <v>0</v>
      </c>
    </row>
    <row r="835" spans="1:17" ht="15" customHeight="1" x14ac:dyDescent="0.2">
      <c r="A835" t="str">
        <f>IF(Weekly_Inspections!$B835="","",Weekly_Inspections!$A835&amp;"-A1")</f>
        <v/>
      </c>
      <c r="B835" s="24">
        <f>Weekly_Inspections!$B835</f>
        <v>0</v>
      </c>
      <c r="C835">
        <f>Weekly_Inspections!$E835</f>
        <v>0</v>
      </c>
      <c r="D835">
        <f>Weekly_Inspections!$F835</f>
        <v>0</v>
      </c>
      <c r="E835" t="str">
        <f>Weekly_Inspections!$H835</f>
        <v/>
      </c>
      <c r="F835">
        <f>IF(Weekly_Inspections!$AX835&lt;&gt;"",Weekly_Inspections!$AX835,IF(Weekly_Inspections!$AY835&lt;&gt;"",Weekly_Inspections!$AY835,IF(Weekly_Inspections!$AZ835&lt;&gt;"",Weekly_Inspections!$AZ835,IF(Weekly_Inspections!$BA835&lt;&gt;"",Weekly_Inspections!$BA835,IF(Weekly_Inspections!$BB835&lt;&gt;"",Weekly_Inspections!$BB835,Weekly_Inspections!$R835)))))</f>
        <v>0</v>
      </c>
      <c r="G835" t="str">
        <f>IF(OR(Weekly_Inspections!$AQ835&lt;&gt;"",Weekly_Inspections!$AR835&lt;&gt;"",Weekly_Inspections!$AS835&lt;&gt;""),Weekly_Inspections!$AQ835,"")</f>
        <v/>
      </c>
      <c r="H835">
        <f>Weekly_Inspections!$AP835</f>
        <v>0</v>
      </c>
      <c r="I835">
        <f>Weekly_Inspections!$AR835</f>
        <v>0</v>
      </c>
      <c r="J835">
        <f>Weekly_Inspections!$AS835</f>
        <v>0</v>
      </c>
      <c r="K835">
        <f>Weekly_Inspections!$AU835</f>
        <v>0</v>
      </c>
      <c r="L835" s="24">
        <f>Weekly_Inspections!$AV835</f>
        <v>0</v>
      </c>
      <c r="M835" t="str">
        <f t="shared" si="39"/>
        <v>Open</v>
      </c>
      <c r="N835" s="24"/>
      <c r="O835">
        <f t="shared" ca="1" si="40"/>
        <v>46113</v>
      </c>
      <c r="P835" t="str">
        <f t="shared" ca="1" si="41"/>
        <v>YES</v>
      </c>
      <c r="Q835">
        <f>Weekly_Inspections!$AW835</f>
        <v>0</v>
      </c>
    </row>
    <row r="836" spans="1:17" ht="15" customHeight="1" x14ac:dyDescent="0.2">
      <c r="A836" t="str">
        <f>IF(Weekly_Inspections!$B836="","",Weekly_Inspections!$A836&amp;"-A1")</f>
        <v/>
      </c>
      <c r="B836" s="24">
        <f>Weekly_Inspections!$B836</f>
        <v>0</v>
      </c>
      <c r="C836">
        <f>Weekly_Inspections!$E836</f>
        <v>0</v>
      </c>
      <c r="D836">
        <f>Weekly_Inspections!$F836</f>
        <v>0</v>
      </c>
      <c r="E836" t="str">
        <f>Weekly_Inspections!$H836</f>
        <v/>
      </c>
      <c r="F836">
        <f>IF(Weekly_Inspections!$AX836&lt;&gt;"",Weekly_Inspections!$AX836,IF(Weekly_Inspections!$AY836&lt;&gt;"",Weekly_Inspections!$AY836,IF(Weekly_Inspections!$AZ836&lt;&gt;"",Weekly_Inspections!$AZ836,IF(Weekly_Inspections!$BA836&lt;&gt;"",Weekly_Inspections!$BA836,IF(Weekly_Inspections!$BB836&lt;&gt;"",Weekly_Inspections!$BB836,Weekly_Inspections!$R836)))))</f>
        <v>0</v>
      </c>
      <c r="G836" t="str">
        <f>IF(OR(Weekly_Inspections!$AQ836&lt;&gt;"",Weekly_Inspections!$AR836&lt;&gt;"",Weekly_Inspections!$AS836&lt;&gt;""),Weekly_Inspections!$AQ836,"")</f>
        <v/>
      </c>
      <c r="H836">
        <f>Weekly_Inspections!$AP836</f>
        <v>0</v>
      </c>
      <c r="I836">
        <f>Weekly_Inspections!$AR836</f>
        <v>0</v>
      </c>
      <c r="J836">
        <f>Weekly_Inspections!$AS836</f>
        <v>0</v>
      </c>
      <c r="K836">
        <f>Weekly_Inspections!$AU836</f>
        <v>0</v>
      </c>
      <c r="L836" s="24">
        <f>Weekly_Inspections!$AV836</f>
        <v>0</v>
      </c>
      <c r="M836" t="str">
        <f t="shared" si="39"/>
        <v>Open</v>
      </c>
      <c r="N836" s="24"/>
      <c r="O836">
        <f t="shared" ca="1" si="40"/>
        <v>46113</v>
      </c>
      <c r="P836" t="str">
        <f t="shared" ca="1" si="41"/>
        <v>YES</v>
      </c>
      <c r="Q836">
        <f>Weekly_Inspections!$AW836</f>
        <v>0</v>
      </c>
    </row>
    <row r="837" spans="1:17" ht="15" customHeight="1" x14ac:dyDescent="0.2">
      <c r="A837" t="str">
        <f>IF(Weekly_Inspections!$B837="","",Weekly_Inspections!$A837&amp;"-A1")</f>
        <v/>
      </c>
      <c r="B837" s="24">
        <f>Weekly_Inspections!$B837</f>
        <v>0</v>
      </c>
      <c r="C837">
        <f>Weekly_Inspections!$E837</f>
        <v>0</v>
      </c>
      <c r="D837">
        <f>Weekly_Inspections!$F837</f>
        <v>0</v>
      </c>
      <c r="E837" t="str">
        <f>Weekly_Inspections!$H837</f>
        <v/>
      </c>
      <c r="F837">
        <f>IF(Weekly_Inspections!$AX837&lt;&gt;"",Weekly_Inspections!$AX837,IF(Weekly_Inspections!$AY837&lt;&gt;"",Weekly_Inspections!$AY837,IF(Weekly_Inspections!$AZ837&lt;&gt;"",Weekly_Inspections!$AZ837,IF(Weekly_Inspections!$BA837&lt;&gt;"",Weekly_Inspections!$BA837,IF(Weekly_Inspections!$BB837&lt;&gt;"",Weekly_Inspections!$BB837,Weekly_Inspections!$R837)))))</f>
        <v>0</v>
      </c>
      <c r="G837" t="str">
        <f>IF(OR(Weekly_Inspections!$AQ837&lt;&gt;"",Weekly_Inspections!$AR837&lt;&gt;"",Weekly_Inspections!$AS837&lt;&gt;""),Weekly_Inspections!$AQ837,"")</f>
        <v/>
      </c>
      <c r="H837">
        <f>Weekly_Inspections!$AP837</f>
        <v>0</v>
      </c>
      <c r="I837">
        <f>Weekly_Inspections!$AR837</f>
        <v>0</v>
      </c>
      <c r="J837">
        <f>Weekly_Inspections!$AS837</f>
        <v>0</v>
      </c>
      <c r="K837">
        <f>Weekly_Inspections!$AU837</f>
        <v>0</v>
      </c>
      <c r="L837" s="24">
        <f>Weekly_Inspections!$AV837</f>
        <v>0</v>
      </c>
      <c r="M837" t="str">
        <f t="shared" si="39"/>
        <v>Open</v>
      </c>
      <c r="N837" s="24"/>
      <c r="O837">
        <f t="shared" ca="1" si="40"/>
        <v>46113</v>
      </c>
      <c r="P837" t="str">
        <f t="shared" ca="1" si="41"/>
        <v>YES</v>
      </c>
      <c r="Q837">
        <f>Weekly_Inspections!$AW837</f>
        <v>0</v>
      </c>
    </row>
    <row r="838" spans="1:17" ht="15" customHeight="1" x14ac:dyDescent="0.2">
      <c r="A838" t="str">
        <f>IF(Weekly_Inspections!$B838="","",Weekly_Inspections!$A838&amp;"-A1")</f>
        <v/>
      </c>
      <c r="B838" s="24">
        <f>Weekly_Inspections!$B838</f>
        <v>0</v>
      </c>
      <c r="C838">
        <f>Weekly_Inspections!$E838</f>
        <v>0</v>
      </c>
      <c r="D838">
        <f>Weekly_Inspections!$F838</f>
        <v>0</v>
      </c>
      <c r="E838" t="str">
        <f>Weekly_Inspections!$H838</f>
        <v/>
      </c>
      <c r="F838">
        <f>IF(Weekly_Inspections!$AX838&lt;&gt;"",Weekly_Inspections!$AX838,IF(Weekly_Inspections!$AY838&lt;&gt;"",Weekly_Inspections!$AY838,IF(Weekly_Inspections!$AZ838&lt;&gt;"",Weekly_Inspections!$AZ838,IF(Weekly_Inspections!$BA838&lt;&gt;"",Weekly_Inspections!$BA838,IF(Weekly_Inspections!$BB838&lt;&gt;"",Weekly_Inspections!$BB838,Weekly_Inspections!$R838)))))</f>
        <v>0</v>
      </c>
      <c r="G838" t="str">
        <f>IF(OR(Weekly_Inspections!$AQ838&lt;&gt;"",Weekly_Inspections!$AR838&lt;&gt;"",Weekly_Inspections!$AS838&lt;&gt;""),Weekly_Inspections!$AQ838,"")</f>
        <v/>
      </c>
      <c r="H838">
        <f>Weekly_Inspections!$AP838</f>
        <v>0</v>
      </c>
      <c r="I838">
        <f>Weekly_Inspections!$AR838</f>
        <v>0</v>
      </c>
      <c r="J838">
        <f>Weekly_Inspections!$AS838</f>
        <v>0</v>
      </c>
      <c r="K838">
        <f>Weekly_Inspections!$AU838</f>
        <v>0</v>
      </c>
      <c r="L838" s="24">
        <f>Weekly_Inspections!$AV838</f>
        <v>0</v>
      </c>
      <c r="M838" t="str">
        <f t="shared" si="39"/>
        <v>Open</v>
      </c>
      <c r="N838" s="24"/>
      <c r="O838">
        <f t="shared" ca="1" si="40"/>
        <v>46113</v>
      </c>
      <c r="P838" t="str">
        <f t="shared" ca="1" si="41"/>
        <v>YES</v>
      </c>
      <c r="Q838">
        <f>Weekly_Inspections!$AW838</f>
        <v>0</v>
      </c>
    </row>
    <row r="839" spans="1:17" ht="15" customHeight="1" x14ac:dyDescent="0.2">
      <c r="A839" t="str">
        <f>IF(Weekly_Inspections!$B839="","",Weekly_Inspections!$A839&amp;"-A1")</f>
        <v/>
      </c>
      <c r="B839" s="24">
        <f>Weekly_Inspections!$B839</f>
        <v>0</v>
      </c>
      <c r="C839">
        <f>Weekly_Inspections!$E839</f>
        <v>0</v>
      </c>
      <c r="D839">
        <f>Weekly_Inspections!$F839</f>
        <v>0</v>
      </c>
      <c r="E839" t="str">
        <f>Weekly_Inspections!$H839</f>
        <v/>
      </c>
      <c r="F839">
        <f>IF(Weekly_Inspections!$AX839&lt;&gt;"",Weekly_Inspections!$AX839,IF(Weekly_Inspections!$AY839&lt;&gt;"",Weekly_Inspections!$AY839,IF(Weekly_Inspections!$AZ839&lt;&gt;"",Weekly_Inspections!$AZ839,IF(Weekly_Inspections!$BA839&lt;&gt;"",Weekly_Inspections!$BA839,IF(Weekly_Inspections!$BB839&lt;&gt;"",Weekly_Inspections!$BB839,Weekly_Inspections!$R839)))))</f>
        <v>0</v>
      </c>
      <c r="G839" t="str">
        <f>IF(OR(Weekly_Inspections!$AQ839&lt;&gt;"",Weekly_Inspections!$AR839&lt;&gt;"",Weekly_Inspections!$AS839&lt;&gt;""),Weekly_Inspections!$AQ839,"")</f>
        <v/>
      </c>
      <c r="H839">
        <f>Weekly_Inspections!$AP839</f>
        <v>0</v>
      </c>
      <c r="I839">
        <f>Weekly_Inspections!$AR839</f>
        <v>0</v>
      </c>
      <c r="J839">
        <f>Weekly_Inspections!$AS839</f>
        <v>0</v>
      </c>
      <c r="K839">
        <f>Weekly_Inspections!$AU839</f>
        <v>0</v>
      </c>
      <c r="L839" s="24">
        <f>Weekly_Inspections!$AV839</f>
        <v>0</v>
      </c>
      <c r="M839" t="str">
        <f t="shared" si="39"/>
        <v>Open</v>
      </c>
      <c r="N839" s="24"/>
      <c r="O839">
        <f t="shared" ca="1" si="40"/>
        <v>46113</v>
      </c>
      <c r="P839" t="str">
        <f t="shared" ca="1" si="41"/>
        <v>YES</v>
      </c>
      <c r="Q839">
        <f>Weekly_Inspections!$AW839</f>
        <v>0</v>
      </c>
    </row>
    <row r="840" spans="1:17" ht="15" customHeight="1" x14ac:dyDescent="0.2">
      <c r="A840" t="str">
        <f>IF(Weekly_Inspections!$B840="","",Weekly_Inspections!$A840&amp;"-A1")</f>
        <v/>
      </c>
      <c r="B840" s="24">
        <f>Weekly_Inspections!$B840</f>
        <v>0</v>
      </c>
      <c r="C840">
        <f>Weekly_Inspections!$E840</f>
        <v>0</v>
      </c>
      <c r="D840">
        <f>Weekly_Inspections!$F840</f>
        <v>0</v>
      </c>
      <c r="E840" t="str">
        <f>Weekly_Inspections!$H840</f>
        <v/>
      </c>
      <c r="F840">
        <f>IF(Weekly_Inspections!$AX840&lt;&gt;"",Weekly_Inspections!$AX840,IF(Weekly_Inspections!$AY840&lt;&gt;"",Weekly_Inspections!$AY840,IF(Weekly_Inspections!$AZ840&lt;&gt;"",Weekly_Inspections!$AZ840,IF(Weekly_Inspections!$BA840&lt;&gt;"",Weekly_Inspections!$BA840,IF(Weekly_Inspections!$BB840&lt;&gt;"",Weekly_Inspections!$BB840,Weekly_Inspections!$R840)))))</f>
        <v>0</v>
      </c>
      <c r="G840" t="str">
        <f>IF(OR(Weekly_Inspections!$AQ840&lt;&gt;"",Weekly_Inspections!$AR840&lt;&gt;"",Weekly_Inspections!$AS840&lt;&gt;""),Weekly_Inspections!$AQ840,"")</f>
        <v/>
      </c>
      <c r="H840">
        <f>Weekly_Inspections!$AP840</f>
        <v>0</v>
      </c>
      <c r="I840">
        <f>Weekly_Inspections!$AR840</f>
        <v>0</v>
      </c>
      <c r="J840">
        <f>Weekly_Inspections!$AS840</f>
        <v>0</v>
      </c>
      <c r="K840">
        <f>Weekly_Inspections!$AU840</f>
        <v>0</v>
      </c>
      <c r="L840" s="24">
        <f>Weekly_Inspections!$AV840</f>
        <v>0</v>
      </c>
      <c r="M840" t="str">
        <f t="shared" si="39"/>
        <v>Open</v>
      </c>
      <c r="N840" s="24"/>
      <c r="O840">
        <f t="shared" ca="1" si="40"/>
        <v>46113</v>
      </c>
      <c r="P840" t="str">
        <f t="shared" ca="1" si="41"/>
        <v>YES</v>
      </c>
      <c r="Q840">
        <f>Weekly_Inspections!$AW840</f>
        <v>0</v>
      </c>
    </row>
    <row r="841" spans="1:17" ht="15" customHeight="1" x14ac:dyDescent="0.2">
      <c r="A841" t="str">
        <f>IF(Weekly_Inspections!$B841="","",Weekly_Inspections!$A841&amp;"-A1")</f>
        <v/>
      </c>
      <c r="B841" s="24">
        <f>Weekly_Inspections!$B841</f>
        <v>0</v>
      </c>
      <c r="C841">
        <f>Weekly_Inspections!$E841</f>
        <v>0</v>
      </c>
      <c r="D841">
        <f>Weekly_Inspections!$F841</f>
        <v>0</v>
      </c>
      <c r="E841" t="str">
        <f>Weekly_Inspections!$H841</f>
        <v/>
      </c>
      <c r="F841">
        <f>IF(Weekly_Inspections!$AX841&lt;&gt;"",Weekly_Inspections!$AX841,IF(Weekly_Inspections!$AY841&lt;&gt;"",Weekly_Inspections!$AY841,IF(Weekly_Inspections!$AZ841&lt;&gt;"",Weekly_Inspections!$AZ841,IF(Weekly_Inspections!$BA841&lt;&gt;"",Weekly_Inspections!$BA841,IF(Weekly_Inspections!$BB841&lt;&gt;"",Weekly_Inspections!$BB841,Weekly_Inspections!$R841)))))</f>
        <v>0</v>
      </c>
      <c r="G841" t="str">
        <f>IF(OR(Weekly_Inspections!$AQ841&lt;&gt;"",Weekly_Inspections!$AR841&lt;&gt;"",Weekly_Inspections!$AS841&lt;&gt;""),Weekly_Inspections!$AQ841,"")</f>
        <v/>
      </c>
      <c r="H841">
        <f>Weekly_Inspections!$AP841</f>
        <v>0</v>
      </c>
      <c r="I841">
        <f>Weekly_Inspections!$AR841</f>
        <v>0</v>
      </c>
      <c r="J841">
        <f>Weekly_Inspections!$AS841</f>
        <v>0</v>
      </c>
      <c r="K841">
        <f>Weekly_Inspections!$AU841</f>
        <v>0</v>
      </c>
      <c r="L841" s="24">
        <f>Weekly_Inspections!$AV841</f>
        <v>0</v>
      </c>
      <c r="M841" t="str">
        <f t="shared" si="39"/>
        <v>Open</v>
      </c>
      <c r="N841" s="24"/>
      <c r="O841">
        <f t="shared" ca="1" si="40"/>
        <v>46113</v>
      </c>
      <c r="P841" t="str">
        <f t="shared" ca="1" si="41"/>
        <v>YES</v>
      </c>
      <c r="Q841">
        <f>Weekly_Inspections!$AW841</f>
        <v>0</v>
      </c>
    </row>
    <row r="842" spans="1:17" ht="15" customHeight="1" x14ac:dyDescent="0.2">
      <c r="A842" t="str">
        <f>IF(Weekly_Inspections!$B842="","",Weekly_Inspections!$A842&amp;"-A1")</f>
        <v/>
      </c>
      <c r="B842" s="24">
        <f>Weekly_Inspections!$B842</f>
        <v>0</v>
      </c>
      <c r="C842">
        <f>Weekly_Inspections!$E842</f>
        <v>0</v>
      </c>
      <c r="D842">
        <f>Weekly_Inspections!$F842</f>
        <v>0</v>
      </c>
      <c r="E842" t="str">
        <f>Weekly_Inspections!$H842</f>
        <v/>
      </c>
      <c r="F842">
        <f>IF(Weekly_Inspections!$AX842&lt;&gt;"",Weekly_Inspections!$AX842,IF(Weekly_Inspections!$AY842&lt;&gt;"",Weekly_Inspections!$AY842,IF(Weekly_Inspections!$AZ842&lt;&gt;"",Weekly_Inspections!$AZ842,IF(Weekly_Inspections!$BA842&lt;&gt;"",Weekly_Inspections!$BA842,IF(Weekly_Inspections!$BB842&lt;&gt;"",Weekly_Inspections!$BB842,Weekly_Inspections!$R842)))))</f>
        <v>0</v>
      </c>
      <c r="G842" t="str">
        <f>IF(OR(Weekly_Inspections!$AQ842&lt;&gt;"",Weekly_Inspections!$AR842&lt;&gt;"",Weekly_Inspections!$AS842&lt;&gt;""),Weekly_Inspections!$AQ842,"")</f>
        <v/>
      </c>
      <c r="H842">
        <f>Weekly_Inspections!$AP842</f>
        <v>0</v>
      </c>
      <c r="I842">
        <f>Weekly_Inspections!$AR842</f>
        <v>0</v>
      </c>
      <c r="J842">
        <f>Weekly_Inspections!$AS842</f>
        <v>0</v>
      </c>
      <c r="K842">
        <f>Weekly_Inspections!$AU842</f>
        <v>0</v>
      </c>
      <c r="L842" s="24">
        <f>Weekly_Inspections!$AV842</f>
        <v>0</v>
      </c>
      <c r="M842" t="str">
        <f t="shared" si="39"/>
        <v>Open</v>
      </c>
      <c r="N842" s="24"/>
      <c r="O842">
        <f t="shared" ca="1" si="40"/>
        <v>46113</v>
      </c>
      <c r="P842" t="str">
        <f t="shared" ca="1" si="41"/>
        <v>YES</v>
      </c>
      <c r="Q842">
        <f>Weekly_Inspections!$AW842</f>
        <v>0</v>
      </c>
    </row>
    <row r="843" spans="1:17" ht="15" customHeight="1" x14ac:dyDescent="0.2">
      <c r="A843" t="str">
        <f>IF(Weekly_Inspections!$B843="","",Weekly_Inspections!$A843&amp;"-A1")</f>
        <v/>
      </c>
      <c r="B843" s="24">
        <f>Weekly_Inspections!$B843</f>
        <v>0</v>
      </c>
      <c r="C843">
        <f>Weekly_Inspections!$E843</f>
        <v>0</v>
      </c>
      <c r="D843">
        <f>Weekly_Inspections!$F843</f>
        <v>0</v>
      </c>
      <c r="E843" t="str">
        <f>Weekly_Inspections!$H843</f>
        <v/>
      </c>
      <c r="F843">
        <f>IF(Weekly_Inspections!$AX843&lt;&gt;"",Weekly_Inspections!$AX843,IF(Weekly_Inspections!$AY843&lt;&gt;"",Weekly_Inspections!$AY843,IF(Weekly_Inspections!$AZ843&lt;&gt;"",Weekly_Inspections!$AZ843,IF(Weekly_Inspections!$BA843&lt;&gt;"",Weekly_Inspections!$BA843,IF(Weekly_Inspections!$BB843&lt;&gt;"",Weekly_Inspections!$BB843,Weekly_Inspections!$R843)))))</f>
        <v>0</v>
      </c>
      <c r="G843" t="str">
        <f>IF(OR(Weekly_Inspections!$AQ843&lt;&gt;"",Weekly_Inspections!$AR843&lt;&gt;"",Weekly_Inspections!$AS843&lt;&gt;""),Weekly_Inspections!$AQ843,"")</f>
        <v/>
      </c>
      <c r="H843">
        <f>Weekly_Inspections!$AP843</f>
        <v>0</v>
      </c>
      <c r="I843">
        <f>Weekly_Inspections!$AR843</f>
        <v>0</v>
      </c>
      <c r="J843">
        <f>Weekly_Inspections!$AS843</f>
        <v>0</v>
      </c>
      <c r="K843">
        <f>Weekly_Inspections!$AU843</f>
        <v>0</v>
      </c>
      <c r="L843" s="24">
        <f>Weekly_Inspections!$AV843</f>
        <v>0</v>
      </c>
      <c r="M843" t="str">
        <f t="shared" si="39"/>
        <v>Open</v>
      </c>
      <c r="N843" s="24"/>
      <c r="O843">
        <f t="shared" ca="1" si="40"/>
        <v>46113</v>
      </c>
      <c r="P843" t="str">
        <f t="shared" ca="1" si="41"/>
        <v>YES</v>
      </c>
      <c r="Q843">
        <f>Weekly_Inspections!$AW843</f>
        <v>0</v>
      </c>
    </row>
    <row r="844" spans="1:17" ht="15" customHeight="1" x14ac:dyDescent="0.2">
      <c r="A844" t="str">
        <f>IF(Weekly_Inspections!$B844="","",Weekly_Inspections!$A844&amp;"-A1")</f>
        <v/>
      </c>
      <c r="B844" s="24">
        <f>Weekly_Inspections!$B844</f>
        <v>0</v>
      </c>
      <c r="C844">
        <f>Weekly_Inspections!$E844</f>
        <v>0</v>
      </c>
      <c r="D844">
        <f>Weekly_Inspections!$F844</f>
        <v>0</v>
      </c>
      <c r="E844" t="str">
        <f>Weekly_Inspections!$H844</f>
        <v/>
      </c>
      <c r="F844">
        <f>IF(Weekly_Inspections!$AX844&lt;&gt;"",Weekly_Inspections!$AX844,IF(Weekly_Inspections!$AY844&lt;&gt;"",Weekly_Inspections!$AY844,IF(Weekly_Inspections!$AZ844&lt;&gt;"",Weekly_Inspections!$AZ844,IF(Weekly_Inspections!$BA844&lt;&gt;"",Weekly_Inspections!$BA844,IF(Weekly_Inspections!$BB844&lt;&gt;"",Weekly_Inspections!$BB844,Weekly_Inspections!$R844)))))</f>
        <v>0</v>
      </c>
      <c r="G844" t="str">
        <f>IF(OR(Weekly_Inspections!$AQ844&lt;&gt;"",Weekly_Inspections!$AR844&lt;&gt;"",Weekly_Inspections!$AS844&lt;&gt;""),Weekly_Inspections!$AQ844,"")</f>
        <v/>
      </c>
      <c r="H844">
        <f>Weekly_Inspections!$AP844</f>
        <v>0</v>
      </c>
      <c r="I844">
        <f>Weekly_Inspections!$AR844</f>
        <v>0</v>
      </c>
      <c r="J844">
        <f>Weekly_Inspections!$AS844</f>
        <v>0</v>
      </c>
      <c r="K844">
        <f>Weekly_Inspections!$AU844</f>
        <v>0</v>
      </c>
      <c r="L844" s="24">
        <f>Weekly_Inspections!$AV844</f>
        <v>0</v>
      </c>
      <c r="M844" t="str">
        <f t="shared" si="39"/>
        <v>Open</v>
      </c>
      <c r="N844" s="24"/>
      <c r="O844">
        <f t="shared" ca="1" si="40"/>
        <v>46113</v>
      </c>
      <c r="P844" t="str">
        <f t="shared" ca="1" si="41"/>
        <v>YES</v>
      </c>
      <c r="Q844">
        <f>Weekly_Inspections!$AW844</f>
        <v>0</v>
      </c>
    </row>
    <row r="845" spans="1:17" ht="15" customHeight="1" x14ac:dyDescent="0.2">
      <c r="A845" t="str">
        <f>IF(Weekly_Inspections!$B845="","",Weekly_Inspections!$A845&amp;"-A1")</f>
        <v/>
      </c>
      <c r="B845" s="24">
        <f>Weekly_Inspections!$B845</f>
        <v>0</v>
      </c>
      <c r="C845">
        <f>Weekly_Inspections!$E845</f>
        <v>0</v>
      </c>
      <c r="D845">
        <f>Weekly_Inspections!$F845</f>
        <v>0</v>
      </c>
      <c r="E845" t="str">
        <f>Weekly_Inspections!$H845</f>
        <v/>
      </c>
      <c r="F845">
        <f>IF(Weekly_Inspections!$AX845&lt;&gt;"",Weekly_Inspections!$AX845,IF(Weekly_Inspections!$AY845&lt;&gt;"",Weekly_Inspections!$AY845,IF(Weekly_Inspections!$AZ845&lt;&gt;"",Weekly_Inspections!$AZ845,IF(Weekly_Inspections!$BA845&lt;&gt;"",Weekly_Inspections!$BA845,IF(Weekly_Inspections!$BB845&lt;&gt;"",Weekly_Inspections!$BB845,Weekly_Inspections!$R845)))))</f>
        <v>0</v>
      </c>
      <c r="G845" t="str">
        <f>IF(OR(Weekly_Inspections!$AQ845&lt;&gt;"",Weekly_Inspections!$AR845&lt;&gt;"",Weekly_Inspections!$AS845&lt;&gt;""),Weekly_Inspections!$AQ845,"")</f>
        <v/>
      </c>
      <c r="H845">
        <f>Weekly_Inspections!$AP845</f>
        <v>0</v>
      </c>
      <c r="I845">
        <f>Weekly_Inspections!$AR845</f>
        <v>0</v>
      </c>
      <c r="J845">
        <f>Weekly_Inspections!$AS845</f>
        <v>0</v>
      </c>
      <c r="K845">
        <f>Weekly_Inspections!$AU845</f>
        <v>0</v>
      </c>
      <c r="L845" s="24">
        <f>Weekly_Inspections!$AV845</f>
        <v>0</v>
      </c>
      <c r="M845" t="str">
        <f t="shared" si="39"/>
        <v>Open</v>
      </c>
      <c r="N845" s="24"/>
      <c r="O845">
        <f t="shared" ca="1" si="40"/>
        <v>46113</v>
      </c>
      <c r="P845" t="str">
        <f t="shared" ca="1" si="41"/>
        <v>YES</v>
      </c>
      <c r="Q845">
        <f>Weekly_Inspections!$AW845</f>
        <v>0</v>
      </c>
    </row>
    <row r="846" spans="1:17" ht="15" customHeight="1" x14ac:dyDescent="0.2">
      <c r="A846" t="str">
        <f>IF(Weekly_Inspections!$B846="","",Weekly_Inspections!$A846&amp;"-A1")</f>
        <v/>
      </c>
      <c r="B846" s="24">
        <f>Weekly_Inspections!$B846</f>
        <v>0</v>
      </c>
      <c r="C846">
        <f>Weekly_Inspections!$E846</f>
        <v>0</v>
      </c>
      <c r="D846">
        <f>Weekly_Inspections!$F846</f>
        <v>0</v>
      </c>
      <c r="E846" t="str">
        <f>Weekly_Inspections!$H846</f>
        <v/>
      </c>
      <c r="F846">
        <f>IF(Weekly_Inspections!$AX846&lt;&gt;"",Weekly_Inspections!$AX846,IF(Weekly_Inspections!$AY846&lt;&gt;"",Weekly_Inspections!$AY846,IF(Weekly_Inspections!$AZ846&lt;&gt;"",Weekly_Inspections!$AZ846,IF(Weekly_Inspections!$BA846&lt;&gt;"",Weekly_Inspections!$BA846,IF(Weekly_Inspections!$BB846&lt;&gt;"",Weekly_Inspections!$BB846,Weekly_Inspections!$R846)))))</f>
        <v>0</v>
      </c>
      <c r="G846" t="str">
        <f>IF(OR(Weekly_Inspections!$AQ846&lt;&gt;"",Weekly_Inspections!$AR846&lt;&gt;"",Weekly_Inspections!$AS846&lt;&gt;""),Weekly_Inspections!$AQ846,"")</f>
        <v/>
      </c>
      <c r="H846">
        <f>Weekly_Inspections!$AP846</f>
        <v>0</v>
      </c>
      <c r="I846">
        <f>Weekly_Inspections!$AR846</f>
        <v>0</v>
      </c>
      <c r="J846">
        <f>Weekly_Inspections!$AS846</f>
        <v>0</v>
      </c>
      <c r="K846">
        <f>Weekly_Inspections!$AU846</f>
        <v>0</v>
      </c>
      <c r="L846" s="24">
        <f>Weekly_Inspections!$AV846</f>
        <v>0</v>
      </c>
      <c r="M846" t="str">
        <f t="shared" si="39"/>
        <v>Open</v>
      </c>
      <c r="N846" s="24"/>
      <c r="O846">
        <f t="shared" ca="1" si="40"/>
        <v>46113</v>
      </c>
      <c r="P846" t="str">
        <f t="shared" ca="1" si="41"/>
        <v>YES</v>
      </c>
      <c r="Q846">
        <f>Weekly_Inspections!$AW846</f>
        <v>0</v>
      </c>
    </row>
    <row r="847" spans="1:17" ht="15" customHeight="1" x14ac:dyDescent="0.2">
      <c r="A847" t="str">
        <f>IF(Weekly_Inspections!$B847="","",Weekly_Inspections!$A847&amp;"-A1")</f>
        <v/>
      </c>
      <c r="B847" s="24">
        <f>Weekly_Inspections!$B847</f>
        <v>0</v>
      </c>
      <c r="C847">
        <f>Weekly_Inspections!$E847</f>
        <v>0</v>
      </c>
      <c r="D847">
        <f>Weekly_Inspections!$F847</f>
        <v>0</v>
      </c>
      <c r="E847" t="str">
        <f>Weekly_Inspections!$H847</f>
        <v/>
      </c>
      <c r="F847">
        <f>IF(Weekly_Inspections!$AX847&lt;&gt;"",Weekly_Inspections!$AX847,IF(Weekly_Inspections!$AY847&lt;&gt;"",Weekly_Inspections!$AY847,IF(Weekly_Inspections!$AZ847&lt;&gt;"",Weekly_Inspections!$AZ847,IF(Weekly_Inspections!$BA847&lt;&gt;"",Weekly_Inspections!$BA847,IF(Weekly_Inspections!$BB847&lt;&gt;"",Weekly_Inspections!$BB847,Weekly_Inspections!$R847)))))</f>
        <v>0</v>
      </c>
      <c r="G847" t="str">
        <f>IF(OR(Weekly_Inspections!$AQ847&lt;&gt;"",Weekly_Inspections!$AR847&lt;&gt;"",Weekly_Inspections!$AS847&lt;&gt;""),Weekly_Inspections!$AQ847,"")</f>
        <v/>
      </c>
      <c r="H847">
        <f>Weekly_Inspections!$AP847</f>
        <v>0</v>
      </c>
      <c r="I847">
        <f>Weekly_Inspections!$AR847</f>
        <v>0</v>
      </c>
      <c r="J847">
        <f>Weekly_Inspections!$AS847</f>
        <v>0</v>
      </c>
      <c r="K847">
        <f>Weekly_Inspections!$AU847</f>
        <v>0</v>
      </c>
      <c r="L847" s="24">
        <f>Weekly_Inspections!$AV847</f>
        <v>0</v>
      </c>
      <c r="M847" t="str">
        <f t="shared" si="39"/>
        <v>Open</v>
      </c>
      <c r="N847" s="24"/>
      <c r="O847">
        <f t="shared" ca="1" si="40"/>
        <v>46113</v>
      </c>
      <c r="P847" t="str">
        <f t="shared" ca="1" si="41"/>
        <v>YES</v>
      </c>
      <c r="Q847">
        <f>Weekly_Inspections!$AW847</f>
        <v>0</v>
      </c>
    </row>
    <row r="848" spans="1:17" ht="15" customHeight="1" x14ac:dyDescent="0.2">
      <c r="A848" t="str">
        <f>IF(Weekly_Inspections!$B848="","",Weekly_Inspections!$A848&amp;"-A1")</f>
        <v/>
      </c>
      <c r="B848" s="24">
        <f>Weekly_Inspections!$B848</f>
        <v>0</v>
      </c>
      <c r="C848">
        <f>Weekly_Inspections!$E848</f>
        <v>0</v>
      </c>
      <c r="D848">
        <f>Weekly_Inspections!$F848</f>
        <v>0</v>
      </c>
      <c r="E848" t="str">
        <f>Weekly_Inspections!$H848</f>
        <v/>
      </c>
      <c r="F848">
        <f>IF(Weekly_Inspections!$AX848&lt;&gt;"",Weekly_Inspections!$AX848,IF(Weekly_Inspections!$AY848&lt;&gt;"",Weekly_Inspections!$AY848,IF(Weekly_Inspections!$AZ848&lt;&gt;"",Weekly_Inspections!$AZ848,IF(Weekly_Inspections!$BA848&lt;&gt;"",Weekly_Inspections!$BA848,IF(Weekly_Inspections!$BB848&lt;&gt;"",Weekly_Inspections!$BB848,Weekly_Inspections!$R848)))))</f>
        <v>0</v>
      </c>
      <c r="G848" t="str">
        <f>IF(OR(Weekly_Inspections!$AQ848&lt;&gt;"",Weekly_Inspections!$AR848&lt;&gt;"",Weekly_Inspections!$AS848&lt;&gt;""),Weekly_Inspections!$AQ848,"")</f>
        <v/>
      </c>
      <c r="H848">
        <f>Weekly_Inspections!$AP848</f>
        <v>0</v>
      </c>
      <c r="I848">
        <f>Weekly_Inspections!$AR848</f>
        <v>0</v>
      </c>
      <c r="J848">
        <f>Weekly_Inspections!$AS848</f>
        <v>0</v>
      </c>
      <c r="K848">
        <f>Weekly_Inspections!$AU848</f>
        <v>0</v>
      </c>
      <c r="L848" s="24">
        <f>Weekly_Inspections!$AV848</f>
        <v>0</v>
      </c>
      <c r="M848" t="str">
        <f t="shared" si="39"/>
        <v>Open</v>
      </c>
      <c r="N848" s="24"/>
      <c r="O848">
        <f t="shared" ca="1" si="40"/>
        <v>46113</v>
      </c>
      <c r="P848" t="str">
        <f t="shared" ca="1" si="41"/>
        <v>YES</v>
      </c>
      <c r="Q848">
        <f>Weekly_Inspections!$AW848</f>
        <v>0</v>
      </c>
    </row>
    <row r="849" spans="1:17" ht="15" customHeight="1" x14ac:dyDescent="0.2">
      <c r="A849" t="str">
        <f>IF(Weekly_Inspections!$B849="","",Weekly_Inspections!$A849&amp;"-A1")</f>
        <v/>
      </c>
      <c r="B849" s="24">
        <f>Weekly_Inspections!$B849</f>
        <v>0</v>
      </c>
      <c r="C849">
        <f>Weekly_Inspections!$E849</f>
        <v>0</v>
      </c>
      <c r="D849">
        <f>Weekly_Inspections!$F849</f>
        <v>0</v>
      </c>
      <c r="E849" t="str">
        <f>Weekly_Inspections!$H849</f>
        <v/>
      </c>
      <c r="F849">
        <f>IF(Weekly_Inspections!$AX849&lt;&gt;"",Weekly_Inspections!$AX849,IF(Weekly_Inspections!$AY849&lt;&gt;"",Weekly_Inspections!$AY849,IF(Weekly_Inspections!$AZ849&lt;&gt;"",Weekly_Inspections!$AZ849,IF(Weekly_Inspections!$BA849&lt;&gt;"",Weekly_Inspections!$BA849,IF(Weekly_Inspections!$BB849&lt;&gt;"",Weekly_Inspections!$BB849,Weekly_Inspections!$R849)))))</f>
        <v>0</v>
      </c>
      <c r="G849" t="str">
        <f>IF(OR(Weekly_Inspections!$AQ849&lt;&gt;"",Weekly_Inspections!$AR849&lt;&gt;"",Weekly_Inspections!$AS849&lt;&gt;""),Weekly_Inspections!$AQ849,"")</f>
        <v/>
      </c>
      <c r="H849">
        <f>Weekly_Inspections!$AP849</f>
        <v>0</v>
      </c>
      <c r="I849">
        <f>Weekly_Inspections!$AR849</f>
        <v>0</v>
      </c>
      <c r="J849">
        <f>Weekly_Inspections!$AS849</f>
        <v>0</v>
      </c>
      <c r="K849">
        <f>Weekly_Inspections!$AU849</f>
        <v>0</v>
      </c>
      <c r="L849" s="24">
        <f>Weekly_Inspections!$AV849</f>
        <v>0</v>
      </c>
      <c r="M849" t="str">
        <f t="shared" si="39"/>
        <v>Open</v>
      </c>
      <c r="N849" s="24"/>
      <c r="O849">
        <f t="shared" ca="1" si="40"/>
        <v>46113</v>
      </c>
      <c r="P849" t="str">
        <f t="shared" ca="1" si="41"/>
        <v>YES</v>
      </c>
      <c r="Q849">
        <f>Weekly_Inspections!$AW849</f>
        <v>0</v>
      </c>
    </row>
    <row r="850" spans="1:17" ht="15" customHeight="1" x14ac:dyDescent="0.2">
      <c r="A850" t="str">
        <f>IF(Weekly_Inspections!$B850="","",Weekly_Inspections!$A850&amp;"-A1")</f>
        <v/>
      </c>
      <c r="B850" s="24">
        <f>Weekly_Inspections!$B850</f>
        <v>0</v>
      </c>
      <c r="C850">
        <f>Weekly_Inspections!$E850</f>
        <v>0</v>
      </c>
      <c r="D850">
        <f>Weekly_Inspections!$F850</f>
        <v>0</v>
      </c>
      <c r="E850" t="str">
        <f>Weekly_Inspections!$H850</f>
        <v/>
      </c>
      <c r="F850">
        <f>IF(Weekly_Inspections!$AX850&lt;&gt;"",Weekly_Inspections!$AX850,IF(Weekly_Inspections!$AY850&lt;&gt;"",Weekly_Inspections!$AY850,IF(Weekly_Inspections!$AZ850&lt;&gt;"",Weekly_Inspections!$AZ850,IF(Weekly_Inspections!$BA850&lt;&gt;"",Weekly_Inspections!$BA850,IF(Weekly_Inspections!$BB850&lt;&gt;"",Weekly_Inspections!$BB850,Weekly_Inspections!$R850)))))</f>
        <v>0</v>
      </c>
      <c r="G850" t="str">
        <f>IF(OR(Weekly_Inspections!$AQ850&lt;&gt;"",Weekly_Inspections!$AR850&lt;&gt;"",Weekly_Inspections!$AS850&lt;&gt;""),Weekly_Inspections!$AQ850,"")</f>
        <v/>
      </c>
      <c r="H850">
        <f>Weekly_Inspections!$AP850</f>
        <v>0</v>
      </c>
      <c r="I850">
        <f>Weekly_Inspections!$AR850</f>
        <v>0</v>
      </c>
      <c r="J850">
        <f>Weekly_Inspections!$AS850</f>
        <v>0</v>
      </c>
      <c r="K850">
        <f>Weekly_Inspections!$AU850</f>
        <v>0</v>
      </c>
      <c r="L850" s="24">
        <f>Weekly_Inspections!$AV850</f>
        <v>0</v>
      </c>
      <c r="M850" t="str">
        <f t="shared" si="39"/>
        <v>Open</v>
      </c>
      <c r="N850" s="24"/>
      <c r="O850">
        <f t="shared" ca="1" si="40"/>
        <v>46113</v>
      </c>
      <c r="P850" t="str">
        <f t="shared" ca="1" si="41"/>
        <v>YES</v>
      </c>
      <c r="Q850">
        <f>Weekly_Inspections!$AW850</f>
        <v>0</v>
      </c>
    </row>
    <row r="851" spans="1:17" ht="15" customHeight="1" x14ac:dyDescent="0.2">
      <c r="A851" t="str">
        <f>IF(Weekly_Inspections!$B851="","",Weekly_Inspections!$A851&amp;"-A1")</f>
        <v/>
      </c>
      <c r="B851" s="24">
        <f>Weekly_Inspections!$B851</f>
        <v>0</v>
      </c>
      <c r="C851">
        <f>Weekly_Inspections!$E851</f>
        <v>0</v>
      </c>
      <c r="D851">
        <f>Weekly_Inspections!$F851</f>
        <v>0</v>
      </c>
      <c r="E851" t="str">
        <f>Weekly_Inspections!$H851</f>
        <v/>
      </c>
      <c r="F851">
        <f>IF(Weekly_Inspections!$AX851&lt;&gt;"",Weekly_Inspections!$AX851,IF(Weekly_Inspections!$AY851&lt;&gt;"",Weekly_Inspections!$AY851,IF(Weekly_Inspections!$AZ851&lt;&gt;"",Weekly_Inspections!$AZ851,IF(Weekly_Inspections!$BA851&lt;&gt;"",Weekly_Inspections!$BA851,IF(Weekly_Inspections!$BB851&lt;&gt;"",Weekly_Inspections!$BB851,Weekly_Inspections!$R851)))))</f>
        <v>0</v>
      </c>
      <c r="G851" t="str">
        <f>IF(OR(Weekly_Inspections!$AQ851&lt;&gt;"",Weekly_Inspections!$AR851&lt;&gt;"",Weekly_Inspections!$AS851&lt;&gt;""),Weekly_Inspections!$AQ851,"")</f>
        <v/>
      </c>
      <c r="H851">
        <f>Weekly_Inspections!$AP851</f>
        <v>0</v>
      </c>
      <c r="I851">
        <f>Weekly_Inspections!$AR851</f>
        <v>0</v>
      </c>
      <c r="J851">
        <f>Weekly_Inspections!$AS851</f>
        <v>0</v>
      </c>
      <c r="K851">
        <f>Weekly_Inspections!$AU851</f>
        <v>0</v>
      </c>
      <c r="L851" s="24">
        <f>Weekly_Inspections!$AV851</f>
        <v>0</v>
      </c>
      <c r="M851" t="str">
        <f t="shared" si="39"/>
        <v>Open</v>
      </c>
      <c r="N851" s="24"/>
      <c r="O851">
        <f t="shared" ca="1" si="40"/>
        <v>46113</v>
      </c>
      <c r="P851" t="str">
        <f t="shared" ca="1" si="41"/>
        <v>YES</v>
      </c>
      <c r="Q851">
        <f>Weekly_Inspections!$AW851</f>
        <v>0</v>
      </c>
    </row>
    <row r="852" spans="1:17" ht="15" customHeight="1" x14ac:dyDescent="0.2">
      <c r="A852" t="str">
        <f>IF(Weekly_Inspections!$B852="","",Weekly_Inspections!$A852&amp;"-A1")</f>
        <v/>
      </c>
      <c r="B852" s="24">
        <f>Weekly_Inspections!$B852</f>
        <v>0</v>
      </c>
      <c r="C852">
        <f>Weekly_Inspections!$E852</f>
        <v>0</v>
      </c>
      <c r="D852">
        <f>Weekly_Inspections!$F852</f>
        <v>0</v>
      </c>
      <c r="E852" t="str">
        <f>Weekly_Inspections!$H852</f>
        <v/>
      </c>
      <c r="F852">
        <f>IF(Weekly_Inspections!$AX852&lt;&gt;"",Weekly_Inspections!$AX852,IF(Weekly_Inspections!$AY852&lt;&gt;"",Weekly_Inspections!$AY852,IF(Weekly_Inspections!$AZ852&lt;&gt;"",Weekly_Inspections!$AZ852,IF(Weekly_Inspections!$BA852&lt;&gt;"",Weekly_Inspections!$BA852,IF(Weekly_Inspections!$BB852&lt;&gt;"",Weekly_Inspections!$BB852,Weekly_Inspections!$R852)))))</f>
        <v>0</v>
      </c>
      <c r="G852" t="str">
        <f>IF(OR(Weekly_Inspections!$AQ852&lt;&gt;"",Weekly_Inspections!$AR852&lt;&gt;"",Weekly_Inspections!$AS852&lt;&gt;""),Weekly_Inspections!$AQ852,"")</f>
        <v/>
      </c>
      <c r="H852">
        <f>Weekly_Inspections!$AP852</f>
        <v>0</v>
      </c>
      <c r="I852">
        <f>Weekly_Inspections!$AR852</f>
        <v>0</v>
      </c>
      <c r="J852">
        <f>Weekly_Inspections!$AS852</f>
        <v>0</v>
      </c>
      <c r="K852">
        <f>Weekly_Inspections!$AU852</f>
        <v>0</v>
      </c>
      <c r="L852" s="24">
        <f>Weekly_Inspections!$AV852</f>
        <v>0</v>
      </c>
      <c r="M852" t="str">
        <f t="shared" si="39"/>
        <v>Open</v>
      </c>
      <c r="N852" s="24"/>
      <c r="O852">
        <f t="shared" ca="1" si="40"/>
        <v>46113</v>
      </c>
      <c r="P852" t="str">
        <f t="shared" ca="1" si="41"/>
        <v>YES</v>
      </c>
      <c r="Q852">
        <f>Weekly_Inspections!$AW852</f>
        <v>0</v>
      </c>
    </row>
    <row r="853" spans="1:17" ht="15" customHeight="1" x14ac:dyDescent="0.2">
      <c r="A853" t="str">
        <f>IF(Weekly_Inspections!$B853="","",Weekly_Inspections!$A853&amp;"-A1")</f>
        <v/>
      </c>
      <c r="B853" s="24">
        <f>Weekly_Inspections!$B853</f>
        <v>0</v>
      </c>
      <c r="C853">
        <f>Weekly_Inspections!$E853</f>
        <v>0</v>
      </c>
      <c r="D853">
        <f>Weekly_Inspections!$F853</f>
        <v>0</v>
      </c>
      <c r="E853" t="str">
        <f>Weekly_Inspections!$H853</f>
        <v/>
      </c>
      <c r="F853">
        <f>IF(Weekly_Inspections!$AX853&lt;&gt;"",Weekly_Inspections!$AX853,IF(Weekly_Inspections!$AY853&lt;&gt;"",Weekly_Inspections!$AY853,IF(Weekly_Inspections!$AZ853&lt;&gt;"",Weekly_Inspections!$AZ853,IF(Weekly_Inspections!$BA853&lt;&gt;"",Weekly_Inspections!$BA853,IF(Weekly_Inspections!$BB853&lt;&gt;"",Weekly_Inspections!$BB853,Weekly_Inspections!$R853)))))</f>
        <v>0</v>
      </c>
      <c r="G853" t="str">
        <f>IF(OR(Weekly_Inspections!$AQ853&lt;&gt;"",Weekly_Inspections!$AR853&lt;&gt;"",Weekly_Inspections!$AS853&lt;&gt;""),Weekly_Inspections!$AQ853,"")</f>
        <v/>
      </c>
      <c r="H853">
        <f>Weekly_Inspections!$AP853</f>
        <v>0</v>
      </c>
      <c r="I853">
        <f>Weekly_Inspections!$AR853</f>
        <v>0</v>
      </c>
      <c r="J853">
        <f>Weekly_Inspections!$AS853</f>
        <v>0</v>
      </c>
      <c r="K853">
        <f>Weekly_Inspections!$AU853</f>
        <v>0</v>
      </c>
      <c r="L853" s="24">
        <f>Weekly_Inspections!$AV853</f>
        <v>0</v>
      </c>
      <c r="M853" t="str">
        <f t="shared" si="39"/>
        <v>Open</v>
      </c>
      <c r="N853" s="24"/>
      <c r="O853">
        <f t="shared" ca="1" si="40"/>
        <v>46113</v>
      </c>
      <c r="P853" t="str">
        <f t="shared" ca="1" si="41"/>
        <v>YES</v>
      </c>
      <c r="Q853">
        <f>Weekly_Inspections!$AW853</f>
        <v>0</v>
      </c>
    </row>
    <row r="854" spans="1:17" ht="15" customHeight="1" x14ac:dyDescent="0.2">
      <c r="A854" t="str">
        <f>IF(Weekly_Inspections!$B854="","",Weekly_Inspections!$A854&amp;"-A1")</f>
        <v/>
      </c>
      <c r="B854" s="24">
        <f>Weekly_Inspections!$B854</f>
        <v>0</v>
      </c>
      <c r="C854">
        <f>Weekly_Inspections!$E854</f>
        <v>0</v>
      </c>
      <c r="D854">
        <f>Weekly_Inspections!$F854</f>
        <v>0</v>
      </c>
      <c r="E854" t="str">
        <f>Weekly_Inspections!$H854</f>
        <v/>
      </c>
      <c r="F854">
        <f>IF(Weekly_Inspections!$AX854&lt;&gt;"",Weekly_Inspections!$AX854,IF(Weekly_Inspections!$AY854&lt;&gt;"",Weekly_Inspections!$AY854,IF(Weekly_Inspections!$AZ854&lt;&gt;"",Weekly_Inspections!$AZ854,IF(Weekly_Inspections!$BA854&lt;&gt;"",Weekly_Inspections!$BA854,IF(Weekly_Inspections!$BB854&lt;&gt;"",Weekly_Inspections!$BB854,Weekly_Inspections!$R854)))))</f>
        <v>0</v>
      </c>
      <c r="G854" t="str">
        <f>IF(OR(Weekly_Inspections!$AQ854&lt;&gt;"",Weekly_Inspections!$AR854&lt;&gt;"",Weekly_Inspections!$AS854&lt;&gt;""),Weekly_Inspections!$AQ854,"")</f>
        <v/>
      </c>
      <c r="H854">
        <f>Weekly_Inspections!$AP854</f>
        <v>0</v>
      </c>
      <c r="I854">
        <f>Weekly_Inspections!$AR854</f>
        <v>0</v>
      </c>
      <c r="J854">
        <f>Weekly_Inspections!$AS854</f>
        <v>0</v>
      </c>
      <c r="K854">
        <f>Weekly_Inspections!$AU854</f>
        <v>0</v>
      </c>
      <c r="L854" s="24">
        <f>Weekly_Inspections!$AV854</f>
        <v>0</v>
      </c>
      <c r="M854" t="str">
        <f t="shared" si="39"/>
        <v>Open</v>
      </c>
      <c r="N854" s="24"/>
      <c r="O854">
        <f t="shared" ca="1" si="40"/>
        <v>46113</v>
      </c>
      <c r="P854" t="str">
        <f t="shared" ca="1" si="41"/>
        <v>YES</v>
      </c>
      <c r="Q854">
        <f>Weekly_Inspections!$AW854</f>
        <v>0</v>
      </c>
    </row>
    <row r="855" spans="1:17" ht="15" customHeight="1" x14ac:dyDescent="0.2">
      <c r="A855" t="str">
        <f>IF(Weekly_Inspections!$B855="","",Weekly_Inspections!$A855&amp;"-A1")</f>
        <v/>
      </c>
      <c r="B855" s="24">
        <f>Weekly_Inspections!$B855</f>
        <v>0</v>
      </c>
      <c r="C855">
        <f>Weekly_Inspections!$E855</f>
        <v>0</v>
      </c>
      <c r="D855">
        <f>Weekly_Inspections!$F855</f>
        <v>0</v>
      </c>
      <c r="E855" t="str">
        <f>Weekly_Inspections!$H855</f>
        <v/>
      </c>
      <c r="F855">
        <f>IF(Weekly_Inspections!$AX855&lt;&gt;"",Weekly_Inspections!$AX855,IF(Weekly_Inspections!$AY855&lt;&gt;"",Weekly_Inspections!$AY855,IF(Weekly_Inspections!$AZ855&lt;&gt;"",Weekly_Inspections!$AZ855,IF(Weekly_Inspections!$BA855&lt;&gt;"",Weekly_Inspections!$BA855,IF(Weekly_Inspections!$BB855&lt;&gt;"",Weekly_Inspections!$BB855,Weekly_Inspections!$R855)))))</f>
        <v>0</v>
      </c>
      <c r="G855" t="str">
        <f>IF(OR(Weekly_Inspections!$AQ855&lt;&gt;"",Weekly_Inspections!$AR855&lt;&gt;"",Weekly_Inspections!$AS855&lt;&gt;""),Weekly_Inspections!$AQ855,"")</f>
        <v/>
      </c>
      <c r="H855">
        <f>Weekly_Inspections!$AP855</f>
        <v>0</v>
      </c>
      <c r="I855">
        <f>Weekly_Inspections!$AR855</f>
        <v>0</v>
      </c>
      <c r="J855">
        <f>Weekly_Inspections!$AS855</f>
        <v>0</v>
      </c>
      <c r="K855">
        <f>Weekly_Inspections!$AU855</f>
        <v>0</v>
      </c>
      <c r="L855" s="24">
        <f>Weekly_Inspections!$AV855</f>
        <v>0</v>
      </c>
      <c r="M855" t="str">
        <f t="shared" si="39"/>
        <v>Open</v>
      </c>
      <c r="N855" s="24"/>
      <c r="O855">
        <f t="shared" ca="1" si="40"/>
        <v>46113</v>
      </c>
      <c r="P855" t="str">
        <f t="shared" ca="1" si="41"/>
        <v>YES</v>
      </c>
      <c r="Q855">
        <f>Weekly_Inspections!$AW855</f>
        <v>0</v>
      </c>
    </row>
    <row r="856" spans="1:17" ht="15" customHeight="1" x14ac:dyDescent="0.2">
      <c r="A856" t="str">
        <f>IF(Weekly_Inspections!$B856="","",Weekly_Inspections!$A856&amp;"-A1")</f>
        <v/>
      </c>
      <c r="B856" s="24">
        <f>Weekly_Inspections!$B856</f>
        <v>0</v>
      </c>
      <c r="C856">
        <f>Weekly_Inspections!$E856</f>
        <v>0</v>
      </c>
      <c r="D856">
        <f>Weekly_Inspections!$F856</f>
        <v>0</v>
      </c>
      <c r="E856" t="str">
        <f>Weekly_Inspections!$H856</f>
        <v/>
      </c>
      <c r="F856">
        <f>IF(Weekly_Inspections!$AX856&lt;&gt;"",Weekly_Inspections!$AX856,IF(Weekly_Inspections!$AY856&lt;&gt;"",Weekly_Inspections!$AY856,IF(Weekly_Inspections!$AZ856&lt;&gt;"",Weekly_Inspections!$AZ856,IF(Weekly_Inspections!$BA856&lt;&gt;"",Weekly_Inspections!$BA856,IF(Weekly_Inspections!$BB856&lt;&gt;"",Weekly_Inspections!$BB856,Weekly_Inspections!$R856)))))</f>
        <v>0</v>
      </c>
      <c r="G856" t="str">
        <f>IF(OR(Weekly_Inspections!$AQ856&lt;&gt;"",Weekly_Inspections!$AR856&lt;&gt;"",Weekly_Inspections!$AS856&lt;&gt;""),Weekly_Inspections!$AQ856,"")</f>
        <v/>
      </c>
      <c r="H856">
        <f>Weekly_Inspections!$AP856</f>
        <v>0</v>
      </c>
      <c r="I856">
        <f>Weekly_Inspections!$AR856</f>
        <v>0</v>
      </c>
      <c r="J856">
        <f>Weekly_Inspections!$AS856</f>
        <v>0</v>
      </c>
      <c r="K856">
        <f>Weekly_Inspections!$AU856</f>
        <v>0</v>
      </c>
      <c r="L856" s="24">
        <f>Weekly_Inspections!$AV856</f>
        <v>0</v>
      </c>
      <c r="M856" t="str">
        <f t="shared" si="39"/>
        <v>Open</v>
      </c>
      <c r="N856" s="24"/>
      <c r="O856">
        <f t="shared" ca="1" si="40"/>
        <v>46113</v>
      </c>
      <c r="P856" t="str">
        <f t="shared" ca="1" si="41"/>
        <v>YES</v>
      </c>
      <c r="Q856">
        <f>Weekly_Inspections!$AW856</f>
        <v>0</v>
      </c>
    </row>
    <row r="857" spans="1:17" ht="15" customHeight="1" x14ac:dyDescent="0.2">
      <c r="A857" t="str">
        <f>IF(Weekly_Inspections!$B857="","",Weekly_Inspections!$A857&amp;"-A1")</f>
        <v/>
      </c>
      <c r="B857" s="24">
        <f>Weekly_Inspections!$B857</f>
        <v>0</v>
      </c>
      <c r="C857">
        <f>Weekly_Inspections!$E857</f>
        <v>0</v>
      </c>
      <c r="D857">
        <f>Weekly_Inspections!$F857</f>
        <v>0</v>
      </c>
      <c r="E857" t="str">
        <f>Weekly_Inspections!$H857</f>
        <v/>
      </c>
      <c r="F857">
        <f>IF(Weekly_Inspections!$AX857&lt;&gt;"",Weekly_Inspections!$AX857,IF(Weekly_Inspections!$AY857&lt;&gt;"",Weekly_Inspections!$AY857,IF(Weekly_Inspections!$AZ857&lt;&gt;"",Weekly_Inspections!$AZ857,IF(Weekly_Inspections!$BA857&lt;&gt;"",Weekly_Inspections!$BA857,IF(Weekly_Inspections!$BB857&lt;&gt;"",Weekly_Inspections!$BB857,Weekly_Inspections!$R857)))))</f>
        <v>0</v>
      </c>
      <c r="G857" t="str">
        <f>IF(OR(Weekly_Inspections!$AQ857&lt;&gt;"",Weekly_Inspections!$AR857&lt;&gt;"",Weekly_Inspections!$AS857&lt;&gt;""),Weekly_Inspections!$AQ857,"")</f>
        <v/>
      </c>
      <c r="H857">
        <f>Weekly_Inspections!$AP857</f>
        <v>0</v>
      </c>
      <c r="I857">
        <f>Weekly_Inspections!$AR857</f>
        <v>0</v>
      </c>
      <c r="J857">
        <f>Weekly_Inspections!$AS857</f>
        <v>0</v>
      </c>
      <c r="K857">
        <f>Weekly_Inspections!$AU857</f>
        <v>0</v>
      </c>
      <c r="L857" s="24">
        <f>Weekly_Inspections!$AV857</f>
        <v>0</v>
      </c>
      <c r="M857" t="str">
        <f t="shared" si="39"/>
        <v>Open</v>
      </c>
      <c r="N857" s="24"/>
      <c r="O857">
        <f t="shared" ca="1" si="40"/>
        <v>46113</v>
      </c>
      <c r="P857" t="str">
        <f t="shared" ca="1" si="41"/>
        <v>YES</v>
      </c>
      <c r="Q857">
        <f>Weekly_Inspections!$AW857</f>
        <v>0</v>
      </c>
    </row>
    <row r="858" spans="1:17" ht="15" customHeight="1" x14ac:dyDescent="0.2">
      <c r="A858" t="str">
        <f>IF(Weekly_Inspections!$B858="","",Weekly_Inspections!$A858&amp;"-A1")</f>
        <v/>
      </c>
      <c r="B858" s="24">
        <f>Weekly_Inspections!$B858</f>
        <v>0</v>
      </c>
      <c r="C858">
        <f>Weekly_Inspections!$E858</f>
        <v>0</v>
      </c>
      <c r="D858">
        <f>Weekly_Inspections!$F858</f>
        <v>0</v>
      </c>
      <c r="E858" t="str">
        <f>Weekly_Inspections!$H858</f>
        <v/>
      </c>
      <c r="F858">
        <f>IF(Weekly_Inspections!$AX858&lt;&gt;"",Weekly_Inspections!$AX858,IF(Weekly_Inspections!$AY858&lt;&gt;"",Weekly_Inspections!$AY858,IF(Weekly_Inspections!$AZ858&lt;&gt;"",Weekly_Inspections!$AZ858,IF(Weekly_Inspections!$BA858&lt;&gt;"",Weekly_Inspections!$BA858,IF(Weekly_Inspections!$BB858&lt;&gt;"",Weekly_Inspections!$BB858,Weekly_Inspections!$R858)))))</f>
        <v>0</v>
      </c>
      <c r="G858" t="str">
        <f>IF(OR(Weekly_Inspections!$AQ858&lt;&gt;"",Weekly_Inspections!$AR858&lt;&gt;"",Weekly_Inspections!$AS858&lt;&gt;""),Weekly_Inspections!$AQ858,"")</f>
        <v/>
      </c>
      <c r="H858">
        <f>Weekly_Inspections!$AP858</f>
        <v>0</v>
      </c>
      <c r="I858">
        <f>Weekly_Inspections!$AR858</f>
        <v>0</v>
      </c>
      <c r="J858">
        <f>Weekly_Inspections!$AS858</f>
        <v>0</v>
      </c>
      <c r="K858">
        <f>Weekly_Inspections!$AU858</f>
        <v>0</v>
      </c>
      <c r="L858" s="24">
        <f>Weekly_Inspections!$AV858</f>
        <v>0</v>
      </c>
      <c r="M858" t="str">
        <f t="shared" si="39"/>
        <v>Open</v>
      </c>
      <c r="N858" s="24"/>
      <c r="O858">
        <f t="shared" ca="1" si="40"/>
        <v>46113</v>
      </c>
      <c r="P858" t="str">
        <f t="shared" ca="1" si="41"/>
        <v>YES</v>
      </c>
      <c r="Q858">
        <f>Weekly_Inspections!$AW858</f>
        <v>0</v>
      </c>
    </row>
    <row r="859" spans="1:17" ht="15" customHeight="1" x14ac:dyDescent="0.2">
      <c r="A859" t="str">
        <f>IF(Weekly_Inspections!$B859="","",Weekly_Inspections!$A859&amp;"-A1")</f>
        <v/>
      </c>
      <c r="B859" s="24">
        <f>Weekly_Inspections!$B859</f>
        <v>0</v>
      </c>
      <c r="C859">
        <f>Weekly_Inspections!$E859</f>
        <v>0</v>
      </c>
      <c r="D859">
        <f>Weekly_Inspections!$F859</f>
        <v>0</v>
      </c>
      <c r="E859" t="str">
        <f>Weekly_Inspections!$H859</f>
        <v/>
      </c>
      <c r="F859">
        <f>IF(Weekly_Inspections!$AX859&lt;&gt;"",Weekly_Inspections!$AX859,IF(Weekly_Inspections!$AY859&lt;&gt;"",Weekly_Inspections!$AY859,IF(Weekly_Inspections!$AZ859&lt;&gt;"",Weekly_Inspections!$AZ859,IF(Weekly_Inspections!$BA859&lt;&gt;"",Weekly_Inspections!$BA859,IF(Weekly_Inspections!$BB859&lt;&gt;"",Weekly_Inspections!$BB859,Weekly_Inspections!$R859)))))</f>
        <v>0</v>
      </c>
      <c r="G859" t="str">
        <f>IF(OR(Weekly_Inspections!$AQ859&lt;&gt;"",Weekly_Inspections!$AR859&lt;&gt;"",Weekly_Inspections!$AS859&lt;&gt;""),Weekly_Inspections!$AQ859,"")</f>
        <v/>
      </c>
      <c r="H859">
        <f>Weekly_Inspections!$AP859</f>
        <v>0</v>
      </c>
      <c r="I859">
        <f>Weekly_Inspections!$AR859</f>
        <v>0</v>
      </c>
      <c r="J859">
        <f>Weekly_Inspections!$AS859</f>
        <v>0</v>
      </c>
      <c r="K859">
        <f>Weekly_Inspections!$AU859</f>
        <v>0</v>
      </c>
      <c r="L859" s="24">
        <f>Weekly_Inspections!$AV859</f>
        <v>0</v>
      </c>
      <c r="M859" t="str">
        <f t="shared" si="39"/>
        <v>Open</v>
      </c>
      <c r="N859" s="24"/>
      <c r="O859">
        <f t="shared" ca="1" si="40"/>
        <v>46113</v>
      </c>
      <c r="P859" t="str">
        <f t="shared" ca="1" si="41"/>
        <v>YES</v>
      </c>
      <c r="Q859">
        <f>Weekly_Inspections!$AW859</f>
        <v>0</v>
      </c>
    </row>
    <row r="860" spans="1:17" ht="15" customHeight="1" x14ac:dyDescent="0.2">
      <c r="A860" t="str">
        <f>IF(Weekly_Inspections!$B860="","",Weekly_Inspections!$A860&amp;"-A1")</f>
        <v/>
      </c>
      <c r="B860" s="24">
        <f>Weekly_Inspections!$B860</f>
        <v>0</v>
      </c>
      <c r="C860">
        <f>Weekly_Inspections!$E860</f>
        <v>0</v>
      </c>
      <c r="D860">
        <f>Weekly_Inspections!$F860</f>
        <v>0</v>
      </c>
      <c r="E860" t="str">
        <f>Weekly_Inspections!$H860</f>
        <v/>
      </c>
      <c r="F860">
        <f>IF(Weekly_Inspections!$AX860&lt;&gt;"",Weekly_Inspections!$AX860,IF(Weekly_Inspections!$AY860&lt;&gt;"",Weekly_Inspections!$AY860,IF(Weekly_Inspections!$AZ860&lt;&gt;"",Weekly_Inspections!$AZ860,IF(Weekly_Inspections!$BA860&lt;&gt;"",Weekly_Inspections!$BA860,IF(Weekly_Inspections!$BB860&lt;&gt;"",Weekly_Inspections!$BB860,Weekly_Inspections!$R860)))))</f>
        <v>0</v>
      </c>
      <c r="G860" t="str">
        <f>IF(OR(Weekly_Inspections!$AQ860&lt;&gt;"",Weekly_Inspections!$AR860&lt;&gt;"",Weekly_Inspections!$AS860&lt;&gt;""),Weekly_Inspections!$AQ860,"")</f>
        <v/>
      </c>
      <c r="H860">
        <f>Weekly_Inspections!$AP860</f>
        <v>0</v>
      </c>
      <c r="I860">
        <f>Weekly_Inspections!$AR860</f>
        <v>0</v>
      </c>
      <c r="J860">
        <f>Weekly_Inspections!$AS860</f>
        <v>0</v>
      </c>
      <c r="K860">
        <f>Weekly_Inspections!$AU860</f>
        <v>0</v>
      </c>
      <c r="L860" s="24">
        <f>Weekly_Inspections!$AV860</f>
        <v>0</v>
      </c>
      <c r="M860" t="str">
        <f t="shared" si="39"/>
        <v>Open</v>
      </c>
      <c r="N860" s="24"/>
      <c r="O860">
        <f t="shared" ca="1" si="40"/>
        <v>46113</v>
      </c>
      <c r="P860" t="str">
        <f t="shared" ca="1" si="41"/>
        <v>YES</v>
      </c>
      <c r="Q860">
        <f>Weekly_Inspections!$AW860</f>
        <v>0</v>
      </c>
    </row>
    <row r="861" spans="1:17" ht="15" customHeight="1" x14ac:dyDescent="0.2">
      <c r="A861" t="str">
        <f>IF(Weekly_Inspections!$B861="","",Weekly_Inspections!$A861&amp;"-A1")</f>
        <v/>
      </c>
      <c r="B861" s="24">
        <f>Weekly_Inspections!$B861</f>
        <v>0</v>
      </c>
      <c r="C861">
        <f>Weekly_Inspections!$E861</f>
        <v>0</v>
      </c>
      <c r="D861">
        <f>Weekly_Inspections!$F861</f>
        <v>0</v>
      </c>
      <c r="E861" t="str">
        <f>Weekly_Inspections!$H861</f>
        <v/>
      </c>
      <c r="F861">
        <f>IF(Weekly_Inspections!$AX861&lt;&gt;"",Weekly_Inspections!$AX861,IF(Weekly_Inspections!$AY861&lt;&gt;"",Weekly_Inspections!$AY861,IF(Weekly_Inspections!$AZ861&lt;&gt;"",Weekly_Inspections!$AZ861,IF(Weekly_Inspections!$BA861&lt;&gt;"",Weekly_Inspections!$BA861,IF(Weekly_Inspections!$BB861&lt;&gt;"",Weekly_Inspections!$BB861,Weekly_Inspections!$R861)))))</f>
        <v>0</v>
      </c>
      <c r="G861" t="str">
        <f>IF(OR(Weekly_Inspections!$AQ861&lt;&gt;"",Weekly_Inspections!$AR861&lt;&gt;"",Weekly_Inspections!$AS861&lt;&gt;""),Weekly_Inspections!$AQ861,"")</f>
        <v/>
      </c>
      <c r="H861">
        <f>Weekly_Inspections!$AP861</f>
        <v>0</v>
      </c>
      <c r="I861">
        <f>Weekly_Inspections!$AR861</f>
        <v>0</v>
      </c>
      <c r="J861">
        <f>Weekly_Inspections!$AS861</f>
        <v>0</v>
      </c>
      <c r="K861">
        <f>Weekly_Inspections!$AU861</f>
        <v>0</v>
      </c>
      <c r="L861" s="24">
        <f>Weekly_Inspections!$AV861</f>
        <v>0</v>
      </c>
      <c r="M861" t="str">
        <f t="shared" si="39"/>
        <v>Open</v>
      </c>
      <c r="N861" s="24"/>
      <c r="O861">
        <f t="shared" ca="1" si="40"/>
        <v>46113</v>
      </c>
      <c r="P861" t="str">
        <f t="shared" ca="1" si="41"/>
        <v>YES</v>
      </c>
      <c r="Q861">
        <f>Weekly_Inspections!$AW861</f>
        <v>0</v>
      </c>
    </row>
    <row r="862" spans="1:17" ht="15" customHeight="1" x14ac:dyDescent="0.2">
      <c r="A862" t="str">
        <f>IF(Weekly_Inspections!$B862="","",Weekly_Inspections!$A862&amp;"-A1")</f>
        <v/>
      </c>
      <c r="B862" s="24">
        <f>Weekly_Inspections!$B862</f>
        <v>0</v>
      </c>
      <c r="C862">
        <f>Weekly_Inspections!$E862</f>
        <v>0</v>
      </c>
      <c r="D862">
        <f>Weekly_Inspections!$F862</f>
        <v>0</v>
      </c>
      <c r="E862" t="str">
        <f>Weekly_Inspections!$H862</f>
        <v/>
      </c>
      <c r="F862">
        <f>IF(Weekly_Inspections!$AX862&lt;&gt;"",Weekly_Inspections!$AX862,IF(Weekly_Inspections!$AY862&lt;&gt;"",Weekly_Inspections!$AY862,IF(Weekly_Inspections!$AZ862&lt;&gt;"",Weekly_Inspections!$AZ862,IF(Weekly_Inspections!$BA862&lt;&gt;"",Weekly_Inspections!$BA862,IF(Weekly_Inspections!$BB862&lt;&gt;"",Weekly_Inspections!$BB862,Weekly_Inspections!$R862)))))</f>
        <v>0</v>
      </c>
      <c r="G862" t="str">
        <f>IF(OR(Weekly_Inspections!$AQ862&lt;&gt;"",Weekly_Inspections!$AR862&lt;&gt;"",Weekly_Inspections!$AS862&lt;&gt;""),Weekly_Inspections!$AQ862,"")</f>
        <v/>
      </c>
      <c r="H862">
        <f>Weekly_Inspections!$AP862</f>
        <v>0</v>
      </c>
      <c r="I862">
        <f>Weekly_Inspections!$AR862</f>
        <v>0</v>
      </c>
      <c r="J862">
        <f>Weekly_Inspections!$AS862</f>
        <v>0</v>
      </c>
      <c r="K862">
        <f>Weekly_Inspections!$AU862</f>
        <v>0</v>
      </c>
      <c r="L862" s="24">
        <f>Weekly_Inspections!$AV862</f>
        <v>0</v>
      </c>
      <c r="M862" t="str">
        <f t="shared" si="39"/>
        <v>Open</v>
      </c>
      <c r="N862" s="24"/>
      <c r="O862">
        <f t="shared" ca="1" si="40"/>
        <v>46113</v>
      </c>
      <c r="P862" t="str">
        <f t="shared" ca="1" si="41"/>
        <v>YES</v>
      </c>
      <c r="Q862">
        <f>Weekly_Inspections!$AW862</f>
        <v>0</v>
      </c>
    </row>
    <row r="863" spans="1:17" ht="15" customHeight="1" x14ac:dyDescent="0.2">
      <c r="A863" t="str">
        <f>IF(Weekly_Inspections!$B863="","",Weekly_Inspections!$A863&amp;"-A1")</f>
        <v/>
      </c>
      <c r="B863" s="24">
        <f>Weekly_Inspections!$B863</f>
        <v>0</v>
      </c>
      <c r="C863">
        <f>Weekly_Inspections!$E863</f>
        <v>0</v>
      </c>
      <c r="D863">
        <f>Weekly_Inspections!$F863</f>
        <v>0</v>
      </c>
      <c r="E863" t="str">
        <f>Weekly_Inspections!$H863</f>
        <v/>
      </c>
      <c r="F863">
        <f>IF(Weekly_Inspections!$AX863&lt;&gt;"",Weekly_Inspections!$AX863,IF(Weekly_Inspections!$AY863&lt;&gt;"",Weekly_Inspections!$AY863,IF(Weekly_Inspections!$AZ863&lt;&gt;"",Weekly_Inspections!$AZ863,IF(Weekly_Inspections!$BA863&lt;&gt;"",Weekly_Inspections!$BA863,IF(Weekly_Inspections!$BB863&lt;&gt;"",Weekly_Inspections!$BB863,Weekly_Inspections!$R863)))))</f>
        <v>0</v>
      </c>
      <c r="G863" t="str">
        <f>IF(OR(Weekly_Inspections!$AQ863&lt;&gt;"",Weekly_Inspections!$AR863&lt;&gt;"",Weekly_Inspections!$AS863&lt;&gt;""),Weekly_Inspections!$AQ863,"")</f>
        <v/>
      </c>
      <c r="H863">
        <f>Weekly_Inspections!$AP863</f>
        <v>0</v>
      </c>
      <c r="I863">
        <f>Weekly_Inspections!$AR863</f>
        <v>0</v>
      </c>
      <c r="J863">
        <f>Weekly_Inspections!$AS863</f>
        <v>0</v>
      </c>
      <c r="K863">
        <f>Weekly_Inspections!$AU863</f>
        <v>0</v>
      </c>
      <c r="L863" s="24">
        <f>Weekly_Inspections!$AV863</f>
        <v>0</v>
      </c>
      <c r="M863" t="str">
        <f t="shared" si="39"/>
        <v>Open</v>
      </c>
      <c r="N863" s="24"/>
      <c r="O863">
        <f t="shared" ca="1" si="40"/>
        <v>46113</v>
      </c>
      <c r="P863" t="str">
        <f t="shared" ca="1" si="41"/>
        <v>YES</v>
      </c>
      <c r="Q863">
        <f>Weekly_Inspections!$AW863</f>
        <v>0</v>
      </c>
    </row>
    <row r="864" spans="1:17" ht="15" customHeight="1" x14ac:dyDescent="0.2">
      <c r="A864" t="str">
        <f>IF(Weekly_Inspections!$B864="","",Weekly_Inspections!$A864&amp;"-A1")</f>
        <v/>
      </c>
      <c r="B864" s="24">
        <f>Weekly_Inspections!$B864</f>
        <v>0</v>
      </c>
      <c r="C864">
        <f>Weekly_Inspections!$E864</f>
        <v>0</v>
      </c>
      <c r="D864">
        <f>Weekly_Inspections!$F864</f>
        <v>0</v>
      </c>
      <c r="E864" t="str">
        <f>Weekly_Inspections!$H864</f>
        <v/>
      </c>
      <c r="F864">
        <f>IF(Weekly_Inspections!$AX864&lt;&gt;"",Weekly_Inspections!$AX864,IF(Weekly_Inspections!$AY864&lt;&gt;"",Weekly_Inspections!$AY864,IF(Weekly_Inspections!$AZ864&lt;&gt;"",Weekly_Inspections!$AZ864,IF(Weekly_Inspections!$BA864&lt;&gt;"",Weekly_Inspections!$BA864,IF(Weekly_Inspections!$BB864&lt;&gt;"",Weekly_Inspections!$BB864,Weekly_Inspections!$R864)))))</f>
        <v>0</v>
      </c>
      <c r="G864" t="str">
        <f>IF(OR(Weekly_Inspections!$AQ864&lt;&gt;"",Weekly_Inspections!$AR864&lt;&gt;"",Weekly_Inspections!$AS864&lt;&gt;""),Weekly_Inspections!$AQ864,"")</f>
        <v/>
      </c>
      <c r="H864">
        <f>Weekly_Inspections!$AP864</f>
        <v>0</v>
      </c>
      <c r="I864">
        <f>Weekly_Inspections!$AR864</f>
        <v>0</v>
      </c>
      <c r="J864">
        <f>Weekly_Inspections!$AS864</f>
        <v>0</v>
      </c>
      <c r="K864">
        <f>Weekly_Inspections!$AU864</f>
        <v>0</v>
      </c>
      <c r="L864" s="24">
        <f>Weekly_Inspections!$AV864</f>
        <v>0</v>
      </c>
      <c r="M864" t="str">
        <f t="shared" si="39"/>
        <v>Open</v>
      </c>
      <c r="N864" s="24"/>
      <c r="O864">
        <f t="shared" ca="1" si="40"/>
        <v>46113</v>
      </c>
      <c r="P864" t="str">
        <f t="shared" ca="1" si="41"/>
        <v>YES</v>
      </c>
      <c r="Q864">
        <f>Weekly_Inspections!$AW864</f>
        <v>0</v>
      </c>
    </row>
    <row r="865" spans="1:17" ht="15" customHeight="1" x14ac:dyDescent="0.2">
      <c r="A865" t="str">
        <f>IF(Weekly_Inspections!$B865="","",Weekly_Inspections!$A865&amp;"-A1")</f>
        <v/>
      </c>
      <c r="B865" s="24">
        <f>Weekly_Inspections!$B865</f>
        <v>0</v>
      </c>
      <c r="C865">
        <f>Weekly_Inspections!$E865</f>
        <v>0</v>
      </c>
      <c r="D865">
        <f>Weekly_Inspections!$F865</f>
        <v>0</v>
      </c>
      <c r="E865" t="str">
        <f>Weekly_Inspections!$H865</f>
        <v/>
      </c>
      <c r="F865">
        <f>IF(Weekly_Inspections!$AX865&lt;&gt;"",Weekly_Inspections!$AX865,IF(Weekly_Inspections!$AY865&lt;&gt;"",Weekly_Inspections!$AY865,IF(Weekly_Inspections!$AZ865&lt;&gt;"",Weekly_Inspections!$AZ865,IF(Weekly_Inspections!$BA865&lt;&gt;"",Weekly_Inspections!$BA865,IF(Weekly_Inspections!$BB865&lt;&gt;"",Weekly_Inspections!$BB865,Weekly_Inspections!$R865)))))</f>
        <v>0</v>
      </c>
      <c r="G865" t="str">
        <f>IF(OR(Weekly_Inspections!$AQ865&lt;&gt;"",Weekly_Inspections!$AR865&lt;&gt;"",Weekly_Inspections!$AS865&lt;&gt;""),Weekly_Inspections!$AQ865,"")</f>
        <v/>
      </c>
      <c r="H865">
        <f>Weekly_Inspections!$AP865</f>
        <v>0</v>
      </c>
      <c r="I865">
        <f>Weekly_Inspections!$AR865</f>
        <v>0</v>
      </c>
      <c r="J865">
        <f>Weekly_Inspections!$AS865</f>
        <v>0</v>
      </c>
      <c r="K865">
        <f>Weekly_Inspections!$AU865</f>
        <v>0</v>
      </c>
      <c r="L865" s="24">
        <f>Weekly_Inspections!$AV865</f>
        <v>0</v>
      </c>
      <c r="M865" t="str">
        <f t="shared" si="39"/>
        <v>Open</v>
      </c>
      <c r="N865" s="24"/>
      <c r="O865">
        <f t="shared" ca="1" si="40"/>
        <v>46113</v>
      </c>
      <c r="P865" t="str">
        <f t="shared" ca="1" si="41"/>
        <v>YES</v>
      </c>
      <c r="Q865">
        <f>Weekly_Inspections!$AW865</f>
        <v>0</v>
      </c>
    </row>
    <row r="866" spans="1:17" ht="15" customHeight="1" x14ac:dyDescent="0.2">
      <c r="A866" t="str">
        <f>IF(Weekly_Inspections!$B866="","",Weekly_Inspections!$A866&amp;"-A1")</f>
        <v/>
      </c>
      <c r="B866" s="24">
        <f>Weekly_Inspections!$B866</f>
        <v>0</v>
      </c>
      <c r="C866">
        <f>Weekly_Inspections!$E866</f>
        <v>0</v>
      </c>
      <c r="D866">
        <f>Weekly_Inspections!$F866</f>
        <v>0</v>
      </c>
      <c r="E866" t="str">
        <f>Weekly_Inspections!$H866</f>
        <v/>
      </c>
      <c r="F866">
        <f>IF(Weekly_Inspections!$AX866&lt;&gt;"",Weekly_Inspections!$AX866,IF(Weekly_Inspections!$AY866&lt;&gt;"",Weekly_Inspections!$AY866,IF(Weekly_Inspections!$AZ866&lt;&gt;"",Weekly_Inspections!$AZ866,IF(Weekly_Inspections!$BA866&lt;&gt;"",Weekly_Inspections!$BA866,IF(Weekly_Inspections!$BB866&lt;&gt;"",Weekly_Inspections!$BB866,Weekly_Inspections!$R866)))))</f>
        <v>0</v>
      </c>
      <c r="G866" t="str">
        <f>IF(OR(Weekly_Inspections!$AQ866&lt;&gt;"",Weekly_Inspections!$AR866&lt;&gt;"",Weekly_Inspections!$AS866&lt;&gt;""),Weekly_Inspections!$AQ866,"")</f>
        <v/>
      </c>
      <c r="H866">
        <f>Weekly_Inspections!$AP866</f>
        <v>0</v>
      </c>
      <c r="I866">
        <f>Weekly_Inspections!$AR866</f>
        <v>0</v>
      </c>
      <c r="J866">
        <f>Weekly_Inspections!$AS866</f>
        <v>0</v>
      </c>
      <c r="K866">
        <f>Weekly_Inspections!$AU866</f>
        <v>0</v>
      </c>
      <c r="L866" s="24">
        <f>Weekly_Inspections!$AV866</f>
        <v>0</v>
      </c>
      <c r="M866" t="str">
        <f t="shared" si="39"/>
        <v>Open</v>
      </c>
      <c r="N866" s="24"/>
      <c r="O866">
        <f t="shared" ca="1" si="40"/>
        <v>46113</v>
      </c>
      <c r="P866" t="str">
        <f t="shared" ca="1" si="41"/>
        <v>YES</v>
      </c>
      <c r="Q866">
        <f>Weekly_Inspections!$AW866</f>
        <v>0</v>
      </c>
    </row>
    <row r="867" spans="1:17" ht="15" customHeight="1" x14ac:dyDescent="0.2">
      <c r="A867" t="str">
        <f>IF(Weekly_Inspections!$B867="","",Weekly_Inspections!$A867&amp;"-A1")</f>
        <v/>
      </c>
      <c r="B867" s="24">
        <f>Weekly_Inspections!$B867</f>
        <v>0</v>
      </c>
      <c r="C867">
        <f>Weekly_Inspections!$E867</f>
        <v>0</v>
      </c>
      <c r="D867">
        <f>Weekly_Inspections!$F867</f>
        <v>0</v>
      </c>
      <c r="E867" t="str">
        <f>Weekly_Inspections!$H867</f>
        <v/>
      </c>
      <c r="F867">
        <f>IF(Weekly_Inspections!$AX867&lt;&gt;"",Weekly_Inspections!$AX867,IF(Weekly_Inspections!$AY867&lt;&gt;"",Weekly_Inspections!$AY867,IF(Weekly_Inspections!$AZ867&lt;&gt;"",Weekly_Inspections!$AZ867,IF(Weekly_Inspections!$BA867&lt;&gt;"",Weekly_Inspections!$BA867,IF(Weekly_Inspections!$BB867&lt;&gt;"",Weekly_Inspections!$BB867,Weekly_Inspections!$R867)))))</f>
        <v>0</v>
      </c>
      <c r="G867" t="str">
        <f>IF(OR(Weekly_Inspections!$AQ867&lt;&gt;"",Weekly_Inspections!$AR867&lt;&gt;"",Weekly_Inspections!$AS867&lt;&gt;""),Weekly_Inspections!$AQ867,"")</f>
        <v/>
      </c>
      <c r="H867">
        <f>Weekly_Inspections!$AP867</f>
        <v>0</v>
      </c>
      <c r="I867">
        <f>Weekly_Inspections!$AR867</f>
        <v>0</v>
      </c>
      <c r="J867">
        <f>Weekly_Inspections!$AS867</f>
        <v>0</v>
      </c>
      <c r="K867">
        <f>Weekly_Inspections!$AU867</f>
        <v>0</v>
      </c>
      <c r="L867" s="24">
        <f>Weekly_Inspections!$AV867</f>
        <v>0</v>
      </c>
      <c r="M867" t="str">
        <f t="shared" si="39"/>
        <v>Open</v>
      </c>
      <c r="N867" s="24"/>
      <c r="O867">
        <f t="shared" ca="1" si="40"/>
        <v>46113</v>
      </c>
      <c r="P867" t="str">
        <f t="shared" ca="1" si="41"/>
        <v>YES</v>
      </c>
      <c r="Q867">
        <f>Weekly_Inspections!$AW867</f>
        <v>0</v>
      </c>
    </row>
    <row r="868" spans="1:17" ht="15" customHeight="1" x14ac:dyDescent="0.2">
      <c r="A868" t="str">
        <f>IF(Weekly_Inspections!$B868="","",Weekly_Inspections!$A868&amp;"-A1")</f>
        <v/>
      </c>
      <c r="B868" s="24">
        <f>Weekly_Inspections!$B868</f>
        <v>0</v>
      </c>
      <c r="C868">
        <f>Weekly_Inspections!$E868</f>
        <v>0</v>
      </c>
      <c r="D868">
        <f>Weekly_Inspections!$F868</f>
        <v>0</v>
      </c>
      <c r="E868" t="str">
        <f>Weekly_Inspections!$H868</f>
        <v/>
      </c>
      <c r="F868">
        <f>IF(Weekly_Inspections!$AX868&lt;&gt;"",Weekly_Inspections!$AX868,IF(Weekly_Inspections!$AY868&lt;&gt;"",Weekly_Inspections!$AY868,IF(Weekly_Inspections!$AZ868&lt;&gt;"",Weekly_Inspections!$AZ868,IF(Weekly_Inspections!$BA868&lt;&gt;"",Weekly_Inspections!$BA868,IF(Weekly_Inspections!$BB868&lt;&gt;"",Weekly_Inspections!$BB868,Weekly_Inspections!$R868)))))</f>
        <v>0</v>
      </c>
      <c r="G868" t="str">
        <f>IF(OR(Weekly_Inspections!$AQ868&lt;&gt;"",Weekly_Inspections!$AR868&lt;&gt;"",Weekly_Inspections!$AS868&lt;&gt;""),Weekly_Inspections!$AQ868,"")</f>
        <v/>
      </c>
      <c r="H868">
        <f>Weekly_Inspections!$AP868</f>
        <v>0</v>
      </c>
      <c r="I868">
        <f>Weekly_Inspections!$AR868</f>
        <v>0</v>
      </c>
      <c r="J868">
        <f>Weekly_Inspections!$AS868</f>
        <v>0</v>
      </c>
      <c r="K868">
        <f>Weekly_Inspections!$AU868</f>
        <v>0</v>
      </c>
      <c r="L868" s="24">
        <f>Weekly_Inspections!$AV868</f>
        <v>0</v>
      </c>
      <c r="M868" t="str">
        <f t="shared" si="39"/>
        <v>Open</v>
      </c>
      <c r="N868" s="24"/>
      <c r="O868">
        <f t="shared" ca="1" si="40"/>
        <v>46113</v>
      </c>
      <c r="P868" t="str">
        <f t="shared" ca="1" si="41"/>
        <v>YES</v>
      </c>
      <c r="Q868">
        <f>Weekly_Inspections!$AW868</f>
        <v>0</v>
      </c>
    </row>
    <row r="869" spans="1:17" ht="15" customHeight="1" x14ac:dyDescent="0.2">
      <c r="A869" t="str">
        <f>IF(Weekly_Inspections!$B869="","",Weekly_Inspections!$A869&amp;"-A1")</f>
        <v/>
      </c>
      <c r="B869" s="24">
        <f>Weekly_Inspections!$B869</f>
        <v>0</v>
      </c>
      <c r="C869">
        <f>Weekly_Inspections!$E869</f>
        <v>0</v>
      </c>
      <c r="D869">
        <f>Weekly_Inspections!$F869</f>
        <v>0</v>
      </c>
      <c r="E869" t="str">
        <f>Weekly_Inspections!$H869</f>
        <v/>
      </c>
      <c r="F869">
        <f>IF(Weekly_Inspections!$AX869&lt;&gt;"",Weekly_Inspections!$AX869,IF(Weekly_Inspections!$AY869&lt;&gt;"",Weekly_Inspections!$AY869,IF(Weekly_Inspections!$AZ869&lt;&gt;"",Weekly_Inspections!$AZ869,IF(Weekly_Inspections!$BA869&lt;&gt;"",Weekly_Inspections!$BA869,IF(Weekly_Inspections!$BB869&lt;&gt;"",Weekly_Inspections!$BB869,Weekly_Inspections!$R869)))))</f>
        <v>0</v>
      </c>
      <c r="G869" t="str">
        <f>IF(OR(Weekly_Inspections!$AQ869&lt;&gt;"",Weekly_Inspections!$AR869&lt;&gt;"",Weekly_Inspections!$AS869&lt;&gt;""),Weekly_Inspections!$AQ869,"")</f>
        <v/>
      </c>
      <c r="H869">
        <f>Weekly_Inspections!$AP869</f>
        <v>0</v>
      </c>
      <c r="I869">
        <f>Weekly_Inspections!$AR869</f>
        <v>0</v>
      </c>
      <c r="J869">
        <f>Weekly_Inspections!$AS869</f>
        <v>0</v>
      </c>
      <c r="K869">
        <f>Weekly_Inspections!$AU869</f>
        <v>0</v>
      </c>
      <c r="L869" s="24">
        <f>Weekly_Inspections!$AV869</f>
        <v>0</v>
      </c>
      <c r="M869" t="str">
        <f t="shared" si="39"/>
        <v>Open</v>
      </c>
      <c r="N869" s="24"/>
      <c r="O869">
        <f t="shared" ca="1" si="40"/>
        <v>46113</v>
      </c>
      <c r="P869" t="str">
        <f t="shared" ca="1" si="41"/>
        <v>YES</v>
      </c>
      <c r="Q869">
        <f>Weekly_Inspections!$AW869</f>
        <v>0</v>
      </c>
    </row>
    <row r="870" spans="1:17" ht="15" customHeight="1" x14ac:dyDescent="0.2">
      <c r="A870" t="str">
        <f>IF(Weekly_Inspections!$B870="","",Weekly_Inspections!$A870&amp;"-A1")</f>
        <v/>
      </c>
      <c r="B870" s="24">
        <f>Weekly_Inspections!$B870</f>
        <v>0</v>
      </c>
      <c r="C870">
        <f>Weekly_Inspections!$E870</f>
        <v>0</v>
      </c>
      <c r="D870">
        <f>Weekly_Inspections!$F870</f>
        <v>0</v>
      </c>
      <c r="E870" t="str">
        <f>Weekly_Inspections!$H870</f>
        <v/>
      </c>
      <c r="F870">
        <f>IF(Weekly_Inspections!$AX870&lt;&gt;"",Weekly_Inspections!$AX870,IF(Weekly_Inspections!$AY870&lt;&gt;"",Weekly_Inspections!$AY870,IF(Weekly_Inspections!$AZ870&lt;&gt;"",Weekly_Inspections!$AZ870,IF(Weekly_Inspections!$BA870&lt;&gt;"",Weekly_Inspections!$BA870,IF(Weekly_Inspections!$BB870&lt;&gt;"",Weekly_Inspections!$BB870,Weekly_Inspections!$R870)))))</f>
        <v>0</v>
      </c>
      <c r="G870" t="str">
        <f>IF(OR(Weekly_Inspections!$AQ870&lt;&gt;"",Weekly_Inspections!$AR870&lt;&gt;"",Weekly_Inspections!$AS870&lt;&gt;""),Weekly_Inspections!$AQ870,"")</f>
        <v/>
      </c>
      <c r="H870">
        <f>Weekly_Inspections!$AP870</f>
        <v>0</v>
      </c>
      <c r="I870">
        <f>Weekly_Inspections!$AR870</f>
        <v>0</v>
      </c>
      <c r="J870">
        <f>Weekly_Inspections!$AS870</f>
        <v>0</v>
      </c>
      <c r="K870">
        <f>Weekly_Inspections!$AU870</f>
        <v>0</v>
      </c>
      <c r="L870" s="24">
        <f>Weekly_Inspections!$AV870</f>
        <v>0</v>
      </c>
      <c r="M870" t="str">
        <f t="shared" si="39"/>
        <v>Open</v>
      </c>
      <c r="N870" s="24"/>
      <c r="O870">
        <f t="shared" ca="1" si="40"/>
        <v>46113</v>
      </c>
      <c r="P870" t="str">
        <f t="shared" ca="1" si="41"/>
        <v>YES</v>
      </c>
      <c r="Q870">
        <f>Weekly_Inspections!$AW870</f>
        <v>0</v>
      </c>
    </row>
    <row r="871" spans="1:17" ht="15" customHeight="1" x14ac:dyDescent="0.2">
      <c r="A871" t="str">
        <f>IF(Weekly_Inspections!$B871="","",Weekly_Inspections!$A871&amp;"-A1")</f>
        <v/>
      </c>
      <c r="B871" s="24">
        <f>Weekly_Inspections!$B871</f>
        <v>0</v>
      </c>
      <c r="C871">
        <f>Weekly_Inspections!$E871</f>
        <v>0</v>
      </c>
      <c r="D871">
        <f>Weekly_Inspections!$F871</f>
        <v>0</v>
      </c>
      <c r="E871" t="str">
        <f>Weekly_Inspections!$H871</f>
        <v/>
      </c>
      <c r="F871">
        <f>IF(Weekly_Inspections!$AX871&lt;&gt;"",Weekly_Inspections!$AX871,IF(Weekly_Inspections!$AY871&lt;&gt;"",Weekly_Inspections!$AY871,IF(Weekly_Inspections!$AZ871&lt;&gt;"",Weekly_Inspections!$AZ871,IF(Weekly_Inspections!$BA871&lt;&gt;"",Weekly_Inspections!$BA871,IF(Weekly_Inspections!$BB871&lt;&gt;"",Weekly_Inspections!$BB871,Weekly_Inspections!$R871)))))</f>
        <v>0</v>
      </c>
      <c r="G871" t="str">
        <f>IF(OR(Weekly_Inspections!$AQ871&lt;&gt;"",Weekly_Inspections!$AR871&lt;&gt;"",Weekly_Inspections!$AS871&lt;&gt;""),Weekly_Inspections!$AQ871,"")</f>
        <v/>
      </c>
      <c r="H871">
        <f>Weekly_Inspections!$AP871</f>
        <v>0</v>
      </c>
      <c r="I871">
        <f>Weekly_Inspections!$AR871</f>
        <v>0</v>
      </c>
      <c r="J871">
        <f>Weekly_Inspections!$AS871</f>
        <v>0</v>
      </c>
      <c r="K871">
        <f>Weekly_Inspections!$AU871</f>
        <v>0</v>
      </c>
      <c r="L871" s="24">
        <f>Weekly_Inspections!$AV871</f>
        <v>0</v>
      </c>
      <c r="M871" t="str">
        <f t="shared" si="39"/>
        <v>Open</v>
      </c>
      <c r="N871" s="24"/>
      <c r="O871">
        <f t="shared" ca="1" si="40"/>
        <v>46113</v>
      </c>
      <c r="P871" t="str">
        <f t="shared" ca="1" si="41"/>
        <v>YES</v>
      </c>
      <c r="Q871">
        <f>Weekly_Inspections!$AW871</f>
        <v>0</v>
      </c>
    </row>
    <row r="872" spans="1:17" ht="15" customHeight="1" x14ac:dyDescent="0.2">
      <c r="A872" t="str">
        <f>IF(Weekly_Inspections!$B872="","",Weekly_Inspections!$A872&amp;"-A1")</f>
        <v/>
      </c>
      <c r="B872" s="24">
        <f>Weekly_Inspections!$B872</f>
        <v>0</v>
      </c>
      <c r="C872">
        <f>Weekly_Inspections!$E872</f>
        <v>0</v>
      </c>
      <c r="D872">
        <f>Weekly_Inspections!$F872</f>
        <v>0</v>
      </c>
      <c r="E872" t="str">
        <f>Weekly_Inspections!$H872</f>
        <v/>
      </c>
      <c r="F872">
        <f>IF(Weekly_Inspections!$AX872&lt;&gt;"",Weekly_Inspections!$AX872,IF(Weekly_Inspections!$AY872&lt;&gt;"",Weekly_Inspections!$AY872,IF(Weekly_Inspections!$AZ872&lt;&gt;"",Weekly_Inspections!$AZ872,IF(Weekly_Inspections!$BA872&lt;&gt;"",Weekly_Inspections!$BA872,IF(Weekly_Inspections!$BB872&lt;&gt;"",Weekly_Inspections!$BB872,Weekly_Inspections!$R872)))))</f>
        <v>0</v>
      </c>
      <c r="G872" t="str">
        <f>IF(OR(Weekly_Inspections!$AQ872&lt;&gt;"",Weekly_Inspections!$AR872&lt;&gt;"",Weekly_Inspections!$AS872&lt;&gt;""),Weekly_Inspections!$AQ872,"")</f>
        <v/>
      </c>
      <c r="H872">
        <f>Weekly_Inspections!$AP872</f>
        <v>0</v>
      </c>
      <c r="I872">
        <f>Weekly_Inspections!$AR872</f>
        <v>0</v>
      </c>
      <c r="J872">
        <f>Weekly_Inspections!$AS872</f>
        <v>0</v>
      </c>
      <c r="K872">
        <f>Weekly_Inspections!$AU872</f>
        <v>0</v>
      </c>
      <c r="L872" s="24">
        <f>Weekly_Inspections!$AV872</f>
        <v>0</v>
      </c>
      <c r="M872" t="str">
        <f t="shared" si="39"/>
        <v>Open</v>
      </c>
      <c r="N872" s="24"/>
      <c r="O872">
        <f t="shared" ca="1" si="40"/>
        <v>46113</v>
      </c>
      <c r="P872" t="str">
        <f t="shared" ca="1" si="41"/>
        <v>YES</v>
      </c>
      <c r="Q872">
        <f>Weekly_Inspections!$AW872</f>
        <v>0</v>
      </c>
    </row>
    <row r="873" spans="1:17" ht="15" customHeight="1" x14ac:dyDescent="0.2">
      <c r="A873" t="str">
        <f>IF(Weekly_Inspections!$B873="","",Weekly_Inspections!$A873&amp;"-A1")</f>
        <v/>
      </c>
      <c r="B873" s="24">
        <f>Weekly_Inspections!$B873</f>
        <v>0</v>
      </c>
      <c r="C873">
        <f>Weekly_Inspections!$E873</f>
        <v>0</v>
      </c>
      <c r="D873">
        <f>Weekly_Inspections!$F873</f>
        <v>0</v>
      </c>
      <c r="E873" t="str">
        <f>Weekly_Inspections!$H873</f>
        <v/>
      </c>
      <c r="F873">
        <f>IF(Weekly_Inspections!$AX873&lt;&gt;"",Weekly_Inspections!$AX873,IF(Weekly_Inspections!$AY873&lt;&gt;"",Weekly_Inspections!$AY873,IF(Weekly_Inspections!$AZ873&lt;&gt;"",Weekly_Inspections!$AZ873,IF(Weekly_Inspections!$BA873&lt;&gt;"",Weekly_Inspections!$BA873,IF(Weekly_Inspections!$BB873&lt;&gt;"",Weekly_Inspections!$BB873,Weekly_Inspections!$R873)))))</f>
        <v>0</v>
      </c>
      <c r="G873" t="str">
        <f>IF(OR(Weekly_Inspections!$AQ873&lt;&gt;"",Weekly_Inspections!$AR873&lt;&gt;"",Weekly_Inspections!$AS873&lt;&gt;""),Weekly_Inspections!$AQ873,"")</f>
        <v/>
      </c>
      <c r="H873">
        <f>Weekly_Inspections!$AP873</f>
        <v>0</v>
      </c>
      <c r="I873">
        <f>Weekly_Inspections!$AR873</f>
        <v>0</v>
      </c>
      <c r="J873">
        <f>Weekly_Inspections!$AS873</f>
        <v>0</v>
      </c>
      <c r="K873">
        <f>Weekly_Inspections!$AU873</f>
        <v>0</v>
      </c>
      <c r="L873" s="24">
        <f>Weekly_Inspections!$AV873</f>
        <v>0</v>
      </c>
      <c r="M873" t="str">
        <f t="shared" si="39"/>
        <v>Open</v>
      </c>
      <c r="N873" s="24"/>
      <c r="O873">
        <f t="shared" ca="1" si="40"/>
        <v>46113</v>
      </c>
      <c r="P873" t="str">
        <f t="shared" ca="1" si="41"/>
        <v>YES</v>
      </c>
      <c r="Q873">
        <f>Weekly_Inspections!$AW873</f>
        <v>0</v>
      </c>
    </row>
    <row r="874" spans="1:17" ht="15" customHeight="1" x14ac:dyDescent="0.2">
      <c r="A874" t="str">
        <f>IF(Weekly_Inspections!$B874="","",Weekly_Inspections!$A874&amp;"-A1")</f>
        <v/>
      </c>
      <c r="B874" s="24">
        <f>Weekly_Inspections!$B874</f>
        <v>0</v>
      </c>
      <c r="C874">
        <f>Weekly_Inspections!$E874</f>
        <v>0</v>
      </c>
      <c r="D874">
        <f>Weekly_Inspections!$F874</f>
        <v>0</v>
      </c>
      <c r="E874" t="str">
        <f>Weekly_Inspections!$H874</f>
        <v/>
      </c>
      <c r="F874">
        <f>IF(Weekly_Inspections!$AX874&lt;&gt;"",Weekly_Inspections!$AX874,IF(Weekly_Inspections!$AY874&lt;&gt;"",Weekly_Inspections!$AY874,IF(Weekly_Inspections!$AZ874&lt;&gt;"",Weekly_Inspections!$AZ874,IF(Weekly_Inspections!$BA874&lt;&gt;"",Weekly_Inspections!$BA874,IF(Weekly_Inspections!$BB874&lt;&gt;"",Weekly_Inspections!$BB874,Weekly_Inspections!$R874)))))</f>
        <v>0</v>
      </c>
      <c r="G874" t="str">
        <f>IF(OR(Weekly_Inspections!$AQ874&lt;&gt;"",Weekly_Inspections!$AR874&lt;&gt;"",Weekly_Inspections!$AS874&lt;&gt;""),Weekly_Inspections!$AQ874,"")</f>
        <v/>
      </c>
      <c r="H874">
        <f>Weekly_Inspections!$AP874</f>
        <v>0</v>
      </c>
      <c r="I874">
        <f>Weekly_Inspections!$AR874</f>
        <v>0</v>
      </c>
      <c r="J874">
        <f>Weekly_Inspections!$AS874</f>
        <v>0</v>
      </c>
      <c r="K874">
        <f>Weekly_Inspections!$AU874</f>
        <v>0</v>
      </c>
      <c r="L874" s="24">
        <f>Weekly_Inspections!$AV874</f>
        <v>0</v>
      </c>
      <c r="M874" t="str">
        <f t="shared" si="39"/>
        <v>Open</v>
      </c>
      <c r="N874" s="24"/>
      <c r="O874">
        <f t="shared" ca="1" si="40"/>
        <v>46113</v>
      </c>
      <c r="P874" t="str">
        <f t="shared" ca="1" si="41"/>
        <v>YES</v>
      </c>
      <c r="Q874">
        <f>Weekly_Inspections!$AW874</f>
        <v>0</v>
      </c>
    </row>
    <row r="875" spans="1:17" ht="15" customHeight="1" x14ac:dyDescent="0.2">
      <c r="A875" t="str">
        <f>IF(Weekly_Inspections!$B875="","",Weekly_Inspections!$A875&amp;"-A1")</f>
        <v/>
      </c>
      <c r="B875" s="24">
        <f>Weekly_Inspections!$B875</f>
        <v>0</v>
      </c>
      <c r="C875">
        <f>Weekly_Inspections!$E875</f>
        <v>0</v>
      </c>
      <c r="D875">
        <f>Weekly_Inspections!$F875</f>
        <v>0</v>
      </c>
      <c r="E875" t="str">
        <f>Weekly_Inspections!$H875</f>
        <v/>
      </c>
      <c r="F875">
        <f>IF(Weekly_Inspections!$AX875&lt;&gt;"",Weekly_Inspections!$AX875,IF(Weekly_Inspections!$AY875&lt;&gt;"",Weekly_Inspections!$AY875,IF(Weekly_Inspections!$AZ875&lt;&gt;"",Weekly_Inspections!$AZ875,IF(Weekly_Inspections!$BA875&lt;&gt;"",Weekly_Inspections!$BA875,IF(Weekly_Inspections!$BB875&lt;&gt;"",Weekly_Inspections!$BB875,Weekly_Inspections!$R875)))))</f>
        <v>0</v>
      </c>
      <c r="G875" t="str">
        <f>IF(OR(Weekly_Inspections!$AQ875&lt;&gt;"",Weekly_Inspections!$AR875&lt;&gt;"",Weekly_Inspections!$AS875&lt;&gt;""),Weekly_Inspections!$AQ875,"")</f>
        <v/>
      </c>
      <c r="H875">
        <f>Weekly_Inspections!$AP875</f>
        <v>0</v>
      </c>
      <c r="I875">
        <f>Weekly_Inspections!$AR875</f>
        <v>0</v>
      </c>
      <c r="J875">
        <f>Weekly_Inspections!$AS875</f>
        <v>0</v>
      </c>
      <c r="K875">
        <f>Weekly_Inspections!$AU875</f>
        <v>0</v>
      </c>
      <c r="L875" s="24">
        <f>Weekly_Inspections!$AV875</f>
        <v>0</v>
      </c>
      <c r="M875" t="str">
        <f t="shared" si="39"/>
        <v>Open</v>
      </c>
      <c r="N875" s="24"/>
      <c r="O875">
        <f t="shared" ca="1" si="40"/>
        <v>46113</v>
      </c>
      <c r="P875" t="str">
        <f t="shared" ca="1" si="41"/>
        <v>YES</v>
      </c>
      <c r="Q875">
        <f>Weekly_Inspections!$AW875</f>
        <v>0</v>
      </c>
    </row>
    <row r="876" spans="1:17" ht="15" customHeight="1" x14ac:dyDescent="0.2">
      <c r="A876" t="str">
        <f>IF(Weekly_Inspections!$B876="","",Weekly_Inspections!$A876&amp;"-A1")</f>
        <v/>
      </c>
      <c r="B876" s="24">
        <f>Weekly_Inspections!$B876</f>
        <v>0</v>
      </c>
      <c r="C876">
        <f>Weekly_Inspections!$E876</f>
        <v>0</v>
      </c>
      <c r="D876">
        <f>Weekly_Inspections!$F876</f>
        <v>0</v>
      </c>
      <c r="E876" t="str">
        <f>Weekly_Inspections!$H876</f>
        <v/>
      </c>
      <c r="F876">
        <f>IF(Weekly_Inspections!$AX876&lt;&gt;"",Weekly_Inspections!$AX876,IF(Weekly_Inspections!$AY876&lt;&gt;"",Weekly_Inspections!$AY876,IF(Weekly_Inspections!$AZ876&lt;&gt;"",Weekly_Inspections!$AZ876,IF(Weekly_Inspections!$BA876&lt;&gt;"",Weekly_Inspections!$BA876,IF(Weekly_Inspections!$BB876&lt;&gt;"",Weekly_Inspections!$BB876,Weekly_Inspections!$R876)))))</f>
        <v>0</v>
      </c>
      <c r="G876" t="str">
        <f>IF(OR(Weekly_Inspections!$AQ876&lt;&gt;"",Weekly_Inspections!$AR876&lt;&gt;"",Weekly_Inspections!$AS876&lt;&gt;""),Weekly_Inspections!$AQ876,"")</f>
        <v/>
      </c>
      <c r="H876">
        <f>Weekly_Inspections!$AP876</f>
        <v>0</v>
      </c>
      <c r="I876">
        <f>Weekly_Inspections!$AR876</f>
        <v>0</v>
      </c>
      <c r="J876">
        <f>Weekly_Inspections!$AS876</f>
        <v>0</v>
      </c>
      <c r="K876">
        <f>Weekly_Inspections!$AU876</f>
        <v>0</v>
      </c>
      <c r="L876" s="24">
        <f>Weekly_Inspections!$AV876</f>
        <v>0</v>
      </c>
      <c r="M876" t="str">
        <f t="shared" si="39"/>
        <v>Open</v>
      </c>
      <c r="N876" s="24"/>
      <c r="O876">
        <f t="shared" ca="1" si="40"/>
        <v>46113</v>
      </c>
      <c r="P876" t="str">
        <f t="shared" ca="1" si="41"/>
        <v>YES</v>
      </c>
      <c r="Q876">
        <f>Weekly_Inspections!$AW876</f>
        <v>0</v>
      </c>
    </row>
    <row r="877" spans="1:17" ht="15" customHeight="1" x14ac:dyDescent="0.2">
      <c r="A877" t="str">
        <f>IF(Weekly_Inspections!$B877="","",Weekly_Inspections!$A877&amp;"-A1")</f>
        <v/>
      </c>
      <c r="B877" s="24">
        <f>Weekly_Inspections!$B877</f>
        <v>0</v>
      </c>
      <c r="C877">
        <f>Weekly_Inspections!$E877</f>
        <v>0</v>
      </c>
      <c r="D877">
        <f>Weekly_Inspections!$F877</f>
        <v>0</v>
      </c>
      <c r="E877" t="str">
        <f>Weekly_Inspections!$H877</f>
        <v/>
      </c>
      <c r="F877">
        <f>IF(Weekly_Inspections!$AX877&lt;&gt;"",Weekly_Inspections!$AX877,IF(Weekly_Inspections!$AY877&lt;&gt;"",Weekly_Inspections!$AY877,IF(Weekly_Inspections!$AZ877&lt;&gt;"",Weekly_Inspections!$AZ877,IF(Weekly_Inspections!$BA877&lt;&gt;"",Weekly_Inspections!$BA877,IF(Weekly_Inspections!$BB877&lt;&gt;"",Weekly_Inspections!$BB877,Weekly_Inspections!$R877)))))</f>
        <v>0</v>
      </c>
      <c r="G877" t="str">
        <f>IF(OR(Weekly_Inspections!$AQ877&lt;&gt;"",Weekly_Inspections!$AR877&lt;&gt;"",Weekly_Inspections!$AS877&lt;&gt;""),Weekly_Inspections!$AQ877,"")</f>
        <v/>
      </c>
      <c r="H877">
        <f>Weekly_Inspections!$AP877</f>
        <v>0</v>
      </c>
      <c r="I877">
        <f>Weekly_Inspections!$AR877</f>
        <v>0</v>
      </c>
      <c r="J877">
        <f>Weekly_Inspections!$AS877</f>
        <v>0</v>
      </c>
      <c r="K877">
        <f>Weekly_Inspections!$AU877</f>
        <v>0</v>
      </c>
      <c r="L877" s="24">
        <f>Weekly_Inspections!$AV877</f>
        <v>0</v>
      </c>
      <c r="M877" t="str">
        <f t="shared" si="39"/>
        <v>Open</v>
      </c>
      <c r="N877" s="24"/>
      <c r="O877">
        <f t="shared" ca="1" si="40"/>
        <v>46113</v>
      </c>
      <c r="P877" t="str">
        <f t="shared" ca="1" si="41"/>
        <v>YES</v>
      </c>
      <c r="Q877">
        <f>Weekly_Inspections!$AW877</f>
        <v>0</v>
      </c>
    </row>
    <row r="878" spans="1:17" ht="15" customHeight="1" x14ac:dyDescent="0.2">
      <c r="A878" t="str">
        <f>IF(Weekly_Inspections!$B878="","",Weekly_Inspections!$A878&amp;"-A1")</f>
        <v/>
      </c>
      <c r="B878" s="24">
        <f>Weekly_Inspections!$B878</f>
        <v>0</v>
      </c>
      <c r="C878">
        <f>Weekly_Inspections!$E878</f>
        <v>0</v>
      </c>
      <c r="D878">
        <f>Weekly_Inspections!$F878</f>
        <v>0</v>
      </c>
      <c r="E878" t="str">
        <f>Weekly_Inspections!$H878</f>
        <v/>
      </c>
      <c r="F878">
        <f>IF(Weekly_Inspections!$AX878&lt;&gt;"",Weekly_Inspections!$AX878,IF(Weekly_Inspections!$AY878&lt;&gt;"",Weekly_Inspections!$AY878,IF(Weekly_Inspections!$AZ878&lt;&gt;"",Weekly_Inspections!$AZ878,IF(Weekly_Inspections!$BA878&lt;&gt;"",Weekly_Inspections!$BA878,IF(Weekly_Inspections!$BB878&lt;&gt;"",Weekly_Inspections!$BB878,Weekly_Inspections!$R878)))))</f>
        <v>0</v>
      </c>
      <c r="G878" t="str">
        <f>IF(OR(Weekly_Inspections!$AQ878&lt;&gt;"",Weekly_Inspections!$AR878&lt;&gt;"",Weekly_Inspections!$AS878&lt;&gt;""),Weekly_Inspections!$AQ878,"")</f>
        <v/>
      </c>
      <c r="H878">
        <f>Weekly_Inspections!$AP878</f>
        <v>0</v>
      </c>
      <c r="I878">
        <f>Weekly_Inspections!$AR878</f>
        <v>0</v>
      </c>
      <c r="J878">
        <f>Weekly_Inspections!$AS878</f>
        <v>0</v>
      </c>
      <c r="K878">
        <f>Weekly_Inspections!$AU878</f>
        <v>0</v>
      </c>
      <c r="L878" s="24">
        <f>Weekly_Inspections!$AV878</f>
        <v>0</v>
      </c>
      <c r="M878" t="str">
        <f t="shared" si="39"/>
        <v>Open</v>
      </c>
      <c r="N878" s="24"/>
      <c r="O878">
        <f t="shared" ca="1" si="40"/>
        <v>46113</v>
      </c>
      <c r="P878" t="str">
        <f t="shared" ca="1" si="41"/>
        <v>YES</v>
      </c>
      <c r="Q878">
        <f>Weekly_Inspections!$AW878</f>
        <v>0</v>
      </c>
    </row>
    <row r="879" spans="1:17" ht="15" customHeight="1" x14ac:dyDescent="0.2">
      <c r="A879" t="str">
        <f>IF(Weekly_Inspections!$B879="","",Weekly_Inspections!$A879&amp;"-A1")</f>
        <v/>
      </c>
      <c r="B879" s="24">
        <f>Weekly_Inspections!$B879</f>
        <v>0</v>
      </c>
      <c r="C879">
        <f>Weekly_Inspections!$E879</f>
        <v>0</v>
      </c>
      <c r="D879">
        <f>Weekly_Inspections!$F879</f>
        <v>0</v>
      </c>
      <c r="E879" t="str">
        <f>Weekly_Inspections!$H879</f>
        <v/>
      </c>
      <c r="F879">
        <f>IF(Weekly_Inspections!$AX879&lt;&gt;"",Weekly_Inspections!$AX879,IF(Weekly_Inspections!$AY879&lt;&gt;"",Weekly_Inspections!$AY879,IF(Weekly_Inspections!$AZ879&lt;&gt;"",Weekly_Inspections!$AZ879,IF(Weekly_Inspections!$BA879&lt;&gt;"",Weekly_Inspections!$BA879,IF(Weekly_Inspections!$BB879&lt;&gt;"",Weekly_Inspections!$BB879,Weekly_Inspections!$R879)))))</f>
        <v>0</v>
      </c>
      <c r="G879" t="str">
        <f>IF(OR(Weekly_Inspections!$AQ879&lt;&gt;"",Weekly_Inspections!$AR879&lt;&gt;"",Weekly_Inspections!$AS879&lt;&gt;""),Weekly_Inspections!$AQ879,"")</f>
        <v/>
      </c>
      <c r="H879">
        <f>Weekly_Inspections!$AP879</f>
        <v>0</v>
      </c>
      <c r="I879">
        <f>Weekly_Inspections!$AR879</f>
        <v>0</v>
      </c>
      <c r="J879">
        <f>Weekly_Inspections!$AS879</f>
        <v>0</v>
      </c>
      <c r="K879">
        <f>Weekly_Inspections!$AU879</f>
        <v>0</v>
      </c>
      <c r="L879" s="24">
        <f>Weekly_Inspections!$AV879</f>
        <v>0</v>
      </c>
      <c r="M879" t="str">
        <f t="shared" si="39"/>
        <v>Open</v>
      </c>
      <c r="N879" s="24"/>
      <c r="O879">
        <f t="shared" ca="1" si="40"/>
        <v>46113</v>
      </c>
      <c r="P879" t="str">
        <f t="shared" ca="1" si="41"/>
        <v>YES</v>
      </c>
      <c r="Q879">
        <f>Weekly_Inspections!$AW879</f>
        <v>0</v>
      </c>
    </row>
    <row r="880" spans="1:17" ht="15" customHeight="1" x14ac:dyDescent="0.2">
      <c r="A880" t="str">
        <f>IF(Weekly_Inspections!$B880="","",Weekly_Inspections!$A880&amp;"-A1")</f>
        <v/>
      </c>
      <c r="B880" s="24">
        <f>Weekly_Inspections!$B880</f>
        <v>0</v>
      </c>
      <c r="C880">
        <f>Weekly_Inspections!$E880</f>
        <v>0</v>
      </c>
      <c r="D880">
        <f>Weekly_Inspections!$F880</f>
        <v>0</v>
      </c>
      <c r="E880" t="str">
        <f>Weekly_Inspections!$H880</f>
        <v/>
      </c>
      <c r="F880">
        <f>IF(Weekly_Inspections!$AX880&lt;&gt;"",Weekly_Inspections!$AX880,IF(Weekly_Inspections!$AY880&lt;&gt;"",Weekly_Inspections!$AY880,IF(Weekly_Inspections!$AZ880&lt;&gt;"",Weekly_Inspections!$AZ880,IF(Weekly_Inspections!$BA880&lt;&gt;"",Weekly_Inspections!$BA880,IF(Weekly_Inspections!$BB880&lt;&gt;"",Weekly_Inspections!$BB880,Weekly_Inspections!$R880)))))</f>
        <v>0</v>
      </c>
      <c r="G880" t="str">
        <f>IF(OR(Weekly_Inspections!$AQ880&lt;&gt;"",Weekly_Inspections!$AR880&lt;&gt;"",Weekly_Inspections!$AS880&lt;&gt;""),Weekly_Inspections!$AQ880,"")</f>
        <v/>
      </c>
      <c r="H880">
        <f>Weekly_Inspections!$AP880</f>
        <v>0</v>
      </c>
      <c r="I880">
        <f>Weekly_Inspections!$AR880</f>
        <v>0</v>
      </c>
      <c r="J880">
        <f>Weekly_Inspections!$AS880</f>
        <v>0</v>
      </c>
      <c r="K880">
        <f>Weekly_Inspections!$AU880</f>
        <v>0</v>
      </c>
      <c r="L880" s="24">
        <f>Weekly_Inspections!$AV880</f>
        <v>0</v>
      </c>
      <c r="M880" t="str">
        <f t="shared" si="39"/>
        <v>Open</v>
      </c>
      <c r="N880" s="24"/>
      <c r="O880">
        <f t="shared" ca="1" si="40"/>
        <v>46113</v>
      </c>
      <c r="P880" t="str">
        <f t="shared" ca="1" si="41"/>
        <v>YES</v>
      </c>
      <c r="Q880">
        <f>Weekly_Inspections!$AW880</f>
        <v>0</v>
      </c>
    </row>
    <row r="881" spans="1:17" ht="15" customHeight="1" x14ac:dyDescent="0.2">
      <c r="A881" t="str">
        <f>IF(Weekly_Inspections!$B881="","",Weekly_Inspections!$A881&amp;"-A1")</f>
        <v/>
      </c>
      <c r="B881" s="24">
        <f>Weekly_Inspections!$B881</f>
        <v>0</v>
      </c>
      <c r="C881">
        <f>Weekly_Inspections!$E881</f>
        <v>0</v>
      </c>
      <c r="D881">
        <f>Weekly_Inspections!$F881</f>
        <v>0</v>
      </c>
      <c r="E881" t="str">
        <f>Weekly_Inspections!$H881</f>
        <v/>
      </c>
      <c r="F881">
        <f>IF(Weekly_Inspections!$AX881&lt;&gt;"",Weekly_Inspections!$AX881,IF(Weekly_Inspections!$AY881&lt;&gt;"",Weekly_Inspections!$AY881,IF(Weekly_Inspections!$AZ881&lt;&gt;"",Weekly_Inspections!$AZ881,IF(Weekly_Inspections!$BA881&lt;&gt;"",Weekly_Inspections!$BA881,IF(Weekly_Inspections!$BB881&lt;&gt;"",Weekly_Inspections!$BB881,Weekly_Inspections!$R881)))))</f>
        <v>0</v>
      </c>
      <c r="G881" t="str">
        <f>IF(OR(Weekly_Inspections!$AQ881&lt;&gt;"",Weekly_Inspections!$AR881&lt;&gt;"",Weekly_Inspections!$AS881&lt;&gt;""),Weekly_Inspections!$AQ881,"")</f>
        <v/>
      </c>
      <c r="H881">
        <f>Weekly_Inspections!$AP881</f>
        <v>0</v>
      </c>
      <c r="I881">
        <f>Weekly_Inspections!$AR881</f>
        <v>0</v>
      </c>
      <c r="J881">
        <f>Weekly_Inspections!$AS881</f>
        <v>0</v>
      </c>
      <c r="K881">
        <f>Weekly_Inspections!$AU881</f>
        <v>0</v>
      </c>
      <c r="L881" s="24">
        <f>Weekly_Inspections!$AV881</f>
        <v>0</v>
      </c>
      <c r="M881" t="str">
        <f t="shared" si="39"/>
        <v>Open</v>
      </c>
      <c r="N881" s="24"/>
      <c r="O881">
        <f t="shared" ca="1" si="40"/>
        <v>46113</v>
      </c>
      <c r="P881" t="str">
        <f t="shared" ca="1" si="41"/>
        <v>YES</v>
      </c>
      <c r="Q881">
        <f>Weekly_Inspections!$AW881</f>
        <v>0</v>
      </c>
    </row>
    <row r="882" spans="1:17" ht="15" customHeight="1" x14ac:dyDescent="0.2">
      <c r="A882" t="str">
        <f>IF(Weekly_Inspections!$B882="","",Weekly_Inspections!$A882&amp;"-A1")</f>
        <v/>
      </c>
      <c r="B882" s="24">
        <f>Weekly_Inspections!$B882</f>
        <v>0</v>
      </c>
      <c r="C882">
        <f>Weekly_Inspections!$E882</f>
        <v>0</v>
      </c>
      <c r="D882">
        <f>Weekly_Inspections!$F882</f>
        <v>0</v>
      </c>
      <c r="E882" t="str">
        <f>Weekly_Inspections!$H882</f>
        <v/>
      </c>
      <c r="F882">
        <f>IF(Weekly_Inspections!$AX882&lt;&gt;"",Weekly_Inspections!$AX882,IF(Weekly_Inspections!$AY882&lt;&gt;"",Weekly_Inspections!$AY882,IF(Weekly_Inspections!$AZ882&lt;&gt;"",Weekly_Inspections!$AZ882,IF(Weekly_Inspections!$BA882&lt;&gt;"",Weekly_Inspections!$BA882,IF(Weekly_Inspections!$BB882&lt;&gt;"",Weekly_Inspections!$BB882,Weekly_Inspections!$R882)))))</f>
        <v>0</v>
      </c>
      <c r="G882" t="str">
        <f>IF(OR(Weekly_Inspections!$AQ882&lt;&gt;"",Weekly_Inspections!$AR882&lt;&gt;"",Weekly_Inspections!$AS882&lt;&gt;""),Weekly_Inspections!$AQ882,"")</f>
        <v/>
      </c>
      <c r="H882">
        <f>Weekly_Inspections!$AP882</f>
        <v>0</v>
      </c>
      <c r="I882">
        <f>Weekly_Inspections!$AR882</f>
        <v>0</v>
      </c>
      <c r="J882">
        <f>Weekly_Inspections!$AS882</f>
        <v>0</v>
      </c>
      <c r="K882">
        <f>Weekly_Inspections!$AU882</f>
        <v>0</v>
      </c>
      <c r="L882" s="24">
        <f>Weekly_Inspections!$AV882</f>
        <v>0</v>
      </c>
      <c r="M882" t="str">
        <f t="shared" si="39"/>
        <v>Open</v>
      </c>
      <c r="N882" s="24"/>
      <c r="O882">
        <f t="shared" ca="1" si="40"/>
        <v>46113</v>
      </c>
      <c r="P882" t="str">
        <f t="shared" ca="1" si="41"/>
        <v>YES</v>
      </c>
      <c r="Q882">
        <f>Weekly_Inspections!$AW882</f>
        <v>0</v>
      </c>
    </row>
    <row r="883" spans="1:17" ht="15" customHeight="1" x14ac:dyDescent="0.2">
      <c r="A883" t="str">
        <f>IF(Weekly_Inspections!$B883="","",Weekly_Inspections!$A883&amp;"-A1")</f>
        <v/>
      </c>
      <c r="B883" s="24">
        <f>Weekly_Inspections!$B883</f>
        <v>0</v>
      </c>
      <c r="C883">
        <f>Weekly_Inspections!$E883</f>
        <v>0</v>
      </c>
      <c r="D883">
        <f>Weekly_Inspections!$F883</f>
        <v>0</v>
      </c>
      <c r="E883" t="str">
        <f>Weekly_Inspections!$H883</f>
        <v/>
      </c>
      <c r="F883">
        <f>IF(Weekly_Inspections!$AX883&lt;&gt;"",Weekly_Inspections!$AX883,IF(Weekly_Inspections!$AY883&lt;&gt;"",Weekly_Inspections!$AY883,IF(Weekly_Inspections!$AZ883&lt;&gt;"",Weekly_Inspections!$AZ883,IF(Weekly_Inspections!$BA883&lt;&gt;"",Weekly_Inspections!$BA883,IF(Weekly_Inspections!$BB883&lt;&gt;"",Weekly_Inspections!$BB883,Weekly_Inspections!$R883)))))</f>
        <v>0</v>
      </c>
      <c r="G883" t="str">
        <f>IF(OR(Weekly_Inspections!$AQ883&lt;&gt;"",Weekly_Inspections!$AR883&lt;&gt;"",Weekly_Inspections!$AS883&lt;&gt;""),Weekly_Inspections!$AQ883,"")</f>
        <v/>
      </c>
      <c r="H883">
        <f>Weekly_Inspections!$AP883</f>
        <v>0</v>
      </c>
      <c r="I883">
        <f>Weekly_Inspections!$AR883</f>
        <v>0</v>
      </c>
      <c r="J883">
        <f>Weekly_Inspections!$AS883</f>
        <v>0</v>
      </c>
      <c r="K883">
        <f>Weekly_Inspections!$AU883</f>
        <v>0</v>
      </c>
      <c r="L883" s="24">
        <f>Weekly_Inspections!$AV883</f>
        <v>0</v>
      </c>
      <c r="M883" t="str">
        <f t="shared" si="39"/>
        <v>Open</v>
      </c>
      <c r="N883" s="24"/>
      <c r="O883">
        <f t="shared" ca="1" si="40"/>
        <v>46113</v>
      </c>
      <c r="P883" t="str">
        <f t="shared" ca="1" si="41"/>
        <v>YES</v>
      </c>
      <c r="Q883">
        <f>Weekly_Inspections!$AW883</f>
        <v>0</v>
      </c>
    </row>
    <row r="884" spans="1:17" ht="15" customHeight="1" x14ac:dyDescent="0.2">
      <c r="A884" t="str">
        <f>IF(Weekly_Inspections!$B884="","",Weekly_Inspections!$A884&amp;"-A1")</f>
        <v/>
      </c>
      <c r="B884" s="24">
        <f>Weekly_Inspections!$B884</f>
        <v>0</v>
      </c>
      <c r="C884">
        <f>Weekly_Inspections!$E884</f>
        <v>0</v>
      </c>
      <c r="D884">
        <f>Weekly_Inspections!$F884</f>
        <v>0</v>
      </c>
      <c r="E884" t="str">
        <f>Weekly_Inspections!$H884</f>
        <v/>
      </c>
      <c r="F884">
        <f>IF(Weekly_Inspections!$AX884&lt;&gt;"",Weekly_Inspections!$AX884,IF(Weekly_Inspections!$AY884&lt;&gt;"",Weekly_Inspections!$AY884,IF(Weekly_Inspections!$AZ884&lt;&gt;"",Weekly_Inspections!$AZ884,IF(Weekly_Inspections!$BA884&lt;&gt;"",Weekly_Inspections!$BA884,IF(Weekly_Inspections!$BB884&lt;&gt;"",Weekly_Inspections!$BB884,Weekly_Inspections!$R884)))))</f>
        <v>0</v>
      </c>
      <c r="G884" t="str">
        <f>IF(OR(Weekly_Inspections!$AQ884&lt;&gt;"",Weekly_Inspections!$AR884&lt;&gt;"",Weekly_Inspections!$AS884&lt;&gt;""),Weekly_Inspections!$AQ884,"")</f>
        <v/>
      </c>
      <c r="H884">
        <f>Weekly_Inspections!$AP884</f>
        <v>0</v>
      </c>
      <c r="I884">
        <f>Weekly_Inspections!$AR884</f>
        <v>0</v>
      </c>
      <c r="J884">
        <f>Weekly_Inspections!$AS884</f>
        <v>0</v>
      </c>
      <c r="K884">
        <f>Weekly_Inspections!$AU884</f>
        <v>0</v>
      </c>
      <c r="L884" s="24">
        <f>Weekly_Inspections!$AV884</f>
        <v>0</v>
      </c>
      <c r="M884" t="str">
        <f t="shared" si="39"/>
        <v>Open</v>
      </c>
      <c r="N884" s="24"/>
      <c r="O884">
        <f t="shared" ca="1" si="40"/>
        <v>46113</v>
      </c>
      <c r="P884" t="str">
        <f t="shared" ca="1" si="41"/>
        <v>YES</v>
      </c>
      <c r="Q884">
        <f>Weekly_Inspections!$AW884</f>
        <v>0</v>
      </c>
    </row>
    <row r="885" spans="1:17" ht="15" customHeight="1" x14ac:dyDescent="0.2">
      <c r="A885" t="str">
        <f>IF(Weekly_Inspections!$B885="","",Weekly_Inspections!$A885&amp;"-A1")</f>
        <v/>
      </c>
      <c r="B885" s="24">
        <f>Weekly_Inspections!$B885</f>
        <v>0</v>
      </c>
      <c r="C885">
        <f>Weekly_Inspections!$E885</f>
        <v>0</v>
      </c>
      <c r="D885">
        <f>Weekly_Inspections!$F885</f>
        <v>0</v>
      </c>
      <c r="E885" t="str">
        <f>Weekly_Inspections!$H885</f>
        <v/>
      </c>
      <c r="F885">
        <f>IF(Weekly_Inspections!$AX885&lt;&gt;"",Weekly_Inspections!$AX885,IF(Weekly_Inspections!$AY885&lt;&gt;"",Weekly_Inspections!$AY885,IF(Weekly_Inspections!$AZ885&lt;&gt;"",Weekly_Inspections!$AZ885,IF(Weekly_Inspections!$BA885&lt;&gt;"",Weekly_Inspections!$BA885,IF(Weekly_Inspections!$BB885&lt;&gt;"",Weekly_Inspections!$BB885,Weekly_Inspections!$R885)))))</f>
        <v>0</v>
      </c>
      <c r="G885" t="str">
        <f>IF(OR(Weekly_Inspections!$AQ885&lt;&gt;"",Weekly_Inspections!$AR885&lt;&gt;"",Weekly_Inspections!$AS885&lt;&gt;""),Weekly_Inspections!$AQ885,"")</f>
        <v/>
      </c>
      <c r="H885">
        <f>Weekly_Inspections!$AP885</f>
        <v>0</v>
      </c>
      <c r="I885">
        <f>Weekly_Inspections!$AR885</f>
        <v>0</v>
      </c>
      <c r="J885">
        <f>Weekly_Inspections!$AS885</f>
        <v>0</v>
      </c>
      <c r="K885">
        <f>Weekly_Inspections!$AU885</f>
        <v>0</v>
      </c>
      <c r="L885" s="24">
        <f>Weekly_Inspections!$AV885</f>
        <v>0</v>
      </c>
      <c r="M885" t="str">
        <f t="shared" si="39"/>
        <v>Open</v>
      </c>
      <c r="N885" s="24"/>
      <c r="O885">
        <f t="shared" ca="1" si="40"/>
        <v>46113</v>
      </c>
      <c r="P885" t="str">
        <f t="shared" ca="1" si="41"/>
        <v>YES</v>
      </c>
      <c r="Q885">
        <f>Weekly_Inspections!$AW885</f>
        <v>0</v>
      </c>
    </row>
    <row r="886" spans="1:17" ht="15" customHeight="1" x14ac:dyDescent="0.2">
      <c r="A886" t="str">
        <f>IF(Weekly_Inspections!$B886="","",Weekly_Inspections!$A886&amp;"-A1")</f>
        <v/>
      </c>
      <c r="B886" s="24">
        <f>Weekly_Inspections!$B886</f>
        <v>0</v>
      </c>
      <c r="C886">
        <f>Weekly_Inspections!$E886</f>
        <v>0</v>
      </c>
      <c r="D886">
        <f>Weekly_Inspections!$F886</f>
        <v>0</v>
      </c>
      <c r="E886" t="str">
        <f>Weekly_Inspections!$H886</f>
        <v/>
      </c>
      <c r="F886">
        <f>IF(Weekly_Inspections!$AX886&lt;&gt;"",Weekly_Inspections!$AX886,IF(Weekly_Inspections!$AY886&lt;&gt;"",Weekly_Inspections!$AY886,IF(Weekly_Inspections!$AZ886&lt;&gt;"",Weekly_Inspections!$AZ886,IF(Weekly_Inspections!$BA886&lt;&gt;"",Weekly_Inspections!$BA886,IF(Weekly_Inspections!$BB886&lt;&gt;"",Weekly_Inspections!$BB886,Weekly_Inspections!$R886)))))</f>
        <v>0</v>
      </c>
      <c r="G886" t="str">
        <f>IF(OR(Weekly_Inspections!$AQ886&lt;&gt;"",Weekly_Inspections!$AR886&lt;&gt;"",Weekly_Inspections!$AS886&lt;&gt;""),Weekly_Inspections!$AQ886,"")</f>
        <v/>
      </c>
      <c r="H886">
        <f>Weekly_Inspections!$AP886</f>
        <v>0</v>
      </c>
      <c r="I886">
        <f>Weekly_Inspections!$AR886</f>
        <v>0</v>
      </c>
      <c r="J886">
        <f>Weekly_Inspections!$AS886</f>
        <v>0</v>
      </c>
      <c r="K886">
        <f>Weekly_Inspections!$AU886</f>
        <v>0</v>
      </c>
      <c r="L886" s="24">
        <f>Weekly_Inspections!$AV886</f>
        <v>0</v>
      </c>
      <c r="M886" t="str">
        <f t="shared" si="39"/>
        <v>Open</v>
      </c>
      <c r="N886" s="24"/>
      <c r="O886">
        <f t="shared" ca="1" si="40"/>
        <v>46113</v>
      </c>
      <c r="P886" t="str">
        <f t="shared" ca="1" si="41"/>
        <v>YES</v>
      </c>
      <c r="Q886">
        <f>Weekly_Inspections!$AW886</f>
        <v>0</v>
      </c>
    </row>
    <row r="887" spans="1:17" ht="15" customHeight="1" x14ac:dyDescent="0.2">
      <c r="A887" t="str">
        <f>IF(Weekly_Inspections!$B887="","",Weekly_Inspections!$A887&amp;"-A1")</f>
        <v/>
      </c>
      <c r="B887" s="24">
        <f>Weekly_Inspections!$B887</f>
        <v>0</v>
      </c>
      <c r="C887">
        <f>Weekly_Inspections!$E887</f>
        <v>0</v>
      </c>
      <c r="D887">
        <f>Weekly_Inspections!$F887</f>
        <v>0</v>
      </c>
      <c r="E887" t="str">
        <f>Weekly_Inspections!$H887</f>
        <v/>
      </c>
      <c r="F887">
        <f>IF(Weekly_Inspections!$AX887&lt;&gt;"",Weekly_Inspections!$AX887,IF(Weekly_Inspections!$AY887&lt;&gt;"",Weekly_Inspections!$AY887,IF(Weekly_Inspections!$AZ887&lt;&gt;"",Weekly_Inspections!$AZ887,IF(Weekly_Inspections!$BA887&lt;&gt;"",Weekly_Inspections!$BA887,IF(Weekly_Inspections!$BB887&lt;&gt;"",Weekly_Inspections!$BB887,Weekly_Inspections!$R887)))))</f>
        <v>0</v>
      </c>
      <c r="G887" t="str">
        <f>IF(OR(Weekly_Inspections!$AQ887&lt;&gt;"",Weekly_Inspections!$AR887&lt;&gt;"",Weekly_Inspections!$AS887&lt;&gt;""),Weekly_Inspections!$AQ887,"")</f>
        <v/>
      </c>
      <c r="H887">
        <f>Weekly_Inspections!$AP887</f>
        <v>0</v>
      </c>
      <c r="I887">
        <f>Weekly_Inspections!$AR887</f>
        <v>0</v>
      </c>
      <c r="J887">
        <f>Weekly_Inspections!$AS887</f>
        <v>0</v>
      </c>
      <c r="K887">
        <f>Weekly_Inspections!$AU887</f>
        <v>0</v>
      </c>
      <c r="L887" s="24">
        <f>Weekly_Inspections!$AV887</f>
        <v>0</v>
      </c>
      <c r="M887" t="str">
        <f t="shared" si="39"/>
        <v>Open</v>
      </c>
      <c r="N887" s="24"/>
      <c r="O887">
        <f t="shared" ca="1" si="40"/>
        <v>46113</v>
      </c>
      <c r="P887" t="str">
        <f t="shared" ca="1" si="41"/>
        <v>YES</v>
      </c>
      <c r="Q887">
        <f>Weekly_Inspections!$AW887</f>
        <v>0</v>
      </c>
    </row>
    <row r="888" spans="1:17" ht="15" customHeight="1" x14ac:dyDescent="0.2">
      <c r="A888" t="str">
        <f>IF(Weekly_Inspections!$B888="","",Weekly_Inspections!$A888&amp;"-A1")</f>
        <v/>
      </c>
      <c r="B888" s="24">
        <f>Weekly_Inspections!$B888</f>
        <v>0</v>
      </c>
      <c r="C888">
        <f>Weekly_Inspections!$E888</f>
        <v>0</v>
      </c>
      <c r="D888">
        <f>Weekly_Inspections!$F888</f>
        <v>0</v>
      </c>
      <c r="E888" t="str">
        <f>Weekly_Inspections!$H888</f>
        <v/>
      </c>
      <c r="F888">
        <f>IF(Weekly_Inspections!$AX888&lt;&gt;"",Weekly_Inspections!$AX888,IF(Weekly_Inspections!$AY888&lt;&gt;"",Weekly_Inspections!$AY888,IF(Weekly_Inspections!$AZ888&lt;&gt;"",Weekly_Inspections!$AZ888,IF(Weekly_Inspections!$BA888&lt;&gt;"",Weekly_Inspections!$BA888,IF(Weekly_Inspections!$BB888&lt;&gt;"",Weekly_Inspections!$BB888,Weekly_Inspections!$R888)))))</f>
        <v>0</v>
      </c>
      <c r="G888" t="str">
        <f>IF(OR(Weekly_Inspections!$AQ888&lt;&gt;"",Weekly_Inspections!$AR888&lt;&gt;"",Weekly_Inspections!$AS888&lt;&gt;""),Weekly_Inspections!$AQ888,"")</f>
        <v/>
      </c>
      <c r="H888">
        <f>Weekly_Inspections!$AP888</f>
        <v>0</v>
      </c>
      <c r="I888">
        <f>Weekly_Inspections!$AR888</f>
        <v>0</v>
      </c>
      <c r="J888">
        <f>Weekly_Inspections!$AS888</f>
        <v>0</v>
      </c>
      <c r="K888">
        <f>Weekly_Inspections!$AU888</f>
        <v>0</v>
      </c>
      <c r="L888" s="24">
        <f>Weekly_Inspections!$AV888</f>
        <v>0</v>
      </c>
      <c r="M888" t="str">
        <f t="shared" si="39"/>
        <v>Open</v>
      </c>
      <c r="N888" s="24"/>
      <c r="O888">
        <f t="shared" ca="1" si="40"/>
        <v>46113</v>
      </c>
      <c r="P888" t="str">
        <f t="shared" ca="1" si="41"/>
        <v>YES</v>
      </c>
      <c r="Q888">
        <f>Weekly_Inspections!$AW888</f>
        <v>0</v>
      </c>
    </row>
    <row r="889" spans="1:17" ht="15" customHeight="1" x14ac:dyDescent="0.2">
      <c r="A889" t="str">
        <f>IF(Weekly_Inspections!$B889="","",Weekly_Inspections!$A889&amp;"-A1")</f>
        <v/>
      </c>
      <c r="B889" s="24">
        <f>Weekly_Inspections!$B889</f>
        <v>0</v>
      </c>
      <c r="C889">
        <f>Weekly_Inspections!$E889</f>
        <v>0</v>
      </c>
      <c r="D889">
        <f>Weekly_Inspections!$F889</f>
        <v>0</v>
      </c>
      <c r="E889" t="str">
        <f>Weekly_Inspections!$H889</f>
        <v/>
      </c>
      <c r="F889">
        <f>IF(Weekly_Inspections!$AX889&lt;&gt;"",Weekly_Inspections!$AX889,IF(Weekly_Inspections!$AY889&lt;&gt;"",Weekly_Inspections!$AY889,IF(Weekly_Inspections!$AZ889&lt;&gt;"",Weekly_Inspections!$AZ889,IF(Weekly_Inspections!$BA889&lt;&gt;"",Weekly_Inspections!$BA889,IF(Weekly_Inspections!$BB889&lt;&gt;"",Weekly_Inspections!$BB889,Weekly_Inspections!$R889)))))</f>
        <v>0</v>
      </c>
      <c r="G889" t="str">
        <f>IF(OR(Weekly_Inspections!$AQ889&lt;&gt;"",Weekly_Inspections!$AR889&lt;&gt;"",Weekly_Inspections!$AS889&lt;&gt;""),Weekly_Inspections!$AQ889,"")</f>
        <v/>
      </c>
      <c r="H889">
        <f>Weekly_Inspections!$AP889</f>
        <v>0</v>
      </c>
      <c r="I889">
        <f>Weekly_Inspections!$AR889</f>
        <v>0</v>
      </c>
      <c r="J889">
        <f>Weekly_Inspections!$AS889</f>
        <v>0</v>
      </c>
      <c r="K889">
        <f>Weekly_Inspections!$AU889</f>
        <v>0</v>
      </c>
      <c r="L889" s="24">
        <f>Weekly_Inspections!$AV889</f>
        <v>0</v>
      </c>
      <c r="M889" t="str">
        <f t="shared" si="39"/>
        <v>Open</v>
      </c>
      <c r="N889" s="24"/>
      <c r="O889">
        <f t="shared" ca="1" si="40"/>
        <v>46113</v>
      </c>
      <c r="P889" t="str">
        <f t="shared" ca="1" si="41"/>
        <v>YES</v>
      </c>
      <c r="Q889">
        <f>Weekly_Inspections!$AW889</f>
        <v>0</v>
      </c>
    </row>
    <row r="890" spans="1:17" ht="15" customHeight="1" x14ac:dyDescent="0.2">
      <c r="A890" t="str">
        <f>IF(Weekly_Inspections!$B890="","",Weekly_Inspections!$A890&amp;"-A1")</f>
        <v/>
      </c>
      <c r="B890" s="24">
        <f>Weekly_Inspections!$B890</f>
        <v>0</v>
      </c>
      <c r="C890">
        <f>Weekly_Inspections!$E890</f>
        <v>0</v>
      </c>
      <c r="D890">
        <f>Weekly_Inspections!$F890</f>
        <v>0</v>
      </c>
      <c r="E890" t="str">
        <f>Weekly_Inspections!$H890</f>
        <v/>
      </c>
      <c r="F890">
        <f>IF(Weekly_Inspections!$AX890&lt;&gt;"",Weekly_Inspections!$AX890,IF(Weekly_Inspections!$AY890&lt;&gt;"",Weekly_Inspections!$AY890,IF(Weekly_Inspections!$AZ890&lt;&gt;"",Weekly_Inspections!$AZ890,IF(Weekly_Inspections!$BA890&lt;&gt;"",Weekly_Inspections!$BA890,IF(Weekly_Inspections!$BB890&lt;&gt;"",Weekly_Inspections!$BB890,Weekly_Inspections!$R890)))))</f>
        <v>0</v>
      </c>
      <c r="G890" t="str">
        <f>IF(OR(Weekly_Inspections!$AQ890&lt;&gt;"",Weekly_Inspections!$AR890&lt;&gt;"",Weekly_Inspections!$AS890&lt;&gt;""),Weekly_Inspections!$AQ890,"")</f>
        <v/>
      </c>
      <c r="H890">
        <f>Weekly_Inspections!$AP890</f>
        <v>0</v>
      </c>
      <c r="I890">
        <f>Weekly_Inspections!$AR890</f>
        <v>0</v>
      </c>
      <c r="J890">
        <f>Weekly_Inspections!$AS890</f>
        <v>0</v>
      </c>
      <c r="K890">
        <f>Weekly_Inspections!$AU890</f>
        <v>0</v>
      </c>
      <c r="L890" s="24">
        <f>Weekly_Inspections!$AV890</f>
        <v>0</v>
      </c>
      <c r="M890" t="str">
        <f t="shared" si="39"/>
        <v>Open</v>
      </c>
      <c r="N890" s="24"/>
      <c r="O890">
        <f t="shared" ca="1" si="40"/>
        <v>46113</v>
      </c>
      <c r="P890" t="str">
        <f t="shared" ca="1" si="41"/>
        <v>YES</v>
      </c>
      <c r="Q890">
        <f>Weekly_Inspections!$AW890</f>
        <v>0</v>
      </c>
    </row>
    <row r="891" spans="1:17" ht="15" customHeight="1" x14ac:dyDescent="0.2">
      <c r="A891" t="str">
        <f>IF(Weekly_Inspections!$B891="","",Weekly_Inspections!$A891&amp;"-A1")</f>
        <v/>
      </c>
      <c r="B891" s="24">
        <f>Weekly_Inspections!$B891</f>
        <v>0</v>
      </c>
      <c r="C891">
        <f>Weekly_Inspections!$E891</f>
        <v>0</v>
      </c>
      <c r="D891">
        <f>Weekly_Inspections!$F891</f>
        <v>0</v>
      </c>
      <c r="E891" t="str">
        <f>Weekly_Inspections!$H891</f>
        <v/>
      </c>
      <c r="F891">
        <f>IF(Weekly_Inspections!$AX891&lt;&gt;"",Weekly_Inspections!$AX891,IF(Weekly_Inspections!$AY891&lt;&gt;"",Weekly_Inspections!$AY891,IF(Weekly_Inspections!$AZ891&lt;&gt;"",Weekly_Inspections!$AZ891,IF(Weekly_Inspections!$BA891&lt;&gt;"",Weekly_Inspections!$BA891,IF(Weekly_Inspections!$BB891&lt;&gt;"",Weekly_Inspections!$BB891,Weekly_Inspections!$R891)))))</f>
        <v>0</v>
      </c>
      <c r="G891" t="str">
        <f>IF(OR(Weekly_Inspections!$AQ891&lt;&gt;"",Weekly_Inspections!$AR891&lt;&gt;"",Weekly_Inspections!$AS891&lt;&gt;""),Weekly_Inspections!$AQ891,"")</f>
        <v/>
      </c>
      <c r="H891">
        <f>Weekly_Inspections!$AP891</f>
        <v>0</v>
      </c>
      <c r="I891">
        <f>Weekly_Inspections!$AR891</f>
        <v>0</v>
      </c>
      <c r="J891">
        <f>Weekly_Inspections!$AS891</f>
        <v>0</v>
      </c>
      <c r="K891">
        <f>Weekly_Inspections!$AU891</f>
        <v>0</v>
      </c>
      <c r="L891" s="24">
        <f>Weekly_Inspections!$AV891</f>
        <v>0</v>
      </c>
      <c r="M891" t="str">
        <f t="shared" si="39"/>
        <v>Open</v>
      </c>
      <c r="N891" s="24"/>
      <c r="O891">
        <f t="shared" ca="1" si="40"/>
        <v>46113</v>
      </c>
      <c r="P891" t="str">
        <f t="shared" ca="1" si="41"/>
        <v>YES</v>
      </c>
      <c r="Q891">
        <f>Weekly_Inspections!$AW891</f>
        <v>0</v>
      </c>
    </row>
    <row r="892" spans="1:17" ht="15" customHeight="1" x14ac:dyDescent="0.2">
      <c r="A892" t="str">
        <f>IF(Weekly_Inspections!$B892="","",Weekly_Inspections!$A892&amp;"-A1")</f>
        <v/>
      </c>
      <c r="B892" s="24">
        <f>Weekly_Inspections!$B892</f>
        <v>0</v>
      </c>
      <c r="C892">
        <f>Weekly_Inspections!$E892</f>
        <v>0</v>
      </c>
      <c r="D892">
        <f>Weekly_Inspections!$F892</f>
        <v>0</v>
      </c>
      <c r="E892" t="str">
        <f>Weekly_Inspections!$H892</f>
        <v/>
      </c>
      <c r="F892">
        <f>IF(Weekly_Inspections!$AX892&lt;&gt;"",Weekly_Inspections!$AX892,IF(Weekly_Inspections!$AY892&lt;&gt;"",Weekly_Inspections!$AY892,IF(Weekly_Inspections!$AZ892&lt;&gt;"",Weekly_Inspections!$AZ892,IF(Weekly_Inspections!$BA892&lt;&gt;"",Weekly_Inspections!$BA892,IF(Weekly_Inspections!$BB892&lt;&gt;"",Weekly_Inspections!$BB892,Weekly_Inspections!$R892)))))</f>
        <v>0</v>
      </c>
      <c r="G892" t="str">
        <f>IF(OR(Weekly_Inspections!$AQ892&lt;&gt;"",Weekly_Inspections!$AR892&lt;&gt;"",Weekly_Inspections!$AS892&lt;&gt;""),Weekly_Inspections!$AQ892,"")</f>
        <v/>
      </c>
      <c r="H892">
        <f>Weekly_Inspections!$AP892</f>
        <v>0</v>
      </c>
      <c r="I892">
        <f>Weekly_Inspections!$AR892</f>
        <v>0</v>
      </c>
      <c r="J892">
        <f>Weekly_Inspections!$AS892</f>
        <v>0</v>
      </c>
      <c r="K892">
        <f>Weekly_Inspections!$AU892</f>
        <v>0</v>
      </c>
      <c r="L892" s="24">
        <f>Weekly_Inspections!$AV892</f>
        <v>0</v>
      </c>
      <c r="M892" t="str">
        <f t="shared" si="39"/>
        <v>Open</v>
      </c>
      <c r="N892" s="24"/>
      <c r="O892">
        <f t="shared" ca="1" si="40"/>
        <v>46113</v>
      </c>
      <c r="P892" t="str">
        <f t="shared" ca="1" si="41"/>
        <v>YES</v>
      </c>
      <c r="Q892">
        <f>Weekly_Inspections!$AW892</f>
        <v>0</v>
      </c>
    </row>
    <row r="893" spans="1:17" ht="15" customHeight="1" x14ac:dyDescent="0.2">
      <c r="A893" t="str">
        <f>IF(Weekly_Inspections!$B893="","",Weekly_Inspections!$A893&amp;"-A1")</f>
        <v/>
      </c>
      <c r="B893" s="24">
        <f>Weekly_Inspections!$B893</f>
        <v>0</v>
      </c>
      <c r="C893">
        <f>Weekly_Inspections!$E893</f>
        <v>0</v>
      </c>
      <c r="D893">
        <f>Weekly_Inspections!$F893</f>
        <v>0</v>
      </c>
      <c r="E893" t="str">
        <f>Weekly_Inspections!$H893</f>
        <v/>
      </c>
      <c r="F893">
        <f>IF(Weekly_Inspections!$AX893&lt;&gt;"",Weekly_Inspections!$AX893,IF(Weekly_Inspections!$AY893&lt;&gt;"",Weekly_Inspections!$AY893,IF(Weekly_Inspections!$AZ893&lt;&gt;"",Weekly_Inspections!$AZ893,IF(Weekly_Inspections!$BA893&lt;&gt;"",Weekly_Inspections!$BA893,IF(Weekly_Inspections!$BB893&lt;&gt;"",Weekly_Inspections!$BB893,Weekly_Inspections!$R893)))))</f>
        <v>0</v>
      </c>
      <c r="G893" t="str">
        <f>IF(OR(Weekly_Inspections!$AQ893&lt;&gt;"",Weekly_Inspections!$AR893&lt;&gt;"",Weekly_Inspections!$AS893&lt;&gt;""),Weekly_Inspections!$AQ893,"")</f>
        <v/>
      </c>
      <c r="H893">
        <f>Weekly_Inspections!$AP893</f>
        <v>0</v>
      </c>
      <c r="I893">
        <f>Weekly_Inspections!$AR893</f>
        <v>0</v>
      </c>
      <c r="J893">
        <f>Weekly_Inspections!$AS893</f>
        <v>0</v>
      </c>
      <c r="K893">
        <f>Weekly_Inspections!$AU893</f>
        <v>0</v>
      </c>
      <c r="L893" s="24">
        <f>Weekly_Inspections!$AV893</f>
        <v>0</v>
      </c>
      <c r="M893" t="str">
        <f t="shared" si="39"/>
        <v>Open</v>
      </c>
      <c r="N893" s="24"/>
      <c r="O893">
        <f t="shared" ca="1" si="40"/>
        <v>46113</v>
      </c>
      <c r="P893" t="str">
        <f t="shared" ca="1" si="41"/>
        <v>YES</v>
      </c>
      <c r="Q893">
        <f>Weekly_Inspections!$AW893</f>
        <v>0</v>
      </c>
    </row>
    <row r="894" spans="1:17" ht="15" customHeight="1" x14ac:dyDescent="0.2">
      <c r="A894" t="str">
        <f>IF(Weekly_Inspections!$B894="","",Weekly_Inspections!$A894&amp;"-A1")</f>
        <v/>
      </c>
      <c r="B894" s="24">
        <f>Weekly_Inspections!$B894</f>
        <v>0</v>
      </c>
      <c r="C894">
        <f>Weekly_Inspections!$E894</f>
        <v>0</v>
      </c>
      <c r="D894">
        <f>Weekly_Inspections!$F894</f>
        <v>0</v>
      </c>
      <c r="E894" t="str">
        <f>Weekly_Inspections!$H894</f>
        <v/>
      </c>
      <c r="F894">
        <f>IF(Weekly_Inspections!$AX894&lt;&gt;"",Weekly_Inspections!$AX894,IF(Weekly_Inspections!$AY894&lt;&gt;"",Weekly_Inspections!$AY894,IF(Weekly_Inspections!$AZ894&lt;&gt;"",Weekly_Inspections!$AZ894,IF(Weekly_Inspections!$BA894&lt;&gt;"",Weekly_Inspections!$BA894,IF(Weekly_Inspections!$BB894&lt;&gt;"",Weekly_Inspections!$BB894,Weekly_Inspections!$R894)))))</f>
        <v>0</v>
      </c>
      <c r="G894" t="str">
        <f>IF(OR(Weekly_Inspections!$AQ894&lt;&gt;"",Weekly_Inspections!$AR894&lt;&gt;"",Weekly_Inspections!$AS894&lt;&gt;""),Weekly_Inspections!$AQ894,"")</f>
        <v/>
      </c>
      <c r="H894">
        <f>Weekly_Inspections!$AP894</f>
        <v>0</v>
      </c>
      <c r="I894">
        <f>Weekly_Inspections!$AR894</f>
        <v>0</v>
      </c>
      <c r="J894">
        <f>Weekly_Inspections!$AS894</f>
        <v>0</v>
      </c>
      <c r="K894">
        <f>Weekly_Inspections!$AU894</f>
        <v>0</v>
      </c>
      <c r="L894" s="24">
        <f>Weekly_Inspections!$AV894</f>
        <v>0</v>
      </c>
      <c r="M894" t="str">
        <f t="shared" si="39"/>
        <v>Open</v>
      </c>
      <c r="N894" s="24"/>
      <c r="O894">
        <f t="shared" ca="1" si="40"/>
        <v>46113</v>
      </c>
      <c r="P894" t="str">
        <f t="shared" ca="1" si="41"/>
        <v>YES</v>
      </c>
      <c r="Q894">
        <f>Weekly_Inspections!$AW894</f>
        <v>0</v>
      </c>
    </row>
    <row r="895" spans="1:17" ht="15" customHeight="1" x14ac:dyDescent="0.2">
      <c r="A895" t="str">
        <f>IF(Weekly_Inspections!$B895="","",Weekly_Inspections!$A895&amp;"-A1")</f>
        <v/>
      </c>
      <c r="B895" s="24">
        <f>Weekly_Inspections!$B895</f>
        <v>0</v>
      </c>
      <c r="C895">
        <f>Weekly_Inspections!$E895</f>
        <v>0</v>
      </c>
      <c r="D895">
        <f>Weekly_Inspections!$F895</f>
        <v>0</v>
      </c>
      <c r="E895" t="str">
        <f>Weekly_Inspections!$H895</f>
        <v/>
      </c>
      <c r="F895">
        <f>IF(Weekly_Inspections!$AX895&lt;&gt;"",Weekly_Inspections!$AX895,IF(Weekly_Inspections!$AY895&lt;&gt;"",Weekly_Inspections!$AY895,IF(Weekly_Inspections!$AZ895&lt;&gt;"",Weekly_Inspections!$AZ895,IF(Weekly_Inspections!$BA895&lt;&gt;"",Weekly_Inspections!$BA895,IF(Weekly_Inspections!$BB895&lt;&gt;"",Weekly_Inspections!$BB895,Weekly_Inspections!$R895)))))</f>
        <v>0</v>
      </c>
      <c r="G895" t="str">
        <f>IF(OR(Weekly_Inspections!$AQ895&lt;&gt;"",Weekly_Inspections!$AR895&lt;&gt;"",Weekly_Inspections!$AS895&lt;&gt;""),Weekly_Inspections!$AQ895,"")</f>
        <v/>
      </c>
      <c r="H895">
        <f>Weekly_Inspections!$AP895</f>
        <v>0</v>
      </c>
      <c r="I895">
        <f>Weekly_Inspections!$AR895</f>
        <v>0</v>
      </c>
      <c r="J895">
        <f>Weekly_Inspections!$AS895</f>
        <v>0</v>
      </c>
      <c r="K895">
        <f>Weekly_Inspections!$AU895</f>
        <v>0</v>
      </c>
      <c r="L895" s="24">
        <f>Weekly_Inspections!$AV895</f>
        <v>0</v>
      </c>
      <c r="M895" t="str">
        <f t="shared" si="39"/>
        <v>Open</v>
      </c>
      <c r="N895" s="24"/>
      <c r="O895">
        <f t="shared" ca="1" si="40"/>
        <v>46113</v>
      </c>
      <c r="P895" t="str">
        <f t="shared" ca="1" si="41"/>
        <v>YES</v>
      </c>
      <c r="Q895">
        <f>Weekly_Inspections!$AW895</f>
        <v>0</v>
      </c>
    </row>
    <row r="896" spans="1:17" ht="15" customHeight="1" x14ac:dyDescent="0.2">
      <c r="A896" t="str">
        <f>IF(Weekly_Inspections!$B896="","",Weekly_Inspections!$A896&amp;"-A1")</f>
        <v/>
      </c>
      <c r="B896" s="24">
        <f>Weekly_Inspections!$B896</f>
        <v>0</v>
      </c>
      <c r="C896">
        <f>Weekly_Inspections!$E896</f>
        <v>0</v>
      </c>
      <c r="D896">
        <f>Weekly_Inspections!$F896</f>
        <v>0</v>
      </c>
      <c r="E896" t="str">
        <f>Weekly_Inspections!$H896</f>
        <v/>
      </c>
      <c r="F896">
        <f>IF(Weekly_Inspections!$AX896&lt;&gt;"",Weekly_Inspections!$AX896,IF(Weekly_Inspections!$AY896&lt;&gt;"",Weekly_Inspections!$AY896,IF(Weekly_Inspections!$AZ896&lt;&gt;"",Weekly_Inspections!$AZ896,IF(Weekly_Inspections!$BA896&lt;&gt;"",Weekly_Inspections!$BA896,IF(Weekly_Inspections!$BB896&lt;&gt;"",Weekly_Inspections!$BB896,Weekly_Inspections!$R896)))))</f>
        <v>0</v>
      </c>
      <c r="G896" t="str">
        <f>IF(OR(Weekly_Inspections!$AQ896&lt;&gt;"",Weekly_Inspections!$AR896&lt;&gt;"",Weekly_Inspections!$AS896&lt;&gt;""),Weekly_Inspections!$AQ896,"")</f>
        <v/>
      </c>
      <c r="H896">
        <f>Weekly_Inspections!$AP896</f>
        <v>0</v>
      </c>
      <c r="I896">
        <f>Weekly_Inspections!$AR896</f>
        <v>0</v>
      </c>
      <c r="J896">
        <f>Weekly_Inspections!$AS896</f>
        <v>0</v>
      </c>
      <c r="K896">
        <f>Weekly_Inspections!$AU896</f>
        <v>0</v>
      </c>
      <c r="L896" s="24">
        <f>Weekly_Inspections!$AV896</f>
        <v>0</v>
      </c>
      <c r="M896" t="str">
        <f t="shared" ref="M896:M959" si="42">IF($B896="","",IF($N896&lt;&gt;"","Closed",IF(OR($G896&lt;&gt;"",$I896&lt;&gt;"",$J896&lt;&gt;""),"Open","")))</f>
        <v>Open</v>
      </c>
      <c r="N896" s="24"/>
      <c r="O896">
        <f t="shared" ref="O896:O959" ca="1" si="43">IF($B896="","",IF($M896="Closed",IF($N896="","",$N896-$B896),TODAY()-$B896))</f>
        <v>46113</v>
      </c>
      <c r="P896" t="str">
        <f t="shared" ref="P896:P959" ca="1" si="44">IF(OR($B896="",$L896="",$M896="Closed"),"",IF(TODAY()&gt;$L896,"YES","NO"))</f>
        <v>YES</v>
      </c>
      <c r="Q896">
        <f>Weekly_Inspections!$AW896</f>
        <v>0</v>
      </c>
    </row>
    <row r="897" spans="1:17" ht="15" customHeight="1" x14ac:dyDescent="0.2">
      <c r="A897" t="str">
        <f>IF(Weekly_Inspections!$B897="","",Weekly_Inspections!$A897&amp;"-A1")</f>
        <v/>
      </c>
      <c r="B897" s="24">
        <f>Weekly_Inspections!$B897</f>
        <v>0</v>
      </c>
      <c r="C897">
        <f>Weekly_Inspections!$E897</f>
        <v>0</v>
      </c>
      <c r="D897">
        <f>Weekly_Inspections!$F897</f>
        <v>0</v>
      </c>
      <c r="E897" t="str">
        <f>Weekly_Inspections!$H897</f>
        <v/>
      </c>
      <c r="F897">
        <f>IF(Weekly_Inspections!$AX897&lt;&gt;"",Weekly_Inspections!$AX897,IF(Weekly_Inspections!$AY897&lt;&gt;"",Weekly_Inspections!$AY897,IF(Weekly_Inspections!$AZ897&lt;&gt;"",Weekly_Inspections!$AZ897,IF(Weekly_Inspections!$BA897&lt;&gt;"",Weekly_Inspections!$BA897,IF(Weekly_Inspections!$BB897&lt;&gt;"",Weekly_Inspections!$BB897,Weekly_Inspections!$R897)))))</f>
        <v>0</v>
      </c>
      <c r="G897" t="str">
        <f>IF(OR(Weekly_Inspections!$AQ897&lt;&gt;"",Weekly_Inspections!$AR897&lt;&gt;"",Weekly_Inspections!$AS897&lt;&gt;""),Weekly_Inspections!$AQ897,"")</f>
        <v/>
      </c>
      <c r="H897">
        <f>Weekly_Inspections!$AP897</f>
        <v>0</v>
      </c>
      <c r="I897">
        <f>Weekly_Inspections!$AR897</f>
        <v>0</v>
      </c>
      <c r="J897">
        <f>Weekly_Inspections!$AS897</f>
        <v>0</v>
      </c>
      <c r="K897">
        <f>Weekly_Inspections!$AU897</f>
        <v>0</v>
      </c>
      <c r="L897" s="24">
        <f>Weekly_Inspections!$AV897</f>
        <v>0</v>
      </c>
      <c r="M897" t="str">
        <f t="shared" si="42"/>
        <v>Open</v>
      </c>
      <c r="N897" s="24"/>
      <c r="O897">
        <f t="shared" ca="1" si="43"/>
        <v>46113</v>
      </c>
      <c r="P897" t="str">
        <f t="shared" ca="1" si="44"/>
        <v>YES</v>
      </c>
      <c r="Q897">
        <f>Weekly_Inspections!$AW897</f>
        <v>0</v>
      </c>
    </row>
    <row r="898" spans="1:17" ht="15" customHeight="1" x14ac:dyDescent="0.2">
      <c r="A898" t="str">
        <f>IF(Weekly_Inspections!$B898="","",Weekly_Inspections!$A898&amp;"-A1")</f>
        <v/>
      </c>
      <c r="B898" s="24">
        <f>Weekly_Inspections!$B898</f>
        <v>0</v>
      </c>
      <c r="C898">
        <f>Weekly_Inspections!$E898</f>
        <v>0</v>
      </c>
      <c r="D898">
        <f>Weekly_Inspections!$F898</f>
        <v>0</v>
      </c>
      <c r="E898" t="str">
        <f>Weekly_Inspections!$H898</f>
        <v/>
      </c>
      <c r="F898">
        <f>IF(Weekly_Inspections!$AX898&lt;&gt;"",Weekly_Inspections!$AX898,IF(Weekly_Inspections!$AY898&lt;&gt;"",Weekly_Inspections!$AY898,IF(Weekly_Inspections!$AZ898&lt;&gt;"",Weekly_Inspections!$AZ898,IF(Weekly_Inspections!$BA898&lt;&gt;"",Weekly_Inspections!$BA898,IF(Weekly_Inspections!$BB898&lt;&gt;"",Weekly_Inspections!$BB898,Weekly_Inspections!$R898)))))</f>
        <v>0</v>
      </c>
      <c r="G898" t="str">
        <f>IF(OR(Weekly_Inspections!$AQ898&lt;&gt;"",Weekly_Inspections!$AR898&lt;&gt;"",Weekly_Inspections!$AS898&lt;&gt;""),Weekly_Inspections!$AQ898,"")</f>
        <v/>
      </c>
      <c r="H898">
        <f>Weekly_Inspections!$AP898</f>
        <v>0</v>
      </c>
      <c r="I898">
        <f>Weekly_Inspections!$AR898</f>
        <v>0</v>
      </c>
      <c r="J898">
        <f>Weekly_Inspections!$AS898</f>
        <v>0</v>
      </c>
      <c r="K898">
        <f>Weekly_Inspections!$AU898</f>
        <v>0</v>
      </c>
      <c r="L898" s="24">
        <f>Weekly_Inspections!$AV898</f>
        <v>0</v>
      </c>
      <c r="M898" t="str">
        <f t="shared" si="42"/>
        <v>Open</v>
      </c>
      <c r="N898" s="24"/>
      <c r="O898">
        <f t="shared" ca="1" si="43"/>
        <v>46113</v>
      </c>
      <c r="P898" t="str">
        <f t="shared" ca="1" si="44"/>
        <v>YES</v>
      </c>
      <c r="Q898">
        <f>Weekly_Inspections!$AW898</f>
        <v>0</v>
      </c>
    </row>
    <row r="899" spans="1:17" ht="15" customHeight="1" x14ac:dyDescent="0.2">
      <c r="A899" t="str">
        <f>IF(Weekly_Inspections!$B899="","",Weekly_Inspections!$A899&amp;"-A1")</f>
        <v/>
      </c>
      <c r="B899" s="24">
        <f>Weekly_Inspections!$B899</f>
        <v>0</v>
      </c>
      <c r="C899">
        <f>Weekly_Inspections!$E899</f>
        <v>0</v>
      </c>
      <c r="D899">
        <f>Weekly_Inspections!$F899</f>
        <v>0</v>
      </c>
      <c r="E899" t="str">
        <f>Weekly_Inspections!$H899</f>
        <v/>
      </c>
      <c r="F899">
        <f>IF(Weekly_Inspections!$AX899&lt;&gt;"",Weekly_Inspections!$AX899,IF(Weekly_Inspections!$AY899&lt;&gt;"",Weekly_Inspections!$AY899,IF(Weekly_Inspections!$AZ899&lt;&gt;"",Weekly_Inspections!$AZ899,IF(Weekly_Inspections!$BA899&lt;&gt;"",Weekly_Inspections!$BA899,IF(Weekly_Inspections!$BB899&lt;&gt;"",Weekly_Inspections!$BB899,Weekly_Inspections!$R899)))))</f>
        <v>0</v>
      </c>
      <c r="G899" t="str">
        <f>IF(OR(Weekly_Inspections!$AQ899&lt;&gt;"",Weekly_Inspections!$AR899&lt;&gt;"",Weekly_Inspections!$AS899&lt;&gt;""),Weekly_Inspections!$AQ899,"")</f>
        <v/>
      </c>
      <c r="H899">
        <f>Weekly_Inspections!$AP899</f>
        <v>0</v>
      </c>
      <c r="I899">
        <f>Weekly_Inspections!$AR899</f>
        <v>0</v>
      </c>
      <c r="J899">
        <f>Weekly_Inspections!$AS899</f>
        <v>0</v>
      </c>
      <c r="K899">
        <f>Weekly_Inspections!$AU899</f>
        <v>0</v>
      </c>
      <c r="L899" s="24">
        <f>Weekly_Inspections!$AV899</f>
        <v>0</v>
      </c>
      <c r="M899" t="str">
        <f t="shared" si="42"/>
        <v>Open</v>
      </c>
      <c r="N899" s="24"/>
      <c r="O899">
        <f t="shared" ca="1" si="43"/>
        <v>46113</v>
      </c>
      <c r="P899" t="str">
        <f t="shared" ca="1" si="44"/>
        <v>YES</v>
      </c>
      <c r="Q899">
        <f>Weekly_Inspections!$AW899</f>
        <v>0</v>
      </c>
    </row>
    <row r="900" spans="1:17" ht="15" customHeight="1" x14ac:dyDescent="0.2">
      <c r="A900" t="str">
        <f>IF(Weekly_Inspections!$B900="","",Weekly_Inspections!$A900&amp;"-A1")</f>
        <v/>
      </c>
      <c r="B900" s="24">
        <f>Weekly_Inspections!$B900</f>
        <v>0</v>
      </c>
      <c r="C900">
        <f>Weekly_Inspections!$E900</f>
        <v>0</v>
      </c>
      <c r="D900">
        <f>Weekly_Inspections!$F900</f>
        <v>0</v>
      </c>
      <c r="E900" t="str">
        <f>Weekly_Inspections!$H900</f>
        <v/>
      </c>
      <c r="F900">
        <f>IF(Weekly_Inspections!$AX900&lt;&gt;"",Weekly_Inspections!$AX900,IF(Weekly_Inspections!$AY900&lt;&gt;"",Weekly_Inspections!$AY900,IF(Weekly_Inspections!$AZ900&lt;&gt;"",Weekly_Inspections!$AZ900,IF(Weekly_Inspections!$BA900&lt;&gt;"",Weekly_Inspections!$BA900,IF(Weekly_Inspections!$BB900&lt;&gt;"",Weekly_Inspections!$BB900,Weekly_Inspections!$R900)))))</f>
        <v>0</v>
      </c>
      <c r="G900" t="str">
        <f>IF(OR(Weekly_Inspections!$AQ900&lt;&gt;"",Weekly_Inspections!$AR900&lt;&gt;"",Weekly_Inspections!$AS900&lt;&gt;""),Weekly_Inspections!$AQ900,"")</f>
        <v/>
      </c>
      <c r="H900">
        <f>Weekly_Inspections!$AP900</f>
        <v>0</v>
      </c>
      <c r="I900">
        <f>Weekly_Inspections!$AR900</f>
        <v>0</v>
      </c>
      <c r="J900">
        <f>Weekly_Inspections!$AS900</f>
        <v>0</v>
      </c>
      <c r="K900">
        <f>Weekly_Inspections!$AU900</f>
        <v>0</v>
      </c>
      <c r="L900" s="24">
        <f>Weekly_Inspections!$AV900</f>
        <v>0</v>
      </c>
      <c r="M900" t="str">
        <f t="shared" si="42"/>
        <v>Open</v>
      </c>
      <c r="N900" s="24"/>
      <c r="O900">
        <f t="shared" ca="1" si="43"/>
        <v>46113</v>
      </c>
      <c r="P900" t="str">
        <f t="shared" ca="1" si="44"/>
        <v>YES</v>
      </c>
      <c r="Q900">
        <f>Weekly_Inspections!$AW900</f>
        <v>0</v>
      </c>
    </row>
    <row r="901" spans="1:17" ht="15" customHeight="1" x14ac:dyDescent="0.2">
      <c r="A901" t="str">
        <f>IF(Weekly_Inspections!$B901="","",Weekly_Inspections!$A901&amp;"-A1")</f>
        <v/>
      </c>
      <c r="B901" s="24">
        <f>Weekly_Inspections!$B901</f>
        <v>0</v>
      </c>
      <c r="C901">
        <f>Weekly_Inspections!$E901</f>
        <v>0</v>
      </c>
      <c r="D901">
        <f>Weekly_Inspections!$F901</f>
        <v>0</v>
      </c>
      <c r="E901" t="str">
        <f>Weekly_Inspections!$H901</f>
        <v/>
      </c>
      <c r="F901">
        <f>IF(Weekly_Inspections!$AX901&lt;&gt;"",Weekly_Inspections!$AX901,IF(Weekly_Inspections!$AY901&lt;&gt;"",Weekly_Inspections!$AY901,IF(Weekly_Inspections!$AZ901&lt;&gt;"",Weekly_Inspections!$AZ901,IF(Weekly_Inspections!$BA901&lt;&gt;"",Weekly_Inspections!$BA901,IF(Weekly_Inspections!$BB901&lt;&gt;"",Weekly_Inspections!$BB901,Weekly_Inspections!$R901)))))</f>
        <v>0</v>
      </c>
      <c r="G901" t="str">
        <f>IF(OR(Weekly_Inspections!$AQ901&lt;&gt;"",Weekly_Inspections!$AR901&lt;&gt;"",Weekly_Inspections!$AS901&lt;&gt;""),Weekly_Inspections!$AQ901,"")</f>
        <v/>
      </c>
      <c r="H901">
        <f>Weekly_Inspections!$AP901</f>
        <v>0</v>
      </c>
      <c r="I901">
        <f>Weekly_Inspections!$AR901</f>
        <v>0</v>
      </c>
      <c r="J901">
        <f>Weekly_Inspections!$AS901</f>
        <v>0</v>
      </c>
      <c r="K901">
        <f>Weekly_Inspections!$AU901</f>
        <v>0</v>
      </c>
      <c r="L901" s="24">
        <f>Weekly_Inspections!$AV901</f>
        <v>0</v>
      </c>
      <c r="M901" t="str">
        <f t="shared" si="42"/>
        <v>Open</v>
      </c>
      <c r="N901" s="24"/>
      <c r="O901">
        <f t="shared" ca="1" si="43"/>
        <v>46113</v>
      </c>
      <c r="P901" t="str">
        <f t="shared" ca="1" si="44"/>
        <v>YES</v>
      </c>
      <c r="Q901">
        <f>Weekly_Inspections!$AW901</f>
        <v>0</v>
      </c>
    </row>
    <row r="902" spans="1:17" ht="15" customHeight="1" x14ac:dyDescent="0.2">
      <c r="A902" t="str">
        <f>IF(Weekly_Inspections!$B902="","",Weekly_Inspections!$A902&amp;"-A1")</f>
        <v/>
      </c>
      <c r="B902" s="24">
        <f>Weekly_Inspections!$B902</f>
        <v>0</v>
      </c>
      <c r="C902">
        <f>Weekly_Inspections!$E902</f>
        <v>0</v>
      </c>
      <c r="D902">
        <f>Weekly_Inspections!$F902</f>
        <v>0</v>
      </c>
      <c r="E902" t="str">
        <f>Weekly_Inspections!$H902</f>
        <v/>
      </c>
      <c r="F902">
        <f>IF(Weekly_Inspections!$AX902&lt;&gt;"",Weekly_Inspections!$AX902,IF(Weekly_Inspections!$AY902&lt;&gt;"",Weekly_Inspections!$AY902,IF(Weekly_Inspections!$AZ902&lt;&gt;"",Weekly_Inspections!$AZ902,IF(Weekly_Inspections!$BA902&lt;&gt;"",Weekly_Inspections!$BA902,IF(Weekly_Inspections!$BB902&lt;&gt;"",Weekly_Inspections!$BB902,Weekly_Inspections!$R902)))))</f>
        <v>0</v>
      </c>
      <c r="G902" t="str">
        <f>IF(OR(Weekly_Inspections!$AQ902&lt;&gt;"",Weekly_Inspections!$AR902&lt;&gt;"",Weekly_Inspections!$AS902&lt;&gt;""),Weekly_Inspections!$AQ902,"")</f>
        <v/>
      </c>
      <c r="H902">
        <f>Weekly_Inspections!$AP902</f>
        <v>0</v>
      </c>
      <c r="I902">
        <f>Weekly_Inspections!$AR902</f>
        <v>0</v>
      </c>
      <c r="J902">
        <f>Weekly_Inspections!$AS902</f>
        <v>0</v>
      </c>
      <c r="K902">
        <f>Weekly_Inspections!$AU902</f>
        <v>0</v>
      </c>
      <c r="L902" s="24">
        <f>Weekly_Inspections!$AV902</f>
        <v>0</v>
      </c>
      <c r="M902" t="str">
        <f t="shared" si="42"/>
        <v>Open</v>
      </c>
      <c r="N902" s="24"/>
      <c r="O902">
        <f t="shared" ca="1" si="43"/>
        <v>46113</v>
      </c>
      <c r="P902" t="str">
        <f t="shared" ca="1" si="44"/>
        <v>YES</v>
      </c>
      <c r="Q902">
        <f>Weekly_Inspections!$AW902</f>
        <v>0</v>
      </c>
    </row>
    <row r="903" spans="1:17" ht="15" customHeight="1" x14ac:dyDescent="0.2">
      <c r="A903" t="str">
        <f>IF(Weekly_Inspections!$B903="","",Weekly_Inspections!$A903&amp;"-A1")</f>
        <v/>
      </c>
      <c r="B903" s="24">
        <f>Weekly_Inspections!$B903</f>
        <v>0</v>
      </c>
      <c r="C903">
        <f>Weekly_Inspections!$E903</f>
        <v>0</v>
      </c>
      <c r="D903">
        <f>Weekly_Inspections!$F903</f>
        <v>0</v>
      </c>
      <c r="E903" t="str">
        <f>Weekly_Inspections!$H903</f>
        <v/>
      </c>
      <c r="F903">
        <f>IF(Weekly_Inspections!$AX903&lt;&gt;"",Weekly_Inspections!$AX903,IF(Weekly_Inspections!$AY903&lt;&gt;"",Weekly_Inspections!$AY903,IF(Weekly_Inspections!$AZ903&lt;&gt;"",Weekly_Inspections!$AZ903,IF(Weekly_Inspections!$BA903&lt;&gt;"",Weekly_Inspections!$BA903,IF(Weekly_Inspections!$BB903&lt;&gt;"",Weekly_Inspections!$BB903,Weekly_Inspections!$R903)))))</f>
        <v>0</v>
      </c>
      <c r="G903" t="str">
        <f>IF(OR(Weekly_Inspections!$AQ903&lt;&gt;"",Weekly_Inspections!$AR903&lt;&gt;"",Weekly_Inspections!$AS903&lt;&gt;""),Weekly_Inspections!$AQ903,"")</f>
        <v/>
      </c>
      <c r="H903">
        <f>Weekly_Inspections!$AP903</f>
        <v>0</v>
      </c>
      <c r="I903">
        <f>Weekly_Inspections!$AR903</f>
        <v>0</v>
      </c>
      <c r="J903">
        <f>Weekly_Inspections!$AS903</f>
        <v>0</v>
      </c>
      <c r="K903">
        <f>Weekly_Inspections!$AU903</f>
        <v>0</v>
      </c>
      <c r="L903" s="24">
        <f>Weekly_Inspections!$AV903</f>
        <v>0</v>
      </c>
      <c r="M903" t="str">
        <f t="shared" si="42"/>
        <v>Open</v>
      </c>
      <c r="N903" s="24"/>
      <c r="O903">
        <f t="shared" ca="1" si="43"/>
        <v>46113</v>
      </c>
      <c r="P903" t="str">
        <f t="shared" ca="1" si="44"/>
        <v>YES</v>
      </c>
      <c r="Q903">
        <f>Weekly_Inspections!$AW903</f>
        <v>0</v>
      </c>
    </row>
    <row r="904" spans="1:17" ht="15" customHeight="1" x14ac:dyDescent="0.2">
      <c r="A904" t="str">
        <f>IF(Weekly_Inspections!$B904="","",Weekly_Inspections!$A904&amp;"-A1")</f>
        <v/>
      </c>
      <c r="B904" s="24">
        <f>Weekly_Inspections!$B904</f>
        <v>0</v>
      </c>
      <c r="C904">
        <f>Weekly_Inspections!$E904</f>
        <v>0</v>
      </c>
      <c r="D904">
        <f>Weekly_Inspections!$F904</f>
        <v>0</v>
      </c>
      <c r="E904" t="str">
        <f>Weekly_Inspections!$H904</f>
        <v/>
      </c>
      <c r="F904">
        <f>IF(Weekly_Inspections!$AX904&lt;&gt;"",Weekly_Inspections!$AX904,IF(Weekly_Inspections!$AY904&lt;&gt;"",Weekly_Inspections!$AY904,IF(Weekly_Inspections!$AZ904&lt;&gt;"",Weekly_Inspections!$AZ904,IF(Weekly_Inspections!$BA904&lt;&gt;"",Weekly_Inspections!$BA904,IF(Weekly_Inspections!$BB904&lt;&gt;"",Weekly_Inspections!$BB904,Weekly_Inspections!$R904)))))</f>
        <v>0</v>
      </c>
      <c r="G904" t="str">
        <f>IF(OR(Weekly_Inspections!$AQ904&lt;&gt;"",Weekly_Inspections!$AR904&lt;&gt;"",Weekly_Inspections!$AS904&lt;&gt;""),Weekly_Inspections!$AQ904,"")</f>
        <v/>
      </c>
      <c r="H904">
        <f>Weekly_Inspections!$AP904</f>
        <v>0</v>
      </c>
      <c r="I904">
        <f>Weekly_Inspections!$AR904</f>
        <v>0</v>
      </c>
      <c r="J904">
        <f>Weekly_Inspections!$AS904</f>
        <v>0</v>
      </c>
      <c r="K904">
        <f>Weekly_Inspections!$AU904</f>
        <v>0</v>
      </c>
      <c r="L904" s="24">
        <f>Weekly_Inspections!$AV904</f>
        <v>0</v>
      </c>
      <c r="M904" t="str">
        <f t="shared" si="42"/>
        <v>Open</v>
      </c>
      <c r="N904" s="24"/>
      <c r="O904">
        <f t="shared" ca="1" si="43"/>
        <v>46113</v>
      </c>
      <c r="P904" t="str">
        <f t="shared" ca="1" si="44"/>
        <v>YES</v>
      </c>
      <c r="Q904">
        <f>Weekly_Inspections!$AW904</f>
        <v>0</v>
      </c>
    </row>
    <row r="905" spans="1:17" ht="15" customHeight="1" x14ac:dyDescent="0.2">
      <c r="A905" t="str">
        <f>IF(Weekly_Inspections!$B905="","",Weekly_Inspections!$A905&amp;"-A1")</f>
        <v/>
      </c>
      <c r="B905" s="24">
        <f>Weekly_Inspections!$B905</f>
        <v>0</v>
      </c>
      <c r="C905">
        <f>Weekly_Inspections!$E905</f>
        <v>0</v>
      </c>
      <c r="D905">
        <f>Weekly_Inspections!$F905</f>
        <v>0</v>
      </c>
      <c r="E905" t="str">
        <f>Weekly_Inspections!$H905</f>
        <v/>
      </c>
      <c r="F905">
        <f>IF(Weekly_Inspections!$AX905&lt;&gt;"",Weekly_Inspections!$AX905,IF(Weekly_Inspections!$AY905&lt;&gt;"",Weekly_Inspections!$AY905,IF(Weekly_Inspections!$AZ905&lt;&gt;"",Weekly_Inspections!$AZ905,IF(Weekly_Inspections!$BA905&lt;&gt;"",Weekly_Inspections!$BA905,IF(Weekly_Inspections!$BB905&lt;&gt;"",Weekly_Inspections!$BB905,Weekly_Inspections!$R905)))))</f>
        <v>0</v>
      </c>
      <c r="G905" t="str">
        <f>IF(OR(Weekly_Inspections!$AQ905&lt;&gt;"",Weekly_Inspections!$AR905&lt;&gt;"",Weekly_Inspections!$AS905&lt;&gt;""),Weekly_Inspections!$AQ905,"")</f>
        <v/>
      </c>
      <c r="H905">
        <f>Weekly_Inspections!$AP905</f>
        <v>0</v>
      </c>
      <c r="I905">
        <f>Weekly_Inspections!$AR905</f>
        <v>0</v>
      </c>
      <c r="J905">
        <f>Weekly_Inspections!$AS905</f>
        <v>0</v>
      </c>
      <c r="K905">
        <f>Weekly_Inspections!$AU905</f>
        <v>0</v>
      </c>
      <c r="L905" s="24">
        <f>Weekly_Inspections!$AV905</f>
        <v>0</v>
      </c>
      <c r="M905" t="str">
        <f t="shared" si="42"/>
        <v>Open</v>
      </c>
      <c r="N905" s="24"/>
      <c r="O905">
        <f t="shared" ca="1" si="43"/>
        <v>46113</v>
      </c>
      <c r="P905" t="str">
        <f t="shared" ca="1" si="44"/>
        <v>YES</v>
      </c>
      <c r="Q905">
        <f>Weekly_Inspections!$AW905</f>
        <v>0</v>
      </c>
    </row>
    <row r="906" spans="1:17" ht="15" customHeight="1" x14ac:dyDescent="0.2">
      <c r="A906" t="str">
        <f>IF(Weekly_Inspections!$B906="","",Weekly_Inspections!$A906&amp;"-A1")</f>
        <v/>
      </c>
      <c r="B906" s="24">
        <f>Weekly_Inspections!$B906</f>
        <v>0</v>
      </c>
      <c r="C906">
        <f>Weekly_Inspections!$E906</f>
        <v>0</v>
      </c>
      <c r="D906">
        <f>Weekly_Inspections!$F906</f>
        <v>0</v>
      </c>
      <c r="E906" t="str">
        <f>Weekly_Inspections!$H906</f>
        <v/>
      </c>
      <c r="F906">
        <f>IF(Weekly_Inspections!$AX906&lt;&gt;"",Weekly_Inspections!$AX906,IF(Weekly_Inspections!$AY906&lt;&gt;"",Weekly_Inspections!$AY906,IF(Weekly_Inspections!$AZ906&lt;&gt;"",Weekly_Inspections!$AZ906,IF(Weekly_Inspections!$BA906&lt;&gt;"",Weekly_Inspections!$BA906,IF(Weekly_Inspections!$BB906&lt;&gt;"",Weekly_Inspections!$BB906,Weekly_Inspections!$R906)))))</f>
        <v>0</v>
      </c>
      <c r="G906" t="str">
        <f>IF(OR(Weekly_Inspections!$AQ906&lt;&gt;"",Weekly_Inspections!$AR906&lt;&gt;"",Weekly_Inspections!$AS906&lt;&gt;""),Weekly_Inspections!$AQ906,"")</f>
        <v/>
      </c>
      <c r="H906">
        <f>Weekly_Inspections!$AP906</f>
        <v>0</v>
      </c>
      <c r="I906">
        <f>Weekly_Inspections!$AR906</f>
        <v>0</v>
      </c>
      <c r="J906">
        <f>Weekly_Inspections!$AS906</f>
        <v>0</v>
      </c>
      <c r="K906">
        <f>Weekly_Inspections!$AU906</f>
        <v>0</v>
      </c>
      <c r="L906" s="24">
        <f>Weekly_Inspections!$AV906</f>
        <v>0</v>
      </c>
      <c r="M906" t="str">
        <f t="shared" si="42"/>
        <v>Open</v>
      </c>
      <c r="N906" s="24"/>
      <c r="O906">
        <f t="shared" ca="1" si="43"/>
        <v>46113</v>
      </c>
      <c r="P906" t="str">
        <f t="shared" ca="1" si="44"/>
        <v>YES</v>
      </c>
      <c r="Q906">
        <f>Weekly_Inspections!$AW906</f>
        <v>0</v>
      </c>
    </row>
    <row r="907" spans="1:17" ht="15" customHeight="1" x14ac:dyDescent="0.2">
      <c r="A907" t="str">
        <f>IF(Weekly_Inspections!$B907="","",Weekly_Inspections!$A907&amp;"-A1")</f>
        <v/>
      </c>
      <c r="B907" s="24">
        <f>Weekly_Inspections!$B907</f>
        <v>0</v>
      </c>
      <c r="C907">
        <f>Weekly_Inspections!$E907</f>
        <v>0</v>
      </c>
      <c r="D907">
        <f>Weekly_Inspections!$F907</f>
        <v>0</v>
      </c>
      <c r="E907" t="str">
        <f>Weekly_Inspections!$H907</f>
        <v/>
      </c>
      <c r="F907">
        <f>IF(Weekly_Inspections!$AX907&lt;&gt;"",Weekly_Inspections!$AX907,IF(Weekly_Inspections!$AY907&lt;&gt;"",Weekly_Inspections!$AY907,IF(Weekly_Inspections!$AZ907&lt;&gt;"",Weekly_Inspections!$AZ907,IF(Weekly_Inspections!$BA907&lt;&gt;"",Weekly_Inspections!$BA907,IF(Weekly_Inspections!$BB907&lt;&gt;"",Weekly_Inspections!$BB907,Weekly_Inspections!$R907)))))</f>
        <v>0</v>
      </c>
      <c r="G907" t="str">
        <f>IF(OR(Weekly_Inspections!$AQ907&lt;&gt;"",Weekly_Inspections!$AR907&lt;&gt;"",Weekly_Inspections!$AS907&lt;&gt;""),Weekly_Inspections!$AQ907,"")</f>
        <v/>
      </c>
      <c r="H907">
        <f>Weekly_Inspections!$AP907</f>
        <v>0</v>
      </c>
      <c r="I907">
        <f>Weekly_Inspections!$AR907</f>
        <v>0</v>
      </c>
      <c r="J907">
        <f>Weekly_Inspections!$AS907</f>
        <v>0</v>
      </c>
      <c r="K907">
        <f>Weekly_Inspections!$AU907</f>
        <v>0</v>
      </c>
      <c r="L907" s="24">
        <f>Weekly_Inspections!$AV907</f>
        <v>0</v>
      </c>
      <c r="M907" t="str">
        <f t="shared" si="42"/>
        <v>Open</v>
      </c>
      <c r="N907" s="24"/>
      <c r="O907">
        <f t="shared" ca="1" si="43"/>
        <v>46113</v>
      </c>
      <c r="P907" t="str">
        <f t="shared" ca="1" si="44"/>
        <v>YES</v>
      </c>
      <c r="Q907">
        <f>Weekly_Inspections!$AW907</f>
        <v>0</v>
      </c>
    </row>
    <row r="908" spans="1:17" ht="15" customHeight="1" x14ac:dyDescent="0.2">
      <c r="A908" t="str">
        <f>IF(Weekly_Inspections!$B908="","",Weekly_Inspections!$A908&amp;"-A1")</f>
        <v/>
      </c>
      <c r="B908" s="24">
        <f>Weekly_Inspections!$B908</f>
        <v>0</v>
      </c>
      <c r="C908">
        <f>Weekly_Inspections!$E908</f>
        <v>0</v>
      </c>
      <c r="D908">
        <f>Weekly_Inspections!$F908</f>
        <v>0</v>
      </c>
      <c r="E908" t="str">
        <f>Weekly_Inspections!$H908</f>
        <v/>
      </c>
      <c r="F908">
        <f>IF(Weekly_Inspections!$AX908&lt;&gt;"",Weekly_Inspections!$AX908,IF(Weekly_Inspections!$AY908&lt;&gt;"",Weekly_Inspections!$AY908,IF(Weekly_Inspections!$AZ908&lt;&gt;"",Weekly_Inspections!$AZ908,IF(Weekly_Inspections!$BA908&lt;&gt;"",Weekly_Inspections!$BA908,IF(Weekly_Inspections!$BB908&lt;&gt;"",Weekly_Inspections!$BB908,Weekly_Inspections!$R908)))))</f>
        <v>0</v>
      </c>
      <c r="G908" t="str">
        <f>IF(OR(Weekly_Inspections!$AQ908&lt;&gt;"",Weekly_Inspections!$AR908&lt;&gt;"",Weekly_Inspections!$AS908&lt;&gt;""),Weekly_Inspections!$AQ908,"")</f>
        <v/>
      </c>
      <c r="H908">
        <f>Weekly_Inspections!$AP908</f>
        <v>0</v>
      </c>
      <c r="I908">
        <f>Weekly_Inspections!$AR908</f>
        <v>0</v>
      </c>
      <c r="J908">
        <f>Weekly_Inspections!$AS908</f>
        <v>0</v>
      </c>
      <c r="K908">
        <f>Weekly_Inspections!$AU908</f>
        <v>0</v>
      </c>
      <c r="L908" s="24">
        <f>Weekly_Inspections!$AV908</f>
        <v>0</v>
      </c>
      <c r="M908" t="str">
        <f t="shared" si="42"/>
        <v>Open</v>
      </c>
      <c r="N908" s="24"/>
      <c r="O908">
        <f t="shared" ca="1" si="43"/>
        <v>46113</v>
      </c>
      <c r="P908" t="str">
        <f t="shared" ca="1" si="44"/>
        <v>YES</v>
      </c>
      <c r="Q908">
        <f>Weekly_Inspections!$AW908</f>
        <v>0</v>
      </c>
    </row>
    <row r="909" spans="1:17" ht="15" customHeight="1" x14ac:dyDescent="0.2">
      <c r="A909" t="str">
        <f>IF(Weekly_Inspections!$B909="","",Weekly_Inspections!$A909&amp;"-A1")</f>
        <v/>
      </c>
      <c r="B909" s="24">
        <f>Weekly_Inspections!$B909</f>
        <v>0</v>
      </c>
      <c r="C909">
        <f>Weekly_Inspections!$E909</f>
        <v>0</v>
      </c>
      <c r="D909">
        <f>Weekly_Inspections!$F909</f>
        <v>0</v>
      </c>
      <c r="E909" t="str">
        <f>Weekly_Inspections!$H909</f>
        <v/>
      </c>
      <c r="F909">
        <f>IF(Weekly_Inspections!$AX909&lt;&gt;"",Weekly_Inspections!$AX909,IF(Weekly_Inspections!$AY909&lt;&gt;"",Weekly_Inspections!$AY909,IF(Weekly_Inspections!$AZ909&lt;&gt;"",Weekly_Inspections!$AZ909,IF(Weekly_Inspections!$BA909&lt;&gt;"",Weekly_Inspections!$BA909,IF(Weekly_Inspections!$BB909&lt;&gt;"",Weekly_Inspections!$BB909,Weekly_Inspections!$R909)))))</f>
        <v>0</v>
      </c>
      <c r="G909" t="str">
        <f>IF(OR(Weekly_Inspections!$AQ909&lt;&gt;"",Weekly_Inspections!$AR909&lt;&gt;"",Weekly_Inspections!$AS909&lt;&gt;""),Weekly_Inspections!$AQ909,"")</f>
        <v/>
      </c>
      <c r="H909">
        <f>Weekly_Inspections!$AP909</f>
        <v>0</v>
      </c>
      <c r="I909">
        <f>Weekly_Inspections!$AR909</f>
        <v>0</v>
      </c>
      <c r="J909">
        <f>Weekly_Inspections!$AS909</f>
        <v>0</v>
      </c>
      <c r="K909">
        <f>Weekly_Inspections!$AU909</f>
        <v>0</v>
      </c>
      <c r="L909" s="24">
        <f>Weekly_Inspections!$AV909</f>
        <v>0</v>
      </c>
      <c r="M909" t="str">
        <f t="shared" si="42"/>
        <v>Open</v>
      </c>
      <c r="N909" s="24"/>
      <c r="O909">
        <f t="shared" ca="1" si="43"/>
        <v>46113</v>
      </c>
      <c r="P909" t="str">
        <f t="shared" ca="1" si="44"/>
        <v>YES</v>
      </c>
      <c r="Q909">
        <f>Weekly_Inspections!$AW909</f>
        <v>0</v>
      </c>
    </row>
    <row r="910" spans="1:17" ht="15" customHeight="1" x14ac:dyDescent="0.2">
      <c r="A910" t="str">
        <f>IF(Weekly_Inspections!$B910="","",Weekly_Inspections!$A910&amp;"-A1")</f>
        <v/>
      </c>
      <c r="B910" s="24">
        <f>Weekly_Inspections!$B910</f>
        <v>0</v>
      </c>
      <c r="C910">
        <f>Weekly_Inspections!$E910</f>
        <v>0</v>
      </c>
      <c r="D910">
        <f>Weekly_Inspections!$F910</f>
        <v>0</v>
      </c>
      <c r="E910" t="str">
        <f>Weekly_Inspections!$H910</f>
        <v/>
      </c>
      <c r="F910">
        <f>IF(Weekly_Inspections!$AX910&lt;&gt;"",Weekly_Inspections!$AX910,IF(Weekly_Inspections!$AY910&lt;&gt;"",Weekly_Inspections!$AY910,IF(Weekly_Inspections!$AZ910&lt;&gt;"",Weekly_Inspections!$AZ910,IF(Weekly_Inspections!$BA910&lt;&gt;"",Weekly_Inspections!$BA910,IF(Weekly_Inspections!$BB910&lt;&gt;"",Weekly_Inspections!$BB910,Weekly_Inspections!$R910)))))</f>
        <v>0</v>
      </c>
      <c r="G910" t="str">
        <f>IF(OR(Weekly_Inspections!$AQ910&lt;&gt;"",Weekly_Inspections!$AR910&lt;&gt;"",Weekly_Inspections!$AS910&lt;&gt;""),Weekly_Inspections!$AQ910,"")</f>
        <v/>
      </c>
      <c r="H910">
        <f>Weekly_Inspections!$AP910</f>
        <v>0</v>
      </c>
      <c r="I910">
        <f>Weekly_Inspections!$AR910</f>
        <v>0</v>
      </c>
      <c r="J910">
        <f>Weekly_Inspections!$AS910</f>
        <v>0</v>
      </c>
      <c r="K910">
        <f>Weekly_Inspections!$AU910</f>
        <v>0</v>
      </c>
      <c r="L910" s="24">
        <f>Weekly_Inspections!$AV910</f>
        <v>0</v>
      </c>
      <c r="M910" t="str">
        <f t="shared" si="42"/>
        <v>Open</v>
      </c>
      <c r="N910" s="24"/>
      <c r="O910">
        <f t="shared" ca="1" si="43"/>
        <v>46113</v>
      </c>
      <c r="P910" t="str">
        <f t="shared" ca="1" si="44"/>
        <v>YES</v>
      </c>
      <c r="Q910">
        <f>Weekly_Inspections!$AW910</f>
        <v>0</v>
      </c>
    </row>
    <row r="911" spans="1:17" ht="15" customHeight="1" x14ac:dyDescent="0.2">
      <c r="A911" t="str">
        <f>IF(Weekly_Inspections!$B911="","",Weekly_Inspections!$A911&amp;"-A1")</f>
        <v/>
      </c>
      <c r="B911" s="24">
        <f>Weekly_Inspections!$B911</f>
        <v>0</v>
      </c>
      <c r="C911">
        <f>Weekly_Inspections!$E911</f>
        <v>0</v>
      </c>
      <c r="D911">
        <f>Weekly_Inspections!$F911</f>
        <v>0</v>
      </c>
      <c r="E911" t="str">
        <f>Weekly_Inspections!$H911</f>
        <v/>
      </c>
      <c r="F911">
        <f>IF(Weekly_Inspections!$AX911&lt;&gt;"",Weekly_Inspections!$AX911,IF(Weekly_Inspections!$AY911&lt;&gt;"",Weekly_Inspections!$AY911,IF(Weekly_Inspections!$AZ911&lt;&gt;"",Weekly_Inspections!$AZ911,IF(Weekly_Inspections!$BA911&lt;&gt;"",Weekly_Inspections!$BA911,IF(Weekly_Inspections!$BB911&lt;&gt;"",Weekly_Inspections!$BB911,Weekly_Inspections!$R911)))))</f>
        <v>0</v>
      </c>
      <c r="G911" t="str">
        <f>IF(OR(Weekly_Inspections!$AQ911&lt;&gt;"",Weekly_Inspections!$AR911&lt;&gt;"",Weekly_Inspections!$AS911&lt;&gt;""),Weekly_Inspections!$AQ911,"")</f>
        <v/>
      </c>
      <c r="H911">
        <f>Weekly_Inspections!$AP911</f>
        <v>0</v>
      </c>
      <c r="I911">
        <f>Weekly_Inspections!$AR911</f>
        <v>0</v>
      </c>
      <c r="J911">
        <f>Weekly_Inspections!$AS911</f>
        <v>0</v>
      </c>
      <c r="K911">
        <f>Weekly_Inspections!$AU911</f>
        <v>0</v>
      </c>
      <c r="L911" s="24">
        <f>Weekly_Inspections!$AV911</f>
        <v>0</v>
      </c>
      <c r="M911" t="str">
        <f t="shared" si="42"/>
        <v>Open</v>
      </c>
      <c r="N911" s="24"/>
      <c r="O911">
        <f t="shared" ca="1" si="43"/>
        <v>46113</v>
      </c>
      <c r="P911" t="str">
        <f t="shared" ca="1" si="44"/>
        <v>YES</v>
      </c>
      <c r="Q911">
        <f>Weekly_Inspections!$AW911</f>
        <v>0</v>
      </c>
    </row>
    <row r="912" spans="1:17" ht="15" customHeight="1" x14ac:dyDescent="0.2">
      <c r="A912" t="str">
        <f>IF(Weekly_Inspections!$B912="","",Weekly_Inspections!$A912&amp;"-A1")</f>
        <v/>
      </c>
      <c r="B912" s="24">
        <f>Weekly_Inspections!$B912</f>
        <v>0</v>
      </c>
      <c r="C912">
        <f>Weekly_Inspections!$E912</f>
        <v>0</v>
      </c>
      <c r="D912">
        <f>Weekly_Inspections!$F912</f>
        <v>0</v>
      </c>
      <c r="E912" t="str">
        <f>Weekly_Inspections!$H912</f>
        <v/>
      </c>
      <c r="F912">
        <f>IF(Weekly_Inspections!$AX912&lt;&gt;"",Weekly_Inspections!$AX912,IF(Weekly_Inspections!$AY912&lt;&gt;"",Weekly_Inspections!$AY912,IF(Weekly_Inspections!$AZ912&lt;&gt;"",Weekly_Inspections!$AZ912,IF(Weekly_Inspections!$BA912&lt;&gt;"",Weekly_Inspections!$BA912,IF(Weekly_Inspections!$BB912&lt;&gt;"",Weekly_Inspections!$BB912,Weekly_Inspections!$R912)))))</f>
        <v>0</v>
      </c>
      <c r="G912" t="str">
        <f>IF(OR(Weekly_Inspections!$AQ912&lt;&gt;"",Weekly_Inspections!$AR912&lt;&gt;"",Weekly_Inspections!$AS912&lt;&gt;""),Weekly_Inspections!$AQ912,"")</f>
        <v/>
      </c>
      <c r="H912">
        <f>Weekly_Inspections!$AP912</f>
        <v>0</v>
      </c>
      <c r="I912">
        <f>Weekly_Inspections!$AR912</f>
        <v>0</v>
      </c>
      <c r="J912">
        <f>Weekly_Inspections!$AS912</f>
        <v>0</v>
      </c>
      <c r="K912">
        <f>Weekly_Inspections!$AU912</f>
        <v>0</v>
      </c>
      <c r="L912" s="24">
        <f>Weekly_Inspections!$AV912</f>
        <v>0</v>
      </c>
      <c r="M912" t="str">
        <f t="shared" si="42"/>
        <v>Open</v>
      </c>
      <c r="N912" s="24"/>
      <c r="O912">
        <f t="shared" ca="1" si="43"/>
        <v>46113</v>
      </c>
      <c r="P912" t="str">
        <f t="shared" ca="1" si="44"/>
        <v>YES</v>
      </c>
      <c r="Q912">
        <f>Weekly_Inspections!$AW912</f>
        <v>0</v>
      </c>
    </row>
    <row r="913" spans="1:17" ht="15" customHeight="1" x14ac:dyDescent="0.2">
      <c r="A913" t="str">
        <f>IF(Weekly_Inspections!$B913="","",Weekly_Inspections!$A913&amp;"-A1")</f>
        <v/>
      </c>
      <c r="B913" s="24">
        <f>Weekly_Inspections!$B913</f>
        <v>0</v>
      </c>
      <c r="C913">
        <f>Weekly_Inspections!$E913</f>
        <v>0</v>
      </c>
      <c r="D913">
        <f>Weekly_Inspections!$F913</f>
        <v>0</v>
      </c>
      <c r="E913" t="str">
        <f>Weekly_Inspections!$H913</f>
        <v/>
      </c>
      <c r="F913">
        <f>IF(Weekly_Inspections!$AX913&lt;&gt;"",Weekly_Inspections!$AX913,IF(Weekly_Inspections!$AY913&lt;&gt;"",Weekly_Inspections!$AY913,IF(Weekly_Inspections!$AZ913&lt;&gt;"",Weekly_Inspections!$AZ913,IF(Weekly_Inspections!$BA913&lt;&gt;"",Weekly_Inspections!$BA913,IF(Weekly_Inspections!$BB913&lt;&gt;"",Weekly_Inspections!$BB913,Weekly_Inspections!$R913)))))</f>
        <v>0</v>
      </c>
      <c r="G913" t="str">
        <f>IF(OR(Weekly_Inspections!$AQ913&lt;&gt;"",Weekly_Inspections!$AR913&lt;&gt;"",Weekly_Inspections!$AS913&lt;&gt;""),Weekly_Inspections!$AQ913,"")</f>
        <v/>
      </c>
      <c r="H913">
        <f>Weekly_Inspections!$AP913</f>
        <v>0</v>
      </c>
      <c r="I913">
        <f>Weekly_Inspections!$AR913</f>
        <v>0</v>
      </c>
      <c r="J913">
        <f>Weekly_Inspections!$AS913</f>
        <v>0</v>
      </c>
      <c r="K913">
        <f>Weekly_Inspections!$AU913</f>
        <v>0</v>
      </c>
      <c r="L913" s="24">
        <f>Weekly_Inspections!$AV913</f>
        <v>0</v>
      </c>
      <c r="M913" t="str">
        <f t="shared" si="42"/>
        <v>Open</v>
      </c>
      <c r="N913" s="24"/>
      <c r="O913">
        <f t="shared" ca="1" si="43"/>
        <v>46113</v>
      </c>
      <c r="P913" t="str">
        <f t="shared" ca="1" si="44"/>
        <v>YES</v>
      </c>
      <c r="Q913">
        <f>Weekly_Inspections!$AW913</f>
        <v>0</v>
      </c>
    </row>
    <row r="914" spans="1:17" ht="15" customHeight="1" x14ac:dyDescent="0.2">
      <c r="A914" t="str">
        <f>IF(Weekly_Inspections!$B914="","",Weekly_Inspections!$A914&amp;"-A1")</f>
        <v/>
      </c>
      <c r="B914" s="24">
        <f>Weekly_Inspections!$B914</f>
        <v>0</v>
      </c>
      <c r="C914">
        <f>Weekly_Inspections!$E914</f>
        <v>0</v>
      </c>
      <c r="D914">
        <f>Weekly_Inspections!$F914</f>
        <v>0</v>
      </c>
      <c r="E914" t="str">
        <f>Weekly_Inspections!$H914</f>
        <v/>
      </c>
      <c r="F914">
        <f>IF(Weekly_Inspections!$AX914&lt;&gt;"",Weekly_Inspections!$AX914,IF(Weekly_Inspections!$AY914&lt;&gt;"",Weekly_Inspections!$AY914,IF(Weekly_Inspections!$AZ914&lt;&gt;"",Weekly_Inspections!$AZ914,IF(Weekly_Inspections!$BA914&lt;&gt;"",Weekly_Inspections!$BA914,IF(Weekly_Inspections!$BB914&lt;&gt;"",Weekly_Inspections!$BB914,Weekly_Inspections!$R914)))))</f>
        <v>0</v>
      </c>
      <c r="G914" t="str">
        <f>IF(OR(Weekly_Inspections!$AQ914&lt;&gt;"",Weekly_Inspections!$AR914&lt;&gt;"",Weekly_Inspections!$AS914&lt;&gt;""),Weekly_Inspections!$AQ914,"")</f>
        <v/>
      </c>
      <c r="H914">
        <f>Weekly_Inspections!$AP914</f>
        <v>0</v>
      </c>
      <c r="I914">
        <f>Weekly_Inspections!$AR914</f>
        <v>0</v>
      </c>
      <c r="J914">
        <f>Weekly_Inspections!$AS914</f>
        <v>0</v>
      </c>
      <c r="K914">
        <f>Weekly_Inspections!$AU914</f>
        <v>0</v>
      </c>
      <c r="L914" s="24">
        <f>Weekly_Inspections!$AV914</f>
        <v>0</v>
      </c>
      <c r="M914" t="str">
        <f t="shared" si="42"/>
        <v>Open</v>
      </c>
      <c r="N914" s="24"/>
      <c r="O914">
        <f t="shared" ca="1" si="43"/>
        <v>46113</v>
      </c>
      <c r="P914" t="str">
        <f t="shared" ca="1" si="44"/>
        <v>YES</v>
      </c>
      <c r="Q914">
        <f>Weekly_Inspections!$AW914</f>
        <v>0</v>
      </c>
    </row>
    <row r="915" spans="1:17" ht="15" customHeight="1" x14ac:dyDescent="0.2">
      <c r="A915" t="str">
        <f>IF(Weekly_Inspections!$B915="","",Weekly_Inspections!$A915&amp;"-A1")</f>
        <v/>
      </c>
      <c r="B915" s="24">
        <f>Weekly_Inspections!$B915</f>
        <v>0</v>
      </c>
      <c r="C915">
        <f>Weekly_Inspections!$E915</f>
        <v>0</v>
      </c>
      <c r="D915">
        <f>Weekly_Inspections!$F915</f>
        <v>0</v>
      </c>
      <c r="E915" t="str">
        <f>Weekly_Inspections!$H915</f>
        <v/>
      </c>
      <c r="F915">
        <f>IF(Weekly_Inspections!$AX915&lt;&gt;"",Weekly_Inspections!$AX915,IF(Weekly_Inspections!$AY915&lt;&gt;"",Weekly_Inspections!$AY915,IF(Weekly_Inspections!$AZ915&lt;&gt;"",Weekly_Inspections!$AZ915,IF(Weekly_Inspections!$BA915&lt;&gt;"",Weekly_Inspections!$BA915,IF(Weekly_Inspections!$BB915&lt;&gt;"",Weekly_Inspections!$BB915,Weekly_Inspections!$R915)))))</f>
        <v>0</v>
      </c>
      <c r="G915" t="str">
        <f>IF(OR(Weekly_Inspections!$AQ915&lt;&gt;"",Weekly_Inspections!$AR915&lt;&gt;"",Weekly_Inspections!$AS915&lt;&gt;""),Weekly_Inspections!$AQ915,"")</f>
        <v/>
      </c>
      <c r="H915">
        <f>Weekly_Inspections!$AP915</f>
        <v>0</v>
      </c>
      <c r="I915">
        <f>Weekly_Inspections!$AR915</f>
        <v>0</v>
      </c>
      <c r="J915">
        <f>Weekly_Inspections!$AS915</f>
        <v>0</v>
      </c>
      <c r="K915">
        <f>Weekly_Inspections!$AU915</f>
        <v>0</v>
      </c>
      <c r="L915" s="24">
        <f>Weekly_Inspections!$AV915</f>
        <v>0</v>
      </c>
      <c r="M915" t="str">
        <f t="shared" si="42"/>
        <v>Open</v>
      </c>
      <c r="N915" s="24"/>
      <c r="O915">
        <f t="shared" ca="1" si="43"/>
        <v>46113</v>
      </c>
      <c r="P915" t="str">
        <f t="shared" ca="1" si="44"/>
        <v>YES</v>
      </c>
      <c r="Q915">
        <f>Weekly_Inspections!$AW915</f>
        <v>0</v>
      </c>
    </row>
    <row r="916" spans="1:17" ht="15" customHeight="1" x14ac:dyDescent="0.2">
      <c r="A916" t="str">
        <f>IF(Weekly_Inspections!$B916="","",Weekly_Inspections!$A916&amp;"-A1")</f>
        <v/>
      </c>
      <c r="B916" s="24">
        <f>Weekly_Inspections!$B916</f>
        <v>0</v>
      </c>
      <c r="C916">
        <f>Weekly_Inspections!$E916</f>
        <v>0</v>
      </c>
      <c r="D916">
        <f>Weekly_Inspections!$F916</f>
        <v>0</v>
      </c>
      <c r="E916" t="str">
        <f>Weekly_Inspections!$H916</f>
        <v/>
      </c>
      <c r="F916">
        <f>IF(Weekly_Inspections!$AX916&lt;&gt;"",Weekly_Inspections!$AX916,IF(Weekly_Inspections!$AY916&lt;&gt;"",Weekly_Inspections!$AY916,IF(Weekly_Inspections!$AZ916&lt;&gt;"",Weekly_Inspections!$AZ916,IF(Weekly_Inspections!$BA916&lt;&gt;"",Weekly_Inspections!$BA916,IF(Weekly_Inspections!$BB916&lt;&gt;"",Weekly_Inspections!$BB916,Weekly_Inspections!$R916)))))</f>
        <v>0</v>
      </c>
      <c r="G916" t="str">
        <f>IF(OR(Weekly_Inspections!$AQ916&lt;&gt;"",Weekly_Inspections!$AR916&lt;&gt;"",Weekly_Inspections!$AS916&lt;&gt;""),Weekly_Inspections!$AQ916,"")</f>
        <v/>
      </c>
      <c r="H916">
        <f>Weekly_Inspections!$AP916</f>
        <v>0</v>
      </c>
      <c r="I916">
        <f>Weekly_Inspections!$AR916</f>
        <v>0</v>
      </c>
      <c r="J916">
        <f>Weekly_Inspections!$AS916</f>
        <v>0</v>
      </c>
      <c r="K916">
        <f>Weekly_Inspections!$AU916</f>
        <v>0</v>
      </c>
      <c r="L916" s="24">
        <f>Weekly_Inspections!$AV916</f>
        <v>0</v>
      </c>
      <c r="M916" t="str">
        <f t="shared" si="42"/>
        <v>Open</v>
      </c>
      <c r="N916" s="24"/>
      <c r="O916">
        <f t="shared" ca="1" si="43"/>
        <v>46113</v>
      </c>
      <c r="P916" t="str">
        <f t="shared" ca="1" si="44"/>
        <v>YES</v>
      </c>
      <c r="Q916">
        <f>Weekly_Inspections!$AW916</f>
        <v>0</v>
      </c>
    </row>
    <row r="917" spans="1:17" ht="15" customHeight="1" x14ac:dyDescent="0.2">
      <c r="A917" t="str">
        <f>IF(Weekly_Inspections!$B917="","",Weekly_Inspections!$A917&amp;"-A1")</f>
        <v/>
      </c>
      <c r="B917" s="24">
        <f>Weekly_Inspections!$B917</f>
        <v>0</v>
      </c>
      <c r="C917">
        <f>Weekly_Inspections!$E917</f>
        <v>0</v>
      </c>
      <c r="D917">
        <f>Weekly_Inspections!$F917</f>
        <v>0</v>
      </c>
      <c r="E917" t="str">
        <f>Weekly_Inspections!$H917</f>
        <v/>
      </c>
      <c r="F917">
        <f>IF(Weekly_Inspections!$AX917&lt;&gt;"",Weekly_Inspections!$AX917,IF(Weekly_Inspections!$AY917&lt;&gt;"",Weekly_Inspections!$AY917,IF(Weekly_Inspections!$AZ917&lt;&gt;"",Weekly_Inspections!$AZ917,IF(Weekly_Inspections!$BA917&lt;&gt;"",Weekly_Inspections!$BA917,IF(Weekly_Inspections!$BB917&lt;&gt;"",Weekly_Inspections!$BB917,Weekly_Inspections!$R917)))))</f>
        <v>0</v>
      </c>
      <c r="G917" t="str">
        <f>IF(OR(Weekly_Inspections!$AQ917&lt;&gt;"",Weekly_Inspections!$AR917&lt;&gt;"",Weekly_Inspections!$AS917&lt;&gt;""),Weekly_Inspections!$AQ917,"")</f>
        <v/>
      </c>
      <c r="H917">
        <f>Weekly_Inspections!$AP917</f>
        <v>0</v>
      </c>
      <c r="I917">
        <f>Weekly_Inspections!$AR917</f>
        <v>0</v>
      </c>
      <c r="J917">
        <f>Weekly_Inspections!$AS917</f>
        <v>0</v>
      </c>
      <c r="K917">
        <f>Weekly_Inspections!$AU917</f>
        <v>0</v>
      </c>
      <c r="L917" s="24">
        <f>Weekly_Inspections!$AV917</f>
        <v>0</v>
      </c>
      <c r="M917" t="str">
        <f t="shared" si="42"/>
        <v>Open</v>
      </c>
      <c r="N917" s="24"/>
      <c r="O917">
        <f t="shared" ca="1" si="43"/>
        <v>46113</v>
      </c>
      <c r="P917" t="str">
        <f t="shared" ca="1" si="44"/>
        <v>YES</v>
      </c>
      <c r="Q917">
        <f>Weekly_Inspections!$AW917</f>
        <v>0</v>
      </c>
    </row>
    <row r="918" spans="1:17" ht="15" customHeight="1" x14ac:dyDescent="0.2">
      <c r="A918" t="str">
        <f>IF(Weekly_Inspections!$B918="","",Weekly_Inspections!$A918&amp;"-A1")</f>
        <v/>
      </c>
      <c r="B918" s="24">
        <f>Weekly_Inspections!$B918</f>
        <v>0</v>
      </c>
      <c r="C918">
        <f>Weekly_Inspections!$E918</f>
        <v>0</v>
      </c>
      <c r="D918">
        <f>Weekly_Inspections!$F918</f>
        <v>0</v>
      </c>
      <c r="E918" t="str">
        <f>Weekly_Inspections!$H918</f>
        <v/>
      </c>
      <c r="F918">
        <f>IF(Weekly_Inspections!$AX918&lt;&gt;"",Weekly_Inspections!$AX918,IF(Weekly_Inspections!$AY918&lt;&gt;"",Weekly_Inspections!$AY918,IF(Weekly_Inspections!$AZ918&lt;&gt;"",Weekly_Inspections!$AZ918,IF(Weekly_Inspections!$BA918&lt;&gt;"",Weekly_Inspections!$BA918,IF(Weekly_Inspections!$BB918&lt;&gt;"",Weekly_Inspections!$BB918,Weekly_Inspections!$R918)))))</f>
        <v>0</v>
      </c>
      <c r="G918" t="str">
        <f>IF(OR(Weekly_Inspections!$AQ918&lt;&gt;"",Weekly_Inspections!$AR918&lt;&gt;"",Weekly_Inspections!$AS918&lt;&gt;""),Weekly_Inspections!$AQ918,"")</f>
        <v/>
      </c>
      <c r="H918">
        <f>Weekly_Inspections!$AP918</f>
        <v>0</v>
      </c>
      <c r="I918">
        <f>Weekly_Inspections!$AR918</f>
        <v>0</v>
      </c>
      <c r="J918">
        <f>Weekly_Inspections!$AS918</f>
        <v>0</v>
      </c>
      <c r="K918">
        <f>Weekly_Inspections!$AU918</f>
        <v>0</v>
      </c>
      <c r="L918" s="24">
        <f>Weekly_Inspections!$AV918</f>
        <v>0</v>
      </c>
      <c r="M918" t="str">
        <f t="shared" si="42"/>
        <v>Open</v>
      </c>
      <c r="N918" s="24"/>
      <c r="O918">
        <f t="shared" ca="1" si="43"/>
        <v>46113</v>
      </c>
      <c r="P918" t="str">
        <f t="shared" ca="1" si="44"/>
        <v>YES</v>
      </c>
      <c r="Q918">
        <f>Weekly_Inspections!$AW918</f>
        <v>0</v>
      </c>
    </row>
    <row r="919" spans="1:17" ht="15" customHeight="1" x14ac:dyDescent="0.2">
      <c r="A919" t="str">
        <f>IF(Weekly_Inspections!$B919="","",Weekly_Inspections!$A919&amp;"-A1")</f>
        <v/>
      </c>
      <c r="B919" s="24">
        <f>Weekly_Inspections!$B919</f>
        <v>0</v>
      </c>
      <c r="C919">
        <f>Weekly_Inspections!$E919</f>
        <v>0</v>
      </c>
      <c r="D919">
        <f>Weekly_Inspections!$F919</f>
        <v>0</v>
      </c>
      <c r="E919" t="str">
        <f>Weekly_Inspections!$H919</f>
        <v/>
      </c>
      <c r="F919">
        <f>IF(Weekly_Inspections!$AX919&lt;&gt;"",Weekly_Inspections!$AX919,IF(Weekly_Inspections!$AY919&lt;&gt;"",Weekly_Inspections!$AY919,IF(Weekly_Inspections!$AZ919&lt;&gt;"",Weekly_Inspections!$AZ919,IF(Weekly_Inspections!$BA919&lt;&gt;"",Weekly_Inspections!$BA919,IF(Weekly_Inspections!$BB919&lt;&gt;"",Weekly_Inspections!$BB919,Weekly_Inspections!$R919)))))</f>
        <v>0</v>
      </c>
      <c r="G919" t="str">
        <f>IF(OR(Weekly_Inspections!$AQ919&lt;&gt;"",Weekly_Inspections!$AR919&lt;&gt;"",Weekly_Inspections!$AS919&lt;&gt;""),Weekly_Inspections!$AQ919,"")</f>
        <v/>
      </c>
      <c r="H919">
        <f>Weekly_Inspections!$AP919</f>
        <v>0</v>
      </c>
      <c r="I919">
        <f>Weekly_Inspections!$AR919</f>
        <v>0</v>
      </c>
      <c r="J919">
        <f>Weekly_Inspections!$AS919</f>
        <v>0</v>
      </c>
      <c r="K919">
        <f>Weekly_Inspections!$AU919</f>
        <v>0</v>
      </c>
      <c r="L919" s="24">
        <f>Weekly_Inspections!$AV919</f>
        <v>0</v>
      </c>
      <c r="M919" t="str">
        <f t="shared" si="42"/>
        <v>Open</v>
      </c>
      <c r="N919" s="24"/>
      <c r="O919">
        <f t="shared" ca="1" si="43"/>
        <v>46113</v>
      </c>
      <c r="P919" t="str">
        <f t="shared" ca="1" si="44"/>
        <v>YES</v>
      </c>
      <c r="Q919">
        <f>Weekly_Inspections!$AW919</f>
        <v>0</v>
      </c>
    </row>
    <row r="920" spans="1:17" ht="15" customHeight="1" x14ac:dyDescent="0.2">
      <c r="A920" t="str">
        <f>IF(Weekly_Inspections!$B920="","",Weekly_Inspections!$A920&amp;"-A1")</f>
        <v/>
      </c>
      <c r="B920" s="24">
        <f>Weekly_Inspections!$B920</f>
        <v>0</v>
      </c>
      <c r="C920">
        <f>Weekly_Inspections!$E920</f>
        <v>0</v>
      </c>
      <c r="D920">
        <f>Weekly_Inspections!$F920</f>
        <v>0</v>
      </c>
      <c r="E920" t="str">
        <f>Weekly_Inspections!$H920</f>
        <v/>
      </c>
      <c r="F920">
        <f>IF(Weekly_Inspections!$AX920&lt;&gt;"",Weekly_Inspections!$AX920,IF(Weekly_Inspections!$AY920&lt;&gt;"",Weekly_Inspections!$AY920,IF(Weekly_Inspections!$AZ920&lt;&gt;"",Weekly_Inspections!$AZ920,IF(Weekly_Inspections!$BA920&lt;&gt;"",Weekly_Inspections!$BA920,IF(Weekly_Inspections!$BB920&lt;&gt;"",Weekly_Inspections!$BB920,Weekly_Inspections!$R920)))))</f>
        <v>0</v>
      </c>
      <c r="G920" t="str">
        <f>IF(OR(Weekly_Inspections!$AQ920&lt;&gt;"",Weekly_Inspections!$AR920&lt;&gt;"",Weekly_Inspections!$AS920&lt;&gt;""),Weekly_Inspections!$AQ920,"")</f>
        <v/>
      </c>
      <c r="H920">
        <f>Weekly_Inspections!$AP920</f>
        <v>0</v>
      </c>
      <c r="I920">
        <f>Weekly_Inspections!$AR920</f>
        <v>0</v>
      </c>
      <c r="J920">
        <f>Weekly_Inspections!$AS920</f>
        <v>0</v>
      </c>
      <c r="K920">
        <f>Weekly_Inspections!$AU920</f>
        <v>0</v>
      </c>
      <c r="L920" s="24">
        <f>Weekly_Inspections!$AV920</f>
        <v>0</v>
      </c>
      <c r="M920" t="str">
        <f t="shared" si="42"/>
        <v>Open</v>
      </c>
      <c r="N920" s="24"/>
      <c r="O920">
        <f t="shared" ca="1" si="43"/>
        <v>46113</v>
      </c>
      <c r="P920" t="str">
        <f t="shared" ca="1" si="44"/>
        <v>YES</v>
      </c>
      <c r="Q920">
        <f>Weekly_Inspections!$AW920</f>
        <v>0</v>
      </c>
    </row>
    <row r="921" spans="1:17" ht="15" customHeight="1" x14ac:dyDescent="0.2">
      <c r="A921" t="str">
        <f>IF(Weekly_Inspections!$B921="","",Weekly_Inspections!$A921&amp;"-A1")</f>
        <v/>
      </c>
      <c r="B921" s="24">
        <f>Weekly_Inspections!$B921</f>
        <v>0</v>
      </c>
      <c r="C921">
        <f>Weekly_Inspections!$E921</f>
        <v>0</v>
      </c>
      <c r="D921">
        <f>Weekly_Inspections!$F921</f>
        <v>0</v>
      </c>
      <c r="E921" t="str">
        <f>Weekly_Inspections!$H921</f>
        <v/>
      </c>
      <c r="F921">
        <f>IF(Weekly_Inspections!$AX921&lt;&gt;"",Weekly_Inspections!$AX921,IF(Weekly_Inspections!$AY921&lt;&gt;"",Weekly_Inspections!$AY921,IF(Weekly_Inspections!$AZ921&lt;&gt;"",Weekly_Inspections!$AZ921,IF(Weekly_Inspections!$BA921&lt;&gt;"",Weekly_Inspections!$BA921,IF(Weekly_Inspections!$BB921&lt;&gt;"",Weekly_Inspections!$BB921,Weekly_Inspections!$R921)))))</f>
        <v>0</v>
      </c>
      <c r="G921" t="str">
        <f>IF(OR(Weekly_Inspections!$AQ921&lt;&gt;"",Weekly_Inspections!$AR921&lt;&gt;"",Weekly_Inspections!$AS921&lt;&gt;""),Weekly_Inspections!$AQ921,"")</f>
        <v/>
      </c>
      <c r="H921">
        <f>Weekly_Inspections!$AP921</f>
        <v>0</v>
      </c>
      <c r="I921">
        <f>Weekly_Inspections!$AR921</f>
        <v>0</v>
      </c>
      <c r="J921">
        <f>Weekly_Inspections!$AS921</f>
        <v>0</v>
      </c>
      <c r="K921">
        <f>Weekly_Inspections!$AU921</f>
        <v>0</v>
      </c>
      <c r="L921" s="24">
        <f>Weekly_Inspections!$AV921</f>
        <v>0</v>
      </c>
      <c r="M921" t="str">
        <f t="shared" si="42"/>
        <v>Open</v>
      </c>
      <c r="N921" s="24"/>
      <c r="O921">
        <f t="shared" ca="1" si="43"/>
        <v>46113</v>
      </c>
      <c r="P921" t="str">
        <f t="shared" ca="1" si="44"/>
        <v>YES</v>
      </c>
      <c r="Q921">
        <f>Weekly_Inspections!$AW921</f>
        <v>0</v>
      </c>
    </row>
    <row r="922" spans="1:17" ht="15" customHeight="1" x14ac:dyDescent="0.2">
      <c r="A922" t="str">
        <f>IF(Weekly_Inspections!$B922="","",Weekly_Inspections!$A922&amp;"-A1")</f>
        <v/>
      </c>
      <c r="B922" s="24">
        <f>Weekly_Inspections!$B922</f>
        <v>0</v>
      </c>
      <c r="C922">
        <f>Weekly_Inspections!$E922</f>
        <v>0</v>
      </c>
      <c r="D922">
        <f>Weekly_Inspections!$F922</f>
        <v>0</v>
      </c>
      <c r="E922" t="str">
        <f>Weekly_Inspections!$H922</f>
        <v/>
      </c>
      <c r="F922">
        <f>IF(Weekly_Inspections!$AX922&lt;&gt;"",Weekly_Inspections!$AX922,IF(Weekly_Inspections!$AY922&lt;&gt;"",Weekly_Inspections!$AY922,IF(Weekly_Inspections!$AZ922&lt;&gt;"",Weekly_Inspections!$AZ922,IF(Weekly_Inspections!$BA922&lt;&gt;"",Weekly_Inspections!$BA922,IF(Weekly_Inspections!$BB922&lt;&gt;"",Weekly_Inspections!$BB922,Weekly_Inspections!$R922)))))</f>
        <v>0</v>
      </c>
      <c r="G922" t="str">
        <f>IF(OR(Weekly_Inspections!$AQ922&lt;&gt;"",Weekly_Inspections!$AR922&lt;&gt;"",Weekly_Inspections!$AS922&lt;&gt;""),Weekly_Inspections!$AQ922,"")</f>
        <v/>
      </c>
      <c r="H922">
        <f>Weekly_Inspections!$AP922</f>
        <v>0</v>
      </c>
      <c r="I922">
        <f>Weekly_Inspections!$AR922</f>
        <v>0</v>
      </c>
      <c r="J922">
        <f>Weekly_Inspections!$AS922</f>
        <v>0</v>
      </c>
      <c r="K922">
        <f>Weekly_Inspections!$AU922</f>
        <v>0</v>
      </c>
      <c r="L922" s="24">
        <f>Weekly_Inspections!$AV922</f>
        <v>0</v>
      </c>
      <c r="M922" t="str">
        <f t="shared" si="42"/>
        <v>Open</v>
      </c>
      <c r="N922" s="24"/>
      <c r="O922">
        <f t="shared" ca="1" si="43"/>
        <v>46113</v>
      </c>
      <c r="P922" t="str">
        <f t="shared" ca="1" si="44"/>
        <v>YES</v>
      </c>
      <c r="Q922">
        <f>Weekly_Inspections!$AW922</f>
        <v>0</v>
      </c>
    </row>
    <row r="923" spans="1:17" ht="15" customHeight="1" x14ac:dyDescent="0.2">
      <c r="A923" t="str">
        <f>IF(Weekly_Inspections!$B923="","",Weekly_Inspections!$A923&amp;"-A1")</f>
        <v/>
      </c>
      <c r="B923" s="24">
        <f>Weekly_Inspections!$B923</f>
        <v>0</v>
      </c>
      <c r="C923">
        <f>Weekly_Inspections!$E923</f>
        <v>0</v>
      </c>
      <c r="D923">
        <f>Weekly_Inspections!$F923</f>
        <v>0</v>
      </c>
      <c r="E923" t="str">
        <f>Weekly_Inspections!$H923</f>
        <v/>
      </c>
      <c r="F923">
        <f>IF(Weekly_Inspections!$AX923&lt;&gt;"",Weekly_Inspections!$AX923,IF(Weekly_Inspections!$AY923&lt;&gt;"",Weekly_Inspections!$AY923,IF(Weekly_Inspections!$AZ923&lt;&gt;"",Weekly_Inspections!$AZ923,IF(Weekly_Inspections!$BA923&lt;&gt;"",Weekly_Inspections!$BA923,IF(Weekly_Inspections!$BB923&lt;&gt;"",Weekly_Inspections!$BB923,Weekly_Inspections!$R923)))))</f>
        <v>0</v>
      </c>
      <c r="G923" t="str">
        <f>IF(OR(Weekly_Inspections!$AQ923&lt;&gt;"",Weekly_Inspections!$AR923&lt;&gt;"",Weekly_Inspections!$AS923&lt;&gt;""),Weekly_Inspections!$AQ923,"")</f>
        <v/>
      </c>
      <c r="H923">
        <f>Weekly_Inspections!$AP923</f>
        <v>0</v>
      </c>
      <c r="I923">
        <f>Weekly_Inspections!$AR923</f>
        <v>0</v>
      </c>
      <c r="J923">
        <f>Weekly_Inspections!$AS923</f>
        <v>0</v>
      </c>
      <c r="K923">
        <f>Weekly_Inspections!$AU923</f>
        <v>0</v>
      </c>
      <c r="L923" s="24">
        <f>Weekly_Inspections!$AV923</f>
        <v>0</v>
      </c>
      <c r="M923" t="str">
        <f t="shared" si="42"/>
        <v>Open</v>
      </c>
      <c r="N923" s="24"/>
      <c r="O923">
        <f t="shared" ca="1" si="43"/>
        <v>46113</v>
      </c>
      <c r="P923" t="str">
        <f t="shared" ca="1" si="44"/>
        <v>YES</v>
      </c>
      <c r="Q923">
        <f>Weekly_Inspections!$AW923</f>
        <v>0</v>
      </c>
    </row>
    <row r="924" spans="1:17" ht="15" customHeight="1" x14ac:dyDescent="0.2">
      <c r="A924" t="str">
        <f>IF(Weekly_Inspections!$B924="","",Weekly_Inspections!$A924&amp;"-A1")</f>
        <v/>
      </c>
      <c r="B924" s="24">
        <f>Weekly_Inspections!$B924</f>
        <v>0</v>
      </c>
      <c r="C924">
        <f>Weekly_Inspections!$E924</f>
        <v>0</v>
      </c>
      <c r="D924">
        <f>Weekly_Inspections!$F924</f>
        <v>0</v>
      </c>
      <c r="E924" t="str">
        <f>Weekly_Inspections!$H924</f>
        <v/>
      </c>
      <c r="F924">
        <f>IF(Weekly_Inspections!$AX924&lt;&gt;"",Weekly_Inspections!$AX924,IF(Weekly_Inspections!$AY924&lt;&gt;"",Weekly_Inspections!$AY924,IF(Weekly_Inspections!$AZ924&lt;&gt;"",Weekly_Inspections!$AZ924,IF(Weekly_Inspections!$BA924&lt;&gt;"",Weekly_Inspections!$BA924,IF(Weekly_Inspections!$BB924&lt;&gt;"",Weekly_Inspections!$BB924,Weekly_Inspections!$R924)))))</f>
        <v>0</v>
      </c>
      <c r="G924" t="str">
        <f>IF(OR(Weekly_Inspections!$AQ924&lt;&gt;"",Weekly_Inspections!$AR924&lt;&gt;"",Weekly_Inspections!$AS924&lt;&gt;""),Weekly_Inspections!$AQ924,"")</f>
        <v/>
      </c>
      <c r="H924">
        <f>Weekly_Inspections!$AP924</f>
        <v>0</v>
      </c>
      <c r="I924">
        <f>Weekly_Inspections!$AR924</f>
        <v>0</v>
      </c>
      <c r="J924">
        <f>Weekly_Inspections!$AS924</f>
        <v>0</v>
      </c>
      <c r="K924">
        <f>Weekly_Inspections!$AU924</f>
        <v>0</v>
      </c>
      <c r="L924" s="24">
        <f>Weekly_Inspections!$AV924</f>
        <v>0</v>
      </c>
      <c r="M924" t="str">
        <f t="shared" si="42"/>
        <v>Open</v>
      </c>
      <c r="N924" s="24"/>
      <c r="O924">
        <f t="shared" ca="1" si="43"/>
        <v>46113</v>
      </c>
      <c r="P924" t="str">
        <f t="shared" ca="1" si="44"/>
        <v>YES</v>
      </c>
      <c r="Q924">
        <f>Weekly_Inspections!$AW924</f>
        <v>0</v>
      </c>
    </row>
    <row r="925" spans="1:17" ht="15" customHeight="1" x14ac:dyDescent="0.2">
      <c r="A925" t="str">
        <f>IF(Weekly_Inspections!$B925="","",Weekly_Inspections!$A925&amp;"-A1")</f>
        <v/>
      </c>
      <c r="B925" s="24">
        <f>Weekly_Inspections!$B925</f>
        <v>0</v>
      </c>
      <c r="C925">
        <f>Weekly_Inspections!$E925</f>
        <v>0</v>
      </c>
      <c r="D925">
        <f>Weekly_Inspections!$F925</f>
        <v>0</v>
      </c>
      <c r="E925" t="str">
        <f>Weekly_Inspections!$H925</f>
        <v/>
      </c>
      <c r="F925">
        <f>IF(Weekly_Inspections!$AX925&lt;&gt;"",Weekly_Inspections!$AX925,IF(Weekly_Inspections!$AY925&lt;&gt;"",Weekly_Inspections!$AY925,IF(Weekly_Inspections!$AZ925&lt;&gt;"",Weekly_Inspections!$AZ925,IF(Weekly_Inspections!$BA925&lt;&gt;"",Weekly_Inspections!$BA925,IF(Weekly_Inspections!$BB925&lt;&gt;"",Weekly_Inspections!$BB925,Weekly_Inspections!$R925)))))</f>
        <v>0</v>
      </c>
      <c r="G925" t="str">
        <f>IF(OR(Weekly_Inspections!$AQ925&lt;&gt;"",Weekly_Inspections!$AR925&lt;&gt;"",Weekly_Inspections!$AS925&lt;&gt;""),Weekly_Inspections!$AQ925,"")</f>
        <v/>
      </c>
      <c r="H925">
        <f>Weekly_Inspections!$AP925</f>
        <v>0</v>
      </c>
      <c r="I925">
        <f>Weekly_Inspections!$AR925</f>
        <v>0</v>
      </c>
      <c r="J925">
        <f>Weekly_Inspections!$AS925</f>
        <v>0</v>
      </c>
      <c r="K925">
        <f>Weekly_Inspections!$AU925</f>
        <v>0</v>
      </c>
      <c r="L925" s="24">
        <f>Weekly_Inspections!$AV925</f>
        <v>0</v>
      </c>
      <c r="M925" t="str">
        <f t="shared" si="42"/>
        <v>Open</v>
      </c>
      <c r="N925" s="24"/>
      <c r="O925">
        <f t="shared" ca="1" si="43"/>
        <v>46113</v>
      </c>
      <c r="P925" t="str">
        <f t="shared" ca="1" si="44"/>
        <v>YES</v>
      </c>
      <c r="Q925">
        <f>Weekly_Inspections!$AW925</f>
        <v>0</v>
      </c>
    </row>
    <row r="926" spans="1:17" ht="15" customHeight="1" x14ac:dyDescent="0.2">
      <c r="A926" t="str">
        <f>IF(Weekly_Inspections!$B926="","",Weekly_Inspections!$A926&amp;"-A1")</f>
        <v/>
      </c>
      <c r="B926" s="24">
        <f>Weekly_Inspections!$B926</f>
        <v>0</v>
      </c>
      <c r="C926">
        <f>Weekly_Inspections!$E926</f>
        <v>0</v>
      </c>
      <c r="D926">
        <f>Weekly_Inspections!$F926</f>
        <v>0</v>
      </c>
      <c r="E926" t="str">
        <f>Weekly_Inspections!$H926</f>
        <v/>
      </c>
      <c r="F926">
        <f>IF(Weekly_Inspections!$AX926&lt;&gt;"",Weekly_Inspections!$AX926,IF(Weekly_Inspections!$AY926&lt;&gt;"",Weekly_Inspections!$AY926,IF(Weekly_Inspections!$AZ926&lt;&gt;"",Weekly_Inspections!$AZ926,IF(Weekly_Inspections!$BA926&lt;&gt;"",Weekly_Inspections!$BA926,IF(Weekly_Inspections!$BB926&lt;&gt;"",Weekly_Inspections!$BB926,Weekly_Inspections!$R926)))))</f>
        <v>0</v>
      </c>
      <c r="G926" t="str">
        <f>IF(OR(Weekly_Inspections!$AQ926&lt;&gt;"",Weekly_Inspections!$AR926&lt;&gt;"",Weekly_Inspections!$AS926&lt;&gt;""),Weekly_Inspections!$AQ926,"")</f>
        <v/>
      </c>
      <c r="H926">
        <f>Weekly_Inspections!$AP926</f>
        <v>0</v>
      </c>
      <c r="I926">
        <f>Weekly_Inspections!$AR926</f>
        <v>0</v>
      </c>
      <c r="J926">
        <f>Weekly_Inspections!$AS926</f>
        <v>0</v>
      </c>
      <c r="K926">
        <f>Weekly_Inspections!$AU926</f>
        <v>0</v>
      </c>
      <c r="L926" s="24">
        <f>Weekly_Inspections!$AV926</f>
        <v>0</v>
      </c>
      <c r="M926" t="str">
        <f t="shared" si="42"/>
        <v>Open</v>
      </c>
      <c r="N926" s="24"/>
      <c r="O926">
        <f t="shared" ca="1" si="43"/>
        <v>46113</v>
      </c>
      <c r="P926" t="str">
        <f t="shared" ca="1" si="44"/>
        <v>YES</v>
      </c>
      <c r="Q926">
        <f>Weekly_Inspections!$AW926</f>
        <v>0</v>
      </c>
    </row>
    <row r="927" spans="1:17" ht="15" customHeight="1" x14ac:dyDescent="0.2">
      <c r="A927" t="str">
        <f>IF(Weekly_Inspections!$B927="","",Weekly_Inspections!$A927&amp;"-A1")</f>
        <v/>
      </c>
      <c r="B927" s="24">
        <f>Weekly_Inspections!$B927</f>
        <v>0</v>
      </c>
      <c r="C927">
        <f>Weekly_Inspections!$E927</f>
        <v>0</v>
      </c>
      <c r="D927">
        <f>Weekly_Inspections!$F927</f>
        <v>0</v>
      </c>
      <c r="E927" t="str">
        <f>Weekly_Inspections!$H927</f>
        <v/>
      </c>
      <c r="F927">
        <f>IF(Weekly_Inspections!$AX927&lt;&gt;"",Weekly_Inspections!$AX927,IF(Weekly_Inspections!$AY927&lt;&gt;"",Weekly_Inspections!$AY927,IF(Weekly_Inspections!$AZ927&lt;&gt;"",Weekly_Inspections!$AZ927,IF(Weekly_Inspections!$BA927&lt;&gt;"",Weekly_Inspections!$BA927,IF(Weekly_Inspections!$BB927&lt;&gt;"",Weekly_Inspections!$BB927,Weekly_Inspections!$R927)))))</f>
        <v>0</v>
      </c>
      <c r="G927" t="str">
        <f>IF(OR(Weekly_Inspections!$AQ927&lt;&gt;"",Weekly_Inspections!$AR927&lt;&gt;"",Weekly_Inspections!$AS927&lt;&gt;""),Weekly_Inspections!$AQ927,"")</f>
        <v/>
      </c>
      <c r="H927">
        <f>Weekly_Inspections!$AP927</f>
        <v>0</v>
      </c>
      <c r="I927">
        <f>Weekly_Inspections!$AR927</f>
        <v>0</v>
      </c>
      <c r="J927">
        <f>Weekly_Inspections!$AS927</f>
        <v>0</v>
      </c>
      <c r="K927">
        <f>Weekly_Inspections!$AU927</f>
        <v>0</v>
      </c>
      <c r="L927" s="24">
        <f>Weekly_Inspections!$AV927</f>
        <v>0</v>
      </c>
      <c r="M927" t="str">
        <f t="shared" si="42"/>
        <v>Open</v>
      </c>
      <c r="N927" s="24"/>
      <c r="O927">
        <f t="shared" ca="1" si="43"/>
        <v>46113</v>
      </c>
      <c r="P927" t="str">
        <f t="shared" ca="1" si="44"/>
        <v>YES</v>
      </c>
      <c r="Q927">
        <f>Weekly_Inspections!$AW927</f>
        <v>0</v>
      </c>
    </row>
    <row r="928" spans="1:17" ht="15" customHeight="1" x14ac:dyDescent="0.2">
      <c r="A928" t="str">
        <f>IF(Weekly_Inspections!$B928="","",Weekly_Inspections!$A928&amp;"-A1")</f>
        <v/>
      </c>
      <c r="B928" s="24">
        <f>Weekly_Inspections!$B928</f>
        <v>0</v>
      </c>
      <c r="C928">
        <f>Weekly_Inspections!$E928</f>
        <v>0</v>
      </c>
      <c r="D928">
        <f>Weekly_Inspections!$F928</f>
        <v>0</v>
      </c>
      <c r="E928" t="str">
        <f>Weekly_Inspections!$H928</f>
        <v/>
      </c>
      <c r="F928">
        <f>IF(Weekly_Inspections!$AX928&lt;&gt;"",Weekly_Inspections!$AX928,IF(Weekly_Inspections!$AY928&lt;&gt;"",Weekly_Inspections!$AY928,IF(Weekly_Inspections!$AZ928&lt;&gt;"",Weekly_Inspections!$AZ928,IF(Weekly_Inspections!$BA928&lt;&gt;"",Weekly_Inspections!$BA928,IF(Weekly_Inspections!$BB928&lt;&gt;"",Weekly_Inspections!$BB928,Weekly_Inspections!$R928)))))</f>
        <v>0</v>
      </c>
      <c r="G928" t="str">
        <f>IF(OR(Weekly_Inspections!$AQ928&lt;&gt;"",Weekly_Inspections!$AR928&lt;&gt;"",Weekly_Inspections!$AS928&lt;&gt;""),Weekly_Inspections!$AQ928,"")</f>
        <v/>
      </c>
      <c r="H928">
        <f>Weekly_Inspections!$AP928</f>
        <v>0</v>
      </c>
      <c r="I928">
        <f>Weekly_Inspections!$AR928</f>
        <v>0</v>
      </c>
      <c r="J928">
        <f>Weekly_Inspections!$AS928</f>
        <v>0</v>
      </c>
      <c r="K928">
        <f>Weekly_Inspections!$AU928</f>
        <v>0</v>
      </c>
      <c r="L928" s="24">
        <f>Weekly_Inspections!$AV928</f>
        <v>0</v>
      </c>
      <c r="M928" t="str">
        <f t="shared" si="42"/>
        <v>Open</v>
      </c>
      <c r="N928" s="24"/>
      <c r="O928">
        <f t="shared" ca="1" si="43"/>
        <v>46113</v>
      </c>
      <c r="P928" t="str">
        <f t="shared" ca="1" si="44"/>
        <v>YES</v>
      </c>
      <c r="Q928">
        <f>Weekly_Inspections!$AW928</f>
        <v>0</v>
      </c>
    </row>
    <row r="929" spans="1:17" ht="15" customHeight="1" x14ac:dyDescent="0.2">
      <c r="A929" t="str">
        <f>IF(Weekly_Inspections!$B929="","",Weekly_Inspections!$A929&amp;"-A1")</f>
        <v/>
      </c>
      <c r="B929" s="24">
        <f>Weekly_Inspections!$B929</f>
        <v>0</v>
      </c>
      <c r="C929">
        <f>Weekly_Inspections!$E929</f>
        <v>0</v>
      </c>
      <c r="D929">
        <f>Weekly_Inspections!$F929</f>
        <v>0</v>
      </c>
      <c r="E929" t="str">
        <f>Weekly_Inspections!$H929</f>
        <v/>
      </c>
      <c r="F929">
        <f>IF(Weekly_Inspections!$AX929&lt;&gt;"",Weekly_Inspections!$AX929,IF(Weekly_Inspections!$AY929&lt;&gt;"",Weekly_Inspections!$AY929,IF(Weekly_Inspections!$AZ929&lt;&gt;"",Weekly_Inspections!$AZ929,IF(Weekly_Inspections!$BA929&lt;&gt;"",Weekly_Inspections!$BA929,IF(Weekly_Inspections!$BB929&lt;&gt;"",Weekly_Inspections!$BB929,Weekly_Inspections!$R929)))))</f>
        <v>0</v>
      </c>
      <c r="G929" t="str">
        <f>IF(OR(Weekly_Inspections!$AQ929&lt;&gt;"",Weekly_Inspections!$AR929&lt;&gt;"",Weekly_Inspections!$AS929&lt;&gt;""),Weekly_Inspections!$AQ929,"")</f>
        <v/>
      </c>
      <c r="H929">
        <f>Weekly_Inspections!$AP929</f>
        <v>0</v>
      </c>
      <c r="I929">
        <f>Weekly_Inspections!$AR929</f>
        <v>0</v>
      </c>
      <c r="J929">
        <f>Weekly_Inspections!$AS929</f>
        <v>0</v>
      </c>
      <c r="K929">
        <f>Weekly_Inspections!$AU929</f>
        <v>0</v>
      </c>
      <c r="L929" s="24">
        <f>Weekly_Inspections!$AV929</f>
        <v>0</v>
      </c>
      <c r="M929" t="str">
        <f t="shared" si="42"/>
        <v>Open</v>
      </c>
      <c r="N929" s="24"/>
      <c r="O929">
        <f t="shared" ca="1" si="43"/>
        <v>46113</v>
      </c>
      <c r="P929" t="str">
        <f t="shared" ca="1" si="44"/>
        <v>YES</v>
      </c>
      <c r="Q929">
        <f>Weekly_Inspections!$AW929</f>
        <v>0</v>
      </c>
    </row>
    <row r="930" spans="1:17" ht="15" customHeight="1" x14ac:dyDescent="0.2">
      <c r="A930" t="str">
        <f>IF(Weekly_Inspections!$B930="","",Weekly_Inspections!$A930&amp;"-A1")</f>
        <v/>
      </c>
      <c r="B930" s="24">
        <f>Weekly_Inspections!$B930</f>
        <v>0</v>
      </c>
      <c r="C930">
        <f>Weekly_Inspections!$E930</f>
        <v>0</v>
      </c>
      <c r="D930">
        <f>Weekly_Inspections!$F930</f>
        <v>0</v>
      </c>
      <c r="E930" t="str">
        <f>Weekly_Inspections!$H930</f>
        <v/>
      </c>
      <c r="F930">
        <f>IF(Weekly_Inspections!$AX930&lt;&gt;"",Weekly_Inspections!$AX930,IF(Weekly_Inspections!$AY930&lt;&gt;"",Weekly_Inspections!$AY930,IF(Weekly_Inspections!$AZ930&lt;&gt;"",Weekly_Inspections!$AZ930,IF(Weekly_Inspections!$BA930&lt;&gt;"",Weekly_Inspections!$BA930,IF(Weekly_Inspections!$BB930&lt;&gt;"",Weekly_Inspections!$BB930,Weekly_Inspections!$R930)))))</f>
        <v>0</v>
      </c>
      <c r="G930" t="str">
        <f>IF(OR(Weekly_Inspections!$AQ930&lt;&gt;"",Weekly_Inspections!$AR930&lt;&gt;"",Weekly_Inspections!$AS930&lt;&gt;""),Weekly_Inspections!$AQ930,"")</f>
        <v/>
      </c>
      <c r="H930">
        <f>Weekly_Inspections!$AP930</f>
        <v>0</v>
      </c>
      <c r="I930">
        <f>Weekly_Inspections!$AR930</f>
        <v>0</v>
      </c>
      <c r="J930">
        <f>Weekly_Inspections!$AS930</f>
        <v>0</v>
      </c>
      <c r="K930">
        <f>Weekly_Inspections!$AU930</f>
        <v>0</v>
      </c>
      <c r="L930" s="24">
        <f>Weekly_Inspections!$AV930</f>
        <v>0</v>
      </c>
      <c r="M930" t="str">
        <f t="shared" si="42"/>
        <v>Open</v>
      </c>
      <c r="N930" s="24"/>
      <c r="O930">
        <f t="shared" ca="1" si="43"/>
        <v>46113</v>
      </c>
      <c r="P930" t="str">
        <f t="shared" ca="1" si="44"/>
        <v>YES</v>
      </c>
      <c r="Q930">
        <f>Weekly_Inspections!$AW930</f>
        <v>0</v>
      </c>
    </row>
    <row r="931" spans="1:17" ht="15" customHeight="1" x14ac:dyDescent="0.2">
      <c r="A931" t="str">
        <f>IF(Weekly_Inspections!$B931="","",Weekly_Inspections!$A931&amp;"-A1")</f>
        <v/>
      </c>
      <c r="B931" s="24">
        <f>Weekly_Inspections!$B931</f>
        <v>0</v>
      </c>
      <c r="C931">
        <f>Weekly_Inspections!$E931</f>
        <v>0</v>
      </c>
      <c r="D931">
        <f>Weekly_Inspections!$F931</f>
        <v>0</v>
      </c>
      <c r="E931" t="str">
        <f>Weekly_Inspections!$H931</f>
        <v/>
      </c>
      <c r="F931">
        <f>IF(Weekly_Inspections!$AX931&lt;&gt;"",Weekly_Inspections!$AX931,IF(Weekly_Inspections!$AY931&lt;&gt;"",Weekly_Inspections!$AY931,IF(Weekly_Inspections!$AZ931&lt;&gt;"",Weekly_Inspections!$AZ931,IF(Weekly_Inspections!$BA931&lt;&gt;"",Weekly_Inspections!$BA931,IF(Weekly_Inspections!$BB931&lt;&gt;"",Weekly_Inspections!$BB931,Weekly_Inspections!$R931)))))</f>
        <v>0</v>
      </c>
      <c r="G931" t="str">
        <f>IF(OR(Weekly_Inspections!$AQ931&lt;&gt;"",Weekly_Inspections!$AR931&lt;&gt;"",Weekly_Inspections!$AS931&lt;&gt;""),Weekly_Inspections!$AQ931,"")</f>
        <v/>
      </c>
      <c r="H931">
        <f>Weekly_Inspections!$AP931</f>
        <v>0</v>
      </c>
      <c r="I931">
        <f>Weekly_Inspections!$AR931</f>
        <v>0</v>
      </c>
      <c r="J931">
        <f>Weekly_Inspections!$AS931</f>
        <v>0</v>
      </c>
      <c r="K931">
        <f>Weekly_Inspections!$AU931</f>
        <v>0</v>
      </c>
      <c r="L931" s="24">
        <f>Weekly_Inspections!$AV931</f>
        <v>0</v>
      </c>
      <c r="M931" t="str">
        <f t="shared" si="42"/>
        <v>Open</v>
      </c>
      <c r="N931" s="24"/>
      <c r="O931">
        <f t="shared" ca="1" si="43"/>
        <v>46113</v>
      </c>
      <c r="P931" t="str">
        <f t="shared" ca="1" si="44"/>
        <v>YES</v>
      </c>
      <c r="Q931">
        <f>Weekly_Inspections!$AW931</f>
        <v>0</v>
      </c>
    </row>
    <row r="932" spans="1:17" ht="15" customHeight="1" x14ac:dyDescent="0.2">
      <c r="A932" t="str">
        <f>IF(Weekly_Inspections!$B932="","",Weekly_Inspections!$A932&amp;"-A1")</f>
        <v/>
      </c>
      <c r="B932" s="24">
        <f>Weekly_Inspections!$B932</f>
        <v>0</v>
      </c>
      <c r="C932">
        <f>Weekly_Inspections!$E932</f>
        <v>0</v>
      </c>
      <c r="D932">
        <f>Weekly_Inspections!$F932</f>
        <v>0</v>
      </c>
      <c r="E932" t="str">
        <f>Weekly_Inspections!$H932</f>
        <v/>
      </c>
      <c r="F932">
        <f>IF(Weekly_Inspections!$AX932&lt;&gt;"",Weekly_Inspections!$AX932,IF(Weekly_Inspections!$AY932&lt;&gt;"",Weekly_Inspections!$AY932,IF(Weekly_Inspections!$AZ932&lt;&gt;"",Weekly_Inspections!$AZ932,IF(Weekly_Inspections!$BA932&lt;&gt;"",Weekly_Inspections!$BA932,IF(Weekly_Inspections!$BB932&lt;&gt;"",Weekly_Inspections!$BB932,Weekly_Inspections!$R932)))))</f>
        <v>0</v>
      </c>
      <c r="G932" t="str">
        <f>IF(OR(Weekly_Inspections!$AQ932&lt;&gt;"",Weekly_Inspections!$AR932&lt;&gt;"",Weekly_Inspections!$AS932&lt;&gt;""),Weekly_Inspections!$AQ932,"")</f>
        <v/>
      </c>
      <c r="H932">
        <f>Weekly_Inspections!$AP932</f>
        <v>0</v>
      </c>
      <c r="I932">
        <f>Weekly_Inspections!$AR932</f>
        <v>0</v>
      </c>
      <c r="J932">
        <f>Weekly_Inspections!$AS932</f>
        <v>0</v>
      </c>
      <c r="K932">
        <f>Weekly_Inspections!$AU932</f>
        <v>0</v>
      </c>
      <c r="L932" s="24">
        <f>Weekly_Inspections!$AV932</f>
        <v>0</v>
      </c>
      <c r="M932" t="str">
        <f t="shared" si="42"/>
        <v>Open</v>
      </c>
      <c r="N932" s="24"/>
      <c r="O932">
        <f t="shared" ca="1" si="43"/>
        <v>46113</v>
      </c>
      <c r="P932" t="str">
        <f t="shared" ca="1" si="44"/>
        <v>YES</v>
      </c>
      <c r="Q932">
        <f>Weekly_Inspections!$AW932</f>
        <v>0</v>
      </c>
    </row>
    <row r="933" spans="1:17" ht="15" customHeight="1" x14ac:dyDescent="0.2">
      <c r="A933" t="str">
        <f>IF(Weekly_Inspections!$B933="","",Weekly_Inspections!$A933&amp;"-A1")</f>
        <v/>
      </c>
      <c r="B933" s="24">
        <f>Weekly_Inspections!$B933</f>
        <v>0</v>
      </c>
      <c r="C933">
        <f>Weekly_Inspections!$E933</f>
        <v>0</v>
      </c>
      <c r="D933">
        <f>Weekly_Inspections!$F933</f>
        <v>0</v>
      </c>
      <c r="E933" t="str">
        <f>Weekly_Inspections!$H933</f>
        <v/>
      </c>
      <c r="F933">
        <f>IF(Weekly_Inspections!$AX933&lt;&gt;"",Weekly_Inspections!$AX933,IF(Weekly_Inspections!$AY933&lt;&gt;"",Weekly_Inspections!$AY933,IF(Weekly_Inspections!$AZ933&lt;&gt;"",Weekly_Inspections!$AZ933,IF(Weekly_Inspections!$BA933&lt;&gt;"",Weekly_Inspections!$BA933,IF(Weekly_Inspections!$BB933&lt;&gt;"",Weekly_Inspections!$BB933,Weekly_Inspections!$R933)))))</f>
        <v>0</v>
      </c>
      <c r="G933" t="str">
        <f>IF(OR(Weekly_Inspections!$AQ933&lt;&gt;"",Weekly_Inspections!$AR933&lt;&gt;"",Weekly_Inspections!$AS933&lt;&gt;""),Weekly_Inspections!$AQ933,"")</f>
        <v/>
      </c>
      <c r="H933">
        <f>Weekly_Inspections!$AP933</f>
        <v>0</v>
      </c>
      <c r="I933">
        <f>Weekly_Inspections!$AR933</f>
        <v>0</v>
      </c>
      <c r="J933">
        <f>Weekly_Inspections!$AS933</f>
        <v>0</v>
      </c>
      <c r="K933">
        <f>Weekly_Inspections!$AU933</f>
        <v>0</v>
      </c>
      <c r="L933" s="24">
        <f>Weekly_Inspections!$AV933</f>
        <v>0</v>
      </c>
      <c r="M933" t="str">
        <f t="shared" si="42"/>
        <v>Open</v>
      </c>
      <c r="N933" s="24"/>
      <c r="O933">
        <f t="shared" ca="1" si="43"/>
        <v>46113</v>
      </c>
      <c r="P933" t="str">
        <f t="shared" ca="1" si="44"/>
        <v>YES</v>
      </c>
      <c r="Q933">
        <f>Weekly_Inspections!$AW933</f>
        <v>0</v>
      </c>
    </row>
    <row r="934" spans="1:17" ht="15" customHeight="1" x14ac:dyDescent="0.2">
      <c r="A934" t="str">
        <f>IF(Weekly_Inspections!$B934="","",Weekly_Inspections!$A934&amp;"-A1")</f>
        <v/>
      </c>
      <c r="B934" s="24">
        <f>Weekly_Inspections!$B934</f>
        <v>0</v>
      </c>
      <c r="C934">
        <f>Weekly_Inspections!$E934</f>
        <v>0</v>
      </c>
      <c r="D934">
        <f>Weekly_Inspections!$F934</f>
        <v>0</v>
      </c>
      <c r="E934" t="str">
        <f>Weekly_Inspections!$H934</f>
        <v/>
      </c>
      <c r="F934">
        <f>IF(Weekly_Inspections!$AX934&lt;&gt;"",Weekly_Inspections!$AX934,IF(Weekly_Inspections!$AY934&lt;&gt;"",Weekly_Inspections!$AY934,IF(Weekly_Inspections!$AZ934&lt;&gt;"",Weekly_Inspections!$AZ934,IF(Weekly_Inspections!$BA934&lt;&gt;"",Weekly_Inspections!$BA934,IF(Weekly_Inspections!$BB934&lt;&gt;"",Weekly_Inspections!$BB934,Weekly_Inspections!$R934)))))</f>
        <v>0</v>
      </c>
      <c r="G934" t="str">
        <f>IF(OR(Weekly_Inspections!$AQ934&lt;&gt;"",Weekly_Inspections!$AR934&lt;&gt;"",Weekly_Inspections!$AS934&lt;&gt;""),Weekly_Inspections!$AQ934,"")</f>
        <v/>
      </c>
      <c r="H934">
        <f>Weekly_Inspections!$AP934</f>
        <v>0</v>
      </c>
      <c r="I934">
        <f>Weekly_Inspections!$AR934</f>
        <v>0</v>
      </c>
      <c r="J934">
        <f>Weekly_Inspections!$AS934</f>
        <v>0</v>
      </c>
      <c r="K934">
        <f>Weekly_Inspections!$AU934</f>
        <v>0</v>
      </c>
      <c r="L934" s="24">
        <f>Weekly_Inspections!$AV934</f>
        <v>0</v>
      </c>
      <c r="M934" t="str">
        <f t="shared" si="42"/>
        <v>Open</v>
      </c>
      <c r="N934" s="24"/>
      <c r="O934">
        <f t="shared" ca="1" si="43"/>
        <v>46113</v>
      </c>
      <c r="P934" t="str">
        <f t="shared" ca="1" si="44"/>
        <v>YES</v>
      </c>
      <c r="Q934">
        <f>Weekly_Inspections!$AW934</f>
        <v>0</v>
      </c>
    </row>
    <row r="935" spans="1:17" ht="15" customHeight="1" x14ac:dyDescent="0.2">
      <c r="A935" t="str">
        <f>IF(Weekly_Inspections!$B935="","",Weekly_Inspections!$A935&amp;"-A1")</f>
        <v/>
      </c>
      <c r="B935" s="24">
        <f>Weekly_Inspections!$B935</f>
        <v>0</v>
      </c>
      <c r="C935">
        <f>Weekly_Inspections!$E935</f>
        <v>0</v>
      </c>
      <c r="D935">
        <f>Weekly_Inspections!$F935</f>
        <v>0</v>
      </c>
      <c r="E935" t="str">
        <f>Weekly_Inspections!$H935</f>
        <v/>
      </c>
      <c r="F935">
        <f>IF(Weekly_Inspections!$AX935&lt;&gt;"",Weekly_Inspections!$AX935,IF(Weekly_Inspections!$AY935&lt;&gt;"",Weekly_Inspections!$AY935,IF(Weekly_Inspections!$AZ935&lt;&gt;"",Weekly_Inspections!$AZ935,IF(Weekly_Inspections!$BA935&lt;&gt;"",Weekly_Inspections!$BA935,IF(Weekly_Inspections!$BB935&lt;&gt;"",Weekly_Inspections!$BB935,Weekly_Inspections!$R935)))))</f>
        <v>0</v>
      </c>
      <c r="G935" t="str">
        <f>IF(OR(Weekly_Inspections!$AQ935&lt;&gt;"",Weekly_Inspections!$AR935&lt;&gt;"",Weekly_Inspections!$AS935&lt;&gt;""),Weekly_Inspections!$AQ935,"")</f>
        <v/>
      </c>
      <c r="H935">
        <f>Weekly_Inspections!$AP935</f>
        <v>0</v>
      </c>
      <c r="I935">
        <f>Weekly_Inspections!$AR935</f>
        <v>0</v>
      </c>
      <c r="J935">
        <f>Weekly_Inspections!$AS935</f>
        <v>0</v>
      </c>
      <c r="K935">
        <f>Weekly_Inspections!$AU935</f>
        <v>0</v>
      </c>
      <c r="L935" s="24">
        <f>Weekly_Inspections!$AV935</f>
        <v>0</v>
      </c>
      <c r="M935" t="str">
        <f t="shared" si="42"/>
        <v>Open</v>
      </c>
      <c r="N935" s="24"/>
      <c r="O935">
        <f t="shared" ca="1" si="43"/>
        <v>46113</v>
      </c>
      <c r="P935" t="str">
        <f t="shared" ca="1" si="44"/>
        <v>YES</v>
      </c>
      <c r="Q935">
        <f>Weekly_Inspections!$AW935</f>
        <v>0</v>
      </c>
    </row>
    <row r="936" spans="1:17" ht="15" customHeight="1" x14ac:dyDescent="0.2">
      <c r="A936" t="str">
        <f>IF(Weekly_Inspections!$B936="","",Weekly_Inspections!$A936&amp;"-A1")</f>
        <v/>
      </c>
      <c r="B936" s="24">
        <f>Weekly_Inspections!$B936</f>
        <v>0</v>
      </c>
      <c r="C936">
        <f>Weekly_Inspections!$E936</f>
        <v>0</v>
      </c>
      <c r="D936">
        <f>Weekly_Inspections!$F936</f>
        <v>0</v>
      </c>
      <c r="E936" t="str">
        <f>Weekly_Inspections!$H936</f>
        <v/>
      </c>
      <c r="F936">
        <f>IF(Weekly_Inspections!$AX936&lt;&gt;"",Weekly_Inspections!$AX936,IF(Weekly_Inspections!$AY936&lt;&gt;"",Weekly_Inspections!$AY936,IF(Weekly_Inspections!$AZ936&lt;&gt;"",Weekly_Inspections!$AZ936,IF(Weekly_Inspections!$BA936&lt;&gt;"",Weekly_Inspections!$BA936,IF(Weekly_Inspections!$BB936&lt;&gt;"",Weekly_Inspections!$BB936,Weekly_Inspections!$R936)))))</f>
        <v>0</v>
      </c>
      <c r="G936" t="str">
        <f>IF(OR(Weekly_Inspections!$AQ936&lt;&gt;"",Weekly_Inspections!$AR936&lt;&gt;"",Weekly_Inspections!$AS936&lt;&gt;""),Weekly_Inspections!$AQ936,"")</f>
        <v/>
      </c>
      <c r="H936">
        <f>Weekly_Inspections!$AP936</f>
        <v>0</v>
      </c>
      <c r="I936">
        <f>Weekly_Inspections!$AR936</f>
        <v>0</v>
      </c>
      <c r="J936">
        <f>Weekly_Inspections!$AS936</f>
        <v>0</v>
      </c>
      <c r="K936">
        <f>Weekly_Inspections!$AU936</f>
        <v>0</v>
      </c>
      <c r="L936" s="24">
        <f>Weekly_Inspections!$AV936</f>
        <v>0</v>
      </c>
      <c r="M936" t="str">
        <f t="shared" si="42"/>
        <v>Open</v>
      </c>
      <c r="N936" s="24"/>
      <c r="O936">
        <f t="shared" ca="1" si="43"/>
        <v>46113</v>
      </c>
      <c r="P936" t="str">
        <f t="shared" ca="1" si="44"/>
        <v>YES</v>
      </c>
      <c r="Q936">
        <f>Weekly_Inspections!$AW936</f>
        <v>0</v>
      </c>
    </row>
    <row r="937" spans="1:17" ht="15" customHeight="1" x14ac:dyDescent="0.2">
      <c r="A937" t="str">
        <f>IF(Weekly_Inspections!$B937="","",Weekly_Inspections!$A937&amp;"-A1")</f>
        <v/>
      </c>
      <c r="B937" s="24">
        <f>Weekly_Inspections!$B937</f>
        <v>0</v>
      </c>
      <c r="C937">
        <f>Weekly_Inspections!$E937</f>
        <v>0</v>
      </c>
      <c r="D937">
        <f>Weekly_Inspections!$F937</f>
        <v>0</v>
      </c>
      <c r="E937" t="str">
        <f>Weekly_Inspections!$H937</f>
        <v/>
      </c>
      <c r="F937">
        <f>IF(Weekly_Inspections!$AX937&lt;&gt;"",Weekly_Inspections!$AX937,IF(Weekly_Inspections!$AY937&lt;&gt;"",Weekly_Inspections!$AY937,IF(Weekly_Inspections!$AZ937&lt;&gt;"",Weekly_Inspections!$AZ937,IF(Weekly_Inspections!$BA937&lt;&gt;"",Weekly_Inspections!$BA937,IF(Weekly_Inspections!$BB937&lt;&gt;"",Weekly_Inspections!$BB937,Weekly_Inspections!$R937)))))</f>
        <v>0</v>
      </c>
      <c r="G937" t="str">
        <f>IF(OR(Weekly_Inspections!$AQ937&lt;&gt;"",Weekly_Inspections!$AR937&lt;&gt;"",Weekly_Inspections!$AS937&lt;&gt;""),Weekly_Inspections!$AQ937,"")</f>
        <v/>
      </c>
      <c r="H937">
        <f>Weekly_Inspections!$AP937</f>
        <v>0</v>
      </c>
      <c r="I937">
        <f>Weekly_Inspections!$AR937</f>
        <v>0</v>
      </c>
      <c r="J937">
        <f>Weekly_Inspections!$AS937</f>
        <v>0</v>
      </c>
      <c r="K937">
        <f>Weekly_Inspections!$AU937</f>
        <v>0</v>
      </c>
      <c r="L937" s="24">
        <f>Weekly_Inspections!$AV937</f>
        <v>0</v>
      </c>
      <c r="M937" t="str">
        <f t="shared" si="42"/>
        <v>Open</v>
      </c>
      <c r="N937" s="24"/>
      <c r="O937">
        <f t="shared" ca="1" si="43"/>
        <v>46113</v>
      </c>
      <c r="P937" t="str">
        <f t="shared" ca="1" si="44"/>
        <v>YES</v>
      </c>
      <c r="Q937">
        <f>Weekly_Inspections!$AW937</f>
        <v>0</v>
      </c>
    </row>
    <row r="938" spans="1:17" ht="15" customHeight="1" x14ac:dyDescent="0.2">
      <c r="A938" t="str">
        <f>IF(Weekly_Inspections!$B938="","",Weekly_Inspections!$A938&amp;"-A1")</f>
        <v/>
      </c>
      <c r="B938" s="24">
        <f>Weekly_Inspections!$B938</f>
        <v>0</v>
      </c>
      <c r="C938">
        <f>Weekly_Inspections!$E938</f>
        <v>0</v>
      </c>
      <c r="D938">
        <f>Weekly_Inspections!$F938</f>
        <v>0</v>
      </c>
      <c r="E938" t="str">
        <f>Weekly_Inspections!$H938</f>
        <v/>
      </c>
      <c r="F938">
        <f>IF(Weekly_Inspections!$AX938&lt;&gt;"",Weekly_Inspections!$AX938,IF(Weekly_Inspections!$AY938&lt;&gt;"",Weekly_Inspections!$AY938,IF(Weekly_Inspections!$AZ938&lt;&gt;"",Weekly_Inspections!$AZ938,IF(Weekly_Inspections!$BA938&lt;&gt;"",Weekly_Inspections!$BA938,IF(Weekly_Inspections!$BB938&lt;&gt;"",Weekly_Inspections!$BB938,Weekly_Inspections!$R938)))))</f>
        <v>0</v>
      </c>
      <c r="G938" t="str">
        <f>IF(OR(Weekly_Inspections!$AQ938&lt;&gt;"",Weekly_Inspections!$AR938&lt;&gt;"",Weekly_Inspections!$AS938&lt;&gt;""),Weekly_Inspections!$AQ938,"")</f>
        <v/>
      </c>
      <c r="H938">
        <f>Weekly_Inspections!$AP938</f>
        <v>0</v>
      </c>
      <c r="I938">
        <f>Weekly_Inspections!$AR938</f>
        <v>0</v>
      </c>
      <c r="J938">
        <f>Weekly_Inspections!$AS938</f>
        <v>0</v>
      </c>
      <c r="K938">
        <f>Weekly_Inspections!$AU938</f>
        <v>0</v>
      </c>
      <c r="L938" s="24">
        <f>Weekly_Inspections!$AV938</f>
        <v>0</v>
      </c>
      <c r="M938" t="str">
        <f t="shared" si="42"/>
        <v>Open</v>
      </c>
      <c r="N938" s="24"/>
      <c r="O938">
        <f t="shared" ca="1" si="43"/>
        <v>46113</v>
      </c>
      <c r="P938" t="str">
        <f t="shared" ca="1" si="44"/>
        <v>YES</v>
      </c>
      <c r="Q938">
        <f>Weekly_Inspections!$AW938</f>
        <v>0</v>
      </c>
    </row>
    <row r="939" spans="1:17" ht="15" customHeight="1" x14ac:dyDescent="0.2">
      <c r="A939" t="str">
        <f>IF(Weekly_Inspections!$B939="","",Weekly_Inspections!$A939&amp;"-A1")</f>
        <v/>
      </c>
      <c r="B939" s="24">
        <f>Weekly_Inspections!$B939</f>
        <v>0</v>
      </c>
      <c r="C939">
        <f>Weekly_Inspections!$E939</f>
        <v>0</v>
      </c>
      <c r="D939">
        <f>Weekly_Inspections!$F939</f>
        <v>0</v>
      </c>
      <c r="E939" t="str">
        <f>Weekly_Inspections!$H939</f>
        <v/>
      </c>
      <c r="F939">
        <f>IF(Weekly_Inspections!$AX939&lt;&gt;"",Weekly_Inspections!$AX939,IF(Weekly_Inspections!$AY939&lt;&gt;"",Weekly_Inspections!$AY939,IF(Weekly_Inspections!$AZ939&lt;&gt;"",Weekly_Inspections!$AZ939,IF(Weekly_Inspections!$BA939&lt;&gt;"",Weekly_Inspections!$BA939,IF(Weekly_Inspections!$BB939&lt;&gt;"",Weekly_Inspections!$BB939,Weekly_Inspections!$R939)))))</f>
        <v>0</v>
      </c>
      <c r="G939" t="str">
        <f>IF(OR(Weekly_Inspections!$AQ939&lt;&gt;"",Weekly_Inspections!$AR939&lt;&gt;"",Weekly_Inspections!$AS939&lt;&gt;""),Weekly_Inspections!$AQ939,"")</f>
        <v/>
      </c>
      <c r="H939">
        <f>Weekly_Inspections!$AP939</f>
        <v>0</v>
      </c>
      <c r="I939">
        <f>Weekly_Inspections!$AR939</f>
        <v>0</v>
      </c>
      <c r="J939">
        <f>Weekly_Inspections!$AS939</f>
        <v>0</v>
      </c>
      <c r="K939">
        <f>Weekly_Inspections!$AU939</f>
        <v>0</v>
      </c>
      <c r="L939" s="24">
        <f>Weekly_Inspections!$AV939</f>
        <v>0</v>
      </c>
      <c r="M939" t="str">
        <f t="shared" si="42"/>
        <v>Open</v>
      </c>
      <c r="N939" s="24"/>
      <c r="O939">
        <f t="shared" ca="1" si="43"/>
        <v>46113</v>
      </c>
      <c r="P939" t="str">
        <f t="shared" ca="1" si="44"/>
        <v>YES</v>
      </c>
      <c r="Q939">
        <f>Weekly_Inspections!$AW939</f>
        <v>0</v>
      </c>
    </row>
    <row r="940" spans="1:17" ht="15" customHeight="1" x14ac:dyDescent="0.2">
      <c r="A940" t="str">
        <f>IF(Weekly_Inspections!$B940="","",Weekly_Inspections!$A940&amp;"-A1")</f>
        <v/>
      </c>
      <c r="B940" s="24">
        <f>Weekly_Inspections!$B940</f>
        <v>0</v>
      </c>
      <c r="C940">
        <f>Weekly_Inspections!$E940</f>
        <v>0</v>
      </c>
      <c r="D940">
        <f>Weekly_Inspections!$F940</f>
        <v>0</v>
      </c>
      <c r="E940" t="str">
        <f>Weekly_Inspections!$H940</f>
        <v/>
      </c>
      <c r="F940">
        <f>IF(Weekly_Inspections!$AX940&lt;&gt;"",Weekly_Inspections!$AX940,IF(Weekly_Inspections!$AY940&lt;&gt;"",Weekly_Inspections!$AY940,IF(Weekly_Inspections!$AZ940&lt;&gt;"",Weekly_Inspections!$AZ940,IF(Weekly_Inspections!$BA940&lt;&gt;"",Weekly_Inspections!$BA940,IF(Weekly_Inspections!$BB940&lt;&gt;"",Weekly_Inspections!$BB940,Weekly_Inspections!$R940)))))</f>
        <v>0</v>
      </c>
      <c r="G940" t="str">
        <f>IF(OR(Weekly_Inspections!$AQ940&lt;&gt;"",Weekly_Inspections!$AR940&lt;&gt;"",Weekly_Inspections!$AS940&lt;&gt;""),Weekly_Inspections!$AQ940,"")</f>
        <v/>
      </c>
      <c r="H940">
        <f>Weekly_Inspections!$AP940</f>
        <v>0</v>
      </c>
      <c r="I940">
        <f>Weekly_Inspections!$AR940</f>
        <v>0</v>
      </c>
      <c r="J940">
        <f>Weekly_Inspections!$AS940</f>
        <v>0</v>
      </c>
      <c r="K940">
        <f>Weekly_Inspections!$AU940</f>
        <v>0</v>
      </c>
      <c r="L940" s="24">
        <f>Weekly_Inspections!$AV940</f>
        <v>0</v>
      </c>
      <c r="M940" t="str">
        <f t="shared" si="42"/>
        <v>Open</v>
      </c>
      <c r="N940" s="24"/>
      <c r="O940">
        <f t="shared" ca="1" si="43"/>
        <v>46113</v>
      </c>
      <c r="P940" t="str">
        <f t="shared" ca="1" si="44"/>
        <v>YES</v>
      </c>
      <c r="Q940">
        <f>Weekly_Inspections!$AW940</f>
        <v>0</v>
      </c>
    </row>
    <row r="941" spans="1:17" ht="15" customHeight="1" x14ac:dyDescent="0.2">
      <c r="A941" t="str">
        <f>IF(Weekly_Inspections!$B941="","",Weekly_Inspections!$A941&amp;"-A1")</f>
        <v/>
      </c>
      <c r="B941" s="24">
        <f>Weekly_Inspections!$B941</f>
        <v>0</v>
      </c>
      <c r="C941">
        <f>Weekly_Inspections!$E941</f>
        <v>0</v>
      </c>
      <c r="D941">
        <f>Weekly_Inspections!$F941</f>
        <v>0</v>
      </c>
      <c r="E941" t="str">
        <f>Weekly_Inspections!$H941</f>
        <v/>
      </c>
      <c r="F941">
        <f>IF(Weekly_Inspections!$AX941&lt;&gt;"",Weekly_Inspections!$AX941,IF(Weekly_Inspections!$AY941&lt;&gt;"",Weekly_Inspections!$AY941,IF(Weekly_Inspections!$AZ941&lt;&gt;"",Weekly_Inspections!$AZ941,IF(Weekly_Inspections!$BA941&lt;&gt;"",Weekly_Inspections!$BA941,IF(Weekly_Inspections!$BB941&lt;&gt;"",Weekly_Inspections!$BB941,Weekly_Inspections!$R941)))))</f>
        <v>0</v>
      </c>
      <c r="G941" t="str">
        <f>IF(OR(Weekly_Inspections!$AQ941&lt;&gt;"",Weekly_Inspections!$AR941&lt;&gt;"",Weekly_Inspections!$AS941&lt;&gt;""),Weekly_Inspections!$AQ941,"")</f>
        <v/>
      </c>
      <c r="H941">
        <f>Weekly_Inspections!$AP941</f>
        <v>0</v>
      </c>
      <c r="I941">
        <f>Weekly_Inspections!$AR941</f>
        <v>0</v>
      </c>
      <c r="J941">
        <f>Weekly_Inspections!$AS941</f>
        <v>0</v>
      </c>
      <c r="K941">
        <f>Weekly_Inspections!$AU941</f>
        <v>0</v>
      </c>
      <c r="L941" s="24">
        <f>Weekly_Inspections!$AV941</f>
        <v>0</v>
      </c>
      <c r="M941" t="str">
        <f t="shared" si="42"/>
        <v>Open</v>
      </c>
      <c r="N941" s="24"/>
      <c r="O941">
        <f t="shared" ca="1" si="43"/>
        <v>46113</v>
      </c>
      <c r="P941" t="str">
        <f t="shared" ca="1" si="44"/>
        <v>YES</v>
      </c>
      <c r="Q941">
        <f>Weekly_Inspections!$AW941</f>
        <v>0</v>
      </c>
    </row>
    <row r="942" spans="1:17" ht="15" customHeight="1" x14ac:dyDescent="0.2">
      <c r="A942" t="str">
        <f>IF(Weekly_Inspections!$B942="","",Weekly_Inspections!$A942&amp;"-A1")</f>
        <v/>
      </c>
      <c r="B942" s="24">
        <f>Weekly_Inspections!$B942</f>
        <v>0</v>
      </c>
      <c r="C942">
        <f>Weekly_Inspections!$E942</f>
        <v>0</v>
      </c>
      <c r="D942">
        <f>Weekly_Inspections!$F942</f>
        <v>0</v>
      </c>
      <c r="E942" t="str">
        <f>Weekly_Inspections!$H942</f>
        <v/>
      </c>
      <c r="F942">
        <f>IF(Weekly_Inspections!$AX942&lt;&gt;"",Weekly_Inspections!$AX942,IF(Weekly_Inspections!$AY942&lt;&gt;"",Weekly_Inspections!$AY942,IF(Weekly_Inspections!$AZ942&lt;&gt;"",Weekly_Inspections!$AZ942,IF(Weekly_Inspections!$BA942&lt;&gt;"",Weekly_Inspections!$BA942,IF(Weekly_Inspections!$BB942&lt;&gt;"",Weekly_Inspections!$BB942,Weekly_Inspections!$R942)))))</f>
        <v>0</v>
      </c>
      <c r="G942" t="str">
        <f>IF(OR(Weekly_Inspections!$AQ942&lt;&gt;"",Weekly_Inspections!$AR942&lt;&gt;"",Weekly_Inspections!$AS942&lt;&gt;""),Weekly_Inspections!$AQ942,"")</f>
        <v/>
      </c>
      <c r="H942">
        <f>Weekly_Inspections!$AP942</f>
        <v>0</v>
      </c>
      <c r="I942">
        <f>Weekly_Inspections!$AR942</f>
        <v>0</v>
      </c>
      <c r="J942">
        <f>Weekly_Inspections!$AS942</f>
        <v>0</v>
      </c>
      <c r="K942">
        <f>Weekly_Inspections!$AU942</f>
        <v>0</v>
      </c>
      <c r="L942" s="24">
        <f>Weekly_Inspections!$AV942</f>
        <v>0</v>
      </c>
      <c r="M942" t="str">
        <f t="shared" si="42"/>
        <v>Open</v>
      </c>
      <c r="N942" s="24"/>
      <c r="O942">
        <f t="shared" ca="1" si="43"/>
        <v>46113</v>
      </c>
      <c r="P942" t="str">
        <f t="shared" ca="1" si="44"/>
        <v>YES</v>
      </c>
      <c r="Q942">
        <f>Weekly_Inspections!$AW942</f>
        <v>0</v>
      </c>
    </row>
    <row r="943" spans="1:17" ht="15" customHeight="1" x14ac:dyDescent="0.2">
      <c r="A943" t="str">
        <f>IF(Weekly_Inspections!$B943="","",Weekly_Inspections!$A943&amp;"-A1")</f>
        <v/>
      </c>
      <c r="B943" s="24">
        <f>Weekly_Inspections!$B943</f>
        <v>0</v>
      </c>
      <c r="C943">
        <f>Weekly_Inspections!$E943</f>
        <v>0</v>
      </c>
      <c r="D943">
        <f>Weekly_Inspections!$F943</f>
        <v>0</v>
      </c>
      <c r="E943" t="str">
        <f>Weekly_Inspections!$H943</f>
        <v/>
      </c>
      <c r="F943">
        <f>IF(Weekly_Inspections!$AX943&lt;&gt;"",Weekly_Inspections!$AX943,IF(Weekly_Inspections!$AY943&lt;&gt;"",Weekly_Inspections!$AY943,IF(Weekly_Inspections!$AZ943&lt;&gt;"",Weekly_Inspections!$AZ943,IF(Weekly_Inspections!$BA943&lt;&gt;"",Weekly_Inspections!$BA943,IF(Weekly_Inspections!$BB943&lt;&gt;"",Weekly_Inspections!$BB943,Weekly_Inspections!$R943)))))</f>
        <v>0</v>
      </c>
      <c r="G943" t="str">
        <f>IF(OR(Weekly_Inspections!$AQ943&lt;&gt;"",Weekly_Inspections!$AR943&lt;&gt;"",Weekly_Inspections!$AS943&lt;&gt;""),Weekly_Inspections!$AQ943,"")</f>
        <v/>
      </c>
      <c r="H943">
        <f>Weekly_Inspections!$AP943</f>
        <v>0</v>
      </c>
      <c r="I943">
        <f>Weekly_Inspections!$AR943</f>
        <v>0</v>
      </c>
      <c r="J943">
        <f>Weekly_Inspections!$AS943</f>
        <v>0</v>
      </c>
      <c r="K943">
        <f>Weekly_Inspections!$AU943</f>
        <v>0</v>
      </c>
      <c r="L943" s="24">
        <f>Weekly_Inspections!$AV943</f>
        <v>0</v>
      </c>
      <c r="M943" t="str">
        <f t="shared" si="42"/>
        <v>Open</v>
      </c>
      <c r="N943" s="24"/>
      <c r="O943">
        <f t="shared" ca="1" si="43"/>
        <v>46113</v>
      </c>
      <c r="P943" t="str">
        <f t="shared" ca="1" si="44"/>
        <v>YES</v>
      </c>
      <c r="Q943">
        <f>Weekly_Inspections!$AW943</f>
        <v>0</v>
      </c>
    </row>
    <row r="944" spans="1:17" ht="15" customHeight="1" x14ac:dyDescent="0.2">
      <c r="A944" t="str">
        <f>IF(Weekly_Inspections!$B944="","",Weekly_Inspections!$A944&amp;"-A1")</f>
        <v/>
      </c>
      <c r="B944" s="24">
        <f>Weekly_Inspections!$B944</f>
        <v>0</v>
      </c>
      <c r="C944">
        <f>Weekly_Inspections!$E944</f>
        <v>0</v>
      </c>
      <c r="D944">
        <f>Weekly_Inspections!$F944</f>
        <v>0</v>
      </c>
      <c r="E944" t="str">
        <f>Weekly_Inspections!$H944</f>
        <v/>
      </c>
      <c r="F944">
        <f>IF(Weekly_Inspections!$AX944&lt;&gt;"",Weekly_Inspections!$AX944,IF(Weekly_Inspections!$AY944&lt;&gt;"",Weekly_Inspections!$AY944,IF(Weekly_Inspections!$AZ944&lt;&gt;"",Weekly_Inspections!$AZ944,IF(Weekly_Inspections!$BA944&lt;&gt;"",Weekly_Inspections!$BA944,IF(Weekly_Inspections!$BB944&lt;&gt;"",Weekly_Inspections!$BB944,Weekly_Inspections!$R944)))))</f>
        <v>0</v>
      </c>
      <c r="G944" t="str">
        <f>IF(OR(Weekly_Inspections!$AQ944&lt;&gt;"",Weekly_Inspections!$AR944&lt;&gt;"",Weekly_Inspections!$AS944&lt;&gt;""),Weekly_Inspections!$AQ944,"")</f>
        <v/>
      </c>
      <c r="H944">
        <f>Weekly_Inspections!$AP944</f>
        <v>0</v>
      </c>
      <c r="I944">
        <f>Weekly_Inspections!$AR944</f>
        <v>0</v>
      </c>
      <c r="J944">
        <f>Weekly_Inspections!$AS944</f>
        <v>0</v>
      </c>
      <c r="K944">
        <f>Weekly_Inspections!$AU944</f>
        <v>0</v>
      </c>
      <c r="L944" s="24">
        <f>Weekly_Inspections!$AV944</f>
        <v>0</v>
      </c>
      <c r="M944" t="str">
        <f t="shared" si="42"/>
        <v>Open</v>
      </c>
      <c r="N944" s="24"/>
      <c r="O944">
        <f t="shared" ca="1" si="43"/>
        <v>46113</v>
      </c>
      <c r="P944" t="str">
        <f t="shared" ca="1" si="44"/>
        <v>YES</v>
      </c>
      <c r="Q944">
        <f>Weekly_Inspections!$AW944</f>
        <v>0</v>
      </c>
    </row>
    <row r="945" spans="1:17" ht="15" customHeight="1" x14ac:dyDescent="0.2">
      <c r="A945" t="str">
        <f>IF(Weekly_Inspections!$B945="","",Weekly_Inspections!$A945&amp;"-A1")</f>
        <v/>
      </c>
      <c r="B945" s="24">
        <f>Weekly_Inspections!$B945</f>
        <v>0</v>
      </c>
      <c r="C945">
        <f>Weekly_Inspections!$E945</f>
        <v>0</v>
      </c>
      <c r="D945">
        <f>Weekly_Inspections!$F945</f>
        <v>0</v>
      </c>
      <c r="E945" t="str">
        <f>Weekly_Inspections!$H945</f>
        <v/>
      </c>
      <c r="F945">
        <f>IF(Weekly_Inspections!$AX945&lt;&gt;"",Weekly_Inspections!$AX945,IF(Weekly_Inspections!$AY945&lt;&gt;"",Weekly_Inspections!$AY945,IF(Weekly_Inspections!$AZ945&lt;&gt;"",Weekly_Inspections!$AZ945,IF(Weekly_Inspections!$BA945&lt;&gt;"",Weekly_Inspections!$BA945,IF(Weekly_Inspections!$BB945&lt;&gt;"",Weekly_Inspections!$BB945,Weekly_Inspections!$R945)))))</f>
        <v>0</v>
      </c>
      <c r="G945" t="str">
        <f>IF(OR(Weekly_Inspections!$AQ945&lt;&gt;"",Weekly_Inspections!$AR945&lt;&gt;"",Weekly_Inspections!$AS945&lt;&gt;""),Weekly_Inspections!$AQ945,"")</f>
        <v/>
      </c>
      <c r="H945">
        <f>Weekly_Inspections!$AP945</f>
        <v>0</v>
      </c>
      <c r="I945">
        <f>Weekly_Inspections!$AR945</f>
        <v>0</v>
      </c>
      <c r="J945">
        <f>Weekly_Inspections!$AS945</f>
        <v>0</v>
      </c>
      <c r="K945">
        <f>Weekly_Inspections!$AU945</f>
        <v>0</v>
      </c>
      <c r="L945" s="24">
        <f>Weekly_Inspections!$AV945</f>
        <v>0</v>
      </c>
      <c r="M945" t="str">
        <f t="shared" si="42"/>
        <v>Open</v>
      </c>
      <c r="N945" s="24"/>
      <c r="O945">
        <f t="shared" ca="1" si="43"/>
        <v>46113</v>
      </c>
      <c r="P945" t="str">
        <f t="shared" ca="1" si="44"/>
        <v>YES</v>
      </c>
      <c r="Q945">
        <f>Weekly_Inspections!$AW945</f>
        <v>0</v>
      </c>
    </row>
    <row r="946" spans="1:17" ht="15" customHeight="1" x14ac:dyDescent="0.2">
      <c r="A946" t="str">
        <f>IF(Weekly_Inspections!$B946="","",Weekly_Inspections!$A946&amp;"-A1")</f>
        <v/>
      </c>
      <c r="B946" s="24">
        <f>Weekly_Inspections!$B946</f>
        <v>0</v>
      </c>
      <c r="C946">
        <f>Weekly_Inspections!$E946</f>
        <v>0</v>
      </c>
      <c r="D946">
        <f>Weekly_Inspections!$F946</f>
        <v>0</v>
      </c>
      <c r="E946" t="str">
        <f>Weekly_Inspections!$H946</f>
        <v/>
      </c>
      <c r="F946">
        <f>IF(Weekly_Inspections!$AX946&lt;&gt;"",Weekly_Inspections!$AX946,IF(Weekly_Inspections!$AY946&lt;&gt;"",Weekly_Inspections!$AY946,IF(Weekly_Inspections!$AZ946&lt;&gt;"",Weekly_Inspections!$AZ946,IF(Weekly_Inspections!$BA946&lt;&gt;"",Weekly_Inspections!$BA946,IF(Weekly_Inspections!$BB946&lt;&gt;"",Weekly_Inspections!$BB946,Weekly_Inspections!$R946)))))</f>
        <v>0</v>
      </c>
      <c r="G946" t="str">
        <f>IF(OR(Weekly_Inspections!$AQ946&lt;&gt;"",Weekly_Inspections!$AR946&lt;&gt;"",Weekly_Inspections!$AS946&lt;&gt;""),Weekly_Inspections!$AQ946,"")</f>
        <v/>
      </c>
      <c r="H946">
        <f>Weekly_Inspections!$AP946</f>
        <v>0</v>
      </c>
      <c r="I946">
        <f>Weekly_Inspections!$AR946</f>
        <v>0</v>
      </c>
      <c r="J946">
        <f>Weekly_Inspections!$AS946</f>
        <v>0</v>
      </c>
      <c r="K946">
        <f>Weekly_Inspections!$AU946</f>
        <v>0</v>
      </c>
      <c r="L946" s="24">
        <f>Weekly_Inspections!$AV946</f>
        <v>0</v>
      </c>
      <c r="M946" t="str">
        <f t="shared" si="42"/>
        <v>Open</v>
      </c>
      <c r="N946" s="24"/>
      <c r="O946">
        <f t="shared" ca="1" si="43"/>
        <v>46113</v>
      </c>
      <c r="P946" t="str">
        <f t="shared" ca="1" si="44"/>
        <v>YES</v>
      </c>
      <c r="Q946">
        <f>Weekly_Inspections!$AW946</f>
        <v>0</v>
      </c>
    </row>
    <row r="947" spans="1:17" ht="15" customHeight="1" x14ac:dyDescent="0.2">
      <c r="A947" t="str">
        <f>IF(Weekly_Inspections!$B947="","",Weekly_Inspections!$A947&amp;"-A1")</f>
        <v/>
      </c>
      <c r="B947" s="24">
        <f>Weekly_Inspections!$B947</f>
        <v>0</v>
      </c>
      <c r="C947">
        <f>Weekly_Inspections!$E947</f>
        <v>0</v>
      </c>
      <c r="D947">
        <f>Weekly_Inspections!$F947</f>
        <v>0</v>
      </c>
      <c r="E947" t="str">
        <f>Weekly_Inspections!$H947</f>
        <v/>
      </c>
      <c r="F947">
        <f>IF(Weekly_Inspections!$AX947&lt;&gt;"",Weekly_Inspections!$AX947,IF(Weekly_Inspections!$AY947&lt;&gt;"",Weekly_Inspections!$AY947,IF(Weekly_Inspections!$AZ947&lt;&gt;"",Weekly_Inspections!$AZ947,IF(Weekly_Inspections!$BA947&lt;&gt;"",Weekly_Inspections!$BA947,IF(Weekly_Inspections!$BB947&lt;&gt;"",Weekly_Inspections!$BB947,Weekly_Inspections!$R947)))))</f>
        <v>0</v>
      </c>
      <c r="G947" t="str">
        <f>IF(OR(Weekly_Inspections!$AQ947&lt;&gt;"",Weekly_Inspections!$AR947&lt;&gt;"",Weekly_Inspections!$AS947&lt;&gt;""),Weekly_Inspections!$AQ947,"")</f>
        <v/>
      </c>
      <c r="H947">
        <f>Weekly_Inspections!$AP947</f>
        <v>0</v>
      </c>
      <c r="I947">
        <f>Weekly_Inspections!$AR947</f>
        <v>0</v>
      </c>
      <c r="J947">
        <f>Weekly_Inspections!$AS947</f>
        <v>0</v>
      </c>
      <c r="K947">
        <f>Weekly_Inspections!$AU947</f>
        <v>0</v>
      </c>
      <c r="L947" s="24">
        <f>Weekly_Inspections!$AV947</f>
        <v>0</v>
      </c>
      <c r="M947" t="str">
        <f t="shared" si="42"/>
        <v>Open</v>
      </c>
      <c r="N947" s="24"/>
      <c r="O947">
        <f t="shared" ca="1" si="43"/>
        <v>46113</v>
      </c>
      <c r="P947" t="str">
        <f t="shared" ca="1" si="44"/>
        <v>YES</v>
      </c>
      <c r="Q947">
        <f>Weekly_Inspections!$AW947</f>
        <v>0</v>
      </c>
    </row>
    <row r="948" spans="1:17" ht="15" customHeight="1" x14ac:dyDescent="0.2">
      <c r="A948" t="str">
        <f>IF(Weekly_Inspections!$B948="","",Weekly_Inspections!$A948&amp;"-A1")</f>
        <v/>
      </c>
      <c r="B948" s="24">
        <f>Weekly_Inspections!$B948</f>
        <v>0</v>
      </c>
      <c r="C948">
        <f>Weekly_Inspections!$E948</f>
        <v>0</v>
      </c>
      <c r="D948">
        <f>Weekly_Inspections!$F948</f>
        <v>0</v>
      </c>
      <c r="E948" t="str">
        <f>Weekly_Inspections!$H948</f>
        <v/>
      </c>
      <c r="F948">
        <f>IF(Weekly_Inspections!$AX948&lt;&gt;"",Weekly_Inspections!$AX948,IF(Weekly_Inspections!$AY948&lt;&gt;"",Weekly_Inspections!$AY948,IF(Weekly_Inspections!$AZ948&lt;&gt;"",Weekly_Inspections!$AZ948,IF(Weekly_Inspections!$BA948&lt;&gt;"",Weekly_Inspections!$BA948,IF(Weekly_Inspections!$BB948&lt;&gt;"",Weekly_Inspections!$BB948,Weekly_Inspections!$R948)))))</f>
        <v>0</v>
      </c>
      <c r="G948" t="str">
        <f>IF(OR(Weekly_Inspections!$AQ948&lt;&gt;"",Weekly_Inspections!$AR948&lt;&gt;"",Weekly_Inspections!$AS948&lt;&gt;""),Weekly_Inspections!$AQ948,"")</f>
        <v/>
      </c>
      <c r="H948">
        <f>Weekly_Inspections!$AP948</f>
        <v>0</v>
      </c>
      <c r="I948">
        <f>Weekly_Inspections!$AR948</f>
        <v>0</v>
      </c>
      <c r="J948">
        <f>Weekly_Inspections!$AS948</f>
        <v>0</v>
      </c>
      <c r="K948">
        <f>Weekly_Inspections!$AU948</f>
        <v>0</v>
      </c>
      <c r="L948" s="24">
        <f>Weekly_Inspections!$AV948</f>
        <v>0</v>
      </c>
      <c r="M948" t="str">
        <f t="shared" si="42"/>
        <v>Open</v>
      </c>
      <c r="N948" s="24"/>
      <c r="O948">
        <f t="shared" ca="1" si="43"/>
        <v>46113</v>
      </c>
      <c r="P948" t="str">
        <f t="shared" ca="1" si="44"/>
        <v>YES</v>
      </c>
      <c r="Q948">
        <f>Weekly_Inspections!$AW948</f>
        <v>0</v>
      </c>
    </row>
    <row r="949" spans="1:17" ht="15" customHeight="1" x14ac:dyDescent="0.2">
      <c r="A949" t="str">
        <f>IF(Weekly_Inspections!$B949="","",Weekly_Inspections!$A949&amp;"-A1")</f>
        <v/>
      </c>
      <c r="B949" s="24">
        <f>Weekly_Inspections!$B949</f>
        <v>0</v>
      </c>
      <c r="C949">
        <f>Weekly_Inspections!$E949</f>
        <v>0</v>
      </c>
      <c r="D949">
        <f>Weekly_Inspections!$F949</f>
        <v>0</v>
      </c>
      <c r="E949" t="str">
        <f>Weekly_Inspections!$H949</f>
        <v/>
      </c>
      <c r="F949">
        <f>IF(Weekly_Inspections!$AX949&lt;&gt;"",Weekly_Inspections!$AX949,IF(Weekly_Inspections!$AY949&lt;&gt;"",Weekly_Inspections!$AY949,IF(Weekly_Inspections!$AZ949&lt;&gt;"",Weekly_Inspections!$AZ949,IF(Weekly_Inspections!$BA949&lt;&gt;"",Weekly_Inspections!$BA949,IF(Weekly_Inspections!$BB949&lt;&gt;"",Weekly_Inspections!$BB949,Weekly_Inspections!$R949)))))</f>
        <v>0</v>
      </c>
      <c r="G949" t="str">
        <f>IF(OR(Weekly_Inspections!$AQ949&lt;&gt;"",Weekly_Inspections!$AR949&lt;&gt;"",Weekly_Inspections!$AS949&lt;&gt;""),Weekly_Inspections!$AQ949,"")</f>
        <v/>
      </c>
      <c r="H949">
        <f>Weekly_Inspections!$AP949</f>
        <v>0</v>
      </c>
      <c r="I949">
        <f>Weekly_Inspections!$AR949</f>
        <v>0</v>
      </c>
      <c r="J949">
        <f>Weekly_Inspections!$AS949</f>
        <v>0</v>
      </c>
      <c r="K949">
        <f>Weekly_Inspections!$AU949</f>
        <v>0</v>
      </c>
      <c r="L949" s="24">
        <f>Weekly_Inspections!$AV949</f>
        <v>0</v>
      </c>
      <c r="M949" t="str">
        <f t="shared" si="42"/>
        <v>Open</v>
      </c>
      <c r="N949" s="24"/>
      <c r="O949">
        <f t="shared" ca="1" si="43"/>
        <v>46113</v>
      </c>
      <c r="P949" t="str">
        <f t="shared" ca="1" si="44"/>
        <v>YES</v>
      </c>
      <c r="Q949">
        <f>Weekly_Inspections!$AW949</f>
        <v>0</v>
      </c>
    </row>
    <row r="950" spans="1:17" ht="15" customHeight="1" x14ac:dyDescent="0.2">
      <c r="A950" t="str">
        <f>IF(Weekly_Inspections!$B950="","",Weekly_Inspections!$A950&amp;"-A1")</f>
        <v/>
      </c>
      <c r="B950" s="24">
        <f>Weekly_Inspections!$B950</f>
        <v>0</v>
      </c>
      <c r="C950">
        <f>Weekly_Inspections!$E950</f>
        <v>0</v>
      </c>
      <c r="D950">
        <f>Weekly_Inspections!$F950</f>
        <v>0</v>
      </c>
      <c r="E950" t="str">
        <f>Weekly_Inspections!$H950</f>
        <v/>
      </c>
      <c r="F950">
        <f>IF(Weekly_Inspections!$AX950&lt;&gt;"",Weekly_Inspections!$AX950,IF(Weekly_Inspections!$AY950&lt;&gt;"",Weekly_Inspections!$AY950,IF(Weekly_Inspections!$AZ950&lt;&gt;"",Weekly_Inspections!$AZ950,IF(Weekly_Inspections!$BA950&lt;&gt;"",Weekly_Inspections!$BA950,IF(Weekly_Inspections!$BB950&lt;&gt;"",Weekly_Inspections!$BB950,Weekly_Inspections!$R950)))))</f>
        <v>0</v>
      </c>
      <c r="G950" t="str">
        <f>IF(OR(Weekly_Inspections!$AQ950&lt;&gt;"",Weekly_Inspections!$AR950&lt;&gt;"",Weekly_Inspections!$AS950&lt;&gt;""),Weekly_Inspections!$AQ950,"")</f>
        <v/>
      </c>
      <c r="H950">
        <f>Weekly_Inspections!$AP950</f>
        <v>0</v>
      </c>
      <c r="I950">
        <f>Weekly_Inspections!$AR950</f>
        <v>0</v>
      </c>
      <c r="J950">
        <f>Weekly_Inspections!$AS950</f>
        <v>0</v>
      </c>
      <c r="K950">
        <f>Weekly_Inspections!$AU950</f>
        <v>0</v>
      </c>
      <c r="L950" s="24">
        <f>Weekly_Inspections!$AV950</f>
        <v>0</v>
      </c>
      <c r="M950" t="str">
        <f t="shared" si="42"/>
        <v>Open</v>
      </c>
      <c r="N950" s="24"/>
      <c r="O950">
        <f t="shared" ca="1" si="43"/>
        <v>46113</v>
      </c>
      <c r="P950" t="str">
        <f t="shared" ca="1" si="44"/>
        <v>YES</v>
      </c>
      <c r="Q950">
        <f>Weekly_Inspections!$AW950</f>
        <v>0</v>
      </c>
    </row>
    <row r="951" spans="1:17" ht="15" customHeight="1" x14ac:dyDescent="0.2">
      <c r="A951" t="str">
        <f>IF(Weekly_Inspections!$B951="","",Weekly_Inspections!$A951&amp;"-A1")</f>
        <v/>
      </c>
      <c r="B951" s="24">
        <f>Weekly_Inspections!$B951</f>
        <v>0</v>
      </c>
      <c r="C951">
        <f>Weekly_Inspections!$E951</f>
        <v>0</v>
      </c>
      <c r="D951">
        <f>Weekly_Inspections!$F951</f>
        <v>0</v>
      </c>
      <c r="E951" t="str">
        <f>Weekly_Inspections!$H951</f>
        <v/>
      </c>
      <c r="F951">
        <f>IF(Weekly_Inspections!$AX951&lt;&gt;"",Weekly_Inspections!$AX951,IF(Weekly_Inspections!$AY951&lt;&gt;"",Weekly_Inspections!$AY951,IF(Weekly_Inspections!$AZ951&lt;&gt;"",Weekly_Inspections!$AZ951,IF(Weekly_Inspections!$BA951&lt;&gt;"",Weekly_Inspections!$BA951,IF(Weekly_Inspections!$BB951&lt;&gt;"",Weekly_Inspections!$BB951,Weekly_Inspections!$R951)))))</f>
        <v>0</v>
      </c>
      <c r="G951" t="str">
        <f>IF(OR(Weekly_Inspections!$AQ951&lt;&gt;"",Weekly_Inspections!$AR951&lt;&gt;"",Weekly_Inspections!$AS951&lt;&gt;""),Weekly_Inspections!$AQ951,"")</f>
        <v/>
      </c>
      <c r="H951">
        <f>Weekly_Inspections!$AP951</f>
        <v>0</v>
      </c>
      <c r="I951">
        <f>Weekly_Inspections!$AR951</f>
        <v>0</v>
      </c>
      <c r="J951">
        <f>Weekly_Inspections!$AS951</f>
        <v>0</v>
      </c>
      <c r="K951">
        <f>Weekly_Inspections!$AU951</f>
        <v>0</v>
      </c>
      <c r="L951" s="24">
        <f>Weekly_Inspections!$AV951</f>
        <v>0</v>
      </c>
      <c r="M951" t="str">
        <f t="shared" si="42"/>
        <v>Open</v>
      </c>
      <c r="N951" s="24"/>
      <c r="O951">
        <f t="shared" ca="1" si="43"/>
        <v>46113</v>
      </c>
      <c r="P951" t="str">
        <f t="shared" ca="1" si="44"/>
        <v>YES</v>
      </c>
      <c r="Q951">
        <f>Weekly_Inspections!$AW951</f>
        <v>0</v>
      </c>
    </row>
    <row r="952" spans="1:17" ht="15" customHeight="1" x14ac:dyDescent="0.2">
      <c r="A952" t="str">
        <f>IF(Weekly_Inspections!$B952="","",Weekly_Inspections!$A952&amp;"-A1")</f>
        <v/>
      </c>
      <c r="B952" s="24">
        <f>Weekly_Inspections!$B952</f>
        <v>0</v>
      </c>
      <c r="C952">
        <f>Weekly_Inspections!$E952</f>
        <v>0</v>
      </c>
      <c r="D952">
        <f>Weekly_Inspections!$F952</f>
        <v>0</v>
      </c>
      <c r="E952" t="str">
        <f>Weekly_Inspections!$H952</f>
        <v/>
      </c>
      <c r="F952">
        <f>IF(Weekly_Inspections!$AX952&lt;&gt;"",Weekly_Inspections!$AX952,IF(Weekly_Inspections!$AY952&lt;&gt;"",Weekly_Inspections!$AY952,IF(Weekly_Inspections!$AZ952&lt;&gt;"",Weekly_Inspections!$AZ952,IF(Weekly_Inspections!$BA952&lt;&gt;"",Weekly_Inspections!$BA952,IF(Weekly_Inspections!$BB952&lt;&gt;"",Weekly_Inspections!$BB952,Weekly_Inspections!$R952)))))</f>
        <v>0</v>
      </c>
      <c r="G952" t="str">
        <f>IF(OR(Weekly_Inspections!$AQ952&lt;&gt;"",Weekly_Inspections!$AR952&lt;&gt;"",Weekly_Inspections!$AS952&lt;&gt;""),Weekly_Inspections!$AQ952,"")</f>
        <v/>
      </c>
      <c r="H952">
        <f>Weekly_Inspections!$AP952</f>
        <v>0</v>
      </c>
      <c r="I952">
        <f>Weekly_Inspections!$AR952</f>
        <v>0</v>
      </c>
      <c r="J952">
        <f>Weekly_Inspections!$AS952</f>
        <v>0</v>
      </c>
      <c r="K952">
        <f>Weekly_Inspections!$AU952</f>
        <v>0</v>
      </c>
      <c r="L952" s="24">
        <f>Weekly_Inspections!$AV952</f>
        <v>0</v>
      </c>
      <c r="M952" t="str">
        <f t="shared" si="42"/>
        <v>Open</v>
      </c>
      <c r="N952" s="24"/>
      <c r="O952">
        <f t="shared" ca="1" si="43"/>
        <v>46113</v>
      </c>
      <c r="P952" t="str">
        <f t="shared" ca="1" si="44"/>
        <v>YES</v>
      </c>
      <c r="Q952">
        <f>Weekly_Inspections!$AW952</f>
        <v>0</v>
      </c>
    </row>
    <row r="953" spans="1:17" ht="15" customHeight="1" x14ac:dyDescent="0.2">
      <c r="A953" t="str">
        <f>IF(Weekly_Inspections!$B953="","",Weekly_Inspections!$A953&amp;"-A1")</f>
        <v/>
      </c>
      <c r="B953" s="24">
        <f>Weekly_Inspections!$B953</f>
        <v>0</v>
      </c>
      <c r="C953">
        <f>Weekly_Inspections!$E953</f>
        <v>0</v>
      </c>
      <c r="D953">
        <f>Weekly_Inspections!$F953</f>
        <v>0</v>
      </c>
      <c r="E953" t="str">
        <f>Weekly_Inspections!$H953</f>
        <v/>
      </c>
      <c r="F953">
        <f>IF(Weekly_Inspections!$AX953&lt;&gt;"",Weekly_Inspections!$AX953,IF(Weekly_Inspections!$AY953&lt;&gt;"",Weekly_Inspections!$AY953,IF(Weekly_Inspections!$AZ953&lt;&gt;"",Weekly_Inspections!$AZ953,IF(Weekly_Inspections!$BA953&lt;&gt;"",Weekly_Inspections!$BA953,IF(Weekly_Inspections!$BB953&lt;&gt;"",Weekly_Inspections!$BB953,Weekly_Inspections!$R953)))))</f>
        <v>0</v>
      </c>
      <c r="G953" t="str">
        <f>IF(OR(Weekly_Inspections!$AQ953&lt;&gt;"",Weekly_Inspections!$AR953&lt;&gt;"",Weekly_Inspections!$AS953&lt;&gt;""),Weekly_Inspections!$AQ953,"")</f>
        <v/>
      </c>
      <c r="H953">
        <f>Weekly_Inspections!$AP953</f>
        <v>0</v>
      </c>
      <c r="I953">
        <f>Weekly_Inspections!$AR953</f>
        <v>0</v>
      </c>
      <c r="J953">
        <f>Weekly_Inspections!$AS953</f>
        <v>0</v>
      </c>
      <c r="K953">
        <f>Weekly_Inspections!$AU953</f>
        <v>0</v>
      </c>
      <c r="L953" s="24">
        <f>Weekly_Inspections!$AV953</f>
        <v>0</v>
      </c>
      <c r="M953" t="str">
        <f t="shared" si="42"/>
        <v>Open</v>
      </c>
      <c r="N953" s="24"/>
      <c r="O953">
        <f t="shared" ca="1" si="43"/>
        <v>46113</v>
      </c>
      <c r="P953" t="str">
        <f t="shared" ca="1" si="44"/>
        <v>YES</v>
      </c>
      <c r="Q953">
        <f>Weekly_Inspections!$AW953</f>
        <v>0</v>
      </c>
    </row>
    <row r="954" spans="1:17" ht="15" customHeight="1" x14ac:dyDescent="0.2">
      <c r="A954" t="str">
        <f>IF(Weekly_Inspections!$B954="","",Weekly_Inspections!$A954&amp;"-A1")</f>
        <v/>
      </c>
      <c r="B954" s="24">
        <f>Weekly_Inspections!$B954</f>
        <v>0</v>
      </c>
      <c r="C954">
        <f>Weekly_Inspections!$E954</f>
        <v>0</v>
      </c>
      <c r="D954">
        <f>Weekly_Inspections!$F954</f>
        <v>0</v>
      </c>
      <c r="E954" t="str">
        <f>Weekly_Inspections!$H954</f>
        <v/>
      </c>
      <c r="F954">
        <f>IF(Weekly_Inspections!$AX954&lt;&gt;"",Weekly_Inspections!$AX954,IF(Weekly_Inspections!$AY954&lt;&gt;"",Weekly_Inspections!$AY954,IF(Weekly_Inspections!$AZ954&lt;&gt;"",Weekly_Inspections!$AZ954,IF(Weekly_Inspections!$BA954&lt;&gt;"",Weekly_Inspections!$BA954,IF(Weekly_Inspections!$BB954&lt;&gt;"",Weekly_Inspections!$BB954,Weekly_Inspections!$R954)))))</f>
        <v>0</v>
      </c>
      <c r="G954" t="str">
        <f>IF(OR(Weekly_Inspections!$AQ954&lt;&gt;"",Weekly_Inspections!$AR954&lt;&gt;"",Weekly_Inspections!$AS954&lt;&gt;""),Weekly_Inspections!$AQ954,"")</f>
        <v/>
      </c>
      <c r="H954">
        <f>Weekly_Inspections!$AP954</f>
        <v>0</v>
      </c>
      <c r="I954">
        <f>Weekly_Inspections!$AR954</f>
        <v>0</v>
      </c>
      <c r="J954">
        <f>Weekly_Inspections!$AS954</f>
        <v>0</v>
      </c>
      <c r="K954">
        <f>Weekly_Inspections!$AU954</f>
        <v>0</v>
      </c>
      <c r="L954" s="24">
        <f>Weekly_Inspections!$AV954</f>
        <v>0</v>
      </c>
      <c r="M954" t="str">
        <f t="shared" si="42"/>
        <v>Open</v>
      </c>
      <c r="N954" s="24"/>
      <c r="O954">
        <f t="shared" ca="1" si="43"/>
        <v>46113</v>
      </c>
      <c r="P954" t="str">
        <f t="shared" ca="1" si="44"/>
        <v>YES</v>
      </c>
      <c r="Q954">
        <f>Weekly_Inspections!$AW954</f>
        <v>0</v>
      </c>
    </row>
    <row r="955" spans="1:17" ht="15" customHeight="1" x14ac:dyDescent="0.2">
      <c r="A955" t="str">
        <f>IF(Weekly_Inspections!$B955="","",Weekly_Inspections!$A955&amp;"-A1")</f>
        <v/>
      </c>
      <c r="B955" s="24">
        <f>Weekly_Inspections!$B955</f>
        <v>0</v>
      </c>
      <c r="C955">
        <f>Weekly_Inspections!$E955</f>
        <v>0</v>
      </c>
      <c r="D955">
        <f>Weekly_Inspections!$F955</f>
        <v>0</v>
      </c>
      <c r="E955" t="str">
        <f>Weekly_Inspections!$H955</f>
        <v/>
      </c>
      <c r="F955">
        <f>IF(Weekly_Inspections!$AX955&lt;&gt;"",Weekly_Inspections!$AX955,IF(Weekly_Inspections!$AY955&lt;&gt;"",Weekly_Inspections!$AY955,IF(Weekly_Inspections!$AZ955&lt;&gt;"",Weekly_Inspections!$AZ955,IF(Weekly_Inspections!$BA955&lt;&gt;"",Weekly_Inspections!$BA955,IF(Weekly_Inspections!$BB955&lt;&gt;"",Weekly_Inspections!$BB955,Weekly_Inspections!$R955)))))</f>
        <v>0</v>
      </c>
      <c r="G955" t="str">
        <f>IF(OR(Weekly_Inspections!$AQ955&lt;&gt;"",Weekly_Inspections!$AR955&lt;&gt;"",Weekly_Inspections!$AS955&lt;&gt;""),Weekly_Inspections!$AQ955,"")</f>
        <v/>
      </c>
      <c r="H955">
        <f>Weekly_Inspections!$AP955</f>
        <v>0</v>
      </c>
      <c r="I955">
        <f>Weekly_Inspections!$AR955</f>
        <v>0</v>
      </c>
      <c r="J955">
        <f>Weekly_Inspections!$AS955</f>
        <v>0</v>
      </c>
      <c r="K955">
        <f>Weekly_Inspections!$AU955</f>
        <v>0</v>
      </c>
      <c r="L955" s="24">
        <f>Weekly_Inspections!$AV955</f>
        <v>0</v>
      </c>
      <c r="M955" t="str">
        <f t="shared" si="42"/>
        <v>Open</v>
      </c>
      <c r="N955" s="24"/>
      <c r="O955">
        <f t="shared" ca="1" si="43"/>
        <v>46113</v>
      </c>
      <c r="P955" t="str">
        <f t="shared" ca="1" si="44"/>
        <v>YES</v>
      </c>
      <c r="Q955">
        <f>Weekly_Inspections!$AW955</f>
        <v>0</v>
      </c>
    </row>
    <row r="956" spans="1:17" ht="15" customHeight="1" x14ac:dyDescent="0.2">
      <c r="A956" t="str">
        <f>IF(Weekly_Inspections!$B956="","",Weekly_Inspections!$A956&amp;"-A1")</f>
        <v/>
      </c>
      <c r="B956" s="24">
        <f>Weekly_Inspections!$B956</f>
        <v>0</v>
      </c>
      <c r="C956">
        <f>Weekly_Inspections!$E956</f>
        <v>0</v>
      </c>
      <c r="D956">
        <f>Weekly_Inspections!$F956</f>
        <v>0</v>
      </c>
      <c r="E956" t="str">
        <f>Weekly_Inspections!$H956</f>
        <v/>
      </c>
      <c r="F956">
        <f>IF(Weekly_Inspections!$AX956&lt;&gt;"",Weekly_Inspections!$AX956,IF(Weekly_Inspections!$AY956&lt;&gt;"",Weekly_Inspections!$AY956,IF(Weekly_Inspections!$AZ956&lt;&gt;"",Weekly_Inspections!$AZ956,IF(Weekly_Inspections!$BA956&lt;&gt;"",Weekly_Inspections!$BA956,IF(Weekly_Inspections!$BB956&lt;&gt;"",Weekly_Inspections!$BB956,Weekly_Inspections!$R956)))))</f>
        <v>0</v>
      </c>
      <c r="G956" t="str">
        <f>IF(OR(Weekly_Inspections!$AQ956&lt;&gt;"",Weekly_Inspections!$AR956&lt;&gt;"",Weekly_Inspections!$AS956&lt;&gt;""),Weekly_Inspections!$AQ956,"")</f>
        <v/>
      </c>
      <c r="H956">
        <f>Weekly_Inspections!$AP956</f>
        <v>0</v>
      </c>
      <c r="I956">
        <f>Weekly_Inspections!$AR956</f>
        <v>0</v>
      </c>
      <c r="J956">
        <f>Weekly_Inspections!$AS956</f>
        <v>0</v>
      </c>
      <c r="K956">
        <f>Weekly_Inspections!$AU956</f>
        <v>0</v>
      </c>
      <c r="L956" s="24">
        <f>Weekly_Inspections!$AV956</f>
        <v>0</v>
      </c>
      <c r="M956" t="str">
        <f t="shared" si="42"/>
        <v>Open</v>
      </c>
      <c r="N956" s="24"/>
      <c r="O956">
        <f t="shared" ca="1" si="43"/>
        <v>46113</v>
      </c>
      <c r="P956" t="str">
        <f t="shared" ca="1" si="44"/>
        <v>YES</v>
      </c>
      <c r="Q956">
        <f>Weekly_Inspections!$AW956</f>
        <v>0</v>
      </c>
    </row>
    <row r="957" spans="1:17" ht="15" customHeight="1" x14ac:dyDescent="0.2">
      <c r="A957" t="str">
        <f>IF(Weekly_Inspections!$B957="","",Weekly_Inspections!$A957&amp;"-A1")</f>
        <v/>
      </c>
      <c r="B957" s="24">
        <f>Weekly_Inspections!$B957</f>
        <v>0</v>
      </c>
      <c r="C957">
        <f>Weekly_Inspections!$E957</f>
        <v>0</v>
      </c>
      <c r="D957">
        <f>Weekly_Inspections!$F957</f>
        <v>0</v>
      </c>
      <c r="E957" t="str">
        <f>Weekly_Inspections!$H957</f>
        <v/>
      </c>
      <c r="F957">
        <f>IF(Weekly_Inspections!$AX957&lt;&gt;"",Weekly_Inspections!$AX957,IF(Weekly_Inspections!$AY957&lt;&gt;"",Weekly_Inspections!$AY957,IF(Weekly_Inspections!$AZ957&lt;&gt;"",Weekly_Inspections!$AZ957,IF(Weekly_Inspections!$BA957&lt;&gt;"",Weekly_Inspections!$BA957,IF(Weekly_Inspections!$BB957&lt;&gt;"",Weekly_Inspections!$BB957,Weekly_Inspections!$R957)))))</f>
        <v>0</v>
      </c>
      <c r="G957" t="str">
        <f>IF(OR(Weekly_Inspections!$AQ957&lt;&gt;"",Weekly_Inspections!$AR957&lt;&gt;"",Weekly_Inspections!$AS957&lt;&gt;""),Weekly_Inspections!$AQ957,"")</f>
        <v/>
      </c>
      <c r="H957">
        <f>Weekly_Inspections!$AP957</f>
        <v>0</v>
      </c>
      <c r="I957">
        <f>Weekly_Inspections!$AR957</f>
        <v>0</v>
      </c>
      <c r="J957">
        <f>Weekly_Inspections!$AS957</f>
        <v>0</v>
      </c>
      <c r="K957">
        <f>Weekly_Inspections!$AU957</f>
        <v>0</v>
      </c>
      <c r="L957" s="24">
        <f>Weekly_Inspections!$AV957</f>
        <v>0</v>
      </c>
      <c r="M957" t="str">
        <f t="shared" si="42"/>
        <v>Open</v>
      </c>
      <c r="N957" s="24"/>
      <c r="O957">
        <f t="shared" ca="1" si="43"/>
        <v>46113</v>
      </c>
      <c r="P957" t="str">
        <f t="shared" ca="1" si="44"/>
        <v>YES</v>
      </c>
      <c r="Q957">
        <f>Weekly_Inspections!$AW957</f>
        <v>0</v>
      </c>
    </row>
    <row r="958" spans="1:17" ht="15" customHeight="1" x14ac:dyDescent="0.2">
      <c r="A958" t="str">
        <f>IF(Weekly_Inspections!$B958="","",Weekly_Inspections!$A958&amp;"-A1")</f>
        <v/>
      </c>
      <c r="B958" s="24">
        <f>Weekly_Inspections!$B958</f>
        <v>0</v>
      </c>
      <c r="C958">
        <f>Weekly_Inspections!$E958</f>
        <v>0</v>
      </c>
      <c r="D958">
        <f>Weekly_Inspections!$F958</f>
        <v>0</v>
      </c>
      <c r="E958" t="str">
        <f>Weekly_Inspections!$H958</f>
        <v/>
      </c>
      <c r="F958">
        <f>IF(Weekly_Inspections!$AX958&lt;&gt;"",Weekly_Inspections!$AX958,IF(Weekly_Inspections!$AY958&lt;&gt;"",Weekly_Inspections!$AY958,IF(Weekly_Inspections!$AZ958&lt;&gt;"",Weekly_Inspections!$AZ958,IF(Weekly_Inspections!$BA958&lt;&gt;"",Weekly_Inspections!$BA958,IF(Weekly_Inspections!$BB958&lt;&gt;"",Weekly_Inspections!$BB958,Weekly_Inspections!$R958)))))</f>
        <v>0</v>
      </c>
      <c r="G958" t="str">
        <f>IF(OR(Weekly_Inspections!$AQ958&lt;&gt;"",Weekly_Inspections!$AR958&lt;&gt;"",Weekly_Inspections!$AS958&lt;&gt;""),Weekly_Inspections!$AQ958,"")</f>
        <v/>
      </c>
      <c r="H958">
        <f>Weekly_Inspections!$AP958</f>
        <v>0</v>
      </c>
      <c r="I958">
        <f>Weekly_Inspections!$AR958</f>
        <v>0</v>
      </c>
      <c r="J958">
        <f>Weekly_Inspections!$AS958</f>
        <v>0</v>
      </c>
      <c r="K958">
        <f>Weekly_Inspections!$AU958</f>
        <v>0</v>
      </c>
      <c r="L958" s="24">
        <f>Weekly_Inspections!$AV958</f>
        <v>0</v>
      </c>
      <c r="M958" t="str">
        <f t="shared" si="42"/>
        <v>Open</v>
      </c>
      <c r="N958" s="24"/>
      <c r="O958">
        <f t="shared" ca="1" si="43"/>
        <v>46113</v>
      </c>
      <c r="P958" t="str">
        <f t="shared" ca="1" si="44"/>
        <v>YES</v>
      </c>
      <c r="Q958">
        <f>Weekly_Inspections!$AW958</f>
        <v>0</v>
      </c>
    </row>
    <row r="959" spans="1:17" ht="15" customHeight="1" x14ac:dyDescent="0.2">
      <c r="A959" t="str">
        <f>IF(Weekly_Inspections!$B959="","",Weekly_Inspections!$A959&amp;"-A1")</f>
        <v/>
      </c>
      <c r="B959" s="24">
        <f>Weekly_Inspections!$B959</f>
        <v>0</v>
      </c>
      <c r="C959">
        <f>Weekly_Inspections!$E959</f>
        <v>0</v>
      </c>
      <c r="D959">
        <f>Weekly_Inspections!$F959</f>
        <v>0</v>
      </c>
      <c r="E959" t="str">
        <f>Weekly_Inspections!$H959</f>
        <v/>
      </c>
      <c r="F959">
        <f>IF(Weekly_Inspections!$AX959&lt;&gt;"",Weekly_Inspections!$AX959,IF(Weekly_Inspections!$AY959&lt;&gt;"",Weekly_Inspections!$AY959,IF(Weekly_Inspections!$AZ959&lt;&gt;"",Weekly_Inspections!$AZ959,IF(Weekly_Inspections!$BA959&lt;&gt;"",Weekly_Inspections!$BA959,IF(Weekly_Inspections!$BB959&lt;&gt;"",Weekly_Inspections!$BB959,Weekly_Inspections!$R959)))))</f>
        <v>0</v>
      </c>
      <c r="G959" t="str">
        <f>IF(OR(Weekly_Inspections!$AQ959&lt;&gt;"",Weekly_Inspections!$AR959&lt;&gt;"",Weekly_Inspections!$AS959&lt;&gt;""),Weekly_Inspections!$AQ959,"")</f>
        <v/>
      </c>
      <c r="H959">
        <f>Weekly_Inspections!$AP959</f>
        <v>0</v>
      </c>
      <c r="I959">
        <f>Weekly_Inspections!$AR959</f>
        <v>0</v>
      </c>
      <c r="J959">
        <f>Weekly_Inspections!$AS959</f>
        <v>0</v>
      </c>
      <c r="K959">
        <f>Weekly_Inspections!$AU959</f>
        <v>0</v>
      </c>
      <c r="L959" s="24">
        <f>Weekly_Inspections!$AV959</f>
        <v>0</v>
      </c>
      <c r="M959" t="str">
        <f t="shared" si="42"/>
        <v>Open</v>
      </c>
      <c r="N959" s="24"/>
      <c r="O959">
        <f t="shared" ca="1" si="43"/>
        <v>46113</v>
      </c>
      <c r="P959" t="str">
        <f t="shared" ca="1" si="44"/>
        <v>YES</v>
      </c>
      <c r="Q959">
        <f>Weekly_Inspections!$AW959</f>
        <v>0</v>
      </c>
    </row>
    <row r="960" spans="1:17" ht="15" customHeight="1" x14ac:dyDescent="0.2">
      <c r="A960" t="str">
        <f>IF(Weekly_Inspections!$B960="","",Weekly_Inspections!$A960&amp;"-A1")</f>
        <v/>
      </c>
      <c r="B960" s="24">
        <f>Weekly_Inspections!$B960</f>
        <v>0</v>
      </c>
      <c r="C960">
        <f>Weekly_Inspections!$E960</f>
        <v>0</v>
      </c>
      <c r="D960">
        <f>Weekly_Inspections!$F960</f>
        <v>0</v>
      </c>
      <c r="E960" t="str">
        <f>Weekly_Inspections!$H960</f>
        <v/>
      </c>
      <c r="F960">
        <f>IF(Weekly_Inspections!$AX960&lt;&gt;"",Weekly_Inspections!$AX960,IF(Weekly_Inspections!$AY960&lt;&gt;"",Weekly_Inspections!$AY960,IF(Weekly_Inspections!$AZ960&lt;&gt;"",Weekly_Inspections!$AZ960,IF(Weekly_Inspections!$BA960&lt;&gt;"",Weekly_Inspections!$BA960,IF(Weekly_Inspections!$BB960&lt;&gt;"",Weekly_Inspections!$BB960,Weekly_Inspections!$R960)))))</f>
        <v>0</v>
      </c>
      <c r="G960" t="str">
        <f>IF(OR(Weekly_Inspections!$AQ960&lt;&gt;"",Weekly_Inspections!$AR960&lt;&gt;"",Weekly_Inspections!$AS960&lt;&gt;""),Weekly_Inspections!$AQ960,"")</f>
        <v/>
      </c>
      <c r="H960">
        <f>Weekly_Inspections!$AP960</f>
        <v>0</v>
      </c>
      <c r="I960">
        <f>Weekly_Inspections!$AR960</f>
        <v>0</v>
      </c>
      <c r="J960">
        <f>Weekly_Inspections!$AS960</f>
        <v>0</v>
      </c>
      <c r="K960">
        <f>Weekly_Inspections!$AU960</f>
        <v>0</v>
      </c>
      <c r="L960" s="24">
        <f>Weekly_Inspections!$AV960</f>
        <v>0</v>
      </c>
      <c r="M960" t="str">
        <f t="shared" ref="M960:M996" si="45">IF($B960="","",IF($N960&lt;&gt;"","Closed",IF(OR($G960&lt;&gt;"",$I960&lt;&gt;"",$J960&lt;&gt;""),"Open","")))</f>
        <v>Open</v>
      </c>
      <c r="N960" s="24"/>
      <c r="O960">
        <f t="shared" ref="O960:O996" ca="1" si="46">IF($B960="","",IF($M960="Closed",IF($N960="","",$N960-$B960),TODAY()-$B960))</f>
        <v>46113</v>
      </c>
      <c r="P960" t="str">
        <f t="shared" ref="P960:P996" ca="1" si="47">IF(OR($B960="",$L960="",$M960="Closed"),"",IF(TODAY()&gt;$L960,"YES","NO"))</f>
        <v>YES</v>
      </c>
      <c r="Q960">
        <f>Weekly_Inspections!$AW960</f>
        <v>0</v>
      </c>
    </row>
    <row r="961" spans="1:17" ht="15" customHeight="1" x14ac:dyDescent="0.2">
      <c r="A961" t="str">
        <f>IF(Weekly_Inspections!$B961="","",Weekly_Inspections!$A961&amp;"-A1")</f>
        <v/>
      </c>
      <c r="B961" s="24">
        <f>Weekly_Inspections!$B961</f>
        <v>0</v>
      </c>
      <c r="C961">
        <f>Weekly_Inspections!$E961</f>
        <v>0</v>
      </c>
      <c r="D961">
        <f>Weekly_Inspections!$F961</f>
        <v>0</v>
      </c>
      <c r="E961" t="str">
        <f>Weekly_Inspections!$H961</f>
        <v/>
      </c>
      <c r="F961">
        <f>IF(Weekly_Inspections!$AX961&lt;&gt;"",Weekly_Inspections!$AX961,IF(Weekly_Inspections!$AY961&lt;&gt;"",Weekly_Inspections!$AY961,IF(Weekly_Inspections!$AZ961&lt;&gt;"",Weekly_Inspections!$AZ961,IF(Weekly_Inspections!$BA961&lt;&gt;"",Weekly_Inspections!$BA961,IF(Weekly_Inspections!$BB961&lt;&gt;"",Weekly_Inspections!$BB961,Weekly_Inspections!$R961)))))</f>
        <v>0</v>
      </c>
      <c r="G961" t="str">
        <f>IF(OR(Weekly_Inspections!$AQ961&lt;&gt;"",Weekly_Inspections!$AR961&lt;&gt;"",Weekly_Inspections!$AS961&lt;&gt;""),Weekly_Inspections!$AQ961,"")</f>
        <v/>
      </c>
      <c r="H961">
        <f>Weekly_Inspections!$AP961</f>
        <v>0</v>
      </c>
      <c r="I961">
        <f>Weekly_Inspections!$AR961</f>
        <v>0</v>
      </c>
      <c r="J961">
        <f>Weekly_Inspections!$AS961</f>
        <v>0</v>
      </c>
      <c r="K961">
        <f>Weekly_Inspections!$AU961</f>
        <v>0</v>
      </c>
      <c r="L961" s="24">
        <f>Weekly_Inspections!$AV961</f>
        <v>0</v>
      </c>
      <c r="M961" t="str">
        <f t="shared" si="45"/>
        <v>Open</v>
      </c>
      <c r="N961" s="24"/>
      <c r="O961">
        <f t="shared" ca="1" si="46"/>
        <v>46113</v>
      </c>
      <c r="P961" t="str">
        <f t="shared" ca="1" si="47"/>
        <v>YES</v>
      </c>
      <c r="Q961">
        <f>Weekly_Inspections!$AW961</f>
        <v>0</v>
      </c>
    </row>
    <row r="962" spans="1:17" ht="15" customHeight="1" x14ac:dyDescent="0.2">
      <c r="A962" t="str">
        <f>IF(Weekly_Inspections!$B962="","",Weekly_Inspections!$A962&amp;"-A1")</f>
        <v/>
      </c>
      <c r="B962" s="24">
        <f>Weekly_Inspections!$B962</f>
        <v>0</v>
      </c>
      <c r="C962">
        <f>Weekly_Inspections!$E962</f>
        <v>0</v>
      </c>
      <c r="D962">
        <f>Weekly_Inspections!$F962</f>
        <v>0</v>
      </c>
      <c r="E962" t="str">
        <f>Weekly_Inspections!$H962</f>
        <v/>
      </c>
      <c r="F962">
        <f>IF(Weekly_Inspections!$AX962&lt;&gt;"",Weekly_Inspections!$AX962,IF(Weekly_Inspections!$AY962&lt;&gt;"",Weekly_Inspections!$AY962,IF(Weekly_Inspections!$AZ962&lt;&gt;"",Weekly_Inspections!$AZ962,IF(Weekly_Inspections!$BA962&lt;&gt;"",Weekly_Inspections!$BA962,IF(Weekly_Inspections!$BB962&lt;&gt;"",Weekly_Inspections!$BB962,Weekly_Inspections!$R962)))))</f>
        <v>0</v>
      </c>
      <c r="G962" t="str">
        <f>IF(OR(Weekly_Inspections!$AQ962&lt;&gt;"",Weekly_Inspections!$AR962&lt;&gt;"",Weekly_Inspections!$AS962&lt;&gt;""),Weekly_Inspections!$AQ962,"")</f>
        <v/>
      </c>
      <c r="H962">
        <f>Weekly_Inspections!$AP962</f>
        <v>0</v>
      </c>
      <c r="I962">
        <f>Weekly_Inspections!$AR962</f>
        <v>0</v>
      </c>
      <c r="J962">
        <f>Weekly_Inspections!$AS962</f>
        <v>0</v>
      </c>
      <c r="K962">
        <f>Weekly_Inspections!$AU962</f>
        <v>0</v>
      </c>
      <c r="L962" s="24">
        <f>Weekly_Inspections!$AV962</f>
        <v>0</v>
      </c>
      <c r="M962" t="str">
        <f t="shared" si="45"/>
        <v>Open</v>
      </c>
      <c r="N962" s="24"/>
      <c r="O962">
        <f t="shared" ca="1" si="46"/>
        <v>46113</v>
      </c>
      <c r="P962" t="str">
        <f t="shared" ca="1" si="47"/>
        <v>YES</v>
      </c>
      <c r="Q962">
        <f>Weekly_Inspections!$AW962</f>
        <v>0</v>
      </c>
    </row>
    <row r="963" spans="1:17" ht="15" customHeight="1" x14ac:dyDescent="0.2">
      <c r="A963" t="str">
        <f>IF(Weekly_Inspections!$B963="","",Weekly_Inspections!$A963&amp;"-A1")</f>
        <v/>
      </c>
      <c r="B963" s="24">
        <f>Weekly_Inspections!$B963</f>
        <v>0</v>
      </c>
      <c r="C963">
        <f>Weekly_Inspections!$E963</f>
        <v>0</v>
      </c>
      <c r="D963">
        <f>Weekly_Inspections!$F963</f>
        <v>0</v>
      </c>
      <c r="E963" t="str">
        <f>Weekly_Inspections!$H963</f>
        <v/>
      </c>
      <c r="F963">
        <f>IF(Weekly_Inspections!$AX963&lt;&gt;"",Weekly_Inspections!$AX963,IF(Weekly_Inspections!$AY963&lt;&gt;"",Weekly_Inspections!$AY963,IF(Weekly_Inspections!$AZ963&lt;&gt;"",Weekly_Inspections!$AZ963,IF(Weekly_Inspections!$BA963&lt;&gt;"",Weekly_Inspections!$BA963,IF(Weekly_Inspections!$BB963&lt;&gt;"",Weekly_Inspections!$BB963,Weekly_Inspections!$R963)))))</f>
        <v>0</v>
      </c>
      <c r="G963" t="str">
        <f>IF(OR(Weekly_Inspections!$AQ963&lt;&gt;"",Weekly_Inspections!$AR963&lt;&gt;"",Weekly_Inspections!$AS963&lt;&gt;""),Weekly_Inspections!$AQ963,"")</f>
        <v/>
      </c>
      <c r="H963">
        <f>Weekly_Inspections!$AP963</f>
        <v>0</v>
      </c>
      <c r="I963">
        <f>Weekly_Inspections!$AR963</f>
        <v>0</v>
      </c>
      <c r="J963">
        <f>Weekly_Inspections!$AS963</f>
        <v>0</v>
      </c>
      <c r="K963">
        <f>Weekly_Inspections!$AU963</f>
        <v>0</v>
      </c>
      <c r="L963" s="24">
        <f>Weekly_Inspections!$AV963</f>
        <v>0</v>
      </c>
      <c r="M963" t="str">
        <f t="shared" si="45"/>
        <v>Open</v>
      </c>
      <c r="N963" s="24"/>
      <c r="O963">
        <f t="shared" ca="1" si="46"/>
        <v>46113</v>
      </c>
      <c r="P963" t="str">
        <f t="shared" ca="1" si="47"/>
        <v>YES</v>
      </c>
      <c r="Q963">
        <f>Weekly_Inspections!$AW963</f>
        <v>0</v>
      </c>
    </row>
    <row r="964" spans="1:17" ht="15" customHeight="1" x14ac:dyDescent="0.2">
      <c r="A964" t="str">
        <f>IF(Weekly_Inspections!$B964="","",Weekly_Inspections!$A964&amp;"-A1")</f>
        <v/>
      </c>
      <c r="B964" s="24">
        <f>Weekly_Inspections!$B964</f>
        <v>0</v>
      </c>
      <c r="C964">
        <f>Weekly_Inspections!$E964</f>
        <v>0</v>
      </c>
      <c r="D964">
        <f>Weekly_Inspections!$F964</f>
        <v>0</v>
      </c>
      <c r="E964" t="str">
        <f>Weekly_Inspections!$H964</f>
        <v/>
      </c>
      <c r="F964">
        <f>IF(Weekly_Inspections!$AX964&lt;&gt;"",Weekly_Inspections!$AX964,IF(Weekly_Inspections!$AY964&lt;&gt;"",Weekly_Inspections!$AY964,IF(Weekly_Inspections!$AZ964&lt;&gt;"",Weekly_Inspections!$AZ964,IF(Weekly_Inspections!$BA964&lt;&gt;"",Weekly_Inspections!$BA964,IF(Weekly_Inspections!$BB964&lt;&gt;"",Weekly_Inspections!$BB964,Weekly_Inspections!$R964)))))</f>
        <v>0</v>
      </c>
      <c r="G964" t="str">
        <f>IF(OR(Weekly_Inspections!$AQ964&lt;&gt;"",Weekly_Inspections!$AR964&lt;&gt;"",Weekly_Inspections!$AS964&lt;&gt;""),Weekly_Inspections!$AQ964,"")</f>
        <v/>
      </c>
      <c r="H964">
        <f>Weekly_Inspections!$AP964</f>
        <v>0</v>
      </c>
      <c r="I964">
        <f>Weekly_Inspections!$AR964</f>
        <v>0</v>
      </c>
      <c r="J964">
        <f>Weekly_Inspections!$AS964</f>
        <v>0</v>
      </c>
      <c r="K964">
        <f>Weekly_Inspections!$AU964</f>
        <v>0</v>
      </c>
      <c r="L964" s="24">
        <f>Weekly_Inspections!$AV964</f>
        <v>0</v>
      </c>
      <c r="M964" t="str">
        <f t="shared" si="45"/>
        <v>Open</v>
      </c>
      <c r="N964" s="24"/>
      <c r="O964">
        <f t="shared" ca="1" si="46"/>
        <v>46113</v>
      </c>
      <c r="P964" t="str">
        <f t="shared" ca="1" si="47"/>
        <v>YES</v>
      </c>
      <c r="Q964">
        <f>Weekly_Inspections!$AW964</f>
        <v>0</v>
      </c>
    </row>
    <row r="965" spans="1:17" ht="15" customHeight="1" x14ac:dyDescent="0.2">
      <c r="A965" t="str">
        <f>IF(Weekly_Inspections!$B965="","",Weekly_Inspections!$A965&amp;"-A1")</f>
        <v/>
      </c>
      <c r="B965" s="24">
        <f>Weekly_Inspections!$B965</f>
        <v>0</v>
      </c>
      <c r="C965">
        <f>Weekly_Inspections!$E965</f>
        <v>0</v>
      </c>
      <c r="D965">
        <f>Weekly_Inspections!$F965</f>
        <v>0</v>
      </c>
      <c r="E965" t="str">
        <f>Weekly_Inspections!$H965</f>
        <v/>
      </c>
      <c r="F965">
        <f>IF(Weekly_Inspections!$AX965&lt;&gt;"",Weekly_Inspections!$AX965,IF(Weekly_Inspections!$AY965&lt;&gt;"",Weekly_Inspections!$AY965,IF(Weekly_Inspections!$AZ965&lt;&gt;"",Weekly_Inspections!$AZ965,IF(Weekly_Inspections!$BA965&lt;&gt;"",Weekly_Inspections!$BA965,IF(Weekly_Inspections!$BB965&lt;&gt;"",Weekly_Inspections!$BB965,Weekly_Inspections!$R965)))))</f>
        <v>0</v>
      </c>
      <c r="G965" t="str">
        <f>IF(OR(Weekly_Inspections!$AQ965&lt;&gt;"",Weekly_Inspections!$AR965&lt;&gt;"",Weekly_Inspections!$AS965&lt;&gt;""),Weekly_Inspections!$AQ965,"")</f>
        <v/>
      </c>
      <c r="H965">
        <f>Weekly_Inspections!$AP965</f>
        <v>0</v>
      </c>
      <c r="I965">
        <f>Weekly_Inspections!$AR965</f>
        <v>0</v>
      </c>
      <c r="J965">
        <f>Weekly_Inspections!$AS965</f>
        <v>0</v>
      </c>
      <c r="K965">
        <f>Weekly_Inspections!$AU965</f>
        <v>0</v>
      </c>
      <c r="L965" s="24">
        <f>Weekly_Inspections!$AV965</f>
        <v>0</v>
      </c>
      <c r="M965" t="str">
        <f t="shared" si="45"/>
        <v>Open</v>
      </c>
      <c r="N965" s="24"/>
      <c r="O965">
        <f t="shared" ca="1" si="46"/>
        <v>46113</v>
      </c>
      <c r="P965" t="str">
        <f t="shared" ca="1" si="47"/>
        <v>YES</v>
      </c>
      <c r="Q965">
        <f>Weekly_Inspections!$AW965</f>
        <v>0</v>
      </c>
    </row>
    <row r="966" spans="1:17" ht="15" customHeight="1" x14ac:dyDescent="0.2">
      <c r="A966" t="str">
        <f>IF(Weekly_Inspections!$B966="","",Weekly_Inspections!$A966&amp;"-A1")</f>
        <v/>
      </c>
      <c r="B966" s="24">
        <f>Weekly_Inspections!$B966</f>
        <v>0</v>
      </c>
      <c r="C966">
        <f>Weekly_Inspections!$E966</f>
        <v>0</v>
      </c>
      <c r="D966">
        <f>Weekly_Inspections!$F966</f>
        <v>0</v>
      </c>
      <c r="E966" t="str">
        <f>Weekly_Inspections!$H966</f>
        <v/>
      </c>
      <c r="F966">
        <f>IF(Weekly_Inspections!$AX966&lt;&gt;"",Weekly_Inspections!$AX966,IF(Weekly_Inspections!$AY966&lt;&gt;"",Weekly_Inspections!$AY966,IF(Weekly_Inspections!$AZ966&lt;&gt;"",Weekly_Inspections!$AZ966,IF(Weekly_Inspections!$BA966&lt;&gt;"",Weekly_Inspections!$BA966,IF(Weekly_Inspections!$BB966&lt;&gt;"",Weekly_Inspections!$BB966,Weekly_Inspections!$R966)))))</f>
        <v>0</v>
      </c>
      <c r="G966" t="str">
        <f>IF(OR(Weekly_Inspections!$AQ966&lt;&gt;"",Weekly_Inspections!$AR966&lt;&gt;"",Weekly_Inspections!$AS966&lt;&gt;""),Weekly_Inspections!$AQ966,"")</f>
        <v/>
      </c>
      <c r="H966">
        <f>Weekly_Inspections!$AP966</f>
        <v>0</v>
      </c>
      <c r="I966">
        <f>Weekly_Inspections!$AR966</f>
        <v>0</v>
      </c>
      <c r="J966">
        <f>Weekly_Inspections!$AS966</f>
        <v>0</v>
      </c>
      <c r="K966">
        <f>Weekly_Inspections!$AU966</f>
        <v>0</v>
      </c>
      <c r="L966" s="24">
        <f>Weekly_Inspections!$AV966</f>
        <v>0</v>
      </c>
      <c r="M966" t="str">
        <f t="shared" si="45"/>
        <v>Open</v>
      </c>
      <c r="N966" s="24"/>
      <c r="O966">
        <f t="shared" ca="1" si="46"/>
        <v>46113</v>
      </c>
      <c r="P966" t="str">
        <f t="shared" ca="1" si="47"/>
        <v>YES</v>
      </c>
      <c r="Q966">
        <f>Weekly_Inspections!$AW966</f>
        <v>0</v>
      </c>
    </row>
    <row r="967" spans="1:17" ht="15" customHeight="1" x14ac:dyDescent="0.2">
      <c r="A967" t="str">
        <f>IF(Weekly_Inspections!$B967="","",Weekly_Inspections!$A967&amp;"-A1")</f>
        <v/>
      </c>
      <c r="B967" s="24">
        <f>Weekly_Inspections!$B967</f>
        <v>0</v>
      </c>
      <c r="C967">
        <f>Weekly_Inspections!$E967</f>
        <v>0</v>
      </c>
      <c r="D967">
        <f>Weekly_Inspections!$F967</f>
        <v>0</v>
      </c>
      <c r="E967" t="str">
        <f>Weekly_Inspections!$H967</f>
        <v/>
      </c>
      <c r="F967">
        <f>IF(Weekly_Inspections!$AX967&lt;&gt;"",Weekly_Inspections!$AX967,IF(Weekly_Inspections!$AY967&lt;&gt;"",Weekly_Inspections!$AY967,IF(Weekly_Inspections!$AZ967&lt;&gt;"",Weekly_Inspections!$AZ967,IF(Weekly_Inspections!$BA967&lt;&gt;"",Weekly_Inspections!$BA967,IF(Weekly_Inspections!$BB967&lt;&gt;"",Weekly_Inspections!$BB967,Weekly_Inspections!$R967)))))</f>
        <v>0</v>
      </c>
      <c r="G967" t="str">
        <f>IF(OR(Weekly_Inspections!$AQ967&lt;&gt;"",Weekly_Inspections!$AR967&lt;&gt;"",Weekly_Inspections!$AS967&lt;&gt;""),Weekly_Inspections!$AQ967,"")</f>
        <v/>
      </c>
      <c r="H967">
        <f>Weekly_Inspections!$AP967</f>
        <v>0</v>
      </c>
      <c r="I967">
        <f>Weekly_Inspections!$AR967</f>
        <v>0</v>
      </c>
      <c r="J967">
        <f>Weekly_Inspections!$AS967</f>
        <v>0</v>
      </c>
      <c r="K967">
        <f>Weekly_Inspections!$AU967</f>
        <v>0</v>
      </c>
      <c r="L967" s="24">
        <f>Weekly_Inspections!$AV967</f>
        <v>0</v>
      </c>
      <c r="M967" t="str">
        <f t="shared" si="45"/>
        <v>Open</v>
      </c>
      <c r="N967" s="24"/>
      <c r="O967">
        <f t="shared" ca="1" si="46"/>
        <v>46113</v>
      </c>
      <c r="P967" t="str">
        <f t="shared" ca="1" si="47"/>
        <v>YES</v>
      </c>
      <c r="Q967">
        <f>Weekly_Inspections!$AW967</f>
        <v>0</v>
      </c>
    </row>
    <row r="968" spans="1:17" ht="15" customHeight="1" x14ac:dyDescent="0.2">
      <c r="A968" t="str">
        <f>IF(Weekly_Inspections!$B968="","",Weekly_Inspections!$A968&amp;"-A1")</f>
        <v/>
      </c>
      <c r="B968" s="24">
        <f>Weekly_Inspections!$B968</f>
        <v>0</v>
      </c>
      <c r="C968">
        <f>Weekly_Inspections!$E968</f>
        <v>0</v>
      </c>
      <c r="D968">
        <f>Weekly_Inspections!$F968</f>
        <v>0</v>
      </c>
      <c r="E968" t="str">
        <f>Weekly_Inspections!$H968</f>
        <v/>
      </c>
      <c r="F968">
        <f>IF(Weekly_Inspections!$AX968&lt;&gt;"",Weekly_Inspections!$AX968,IF(Weekly_Inspections!$AY968&lt;&gt;"",Weekly_Inspections!$AY968,IF(Weekly_Inspections!$AZ968&lt;&gt;"",Weekly_Inspections!$AZ968,IF(Weekly_Inspections!$BA968&lt;&gt;"",Weekly_Inspections!$BA968,IF(Weekly_Inspections!$BB968&lt;&gt;"",Weekly_Inspections!$BB968,Weekly_Inspections!$R968)))))</f>
        <v>0</v>
      </c>
      <c r="G968" t="str">
        <f>IF(OR(Weekly_Inspections!$AQ968&lt;&gt;"",Weekly_Inspections!$AR968&lt;&gt;"",Weekly_Inspections!$AS968&lt;&gt;""),Weekly_Inspections!$AQ968,"")</f>
        <v/>
      </c>
      <c r="H968">
        <f>Weekly_Inspections!$AP968</f>
        <v>0</v>
      </c>
      <c r="I968">
        <f>Weekly_Inspections!$AR968</f>
        <v>0</v>
      </c>
      <c r="J968">
        <f>Weekly_Inspections!$AS968</f>
        <v>0</v>
      </c>
      <c r="K968">
        <f>Weekly_Inspections!$AU968</f>
        <v>0</v>
      </c>
      <c r="L968" s="24">
        <f>Weekly_Inspections!$AV968</f>
        <v>0</v>
      </c>
      <c r="M968" t="str">
        <f t="shared" si="45"/>
        <v>Open</v>
      </c>
      <c r="N968" s="24"/>
      <c r="O968">
        <f t="shared" ca="1" si="46"/>
        <v>46113</v>
      </c>
      <c r="P968" t="str">
        <f t="shared" ca="1" si="47"/>
        <v>YES</v>
      </c>
      <c r="Q968">
        <f>Weekly_Inspections!$AW968</f>
        <v>0</v>
      </c>
    </row>
    <row r="969" spans="1:17" ht="15" customHeight="1" x14ac:dyDescent="0.2">
      <c r="A969" t="str">
        <f>IF(Weekly_Inspections!$B969="","",Weekly_Inspections!$A969&amp;"-A1")</f>
        <v/>
      </c>
      <c r="B969" s="24">
        <f>Weekly_Inspections!$B969</f>
        <v>0</v>
      </c>
      <c r="C969">
        <f>Weekly_Inspections!$E969</f>
        <v>0</v>
      </c>
      <c r="D969">
        <f>Weekly_Inspections!$F969</f>
        <v>0</v>
      </c>
      <c r="E969" t="str">
        <f>Weekly_Inspections!$H969</f>
        <v/>
      </c>
      <c r="F969">
        <f>IF(Weekly_Inspections!$AX969&lt;&gt;"",Weekly_Inspections!$AX969,IF(Weekly_Inspections!$AY969&lt;&gt;"",Weekly_Inspections!$AY969,IF(Weekly_Inspections!$AZ969&lt;&gt;"",Weekly_Inspections!$AZ969,IF(Weekly_Inspections!$BA969&lt;&gt;"",Weekly_Inspections!$BA969,IF(Weekly_Inspections!$BB969&lt;&gt;"",Weekly_Inspections!$BB969,Weekly_Inspections!$R969)))))</f>
        <v>0</v>
      </c>
      <c r="G969" t="str">
        <f>IF(OR(Weekly_Inspections!$AQ969&lt;&gt;"",Weekly_Inspections!$AR969&lt;&gt;"",Weekly_Inspections!$AS969&lt;&gt;""),Weekly_Inspections!$AQ969,"")</f>
        <v/>
      </c>
      <c r="H969">
        <f>Weekly_Inspections!$AP969</f>
        <v>0</v>
      </c>
      <c r="I969">
        <f>Weekly_Inspections!$AR969</f>
        <v>0</v>
      </c>
      <c r="J969">
        <f>Weekly_Inspections!$AS969</f>
        <v>0</v>
      </c>
      <c r="K969">
        <f>Weekly_Inspections!$AU969</f>
        <v>0</v>
      </c>
      <c r="L969" s="24">
        <f>Weekly_Inspections!$AV969</f>
        <v>0</v>
      </c>
      <c r="M969" t="str">
        <f t="shared" si="45"/>
        <v>Open</v>
      </c>
      <c r="N969" s="24"/>
      <c r="O969">
        <f t="shared" ca="1" si="46"/>
        <v>46113</v>
      </c>
      <c r="P969" t="str">
        <f t="shared" ca="1" si="47"/>
        <v>YES</v>
      </c>
      <c r="Q969">
        <f>Weekly_Inspections!$AW969</f>
        <v>0</v>
      </c>
    </row>
    <row r="970" spans="1:17" ht="15" customHeight="1" x14ac:dyDescent="0.2">
      <c r="A970" t="str">
        <f>IF(Weekly_Inspections!$B970="","",Weekly_Inspections!$A970&amp;"-A1")</f>
        <v/>
      </c>
      <c r="B970" s="24">
        <f>Weekly_Inspections!$B970</f>
        <v>0</v>
      </c>
      <c r="C970">
        <f>Weekly_Inspections!$E970</f>
        <v>0</v>
      </c>
      <c r="D970">
        <f>Weekly_Inspections!$F970</f>
        <v>0</v>
      </c>
      <c r="E970" t="str">
        <f>Weekly_Inspections!$H970</f>
        <v/>
      </c>
      <c r="F970">
        <f>IF(Weekly_Inspections!$AX970&lt;&gt;"",Weekly_Inspections!$AX970,IF(Weekly_Inspections!$AY970&lt;&gt;"",Weekly_Inspections!$AY970,IF(Weekly_Inspections!$AZ970&lt;&gt;"",Weekly_Inspections!$AZ970,IF(Weekly_Inspections!$BA970&lt;&gt;"",Weekly_Inspections!$BA970,IF(Weekly_Inspections!$BB970&lt;&gt;"",Weekly_Inspections!$BB970,Weekly_Inspections!$R970)))))</f>
        <v>0</v>
      </c>
      <c r="G970" t="str">
        <f>IF(OR(Weekly_Inspections!$AQ970&lt;&gt;"",Weekly_Inspections!$AR970&lt;&gt;"",Weekly_Inspections!$AS970&lt;&gt;""),Weekly_Inspections!$AQ970,"")</f>
        <v/>
      </c>
      <c r="H970">
        <f>Weekly_Inspections!$AP970</f>
        <v>0</v>
      </c>
      <c r="I970">
        <f>Weekly_Inspections!$AR970</f>
        <v>0</v>
      </c>
      <c r="J970">
        <f>Weekly_Inspections!$AS970</f>
        <v>0</v>
      </c>
      <c r="K970">
        <f>Weekly_Inspections!$AU970</f>
        <v>0</v>
      </c>
      <c r="L970" s="24">
        <f>Weekly_Inspections!$AV970</f>
        <v>0</v>
      </c>
      <c r="M970" t="str">
        <f t="shared" si="45"/>
        <v>Open</v>
      </c>
      <c r="N970" s="24"/>
      <c r="O970">
        <f t="shared" ca="1" si="46"/>
        <v>46113</v>
      </c>
      <c r="P970" t="str">
        <f t="shared" ca="1" si="47"/>
        <v>YES</v>
      </c>
      <c r="Q970">
        <f>Weekly_Inspections!$AW970</f>
        <v>0</v>
      </c>
    </row>
    <row r="971" spans="1:17" ht="15" customHeight="1" x14ac:dyDescent="0.2">
      <c r="A971" t="str">
        <f>IF(Weekly_Inspections!$B971="","",Weekly_Inspections!$A971&amp;"-A1")</f>
        <v/>
      </c>
      <c r="B971" s="24">
        <f>Weekly_Inspections!$B971</f>
        <v>0</v>
      </c>
      <c r="C971">
        <f>Weekly_Inspections!$E971</f>
        <v>0</v>
      </c>
      <c r="D971">
        <f>Weekly_Inspections!$F971</f>
        <v>0</v>
      </c>
      <c r="E971" t="str">
        <f>Weekly_Inspections!$H971</f>
        <v/>
      </c>
      <c r="F971">
        <f>IF(Weekly_Inspections!$AX971&lt;&gt;"",Weekly_Inspections!$AX971,IF(Weekly_Inspections!$AY971&lt;&gt;"",Weekly_Inspections!$AY971,IF(Weekly_Inspections!$AZ971&lt;&gt;"",Weekly_Inspections!$AZ971,IF(Weekly_Inspections!$BA971&lt;&gt;"",Weekly_Inspections!$BA971,IF(Weekly_Inspections!$BB971&lt;&gt;"",Weekly_Inspections!$BB971,Weekly_Inspections!$R971)))))</f>
        <v>0</v>
      </c>
      <c r="G971" t="str">
        <f>IF(OR(Weekly_Inspections!$AQ971&lt;&gt;"",Weekly_Inspections!$AR971&lt;&gt;"",Weekly_Inspections!$AS971&lt;&gt;""),Weekly_Inspections!$AQ971,"")</f>
        <v/>
      </c>
      <c r="H971">
        <f>Weekly_Inspections!$AP971</f>
        <v>0</v>
      </c>
      <c r="I971">
        <f>Weekly_Inspections!$AR971</f>
        <v>0</v>
      </c>
      <c r="J971">
        <f>Weekly_Inspections!$AS971</f>
        <v>0</v>
      </c>
      <c r="K971">
        <f>Weekly_Inspections!$AU971</f>
        <v>0</v>
      </c>
      <c r="L971" s="24">
        <f>Weekly_Inspections!$AV971</f>
        <v>0</v>
      </c>
      <c r="M971" t="str">
        <f t="shared" si="45"/>
        <v>Open</v>
      </c>
      <c r="N971" s="24"/>
      <c r="O971">
        <f t="shared" ca="1" si="46"/>
        <v>46113</v>
      </c>
      <c r="P971" t="str">
        <f t="shared" ca="1" si="47"/>
        <v>YES</v>
      </c>
      <c r="Q971">
        <f>Weekly_Inspections!$AW971</f>
        <v>0</v>
      </c>
    </row>
    <row r="972" spans="1:17" ht="15" customHeight="1" x14ac:dyDescent="0.2">
      <c r="A972" t="str">
        <f>IF(Weekly_Inspections!$B972="","",Weekly_Inspections!$A972&amp;"-A1")</f>
        <v/>
      </c>
      <c r="B972" s="24">
        <f>Weekly_Inspections!$B972</f>
        <v>0</v>
      </c>
      <c r="C972">
        <f>Weekly_Inspections!$E972</f>
        <v>0</v>
      </c>
      <c r="D972">
        <f>Weekly_Inspections!$F972</f>
        <v>0</v>
      </c>
      <c r="E972" t="str">
        <f>Weekly_Inspections!$H972</f>
        <v/>
      </c>
      <c r="F972">
        <f>IF(Weekly_Inspections!$AX972&lt;&gt;"",Weekly_Inspections!$AX972,IF(Weekly_Inspections!$AY972&lt;&gt;"",Weekly_Inspections!$AY972,IF(Weekly_Inspections!$AZ972&lt;&gt;"",Weekly_Inspections!$AZ972,IF(Weekly_Inspections!$BA972&lt;&gt;"",Weekly_Inspections!$BA972,IF(Weekly_Inspections!$BB972&lt;&gt;"",Weekly_Inspections!$BB972,Weekly_Inspections!$R972)))))</f>
        <v>0</v>
      </c>
      <c r="G972" t="str">
        <f>IF(OR(Weekly_Inspections!$AQ972&lt;&gt;"",Weekly_Inspections!$AR972&lt;&gt;"",Weekly_Inspections!$AS972&lt;&gt;""),Weekly_Inspections!$AQ972,"")</f>
        <v/>
      </c>
      <c r="H972">
        <f>Weekly_Inspections!$AP972</f>
        <v>0</v>
      </c>
      <c r="I972">
        <f>Weekly_Inspections!$AR972</f>
        <v>0</v>
      </c>
      <c r="J972">
        <f>Weekly_Inspections!$AS972</f>
        <v>0</v>
      </c>
      <c r="K972">
        <f>Weekly_Inspections!$AU972</f>
        <v>0</v>
      </c>
      <c r="L972" s="24">
        <f>Weekly_Inspections!$AV972</f>
        <v>0</v>
      </c>
      <c r="M972" t="str">
        <f t="shared" si="45"/>
        <v>Open</v>
      </c>
      <c r="N972" s="24"/>
      <c r="O972">
        <f t="shared" ca="1" si="46"/>
        <v>46113</v>
      </c>
      <c r="P972" t="str">
        <f t="shared" ca="1" si="47"/>
        <v>YES</v>
      </c>
      <c r="Q972">
        <f>Weekly_Inspections!$AW972</f>
        <v>0</v>
      </c>
    </row>
    <row r="973" spans="1:17" ht="15" customHeight="1" x14ac:dyDescent="0.2">
      <c r="A973" t="str">
        <f>IF(Weekly_Inspections!$B973="","",Weekly_Inspections!$A973&amp;"-A1")</f>
        <v/>
      </c>
      <c r="B973" s="24">
        <f>Weekly_Inspections!$B973</f>
        <v>0</v>
      </c>
      <c r="C973">
        <f>Weekly_Inspections!$E973</f>
        <v>0</v>
      </c>
      <c r="D973">
        <f>Weekly_Inspections!$F973</f>
        <v>0</v>
      </c>
      <c r="E973" t="str">
        <f>Weekly_Inspections!$H973</f>
        <v/>
      </c>
      <c r="F973">
        <f>IF(Weekly_Inspections!$AX973&lt;&gt;"",Weekly_Inspections!$AX973,IF(Weekly_Inspections!$AY973&lt;&gt;"",Weekly_Inspections!$AY973,IF(Weekly_Inspections!$AZ973&lt;&gt;"",Weekly_Inspections!$AZ973,IF(Weekly_Inspections!$BA973&lt;&gt;"",Weekly_Inspections!$BA973,IF(Weekly_Inspections!$BB973&lt;&gt;"",Weekly_Inspections!$BB973,Weekly_Inspections!$R973)))))</f>
        <v>0</v>
      </c>
      <c r="G973" t="str">
        <f>IF(OR(Weekly_Inspections!$AQ973&lt;&gt;"",Weekly_Inspections!$AR973&lt;&gt;"",Weekly_Inspections!$AS973&lt;&gt;""),Weekly_Inspections!$AQ973,"")</f>
        <v/>
      </c>
      <c r="H973">
        <f>Weekly_Inspections!$AP973</f>
        <v>0</v>
      </c>
      <c r="I973">
        <f>Weekly_Inspections!$AR973</f>
        <v>0</v>
      </c>
      <c r="J973">
        <f>Weekly_Inspections!$AS973</f>
        <v>0</v>
      </c>
      <c r="K973">
        <f>Weekly_Inspections!$AU973</f>
        <v>0</v>
      </c>
      <c r="L973" s="24">
        <f>Weekly_Inspections!$AV973</f>
        <v>0</v>
      </c>
      <c r="M973" t="str">
        <f t="shared" si="45"/>
        <v>Open</v>
      </c>
      <c r="N973" s="24"/>
      <c r="O973">
        <f t="shared" ca="1" si="46"/>
        <v>46113</v>
      </c>
      <c r="P973" t="str">
        <f t="shared" ca="1" si="47"/>
        <v>YES</v>
      </c>
      <c r="Q973">
        <f>Weekly_Inspections!$AW973</f>
        <v>0</v>
      </c>
    </row>
    <row r="974" spans="1:17" ht="15" customHeight="1" x14ac:dyDescent="0.2">
      <c r="A974" t="str">
        <f>IF(Weekly_Inspections!$B974="","",Weekly_Inspections!$A974&amp;"-A1")</f>
        <v/>
      </c>
      <c r="B974" s="24">
        <f>Weekly_Inspections!$B974</f>
        <v>0</v>
      </c>
      <c r="C974">
        <f>Weekly_Inspections!$E974</f>
        <v>0</v>
      </c>
      <c r="D974">
        <f>Weekly_Inspections!$F974</f>
        <v>0</v>
      </c>
      <c r="E974" t="str">
        <f>Weekly_Inspections!$H974</f>
        <v/>
      </c>
      <c r="F974">
        <f>IF(Weekly_Inspections!$AX974&lt;&gt;"",Weekly_Inspections!$AX974,IF(Weekly_Inspections!$AY974&lt;&gt;"",Weekly_Inspections!$AY974,IF(Weekly_Inspections!$AZ974&lt;&gt;"",Weekly_Inspections!$AZ974,IF(Weekly_Inspections!$BA974&lt;&gt;"",Weekly_Inspections!$BA974,IF(Weekly_Inspections!$BB974&lt;&gt;"",Weekly_Inspections!$BB974,Weekly_Inspections!$R974)))))</f>
        <v>0</v>
      </c>
      <c r="G974" t="str">
        <f>IF(OR(Weekly_Inspections!$AQ974&lt;&gt;"",Weekly_Inspections!$AR974&lt;&gt;"",Weekly_Inspections!$AS974&lt;&gt;""),Weekly_Inspections!$AQ974,"")</f>
        <v/>
      </c>
      <c r="H974">
        <f>Weekly_Inspections!$AP974</f>
        <v>0</v>
      </c>
      <c r="I974">
        <f>Weekly_Inspections!$AR974</f>
        <v>0</v>
      </c>
      <c r="J974">
        <f>Weekly_Inspections!$AS974</f>
        <v>0</v>
      </c>
      <c r="K974">
        <f>Weekly_Inspections!$AU974</f>
        <v>0</v>
      </c>
      <c r="L974" s="24">
        <f>Weekly_Inspections!$AV974</f>
        <v>0</v>
      </c>
      <c r="M974" t="str">
        <f t="shared" si="45"/>
        <v>Open</v>
      </c>
      <c r="N974" s="24"/>
      <c r="O974">
        <f t="shared" ca="1" si="46"/>
        <v>46113</v>
      </c>
      <c r="P974" t="str">
        <f t="shared" ca="1" si="47"/>
        <v>YES</v>
      </c>
      <c r="Q974">
        <f>Weekly_Inspections!$AW974</f>
        <v>0</v>
      </c>
    </row>
    <row r="975" spans="1:17" ht="15" customHeight="1" x14ac:dyDescent="0.2">
      <c r="A975" t="str">
        <f>IF(Weekly_Inspections!$B975="","",Weekly_Inspections!$A975&amp;"-A1")</f>
        <v/>
      </c>
      <c r="B975" s="24">
        <f>Weekly_Inspections!$B975</f>
        <v>0</v>
      </c>
      <c r="C975">
        <f>Weekly_Inspections!$E975</f>
        <v>0</v>
      </c>
      <c r="D975">
        <f>Weekly_Inspections!$F975</f>
        <v>0</v>
      </c>
      <c r="E975" t="str">
        <f>Weekly_Inspections!$H975</f>
        <v/>
      </c>
      <c r="F975">
        <f>IF(Weekly_Inspections!$AX975&lt;&gt;"",Weekly_Inspections!$AX975,IF(Weekly_Inspections!$AY975&lt;&gt;"",Weekly_Inspections!$AY975,IF(Weekly_Inspections!$AZ975&lt;&gt;"",Weekly_Inspections!$AZ975,IF(Weekly_Inspections!$BA975&lt;&gt;"",Weekly_Inspections!$BA975,IF(Weekly_Inspections!$BB975&lt;&gt;"",Weekly_Inspections!$BB975,Weekly_Inspections!$R975)))))</f>
        <v>0</v>
      </c>
      <c r="G975" t="str">
        <f>IF(OR(Weekly_Inspections!$AQ975&lt;&gt;"",Weekly_Inspections!$AR975&lt;&gt;"",Weekly_Inspections!$AS975&lt;&gt;""),Weekly_Inspections!$AQ975,"")</f>
        <v/>
      </c>
      <c r="H975">
        <f>Weekly_Inspections!$AP975</f>
        <v>0</v>
      </c>
      <c r="I975">
        <f>Weekly_Inspections!$AR975</f>
        <v>0</v>
      </c>
      <c r="J975">
        <f>Weekly_Inspections!$AS975</f>
        <v>0</v>
      </c>
      <c r="K975">
        <f>Weekly_Inspections!$AU975</f>
        <v>0</v>
      </c>
      <c r="L975" s="24">
        <f>Weekly_Inspections!$AV975</f>
        <v>0</v>
      </c>
      <c r="M975" t="str">
        <f t="shared" si="45"/>
        <v>Open</v>
      </c>
      <c r="N975" s="24"/>
      <c r="O975">
        <f t="shared" ca="1" si="46"/>
        <v>46113</v>
      </c>
      <c r="P975" t="str">
        <f t="shared" ca="1" si="47"/>
        <v>YES</v>
      </c>
      <c r="Q975">
        <f>Weekly_Inspections!$AW975</f>
        <v>0</v>
      </c>
    </row>
    <row r="976" spans="1:17" ht="15" customHeight="1" x14ac:dyDescent="0.2">
      <c r="A976" t="str">
        <f>IF(Weekly_Inspections!$B976="","",Weekly_Inspections!$A976&amp;"-A1")</f>
        <v/>
      </c>
      <c r="B976" s="24">
        <f>Weekly_Inspections!$B976</f>
        <v>0</v>
      </c>
      <c r="C976">
        <f>Weekly_Inspections!$E976</f>
        <v>0</v>
      </c>
      <c r="D976">
        <f>Weekly_Inspections!$F976</f>
        <v>0</v>
      </c>
      <c r="E976" t="str">
        <f>Weekly_Inspections!$H976</f>
        <v/>
      </c>
      <c r="F976">
        <f>IF(Weekly_Inspections!$AX976&lt;&gt;"",Weekly_Inspections!$AX976,IF(Weekly_Inspections!$AY976&lt;&gt;"",Weekly_Inspections!$AY976,IF(Weekly_Inspections!$AZ976&lt;&gt;"",Weekly_Inspections!$AZ976,IF(Weekly_Inspections!$BA976&lt;&gt;"",Weekly_Inspections!$BA976,IF(Weekly_Inspections!$BB976&lt;&gt;"",Weekly_Inspections!$BB976,Weekly_Inspections!$R976)))))</f>
        <v>0</v>
      </c>
      <c r="G976" t="str">
        <f>IF(OR(Weekly_Inspections!$AQ976&lt;&gt;"",Weekly_Inspections!$AR976&lt;&gt;"",Weekly_Inspections!$AS976&lt;&gt;""),Weekly_Inspections!$AQ976,"")</f>
        <v/>
      </c>
      <c r="H976">
        <f>Weekly_Inspections!$AP976</f>
        <v>0</v>
      </c>
      <c r="I976">
        <f>Weekly_Inspections!$AR976</f>
        <v>0</v>
      </c>
      <c r="J976">
        <f>Weekly_Inspections!$AS976</f>
        <v>0</v>
      </c>
      <c r="K976">
        <f>Weekly_Inspections!$AU976</f>
        <v>0</v>
      </c>
      <c r="L976" s="24">
        <f>Weekly_Inspections!$AV976</f>
        <v>0</v>
      </c>
      <c r="M976" t="str">
        <f t="shared" si="45"/>
        <v>Open</v>
      </c>
      <c r="N976" s="24"/>
      <c r="O976">
        <f t="shared" ca="1" si="46"/>
        <v>46113</v>
      </c>
      <c r="P976" t="str">
        <f t="shared" ca="1" si="47"/>
        <v>YES</v>
      </c>
      <c r="Q976">
        <f>Weekly_Inspections!$AW976</f>
        <v>0</v>
      </c>
    </row>
    <row r="977" spans="1:17" ht="15" customHeight="1" x14ac:dyDescent="0.2">
      <c r="A977" t="str">
        <f>IF(Weekly_Inspections!$B977="","",Weekly_Inspections!$A977&amp;"-A1")</f>
        <v/>
      </c>
      <c r="B977" s="24">
        <f>Weekly_Inspections!$B977</f>
        <v>0</v>
      </c>
      <c r="C977">
        <f>Weekly_Inspections!$E977</f>
        <v>0</v>
      </c>
      <c r="D977">
        <f>Weekly_Inspections!$F977</f>
        <v>0</v>
      </c>
      <c r="E977" t="str">
        <f>Weekly_Inspections!$H977</f>
        <v/>
      </c>
      <c r="F977">
        <f>IF(Weekly_Inspections!$AX977&lt;&gt;"",Weekly_Inspections!$AX977,IF(Weekly_Inspections!$AY977&lt;&gt;"",Weekly_Inspections!$AY977,IF(Weekly_Inspections!$AZ977&lt;&gt;"",Weekly_Inspections!$AZ977,IF(Weekly_Inspections!$BA977&lt;&gt;"",Weekly_Inspections!$BA977,IF(Weekly_Inspections!$BB977&lt;&gt;"",Weekly_Inspections!$BB977,Weekly_Inspections!$R977)))))</f>
        <v>0</v>
      </c>
      <c r="G977" t="str">
        <f>IF(OR(Weekly_Inspections!$AQ977&lt;&gt;"",Weekly_Inspections!$AR977&lt;&gt;"",Weekly_Inspections!$AS977&lt;&gt;""),Weekly_Inspections!$AQ977,"")</f>
        <v/>
      </c>
      <c r="H977">
        <f>Weekly_Inspections!$AP977</f>
        <v>0</v>
      </c>
      <c r="I977">
        <f>Weekly_Inspections!$AR977</f>
        <v>0</v>
      </c>
      <c r="J977">
        <f>Weekly_Inspections!$AS977</f>
        <v>0</v>
      </c>
      <c r="K977">
        <f>Weekly_Inspections!$AU977</f>
        <v>0</v>
      </c>
      <c r="L977" s="24">
        <f>Weekly_Inspections!$AV977</f>
        <v>0</v>
      </c>
      <c r="M977" t="str">
        <f t="shared" si="45"/>
        <v>Open</v>
      </c>
      <c r="N977" s="24"/>
      <c r="O977">
        <f t="shared" ca="1" si="46"/>
        <v>46113</v>
      </c>
      <c r="P977" t="str">
        <f t="shared" ca="1" si="47"/>
        <v>YES</v>
      </c>
      <c r="Q977">
        <f>Weekly_Inspections!$AW977</f>
        <v>0</v>
      </c>
    </row>
    <row r="978" spans="1:17" ht="15" customHeight="1" x14ac:dyDescent="0.2">
      <c r="A978" t="str">
        <f>IF(Weekly_Inspections!$B978="","",Weekly_Inspections!$A978&amp;"-A1")</f>
        <v/>
      </c>
      <c r="B978" s="24">
        <f>Weekly_Inspections!$B978</f>
        <v>0</v>
      </c>
      <c r="C978">
        <f>Weekly_Inspections!$E978</f>
        <v>0</v>
      </c>
      <c r="D978">
        <f>Weekly_Inspections!$F978</f>
        <v>0</v>
      </c>
      <c r="E978" t="str">
        <f>Weekly_Inspections!$H978</f>
        <v/>
      </c>
      <c r="F978">
        <f>IF(Weekly_Inspections!$AX978&lt;&gt;"",Weekly_Inspections!$AX978,IF(Weekly_Inspections!$AY978&lt;&gt;"",Weekly_Inspections!$AY978,IF(Weekly_Inspections!$AZ978&lt;&gt;"",Weekly_Inspections!$AZ978,IF(Weekly_Inspections!$BA978&lt;&gt;"",Weekly_Inspections!$BA978,IF(Weekly_Inspections!$BB978&lt;&gt;"",Weekly_Inspections!$BB978,Weekly_Inspections!$R978)))))</f>
        <v>0</v>
      </c>
      <c r="G978" t="str">
        <f>IF(OR(Weekly_Inspections!$AQ978&lt;&gt;"",Weekly_Inspections!$AR978&lt;&gt;"",Weekly_Inspections!$AS978&lt;&gt;""),Weekly_Inspections!$AQ978,"")</f>
        <v/>
      </c>
      <c r="H978">
        <f>Weekly_Inspections!$AP978</f>
        <v>0</v>
      </c>
      <c r="I978">
        <f>Weekly_Inspections!$AR978</f>
        <v>0</v>
      </c>
      <c r="J978">
        <f>Weekly_Inspections!$AS978</f>
        <v>0</v>
      </c>
      <c r="K978">
        <f>Weekly_Inspections!$AU978</f>
        <v>0</v>
      </c>
      <c r="L978" s="24">
        <f>Weekly_Inspections!$AV978</f>
        <v>0</v>
      </c>
      <c r="M978" t="str">
        <f t="shared" si="45"/>
        <v>Open</v>
      </c>
      <c r="N978" s="24"/>
      <c r="O978">
        <f t="shared" ca="1" si="46"/>
        <v>46113</v>
      </c>
      <c r="P978" t="str">
        <f t="shared" ca="1" si="47"/>
        <v>YES</v>
      </c>
      <c r="Q978">
        <f>Weekly_Inspections!$AW978</f>
        <v>0</v>
      </c>
    </row>
    <row r="979" spans="1:17" ht="15" customHeight="1" x14ac:dyDescent="0.2">
      <c r="A979" t="str">
        <f>IF(Weekly_Inspections!$B979="","",Weekly_Inspections!$A979&amp;"-A1")</f>
        <v/>
      </c>
      <c r="B979" s="24">
        <f>Weekly_Inspections!$B979</f>
        <v>0</v>
      </c>
      <c r="C979">
        <f>Weekly_Inspections!$E979</f>
        <v>0</v>
      </c>
      <c r="D979">
        <f>Weekly_Inspections!$F979</f>
        <v>0</v>
      </c>
      <c r="E979" t="str">
        <f>Weekly_Inspections!$H979</f>
        <v/>
      </c>
      <c r="F979">
        <f>IF(Weekly_Inspections!$AX979&lt;&gt;"",Weekly_Inspections!$AX979,IF(Weekly_Inspections!$AY979&lt;&gt;"",Weekly_Inspections!$AY979,IF(Weekly_Inspections!$AZ979&lt;&gt;"",Weekly_Inspections!$AZ979,IF(Weekly_Inspections!$BA979&lt;&gt;"",Weekly_Inspections!$BA979,IF(Weekly_Inspections!$BB979&lt;&gt;"",Weekly_Inspections!$BB979,Weekly_Inspections!$R979)))))</f>
        <v>0</v>
      </c>
      <c r="G979" t="str">
        <f>IF(OR(Weekly_Inspections!$AQ979&lt;&gt;"",Weekly_Inspections!$AR979&lt;&gt;"",Weekly_Inspections!$AS979&lt;&gt;""),Weekly_Inspections!$AQ979,"")</f>
        <v/>
      </c>
      <c r="H979">
        <f>Weekly_Inspections!$AP979</f>
        <v>0</v>
      </c>
      <c r="I979">
        <f>Weekly_Inspections!$AR979</f>
        <v>0</v>
      </c>
      <c r="J979">
        <f>Weekly_Inspections!$AS979</f>
        <v>0</v>
      </c>
      <c r="K979">
        <f>Weekly_Inspections!$AU979</f>
        <v>0</v>
      </c>
      <c r="L979" s="24">
        <f>Weekly_Inspections!$AV979</f>
        <v>0</v>
      </c>
      <c r="M979" t="str">
        <f t="shared" si="45"/>
        <v>Open</v>
      </c>
      <c r="N979" s="24"/>
      <c r="O979">
        <f t="shared" ca="1" si="46"/>
        <v>46113</v>
      </c>
      <c r="P979" t="str">
        <f t="shared" ca="1" si="47"/>
        <v>YES</v>
      </c>
      <c r="Q979">
        <f>Weekly_Inspections!$AW979</f>
        <v>0</v>
      </c>
    </row>
    <row r="980" spans="1:17" ht="15" customHeight="1" x14ac:dyDescent="0.2">
      <c r="A980" t="str">
        <f>IF(Weekly_Inspections!$B980="","",Weekly_Inspections!$A980&amp;"-A1")</f>
        <v/>
      </c>
      <c r="B980" s="24">
        <f>Weekly_Inspections!$B980</f>
        <v>0</v>
      </c>
      <c r="C980">
        <f>Weekly_Inspections!$E980</f>
        <v>0</v>
      </c>
      <c r="D980">
        <f>Weekly_Inspections!$F980</f>
        <v>0</v>
      </c>
      <c r="E980" t="str">
        <f>Weekly_Inspections!$H980</f>
        <v/>
      </c>
      <c r="F980">
        <f>IF(Weekly_Inspections!$AX980&lt;&gt;"",Weekly_Inspections!$AX980,IF(Weekly_Inspections!$AY980&lt;&gt;"",Weekly_Inspections!$AY980,IF(Weekly_Inspections!$AZ980&lt;&gt;"",Weekly_Inspections!$AZ980,IF(Weekly_Inspections!$BA980&lt;&gt;"",Weekly_Inspections!$BA980,IF(Weekly_Inspections!$BB980&lt;&gt;"",Weekly_Inspections!$BB980,Weekly_Inspections!$R980)))))</f>
        <v>0</v>
      </c>
      <c r="G980" t="str">
        <f>IF(OR(Weekly_Inspections!$AQ980&lt;&gt;"",Weekly_Inspections!$AR980&lt;&gt;"",Weekly_Inspections!$AS980&lt;&gt;""),Weekly_Inspections!$AQ980,"")</f>
        <v/>
      </c>
      <c r="H980">
        <f>Weekly_Inspections!$AP980</f>
        <v>0</v>
      </c>
      <c r="I980">
        <f>Weekly_Inspections!$AR980</f>
        <v>0</v>
      </c>
      <c r="J980">
        <f>Weekly_Inspections!$AS980</f>
        <v>0</v>
      </c>
      <c r="K980">
        <f>Weekly_Inspections!$AU980</f>
        <v>0</v>
      </c>
      <c r="L980" s="24">
        <f>Weekly_Inspections!$AV980</f>
        <v>0</v>
      </c>
      <c r="M980" t="str">
        <f t="shared" si="45"/>
        <v>Open</v>
      </c>
      <c r="N980" s="24"/>
      <c r="O980">
        <f t="shared" ca="1" si="46"/>
        <v>46113</v>
      </c>
      <c r="P980" t="str">
        <f t="shared" ca="1" si="47"/>
        <v>YES</v>
      </c>
      <c r="Q980">
        <f>Weekly_Inspections!$AW980</f>
        <v>0</v>
      </c>
    </row>
    <row r="981" spans="1:17" ht="15" customHeight="1" x14ac:dyDescent="0.2">
      <c r="A981" t="str">
        <f>IF(Weekly_Inspections!$B981="","",Weekly_Inspections!$A981&amp;"-A1")</f>
        <v/>
      </c>
      <c r="B981" s="24">
        <f>Weekly_Inspections!$B981</f>
        <v>0</v>
      </c>
      <c r="C981">
        <f>Weekly_Inspections!$E981</f>
        <v>0</v>
      </c>
      <c r="D981">
        <f>Weekly_Inspections!$F981</f>
        <v>0</v>
      </c>
      <c r="E981" t="str">
        <f>Weekly_Inspections!$H981</f>
        <v/>
      </c>
      <c r="F981">
        <f>IF(Weekly_Inspections!$AX981&lt;&gt;"",Weekly_Inspections!$AX981,IF(Weekly_Inspections!$AY981&lt;&gt;"",Weekly_Inspections!$AY981,IF(Weekly_Inspections!$AZ981&lt;&gt;"",Weekly_Inspections!$AZ981,IF(Weekly_Inspections!$BA981&lt;&gt;"",Weekly_Inspections!$BA981,IF(Weekly_Inspections!$BB981&lt;&gt;"",Weekly_Inspections!$BB981,Weekly_Inspections!$R981)))))</f>
        <v>0</v>
      </c>
      <c r="G981" t="str">
        <f>IF(OR(Weekly_Inspections!$AQ981&lt;&gt;"",Weekly_Inspections!$AR981&lt;&gt;"",Weekly_Inspections!$AS981&lt;&gt;""),Weekly_Inspections!$AQ981,"")</f>
        <v/>
      </c>
      <c r="H981">
        <f>Weekly_Inspections!$AP981</f>
        <v>0</v>
      </c>
      <c r="I981">
        <f>Weekly_Inspections!$AR981</f>
        <v>0</v>
      </c>
      <c r="J981">
        <f>Weekly_Inspections!$AS981</f>
        <v>0</v>
      </c>
      <c r="K981">
        <f>Weekly_Inspections!$AU981</f>
        <v>0</v>
      </c>
      <c r="L981" s="24">
        <f>Weekly_Inspections!$AV981</f>
        <v>0</v>
      </c>
      <c r="M981" t="str">
        <f t="shared" si="45"/>
        <v>Open</v>
      </c>
      <c r="N981" s="24"/>
      <c r="O981">
        <f t="shared" ca="1" si="46"/>
        <v>46113</v>
      </c>
      <c r="P981" t="str">
        <f t="shared" ca="1" si="47"/>
        <v>YES</v>
      </c>
      <c r="Q981">
        <f>Weekly_Inspections!$AW981</f>
        <v>0</v>
      </c>
    </row>
    <row r="982" spans="1:17" ht="15" customHeight="1" x14ac:dyDescent="0.2">
      <c r="A982" t="str">
        <f>IF(Weekly_Inspections!$B982="","",Weekly_Inspections!$A982&amp;"-A1")</f>
        <v/>
      </c>
      <c r="B982" s="24">
        <f>Weekly_Inspections!$B982</f>
        <v>0</v>
      </c>
      <c r="C982">
        <f>Weekly_Inspections!$E982</f>
        <v>0</v>
      </c>
      <c r="D982">
        <f>Weekly_Inspections!$F982</f>
        <v>0</v>
      </c>
      <c r="E982" t="str">
        <f>Weekly_Inspections!$H982</f>
        <v/>
      </c>
      <c r="F982">
        <f>IF(Weekly_Inspections!$AX982&lt;&gt;"",Weekly_Inspections!$AX982,IF(Weekly_Inspections!$AY982&lt;&gt;"",Weekly_Inspections!$AY982,IF(Weekly_Inspections!$AZ982&lt;&gt;"",Weekly_Inspections!$AZ982,IF(Weekly_Inspections!$BA982&lt;&gt;"",Weekly_Inspections!$BA982,IF(Weekly_Inspections!$BB982&lt;&gt;"",Weekly_Inspections!$BB982,Weekly_Inspections!$R982)))))</f>
        <v>0</v>
      </c>
      <c r="G982" t="str">
        <f>IF(OR(Weekly_Inspections!$AQ982&lt;&gt;"",Weekly_Inspections!$AR982&lt;&gt;"",Weekly_Inspections!$AS982&lt;&gt;""),Weekly_Inspections!$AQ982,"")</f>
        <v/>
      </c>
      <c r="H982">
        <f>Weekly_Inspections!$AP982</f>
        <v>0</v>
      </c>
      <c r="I982">
        <f>Weekly_Inspections!$AR982</f>
        <v>0</v>
      </c>
      <c r="J982">
        <f>Weekly_Inspections!$AS982</f>
        <v>0</v>
      </c>
      <c r="K982">
        <f>Weekly_Inspections!$AU982</f>
        <v>0</v>
      </c>
      <c r="L982" s="24">
        <f>Weekly_Inspections!$AV982</f>
        <v>0</v>
      </c>
      <c r="M982" t="str">
        <f t="shared" si="45"/>
        <v>Open</v>
      </c>
      <c r="N982" s="24"/>
      <c r="O982">
        <f t="shared" ca="1" si="46"/>
        <v>46113</v>
      </c>
      <c r="P982" t="str">
        <f t="shared" ca="1" si="47"/>
        <v>YES</v>
      </c>
      <c r="Q982">
        <f>Weekly_Inspections!$AW982</f>
        <v>0</v>
      </c>
    </row>
    <row r="983" spans="1:17" ht="15" customHeight="1" x14ac:dyDescent="0.2">
      <c r="A983" t="str">
        <f>IF(Weekly_Inspections!$B983="","",Weekly_Inspections!$A983&amp;"-A1")</f>
        <v/>
      </c>
      <c r="B983" s="24">
        <f>Weekly_Inspections!$B983</f>
        <v>0</v>
      </c>
      <c r="C983">
        <f>Weekly_Inspections!$E983</f>
        <v>0</v>
      </c>
      <c r="D983">
        <f>Weekly_Inspections!$F983</f>
        <v>0</v>
      </c>
      <c r="E983" t="str">
        <f>Weekly_Inspections!$H983</f>
        <v/>
      </c>
      <c r="F983">
        <f>IF(Weekly_Inspections!$AX983&lt;&gt;"",Weekly_Inspections!$AX983,IF(Weekly_Inspections!$AY983&lt;&gt;"",Weekly_Inspections!$AY983,IF(Weekly_Inspections!$AZ983&lt;&gt;"",Weekly_Inspections!$AZ983,IF(Weekly_Inspections!$BA983&lt;&gt;"",Weekly_Inspections!$BA983,IF(Weekly_Inspections!$BB983&lt;&gt;"",Weekly_Inspections!$BB983,Weekly_Inspections!$R983)))))</f>
        <v>0</v>
      </c>
      <c r="G983" t="str">
        <f>IF(OR(Weekly_Inspections!$AQ983&lt;&gt;"",Weekly_Inspections!$AR983&lt;&gt;"",Weekly_Inspections!$AS983&lt;&gt;""),Weekly_Inspections!$AQ983,"")</f>
        <v/>
      </c>
      <c r="H983">
        <f>Weekly_Inspections!$AP983</f>
        <v>0</v>
      </c>
      <c r="I983">
        <f>Weekly_Inspections!$AR983</f>
        <v>0</v>
      </c>
      <c r="J983">
        <f>Weekly_Inspections!$AS983</f>
        <v>0</v>
      </c>
      <c r="K983">
        <f>Weekly_Inspections!$AU983</f>
        <v>0</v>
      </c>
      <c r="L983" s="24">
        <f>Weekly_Inspections!$AV983</f>
        <v>0</v>
      </c>
      <c r="M983" t="str">
        <f t="shared" si="45"/>
        <v>Open</v>
      </c>
      <c r="N983" s="24"/>
      <c r="O983">
        <f t="shared" ca="1" si="46"/>
        <v>46113</v>
      </c>
      <c r="P983" t="str">
        <f t="shared" ca="1" si="47"/>
        <v>YES</v>
      </c>
      <c r="Q983">
        <f>Weekly_Inspections!$AW983</f>
        <v>0</v>
      </c>
    </row>
    <row r="984" spans="1:17" ht="15" customHeight="1" x14ac:dyDescent="0.2">
      <c r="A984" t="str">
        <f>IF(Weekly_Inspections!$B984="","",Weekly_Inspections!$A984&amp;"-A1")</f>
        <v/>
      </c>
      <c r="B984" s="24">
        <f>Weekly_Inspections!$B984</f>
        <v>0</v>
      </c>
      <c r="C984">
        <f>Weekly_Inspections!$E984</f>
        <v>0</v>
      </c>
      <c r="D984">
        <f>Weekly_Inspections!$F984</f>
        <v>0</v>
      </c>
      <c r="E984" t="str">
        <f>Weekly_Inspections!$H984</f>
        <v/>
      </c>
      <c r="F984">
        <f>IF(Weekly_Inspections!$AX984&lt;&gt;"",Weekly_Inspections!$AX984,IF(Weekly_Inspections!$AY984&lt;&gt;"",Weekly_Inspections!$AY984,IF(Weekly_Inspections!$AZ984&lt;&gt;"",Weekly_Inspections!$AZ984,IF(Weekly_Inspections!$BA984&lt;&gt;"",Weekly_Inspections!$BA984,IF(Weekly_Inspections!$BB984&lt;&gt;"",Weekly_Inspections!$BB984,Weekly_Inspections!$R984)))))</f>
        <v>0</v>
      </c>
      <c r="G984" t="str">
        <f>IF(OR(Weekly_Inspections!$AQ984&lt;&gt;"",Weekly_Inspections!$AR984&lt;&gt;"",Weekly_Inspections!$AS984&lt;&gt;""),Weekly_Inspections!$AQ984,"")</f>
        <v/>
      </c>
      <c r="H984">
        <f>Weekly_Inspections!$AP984</f>
        <v>0</v>
      </c>
      <c r="I984">
        <f>Weekly_Inspections!$AR984</f>
        <v>0</v>
      </c>
      <c r="J984">
        <f>Weekly_Inspections!$AS984</f>
        <v>0</v>
      </c>
      <c r="K984">
        <f>Weekly_Inspections!$AU984</f>
        <v>0</v>
      </c>
      <c r="L984" s="24">
        <f>Weekly_Inspections!$AV984</f>
        <v>0</v>
      </c>
      <c r="M984" t="str">
        <f t="shared" si="45"/>
        <v>Open</v>
      </c>
      <c r="N984" s="24"/>
      <c r="O984">
        <f t="shared" ca="1" si="46"/>
        <v>46113</v>
      </c>
      <c r="P984" t="str">
        <f t="shared" ca="1" si="47"/>
        <v>YES</v>
      </c>
      <c r="Q984">
        <f>Weekly_Inspections!$AW984</f>
        <v>0</v>
      </c>
    </row>
    <row r="985" spans="1:17" ht="15" customHeight="1" x14ac:dyDescent="0.2">
      <c r="A985" t="str">
        <f>IF(Weekly_Inspections!$B985="","",Weekly_Inspections!$A985&amp;"-A1")</f>
        <v/>
      </c>
      <c r="B985" s="24">
        <f>Weekly_Inspections!$B985</f>
        <v>0</v>
      </c>
      <c r="C985">
        <f>Weekly_Inspections!$E985</f>
        <v>0</v>
      </c>
      <c r="D985">
        <f>Weekly_Inspections!$F985</f>
        <v>0</v>
      </c>
      <c r="E985" t="str">
        <f>Weekly_Inspections!$H985</f>
        <v/>
      </c>
      <c r="F985">
        <f>IF(Weekly_Inspections!$AX985&lt;&gt;"",Weekly_Inspections!$AX985,IF(Weekly_Inspections!$AY985&lt;&gt;"",Weekly_Inspections!$AY985,IF(Weekly_Inspections!$AZ985&lt;&gt;"",Weekly_Inspections!$AZ985,IF(Weekly_Inspections!$BA985&lt;&gt;"",Weekly_Inspections!$BA985,IF(Weekly_Inspections!$BB985&lt;&gt;"",Weekly_Inspections!$BB985,Weekly_Inspections!$R985)))))</f>
        <v>0</v>
      </c>
      <c r="G985" t="str">
        <f>IF(OR(Weekly_Inspections!$AQ985&lt;&gt;"",Weekly_Inspections!$AR985&lt;&gt;"",Weekly_Inspections!$AS985&lt;&gt;""),Weekly_Inspections!$AQ985,"")</f>
        <v/>
      </c>
      <c r="H985">
        <f>Weekly_Inspections!$AP985</f>
        <v>0</v>
      </c>
      <c r="I985">
        <f>Weekly_Inspections!$AR985</f>
        <v>0</v>
      </c>
      <c r="J985">
        <f>Weekly_Inspections!$AS985</f>
        <v>0</v>
      </c>
      <c r="K985">
        <f>Weekly_Inspections!$AU985</f>
        <v>0</v>
      </c>
      <c r="L985" s="24">
        <f>Weekly_Inspections!$AV985</f>
        <v>0</v>
      </c>
      <c r="M985" t="str">
        <f t="shared" si="45"/>
        <v>Open</v>
      </c>
      <c r="N985" s="24"/>
      <c r="O985">
        <f t="shared" ca="1" si="46"/>
        <v>46113</v>
      </c>
      <c r="P985" t="str">
        <f t="shared" ca="1" si="47"/>
        <v>YES</v>
      </c>
      <c r="Q985">
        <f>Weekly_Inspections!$AW985</f>
        <v>0</v>
      </c>
    </row>
    <row r="986" spans="1:17" ht="15" customHeight="1" x14ac:dyDescent="0.2">
      <c r="A986" t="str">
        <f>IF(Weekly_Inspections!$B986="","",Weekly_Inspections!$A986&amp;"-A1")</f>
        <v/>
      </c>
      <c r="B986" s="24">
        <f>Weekly_Inspections!$B986</f>
        <v>0</v>
      </c>
      <c r="C986">
        <f>Weekly_Inspections!$E986</f>
        <v>0</v>
      </c>
      <c r="D986">
        <f>Weekly_Inspections!$F986</f>
        <v>0</v>
      </c>
      <c r="E986" t="str">
        <f>Weekly_Inspections!$H986</f>
        <v/>
      </c>
      <c r="F986">
        <f>IF(Weekly_Inspections!$AX986&lt;&gt;"",Weekly_Inspections!$AX986,IF(Weekly_Inspections!$AY986&lt;&gt;"",Weekly_Inspections!$AY986,IF(Weekly_Inspections!$AZ986&lt;&gt;"",Weekly_Inspections!$AZ986,IF(Weekly_Inspections!$BA986&lt;&gt;"",Weekly_Inspections!$BA986,IF(Weekly_Inspections!$BB986&lt;&gt;"",Weekly_Inspections!$BB986,Weekly_Inspections!$R986)))))</f>
        <v>0</v>
      </c>
      <c r="G986" t="str">
        <f>IF(OR(Weekly_Inspections!$AQ986&lt;&gt;"",Weekly_Inspections!$AR986&lt;&gt;"",Weekly_Inspections!$AS986&lt;&gt;""),Weekly_Inspections!$AQ986,"")</f>
        <v/>
      </c>
      <c r="H986">
        <f>Weekly_Inspections!$AP986</f>
        <v>0</v>
      </c>
      <c r="I986">
        <f>Weekly_Inspections!$AR986</f>
        <v>0</v>
      </c>
      <c r="J986">
        <f>Weekly_Inspections!$AS986</f>
        <v>0</v>
      </c>
      <c r="K986">
        <f>Weekly_Inspections!$AU986</f>
        <v>0</v>
      </c>
      <c r="L986" s="24">
        <f>Weekly_Inspections!$AV986</f>
        <v>0</v>
      </c>
      <c r="M986" t="str">
        <f t="shared" si="45"/>
        <v>Open</v>
      </c>
      <c r="N986" s="24"/>
      <c r="O986">
        <f t="shared" ca="1" si="46"/>
        <v>46113</v>
      </c>
      <c r="P986" t="str">
        <f t="shared" ca="1" si="47"/>
        <v>YES</v>
      </c>
      <c r="Q986">
        <f>Weekly_Inspections!$AW986</f>
        <v>0</v>
      </c>
    </row>
    <row r="987" spans="1:17" ht="15" customHeight="1" x14ac:dyDescent="0.2">
      <c r="A987" t="str">
        <f>IF(Weekly_Inspections!$B987="","",Weekly_Inspections!$A987&amp;"-A1")</f>
        <v/>
      </c>
      <c r="B987" s="24">
        <f>Weekly_Inspections!$B987</f>
        <v>0</v>
      </c>
      <c r="C987">
        <f>Weekly_Inspections!$E987</f>
        <v>0</v>
      </c>
      <c r="D987">
        <f>Weekly_Inspections!$F987</f>
        <v>0</v>
      </c>
      <c r="E987" t="str">
        <f>Weekly_Inspections!$H987</f>
        <v/>
      </c>
      <c r="F987">
        <f>IF(Weekly_Inspections!$AX987&lt;&gt;"",Weekly_Inspections!$AX987,IF(Weekly_Inspections!$AY987&lt;&gt;"",Weekly_Inspections!$AY987,IF(Weekly_Inspections!$AZ987&lt;&gt;"",Weekly_Inspections!$AZ987,IF(Weekly_Inspections!$BA987&lt;&gt;"",Weekly_Inspections!$BA987,IF(Weekly_Inspections!$BB987&lt;&gt;"",Weekly_Inspections!$BB987,Weekly_Inspections!$R987)))))</f>
        <v>0</v>
      </c>
      <c r="G987" t="str">
        <f>IF(OR(Weekly_Inspections!$AQ987&lt;&gt;"",Weekly_Inspections!$AR987&lt;&gt;"",Weekly_Inspections!$AS987&lt;&gt;""),Weekly_Inspections!$AQ987,"")</f>
        <v/>
      </c>
      <c r="H987">
        <f>Weekly_Inspections!$AP987</f>
        <v>0</v>
      </c>
      <c r="I987">
        <f>Weekly_Inspections!$AR987</f>
        <v>0</v>
      </c>
      <c r="J987">
        <f>Weekly_Inspections!$AS987</f>
        <v>0</v>
      </c>
      <c r="K987">
        <f>Weekly_Inspections!$AU987</f>
        <v>0</v>
      </c>
      <c r="L987" s="24">
        <f>Weekly_Inspections!$AV987</f>
        <v>0</v>
      </c>
      <c r="M987" t="str">
        <f t="shared" si="45"/>
        <v>Open</v>
      </c>
      <c r="N987" s="24"/>
      <c r="O987">
        <f t="shared" ca="1" si="46"/>
        <v>46113</v>
      </c>
      <c r="P987" t="str">
        <f t="shared" ca="1" si="47"/>
        <v>YES</v>
      </c>
      <c r="Q987">
        <f>Weekly_Inspections!$AW987</f>
        <v>0</v>
      </c>
    </row>
    <row r="988" spans="1:17" ht="15" customHeight="1" x14ac:dyDescent="0.2">
      <c r="A988" t="str">
        <f>IF(Weekly_Inspections!$B988="","",Weekly_Inspections!$A988&amp;"-A1")</f>
        <v/>
      </c>
      <c r="B988" s="24">
        <f>Weekly_Inspections!$B988</f>
        <v>0</v>
      </c>
      <c r="C988">
        <f>Weekly_Inspections!$E988</f>
        <v>0</v>
      </c>
      <c r="D988">
        <f>Weekly_Inspections!$F988</f>
        <v>0</v>
      </c>
      <c r="E988" t="str">
        <f>Weekly_Inspections!$H988</f>
        <v/>
      </c>
      <c r="F988">
        <f>IF(Weekly_Inspections!$AX988&lt;&gt;"",Weekly_Inspections!$AX988,IF(Weekly_Inspections!$AY988&lt;&gt;"",Weekly_Inspections!$AY988,IF(Weekly_Inspections!$AZ988&lt;&gt;"",Weekly_Inspections!$AZ988,IF(Weekly_Inspections!$BA988&lt;&gt;"",Weekly_Inspections!$BA988,IF(Weekly_Inspections!$BB988&lt;&gt;"",Weekly_Inspections!$BB988,Weekly_Inspections!$R988)))))</f>
        <v>0</v>
      </c>
      <c r="G988" t="str">
        <f>IF(OR(Weekly_Inspections!$AQ988&lt;&gt;"",Weekly_Inspections!$AR988&lt;&gt;"",Weekly_Inspections!$AS988&lt;&gt;""),Weekly_Inspections!$AQ988,"")</f>
        <v/>
      </c>
      <c r="H988">
        <f>Weekly_Inspections!$AP988</f>
        <v>0</v>
      </c>
      <c r="I988">
        <f>Weekly_Inspections!$AR988</f>
        <v>0</v>
      </c>
      <c r="J988">
        <f>Weekly_Inspections!$AS988</f>
        <v>0</v>
      </c>
      <c r="K988">
        <f>Weekly_Inspections!$AU988</f>
        <v>0</v>
      </c>
      <c r="L988" s="24">
        <f>Weekly_Inspections!$AV988</f>
        <v>0</v>
      </c>
      <c r="M988" t="str">
        <f t="shared" si="45"/>
        <v>Open</v>
      </c>
      <c r="N988" s="24"/>
      <c r="O988">
        <f t="shared" ca="1" si="46"/>
        <v>46113</v>
      </c>
      <c r="P988" t="str">
        <f t="shared" ca="1" si="47"/>
        <v>YES</v>
      </c>
      <c r="Q988">
        <f>Weekly_Inspections!$AW988</f>
        <v>0</v>
      </c>
    </row>
    <row r="989" spans="1:17" ht="15" customHeight="1" x14ac:dyDescent="0.2">
      <c r="A989" t="str">
        <f>IF(Weekly_Inspections!$B989="","",Weekly_Inspections!$A989&amp;"-A1")</f>
        <v/>
      </c>
      <c r="B989" s="24">
        <f>Weekly_Inspections!$B989</f>
        <v>0</v>
      </c>
      <c r="C989">
        <f>Weekly_Inspections!$E989</f>
        <v>0</v>
      </c>
      <c r="D989">
        <f>Weekly_Inspections!$F989</f>
        <v>0</v>
      </c>
      <c r="E989" t="str">
        <f>Weekly_Inspections!$H989</f>
        <v/>
      </c>
      <c r="F989">
        <f>IF(Weekly_Inspections!$AX989&lt;&gt;"",Weekly_Inspections!$AX989,IF(Weekly_Inspections!$AY989&lt;&gt;"",Weekly_Inspections!$AY989,IF(Weekly_Inspections!$AZ989&lt;&gt;"",Weekly_Inspections!$AZ989,IF(Weekly_Inspections!$BA989&lt;&gt;"",Weekly_Inspections!$BA989,IF(Weekly_Inspections!$BB989&lt;&gt;"",Weekly_Inspections!$BB989,Weekly_Inspections!$R989)))))</f>
        <v>0</v>
      </c>
      <c r="G989" t="str">
        <f>IF(OR(Weekly_Inspections!$AQ989&lt;&gt;"",Weekly_Inspections!$AR989&lt;&gt;"",Weekly_Inspections!$AS989&lt;&gt;""),Weekly_Inspections!$AQ989,"")</f>
        <v/>
      </c>
      <c r="H989">
        <f>Weekly_Inspections!$AP989</f>
        <v>0</v>
      </c>
      <c r="I989">
        <f>Weekly_Inspections!$AR989</f>
        <v>0</v>
      </c>
      <c r="J989">
        <f>Weekly_Inspections!$AS989</f>
        <v>0</v>
      </c>
      <c r="K989">
        <f>Weekly_Inspections!$AU989</f>
        <v>0</v>
      </c>
      <c r="L989" s="24">
        <f>Weekly_Inspections!$AV989</f>
        <v>0</v>
      </c>
      <c r="M989" t="str">
        <f t="shared" si="45"/>
        <v>Open</v>
      </c>
      <c r="N989" s="24"/>
      <c r="O989">
        <f t="shared" ca="1" si="46"/>
        <v>46113</v>
      </c>
      <c r="P989" t="str">
        <f t="shared" ca="1" si="47"/>
        <v>YES</v>
      </c>
      <c r="Q989">
        <f>Weekly_Inspections!$AW989</f>
        <v>0</v>
      </c>
    </row>
    <row r="990" spans="1:17" ht="15" customHeight="1" x14ac:dyDescent="0.2">
      <c r="A990" t="str">
        <f>IF(Weekly_Inspections!$B990="","",Weekly_Inspections!$A990&amp;"-A1")</f>
        <v/>
      </c>
      <c r="B990" s="24">
        <f>Weekly_Inspections!$B990</f>
        <v>0</v>
      </c>
      <c r="C990">
        <f>Weekly_Inspections!$E990</f>
        <v>0</v>
      </c>
      <c r="D990">
        <f>Weekly_Inspections!$F990</f>
        <v>0</v>
      </c>
      <c r="E990" t="str">
        <f>Weekly_Inspections!$H990</f>
        <v/>
      </c>
      <c r="F990">
        <f>IF(Weekly_Inspections!$AX990&lt;&gt;"",Weekly_Inspections!$AX990,IF(Weekly_Inspections!$AY990&lt;&gt;"",Weekly_Inspections!$AY990,IF(Weekly_Inspections!$AZ990&lt;&gt;"",Weekly_Inspections!$AZ990,IF(Weekly_Inspections!$BA990&lt;&gt;"",Weekly_Inspections!$BA990,IF(Weekly_Inspections!$BB990&lt;&gt;"",Weekly_Inspections!$BB990,Weekly_Inspections!$R990)))))</f>
        <v>0</v>
      </c>
      <c r="G990" t="str">
        <f>IF(OR(Weekly_Inspections!$AQ990&lt;&gt;"",Weekly_Inspections!$AR990&lt;&gt;"",Weekly_Inspections!$AS990&lt;&gt;""),Weekly_Inspections!$AQ990,"")</f>
        <v/>
      </c>
      <c r="H990">
        <f>Weekly_Inspections!$AP990</f>
        <v>0</v>
      </c>
      <c r="I990">
        <f>Weekly_Inspections!$AR990</f>
        <v>0</v>
      </c>
      <c r="J990">
        <f>Weekly_Inspections!$AS990</f>
        <v>0</v>
      </c>
      <c r="K990">
        <f>Weekly_Inspections!$AU990</f>
        <v>0</v>
      </c>
      <c r="L990" s="24">
        <f>Weekly_Inspections!$AV990</f>
        <v>0</v>
      </c>
      <c r="M990" t="str">
        <f t="shared" si="45"/>
        <v>Open</v>
      </c>
      <c r="N990" s="24"/>
      <c r="O990">
        <f t="shared" ca="1" si="46"/>
        <v>46113</v>
      </c>
      <c r="P990" t="str">
        <f t="shared" ca="1" si="47"/>
        <v>YES</v>
      </c>
      <c r="Q990">
        <f>Weekly_Inspections!$AW990</f>
        <v>0</v>
      </c>
    </row>
    <row r="991" spans="1:17" ht="15" customHeight="1" x14ac:dyDescent="0.2">
      <c r="A991" t="str">
        <f>IF(Weekly_Inspections!$B991="","",Weekly_Inspections!$A991&amp;"-A1")</f>
        <v/>
      </c>
      <c r="B991" s="24">
        <f>Weekly_Inspections!$B991</f>
        <v>0</v>
      </c>
      <c r="C991">
        <f>Weekly_Inspections!$E991</f>
        <v>0</v>
      </c>
      <c r="D991">
        <f>Weekly_Inspections!$F991</f>
        <v>0</v>
      </c>
      <c r="E991" t="str">
        <f>Weekly_Inspections!$H991</f>
        <v/>
      </c>
      <c r="F991">
        <f>IF(Weekly_Inspections!$AX991&lt;&gt;"",Weekly_Inspections!$AX991,IF(Weekly_Inspections!$AY991&lt;&gt;"",Weekly_Inspections!$AY991,IF(Weekly_Inspections!$AZ991&lt;&gt;"",Weekly_Inspections!$AZ991,IF(Weekly_Inspections!$BA991&lt;&gt;"",Weekly_Inspections!$BA991,IF(Weekly_Inspections!$BB991&lt;&gt;"",Weekly_Inspections!$BB991,Weekly_Inspections!$R991)))))</f>
        <v>0</v>
      </c>
      <c r="G991" t="str">
        <f>IF(OR(Weekly_Inspections!$AQ991&lt;&gt;"",Weekly_Inspections!$AR991&lt;&gt;"",Weekly_Inspections!$AS991&lt;&gt;""),Weekly_Inspections!$AQ991,"")</f>
        <v/>
      </c>
      <c r="H991">
        <f>Weekly_Inspections!$AP991</f>
        <v>0</v>
      </c>
      <c r="I991">
        <f>Weekly_Inspections!$AR991</f>
        <v>0</v>
      </c>
      <c r="J991">
        <f>Weekly_Inspections!$AS991</f>
        <v>0</v>
      </c>
      <c r="K991">
        <f>Weekly_Inspections!$AU991</f>
        <v>0</v>
      </c>
      <c r="L991" s="24">
        <f>Weekly_Inspections!$AV991</f>
        <v>0</v>
      </c>
      <c r="M991" t="str">
        <f t="shared" si="45"/>
        <v>Open</v>
      </c>
      <c r="N991" s="24"/>
      <c r="O991">
        <f t="shared" ca="1" si="46"/>
        <v>46113</v>
      </c>
      <c r="P991" t="str">
        <f t="shared" ca="1" si="47"/>
        <v>YES</v>
      </c>
      <c r="Q991">
        <f>Weekly_Inspections!$AW991</f>
        <v>0</v>
      </c>
    </row>
    <row r="992" spans="1:17" ht="15" customHeight="1" x14ac:dyDescent="0.2">
      <c r="A992" t="str">
        <f>IF(Weekly_Inspections!$B992="","",Weekly_Inspections!$A992&amp;"-A1")</f>
        <v/>
      </c>
      <c r="B992" s="24">
        <f>Weekly_Inspections!$B992</f>
        <v>0</v>
      </c>
      <c r="C992">
        <f>Weekly_Inspections!$E992</f>
        <v>0</v>
      </c>
      <c r="D992">
        <f>Weekly_Inspections!$F992</f>
        <v>0</v>
      </c>
      <c r="E992" t="str">
        <f>Weekly_Inspections!$H992</f>
        <v/>
      </c>
      <c r="F992">
        <f>IF(Weekly_Inspections!$AX992&lt;&gt;"",Weekly_Inspections!$AX992,IF(Weekly_Inspections!$AY992&lt;&gt;"",Weekly_Inspections!$AY992,IF(Weekly_Inspections!$AZ992&lt;&gt;"",Weekly_Inspections!$AZ992,IF(Weekly_Inspections!$BA992&lt;&gt;"",Weekly_Inspections!$BA992,IF(Weekly_Inspections!$BB992&lt;&gt;"",Weekly_Inspections!$BB992,Weekly_Inspections!$R992)))))</f>
        <v>0</v>
      </c>
      <c r="G992" t="str">
        <f>IF(OR(Weekly_Inspections!$AQ992&lt;&gt;"",Weekly_Inspections!$AR992&lt;&gt;"",Weekly_Inspections!$AS992&lt;&gt;""),Weekly_Inspections!$AQ992,"")</f>
        <v/>
      </c>
      <c r="H992">
        <f>Weekly_Inspections!$AP992</f>
        <v>0</v>
      </c>
      <c r="I992">
        <f>Weekly_Inspections!$AR992</f>
        <v>0</v>
      </c>
      <c r="J992">
        <f>Weekly_Inspections!$AS992</f>
        <v>0</v>
      </c>
      <c r="K992">
        <f>Weekly_Inspections!$AU992</f>
        <v>0</v>
      </c>
      <c r="L992" s="24">
        <f>Weekly_Inspections!$AV992</f>
        <v>0</v>
      </c>
      <c r="M992" t="str">
        <f t="shared" si="45"/>
        <v>Open</v>
      </c>
      <c r="N992" s="24"/>
      <c r="O992">
        <f t="shared" ca="1" si="46"/>
        <v>46113</v>
      </c>
      <c r="P992" t="str">
        <f t="shared" ca="1" si="47"/>
        <v>YES</v>
      </c>
      <c r="Q992">
        <f>Weekly_Inspections!$AW992</f>
        <v>0</v>
      </c>
    </row>
    <row r="993" spans="1:17" ht="15" customHeight="1" x14ac:dyDescent="0.2">
      <c r="A993" t="str">
        <f>IF(Weekly_Inspections!$B993="","",Weekly_Inspections!$A993&amp;"-A1")</f>
        <v/>
      </c>
      <c r="B993" s="24">
        <f>Weekly_Inspections!$B993</f>
        <v>0</v>
      </c>
      <c r="C993">
        <f>Weekly_Inspections!$E993</f>
        <v>0</v>
      </c>
      <c r="D993">
        <f>Weekly_Inspections!$F993</f>
        <v>0</v>
      </c>
      <c r="E993" t="str">
        <f>Weekly_Inspections!$H993</f>
        <v/>
      </c>
      <c r="F993">
        <f>IF(Weekly_Inspections!$AX993&lt;&gt;"",Weekly_Inspections!$AX993,IF(Weekly_Inspections!$AY993&lt;&gt;"",Weekly_Inspections!$AY993,IF(Weekly_Inspections!$AZ993&lt;&gt;"",Weekly_Inspections!$AZ993,IF(Weekly_Inspections!$BA993&lt;&gt;"",Weekly_Inspections!$BA993,IF(Weekly_Inspections!$BB993&lt;&gt;"",Weekly_Inspections!$BB993,Weekly_Inspections!$R993)))))</f>
        <v>0</v>
      </c>
      <c r="G993" t="str">
        <f>IF(OR(Weekly_Inspections!$AQ993&lt;&gt;"",Weekly_Inspections!$AR993&lt;&gt;"",Weekly_Inspections!$AS993&lt;&gt;""),Weekly_Inspections!$AQ993,"")</f>
        <v/>
      </c>
      <c r="H993">
        <f>Weekly_Inspections!$AP993</f>
        <v>0</v>
      </c>
      <c r="I993">
        <f>Weekly_Inspections!$AR993</f>
        <v>0</v>
      </c>
      <c r="J993">
        <f>Weekly_Inspections!$AS993</f>
        <v>0</v>
      </c>
      <c r="K993">
        <f>Weekly_Inspections!$AU993</f>
        <v>0</v>
      </c>
      <c r="L993" s="24">
        <f>Weekly_Inspections!$AV993</f>
        <v>0</v>
      </c>
      <c r="M993" t="str">
        <f t="shared" si="45"/>
        <v>Open</v>
      </c>
      <c r="N993" s="24"/>
      <c r="O993">
        <f t="shared" ca="1" si="46"/>
        <v>46113</v>
      </c>
      <c r="P993" t="str">
        <f t="shared" ca="1" si="47"/>
        <v>YES</v>
      </c>
      <c r="Q993">
        <f>Weekly_Inspections!$AW993</f>
        <v>0</v>
      </c>
    </row>
    <row r="994" spans="1:17" ht="15" customHeight="1" x14ac:dyDescent="0.2">
      <c r="A994" t="str">
        <f>IF(Weekly_Inspections!$B994="","",Weekly_Inspections!$A994&amp;"-A1")</f>
        <v/>
      </c>
      <c r="B994" s="24">
        <f>Weekly_Inspections!$B994</f>
        <v>0</v>
      </c>
      <c r="C994">
        <f>Weekly_Inspections!$E994</f>
        <v>0</v>
      </c>
      <c r="D994">
        <f>Weekly_Inspections!$F994</f>
        <v>0</v>
      </c>
      <c r="E994" t="str">
        <f>Weekly_Inspections!$H994</f>
        <v/>
      </c>
      <c r="F994">
        <f>IF(Weekly_Inspections!$AX994&lt;&gt;"",Weekly_Inspections!$AX994,IF(Weekly_Inspections!$AY994&lt;&gt;"",Weekly_Inspections!$AY994,IF(Weekly_Inspections!$AZ994&lt;&gt;"",Weekly_Inspections!$AZ994,IF(Weekly_Inspections!$BA994&lt;&gt;"",Weekly_Inspections!$BA994,IF(Weekly_Inspections!$BB994&lt;&gt;"",Weekly_Inspections!$BB994,Weekly_Inspections!$R994)))))</f>
        <v>0</v>
      </c>
      <c r="G994" t="str">
        <f>IF(OR(Weekly_Inspections!$AQ994&lt;&gt;"",Weekly_Inspections!$AR994&lt;&gt;"",Weekly_Inspections!$AS994&lt;&gt;""),Weekly_Inspections!$AQ994,"")</f>
        <v/>
      </c>
      <c r="H994">
        <f>Weekly_Inspections!$AP994</f>
        <v>0</v>
      </c>
      <c r="I994">
        <f>Weekly_Inspections!$AR994</f>
        <v>0</v>
      </c>
      <c r="J994">
        <f>Weekly_Inspections!$AS994</f>
        <v>0</v>
      </c>
      <c r="K994">
        <f>Weekly_Inspections!$AU994</f>
        <v>0</v>
      </c>
      <c r="L994" s="24">
        <f>Weekly_Inspections!$AV994</f>
        <v>0</v>
      </c>
      <c r="M994" t="str">
        <f t="shared" si="45"/>
        <v>Open</v>
      </c>
      <c r="N994" s="24"/>
      <c r="O994">
        <f t="shared" ca="1" si="46"/>
        <v>46113</v>
      </c>
      <c r="P994" t="str">
        <f t="shared" ca="1" si="47"/>
        <v>YES</v>
      </c>
      <c r="Q994">
        <f>Weekly_Inspections!$AW994</f>
        <v>0</v>
      </c>
    </row>
    <row r="995" spans="1:17" ht="15" customHeight="1" x14ac:dyDescent="0.2">
      <c r="A995" t="str">
        <f>IF(Weekly_Inspections!$B995="","",Weekly_Inspections!$A995&amp;"-A1")</f>
        <v/>
      </c>
      <c r="B995" s="24">
        <f>Weekly_Inspections!$B995</f>
        <v>0</v>
      </c>
      <c r="C995">
        <f>Weekly_Inspections!$E995</f>
        <v>0</v>
      </c>
      <c r="D995">
        <f>Weekly_Inspections!$F995</f>
        <v>0</v>
      </c>
      <c r="E995" t="str">
        <f>Weekly_Inspections!$H995</f>
        <v/>
      </c>
      <c r="F995">
        <f>IF(Weekly_Inspections!$AX995&lt;&gt;"",Weekly_Inspections!$AX995,IF(Weekly_Inspections!$AY995&lt;&gt;"",Weekly_Inspections!$AY995,IF(Weekly_Inspections!$AZ995&lt;&gt;"",Weekly_Inspections!$AZ995,IF(Weekly_Inspections!$BA995&lt;&gt;"",Weekly_Inspections!$BA995,IF(Weekly_Inspections!$BB995&lt;&gt;"",Weekly_Inspections!$BB995,Weekly_Inspections!$R995)))))</f>
        <v>0</v>
      </c>
      <c r="G995" t="str">
        <f>IF(OR(Weekly_Inspections!$AQ995&lt;&gt;"",Weekly_Inspections!$AR995&lt;&gt;"",Weekly_Inspections!$AS995&lt;&gt;""),Weekly_Inspections!$AQ995,"")</f>
        <v/>
      </c>
      <c r="H995">
        <f>Weekly_Inspections!$AP995</f>
        <v>0</v>
      </c>
      <c r="I995">
        <f>Weekly_Inspections!$AR995</f>
        <v>0</v>
      </c>
      <c r="J995">
        <f>Weekly_Inspections!$AS995</f>
        <v>0</v>
      </c>
      <c r="K995">
        <f>Weekly_Inspections!$AU995</f>
        <v>0</v>
      </c>
      <c r="L995" s="24">
        <f>Weekly_Inspections!$AV995</f>
        <v>0</v>
      </c>
      <c r="M995" t="str">
        <f t="shared" si="45"/>
        <v>Open</v>
      </c>
      <c r="N995" s="24"/>
      <c r="O995">
        <f t="shared" ca="1" si="46"/>
        <v>46113</v>
      </c>
      <c r="P995" t="str">
        <f t="shared" ca="1" si="47"/>
        <v>YES</v>
      </c>
      <c r="Q995">
        <f>Weekly_Inspections!$AW995</f>
        <v>0</v>
      </c>
    </row>
    <row r="996" spans="1:17" ht="15" customHeight="1" x14ac:dyDescent="0.2">
      <c r="A996" t="str">
        <f>IF(Weekly_Inspections!$B996="","",Weekly_Inspections!$A996&amp;"-A1")</f>
        <v/>
      </c>
      <c r="B996" s="24">
        <f>Weekly_Inspections!$B996</f>
        <v>0</v>
      </c>
      <c r="C996">
        <f>Weekly_Inspections!$E996</f>
        <v>0</v>
      </c>
      <c r="D996">
        <f>Weekly_Inspections!$F996</f>
        <v>0</v>
      </c>
      <c r="E996" t="str">
        <f>Weekly_Inspections!$H996</f>
        <v/>
      </c>
      <c r="F996">
        <f>IF(Weekly_Inspections!$AX996&lt;&gt;"",Weekly_Inspections!$AX996,IF(Weekly_Inspections!$AY996&lt;&gt;"",Weekly_Inspections!$AY996,IF(Weekly_Inspections!$AZ996&lt;&gt;"",Weekly_Inspections!$AZ996,IF(Weekly_Inspections!$BA996&lt;&gt;"",Weekly_Inspections!$BA996,IF(Weekly_Inspections!$BB996&lt;&gt;"",Weekly_Inspections!$BB996,Weekly_Inspections!$R996)))))</f>
        <v>0</v>
      </c>
      <c r="G996" t="str">
        <f>IF(OR(Weekly_Inspections!$AQ996&lt;&gt;"",Weekly_Inspections!$AR996&lt;&gt;"",Weekly_Inspections!$AS996&lt;&gt;""),Weekly_Inspections!$AQ996,"")</f>
        <v/>
      </c>
      <c r="H996">
        <f>Weekly_Inspections!$AP996</f>
        <v>0</v>
      </c>
      <c r="I996">
        <f>Weekly_Inspections!$AR996</f>
        <v>0</v>
      </c>
      <c r="J996">
        <f>Weekly_Inspections!$AS996</f>
        <v>0</v>
      </c>
      <c r="K996">
        <f>Weekly_Inspections!$AU996</f>
        <v>0</v>
      </c>
      <c r="L996" s="24">
        <f>Weekly_Inspections!$AV996</f>
        <v>0</v>
      </c>
      <c r="M996" t="str">
        <f t="shared" si="45"/>
        <v>Open</v>
      </c>
      <c r="N996" s="24"/>
      <c r="O996">
        <f t="shared" ca="1" si="46"/>
        <v>46113</v>
      </c>
      <c r="P996" t="str">
        <f t="shared" ca="1" si="47"/>
        <v>YES</v>
      </c>
      <c r="Q996">
        <f>Weekly_Inspections!$AW996</f>
        <v>0</v>
      </c>
    </row>
  </sheetData>
  <mergeCells count="2">
    <mergeCell ref="A1:Q1"/>
    <mergeCell ref="A2:Q2"/>
  </mergeCells>
  <conditionalFormatting sqref="P4:P499">
    <cfRule type="expression" dxfId="11" priority="2">
      <formula>P4="YES"</formula>
    </cfRule>
  </conditionalFormatting>
  <dataValidations count="5">
    <dataValidation type="list" allowBlank="1" sqref="C4:C499" xr:uid="{00000000-0002-0000-0800-000000000000}">
      <formula1>Package_List</formula1>
      <formula2>0</formula2>
    </dataValidation>
    <dataValidation type="list" allowBlank="1" sqref="D4:D499" xr:uid="{00000000-0002-0000-0800-000001000000}">
      <formula1>Cluster_List</formula1>
      <formula2>0</formula2>
    </dataValidation>
    <dataValidation type="list" allowBlank="1" sqref="F4:F499" xr:uid="{00000000-0002-0000-0800-000002000000}">
      <formula1>KPI_List</formula1>
      <formula2>0</formula2>
    </dataValidation>
    <dataValidation type="list" allowBlank="1" sqref="H4:H499" xr:uid="{00000000-0002-0000-0800-000003000000}">
      <formula1>Root_Cause_List</formula1>
      <formula2>0</formula2>
    </dataValidation>
    <dataValidation type="list" allowBlank="1" sqref="M4:M499" xr:uid="{00000000-0002-0000-0800-000004000000}">
      <formula1>Status_List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26CE-A178-4ECB-9A0F-F18B3D1968C1}">
  <dimension ref="A1:G59"/>
  <sheetViews>
    <sheetView showGridLines="0" zoomScale="70" zoomScaleNormal="70" workbookViewId="0">
      <pane ySplit="2" topLeftCell="A3" activePane="bottomLeft" state="frozen"/>
      <selection pane="bottomLeft" activeCell="M19" sqref="M19"/>
    </sheetView>
  </sheetViews>
  <sheetFormatPr defaultRowHeight="15" x14ac:dyDescent="0.25"/>
  <cols>
    <col min="1" max="6" width="31" style="29" customWidth="1"/>
    <col min="7" max="7" width="24" style="29" customWidth="1"/>
    <col min="8" max="16384" width="9.140625" style="29"/>
  </cols>
  <sheetData>
    <row r="1" spans="1:7" ht="20.25" thickBot="1" x14ac:dyDescent="0.35">
      <c r="A1" s="56" t="s">
        <v>351</v>
      </c>
      <c r="B1" s="30"/>
      <c r="C1" s="30"/>
      <c r="D1" s="30"/>
      <c r="E1" s="30"/>
      <c r="F1" s="30"/>
    </row>
    <row r="2" spans="1:7" ht="15.75" thickBot="1" x14ac:dyDescent="0.3">
      <c r="A2" s="55" t="s">
        <v>350</v>
      </c>
      <c r="B2" s="55" t="s">
        <v>349</v>
      </c>
      <c r="C2" s="55" t="s">
        <v>348</v>
      </c>
      <c r="D2" s="55" t="s">
        <v>347</v>
      </c>
      <c r="E2" s="55" t="s">
        <v>346</v>
      </c>
      <c r="F2" s="55" t="s">
        <v>345</v>
      </c>
      <c r="G2" s="54" t="s">
        <v>344</v>
      </c>
    </row>
    <row r="3" spans="1:7" ht="21.95" customHeight="1" x14ac:dyDescent="0.25">
      <c r="A3" s="53"/>
      <c r="B3" s="43"/>
      <c r="C3" s="45" t="s">
        <v>343</v>
      </c>
      <c r="D3" s="44" t="s">
        <v>342</v>
      </c>
      <c r="E3" s="45" t="s">
        <v>341</v>
      </c>
      <c r="F3" s="50" t="s">
        <v>340</v>
      </c>
    </row>
    <row r="4" spans="1:7" ht="18.95" customHeight="1" x14ac:dyDescent="0.25">
      <c r="A4" s="52"/>
      <c r="B4" s="39"/>
      <c r="C4" s="40" t="s">
        <v>307</v>
      </c>
      <c r="D4" s="40" t="s">
        <v>283</v>
      </c>
      <c r="E4" s="40" t="s">
        <v>282</v>
      </c>
      <c r="F4" s="49" t="s">
        <v>304</v>
      </c>
    </row>
    <row r="5" spans="1:7" ht="18.95" customHeight="1" x14ac:dyDescent="0.25">
      <c r="A5" s="52"/>
      <c r="B5" s="39"/>
      <c r="C5" s="40" t="s">
        <v>303</v>
      </c>
      <c r="D5" s="40" t="s">
        <v>279</v>
      </c>
      <c r="E5" s="40" t="s">
        <v>278</v>
      </c>
      <c r="F5" s="49" t="s">
        <v>300</v>
      </c>
    </row>
    <row r="6" spans="1:7" ht="18.95" customHeight="1" x14ac:dyDescent="0.25">
      <c r="A6" s="52"/>
      <c r="B6" s="39"/>
      <c r="C6" s="40" t="s">
        <v>275</v>
      </c>
      <c r="D6" s="40" t="s">
        <v>339</v>
      </c>
      <c r="E6" s="40" t="s">
        <v>299</v>
      </c>
      <c r="F6" s="49" t="s">
        <v>275</v>
      </c>
    </row>
    <row r="7" spans="1:7" ht="18.95" customHeight="1" x14ac:dyDescent="0.25">
      <c r="A7" s="52"/>
      <c r="B7" s="39"/>
      <c r="C7" s="40" t="s">
        <v>271</v>
      </c>
      <c r="D7" s="40" t="s">
        <v>338</v>
      </c>
      <c r="E7" s="40" t="s">
        <v>297</v>
      </c>
      <c r="F7" s="49" t="s">
        <v>271</v>
      </c>
    </row>
    <row r="8" spans="1:7" ht="18.95" customHeight="1" x14ac:dyDescent="0.25">
      <c r="A8" s="52"/>
      <c r="B8" s="39"/>
      <c r="C8" s="40" t="s">
        <v>294</v>
      </c>
      <c r="D8" s="40" t="s">
        <v>267</v>
      </c>
      <c r="E8" s="40" t="s">
        <v>293</v>
      </c>
      <c r="F8" s="49" t="s">
        <v>267</v>
      </c>
    </row>
    <row r="9" spans="1:7" ht="18.95" customHeight="1" x14ac:dyDescent="0.25">
      <c r="A9" s="52"/>
      <c r="B9" s="39"/>
      <c r="C9" s="40" t="s">
        <v>291</v>
      </c>
      <c r="D9" s="40" t="s">
        <v>263</v>
      </c>
      <c r="E9" s="40" t="s">
        <v>290</v>
      </c>
      <c r="F9" s="49" t="s">
        <v>263</v>
      </c>
    </row>
    <row r="10" spans="1:7" ht="24" customHeight="1" x14ac:dyDescent="0.25">
      <c r="A10" s="37"/>
      <c r="B10" s="37"/>
      <c r="C10" s="37"/>
      <c r="D10" s="37"/>
      <c r="E10" s="37"/>
      <c r="F10" s="37"/>
      <c r="G10" s="36" t="s">
        <v>261</v>
      </c>
    </row>
    <row r="11" spans="1:7" ht="24" customHeight="1" x14ac:dyDescent="0.25">
      <c r="A11" s="37"/>
      <c r="B11" s="37"/>
      <c r="C11" s="37"/>
      <c r="D11" s="37"/>
      <c r="E11" s="37"/>
      <c r="F11" s="37"/>
      <c r="G11" s="36" t="s">
        <v>260</v>
      </c>
    </row>
    <row r="12" spans="1:7" ht="24" customHeight="1" x14ac:dyDescent="0.25">
      <c r="A12" s="37"/>
      <c r="B12" s="37"/>
      <c r="C12" s="37"/>
      <c r="D12" s="37"/>
      <c r="E12" s="37"/>
      <c r="F12" s="37"/>
      <c r="G12" s="36" t="s">
        <v>259</v>
      </c>
    </row>
    <row r="13" spans="1:7" ht="18.95" customHeight="1" thickBot="1" x14ac:dyDescent="0.3">
      <c r="A13" s="51"/>
      <c r="B13" s="33"/>
      <c r="C13" s="34"/>
      <c r="D13" s="34"/>
      <c r="E13" s="34"/>
      <c r="F13" s="48"/>
    </row>
    <row r="14" spans="1:7" ht="21.95" customHeight="1" x14ac:dyDescent="0.25">
      <c r="A14" s="47" t="s">
        <v>337</v>
      </c>
      <c r="B14" s="46" t="s">
        <v>336</v>
      </c>
      <c r="C14" s="45" t="s">
        <v>335</v>
      </c>
      <c r="D14" s="44" t="s">
        <v>334</v>
      </c>
      <c r="E14" s="45" t="s">
        <v>333</v>
      </c>
      <c r="F14" s="50" t="s">
        <v>332</v>
      </c>
    </row>
    <row r="15" spans="1:7" ht="18.95" customHeight="1" x14ac:dyDescent="0.25">
      <c r="A15" s="41" t="s">
        <v>283</v>
      </c>
      <c r="B15" s="40" t="s">
        <v>331</v>
      </c>
      <c r="C15" s="40" t="s">
        <v>285</v>
      </c>
      <c r="D15" s="40" t="s">
        <v>304</v>
      </c>
      <c r="E15" s="40" t="s">
        <v>305</v>
      </c>
      <c r="F15" s="49" t="s">
        <v>307</v>
      </c>
    </row>
    <row r="16" spans="1:7" ht="18.95" customHeight="1" x14ac:dyDescent="0.25">
      <c r="A16" s="41" t="s">
        <v>279</v>
      </c>
      <c r="B16" s="40" t="s">
        <v>330</v>
      </c>
      <c r="C16" s="40" t="s">
        <v>281</v>
      </c>
      <c r="D16" s="40" t="s">
        <v>300</v>
      </c>
      <c r="E16" s="40" t="s">
        <v>301</v>
      </c>
      <c r="F16" s="49" t="s">
        <v>303</v>
      </c>
    </row>
    <row r="17" spans="1:7" ht="18.95" customHeight="1" x14ac:dyDescent="0.25">
      <c r="A17" s="41" t="s">
        <v>299</v>
      </c>
      <c r="B17" s="40" t="s">
        <v>275</v>
      </c>
      <c r="C17" s="40" t="s">
        <v>277</v>
      </c>
      <c r="D17" s="40" t="s">
        <v>329</v>
      </c>
      <c r="E17" s="40" t="s">
        <v>276</v>
      </c>
      <c r="F17" s="49" t="s">
        <v>277</v>
      </c>
    </row>
    <row r="18" spans="1:7" ht="18.95" customHeight="1" x14ac:dyDescent="0.25">
      <c r="A18" s="41" t="s">
        <v>297</v>
      </c>
      <c r="B18" s="40" t="s">
        <v>271</v>
      </c>
      <c r="C18" s="40" t="s">
        <v>273</v>
      </c>
      <c r="D18" s="40" t="s">
        <v>328</v>
      </c>
      <c r="E18" s="40" t="s">
        <v>272</v>
      </c>
      <c r="F18" s="49" t="s">
        <v>273</v>
      </c>
    </row>
    <row r="19" spans="1:7" ht="18.95" customHeight="1" x14ac:dyDescent="0.25">
      <c r="A19" s="41" t="s">
        <v>266</v>
      </c>
      <c r="B19" s="40" t="s">
        <v>327</v>
      </c>
      <c r="C19" s="40" t="s">
        <v>269</v>
      </c>
      <c r="D19" s="40" t="s">
        <v>294</v>
      </c>
      <c r="E19" s="40" t="s">
        <v>266</v>
      </c>
      <c r="F19" s="49" t="s">
        <v>294</v>
      </c>
    </row>
    <row r="20" spans="1:7" ht="18.95" customHeight="1" x14ac:dyDescent="0.25">
      <c r="A20" s="41" t="s">
        <v>262</v>
      </c>
      <c r="B20" s="40" t="s">
        <v>326</v>
      </c>
      <c r="C20" s="40" t="s">
        <v>265</v>
      </c>
      <c r="D20" s="40" t="s">
        <v>291</v>
      </c>
      <c r="E20" s="40" t="s">
        <v>262</v>
      </c>
      <c r="F20" s="49" t="s">
        <v>291</v>
      </c>
    </row>
    <row r="21" spans="1:7" ht="24" customHeight="1" x14ac:dyDescent="0.25">
      <c r="A21" s="37"/>
      <c r="B21" s="37"/>
      <c r="C21" s="37"/>
      <c r="D21" s="37"/>
      <c r="E21" s="37"/>
      <c r="F21" s="37"/>
      <c r="G21" s="36" t="s">
        <v>261</v>
      </c>
    </row>
    <row r="22" spans="1:7" ht="24" customHeight="1" x14ac:dyDescent="0.25">
      <c r="A22" s="37"/>
      <c r="B22" s="37"/>
      <c r="C22" s="37"/>
      <c r="D22" s="37"/>
      <c r="E22" s="37"/>
      <c r="F22" s="37"/>
      <c r="G22" s="36" t="s">
        <v>260</v>
      </c>
    </row>
    <row r="23" spans="1:7" ht="24" customHeight="1" x14ac:dyDescent="0.25">
      <c r="A23" s="37"/>
      <c r="B23" s="37"/>
      <c r="C23" s="37"/>
      <c r="D23" s="37"/>
      <c r="E23" s="37"/>
      <c r="F23" s="37"/>
      <c r="G23" s="36" t="s">
        <v>259</v>
      </c>
    </row>
    <row r="24" spans="1:7" ht="18.95" customHeight="1" thickBot="1" x14ac:dyDescent="0.3">
      <c r="A24" s="35"/>
      <c r="B24" s="34"/>
      <c r="C24" s="34"/>
      <c r="D24" s="34"/>
      <c r="E24" s="34"/>
      <c r="F24" s="48"/>
    </row>
    <row r="25" spans="1:7" ht="21.95" customHeight="1" x14ac:dyDescent="0.25">
      <c r="A25" s="47" t="s">
        <v>325</v>
      </c>
      <c r="B25" s="46" t="s">
        <v>324</v>
      </c>
      <c r="C25" s="45" t="s">
        <v>323</v>
      </c>
      <c r="D25" s="44" t="s">
        <v>322</v>
      </c>
      <c r="E25" s="45" t="s">
        <v>321</v>
      </c>
      <c r="F25" s="50" t="s">
        <v>320</v>
      </c>
    </row>
    <row r="26" spans="1:7" ht="18.95" customHeight="1" x14ac:dyDescent="0.25">
      <c r="A26" s="41" t="s">
        <v>304</v>
      </c>
      <c r="B26" s="40" t="s">
        <v>319</v>
      </c>
      <c r="C26" s="40" t="s">
        <v>282</v>
      </c>
      <c r="D26" s="40" t="s">
        <v>307</v>
      </c>
      <c r="E26" s="40" t="s">
        <v>283</v>
      </c>
      <c r="F26" s="49" t="s">
        <v>285</v>
      </c>
    </row>
    <row r="27" spans="1:7" ht="18.95" customHeight="1" x14ac:dyDescent="0.25">
      <c r="A27" s="41" t="s">
        <v>300</v>
      </c>
      <c r="B27" s="40" t="s">
        <v>318</v>
      </c>
      <c r="C27" s="40" t="s">
        <v>278</v>
      </c>
      <c r="D27" s="40" t="s">
        <v>303</v>
      </c>
      <c r="E27" s="40" t="s">
        <v>279</v>
      </c>
      <c r="F27" s="49" t="s">
        <v>281</v>
      </c>
    </row>
    <row r="28" spans="1:7" ht="18.95" customHeight="1" x14ac:dyDescent="0.25">
      <c r="A28" s="41" t="s">
        <v>276</v>
      </c>
      <c r="B28" s="40" t="s">
        <v>277</v>
      </c>
      <c r="C28" s="40" t="s">
        <v>299</v>
      </c>
      <c r="D28" s="40" t="s">
        <v>317</v>
      </c>
      <c r="E28" s="40" t="s">
        <v>275</v>
      </c>
      <c r="F28" s="49" t="s">
        <v>299</v>
      </c>
    </row>
    <row r="29" spans="1:7" ht="18.95" customHeight="1" x14ac:dyDescent="0.25">
      <c r="A29" s="41" t="s">
        <v>272</v>
      </c>
      <c r="B29" s="40" t="s">
        <v>273</v>
      </c>
      <c r="C29" s="40" t="s">
        <v>297</v>
      </c>
      <c r="D29" s="40" t="s">
        <v>316</v>
      </c>
      <c r="E29" s="40" t="s">
        <v>271</v>
      </c>
      <c r="F29" s="49" t="s">
        <v>297</v>
      </c>
    </row>
    <row r="30" spans="1:7" ht="18.95" customHeight="1" x14ac:dyDescent="0.25">
      <c r="A30" s="41" t="s">
        <v>267</v>
      </c>
      <c r="B30" s="40" t="s">
        <v>315</v>
      </c>
      <c r="C30" s="40" t="s">
        <v>293</v>
      </c>
      <c r="D30" s="40" t="s">
        <v>269</v>
      </c>
      <c r="E30" s="40" t="s">
        <v>267</v>
      </c>
      <c r="F30" s="49" t="s">
        <v>269</v>
      </c>
    </row>
    <row r="31" spans="1:7" ht="18.95" customHeight="1" x14ac:dyDescent="0.25">
      <c r="A31" s="41" t="s">
        <v>263</v>
      </c>
      <c r="B31" s="40" t="s">
        <v>314</v>
      </c>
      <c r="C31" s="40" t="s">
        <v>290</v>
      </c>
      <c r="D31" s="40" t="s">
        <v>265</v>
      </c>
      <c r="E31" s="40" t="s">
        <v>263</v>
      </c>
      <c r="F31" s="49" t="s">
        <v>265</v>
      </c>
    </row>
    <row r="32" spans="1:7" ht="24" customHeight="1" x14ac:dyDescent="0.25">
      <c r="A32" s="37"/>
      <c r="B32" s="37"/>
      <c r="C32" s="37"/>
      <c r="D32" s="37"/>
      <c r="E32" s="37"/>
      <c r="F32" s="37"/>
      <c r="G32" s="36" t="s">
        <v>261</v>
      </c>
    </row>
    <row r="33" spans="1:7" ht="24" customHeight="1" x14ac:dyDescent="0.25">
      <c r="A33" s="37"/>
      <c r="B33" s="37"/>
      <c r="C33" s="37"/>
      <c r="D33" s="37"/>
      <c r="E33" s="37"/>
      <c r="F33" s="37"/>
      <c r="G33" s="36" t="s">
        <v>260</v>
      </c>
    </row>
    <row r="34" spans="1:7" ht="24" customHeight="1" x14ac:dyDescent="0.25">
      <c r="A34" s="37"/>
      <c r="B34" s="37"/>
      <c r="C34" s="37"/>
      <c r="D34" s="37"/>
      <c r="E34" s="37"/>
      <c r="F34" s="37"/>
      <c r="G34" s="36" t="s">
        <v>259</v>
      </c>
    </row>
    <row r="35" spans="1:7" ht="18.95" customHeight="1" thickBot="1" x14ac:dyDescent="0.3">
      <c r="A35" s="35"/>
      <c r="B35" s="34"/>
      <c r="C35" s="34"/>
      <c r="D35" s="34"/>
      <c r="E35" s="34"/>
      <c r="F35" s="48"/>
    </row>
    <row r="36" spans="1:7" ht="21.95" customHeight="1" x14ac:dyDescent="0.25">
      <c r="A36" s="47" t="s">
        <v>313</v>
      </c>
      <c r="B36" s="46" t="s">
        <v>312</v>
      </c>
      <c r="C36" s="45" t="s">
        <v>311</v>
      </c>
      <c r="D36" s="44" t="s">
        <v>310</v>
      </c>
      <c r="E36" s="45" t="s">
        <v>309</v>
      </c>
      <c r="F36" s="50" t="s">
        <v>308</v>
      </c>
    </row>
    <row r="37" spans="1:7" ht="18.95" customHeight="1" x14ac:dyDescent="0.25">
      <c r="A37" s="41" t="s">
        <v>307</v>
      </c>
      <c r="B37" s="40" t="s">
        <v>306</v>
      </c>
      <c r="C37" s="40" t="s">
        <v>305</v>
      </c>
      <c r="D37" s="40" t="s">
        <v>285</v>
      </c>
      <c r="E37" s="40" t="s">
        <v>304</v>
      </c>
      <c r="F37" s="49" t="s">
        <v>282</v>
      </c>
    </row>
    <row r="38" spans="1:7" ht="18.95" customHeight="1" x14ac:dyDescent="0.25">
      <c r="A38" s="41" t="s">
        <v>303</v>
      </c>
      <c r="B38" s="40" t="s">
        <v>302</v>
      </c>
      <c r="C38" s="40" t="s">
        <v>301</v>
      </c>
      <c r="D38" s="40" t="s">
        <v>281</v>
      </c>
      <c r="E38" s="40" t="s">
        <v>300</v>
      </c>
      <c r="F38" s="49" t="s">
        <v>278</v>
      </c>
    </row>
    <row r="39" spans="1:7" ht="18.95" customHeight="1" x14ac:dyDescent="0.25">
      <c r="A39" s="41" t="s">
        <v>275</v>
      </c>
      <c r="B39" s="40" t="s">
        <v>299</v>
      </c>
      <c r="C39" s="40" t="s">
        <v>276</v>
      </c>
      <c r="D39" s="40" t="s">
        <v>298</v>
      </c>
      <c r="E39" s="40" t="s">
        <v>277</v>
      </c>
      <c r="F39" s="49" t="s">
        <v>276</v>
      </c>
    </row>
    <row r="40" spans="1:7" ht="18.95" customHeight="1" x14ac:dyDescent="0.25">
      <c r="A40" s="41" t="s">
        <v>271</v>
      </c>
      <c r="B40" s="40" t="s">
        <v>297</v>
      </c>
      <c r="C40" s="40" t="s">
        <v>272</v>
      </c>
      <c r="D40" s="40" t="s">
        <v>296</v>
      </c>
      <c r="E40" s="40" t="s">
        <v>273</v>
      </c>
      <c r="F40" s="49" t="s">
        <v>272</v>
      </c>
    </row>
    <row r="41" spans="1:7" ht="18.95" customHeight="1" x14ac:dyDescent="0.25">
      <c r="A41" s="41" t="s">
        <v>294</v>
      </c>
      <c r="B41" s="40" t="s">
        <v>295</v>
      </c>
      <c r="C41" s="40" t="s">
        <v>266</v>
      </c>
      <c r="D41" s="40" t="s">
        <v>293</v>
      </c>
      <c r="E41" s="40" t="s">
        <v>294</v>
      </c>
      <c r="F41" s="49" t="s">
        <v>293</v>
      </c>
    </row>
    <row r="42" spans="1:7" ht="18.95" customHeight="1" x14ac:dyDescent="0.25">
      <c r="A42" s="41" t="s">
        <v>291</v>
      </c>
      <c r="B42" s="40" t="s">
        <v>292</v>
      </c>
      <c r="C42" s="40" t="s">
        <v>262</v>
      </c>
      <c r="D42" s="40" t="s">
        <v>290</v>
      </c>
      <c r="E42" s="40" t="s">
        <v>291</v>
      </c>
      <c r="F42" s="49" t="s">
        <v>290</v>
      </c>
    </row>
    <row r="43" spans="1:7" ht="24" customHeight="1" x14ac:dyDescent="0.25">
      <c r="A43" s="37"/>
      <c r="B43" s="37"/>
      <c r="C43" s="37"/>
      <c r="D43" s="37"/>
      <c r="E43" s="37"/>
      <c r="F43" s="37"/>
      <c r="G43" s="36" t="s">
        <v>261</v>
      </c>
    </row>
    <row r="44" spans="1:7" ht="24" customHeight="1" x14ac:dyDescent="0.25">
      <c r="A44" s="37"/>
      <c r="B44" s="37"/>
      <c r="C44" s="37"/>
      <c r="D44" s="37"/>
      <c r="E44" s="37"/>
      <c r="F44" s="37"/>
      <c r="G44" s="36" t="s">
        <v>260</v>
      </c>
    </row>
    <row r="45" spans="1:7" ht="24" customHeight="1" x14ac:dyDescent="0.25">
      <c r="A45" s="37"/>
      <c r="B45" s="37"/>
      <c r="C45" s="37"/>
      <c r="D45" s="37"/>
      <c r="E45" s="37"/>
      <c r="F45" s="37"/>
      <c r="G45" s="36" t="s">
        <v>259</v>
      </c>
    </row>
    <row r="46" spans="1:7" ht="18.95" customHeight="1" thickBot="1" x14ac:dyDescent="0.3">
      <c r="A46" s="35"/>
      <c r="B46" s="34"/>
      <c r="C46" s="34"/>
      <c r="D46" s="34"/>
      <c r="E46" s="34"/>
      <c r="F46" s="48"/>
    </row>
    <row r="47" spans="1:7" ht="21.95" customHeight="1" x14ac:dyDescent="0.25">
      <c r="A47" s="47" t="s">
        <v>289</v>
      </c>
      <c r="B47" s="46" t="s">
        <v>288</v>
      </c>
      <c r="C47" s="45" t="s">
        <v>287</v>
      </c>
      <c r="D47" s="44" t="s">
        <v>286</v>
      </c>
      <c r="E47" s="43"/>
      <c r="F47" s="42"/>
    </row>
    <row r="48" spans="1:7" ht="18.95" customHeight="1" x14ac:dyDescent="0.25">
      <c r="A48" s="41" t="s">
        <v>285</v>
      </c>
      <c r="B48" s="40" t="s">
        <v>284</v>
      </c>
      <c r="C48" s="40" t="s">
        <v>283</v>
      </c>
      <c r="D48" s="40" t="s">
        <v>282</v>
      </c>
      <c r="E48" s="39"/>
      <c r="F48" s="38"/>
    </row>
    <row r="49" spans="1:7" ht="18.95" customHeight="1" x14ac:dyDescent="0.25">
      <c r="A49" s="41" t="s">
        <v>281</v>
      </c>
      <c r="B49" s="40" t="s">
        <v>280</v>
      </c>
      <c r="C49" s="40" t="s">
        <v>279</v>
      </c>
      <c r="D49" s="40" t="s">
        <v>278</v>
      </c>
      <c r="E49" s="39"/>
      <c r="F49" s="38"/>
    </row>
    <row r="50" spans="1:7" ht="18.95" customHeight="1" x14ac:dyDescent="0.25">
      <c r="A50" s="41" t="s">
        <v>277</v>
      </c>
      <c r="B50" s="40" t="s">
        <v>276</v>
      </c>
      <c r="C50" s="40" t="s">
        <v>275</v>
      </c>
      <c r="D50" s="40" t="s">
        <v>274</v>
      </c>
      <c r="E50" s="39"/>
      <c r="F50" s="38"/>
    </row>
    <row r="51" spans="1:7" ht="18.95" customHeight="1" x14ac:dyDescent="0.25">
      <c r="A51" s="41" t="s">
        <v>273</v>
      </c>
      <c r="B51" s="40" t="s">
        <v>272</v>
      </c>
      <c r="C51" s="40" t="s">
        <v>271</v>
      </c>
      <c r="D51" s="40" t="s">
        <v>270</v>
      </c>
      <c r="E51" s="39"/>
      <c r="F51" s="38"/>
    </row>
    <row r="52" spans="1:7" ht="18.95" customHeight="1" x14ac:dyDescent="0.25">
      <c r="A52" s="41" t="s">
        <v>269</v>
      </c>
      <c r="B52" s="40" t="s">
        <v>268</v>
      </c>
      <c r="C52" s="40" t="s">
        <v>267</v>
      </c>
      <c r="D52" s="40" t="s">
        <v>266</v>
      </c>
      <c r="E52" s="39"/>
      <c r="F52" s="38"/>
    </row>
    <row r="53" spans="1:7" ht="18.95" customHeight="1" x14ac:dyDescent="0.25">
      <c r="A53" s="41" t="s">
        <v>265</v>
      </c>
      <c r="B53" s="40" t="s">
        <v>264</v>
      </c>
      <c r="C53" s="40" t="s">
        <v>263</v>
      </c>
      <c r="D53" s="40" t="s">
        <v>262</v>
      </c>
      <c r="E53" s="39"/>
      <c r="F53" s="38"/>
    </row>
    <row r="54" spans="1:7" ht="24" customHeight="1" x14ac:dyDescent="0.25">
      <c r="A54" s="37"/>
      <c r="B54" s="37"/>
      <c r="C54" s="37"/>
      <c r="D54" s="37"/>
      <c r="E54" s="37"/>
      <c r="F54" s="37"/>
      <c r="G54" s="36" t="s">
        <v>261</v>
      </c>
    </row>
    <row r="55" spans="1:7" ht="24" customHeight="1" x14ac:dyDescent="0.25">
      <c r="A55" s="37"/>
      <c r="B55" s="37"/>
      <c r="C55" s="37"/>
      <c r="D55" s="37"/>
      <c r="E55" s="37"/>
      <c r="F55" s="37"/>
      <c r="G55" s="36" t="s">
        <v>260</v>
      </c>
    </row>
    <row r="56" spans="1:7" ht="24" customHeight="1" x14ac:dyDescent="0.25">
      <c r="A56" s="37"/>
      <c r="B56" s="37"/>
      <c r="C56" s="37"/>
      <c r="D56" s="37"/>
      <c r="E56" s="37"/>
      <c r="F56" s="37"/>
      <c r="G56" s="36" t="s">
        <v>259</v>
      </c>
    </row>
    <row r="57" spans="1:7" ht="18.95" customHeight="1" thickBot="1" x14ac:dyDescent="0.3">
      <c r="A57" s="35"/>
      <c r="B57" s="34"/>
      <c r="C57" s="34"/>
      <c r="D57" s="34"/>
      <c r="E57" s="33"/>
      <c r="F57" s="32"/>
    </row>
    <row r="59" spans="1:7" x14ac:dyDescent="0.25">
      <c r="A59" s="31" t="s">
        <v>258</v>
      </c>
      <c r="B59" s="30"/>
      <c r="C59" s="30"/>
      <c r="D59" s="30"/>
      <c r="E59" s="30"/>
      <c r="F59" s="30"/>
    </row>
  </sheetData>
  <mergeCells count="2">
    <mergeCell ref="A1:F1"/>
    <mergeCell ref="A59:F5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C265-6414-41A5-B1FD-1EC9C7D5CDE5}">
  <dimension ref="A1:G59"/>
  <sheetViews>
    <sheetView showGridLines="0" zoomScale="70" zoomScaleNormal="70" workbookViewId="0">
      <pane ySplit="2" topLeftCell="A33" activePane="bottomLeft" state="frozen"/>
      <selection pane="bottomLeft" activeCell="G54" sqref="G54:G56"/>
    </sheetView>
  </sheetViews>
  <sheetFormatPr defaultRowHeight="15" x14ac:dyDescent="0.25"/>
  <cols>
    <col min="1" max="6" width="31" style="29" customWidth="1"/>
    <col min="7" max="7" width="24" style="29" customWidth="1"/>
    <col min="8" max="16384" width="9.140625" style="29"/>
  </cols>
  <sheetData>
    <row r="1" spans="1:7" ht="20.25" thickBot="1" x14ac:dyDescent="0.35">
      <c r="A1" s="56" t="s">
        <v>379</v>
      </c>
      <c r="B1" s="30"/>
      <c r="C1" s="30"/>
      <c r="D1" s="30"/>
      <c r="E1" s="30"/>
      <c r="F1" s="30"/>
    </row>
    <row r="2" spans="1:7" ht="15.75" thickBot="1" x14ac:dyDescent="0.3">
      <c r="A2" s="55" t="s">
        <v>350</v>
      </c>
      <c r="B2" s="55" t="s">
        <v>349</v>
      </c>
      <c r="C2" s="55" t="s">
        <v>348</v>
      </c>
      <c r="D2" s="55" t="s">
        <v>347</v>
      </c>
      <c r="E2" s="55" t="s">
        <v>346</v>
      </c>
      <c r="F2" s="55" t="s">
        <v>345</v>
      </c>
      <c r="G2" s="54" t="s">
        <v>344</v>
      </c>
    </row>
    <row r="3" spans="1:7" ht="21.95" customHeight="1" x14ac:dyDescent="0.25">
      <c r="A3" s="53"/>
      <c r="B3" s="43"/>
      <c r="C3" s="43"/>
      <c r="D3" s="43"/>
      <c r="E3" s="45" t="s">
        <v>378</v>
      </c>
      <c r="F3" s="50" t="s">
        <v>377</v>
      </c>
    </row>
    <row r="4" spans="1:7" ht="18.95" customHeight="1" x14ac:dyDescent="0.25">
      <c r="A4" s="52"/>
      <c r="B4" s="39"/>
      <c r="C4" s="39"/>
      <c r="D4" s="39"/>
      <c r="E4" s="40" t="s">
        <v>307</v>
      </c>
      <c r="F4" s="49" t="s">
        <v>305</v>
      </c>
    </row>
    <row r="5" spans="1:7" ht="18.95" customHeight="1" x14ac:dyDescent="0.25">
      <c r="A5" s="52"/>
      <c r="B5" s="39"/>
      <c r="C5" s="39"/>
      <c r="D5" s="39"/>
      <c r="E5" s="40" t="s">
        <v>303</v>
      </c>
      <c r="F5" s="49" t="s">
        <v>301</v>
      </c>
    </row>
    <row r="6" spans="1:7" ht="18.95" customHeight="1" x14ac:dyDescent="0.25">
      <c r="A6" s="52"/>
      <c r="B6" s="39"/>
      <c r="C6" s="39"/>
      <c r="D6" s="39"/>
      <c r="E6" s="40" t="s">
        <v>299</v>
      </c>
      <c r="F6" s="49" t="s">
        <v>275</v>
      </c>
    </row>
    <row r="7" spans="1:7" ht="18.95" customHeight="1" x14ac:dyDescent="0.25">
      <c r="A7" s="52"/>
      <c r="B7" s="39"/>
      <c r="C7" s="39"/>
      <c r="D7" s="39"/>
      <c r="E7" s="40" t="s">
        <v>297</v>
      </c>
      <c r="F7" s="49" t="s">
        <v>271</v>
      </c>
    </row>
    <row r="8" spans="1:7" ht="18.95" customHeight="1" x14ac:dyDescent="0.25">
      <c r="A8" s="52"/>
      <c r="B8" s="39"/>
      <c r="C8" s="39"/>
      <c r="D8" s="39"/>
      <c r="E8" s="40" t="s">
        <v>269</v>
      </c>
      <c r="F8" s="49" t="s">
        <v>266</v>
      </c>
    </row>
    <row r="9" spans="1:7" ht="18.95" customHeight="1" x14ac:dyDescent="0.25">
      <c r="A9" s="52"/>
      <c r="B9" s="39"/>
      <c r="C9" s="39"/>
      <c r="D9" s="39"/>
      <c r="E9" s="40" t="s">
        <v>265</v>
      </c>
      <c r="F9" s="49" t="s">
        <v>262</v>
      </c>
    </row>
    <row r="10" spans="1:7" ht="24" customHeight="1" x14ac:dyDescent="0.25">
      <c r="A10" s="37"/>
      <c r="B10" s="37"/>
      <c r="C10" s="37"/>
      <c r="D10" s="37"/>
      <c r="E10" s="37"/>
      <c r="F10" s="37"/>
      <c r="G10" s="36" t="s">
        <v>261</v>
      </c>
    </row>
    <row r="11" spans="1:7" ht="24" customHeight="1" x14ac:dyDescent="0.25">
      <c r="A11" s="37"/>
      <c r="B11" s="37"/>
      <c r="C11" s="37"/>
      <c r="D11" s="37"/>
      <c r="E11" s="37"/>
      <c r="F11" s="37"/>
      <c r="G11" s="36" t="s">
        <v>260</v>
      </c>
    </row>
    <row r="12" spans="1:7" ht="24" customHeight="1" x14ac:dyDescent="0.25">
      <c r="A12" s="37"/>
      <c r="B12" s="37"/>
      <c r="C12" s="37"/>
      <c r="D12" s="37"/>
      <c r="E12" s="37"/>
      <c r="F12" s="37"/>
      <c r="G12" s="36" t="s">
        <v>259</v>
      </c>
    </row>
    <row r="13" spans="1:7" ht="18.95" customHeight="1" thickBot="1" x14ac:dyDescent="0.3">
      <c r="A13" s="51"/>
      <c r="B13" s="33"/>
      <c r="C13" s="33"/>
      <c r="D13" s="33"/>
      <c r="E13" s="34"/>
      <c r="F13" s="48"/>
    </row>
    <row r="14" spans="1:7" ht="21.95" customHeight="1" x14ac:dyDescent="0.25">
      <c r="A14" s="47" t="s">
        <v>376</v>
      </c>
      <c r="B14" s="46" t="s">
        <v>375</v>
      </c>
      <c r="C14" s="45" t="s">
        <v>374</v>
      </c>
      <c r="D14" s="44" t="s">
        <v>373</v>
      </c>
      <c r="E14" s="45" t="s">
        <v>372</v>
      </c>
      <c r="F14" s="50" t="s">
        <v>371</v>
      </c>
    </row>
    <row r="15" spans="1:7" ht="18.95" customHeight="1" x14ac:dyDescent="0.25">
      <c r="A15" s="41" t="s">
        <v>282</v>
      </c>
      <c r="B15" s="40" t="s">
        <v>331</v>
      </c>
      <c r="C15" s="40" t="s">
        <v>304</v>
      </c>
      <c r="D15" s="40" t="s">
        <v>305</v>
      </c>
      <c r="E15" s="40" t="s">
        <v>285</v>
      </c>
      <c r="F15" s="49" t="s">
        <v>283</v>
      </c>
    </row>
    <row r="16" spans="1:7" ht="18.95" customHeight="1" x14ac:dyDescent="0.25">
      <c r="A16" s="41" t="s">
        <v>278</v>
      </c>
      <c r="B16" s="40" t="s">
        <v>330</v>
      </c>
      <c r="C16" s="40" t="s">
        <v>300</v>
      </c>
      <c r="D16" s="40" t="s">
        <v>301</v>
      </c>
      <c r="E16" s="40" t="s">
        <v>281</v>
      </c>
      <c r="F16" s="49" t="s">
        <v>279</v>
      </c>
    </row>
    <row r="17" spans="1:7" ht="18.95" customHeight="1" x14ac:dyDescent="0.25">
      <c r="A17" s="41" t="s">
        <v>299</v>
      </c>
      <c r="B17" s="40" t="s">
        <v>275</v>
      </c>
      <c r="C17" s="40" t="s">
        <v>277</v>
      </c>
      <c r="D17" s="40" t="s">
        <v>370</v>
      </c>
      <c r="E17" s="40" t="s">
        <v>276</v>
      </c>
      <c r="F17" s="49" t="s">
        <v>277</v>
      </c>
    </row>
    <row r="18" spans="1:7" ht="18.95" customHeight="1" x14ac:dyDescent="0.25">
      <c r="A18" s="41" t="s">
        <v>297</v>
      </c>
      <c r="B18" s="40" t="s">
        <v>271</v>
      </c>
      <c r="C18" s="40" t="s">
        <v>273</v>
      </c>
      <c r="D18" s="40" t="s">
        <v>338</v>
      </c>
      <c r="E18" s="40" t="s">
        <v>272</v>
      </c>
      <c r="F18" s="49" t="s">
        <v>273</v>
      </c>
    </row>
    <row r="19" spans="1:7" ht="18.95" customHeight="1" x14ac:dyDescent="0.25">
      <c r="A19" s="41" t="s">
        <v>293</v>
      </c>
      <c r="B19" s="40" t="s">
        <v>327</v>
      </c>
      <c r="C19" s="40" t="s">
        <v>294</v>
      </c>
      <c r="D19" s="40" t="s">
        <v>267</v>
      </c>
      <c r="E19" s="40" t="s">
        <v>293</v>
      </c>
      <c r="F19" s="49" t="s">
        <v>267</v>
      </c>
    </row>
    <row r="20" spans="1:7" ht="18.95" customHeight="1" x14ac:dyDescent="0.25">
      <c r="A20" s="41" t="s">
        <v>290</v>
      </c>
      <c r="B20" s="40" t="s">
        <v>326</v>
      </c>
      <c r="C20" s="40" t="s">
        <v>291</v>
      </c>
      <c r="D20" s="40" t="s">
        <v>263</v>
      </c>
      <c r="E20" s="40" t="s">
        <v>290</v>
      </c>
      <c r="F20" s="49" t="s">
        <v>263</v>
      </c>
    </row>
    <row r="21" spans="1:7" ht="24" customHeight="1" x14ac:dyDescent="0.25">
      <c r="A21" s="37"/>
      <c r="B21" s="37"/>
      <c r="C21" s="37"/>
      <c r="D21" s="37"/>
      <c r="E21" s="37"/>
      <c r="F21" s="37"/>
      <c r="G21" s="36" t="s">
        <v>261</v>
      </c>
    </row>
    <row r="22" spans="1:7" ht="24" customHeight="1" x14ac:dyDescent="0.25">
      <c r="A22" s="37"/>
      <c r="B22" s="37"/>
      <c r="C22" s="37"/>
      <c r="D22" s="37"/>
      <c r="E22" s="37"/>
      <c r="F22" s="37"/>
      <c r="G22" s="36" t="s">
        <v>260</v>
      </c>
    </row>
    <row r="23" spans="1:7" ht="24" customHeight="1" x14ac:dyDescent="0.25">
      <c r="A23" s="37"/>
      <c r="B23" s="37"/>
      <c r="C23" s="37"/>
      <c r="D23" s="37"/>
      <c r="E23" s="37"/>
      <c r="F23" s="37"/>
      <c r="G23" s="36" t="s">
        <v>259</v>
      </c>
    </row>
    <row r="24" spans="1:7" ht="18.95" customHeight="1" thickBot="1" x14ac:dyDescent="0.3">
      <c r="A24" s="35"/>
      <c r="B24" s="34"/>
      <c r="C24" s="34"/>
      <c r="D24" s="34"/>
      <c r="E24" s="34"/>
      <c r="F24" s="48"/>
    </row>
    <row r="25" spans="1:7" ht="21.95" customHeight="1" x14ac:dyDescent="0.25">
      <c r="A25" s="47" t="s">
        <v>369</v>
      </c>
      <c r="B25" s="46" t="s">
        <v>368</v>
      </c>
      <c r="C25" s="45" t="s">
        <v>367</v>
      </c>
      <c r="D25" s="44" t="s">
        <v>366</v>
      </c>
      <c r="E25" s="45" t="s">
        <v>365</v>
      </c>
      <c r="F25" s="50" t="s">
        <v>364</v>
      </c>
    </row>
    <row r="26" spans="1:7" ht="18.95" customHeight="1" x14ac:dyDescent="0.25">
      <c r="A26" s="41" t="s">
        <v>305</v>
      </c>
      <c r="B26" s="40" t="s">
        <v>319</v>
      </c>
      <c r="C26" s="40" t="s">
        <v>307</v>
      </c>
      <c r="D26" s="40" t="s">
        <v>283</v>
      </c>
      <c r="E26" s="40" t="s">
        <v>282</v>
      </c>
      <c r="F26" s="49" t="s">
        <v>304</v>
      </c>
    </row>
    <row r="27" spans="1:7" ht="18.95" customHeight="1" x14ac:dyDescent="0.25">
      <c r="A27" s="41" t="s">
        <v>301</v>
      </c>
      <c r="B27" s="40" t="s">
        <v>318</v>
      </c>
      <c r="C27" s="40" t="s">
        <v>303</v>
      </c>
      <c r="D27" s="40" t="s">
        <v>279</v>
      </c>
      <c r="E27" s="40" t="s">
        <v>278</v>
      </c>
      <c r="F27" s="49" t="s">
        <v>300</v>
      </c>
    </row>
    <row r="28" spans="1:7" ht="18.95" customHeight="1" x14ac:dyDescent="0.25">
      <c r="A28" s="41" t="s">
        <v>276</v>
      </c>
      <c r="B28" s="40" t="s">
        <v>277</v>
      </c>
      <c r="C28" s="40" t="s">
        <v>299</v>
      </c>
      <c r="D28" s="40" t="s">
        <v>339</v>
      </c>
      <c r="E28" s="40" t="s">
        <v>275</v>
      </c>
      <c r="F28" s="49" t="s">
        <v>299</v>
      </c>
    </row>
    <row r="29" spans="1:7" ht="18.95" customHeight="1" x14ac:dyDescent="0.25">
      <c r="A29" s="41" t="s">
        <v>272</v>
      </c>
      <c r="B29" s="40" t="s">
        <v>273</v>
      </c>
      <c r="C29" s="40" t="s">
        <v>297</v>
      </c>
      <c r="D29" s="40" t="s">
        <v>328</v>
      </c>
      <c r="E29" s="40" t="s">
        <v>271</v>
      </c>
      <c r="F29" s="49" t="s">
        <v>297</v>
      </c>
    </row>
    <row r="30" spans="1:7" ht="18.95" customHeight="1" x14ac:dyDescent="0.25">
      <c r="A30" s="41" t="s">
        <v>266</v>
      </c>
      <c r="B30" s="40" t="s">
        <v>315</v>
      </c>
      <c r="C30" s="40" t="s">
        <v>269</v>
      </c>
      <c r="D30" s="40" t="s">
        <v>294</v>
      </c>
      <c r="E30" s="40" t="s">
        <v>266</v>
      </c>
      <c r="F30" s="49" t="s">
        <v>294</v>
      </c>
    </row>
    <row r="31" spans="1:7" ht="18.95" customHeight="1" x14ac:dyDescent="0.25">
      <c r="A31" s="41" t="s">
        <v>262</v>
      </c>
      <c r="B31" s="40" t="s">
        <v>314</v>
      </c>
      <c r="C31" s="40" t="s">
        <v>265</v>
      </c>
      <c r="D31" s="40" t="s">
        <v>291</v>
      </c>
      <c r="E31" s="40" t="s">
        <v>262</v>
      </c>
      <c r="F31" s="49" t="s">
        <v>291</v>
      </c>
    </row>
    <row r="32" spans="1:7" ht="24" customHeight="1" x14ac:dyDescent="0.25">
      <c r="A32" s="37"/>
      <c r="B32" s="37"/>
      <c r="C32" s="37"/>
      <c r="D32" s="37"/>
      <c r="E32" s="37"/>
      <c r="F32" s="37"/>
      <c r="G32" s="36" t="s">
        <v>261</v>
      </c>
    </row>
    <row r="33" spans="1:7" ht="24" customHeight="1" x14ac:dyDescent="0.25">
      <c r="A33" s="37"/>
      <c r="B33" s="37"/>
      <c r="C33" s="37"/>
      <c r="D33" s="37"/>
      <c r="E33" s="37"/>
      <c r="F33" s="37"/>
      <c r="G33" s="36" t="s">
        <v>260</v>
      </c>
    </row>
    <row r="34" spans="1:7" ht="24" customHeight="1" x14ac:dyDescent="0.25">
      <c r="A34" s="37"/>
      <c r="B34" s="37"/>
      <c r="C34" s="37"/>
      <c r="D34" s="37"/>
      <c r="E34" s="37"/>
      <c r="F34" s="37"/>
      <c r="G34" s="36" t="s">
        <v>259</v>
      </c>
    </row>
    <row r="35" spans="1:7" ht="18.95" customHeight="1" thickBot="1" x14ac:dyDescent="0.3">
      <c r="A35" s="35"/>
      <c r="B35" s="34"/>
      <c r="C35" s="34"/>
      <c r="D35" s="34"/>
      <c r="E35" s="34"/>
      <c r="F35" s="48"/>
    </row>
    <row r="36" spans="1:7" ht="21.95" customHeight="1" x14ac:dyDescent="0.25">
      <c r="A36" s="47" t="s">
        <v>363</v>
      </c>
      <c r="B36" s="46" t="s">
        <v>362</v>
      </c>
      <c r="C36" s="45" t="s">
        <v>361</v>
      </c>
      <c r="D36" s="44" t="s">
        <v>360</v>
      </c>
      <c r="E36" s="45" t="s">
        <v>359</v>
      </c>
      <c r="F36" s="50" t="s">
        <v>358</v>
      </c>
    </row>
    <row r="37" spans="1:7" ht="18.95" customHeight="1" x14ac:dyDescent="0.25">
      <c r="A37" s="41" t="s">
        <v>283</v>
      </c>
      <c r="B37" s="40" t="s">
        <v>306</v>
      </c>
      <c r="C37" s="40" t="s">
        <v>285</v>
      </c>
      <c r="D37" s="40" t="s">
        <v>304</v>
      </c>
      <c r="E37" s="40" t="s">
        <v>305</v>
      </c>
      <c r="F37" s="49" t="s">
        <v>307</v>
      </c>
    </row>
    <row r="38" spans="1:7" ht="18.95" customHeight="1" x14ac:dyDescent="0.25">
      <c r="A38" s="41" t="s">
        <v>279</v>
      </c>
      <c r="B38" s="40" t="s">
        <v>302</v>
      </c>
      <c r="C38" s="40" t="s">
        <v>281</v>
      </c>
      <c r="D38" s="40" t="s">
        <v>300</v>
      </c>
      <c r="E38" s="40" t="s">
        <v>301</v>
      </c>
      <c r="F38" s="49" t="s">
        <v>303</v>
      </c>
    </row>
    <row r="39" spans="1:7" ht="18.95" customHeight="1" x14ac:dyDescent="0.25">
      <c r="A39" s="41" t="s">
        <v>275</v>
      </c>
      <c r="B39" s="40" t="s">
        <v>299</v>
      </c>
      <c r="C39" s="40" t="s">
        <v>276</v>
      </c>
      <c r="D39" s="40" t="s">
        <v>329</v>
      </c>
      <c r="E39" s="40" t="s">
        <v>277</v>
      </c>
      <c r="F39" s="49" t="s">
        <v>276</v>
      </c>
    </row>
    <row r="40" spans="1:7" ht="18.95" customHeight="1" x14ac:dyDescent="0.25">
      <c r="A40" s="41" t="s">
        <v>271</v>
      </c>
      <c r="B40" s="40" t="s">
        <v>297</v>
      </c>
      <c r="C40" s="40" t="s">
        <v>272</v>
      </c>
      <c r="D40" s="40" t="s">
        <v>316</v>
      </c>
      <c r="E40" s="40" t="s">
        <v>273</v>
      </c>
      <c r="F40" s="49" t="s">
        <v>272</v>
      </c>
    </row>
    <row r="41" spans="1:7" ht="18.95" customHeight="1" x14ac:dyDescent="0.25">
      <c r="A41" s="41" t="s">
        <v>267</v>
      </c>
      <c r="B41" s="40" t="s">
        <v>295</v>
      </c>
      <c r="C41" s="40" t="s">
        <v>293</v>
      </c>
      <c r="D41" s="40" t="s">
        <v>269</v>
      </c>
      <c r="E41" s="40" t="s">
        <v>267</v>
      </c>
      <c r="F41" s="49" t="s">
        <v>269</v>
      </c>
    </row>
    <row r="42" spans="1:7" ht="18.95" customHeight="1" x14ac:dyDescent="0.25">
      <c r="A42" s="41" t="s">
        <v>263</v>
      </c>
      <c r="B42" s="40" t="s">
        <v>292</v>
      </c>
      <c r="C42" s="40" t="s">
        <v>290</v>
      </c>
      <c r="D42" s="40" t="s">
        <v>265</v>
      </c>
      <c r="E42" s="40" t="s">
        <v>263</v>
      </c>
      <c r="F42" s="49" t="s">
        <v>265</v>
      </c>
    </row>
    <row r="43" spans="1:7" ht="24" customHeight="1" x14ac:dyDescent="0.25">
      <c r="A43" s="37"/>
      <c r="B43" s="37"/>
      <c r="C43" s="37"/>
      <c r="D43" s="37"/>
      <c r="E43" s="37"/>
      <c r="F43" s="37"/>
      <c r="G43" s="36" t="s">
        <v>261</v>
      </c>
    </row>
    <row r="44" spans="1:7" ht="24" customHeight="1" x14ac:dyDescent="0.25">
      <c r="A44" s="37"/>
      <c r="B44" s="37"/>
      <c r="C44" s="37"/>
      <c r="D44" s="37"/>
      <c r="E44" s="37"/>
      <c r="F44" s="37"/>
      <c r="G44" s="36" t="s">
        <v>260</v>
      </c>
    </row>
    <row r="45" spans="1:7" ht="24" customHeight="1" x14ac:dyDescent="0.25">
      <c r="A45" s="37"/>
      <c r="B45" s="37"/>
      <c r="C45" s="37"/>
      <c r="D45" s="37"/>
      <c r="E45" s="37"/>
      <c r="F45" s="37"/>
      <c r="G45" s="36" t="s">
        <v>259</v>
      </c>
    </row>
    <row r="46" spans="1:7" ht="18.95" customHeight="1" thickBot="1" x14ac:dyDescent="0.3">
      <c r="A46" s="35"/>
      <c r="B46" s="34"/>
      <c r="C46" s="34"/>
      <c r="D46" s="34"/>
      <c r="E46" s="34"/>
      <c r="F46" s="48"/>
    </row>
    <row r="47" spans="1:7" ht="21.95" customHeight="1" x14ac:dyDescent="0.25">
      <c r="A47" s="47" t="s">
        <v>357</v>
      </c>
      <c r="B47" s="46" t="s">
        <v>356</v>
      </c>
      <c r="C47" s="45" t="s">
        <v>355</v>
      </c>
      <c r="D47" s="44" t="s">
        <v>354</v>
      </c>
      <c r="E47" s="45" t="s">
        <v>353</v>
      </c>
      <c r="F47" s="50" t="s">
        <v>352</v>
      </c>
    </row>
    <row r="48" spans="1:7" ht="18.95" customHeight="1" x14ac:dyDescent="0.25">
      <c r="A48" s="41" t="s">
        <v>304</v>
      </c>
      <c r="B48" s="40" t="s">
        <v>284</v>
      </c>
      <c r="C48" s="40" t="s">
        <v>282</v>
      </c>
      <c r="D48" s="40" t="s">
        <v>307</v>
      </c>
      <c r="E48" s="40" t="s">
        <v>283</v>
      </c>
      <c r="F48" s="49" t="s">
        <v>285</v>
      </c>
    </row>
    <row r="49" spans="1:7" ht="18.95" customHeight="1" x14ac:dyDescent="0.25">
      <c r="A49" s="41" t="s">
        <v>300</v>
      </c>
      <c r="B49" s="40" t="s">
        <v>280</v>
      </c>
      <c r="C49" s="40" t="s">
        <v>278</v>
      </c>
      <c r="D49" s="40" t="s">
        <v>303</v>
      </c>
      <c r="E49" s="40" t="s">
        <v>279</v>
      </c>
      <c r="F49" s="49" t="s">
        <v>281</v>
      </c>
    </row>
    <row r="50" spans="1:7" ht="18.95" customHeight="1" x14ac:dyDescent="0.25">
      <c r="A50" s="41" t="s">
        <v>277</v>
      </c>
      <c r="B50" s="40" t="s">
        <v>276</v>
      </c>
      <c r="C50" s="40" t="s">
        <v>275</v>
      </c>
      <c r="D50" s="40" t="s">
        <v>317</v>
      </c>
      <c r="E50" s="40" t="s">
        <v>299</v>
      </c>
      <c r="F50" s="49" t="s">
        <v>275</v>
      </c>
    </row>
    <row r="51" spans="1:7" ht="18.95" customHeight="1" x14ac:dyDescent="0.25">
      <c r="A51" s="41" t="s">
        <v>273</v>
      </c>
      <c r="B51" s="40" t="s">
        <v>272</v>
      </c>
      <c r="C51" s="40" t="s">
        <v>271</v>
      </c>
      <c r="D51" s="40" t="s">
        <v>296</v>
      </c>
      <c r="E51" s="40" t="s">
        <v>297</v>
      </c>
      <c r="F51" s="49" t="s">
        <v>271</v>
      </c>
    </row>
    <row r="52" spans="1:7" ht="18.95" customHeight="1" x14ac:dyDescent="0.25">
      <c r="A52" s="41" t="s">
        <v>294</v>
      </c>
      <c r="B52" s="40" t="s">
        <v>268</v>
      </c>
      <c r="C52" s="40" t="s">
        <v>266</v>
      </c>
      <c r="D52" s="40" t="s">
        <v>293</v>
      </c>
      <c r="E52" s="40" t="s">
        <v>294</v>
      </c>
      <c r="F52" s="49" t="s">
        <v>293</v>
      </c>
    </row>
    <row r="53" spans="1:7" ht="18.95" customHeight="1" x14ac:dyDescent="0.25">
      <c r="A53" s="41" t="s">
        <v>291</v>
      </c>
      <c r="B53" s="40" t="s">
        <v>264</v>
      </c>
      <c r="C53" s="40" t="s">
        <v>262</v>
      </c>
      <c r="D53" s="40" t="s">
        <v>290</v>
      </c>
      <c r="E53" s="40" t="s">
        <v>291</v>
      </c>
      <c r="F53" s="49" t="s">
        <v>290</v>
      </c>
    </row>
    <row r="54" spans="1:7" ht="24" customHeight="1" x14ac:dyDescent="0.25">
      <c r="A54" s="37"/>
      <c r="B54" s="37"/>
      <c r="C54" s="37"/>
      <c r="D54" s="37"/>
      <c r="E54" s="37"/>
      <c r="F54" s="37"/>
      <c r="G54" s="36" t="s">
        <v>261</v>
      </c>
    </row>
    <row r="55" spans="1:7" ht="24" customHeight="1" x14ac:dyDescent="0.25">
      <c r="A55" s="37"/>
      <c r="B55" s="37"/>
      <c r="C55" s="37"/>
      <c r="D55" s="37"/>
      <c r="E55" s="37"/>
      <c r="F55" s="37"/>
      <c r="G55" s="36" t="s">
        <v>260</v>
      </c>
    </row>
    <row r="56" spans="1:7" ht="24" customHeight="1" x14ac:dyDescent="0.25">
      <c r="A56" s="37"/>
      <c r="B56" s="37"/>
      <c r="C56" s="37"/>
      <c r="D56" s="37"/>
      <c r="E56" s="37"/>
      <c r="F56" s="37"/>
      <c r="G56" s="36" t="s">
        <v>259</v>
      </c>
    </row>
    <row r="57" spans="1:7" ht="18.95" customHeight="1" thickBot="1" x14ac:dyDescent="0.3">
      <c r="A57" s="35"/>
      <c r="B57" s="34"/>
      <c r="C57" s="34"/>
      <c r="D57" s="34"/>
      <c r="E57" s="34"/>
      <c r="F57" s="48"/>
    </row>
    <row r="59" spans="1:7" x14ac:dyDescent="0.25">
      <c r="A59" s="31" t="s">
        <v>258</v>
      </c>
      <c r="B59" s="30"/>
      <c r="C59" s="30"/>
      <c r="D59" s="30"/>
      <c r="E59" s="30"/>
      <c r="F59" s="30"/>
    </row>
  </sheetData>
  <mergeCells count="2">
    <mergeCell ref="A1:F1"/>
    <mergeCell ref="A59:F5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CF9A-6F4E-4F34-BC33-02C6F9636739}">
  <dimension ref="A1:G59"/>
  <sheetViews>
    <sheetView showGridLines="0" tabSelected="1" zoomScale="70" zoomScaleNormal="70" workbookViewId="0">
      <pane ySplit="2" topLeftCell="A3" activePane="bottomLeft" state="frozen"/>
      <selection pane="bottomLeft" activeCell="L53" sqref="L53"/>
    </sheetView>
  </sheetViews>
  <sheetFormatPr defaultRowHeight="15" x14ac:dyDescent="0.25"/>
  <cols>
    <col min="1" max="6" width="31" style="29" customWidth="1"/>
    <col min="7" max="7" width="24" style="29" customWidth="1"/>
    <col min="8" max="16384" width="9.140625" style="29"/>
  </cols>
  <sheetData>
    <row r="1" spans="1:7" ht="20.25" thickBot="1" x14ac:dyDescent="0.35">
      <c r="A1" s="56" t="s">
        <v>406</v>
      </c>
      <c r="B1" s="30"/>
      <c r="C1" s="30"/>
      <c r="D1" s="30"/>
      <c r="E1" s="30"/>
      <c r="F1" s="30"/>
    </row>
    <row r="2" spans="1:7" ht="15.75" thickBot="1" x14ac:dyDescent="0.3">
      <c r="A2" s="55" t="s">
        <v>350</v>
      </c>
      <c r="B2" s="55" t="s">
        <v>349</v>
      </c>
      <c r="C2" s="55" t="s">
        <v>348</v>
      </c>
      <c r="D2" s="55" t="s">
        <v>347</v>
      </c>
      <c r="E2" s="55" t="s">
        <v>346</v>
      </c>
      <c r="F2" s="55" t="s">
        <v>345</v>
      </c>
      <c r="G2" s="54" t="s">
        <v>344</v>
      </c>
    </row>
    <row r="3" spans="1:7" ht="21.95" customHeight="1" x14ac:dyDescent="0.25">
      <c r="A3" s="47" t="s">
        <v>405</v>
      </c>
      <c r="B3" s="46" t="s">
        <v>404</v>
      </c>
      <c r="C3" s="45" t="s">
        <v>403</v>
      </c>
      <c r="D3" s="44" t="s">
        <v>402</v>
      </c>
      <c r="E3" s="45" t="s">
        <v>401</v>
      </c>
      <c r="F3" s="50" t="s">
        <v>400</v>
      </c>
    </row>
    <row r="4" spans="1:7" ht="18.95" customHeight="1" x14ac:dyDescent="0.25">
      <c r="A4" s="41" t="s">
        <v>307</v>
      </c>
      <c r="B4" s="40" t="s">
        <v>331</v>
      </c>
      <c r="C4" s="40" t="s">
        <v>305</v>
      </c>
      <c r="D4" s="40" t="s">
        <v>285</v>
      </c>
      <c r="E4" s="40" t="s">
        <v>304</v>
      </c>
      <c r="F4" s="49" t="s">
        <v>282</v>
      </c>
    </row>
    <row r="5" spans="1:7" ht="18.95" customHeight="1" x14ac:dyDescent="0.25">
      <c r="A5" s="41" t="s">
        <v>303</v>
      </c>
      <c r="B5" s="40" t="s">
        <v>330</v>
      </c>
      <c r="C5" s="40" t="s">
        <v>301</v>
      </c>
      <c r="D5" s="40" t="s">
        <v>281</v>
      </c>
      <c r="E5" s="40" t="s">
        <v>300</v>
      </c>
      <c r="F5" s="49" t="s">
        <v>278</v>
      </c>
    </row>
    <row r="6" spans="1:7" ht="18.95" customHeight="1" x14ac:dyDescent="0.25">
      <c r="A6" s="41" t="s">
        <v>299</v>
      </c>
      <c r="B6" s="40" t="s">
        <v>275</v>
      </c>
      <c r="C6" s="40" t="s">
        <v>277</v>
      </c>
      <c r="D6" s="40" t="s">
        <v>298</v>
      </c>
      <c r="E6" s="40" t="s">
        <v>276</v>
      </c>
      <c r="F6" s="49" t="s">
        <v>277</v>
      </c>
    </row>
    <row r="7" spans="1:7" ht="18.95" customHeight="1" x14ac:dyDescent="0.25">
      <c r="A7" s="41" t="s">
        <v>297</v>
      </c>
      <c r="B7" s="40" t="s">
        <v>271</v>
      </c>
      <c r="C7" s="40" t="s">
        <v>273</v>
      </c>
      <c r="D7" s="40" t="s">
        <v>270</v>
      </c>
      <c r="E7" s="40" t="s">
        <v>272</v>
      </c>
      <c r="F7" s="49" t="s">
        <v>273</v>
      </c>
    </row>
    <row r="8" spans="1:7" ht="18.95" customHeight="1" x14ac:dyDescent="0.25">
      <c r="A8" s="41" t="s">
        <v>269</v>
      </c>
      <c r="B8" s="40" t="s">
        <v>327</v>
      </c>
      <c r="C8" s="40" t="s">
        <v>267</v>
      </c>
      <c r="D8" s="40" t="s">
        <v>266</v>
      </c>
      <c r="E8" s="40" t="s">
        <v>269</v>
      </c>
      <c r="F8" s="49" t="s">
        <v>266</v>
      </c>
    </row>
    <row r="9" spans="1:7" ht="18.95" customHeight="1" x14ac:dyDescent="0.25">
      <c r="A9" s="41" t="s">
        <v>265</v>
      </c>
      <c r="B9" s="40" t="s">
        <v>326</v>
      </c>
      <c r="C9" s="40" t="s">
        <v>263</v>
      </c>
      <c r="D9" s="40" t="s">
        <v>262</v>
      </c>
      <c r="E9" s="40" t="s">
        <v>265</v>
      </c>
      <c r="F9" s="49" t="s">
        <v>262</v>
      </c>
    </row>
    <row r="10" spans="1:7" ht="24" customHeight="1" x14ac:dyDescent="0.25">
      <c r="A10" s="37"/>
      <c r="B10" s="37"/>
      <c r="C10" s="37"/>
      <c r="D10" s="37"/>
      <c r="E10" s="37"/>
      <c r="F10" s="37"/>
      <c r="G10" s="36" t="s">
        <v>261</v>
      </c>
    </row>
    <row r="11" spans="1:7" ht="24" customHeight="1" x14ac:dyDescent="0.25">
      <c r="A11" s="37"/>
      <c r="B11" s="37"/>
      <c r="C11" s="37"/>
      <c r="D11" s="37"/>
      <c r="E11" s="37"/>
      <c r="F11" s="37"/>
      <c r="G11" s="36" t="s">
        <v>260</v>
      </c>
    </row>
    <row r="12" spans="1:7" ht="24" customHeight="1" x14ac:dyDescent="0.25">
      <c r="A12" s="37"/>
      <c r="B12" s="37"/>
      <c r="C12" s="37"/>
      <c r="D12" s="37"/>
      <c r="E12" s="37"/>
      <c r="F12" s="37"/>
      <c r="G12" s="36" t="s">
        <v>259</v>
      </c>
    </row>
    <row r="13" spans="1:7" ht="18.95" customHeight="1" thickBot="1" x14ac:dyDescent="0.3">
      <c r="A13" s="35"/>
      <c r="B13" s="34"/>
      <c r="C13" s="34"/>
      <c r="D13" s="34"/>
      <c r="E13" s="34"/>
      <c r="F13" s="48"/>
    </row>
    <row r="14" spans="1:7" ht="21.95" customHeight="1" x14ac:dyDescent="0.25">
      <c r="A14" s="47" t="s">
        <v>399</v>
      </c>
      <c r="B14" s="46" t="s">
        <v>398</v>
      </c>
      <c r="C14" s="45" t="s">
        <v>397</v>
      </c>
      <c r="D14" s="44" t="s">
        <v>396</v>
      </c>
      <c r="E14" s="45" t="s">
        <v>395</v>
      </c>
      <c r="F14" s="50" t="s">
        <v>394</v>
      </c>
    </row>
    <row r="15" spans="1:7" ht="18.95" customHeight="1" x14ac:dyDescent="0.25">
      <c r="A15" s="41" t="s">
        <v>285</v>
      </c>
      <c r="B15" s="40" t="s">
        <v>319</v>
      </c>
      <c r="C15" s="40" t="s">
        <v>283</v>
      </c>
      <c r="D15" s="40" t="s">
        <v>282</v>
      </c>
      <c r="E15" s="40" t="s">
        <v>307</v>
      </c>
      <c r="F15" s="49" t="s">
        <v>305</v>
      </c>
    </row>
    <row r="16" spans="1:7" ht="18.95" customHeight="1" x14ac:dyDescent="0.25">
      <c r="A16" s="41" t="s">
        <v>281</v>
      </c>
      <c r="B16" s="40" t="s">
        <v>318</v>
      </c>
      <c r="C16" s="40" t="s">
        <v>279</v>
      </c>
      <c r="D16" s="40" t="s">
        <v>278</v>
      </c>
      <c r="E16" s="40" t="s">
        <v>303</v>
      </c>
      <c r="F16" s="49" t="s">
        <v>301</v>
      </c>
    </row>
    <row r="17" spans="1:7" ht="18.95" customHeight="1" x14ac:dyDescent="0.25">
      <c r="A17" s="41" t="s">
        <v>276</v>
      </c>
      <c r="B17" s="40" t="s">
        <v>277</v>
      </c>
      <c r="C17" s="40" t="s">
        <v>299</v>
      </c>
      <c r="D17" s="40" t="s">
        <v>274</v>
      </c>
      <c r="E17" s="40" t="s">
        <v>275</v>
      </c>
      <c r="F17" s="49" t="s">
        <v>299</v>
      </c>
    </row>
    <row r="18" spans="1:7" ht="18.95" customHeight="1" x14ac:dyDescent="0.25">
      <c r="A18" s="41" t="s">
        <v>272</v>
      </c>
      <c r="B18" s="40" t="s">
        <v>273</v>
      </c>
      <c r="C18" s="40" t="s">
        <v>297</v>
      </c>
      <c r="D18" s="40" t="s">
        <v>338</v>
      </c>
      <c r="E18" s="40" t="s">
        <v>271</v>
      </c>
      <c r="F18" s="49" t="s">
        <v>297</v>
      </c>
    </row>
    <row r="19" spans="1:7" ht="18.95" customHeight="1" x14ac:dyDescent="0.25">
      <c r="A19" s="41" t="s">
        <v>293</v>
      </c>
      <c r="B19" s="40" t="s">
        <v>315</v>
      </c>
      <c r="C19" s="40" t="s">
        <v>294</v>
      </c>
      <c r="D19" s="40" t="s">
        <v>267</v>
      </c>
      <c r="E19" s="40" t="s">
        <v>293</v>
      </c>
      <c r="F19" s="49" t="s">
        <v>267</v>
      </c>
    </row>
    <row r="20" spans="1:7" ht="18.95" customHeight="1" x14ac:dyDescent="0.25">
      <c r="A20" s="41" t="s">
        <v>290</v>
      </c>
      <c r="B20" s="40" t="s">
        <v>314</v>
      </c>
      <c r="C20" s="40" t="s">
        <v>291</v>
      </c>
      <c r="D20" s="40" t="s">
        <v>263</v>
      </c>
      <c r="E20" s="40" t="s">
        <v>290</v>
      </c>
      <c r="F20" s="49" t="s">
        <v>263</v>
      </c>
    </row>
    <row r="21" spans="1:7" ht="24" customHeight="1" x14ac:dyDescent="0.25">
      <c r="A21" s="37"/>
      <c r="B21" s="37"/>
      <c r="C21" s="37"/>
      <c r="D21" s="37"/>
      <c r="E21" s="37"/>
      <c r="F21" s="37"/>
      <c r="G21" s="36" t="s">
        <v>261</v>
      </c>
    </row>
    <row r="22" spans="1:7" ht="24" customHeight="1" x14ac:dyDescent="0.25">
      <c r="A22" s="37"/>
      <c r="B22" s="37"/>
      <c r="C22" s="37"/>
      <c r="D22" s="37"/>
      <c r="E22" s="37"/>
      <c r="F22" s="37"/>
      <c r="G22" s="36" t="s">
        <v>260</v>
      </c>
    </row>
    <row r="23" spans="1:7" ht="24" customHeight="1" x14ac:dyDescent="0.25">
      <c r="A23" s="37"/>
      <c r="B23" s="37"/>
      <c r="C23" s="37"/>
      <c r="D23" s="37"/>
      <c r="E23" s="37"/>
      <c r="F23" s="37"/>
      <c r="G23" s="36" t="s">
        <v>259</v>
      </c>
    </row>
    <row r="24" spans="1:7" ht="18.95" customHeight="1" thickBot="1" x14ac:dyDescent="0.3">
      <c r="A24" s="35"/>
      <c r="B24" s="34"/>
      <c r="C24" s="34"/>
      <c r="D24" s="34"/>
      <c r="E24" s="34"/>
      <c r="F24" s="48"/>
    </row>
    <row r="25" spans="1:7" ht="21.95" customHeight="1" x14ac:dyDescent="0.25">
      <c r="A25" s="47" t="s">
        <v>393</v>
      </c>
      <c r="B25" s="46" t="s">
        <v>392</v>
      </c>
      <c r="C25" s="45" t="s">
        <v>391</v>
      </c>
      <c r="D25" s="44" t="s">
        <v>390</v>
      </c>
      <c r="E25" s="45" t="s">
        <v>389</v>
      </c>
      <c r="F25" s="50" t="s">
        <v>388</v>
      </c>
    </row>
    <row r="26" spans="1:7" ht="18.95" customHeight="1" x14ac:dyDescent="0.25">
      <c r="A26" s="41" t="s">
        <v>282</v>
      </c>
      <c r="B26" s="40" t="s">
        <v>306</v>
      </c>
      <c r="C26" s="40" t="s">
        <v>304</v>
      </c>
      <c r="D26" s="40" t="s">
        <v>305</v>
      </c>
      <c r="E26" s="40" t="s">
        <v>285</v>
      </c>
      <c r="F26" s="49" t="s">
        <v>283</v>
      </c>
    </row>
    <row r="27" spans="1:7" ht="18.95" customHeight="1" x14ac:dyDescent="0.25">
      <c r="A27" s="41" t="s">
        <v>278</v>
      </c>
      <c r="B27" s="40" t="s">
        <v>302</v>
      </c>
      <c r="C27" s="40" t="s">
        <v>300</v>
      </c>
      <c r="D27" s="40" t="s">
        <v>301</v>
      </c>
      <c r="E27" s="40" t="s">
        <v>281</v>
      </c>
      <c r="F27" s="49" t="s">
        <v>279</v>
      </c>
    </row>
    <row r="28" spans="1:7" ht="18.95" customHeight="1" x14ac:dyDescent="0.25">
      <c r="A28" s="41" t="s">
        <v>275</v>
      </c>
      <c r="B28" s="40" t="s">
        <v>299</v>
      </c>
      <c r="C28" s="40" t="s">
        <v>276</v>
      </c>
      <c r="D28" s="40" t="s">
        <v>370</v>
      </c>
      <c r="E28" s="40" t="s">
        <v>277</v>
      </c>
      <c r="F28" s="49" t="s">
        <v>276</v>
      </c>
    </row>
    <row r="29" spans="1:7" ht="18.95" customHeight="1" x14ac:dyDescent="0.25">
      <c r="A29" s="41" t="s">
        <v>271</v>
      </c>
      <c r="B29" s="40" t="s">
        <v>297</v>
      </c>
      <c r="C29" s="40" t="s">
        <v>272</v>
      </c>
      <c r="D29" s="40" t="s">
        <v>328</v>
      </c>
      <c r="E29" s="40" t="s">
        <v>273</v>
      </c>
      <c r="F29" s="49" t="s">
        <v>272</v>
      </c>
    </row>
    <row r="30" spans="1:7" ht="18.95" customHeight="1" x14ac:dyDescent="0.25">
      <c r="A30" s="41" t="s">
        <v>266</v>
      </c>
      <c r="B30" s="40" t="s">
        <v>295</v>
      </c>
      <c r="C30" s="40" t="s">
        <v>269</v>
      </c>
      <c r="D30" s="40" t="s">
        <v>294</v>
      </c>
      <c r="E30" s="40" t="s">
        <v>266</v>
      </c>
      <c r="F30" s="49" t="s">
        <v>294</v>
      </c>
    </row>
    <row r="31" spans="1:7" ht="18.95" customHeight="1" x14ac:dyDescent="0.25">
      <c r="A31" s="41" t="s">
        <v>262</v>
      </c>
      <c r="B31" s="40" t="s">
        <v>292</v>
      </c>
      <c r="C31" s="40" t="s">
        <v>265</v>
      </c>
      <c r="D31" s="40" t="s">
        <v>291</v>
      </c>
      <c r="E31" s="40" t="s">
        <v>262</v>
      </c>
      <c r="F31" s="49" t="s">
        <v>291</v>
      </c>
    </row>
    <row r="32" spans="1:7" ht="24" customHeight="1" x14ac:dyDescent="0.25">
      <c r="A32" s="37"/>
      <c r="B32" s="37"/>
      <c r="C32" s="37"/>
      <c r="D32" s="37"/>
      <c r="E32" s="37"/>
      <c r="F32" s="37"/>
      <c r="G32" s="36" t="s">
        <v>261</v>
      </c>
    </row>
    <row r="33" spans="1:7" ht="24" customHeight="1" x14ac:dyDescent="0.25">
      <c r="A33" s="37"/>
      <c r="B33" s="37"/>
      <c r="C33" s="37"/>
      <c r="D33" s="37"/>
      <c r="E33" s="37"/>
      <c r="F33" s="37"/>
      <c r="G33" s="36" t="s">
        <v>260</v>
      </c>
    </row>
    <row r="34" spans="1:7" ht="24" customHeight="1" x14ac:dyDescent="0.25">
      <c r="A34" s="37"/>
      <c r="B34" s="37"/>
      <c r="C34" s="37"/>
      <c r="D34" s="37"/>
      <c r="E34" s="37"/>
      <c r="F34" s="37"/>
      <c r="G34" s="36" t="s">
        <v>259</v>
      </c>
    </row>
    <row r="35" spans="1:7" ht="18.95" customHeight="1" thickBot="1" x14ac:dyDescent="0.3">
      <c r="A35" s="35"/>
      <c r="B35" s="34"/>
      <c r="C35" s="34"/>
      <c r="D35" s="34"/>
      <c r="E35" s="34"/>
      <c r="F35" s="48"/>
    </row>
    <row r="36" spans="1:7" ht="21.95" customHeight="1" x14ac:dyDescent="0.25">
      <c r="A36" s="47" t="s">
        <v>387</v>
      </c>
      <c r="B36" s="46" t="s">
        <v>386</v>
      </c>
      <c r="C36" s="45" t="s">
        <v>385</v>
      </c>
      <c r="D36" s="44" t="s">
        <v>384</v>
      </c>
      <c r="E36" s="45" t="s">
        <v>383</v>
      </c>
      <c r="F36" s="50" t="s">
        <v>382</v>
      </c>
    </row>
    <row r="37" spans="1:7" ht="18.95" customHeight="1" x14ac:dyDescent="0.25">
      <c r="A37" s="41" t="s">
        <v>305</v>
      </c>
      <c r="B37" s="40" t="s">
        <v>284</v>
      </c>
      <c r="C37" s="40" t="s">
        <v>307</v>
      </c>
      <c r="D37" s="40" t="s">
        <v>283</v>
      </c>
      <c r="E37" s="40" t="s">
        <v>282</v>
      </c>
      <c r="F37" s="49" t="s">
        <v>304</v>
      </c>
    </row>
    <row r="38" spans="1:7" ht="18.95" customHeight="1" x14ac:dyDescent="0.25">
      <c r="A38" s="41" t="s">
        <v>301</v>
      </c>
      <c r="B38" s="40" t="s">
        <v>280</v>
      </c>
      <c r="C38" s="40" t="s">
        <v>303</v>
      </c>
      <c r="D38" s="40" t="s">
        <v>279</v>
      </c>
      <c r="E38" s="40" t="s">
        <v>278</v>
      </c>
      <c r="F38" s="49" t="s">
        <v>300</v>
      </c>
    </row>
    <row r="39" spans="1:7" ht="18.95" customHeight="1" x14ac:dyDescent="0.25">
      <c r="A39" s="41" t="s">
        <v>277</v>
      </c>
      <c r="B39" s="40" t="s">
        <v>276</v>
      </c>
      <c r="C39" s="40" t="s">
        <v>275</v>
      </c>
      <c r="D39" s="40" t="s">
        <v>339</v>
      </c>
      <c r="E39" s="40" t="s">
        <v>299</v>
      </c>
      <c r="F39" s="49" t="s">
        <v>275</v>
      </c>
    </row>
    <row r="40" spans="1:7" ht="18.95" customHeight="1" x14ac:dyDescent="0.25">
      <c r="A40" s="41" t="s">
        <v>273</v>
      </c>
      <c r="B40" s="40" t="s">
        <v>272</v>
      </c>
      <c r="C40" s="40" t="s">
        <v>271</v>
      </c>
      <c r="D40" s="40" t="s">
        <v>316</v>
      </c>
      <c r="E40" s="40" t="s">
        <v>297</v>
      </c>
      <c r="F40" s="49" t="s">
        <v>271</v>
      </c>
    </row>
    <row r="41" spans="1:7" ht="18.95" customHeight="1" x14ac:dyDescent="0.25">
      <c r="A41" s="41" t="s">
        <v>267</v>
      </c>
      <c r="B41" s="40" t="s">
        <v>268</v>
      </c>
      <c r="C41" s="40" t="s">
        <v>293</v>
      </c>
      <c r="D41" s="40" t="s">
        <v>269</v>
      </c>
      <c r="E41" s="40" t="s">
        <v>267</v>
      </c>
      <c r="F41" s="49" t="s">
        <v>269</v>
      </c>
    </row>
    <row r="42" spans="1:7" ht="18.95" customHeight="1" x14ac:dyDescent="0.25">
      <c r="A42" s="41" t="s">
        <v>263</v>
      </c>
      <c r="B42" s="40" t="s">
        <v>264</v>
      </c>
      <c r="C42" s="40" t="s">
        <v>290</v>
      </c>
      <c r="D42" s="40" t="s">
        <v>265</v>
      </c>
      <c r="E42" s="40" t="s">
        <v>263</v>
      </c>
      <c r="F42" s="49" t="s">
        <v>265</v>
      </c>
    </row>
    <row r="43" spans="1:7" ht="24" customHeight="1" x14ac:dyDescent="0.25">
      <c r="A43" s="37"/>
      <c r="B43" s="37"/>
      <c r="C43" s="37"/>
      <c r="D43" s="37"/>
      <c r="E43" s="37"/>
      <c r="F43" s="37"/>
      <c r="G43" s="36" t="s">
        <v>261</v>
      </c>
    </row>
    <row r="44" spans="1:7" ht="24" customHeight="1" x14ac:dyDescent="0.25">
      <c r="A44" s="37"/>
      <c r="B44" s="37"/>
      <c r="C44" s="37"/>
      <c r="D44" s="37"/>
      <c r="E44" s="37"/>
      <c r="F44" s="37"/>
      <c r="G44" s="36" t="s">
        <v>260</v>
      </c>
    </row>
    <row r="45" spans="1:7" ht="24" customHeight="1" x14ac:dyDescent="0.25">
      <c r="A45" s="37"/>
      <c r="B45" s="37"/>
      <c r="C45" s="37"/>
      <c r="D45" s="37"/>
      <c r="E45" s="37"/>
      <c r="F45" s="37"/>
      <c r="G45" s="36" t="s">
        <v>259</v>
      </c>
    </row>
    <row r="46" spans="1:7" ht="18.95" customHeight="1" thickBot="1" x14ac:dyDescent="0.3">
      <c r="A46" s="35"/>
      <c r="B46" s="34"/>
      <c r="C46" s="34"/>
      <c r="D46" s="34"/>
      <c r="E46" s="34"/>
      <c r="F46" s="48"/>
    </row>
    <row r="47" spans="1:7" ht="21.95" customHeight="1" x14ac:dyDescent="0.25">
      <c r="A47" s="47" t="s">
        <v>381</v>
      </c>
      <c r="B47" s="46" t="s">
        <v>380</v>
      </c>
      <c r="C47" s="43"/>
      <c r="D47" s="43"/>
      <c r="E47" s="43"/>
      <c r="F47" s="42"/>
    </row>
    <row r="48" spans="1:7" ht="18.95" customHeight="1" x14ac:dyDescent="0.25">
      <c r="A48" s="41" t="s">
        <v>283</v>
      </c>
      <c r="B48" s="40" t="s">
        <v>331</v>
      </c>
      <c r="C48" s="39"/>
      <c r="D48" s="39"/>
      <c r="E48" s="39"/>
      <c r="F48" s="38"/>
    </row>
    <row r="49" spans="1:7" ht="18.95" customHeight="1" x14ac:dyDescent="0.25">
      <c r="A49" s="41" t="s">
        <v>279</v>
      </c>
      <c r="B49" s="40" t="s">
        <v>330</v>
      </c>
      <c r="C49" s="39"/>
      <c r="D49" s="39"/>
      <c r="E49" s="39"/>
      <c r="F49" s="38"/>
    </row>
    <row r="50" spans="1:7" ht="18.95" customHeight="1" x14ac:dyDescent="0.25">
      <c r="A50" s="41" t="s">
        <v>299</v>
      </c>
      <c r="B50" s="40" t="s">
        <v>275</v>
      </c>
      <c r="C50" s="39"/>
      <c r="D50" s="39"/>
      <c r="E50" s="39"/>
      <c r="F50" s="38"/>
    </row>
    <row r="51" spans="1:7" ht="18.95" customHeight="1" x14ac:dyDescent="0.25">
      <c r="A51" s="41" t="s">
        <v>297</v>
      </c>
      <c r="B51" s="40" t="s">
        <v>271</v>
      </c>
      <c r="C51" s="39"/>
      <c r="D51" s="39"/>
      <c r="E51" s="39"/>
      <c r="F51" s="38"/>
    </row>
    <row r="52" spans="1:7" ht="18.95" customHeight="1" x14ac:dyDescent="0.25">
      <c r="A52" s="41" t="s">
        <v>294</v>
      </c>
      <c r="B52" s="40" t="s">
        <v>327</v>
      </c>
      <c r="C52" s="39"/>
      <c r="D52" s="39"/>
      <c r="E52" s="39"/>
      <c r="F52" s="38"/>
    </row>
    <row r="53" spans="1:7" ht="18.95" customHeight="1" x14ac:dyDescent="0.25">
      <c r="A53" s="41" t="s">
        <v>291</v>
      </c>
      <c r="B53" s="40" t="s">
        <v>326</v>
      </c>
      <c r="C53" s="39"/>
      <c r="D53" s="39"/>
      <c r="E53" s="39"/>
      <c r="F53" s="38"/>
    </row>
    <row r="54" spans="1:7" ht="24" customHeight="1" x14ac:dyDescent="0.25">
      <c r="A54" s="37"/>
      <c r="B54" s="37"/>
      <c r="C54" s="37"/>
      <c r="D54" s="37"/>
      <c r="E54" s="37"/>
      <c r="F54" s="37"/>
      <c r="G54" s="36" t="s">
        <v>261</v>
      </c>
    </row>
    <row r="55" spans="1:7" ht="24" customHeight="1" x14ac:dyDescent="0.25">
      <c r="A55" s="37"/>
      <c r="B55" s="37"/>
      <c r="C55" s="37"/>
      <c r="D55" s="37"/>
      <c r="E55" s="37"/>
      <c r="F55" s="37"/>
      <c r="G55" s="36" t="s">
        <v>260</v>
      </c>
    </row>
    <row r="56" spans="1:7" ht="24" customHeight="1" x14ac:dyDescent="0.25">
      <c r="A56" s="37"/>
      <c r="B56" s="37"/>
      <c r="C56" s="37"/>
      <c r="D56" s="37"/>
      <c r="E56" s="37"/>
      <c r="F56" s="37"/>
      <c r="G56" s="36" t="s">
        <v>259</v>
      </c>
    </row>
    <row r="57" spans="1:7" ht="18.95" customHeight="1" thickBot="1" x14ac:dyDescent="0.3">
      <c r="A57" s="35"/>
      <c r="B57" s="34"/>
      <c r="C57" s="33"/>
      <c r="D57" s="33"/>
      <c r="E57" s="33"/>
      <c r="F57" s="32"/>
    </row>
    <row r="59" spans="1:7" x14ac:dyDescent="0.25">
      <c r="A59" s="31" t="s">
        <v>258</v>
      </c>
      <c r="B59" s="30"/>
      <c r="C59" s="30"/>
      <c r="D59" s="30"/>
      <c r="E59" s="30"/>
      <c r="F59" s="30"/>
    </row>
  </sheetData>
  <mergeCells count="2">
    <mergeCell ref="A1:F1"/>
    <mergeCell ref="A59:F5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B263-7409-4E33-82E9-E9101AFBA412}">
  <dimension ref="A1:BB996"/>
  <sheetViews>
    <sheetView topLeftCell="B1" workbookViewId="0">
      <selection activeCell="B11" sqref="B11"/>
    </sheetView>
  </sheetViews>
  <sheetFormatPr defaultColWidth="8.5703125" defaultRowHeight="15" x14ac:dyDescent="0.25"/>
  <cols>
    <col min="1" max="1" width="22" style="29" hidden="1" customWidth="1"/>
    <col min="2" max="2" width="12" style="29" customWidth="1"/>
    <col min="3" max="3" width="11.28515625" style="29" customWidth="1"/>
    <col min="4" max="4" width="11.140625" style="29" customWidth="1"/>
    <col min="5" max="5" width="9" style="29" customWidth="1"/>
    <col min="6" max="6" width="14" style="29" customWidth="1"/>
    <col min="7" max="7" width="18" style="29" hidden="1" customWidth="1"/>
    <col min="8" max="8" width="12" style="29" customWidth="1"/>
    <col min="9" max="9" width="24" style="29" hidden="1" customWidth="1"/>
    <col min="10" max="10" width="22" style="29" hidden="1" customWidth="1"/>
    <col min="11" max="11" width="28" style="29" hidden="1" customWidth="1"/>
    <col min="12" max="12" width="22" style="29" hidden="1" customWidth="1"/>
    <col min="13" max="13" width="24" style="29" hidden="1" customWidth="1"/>
    <col min="14" max="14" width="16" style="29" customWidth="1"/>
    <col min="15" max="15" width="15" style="29" customWidth="1"/>
    <col min="16" max="16" width="16" style="29" customWidth="1"/>
    <col min="17" max="17" width="10" style="29" customWidth="1"/>
    <col min="18" max="18" width="18" style="29" customWidth="1"/>
    <col min="19" max="19" width="11" style="29" customWidth="1"/>
    <col min="20" max="21" width="10" style="29" customWidth="1"/>
    <col min="22" max="22" width="12" style="29" customWidth="1"/>
    <col min="23" max="23" width="11" style="29" customWidth="1"/>
    <col min="24" max="24" width="12" style="29" customWidth="1"/>
    <col min="25" max="30" width="10" style="29" customWidth="1"/>
    <col min="31" max="32" width="9" style="29" customWidth="1"/>
    <col min="33" max="33" width="16" style="29" customWidth="1"/>
    <col min="34" max="34" width="11" style="29" customWidth="1"/>
    <col min="35" max="36" width="11" style="29" hidden="1" customWidth="1"/>
    <col min="37" max="37" width="13" style="29" hidden="1" customWidth="1"/>
    <col min="38" max="39" width="12" style="29" hidden="1" customWidth="1"/>
    <col min="40" max="40" width="16" style="29" hidden="1" customWidth="1"/>
    <col min="41" max="41" width="14" style="29" customWidth="1"/>
    <col min="42" max="42" width="18" style="29" customWidth="1"/>
    <col min="43" max="43" width="28" style="29" customWidth="1"/>
    <col min="44" max="44" width="24" style="29" customWidth="1"/>
    <col min="45" max="45" width="24" style="29" hidden="1" customWidth="1"/>
    <col min="46" max="50" width="18" style="29" hidden="1" customWidth="1"/>
    <col min="51" max="51" width="16" style="29" hidden="1" customWidth="1"/>
    <col min="52" max="54" width="18" style="29" hidden="1" customWidth="1"/>
    <col min="55" max="16384" width="8.5703125" style="29"/>
  </cols>
  <sheetData>
    <row r="1" spans="1:54" ht="24" customHeight="1" x14ac:dyDescent="0.25">
      <c r="A1" s="68" t="s">
        <v>133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</row>
    <row r="2" spans="1:54" ht="33.75" customHeight="1" x14ac:dyDescent="0.25">
      <c r="A2" s="67" t="s">
        <v>134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</row>
    <row r="3" spans="1:54" ht="39.75" customHeight="1" x14ac:dyDescent="0.25">
      <c r="A3" s="66" t="s">
        <v>135</v>
      </c>
      <c r="B3" s="66" t="s">
        <v>136</v>
      </c>
      <c r="C3" s="66" t="s">
        <v>137</v>
      </c>
      <c r="D3" s="66" t="s">
        <v>138</v>
      </c>
      <c r="E3" s="66" t="s">
        <v>2</v>
      </c>
      <c r="F3" s="66" t="s">
        <v>3</v>
      </c>
      <c r="G3" s="66" t="s">
        <v>139</v>
      </c>
      <c r="H3" s="66" t="s">
        <v>4</v>
      </c>
      <c r="I3" s="66" t="s">
        <v>5</v>
      </c>
      <c r="J3" s="66" t="s">
        <v>6</v>
      </c>
      <c r="K3" s="66" t="s">
        <v>7</v>
      </c>
      <c r="L3" s="66" t="s">
        <v>8</v>
      </c>
      <c r="M3" s="66" t="s">
        <v>9</v>
      </c>
      <c r="N3" s="66" t="s">
        <v>140</v>
      </c>
      <c r="O3" s="66" t="s">
        <v>141</v>
      </c>
      <c r="P3" s="66" t="s">
        <v>142</v>
      </c>
      <c r="Q3" s="66" t="s">
        <v>143</v>
      </c>
      <c r="R3" s="66" t="s">
        <v>144</v>
      </c>
      <c r="S3" s="66" t="s">
        <v>145</v>
      </c>
      <c r="T3" s="66" t="s">
        <v>146</v>
      </c>
      <c r="U3" s="66" t="s">
        <v>147</v>
      </c>
      <c r="V3" s="66" t="s">
        <v>148</v>
      </c>
      <c r="W3" s="66" t="s">
        <v>149</v>
      </c>
      <c r="X3" s="66" t="s">
        <v>150</v>
      </c>
      <c r="Y3" s="66" t="s">
        <v>151</v>
      </c>
      <c r="Z3" s="66" t="s">
        <v>152</v>
      </c>
      <c r="AA3" s="66" t="s">
        <v>153</v>
      </c>
      <c r="AB3" s="66" t="s">
        <v>409</v>
      </c>
      <c r="AC3" s="66" t="s">
        <v>154</v>
      </c>
      <c r="AD3" s="66" t="s">
        <v>408</v>
      </c>
      <c r="AE3" s="66" t="s">
        <v>407</v>
      </c>
      <c r="AF3" s="66" t="s">
        <v>155</v>
      </c>
      <c r="AG3" s="66" t="s">
        <v>156</v>
      </c>
      <c r="AH3" s="66" t="s">
        <v>157</v>
      </c>
      <c r="AI3" s="66" t="s">
        <v>158</v>
      </c>
      <c r="AJ3" s="66" t="s">
        <v>159</v>
      </c>
      <c r="AK3" s="66" t="s">
        <v>160</v>
      </c>
      <c r="AL3" s="66" t="s">
        <v>161</v>
      </c>
      <c r="AM3" s="66" t="s">
        <v>162</v>
      </c>
      <c r="AN3" s="66" t="s">
        <v>163</v>
      </c>
      <c r="AO3" s="66" t="s">
        <v>164</v>
      </c>
      <c r="AP3" s="66" t="s">
        <v>165</v>
      </c>
      <c r="AQ3" s="66" t="s">
        <v>166</v>
      </c>
      <c r="AR3" s="66" t="s">
        <v>168</v>
      </c>
      <c r="AS3" s="66" t="s">
        <v>169</v>
      </c>
      <c r="AT3" s="66" t="s">
        <v>173</v>
      </c>
      <c r="AU3" s="66" t="s">
        <v>174</v>
      </c>
      <c r="AV3" s="66" t="s">
        <v>175</v>
      </c>
      <c r="AW3" s="66" t="s">
        <v>176</v>
      </c>
      <c r="AX3" s="66" t="s">
        <v>177</v>
      </c>
      <c r="AY3" s="66" t="s">
        <v>178</v>
      </c>
      <c r="AZ3" s="66" t="s">
        <v>179</v>
      </c>
      <c r="BA3" s="66" t="s">
        <v>180</v>
      </c>
      <c r="BB3" s="66" t="s">
        <v>181</v>
      </c>
    </row>
    <row r="4" spans="1:54" ht="19.5" customHeight="1" x14ac:dyDescent="0.25">
      <c r="A4" s="60" t="str">
        <f>IF($B4="","",TEXT($B4,"yyyymmdd")&amp;"-"&amp;SUBSTITUTE($F4," ","")&amp;"-"&amp;TEXT(COUNTIF($F$4:F4,$F4),"00"))</f>
        <v/>
      </c>
      <c r="B4" s="65"/>
      <c r="C4" s="60" t="str">
        <f>IF($B4="","",WEEKNUM($B4,2))</f>
        <v/>
      </c>
      <c r="D4" s="60" t="str">
        <f>IF($B4="","",TEXT($B4,"yyyy-mm"))</f>
        <v/>
      </c>
      <c r="E4" s="64"/>
      <c r="F4" s="64"/>
      <c r="G4" s="60" t="str">
        <f>IF(OR($E4="",$F4=""),"",IFERROR(IF($E4=INDEX([1]Cluster_Master!$A$4:$A$18,MATCH($F4,[1]Cluster_Master!$B$4:$B$18,0)),"OK","CHECK"),"CHECK"))</f>
        <v/>
      </c>
      <c r="H4" s="63" t="str">
        <f>IFERROR(INDEX([1]Cluster_Master!$C$4:$C$18,MATCH($F4,[1]Cluster_Master!$B$4:$B$18,0)),"")</f>
        <v/>
      </c>
      <c r="I4" s="60" t="str">
        <f>IFERROR(INDEX([1]Cluster_Master!$D$4:$D$18,MATCH($F4,[1]Cluster_Master!$B$4:$B$18,0)),"")</f>
        <v/>
      </c>
      <c r="J4" s="60" t="str">
        <f>IFERROR(INDEX([1]Cluster_Master!$E$4:$E$18,MATCH($F4,[1]Cluster_Master!$B$4:$B$18,0)),"")</f>
        <v/>
      </c>
      <c r="K4" s="60" t="str">
        <f>IFERROR(INDEX([1]Cluster_Master!$F$4:$F$18,MATCH($F4,[1]Cluster_Master!$B$4:$B$18,0)),"")</f>
        <v/>
      </c>
      <c r="L4" s="60" t="str">
        <f>IFERROR(INDEX([1]Cluster_Master!$G$4:$G$18,MATCH($F4,[1]Cluster_Master!$B$4:$B$18,0)),"")</f>
        <v/>
      </c>
      <c r="M4" s="60" t="str">
        <f>IFERROR(INDEX([1]Cluster_Master!$H$4:$H$18,MATCH($F4,[1]Cluster_Master!$B$4:$B$18,0)),"")</f>
        <v/>
      </c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60" t="str">
        <f>IF(COUNTA(T4:AH4)=0,"",SUM(T4:AH4))</f>
        <v/>
      </c>
      <c r="AJ4" s="61" t="str">
        <f>IF(COUNTA(T4:AH4)=0,"",AI4/75)</f>
        <v/>
      </c>
      <c r="AK4" s="61" t="str">
        <f>IF(COUNTA(T4:AH4)=0,"",(SUM(T4*[1]KPI_Weights!$B$4,U4*[1]KPI_Weights!$B$5,V4*[1]KPI_Weights!$B$6,W4*[1]KPI_Weights!$B$7,X4*[1]KPI_Weights!$B$8,Y4*[1]KPI_Weights!$B$9,Z4*[1]KPI_Weights!$B$10,AA4*[1]KPI_Weights!$B$11,AB4*[1]KPI_Weights!$B$12,AC4*[1]KPI_Weights!$B$13,AD4*[1]KPI_Weights!$B$14,AE4*[1]KPI_Weights!$B$15,AF4*[1]KPI_Weights!$B$16,AG4*[1]KPI_Weights!$B$17,AH4*[1]KPI_Weights!$B$18))/5)</f>
        <v/>
      </c>
      <c r="AL4" s="60" t="str">
        <f>IF(COUNTA(T4:AH4)=0,"",IF(OR(T4&lt;=1,W4&lt;=1,X4&lt;=1,Y4&lt;=1,AB4&lt;=1),"YES","NO"))</f>
        <v/>
      </c>
      <c r="AM4" s="60" t="str">
        <f>IF(AJ4="","",IF(AND(AL4="NO",AJ4&gt;=0.75),"YES","NO"))</f>
        <v/>
      </c>
      <c r="AN4" s="60" t="str">
        <f>IF(AJ4="","",IF(AJ4&lt;0.4,"Critical",IF(AJ4&lt;0.6,"Poor",IF(AJ4&lt;0.75,"Needs Improvement",IF(AJ4&lt;0.9,"Good","Excellent")))))</f>
        <v/>
      </c>
      <c r="AO4" s="59"/>
      <c r="AP4" s="59"/>
      <c r="AQ4" s="59"/>
      <c r="AR4" s="59"/>
      <c r="AS4" s="58"/>
      <c r="AT4" s="58"/>
      <c r="AU4" s="58"/>
      <c r="AV4" s="58"/>
      <c r="AW4" s="58"/>
      <c r="AX4" s="58"/>
      <c r="AY4" s="58"/>
      <c r="AZ4" s="58"/>
      <c r="BA4" s="58"/>
      <c r="BB4" s="58"/>
    </row>
    <row r="5" spans="1:54" ht="19.5" customHeight="1" x14ac:dyDescent="0.25">
      <c r="A5" s="60" t="str">
        <f>IF($B5="","",TEXT($B5,"yyyymmdd")&amp;"-"&amp;SUBSTITUTE($F5," ","")&amp;"-"&amp;TEXT(COUNTIF($F$4:F5,$F5),"00"))</f>
        <v/>
      </c>
      <c r="B5" s="65"/>
      <c r="C5" s="60" t="str">
        <f>IF($B5="","",WEEKNUM($B5,2))</f>
        <v/>
      </c>
      <c r="D5" s="60" t="str">
        <f>IF($B5="","",TEXT($B5,"yyyy-mm"))</f>
        <v/>
      </c>
      <c r="E5" s="64"/>
      <c r="F5" s="64"/>
      <c r="G5" s="60" t="str">
        <f>IF(OR($E5="",$F5=""),"",IFERROR(IF($E5=INDEX([1]Cluster_Master!$A$4:$A$18,MATCH($F5,[1]Cluster_Master!$B$4:$B$18,0)),"OK","CHECK"),"CHECK"))</f>
        <v/>
      </c>
      <c r="H5" s="63" t="str">
        <f>IFERROR(INDEX([1]Cluster_Master!$C$4:$C$18,MATCH($F5,[1]Cluster_Master!$B$4:$B$18,0)),"")</f>
        <v/>
      </c>
      <c r="I5" s="60" t="str">
        <f>IFERROR(INDEX([1]Cluster_Master!$D$4:$D$18,MATCH($F5,[1]Cluster_Master!$B$4:$B$18,0)),"")</f>
        <v/>
      </c>
      <c r="J5" s="60" t="str">
        <f>IFERROR(INDEX([1]Cluster_Master!$E$4:$E$18,MATCH($F5,[1]Cluster_Master!$B$4:$B$18,0)),"")</f>
        <v/>
      </c>
      <c r="K5" s="60" t="str">
        <f>IFERROR(INDEX([1]Cluster_Master!$F$4:$F$18,MATCH($F5,[1]Cluster_Master!$B$4:$B$18,0)),"")</f>
        <v/>
      </c>
      <c r="L5" s="60" t="str">
        <f>IFERROR(INDEX([1]Cluster_Master!$G$4:$G$18,MATCH($F5,[1]Cluster_Master!$B$4:$B$18,0)),"")</f>
        <v/>
      </c>
      <c r="M5" s="60" t="str">
        <f>IFERROR(INDEX([1]Cluster_Master!$H$4:$H$18,MATCH($F5,[1]Cluster_Master!$B$4:$B$18,0)),"")</f>
        <v/>
      </c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60" t="str">
        <f>IF(COUNTA(T5:AH5)=0,"",SUM(T5:AH5))</f>
        <v/>
      </c>
      <c r="AJ5" s="61" t="str">
        <f>IF(COUNTA(T5:AH5)=0,"",AI5/75)</f>
        <v/>
      </c>
      <c r="AK5" s="61" t="str">
        <f>IF(COUNTA(T5:AH5)=0,"",(SUM(T5*[1]KPI_Weights!$B$4,U5*[1]KPI_Weights!$B$5,V5*[1]KPI_Weights!$B$6,W5*[1]KPI_Weights!$B$7,X5*[1]KPI_Weights!$B$8,Y5*[1]KPI_Weights!$B$9,Z5*[1]KPI_Weights!$B$10,AA5*[1]KPI_Weights!$B$11,AB5*[1]KPI_Weights!$B$12,AC5*[1]KPI_Weights!$B$13,AD5*[1]KPI_Weights!$B$14,AE5*[1]KPI_Weights!$B$15,AF5*[1]KPI_Weights!$B$16,AG5*[1]KPI_Weights!$B$17,AH5*[1]KPI_Weights!$B$18))/5)</f>
        <v/>
      </c>
      <c r="AL5" s="60" t="str">
        <f>IF(COUNTA(T5:AH5)=0,"",IF(OR(T5&lt;=1,W5&lt;=1,X5&lt;=1,Y5&lt;=1,AB5&lt;=1),"YES","NO"))</f>
        <v/>
      </c>
      <c r="AM5" s="60" t="str">
        <f>IF(AJ5="","",IF(AND(AL5="NO",AJ5&gt;=0.75),"YES","NO"))</f>
        <v/>
      </c>
      <c r="AN5" s="60" t="str">
        <f>IF(AJ5="","",IF(AJ5&lt;0.4,"Critical",IF(AJ5&lt;0.6,"Poor",IF(AJ5&lt;0.75,"Needs Improvement",IF(AJ5&lt;0.9,"Good","Excellent")))))</f>
        <v/>
      </c>
      <c r="AO5" s="59"/>
      <c r="AP5" s="59"/>
      <c r="AQ5" s="59"/>
      <c r="AR5" s="59"/>
      <c r="AS5" s="58"/>
      <c r="AT5" s="58"/>
      <c r="AU5" s="58"/>
      <c r="AV5" s="58"/>
      <c r="AW5" s="58"/>
      <c r="AX5" s="58"/>
      <c r="AY5" s="58"/>
      <c r="AZ5" s="58"/>
      <c r="BA5" s="58"/>
      <c r="BB5" s="58"/>
    </row>
    <row r="6" spans="1:54" ht="19.5" customHeight="1" x14ac:dyDescent="0.25">
      <c r="A6" s="60" t="str">
        <f>IF($B6="","",TEXT($B6,"yyyymmdd")&amp;"-"&amp;SUBSTITUTE($F6," ","")&amp;"-"&amp;TEXT(COUNTIF($F$4:F6,$F6),"00"))</f>
        <v/>
      </c>
      <c r="B6" s="65"/>
      <c r="C6" s="60" t="str">
        <f>IF($B6="","",WEEKNUM($B6,2))</f>
        <v/>
      </c>
      <c r="D6" s="60" t="str">
        <f>IF($B6="","",TEXT($B6,"yyyy-mm"))</f>
        <v/>
      </c>
      <c r="E6" s="64"/>
      <c r="F6" s="64"/>
      <c r="G6" s="60" t="str">
        <f>IF(OR($E6="",$F6=""),"",IFERROR(IF($E6=INDEX([1]Cluster_Master!$A$4:$A$18,MATCH($F6,[1]Cluster_Master!$B$4:$B$18,0)),"OK","CHECK"),"CHECK"))</f>
        <v/>
      </c>
      <c r="H6" s="63" t="str">
        <f>IFERROR(INDEX([1]Cluster_Master!$C$4:$C$18,MATCH($F6,[1]Cluster_Master!$B$4:$B$18,0)),"")</f>
        <v/>
      </c>
      <c r="I6" s="60" t="str">
        <f>IFERROR(INDEX([1]Cluster_Master!$D$4:$D$18,MATCH($F6,[1]Cluster_Master!$B$4:$B$18,0)),"")</f>
        <v/>
      </c>
      <c r="J6" s="60" t="str">
        <f>IFERROR(INDEX([1]Cluster_Master!$E$4:$E$18,MATCH($F6,[1]Cluster_Master!$B$4:$B$18,0)),"")</f>
        <v/>
      </c>
      <c r="K6" s="60" t="str">
        <f>IFERROR(INDEX([1]Cluster_Master!$F$4:$F$18,MATCH($F6,[1]Cluster_Master!$B$4:$B$18,0)),"")</f>
        <v/>
      </c>
      <c r="L6" s="60" t="str">
        <f>IFERROR(INDEX([1]Cluster_Master!$G$4:$G$18,MATCH($F6,[1]Cluster_Master!$B$4:$B$18,0)),"")</f>
        <v/>
      </c>
      <c r="M6" s="60" t="str">
        <f>IFERROR(INDEX([1]Cluster_Master!$H$4:$H$18,MATCH($F6,[1]Cluster_Master!$B$4:$B$18,0)),"")</f>
        <v/>
      </c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60" t="str">
        <f>IF(COUNTA(T6:AH6)=0,"",SUM(T6:AH6))</f>
        <v/>
      </c>
      <c r="AJ6" s="61" t="str">
        <f>IF(COUNTA(T6:AH6)=0,"",AI6/75)</f>
        <v/>
      </c>
      <c r="AK6" s="61" t="str">
        <f>IF(COUNTA(T6:AH6)=0,"",(SUM(T6*[1]KPI_Weights!$B$4,U6*[1]KPI_Weights!$B$5,V6*[1]KPI_Weights!$B$6,W6*[1]KPI_Weights!$B$7,X6*[1]KPI_Weights!$B$8,Y6*[1]KPI_Weights!$B$9,Z6*[1]KPI_Weights!$B$10,AA6*[1]KPI_Weights!$B$11,AB6*[1]KPI_Weights!$B$12,AC6*[1]KPI_Weights!$B$13,AD6*[1]KPI_Weights!$B$14,AE6*[1]KPI_Weights!$B$15,AF6*[1]KPI_Weights!$B$16,AG6*[1]KPI_Weights!$B$17,AH6*[1]KPI_Weights!$B$18))/5)</f>
        <v/>
      </c>
      <c r="AL6" s="60" t="str">
        <f>IF(COUNTA(T6:AH6)=0,"",IF(OR(T6&lt;=1,W6&lt;=1,X6&lt;=1,Y6&lt;=1,AB6&lt;=1),"YES","NO"))</f>
        <v/>
      </c>
      <c r="AM6" s="60" t="str">
        <f>IF(AJ6="","",IF(AND(AL6="NO",AJ6&gt;=0.75),"YES","NO"))</f>
        <v/>
      </c>
      <c r="AN6" s="60" t="str">
        <f>IF(AJ6="","",IF(AJ6&lt;0.4,"Critical",IF(AJ6&lt;0.6,"Poor",IF(AJ6&lt;0.75,"Needs Improvement",IF(AJ6&lt;0.9,"Good","Excellent")))))</f>
        <v/>
      </c>
      <c r="AO6" s="59"/>
      <c r="AP6" s="59"/>
      <c r="AQ6" s="59"/>
      <c r="AR6" s="59"/>
      <c r="AS6" s="58"/>
      <c r="AT6" s="58"/>
      <c r="AU6" s="58"/>
      <c r="AV6" s="58"/>
      <c r="AW6" s="58"/>
      <c r="AX6" s="58"/>
      <c r="AY6" s="58"/>
      <c r="AZ6" s="58"/>
      <c r="BA6" s="58"/>
      <c r="BB6" s="58"/>
    </row>
    <row r="7" spans="1:54" ht="19.5" customHeight="1" x14ac:dyDescent="0.25">
      <c r="A7" s="60" t="str">
        <f>IF($B7="","",TEXT($B7,"yyyymmdd")&amp;"-"&amp;SUBSTITUTE($F7," ","")&amp;"-"&amp;TEXT(COUNTIF($F$4:F7,$F7),"00"))</f>
        <v/>
      </c>
      <c r="B7" s="65"/>
      <c r="C7" s="60" t="str">
        <f>IF($B7="","",WEEKNUM($B7,2))</f>
        <v/>
      </c>
      <c r="D7" s="60" t="str">
        <f>IF($B7="","",TEXT($B7,"yyyy-mm"))</f>
        <v/>
      </c>
      <c r="E7" s="64"/>
      <c r="F7" s="64"/>
      <c r="G7" s="60" t="str">
        <f>IF(OR($E7="",$F7=""),"",IFERROR(IF($E7=INDEX([1]Cluster_Master!$A$4:$A$18,MATCH($F7,[1]Cluster_Master!$B$4:$B$18,0)),"OK","CHECK"),"CHECK"))</f>
        <v/>
      </c>
      <c r="H7" s="63" t="str">
        <f>IFERROR(INDEX([1]Cluster_Master!$C$4:$C$18,MATCH($F7,[1]Cluster_Master!$B$4:$B$18,0)),"")</f>
        <v/>
      </c>
      <c r="I7" s="60" t="str">
        <f>IFERROR(INDEX([1]Cluster_Master!$D$4:$D$18,MATCH($F7,[1]Cluster_Master!$B$4:$B$18,0)),"")</f>
        <v/>
      </c>
      <c r="J7" s="60" t="str">
        <f>IFERROR(INDEX([1]Cluster_Master!$E$4:$E$18,MATCH($F7,[1]Cluster_Master!$B$4:$B$18,0)),"")</f>
        <v/>
      </c>
      <c r="K7" s="60" t="str">
        <f>IFERROR(INDEX([1]Cluster_Master!$F$4:$F$18,MATCH($F7,[1]Cluster_Master!$B$4:$B$18,0)),"")</f>
        <v/>
      </c>
      <c r="L7" s="60" t="str">
        <f>IFERROR(INDEX([1]Cluster_Master!$G$4:$G$18,MATCH($F7,[1]Cluster_Master!$B$4:$B$18,0)),"")</f>
        <v/>
      </c>
      <c r="M7" s="60" t="str">
        <f>IFERROR(INDEX([1]Cluster_Master!$H$4:$H$18,MATCH($F7,[1]Cluster_Master!$B$4:$B$18,0)),"")</f>
        <v/>
      </c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60" t="str">
        <f>IF(COUNTA(T7:AH7)=0,"",SUM(T7:AH7))</f>
        <v/>
      </c>
      <c r="AJ7" s="61" t="str">
        <f>IF(COUNTA(T7:AH7)=0,"",AI7/75)</f>
        <v/>
      </c>
      <c r="AK7" s="61" t="str">
        <f>IF(COUNTA(T7:AH7)=0,"",(SUM(T7*[1]KPI_Weights!$B$4,U7*[1]KPI_Weights!$B$5,V7*[1]KPI_Weights!$B$6,W7*[1]KPI_Weights!$B$7,X7*[1]KPI_Weights!$B$8,Y7*[1]KPI_Weights!$B$9,Z7*[1]KPI_Weights!$B$10,AA7*[1]KPI_Weights!$B$11,AB7*[1]KPI_Weights!$B$12,AC7*[1]KPI_Weights!$B$13,AD7*[1]KPI_Weights!$B$14,AE7*[1]KPI_Weights!$B$15,AF7*[1]KPI_Weights!$B$16,AG7*[1]KPI_Weights!$B$17,AH7*[1]KPI_Weights!$B$18))/5)</f>
        <v/>
      </c>
      <c r="AL7" s="60" t="str">
        <f>IF(COUNTA(T7:AH7)=0,"",IF(OR(T7&lt;=1,W7&lt;=1,X7&lt;=1,Y7&lt;=1,AB7&lt;=1),"YES","NO"))</f>
        <v/>
      </c>
      <c r="AM7" s="60" t="str">
        <f>IF(AJ7="","",IF(AND(AL7="NO",AJ7&gt;=0.75),"YES","NO"))</f>
        <v/>
      </c>
      <c r="AN7" s="60" t="str">
        <f>IF(AJ7="","",IF(AJ7&lt;0.4,"Critical",IF(AJ7&lt;0.6,"Poor",IF(AJ7&lt;0.75,"Needs Improvement",IF(AJ7&lt;0.9,"Good","Excellent")))))</f>
        <v/>
      </c>
      <c r="AO7" s="59"/>
      <c r="AP7" s="59"/>
      <c r="AQ7" s="59"/>
      <c r="AR7" s="59"/>
      <c r="AS7" s="58"/>
      <c r="AT7" s="58"/>
      <c r="AU7" s="58"/>
      <c r="AV7" s="58"/>
      <c r="AW7" s="58"/>
      <c r="AX7" s="58"/>
      <c r="AY7" s="58"/>
      <c r="AZ7" s="58"/>
      <c r="BA7" s="58"/>
      <c r="BB7" s="58"/>
    </row>
    <row r="8" spans="1:54" ht="19.5" customHeight="1" x14ac:dyDescent="0.25">
      <c r="A8" s="60" t="str">
        <f>IF($B8="","",TEXT($B8,"yyyymmdd")&amp;"-"&amp;SUBSTITUTE($F8," ","")&amp;"-"&amp;TEXT(COUNTIF($F$4:F8,$F8),"00"))</f>
        <v/>
      </c>
      <c r="B8" s="65"/>
      <c r="C8" s="60" t="str">
        <f>IF($B8="","",WEEKNUM($B8,2))</f>
        <v/>
      </c>
      <c r="D8" s="60" t="str">
        <f>IF($B8="","",TEXT($B8,"yyyy-mm"))</f>
        <v/>
      </c>
      <c r="E8" s="64"/>
      <c r="F8" s="64"/>
      <c r="G8" s="60" t="str">
        <f>IF(OR($E8="",$F8=""),"",IFERROR(IF($E8=INDEX([1]Cluster_Master!$A$4:$A$18,MATCH($F8,[1]Cluster_Master!$B$4:$B$18,0)),"OK","CHECK"),"CHECK"))</f>
        <v/>
      </c>
      <c r="H8" s="63" t="str">
        <f>IFERROR(INDEX([1]Cluster_Master!$C$4:$C$18,MATCH($F8,[1]Cluster_Master!$B$4:$B$18,0)),"")</f>
        <v/>
      </c>
      <c r="I8" s="60" t="str">
        <f>IFERROR(INDEX([1]Cluster_Master!$D$4:$D$18,MATCH($F8,[1]Cluster_Master!$B$4:$B$18,0)),"")</f>
        <v/>
      </c>
      <c r="J8" s="60" t="str">
        <f>IFERROR(INDEX([1]Cluster_Master!$E$4:$E$18,MATCH($F8,[1]Cluster_Master!$B$4:$B$18,0)),"")</f>
        <v/>
      </c>
      <c r="K8" s="60" t="str">
        <f>IFERROR(INDEX([1]Cluster_Master!$F$4:$F$18,MATCH($F8,[1]Cluster_Master!$B$4:$B$18,0)),"")</f>
        <v/>
      </c>
      <c r="L8" s="60" t="str">
        <f>IFERROR(INDEX([1]Cluster_Master!$G$4:$G$18,MATCH($F8,[1]Cluster_Master!$B$4:$B$18,0)),"")</f>
        <v/>
      </c>
      <c r="M8" s="60" t="str">
        <f>IFERROR(INDEX([1]Cluster_Master!$H$4:$H$18,MATCH($F8,[1]Cluster_Master!$B$4:$B$18,0)),"")</f>
        <v/>
      </c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60" t="str">
        <f>IF(COUNTA(T8:AH8)=0,"",SUM(T8:AH8))</f>
        <v/>
      </c>
      <c r="AJ8" s="61" t="str">
        <f>IF(COUNTA(T8:AH8)=0,"",AI8/75)</f>
        <v/>
      </c>
      <c r="AK8" s="61" t="str">
        <f>IF(COUNTA(T8:AH8)=0,"",(SUM(T8*[1]KPI_Weights!$B$4,U8*[1]KPI_Weights!$B$5,V8*[1]KPI_Weights!$B$6,W8*[1]KPI_Weights!$B$7,X8*[1]KPI_Weights!$B$8,Y8*[1]KPI_Weights!$B$9,Z8*[1]KPI_Weights!$B$10,AA8*[1]KPI_Weights!$B$11,AB8*[1]KPI_Weights!$B$12,AC8*[1]KPI_Weights!$B$13,AD8*[1]KPI_Weights!$B$14,AE8*[1]KPI_Weights!$B$15,AF8*[1]KPI_Weights!$B$16,AG8*[1]KPI_Weights!$B$17,AH8*[1]KPI_Weights!$B$18))/5)</f>
        <v/>
      </c>
      <c r="AL8" s="60" t="str">
        <f>IF(COUNTA(T8:AH8)=0,"",IF(OR(T8&lt;=1,W8&lt;=1,X8&lt;=1,Y8&lt;=1,AB8&lt;=1),"YES","NO"))</f>
        <v/>
      </c>
      <c r="AM8" s="60" t="str">
        <f>IF(AJ8="","",IF(AND(AL8="NO",AJ8&gt;=0.75),"YES","NO"))</f>
        <v/>
      </c>
      <c r="AN8" s="60" t="str">
        <f>IF(AJ8="","",IF(AJ8&lt;0.4,"Critical",IF(AJ8&lt;0.6,"Poor",IF(AJ8&lt;0.75,"Needs Improvement",IF(AJ8&lt;0.9,"Good","Excellent")))))</f>
        <v/>
      </c>
      <c r="AO8" s="59"/>
      <c r="AP8" s="59"/>
      <c r="AQ8" s="59"/>
      <c r="AR8" s="59"/>
      <c r="AS8" s="58"/>
      <c r="AT8" s="58"/>
      <c r="AU8" s="58"/>
      <c r="AV8" s="58"/>
      <c r="AW8" s="58"/>
      <c r="AX8" s="58"/>
      <c r="AY8" s="58"/>
      <c r="AZ8" s="58"/>
      <c r="BA8" s="58"/>
      <c r="BB8" s="58"/>
    </row>
    <row r="9" spans="1:54" ht="19.5" customHeight="1" x14ac:dyDescent="0.25">
      <c r="A9" s="60" t="str">
        <f>IF($B9="","",TEXT($B9,"yyyymmdd")&amp;"-"&amp;SUBSTITUTE($F9," ","")&amp;"-"&amp;TEXT(COUNTIF($F$4:F9,$F9),"00"))</f>
        <v/>
      </c>
      <c r="B9" s="65"/>
      <c r="C9" s="60" t="str">
        <f>IF($B9="","",WEEKNUM($B9,2))</f>
        <v/>
      </c>
      <c r="D9" s="60" t="str">
        <f>IF($B9="","",TEXT($B9,"yyyy-mm"))</f>
        <v/>
      </c>
      <c r="E9" s="64"/>
      <c r="F9" s="64"/>
      <c r="G9" s="60" t="str">
        <f>IF(OR($E9="",$F9=""),"",IFERROR(IF($E9=INDEX([1]Cluster_Master!$A$4:$A$18,MATCH($F9,[1]Cluster_Master!$B$4:$B$18,0)),"OK","CHECK"),"CHECK"))</f>
        <v/>
      </c>
      <c r="H9" s="63" t="str">
        <f>IFERROR(INDEX([1]Cluster_Master!$C$4:$C$18,MATCH($F9,[1]Cluster_Master!$B$4:$B$18,0)),"")</f>
        <v/>
      </c>
      <c r="I9" s="60" t="str">
        <f>IFERROR(INDEX([1]Cluster_Master!$D$4:$D$18,MATCH($F9,[1]Cluster_Master!$B$4:$B$18,0)),"")</f>
        <v/>
      </c>
      <c r="J9" s="60" t="str">
        <f>IFERROR(INDEX([1]Cluster_Master!$E$4:$E$18,MATCH($F9,[1]Cluster_Master!$B$4:$B$18,0)),"")</f>
        <v/>
      </c>
      <c r="K9" s="60" t="str">
        <f>IFERROR(INDEX([1]Cluster_Master!$F$4:$F$18,MATCH($F9,[1]Cluster_Master!$B$4:$B$18,0)),"")</f>
        <v/>
      </c>
      <c r="L9" s="60" t="str">
        <f>IFERROR(INDEX([1]Cluster_Master!$G$4:$G$18,MATCH($F9,[1]Cluster_Master!$B$4:$B$18,0)),"")</f>
        <v/>
      </c>
      <c r="M9" s="60" t="str">
        <f>IFERROR(INDEX([1]Cluster_Master!$H$4:$H$18,MATCH($F9,[1]Cluster_Master!$B$4:$B$18,0)),"")</f>
        <v/>
      </c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60" t="str">
        <f>IF(COUNTA(T9:AH9)=0,"",SUM(T9:AH9))</f>
        <v/>
      </c>
      <c r="AJ9" s="61" t="str">
        <f>IF(COUNTA(T9:AH9)=0,"",AI9/75)</f>
        <v/>
      </c>
      <c r="AK9" s="61" t="str">
        <f>IF(COUNTA(T9:AH9)=0,"",(SUM(T9*[1]KPI_Weights!$B$4,U9*[1]KPI_Weights!$B$5,V9*[1]KPI_Weights!$B$6,W9*[1]KPI_Weights!$B$7,X9*[1]KPI_Weights!$B$8,Y9*[1]KPI_Weights!$B$9,Z9*[1]KPI_Weights!$B$10,AA9*[1]KPI_Weights!$B$11,AB9*[1]KPI_Weights!$B$12,AC9*[1]KPI_Weights!$B$13,AD9*[1]KPI_Weights!$B$14,AE9*[1]KPI_Weights!$B$15,AF9*[1]KPI_Weights!$B$16,AG9*[1]KPI_Weights!$B$17,AH9*[1]KPI_Weights!$B$18))/5)</f>
        <v/>
      </c>
      <c r="AL9" s="60" t="str">
        <f>IF(COUNTA(T9:AH9)=0,"",IF(OR(T9&lt;=1,W9&lt;=1,X9&lt;=1,Y9&lt;=1,AB9&lt;=1),"YES","NO"))</f>
        <v/>
      </c>
      <c r="AM9" s="60" t="str">
        <f>IF(AJ9="","",IF(AND(AL9="NO",AJ9&gt;=0.75),"YES","NO"))</f>
        <v/>
      </c>
      <c r="AN9" s="60" t="str">
        <f>IF(AJ9="","",IF(AJ9&lt;0.4,"Critical",IF(AJ9&lt;0.6,"Poor",IF(AJ9&lt;0.75,"Needs Improvement",IF(AJ9&lt;0.9,"Good","Excellent")))))</f>
        <v/>
      </c>
      <c r="AO9" s="59"/>
      <c r="AP9" s="59"/>
      <c r="AQ9" s="59"/>
      <c r="AR9" s="59"/>
      <c r="AS9" s="58"/>
      <c r="AT9" s="58"/>
      <c r="AU9" s="58"/>
      <c r="AV9" s="58"/>
      <c r="AW9" s="58"/>
      <c r="AX9" s="58"/>
      <c r="AY9" s="58"/>
      <c r="AZ9" s="58"/>
      <c r="BA9" s="58"/>
      <c r="BB9" s="58"/>
    </row>
    <row r="10" spans="1:54" ht="19.5" customHeight="1" x14ac:dyDescent="0.25">
      <c r="A10" s="60" t="str">
        <f>IF($B10="","",TEXT($B10,"yyyymmdd")&amp;"-"&amp;SUBSTITUTE($F10," ","")&amp;"-"&amp;TEXT(COUNTIF($F$4:F10,$F10),"00"))</f>
        <v/>
      </c>
      <c r="B10" s="65"/>
      <c r="C10" s="60" t="str">
        <f>IF($B10="","",WEEKNUM($B10,2))</f>
        <v/>
      </c>
      <c r="D10" s="60" t="str">
        <f>IF($B10="","",TEXT($B10,"yyyy-mm"))</f>
        <v/>
      </c>
      <c r="E10" s="64"/>
      <c r="F10" s="64"/>
      <c r="G10" s="60" t="str">
        <f>IF(OR($E10="",$F10=""),"",IFERROR(IF($E10=INDEX([1]Cluster_Master!$A$4:$A$18,MATCH($F10,[1]Cluster_Master!$B$4:$B$18,0)),"OK","CHECK"),"CHECK"))</f>
        <v/>
      </c>
      <c r="H10" s="63" t="str">
        <f>IFERROR(INDEX([1]Cluster_Master!$C$4:$C$18,MATCH($F10,[1]Cluster_Master!$B$4:$B$18,0)),"")</f>
        <v/>
      </c>
      <c r="I10" s="60" t="str">
        <f>IFERROR(INDEX([1]Cluster_Master!$D$4:$D$18,MATCH($F10,[1]Cluster_Master!$B$4:$B$18,0)),"")</f>
        <v/>
      </c>
      <c r="J10" s="60" t="str">
        <f>IFERROR(INDEX([1]Cluster_Master!$E$4:$E$18,MATCH($F10,[1]Cluster_Master!$B$4:$B$18,0)),"")</f>
        <v/>
      </c>
      <c r="K10" s="60" t="str">
        <f>IFERROR(INDEX([1]Cluster_Master!$F$4:$F$18,MATCH($F10,[1]Cluster_Master!$B$4:$B$18,0)),"")</f>
        <v/>
      </c>
      <c r="L10" s="60" t="str">
        <f>IFERROR(INDEX([1]Cluster_Master!$G$4:$G$18,MATCH($F10,[1]Cluster_Master!$B$4:$B$18,0)),"")</f>
        <v/>
      </c>
      <c r="M10" s="60" t="str">
        <f>IFERROR(INDEX([1]Cluster_Master!$H$4:$H$18,MATCH($F10,[1]Cluster_Master!$B$4:$B$18,0)),"")</f>
        <v/>
      </c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60" t="str">
        <f>IF(COUNTA(T10:AH10)=0,"",SUM(T10:AH10))</f>
        <v/>
      </c>
      <c r="AJ10" s="61" t="str">
        <f>IF(COUNTA(T10:AH10)=0,"",AI10/75)</f>
        <v/>
      </c>
      <c r="AK10" s="61" t="str">
        <f>IF(COUNTA(T10:AH10)=0,"",(SUM(T10*[1]KPI_Weights!$B$4,U10*[1]KPI_Weights!$B$5,V10*[1]KPI_Weights!$B$6,W10*[1]KPI_Weights!$B$7,X10*[1]KPI_Weights!$B$8,Y10*[1]KPI_Weights!$B$9,Z10*[1]KPI_Weights!$B$10,AA10*[1]KPI_Weights!$B$11,AB10*[1]KPI_Weights!$B$12,AC10*[1]KPI_Weights!$B$13,AD10*[1]KPI_Weights!$B$14,AE10*[1]KPI_Weights!$B$15,AF10*[1]KPI_Weights!$B$16,AG10*[1]KPI_Weights!$B$17,AH10*[1]KPI_Weights!$B$18))/5)</f>
        <v/>
      </c>
      <c r="AL10" s="60" t="str">
        <f>IF(COUNTA(T10:AH10)=0,"",IF(OR(T10&lt;=1,W10&lt;=1,X10&lt;=1,Y10&lt;=1,AB10&lt;=1),"YES","NO"))</f>
        <v/>
      </c>
      <c r="AM10" s="60" t="str">
        <f>IF(AJ10="","",IF(AND(AL10="NO",AJ10&gt;=0.75),"YES","NO"))</f>
        <v/>
      </c>
      <c r="AN10" s="60" t="str">
        <f>IF(AJ10="","",IF(AJ10&lt;0.4,"Critical",IF(AJ10&lt;0.6,"Poor",IF(AJ10&lt;0.75,"Needs Improvement",IF(AJ10&lt;0.9,"Good","Excellent")))))</f>
        <v/>
      </c>
      <c r="AO10" s="59"/>
      <c r="AP10" s="59"/>
      <c r="AQ10" s="59"/>
      <c r="AR10" s="59"/>
      <c r="AS10" s="58"/>
      <c r="AT10" s="58"/>
      <c r="AU10" s="58"/>
      <c r="AV10" s="58"/>
      <c r="AW10" s="58"/>
      <c r="AX10" s="58"/>
      <c r="AY10" s="58"/>
      <c r="AZ10" s="58"/>
      <c r="BA10" s="58"/>
      <c r="BB10" s="58"/>
    </row>
    <row r="11" spans="1:54" ht="19.5" customHeight="1" x14ac:dyDescent="0.25">
      <c r="A11" s="60" t="str">
        <f>IF($B11="","",TEXT($B11,"yyyymmdd")&amp;"-"&amp;SUBSTITUTE($F11," ","")&amp;"-"&amp;TEXT(COUNTIF($F$4:F11,$F11),"00"))</f>
        <v/>
      </c>
      <c r="B11" s="65"/>
      <c r="C11" s="60" t="str">
        <f>IF($B11="","",WEEKNUM($B11,2))</f>
        <v/>
      </c>
      <c r="D11" s="60" t="str">
        <f>IF($B11="","",TEXT($B11,"yyyy-mm"))</f>
        <v/>
      </c>
      <c r="E11" s="64"/>
      <c r="F11" s="64"/>
      <c r="G11" s="60" t="str">
        <f>IF(OR($E11="",$F11=""),"",IFERROR(IF($E11=INDEX([1]Cluster_Master!$A$4:$A$18,MATCH($F11,[1]Cluster_Master!$B$4:$B$18,0)),"OK","CHECK"),"CHECK"))</f>
        <v/>
      </c>
      <c r="H11" s="63" t="str">
        <f>IFERROR(INDEX([1]Cluster_Master!$C$4:$C$18,MATCH($F11,[1]Cluster_Master!$B$4:$B$18,0)),"")</f>
        <v/>
      </c>
      <c r="I11" s="60" t="str">
        <f>IFERROR(INDEX([1]Cluster_Master!$D$4:$D$18,MATCH($F11,[1]Cluster_Master!$B$4:$B$18,0)),"")</f>
        <v/>
      </c>
      <c r="J11" s="60" t="str">
        <f>IFERROR(INDEX([1]Cluster_Master!$E$4:$E$18,MATCH($F11,[1]Cluster_Master!$B$4:$B$18,0)),"")</f>
        <v/>
      </c>
      <c r="K11" s="60" t="str">
        <f>IFERROR(INDEX([1]Cluster_Master!$F$4:$F$18,MATCH($F11,[1]Cluster_Master!$B$4:$B$18,0)),"")</f>
        <v/>
      </c>
      <c r="L11" s="60" t="str">
        <f>IFERROR(INDEX([1]Cluster_Master!$G$4:$G$18,MATCH($F11,[1]Cluster_Master!$B$4:$B$18,0)),"")</f>
        <v/>
      </c>
      <c r="M11" s="60" t="str">
        <f>IFERROR(INDEX([1]Cluster_Master!$H$4:$H$18,MATCH($F11,[1]Cluster_Master!$B$4:$B$18,0)),"")</f>
        <v/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60" t="str">
        <f>IF(COUNTA(T11:AH11)=0,"",SUM(T11:AH11))</f>
        <v/>
      </c>
      <c r="AJ11" s="61" t="str">
        <f>IF(COUNTA(T11:AH11)=0,"",AI11/75)</f>
        <v/>
      </c>
      <c r="AK11" s="61" t="str">
        <f>IF(COUNTA(T11:AH11)=0,"",(SUM(T11*[1]KPI_Weights!$B$4,U11*[1]KPI_Weights!$B$5,V11*[1]KPI_Weights!$B$6,W11*[1]KPI_Weights!$B$7,X11*[1]KPI_Weights!$B$8,Y11*[1]KPI_Weights!$B$9,Z11*[1]KPI_Weights!$B$10,AA11*[1]KPI_Weights!$B$11,AB11*[1]KPI_Weights!$B$12,AC11*[1]KPI_Weights!$B$13,AD11*[1]KPI_Weights!$B$14,AE11*[1]KPI_Weights!$B$15,AF11*[1]KPI_Weights!$B$16,AG11*[1]KPI_Weights!$B$17,AH11*[1]KPI_Weights!$B$18))/5)</f>
        <v/>
      </c>
      <c r="AL11" s="60" t="str">
        <f>IF(COUNTA(T11:AH11)=0,"",IF(OR(T11&lt;=1,W11&lt;=1,X11&lt;=1,Y11&lt;=1,AB11&lt;=1),"YES","NO"))</f>
        <v/>
      </c>
      <c r="AM11" s="60" t="str">
        <f>IF(AJ11="","",IF(AND(AL11="NO",AJ11&gt;=0.75),"YES","NO"))</f>
        <v/>
      </c>
      <c r="AN11" s="60" t="str">
        <f>IF(AJ11="","",IF(AJ11&lt;0.4,"Critical",IF(AJ11&lt;0.6,"Poor",IF(AJ11&lt;0.75,"Needs Improvement",IF(AJ11&lt;0.9,"Good","Excellent")))))</f>
        <v/>
      </c>
      <c r="AO11" s="59"/>
      <c r="AP11" s="59"/>
      <c r="AQ11" s="59"/>
      <c r="AR11" s="59"/>
      <c r="AS11" s="58"/>
      <c r="AT11" s="58"/>
      <c r="AU11" s="58"/>
      <c r="AV11" s="58"/>
      <c r="AW11" s="58"/>
      <c r="AX11" s="58"/>
      <c r="AY11" s="58"/>
      <c r="AZ11" s="58"/>
      <c r="BA11" s="58"/>
      <c r="BB11" s="58"/>
    </row>
    <row r="12" spans="1:54" ht="19.5" customHeight="1" x14ac:dyDescent="0.25">
      <c r="A12" s="60" t="str">
        <f>IF($B12="","",TEXT($B12,"yyyymmdd")&amp;"-"&amp;SUBSTITUTE($F12," ","")&amp;"-"&amp;TEXT(COUNTIF($F$4:F12,$F12),"00"))</f>
        <v/>
      </c>
      <c r="B12" s="65"/>
      <c r="C12" s="60" t="str">
        <f>IF($B12="","",WEEKNUM($B12,2))</f>
        <v/>
      </c>
      <c r="D12" s="60" t="str">
        <f>IF($B12="","",TEXT($B12,"yyyy-mm"))</f>
        <v/>
      </c>
      <c r="E12" s="64"/>
      <c r="F12" s="64"/>
      <c r="G12" s="60" t="str">
        <f>IF(OR($E12="",$F12=""),"",IFERROR(IF($E12=INDEX([1]Cluster_Master!$A$4:$A$18,MATCH($F12,[1]Cluster_Master!$B$4:$B$18,0)),"OK","CHECK"),"CHECK"))</f>
        <v/>
      </c>
      <c r="H12" s="63" t="str">
        <f>IFERROR(INDEX([1]Cluster_Master!$C$4:$C$18,MATCH($F12,[1]Cluster_Master!$B$4:$B$18,0)),"")</f>
        <v/>
      </c>
      <c r="I12" s="60" t="str">
        <f>IFERROR(INDEX([1]Cluster_Master!$D$4:$D$18,MATCH($F12,[1]Cluster_Master!$B$4:$B$18,0)),"")</f>
        <v/>
      </c>
      <c r="J12" s="60" t="str">
        <f>IFERROR(INDEX([1]Cluster_Master!$E$4:$E$18,MATCH($F12,[1]Cluster_Master!$B$4:$B$18,0)),"")</f>
        <v/>
      </c>
      <c r="K12" s="60" t="str">
        <f>IFERROR(INDEX([1]Cluster_Master!$F$4:$F$18,MATCH($F12,[1]Cluster_Master!$B$4:$B$18,0)),"")</f>
        <v/>
      </c>
      <c r="L12" s="60" t="str">
        <f>IFERROR(INDEX([1]Cluster_Master!$G$4:$G$18,MATCH($F12,[1]Cluster_Master!$B$4:$B$18,0)),"")</f>
        <v/>
      </c>
      <c r="M12" s="60" t="str">
        <f>IFERROR(INDEX([1]Cluster_Master!$H$4:$H$18,MATCH($F12,[1]Cluster_Master!$B$4:$B$18,0)),"")</f>
        <v/>
      </c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60" t="str">
        <f>IF(COUNTA(T12:AH12)=0,"",SUM(T12:AH12))</f>
        <v/>
      </c>
      <c r="AJ12" s="61" t="str">
        <f>IF(COUNTA(T12:AH12)=0,"",AI12/75)</f>
        <v/>
      </c>
      <c r="AK12" s="61" t="str">
        <f>IF(COUNTA(T12:AH12)=0,"",(SUM(T12*[1]KPI_Weights!$B$4,U12*[1]KPI_Weights!$B$5,V12*[1]KPI_Weights!$B$6,W12*[1]KPI_Weights!$B$7,X12*[1]KPI_Weights!$B$8,Y12*[1]KPI_Weights!$B$9,Z12*[1]KPI_Weights!$B$10,AA12*[1]KPI_Weights!$B$11,AB12*[1]KPI_Weights!$B$12,AC12*[1]KPI_Weights!$B$13,AD12*[1]KPI_Weights!$B$14,AE12*[1]KPI_Weights!$B$15,AF12*[1]KPI_Weights!$B$16,AG12*[1]KPI_Weights!$B$17,AH12*[1]KPI_Weights!$B$18))/5)</f>
        <v/>
      </c>
      <c r="AL12" s="60" t="str">
        <f>IF(COUNTA(T12:AH12)=0,"",IF(OR(T12&lt;=1,W12&lt;=1,X12&lt;=1,Y12&lt;=1,AB12&lt;=1),"YES","NO"))</f>
        <v/>
      </c>
      <c r="AM12" s="60" t="str">
        <f>IF(AJ12="","",IF(AND(AL12="NO",AJ12&gt;=0.75),"YES","NO"))</f>
        <v/>
      </c>
      <c r="AN12" s="60" t="str">
        <f>IF(AJ12="","",IF(AJ12&lt;0.4,"Critical",IF(AJ12&lt;0.6,"Poor",IF(AJ12&lt;0.75,"Needs Improvement",IF(AJ12&lt;0.9,"Good","Excellent")))))</f>
        <v/>
      </c>
      <c r="AO12" s="59"/>
      <c r="AP12" s="59"/>
      <c r="AQ12" s="59"/>
      <c r="AR12" s="59"/>
      <c r="AS12" s="58"/>
      <c r="AT12" s="58"/>
      <c r="AU12" s="58"/>
      <c r="AV12" s="58"/>
      <c r="AW12" s="58"/>
      <c r="AX12" s="58"/>
      <c r="AY12" s="58"/>
      <c r="AZ12" s="58"/>
      <c r="BA12" s="58"/>
      <c r="BB12" s="58"/>
    </row>
    <row r="13" spans="1:54" ht="19.5" customHeight="1" x14ac:dyDescent="0.25">
      <c r="A13" s="60" t="str">
        <f>IF($B13="","",TEXT($B13,"yyyymmdd")&amp;"-"&amp;SUBSTITUTE($F13," ","")&amp;"-"&amp;TEXT(COUNTIF($F$4:F13,$F13),"00"))</f>
        <v/>
      </c>
      <c r="B13" s="65"/>
      <c r="C13" s="60" t="str">
        <f>IF($B13="","",WEEKNUM($B13,2))</f>
        <v/>
      </c>
      <c r="D13" s="60" t="str">
        <f>IF($B13="","",TEXT($B13,"yyyy-mm"))</f>
        <v/>
      </c>
      <c r="E13" s="64"/>
      <c r="F13" s="64"/>
      <c r="G13" s="60" t="str">
        <f>IF(OR($E13="",$F13=""),"",IFERROR(IF($E13=INDEX([1]Cluster_Master!$A$4:$A$18,MATCH($F13,[1]Cluster_Master!$B$4:$B$18,0)),"OK","CHECK"),"CHECK"))</f>
        <v/>
      </c>
      <c r="H13" s="63" t="str">
        <f>IFERROR(INDEX([1]Cluster_Master!$C$4:$C$18,MATCH($F13,[1]Cluster_Master!$B$4:$B$18,0)),"")</f>
        <v/>
      </c>
      <c r="I13" s="60" t="str">
        <f>IFERROR(INDEX([1]Cluster_Master!$D$4:$D$18,MATCH($F13,[1]Cluster_Master!$B$4:$B$18,0)),"")</f>
        <v/>
      </c>
      <c r="J13" s="60" t="str">
        <f>IFERROR(INDEX([1]Cluster_Master!$E$4:$E$18,MATCH($F13,[1]Cluster_Master!$B$4:$B$18,0)),"")</f>
        <v/>
      </c>
      <c r="K13" s="60" t="str">
        <f>IFERROR(INDEX([1]Cluster_Master!$F$4:$F$18,MATCH($F13,[1]Cluster_Master!$B$4:$B$18,0)),"")</f>
        <v/>
      </c>
      <c r="L13" s="60" t="str">
        <f>IFERROR(INDEX([1]Cluster_Master!$G$4:$G$18,MATCH($F13,[1]Cluster_Master!$B$4:$B$18,0)),"")</f>
        <v/>
      </c>
      <c r="M13" s="60" t="str">
        <f>IFERROR(INDEX([1]Cluster_Master!$H$4:$H$18,MATCH($F13,[1]Cluster_Master!$B$4:$B$18,0)),"")</f>
        <v/>
      </c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60" t="str">
        <f>IF(COUNTA(T13:AH13)=0,"",SUM(T13:AH13))</f>
        <v/>
      </c>
      <c r="AJ13" s="61" t="str">
        <f>IF(COUNTA(T13:AH13)=0,"",AI13/75)</f>
        <v/>
      </c>
      <c r="AK13" s="61" t="str">
        <f>IF(COUNTA(T13:AH13)=0,"",(SUM(T13*[1]KPI_Weights!$B$4,U13*[1]KPI_Weights!$B$5,V13*[1]KPI_Weights!$B$6,W13*[1]KPI_Weights!$B$7,X13*[1]KPI_Weights!$B$8,Y13*[1]KPI_Weights!$B$9,Z13*[1]KPI_Weights!$B$10,AA13*[1]KPI_Weights!$B$11,AB13*[1]KPI_Weights!$B$12,AC13*[1]KPI_Weights!$B$13,AD13*[1]KPI_Weights!$B$14,AE13*[1]KPI_Weights!$B$15,AF13*[1]KPI_Weights!$B$16,AG13*[1]KPI_Weights!$B$17,AH13*[1]KPI_Weights!$B$18))/5)</f>
        <v/>
      </c>
      <c r="AL13" s="60" t="str">
        <f>IF(COUNTA(T13:AH13)=0,"",IF(OR(T13&lt;=1,W13&lt;=1,X13&lt;=1,Y13&lt;=1,AB13&lt;=1),"YES","NO"))</f>
        <v/>
      </c>
      <c r="AM13" s="60" t="str">
        <f>IF(AJ13="","",IF(AND(AL13="NO",AJ13&gt;=0.75),"YES","NO"))</f>
        <v/>
      </c>
      <c r="AN13" s="60" t="str">
        <f>IF(AJ13="","",IF(AJ13&lt;0.4,"Critical",IF(AJ13&lt;0.6,"Poor",IF(AJ13&lt;0.75,"Needs Improvement",IF(AJ13&lt;0.9,"Good","Excellent")))))</f>
        <v/>
      </c>
      <c r="AO13" s="59"/>
      <c r="AP13" s="59"/>
      <c r="AQ13" s="59"/>
      <c r="AR13" s="59"/>
      <c r="AS13" s="58"/>
      <c r="AT13" s="58"/>
      <c r="AU13" s="58"/>
      <c r="AV13" s="58"/>
      <c r="AW13" s="58"/>
      <c r="AX13" s="58"/>
      <c r="AY13" s="58"/>
      <c r="AZ13" s="58"/>
      <c r="BA13" s="58"/>
      <c r="BB13" s="58"/>
    </row>
    <row r="14" spans="1:54" ht="19.5" customHeight="1" x14ac:dyDescent="0.25">
      <c r="A14" s="60" t="str">
        <f>IF($B14="","",TEXT($B14,"yyyymmdd")&amp;"-"&amp;SUBSTITUTE($F14," ","")&amp;"-"&amp;TEXT(COUNTIF($F$4:F14,$F14),"00"))</f>
        <v/>
      </c>
      <c r="B14" s="65"/>
      <c r="C14" s="60" t="str">
        <f>IF($B14="","",WEEKNUM($B14,2))</f>
        <v/>
      </c>
      <c r="D14" s="60" t="str">
        <f>IF($B14="","",TEXT($B14,"yyyy-mm"))</f>
        <v/>
      </c>
      <c r="E14" s="64"/>
      <c r="F14" s="64"/>
      <c r="G14" s="60" t="str">
        <f>IF(OR($E14="",$F14=""),"",IFERROR(IF($E14=INDEX([1]Cluster_Master!$A$4:$A$18,MATCH($F14,[1]Cluster_Master!$B$4:$B$18,0)),"OK","CHECK"),"CHECK"))</f>
        <v/>
      </c>
      <c r="H14" s="63" t="str">
        <f>IFERROR(INDEX([1]Cluster_Master!$C$4:$C$18,MATCH($F14,[1]Cluster_Master!$B$4:$B$18,0)),"")</f>
        <v/>
      </c>
      <c r="I14" s="60" t="str">
        <f>IFERROR(INDEX([1]Cluster_Master!$D$4:$D$18,MATCH($F14,[1]Cluster_Master!$B$4:$B$18,0)),"")</f>
        <v/>
      </c>
      <c r="J14" s="60" t="str">
        <f>IFERROR(INDEX([1]Cluster_Master!$E$4:$E$18,MATCH($F14,[1]Cluster_Master!$B$4:$B$18,0)),"")</f>
        <v/>
      </c>
      <c r="K14" s="60" t="str">
        <f>IFERROR(INDEX([1]Cluster_Master!$F$4:$F$18,MATCH($F14,[1]Cluster_Master!$B$4:$B$18,0)),"")</f>
        <v/>
      </c>
      <c r="L14" s="60" t="str">
        <f>IFERROR(INDEX([1]Cluster_Master!$G$4:$G$18,MATCH($F14,[1]Cluster_Master!$B$4:$B$18,0)),"")</f>
        <v/>
      </c>
      <c r="M14" s="60" t="str">
        <f>IFERROR(INDEX([1]Cluster_Master!$H$4:$H$18,MATCH($F14,[1]Cluster_Master!$B$4:$B$18,0)),"")</f>
        <v/>
      </c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60" t="str">
        <f>IF(COUNTA(T14:AH14)=0,"",SUM(T14:AH14))</f>
        <v/>
      </c>
      <c r="AJ14" s="61" t="str">
        <f>IF(COUNTA(T14:AH14)=0,"",AI14/75)</f>
        <v/>
      </c>
      <c r="AK14" s="61" t="str">
        <f>IF(COUNTA(T14:AH14)=0,"",(SUM(T14*[1]KPI_Weights!$B$4,U14*[1]KPI_Weights!$B$5,V14*[1]KPI_Weights!$B$6,W14*[1]KPI_Weights!$B$7,X14*[1]KPI_Weights!$B$8,Y14*[1]KPI_Weights!$B$9,Z14*[1]KPI_Weights!$B$10,AA14*[1]KPI_Weights!$B$11,AB14*[1]KPI_Weights!$B$12,AC14*[1]KPI_Weights!$B$13,AD14*[1]KPI_Weights!$B$14,AE14*[1]KPI_Weights!$B$15,AF14*[1]KPI_Weights!$B$16,AG14*[1]KPI_Weights!$B$17,AH14*[1]KPI_Weights!$B$18))/5)</f>
        <v/>
      </c>
      <c r="AL14" s="60" t="str">
        <f>IF(COUNTA(T14:AH14)=0,"",IF(OR(T14&lt;=1,W14&lt;=1,X14&lt;=1,Y14&lt;=1,AB14&lt;=1),"YES","NO"))</f>
        <v/>
      </c>
      <c r="AM14" s="60" t="str">
        <f>IF(AJ14="","",IF(AND(AL14="NO",AJ14&gt;=0.75),"YES","NO"))</f>
        <v/>
      </c>
      <c r="AN14" s="60" t="str">
        <f>IF(AJ14="","",IF(AJ14&lt;0.4,"Critical",IF(AJ14&lt;0.6,"Poor",IF(AJ14&lt;0.75,"Needs Improvement",IF(AJ14&lt;0.9,"Good","Excellent")))))</f>
        <v/>
      </c>
      <c r="AO14" s="59"/>
      <c r="AP14" s="59"/>
      <c r="AQ14" s="59"/>
      <c r="AR14" s="59"/>
      <c r="AS14" s="58"/>
      <c r="AT14" s="58"/>
      <c r="AU14" s="58"/>
      <c r="AV14" s="58"/>
      <c r="AW14" s="58"/>
      <c r="AX14" s="58"/>
      <c r="AY14" s="58"/>
      <c r="AZ14" s="58"/>
      <c r="BA14" s="58"/>
      <c r="BB14" s="58"/>
    </row>
    <row r="15" spans="1:54" ht="19.5" customHeight="1" x14ac:dyDescent="0.25">
      <c r="A15" s="60" t="str">
        <f>IF($B15="","",TEXT($B15,"yyyymmdd")&amp;"-"&amp;SUBSTITUTE($F15," ","")&amp;"-"&amp;TEXT(COUNTIF($F$4:F15,$F15),"00"))</f>
        <v/>
      </c>
      <c r="B15" s="65"/>
      <c r="C15" s="60" t="str">
        <f>IF($B15="","",WEEKNUM($B15,2))</f>
        <v/>
      </c>
      <c r="D15" s="60" t="str">
        <f>IF($B15="","",TEXT($B15,"yyyy-mm"))</f>
        <v/>
      </c>
      <c r="E15" s="64"/>
      <c r="F15" s="64"/>
      <c r="G15" s="60" t="str">
        <f>IF(OR($E15="",$F15=""),"",IFERROR(IF($E15=INDEX([1]Cluster_Master!$A$4:$A$18,MATCH($F15,[1]Cluster_Master!$B$4:$B$18,0)),"OK","CHECK"),"CHECK"))</f>
        <v/>
      </c>
      <c r="H15" s="63" t="str">
        <f>IFERROR(INDEX([1]Cluster_Master!$C$4:$C$18,MATCH($F15,[1]Cluster_Master!$B$4:$B$18,0)),"")</f>
        <v/>
      </c>
      <c r="I15" s="60" t="str">
        <f>IFERROR(INDEX([1]Cluster_Master!$D$4:$D$18,MATCH($F15,[1]Cluster_Master!$B$4:$B$18,0)),"")</f>
        <v/>
      </c>
      <c r="J15" s="60" t="str">
        <f>IFERROR(INDEX([1]Cluster_Master!$E$4:$E$18,MATCH($F15,[1]Cluster_Master!$B$4:$B$18,0)),"")</f>
        <v/>
      </c>
      <c r="K15" s="60" t="str">
        <f>IFERROR(INDEX([1]Cluster_Master!$F$4:$F$18,MATCH($F15,[1]Cluster_Master!$B$4:$B$18,0)),"")</f>
        <v/>
      </c>
      <c r="L15" s="60" t="str">
        <f>IFERROR(INDEX([1]Cluster_Master!$G$4:$G$18,MATCH($F15,[1]Cluster_Master!$B$4:$B$18,0)),"")</f>
        <v/>
      </c>
      <c r="M15" s="60" t="str">
        <f>IFERROR(INDEX([1]Cluster_Master!$H$4:$H$18,MATCH($F15,[1]Cluster_Master!$B$4:$B$18,0)),"")</f>
        <v/>
      </c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60" t="str">
        <f>IF(COUNTA(T15:AH15)=0,"",SUM(T15:AH15))</f>
        <v/>
      </c>
      <c r="AJ15" s="61" t="str">
        <f>IF(COUNTA(T15:AH15)=0,"",AI15/75)</f>
        <v/>
      </c>
      <c r="AK15" s="61" t="str">
        <f>IF(COUNTA(T15:AH15)=0,"",(SUM(T15*[1]KPI_Weights!$B$4,U15*[1]KPI_Weights!$B$5,V15*[1]KPI_Weights!$B$6,W15*[1]KPI_Weights!$B$7,X15*[1]KPI_Weights!$B$8,Y15*[1]KPI_Weights!$B$9,Z15*[1]KPI_Weights!$B$10,AA15*[1]KPI_Weights!$B$11,AB15*[1]KPI_Weights!$B$12,AC15*[1]KPI_Weights!$B$13,AD15*[1]KPI_Weights!$B$14,AE15*[1]KPI_Weights!$B$15,AF15*[1]KPI_Weights!$B$16,AG15*[1]KPI_Weights!$B$17,AH15*[1]KPI_Weights!$B$18))/5)</f>
        <v/>
      </c>
      <c r="AL15" s="60" t="str">
        <f>IF(COUNTA(T15:AH15)=0,"",IF(OR(T15&lt;=1,W15&lt;=1,X15&lt;=1,Y15&lt;=1,AB15&lt;=1),"YES","NO"))</f>
        <v/>
      </c>
      <c r="AM15" s="60" t="str">
        <f>IF(AJ15="","",IF(AND(AL15="NO",AJ15&gt;=0.75),"YES","NO"))</f>
        <v/>
      </c>
      <c r="AN15" s="60" t="str">
        <f>IF(AJ15="","",IF(AJ15&lt;0.4,"Critical",IF(AJ15&lt;0.6,"Poor",IF(AJ15&lt;0.75,"Needs Improvement",IF(AJ15&lt;0.9,"Good","Excellent")))))</f>
        <v/>
      </c>
      <c r="AO15" s="59"/>
      <c r="AP15" s="59"/>
      <c r="AQ15" s="59"/>
      <c r="AR15" s="59"/>
      <c r="AS15" s="58"/>
      <c r="AT15" s="58"/>
      <c r="AU15" s="58"/>
      <c r="AV15" s="58"/>
      <c r="AW15" s="58"/>
      <c r="AX15" s="58"/>
      <c r="AY15" s="58"/>
      <c r="AZ15" s="58"/>
      <c r="BA15" s="58"/>
      <c r="BB15" s="58"/>
    </row>
    <row r="16" spans="1:54" ht="19.5" customHeight="1" x14ac:dyDescent="0.25">
      <c r="A16" s="60" t="str">
        <f>IF($B16="","",TEXT($B16,"yyyymmdd")&amp;"-"&amp;SUBSTITUTE($F16," ","")&amp;"-"&amp;TEXT(COUNTIF($F$4:F16,$F16),"00"))</f>
        <v/>
      </c>
      <c r="B16" s="65"/>
      <c r="C16" s="60" t="str">
        <f>IF($B16="","",WEEKNUM($B16,2))</f>
        <v/>
      </c>
      <c r="D16" s="60" t="str">
        <f>IF($B16="","",TEXT($B16,"yyyy-mm"))</f>
        <v/>
      </c>
      <c r="E16" s="64"/>
      <c r="F16" s="64"/>
      <c r="G16" s="60" t="str">
        <f>IF(OR($E16="",$F16=""),"",IFERROR(IF($E16=INDEX([1]Cluster_Master!$A$4:$A$18,MATCH($F16,[1]Cluster_Master!$B$4:$B$18,0)),"OK","CHECK"),"CHECK"))</f>
        <v/>
      </c>
      <c r="H16" s="63" t="str">
        <f>IFERROR(INDEX([1]Cluster_Master!$C$4:$C$18,MATCH($F16,[1]Cluster_Master!$B$4:$B$18,0)),"")</f>
        <v/>
      </c>
      <c r="I16" s="60" t="str">
        <f>IFERROR(INDEX([1]Cluster_Master!$D$4:$D$18,MATCH($F16,[1]Cluster_Master!$B$4:$B$18,0)),"")</f>
        <v/>
      </c>
      <c r="J16" s="60" t="str">
        <f>IFERROR(INDEX([1]Cluster_Master!$E$4:$E$18,MATCH($F16,[1]Cluster_Master!$B$4:$B$18,0)),"")</f>
        <v/>
      </c>
      <c r="K16" s="60" t="str">
        <f>IFERROR(INDEX([1]Cluster_Master!$F$4:$F$18,MATCH($F16,[1]Cluster_Master!$B$4:$B$18,0)),"")</f>
        <v/>
      </c>
      <c r="L16" s="60" t="str">
        <f>IFERROR(INDEX([1]Cluster_Master!$G$4:$G$18,MATCH($F16,[1]Cluster_Master!$B$4:$B$18,0)),"")</f>
        <v/>
      </c>
      <c r="M16" s="60" t="str">
        <f>IFERROR(INDEX([1]Cluster_Master!$H$4:$H$18,MATCH($F16,[1]Cluster_Master!$B$4:$B$18,0)),"")</f>
        <v/>
      </c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60" t="str">
        <f>IF(COUNTA(T16:AH16)=0,"",SUM(T16:AH16))</f>
        <v/>
      </c>
      <c r="AJ16" s="61" t="str">
        <f>IF(COUNTA(T16:AH16)=0,"",AI16/75)</f>
        <v/>
      </c>
      <c r="AK16" s="61" t="str">
        <f>IF(COUNTA(T16:AH16)=0,"",(SUM(T16*[1]KPI_Weights!$B$4,U16*[1]KPI_Weights!$B$5,V16*[1]KPI_Weights!$B$6,W16*[1]KPI_Weights!$B$7,X16*[1]KPI_Weights!$B$8,Y16*[1]KPI_Weights!$B$9,Z16*[1]KPI_Weights!$B$10,AA16*[1]KPI_Weights!$B$11,AB16*[1]KPI_Weights!$B$12,AC16*[1]KPI_Weights!$B$13,AD16*[1]KPI_Weights!$B$14,AE16*[1]KPI_Weights!$B$15,AF16*[1]KPI_Weights!$B$16,AG16*[1]KPI_Weights!$B$17,AH16*[1]KPI_Weights!$B$18))/5)</f>
        <v/>
      </c>
      <c r="AL16" s="60" t="str">
        <f>IF(COUNTA(T16:AH16)=0,"",IF(OR(T16&lt;=1,W16&lt;=1,X16&lt;=1,Y16&lt;=1,AB16&lt;=1),"YES","NO"))</f>
        <v/>
      </c>
      <c r="AM16" s="60" t="str">
        <f>IF(AJ16="","",IF(AND(AL16="NO",AJ16&gt;=0.75),"YES","NO"))</f>
        <v/>
      </c>
      <c r="AN16" s="60" t="str">
        <f>IF(AJ16="","",IF(AJ16&lt;0.4,"Critical",IF(AJ16&lt;0.6,"Poor",IF(AJ16&lt;0.75,"Needs Improvement",IF(AJ16&lt;0.9,"Good","Excellent")))))</f>
        <v/>
      </c>
      <c r="AO16" s="59"/>
      <c r="AP16" s="59"/>
      <c r="AQ16" s="59"/>
      <c r="AR16" s="59"/>
      <c r="AS16" s="58"/>
      <c r="AT16" s="58"/>
      <c r="AU16" s="58"/>
      <c r="AV16" s="58"/>
      <c r="AW16" s="58"/>
      <c r="AX16" s="58"/>
      <c r="AY16" s="58"/>
      <c r="AZ16" s="58"/>
      <c r="BA16" s="58"/>
      <c r="BB16" s="58"/>
    </row>
    <row r="17" spans="1:54" ht="19.5" customHeight="1" x14ac:dyDescent="0.25">
      <c r="A17" s="60" t="str">
        <f>IF($B17="","",TEXT($B17,"yyyymmdd")&amp;"-"&amp;SUBSTITUTE($F17," ","")&amp;"-"&amp;TEXT(COUNTIF($F$4:F17,$F17),"00"))</f>
        <v/>
      </c>
      <c r="B17" s="65"/>
      <c r="C17" s="60" t="str">
        <f>IF($B17="","",WEEKNUM($B17,2))</f>
        <v/>
      </c>
      <c r="D17" s="60" t="str">
        <f>IF($B17="","",TEXT($B17,"yyyy-mm"))</f>
        <v/>
      </c>
      <c r="E17" s="64"/>
      <c r="F17" s="64"/>
      <c r="G17" s="60" t="str">
        <f>IF(OR($E17="",$F17=""),"",IFERROR(IF($E17=INDEX([1]Cluster_Master!$A$4:$A$18,MATCH($F17,[1]Cluster_Master!$B$4:$B$18,0)),"OK","CHECK"),"CHECK"))</f>
        <v/>
      </c>
      <c r="H17" s="63" t="str">
        <f>IFERROR(INDEX([1]Cluster_Master!$C$4:$C$18,MATCH($F17,[1]Cluster_Master!$B$4:$B$18,0)),"")</f>
        <v/>
      </c>
      <c r="I17" s="60" t="str">
        <f>IFERROR(INDEX([1]Cluster_Master!$D$4:$D$18,MATCH($F17,[1]Cluster_Master!$B$4:$B$18,0)),"")</f>
        <v/>
      </c>
      <c r="J17" s="60" t="str">
        <f>IFERROR(INDEX([1]Cluster_Master!$E$4:$E$18,MATCH($F17,[1]Cluster_Master!$B$4:$B$18,0)),"")</f>
        <v/>
      </c>
      <c r="K17" s="60" t="str">
        <f>IFERROR(INDEX([1]Cluster_Master!$F$4:$F$18,MATCH($F17,[1]Cluster_Master!$B$4:$B$18,0)),"")</f>
        <v/>
      </c>
      <c r="L17" s="60" t="str">
        <f>IFERROR(INDEX([1]Cluster_Master!$G$4:$G$18,MATCH($F17,[1]Cluster_Master!$B$4:$B$18,0)),"")</f>
        <v/>
      </c>
      <c r="M17" s="60" t="str">
        <f>IFERROR(INDEX([1]Cluster_Master!$H$4:$H$18,MATCH($F17,[1]Cluster_Master!$B$4:$B$18,0)),"")</f>
        <v/>
      </c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60" t="str">
        <f>IF(COUNTA(T17:AH17)=0,"",SUM(T17:AH17))</f>
        <v/>
      </c>
      <c r="AJ17" s="61" t="str">
        <f>IF(COUNTA(T17:AH17)=0,"",AI17/75)</f>
        <v/>
      </c>
      <c r="AK17" s="61" t="str">
        <f>IF(COUNTA(T17:AH17)=0,"",(SUM(T17*[1]KPI_Weights!$B$4,U17*[1]KPI_Weights!$B$5,V17*[1]KPI_Weights!$B$6,W17*[1]KPI_Weights!$B$7,X17*[1]KPI_Weights!$B$8,Y17*[1]KPI_Weights!$B$9,Z17*[1]KPI_Weights!$B$10,AA17*[1]KPI_Weights!$B$11,AB17*[1]KPI_Weights!$B$12,AC17*[1]KPI_Weights!$B$13,AD17*[1]KPI_Weights!$B$14,AE17*[1]KPI_Weights!$B$15,AF17*[1]KPI_Weights!$B$16,AG17*[1]KPI_Weights!$B$17,AH17*[1]KPI_Weights!$B$18))/5)</f>
        <v/>
      </c>
      <c r="AL17" s="60" t="str">
        <f>IF(COUNTA(T17:AH17)=0,"",IF(OR(T17&lt;=1,W17&lt;=1,X17&lt;=1,Y17&lt;=1,AB17&lt;=1),"YES","NO"))</f>
        <v/>
      </c>
      <c r="AM17" s="60" t="str">
        <f>IF(AJ17="","",IF(AND(AL17="NO",AJ17&gt;=0.75),"YES","NO"))</f>
        <v/>
      </c>
      <c r="AN17" s="60" t="str">
        <f>IF(AJ17="","",IF(AJ17&lt;0.4,"Critical",IF(AJ17&lt;0.6,"Poor",IF(AJ17&lt;0.75,"Needs Improvement",IF(AJ17&lt;0.9,"Good","Excellent")))))</f>
        <v/>
      </c>
      <c r="AO17" s="59"/>
      <c r="AP17" s="59"/>
      <c r="AQ17" s="59"/>
      <c r="AR17" s="59"/>
      <c r="AS17" s="58"/>
      <c r="AT17" s="58"/>
      <c r="AU17" s="58"/>
      <c r="AV17" s="58"/>
      <c r="AW17" s="58"/>
      <c r="AX17" s="58"/>
      <c r="AY17" s="58"/>
      <c r="AZ17" s="58"/>
      <c r="BA17" s="58"/>
      <c r="BB17" s="58"/>
    </row>
    <row r="18" spans="1:54" ht="19.5" customHeight="1" x14ac:dyDescent="0.25">
      <c r="A18" s="60" t="str">
        <f>IF($B18="","",TEXT($B18,"yyyymmdd")&amp;"-"&amp;SUBSTITUTE($F18," ","")&amp;"-"&amp;TEXT(COUNTIF($F$4:F18,$F18),"00"))</f>
        <v/>
      </c>
      <c r="B18" s="65"/>
      <c r="C18" s="60" t="str">
        <f>IF($B18="","",WEEKNUM($B18,2))</f>
        <v/>
      </c>
      <c r="D18" s="60" t="str">
        <f>IF($B18="","",TEXT($B18,"yyyy-mm"))</f>
        <v/>
      </c>
      <c r="E18" s="64"/>
      <c r="F18" s="64"/>
      <c r="G18" s="60" t="str">
        <f>IF(OR($E18="",$F18=""),"",IFERROR(IF($E18=INDEX([1]Cluster_Master!$A$4:$A$18,MATCH($F18,[1]Cluster_Master!$B$4:$B$18,0)),"OK","CHECK"),"CHECK"))</f>
        <v/>
      </c>
      <c r="H18" s="63" t="str">
        <f>IFERROR(INDEX([1]Cluster_Master!$C$4:$C$18,MATCH($F18,[1]Cluster_Master!$B$4:$B$18,0)),"")</f>
        <v/>
      </c>
      <c r="I18" s="60" t="str">
        <f>IFERROR(INDEX([1]Cluster_Master!$D$4:$D$18,MATCH($F18,[1]Cluster_Master!$B$4:$B$18,0)),"")</f>
        <v/>
      </c>
      <c r="J18" s="60" t="str">
        <f>IFERROR(INDEX([1]Cluster_Master!$E$4:$E$18,MATCH($F18,[1]Cluster_Master!$B$4:$B$18,0)),"")</f>
        <v/>
      </c>
      <c r="K18" s="60" t="str">
        <f>IFERROR(INDEX([1]Cluster_Master!$F$4:$F$18,MATCH($F18,[1]Cluster_Master!$B$4:$B$18,0)),"")</f>
        <v/>
      </c>
      <c r="L18" s="60" t="str">
        <f>IFERROR(INDEX([1]Cluster_Master!$G$4:$G$18,MATCH($F18,[1]Cluster_Master!$B$4:$B$18,0)),"")</f>
        <v/>
      </c>
      <c r="M18" s="60" t="str">
        <f>IFERROR(INDEX([1]Cluster_Master!$H$4:$H$18,MATCH($F18,[1]Cluster_Master!$B$4:$B$18,0)),"")</f>
        <v/>
      </c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60" t="str">
        <f>IF(COUNTA(T18:AH18)=0,"",SUM(T18:AH18))</f>
        <v/>
      </c>
      <c r="AJ18" s="61" t="str">
        <f>IF(COUNTA(T18:AH18)=0,"",AI18/75)</f>
        <v/>
      </c>
      <c r="AK18" s="61" t="str">
        <f>IF(COUNTA(T18:AH18)=0,"",(SUM(T18*[1]KPI_Weights!$B$4,U18*[1]KPI_Weights!$B$5,V18*[1]KPI_Weights!$B$6,W18*[1]KPI_Weights!$B$7,X18*[1]KPI_Weights!$B$8,Y18*[1]KPI_Weights!$B$9,Z18*[1]KPI_Weights!$B$10,AA18*[1]KPI_Weights!$B$11,AB18*[1]KPI_Weights!$B$12,AC18*[1]KPI_Weights!$B$13,AD18*[1]KPI_Weights!$B$14,AE18*[1]KPI_Weights!$B$15,AF18*[1]KPI_Weights!$B$16,AG18*[1]KPI_Weights!$B$17,AH18*[1]KPI_Weights!$B$18))/5)</f>
        <v/>
      </c>
      <c r="AL18" s="60" t="str">
        <f>IF(COUNTA(T18:AH18)=0,"",IF(OR(T18&lt;=1,W18&lt;=1,X18&lt;=1,Y18&lt;=1,AB18&lt;=1),"YES","NO"))</f>
        <v/>
      </c>
      <c r="AM18" s="60" t="str">
        <f>IF(AJ18="","",IF(AND(AL18="NO",AJ18&gt;=0.75),"YES","NO"))</f>
        <v/>
      </c>
      <c r="AN18" s="60" t="str">
        <f>IF(AJ18="","",IF(AJ18&lt;0.4,"Critical",IF(AJ18&lt;0.6,"Poor",IF(AJ18&lt;0.75,"Needs Improvement",IF(AJ18&lt;0.9,"Good","Excellent")))))</f>
        <v/>
      </c>
      <c r="AO18" s="59"/>
      <c r="AP18" s="59"/>
      <c r="AQ18" s="59"/>
      <c r="AR18" s="59"/>
      <c r="AS18" s="58"/>
      <c r="AT18" s="58"/>
      <c r="AU18" s="58"/>
      <c r="AV18" s="58"/>
      <c r="AW18" s="58"/>
      <c r="AX18" s="58"/>
      <c r="AY18" s="58"/>
      <c r="AZ18" s="58"/>
      <c r="BA18" s="58"/>
      <c r="BB18" s="58"/>
    </row>
    <row r="19" spans="1:54" ht="19.5" customHeight="1" x14ac:dyDescent="0.25">
      <c r="A19" s="60" t="str">
        <f>IF($B19="","",TEXT($B19,"yyyymmdd")&amp;"-"&amp;SUBSTITUTE($F19," ","")&amp;"-"&amp;TEXT(COUNTIF($F$4:F19,$F19),"00"))</f>
        <v/>
      </c>
      <c r="B19" s="65"/>
      <c r="C19" s="60" t="str">
        <f>IF($B19="","",WEEKNUM($B19,2))</f>
        <v/>
      </c>
      <c r="D19" s="60" t="str">
        <f>IF($B19="","",TEXT($B19,"yyyy-mm"))</f>
        <v/>
      </c>
      <c r="E19" s="64"/>
      <c r="F19" s="64"/>
      <c r="G19" s="60" t="str">
        <f>IF(OR($E19="",$F19=""),"",IFERROR(IF($E19=INDEX([1]Cluster_Master!$A$4:$A$18,MATCH($F19,[1]Cluster_Master!$B$4:$B$18,0)),"OK","CHECK"),"CHECK"))</f>
        <v/>
      </c>
      <c r="H19" s="63" t="str">
        <f>IFERROR(INDEX([1]Cluster_Master!$C$4:$C$18,MATCH($F19,[1]Cluster_Master!$B$4:$B$18,0)),"")</f>
        <v/>
      </c>
      <c r="I19" s="60" t="str">
        <f>IFERROR(INDEX([1]Cluster_Master!$D$4:$D$18,MATCH($F19,[1]Cluster_Master!$B$4:$B$18,0)),"")</f>
        <v/>
      </c>
      <c r="J19" s="60" t="str">
        <f>IFERROR(INDEX([1]Cluster_Master!$E$4:$E$18,MATCH($F19,[1]Cluster_Master!$B$4:$B$18,0)),"")</f>
        <v/>
      </c>
      <c r="K19" s="60" t="str">
        <f>IFERROR(INDEX([1]Cluster_Master!$F$4:$F$18,MATCH($F19,[1]Cluster_Master!$B$4:$B$18,0)),"")</f>
        <v/>
      </c>
      <c r="L19" s="60" t="str">
        <f>IFERROR(INDEX([1]Cluster_Master!$G$4:$G$18,MATCH($F19,[1]Cluster_Master!$B$4:$B$18,0)),"")</f>
        <v/>
      </c>
      <c r="M19" s="60" t="str">
        <f>IFERROR(INDEX([1]Cluster_Master!$H$4:$H$18,MATCH($F19,[1]Cluster_Master!$B$4:$B$18,0)),"")</f>
        <v/>
      </c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60" t="str">
        <f>IF(COUNTA(T19:AH19)=0,"",SUM(T19:AH19))</f>
        <v/>
      </c>
      <c r="AJ19" s="61" t="str">
        <f>IF(COUNTA(T19:AH19)=0,"",AI19/75)</f>
        <v/>
      </c>
      <c r="AK19" s="61" t="str">
        <f>IF(COUNTA(T19:AH19)=0,"",(SUM(T19*[1]KPI_Weights!$B$4,U19*[1]KPI_Weights!$B$5,V19*[1]KPI_Weights!$B$6,W19*[1]KPI_Weights!$B$7,X19*[1]KPI_Weights!$B$8,Y19*[1]KPI_Weights!$B$9,Z19*[1]KPI_Weights!$B$10,AA19*[1]KPI_Weights!$B$11,AB19*[1]KPI_Weights!$B$12,AC19*[1]KPI_Weights!$B$13,AD19*[1]KPI_Weights!$B$14,AE19*[1]KPI_Weights!$B$15,AF19*[1]KPI_Weights!$B$16,AG19*[1]KPI_Weights!$B$17,AH19*[1]KPI_Weights!$B$18))/5)</f>
        <v/>
      </c>
      <c r="AL19" s="60" t="str">
        <f>IF(COUNTA(T19:AH19)=0,"",IF(OR(T19&lt;=1,W19&lt;=1,X19&lt;=1,Y19&lt;=1,AB19&lt;=1),"YES","NO"))</f>
        <v/>
      </c>
      <c r="AM19" s="60" t="str">
        <f>IF(AJ19="","",IF(AND(AL19="NO",AJ19&gt;=0.75),"YES","NO"))</f>
        <v/>
      </c>
      <c r="AN19" s="60" t="str">
        <f>IF(AJ19="","",IF(AJ19&lt;0.4,"Critical",IF(AJ19&lt;0.6,"Poor",IF(AJ19&lt;0.75,"Needs Improvement",IF(AJ19&lt;0.9,"Good","Excellent")))))</f>
        <v/>
      </c>
      <c r="AO19" s="59"/>
      <c r="AP19" s="59"/>
      <c r="AQ19" s="59"/>
      <c r="AR19" s="59"/>
      <c r="AS19" s="58"/>
      <c r="AT19" s="58"/>
      <c r="AU19" s="58"/>
      <c r="AV19" s="58"/>
      <c r="AW19" s="58"/>
      <c r="AX19" s="58"/>
      <c r="AY19" s="58"/>
      <c r="AZ19" s="58"/>
      <c r="BA19" s="58"/>
      <c r="BB19" s="58"/>
    </row>
    <row r="20" spans="1:54" ht="19.5" customHeight="1" x14ac:dyDescent="0.25">
      <c r="A20" s="60" t="str">
        <f>IF($B20="","",TEXT($B20,"yyyymmdd")&amp;"-"&amp;SUBSTITUTE($F20," ","")&amp;"-"&amp;TEXT(COUNTIF($F$4:F20,$F20),"00"))</f>
        <v/>
      </c>
      <c r="B20" s="65"/>
      <c r="C20" s="60" t="str">
        <f>IF($B20="","",WEEKNUM($B20,2))</f>
        <v/>
      </c>
      <c r="D20" s="60" t="str">
        <f>IF($B20="","",TEXT($B20,"yyyy-mm"))</f>
        <v/>
      </c>
      <c r="E20" s="64"/>
      <c r="F20" s="64"/>
      <c r="G20" s="60" t="str">
        <f>IF(OR($E20="",$F20=""),"",IFERROR(IF($E20=INDEX([1]Cluster_Master!$A$4:$A$18,MATCH($F20,[1]Cluster_Master!$B$4:$B$18,0)),"OK","CHECK"),"CHECK"))</f>
        <v/>
      </c>
      <c r="H20" s="63" t="str">
        <f>IFERROR(INDEX([1]Cluster_Master!$C$4:$C$18,MATCH($F20,[1]Cluster_Master!$B$4:$B$18,0)),"")</f>
        <v/>
      </c>
      <c r="I20" s="60" t="str">
        <f>IFERROR(INDEX([1]Cluster_Master!$D$4:$D$18,MATCH($F20,[1]Cluster_Master!$B$4:$B$18,0)),"")</f>
        <v/>
      </c>
      <c r="J20" s="60" t="str">
        <f>IFERROR(INDEX([1]Cluster_Master!$E$4:$E$18,MATCH($F20,[1]Cluster_Master!$B$4:$B$18,0)),"")</f>
        <v/>
      </c>
      <c r="K20" s="60" t="str">
        <f>IFERROR(INDEX([1]Cluster_Master!$F$4:$F$18,MATCH($F20,[1]Cluster_Master!$B$4:$B$18,0)),"")</f>
        <v/>
      </c>
      <c r="L20" s="60" t="str">
        <f>IFERROR(INDEX([1]Cluster_Master!$G$4:$G$18,MATCH($F20,[1]Cluster_Master!$B$4:$B$18,0)),"")</f>
        <v/>
      </c>
      <c r="M20" s="60" t="str">
        <f>IFERROR(INDEX([1]Cluster_Master!$H$4:$H$18,MATCH($F20,[1]Cluster_Master!$B$4:$B$18,0)),"")</f>
        <v/>
      </c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60" t="str">
        <f>IF(COUNTA(T20:AH20)=0,"",SUM(T20:AH20))</f>
        <v/>
      </c>
      <c r="AJ20" s="61" t="str">
        <f>IF(COUNTA(T20:AH20)=0,"",AI20/75)</f>
        <v/>
      </c>
      <c r="AK20" s="61" t="str">
        <f>IF(COUNTA(T20:AH20)=0,"",(SUM(T20*[1]KPI_Weights!$B$4,U20*[1]KPI_Weights!$B$5,V20*[1]KPI_Weights!$B$6,W20*[1]KPI_Weights!$B$7,X20*[1]KPI_Weights!$B$8,Y20*[1]KPI_Weights!$B$9,Z20*[1]KPI_Weights!$B$10,AA20*[1]KPI_Weights!$B$11,AB20*[1]KPI_Weights!$B$12,AC20*[1]KPI_Weights!$B$13,AD20*[1]KPI_Weights!$B$14,AE20*[1]KPI_Weights!$B$15,AF20*[1]KPI_Weights!$B$16,AG20*[1]KPI_Weights!$B$17,AH20*[1]KPI_Weights!$B$18))/5)</f>
        <v/>
      </c>
      <c r="AL20" s="60" t="str">
        <f>IF(COUNTA(T20:AH20)=0,"",IF(OR(T20&lt;=1,W20&lt;=1,X20&lt;=1,Y20&lt;=1,AB20&lt;=1),"YES","NO"))</f>
        <v/>
      </c>
      <c r="AM20" s="60" t="str">
        <f>IF(AJ20="","",IF(AND(AL20="NO",AJ20&gt;=0.75),"YES","NO"))</f>
        <v/>
      </c>
      <c r="AN20" s="60" t="str">
        <f>IF(AJ20="","",IF(AJ20&lt;0.4,"Critical",IF(AJ20&lt;0.6,"Poor",IF(AJ20&lt;0.75,"Needs Improvement",IF(AJ20&lt;0.9,"Good","Excellent")))))</f>
        <v/>
      </c>
      <c r="AO20" s="59"/>
      <c r="AP20" s="59"/>
      <c r="AQ20" s="59"/>
      <c r="AR20" s="59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1" spans="1:54" ht="19.5" customHeight="1" x14ac:dyDescent="0.25">
      <c r="A21" s="60" t="str">
        <f>IF($B21="","",TEXT($B21,"yyyymmdd")&amp;"-"&amp;SUBSTITUTE($F21," ","")&amp;"-"&amp;TEXT(COUNTIF($F$4:F21,$F21),"00"))</f>
        <v/>
      </c>
      <c r="B21" s="65"/>
      <c r="C21" s="60" t="str">
        <f>IF($B21="","",WEEKNUM($B21,2))</f>
        <v/>
      </c>
      <c r="D21" s="60" t="str">
        <f>IF($B21="","",TEXT($B21,"yyyy-mm"))</f>
        <v/>
      </c>
      <c r="E21" s="64"/>
      <c r="F21" s="64"/>
      <c r="G21" s="60" t="str">
        <f>IF(OR($E21="",$F21=""),"",IFERROR(IF($E21=INDEX([1]Cluster_Master!$A$4:$A$18,MATCH($F21,[1]Cluster_Master!$B$4:$B$18,0)),"OK","CHECK"),"CHECK"))</f>
        <v/>
      </c>
      <c r="H21" s="63" t="str">
        <f>IFERROR(INDEX([1]Cluster_Master!$C$4:$C$18,MATCH($F21,[1]Cluster_Master!$B$4:$B$18,0)),"")</f>
        <v/>
      </c>
      <c r="I21" s="60" t="str">
        <f>IFERROR(INDEX([1]Cluster_Master!$D$4:$D$18,MATCH($F21,[1]Cluster_Master!$B$4:$B$18,0)),"")</f>
        <v/>
      </c>
      <c r="J21" s="60" t="str">
        <f>IFERROR(INDEX([1]Cluster_Master!$E$4:$E$18,MATCH($F21,[1]Cluster_Master!$B$4:$B$18,0)),"")</f>
        <v/>
      </c>
      <c r="K21" s="60" t="str">
        <f>IFERROR(INDEX([1]Cluster_Master!$F$4:$F$18,MATCH($F21,[1]Cluster_Master!$B$4:$B$18,0)),"")</f>
        <v/>
      </c>
      <c r="L21" s="60" t="str">
        <f>IFERROR(INDEX([1]Cluster_Master!$G$4:$G$18,MATCH($F21,[1]Cluster_Master!$B$4:$B$18,0)),"")</f>
        <v/>
      </c>
      <c r="M21" s="60" t="str">
        <f>IFERROR(INDEX([1]Cluster_Master!$H$4:$H$18,MATCH($F21,[1]Cluster_Master!$B$4:$B$18,0)),"")</f>
        <v/>
      </c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60" t="str">
        <f>IF(COUNTA(T21:AH21)=0,"",SUM(T21:AH21))</f>
        <v/>
      </c>
      <c r="AJ21" s="61" t="str">
        <f>IF(COUNTA(T21:AH21)=0,"",AI21/75)</f>
        <v/>
      </c>
      <c r="AK21" s="61" t="str">
        <f>IF(COUNTA(T21:AH21)=0,"",(SUM(T21*[1]KPI_Weights!$B$4,U21*[1]KPI_Weights!$B$5,V21*[1]KPI_Weights!$B$6,W21*[1]KPI_Weights!$B$7,X21*[1]KPI_Weights!$B$8,Y21*[1]KPI_Weights!$B$9,Z21*[1]KPI_Weights!$B$10,AA21*[1]KPI_Weights!$B$11,AB21*[1]KPI_Weights!$B$12,AC21*[1]KPI_Weights!$B$13,AD21*[1]KPI_Weights!$B$14,AE21*[1]KPI_Weights!$B$15,AF21*[1]KPI_Weights!$B$16,AG21*[1]KPI_Weights!$B$17,AH21*[1]KPI_Weights!$B$18))/5)</f>
        <v/>
      </c>
      <c r="AL21" s="60" t="str">
        <f>IF(COUNTA(T21:AH21)=0,"",IF(OR(T21&lt;=1,W21&lt;=1,X21&lt;=1,Y21&lt;=1,AB21&lt;=1),"YES","NO"))</f>
        <v/>
      </c>
      <c r="AM21" s="60" t="str">
        <f>IF(AJ21="","",IF(AND(AL21="NO",AJ21&gt;=0.75),"YES","NO"))</f>
        <v/>
      </c>
      <c r="AN21" s="60" t="str">
        <f>IF(AJ21="","",IF(AJ21&lt;0.4,"Critical",IF(AJ21&lt;0.6,"Poor",IF(AJ21&lt;0.75,"Needs Improvement",IF(AJ21&lt;0.9,"Good","Excellent")))))</f>
        <v/>
      </c>
      <c r="AO21" s="59"/>
      <c r="AP21" s="59"/>
      <c r="AQ21" s="59"/>
      <c r="AR21" s="59"/>
      <c r="AS21" s="58"/>
      <c r="AT21" s="58"/>
      <c r="AU21" s="58"/>
      <c r="AV21" s="58"/>
      <c r="AW21" s="58"/>
      <c r="AX21" s="58"/>
      <c r="AY21" s="58"/>
      <c r="AZ21" s="58"/>
      <c r="BA21" s="58"/>
      <c r="BB21" s="58"/>
    </row>
    <row r="22" spans="1:54" ht="19.5" customHeight="1" x14ac:dyDescent="0.25">
      <c r="A22" s="60" t="str">
        <f>IF($B22="","",TEXT($B22,"yyyymmdd")&amp;"-"&amp;SUBSTITUTE($F22," ","")&amp;"-"&amp;TEXT(COUNTIF($F$4:F22,$F22),"00"))</f>
        <v/>
      </c>
      <c r="B22" s="65"/>
      <c r="C22" s="60" t="str">
        <f>IF($B22="","",WEEKNUM($B22,2))</f>
        <v/>
      </c>
      <c r="D22" s="60" t="str">
        <f>IF($B22="","",TEXT($B22,"yyyy-mm"))</f>
        <v/>
      </c>
      <c r="E22" s="64"/>
      <c r="F22" s="64"/>
      <c r="G22" s="60" t="str">
        <f>IF(OR($E22="",$F22=""),"",IFERROR(IF($E22=INDEX([1]Cluster_Master!$A$4:$A$18,MATCH($F22,[1]Cluster_Master!$B$4:$B$18,0)),"OK","CHECK"),"CHECK"))</f>
        <v/>
      </c>
      <c r="H22" s="63" t="str">
        <f>IFERROR(INDEX([1]Cluster_Master!$C$4:$C$18,MATCH($F22,[1]Cluster_Master!$B$4:$B$18,0)),"")</f>
        <v/>
      </c>
      <c r="I22" s="60" t="str">
        <f>IFERROR(INDEX([1]Cluster_Master!$D$4:$D$18,MATCH($F22,[1]Cluster_Master!$B$4:$B$18,0)),"")</f>
        <v/>
      </c>
      <c r="J22" s="60" t="str">
        <f>IFERROR(INDEX([1]Cluster_Master!$E$4:$E$18,MATCH($F22,[1]Cluster_Master!$B$4:$B$18,0)),"")</f>
        <v/>
      </c>
      <c r="K22" s="60" t="str">
        <f>IFERROR(INDEX([1]Cluster_Master!$F$4:$F$18,MATCH($F22,[1]Cluster_Master!$B$4:$B$18,0)),"")</f>
        <v/>
      </c>
      <c r="L22" s="60" t="str">
        <f>IFERROR(INDEX([1]Cluster_Master!$G$4:$G$18,MATCH($F22,[1]Cluster_Master!$B$4:$B$18,0)),"")</f>
        <v/>
      </c>
      <c r="M22" s="60" t="str">
        <f>IFERROR(INDEX([1]Cluster_Master!$H$4:$H$18,MATCH($F22,[1]Cluster_Master!$B$4:$B$18,0)),"")</f>
        <v/>
      </c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60" t="str">
        <f>IF(COUNTA(T22:AH22)=0,"",SUM(T22:AH22))</f>
        <v/>
      </c>
      <c r="AJ22" s="61" t="str">
        <f>IF(COUNTA(T22:AH22)=0,"",AI22/75)</f>
        <v/>
      </c>
      <c r="AK22" s="61" t="str">
        <f>IF(COUNTA(T22:AH22)=0,"",(SUM(T22*[1]KPI_Weights!$B$4,U22*[1]KPI_Weights!$B$5,V22*[1]KPI_Weights!$B$6,W22*[1]KPI_Weights!$B$7,X22*[1]KPI_Weights!$B$8,Y22*[1]KPI_Weights!$B$9,Z22*[1]KPI_Weights!$B$10,AA22*[1]KPI_Weights!$B$11,AB22*[1]KPI_Weights!$B$12,AC22*[1]KPI_Weights!$B$13,AD22*[1]KPI_Weights!$B$14,AE22*[1]KPI_Weights!$B$15,AF22*[1]KPI_Weights!$B$16,AG22*[1]KPI_Weights!$B$17,AH22*[1]KPI_Weights!$B$18))/5)</f>
        <v/>
      </c>
      <c r="AL22" s="60" t="str">
        <f>IF(COUNTA(T22:AH22)=0,"",IF(OR(T22&lt;=1,W22&lt;=1,X22&lt;=1,Y22&lt;=1,AB22&lt;=1),"YES","NO"))</f>
        <v/>
      </c>
      <c r="AM22" s="60" t="str">
        <f>IF(AJ22="","",IF(AND(AL22="NO",AJ22&gt;=0.75),"YES","NO"))</f>
        <v/>
      </c>
      <c r="AN22" s="60" t="str">
        <f>IF(AJ22="","",IF(AJ22&lt;0.4,"Critical",IF(AJ22&lt;0.6,"Poor",IF(AJ22&lt;0.75,"Needs Improvement",IF(AJ22&lt;0.9,"Good","Excellent")))))</f>
        <v/>
      </c>
      <c r="AO22" s="59"/>
      <c r="AP22" s="59"/>
      <c r="AQ22" s="59"/>
      <c r="AR22" s="59"/>
      <c r="AS22" s="58"/>
      <c r="AT22" s="58"/>
      <c r="AU22" s="58"/>
      <c r="AV22" s="58"/>
      <c r="AW22" s="58"/>
      <c r="AX22" s="58"/>
      <c r="AY22" s="58"/>
      <c r="AZ22" s="58"/>
      <c r="BA22" s="58"/>
      <c r="BB22" s="58"/>
    </row>
    <row r="23" spans="1:54" ht="19.5" customHeight="1" x14ac:dyDescent="0.25">
      <c r="A23" s="60" t="str">
        <f>IF($B23="","",TEXT($B23,"yyyymmdd")&amp;"-"&amp;SUBSTITUTE($F23," ","")&amp;"-"&amp;TEXT(COUNTIF($F$4:F23,$F23),"00"))</f>
        <v/>
      </c>
      <c r="B23" s="65"/>
      <c r="C23" s="60" t="str">
        <f>IF($B23="","",WEEKNUM($B23,2))</f>
        <v/>
      </c>
      <c r="D23" s="60" t="str">
        <f>IF($B23="","",TEXT($B23,"yyyy-mm"))</f>
        <v/>
      </c>
      <c r="E23" s="64"/>
      <c r="F23" s="64"/>
      <c r="G23" s="60" t="str">
        <f>IF(OR($E23="",$F23=""),"",IFERROR(IF($E23=INDEX([1]Cluster_Master!$A$4:$A$18,MATCH($F23,[1]Cluster_Master!$B$4:$B$18,0)),"OK","CHECK"),"CHECK"))</f>
        <v/>
      </c>
      <c r="H23" s="63" t="str">
        <f>IFERROR(INDEX([1]Cluster_Master!$C$4:$C$18,MATCH($F23,[1]Cluster_Master!$B$4:$B$18,0)),"")</f>
        <v/>
      </c>
      <c r="I23" s="60" t="str">
        <f>IFERROR(INDEX([1]Cluster_Master!$D$4:$D$18,MATCH($F23,[1]Cluster_Master!$B$4:$B$18,0)),"")</f>
        <v/>
      </c>
      <c r="J23" s="60" t="str">
        <f>IFERROR(INDEX([1]Cluster_Master!$E$4:$E$18,MATCH($F23,[1]Cluster_Master!$B$4:$B$18,0)),"")</f>
        <v/>
      </c>
      <c r="K23" s="60" t="str">
        <f>IFERROR(INDEX([1]Cluster_Master!$F$4:$F$18,MATCH($F23,[1]Cluster_Master!$B$4:$B$18,0)),"")</f>
        <v/>
      </c>
      <c r="L23" s="60" t="str">
        <f>IFERROR(INDEX([1]Cluster_Master!$G$4:$G$18,MATCH($F23,[1]Cluster_Master!$B$4:$B$18,0)),"")</f>
        <v/>
      </c>
      <c r="M23" s="60" t="str">
        <f>IFERROR(INDEX([1]Cluster_Master!$H$4:$H$18,MATCH($F23,[1]Cluster_Master!$B$4:$B$18,0)),"")</f>
        <v/>
      </c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60" t="str">
        <f>IF(COUNTA(T23:AH23)=0,"",SUM(T23:AH23))</f>
        <v/>
      </c>
      <c r="AJ23" s="61" t="str">
        <f>IF(COUNTA(T23:AH23)=0,"",AI23/75)</f>
        <v/>
      </c>
      <c r="AK23" s="61" t="str">
        <f>IF(COUNTA(T23:AH23)=0,"",(SUM(T23*[1]KPI_Weights!$B$4,U23*[1]KPI_Weights!$B$5,V23*[1]KPI_Weights!$B$6,W23*[1]KPI_Weights!$B$7,X23*[1]KPI_Weights!$B$8,Y23*[1]KPI_Weights!$B$9,Z23*[1]KPI_Weights!$B$10,AA23*[1]KPI_Weights!$B$11,AB23*[1]KPI_Weights!$B$12,AC23*[1]KPI_Weights!$B$13,AD23*[1]KPI_Weights!$B$14,AE23*[1]KPI_Weights!$B$15,AF23*[1]KPI_Weights!$B$16,AG23*[1]KPI_Weights!$B$17,AH23*[1]KPI_Weights!$B$18))/5)</f>
        <v/>
      </c>
      <c r="AL23" s="60" t="str">
        <f>IF(COUNTA(T23:AH23)=0,"",IF(OR(T23&lt;=1,W23&lt;=1,X23&lt;=1,Y23&lt;=1,AB23&lt;=1),"YES","NO"))</f>
        <v/>
      </c>
      <c r="AM23" s="60" t="str">
        <f>IF(AJ23="","",IF(AND(AL23="NO",AJ23&gt;=0.75),"YES","NO"))</f>
        <v/>
      </c>
      <c r="AN23" s="60" t="str">
        <f>IF(AJ23="","",IF(AJ23&lt;0.4,"Critical",IF(AJ23&lt;0.6,"Poor",IF(AJ23&lt;0.75,"Needs Improvement",IF(AJ23&lt;0.9,"Good","Excellent")))))</f>
        <v/>
      </c>
      <c r="AO23" s="59"/>
      <c r="AP23" s="59"/>
      <c r="AQ23" s="59"/>
      <c r="AR23" s="59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  <row r="24" spans="1:54" ht="19.5" customHeight="1" x14ac:dyDescent="0.25">
      <c r="A24" s="60" t="str">
        <f>IF($B24="","",TEXT($B24,"yyyymmdd")&amp;"-"&amp;SUBSTITUTE($F24," ","")&amp;"-"&amp;TEXT(COUNTIF($F$4:F24,$F24),"00"))</f>
        <v/>
      </c>
      <c r="B24" s="65"/>
      <c r="C24" s="60" t="str">
        <f>IF($B24="","",WEEKNUM($B24,2))</f>
        <v/>
      </c>
      <c r="D24" s="60" t="str">
        <f>IF($B24="","",TEXT($B24,"yyyy-mm"))</f>
        <v/>
      </c>
      <c r="E24" s="64"/>
      <c r="F24" s="64"/>
      <c r="G24" s="60" t="str">
        <f>IF(OR($E24="",$F24=""),"",IFERROR(IF($E24=INDEX([1]Cluster_Master!$A$4:$A$18,MATCH($F24,[1]Cluster_Master!$B$4:$B$18,0)),"OK","CHECK"),"CHECK"))</f>
        <v/>
      </c>
      <c r="H24" s="63" t="str">
        <f>IFERROR(INDEX([1]Cluster_Master!$C$4:$C$18,MATCH($F24,[1]Cluster_Master!$B$4:$B$18,0)),"")</f>
        <v/>
      </c>
      <c r="I24" s="60" t="str">
        <f>IFERROR(INDEX([1]Cluster_Master!$D$4:$D$18,MATCH($F24,[1]Cluster_Master!$B$4:$B$18,0)),"")</f>
        <v/>
      </c>
      <c r="J24" s="60" t="str">
        <f>IFERROR(INDEX([1]Cluster_Master!$E$4:$E$18,MATCH($F24,[1]Cluster_Master!$B$4:$B$18,0)),"")</f>
        <v/>
      </c>
      <c r="K24" s="60" t="str">
        <f>IFERROR(INDEX([1]Cluster_Master!$F$4:$F$18,MATCH($F24,[1]Cluster_Master!$B$4:$B$18,0)),"")</f>
        <v/>
      </c>
      <c r="L24" s="60" t="str">
        <f>IFERROR(INDEX([1]Cluster_Master!$G$4:$G$18,MATCH($F24,[1]Cluster_Master!$B$4:$B$18,0)),"")</f>
        <v/>
      </c>
      <c r="M24" s="60" t="str">
        <f>IFERROR(INDEX([1]Cluster_Master!$H$4:$H$18,MATCH($F24,[1]Cluster_Master!$B$4:$B$18,0)),"")</f>
        <v/>
      </c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60" t="str">
        <f>IF(COUNTA(T24:AH24)=0,"",SUM(T24:AH24))</f>
        <v/>
      </c>
      <c r="AJ24" s="61" t="str">
        <f>IF(COUNTA(T24:AH24)=0,"",AI24/75)</f>
        <v/>
      </c>
      <c r="AK24" s="61" t="str">
        <f>IF(COUNTA(T24:AH24)=0,"",(SUM(T24*[1]KPI_Weights!$B$4,U24*[1]KPI_Weights!$B$5,V24*[1]KPI_Weights!$B$6,W24*[1]KPI_Weights!$B$7,X24*[1]KPI_Weights!$B$8,Y24*[1]KPI_Weights!$B$9,Z24*[1]KPI_Weights!$B$10,AA24*[1]KPI_Weights!$B$11,AB24*[1]KPI_Weights!$B$12,AC24*[1]KPI_Weights!$B$13,AD24*[1]KPI_Weights!$B$14,AE24*[1]KPI_Weights!$B$15,AF24*[1]KPI_Weights!$B$16,AG24*[1]KPI_Weights!$B$17,AH24*[1]KPI_Weights!$B$18))/5)</f>
        <v/>
      </c>
      <c r="AL24" s="60" t="str">
        <f>IF(COUNTA(T24:AH24)=0,"",IF(OR(T24&lt;=1,W24&lt;=1,X24&lt;=1,Y24&lt;=1,AB24&lt;=1),"YES","NO"))</f>
        <v/>
      </c>
      <c r="AM24" s="60" t="str">
        <f>IF(AJ24="","",IF(AND(AL24="NO",AJ24&gt;=0.75),"YES","NO"))</f>
        <v/>
      </c>
      <c r="AN24" s="60" t="str">
        <f>IF(AJ24="","",IF(AJ24&lt;0.4,"Critical",IF(AJ24&lt;0.6,"Poor",IF(AJ24&lt;0.75,"Needs Improvement",IF(AJ24&lt;0.9,"Good","Excellent")))))</f>
        <v/>
      </c>
      <c r="AO24" s="59"/>
      <c r="AP24" s="59"/>
      <c r="AQ24" s="59"/>
      <c r="AR24" s="59"/>
      <c r="AS24" s="58"/>
      <c r="AT24" s="58"/>
      <c r="AU24" s="58"/>
      <c r="AV24" s="58"/>
      <c r="AW24" s="58"/>
      <c r="AX24" s="58"/>
      <c r="AY24" s="58"/>
      <c r="AZ24" s="58"/>
      <c r="BA24" s="58"/>
      <c r="BB24" s="58"/>
    </row>
    <row r="25" spans="1:54" ht="19.5" customHeight="1" x14ac:dyDescent="0.25">
      <c r="A25" s="60" t="str">
        <f>IF($B25="","",TEXT($B25,"yyyymmdd")&amp;"-"&amp;SUBSTITUTE($F25," ","")&amp;"-"&amp;TEXT(COUNTIF($F$4:F25,$F25),"00"))</f>
        <v/>
      </c>
      <c r="B25" s="65"/>
      <c r="C25" s="60" t="str">
        <f>IF($B25="","",WEEKNUM($B25,2))</f>
        <v/>
      </c>
      <c r="D25" s="60" t="str">
        <f>IF($B25="","",TEXT($B25,"yyyy-mm"))</f>
        <v/>
      </c>
      <c r="E25" s="64"/>
      <c r="F25" s="64"/>
      <c r="G25" s="60" t="str">
        <f>IF(OR($E25="",$F25=""),"",IFERROR(IF($E25=INDEX([1]Cluster_Master!$A$4:$A$18,MATCH($F25,[1]Cluster_Master!$B$4:$B$18,0)),"OK","CHECK"),"CHECK"))</f>
        <v/>
      </c>
      <c r="H25" s="63" t="str">
        <f>IFERROR(INDEX([1]Cluster_Master!$C$4:$C$18,MATCH($F25,[1]Cluster_Master!$B$4:$B$18,0)),"")</f>
        <v/>
      </c>
      <c r="I25" s="60" t="str">
        <f>IFERROR(INDEX([1]Cluster_Master!$D$4:$D$18,MATCH($F25,[1]Cluster_Master!$B$4:$B$18,0)),"")</f>
        <v/>
      </c>
      <c r="J25" s="60" t="str">
        <f>IFERROR(INDEX([1]Cluster_Master!$E$4:$E$18,MATCH($F25,[1]Cluster_Master!$B$4:$B$18,0)),"")</f>
        <v/>
      </c>
      <c r="K25" s="60" t="str">
        <f>IFERROR(INDEX([1]Cluster_Master!$F$4:$F$18,MATCH($F25,[1]Cluster_Master!$B$4:$B$18,0)),"")</f>
        <v/>
      </c>
      <c r="L25" s="60" t="str">
        <f>IFERROR(INDEX([1]Cluster_Master!$G$4:$G$18,MATCH($F25,[1]Cluster_Master!$B$4:$B$18,0)),"")</f>
        <v/>
      </c>
      <c r="M25" s="60" t="str">
        <f>IFERROR(INDEX([1]Cluster_Master!$H$4:$H$18,MATCH($F25,[1]Cluster_Master!$B$4:$B$18,0)),"")</f>
        <v/>
      </c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60" t="str">
        <f>IF(COUNTA(T25:AH25)=0,"",SUM(T25:AH25))</f>
        <v/>
      </c>
      <c r="AJ25" s="61" t="str">
        <f>IF(COUNTA(T25:AH25)=0,"",AI25/75)</f>
        <v/>
      </c>
      <c r="AK25" s="61" t="str">
        <f>IF(COUNTA(T25:AH25)=0,"",(SUM(T25*[1]KPI_Weights!$B$4,U25*[1]KPI_Weights!$B$5,V25*[1]KPI_Weights!$B$6,W25*[1]KPI_Weights!$B$7,X25*[1]KPI_Weights!$B$8,Y25*[1]KPI_Weights!$B$9,Z25*[1]KPI_Weights!$B$10,AA25*[1]KPI_Weights!$B$11,AB25*[1]KPI_Weights!$B$12,AC25*[1]KPI_Weights!$B$13,AD25*[1]KPI_Weights!$B$14,AE25*[1]KPI_Weights!$B$15,AF25*[1]KPI_Weights!$B$16,AG25*[1]KPI_Weights!$B$17,AH25*[1]KPI_Weights!$B$18))/5)</f>
        <v/>
      </c>
      <c r="AL25" s="60" t="str">
        <f>IF(COUNTA(T25:AH25)=0,"",IF(OR(T25&lt;=1,W25&lt;=1,X25&lt;=1,Y25&lt;=1,AB25&lt;=1),"YES","NO"))</f>
        <v/>
      </c>
      <c r="AM25" s="60" t="str">
        <f>IF(AJ25="","",IF(AND(AL25="NO",AJ25&gt;=0.75),"YES","NO"))</f>
        <v/>
      </c>
      <c r="AN25" s="60" t="str">
        <f>IF(AJ25="","",IF(AJ25&lt;0.4,"Critical",IF(AJ25&lt;0.6,"Poor",IF(AJ25&lt;0.75,"Needs Improvement",IF(AJ25&lt;0.9,"Good","Excellent")))))</f>
        <v/>
      </c>
      <c r="AO25" s="59"/>
      <c r="AP25" s="59"/>
      <c r="AQ25" s="59"/>
      <c r="AR25" s="59"/>
      <c r="AS25" s="58"/>
      <c r="AT25" s="58"/>
      <c r="AU25" s="58"/>
      <c r="AV25" s="58"/>
      <c r="AW25" s="58"/>
      <c r="AX25" s="58"/>
      <c r="AY25" s="58"/>
      <c r="AZ25" s="58"/>
      <c r="BA25" s="58"/>
      <c r="BB25" s="58"/>
    </row>
    <row r="26" spans="1:54" ht="19.5" customHeight="1" x14ac:dyDescent="0.25">
      <c r="A26" s="60" t="str">
        <f>IF($B26="","",TEXT($B26,"yyyymmdd")&amp;"-"&amp;SUBSTITUTE($F26," ","")&amp;"-"&amp;TEXT(COUNTIF($F$4:F26,$F26),"00"))</f>
        <v/>
      </c>
      <c r="B26" s="65"/>
      <c r="C26" s="60" t="str">
        <f>IF($B26="","",WEEKNUM($B26,2))</f>
        <v/>
      </c>
      <c r="D26" s="60" t="str">
        <f>IF($B26="","",TEXT($B26,"yyyy-mm"))</f>
        <v/>
      </c>
      <c r="E26" s="64"/>
      <c r="F26" s="64"/>
      <c r="G26" s="60" t="str">
        <f>IF(OR($E26="",$F26=""),"",IFERROR(IF($E26=INDEX([1]Cluster_Master!$A$4:$A$18,MATCH($F26,[1]Cluster_Master!$B$4:$B$18,0)),"OK","CHECK"),"CHECK"))</f>
        <v/>
      </c>
      <c r="H26" s="63" t="str">
        <f>IFERROR(INDEX([1]Cluster_Master!$C$4:$C$18,MATCH($F26,[1]Cluster_Master!$B$4:$B$18,0)),"")</f>
        <v/>
      </c>
      <c r="I26" s="60" t="str">
        <f>IFERROR(INDEX([1]Cluster_Master!$D$4:$D$18,MATCH($F26,[1]Cluster_Master!$B$4:$B$18,0)),"")</f>
        <v/>
      </c>
      <c r="J26" s="60" t="str">
        <f>IFERROR(INDEX([1]Cluster_Master!$E$4:$E$18,MATCH($F26,[1]Cluster_Master!$B$4:$B$18,0)),"")</f>
        <v/>
      </c>
      <c r="K26" s="60" t="str">
        <f>IFERROR(INDEX([1]Cluster_Master!$F$4:$F$18,MATCH($F26,[1]Cluster_Master!$B$4:$B$18,0)),"")</f>
        <v/>
      </c>
      <c r="L26" s="60" t="str">
        <f>IFERROR(INDEX([1]Cluster_Master!$G$4:$G$18,MATCH($F26,[1]Cluster_Master!$B$4:$B$18,0)),"")</f>
        <v/>
      </c>
      <c r="M26" s="60" t="str">
        <f>IFERROR(INDEX([1]Cluster_Master!$H$4:$H$18,MATCH($F26,[1]Cluster_Master!$B$4:$B$18,0)),"")</f>
        <v/>
      </c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60" t="str">
        <f>IF(COUNTA(T26:AH26)=0,"",SUM(T26:AH26))</f>
        <v/>
      </c>
      <c r="AJ26" s="61" t="str">
        <f>IF(COUNTA(T26:AH26)=0,"",AI26/75)</f>
        <v/>
      </c>
      <c r="AK26" s="61" t="str">
        <f>IF(COUNTA(T26:AH26)=0,"",(SUM(T26*[1]KPI_Weights!$B$4,U26*[1]KPI_Weights!$B$5,V26*[1]KPI_Weights!$B$6,W26*[1]KPI_Weights!$B$7,X26*[1]KPI_Weights!$B$8,Y26*[1]KPI_Weights!$B$9,Z26*[1]KPI_Weights!$B$10,AA26*[1]KPI_Weights!$B$11,AB26*[1]KPI_Weights!$B$12,AC26*[1]KPI_Weights!$B$13,AD26*[1]KPI_Weights!$B$14,AE26*[1]KPI_Weights!$B$15,AF26*[1]KPI_Weights!$B$16,AG26*[1]KPI_Weights!$B$17,AH26*[1]KPI_Weights!$B$18))/5)</f>
        <v/>
      </c>
      <c r="AL26" s="60" t="str">
        <f>IF(COUNTA(T26:AH26)=0,"",IF(OR(T26&lt;=1,W26&lt;=1,X26&lt;=1,Y26&lt;=1,AB26&lt;=1),"YES","NO"))</f>
        <v/>
      </c>
      <c r="AM26" s="60" t="str">
        <f>IF(AJ26="","",IF(AND(AL26="NO",AJ26&gt;=0.75),"YES","NO"))</f>
        <v/>
      </c>
      <c r="AN26" s="60" t="str">
        <f>IF(AJ26="","",IF(AJ26&lt;0.4,"Critical",IF(AJ26&lt;0.6,"Poor",IF(AJ26&lt;0.75,"Needs Improvement",IF(AJ26&lt;0.9,"Good","Excellent")))))</f>
        <v/>
      </c>
      <c r="AO26" s="59"/>
      <c r="AP26" s="59"/>
      <c r="AQ26" s="59"/>
      <c r="AR26" s="59"/>
      <c r="AS26" s="58"/>
      <c r="AT26" s="58"/>
      <c r="AU26" s="58"/>
      <c r="AV26" s="58"/>
      <c r="AW26" s="58"/>
      <c r="AX26" s="58"/>
      <c r="AY26" s="58"/>
      <c r="AZ26" s="58"/>
      <c r="BA26" s="58"/>
      <c r="BB26" s="58"/>
    </row>
    <row r="27" spans="1:54" ht="19.5" customHeight="1" x14ac:dyDescent="0.25">
      <c r="A27" s="60" t="str">
        <f>IF($B27="","",TEXT($B27,"yyyymmdd")&amp;"-"&amp;SUBSTITUTE($F27," ","")&amp;"-"&amp;TEXT(COUNTIF($F$4:F27,$F27),"00"))</f>
        <v/>
      </c>
      <c r="B27" s="65"/>
      <c r="C27" s="60" t="str">
        <f>IF($B27="","",WEEKNUM($B27,2))</f>
        <v/>
      </c>
      <c r="D27" s="60" t="str">
        <f>IF($B27="","",TEXT($B27,"yyyy-mm"))</f>
        <v/>
      </c>
      <c r="E27" s="64"/>
      <c r="F27" s="64"/>
      <c r="G27" s="60" t="str">
        <f>IF(OR($E27="",$F27=""),"",IFERROR(IF($E27=INDEX([1]Cluster_Master!$A$4:$A$18,MATCH($F27,[1]Cluster_Master!$B$4:$B$18,0)),"OK","CHECK"),"CHECK"))</f>
        <v/>
      </c>
      <c r="H27" s="63" t="str">
        <f>IFERROR(INDEX([1]Cluster_Master!$C$4:$C$18,MATCH($F27,[1]Cluster_Master!$B$4:$B$18,0)),"")</f>
        <v/>
      </c>
      <c r="I27" s="60" t="str">
        <f>IFERROR(INDEX([1]Cluster_Master!$D$4:$D$18,MATCH($F27,[1]Cluster_Master!$B$4:$B$18,0)),"")</f>
        <v/>
      </c>
      <c r="J27" s="60" t="str">
        <f>IFERROR(INDEX([1]Cluster_Master!$E$4:$E$18,MATCH($F27,[1]Cluster_Master!$B$4:$B$18,0)),"")</f>
        <v/>
      </c>
      <c r="K27" s="60" t="str">
        <f>IFERROR(INDEX([1]Cluster_Master!$F$4:$F$18,MATCH($F27,[1]Cluster_Master!$B$4:$B$18,0)),"")</f>
        <v/>
      </c>
      <c r="L27" s="60" t="str">
        <f>IFERROR(INDEX([1]Cluster_Master!$G$4:$G$18,MATCH($F27,[1]Cluster_Master!$B$4:$B$18,0)),"")</f>
        <v/>
      </c>
      <c r="M27" s="60" t="str">
        <f>IFERROR(INDEX([1]Cluster_Master!$H$4:$H$18,MATCH($F27,[1]Cluster_Master!$B$4:$B$18,0)),"")</f>
        <v/>
      </c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60" t="str">
        <f>IF(COUNTA(T27:AH27)=0,"",SUM(T27:AH27))</f>
        <v/>
      </c>
      <c r="AJ27" s="61" t="str">
        <f>IF(COUNTA(T27:AH27)=0,"",AI27/75)</f>
        <v/>
      </c>
      <c r="AK27" s="61" t="str">
        <f>IF(COUNTA(T27:AH27)=0,"",(SUM(T27*[1]KPI_Weights!$B$4,U27*[1]KPI_Weights!$B$5,V27*[1]KPI_Weights!$B$6,W27*[1]KPI_Weights!$B$7,X27*[1]KPI_Weights!$B$8,Y27*[1]KPI_Weights!$B$9,Z27*[1]KPI_Weights!$B$10,AA27*[1]KPI_Weights!$B$11,AB27*[1]KPI_Weights!$B$12,AC27*[1]KPI_Weights!$B$13,AD27*[1]KPI_Weights!$B$14,AE27*[1]KPI_Weights!$B$15,AF27*[1]KPI_Weights!$B$16,AG27*[1]KPI_Weights!$B$17,AH27*[1]KPI_Weights!$B$18))/5)</f>
        <v/>
      </c>
      <c r="AL27" s="60" t="str">
        <f>IF(COUNTA(T27:AH27)=0,"",IF(OR(T27&lt;=1,W27&lt;=1,X27&lt;=1,Y27&lt;=1,AB27&lt;=1),"YES","NO"))</f>
        <v/>
      </c>
      <c r="AM27" s="60" t="str">
        <f>IF(AJ27="","",IF(AND(AL27="NO",AJ27&gt;=0.75),"YES","NO"))</f>
        <v/>
      </c>
      <c r="AN27" s="60" t="str">
        <f>IF(AJ27="","",IF(AJ27&lt;0.4,"Critical",IF(AJ27&lt;0.6,"Poor",IF(AJ27&lt;0.75,"Needs Improvement",IF(AJ27&lt;0.9,"Good","Excellent")))))</f>
        <v/>
      </c>
      <c r="AO27" s="59"/>
      <c r="AP27" s="59"/>
      <c r="AQ27" s="59"/>
      <c r="AR27" s="59"/>
      <c r="AS27" s="58"/>
      <c r="AT27" s="58"/>
      <c r="AU27" s="58"/>
      <c r="AV27" s="58"/>
      <c r="AW27" s="58"/>
      <c r="AX27" s="58"/>
      <c r="AY27" s="58"/>
      <c r="AZ27" s="58"/>
      <c r="BA27" s="58"/>
      <c r="BB27" s="58"/>
    </row>
    <row r="28" spans="1:54" ht="19.5" customHeight="1" x14ac:dyDescent="0.25">
      <c r="A28" s="60" t="str">
        <f>IF($B28="","",TEXT($B28,"yyyymmdd")&amp;"-"&amp;SUBSTITUTE($F28," ","")&amp;"-"&amp;TEXT(COUNTIF($F$4:F28,$F28),"00"))</f>
        <v/>
      </c>
      <c r="B28" s="65"/>
      <c r="C28" s="60" t="str">
        <f>IF($B28="","",WEEKNUM($B28,2))</f>
        <v/>
      </c>
      <c r="D28" s="60" t="str">
        <f>IF($B28="","",TEXT($B28,"yyyy-mm"))</f>
        <v/>
      </c>
      <c r="E28" s="64"/>
      <c r="F28" s="64"/>
      <c r="G28" s="60" t="str">
        <f>IF(OR($E28="",$F28=""),"",IFERROR(IF($E28=INDEX([1]Cluster_Master!$A$4:$A$18,MATCH($F28,[1]Cluster_Master!$B$4:$B$18,0)),"OK","CHECK"),"CHECK"))</f>
        <v/>
      </c>
      <c r="H28" s="63" t="str">
        <f>IFERROR(INDEX([1]Cluster_Master!$C$4:$C$18,MATCH($F28,[1]Cluster_Master!$B$4:$B$18,0)),"")</f>
        <v/>
      </c>
      <c r="I28" s="60" t="str">
        <f>IFERROR(INDEX([1]Cluster_Master!$D$4:$D$18,MATCH($F28,[1]Cluster_Master!$B$4:$B$18,0)),"")</f>
        <v/>
      </c>
      <c r="J28" s="60" t="str">
        <f>IFERROR(INDEX([1]Cluster_Master!$E$4:$E$18,MATCH($F28,[1]Cluster_Master!$B$4:$B$18,0)),"")</f>
        <v/>
      </c>
      <c r="K28" s="60" t="str">
        <f>IFERROR(INDEX([1]Cluster_Master!$F$4:$F$18,MATCH($F28,[1]Cluster_Master!$B$4:$B$18,0)),"")</f>
        <v/>
      </c>
      <c r="L28" s="60" t="str">
        <f>IFERROR(INDEX([1]Cluster_Master!$G$4:$G$18,MATCH($F28,[1]Cluster_Master!$B$4:$B$18,0)),"")</f>
        <v/>
      </c>
      <c r="M28" s="60" t="str">
        <f>IFERROR(INDEX([1]Cluster_Master!$H$4:$H$18,MATCH($F28,[1]Cluster_Master!$B$4:$B$18,0)),"")</f>
        <v/>
      </c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60" t="str">
        <f>IF(COUNTA(T28:AH28)=0,"",SUM(T28:AH28))</f>
        <v/>
      </c>
      <c r="AJ28" s="61" t="str">
        <f>IF(COUNTA(T28:AH28)=0,"",AI28/75)</f>
        <v/>
      </c>
      <c r="AK28" s="61" t="str">
        <f>IF(COUNTA(T28:AH28)=0,"",(SUM(T28*[1]KPI_Weights!$B$4,U28*[1]KPI_Weights!$B$5,V28*[1]KPI_Weights!$B$6,W28*[1]KPI_Weights!$B$7,X28*[1]KPI_Weights!$B$8,Y28*[1]KPI_Weights!$B$9,Z28*[1]KPI_Weights!$B$10,AA28*[1]KPI_Weights!$B$11,AB28*[1]KPI_Weights!$B$12,AC28*[1]KPI_Weights!$B$13,AD28*[1]KPI_Weights!$B$14,AE28*[1]KPI_Weights!$B$15,AF28*[1]KPI_Weights!$B$16,AG28*[1]KPI_Weights!$B$17,AH28*[1]KPI_Weights!$B$18))/5)</f>
        <v/>
      </c>
      <c r="AL28" s="60" t="str">
        <f>IF(COUNTA(T28:AH28)=0,"",IF(OR(T28&lt;=1,W28&lt;=1,X28&lt;=1,Y28&lt;=1,AB28&lt;=1),"YES","NO"))</f>
        <v/>
      </c>
      <c r="AM28" s="60" t="str">
        <f>IF(AJ28="","",IF(AND(AL28="NO",AJ28&gt;=0.75),"YES","NO"))</f>
        <v/>
      </c>
      <c r="AN28" s="60" t="str">
        <f>IF(AJ28="","",IF(AJ28&lt;0.4,"Critical",IF(AJ28&lt;0.6,"Poor",IF(AJ28&lt;0.75,"Needs Improvement",IF(AJ28&lt;0.9,"Good","Excellent")))))</f>
        <v/>
      </c>
      <c r="AO28" s="59"/>
      <c r="AP28" s="59"/>
      <c r="AQ28" s="59"/>
      <c r="AR28" s="59"/>
      <c r="AS28" s="58"/>
      <c r="AT28" s="58"/>
      <c r="AU28" s="58"/>
      <c r="AV28" s="58"/>
      <c r="AW28" s="58"/>
      <c r="AX28" s="58"/>
      <c r="AY28" s="58"/>
      <c r="AZ28" s="58"/>
      <c r="BA28" s="58"/>
      <c r="BB28" s="58"/>
    </row>
    <row r="29" spans="1:54" ht="19.5" customHeight="1" x14ac:dyDescent="0.25">
      <c r="A29" s="60" t="str">
        <f>IF($B29="","",TEXT($B29,"yyyymmdd")&amp;"-"&amp;SUBSTITUTE($F29," ","")&amp;"-"&amp;TEXT(COUNTIF($F$4:F29,$F29),"00"))</f>
        <v/>
      </c>
      <c r="B29" s="65"/>
      <c r="C29" s="60" t="str">
        <f>IF($B29="","",WEEKNUM($B29,2))</f>
        <v/>
      </c>
      <c r="D29" s="60" t="str">
        <f>IF($B29="","",TEXT($B29,"yyyy-mm"))</f>
        <v/>
      </c>
      <c r="E29" s="64"/>
      <c r="F29" s="64"/>
      <c r="G29" s="60" t="str">
        <f>IF(OR($E29="",$F29=""),"",IFERROR(IF($E29=INDEX([1]Cluster_Master!$A$4:$A$18,MATCH($F29,[1]Cluster_Master!$B$4:$B$18,0)),"OK","CHECK"),"CHECK"))</f>
        <v/>
      </c>
      <c r="H29" s="63" t="str">
        <f>IFERROR(INDEX([1]Cluster_Master!$C$4:$C$18,MATCH($F29,[1]Cluster_Master!$B$4:$B$18,0)),"")</f>
        <v/>
      </c>
      <c r="I29" s="60" t="str">
        <f>IFERROR(INDEX([1]Cluster_Master!$D$4:$D$18,MATCH($F29,[1]Cluster_Master!$B$4:$B$18,0)),"")</f>
        <v/>
      </c>
      <c r="J29" s="60" t="str">
        <f>IFERROR(INDEX([1]Cluster_Master!$E$4:$E$18,MATCH($F29,[1]Cluster_Master!$B$4:$B$18,0)),"")</f>
        <v/>
      </c>
      <c r="K29" s="60" t="str">
        <f>IFERROR(INDEX([1]Cluster_Master!$F$4:$F$18,MATCH($F29,[1]Cluster_Master!$B$4:$B$18,0)),"")</f>
        <v/>
      </c>
      <c r="L29" s="60" t="str">
        <f>IFERROR(INDEX([1]Cluster_Master!$G$4:$G$18,MATCH($F29,[1]Cluster_Master!$B$4:$B$18,0)),"")</f>
        <v/>
      </c>
      <c r="M29" s="60" t="str">
        <f>IFERROR(INDEX([1]Cluster_Master!$H$4:$H$18,MATCH($F29,[1]Cluster_Master!$B$4:$B$18,0)),"")</f>
        <v/>
      </c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60" t="str">
        <f>IF(COUNTA(T29:AH29)=0,"",SUM(T29:AH29))</f>
        <v/>
      </c>
      <c r="AJ29" s="61" t="str">
        <f>IF(COUNTA(T29:AH29)=0,"",AI29/75)</f>
        <v/>
      </c>
      <c r="AK29" s="61" t="str">
        <f>IF(COUNTA(T29:AH29)=0,"",(SUM(T29*[1]KPI_Weights!$B$4,U29*[1]KPI_Weights!$B$5,V29*[1]KPI_Weights!$B$6,W29*[1]KPI_Weights!$B$7,X29*[1]KPI_Weights!$B$8,Y29*[1]KPI_Weights!$B$9,Z29*[1]KPI_Weights!$B$10,AA29*[1]KPI_Weights!$B$11,AB29*[1]KPI_Weights!$B$12,AC29*[1]KPI_Weights!$B$13,AD29*[1]KPI_Weights!$B$14,AE29*[1]KPI_Weights!$B$15,AF29*[1]KPI_Weights!$B$16,AG29*[1]KPI_Weights!$B$17,AH29*[1]KPI_Weights!$B$18))/5)</f>
        <v/>
      </c>
      <c r="AL29" s="60" t="str">
        <f>IF(COUNTA(T29:AH29)=0,"",IF(OR(T29&lt;=1,W29&lt;=1,X29&lt;=1,Y29&lt;=1,AB29&lt;=1),"YES","NO"))</f>
        <v/>
      </c>
      <c r="AM29" s="60" t="str">
        <f>IF(AJ29="","",IF(AND(AL29="NO",AJ29&gt;=0.75),"YES","NO"))</f>
        <v/>
      </c>
      <c r="AN29" s="60" t="str">
        <f>IF(AJ29="","",IF(AJ29&lt;0.4,"Critical",IF(AJ29&lt;0.6,"Poor",IF(AJ29&lt;0.75,"Needs Improvement",IF(AJ29&lt;0.9,"Good","Excellent")))))</f>
        <v/>
      </c>
      <c r="AO29" s="59"/>
      <c r="AP29" s="59"/>
      <c r="AQ29" s="59"/>
      <c r="AR29" s="59"/>
      <c r="AS29" s="58"/>
      <c r="AT29" s="58"/>
      <c r="AU29" s="58"/>
      <c r="AV29" s="58"/>
      <c r="AW29" s="58"/>
      <c r="AX29" s="58"/>
      <c r="AY29" s="58"/>
      <c r="AZ29" s="58"/>
      <c r="BA29" s="58"/>
      <c r="BB29" s="58"/>
    </row>
    <row r="30" spans="1:54" ht="19.5" customHeight="1" x14ac:dyDescent="0.25">
      <c r="A30" s="60" t="str">
        <f>IF($B30="","",TEXT($B30,"yyyymmdd")&amp;"-"&amp;SUBSTITUTE($F30," ","")&amp;"-"&amp;TEXT(COUNTIF($F$4:F30,$F30),"00"))</f>
        <v/>
      </c>
      <c r="B30" s="65"/>
      <c r="C30" s="60" t="str">
        <f>IF($B30="","",WEEKNUM($B30,2))</f>
        <v/>
      </c>
      <c r="D30" s="60" t="str">
        <f>IF($B30="","",TEXT($B30,"yyyy-mm"))</f>
        <v/>
      </c>
      <c r="E30" s="64"/>
      <c r="F30" s="64"/>
      <c r="G30" s="60" t="str">
        <f>IF(OR($E30="",$F30=""),"",IFERROR(IF($E30=INDEX([1]Cluster_Master!$A$4:$A$18,MATCH($F30,[1]Cluster_Master!$B$4:$B$18,0)),"OK","CHECK"),"CHECK"))</f>
        <v/>
      </c>
      <c r="H30" s="63" t="str">
        <f>IFERROR(INDEX([1]Cluster_Master!$C$4:$C$18,MATCH($F30,[1]Cluster_Master!$B$4:$B$18,0)),"")</f>
        <v/>
      </c>
      <c r="I30" s="60" t="str">
        <f>IFERROR(INDEX([1]Cluster_Master!$D$4:$D$18,MATCH($F30,[1]Cluster_Master!$B$4:$B$18,0)),"")</f>
        <v/>
      </c>
      <c r="J30" s="60" t="str">
        <f>IFERROR(INDEX([1]Cluster_Master!$E$4:$E$18,MATCH($F30,[1]Cluster_Master!$B$4:$B$18,0)),"")</f>
        <v/>
      </c>
      <c r="K30" s="60" t="str">
        <f>IFERROR(INDEX([1]Cluster_Master!$F$4:$F$18,MATCH($F30,[1]Cluster_Master!$B$4:$B$18,0)),"")</f>
        <v/>
      </c>
      <c r="L30" s="60" t="str">
        <f>IFERROR(INDEX([1]Cluster_Master!$G$4:$G$18,MATCH($F30,[1]Cluster_Master!$B$4:$B$18,0)),"")</f>
        <v/>
      </c>
      <c r="M30" s="60" t="str">
        <f>IFERROR(INDEX([1]Cluster_Master!$H$4:$H$18,MATCH($F30,[1]Cluster_Master!$B$4:$B$18,0)),"")</f>
        <v/>
      </c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60" t="str">
        <f>IF(COUNTA(T30:AH30)=0,"",SUM(T30:AH30))</f>
        <v/>
      </c>
      <c r="AJ30" s="61" t="str">
        <f>IF(COUNTA(T30:AH30)=0,"",AI30/75)</f>
        <v/>
      </c>
      <c r="AK30" s="61" t="str">
        <f>IF(COUNTA(T30:AH30)=0,"",(SUM(T30*[1]KPI_Weights!$B$4,U30*[1]KPI_Weights!$B$5,V30*[1]KPI_Weights!$B$6,W30*[1]KPI_Weights!$B$7,X30*[1]KPI_Weights!$B$8,Y30*[1]KPI_Weights!$B$9,Z30*[1]KPI_Weights!$B$10,AA30*[1]KPI_Weights!$B$11,AB30*[1]KPI_Weights!$B$12,AC30*[1]KPI_Weights!$B$13,AD30*[1]KPI_Weights!$B$14,AE30*[1]KPI_Weights!$B$15,AF30*[1]KPI_Weights!$B$16,AG30*[1]KPI_Weights!$B$17,AH30*[1]KPI_Weights!$B$18))/5)</f>
        <v/>
      </c>
      <c r="AL30" s="60" t="str">
        <f>IF(COUNTA(T30:AH30)=0,"",IF(OR(T30&lt;=1,W30&lt;=1,X30&lt;=1,Y30&lt;=1,AB30&lt;=1),"YES","NO"))</f>
        <v/>
      </c>
      <c r="AM30" s="60" t="str">
        <f>IF(AJ30="","",IF(AND(AL30="NO",AJ30&gt;=0.75),"YES","NO"))</f>
        <v/>
      </c>
      <c r="AN30" s="60" t="str">
        <f>IF(AJ30="","",IF(AJ30&lt;0.4,"Critical",IF(AJ30&lt;0.6,"Poor",IF(AJ30&lt;0.75,"Needs Improvement",IF(AJ30&lt;0.9,"Good","Excellent")))))</f>
        <v/>
      </c>
      <c r="AO30" s="59"/>
      <c r="AP30" s="59"/>
      <c r="AQ30" s="59"/>
      <c r="AR30" s="59"/>
      <c r="AS30" s="58"/>
      <c r="AT30" s="58"/>
      <c r="AU30" s="58"/>
      <c r="AV30" s="58"/>
      <c r="AW30" s="58"/>
      <c r="AX30" s="58"/>
      <c r="AY30" s="58"/>
      <c r="AZ30" s="58"/>
      <c r="BA30" s="58"/>
      <c r="BB30" s="58"/>
    </row>
    <row r="31" spans="1:54" ht="19.5" customHeight="1" x14ac:dyDescent="0.25">
      <c r="A31" s="60" t="str">
        <f>IF($B31="","",TEXT($B31,"yyyymmdd")&amp;"-"&amp;SUBSTITUTE($F31," ","")&amp;"-"&amp;TEXT(COUNTIF($F$4:F31,$F31),"00"))</f>
        <v/>
      </c>
      <c r="B31" s="65"/>
      <c r="C31" s="60" t="str">
        <f>IF($B31="","",WEEKNUM($B31,2))</f>
        <v/>
      </c>
      <c r="D31" s="60" t="str">
        <f>IF($B31="","",TEXT($B31,"yyyy-mm"))</f>
        <v/>
      </c>
      <c r="E31" s="64"/>
      <c r="F31" s="64"/>
      <c r="G31" s="60" t="str">
        <f>IF(OR($E31="",$F31=""),"",IFERROR(IF($E31=INDEX([1]Cluster_Master!$A$4:$A$18,MATCH($F31,[1]Cluster_Master!$B$4:$B$18,0)),"OK","CHECK"),"CHECK"))</f>
        <v/>
      </c>
      <c r="H31" s="63" t="str">
        <f>IFERROR(INDEX([1]Cluster_Master!$C$4:$C$18,MATCH($F31,[1]Cluster_Master!$B$4:$B$18,0)),"")</f>
        <v/>
      </c>
      <c r="I31" s="60" t="str">
        <f>IFERROR(INDEX([1]Cluster_Master!$D$4:$D$18,MATCH($F31,[1]Cluster_Master!$B$4:$B$18,0)),"")</f>
        <v/>
      </c>
      <c r="J31" s="60" t="str">
        <f>IFERROR(INDEX([1]Cluster_Master!$E$4:$E$18,MATCH($F31,[1]Cluster_Master!$B$4:$B$18,0)),"")</f>
        <v/>
      </c>
      <c r="K31" s="60" t="str">
        <f>IFERROR(INDEX([1]Cluster_Master!$F$4:$F$18,MATCH($F31,[1]Cluster_Master!$B$4:$B$18,0)),"")</f>
        <v/>
      </c>
      <c r="L31" s="60" t="str">
        <f>IFERROR(INDEX([1]Cluster_Master!$G$4:$G$18,MATCH($F31,[1]Cluster_Master!$B$4:$B$18,0)),"")</f>
        <v/>
      </c>
      <c r="M31" s="60" t="str">
        <f>IFERROR(INDEX([1]Cluster_Master!$H$4:$H$18,MATCH($F31,[1]Cluster_Master!$B$4:$B$18,0)),"")</f>
        <v/>
      </c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60" t="str">
        <f>IF(COUNTA(T31:AH31)=0,"",SUM(T31:AH31))</f>
        <v/>
      </c>
      <c r="AJ31" s="61" t="str">
        <f>IF(COUNTA(T31:AH31)=0,"",AI31/75)</f>
        <v/>
      </c>
      <c r="AK31" s="61" t="str">
        <f>IF(COUNTA(T31:AH31)=0,"",(SUM(T31*[1]KPI_Weights!$B$4,U31*[1]KPI_Weights!$B$5,V31*[1]KPI_Weights!$B$6,W31*[1]KPI_Weights!$B$7,X31*[1]KPI_Weights!$B$8,Y31*[1]KPI_Weights!$B$9,Z31*[1]KPI_Weights!$B$10,AA31*[1]KPI_Weights!$B$11,AB31*[1]KPI_Weights!$B$12,AC31*[1]KPI_Weights!$B$13,AD31*[1]KPI_Weights!$B$14,AE31*[1]KPI_Weights!$B$15,AF31*[1]KPI_Weights!$B$16,AG31*[1]KPI_Weights!$B$17,AH31*[1]KPI_Weights!$B$18))/5)</f>
        <v/>
      </c>
      <c r="AL31" s="60" t="str">
        <f>IF(COUNTA(T31:AH31)=0,"",IF(OR(T31&lt;=1,W31&lt;=1,X31&lt;=1,Y31&lt;=1,AB31&lt;=1),"YES","NO"))</f>
        <v/>
      </c>
      <c r="AM31" s="60" t="str">
        <f>IF(AJ31="","",IF(AND(AL31="NO",AJ31&gt;=0.75),"YES","NO"))</f>
        <v/>
      </c>
      <c r="AN31" s="60" t="str">
        <f>IF(AJ31="","",IF(AJ31&lt;0.4,"Critical",IF(AJ31&lt;0.6,"Poor",IF(AJ31&lt;0.75,"Needs Improvement",IF(AJ31&lt;0.9,"Good","Excellent")))))</f>
        <v/>
      </c>
      <c r="AO31" s="59"/>
      <c r="AP31" s="59"/>
      <c r="AQ31" s="59"/>
      <c r="AR31" s="59"/>
      <c r="AS31" s="58"/>
      <c r="AT31" s="58"/>
      <c r="AU31" s="58"/>
      <c r="AV31" s="58"/>
      <c r="AW31" s="58"/>
      <c r="AX31" s="58"/>
      <c r="AY31" s="58"/>
      <c r="AZ31" s="58"/>
      <c r="BA31" s="58"/>
      <c r="BB31" s="58"/>
    </row>
    <row r="32" spans="1:54" ht="19.5" customHeight="1" x14ac:dyDescent="0.25">
      <c r="A32" s="60" t="str">
        <f>IF($B32="","",TEXT($B32,"yyyymmdd")&amp;"-"&amp;SUBSTITUTE($F32," ","")&amp;"-"&amp;TEXT(COUNTIF($F$4:F32,$F32),"00"))</f>
        <v/>
      </c>
      <c r="B32" s="65"/>
      <c r="C32" s="60" t="str">
        <f>IF($B32="","",WEEKNUM($B32,2))</f>
        <v/>
      </c>
      <c r="D32" s="60" t="str">
        <f>IF($B32="","",TEXT($B32,"yyyy-mm"))</f>
        <v/>
      </c>
      <c r="E32" s="64"/>
      <c r="F32" s="64"/>
      <c r="G32" s="60" t="str">
        <f>IF(OR($E32="",$F32=""),"",IFERROR(IF($E32=INDEX([1]Cluster_Master!$A$4:$A$18,MATCH($F32,[1]Cluster_Master!$B$4:$B$18,0)),"OK","CHECK"),"CHECK"))</f>
        <v/>
      </c>
      <c r="H32" s="63" t="str">
        <f>IFERROR(INDEX([1]Cluster_Master!$C$4:$C$18,MATCH($F32,[1]Cluster_Master!$B$4:$B$18,0)),"")</f>
        <v/>
      </c>
      <c r="I32" s="60" t="str">
        <f>IFERROR(INDEX([1]Cluster_Master!$D$4:$D$18,MATCH($F32,[1]Cluster_Master!$B$4:$B$18,0)),"")</f>
        <v/>
      </c>
      <c r="J32" s="60" t="str">
        <f>IFERROR(INDEX([1]Cluster_Master!$E$4:$E$18,MATCH($F32,[1]Cluster_Master!$B$4:$B$18,0)),"")</f>
        <v/>
      </c>
      <c r="K32" s="60" t="str">
        <f>IFERROR(INDEX([1]Cluster_Master!$F$4:$F$18,MATCH($F32,[1]Cluster_Master!$B$4:$B$18,0)),"")</f>
        <v/>
      </c>
      <c r="L32" s="60" t="str">
        <f>IFERROR(INDEX([1]Cluster_Master!$G$4:$G$18,MATCH($F32,[1]Cluster_Master!$B$4:$B$18,0)),"")</f>
        <v/>
      </c>
      <c r="M32" s="60" t="str">
        <f>IFERROR(INDEX([1]Cluster_Master!$H$4:$H$18,MATCH($F32,[1]Cluster_Master!$B$4:$B$18,0)),"")</f>
        <v/>
      </c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60" t="str">
        <f>IF(COUNTA(T32:AH32)=0,"",SUM(T32:AH32))</f>
        <v/>
      </c>
      <c r="AJ32" s="61" t="str">
        <f>IF(COUNTA(T32:AH32)=0,"",AI32/75)</f>
        <v/>
      </c>
      <c r="AK32" s="61" t="str">
        <f>IF(COUNTA(T32:AH32)=0,"",(SUM(T32*[1]KPI_Weights!$B$4,U32*[1]KPI_Weights!$B$5,V32*[1]KPI_Weights!$B$6,W32*[1]KPI_Weights!$B$7,X32*[1]KPI_Weights!$B$8,Y32*[1]KPI_Weights!$B$9,Z32*[1]KPI_Weights!$B$10,AA32*[1]KPI_Weights!$B$11,AB32*[1]KPI_Weights!$B$12,AC32*[1]KPI_Weights!$B$13,AD32*[1]KPI_Weights!$B$14,AE32*[1]KPI_Weights!$B$15,AF32*[1]KPI_Weights!$B$16,AG32*[1]KPI_Weights!$B$17,AH32*[1]KPI_Weights!$B$18))/5)</f>
        <v/>
      </c>
      <c r="AL32" s="60" t="str">
        <f>IF(COUNTA(T32:AH32)=0,"",IF(OR(T32&lt;=1,W32&lt;=1,X32&lt;=1,Y32&lt;=1,AB32&lt;=1),"YES","NO"))</f>
        <v/>
      </c>
      <c r="AM32" s="60" t="str">
        <f>IF(AJ32="","",IF(AND(AL32="NO",AJ32&gt;=0.75),"YES","NO"))</f>
        <v/>
      </c>
      <c r="AN32" s="60" t="str">
        <f>IF(AJ32="","",IF(AJ32&lt;0.4,"Critical",IF(AJ32&lt;0.6,"Poor",IF(AJ32&lt;0.75,"Needs Improvement",IF(AJ32&lt;0.9,"Good","Excellent")))))</f>
        <v/>
      </c>
      <c r="AO32" s="59"/>
      <c r="AP32" s="59"/>
      <c r="AQ32" s="59"/>
      <c r="AR32" s="59"/>
      <c r="AS32" s="58"/>
      <c r="AT32" s="58"/>
      <c r="AU32" s="58"/>
      <c r="AV32" s="58"/>
      <c r="AW32" s="58"/>
      <c r="AX32" s="58"/>
      <c r="AY32" s="58"/>
      <c r="AZ32" s="58"/>
      <c r="BA32" s="58"/>
      <c r="BB32" s="58"/>
    </row>
    <row r="33" spans="1:54" ht="19.5" customHeight="1" x14ac:dyDescent="0.25">
      <c r="A33" s="60" t="str">
        <f>IF($B33="","",TEXT($B33,"yyyymmdd")&amp;"-"&amp;SUBSTITUTE($F33," ","")&amp;"-"&amp;TEXT(COUNTIF($F$4:F33,$F33),"00"))</f>
        <v/>
      </c>
      <c r="B33" s="65"/>
      <c r="C33" s="60" t="str">
        <f>IF($B33="","",WEEKNUM($B33,2))</f>
        <v/>
      </c>
      <c r="D33" s="60" t="str">
        <f>IF($B33="","",TEXT($B33,"yyyy-mm"))</f>
        <v/>
      </c>
      <c r="E33" s="64"/>
      <c r="F33" s="64"/>
      <c r="G33" s="60" t="str">
        <f>IF(OR($E33="",$F33=""),"",IFERROR(IF($E33=INDEX([1]Cluster_Master!$A$4:$A$18,MATCH($F33,[1]Cluster_Master!$B$4:$B$18,0)),"OK","CHECK"),"CHECK"))</f>
        <v/>
      </c>
      <c r="H33" s="63" t="str">
        <f>IFERROR(INDEX([1]Cluster_Master!$C$4:$C$18,MATCH($F33,[1]Cluster_Master!$B$4:$B$18,0)),"")</f>
        <v/>
      </c>
      <c r="I33" s="60" t="str">
        <f>IFERROR(INDEX([1]Cluster_Master!$D$4:$D$18,MATCH($F33,[1]Cluster_Master!$B$4:$B$18,0)),"")</f>
        <v/>
      </c>
      <c r="J33" s="60" t="str">
        <f>IFERROR(INDEX([1]Cluster_Master!$E$4:$E$18,MATCH($F33,[1]Cluster_Master!$B$4:$B$18,0)),"")</f>
        <v/>
      </c>
      <c r="K33" s="60" t="str">
        <f>IFERROR(INDEX([1]Cluster_Master!$F$4:$F$18,MATCH($F33,[1]Cluster_Master!$B$4:$B$18,0)),"")</f>
        <v/>
      </c>
      <c r="L33" s="60" t="str">
        <f>IFERROR(INDEX([1]Cluster_Master!$G$4:$G$18,MATCH($F33,[1]Cluster_Master!$B$4:$B$18,0)),"")</f>
        <v/>
      </c>
      <c r="M33" s="60" t="str">
        <f>IFERROR(INDEX([1]Cluster_Master!$H$4:$H$18,MATCH($F33,[1]Cluster_Master!$B$4:$B$18,0)),"")</f>
        <v/>
      </c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60" t="str">
        <f>IF(COUNTA(T33:AH33)=0,"",SUM(T33:AH33))</f>
        <v/>
      </c>
      <c r="AJ33" s="61" t="str">
        <f>IF(COUNTA(T33:AH33)=0,"",AI33/75)</f>
        <v/>
      </c>
      <c r="AK33" s="61" t="str">
        <f>IF(COUNTA(T33:AH33)=0,"",(SUM(T33*[1]KPI_Weights!$B$4,U33*[1]KPI_Weights!$B$5,V33*[1]KPI_Weights!$B$6,W33*[1]KPI_Weights!$B$7,X33*[1]KPI_Weights!$B$8,Y33*[1]KPI_Weights!$B$9,Z33*[1]KPI_Weights!$B$10,AA33*[1]KPI_Weights!$B$11,AB33*[1]KPI_Weights!$B$12,AC33*[1]KPI_Weights!$B$13,AD33*[1]KPI_Weights!$B$14,AE33*[1]KPI_Weights!$B$15,AF33*[1]KPI_Weights!$B$16,AG33*[1]KPI_Weights!$B$17,AH33*[1]KPI_Weights!$B$18))/5)</f>
        <v/>
      </c>
      <c r="AL33" s="60" t="str">
        <f>IF(COUNTA(T33:AH33)=0,"",IF(OR(T33&lt;=1,W33&lt;=1,X33&lt;=1,Y33&lt;=1,AB33&lt;=1),"YES","NO"))</f>
        <v/>
      </c>
      <c r="AM33" s="60" t="str">
        <f>IF(AJ33="","",IF(AND(AL33="NO",AJ33&gt;=0.75),"YES","NO"))</f>
        <v/>
      </c>
      <c r="AN33" s="60" t="str">
        <f>IF(AJ33="","",IF(AJ33&lt;0.4,"Critical",IF(AJ33&lt;0.6,"Poor",IF(AJ33&lt;0.75,"Needs Improvement",IF(AJ33&lt;0.9,"Good","Excellent")))))</f>
        <v/>
      </c>
      <c r="AO33" s="59"/>
      <c r="AP33" s="59"/>
      <c r="AQ33" s="59"/>
      <c r="AR33" s="59"/>
      <c r="AS33" s="58"/>
      <c r="AT33" s="58"/>
      <c r="AU33" s="58"/>
      <c r="AV33" s="58"/>
      <c r="AW33" s="58"/>
      <c r="AX33" s="58"/>
      <c r="AY33" s="58"/>
      <c r="AZ33" s="58"/>
      <c r="BA33" s="58"/>
      <c r="BB33" s="58"/>
    </row>
    <row r="34" spans="1:54" ht="19.5" customHeight="1" x14ac:dyDescent="0.25">
      <c r="A34" s="60" t="str">
        <f>IF($B34="","",TEXT($B34,"yyyymmdd")&amp;"-"&amp;SUBSTITUTE($F34," ","")&amp;"-"&amp;TEXT(COUNTIF($F$4:F34,$F34),"00"))</f>
        <v/>
      </c>
      <c r="B34" s="65"/>
      <c r="C34" s="60" t="str">
        <f>IF($B34="","",WEEKNUM($B34,2))</f>
        <v/>
      </c>
      <c r="D34" s="60" t="str">
        <f>IF($B34="","",TEXT($B34,"yyyy-mm"))</f>
        <v/>
      </c>
      <c r="E34" s="64"/>
      <c r="F34" s="64"/>
      <c r="G34" s="60" t="str">
        <f>IF(OR($E34="",$F34=""),"",IFERROR(IF($E34=INDEX([1]Cluster_Master!$A$4:$A$18,MATCH($F34,[1]Cluster_Master!$B$4:$B$18,0)),"OK","CHECK"),"CHECK"))</f>
        <v/>
      </c>
      <c r="H34" s="63" t="str">
        <f>IFERROR(INDEX([1]Cluster_Master!$C$4:$C$18,MATCH($F34,[1]Cluster_Master!$B$4:$B$18,0)),"")</f>
        <v/>
      </c>
      <c r="I34" s="60" t="str">
        <f>IFERROR(INDEX([1]Cluster_Master!$D$4:$D$18,MATCH($F34,[1]Cluster_Master!$B$4:$B$18,0)),"")</f>
        <v/>
      </c>
      <c r="J34" s="60" t="str">
        <f>IFERROR(INDEX([1]Cluster_Master!$E$4:$E$18,MATCH($F34,[1]Cluster_Master!$B$4:$B$18,0)),"")</f>
        <v/>
      </c>
      <c r="K34" s="60" t="str">
        <f>IFERROR(INDEX([1]Cluster_Master!$F$4:$F$18,MATCH($F34,[1]Cluster_Master!$B$4:$B$18,0)),"")</f>
        <v/>
      </c>
      <c r="L34" s="60" t="str">
        <f>IFERROR(INDEX([1]Cluster_Master!$G$4:$G$18,MATCH($F34,[1]Cluster_Master!$B$4:$B$18,0)),"")</f>
        <v/>
      </c>
      <c r="M34" s="60" t="str">
        <f>IFERROR(INDEX([1]Cluster_Master!$H$4:$H$18,MATCH($F34,[1]Cluster_Master!$B$4:$B$18,0)),"")</f>
        <v/>
      </c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60" t="str">
        <f>IF(COUNTA(T34:AH34)=0,"",SUM(T34:AH34))</f>
        <v/>
      </c>
      <c r="AJ34" s="61" t="str">
        <f>IF(COUNTA(T34:AH34)=0,"",AI34/75)</f>
        <v/>
      </c>
      <c r="AK34" s="61" t="str">
        <f>IF(COUNTA(T34:AH34)=0,"",(SUM(T34*[1]KPI_Weights!$B$4,U34*[1]KPI_Weights!$B$5,V34*[1]KPI_Weights!$B$6,W34*[1]KPI_Weights!$B$7,X34*[1]KPI_Weights!$B$8,Y34*[1]KPI_Weights!$B$9,Z34*[1]KPI_Weights!$B$10,AA34*[1]KPI_Weights!$B$11,AB34*[1]KPI_Weights!$B$12,AC34*[1]KPI_Weights!$B$13,AD34*[1]KPI_Weights!$B$14,AE34*[1]KPI_Weights!$B$15,AF34*[1]KPI_Weights!$B$16,AG34*[1]KPI_Weights!$B$17,AH34*[1]KPI_Weights!$B$18))/5)</f>
        <v/>
      </c>
      <c r="AL34" s="60" t="str">
        <f>IF(COUNTA(T34:AH34)=0,"",IF(OR(T34&lt;=1,W34&lt;=1,X34&lt;=1,Y34&lt;=1,AB34&lt;=1),"YES","NO"))</f>
        <v/>
      </c>
      <c r="AM34" s="60" t="str">
        <f>IF(AJ34="","",IF(AND(AL34="NO",AJ34&gt;=0.75),"YES","NO"))</f>
        <v/>
      </c>
      <c r="AN34" s="60" t="str">
        <f>IF(AJ34="","",IF(AJ34&lt;0.4,"Critical",IF(AJ34&lt;0.6,"Poor",IF(AJ34&lt;0.75,"Needs Improvement",IF(AJ34&lt;0.9,"Good","Excellent")))))</f>
        <v/>
      </c>
      <c r="AO34" s="59"/>
      <c r="AP34" s="59"/>
      <c r="AQ34" s="59"/>
      <c r="AR34" s="59"/>
      <c r="AS34" s="58"/>
      <c r="AT34" s="58"/>
      <c r="AU34" s="58"/>
      <c r="AV34" s="58"/>
      <c r="AW34" s="58"/>
      <c r="AX34" s="58"/>
      <c r="AY34" s="58"/>
      <c r="AZ34" s="58"/>
      <c r="BA34" s="58"/>
      <c r="BB34" s="58"/>
    </row>
    <row r="35" spans="1:54" ht="19.5" customHeight="1" x14ac:dyDescent="0.25">
      <c r="A35" s="60" t="str">
        <f>IF($B35="","",TEXT($B35,"yyyymmdd")&amp;"-"&amp;SUBSTITUTE($F35," ","")&amp;"-"&amp;TEXT(COUNTIF($F$4:F35,$F35),"00"))</f>
        <v/>
      </c>
      <c r="B35" s="65"/>
      <c r="C35" s="60" t="str">
        <f>IF($B35="","",WEEKNUM($B35,2))</f>
        <v/>
      </c>
      <c r="D35" s="60" t="str">
        <f>IF($B35="","",TEXT($B35,"yyyy-mm"))</f>
        <v/>
      </c>
      <c r="E35" s="64"/>
      <c r="F35" s="64"/>
      <c r="G35" s="60" t="str">
        <f>IF(OR($E35="",$F35=""),"",IFERROR(IF($E35=INDEX([1]Cluster_Master!$A$4:$A$18,MATCH($F35,[1]Cluster_Master!$B$4:$B$18,0)),"OK","CHECK"),"CHECK"))</f>
        <v/>
      </c>
      <c r="H35" s="63" t="str">
        <f>IFERROR(INDEX([1]Cluster_Master!$C$4:$C$18,MATCH($F35,[1]Cluster_Master!$B$4:$B$18,0)),"")</f>
        <v/>
      </c>
      <c r="I35" s="60" t="str">
        <f>IFERROR(INDEX([1]Cluster_Master!$D$4:$D$18,MATCH($F35,[1]Cluster_Master!$B$4:$B$18,0)),"")</f>
        <v/>
      </c>
      <c r="J35" s="60" t="str">
        <f>IFERROR(INDEX([1]Cluster_Master!$E$4:$E$18,MATCH($F35,[1]Cluster_Master!$B$4:$B$18,0)),"")</f>
        <v/>
      </c>
      <c r="K35" s="60" t="str">
        <f>IFERROR(INDEX([1]Cluster_Master!$F$4:$F$18,MATCH($F35,[1]Cluster_Master!$B$4:$B$18,0)),"")</f>
        <v/>
      </c>
      <c r="L35" s="60" t="str">
        <f>IFERROR(INDEX([1]Cluster_Master!$G$4:$G$18,MATCH($F35,[1]Cluster_Master!$B$4:$B$18,0)),"")</f>
        <v/>
      </c>
      <c r="M35" s="60" t="str">
        <f>IFERROR(INDEX([1]Cluster_Master!$H$4:$H$18,MATCH($F35,[1]Cluster_Master!$B$4:$B$18,0)),"")</f>
        <v/>
      </c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60" t="str">
        <f>IF(COUNTA(T35:AH35)=0,"",SUM(T35:AH35))</f>
        <v/>
      </c>
      <c r="AJ35" s="61" t="str">
        <f>IF(COUNTA(T35:AH35)=0,"",AI35/75)</f>
        <v/>
      </c>
      <c r="AK35" s="61" t="str">
        <f>IF(COUNTA(T35:AH35)=0,"",(SUM(T35*[1]KPI_Weights!$B$4,U35*[1]KPI_Weights!$B$5,V35*[1]KPI_Weights!$B$6,W35*[1]KPI_Weights!$B$7,X35*[1]KPI_Weights!$B$8,Y35*[1]KPI_Weights!$B$9,Z35*[1]KPI_Weights!$B$10,AA35*[1]KPI_Weights!$B$11,AB35*[1]KPI_Weights!$B$12,AC35*[1]KPI_Weights!$B$13,AD35*[1]KPI_Weights!$B$14,AE35*[1]KPI_Weights!$B$15,AF35*[1]KPI_Weights!$B$16,AG35*[1]KPI_Weights!$B$17,AH35*[1]KPI_Weights!$B$18))/5)</f>
        <v/>
      </c>
      <c r="AL35" s="60" t="str">
        <f>IF(COUNTA(T35:AH35)=0,"",IF(OR(T35&lt;=1,W35&lt;=1,X35&lt;=1,Y35&lt;=1,AB35&lt;=1),"YES","NO"))</f>
        <v/>
      </c>
      <c r="AM35" s="60" t="str">
        <f>IF(AJ35="","",IF(AND(AL35="NO",AJ35&gt;=0.75),"YES","NO"))</f>
        <v/>
      </c>
      <c r="AN35" s="60" t="str">
        <f>IF(AJ35="","",IF(AJ35&lt;0.4,"Critical",IF(AJ35&lt;0.6,"Poor",IF(AJ35&lt;0.75,"Needs Improvement",IF(AJ35&lt;0.9,"Good","Excellent")))))</f>
        <v/>
      </c>
      <c r="AO35" s="59"/>
      <c r="AP35" s="59"/>
      <c r="AQ35" s="59"/>
      <c r="AR35" s="59"/>
      <c r="AS35" s="58"/>
      <c r="AT35" s="58"/>
      <c r="AU35" s="58"/>
      <c r="AV35" s="58"/>
      <c r="AW35" s="58"/>
      <c r="AX35" s="58"/>
      <c r="AY35" s="58"/>
      <c r="AZ35" s="58"/>
      <c r="BA35" s="58"/>
      <c r="BB35" s="58"/>
    </row>
    <row r="36" spans="1:54" ht="19.5" customHeight="1" x14ac:dyDescent="0.25">
      <c r="A36" s="60" t="str">
        <f>IF($B36="","",TEXT($B36,"yyyymmdd")&amp;"-"&amp;SUBSTITUTE($F36," ","")&amp;"-"&amp;TEXT(COUNTIF($F$4:F36,$F36),"00"))</f>
        <v/>
      </c>
      <c r="B36" s="65"/>
      <c r="C36" s="60" t="str">
        <f>IF($B36="","",WEEKNUM($B36,2))</f>
        <v/>
      </c>
      <c r="D36" s="60" t="str">
        <f>IF($B36="","",TEXT($B36,"yyyy-mm"))</f>
        <v/>
      </c>
      <c r="E36" s="64"/>
      <c r="F36" s="64"/>
      <c r="G36" s="60" t="str">
        <f>IF(OR($E36="",$F36=""),"",IFERROR(IF($E36=INDEX([1]Cluster_Master!$A$4:$A$18,MATCH($F36,[1]Cluster_Master!$B$4:$B$18,0)),"OK","CHECK"),"CHECK"))</f>
        <v/>
      </c>
      <c r="H36" s="63" t="str">
        <f>IFERROR(INDEX([1]Cluster_Master!$C$4:$C$18,MATCH($F36,[1]Cluster_Master!$B$4:$B$18,0)),"")</f>
        <v/>
      </c>
      <c r="I36" s="60" t="str">
        <f>IFERROR(INDEX([1]Cluster_Master!$D$4:$D$18,MATCH($F36,[1]Cluster_Master!$B$4:$B$18,0)),"")</f>
        <v/>
      </c>
      <c r="J36" s="60" t="str">
        <f>IFERROR(INDEX([1]Cluster_Master!$E$4:$E$18,MATCH($F36,[1]Cluster_Master!$B$4:$B$18,0)),"")</f>
        <v/>
      </c>
      <c r="K36" s="60" t="str">
        <f>IFERROR(INDEX([1]Cluster_Master!$F$4:$F$18,MATCH($F36,[1]Cluster_Master!$B$4:$B$18,0)),"")</f>
        <v/>
      </c>
      <c r="L36" s="60" t="str">
        <f>IFERROR(INDEX([1]Cluster_Master!$G$4:$G$18,MATCH($F36,[1]Cluster_Master!$B$4:$B$18,0)),"")</f>
        <v/>
      </c>
      <c r="M36" s="60" t="str">
        <f>IFERROR(INDEX([1]Cluster_Master!$H$4:$H$18,MATCH($F36,[1]Cluster_Master!$B$4:$B$18,0)),"")</f>
        <v/>
      </c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60" t="str">
        <f>IF(COUNTA(T36:AH36)=0,"",SUM(T36:AH36))</f>
        <v/>
      </c>
      <c r="AJ36" s="61" t="str">
        <f>IF(COUNTA(T36:AH36)=0,"",AI36/75)</f>
        <v/>
      </c>
      <c r="AK36" s="61" t="str">
        <f>IF(COUNTA(T36:AH36)=0,"",(SUM(T36*[1]KPI_Weights!$B$4,U36*[1]KPI_Weights!$B$5,V36*[1]KPI_Weights!$B$6,W36*[1]KPI_Weights!$B$7,X36*[1]KPI_Weights!$B$8,Y36*[1]KPI_Weights!$B$9,Z36*[1]KPI_Weights!$B$10,AA36*[1]KPI_Weights!$B$11,AB36*[1]KPI_Weights!$B$12,AC36*[1]KPI_Weights!$B$13,AD36*[1]KPI_Weights!$B$14,AE36*[1]KPI_Weights!$B$15,AF36*[1]KPI_Weights!$B$16,AG36*[1]KPI_Weights!$B$17,AH36*[1]KPI_Weights!$B$18))/5)</f>
        <v/>
      </c>
      <c r="AL36" s="60" t="str">
        <f>IF(COUNTA(T36:AH36)=0,"",IF(OR(T36&lt;=1,W36&lt;=1,X36&lt;=1,Y36&lt;=1,AB36&lt;=1),"YES","NO"))</f>
        <v/>
      </c>
      <c r="AM36" s="60" t="str">
        <f>IF(AJ36="","",IF(AND(AL36="NO",AJ36&gt;=0.75),"YES","NO"))</f>
        <v/>
      </c>
      <c r="AN36" s="60" t="str">
        <f>IF(AJ36="","",IF(AJ36&lt;0.4,"Critical",IF(AJ36&lt;0.6,"Poor",IF(AJ36&lt;0.75,"Needs Improvement",IF(AJ36&lt;0.9,"Good","Excellent")))))</f>
        <v/>
      </c>
      <c r="AO36" s="59"/>
      <c r="AP36" s="59"/>
      <c r="AQ36" s="59"/>
      <c r="AR36" s="59"/>
      <c r="AS36" s="58"/>
      <c r="AT36" s="58"/>
      <c r="AU36" s="58"/>
      <c r="AV36" s="58"/>
      <c r="AW36" s="58"/>
      <c r="AX36" s="58"/>
      <c r="AY36" s="58"/>
      <c r="AZ36" s="58"/>
      <c r="BA36" s="58"/>
      <c r="BB36" s="58"/>
    </row>
    <row r="37" spans="1:54" ht="19.5" customHeight="1" x14ac:dyDescent="0.25">
      <c r="A37" s="60" t="str">
        <f>IF($B37="","",TEXT($B37,"yyyymmdd")&amp;"-"&amp;SUBSTITUTE($F37," ","")&amp;"-"&amp;TEXT(COUNTIF($F$4:F37,$F37),"00"))</f>
        <v/>
      </c>
      <c r="B37" s="65"/>
      <c r="C37" s="60" t="str">
        <f>IF($B37="","",WEEKNUM($B37,2))</f>
        <v/>
      </c>
      <c r="D37" s="60" t="str">
        <f>IF($B37="","",TEXT($B37,"yyyy-mm"))</f>
        <v/>
      </c>
      <c r="E37" s="64"/>
      <c r="F37" s="64"/>
      <c r="G37" s="60" t="str">
        <f>IF(OR($E37="",$F37=""),"",IFERROR(IF($E37=INDEX([1]Cluster_Master!$A$4:$A$18,MATCH($F37,[1]Cluster_Master!$B$4:$B$18,0)),"OK","CHECK"),"CHECK"))</f>
        <v/>
      </c>
      <c r="H37" s="63" t="str">
        <f>IFERROR(INDEX([1]Cluster_Master!$C$4:$C$18,MATCH($F37,[1]Cluster_Master!$B$4:$B$18,0)),"")</f>
        <v/>
      </c>
      <c r="I37" s="60" t="str">
        <f>IFERROR(INDEX([1]Cluster_Master!$D$4:$D$18,MATCH($F37,[1]Cluster_Master!$B$4:$B$18,0)),"")</f>
        <v/>
      </c>
      <c r="J37" s="60" t="str">
        <f>IFERROR(INDEX([1]Cluster_Master!$E$4:$E$18,MATCH($F37,[1]Cluster_Master!$B$4:$B$18,0)),"")</f>
        <v/>
      </c>
      <c r="K37" s="60" t="str">
        <f>IFERROR(INDEX([1]Cluster_Master!$F$4:$F$18,MATCH($F37,[1]Cluster_Master!$B$4:$B$18,0)),"")</f>
        <v/>
      </c>
      <c r="L37" s="60" t="str">
        <f>IFERROR(INDEX([1]Cluster_Master!$G$4:$G$18,MATCH($F37,[1]Cluster_Master!$B$4:$B$18,0)),"")</f>
        <v/>
      </c>
      <c r="M37" s="60" t="str">
        <f>IFERROR(INDEX([1]Cluster_Master!$H$4:$H$18,MATCH($F37,[1]Cluster_Master!$B$4:$B$18,0)),"")</f>
        <v/>
      </c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60" t="str">
        <f>IF(COUNTA(T37:AH37)=0,"",SUM(T37:AH37))</f>
        <v/>
      </c>
      <c r="AJ37" s="61" t="str">
        <f>IF(COUNTA(T37:AH37)=0,"",AI37/75)</f>
        <v/>
      </c>
      <c r="AK37" s="61" t="str">
        <f>IF(COUNTA(T37:AH37)=0,"",(SUM(T37*[1]KPI_Weights!$B$4,U37*[1]KPI_Weights!$B$5,V37*[1]KPI_Weights!$B$6,W37*[1]KPI_Weights!$B$7,X37*[1]KPI_Weights!$B$8,Y37*[1]KPI_Weights!$B$9,Z37*[1]KPI_Weights!$B$10,AA37*[1]KPI_Weights!$B$11,AB37*[1]KPI_Weights!$B$12,AC37*[1]KPI_Weights!$B$13,AD37*[1]KPI_Weights!$B$14,AE37*[1]KPI_Weights!$B$15,AF37*[1]KPI_Weights!$B$16,AG37*[1]KPI_Weights!$B$17,AH37*[1]KPI_Weights!$B$18))/5)</f>
        <v/>
      </c>
      <c r="AL37" s="60" t="str">
        <f>IF(COUNTA(T37:AH37)=0,"",IF(OR(T37&lt;=1,W37&lt;=1,X37&lt;=1,Y37&lt;=1,AB37&lt;=1),"YES","NO"))</f>
        <v/>
      </c>
      <c r="AM37" s="60" t="str">
        <f>IF(AJ37="","",IF(AND(AL37="NO",AJ37&gt;=0.75),"YES","NO"))</f>
        <v/>
      </c>
      <c r="AN37" s="60" t="str">
        <f>IF(AJ37="","",IF(AJ37&lt;0.4,"Critical",IF(AJ37&lt;0.6,"Poor",IF(AJ37&lt;0.75,"Needs Improvement",IF(AJ37&lt;0.9,"Good","Excellent")))))</f>
        <v/>
      </c>
      <c r="AO37" s="59"/>
      <c r="AP37" s="59"/>
      <c r="AQ37" s="59"/>
      <c r="AR37" s="59"/>
      <c r="AS37" s="58"/>
      <c r="AT37" s="58"/>
      <c r="AU37" s="58"/>
      <c r="AV37" s="58"/>
      <c r="AW37" s="58"/>
      <c r="AX37" s="58"/>
      <c r="AY37" s="58"/>
      <c r="AZ37" s="58"/>
      <c r="BA37" s="58"/>
      <c r="BB37" s="58"/>
    </row>
    <row r="38" spans="1:54" ht="19.5" customHeight="1" x14ac:dyDescent="0.25">
      <c r="A38" s="60" t="str">
        <f>IF($B38="","",TEXT($B38,"yyyymmdd")&amp;"-"&amp;SUBSTITUTE($F38," ","")&amp;"-"&amp;TEXT(COUNTIF($F$4:F38,$F38),"00"))</f>
        <v/>
      </c>
      <c r="B38" s="65"/>
      <c r="C38" s="60" t="str">
        <f>IF($B38="","",WEEKNUM($B38,2))</f>
        <v/>
      </c>
      <c r="D38" s="60" t="str">
        <f>IF($B38="","",TEXT($B38,"yyyy-mm"))</f>
        <v/>
      </c>
      <c r="E38" s="64"/>
      <c r="F38" s="64"/>
      <c r="G38" s="60" t="str">
        <f>IF(OR($E38="",$F38=""),"",IFERROR(IF($E38=INDEX([1]Cluster_Master!$A$4:$A$18,MATCH($F38,[1]Cluster_Master!$B$4:$B$18,0)),"OK","CHECK"),"CHECK"))</f>
        <v/>
      </c>
      <c r="H38" s="63" t="str">
        <f>IFERROR(INDEX([1]Cluster_Master!$C$4:$C$18,MATCH($F38,[1]Cluster_Master!$B$4:$B$18,0)),"")</f>
        <v/>
      </c>
      <c r="I38" s="60" t="str">
        <f>IFERROR(INDEX([1]Cluster_Master!$D$4:$D$18,MATCH($F38,[1]Cluster_Master!$B$4:$B$18,0)),"")</f>
        <v/>
      </c>
      <c r="J38" s="60" t="str">
        <f>IFERROR(INDEX([1]Cluster_Master!$E$4:$E$18,MATCH($F38,[1]Cluster_Master!$B$4:$B$18,0)),"")</f>
        <v/>
      </c>
      <c r="K38" s="60" t="str">
        <f>IFERROR(INDEX([1]Cluster_Master!$F$4:$F$18,MATCH($F38,[1]Cluster_Master!$B$4:$B$18,0)),"")</f>
        <v/>
      </c>
      <c r="L38" s="60" t="str">
        <f>IFERROR(INDEX([1]Cluster_Master!$G$4:$G$18,MATCH($F38,[1]Cluster_Master!$B$4:$B$18,0)),"")</f>
        <v/>
      </c>
      <c r="M38" s="60" t="str">
        <f>IFERROR(INDEX([1]Cluster_Master!$H$4:$H$18,MATCH($F38,[1]Cluster_Master!$B$4:$B$18,0)),"")</f>
        <v/>
      </c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60" t="str">
        <f>IF(COUNTA(T38:AH38)=0,"",SUM(T38:AH38))</f>
        <v/>
      </c>
      <c r="AJ38" s="61" t="str">
        <f>IF(COUNTA(T38:AH38)=0,"",AI38/75)</f>
        <v/>
      </c>
      <c r="AK38" s="61" t="str">
        <f>IF(COUNTA(T38:AH38)=0,"",(SUM(T38*[1]KPI_Weights!$B$4,U38*[1]KPI_Weights!$B$5,V38*[1]KPI_Weights!$B$6,W38*[1]KPI_Weights!$B$7,X38*[1]KPI_Weights!$B$8,Y38*[1]KPI_Weights!$B$9,Z38*[1]KPI_Weights!$B$10,AA38*[1]KPI_Weights!$B$11,AB38*[1]KPI_Weights!$B$12,AC38*[1]KPI_Weights!$B$13,AD38*[1]KPI_Weights!$B$14,AE38*[1]KPI_Weights!$B$15,AF38*[1]KPI_Weights!$B$16,AG38*[1]KPI_Weights!$B$17,AH38*[1]KPI_Weights!$B$18))/5)</f>
        <v/>
      </c>
      <c r="AL38" s="60" t="str">
        <f>IF(COUNTA(T38:AH38)=0,"",IF(OR(T38&lt;=1,W38&lt;=1,X38&lt;=1,Y38&lt;=1,AB38&lt;=1),"YES","NO"))</f>
        <v/>
      </c>
      <c r="AM38" s="60" t="str">
        <f>IF(AJ38="","",IF(AND(AL38="NO",AJ38&gt;=0.75),"YES","NO"))</f>
        <v/>
      </c>
      <c r="AN38" s="60" t="str">
        <f>IF(AJ38="","",IF(AJ38&lt;0.4,"Critical",IF(AJ38&lt;0.6,"Poor",IF(AJ38&lt;0.75,"Needs Improvement",IF(AJ38&lt;0.9,"Good","Excellent")))))</f>
        <v/>
      </c>
      <c r="AO38" s="59"/>
      <c r="AP38" s="59"/>
      <c r="AQ38" s="59"/>
      <c r="AR38" s="59"/>
      <c r="AS38" s="58"/>
      <c r="AT38" s="58"/>
      <c r="AU38" s="58"/>
      <c r="AV38" s="58"/>
      <c r="AW38" s="58"/>
      <c r="AX38" s="58"/>
      <c r="AY38" s="58"/>
      <c r="AZ38" s="58"/>
      <c r="BA38" s="58"/>
      <c r="BB38" s="58"/>
    </row>
    <row r="39" spans="1:54" ht="19.5" customHeight="1" x14ac:dyDescent="0.25">
      <c r="A39" s="60" t="str">
        <f>IF($B39="","",TEXT($B39,"yyyymmdd")&amp;"-"&amp;SUBSTITUTE($F39," ","")&amp;"-"&amp;TEXT(COUNTIF($F$4:F39,$F39),"00"))</f>
        <v/>
      </c>
      <c r="B39" s="65"/>
      <c r="C39" s="60" t="str">
        <f>IF($B39="","",WEEKNUM($B39,2))</f>
        <v/>
      </c>
      <c r="D39" s="60" t="str">
        <f>IF($B39="","",TEXT($B39,"yyyy-mm"))</f>
        <v/>
      </c>
      <c r="E39" s="64"/>
      <c r="F39" s="64"/>
      <c r="G39" s="60" t="str">
        <f>IF(OR($E39="",$F39=""),"",IFERROR(IF($E39=INDEX([1]Cluster_Master!$A$4:$A$18,MATCH($F39,[1]Cluster_Master!$B$4:$B$18,0)),"OK","CHECK"),"CHECK"))</f>
        <v/>
      </c>
      <c r="H39" s="63" t="str">
        <f>IFERROR(INDEX([1]Cluster_Master!$C$4:$C$18,MATCH($F39,[1]Cluster_Master!$B$4:$B$18,0)),"")</f>
        <v/>
      </c>
      <c r="I39" s="60" t="str">
        <f>IFERROR(INDEX([1]Cluster_Master!$D$4:$D$18,MATCH($F39,[1]Cluster_Master!$B$4:$B$18,0)),"")</f>
        <v/>
      </c>
      <c r="J39" s="60" t="str">
        <f>IFERROR(INDEX([1]Cluster_Master!$E$4:$E$18,MATCH($F39,[1]Cluster_Master!$B$4:$B$18,0)),"")</f>
        <v/>
      </c>
      <c r="K39" s="60" t="str">
        <f>IFERROR(INDEX([1]Cluster_Master!$F$4:$F$18,MATCH($F39,[1]Cluster_Master!$B$4:$B$18,0)),"")</f>
        <v/>
      </c>
      <c r="L39" s="60" t="str">
        <f>IFERROR(INDEX([1]Cluster_Master!$G$4:$G$18,MATCH($F39,[1]Cluster_Master!$B$4:$B$18,0)),"")</f>
        <v/>
      </c>
      <c r="M39" s="60" t="str">
        <f>IFERROR(INDEX([1]Cluster_Master!$H$4:$H$18,MATCH($F39,[1]Cluster_Master!$B$4:$B$18,0)),"")</f>
        <v/>
      </c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60" t="str">
        <f>IF(COUNTA(T39:AH39)=0,"",SUM(T39:AH39))</f>
        <v/>
      </c>
      <c r="AJ39" s="61" t="str">
        <f>IF(COUNTA(T39:AH39)=0,"",AI39/75)</f>
        <v/>
      </c>
      <c r="AK39" s="61" t="str">
        <f>IF(COUNTA(T39:AH39)=0,"",(SUM(T39*[1]KPI_Weights!$B$4,U39*[1]KPI_Weights!$B$5,V39*[1]KPI_Weights!$B$6,W39*[1]KPI_Weights!$B$7,X39*[1]KPI_Weights!$B$8,Y39*[1]KPI_Weights!$B$9,Z39*[1]KPI_Weights!$B$10,AA39*[1]KPI_Weights!$B$11,AB39*[1]KPI_Weights!$B$12,AC39*[1]KPI_Weights!$B$13,AD39*[1]KPI_Weights!$B$14,AE39*[1]KPI_Weights!$B$15,AF39*[1]KPI_Weights!$B$16,AG39*[1]KPI_Weights!$B$17,AH39*[1]KPI_Weights!$B$18))/5)</f>
        <v/>
      </c>
      <c r="AL39" s="60" t="str">
        <f>IF(COUNTA(T39:AH39)=0,"",IF(OR(T39&lt;=1,W39&lt;=1,X39&lt;=1,Y39&lt;=1,AB39&lt;=1),"YES","NO"))</f>
        <v/>
      </c>
      <c r="AM39" s="60" t="str">
        <f>IF(AJ39="","",IF(AND(AL39="NO",AJ39&gt;=0.75),"YES","NO"))</f>
        <v/>
      </c>
      <c r="AN39" s="60" t="str">
        <f>IF(AJ39="","",IF(AJ39&lt;0.4,"Critical",IF(AJ39&lt;0.6,"Poor",IF(AJ39&lt;0.75,"Needs Improvement",IF(AJ39&lt;0.9,"Good","Excellent")))))</f>
        <v/>
      </c>
      <c r="AO39" s="59"/>
      <c r="AP39" s="59"/>
      <c r="AQ39" s="59"/>
      <c r="AR39" s="59"/>
      <c r="AS39" s="58"/>
      <c r="AT39" s="58"/>
      <c r="AU39" s="58"/>
      <c r="AV39" s="58"/>
      <c r="AW39" s="58"/>
      <c r="AX39" s="58"/>
      <c r="AY39" s="58"/>
      <c r="AZ39" s="58"/>
      <c r="BA39" s="58"/>
      <c r="BB39" s="58"/>
    </row>
    <row r="40" spans="1:54" ht="19.5" customHeight="1" x14ac:dyDescent="0.25">
      <c r="A40" s="60" t="str">
        <f>IF($B40="","",TEXT($B40,"yyyymmdd")&amp;"-"&amp;SUBSTITUTE($F40," ","")&amp;"-"&amp;TEXT(COUNTIF($F$4:F40,$F40),"00"))</f>
        <v/>
      </c>
      <c r="B40" s="65"/>
      <c r="C40" s="60" t="str">
        <f>IF($B40="","",WEEKNUM($B40,2))</f>
        <v/>
      </c>
      <c r="D40" s="60" t="str">
        <f>IF($B40="","",TEXT($B40,"yyyy-mm"))</f>
        <v/>
      </c>
      <c r="E40" s="64"/>
      <c r="F40" s="64"/>
      <c r="G40" s="60" t="str">
        <f>IF(OR($E40="",$F40=""),"",IFERROR(IF($E40=INDEX([1]Cluster_Master!$A$4:$A$18,MATCH($F40,[1]Cluster_Master!$B$4:$B$18,0)),"OK","CHECK"),"CHECK"))</f>
        <v/>
      </c>
      <c r="H40" s="63" t="str">
        <f>IFERROR(INDEX([1]Cluster_Master!$C$4:$C$18,MATCH($F40,[1]Cluster_Master!$B$4:$B$18,0)),"")</f>
        <v/>
      </c>
      <c r="I40" s="60" t="str">
        <f>IFERROR(INDEX([1]Cluster_Master!$D$4:$D$18,MATCH($F40,[1]Cluster_Master!$B$4:$B$18,0)),"")</f>
        <v/>
      </c>
      <c r="J40" s="60" t="str">
        <f>IFERROR(INDEX([1]Cluster_Master!$E$4:$E$18,MATCH($F40,[1]Cluster_Master!$B$4:$B$18,0)),"")</f>
        <v/>
      </c>
      <c r="K40" s="60" t="str">
        <f>IFERROR(INDEX([1]Cluster_Master!$F$4:$F$18,MATCH($F40,[1]Cluster_Master!$B$4:$B$18,0)),"")</f>
        <v/>
      </c>
      <c r="L40" s="60" t="str">
        <f>IFERROR(INDEX([1]Cluster_Master!$G$4:$G$18,MATCH($F40,[1]Cluster_Master!$B$4:$B$18,0)),"")</f>
        <v/>
      </c>
      <c r="M40" s="60" t="str">
        <f>IFERROR(INDEX([1]Cluster_Master!$H$4:$H$18,MATCH($F40,[1]Cluster_Master!$B$4:$B$18,0)),"")</f>
        <v/>
      </c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60" t="str">
        <f>IF(COUNTA(T40:AH40)=0,"",SUM(T40:AH40))</f>
        <v/>
      </c>
      <c r="AJ40" s="61" t="str">
        <f>IF(COUNTA(T40:AH40)=0,"",AI40/75)</f>
        <v/>
      </c>
      <c r="AK40" s="61" t="str">
        <f>IF(COUNTA(T40:AH40)=0,"",(SUM(T40*[1]KPI_Weights!$B$4,U40*[1]KPI_Weights!$B$5,V40*[1]KPI_Weights!$B$6,W40*[1]KPI_Weights!$B$7,X40*[1]KPI_Weights!$B$8,Y40*[1]KPI_Weights!$B$9,Z40*[1]KPI_Weights!$B$10,AA40*[1]KPI_Weights!$B$11,AB40*[1]KPI_Weights!$B$12,AC40*[1]KPI_Weights!$B$13,AD40*[1]KPI_Weights!$B$14,AE40*[1]KPI_Weights!$B$15,AF40*[1]KPI_Weights!$B$16,AG40*[1]KPI_Weights!$B$17,AH40*[1]KPI_Weights!$B$18))/5)</f>
        <v/>
      </c>
      <c r="AL40" s="60" t="str">
        <f>IF(COUNTA(T40:AH40)=0,"",IF(OR(T40&lt;=1,W40&lt;=1,X40&lt;=1,Y40&lt;=1,AB40&lt;=1),"YES","NO"))</f>
        <v/>
      </c>
      <c r="AM40" s="60" t="str">
        <f>IF(AJ40="","",IF(AND(AL40="NO",AJ40&gt;=0.75),"YES","NO"))</f>
        <v/>
      </c>
      <c r="AN40" s="60" t="str">
        <f>IF(AJ40="","",IF(AJ40&lt;0.4,"Critical",IF(AJ40&lt;0.6,"Poor",IF(AJ40&lt;0.75,"Needs Improvement",IF(AJ40&lt;0.9,"Good","Excellent")))))</f>
        <v/>
      </c>
      <c r="AO40" s="59"/>
      <c r="AP40" s="59"/>
      <c r="AQ40" s="59"/>
      <c r="AR40" s="59"/>
      <c r="AS40" s="58"/>
      <c r="AT40" s="58"/>
      <c r="AU40" s="58"/>
      <c r="AV40" s="58"/>
      <c r="AW40" s="58"/>
      <c r="AX40" s="58"/>
      <c r="AY40" s="58"/>
      <c r="AZ40" s="58"/>
      <c r="BA40" s="58"/>
      <c r="BB40" s="58"/>
    </row>
    <row r="41" spans="1:54" ht="19.5" customHeight="1" x14ac:dyDescent="0.25">
      <c r="A41" s="60" t="str">
        <f>IF($B41="","",TEXT($B41,"yyyymmdd")&amp;"-"&amp;SUBSTITUTE($F41," ","")&amp;"-"&amp;TEXT(COUNTIF($F$4:F41,$F41),"00"))</f>
        <v/>
      </c>
      <c r="B41" s="65"/>
      <c r="C41" s="60" t="str">
        <f>IF($B41="","",WEEKNUM($B41,2))</f>
        <v/>
      </c>
      <c r="D41" s="60" t="str">
        <f>IF($B41="","",TEXT($B41,"yyyy-mm"))</f>
        <v/>
      </c>
      <c r="E41" s="64"/>
      <c r="F41" s="64"/>
      <c r="G41" s="60" t="str">
        <f>IF(OR($E41="",$F41=""),"",IFERROR(IF($E41=INDEX([1]Cluster_Master!$A$4:$A$18,MATCH($F41,[1]Cluster_Master!$B$4:$B$18,0)),"OK","CHECK"),"CHECK"))</f>
        <v/>
      </c>
      <c r="H41" s="63" t="str">
        <f>IFERROR(INDEX([1]Cluster_Master!$C$4:$C$18,MATCH($F41,[1]Cluster_Master!$B$4:$B$18,0)),"")</f>
        <v/>
      </c>
      <c r="I41" s="60" t="str">
        <f>IFERROR(INDEX([1]Cluster_Master!$D$4:$D$18,MATCH($F41,[1]Cluster_Master!$B$4:$B$18,0)),"")</f>
        <v/>
      </c>
      <c r="J41" s="60" t="str">
        <f>IFERROR(INDEX([1]Cluster_Master!$E$4:$E$18,MATCH($F41,[1]Cluster_Master!$B$4:$B$18,0)),"")</f>
        <v/>
      </c>
      <c r="K41" s="60" t="str">
        <f>IFERROR(INDEX([1]Cluster_Master!$F$4:$F$18,MATCH($F41,[1]Cluster_Master!$B$4:$B$18,0)),"")</f>
        <v/>
      </c>
      <c r="L41" s="60" t="str">
        <f>IFERROR(INDEX([1]Cluster_Master!$G$4:$G$18,MATCH($F41,[1]Cluster_Master!$B$4:$B$18,0)),"")</f>
        <v/>
      </c>
      <c r="M41" s="60" t="str">
        <f>IFERROR(INDEX([1]Cluster_Master!$H$4:$H$18,MATCH($F41,[1]Cluster_Master!$B$4:$B$18,0)),"")</f>
        <v/>
      </c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60" t="str">
        <f>IF(COUNTA(T41:AH41)=0,"",SUM(T41:AH41))</f>
        <v/>
      </c>
      <c r="AJ41" s="61" t="str">
        <f>IF(COUNTA(T41:AH41)=0,"",AI41/75)</f>
        <v/>
      </c>
      <c r="AK41" s="61" t="str">
        <f>IF(COUNTA(T41:AH41)=0,"",(SUM(T41*[1]KPI_Weights!$B$4,U41*[1]KPI_Weights!$B$5,V41*[1]KPI_Weights!$B$6,W41*[1]KPI_Weights!$B$7,X41*[1]KPI_Weights!$B$8,Y41*[1]KPI_Weights!$B$9,Z41*[1]KPI_Weights!$B$10,AA41*[1]KPI_Weights!$B$11,AB41*[1]KPI_Weights!$B$12,AC41*[1]KPI_Weights!$B$13,AD41*[1]KPI_Weights!$B$14,AE41*[1]KPI_Weights!$B$15,AF41*[1]KPI_Weights!$B$16,AG41*[1]KPI_Weights!$B$17,AH41*[1]KPI_Weights!$B$18))/5)</f>
        <v/>
      </c>
      <c r="AL41" s="60" t="str">
        <f>IF(COUNTA(T41:AH41)=0,"",IF(OR(T41&lt;=1,W41&lt;=1,X41&lt;=1,Y41&lt;=1,AB41&lt;=1),"YES","NO"))</f>
        <v/>
      </c>
      <c r="AM41" s="60" t="str">
        <f>IF(AJ41="","",IF(AND(AL41="NO",AJ41&gt;=0.75),"YES","NO"))</f>
        <v/>
      </c>
      <c r="AN41" s="60" t="str">
        <f>IF(AJ41="","",IF(AJ41&lt;0.4,"Critical",IF(AJ41&lt;0.6,"Poor",IF(AJ41&lt;0.75,"Needs Improvement",IF(AJ41&lt;0.9,"Good","Excellent")))))</f>
        <v/>
      </c>
      <c r="AO41" s="59"/>
      <c r="AP41" s="59"/>
      <c r="AQ41" s="59"/>
      <c r="AR41" s="59"/>
      <c r="AS41" s="58"/>
      <c r="AT41" s="58"/>
      <c r="AU41" s="58"/>
      <c r="AV41" s="58"/>
      <c r="AW41" s="58"/>
      <c r="AX41" s="58"/>
      <c r="AY41" s="58"/>
      <c r="AZ41" s="58"/>
      <c r="BA41" s="58"/>
      <c r="BB41" s="58"/>
    </row>
    <row r="42" spans="1:54" ht="19.5" customHeight="1" x14ac:dyDescent="0.25">
      <c r="A42" s="60" t="str">
        <f>IF($B42="","",TEXT($B42,"yyyymmdd")&amp;"-"&amp;SUBSTITUTE($F42," ","")&amp;"-"&amp;TEXT(COUNTIF($F$4:F42,$F42),"00"))</f>
        <v/>
      </c>
      <c r="B42" s="65"/>
      <c r="C42" s="60" t="str">
        <f>IF($B42="","",WEEKNUM($B42,2))</f>
        <v/>
      </c>
      <c r="D42" s="60" t="str">
        <f>IF($B42="","",TEXT($B42,"yyyy-mm"))</f>
        <v/>
      </c>
      <c r="E42" s="64"/>
      <c r="F42" s="64"/>
      <c r="G42" s="60" t="str">
        <f>IF(OR($E42="",$F42=""),"",IFERROR(IF($E42=INDEX([1]Cluster_Master!$A$4:$A$18,MATCH($F42,[1]Cluster_Master!$B$4:$B$18,0)),"OK","CHECK"),"CHECK"))</f>
        <v/>
      </c>
      <c r="H42" s="63" t="str">
        <f>IFERROR(INDEX([1]Cluster_Master!$C$4:$C$18,MATCH($F42,[1]Cluster_Master!$B$4:$B$18,0)),"")</f>
        <v/>
      </c>
      <c r="I42" s="60" t="str">
        <f>IFERROR(INDEX([1]Cluster_Master!$D$4:$D$18,MATCH($F42,[1]Cluster_Master!$B$4:$B$18,0)),"")</f>
        <v/>
      </c>
      <c r="J42" s="60" t="str">
        <f>IFERROR(INDEX([1]Cluster_Master!$E$4:$E$18,MATCH($F42,[1]Cluster_Master!$B$4:$B$18,0)),"")</f>
        <v/>
      </c>
      <c r="K42" s="60" t="str">
        <f>IFERROR(INDEX([1]Cluster_Master!$F$4:$F$18,MATCH($F42,[1]Cluster_Master!$B$4:$B$18,0)),"")</f>
        <v/>
      </c>
      <c r="L42" s="60" t="str">
        <f>IFERROR(INDEX([1]Cluster_Master!$G$4:$G$18,MATCH($F42,[1]Cluster_Master!$B$4:$B$18,0)),"")</f>
        <v/>
      </c>
      <c r="M42" s="60" t="str">
        <f>IFERROR(INDEX([1]Cluster_Master!$H$4:$H$18,MATCH($F42,[1]Cluster_Master!$B$4:$B$18,0)),"")</f>
        <v/>
      </c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60" t="str">
        <f>IF(COUNTA(T42:AH42)=0,"",SUM(T42:AH42))</f>
        <v/>
      </c>
      <c r="AJ42" s="61" t="str">
        <f>IF(COUNTA(T42:AH42)=0,"",AI42/75)</f>
        <v/>
      </c>
      <c r="AK42" s="61" t="str">
        <f>IF(COUNTA(T42:AH42)=0,"",(SUM(T42*[1]KPI_Weights!$B$4,U42*[1]KPI_Weights!$B$5,V42*[1]KPI_Weights!$B$6,W42*[1]KPI_Weights!$B$7,X42*[1]KPI_Weights!$B$8,Y42*[1]KPI_Weights!$B$9,Z42*[1]KPI_Weights!$B$10,AA42*[1]KPI_Weights!$B$11,AB42*[1]KPI_Weights!$B$12,AC42*[1]KPI_Weights!$B$13,AD42*[1]KPI_Weights!$B$14,AE42*[1]KPI_Weights!$B$15,AF42*[1]KPI_Weights!$B$16,AG42*[1]KPI_Weights!$B$17,AH42*[1]KPI_Weights!$B$18))/5)</f>
        <v/>
      </c>
      <c r="AL42" s="60" t="str">
        <f>IF(COUNTA(T42:AH42)=0,"",IF(OR(T42&lt;=1,W42&lt;=1,X42&lt;=1,Y42&lt;=1,AB42&lt;=1),"YES","NO"))</f>
        <v/>
      </c>
      <c r="AM42" s="60" t="str">
        <f>IF(AJ42="","",IF(AND(AL42="NO",AJ42&gt;=0.75),"YES","NO"))</f>
        <v/>
      </c>
      <c r="AN42" s="60" t="str">
        <f>IF(AJ42="","",IF(AJ42&lt;0.4,"Critical",IF(AJ42&lt;0.6,"Poor",IF(AJ42&lt;0.75,"Needs Improvement",IF(AJ42&lt;0.9,"Good","Excellent")))))</f>
        <v/>
      </c>
      <c r="AO42" s="59"/>
      <c r="AP42" s="59"/>
      <c r="AQ42" s="59"/>
      <c r="AR42" s="59"/>
      <c r="AS42" s="58"/>
      <c r="AT42" s="58"/>
      <c r="AU42" s="58"/>
      <c r="AV42" s="58"/>
      <c r="AW42" s="58"/>
      <c r="AX42" s="58"/>
      <c r="AY42" s="58"/>
      <c r="AZ42" s="58"/>
      <c r="BA42" s="58"/>
      <c r="BB42" s="58"/>
    </row>
    <row r="43" spans="1:54" ht="19.5" customHeight="1" x14ac:dyDescent="0.25">
      <c r="A43" s="60" t="str">
        <f>IF($B43="","",TEXT($B43,"yyyymmdd")&amp;"-"&amp;SUBSTITUTE($F43," ","")&amp;"-"&amp;TEXT(COUNTIF($F$4:F43,$F43),"00"))</f>
        <v/>
      </c>
      <c r="B43" s="65"/>
      <c r="C43" s="60" t="str">
        <f>IF($B43="","",WEEKNUM($B43,2))</f>
        <v/>
      </c>
      <c r="D43" s="60" t="str">
        <f>IF($B43="","",TEXT($B43,"yyyy-mm"))</f>
        <v/>
      </c>
      <c r="E43" s="64"/>
      <c r="F43" s="64"/>
      <c r="G43" s="60" t="str">
        <f>IF(OR($E43="",$F43=""),"",IFERROR(IF($E43=INDEX([1]Cluster_Master!$A$4:$A$18,MATCH($F43,[1]Cluster_Master!$B$4:$B$18,0)),"OK","CHECK"),"CHECK"))</f>
        <v/>
      </c>
      <c r="H43" s="63" t="str">
        <f>IFERROR(INDEX([1]Cluster_Master!$C$4:$C$18,MATCH($F43,[1]Cluster_Master!$B$4:$B$18,0)),"")</f>
        <v/>
      </c>
      <c r="I43" s="60" t="str">
        <f>IFERROR(INDEX([1]Cluster_Master!$D$4:$D$18,MATCH($F43,[1]Cluster_Master!$B$4:$B$18,0)),"")</f>
        <v/>
      </c>
      <c r="J43" s="60" t="str">
        <f>IFERROR(INDEX([1]Cluster_Master!$E$4:$E$18,MATCH($F43,[1]Cluster_Master!$B$4:$B$18,0)),"")</f>
        <v/>
      </c>
      <c r="K43" s="60" t="str">
        <f>IFERROR(INDEX([1]Cluster_Master!$F$4:$F$18,MATCH($F43,[1]Cluster_Master!$B$4:$B$18,0)),"")</f>
        <v/>
      </c>
      <c r="L43" s="60" t="str">
        <f>IFERROR(INDEX([1]Cluster_Master!$G$4:$G$18,MATCH($F43,[1]Cluster_Master!$B$4:$B$18,0)),"")</f>
        <v/>
      </c>
      <c r="M43" s="60" t="str">
        <f>IFERROR(INDEX([1]Cluster_Master!$H$4:$H$18,MATCH($F43,[1]Cluster_Master!$B$4:$B$18,0)),"")</f>
        <v/>
      </c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60" t="str">
        <f>IF(COUNTA(T43:AH43)=0,"",SUM(T43:AH43))</f>
        <v/>
      </c>
      <c r="AJ43" s="61" t="str">
        <f>IF(COUNTA(T43:AH43)=0,"",AI43/75)</f>
        <v/>
      </c>
      <c r="AK43" s="61" t="str">
        <f>IF(COUNTA(T43:AH43)=0,"",(SUM(T43*[1]KPI_Weights!$B$4,U43*[1]KPI_Weights!$B$5,V43*[1]KPI_Weights!$B$6,W43*[1]KPI_Weights!$B$7,X43*[1]KPI_Weights!$B$8,Y43*[1]KPI_Weights!$B$9,Z43*[1]KPI_Weights!$B$10,AA43*[1]KPI_Weights!$B$11,AB43*[1]KPI_Weights!$B$12,AC43*[1]KPI_Weights!$B$13,AD43*[1]KPI_Weights!$B$14,AE43*[1]KPI_Weights!$B$15,AF43*[1]KPI_Weights!$B$16,AG43*[1]KPI_Weights!$B$17,AH43*[1]KPI_Weights!$B$18))/5)</f>
        <v/>
      </c>
      <c r="AL43" s="60" t="str">
        <f>IF(COUNTA(T43:AH43)=0,"",IF(OR(T43&lt;=1,W43&lt;=1,X43&lt;=1,Y43&lt;=1,AB43&lt;=1),"YES","NO"))</f>
        <v/>
      </c>
      <c r="AM43" s="60" t="str">
        <f>IF(AJ43="","",IF(AND(AL43="NO",AJ43&gt;=0.75),"YES","NO"))</f>
        <v/>
      </c>
      <c r="AN43" s="60" t="str">
        <f>IF(AJ43="","",IF(AJ43&lt;0.4,"Critical",IF(AJ43&lt;0.6,"Poor",IF(AJ43&lt;0.75,"Needs Improvement",IF(AJ43&lt;0.9,"Good","Excellent")))))</f>
        <v/>
      </c>
      <c r="AO43" s="59"/>
      <c r="AP43" s="59"/>
      <c r="AQ43" s="59"/>
      <c r="AR43" s="59"/>
      <c r="AS43" s="58"/>
      <c r="AT43" s="58"/>
      <c r="AU43" s="58"/>
      <c r="AV43" s="58"/>
      <c r="AW43" s="58"/>
      <c r="AX43" s="58"/>
      <c r="AY43" s="58"/>
      <c r="AZ43" s="58"/>
      <c r="BA43" s="58"/>
      <c r="BB43" s="58"/>
    </row>
    <row r="44" spans="1:54" ht="19.5" customHeight="1" x14ac:dyDescent="0.25">
      <c r="A44" s="60" t="str">
        <f>IF($B44="","",TEXT($B44,"yyyymmdd")&amp;"-"&amp;SUBSTITUTE($F44," ","")&amp;"-"&amp;TEXT(COUNTIF($F$4:F44,$F44),"00"))</f>
        <v/>
      </c>
      <c r="B44" s="65"/>
      <c r="C44" s="60" t="str">
        <f>IF($B44="","",WEEKNUM($B44,2))</f>
        <v/>
      </c>
      <c r="D44" s="60" t="str">
        <f>IF($B44="","",TEXT($B44,"yyyy-mm"))</f>
        <v/>
      </c>
      <c r="E44" s="64"/>
      <c r="F44" s="64"/>
      <c r="G44" s="60" t="str">
        <f>IF(OR($E44="",$F44=""),"",IFERROR(IF($E44=INDEX([1]Cluster_Master!$A$4:$A$18,MATCH($F44,[1]Cluster_Master!$B$4:$B$18,0)),"OK","CHECK"),"CHECK"))</f>
        <v/>
      </c>
      <c r="H44" s="63" t="str">
        <f>IFERROR(INDEX([1]Cluster_Master!$C$4:$C$18,MATCH($F44,[1]Cluster_Master!$B$4:$B$18,0)),"")</f>
        <v/>
      </c>
      <c r="I44" s="60" t="str">
        <f>IFERROR(INDEX([1]Cluster_Master!$D$4:$D$18,MATCH($F44,[1]Cluster_Master!$B$4:$B$18,0)),"")</f>
        <v/>
      </c>
      <c r="J44" s="60" t="str">
        <f>IFERROR(INDEX([1]Cluster_Master!$E$4:$E$18,MATCH($F44,[1]Cluster_Master!$B$4:$B$18,0)),"")</f>
        <v/>
      </c>
      <c r="K44" s="60" t="str">
        <f>IFERROR(INDEX([1]Cluster_Master!$F$4:$F$18,MATCH($F44,[1]Cluster_Master!$B$4:$B$18,0)),"")</f>
        <v/>
      </c>
      <c r="L44" s="60" t="str">
        <f>IFERROR(INDEX([1]Cluster_Master!$G$4:$G$18,MATCH($F44,[1]Cluster_Master!$B$4:$B$18,0)),"")</f>
        <v/>
      </c>
      <c r="M44" s="60" t="str">
        <f>IFERROR(INDEX([1]Cluster_Master!$H$4:$H$18,MATCH($F44,[1]Cluster_Master!$B$4:$B$18,0)),"")</f>
        <v/>
      </c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60" t="str">
        <f>IF(COUNTA(T44:AH44)=0,"",SUM(T44:AH44))</f>
        <v/>
      </c>
      <c r="AJ44" s="61" t="str">
        <f>IF(COUNTA(T44:AH44)=0,"",AI44/75)</f>
        <v/>
      </c>
      <c r="AK44" s="61" t="str">
        <f>IF(COUNTA(T44:AH44)=0,"",(SUM(T44*[1]KPI_Weights!$B$4,U44*[1]KPI_Weights!$B$5,V44*[1]KPI_Weights!$B$6,W44*[1]KPI_Weights!$B$7,X44*[1]KPI_Weights!$B$8,Y44*[1]KPI_Weights!$B$9,Z44*[1]KPI_Weights!$B$10,AA44*[1]KPI_Weights!$B$11,AB44*[1]KPI_Weights!$B$12,AC44*[1]KPI_Weights!$B$13,AD44*[1]KPI_Weights!$B$14,AE44*[1]KPI_Weights!$B$15,AF44*[1]KPI_Weights!$B$16,AG44*[1]KPI_Weights!$B$17,AH44*[1]KPI_Weights!$B$18))/5)</f>
        <v/>
      </c>
      <c r="AL44" s="60" t="str">
        <f>IF(COUNTA(T44:AH44)=0,"",IF(OR(T44&lt;=1,W44&lt;=1,X44&lt;=1,Y44&lt;=1,AB44&lt;=1),"YES","NO"))</f>
        <v/>
      </c>
      <c r="AM44" s="60" t="str">
        <f>IF(AJ44="","",IF(AND(AL44="NO",AJ44&gt;=0.75),"YES","NO"))</f>
        <v/>
      </c>
      <c r="AN44" s="60" t="str">
        <f>IF(AJ44="","",IF(AJ44&lt;0.4,"Critical",IF(AJ44&lt;0.6,"Poor",IF(AJ44&lt;0.75,"Needs Improvement",IF(AJ44&lt;0.9,"Good","Excellent")))))</f>
        <v/>
      </c>
      <c r="AO44" s="59"/>
      <c r="AP44" s="59"/>
      <c r="AQ44" s="59"/>
      <c r="AR44" s="59"/>
      <c r="AS44" s="58"/>
      <c r="AT44" s="58"/>
      <c r="AU44" s="58"/>
      <c r="AV44" s="58"/>
      <c r="AW44" s="58"/>
      <c r="AX44" s="58"/>
      <c r="AY44" s="58"/>
      <c r="AZ44" s="58"/>
      <c r="BA44" s="58"/>
      <c r="BB44" s="58"/>
    </row>
    <row r="45" spans="1:54" ht="19.5" customHeight="1" x14ac:dyDescent="0.25">
      <c r="A45" s="60" t="str">
        <f>IF($B45="","",TEXT($B45,"yyyymmdd")&amp;"-"&amp;SUBSTITUTE($F45," ","")&amp;"-"&amp;TEXT(COUNTIF($F$4:F45,$F45),"00"))</f>
        <v/>
      </c>
      <c r="B45" s="65"/>
      <c r="C45" s="60" t="str">
        <f>IF($B45="","",WEEKNUM($B45,2))</f>
        <v/>
      </c>
      <c r="D45" s="60" t="str">
        <f>IF($B45="","",TEXT($B45,"yyyy-mm"))</f>
        <v/>
      </c>
      <c r="E45" s="64"/>
      <c r="F45" s="64"/>
      <c r="G45" s="60" t="str">
        <f>IF(OR($E45="",$F45=""),"",IFERROR(IF($E45=INDEX([1]Cluster_Master!$A$4:$A$18,MATCH($F45,[1]Cluster_Master!$B$4:$B$18,0)),"OK","CHECK"),"CHECK"))</f>
        <v/>
      </c>
      <c r="H45" s="63" t="str">
        <f>IFERROR(INDEX([1]Cluster_Master!$C$4:$C$18,MATCH($F45,[1]Cluster_Master!$B$4:$B$18,0)),"")</f>
        <v/>
      </c>
      <c r="I45" s="60" t="str">
        <f>IFERROR(INDEX([1]Cluster_Master!$D$4:$D$18,MATCH($F45,[1]Cluster_Master!$B$4:$B$18,0)),"")</f>
        <v/>
      </c>
      <c r="J45" s="60" t="str">
        <f>IFERROR(INDEX([1]Cluster_Master!$E$4:$E$18,MATCH($F45,[1]Cluster_Master!$B$4:$B$18,0)),"")</f>
        <v/>
      </c>
      <c r="K45" s="60" t="str">
        <f>IFERROR(INDEX([1]Cluster_Master!$F$4:$F$18,MATCH($F45,[1]Cluster_Master!$B$4:$B$18,0)),"")</f>
        <v/>
      </c>
      <c r="L45" s="60" t="str">
        <f>IFERROR(INDEX([1]Cluster_Master!$G$4:$G$18,MATCH($F45,[1]Cluster_Master!$B$4:$B$18,0)),"")</f>
        <v/>
      </c>
      <c r="M45" s="60" t="str">
        <f>IFERROR(INDEX([1]Cluster_Master!$H$4:$H$18,MATCH($F45,[1]Cluster_Master!$B$4:$B$18,0)),"")</f>
        <v/>
      </c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60" t="str">
        <f>IF(COUNTA(T45:AH45)=0,"",SUM(T45:AH45))</f>
        <v/>
      </c>
      <c r="AJ45" s="61" t="str">
        <f>IF(COUNTA(T45:AH45)=0,"",AI45/75)</f>
        <v/>
      </c>
      <c r="AK45" s="61" t="str">
        <f>IF(COUNTA(T45:AH45)=0,"",(SUM(T45*[1]KPI_Weights!$B$4,U45*[1]KPI_Weights!$B$5,V45*[1]KPI_Weights!$B$6,W45*[1]KPI_Weights!$B$7,X45*[1]KPI_Weights!$B$8,Y45*[1]KPI_Weights!$B$9,Z45*[1]KPI_Weights!$B$10,AA45*[1]KPI_Weights!$B$11,AB45*[1]KPI_Weights!$B$12,AC45*[1]KPI_Weights!$B$13,AD45*[1]KPI_Weights!$B$14,AE45*[1]KPI_Weights!$B$15,AF45*[1]KPI_Weights!$B$16,AG45*[1]KPI_Weights!$B$17,AH45*[1]KPI_Weights!$B$18))/5)</f>
        <v/>
      </c>
      <c r="AL45" s="60" t="str">
        <f>IF(COUNTA(T45:AH45)=0,"",IF(OR(T45&lt;=1,W45&lt;=1,X45&lt;=1,Y45&lt;=1,AB45&lt;=1),"YES","NO"))</f>
        <v/>
      </c>
      <c r="AM45" s="60" t="str">
        <f>IF(AJ45="","",IF(AND(AL45="NO",AJ45&gt;=0.75),"YES","NO"))</f>
        <v/>
      </c>
      <c r="AN45" s="60" t="str">
        <f>IF(AJ45="","",IF(AJ45&lt;0.4,"Critical",IF(AJ45&lt;0.6,"Poor",IF(AJ45&lt;0.75,"Needs Improvement",IF(AJ45&lt;0.9,"Good","Excellent")))))</f>
        <v/>
      </c>
      <c r="AO45" s="59"/>
      <c r="AP45" s="59"/>
      <c r="AQ45" s="59"/>
      <c r="AR45" s="59"/>
      <c r="AS45" s="58"/>
      <c r="AT45" s="58"/>
      <c r="AU45" s="58"/>
      <c r="AV45" s="58"/>
      <c r="AW45" s="58"/>
      <c r="AX45" s="58"/>
      <c r="AY45" s="58"/>
      <c r="AZ45" s="58"/>
      <c r="BA45" s="58"/>
      <c r="BB45" s="58"/>
    </row>
    <row r="46" spans="1:54" ht="19.5" customHeight="1" x14ac:dyDescent="0.25">
      <c r="A46" s="60" t="str">
        <f>IF($B46="","",TEXT($B46,"yyyymmdd")&amp;"-"&amp;SUBSTITUTE($F46," ","")&amp;"-"&amp;TEXT(COUNTIF($F$4:F46,$F46),"00"))</f>
        <v/>
      </c>
      <c r="B46" s="65"/>
      <c r="C46" s="60" t="str">
        <f>IF($B46="","",WEEKNUM($B46,2))</f>
        <v/>
      </c>
      <c r="D46" s="60" t="str">
        <f>IF($B46="","",TEXT($B46,"yyyy-mm"))</f>
        <v/>
      </c>
      <c r="E46" s="64"/>
      <c r="F46" s="64"/>
      <c r="G46" s="60" t="str">
        <f>IF(OR($E46="",$F46=""),"",IFERROR(IF($E46=INDEX([1]Cluster_Master!$A$4:$A$18,MATCH($F46,[1]Cluster_Master!$B$4:$B$18,0)),"OK","CHECK"),"CHECK"))</f>
        <v/>
      </c>
      <c r="H46" s="63" t="str">
        <f>IFERROR(INDEX([1]Cluster_Master!$C$4:$C$18,MATCH($F46,[1]Cluster_Master!$B$4:$B$18,0)),"")</f>
        <v/>
      </c>
      <c r="I46" s="60" t="str">
        <f>IFERROR(INDEX([1]Cluster_Master!$D$4:$D$18,MATCH($F46,[1]Cluster_Master!$B$4:$B$18,0)),"")</f>
        <v/>
      </c>
      <c r="J46" s="60" t="str">
        <f>IFERROR(INDEX([1]Cluster_Master!$E$4:$E$18,MATCH($F46,[1]Cluster_Master!$B$4:$B$18,0)),"")</f>
        <v/>
      </c>
      <c r="K46" s="60" t="str">
        <f>IFERROR(INDEX([1]Cluster_Master!$F$4:$F$18,MATCH($F46,[1]Cluster_Master!$B$4:$B$18,0)),"")</f>
        <v/>
      </c>
      <c r="L46" s="60" t="str">
        <f>IFERROR(INDEX([1]Cluster_Master!$G$4:$G$18,MATCH($F46,[1]Cluster_Master!$B$4:$B$18,0)),"")</f>
        <v/>
      </c>
      <c r="M46" s="60" t="str">
        <f>IFERROR(INDEX([1]Cluster_Master!$H$4:$H$18,MATCH($F46,[1]Cluster_Master!$B$4:$B$18,0)),"")</f>
        <v/>
      </c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60" t="str">
        <f>IF(COUNTA(T46:AH46)=0,"",SUM(T46:AH46))</f>
        <v/>
      </c>
      <c r="AJ46" s="61" t="str">
        <f>IF(COUNTA(T46:AH46)=0,"",AI46/75)</f>
        <v/>
      </c>
      <c r="AK46" s="61" t="str">
        <f>IF(COUNTA(T46:AH46)=0,"",(SUM(T46*[1]KPI_Weights!$B$4,U46*[1]KPI_Weights!$B$5,V46*[1]KPI_Weights!$B$6,W46*[1]KPI_Weights!$B$7,X46*[1]KPI_Weights!$B$8,Y46*[1]KPI_Weights!$B$9,Z46*[1]KPI_Weights!$B$10,AA46*[1]KPI_Weights!$B$11,AB46*[1]KPI_Weights!$B$12,AC46*[1]KPI_Weights!$B$13,AD46*[1]KPI_Weights!$B$14,AE46*[1]KPI_Weights!$B$15,AF46*[1]KPI_Weights!$B$16,AG46*[1]KPI_Weights!$B$17,AH46*[1]KPI_Weights!$B$18))/5)</f>
        <v/>
      </c>
      <c r="AL46" s="60" t="str">
        <f>IF(COUNTA(T46:AH46)=0,"",IF(OR(T46&lt;=1,W46&lt;=1,X46&lt;=1,Y46&lt;=1,AB46&lt;=1),"YES","NO"))</f>
        <v/>
      </c>
      <c r="AM46" s="60" t="str">
        <f>IF(AJ46="","",IF(AND(AL46="NO",AJ46&gt;=0.75),"YES","NO"))</f>
        <v/>
      </c>
      <c r="AN46" s="60" t="str">
        <f>IF(AJ46="","",IF(AJ46&lt;0.4,"Critical",IF(AJ46&lt;0.6,"Poor",IF(AJ46&lt;0.75,"Needs Improvement",IF(AJ46&lt;0.9,"Good","Excellent")))))</f>
        <v/>
      </c>
      <c r="AO46" s="59"/>
      <c r="AP46" s="59"/>
      <c r="AQ46" s="59"/>
      <c r="AR46" s="59"/>
      <c r="AS46" s="58"/>
      <c r="AT46" s="58"/>
      <c r="AU46" s="58"/>
      <c r="AV46" s="58"/>
      <c r="AW46" s="58"/>
      <c r="AX46" s="58"/>
      <c r="AY46" s="58"/>
      <c r="AZ46" s="58"/>
      <c r="BA46" s="58"/>
      <c r="BB46" s="58"/>
    </row>
    <row r="47" spans="1:54" ht="19.5" customHeight="1" x14ac:dyDescent="0.25">
      <c r="A47" s="60" t="str">
        <f>IF($B47="","",TEXT($B47,"yyyymmdd")&amp;"-"&amp;SUBSTITUTE($F47," ","")&amp;"-"&amp;TEXT(COUNTIF($F$4:F47,$F47),"00"))</f>
        <v/>
      </c>
      <c r="B47" s="65"/>
      <c r="C47" s="60" t="str">
        <f>IF($B47="","",WEEKNUM($B47,2))</f>
        <v/>
      </c>
      <c r="D47" s="60" t="str">
        <f>IF($B47="","",TEXT($B47,"yyyy-mm"))</f>
        <v/>
      </c>
      <c r="E47" s="64"/>
      <c r="F47" s="64"/>
      <c r="G47" s="60" t="str">
        <f>IF(OR($E47="",$F47=""),"",IFERROR(IF($E47=INDEX([1]Cluster_Master!$A$4:$A$18,MATCH($F47,[1]Cluster_Master!$B$4:$B$18,0)),"OK","CHECK"),"CHECK"))</f>
        <v/>
      </c>
      <c r="H47" s="63" t="str">
        <f>IFERROR(INDEX([1]Cluster_Master!$C$4:$C$18,MATCH($F47,[1]Cluster_Master!$B$4:$B$18,0)),"")</f>
        <v/>
      </c>
      <c r="I47" s="60" t="str">
        <f>IFERROR(INDEX([1]Cluster_Master!$D$4:$D$18,MATCH($F47,[1]Cluster_Master!$B$4:$B$18,0)),"")</f>
        <v/>
      </c>
      <c r="J47" s="60" t="str">
        <f>IFERROR(INDEX([1]Cluster_Master!$E$4:$E$18,MATCH($F47,[1]Cluster_Master!$B$4:$B$18,0)),"")</f>
        <v/>
      </c>
      <c r="K47" s="60" t="str">
        <f>IFERROR(INDEX([1]Cluster_Master!$F$4:$F$18,MATCH($F47,[1]Cluster_Master!$B$4:$B$18,0)),"")</f>
        <v/>
      </c>
      <c r="L47" s="60" t="str">
        <f>IFERROR(INDEX([1]Cluster_Master!$G$4:$G$18,MATCH($F47,[1]Cluster_Master!$B$4:$B$18,0)),"")</f>
        <v/>
      </c>
      <c r="M47" s="60" t="str">
        <f>IFERROR(INDEX([1]Cluster_Master!$H$4:$H$18,MATCH($F47,[1]Cluster_Master!$B$4:$B$18,0)),"")</f>
        <v/>
      </c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60" t="str">
        <f>IF(COUNTA(T47:AH47)=0,"",SUM(T47:AH47))</f>
        <v/>
      </c>
      <c r="AJ47" s="61" t="str">
        <f>IF(COUNTA(T47:AH47)=0,"",AI47/75)</f>
        <v/>
      </c>
      <c r="AK47" s="61" t="str">
        <f>IF(COUNTA(T47:AH47)=0,"",(SUM(T47*[1]KPI_Weights!$B$4,U47*[1]KPI_Weights!$B$5,V47*[1]KPI_Weights!$B$6,W47*[1]KPI_Weights!$B$7,X47*[1]KPI_Weights!$B$8,Y47*[1]KPI_Weights!$B$9,Z47*[1]KPI_Weights!$B$10,AA47*[1]KPI_Weights!$B$11,AB47*[1]KPI_Weights!$B$12,AC47*[1]KPI_Weights!$B$13,AD47*[1]KPI_Weights!$B$14,AE47*[1]KPI_Weights!$B$15,AF47*[1]KPI_Weights!$B$16,AG47*[1]KPI_Weights!$B$17,AH47*[1]KPI_Weights!$B$18))/5)</f>
        <v/>
      </c>
      <c r="AL47" s="60" t="str">
        <f>IF(COUNTA(T47:AH47)=0,"",IF(OR(T47&lt;=1,W47&lt;=1,X47&lt;=1,Y47&lt;=1,AB47&lt;=1),"YES","NO"))</f>
        <v/>
      </c>
      <c r="AM47" s="60" t="str">
        <f>IF(AJ47="","",IF(AND(AL47="NO",AJ47&gt;=0.75),"YES","NO"))</f>
        <v/>
      </c>
      <c r="AN47" s="60" t="str">
        <f>IF(AJ47="","",IF(AJ47&lt;0.4,"Critical",IF(AJ47&lt;0.6,"Poor",IF(AJ47&lt;0.75,"Needs Improvement",IF(AJ47&lt;0.9,"Good","Excellent")))))</f>
        <v/>
      </c>
      <c r="AO47" s="59"/>
      <c r="AP47" s="59"/>
      <c r="AQ47" s="59"/>
      <c r="AR47" s="59"/>
      <c r="AS47" s="58"/>
      <c r="AT47" s="58"/>
      <c r="AU47" s="58"/>
      <c r="AV47" s="58"/>
      <c r="AW47" s="58"/>
      <c r="AX47" s="58"/>
      <c r="AY47" s="58"/>
      <c r="AZ47" s="58"/>
      <c r="BA47" s="58"/>
      <c r="BB47" s="58"/>
    </row>
    <row r="48" spans="1:54" ht="19.5" customHeight="1" x14ac:dyDescent="0.25">
      <c r="A48" s="60" t="str">
        <f>IF($B48="","",TEXT($B48,"yyyymmdd")&amp;"-"&amp;SUBSTITUTE($F48," ","")&amp;"-"&amp;TEXT(COUNTIF($F$4:F48,$F48),"00"))</f>
        <v/>
      </c>
      <c r="B48" s="65"/>
      <c r="C48" s="60" t="str">
        <f>IF($B48="","",WEEKNUM($B48,2))</f>
        <v/>
      </c>
      <c r="D48" s="60" t="str">
        <f>IF($B48="","",TEXT($B48,"yyyy-mm"))</f>
        <v/>
      </c>
      <c r="E48" s="64"/>
      <c r="F48" s="64"/>
      <c r="G48" s="60" t="str">
        <f>IF(OR($E48="",$F48=""),"",IFERROR(IF($E48=INDEX([1]Cluster_Master!$A$4:$A$18,MATCH($F48,[1]Cluster_Master!$B$4:$B$18,0)),"OK","CHECK"),"CHECK"))</f>
        <v/>
      </c>
      <c r="H48" s="63" t="str">
        <f>IFERROR(INDEX([1]Cluster_Master!$C$4:$C$18,MATCH($F48,[1]Cluster_Master!$B$4:$B$18,0)),"")</f>
        <v/>
      </c>
      <c r="I48" s="60" t="str">
        <f>IFERROR(INDEX([1]Cluster_Master!$D$4:$D$18,MATCH($F48,[1]Cluster_Master!$B$4:$B$18,0)),"")</f>
        <v/>
      </c>
      <c r="J48" s="60" t="str">
        <f>IFERROR(INDEX([1]Cluster_Master!$E$4:$E$18,MATCH($F48,[1]Cluster_Master!$B$4:$B$18,0)),"")</f>
        <v/>
      </c>
      <c r="K48" s="60" t="str">
        <f>IFERROR(INDEX([1]Cluster_Master!$F$4:$F$18,MATCH($F48,[1]Cluster_Master!$B$4:$B$18,0)),"")</f>
        <v/>
      </c>
      <c r="L48" s="60" t="str">
        <f>IFERROR(INDEX([1]Cluster_Master!$G$4:$G$18,MATCH($F48,[1]Cluster_Master!$B$4:$B$18,0)),"")</f>
        <v/>
      </c>
      <c r="M48" s="60" t="str">
        <f>IFERROR(INDEX([1]Cluster_Master!$H$4:$H$18,MATCH($F48,[1]Cluster_Master!$B$4:$B$18,0)),"")</f>
        <v/>
      </c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60" t="str">
        <f>IF(COUNTA(T48:AH48)=0,"",SUM(T48:AH48))</f>
        <v/>
      </c>
      <c r="AJ48" s="61" t="str">
        <f>IF(COUNTA(T48:AH48)=0,"",AI48/75)</f>
        <v/>
      </c>
      <c r="AK48" s="61" t="str">
        <f>IF(COUNTA(T48:AH48)=0,"",(SUM(T48*[1]KPI_Weights!$B$4,U48*[1]KPI_Weights!$B$5,V48*[1]KPI_Weights!$B$6,W48*[1]KPI_Weights!$B$7,X48*[1]KPI_Weights!$B$8,Y48*[1]KPI_Weights!$B$9,Z48*[1]KPI_Weights!$B$10,AA48*[1]KPI_Weights!$B$11,AB48*[1]KPI_Weights!$B$12,AC48*[1]KPI_Weights!$B$13,AD48*[1]KPI_Weights!$B$14,AE48*[1]KPI_Weights!$B$15,AF48*[1]KPI_Weights!$B$16,AG48*[1]KPI_Weights!$B$17,AH48*[1]KPI_Weights!$B$18))/5)</f>
        <v/>
      </c>
      <c r="AL48" s="60" t="str">
        <f>IF(COUNTA(T48:AH48)=0,"",IF(OR(T48&lt;=1,W48&lt;=1,X48&lt;=1,Y48&lt;=1,AB48&lt;=1),"YES","NO"))</f>
        <v/>
      </c>
      <c r="AM48" s="60" t="str">
        <f>IF(AJ48="","",IF(AND(AL48="NO",AJ48&gt;=0.75),"YES","NO"))</f>
        <v/>
      </c>
      <c r="AN48" s="60" t="str">
        <f>IF(AJ48="","",IF(AJ48&lt;0.4,"Critical",IF(AJ48&lt;0.6,"Poor",IF(AJ48&lt;0.75,"Needs Improvement",IF(AJ48&lt;0.9,"Good","Excellent")))))</f>
        <v/>
      </c>
      <c r="AO48" s="59"/>
      <c r="AP48" s="59"/>
      <c r="AQ48" s="59"/>
      <c r="AR48" s="59"/>
      <c r="AS48" s="58"/>
      <c r="AT48" s="58"/>
      <c r="AU48" s="58"/>
      <c r="AV48" s="58"/>
      <c r="AW48" s="58"/>
      <c r="AX48" s="58"/>
      <c r="AY48" s="58"/>
      <c r="AZ48" s="58"/>
      <c r="BA48" s="58"/>
      <c r="BB48" s="58"/>
    </row>
    <row r="49" spans="1:54" ht="19.5" customHeight="1" x14ac:dyDescent="0.25">
      <c r="A49" s="60" t="str">
        <f>IF($B49="","",TEXT($B49,"yyyymmdd")&amp;"-"&amp;SUBSTITUTE($F49," ","")&amp;"-"&amp;TEXT(COUNTIF($F$4:F49,$F49),"00"))</f>
        <v/>
      </c>
      <c r="B49" s="65"/>
      <c r="C49" s="60" t="str">
        <f>IF($B49="","",WEEKNUM($B49,2))</f>
        <v/>
      </c>
      <c r="D49" s="60" t="str">
        <f>IF($B49="","",TEXT($B49,"yyyy-mm"))</f>
        <v/>
      </c>
      <c r="E49" s="64"/>
      <c r="F49" s="64"/>
      <c r="G49" s="60" t="str">
        <f>IF(OR($E49="",$F49=""),"",IFERROR(IF($E49=INDEX([1]Cluster_Master!$A$4:$A$18,MATCH($F49,[1]Cluster_Master!$B$4:$B$18,0)),"OK","CHECK"),"CHECK"))</f>
        <v/>
      </c>
      <c r="H49" s="63" t="str">
        <f>IFERROR(INDEX([1]Cluster_Master!$C$4:$C$18,MATCH($F49,[1]Cluster_Master!$B$4:$B$18,0)),"")</f>
        <v/>
      </c>
      <c r="I49" s="60" t="str">
        <f>IFERROR(INDEX([1]Cluster_Master!$D$4:$D$18,MATCH($F49,[1]Cluster_Master!$B$4:$B$18,0)),"")</f>
        <v/>
      </c>
      <c r="J49" s="60" t="str">
        <f>IFERROR(INDEX([1]Cluster_Master!$E$4:$E$18,MATCH($F49,[1]Cluster_Master!$B$4:$B$18,0)),"")</f>
        <v/>
      </c>
      <c r="K49" s="60" t="str">
        <f>IFERROR(INDEX([1]Cluster_Master!$F$4:$F$18,MATCH($F49,[1]Cluster_Master!$B$4:$B$18,0)),"")</f>
        <v/>
      </c>
      <c r="L49" s="60" t="str">
        <f>IFERROR(INDEX([1]Cluster_Master!$G$4:$G$18,MATCH($F49,[1]Cluster_Master!$B$4:$B$18,0)),"")</f>
        <v/>
      </c>
      <c r="M49" s="60" t="str">
        <f>IFERROR(INDEX([1]Cluster_Master!$H$4:$H$18,MATCH($F49,[1]Cluster_Master!$B$4:$B$18,0)),"")</f>
        <v/>
      </c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60" t="str">
        <f>IF(COUNTA(T49:AH49)=0,"",SUM(T49:AH49))</f>
        <v/>
      </c>
      <c r="AJ49" s="61" t="str">
        <f>IF(COUNTA(T49:AH49)=0,"",AI49/75)</f>
        <v/>
      </c>
      <c r="AK49" s="61" t="str">
        <f>IF(COUNTA(T49:AH49)=0,"",(SUM(T49*[1]KPI_Weights!$B$4,U49*[1]KPI_Weights!$B$5,V49*[1]KPI_Weights!$B$6,W49*[1]KPI_Weights!$B$7,X49*[1]KPI_Weights!$B$8,Y49*[1]KPI_Weights!$B$9,Z49*[1]KPI_Weights!$B$10,AA49*[1]KPI_Weights!$B$11,AB49*[1]KPI_Weights!$B$12,AC49*[1]KPI_Weights!$B$13,AD49*[1]KPI_Weights!$B$14,AE49*[1]KPI_Weights!$B$15,AF49*[1]KPI_Weights!$B$16,AG49*[1]KPI_Weights!$B$17,AH49*[1]KPI_Weights!$B$18))/5)</f>
        <v/>
      </c>
      <c r="AL49" s="60" t="str">
        <f>IF(COUNTA(T49:AH49)=0,"",IF(OR(T49&lt;=1,W49&lt;=1,X49&lt;=1,Y49&lt;=1,AB49&lt;=1),"YES","NO"))</f>
        <v/>
      </c>
      <c r="AM49" s="60" t="str">
        <f>IF(AJ49="","",IF(AND(AL49="NO",AJ49&gt;=0.75),"YES","NO"))</f>
        <v/>
      </c>
      <c r="AN49" s="60" t="str">
        <f>IF(AJ49="","",IF(AJ49&lt;0.4,"Critical",IF(AJ49&lt;0.6,"Poor",IF(AJ49&lt;0.75,"Needs Improvement",IF(AJ49&lt;0.9,"Good","Excellent")))))</f>
        <v/>
      </c>
      <c r="AO49" s="59"/>
      <c r="AP49" s="59"/>
      <c r="AQ49" s="59"/>
      <c r="AR49" s="59"/>
      <c r="AS49" s="58"/>
      <c r="AT49" s="58"/>
      <c r="AU49" s="58"/>
      <c r="AV49" s="58"/>
      <c r="AW49" s="58"/>
      <c r="AX49" s="58"/>
      <c r="AY49" s="58"/>
      <c r="AZ49" s="58"/>
      <c r="BA49" s="58"/>
      <c r="BB49" s="58"/>
    </row>
    <row r="50" spans="1:54" ht="19.5" customHeight="1" x14ac:dyDescent="0.25">
      <c r="A50" s="60" t="str">
        <f>IF($B50="","",TEXT($B50,"yyyymmdd")&amp;"-"&amp;SUBSTITUTE($F50," ","")&amp;"-"&amp;TEXT(COUNTIF($F$4:F50,$F50),"00"))</f>
        <v/>
      </c>
      <c r="B50" s="65"/>
      <c r="C50" s="60" t="str">
        <f>IF($B50="","",WEEKNUM($B50,2))</f>
        <v/>
      </c>
      <c r="D50" s="60" t="str">
        <f>IF($B50="","",TEXT($B50,"yyyy-mm"))</f>
        <v/>
      </c>
      <c r="E50" s="64"/>
      <c r="F50" s="64"/>
      <c r="G50" s="60" t="str">
        <f>IF(OR($E50="",$F50=""),"",IFERROR(IF($E50=INDEX([1]Cluster_Master!$A$4:$A$18,MATCH($F50,[1]Cluster_Master!$B$4:$B$18,0)),"OK","CHECK"),"CHECK"))</f>
        <v/>
      </c>
      <c r="H50" s="63" t="str">
        <f>IFERROR(INDEX([1]Cluster_Master!$C$4:$C$18,MATCH($F50,[1]Cluster_Master!$B$4:$B$18,0)),"")</f>
        <v/>
      </c>
      <c r="I50" s="60" t="str">
        <f>IFERROR(INDEX([1]Cluster_Master!$D$4:$D$18,MATCH($F50,[1]Cluster_Master!$B$4:$B$18,0)),"")</f>
        <v/>
      </c>
      <c r="J50" s="60" t="str">
        <f>IFERROR(INDEX([1]Cluster_Master!$E$4:$E$18,MATCH($F50,[1]Cluster_Master!$B$4:$B$18,0)),"")</f>
        <v/>
      </c>
      <c r="K50" s="60" t="str">
        <f>IFERROR(INDEX([1]Cluster_Master!$F$4:$F$18,MATCH($F50,[1]Cluster_Master!$B$4:$B$18,0)),"")</f>
        <v/>
      </c>
      <c r="L50" s="60" t="str">
        <f>IFERROR(INDEX([1]Cluster_Master!$G$4:$G$18,MATCH($F50,[1]Cluster_Master!$B$4:$B$18,0)),"")</f>
        <v/>
      </c>
      <c r="M50" s="60" t="str">
        <f>IFERROR(INDEX([1]Cluster_Master!$H$4:$H$18,MATCH($F50,[1]Cluster_Master!$B$4:$B$18,0)),"")</f>
        <v/>
      </c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60" t="str">
        <f>IF(COUNTA(T50:AH50)=0,"",SUM(T50:AH50))</f>
        <v/>
      </c>
      <c r="AJ50" s="61" t="str">
        <f>IF(COUNTA(T50:AH50)=0,"",AI50/75)</f>
        <v/>
      </c>
      <c r="AK50" s="61" t="str">
        <f>IF(COUNTA(T50:AH50)=0,"",(SUM(T50*[1]KPI_Weights!$B$4,U50*[1]KPI_Weights!$B$5,V50*[1]KPI_Weights!$B$6,W50*[1]KPI_Weights!$B$7,X50*[1]KPI_Weights!$B$8,Y50*[1]KPI_Weights!$B$9,Z50*[1]KPI_Weights!$B$10,AA50*[1]KPI_Weights!$B$11,AB50*[1]KPI_Weights!$B$12,AC50*[1]KPI_Weights!$B$13,AD50*[1]KPI_Weights!$B$14,AE50*[1]KPI_Weights!$B$15,AF50*[1]KPI_Weights!$B$16,AG50*[1]KPI_Weights!$B$17,AH50*[1]KPI_Weights!$B$18))/5)</f>
        <v/>
      </c>
      <c r="AL50" s="60" t="str">
        <f>IF(COUNTA(T50:AH50)=0,"",IF(OR(T50&lt;=1,W50&lt;=1,X50&lt;=1,Y50&lt;=1,AB50&lt;=1),"YES","NO"))</f>
        <v/>
      </c>
      <c r="AM50" s="60" t="str">
        <f>IF(AJ50="","",IF(AND(AL50="NO",AJ50&gt;=0.75),"YES","NO"))</f>
        <v/>
      </c>
      <c r="AN50" s="60" t="str">
        <f>IF(AJ50="","",IF(AJ50&lt;0.4,"Critical",IF(AJ50&lt;0.6,"Poor",IF(AJ50&lt;0.75,"Needs Improvement",IF(AJ50&lt;0.9,"Good","Excellent")))))</f>
        <v/>
      </c>
      <c r="AO50" s="59"/>
      <c r="AP50" s="59"/>
      <c r="AQ50" s="59"/>
      <c r="AR50" s="59"/>
      <c r="AS50" s="58"/>
      <c r="AT50" s="58"/>
      <c r="AU50" s="58"/>
      <c r="AV50" s="58"/>
      <c r="AW50" s="58"/>
      <c r="AX50" s="58"/>
      <c r="AY50" s="58"/>
      <c r="AZ50" s="58"/>
      <c r="BA50" s="58"/>
      <c r="BB50" s="58"/>
    </row>
    <row r="51" spans="1:54" ht="19.5" customHeight="1" x14ac:dyDescent="0.25">
      <c r="A51" s="60" t="str">
        <f>IF($B51="","",TEXT($B51,"yyyymmdd")&amp;"-"&amp;SUBSTITUTE($F51," ","")&amp;"-"&amp;TEXT(COUNTIF($F$4:F51,$F51),"00"))</f>
        <v/>
      </c>
      <c r="B51" s="65"/>
      <c r="C51" s="60" t="str">
        <f>IF($B51="","",WEEKNUM($B51,2))</f>
        <v/>
      </c>
      <c r="D51" s="60" t="str">
        <f>IF($B51="","",TEXT($B51,"yyyy-mm"))</f>
        <v/>
      </c>
      <c r="E51" s="64"/>
      <c r="F51" s="64"/>
      <c r="G51" s="60" t="str">
        <f>IF(OR($E51="",$F51=""),"",IFERROR(IF($E51=INDEX([1]Cluster_Master!$A$4:$A$18,MATCH($F51,[1]Cluster_Master!$B$4:$B$18,0)),"OK","CHECK"),"CHECK"))</f>
        <v/>
      </c>
      <c r="H51" s="63" t="str">
        <f>IFERROR(INDEX([1]Cluster_Master!$C$4:$C$18,MATCH($F51,[1]Cluster_Master!$B$4:$B$18,0)),"")</f>
        <v/>
      </c>
      <c r="I51" s="60" t="str">
        <f>IFERROR(INDEX([1]Cluster_Master!$D$4:$D$18,MATCH($F51,[1]Cluster_Master!$B$4:$B$18,0)),"")</f>
        <v/>
      </c>
      <c r="J51" s="60" t="str">
        <f>IFERROR(INDEX([1]Cluster_Master!$E$4:$E$18,MATCH($F51,[1]Cluster_Master!$B$4:$B$18,0)),"")</f>
        <v/>
      </c>
      <c r="K51" s="60" t="str">
        <f>IFERROR(INDEX([1]Cluster_Master!$F$4:$F$18,MATCH($F51,[1]Cluster_Master!$B$4:$B$18,0)),"")</f>
        <v/>
      </c>
      <c r="L51" s="60" t="str">
        <f>IFERROR(INDEX([1]Cluster_Master!$G$4:$G$18,MATCH($F51,[1]Cluster_Master!$B$4:$B$18,0)),"")</f>
        <v/>
      </c>
      <c r="M51" s="60" t="str">
        <f>IFERROR(INDEX([1]Cluster_Master!$H$4:$H$18,MATCH($F51,[1]Cluster_Master!$B$4:$B$18,0)),"")</f>
        <v/>
      </c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60" t="str">
        <f>IF(COUNTA(T51:AH51)=0,"",SUM(T51:AH51))</f>
        <v/>
      </c>
      <c r="AJ51" s="61" t="str">
        <f>IF(COUNTA(T51:AH51)=0,"",AI51/75)</f>
        <v/>
      </c>
      <c r="AK51" s="61" t="str">
        <f>IF(COUNTA(T51:AH51)=0,"",(SUM(T51*[1]KPI_Weights!$B$4,U51*[1]KPI_Weights!$B$5,V51*[1]KPI_Weights!$B$6,W51*[1]KPI_Weights!$B$7,X51*[1]KPI_Weights!$B$8,Y51*[1]KPI_Weights!$B$9,Z51*[1]KPI_Weights!$B$10,AA51*[1]KPI_Weights!$B$11,AB51*[1]KPI_Weights!$B$12,AC51*[1]KPI_Weights!$B$13,AD51*[1]KPI_Weights!$B$14,AE51*[1]KPI_Weights!$B$15,AF51*[1]KPI_Weights!$B$16,AG51*[1]KPI_Weights!$B$17,AH51*[1]KPI_Weights!$B$18))/5)</f>
        <v/>
      </c>
      <c r="AL51" s="60" t="str">
        <f>IF(COUNTA(T51:AH51)=0,"",IF(OR(T51&lt;=1,W51&lt;=1,X51&lt;=1,Y51&lt;=1,AB51&lt;=1),"YES","NO"))</f>
        <v/>
      </c>
      <c r="AM51" s="60" t="str">
        <f>IF(AJ51="","",IF(AND(AL51="NO",AJ51&gt;=0.75),"YES","NO"))</f>
        <v/>
      </c>
      <c r="AN51" s="60" t="str">
        <f>IF(AJ51="","",IF(AJ51&lt;0.4,"Critical",IF(AJ51&lt;0.6,"Poor",IF(AJ51&lt;0.75,"Needs Improvement",IF(AJ51&lt;0.9,"Good","Excellent")))))</f>
        <v/>
      </c>
      <c r="AO51" s="59"/>
      <c r="AP51" s="59"/>
      <c r="AQ51" s="59"/>
      <c r="AR51" s="59"/>
      <c r="AS51" s="58"/>
      <c r="AT51" s="58"/>
      <c r="AU51" s="58"/>
      <c r="AV51" s="58"/>
      <c r="AW51" s="58"/>
      <c r="AX51" s="58"/>
      <c r="AY51" s="58"/>
      <c r="AZ51" s="58"/>
      <c r="BA51" s="58"/>
      <c r="BB51" s="58"/>
    </row>
    <row r="52" spans="1:54" ht="19.5" customHeight="1" x14ac:dyDescent="0.25">
      <c r="A52" s="60" t="str">
        <f>IF($B52="","",TEXT($B52,"yyyymmdd")&amp;"-"&amp;SUBSTITUTE($F52," ","")&amp;"-"&amp;TEXT(COUNTIF($F$4:F52,$F52),"00"))</f>
        <v/>
      </c>
      <c r="B52" s="65"/>
      <c r="C52" s="60" t="str">
        <f>IF($B52="","",WEEKNUM($B52,2))</f>
        <v/>
      </c>
      <c r="D52" s="60" t="str">
        <f>IF($B52="","",TEXT($B52,"yyyy-mm"))</f>
        <v/>
      </c>
      <c r="E52" s="64"/>
      <c r="F52" s="64"/>
      <c r="G52" s="60" t="str">
        <f>IF(OR($E52="",$F52=""),"",IFERROR(IF($E52=INDEX([1]Cluster_Master!$A$4:$A$18,MATCH($F52,[1]Cluster_Master!$B$4:$B$18,0)),"OK","CHECK"),"CHECK"))</f>
        <v/>
      </c>
      <c r="H52" s="63" t="str">
        <f>IFERROR(INDEX([1]Cluster_Master!$C$4:$C$18,MATCH($F52,[1]Cluster_Master!$B$4:$B$18,0)),"")</f>
        <v/>
      </c>
      <c r="I52" s="60" t="str">
        <f>IFERROR(INDEX([1]Cluster_Master!$D$4:$D$18,MATCH($F52,[1]Cluster_Master!$B$4:$B$18,0)),"")</f>
        <v/>
      </c>
      <c r="J52" s="60" t="str">
        <f>IFERROR(INDEX([1]Cluster_Master!$E$4:$E$18,MATCH($F52,[1]Cluster_Master!$B$4:$B$18,0)),"")</f>
        <v/>
      </c>
      <c r="K52" s="60" t="str">
        <f>IFERROR(INDEX([1]Cluster_Master!$F$4:$F$18,MATCH($F52,[1]Cluster_Master!$B$4:$B$18,0)),"")</f>
        <v/>
      </c>
      <c r="L52" s="60" t="str">
        <f>IFERROR(INDEX([1]Cluster_Master!$G$4:$G$18,MATCH($F52,[1]Cluster_Master!$B$4:$B$18,0)),"")</f>
        <v/>
      </c>
      <c r="M52" s="60" t="str">
        <f>IFERROR(INDEX([1]Cluster_Master!$H$4:$H$18,MATCH($F52,[1]Cluster_Master!$B$4:$B$18,0)),"")</f>
        <v/>
      </c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60" t="str">
        <f>IF(COUNTA(T52:AH52)=0,"",SUM(T52:AH52))</f>
        <v/>
      </c>
      <c r="AJ52" s="61" t="str">
        <f>IF(COUNTA(T52:AH52)=0,"",AI52/75)</f>
        <v/>
      </c>
      <c r="AK52" s="61" t="str">
        <f>IF(COUNTA(T52:AH52)=0,"",(SUM(T52*[1]KPI_Weights!$B$4,U52*[1]KPI_Weights!$B$5,V52*[1]KPI_Weights!$B$6,W52*[1]KPI_Weights!$B$7,X52*[1]KPI_Weights!$B$8,Y52*[1]KPI_Weights!$B$9,Z52*[1]KPI_Weights!$B$10,AA52*[1]KPI_Weights!$B$11,AB52*[1]KPI_Weights!$B$12,AC52*[1]KPI_Weights!$B$13,AD52*[1]KPI_Weights!$B$14,AE52*[1]KPI_Weights!$B$15,AF52*[1]KPI_Weights!$B$16,AG52*[1]KPI_Weights!$B$17,AH52*[1]KPI_Weights!$B$18))/5)</f>
        <v/>
      </c>
      <c r="AL52" s="60" t="str">
        <f>IF(COUNTA(T52:AH52)=0,"",IF(OR(T52&lt;=1,W52&lt;=1,X52&lt;=1,Y52&lt;=1,AB52&lt;=1),"YES","NO"))</f>
        <v/>
      </c>
      <c r="AM52" s="60" t="str">
        <f>IF(AJ52="","",IF(AND(AL52="NO",AJ52&gt;=0.75),"YES","NO"))</f>
        <v/>
      </c>
      <c r="AN52" s="60" t="str">
        <f>IF(AJ52="","",IF(AJ52&lt;0.4,"Critical",IF(AJ52&lt;0.6,"Poor",IF(AJ52&lt;0.75,"Needs Improvement",IF(AJ52&lt;0.9,"Good","Excellent")))))</f>
        <v/>
      </c>
      <c r="AO52" s="59"/>
      <c r="AP52" s="59"/>
      <c r="AQ52" s="59"/>
      <c r="AR52" s="59"/>
      <c r="AS52" s="58"/>
      <c r="AT52" s="58"/>
      <c r="AU52" s="58"/>
      <c r="AV52" s="58"/>
      <c r="AW52" s="58"/>
      <c r="AX52" s="58"/>
      <c r="AY52" s="58"/>
      <c r="AZ52" s="58"/>
      <c r="BA52" s="58"/>
      <c r="BB52" s="58"/>
    </row>
    <row r="53" spans="1:54" ht="19.5" customHeight="1" x14ac:dyDescent="0.25">
      <c r="A53" s="60" t="str">
        <f>IF($B53="","",TEXT($B53,"yyyymmdd")&amp;"-"&amp;SUBSTITUTE($F53," ","")&amp;"-"&amp;TEXT(COUNTIF($F$4:F53,$F53),"00"))</f>
        <v/>
      </c>
      <c r="B53" s="65"/>
      <c r="C53" s="60" t="str">
        <f>IF($B53="","",WEEKNUM($B53,2))</f>
        <v/>
      </c>
      <c r="D53" s="60" t="str">
        <f>IF($B53="","",TEXT($B53,"yyyy-mm"))</f>
        <v/>
      </c>
      <c r="E53" s="64"/>
      <c r="F53" s="64"/>
      <c r="G53" s="60" t="str">
        <f>IF(OR($E53="",$F53=""),"",IFERROR(IF($E53=INDEX([1]Cluster_Master!$A$4:$A$18,MATCH($F53,[1]Cluster_Master!$B$4:$B$18,0)),"OK","CHECK"),"CHECK"))</f>
        <v/>
      </c>
      <c r="H53" s="63" t="str">
        <f>IFERROR(INDEX([1]Cluster_Master!$C$4:$C$18,MATCH($F53,[1]Cluster_Master!$B$4:$B$18,0)),"")</f>
        <v/>
      </c>
      <c r="I53" s="60" t="str">
        <f>IFERROR(INDEX([1]Cluster_Master!$D$4:$D$18,MATCH($F53,[1]Cluster_Master!$B$4:$B$18,0)),"")</f>
        <v/>
      </c>
      <c r="J53" s="60" t="str">
        <f>IFERROR(INDEX([1]Cluster_Master!$E$4:$E$18,MATCH($F53,[1]Cluster_Master!$B$4:$B$18,0)),"")</f>
        <v/>
      </c>
      <c r="K53" s="60" t="str">
        <f>IFERROR(INDEX([1]Cluster_Master!$F$4:$F$18,MATCH($F53,[1]Cluster_Master!$B$4:$B$18,0)),"")</f>
        <v/>
      </c>
      <c r="L53" s="60" t="str">
        <f>IFERROR(INDEX([1]Cluster_Master!$G$4:$G$18,MATCH($F53,[1]Cluster_Master!$B$4:$B$18,0)),"")</f>
        <v/>
      </c>
      <c r="M53" s="60" t="str">
        <f>IFERROR(INDEX([1]Cluster_Master!$H$4:$H$18,MATCH($F53,[1]Cluster_Master!$B$4:$B$18,0)),"")</f>
        <v/>
      </c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60" t="str">
        <f>IF(COUNTA(T53:AH53)=0,"",SUM(T53:AH53))</f>
        <v/>
      </c>
      <c r="AJ53" s="61" t="str">
        <f>IF(COUNTA(T53:AH53)=0,"",AI53/75)</f>
        <v/>
      </c>
      <c r="AK53" s="61" t="str">
        <f>IF(COUNTA(T53:AH53)=0,"",(SUM(T53*[1]KPI_Weights!$B$4,U53*[1]KPI_Weights!$B$5,V53*[1]KPI_Weights!$B$6,W53*[1]KPI_Weights!$B$7,X53*[1]KPI_Weights!$B$8,Y53*[1]KPI_Weights!$B$9,Z53*[1]KPI_Weights!$B$10,AA53*[1]KPI_Weights!$B$11,AB53*[1]KPI_Weights!$B$12,AC53*[1]KPI_Weights!$B$13,AD53*[1]KPI_Weights!$B$14,AE53*[1]KPI_Weights!$B$15,AF53*[1]KPI_Weights!$B$16,AG53*[1]KPI_Weights!$B$17,AH53*[1]KPI_Weights!$B$18))/5)</f>
        <v/>
      </c>
      <c r="AL53" s="60" t="str">
        <f>IF(COUNTA(T53:AH53)=0,"",IF(OR(T53&lt;=1,W53&lt;=1,X53&lt;=1,Y53&lt;=1,AB53&lt;=1),"YES","NO"))</f>
        <v/>
      </c>
      <c r="AM53" s="60" t="str">
        <f>IF(AJ53="","",IF(AND(AL53="NO",AJ53&gt;=0.75),"YES","NO"))</f>
        <v/>
      </c>
      <c r="AN53" s="60" t="str">
        <f>IF(AJ53="","",IF(AJ53&lt;0.4,"Critical",IF(AJ53&lt;0.6,"Poor",IF(AJ53&lt;0.75,"Needs Improvement",IF(AJ53&lt;0.9,"Good","Excellent")))))</f>
        <v/>
      </c>
      <c r="AO53" s="59"/>
      <c r="AP53" s="59"/>
      <c r="AQ53" s="59"/>
      <c r="AR53" s="59"/>
      <c r="AS53" s="58"/>
      <c r="AT53" s="58"/>
      <c r="AU53" s="58"/>
      <c r="AV53" s="58"/>
      <c r="AW53" s="58"/>
      <c r="AX53" s="58"/>
      <c r="AY53" s="58"/>
      <c r="AZ53" s="58"/>
      <c r="BA53" s="58"/>
      <c r="BB53" s="58"/>
    </row>
    <row r="54" spans="1:54" ht="19.5" customHeight="1" x14ac:dyDescent="0.25">
      <c r="A54" s="60" t="str">
        <f>IF($B54="","",TEXT($B54,"yyyymmdd")&amp;"-"&amp;SUBSTITUTE($F54," ","")&amp;"-"&amp;TEXT(COUNTIF($F$4:F54,$F54),"00"))</f>
        <v/>
      </c>
      <c r="B54" s="65"/>
      <c r="C54" s="60" t="str">
        <f>IF($B54="","",WEEKNUM($B54,2))</f>
        <v/>
      </c>
      <c r="D54" s="60" t="str">
        <f>IF($B54="","",TEXT($B54,"yyyy-mm"))</f>
        <v/>
      </c>
      <c r="E54" s="64"/>
      <c r="F54" s="64"/>
      <c r="G54" s="60" t="str">
        <f>IF(OR($E54="",$F54=""),"",IFERROR(IF($E54=INDEX([1]Cluster_Master!$A$4:$A$18,MATCH($F54,[1]Cluster_Master!$B$4:$B$18,0)),"OK","CHECK"),"CHECK"))</f>
        <v/>
      </c>
      <c r="H54" s="63" t="str">
        <f>IFERROR(INDEX([1]Cluster_Master!$C$4:$C$18,MATCH($F54,[1]Cluster_Master!$B$4:$B$18,0)),"")</f>
        <v/>
      </c>
      <c r="I54" s="60" t="str">
        <f>IFERROR(INDEX([1]Cluster_Master!$D$4:$D$18,MATCH($F54,[1]Cluster_Master!$B$4:$B$18,0)),"")</f>
        <v/>
      </c>
      <c r="J54" s="60" t="str">
        <f>IFERROR(INDEX([1]Cluster_Master!$E$4:$E$18,MATCH($F54,[1]Cluster_Master!$B$4:$B$18,0)),"")</f>
        <v/>
      </c>
      <c r="K54" s="60" t="str">
        <f>IFERROR(INDEX([1]Cluster_Master!$F$4:$F$18,MATCH($F54,[1]Cluster_Master!$B$4:$B$18,0)),"")</f>
        <v/>
      </c>
      <c r="L54" s="60" t="str">
        <f>IFERROR(INDEX([1]Cluster_Master!$G$4:$G$18,MATCH($F54,[1]Cluster_Master!$B$4:$B$18,0)),"")</f>
        <v/>
      </c>
      <c r="M54" s="60" t="str">
        <f>IFERROR(INDEX([1]Cluster_Master!$H$4:$H$18,MATCH($F54,[1]Cluster_Master!$B$4:$B$18,0)),"")</f>
        <v/>
      </c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60" t="str">
        <f>IF(COUNTA(T54:AH54)=0,"",SUM(T54:AH54))</f>
        <v/>
      </c>
      <c r="AJ54" s="61" t="str">
        <f>IF(COUNTA(T54:AH54)=0,"",AI54/75)</f>
        <v/>
      </c>
      <c r="AK54" s="61" t="str">
        <f>IF(COUNTA(T54:AH54)=0,"",(SUM(T54*[1]KPI_Weights!$B$4,U54*[1]KPI_Weights!$B$5,V54*[1]KPI_Weights!$B$6,W54*[1]KPI_Weights!$B$7,X54*[1]KPI_Weights!$B$8,Y54*[1]KPI_Weights!$B$9,Z54*[1]KPI_Weights!$B$10,AA54*[1]KPI_Weights!$B$11,AB54*[1]KPI_Weights!$B$12,AC54*[1]KPI_Weights!$B$13,AD54*[1]KPI_Weights!$B$14,AE54*[1]KPI_Weights!$B$15,AF54*[1]KPI_Weights!$B$16,AG54*[1]KPI_Weights!$B$17,AH54*[1]KPI_Weights!$B$18))/5)</f>
        <v/>
      </c>
      <c r="AL54" s="60" t="str">
        <f>IF(COUNTA(T54:AH54)=0,"",IF(OR(T54&lt;=1,W54&lt;=1,X54&lt;=1,Y54&lt;=1,AB54&lt;=1),"YES","NO"))</f>
        <v/>
      </c>
      <c r="AM54" s="60" t="str">
        <f>IF(AJ54="","",IF(AND(AL54="NO",AJ54&gt;=0.75),"YES","NO"))</f>
        <v/>
      </c>
      <c r="AN54" s="60" t="str">
        <f>IF(AJ54="","",IF(AJ54&lt;0.4,"Critical",IF(AJ54&lt;0.6,"Poor",IF(AJ54&lt;0.75,"Needs Improvement",IF(AJ54&lt;0.9,"Good","Excellent")))))</f>
        <v/>
      </c>
      <c r="AO54" s="59"/>
      <c r="AP54" s="59"/>
      <c r="AQ54" s="59"/>
      <c r="AR54" s="59"/>
      <c r="AS54" s="58"/>
      <c r="AT54" s="58"/>
      <c r="AU54" s="58"/>
      <c r="AV54" s="58"/>
      <c r="AW54" s="58"/>
      <c r="AX54" s="58"/>
      <c r="AY54" s="58"/>
      <c r="AZ54" s="58"/>
      <c r="BA54" s="58"/>
      <c r="BB54" s="58"/>
    </row>
    <row r="55" spans="1:54" ht="19.5" customHeight="1" x14ac:dyDescent="0.25">
      <c r="A55" s="60" t="str">
        <f>IF($B55="","",TEXT($B55,"yyyymmdd")&amp;"-"&amp;SUBSTITUTE($F55," ","")&amp;"-"&amp;TEXT(COUNTIF($F$4:F55,$F55),"00"))</f>
        <v/>
      </c>
      <c r="B55" s="65"/>
      <c r="C55" s="60" t="str">
        <f>IF($B55="","",WEEKNUM($B55,2))</f>
        <v/>
      </c>
      <c r="D55" s="60" t="str">
        <f>IF($B55="","",TEXT($B55,"yyyy-mm"))</f>
        <v/>
      </c>
      <c r="E55" s="64"/>
      <c r="F55" s="64"/>
      <c r="G55" s="60" t="str">
        <f>IF(OR($E55="",$F55=""),"",IFERROR(IF($E55=INDEX([1]Cluster_Master!$A$4:$A$18,MATCH($F55,[1]Cluster_Master!$B$4:$B$18,0)),"OK","CHECK"),"CHECK"))</f>
        <v/>
      </c>
      <c r="H55" s="63" t="str">
        <f>IFERROR(INDEX([1]Cluster_Master!$C$4:$C$18,MATCH($F55,[1]Cluster_Master!$B$4:$B$18,0)),"")</f>
        <v/>
      </c>
      <c r="I55" s="60" t="str">
        <f>IFERROR(INDEX([1]Cluster_Master!$D$4:$D$18,MATCH($F55,[1]Cluster_Master!$B$4:$B$18,0)),"")</f>
        <v/>
      </c>
      <c r="J55" s="60" t="str">
        <f>IFERROR(INDEX([1]Cluster_Master!$E$4:$E$18,MATCH($F55,[1]Cluster_Master!$B$4:$B$18,0)),"")</f>
        <v/>
      </c>
      <c r="K55" s="60" t="str">
        <f>IFERROR(INDEX([1]Cluster_Master!$F$4:$F$18,MATCH($F55,[1]Cluster_Master!$B$4:$B$18,0)),"")</f>
        <v/>
      </c>
      <c r="L55" s="60" t="str">
        <f>IFERROR(INDEX([1]Cluster_Master!$G$4:$G$18,MATCH($F55,[1]Cluster_Master!$B$4:$B$18,0)),"")</f>
        <v/>
      </c>
      <c r="M55" s="60" t="str">
        <f>IFERROR(INDEX([1]Cluster_Master!$H$4:$H$18,MATCH($F55,[1]Cluster_Master!$B$4:$B$18,0)),"")</f>
        <v/>
      </c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60" t="str">
        <f>IF(COUNTA(T55:AH55)=0,"",SUM(T55:AH55))</f>
        <v/>
      </c>
      <c r="AJ55" s="61" t="str">
        <f>IF(COUNTA(T55:AH55)=0,"",AI55/75)</f>
        <v/>
      </c>
      <c r="AK55" s="61" t="str">
        <f>IF(COUNTA(T55:AH55)=0,"",(SUM(T55*[1]KPI_Weights!$B$4,U55*[1]KPI_Weights!$B$5,V55*[1]KPI_Weights!$B$6,W55*[1]KPI_Weights!$B$7,X55*[1]KPI_Weights!$B$8,Y55*[1]KPI_Weights!$B$9,Z55*[1]KPI_Weights!$B$10,AA55*[1]KPI_Weights!$B$11,AB55*[1]KPI_Weights!$B$12,AC55*[1]KPI_Weights!$B$13,AD55*[1]KPI_Weights!$B$14,AE55*[1]KPI_Weights!$B$15,AF55*[1]KPI_Weights!$B$16,AG55*[1]KPI_Weights!$B$17,AH55*[1]KPI_Weights!$B$18))/5)</f>
        <v/>
      </c>
      <c r="AL55" s="60" t="str">
        <f>IF(COUNTA(T55:AH55)=0,"",IF(OR(T55&lt;=1,W55&lt;=1,X55&lt;=1,Y55&lt;=1,AB55&lt;=1),"YES","NO"))</f>
        <v/>
      </c>
      <c r="AM55" s="60" t="str">
        <f>IF(AJ55="","",IF(AND(AL55="NO",AJ55&gt;=0.75),"YES","NO"))</f>
        <v/>
      </c>
      <c r="AN55" s="60" t="str">
        <f>IF(AJ55="","",IF(AJ55&lt;0.4,"Critical",IF(AJ55&lt;0.6,"Poor",IF(AJ55&lt;0.75,"Needs Improvement",IF(AJ55&lt;0.9,"Good","Excellent")))))</f>
        <v/>
      </c>
      <c r="AO55" s="59"/>
      <c r="AP55" s="59"/>
      <c r="AQ55" s="59"/>
      <c r="AR55" s="59"/>
      <c r="AS55" s="58"/>
      <c r="AT55" s="58"/>
      <c r="AU55" s="58"/>
      <c r="AV55" s="58"/>
      <c r="AW55" s="58"/>
      <c r="AX55" s="58"/>
      <c r="AY55" s="58"/>
      <c r="AZ55" s="58"/>
      <c r="BA55" s="58"/>
      <c r="BB55" s="58"/>
    </row>
    <row r="56" spans="1:54" ht="19.5" customHeight="1" x14ac:dyDescent="0.25">
      <c r="A56" s="60" t="str">
        <f>IF($B56="","",TEXT($B56,"yyyymmdd")&amp;"-"&amp;SUBSTITUTE($F56," ","")&amp;"-"&amp;TEXT(COUNTIF($F$4:F56,$F56),"00"))</f>
        <v/>
      </c>
      <c r="B56" s="65"/>
      <c r="C56" s="60" t="str">
        <f>IF($B56="","",WEEKNUM($B56,2))</f>
        <v/>
      </c>
      <c r="D56" s="60" t="str">
        <f>IF($B56="","",TEXT($B56,"yyyy-mm"))</f>
        <v/>
      </c>
      <c r="E56" s="64"/>
      <c r="F56" s="64"/>
      <c r="G56" s="60" t="str">
        <f>IF(OR($E56="",$F56=""),"",IFERROR(IF($E56=INDEX([1]Cluster_Master!$A$4:$A$18,MATCH($F56,[1]Cluster_Master!$B$4:$B$18,0)),"OK","CHECK"),"CHECK"))</f>
        <v/>
      </c>
      <c r="H56" s="63" t="str">
        <f>IFERROR(INDEX([1]Cluster_Master!$C$4:$C$18,MATCH($F56,[1]Cluster_Master!$B$4:$B$18,0)),"")</f>
        <v/>
      </c>
      <c r="I56" s="60" t="str">
        <f>IFERROR(INDEX([1]Cluster_Master!$D$4:$D$18,MATCH($F56,[1]Cluster_Master!$B$4:$B$18,0)),"")</f>
        <v/>
      </c>
      <c r="J56" s="60" t="str">
        <f>IFERROR(INDEX([1]Cluster_Master!$E$4:$E$18,MATCH($F56,[1]Cluster_Master!$B$4:$B$18,0)),"")</f>
        <v/>
      </c>
      <c r="K56" s="60" t="str">
        <f>IFERROR(INDEX([1]Cluster_Master!$F$4:$F$18,MATCH($F56,[1]Cluster_Master!$B$4:$B$18,0)),"")</f>
        <v/>
      </c>
      <c r="L56" s="60" t="str">
        <f>IFERROR(INDEX([1]Cluster_Master!$G$4:$G$18,MATCH($F56,[1]Cluster_Master!$B$4:$B$18,0)),"")</f>
        <v/>
      </c>
      <c r="M56" s="60" t="str">
        <f>IFERROR(INDEX([1]Cluster_Master!$H$4:$H$18,MATCH($F56,[1]Cluster_Master!$B$4:$B$18,0)),"")</f>
        <v/>
      </c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60" t="str">
        <f>IF(COUNTA(T56:AH56)=0,"",SUM(T56:AH56))</f>
        <v/>
      </c>
      <c r="AJ56" s="61" t="str">
        <f>IF(COUNTA(T56:AH56)=0,"",AI56/75)</f>
        <v/>
      </c>
      <c r="AK56" s="61" t="str">
        <f>IF(COUNTA(T56:AH56)=0,"",(SUM(T56*[1]KPI_Weights!$B$4,U56*[1]KPI_Weights!$B$5,V56*[1]KPI_Weights!$B$6,W56*[1]KPI_Weights!$B$7,X56*[1]KPI_Weights!$B$8,Y56*[1]KPI_Weights!$B$9,Z56*[1]KPI_Weights!$B$10,AA56*[1]KPI_Weights!$B$11,AB56*[1]KPI_Weights!$B$12,AC56*[1]KPI_Weights!$B$13,AD56*[1]KPI_Weights!$B$14,AE56*[1]KPI_Weights!$B$15,AF56*[1]KPI_Weights!$B$16,AG56*[1]KPI_Weights!$B$17,AH56*[1]KPI_Weights!$B$18))/5)</f>
        <v/>
      </c>
      <c r="AL56" s="60" t="str">
        <f>IF(COUNTA(T56:AH56)=0,"",IF(OR(T56&lt;=1,W56&lt;=1,X56&lt;=1,Y56&lt;=1,AB56&lt;=1),"YES","NO"))</f>
        <v/>
      </c>
      <c r="AM56" s="60" t="str">
        <f>IF(AJ56="","",IF(AND(AL56="NO",AJ56&gt;=0.75),"YES","NO"))</f>
        <v/>
      </c>
      <c r="AN56" s="60" t="str">
        <f>IF(AJ56="","",IF(AJ56&lt;0.4,"Critical",IF(AJ56&lt;0.6,"Poor",IF(AJ56&lt;0.75,"Needs Improvement",IF(AJ56&lt;0.9,"Good","Excellent")))))</f>
        <v/>
      </c>
      <c r="AO56" s="59"/>
      <c r="AP56" s="59"/>
      <c r="AQ56" s="59"/>
      <c r="AR56" s="59"/>
      <c r="AS56" s="58"/>
      <c r="AT56" s="58"/>
      <c r="AU56" s="58"/>
      <c r="AV56" s="58"/>
      <c r="AW56" s="58"/>
      <c r="AX56" s="58"/>
      <c r="AY56" s="58"/>
      <c r="AZ56" s="58"/>
      <c r="BA56" s="58"/>
      <c r="BB56" s="58"/>
    </row>
    <row r="57" spans="1:54" ht="19.5" customHeight="1" x14ac:dyDescent="0.25">
      <c r="A57" s="60" t="str">
        <f>IF($B57="","",TEXT($B57,"yyyymmdd")&amp;"-"&amp;SUBSTITUTE($F57," ","")&amp;"-"&amp;TEXT(COUNTIF($F$4:F57,$F57),"00"))</f>
        <v/>
      </c>
      <c r="B57" s="65"/>
      <c r="C57" s="60" t="str">
        <f>IF($B57="","",WEEKNUM($B57,2))</f>
        <v/>
      </c>
      <c r="D57" s="60" t="str">
        <f>IF($B57="","",TEXT($B57,"yyyy-mm"))</f>
        <v/>
      </c>
      <c r="E57" s="64"/>
      <c r="F57" s="64"/>
      <c r="G57" s="60" t="str">
        <f>IF(OR($E57="",$F57=""),"",IFERROR(IF($E57=INDEX([1]Cluster_Master!$A$4:$A$18,MATCH($F57,[1]Cluster_Master!$B$4:$B$18,0)),"OK","CHECK"),"CHECK"))</f>
        <v/>
      </c>
      <c r="H57" s="63" t="str">
        <f>IFERROR(INDEX([1]Cluster_Master!$C$4:$C$18,MATCH($F57,[1]Cluster_Master!$B$4:$B$18,0)),"")</f>
        <v/>
      </c>
      <c r="I57" s="60" t="str">
        <f>IFERROR(INDEX([1]Cluster_Master!$D$4:$D$18,MATCH($F57,[1]Cluster_Master!$B$4:$B$18,0)),"")</f>
        <v/>
      </c>
      <c r="J57" s="60" t="str">
        <f>IFERROR(INDEX([1]Cluster_Master!$E$4:$E$18,MATCH($F57,[1]Cluster_Master!$B$4:$B$18,0)),"")</f>
        <v/>
      </c>
      <c r="K57" s="60" t="str">
        <f>IFERROR(INDEX([1]Cluster_Master!$F$4:$F$18,MATCH($F57,[1]Cluster_Master!$B$4:$B$18,0)),"")</f>
        <v/>
      </c>
      <c r="L57" s="60" t="str">
        <f>IFERROR(INDEX([1]Cluster_Master!$G$4:$G$18,MATCH($F57,[1]Cluster_Master!$B$4:$B$18,0)),"")</f>
        <v/>
      </c>
      <c r="M57" s="60" t="str">
        <f>IFERROR(INDEX([1]Cluster_Master!$H$4:$H$18,MATCH($F57,[1]Cluster_Master!$B$4:$B$18,0)),"")</f>
        <v/>
      </c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60" t="str">
        <f>IF(COUNTA(T57:AH57)=0,"",SUM(T57:AH57))</f>
        <v/>
      </c>
      <c r="AJ57" s="61" t="str">
        <f>IF(COUNTA(T57:AH57)=0,"",AI57/75)</f>
        <v/>
      </c>
      <c r="AK57" s="61" t="str">
        <f>IF(COUNTA(T57:AH57)=0,"",(SUM(T57*[1]KPI_Weights!$B$4,U57*[1]KPI_Weights!$B$5,V57*[1]KPI_Weights!$B$6,W57*[1]KPI_Weights!$B$7,X57*[1]KPI_Weights!$B$8,Y57*[1]KPI_Weights!$B$9,Z57*[1]KPI_Weights!$B$10,AA57*[1]KPI_Weights!$B$11,AB57*[1]KPI_Weights!$B$12,AC57*[1]KPI_Weights!$B$13,AD57*[1]KPI_Weights!$B$14,AE57*[1]KPI_Weights!$B$15,AF57*[1]KPI_Weights!$B$16,AG57*[1]KPI_Weights!$B$17,AH57*[1]KPI_Weights!$B$18))/5)</f>
        <v/>
      </c>
      <c r="AL57" s="60" t="str">
        <f>IF(COUNTA(T57:AH57)=0,"",IF(OR(T57&lt;=1,W57&lt;=1,X57&lt;=1,Y57&lt;=1,AB57&lt;=1),"YES","NO"))</f>
        <v/>
      </c>
      <c r="AM57" s="60" t="str">
        <f>IF(AJ57="","",IF(AND(AL57="NO",AJ57&gt;=0.75),"YES","NO"))</f>
        <v/>
      </c>
      <c r="AN57" s="60" t="str">
        <f>IF(AJ57="","",IF(AJ57&lt;0.4,"Critical",IF(AJ57&lt;0.6,"Poor",IF(AJ57&lt;0.75,"Needs Improvement",IF(AJ57&lt;0.9,"Good","Excellent")))))</f>
        <v/>
      </c>
      <c r="AO57" s="59"/>
      <c r="AP57" s="59"/>
      <c r="AQ57" s="59"/>
      <c r="AR57" s="59"/>
      <c r="AS57" s="58"/>
      <c r="AT57" s="58"/>
      <c r="AU57" s="58"/>
      <c r="AV57" s="58"/>
      <c r="AW57" s="58"/>
      <c r="AX57" s="58"/>
      <c r="AY57" s="58"/>
      <c r="AZ57" s="58"/>
      <c r="BA57" s="58"/>
      <c r="BB57" s="58"/>
    </row>
    <row r="58" spans="1:54" ht="19.5" customHeight="1" x14ac:dyDescent="0.25">
      <c r="A58" s="60" t="str">
        <f>IF($B58="","",TEXT($B58,"yyyymmdd")&amp;"-"&amp;SUBSTITUTE($F58," ","")&amp;"-"&amp;TEXT(COUNTIF($F$4:F58,$F58),"00"))</f>
        <v/>
      </c>
      <c r="B58" s="65"/>
      <c r="C58" s="60" t="str">
        <f>IF($B58="","",WEEKNUM($B58,2))</f>
        <v/>
      </c>
      <c r="D58" s="60" t="str">
        <f>IF($B58="","",TEXT($B58,"yyyy-mm"))</f>
        <v/>
      </c>
      <c r="E58" s="64"/>
      <c r="F58" s="64"/>
      <c r="G58" s="60" t="str">
        <f>IF(OR($E58="",$F58=""),"",IFERROR(IF($E58=INDEX([1]Cluster_Master!$A$4:$A$18,MATCH($F58,[1]Cluster_Master!$B$4:$B$18,0)),"OK","CHECK"),"CHECK"))</f>
        <v/>
      </c>
      <c r="H58" s="63" t="str">
        <f>IFERROR(INDEX([1]Cluster_Master!$C$4:$C$18,MATCH($F58,[1]Cluster_Master!$B$4:$B$18,0)),"")</f>
        <v/>
      </c>
      <c r="I58" s="60" t="str">
        <f>IFERROR(INDEX([1]Cluster_Master!$D$4:$D$18,MATCH($F58,[1]Cluster_Master!$B$4:$B$18,0)),"")</f>
        <v/>
      </c>
      <c r="J58" s="60" t="str">
        <f>IFERROR(INDEX([1]Cluster_Master!$E$4:$E$18,MATCH($F58,[1]Cluster_Master!$B$4:$B$18,0)),"")</f>
        <v/>
      </c>
      <c r="K58" s="60" t="str">
        <f>IFERROR(INDEX([1]Cluster_Master!$F$4:$F$18,MATCH($F58,[1]Cluster_Master!$B$4:$B$18,0)),"")</f>
        <v/>
      </c>
      <c r="L58" s="60" t="str">
        <f>IFERROR(INDEX([1]Cluster_Master!$G$4:$G$18,MATCH($F58,[1]Cluster_Master!$B$4:$B$18,0)),"")</f>
        <v/>
      </c>
      <c r="M58" s="60" t="str">
        <f>IFERROR(INDEX([1]Cluster_Master!$H$4:$H$18,MATCH($F58,[1]Cluster_Master!$B$4:$B$18,0)),"")</f>
        <v/>
      </c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60" t="str">
        <f>IF(COUNTA(T58:AH58)=0,"",SUM(T58:AH58))</f>
        <v/>
      </c>
      <c r="AJ58" s="61" t="str">
        <f>IF(COUNTA(T58:AH58)=0,"",AI58/75)</f>
        <v/>
      </c>
      <c r="AK58" s="61" t="str">
        <f>IF(COUNTA(T58:AH58)=0,"",(SUM(T58*[1]KPI_Weights!$B$4,U58*[1]KPI_Weights!$B$5,V58*[1]KPI_Weights!$B$6,W58*[1]KPI_Weights!$B$7,X58*[1]KPI_Weights!$B$8,Y58*[1]KPI_Weights!$B$9,Z58*[1]KPI_Weights!$B$10,AA58*[1]KPI_Weights!$B$11,AB58*[1]KPI_Weights!$B$12,AC58*[1]KPI_Weights!$B$13,AD58*[1]KPI_Weights!$B$14,AE58*[1]KPI_Weights!$B$15,AF58*[1]KPI_Weights!$B$16,AG58*[1]KPI_Weights!$B$17,AH58*[1]KPI_Weights!$B$18))/5)</f>
        <v/>
      </c>
      <c r="AL58" s="60" t="str">
        <f>IF(COUNTA(T58:AH58)=0,"",IF(OR(T58&lt;=1,W58&lt;=1,X58&lt;=1,Y58&lt;=1,AB58&lt;=1),"YES","NO"))</f>
        <v/>
      </c>
      <c r="AM58" s="60" t="str">
        <f>IF(AJ58="","",IF(AND(AL58="NO",AJ58&gt;=0.75),"YES","NO"))</f>
        <v/>
      </c>
      <c r="AN58" s="60" t="str">
        <f>IF(AJ58="","",IF(AJ58&lt;0.4,"Critical",IF(AJ58&lt;0.6,"Poor",IF(AJ58&lt;0.75,"Needs Improvement",IF(AJ58&lt;0.9,"Good","Excellent")))))</f>
        <v/>
      </c>
      <c r="AO58" s="59"/>
      <c r="AP58" s="59"/>
      <c r="AQ58" s="59"/>
      <c r="AR58" s="59"/>
      <c r="AS58" s="58"/>
      <c r="AT58" s="58"/>
      <c r="AU58" s="58"/>
      <c r="AV58" s="58"/>
      <c r="AW58" s="58"/>
      <c r="AX58" s="58"/>
      <c r="AY58" s="58"/>
      <c r="AZ58" s="58"/>
      <c r="BA58" s="58"/>
      <c r="BB58" s="58"/>
    </row>
    <row r="59" spans="1:54" ht="19.5" customHeight="1" x14ac:dyDescent="0.25">
      <c r="A59" s="60" t="str">
        <f>IF($B59="","",TEXT($B59,"yyyymmdd")&amp;"-"&amp;SUBSTITUTE($F59," ","")&amp;"-"&amp;TEXT(COUNTIF($F$4:F59,$F59),"00"))</f>
        <v/>
      </c>
      <c r="B59" s="65"/>
      <c r="C59" s="60" t="str">
        <f>IF($B59="","",WEEKNUM($B59,2))</f>
        <v/>
      </c>
      <c r="D59" s="60" t="str">
        <f>IF($B59="","",TEXT($B59,"yyyy-mm"))</f>
        <v/>
      </c>
      <c r="E59" s="64"/>
      <c r="F59" s="64"/>
      <c r="G59" s="60" t="str">
        <f>IF(OR($E59="",$F59=""),"",IFERROR(IF($E59=INDEX([1]Cluster_Master!$A$4:$A$18,MATCH($F59,[1]Cluster_Master!$B$4:$B$18,0)),"OK","CHECK"),"CHECK"))</f>
        <v/>
      </c>
      <c r="H59" s="63" t="str">
        <f>IFERROR(INDEX([1]Cluster_Master!$C$4:$C$18,MATCH($F59,[1]Cluster_Master!$B$4:$B$18,0)),"")</f>
        <v/>
      </c>
      <c r="I59" s="60" t="str">
        <f>IFERROR(INDEX([1]Cluster_Master!$D$4:$D$18,MATCH($F59,[1]Cluster_Master!$B$4:$B$18,0)),"")</f>
        <v/>
      </c>
      <c r="J59" s="60" t="str">
        <f>IFERROR(INDEX([1]Cluster_Master!$E$4:$E$18,MATCH($F59,[1]Cluster_Master!$B$4:$B$18,0)),"")</f>
        <v/>
      </c>
      <c r="K59" s="60" t="str">
        <f>IFERROR(INDEX([1]Cluster_Master!$F$4:$F$18,MATCH($F59,[1]Cluster_Master!$B$4:$B$18,0)),"")</f>
        <v/>
      </c>
      <c r="L59" s="60" t="str">
        <f>IFERROR(INDEX([1]Cluster_Master!$G$4:$G$18,MATCH($F59,[1]Cluster_Master!$B$4:$B$18,0)),"")</f>
        <v/>
      </c>
      <c r="M59" s="60" t="str">
        <f>IFERROR(INDEX([1]Cluster_Master!$H$4:$H$18,MATCH($F59,[1]Cluster_Master!$B$4:$B$18,0)),"")</f>
        <v/>
      </c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60" t="str">
        <f>IF(COUNTA(T59:AH59)=0,"",SUM(T59:AH59))</f>
        <v/>
      </c>
      <c r="AJ59" s="61" t="str">
        <f>IF(COUNTA(T59:AH59)=0,"",AI59/75)</f>
        <v/>
      </c>
      <c r="AK59" s="61" t="str">
        <f>IF(COUNTA(T59:AH59)=0,"",(SUM(T59*[1]KPI_Weights!$B$4,U59*[1]KPI_Weights!$B$5,V59*[1]KPI_Weights!$B$6,W59*[1]KPI_Weights!$B$7,X59*[1]KPI_Weights!$B$8,Y59*[1]KPI_Weights!$B$9,Z59*[1]KPI_Weights!$B$10,AA59*[1]KPI_Weights!$B$11,AB59*[1]KPI_Weights!$B$12,AC59*[1]KPI_Weights!$B$13,AD59*[1]KPI_Weights!$B$14,AE59*[1]KPI_Weights!$B$15,AF59*[1]KPI_Weights!$B$16,AG59*[1]KPI_Weights!$B$17,AH59*[1]KPI_Weights!$B$18))/5)</f>
        <v/>
      </c>
      <c r="AL59" s="60" t="str">
        <f>IF(COUNTA(T59:AH59)=0,"",IF(OR(T59&lt;=1,W59&lt;=1,X59&lt;=1,Y59&lt;=1,AB59&lt;=1),"YES","NO"))</f>
        <v/>
      </c>
      <c r="AM59" s="60" t="str">
        <f>IF(AJ59="","",IF(AND(AL59="NO",AJ59&gt;=0.75),"YES","NO"))</f>
        <v/>
      </c>
      <c r="AN59" s="60" t="str">
        <f>IF(AJ59="","",IF(AJ59&lt;0.4,"Critical",IF(AJ59&lt;0.6,"Poor",IF(AJ59&lt;0.75,"Needs Improvement",IF(AJ59&lt;0.9,"Good","Excellent")))))</f>
        <v/>
      </c>
      <c r="AO59" s="59"/>
      <c r="AP59" s="59"/>
      <c r="AQ59" s="59"/>
      <c r="AR59" s="59"/>
      <c r="AS59" s="58"/>
      <c r="AT59" s="58"/>
      <c r="AU59" s="58"/>
      <c r="AV59" s="58"/>
      <c r="AW59" s="58"/>
      <c r="AX59" s="58"/>
      <c r="AY59" s="58"/>
      <c r="AZ59" s="58"/>
      <c r="BA59" s="58"/>
      <c r="BB59" s="58"/>
    </row>
    <row r="60" spans="1:54" ht="19.5" customHeight="1" x14ac:dyDescent="0.25">
      <c r="A60" s="60" t="str">
        <f>IF($B60="","",TEXT($B60,"yyyymmdd")&amp;"-"&amp;SUBSTITUTE($F60," ","")&amp;"-"&amp;TEXT(COUNTIF($F$4:F60,$F60),"00"))</f>
        <v/>
      </c>
      <c r="B60" s="65"/>
      <c r="C60" s="60" t="str">
        <f>IF($B60="","",WEEKNUM($B60,2))</f>
        <v/>
      </c>
      <c r="D60" s="60" t="str">
        <f>IF($B60="","",TEXT($B60,"yyyy-mm"))</f>
        <v/>
      </c>
      <c r="E60" s="64"/>
      <c r="F60" s="64"/>
      <c r="G60" s="60" t="str">
        <f>IF(OR($E60="",$F60=""),"",IFERROR(IF($E60=INDEX([1]Cluster_Master!$A$4:$A$18,MATCH($F60,[1]Cluster_Master!$B$4:$B$18,0)),"OK","CHECK"),"CHECK"))</f>
        <v/>
      </c>
      <c r="H60" s="63" t="str">
        <f>IFERROR(INDEX([1]Cluster_Master!$C$4:$C$18,MATCH($F60,[1]Cluster_Master!$B$4:$B$18,0)),"")</f>
        <v/>
      </c>
      <c r="I60" s="60" t="str">
        <f>IFERROR(INDEX([1]Cluster_Master!$D$4:$D$18,MATCH($F60,[1]Cluster_Master!$B$4:$B$18,0)),"")</f>
        <v/>
      </c>
      <c r="J60" s="60" t="str">
        <f>IFERROR(INDEX([1]Cluster_Master!$E$4:$E$18,MATCH($F60,[1]Cluster_Master!$B$4:$B$18,0)),"")</f>
        <v/>
      </c>
      <c r="K60" s="60" t="str">
        <f>IFERROR(INDEX([1]Cluster_Master!$F$4:$F$18,MATCH($F60,[1]Cluster_Master!$B$4:$B$18,0)),"")</f>
        <v/>
      </c>
      <c r="L60" s="60" t="str">
        <f>IFERROR(INDEX([1]Cluster_Master!$G$4:$G$18,MATCH($F60,[1]Cluster_Master!$B$4:$B$18,0)),"")</f>
        <v/>
      </c>
      <c r="M60" s="60" t="str">
        <f>IFERROR(INDEX([1]Cluster_Master!$H$4:$H$18,MATCH($F60,[1]Cluster_Master!$B$4:$B$18,0)),"")</f>
        <v/>
      </c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60" t="str">
        <f>IF(COUNTA(T60:AH60)=0,"",SUM(T60:AH60))</f>
        <v/>
      </c>
      <c r="AJ60" s="61" t="str">
        <f>IF(COUNTA(T60:AH60)=0,"",AI60/75)</f>
        <v/>
      </c>
      <c r="AK60" s="61" t="str">
        <f>IF(COUNTA(T60:AH60)=0,"",(SUM(T60*[1]KPI_Weights!$B$4,U60*[1]KPI_Weights!$B$5,V60*[1]KPI_Weights!$B$6,W60*[1]KPI_Weights!$B$7,X60*[1]KPI_Weights!$B$8,Y60*[1]KPI_Weights!$B$9,Z60*[1]KPI_Weights!$B$10,AA60*[1]KPI_Weights!$B$11,AB60*[1]KPI_Weights!$B$12,AC60*[1]KPI_Weights!$B$13,AD60*[1]KPI_Weights!$B$14,AE60*[1]KPI_Weights!$B$15,AF60*[1]KPI_Weights!$B$16,AG60*[1]KPI_Weights!$B$17,AH60*[1]KPI_Weights!$B$18))/5)</f>
        <v/>
      </c>
      <c r="AL60" s="60" t="str">
        <f>IF(COUNTA(T60:AH60)=0,"",IF(OR(T60&lt;=1,W60&lt;=1,X60&lt;=1,Y60&lt;=1,AB60&lt;=1),"YES","NO"))</f>
        <v/>
      </c>
      <c r="AM60" s="60" t="str">
        <f>IF(AJ60="","",IF(AND(AL60="NO",AJ60&gt;=0.75),"YES","NO"))</f>
        <v/>
      </c>
      <c r="AN60" s="60" t="str">
        <f>IF(AJ60="","",IF(AJ60&lt;0.4,"Critical",IF(AJ60&lt;0.6,"Poor",IF(AJ60&lt;0.75,"Needs Improvement",IF(AJ60&lt;0.9,"Good","Excellent")))))</f>
        <v/>
      </c>
      <c r="AO60" s="59"/>
      <c r="AP60" s="59"/>
      <c r="AQ60" s="59"/>
      <c r="AR60" s="59"/>
      <c r="AS60" s="58"/>
      <c r="AT60" s="58"/>
      <c r="AU60" s="58"/>
      <c r="AV60" s="58"/>
      <c r="AW60" s="58"/>
      <c r="AX60" s="58"/>
      <c r="AY60" s="58"/>
      <c r="AZ60" s="58"/>
      <c r="BA60" s="58"/>
      <c r="BB60" s="58"/>
    </row>
    <row r="61" spans="1:54" ht="19.5" customHeight="1" x14ac:dyDescent="0.25">
      <c r="A61" s="60" t="str">
        <f>IF($B61="","",TEXT($B61,"yyyymmdd")&amp;"-"&amp;SUBSTITUTE($F61," ","")&amp;"-"&amp;TEXT(COUNTIF($F$4:F61,$F61),"00"))</f>
        <v/>
      </c>
      <c r="B61" s="65"/>
      <c r="C61" s="60" t="str">
        <f>IF($B61="","",WEEKNUM($B61,2))</f>
        <v/>
      </c>
      <c r="D61" s="60" t="str">
        <f>IF($B61="","",TEXT($B61,"yyyy-mm"))</f>
        <v/>
      </c>
      <c r="E61" s="64"/>
      <c r="F61" s="64"/>
      <c r="G61" s="60" t="str">
        <f>IF(OR($E61="",$F61=""),"",IFERROR(IF($E61=INDEX([1]Cluster_Master!$A$4:$A$18,MATCH($F61,[1]Cluster_Master!$B$4:$B$18,0)),"OK","CHECK"),"CHECK"))</f>
        <v/>
      </c>
      <c r="H61" s="63" t="str">
        <f>IFERROR(INDEX([1]Cluster_Master!$C$4:$C$18,MATCH($F61,[1]Cluster_Master!$B$4:$B$18,0)),"")</f>
        <v/>
      </c>
      <c r="I61" s="60" t="str">
        <f>IFERROR(INDEX([1]Cluster_Master!$D$4:$D$18,MATCH($F61,[1]Cluster_Master!$B$4:$B$18,0)),"")</f>
        <v/>
      </c>
      <c r="J61" s="60" t="str">
        <f>IFERROR(INDEX([1]Cluster_Master!$E$4:$E$18,MATCH($F61,[1]Cluster_Master!$B$4:$B$18,0)),"")</f>
        <v/>
      </c>
      <c r="K61" s="60" t="str">
        <f>IFERROR(INDEX([1]Cluster_Master!$F$4:$F$18,MATCH($F61,[1]Cluster_Master!$B$4:$B$18,0)),"")</f>
        <v/>
      </c>
      <c r="L61" s="60" t="str">
        <f>IFERROR(INDEX([1]Cluster_Master!$G$4:$G$18,MATCH($F61,[1]Cluster_Master!$B$4:$B$18,0)),"")</f>
        <v/>
      </c>
      <c r="M61" s="60" t="str">
        <f>IFERROR(INDEX([1]Cluster_Master!$H$4:$H$18,MATCH($F61,[1]Cluster_Master!$B$4:$B$18,0)),"")</f>
        <v/>
      </c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60" t="str">
        <f>IF(COUNTA(T61:AH61)=0,"",SUM(T61:AH61))</f>
        <v/>
      </c>
      <c r="AJ61" s="61" t="str">
        <f>IF(COUNTA(T61:AH61)=0,"",AI61/75)</f>
        <v/>
      </c>
      <c r="AK61" s="61" t="str">
        <f>IF(COUNTA(T61:AH61)=0,"",(SUM(T61*[1]KPI_Weights!$B$4,U61*[1]KPI_Weights!$B$5,V61*[1]KPI_Weights!$B$6,W61*[1]KPI_Weights!$B$7,X61*[1]KPI_Weights!$B$8,Y61*[1]KPI_Weights!$B$9,Z61*[1]KPI_Weights!$B$10,AA61*[1]KPI_Weights!$B$11,AB61*[1]KPI_Weights!$B$12,AC61*[1]KPI_Weights!$B$13,AD61*[1]KPI_Weights!$B$14,AE61*[1]KPI_Weights!$B$15,AF61*[1]KPI_Weights!$B$16,AG61*[1]KPI_Weights!$B$17,AH61*[1]KPI_Weights!$B$18))/5)</f>
        <v/>
      </c>
      <c r="AL61" s="60" t="str">
        <f>IF(COUNTA(T61:AH61)=0,"",IF(OR(T61&lt;=1,W61&lt;=1,X61&lt;=1,Y61&lt;=1,AB61&lt;=1),"YES","NO"))</f>
        <v/>
      </c>
      <c r="AM61" s="60" t="str">
        <f>IF(AJ61="","",IF(AND(AL61="NO",AJ61&gt;=0.75),"YES","NO"))</f>
        <v/>
      </c>
      <c r="AN61" s="60" t="str">
        <f>IF(AJ61="","",IF(AJ61&lt;0.4,"Critical",IF(AJ61&lt;0.6,"Poor",IF(AJ61&lt;0.75,"Needs Improvement",IF(AJ61&lt;0.9,"Good","Excellent")))))</f>
        <v/>
      </c>
      <c r="AO61" s="59"/>
      <c r="AP61" s="59"/>
      <c r="AQ61" s="59"/>
      <c r="AR61" s="59"/>
      <c r="AS61" s="58"/>
      <c r="AT61" s="58"/>
      <c r="AU61" s="58"/>
      <c r="AV61" s="58"/>
      <c r="AW61" s="58"/>
      <c r="AX61" s="58"/>
      <c r="AY61" s="58"/>
      <c r="AZ61" s="58"/>
      <c r="BA61" s="58"/>
      <c r="BB61" s="58"/>
    </row>
    <row r="62" spans="1:54" ht="19.5" customHeight="1" x14ac:dyDescent="0.25">
      <c r="A62" s="60" t="str">
        <f>IF($B62="","",TEXT($B62,"yyyymmdd")&amp;"-"&amp;SUBSTITUTE($F62," ","")&amp;"-"&amp;TEXT(COUNTIF($F$4:F62,$F62),"00"))</f>
        <v/>
      </c>
      <c r="B62" s="65"/>
      <c r="C62" s="60" t="str">
        <f>IF($B62="","",WEEKNUM($B62,2))</f>
        <v/>
      </c>
      <c r="D62" s="60" t="str">
        <f>IF($B62="","",TEXT($B62,"yyyy-mm"))</f>
        <v/>
      </c>
      <c r="E62" s="64"/>
      <c r="F62" s="64"/>
      <c r="G62" s="60" t="str">
        <f>IF(OR($E62="",$F62=""),"",IFERROR(IF($E62=INDEX([1]Cluster_Master!$A$4:$A$18,MATCH($F62,[1]Cluster_Master!$B$4:$B$18,0)),"OK","CHECK"),"CHECK"))</f>
        <v/>
      </c>
      <c r="H62" s="63" t="str">
        <f>IFERROR(INDEX([1]Cluster_Master!$C$4:$C$18,MATCH($F62,[1]Cluster_Master!$B$4:$B$18,0)),"")</f>
        <v/>
      </c>
      <c r="I62" s="60" t="str">
        <f>IFERROR(INDEX([1]Cluster_Master!$D$4:$D$18,MATCH($F62,[1]Cluster_Master!$B$4:$B$18,0)),"")</f>
        <v/>
      </c>
      <c r="J62" s="60" t="str">
        <f>IFERROR(INDEX([1]Cluster_Master!$E$4:$E$18,MATCH($F62,[1]Cluster_Master!$B$4:$B$18,0)),"")</f>
        <v/>
      </c>
      <c r="K62" s="60" t="str">
        <f>IFERROR(INDEX([1]Cluster_Master!$F$4:$F$18,MATCH($F62,[1]Cluster_Master!$B$4:$B$18,0)),"")</f>
        <v/>
      </c>
      <c r="L62" s="60" t="str">
        <f>IFERROR(INDEX([1]Cluster_Master!$G$4:$G$18,MATCH($F62,[1]Cluster_Master!$B$4:$B$18,0)),"")</f>
        <v/>
      </c>
      <c r="M62" s="60" t="str">
        <f>IFERROR(INDEX([1]Cluster_Master!$H$4:$H$18,MATCH($F62,[1]Cluster_Master!$B$4:$B$18,0)),"")</f>
        <v/>
      </c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60" t="str">
        <f>IF(COUNTA(T62:AH62)=0,"",SUM(T62:AH62))</f>
        <v/>
      </c>
      <c r="AJ62" s="61" t="str">
        <f>IF(COUNTA(T62:AH62)=0,"",AI62/75)</f>
        <v/>
      </c>
      <c r="AK62" s="61" t="str">
        <f>IF(COUNTA(T62:AH62)=0,"",(SUM(T62*[1]KPI_Weights!$B$4,U62*[1]KPI_Weights!$B$5,V62*[1]KPI_Weights!$B$6,W62*[1]KPI_Weights!$B$7,X62*[1]KPI_Weights!$B$8,Y62*[1]KPI_Weights!$B$9,Z62*[1]KPI_Weights!$B$10,AA62*[1]KPI_Weights!$B$11,AB62*[1]KPI_Weights!$B$12,AC62*[1]KPI_Weights!$B$13,AD62*[1]KPI_Weights!$B$14,AE62*[1]KPI_Weights!$B$15,AF62*[1]KPI_Weights!$B$16,AG62*[1]KPI_Weights!$B$17,AH62*[1]KPI_Weights!$B$18))/5)</f>
        <v/>
      </c>
      <c r="AL62" s="60" t="str">
        <f>IF(COUNTA(T62:AH62)=0,"",IF(OR(T62&lt;=1,W62&lt;=1,X62&lt;=1,Y62&lt;=1,AB62&lt;=1),"YES","NO"))</f>
        <v/>
      </c>
      <c r="AM62" s="60" t="str">
        <f>IF(AJ62="","",IF(AND(AL62="NO",AJ62&gt;=0.75),"YES","NO"))</f>
        <v/>
      </c>
      <c r="AN62" s="60" t="str">
        <f>IF(AJ62="","",IF(AJ62&lt;0.4,"Critical",IF(AJ62&lt;0.6,"Poor",IF(AJ62&lt;0.75,"Needs Improvement",IF(AJ62&lt;0.9,"Good","Excellent")))))</f>
        <v/>
      </c>
      <c r="AO62" s="59"/>
      <c r="AP62" s="59"/>
      <c r="AQ62" s="59"/>
      <c r="AR62" s="59"/>
      <c r="AS62" s="58"/>
      <c r="AT62" s="58"/>
      <c r="AU62" s="58"/>
      <c r="AV62" s="58"/>
      <c r="AW62" s="58"/>
      <c r="AX62" s="58"/>
      <c r="AY62" s="58"/>
      <c r="AZ62" s="58"/>
      <c r="BA62" s="58"/>
      <c r="BB62" s="58"/>
    </row>
    <row r="63" spans="1:54" ht="19.5" customHeight="1" x14ac:dyDescent="0.25">
      <c r="A63" s="60" t="str">
        <f>IF($B63="","",TEXT($B63,"yyyymmdd")&amp;"-"&amp;SUBSTITUTE($F63," ","")&amp;"-"&amp;TEXT(COUNTIF($F$4:F63,$F63),"00"))</f>
        <v/>
      </c>
      <c r="B63" s="65"/>
      <c r="C63" s="60" t="str">
        <f>IF($B63="","",WEEKNUM($B63,2))</f>
        <v/>
      </c>
      <c r="D63" s="60" t="str">
        <f>IF($B63="","",TEXT($B63,"yyyy-mm"))</f>
        <v/>
      </c>
      <c r="E63" s="64"/>
      <c r="F63" s="64"/>
      <c r="G63" s="60" t="str">
        <f>IF(OR($E63="",$F63=""),"",IFERROR(IF($E63=INDEX([1]Cluster_Master!$A$4:$A$18,MATCH($F63,[1]Cluster_Master!$B$4:$B$18,0)),"OK","CHECK"),"CHECK"))</f>
        <v/>
      </c>
      <c r="H63" s="63" t="str">
        <f>IFERROR(INDEX([1]Cluster_Master!$C$4:$C$18,MATCH($F63,[1]Cluster_Master!$B$4:$B$18,0)),"")</f>
        <v/>
      </c>
      <c r="I63" s="60" t="str">
        <f>IFERROR(INDEX([1]Cluster_Master!$D$4:$D$18,MATCH($F63,[1]Cluster_Master!$B$4:$B$18,0)),"")</f>
        <v/>
      </c>
      <c r="J63" s="60" t="str">
        <f>IFERROR(INDEX([1]Cluster_Master!$E$4:$E$18,MATCH($F63,[1]Cluster_Master!$B$4:$B$18,0)),"")</f>
        <v/>
      </c>
      <c r="K63" s="60" t="str">
        <f>IFERROR(INDEX([1]Cluster_Master!$F$4:$F$18,MATCH($F63,[1]Cluster_Master!$B$4:$B$18,0)),"")</f>
        <v/>
      </c>
      <c r="L63" s="60" t="str">
        <f>IFERROR(INDEX([1]Cluster_Master!$G$4:$G$18,MATCH($F63,[1]Cluster_Master!$B$4:$B$18,0)),"")</f>
        <v/>
      </c>
      <c r="M63" s="60" t="str">
        <f>IFERROR(INDEX([1]Cluster_Master!$H$4:$H$18,MATCH($F63,[1]Cluster_Master!$B$4:$B$18,0)),"")</f>
        <v/>
      </c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60" t="str">
        <f>IF(COUNTA(T63:AH63)=0,"",SUM(T63:AH63))</f>
        <v/>
      </c>
      <c r="AJ63" s="61" t="str">
        <f>IF(COUNTA(T63:AH63)=0,"",AI63/75)</f>
        <v/>
      </c>
      <c r="AK63" s="61" t="str">
        <f>IF(COUNTA(T63:AH63)=0,"",(SUM(T63*[1]KPI_Weights!$B$4,U63*[1]KPI_Weights!$B$5,V63*[1]KPI_Weights!$B$6,W63*[1]KPI_Weights!$B$7,X63*[1]KPI_Weights!$B$8,Y63*[1]KPI_Weights!$B$9,Z63*[1]KPI_Weights!$B$10,AA63*[1]KPI_Weights!$B$11,AB63*[1]KPI_Weights!$B$12,AC63*[1]KPI_Weights!$B$13,AD63*[1]KPI_Weights!$B$14,AE63*[1]KPI_Weights!$B$15,AF63*[1]KPI_Weights!$B$16,AG63*[1]KPI_Weights!$B$17,AH63*[1]KPI_Weights!$B$18))/5)</f>
        <v/>
      </c>
      <c r="AL63" s="60" t="str">
        <f>IF(COUNTA(T63:AH63)=0,"",IF(OR(T63&lt;=1,W63&lt;=1,X63&lt;=1,Y63&lt;=1,AB63&lt;=1),"YES","NO"))</f>
        <v/>
      </c>
      <c r="AM63" s="60" t="str">
        <f>IF(AJ63="","",IF(AND(AL63="NO",AJ63&gt;=0.75),"YES","NO"))</f>
        <v/>
      </c>
      <c r="AN63" s="60" t="str">
        <f>IF(AJ63="","",IF(AJ63&lt;0.4,"Critical",IF(AJ63&lt;0.6,"Poor",IF(AJ63&lt;0.75,"Needs Improvement",IF(AJ63&lt;0.9,"Good","Excellent")))))</f>
        <v/>
      </c>
      <c r="AO63" s="59"/>
      <c r="AP63" s="59"/>
      <c r="AQ63" s="59"/>
      <c r="AR63" s="59"/>
      <c r="AS63" s="58"/>
      <c r="AT63" s="58"/>
      <c r="AU63" s="58"/>
      <c r="AV63" s="58"/>
      <c r="AW63" s="58"/>
      <c r="AX63" s="58"/>
      <c r="AY63" s="58"/>
      <c r="AZ63" s="58"/>
      <c r="BA63" s="58"/>
      <c r="BB63" s="58"/>
    </row>
    <row r="64" spans="1:54" ht="19.5" customHeight="1" x14ac:dyDescent="0.25">
      <c r="A64" s="60" t="str">
        <f>IF($B64="","",TEXT($B64,"yyyymmdd")&amp;"-"&amp;SUBSTITUTE($F64," ","")&amp;"-"&amp;TEXT(COUNTIF($F$4:F64,$F64),"00"))</f>
        <v/>
      </c>
      <c r="B64" s="65"/>
      <c r="C64" s="60" t="str">
        <f>IF($B64="","",WEEKNUM($B64,2))</f>
        <v/>
      </c>
      <c r="D64" s="60" t="str">
        <f>IF($B64="","",TEXT($B64,"yyyy-mm"))</f>
        <v/>
      </c>
      <c r="E64" s="64"/>
      <c r="F64" s="64"/>
      <c r="G64" s="60" t="str">
        <f>IF(OR($E64="",$F64=""),"",IFERROR(IF($E64=INDEX([1]Cluster_Master!$A$4:$A$18,MATCH($F64,[1]Cluster_Master!$B$4:$B$18,0)),"OK","CHECK"),"CHECK"))</f>
        <v/>
      </c>
      <c r="H64" s="63" t="str">
        <f>IFERROR(INDEX([1]Cluster_Master!$C$4:$C$18,MATCH($F64,[1]Cluster_Master!$B$4:$B$18,0)),"")</f>
        <v/>
      </c>
      <c r="I64" s="60" t="str">
        <f>IFERROR(INDEX([1]Cluster_Master!$D$4:$D$18,MATCH($F64,[1]Cluster_Master!$B$4:$B$18,0)),"")</f>
        <v/>
      </c>
      <c r="J64" s="60" t="str">
        <f>IFERROR(INDEX([1]Cluster_Master!$E$4:$E$18,MATCH($F64,[1]Cluster_Master!$B$4:$B$18,0)),"")</f>
        <v/>
      </c>
      <c r="K64" s="60" t="str">
        <f>IFERROR(INDEX([1]Cluster_Master!$F$4:$F$18,MATCH($F64,[1]Cluster_Master!$B$4:$B$18,0)),"")</f>
        <v/>
      </c>
      <c r="L64" s="60" t="str">
        <f>IFERROR(INDEX([1]Cluster_Master!$G$4:$G$18,MATCH($F64,[1]Cluster_Master!$B$4:$B$18,0)),"")</f>
        <v/>
      </c>
      <c r="M64" s="60" t="str">
        <f>IFERROR(INDEX([1]Cluster_Master!$H$4:$H$18,MATCH($F64,[1]Cluster_Master!$B$4:$B$18,0)),"")</f>
        <v/>
      </c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60" t="str">
        <f>IF(COUNTA(T64:AH64)=0,"",SUM(T64:AH64))</f>
        <v/>
      </c>
      <c r="AJ64" s="61" t="str">
        <f>IF(COUNTA(T64:AH64)=0,"",AI64/75)</f>
        <v/>
      </c>
      <c r="AK64" s="61" t="str">
        <f>IF(COUNTA(T64:AH64)=0,"",(SUM(T64*[1]KPI_Weights!$B$4,U64*[1]KPI_Weights!$B$5,V64*[1]KPI_Weights!$B$6,W64*[1]KPI_Weights!$B$7,X64*[1]KPI_Weights!$B$8,Y64*[1]KPI_Weights!$B$9,Z64*[1]KPI_Weights!$B$10,AA64*[1]KPI_Weights!$B$11,AB64*[1]KPI_Weights!$B$12,AC64*[1]KPI_Weights!$B$13,AD64*[1]KPI_Weights!$B$14,AE64*[1]KPI_Weights!$B$15,AF64*[1]KPI_Weights!$B$16,AG64*[1]KPI_Weights!$B$17,AH64*[1]KPI_Weights!$B$18))/5)</f>
        <v/>
      </c>
      <c r="AL64" s="60" t="str">
        <f>IF(COUNTA(T64:AH64)=0,"",IF(OR(T64&lt;=1,W64&lt;=1,X64&lt;=1,Y64&lt;=1,AB64&lt;=1),"YES","NO"))</f>
        <v/>
      </c>
      <c r="AM64" s="60" t="str">
        <f>IF(AJ64="","",IF(AND(AL64="NO",AJ64&gt;=0.75),"YES","NO"))</f>
        <v/>
      </c>
      <c r="AN64" s="60" t="str">
        <f>IF(AJ64="","",IF(AJ64&lt;0.4,"Critical",IF(AJ64&lt;0.6,"Poor",IF(AJ64&lt;0.75,"Needs Improvement",IF(AJ64&lt;0.9,"Good","Excellent")))))</f>
        <v/>
      </c>
      <c r="AO64" s="59"/>
      <c r="AP64" s="59"/>
      <c r="AQ64" s="59"/>
      <c r="AR64" s="59"/>
      <c r="AS64" s="58"/>
      <c r="AT64" s="58"/>
      <c r="AU64" s="58"/>
      <c r="AV64" s="58"/>
      <c r="AW64" s="58"/>
      <c r="AX64" s="58"/>
      <c r="AY64" s="58"/>
      <c r="AZ64" s="58"/>
      <c r="BA64" s="58"/>
      <c r="BB64" s="58"/>
    </row>
    <row r="65" spans="1:54" ht="19.5" customHeight="1" x14ac:dyDescent="0.25">
      <c r="A65" s="60" t="str">
        <f>IF($B65="","",TEXT($B65,"yyyymmdd")&amp;"-"&amp;SUBSTITUTE($F65," ","")&amp;"-"&amp;TEXT(COUNTIF($F$4:F65,$F65),"00"))</f>
        <v/>
      </c>
      <c r="B65" s="65"/>
      <c r="C65" s="60" t="str">
        <f>IF($B65="","",WEEKNUM($B65,2))</f>
        <v/>
      </c>
      <c r="D65" s="60" t="str">
        <f>IF($B65="","",TEXT($B65,"yyyy-mm"))</f>
        <v/>
      </c>
      <c r="E65" s="64"/>
      <c r="F65" s="64"/>
      <c r="G65" s="60" t="str">
        <f>IF(OR($E65="",$F65=""),"",IFERROR(IF($E65=INDEX([1]Cluster_Master!$A$4:$A$18,MATCH($F65,[1]Cluster_Master!$B$4:$B$18,0)),"OK","CHECK"),"CHECK"))</f>
        <v/>
      </c>
      <c r="H65" s="63" t="str">
        <f>IFERROR(INDEX([1]Cluster_Master!$C$4:$C$18,MATCH($F65,[1]Cluster_Master!$B$4:$B$18,0)),"")</f>
        <v/>
      </c>
      <c r="I65" s="60" t="str">
        <f>IFERROR(INDEX([1]Cluster_Master!$D$4:$D$18,MATCH($F65,[1]Cluster_Master!$B$4:$B$18,0)),"")</f>
        <v/>
      </c>
      <c r="J65" s="60" t="str">
        <f>IFERROR(INDEX([1]Cluster_Master!$E$4:$E$18,MATCH($F65,[1]Cluster_Master!$B$4:$B$18,0)),"")</f>
        <v/>
      </c>
      <c r="K65" s="60" t="str">
        <f>IFERROR(INDEX([1]Cluster_Master!$F$4:$F$18,MATCH($F65,[1]Cluster_Master!$B$4:$B$18,0)),"")</f>
        <v/>
      </c>
      <c r="L65" s="60" t="str">
        <f>IFERROR(INDEX([1]Cluster_Master!$G$4:$G$18,MATCH($F65,[1]Cluster_Master!$B$4:$B$18,0)),"")</f>
        <v/>
      </c>
      <c r="M65" s="60" t="str">
        <f>IFERROR(INDEX([1]Cluster_Master!$H$4:$H$18,MATCH($F65,[1]Cluster_Master!$B$4:$B$18,0)),"")</f>
        <v/>
      </c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60" t="str">
        <f>IF(COUNTA(T65:AH65)=0,"",SUM(T65:AH65))</f>
        <v/>
      </c>
      <c r="AJ65" s="61" t="str">
        <f>IF(COUNTA(T65:AH65)=0,"",AI65/75)</f>
        <v/>
      </c>
      <c r="AK65" s="61" t="str">
        <f>IF(COUNTA(T65:AH65)=0,"",(SUM(T65*[1]KPI_Weights!$B$4,U65*[1]KPI_Weights!$B$5,V65*[1]KPI_Weights!$B$6,W65*[1]KPI_Weights!$B$7,X65*[1]KPI_Weights!$B$8,Y65*[1]KPI_Weights!$B$9,Z65*[1]KPI_Weights!$B$10,AA65*[1]KPI_Weights!$B$11,AB65*[1]KPI_Weights!$B$12,AC65*[1]KPI_Weights!$B$13,AD65*[1]KPI_Weights!$B$14,AE65*[1]KPI_Weights!$B$15,AF65*[1]KPI_Weights!$B$16,AG65*[1]KPI_Weights!$B$17,AH65*[1]KPI_Weights!$B$18))/5)</f>
        <v/>
      </c>
      <c r="AL65" s="60" t="str">
        <f>IF(COUNTA(T65:AH65)=0,"",IF(OR(T65&lt;=1,W65&lt;=1,X65&lt;=1,Y65&lt;=1,AB65&lt;=1),"YES","NO"))</f>
        <v/>
      </c>
      <c r="AM65" s="60" t="str">
        <f>IF(AJ65="","",IF(AND(AL65="NO",AJ65&gt;=0.75),"YES","NO"))</f>
        <v/>
      </c>
      <c r="AN65" s="60" t="str">
        <f>IF(AJ65="","",IF(AJ65&lt;0.4,"Critical",IF(AJ65&lt;0.6,"Poor",IF(AJ65&lt;0.75,"Needs Improvement",IF(AJ65&lt;0.9,"Good","Excellent")))))</f>
        <v/>
      </c>
      <c r="AO65" s="59"/>
      <c r="AP65" s="59"/>
      <c r="AQ65" s="59"/>
      <c r="AR65" s="59"/>
      <c r="AS65" s="58"/>
      <c r="AT65" s="58"/>
      <c r="AU65" s="58"/>
      <c r="AV65" s="58"/>
      <c r="AW65" s="58"/>
      <c r="AX65" s="58"/>
      <c r="AY65" s="58"/>
      <c r="AZ65" s="58"/>
      <c r="BA65" s="58"/>
      <c r="BB65" s="58"/>
    </row>
    <row r="66" spans="1:54" ht="19.5" customHeight="1" x14ac:dyDescent="0.25">
      <c r="A66" s="60" t="str">
        <f>IF($B66="","",TEXT($B66,"yyyymmdd")&amp;"-"&amp;SUBSTITUTE($F66," ","")&amp;"-"&amp;TEXT(COUNTIF($F$4:F66,$F66),"00"))</f>
        <v/>
      </c>
      <c r="B66" s="65"/>
      <c r="C66" s="60" t="str">
        <f>IF($B66="","",WEEKNUM($B66,2))</f>
        <v/>
      </c>
      <c r="D66" s="60" t="str">
        <f>IF($B66="","",TEXT($B66,"yyyy-mm"))</f>
        <v/>
      </c>
      <c r="E66" s="64"/>
      <c r="F66" s="64"/>
      <c r="G66" s="60" t="str">
        <f>IF(OR($E66="",$F66=""),"",IFERROR(IF($E66=INDEX([1]Cluster_Master!$A$4:$A$18,MATCH($F66,[1]Cluster_Master!$B$4:$B$18,0)),"OK","CHECK"),"CHECK"))</f>
        <v/>
      </c>
      <c r="H66" s="63" t="str">
        <f>IFERROR(INDEX([1]Cluster_Master!$C$4:$C$18,MATCH($F66,[1]Cluster_Master!$B$4:$B$18,0)),"")</f>
        <v/>
      </c>
      <c r="I66" s="60" t="str">
        <f>IFERROR(INDEX([1]Cluster_Master!$D$4:$D$18,MATCH($F66,[1]Cluster_Master!$B$4:$B$18,0)),"")</f>
        <v/>
      </c>
      <c r="J66" s="60" t="str">
        <f>IFERROR(INDEX([1]Cluster_Master!$E$4:$E$18,MATCH($F66,[1]Cluster_Master!$B$4:$B$18,0)),"")</f>
        <v/>
      </c>
      <c r="K66" s="60" t="str">
        <f>IFERROR(INDEX([1]Cluster_Master!$F$4:$F$18,MATCH($F66,[1]Cluster_Master!$B$4:$B$18,0)),"")</f>
        <v/>
      </c>
      <c r="L66" s="60" t="str">
        <f>IFERROR(INDEX([1]Cluster_Master!$G$4:$G$18,MATCH($F66,[1]Cluster_Master!$B$4:$B$18,0)),"")</f>
        <v/>
      </c>
      <c r="M66" s="60" t="str">
        <f>IFERROR(INDEX([1]Cluster_Master!$H$4:$H$18,MATCH($F66,[1]Cluster_Master!$B$4:$B$18,0)),"")</f>
        <v/>
      </c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60" t="str">
        <f>IF(COUNTA(T66:AH66)=0,"",SUM(T66:AH66))</f>
        <v/>
      </c>
      <c r="AJ66" s="61" t="str">
        <f>IF(COUNTA(T66:AH66)=0,"",AI66/75)</f>
        <v/>
      </c>
      <c r="AK66" s="61" t="str">
        <f>IF(COUNTA(T66:AH66)=0,"",(SUM(T66*[1]KPI_Weights!$B$4,U66*[1]KPI_Weights!$B$5,V66*[1]KPI_Weights!$B$6,W66*[1]KPI_Weights!$B$7,X66*[1]KPI_Weights!$B$8,Y66*[1]KPI_Weights!$B$9,Z66*[1]KPI_Weights!$B$10,AA66*[1]KPI_Weights!$B$11,AB66*[1]KPI_Weights!$B$12,AC66*[1]KPI_Weights!$B$13,AD66*[1]KPI_Weights!$B$14,AE66*[1]KPI_Weights!$B$15,AF66*[1]KPI_Weights!$B$16,AG66*[1]KPI_Weights!$B$17,AH66*[1]KPI_Weights!$B$18))/5)</f>
        <v/>
      </c>
      <c r="AL66" s="60" t="str">
        <f>IF(COUNTA(T66:AH66)=0,"",IF(OR(T66&lt;=1,W66&lt;=1,X66&lt;=1,Y66&lt;=1,AB66&lt;=1),"YES","NO"))</f>
        <v/>
      </c>
      <c r="AM66" s="60" t="str">
        <f>IF(AJ66="","",IF(AND(AL66="NO",AJ66&gt;=0.75),"YES","NO"))</f>
        <v/>
      </c>
      <c r="AN66" s="60" t="str">
        <f>IF(AJ66="","",IF(AJ66&lt;0.4,"Critical",IF(AJ66&lt;0.6,"Poor",IF(AJ66&lt;0.75,"Needs Improvement",IF(AJ66&lt;0.9,"Good","Excellent")))))</f>
        <v/>
      </c>
      <c r="AO66" s="59"/>
      <c r="AP66" s="59"/>
      <c r="AQ66" s="59"/>
      <c r="AR66" s="59"/>
      <c r="AS66" s="58"/>
      <c r="AT66" s="58"/>
      <c r="AU66" s="58"/>
      <c r="AV66" s="58"/>
      <c r="AW66" s="58"/>
      <c r="AX66" s="58"/>
      <c r="AY66" s="58"/>
      <c r="AZ66" s="58"/>
      <c r="BA66" s="58"/>
      <c r="BB66" s="58"/>
    </row>
    <row r="67" spans="1:54" ht="19.5" customHeight="1" x14ac:dyDescent="0.25">
      <c r="A67" s="60" t="str">
        <f>IF($B67="","",TEXT($B67,"yyyymmdd")&amp;"-"&amp;SUBSTITUTE($F67," ","")&amp;"-"&amp;TEXT(COUNTIF($F$4:F67,$F67),"00"))</f>
        <v/>
      </c>
      <c r="B67" s="65"/>
      <c r="C67" s="60" t="str">
        <f>IF($B67="","",WEEKNUM($B67,2))</f>
        <v/>
      </c>
      <c r="D67" s="60" t="str">
        <f>IF($B67="","",TEXT($B67,"yyyy-mm"))</f>
        <v/>
      </c>
      <c r="E67" s="64"/>
      <c r="F67" s="64"/>
      <c r="G67" s="60" t="str">
        <f>IF(OR($E67="",$F67=""),"",IFERROR(IF($E67=INDEX([1]Cluster_Master!$A$4:$A$18,MATCH($F67,[1]Cluster_Master!$B$4:$B$18,0)),"OK","CHECK"),"CHECK"))</f>
        <v/>
      </c>
      <c r="H67" s="63" t="str">
        <f>IFERROR(INDEX([1]Cluster_Master!$C$4:$C$18,MATCH($F67,[1]Cluster_Master!$B$4:$B$18,0)),"")</f>
        <v/>
      </c>
      <c r="I67" s="60" t="str">
        <f>IFERROR(INDEX([1]Cluster_Master!$D$4:$D$18,MATCH($F67,[1]Cluster_Master!$B$4:$B$18,0)),"")</f>
        <v/>
      </c>
      <c r="J67" s="60" t="str">
        <f>IFERROR(INDEX([1]Cluster_Master!$E$4:$E$18,MATCH($F67,[1]Cluster_Master!$B$4:$B$18,0)),"")</f>
        <v/>
      </c>
      <c r="K67" s="60" t="str">
        <f>IFERROR(INDEX([1]Cluster_Master!$F$4:$F$18,MATCH($F67,[1]Cluster_Master!$B$4:$B$18,0)),"")</f>
        <v/>
      </c>
      <c r="L67" s="60" t="str">
        <f>IFERROR(INDEX([1]Cluster_Master!$G$4:$G$18,MATCH($F67,[1]Cluster_Master!$B$4:$B$18,0)),"")</f>
        <v/>
      </c>
      <c r="M67" s="60" t="str">
        <f>IFERROR(INDEX([1]Cluster_Master!$H$4:$H$18,MATCH($F67,[1]Cluster_Master!$B$4:$B$18,0)),"")</f>
        <v/>
      </c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60" t="str">
        <f>IF(COUNTA(T67:AH67)=0,"",SUM(T67:AH67))</f>
        <v/>
      </c>
      <c r="AJ67" s="61" t="str">
        <f>IF(COUNTA(T67:AH67)=0,"",AI67/75)</f>
        <v/>
      </c>
      <c r="AK67" s="61" t="str">
        <f>IF(COUNTA(T67:AH67)=0,"",(SUM(T67*[1]KPI_Weights!$B$4,U67*[1]KPI_Weights!$B$5,V67*[1]KPI_Weights!$B$6,W67*[1]KPI_Weights!$B$7,X67*[1]KPI_Weights!$B$8,Y67*[1]KPI_Weights!$B$9,Z67*[1]KPI_Weights!$B$10,AA67*[1]KPI_Weights!$B$11,AB67*[1]KPI_Weights!$B$12,AC67*[1]KPI_Weights!$B$13,AD67*[1]KPI_Weights!$B$14,AE67*[1]KPI_Weights!$B$15,AF67*[1]KPI_Weights!$B$16,AG67*[1]KPI_Weights!$B$17,AH67*[1]KPI_Weights!$B$18))/5)</f>
        <v/>
      </c>
      <c r="AL67" s="60" t="str">
        <f>IF(COUNTA(T67:AH67)=0,"",IF(OR(T67&lt;=1,W67&lt;=1,X67&lt;=1,Y67&lt;=1,AB67&lt;=1),"YES","NO"))</f>
        <v/>
      </c>
      <c r="AM67" s="60" t="str">
        <f>IF(AJ67="","",IF(AND(AL67="NO",AJ67&gt;=0.75),"YES","NO"))</f>
        <v/>
      </c>
      <c r="AN67" s="60" t="str">
        <f>IF(AJ67="","",IF(AJ67&lt;0.4,"Critical",IF(AJ67&lt;0.6,"Poor",IF(AJ67&lt;0.75,"Needs Improvement",IF(AJ67&lt;0.9,"Good","Excellent")))))</f>
        <v/>
      </c>
      <c r="AO67" s="59"/>
      <c r="AP67" s="59"/>
      <c r="AQ67" s="59"/>
      <c r="AR67" s="59"/>
      <c r="AS67" s="58"/>
      <c r="AT67" s="58"/>
      <c r="AU67" s="58"/>
      <c r="AV67" s="58"/>
      <c r="AW67" s="58"/>
      <c r="AX67" s="58"/>
      <c r="AY67" s="58"/>
      <c r="AZ67" s="58"/>
      <c r="BA67" s="58"/>
      <c r="BB67" s="58"/>
    </row>
    <row r="68" spans="1:54" ht="19.5" customHeight="1" x14ac:dyDescent="0.25">
      <c r="A68" s="60" t="str">
        <f>IF($B68="","",TEXT($B68,"yyyymmdd")&amp;"-"&amp;SUBSTITUTE($F68," ","")&amp;"-"&amp;TEXT(COUNTIF($F$4:F68,$F68),"00"))</f>
        <v/>
      </c>
      <c r="B68" s="65"/>
      <c r="C68" s="60" t="str">
        <f>IF($B68="","",WEEKNUM($B68,2))</f>
        <v/>
      </c>
      <c r="D68" s="60" t="str">
        <f>IF($B68="","",TEXT($B68,"yyyy-mm"))</f>
        <v/>
      </c>
      <c r="E68" s="64"/>
      <c r="F68" s="64"/>
      <c r="G68" s="60" t="str">
        <f>IF(OR($E68="",$F68=""),"",IFERROR(IF($E68=INDEX([1]Cluster_Master!$A$4:$A$18,MATCH($F68,[1]Cluster_Master!$B$4:$B$18,0)),"OK","CHECK"),"CHECK"))</f>
        <v/>
      </c>
      <c r="H68" s="63" t="str">
        <f>IFERROR(INDEX([1]Cluster_Master!$C$4:$C$18,MATCH($F68,[1]Cluster_Master!$B$4:$B$18,0)),"")</f>
        <v/>
      </c>
      <c r="I68" s="60" t="str">
        <f>IFERROR(INDEX([1]Cluster_Master!$D$4:$D$18,MATCH($F68,[1]Cluster_Master!$B$4:$B$18,0)),"")</f>
        <v/>
      </c>
      <c r="J68" s="60" t="str">
        <f>IFERROR(INDEX([1]Cluster_Master!$E$4:$E$18,MATCH($F68,[1]Cluster_Master!$B$4:$B$18,0)),"")</f>
        <v/>
      </c>
      <c r="K68" s="60" t="str">
        <f>IFERROR(INDEX([1]Cluster_Master!$F$4:$F$18,MATCH($F68,[1]Cluster_Master!$B$4:$B$18,0)),"")</f>
        <v/>
      </c>
      <c r="L68" s="60" t="str">
        <f>IFERROR(INDEX([1]Cluster_Master!$G$4:$G$18,MATCH($F68,[1]Cluster_Master!$B$4:$B$18,0)),"")</f>
        <v/>
      </c>
      <c r="M68" s="60" t="str">
        <f>IFERROR(INDEX([1]Cluster_Master!$H$4:$H$18,MATCH($F68,[1]Cluster_Master!$B$4:$B$18,0)),"")</f>
        <v/>
      </c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60" t="str">
        <f>IF(COUNTA(T68:AH68)=0,"",SUM(T68:AH68))</f>
        <v/>
      </c>
      <c r="AJ68" s="61" t="str">
        <f>IF(COUNTA(T68:AH68)=0,"",AI68/75)</f>
        <v/>
      </c>
      <c r="AK68" s="61" t="str">
        <f>IF(COUNTA(T68:AH68)=0,"",(SUM(T68*[1]KPI_Weights!$B$4,U68*[1]KPI_Weights!$B$5,V68*[1]KPI_Weights!$B$6,W68*[1]KPI_Weights!$B$7,X68*[1]KPI_Weights!$B$8,Y68*[1]KPI_Weights!$B$9,Z68*[1]KPI_Weights!$B$10,AA68*[1]KPI_Weights!$B$11,AB68*[1]KPI_Weights!$B$12,AC68*[1]KPI_Weights!$B$13,AD68*[1]KPI_Weights!$B$14,AE68*[1]KPI_Weights!$B$15,AF68*[1]KPI_Weights!$B$16,AG68*[1]KPI_Weights!$B$17,AH68*[1]KPI_Weights!$B$18))/5)</f>
        <v/>
      </c>
      <c r="AL68" s="60" t="str">
        <f>IF(COUNTA(T68:AH68)=0,"",IF(OR(T68&lt;=1,W68&lt;=1,X68&lt;=1,Y68&lt;=1,AB68&lt;=1),"YES","NO"))</f>
        <v/>
      </c>
      <c r="AM68" s="60" t="str">
        <f>IF(AJ68="","",IF(AND(AL68="NO",AJ68&gt;=0.75),"YES","NO"))</f>
        <v/>
      </c>
      <c r="AN68" s="60" t="str">
        <f>IF(AJ68="","",IF(AJ68&lt;0.4,"Critical",IF(AJ68&lt;0.6,"Poor",IF(AJ68&lt;0.75,"Needs Improvement",IF(AJ68&lt;0.9,"Good","Excellent")))))</f>
        <v/>
      </c>
      <c r="AO68" s="59"/>
      <c r="AP68" s="59"/>
      <c r="AQ68" s="59"/>
      <c r="AR68" s="59"/>
      <c r="AS68" s="58"/>
      <c r="AT68" s="58"/>
      <c r="AU68" s="58"/>
      <c r="AV68" s="58"/>
      <c r="AW68" s="58"/>
      <c r="AX68" s="58"/>
      <c r="AY68" s="58"/>
      <c r="AZ68" s="58"/>
      <c r="BA68" s="58"/>
      <c r="BB68" s="58"/>
    </row>
    <row r="69" spans="1:54" ht="19.5" customHeight="1" x14ac:dyDescent="0.25">
      <c r="A69" s="60" t="str">
        <f>IF($B69="","",TEXT($B69,"yyyymmdd")&amp;"-"&amp;SUBSTITUTE($F69," ","")&amp;"-"&amp;TEXT(COUNTIF($F$4:F69,$F69),"00"))</f>
        <v/>
      </c>
      <c r="B69" s="65"/>
      <c r="C69" s="60" t="str">
        <f>IF($B69="","",WEEKNUM($B69,2))</f>
        <v/>
      </c>
      <c r="D69" s="60" t="str">
        <f>IF($B69="","",TEXT($B69,"yyyy-mm"))</f>
        <v/>
      </c>
      <c r="E69" s="64"/>
      <c r="F69" s="64"/>
      <c r="G69" s="60" t="str">
        <f>IF(OR($E69="",$F69=""),"",IFERROR(IF($E69=INDEX([1]Cluster_Master!$A$4:$A$18,MATCH($F69,[1]Cluster_Master!$B$4:$B$18,0)),"OK","CHECK"),"CHECK"))</f>
        <v/>
      </c>
      <c r="H69" s="63" t="str">
        <f>IFERROR(INDEX([1]Cluster_Master!$C$4:$C$18,MATCH($F69,[1]Cluster_Master!$B$4:$B$18,0)),"")</f>
        <v/>
      </c>
      <c r="I69" s="60" t="str">
        <f>IFERROR(INDEX([1]Cluster_Master!$D$4:$D$18,MATCH($F69,[1]Cluster_Master!$B$4:$B$18,0)),"")</f>
        <v/>
      </c>
      <c r="J69" s="60" t="str">
        <f>IFERROR(INDEX([1]Cluster_Master!$E$4:$E$18,MATCH($F69,[1]Cluster_Master!$B$4:$B$18,0)),"")</f>
        <v/>
      </c>
      <c r="K69" s="60" t="str">
        <f>IFERROR(INDEX([1]Cluster_Master!$F$4:$F$18,MATCH($F69,[1]Cluster_Master!$B$4:$B$18,0)),"")</f>
        <v/>
      </c>
      <c r="L69" s="60" t="str">
        <f>IFERROR(INDEX([1]Cluster_Master!$G$4:$G$18,MATCH($F69,[1]Cluster_Master!$B$4:$B$18,0)),"")</f>
        <v/>
      </c>
      <c r="M69" s="60" t="str">
        <f>IFERROR(INDEX([1]Cluster_Master!$H$4:$H$18,MATCH($F69,[1]Cluster_Master!$B$4:$B$18,0)),"")</f>
        <v/>
      </c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60" t="str">
        <f>IF(COUNTA(T69:AH69)=0,"",SUM(T69:AH69))</f>
        <v/>
      </c>
      <c r="AJ69" s="61" t="str">
        <f>IF(COUNTA(T69:AH69)=0,"",AI69/75)</f>
        <v/>
      </c>
      <c r="AK69" s="61" t="str">
        <f>IF(COUNTA(T69:AH69)=0,"",(SUM(T69*[1]KPI_Weights!$B$4,U69*[1]KPI_Weights!$B$5,V69*[1]KPI_Weights!$B$6,W69*[1]KPI_Weights!$B$7,X69*[1]KPI_Weights!$B$8,Y69*[1]KPI_Weights!$B$9,Z69*[1]KPI_Weights!$B$10,AA69*[1]KPI_Weights!$B$11,AB69*[1]KPI_Weights!$B$12,AC69*[1]KPI_Weights!$B$13,AD69*[1]KPI_Weights!$B$14,AE69*[1]KPI_Weights!$B$15,AF69*[1]KPI_Weights!$B$16,AG69*[1]KPI_Weights!$B$17,AH69*[1]KPI_Weights!$B$18))/5)</f>
        <v/>
      </c>
      <c r="AL69" s="60" t="str">
        <f>IF(COUNTA(T69:AH69)=0,"",IF(OR(T69&lt;=1,W69&lt;=1,X69&lt;=1,Y69&lt;=1,AB69&lt;=1),"YES","NO"))</f>
        <v/>
      </c>
      <c r="AM69" s="60" t="str">
        <f>IF(AJ69="","",IF(AND(AL69="NO",AJ69&gt;=0.75),"YES","NO"))</f>
        <v/>
      </c>
      <c r="AN69" s="60" t="str">
        <f>IF(AJ69="","",IF(AJ69&lt;0.4,"Critical",IF(AJ69&lt;0.6,"Poor",IF(AJ69&lt;0.75,"Needs Improvement",IF(AJ69&lt;0.9,"Good","Excellent")))))</f>
        <v/>
      </c>
      <c r="AO69" s="59"/>
      <c r="AP69" s="59"/>
      <c r="AQ69" s="59"/>
      <c r="AR69" s="59"/>
      <c r="AS69" s="58"/>
      <c r="AT69" s="58"/>
      <c r="AU69" s="58"/>
      <c r="AV69" s="58"/>
      <c r="AW69" s="58"/>
      <c r="AX69" s="58"/>
      <c r="AY69" s="58"/>
      <c r="AZ69" s="58"/>
      <c r="BA69" s="58"/>
      <c r="BB69" s="58"/>
    </row>
    <row r="70" spans="1:54" ht="19.5" customHeight="1" x14ac:dyDescent="0.25">
      <c r="A70" s="60" t="str">
        <f>IF($B70="","",TEXT($B70,"yyyymmdd")&amp;"-"&amp;SUBSTITUTE($F70," ","")&amp;"-"&amp;TEXT(COUNTIF($F$4:F70,$F70),"00"))</f>
        <v/>
      </c>
      <c r="B70" s="65"/>
      <c r="C70" s="60" t="str">
        <f>IF($B70="","",WEEKNUM($B70,2))</f>
        <v/>
      </c>
      <c r="D70" s="60" t="str">
        <f>IF($B70="","",TEXT($B70,"yyyy-mm"))</f>
        <v/>
      </c>
      <c r="E70" s="64"/>
      <c r="F70" s="64"/>
      <c r="G70" s="60" t="str">
        <f>IF(OR($E70="",$F70=""),"",IFERROR(IF($E70=INDEX([1]Cluster_Master!$A$4:$A$18,MATCH($F70,[1]Cluster_Master!$B$4:$B$18,0)),"OK","CHECK"),"CHECK"))</f>
        <v/>
      </c>
      <c r="H70" s="63" t="str">
        <f>IFERROR(INDEX([1]Cluster_Master!$C$4:$C$18,MATCH($F70,[1]Cluster_Master!$B$4:$B$18,0)),"")</f>
        <v/>
      </c>
      <c r="I70" s="60" t="str">
        <f>IFERROR(INDEX([1]Cluster_Master!$D$4:$D$18,MATCH($F70,[1]Cluster_Master!$B$4:$B$18,0)),"")</f>
        <v/>
      </c>
      <c r="J70" s="60" t="str">
        <f>IFERROR(INDEX([1]Cluster_Master!$E$4:$E$18,MATCH($F70,[1]Cluster_Master!$B$4:$B$18,0)),"")</f>
        <v/>
      </c>
      <c r="K70" s="60" t="str">
        <f>IFERROR(INDEX([1]Cluster_Master!$F$4:$F$18,MATCH($F70,[1]Cluster_Master!$B$4:$B$18,0)),"")</f>
        <v/>
      </c>
      <c r="L70" s="60" t="str">
        <f>IFERROR(INDEX([1]Cluster_Master!$G$4:$G$18,MATCH($F70,[1]Cluster_Master!$B$4:$B$18,0)),"")</f>
        <v/>
      </c>
      <c r="M70" s="60" t="str">
        <f>IFERROR(INDEX([1]Cluster_Master!$H$4:$H$18,MATCH($F70,[1]Cluster_Master!$B$4:$B$18,0)),"")</f>
        <v/>
      </c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60" t="str">
        <f>IF(COUNTA(T70:AH70)=0,"",SUM(T70:AH70))</f>
        <v/>
      </c>
      <c r="AJ70" s="61" t="str">
        <f>IF(COUNTA(T70:AH70)=0,"",AI70/75)</f>
        <v/>
      </c>
      <c r="AK70" s="61" t="str">
        <f>IF(COUNTA(T70:AH70)=0,"",(SUM(T70*[1]KPI_Weights!$B$4,U70*[1]KPI_Weights!$B$5,V70*[1]KPI_Weights!$B$6,W70*[1]KPI_Weights!$B$7,X70*[1]KPI_Weights!$B$8,Y70*[1]KPI_Weights!$B$9,Z70*[1]KPI_Weights!$B$10,AA70*[1]KPI_Weights!$B$11,AB70*[1]KPI_Weights!$B$12,AC70*[1]KPI_Weights!$B$13,AD70*[1]KPI_Weights!$B$14,AE70*[1]KPI_Weights!$B$15,AF70*[1]KPI_Weights!$B$16,AG70*[1]KPI_Weights!$B$17,AH70*[1]KPI_Weights!$B$18))/5)</f>
        <v/>
      </c>
      <c r="AL70" s="60" t="str">
        <f>IF(COUNTA(T70:AH70)=0,"",IF(OR(T70&lt;=1,W70&lt;=1,X70&lt;=1,Y70&lt;=1,AB70&lt;=1),"YES","NO"))</f>
        <v/>
      </c>
      <c r="AM70" s="60" t="str">
        <f>IF(AJ70="","",IF(AND(AL70="NO",AJ70&gt;=0.75),"YES","NO"))</f>
        <v/>
      </c>
      <c r="AN70" s="60" t="str">
        <f>IF(AJ70="","",IF(AJ70&lt;0.4,"Critical",IF(AJ70&lt;0.6,"Poor",IF(AJ70&lt;0.75,"Needs Improvement",IF(AJ70&lt;0.9,"Good","Excellent")))))</f>
        <v/>
      </c>
      <c r="AO70" s="59"/>
      <c r="AP70" s="59"/>
      <c r="AQ70" s="59"/>
      <c r="AR70" s="59"/>
      <c r="AS70" s="58"/>
      <c r="AT70" s="58"/>
      <c r="AU70" s="58"/>
      <c r="AV70" s="58"/>
      <c r="AW70" s="58"/>
      <c r="AX70" s="58"/>
      <c r="AY70" s="58"/>
      <c r="AZ70" s="58"/>
      <c r="BA70" s="58"/>
      <c r="BB70" s="58"/>
    </row>
    <row r="71" spans="1:54" ht="19.5" customHeight="1" x14ac:dyDescent="0.25">
      <c r="A71" s="60" t="str">
        <f>IF($B71="","",TEXT($B71,"yyyymmdd")&amp;"-"&amp;SUBSTITUTE($F71," ","")&amp;"-"&amp;TEXT(COUNTIF($F$4:F71,$F71),"00"))</f>
        <v/>
      </c>
      <c r="B71" s="65"/>
      <c r="C71" s="60" t="str">
        <f>IF($B71="","",WEEKNUM($B71,2))</f>
        <v/>
      </c>
      <c r="D71" s="60" t="str">
        <f>IF($B71="","",TEXT($B71,"yyyy-mm"))</f>
        <v/>
      </c>
      <c r="E71" s="64"/>
      <c r="F71" s="64"/>
      <c r="G71" s="60" t="str">
        <f>IF(OR($E71="",$F71=""),"",IFERROR(IF($E71=INDEX([1]Cluster_Master!$A$4:$A$18,MATCH($F71,[1]Cluster_Master!$B$4:$B$18,0)),"OK","CHECK"),"CHECK"))</f>
        <v/>
      </c>
      <c r="H71" s="63" t="str">
        <f>IFERROR(INDEX([1]Cluster_Master!$C$4:$C$18,MATCH($F71,[1]Cluster_Master!$B$4:$B$18,0)),"")</f>
        <v/>
      </c>
      <c r="I71" s="60" t="str">
        <f>IFERROR(INDEX([1]Cluster_Master!$D$4:$D$18,MATCH($F71,[1]Cluster_Master!$B$4:$B$18,0)),"")</f>
        <v/>
      </c>
      <c r="J71" s="60" t="str">
        <f>IFERROR(INDEX([1]Cluster_Master!$E$4:$E$18,MATCH($F71,[1]Cluster_Master!$B$4:$B$18,0)),"")</f>
        <v/>
      </c>
      <c r="K71" s="60" t="str">
        <f>IFERROR(INDEX([1]Cluster_Master!$F$4:$F$18,MATCH($F71,[1]Cluster_Master!$B$4:$B$18,0)),"")</f>
        <v/>
      </c>
      <c r="L71" s="60" t="str">
        <f>IFERROR(INDEX([1]Cluster_Master!$G$4:$G$18,MATCH($F71,[1]Cluster_Master!$B$4:$B$18,0)),"")</f>
        <v/>
      </c>
      <c r="M71" s="60" t="str">
        <f>IFERROR(INDEX([1]Cluster_Master!$H$4:$H$18,MATCH($F71,[1]Cluster_Master!$B$4:$B$18,0)),"")</f>
        <v/>
      </c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60" t="str">
        <f>IF(COUNTA(T71:AH71)=0,"",SUM(T71:AH71))</f>
        <v/>
      </c>
      <c r="AJ71" s="61" t="str">
        <f>IF(COUNTA(T71:AH71)=0,"",AI71/75)</f>
        <v/>
      </c>
      <c r="AK71" s="61" t="str">
        <f>IF(COUNTA(T71:AH71)=0,"",(SUM(T71*[1]KPI_Weights!$B$4,U71*[1]KPI_Weights!$B$5,V71*[1]KPI_Weights!$B$6,W71*[1]KPI_Weights!$B$7,X71*[1]KPI_Weights!$B$8,Y71*[1]KPI_Weights!$B$9,Z71*[1]KPI_Weights!$B$10,AA71*[1]KPI_Weights!$B$11,AB71*[1]KPI_Weights!$B$12,AC71*[1]KPI_Weights!$B$13,AD71*[1]KPI_Weights!$B$14,AE71*[1]KPI_Weights!$B$15,AF71*[1]KPI_Weights!$B$16,AG71*[1]KPI_Weights!$B$17,AH71*[1]KPI_Weights!$B$18))/5)</f>
        <v/>
      </c>
      <c r="AL71" s="60" t="str">
        <f>IF(COUNTA(T71:AH71)=0,"",IF(OR(T71&lt;=1,W71&lt;=1,X71&lt;=1,Y71&lt;=1,AB71&lt;=1),"YES","NO"))</f>
        <v/>
      </c>
      <c r="AM71" s="60" t="str">
        <f>IF(AJ71="","",IF(AND(AL71="NO",AJ71&gt;=0.75),"YES","NO"))</f>
        <v/>
      </c>
      <c r="AN71" s="60" t="str">
        <f>IF(AJ71="","",IF(AJ71&lt;0.4,"Critical",IF(AJ71&lt;0.6,"Poor",IF(AJ71&lt;0.75,"Needs Improvement",IF(AJ71&lt;0.9,"Good","Excellent")))))</f>
        <v/>
      </c>
      <c r="AO71" s="59"/>
      <c r="AP71" s="59"/>
      <c r="AQ71" s="59"/>
      <c r="AR71" s="59"/>
      <c r="AS71" s="58"/>
      <c r="AT71" s="58"/>
      <c r="AU71" s="58"/>
      <c r="AV71" s="58"/>
      <c r="AW71" s="58"/>
      <c r="AX71" s="58"/>
      <c r="AY71" s="58"/>
      <c r="AZ71" s="58"/>
      <c r="BA71" s="58"/>
      <c r="BB71" s="58"/>
    </row>
    <row r="72" spans="1:54" ht="19.5" customHeight="1" x14ac:dyDescent="0.25">
      <c r="A72" s="60" t="str">
        <f>IF($B72="","",TEXT($B72,"yyyymmdd")&amp;"-"&amp;SUBSTITUTE($F72," ","")&amp;"-"&amp;TEXT(COUNTIF($F$4:F72,$F72),"00"))</f>
        <v/>
      </c>
      <c r="B72" s="65"/>
      <c r="C72" s="60" t="str">
        <f>IF($B72="","",WEEKNUM($B72,2))</f>
        <v/>
      </c>
      <c r="D72" s="60" t="str">
        <f>IF($B72="","",TEXT($B72,"yyyy-mm"))</f>
        <v/>
      </c>
      <c r="E72" s="64"/>
      <c r="F72" s="64"/>
      <c r="G72" s="60" t="str">
        <f>IF(OR($E72="",$F72=""),"",IFERROR(IF($E72=INDEX([1]Cluster_Master!$A$4:$A$18,MATCH($F72,[1]Cluster_Master!$B$4:$B$18,0)),"OK","CHECK"),"CHECK"))</f>
        <v/>
      </c>
      <c r="H72" s="63" t="str">
        <f>IFERROR(INDEX([1]Cluster_Master!$C$4:$C$18,MATCH($F72,[1]Cluster_Master!$B$4:$B$18,0)),"")</f>
        <v/>
      </c>
      <c r="I72" s="60" t="str">
        <f>IFERROR(INDEX([1]Cluster_Master!$D$4:$D$18,MATCH($F72,[1]Cluster_Master!$B$4:$B$18,0)),"")</f>
        <v/>
      </c>
      <c r="J72" s="60" t="str">
        <f>IFERROR(INDEX([1]Cluster_Master!$E$4:$E$18,MATCH($F72,[1]Cluster_Master!$B$4:$B$18,0)),"")</f>
        <v/>
      </c>
      <c r="K72" s="60" t="str">
        <f>IFERROR(INDEX([1]Cluster_Master!$F$4:$F$18,MATCH($F72,[1]Cluster_Master!$B$4:$B$18,0)),"")</f>
        <v/>
      </c>
      <c r="L72" s="60" t="str">
        <f>IFERROR(INDEX([1]Cluster_Master!$G$4:$G$18,MATCH($F72,[1]Cluster_Master!$B$4:$B$18,0)),"")</f>
        <v/>
      </c>
      <c r="M72" s="60" t="str">
        <f>IFERROR(INDEX([1]Cluster_Master!$H$4:$H$18,MATCH($F72,[1]Cluster_Master!$B$4:$B$18,0)),"")</f>
        <v/>
      </c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60" t="str">
        <f>IF(COUNTA(T72:AH72)=0,"",SUM(T72:AH72))</f>
        <v/>
      </c>
      <c r="AJ72" s="61" t="str">
        <f>IF(COUNTA(T72:AH72)=0,"",AI72/75)</f>
        <v/>
      </c>
      <c r="AK72" s="61" t="str">
        <f>IF(COUNTA(T72:AH72)=0,"",(SUM(T72*[1]KPI_Weights!$B$4,U72*[1]KPI_Weights!$B$5,V72*[1]KPI_Weights!$B$6,W72*[1]KPI_Weights!$B$7,X72*[1]KPI_Weights!$B$8,Y72*[1]KPI_Weights!$B$9,Z72*[1]KPI_Weights!$B$10,AA72*[1]KPI_Weights!$B$11,AB72*[1]KPI_Weights!$B$12,AC72*[1]KPI_Weights!$B$13,AD72*[1]KPI_Weights!$B$14,AE72*[1]KPI_Weights!$B$15,AF72*[1]KPI_Weights!$B$16,AG72*[1]KPI_Weights!$B$17,AH72*[1]KPI_Weights!$B$18))/5)</f>
        <v/>
      </c>
      <c r="AL72" s="60" t="str">
        <f>IF(COUNTA(T72:AH72)=0,"",IF(OR(T72&lt;=1,W72&lt;=1,X72&lt;=1,Y72&lt;=1,AB72&lt;=1),"YES","NO"))</f>
        <v/>
      </c>
      <c r="AM72" s="60" t="str">
        <f>IF(AJ72="","",IF(AND(AL72="NO",AJ72&gt;=0.75),"YES","NO"))</f>
        <v/>
      </c>
      <c r="AN72" s="60" t="str">
        <f>IF(AJ72="","",IF(AJ72&lt;0.4,"Critical",IF(AJ72&lt;0.6,"Poor",IF(AJ72&lt;0.75,"Needs Improvement",IF(AJ72&lt;0.9,"Good","Excellent")))))</f>
        <v/>
      </c>
      <c r="AO72" s="59"/>
      <c r="AP72" s="59"/>
      <c r="AQ72" s="59"/>
      <c r="AR72" s="59"/>
      <c r="AS72" s="58"/>
      <c r="AT72" s="58"/>
      <c r="AU72" s="58"/>
      <c r="AV72" s="58"/>
      <c r="AW72" s="58"/>
      <c r="AX72" s="58"/>
      <c r="AY72" s="58"/>
      <c r="AZ72" s="58"/>
      <c r="BA72" s="58"/>
      <c r="BB72" s="58"/>
    </row>
    <row r="73" spans="1:54" ht="19.5" customHeight="1" x14ac:dyDescent="0.25">
      <c r="A73" s="60" t="str">
        <f>IF($B73="","",TEXT($B73,"yyyymmdd")&amp;"-"&amp;SUBSTITUTE($F73," ","")&amp;"-"&amp;TEXT(COUNTIF($F$4:F73,$F73),"00"))</f>
        <v/>
      </c>
      <c r="B73" s="65"/>
      <c r="C73" s="60" t="str">
        <f>IF($B73="","",WEEKNUM($B73,2))</f>
        <v/>
      </c>
      <c r="D73" s="60" t="str">
        <f>IF($B73="","",TEXT($B73,"yyyy-mm"))</f>
        <v/>
      </c>
      <c r="E73" s="64"/>
      <c r="F73" s="64"/>
      <c r="G73" s="60" t="str">
        <f>IF(OR($E73="",$F73=""),"",IFERROR(IF($E73=INDEX([1]Cluster_Master!$A$4:$A$18,MATCH($F73,[1]Cluster_Master!$B$4:$B$18,0)),"OK","CHECK"),"CHECK"))</f>
        <v/>
      </c>
      <c r="H73" s="63" t="str">
        <f>IFERROR(INDEX([1]Cluster_Master!$C$4:$C$18,MATCH($F73,[1]Cluster_Master!$B$4:$B$18,0)),"")</f>
        <v/>
      </c>
      <c r="I73" s="60" t="str">
        <f>IFERROR(INDEX([1]Cluster_Master!$D$4:$D$18,MATCH($F73,[1]Cluster_Master!$B$4:$B$18,0)),"")</f>
        <v/>
      </c>
      <c r="J73" s="60" t="str">
        <f>IFERROR(INDEX([1]Cluster_Master!$E$4:$E$18,MATCH($F73,[1]Cluster_Master!$B$4:$B$18,0)),"")</f>
        <v/>
      </c>
      <c r="K73" s="60" t="str">
        <f>IFERROR(INDEX([1]Cluster_Master!$F$4:$F$18,MATCH($F73,[1]Cluster_Master!$B$4:$B$18,0)),"")</f>
        <v/>
      </c>
      <c r="L73" s="60" t="str">
        <f>IFERROR(INDEX([1]Cluster_Master!$G$4:$G$18,MATCH($F73,[1]Cluster_Master!$B$4:$B$18,0)),"")</f>
        <v/>
      </c>
      <c r="M73" s="60" t="str">
        <f>IFERROR(INDEX([1]Cluster_Master!$H$4:$H$18,MATCH($F73,[1]Cluster_Master!$B$4:$B$18,0)),"")</f>
        <v/>
      </c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60" t="str">
        <f>IF(COUNTA(T73:AH73)=0,"",SUM(T73:AH73))</f>
        <v/>
      </c>
      <c r="AJ73" s="61" t="str">
        <f>IF(COUNTA(T73:AH73)=0,"",AI73/75)</f>
        <v/>
      </c>
      <c r="AK73" s="61" t="str">
        <f>IF(COUNTA(T73:AH73)=0,"",(SUM(T73*[1]KPI_Weights!$B$4,U73*[1]KPI_Weights!$B$5,V73*[1]KPI_Weights!$B$6,W73*[1]KPI_Weights!$B$7,X73*[1]KPI_Weights!$B$8,Y73*[1]KPI_Weights!$B$9,Z73*[1]KPI_Weights!$B$10,AA73*[1]KPI_Weights!$B$11,AB73*[1]KPI_Weights!$B$12,AC73*[1]KPI_Weights!$B$13,AD73*[1]KPI_Weights!$B$14,AE73*[1]KPI_Weights!$B$15,AF73*[1]KPI_Weights!$B$16,AG73*[1]KPI_Weights!$B$17,AH73*[1]KPI_Weights!$B$18))/5)</f>
        <v/>
      </c>
      <c r="AL73" s="60" t="str">
        <f>IF(COUNTA(T73:AH73)=0,"",IF(OR(T73&lt;=1,W73&lt;=1,X73&lt;=1,Y73&lt;=1,AB73&lt;=1),"YES","NO"))</f>
        <v/>
      </c>
      <c r="AM73" s="60" t="str">
        <f>IF(AJ73="","",IF(AND(AL73="NO",AJ73&gt;=0.75),"YES","NO"))</f>
        <v/>
      </c>
      <c r="AN73" s="60" t="str">
        <f>IF(AJ73="","",IF(AJ73&lt;0.4,"Critical",IF(AJ73&lt;0.6,"Poor",IF(AJ73&lt;0.75,"Needs Improvement",IF(AJ73&lt;0.9,"Good","Excellent")))))</f>
        <v/>
      </c>
      <c r="AO73" s="59"/>
      <c r="AP73" s="59"/>
      <c r="AQ73" s="59"/>
      <c r="AR73" s="59"/>
      <c r="AS73" s="58"/>
      <c r="AT73" s="58"/>
      <c r="AU73" s="58"/>
      <c r="AV73" s="58"/>
      <c r="AW73" s="58"/>
      <c r="AX73" s="58"/>
      <c r="AY73" s="58"/>
      <c r="AZ73" s="58"/>
      <c r="BA73" s="58"/>
      <c r="BB73" s="58"/>
    </row>
    <row r="74" spans="1:54" ht="19.5" customHeight="1" x14ac:dyDescent="0.25">
      <c r="A74" s="60" t="str">
        <f>IF($B74="","",TEXT($B74,"yyyymmdd")&amp;"-"&amp;SUBSTITUTE($F74," ","")&amp;"-"&amp;TEXT(COUNTIF($F$4:F74,$F74),"00"))</f>
        <v/>
      </c>
      <c r="B74" s="65"/>
      <c r="C74" s="60" t="str">
        <f>IF($B74="","",WEEKNUM($B74,2))</f>
        <v/>
      </c>
      <c r="D74" s="60" t="str">
        <f>IF($B74="","",TEXT($B74,"yyyy-mm"))</f>
        <v/>
      </c>
      <c r="E74" s="64"/>
      <c r="F74" s="64"/>
      <c r="G74" s="60" t="str">
        <f>IF(OR($E74="",$F74=""),"",IFERROR(IF($E74=INDEX([1]Cluster_Master!$A$4:$A$18,MATCH($F74,[1]Cluster_Master!$B$4:$B$18,0)),"OK","CHECK"),"CHECK"))</f>
        <v/>
      </c>
      <c r="H74" s="63" t="str">
        <f>IFERROR(INDEX([1]Cluster_Master!$C$4:$C$18,MATCH($F74,[1]Cluster_Master!$B$4:$B$18,0)),"")</f>
        <v/>
      </c>
      <c r="I74" s="60" t="str">
        <f>IFERROR(INDEX([1]Cluster_Master!$D$4:$D$18,MATCH($F74,[1]Cluster_Master!$B$4:$B$18,0)),"")</f>
        <v/>
      </c>
      <c r="J74" s="60" t="str">
        <f>IFERROR(INDEX([1]Cluster_Master!$E$4:$E$18,MATCH($F74,[1]Cluster_Master!$B$4:$B$18,0)),"")</f>
        <v/>
      </c>
      <c r="K74" s="60" t="str">
        <f>IFERROR(INDEX([1]Cluster_Master!$F$4:$F$18,MATCH($F74,[1]Cluster_Master!$B$4:$B$18,0)),"")</f>
        <v/>
      </c>
      <c r="L74" s="60" t="str">
        <f>IFERROR(INDEX([1]Cluster_Master!$G$4:$G$18,MATCH($F74,[1]Cluster_Master!$B$4:$B$18,0)),"")</f>
        <v/>
      </c>
      <c r="M74" s="60" t="str">
        <f>IFERROR(INDEX([1]Cluster_Master!$H$4:$H$18,MATCH($F74,[1]Cluster_Master!$B$4:$B$18,0)),"")</f>
        <v/>
      </c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60" t="str">
        <f>IF(COUNTA(T74:AH74)=0,"",SUM(T74:AH74))</f>
        <v/>
      </c>
      <c r="AJ74" s="61" t="str">
        <f>IF(COUNTA(T74:AH74)=0,"",AI74/75)</f>
        <v/>
      </c>
      <c r="AK74" s="61" t="str">
        <f>IF(COUNTA(T74:AH74)=0,"",(SUM(T74*[1]KPI_Weights!$B$4,U74*[1]KPI_Weights!$B$5,V74*[1]KPI_Weights!$B$6,W74*[1]KPI_Weights!$B$7,X74*[1]KPI_Weights!$B$8,Y74*[1]KPI_Weights!$B$9,Z74*[1]KPI_Weights!$B$10,AA74*[1]KPI_Weights!$B$11,AB74*[1]KPI_Weights!$B$12,AC74*[1]KPI_Weights!$B$13,AD74*[1]KPI_Weights!$B$14,AE74*[1]KPI_Weights!$B$15,AF74*[1]KPI_Weights!$B$16,AG74*[1]KPI_Weights!$B$17,AH74*[1]KPI_Weights!$B$18))/5)</f>
        <v/>
      </c>
      <c r="AL74" s="60" t="str">
        <f>IF(COUNTA(T74:AH74)=0,"",IF(OR(T74&lt;=1,W74&lt;=1,X74&lt;=1,Y74&lt;=1,AB74&lt;=1),"YES","NO"))</f>
        <v/>
      </c>
      <c r="AM74" s="60" t="str">
        <f>IF(AJ74="","",IF(AND(AL74="NO",AJ74&gt;=0.75),"YES","NO"))</f>
        <v/>
      </c>
      <c r="AN74" s="60" t="str">
        <f>IF(AJ74="","",IF(AJ74&lt;0.4,"Critical",IF(AJ74&lt;0.6,"Poor",IF(AJ74&lt;0.75,"Needs Improvement",IF(AJ74&lt;0.9,"Good","Excellent")))))</f>
        <v/>
      </c>
      <c r="AO74" s="59"/>
      <c r="AP74" s="59"/>
      <c r="AQ74" s="59"/>
      <c r="AR74" s="59"/>
      <c r="AS74" s="58"/>
      <c r="AT74" s="58"/>
      <c r="AU74" s="58"/>
      <c r="AV74" s="58"/>
      <c r="AW74" s="58"/>
      <c r="AX74" s="58"/>
      <c r="AY74" s="58"/>
      <c r="AZ74" s="58"/>
      <c r="BA74" s="58"/>
      <c r="BB74" s="58"/>
    </row>
    <row r="75" spans="1:54" ht="19.5" customHeight="1" x14ac:dyDescent="0.25">
      <c r="A75" s="60" t="str">
        <f>IF($B75="","",TEXT($B75,"yyyymmdd")&amp;"-"&amp;SUBSTITUTE($F75," ","")&amp;"-"&amp;TEXT(COUNTIF($F$4:F75,$F75),"00"))</f>
        <v/>
      </c>
      <c r="B75" s="65"/>
      <c r="C75" s="60" t="str">
        <f>IF($B75="","",WEEKNUM($B75,2))</f>
        <v/>
      </c>
      <c r="D75" s="60" t="str">
        <f>IF($B75="","",TEXT($B75,"yyyy-mm"))</f>
        <v/>
      </c>
      <c r="E75" s="64"/>
      <c r="F75" s="64"/>
      <c r="G75" s="60" t="str">
        <f>IF(OR($E75="",$F75=""),"",IFERROR(IF($E75=INDEX([1]Cluster_Master!$A$4:$A$18,MATCH($F75,[1]Cluster_Master!$B$4:$B$18,0)),"OK","CHECK"),"CHECK"))</f>
        <v/>
      </c>
      <c r="H75" s="63" t="str">
        <f>IFERROR(INDEX([1]Cluster_Master!$C$4:$C$18,MATCH($F75,[1]Cluster_Master!$B$4:$B$18,0)),"")</f>
        <v/>
      </c>
      <c r="I75" s="60" t="str">
        <f>IFERROR(INDEX([1]Cluster_Master!$D$4:$D$18,MATCH($F75,[1]Cluster_Master!$B$4:$B$18,0)),"")</f>
        <v/>
      </c>
      <c r="J75" s="60" t="str">
        <f>IFERROR(INDEX([1]Cluster_Master!$E$4:$E$18,MATCH($F75,[1]Cluster_Master!$B$4:$B$18,0)),"")</f>
        <v/>
      </c>
      <c r="K75" s="60" t="str">
        <f>IFERROR(INDEX([1]Cluster_Master!$F$4:$F$18,MATCH($F75,[1]Cluster_Master!$B$4:$B$18,0)),"")</f>
        <v/>
      </c>
      <c r="L75" s="60" t="str">
        <f>IFERROR(INDEX([1]Cluster_Master!$G$4:$G$18,MATCH($F75,[1]Cluster_Master!$B$4:$B$18,0)),"")</f>
        <v/>
      </c>
      <c r="M75" s="60" t="str">
        <f>IFERROR(INDEX([1]Cluster_Master!$H$4:$H$18,MATCH($F75,[1]Cluster_Master!$B$4:$B$18,0)),"")</f>
        <v/>
      </c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60" t="str">
        <f>IF(COUNTA(T75:AH75)=0,"",SUM(T75:AH75))</f>
        <v/>
      </c>
      <c r="AJ75" s="61" t="str">
        <f>IF(COUNTA(T75:AH75)=0,"",AI75/75)</f>
        <v/>
      </c>
      <c r="AK75" s="61" t="str">
        <f>IF(COUNTA(T75:AH75)=0,"",(SUM(T75*[1]KPI_Weights!$B$4,U75*[1]KPI_Weights!$B$5,V75*[1]KPI_Weights!$B$6,W75*[1]KPI_Weights!$B$7,X75*[1]KPI_Weights!$B$8,Y75*[1]KPI_Weights!$B$9,Z75*[1]KPI_Weights!$B$10,AA75*[1]KPI_Weights!$B$11,AB75*[1]KPI_Weights!$B$12,AC75*[1]KPI_Weights!$B$13,AD75*[1]KPI_Weights!$B$14,AE75*[1]KPI_Weights!$B$15,AF75*[1]KPI_Weights!$B$16,AG75*[1]KPI_Weights!$B$17,AH75*[1]KPI_Weights!$B$18))/5)</f>
        <v/>
      </c>
      <c r="AL75" s="60" t="str">
        <f>IF(COUNTA(T75:AH75)=0,"",IF(OR(T75&lt;=1,W75&lt;=1,X75&lt;=1,Y75&lt;=1,AB75&lt;=1),"YES","NO"))</f>
        <v/>
      </c>
      <c r="AM75" s="60" t="str">
        <f>IF(AJ75="","",IF(AND(AL75="NO",AJ75&gt;=0.75),"YES","NO"))</f>
        <v/>
      </c>
      <c r="AN75" s="60" t="str">
        <f>IF(AJ75="","",IF(AJ75&lt;0.4,"Critical",IF(AJ75&lt;0.6,"Poor",IF(AJ75&lt;0.75,"Needs Improvement",IF(AJ75&lt;0.9,"Good","Excellent")))))</f>
        <v/>
      </c>
      <c r="AO75" s="59"/>
      <c r="AP75" s="59"/>
      <c r="AQ75" s="59"/>
      <c r="AR75" s="59"/>
      <c r="AS75" s="58"/>
      <c r="AT75" s="58"/>
      <c r="AU75" s="58"/>
      <c r="AV75" s="58"/>
      <c r="AW75" s="58"/>
      <c r="AX75" s="58"/>
      <c r="AY75" s="58"/>
      <c r="AZ75" s="58"/>
      <c r="BA75" s="58"/>
      <c r="BB75" s="58"/>
    </row>
    <row r="76" spans="1:54" ht="19.5" customHeight="1" x14ac:dyDescent="0.25">
      <c r="A76" s="60" t="str">
        <f>IF($B76="","",TEXT($B76,"yyyymmdd")&amp;"-"&amp;SUBSTITUTE($F76," ","")&amp;"-"&amp;TEXT(COUNTIF($F$4:F76,$F76),"00"))</f>
        <v/>
      </c>
      <c r="B76" s="65"/>
      <c r="C76" s="60" t="str">
        <f>IF($B76="","",WEEKNUM($B76,2))</f>
        <v/>
      </c>
      <c r="D76" s="60" t="str">
        <f>IF($B76="","",TEXT($B76,"yyyy-mm"))</f>
        <v/>
      </c>
      <c r="E76" s="64"/>
      <c r="F76" s="64"/>
      <c r="G76" s="60" t="str">
        <f>IF(OR($E76="",$F76=""),"",IFERROR(IF($E76=INDEX([1]Cluster_Master!$A$4:$A$18,MATCH($F76,[1]Cluster_Master!$B$4:$B$18,0)),"OK","CHECK"),"CHECK"))</f>
        <v/>
      </c>
      <c r="H76" s="63" t="str">
        <f>IFERROR(INDEX([1]Cluster_Master!$C$4:$C$18,MATCH($F76,[1]Cluster_Master!$B$4:$B$18,0)),"")</f>
        <v/>
      </c>
      <c r="I76" s="60" t="str">
        <f>IFERROR(INDEX([1]Cluster_Master!$D$4:$D$18,MATCH($F76,[1]Cluster_Master!$B$4:$B$18,0)),"")</f>
        <v/>
      </c>
      <c r="J76" s="60" t="str">
        <f>IFERROR(INDEX([1]Cluster_Master!$E$4:$E$18,MATCH($F76,[1]Cluster_Master!$B$4:$B$18,0)),"")</f>
        <v/>
      </c>
      <c r="K76" s="60" t="str">
        <f>IFERROR(INDEX([1]Cluster_Master!$F$4:$F$18,MATCH($F76,[1]Cluster_Master!$B$4:$B$18,0)),"")</f>
        <v/>
      </c>
      <c r="L76" s="60" t="str">
        <f>IFERROR(INDEX([1]Cluster_Master!$G$4:$G$18,MATCH($F76,[1]Cluster_Master!$B$4:$B$18,0)),"")</f>
        <v/>
      </c>
      <c r="M76" s="60" t="str">
        <f>IFERROR(INDEX([1]Cluster_Master!$H$4:$H$18,MATCH($F76,[1]Cluster_Master!$B$4:$B$18,0)),"")</f>
        <v/>
      </c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60" t="str">
        <f>IF(COUNTA(T76:AH76)=0,"",SUM(T76:AH76))</f>
        <v/>
      </c>
      <c r="AJ76" s="61" t="str">
        <f>IF(COUNTA(T76:AH76)=0,"",AI76/75)</f>
        <v/>
      </c>
      <c r="AK76" s="61" t="str">
        <f>IF(COUNTA(T76:AH76)=0,"",(SUM(T76*[1]KPI_Weights!$B$4,U76*[1]KPI_Weights!$B$5,V76*[1]KPI_Weights!$B$6,W76*[1]KPI_Weights!$B$7,X76*[1]KPI_Weights!$B$8,Y76*[1]KPI_Weights!$B$9,Z76*[1]KPI_Weights!$B$10,AA76*[1]KPI_Weights!$B$11,AB76*[1]KPI_Weights!$B$12,AC76*[1]KPI_Weights!$B$13,AD76*[1]KPI_Weights!$B$14,AE76*[1]KPI_Weights!$B$15,AF76*[1]KPI_Weights!$B$16,AG76*[1]KPI_Weights!$B$17,AH76*[1]KPI_Weights!$B$18))/5)</f>
        <v/>
      </c>
      <c r="AL76" s="60" t="str">
        <f>IF(COUNTA(T76:AH76)=0,"",IF(OR(T76&lt;=1,W76&lt;=1,X76&lt;=1,Y76&lt;=1,AB76&lt;=1),"YES","NO"))</f>
        <v/>
      </c>
      <c r="AM76" s="60" t="str">
        <f>IF(AJ76="","",IF(AND(AL76="NO",AJ76&gt;=0.75),"YES","NO"))</f>
        <v/>
      </c>
      <c r="AN76" s="60" t="str">
        <f>IF(AJ76="","",IF(AJ76&lt;0.4,"Critical",IF(AJ76&lt;0.6,"Poor",IF(AJ76&lt;0.75,"Needs Improvement",IF(AJ76&lt;0.9,"Good","Excellent")))))</f>
        <v/>
      </c>
      <c r="AO76" s="59"/>
      <c r="AP76" s="59"/>
      <c r="AQ76" s="59"/>
      <c r="AR76" s="59"/>
      <c r="AS76" s="58"/>
      <c r="AT76" s="58"/>
      <c r="AU76" s="58"/>
      <c r="AV76" s="58"/>
      <c r="AW76" s="58"/>
      <c r="AX76" s="58"/>
      <c r="AY76" s="58"/>
      <c r="AZ76" s="58"/>
      <c r="BA76" s="58"/>
      <c r="BB76" s="58"/>
    </row>
    <row r="77" spans="1:54" ht="19.5" customHeight="1" x14ac:dyDescent="0.25">
      <c r="A77" s="60" t="str">
        <f>IF($B77="","",TEXT($B77,"yyyymmdd")&amp;"-"&amp;SUBSTITUTE($F77," ","")&amp;"-"&amp;TEXT(COUNTIF($F$4:F77,$F77),"00"))</f>
        <v/>
      </c>
      <c r="B77" s="65"/>
      <c r="C77" s="60" t="str">
        <f>IF($B77="","",WEEKNUM($B77,2))</f>
        <v/>
      </c>
      <c r="D77" s="60" t="str">
        <f>IF($B77="","",TEXT($B77,"yyyy-mm"))</f>
        <v/>
      </c>
      <c r="E77" s="64"/>
      <c r="F77" s="64"/>
      <c r="G77" s="60" t="str">
        <f>IF(OR($E77="",$F77=""),"",IFERROR(IF($E77=INDEX([1]Cluster_Master!$A$4:$A$18,MATCH($F77,[1]Cluster_Master!$B$4:$B$18,0)),"OK","CHECK"),"CHECK"))</f>
        <v/>
      </c>
      <c r="H77" s="63" t="str">
        <f>IFERROR(INDEX([1]Cluster_Master!$C$4:$C$18,MATCH($F77,[1]Cluster_Master!$B$4:$B$18,0)),"")</f>
        <v/>
      </c>
      <c r="I77" s="60" t="str">
        <f>IFERROR(INDEX([1]Cluster_Master!$D$4:$D$18,MATCH($F77,[1]Cluster_Master!$B$4:$B$18,0)),"")</f>
        <v/>
      </c>
      <c r="J77" s="60" t="str">
        <f>IFERROR(INDEX([1]Cluster_Master!$E$4:$E$18,MATCH($F77,[1]Cluster_Master!$B$4:$B$18,0)),"")</f>
        <v/>
      </c>
      <c r="K77" s="60" t="str">
        <f>IFERROR(INDEX([1]Cluster_Master!$F$4:$F$18,MATCH($F77,[1]Cluster_Master!$B$4:$B$18,0)),"")</f>
        <v/>
      </c>
      <c r="L77" s="60" t="str">
        <f>IFERROR(INDEX([1]Cluster_Master!$G$4:$G$18,MATCH($F77,[1]Cluster_Master!$B$4:$B$18,0)),"")</f>
        <v/>
      </c>
      <c r="M77" s="60" t="str">
        <f>IFERROR(INDEX([1]Cluster_Master!$H$4:$H$18,MATCH($F77,[1]Cluster_Master!$B$4:$B$18,0)),"")</f>
        <v/>
      </c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60" t="str">
        <f>IF(COUNTA(T77:AH77)=0,"",SUM(T77:AH77))</f>
        <v/>
      </c>
      <c r="AJ77" s="61" t="str">
        <f>IF(COUNTA(T77:AH77)=0,"",AI77/75)</f>
        <v/>
      </c>
      <c r="AK77" s="61" t="str">
        <f>IF(COUNTA(T77:AH77)=0,"",(SUM(T77*[1]KPI_Weights!$B$4,U77*[1]KPI_Weights!$B$5,V77*[1]KPI_Weights!$B$6,W77*[1]KPI_Weights!$B$7,X77*[1]KPI_Weights!$B$8,Y77*[1]KPI_Weights!$B$9,Z77*[1]KPI_Weights!$B$10,AA77*[1]KPI_Weights!$B$11,AB77*[1]KPI_Weights!$B$12,AC77*[1]KPI_Weights!$B$13,AD77*[1]KPI_Weights!$B$14,AE77*[1]KPI_Weights!$B$15,AF77*[1]KPI_Weights!$B$16,AG77*[1]KPI_Weights!$B$17,AH77*[1]KPI_Weights!$B$18))/5)</f>
        <v/>
      </c>
      <c r="AL77" s="60" t="str">
        <f>IF(COUNTA(T77:AH77)=0,"",IF(OR(T77&lt;=1,W77&lt;=1,X77&lt;=1,Y77&lt;=1,AB77&lt;=1),"YES","NO"))</f>
        <v/>
      </c>
      <c r="AM77" s="60" t="str">
        <f>IF(AJ77="","",IF(AND(AL77="NO",AJ77&gt;=0.75),"YES","NO"))</f>
        <v/>
      </c>
      <c r="AN77" s="60" t="str">
        <f>IF(AJ77="","",IF(AJ77&lt;0.4,"Critical",IF(AJ77&lt;0.6,"Poor",IF(AJ77&lt;0.75,"Needs Improvement",IF(AJ77&lt;0.9,"Good","Excellent")))))</f>
        <v/>
      </c>
      <c r="AO77" s="59"/>
      <c r="AP77" s="59"/>
      <c r="AQ77" s="59"/>
      <c r="AR77" s="59"/>
      <c r="AS77" s="58"/>
      <c r="AT77" s="58"/>
      <c r="AU77" s="58"/>
      <c r="AV77" s="58"/>
      <c r="AW77" s="58"/>
      <c r="AX77" s="58"/>
      <c r="AY77" s="58"/>
      <c r="AZ77" s="58"/>
      <c r="BA77" s="58"/>
      <c r="BB77" s="58"/>
    </row>
    <row r="78" spans="1:54" ht="19.5" customHeight="1" x14ac:dyDescent="0.25">
      <c r="A78" s="60" t="str">
        <f>IF($B78="","",TEXT($B78,"yyyymmdd")&amp;"-"&amp;SUBSTITUTE($F78," ","")&amp;"-"&amp;TEXT(COUNTIF($F$4:F78,$F78),"00"))</f>
        <v/>
      </c>
      <c r="B78" s="65"/>
      <c r="C78" s="60" t="str">
        <f>IF($B78="","",WEEKNUM($B78,2))</f>
        <v/>
      </c>
      <c r="D78" s="60" t="str">
        <f>IF($B78="","",TEXT($B78,"yyyy-mm"))</f>
        <v/>
      </c>
      <c r="E78" s="64"/>
      <c r="F78" s="64"/>
      <c r="G78" s="60" t="str">
        <f>IF(OR($E78="",$F78=""),"",IFERROR(IF($E78=INDEX([1]Cluster_Master!$A$4:$A$18,MATCH($F78,[1]Cluster_Master!$B$4:$B$18,0)),"OK","CHECK"),"CHECK"))</f>
        <v/>
      </c>
      <c r="H78" s="63" t="str">
        <f>IFERROR(INDEX([1]Cluster_Master!$C$4:$C$18,MATCH($F78,[1]Cluster_Master!$B$4:$B$18,0)),"")</f>
        <v/>
      </c>
      <c r="I78" s="60" t="str">
        <f>IFERROR(INDEX([1]Cluster_Master!$D$4:$D$18,MATCH($F78,[1]Cluster_Master!$B$4:$B$18,0)),"")</f>
        <v/>
      </c>
      <c r="J78" s="60" t="str">
        <f>IFERROR(INDEX([1]Cluster_Master!$E$4:$E$18,MATCH($F78,[1]Cluster_Master!$B$4:$B$18,0)),"")</f>
        <v/>
      </c>
      <c r="K78" s="60" t="str">
        <f>IFERROR(INDEX([1]Cluster_Master!$F$4:$F$18,MATCH($F78,[1]Cluster_Master!$B$4:$B$18,0)),"")</f>
        <v/>
      </c>
      <c r="L78" s="60" t="str">
        <f>IFERROR(INDEX([1]Cluster_Master!$G$4:$G$18,MATCH($F78,[1]Cluster_Master!$B$4:$B$18,0)),"")</f>
        <v/>
      </c>
      <c r="M78" s="60" t="str">
        <f>IFERROR(INDEX([1]Cluster_Master!$H$4:$H$18,MATCH($F78,[1]Cluster_Master!$B$4:$B$18,0)),"")</f>
        <v/>
      </c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60" t="str">
        <f>IF(COUNTA(T78:AH78)=0,"",SUM(T78:AH78))</f>
        <v/>
      </c>
      <c r="AJ78" s="61" t="str">
        <f>IF(COUNTA(T78:AH78)=0,"",AI78/75)</f>
        <v/>
      </c>
      <c r="AK78" s="61" t="str">
        <f>IF(COUNTA(T78:AH78)=0,"",(SUM(T78*[1]KPI_Weights!$B$4,U78*[1]KPI_Weights!$B$5,V78*[1]KPI_Weights!$B$6,W78*[1]KPI_Weights!$B$7,X78*[1]KPI_Weights!$B$8,Y78*[1]KPI_Weights!$B$9,Z78*[1]KPI_Weights!$B$10,AA78*[1]KPI_Weights!$B$11,AB78*[1]KPI_Weights!$B$12,AC78*[1]KPI_Weights!$B$13,AD78*[1]KPI_Weights!$B$14,AE78*[1]KPI_Weights!$B$15,AF78*[1]KPI_Weights!$B$16,AG78*[1]KPI_Weights!$B$17,AH78*[1]KPI_Weights!$B$18))/5)</f>
        <v/>
      </c>
      <c r="AL78" s="60" t="str">
        <f>IF(COUNTA(T78:AH78)=0,"",IF(OR(T78&lt;=1,W78&lt;=1,X78&lt;=1,Y78&lt;=1,AB78&lt;=1),"YES","NO"))</f>
        <v/>
      </c>
      <c r="AM78" s="60" t="str">
        <f>IF(AJ78="","",IF(AND(AL78="NO",AJ78&gt;=0.75),"YES","NO"))</f>
        <v/>
      </c>
      <c r="AN78" s="60" t="str">
        <f>IF(AJ78="","",IF(AJ78&lt;0.4,"Critical",IF(AJ78&lt;0.6,"Poor",IF(AJ78&lt;0.75,"Needs Improvement",IF(AJ78&lt;0.9,"Good","Excellent")))))</f>
        <v/>
      </c>
      <c r="AO78" s="59"/>
      <c r="AP78" s="59"/>
      <c r="AQ78" s="59"/>
      <c r="AR78" s="59"/>
      <c r="AS78" s="58"/>
      <c r="AT78" s="58"/>
      <c r="AU78" s="58"/>
      <c r="AV78" s="58"/>
      <c r="AW78" s="58"/>
      <c r="AX78" s="58"/>
      <c r="AY78" s="58"/>
      <c r="AZ78" s="58"/>
      <c r="BA78" s="58"/>
      <c r="BB78" s="58"/>
    </row>
    <row r="79" spans="1:54" ht="19.5" customHeight="1" x14ac:dyDescent="0.25">
      <c r="A79" s="60" t="str">
        <f>IF($B79="","",TEXT($B79,"yyyymmdd")&amp;"-"&amp;SUBSTITUTE($F79," ","")&amp;"-"&amp;TEXT(COUNTIF($F$4:F79,$F79),"00"))</f>
        <v/>
      </c>
      <c r="B79" s="65"/>
      <c r="C79" s="60" t="str">
        <f>IF($B79="","",WEEKNUM($B79,2))</f>
        <v/>
      </c>
      <c r="D79" s="60" t="str">
        <f>IF($B79="","",TEXT($B79,"yyyy-mm"))</f>
        <v/>
      </c>
      <c r="E79" s="64"/>
      <c r="F79" s="64"/>
      <c r="G79" s="60" t="str">
        <f>IF(OR($E79="",$F79=""),"",IFERROR(IF($E79=INDEX([1]Cluster_Master!$A$4:$A$18,MATCH($F79,[1]Cluster_Master!$B$4:$B$18,0)),"OK","CHECK"),"CHECK"))</f>
        <v/>
      </c>
      <c r="H79" s="63" t="str">
        <f>IFERROR(INDEX([1]Cluster_Master!$C$4:$C$18,MATCH($F79,[1]Cluster_Master!$B$4:$B$18,0)),"")</f>
        <v/>
      </c>
      <c r="I79" s="60" t="str">
        <f>IFERROR(INDEX([1]Cluster_Master!$D$4:$D$18,MATCH($F79,[1]Cluster_Master!$B$4:$B$18,0)),"")</f>
        <v/>
      </c>
      <c r="J79" s="60" t="str">
        <f>IFERROR(INDEX([1]Cluster_Master!$E$4:$E$18,MATCH($F79,[1]Cluster_Master!$B$4:$B$18,0)),"")</f>
        <v/>
      </c>
      <c r="K79" s="60" t="str">
        <f>IFERROR(INDEX([1]Cluster_Master!$F$4:$F$18,MATCH($F79,[1]Cluster_Master!$B$4:$B$18,0)),"")</f>
        <v/>
      </c>
      <c r="L79" s="60" t="str">
        <f>IFERROR(INDEX([1]Cluster_Master!$G$4:$G$18,MATCH($F79,[1]Cluster_Master!$B$4:$B$18,0)),"")</f>
        <v/>
      </c>
      <c r="M79" s="60" t="str">
        <f>IFERROR(INDEX([1]Cluster_Master!$H$4:$H$18,MATCH($F79,[1]Cluster_Master!$B$4:$B$18,0)),"")</f>
        <v/>
      </c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60" t="str">
        <f>IF(COUNTA(T79:AH79)=0,"",SUM(T79:AH79))</f>
        <v/>
      </c>
      <c r="AJ79" s="61" t="str">
        <f>IF(COUNTA(T79:AH79)=0,"",AI79/75)</f>
        <v/>
      </c>
      <c r="AK79" s="61" t="str">
        <f>IF(COUNTA(T79:AH79)=0,"",(SUM(T79*[1]KPI_Weights!$B$4,U79*[1]KPI_Weights!$B$5,V79*[1]KPI_Weights!$B$6,W79*[1]KPI_Weights!$B$7,X79*[1]KPI_Weights!$B$8,Y79*[1]KPI_Weights!$B$9,Z79*[1]KPI_Weights!$B$10,AA79*[1]KPI_Weights!$B$11,AB79*[1]KPI_Weights!$B$12,AC79*[1]KPI_Weights!$B$13,AD79*[1]KPI_Weights!$B$14,AE79*[1]KPI_Weights!$B$15,AF79*[1]KPI_Weights!$B$16,AG79*[1]KPI_Weights!$B$17,AH79*[1]KPI_Weights!$B$18))/5)</f>
        <v/>
      </c>
      <c r="AL79" s="60" t="str">
        <f>IF(COUNTA(T79:AH79)=0,"",IF(OR(T79&lt;=1,W79&lt;=1,X79&lt;=1,Y79&lt;=1,AB79&lt;=1),"YES","NO"))</f>
        <v/>
      </c>
      <c r="AM79" s="60" t="str">
        <f>IF(AJ79="","",IF(AND(AL79="NO",AJ79&gt;=0.75),"YES","NO"))</f>
        <v/>
      </c>
      <c r="AN79" s="60" t="str">
        <f>IF(AJ79="","",IF(AJ79&lt;0.4,"Critical",IF(AJ79&lt;0.6,"Poor",IF(AJ79&lt;0.75,"Needs Improvement",IF(AJ79&lt;0.9,"Good","Excellent")))))</f>
        <v/>
      </c>
      <c r="AO79" s="59"/>
      <c r="AP79" s="59"/>
      <c r="AQ79" s="59"/>
      <c r="AR79" s="59"/>
      <c r="AS79" s="58"/>
      <c r="AT79" s="58"/>
      <c r="AU79" s="58"/>
      <c r="AV79" s="58"/>
      <c r="AW79" s="58"/>
      <c r="AX79" s="58"/>
      <c r="AY79" s="58"/>
      <c r="AZ79" s="58"/>
      <c r="BA79" s="58"/>
      <c r="BB79" s="58"/>
    </row>
    <row r="80" spans="1:54" ht="19.5" customHeight="1" x14ac:dyDescent="0.25">
      <c r="A80" s="60" t="str">
        <f>IF($B80="","",TEXT($B80,"yyyymmdd")&amp;"-"&amp;SUBSTITUTE($F80," ","")&amp;"-"&amp;TEXT(COUNTIF($F$4:F80,$F80),"00"))</f>
        <v/>
      </c>
      <c r="B80" s="65"/>
      <c r="C80" s="60" t="str">
        <f>IF($B80="","",WEEKNUM($B80,2))</f>
        <v/>
      </c>
      <c r="D80" s="60" t="str">
        <f>IF($B80="","",TEXT($B80,"yyyy-mm"))</f>
        <v/>
      </c>
      <c r="E80" s="64"/>
      <c r="F80" s="64"/>
      <c r="G80" s="60" t="str">
        <f>IF(OR($E80="",$F80=""),"",IFERROR(IF($E80=INDEX([1]Cluster_Master!$A$4:$A$18,MATCH($F80,[1]Cluster_Master!$B$4:$B$18,0)),"OK","CHECK"),"CHECK"))</f>
        <v/>
      </c>
      <c r="H80" s="63" t="str">
        <f>IFERROR(INDEX([1]Cluster_Master!$C$4:$C$18,MATCH($F80,[1]Cluster_Master!$B$4:$B$18,0)),"")</f>
        <v/>
      </c>
      <c r="I80" s="60" t="str">
        <f>IFERROR(INDEX([1]Cluster_Master!$D$4:$D$18,MATCH($F80,[1]Cluster_Master!$B$4:$B$18,0)),"")</f>
        <v/>
      </c>
      <c r="J80" s="60" t="str">
        <f>IFERROR(INDEX([1]Cluster_Master!$E$4:$E$18,MATCH($F80,[1]Cluster_Master!$B$4:$B$18,0)),"")</f>
        <v/>
      </c>
      <c r="K80" s="60" t="str">
        <f>IFERROR(INDEX([1]Cluster_Master!$F$4:$F$18,MATCH($F80,[1]Cluster_Master!$B$4:$B$18,0)),"")</f>
        <v/>
      </c>
      <c r="L80" s="60" t="str">
        <f>IFERROR(INDEX([1]Cluster_Master!$G$4:$G$18,MATCH($F80,[1]Cluster_Master!$B$4:$B$18,0)),"")</f>
        <v/>
      </c>
      <c r="M80" s="60" t="str">
        <f>IFERROR(INDEX([1]Cluster_Master!$H$4:$H$18,MATCH($F80,[1]Cluster_Master!$B$4:$B$18,0)),"")</f>
        <v/>
      </c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60" t="str">
        <f>IF(COUNTA(T80:AH80)=0,"",SUM(T80:AH80))</f>
        <v/>
      </c>
      <c r="AJ80" s="61" t="str">
        <f>IF(COUNTA(T80:AH80)=0,"",AI80/75)</f>
        <v/>
      </c>
      <c r="AK80" s="61" t="str">
        <f>IF(COUNTA(T80:AH80)=0,"",(SUM(T80*[1]KPI_Weights!$B$4,U80*[1]KPI_Weights!$B$5,V80*[1]KPI_Weights!$B$6,W80*[1]KPI_Weights!$B$7,X80*[1]KPI_Weights!$B$8,Y80*[1]KPI_Weights!$B$9,Z80*[1]KPI_Weights!$B$10,AA80*[1]KPI_Weights!$B$11,AB80*[1]KPI_Weights!$B$12,AC80*[1]KPI_Weights!$B$13,AD80*[1]KPI_Weights!$B$14,AE80*[1]KPI_Weights!$B$15,AF80*[1]KPI_Weights!$B$16,AG80*[1]KPI_Weights!$B$17,AH80*[1]KPI_Weights!$B$18))/5)</f>
        <v/>
      </c>
      <c r="AL80" s="60" t="str">
        <f>IF(COUNTA(T80:AH80)=0,"",IF(OR(T80&lt;=1,W80&lt;=1,X80&lt;=1,Y80&lt;=1,AB80&lt;=1),"YES","NO"))</f>
        <v/>
      </c>
      <c r="AM80" s="60" t="str">
        <f>IF(AJ80="","",IF(AND(AL80="NO",AJ80&gt;=0.75),"YES","NO"))</f>
        <v/>
      </c>
      <c r="AN80" s="60" t="str">
        <f>IF(AJ80="","",IF(AJ80&lt;0.4,"Critical",IF(AJ80&lt;0.6,"Poor",IF(AJ80&lt;0.75,"Needs Improvement",IF(AJ80&lt;0.9,"Good","Excellent")))))</f>
        <v/>
      </c>
      <c r="AO80" s="59"/>
      <c r="AP80" s="59"/>
      <c r="AQ80" s="59"/>
      <c r="AR80" s="59"/>
      <c r="AS80" s="58"/>
      <c r="AT80" s="58"/>
      <c r="AU80" s="58"/>
      <c r="AV80" s="58"/>
      <c r="AW80" s="58"/>
      <c r="AX80" s="58"/>
      <c r="AY80" s="58"/>
      <c r="AZ80" s="58"/>
      <c r="BA80" s="58"/>
      <c r="BB80" s="58"/>
    </row>
    <row r="81" spans="1:54" ht="19.5" customHeight="1" x14ac:dyDescent="0.25">
      <c r="A81" s="60" t="str">
        <f>IF($B81="","",TEXT($B81,"yyyymmdd")&amp;"-"&amp;SUBSTITUTE($F81," ","")&amp;"-"&amp;TEXT(COUNTIF($F$4:F81,$F81),"00"))</f>
        <v/>
      </c>
      <c r="B81" s="65"/>
      <c r="C81" s="60" t="str">
        <f>IF($B81="","",WEEKNUM($B81,2))</f>
        <v/>
      </c>
      <c r="D81" s="60" t="str">
        <f>IF($B81="","",TEXT($B81,"yyyy-mm"))</f>
        <v/>
      </c>
      <c r="E81" s="64"/>
      <c r="F81" s="64"/>
      <c r="G81" s="60" t="str">
        <f>IF(OR($E81="",$F81=""),"",IFERROR(IF($E81=INDEX([1]Cluster_Master!$A$4:$A$18,MATCH($F81,[1]Cluster_Master!$B$4:$B$18,0)),"OK","CHECK"),"CHECK"))</f>
        <v/>
      </c>
      <c r="H81" s="63" t="str">
        <f>IFERROR(INDEX([1]Cluster_Master!$C$4:$C$18,MATCH($F81,[1]Cluster_Master!$B$4:$B$18,0)),"")</f>
        <v/>
      </c>
      <c r="I81" s="60" t="str">
        <f>IFERROR(INDEX([1]Cluster_Master!$D$4:$D$18,MATCH($F81,[1]Cluster_Master!$B$4:$B$18,0)),"")</f>
        <v/>
      </c>
      <c r="J81" s="60" t="str">
        <f>IFERROR(INDEX([1]Cluster_Master!$E$4:$E$18,MATCH($F81,[1]Cluster_Master!$B$4:$B$18,0)),"")</f>
        <v/>
      </c>
      <c r="K81" s="60" t="str">
        <f>IFERROR(INDEX([1]Cluster_Master!$F$4:$F$18,MATCH($F81,[1]Cluster_Master!$B$4:$B$18,0)),"")</f>
        <v/>
      </c>
      <c r="L81" s="60" t="str">
        <f>IFERROR(INDEX([1]Cluster_Master!$G$4:$G$18,MATCH($F81,[1]Cluster_Master!$B$4:$B$18,0)),"")</f>
        <v/>
      </c>
      <c r="M81" s="60" t="str">
        <f>IFERROR(INDEX([1]Cluster_Master!$H$4:$H$18,MATCH($F81,[1]Cluster_Master!$B$4:$B$18,0)),"")</f>
        <v/>
      </c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60" t="str">
        <f>IF(COUNTA(T81:AH81)=0,"",SUM(T81:AH81))</f>
        <v/>
      </c>
      <c r="AJ81" s="61" t="str">
        <f>IF(COUNTA(T81:AH81)=0,"",AI81/75)</f>
        <v/>
      </c>
      <c r="AK81" s="61" t="str">
        <f>IF(COUNTA(T81:AH81)=0,"",(SUM(T81*[1]KPI_Weights!$B$4,U81*[1]KPI_Weights!$B$5,V81*[1]KPI_Weights!$B$6,W81*[1]KPI_Weights!$B$7,X81*[1]KPI_Weights!$B$8,Y81*[1]KPI_Weights!$B$9,Z81*[1]KPI_Weights!$B$10,AA81*[1]KPI_Weights!$B$11,AB81*[1]KPI_Weights!$B$12,AC81*[1]KPI_Weights!$B$13,AD81*[1]KPI_Weights!$B$14,AE81*[1]KPI_Weights!$B$15,AF81*[1]KPI_Weights!$B$16,AG81*[1]KPI_Weights!$B$17,AH81*[1]KPI_Weights!$B$18))/5)</f>
        <v/>
      </c>
      <c r="AL81" s="60" t="str">
        <f>IF(COUNTA(T81:AH81)=0,"",IF(OR(T81&lt;=1,W81&lt;=1,X81&lt;=1,Y81&lt;=1,AB81&lt;=1),"YES","NO"))</f>
        <v/>
      </c>
      <c r="AM81" s="60" t="str">
        <f>IF(AJ81="","",IF(AND(AL81="NO",AJ81&gt;=0.75),"YES","NO"))</f>
        <v/>
      </c>
      <c r="AN81" s="60" t="str">
        <f>IF(AJ81="","",IF(AJ81&lt;0.4,"Critical",IF(AJ81&lt;0.6,"Poor",IF(AJ81&lt;0.75,"Needs Improvement",IF(AJ81&lt;0.9,"Good","Excellent")))))</f>
        <v/>
      </c>
      <c r="AO81" s="59"/>
      <c r="AP81" s="59"/>
      <c r="AQ81" s="59"/>
      <c r="AR81" s="59"/>
      <c r="AS81" s="58"/>
      <c r="AT81" s="58"/>
      <c r="AU81" s="58"/>
      <c r="AV81" s="58"/>
      <c r="AW81" s="58"/>
      <c r="AX81" s="58"/>
      <c r="AY81" s="58"/>
      <c r="AZ81" s="58"/>
      <c r="BA81" s="58"/>
      <c r="BB81" s="58"/>
    </row>
    <row r="82" spans="1:54" ht="19.5" customHeight="1" x14ac:dyDescent="0.25">
      <c r="A82" s="60" t="str">
        <f>IF($B82="","",TEXT($B82,"yyyymmdd")&amp;"-"&amp;SUBSTITUTE($F82," ","")&amp;"-"&amp;TEXT(COUNTIF($F$4:F82,$F82),"00"))</f>
        <v/>
      </c>
      <c r="B82" s="65"/>
      <c r="C82" s="60" t="str">
        <f>IF($B82="","",WEEKNUM($B82,2))</f>
        <v/>
      </c>
      <c r="D82" s="60" t="str">
        <f>IF($B82="","",TEXT($B82,"yyyy-mm"))</f>
        <v/>
      </c>
      <c r="E82" s="64"/>
      <c r="F82" s="64"/>
      <c r="G82" s="60" t="str">
        <f>IF(OR($E82="",$F82=""),"",IFERROR(IF($E82=INDEX([1]Cluster_Master!$A$4:$A$18,MATCH($F82,[1]Cluster_Master!$B$4:$B$18,0)),"OK","CHECK"),"CHECK"))</f>
        <v/>
      </c>
      <c r="H82" s="63" t="str">
        <f>IFERROR(INDEX([1]Cluster_Master!$C$4:$C$18,MATCH($F82,[1]Cluster_Master!$B$4:$B$18,0)),"")</f>
        <v/>
      </c>
      <c r="I82" s="60" t="str">
        <f>IFERROR(INDEX([1]Cluster_Master!$D$4:$D$18,MATCH($F82,[1]Cluster_Master!$B$4:$B$18,0)),"")</f>
        <v/>
      </c>
      <c r="J82" s="60" t="str">
        <f>IFERROR(INDEX([1]Cluster_Master!$E$4:$E$18,MATCH($F82,[1]Cluster_Master!$B$4:$B$18,0)),"")</f>
        <v/>
      </c>
      <c r="K82" s="60" t="str">
        <f>IFERROR(INDEX([1]Cluster_Master!$F$4:$F$18,MATCH($F82,[1]Cluster_Master!$B$4:$B$18,0)),"")</f>
        <v/>
      </c>
      <c r="L82" s="60" t="str">
        <f>IFERROR(INDEX([1]Cluster_Master!$G$4:$G$18,MATCH($F82,[1]Cluster_Master!$B$4:$B$18,0)),"")</f>
        <v/>
      </c>
      <c r="M82" s="60" t="str">
        <f>IFERROR(INDEX([1]Cluster_Master!$H$4:$H$18,MATCH($F82,[1]Cluster_Master!$B$4:$B$18,0)),"")</f>
        <v/>
      </c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60" t="str">
        <f>IF(COUNTA(T82:AH82)=0,"",SUM(T82:AH82))</f>
        <v/>
      </c>
      <c r="AJ82" s="61" t="str">
        <f>IF(COUNTA(T82:AH82)=0,"",AI82/75)</f>
        <v/>
      </c>
      <c r="AK82" s="61" t="str">
        <f>IF(COUNTA(T82:AH82)=0,"",(SUM(T82*[1]KPI_Weights!$B$4,U82*[1]KPI_Weights!$B$5,V82*[1]KPI_Weights!$B$6,W82*[1]KPI_Weights!$B$7,X82*[1]KPI_Weights!$B$8,Y82*[1]KPI_Weights!$B$9,Z82*[1]KPI_Weights!$B$10,AA82*[1]KPI_Weights!$B$11,AB82*[1]KPI_Weights!$B$12,AC82*[1]KPI_Weights!$B$13,AD82*[1]KPI_Weights!$B$14,AE82*[1]KPI_Weights!$B$15,AF82*[1]KPI_Weights!$B$16,AG82*[1]KPI_Weights!$B$17,AH82*[1]KPI_Weights!$B$18))/5)</f>
        <v/>
      </c>
      <c r="AL82" s="60" t="str">
        <f>IF(COUNTA(T82:AH82)=0,"",IF(OR(T82&lt;=1,W82&lt;=1,X82&lt;=1,Y82&lt;=1,AB82&lt;=1),"YES","NO"))</f>
        <v/>
      </c>
      <c r="AM82" s="60" t="str">
        <f>IF(AJ82="","",IF(AND(AL82="NO",AJ82&gt;=0.75),"YES","NO"))</f>
        <v/>
      </c>
      <c r="AN82" s="60" t="str">
        <f>IF(AJ82="","",IF(AJ82&lt;0.4,"Critical",IF(AJ82&lt;0.6,"Poor",IF(AJ82&lt;0.75,"Needs Improvement",IF(AJ82&lt;0.9,"Good","Excellent")))))</f>
        <v/>
      </c>
      <c r="AO82" s="59"/>
      <c r="AP82" s="59"/>
      <c r="AQ82" s="59"/>
      <c r="AR82" s="59"/>
      <c r="AS82" s="58"/>
      <c r="AT82" s="58"/>
      <c r="AU82" s="58"/>
      <c r="AV82" s="58"/>
      <c r="AW82" s="58"/>
      <c r="AX82" s="58"/>
      <c r="AY82" s="58"/>
      <c r="AZ82" s="58"/>
      <c r="BA82" s="58"/>
      <c r="BB82" s="58"/>
    </row>
    <row r="83" spans="1:54" ht="19.5" customHeight="1" x14ac:dyDescent="0.25">
      <c r="A83" s="60" t="str">
        <f>IF($B83="","",TEXT($B83,"yyyymmdd")&amp;"-"&amp;SUBSTITUTE($F83," ","")&amp;"-"&amp;TEXT(COUNTIF($F$4:F83,$F83),"00"))</f>
        <v/>
      </c>
      <c r="B83" s="65"/>
      <c r="C83" s="60" t="str">
        <f>IF($B83="","",WEEKNUM($B83,2))</f>
        <v/>
      </c>
      <c r="D83" s="60" t="str">
        <f>IF($B83="","",TEXT($B83,"yyyy-mm"))</f>
        <v/>
      </c>
      <c r="E83" s="64"/>
      <c r="F83" s="64"/>
      <c r="G83" s="60" t="str">
        <f>IF(OR($E83="",$F83=""),"",IFERROR(IF($E83=INDEX([1]Cluster_Master!$A$4:$A$18,MATCH($F83,[1]Cluster_Master!$B$4:$B$18,0)),"OK","CHECK"),"CHECK"))</f>
        <v/>
      </c>
      <c r="H83" s="63" t="str">
        <f>IFERROR(INDEX([1]Cluster_Master!$C$4:$C$18,MATCH($F83,[1]Cluster_Master!$B$4:$B$18,0)),"")</f>
        <v/>
      </c>
      <c r="I83" s="60" t="str">
        <f>IFERROR(INDEX([1]Cluster_Master!$D$4:$D$18,MATCH($F83,[1]Cluster_Master!$B$4:$B$18,0)),"")</f>
        <v/>
      </c>
      <c r="J83" s="60" t="str">
        <f>IFERROR(INDEX([1]Cluster_Master!$E$4:$E$18,MATCH($F83,[1]Cluster_Master!$B$4:$B$18,0)),"")</f>
        <v/>
      </c>
      <c r="K83" s="60" t="str">
        <f>IFERROR(INDEX([1]Cluster_Master!$F$4:$F$18,MATCH($F83,[1]Cluster_Master!$B$4:$B$18,0)),"")</f>
        <v/>
      </c>
      <c r="L83" s="60" t="str">
        <f>IFERROR(INDEX([1]Cluster_Master!$G$4:$G$18,MATCH($F83,[1]Cluster_Master!$B$4:$B$18,0)),"")</f>
        <v/>
      </c>
      <c r="M83" s="60" t="str">
        <f>IFERROR(INDEX([1]Cluster_Master!$H$4:$H$18,MATCH($F83,[1]Cluster_Master!$B$4:$B$18,0)),"")</f>
        <v/>
      </c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60" t="str">
        <f>IF(COUNTA(T83:AH83)=0,"",SUM(T83:AH83))</f>
        <v/>
      </c>
      <c r="AJ83" s="61" t="str">
        <f>IF(COUNTA(T83:AH83)=0,"",AI83/75)</f>
        <v/>
      </c>
      <c r="AK83" s="61" t="str">
        <f>IF(COUNTA(T83:AH83)=0,"",(SUM(T83*[1]KPI_Weights!$B$4,U83*[1]KPI_Weights!$B$5,V83*[1]KPI_Weights!$B$6,W83*[1]KPI_Weights!$B$7,X83*[1]KPI_Weights!$B$8,Y83*[1]KPI_Weights!$B$9,Z83*[1]KPI_Weights!$B$10,AA83*[1]KPI_Weights!$B$11,AB83*[1]KPI_Weights!$B$12,AC83*[1]KPI_Weights!$B$13,AD83*[1]KPI_Weights!$B$14,AE83*[1]KPI_Weights!$B$15,AF83*[1]KPI_Weights!$B$16,AG83*[1]KPI_Weights!$B$17,AH83*[1]KPI_Weights!$B$18))/5)</f>
        <v/>
      </c>
      <c r="AL83" s="60" t="str">
        <f>IF(COUNTA(T83:AH83)=0,"",IF(OR(T83&lt;=1,W83&lt;=1,X83&lt;=1,Y83&lt;=1,AB83&lt;=1),"YES","NO"))</f>
        <v/>
      </c>
      <c r="AM83" s="60" t="str">
        <f>IF(AJ83="","",IF(AND(AL83="NO",AJ83&gt;=0.75),"YES","NO"))</f>
        <v/>
      </c>
      <c r="AN83" s="60" t="str">
        <f>IF(AJ83="","",IF(AJ83&lt;0.4,"Critical",IF(AJ83&lt;0.6,"Poor",IF(AJ83&lt;0.75,"Needs Improvement",IF(AJ83&lt;0.9,"Good","Excellent")))))</f>
        <v/>
      </c>
      <c r="AO83" s="59"/>
      <c r="AP83" s="59"/>
      <c r="AQ83" s="59"/>
      <c r="AR83" s="59"/>
      <c r="AS83" s="58"/>
      <c r="AT83" s="58"/>
      <c r="AU83" s="58"/>
      <c r="AV83" s="58"/>
      <c r="AW83" s="58"/>
      <c r="AX83" s="58"/>
      <c r="AY83" s="58"/>
      <c r="AZ83" s="58"/>
      <c r="BA83" s="58"/>
      <c r="BB83" s="58"/>
    </row>
    <row r="84" spans="1:54" ht="19.5" customHeight="1" x14ac:dyDescent="0.25">
      <c r="A84" s="60" t="str">
        <f>IF($B84="","",TEXT($B84,"yyyymmdd")&amp;"-"&amp;SUBSTITUTE($F84," ","")&amp;"-"&amp;TEXT(COUNTIF($F$4:F84,$F84),"00"))</f>
        <v/>
      </c>
      <c r="B84" s="65"/>
      <c r="C84" s="60" t="str">
        <f>IF($B84="","",WEEKNUM($B84,2))</f>
        <v/>
      </c>
      <c r="D84" s="60" t="str">
        <f>IF($B84="","",TEXT($B84,"yyyy-mm"))</f>
        <v/>
      </c>
      <c r="E84" s="64"/>
      <c r="F84" s="64"/>
      <c r="G84" s="60" t="str">
        <f>IF(OR($E84="",$F84=""),"",IFERROR(IF($E84=INDEX([1]Cluster_Master!$A$4:$A$18,MATCH($F84,[1]Cluster_Master!$B$4:$B$18,0)),"OK","CHECK"),"CHECK"))</f>
        <v/>
      </c>
      <c r="H84" s="63" t="str">
        <f>IFERROR(INDEX([1]Cluster_Master!$C$4:$C$18,MATCH($F84,[1]Cluster_Master!$B$4:$B$18,0)),"")</f>
        <v/>
      </c>
      <c r="I84" s="60" t="str">
        <f>IFERROR(INDEX([1]Cluster_Master!$D$4:$D$18,MATCH($F84,[1]Cluster_Master!$B$4:$B$18,0)),"")</f>
        <v/>
      </c>
      <c r="J84" s="60" t="str">
        <f>IFERROR(INDEX([1]Cluster_Master!$E$4:$E$18,MATCH($F84,[1]Cluster_Master!$B$4:$B$18,0)),"")</f>
        <v/>
      </c>
      <c r="K84" s="60" t="str">
        <f>IFERROR(INDEX([1]Cluster_Master!$F$4:$F$18,MATCH($F84,[1]Cluster_Master!$B$4:$B$18,0)),"")</f>
        <v/>
      </c>
      <c r="L84" s="60" t="str">
        <f>IFERROR(INDEX([1]Cluster_Master!$G$4:$G$18,MATCH($F84,[1]Cluster_Master!$B$4:$B$18,0)),"")</f>
        <v/>
      </c>
      <c r="M84" s="60" t="str">
        <f>IFERROR(INDEX([1]Cluster_Master!$H$4:$H$18,MATCH($F84,[1]Cluster_Master!$B$4:$B$18,0)),"")</f>
        <v/>
      </c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60" t="str">
        <f>IF(COUNTA(T84:AH84)=0,"",SUM(T84:AH84))</f>
        <v/>
      </c>
      <c r="AJ84" s="61" t="str">
        <f>IF(COUNTA(T84:AH84)=0,"",AI84/75)</f>
        <v/>
      </c>
      <c r="AK84" s="61" t="str">
        <f>IF(COUNTA(T84:AH84)=0,"",(SUM(T84*[1]KPI_Weights!$B$4,U84*[1]KPI_Weights!$B$5,V84*[1]KPI_Weights!$B$6,W84*[1]KPI_Weights!$B$7,X84*[1]KPI_Weights!$B$8,Y84*[1]KPI_Weights!$B$9,Z84*[1]KPI_Weights!$B$10,AA84*[1]KPI_Weights!$B$11,AB84*[1]KPI_Weights!$B$12,AC84*[1]KPI_Weights!$B$13,AD84*[1]KPI_Weights!$B$14,AE84*[1]KPI_Weights!$B$15,AF84*[1]KPI_Weights!$B$16,AG84*[1]KPI_Weights!$B$17,AH84*[1]KPI_Weights!$B$18))/5)</f>
        <v/>
      </c>
      <c r="AL84" s="60" t="str">
        <f>IF(COUNTA(T84:AH84)=0,"",IF(OR(T84&lt;=1,W84&lt;=1,X84&lt;=1,Y84&lt;=1,AB84&lt;=1),"YES","NO"))</f>
        <v/>
      </c>
      <c r="AM84" s="60" t="str">
        <f>IF(AJ84="","",IF(AND(AL84="NO",AJ84&gt;=0.75),"YES","NO"))</f>
        <v/>
      </c>
      <c r="AN84" s="60" t="str">
        <f>IF(AJ84="","",IF(AJ84&lt;0.4,"Critical",IF(AJ84&lt;0.6,"Poor",IF(AJ84&lt;0.75,"Needs Improvement",IF(AJ84&lt;0.9,"Good","Excellent")))))</f>
        <v/>
      </c>
      <c r="AO84" s="59"/>
      <c r="AP84" s="59"/>
      <c r="AQ84" s="59"/>
      <c r="AR84" s="59"/>
      <c r="AS84" s="58"/>
      <c r="AT84" s="58"/>
      <c r="AU84" s="58"/>
      <c r="AV84" s="58"/>
      <c r="AW84" s="58"/>
      <c r="AX84" s="58"/>
      <c r="AY84" s="58"/>
      <c r="AZ84" s="58"/>
      <c r="BA84" s="58"/>
      <c r="BB84" s="58"/>
    </row>
    <row r="85" spans="1:54" ht="19.5" customHeight="1" x14ac:dyDescent="0.25">
      <c r="A85" s="60" t="str">
        <f>IF($B85="","",TEXT($B85,"yyyymmdd")&amp;"-"&amp;SUBSTITUTE($F85," ","")&amp;"-"&amp;TEXT(COUNTIF($F$4:F85,$F85),"00"))</f>
        <v/>
      </c>
      <c r="B85" s="65"/>
      <c r="C85" s="60" t="str">
        <f>IF($B85="","",WEEKNUM($B85,2))</f>
        <v/>
      </c>
      <c r="D85" s="60" t="str">
        <f>IF($B85="","",TEXT($B85,"yyyy-mm"))</f>
        <v/>
      </c>
      <c r="E85" s="64"/>
      <c r="F85" s="64"/>
      <c r="G85" s="60" t="str">
        <f>IF(OR($E85="",$F85=""),"",IFERROR(IF($E85=INDEX([1]Cluster_Master!$A$4:$A$18,MATCH($F85,[1]Cluster_Master!$B$4:$B$18,0)),"OK","CHECK"),"CHECK"))</f>
        <v/>
      </c>
      <c r="H85" s="63" t="str">
        <f>IFERROR(INDEX([1]Cluster_Master!$C$4:$C$18,MATCH($F85,[1]Cluster_Master!$B$4:$B$18,0)),"")</f>
        <v/>
      </c>
      <c r="I85" s="60" t="str">
        <f>IFERROR(INDEX([1]Cluster_Master!$D$4:$D$18,MATCH($F85,[1]Cluster_Master!$B$4:$B$18,0)),"")</f>
        <v/>
      </c>
      <c r="J85" s="60" t="str">
        <f>IFERROR(INDEX([1]Cluster_Master!$E$4:$E$18,MATCH($F85,[1]Cluster_Master!$B$4:$B$18,0)),"")</f>
        <v/>
      </c>
      <c r="K85" s="60" t="str">
        <f>IFERROR(INDEX([1]Cluster_Master!$F$4:$F$18,MATCH($F85,[1]Cluster_Master!$B$4:$B$18,0)),"")</f>
        <v/>
      </c>
      <c r="L85" s="60" t="str">
        <f>IFERROR(INDEX([1]Cluster_Master!$G$4:$G$18,MATCH($F85,[1]Cluster_Master!$B$4:$B$18,0)),"")</f>
        <v/>
      </c>
      <c r="M85" s="60" t="str">
        <f>IFERROR(INDEX([1]Cluster_Master!$H$4:$H$18,MATCH($F85,[1]Cluster_Master!$B$4:$B$18,0)),"")</f>
        <v/>
      </c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60" t="str">
        <f>IF(COUNTA(T85:AH85)=0,"",SUM(T85:AH85))</f>
        <v/>
      </c>
      <c r="AJ85" s="61" t="str">
        <f>IF(COUNTA(T85:AH85)=0,"",AI85/75)</f>
        <v/>
      </c>
      <c r="AK85" s="61" t="str">
        <f>IF(COUNTA(T85:AH85)=0,"",(SUM(T85*[1]KPI_Weights!$B$4,U85*[1]KPI_Weights!$B$5,V85*[1]KPI_Weights!$B$6,W85*[1]KPI_Weights!$B$7,X85*[1]KPI_Weights!$B$8,Y85*[1]KPI_Weights!$B$9,Z85*[1]KPI_Weights!$B$10,AA85*[1]KPI_Weights!$B$11,AB85*[1]KPI_Weights!$B$12,AC85*[1]KPI_Weights!$B$13,AD85*[1]KPI_Weights!$B$14,AE85*[1]KPI_Weights!$B$15,AF85*[1]KPI_Weights!$B$16,AG85*[1]KPI_Weights!$B$17,AH85*[1]KPI_Weights!$B$18))/5)</f>
        <v/>
      </c>
      <c r="AL85" s="60" t="str">
        <f>IF(COUNTA(T85:AH85)=0,"",IF(OR(T85&lt;=1,W85&lt;=1,X85&lt;=1,Y85&lt;=1,AB85&lt;=1),"YES","NO"))</f>
        <v/>
      </c>
      <c r="AM85" s="60" t="str">
        <f>IF(AJ85="","",IF(AND(AL85="NO",AJ85&gt;=0.75),"YES","NO"))</f>
        <v/>
      </c>
      <c r="AN85" s="60" t="str">
        <f>IF(AJ85="","",IF(AJ85&lt;0.4,"Critical",IF(AJ85&lt;0.6,"Poor",IF(AJ85&lt;0.75,"Needs Improvement",IF(AJ85&lt;0.9,"Good","Excellent")))))</f>
        <v/>
      </c>
      <c r="AO85" s="59"/>
      <c r="AP85" s="59"/>
      <c r="AQ85" s="59"/>
      <c r="AR85" s="59"/>
      <c r="AS85" s="58"/>
      <c r="AT85" s="58"/>
      <c r="AU85" s="58"/>
      <c r="AV85" s="58"/>
      <c r="AW85" s="58"/>
      <c r="AX85" s="58"/>
      <c r="AY85" s="58"/>
      <c r="AZ85" s="58"/>
      <c r="BA85" s="58"/>
      <c r="BB85" s="58"/>
    </row>
    <row r="86" spans="1:54" ht="19.5" customHeight="1" x14ac:dyDescent="0.25">
      <c r="A86" s="60" t="str">
        <f>IF($B86="","",TEXT($B86,"yyyymmdd")&amp;"-"&amp;SUBSTITUTE($F86," ","")&amp;"-"&amp;TEXT(COUNTIF($F$4:F86,$F86),"00"))</f>
        <v/>
      </c>
      <c r="B86" s="65"/>
      <c r="C86" s="60" t="str">
        <f>IF($B86="","",WEEKNUM($B86,2))</f>
        <v/>
      </c>
      <c r="D86" s="60" t="str">
        <f>IF($B86="","",TEXT($B86,"yyyy-mm"))</f>
        <v/>
      </c>
      <c r="E86" s="64"/>
      <c r="F86" s="64"/>
      <c r="G86" s="60" t="str">
        <f>IF(OR($E86="",$F86=""),"",IFERROR(IF($E86=INDEX([1]Cluster_Master!$A$4:$A$18,MATCH($F86,[1]Cluster_Master!$B$4:$B$18,0)),"OK","CHECK"),"CHECK"))</f>
        <v/>
      </c>
      <c r="H86" s="63" t="str">
        <f>IFERROR(INDEX([1]Cluster_Master!$C$4:$C$18,MATCH($F86,[1]Cluster_Master!$B$4:$B$18,0)),"")</f>
        <v/>
      </c>
      <c r="I86" s="60" t="str">
        <f>IFERROR(INDEX([1]Cluster_Master!$D$4:$D$18,MATCH($F86,[1]Cluster_Master!$B$4:$B$18,0)),"")</f>
        <v/>
      </c>
      <c r="J86" s="60" t="str">
        <f>IFERROR(INDEX([1]Cluster_Master!$E$4:$E$18,MATCH($F86,[1]Cluster_Master!$B$4:$B$18,0)),"")</f>
        <v/>
      </c>
      <c r="K86" s="60" t="str">
        <f>IFERROR(INDEX([1]Cluster_Master!$F$4:$F$18,MATCH($F86,[1]Cluster_Master!$B$4:$B$18,0)),"")</f>
        <v/>
      </c>
      <c r="L86" s="60" t="str">
        <f>IFERROR(INDEX([1]Cluster_Master!$G$4:$G$18,MATCH($F86,[1]Cluster_Master!$B$4:$B$18,0)),"")</f>
        <v/>
      </c>
      <c r="M86" s="60" t="str">
        <f>IFERROR(INDEX([1]Cluster_Master!$H$4:$H$18,MATCH($F86,[1]Cluster_Master!$B$4:$B$18,0)),"")</f>
        <v/>
      </c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60" t="str">
        <f>IF(COUNTA(T86:AH86)=0,"",SUM(T86:AH86))</f>
        <v/>
      </c>
      <c r="AJ86" s="61" t="str">
        <f>IF(COUNTA(T86:AH86)=0,"",AI86/75)</f>
        <v/>
      </c>
      <c r="AK86" s="61" t="str">
        <f>IF(COUNTA(T86:AH86)=0,"",(SUM(T86*[1]KPI_Weights!$B$4,U86*[1]KPI_Weights!$B$5,V86*[1]KPI_Weights!$B$6,W86*[1]KPI_Weights!$B$7,X86*[1]KPI_Weights!$B$8,Y86*[1]KPI_Weights!$B$9,Z86*[1]KPI_Weights!$B$10,AA86*[1]KPI_Weights!$B$11,AB86*[1]KPI_Weights!$B$12,AC86*[1]KPI_Weights!$B$13,AD86*[1]KPI_Weights!$B$14,AE86*[1]KPI_Weights!$B$15,AF86*[1]KPI_Weights!$B$16,AG86*[1]KPI_Weights!$B$17,AH86*[1]KPI_Weights!$B$18))/5)</f>
        <v/>
      </c>
      <c r="AL86" s="60" t="str">
        <f>IF(COUNTA(T86:AH86)=0,"",IF(OR(T86&lt;=1,W86&lt;=1,X86&lt;=1,Y86&lt;=1,AB86&lt;=1),"YES","NO"))</f>
        <v/>
      </c>
      <c r="AM86" s="60" t="str">
        <f>IF(AJ86="","",IF(AND(AL86="NO",AJ86&gt;=0.75),"YES","NO"))</f>
        <v/>
      </c>
      <c r="AN86" s="60" t="str">
        <f>IF(AJ86="","",IF(AJ86&lt;0.4,"Critical",IF(AJ86&lt;0.6,"Poor",IF(AJ86&lt;0.75,"Needs Improvement",IF(AJ86&lt;0.9,"Good","Excellent")))))</f>
        <v/>
      </c>
      <c r="AO86" s="59"/>
      <c r="AP86" s="59"/>
      <c r="AQ86" s="59"/>
      <c r="AR86" s="59"/>
      <c r="AS86" s="58"/>
      <c r="AT86" s="58"/>
      <c r="AU86" s="58"/>
      <c r="AV86" s="58"/>
      <c r="AW86" s="58"/>
      <c r="AX86" s="58"/>
      <c r="AY86" s="58"/>
      <c r="AZ86" s="58"/>
      <c r="BA86" s="58"/>
      <c r="BB86" s="58"/>
    </row>
    <row r="87" spans="1:54" ht="19.5" customHeight="1" x14ac:dyDescent="0.25">
      <c r="A87" s="60" t="str">
        <f>IF($B87="","",TEXT($B87,"yyyymmdd")&amp;"-"&amp;SUBSTITUTE($F87," ","")&amp;"-"&amp;TEXT(COUNTIF($F$4:F87,$F87),"00"))</f>
        <v/>
      </c>
      <c r="B87" s="65"/>
      <c r="C87" s="60" t="str">
        <f>IF($B87="","",WEEKNUM($B87,2))</f>
        <v/>
      </c>
      <c r="D87" s="60" t="str">
        <f>IF($B87="","",TEXT($B87,"yyyy-mm"))</f>
        <v/>
      </c>
      <c r="E87" s="64"/>
      <c r="F87" s="64"/>
      <c r="G87" s="60" t="str">
        <f>IF(OR($E87="",$F87=""),"",IFERROR(IF($E87=INDEX([1]Cluster_Master!$A$4:$A$18,MATCH($F87,[1]Cluster_Master!$B$4:$B$18,0)),"OK","CHECK"),"CHECK"))</f>
        <v/>
      </c>
      <c r="H87" s="63" t="str">
        <f>IFERROR(INDEX([1]Cluster_Master!$C$4:$C$18,MATCH($F87,[1]Cluster_Master!$B$4:$B$18,0)),"")</f>
        <v/>
      </c>
      <c r="I87" s="60" t="str">
        <f>IFERROR(INDEX([1]Cluster_Master!$D$4:$D$18,MATCH($F87,[1]Cluster_Master!$B$4:$B$18,0)),"")</f>
        <v/>
      </c>
      <c r="J87" s="60" t="str">
        <f>IFERROR(INDEX([1]Cluster_Master!$E$4:$E$18,MATCH($F87,[1]Cluster_Master!$B$4:$B$18,0)),"")</f>
        <v/>
      </c>
      <c r="K87" s="60" t="str">
        <f>IFERROR(INDEX([1]Cluster_Master!$F$4:$F$18,MATCH($F87,[1]Cluster_Master!$B$4:$B$18,0)),"")</f>
        <v/>
      </c>
      <c r="L87" s="60" t="str">
        <f>IFERROR(INDEX([1]Cluster_Master!$G$4:$G$18,MATCH($F87,[1]Cluster_Master!$B$4:$B$18,0)),"")</f>
        <v/>
      </c>
      <c r="M87" s="60" t="str">
        <f>IFERROR(INDEX([1]Cluster_Master!$H$4:$H$18,MATCH($F87,[1]Cluster_Master!$B$4:$B$18,0)),"")</f>
        <v/>
      </c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60" t="str">
        <f>IF(COUNTA(T87:AH87)=0,"",SUM(T87:AH87))</f>
        <v/>
      </c>
      <c r="AJ87" s="61" t="str">
        <f>IF(COUNTA(T87:AH87)=0,"",AI87/75)</f>
        <v/>
      </c>
      <c r="AK87" s="61" t="str">
        <f>IF(COUNTA(T87:AH87)=0,"",(SUM(T87*[1]KPI_Weights!$B$4,U87*[1]KPI_Weights!$B$5,V87*[1]KPI_Weights!$B$6,W87*[1]KPI_Weights!$B$7,X87*[1]KPI_Weights!$B$8,Y87*[1]KPI_Weights!$B$9,Z87*[1]KPI_Weights!$B$10,AA87*[1]KPI_Weights!$B$11,AB87*[1]KPI_Weights!$B$12,AC87*[1]KPI_Weights!$B$13,AD87*[1]KPI_Weights!$B$14,AE87*[1]KPI_Weights!$B$15,AF87*[1]KPI_Weights!$B$16,AG87*[1]KPI_Weights!$B$17,AH87*[1]KPI_Weights!$B$18))/5)</f>
        <v/>
      </c>
      <c r="AL87" s="60" t="str">
        <f>IF(COUNTA(T87:AH87)=0,"",IF(OR(T87&lt;=1,W87&lt;=1,X87&lt;=1,Y87&lt;=1,AB87&lt;=1),"YES","NO"))</f>
        <v/>
      </c>
      <c r="AM87" s="60" t="str">
        <f>IF(AJ87="","",IF(AND(AL87="NO",AJ87&gt;=0.75),"YES","NO"))</f>
        <v/>
      </c>
      <c r="AN87" s="60" t="str">
        <f>IF(AJ87="","",IF(AJ87&lt;0.4,"Critical",IF(AJ87&lt;0.6,"Poor",IF(AJ87&lt;0.75,"Needs Improvement",IF(AJ87&lt;0.9,"Good","Excellent")))))</f>
        <v/>
      </c>
      <c r="AO87" s="59"/>
      <c r="AP87" s="59"/>
      <c r="AQ87" s="59"/>
      <c r="AR87" s="59"/>
      <c r="AS87" s="58"/>
      <c r="AT87" s="58"/>
      <c r="AU87" s="58"/>
      <c r="AV87" s="58"/>
      <c r="AW87" s="58"/>
      <c r="AX87" s="58"/>
      <c r="AY87" s="58"/>
      <c r="AZ87" s="58"/>
      <c r="BA87" s="58"/>
      <c r="BB87" s="58"/>
    </row>
    <row r="88" spans="1:54" ht="19.5" customHeight="1" x14ac:dyDescent="0.25">
      <c r="A88" s="60" t="str">
        <f>IF($B88="","",TEXT($B88,"yyyymmdd")&amp;"-"&amp;SUBSTITUTE($F88," ","")&amp;"-"&amp;TEXT(COUNTIF($F$4:F88,$F88),"00"))</f>
        <v/>
      </c>
      <c r="B88" s="65"/>
      <c r="C88" s="60" t="str">
        <f>IF($B88="","",WEEKNUM($B88,2))</f>
        <v/>
      </c>
      <c r="D88" s="60" t="str">
        <f>IF($B88="","",TEXT($B88,"yyyy-mm"))</f>
        <v/>
      </c>
      <c r="E88" s="64"/>
      <c r="F88" s="64"/>
      <c r="G88" s="60" t="str">
        <f>IF(OR($E88="",$F88=""),"",IFERROR(IF($E88=INDEX([1]Cluster_Master!$A$4:$A$18,MATCH($F88,[1]Cluster_Master!$B$4:$B$18,0)),"OK","CHECK"),"CHECK"))</f>
        <v/>
      </c>
      <c r="H88" s="63" t="str">
        <f>IFERROR(INDEX([1]Cluster_Master!$C$4:$C$18,MATCH($F88,[1]Cluster_Master!$B$4:$B$18,0)),"")</f>
        <v/>
      </c>
      <c r="I88" s="60" t="str">
        <f>IFERROR(INDEX([1]Cluster_Master!$D$4:$D$18,MATCH($F88,[1]Cluster_Master!$B$4:$B$18,0)),"")</f>
        <v/>
      </c>
      <c r="J88" s="60" t="str">
        <f>IFERROR(INDEX([1]Cluster_Master!$E$4:$E$18,MATCH($F88,[1]Cluster_Master!$B$4:$B$18,0)),"")</f>
        <v/>
      </c>
      <c r="K88" s="60" t="str">
        <f>IFERROR(INDEX([1]Cluster_Master!$F$4:$F$18,MATCH($F88,[1]Cluster_Master!$B$4:$B$18,0)),"")</f>
        <v/>
      </c>
      <c r="L88" s="60" t="str">
        <f>IFERROR(INDEX([1]Cluster_Master!$G$4:$G$18,MATCH($F88,[1]Cluster_Master!$B$4:$B$18,0)),"")</f>
        <v/>
      </c>
      <c r="M88" s="60" t="str">
        <f>IFERROR(INDEX([1]Cluster_Master!$H$4:$H$18,MATCH($F88,[1]Cluster_Master!$B$4:$B$18,0)),"")</f>
        <v/>
      </c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60" t="str">
        <f>IF(COUNTA(T88:AH88)=0,"",SUM(T88:AH88))</f>
        <v/>
      </c>
      <c r="AJ88" s="61" t="str">
        <f>IF(COUNTA(T88:AH88)=0,"",AI88/75)</f>
        <v/>
      </c>
      <c r="AK88" s="61" t="str">
        <f>IF(COUNTA(T88:AH88)=0,"",(SUM(T88*[1]KPI_Weights!$B$4,U88*[1]KPI_Weights!$B$5,V88*[1]KPI_Weights!$B$6,W88*[1]KPI_Weights!$B$7,X88*[1]KPI_Weights!$B$8,Y88*[1]KPI_Weights!$B$9,Z88*[1]KPI_Weights!$B$10,AA88*[1]KPI_Weights!$B$11,AB88*[1]KPI_Weights!$B$12,AC88*[1]KPI_Weights!$B$13,AD88*[1]KPI_Weights!$B$14,AE88*[1]KPI_Weights!$B$15,AF88*[1]KPI_Weights!$B$16,AG88*[1]KPI_Weights!$B$17,AH88*[1]KPI_Weights!$B$18))/5)</f>
        <v/>
      </c>
      <c r="AL88" s="60" t="str">
        <f>IF(COUNTA(T88:AH88)=0,"",IF(OR(T88&lt;=1,W88&lt;=1,X88&lt;=1,Y88&lt;=1,AB88&lt;=1),"YES","NO"))</f>
        <v/>
      </c>
      <c r="AM88" s="60" t="str">
        <f>IF(AJ88="","",IF(AND(AL88="NO",AJ88&gt;=0.75),"YES","NO"))</f>
        <v/>
      </c>
      <c r="AN88" s="60" t="str">
        <f>IF(AJ88="","",IF(AJ88&lt;0.4,"Critical",IF(AJ88&lt;0.6,"Poor",IF(AJ88&lt;0.75,"Needs Improvement",IF(AJ88&lt;0.9,"Good","Excellent")))))</f>
        <v/>
      </c>
      <c r="AO88" s="59"/>
      <c r="AP88" s="59"/>
      <c r="AQ88" s="59"/>
      <c r="AR88" s="59"/>
      <c r="AS88" s="58"/>
      <c r="AT88" s="58"/>
      <c r="AU88" s="58"/>
      <c r="AV88" s="58"/>
      <c r="AW88" s="58"/>
      <c r="AX88" s="58"/>
      <c r="AY88" s="58"/>
      <c r="AZ88" s="58"/>
      <c r="BA88" s="58"/>
      <c r="BB88" s="58"/>
    </row>
    <row r="89" spans="1:54" ht="19.5" customHeight="1" x14ac:dyDescent="0.25">
      <c r="A89" s="60" t="str">
        <f>IF($B89="","",TEXT($B89,"yyyymmdd")&amp;"-"&amp;SUBSTITUTE($F89," ","")&amp;"-"&amp;TEXT(COUNTIF($F$4:F89,$F89),"00"))</f>
        <v/>
      </c>
      <c r="B89" s="65"/>
      <c r="C89" s="60" t="str">
        <f>IF($B89="","",WEEKNUM($B89,2))</f>
        <v/>
      </c>
      <c r="D89" s="60" t="str">
        <f>IF($B89="","",TEXT($B89,"yyyy-mm"))</f>
        <v/>
      </c>
      <c r="E89" s="64"/>
      <c r="F89" s="64"/>
      <c r="G89" s="60" t="str">
        <f>IF(OR($E89="",$F89=""),"",IFERROR(IF($E89=INDEX([1]Cluster_Master!$A$4:$A$18,MATCH($F89,[1]Cluster_Master!$B$4:$B$18,0)),"OK","CHECK"),"CHECK"))</f>
        <v/>
      </c>
      <c r="H89" s="63" t="str">
        <f>IFERROR(INDEX([1]Cluster_Master!$C$4:$C$18,MATCH($F89,[1]Cluster_Master!$B$4:$B$18,0)),"")</f>
        <v/>
      </c>
      <c r="I89" s="60" t="str">
        <f>IFERROR(INDEX([1]Cluster_Master!$D$4:$D$18,MATCH($F89,[1]Cluster_Master!$B$4:$B$18,0)),"")</f>
        <v/>
      </c>
      <c r="J89" s="60" t="str">
        <f>IFERROR(INDEX([1]Cluster_Master!$E$4:$E$18,MATCH($F89,[1]Cluster_Master!$B$4:$B$18,0)),"")</f>
        <v/>
      </c>
      <c r="K89" s="60" t="str">
        <f>IFERROR(INDEX([1]Cluster_Master!$F$4:$F$18,MATCH($F89,[1]Cluster_Master!$B$4:$B$18,0)),"")</f>
        <v/>
      </c>
      <c r="L89" s="60" t="str">
        <f>IFERROR(INDEX([1]Cluster_Master!$G$4:$G$18,MATCH($F89,[1]Cluster_Master!$B$4:$B$18,0)),"")</f>
        <v/>
      </c>
      <c r="M89" s="60" t="str">
        <f>IFERROR(INDEX([1]Cluster_Master!$H$4:$H$18,MATCH($F89,[1]Cluster_Master!$B$4:$B$18,0)),"")</f>
        <v/>
      </c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60" t="str">
        <f>IF(COUNTA(T89:AH89)=0,"",SUM(T89:AH89))</f>
        <v/>
      </c>
      <c r="AJ89" s="61" t="str">
        <f>IF(COUNTA(T89:AH89)=0,"",AI89/75)</f>
        <v/>
      </c>
      <c r="AK89" s="61" t="str">
        <f>IF(COUNTA(T89:AH89)=0,"",(SUM(T89*[1]KPI_Weights!$B$4,U89*[1]KPI_Weights!$B$5,V89*[1]KPI_Weights!$B$6,W89*[1]KPI_Weights!$B$7,X89*[1]KPI_Weights!$B$8,Y89*[1]KPI_Weights!$B$9,Z89*[1]KPI_Weights!$B$10,AA89*[1]KPI_Weights!$B$11,AB89*[1]KPI_Weights!$B$12,AC89*[1]KPI_Weights!$B$13,AD89*[1]KPI_Weights!$B$14,AE89*[1]KPI_Weights!$B$15,AF89*[1]KPI_Weights!$B$16,AG89*[1]KPI_Weights!$B$17,AH89*[1]KPI_Weights!$B$18))/5)</f>
        <v/>
      </c>
      <c r="AL89" s="60" t="str">
        <f>IF(COUNTA(T89:AH89)=0,"",IF(OR(T89&lt;=1,W89&lt;=1,X89&lt;=1,Y89&lt;=1,AB89&lt;=1),"YES","NO"))</f>
        <v/>
      </c>
      <c r="AM89" s="60" t="str">
        <f>IF(AJ89="","",IF(AND(AL89="NO",AJ89&gt;=0.75),"YES","NO"))</f>
        <v/>
      </c>
      <c r="AN89" s="60" t="str">
        <f>IF(AJ89="","",IF(AJ89&lt;0.4,"Critical",IF(AJ89&lt;0.6,"Poor",IF(AJ89&lt;0.75,"Needs Improvement",IF(AJ89&lt;0.9,"Good","Excellent")))))</f>
        <v/>
      </c>
      <c r="AO89" s="59"/>
      <c r="AP89" s="59"/>
      <c r="AQ89" s="59"/>
      <c r="AR89" s="59"/>
      <c r="AS89" s="58"/>
      <c r="AT89" s="58"/>
      <c r="AU89" s="58"/>
      <c r="AV89" s="58"/>
      <c r="AW89" s="58"/>
      <c r="AX89" s="58"/>
      <c r="AY89" s="58"/>
      <c r="AZ89" s="58"/>
      <c r="BA89" s="58"/>
      <c r="BB89" s="58"/>
    </row>
    <row r="90" spans="1:54" ht="19.5" customHeight="1" x14ac:dyDescent="0.25">
      <c r="A90" s="60" t="str">
        <f>IF($B90="","",TEXT($B90,"yyyymmdd")&amp;"-"&amp;SUBSTITUTE($F90," ","")&amp;"-"&amp;TEXT(COUNTIF($F$4:F90,$F90),"00"))</f>
        <v/>
      </c>
      <c r="B90" s="65"/>
      <c r="C90" s="60" t="str">
        <f>IF($B90="","",WEEKNUM($B90,2))</f>
        <v/>
      </c>
      <c r="D90" s="60" t="str">
        <f>IF($B90="","",TEXT($B90,"yyyy-mm"))</f>
        <v/>
      </c>
      <c r="E90" s="64"/>
      <c r="F90" s="64"/>
      <c r="G90" s="60" t="str">
        <f>IF(OR($E90="",$F90=""),"",IFERROR(IF($E90=INDEX([1]Cluster_Master!$A$4:$A$18,MATCH($F90,[1]Cluster_Master!$B$4:$B$18,0)),"OK","CHECK"),"CHECK"))</f>
        <v/>
      </c>
      <c r="H90" s="63" t="str">
        <f>IFERROR(INDEX([1]Cluster_Master!$C$4:$C$18,MATCH($F90,[1]Cluster_Master!$B$4:$B$18,0)),"")</f>
        <v/>
      </c>
      <c r="I90" s="60" t="str">
        <f>IFERROR(INDEX([1]Cluster_Master!$D$4:$D$18,MATCH($F90,[1]Cluster_Master!$B$4:$B$18,0)),"")</f>
        <v/>
      </c>
      <c r="J90" s="60" t="str">
        <f>IFERROR(INDEX([1]Cluster_Master!$E$4:$E$18,MATCH($F90,[1]Cluster_Master!$B$4:$B$18,0)),"")</f>
        <v/>
      </c>
      <c r="K90" s="60" t="str">
        <f>IFERROR(INDEX([1]Cluster_Master!$F$4:$F$18,MATCH($F90,[1]Cluster_Master!$B$4:$B$18,0)),"")</f>
        <v/>
      </c>
      <c r="L90" s="60" t="str">
        <f>IFERROR(INDEX([1]Cluster_Master!$G$4:$G$18,MATCH($F90,[1]Cluster_Master!$B$4:$B$18,0)),"")</f>
        <v/>
      </c>
      <c r="M90" s="60" t="str">
        <f>IFERROR(INDEX([1]Cluster_Master!$H$4:$H$18,MATCH($F90,[1]Cluster_Master!$B$4:$B$18,0)),"")</f>
        <v/>
      </c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60" t="str">
        <f>IF(COUNTA(T90:AH90)=0,"",SUM(T90:AH90))</f>
        <v/>
      </c>
      <c r="AJ90" s="61" t="str">
        <f>IF(COUNTA(T90:AH90)=0,"",AI90/75)</f>
        <v/>
      </c>
      <c r="AK90" s="61" t="str">
        <f>IF(COUNTA(T90:AH90)=0,"",(SUM(T90*[1]KPI_Weights!$B$4,U90*[1]KPI_Weights!$B$5,V90*[1]KPI_Weights!$B$6,W90*[1]KPI_Weights!$B$7,X90*[1]KPI_Weights!$B$8,Y90*[1]KPI_Weights!$B$9,Z90*[1]KPI_Weights!$B$10,AA90*[1]KPI_Weights!$B$11,AB90*[1]KPI_Weights!$B$12,AC90*[1]KPI_Weights!$B$13,AD90*[1]KPI_Weights!$B$14,AE90*[1]KPI_Weights!$B$15,AF90*[1]KPI_Weights!$B$16,AG90*[1]KPI_Weights!$B$17,AH90*[1]KPI_Weights!$B$18))/5)</f>
        <v/>
      </c>
      <c r="AL90" s="60" t="str">
        <f>IF(COUNTA(T90:AH90)=0,"",IF(OR(T90&lt;=1,W90&lt;=1,X90&lt;=1,Y90&lt;=1,AB90&lt;=1),"YES","NO"))</f>
        <v/>
      </c>
      <c r="AM90" s="60" t="str">
        <f>IF(AJ90="","",IF(AND(AL90="NO",AJ90&gt;=0.75),"YES","NO"))</f>
        <v/>
      </c>
      <c r="AN90" s="60" t="str">
        <f>IF(AJ90="","",IF(AJ90&lt;0.4,"Critical",IF(AJ90&lt;0.6,"Poor",IF(AJ90&lt;0.75,"Needs Improvement",IF(AJ90&lt;0.9,"Good","Excellent")))))</f>
        <v/>
      </c>
      <c r="AO90" s="59"/>
      <c r="AP90" s="59"/>
      <c r="AQ90" s="59"/>
      <c r="AR90" s="59"/>
      <c r="AS90" s="58"/>
      <c r="AT90" s="58"/>
      <c r="AU90" s="58"/>
      <c r="AV90" s="58"/>
      <c r="AW90" s="58"/>
      <c r="AX90" s="58"/>
      <c r="AY90" s="58"/>
      <c r="AZ90" s="58"/>
      <c r="BA90" s="58"/>
      <c r="BB90" s="58"/>
    </row>
    <row r="91" spans="1:54" ht="19.5" customHeight="1" x14ac:dyDescent="0.25">
      <c r="A91" s="60" t="str">
        <f>IF($B91="","",TEXT($B91,"yyyymmdd")&amp;"-"&amp;SUBSTITUTE($F91," ","")&amp;"-"&amp;TEXT(COUNTIF($F$4:F91,$F91),"00"))</f>
        <v/>
      </c>
      <c r="B91" s="65"/>
      <c r="C91" s="60" t="str">
        <f>IF($B91="","",WEEKNUM($B91,2))</f>
        <v/>
      </c>
      <c r="D91" s="60" t="str">
        <f>IF($B91="","",TEXT($B91,"yyyy-mm"))</f>
        <v/>
      </c>
      <c r="E91" s="64"/>
      <c r="F91" s="64"/>
      <c r="G91" s="60" t="str">
        <f>IF(OR($E91="",$F91=""),"",IFERROR(IF($E91=INDEX([1]Cluster_Master!$A$4:$A$18,MATCH($F91,[1]Cluster_Master!$B$4:$B$18,0)),"OK","CHECK"),"CHECK"))</f>
        <v/>
      </c>
      <c r="H91" s="63" t="str">
        <f>IFERROR(INDEX([1]Cluster_Master!$C$4:$C$18,MATCH($F91,[1]Cluster_Master!$B$4:$B$18,0)),"")</f>
        <v/>
      </c>
      <c r="I91" s="60" t="str">
        <f>IFERROR(INDEX([1]Cluster_Master!$D$4:$D$18,MATCH($F91,[1]Cluster_Master!$B$4:$B$18,0)),"")</f>
        <v/>
      </c>
      <c r="J91" s="60" t="str">
        <f>IFERROR(INDEX([1]Cluster_Master!$E$4:$E$18,MATCH($F91,[1]Cluster_Master!$B$4:$B$18,0)),"")</f>
        <v/>
      </c>
      <c r="K91" s="60" t="str">
        <f>IFERROR(INDEX([1]Cluster_Master!$F$4:$F$18,MATCH($F91,[1]Cluster_Master!$B$4:$B$18,0)),"")</f>
        <v/>
      </c>
      <c r="L91" s="60" t="str">
        <f>IFERROR(INDEX([1]Cluster_Master!$G$4:$G$18,MATCH($F91,[1]Cluster_Master!$B$4:$B$18,0)),"")</f>
        <v/>
      </c>
      <c r="M91" s="60" t="str">
        <f>IFERROR(INDEX([1]Cluster_Master!$H$4:$H$18,MATCH($F91,[1]Cluster_Master!$B$4:$B$18,0)),"")</f>
        <v/>
      </c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60" t="str">
        <f>IF(COUNTA(T91:AH91)=0,"",SUM(T91:AH91))</f>
        <v/>
      </c>
      <c r="AJ91" s="61" t="str">
        <f>IF(COUNTA(T91:AH91)=0,"",AI91/75)</f>
        <v/>
      </c>
      <c r="AK91" s="61" t="str">
        <f>IF(COUNTA(T91:AH91)=0,"",(SUM(T91*[1]KPI_Weights!$B$4,U91*[1]KPI_Weights!$B$5,V91*[1]KPI_Weights!$B$6,W91*[1]KPI_Weights!$B$7,X91*[1]KPI_Weights!$B$8,Y91*[1]KPI_Weights!$B$9,Z91*[1]KPI_Weights!$B$10,AA91*[1]KPI_Weights!$B$11,AB91*[1]KPI_Weights!$B$12,AC91*[1]KPI_Weights!$B$13,AD91*[1]KPI_Weights!$B$14,AE91*[1]KPI_Weights!$B$15,AF91*[1]KPI_Weights!$B$16,AG91*[1]KPI_Weights!$B$17,AH91*[1]KPI_Weights!$B$18))/5)</f>
        <v/>
      </c>
      <c r="AL91" s="60" t="str">
        <f>IF(COUNTA(T91:AH91)=0,"",IF(OR(T91&lt;=1,W91&lt;=1,X91&lt;=1,Y91&lt;=1,AB91&lt;=1),"YES","NO"))</f>
        <v/>
      </c>
      <c r="AM91" s="60" t="str">
        <f>IF(AJ91="","",IF(AND(AL91="NO",AJ91&gt;=0.75),"YES","NO"))</f>
        <v/>
      </c>
      <c r="AN91" s="60" t="str">
        <f>IF(AJ91="","",IF(AJ91&lt;0.4,"Critical",IF(AJ91&lt;0.6,"Poor",IF(AJ91&lt;0.75,"Needs Improvement",IF(AJ91&lt;0.9,"Good","Excellent")))))</f>
        <v/>
      </c>
      <c r="AO91" s="59"/>
      <c r="AP91" s="59"/>
      <c r="AQ91" s="59"/>
      <c r="AR91" s="59"/>
      <c r="AS91" s="58"/>
      <c r="AT91" s="58"/>
      <c r="AU91" s="58"/>
      <c r="AV91" s="58"/>
      <c r="AW91" s="58"/>
      <c r="AX91" s="58"/>
      <c r="AY91" s="58"/>
      <c r="AZ91" s="58"/>
      <c r="BA91" s="58"/>
      <c r="BB91" s="58"/>
    </row>
    <row r="92" spans="1:54" ht="19.5" customHeight="1" x14ac:dyDescent="0.25">
      <c r="A92" s="60" t="str">
        <f>IF($B92="","",TEXT($B92,"yyyymmdd")&amp;"-"&amp;SUBSTITUTE($F92," ","")&amp;"-"&amp;TEXT(COUNTIF($F$4:F92,$F92),"00"))</f>
        <v/>
      </c>
      <c r="B92" s="65"/>
      <c r="C92" s="60" t="str">
        <f>IF($B92="","",WEEKNUM($B92,2))</f>
        <v/>
      </c>
      <c r="D92" s="60" t="str">
        <f>IF($B92="","",TEXT($B92,"yyyy-mm"))</f>
        <v/>
      </c>
      <c r="E92" s="64"/>
      <c r="F92" s="64"/>
      <c r="G92" s="60" t="str">
        <f>IF(OR($E92="",$F92=""),"",IFERROR(IF($E92=INDEX([1]Cluster_Master!$A$4:$A$18,MATCH($F92,[1]Cluster_Master!$B$4:$B$18,0)),"OK","CHECK"),"CHECK"))</f>
        <v/>
      </c>
      <c r="H92" s="63" t="str">
        <f>IFERROR(INDEX([1]Cluster_Master!$C$4:$C$18,MATCH($F92,[1]Cluster_Master!$B$4:$B$18,0)),"")</f>
        <v/>
      </c>
      <c r="I92" s="60" t="str">
        <f>IFERROR(INDEX([1]Cluster_Master!$D$4:$D$18,MATCH($F92,[1]Cluster_Master!$B$4:$B$18,0)),"")</f>
        <v/>
      </c>
      <c r="J92" s="60" t="str">
        <f>IFERROR(INDEX([1]Cluster_Master!$E$4:$E$18,MATCH($F92,[1]Cluster_Master!$B$4:$B$18,0)),"")</f>
        <v/>
      </c>
      <c r="K92" s="60" t="str">
        <f>IFERROR(INDEX([1]Cluster_Master!$F$4:$F$18,MATCH($F92,[1]Cluster_Master!$B$4:$B$18,0)),"")</f>
        <v/>
      </c>
      <c r="L92" s="60" t="str">
        <f>IFERROR(INDEX([1]Cluster_Master!$G$4:$G$18,MATCH($F92,[1]Cluster_Master!$B$4:$B$18,0)),"")</f>
        <v/>
      </c>
      <c r="M92" s="60" t="str">
        <f>IFERROR(INDEX([1]Cluster_Master!$H$4:$H$18,MATCH($F92,[1]Cluster_Master!$B$4:$B$18,0)),"")</f>
        <v/>
      </c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60" t="str">
        <f>IF(COUNTA(T92:AH92)=0,"",SUM(T92:AH92))</f>
        <v/>
      </c>
      <c r="AJ92" s="61" t="str">
        <f>IF(COUNTA(T92:AH92)=0,"",AI92/75)</f>
        <v/>
      </c>
      <c r="AK92" s="61" t="str">
        <f>IF(COUNTA(T92:AH92)=0,"",(SUM(T92*[1]KPI_Weights!$B$4,U92*[1]KPI_Weights!$B$5,V92*[1]KPI_Weights!$B$6,W92*[1]KPI_Weights!$B$7,X92*[1]KPI_Weights!$B$8,Y92*[1]KPI_Weights!$B$9,Z92*[1]KPI_Weights!$B$10,AA92*[1]KPI_Weights!$B$11,AB92*[1]KPI_Weights!$B$12,AC92*[1]KPI_Weights!$B$13,AD92*[1]KPI_Weights!$B$14,AE92*[1]KPI_Weights!$B$15,AF92*[1]KPI_Weights!$B$16,AG92*[1]KPI_Weights!$B$17,AH92*[1]KPI_Weights!$B$18))/5)</f>
        <v/>
      </c>
      <c r="AL92" s="60" t="str">
        <f>IF(COUNTA(T92:AH92)=0,"",IF(OR(T92&lt;=1,W92&lt;=1,X92&lt;=1,Y92&lt;=1,AB92&lt;=1),"YES","NO"))</f>
        <v/>
      </c>
      <c r="AM92" s="60" t="str">
        <f>IF(AJ92="","",IF(AND(AL92="NO",AJ92&gt;=0.75),"YES","NO"))</f>
        <v/>
      </c>
      <c r="AN92" s="60" t="str">
        <f>IF(AJ92="","",IF(AJ92&lt;0.4,"Critical",IF(AJ92&lt;0.6,"Poor",IF(AJ92&lt;0.75,"Needs Improvement",IF(AJ92&lt;0.9,"Good","Excellent")))))</f>
        <v/>
      </c>
      <c r="AO92" s="59"/>
      <c r="AP92" s="59"/>
      <c r="AQ92" s="59"/>
      <c r="AR92" s="59"/>
      <c r="AS92" s="58"/>
      <c r="AT92" s="58"/>
      <c r="AU92" s="58"/>
      <c r="AV92" s="58"/>
      <c r="AW92" s="58"/>
      <c r="AX92" s="58"/>
      <c r="AY92" s="58"/>
      <c r="AZ92" s="58"/>
      <c r="BA92" s="58"/>
      <c r="BB92" s="58"/>
    </row>
    <row r="93" spans="1:54" ht="19.5" customHeight="1" x14ac:dyDescent="0.25">
      <c r="A93" s="60" t="str">
        <f>IF($B93="","",TEXT($B93,"yyyymmdd")&amp;"-"&amp;SUBSTITUTE($F93," ","")&amp;"-"&amp;TEXT(COUNTIF($F$4:F93,$F93),"00"))</f>
        <v/>
      </c>
      <c r="B93" s="65"/>
      <c r="C93" s="60" t="str">
        <f>IF($B93="","",WEEKNUM($B93,2))</f>
        <v/>
      </c>
      <c r="D93" s="60" t="str">
        <f>IF($B93="","",TEXT($B93,"yyyy-mm"))</f>
        <v/>
      </c>
      <c r="E93" s="64"/>
      <c r="F93" s="64"/>
      <c r="G93" s="60" t="str">
        <f>IF(OR($E93="",$F93=""),"",IFERROR(IF($E93=INDEX([1]Cluster_Master!$A$4:$A$18,MATCH($F93,[1]Cluster_Master!$B$4:$B$18,0)),"OK","CHECK"),"CHECK"))</f>
        <v/>
      </c>
      <c r="H93" s="63" t="str">
        <f>IFERROR(INDEX([1]Cluster_Master!$C$4:$C$18,MATCH($F93,[1]Cluster_Master!$B$4:$B$18,0)),"")</f>
        <v/>
      </c>
      <c r="I93" s="60" t="str">
        <f>IFERROR(INDEX([1]Cluster_Master!$D$4:$D$18,MATCH($F93,[1]Cluster_Master!$B$4:$B$18,0)),"")</f>
        <v/>
      </c>
      <c r="J93" s="60" t="str">
        <f>IFERROR(INDEX([1]Cluster_Master!$E$4:$E$18,MATCH($F93,[1]Cluster_Master!$B$4:$B$18,0)),"")</f>
        <v/>
      </c>
      <c r="K93" s="60" t="str">
        <f>IFERROR(INDEX([1]Cluster_Master!$F$4:$F$18,MATCH($F93,[1]Cluster_Master!$B$4:$B$18,0)),"")</f>
        <v/>
      </c>
      <c r="L93" s="60" t="str">
        <f>IFERROR(INDEX([1]Cluster_Master!$G$4:$G$18,MATCH($F93,[1]Cluster_Master!$B$4:$B$18,0)),"")</f>
        <v/>
      </c>
      <c r="M93" s="60" t="str">
        <f>IFERROR(INDEX([1]Cluster_Master!$H$4:$H$18,MATCH($F93,[1]Cluster_Master!$B$4:$B$18,0)),"")</f>
        <v/>
      </c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60" t="str">
        <f>IF(COUNTA(T93:AH93)=0,"",SUM(T93:AH93))</f>
        <v/>
      </c>
      <c r="AJ93" s="61" t="str">
        <f>IF(COUNTA(T93:AH93)=0,"",AI93/75)</f>
        <v/>
      </c>
      <c r="AK93" s="61" t="str">
        <f>IF(COUNTA(T93:AH93)=0,"",(SUM(T93*[1]KPI_Weights!$B$4,U93*[1]KPI_Weights!$B$5,V93*[1]KPI_Weights!$B$6,W93*[1]KPI_Weights!$B$7,X93*[1]KPI_Weights!$B$8,Y93*[1]KPI_Weights!$B$9,Z93*[1]KPI_Weights!$B$10,AA93*[1]KPI_Weights!$B$11,AB93*[1]KPI_Weights!$B$12,AC93*[1]KPI_Weights!$B$13,AD93*[1]KPI_Weights!$B$14,AE93*[1]KPI_Weights!$B$15,AF93*[1]KPI_Weights!$B$16,AG93*[1]KPI_Weights!$B$17,AH93*[1]KPI_Weights!$B$18))/5)</f>
        <v/>
      </c>
      <c r="AL93" s="60" t="str">
        <f>IF(COUNTA(T93:AH93)=0,"",IF(OR(T93&lt;=1,W93&lt;=1,X93&lt;=1,Y93&lt;=1,AB93&lt;=1),"YES","NO"))</f>
        <v/>
      </c>
      <c r="AM93" s="60" t="str">
        <f>IF(AJ93="","",IF(AND(AL93="NO",AJ93&gt;=0.75),"YES","NO"))</f>
        <v/>
      </c>
      <c r="AN93" s="60" t="str">
        <f>IF(AJ93="","",IF(AJ93&lt;0.4,"Critical",IF(AJ93&lt;0.6,"Poor",IF(AJ93&lt;0.75,"Needs Improvement",IF(AJ93&lt;0.9,"Good","Excellent")))))</f>
        <v/>
      </c>
      <c r="AO93" s="59"/>
      <c r="AP93" s="59"/>
      <c r="AQ93" s="59"/>
      <c r="AR93" s="59"/>
      <c r="AS93" s="58"/>
      <c r="AT93" s="58"/>
      <c r="AU93" s="58"/>
      <c r="AV93" s="58"/>
      <c r="AW93" s="58"/>
      <c r="AX93" s="58"/>
      <c r="AY93" s="58"/>
      <c r="AZ93" s="58"/>
      <c r="BA93" s="58"/>
      <c r="BB93" s="58"/>
    </row>
    <row r="94" spans="1:54" ht="19.5" customHeight="1" x14ac:dyDescent="0.25">
      <c r="A94" s="60" t="str">
        <f>IF($B94="","",TEXT($B94,"yyyymmdd")&amp;"-"&amp;SUBSTITUTE($F94," ","")&amp;"-"&amp;TEXT(COUNTIF($F$4:F94,$F94),"00"))</f>
        <v/>
      </c>
      <c r="B94" s="65"/>
      <c r="C94" s="60" t="str">
        <f>IF($B94="","",WEEKNUM($B94,2))</f>
        <v/>
      </c>
      <c r="D94" s="60" t="str">
        <f>IF($B94="","",TEXT($B94,"yyyy-mm"))</f>
        <v/>
      </c>
      <c r="E94" s="64"/>
      <c r="F94" s="64"/>
      <c r="G94" s="60" t="str">
        <f>IF(OR($E94="",$F94=""),"",IFERROR(IF($E94=INDEX([1]Cluster_Master!$A$4:$A$18,MATCH($F94,[1]Cluster_Master!$B$4:$B$18,0)),"OK","CHECK"),"CHECK"))</f>
        <v/>
      </c>
      <c r="H94" s="63" t="str">
        <f>IFERROR(INDEX([1]Cluster_Master!$C$4:$C$18,MATCH($F94,[1]Cluster_Master!$B$4:$B$18,0)),"")</f>
        <v/>
      </c>
      <c r="I94" s="60" t="str">
        <f>IFERROR(INDEX([1]Cluster_Master!$D$4:$D$18,MATCH($F94,[1]Cluster_Master!$B$4:$B$18,0)),"")</f>
        <v/>
      </c>
      <c r="J94" s="60" t="str">
        <f>IFERROR(INDEX([1]Cluster_Master!$E$4:$E$18,MATCH($F94,[1]Cluster_Master!$B$4:$B$18,0)),"")</f>
        <v/>
      </c>
      <c r="K94" s="60" t="str">
        <f>IFERROR(INDEX([1]Cluster_Master!$F$4:$F$18,MATCH($F94,[1]Cluster_Master!$B$4:$B$18,0)),"")</f>
        <v/>
      </c>
      <c r="L94" s="60" t="str">
        <f>IFERROR(INDEX([1]Cluster_Master!$G$4:$G$18,MATCH($F94,[1]Cluster_Master!$B$4:$B$18,0)),"")</f>
        <v/>
      </c>
      <c r="M94" s="60" t="str">
        <f>IFERROR(INDEX([1]Cluster_Master!$H$4:$H$18,MATCH($F94,[1]Cluster_Master!$B$4:$B$18,0)),"")</f>
        <v/>
      </c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60" t="str">
        <f>IF(COUNTA(T94:AH94)=0,"",SUM(T94:AH94))</f>
        <v/>
      </c>
      <c r="AJ94" s="61" t="str">
        <f>IF(COUNTA(T94:AH94)=0,"",AI94/75)</f>
        <v/>
      </c>
      <c r="AK94" s="61" t="str">
        <f>IF(COUNTA(T94:AH94)=0,"",(SUM(T94*[1]KPI_Weights!$B$4,U94*[1]KPI_Weights!$B$5,V94*[1]KPI_Weights!$B$6,W94*[1]KPI_Weights!$B$7,X94*[1]KPI_Weights!$B$8,Y94*[1]KPI_Weights!$B$9,Z94*[1]KPI_Weights!$B$10,AA94*[1]KPI_Weights!$B$11,AB94*[1]KPI_Weights!$B$12,AC94*[1]KPI_Weights!$B$13,AD94*[1]KPI_Weights!$B$14,AE94*[1]KPI_Weights!$B$15,AF94*[1]KPI_Weights!$B$16,AG94*[1]KPI_Weights!$B$17,AH94*[1]KPI_Weights!$B$18))/5)</f>
        <v/>
      </c>
      <c r="AL94" s="60" t="str">
        <f>IF(COUNTA(T94:AH94)=0,"",IF(OR(T94&lt;=1,W94&lt;=1,X94&lt;=1,Y94&lt;=1,AB94&lt;=1),"YES","NO"))</f>
        <v/>
      </c>
      <c r="AM94" s="60" t="str">
        <f>IF(AJ94="","",IF(AND(AL94="NO",AJ94&gt;=0.75),"YES","NO"))</f>
        <v/>
      </c>
      <c r="AN94" s="60" t="str">
        <f>IF(AJ94="","",IF(AJ94&lt;0.4,"Critical",IF(AJ94&lt;0.6,"Poor",IF(AJ94&lt;0.75,"Needs Improvement",IF(AJ94&lt;0.9,"Good","Excellent")))))</f>
        <v/>
      </c>
      <c r="AO94" s="59"/>
      <c r="AP94" s="59"/>
      <c r="AQ94" s="59"/>
      <c r="AR94" s="59"/>
      <c r="AS94" s="58"/>
      <c r="AT94" s="58"/>
      <c r="AU94" s="58"/>
      <c r="AV94" s="58"/>
      <c r="AW94" s="58"/>
      <c r="AX94" s="58"/>
      <c r="AY94" s="58"/>
      <c r="AZ94" s="58"/>
      <c r="BA94" s="58"/>
      <c r="BB94" s="58"/>
    </row>
    <row r="95" spans="1:54" ht="19.5" customHeight="1" x14ac:dyDescent="0.25">
      <c r="A95" s="60" t="str">
        <f>IF($B95="","",TEXT($B95,"yyyymmdd")&amp;"-"&amp;SUBSTITUTE($F95," ","")&amp;"-"&amp;TEXT(COUNTIF($F$4:F95,$F95),"00"))</f>
        <v/>
      </c>
      <c r="B95" s="65"/>
      <c r="C95" s="60" t="str">
        <f>IF($B95="","",WEEKNUM($B95,2))</f>
        <v/>
      </c>
      <c r="D95" s="60" t="str">
        <f>IF($B95="","",TEXT($B95,"yyyy-mm"))</f>
        <v/>
      </c>
      <c r="E95" s="64"/>
      <c r="F95" s="64"/>
      <c r="G95" s="60" t="str">
        <f>IF(OR($E95="",$F95=""),"",IFERROR(IF($E95=INDEX([1]Cluster_Master!$A$4:$A$18,MATCH($F95,[1]Cluster_Master!$B$4:$B$18,0)),"OK","CHECK"),"CHECK"))</f>
        <v/>
      </c>
      <c r="H95" s="63" t="str">
        <f>IFERROR(INDEX([1]Cluster_Master!$C$4:$C$18,MATCH($F95,[1]Cluster_Master!$B$4:$B$18,0)),"")</f>
        <v/>
      </c>
      <c r="I95" s="60" t="str">
        <f>IFERROR(INDEX([1]Cluster_Master!$D$4:$D$18,MATCH($F95,[1]Cluster_Master!$B$4:$B$18,0)),"")</f>
        <v/>
      </c>
      <c r="J95" s="60" t="str">
        <f>IFERROR(INDEX([1]Cluster_Master!$E$4:$E$18,MATCH($F95,[1]Cluster_Master!$B$4:$B$18,0)),"")</f>
        <v/>
      </c>
      <c r="K95" s="60" t="str">
        <f>IFERROR(INDEX([1]Cluster_Master!$F$4:$F$18,MATCH($F95,[1]Cluster_Master!$B$4:$B$18,0)),"")</f>
        <v/>
      </c>
      <c r="L95" s="60" t="str">
        <f>IFERROR(INDEX([1]Cluster_Master!$G$4:$G$18,MATCH($F95,[1]Cluster_Master!$B$4:$B$18,0)),"")</f>
        <v/>
      </c>
      <c r="M95" s="60" t="str">
        <f>IFERROR(INDEX([1]Cluster_Master!$H$4:$H$18,MATCH($F95,[1]Cluster_Master!$B$4:$B$18,0)),"")</f>
        <v/>
      </c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60" t="str">
        <f>IF(COUNTA(T95:AH95)=0,"",SUM(T95:AH95))</f>
        <v/>
      </c>
      <c r="AJ95" s="61" t="str">
        <f>IF(COUNTA(T95:AH95)=0,"",AI95/75)</f>
        <v/>
      </c>
      <c r="AK95" s="61" t="str">
        <f>IF(COUNTA(T95:AH95)=0,"",(SUM(T95*[1]KPI_Weights!$B$4,U95*[1]KPI_Weights!$B$5,V95*[1]KPI_Weights!$B$6,W95*[1]KPI_Weights!$B$7,X95*[1]KPI_Weights!$B$8,Y95*[1]KPI_Weights!$B$9,Z95*[1]KPI_Weights!$B$10,AA95*[1]KPI_Weights!$B$11,AB95*[1]KPI_Weights!$B$12,AC95*[1]KPI_Weights!$B$13,AD95*[1]KPI_Weights!$B$14,AE95*[1]KPI_Weights!$B$15,AF95*[1]KPI_Weights!$B$16,AG95*[1]KPI_Weights!$B$17,AH95*[1]KPI_Weights!$B$18))/5)</f>
        <v/>
      </c>
      <c r="AL95" s="60" t="str">
        <f>IF(COUNTA(T95:AH95)=0,"",IF(OR(T95&lt;=1,W95&lt;=1,X95&lt;=1,Y95&lt;=1,AB95&lt;=1),"YES","NO"))</f>
        <v/>
      </c>
      <c r="AM95" s="60" t="str">
        <f>IF(AJ95="","",IF(AND(AL95="NO",AJ95&gt;=0.75),"YES","NO"))</f>
        <v/>
      </c>
      <c r="AN95" s="60" t="str">
        <f>IF(AJ95="","",IF(AJ95&lt;0.4,"Critical",IF(AJ95&lt;0.6,"Poor",IF(AJ95&lt;0.75,"Needs Improvement",IF(AJ95&lt;0.9,"Good","Excellent")))))</f>
        <v/>
      </c>
      <c r="AO95" s="59"/>
      <c r="AP95" s="59"/>
      <c r="AQ95" s="59"/>
      <c r="AR95" s="59"/>
      <c r="AS95" s="58"/>
      <c r="AT95" s="58"/>
      <c r="AU95" s="58"/>
      <c r="AV95" s="58"/>
      <c r="AW95" s="58"/>
      <c r="AX95" s="58"/>
      <c r="AY95" s="58"/>
      <c r="AZ95" s="58"/>
      <c r="BA95" s="58"/>
      <c r="BB95" s="58"/>
    </row>
    <row r="96" spans="1:54" ht="19.5" customHeight="1" x14ac:dyDescent="0.25">
      <c r="A96" s="60" t="str">
        <f>IF($B96="","",TEXT($B96,"yyyymmdd")&amp;"-"&amp;SUBSTITUTE($F96," ","")&amp;"-"&amp;TEXT(COUNTIF($F$4:F96,$F96),"00"))</f>
        <v/>
      </c>
      <c r="B96" s="65"/>
      <c r="C96" s="60" t="str">
        <f>IF($B96="","",WEEKNUM($B96,2))</f>
        <v/>
      </c>
      <c r="D96" s="60" t="str">
        <f>IF($B96="","",TEXT($B96,"yyyy-mm"))</f>
        <v/>
      </c>
      <c r="E96" s="64"/>
      <c r="F96" s="64"/>
      <c r="G96" s="60" t="str">
        <f>IF(OR($E96="",$F96=""),"",IFERROR(IF($E96=INDEX([1]Cluster_Master!$A$4:$A$18,MATCH($F96,[1]Cluster_Master!$B$4:$B$18,0)),"OK","CHECK"),"CHECK"))</f>
        <v/>
      </c>
      <c r="H96" s="63" t="str">
        <f>IFERROR(INDEX([1]Cluster_Master!$C$4:$C$18,MATCH($F96,[1]Cluster_Master!$B$4:$B$18,0)),"")</f>
        <v/>
      </c>
      <c r="I96" s="60" t="str">
        <f>IFERROR(INDEX([1]Cluster_Master!$D$4:$D$18,MATCH($F96,[1]Cluster_Master!$B$4:$B$18,0)),"")</f>
        <v/>
      </c>
      <c r="J96" s="60" t="str">
        <f>IFERROR(INDEX([1]Cluster_Master!$E$4:$E$18,MATCH($F96,[1]Cluster_Master!$B$4:$B$18,0)),"")</f>
        <v/>
      </c>
      <c r="K96" s="60" t="str">
        <f>IFERROR(INDEX([1]Cluster_Master!$F$4:$F$18,MATCH($F96,[1]Cluster_Master!$B$4:$B$18,0)),"")</f>
        <v/>
      </c>
      <c r="L96" s="60" t="str">
        <f>IFERROR(INDEX([1]Cluster_Master!$G$4:$G$18,MATCH($F96,[1]Cluster_Master!$B$4:$B$18,0)),"")</f>
        <v/>
      </c>
      <c r="M96" s="60" t="str">
        <f>IFERROR(INDEX([1]Cluster_Master!$H$4:$H$18,MATCH($F96,[1]Cluster_Master!$B$4:$B$18,0)),"")</f>
        <v/>
      </c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60" t="str">
        <f>IF(COUNTA(T96:AH96)=0,"",SUM(T96:AH96))</f>
        <v/>
      </c>
      <c r="AJ96" s="61" t="str">
        <f>IF(COUNTA(T96:AH96)=0,"",AI96/75)</f>
        <v/>
      </c>
      <c r="AK96" s="61" t="str">
        <f>IF(COUNTA(T96:AH96)=0,"",(SUM(T96*[1]KPI_Weights!$B$4,U96*[1]KPI_Weights!$B$5,V96*[1]KPI_Weights!$B$6,W96*[1]KPI_Weights!$B$7,X96*[1]KPI_Weights!$B$8,Y96*[1]KPI_Weights!$B$9,Z96*[1]KPI_Weights!$B$10,AA96*[1]KPI_Weights!$B$11,AB96*[1]KPI_Weights!$B$12,AC96*[1]KPI_Weights!$B$13,AD96*[1]KPI_Weights!$B$14,AE96*[1]KPI_Weights!$B$15,AF96*[1]KPI_Weights!$B$16,AG96*[1]KPI_Weights!$B$17,AH96*[1]KPI_Weights!$B$18))/5)</f>
        <v/>
      </c>
      <c r="AL96" s="60" t="str">
        <f>IF(COUNTA(T96:AH96)=0,"",IF(OR(T96&lt;=1,W96&lt;=1,X96&lt;=1,Y96&lt;=1,AB96&lt;=1),"YES","NO"))</f>
        <v/>
      </c>
      <c r="AM96" s="60" t="str">
        <f>IF(AJ96="","",IF(AND(AL96="NO",AJ96&gt;=0.75),"YES","NO"))</f>
        <v/>
      </c>
      <c r="AN96" s="60" t="str">
        <f>IF(AJ96="","",IF(AJ96&lt;0.4,"Critical",IF(AJ96&lt;0.6,"Poor",IF(AJ96&lt;0.75,"Needs Improvement",IF(AJ96&lt;0.9,"Good","Excellent")))))</f>
        <v/>
      </c>
      <c r="AO96" s="59"/>
      <c r="AP96" s="59"/>
      <c r="AQ96" s="59"/>
      <c r="AR96" s="59"/>
      <c r="AS96" s="58"/>
      <c r="AT96" s="58"/>
      <c r="AU96" s="58"/>
      <c r="AV96" s="58"/>
      <c r="AW96" s="58"/>
      <c r="AX96" s="58"/>
      <c r="AY96" s="58"/>
      <c r="AZ96" s="58"/>
      <c r="BA96" s="58"/>
      <c r="BB96" s="58"/>
    </row>
    <row r="97" spans="1:54" ht="19.5" customHeight="1" x14ac:dyDescent="0.25">
      <c r="A97" s="60" t="str">
        <f>IF($B97="","",TEXT($B97,"yyyymmdd")&amp;"-"&amp;SUBSTITUTE($F97," ","")&amp;"-"&amp;TEXT(COUNTIF($F$4:F97,$F97),"00"))</f>
        <v/>
      </c>
      <c r="B97" s="65"/>
      <c r="C97" s="60" t="str">
        <f>IF($B97="","",WEEKNUM($B97,2))</f>
        <v/>
      </c>
      <c r="D97" s="60" t="str">
        <f>IF($B97="","",TEXT($B97,"yyyy-mm"))</f>
        <v/>
      </c>
      <c r="E97" s="64"/>
      <c r="F97" s="64"/>
      <c r="G97" s="60" t="str">
        <f>IF(OR($E97="",$F97=""),"",IFERROR(IF($E97=INDEX([1]Cluster_Master!$A$4:$A$18,MATCH($F97,[1]Cluster_Master!$B$4:$B$18,0)),"OK","CHECK"),"CHECK"))</f>
        <v/>
      </c>
      <c r="H97" s="63" t="str">
        <f>IFERROR(INDEX([1]Cluster_Master!$C$4:$C$18,MATCH($F97,[1]Cluster_Master!$B$4:$B$18,0)),"")</f>
        <v/>
      </c>
      <c r="I97" s="60" t="str">
        <f>IFERROR(INDEX([1]Cluster_Master!$D$4:$D$18,MATCH($F97,[1]Cluster_Master!$B$4:$B$18,0)),"")</f>
        <v/>
      </c>
      <c r="J97" s="60" t="str">
        <f>IFERROR(INDEX([1]Cluster_Master!$E$4:$E$18,MATCH($F97,[1]Cluster_Master!$B$4:$B$18,0)),"")</f>
        <v/>
      </c>
      <c r="K97" s="60" t="str">
        <f>IFERROR(INDEX([1]Cluster_Master!$F$4:$F$18,MATCH($F97,[1]Cluster_Master!$B$4:$B$18,0)),"")</f>
        <v/>
      </c>
      <c r="L97" s="60" t="str">
        <f>IFERROR(INDEX([1]Cluster_Master!$G$4:$G$18,MATCH($F97,[1]Cluster_Master!$B$4:$B$18,0)),"")</f>
        <v/>
      </c>
      <c r="M97" s="60" t="str">
        <f>IFERROR(INDEX([1]Cluster_Master!$H$4:$H$18,MATCH($F97,[1]Cluster_Master!$B$4:$B$18,0)),"")</f>
        <v/>
      </c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60" t="str">
        <f>IF(COUNTA(T97:AH97)=0,"",SUM(T97:AH97))</f>
        <v/>
      </c>
      <c r="AJ97" s="61" t="str">
        <f>IF(COUNTA(T97:AH97)=0,"",AI97/75)</f>
        <v/>
      </c>
      <c r="AK97" s="61" t="str">
        <f>IF(COUNTA(T97:AH97)=0,"",(SUM(T97*[1]KPI_Weights!$B$4,U97*[1]KPI_Weights!$B$5,V97*[1]KPI_Weights!$B$6,W97*[1]KPI_Weights!$B$7,X97*[1]KPI_Weights!$B$8,Y97*[1]KPI_Weights!$B$9,Z97*[1]KPI_Weights!$B$10,AA97*[1]KPI_Weights!$B$11,AB97*[1]KPI_Weights!$B$12,AC97*[1]KPI_Weights!$B$13,AD97*[1]KPI_Weights!$B$14,AE97*[1]KPI_Weights!$B$15,AF97*[1]KPI_Weights!$B$16,AG97*[1]KPI_Weights!$B$17,AH97*[1]KPI_Weights!$B$18))/5)</f>
        <v/>
      </c>
      <c r="AL97" s="60" t="str">
        <f>IF(COUNTA(T97:AH97)=0,"",IF(OR(T97&lt;=1,W97&lt;=1,X97&lt;=1,Y97&lt;=1,AB97&lt;=1),"YES","NO"))</f>
        <v/>
      </c>
      <c r="AM97" s="60" t="str">
        <f>IF(AJ97="","",IF(AND(AL97="NO",AJ97&gt;=0.75),"YES","NO"))</f>
        <v/>
      </c>
      <c r="AN97" s="60" t="str">
        <f>IF(AJ97="","",IF(AJ97&lt;0.4,"Critical",IF(AJ97&lt;0.6,"Poor",IF(AJ97&lt;0.75,"Needs Improvement",IF(AJ97&lt;0.9,"Good","Excellent")))))</f>
        <v/>
      </c>
      <c r="AO97" s="59"/>
      <c r="AP97" s="59"/>
      <c r="AQ97" s="59"/>
      <c r="AR97" s="59"/>
      <c r="AS97" s="58"/>
      <c r="AT97" s="58"/>
      <c r="AU97" s="58"/>
      <c r="AV97" s="58"/>
      <c r="AW97" s="58"/>
      <c r="AX97" s="58"/>
      <c r="AY97" s="58"/>
      <c r="AZ97" s="58"/>
      <c r="BA97" s="58"/>
      <c r="BB97" s="58"/>
    </row>
    <row r="98" spans="1:54" ht="19.5" customHeight="1" x14ac:dyDescent="0.25">
      <c r="A98" s="60" t="str">
        <f>IF($B98="","",TEXT($B98,"yyyymmdd")&amp;"-"&amp;SUBSTITUTE($F98," ","")&amp;"-"&amp;TEXT(COUNTIF($F$4:F98,$F98),"00"))</f>
        <v/>
      </c>
      <c r="B98" s="65"/>
      <c r="C98" s="60" t="str">
        <f>IF($B98="","",WEEKNUM($B98,2))</f>
        <v/>
      </c>
      <c r="D98" s="60" t="str">
        <f>IF($B98="","",TEXT($B98,"yyyy-mm"))</f>
        <v/>
      </c>
      <c r="E98" s="64"/>
      <c r="F98" s="64"/>
      <c r="G98" s="60" t="str">
        <f>IF(OR($E98="",$F98=""),"",IFERROR(IF($E98=INDEX([1]Cluster_Master!$A$4:$A$18,MATCH($F98,[1]Cluster_Master!$B$4:$B$18,0)),"OK","CHECK"),"CHECK"))</f>
        <v/>
      </c>
      <c r="H98" s="63" t="str">
        <f>IFERROR(INDEX([1]Cluster_Master!$C$4:$C$18,MATCH($F98,[1]Cluster_Master!$B$4:$B$18,0)),"")</f>
        <v/>
      </c>
      <c r="I98" s="60" t="str">
        <f>IFERROR(INDEX([1]Cluster_Master!$D$4:$D$18,MATCH($F98,[1]Cluster_Master!$B$4:$B$18,0)),"")</f>
        <v/>
      </c>
      <c r="J98" s="60" t="str">
        <f>IFERROR(INDEX([1]Cluster_Master!$E$4:$E$18,MATCH($F98,[1]Cluster_Master!$B$4:$B$18,0)),"")</f>
        <v/>
      </c>
      <c r="K98" s="60" t="str">
        <f>IFERROR(INDEX([1]Cluster_Master!$F$4:$F$18,MATCH($F98,[1]Cluster_Master!$B$4:$B$18,0)),"")</f>
        <v/>
      </c>
      <c r="L98" s="60" t="str">
        <f>IFERROR(INDEX([1]Cluster_Master!$G$4:$G$18,MATCH($F98,[1]Cluster_Master!$B$4:$B$18,0)),"")</f>
        <v/>
      </c>
      <c r="M98" s="60" t="str">
        <f>IFERROR(INDEX([1]Cluster_Master!$H$4:$H$18,MATCH($F98,[1]Cluster_Master!$B$4:$B$18,0)),"")</f>
        <v/>
      </c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60" t="str">
        <f>IF(COUNTA(T98:AH98)=0,"",SUM(T98:AH98))</f>
        <v/>
      </c>
      <c r="AJ98" s="61" t="str">
        <f>IF(COUNTA(T98:AH98)=0,"",AI98/75)</f>
        <v/>
      </c>
      <c r="AK98" s="61" t="str">
        <f>IF(COUNTA(T98:AH98)=0,"",(SUM(T98*[1]KPI_Weights!$B$4,U98*[1]KPI_Weights!$B$5,V98*[1]KPI_Weights!$B$6,W98*[1]KPI_Weights!$B$7,X98*[1]KPI_Weights!$B$8,Y98*[1]KPI_Weights!$B$9,Z98*[1]KPI_Weights!$B$10,AA98*[1]KPI_Weights!$B$11,AB98*[1]KPI_Weights!$B$12,AC98*[1]KPI_Weights!$B$13,AD98*[1]KPI_Weights!$B$14,AE98*[1]KPI_Weights!$B$15,AF98*[1]KPI_Weights!$B$16,AG98*[1]KPI_Weights!$B$17,AH98*[1]KPI_Weights!$B$18))/5)</f>
        <v/>
      </c>
      <c r="AL98" s="60" t="str">
        <f>IF(COUNTA(T98:AH98)=0,"",IF(OR(T98&lt;=1,W98&lt;=1,X98&lt;=1,Y98&lt;=1,AB98&lt;=1),"YES","NO"))</f>
        <v/>
      </c>
      <c r="AM98" s="60" t="str">
        <f>IF(AJ98="","",IF(AND(AL98="NO",AJ98&gt;=0.75),"YES","NO"))</f>
        <v/>
      </c>
      <c r="AN98" s="60" t="str">
        <f>IF(AJ98="","",IF(AJ98&lt;0.4,"Critical",IF(AJ98&lt;0.6,"Poor",IF(AJ98&lt;0.75,"Needs Improvement",IF(AJ98&lt;0.9,"Good","Excellent")))))</f>
        <v/>
      </c>
      <c r="AO98" s="59"/>
      <c r="AP98" s="59"/>
      <c r="AQ98" s="59"/>
      <c r="AR98" s="59"/>
      <c r="AS98" s="58"/>
      <c r="AT98" s="58"/>
      <c r="AU98" s="58"/>
      <c r="AV98" s="58"/>
      <c r="AW98" s="58"/>
      <c r="AX98" s="58"/>
      <c r="AY98" s="58"/>
      <c r="AZ98" s="58"/>
      <c r="BA98" s="58"/>
      <c r="BB98" s="58"/>
    </row>
    <row r="99" spans="1:54" ht="19.5" customHeight="1" x14ac:dyDescent="0.25">
      <c r="A99" s="60" t="str">
        <f>IF($B99="","",TEXT($B99,"yyyymmdd")&amp;"-"&amp;SUBSTITUTE($F99," ","")&amp;"-"&amp;TEXT(COUNTIF($F$4:F99,$F99),"00"))</f>
        <v/>
      </c>
      <c r="B99" s="65"/>
      <c r="C99" s="60" t="str">
        <f>IF($B99="","",WEEKNUM($B99,2))</f>
        <v/>
      </c>
      <c r="D99" s="60" t="str">
        <f>IF($B99="","",TEXT($B99,"yyyy-mm"))</f>
        <v/>
      </c>
      <c r="E99" s="64"/>
      <c r="F99" s="64"/>
      <c r="G99" s="60" t="str">
        <f>IF(OR($E99="",$F99=""),"",IFERROR(IF($E99=INDEX([1]Cluster_Master!$A$4:$A$18,MATCH($F99,[1]Cluster_Master!$B$4:$B$18,0)),"OK","CHECK"),"CHECK"))</f>
        <v/>
      </c>
      <c r="H99" s="63" t="str">
        <f>IFERROR(INDEX([1]Cluster_Master!$C$4:$C$18,MATCH($F99,[1]Cluster_Master!$B$4:$B$18,0)),"")</f>
        <v/>
      </c>
      <c r="I99" s="60" t="str">
        <f>IFERROR(INDEX([1]Cluster_Master!$D$4:$D$18,MATCH($F99,[1]Cluster_Master!$B$4:$B$18,0)),"")</f>
        <v/>
      </c>
      <c r="J99" s="60" t="str">
        <f>IFERROR(INDEX([1]Cluster_Master!$E$4:$E$18,MATCH($F99,[1]Cluster_Master!$B$4:$B$18,0)),"")</f>
        <v/>
      </c>
      <c r="K99" s="60" t="str">
        <f>IFERROR(INDEX([1]Cluster_Master!$F$4:$F$18,MATCH($F99,[1]Cluster_Master!$B$4:$B$18,0)),"")</f>
        <v/>
      </c>
      <c r="L99" s="60" t="str">
        <f>IFERROR(INDEX([1]Cluster_Master!$G$4:$G$18,MATCH($F99,[1]Cluster_Master!$B$4:$B$18,0)),"")</f>
        <v/>
      </c>
      <c r="M99" s="60" t="str">
        <f>IFERROR(INDEX([1]Cluster_Master!$H$4:$H$18,MATCH($F99,[1]Cluster_Master!$B$4:$B$18,0)),"")</f>
        <v/>
      </c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60" t="str">
        <f>IF(COUNTA(T99:AH99)=0,"",SUM(T99:AH99))</f>
        <v/>
      </c>
      <c r="AJ99" s="61" t="str">
        <f>IF(COUNTA(T99:AH99)=0,"",AI99/75)</f>
        <v/>
      </c>
      <c r="AK99" s="61" t="str">
        <f>IF(COUNTA(T99:AH99)=0,"",(SUM(T99*[1]KPI_Weights!$B$4,U99*[1]KPI_Weights!$B$5,V99*[1]KPI_Weights!$B$6,W99*[1]KPI_Weights!$B$7,X99*[1]KPI_Weights!$B$8,Y99*[1]KPI_Weights!$B$9,Z99*[1]KPI_Weights!$B$10,AA99*[1]KPI_Weights!$B$11,AB99*[1]KPI_Weights!$B$12,AC99*[1]KPI_Weights!$B$13,AD99*[1]KPI_Weights!$B$14,AE99*[1]KPI_Weights!$B$15,AF99*[1]KPI_Weights!$B$16,AG99*[1]KPI_Weights!$B$17,AH99*[1]KPI_Weights!$B$18))/5)</f>
        <v/>
      </c>
      <c r="AL99" s="60" t="str">
        <f>IF(COUNTA(T99:AH99)=0,"",IF(OR(T99&lt;=1,W99&lt;=1,X99&lt;=1,Y99&lt;=1,AB99&lt;=1),"YES","NO"))</f>
        <v/>
      </c>
      <c r="AM99" s="60" t="str">
        <f>IF(AJ99="","",IF(AND(AL99="NO",AJ99&gt;=0.75),"YES","NO"))</f>
        <v/>
      </c>
      <c r="AN99" s="60" t="str">
        <f>IF(AJ99="","",IF(AJ99&lt;0.4,"Critical",IF(AJ99&lt;0.6,"Poor",IF(AJ99&lt;0.75,"Needs Improvement",IF(AJ99&lt;0.9,"Good","Excellent")))))</f>
        <v/>
      </c>
      <c r="AO99" s="59"/>
      <c r="AP99" s="59"/>
      <c r="AQ99" s="59"/>
      <c r="AR99" s="59"/>
      <c r="AS99" s="58"/>
      <c r="AT99" s="58"/>
      <c r="AU99" s="58"/>
      <c r="AV99" s="58"/>
      <c r="AW99" s="58"/>
      <c r="AX99" s="58"/>
      <c r="AY99" s="58"/>
      <c r="AZ99" s="58"/>
      <c r="BA99" s="58"/>
      <c r="BB99" s="58"/>
    </row>
    <row r="100" spans="1:54" ht="19.5" customHeight="1" x14ac:dyDescent="0.25">
      <c r="A100" s="60" t="str">
        <f>IF($B100="","",TEXT($B100,"yyyymmdd")&amp;"-"&amp;SUBSTITUTE($F100," ","")&amp;"-"&amp;TEXT(COUNTIF($F$4:F100,$F100),"00"))</f>
        <v/>
      </c>
      <c r="B100" s="65"/>
      <c r="C100" s="60" t="str">
        <f>IF($B100="","",WEEKNUM($B100,2))</f>
        <v/>
      </c>
      <c r="D100" s="60" t="str">
        <f>IF($B100="","",TEXT($B100,"yyyy-mm"))</f>
        <v/>
      </c>
      <c r="E100" s="64"/>
      <c r="F100" s="64"/>
      <c r="G100" s="60" t="str">
        <f>IF(OR($E100="",$F100=""),"",IFERROR(IF($E100=INDEX([1]Cluster_Master!$A$4:$A$18,MATCH($F100,[1]Cluster_Master!$B$4:$B$18,0)),"OK","CHECK"),"CHECK"))</f>
        <v/>
      </c>
      <c r="H100" s="63" t="str">
        <f>IFERROR(INDEX([1]Cluster_Master!$C$4:$C$18,MATCH($F100,[1]Cluster_Master!$B$4:$B$18,0)),"")</f>
        <v/>
      </c>
      <c r="I100" s="60" t="str">
        <f>IFERROR(INDEX([1]Cluster_Master!$D$4:$D$18,MATCH($F100,[1]Cluster_Master!$B$4:$B$18,0)),"")</f>
        <v/>
      </c>
      <c r="J100" s="60" t="str">
        <f>IFERROR(INDEX([1]Cluster_Master!$E$4:$E$18,MATCH($F100,[1]Cluster_Master!$B$4:$B$18,0)),"")</f>
        <v/>
      </c>
      <c r="K100" s="60" t="str">
        <f>IFERROR(INDEX([1]Cluster_Master!$F$4:$F$18,MATCH($F100,[1]Cluster_Master!$B$4:$B$18,0)),"")</f>
        <v/>
      </c>
      <c r="L100" s="60" t="str">
        <f>IFERROR(INDEX([1]Cluster_Master!$G$4:$G$18,MATCH($F100,[1]Cluster_Master!$B$4:$B$18,0)),"")</f>
        <v/>
      </c>
      <c r="M100" s="60" t="str">
        <f>IFERROR(INDEX([1]Cluster_Master!$H$4:$H$18,MATCH($F100,[1]Cluster_Master!$B$4:$B$18,0)),"")</f>
        <v/>
      </c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60" t="str">
        <f>IF(COUNTA(T100:AH100)=0,"",SUM(T100:AH100))</f>
        <v/>
      </c>
      <c r="AJ100" s="61" t="str">
        <f>IF(COUNTA(T100:AH100)=0,"",AI100/75)</f>
        <v/>
      </c>
      <c r="AK100" s="61" t="str">
        <f>IF(COUNTA(T100:AH100)=0,"",(SUM(T100*[1]KPI_Weights!$B$4,U100*[1]KPI_Weights!$B$5,V100*[1]KPI_Weights!$B$6,W100*[1]KPI_Weights!$B$7,X100*[1]KPI_Weights!$B$8,Y100*[1]KPI_Weights!$B$9,Z100*[1]KPI_Weights!$B$10,AA100*[1]KPI_Weights!$B$11,AB100*[1]KPI_Weights!$B$12,AC100*[1]KPI_Weights!$B$13,AD100*[1]KPI_Weights!$B$14,AE100*[1]KPI_Weights!$B$15,AF100*[1]KPI_Weights!$B$16,AG100*[1]KPI_Weights!$B$17,AH100*[1]KPI_Weights!$B$18))/5)</f>
        <v/>
      </c>
      <c r="AL100" s="60" t="str">
        <f>IF(COUNTA(T100:AH100)=0,"",IF(OR(T100&lt;=1,W100&lt;=1,X100&lt;=1,Y100&lt;=1,AB100&lt;=1),"YES","NO"))</f>
        <v/>
      </c>
      <c r="AM100" s="60" t="str">
        <f>IF(AJ100="","",IF(AND(AL100="NO",AJ100&gt;=0.75),"YES","NO"))</f>
        <v/>
      </c>
      <c r="AN100" s="60" t="str">
        <f>IF(AJ100="","",IF(AJ100&lt;0.4,"Critical",IF(AJ100&lt;0.6,"Poor",IF(AJ100&lt;0.75,"Needs Improvement",IF(AJ100&lt;0.9,"Good","Excellent")))))</f>
        <v/>
      </c>
      <c r="AO100" s="59"/>
      <c r="AP100" s="59"/>
      <c r="AQ100" s="59"/>
      <c r="AR100" s="59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</row>
    <row r="101" spans="1:54" ht="19.5" customHeight="1" x14ac:dyDescent="0.25">
      <c r="A101" s="60" t="str">
        <f>IF($B101="","",TEXT($B101,"yyyymmdd")&amp;"-"&amp;SUBSTITUTE($F101," ","")&amp;"-"&amp;TEXT(COUNTIF($F$4:F101,$F101),"00"))</f>
        <v/>
      </c>
      <c r="B101" s="65"/>
      <c r="C101" s="60" t="str">
        <f>IF($B101="","",WEEKNUM($B101,2))</f>
        <v/>
      </c>
      <c r="D101" s="60" t="str">
        <f>IF($B101="","",TEXT($B101,"yyyy-mm"))</f>
        <v/>
      </c>
      <c r="E101" s="64"/>
      <c r="F101" s="64"/>
      <c r="G101" s="60" t="str">
        <f>IF(OR($E101="",$F101=""),"",IFERROR(IF($E101=INDEX([1]Cluster_Master!$A$4:$A$18,MATCH($F101,[1]Cluster_Master!$B$4:$B$18,0)),"OK","CHECK"),"CHECK"))</f>
        <v/>
      </c>
      <c r="H101" s="63" t="str">
        <f>IFERROR(INDEX([1]Cluster_Master!$C$4:$C$18,MATCH($F101,[1]Cluster_Master!$B$4:$B$18,0)),"")</f>
        <v/>
      </c>
      <c r="I101" s="60" t="str">
        <f>IFERROR(INDEX([1]Cluster_Master!$D$4:$D$18,MATCH($F101,[1]Cluster_Master!$B$4:$B$18,0)),"")</f>
        <v/>
      </c>
      <c r="J101" s="60" t="str">
        <f>IFERROR(INDEX([1]Cluster_Master!$E$4:$E$18,MATCH($F101,[1]Cluster_Master!$B$4:$B$18,0)),"")</f>
        <v/>
      </c>
      <c r="K101" s="60" t="str">
        <f>IFERROR(INDEX([1]Cluster_Master!$F$4:$F$18,MATCH($F101,[1]Cluster_Master!$B$4:$B$18,0)),"")</f>
        <v/>
      </c>
      <c r="L101" s="60" t="str">
        <f>IFERROR(INDEX([1]Cluster_Master!$G$4:$G$18,MATCH($F101,[1]Cluster_Master!$B$4:$B$18,0)),"")</f>
        <v/>
      </c>
      <c r="M101" s="60" t="str">
        <f>IFERROR(INDEX([1]Cluster_Master!$H$4:$H$18,MATCH($F101,[1]Cluster_Master!$B$4:$B$18,0)),"")</f>
        <v/>
      </c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60" t="str">
        <f>IF(COUNTA(T101:AH101)=0,"",SUM(T101:AH101))</f>
        <v/>
      </c>
      <c r="AJ101" s="61" t="str">
        <f>IF(COUNTA(T101:AH101)=0,"",AI101/75)</f>
        <v/>
      </c>
      <c r="AK101" s="61" t="str">
        <f>IF(COUNTA(T101:AH101)=0,"",(SUM(T101*[1]KPI_Weights!$B$4,U101*[1]KPI_Weights!$B$5,V101*[1]KPI_Weights!$B$6,W101*[1]KPI_Weights!$B$7,X101*[1]KPI_Weights!$B$8,Y101*[1]KPI_Weights!$B$9,Z101*[1]KPI_Weights!$B$10,AA101*[1]KPI_Weights!$B$11,AB101*[1]KPI_Weights!$B$12,AC101*[1]KPI_Weights!$B$13,AD101*[1]KPI_Weights!$B$14,AE101*[1]KPI_Weights!$B$15,AF101*[1]KPI_Weights!$B$16,AG101*[1]KPI_Weights!$B$17,AH101*[1]KPI_Weights!$B$18))/5)</f>
        <v/>
      </c>
      <c r="AL101" s="60" t="str">
        <f>IF(COUNTA(T101:AH101)=0,"",IF(OR(T101&lt;=1,W101&lt;=1,X101&lt;=1,Y101&lt;=1,AB101&lt;=1),"YES","NO"))</f>
        <v/>
      </c>
      <c r="AM101" s="60" t="str">
        <f>IF(AJ101="","",IF(AND(AL101="NO",AJ101&gt;=0.75),"YES","NO"))</f>
        <v/>
      </c>
      <c r="AN101" s="60" t="str">
        <f>IF(AJ101="","",IF(AJ101&lt;0.4,"Critical",IF(AJ101&lt;0.6,"Poor",IF(AJ101&lt;0.75,"Needs Improvement",IF(AJ101&lt;0.9,"Good","Excellent")))))</f>
        <v/>
      </c>
      <c r="AO101" s="59"/>
      <c r="AP101" s="59"/>
      <c r="AQ101" s="59"/>
      <c r="AR101" s="59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</row>
    <row r="102" spans="1:54" ht="19.5" customHeight="1" x14ac:dyDescent="0.25">
      <c r="A102" s="60" t="str">
        <f>IF($B102="","",TEXT($B102,"yyyymmdd")&amp;"-"&amp;SUBSTITUTE($F102," ","")&amp;"-"&amp;TEXT(COUNTIF($F$4:F102,$F102),"00"))</f>
        <v/>
      </c>
      <c r="B102" s="65"/>
      <c r="C102" s="60" t="str">
        <f>IF($B102="","",WEEKNUM($B102,2))</f>
        <v/>
      </c>
      <c r="D102" s="60" t="str">
        <f>IF($B102="","",TEXT($B102,"yyyy-mm"))</f>
        <v/>
      </c>
      <c r="E102" s="64"/>
      <c r="F102" s="64"/>
      <c r="G102" s="60" t="str">
        <f>IF(OR($E102="",$F102=""),"",IFERROR(IF($E102=INDEX([1]Cluster_Master!$A$4:$A$18,MATCH($F102,[1]Cluster_Master!$B$4:$B$18,0)),"OK","CHECK"),"CHECK"))</f>
        <v/>
      </c>
      <c r="H102" s="63" t="str">
        <f>IFERROR(INDEX([1]Cluster_Master!$C$4:$C$18,MATCH($F102,[1]Cluster_Master!$B$4:$B$18,0)),"")</f>
        <v/>
      </c>
      <c r="I102" s="60" t="str">
        <f>IFERROR(INDEX([1]Cluster_Master!$D$4:$D$18,MATCH($F102,[1]Cluster_Master!$B$4:$B$18,0)),"")</f>
        <v/>
      </c>
      <c r="J102" s="60" t="str">
        <f>IFERROR(INDEX([1]Cluster_Master!$E$4:$E$18,MATCH($F102,[1]Cluster_Master!$B$4:$B$18,0)),"")</f>
        <v/>
      </c>
      <c r="K102" s="60" t="str">
        <f>IFERROR(INDEX([1]Cluster_Master!$F$4:$F$18,MATCH($F102,[1]Cluster_Master!$B$4:$B$18,0)),"")</f>
        <v/>
      </c>
      <c r="L102" s="60" t="str">
        <f>IFERROR(INDEX([1]Cluster_Master!$G$4:$G$18,MATCH($F102,[1]Cluster_Master!$B$4:$B$18,0)),"")</f>
        <v/>
      </c>
      <c r="M102" s="60" t="str">
        <f>IFERROR(INDEX([1]Cluster_Master!$H$4:$H$18,MATCH($F102,[1]Cluster_Master!$B$4:$B$18,0)),"")</f>
        <v/>
      </c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60" t="str">
        <f>IF(COUNTA(T102:AH102)=0,"",SUM(T102:AH102))</f>
        <v/>
      </c>
      <c r="AJ102" s="61" t="str">
        <f>IF(COUNTA(T102:AH102)=0,"",AI102/75)</f>
        <v/>
      </c>
      <c r="AK102" s="61" t="str">
        <f>IF(COUNTA(T102:AH102)=0,"",(SUM(T102*[1]KPI_Weights!$B$4,U102*[1]KPI_Weights!$B$5,V102*[1]KPI_Weights!$B$6,W102*[1]KPI_Weights!$B$7,X102*[1]KPI_Weights!$B$8,Y102*[1]KPI_Weights!$B$9,Z102*[1]KPI_Weights!$B$10,AA102*[1]KPI_Weights!$B$11,AB102*[1]KPI_Weights!$B$12,AC102*[1]KPI_Weights!$B$13,AD102*[1]KPI_Weights!$B$14,AE102*[1]KPI_Weights!$B$15,AF102*[1]KPI_Weights!$B$16,AG102*[1]KPI_Weights!$B$17,AH102*[1]KPI_Weights!$B$18))/5)</f>
        <v/>
      </c>
      <c r="AL102" s="60" t="str">
        <f>IF(COUNTA(T102:AH102)=0,"",IF(OR(T102&lt;=1,W102&lt;=1,X102&lt;=1,Y102&lt;=1,AB102&lt;=1),"YES","NO"))</f>
        <v/>
      </c>
      <c r="AM102" s="60" t="str">
        <f>IF(AJ102="","",IF(AND(AL102="NO",AJ102&gt;=0.75),"YES","NO"))</f>
        <v/>
      </c>
      <c r="AN102" s="60" t="str">
        <f>IF(AJ102="","",IF(AJ102&lt;0.4,"Critical",IF(AJ102&lt;0.6,"Poor",IF(AJ102&lt;0.75,"Needs Improvement",IF(AJ102&lt;0.9,"Good","Excellent")))))</f>
        <v/>
      </c>
      <c r="AO102" s="59"/>
      <c r="AP102" s="59"/>
      <c r="AQ102" s="59"/>
      <c r="AR102" s="59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</row>
    <row r="103" spans="1:54" ht="19.5" customHeight="1" x14ac:dyDescent="0.25">
      <c r="A103" s="60" t="str">
        <f>IF($B103="","",TEXT($B103,"yyyymmdd")&amp;"-"&amp;SUBSTITUTE($F103," ","")&amp;"-"&amp;TEXT(COUNTIF($F$4:F103,$F103),"00"))</f>
        <v/>
      </c>
      <c r="B103" s="65"/>
      <c r="C103" s="60" t="str">
        <f>IF($B103="","",WEEKNUM($B103,2))</f>
        <v/>
      </c>
      <c r="D103" s="60" t="str">
        <f>IF($B103="","",TEXT($B103,"yyyy-mm"))</f>
        <v/>
      </c>
      <c r="E103" s="64"/>
      <c r="F103" s="64"/>
      <c r="G103" s="60" t="str">
        <f>IF(OR($E103="",$F103=""),"",IFERROR(IF($E103=INDEX([1]Cluster_Master!$A$4:$A$18,MATCH($F103,[1]Cluster_Master!$B$4:$B$18,0)),"OK","CHECK"),"CHECK"))</f>
        <v/>
      </c>
      <c r="H103" s="63" t="str">
        <f>IFERROR(INDEX([1]Cluster_Master!$C$4:$C$18,MATCH($F103,[1]Cluster_Master!$B$4:$B$18,0)),"")</f>
        <v/>
      </c>
      <c r="I103" s="60" t="str">
        <f>IFERROR(INDEX([1]Cluster_Master!$D$4:$D$18,MATCH($F103,[1]Cluster_Master!$B$4:$B$18,0)),"")</f>
        <v/>
      </c>
      <c r="J103" s="60" t="str">
        <f>IFERROR(INDEX([1]Cluster_Master!$E$4:$E$18,MATCH($F103,[1]Cluster_Master!$B$4:$B$18,0)),"")</f>
        <v/>
      </c>
      <c r="K103" s="60" t="str">
        <f>IFERROR(INDEX([1]Cluster_Master!$F$4:$F$18,MATCH($F103,[1]Cluster_Master!$B$4:$B$18,0)),"")</f>
        <v/>
      </c>
      <c r="L103" s="60" t="str">
        <f>IFERROR(INDEX([1]Cluster_Master!$G$4:$G$18,MATCH($F103,[1]Cluster_Master!$B$4:$B$18,0)),"")</f>
        <v/>
      </c>
      <c r="M103" s="60" t="str">
        <f>IFERROR(INDEX([1]Cluster_Master!$H$4:$H$18,MATCH($F103,[1]Cluster_Master!$B$4:$B$18,0)),"")</f>
        <v/>
      </c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60" t="str">
        <f>IF(COUNTA(T103:AH103)=0,"",SUM(T103:AH103))</f>
        <v/>
      </c>
      <c r="AJ103" s="61" t="str">
        <f>IF(COUNTA(T103:AH103)=0,"",AI103/75)</f>
        <v/>
      </c>
      <c r="AK103" s="61" t="str">
        <f>IF(COUNTA(T103:AH103)=0,"",(SUM(T103*[1]KPI_Weights!$B$4,U103*[1]KPI_Weights!$B$5,V103*[1]KPI_Weights!$B$6,W103*[1]KPI_Weights!$B$7,X103*[1]KPI_Weights!$B$8,Y103*[1]KPI_Weights!$B$9,Z103*[1]KPI_Weights!$B$10,AA103*[1]KPI_Weights!$B$11,AB103*[1]KPI_Weights!$B$12,AC103*[1]KPI_Weights!$B$13,AD103*[1]KPI_Weights!$B$14,AE103*[1]KPI_Weights!$B$15,AF103*[1]KPI_Weights!$B$16,AG103*[1]KPI_Weights!$B$17,AH103*[1]KPI_Weights!$B$18))/5)</f>
        <v/>
      </c>
      <c r="AL103" s="60" t="str">
        <f>IF(COUNTA(T103:AH103)=0,"",IF(OR(T103&lt;=1,W103&lt;=1,X103&lt;=1,Y103&lt;=1,AB103&lt;=1),"YES","NO"))</f>
        <v/>
      </c>
      <c r="AM103" s="60" t="str">
        <f>IF(AJ103="","",IF(AND(AL103="NO",AJ103&gt;=0.75),"YES","NO"))</f>
        <v/>
      </c>
      <c r="AN103" s="60" t="str">
        <f>IF(AJ103="","",IF(AJ103&lt;0.4,"Critical",IF(AJ103&lt;0.6,"Poor",IF(AJ103&lt;0.75,"Needs Improvement",IF(AJ103&lt;0.9,"Good","Excellent")))))</f>
        <v/>
      </c>
      <c r="AO103" s="59"/>
      <c r="AP103" s="59"/>
      <c r="AQ103" s="59"/>
      <c r="AR103" s="59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</row>
    <row r="104" spans="1:54" ht="19.5" customHeight="1" x14ac:dyDescent="0.25">
      <c r="A104" s="60" t="str">
        <f>IF($B104="","",TEXT($B104,"yyyymmdd")&amp;"-"&amp;SUBSTITUTE($F104," ","")&amp;"-"&amp;TEXT(COUNTIF($F$4:F104,$F104),"00"))</f>
        <v/>
      </c>
      <c r="B104" s="65"/>
      <c r="C104" s="60" t="str">
        <f>IF($B104="","",WEEKNUM($B104,2))</f>
        <v/>
      </c>
      <c r="D104" s="60" t="str">
        <f>IF($B104="","",TEXT($B104,"yyyy-mm"))</f>
        <v/>
      </c>
      <c r="E104" s="64"/>
      <c r="F104" s="64"/>
      <c r="G104" s="60" t="str">
        <f>IF(OR($E104="",$F104=""),"",IFERROR(IF($E104=INDEX([1]Cluster_Master!$A$4:$A$18,MATCH($F104,[1]Cluster_Master!$B$4:$B$18,0)),"OK","CHECK"),"CHECK"))</f>
        <v/>
      </c>
      <c r="H104" s="63" t="str">
        <f>IFERROR(INDEX([1]Cluster_Master!$C$4:$C$18,MATCH($F104,[1]Cluster_Master!$B$4:$B$18,0)),"")</f>
        <v/>
      </c>
      <c r="I104" s="60" t="str">
        <f>IFERROR(INDEX([1]Cluster_Master!$D$4:$D$18,MATCH($F104,[1]Cluster_Master!$B$4:$B$18,0)),"")</f>
        <v/>
      </c>
      <c r="J104" s="60" t="str">
        <f>IFERROR(INDEX([1]Cluster_Master!$E$4:$E$18,MATCH($F104,[1]Cluster_Master!$B$4:$B$18,0)),"")</f>
        <v/>
      </c>
      <c r="K104" s="60" t="str">
        <f>IFERROR(INDEX([1]Cluster_Master!$F$4:$F$18,MATCH($F104,[1]Cluster_Master!$B$4:$B$18,0)),"")</f>
        <v/>
      </c>
      <c r="L104" s="60" t="str">
        <f>IFERROR(INDEX([1]Cluster_Master!$G$4:$G$18,MATCH($F104,[1]Cluster_Master!$B$4:$B$18,0)),"")</f>
        <v/>
      </c>
      <c r="M104" s="60" t="str">
        <f>IFERROR(INDEX([1]Cluster_Master!$H$4:$H$18,MATCH($F104,[1]Cluster_Master!$B$4:$B$18,0)),"")</f>
        <v/>
      </c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60" t="str">
        <f>IF(COUNTA(T104:AH104)=0,"",SUM(T104:AH104))</f>
        <v/>
      </c>
      <c r="AJ104" s="61" t="str">
        <f>IF(COUNTA(T104:AH104)=0,"",AI104/75)</f>
        <v/>
      </c>
      <c r="AK104" s="61" t="str">
        <f>IF(COUNTA(T104:AH104)=0,"",(SUM(T104*[1]KPI_Weights!$B$4,U104*[1]KPI_Weights!$B$5,V104*[1]KPI_Weights!$B$6,W104*[1]KPI_Weights!$B$7,X104*[1]KPI_Weights!$B$8,Y104*[1]KPI_Weights!$B$9,Z104*[1]KPI_Weights!$B$10,AA104*[1]KPI_Weights!$B$11,AB104*[1]KPI_Weights!$B$12,AC104*[1]KPI_Weights!$B$13,AD104*[1]KPI_Weights!$B$14,AE104*[1]KPI_Weights!$B$15,AF104*[1]KPI_Weights!$B$16,AG104*[1]KPI_Weights!$B$17,AH104*[1]KPI_Weights!$B$18))/5)</f>
        <v/>
      </c>
      <c r="AL104" s="60" t="str">
        <f>IF(COUNTA(T104:AH104)=0,"",IF(OR(T104&lt;=1,W104&lt;=1,X104&lt;=1,Y104&lt;=1,AB104&lt;=1),"YES","NO"))</f>
        <v/>
      </c>
      <c r="AM104" s="60" t="str">
        <f>IF(AJ104="","",IF(AND(AL104="NO",AJ104&gt;=0.75),"YES","NO"))</f>
        <v/>
      </c>
      <c r="AN104" s="60" t="str">
        <f>IF(AJ104="","",IF(AJ104&lt;0.4,"Critical",IF(AJ104&lt;0.6,"Poor",IF(AJ104&lt;0.75,"Needs Improvement",IF(AJ104&lt;0.9,"Good","Excellent")))))</f>
        <v/>
      </c>
      <c r="AO104" s="59"/>
      <c r="AP104" s="59"/>
      <c r="AQ104" s="59"/>
      <c r="AR104" s="59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</row>
    <row r="105" spans="1:54" ht="19.5" customHeight="1" x14ac:dyDescent="0.25">
      <c r="A105" s="60" t="str">
        <f>IF($B105="","",TEXT($B105,"yyyymmdd")&amp;"-"&amp;SUBSTITUTE($F105," ","")&amp;"-"&amp;TEXT(COUNTIF($F$4:F105,$F105),"00"))</f>
        <v/>
      </c>
      <c r="B105" s="65"/>
      <c r="C105" s="60" t="str">
        <f>IF($B105="","",WEEKNUM($B105,2))</f>
        <v/>
      </c>
      <c r="D105" s="60" t="str">
        <f>IF($B105="","",TEXT($B105,"yyyy-mm"))</f>
        <v/>
      </c>
      <c r="E105" s="64"/>
      <c r="F105" s="64"/>
      <c r="G105" s="60" t="str">
        <f>IF(OR($E105="",$F105=""),"",IFERROR(IF($E105=INDEX([1]Cluster_Master!$A$4:$A$18,MATCH($F105,[1]Cluster_Master!$B$4:$B$18,0)),"OK","CHECK"),"CHECK"))</f>
        <v/>
      </c>
      <c r="H105" s="63" t="str">
        <f>IFERROR(INDEX([1]Cluster_Master!$C$4:$C$18,MATCH($F105,[1]Cluster_Master!$B$4:$B$18,0)),"")</f>
        <v/>
      </c>
      <c r="I105" s="60" t="str">
        <f>IFERROR(INDEX([1]Cluster_Master!$D$4:$D$18,MATCH($F105,[1]Cluster_Master!$B$4:$B$18,0)),"")</f>
        <v/>
      </c>
      <c r="J105" s="60" t="str">
        <f>IFERROR(INDEX([1]Cluster_Master!$E$4:$E$18,MATCH($F105,[1]Cluster_Master!$B$4:$B$18,0)),"")</f>
        <v/>
      </c>
      <c r="K105" s="60" t="str">
        <f>IFERROR(INDEX([1]Cluster_Master!$F$4:$F$18,MATCH($F105,[1]Cluster_Master!$B$4:$B$18,0)),"")</f>
        <v/>
      </c>
      <c r="L105" s="60" t="str">
        <f>IFERROR(INDEX([1]Cluster_Master!$G$4:$G$18,MATCH($F105,[1]Cluster_Master!$B$4:$B$18,0)),"")</f>
        <v/>
      </c>
      <c r="M105" s="60" t="str">
        <f>IFERROR(INDEX([1]Cluster_Master!$H$4:$H$18,MATCH($F105,[1]Cluster_Master!$B$4:$B$18,0)),"")</f>
        <v/>
      </c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60" t="str">
        <f>IF(COUNTA(T105:AH105)=0,"",SUM(T105:AH105))</f>
        <v/>
      </c>
      <c r="AJ105" s="61" t="str">
        <f>IF(COUNTA(T105:AH105)=0,"",AI105/75)</f>
        <v/>
      </c>
      <c r="AK105" s="61" t="str">
        <f>IF(COUNTA(T105:AH105)=0,"",(SUM(T105*[1]KPI_Weights!$B$4,U105*[1]KPI_Weights!$B$5,V105*[1]KPI_Weights!$B$6,W105*[1]KPI_Weights!$B$7,X105*[1]KPI_Weights!$B$8,Y105*[1]KPI_Weights!$B$9,Z105*[1]KPI_Weights!$B$10,AA105*[1]KPI_Weights!$B$11,AB105*[1]KPI_Weights!$B$12,AC105*[1]KPI_Weights!$B$13,AD105*[1]KPI_Weights!$B$14,AE105*[1]KPI_Weights!$B$15,AF105*[1]KPI_Weights!$B$16,AG105*[1]KPI_Weights!$B$17,AH105*[1]KPI_Weights!$B$18))/5)</f>
        <v/>
      </c>
      <c r="AL105" s="60" t="str">
        <f>IF(COUNTA(T105:AH105)=0,"",IF(OR(T105&lt;=1,W105&lt;=1,X105&lt;=1,Y105&lt;=1,AB105&lt;=1),"YES","NO"))</f>
        <v/>
      </c>
      <c r="AM105" s="60" t="str">
        <f>IF(AJ105="","",IF(AND(AL105="NO",AJ105&gt;=0.75),"YES","NO"))</f>
        <v/>
      </c>
      <c r="AN105" s="60" t="str">
        <f>IF(AJ105="","",IF(AJ105&lt;0.4,"Critical",IF(AJ105&lt;0.6,"Poor",IF(AJ105&lt;0.75,"Needs Improvement",IF(AJ105&lt;0.9,"Good","Excellent")))))</f>
        <v/>
      </c>
      <c r="AO105" s="59"/>
      <c r="AP105" s="59"/>
      <c r="AQ105" s="59"/>
      <c r="AR105" s="59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</row>
    <row r="106" spans="1:54" ht="19.5" customHeight="1" x14ac:dyDescent="0.25">
      <c r="A106" s="60" t="str">
        <f>IF($B106="","",TEXT($B106,"yyyymmdd")&amp;"-"&amp;SUBSTITUTE($F106," ","")&amp;"-"&amp;TEXT(COUNTIF($F$4:F106,$F106),"00"))</f>
        <v/>
      </c>
      <c r="B106" s="65"/>
      <c r="C106" s="60" t="str">
        <f>IF($B106="","",WEEKNUM($B106,2))</f>
        <v/>
      </c>
      <c r="D106" s="60" t="str">
        <f>IF($B106="","",TEXT($B106,"yyyy-mm"))</f>
        <v/>
      </c>
      <c r="E106" s="64"/>
      <c r="F106" s="64"/>
      <c r="G106" s="60" t="str">
        <f>IF(OR($E106="",$F106=""),"",IFERROR(IF($E106=INDEX([1]Cluster_Master!$A$4:$A$18,MATCH($F106,[1]Cluster_Master!$B$4:$B$18,0)),"OK","CHECK"),"CHECK"))</f>
        <v/>
      </c>
      <c r="H106" s="63" t="str">
        <f>IFERROR(INDEX([1]Cluster_Master!$C$4:$C$18,MATCH($F106,[1]Cluster_Master!$B$4:$B$18,0)),"")</f>
        <v/>
      </c>
      <c r="I106" s="60" t="str">
        <f>IFERROR(INDEX([1]Cluster_Master!$D$4:$D$18,MATCH($F106,[1]Cluster_Master!$B$4:$B$18,0)),"")</f>
        <v/>
      </c>
      <c r="J106" s="60" t="str">
        <f>IFERROR(INDEX([1]Cluster_Master!$E$4:$E$18,MATCH($F106,[1]Cluster_Master!$B$4:$B$18,0)),"")</f>
        <v/>
      </c>
      <c r="K106" s="60" t="str">
        <f>IFERROR(INDEX([1]Cluster_Master!$F$4:$F$18,MATCH($F106,[1]Cluster_Master!$B$4:$B$18,0)),"")</f>
        <v/>
      </c>
      <c r="L106" s="60" t="str">
        <f>IFERROR(INDEX([1]Cluster_Master!$G$4:$G$18,MATCH($F106,[1]Cluster_Master!$B$4:$B$18,0)),"")</f>
        <v/>
      </c>
      <c r="M106" s="60" t="str">
        <f>IFERROR(INDEX([1]Cluster_Master!$H$4:$H$18,MATCH($F106,[1]Cluster_Master!$B$4:$B$18,0)),"")</f>
        <v/>
      </c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60" t="str">
        <f>IF(COUNTA(T106:AH106)=0,"",SUM(T106:AH106))</f>
        <v/>
      </c>
      <c r="AJ106" s="61" t="str">
        <f>IF(COUNTA(T106:AH106)=0,"",AI106/75)</f>
        <v/>
      </c>
      <c r="AK106" s="61" t="str">
        <f>IF(COUNTA(T106:AH106)=0,"",(SUM(T106*[1]KPI_Weights!$B$4,U106*[1]KPI_Weights!$B$5,V106*[1]KPI_Weights!$B$6,W106*[1]KPI_Weights!$B$7,X106*[1]KPI_Weights!$B$8,Y106*[1]KPI_Weights!$B$9,Z106*[1]KPI_Weights!$B$10,AA106*[1]KPI_Weights!$B$11,AB106*[1]KPI_Weights!$B$12,AC106*[1]KPI_Weights!$B$13,AD106*[1]KPI_Weights!$B$14,AE106*[1]KPI_Weights!$B$15,AF106*[1]KPI_Weights!$B$16,AG106*[1]KPI_Weights!$B$17,AH106*[1]KPI_Weights!$B$18))/5)</f>
        <v/>
      </c>
      <c r="AL106" s="60" t="str">
        <f>IF(COUNTA(T106:AH106)=0,"",IF(OR(T106&lt;=1,W106&lt;=1,X106&lt;=1,Y106&lt;=1,AB106&lt;=1),"YES","NO"))</f>
        <v/>
      </c>
      <c r="AM106" s="60" t="str">
        <f>IF(AJ106="","",IF(AND(AL106="NO",AJ106&gt;=0.75),"YES","NO"))</f>
        <v/>
      </c>
      <c r="AN106" s="60" t="str">
        <f>IF(AJ106="","",IF(AJ106&lt;0.4,"Critical",IF(AJ106&lt;0.6,"Poor",IF(AJ106&lt;0.75,"Needs Improvement",IF(AJ106&lt;0.9,"Good","Excellent")))))</f>
        <v/>
      </c>
      <c r="AO106" s="59"/>
      <c r="AP106" s="59"/>
      <c r="AQ106" s="59"/>
      <c r="AR106" s="59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</row>
    <row r="107" spans="1:54" ht="19.5" customHeight="1" x14ac:dyDescent="0.25">
      <c r="A107" s="60" t="str">
        <f>IF($B107="","",TEXT($B107,"yyyymmdd")&amp;"-"&amp;SUBSTITUTE($F107," ","")&amp;"-"&amp;TEXT(COUNTIF($F$4:F107,$F107),"00"))</f>
        <v/>
      </c>
      <c r="B107" s="65"/>
      <c r="C107" s="60" t="str">
        <f>IF($B107="","",WEEKNUM($B107,2))</f>
        <v/>
      </c>
      <c r="D107" s="60" t="str">
        <f>IF($B107="","",TEXT($B107,"yyyy-mm"))</f>
        <v/>
      </c>
      <c r="E107" s="64"/>
      <c r="F107" s="64"/>
      <c r="G107" s="60" t="str">
        <f>IF(OR($E107="",$F107=""),"",IFERROR(IF($E107=INDEX([1]Cluster_Master!$A$4:$A$18,MATCH($F107,[1]Cluster_Master!$B$4:$B$18,0)),"OK","CHECK"),"CHECK"))</f>
        <v/>
      </c>
      <c r="H107" s="63" t="str">
        <f>IFERROR(INDEX([1]Cluster_Master!$C$4:$C$18,MATCH($F107,[1]Cluster_Master!$B$4:$B$18,0)),"")</f>
        <v/>
      </c>
      <c r="I107" s="60" t="str">
        <f>IFERROR(INDEX([1]Cluster_Master!$D$4:$D$18,MATCH($F107,[1]Cluster_Master!$B$4:$B$18,0)),"")</f>
        <v/>
      </c>
      <c r="J107" s="60" t="str">
        <f>IFERROR(INDEX([1]Cluster_Master!$E$4:$E$18,MATCH($F107,[1]Cluster_Master!$B$4:$B$18,0)),"")</f>
        <v/>
      </c>
      <c r="K107" s="60" t="str">
        <f>IFERROR(INDEX([1]Cluster_Master!$F$4:$F$18,MATCH($F107,[1]Cluster_Master!$B$4:$B$18,0)),"")</f>
        <v/>
      </c>
      <c r="L107" s="60" t="str">
        <f>IFERROR(INDEX([1]Cluster_Master!$G$4:$G$18,MATCH($F107,[1]Cluster_Master!$B$4:$B$18,0)),"")</f>
        <v/>
      </c>
      <c r="M107" s="60" t="str">
        <f>IFERROR(INDEX([1]Cluster_Master!$H$4:$H$18,MATCH($F107,[1]Cluster_Master!$B$4:$B$18,0)),"")</f>
        <v/>
      </c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60" t="str">
        <f>IF(COUNTA(T107:AH107)=0,"",SUM(T107:AH107))</f>
        <v/>
      </c>
      <c r="AJ107" s="61" t="str">
        <f>IF(COUNTA(T107:AH107)=0,"",AI107/75)</f>
        <v/>
      </c>
      <c r="AK107" s="61" t="str">
        <f>IF(COUNTA(T107:AH107)=0,"",(SUM(T107*[1]KPI_Weights!$B$4,U107*[1]KPI_Weights!$B$5,V107*[1]KPI_Weights!$B$6,W107*[1]KPI_Weights!$B$7,X107*[1]KPI_Weights!$B$8,Y107*[1]KPI_Weights!$B$9,Z107*[1]KPI_Weights!$B$10,AA107*[1]KPI_Weights!$B$11,AB107*[1]KPI_Weights!$B$12,AC107*[1]KPI_Weights!$B$13,AD107*[1]KPI_Weights!$B$14,AE107*[1]KPI_Weights!$B$15,AF107*[1]KPI_Weights!$B$16,AG107*[1]KPI_Weights!$B$17,AH107*[1]KPI_Weights!$B$18))/5)</f>
        <v/>
      </c>
      <c r="AL107" s="60" t="str">
        <f>IF(COUNTA(T107:AH107)=0,"",IF(OR(T107&lt;=1,W107&lt;=1,X107&lt;=1,Y107&lt;=1,AB107&lt;=1),"YES","NO"))</f>
        <v/>
      </c>
      <c r="AM107" s="60" t="str">
        <f>IF(AJ107="","",IF(AND(AL107="NO",AJ107&gt;=0.75),"YES","NO"))</f>
        <v/>
      </c>
      <c r="AN107" s="60" t="str">
        <f>IF(AJ107="","",IF(AJ107&lt;0.4,"Critical",IF(AJ107&lt;0.6,"Poor",IF(AJ107&lt;0.75,"Needs Improvement",IF(AJ107&lt;0.9,"Good","Excellent")))))</f>
        <v/>
      </c>
      <c r="AO107" s="59"/>
      <c r="AP107" s="59"/>
      <c r="AQ107" s="59"/>
      <c r="AR107" s="59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</row>
    <row r="108" spans="1:54" ht="19.5" customHeight="1" x14ac:dyDescent="0.25">
      <c r="A108" s="60" t="str">
        <f>IF($B108="","",TEXT($B108,"yyyymmdd")&amp;"-"&amp;SUBSTITUTE($F108," ","")&amp;"-"&amp;TEXT(COUNTIF($F$4:F108,$F108),"00"))</f>
        <v/>
      </c>
      <c r="B108" s="65"/>
      <c r="C108" s="60" t="str">
        <f>IF($B108="","",WEEKNUM($B108,2))</f>
        <v/>
      </c>
      <c r="D108" s="60" t="str">
        <f>IF($B108="","",TEXT($B108,"yyyy-mm"))</f>
        <v/>
      </c>
      <c r="E108" s="64"/>
      <c r="F108" s="64"/>
      <c r="G108" s="60" t="str">
        <f>IF(OR($E108="",$F108=""),"",IFERROR(IF($E108=INDEX([1]Cluster_Master!$A$4:$A$18,MATCH($F108,[1]Cluster_Master!$B$4:$B$18,0)),"OK","CHECK"),"CHECK"))</f>
        <v/>
      </c>
      <c r="H108" s="63" t="str">
        <f>IFERROR(INDEX([1]Cluster_Master!$C$4:$C$18,MATCH($F108,[1]Cluster_Master!$B$4:$B$18,0)),"")</f>
        <v/>
      </c>
      <c r="I108" s="60" t="str">
        <f>IFERROR(INDEX([1]Cluster_Master!$D$4:$D$18,MATCH($F108,[1]Cluster_Master!$B$4:$B$18,0)),"")</f>
        <v/>
      </c>
      <c r="J108" s="60" t="str">
        <f>IFERROR(INDEX([1]Cluster_Master!$E$4:$E$18,MATCH($F108,[1]Cluster_Master!$B$4:$B$18,0)),"")</f>
        <v/>
      </c>
      <c r="K108" s="60" t="str">
        <f>IFERROR(INDEX([1]Cluster_Master!$F$4:$F$18,MATCH($F108,[1]Cluster_Master!$B$4:$B$18,0)),"")</f>
        <v/>
      </c>
      <c r="L108" s="60" t="str">
        <f>IFERROR(INDEX([1]Cluster_Master!$G$4:$G$18,MATCH($F108,[1]Cluster_Master!$B$4:$B$18,0)),"")</f>
        <v/>
      </c>
      <c r="M108" s="60" t="str">
        <f>IFERROR(INDEX([1]Cluster_Master!$H$4:$H$18,MATCH($F108,[1]Cluster_Master!$B$4:$B$18,0)),"")</f>
        <v/>
      </c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60" t="str">
        <f>IF(COUNTA(T108:AH108)=0,"",SUM(T108:AH108))</f>
        <v/>
      </c>
      <c r="AJ108" s="61" t="str">
        <f>IF(COUNTA(T108:AH108)=0,"",AI108/75)</f>
        <v/>
      </c>
      <c r="AK108" s="61" t="str">
        <f>IF(COUNTA(T108:AH108)=0,"",(SUM(T108*[1]KPI_Weights!$B$4,U108*[1]KPI_Weights!$B$5,V108*[1]KPI_Weights!$B$6,W108*[1]KPI_Weights!$B$7,X108*[1]KPI_Weights!$B$8,Y108*[1]KPI_Weights!$B$9,Z108*[1]KPI_Weights!$B$10,AA108*[1]KPI_Weights!$B$11,AB108*[1]KPI_Weights!$B$12,AC108*[1]KPI_Weights!$B$13,AD108*[1]KPI_Weights!$B$14,AE108*[1]KPI_Weights!$B$15,AF108*[1]KPI_Weights!$B$16,AG108*[1]KPI_Weights!$B$17,AH108*[1]KPI_Weights!$B$18))/5)</f>
        <v/>
      </c>
      <c r="AL108" s="60" t="str">
        <f>IF(COUNTA(T108:AH108)=0,"",IF(OR(T108&lt;=1,W108&lt;=1,X108&lt;=1,Y108&lt;=1,AB108&lt;=1),"YES","NO"))</f>
        <v/>
      </c>
      <c r="AM108" s="60" t="str">
        <f>IF(AJ108="","",IF(AND(AL108="NO",AJ108&gt;=0.75),"YES","NO"))</f>
        <v/>
      </c>
      <c r="AN108" s="60" t="str">
        <f>IF(AJ108="","",IF(AJ108&lt;0.4,"Critical",IF(AJ108&lt;0.6,"Poor",IF(AJ108&lt;0.75,"Needs Improvement",IF(AJ108&lt;0.9,"Good","Excellent")))))</f>
        <v/>
      </c>
      <c r="AO108" s="59"/>
      <c r="AP108" s="59"/>
      <c r="AQ108" s="59"/>
      <c r="AR108" s="59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</row>
    <row r="109" spans="1:54" ht="19.5" customHeight="1" x14ac:dyDescent="0.25">
      <c r="A109" s="60" t="str">
        <f>IF($B109="","",TEXT($B109,"yyyymmdd")&amp;"-"&amp;SUBSTITUTE($F109," ","")&amp;"-"&amp;TEXT(COUNTIF($F$4:F109,$F109),"00"))</f>
        <v/>
      </c>
      <c r="B109" s="65"/>
      <c r="C109" s="60" t="str">
        <f>IF($B109="","",WEEKNUM($B109,2))</f>
        <v/>
      </c>
      <c r="D109" s="60" t="str">
        <f>IF($B109="","",TEXT($B109,"yyyy-mm"))</f>
        <v/>
      </c>
      <c r="E109" s="64"/>
      <c r="F109" s="64"/>
      <c r="G109" s="60" t="str">
        <f>IF(OR($E109="",$F109=""),"",IFERROR(IF($E109=INDEX([1]Cluster_Master!$A$4:$A$18,MATCH($F109,[1]Cluster_Master!$B$4:$B$18,0)),"OK","CHECK"),"CHECK"))</f>
        <v/>
      </c>
      <c r="H109" s="63" t="str">
        <f>IFERROR(INDEX([1]Cluster_Master!$C$4:$C$18,MATCH($F109,[1]Cluster_Master!$B$4:$B$18,0)),"")</f>
        <v/>
      </c>
      <c r="I109" s="60" t="str">
        <f>IFERROR(INDEX([1]Cluster_Master!$D$4:$D$18,MATCH($F109,[1]Cluster_Master!$B$4:$B$18,0)),"")</f>
        <v/>
      </c>
      <c r="J109" s="60" t="str">
        <f>IFERROR(INDEX([1]Cluster_Master!$E$4:$E$18,MATCH($F109,[1]Cluster_Master!$B$4:$B$18,0)),"")</f>
        <v/>
      </c>
      <c r="K109" s="60" t="str">
        <f>IFERROR(INDEX([1]Cluster_Master!$F$4:$F$18,MATCH($F109,[1]Cluster_Master!$B$4:$B$18,0)),"")</f>
        <v/>
      </c>
      <c r="L109" s="60" t="str">
        <f>IFERROR(INDEX([1]Cluster_Master!$G$4:$G$18,MATCH($F109,[1]Cluster_Master!$B$4:$B$18,0)),"")</f>
        <v/>
      </c>
      <c r="M109" s="60" t="str">
        <f>IFERROR(INDEX([1]Cluster_Master!$H$4:$H$18,MATCH($F109,[1]Cluster_Master!$B$4:$B$18,0)),"")</f>
        <v/>
      </c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60" t="str">
        <f>IF(COUNTA(T109:AH109)=0,"",SUM(T109:AH109))</f>
        <v/>
      </c>
      <c r="AJ109" s="61" t="str">
        <f>IF(COUNTA(T109:AH109)=0,"",AI109/75)</f>
        <v/>
      </c>
      <c r="AK109" s="61" t="str">
        <f>IF(COUNTA(T109:AH109)=0,"",(SUM(T109*[1]KPI_Weights!$B$4,U109*[1]KPI_Weights!$B$5,V109*[1]KPI_Weights!$B$6,W109*[1]KPI_Weights!$B$7,X109*[1]KPI_Weights!$B$8,Y109*[1]KPI_Weights!$B$9,Z109*[1]KPI_Weights!$B$10,AA109*[1]KPI_Weights!$B$11,AB109*[1]KPI_Weights!$B$12,AC109*[1]KPI_Weights!$B$13,AD109*[1]KPI_Weights!$B$14,AE109*[1]KPI_Weights!$B$15,AF109*[1]KPI_Weights!$B$16,AG109*[1]KPI_Weights!$B$17,AH109*[1]KPI_Weights!$B$18))/5)</f>
        <v/>
      </c>
      <c r="AL109" s="60" t="str">
        <f>IF(COUNTA(T109:AH109)=0,"",IF(OR(T109&lt;=1,W109&lt;=1,X109&lt;=1,Y109&lt;=1,AB109&lt;=1),"YES","NO"))</f>
        <v/>
      </c>
      <c r="AM109" s="60" t="str">
        <f>IF(AJ109="","",IF(AND(AL109="NO",AJ109&gt;=0.75),"YES","NO"))</f>
        <v/>
      </c>
      <c r="AN109" s="60" t="str">
        <f>IF(AJ109="","",IF(AJ109&lt;0.4,"Critical",IF(AJ109&lt;0.6,"Poor",IF(AJ109&lt;0.75,"Needs Improvement",IF(AJ109&lt;0.9,"Good","Excellent")))))</f>
        <v/>
      </c>
      <c r="AO109" s="59"/>
      <c r="AP109" s="59"/>
      <c r="AQ109" s="59"/>
      <c r="AR109" s="59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</row>
    <row r="110" spans="1:54" ht="19.5" customHeight="1" x14ac:dyDescent="0.25">
      <c r="A110" s="60" t="str">
        <f>IF($B110="","",TEXT($B110,"yyyymmdd")&amp;"-"&amp;SUBSTITUTE($F110," ","")&amp;"-"&amp;TEXT(COUNTIF($F$4:F110,$F110),"00"))</f>
        <v/>
      </c>
      <c r="B110" s="65"/>
      <c r="C110" s="60" t="str">
        <f>IF($B110="","",WEEKNUM($B110,2))</f>
        <v/>
      </c>
      <c r="D110" s="60" t="str">
        <f>IF($B110="","",TEXT($B110,"yyyy-mm"))</f>
        <v/>
      </c>
      <c r="E110" s="64"/>
      <c r="F110" s="64"/>
      <c r="G110" s="60" t="str">
        <f>IF(OR($E110="",$F110=""),"",IFERROR(IF($E110=INDEX([1]Cluster_Master!$A$4:$A$18,MATCH($F110,[1]Cluster_Master!$B$4:$B$18,0)),"OK","CHECK"),"CHECK"))</f>
        <v/>
      </c>
      <c r="H110" s="63" t="str">
        <f>IFERROR(INDEX([1]Cluster_Master!$C$4:$C$18,MATCH($F110,[1]Cluster_Master!$B$4:$B$18,0)),"")</f>
        <v/>
      </c>
      <c r="I110" s="60" t="str">
        <f>IFERROR(INDEX([1]Cluster_Master!$D$4:$D$18,MATCH($F110,[1]Cluster_Master!$B$4:$B$18,0)),"")</f>
        <v/>
      </c>
      <c r="J110" s="60" t="str">
        <f>IFERROR(INDEX([1]Cluster_Master!$E$4:$E$18,MATCH($F110,[1]Cluster_Master!$B$4:$B$18,0)),"")</f>
        <v/>
      </c>
      <c r="K110" s="60" t="str">
        <f>IFERROR(INDEX([1]Cluster_Master!$F$4:$F$18,MATCH($F110,[1]Cluster_Master!$B$4:$B$18,0)),"")</f>
        <v/>
      </c>
      <c r="L110" s="60" t="str">
        <f>IFERROR(INDEX([1]Cluster_Master!$G$4:$G$18,MATCH($F110,[1]Cluster_Master!$B$4:$B$18,0)),"")</f>
        <v/>
      </c>
      <c r="M110" s="60" t="str">
        <f>IFERROR(INDEX([1]Cluster_Master!$H$4:$H$18,MATCH($F110,[1]Cluster_Master!$B$4:$B$18,0)),"")</f>
        <v/>
      </c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60" t="str">
        <f>IF(COUNTA(T110:AH110)=0,"",SUM(T110:AH110))</f>
        <v/>
      </c>
      <c r="AJ110" s="61" t="str">
        <f>IF(COUNTA(T110:AH110)=0,"",AI110/75)</f>
        <v/>
      </c>
      <c r="AK110" s="61" t="str">
        <f>IF(COUNTA(T110:AH110)=0,"",(SUM(T110*[1]KPI_Weights!$B$4,U110*[1]KPI_Weights!$B$5,V110*[1]KPI_Weights!$B$6,W110*[1]KPI_Weights!$B$7,X110*[1]KPI_Weights!$B$8,Y110*[1]KPI_Weights!$B$9,Z110*[1]KPI_Weights!$B$10,AA110*[1]KPI_Weights!$B$11,AB110*[1]KPI_Weights!$B$12,AC110*[1]KPI_Weights!$B$13,AD110*[1]KPI_Weights!$B$14,AE110*[1]KPI_Weights!$B$15,AF110*[1]KPI_Weights!$B$16,AG110*[1]KPI_Weights!$B$17,AH110*[1]KPI_Weights!$B$18))/5)</f>
        <v/>
      </c>
      <c r="AL110" s="60" t="str">
        <f>IF(COUNTA(T110:AH110)=0,"",IF(OR(T110&lt;=1,W110&lt;=1,X110&lt;=1,Y110&lt;=1,AB110&lt;=1),"YES","NO"))</f>
        <v/>
      </c>
      <c r="AM110" s="60" t="str">
        <f>IF(AJ110="","",IF(AND(AL110="NO",AJ110&gt;=0.75),"YES","NO"))</f>
        <v/>
      </c>
      <c r="AN110" s="60" t="str">
        <f>IF(AJ110="","",IF(AJ110&lt;0.4,"Critical",IF(AJ110&lt;0.6,"Poor",IF(AJ110&lt;0.75,"Needs Improvement",IF(AJ110&lt;0.9,"Good","Excellent")))))</f>
        <v/>
      </c>
      <c r="AO110" s="59"/>
      <c r="AP110" s="59"/>
      <c r="AQ110" s="59"/>
      <c r="AR110" s="59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</row>
    <row r="111" spans="1:54" ht="19.5" customHeight="1" x14ac:dyDescent="0.25">
      <c r="A111" s="60" t="str">
        <f>IF($B111="","",TEXT($B111,"yyyymmdd")&amp;"-"&amp;SUBSTITUTE($F111," ","")&amp;"-"&amp;TEXT(COUNTIF($F$4:F111,$F111),"00"))</f>
        <v/>
      </c>
      <c r="B111" s="65"/>
      <c r="C111" s="60" t="str">
        <f>IF($B111="","",WEEKNUM($B111,2))</f>
        <v/>
      </c>
      <c r="D111" s="60" t="str">
        <f>IF($B111="","",TEXT($B111,"yyyy-mm"))</f>
        <v/>
      </c>
      <c r="E111" s="64"/>
      <c r="F111" s="64"/>
      <c r="G111" s="60" t="str">
        <f>IF(OR($E111="",$F111=""),"",IFERROR(IF($E111=INDEX([1]Cluster_Master!$A$4:$A$18,MATCH($F111,[1]Cluster_Master!$B$4:$B$18,0)),"OK","CHECK"),"CHECK"))</f>
        <v/>
      </c>
      <c r="H111" s="63" t="str">
        <f>IFERROR(INDEX([1]Cluster_Master!$C$4:$C$18,MATCH($F111,[1]Cluster_Master!$B$4:$B$18,0)),"")</f>
        <v/>
      </c>
      <c r="I111" s="60" t="str">
        <f>IFERROR(INDEX([1]Cluster_Master!$D$4:$D$18,MATCH($F111,[1]Cluster_Master!$B$4:$B$18,0)),"")</f>
        <v/>
      </c>
      <c r="J111" s="60" t="str">
        <f>IFERROR(INDEX([1]Cluster_Master!$E$4:$E$18,MATCH($F111,[1]Cluster_Master!$B$4:$B$18,0)),"")</f>
        <v/>
      </c>
      <c r="K111" s="60" t="str">
        <f>IFERROR(INDEX([1]Cluster_Master!$F$4:$F$18,MATCH($F111,[1]Cluster_Master!$B$4:$B$18,0)),"")</f>
        <v/>
      </c>
      <c r="L111" s="60" t="str">
        <f>IFERROR(INDEX([1]Cluster_Master!$G$4:$G$18,MATCH($F111,[1]Cluster_Master!$B$4:$B$18,0)),"")</f>
        <v/>
      </c>
      <c r="M111" s="60" t="str">
        <f>IFERROR(INDEX([1]Cluster_Master!$H$4:$H$18,MATCH($F111,[1]Cluster_Master!$B$4:$B$18,0)),"")</f>
        <v/>
      </c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60" t="str">
        <f>IF(COUNTA(T111:AH111)=0,"",SUM(T111:AH111))</f>
        <v/>
      </c>
      <c r="AJ111" s="61" t="str">
        <f>IF(COUNTA(T111:AH111)=0,"",AI111/75)</f>
        <v/>
      </c>
      <c r="AK111" s="61" t="str">
        <f>IF(COUNTA(T111:AH111)=0,"",(SUM(T111*[1]KPI_Weights!$B$4,U111*[1]KPI_Weights!$B$5,V111*[1]KPI_Weights!$B$6,W111*[1]KPI_Weights!$B$7,X111*[1]KPI_Weights!$B$8,Y111*[1]KPI_Weights!$B$9,Z111*[1]KPI_Weights!$B$10,AA111*[1]KPI_Weights!$B$11,AB111*[1]KPI_Weights!$B$12,AC111*[1]KPI_Weights!$B$13,AD111*[1]KPI_Weights!$B$14,AE111*[1]KPI_Weights!$B$15,AF111*[1]KPI_Weights!$B$16,AG111*[1]KPI_Weights!$B$17,AH111*[1]KPI_Weights!$B$18))/5)</f>
        <v/>
      </c>
      <c r="AL111" s="60" t="str">
        <f>IF(COUNTA(T111:AH111)=0,"",IF(OR(T111&lt;=1,W111&lt;=1,X111&lt;=1,Y111&lt;=1,AB111&lt;=1),"YES","NO"))</f>
        <v/>
      </c>
      <c r="AM111" s="60" t="str">
        <f>IF(AJ111="","",IF(AND(AL111="NO",AJ111&gt;=0.75),"YES","NO"))</f>
        <v/>
      </c>
      <c r="AN111" s="60" t="str">
        <f>IF(AJ111="","",IF(AJ111&lt;0.4,"Critical",IF(AJ111&lt;0.6,"Poor",IF(AJ111&lt;0.75,"Needs Improvement",IF(AJ111&lt;0.9,"Good","Excellent")))))</f>
        <v/>
      </c>
      <c r="AO111" s="59"/>
      <c r="AP111" s="59"/>
      <c r="AQ111" s="59"/>
      <c r="AR111" s="59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</row>
    <row r="112" spans="1:54" ht="19.5" customHeight="1" x14ac:dyDescent="0.25">
      <c r="A112" s="60" t="str">
        <f>IF($B112="","",TEXT($B112,"yyyymmdd")&amp;"-"&amp;SUBSTITUTE($F112," ","")&amp;"-"&amp;TEXT(COUNTIF($F$4:F112,$F112),"00"))</f>
        <v/>
      </c>
      <c r="B112" s="65"/>
      <c r="C112" s="60" t="str">
        <f>IF($B112="","",WEEKNUM($B112,2))</f>
        <v/>
      </c>
      <c r="D112" s="60" t="str">
        <f>IF($B112="","",TEXT($B112,"yyyy-mm"))</f>
        <v/>
      </c>
      <c r="E112" s="64"/>
      <c r="F112" s="64"/>
      <c r="G112" s="60" t="str">
        <f>IF(OR($E112="",$F112=""),"",IFERROR(IF($E112=INDEX([1]Cluster_Master!$A$4:$A$18,MATCH($F112,[1]Cluster_Master!$B$4:$B$18,0)),"OK","CHECK"),"CHECK"))</f>
        <v/>
      </c>
      <c r="H112" s="63" t="str">
        <f>IFERROR(INDEX([1]Cluster_Master!$C$4:$C$18,MATCH($F112,[1]Cluster_Master!$B$4:$B$18,0)),"")</f>
        <v/>
      </c>
      <c r="I112" s="60" t="str">
        <f>IFERROR(INDEX([1]Cluster_Master!$D$4:$D$18,MATCH($F112,[1]Cluster_Master!$B$4:$B$18,0)),"")</f>
        <v/>
      </c>
      <c r="J112" s="60" t="str">
        <f>IFERROR(INDEX([1]Cluster_Master!$E$4:$E$18,MATCH($F112,[1]Cluster_Master!$B$4:$B$18,0)),"")</f>
        <v/>
      </c>
      <c r="K112" s="60" t="str">
        <f>IFERROR(INDEX([1]Cluster_Master!$F$4:$F$18,MATCH($F112,[1]Cluster_Master!$B$4:$B$18,0)),"")</f>
        <v/>
      </c>
      <c r="L112" s="60" t="str">
        <f>IFERROR(INDEX([1]Cluster_Master!$G$4:$G$18,MATCH($F112,[1]Cluster_Master!$B$4:$B$18,0)),"")</f>
        <v/>
      </c>
      <c r="M112" s="60" t="str">
        <f>IFERROR(INDEX([1]Cluster_Master!$H$4:$H$18,MATCH($F112,[1]Cluster_Master!$B$4:$B$18,0)),"")</f>
        <v/>
      </c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60" t="str">
        <f>IF(COUNTA(T112:AH112)=0,"",SUM(T112:AH112))</f>
        <v/>
      </c>
      <c r="AJ112" s="61" t="str">
        <f>IF(COUNTA(T112:AH112)=0,"",AI112/75)</f>
        <v/>
      </c>
      <c r="AK112" s="61" t="str">
        <f>IF(COUNTA(T112:AH112)=0,"",(SUM(T112*[1]KPI_Weights!$B$4,U112*[1]KPI_Weights!$B$5,V112*[1]KPI_Weights!$B$6,W112*[1]KPI_Weights!$B$7,X112*[1]KPI_Weights!$B$8,Y112*[1]KPI_Weights!$B$9,Z112*[1]KPI_Weights!$B$10,AA112*[1]KPI_Weights!$B$11,AB112*[1]KPI_Weights!$B$12,AC112*[1]KPI_Weights!$B$13,AD112*[1]KPI_Weights!$B$14,AE112*[1]KPI_Weights!$B$15,AF112*[1]KPI_Weights!$B$16,AG112*[1]KPI_Weights!$B$17,AH112*[1]KPI_Weights!$B$18))/5)</f>
        <v/>
      </c>
      <c r="AL112" s="60" t="str">
        <f>IF(COUNTA(T112:AH112)=0,"",IF(OR(T112&lt;=1,W112&lt;=1,X112&lt;=1,Y112&lt;=1,AB112&lt;=1),"YES","NO"))</f>
        <v/>
      </c>
      <c r="AM112" s="60" t="str">
        <f>IF(AJ112="","",IF(AND(AL112="NO",AJ112&gt;=0.75),"YES","NO"))</f>
        <v/>
      </c>
      <c r="AN112" s="60" t="str">
        <f>IF(AJ112="","",IF(AJ112&lt;0.4,"Critical",IF(AJ112&lt;0.6,"Poor",IF(AJ112&lt;0.75,"Needs Improvement",IF(AJ112&lt;0.9,"Good","Excellent")))))</f>
        <v/>
      </c>
      <c r="AO112" s="59"/>
      <c r="AP112" s="59"/>
      <c r="AQ112" s="59"/>
      <c r="AR112" s="59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</row>
    <row r="113" spans="1:54" ht="19.5" customHeight="1" x14ac:dyDescent="0.25">
      <c r="A113" s="60" t="str">
        <f>IF($B113="","",TEXT($B113,"yyyymmdd")&amp;"-"&amp;SUBSTITUTE($F113," ","")&amp;"-"&amp;TEXT(COUNTIF($F$4:F113,$F113),"00"))</f>
        <v/>
      </c>
      <c r="B113" s="65"/>
      <c r="C113" s="60" t="str">
        <f>IF($B113="","",WEEKNUM($B113,2))</f>
        <v/>
      </c>
      <c r="D113" s="60" t="str">
        <f>IF($B113="","",TEXT($B113,"yyyy-mm"))</f>
        <v/>
      </c>
      <c r="E113" s="64"/>
      <c r="F113" s="64"/>
      <c r="G113" s="60" t="str">
        <f>IF(OR($E113="",$F113=""),"",IFERROR(IF($E113=INDEX([1]Cluster_Master!$A$4:$A$18,MATCH($F113,[1]Cluster_Master!$B$4:$B$18,0)),"OK","CHECK"),"CHECK"))</f>
        <v/>
      </c>
      <c r="H113" s="63" t="str">
        <f>IFERROR(INDEX([1]Cluster_Master!$C$4:$C$18,MATCH($F113,[1]Cluster_Master!$B$4:$B$18,0)),"")</f>
        <v/>
      </c>
      <c r="I113" s="60" t="str">
        <f>IFERROR(INDEX([1]Cluster_Master!$D$4:$D$18,MATCH($F113,[1]Cluster_Master!$B$4:$B$18,0)),"")</f>
        <v/>
      </c>
      <c r="J113" s="60" t="str">
        <f>IFERROR(INDEX([1]Cluster_Master!$E$4:$E$18,MATCH($F113,[1]Cluster_Master!$B$4:$B$18,0)),"")</f>
        <v/>
      </c>
      <c r="K113" s="60" t="str">
        <f>IFERROR(INDEX([1]Cluster_Master!$F$4:$F$18,MATCH($F113,[1]Cluster_Master!$B$4:$B$18,0)),"")</f>
        <v/>
      </c>
      <c r="L113" s="60" t="str">
        <f>IFERROR(INDEX([1]Cluster_Master!$G$4:$G$18,MATCH($F113,[1]Cluster_Master!$B$4:$B$18,0)),"")</f>
        <v/>
      </c>
      <c r="M113" s="60" t="str">
        <f>IFERROR(INDEX([1]Cluster_Master!$H$4:$H$18,MATCH($F113,[1]Cluster_Master!$B$4:$B$18,0)),"")</f>
        <v/>
      </c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60" t="str">
        <f>IF(COUNTA(T113:AH113)=0,"",SUM(T113:AH113))</f>
        <v/>
      </c>
      <c r="AJ113" s="61" t="str">
        <f>IF(COUNTA(T113:AH113)=0,"",AI113/75)</f>
        <v/>
      </c>
      <c r="AK113" s="61" t="str">
        <f>IF(COUNTA(T113:AH113)=0,"",(SUM(T113*[1]KPI_Weights!$B$4,U113*[1]KPI_Weights!$B$5,V113*[1]KPI_Weights!$B$6,W113*[1]KPI_Weights!$B$7,X113*[1]KPI_Weights!$B$8,Y113*[1]KPI_Weights!$B$9,Z113*[1]KPI_Weights!$B$10,AA113*[1]KPI_Weights!$B$11,AB113*[1]KPI_Weights!$B$12,AC113*[1]KPI_Weights!$B$13,AD113*[1]KPI_Weights!$B$14,AE113*[1]KPI_Weights!$B$15,AF113*[1]KPI_Weights!$B$16,AG113*[1]KPI_Weights!$B$17,AH113*[1]KPI_Weights!$B$18))/5)</f>
        <v/>
      </c>
      <c r="AL113" s="60" t="str">
        <f>IF(COUNTA(T113:AH113)=0,"",IF(OR(T113&lt;=1,W113&lt;=1,X113&lt;=1,Y113&lt;=1,AB113&lt;=1),"YES","NO"))</f>
        <v/>
      </c>
      <c r="AM113" s="60" t="str">
        <f>IF(AJ113="","",IF(AND(AL113="NO",AJ113&gt;=0.75),"YES","NO"))</f>
        <v/>
      </c>
      <c r="AN113" s="60" t="str">
        <f>IF(AJ113="","",IF(AJ113&lt;0.4,"Critical",IF(AJ113&lt;0.6,"Poor",IF(AJ113&lt;0.75,"Needs Improvement",IF(AJ113&lt;0.9,"Good","Excellent")))))</f>
        <v/>
      </c>
      <c r="AO113" s="59"/>
      <c r="AP113" s="59"/>
      <c r="AQ113" s="59"/>
      <c r="AR113" s="59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</row>
    <row r="114" spans="1:54" ht="19.5" customHeight="1" x14ac:dyDescent="0.25">
      <c r="A114" s="60" t="str">
        <f>IF($B114="","",TEXT($B114,"yyyymmdd")&amp;"-"&amp;SUBSTITUTE($F114," ","")&amp;"-"&amp;TEXT(COUNTIF($F$4:F114,$F114),"00"))</f>
        <v/>
      </c>
      <c r="B114" s="65"/>
      <c r="C114" s="60" t="str">
        <f>IF($B114="","",WEEKNUM($B114,2))</f>
        <v/>
      </c>
      <c r="D114" s="60" t="str">
        <f>IF($B114="","",TEXT($B114,"yyyy-mm"))</f>
        <v/>
      </c>
      <c r="E114" s="64"/>
      <c r="F114" s="64"/>
      <c r="G114" s="60" t="str">
        <f>IF(OR($E114="",$F114=""),"",IFERROR(IF($E114=INDEX([1]Cluster_Master!$A$4:$A$18,MATCH($F114,[1]Cluster_Master!$B$4:$B$18,0)),"OK","CHECK"),"CHECK"))</f>
        <v/>
      </c>
      <c r="H114" s="63" t="str">
        <f>IFERROR(INDEX([1]Cluster_Master!$C$4:$C$18,MATCH($F114,[1]Cluster_Master!$B$4:$B$18,0)),"")</f>
        <v/>
      </c>
      <c r="I114" s="60" t="str">
        <f>IFERROR(INDEX([1]Cluster_Master!$D$4:$D$18,MATCH($F114,[1]Cluster_Master!$B$4:$B$18,0)),"")</f>
        <v/>
      </c>
      <c r="J114" s="60" t="str">
        <f>IFERROR(INDEX([1]Cluster_Master!$E$4:$E$18,MATCH($F114,[1]Cluster_Master!$B$4:$B$18,0)),"")</f>
        <v/>
      </c>
      <c r="K114" s="60" t="str">
        <f>IFERROR(INDEX([1]Cluster_Master!$F$4:$F$18,MATCH($F114,[1]Cluster_Master!$B$4:$B$18,0)),"")</f>
        <v/>
      </c>
      <c r="L114" s="60" t="str">
        <f>IFERROR(INDEX([1]Cluster_Master!$G$4:$G$18,MATCH($F114,[1]Cluster_Master!$B$4:$B$18,0)),"")</f>
        <v/>
      </c>
      <c r="M114" s="60" t="str">
        <f>IFERROR(INDEX([1]Cluster_Master!$H$4:$H$18,MATCH($F114,[1]Cluster_Master!$B$4:$B$18,0)),"")</f>
        <v/>
      </c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60" t="str">
        <f>IF(COUNTA(T114:AH114)=0,"",SUM(T114:AH114))</f>
        <v/>
      </c>
      <c r="AJ114" s="61" t="str">
        <f>IF(COUNTA(T114:AH114)=0,"",AI114/75)</f>
        <v/>
      </c>
      <c r="AK114" s="61" t="str">
        <f>IF(COUNTA(T114:AH114)=0,"",(SUM(T114*[1]KPI_Weights!$B$4,U114*[1]KPI_Weights!$B$5,V114*[1]KPI_Weights!$B$6,W114*[1]KPI_Weights!$B$7,X114*[1]KPI_Weights!$B$8,Y114*[1]KPI_Weights!$B$9,Z114*[1]KPI_Weights!$B$10,AA114*[1]KPI_Weights!$B$11,AB114*[1]KPI_Weights!$B$12,AC114*[1]KPI_Weights!$B$13,AD114*[1]KPI_Weights!$B$14,AE114*[1]KPI_Weights!$B$15,AF114*[1]KPI_Weights!$B$16,AG114*[1]KPI_Weights!$B$17,AH114*[1]KPI_Weights!$B$18))/5)</f>
        <v/>
      </c>
      <c r="AL114" s="60" t="str">
        <f>IF(COUNTA(T114:AH114)=0,"",IF(OR(T114&lt;=1,W114&lt;=1,X114&lt;=1,Y114&lt;=1,AB114&lt;=1),"YES","NO"))</f>
        <v/>
      </c>
      <c r="AM114" s="60" t="str">
        <f>IF(AJ114="","",IF(AND(AL114="NO",AJ114&gt;=0.75),"YES","NO"))</f>
        <v/>
      </c>
      <c r="AN114" s="60" t="str">
        <f>IF(AJ114="","",IF(AJ114&lt;0.4,"Critical",IF(AJ114&lt;0.6,"Poor",IF(AJ114&lt;0.75,"Needs Improvement",IF(AJ114&lt;0.9,"Good","Excellent")))))</f>
        <v/>
      </c>
      <c r="AO114" s="59"/>
      <c r="AP114" s="59"/>
      <c r="AQ114" s="59"/>
      <c r="AR114" s="59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</row>
    <row r="115" spans="1:54" ht="19.5" customHeight="1" x14ac:dyDescent="0.25">
      <c r="A115" s="60" t="str">
        <f>IF($B115="","",TEXT($B115,"yyyymmdd")&amp;"-"&amp;SUBSTITUTE($F115," ","")&amp;"-"&amp;TEXT(COUNTIF($F$4:F115,$F115),"00"))</f>
        <v/>
      </c>
      <c r="B115" s="65"/>
      <c r="C115" s="60" t="str">
        <f>IF($B115="","",WEEKNUM($B115,2))</f>
        <v/>
      </c>
      <c r="D115" s="60" t="str">
        <f>IF($B115="","",TEXT($B115,"yyyy-mm"))</f>
        <v/>
      </c>
      <c r="E115" s="64"/>
      <c r="F115" s="64"/>
      <c r="G115" s="60" t="str">
        <f>IF(OR($E115="",$F115=""),"",IFERROR(IF($E115=INDEX([1]Cluster_Master!$A$4:$A$18,MATCH($F115,[1]Cluster_Master!$B$4:$B$18,0)),"OK","CHECK"),"CHECK"))</f>
        <v/>
      </c>
      <c r="H115" s="63" t="str">
        <f>IFERROR(INDEX([1]Cluster_Master!$C$4:$C$18,MATCH($F115,[1]Cluster_Master!$B$4:$B$18,0)),"")</f>
        <v/>
      </c>
      <c r="I115" s="60" t="str">
        <f>IFERROR(INDEX([1]Cluster_Master!$D$4:$D$18,MATCH($F115,[1]Cluster_Master!$B$4:$B$18,0)),"")</f>
        <v/>
      </c>
      <c r="J115" s="60" t="str">
        <f>IFERROR(INDEX([1]Cluster_Master!$E$4:$E$18,MATCH($F115,[1]Cluster_Master!$B$4:$B$18,0)),"")</f>
        <v/>
      </c>
      <c r="K115" s="60" t="str">
        <f>IFERROR(INDEX([1]Cluster_Master!$F$4:$F$18,MATCH($F115,[1]Cluster_Master!$B$4:$B$18,0)),"")</f>
        <v/>
      </c>
      <c r="L115" s="60" t="str">
        <f>IFERROR(INDEX([1]Cluster_Master!$G$4:$G$18,MATCH($F115,[1]Cluster_Master!$B$4:$B$18,0)),"")</f>
        <v/>
      </c>
      <c r="M115" s="60" t="str">
        <f>IFERROR(INDEX([1]Cluster_Master!$H$4:$H$18,MATCH($F115,[1]Cluster_Master!$B$4:$B$18,0)),"")</f>
        <v/>
      </c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60" t="str">
        <f>IF(COUNTA(T115:AH115)=0,"",SUM(T115:AH115))</f>
        <v/>
      </c>
      <c r="AJ115" s="61" t="str">
        <f>IF(COUNTA(T115:AH115)=0,"",AI115/75)</f>
        <v/>
      </c>
      <c r="AK115" s="61" t="str">
        <f>IF(COUNTA(T115:AH115)=0,"",(SUM(T115*[1]KPI_Weights!$B$4,U115*[1]KPI_Weights!$B$5,V115*[1]KPI_Weights!$B$6,W115*[1]KPI_Weights!$B$7,X115*[1]KPI_Weights!$B$8,Y115*[1]KPI_Weights!$B$9,Z115*[1]KPI_Weights!$B$10,AA115*[1]KPI_Weights!$B$11,AB115*[1]KPI_Weights!$B$12,AC115*[1]KPI_Weights!$B$13,AD115*[1]KPI_Weights!$B$14,AE115*[1]KPI_Weights!$B$15,AF115*[1]KPI_Weights!$B$16,AG115*[1]KPI_Weights!$B$17,AH115*[1]KPI_Weights!$B$18))/5)</f>
        <v/>
      </c>
      <c r="AL115" s="60" t="str">
        <f>IF(COUNTA(T115:AH115)=0,"",IF(OR(T115&lt;=1,W115&lt;=1,X115&lt;=1,Y115&lt;=1,AB115&lt;=1),"YES","NO"))</f>
        <v/>
      </c>
      <c r="AM115" s="60" t="str">
        <f>IF(AJ115="","",IF(AND(AL115="NO",AJ115&gt;=0.75),"YES","NO"))</f>
        <v/>
      </c>
      <c r="AN115" s="60" t="str">
        <f>IF(AJ115="","",IF(AJ115&lt;0.4,"Critical",IF(AJ115&lt;0.6,"Poor",IF(AJ115&lt;0.75,"Needs Improvement",IF(AJ115&lt;0.9,"Good","Excellent")))))</f>
        <v/>
      </c>
      <c r="AO115" s="59"/>
      <c r="AP115" s="59"/>
      <c r="AQ115" s="59"/>
      <c r="AR115" s="59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</row>
    <row r="116" spans="1:54" ht="19.5" customHeight="1" x14ac:dyDescent="0.25">
      <c r="A116" s="60" t="str">
        <f>IF($B116="","",TEXT($B116,"yyyymmdd")&amp;"-"&amp;SUBSTITUTE($F116," ","")&amp;"-"&amp;TEXT(COUNTIF($F$4:F116,$F116),"00"))</f>
        <v/>
      </c>
      <c r="B116" s="65"/>
      <c r="C116" s="60" t="str">
        <f>IF($B116="","",WEEKNUM($B116,2))</f>
        <v/>
      </c>
      <c r="D116" s="60" t="str">
        <f>IF($B116="","",TEXT($B116,"yyyy-mm"))</f>
        <v/>
      </c>
      <c r="E116" s="64"/>
      <c r="F116" s="64"/>
      <c r="G116" s="60" t="str">
        <f>IF(OR($E116="",$F116=""),"",IFERROR(IF($E116=INDEX([1]Cluster_Master!$A$4:$A$18,MATCH($F116,[1]Cluster_Master!$B$4:$B$18,0)),"OK","CHECK"),"CHECK"))</f>
        <v/>
      </c>
      <c r="H116" s="63" t="str">
        <f>IFERROR(INDEX([1]Cluster_Master!$C$4:$C$18,MATCH($F116,[1]Cluster_Master!$B$4:$B$18,0)),"")</f>
        <v/>
      </c>
      <c r="I116" s="60" t="str">
        <f>IFERROR(INDEX([1]Cluster_Master!$D$4:$D$18,MATCH($F116,[1]Cluster_Master!$B$4:$B$18,0)),"")</f>
        <v/>
      </c>
      <c r="J116" s="60" t="str">
        <f>IFERROR(INDEX([1]Cluster_Master!$E$4:$E$18,MATCH($F116,[1]Cluster_Master!$B$4:$B$18,0)),"")</f>
        <v/>
      </c>
      <c r="K116" s="60" t="str">
        <f>IFERROR(INDEX([1]Cluster_Master!$F$4:$F$18,MATCH($F116,[1]Cluster_Master!$B$4:$B$18,0)),"")</f>
        <v/>
      </c>
      <c r="L116" s="60" t="str">
        <f>IFERROR(INDEX([1]Cluster_Master!$G$4:$G$18,MATCH($F116,[1]Cluster_Master!$B$4:$B$18,0)),"")</f>
        <v/>
      </c>
      <c r="M116" s="60" t="str">
        <f>IFERROR(INDEX([1]Cluster_Master!$H$4:$H$18,MATCH($F116,[1]Cluster_Master!$B$4:$B$18,0)),"")</f>
        <v/>
      </c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60" t="str">
        <f>IF(COUNTA(T116:AH116)=0,"",SUM(T116:AH116))</f>
        <v/>
      </c>
      <c r="AJ116" s="61" t="str">
        <f>IF(COUNTA(T116:AH116)=0,"",AI116/75)</f>
        <v/>
      </c>
      <c r="AK116" s="61" t="str">
        <f>IF(COUNTA(T116:AH116)=0,"",(SUM(T116*[1]KPI_Weights!$B$4,U116*[1]KPI_Weights!$B$5,V116*[1]KPI_Weights!$B$6,W116*[1]KPI_Weights!$B$7,X116*[1]KPI_Weights!$B$8,Y116*[1]KPI_Weights!$B$9,Z116*[1]KPI_Weights!$B$10,AA116*[1]KPI_Weights!$B$11,AB116*[1]KPI_Weights!$B$12,AC116*[1]KPI_Weights!$B$13,AD116*[1]KPI_Weights!$B$14,AE116*[1]KPI_Weights!$B$15,AF116*[1]KPI_Weights!$B$16,AG116*[1]KPI_Weights!$B$17,AH116*[1]KPI_Weights!$B$18))/5)</f>
        <v/>
      </c>
      <c r="AL116" s="60" t="str">
        <f>IF(COUNTA(T116:AH116)=0,"",IF(OR(T116&lt;=1,W116&lt;=1,X116&lt;=1,Y116&lt;=1,AB116&lt;=1),"YES","NO"))</f>
        <v/>
      </c>
      <c r="AM116" s="60" t="str">
        <f>IF(AJ116="","",IF(AND(AL116="NO",AJ116&gt;=0.75),"YES","NO"))</f>
        <v/>
      </c>
      <c r="AN116" s="60" t="str">
        <f>IF(AJ116="","",IF(AJ116&lt;0.4,"Critical",IF(AJ116&lt;0.6,"Poor",IF(AJ116&lt;0.75,"Needs Improvement",IF(AJ116&lt;0.9,"Good","Excellent")))))</f>
        <v/>
      </c>
      <c r="AO116" s="59"/>
      <c r="AP116" s="59"/>
      <c r="AQ116" s="59"/>
      <c r="AR116" s="59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</row>
    <row r="117" spans="1:54" ht="19.5" customHeight="1" x14ac:dyDescent="0.25">
      <c r="A117" s="60" t="str">
        <f>IF($B117="","",TEXT($B117,"yyyymmdd")&amp;"-"&amp;SUBSTITUTE($F117," ","")&amp;"-"&amp;TEXT(COUNTIF($F$4:F117,$F117),"00"))</f>
        <v/>
      </c>
      <c r="B117" s="65"/>
      <c r="C117" s="60" t="str">
        <f>IF($B117="","",WEEKNUM($B117,2))</f>
        <v/>
      </c>
      <c r="D117" s="60" t="str">
        <f>IF($B117="","",TEXT($B117,"yyyy-mm"))</f>
        <v/>
      </c>
      <c r="E117" s="64"/>
      <c r="F117" s="64"/>
      <c r="G117" s="60" t="str">
        <f>IF(OR($E117="",$F117=""),"",IFERROR(IF($E117=INDEX([1]Cluster_Master!$A$4:$A$18,MATCH($F117,[1]Cluster_Master!$B$4:$B$18,0)),"OK","CHECK"),"CHECK"))</f>
        <v/>
      </c>
      <c r="H117" s="63" t="str">
        <f>IFERROR(INDEX([1]Cluster_Master!$C$4:$C$18,MATCH($F117,[1]Cluster_Master!$B$4:$B$18,0)),"")</f>
        <v/>
      </c>
      <c r="I117" s="60" t="str">
        <f>IFERROR(INDEX([1]Cluster_Master!$D$4:$D$18,MATCH($F117,[1]Cluster_Master!$B$4:$B$18,0)),"")</f>
        <v/>
      </c>
      <c r="J117" s="60" t="str">
        <f>IFERROR(INDEX([1]Cluster_Master!$E$4:$E$18,MATCH($F117,[1]Cluster_Master!$B$4:$B$18,0)),"")</f>
        <v/>
      </c>
      <c r="K117" s="60" t="str">
        <f>IFERROR(INDEX([1]Cluster_Master!$F$4:$F$18,MATCH($F117,[1]Cluster_Master!$B$4:$B$18,0)),"")</f>
        <v/>
      </c>
      <c r="L117" s="60" t="str">
        <f>IFERROR(INDEX([1]Cluster_Master!$G$4:$G$18,MATCH($F117,[1]Cluster_Master!$B$4:$B$18,0)),"")</f>
        <v/>
      </c>
      <c r="M117" s="60" t="str">
        <f>IFERROR(INDEX([1]Cluster_Master!$H$4:$H$18,MATCH($F117,[1]Cluster_Master!$B$4:$B$18,0)),"")</f>
        <v/>
      </c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60" t="str">
        <f>IF(COUNTA(T117:AH117)=0,"",SUM(T117:AH117))</f>
        <v/>
      </c>
      <c r="AJ117" s="61" t="str">
        <f>IF(COUNTA(T117:AH117)=0,"",AI117/75)</f>
        <v/>
      </c>
      <c r="AK117" s="61" t="str">
        <f>IF(COUNTA(T117:AH117)=0,"",(SUM(T117*[1]KPI_Weights!$B$4,U117*[1]KPI_Weights!$B$5,V117*[1]KPI_Weights!$B$6,W117*[1]KPI_Weights!$B$7,X117*[1]KPI_Weights!$B$8,Y117*[1]KPI_Weights!$B$9,Z117*[1]KPI_Weights!$B$10,AA117*[1]KPI_Weights!$B$11,AB117*[1]KPI_Weights!$B$12,AC117*[1]KPI_Weights!$B$13,AD117*[1]KPI_Weights!$B$14,AE117*[1]KPI_Weights!$B$15,AF117*[1]KPI_Weights!$B$16,AG117*[1]KPI_Weights!$B$17,AH117*[1]KPI_Weights!$B$18))/5)</f>
        <v/>
      </c>
      <c r="AL117" s="60" t="str">
        <f>IF(COUNTA(T117:AH117)=0,"",IF(OR(T117&lt;=1,W117&lt;=1,X117&lt;=1,Y117&lt;=1,AB117&lt;=1),"YES","NO"))</f>
        <v/>
      </c>
      <c r="AM117" s="60" t="str">
        <f>IF(AJ117="","",IF(AND(AL117="NO",AJ117&gt;=0.75),"YES","NO"))</f>
        <v/>
      </c>
      <c r="AN117" s="60" t="str">
        <f>IF(AJ117="","",IF(AJ117&lt;0.4,"Critical",IF(AJ117&lt;0.6,"Poor",IF(AJ117&lt;0.75,"Needs Improvement",IF(AJ117&lt;0.9,"Good","Excellent")))))</f>
        <v/>
      </c>
      <c r="AO117" s="59"/>
      <c r="AP117" s="59"/>
      <c r="AQ117" s="59"/>
      <c r="AR117" s="59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</row>
    <row r="118" spans="1:54" ht="19.5" customHeight="1" x14ac:dyDescent="0.25">
      <c r="A118" s="60" t="str">
        <f>IF($B118="","",TEXT($B118,"yyyymmdd")&amp;"-"&amp;SUBSTITUTE($F118," ","")&amp;"-"&amp;TEXT(COUNTIF($F$4:F118,$F118),"00"))</f>
        <v/>
      </c>
      <c r="B118" s="65"/>
      <c r="C118" s="60" t="str">
        <f>IF($B118="","",WEEKNUM($B118,2))</f>
        <v/>
      </c>
      <c r="D118" s="60" t="str">
        <f>IF($B118="","",TEXT($B118,"yyyy-mm"))</f>
        <v/>
      </c>
      <c r="E118" s="64"/>
      <c r="F118" s="64"/>
      <c r="G118" s="60" t="str">
        <f>IF(OR($E118="",$F118=""),"",IFERROR(IF($E118=INDEX([1]Cluster_Master!$A$4:$A$18,MATCH($F118,[1]Cluster_Master!$B$4:$B$18,0)),"OK","CHECK"),"CHECK"))</f>
        <v/>
      </c>
      <c r="H118" s="63" t="str">
        <f>IFERROR(INDEX([1]Cluster_Master!$C$4:$C$18,MATCH($F118,[1]Cluster_Master!$B$4:$B$18,0)),"")</f>
        <v/>
      </c>
      <c r="I118" s="60" t="str">
        <f>IFERROR(INDEX([1]Cluster_Master!$D$4:$D$18,MATCH($F118,[1]Cluster_Master!$B$4:$B$18,0)),"")</f>
        <v/>
      </c>
      <c r="J118" s="60" t="str">
        <f>IFERROR(INDEX([1]Cluster_Master!$E$4:$E$18,MATCH($F118,[1]Cluster_Master!$B$4:$B$18,0)),"")</f>
        <v/>
      </c>
      <c r="K118" s="60" t="str">
        <f>IFERROR(INDEX([1]Cluster_Master!$F$4:$F$18,MATCH($F118,[1]Cluster_Master!$B$4:$B$18,0)),"")</f>
        <v/>
      </c>
      <c r="L118" s="60" t="str">
        <f>IFERROR(INDEX([1]Cluster_Master!$G$4:$G$18,MATCH($F118,[1]Cluster_Master!$B$4:$B$18,0)),"")</f>
        <v/>
      </c>
      <c r="M118" s="60" t="str">
        <f>IFERROR(INDEX([1]Cluster_Master!$H$4:$H$18,MATCH($F118,[1]Cluster_Master!$B$4:$B$18,0)),"")</f>
        <v/>
      </c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60" t="str">
        <f>IF(COUNTA(T118:AH118)=0,"",SUM(T118:AH118))</f>
        <v/>
      </c>
      <c r="AJ118" s="61" t="str">
        <f>IF(COUNTA(T118:AH118)=0,"",AI118/75)</f>
        <v/>
      </c>
      <c r="AK118" s="61" t="str">
        <f>IF(COUNTA(T118:AH118)=0,"",(SUM(T118*[1]KPI_Weights!$B$4,U118*[1]KPI_Weights!$B$5,V118*[1]KPI_Weights!$B$6,W118*[1]KPI_Weights!$B$7,X118*[1]KPI_Weights!$B$8,Y118*[1]KPI_Weights!$B$9,Z118*[1]KPI_Weights!$B$10,AA118*[1]KPI_Weights!$B$11,AB118*[1]KPI_Weights!$B$12,AC118*[1]KPI_Weights!$B$13,AD118*[1]KPI_Weights!$B$14,AE118*[1]KPI_Weights!$B$15,AF118*[1]KPI_Weights!$B$16,AG118*[1]KPI_Weights!$B$17,AH118*[1]KPI_Weights!$B$18))/5)</f>
        <v/>
      </c>
      <c r="AL118" s="60" t="str">
        <f>IF(COUNTA(T118:AH118)=0,"",IF(OR(T118&lt;=1,W118&lt;=1,X118&lt;=1,Y118&lt;=1,AB118&lt;=1),"YES","NO"))</f>
        <v/>
      </c>
      <c r="AM118" s="60" t="str">
        <f>IF(AJ118="","",IF(AND(AL118="NO",AJ118&gt;=0.75),"YES","NO"))</f>
        <v/>
      </c>
      <c r="AN118" s="60" t="str">
        <f>IF(AJ118="","",IF(AJ118&lt;0.4,"Critical",IF(AJ118&lt;0.6,"Poor",IF(AJ118&lt;0.75,"Needs Improvement",IF(AJ118&lt;0.9,"Good","Excellent")))))</f>
        <v/>
      </c>
      <c r="AO118" s="59"/>
      <c r="AP118" s="59"/>
      <c r="AQ118" s="59"/>
      <c r="AR118" s="59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</row>
    <row r="119" spans="1:54" ht="19.5" customHeight="1" x14ac:dyDescent="0.25">
      <c r="A119" s="60" t="str">
        <f>IF($B119="","",TEXT($B119,"yyyymmdd")&amp;"-"&amp;SUBSTITUTE($F119," ","")&amp;"-"&amp;TEXT(COUNTIF($F$4:F119,$F119),"00"))</f>
        <v/>
      </c>
      <c r="B119" s="65"/>
      <c r="C119" s="60" t="str">
        <f>IF($B119="","",WEEKNUM($B119,2))</f>
        <v/>
      </c>
      <c r="D119" s="60" t="str">
        <f>IF($B119="","",TEXT($B119,"yyyy-mm"))</f>
        <v/>
      </c>
      <c r="E119" s="64"/>
      <c r="F119" s="64"/>
      <c r="G119" s="60" t="str">
        <f>IF(OR($E119="",$F119=""),"",IFERROR(IF($E119=INDEX([1]Cluster_Master!$A$4:$A$18,MATCH($F119,[1]Cluster_Master!$B$4:$B$18,0)),"OK","CHECK"),"CHECK"))</f>
        <v/>
      </c>
      <c r="H119" s="63" t="str">
        <f>IFERROR(INDEX([1]Cluster_Master!$C$4:$C$18,MATCH($F119,[1]Cluster_Master!$B$4:$B$18,0)),"")</f>
        <v/>
      </c>
      <c r="I119" s="60" t="str">
        <f>IFERROR(INDEX([1]Cluster_Master!$D$4:$D$18,MATCH($F119,[1]Cluster_Master!$B$4:$B$18,0)),"")</f>
        <v/>
      </c>
      <c r="J119" s="60" t="str">
        <f>IFERROR(INDEX([1]Cluster_Master!$E$4:$E$18,MATCH($F119,[1]Cluster_Master!$B$4:$B$18,0)),"")</f>
        <v/>
      </c>
      <c r="K119" s="60" t="str">
        <f>IFERROR(INDEX([1]Cluster_Master!$F$4:$F$18,MATCH($F119,[1]Cluster_Master!$B$4:$B$18,0)),"")</f>
        <v/>
      </c>
      <c r="L119" s="60" t="str">
        <f>IFERROR(INDEX([1]Cluster_Master!$G$4:$G$18,MATCH($F119,[1]Cluster_Master!$B$4:$B$18,0)),"")</f>
        <v/>
      </c>
      <c r="M119" s="60" t="str">
        <f>IFERROR(INDEX([1]Cluster_Master!$H$4:$H$18,MATCH($F119,[1]Cluster_Master!$B$4:$B$18,0)),"")</f>
        <v/>
      </c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60" t="str">
        <f>IF(COUNTA(T119:AH119)=0,"",SUM(T119:AH119))</f>
        <v/>
      </c>
      <c r="AJ119" s="61" t="str">
        <f>IF(COUNTA(T119:AH119)=0,"",AI119/75)</f>
        <v/>
      </c>
      <c r="AK119" s="61" t="str">
        <f>IF(COUNTA(T119:AH119)=0,"",(SUM(T119*[1]KPI_Weights!$B$4,U119*[1]KPI_Weights!$B$5,V119*[1]KPI_Weights!$B$6,W119*[1]KPI_Weights!$B$7,X119*[1]KPI_Weights!$B$8,Y119*[1]KPI_Weights!$B$9,Z119*[1]KPI_Weights!$B$10,AA119*[1]KPI_Weights!$B$11,AB119*[1]KPI_Weights!$B$12,AC119*[1]KPI_Weights!$B$13,AD119*[1]KPI_Weights!$B$14,AE119*[1]KPI_Weights!$B$15,AF119*[1]KPI_Weights!$B$16,AG119*[1]KPI_Weights!$B$17,AH119*[1]KPI_Weights!$B$18))/5)</f>
        <v/>
      </c>
      <c r="AL119" s="60" t="str">
        <f>IF(COUNTA(T119:AH119)=0,"",IF(OR(T119&lt;=1,W119&lt;=1,X119&lt;=1,Y119&lt;=1,AB119&lt;=1),"YES","NO"))</f>
        <v/>
      </c>
      <c r="AM119" s="60" t="str">
        <f>IF(AJ119="","",IF(AND(AL119="NO",AJ119&gt;=0.75),"YES","NO"))</f>
        <v/>
      </c>
      <c r="AN119" s="60" t="str">
        <f>IF(AJ119="","",IF(AJ119&lt;0.4,"Critical",IF(AJ119&lt;0.6,"Poor",IF(AJ119&lt;0.75,"Needs Improvement",IF(AJ119&lt;0.9,"Good","Excellent")))))</f>
        <v/>
      </c>
      <c r="AO119" s="59"/>
      <c r="AP119" s="59"/>
      <c r="AQ119" s="59"/>
      <c r="AR119" s="59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</row>
    <row r="120" spans="1:54" ht="19.5" customHeight="1" x14ac:dyDescent="0.25">
      <c r="A120" s="60" t="str">
        <f>IF($B120="","",TEXT($B120,"yyyymmdd")&amp;"-"&amp;SUBSTITUTE($F120," ","")&amp;"-"&amp;TEXT(COUNTIF($F$4:F120,$F120),"00"))</f>
        <v/>
      </c>
      <c r="B120" s="65"/>
      <c r="C120" s="60" t="str">
        <f>IF($B120="","",WEEKNUM($B120,2))</f>
        <v/>
      </c>
      <c r="D120" s="60" t="str">
        <f>IF($B120="","",TEXT($B120,"yyyy-mm"))</f>
        <v/>
      </c>
      <c r="E120" s="64"/>
      <c r="F120" s="64"/>
      <c r="G120" s="60" t="str">
        <f>IF(OR($E120="",$F120=""),"",IFERROR(IF($E120=INDEX([1]Cluster_Master!$A$4:$A$18,MATCH($F120,[1]Cluster_Master!$B$4:$B$18,0)),"OK","CHECK"),"CHECK"))</f>
        <v/>
      </c>
      <c r="H120" s="63" t="str">
        <f>IFERROR(INDEX([1]Cluster_Master!$C$4:$C$18,MATCH($F120,[1]Cluster_Master!$B$4:$B$18,0)),"")</f>
        <v/>
      </c>
      <c r="I120" s="60" t="str">
        <f>IFERROR(INDEX([1]Cluster_Master!$D$4:$D$18,MATCH($F120,[1]Cluster_Master!$B$4:$B$18,0)),"")</f>
        <v/>
      </c>
      <c r="J120" s="60" t="str">
        <f>IFERROR(INDEX([1]Cluster_Master!$E$4:$E$18,MATCH($F120,[1]Cluster_Master!$B$4:$B$18,0)),"")</f>
        <v/>
      </c>
      <c r="K120" s="60" t="str">
        <f>IFERROR(INDEX([1]Cluster_Master!$F$4:$F$18,MATCH($F120,[1]Cluster_Master!$B$4:$B$18,0)),"")</f>
        <v/>
      </c>
      <c r="L120" s="60" t="str">
        <f>IFERROR(INDEX([1]Cluster_Master!$G$4:$G$18,MATCH($F120,[1]Cluster_Master!$B$4:$B$18,0)),"")</f>
        <v/>
      </c>
      <c r="M120" s="60" t="str">
        <f>IFERROR(INDEX([1]Cluster_Master!$H$4:$H$18,MATCH($F120,[1]Cluster_Master!$B$4:$B$18,0)),"")</f>
        <v/>
      </c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60" t="str">
        <f>IF(COUNTA(T120:AH120)=0,"",SUM(T120:AH120))</f>
        <v/>
      </c>
      <c r="AJ120" s="61" t="str">
        <f>IF(COUNTA(T120:AH120)=0,"",AI120/75)</f>
        <v/>
      </c>
      <c r="AK120" s="61" t="str">
        <f>IF(COUNTA(T120:AH120)=0,"",(SUM(T120*[1]KPI_Weights!$B$4,U120*[1]KPI_Weights!$B$5,V120*[1]KPI_Weights!$B$6,W120*[1]KPI_Weights!$B$7,X120*[1]KPI_Weights!$B$8,Y120*[1]KPI_Weights!$B$9,Z120*[1]KPI_Weights!$B$10,AA120*[1]KPI_Weights!$B$11,AB120*[1]KPI_Weights!$B$12,AC120*[1]KPI_Weights!$B$13,AD120*[1]KPI_Weights!$B$14,AE120*[1]KPI_Weights!$B$15,AF120*[1]KPI_Weights!$B$16,AG120*[1]KPI_Weights!$B$17,AH120*[1]KPI_Weights!$B$18))/5)</f>
        <v/>
      </c>
      <c r="AL120" s="60" t="str">
        <f>IF(COUNTA(T120:AH120)=0,"",IF(OR(T120&lt;=1,W120&lt;=1,X120&lt;=1,Y120&lt;=1,AB120&lt;=1),"YES","NO"))</f>
        <v/>
      </c>
      <c r="AM120" s="60" t="str">
        <f>IF(AJ120="","",IF(AND(AL120="NO",AJ120&gt;=0.75),"YES","NO"))</f>
        <v/>
      </c>
      <c r="AN120" s="60" t="str">
        <f>IF(AJ120="","",IF(AJ120&lt;0.4,"Critical",IF(AJ120&lt;0.6,"Poor",IF(AJ120&lt;0.75,"Needs Improvement",IF(AJ120&lt;0.9,"Good","Excellent")))))</f>
        <v/>
      </c>
      <c r="AO120" s="59"/>
      <c r="AP120" s="59"/>
      <c r="AQ120" s="59"/>
      <c r="AR120" s="59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</row>
    <row r="121" spans="1:54" ht="19.5" customHeight="1" x14ac:dyDescent="0.25">
      <c r="A121" s="60" t="str">
        <f>IF($B121="","",TEXT($B121,"yyyymmdd")&amp;"-"&amp;SUBSTITUTE($F121," ","")&amp;"-"&amp;TEXT(COUNTIF($F$4:F121,$F121),"00"))</f>
        <v/>
      </c>
      <c r="B121" s="65"/>
      <c r="C121" s="60" t="str">
        <f>IF($B121="","",WEEKNUM($B121,2))</f>
        <v/>
      </c>
      <c r="D121" s="60" t="str">
        <f>IF($B121="","",TEXT($B121,"yyyy-mm"))</f>
        <v/>
      </c>
      <c r="E121" s="64"/>
      <c r="F121" s="64"/>
      <c r="G121" s="60" t="str">
        <f>IF(OR($E121="",$F121=""),"",IFERROR(IF($E121=INDEX([1]Cluster_Master!$A$4:$A$18,MATCH($F121,[1]Cluster_Master!$B$4:$B$18,0)),"OK","CHECK"),"CHECK"))</f>
        <v/>
      </c>
      <c r="H121" s="63" t="str">
        <f>IFERROR(INDEX([1]Cluster_Master!$C$4:$C$18,MATCH($F121,[1]Cluster_Master!$B$4:$B$18,0)),"")</f>
        <v/>
      </c>
      <c r="I121" s="60" t="str">
        <f>IFERROR(INDEX([1]Cluster_Master!$D$4:$D$18,MATCH($F121,[1]Cluster_Master!$B$4:$B$18,0)),"")</f>
        <v/>
      </c>
      <c r="J121" s="60" t="str">
        <f>IFERROR(INDEX([1]Cluster_Master!$E$4:$E$18,MATCH($F121,[1]Cluster_Master!$B$4:$B$18,0)),"")</f>
        <v/>
      </c>
      <c r="K121" s="60" t="str">
        <f>IFERROR(INDEX([1]Cluster_Master!$F$4:$F$18,MATCH($F121,[1]Cluster_Master!$B$4:$B$18,0)),"")</f>
        <v/>
      </c>
      <c r="L121" s="60" t="str">
        <f>IFERROR(INDEX([1]Cluster_Master!$G$4:$G$18,MATCH($F121,[1]Cluster_Master!$B$4:$B$18,0)),"")</f>
        <v/>
      </c>
      <c r="M121" s="60" t="str">
        <f>IFERROR(INDEX([1]Cluster_Master!$H$4:$H$18,MATCH($F121,[1]Cluster_Master!$B$4:$B$18,0)),"")</f>
        <v/>
      </c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60" t="str">
        <f>IF(COUNTA(T121:AH121)=0,"",SUM(T121:AH121))</f>
        <v/>
      </c>
      <c r="AJ121" s="61" t="str">
        <f>IF(COUNTA(T121:AH121)=0,"",AI121/75)</f>
        <v/>
      </c>
      <c r="AK121" s="61" t="str">
        <f>IF(COUNTA(T121:AH121)=0,"",(SUM(T121*[1]KPI_Weights!$B$4,U121*[1]KPI_Weights!$B$5,V121*[1]KPI_Weights!$B$6,W121*[1]KPI_Weights!$B$7,X121*[1]KPI_Weights!$B$8,Y121*[1]KPI_Weights!$B$9,Z121*[1]KPI_Weights!$B$10,AA121*[1]KPI_Weights!$B$11,AB121*[1]KPI_Weights!$B$12,AC121*[1]KPI_Weights!$B$13,AD121*[1]KPI_Weights!$B$14,AE121*[1]KPI_Weights!$B$15,AF121*[1]KPI_Weights!$B$16,AG121*[1]KPI_Weights!$B$17,AH121*[1]KPI_Weights!$B$18))/5)</f>
        <v/>
      </c>
      <c r="AL121" s="60" t="str">
        <f>IF(COUNTA(T121:AH121)=0,"",IF(OR(T121&lt;=1,W121&lt;=1,X121&lt;=1,Y121&lt;=1,AB121&lt;=1),"YES","NO"))</f>
        <v/>
      </c>
      <c r="AM121" s="60" t="str">
        <f>IF(AJ121="","",IF(AND(AL121="NO",AJ121&gt;=0.75),"YES","NO"))</f>
        <v/>
      </c>
      <c r="AN121" s="60" t="str">
        <f>IF(AJ121="","",IF(AJ121&lt;0.4,"Critical",IF(AJ121&lt;0.6,"Poor",IF(AJ121&lt;0.75,"Needs Improvement",IF(AJ121&lt;0.9,"Good","Excellent")))))</f>
        <v/>
      </c>
      <c r="AO121" s="59"/>
      <c r="AP121" s="59"/>
      <c r="AQ121" s="59"/>
      <c r="AR121" s="59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</row>
    <row r="122" spans="1:54" ht="19.5" customHeight="1" x14ac:dyDescent="0.25">
      <c r="A122" s="60" t="str">
        <f>IF($B122="","",TEXT($B122,"yyyymmdd")&amp;"-"&amp;SUBSTITUTE($F122," ","")&amp;"-"&amp;TEXT(COUNTIF($F$4:F122,$F122),"00"))</f>
        <v/>
      </c>
      <c r="B122" s="65"/>
      <c r="C122" s="60" t="str">
        <f>IF($B122="","",WEEKNUM($B122,2))</f>
        <v/>
      </c>
      <c r="D122" s="60" t="str">
        <f>IF($B122="","",TEXT($B122,"yyyy-mm"))</f>
        <v/>
      </c>
      <c r="E122" s="64"/>
      <c r="F122" s="64"/>
      <c r="G122" s="60" t="str">
        <f>IF(OR($E122="",$F122=""),"",IFERROR(IF($E122=INDEX([1]Cluster_Master!$A$4:$A$18,MATCH($F122,[1]Cluster_Master!$B$4:$B$18,0)),"OK","CHECK"),"CHECK"))</f>
        <v/>
      </c>
      <c r="H122" s="63" t="str">
        <f>IFERROR(INDEX([1]Cluster_Master!$C$4:$C$18,MATCH($F122,[1]Cluster_Master!$B$4:$B$18,0)),"")</f>
        <v/>
      </c>
      <c r="I122" s="60" t="str">
        <f>IFERROR(INDEX([1]Cluster_Master!$D$4:$D$18,MATCH($F122,[1]Cluster_Master!$B$4:$B$18,0)),"")</f>
        <v/>
      </c>
      <c r="J122" s="60" t="str">
        <f>IFERROR(INDEX([1]Cluster_Master!$E$4:$E$18,MATCH($F122,[1]Cluster_Master!$B$4:$B$18,0)),"")</f>
        <v/>
      </c>
      <c r="K122" s="60" t="str">
        <f>IFERROR(INDEX([1]Cluster_Master!$F$4:$F$18,MATCH($F122,[1]Cluster_Master!$B$4:$B$18,0)),"")</f>
        <v/>
      </c>
      <c r="L122" s="60" t="str">
        <f>IFERROR(INDEX([1]Cluster_Master!$G$4:$G$18,MATCH($F122,[1]Cluster_Master!$B$4:$B$18,0)),"")</f>
        <v/>
      </c>
      <c r="M122" s="60" t="str">
        <f>IFERROR(INDEX([1]Cluster_Master!$H$4:$H$18,MATCH($F122,[1]Cluster_Master!$B$4:$B$18,0)),"")</f>
        <v/>
      </c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60" t="str">
        <f>IF(COUNTA(T122:AH122)=0,"",SUM(T122:AH122))</f>
        <v/>
      </c>
      <c r="AJ122" s="61" t="str">
        <f>IF(COUNTA(T122:AH122)=0,"",AI122/75)</f>
        <v/>
      </c>
      <c r="AK122" s="61" t="str">
        <f>IF(COUNTA(T122:AH122)=0,"",(SUM(T122*[1]KPI_Weights!$B$4,U122*[1]KPI_Weights!$B$5,V122*[1]KPI_Weights!$B$6,W122*[1]KPI_Weights!$B$7,X122*[1]KPI_Weights!$B$8,Y122*[1]KPI_Weights!$B$9,Z122*[1]KPI_Weights!$B$10,AA122*[1]KPI_Weights!$B$11,AB122*[1]KPI_Weights!$B$12,AC122*[1]KPI_Weights!$B$13,AD122*[1]KPI_Weights!$B$14,AE122*[1]KPI_Weights!$B$15,AF122*[1]KPI_Weights!$B$16,AG122*[1]KPI_Weights!$B$17,AH122*[1]KPI_Weights!$B$18))/5)</f>
        <v/>
      </c>
      <c r="AL122" s="60" t="str">
        <f>IF(COUNTA(T122:AH122)=0,"",IF(OR(T122&lt;=1,W122&lt;=1,X122&lt;=1,Y122&lt;=1,AB122&lt;=1),"YES","NO"))</f>
        <v/>
      </c>
      <c r="AM122" s="60" t="str">
        <f>IF(AJ122="","",IF(AND(AL122="NO",AJ122&gt;=0.75),"YES","NO"))</f>
        <v/>
      </c>
      <c r="AN122" s="60" t="str">
        <f>IF(AJ122="","",IF(AJ122&lt;0.4,"Critical",IF(AJ122&lt;0.6,"Poor",IF(AJ122&lt;0.75,"Needs Improvement",IF(AJ122&lt;0.9,"Good","Excellent")))))</f>
        <v/>
      </c>
      <c r="AO122" s="59"/>
      <c r="AP122" s="59"/>
      <c r="AQ122" s="59"/>
      <c r="AR122" s="59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</row>
    <row r="123" spans="1:54" ht="19.5" customHeight="1" x14ac:dyDescent="0.25">
      <c r="A123" s="60" t="str">
        <f>IF($B123="","",TEXT($B123,"yyyymmdd")&amp;"-"&amp;SUBSTITUTE($F123," ","")&amp;"-"&amp;TEXT(COUNTIF($F$4:F123,$F123),"00"))</f>
        <v/>
      </c>
      <c r="B123" s="65"/>
      <c r="C123" s="60" t="str">
        <f>IF($B123="","",WEEKNUM($B123,2))</f>
        <v/>
      </c>
      <c r="D123" s="60" t="str">
        <f>IF($B123="","",TEXT($B123,"yyyy-mm"))</f>
        <v/>
      </c>
      <c r="E123" s="64"/>
      <c r="F123" s="64"/>
      <c r="G123" s="60" t="str">
        <f>IF(OR($E123="",$F123=""),"",IFERROR(IF($E123=INDEX([1]Cluster_Master!$A$4:$A$18,MATCH($F123,[1]Cluster_Master!$B$4:$B$18,0)),"OK","CHECK"),"CHECK"))</f>
        <v/>
      </c>
      <c r="H123" s="63" t="str">
        <f>IFERROR(INDEX([1]Cluster_Master!$C$4:$C$18,MATCH($F123,[1]Cluster_Master!$B$4:$B$18,0)),"")</f>
        <v/>
      </c>
      <c r="I123" s="60" t="str">
        <f>IFERROR(INDEX([1]Cluster_Master!$D$4:$D$18,MATCH($F123,[1]Cluster_Master!$B$4:$B$18,0)),"")</f>
        <v/>
      </c>
      <c r="J123" s="60" t="str">
        <f>IFERROR(INDEX([1]Cluster_Master!$E$4:$E$18,MATCH($F123,[1]Cluster_Master!$B$4:$B$18,0)),"")</f>
        <v/>
      </c>
      <c r="K123" s="60" t="str">
        <f>IFERROR(INDEX([1]Cluster_Master!$F$4:$F$18,MATCH($F123,[1]Cluster_Master!$B$4:$B$18,0)),"")</f>
        <v/>
      </c>
      <c r="L123" s="60" t="str">
        <f>IFERROR(INDEX([1]Cluster_Master!$G$4:$G$18,MATCH($F123,[1]Cluster_Master!$B$4:$B$18,0)),"")</f>
        <v/>
      </c>
      <c r="M123" s="60" t="str">
        <f>IFERROR(INDEX([1]Cluster_Master!$H$4:$H$18,MATCH($F123,[1]Cluster_Master!$B$4:$B$18,0)),"")</f>
        <v/>
      </c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60" t="str">
        <f>IF(COUNTA(T123:AH123)=0,"",SUM(T123:AH123))</f>
        <v/>
      </c>
      <c r="AJ123" s="61" t="str">
        <f>IF(COUNTA(T123:AH123)=0,"",AI123/75)</f>
        <v/>
      </c>
      <c r="AK123" s="61" t="str">
        <f>IF(COUNTA(T123:AH123)=0,"",(SUM(T123*[1]KPI_Weights!$B$4,U123*[1]KPI_Weights!$B$5,V123*[1]KPI_Weights!$B$6,W123*[1]KPI_Weights!$B$7,X123*[1]KPI_Weights!$B$8,Y123*[1]KPI_Weights!$B$9,Z123*[1]KPI_Weights!$B$10,AA123*[1]KPI_Weights!$B$11,AB123*[1]KPI_Weights!$B$12,AC123*[1]KPI_Weights!$B$13,AD123*[1]KPI_Weights!$B$14,AE123*[1]KPI_Weights!$B$15,AF123*[1]KPI_Weights!$B$16,AG123*[1]KPI_Weights!$B$17,AH123*[1]KPI_Weights!$B$18))/5)</f>
        <v/>
      </c>
      <c r="AL123" s="60" t="str">
        <f>IF(COUNTA(T123:AH123)=0,"",IF(OR(T123&lt;=1,W123&lt;=1,X123&lt;=1,Y123&lt;=1,AB123&lt;=1),"YES","NO"))</f>
        <v/>
      </c>
      <c r="AM123" s="60" t="str">
        <f>IF(AJ123="","",IF(AND(AL123="NO",AJ123&gt;=0.75),"YES","NO"))</f>
        <v/>
      </c>
      <c r="AN123" s="60" t="str">
        <f>IF(AJ123="","",IF(AJ123&lt;0.4,"Critical",IF(AJ123&lt;0.6,"Poor",IF(AJ123&lt;0.75,"Needs Improvement",IF(AJ123&lt;0.9,"Good","Excellent")))))</f>
        <v/>
      </c>
      <c r="AO123" s="59"/>
      <c r="AP123" s="59"/>
      <c r="AQ123" s="59"/>
      <c r="AR123" s="59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</row>
    <row r="124" spans="1:54" ht="19.5" customHeight="1" x14ac:dyDescent="0.25">
      <c r="A124" s="60" t="str">
        <f>IF($B124="","",TEXT($B124,"yyyymmdd")&amp;"-"&amp;SUBSTITUTE($F124," ","")&amp;"-"&amp;TEXT(COUNTIF($F$4:F124,$F124),"00"))</f>
        <v/>
      </c>
      <c r="B124" s="65"/>
      <c r="C124" s="60" t="str">
        <f>IF($B124="","",WEEKNUM($B124,2))</f>
        <v/>
      </c>
      <c r="D124" s="60" t="str">
        <f>IF($B124="","",TEXT($B124,"yyyy-mm"))</f>
        <v/>
      </c>
      <c r="E124" s="64"/>
      <c r="F124" s="64"/>
      <c r="G124" s="60" t="str">
        <f>IF(OR($E124="",$F124=""),"",IFERROR(IF($E124=INDEX([1]Cluster_Master!$A$4:$A$18,MATCH($F124,[1]Cluster_Master!$B$4:$B$18,0)),"OK","CHECK"),"CHECK"))</f>
        <v/>
      </c>
      <c r="H124" s="63" t="str">
        <f>IFERROR(INDEX([1]Cluster_Master!$C$4:$C$18,MATCH($F124,[1]Cluster_Master!$B$4:$B$18,0)),"")</f>
        <v/>
      </c>
      <c r="I124" s="60" t="str">
        <f>IFERROR(INDEX([1]Cluster_Master!$D$4:$D$18,MATCH($F124,[1]Cluster_Master!$B$4:$B$18,0)),"")</f>
        <v/>
      </c>
      <c r="J124" s="60" t="str">
        <f>IFERROR(INDEX([1]Cluster_Master!$E$4:$E$18,MATCH($F124,[1]Cluster_Master!$B$4:$B$18,0)),"")</f>
        <v/>
      </c>
      <c r="K124" s="60" t="str">
        <f>IFERROR(INDEX([1]Cluster_Master!$F$4:$F$18,MATCH($F124,[1]Cluster_Master!$B$4:$B$18,0)),"")</f>
        <v/>
      </c>
      <c r="L124" s="60" t="str">
        <f>IFERROR(INDEX([1]Cluster_Master!$G$4:$G$18,MATCH($F124,[1]Cluster_Master!$B$4:$B$18,0)),"")</f>
        <v/>
      </c>
      <c r="M124" s="60" t="str">
        <f>IFERROR(INDEX([1]Cluster_Master!$H$4:$H$18,MATCH($F124,[1]Cluster_Master!$B$4:$B$18,0)),"")</f>
        <v/>
      </c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60" t="str">
        <f>IF(COUNTA(T124:AH124)=0,"",SUM(T124:AH124))</f>
        <v/>
      </c>
      <c r="AJ124" s="61" t="str">
        <f>IF(COUNTA(T124:AH124)=0,"",AI124/75)</f>
        <v/>
      </c>
      <c r="AK124" s="61" t="str">
        <f>IF(COUNTA(T124:AH124)=0,"",(SUM(T124*[1]KPI_Weights!$B$4,U124*[1]KPI_Weights!$B$5,V124*[1]KPI_Weights!$B$6,W124*[1]KPI_Weights!$B$7,X124*[1]KPI_Weights!$B$8,Y124*[1]KPI_Weights!$B$9,Z124*[1]KPI_Weights!$B$10,AA124*[1]KPI_Weights!$B$11,AB124*[1]KPI_Weights!$B$12,AC124*[1]KPI_Weights!$B$13,AD124*[1]KPI_Weights!$B$14,AE124*[1]KPI_Weights!$B$15,AF124*[1]KPI_Weights!$B$16,AG124*[1]KPI_Weights!$B$17,AH124*[1]KPI_Weights!$B$18))/5)</f>
        <v/>
      </c>
      <c r="AL124" s="60" t="str">
        <f>IF(COUNTA(T124:AH124)=0,"",IF(OR(T124&lt;=1,W124&lt;=1,X124&lt;=1,Y124&lt;=1,AB124&lt;=1),"YES","NO"))</f>
        <v/>
      </c>
      <c r="AM124" s="60" t="str">
        <f>IF(AJ124="","",IF(AND(AL124="NO",AJ124&gt;=0.75),"YES","NO"))</f>
        <v/>
      </c>
      <c r="AN124" s="60" t="str">
        <f>IF(AJ124="","",IF(AJ124&lt;0.4,"Critical",IF(AJ124&lt;0.6,"Poor",IF(AJ124&lt;0.75,"Needs Improvement",IF(AJ124&lt;0.9,"Good","Excellent")))))</f>
        <v/>
      </c>
      <c r="AO124" s="59"/>
      <c r="AP124" s="59"/>
      <c r="AQ124" s="59"/>
      <c r="AR124" s="59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</row>
    <row r="125" spans="1:54" ht="19.5" customHeight="1" x14ac:dyDescent="0.25">
      <c r="A125" s="60" t="str">
        <f>IF($B125="","",TEXT($B125,"yyyymmdd")&amp;"-"&amp;SUBSTITUTE($F125," ","")&amp;"-"&amp;TEXT(COUNTIF($F$4:F125,$F125),"00"))</f>
        <v/>
      </c>
      <c r="B125" s="65"/>
      <c r="C125" s="60" t="str">
        <f>IF($B125="","",WEEKNUM($B125,2))</f>
        <v/>
      </c>
      <c r="D125" s="60" t="str">
        <f>IF($B125="","",TEXT($B125,"yyyy-mm"))</f>
        <v/>
      </c>
      <c r="E125" s="64"/>
      <c r="F125" s="64"/>
      <c r="G125" s="60" t="str">
        <f>IF(OR($E125="",$F125=""),"",IFERROR(IF($E125=INDEX([1]Cluster_Master!$A$4:$A$18,MATCH($F125,[1]Cluster_Master!$B$4:$B$18,0)),"OK","CHECK"),"CHECK"))</f>
        <v/>
      </c>
      <c r="H125" s="63" t="str">
        <f>IFERROR(INDEX([1]Cluster_Master!$C$4:$C$18,MATCH($F125,[1]Cluster_Master!$B$4:$B$18,0)),"")</f>
        <v/>
      </c>
      <c r="I125" s="60" t="str">
        <f>IFERROR(INDEX([1]Cluster_Master!$D$4:$D$18,MATCH($F125,[1]Cluster_Master!$B$4:$B$18,0)),"")</f>
        <v/>
      </c>
      <c r="J125" s="60" t="str">
        <f>IFERROR(INDEX([1]Cluster_Master!$E$4:$E$18,MATCH($F125,[1]Cluster_Master!$B$4:$B$18,0)),"")</f>
        <v/>
      </c>
      <c r="K125" s="60" t="str">
        <f>IFERROR(INDEX([1]Cluster_Master!$F$4:$F$18,MATCH($F125,[1]Cluster_Master!$B$4:$B$18,0)),"")</f>
        <v/>
      </c>
      <c r="L125" s="60" t="str">
        <f>IFERROR(INDEX([1]Cluster_Master!$G$4:$G$18,MATCH($F125,[1]Cluster_Master!$B$4:$B$18,0)),"")</f>
        <v/>
      </c>
      <c r="M125" s="60" t="str">
        <f>IFERROR(INDEX([1]Cluster_Master!$H$4:$H$18,MATCH($F125,[1]Cluster_Master!$B$4:$B$18,0)),"")</f>
        <v/>
      </c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60" t="str">
        <f>IF(COUNTA(T125:AH125)=0,"",SUM(T125:AH125))</f>
        <v/>
      </c>
      <c r="AJ125" s="61" t="str">
        <f>IF(COUNTA(T125:AH125)=0,"",AI125/75)</f>
        <v/>
      </c>
      <c r="AK125" s="61" t="str">
        <f>IF(COUNTA(T125:AH125)=0,"",(SUM(T125*[1]KPI_Weights!$B$4,U125*[1]KPI_Weights!$B$5,V125*[1]KPI_Weights!$B$6,W125*[1]KPI_Weights!$B$7,X125*[1]KPI_Weights!$B$8,Y125*[1]KPI_Weights!$B$9,Z125*[1]KPI_Weights!$B$10,AA125*[1]KPI_Weights!$B$11,AB125*[1]KPI_Weights!$B$12,AC125*[1]KPI_Weights!$B$13,AD125*[1]KPI_Weights!$B$14,AE125*[1]KPI_Weights!$B$15,AF125*[1]KPI_Weights!$B$16,AG125*[1]KPI_Weights!$B$17,AH125*[1]KPI_Weights!$B$18))/5)</f>
        <v/>
      </c>
      <c r="AL125" s="60" t="str">
        <f>IF(COUNTA(T125:AH125)=0,"",IF(OR(T125&lt;=1,W125&lt;=1,X125&lt;=1,Y125&lt;=1,AB125&lt;=1),"YES","NO"))</f>
        <v/>
      </c>
      <c r="AM125" s="60" t="str">
        <f>IF(AJ125="","",IF(AND(AL125="NO",AJ125&gt;=0.75),"YES","NO"))</f>
        <v/>
      </c>
      <c r="AN125" s="60" t="str">
        <f>IF(AJ125="","",IF(AJ125&lt;0.4,"Critical",IF(AJ125&lt;0.6,"Poor",IF(AJ125&lt;0.75,"Needs Improvement",IF(AJ125&lt;0.9,"Good","Excellent")))))</f>
        <v/>
      </c>
      <c r="AO125" s="59"/>
      <c r="AP125" s="59"/>
      <c r="AQ125" s="59"/>
      <c r="AR125" s="59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</row>
    <row r="126" spans="1:54" ht="19.5" customHeight="1" x14ac:dyDescent="0.25">
      <c r="A126" s="60" t="str">
        <f>IF($B126="","",TEXT($B126,"yyyymmdd")&amp;"-"&amp;SUBSTITUTE($F126," ","")&amp;"-"&amp;TEXT(COUNTIF($F$4:F126,$F126),"00"))</f>
        <v/>
      </c>
      <c r="B126" s="65"/>
      <c r="C126" s="60" t="str">
        <f>IF($B126="","",WEEKNUM($B126,2))</f>
        <v/>
      </c>
      <c r="D126" s="60" t="str">
        <f>IF($B126="","",TEXT($B126,"yyyy-mm"))</f>
        <v/>
      </c>
      <c r="E126" s="64"/>
      <c r="F126" s="64"/>
      <c r="G126" s="60" t="str">
        <f>IF(OR($E126="",$F126=""),"",IFERROR(IF($E126=INDEX([1]Cluster_Master!$A$4:$A$18,MATCH($F126,[1]Cluster_Master!$B$4:$B$18,0)),"OK","CHECK"),"CHECK"))</f>
        <v/>
      </c>
      <c r="H126" s="63" t="str">
        <f>IFERROR(INDEX([1]Cluster_Master!$C$4:$C$18,MATCH($F126,[1]Cluster_Master!$B$4:$B$18,0)),"")</f>
        <v/>
      </c>
      <c r="I126" s="60" t="str">
        <f>IFERROR(INDEX([1]Cluster_Master!$D$4:$D$18,MATCH($F126,[1]Cluster_Master!$B$4:$B$18,0)),"")</f>
        <v/>
      </c>
      <c r="J126" s="60" t="str">
        <f>IFERROR(INDEX([1]Cluster_Master!$E$4:$E$18,MATCH($F126,[1]Cluster_Master!$B$4:$B$18,0)),"")</f>
        <v/>
      </c>
      <c r="K126" s="60" t="str">
        <f>IFERROR(INDEX([1]Cluster_Master!$F$4:$F$18,MATCH($F126,[1]Cluster_Master!$B$4:$B$18,0)),"")</f>
        <v/>
      </c>
      <c r="L126" s="60" t="str">
        <f>IFERROR(INDEX([1]Cluster_Master!$G$4:$G$18,MATCH($F126,[1]Cluster_Master!$B$4:$B$18,0)),"")</f>
        <v/>
      </c>
      <c r="M126" s="60" t="str">
        <f>IFERROR(INDEX([1]Cluster_Master!$H$4:$H$18,MATCH($F126,[1]Cluster_Master!$B$4:$B$18,0)),"")</f>
        <v/>
      </c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60" t="str">
        <f>IF(COUNTA(T126:AH126)=0,"",SUM(T126:AH126))</f>
        <v/>
      </c>
      <c r="AJ126" s="61" t="str">
        <f>IF(COUNTA(T126:AH126)=0,"",AI126/75)</f>
        <v/>
      </c>
      <c r="AK126" s="61" t="str">
        <f>IF(COUNTA(T126:AH126)=0,"",(SUM(T126*[1]KPI_Weights!$B$4,U126*[1]KPI_Weights!$B$5,V126*[1]KPI_Weights!$B$6,W126*[1]KPI_Weights!$B$7,X126*[1]KPI_Weights!$B$8,Y126*[1]KPI_Weights!$B$9,Z126*[1]KPI_Weights!$B$10,AA126*[1]KPI_Weights!$B$11,AB126*[1]KPI_Weights!$B$12,AC126*[1]KPI_Weights!$B$13,AD126*[1]KPI_Weights!$B$14,AE126*[1]KPI_Weights!$B$15,AF126*[1]KPI_Weights!$B$16,AG126*[1]KPI_Weights!$B$17,AH126*[1]KPI_Weights!$B$18))/5)</f>
        <v/>
      </c>
      <c r="AL126" s="60" t="str">
        <f>IF(COUNTA(T126:AH126)=0,"",IF(OR(T126&lt;=1,W126&lt;=1,X126&lt;=1,Y126&lt;=1,AB126&lt;=1),"YES","NO"))</f>
        <v/>
      </c>
      <c r="AM126" s="60" t="str">
        <f>IF(AJ126="","",IF(AND(AL126="NO",AJ126&gt;=0.75),"YES","NO"))</f>
        <v/>
      </c>
      <c r="AN126" s="60" t="str">
        <f>IF(AJ126="","",IF(AJ126&lt;0.4,"Critical",IF(AJ126&lt;0.6,"Poor",IF(AJ126&lt;0.75,"Needs Improvement",IF(AJ126&lt;0.9,"Good","Excellent")))))</f>
        <v/>
      </c>
      <c r="AO126" s="59"/>
      <c r="AP126" s="59"/>
      <c r="AQ126" s="59"/>
      <c r="AR126" s="59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</row>
    <row r="127" spans="1:54" ht="19.5" customHeight="1" x14ac:dyDescent="0.25">
      <c r="A127" s="60" t="str">
        <f>IF($B127="","",TEXT($B127,"yyyymmdd")&amp;"-"&amp;SUBSTITUTE($F127," ","")&amp;"-"&amp;TEXT(COUNTIF($F$4:F127,$F127),"00"))</f>
        <v/>
      </c>
      <c r="B127" s="65"/>
      <c r="C127" s="60" t="str">
        <f>IF($B127="","",WEEKNUM($B127,2))</f>
        <v/>
      </c>
      <c r="D127" s="60" t="str">
        <f>IF($B127="","",TEXT($B127,"yyyy-mm"))</f>
        <v/>
      </c>
      <c r="E127" s="64"/>
      <c r="F127" s="64"/>
      <c r="G127" s="60" t="str">
        <f>IF(OR($E127="",$F127=""),"",IFERROR(IF($E127=INDEX([1]Cluster_Master!$A$4:$A$18,MATCH($F127,[1]Cluster_Master!$B$4:$B$18,0)),"OK","CHECK"),"CHECK"))</f>
        <v/>
      </c>
      <c r="H127" s="63" t="str">
        <f>IFERROR(INDEX([1]Cluster_Master!$C$4:$C$18,MATCH($F127,[1]Cluster_Master!$B$4:$B$18,0)),"")</f>
        <v/>
      </c>
      <c r="I127" s="60" t="str">
        <f>IFERROR(INDEX([1]Cluster_Master!$D$4:$D$18,MATCH($F127,[1]Cluster_Master!$B$4:$B$18,0)),"")</f>
        <v/>
      </c>
      <c r="J127" s="60" t="str">
        <f>IFERROR(INDEX([1]Cluster_Master!$E$4:$E$18,MATCH($F127,[1]Cluster_Master!$B$4:$B$18,0)),"")</f>
        <v/>
      </c>
      <c r="K127" s="60" t="str">
        <f>IFERROR(INDEX([1]Cluster_Master!$F$4:$F$18,MATCH($F127,[1]Cluster_Master!$B$4:$B$18,0)),"")</f>
        <v/>
      </c>
      <c r="L127" s="60" t="str">
        <f>IFERROR(INDEX([1]Cluster_Master!$G$4:$G$18,MATCH($F127,[1]Cluster_Master!$B$4:$B$18,0)),"")</f>
        <v/>
      </c>
      <c r="M127" s="60" t="str">
        <f>IFERROR(INDEX([1]Cluster_Master!$H$4:$H$18,MATCH($F127,[1]Cluster_Master!$B$4:$B$18,0)),"")</f>
        <v/>
      </c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60" t="str">
        <f>IF(COUNTA(T127:AH127)=0,"",SUM(T127:AH127))</f>
        <v/>
      </c>
      <c r="AJ127" s="61" t="str">
        <f>IF(COUNTA(T127:AH127)=0,"",AI127/75)</f>
        <v/>
      </c>
      <c r="AK127" s="61" t="str">
        <f>IF(COUNTA(T127:AH127)=0,"",(SUM(T127*[1]KPI_Weights!$B$4,U127*[1]KPI_Weights!$B$5,V127*[1]KPI_Weights!$B$6,W127*[1]KPI_Weights!$B$7,X127*[1]KPI_Weights!$B$8,Y127*[1]KPI_Weights!$B$9,Z127*[1]KPI_Weights!$B$10,AA127*[1]KPI_Weights!$B$11,AB127*[1]KPI_Weights!$B$12,AC127*[1]KPI_Weights!$B$13,AD127*[1]KPI_Weights!$B$14,AE127*[1]KPI_Weights!$B$15,AF127*[1]KPI_Weights!$B$16,AG127*[1]KPI_Weights!$B$17,AH127*[1]KPI_Weights!$B$18))/5)</f>
        <v/>
      </c>
      <c r="AL127" s="60" t="str">
        <f>IF(COUNTA(T127:AH127)=0,"",IF(OR(T127&lt;=1,W127&lt;=1,X127&lt;=1,Y127&lt;=1,AB127&lt;=1),"YES","NO"))</f>
        <v/>
      </c>
      <c r="AM127" s="60" t="str">
        <f>IF(AJ127="","",IF(AND(AL127="NO",AJ127&gt;=0.75),"YES","NO"))</f>
        <v/>
      </c>
      <c r="AN127" s="60" t="str">
        <f>IF(AJ127="","",IF(AJ127&lt;0.4,"Critical",IF(AJ127&lt;0.6,"Poor",IF(AJ127&lt;0.75,"Needs Improvement",IF(AJ127&lt;0.9,"Good","Excellent")))))</f>
        <v/>
      </c>
      <c r="AO127" s="59"/>
      <c r="AP127" s="59"/>
      <c r="AQ127" s="59"/>
      <c r="AR127" s="59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</row>
    <row r="128" spans="1:54" ht="19.5" customHeight="1" x14ac:dyDescent="0.25">
      <c r="A128" s="60" t="str">
        <f>IF($B128="","",TEXT($B128,"yyyymmdd")&amp;"-"&amp;SUBSTITUTE($F128," ","")&amp;"-"&amp;TEXT(COUNTIF($F$4:F128,$F128),"00"))</f>
        <v/>
      </c>
      <c r="B128" s="65"/>
      <c r="C128" s="60" t="str">
        <f>IF($B128="","",WEEKNUM($B128,2))</f>
        <v/>
      </c>
      <c r="D128" s="60" t="str">
        <f>IF($B128="","",TEXT($B128,"yyyy-mm"))</f>
        <v/>
      </c>
      <c r="E128" s="64"/>
      <c r="F128" s="64"/>
      <c r="G128" s="60" t="str">
        <f>IF(OR($E128="",$F128=""),"",IFERROR(IF($E128=INDEX([1]Cluster_Master!$A$4:$A$18,MATCH($F128,[1]Cluster_Master!$B$4:$B$18,0)),"OK","CHECK"),"CHECK"))</f>
        <v/>
      </c>
      <c r="H128" s="63" t="str">
        <f>IFERROR(INDEX([1]Cluster_Master!$C$4:$C$18,MATCH($F128,[1]Cluster_Master!$B$4:$B$18,0)),"")</f>
        <v/>
      </c>
      <c r="I128" s="60" t="str">
        <f>IFERROR(INDEX([1]Cluster_Master!$D$4:$D$18,MATCH($F128,[1]Cluster_Master!$B$4:$B$18,0)),"")</f>
        <v/>
      </c>
      <c r="J128" s="60" t="str">
        <f>IFERROR(INDEX([1]Cluster_Master!$E$4:$E$18,MATCH($F128,[1]Cluster_Master!$B$4:$B$18,0)),"")</f>
        <v/>
      </c>
      <c r="K128" s="60" t="str">
        <f>IFERROR(INDEX([1]Cluster_Master!$F$4:$F$18,MATCH($F128,[1]Cluster_Master!$B$4:$B$18,0)),"")</f>
        <v/>
      </c>
      <c r="L128" s="60" t="str">
        <f>IFERROR(INDEX([1]Cluster_Master!$G$4:$G$18,MATCH($F128,[1]Cluster_Master!$B$4:$B$18,0)),"")</f>
        <v/>
      </c>
      <c r="M128" s="60" t="str">
        <f>IFERROR(INDEX([1]Cluster_Master!$H$4:$H$18,MATCH($F128,[1]Cluster_Master!$B$4:$B$18,0)),"")</f>
        <v/>
      </c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60" t="str">
        <f>IF(COUNTA(T128:AH128)=0,"",SUM(T128:AH128))</f>
        <v/>
      </c>
      <c r="AJ128" s="61" t="str">
        <f>IF(COUNTA(T128:AH128)=0,"",AI128/75)</f>
        <v/>
      </c>
      <c r="AK128" s="61" t="str">
        <f>IF(COUNTA(T128:AH128)=0,"",(SUM(T128*[1]KPI_Weights!$B$4,U128*[1]KPI_Weights!$B$5,V128*[1]KPI_Weights!$B$6,W128*[1]KPI_Weights!$B$7,X128*[1]KPI_Weights!$B$8,Y128*[1]KPI_Weights!$B$9,Z128*[1]KPI_Weights!$B$10,AA128*[1]KPI_Weights!$B$11,AB128*[1]KPI_Weights!$B$12,AC128*[1]KPI_Weights!$B$13,AD128*[1]KPI_Weights!$B$14,AE128*[1]KPI_Weights!$B$15,AF128*[1]KPI_Weights!$B$16,AG128*[1]KPI_Weights!$B$17,AH128*[1]KPI_Weights!$B$18))/5)</f>
        <v/>
      </c>
      <c r="AL128" s="60" t="str">
        <f>IF(COUNTA(T128:AH128)=0,"",IF(OR(T128&lt;=1,W128&lt;=1,X128&lt;=1,Y128&lt;=1,AB128&lt;=1),"YES","NO"))</f>
        <v/>
      </c>
      <c r="AM128" s="60" t="str">
        <f>IF(AJ128="","",IF(AND(AL128="NO",AJ128&gt;=0.75),"YES","NO"))</f>
        <v/>
      </c>
      <c r="AN128" s="60" t="str">
        <f>IF(AJ128="","",IF(AJ128&lt;0.4,"Critical",IF(AJ128&lt;0.6,"Poor",IF(AJ128&lt;0.75,"Needs Improvement",IF(AJ128&lt;0.9,"Good","Excellent")))))</f>
        <v/>
      </c>
      <c r="AO128" s="59"/>
      <c r="AP128" s="59"/>
      <c r="AQ128" s="59"/>
      <c r="AR128" s="59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</row>
    <row r="129" spans="1:54" ht="19.5" customHeight="1" x14ac:dyDescent="0.25">
      <c r="A129" s="60" t="str">
        <f>IF($B129="","",TEXT($B129,"yyyymmdd")&amp;"-"&amp;SUBSTITUTE($F129," ","")&amp;"-"&amp;TEXT(COUNTIF($F$4:F129,$F129),"00"))</f>
        <v/>
      </c>
      <c r="B129" s="65"/>
      <c r="C129" s="60" t="str">
        <f>IF($B129="","",WEEKNUM($B129,2))</f>
        <v/>
      </c>
      <c r="D129" s="60" t="str">
        <f>IF($B129="","",TEXT($B129,"yyyy-mm"))</f>
        <v/>
      </c>
      <c r="E129" s="64"/>
      <c r="F129" s="64"/>
      <c r="G129" s="60" t="str">
        <f>IF(OR($E129="",$F129=""),"",IFERROR(IF($E129=INDEX([1]Cluster_Master!$A$4:$A$18,MATCH($F129,[1]Cluster_Master!$B$4:$B$18,0)),"OK","CHECK"),"CHECK"))</f>
        <v/>
      </c>
      <c r="H129" s="63" t="str">
        <f>IFERROR(INDEX([1]Cluster_Master!$C$4:$C$18,MATCH($F129,[1]Cluster_Master!$B$4:$B$18,0)),"")</f>
        <v/>
      </c>
      <c r="I129" s="60" t="str">
        <f>IFERROR(INDEX([1]Cluster_Master!$D$4:$D$18,MATCH($F129,[1]Cluster_Master!$B$4:$B$18,0)),"")</f>
        <v/>
      </c>
      <c r="J129" s="60" t="str">
        <f>IFERROR(INDEX([1]Cluster_Master!$E$4:$E$18,MATCH($F129,[1]Cluster_Master!$B$4:$B$18,0)),"")</f>
        <v/>
      </c>
      <c r="K129" s="60" t="str">
        <f>IFERROR(INDEX([1]Cluster_Master!$F$4:$F$18,MATCH($F129,[1]Cluster_Master!$B$4:$B$18,0)),"")</f>
        <v/>
      </c>
      <c r="L129" s="60" t="str">
        <f>IFERROR(INDEX([1]Cluster_Master!$G$4:$G$18,MATCH($F129,[1]Cluster_Master!$B$4:$B$18,0)),"")</f>
        <v/>
      </c>
      <c r="M129" s="60" t="str">
        <f>IFERROR(INDEX([1]Cluster_Master!$H$4:$H$18,MATCH($F129,[1]Cluster_Master!$B$4:$B$18,0)),"")</f>
        <v/>
      </c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60" t="str">
        <f>IF(COUNTA(T129:AH129)=0,"",SUM(T129:AH129))</f>
        <v/>
      </c>
      <c r="AJ129" s="61" t="str">
        <f>IF(COUNTA(T129:AH129)=0,"",AI129/75)</f>
        <v/>
      </c>
      <c r="AK129" s="61" t="str">
        <f>IF(COUNTA(T129:AH129)=0,"",(SUM(T129*[1]KPI_Weights!$B$4,U129*[1]KPI_Weights!$B$5,V129*[1]KPI_Weights!$B$6,W129*[1]KPI_Weights!$B$7,X129*[1]KPI_Weights!$B$8,Y129*[1]KPI_Weights!$B$9,Z129*[1]KPI_Weights!$B$10,AA129*[1]KPI_Weights!$B$11,AB129*[1]KPI_Weights!$B$12,AC129*[1]KPI_Weights!$B$13,AD129*[1]KPI_Weights!$B$14,AE129*[1]KPI_Weights!$B$15,AF129*[1]KPI_Weights!$B$16,AG129*[1]KPI_Weights!$B$17,AH129*[1]KPI_Weights!$B$18))/5)</f>
        <v/>
      </c>
      <c r="AL129" s="60" t="str">
        <f>IF(COUNTA(T129:AH129)=0,"",IF(OR(T129&lt;=1,W129&lt;=1,X129&lt;=1,Y129&lt;=1,AB129&lt;=1),"YES","NO"))</f>
        <v/>
      </c>
      <c r="AM129" s="60" t="str">
        <f>IF(AJ129="","",IF(AND(AL129="NO",AJ129&gt;=0.75),"YES","NO"))</f>
        <v/>
      </c>
      <c r="AN129" s="60" t="str">
        <f>IF(AJ129="","",IF(AJ129&lt;0.4,"Critical",IF(AJ129&lt;0.6,"Poor",IF(AJ129&lt;0.75,"Needs Improvement",IF(AJ129&lt;0.9,"Good","Excellent")))))</f>
        <v/>
      </c>
      <c r="AO129" s="59"/>
      <c r="AP129" s="59"/>
      <c r="AQ129" s="59"/>
      <c r="AR129" s="59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</row>
    <row r="130" spans="1:54" ht="19.5" customHeight="1" x14ac:dyDescent="0.25">
      <c r="A130" s="60" t="str">
        <f>IF($B130="","",TEXT($B130,"yyyymmdd")&amp;"-"&amp;SUBSTITUTE($F130," ","")&amp;"-"&amp;TEXT(COUNTIF($F$4:F130,$F130),"00"))</f>
        <v/>
      </c>
      <c r="B130" s="65"/>
      <c r="C130" s="60" t="str">
        <f>IF($B130="","",WEEKNUM($B130,2))</f>
        <v/>
      </c>
      <c r="D130" s="60" t="str">
        <f>IF($B130="","",TEXT($B130,"yyyy-mm"))</f>
        <v/>
      </c>
      <c r="E130" s="64"/>
      <c r="F130" s="64"/>
      <c r="G130" s="60" t="str">
        <f>IF(OR($E130="",$F130=""),"",IFERROR(IF($E130=INDEX([1]Cluster_Master!$A$4:$A$18,MATCH($F130,[1]Cluster_Master!$B$4:$B$18,0)),"OK","CHECK"),"CHECK"))</f>
        <v/>
      </c>
      <c r="H130" s="63" t="str">
        <f>IFERROR(INDEX([1]Cluster_Master!$C$4:$C$18,MATCH($F130,[1]Cluster_Master!$B$4:$B$18,0)),"")</f>
        <v/>
      </c>
      <c r="I130" s="60" t="str">
        <f>IFERROR(INDEX([1]Cluster_Master!$D$4:$D$18,MATCH($F130,[1]Cluster_Master!$B$4:$B$18,0)),"")</f>
        <v/>
      </c>
      <c r="J130" s="60" t="str">
        <f>IFERROR(INDEX([1]Cluster_Master!$E$4:$E$18,MATCH($F130,[1]Cluster_Master!$B$4:$B$18,0)),"")</f>
        <v/>
      </c>
      <c r="K130" s="60" t="str">
        <f>IFERROR(INDEX([1]Cluster_Master!$F$4:$F$18,MATCH($F130,[1]Cluster_Master!$B$4:$B$18,0)),"")</f>
        <v/>
      </c>
      <c r="L130" s="60" t="str">
        <f>IFERROR(INDEX([1]Cluster_Master!$G$4:$G$18,MATCH($F130,[1]Cluster_Master!$B$4:$B$18,0)),"")</f>
        <v/>
      </c>
      <c r="M130" s="60" t="str">
        <f>IFERROR(INDEX([1]Cluster_Master!$H$4:$H$18,MATCH($F130,[1]Cluster_Master!$B$4:$B$18,0)),"")</f>
        <v/>
      </c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60" t="str">
        <f>IF(COUNTA(T130:AH130)=0,"",SUM(T130:AH130))</f>
        <v/>
      </c>
      <c r="AJ130" s="61" t="str">
        <f>IF(COUNTA(T130:AH130)=0,"",AI130/75)</f>
        <v/>
      </c>
      <c r="AK130" s="61" t="str">
        <f>IF(COUNTA(T130:AH130)=0,"",(SUM(T130*[1]KPI_Weights!$B$4,U130*[1]KPI_Weights!$B$5,V130*[1]KPI_Weights!$B$6,W130*[1]KPI_Weights!$B$7,X130*[1]KPI_Weights!$B$8,Y130*[1]KPI_Weights!$B$9,Z130*[1]KPI_Weights!$B$10,AA130*[1]KPI_Weights!$B$11,AB130*[1]KPI_Weights!$B$12,AC130*[1]KPI_Weights!$B$13,AD130*[1]KPI_Weights!$B$14,AE130*[1]KPI_Weights!$B$15,AF130*[1]KPI_Weights!$B$16,AG130*[1]KPI_Weights!$B$17,AH130*[1]KPI_Weights!$B$18))/5)</f>
        <v/>
      </c>
      <c r="AL130" s="60" t="str">
        <f>IF(COUNTA(T130:AH130)=0,"",IF(OR(T130&lt;=1,W130&lt;=1,X130&lt;=1,Y130&lt;=1,AB130&lt;=1),"YES","NO"))</f>
        <v/>
      </c>
      <c r="AM130" s="60" t="str">
        <f>IF(AJ130="","",IF(AND(AL130="NO",AJ130&gt;=0.75),"YES","NO"))</f>
        <v/>
      </c>
      <c r="AN130" s="60" t="str">
        <f>IF(AJ130="","",IF(AJ130&lt;0.4,"Critical",IF(AJ130&lt;0.6,"Poor",IF(AJ130&lt;0.75,"Needs Improvement",IF(AJ130&lt;0.9,"Good","Excellent")))))</f>
        <v/>
      </c>
      <c r="AO130" s="59"/>
      <c r="AP130" s="59"/>
      <c r="AQ130" s="59"/>
      <c r="AR130" s="59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</row>
    <row r="131" spans="1:54" ht="19.5" customHeight="1" x14ac:dyDescent="0.25">
      <c r="A131" s="60" t="str">
        <f>IF($B131="","",TEXT($B131,"yyyymmdd")&amp;"-"&amp;SUBSTITUTE($F131," ","")&amp;"-"&amp;TEXT(COUNTIF($F$4:F131,$F131),"00"))</f>
        <v/>
      </c>
      <c r="B131" s="65"/>
      <c r="C131" s="60" t="str">
        <f>IF($B131="","",WEEKNUM($B131,2))</f>
        <v/>
      </c>
      <c r="D131" s="60" t="str">
        <f>IF($B131="","",TEXT($B131,"yyyy-mm"))</f>
        <v/>
      </c>
      <c r="E131" s="64"/>
      <c r="F131" s="64"/>
      <c r="G131" s="60" t="str">
        <f>IF(OR($E131="",$F131=""),"",IFERROR(IF($E131=INDEX([1]Cluster_Master!$A$4:$A$18,MATCH($F131,[1]Cluster_Master!$B$4:$B$18,0)),"OK","CHECK"),"CHECK"))</f>
        <v/>
      </c>
      <c r="H131" s="63" t="str">
        <f>IFERROR(INDEX([1]Cluster_Master!$C$4:$C$18,MATCH($F131,[1]Cluster_Master!$B$4:$B$18,0)),"")</f>
        <v/>
      </c>
      <c r="I131" s="60" t="str">
        <f>IFERROR(INDEX([1]Cluster_Master!$D$4:$D$18,MATCH($F131,[1]Cluster_Master!$B$4:$B$18,0)),"")</f>
        <v/>
      </c>
      <c r="J131" s="60" t="str">
        <f>IFERROR(INDEX([1]Cluster_Master!$E$4:$E$18,MATCH($F131,[1]Cluster_Master!$B$4:$B$18,0)),"")</f>
        <v/>
      </c>
      <c r="K131" s="60" t="str">
        <f>IFERROR(INDEX([1]Cluster_Master!$F$4:$F$18,MATCH($F131,[1]Cluster_Master!$B$4:$B$18,0)),"")</f>
        <v/>
      </c>
      <c r="L131" s="60" t="str">
        <f>IFERROR(INDEX([1]Cluster_Master!$G$4:$G$18,MATCH($F131,[1]Cluster_Master!$B$4:$B$18,0)),"")</f>
        <v/>
      </c>
      <c r="M131" s="60" t="str">
        <f>IFERROR(INDEX([1]Cluster_Master!$H$4:$H$18,MATCH($F131,[1]Cluster_Master!$B$4:$B$18,0)),"")</f>
        <v/>
      </c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60" t="str">
        <f>IF(COUNTA(T131:AH131)=0,"",SUM(T131:AH131))</f>
        <v/>
      </c>
      <c r="AJ131" s="61" t="str">
        <f>IF(COUNTA(T131:AH131)=0,"",AI131/75)</f>
        <v/>
      </c>
      <c r="AK131" s="61" t="str">
        <f>IF(COUNTA(T131:AH131)=0,"",(SUM(T131*[1]KPI_Weights!$B$4,U131*[1]KPI_Weights!$B$5,V131*[1]KPI_Weights!$B$6,W131*[1]KPI_Weights!$B$7,X131*[1]KPI_Weights!$B$8,Y131*[1]KPI_Weights!$B$9,Z131*[1]KPI_Weights!$B$10,AA131*[1]KPI_Weights!$B$11,AB131*[1]KPI_Weights!$B$12,AC131*[1]KPI_Weights!$B$13,AD131*[1]KPI_Weights!$B$14,AE131*[1]KPI_Weights!$B$15,AF131*[1]KPI_Weights!$B$16,AG131*[1]KPI_Weights!$B$17,AH131*[1]KPI_Weights!$B$18))/5)</f>
        <v/>
      </c>
      <c r="AL131" s="60" t="str">
        <f>IF(COUNTA(T131:AH131)=0,"",IF(OR(T131&lt;=1,W131&lt;=1,X131&lt;=1,Y131&lt;=1,AB131&lt;=1),"YES","NO"))</f>
        <v/>
      </c>
      <c r="AM131" s="60" t="str">
        <f>IF(AJ131="","",IF(AND(AL131="NO",AJ131&gt;=0.75),"YES","NO"))</f>
        <v/>
      </c>
      <c r="AN131" s="60" t="str">
        <f>IF(AJ131="","",IF(AJ131&lt;0.4,"Critical",IF(AJ131&lt;0.6,"Poor",IF(AJ131&lt;0.75,"Needs Improvement",IF(AJ131&lt;0.9,"Good","Excellent")))))</f>
        <v/>
      </c>
      <c r="AO131" s="59"/>
      <c r="AP131" s="59"/>
      <c r="AQ131" s="59"/>
      <c r="AR131" s="59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</row>
    <row r="132" spans="1:54" ht="19.5" customHeight="1" x14ac:dyDescent="0.25">
      <c r="A132" s="60" t="str">
        <f>IF($B132="","",TEXT($B132,"yyyymmdd")&amp;"-"&amp;SUBSTITUTE($F132," ","")&amp;"-"&amp;TEXT(COUNTIF($F$4:F132,$F132),"00"))</f>
        <v/>
      </c>
      <c r="B132" s="65"/>
      <c r="C132" s="60" t="str">
        <f>IF($B132="","",WEEKNUM($B132,2))</f>
        <v/>
      </c>
      <c r="D132" s="60" t="str">
        <f>IF($B132="","",TEXT($B132,"yyyy-mm"))</f>
        <v/>
      </c>
      <c r="E132" s="64"/>
      <c r="F132" s="64"/>
      <c r="G132" s="60" t="str">
        <f>IF(OR($E132="",$F132=""),"",IFERROR(IF($E132=INDEX([1]Cluster_Master!$A$4:$A$18,MATCH($F132,[1]Cluster_Master!$B$4:$B$18,0)),"OK","CHECK"),"CHECK"))</f>
        <v/>
      </c>
      <c r="H132" s="63" t="str">
        <f>IFERROR(INDEX([1]Cluster_Master!$C$4:$C$18,MATCH($F132,[1]Cluster_Master!$B$4:$B$18,0)),"")</f>
        <v/>
      </c>
      <c r="I132" s="60" t="str">
        <f>IFERROR(INDEX([1]Cluster_Master!$D$4:$D$18,MATCH($F132,[1]Cluster_Master!$B$4:$B$18,0)),"")</f>
        <v/>
      </c>
      <c r="J132" s="60" t="str">
        <f>IFERROR(INDEX([1]Cluster_Master!$E$4:$E$18,MATCH($F132,[1]Cluster_Master!$B$4:$B$18,0)),"")</f>
        <v/>
      </c>
      <c r="K132" s="60" t="str">
        <f>IFERROR(INDEX([1]Cluster_Master!$F$4:$F$18,MATCH($F132,[1]Cluster_Master!$B$4:$B$18,0)),"")</f>
        <v/>
      </c>
      <c r="L132" s="60" t="str">
        <f>IFERROR(INDEX([1]Cluster_Master!$G$4:$G$18,MATCH($F132,[1]Cluster_Master!$B$4:$B$18,0)),"")</f>
        <v/>
      </c>
      <c r="M132" s="60" t="str">
        <f>IFERROR(INDEX([1]Cluster_Master!$H$4:$H$18,MATCH($F132,[1]Cluster_Master!$B$4:$B$18,0)),"")</f>
        <v/>
      </c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60" t="str">
        <f>IF(COUNTA(T132:AH132)=0,"",SUM(T132:AH132))</f>
        <v/>
      </c>
      <c r="AJ132" s="61" t="str">
        <f>IF(COUNTA(T132:AH132)=0,"",AI132/75)</f>
        <v/>
      </c>
      <c r="AK132" s="61" t="str">
        <f>IF(COUNTA(T132:AH132)=0,"",(SUM(T132*[1]KPI_Weights!$B$4,U132*[1]KPI_Weights!$B$5,V132*[1]KPI_Weights!$B$6,W132*[1]KPI_Weights!$B$7,X132*[1]KPI_Weights!$B$8,Y132*[1]KPI_Weights!$B$9,Z132*[1]KPI_Weights!$B$10,AA132*[1]KPI_Weights!$B$11,AB132*[1]KPI_Weights!$B$12,AC132*[1]KPI_Weights!$B$13,AD132*[1]KPI_Weights!$B$14,AE132*[1]KPI_Weights!$B$15,AF132*[1]KPI_Weights!$B$16,AG132*[1]KPI_Weights!$B$17,AH132*[1]KPI_Weights!$B$18))/5)</f>
        <v/>
      </c>
      <c r="AL132" s="60" t="str">
        <f>IF(COUNTA(T132:AH132)=0,"",IF(OR(T132&lt;=1,W132&lt;=1,X132&lt;=1,Y132&lt;=1,AB132&lt;=1),"YES","NO"))</f>
        <v/>
      </c>
      <c r="AM132" s="60" t="str">
        <f>IF(AJ132="","",IF(AND(AL132="NO",AJ132&gt;=0.75),"YES","NO"))</f>
        <v/>
      </c>
      <c r="AN132" s="60" t="str">
        <f>IF(AJ132="","",IF(AJ132&lt;0.4,"Critical",IF(AJ132&lt;0.6,"Poor",IF(AJ132&lt;0.75,"Needs Improvement",IF(AJ132&lt;0.9,"Good","Excellent")))))</f>
        <v/>
      </c>
      <c r="AO132" s="59"/>
      <c r="AP132" s="59"/>
      <c r="AQ132" s="59"/>
      <c r="AR132" s="59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</row>
    <row r="133" spans="1:54" ht="19.5" customHeight="1" x14ac:dyDescent="0.25">
      <c r="A133" s="60" t="str">
        <f>IF($B133="","",TEXT($B133,"yyyymmdd")&amp;"-"&amp;SUBSTITUTE($F133," ","")&amp;"-"&amp;TEXT(COUNTIF($F$4:F133,$F133),"00"))</f>
        <v/>
      </c>
      <c r="B133" s="65"/>
      <c r="C133" s="60" t="str">
        <f>IF($B133="","",WEEKNUM($B133,2))</f>
        <v/>
      </c>
      <c r="D133" s="60" t="str">
        <f>IF($B133="","",TEXT($B133,"yyyy-mm"))</f>
        <v/>
      </c>
      <c r="E133" s="64"/>
      <c r="F133" s="64"/>
      <c r="G133" s="60" t="str">
        <f>IF(OR($E133="",$F133=""),"",IFERROR(IF($E133=INDEX([1]Cluster_Master!$A$4:$A$18,MATCH($F133,[1]Cluster_Master!$B$4:$B$18,0)),"OK","CHECK"),"CHECK"))</f>
        <v/>
      </c>
      <c r="H133" s="63" t="str">
        <f>IFERROR(INDEX([1]Cluster_Master!$C$4:$C$18,MATCH($F133,[1]Cluster_Master!$B$4:$B$18,0)),"")</f>
        <v/>
      </c>
      <c r="I133" s="60" t="str">
        <f>IFERROR(INDEX([1]Cluster_Master!$D$4:$D$18,MATCH($F133,[1]Cluster_Master!$B$4:$B$18,0)),"")</f>
        <v/>
      </c>
      <c r="J133" s="60" t="str">
        <f>IFERROR(INDEX([1]Cluster_Master!$E$4:$E$18,MATCH($F133,[1]Cluster_Master!$B$4:$B$18,0)),"")</f>
        <v/>
      </c>
      <c r="K133" s="60" t="str">
        <f>IFERROR(INDEX([1]Cluster_Master!$F$4:$F$18,MATCH($F133,[1]Cluster_Master!$B$4:$B$18,0)),"")</f>
        <v/>
      </c>
      <c r="L133" s="60" t="str">
        <f>IFERROR(INDEX([1]Cluster_Master!$G$4:$G$18,MATCH($F133,[1]Cluster_Master!$B$4:$B$18,0)),"")</f>
        <v/>
      </c>
      <c r="M133" s="60" t="str">
        <f>IFERROR(INDEX([1]Cluster_Master!$H$4:$H$18,MATCH($F133,[1]Cluster_Master!$B$4:$B$18,0)),"")</f>
        <v/>
      </c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60" t="str">
        <f>IF(COUNTA(T133:AH133)=0,"",SUM(T133:AH133))</f>
        <v/>
      </c>
      <c r="AJ133" s="61" t="str">
        <f>IF(COUNTA(T133:AH133)=0,"",AI133/75)</f>
        <v/>
      </c>
      <c r="AK133" s="61" t="str">
        <f>IF(COUNTA(T133:AH133)=0,"",(SUM(T133*[1]KPI_Weights!$B$4,U133*[1]KPI_Weights!$B$5,V133*[1]KPI_Weights!$B$6,W133*[1]KPI_Weights!$B$7,X133*[1]KPI_Weights!$B$8,Y133*[1]KPI_Weights!$B$9,Z133*[1]KPI_Weights!$B$10,AA133*[1]KPI_Weights!$B$11,AB133*[1]KPI_Weights!$B$12,AC133*[1]KPI_Weights!$B$13,AD133*[1]KPI_Weights!$B$14,AE133*[1]KPI_Weights!$B$15,AF133*[1]KPI_Weights!$B$16,AG133*[1]KPI_Weights!$B$17,AH133*[1]KPI_Weights!$B$18))/5)</f>
        <v/>
      </c>
      <c r="AL133" s="60" t="str">
        <f>IF(COUNTA(T133:AH133)=0,"",IF(OR(T133&lt;=1,W133&lt;=1,X133&lt;=1,Y133&lt;=1,AB133&lt;=1),"YES","NO"))</f>
        <v/>
      </c>
      <c r="AM133" s="60" t="str">
        <f>IF(AJ133="","",IF(AND(AL133="NO",AJ133&gt;=0.75),"YES","NO"))</f>
        <v/>
      </c>
      <c r="AN133" s="60" t="str">
        <f>IF(AJ133="","",IF(AJ133&lt;0.4,"Critical",IF(AJ133&lt;0.6,"Poor",IF(AJ133&lt;0.75,"Needs Improvement",IF(AJ133&lt;0.9,"Good","Excellent")))))</f>
        <v/>
      </c>
      <c r="AO133" s="59"/>
      <c r="AP133" s="59"/>
      <c r="AQ133" s="59"/>
      <c r="AR133" s="59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</row>
    <row r="134" spans="1:54" ht="19.5" customHeight="1" x14ac:dyDescent="0.25">
      <c r="A134" s="60" t="str">
        <f>IF($B134="","",TEXT($B134,"yyyymmdd")&amp;"-"&amp;SUBSTITUTE($F134," ","")&amp;"-"&amp;TEXT(COUNTIF($F$4:F134,$F134),"00"))</f>
        <v/>
      </c>
      <c r="B134" s="65"/>
      <c r="C134" s="60" t="str">
        <f>IF($B134="","",WEEKNUM($B134,2))</f>
        <v/>
      </c>
      <c r="D134" s="60" t="str">
        <f>IF($B134="","",TEXT($B134,"yyyy-mm"))</f>
        <v/>
      </c>
      <c r="E134" s="64"/>
      <c r="F134" s="64"/>
      <c r="G134" s="60" t="str">
        <f>IF(OR($E134="",$F134=""),"",IFERROR(IF($E134=INDEX([1]Cluster_Master!$A$4:$A$18,MATCH($F134,[1]Cluster_Master!$B$4:$B$18,0)),"OK","CHECK"),"CHECK"))</f>
        <v/>
      </c>
      <c r="H134" s="63" t="str">
        <f>IFERROR(INDEX([1]Cluster_Master!$C$4:$C$18,MATCH($F134,[1]Cluster_Master!$B$4:$B$18,0)),"")</f>
        <v/>
      </c>
      <c r="I134" s="60" t="str">
        <f>IFERROR(INDEX([1]Cluster_Master!$D$4:$D$18,MATCH($F134,[1]Cluster_Master!$B$4:$B$18,0)),"")</f>
        <v/>
      </c>
      <c r="J134" s="60" t="str">
        <f>IFERROR(INDEX([1]Cluster_Master!$E$4:$E$18,MATCH($F134,[1]Cluster_Master!$B$4:$B$18,0)),"")</f>
        <v/>
      </c>
      <c r="K134" s="60" t="str">
        <f>IFERROR(INDEX([1]Cluster_Master!$F$4:$F$18,MATCH($F134,[1]Cluster_Master!$B$4:$B$18,0)),"")</f>
        <v/>
      </c>
      <c r="L134" s="60" t="str">
        <f>IFERROR(INDEX([1]Cluster_Master!$G$4:$G$18,MATCH($F134,[1]Cluster_Master!$B$4:$B$18,0)),"")</f>
        <v/>
      </c>
      <c r="M134" s="60" t="str">
        <f>IFERROR(INDEX([1]Cluster_Master!$H$4:$H$18,MATCH($F134,[1]Cluster_Master!$B$4:$B$18,0)),"")</f>
        <v/>
      </c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60" t="str">
        <f>IF(COUNTA(T134:AH134)=0,"",SUM(T134:AH134))</f>
        <v/>
      </c>
      <c r="AJ134" s="61" t="str">
        <f>IF(COUNTA(T134:AH134)=0,"",AI134/75)</f>
        <v/>
      </c>
      <c r="AK134" s="61" t="str">
        <f>IF(COUNTA(T134:AH134)=0,"",(SUM(T134*[1]KPI_Weights!$B$4,U134*[1]KPI_Weights!$B$5,V134*[1]KPI_Weights!$B$6,W134*[1]KPI_Weights!$B$7,X134*[1]KPI_Weights!$B$8,Y134*[1]KPI_Weights!$B$9,Z134*[1]KPI_Weights!$B$10,AA134*[1]KPI_Weights!$B$11,AB134*[1]KPI_Weights!$B$12,AC134*[1]KPI_Weights!$B$13,AD134*[1]KPI_Weights!$B$14,AE134*[1]KPI_Weights!$B$15,AF134*[1]KPI_Weights!$B$16,AG134*[1]KPI_Weights!$B$17,AH134*[1]KPI_Weights!$B$18))/5)</f>
        <v/>
      </c>
      <c r="AL134" s="60" t="str">
        <f>IF(COUNTA(T134:AH134)=0,"",IF(OR(T134&lt;=1,W134&lt;=1,X134&lt;=1,Y134&lt;=1,AB134&lt;=1),"YES","NO"))</f>
        <v/>
      </c>
      <c r="AM134" s="60" t="str">
        <f>IF(AJ134="","",IF(AND(AL134="NO",AJ134&gt;=0.75),"YES","NO"))</f>
        <v/>
      </c>
      <c r="AN134" s="60" t="str">
        <f>IF(AJ134="","",IF(AJ134&lt;0.4,"Critical",IF(AJ134&lt;0.6,"Poor",IF(AJ134&lt;0.75,"Needs Improvement",IF(AJ134&lt;0.9,"Good","Excellent")))))</f>
        <v/>
      </c>
      <c r="AO134" s="59"/>
      <c r="AP134" s="59"/>
      <c r="AQ134" s="59"/>
      <c r="AR134" s="59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</row>
    <row r="135" spans="1:54" ht="19.5" customHeight="1" x14ac:dyDescent="0.25">
      <c r="A135" s="60" t="str">
        <f>IF($B135="","",TEXT($B135,"yyyymmdd")&amp;"-"&amp;SUBSTITUTE($F135," ","")&amp;"-"&amp;TEXT(COUNTIF($F$4:F135,$F135),"00"))</f>
        <v/>
      </c>
      <c r="B135" s="65"/>
      <c r="C135" s="60" t="str">
        <f>IF($B135="","",WEEKNUM($B135,2))</f>
        <v/>
      </c>
      <c r="D135" s="60" t="str">
        <f>IF($B135="","",TEXT($B135,"yyyy-mm"))</f>
        <v/>
      </c>
      <c r="E135" s="64"/>
      <c r="F135" s="64"/>
      <c r="G135" s="60" t="str">
        <f>IF(OR($E135="",$F135=""),"",IFERROR(IF($E135=INDEX([1]Cluster_Master!$A$4:$A$18,MATCH($F135,[1]Cluster_Master!$B$4:$B$18,0)),"OK","CHECK"),"CHECK"))</f>
        <v/>
      </c>
      <c r="H135" s="63" t="str">
        <f>IFERROR(INDEX([1]Cluster_Master!$C$4:$C$18,MATCH($F135,[1]Cluster_Master!$B$4:$B$18,0)),"")</f>
        <v/>
      </c>
      <c r="I135" s="60" t="str">
        <f>IFERROR(INDEX([1]Cluster_Master!$D$4:$D$18,MATCH($F135,[1]Cluster_Master!$B$4:$B$18,0)),"")</f>
        <v/>
      </c>
      <c r="J135" s="60" t="str">
        <f>IFERROR(INDEX([1]Cluster_Master!$E$4:$E$18,MATCH($F135,[1]Cluster_Master!$B$4:$B$18,0)),"")</f>
        <v/>
      </c>
      <c r="K135" s="60" t="str">
        <f>IFERROR(INDEX([1]Cluster_Master!$F$4:$F$18,MATCH($F135,[1]Cluster_Master!$B$4:$B$18,0)),"")</f>
        <v/>
      </c>
      <c r="L135" s="60" t="str">
        <f>IFERROR(INDEX([1]Cluster_Master!$G$4:$G$18,MATCH($F135,[1]Cluster_Master!$B$4:$B$18,0)),"")</f>
        <v/>
      </c>
      <c r="M135" s="60" t="str">
        <f>IFERROR(INDEX([1]Cluster_Master!$H$4:$H$18,MATCH($F135,[1]Cluster_Master!$B$4:$B$18,0)),"")</f>
        <v/>
      </c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60" t="str">
        <f>IF(COUNTA(T135:AH135)=0,"",SUM(T135:AH135))</f>
        <v/>
      </c>
      <c r="AJ135" s="61" t="str">
        <f>IF(COUNTA(T135:AH135)=0,"",AI135/75)</f>
        <v/>
      </c>
      <c r="AK135" s="61" t="str">
        <f>IF(COUNTA(T135:AH135)=0,"",(SUM(T135*[1]KPI_Weights!$B$4,U135*[1]KPI_Weights!$B$5,V135*[1]KPI_Weights!$B$6,W135*[1]KPI_Weights!$B$7,X135*[1]KPI_Weights!$B$8,Y135*[1]KPI_Weights!$B$9,Z135*[1]KPI_Weights!$B$10,AA135*[1]KPI_Weights!$B$11,AB135*[1]KPI_Weights!$B$12,AC135*[1]KPI_Weights!$B$13,AD135*[1]KPI_Weights!$B$14,AE135*[1]KPI_Weights!$B$15,AF135*[1]KPI_Weights!$B$16,AG135*[1]KPI_Weights!$B$17,AH135*[1]KPI_Weights!$B$18))/5)</f>
        <v/>
      </c>
      <c r="AL135" s="60" t="str">
        <f>IF(COUNTA(T135:AH135)=0,"",IF(OR(T135&lt;=1,W135&lt;=1,X135&lt;=1,Y135&lt;=1,AB135&lt;=1),"YES","NO"))</f>
        <v/>
      </c>
      <c r="AM135" s="60" t="str">
        <f>IF(AJ135="","",IF(AND(AL135="NO",AJ135&gt;=0.75),"YES","NO"))</f>
        <v/>
      </c>
      <c r="AN135" s="60" t="str">
        <f>IF(AJ135="","",IF(AJ135&lt;0.4,"Critical",IF(AJ135&lt;0.6,"Poor",IF(AJ135&lt;0.75,"Needs Improvement",IF(AJ135&lt;0.9,"Good","Excellent")))))</f>
        <v/>
      </c>
      <c r="AO135" s="59"/>
      <c r="AP135" s="59"/>
      <c r="AQ135" s="59"/>
      <c r="AR135" s="59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</row>
    <row r="136" spans="1:54" ht="19.5" customHeight="1" x14ac:dyDescent="0.25">
      <c r="A136" s="60" t="str">
        <f>IF($B136="","",TEXT($B136,"yyyymmdd")&amp;"-"&amp;SUBSTITUTE($F136," ","")&amp;"-"&amp;TEXT(COUNTIF($F$4:F136,$F136),"00"))</f>
        <v/>
      </c>
      <c r="B136" s="65"/>
      <c r="C136" s="60" t="str">
        <f>IF($B136="","",WEEKNUM($B136,2))</f>
        <v/>
      </c>
      <c r="D136" s="60" t="str">
        <f>IF($B136="","",TEXT($B136,"yyyy-mm"))</f>
        <v/>
      </c>
      <c r="E136" s="64"/>
      <c r="F136" s="64"/>
      <c r="G136" s="60" t="str">
        <f>IF(OR($E136="",$F136=""),"",IFERROR(IF($E136=INDEX([1]Cluster_Master!$A$4:$A$18,MATCH($F136,[1]Cluster_Master!$B$4:$B$18,0)),"OK","CHECK"),"CHECK"))</f>
        <v/>
      </c>
      <c r="H136" s="63" t="str">
        <f>IFERROR(INDEX([1]Cluster_Master!$C$4:$C$18,MATCH($F136,[1]Cluster_Master!$B$4:$B$18,0)),"")</f>
        <v/>
      </c>
      <c r="I136" s="60" t="str">
        <f>IFERROR(INDEX([1]Cluster_Master!$D$4:$D$18,MATCH($F136,[1]Cluster_Master!$B$4:$B$18,0)),"")</f>
        <v/>
      </c>
      <c r="J136" s="60" t="str">
        <f>IFERROR(INDEX([1]Cluster_Master!$E$4:$E$18,MATCH($F136,[1]Cluster_Master!$B$4:$B$18,0)),"")</f>
        <v/>
      </c>
      <c r="K136" s="60" t="str">
        <f>IFERROR(INDEX([1]Cluster_Master!$F$4:$F$18,MATCH($F136,[1]Cluster_Master!$B$4:$B$18,0)),"")</f>
        <v/>
      </c>
      <c r="L136" s="60" t="str">
        <f>IFERROR(INDEX([1]Cluster_Master!$G$4:$G$18,MATCH($F136,[1]Cluster_Master!$B$4:$B$18,0)),"")</f>
        <v/>
      </c>
      <c r="M136" s="60" t="str">
        <f>IFERROR(INDEX([1]Cluster_Master!$H$4:$H$18,MATCH($F136,[1]Cluster_Master!$B$4:$B$18,0)),"")</f>
        <v/>
      </c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60" t="str">
        <f>IF(COUNTA(T136:AH136)=0,"",SUM(T136:AH136))</f>
        <v/>
      </c>
      <c r="AJ136" s="61" t="str">
        <f>IF(COUNTA(T136:AH136)=0,"",AI136/75)</f>
        <v/>
      </c>
      <c r="AK136" s="61" t="str">
        <f>IF(COUNTA(T136:AH136)=0,"",(SUM(T136*[1]KPI_Weights!$B$4,U136*[1]KPI_Weights!$B$5,V136*[1]KPI_Weights!$B$6,W136*[1]KPI_Weights!$B$7,X136*[1]KPI_Weights!$B$8,Y136*[1]KPI_Weights!$B$9,Z136*[1]KPI_Weights!$B$10,AA136*[1]KPI_Weights!$B$11,AB136*[1]KPI_Weights!$B$12,AC136*[1]KPI_Weights!$B$13,AD136*[1]KPI_Weights!$B$14,AE136*[1]KPI_Weights!$B$15,AF136*[1]KPI_Weights!$B$16,AG136*[1]KPI_Weights!$B$17,AH136*[1]KPI_Weights!$B$18))/5)</f>
        <v/>
      </c>
      <c r="AL136" s="60" t="str">
        <f>IF(COUNTA(T136:AH136)=0,"",IF(OR(T136&lt;=1,W136&lt;=1,X136&lt;=1,Y136&lt;=1,AB136&lt;=1),"YES","NO"))</f>
        <v/>
      </c>
      <c r="AM136" s="60" t="str">
        <f>IF(AJ136="","",IF(AND(AL136="NO",AJ136&gt;=0.75),"YES","NO"))</f>
        <v/>
      </c>
      <c r="AN136" s="60" t="str">
        <f>IF(AJ136="","",IF(AJ136&lt;0.4,"Critical",IF(AJ136&lt;0.6,"Poor",IF(AJ136&lt;0.75,"Needs Improvement",IF(AJ136&lt;0.9,"Good","Excellent")))))</f>
        <v/>
      </c>
      <c r="AO136" s="59"/>
      <c r="AP136" s="59"/>
      <c r="AQ136" s="59"/>
      <c r="AR136" s="59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</row>
    <row r="137" spans="1:54" ht="19.5" customHeight="1" x14ac:dyDescent="0.25">
      <c r="A137" s="60" t="str">
        <f>IF($B137="","",TEXT($B137,"yyyymmdd")&amp;"-"&amp;SUBSTITUTE($F137," ","")&amp;"-"&amp;TEXT(COUNTIF($F$4:F137,$F137),"00"))</f>
        <v/>
      </c>
      <c r="B137" s="65"/>
      <c r="C137" s="60" t="str">
        <f>IF($B137="","",WEEKNUM($B137,2))</f>
        <v/>
      </c>
      <c r="D137" s="60" t="str">
        <f>IF($B137="","",TEXT($B137,"yyyy-mm"))</f>
        <v/>
      </c>
      <c r="E137" s="64"/>
      <c r="F137" s="64"/>
      <c r="G137" s="60" t="str">
        <f>IF(OR($E137="",$F137=""),"",IFERROR(IF($E137=INDEX([1]Cluster_Master!$A$4:$A$18,MATCH($F137,[1]Cluster_Master!$B$4:$B$18,0)),"OK","CHECK"),"CHECK"))</f>
        <v/>
      </c>
      <c r="H137" s="63" t="str">
        <f>IFERROR(INDEX([1]Cluster_Master!$C$4:$C$18,MATCH($F137,[1]Cluster_Master!$B$4:$B$18,0)),"")</f>
        <v/>
      </c>
      <c r="I137" s="60" t="str">
        <f>IFERROR(INDEX([1]Cluster_Master!$D$4:$D$18,MATCH($F137,[1]Cluster_Master!$B$4:$B$18,0)),"")</f>
        <v/>
      </c>
      <c r="J137" s="60" t="str">
        <f>IFERROR(INDEX([1]Cluster_Master!$E$4:$E$18,MATCH($F137,[1]Cluster_Master!$B$4:$B$18,0)),"")</f>
        <v/>
      </c>
      <c r="K137" s="60" t="str">
        <f>IFERROR(INDEX([1]Cluster_Master!$F$4:$F$18,MATCH($F137,[1]Cluster_Master!$B$4:$B$18,0)),"")</f>
        <v/>
      </c>
      <c r="L137" s="60" t="str">
        <f>IFERROR(INDEX([1]Cluster_Master!$G$4:$G$18,MATCH($F137,[1]Cluster_Master!$B$4:$B$18,0)),"")</f>
        <v/>
      </c>
      <c r="M137" s="60" t="str">
        <f>IFERROR(INDEX([1]Cluster_Master!$H$4:$H$18,MATCH($F137,[1]Cluster_Master!$B$4:$B$18,0)),"")</f>
        <v/>
      </c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60" t="str">
        <f>IF(COUNTA(T137:AH137)=0,"",SUM(T137:AH137))</f>
        <v/>
      </c>
      <c r="AJ137" s="61" t="str">
        <f>IF(COUNTA(T137:AH137)=0,"",AI137/75)</f>
        <v/>
      </c>
      <c r="AK137" s="61" t="str">
        <f>IF(COUNTA(T137:AH137)=0,"",(SUM(T137*[1]KPI_Weights!$B$4,U137*[1]KPI_Weights!$B$5,V137*[1]KPI_Weights!$B$6,W137*[1]KPI_Weights!$B$7,X137*[1]KPI_Weights!$B$8,Y137*[1]KPI_Weights!$B$9,Z137*[1]KPI_Weights!$B$10,AA137*[1]KPI_Weights!$B$11,AB137*[1]KPI_Weights!$B$12,AC137*[1]KPI_Weights!$B$13,AD137*[1]KPI_Weights!$B$14,AE137*[1]KPI_Weights!$B$15,AF137*[1]KPI_Weights!$B$16,AG137*[1]KPI_Weights!$B$17,AH137*[1]KPI_Weights!$B$18))/5)</f>
        <v/>
      </c>
      <c r="AL137" s="60" t="str">
        <f>IF(COUNTA(T137:AH137)=0,"",IF(OR(T137&lt;=1,W137&lt;=1,X137&lt;=1,Y137&lt;=1,AB137&lt;=1),"YES","NO"))</f>
        <v/>
      </c>
      <c r="AM137" s="60" t="str">
        <f>IF(AJ137="","",IF(AND(AL137="NO",AJ137&gt;=0.75),"YES","NO"))</f>
        <v/>
      </c>
      <c r="AN137" s="60" t="str">
        <f>IF(AJ137="","",IF(AJ137&lt;0.4,"Critical",IF(AJ137&lt;0.6,"Poor",IF(AJ137&lt;0.75,"Needs Improvement",IF(AJ137&lt;0.9,"Good","Excellent")))))</f>
        <v/>
      </c>
      <c r="AO137" s="59"/>
      <c r="AP137" s="59"/>
      <c r="AQ137" s="59"/>
      <c r="AR137" s="59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</row>
    <row r="138" spans="1:54" ht="19.5" customHeight="1" x14ac:dyDescent="0.25">
      <c r="A138" s="60" t="str">
        <f>IF($B138="","",TEXT($B138,"yyyymmdd")&amp;"-"&amp;SUBSTITUTE($F138," ","")&amp;"-"&amp;TEXT(COUNTIF($F$4:F138,$F138),"00"))</f>
        <v/>
      </c>
      <c r="B138" s="65"/>
      <c r="C138" s="60" t="str">
        <f>IF($B138="","",WEEKNUM($B138,2))</f>
        <v/>
      </c>
      <c r="D138" s="60" t="str">
        <f>IF($B138="","",TEXT($B138,"yyyy-mm"))</f>
        <v/>
      </c>
      <c r="E138" s="64"/>
      <c r="F138" s="64"/>
      <c r="G138" s="60" t="str">
        <f>IF(OR($E138="",$F138=""),"",IFERROR(IF($E138=INDEX([1]Cluster_Master!$A$4:$A$18,MATCH($F138,[1]Cluster_Master!$B$4:$B$18,0)),"OK","CHECK"),"CHECK"))</f>
        <v/>
      </c>
      <c r="H138" s="63" t="str">
        <f>IFERROR(INDEX([1]Cluster_Master!$C$4:$C$18,MATCH($F138,[1]Cluster_Master!$B$4:$B$18,0)),"")</f>
        <v/>
      </c>
      <c r="I138" s="60" t="str">
        <f>IFERROR(INDEX([1]Cluster_Master!$D$4:$D$18,MATCH($F138,[1]Cluster_Master!$B$4:$B$18,0)),"")</f>
        <v/>
      </c>
      <c r="J138" s="60" t="str">
        <f>IFERROR(INDEX([1]Cluster_Master!$E$4:$E$18,MATCH($F138,[1]Cluster_Master!$B$4:$B$18,0)),"")</f>
        <v/>
      </c>
      <c r="K138" s="60" t="str">
        <f>IFERROR(INDEX([1]Cluster_Master!$F$4:$F$18,MATCH($F138,[1]Cluster_Master!$B$4:$B$18,0)),"")</f>
        <v/>
      </c>
      <c r="L138" s="60" t="str">
        <f>IFERROR(INDEX([1]Cluster_Master!$G$4:$G$18,MATCH($F138,[1]Cluster_Master!$B$4:$B$18,0)),"")</f>
        <v/>
      </c>
      <c r="M138" s="60" t="str">
        <f>IFERROR(INDEX([1]Cluster_Master!$H$4:$H$18,MATCH($F138,[1]Cluster_Master!$B$4:$B$18,0)),"")</f>
        <v/>
      </c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60" t="str">
        <f>IF(COUNTA(T138:AH138)=0,"",SUM(T138:AH138))</f>
        <v/>
      </c>
      <c r="AJ138" s="61" t="str">
        <f>IF(COUNTA(T138:AH138)=0,"",AI138/75)</f>
        <v/>
      </c>
      <c r="AK138" s="61" t="str">
        <f>IF(COUNTA(T138:AH138)=0,"",(SUM(T138*[1]KPI_Weights!$B$4,U138*[1]KPI_Weights!$B$5,V138*[1]KPI_Weights!$B$6,W138*[1]KPI_Weights!$B$7,X138*[1]KPI_Weights!$B$8,Y138*[1]KPI_Weights!$B$9,Z138*[1]KPI_Weights!$B$10,AA138*[1]KPI_Weights!$B$11,AB138*[1]KPI_Weights!$B$12,AC138*[1]KPI_Weights!$B$13,AD138*[1]KPI_Weights!$B$14,AE138*[1]KPI_Weights!$B$15,AF138*[1]KPI_Weights!$B$16,AG138*[1]KPI_Weights!$B$17,AH138*[1]KPI_Weights!$B$18))/5)</f>
        <v/>
      </c>
      <c r="AL138" s="60" t="str">
        <f>IF(COUNTA(T138:AH138)=0,"",IF(OR(T138&lt;=1,W138&lt;=1,X138&lt;=1,Y138&lt;=1,AB138&lt;=1),"YES","NO"))</f>
        <v/>
      </c>
      <c r="AM138" s="60" t="str">
        <f>IF(AJ138="","",IF(AND(AL138="NO",AJ138&gt;=0.75),"YES","NO"))</f>
        <v/>
      </c>
      <c r="AN138" s="60" t="str">
        <f>IF(AJ138="","",IF(AJ138&lt;0.4,"Critical",IF(AJ138&lt;0.6,"Poor",IF(AJ138&lt;0.75,"Needs Improvement",IF(AJ138&lt;0.9,"Good","Excellent")))))</f>
        <v/>
      </c>
      <c r="AO138" s="59"/>
      <c r="AP138" s="59"/>
      <c r="AQ138" s="59"/>
      <c r="AR138" s="59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</row>
    <row r="139" spans="1:54" ht="19.5" customHeight="1" x14ac:dyDescent="0.25">
      <c r="A139" s="60" t="str">
        <f>IF($B139="","",TEXT($B139,"yyyymmdd")&amp;"-"&amp;SUBSTITUTE($F139," ","")&amp;"-"&amp;TEXT(COUNTIF($F$4:F139,$F139),"00"))</f>
        <v/>
      </c>
      <c r="B139" s="65"/>
      <c r="C139" s="60" t="str">
        <f>IF($B139="","",WEEKNUM($B139,2))</f>
        <v/>
      </c>
      <c r="D139" s="60" t="str">
        <f>IF($B139="","",TEXT($B139,"yyyy-mm"))</f>
        <v/>
      </c>
      <c r="E139" s="64"/>
      <c r="F139" s="64"/>
      <c r="G139" s="60" t="str">
        <f>IF(OR($E139="",$F139=""),"",IFERROR(IF($E139=INDEX([1]Cluster_Master!$A$4:$A$18,MATCH($F139,[1]Cluster_Master!$B$4:$B$18,0)),"OK","CHECK"),"CHECK"))</f>
        <v/>
      </c>
      <c r="H139" s="63" t="str">
        <f>IFERROR(INDEX([1]Cluster_Master!$C$4:$C$18,MATCH($F139,[1]Cluster_Master!$B$4:$B$18,0)),"")</f>
        <v/>
      </c>
      <c r="I139" s="60" t="str">
        <f>IFERROR(INDEX([1]Cluster_Master!$D$4:$D$18,MATCH($F139,[1]Cluster_Master!$B$4:$B$18,0)),"")</f>
        <v/>
      </c>
      <c r="J139" s="60" t="str">
        <f>IFERROR(INDEX([1]Cluster_Master!$E$4:$E$18,MATCH($F139,[1]Cluster_Master!$B$4:$B$18,0)),"")</f>
        <v/>
      </c>
      <c r="K139" s="60" t="str">
        <f>IFERROR(INDEX([1]Cluster_Master!$F$4:$F$18,MATCH($F139,[1]Cluster_Master!$B$4:$B$18,0)),"")</f>
        <v/>
      </c>
      <c r="L139" s="60" t="str">
        <f>IFERROR(INDEX([1]Cluster_Master!$G$4:$G$18,MATCH($F139,[1]Cluster_Master!$B$4:$B$18,0)),"")</f>
        <v/>
      </c>
      <c r="M139" s="60" t="str">
        <f>IFERROR(INDEX([1]Cluster_Master!$H$4:$H$18,MATCH($F139,[1]Cluster_Master!$B$4:$B$18,0)),"")</f>
        <v/>
      </c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60" t="str">
        <f>IF(COUNTA(T139:AH139)=0,"",SUM(T139:AH139))</f>
        <v/>
      </c>
      <c r="AJ139" s="61" t="str">
        <f>IF(COUNTA(T139:AH139)=0,"",AI139/75)</f>
        <v/>
      </c>
      <c r="AK139" s="61" t="str">
        <f>IF(COUNTA(T139:AH139)=0,"",(SUM(T139*[1]KPI_Weights!$B$4,U139*[1]KPI_Weights!$B$5,V139*[1]KPI_Weights!$B$6,W139*[1]KPI_Weights!$B$7,X139*[1]KPI_Weights!$B$8,Y139*[1]KPI_Weights!$B$9,Z139*[1]KPI_Weights!$B$10,AA139*[1]KPI_Weights!$B$11,AB139*[1]KPI_Weights!$B$12,AC139*[1]KPI_Weights!$B$13,AD139*[1]KPI_Weights!$B$14,AE139*[1]KPI_Weights!$B$15,AF139*[1]KPI_Weights!$B$16,AG139*[1]KPI_Weights!$B$17,AH139*[1]KPI_Weights!$B$18))/5)</f>
        <v/>
      </c>
      <c r="AL139" s="60" t="str">
        <f>IF(COUNTA(T139:AH139)=0,"",IF(OR(T139&lt;=1,W139&lt;=1,X139&lt;=1,Y139&lt;=1,AB139&lt;=1),"YES","NO"))</f>
        <v/>
      </c>
      <c r="AM139" s="60" t="str">
        <f>IF(AJ139="","",IF(AND(AL139="NO",AJ139&gt;=0.75),"YES","NO"))</f>
        <v/>
      </c>
      <c r="AN139" s="60" t="str">
        <f>IF(AJ139="","",IF(AJ139&lt;0.4,"Critical",IF(AJ139&lt;0.6,"Poor",IF(AJ139&lt;0.75,"Needs Improvement",IF(AJ139&lt;0.9,"Good","Excellent")))))</f>
        <v/>
      </c>
      <c r="AO139" s="59"/>
      <c r="AP139" s="59"/>
      <c r="AQ139" s="59"/>
      <c r="AR139" s="59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</row>
    <row r="140" spans="1:54" ht="19.5" customHeight="1" x14ac:dyDescent="0.25">
      <c r="A140" s="60" t="str">
        <f>IF($B140="","",TEXT($B140,"yyyymmdd")&amp;"-"&amp;SUBSTITUTE($F140," ","")&amp;"-"&amp;TEXT(COUNTIF($F$4:F140,$F140),"00"))</f>
        <v/>
      </c>
      <c r="B140" s="65"/>
      <c r="C140" s="60" t="str">
        <f>IF($B140="","",WEEKNUM($B140,2))</f>
        <v/>
      </c>
      <c r="D140" s="60" t="str">
        <f>IF($B140="","",TEXT($B140,"yyyy-mm"))</f>
        <v/>
      </c>
      <c r="E140" s="64"/>
      <c r="F140" s="64"/>
      <c r="G140" s="60" t="str">
        <f>IF(OR($E140="",$F140=""),"",IFERROR(IF($E140=INDEX([1]Cluster_Master!$A$4:$A$18,MATCH($F140,[1]Cluster_Master!$B$4:$B$18,0)),"OK","CHECK"),"CHECK"))</f>
        <v/>
      </c>
      <c r="H140" s="63" t="str">
        <f>IFERROR(INDEX([1]Cluster_Master!$C$4:$C$18,MATCH($F140,[1]Cluster_Master!$B$4:$B$18,0)),"")</f>
        <v/>
      </c>
      <c r="I140" s="60" t="str">
        <f>IFERROR(INDEX([1]Cluster_Master!$D$4:$D$18,MATCH($F140,[1]Cluster_Master!$B$4:$B$18,0)),"")</f>
        <v/>
      </c>
      <c r="J140" s="60" t="str">
        <f>IFERROR(INDEX([1]Cluster_Master!$E$4:$E$18,MATCH($F140,[1]Cluster_Master!$B$4:$B$18,0)),"")</f>
        <v/>
      </c>
      <c r="K140" s="60" t="str">
        <f>IFERROR(INDEX([1]Cluster_Master!$F$4:$F$18,MATCH($F140,[1]Cluster_Master!$B$4:$B$18,0)),"")</f>
        <v/>
      </c>
      <c r="L140" s="60" t="str">
        <f>IFERROR(INDEX([1]Cluster_Master!$G$4:$G$18,MATCH($F140,[1]Cluster_Master!$B$4:$B$18,0)),"")</f>
        <v/>
      </c>
      <c r="M140" s="60" t="str">
        <f>IFERROR(INDEX([1]Cluster_Master!$H$4:$H$18,MATCH($F140,[1]Cluster_Master!$B$4:$B$18,0)),"")</f>
        <v/>
      </c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60" t="str">
        <f>IF(COUNTA(T140:AH140)=0,"",SUM(T140:AH140))</f>
        <v/>
      </c>
      <c r="AJ140" s="61" t="str">
        <f>IF(COUNTA(T140:AH140)=0,"",AI140/75)</f>
        <v/>
      </c>
      <c r="AK140" s="61" t="str">
        <f>IF(COUNTA(T140:AH140)=0,"",(SUM(T140*[1]KPI_Weights!$B$4,U140*[1]KPI_Weights!$B$5,V140*[1]KPI_Weights!$B$6,W140*[1]KPI_Weights!$B$7,X140*[1]KPI_Weights!$B$8,Y140*[1]KPI_Weights!$B$9,Z140*[1]KPI_Weights!$B$10,AA140*[1]KPI_Weights!$B$11,AB140*[1]KPI_Weights!$B$12,AC140*[1]KPI_Weights!$B$13,AD140*[1]KPI_Weights!$B$14,AE140*[1]KPI_Weights!$B$15,AF140*[1]KPI_Weights!$B$16,AG140*[1]KPI_Weights!$B$17,AH140*[1]KPI_Weights!$B$18))/5)</f>
        <v/>
      </c>
      <c r="AL140" s="60" t="str">
        <f>IF(COUNTA(T140:AH140)=0,"",IF(OR(T140&lt;=1,W140&lt;=1,X140&lt;=1,Y140&lt;=1,AB140&lt;=1),"YES","NO"))</f>
        <v/>
      </c>
      <c r="AM140" s="60" t="str">
        <f>IF(AJ140="","",IF(AND(AL140="NO",AJ140&gt;=0.75),"YES","NO"))</f>
        <v/>
      </c>
      <c r="AN140" s="60" t="str">
        <f>IF(AJ140="","",IF(AJ140&lt;0.4,"Critical",IF(AJ140&lt;0.6,"Poor",IF(AJ140&lt;0.75,"Needs Improvement",IF(AJ140&lt;0.9,"Good","Excellent")))))</f>
        <v/>
      </c>
      <c r="AO140" s="59"/>
      <c r="AP140" s="59"/>
      <c r="AQ140" s="59"/>
      <c r="AR140" s="59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</row>
    <row r="141" spans="1:54" ht="19.5" customHeight="1" x14ac:dyDescent="0.25">
      <c r="A141" s="60" t="str">
        <f>IF($B141="","",TEXT($B141,"yyyymmdd")&amp;"-"&amp;SUBSTITUTE($F141," ","")&amp;"-"&amp;TEXT(COUNTIF($F$4:F141,$F141),"00"))</f>
        <v/>
      </c>
      <c r="B141" s="65"/>
      <c r="C141" s="60" t="str">
        <f>IF($B141="","",WEEKNUM($B141,2))</f>
        <v/>
      </c>
      <c r="D141" s="60" t="str">
        <f>IF($B141="","",TEXT($B141,"yyyy-mm"))</f>
        <v/>
      </c>
      <c r="E141" s="64"/>
      <c r="F141" s="64"/>
      <c r="G141" s="60" t="str">
        <f>IF(OR($E141="",$F141=""),"",IFERROR(IF($E141=INDEX([1]Cluster_Master!$A$4:$A$18,MATCH($F141,[1]Cluster_Master!$B$4:$B$18,0)),"OK","CHECK"),"CHECK"))</f>
        <v/>
      </c>
      <c r="H141" s="63" t="str">
        <f>IFERROR(INDEX([1]Cluster_Master!$C$4:$C$18,MATCH($F141,[1]Cluster_Master!$B$4:$B$18,0)),"")</f>
        <v/>
      </c>
      <c r="I141" s="60" t="str">
        <f>IFERROR(INDEX([1]Cluster_Master!$D$4:$D$18,MATCH($F141,[1]Cluster_Master!$B$4:$B$18,0)),"")</f>
        <v/>
      </c>
      <c r="J141" s="60" t="str">
        <f>IFERROR(INDEX([1]Cluster_Master!$E$4:$E$18,MATCH($F141,[1]Cluster_Master!$B$4:$B$18,0)),"")</f>
        <v/>
      </c>
      <c r="K141" s="60" t="str">
        <f>IFERROR(INDEX([1]Cluster_Master!$F$4:$F$18,MATCH($F141,[1]Cluster_Master!$B$4:$B$18,0)),"")</f>
        <v/>
      </c>
      <c r="L141" s="60" t="str">
        <f>IFERROR(INDEX([1]Cluster_Master!$G$4:$G$18,MATCH($F141,[1]Cluster_Master!$B$4:$B$18,0)),"")</f>
        <v/>
      </c>
      <c r="M141" s="60" t="str">
        <f>IFERROR(INDEX([1]Cluster_Master!$H$4:$H$18,MATCH($F141,[1]Cluster_Master!$B$4:$B$18,0)),"")</f>
        <v/>
      </c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60" t="str">
        <f>IF(COUNTA(T141:AH141)=0,"",SUM(T141:AH141))</f>
        <v/>
      </c>
      <c r="AJ141" s="61" t="str">
        <f>IF(COUNTA(T141:AH141)=0,"",AI141/75)</f>
        <v/>
      </c>
      <c r="AK141" s="61" t="str">
        <f>IF(COUNTA(T141:AH141)=0,"",(SUM(T141*[1]KPI_Weights!$B$4,U141*[1]KPI_Weights!$B$5,V141*[1]KPI_Weights!$B$6,W141*[1]KPI_Weights!$B$7,X141*[1]KPI_Weights!$B$8,Y141*[1]KPI_Weights!$B$9,Z141*[1]KPI_Weights!$B$10,AA141*[1]KPI_Weights!$B$11,AB141*[1]KPI_Weights!$B$12,AC141*[1]KPI_Weights!$B$13,AD141*[1]KPI_Weights!$B$14,AE141*[1]KPI_Weights!$B$15,AF141*[1]KPI_Weights!$B$16,AG141*[1]KPI_Weights!$B$17,AH141*[1]KPI_Weights!$B$18))/5)</f>
        <v/>
      </c>
      <c r="AL141" s="60" t="str">
        <f>IF(COUNTA(T141:AH141)=0,"",IF(OR(T141&lt;=1,W141&lt;=1,X141&lt;=1,Y141&lt;=1,AB141&lt;=1),"YES","NO"))</f>
        <v/>
      </c>
      <c r="AM141" s="60" t="str">
        <f>IF(AJ141="","",IF(AND(AL141="NO",AJ141&gt;=0.75),"YES","NO"))</f>
        <v/>
      </c>
      <c r="AN141" s="60" t="str">
        <f>IF(AJ141="","",IF(AJ141&lt;0.4,"Critical",IF(AJ141&lt;0.6,"Poor",IF(AJ141&lt;0.75,"Needs Improvement",IF(AJ141&lt;0.9,"Good","Excellent")))))</f>
        <v/>
      </c>
      <c r="AO141" s="59"/>
      <c r="AP141" s="59"/>
      <c r="AQ141" s="59"/>
      <c r="AR141" s="59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</row>
    <row r="142" spans="1:54" ht="19.5" customHeight="1" x14ac:dyDescent="0.25">
      <c r="A142" s="60" t="str">
        <f>IF($B142="","",TEXT($B142,"yyyymmdd")&amp;"-"&amp;SUBSTITUTE($F142," ","")&amp;"-"&amp;TEXT(COUNTIF($F$4:F142,$F142),"00"))</f>
        <v/>
      </c>
      <c r="B142" s="65"/>
      <c r="C142" s="60" t="str">
        <f>IF($B142="","",WEEKNUM($B142,2))</f>
        <v/>
      </c>
      <c r="D142" s="60" t="str">
        <f>IF($B142="","",TEXT($B142,"yyyy-mm"))</f>
        <v/>
      </c>
      <c r="E142" s="64"/>
      <c r="F142" s="64"/>
      <c r="G142" s="60" t="str">
        <f>IF(OR($E142="",$F142=""),"",IFERROR(IF($E142=INDEX([1]Cluster_Master!$A$4:$A$18,MATCH($F142,[1]Cluster_Master!$B$4:$B$18,0)),"OK","CHECK"),"CHECK"))</f>
        <v/>
      </c>
      <c r="H142" s="63" t="str">
        <f>IFERROR(INDEX([1]Cluster_Master!$C$4:$C$18,MATCH($F142,[1]Cluster_Master!$B$4:$B$18,0)),"")</f>
        <v/>
      </c>
      <c r="I142" s="60" t="str">
        <f>IFERROR(INDEX([1]Cluster_Master!$D$4:$D$18,MATCH($F142,[1]Cluster_Master!$B$4:$B$18,0)),"")</f>
        <v/>
      </c>
      <c r="J142" s="60" t="str">
        <f>IFERROR(INDEX([1]Cluster_Master!$E$4:$E$18,MATCH($F142,[1]Cluster_Master!$B$4:$B$18,0)),"")</f>
        <v/>
      </c>
      <c r="K142" s="60" t="str">
        <f>IFERROR(INDEX([1]Cluster_Master!$F$4:$F$18,MATCH($F142,[1]Cluster_Master!$B$4:$B$18,0)),"")</f>
        <v/>
      </c>
      <c r="L142" s="60" t="str">
        <f>IFERROR(INDEX([1]Cluster_Master!$G$4:$G$18,MATCH($F142,[1]Cluster_Master!$B$4:$B$18,0)),"")</f>
        <v/>
      </c>
      <c r="M142" s="60" t="str">
        <f>IFERROR(INDEX([1]Cluster_Master!$H$4:$H$18,MATCH($F142,[1]Cluster_Master!$B$4:$B$18,0)),"")</f>
        <v/>
      </c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60" t="str">
        <f>IF(COUNTA(T142:AH142)=0,"",SUM(T142:AH142))</f>
        <v/>
      </c>
      <c r="AJ142" s="61" t="str">
        <f>IF(COUNTA(T142:AH142)=0,"",AI142/75)</f>
        <v/>
      </c>
      <c r="AK142" s="61" t="str">
        <f>IF(COUNTA(T142:AH142)=0,"",(SUM(T142*[1]KPI_Weights!$B$4,U142*[1]KPI_Weights!$B$5,V142*[1]KPI_Weights!$B$6,W142*[1]KPI_Weights!$B$7,X142*[1]KPI_Weights!$B$8,Y142*[1]KPI_Weights!$B$9,Z142*[1]KPI_Weights!$B$10,AA142*[1]KPI_Weights!$B$11,AB142*[1]KPI_Weights!$B$12,AC142*[1]KPI_Weights!$B$13,AD142*[1]KPI_Weights!$B$14,AE142*[1]KPI_Weights!$B$15,AF142*[1]KPI_Weights!$B$16,AG142*[1]KPI_Weights!$B$17,AH142*[1]KPI_Weights!$B$18))/5)</f>
        <v/>
      </c>
      <c r="AL142" s="60" t="str">
        <f>IF(COUNTA(T142:AH142)=0,"",IF(OR(T142&lt;=1,W142&lt;=1,X142&lt;=1,Y142&lt;=1,AB142&lt;=1),"YES","NO"))</f>
        <v/>
      </c>
      <c r="AM142" s="60" t="str">
        <f>IF(AJ142="","",IF(AND(AL142="NO",AJ142&gt;=0.75),"YES","NO"))</f>
        <v/>
      </c>
      <c r="AN142" s="60" t="str">
        <f>IF(AJ142="","",IF(AJ142&lt;0.4,"Critical",IF(AJ142&lt;0.6,"Poor",IF(AJ142&lt;0.75,"Needs Improvement",IF(AJ142&lt;0.9,"Good","Excellent")))))</f>
        <v/>
      </c>
      <c r="AO142" s="59"/>
      <c r="AP142" s="59"/>
      <c r="AQ142" s="59"/>
      <c r="AR142" s="59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</row>
    <row r="143" spans="1:54" ht="19.5" customHeight="1" x14ac:dyDescent="0.25">
      <c r="A143" s="60" t="str">
        <f>IF($B143="","",TEXT($B143,"yyyymmdd")&amp;"-"&amp;SUBSTITUTE($F143," ","")&amp;"-"&amp;TEXT(COUNTIF($F$4:F143,$F143),"00"))</f>
        <v/>
      </c>
      <c r="B143" s="65"/>
      <c r="C143" s="60" t="str">
        <f>IF($B143="","",WEEKNUM($B143,2))</f>
        <v/>
      </c>
      <c r="D143" s="60" t="str">
        <f>IF($B143="","",TEXT($B143,"yyyy-mm"))</f>
        <v/>
      </c>
      <c r="E143" s="64"/>
      <c r="F143" s="64"/>
      <c r="G143" s="60" t="str">
        <f>IF(OR($E143="",$F143=""),"",IFERROR(IF($E143=INDEX([1]Cluster_Master!$A$4:$A$18,MATCH($F143,[1]Cluster_Master!$B$4:$B$18,0)),"OK","CHECK"),"CHECK"))</f>
        <v/>
      </c>
      <c r="H143" s="63" t="str">
        <f>IFERROR(INDEX([1]Cluster_Master!$C$4:$C$18,MATCH($F143,[1]Cluster_Master!$B$4:$B$18,0)),"")</f>
        <v/>
      </c>
      <c r="I143" s="60" t="str">
        <f>IFERROR(INDEX([1]Cluster_Master!$D$4:$D$18,MATCH($F143,[1]Cluster_Master!$B$4:$B$18,0)),"")</f>
        <v/>
      </c>
      <c r="J143" s="60" t="str">
        <f>IFERROR(INDEX([1]Cluster_Master!$E$4:$E$18,MATCH($F143,[1]Cluster_Master!$B$4:$B$18,0)),"")</f>
        <v/>
      </c>
      <c r="K143" s="60" t="str">
        <f>IFERROR(INDEX([1]Cluster_Master!$F$4:$F$18,MATCH($F143,[1]Cluster_Master!$B$4:$B$18,0)),"")</f>
        <v/>
      </c>
      <c r="L143" s="60" t="str">
        <f>IFERROR(INDEX([1]Cluster_Master!$G$4:$G$18,MATCH($F143,[1]Cluster_Master!$B$4:$B$18,0)),"")</f>
        <v/>
      </c>
      <c r="M143" s="60" t="str">
        <f>IFERROR(INDEX([1]Cluster_Master!$H$4:$H$18,MATCH($F143,[1]Cluster_Master!$B$4:$B$18,0)),"")</f>
        <v/>
      </c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60" t="str">
        <f>IF(COUNTA(T143:AH143)=0,"",SUM(T143:AH143))</f>
        <v/>
      </c>
      <c r="AJ143" s="61" t="str">
        <f>IF(COUNTA(T143:AH143)=0,"",AI143/75)</f>
        <v/>
      </c>
      <c r="AK143" s="61" t="str">
        <f>IF(COUNTA(T143:AH143)=0,"",(SUM(T143*[1]KPI_Weights!$B$4,U143*[1]KPI_Weights!$B$5,V143*[1]KPI_Weights!$B$6,W143*[1]KPI_Weights!$B$7,X143*[1]KPI_Weights!$B$8,Y143*[1]KPI_Weights!$B$9,Z143*[1]KPI_Weights!$B$10,AA143*[1]KPI_Weights!$B$11,AB143*[1]KPI_Weights!$B$12,AC143*[1]KPI_Weights!$B$13,AD143*[1]KPI_Weights!$B$14,AE143*[1]KPI_Weights!$B$15,AF143*[1]KPI_Weights!$B$16,AG143*[1]KPI_Weights!$B$17,AH143*[1]KPI_Weights!$B$18))/5)</f>
        <v/>
      </c>
      <c r="AL143" s="60" t="str">
        <f>IF(COUNTA(T143:AH143)=0,"",IF(OR(T143&lt;=1,W143&lt;=1,X143&lt;=1,Y143&lt;=1,AB143&lt;=1),"YES","NO"))</f>
        <v/>
      </c>
      <c r="AM143" s="60" t="str">
        <f>IF(AJ143="","",IF(AND(AL143="NO",AJ143&gt;=0.75),"YES","NO"))</f>
        <v/>
      </c>
      <c r="AN143" s="60" t="str">
        <f>IF(AJ143="","",IF(AJ143&lt;0.4,"Critical",IF(AJ143&lt;0.6,"Poor",IF(AJ143&lt;0.75,"Needs Improvement",IF(AJ143&lt;0.9,"Good","Excellent")))))</f>
        <v/>
      </c>
      <c r="AO143" s="59"/>
      <c r="AP143" s="59"/>
      <c r="AQ143" s="59"/>
      <c r="AR143" s="59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</row>
    <row r="144" spans="1:54" ht="19.5" customHeight="1" x14ac:dyDescent="0.25">
      <c r="A144" s="60" t="str">
        <f>IF($B144="","",TEXT($B144,"yyyymmdd")&amp;"-"&amp;SUBSTITUTE($F144," ","")&amp;"-"&amp;TEXT(COUNTIF($F$4:F144,$F144),"00"))</f>
        <v/>
      </c>
      <c r="B144" s="65"/>
      <c r="C144" s="60" t="str">
        <f>IF($B144="","",WEEKNUM($B144,2))</f>
        <v/>
      </c>
      <c r="D144" s="60" t="str">
        <f>IF($B144="","",TEXT($B144,"yyyy-mm"))</f>
        <v/>
      </c>
      <c r="E144" s="64"/>
      <c r="F144" s="64"/>
      <c r="G144" s="60" t="str">
        <f>IF(OR($E144="",$F144=""),"",IFERROR(IF($E144=INDEX([1]Cluster_Master!$A$4:$A$18,MATCH($F144,[1]Cluster_Master!$B$4:$B$18,0)),"OK","CHECK"),"CHECK"))</f>
        <v/>
      </c>
      <c r="H144" s="63" t="str">
        <f>IFERROR(INDEX([1]Cluster_Master!$C$4:$C$18,MATCH($F144,[1]Cluster_Master!$B$4:$B$18,0)),"")</f>
        <v/>
      </c>
      <c r="I144" s="60" t="str">
        <f>IFERROR(INDEX([1]Cluster_Master!$D$4:$D$18,MATCH($F144,[1]Cluster_Master!$B$4:$B$18,0)),"")</f>
        <v/>
      </c>
      <c r="J144" s="60" t="str">
        <f>IFERROR(INDEX([1]Cluster_Master!$E$4:$E$18,MATCH($F144,[1]Cluster_Master!$B$4:$B$18,0)),"")</f>
        <v/>
      </c>
      <c r="K144" s="60" t="str">
        <f>IFERROR(INDEX([1]Cluster_Master!$F$4:$F$18,MATCH($F144,[1]Cluster_Master!$B$4:$B$18,0)),"")</f>
        <v/>
      </c>
      <c r="L144" s="60" t="str">
        <f>IFERROR(INDEX([1]Cluster_Master!$G$4:$G$18,MATCH($F144,[1]Cluster_Master!$B$4:$B$18,0)),"")</f>
        <v/>
      </c>
      <c r="M144" s="60" t="str">
        <f>IFERROR(INDEX([1]Cluster_Master!$H$4:$H$18,MATCH($F144,[1]Cluster_Master!$B$4:$B$18,0)),"")</f>
        <v/>
      </c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60" t="str">
        <f>IF(COUNTA(T144:AH144)=0,"",SUM(T144:AH144))</f>
        <v/>
      </c>
      <c r="AJ144" s="61" t="str">
        <f>IF(COUNTA(T144:AH144)=0,"",AI144/75)</f>
        <v/>
      </c>
      <c r="AK144" s="61" t="str">
        <f>IF(COUNTA(T144:AH144)=0,"",(SUM(T144*[1]KPI_Weights!$B$4,U144*[1]KPI_Weights!$B$5,V144*[1]KPI_Weights!$B$6,W144*[1]KPI_Weights!$B$7,X144*[1]KPI_Weights!$B$8,Y144*[1]KPI_Weights!$B$9,Z144*[1]KPI_Weights!$B$10,AA144*[1]KPI_Weights!$B$11,AB144*[1]KPI_Weights!$B$12,AC144*[1]KPI_Weights!$B$13,AD144*[1]KPI_Weights!$B$14,AE144*[1]KPI_Weights!$B$15,AF144*[1]KPI_Weights!$B$16,AG144*[1]KPI_Weights!$B$17,AH144*[1]KPI_Weights!$B$18))/5)</f>
        <v/>
      </c>
      <c r="AL144" s="60" t="str">
        <f>IF(COUNTA(T144:AH144)=0,"",IF(OR(T144&lt;=1,W144&lt;=1,X144&lt;=1,Y144&lt;=1,AB144&lt;=1),"YES","NO"))</f>
        <v/>
      </c>
      <c r="AM144" s="60" t="str">
        <f>IF(AJ144="","",IF(AND(AL144="NO",AJ144&gt;=0.75),"YES","NO"))</f>
        <v/>
      </c>
      <c r="AN144" s="60" t="str">
        <f>IF(AJ144="","",IF(AJ144&lt;0.4,"Critical",IF(AJ144&lt;0.6,"Poor",IF(AJ144&lt;0.75,"Needs Improvement",IF(AJ144&lt;0.9,"Good","Excellent")))))</f>
        <v/>
      </c>
      <c r="AO144" s="59"/>
      <c r="AP144" s="59"/>
      <c r="AQ144" s="59"/>
      <c r="AR144" s="59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</row>
    <row r="145" spans="1:54" ht="19.5" customHeight="1" x14ac:dyDescent="0.25">
      <c r="A145" s="60" t="str">
        <f>IF($B145="","",TEXT($B145,"yyyymmdd")&amp;"-"&amp;SUBSTITUTE($F145," ","")&amp;"-"&amp;TEXT(COUNTIF($F$4:F145,$F145),"00"))</f>
        <v/>
      </c>
      <c r="B145" s="65"/>
      <c r="C145" s="60" t="str">
        <f>IF($B145="","",WEEKNUM($B145,2))</f>
        <v/>
      </c>
      <c r="D145" s="60" t="str">
        <f>IF($B145="","",TEXT($B145,"yyyy-mm"))</f>
        <v/>
      </c>
      <c r="E145" s="64"/>
      <c r="F145" s="64"/>
      <c r="G145" s="60" t="str">
        <f>IF(OR($E145="",$F145=""),"",IFERROR(IF($E145=INDEX([1]Cluster_Master!$A$4:$A$18,MATCH($F145,[1]Cluster_Master!$B$4:$B$18,0)),"OK","CHECK"),"CHECK"))</f>
        <v/>
      </c>
      <c r="H145" s="63" t="str">
        <f>IFERROR(INDEX([1]Cluster_Master!$C$4:$C$18,MATCH($F145,[1]Cluster_Master!$B$4:$B$18,0)),"")</f>
        <v/>
      </c>
      <c r="I145" s="60" t="str">
        <f>IFERROR(INDEX([1]Cluster_Master!$D$4:$D$18,MATCH($F145,[1]Cluster_Master!$B$4:$B$18,0)),"")</f>
        <v/>
      </c>
      <c r="J145" s="60" t="str">
        <f>IFERROR(INDEX([1]Cluster_Master!$E$4:$E$18,MATCH($F145,[1]Cluster_Master!$B$4:$B$18,0)),"")</f>
        <v/>
      </c>
      <c r="K145" s="60" t="str">
        <f>IFERROR(INDEX([1]Cluster_Master!$F$4:$F$18,MATCH($F145,[1]Cluster_Master!$B$4:$B$18,0)),"")</f>
        <v/>
      </c>
      <c r="L145" s="60" t="str">
        <f>IFERROR(INDEX([1]Cluster_Master!$G$4:$G$18,MATCH($F145,[1]Cluster_Master!$B$4:$B$18,0)),"")</f>
        <v/>
      </c>
      <c r="M145" s="60" t="str">
        <f>IFERROR(INDEX([1]Cluster_Master!$H$4:$H$18,MATCH($F145,[1]Cluster_Master!$B$4:$B$18,0)),"")</f>
        <v/>
      </c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60" t="str">
        <f>IF(COUNTA(T145:AH145)=0,"",SUM(T145:AH145))</f>
        <v/>
      </c>
      <c r="AJ145" s="61" t="str">
        <f>IF(COUNTA(T145:AH145)=0,"",AI145/75)</f>
        <v/>
      </c>
      <c r="AK145" s="61" t="str">
        <f>IF(COUNTA(T145:AH145)=0,"",(SUM(T145*[1]KPI_Weights!$B$4,U145*[1]KPI_Weights!$B$5,V145*[1]KPI_Weights!$B$6,W145*[1]KPI_Weights!$B$7,X145*[1]KPI_Weights!$B$8,Y145*[1]KPI_Weights!$B$9,Z145*[1]KPI_Weights!$B$10,AA145*[1]KPI_Weights!$B$11,AB145*[1]KPI_Weights!$B$12,AC145*[1]KPI_Weights!$B$13,AD145*[1]KPI_Weights!$B$14,AE145*[1]KPI_Weights!$B$15,AF145*[1]KPI_Weights!$B$16,AG145*[1]KPI_Weights!$B$17,AH145*[1]KPI_Weights!$B$18))/5)</f>
        <v/>
      </c>
      <c r="AL145" s="60" t="str">
        <f>IF(COUNTA(T145:AH145)=0,"",IF(OR(T145&lt;=1,W145&lt;=1,X145&lt;=1,Y145&lt;=1,AB145&lt;=1),"YES","NO"))</f>
        <v/>
      </c>
      <c r="AM145" s="60" t="str">
        <f>IF(AJ145="","",IF(AND(AL145="NO",AJ145&gt;=0.75),"YES","NO"))</f>
        <v/>
      </c>
      <c r="AN145" s="60" t="str">
        <f>IF(AJ145="","",IF(AJ145&lt;0.4,"Critical",IF(AJ145&lt;0.6,"Poor",IF(AJ145&lt;0.75,"Needs Improvement",IF(AJ145&lt;0.9,"Good","Excellent")))))</f>
        <v/>
      </c>
      <c r="AO145" s="59"/>
      <c r="AP145" s="59"/>
      <c r="AQ145" s="59"/>
      <c r="AR145" s="59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</row>
    <row r="146" spans="1:54" ht="19.5" customHeight="1" x14ac:dyDescent="0.25">
      <c r="A146" s="60" t="str">
        <f>IF($B146="","",TEXT($B146,"yyyymmdd")&amp;"-"&amp;SUBSTITUTE($F146," ","")&amp;"-"&amp;TEXT(COUNTIF($F$4:F146,$F146),"00"))</f>
        <v/>
      </c>
      <c r="B146" s="65"/>
      <c r="C146" s="60" t="str">
        <f>IF($B146="","",WEEKNUM($B146,2))</f>
        <v/>
      </c>
      <c r="D146" s="60" t="str">
        <f>IF($B146="","",TEXT($B146,"yyyy-mm"))</f>
        <v/>
      </c>
      <c r="E146" s="64"/>
      <c r="F146" s="64"/>
      <c r="G146" s="60" t="str">
        <f>IF(OR($E146="",$F146=""),"",IFERROR(IF($E146=INDEX([1]Cluster_Master!$A$4:$A$18,MATCH($F146,[1]Cluster_Master!$B$4:$B$18,0)),"OK","CHECK"),"CHECK"))</f>
        <v/>
      </c>
      <c r="H146" s="63" t="str">
        <f>IFERROR(INDEX([1]Cluster_Master!$C$4:$C$18,MATCH($F146,[1]Cluster_Master!$B$4:$B$18,0)),"")</f>
        <v/>
      </c>
      <c r="I146" s="60" t="str">
        <f>IFERROR(INDEX([1]Cluster_Master!$D$4:$D$18,MATCH($F146,[1]Cluster_Master!$B$4:$B$18,0)),"")</f>
        <v/>
      </c>
      <c r="J146" s="60" t="str">
        <f>IFERROR(INDEX([1]Cluster_Master!$E$4:$E$18,MATCH($F146,[1]Cluster_Master!$B$4:$B$18,0)),"")</f>
        <v/>
      </c>
      <c r="K146" s="60" t="str">
        <f>IFERROR(INDEX([1]Cluster_Master!$F$4:$F$18,MATCH($F146,[1]Cluster_Master!$B$4:$B$18,0)),"")</f>
        <v/>
      </c>
      <c r="L146" s="60" t="str">
        <f>IFERROR(INDEX([1]Cluster_Master!$G$4:$G$18,MATCH($F146,[1]Cluster_Master!$B$4:$B$18,0)),"")</f>
        <v/>
      </c>
      <c r="M146" s="60" t="str">
        <f>IFERROR(INDEX([1]Cluster_Master!$H$4:$H$18,MATCH($F146,[1]Cluster_Master!$B$4:$B$18,0)),"")</f>
        <v/>
      </c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60" t="str">
        <f>IF(COUNTA(T146:AH146)=0,"",SUM(T146:AH146))</f>
        <v/>
      </c>
      <c r="AJ146" s="61" t="str">
        <f>IF(COUNTA(T146:AH146)=0,"",AI146/75)</f>
        <v/>
      </c>
      <c r="AK146" s="61" t="str">
        <f>IF(COUNTA(T146:AH146)=0,"",(SUM(T146*[1]KPI_Weights!$B$4,U146*[1]KPI_Weights!$B$5,V146*[1]KPI_Weights!$B$6,W146*[1]KPI_Weights!$B$7,X146*[1]KPI_Weights!$B$8,Y146*[1]KPI_Weights!$B$9,Z146*[1]KPI_Weights!$B$10,AA146*[1]KPI_Weights!$B$11,AB146*[1]KPI_Weights!$B$12,AC146*[1]KPI_Weights!$B$13,AD146*[1]KPI_Weights!$B$14,AE146*[1]KPI_Weights!$B$15,AF146*[1]KPI_Weights!$B$16,AG146*[1]KPI_Weights!$B$17,AH146*[1]KPI_Weights!$B$18))/5)</f>
        <v/>
      </c>
      <c r="AL146" s="60" t="str">
        <f>IF(COUNTA(T146:AH146)=0,"",IF(OR(T146&lt;=1,W146&lt;=1,X146&lt;=1,Y146&lt;=1,AB146&lt;=1),"YES","NO"))</f>
        <v/>
      </c>
      <c r="AM146" s="60" t="str">
        <f>IF(AJ146="","",IF(AND(AL146="NO",AJ146&gt;=0.75),"YES","NO"))</f>
        <v/>
      </c>
      <c r="AN146" s="60" t="str">
        <f>IF(AJ146="","",IF(AJ146&lt;0.4,"Critical",IF(AJ146&lt;0.6,"Poor",IF(AJ146&lt;0.75,"Needs Improvement",IF(AJ146&lt;0.9,"Good","Excellent")))))</f>
        <v/>
      </c>
      <c r="AO146" s="59"/>
      <c r="AP146" s="59"/>
      <c r="AQ146" s="59"/>
      <c r="AR146" s="59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</row>
    <row r="147" spans="1:54" ht="19.5" customHeight="1" x14ac:dyDescent="0.25">
      <c r="A147" s="60" t="str">
        <f>IF($B147="","",TEXT($B147,"yyyymmdd")&amp;"-"&amp;SUBSTITUTE($F147," ","")&amp;"-"&amp;TEXT(COUNTIF($F$4:F147,$F147),"00"))</f>
        <v/>
      </c>
      <c r="B147" s="65"/>
      <c r="C147" s="60" t="str">
        <f>IF($B147="","",WEEKNUM($B147,2))</f>
        <v/>
      </c>
      <c r="D147" s="60" t="str">
        <f>IF($B147="","",TEXT($B147,"yyyy-mm"))</f>
        <v/>
      </c>
      <c r="E147" s="64"/>
      <c r="F147" s="64"/>
      <c r="G147" s="60" t="str">
        <f>IF(OR($E147="",$F147=""),"",IFERROR(IF($E147=INDEX([1]Cluster_Master!$A$4:$A$18,MATCH($F147,[1]Cluster_Master!$B$4:$B$18,0)),"OK","CHECK"),"CHECK"))</f>
        <v/>
      </c>
      <c r="H147" s="63" t="str">
        <f>IFERROR(INDEX([1]Cluster_Master!$C$4:$C$18,MATCH($F147,[1]Cluster_Master!$B$4:$B$18,0)),"")</f>
        <v/>
      </c>
      <c r="I147" s="60" t="str">
        <f>IFERROR(INDEX([1]Cluster_Master!$D$4:$D$18,MATCH($F147,[1]Cluster_Master!$B$4:$B$18,0)),"")</f>
        <v/>
      </c>
      <c r="J147" s="60" t="str">
        <f>IFERROR(INDEX([1]Cluster_Master!$E$4:$E$18,MATCH($F147,[1]Cluster_Master!$B$4:$B$18,0)),"")</f>
        <v/>
      </c>
      <c r="K147" s="60" t="str">
        <f>IFERROR(INDEX([1]Cluster_Master!$F$4:$F$18,MATCH($F147,[1]Cluster_Master!$B$4:$B$18,0)),"")</f>
        <v/>
      </c>
      <c r="L147" s="60" t="str">
        <f>IFERROR(INDEX([1]Cluster_Master!$G$4:$G$18,MATCH($F147,[1]Cluster_Master!$B$4:$B$18,0)),"")</f>
        <v/>
      </c>
      <c r="M147" s="60" t="str">
        <f>IFERROR(INDEX([1]Cluster_Master!$H$4:$H$18,MATCH($F147,[1]Cluster_Master!$B$4:$B$18,0)),"")</f>
        <v/>
      </c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60" t="str">
        <f>IF(COUNTA(T147:AH147)=0,"",SUM(T147:AH147))</f>
        <v/>
      </c>
      <c r="AJ147" s="61" t="str">
        <f>IF(COUNTA(T147:AH147)=0,"",AI147/75)</f>
        <v/>
      </c>
      <c r="AK147" s="61" t="str">
        <f>IF(COUNTA(T147:AH147)=0,"",(SUM(T147*[1]KPI_Weights!$B$4,U147*[1]KPI_Weights!$B$5,V147*[1]KPI_Weights!$B$6,W147*[1]KPI_Weights!$B$7,X147*[1]KPI_Weights!$B$8,Y147*[1]KPI_Weights!$B$9,Z147*[1]KPI_Weights!$B$10,AA147*[1]KPI_Weights!$B$11,AB147*[1]KPI_Weights!$B$12,AC147*[1]KPI_Weights!$B$13,AD147*[1]KPI_Weights!$B$14,AE147*[1]KPI_Weights!$B$15,AF147*[1]KPI_Weights!$B$16,AG147*[1]KPI_Weights!$B$17,AH147*[1]KPI_Weights!$B$18))/5)</f>
        <v/>
      </c>
      <c r="AL147" s="60" t="str">
        <f>IF(COUNTA(T147:AH147)=0,"",IF(OR(T147&lt;=1,W147&lt;=1,X147&lt;=1,Y147&lt;=1,AB147&lt;=1),"YES","NO"))</f>
        <v/>
      </c>
      <c r="AM147" s="60" t="str">
        <f>IF(AJ147="","",IF(AND(AL147="NO",AJ147&gt;=0.75),"YES","NO"))</f>
        <v/>
      </c>
      <c r="AN147" s="60" t="str">
        <f>IF(AJ147="","",IF(AJ147&lt;0.4,"Critical",IF(AJ147&lt;0.6,"Poor",IF(AJ147&lt;0.75,"Needs Improvement",IF(AJ147&lt;0.9,"Good","Excellent")))))</f>
        <v/>
      </c>
      <c r="AO147" s="59"/>
      <c r="AP147" s="59"/>
      <c r="AQ147" s="59"/>
      <c r="AR147" s="59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</row>
    <row r="148" spans="1:54" ht="19.5" customHeight="1" x14ac:dyDescent="0.25">
      <c r="A148" s="60" t="str">
        <f>IF($B148="","",TEXT($B148,"yyyymmdd")&amp;"-"&amp;SUBSTITUTE($F148," ","")&amp;"-"&amp;TEXT(COUNTIF($F$4:F148,$F148),"00"))</f>
        <v/>
      </c>
      <c r="B148" s="65"/>
      <c r="C148" s="60" t="str">
        <f>IF($B148="","",WEEKNUM($B148,2))</f>
        <v/>
      </c>
      <c r="D148" s="60" t="str">
        <f>IF($B148="","",TEXT($B148,"yyyy-mm"))</f>
        <v/>
      </c>
      <c r="E148" s="64"/>
      <c r="F148" s="64"/>
      <c r="G148" s="60" t="str">
        <f>IF(OR($E148="",$F148=""),"",IFERROR(IF($E148=INDEX([1]Cluster_Master!$A$4:$A$18,MATCH($F148,[1]Cluster_Master!$B$4:$B$18,0)),"OK","CHECK"),"CHECK"))</f>
        <v/>
      </c>
      <c r="H148" s="63" t="str">
        <f>IFERROR(INDEX([1]Cluster_Master!$C$4:$C$18,MATCH($F148,[1]Cluster_Master!$B$4:$B$18,0)),"")</f>
        <v/>
      </c>
      <c r="I148" s="60" t="str">
        <f>IFERROR(INDEX([1]Cluster_Master!$D$4:$D$18,MATCH($F148,[1]Cluster_Master!$B$4:$B$18,0)),"")</f>
        <v/>
      </c>
      <c r="J148" s="60" t="str">
        <f>IFERROR(INDEX([1]Cluster_Master!$E$4:$E$18,MATCH($F148,[1]Cluster_Master!$B$4:$B$18,0)),"")</f>
        <v/>
      </c>
      <c r="K148" s="60" t="str">
        <f>IFERROR(INDEX([1]Cluster_Master!$F$4:$F$18,MATCH($F148,[1]Cluster_Master!$B$4:$B$18,0)),"")</f>
        <v/>
      </c>
      <c r="L148" s="60" t="str">
        <f>IFERROR(INDEX([1]Cluster_Master!$G$4:$G$18,MATCH($F148,[1]Cluster_Master!$B$4:$B$18,0)),"")</f>
        <v/>
      </c>
      <c r="M148" s="60" t="str">
        <f>IFERROR(INDEX([1]Cluster_Master!$H$4:$H$18,MATCH($F148,[1]Cluster_Master!$B$4:$B$18,0)),"")</f>
        <v/>
      </c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60" t="str">
        <f>IF(COUNTA(T148:AH148)=0,"",SUM(T148:AH148))</f>
        <v/>
      </c>
      <c r="AJ148" s="61" t="str">
        <f>IF(COUNTA(T148:AH148)=0,"",AI148/75)</f>
        <v/>
      </c>
      <c r="AK148" s="61" t="str">
        <f>IF(COUNTA(T148:AH148)=0,"",(SUM(T148*[1]KPI_Weights!$B$4,U148*[1]KPI_Weights!$B$5,V148*[1]KPI_Weights!$B$6,W148*[1]KPI_Weights!$B$7,X148*[1]KPI_Weights!$B$8,Y148*[1]KPI_Weights!$B$9,Z148*[1]KPI_Weights!$B$10,AA148*[1]KPI_Weights!$B$11,AB148*[1]KPI_Weights!$B$12,AC148*[1]KPI_Weights!$B$13,AD148*[1]KPI_Weights!$B$14,AE148*[1]KPI_Weights!$B$15,AF148*[1]KPI_Weights!$B$16,AG148*[1]KPI_Weights!$B$17,AH148*[1]KPI_Weights!$B$18))/5)</f>
        <v/>
      </c>
      <c r="AL148" s="60" t="str">
        <f>IF(COUNTA(T148:AH148)=0,"",IF(OR(T148&lt;=1,W148&lt;=1,X148&lt;=1,Y148&lt;=1,AB148&lt;=1),"YES","NO"))</f>
        <v/>
      </c>
      <c r="AM148" s="60" t="str">
        <f>IF(AJ148="","",IF(AND(AL148="NO",AJ148&gt;=0.75),"YES","NO"))</f>
        <v/>
      </c>
      <c r="AN148" s="60" t="str">
        <f>IF(AJ148="","",IF(AJ148&lt;0.4,"Critical",IF(AJ148&lt;0.6,"Poor",IF(AJ148&lt;0.75,"Needs Improvement",IF(AJ148&lt;0.9,"Good","Excellent")))))</f>
        <v/>
      </c>
      <c r="AO148" s="59"/>
      <c r="AP148" s="59"/>
      <c r="AQ148" s="59"/>
      <c r="AR148" s="59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</row>
    <row r="149" spans="1:54" ht="19.5" customHeight="1" x14ac:dyDescent="0.25">
      <c r="A149" s="60" t="str">
        <f>IF($B149="","",TEXT($B149,"yyyymmdd")&amp;"-"&amp;SUBSTITUTE($F149," ","")&amp;"-"&amp;TEXT(COUNTIF($F$4:F149,$F149),"00"))</f>
        <v/>
      </c>
      <c r="B149" s="65"/>
      <c r="C149" s="60" t="str">
        <f>IF($B149="","",WEEKNUM($B149,2))</f>
        <v/>
      </c>
      <c r="D149" s="60" t="str">
        <f>IF($B149="","",TEXT($B149,"yyyy-mm"))</f>
        <v/>
      </c>
      <c r="E149" s="64"/>
      <c r="F149" s="64"/>
      <c r="G149" s="60" t="str">
        <f>IF(OR($E149="",$F149=""),"",IFERROR(IF($E149=INDEX([1]Cluster_Master!$A$4:$A$18,MATCH($F149,[1]Cluster_Master!$B$4:$B$18,0)),"OK","CHECK"),"CHECK"))</f>
        <v/>
      </c>
      <c r="H149" s="63" t="str">
        <f>IFERROR(INDEX([1]Cluster_Master!$C$4:$C$18,MATCH($F149,[1]Cluster_Master!$B$4:$B$18,0)),"")</f>
        <v/>
      </c>
      <c r="I149" s="60" t="str">
        <f>IFERROR(INDEX([1]Cluster_Master!$D$4:$D$18,MATCH($F149,[1]Cluster_Master!$B$4:$B$18,0)),"")</f>
        <v/>
      </c>
      <c r="J149" s="60" t="str">
        <f>IFERROR(INDEX([1]Cluster_Master!$E$4:$E$18,MATCH($F149,[1]Cluster_Master!$B$4:$B$18,0)),"")</f>
        <v/>
      </c>
      <c r="K149" s="60" t="str">
        <f>IFERROR(INDEX([1]Cluster_Master!$F$4:$F$18,MATCH($F149,[1]Cluster_Master!$B$4:$B$18,0)),"")</f>
        <v/>
      </c>
      <c r="L149" s="60" t="str">
        <f>IFERROR(INDEX([1]Cluster_Master!$G$4:$G$18,MATCH($F149,[1]Cluster_Master!$B$4:$B$18,0)),"")</f>
        <v/>
      </c>
      <c r="M149" s="60" t="str">
        <f>IFERROR(INDEX([1]Cluster_Master!$H$4:$H$18,MATCH($F149,[1]Cluster_Master!$B$4:$B$18,0)),"")</f>
        <v/>
      </c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60" t="str">
        <f>IF(COUNTA(T149:AH149)=0,"",SUM(T149:AH149))</f>
        <v/>
      </c>
      <c r="AJ149" s="61" t="str">
        <f>IF(COUNTA(T149:AH149)=0,"",AI149/75)</f>
        <v/>
      </c>
      <c r="AK149" s="61" t="str">
        <f>IF(COUNTA(T149:AH149)=0,"",(SUM(T149*[1]KPI_Weights!$B$4,U149*[1]KPI_Weights!$B$5,V149*[1]KPI_Weights!$B$6,W149*[1]KPI_Weights!$B$7,X149*[1]KPI_Weights!$B$8,Y149*[1]KPI_Weights!$B$9,Z149*[1]KPI_Weights!$B$10,AA149*[1]KPI_Weights!$B$11,AB149*[1]KPI_Weights!$B$12,AC149*[1]KPI_Weights!$B$13,AD149*[1]KPI_Weights!$B$14,AE149*[1]KPI_Weights!$B$15,AF149*[1]KPI_Weights!$B$16,AG149*[1]KPI_Weights!$B$17,AH149*[1]KPI_Weights!$B$18))/5)</f>
        <v/>
      </c>
      <c r="AL149" s="60" t="str">
        <f>IF(COUNTA(T149:AH149)=0,"",IF(OR(T149&lt;=1,W149&lt;=1,X149&lt;=1,Y149&lt;=1,AB149&lt;=1),"YES","NO"))</f>
        <v/>
      </c>
      <c r="AM149" s="60" t="str">
        <f>IF(AJ149="","",IF(AND(AL149="NO",AJ149&gt;=0.75),"YES","NO"))</f>
        <v/>
      </c>
      <c r="AN149" s="60" t="str">
        <f>IF(AJ149="","",IF(AJ149&lt;0.4,"Critical",IF(AJ149&lt;0.6,"Poor",IF(AJ149&lt;0.75,"Needs Improvement",IF(AJ149&lt;0.9,"Good","Excellent")))))</f>
        <v/>
      </c>
      <c r="AO149" s="59"/>
      <c r="AP149" s="59"/>
      <c r="AQ149" s="59"/>
      <c r="AR149" s="59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</row>
    <row r="150" spans="1:54" ht="19.5" customHeight="1" x14ac:dyDescent="0.25">
      <c r="A150" s="60" t="str">
        <f>IF($B150="","",TEXT($B150,"yyyymmdd")&amp;"-"&amp;SUBSTITUTE($F150," ","")&amp;"-"&amp;TEXT(COUNTIF($F$4:F150,$F150),"00"))</f>
        <v/>
      </c>
      <c r="B150" s="65"/>
      <c r="C150" s="60" t="str">
        <f>IF($B150="","",WEEKNUM($B150,2))</f>
        <v/>
      </c>
      <c r="D150" s="60" t="str">
        <f>IF($B150="","",TEXT($B150,"yyyy-mm"))</f>
        <v/>
      </c>
      <c r="E150" s="64"/>
      <c r="F150" s="64"/>
      <c r="G150" s="60" t="str">
        <f>IF(OR($E150="",$F150=""),"",IFERROR(IF($E150=INDEX([1]Cluster_Master!$A$4:$A$18,MATCH($F150,[1]Cluster_Master!$B$4:$B$18,0)),"OK","CHECK"),"CHECK"))</f>
        <v/>
      </c>
      <c r="H150" s="63" t="str">
        <f>IFERROR(INDEX([1]Cluster_Master!$C$4:$C$18,MATCH($F150,[1]Cluster_Master!$B$4:$B$18,0)),"")</f>
        <v/>
      </c>
      <c r="I150" s="60" t="str">
        <f>IFERROR(INDEX([1]Cluster_Master!$D$4:$D$18,MATCH($F150,[1]Cluster_Master!$B$4:$B$18,0)),"")</f>
        <v/>
      </c>
      <c r="J150" s="60" t="str">
        <f>IFERROR(INDEX([1]Cluster_Master!$E$4:$E$18,MATCH($F150,[1]Cluster_Master!$B$4:$B$18,0)),"")</f>
        <v/>
      </c>
      <c r="K150" s="60" t="str">
        <f>IFERROR(INDEX([1]Cluster_Master!$F$4:$F$18,MATCH($F150,[1]Cluster_Master!$B$4:$B$18,0)),"")</f>
        <v/>
      </c>
      <c r="L150" s="60" t="str">
        <f>IFERROR(INDEX([1]Cluster_Master!$G$4:$G$18,MATCH($F150,[1]Cluster_Master!$B$4:$B$18,0)),"")</f>
        <v/>
      </c>
      <c r="M150" s="60" t="str">
        <f>IFERROR(INDEX([1]Cluster_Master!$H$4:$H$18,MATCH($F150,[1]Cluster_Master!$B$4:$B$18,0)),"")</f>
        <v/>
      </c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60" t="str">
        <f>IF(COUNTA(T150:AH150)=0,"",SUM(T150:AH150))</f>
        <v/>
      </c>
      <c r="AJ150" s="61" t="str">
        <f>IF(COUNTA(T150:AH150)=0,"",AI150/75)</f>
        <v/>
      </c>
      <c r="AK150" s="61" t="str">
        <f>IF(COUNTA(T150:AH150)=0,"",(SUM(T150*[1]KPI_Weights!$B$4,U150*[1]KPI_Weights!$B$5,V150*[1]KPI_Weights!$B$6,W150*[1]KPI_Weights!$B$7,X150*[1]KPI_Weights!$B$8,Y150*[1]KPI_Weights!$B$9,Z150*[1]KPI_Weights!$B$10,AA150*[1]KPI_Weights!$B$11,AB150*[1]KPI_Weights!$B$12,AC150*[1]KPI_Weights!$B$13,AD150*[1]KPI_Weights!$B$14,AE150*[1]KPI_Weights!$B$15,AF150*[1]KPI_Weights!$B$16,AG150*[1]KPI_Weights!$B$17,AH150*[1]KPI_Weights!$B$18))/5)</f>
        <v/>
      </c>
      <c r="AL150" s="60" t="str">
        <f>IF(COUNTA(T150:AH150)=0,"",IF(OR(T150&lt;=1,W150&lt;=1,X150&lt;=1,Y150&lt;=1,AB150&lt;=1),"YES","NO"))</f>
        <v/>
      </c>
      <c r="AM150" s="60" t="str">
        <f>IF(AJ150="","",IF(AND(AL150="NO",AJ150&gt;=0.75),"YES","NO"))</f>
        <v/>
      </c>
      <c r="AN150" s="60" t="str">
        <f>IF(AJ150="","",IF(AJ150&lt;0.4,"Critical",IF(AJ150&lt;0.6,"Poor",IF(AJ150&lt;0.75,"Needs Improvement",IF(AJ150&lt;0.9,"Good","Excellent")))))</f>
        <v/>
      </c>
      <c r="AO150" s="59"/>
      <c r="AP150" s="59"/>
      <c r="AQ150" s="59"/>
      <c r="AR150" s="59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</row>
    <row r="151" spans="1:54" ht="19.5" customHeight="1" x14ac:dyDescent="0.25">
      <c r="A151" s="60" t="str">
        <f>IF($B151="","",TEXT($B151,"yyyymmdd")&amp;"-"&amp;SUBSTITUTE($F151," ","")&amp;"-"&amp;TEXT(COUNTIF($F$4:F151,$F151),"00"))</f>
        <v/>
      </c>
      <c r="B151" s="65"/>
      <c r="C151" s="60" t="str">
        <f>IF($B151="","",WEEKNUM($B151,2))</f>
        <v/>
      </c>
      <c r="D151" s="60" t="str">
        <f>IF($B151="","",TEXT($B151,"yyyy-mm"))</f>
        <v/>
      </c>
      <c r="E151" s="64"/>
      <c r="F151" s="64"/>
      <c r="G151" s="60" t="str">
        <f>IF(OR($E151="",$F151=""),"",IFERROR(IF($E151=INDEX([1]Cluster_Master!$A$4:$A$18,MATCH($F151,[1]Cluster_Master!$B$4:$B$18,0)),"OK","CHECK"),"CHECK"))</f>
        <v/>
      </c>
      <c r="H151" s="63" t="str">
        <f>IFERROR(INDEX([1]Cluster_Master!$C$4:$C$18,MATCH($F151,[1]Cluster_Master!$B$4:$B$18,0)),"")</f>
        <v/>
      </c>
      <c r="I151" s="60" t="str">
        <f>IFERROR(INDEX([1]Cluster_Master!$D$4:$D$18,MATCH($F151,[1]Cluster_Master!$B$4:$B$18,0)),"")</f>
        <v/>
      </c>
      <c r="J151" s="60" t="str">
        <f>IFERROR(INDEX([1]Cluster_Master!$E$4:$E$18,MATCH($F151,[1]Cluster_Master!$B$4:$B$18,0)),"")</f>
        <v/>
      </c>
      <c r="K151" s="60" t="str">
        <f>IFERROR(INDEX([1]Cluster_Master!$F$4:$F$18,MATCH($F151,[1]Cluster_Master!$B$4:$B$18,0)),"")</f>
        <v/>
      </c>
      <c r="L151" s="60" t="str">
        <f>IFERROR(INDEX([1]Cluster_Master!$G$4:$G$18,MATCH($F151,[1]Cluster_Master!$B$4:$B$18,0)),"")</f>
        <v/>
      </c>
      <c r="M151" s="60" t="str">
        <f>IFERROR(INDEX([1]Cluster_Master!$H$4:$H$18,MATCH($F151,[1]Cluster_Master!$B$4:$B$18,0)),"")</f>
        <v/>
      </c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60" t="str">
        <f>IF(COUNTA(T151:AH151)=0,"",SUM(T151:AH151))</f>
        <v/>
      </c>
      <c r="AJ151" s="61" t="str">
        <f>IF(COUNTA(T151:AH151)=0,"",AI151/75)</f>
        <v/>
      </c>
      <c r="AK151" s="61" t="str">
        <f>IF(COUNTA(T151:AH151)=0,"",(SUM(T151*[1]KPI_Weights!$B$4,U151*[1]KPI_Weights!$B$5,V151*[1]KPI_Weights!$B$6,W151*[1]KPI_Weights!$B$7,X151*[1]KPI_Weights!$B$8,Y151*[1]KPI_Weights!$B$9,Z151*[1]KPI_Weights!$B$10,AA151*[1]KPI_Weights!$B$11,AB151*[1]KPI_Weights!$B$12,AC151*[1]KPI_Weights!$B$13,AD151*[1]KPI_Weights!$B$14,AE151*[1]KPI_Weights!$B$15,AF151*[1]KPI_Weights!$B$16,AG151*[1]KPI_Weights!$B$17,AH151*[1]KPI_Weights!$B$18))/5)</f>
        <v/>
      </c>
      <c r="AL151" s="60" t="str">
        <f>IF(COUNTA(T151:AH151)=0,"",IF(OR(T151&lt;=1,W151&lt;=1,X151&lt;=1,Y151&lt;=1,AB151&lt;=1),"YES","NO"))</f>
        <v/>
      </c>
      <c r="AM151" s="60" t="str">
        <f>IF(AJ151="","",IF(AND(AL151="NO",AJ151&gt;=0.75),"YES","NO"))</f>
        <v/>
      </c>
      <c r="AN151" s="60" t="str">
        <f>IF(AJ151="","",IF(AJ151&lt;0.4,"Critical",IF(AJ151&lt;0.6,"Poor",IF(AJ151&lt;0.75,"Needs Improvement",IF(AJ151&lt;0.9,"Good","Excellent")))))</f>
        <v/>
      </c>
      <c r="AO151" s="59"/>
      <c r="AP151" s="59"/>
      <c r="AQ151" s="59"/>
      <c r="AR151" s="59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</row>
    <row r="152" spans="1:54" ht="19.5" customHeight="1" x14ac:dyDescent="0.25">
      <c r="A152" s="60" t="str">
        <f>IF($B152="","",TEXT($B152,"yyyymmdd")&amp;"-"&amp;SUBSTITUTE($F152," ","")&amp;"-"&amp;TEXT(COUNTIF($F$4:F152,$F152),"00"))</f>
        <v/>
      </c>
      <c r="B152" s="65"/>
      <c r="C152" s="60" t="str">
        <f>IF($B152="","",WEEKNUM($B152,2))</f>
        <v/>
      </c>
      <c r="D152" s="60" t="str">
        <f>IF($B152="","",TEXT($B152,"yyyy-mm"))</f>
        <v/>
      </c>
      <c r="E152" s="64"/>
      <c r="F152" s="64"/>
      <c r="G152" s="60" t="str">
        <f>IF(OR($E152="",$F152=""),"",IFERROR(IF($E152=INDEX([1]Cluster_Master!$A$4:$A$18,MATCH($F152,[1]Cluster_Master!$B$4:$B$18,0)),"OK","CHECK"),"CHECK"))</f>
        <v/>
      </c>
      <c r="H152" s="63" t="str">
        <f>IFERROR(INDEX([1]Cluster_Master!$C$4:$C$18,MATCH($F152,[1]Cluster_Master!$B$4:$B$18,0)),"")</f>
        <v/>
      </c>
      <c r="I152" s="60" t="str">
        <f>IFERROR(INDEX([1]Cluster_Master!$D$4:$D$18,MATCH($F152,[1]Cluster_Master!$B$4:$B$18,0)),"")</f>
        <v/>
      </c>
      <c r="J152" s="60" t="str">
        <f>IFERROR(INDEX([1]Cluster_Master!$E$4:$E$18,MATCH($F152,[1]Cluster_Master!$B$4:$B$18,0)),"")</f>
        <v/>
      </c>
      <c r="K152" s="60" t="str">
        <f>IFERROR(INDEX([1]Cluster_Master!$F$4:$F$18,MATCH($F152,[1]Cluster_Master!$B$4:$B$18,0)),"")</f>
        <v/>
      </c>
      <c r="L152" s="60" t="str">
        <f>IFERROR(INDEX([1]Cluster_Master!$G$4:$G$18,MATCH($F152,[1]Cluster_Master!$B$4:$B$18,0)),"")</f>
        <v/>
      </c>
      <c r="M152" s="60" t="str">
        <f>IFERROR(INDEX([1]Cluster_Master!$H$4:$H$18,MATCH($F152,[1]Cluster_Master!$B$4:$B$18,0)),"")</f>
        <v/>
      </c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60" t="str">
        <f>IF(COUNTA(T152:AH152)=0,"",SUM(T152:AH152))</f>
        <v/>
      </c>
      <c r="AJ152" s="61" t="str">
        <f>IF(COUNTA(T152:AH152)=0,"",AI152/75)</f>
        <v/>
      </c>
      <c r="AK152" s="61" t="str">
        <f>IF(COUNTA(T152:AH152)=0,"",(SUM(T152*[1]KPI_Weights!$B$4,U152*[1]KPI_Weights!$B$5,V152*[1]KPI_Weights!$B$6,W152*[1]KPI_Weights!$B$7,X152*[1]KPI_Weights!$B$8,Y152*[1]KPI_Weights!$B$9,Z152*[1]KPI_Weights!$B$10,AA152*[1]KPI_Weights!$B$11,AB152*[1]KPI_Weights!$B$12,AC152*[1]KPI_Weights!$B$13,AD152*[1]KPI_Weights!$B$14,AE152*[1]KPI_Weights!$B$15,AF152*[1]KPI_Weights!$B$16,AG152*[1]KPI_Weights!$B$17,AH152*[1]KPI_Weights!$B$18))/5)</f>
        <v/>
      </c>
      <c r="AL152" s="60" t="str">
        <f>IF(COUNTA(T152:AH152)=0,"",IF(OR(T152&lt;=1,W152&lt;=1,X152&lt;=1,Y152&lt;=1,AB152&lt;=1),"YES","NO"))</f>
        <v/>
      </c>
      <c r="AM152" s="60" t="str">
        <f>IF(AJ152="","",IF(AND(AL152="NO",AJ152&gt;=0.75),"YES","NO"))</f>
        <v/>
      </c>
      <c r="AN152" s="60" t="str">
        <f>IF(AJ152="","",IF(AJ152&lt;0.4,"Critical",IF(AJ152&lt;0.6,"Poor",IF(AJ152&lt;0.75,"Needs Improvement",IF(AJ152&lt;0.9,"Good","Excellent")))))</f>
        <v/>
      </c>
      <c r="AO152" s="59"/>
      <c r="AP152" s="59"/>
      <c r="AQ152" s="59"/>
      <c r="AR152" s="59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</row>
    <row r="153" spans="1:54" ht="19.5" customHeight="1" x14ac:dyDescent="0.25">
      <c r="A153" s="60" t="str">
        <f>IF($B153="","",TEXT($B153,"yyyymmdd")&amp;"-"&amp;SUBSTITUTE($F153," ","")&amp;"-"&amp;TEXT(COUNTIF($F$4:F153,$F153),"00"))</f>
        <v/>
      </c>
      <c r="B153" s="65"/>
      <c r="C153" s="60" t="str">
        <f>IF($B153="","",WEEKNUM($B153,2))</f>
        <v/>
      </c>
      <c r="D153" s="60" t="str">
        <f>IF($B153="","",TEXT($B153,"yyyy-mm"))</f>
        <v/>
      </c>
      <c r="E153" s="64"/>
      <c r="F153" s="64"/>
      <c r="G153" s="60" t="str">
        <f>IF(OR($E153="",$F153=""),"",IFERROR(IF($E153=INDEX([1]Cluster_Master!$A$4:$A$18,MATCH($F153,[1]Cluster_Master!$B$4:$B$18,0)),"OK","CHECK"),"CHECK"))</f>
        <v/>
      </c>
      <c r="H153" s="63" t="str">
        <f>IFERROR(INDEX([1]Cluster_Master!$C$4:$C$18,MATCH($F153,[1]Cluster_Master!$B$4:$B$18,0)),"")</f>
        <v/>
      </c>
      <c r="I153" s="60" t="str">
        <f>IFERROR(INDEX([1]Cluster_Master!$D$4:$D$18,MATCH($F153,[1]Cluster_Master!$B$4:$B$18,0)),"")</f>
        <v/>
      </c>
      <c r="J153" s="60" t="str">
        <f>IFERROR(INDEX([1]Cluster_Master!$E$4:$E$18,MATCH($F153,[1]Cluster_Master!$B$4:$B$18,0)),"")</f>
        <v/>
      </c>
      <c r="K153" s="60" t="str">
        <f>IFERROR(INDEX([1]Cluster_Master!$F$4:$F$18,MATCH($F153,[1]Cluster_Master!$B$4:$B$18,0)),"")</f>
        <v/>
      </c>
      <c r="L153" s="60" t="str">
        <f>IFERROR(INDEX([1]Cluster_Master!$G$4:$G$18,MATCH($F153,[1]Cluster_Master!$B$4:$B$18,0)),"")</f>
        <v/>
      </c>
      <c r="M153" s="60" t="str">
        <f>IFERROR(INDEX([1]Cluster_Master!$H$4:$H$18,MATCH($F153,[1]Cluster_Master!$B$4:$B$18,0)),"")</f>
        <v/>
      </c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60" t="str">
        <f>IF(COUNTA(T153:AH153)=0,"",SUM(T153:AH153))</f>
        <v/>
      </c>
      <c r="AJ153" s="61" t="str">
        <f>IF(COUNTA(T153:AH153)=0,"",AI153/75)</f>
        <v/>
      </c>
      <c r="AK153" s="61" t="str">
        <f>IF(COUNTA(T153:AH153)=0,"",(SUM(T153*[1]KPI_Weights!$B$4,U153*[1]KPI_Weights!$B$5,V153*[1]KPI_Weights!$B$6,W153*[1]KPI_Weights!$B$7,X153*[1]KPI_Weights!$B$8,Y153*[1]KPI_Weights!$B$9,Z153*[1]KPI_Weights!$B$10,AA153*[1]KPI_Weights!$B$11,AB153*[1]KPI_Weights!$B$12,AC153*[1]KPI_Weights!$B$13,AD153*[1]KPI_Weights!$B$14,AE153*[1]KPI_Weights!$B$15,AF153*[1]KPI_Weights!$B$16,AG153*[1]KPI_Weights!$B$17,AH153*[1]KPI_Weights!$B$18))/5)</f>
        <v/>
      </c>
      <c r="AL153" s="60" t="str">
        <f>IF(COUNTA(T153:AH153)=0,"",IF(OR(T153&lt;=1,W153&lt;=1,X153&lt;=1,Y153&lt;=1,AB153&lt;=1),"YES","NO"))</f>
        <v/>
      </c>
      <c r="AM153" s="60" t="str">
        <f>IF(AJ153="","",IF(AND(AL153="NO",AJ153&gt;=0.75),"YES","NO"))</f>
        <v/>
      </c>
      <c r="AN153" s="60" t="str">
        <f>IF(AJ153="","",IF(AJ153&lt;0.4,"Critical",IF(AJ153&lt;0.6,"Poor",IF(AJ153&lt;0.75,"Needs Improvement",IF(AJ153&lt;0.9,"Good","Excellent")))))</f>
        <v/>
      </c>
      <c r="AO153" s="59"/>
      <c r="AP153" s="59"/>
      <c r="AQ153" s="59"/>
      <c r="AR153" s="59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</row>
    <row r="154" spans="1:54" ht="19.5" customHeight="1" x14ac:dyDescent="0.25">
      <c r="A154" s="60" t="str">
        <f>IF($B154="","",TEXT($B154,"yyyymmdd")&amp;"-"&amp;SUBSTITUTE($F154," ","")&amp;"-"&amp;TEXT(COUNTIF($F$4:F154,$F154),"00"))</f>
        <v/>
      </c>
      <c r="B154" s="65"/>
      <c r="C154" s="60" t="str">
        <f>IF($B154="","",WEEKNUM($B154,2))</f>
        <v/>
      </c>
      <c r="D154" s="60" t="str">
        <f>IF($B154="","",TEXT($B154,"yyyy-mm"))</f>
        <v/>
      </c>
      <c r="E154" s="64"/>
      <c r="F154" s="64"/>
      <c r="G154" s="60" t="str">
        <f>IF(OR($E154="",$F154=""),"",IFERROR(IF($E154=INDEX([1]Cluster_Master!$A$4:$A$18,MATCH($F154,[1]Cluster_Master!$B$4:$B$18,0)),"OK","CHECK"),"CHECK"))</f>
        <v/>
      </c>
      <c r="H154" s="63" t="str">
        <f>IFERROR(INDEX([1]Cluster_Master!$C$4:$C$18,MATCH($F154,[1]Cluster_Master!$B$4:$B$18,0)),"")</f>
        <v/>
      </c>
      <c r="I154" s="60" t="str">
        <f>IFERROR(INDEX([1]Cluster_Master!$D$4:$D$18,MATCH($F154,[1]Cluster_Master!$B$4:$B$18,0)),"")</f>
        <v/>
      </c>
      <c r="J154" s="60" t="str">
        <f>IFERROR(INDEX([1]Cluster_Master!$E$4:$E$18,MATCH($F154,[1]Cluster_Master!$B$4:$B$18,0)),"")</f>
        <v/>
      </c>
      <c r="K154" s="60" t="str">
        <f>IFERROR(INDEX([1]Cluster_Master!$F$4:$F$18,MATCH($F154,[1]Cluster_Master!$B$4:$B$18,0)),"")</f>
        <v/>
      </c>
      <c r="L154" s="60" t="str">
        <f>IFERROR(INDEX([1]Cluster_Master!$G$4:$G$18,MATCH($F154,[1]Cluster_Master!$B$4:$B$18,0)),"")</f>
        <v/>
      </c>
      <c r="M154" s="60" t="str">
        <f>IFERROR(INDEX([1]Cluster_Master!$H$4:$H$18,MATCH($F154,[1]Cluster_Master!$B$4:$B$18,0)),"")</f>
        <v/>
      </c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60" t="str">
        <f>IF(COUNTA(T154:AH154)=0,"",SUM(T154:AH154))</f>
        <v/>
      </c>
      <c r="AJ154" s="61" t="str">
        <f>IF(COUNTA(T154:AH154)=0,"",AI154/75)</f>
        <v/>
      </c>
      <c r="AK154" s="61" t="str">
        <f>IF(COUNTA(T154:AH154)=0,"",(SUM(T154*[1]KPI_Weights!$B$4,U154*[1]KPI_Weights!$B$5,V154*[1]KPI_Weights!$B$6,W154*[1]KPI_Weights!$B$7,X154*[1]KPI_Weights!$B$8,Y154*[1]KPI_Weights!$B$9,Z154*[1]KPI_Weights!$B$10,AA154*[1]KPI_Weights!$B$11,AB154*[1]KPI_Weights!$B$12,AC154*[1]KPI_Weights!$B$13,AD154*[1]KPI_Weights!$B$14,AE154*[1]KPI_Weights!$B$15,AF154*[1]KPI_Weights!$B$16,AG154*[1]KPI_Weights!$B$17,AH154*[1]KPI_Weights!$B$18))/5)</f>
        <v/>
      </c>
      <c r="AL154" s="60" t="str">
        <f>IF(COUNTA(T154:AH154)=0,"",IF(OR(T154&lt;=1,W154&lt;=1,X154&lt;=1,Y154&lt;=1,AB154&lt;=1),"YES","NO"))</f>
        <v/>
      </c>
      <c r="AM154" s="60" t="str">
        <f>IF(AJ154="","",IF(AND(AL154="NO",AJ154&gt;=0.75),"YES","NO"))</f>
        <v/>
      </c>
      <c r="AN154" s="60" t="str">
        <f>IF(AJ154="","",IF(AJ154&lt;0.4,"Critical",IF(AJ154&lt;0.6,"Poor",IF(AJ154&lt;0.75,"Needs Improvement",IF(AJ154&lt;0.9,"Good","Excellent")))))</f>
        <v/>
      </c>
      <c r="AO154" s="59"/>
      <c r="AP154" s="59"/>
      <c r="AQ154" s="59"/>
      <c r="AR154" s="59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</row>
    <row r="155" spans="1:54" ht="19.5" customHeight="1" x14ac:dyDescent="0.25">
      <c r="A155" s="60" t="str">
        <f>IF($B155="","",TEXT($B155,"yyyymmdd")&amp;"-"&amp;SUBSTITUTE($F155," ","")&amp;"-"&amp;TEXT(COUNTIF($F$4:F155,$F155),"00"))</f>
        <v/>
      </c>
      <c r="B155" s="65"/>
      <c r="C155" s="60" t="str">
        <f>IF($B155="","",WEEKNUM($B155,2))</f>
        <v/>
      </c>
      <c r="D155" s="60" t="str">
        <f>IF($B155="","",TEXT($B155,"yyyy-mm"))</f>
        <v/>
      </c>
      <c r="E155" s="64"/>
      <c r="F155" s="64"/>
      <c r="G155" s="60" t="str">
        <f>IF(OR($E155="",$F155=""),"",IFERROR(IF($E155=INDEX([1]Cluster_Master!$A$4:$A$18,MATCH($F155,[1]Cluster_Master!$B$4:$B$18,0)),"OK","CHECK"),"CHECK"))</f>
        <v/>
      </c>
      <c r="H155" s="63" t="str">
        <f>IFERROR(INDEX([1]Cluster_Master!$C$4:$C$18,MATCH($F155,[1]Cluster_Master!$B$4:$B$18,0)),"")</f>
        <v/>
      </c>
      <c r="I155" s="60" t="str">
        <f>IFERROR(INDEX([1]Cluster_Master!$D$4:$D$18,MATCH($F155,[1]Cluster_Master!$B$4:$B$18,0)),"")</f>
        <v/>
      </c>
      <c r="J155" s="60" t="str">
        <f>IFERROR(INDEX([1]Cluster_Master!$E$4:$E$18,MATCH($F155,[1]Cluster_Master!$B$4:$B$18,0)),"")</f>
        <v/>
      </c>
      <c r="K155" s="60" t="str">
        <f>IFERROR(INDEX([1]Cluster_Master!$F$4:$F$18,MATCH($F155,[1]Cluster_Master!$B$4:$B$18,0)),"")</f>
        <v/>
      </c>
      <c r="L155" s="60" t="str">
        <f>IFERROR(INDEX([1]Cluster_Master!$G$4:$G$18,MATCH($F155,[1]Cluster_Master!$B$4:$B$18,0)),"")</f>
        <v/>
      </c>
      <c r="M155" s="60" t="str">
        <f>IFERROR(INDEX([1]Cluster_Master!$H$4:$H$18,MATCH($F155,[1]Cluster_Master!$B$4:$B$18,0)),"")</f>
        <v/>
      </c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60" t="str">
        <f>IF(COUNTA(T155:AH155)=0,"",SUM(T155:AH155))</f>
        <v/>
      </c>
      <c r="AJ155" s="61" t="str">
        <f>IF(COUNTA(T155:AH155)=0,"",AI155/75)</f>
        <v/>
      </c>
      <c r="AK155" s="61" t="str">
        <f>IF(COUNTA(T155:AH155)=0,"",(SUM(T155*[1]KPI_Weights!$B$4,U155*[1]KPI_Weights!$B$5,V155*[1]KPI_Weights!$B$6,W155*[1]KPI_Weights!$B$7,X155*[1]KPI_Weights!$B$8,Y155*[1]KPI_Weights!$B$9,Z155*[1]KPI_Weights!$B$10,AA155*[1]KPI_Weights!$B$11,AB155*[1]KPI_Weights!$B$12,AC155*[1]KPI_Weights!$B$13,AD155*[1]KPI_Weights!$B$14,AE155*[1]KPI_Weights!$B$15,AF155*[1]KPI_Weights!$B$16,AG155*[1]KPI_Weights!$B$17,AH155*[1]KPI_Weights!$B$18))/5)</f>
        <v/>
      </c>
      <c r="AL155" s="60" t="str">
        <f>IF(COUNTA(T155:AH155)=0,"",IF(OR(T155&lt;=1,W155&lt;=1,X155&lt;=1,Y155&lt;=1,AB155&lt;=1),"YES","NO"))</f>
        <v/>
      </c>
      <c r="AM155" s="60" t="str">
        <f>IF(AJ155="","",IF(AND(AL155="NO",AJ155&gt;=0.75),"YES","NO"))</f>
        <v/>
      </c>
      <c r="AN155" s="60" t="str">
        <f>IF(AJ155="","",IF(AJ155&lt;0.4,"Critical",IF(AJ155&lt;0.6,"Poor",IF(AJ155&lt;0.75,"Needs Improvement",IF(AJ155&lt;0.9,"Good","Excellent")))))</f>
        <v/>
      </c>
      <c r="AO155" s="59"/>
      <c r="AP155" s="59"/>
      <c r="AQ155" s="59"/>
      <c r="AR155" s="59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</row>
    <row r="156" spans="1:54" ht="19.5" customHeight="1" x14ac:dyDescent="0.25">
      <c r="A156" s="60" t="str">
        <f>IF($B156="","",TEXT($B156,"yyyymmdd")&amp;"-"&amp;SUBSTITUTE($F156," ","")&amp;"-"&amp;TEXT(COUNTIF($F$4:F156,$F156),"00"))</f>
        <v/>
      </c>
      <c r="B156" s="65"/>
      <c r="C156" s="60" t="str">
        <f>IF($B156="","",WEEKNUM($B156,2))</f>
        <v/>
      </c>
      <c r="D156" s="60" t="str">
        <f>IF($B156="","",TEXT($B156,"yyyy-mm"))</f>
        <v/>
      </c>
      <c r="E156" s="64"/>
      <c r="F156" s="64"/>
      <c r="G156" s="60" t="str">
        <f>IF(OR($E156="",$F156=""),"",IFERROR(IF($E156=INDEX([1]Cluster_Master!$A$4:$A$18,MATCH($F156,[1]Cluster_Master!$B$4:$B$18,0)),"OK","CHECK"),"CHECK"))</f>
        <v/>
      </c>
      <c r="H156" s="63" t="str">
        <f>IFERROR(INDEX([1]Cluster_Master!$C$4:$C$18,MATCH($F156,[1]Cluster_Master!$B$4:$B$18,0)),"")</f>
        <v/>
      </c>
      <c r="I156" s="60" t="str">
        <f>IFERROR(INDEX([1]Cluster_Master!$D$4:$D$18,MATCH($F156,[1]Cluster_Master!$B$4:$B$18,0)),"")</f>
        <v/>
      </c>
      <c r="J156" s="60" t="str">
        <f>IFERROR(INDEX([1]Cluster_Master!$E$4:$E$18,MATCH($F156,[1]Cluster_Master!$B$4:$B$18,0)),"")</f>
        <v/>
      </c>
      <c r="K156" s="60" t="str">
        <f>IFERROR(INDEX([1]Cluster_Master!$F$4:$F$18,MATCH($F156,[1]Cluster_Master!$B$4:$B$18,0)),"")</f>
        <v/>
      </c>
      <c r="L156" s="60" t="str">
        <f>IFERROR(INDEX([1]Cluster_Master!$G$4:$G$18,MATCH($F156,[1]Cluster_Master!$B$4:$B$18,0)),"")</f>
        <v/>
      </c>
      <c r="M156" s="60" t="str">
        <f>IFERROR(INDEX([1]Cluster_Master!$H$4:$H$18,MATCH($F156,[1]Cluster_Master!$B$4:$B$18,0)),"")</f>
        <v/>
      </c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60" t="str">
        <f>IF(COUNTA(T156:AH156)=0,"",SUM(T156:AH156))</f>
        <v/>
      </c>
      <c r="AJ156" s="61" t="str">
        <f>IF(COUNTA(T156:AH156)=0,"",AI156/75)</f>
        <v/>
      </c>
      <c r="AK156" s="61" t="str">
        <f>IF(COUNTA(T156:AH156)=0,"",(SUM(T156*[1]KPI_Weights!$B$4,U156*[1]KPI_Weights!$B$5,V156*[1]KPI_Weights!$B$6,W156*[1]KPI_Weights!$B$7,X156*[1]KPI_Weights!$B$8,Y156*[1]KPI_Weights!$B$9,Z156*[1]KPI_Weights!$B$10,AA156*[1]KPI_Weights!$B$11,AB156*[1]KPI_Weights!$B$12,AC156*[1]KPI_Weights!$B$13,AD156*[1]KPI_Weights!$B$14,AE156*[1]KPI_Weights!$B$15,AF156*[1]KPI_Weights!$B$16,AG156*[1]KPI_Weights!$B$17,AH156*[1]KPI_Weights!$B$18))/5)</f>
        <v/>
      </c>
      <c r="AL156" s="60" t="str">
        <f>IF(COUNTA(T156:AH156)=0,"",IF(OR(T156&lt;=1,W156&lt;=1,X156&lt;=1,Y156&lt;=1,AB156&lt;=1),"YES","NO"))</f>
        <v/>
      </c>
      <c r="AM156" s="60" t="str">
        <f>IF(AJ156="","",IF(AND(AL156="NO",AJ156&gt;=0.75),"YES","NO"))</f>
        <v/>
      </c>
      <c r="AN156" s="60" t="str">
        <f>IF(AJ156="","",IF(AJ156&lt;0.4,"Critical",IF(AJ156&lt;0.6,"Poor",IF(AJ156&lt;0.75,"Needs Improvement",IF(AJ156&lt;0.9,"Good","Excellent")))))</f>
        <v/>
      </c>
      <c r="AO156" s="59"/>
      <c r="AP156" s="59"/>
      <c r="AQ156" s="59"/>
      <c r="AR156" s="59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</row>
    <row r="157" spans="1:54" ht="19.5" customHeight="1" x14ac:dyDescent="0.25">
      <c r="A157" s="60" t="str">
        <f>IF($B157="","",TEXT($B157,"yyyymmdd")&amp;"-"&amp;SUBSTITUTE($F157," ","")&amp;"-"&amp;TEXT(COUNTIF($F$4:F157,$F157),"00"))</f>
        <v/>
      </c>
      <c r="B157" s="65"/>
      <c r="C157" s="60" t="str">
        <f>IF($B157="","",WEEKNUM($B157,2))</f>
        <v/>
      </c>
      <c r="D157" s="60" t="str">
        <f>IF($B157="","",TEXT($B157,"yyyy-mm"))</f>
        <v/>
      </c>
      <c r="E157" s="64"/>
      <c r="F157" s="64"/>
      <c r="G157" s="60" t="str">
        <f>IF(OR($E157="",$F157=""),"",IFERROR(IF($E157=INDEX([1]Cluster_Master!$A$4:$A$18,MATCH($F157,[1]Cluster_Master!$B$4:$B$18,0)),"OK","CHECK"),"CHECK"))</f>
        <v/>
      </c>
      <c r="H157" s="63" t="str">
        <f>IFERROR(INDEX([1]Cluster_Master!$C$4:$C$18,MATCH($F157,[1]Cluster_Master!$B$4:$B$18,0)),"")</f>
        <v/>
      </c>
      <c r="I157" s="60" t="str">
        <f>IFERROR(INDEX([1]Cluster_Master!$D$4:$D$18,MATCH($F157,[1]Cluster_Master!$B$4:$B$18,0)),"")</f>
        <v/>
      </c>
      <c r="J157" s="60" t="str">
        <f>IFERROR(INDEX([1]Cluster_Master!$E$4:$E$18,MATCH($F157,[1]Cluster_Master!$B$4:$B$18,0)),"")</f>
        <v/>
      </c>
      <c r="K157" s="60" t="str">
        <f>IFERROR(INDEX([1]Cluster_Master!$F$4:$F$18,MATCH($F157,[1]Cluster_Master!$B$4:$B$18,0)),"")</f>
        <v/>
      </c>
      <c r="L157" s="60" t="str">
        <f>IFERROR(INDEX([1]Cluster_Master!$G$4:$G$18,MATCH($F157,[1]Cluster_Master!$B$4:$B$18,0)),"")</f>
        <v/>
      </c>
      <c r="M157" s="60" t="str">
        <f>IFERROR(INDEX([1]Cluster_Master!$H$4:$H$18,MATCH($F157,[1]Cluster_Master!$B$4:$B$18,0)),"")</f>
        <v/>
      </c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60" t="str">
        <f>IF(COUNTA(T157:AH157)=0,"",SUM(T157:AH157))</f>
        <v/>
      </c>
      <c r="AJ157" s="61" t="str">
        <f>IF(COUNTA(T157:AH157)=0,"",AI157/75)</f>
        <v/>
      </c>
      <c r="AK157" s="61" t="str">
        <f>IF(COUNTA(T157:AH157)=0,"",(SUM(T157*[1]KPI_Weights!$B$4,U157*[1]KPI_Weights!$B$5,V157*[1]KPI_Weights!$B$6,W157*[1]KPI_Weights!$B$7,X157*[1]KPI_Weights!$B$8,Y157*[1]KPI_Weights!$B$9,Z157*[1]KPI_Weights!$B$10,AA157*[1]KPI_Weights!$B$11,AB157*[1]KPI_Weights!$B$12,AC157*[1]KPI_Weights!$B$13,AD157*[1]KPI_Weights!$B$14,AE157*[1]KPI_Weights!$B$15,AF157*[1]KPI_Weights!$B$16,AG157*[1]KPI_Weights!$B$17,AH157*[1]KPI_Weights!$B$18))/5)</f>
        <v/>
      </c>
      <c r="AL157" s="60" t="str">
        <f>IF(COUNTA(T157:AH157)=0,"",IF(OR(T157&lt;=1,W157&lt;=1,X157&lt;=1,Y157&lt;=1,AB157&lt;=1),"YES","NO"))</f>
        <v/>
      </c>
      <c r="AM157" s="60" t="str">
        <f>IF(AJ157="","",IF(AND(AL157="NO",AJ157&gt;=0.75),"YES","NO"))</f>
        <v/>
      </c>
      <c r="AN157" s="60" t="str">
        <f>IF(AJ157="","",IF(AJ157&lt;0.4,"Critical",IF(AJ157&lt;0.6,"Poor",IF(AJ157&lt;0.75,"Needs Improvement",IF(AJ157&lt;0.9,"Good","Excellent")))))</f>
        <v/>
      </c>
      <c r="AO157" s="59"/>
      <c r="AP157" s="59"/>
      <c r="AQ157" s="59"/>
      <c r="AR157" s="59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</row>
    <row r="158" spans="1:54" ht="19.5" customHeight="1" x14ac:dyDescent="0.25">
      <c r="A158" s="60" t="str">
        <f>IF($B158="","",TEXT($B158,"yyyymmdd")&amp;"-"&amp;SUBSTITUTE($F158," ","")&amp;"-"&amp;TEXT(COUNTIF($F$4:F158,$F158),"00"))</f>
        <v/>
      </c>
      <c r="B158" s="65"/>
      <c r="C158" s="60" t="str">
        <f>IF($B158="","",WEEKNUM($B158,2))</f>
        <v/>
      </c>
      <c r="D158" s="60" t="str">
        <f>IF($B158="","",TEXT($B158,"yyyy-mm"))</f>
        <v/>
      </c>
      <c r="E158" s="64"/>
      <c r="F158" s="64"/>
      <c r="G158" s="60" t="str">
        <f>IF(OR($E158="",$F158=""),"",IFERROR(IF($E158=INDEX([1]Cluster_Master!$A$4:$A$18,MATCH($F158,[1]Cluster_Master!$B$4:$B$18,0)),"OK","CHECK"),"CHECK"))</f>
        <v/>
      </c>
      <c r="H158" s="63" t="str">
        <f>IFERROR(INDEX([1]Cluster_Master!$C$4:$C$18,MATCH($F158,[1]Cluster_Master!$B$4:$B$18,0)),"")</f>
        <v/>
      </c>
      <c r="I158" s="60" t="str">
        <f>IFERROR(INDEX([1]Cluster_Master!$D$4:$D$18,MATCH($F158,[1]Cluster_Master!$B$4:$B$18,0)),"")</f>
        <v/>
      </c>
      <c r="J158" s="60" t="str">
        <f>IFERROR(INDEX([1]Cluster_Master!$E$4:$E$18,MATCH($F158,[1]Cluster_Master!$B$4:$B$18,0)),"")</f>
        <v/>
      </c>
      <c r="K158" s="60" t="str">
        <f>IFERROR(INDEX([1]Cluster_Master!$F$4:$F$18,MATCH($F158,[1]Cluster_Master!$B$4:$B$18,0)),"")</f>
        <v/>
      </c>
      <c r="L158" s="60" t="str">
        <f>IFERROR(INDEX([1]Cluster_Master!$G$4:$G$18,MATCH($F158,[1]Cluster_Master!$B$4:$B$18,0)),"")</f>
        <v/>
      </c>
      <c r="M158" s="60" t="str">
        <f>IFERROR(INDEX([1]Cluster_Master!$H$4:$H$18,MATCH($F158,[1]Cluster_Master!$B$4:$B$18,0)),"")</f>
        <v/>
      </c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60" t="str">
        <f>IF(COUNTA(T158:AH158)=0,"",SUM(T158:AH158))</f>
        <v/>
      </c>
      <c r="AJ158" s="61" t="str">
        <f>IF(COUNTA(T158:AH158)=0,"",AI158/75)</f>
        <v/>
      </c>
      <c r="AK158" s="61" t="str">
        <f>IF(COUNTA(T158:AH158)=0,"",(SUM(T158*[1]KPI_Weights!$B$4,U158*[1]KPI_Weights!$B$5,V158*[1]KPI_Weights!$B$6,W158*[1]KPI_Weights!$B$7,X158*[1]KPI_Weights!$B$8,Y158*[1]KPI_Weights!$B$9,Z158*[1]KPI_Weights!$B$10,AA158*[1]KPI_Weights!$B$11,AB158*[1]KPI_Weights!$B$12,AC158*[1]KPI_Weights!$B$13,AD158*[1]KPI_Weights!$B$14,AE158*[1]KPI_Weights!$B$15,AF158*[1]KPI_Weights!$B$16,AG158*[1]KPI_Weights!$B$17,AH158*[1]KPI_Weights!$B$18))/5)</f>
        <v/>
      </c>
      <c r="AL158" s="60" t="str">
        <f>IF(COUNTA(T158:AH158)=0,"",IF(OR(T158&lt;=1,W158&lt;=1,X158&lt;=1,Y158&lt;=1,AB158&lt;=1),"YES","NO"))</f>
        <v/>
      </c>
      <c r="AM158" s="60" t="str">
        <f>IF(AJ158="","",IF(AND(AL158="NO",AJ158&gt;=0.75),"YES","NO"))</f>
        <v/>
      </c>
      <c r="AN158" s="60" t="str">
        <f>IF(AJ158="","",IF(AJ158&lt;0.4,"Critical",IF(AJ158&lt;0.6,"Poor",IF(AJ158&lt;0.75,"Needs Improvement",IF(AJ158&lt;0.9,"Good","Excellent")))))</f>
        <v/>
      </c>
      <c r="AO158" s="59"/>
      <c r="AP158" s="59"/>
      <c r="AQ158" s="59"/>
      <c r="AR158" s="59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</row>
    <row r="159" spans="1:54" ht="19.5" customHeight="1" x14ac:dyDescent="0.25">
      <c r="A159" s="60" t="str">
        <f>IF($B159="","",TEXT($B159,"yyyymmdd")&amp;"-"&amp;SUBSTITUTE($F159," ","")&amp;"-"&amp;TEXT(COUNTIF($F$4:F159,$F159),"00"))</f>
        <v/>
      </c>
      <c r="B159" s="65"/>
      <c r="C159" s="60" t="str">
        <f>IF($B159="","",WEEKNUM($B159,2))</f>
        <v/>
      </c>
      <c r="D159" s="60" t="str">
        <f>IF($B159="","",TEXT($B159,"yyyy-mm"))</f>
        <v/>
      </c>
      <c r="E159" s="64"/>
      <c r="F159" s="64"/>
      <c r="G159" s="60" t="str">
        <f>IF(OR($E159="",$F159=""),"",IFERROR(IF($E159=INDEX([1]Cluster_Master!$A$4:$A$18,MATCH($F159,[1]Cluster_Master!$B$4:$B$18,0)),"OK","CHECK"),"CHECK"))</f>
        <v/>
      </c>
      <c r="H159" s="63" t="str">
        <f>IFERROR(INDEX([1]Cluster_Master!$C$4:$C$18,MATCH($F159,[1]Cluster_Master!$B$4:$B$18,0)),"")</f>
        <v/>
      </c>
      <c r="I159" s="60" t="str">
        <f>IFERROR(INDEX([1]Cluster_Master!$D$4:$D$18,MATCH($F159,[1]Cluster_Master!$B$4:$B$18,0)),"")</f>
        <v/>
      </c>
      <c r="J159" s="60" t="str">
        <f>IFERROR(INDEX([1]Cluster_Master!$E$4:$E$18,MATCH($F159,[1]Cluster_Master!$B$4:$B$18,0)),"")</f>
        <v/>
      </c>
      <c r="K159" s="60" t="str">
        <f>IFERROR(INDEX([1]Cluster_Master!$F$4:$F$18,MATCH($F159,[1]Cluster_Master!$B$4:$B$18,0)),"")</f>
        <v/>
      </c>
      <c r="L159" s="60" t="str">
        <f>IFERROR(INDEX([1]Cluster_Master!$G$4:$G$18,MATCH($F159,[1]Cluster_Master!$B$4:$B$18,0)),"")</f>
        <v/>
      </c>
      <c r="M159" s="60" t="str">
        <f>IFERROR(INDEX([1]Cluster_Master!$H$4:$H$18,MATCH($F159,[1]Cluster_Master!$B$4:$B$18,0)),"")</f>
        <v/>
      </c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60" t="str">
        <f>IF(COUNTA(T159:AH159)=0,"",SUM(T159:AH159))</f>
        <v/>
      </c>
      <c r="AJ159" s="61" t="str">
        <f>IF(COUNTA(T159:AH159)=0,"",AI159/75)</f>
        <v/>
      </c>
      <c r="AK159" s="61" t="str">
        <f>IF(COUNTA(T159:AH159)=0,"",(SUM(T159*[1]KPI_Weights!$B$4,U159*[1]KPI_Weights!$B$5,V159*[1]KPI_Weights!$B$6,W159*[1]KPI_Weights!$B$7,X159*[1]KPI_Weights!$B$8,Y159*[1]KPI_Weights!$B$9,Z159*[1]KPI_Weights!$B$10,AA159*[1]KPI_Weights!$B$11,AB159*[1]KPI_Weights!$B$12,AC159*[1]KPI_Weights!$B$13,AD159*[1]KPI_Weights!$B$14,AE159*[1]KPI_Weights!$B$15,AF159*[1]KPI_Weights!$B$16,AG159*[1]KPI_Weights!$B$17,AH159*[1]KPI_Weights!$B$18))/5)</f>
        <v/>
      </c>
      <c r="AL159" s="60" t="str">
        <f>IF(COUNTA(T159:AH159)=0,"",IF(OR(T159&lt;=1,W159&lt;=1,X159&lt;=1,Y159&lt;=1,AB159&lt;=1),"YES","NO"))</f>
        <v/>
      </c>
      <c r="AM159" s="60" t="str">
        <f>IF(AJ159="","",IF(AND(AL159="NO",AJ159&gt;=0.75),"YES","NO"))</f>
        <v/>
      </c>
      <c r="AN159" s="60" t="str">
        <f>IF(AJ159="","",IF(AJ159&lt;0.4,"Critical",IF(AJ159&lt;0.6,"Poor",IF(AJ159&lt;0.75,"Needs Improvement",IF(AJ159&lt;0.9,"Good","Excellent")))))</f>
        <v/>
      </c>
      <c r="AO159" s="59"/>
      <c r="AP159" s="59"/>
      <c r="AQ159" s="59"/>
      <c r="AR159" s="59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</row>
    <row r="160" spans="1:54" ht="19.5" customHeight="1" x14ac:dyDescent="0.25">
      <c r="A160" s="60" t="str">
        <f>IF($B160="","",TEXT($B160,"yyyymmdd")&amp;"-"&amp;SUBSTITUTE($F160," ","")&amp;"-"&amp;TEXT(COUNTIF($F$4:F160,$F160),"00"))</f>
        <v/>
      </c>
      <c r="B160" s="65"/>
      <c r="C160" s="60" t="str">
        <f>IF($B160="","",WEEKNUM($B160,2))</f>
        <v/>
      </c>
      <c r="D160" s="60" t="str">
        <f>IF($B160="","",TEXT($B160,"yyyy-mm"))</f>
        <v/>
      </c>
      <c r="E160" s="64"/>
      <c r="F160" s="64"/>
      <c r="G160" s="60" t="str">
        <f>IF(OR($E160="",$F160=""),"",IFERROR(IF($E160=INDEX([1]Cluster_Master!$A$4:$A$18,MATCH($F160,[1]Cluster_Master!$B$4:$B$18,0)),"OK","CHECK"),"CHECK"))</f>
        <v/>
      </c>
      <c r="H160" s="63" t="str">
        <f>IFERROR(INDEX([1]Cluster_Master!$C$4:$C$18,MATCH($F160,[1]Cluster_Master!$B$4:$B$18,0)),"")</f>
        <v/>
      </c>
      <c r="I160" s="60" t="str">
        <f>IFERROR(INDEX([1]Cluster_Master!$D$4:$D$18,MATCH($F160,[1]Cluster_Master!$B$4:$B$18,0)),"")</f>
        <v/>
      </c>
      <c r="J160" s="60" t="str">
        <f>IFERROR(INDEX([1]Cluster_Master!$E$4:$E$18,MATCH($F160,[1]Cluster_Master!$B$4:$B$18,0)),"")</f>
        <v/>
      </c>
      <c r="K160" s="60" t="str">
        <f>IFERROR(INDEX([1]Cluster_Master!$F$4:$F$18,MATCH($F160,[1]Cluster_Master!$B$4:$B$18,0)),"")</f>
        <v/>
      </c>
      <c r="L160" s="60" t="str">
        <f>IFERROR(INDEX([1]Cluster_Master!$G$4:$G$18,MATCH($F160,[1]Cluster_Master!$B$4:$B$18,0)),"")</f>
        <v/>
      </c>
      <c r="M160" s="60" t="str">
        <f>IFERROR(INDEX([1]Cluster_Master!$H$4:$H$18,MATCH($F160,[1]Cluster_Master!$B$4:$B$18,0)),"")</f>
        <v/>
      </c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60" t="str">
        <f>IF(COUNTA(T160:AH160)=0,"",SUM(T160:AH160))</f>
        <v/>
      </c>
      <c r="AJ160" s="61" t="str">
        <f>IF(COUNTA(T160:AH160)=0,"",AI160/75)</f>
        <v/>
      </c>
      <c r="AK160" s="61" t="str">
        <f>IF(COUNTA(T160:AH160)=0,"",(SUM(T160*[1]KPI_Weights!$B$4,U160*[1]KPI_Weights!$B$5,V160*[1]KPI_Weights!$B$6,W160*[1]KPI_Weights!$B$7,X160*[1]KPI_Weights!$B$8,Y160*[1]KPI_Weights!$B$9,Z160*[1]KPI_Weights!$B$10,AA160*[1]KPI_Weights!$B$11,AB160*[1]KPI_Weights!$B$12,AC160*[1]KPI_Weights!$B$13,AD160*[1]KPI_Weights!$B$14,AE160*[1]KPI_Weights!$B$15,AF160*[1]KPI_Weights!$B$16,AG160*[1]KPI_Weights!$B$17,AH160*[1]KPI_Weights!$B$18))/5)</f>
        <v/>
      </c>
      <c r="AL160" s="60" t="str">
        <f>IF(COUNTA(T160:AH160)=0,"",IF(OR(T160&lt;=1,W160&lt;=1,X160&lt;=1,Y160&lt;=1,AB160&lt;=1),"YES","NO"))</f>
        <v/>
      </c>
      <c r="AM160" s="60" t="str">
        <f>IF(AJ160="","",IF(AND(AL160="NO",AJ160&gt;=0.75),"YES","NO"))</f>
        <v/>
      </c>
      <c r="AN160" s="60" t="str">
        <f>IF(AJ160="","",IF(AJ160&lt;0.4,"Critical",IF(AJ160&lt;0.6,"Poor",IF(AJ160&lt;0.75,"Needs Improvement",IF(AJ160&lt;0.9,"Good","Excellent")))))</f>
        <v/>
      </c>
      <c r="AO160" s="59"/>
      <c r="AP160" s="59"/>
      <c r="AQ160" s="59"/>
      <c r="AR160" s="59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</row>
    <row r="161" spans="1:54" ht="19.5" customHeight="1" x14ac:dyDescent="0.25">
      <c r="A161" s="60" t="str">
        <f>IF($B161="","",TEXT($B161,"yyyymmdd")&amp;"-"&amp;SUBSTITUTE($F161," ","")&amp;"-"&amp;TEXT(COUNTIF($F$4:F161,$F161),"00"))</f>
        <v/>
      </c>
      <c r="B161" s="65"/>
      <c r="C161" s="60" t="str">
        <f>IF($B161="","",WEEKNUM($B161,2))</f>
        <v/>
      </c>
      <c r="D161" s="60" t="str">
        <f>IF($B161="","",TEXT($B161,"yyyy-mm"))</f>
        <v/>
      </c>
      <c r="E161" s="64"/>
      <c r="F161" s="64"/>
      <c r="G161" s="60" t="str">
        <f>IF(OR($E161="",$F161=""),"",IFERROR(IF($E161=INDEX([1]Cluster_Master!$A$4:$A$18,MATCH($F161,[1]Cluster_Master!$B$4:$B$18,0)),"OK","CHECK"),"CHECK"))</f>
        <v/>
      </c>
      <c r="H161" s="63" t="str">
        <f>IFERROR(INDEX([1]Cluster_Master!$C$4:$C$18,MATCH($F161,[1]Cluster_Master!$B$4:$B$18,0)),"")</f>
        <v/>
      </c>
      <c r="I161" s="60" t="str">
        <f>IFERROR(INDEX([1]Cluster_Master!$D$4:$D$18,MATCH($F161,[1]Cluster_Master!$B$4:$B$18,0)),"")</f>
        <v/>
      </c>
      <c r="J161" s="60" t="str">
        <f>IFERROR(INDEX([1]Cluster_Master!$E$4:$E$18,MATCH($F161,[1]Cluster_Master!$B$4:$B$18,0)),"")</f>
        <v/>
      </c>
      <c r="K161" s="60" t="str">
        <f>IFERROR(INDEX([1]Cluster_Master!$F$4:$F$18,MATCH($F161,[1]Cluster_Master!$B$4:$B$18,0)),"")</f>
        <v/>
      </c>
      <c r="L161" s="60" t="str">
        <f>IFERROR(INDEX([1]Cluster_Master!$G$4:$G$18,MATCH($F161,[1]Cluster_Master!$B$4:$B$18,0)),"")</f>
        <v/>
      </c>
      <c r="M161" s="60" t="str">
        <f>IFERROR(INDEX([1]Cluster_Master!$H$4:$H$18,MATCH($F161,[1]Cluster_Master!$B$4:$B$18,0)),"")</f>
        <v/>
      </c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60" t="str">
        <f>IF(COUNTA(T161:AH161)=0,"",SUM(T161:AH161))</f>
        <v/>
      </c>
      <c r="AJ161" s="61" t="str">
        <f>IF(COUNTA(T161:AH161)=0,"",AI161/75)</f>
        <v/>
      </c>
      <c r="AK161" s="61" t="str">
        <f>IF(COUNTA(T161:AH161)=0,"",(SUM(T161*[1]KPI_Weights!$B$4,U161*[1]KPI_Weights!$B$5,V161*[1]KPI_Weights!$B$6,W161*[1]KPI_Weights!$B$7,X161*[1]KPI_Weights!$B$8,Y161*[1]KPI_Weights!$B$9,Z161*[1]KPI_Weights!$B$10,AA161*[1]KPI_Weights!$B$11,AB161*[1]KPI_Weights!$B$12,AC161*[1]KPI_Weights!$B$13,AD161*[1]KPI_Weights!$B$14,AE161*[1]KPI_Weights!$B$15,AF161*[1]KPI_Weights!$B$16,AG161*[1]KPI_Weights!$B$17,AH161*[1]KPI_Weights!$B$18))/5)</f>
        <v/>
      </c>
      <c r="AL161" s="60" t="str">
        <f>IF(COUNTA(T161:AH161)=0,"",IF(OR(T161&lt;=1,W161&lt;=1,X161&lt;=1,Y161&lt;=1,AB161&lt;=1),"YES","NO"))</f>
        <v/>
      </c>
      <c r="AM161" s="60" t="str">
        <f>IF(AJ161="","",IF(AND(AL161="NO",AJ161&gt;=0.75),"YES","NO"))</f>
        <v/>
      </c>
      <c r="AN161" s="60" t="str">
        <f>IF(AJ161="","",IF(AJ161&lt;0.4,"Critical",IF(AJ161&lt;0.6,"Poor",IF(AJ161&lt;0.75,"Needs Improvement",IF(AJ161&lt;0.9,"Good","Excellent")))))</f>
        <v/>
      </c>
      <c r="AO161" s="59"/>
      <c r="AP161" s="59"/>
      <c r="AQ161" s="59"/>
      <c r="AR161" s="59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</row>
    <row r="162" spans="1:54" ht="19.5" customHeight="1" x14ac:dyDescent="0.25">
      <c r="A162" s="60" t="str">
        <f>IF($B162="","",TEXT($B162,"yyyymmdd")&amp;"-"&amp;SUBSTITUTE($F162," ","")&amp;"-"&amp;TEXT(COUNTIF($F$4:F162,$F162),"00"))</f>
        <v/>
      </c>
      <c r="B162" s="65"/>
      <c r="C162" s="60" t="str">
        <f>IF($B162="","",WEEKNUM($B162,2))</f>
        <v/>
      </c>
      <c r="D162" s="60" t="str">
        <f>IF($B162="","",TEXT($B162,"yyyy-mm"))</f>
        <v/>
      </c>
      <c r="E162" s="64"/>
      <c r="F162" s="64"/>
      <c r="G162" s="60" t="str">
        <f>IF(OR($E162="",$F162=""),"",IFERROR(IF($E162=INDEX([1]Cluster_Master!$A$4:$A$18,MATCH($F162,[1]Cluster_Master!$B$4:$B$18,0)),"OK","CHECK"),"CHECK"))</f>
        <v/>
      </c>
      <c r="H162" s="63" t="str">
        <f>IFERROR(INDEX([1]Cluster_Master!$C$4:$C$18,MATCH($F162,[1]Cluster_Master!$B$4:$B$18,0)),"")</f>
        <v/>
      </c>
      <c r="I162" s="60" t="str">
        <f>IFERROR(INDEX([1]Cluster_Master!$D$4:$D$18,MATCH($F162,[1]Cluster_Master!$B$4:$B$18,0)),"")</f>
        <v/>
      </c>
      <c r="J162" s="60" t="str">
        <f>IFERROR(INDEX([1]Cluster_Master!$E$4:$E$18,MATCH($F162,[1]Cluster_Master!$B$4:$B$18,0)),"")</f>
        <v/>
      </c>
      <c r="K162" s="60" t="str">
        <f>IFERROR(INDEX([1]Cluster_Master!$F$4:$F$18,MATCH($F162,[1]Cluster_Master!$B$4:$B$18,0)),"")</f>
        <v/>
      </c>
      <c r="L162" s="60" t="str">
        <f>IFERROR(INDEX([1]Cluster_Master!$G$4:$G$18,MATCH($F162,[1]Cluster_Master!$B$4:$B$18,0)),"")</f>
        <v/>
      </c>
      <c r="M162" s="60" t="str">
        <f>IFERROR(INDEX([1]Cluster_Master!$H$4:$H$18,MATCH($F162,[1]Cluster_Master!$B$4:$B$18,0)),"")</f>
        <v/>
      </c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60" t="str">
        <f>IF(COUNTA(T162:AH162)=0,"",SUM(T162:AH162))</f>
        <v/>
      </c>
      <c r="AJ162" s="61" t="str">
        <f>IF(COUNTA(T162:AH162)=0,"",AI162/75)</f>
        <v/>
      </c>
      <c r="AK162" s="61" t="str">
        <f>IF(COUNTA(T162:AH162)=0,"",(SUM(T162*[1]KPI_Weights!$B$4,U162*[1]KPI_Weights!$B$5,V162*[1]KPI_Weights!$B$6,W162*[1]KPI_Weights!$B$7,X162*[1]KPI_Weights!$B$8,Y162*[1]KPI_Weights!$B$9,Z162*[1]KPI_Weights!$B$10,AA162*[1]KPI_Weights!$B$11,AB162*[1]KPI_Weights!$B$12,AC162*[1]KPI_Weights!$B$13,AD162*[1]KPI_Weights!$B$14,AE162*[1]KPI_Weights!$B$15,AF162*[1]KPI_Weights!$B$16,AG162*[1]KPI_Weights!$B$17,AH162*[1]KPI_Weights!$B$18))/5)</f>
        <v/>
      </c>
      <c r="AL162" s="60" t="str">
        <f>IF(COUNTA(T162:AH162)=0,"",IF(OR(T162&lt;=1,W162&lt;=1,X162&lt;=1,Y162&lt;=1,AB162&lt;=1),"YES","NO"))</f>
        <v/>
      </c>
      <c r="AM162" s="60" t="str">
        <f>IF(AJ162="","",IF(AND(AL162="NO",AJ162&gt;=0.75),"YES","NO"))</f>
        <v/>
      </c>
      <c r="AN162" s="60" t="str">
        <f>IF(AJ162="","",IF(AJ162&lt;0.4,"Critical",IF(AJ162&lt;0.6,"Poor",IF(AJ162&lt;0.75,"Needs Improvement",IF(AJ162&lt;0.9,"Good","Excellent")))))</f>
        <v/>
      </c>
      <c r="AO162" s="59"/>
      <c r="AP162" s="59"/>
      <c r="AQ162" s="59"/>
      <c r="AR162" s="59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</row>
    <row r="163" spans="1:54" ht="19.5" customHeight="1" x14ac:dyDescent="0.25">
      <c r="A163" s="60" t="str">
        <f>IF($B163="","",TEXT($B163,"yyyymmdd")&amp;"-"&amp;SUBSTITUTE($F163," ","")&amp;"-"&amp;TEXT(COUNTIF($F$4:F163,$F163),"00"))</f>
        <v/>
      </c>
      <c r="B163" s="65"/>
      <c r="C163" s="60" t="str">
        <f>IF($B163="","",WEEKNUM($B163,2))</f>
        <v/>
      </c>
      <c r="D163" s="60" t="str">
        <f>IF($B163="","",TEXT($B163,"yyyy-mm"))</f>
        <v/>
      </c>
      <c r="E163" s="64"/>
      <c r="F163" s="64"/>
      <c r="G163" s="60" t="str">
        <f>IF(OR($E163="",$F163=""),"",IFERROR(IF($E163=INDEX([1]Cluster_Master!$A$4:$A$18,MATCH($F163,[1]Cluster_Master!$B$4:$B$18,0)),"OK","CHECK"),"CHECK"))</f>
        <v/>
      </c>
      <c r="H163" s="63" t="str">
        <f>IFERROR(INDEX([1]Cluster_Master!$C$4:$C$18,MATCH($F163,[1]Cluster_Master!$B$4:$B$18,0)),"")</f>
        <v/>
      </c>
      <c r="I163" s="60" t="str">
        <f>IFERROR(INDEX([1]Cluster_Master!$D$4:$D$18,MATCH($F163,[1]Cluster_Master!$B$4:$B$18,0)),"")</f>
        <v/>
      </c>
      <c r="J163" s="60" t="str">
        <f>IFERROR(INDEX([1]Cluster_Master!$E$4:$E$18,MATCH($F163,[1]Cluster_Master!$B$4:$B$18,0)),"")</f>
        <v/>
      </c>
      <c r="K163" s="60" t="str">
        <f>IFERROR(INDEX([1]Cluster_Master!$F$4:$F$18,MATCH($F163,[1]Cluster_Master!$B$4:$B$18,0)),"")</f>
        <v/>
      </c>
      <c r="L163" s="60" t="str">
        <f>IFERROR(INDEX([1]Cluster_Master!$G$4:$G$18,MATCH($F163,[1]Cluster_Master!$B$4:$B$18,0)),"")</f>
        <v/>
      </c>
      <c r="M163" s="60" t="str">
        <f>IFERROR(INDEX([1]Cluster_Master!$H$4:$H$18,MATCH($F163,[1]Cluster_Master!$B$4:$B$18,0)),"")</f>
        <v/>
      </c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60" t="str">
        <f>IF(COUNTA(T163:AH163)=0,"",SUM(T163:AH163))</f>
        <v/>
      </c>
      <c r="AJ163" s="61" t="str">
        <f>IF(COUNTA(T163:AH163)=0,"",AI163/75)</f>
        <v/>
      </c>
      <c r="AK163" s="61" t="str">
        <f>IF(COUNTA(T163:AH163)=0,"",(SUM(T163*[1]KPI_Weights!$B$4,U163*[1]KPI_Weights!$B$5,V163*[1]KPI_Weights!$B$6,W163*[1]KPI_Weights!$B$7,X163*[1]KPI_Weights!$B$8,Y163*[1]KPI_Weights!$B$9,Z163*[1]KPI_Weights!$B$10,AA163*[1]KPI_Weights!$B$11,AB163*[1]KPI_Weights!$B$12,AC163*[1]KPI_Weights!$B$13,AD163*[1]KPI_Weights!$B$14,AE163*[1]KPI_Weights!$B$15,AF163*[1]KPI_Weights!$B$16,AG163*[1]KPI_Weights!$B$17,AH163*[1]KPI_Weights!$B$18))/5)</f>
        <v/>
      </c>
      <c r="AL163" s="60" t="str">
        <f>IF(COUNTA(T163:AH163)=0,"",IF(OR(T163&lt;=1,W163&lt;=1,X163&lt;=1,Y163&lt;=1,AB163&lt;=1),"YES","NO"))</f>
        <v/>
      </c>
      <c r="AM163" s="60" t="str">
        <f>IF(AJ163="","",IF(AND(AL163="NO",AJ163&gt;=0.75),"YES","NO"))</f>
        <v/>
      </c>
      <c r="AN163" s="60" t="str">
        <f>IF(AJ163="","",IF(AJ163&lt;0.4,"Critical",IF(AJ163&lt;0.6,"Poor",IF(AJ163&lt;0.75,"Needs Improvement",IF(AJ163&lt;0.9,"Good","Excellent")))))</f>
        <v/>
      </c>
      <c r="AO163" s="59"/>
      <c r="AP163" s="59"/>
      <c r="AQ163" s="59"/>
      <c r="AR163" s="59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</row>
    <row r="164" spans="1:54" ht="19.5" customHeight="1" x14ac:dyDescent="0.25">
      <c r="A164" s="60" t="str">
        <f>IF($B164="","",TEXT($B164,"yyyymmdd")&amp;"-"&amp;SUBSTITUTE($F164," ","")&amp;"-"&amp;TEXT(COUNTIF($F$4:F164,$F164),"00"))</f>
        <v/>
      </c>
      <c r="B164" s="65"/>
      <c r="C164" s="60" t="str">
        <f>IF($B164="","",WEEKNUM($B164,2))</f>
        <v/>
      </c>
      <c r="D164" s="60" t="str">
        <f>IF($B164="","",TEXT($B164,"yyyy-mm"))</f>
        <v/>
      </c>
      <c r="E164" s="64"/>
      <c r="F164" s="64"/>
      <c r="G164" s="60" t="str">
        <f>IF(OR($E164="",$F164=""),"",IFERROR(IF($E164=INDEX([1]Cluster_Master!$A$4:$A$18,MATCH($F164,[1]Cluster_Master!$B$4:$B$18,0)),"OK","CHECK"),"CHECK"))</f>
        <v/>
      </c>
      <c r="H164" s="63" t="str">
        <f>IFERROR(INDEX([1]Cluster_Master!$C$4:$C$18,MATCH($F164,[1]Cluster_Master!$B$4:$B$18,0)),"")</f>
        <v/>
      </c>
      <c r="I164" s="60" t="str">
        <f>IFERROR(INDEX([1]Cluster_Master!$D$4:$D$18,MATCH($F164,[1]Cluster_Master!$B$4:$B$18,0)),"")</f>
        <v/>
      </c>
      <c r="J164" s="60" t="str">
        <f>IFERROR(INDEX([1]Cluster_Master!$E$4:$E$18,MATCH($F164,[1]Cluster_Master!$B$4:$B$18,0)),"")</f>
        <v/>
      </c>
      <c r="K164" s="60" t="str">
        <f>IFERROR(INDEX([1]Cluster_Master!$F$4:$F$18,MATCH($F164,[1]Cluster_Master!$B$4:$B$18,0)),"")</f>
        <v/>
      </c>
      <c r="L164" s="60" t="str">
        <f>IFERROR(INDEX([1]Cluster_Master!$G$4:$G$18,MATCH($F164,[1]Cluster_Master!$B$4:$B$18,0)),"")</f>
        <v/>
      </c>
      <c r="M164" s="60" t="str">
        <f>IFERROR(INDEX([1]Cluster_Master!$H$4:$H$18,MATCH($F164,[1]Cluster_Master!$B$4:$B$18,0)),"")</f>
        <v/>
      </c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60" t="str">
        <f>IF(COUNTA(T164:AH164)=0,"",SUM(T164:AH164))</f>
        <v/>
      </c>
      <c r="AJ164" s="61" t="str">
        <f>IF(COUNTA(T164:AH164)=0,"",AI164/75)</f>
        <v/>
      </c>
      <c r="AK164" s="61" t="str">
        <f>IF(COUNTA(T164:AH164)=0,"",(SUM(T164*[1]KPI_Weights!$B$4,U164*[1]KPI_Weights!$B$5,V164*[1]KPI_Weights!$B$6,W164*[1]KPI_Weights!$B$7,X164*[1]KPI_Weights!$B$8,Y164*[1]KPI_Weights!$B$9,Z164*[1]KPI_Weights!$B$10,AA164*[1]KPI_Weights!$B$11,AB164*[1]KPI_Weights!$B$12,AC164*[1]KPI_Weights!$B$13,AD164*[1]KPI_Weights!$B$14,AE164*[1]KPI_Weights!$B$15,AF164*[1]KPI_Weights!$B$16,AG164*[1]KPI_Weights!$B$17,AH164*[1]KPI_Weights!$B$18))/5)</f>
        <v/>
      </c>
      <c r="AL164" s="60" t="str">
        <f>IF(COUNTA(T164:AH164)=0,"",IF(OR(T164&lt;=1,W164&lt;=1,X164&lt;=1,Y164&lt;=1,AB164&lt;=1),"YES","NO"))</f>
        <v/>
      </c>
      <c r="AM164" s="60" t="str">
        <f>IF(AJ164="","",IF(AND(AL164="NO",AJ164&gt;=0.75),"YES","NO"))</f>
        <v/>
      </c>
      <c r="AN164" s="60" t="str">
        <f>IF(AJ164="","",IF(AJ164&lt;0.4,"Critical",IF(AJ164&lt;0.6,"Poor",IF(AJ164&lt;0.75,"Needs Improvement",IF(AJ164&lt;0.9,"Good","Excellent")))))</f>
        <v/>
      </c>
      <c r="AO164" s="59"/>
      <c r="AP164" s="59"/>
      <c r="AQ164" s="59"/>
      <c r="AR164" s="59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</row>
    <row r="165" spans="1:54" ht="19.5" customHeight="1" x14ac:dyDescent="0.25">
      <c r="A165" s="60" t="str">
        <f>IF($B165="","",TEXT($B165,"yyyymmdd")&amp;"-"&amp;SUBSTITUTE($F165," ","")&amp;"-"&amp;TEXT(COUNTIF($F$4:F165,$F165),"00"))</f>
        <v/>
      </c>
      <c r="B165" s="65"/>
      <c r="C165" s="60" t="str">
        <f>IF($B165="","",WEEKNUM($B165,2))</f>
        <v/>
      </c>
      <c r="D165" s="60" t="str">
        <f>IF($B165="","",TEXT($B165,"yyyy-mm"))</f>
        <v/>
      </c>
      <c r="E165" s="64"/>
      <c r="F165" s="64"/>
      <c r="G165" s="60" t="str">
        <f>IF(OR($E165="",$F165=""),"",IFERROR(IF($E165=INDEX([1]Cluster_Master!$A$4:$A$18,MATCH($F165,[1]Cluster_Master!$B$4:$B$18,0)),"OK","CHECK"),"CHECK"))</f>
        <v/>
      </c>
      <c r="H165" s="63" t="str">
        <f>IFERROR(INDEX([1]Cluster_Master!$C$4:$C$18,MATCH($F165,[1]Cluster_Master!$B$4:$B$18,0)),"")</f>
        <v/>
      </c>
      <c r="I165" s="60" t="str">
        <f>IFERROR(INDEX([1]Cluster_Master!$D$4:$D$18,MATCH($F165,[1]Cluster_Master!$B$4:$B$18,0)),"")</f>
        <v/>
      </c>
      <c r="J165" s="60" t="str">
        <f>IFERROR(INDEX([1]Cluster_Master!$E$4:$E$18,MATCH($F165,[1]Cluster_Master!$B$4:$B$18,0)),"")</f>
        <v/>
      </c>
      <c r="K165" s="60" t="str">
        <f>IFERROR(INDEX([1]Cluster_Master!$F$4:$F$18,MATCH($F165,[1]Cluster_Master!$B$4:$B$18,0)),"")</f>
        <v/>
      </c>
      <c r="L165" s="60" t="str">
        <f>IFERROR(INDEX([1]Cluster_Master!$G$4:$G$18,MATCH($F165,[1]Cluster_Master!$B$4:$B$18,0)),"")</f>
        <v/>
      </c>
      <c r="M165" s="60" t="str">
        <f>IFERROR(INDEX([1]Cluster_Master!$H$4:$H$18,MATCH($F165,[1]Cluster_Master!$B$4:$B$18,0)),"")</f>
        <v/>
      </c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60" t="str">
        <f>IF(COUNTA(T165:AH165)=0,"",SUM(T165:AH165))</f>
        <v/>
      </c>
      <c r="AJ165" s="61" t="str">
        <f>IF(COUNTA(T165:AH165)=0,"",AI165/75)</f>
        <v/>
      </c>
      <c r="AK165" s="61" t="str">
        <f>IF(COUNTA(T165:AH165)=0,"",(SUM(T165*[1]KPI_Weights!$B$4,U165*[1]KPI_Weights!$B$5,V165*[1]KPI_Weights!$B$6,W165*[1]KPI_Weights!$B$7,X165*[1]KPI_Weights!$B$8,Y165*[1]KPI_Weights!$B$9,Z165*[1]KPI_Weights!$B$10,AA165*[1]KPI_Weights!$B$11,AB165*[1]KPI_Weights!$B$12,AC165*[1]KPI_Weights!$B$13,AD165*[1]KPI_Weights!$B$14,AE165*[1]KPI_Weights!$B$15,AF165*[1]KPI_Weights!$B$16,AG165*[1]KPI_Weights!$B$17,AH165*[1]KPI_Weights!$B$18))/5)</f>
        <v/>
      </c>
      <c r="AL165" s="60" t="str">
        <f>IF(COUNTA(T165:AH165)=0,"",IF(OR(T165&lt;=1,W165&lt;=1,X165&lt;=1,Y165&lt;=1,AB165&lt;=1),"YES","NO"))</f>
        <v/>
      </c>
      <c r="AM165" s="60" t="str">
        <f>IF(AJ165="","",IF(AND(AL165="NO",AJ165&gt;=0.75),"YES","NO"))</f>
        <v/>
      </c>
      <c r="AN165" s="60" t="str">
        <f>IF(AJ165="","",IF(AJ165&lt;0.4,"Critical",IF(AJ165&lt;0.6,"Poor",IF(AJ165&lt;0.75,"Needs Improvement",IF(AJ165&lt;0.9,"Good","Excellent")))))</f>
        <v/>
      </c>
      <c r="AO165" s="59"/>
      <c r="AP165" s="59"/>
      <c r="AQ165" s="59"/>
      <c r="AR165" s="59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</row>
    <row r="166" spans="1:54" ht="19.5" customHeight="1" x14ac:dyDescent="0.25">
      <c r="A166" s="60" t="str">
        <f>IF($B166="","",TEXT($B166,"yyyymmdd")&amp;"-"&amp;SUBSTITUTE($F166," ","")&amp;"-"&amp;TEXT(COUNTIF($F$4:F166,$F166),"00"))</f>
        <v/>
      </c>
      <c r="B166" s="65"/>
      <c r="C166" s="60" t="str">
        <f>IF($B166="","",WEEKNUM($B166,2))</f>
        <v/>
      </c>
      <c r="D166" s="60" t="str">
        <f>IF($B166="","",TEXT($B166,"yyyy-mm"))</f>
        <v/>
      </c>
      <c r="E166" s="64"/>
      <c r="F166" s="64"/>
      <c r="G166" s="60" t="str">
        <f>IF(OR($E166="",$F166=""),"",IFERROR(IF($E166=INDEX([1]Cluster_Master!$A$4:$A$18,MATCH($F166,[1]Cluster_Master!$B$4:$B$18,0)),"OK","CHECK"),"CHECK"))</f>
        <v/>
      </c>
      <c r="H166" s="63" t="str">
        <f>IFERROR(INDEX([1]Cluster_Master!$C$4:$C$18,MATCH($F166,[1]Cluster_Master!$B$4:$B$18,0)),"")</f>
        <v/>
      </c>
      <c r="I166" s="60" t="str">
        <f>IFERROR(INDEX([1]Cluster_Master!$D$4:$D$18,MATCH($F166,[1]Cluster_Master!$B$4:$B$18,0)),"")</f>
        <v/>
      </c>
      <c r="J166" s="60" t="str">
        <f>IFERROR(INDEX([1]Cluster_Master!$E$4:$E$18,MATCH($F166,[1]Cluster_Master!$B$4:$B$18,0)),"")</f>
        <v/>
      </c>
      <c r="K166" s="60" t="str">
        <f>IFERROR(INDEX([1]Cluster_Master!$F$4:$F$18,MATCH($F166,[1]Cluster_Master!$B$4:$B$18,0)),"")</f>
        <v/>
      </c>
      <c r="L166" s="60" t="str">
        <f>IFERROR(INDEX([1]Cluster_Master!$G$4:$G$18,MATCH($F166,[1]Cluster_Master!$B$4:$B$18,0)),"")</f>
        <v/>
      </c>
      <c r="M166" s="60" t="str">
        <f>IFERROR(INDEX([1]Cluster_Master!$H$4:$H$18,MATCH($F166,[1]Cluster_Master!$B$4:$B$18,0)),"")</f>
        <v/>
      </c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60" t="str">
        <f>IF(COUNTA(T166:AH166)=0,"",SUM(T166:AH166))</f>
        <v/>
      </c>
      <c r="AJ166" s="61" t="str">
        <f>IF(COUNTA(T166:AH166)=0,"",AI166/75)</f>
        <v/>
      </c>
      <c r="AK166" s="61" t="str">
        <f>IF(COUNTA(T166:AH166)=0,"",(SUM(T166*[1]KPI_Weights!$B$4,U166*[1]KPI_Weights!$B$5,V166*[1]KPI_Weights!$B$6,W166*[1]KPI_Weights!$B$7,X166*[1]KPI_Weights!$B$8,Y166*[1]KPI_Weights!$B$9,Z166*[1]KPI_Weights!$B$10,AA166*[1]KPI_Weights!$B$11,AB166*[1]KPI_Weights!$B$12,AC166*[1]KPI_Weights!$B$13,AD166*[1]KPI_Weights!$B$14,AE166*[1]KPI_Weights!$B$15,AF166*[1]KPI_Weights!$B$16,AG166*[1]KPI_Weights!$B$17,AH166*[1]KPI_Weights!$B$18))/5)</f>
        <v/>
      </c>
      <c r="AL166" s="60" t="str">
        <f>IF(COUNTA(T166:AH166)=0,"",IF(OR(T166&lt;=1,W166&lt;=1,X166&lt;=1,Y166&lt;=1,AB166&lt;=1),"YES","NO"))</f>
        <v/>
      </c>
      <c r="AM166" s="60" t="str">
        <f>IF(AJ166="","",IF(AND(AL166="NO",AJ166&gt;=0.75),"YES","NO"))</f>
        <v/>
      </c>
      <c r="AN166" s="60" t="str">
        <f>IF(AJ166="","",IF(AJ166&lt;0.4,"Critical",IF(AJ166&lt;0.6,"Poor",IF(AJ166&lt;0.75,"Needs Improvement",IF(AJ166&lt;0.9,"Good","Excellent")))))</f>
        <v/>
      </c>
      <c r="AO166" s="59"/>
      <c r="AP166" s="59"/>
      <c r="AQ166" s="59"/>
      <c r="AR166" s="59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</row>
    <row r="167" spans="1:54" ht="19.5" customHeight="1" x14ac:dyDescent="0.25">
      <c r="A167" s="60" t="str">
        <f>IF($B167="","",TEXT($B167,"yyyymmdd")&amp;"-"&amp;SUBSTITUTE($F167," ","")&amp;"-"&amp;TEXT(COUNTIF($F$4:F167,$F167),"00"))</f>
        <v/>
      </c>
      <c r="B167" s="65"/>
      <c r="C167" s="60" t="str">
        <f>IF($B167="","",WEEKNUM($B167,2))</f>
        <v/>
      </c>
      <c r="D167" s="60" t="str">
        <f>IF($B167="","",TEXT($B167,"yyyy-mm"))</f>
        <v/>
      </c>
      <c r="E167" s="64"/>
      <c r="F167" s="64"/>
      <c r="G167" s="60" t="str">
        <f>IF(OR($E167="",$F167=""),"",IFERROR(IF($E167=INDEX([1]Cluster_Master!$A$4:$A$18,MATCH($F167,[1]Cluster_Master!$B$4:$B$18,0)),"OK","CHECK"),"CHECK"))</f>
        <v/>
      </c>
      <c r="H167" s="63" t="str">
        <f>IFERROR(INDEX([1]Cluster_Master!$C$4:$C$18,MATCH($F167,[1]Cluster_Master!$B$4:$B$18,0)),"")</f>
        <v/>
      </c>
      <c r="I167" s="60" t="str">
        <f>IFERROR(INDEX([1]Cluster_Master!$D$4:$D$18,MATCH($F167,[1]Cluster_Master!$B$4:$B$18,0)),"")</f>
        <v/>
      </c>
      <c r="J167" s="60" t="str">
        <f>IFERROR(INDEX([1]Cluster_Master!$E$4:$E$18,MATCH($F167,[1]Cluster_Master!$B$4:$B$18,0)),"")</f>
        <v/>
      </c>
      <c r="K167" s="60" t="str">
        <f>IFERROR(INDEX([1]Cluster_Master!$F$4:$F$18,MATCH($F167,[1]Cluster_Master!$B$4:$B$18,0)),"")</f>
        <v/>
      </c>
      <c r="L167" s="60" t="str">
        <f>IFERROR(INDEX([1]Cluster_Master!$G$4:$G$18,MATCH($F167,[1]Cluster_Master!$B$4:$B$18,0)),"")</f>
        <v/>
      </c>
      <c r="M167" s="60" t="str">
        <f>IFERROR(INDEX([1]Cluster_Master!$H$4:$H$18,MATCH($F167,[1]Cluster_Master!$B$4:$B$18,0)),"")</f>
        <v/>
      </c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60" t="str">
        <f>IF(COUNTA(T167:AH167)=0,"",SUM(T167:AH167))</f>
        <v/>
      </c>
      <c r="AJ167" s="61" t="str">
        <f>IF(COUNTA(T167:AH167)=0,"",AI167/75)</f>
        <v/>
      </c>
      <c r="AK167" s="61" t="str">
        <f>IF(COUNTA(T167:AH167)=0,"",(SUM(T167*[1]KPI_Weights!$B$4,U167*[1]KPI_Weights!$B$5,V167*[1]KPI_Weights!$B$6,W167*[1]KPI_Weights!$B$7,X167*[1]KPI_Weights!$B$8,Y167*[1]KPI_Weights!$B$9,Z167*[1]KPI_Weights!$B$10,AA167*[1]KPI_Weights!$B$11,AB167*[1]KPI_Weights!$B$12,AC167*[1]KPI_Weights!$B$13,AD167*[1]KPI_Weights!$B$14,AE167*[1]KPI_Weights!$B$15,AF167*[1]KPI_Weights!$B$16,AG167*[1]KPI_Weights!$B$17,AH167*[1]KPI_Weights!$B$18))/5)</f>
        <v/>
      </c>
      <c r="AL167" s="60" t="str">
        <f>IF(COUNTA(T167:AH167)=0,"",IF(OR(T167&lt;=1,W167&lt;=1,X167&lt;=1,Y167&lt;=1,AB167&lt;=1),"YES","NO"))</f>
        <v/>
      </c>
      <c r="AM167" s="60" t="str">
        <f>IF(AJ167="","",IF(AND(AL167="NO",AJ167&gt;=0.75),"YES","NO"))</f>
        <v/>
      </c>
      <c r="AN167" s="60" t="str">
        <f>IF(AJ167="","",IF(AJ167&lt;0.4,"Critical",IF(AJ167&lt;0.6,"Poor",IF(AJ167&lt;0.75,"Needs Improvement",IF(AJ167&lt;0.9,"Good","Excellent")))))</f>
        <v/>
      </c>
      <c r="AO167" s="59"/>
      <c r="AP167" s="59"/>
      <c r="AQ167" s="59"/>
      <c r="AR167" s="59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</row>
    <row r="168" spans="1:54" ht="19.5" customHeight="1" x14ac:dyDescent="0.25">
      <c r="A168" s="60" t="str">
        <f>IF($B168="","",TEXT($B168,"yyyymmdd")&amp;"-"&amp;SUBSTITUTE($F168," ","")&amp;"-"&amp;TEXT(COUNTIF($F$4:F168,$F168),"00"))</f>
        <v/>
      </c>
      <c r="B168" s="65"/>
      <c r="C168" s="60" t="str">
        <f>IF($B168="","",WEEKNUM($B168,2))</f>
        <v/>
      </c>
      <c r="D168" s="60" t="str">
        <f>IF($B168="","",TEXT($B168,"yyyy-mm"))</f>
        <v/>
      </c>
      <c r="E168" s="64"/>
      <c r="F168" s="64"/>
      <c r="G168" s="60" t="str">
        <f>IF(OR($E168="",$F168=""),"",IFERROR(IF($E168=INDEX([1]Cluster_Master!$A$4:$A$18,MATCH($F168,[1]Cluster_Master!$B$4:$B$18,0)),"OK","CHECK"),"CHECK"))</f>
        <v/>
      </c>
      <c r="H168" s="63" t="str">
        <f>IFERROR(INDEX([1]Cluster_Master!$C$4:$C$18,MATCH($F168,[1]Cluster_Master!$B$4:$B$18,0)),"")</f>
        <v/>
      </c>
      <c r="I168" s="60" t="str">
        <f>IFERROR(INDEX([1]Cluster_Master!$D$4:$D$18,MATCH($F168,[1]Cluster_Master!$B$4:$B$18,0)),"")</f>
        <v/>
      </c>
      <c r="J168" s="60" t="str">
        <f>IFERROR(INDEX([1]Cluster_Master!$E$4:$E$18,MATCH($F168,[1]Cluster_Master!$B$4:$B$18,0)),"")</f>
        <v/>
      </c>
      <c r="K168" s="60" t="str">
        <f>IFERROR(INDEX([1]Cluster_Master!$F$4:$F$18,MATCH($F168,[1]Cluster_Master!$B$4:$B$18,0)),"")</f>
        <v/>
      </c>
      <c r="L168" s="60" t="str">
        <f>IFERROR(INDEX([1]Cluster_Master!$G$4:$G$18,MATCH($F168,[1]Cluster_Master!$B$4:$B$18,0)),"")</f>
        <v/>
      </c>
      <c r="M168" s="60" t="str">
        <f>IFERROR(INDEX([1]Cluster_Master!$H$4:$H$18,MATCH($F168,[1]Cluster_Master!$B$4:$B$18,0)),"")</f>
        <v/>
      </c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60" t="str">
        <f>IF(COUNTA(T168:AH168)=0,"",SUM(T168:AH168))</f>
        <v/>
      </c>
      <c r="AJ168" s="61" t="str">
        <f>IF(COUNTA(T168:AH168)=0,"",AI168/75)</f>
        <v/>
      </c>
      <c r="AK168" s="61" t="str">
        <f>IF(COUNTA(T168:AH168)=0,"",(SUM(T168*[1]KPI_Weights!$B$4,U168*[1]KPI_Weights!$B$5,V168*[1]KPI_Weights!$B$6,W168*[1]KPI_Weights!$B$7,X168*[1]KPI_Weights!$B$8,Y168*[1]KPI_Weights!$B$9,Z168*[1]KPI_Weights!$B$10,AA168*[1]KPI_Weights!$B$11,AB168*[1]KPI_Weights!$B$12,AC168*[1]KPI_Weights!$B$13,AD168*[1]KPI_Weights!$B$14,AE168*[1]KPI_Weights!$B$15,AF168*[1]KPI_Weights!$B$16,AG168*[1]KPI_Weights!$B$17,AH168*[1]KPI_Weights!$B$18))/5)</f>
        <v/>
      </c>
      <c r="AL168" s="60" t="str">
        <f>IF(COUNTA(T168:AH168)=0,"",IF(OR(T168&lt;=1,W168&lt;=1,X168&lt;=1,Y168&lt;=1,AB168&lt;=1),"YES","NO"))</f>
        <v/>
      </c>
      <c r="AM168" s="60" t="str">
        <f>IF(AJ168="","",IF(AND(AL168="NO",AJ168&gt;=0.75),"YES","NO"))</f>
        <v/>
      </c>
      <c r="AN168" s="60" t="str">
        <f>IF(AJ168="","",IF(AJ168&lt;0.4,"Critical",IF(AJ168&lt;0.6,"Poor",IF(AJ168&lt;0.75,"Needs Improvement",IF(AJ168&lt;0.9,"Good","Excellent")))))</f>
        <v/>
      </c>
      <c r="AO168" s="59"/>
      <c r="AP168" s="59"/>
      <c r="AQ168" s="59"/>
      <c r="AR168" s="59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</row>
    <row r="169" spans="1:54" ht="19.5" customHeight="1" x14ac:dyDescent="0.25">
      <c r="A169" s="60" t="str">
        <f>IF($B169="","",TEXT($B169,"yyyymmdd")&amp;"-"&amp;SUBSTITUTE($F169," ","")&amp;"-"&amp;TEXT(COUNTIF($F$4:F169,$F169),"00"))</f>
        <v/>
      </c>
      <c r="B169" s="65"/>
      <c r="C169" s="60" t="str">
        <f>IF($B169="","",WEEKNUM($B169,2))</f>
        <v/>
      </c>
      <c r="D169" s="60" t="str">
        <f>IF($B169="","",TEXT($B169,"yyyy-mm"))</f>
        <v/>
      </c>
      <c r="E169" s="64"/>
      <c r="F169" s="64"/>
      <c r="G169" s="60" t="str">
        <f>IF(OR($E169="",$F169=""),"",IFERROR(IF($E169=INDEX([1]Cluster_Master!$A$4:$A$18,MATCH($F169,[1]Cluster_Master!$B$4:$B$18,0)),"OK","CHECK"),"CHECK"))</f>
        <v/>
      </c>
      <c r="H169" s="63" t="str">
        <f>IFERROR(INDEX([1]Cluster_Master!$C$4:$C$18,MATCH($F169,[1]Cluster_Master!$B$4:$B$18,0)),"")</f>
        <v/>
      </c>
      <c r="I169" s="60" t="str">
        <f>IFERROR(INDEX([1]Cluster_Master!$D$4:$D$18,MATCH($F169,[1]Cluster_Master!$B$4:$B$18,0)),"")</f>
        <v/>
      </c>
      <c r="J169" s="60" t="str">
        <f>IFERROR(INDEX([1]Cluster_Master!$E$4:$E$18,MATCH($F169,[1]Cluster_Master!$B$4:$B$18,0)),"")</f>
        <v/>
      </c>
      <c r="K169" s="60" t="str">
        <f>IFERROR(INDEX([1]Cluster_Master!$F$4:$F$18,MATCH($F169,[1]Cluster_Master!$B$4:$B$18,0)),"")</f>
        <v/>
      </c>
      <c r="L169" s="60" t="str">
        <f>IFERROR(INDEX([1]Cluster_Master!$G$4:$G$18,MATCH($F169,[1]Cluster_Master!$B$4:$B$18,0)),"")</f>
        <v/>
      </c>
      <c r="M169" s="60" t="str">
        <f>IFERROR(INDEX([1]Cluster_Master!$H$4:$H$18,MATCH($F169,[1]Cluster_Master!$B$4:$B$18,0)),"")</f>
        <v/>
      </c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60" t="str">
        <f>IF(COUNTA(T169:AH169)=0,"",SUM(T169:AH169))</f>
        <v/>
      </c>
      <c r="AJ169" s="61" t="str">
        <f>IF(COUNTA(T169:AH169)=0,"",AI169/75)</f>
        <v/>
      </c>
      <c r="AK169" s="61" t="str">
        <f>IF(COUNTA(T169:AH169)=0,"",(SUM(T169*[1]KPI_Weights!$B$4,U169*[1]KPI_Weights!$B$5,V169*[1]KPI_Weights!$B$6,W169*[1]KPI_Weights!$B$7,X169*[1]KPI_Weights!$B$8,Y169*[1]KPI_Weights!$B$9,Z169*[1]KPI_Weights!$B$10,AA169*[1]KPI_Weights!$B$11,AB169*[1]KPI_Weights!$B$12,AC169*[1]KPI_Weights!$B$13,AD169*[1]KPI_Weights!$B$14,AE169*[1]KPI_Weights!$B$15,AF169*[1]KPI_Weights!$B$16,AG169*[1]KPI_Weights!$B$17,AH169*[1]KPI_Weights!$B$18))/5)</f>
        <v/>
      </c>
      <c r="AL169" s="60" t="str">
        <f>IF(COUNTA(T169:AH169)=0,"",IF(OR(T169&lt;=1,W169&lt;=1,X169&lt;=1,Y169&lt;=1,AB169&lt;=1),"YES","NO"))</f>
        <v/>
      </c>
      <c r="AM169" s="60" t="str">
        <f>IF(AJ169="","",IF(AND(AL169="NO",AJ169&gt;=0.75),"YES","NO"))</f>
        <v/>
      </c>
      <c r="AN169" s="60" t="str">
        <f>IF(AJ169="","",IF(AJ169&lt;0.4,"Critical",IF(AJ169&lt;0.6,"Poor",IF(AJ169&lt;0.75,"Needs Improvement",IF(AJ169&lt;0.9,"Good","Excellent")))))</f>
        <v/>
      </c>
      <c r="AO169" s="59"/>
      <c r="AP169" s="59"/>
      <c r="AQ169" s="59"/>
      <c r="AR169" s="59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</row>
    <row r="170" spans="1:54" ht="19.5" customHeight="1" x14ac:dyDescent="0.25">
      <c r="A170" s="60" t="str">
        <f>IF($B170="","",TEXT($B170,"yyyymmdd")&amp;"-"&amp;SUBSTITUTE($F170," ","")&amp;"-"&amp;TEXT(COUNTIF($F$4:F170,$F170),"00"))</f>
        <v/>
      </c>
      <c r="B170" s="65"/>
      <c r="C170" s="60" t="str">
        <f>IF($B170="","",WEEKNUM($B170,2))</f>
        <v/>
      </c>
      <c r="D170" s="60" t="str">
        <f>IF($B170="","",TEXT($B170,"yyyy-mm"))</f>
        <v/>
      </c>
      <c r="E170" s="64"/>
      <c r="F170" s="64"/>
      <c r="G170" s="60" t="str">
        <f>IF(OR($E170="",$F170=""),"",IFERROR(IF($E170=INDEX([1]Cluster_Master!$A$4:$A$18,MATCH($F170,[1]Cluster_Master!$B$4:$B$18,0)),"OK","CHECK"),"CHECK"))</f>
        <v/>
      </c>
      <c r="H170" s="63" t="str">
        <f>IFERROR(INDEX([1]Cluster_Master!$C$4:$C$18,MATCH($F170,[1]Cluster_Master!$B$4:$B$18,0)),"")</f>
        <v/>
      </c>
      <c r="I170" s="60" t="str">
        <f>IFERROR(INDEX([1]Cluster_Master!$D$4:$D$18,MATCH($F170,[1]Cluster_Master!$B$4:$B$18,0)),"")</f>
        <v/>
      </c>
      <c r="J170" s="60" t="str">
        <f>IFERROR(INDEX([1]Cluster_Master!$E$4:$E$18,MATCH($F170,[1]Cluster_Master!$B$4:$B$18,0)),"")</f>
        <v/>
      </c>
      <c r="K170" s="60" t="str">
        <f>IFERROR(INDEX([1]Cluster_Master!$F$4:$F$18,MATCH($F170,[1]Cluster_Master!$B$4:$B$18,0)),"")</f>
        <v/>
      </c>
      <c r="L170" s="60" t="str">
        <f>IFERROR(INDEX([1]Cluster_Master!$G$4:$G$18,MATCH($F170,[1]Cluster_Master!$B$4:$B$18,0)),"")</f>
        <v/>
      </c>
      <c r="M170" s="60" t="str">
        <f>IFERROR(INDEX([1]Cluster_Master!$H$4:$H$18,MATCH($F170,[1]Cluster_Master!$B$4:$B$18,0)),"")</f>
        <v/>
      </c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60" t="str">
        <f>IF(COUNTA(T170:AH170)=0,"",SUM(T170:AH170))</f>
        <v/>
      </c>
      <c r="AJ170" s="61" t="str">
        <f>IF(COUNTA(T170:AH170)=0,"",AI170/75)</f>
        <v/>
      </c>
      <c r="AK170" s="61" t="str">
        <f>IF(COUNTA(T170:AH170)=0,"",(SUM(T170*[1]KPI_Weights!$B$4,U170*[1]KPI_Weights!$B$5,V170*[1]KPI_Weights!$B$6,W170*[1]KPI_Weights!$B$7,X170*[1]KPI_Weights!$B$8,Y170*[1]KPI_Weights!$B$9,Z170*[1]KPI_Weights!$B$10,AA170*[1]KPI_Weights!$B$11,AB170*[1]KPI_Weights!$B$12,AC170*[1]KPI_Weights!$B$13,AD170*[1]KPI_Weights!$B$14,AE170*[1]KPI_Weights!$B$15,AF170*[1]KPI_Weights!$B$16,AG170*[1]KPI_Weights!$B$17,AH170*[1]KPI_Weights!$B$18))/5)</f>
        <v/>
      </c>
      <c r="AL170" s="60" t="str">
        <f>IF(COUNTA(T170:AH170)=0,"",IF(OR(T170&lt;=1,W170&lt;=1,X170&lt;=1,Y170&lt;=1,AB170&lt;=1),"YES","NO"))</f>
        <v/>
      </c>
      <c r="AM170" s="60" t="str">
        <f>IF(AJ170="","",IF(AND(AL170="NO",AJ170&gt;=0.75),"YES","NO"))</f>
        <v/>
      </c>
      <c r="AN170" s="60" t="str">
        <f>IF(AJ170="","",IF(AJ170&lt;0.4,"Critical",IF(AJ170&lt;0.6,"Poor",IF(AJ170&lt;0.75,"Needs Improvement",IF(AJ170&lt;0.9,"Good","Excellent")))))</f>
        <v/>
      </c>
      <c r="AO170" s="59"/>
      <c r="AP170" s="59"/>
      <c r="AQ170" s="59"/>
      <c r="AR170" s="59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</row>
    <row r="171" spans="1:54" ht="19.5" customHeight="1" x14ac:dyDescent="0.25">
      <c r="A171" s="60" t="str">
        <f>IF($B171="","",TEXT($B171,"yyyymmdd")&amp;"-"&amp;SUBSTITUTE($F171," ","")&amp;"-"&amp;TEXT(COUNTIF($F$4:F171,$F171),"00"))</f>
        <v/>
      </c>
      <c r="B171" s="65"/>
      <c r="C171" s="60" t="str">
        <f>IF($B171="","",WEEKNUM($B171,2))</f>
        <v/>
      </c>
      <c r="D171" s="60" t="str">
        <f>IF($B171="","",TEXT($B171,"yyyy-mm"))</f>
        <v/>
      </c>
      <c r="E171" s="64"/>
      <c r="F171" s="64"/>
      <c r="G171" s="60" t="str">
        <f>IF(OR($E171="",$F171=""),"",IFERROR(IF($E171=INDEX([1]Cluster_Master!$A$4:$A$18,MATCH($F171,[1]Cluster_Master!$B$4:$B$18,0)),"OK","CHECK"),"CHECK"))</f>
        <v/>
      </c>
      <c r="H171" s="63" t="str">
        <f>IFERROR(INDEX([1]Cluster_Master!$C$4:$C$18,MATCH($F171,[1]Cluster_Master!$B$4:$B$18,0)),"")</f>
        <v/>
      </c>
      <c r="I171" s="60" t="str">
        <f>IFERROR(INDEX([1]Cluster_Master!$D$4:$D$18,MATCH($F171,[1]Cluster_Master!$B$4:$B$18,0)),"")</f>
        <v/>
      </c>
      <c r="J171" s="60" t="str">
        <f>IFERROR(INDEX([1]Cluster_Master!$E$4:$E$18,MATCH($F171,[1]Cluster_Master!$B$4:$B$18,0)),"")</f>
        <v/>
      </c>
      <c r="K171" s="60" t="str">
        <f>IFERROR(INDEX([1]Cluster_Master!$F$4:$F$18,MATCH($F171,[1]Cluster_Master!$B$4:$B$18,0)),"")</f>
        <v/>
      </c>
      <c r="L171" s="60" t="str">
        <f>IFERROR(INDEX([1]Cluster_Master!$G$4:$G$18,MATCH($F171,[1]Cluster_Master!$B$4:$B$18,0)),"")</f>
        <v/>
      </c>
      <c r="M171" s="60" t="str">
        <f>IFERROR(INDEX([1]Cluster_Master!$H$4:$H$18,MATCH($F171,[1]Cluster_Master!$B$4:$B$18,0)),"")</f>
        <v/>
      </c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60" t="str">
        <f>IF(COUNTA(T171:AH171)=0,"",SUM(T171:AH171))</f>
        <v/>
      </c>
      <c r="AJ171" s="61" t="str">
        <f>IF(COUNTA(T171:AH171)=0,"",AI171/75)</f>
        <v/>
      </c>
      <c r="AK171" s="61" t="str">
        <f>IF(COUNTA(T171:AH171)=0,"",(SUM(T171*[1]KPI_Weights!$B$4,U171*[1]KPI_Weights!$B$5,V171*[1]KPI_Weights!$B$6,W171*[1]KPI_Weights!$B$7,X171*[1]KPI_Weights!$B$8,Y171*[1]KPI_Weights!$B$9,Z171*[1]KPI_Weights!$B$10,AA171*[1]KPI_Weights!$B$11,AB171*[1]KPI_Weights!$B$12,AC171*[1]KPI_Weights!$B$13,AD171*[1]KPI_Weights!$B$14,AE171*[1]KPI_Weights!$B$15,AF171*[1]KPI_Weights!$B$16,AG171*[1]KPI_Weights!$B$17,AH171*[1]KPI_Weights!$B$18))/5)</f>
        <v/>
      </c>
      <c r="AL171" s="60" t="str">
        <f>IF(COUNTA(T171:AH171)=0,"",IF(OR(T171&lt;=1,W171&lt;=1,X171&lt;=1,Y171&lt;=1,AB171&lt;=1),"YES","NO"))</f>
        <v/>
      </c>
      <c r="AM171" s="60" t="str">
        <f>IF(AJ171="","",IF(AND(AL171="NO",AJ171&gt;=0.75),"YES","NO"))</f>
        <v/>
      </c>
      <c r="AN171" s="60" t="str">
        <f>IF(AJ171="","",IF(AJ171&lt;0.4,"Critical",IF(AJ171&lt;0.6,"Poor",IF(AJ171&lt;0.75,"Needs Improvement",IF(AJ171&lt;0.9,"Good","Excellent")))))</f>
        <v/>
      </c>
      <c r="AO171" s="59"/>
      <c r="AP171" s="59"/>
      <c r="AQ171" s="59"/>
      <c r="AR171" s="59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</row>
    <row r="172" spans="1:54" ht="19.5" customHeight="1" x14ac:dyDescent="0.25">
      <c r="A172" s="60" t="str">
        <f>IF($B172="","",TEXT($B172,"yyyymmdd")&amp;"-"&amp;SUBSTITUTE($F172," ","")&amp;"-"&amp;TEXT(COUNTIF($F$4:F172,$F172),"00"))</f>
        <v/>
      </c>
      <c r="B172" s="65"/>
      <c r="C172" s="60" t="str">
        <f>IF($B172="","",WEEKNUM($B172,2))</f>
        <v/>
      </c>
      <c r="D172" s="60" t="str">
        <f>IF($B172="","",TEXT($B172,"yyyy-mm"))</f>
        <v/>
      </c>
      <c r="E172" s="64"/>
      <c r="F172" s="64"/>
      <c r="G172" s="60" t="str">
        <f>IF(OR($E172="",$F172=""),"",IFERROR(IF($E172=INDEX([1]Cluster_Master!$A$4:$A$18,MATCH($F172,[1]Cluster_Master!$B$4:$B$18,0)),"OK","CHECK"),"CHECK"))</f>
        <v/>
      </c>
      <c r="H172" s="63" t="str">
        <f>IFERROR(INDEX([1]Cluster_Master!$C$4:$C$18,MATCH($F172,[1]Cluster_Master!$B$4:$B$18,0)),"")</f>
        <v/>
      </c>
      <c r="I172" s="60" t="str">
        <f>IFERROR(INDEX([1]Cluster_Master!$D$4:$D$18,MATCH($F172,[1]Cluster_Master!$B$4:$B$18,0)),"")</f>
        <v/>
      </c>
      <c r="J172" s="60" t="str">
        <f>IFERROR(INDEX([1]Cluster_Master!$E$4:$E$18,MATCH($F172,[1]Cluster_Master!$B$4:$B$18,0)),"")</f>
        <v/>
      </c>
      <c r="K172" s="60" t="str">
        <f>IFERROR(INDEX([1]Cluster_Master!$F$4:$F$18,MATCH($F172,[1]Cluster_Master!$B$4:$B$18,0)),"")</f>
        <v/>
      </c>
      <c r="L172" s="60" t="str">
        <f>IFERROR(INDEX([1]Cluster_Master!$G$4:$G$18,MATCH($F172,[1]Cluster_Master!$B$4:$B$18,0)),"")</f>
        <v/>
      </c>
      <c r="M172" s="60" t="str">
        <f>IFERROR(INDEX([1]Cluster_Master!$H$4:$H$18,MATCH($F172,[1]Cluster_Master!$B$4:$B$18,0)),"")</f>
        <v/>
      </c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60" t="str">
        <f>IF(COUNTA(T172:AH172)=0,"",SUM(T172:AH172))</f>
        <v/>
      </c>
      <c r="AJ172" s="61" t="str">
        <f>IF(COUNTA(T172:AH172)=0,"",AI172/75)</f>
        <v/>
      </c>
      <c r="AK172" s="61" t="str">
        <f>IF(COUNTA(T172:AH172)=0,"",(SUM(T172*[1]KPI_Weights!$B$4,U172*[1]KPI_Weights!$B$5,V172*[1]KPI_Weights!$B$6,W172*[1]KPI_Weights!$B$7,X172*[1]KPI_Weights!$B$8,Y172*[1]KPI_Weights!$B$9,Z172*[1]KPI_Weights!$B$10,AA172*[1]KPI_Weights!$B$11,AB172*[1]KPI_Weights!$B$12,AC172*[1]KPI_Weights!$B$13,AD172*[1]KPI_Weights!$B$14,AE172*[1]KPI_Weights!$B$15,AF172*[1]KPI_Weights!$B$16,AG172*[1]KPI_Weights!$B$17,AH172*[1]KPI_Weights!$B$18))/5)</f>
        <v/>
      </c>
      <c r="AL172" s="60" t="str">
        <f>IF(COUNTA(T172:AH172)=0,"",IF(OR(T172&lt;=1,W172&lt;=1,X172&lt;=1,Y172&lt;=1,AB172&lt;=1),"YES","NO"))</f>
        <v/>
      </c>
      <c r="AM172" s="60" t="str">
        <f>IF(AJ172="","",IF(AND(AL172="NO",AJ172&gt;=0.75),"YES","NO"))</f>
        <v/>
      </c>
      <c r="AN172" s="60" t="str">
        <f>IF(AJ172="","",IF(AJ172&lt;0.4,"Critical",IF(AJ172&lt;0.6,"Poor",IF(AJ172&lt;0.75,"Needs Improvement",IF(AJ172&lt;0.9,"Good","Excellent")))))</f>
        <v/>
      </c>
      <c r="AO172" s="59"/>
      <c r="AP172" s="59"/>
      <c r="AQ172" s="59"/>
      <c r="AR172" s="59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</row>
    <row r="173" spans="1:54" ht="19.5" customHeight="1" x14ac:dyDescent="0.25">
      <c r="A173" s="60" t="str">
        <f>IF($B173="","",TEXT($B173,"yyyymmdd")&amp;"-"&amp;SUBSTITUTE($F173," ","")&amp;"-"&amp;TEXT(COUNTIF($F$4:F173,$F173),"00"))</f>
        <v/>
      </c>
      <c r="B173" s="65"/>
      <c r="C173" s="60" t="str">
        <f>IF($B173="","",WEEKNUM($B173,2))</f>
        <v/>
      </c>
      <c r="D173" s="60" t="str">
        <f>IF($B173="","",TEXT($B173,"yyyy-mm"))</f>
        <v/>
      </c>
      <c r="E173" s="64"/>
      <c r="F173" s="64"/>
      <c r="G173" s="60" t="str">
        <f>IF(OR($E173="",$F173=""),"",IFERROR(IF($E173=INDEX([1]Cluster_Master!$A$4:$A$18,MATCH($F173,[1]Cluster_Master!$B$4:$B$18,0)),"OK","CHECK"),"CHECK"))</f>
        <v/>
      </c>
      <c r="H173" s="63" t="str">
        <f>IFERROR(INDEX([1]Cluster_Master!$C$4:$C$18,MATCH($F173,[1]Cluster_Master!$B$4:$B$18,0)),"")</f>
        <v/>
      </c>
      <c r="I173" s="60" t="str">
        <f>IFERROR(INDEX([1]Cluster_Master!$D$4:$D$18,MATCH($F173,[1]Cluster_Master!$B$4:$B$18,0)),"")</f>
        <v/>
      </c>
      <c r="J173" s="60" t="str">
        <f>IFERROR(INDEX([1]Cluster_Master!$E$4:$E$18,MATCH($F173,[1]Cluster_Master!$B$4:$B$18,0)),"")</f>
        <v/>
      </c>
      <c r="K173" s="60" t="str">
        <f>IFERROR(INDEX([1]Cluster_Master!$F$4:$F$18,MATCH($F173,[1]Cluster_Master!$B$4:$B$18,0)),"")</f>
        <v/>
      </c>
      <c r="L173" s="60" t="str">
        <f>IFERROR(INDEX([1]Cluster_Master!$G$4:$G$18,MATCH($F173,[1]Cluster_Master!$B$4:$B$18,0)),"")</f>
        <v/>
      </c>
      <c r="M173" s="60" t="str">
        <f>IFERROR(INDEX([1]Cluster_Master!$H$4:$H$18,MATCH($F173,[1]Cluster_Master!$B$4:$B$18,0)),"")</f>
        <v/>
      </c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60" t="str">
        <f>IF(COUNTA(T173:AH173)=0,"",SUM(T173:AH173))</f>
        <v/>
      </c>
      <c r="AJ173" s="61" t="str">
        <f>IF(COUNTA(T173:AH173)=0,"",AI173/75)</f>
        <v/>
      </c>
      <c r="AK173" s="61" t="str">
        <f>IF(COUNTA(T173:AH173)=0,"",(SUM(T173*[1]KPI_Weights!$B$4,U173*[1]KPI_Weights!$B$5,V173*[1]KPI_Weights!$B$6,W173*[1]KPI_Weights!$B$7,X173*[1]KPI_Weights!$B$8,Y173*[1]KPI_Weights!$B$9,Z173*[1]KPI_Weights!$B$10,AA173*[1]KPI_Weights!$B$11,AB173*[1]KPI_Weights!$B$12,AC173*[1]KPI_Weights!$B$13,AD173*[1]KPI_Weights!$B$14,AE173*[1]KPI_Weights!$B$15,AF173*[1]KPI_Weights!$B$16,AG173*[1]KPI_Weights!$B$17,AH173*[1]KPI_Weights!$B$18))/5)</f>
        <v/>
      </c>
      <c r="AL173" s="60" t="str">
        <f>IF(COUNTA(T173:AH173)=0,"",IF(OR(T173&lt;=1,W173&lt;=1,X173&lt;=1,Y173&lt;=1,AB173&lt;=1),"YES","NO"))</f>
        <v/>
      </c>
      <c r="AM173" s="60" t="str">
        <f>IF(AJ173="","",IF(AND(AL173="NO",AJ173&gt;=0.75),"YES","NO"))</f>
        <v/>
      </c>
      <c r="AN173" s="60" t="str">
        <f>IF(AJ173="","",IF(AJ173&lt;0.4,"Critical",IF(AJ173&lt;0.6,"Poor",IF(AJ173&lt;0.75,"Needs Improvement",IF(AJ173&lt;0.9,"Good","Excellent")))))</f>
        <v/>
      </c>
      <c r="AO173" s="59"/>
      <c r="AP173" s="59"/>
      <c r="AQ173" s="59"/>
      <c r="AR173" s="59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</row>
    <row r="174" spans="1:54" ht="19.5" customHeight="1" x14ac:dyDescent="0.25">
      <c r="A174" s="60" t="str">
        <f>IF($B174="","",TEXT($B174,"yyyymmdd")&amp;"-"&amp;SUBSTITUTE($F174," ","")&amp;"-"&amp;TEXT(COUNTIF($F$4:F174,$F174),"00"))</f>
        <v/>
      </c>
      <c r="B174" s="65"/>
      <c r="C174" s="60" t="str">
        <f>IF($B174="","",WEEKNUM($B174,2))</f>
        <v/>
      </c>
      <c r="D174" s="60" t="str">
        <f>IF($B174="","",TEXT($B174,"yyyy-mm"))</f>
        <v/>
      </c>
      <c r="E174" s="64"/>
      <c r="F174" s="64"/>
      <c r="G174" s="60" t="str">
        <f>IF(OR($E174="",$F174=""),"",IFERROR(IF($E174=INDEX([1]Cluster_Master!$A$4:$A$18,MATCH($F174,[1]Cluster_Master!$B$4:$B$18,0)),"OK","CHECK"),"CHECK"))</f>
        <v/>
      </c>
      <c r="H174" s="63" t="str">
        <f>IFERROR(INDEX([1]Cluster_Master!$C$4:$C$18,MATCH($F174,[1]Cluster_Master!$B$4:$B$18,0)),"")</f>
        <v/>
      </c>
      <c r="I174" s="60" t="str">
        <f>IFERROR(INDEX([1]Cluster_Master!$D$4:$D$18,MATCH($F174,[1]Cluster_Master!$B$4:$B$18,0)),"")</f>
        <v/>
      </c>
      <c r="J174" s="60" t="str">
        <f>IFERROR(INDEX([1]Cluster_Master!$E$4:$E$18,MATCH($F174,[1]Cluster_Master!$B$4:$B$18,0)),"")</f>
        <v/>
      </c>
      <c r="K174" s="60" t="str">
        <f>IFERROR(INDEX([1]Cluster_Master!$F$4:$F$18,MATCH($F174,[1]Cluster_Master!$B$4:$B$18,0)),"")</f>
        <v/>
      </c>
      <c r="L174" s="60" t="str">
        <f>IFERROR(INDEX([1]Cluster_Master!$G$4:$G$18,MATCH($F174,[1]Cluster_Master!$B$4:$B$18,0)),"")</f>
        <v/>
      </c>
      <c r="M174" s="60" t="str">
        <f>IFERROR(INDEX([1]Cluster_Master!$H$4:$H$18,MATCH($F174,[1]Cluster_Master!$B$4:$B$18,0)),"")</f>
        <v/>
      </c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60" t="str">
        <f>IF(COUNTA(T174:AH174)=0,"",SUM(T174:AH174))</f>
        <v/>
      </c>
      <c r="AJ174" s="61" t="str">
        <f>IF(COUNTA(T174:AH174)=0,"",AI174/75)</f>
        <v/>
      </c>
      <c r="AK174" s="61" t="str">
        <f>IF(COUNTA(T174:AH174)=0,"",(SUM(T174*[1]KPI_Weights!$B$4,U174*[1]KPI_Weights!$B$5,V174*[1]KPI_Weights!$B$6,W174*[1]KPI_Weights!$B$7,X174*[1]KPI_Weights!$B$8,Y174*[1]KPI_Weights!$B$9,Z174*[1]KPI_Weights!$B$10,AA174*[1]KPI_Weights!$B$11,AB174*[1]KPI_Weights!$B$12,AC174*[1]KPI_Weights!$B$13,AD174*[1]KPI_Weights!$B$14,AE174*[1]KPI_Weights!$B$15,AF174*[1]KPI_Weights!$B$16,AG174*[1]KPI_Weights!$B$17,AH174*[1]KPI_Weights!$B$18))/5)</f>
        <v/>
      </c>
      <c r="AL174" s="60" t="str">
        <f>IF(COUNTA(T174:AH174)=0,"",IF(OR(T174&lt;=1,W174&lt;=1,X174&lt;=1,Y174&lt;=1,AB174&lt;=1),"YES","NO"))</f>
        <v/>
      </c>
      <c r="AM174" s="60" t="str">
        <f>IF(AJ174="","",IF(AND(AL174="NO",AJ174&gt;=0.75),"YES","NO"))</f>
        <v/>
      </c>
      <c r="AN174" s="60" t="str">
        <f>IF(AJ174="","",IF(AJ174&lt;0.4,"Critical",IF(AJ174&lt;0.6,"Poor",IF(AJ174&lt;0.75,"Needs Improvement",IF(AJ174&lt;0.9,"Good","Excellent")))))</f>
        <v/>
      </c>
      <c r="AO174" s="59"/>
      <c r="AP174" s="59"/>
      <c r="AQ174" s="59"/>
      <c r="AR174" s="59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</row>
    <row r="175" spans="1:54" ht="19.5" customHeight="1" x14ac:dyDescent="0.25">
      <c r="A175" s="60" t="str">
        <f>IF($B175="","",TEXT($B175,"yyyymmdd")&amp;"-"&amp;SUBSTITUTE($F175," ","")&amp;"-"&amp;TEXT(COUNTIF($F$4:F175,$F175),"00"))</f>
        <v/>
      </c>
      <c r="B175" s="65"/>
      <c r="C175" s="60" t="str">
        <f>IF($B175="","",WEEKNUM($B175,2))</f>
        <v/>
      </c>
      <c r="D175" s="60" t="str">
        <f>IF($B175="","",TEXT($B175,"yyyy-mm"))</f>
        <v/>
      </c>
      <c r="E175" s="64"/>
      <c r="F175" s="64"/>
      <c r="G175" s="60" t="str">
        <f>IF(OR($E175="",$F175=""),"",IFERROR(IF($E175=INDEX([1]Cluster_Master!$A$4:$A$18,MATCH($F175,[1]Cluster_Master!$B$4:$B$18,0)),"OK","CHECK"),"CHECK"))</f>
        <v/>
      </c>
      <c r="H175" s="63" t="str">
        <f>IFERROR(INDEX([1]Cluster_Master!$C$4:$C$18,MATCH($F175,[1]Cluster_Master!$B$4:$B$18,0)),"")</f>
        <v/>
      </c>
      <c r="I175" s="60" t="str">
        <f>IFERROR(INDEX([1]Cluster_Master!$D$4:$D$18,MATCH($F175,[1]Cluster_Master!$B$4:$B$18,0)),"")</f>
        <v/>
      </c>
      <c r="J175" s="60" t="str">
        <f>IFERROR(INDEX([1]Cluster_Master!$E$4:$E$18,MATCH($F175,[1]Cluster_Master!$B$4:$B$18,0)),"")</f>
        <v/>
      </c>
      <c r="K175" s="60" t="str">
        <f>IFERROR(INDEX([1]Cluster_Master!$F$4:$F$18,MATCH($F175,[1]Cluster_Master!$B$4:$B$18,0)),"")</f>
        <v/>
      </c>
      <c r="L175" s="60" t="str">
        <f>IFERROR(INDEX([1]Cluster_Master!$G$4:$G$18,MATCH($F175,[1]Cluster_Master!$B$4:$B$18,0)),"")</f>
        <v/>
      </c>
      <c r="M175" s="60" t="str">
        <f>IFERROR(INDEX([1]Cluster_Master!$H$4:$H$18,MATCH($F175,[1]Cluster_Master!$B$4:$B$18,0)),"")</f>
        <v/>
      </c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60" t="str">
        <f>IF(COUNTA(T175:AH175)=0,"",SUM(T175:AH175))</f>
        <v/>
      </c>
      <c r="AJ175" s="61" t="str">
        <f>IF(COUNTA(T175:AH175)=0,"",AI175/75)</f>
        <v/>
      </c>
      <c r="AK175" s="61" t="str">
        <f>IF(COUNTA(T175:AH175)=0,"",(SUM(T175*[1]KPI_Weights!$B$4,U175*[1]KPI_Weights!$B$5,V175*[1]KPI_Weights!$B$6,W175*[1]KPI_Weights!$B$7,X175*[1]KPI_Weights!$B$8,Y175*[1]KPI_Weights!$B$9,Z175*[1]KPI_Weights!$B$10,AA175*[1]KPI_Weights!$B$11,AB175*[1]KPI_Weights!$B$12,AC175*[1]KPI_Weights!$B$13,AD175*[1]KPI_Weights!$B$14,AE175*[1]KPI_Weights!$B$15,AF175*[1]KPI_Weights!$B$16,AG175*[1]KPI_Weights!$B$17,AH175*[1]KPI_Weights!$B$18))/5)</f>
        <v/>
      </c>
      <c r="AL175" s="60" t="str">
        <f>IF(COUNTA(T175:AH175)=0,"",IF(OR(T175&lt;=1,W175&lt;=1,X175&lt;=1,Y175&lt;=1,AB175&lt;=1),"YES","NO"))</f>
        <v/>
      </c>
      <c r="AM175" s="60" t="str">
        <f>IF(AJ175="","",IF(AND(AL175="NO",AJ175&gt;=0.75),"YES","NO"))</f>
        <v/>
      </c>
      <c r="AN175" s="60" t="str">
        <f>IF(AJ175="","",IF(AJ175&lt;0.4,"Critical",IF(AJ175&lt;0.6,"Poor",IF(AJ175&lt;0.75,"Needs Improvement",IF(AJ175&lt;0.9,"Good","Excellent")))))</f>
        <v/>
      </c>
      <c r="AO175" s="59"/>
      <c r="AP175" s="59"/>
      <c r="AQ175" s="59"/>
      <c r="AR175" s="59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</row>
    <row r="176" spans="1:54" ht="19.5" customHeight="1" x14ac:dyDescent="0.25">
      <c r="A176" s="60" t="str">
        <f>IF($B176="","",TEXT($B176,"yyyymmdd")&amp;"-"&amp;SUBSTITUTE($F176," ","")&amp;"-"&amp;TEXT(COUNTIF($F$4:F176,$F176),"00"))</f>
        <v/>
      </c>
      <c r="B176" s="65"/>
      <c r="C176" s="60" t="str">
        <f>IF($B176="","",WEEKNUM($B176,2))</f>
        <v/>
      </c>
      <c r="D176" s="60" t="str">
        <f>IF($B176="","",TEXT($B176,"yyyy-mm"))</f>
        <v/>
      </c>
      <c r="E176" s="64"/>
      <c r="F176" s="64"/>
      <c r="G176" s="60" t="str">
        <f>IF(OR($E176="",$F176=""),"",IFERROR(IF($E176=INDEX([1]Cluster_Master!$A$4:$A$18,MATCH($F176,[1]Cluster_Master!$B$4:$B$18,0)),"OK","CHECK"),"CHECK"))</f>
        <v/>
      </c>
      <c r="H176" s="63" t="str">
        <f>IFERROR(INDEX([1]Cluster_Master!$C$4:$C$18,MATCH($F176,[1]Cluster_Master!$B$4:$B$18,0)),"")</f>
        <v/>
      </c>
      <c r="I176" s="60" t="str">
        <f>IFERROR(INDEX([1]Cluster_Master!$D$4:$D$18,MATCH($F176,[1]Cluster_Master!$B$4:$B$18,0)),"")</f>
        <v/>
      </c>
      <c r="J176" s="60" t="str">
        <f>IFERROR(INDEX([1]Cluster_Master!$E$4:$E$18,MATCH($F176,[1]Cluster_Master!$B$4:$B$18,0)),"")</f>
        <v/>
      </c>
      <c r="K176" s="60" t="str">
        <f>IFERROR(INDEX([1]Cluster_Master!$F$4:$F$18,MATCH($F176,[1]Cluster_Master!$B$4:$B$18,0)),"")</f>
        <v/>
      </c>
      <c r="L176" s="60" t="str">
        <f>IFERROR(INDEX([1]Cluster_Master!$G$4:$G$18,MATCH($F176,[1]Cluster_Master!$B$4:$B$18,0)),"")</f>
        <v/>
      </c>
      <c r="M176" s="60" t="str">
        <f>IFERROR(INDEX([1]Cluster_Master!$H$4:$H$18,MATCH($F176,[1]Cluster_Master!$B$4:$B$18,0)),"")</f>
        <v/>
      </c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60" t="str">
        <f>IF(COUNTA(T176:AH176)=0,"",SUM(T176:AH176))</f>
        <v/>
      </c>
      <c r="AJ176" s="61" t="str">
        <f>IF(COUNTA(T176:AH176)=0,"",AI176/75)</f>
        <v/>
      </c>
      <c r="AK176" s="61" t="str">
        <f>IF(COUNTA(T176:AH176)=0,"",(SUM(T176*[1]KPI_Weights!$B$4,U176*[1]KPI_Weights!$B$5,V176*[1]KPI_Weights!$B$6,W176*[1]KPI_Weights!$B$7,X176*[1]KPI_Weights!$B$8,Y176*[1]KPI_Weights!$B$9,Z176*[1]KPI_Weights!$B$10,AA176*[1]KPI_Weights!$B$11,AB176*[1]KPI_Weights!$B$12,AC176*[1]KPI_Weights!$B$13,AD176*[1]KPI_Weights!$B$14,AE176*[1]KPI_Weights!$B$15,AF176*[1]KPI_Weights!$B$16,AG176*[1]KPI_Weights!$B$17,AH176*[1]KPI_Weights!$B$18))/5)</f>
        <v/>
      </c>
      <c r="AL176" s="60" t="str">
        <f>IF(COUNTA(T176:AH176)=0,"",IF(OR(T176&lt;=1,W176&lt;=1,X176&lt;=1,Y176&lt;=1,AB176&lt;=1),"YES","NO"))</f>
        <v/>
      </c>
      <c r="AM176" s="60" t="str">
        <f>IF(AJ176="","",IF(AND(AL176="NO",AJ176&gt;=0.75),"YES","NO"))</f>
        <v/>
      </c>
      <c r="AN176" s="60" t="str">
        <f>IF(AJ176="","",IF(AJ176&lt;0.4,"Critical",IF(AJ176&lt;0.6,"Poor",IF(AJ176&lt;0.75,"Needs Improvement",IF(AJ176&lt;0.9,"Good","Excellent")))))</f>
        <v/>
      </c>
      <c r="AO176" s="59"/>
      <c r="AP176" s="59"/>
      <c r="AQ176" s="59"/>
      <c r="AR176" s="59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</row>
    <row r="177" spans="1:54" ht="19.5" customHeight="1" x14ac:dyDescent="0.25">
      <c r="A177" s="60" t="str">
        <f>IF($B177="","",TEXT($B177,"yyyymmdd")&amp;"-"&amp;SUBSTITUTE($F177," ","")&amp;"-"&amp;TEXT(COUNTIF($F$4:F177,$F177),"00"))</f>
        <v/>
      </c>
      <c r="B177" s="65"/>
      <c r="C177" s="60" t="str">
        <f>IF($B177="","",WEEKNUM($B177,2))</f>
        <v/>
      </c>
      <c r="D177" s="60" t="str">
        <f>IF($B177="","",TEXT($B177,"yyyy-mm"))</f>
        <v/>
      </c>
      <c r="E177" s="64"/>
      <c r="F177" s="64"/>
      <c r="G177" s="60" t="str">
        <f>IF(OR($E177="",$F177=""),"",IFERROR(IF($E177=INDEX([1]Cluster_Master!$A$4:$A$18,MATCH($F177,[1]Cluster_Master!$B$4:$B$18,0)),"OK","CHECK"),"CHECK"))</f>
        <v/>
      </c>
      <c r="H177" s="63" t="str">
        <f>IFERROR(INDEX([1]Cluster_Master!$C$4:$C$18,MATCH($F177,[1]Cluster_Master!$B$4:$B$18,0)),"")</f>
        <v/>
      </c>
      <c r="I177" s="60" t="str">
        <f>IFERROR(INDEX([1]Cluster_Master!$D$4:$D$18,MATCH($F177,[1]Cluster_Master!$B$4:$B$18,0)),"")</f>
        <v/>
      </c>
      <c r="J177" s="60" t="str">
        <f>IFERROR(INDEX([1]Cluster_Master!$E$4:$E$18,MATCH($F177,[1]Cluster_Master!$B$4:$B$18,0)),"")</f>
        <v/>
      </c>
      <c r="K177" s="60" t="str">
        <f>IFERROR(INDEX([1]Cluster_Master!$F$4:$F$18,MATCH($F177,[1]Cluster_Master!$B$4:$B$18,0)),"")</f>
        <v/>
      </c>
      <c r="L177" s="60" t="str">
        <f>IFERROR(INDEX([1]Cluster_Master!$G$4:$G$18,MATCH($F177,[1]Cluster_Master!$B$4:$B$18,0)),"")</f>
        <v/>
      </c>
      <c r="M177" s="60" t="str">
        <f>IFERROR(INDEX([1]Cluster_Master!$H$4:$H$18,MATCH($F177,[1]Cluster_Master!$B$4:$B$18,0)),"")</f>
        <v/>
      </c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60" t="str">
        <f>IF(COUNTA(T177:AH177)=0,"",SUM(T177:AH177))</f>
        <v/>
      </c>
      <c r="AJ177" s="61" t="str">
        <f>IF(COUNTA(T177:AH177)=0,"",AI177/75)</f>
        <v/>
      </c>
      <c r="AK177" s="61" t="str">
        <f>IF(COUNTA(T177:AH177)=0,"",(SUM(T177*[1]KPI_Weights!$B$4,U177*[1]KPI_Weights!$B$5,V177*[1]KPI_Weights!$B$6,W177*[1]KPI_Weights!$B$7,X177*[1]KPI_Weights!$B$8,Y177*[1]KPI_Weights!$B$9,Z177*[1]KPI_Weights!$B$10,AA177*[1]KPI_Weights!$B$11,AB177*[1]KPI_Weights!$B$12,AC177*[1]KPI_Weights!$B$13,AD177*[1]KPI_Weights!$B$14,AE177*[1]KPI_Weights!$B$15,AF177*[1]KPI_Weights!$B$16,AG177*[1]KPI_Weights!$B$17,AH177*[1]KPI_Weights!$B$18))/5)</f>
        <v/>
      </c>
      <c r="AL177" s="60" t="str">
        <f>IF(COUNTA(T177:AH177)=0,"",IF(OR(T177&lt;=1,W177&lt;=1,X177&lt;=1,Y177&lt;=1,AB177&lt;=1),"YES","NO"))</f>
        <v/>
      </c>
      <c r="AM177" s="60" t="str">
        <f>IF(AJ177="","",IF(AND(AL177="NO",AJ177&gt;=0.75),"YES","NO"))</f>
        <v/>
      </c>
      <c r="AN177" s="60" t="str">
        <f>IF(AJ177="","",IF(AJ177&lt;0.4,"Critical",IF(AJ177&lt;0.6,"Poor",IF(AJ177&lt;0.75,"Needs Improvement",IF(AJ177&lt;0.9,"Good","Excellent")))))</f>
        <v/>
      </c>
      <c r="AO177" s="59"/>
      <c r="AP177" s="59"/>
      <c r="AQ177" s="59"/>
      <c r="AR177" s="59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</row>
    <row r="178" spans="1:54" ht="19.5" customHeight="1" x14ac:dyDescent="0.25">
      <c r="A178" s="60" t="str">
        <f>IF($B178="","",TEXT($B178,"yyyymmdd")&amp;"-"&amp;SUBSTITUTE($F178," ","")&amp;"-"&amp;TEXT(COUNTIF($F$4:F178,$F178),"00"))</f>
        <v/>
      </c>
      <c r="B178" s="65"/>
      <c r="C178" s="60" t="str">
        <f>IF($B178="","",WEEKNUM($B178,2))</f>
        <v/>
      </c>
      <c r="D178" s="60" t="str">
        <f>IF($B178="","",TEXT($B178,"yyyy-mm"))</f>
        <v/>
      </c>
      <c r="E178" s="64"/>
      <c r="F178" s="64"/>
      <c r="G178" s="60" t="str">
        <f>IF(OR($E178="",$F178=""),"",IFERROR(IF($E178=INDEX([1]Cluster_Master!$A$4:$A$18,MATCH($F178,[1]Cluster_Master!$B$4:$B$18,0)),"OK","CHECK"),"CHECK"))</f>
        <v/>
      </c>
      <c r="H178" s="63" t="str">
        <f>IFERROR(INDEX([1]Cluster_Master!$C$4:$C$18,MATCH($F178,[1]Cluster_Master!$B$4:$B$18,0)),"")</f>
        <v/>
      </c>
      <c r="I178" s="60" t="str">
        <f>IFERROR(INDEX([1]Cluster_Master!$D$4:$D$18,MATCH($F178,[1]Cluster_Master!$B$4:$B$18,0)),"")</f>
        <v/>
      </c>
      <c r="J178" s="60" t="str">
        <f>IFERROR(INDEX([1]Cluster_Master!$E$4:$E$18,MATCH($F178,[1]Cluster_Master!$B$4:$B$18,0)),"")</f>
        <v/>
      </c>
      <c r="K178" s="60" t="str">
        <f>IFERROR(INDEX([1]Cluster_Master!$F$4:$F$18,MATCH($F178,[1]Cluster_Master!$B$4:$B$18,0)),"")</f>
        <v/>
      </c>
      <c r="L178" s="60" t="str">
        <f>IFERROR(INDEX([1]Cluster_Master!$G$4:$G$18,MATCH($F178,[1]Cluster_Master!$B$4:$B$18,0)),"")</f>
        <v/>
      </c>
      <c r="M178" s="60" t="str">
        <f>IFERROR(INDEX([1]Cluster_Master!$H$4:$H$18,MATCH($F178,[1]Cluster_Master!$B$4:$B$18,0)),"")</f>
        <v/>
      </c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60" t="str">
        <f>IF(COUNTA(T178:AH178)=0,"",SUM(T178:AH178))</f>
        <v/>
      </c>
      <c r="AJ178" s="61" t="str">
        <f>IF(COUNTA(T178:AH178)=0,"",AI178/75)</f>
        <v/>
      </c>
      <c r="AK178" s="61" t="str">
        <f>IF(COUNTA(T178:AH178)=0,"",(SUM(T178*[1]KPI_Weights!$B$4,U178*[1]KPI_Weights!$B$5,V178*[1]KPI_Weights!$B$6,W178*[1]KPI_Weights!$B$7,X178*[1]KPI_Weights!$B$8,Y178*[1]KPI_Weights!$B$9,Z178*[1]KPI_Weights!$B$10,AA178*[1]KPI_Weights!$B$11,AB178*[1]KPI_Weights!$B$12,AC178*[1]KPI_Weights!$B$13,AD178*[1]KPI_Weights!$B$14,AE178*[1]KPI_Weights!$B$15,AF178*[1]KPI_Weights!$B$16,AG178*[1]KPI_Weights!$B$17,AH178*[1]KPI_Weights!$B$18))/5)</f>
        <v/>
      </c>
      <c r="AL178" s="60" t="str">
        <f>IF(COUNTA(T178:AH178)=0,"",IF(OR(T178&lt;=1,W178&lt;=1,X178&lt;=1,Y178&lt;=1,AB178&lt;=1),"YES","NO"))</f>
        <v/>
      </c>
      <c r="AM178" s="60" t="str">
        <f>IF(AJ178="","",IF(AND(AL178="NO",AJ178&gt;=0.75),"YES","NO"))</f>
        <v/>
      </c>
      <c r="AN178" s="60" t="str">
        <f>IF(AJ178="","",IF(AJ178&lt;0.4,"Critical",IF(AJ178&lt;0.6,"Poor",IF(AJ178&lt;0.75,"Needs Improvement",IF(AJ178&lt;0.9,"Good","Excellent")))))</f>
        <v/>
      </c>
      <c r="AO178" s="59"/>
      <c r="AP178" s="59"/>
      <c r="AQ178" s="59"/>
      <c r="AR178" s="59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</row>
    <row r="179" spans="1:54" ht="19.5" customHeight="1" x14ac:dyDescent="0.25">
      <c r="A179" s="60" t="str">
        <f>IF($B179="","",TEXT($B179,"yyyymmdd")&amp;"-"&amp;SUBSTITUTE($F179," ","")&amp;"-"&amp;TEXT(COUNTIF($F$4:F179,$F179),"00"))</f>
        <v/>
      </c>
      <c r="B179" s="65"/>
      <c r="C179" s="60" t="str">
        <f>IF($B179="","",WEEKNUM($B179,2))</f>
        <v/>
      </c>
      <c r="D179" s="60" t="str">
        <f>IF($B179="","",TEXT($B179,"yyyy-mm"))</f>
        <v/>
      </c>
      <c r="E179" s="64"/>
      <c r="F179" s="64"/>
      <c r="G179" s="60" t="str">
        <f>IF(OR($E179="",$F179=""),"",IFERROR(IF($E179=INDEX([1]Cluster_Master!$A$4:$A$18,MATCH($F179,[1]Cluster_Master!$B$4:$B$18,0)),"OK","CHECK"),"CHECK"))</f>
        <v/>
      </c>
      <c r="H179" s="63" t="str">
        <f>IFERROR(INDEX([1]Cluster_Master!$C$4:$C$18,MATCH($F179,[1]Cluster_Master!$B$4:$B$18,0)),"")</f>
        <v/>
      </c>
      <c r="I179" s="60" t="str">
        <f>IFERROR(INDEX([1]Cluster_Master!$D$4:$D$18,MATCH($F179,[1]Cluster_Master!$B$4:$B$18,0)),"")</f>
        <v/>
      </c>
      <c r="J179" s="60" t="str">
        <f>IFERROR(INDEX([1]Cluster_Master!$E$4:$E$18,MATCH($F179,[1]Cluster_Master!$B$4:$B$18,0)),"")</f>
        <v/>
      </c>
      <c r="K179" s="60" t="str">
        <f>IFERROR(INDEX([1]Cluster_Master!$F$4:$F$18,MATCH($F179,[1]Cluster_Master!$B$4:$B$18,0)),"")</f>
        <v/>
      </c>
      <c r="L179" s="60" t="str">
        <f>IFERROR(INDEX([1]Cluster_Master!$G$4:$G$18,MATCH($F179,[1]Cluster_Master!$B$4:$B$18,0)),"")</f>
        <v/>
      </c>
      <c r="M179" s="60" t="str">
        <f>IFERROR(INDEX([1]Cluster_Master!$H$4:$H$18,MATCH($F179,[1]Cluster_Master!$B$4:$B$18,0)),"")</f>
        <v/>
      </c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60" t="str">
        <f>IF(COUNTA(T179:AH179)=0,"",SUM(T179:AH179))</f>
        <v/>
      </c>
      <c r="AJ179" s="61" t="str">
        <f>IF(COUNTA(T179:AH179)=0,"",AI179/75)</f>
        <v/>
      </c>
      <c r="AK179" s="61" t="str">
        <f>IF(COUNTA(T179:AH179)=0,"",(SUM(T179*[1]KPI_Weights!$B$4,U179*[1]KPI_Weights!$B$5,V179*[1]KPI_Weights!$B$6,W179*[1]KPI_Weights!$B$7,X179*[1]KPI_Weights!$B$8,Y179*[1]KPI_Weights!$B$9,Z179*[1]KPI_Weights!$B$10,AA179*[1]KPI_Weights!$B$11,AB179*[1]KPI_Weights!$B$12,AC179*[1]KPI_Weights!$B$13,AD179*[1]KPI_Weights!$B$14,AE179*[1]KPI_Weights!$B$15,AF179*[1]KPI_Weights!$B$16,AG179*[1]KPI_Weights!$B$17,AH179*[1]KPI_Weights!$B$18))/5)</f>
        <v/>
      </c>
      <c r="AL179" s="60" t="str">
        <f>IF(COUNTA(T179:AH179)=0,"",IF(OR(T179&lt;=1,W179&lt;=1,X179&lt;=1,Y179&lt;=1,AB179&lt;=1),"YES","NO"))</f>
        <v/>
      </c>
      <c r="AM179" s="60" t="str">
        <f>IF(AJ179="","",IF(AND(AL179="NO",AJ179&gt;=0.75),"YES","NO"))</f>
        <v/>
      </c>
      <c r="AN179" s="60" t="str">
        <f>IF(AJ179="","",IF(AJ179&lt;0.4,"Critical",IF(AJ179&lt;0.6,"Poor",IF(AJ179&lt;0.75,"Needs Improvement",IF(AJ179&lt;0.9,"Good","Excellent")))))</f>
        <v/>
      </c>
      <c r="AO179" s="59"/>
      <c r="AP179" s="59"/>
      <c r="AQ179" s="59"/>
      <c r="AR179" s="59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</row>
    <row r="180" spans="1:54" ht="19.5" customHeight="1" x14ac:dyDescent="0.25">
      <c r="A180" s="60" t="str">
        <f>IF($B180="","",TEXT($B180,"yyyymmdd")&amp;"-"&amp;SUBSTITUTE($F180," ","")&amp;"-"&amp;TEXT(COUNTIF($F$4:F180,$F180),"00"))</f>
        <v/>
      </c>
      <c r="B180" s="65"/>
      <c r="C180" s="60" t="str">
        <f>IF($B180="","",WEEKNUM($B180,2))</f>
        <v/>
      </c>
      <c r="D180" s="60" t="str">
        <f>IF($B180="","",TEXT($B180,"yyyy-mm"))</f>
        <v/>
      </c>
      <c r="E180" s="64"/>
      <c r="F180" s="64"/>
      <c r="G180" s="60" t="str">
        <f>IF(OR($E180="",$F180=""),"",IFERROR(IF($E180=INDEX([1]Cluster_Master!$A$4:$A$18,MATCH($F180,[1]Cluster_Master!$B$4:$B$18,0)),"OK","CHECK"),"CHECK"))</f>
        <v/>
      </c>
      <c r="H180" s="63" t="str">
        <f>IFERROR(INDEX([1]Cluster_Master!$C$4:$C$18,MATCH($F180,[1]Cluster_Master!$B$4:$B$18,0)),"")</f>
        <v/>
      </c>
      <c r="I180" s="60" t="str">
        <f>IFERROR(INDEX([1]Cluster_Master!$D$4:$D$18,MATCH($F180,[1]Cluster_Master!$B$4:$B$18,0)),"")</f>
        <v/>
      </c>
      <c r="J180" s="60" t="str">
        <f>IFERROR(INDEX([1]Cluster_Master!$E$4:$E$18,MATCH($F180,[1]Cluster_Master!$B$4:$B$18,0)),"")</f>
        <v/>
      </c>
      <c r="K180" s="60" t="str">
        <f>IFERROR(INDEX([1]Cluster_Master!$F$4:$F$18,MATCH($F180,[1]Cluster_Master!$B$4:$B$18,0)),"")</f>
        <v/>
      </c>
      <c r="L180" s="60" t="str">
        <f>IFERROR(INDEX([1]Cluster_Master!$G$4:$G$18,MATCH($F180,[1]Cluster_Master!$B$4:$B$18,0)),"")</f>
        <v/>
      </c>
      <c r="M180" s="60" t="str">
        <f>IFERROR(INDEX([1]Cluster_Master!$H$4:$H$18,MATCH($F180,[1]Cluster_Master!$B$4:$B$18,0)),"")</f>
        <v/>
      </c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60" t="str">
        <f>IF(COUNTA(T180:AH180)=0,"",SUM(T180:AH180))</f>
        <v/>
      </c>
      <c r="AJ180" s="61" t="str">
        <f>IF(COUNTA(T180:AH180)=0,"",AI180/75)</f>
        <v/>
      </c>
      <c r="AK180" s="61" t="str">
        <f>IF(COUNTA(T180:AH180)=0,"",(SUM(T180*[1]KPI_Weights!$B$4,U180*[1]KPI_Weights!$B$5,V180*[1]KPI_Weights!$B$6,W180*[1]KPI_Weights!$B$7,X180*[1]KPI_Weights!$B$8,Y180*[1]KPI_Weights!$B$9,Z180*[1]KPI_Weights!$B$10,AA180*[1]KPI_Weights!$B$11,AB180*[1]KPI_Weights!$B$12,AC180*[1]KPI_Weights!$B$13,AD180*[1]KPI_Weights!$B$14,AE180*[1]KPI_Weights!$B$15,AF180*[1]KPI_Weights!$B$16,AG180*[1]KPI_Weights!$B$17,AH180*[1]KPI_Weights!$B$18))/5)</f>
        <v/>
      </c>
      <c r="AL180" s="60" t="str">
        <f>IF(COUNTA(T180:AH180)=0,"",IF(OR(T180&lt;=1,W180&lt;=1,X180&lt;=1,Y180&lt;=1,AB180&lt;=1),"YES","NO"))</f>
        <v/>
      </c>
      <c r="AM180" s="60" t="str">
        <f>IF(AJ180="","",IF(AND(AL180="NO",AJ180&gt;=0.75),"YES","NO"))</f>
        <v/>
      </c>
      <c r="AN180" s="60" t="str">
        <f>IF(AJ180="","",IF(AJ180&lt;0.4,"Critical",IF(AJ180&lt;0.6,"Poor",IF(AJ180&lt;0.75,"Needs Improvement",IF(AJ180&lt;0.9,"Good","Excellent")))))</f>
        <v/>
      </c>
      <c r="AO180" s="59"/>
      <c r="AP180" s="59"/>
      <c r="AQ180" s="59"/>
      <c r="AR180" s="59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</row>
    <row r="181" spans="1:54" ht="19.5" customHeight="1" x14ac:dyDescent="0.25">
      <c r="A181" s="60" t="str">
        <f>IF($B181="","",TEXT($B181,"yyyymmdd")&amp;"-"&amp;SUBSTITUTE($F181," ","")&amp;"-"&amp;TEXT(COUNTIF($F$4:F181,$F181),"00"))</f>
        <v/>
      </c>
      <c r="B181" s="65"/>
      <c r="C181" s="60" t="str">
        <f>IF($B181="","",WEEKNUM($B181,2))</f>
        <v/>
      </c>
      <c r="D181" s="60" t="str">
        <f>IF($B181="","",TEXT($B181,"yyyy-mm"))</f>
        <v/>
      </c>
      <c r="E181" s="64"/>
      <c r="F181" s="64"/>
      <c r="G181" s="60" t="str">
        <f>IF(OR($E181="",$F181=""),"",IFERROR(IF($E181=INDEX([1]Cluster_Master!$A$4:$A$18,MATCH($F181,[1]Cluster_Master!$B$4:$B$18,0)),"OK","CHECK"),"CHECK"))</f>
        <v/>
      </c>
      <c r="H181" s="63" t="str">
        <f>IFERROR(INDEX([1]Cluster_Master!$C$4:$C$18,MATCH($F181,[1]Cluster_Master!$B$4:$B$18,0)),"")</f>
        <v/>
      </c>
      <c r="I181" s="60" t="str">
        <f>IFERROR(INDEX([1]Cluster_Master!$D$4:$D$18,MATCH($F181,[1]Cluster_Master!$B$4:$B$18,0)),"")</f>
        <v/>
      </c>
      <c r="J181" s="60" t="str">
        <f>IFERROR(INDEX([1]Cluster_Master!$E$4:$E$18,MATCH($F181,[1]Cluster_Master!$B$4:$B$18,0)),"")</f>
        <v/>
      </c>
      <c r="K181" s="60" t="str">
        <f>IFERROR(INDEX([1]Cluster_Master!$F$4:$F$18,MATCH($F181,[1]Cluster_Master!$B$4:$B$18,0)),"")</f>
        <v/>
      </c>
      <c r="L181" s="60" t="str">
        <f>IFERROR(INDEX([1]Cluster_Master!$G$4:$G$18,MATCH($F181,[1]Cluster_Master!$B$4:$B$18,0)),"")</f>
        <v/>
      </c>
      <c r="M181" s="60" t="str">
        <f>IFERROR(INDEX([1]Cluster_Master!$H$4:$H$18,MATCH($F181,[1]Cluster_Master!$B$4:$B$18,0)),"")</f>
        <v/>
      </c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60" t="str">
        <f>IF(COUNTA(T181:AH181)=0,"",SUM(T181:AH181))</f>
        <v/>
      </c>
      <c r="AJ181" s="61" t="str">
        <f>IF(COUNTA(T181:AH181)=0,"",AI181/75)</f>
        <v/>
      </c>
      <c r="AK181" s="61" t="str">
        <f>IF(COUNTA(T181:AH181)=0,"",(SUM(T181*[1]KPI_Weights!$B$4,U181*[1]KPI_Weights!$B$5,V181*[1]KPI_Weights!$B$6,W181*[1]KPI_Weights!$B$7,X181*[1]KPI_Weights!$B$8,Y181*[1]KPI_Weights!$B$9,Z181*[1]KPI_Weights!$B$10,AA181*[1]KPI_Weights!$B$11,AB181*[1]KPI_Weights!$B$12,AC181*[1]KPI_Weights!$B$13,AD181*[1]KPI_Weights!$B$14,AE181*[1]KPI_Weights!$B$15,AF181*[1]KPI_Weights!$B$16,AG181*[1]KPI_Weights!$B$17,AH181*[1]KPI_Weights!$B$18))/5)</f>
        <v/>
      </c>
      <c r="AL181" s="60" t="str">
        <f>IF(COUNTA(T181:AH181)=0,"",IF(OR(T181&lt;=1,W181&lt;=1,X181&lt;=1,Y181&lt;=1,AB181&lt;=1),"YES","NO"))</f>
        <v/>
      </c>
      <c r="AM181" s="60" t="str">
        <f>IF(AJ181="","",IF(AND(AL181="NO",AJ181&gt;=0.75),"YES","NO"))</f>
        <v/>
      </c>
      <c r="AN181" s="60" t="str">
        <f>IF(AJ181="","",IF(AJ181&lt;0.4,"Critical",IF(AJ181&lt;0.6,"Poor",IF(AJ181&lt;0.75,"Needs Improvement",IF(AJ181&lt;0.9,"Good","Excellent")))))</f>
        <v/>
      </c>
      <c r="AO181" s="59"/>
      <c r="AP181" s="59"/>
      <c r="AQ181" s="59"/>
      <c r="AR181" s="59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</row>
    <row r="182" spans="1:54" ht="19.5" customHeight="1" x14ac:dyDescent="0.25">
      <c r="A182" s="60" t="str">
        <f>IF($B182="","",TEXT($B182,"yyyymmdd")&amp;"-"&amp;SUBSTITUTE($F182," ","")&amp;"-"&amp;TEXT(COUNTIF($F$4:F182,$F182),"00"))</f>
        <v/>
      </c>
      <c r="B182" s="65"/>
      <c r="C182" s="60" t="str">
        <f>IF($B182="","",WEEKNUM($B182,2))</f>
        <v/>
      </c>
      <c r="D182" s="60" t="str">
        <f>IF($B182="","",TEXT($B182,"yyyy-mm"))</f>
        <v/>
      </c>
      <c r="E182" s="64"/>
      <c r="F182" s="64"/>
      <c r="G182" s="60" t="str">
        <f>IF(OR($E182="",$F182=""),"",IFERROR(IF($E182=INDEX([1]Cluster_Master!$A$4:$A$18,MATCH($F182,[1]Cluster_Master!$B$4:$B$18,0)),"OK","CHECK"),"CHECK"))</f>
        <v/>
      </c>
      <c r="H182" s="63" t="str">
        <f>IFERROR(INDEX([1]Cluster_Master!$C$4:$C$18,MATCH($F182,[1]Cluster_Master!$B$4:$B$18,0)),"")</f>
        <v/>
      </c>
      <c r="I182" s="60" t="str">
        <f>IFERROR(INDEX([1]Cluster_Master!$D$4:$D$18,MATCH($F182,[1]Cluster_Master!$B$4:$B$18,0)),"")</f>
        <v/>
      </c>
      <c r="J182" s="60" t="str">
        <f>IFERROR(INDEX([1]Cluster_Master!$E$4:$E$18,MATCH($F182,[1]Cluster_Master!$B$4:$B$18,0)),"")</f>
        <v/>
      </c>
      <c r="K182" s="60" t="str">
        <f>IFERROR(INDEX([1]Cluster_Master!$F$4:$F$18,MATCH($F182,[1]Cluster_Master!$B$4:$B$18,0)),"")</f>
        <v/>
      </c>
      <c r="L182" s="60" t="str">
        <f>IFERROR(INDEX([1]Cluster_Master!$G$4:$G$18,MATCH($F182,[1]Cluster_Master!$B$4:$B$18,0)),"")</f>
        <v/>
      </c>
      <c r="M182" s="60" t="str">
        <f>IFERROR(INDEX([1]Cluster_Master!$H$4:$H$18,MATCH($F182,[1]Cluster_Master!$B$4:$B$18,0)),"")</f>
        <v/>
      </c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60" t="str">
        <f>IF(COUNTA(T182:AH182)=0,"",SUM(T182:AH182))</f>
        <v/>
      </c>
      <c r="AJ182" s="61" t="str">
        <f>IF(COUNTA(T182:AH182)=0,"",AI182/75)</f>
        <v/>
      </c>
      <c r="AK182" s="61" t="str">
        <f>IF(COUNTA(T182:AH182)=0,"",(SUM(T182*[1]KPI_Weights!$B$4,U182*[1]KPI_Weights!$B$5,V182*[1]KPI_Weights!$B$6,W182*[1]KPI_Weights!$B$7,X182*[1]KPI_Weights!$B$8,Y182*[1]KPI_Weights!$B$9,Z182*[1]KPI_Weights!$B$10,AA182*[1]KPI_Weights!$B$11,AB182*[1]KPI_Weights!$B$12,AC182*[1]KPI_Weights!$B$13,AD182*[1]KPI_Weights!$B$14,AE182*[1]KPI_Weights!$B$15,AF182*[1]KPI_Weights!$B$16,AG182*[1]KPI_Weights!$B$17,AH182*[1]KPI_Weights!$B$18))/5)</f>
        <v/>
      </c>
      <c r="AL182" s="60" t="str">
        <f>IF(COUNTA(T182:AH182)=0,"",IF(OR(T182&lt;=1,W182&lt;=1,X182&lt;=1,Y182&lt;=1,AB182&lt;=1),"YES","NO"))</f>
        <v/>
      </c>
      <c r="AM182" s="60" t="str">
        <f>IF(AJ182="","",IF(AND(AL182="NO",AJ182&gt;=0.75),"YES","NO"))</f>
        <v/>
      </c>
      <c r="AN182" s="60" t="str">
        <f>IF(AJ182="","",IF(AJ182&lt;0.4,"Critical",IF(AJ182&lt;0.6,"Poor",IF(AJ182&lt;0.75,"Needs Improvement",IF(AJ182&lt;0.9,"Good","Excellent")))))</f>
        <v/>
      </c>
      <c r="AO182" s="59"/>
      <c r="AP182" s="59"/>
      <c r="AQ182" s="59"/>
      <c r="AR182" s="59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</row>
    <row r="183" spans="1:54" ht="19.5" customHeight="1" x14ac:dyDescent="0.25">
      <c r="A183" s="60" t="str">
        <f>IF($B183="","",TEXT($B183,"yyyymmdd")&amp;"-"&amp;SUBSTITUTE($F183," ","")&amp;"-"&amp;TEXT(COUNTIF($F$4:F183,$F183),"00"))</f>
        <v/>
      </c>
      <c r="B183" s="65"/>
      <c r="C183" s="60" t="str">
        <f>IF($B183="","",WEEKNUM($B183,2))</f>
        <v/>
      </c>
      <c r="D183" s="60" t="str">
        <f>IF($B183="","",TEXT($B183,"yyyy-mm"))</f>
        <v/>
      </c>
      <c r="E183" s="64"/>
      <c r="F183" s="64"/>
      <c r="G183" s="60" t="str">
        <f>IF(OR($E183="",$F183=""),"",IFERROR(IF($E183=INDEX([1]Cluster_Master!$A$4:$A$18,MATCH($F183,[1]Cluster_Master!$B$4:$B$18,0)),"OK","CHECK"),"CHECK"))</f>
        <v/>
      </c>
      <c r="H183" s="63" t="str">
        <f>IFERROR(INDEX([1]Cluster_Master!$C$4:$C$18,MATCH($F183,[1]Cluster_Master!$B$4:$B$18,0)),"")</f>
        <v/>
      </c>
      <c r="I183" s="60" t="str">
        <f>IFERROR(INDEX([1]Cluster_Master!$D$4:$D$18,MATCH($F183,[1]Cluster_Master!$B$4:$B$18,0)),"")</f>
        <v/>
      </c>
      <c r="J183" s="60" t="str">
        <f>IFERROR(INDEX([1]Cluster_Master!$E$4:$E$18,MATCH($F183,[1]Cluster_Master!$B$4:$B$18,0)),"")</f>
        <v/>
      </c>
      <c r="K183" s="60" t="str">
        <f>IFERROR(INDEX([1]Cluster_Master!$F$4:$F$18,MATCH($F183,[1]Cluster_Master!$B$4:$B$18,0)),"")</f>
        <v/>
      </c>
      <c r="L183" s="60" t="str">
        <f>IFERROR(INDEX([1]Cluster_Master!$G$4:$G$18,MATCH($F183,[1]Cluster_Master!$B$4:$B$18,0)),"")</f>
        <v/>
      </c>
      <c r="M183" s="60" t="str">
        <f>IFERROR(INDEX([1]Cluster_Master!$H$4:$H$18,MATCH($F183,[1]Cluster_Master!$B$4:$B$18,0)),"")</f>
        <v/>
      </c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60" t="str">
        <f>IF(COUNTA(T183:AH183)=0,"",SUM(T183:AH183))</f>
        <v/>
      </c>
      <c r="AJ183" s="61" t="str">
        <f>IF(COUNTA(T183:AH183)=0,"",AI183/75)</f>
        <v/>
      </c>
      <c r="AK183" s="61" t="str">
        <f>IF(COUNTA(T183:AH183)=0,"",(SUM(T183*[1]KPI_Weights!$B$4,U183*[1]KPI_Weights!$B$5,V183*[1]KPI_Weights!$B$6,W183*[1]KPI_Weights!$B$7,X183*[1]KPI_Weights!$B$8,Y183*[1]KPI_Weights!$B$9,Z183*[1]KPI_Weights!$B$10,AA183*[1]KPI_Weights!$B$11,AB183*[1]KPI_Weights!$B$12,AC183*[1]KPI_Weights!$B$13,AD183*[1]KPI_Weights!$B$14,AE183*[1]KPI_Weights!$B$15,AF183*[1]KPI_Weights!$B$16,AG183*[1]KPI_Weights!$B$17,AH183*[1]KPI_Weights!$B$18))/5)</f>
        <v/>
      </c>
      <c r="AL183" s="60" t="str">
        <f>IF(COUNTA(T183:AH183)=0,"",IF(OR(T183&lt;=1,W183&lt;=1,X183&lt;=1,Y183&lt;=1,AB183&lt;=1),"YES","NO"))</f>
        <v/>
      </c>
      <c r="AM183" s="60" t="str">
        <f>IF(AJ183="","",IF(AND(AL183="NO",AJ183&gt;=0.75),"YES","NO"))</f>
        <v/>
      </c>
      <c r="AN183" s="60" t="str">
        <f>IF(AJ183="","",IF(AJ183&lt;0.4,"Critical",IF(AJ183&lt;0.6,"Poor",IF(AJ183&lt;0.75,"Needs Improvement",IF(AJ183&lt;0.9,"Good","Excellent")))))</f>
        <v/>
      </c>
      <c r="AO183" s="59"/>
      <c r="AP183" s="59"/>
      <c r="AQ183" s="59"/>
      <c r="AR183" s="59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</row>
    <row r="184" spans="1:54" ht="19.5" customHeight="1" x14ac:dyDescent="0.25">
      <c r="A184" s="60" t="str">
        <f>IF($B184="","",TEXT($B184,"yyyymmdd")&amp;"-"&amp;SUBSTITUTE($F184," ","")&amp;"-"&amp;TEXT(COUNTIF($F$4:F184,$F184),"00"))</f>
        <v/>
      </c>
      <c r="B184" s="65"/>
      <c r="C184" s="60" t="str">
        <f>IF($B184="","",WEEKNUM($B184,2))</f>
        <v/>
      </c>
      <c r="D184" s="60" t="str">
        <f>IF($B184="","",TEXT($B184,"yyyy-mm"))</f>
        <v/>
      </c>
      <c r="E184" s="64"/>
      <c r="F184" s="64"/>
      <c r="G184" s="60" t="str">
        <f>IF(OR($E184="",$F184=""),"",IFERROR(IF($E184=INDEX([1]Cluster_Master!$A$4:$A$18,MATCH($F184,[1]Cluster_Master!$B$4:$B$18,0)),"OK","CHECK"),"CHECK"))</f>
        <v/>
      </c>
      <c r="H184" s="63" t="str">
        <f>IFERROR(INDEX([1]Cluster_Master!$C$4:$C$18,MATCH($F184,[1]Cluster_Master!$B$4:$B$18,0)),"")</f>
        <v/>
      </c>
      <c r="I184" s="60" t="str">
        <f>IFERROR(INDEX([1]Cluster_Master!$D$4:$D$18,MATCH($F184,[1]Cluster_Master!$B$4:$B$18,0)),"")</f>
        <v/>
      </c>
      <c r="J184" s="60" t="str">
        <f>IFERROR(INDEX([1]Cluster_Master!$E$4:$E$18,MATCH($F184,[1]Cluster_Master!$B$4:$B$18,0)),"")</f>
        <v/>
      </c>
      <c r="K184" s="60" t="str">
        <f>IFERROR(INDEX([1]Cluster_Master!$F$4:$F$18,MATCH($F184,[1]Cluster_Master!$B$4:$B$18,0)),"")</f>
        <v/>
      </c>
      <c r="L184" s="60" t="str">
        <f>IFERROR(INDEX([1]Cluster_Master!$G$4:$G$18,MATCH($F184,[1]Cluster_Master!$B$4:$B$18,0)),"")</f>
        <v/>
      </c>
      <c r="M184" s="60" t="str">
        <f>IFERROR(INDEX([1]Cluster_Master!$H$4:$H$18,MATCH($F184,[1]Cluster_Master!$B$4:$B$18,0)),"")</f>
        <v/>
      </c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60" t="str">
        <f>IF(COUNTA(T184:AH184)=0,"",SUM(T184:AH184))</f>
        <v/>
      </c>
      <c r="AJ184" s="61" t="str">
        <f>IF(COUNTA(T184:AH184)=0,"",AI184/75)</f>
        <v/>
      </c>
      <c r="AK184" s="61" t="str">
        <f>IF(COUNTA(T184:AH184)=0,"",(SUM(T184*[1]KPI_Weights!$B$4,U184*[1]KPI_Weights!$B$5,V184*[1]KPI_Weights!$B$6,W184*[1]KPI_Weights!$B$7,X184*[1]KPI_Weights!$B$8,Y184*[1]KPI_Weights!$B$9,Z184*[1]KPI_Weights!$B$10,AA184*[1]KPI_Weights!$B$11,AB184*[1]KPI_Weights!$B$12,AC184*[1]KPI_Weights!$B$13,AD184*[1]KPI_Weights!$B$14,AE184*[1]KPI_Weights!$B$15,AF184*[1]KPI_Weights!$B$16,AG184*[1]KPI_Weights!$B$17,AH184*[1]KPI_Weights!$B$18))/5)</f>
        <v/>
      </c>
      <c r="AL184" s="60" t="str">
        <f>IF(COUNTA(T184:AH184)=0,"",IF(OR(T184&lt;=1,W184&lt;=1,X184&lt;=1,Y184&lt;=1,AB184&lt;=1),"YES","NO"))</f>
        <v/>
      </c>
      <c r="AM184" s="60" t="str">
        <f>IF(AJ184="","",IF(AND(AL184="NO",AJ184&gt;=0.75),"YES","NO"))</f>
        <v/>
      </c>
      <c r="AN184" s="60" t="str">
        <f>IF(AJ184="","",IF(AJ184&lt;0.4,"Critical",IF(AJ184&lt;0.6,"Poor",IF(AJ184&lt;0.75,"Needs Improvement",IF(AJ184&lt;0.9,"Good","Excellent")))))</f>
        <v/>
      </c>
      <c r="AO184" s="59"/>
      <c r="AP184" s="59"/>
      <c r="AQ184" s="59"/>
      <c r="AR184" s="59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</row>
    <row r="185" spans="1:54" ht="19.5" customHeight="1" x14ac:dyDescent="0.25">
      <c r="A185" s="60" t="str">
        <f>IF($B185="","",TEXT($B185,"yyyymmdd")&amp;"-"&amp;SUBSTITUTE($F185," ","")&amp;"-"&amp;TEXT(COUNTIF($F$4:F185,$F185),"00"))</f>
        <v/>
      </c>
      <c r="B185" s="65"/>
      <c r="C185" s="60" t="str">
        <f>IF($B185="","",WEEKNUM($B185,2))</f>
        <v/>
      </c>
      <c r="D185" s="60" t="str">
        <f>IF($B185="","",TEXT($B185,"yyyy-mm"))</f>
        <v/>
      </c>
      <c r="E185" s="64"/>
      <c r="F185" s="64"/>
      <c r="G185" s="60" t="str">
        <f>IF(OR($E185="",$F185=""),"",IFERROR(IF($E185=INDEX([1]Cluster_Master!$A$4:$A$18,MATCH($F185,[1]Cluster_Master!$B$4:$B$18,0)),"OK","CHECK"),"CHECK"))</f>
        <v/>
      </c>
      <c r="H185" s="63" t="str">
        <f>IFERROR(INDEX([1]Cluster_Master!$C$4:$C$18,MATCH($F185,[1]Cluster_Master!$B$4:$B$18,0)),"")</f>
        <v/>
      </c>
      <c r="I185" s="60" t="str">
        <f>IFERROR(INDEX([1]Cluster_Master!$D$4:$D$18,MATCH($F185,[1]Cluster_Master!$B$4:$B$18,0)),"")</f>
        <v/>
      </c>
      <c r="J185" s="60" t="str">
        <f>IFERROR(INDEX([1]Cluster_Master!$E$4:$E$18,MATCH($F185,[1]Cluster_Master!$B$4:$B$18,0)),"")</f>
        <v/>
      </c>
      <c r="K185" s="60" t="str">
        <f>IFERROR(INDEX([1]Cluster_Master!$F$4:$F$18,MATCH($F185,[1]Cluster_Master!$B$4:$B$18,0)),"")</f>
        <v/>
      </c>
      <c r="L185" s="60" t="str">
        <f>IFERROR(INDEX([1]Cluster_Master!$G$4:$G$18,MATCH($F185,[1]Cluster_Master!$B$4:$B$18,0)),"")</f>
        <v/>
      </c>
      <c r="M185" s="60" t="str">
        <f>IFERROR(INDEX([1]Cluster_Master!$H$4:$H$18,MATCH($F185,[1]Cluster_Master!$B$4:$B$18,0)),"")</f>
        <v/>
      </c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60" t="str">
        <f>IF(COUNTA(T185:AH185)=0,"",SUM(T185:AH185))</f>
        <v/>
      </c>
      <c r="AJ185" s="61" t="str">
        <f>IF(COUNTA(T185:AH185)=0,"",AI185/75)</f>
        <v/>
      </c>
      <c r="AK185" s="61" t="str">
        <f>IF(COUNTA(T185:AH185)=0,"",(SUM(T185*[1]KPI_Weights!$B$4,U185*[1]KPI_Weights!$B$5,V185*[1]KPI_Weights!$B$6,W185*[1]KPI_Weights!$B$7,X185*[1]KPI_Weights!$B$8,Y185*[1]KPI_Weights!$B$9,Z185*[1]KPI_Weights!$B$10,AA185*[1]KPI_Weights!$B$11,AB185*[1]KPI_Weights!$B$12,AC185*[1]KPI_Weights!$B$13,AD185*[1]KPI_Weights!$B$14,AE185*[1]KPI_Weights!$B$15,AF185*[1]KPI_Weights!$B$16,AG185*[1]KPI_Weights!$B$17,AH185*[1]KPI_Weights!$B$18))/5)</f>
        <v/>
      </c>
      <c r="AL185" s="60" t="str">
        <f>IF(COUNTA(T185:AH185)=0,"",IF(OR(T185&lt;=1,W185&lt;=1,X185&lt;=1,Y185&lt;=1,AB185&lt;=1),"YES","NO"))</f>
        <v/>
      </c>
      <c r="AM185" s="60" t="str">
        <f>IF(AJ185="","",IF(AND(AL185="NO",AJ185&gt;=0.75),"YES","NO"))</f>
        <v/>
      </c>
      <c r="AN185" s="60" t="str">
        <f>IF(AJ185="","",IF(AJ185&lt;0.4,"Critical",IF(AJ185&lt;0.6,"Poor",IF(AJ185&lt;0.75,"Needs Improvement",IF(AJ185&lt;0.9,"Good","Excellent")))))</f>
        <v/>
      </c>
      <c r="AO185" s="59"/>
      <c r="AP185" s="59"/>
      <c r="AQ185" s="59"/>
      <c r="AR185" s="59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</row>
    <row r="186" spans="1:54" ht="19.5" customHeight="1" x14ac:dyDescent="0.25">
      <c r="A186" s="60" t="str">
        <f>IF($B186="","",TEXT($B186,"yyyymmdd")&amp;"-"&amp;SUBSTITUTE($F186," ","")&amp;"-"&amp;TEXT(COUNTIF($F$4:F186,$F186),"00"))</f>
        <v/>
      </c>
      <c r="B186" s="65"/>
      <c r="C186" s="60" t="str">
        <f>IF($B186="","",WEEKNUM($B186,2))</f>
        <v/>
      </c>
      <c r="D186" s="60" t="str">
        <f>IF($B186="","",TEXT($B186,"yyyy-mm"))</f>
        <v/>
      </c>
      <c r="E186" s="64"/>
      <c r="F186" s="64"/>
      <c r="G186" s="60" t="str">
        <f>IF(OR($E186="",$F186=""),"",IFERROR(IF($E186=INDEX([1]Cluster_Master!$A$4:$A$18,MATCH($F186,[1]Cluster_Master!$B$4:$B$18,0)),"OK","CHECK"),"CHECK"))</f>
        <v/>
      </c>
      <c r="H186" s="63" t="str">
        <f>IFERROR(INDEX([1]Cluster_Master!$C$4:$C$18,MATCH($F186,[1]Cluster_Master!$B$4:$B$18,0)),"")</f>
        <v/>
      </c>
      <c r="I186" s="60" t="str">
        <f>IFERROR(INDEX([1]Cluster_Master!$D$4:$D$18,MATCH($F186,[1]Cluster_Master!$B$4:$B$18,0)),"")</f>
        <v/>
      </c>
      <c r="J186" s="60" t="str">
        <f>IFERROR(INDEX([1]Cluster_Master!$E$4:$E$18,MATCH($F186,[1]Cluster_Master!$B$4:$B$18,0)),"")</f>
        <v/>
      </c>
      <c r="K186" s="60" t="str">
        <f>IFERROR(INDEX([1]Cluster_Master!$F$4:$F$18,MATCH($F186,[1]Cluster_Master!$B$4:$B$18,0)),"")</f>
        <v/>
      </c>
      <c r="L186" s="60" t="str">
        <f>IFERROR(INDEX([1]Cluster_Master!$G$4:$G$18,MATCH($F186,[1]Cluster_Master!$B$4:$B$18,0)),"")</f>
        <v/>
      </c>
      <c r="M186" s="60" t="str">
        <f>IFERROR(INDEX([1]Cluster_Master!$H$4:$H$18,MATCH($F186,[1]Cluster_Master!$B$4:$B$18,0)),"")</f>
        <v/>
      </c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60" t="str">
        <f>IF(COUNTA(T186:AH186)=0,"",SUM(T186:AH186))</f>
        <v/>
      </c>
      <c r="AJ186" s="61" t="str">
        <f>IF(COUNTA(T186:AH186)=0,"",AI186/75)</f>
        <v/>
      </c>
      <c r="AK186" s="61" t="str">
        <f>IF(COUNTA(T186:AH186)=0,"",(SUM(T186*[1]KPI_Weights!$B$4,U186*[1]KPI_Weights!$B$5,V186*[1]KPI_Weights!$B$6,W186*[1]KPI_Weights!$B$7,X186*[1]KPI_Weights!$B$8,Y186*[1]KPI_Weights!$B$9,Z186*[1]KPI_Weights!$B$10,AA186*[1]KPI_Weights!$B$11,AB186*[1]KPI_Weights!$B$12,AC186*[1]KPI_Weights!$B$13,AD186*[1]KPI_Weights!$B$14,AE186*[1]KPI_Weights!$B$15,AF186*[1]KPI_Weights!$B$16,AG186*[1]KPI_Weights!$B$17,AH186*[1]KPI_Weights!$B$18))/5)</f>
        <v/>
      </c>
      <c r="AL186" s="60" t="str">
        <f>IF(COUNTA(T186:AH186)=0,"",IF(OR(T186&lt;=1,W186&lt;=1,X186&lt;=1,Y186&lt;=1,AB186&lt;=1),"YES","NO"))</f>
        <v/>
      </c>
      <c r="AM186" s="60" t="str">
        <f>IF(AJ186="","",IF(AND(AL186="NO",AJ186&gt;=0.75),"YES","NO"))</f>
        <v/>
      </c>
      <c r="AN186" s="60" t="str">
        <f>IF(AJ186="","",IF(AJ186&lt;0.4,"Critical",IF(AJ186&lt;0.6,"Poor",IF(AJ186&lt;0.75,"Needs Improvement",IF(AJ186&lt;0.9,"Good","Excellent")))))</f>
        <v/>
      </c>
      <c r="AO186" s="59"/>
      <c r="AP186" s="59"/>
      <c r="AQ186" s="59"/>
      <c r="AR186" s="59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</row>
    <row r="187" spans="1:54" ht="19.5" customHeight="1" x14ac:dyDescent="0.25">
      <c r="A187" s="60" t="str">
        <f>IF($B187="","",TEXT($B187,"yyyymmdd")&amp;"-"&amp;SUBSTITUTE($F187," ","")&amp;"-"&amp;TEXT(COUNTIF($F$4:F187,$F187),"00"))</f>
        <v/>
      </c>
      <c r="B187" s="65"/>
      <c r="C187" s="60" t="str">
        <f>IF($B187="","",WEEKNUM($B187,2))</f>
        <v/>
      </c>
      <c r="D187" s="60" t="str">
        <f>IF($B187="","",TEXT($B187,"yyyy-mm"))</f>
        <v/>
      </c>
      <c r="E187" s="64"/>
      <c r="F187" s="64"/>
      <c r="G187" s="60" t="str">
        <f>IF(OR($E187="",$F187=""),"",IFERROR(IF($E187=INDEX([1]Cluster_Master!$A$4:$A$18,MATCH($F187,[1]Cluster_Master!$B$4:$B$18,0)),"OK","CHECK"),"CHECK"))</f>
        <v/>
      </c>
      <c r="H187" s="63" t="str">
        <f>IFERROR(INDEX([1]Cluster_Master!$C$4:$C$18,MATCH($F187,[1]Cluster_Master!$B$4:$B$18,0)),"")</f>
        <v/>
      </c>
      <c r="I187" s="60" t="str">
        <f>IFERROR(INDEX([1]Cluster_Master!$D$4:$D$18,MATCH($F187,[1]Cluster_Master!$B$4:$B$18,0)),"")</f>
        <v/>
      </c>
      <c r="J187" s="60" t="str">
        <f>IFERROR(INDEX([1]Cluster_Master!$E$4:$E$18,MATCH($F187,[1]Cluster_Master!$B$4:$B$18,0)),"")</f>
        <v/>
      </c>
      <c r="K187" s="60" t="str">
        <f>IFERROR(INDEX([1]Cluster_Master!$F$4:$F$18,MATCH($F187,[1]Cluster_Master!$B$4:$B$18,0)),"")</f>
        <v/>
      </c>
      <c r="L187" s="60" t="str">
        <f>IFERROR(INDEX([1]Cluster_Master!$G$4:$G$18,MATCH($F187,[1]Cluster_Master!$B$4:$B$18,0)),"")</f>
        <v/>
      </c>
      <c r="M187" s="60" t="str">
        <f>IFERROR(INDEX([1]Cluster_Master!$H$4:$H$18,MATCH($F187,[1]Cluster_Master!$B$4:$B$18,0)),"")</f>
        <v/>
      </c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60" t="str">
        <f>IF(COUNTA(T187:AH187)=0,"",SUM(T187:AH187))</f>
        <v/>
      </c>
      <c r="AJ187" s="61" t="str">
        <f>IF(COUNTA(T187:AH187)=0,"",AI187/75)</f>
        <v/>
      </c>
      <c r="AK187" s="61" t="str">
        <f>IF(COUNTA(T187:AH187)=0,"",(SUM(T187*[1]KPI_Weights!$B$4,U187*[1]KPI_Weights!$B$5,V187*[1]KPI_Weights!$B$6,W187*[1]KPI_Weights!$B$7,X187*[1]KPI_Weights!$B$8,Y187*[1]KPI_Weights!$B$9,Z187*[1]KPI_Weights!$B$10,AA187*[1]KPI_Weights!$B$11,AB187*[1]KPI_Weights!$B$12,AC187*[1]KPI_Weights!$B$13,AD187*[1]KPI_Weights!$B$14,AE187*[1]KPI_Weights!$B$15,AF187*[1]KPI_Weights!$B$16,AG187*[1]KPI_Weights!$B$17,AH187*[1]KPI_Weights!$B$18))/5)</f>
        <v/>
      </c>
      <c r="AL187" s="60" t="str">
        <f>IF(COUNTA(T187:AH187)=0,"",IF(OR(T187&lt;=1,W187&lt;=1,X187&lt;=1,Y187&lt;=1,AB187&lt;=1),"YES","NO"))</f>
        <v/>
      </c>
      <c r="AM187" s="60" t="str">
        <f>IF(AJ187="","",IF(AND(AL187="NO",AJ187&gt;=0.75),"YES","NO"))</f>
        <v/>
      </c>
      <c r="AN187" s="60" t="str">
        <f>IF(AJ187="","",IF(AJ187&lt;0.4,"Critical",IF(AJ187&lt;0.6,"Poor",IF(AJ187&lt;0.75,"Needs Improvement",IF(AJ187&lt;0.9,"Good","Excellent")))))</f>
        <v/>
      </c>
      <c r="AO187" s="59"/>
      <c r="AP187" s="59"/>
      <c r="AQ187" s="59"/>
      <c r="AR187" s="59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</row>
    <row r="188" spans="1:54" ht="19.5" customHeight="1" x14ac:dyDescent="0.25">
      <c r="A188" s="60" t="str">
        <f>IF($B188="","",TEXT($B188,"yyyymmdd")&amp;"-"&amp;SUBSTITUTE($F188," ","")&amp;"-"&amp;TEXT(COUNTIF($F$4:F188,$F188),"00"))</f>
        <v/>
      </c>
      <c r="B188" s="65"/>
      <c r="C188" s="60" t="str">
        <f>IF($B188="","",WEEKNUM($B188,2))</f>
        <v/>
      </c>
      <c r="D188" s="60" t="str">
        <f>IF($B188="","",TEXT($B188,"yyyy-mm"))</f>
        <v/>
      </c>
      <c r="E188" s="64"/>
      <c r="F188" s="64"/>
      <c r="G188" s="60" t="str">
        <f>IF(OR($E188="",$F188=""),"",IFERROR(IF($E188=INDEX([1]Cluster_Master!$A$4:$A$18,MATCH($F188,[1]Cluster_Master!$B$4:$B$18,0)),"OK","CHECK"),"CHECK"))</f>
        <v/>
      </c>
      <c r="H188" s="63" t="str">
        <f>IFERROR(INDEX([1]Cluster_Master!$C$4:$C$18,MATCH($F188,[1]Cluster_Master!$B$4:$B$18,0)),"")</f>
        <v/>
      </c>
      <c r="I188" s="60" t="str">
        <f>IFERROR(INDEX([1]Cluster_Master!$D$4:$D$18,MATCH($F188,[1]Cluster_Master!$B$4:$B$18,0)),"")</f>
        <v/>
      </c>
      <c r="J188" s="60" t="str">
        <f>IFERROR(INDEX([1]Cluster_Master!$E$4:$E$18,MATCH($F188,[1]Cluster_Master!$B$4:$B$18,0)),"")</f>
        <v/>
      </c>
      <c r="K188" s="60" t="str">
        <f>IFERROR(INDEX([1]Cluster_Master!$F$4:$F$18,MATCH($F188,[1]Cluster_Master!$B$4:$B$18,0)),"")</f>
        <v/>
      </c>
      <c r="L188" s="60" t="str">
        <f>IFERROR(INDEX([1]Cluster_Master!$G$4:$G$18,MATCH($F188,[1]Cluster_Master!$B$4:$B$18,0)),"")</f>
        <v/>
      </c>
      <c r="M188" s="60" t="str">
        <f>IFERROR(INDEX([1]Cluster_Master!$H$4:$H$18,MATCH($F188,[1]Cluster_Master!$B$4:$B$18,0)),"")</f>
        <v/>
      </c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60" t="str">
        <f>IF(COUNTA(T188:AH188)=0,"",SUM(T188:AH188))</f>
        <v/>
      </c>
      <c r="AJ188" s="61" t="str">
        <f>IF(COUNTA(T188:AH188)=0,"",AI188/75)</f>
        <v/>
      </c>
      <c r="AK188" s="61" t="str">
        <f>IF(COUNTA(T188:AH188)=0,"",(SUM(T188*[1]KPI_Weights!$B$4,U188*[1]KPI_Weights!$B$5,V188*[1]KPI_Weights!$B$6,W188*[1]KPI_Weights!$B$7,X188*[1]KPI_Weights!$B$8,Y188*[1]KPI_Weights!$B$9,Z188*[1]KPI_Weights!$B$10,AA188*[1]KPI_Weights!$B$11,AB188*[1]KPI_Weights!$B$12,AC188*[1]KPI_Weights!$B$13,AD188*[1]KPI_Weights!$B$14,AE188*[1]KPI_Weights!$B$15,AF188*[1]KPI_Weights!$B$16,AG188*[1]KPI_Weights!$B$17,AH188*[1]KPI_Weights!$B$18))/5)</f>
        <v/>
      </c>
      <c r="AL188" s="60" t="str">
        <f>IF(COUNTA(T188:AH188)=0,"",IF(OR(T188&lt;=1,W188&lt;=1,X188&lt;=1,Y188&lt;=1,AB188&lt;=1),"YES","NO"))</f>
        <v/>
      </c>
      <c r="AM188" s="60" t="str">
        <f>IF(AJ188="","",IF(AND(AL188="NO",AJ188&gt;=0.75),"YES","NO"))</f>
        <v/>
      </c>
      <c r="AN188" s="60" t="str">
        <f>IF(AJ188="","",IF(AJ188&lt;0.4,"Critical",IF(AJ188&lt;0.6,"Poor",IF(AJ188&lt;0.75,"Needs Improvement",IF(AJ188&lt;0.9,"Good","Excellent")))))</f>
        <v/>
      </c>
      <c r="AO188" s="59"/>
      <c r="AP188" s="59"/>
      <c r="AQ188" s="59"/>
      <c r="AR188" s="59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</row>
    <row r="189" spans="1:54" ht="19.5" customHeight="1" x14ac:dyDescent="0.25">
      <c r="A189" s="60" t="str">
        <f>IF($B189="","",TEXT($B189,"yyyymmdd")&amp;"-"&amp;SUBSTITUTE($F189," ","")&amp;"-"&amp;TEXT(COUNTIF($F$4:F189,$F189),"00"))</f>
        <v/>
      </c>
      <c r="B189" s="65"/>
      <c r="C189" s="60" t="str">
        <f>IF($B189="","",WEEKNUM($B189,2))</f>
        <v/>
      </c>
      <c r="D189" s="60" t="str">
        <f>IF($B189="","",TEXT($B189,"yyyy-mm"))</f>
        <v/>
      </c>
      <c r="E189" s="64"/>
      <c r="F189" s="64"/>
      <c r="G189" s="60" t="str">
        <f>IF(OR($E189="",$F189=""),"",IFERROR(IF($E189=INDEX([1]Cluster_Master!$A$4:$A$18,MATCH($F189,[1]Cluster_Master!$B$4:$B$18,0)),"OK","CHECK"),"CHECK"))</f>
        <v/>
      </c>
      <c r="H189" s="63" t="str">
        <f>IFERROR(INDEX([1]Cluster_Master!$C$4:$C$18,MATCH($F189,[1]Cluster_Master!$B$4:$B$18,0)),"")</f>
        <v/>
      </c>
      <c r="I189" s="60" t="str">
        <f>IFERROR(INDEX([1]Cluster_Master!$D$4:$D$18,MATCH($F189,[1]Cluster_Master!$B$4:$B$18,0)),"")</f>
        <v/>
      </c>
      <c r="J189" s="60" t="str">
        <f>IFERROR(INDEX([1]Cluster_Master!$E$4:$E$18,MATCH($F189,[1]Cluster_Master!$B$4:$B$18,0)),"")</f>
        <v/>
      </c>
      <c r="K189" s="60" t="str">
        <f>IFERROR(INDEX([1]Cluster_Master!$F$4:$F$18,MATCH($F189,[1]Cluster_Master!$B$4:$B$18,0)),"")</f>
        <v/>
      </c>
      <c r="L189" s="60" t="str">
        <f>IFERROR(INDEX([1]Cluster_Master!$G$4:$G$18,MATCH($F189,[1]Cluster_Master!$B$4:$B$18,0)),"")</f>
        <v/>
      </c>
      <c r="M189" s="60" t="str">
        <f>IFERROR(INDEX([1]Cluster_Master!$H$4:$H$18,MATCH($F189,[1]Cluster_Master!$B$4:$B$18,0)),"")</f>
        <v/>
      </c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60" t="str">
        <f>IF(COUNTA(T189:AH189)=0,"",SUM(T189:AH189))</f>
        <v/>
      </c>
      <c r="AJ189" s="61" t="str">
        <f>IF(COUNTA(T189:AH189)=0,"",AI189/75)</f>
        <v/>
      </c>
      <c r="AK189" s="61" t="str">
        <f>IF(COUNTA(T189:AH189)=0,"",(SUM(T189*[1]KPI_Weights!$B$4,U189*[1]KPI_Weights!$B$5,V189*[1]KPI_Weights!$B$6,W189*[1]KPI_Weights!$B$7,X189*[1]KPI_Weights!$B$8,Y189*[1]KPI_Weights!$B$9,Z189*[1]KPI_Weights!$B$10,AA189*[1]KPI_Weights!$B$11,AB189*[1]KPI_Weights!$B$12,AC189*[1]KPI_Weights!$B$13,AD189*[1]KPI_Weights!$B$14,AE189*[1]KPI_Weights!$B$15,AF189*[1]KPI_Weights!$B$16,AG189*[1]KPI_Weights!$B$17,AH189*[1]KPI_Weights!$B$18))/5)</f>
        <v/>
      </c>
      <c r="AL189" s="60" t="str">
        <f>IF(COUNTA(T189:AH189)=0,"",IF(OR(T189&lt;=1,W189&lt;=1,X189&lt;=1,Y189&lt;=1,AB189&lt;=1),"YES","NO"))</f>
        <v/>
      </c>
      <c r="AM189" s="60" t="str">
        <f>IF(AJ189="","",IF(AND(AL189="NO",AJ189&gt;=0.75),"YES","NO"))</f>
        <v/>
      </c>
      <c r="AN189" s="60" t="str">
        <f>IF(AJ189="","",IF(AJ189&lt;0.4,"Critical",IF(AJ189&lt;0.6,"Poor",IF(AJ189&lt;0.75,"Needs Improvement",IF(AJ189&lt;0.9,"Good","Excellent")))))</f>
        <v/>
      </c>
      <c r="AO189" s="59"/>
      <c r="AP189" s="59"/>
      <c r="AQ189" s="59"/>
      <c r="AR189" s="59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</row>
    <row r="190" spans="1:54" ht="19.5" customHeight="1" x14ac:dyDescent="0.25">
      <c r="A190" s="60" t="str">
        <f>IF($B190="","",TEXT($B190,"yyyymmdd")&amp;"-"&amp;SUBSTITUTE($F190," ","")&amp;"-"&amp;TEXT(COUNTIF($F$4:F190,$F190),"00"))</f>
        <v/>
      </c>
      <c r="B190" s="65"/>
      <c r="C190" s="60" t="str">
        <f>IF($B190="","",WEEKNUM($B190,2))</f>
        <v/>
      </c>
      <c r="D190" s="60" t="str">
        <f>IF($B190="","",TEXT($B190,"yyyy-mm"))</f>
        <v/>
      </c>
      <c r="E190" s="64"/>
      <c r="F190" s="64"/>
      <c r="G190" s="60" t="str">
        <f>IF(OR($E190="",$F190=""),"",IFERROR(IF($E190=INDEX([1]Cluster_Master!$A$4:$A$18,MATCH($F190,[1]Cluster_Master!$B$4:$B$18,0)),"OK","CHECK"),"CHECK"))</f>
        <v/>
      </c>
      <c r="H190" s="63" t="str">
        <f>IFERROR(INDEX([1]Cluster_Master!$C$4:$C$18,MATCH($F190,[1]Cluster_Master!$B$4:$B$18,0)),"")</f>
        <v/>
      </c>
      <c r="I190" s="60" t="str">
        <f>IFERROR(INDEX([1]Cluster_Master!$D$4:$D$18,MATCH($F190,[1]Cluster_Master!$B$4:$B$18,0)),"")</f>
        <v/>
      </c>
      <c r="J190" s="60" t="str">
        <f>IFERROR(INDEX([1]Cluster_Master!$E$4:$E$18,MATCH($F190,[1]Cluster_Master!$B$4:$B$18,0)),"")</f>
        <v/>
      </c>
      <c r="K190" s="60" t="str">
        <f>IFERROR(INDEX([1]Cluster_Master!$F$4:$F$18,MATCH($F190,[1]Cluster_Master!$B$4:$B$18,0)),"")</f>
        <v/>
      </c>
      <c r="L190" s="60" t="str">
        <f>IFERROR(INDEX([1]Cluster_Master!$G$4:$G$18,MATCH($F190,[1]Cluster_Master!$B$4:$B$18,0)),"")</f>
        <v/>
      </c>
      <c r="M190" s="60" t="str">
        <f>IFERROR(INDEX([1]Cluster_Master!$H$4:$H$18,MATCH($F190,[1]Cluster_Master!$B$4:$B$18,0)),"")</f>
        <v/>
      </c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60" t="str">
        <f>IF(COUNTA(T190:AH190)=0,"",SUM(T190:AH190))</f>
        <v/>
      </c>
      <c r="AJ190" s="61" t="str">
        <f>IF(COUNTA(T190:AH190)=0,"",AI190/75)</f>
        <v/>
      </c>
      <c r="AK190" s="61" t="str">
        <f>IF(COUNTA(T190:AH190)=0,"",(SUM(T190*[1]KPI_Weights!$B$4,U190*[1]KPI_Weights!$B$5,V190*[1]KPI_Weights!$B$6,W190*[1]KPI_Weights!$B$7,X190*[1]KPI_Weights!$B$8,Y190*[1]KPI_Weights!$B$9,Z190*[1]KPI_Weights!$B$10,AA190*[1]KPI_Weights!$B$11,AB190*[1]KPI_Weights!$B$12,AC190*[1]KPI_Weights!$B$13,AD190*[1]KPI_Weights!$B$14,AE190*[1]KPI_Weights!$B$15,AF190*[1]KPI_Weights!$B$16,AG190*[1]KPI_Weights!$B$17,AH190*[1]KPI_Weights!$B$18))/5)</f>
        <v/>
      </c>
      <c r="AL190" s="60" t="str">
        <f>IF(COUNTA(T190:AH190)=0,"",IF(OR(T190&lt;=1,W190&lt;=1,X190&lt;=1,Y190&lt;=1,AB190&lt;=1),"YES","NO"))</f>
        <v/>
      </c>
      <c r="AM190" s="60" t="str">
        <f>IF(AJ190="","",IF(AND(AL190="NO",AJ190&gt;=0.75),"YES","NO"))</f>
        <v/>
      </c>
      <c r="AN190" s="60" t="str">
        <f>IF(AJ190="","",IF(AJ190&lt;0.4,"Critical",IF(AJ190&lt;0.6,"Poor",IF(AJ190&lt;0.75,"Needs Improvement",IF(AJ190&lt;0.9,"Good","Excellent")))))</f>
        <v/>
      </c>
      <c r="AO190" s="59"/>
      <c r="AP190" s="59"/>
      <c r="AQ190" s="59"/>
      <c r="AR190" s="59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</row>
    <row r="191" spans="1:54" ht="19.5" customHeight="1" x14ac:dyDescent="0.25">
      <c r="A191" s="60" t="str">
        <f>IF($B191="","",TEXT($B191,"yyyymmdd")&amp;"-"&amp;SUBSTITUTE($F191," ","")&amp;"-"&amp;TEXT(COUNTIF($F$4:F191,$F191),"00"))</f>
        <v/>
      </c>
      <c r="B191" s="65"/>
      <c r="C191" s="60" t="str">
        <f>IF($B191="","",WEEKNUM($B191,2))</f>
        <v/>
      </c>
      <c r="D191" s="60" t="str">
        <f>IF($B191="","",TEXT($B191,"yyyy-mm"))</f>
        <v/>
      </c>
      <c r="E191" s="64"/>
      <c r="F191" s="64"/>
      <c r="G191" s="60" t="str">
        <f>IF(OR($E191="",$F191=""),"",IFERROR(IF($E191=INDEX([1]Cluster_Master!$A$4:$A$18,MATCH($F191,[1]Cluster_Master!$B$4:$B$18,0)),"OK","CHECK"),"CHECK"))</f>
        <v/>
      </c>
      <c r="H191" s="63" t="str">
        <f>IFERROR(INDEX([1]Cluster_Master!$C$4:$C$18,MATCH($F191,[1]Cluster_Master!$B$4:$B$18,0)),"")</f>
        <v/>
      </c>
      <c r="I191" s="60" t="str">
        <f>IFERROR(INDEX([1]Cluster_Master!$D$4:$D$18,MATCH($F191,[1]Cluster_Master!$B$4:$B$18,0)),"")</f>
        <v/>
      </c>
      <c r="J191" s="60" t="str">
        <f>IFERROR(INDEX([1]Cluster_Master!$E$4:$E$18,MATCH($F191,[1]Cluster_Master!$B$4:$B$18,0)),"")</f>
        <v/>
      </c>
      <c r="K191" s="60" t="str">
        <f>IFERROR(INDEX([1]Cluster_Master!$F$4:$F$18,MATCH($F191,[1]Cluster_Master!$B$4:$B$18,0)),"")</f>
        <v/>
      </c>
      <c r="L191" s="60" t="str">
        <f>IFERROR(INDEX([1]Cluster_Master!$G$4:$G$18,MATCH($F191,[1]Cluster_Master!$B$4:$B$18,0)),"")</f>
        <v/>
      </c>
      <c r="M191" s="60" t="str">
        <f>IFERROR(INDEX([1]Cluster_Master!$H$4:$H$18,MATCH($F191,[1]Cluster_Master!$B$4:$B$18,0)),"")</f>
        <v/>
      </c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60" t="str">
        <f>IF(COUNTA(T191:AH191)=0,"",SUM(T191:AH191))</f>
        <v/>
      </c>
      <c r="AJ191" s="61" t="str">
        <f>IF(COUNTA(T191:AH191)=0,"",AI191/75)</f>
        <v/>
      </c>
      <c r="AK191" s="61" t="str">
        <f>IF(COUNTA(T191:AH191)=0,"",(SUM(T191*[1]KPI_Weights!$B$4,U191*[1]KPI_Weights!$B$5,V191*[1]KPI_Weights!$B$6,W191*[1]KPI_Weights!$B$7,X191*[1]KPI_Weights!$B$8,Y191*[1]KPI_Weights!$B$9,Z191*[1]KPI_Weights!$B$10,AA191*[1]KPI_Weights!$B$11,AB191*[1]KPI_Weights!$B$12,AC191*[1]KPI_Weights!$B$13,AD191*[1]KPI_Weights!$B$14,AE191*[1]KPI_Weights!$B$15,AF191*[1]KPI_Weights!$B$16,AG191*[1]KPI_Weights!$B$17,AH191*[1]KPI_Weights!$B$18))/5)</f>
        <v/>
      </c>
      <c r="AL191" s="60" t="str">
        <f>IF(COUNTA(T191:AH191)=0,"",IF(OR(T191&lt;=1,W191&lt;=1,X191&lt;=1,Y191&lt;=1,AB191&lt;=1),"YES","NO"))</f>
        <v/>
      </c>
      <c r="AM191" s="60" t="str">
        <f>IF(AJ191="","",IF(AND(AL191="NO",AJ191&gt;=0.75),"YES","NO"))</f>
        <v/>
      </c>
      <c r="AN191" s="60" t="str">
        <f>IF(AJ191="","",IF(AJ191&lt;0.4,"Critical",IF(AJ191&lt;0.6,"Poor",IF(AJ191&lt;0.75,"Needs Improvement",IF(AJ191&lt;0.9,"Good","Excellent")))))</f>
        <v/>
      </c>
      <c r="AO191" s="59"/>
      <c r="AP191" s="59"/>
      <c r="AQ191" s="59"/>
      <c r="AR191" s="59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</row>
    <row r="192" spans="1:54" ht="19.5" customHeight="1" x14ac:dyDescent="0.25">
      <c r="A192" s="60" t="str">
        <f>IF($B192="","",TEXT($B192,"yyyymmdd")&amp;"-"&amp;SUBSTITUTE($F192," ","")&amp;"-"&amp;TEXT(COUNTIF($F$4:F192,$F192),"00"))</f>
        <v/>
      </c>
      <c r="B192" s="65"/>
      <c r="C192" s="60" t="str">
        <f>IF($B192="","",WEEKNUM($B192,2))</f>
        <v/>
      </c>
      <c r="D192" s="60" t="str">
        <f>IF($B192="","",TEXT($B192,"yyyy-mm"))</f>
        <v/>
      </c>
      <c r="E192" s="64"/>
      <c r="F192" s="64"/>
      <c r="G192" s="60" t="str">
        <f>IF(OR($E192="",$F192=""),"",IFERROR(IF($E192=INDEX([1]Cluster_Master!$A$4:$A$18,MATCH($F192,[1]Cluster_Master!$B$4:$B$18,0)),"OK","CHECK"),"CHECK"))</f>
        <v/>
      </c>
      <c r="H192" s="63" t="str">
        <f>IFERROR(INDEX([1]Cluster_Master!$C$4:$C$18,MATCH($F192,[1]Cluster_Master!$B$4:$B$18,0)),"")</f>
        <v/>
      </c>
      <c r="I192" s="60" t="str">
        <f>IFERROR(INDEX([1]Cluster_Master!$D$4:$D$18,MATCH($F192,[1]Cluster_Master!$B$4:$B$18,0)),"")</f>
        <v/>
      </c>
      <c r="J192" s="60" t="str">
        <f>IFERROR(INDEX([1]Cluster_Master!$E$4:$E$18,MATCH($F192,[1]Cluster_Master!$B$4:$B$18,0)),"")</f>
        <v/>
      </c>
      <c r="K192" s="60" t="str">
        <f>IFERROR(INDEX([1]Cluster_Master!$F$4:$F$18,MATCH($F192,[1]Cluster_Master!$B$4:$B$18,0)),"")</f>
        <v/>
      </c>
      <c r="L192" s="60" t="str">
        <f>IFERROR(INDEX([1]Cluster_Master!$G$4:$G$18,MATCH($F192,[1]Cluster_Master!$B$4:$B$18,0)),"")</f>
        <v/>
      </c>
      <c r="M192" s="60" t="str">
        <f>IFERROR(INDEX([1]Cluster_Master!$H$4:$H$18,MATCH($F192,[1]Cluster_Master!$B$4:$B$18,0)),"")</f>
        <v/>
      </c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60" t="str">
        <f>IF(COUNTA(T192:AH192)=0,"",SUM(T192:AH192))</f>
        <v/>
      </c>
      <c r="AJ192" s="61" t="str">
        <f>IF(COUNTA(T192:AH192)=0,"",AI192/75)</f>
        <v/>
      </c>
      <c r="AK192" s="61" t="str">
        <f>IF(COUNTA(T192:AH192)=0,"",(SUM(T192*[1]KPI_Weights!$B$4,U192*[1]KPI_Weights!$B$5,V192*[1]KPI_Weights!$B$6,W192*[1]KPI_Weights!$B$7,X192*[1]KPI_Weights!$B$8,Y192*[1]KPI_Weights!$B$9,Z192*[1]KPI_Weights!$B$10,AA192*[1]KPI_Weights!$B$11,AB192*[1]KPI_Weights!$B$12,AC192*[1]KPI_Weights!$B$13,AD192*[1]KPI_Weights!$B$14,AE192*[1]KPI_Weights!$B$15,AF192*[1]KPI_Weights!$B$16,AG192*[1]KPI_Weights!$B$17,AH192*[1]KPI_Weights!$B$18))/5)</f>
        <v/>
      </c>
      <c r="AL192" s="60" t="str">
        <f>IF(COUNTA(T192:AH192)=0,"",IF(OR(T192&lt;=1,W192&lt;=1,X192&lt;=1,Y192&lt;=1,AB192&lt;=1),"YES","NO"))</f>
        <v/>
      </c>
      <c r="AM192" s="60" t="str">
        <f>IF(AJ192="","",IF(AND(AL192="NO",AJ192&gt;=0.75),"YES","NO"))</f>
        <v/>
      </c>
      <c r="AN192" s="60" t="str">
        <f>IF(AJ192="","",IF(AJ192&lt;0.4,"Critical",IF(AJ192&lt;0.6,"Poor",IF(AJ192&lt;0.75,"Needs Improvement",IF(AJ192&lt;0.9,"Good","Excellent")))))</f>
        <v/>
      </c>
      <c r="AO192" s="59"/>
      <c r="AP192" s="59"/>
      <c r="AQ192" s="59"/>
      <c r="AR192" s="59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</row>
    <row r="193" spans="1:54" ht="19.5" customHeight="1" x14ac:dyDescent="0.25">
      <c r="A193" s="60" t="str">
        <f>IF($B193="","",TEXT($B193,"yyyymmdd")&amp;"-"&amp;SUBSTITUTE($F193," ","")&amp;"-"&amp;TEXT(COUNTIF($F$4:F193,$F193),"00"))</f>
        <v/>
      </c>
      <c r="B193" s="65"/>
      <c r="C193" s="60" t="str">
        <f>IF($B193="","",WEEKNUM($B193,2))</f>
        <v/>
      </c>
      <c r="D193" s="60" t="str">
        <f>IF($B193="","",TEXT($B193,"yyyy-mm"))</f>
        <v/>
      </c>
      <c r="E193" s="64"/>
      <c r="F193" s="64"/>
      <c r="G193" s="60" t="str">
        <f>IF(OR($E193="",$F193=""),"",IFERROR(IF($E193=INDEX([1]Cluster_Master!$A$4:$A$18,MATCH($F193,[1]Cluster_Master!$B$4:$B$18,0)),"OK","CHECK"),"CHECK"))</f>
        <v/>
      </c>
      <c r="H193" s="63" t="str">
        <f>IFERROR(INDEX([1]Cluster_Master!$C$4:$C$18,MATCH($F193,[1]Cluster_Master!$B$4:$B$18,0)),"")</f>
        <v/>
      </c>
      <c r="I193" s="60" t="str">
        <f>IFERROR(INDEX([1]Cluster_Master!$D$4:$D$18,MATCH($F193,[1]Cluster_Master!$B$4:$B$18,0)),"")</f>
        <v/>
      </c>
      <c r="J193" s="60" t="str">
        <f>IFERROR(INDEX([1]Cluster_Master!$E$4:$E$18,MATCH($F193,[1]Cluster_Master!$B$4:$B$18,0)),"")</f>
        <v/>
      </c>
      <c r="K193" s="60" t="str">
        <f>IFERROR(INDEX([1]Cluster_Master!$F$4:$F$18,MATCH($F193,[1]Cluster_Master!$B$4:$B$18,0)),"")</f>
        <v/>
      </c>
      <c r="L193" s="60" t="str">
        <f>IFERROR(INDEX([1]Cluster_Master!$G$4:$G$18,MATCH($F193,[1]Cluster_Master!$B$4:$B$18,0)),"")</f>
        <v/>
      </c>
      <c r="M193" s="60" t="str">
        <f>IFERROR(INDEX([1]Cluster_Master!$H$4:$H$18,MATCH($F193,[1]Cluster_Master!$B$4:$B$18,0)),"")</f>
        <v/>
      </c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60" t="str">
        <f>IF(COUNTA(T193:AH193)=0,"",SUM(T193:AH193))</f>
        <v/>
      </c>
      <c r="AJ193" s="61" t="str">
        <f>IF(COUNTA(T193:AH193)=0,"",AI193/75)</f>
        <v/>
      </c>
      <c r="AK193" s="61" t="str">
        <f>IF(COUNTA(T193:AH193)=0,"",(SUM(T193*[1]KPI_Weights!$B$4,U193*[1]KPI_Weights!$B$5,V193*[1]KPI_Weights!$B$6,W193*[1]KPI_Weights!$B$7,X193*[1]KPI_Weights!$B$8,Y193*[1]KPI_Weights!$B$9,Z193*[1]KPI_Weights!$B$10,AA193*[1]KPI_Weights!$B$11,AB193*[1]KPI_Weights!$B$12,AC193*[1]KPI_Weights!$B$13,AD193*[1]KPI_Weights!$B$14,AE193*[1]KPI_Weights!$B$15,AF193*[1]KPI_Weights!$B$16,AG193*[1]KPI_Weights!$B$17,AH193*[1]KPI_Weights!$B$18))/5)</f>
        <v/>
      </c>
      <c r="AL193" s="60" t="str">
        <f>IF(COUNTA(T193:AH193)=0,"",IF(OR(T193&lt;=1,W193&lt;=1,X193&lt;=1,Y193&lt;=1,AB193&lt;=1),"YES","NO"))</f>
        <v/>
      </c>
      <c r="AM193" s="60" t="str">
        <f>IF(AJ193="","",IF(AND(AL193="NO",AJ193&gt;=0.75),"YES","NO"))</f>
        <v/>
      </c>
      <c r="AN193" s="60" t="str">
        <f>IF(AJ193="","",IF(AJ193&lt;0.4,"Critical",IF(AJ193&lt;0.6,"Poor",IF(AJ193&lt;0.75,"Needs Improvement",IF(AJ193&lt;0.9,"Good","Excellent")))))</f>
        <v/>
      </c>
      <c r="AO193" s="59"/>
      <c r="AP193" s="59"/>
      <c r="AQ193" s="59"/>
      <c r="AR193" s="59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</row>
    <row r="194" spans="1:54" ht="19.5" customHeight="1" x14ac:dyDescent="0.25">
      <c r="A194" s="60" t="str">
        <f>IF($B194="","",TEXT($B194,"yyyymmdd")&amp;"-"&amp;SUBSTITUTE($F194," ","")&amp;"-"&amp;TEXT(COUNTIF($F$4:F194,$F194),"00"))</f>
        <v/>
      </c>
      <c r="B194" s="65"/>
      <c r="C194" s="60" t="str">
        <f>IF($B194="","",WEEKNUM($B194,2))</f>
        <v/>
      </c>
      <c r="D194" s="60" t="str">
        <f>IF($B194="","",TEXT($B194,"yyyy-mm"))</f>
        <v/>
      </c>
      <c r="E194" s="64"/>
      <c r="F194" s="64"/>
      <c r="G194" s="60" t="str">
        <f>IF(OR($E194="",$F194=""),"",IFERROR(IF($E194=INDEX([1]Cluster_Master!$A$4:$A$18,MATCH($F194,[1]Cluster_Master!$B$4:$B$18,0)),"OK","CHECK"),"CHECK"))</f>
        <v/>
      </c>
      <c r="H194" s="63" t="str">
        <f>IFERROR(INDEX([1]Cluster_Master!$C$4:$C$18,MATCH($F194,[1]Cluster_Master!$B$4:$B$18,0)),"")</f>
        <v/>
      </c>
      <c r="I194" s="60" t="str">
        <f>IFERROR(INDEX([1]Cluster_Master!$D$4:$D$18,MATCH($F194,[1]Cluster_Master!$B$4:$B$18,0)),"")</f>
        <v/>
      </c>
      <c r="J194" s="60" t="str">
        <f>IFERROR(INDEX([1]Cluster_Master!$E$4:$E$18,MATCH($F194,[1]Cluster_Master!$B$4:$B$18,0)),"")</f>
        <v/>
      </c>
      <c r="K194" s="60" t="str">
        <f>IFERROR(INDEX([1]Cluster_Master!$F$4:$F$18,MATCH($F194,[1]Cluster_Master!$B$4:$B$18,0)),"")</f>
        <v/>
      </c>
      <c r="L194" s="60" t="str">
        <f>IFERROR(INDEX([1]Cluster_Master!$G$4:$G$18,MATCH($F194,[1]Cluster_Master!$B$4:$B$18,0)),"")</f>
        <v/>
      </c>
      <c r="M194" s="60" t="str">
        <f>IFERROR(INDEX([1]Cluster_Master!$H$4:$H$18,MATCH($F194,[1]Cluster_Master!$B$4:$B$18,0)),"")</f>
        <v/>
      </c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60" t="str">
        <f>IF(COUNTA(T194:AH194)=0,"",SUM(T194:AH194))</f>
        <v/>
      </c>
      <c r="AJ194" s="61" t="str">
        <f>IF(COUNTA(T194:AH194)=0,"",AI194/75)</f>
        <v/>
      </c>
      <c r="AK194" s="61" t="str">
        <f>IF(COUNTA(T194:AH194)=0,"",(SUM(T194*[1]KPI_Weights!$B$4,U194*[1]KPI_Weights!$B$5,V194*[1]KPI_Weights!$B$6,W194*[1]KPI_Weights!$B$7,X194*[1]KPI_Weights!$B$8,Y194*[1]KPI_Weights!$B$9,Z194*[1]KPI_Weights!$B$10,AA194*[1]KPI_Weights!$B$11,AB194*[1]KPI_Weights!$B$12,AC194*[1]KPI_Weights!$B$13,AD194*[1]KPI_Weights!$B$14,AE194*[1]KPI_Weights!$B$15,AF194*[1]KPI_Weights!$B$16,AG194*[1]KPI_Weights!$B$17,AH194*[1]KPI_Weights!$B$18))/5)</f>
        <v/>
      </c>
      <c r="AL194" s="60" t="str">
        <f>IF(COUNTA(T194:AH194)=0,"",IF(OR(T194&lt;=1,W194&lt;=1,X194&lt;=1,Y194&lt;=1,AB194&lt;=1),"YES","NO"))</f>
        <v/>
      </c>
      <c r="AM194" s="60" t="str">
        <f>IF(AJ194="","",IF(AND(AL194="NO",AJ194&gt;=0.75),"YES","NO"))</f>
        <v/>
      </c>
      <c r="AN194" s="60" t="str">
        <f>IF(AJ194="","",IF(AJ194&lt;0.4,"Critical",IF(AJ194&lt;0.6,"Poor",IF(AJ194&lt;0.75,"Needs Improvement",IF(AJ194&lt;0.9,"Good","Excellent")))))</f>
        <v/>
      </c>
      <c r="AO194" s="59"/>
      <c r="AP194" s="59"/>
      <c r="AQ194" s="59"/>
      <c r="AR194" s="59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</row>
    <row r="195" spans="1:54" ht="19.5" customHeight="1" x14ac:dyDescent="0.25">
      <c r="A195" s="60" t="str">
        <f>IF($B195="","",TEXT($B195,"yyyymmdd")&amp;"-"&amp;SUBSTITUTE($F195," ","")&amp;"-"&amp;TEXT(COUNTIF($F$4:F195,$F195),"00"))</f>
        <v/>
      </c>
      <c r="B195" s="65"/>
      <c r="C195" s="60" t="str">
        <f>IF($B195="","",WEEKNUM($B195,2))</f>
        <v/>
      </c>
      <c r="D195" s="60" t="str">
        <f>IF($B195="","",TEXT($B195,"yyyy-mm"))</f>
        <v/>
      </c>
      <c r="E195" s="64"/>
      <c r="F195" s="64"/>
      <c r="G195" s="60" t="str">
        <f>IF(OR($E195="",$F195=""),"",IFERROR(IF($E195=INDEX([1]Cluster_Master!$A$4:$A$18,MATCH($F195,[1]Cluster_Master!$B$4:$B$18,0)),"OK","CHECK"),"CHECK"))</f>
        <v/>
      </c>
      <c r="H195" s="63" t="str">
        <f>IFERROR(INDEX([1]Cluster_Master!$C$4:$C$18,MATCH($F195,[1]Cluster_Master!$B$4:$B$18,0)),"")</f>
        <v/>
      </c>
      <c r="I195" s="60" t="str">
        <f>IFERROR(INDEX([1]Cluster_Master!$D$4:$D$18,MATCH($F195,[1]Cluster_Master!$B$4:$B$18,0)),"")</f>
        <v/>
      </c>
      <c r="J195" s="60" t="str">
        <f>IFERROR(INDEX([1]Cluster_Master!$E$4:$E$18,MATCH($F195,[1]Cluster_Master!$B$4:$B$18,0)),"")</f>
        <v/>
      </c>
      <c r="K195" s="60" t="str">
        <f>IFERROR(INDEX([1]Cluster_Master!$F$4:$F$18,MATCH($F195,[1]Cluster_Master!$B$4:$B$18,0)),"")</f>
        <v/>
      </c>
      <c r="L195" s="60" t="str">
        <f>IFERROR(INDEX([1]Cluster_Master!$G$4:$G$18,MATCH($F195,[1]Cluster_Master!$B$4:$B$18,0)),"")</f>
        <v/>
      </c>
      <c r="M195" s="60" t="str">
        <f>IFERROR(INDEX([1]Cluster_Master!$H$4:$H$18,MATCH($F195,[1]Cluster_Master!$B$4:$B$18,0)),"")</f>
        <v/>
      </c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60" t="str">
        <f>IF(COUNTA(T195:AH195)=0,"",SUM(T195:AH195))</f>
        <v/>
      </c>
      <c r="AJ195" s="61" t="str">
        <f>IF(COUNTA(T195:AH195)=0,"",AI195/75)</f>
        <v/>
      </c>
      <c r="AK195" s="61" t="str">
        <f>IF(COUNTA(T195:AH195)=0,"",(SUM(T195*[1]KPI_Weights!$B$4,U195*[1]KPI_Weights!$B$5,V195*[1]KPI_Weights!$B$6,W195*[1]KPI_Weights!$B$7,X195*[1]KPI_Weights!$B$8,Y195*[1]KPI_Weights!$B$9,Z195*[1]KPI_Weights!$B$10,AA195*[1]KPI_Weights!$B$11,AB195*[1]KPI_Weights!$B$12,AC195*[1]KPI_Weights!$B$13,AD195*[1]KPI_Weights!$B$14,AE195*[1]KPI_Weights!$B$15,AF195*[1]KPI_Weights!$B$16,AG195*[1]KPI_Weights!$B$17,AH195*[1]KPI_Weights!$B$18))/5)</f>
        <v/>
      </c>
      <c r="AL195" s="60" t="str">
        <f>IF(COUNTA(T195:AH195)=0,"",IF(OR(T195&lt;=1,W195&lt;=1,X195&lt;=1,Y195&lt;=1,AB195&lt;=1),"YES","NO"))</f>
        <v/>
      </c>
      <c r="AM195" s="60" t="str">
        <f>IF(AJ195="","",IF(AND(AL195="NO",AJ195&gt;=0.75),"YES","NO"))</f>
        <v/>
      </c>
      <c r="AN195" s="60" t="str">
        <f>IF(AJ195="","",IF(AJ195&lt;0.4,"Critical",IF(AJ195&lt;0.6,"Poor",IF(AJ195&lt;0.75,"Needs Improvement",IF(AJ195&lt;0.9,"Good","Excellent")))))</f>
        <v/>
      </c>
      <c r="AO195" s="59"/>
      <c r="AP195" s="59"/>
      <c r="AQ195" s="59"/>
      <c r="AR195" s="59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</row>
    <row r="196" spans="1:54" ht="19.5" customHeight="1" x14ac:dyDescent="0.25">
      <c r="A196" s="60" t="str">
        <f>IF($B196="","",TEXT($B196,"yyyymmdd")&amp;"-"&amp;SUBSTITUTE($F196," ","")&amp;"-"&amp;TEXT(COUNTIF($F$4:F196,$F196),"00"))</f>
        <v/>
      </c>
      <c r="B196" s="65"/>
      <c r="C196" s="60" t="str">
        <f>IF($B196="","",WEEKNUM($B196,2))</f>
        <v/>
      </c>
      <c r="D196" s="60" t="str">
        <f>IF($B196="","",TEXT($B196,"yyyy-mm"))</f>
        <v/>
      </c>
      <c r="E196" s="64"/>
      <c r="F196" s="64"/>
      <c r="G196" s="60" t="str">
        <f>IF(OR($E196="",$F196=""),"",IFERROR(IF($E196=INDEX([1]Cluster_Master!$A$4:$A$18,MATCH($F196,[1]Cluster_Master!$B$4:$B$18,0)),"OK","CHECK"),"CHECK"))</f>
        <v/>
      </c>
      <c r="H196" s="63" t="str">
        <f>IFERROR(INDEX([1]Cluster_Master!$C$4:$C$18,MATCH($F196,[1]Cluster_Master!$B$4:$B$18,0)),"")</f>
        <v/>
      </c>
      <c r="I196" s="60" t="str">
        <f>IFERROR(INDEX([1]Cluster_Master!$D$4:$D$18,MATCH($F196,[1]Cluster_Master!$B$4:$B$18,0)),"")</f>
        <v/>
      </c>
      <c r="J196" s="60" t="str">
        <f>IFERROR(INDEX([1]Cluster_Master!$E$4:$E$18,MATCH($F196,[1]Cluster_Master!$B$4:$B$18,0)),"")</f>
        <v/>
      </c>
      <c r="K196" s="60" t="str">
        <f>IFERROR(INDEX([1]Cluster_Master!$F$4:$F$18,MATCH($F196,[1]Cluster_Master!$B$4:$B$18,0)),"")</f>
        <v/>
      </c>
      <c r="L196" s="60" t="str">
        <f>IFERROR(INDEX([1]Cluster_Master!$G$4:$G$18,MATCH($F196,[1]Cluster_Master!$B$4:$B$18,0)),"")</f>
        <v/>
      </c>
      <c r="M196" s="60" t="str">
        <f>IFERROR(INDEX([1]Cluster_Master!$H$4:$H$18,MATCH($F196,[1]Cluster_Master!$B$4:$B$18,0)),"")</f>
        <v/>
      </c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60" t="str">
        <f>IF(COUNTA(T196:AH196)=0,"",SUM(T196:AH196))</f>
        <v/>
      </c>
      <c r="AJ196" s="61" t="str">
        <f>IF(COUNTA(T196:AH196)=0,"",AI196/75)</f>
        <v/>
      </c>
      <c r="AK196" s="61" t="str">
        <f>IF(COUNTA(T196:AH196)=0,"",(SUM(T196*[1]KPI_Weights!$B$4,U196*[1]KPI_Weights!$B$5,V196*[1]KPI_Weights!$B$6,W196*[1]KPI_Weights!$B$7,X196*[1]KPI_Weights!$B$8,Y196*[1]KPI_Weights!$B$9,Z196*[1]KPI_Weights!$B$10,AA196*[1]KPI_Weights!$B$11,AB196*[1]KPI_Weights!$B$12,AC196*[1]KPI_Weights!$B$13,AD196*[1]KPI_Weights!$B$14,AE196*[1]KPI_Weights!$B$15,AF196*[1]KPI_Weights!$B$16,AG196*[1]KPI_Weights!$B$17,AH196*[1]KPI_Weights!$B$18))/5)</f>
        <v/>
      </c>
      <c r="AL196" s="60" t="str">
        <f>IF(COUNTA(T196:AH196)=0,"",IF(OR(T196&lt;=1,W196&lt;=1,X196&lt;=1,Y196&lt;=1,AB196&lt;=1),"YES","NO"))</f>
        <v/>
      </c>
      <c r="AM196" s="60" t="str">
        <f>IF(AJ196="","",IF(AND(AL196="NO",AJ196&gt;=0.75),"YES","NO"))</f>
        <v/>
      </c>
      <c r="AN196" s="60" t="str">
        <f>IF(AJ196="","",IF(AJ196&lt;0.4,"Critical",IF(AJ196&lt;0.6,"Poor",IF(AJ196&lt;0.75,"Needs Improvement",IF(AJ196&lt;0.9,"Good","Excellent")))))</f>
        <v/>
      </c>
      <c r="AO196" s="59"/>
      <c r="AP196" s="59"/>
      <c r="AQ196" s="59"/>
      <c r="AR196" s="59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</row>
    <row r="197" spans="1:54" ht="19.5" customHeight="1" x14ac:dyDescent="0.25">
      <c r="A197" s="60" t="str">
        <f>IF($B197="","",TEXT($B197,"yyyymmdd")&amp;"-"&amp;SUBSTITUTE($F197," ","")&amp;"-"&amp;TEXT(COUNTIF($F$4:F197,$F197),"00"))</f>
        <v/>
      </c>
      <c r="B197" s="65"/>
      <c r="C197" s="60" t="str">
        <f>IF($B197="","",WEEKNUM($B197,2))</f>
        <v/>
      </c>
      <c r="D197" s="60" t="str">
        <f>IF($B197="","",TEXT($B197,"yyyy-mm"))</f>
        <v/>
      </c>
      <c r="E197" s="64"/>
      <c r="F197" s="64"/>
      <c r="G197" s="60" t="str">
        <f>IF(OR($E197="",$F197=""),"",IFERROR(IF($E197=INDEX([1]Cluster_Master!$A$4:$A$18,MATCH($F197,[1]Cluster_Master!$B$4:$B$18,0)),"OK","CHECK"),"CHECK"))</f>
        <v/>
      </c>
      <c r="H197" s="63" t="str">
        <f>IFERROR(INDEX([1]Cluster_Master!$C$4:$C$18,MATCH($F197,[1]Cluster_Master!$B$4:$B$18,0)),"")</f>
        <v/>
      </c>
      <c r="I197" s="60" t="str">
        <f>IFERROR(INDEX([1]Cluster_Master!$D$4:$D$18,MATCH($F197,[1]Cluster_Master!$B$4:$B$18,0)),"")</f>
        <v/>
      </c>
      <c r="J197" s="60" t="str">
        <f>IFERROR(INDEX([1]Cluster_Master!$E$4:$E$18,MATCH($F197,[1]Cluster_Master!$B$4:$B$18,0)),"")</f>
        <v/>
      </c>
      <c r="K197" s="60" t="str">
        <f>IFERROR(INDEX([1]Cluster_Master!$F$4:$F$18,MATCH($F197,[1]Cluster_Master!$B$4:$B$18,0)),"")</f>
        <v/>
      </c>
      <c r="L197" s="60" t="str">
        <f>IFERROR(INDEX([1]Cluster_Master!$G$4:$G$18,MATCH($F197,[1]Cluster_Master!$B$4:$B$18,0)),"")</f>
        <v/>
      </c>
      <c r="M197" s="60" t="str">
        <f>IFERROR(INDEX([1]Cluster_Master!$H$4:$H$18,MATCH($F197,[1]Cluster_Master!$B$4:$B$18,0)),"")</f>
        <v/>
      </c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60" t="str">
        <f>IF(COUNTA(T197:AH197)=0,"",SUM(T197:AH197))</f>
        <v/>
      </c>
      <c r="AJ197" s="61" t="str">
        <f>IF(COUNTA(T197:AH197)=0,"",AI197/75)</f>
        <v/>
      </c>
      <c r="AK197" s="61" t="str">
        <f>IF(COUNTA(T197:AH197)=0,"",(SUM(T197*[1]KPI_Weights!$B$4,U197*[1]KPI_Weights!$B$5,V197*[1]KPI_Weights!$B$6,W197*[1]KPI_Weights!$B$7,X197*[1]KPI_Weights!$B$8,Y197*[1]KPI_Weights!$B$9,Z197*[1]KPI_Weights!$B$10,AA197*[1]KPI_Weights!$B$11,AB197*[1]KPI_Weights!$B$12,AC197*[1]KPI_Weights!$B$13,AD197*[1]KPI_Weights!$B$14,AE197*[1]KPI_Weights!$B$15,AF197*[1]KPI_Weights!$B$16,AG197*[1]KPI_Weights!$B$17,AH197*[1]KPI_Weights!$B$18))/5)</f>
        <v/>
      </c>
      <c r="AL197" s="60" t="str">
        <f>IF(COUNTA(T197:AH197)=0,"",IF(OR(T197&lt;=1,W197&lt;=1,X197&lt;=1,Y197&lt;=1,AB197&lt;=1),"YES","NO"))</f>
        <v/>
      </c>
      <c r="AM197" s="60" t="str">
        <f>IF(AJ197="","",IF(AND(AL197="NO",AJ197&gt;=0.75),"YES","NO"))</f>
        <v/>
      </c>
      <c r="AN197" s="60" t="str">
        <f>IF(AJ197="","",IF(AJ197&lt;0.4,"Critical",IF(AJ197&lt;0.6,"Poor",IF(AJ197&lt;0.75,"Needs Improvement",IF(AJ197&lt;0.9,"Good","Excellent")))))</f>
        <v/>
      </c>
      <c r="AO197" s="59"/>
      <c r="AP197" s="59"/>
      <c r="AQ197" s="59"/>
      <c r="AR197" s="59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</row>
    <row r="198" spans="1:54" ht="19.5" customHeight="1" x14ac:dyDescent="0.25">
      <c r="A198" s="60" t="str">
        <f>IF($B198="","",TEXT($B198,"yyyymmdd")&amp;"-"&amp;SUBSTITUTE($F198," ","")&amp;"-"&amp;TEXT(COUNTIF($F$4:F198,$F198),"00"))</f>
        <v/>
      </c>
      <c r="B198" s="65"/>
      <c r="C198" s="60" t="str">
        <f>IF($B198="","",WEEKNUM($B198,2))</f>
        <v/>
      </c>
      <c r="D198" s="60" t="str">
        <f>IF($B198="","",TEXT($B198,"yyyy-mm"))</f>
        <v/>
      </c>
      <c r="E198" s="64"/>
      <c r="F198" s="64"/>
      <c r="G198" s="60" t="str">
        <f>IF(OR($E198="",$F198=""),"",IFERROR(IF($E198=INDEX([1]Cluster_Master!$A$4:$A$18,MATCH($F198,[1]Cluster_Master!$B$4:$B$18,0)),"OK","CHECK"),"CHECK"))</f>
        <v/>
      </c>
      <c r="H198" s="63" t="str">
        <f>IFERROR(INDEX([1]Cluster_Master!$C$4:$C$18,MATCH($F198,[1]Cluster_Master!$B$4:$B$18,0)),"")</f>
        <v/>
      </c>
      <c r="I198" s="60" t="str">
        <f>IFERROR(INDEX([1]Cluster_Master!$D$4:$D$18,MATCH($F198,[1]Cluster_Master!$B$4:$B$18,0)),"")</f>
        <v/>
      </c>
      <c r="J198" s="60" t="str">
        <f>IFERROR(INDEX([1]Cluster_Master!$E$4:$E$18,MATCH($F198,[1]Cluster_Master!$B$4:$B$18,0)),"")</f>
        <v/>
      </c>
      <c r="K198" s="60" t="str">
        <f>IFERROR(INDEX([1]Cluster_Master!$F$4:$F$18,MATCH($F198,[1]Cluster_Master!$B$4:$B$18,0)),"")</f>
        <v/>
      </c>
      <c r="L198" s="60" t="str">
        <f>IFERROR(INDEX([1]Cluster_Master!$G$4:$G$18,MATCH($F198,[1]Cluster_Master!$B$4:$B$18,0)),"")</f>
        <v/>
      </c>
      <c r="M198" s="60" t="str">
        <f>IFERROR(INDEX([1]Cluster_Master!$H$4:$H$18,MATCH($F198,[1]Cluster_Master!$B$4:$B$18,0)),"")</f>
        <v/>
      </c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60" t="str">
        <f>IF(COUNTA(T198:AH198)=0,"",SUM(T198:AH198))</f>
        <v/>
      </c>
      <c r="AJ198" s="61" t="str">
        <f>IF(COUNTA(T198:AH198)=0,"",AI198/75)</f>
        <v/>
      </c>
      <c r="AK198" s="61" t="str">
        <f>IF(COUNTA(T198:AH198)=0,"",(SUM(T198*[1]KPI_Weights!$B$4,U198*[1]KPI_Weights!$B$5,V198*[1]KPI_Weights!$B$6,W198*[1]KPI_Weights!$B$7,X198*[1]KPI_Weights!$B$8,Y198*[1]KPI_Weights!$B$9,Z198*[1]KPI_Weights!$B$10,AA198*[1]KPI_Weights!$B$11,AB198*[1]KPI_Weights!$B$12,AC198*[1]KPI_Weights!$B$13,AD198*[1]KPI_Weights!$B$14,AE198*[1]KPI_Weights!$B$15,AF198*[1]KPI_Weights!$B$16,AG198*[1]KPI_Weights!$B$17,AH198*[1]KPI_Weights!$B$18))/5)</f>
        <v/>
      </c>
      <c r="AL198" s="60" t="str">
        <f>IF(COUNTA(T198:AH198)=0,"",IF(OR(T198&lt;=1,W198&lt;=1,X198&lt;=1,Y198&lt;=1,AB198&lt;=1),"YES","NO"))</f>
        <v/>
      </c>
      <c r="AM198" s="60" t="str">
        <f>IF(AJ198="","",IF(AND(AL198="NO",AJ198&gt;=0.75),"YES","NO"))</f>
        <v/>
      </c>
      <c r="AN198" s="60" t="str">
        <f>IF(AJ198="","",IF(AJ198&lt;0.4,"Critical",IF(AJ198&lt;0.6,"Poor",IF(AJ198&lt;0.75,"Needs Improvement",IF(AJ198&lt;0.9,"Good","Excellent")))))</f>
        <v/>
      </c>
      <c r="AO198" s="59"/>
      <c r="AP198" s="59"/>
      <c r="AQ198" s="59"/>
      <c r="AR198" s="59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</row>
    <row r="199" spans="1:54" ht="19.5" customHeight="1" x14ac:dyDescent="0.25">
      <c r="A199" s="60" t="str">
        <f>IF($B199="","",TEXT($B199,"yyyymmdd")&amp;"-"&amp;SUBSTITUTE($F199," ","")&amp;"-"&amp;TEXT(COUNTIF($F$4:F199,$F199),"00"))</f>
        <v/>
      </c>
      <c r="B199" s="65"/>
      <c r="C199" s="60" t="str">
        <f>IF($B199="","",WEEKNUM($B199,2))</f>
        <v/>
      </c>
      <c r="D199" s="60" t="str">
        <f>IF($B199="","",TEXT($B199,"yyyy-mm"))</f>
        <v/>
      </c>
      <c r="E199" s="64"/>
      <c r="F199" s="64"/>
      <c r="G199" s="60" t="str">
        <f>IF(OR($E199="",$F199=""),"",IFERROR(IF($E199=INDEX([1]Cluster_Master!$A$4:$A$18,MATCH($F199,[1]Cluster_Master!$B$4:$B$18,0)),"OK","CHECK"),"CHECK"))</f>
        <v/>
      </c>
      <c r="H199" s="63" t="str">
        <f>IFERROR(INDEX([1]Cluster_Master!$C$4:$C$18,MATCH($F199,[1]Cluster_Master!$B$4:$B$18,0)),"")</f>
        <v/>
      </c>
      <c r="I199" s="60" t="str">
        <f>IFERROR(INDEX([1]Cluster_Master!$D$4:$D$18,MATCH($F199,[1]Cluster_Master!$B$4:$B$18,0)),"")</f>
        <v/>
      </c>
      <c r="J199" s="60" t="str">
        <f>IFERROR(INDEX([1]Cluster_Master!$E$4:$E$18,MATCH($F199,[1]Cluster_Master!$B$4:$B$18,0)),"")</f>
        <v/>
      </c>
      <c r="K199" s="60" t="str">
        <f>IFERROR(INDEX([1]Cluster_Master!$F$4:$F$18,MATCH($F199,[1]Cluster_Master!$B$4:$B$18,0)),"")</f>
        <v/>
      </c>
      <c r="L199" s="60" t="str">
        <f>IFERROR(INDEX([1]Cluster_Master!$G$4:$G$18,MATCH($F199,[1]Cluster_Master!$B$4:$B$18,0)),"")</f>
        <v/>
      </c>
      <c r="M199" s="60" t="str">
        <f>IFERROR(INDEX([1]Cluster_Master!$H$4:$H$18,MATCH($F199,[1]Cluster_Master!$B$4:$B$18,0)),"")</f>
        <v/>
      </c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60" t="str">
        <f>IF(COUNTA(T199:AH199)=0,"",SUM(T199:AH199))</f>
        <v/>
      </c>
      <c r="AJ199" s="61" t="str">
        <f>IF(COUNTA(T199:AH199)=0,"",AI199/75)</f>
        <v/>
      </c>
      <c r="AK199" s="61" t="str">
        <f>IF(COUNTA(T199:AH199)=0,"",(SUM(T199*[1]KPI_Weights!$B$4,U199*[1]KPI_Weights!$B$5,V199*[1]KPI_Weights!$B$6,W199*[1]KPI_Weights!$B$7,X199*[1]KPI_Weights!$B$8,Y199*[1]KPI_Weights!$B$9,Z199*[1]KPI_Weights!$B$10,AA199*[1]KPI_Weights!$B$11,AB199*[1]KPI_Weights!$B$12,AC199*[1]KPI_Weights!$B$13,AD199*[1]KPI_Weights!$B$14,AE199*[1]KPI_Weights!$B$15,AF199*[1]KPI_Weights!$B$16,AG199*[1]KPI_Weights!$B$17,AH199*[1]KPI_Weights!$B$18))/5)</f>
        <v/>
      </c>
      <c r="AL199" s="60" t="str">
        <f>IF(COUNTA(T199:AH199)=0,"",IF(OR(T199&lt;=1,W199&lt;=1,X199&lt;=1,Y199&lt;=1,AB199&lt;=1),"YES","NO"))</f>
        <v/>
      </c>
      <c r="AM199" s="60" t="str">
        <f>IF(AJ199="","",IF(AND(AL199="NO",AJ199&gt;=0.75),"YES","NO"))</f>
        <v/>
      </c>
      <c r="AN199" s="60" t="str">
        <f>IF(AJ199="","",IF(AJ199&lt;0.4,"Critical",IF(AJ199&lt;0.6,"Poor",IF(AJ199&lt;0.75,"Needs Improvement",IF(AJ199&lt;0.9,"Good","Excellent")))))</f>
        <v/>
      </c>
      <c r="AO199" s="59"/>
      <c r="AP199" s="59"/>
      <c r="AQ199" s="59"/>
      <c r="AR199" s="59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</row>
    <row r="200" spans="1:54" ht="19.5" customHeight="1" x14ac:dyDescent="0.25">
      <c r="A200" s="60" t="str">
        <f>IF($B200="","",TEXT($B200,"yyyymmdd")&amp;"-"&amp;SUBSTITUTE($F200," ","")&amp;"-"&amp;TEXT(COUNTIF($F$4:F200,$F200),"00"))</f>
        <v/>
      </c>
      <c r="B200" s="65"/>
      <c r="C200" s="60" t="str">
        <f>IF($B200="","",WEEKNUM($B200,2))</f>
        <v/>
      </c>
      <c r="D200" s="60" t="str">
        <f>IF($B200="","",TEXT($B200,"yyyy-mm"))</f>
        <v/>
      </c>
      <c r="E200" s="64"/>
      <c r="F200" s="64"/>
      <c r="G200" s="60" t="str">
        <f>IF(OR($E200="",$F200=""),"",IFERROR(IF($E200=INDEX([1]Cluster_Master!$A$4:$A$18,MATCH($F200,[1]Cluster_Master!$B$4:$B$18,0)),"OK","CHECK"),"CHECK"))</f>
        <v/>
      </c>
      <c r="H200" s="63" t="str">
        <f>IFERROR(INDEX([1]Cluster_Master!$C$4:$C$18,MATCH($F200,[1]Cluster_Master!$B$4:$B$18,0)),"")</f>
        <v/>
      </c>
      <c r="I200" s="60" t="str">
        <f>IFERROR(INDEX([1]Cluster_Master!$D$4:$D$18,MATCH($F200,[1]Cluster_Master!$B$4:$B$18,0)),"")</f>
        <v/>
      </c>
      <c r="J200" s="60" t="str">
        <f>IFERROR(INDEX([1]Cluster_Master!$E$4:$E$18,MATCH($F200,[1]Cluster_Master!$B$4:$B$18,0)),"")</f>
        <v/>
      </c>
      <c r="K200" s="60" t="str">
        <f>IFERROR(INDEX([1]Cluster_Master!$F$4:$F$18,MATCH($F200,[1]Cluster_Master!$B$4:$B$18,0)),"")</f>
        <v/>
      </c>
      <c r="L200" s="60" t="str">
        <f>IFERROR(INDEX([1]Cluster_Master!$G$4:$G$18,MATCH($F200,[1]Cluster_Master!$B$4:$B$18,0)),"")</f>
        <v/>
      </c>
      <c r="M200" s="60" t="str">
        <f>IFERROR(INDEX([1]Cluster_Master!$H$4:$H$18,MATCH($F200,[1]Cluster_Master!$B$4:$B$18,0)),"")</f>
        <v/>
      </c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60" t="str">
        <f>IF(COUNTA(T200:AH200)=0,"",SUM(T200:AH200))</f>
        <v/>
      </c>
      <c r="AJ200" s="61" t="str">
        <f>IF(COUNTA(T200:AH200)=0,"",AI200/75)</f>
        <v/>
      </c>
      <c r="AK200" s="61" t="str">
        <f>IF(COUNTA(T200:AH200)=0,"",(SUM(T200*[1]KPI_Weights!$B$4,U200*[1]KPI_Weights!$B$5,V200*[1]KPI_Weights!$B$6,W200*[1]KPI_Weights!$B$7,X200*[1]KPI_Weights!$B$8,Y200*[1]KPI_Weights!$B$9,Z200*[1]KPI_Weights!$B$10,AA200*[1]KPI_Weights!$B$11,AB200*[1]KPI_Weights!$B$12,AC200*[1]KPI_Weights!$B$13,AD200*[1]KPI_Weights!$B$14,AE200*[1]KPI_Weights!$B$15,AF200*[1]KPI_Weights!$B$16,AG200*[1]KPI_Weights!$B$17,AH200*[1]KPI_Weights!$B$18))/5)</f>
        <v/>
      </c>
      <c r="AL200" s="60" t="str">
        <f>IF(COUNTA(T200:AH200)=0,"",IF(OR(T200&lt;=1,W200&lt;=1,X200&lt;=1,Y200&lt;=1,AB200&lt;=1),"YES","NO"))</f>
        <v/>
      </c>
      <c r="AM200" s="60" t="str">
        <f>IF(AJ200="","",IF(AND(AL200="NO",AJ200&gt;=0.75),"YES","NO"))</f>
        <v/>
      </c>
      <c r="AN200" s="60" t="str">
        <f>IF(AJ200="","",IF(AJ200&lt;0.4,"Critical",IF(AJ200&lt;0.6,"Poor",IF(AJ200&lt;0.75,"Needs Improvement",IF(AJ200&lt;0.9,"Good","Excellent")))))</f>
        <v/>
      </c>
      <c r="AO200" s="59"/>
      <c r="AP200" s="59"/>
      <c r="AQ200" s="59"/>
      <c r="AR200" s="59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</row>
    <row r="201" spans="1:54" ht="19.5" customHeight="1" x14ac:dyDescent="0.25">
      <c r="A201" s="60" t="str">
        <f>IF($B201="","",TEXT($B201,"yyyymmdd")&amp;"-"&amp;SUBSTITUTE($F201," ","")&amp;"-"&amp;TEXT(COUNTIF($F$4:F201,$F201),"00"))</f>
        <v/>
      </c>
      <c r="B201" s="65"/>
      <c r="C201" s="60" t="str">
        <f>IF($B201="","",WEEKNUM($B201,2))</f>
        <v/>
      </c>
      <c r="D201" s="60" t="str">
        <f>IF($B201="","",TEXT($B201,"yyyy-mm"))</f>
        <v/>
      </c>
      <c r="E201" s="64"/>
      <c r="F201" s="64"/>
      <c r="G201" s="60" t="str">
        <f>IF(OR($E201="",$F201=""),"",IFERROR(IF($E201=INDEX([1]Cluster_Master!$A$4:$A$18,MATCH($F201,[1]Cluster_Master!$B$4:$B$18,0)),"OK","CHECK"),"CHECK"))</f>
        <v/>
      </c>
      <c r="H201" s="63" t="str">
        <f>IFERROR(INDEX([1]Cluster_Master!$C$4:$C$18,MATCH($F201,[1]Cluster_Master!$B$4:$B$18,0)),"")</f>
        <v/>
      </c>
      <c r="I201" s="60" t="str">
        <f>IFERROR(INDEX([1]Cluster_Master!$D$4:$D$18,MATCH($F201,[1]Cluster_Master!$B$4:$B$18,0)),"")</f>
        <v/>
      </c>
      <c r="J201" s="60" t="str">
        <f>IFERROR(INDEX([1]Cluster_Master!$E$4:$E$18,MATCH($F201,[1]Cluster_Master!$B$4:$B$18,0)),"")</f>
        <v/>
      </c>
      <c r="K201" s="60" t="str">
        <f>IFERROR(INDEX([1]Cluster_Master!$F$4:$F$18,MATCH($F201,[1]Cluster_Master!$B$4:$B$18,0)),"")</f>
        <v/>
      </c>
      <c r="L201" s="60" t="str">
        <f>IFERROR(INDEX([1]Cluster_Master!$G$4:$G$18,MATCH($F201,[1]Cluster_Master!$B$4:$B$18,0)),"")</f>
        <v/>
      </c>
      <c r="M201" s="60" t="str">
        <f>IFERROR(INDEX([1]Cluster_Master!$H$4:$H$18,MATCH($F201,[1]Cluster_Master!$B$4:$B$18,0)),"")</f>
        <v/>
      </c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60" t="str">
        <f>IF(COUNTA(T201:AH201)=0,"",SUM(T201:AH201))</f>
        <v/>
      </c>
      <c r="AJ201" s="61" t="str">
        <f>IF(COUNTA(T201:AH201)=0,"",AI201/75)</f>
        <v/>
      </c>
      <c r="AK201" s="61" t="str">
        <f>IF(COUNTA(T201:AH201)=0,"",(SUM(T201*[1]KPI_Weights!$B$4,U201*[1]KPI_Weights!$B$5,V201*[1]KPI_Weights!$B$6,W201*[1]KPI_Weights!$B$7,X201*[1]KPI_Weights!$B$8,Y201*[1]KPI_Weights!$B$9,Z201*[1]KPI_Weights!$B$10,AA201*[1]KPI_Weights!$B$11,AB201*[1]KPI_Weights!$B$12,AC201*[1]KPI_Weights!$B$13,AD201*[1]KPI_Weights!$B$14,AE201*[1]KPI_Weights!$B$15,AF201*[1]KPI_Weights!$B$16,AG201*[1]KPI_Weights!$B$17,AH201*[1]KPI_Weights!$B$18))/5)</f>
        <v/>
      </c>
      <c r="AL201" s="60" t="str">
        <f>IF(COUNTA(T201:AH201)=0,"",IF(OR(T201&lt;=1,W201&lt;=1,X201&lt;=1,Y201&lt;=1,AB201&lt;=1),"YES","NO"))</f>
        <v/>
      </c>
      <c r="AM201" s="60" t="str">
        <f>IF(AJ201="","",IF(AND(AL201="NO",AJ201&gt;=0.75),"YES","NO"))</f>
        <v/>
      </c>
      <c r="AN201" s="60" t="str">
        <f>IF(AJ201="","",IF(AJ201&lt;0.4,"Critical",IF(AJ201&lt;0.6,"Poor",IF(AJ201&lt;0.75,"Needs Improvement",IF(AJ201&lt;0.9,"Good","Excellent")))))</f>
        <v/>
      </c>
      <c r="AO201" s="59"/>
      <c r="AP201" s="59"/>
      <c r="AQ201" s="59"/>
      <c r="AR201" s="59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</row>
    <row r="202" spans="1:54" ht="19.5" customHeight="1" x14ac:dyDescent="0.25">
      <c r="A202" s="60" t="str">
        <f>IF($B202="","",TEXT($B202,"yyyymmdd")&amp;"-"&amp;SUBSTITUTE($F202," ","")&amp;"-"&amp;TEXT(COUNTIF($F$4:F202,$F202),"00"))</f>
        <v/>
      </c>
      <c r="B202" s="65"/>
      <c r="C202" s="60" t="str">
        <f>IF($B202="","",WEEKNUM($B202,2))</f>
        <v/>
      </c>
      <c r="D202" s="60" t="str">
        <f>IF($B202="","",TEXT($B202,"yyyy-mm"))</f>
        <v/>
      </c>
      <c r="E202" s="64"/>
      <c r="F202" s="64"/>
      <c r="G202" s="60" t="str">
        <f>IF(OR($E202="",$F202=""),"",IFERROR(IF($E202=INDEX([1]Cluster_Master!$A$4:$A$18,MATCH($F202,[1]Cluster_Master!$B$4:$B$18,0)),"OK","CHECK"),"CHECK"))</f>
        <v/>
      </c>
      <c r="H202" s="63" t="str">
        <f>IFERROR(INDEX([1]Cluster_Master!$C$4:$C$18,MATCH($F202,[1]Cluster_Master!$B$4:$B$18,0)),"")</f>
        <v/>
      </c>
      <c r="I202" s="60" t="str">
        <f>IFERROR(INDEX([1]Cluster_Master!$D$4:$D$18,MATCH($F202,[1]Cluster_Master!$B$4:$B$18,0)),"")</f>
        <v/>
      </c>
      <c r="J202" s="60" t="str">
        <f>IFERROR(INDEX([1]Cluster_Master!$E$4:$E$18,MATCH($F202,[1]Cluster_Master!$B$4:$B$18,0)),"")</f>
        <v/>
      </c>
      <c r="K202" s="60" t="str">
        <f>IFERROR(INDEX([1]Cluster_Master!$F$4:$F$18,MATCH($F202,[1]Cluster_Master!$B$4:$B$18,0)),"")</f>
        <v/>
      </c>
      <c r="L202" s="60" t="str">
        <f>IFERROR(INDEX([1]Cluster_Master!$G$4:$G$18,MATCH($F202,[1]Cluster_Master!$B$4:$B$18,0)),"")</f>
        <v/>
      </c>
      <c r="M202" s="60" t="str">
        <f>IFERROR(INDEX([1]Cluster_Master!$H$4:$H$18,MATCH($F202,[1]Cluster_Master!$B$4:$B$18,0)),"")</f>
        <v/>
      </c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60" t="str">
        <f>IF(COUNTA(T202:AH202)=0,"",SUM(T202:AH202))</f>
        <v/>
      </c>
      <c r="AJ202" s="61" t="str">
        <f>IF(COUNTA(T202:AH202)=0,"",AI202/75)</f>
        <v/>
      </c>
      <c r="AK202" s="61" t="str">
        <f>IF(COUNTA(T202:AH202)=0,"",(SUM(T202*[1]KPI_Weights!$B$4,U202*[1]KPI_Weights!$B$5,V202*[1]KPI_Weights!$B$6,W202*[1]KPI_Weights!$B$7,X202*[1]KPI_Weights!$B$8,Y202*[1]KPI_Weights!$B$9,Z202*[1]KPI_Weights!$B$10,AA202*[1]KPI_Weights!$B$11,AB202*[1]KPI_Weights!$B$12,AC202*[1]KPI_Weights!$B$13,AD202*[1]KPI_Weights!$B$14,AE202*[1]KPI_Weights!$B$15,AF202*[1]KPI_Weights!$B$16,AG202*[1]KPI_Weights!$B$17,AH202*[1]KPI_Weights!$B$18))/5)</f>
        <v/>
      </c>
      <c r="AL202" s="60" t="str">
        <f>IF(COUNTA(T202:AH202)=0,"",IF(OR(T202&lt;=1,W202&lt;=1,X202&lt;=1,Y202&lt;=1,AB202&lt;=1),"YES","NO"))</f>
        <v/>
      </c>
      <c r="AM202" s="60" t="str">
        <f>IF(AJ202="","",IF(AND(AL202="NO",AJ202&gt;=0.75),"YES","NO"))</f>
        <v/>
      </c>
      <c r="AN202" s="60" t="str">
        <f>IF(AJ202="","",IF(AJ202&lt;0.4,"Critical",IF(AJ202&lt;0.6,"Poor",IF(AJ202&lt;0.75,"Needs Improvement",IF(AJ202&lt;0.9,"Good","Excellent")))))</f>
        <v/>
      </c>
      <c r="AO202" s="59"/>
      <c r="AP202" s="59"/>
      <c r="AQ202" s="59"/>
      <c r="AR202" s="59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</row>
    <row r="203" spans="1:54" ht="19.5" customHeight="1" x14ac:dyDescent="0.25">
      <c r="A203" s="60" t="str">
        <f>IF($B203="","",TEXT($B203,"yyyymmdd")&amp;"-"&amp;SUBSTITUTE($F203," ","")&amp;"-"&amp;TEXT(COUNTIF($F$4:F203,$F203),"00"))</f>
        <v/>
      </c>
      <c r="B203" s="65"/>
      <c r="C203" s="60" t="str">
        <f>IF($B203="","",WEEKNUM($B203,2))</f>
        <v/>
      </c>
      <c r="D203" s="60" t="str">
        <f>IF($B203="","",TEXT($B203,"yyyy-mm"))</f>
        <v/>
      </c>
      <c r="E203" s="64"/>
      <c r="F203" s="64"/>
      <c r="G203" s="60" t="str">
        <f>IF(OR($E203="",$F203=""),"",IFERROR(IF($E203=INDEX([1]Cluster_Master!$A$4:$A$18,MATCH($F203,[1]Cluster_Master!$B$4:$B$18,0)),"OK","CHECK"),"CHECK"))</f>
        <v/>
      </c>
      <c r="H203" s="63" t="str">
        <f>IFERROR(INDEX([1]Cluster_Master!$C$4:$C$18,MATCH($F203,[1]Cluster_Master!$B$4:$B$18,0)),"")</f>
        <v/>
      </c>
      <c r="I203" s="60" t="str">
        <f>IFERROR(INDEX([1]Cluster_Master!$D$4:$D$18,MATCH($F203,[1]Cluster_Master!$B$4:$B$18,0)),"")</f>
        <v/>
      </c>
      <c r="J203" s="60" t="str">
        <f>IFERROR(INDEX([1]Cluster_Master!$E$4:$E$18,MATCH($F203,[1]Cluster_Master!$B$4:$B$18,0)),"")</f>
        <v/>
      </c>
      <c r="K203" s="60" t="str">
        <f>IFERROR(INDEX([1]Cluster_Master!$F$4:$F$18,MATCH($F203,[1]Cluster_Master!$B$4:$B$18,0)),"")</f>
        <v/>
      </c>
      <c r="L203" s="60" t="str">
        <f>IFERROR(INDEX([1]Cluster_Master!$G$4:$G$18,MATCH($F203,[1]Cluster_Master!$B$4:$B$18,0)),"")</f>
        <v/>
      </c>
      <c r="M203" s="60" t="str">
        <f>IFERROR(INDEX([1]Cluster_Master!$H$4:$H$18,MATCH($F203,[1]Cluster_Master!$B$4:$B$18,0)),"")</f>
        <v/>
      </c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60" t="str">
        <f>IF(COUNTA(T203:AH203)=0,"",SUM(T203:AH203))</f>
        <v/>
      </c>
      <c r="AJ203" s="61" t="str">
        <f>IF(COUNTA(T203:AH203)=0,"",AI203/75)</f>
        <v/>
      </c>
      <c r="AK203" s="61" t="str">
        <f>IF(COUNTA(T203:AH203)=0,"",(SUM(T203*[1]KPI_Weights!$B$4,U203*[1]KPI_Weights!$B$5,V203*[1]KPI_Weights!$B$6,W203*[1]KPI_Weights!$B$7,X203*[1]KPI_Weights!$B$8,Y203*[1]KPI_Weights!$B$9,Z203*[1]KPI_Weights!$B$10,AA203*[1]KPI_Weights!$B$11,AB203*[1]KPI_Weights!$B$12,AC203*[1]KPI_Weights!$B$13,AD203*[1]KPI_Weights!$B$14,AE203*[1]KPI_Weights!$B$15,AF203*[1]KPI_Weights!$B$16,AG203*[1]KPI_Weights!$B$17,AH203*[1]KPI_Weights!$B$18))/5)</f>
        <v/>
      </c>
      <c r="AL203" s="60" t="str">
        <f>IF(COUNTA(T203:AH203)=0,"",IF(OR(T203&lt;=1,W203&lt;=1,X203&lt;=1,Y203&lt;=1,AB203&lt;=1),"YES","NO"))</f>
        <v/>
      </c>
      <c r="AM203" s="60" t="str">
        <f>IF(AJ203="","",IF(AND(AL203="NO",AJ203&gt;=0.75),"YES","NO"))</f>
        <v/>
      </c>
      <c r="AN203" s="60" t="str">
        <f>IF(AJ203="","",IF(AJ203&lt;0.4,"Critical",IF(AJ203&lt;0.6,"Poor",IF(AJ203&lt;0.75,"Needs Improvement",IF(AJ203&lt;0.9,"Good","Excellent")))))</f>
        <v/>
      </c>
      <c r="AO203" s="59"/>
      <c r="AP203" s="59"/>
      <c r="AQ203" s="59"/>
      <c r="AR203" s="59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</row>
    <row r="204" spans="1:54" ht="19.5" customHeight="1" x14ac:dyDescent="0.25">
      <c r="A204" s="60" t="str">
        <f>IF($B204="","",TEXT($B204,"yyyymmdd")&amp;"-"&amp;SUBSTITUTE($F204," ","")&amp;"-"&amp;TEXT(COUNTIF($F$4:F204,$F204),"00"))</f>
        <v/>
      </c>
      <c r="B204" s="65"/>
      <c r="C204" s="60" t="str">
        <f>IF($B204="","",WEEKNUM($B204,2))</f>
        <v/>
      </c>
      <c r="D204" s="60" t="str">
        <f>IF($B204="","",TEXT($B204,"yyyy-mm"))</f>
        <v/>
      </c>
      <c r="E204" s="64"/>
      <c r="F204" s="64"/>
      <c r="G204" s="60" t="str">
        <f>IF(OR($E204="",$F204=""),"",IFERROR(IF($E204=INDEX([1]Cluster_Master!$A$4:$A$18,MATCH($F204,[1]Cluster_Master!$B$4:$B$18,0)),"OK","CHECK"),"CHECK"))</f>
        <v/>
      </c>
      <c r="H204" s="63" t="str">
        <f>IFERROR(INDEX([1]Cluster_Master!$C$4:$C$18,MATCH($F204,[1]Cluster_Master!$B$4:$B$18,0)),"")</f>
        <v/>
      </c>
      <c r="I204" s="60" t="str">
        <f>IFERROR(INDEX([1]Cluster_Master!$D$4:$D$18,MATCH($F204,[1]Cluster_Master!$B$4:$B$18,0)),"")</f>
        <v/>
      </c>
      <c r="J204" s="60" t="str">
        <f>IFERROR(INDEX([1]Cluster_Master!$E$4:$E$18,MATCH($F204,[1]Cluster_Master!$B$4:$B$18,0)),"")</f>
        <v/>
      </c>
      <c r="K204" s="60" t="str">
        <f>IFERROR(INDEX([1]Cluster_Master!$F$4:$F$18,MATCH($F204,[1]Cluster_Master!$B$4:$B$18,0)),"")</f>
        <v/>
      </c>
      <c r="L204" s="60" t="str">
        <f>IFERROR(INDEX([1]Cluster_Master!$G$4:$G$18,MATCH($F204,[1]Cluster_Master!$B$4:$B$18,0)),"")</f>
        <v/>
      </c>
      <c r="M204" s="60" t="str">
        <f>IFERROR(INDEX([1]Cluster_Master!$H$4:$H$18,MATCH($F204,[1]Cluster_Master!$B$4:$B$18,0)),"")</f>
        <v/>
      </c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60" t="str">
        <f>IF(COUNTA(T204:AH204)=0,"",SUM(T204:AH204))</f>
        <v/>
      </c>
      <c r="AJ204" s="61" t="str">
        <f>IF(COUNTA(T204:AH204)=0,"",AI204/75)</f>
        <v/>
      </c>
      <c r="AK204" s="61" t="str">
        <f>IF(COUNTA(T204:AH204)=0,"",(SUM(T204*[1]KPI_Weights!$B$4,U204*[1]KPI_Weights!$B$5,V204*[1]KPI_Weights!$B$6,W204*[1]KPI_Weights!$B$7,X204*[1]KPI_Weights!$B$8,Y204*[1]KPI_Weights!$B$9,Z204*[1]KPI_Weights!$B$10,AA204*[1]KPI_Weights!$B$11,AB204*[1]KPI_Weights!$B$12,AC204*[1]KPI_Weights!$B$13,AD204*[1]KPI_Weights!$B$14,AE204*[1]KPI_Weights!$B$15,AF204*[1]KPI_Weights!$B$16,AG204*[1]KPI_Weights!$B$17,AH204*[1]KPI_Weights!$B$18))/5)</f>
        <v/>
      </c>
      <c r="AL204" s="60" t="str">
        <f>IF(COUNTA(T204:AH204)=0,"",IF(OR(T204&lt;=1,W204&lt;=1,X204&lt;=1,Y204&lt;=1,AB204&lt;=1),"YES","NO"))</f>
        <v/>
      </c>
      <c r="AM204" s="60" t="str">
        <f>IF(AJ204="","",IF(AND(AL204="NO",AJ204&gt;=0.75),"YES","NO"))</f>
        <v/>
      </c>
      <c r="AN204" s="60" t="str">
        <f>IF(AJ204="","",IF(AJ204&lt;0.4,"Critical",IF(AJ204&lt;0.6,"Poor",IF(AJ204&lt;0.75,"Needs Improvement",IF(AJ204&lt;0.9,"Good","Excellent")))))</f>
        <v/>
      </c>
      <c r="AO204" s="59"/>
      <c r="AP204" s="59"/>
      <c r="AQ204" s="59"/>
      <c r="AR204" s="59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</row>
    <row r="205" spans="1:54" ht="19.5" customHeight="1" x14ac:dyDescent="0.25">
      <c r="A205" s="60" t="str">
        <f>IF($B205="","",TEXT($B205,"yyyymmdd")&amp;"-"&amp;SUBSTITUTE($F205," ","")&amp;"-"&amp;TEXT(COUNTIF($F$4:F205,$F205),"00"))</f>
        <v/>
      </c>
      <c r="B205" s="65"/>
      <c r="C205" s="60" t="str">
        <f>IF($B205="","",WEEKNUM($B205,2))</f>
        <v/>
      </c>
      <c r="D205" s="60" t="str">
        <f>IF($B205="","",TEXT($B205,"yyyy-mm"))</f>
        <v/>
      </c>
      <c r="E205" s="64"/>
      <c r="F205" s="64"/>
      <c r="G205" s="60" t="str">
        <f>IF(OR($E205="",$F205=""),"",IFERROR(IF($E205=INDEX([1]Cluster_Master!$A$4:$A$18,MATCH($F205,[1]Cluster_Master!$B$4:$B$18,0)),"OK","CHECK"),"CHECK"))</f>
        <v/>
      </c>
      <c r="H205" s="63" t="str">
        <f>IFERROR(INDEX([1]Cluster_Master!$C$4:$C$18,MATCH($F205,[1]Cluster_Master!$B$4:$B$18,0)),"")</f>
        <v/>
      </c>
      <c r="I205" s="60" t="str">
        <f>IFERROR(INDEX([1]Cluster_Master!$D$4:$D$18,MATCH($F205,[1]Cluster_Master!$B$4:$B$18,0)),"")</f>
        <v/>
      </c>
      <c r="J205" s="60" t="str">
        <f>IFERROR(INDEX([1]Cluster_Master!$E$4:$E$18,MATCH($F205,[1]Cluster_Master!$B$4:$B$18,0)),"")</f>
        <v/>
      </c>
      <c r="K205" s="60" t="str">
        <f>IFERROR(INDEX([1]Cluster_Master!$F$4:$F$18,MATCH($F205,[1]Cluster_Master!$B$4:$B$18,0)),"")</f>
        <v/>
      </c>
      <c r="L205" s="60" t="str">
        <f>IFERROR(INDEX([1]Cluster_Master!$G$4:$G$18,MATCH($F205,[1]Cluster_Master!$B$4:$B$18,0)),"")</f>
        <v/>
      </c>
      <c r="M205" s="60" t="str">
        <f>IFERROR(INDEX([1]Cluster_Master!$H$4:$H$18,MATCH($F205,[1]Cluster_Master!$B$4:$B$18,0)),"")</f>
        <v/>
      </c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60" t="str">
        <f>IF(COUNTA(T205:AH205)=0,"",SUM(T205:AH205))</f>
        <v/>
      </c>
      <c r="AJ205" s="61" t="str">
        <f>IF(COUNTA(T205:AH205)=0,"",AI205/75)</f>
        <v/>
      </c>
      <c r="AK205" s="61" t="str">
        <f>IF(COUNTA(T205:AH205)=0,"",(SUM(T205*[1]KPI_Weights!$B$4,U205*[1]KPI_Weights!$B$5,V205*[1]KPI_Weights!$B$6,W205*[1]KPI_Weights!$B$7,X205*[1]KPI_Weights!$B$8,Y205*[1]KPI_Weights!$B$9,Z205*[1]KPI_Weights!$B$10,AA205*[1]KPI_Weights!$B$11,AB205*[1]KPI_Weights!$B$12,AC205*[1]KPI_Weights!$B$13,AD205*[1]KPI_Weights!$B$14,AE205*[1]KPI_Weights!$B$15,AF205*[1]KPI_Weights!$B$16,AG205*[1]KPI_Weights!$B$17,AH205*[1]KPI_Weights!$B$18))/5)</f>
        <v/>
      </c>
      <c r="AL205" s="60" t="str">
        <f>IF(COUNTA(T205:AH205)=0,"",IF(OR(T205&lt;=1,W205&lt;=1,X205&lt;=1,Y205&lt;=1,AB205&lt;=1),"YES","NO"))</f>
        <v/>
      </c>
      <c r="AM205" s="60" t="str">
        <f>IF(AJ205="","",IF(AND(AL205="NO",AJ205&gt;=0.75),"YES","NO"))</f>
        <v/>
      </c>
      <c r="AN205" s="60" t="str">
        <f>IF(AJ205="","",IF(AJ205&lt;0.4,"Critical",IF(AJ205&lt;0.6,"Poor",IF(AJ205&lt;0.75,"Needs Improvement",IF(AJ205&lt;0.9,"Good","Excellent")))))</f>
        <v/>
      </c>
      <c r="AO205" s="59"/>
      <c r="AP205" s="59"/>
      <c r="AQ205" s="59"/>
      <c r="AR205" s="59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</row>
    <row r="206" spans="1:54" ht="19.5" customHeight="1" x14ac:dyDescent="0.25">
      <c r="A206" s="60" t="str">
        <f>IF($B206="","",TEXT($B206,"yyyymmdd")&amp;"-"&amp;SUBSTITUTE($F206," ","")&amp;"-"&amp;TEXT(COUNTIF($F$4:F206,$F206),"00"))</f>
        <v/>
      </c>
      <c r="B206" s="65"/>
      <c r="C206" s="60" t="str">
        <f>IF($B206="","",WEEKNUM($B206,2))</f>
        <v/>
      </c>
      <c r="D206" s="60" t="str">
        <f>IF($B206="","",TEXT($B206,"yyyy-mm"))</f>
        <v/>
      </c>
      <c r="E206" s="64"/>
      <c r="F206" s="64"/>
      <c r="G206" s="60" t="str">
        <f>IF(OR($E206="",$F206=""),"",IFERROR(IF($E206=INDEX([1]Cluster_Master!$A$4:$A$18,MATCH($F206,[1]Cluster_Master!$B$4:$B$18,0)),"OK","CHECK"),"CHECK"))</f>
        <v/>
      </c>
      <c r="H206" s="63" t="str">
        <f>IFERROR(INDEX([1]Cluster_Master!$C$4:$C$18,MATCH($F206,[1]Cluster_Master!$B$4:$B$18,0)),"")</f>
        <v/>
      </c>
      <c r="I206" s="60" t="str">
        <f>IFERROR(INDEX([1]Cluster_Master!$D$4:$D$18,MATCH($F206,[1]Cluster_Master!$B$4:$B$18,0)),"")</f>
        <v/>
      </c>
      <c r="J206" s="60" t="str">
        <f>IFERROR(INDEX([1]Cluster_Master!$E$4:$E$18,MATCH($F206,[1]Cluster_Master!$B$4:$B$18,0)),"")</f>
        <v/>
      </c>
      <c r="K206" s="60" t="str">
        <f>IFERROR(INDEX([1]Cluster_Master!$F$4:$F$18,MATCH($F206,[1]Cluster_Master!$B$4:$B$18,0)),"")</f>
        <v/>
      </c>
      <c r="L206" s="60" t="str">
        <f>IFERROR(INDEX([1]Cluster_Master!$G$4:$G$18,MATCH($F206,[1]Cluster_Master!$B$4:$B$18,0)),"")</f>
        <v/>
      </c>
      <c r="M206" s="60" t="str">
        <f>IFERROR(INDEX([1]Cluster_Master!$H$4:$H$18,MATCH($F206,[1]Cluster_Master!$B$4:$B$18,0)),"")</f>
        <v/>
      </c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60" t="str">
        <f>IF(COUNTA(T206:AH206)=0,"",SUM(T206:AH206))</f>
        <v/>
      </c>
      <c r="AJ206" s="61" t="str">
        <f>IF(COUNTA(T206:AH206)=0,"",AI206/75)</f>
        <v/>
      </c>
      <c r="AK206" s="61" t="str">
        <f>IF(COUNTA(T206:AH206)=0,"",(SUM(T206*[1]KPI_Weights!$B$4,U206*[1]KPI_Weights!$B$5,V206*[1]KPI_Weights!$B$6,W206*[1]KPI_Weights!$B$7,X206*[1]KPI_Weights!$B$8,Y206*[1]KPI_Weights!$B$9,Z206*[1]KPI_Weights!$B$10,AA206*[1]KPI_Weights!$B$11,AB206*[1]KPI_Weights!$B$12,AC206*[1]KPI_Weights!$B$13,AD206*[1]KPI_Weights!$B$14,AE206*[1]KPI_Weights!$B$15,AF206*[1]KPI_Weights!$B$16,AG206*[1]KPI_Weights!$B$17,AH206*[1]KPI_Weights!$B$18))/5)</f>
        <v/>
      </c>
      <c r="AL206" s="60" t="str">
        <f>IF(COUNTA(T206:AH206)=0,"",IF(OR(T206&lt;=1,W206&lt;=1,X206&lt;=1,Y206&lt;=1,AB206&lt;=1),"YES","NO"))</f>
        <v/>
      </c>
      <c r="AM206" s="60" t="str">
        <f>IF(AJ206="","",IF(AND(AL206="NO",AJ206&gt;=0.75),"YES","NO"))</f>
        <v/>
      </c>
      <c r="AN206" s="60" t="str">
        <f>IF(AJ206="","",IF(AJ206&lt;0.4,"Critical",IF(AJ206&lt;0.6,"Poor",IF(AJ206&lt;0.75,"Needs Improvement",IF(AJ206&lt;0.9,"Good","Excellent")))))</f>
        <v/>
      </c>
      <c r="AO206" s="59"/>
      <c r="AP206" s="59"/>
      <c r="AQ206" s="59"/>
      <c r="AR206" s="59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</row>
    <row r="207" spans="1:54" ht="19.5" customHeight="1" x14ac:dyDescent="0.25">
      <c r="A207" s="60" t="str">
        <f>IF($B207="","",TEXT($B207,"yyyymmdd")&amp;"-"&amp;SUBSTITUTE($F207," ","")&amp;"-"&amp;TEXT(COUNTIF($F$4:F207,$F207),"00"))</f>
        <v/>
      </c>
      <c r="B207" s="65"/>
      <c r="C207" s="60" t="str">
        <f>IF($B207="","",WEEKNUM($B207,2))</f>
        <v/>
      </c>
      <c r="D207" s="60" t="str">
        <f>IF($B207="","",TEXT($B207,"yyyy-mm"))</f>
        <v/>
      </c>
      <c r="E207" s="64"/>
      <c r="F207" s="64"/>
      <c r="G207" s="60" t="str">
        <f>IF(OR($E207="",$F207=""),"",IFERROR(IF($E207=INDEX([1]Cluster_Master!$A$4:$A$18,MATCH($F207,[1]Cluster_Master!$B$4:$B$18,0)),"OK","CHECK"),"CHECK"))</f>
        <v/>
      </c>
      <c r="H207" s="63" t="str">
        <f>IFERROR(INDEX([1]Cluster_Master!$C$4:$C$18,MATCH($F207,[1]Cluster_Master!$B$4:$B$18,0)),"")</f>
        <v/>
      </c>
      <c r="I207" s="60" t="str">
        <f>IFERROR(INDEX([1]Cluster_Master!$D$4:$D$18,MATCH($F207,[1]Cluster_Master!$B$4:$B$18,0)),"")</f>
        <v/>
      </c>
      <c r="J207" s="60" t="str">
        <f>IFERROR(INDEX([1]Cluster_Master!$E$4:$E$18,MATCH($F207,[1]Cluster_Master!$B$4:$B$18,0)),"")</f>
        <v/>
      </c>
      <c r="K207" s="60" t="str">
        <f>IFERROR(INDEX([1]Cluster_Master!$F$4:$F$18,MATCH($F207,[1]Cluster_Master!$B$4:$B$18,0)),"")</f>
        <v/>
      </c>
      <c r="L207" s="60" t="str">
        <f>IFERROR(INDEX([1]Cluster_Master!$G$4:$G$18,MATCH($F207,[1]Cluster_Master!$B$4:$B$18,0)),"")</f>
        <v/>
      </c>
      <c r="M207" s="60" t="str">
        <f>IFERROR(INDEX([1]Cluster_Master!$H$4:$H$18,MATCH($F207,[1]Cluster_Master!$B$4:$B$18,0)),"")</f>
        <v/>
      </c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60" t="str">
        <f>IF(COUNTA(T207:AH207)=0,"",SUM(T207:AH207))</f>
        <v/>
      </c>
      <c r="AJ207" s="61" t="str">
        <f>IF(COUNTA(T207:AH207)=0,"",AI207/75)</f>
        <v/>
      </c>
      <c r="AK207" s="61" t="str">
        <f>IF(COUNTA(T207:AH207)=0,"",(SUM(T207*[1]KPI_Weights!$B$4,U207*[1]KPI_Weights!$B$5,V207*[1]KPI_Weights!$B$6,W207*[1]KPI_Weights!$B$7,X207*[1]KPI_Weights!$B$8,Y207*[1]KPI_Weights!$B$9,Z207*[1]KPI_Weights!$B$10,AA207*[1]KPI_Weights!$B$11,AB207*[1]KPI_Weights!$B$12,AC207*[1]KPI_Weights!$B$13,AD207*[1]KPI_Weights!$B$14,AE207*[1]KPI_Weights!$B$15,AF207*[1]KPI_Weights!$B$16,AG207*[1]KPI_Weights!$B$17,AH207*[1]KPI_Weights!$B$18))/5)</f>
        <v/>
      </c>
      <c r="AL207" s="60" t="str">
        <f>IF(COUNTA(T207:AH207)=0,"",IF(OR(T207&lt;=1,W207&lt;=1,X207&lt;=1,Y207&lt;=1,AB207&lt;=1),"YES","NO"))</f>
        <v/>
      </c>
      <c r="AM207" s="60" t="str">
        <f>IF(AJ207="","",IF(AND(AL207="NO",AJ207&gt;=0.75),"YES","NO"))</f>
        <v/>
      </c>
      <c r="AN207" s="60" t="str">
        <f>IF(AJ207="","",IF(AJ207&lt;0.4,"Critical",IF(AJ207&lt;0.6,"Poor",IF(AJ207&lt;0.75,"Needs Improvement",IF(AJ207&lt;0.9,"Good","Excellent")))))</f>
        <v/>
      </c>
      <c r="AO207" s="59"/>
      <c r="AP207" s="59"/>
      <c r="AQ207" s="59"/>
      <c r="AR207" s="59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</row>
    <row r="208" spans="1:54" ht="19.5" customHeight="1" x14ac:dyDescent="0.25">
      <c r="A208" s="60" t="str">
        <f>IF($B208="","",TEXT($B208,"yyyymmdd")&amp;"-"&amp;SUBSTITUTE($F208," ","")&amp;"-"&amp;TEXT(COUNTIF($F$4:F208,$F208),"00"))</f>
        <v/>
      </c>
      <c r="B208" s="65"/>
      <c r="C208" s="60" t="str">
        <f>IF($B208="","",WEEKNUM($B208,2))</f>
        <v/>
      </c>
      <c r="D208" s="60" t="str">
        <f>IF($B208="","",TEXT($B208,"yyyy-mm"))</f>
        <v/>
      </c>
      <c r="E208" s="64"/>
      <c r="F208" s="64"/>
      <c r="G208" s="60" t="str">
        <f>IF(OR($E208="",$F208=""),"",IFERROR(IF($E208=INDEX([1]Cluster_Master!$A$4:$A$18,MATCH($F208,[1]Cluster_Master!$B$4:$B$18,0)),"OK","CHECK"),"CHECK"))</f>
        <v/>
      </c>
      <c r="H208" s="63" t="str">
        <f>IFERROR(INDEX([1]Cluster_Master!$C$4:$C$18,MATCH($F208,[1]Cluster_Master!$B$4:$B$18,0)),"")</f>
        <v/>
      </c>
      <c r="I208" s="60" t="str">
        <f>IFERROR(INDEX([1]Cluster_Master!$D$4:$D$18,MATCH($F208,[1]Cluster_Master!$B$4:$B$18,0)),"")</f>
        <v/>
      </c>
      <c r="J208" s="60" t="str">
        <f>IFERROR(INDEX([1]Cluster_Master!$E$4:$E$18,MATCH($F208,[1]Cluster_Master!$B$4:$B$18,0)),"")</f>
        <v/>
      </c>
      <c r="K208" s="60" t="str">
        <f>IFERROR(INDEX([1]Cluster_Master!$F$4:$F$18,MATCH($F208,[1]Cluster_Master!$B$4:$B$18,0)),"")</f>
        <v/>
      </c>
      <c r="L208" s="60" t="str">
        <f>IFERROR(INDEX([1]Cluster_Master!$G$4:$G$18,MATCH($F208,[1]Cluster_Master!$B$4:$B$18,0)),"")</f>
        <v/>
      </c>
      <c r="M208" s="60" t="str">
        <f>IFERROR(INDEX([1]Cluster_Master!$H$4:$H$18,MATCH($F208,[1]Cluster_Master!$B$4:$B$18,0)),"")</f>
        <v/>
      </c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60" t="str">
        <f>IF(COUNTA(T208:AH208)=0,"",SUM(T208:AH208))</f>
        <v/>
      </c>
      <c r="AJ208" s="61" t="str">
        <f>IF(COUNTA(T208:AH208)=0,"",AI208/75)</f>
        <v/>
      </c>
      <c r="AK208" s="61" t="str">
        <f>IF(COUNTA(T208:AH208)=0,"",(SUM(T208*[1]KPI_Weights!$B$4,U208*[1]KPI_Weights!$B$5,V208*[1]KPI_Weights!$B$6,W208*[1]KPI_Weights!$B$7,X208*[1]KPI_Weights!$B$8,Y208*[1]KPI_Weights!$B$9,Z208*[1]KPI_Weights!$B$10,AA208*[1]KPI_Weights!$B$11,AB208*[1]KPI_Weights!$B$12,AC208*[1]KPI_Weights!$B$13,AD208*[1]KPI_Weights!$B$14,AE208*[1]KPI_Weights!$B$15,AF208*[1]KPI_Weights!$B$16,AG208*[1]KPI_Weights!$B$17,AH208*[1]KPI_Weights!$B$18))/5)</f>
        <v/>
      </c>
      <c r="AL208" s="60" t="str">
        <f>IF(COUNTA(T208:AH208)=0,"",IF(OR(T208&lt;=1,W208&lt;=1,X208&lt;=1,Y208&lt;=1,AB208&lt;=1),"YES","NO"))</f>
        <v/>
      </c>
      <c r="AM208" s="60" t="str">
        <f>IF(AJ208="","",IF(AND(AL208="NO",AJ208&gt;=0.75),"YES","NO"))</f>
        <v/>
      </c>
      <c r="AN208" s="60" t="str">
        <f>IF(AJ208="","",IF(AJ208&lt;0.4,"Critical",IF(AJ208&lt;0.6,"Poor",IF(AJ208&lt;0.75,"Needs Improvement",IF(AJ208&lt;0.9,"Good","Excellent")))))</f>
        <v/>
      </c>
      <c r="AO208" s="59"/>
      <c r="AP208" s="59"/>
      <c r="AQ208" s="59"/>
      <c r="AR208" s="59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</row>
    <row r="209" spans="1:54" ht="19.5" customHeight="1" x14ac:dyDescent="0.25">
      <c r="A209" s="60" t="str">
        <f>IF($B209="","",TEXT($B209,"yyyymmdd")&amp;"-"&amp;SUBSTITUTE($F209," ","")&amp;"-"&amp;TEXT(COUNTIF($F$4:F209,$F209),"00"))</f>
        <v/>
      </c>
      <c r="B209" s="65"/>
      <c r="C209" s="60" t="str">
        <f>IF($B209="","",WEEKNUM($B209,2))</f>
        <v/>
      </c>
      <c r="D209" s="60" t="str">
        <f>IF($B209="","",TEXT($B209,"yyyy-mm"))</f>
        <v/>
      </c>
      <c r="E209" s="64"/>
      <c r="F209" s="64"/>
      <c r="G209" s="60" t="str">
        <f>IF(OR($E209="",$F209=""),"",IFERROR(IF($E209=INDEX([1]Cluster_Master!$A$4:$A$18,MATCH($F209,[1]Cluster_Master!$B$4:$B$18,0)),"OK","CHECK"),"CHECK"))</f>
        <v/>
      </c>
      <c r="H209" s="63" t="str">
        <f>IFERROR(INDEX([1]Cluster_Master!$C$4:$C$18,MATCH($F209,[1]Cluster_Master!$B$4:$B$18,0)),"")</f>
        <v/>
      </c>
      <c r="I209" s="60" t="str">
        <f>IFERROR(INDEX([1]Cluster_Master!$D$4:$D$18,MATCH($F209,[1]Cluster_Master!$B$4:$B$18,0)),"")</f>
        <v/>
      </c>
      <c r="J209" s="60" t="str">
        <f>IFERROR(INDEX([1]Cluster_Master!$E$4:$E$18,MATCH($F209,[1]Cluster_Master!$B$4:$B$18,0)),"")</f>
        <v/>
      </c>
      <c r="K209" s="60" t="str">
        <f>IFERROR(INDEX([1]Cluster_Master!$F$4:$F$18,MATCH($F209,[1]Cluster_Master!$B$4:$B$18,0)),"")</f>
        <v/>
      </c>
      <c r="L209" s="60" t="str">
        <f>IFERROR(INDEX([1]Cluster_Master!$G$4:$G$18,MATCH($F209,[1]Cluster_Master!$B$4:$B$18,0)),"")</f>
        <v/>
      </c>
      <c r="M209" s="60" t="str">
        <f>IFERROR(INDEX([1]Cluster_Master!$H$4:$H$18,MATCH($F209,[1]Cluster_Master!$B$4:$B$18,0)),"")</f>
        <v/>
      </c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60" t="str">
        <f>IF(COUNTA(T209:AH209)=0,"",SUM(T209:AH209))</f>
        <v/>
      </c>
      <c r="AJ209" s="61" t="str">
        <f>IF(COUNTA(T209:AH209)=0,"",AI209/75)</f>
        <v/>
      </c>
      <c r="AK209" s="61" t="str">
        <f>IF(COUNTA(T209:AH209)=0,"",(SUM(T209*[1]KPI_Weights!$B$4,U209*[1]KPI_Weights!$B$5,V209*[1]KPI_Weights!$B$6,W209*[1]KPI_Weights!$B$7,X209*[1]KPI_Weights!$B$8,Y209*[1]KPI_Weights!$B$9,Z209*[1]KPI_Weights!$B$10,AA209*[1]KPI_Weights!$B$11,AB209*[1]KPI_Weights!$B$12,AC209*[1]KPI_Weights!$B$13,AD209*[1]KPI_Weights!$B$14,AE209*[1]KPI_Weights!$B$15,AF209*[1]KPI_Weights!$B$16,AG209*[1]KPI_Weights!$B$17,AH209*[1]KPI_Weights!$B$18))/5)</f>
        <v/>
      </c>
      <c r="AL209" s="60" t="str">
        <f>IF(COUNTA(T209:AH209)=0,"",IF(OR(T209&lt;=1,W209&lt;=1,X209&lt;=1,Y209&lt;=1,AB209&lt;=1),"YES","NO"))</f>
        <v/>
      </c>
      <c r="AM209" s="60" t="str">
        <f>IF(AJ209="","",IF(AND(AL209="NO",AJ209&gt;=0.75),"YES","NO"))</f>
        <v/>
      </c>
      <c r="AN209" s="60" t="str">
        <f>IF(AJ209="","",IF(AJ209&lt;0.4,"Critical",IF(AJ209&lt;0.6,"Poor",IF(AJ209&lt;0.75,"Needs Improvement",IF(AJ209&lt;0.9,"Good","Excellent")))))</f>
        <v/>
      </c>
      <c r="AO209" s="59"/>
      <c r="AP209" s="59"/>
      <c r="AQ209" s="59"/>
      <c r="AR209" s="59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</row>
    <row r="210" spans="1:54" ht="19.5" customHeight="1" x14ac:dyDescent="0.25">
      <c r="A210" s="60" t="str">
        <f>IF($B210="","",TEXT($B210,"yyyymmdd")&amp;"-"&amp;SUBSTITUTE($F210," ","")&amp;"-"&amp;TEXT(COUNTIF($F$4:F210,$F210),"00"))</f>
        <v/>
      </c>
      <c r="B210" s="65"/>
      <c r="C210" s="60" t="str">
        <f>IF($B210="","",WEEKNUM($B210,2))</f>
        <v/>
      </c>
      <c r="D210" s="60" t="str">
        <f>IF($B210="","",TEXT($B210,"yyyy-mm"))</f>
        <v/>
      </c>
      <c r="E210" s="64"/>
      <c r="F210" s="64"/>
      <c r="G210" s="60" t="str">
        <f>IF(OR($E210="",$F210=""),"",IFERROR(IF($E210=INDEX([1]Cluster_Master!$A$4:$A$18,MATCH($F210,[1]Cluster_Master!$B$4:$B$18,0)),"OK","CHECK"),"CHECK"))</f>
        <v/>
      </c>
      <c r="H210" s="63" t="str">
        <f>IFERROR(INDEX([1]Cluster_Master!$C$4:$C$18,MATCH($F210,[1]Cluster_Master!$B$4:$B$18,0)),"")</f>
        <v/>
      </c>
      <c r="I210" s="60" t="str">
        <f>IFERROR(INDEX([1]Cluster_Master!$D$4:$D$18,MATCH($F210,[1]Cluster_Master!$B$4:$B$18,0)),"")</f>
        <v/>
      </c>
      <c r="J210" s="60" t="str">
        <f>IFERROR(INDEX([1]Cluster_Master!$E$4:$E$18,MATCH($F210,[1]Cluster_Master!$B$4:$B$18,0)),"")</f>
        <v/>
      </c>
      <c r="K210" s="60" t="str">
        <f>IFERROR(INDEX([1]Cluster_Master!$F$4:$F$18,MATCH($F210,[1]Cluster_Master!$B$4:$B$18,0)),"")</f>
        <v/>
      </c>
      <c r="L210" s="60" t="str">
        <f>IFERROR(INDEX([1]Cluster_Master!$G$4:$G$18,MATCH($F210,[1]Cluster_Master!$B$4:$B$18,0)),"")</f>
        <v/>
      </c>
      <c r="M210" s="60" t="str">
        <f>IFERROR(INDEX([1]Cluster_Master!$H$4:$H$18,MATCH($F210,[1]Cluster_Master!$B$4:$B$18,0)),"")</f>
        <v/>
      </c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60" t="str">
        <f>IF(COUNTA(T210:AH210)=0,"",SUM(T210:AH210))</f>
        <v/>
      </c>
      <c r="AJ210" s="61" t="str">
        <f>IF(COUNTA(T210:AH210)=0,"",AI210/75)</f>
        <v/>
      </c>
      <c r="AK210" s="61" t="str">
        <f>IF(COUNTA(T210:AH210)=0,"",(SUM(T210*[1]KPI_Weights!$B$4,U210*[1]KPI_Weights!$B$5,V210*[1]KPI_Weights!$B$6,W210*[1]KPI_Weights!$B$7,X210*[1]KPI_Weights!$B$8,Y210*[1]KPI_Weights!$B$9,Z210*[1]KPI_Weights!$B$10,AA210*[1]KPI_Weights!$B$11,AB210*[1]KPI_Weights!$B$12,AC210*[1]KPI_Weights!$B$13,AD210*[1]KPI_Weights!$B$14,AE210*[1]KPI_Weights!$B$15,AF210*[1]KPI_Weights!$B$16,AG210*[1]KPI_Weights!$B$17,AH210*[1]KPI_Weights!$B$18))/5)</f>
        <v/>
      </c>
      <c r="AL210" s="60" t="str">
        <f>IF(COUNTA(T210:AH210)=0,"",IF(OR(T210&lt;=1,W210&lt;=1,X210&lt;=1,Y210&lt;=1,AB210&lt;=1),"YES","NO"))</f>
        <v/>
      </c>
      <c r="AM210" s="60" t="str">
        <f>IF(AJ210="","",IF(AND(AL210="NO",AJ210&gt;=0.75),"YES","NO"))</f>
        <v/>
      </c>
      <c r="AN210" s="60" t="str">
        <f>IF(AJ210="","",IF(AJ210&lt;0.4,"Critical",IF(AJ210&lt;0.6,"Poor",IF(AJ210&lt;0.75,"Needs Improvement",IF(AJ210&lt;0.9,"Good","Excellent")))))</f>
        <v/>
      </c>
      <c r="AO210" s="59"/>
      <c r="AP210" s="59"/>
      <c r="AQ210" s="59"/>
      <c r="AR210" s="59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</row>
    <row r="211" spans="1:54" ht="19.5" customHeight="1" x14ac:dyDescent="0.25">
      <c r="A211" s="60" t="str">
        <f>IF($B211="","",TEXT($B211,"yyyymmdd")&amp;"-"&amp;SUBSTITUTE($F211," ","")&amp;"-"&amp;TEXT(COUNTIF($F$4:F211,$F211),"00"))</f>
        <v/>
      </c>
      <c r="B211" s="65"/>
      <c r="C211" s="60" t="str">
        <f>IF($B211="","",WEEKNUM($B211,2))</f>
        <v/>
      </c>
      <c r="D211" s="60" t="str">
        <f>IF($B211="","",TEXT($B211,"yyyy-mm"))</f>
        <v/>
      </c>
      <c r="E211" s="64"/>
      <c r="F211" s="64"/>
      <c r="G211" s="60" t="str">
        <f>IF(OR($E211="",$F211=""),"",IFERROR(IF($E211=INDEX([1]Cluster_Master!$A$4:$A$18,MATCH($F211,[1]Cluster_Master!$B$4:$B$18,0)),"OK","CHECK"),"CHECK"))</f>
        <v/>
      </c>
      <c r="H211" s="63" t="str">
        <f>IFERROR(INDEX([1]Cluster_Master!$C$4:$C$18,MATCH($F211,[1]Cluster_Master!$B$4:$B$18,0)),"")</f>
        <v/>
      </c>
      <c r="I211" s="60" t="str">
        <f>IFERROR(INDEX([1]Cluster_Master!$D$4:$D$18,MATCH($F211,[1]Cluster_Master!$B$4:$B$18,0)),"")</f>
        <v/>
      </c>
      <c r="J211" s="60" t="str">
        <f>IFERROR(INDEX([1]Cluster_Master!$E$4:$E$18,MATCH($F211,[1]Cluster_Master!$B$4:$B$18,0)),"")</f>
        <v/>
      </c>
      <c r="K211" s="60" t="str">
        <f>IFERROR(INDEX([1]Cluster_Master!$F$4:$F$18,MATCH($F211,[1]Cluster_Master!$B$4:$B$18,0)),"")</f>
        <v/>
      </c>
      <c r="L211" s="60" t="str">
        <f>IFERROR(INDEX([1]Cluster_Master!$G$4:$G$18,MATCH($F211,[1]Cluster_Master!$B$4:$B$18,0)),"")</f>
        <v/>
      </c>
      <c r="M211" s="60" t="str">
        <f>IFERROR(INDEX([1]Cluster_Master!$H$4:$H$18,MATCH($F211,[1]Cluster_Master!$B$4:$B$18,0)),"")</f>
        <v/>
      </c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60" t="str">
        <f>IF(COUNTA(T211:AH211)=0,"",SUM(T211:AH211))</f>
        <v/>
      </c>
      <c r="AJ211" s="61" t="str">
        <f>IF(COUNTA(T211:AH211)=0,"",AI211/75)</f>
        <v/>
      </c>
      <c r="AK211" s="61" t="str">
        <f>IF(COUNTA(T211:AH211)=0,"",(SUM(T211*[1]KPI_Weights!$B$4,U211*[1]KPI_Weights!$B$5,V211*[1]KPI_Weights!$B$6,W211*[1]KPI_Weights!$B$7,X211*[1]KPI_Weights!$B$8,Y211*[1]KPI_Weights!$B$9,Z211*[1]KPI_Weights!$B$10,AA211*[1]KPI_Weights!$B$11,AB211*[1]KPI_Weights!$B$12,AC211*[1]KPI_Weights!$B$13,AD211*[1]KPI_Weights!$B$14,AE211*[1]KPI_Weights!$B$15,AF211*[1]KPI_Weights!$B$16,AG211*[1]KPI_Weights!$B$17,AH211*[1]KPI_Weights!$B$18))/5)</f>
        <v/>
      </c>
      <c r="AL211" s="60" t="str">
        <f>IF(COUNTA(T211:AH211)=0,"",IF(OR(T211&lt;=1,W211&lt;=1,X211&lt;=1,Y211&lt;=1,AB211&lt;=1),"YES","NO"))</f>
        <v/>
      </c>
      <c r="AM211" s="60" t="str">
        <f>IF(AJ211="","",IF(AND(AL211="NO",AJ211&gt;=0.75),"YES","NO"))</f>
        <v/>
      </c>
      <c r="AN211" s="60" t="str">
        <f>IF(AJ211="","",IF(AJ211&lt;0.4,"Critical",IF(AJ211&lt;0.6,"Poor",IF(AJ211&lt;0.75,"Needs Improvement",IF(AJ211&lt;0.9,"Good","Excellent")))))</f>
        <v/>
      </c>
      <c r="AO211" s="59"/>
      <c r="AP211" s="59"/>
      <c r="AQ211" s="59"/>
      <c r="AR211" s="59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</row>
    <row r="212" spans="1:54" ht="19.5" customHeight="1" x14ac:dyDescent="0.25">
      <c r="A212" s="60" t="str">
        <f>IF($B212="","",TEXT($B212,"yyyymmdd")&amp;"-"&amp;SUBSTITUTE($F212," ","")&amp;"-"&amp;TEXT(COUNTIF($F$4:F212,$F212),"00"))</f>
        <v/>
      </c>
      <c r="B212" s="65"/>
      <c r="C212" s="60" t="str">
        <f>IF($B212="","",WEEKNUM($B212,2))</f>
        <v/>
      </c>
      <c r="D212" s="60" t="str">
        <f>IF($B212="","",TEXT($B212,"yyyy-mm"))</f>
        <v/>
      </c>
      <c r="E212" s="64"/>
      <c r="F212" s="64"/>
      <c r="G212" s="60" t="str">
        <f>IF(OR($E212="",$F212=""),"",IFERROR(IF($E212=INDEX([1]Cluster_Master!$A$4:$A$18,MATCH($F212,[1]Cluster_Master!$B$4:$B$18,0)),"OK","CHECK"),"CHECK"))</f>
        <v/>
      </c>
      <c r="H212" s="63" t="str">
        <f>IFERROR(INDEX([1]Cluster_Master!$C$4:$C$18,MATCH($F212,[1]Cluster_Master!$B$4:$B$18,0)),"")</f>
        <v/>
      </c>
      <c r="I212" s="60" t="str">
        <f>IFERROR(INDEX([1]Cluster_Master!$D$4:$D$18,MATCH($F212,[1]Cluster_Master!$B$4:$B$18,0)),"")</f>
        <v/>
      </c>
      <c r="J212" s="60" t="str">
        <f>IFERROR(INDEX([1]Cluster_Master!$E$4:$E$18,MATCH($F212,[1]Cluster_Master!$B$4:$B$18,0)),"")</f>
        <v/>
      </c>
      <c r="K212" s="60" t="str">
        <f>IFERROR(INDEX([1]Cluster_Master!$F$4:$F$18,MATCH($F212,[1]Cluster_Master!$B$4:$B$18,0)),"")</f>
        <v/>
      </c>
      <c r="L212" s="60" t="str">
        <f>IFERROR(INDEX([1]Cluster_Master!$G$4:$G$18,MATCH($F212,[1]Cluster_Master!$B$4:$B$18,0)),"")</f>
        <v/>
      </c>
      <c r="M212" s="60" t="str">
        <f>IFERROR(INDEX([1]Cluster_Master!$H$4:$H$18,MATCH($F212,[1]Cluster_Master!$B$4:$B$18,0)),"")</f>
        <v/>
      </c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60" t="str">
        <f>IF(COUNTA(T212:AH212)=0,"",SUM(T212:AH212))</f>
        <v/>
      </c>
      <c r="AJ212" s="61" t="str">
        <f>IF(COUNTA(T212:AH212)=0,"",AI212/75)</f>
        <v/>
      </c>
      <c r="AK212" s="61" t="str">
        <f>IF(COUNTA(T212:AH212)=0,"",(SUM(T212*[1]KPI_Weights!$B$4,U212*[1]KPI_Weights!$B$5,V212*[1]KPI_Weights!$B$6,W212*[1]KPI_Weights!$B$7,X212*[1]KPI_Weights!$B$8,Y212*[1]KPI_Weights!$B$9,Z212*[1]KPI_Weights!$B$10,AA212*[1]KPI_Weights!$B$11,AB212*[1]KPI_Weights!$B$12,AC212*[1]KPI_Weights!$B$13,AD212*[1]KPI_Weights!$B$14,AE212*[1]KPI_Weights!$B$15,AF212*[1]KPI_Weights!$B$16,AG212*[1]KPI_Weights!$B$17,AH212*[1]KPI_Weights!$B$18))/5)</f>
        <v/>
      </c>
      <c r="AL212" s="60" t="str">
        <f>IF(COUNTA(T212:AH212)=0,"",IF(OR(T212&lt;=1,W212&lt;=1,X212&lt;=1,Y212&lt;=1,AB212&lt;=1),"YES","NO"))</f>
        <v/>
      </c>
      <c r="AM212" s="60" t="str">
        <f>IF(AJ212="","",IF(AND(AL212="NO",AJ212&gt;=0.75),"YES","NO"))</f>
        <v/>
      </c>
      <c r="AN212" s="60" t="str">
        <f>IF(AJ212="","",IF(AJ212&lt;0.4,"Critical",IF(AJ212&lt;0.6,"Poor",IF(AJ212&lt;0.75,"Needs Improvement",IF(AJ212&lt;0.9,"Good","Excellent")))))</f>
        <v/>
      </c>
      <c r="AO212" s="59"/>
      <c r="AP212" s="59"/>
      <c r="AQ212" s="59"/>
      <c r="AR212" s="59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</row>
    <row r="213" spans="1:54" ht="19.5" customHeight="1" x14ac:dyDescent="0.25">
      <c r="A213" s="60" t="str">
        <f>IF($B213="","",TEXT($B213,"yyyymmdd")&amp;"-"&amp;SUBSTITUTE($F213," ","")&amp;"-"&amp;TEXT(COUNTIF($F$4:F213,$F213),"00"))</f>
        <v/>
      </c>
      <c r="B213" s="65"/>
      <c r="C213" s="60" t="str">
        <f>IF($B213="","",WEEKNUM($B213,2))</f>
        <v/>
      </c>
      <c r="D213" s="60" t="str">
        <f>IF($B213="","",TEXT($B213,"yyyy-mm"))</f>
        <v/>
      </c>
      <c r="E213" s="64"/>
      <c r="F213" s="64"/>
      <c r="G213" s="60" t="str">
        <f>IF(OR($E213="",$F213=""),"",IFERROR(IF($E213=INDEX([1]Cluster_Master!$A$4:$A$18,MATCH($F213,[1]Cluster_Master!$B$4:$B$18,0)),"OK","CHECK"),"CHECK"))</f>
        <v/>
      </c>
      <c r="H213" s="63" t="str">
        <f>IFERROR(INDEX([1]Cluster_Master!$C$4:$C$18,MATCH($F213,[1]Cluster_Master!$B$4:$B$18,0)),"")</f>
        <v/>
      </c>
      <c r="I213" s="60" t="str">
        <f>IFERROR(INDEX([1]Cluster_Master!$D$4:$D$18,MATCH($F213,[1]Cluster_Master!$B$4:$B$18,0)),"")</f>
        <v/>
      </c>
      <c r="J213" s="60" t="str">
        <f>IFERROR(INDEX([1]Cluster_Master!$E$4:$E$18,MATCH($F213,[1]Cluster_Master!$B$4:$B$18,0)),"")</f>
        <v/>
      </c>
      <c r="K213" s="60" t="str">
        <f>IFERROR(INDEX([1]Cluster_Master!$F$4:$F$18,MATCH($F213,[1]Cluster_Master!$B$4:$B$18,0)),"")</f>
        <v/>
      </c>
      <c r="L213" s="60" t="str">
        <f>IFERROR(INDEX([1]Cluster_Master!$G$4:$G$18,MATCH($F213,[1]Cluster_Master!$B$4:$B$18,0)),"")</f>
        <v/>
      </c>
      <c r="M213" s="60" t="str">
        <f>IFERROR(INDEX([1]Cluster_Master!$H$4:$H$18,MATCH($F213,[1]Cluster_Master!$B$4:$B$18,0)),"")</f>
        <v/>
      </c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60" t="str">
        <f>IF(COUNTA(T213:AH213)=0,"",SUM(T213:AH213))</f>
        <v/>
      </c>
      <c r="AJ213" s="61" t="str">
        <f>IF(COUNTA(T213:AH213)=0,"",AI213/75)</f>
        <v/>
      </c>
      <c r="AK213" s="61" t="str">
        <f>IF(COUNTA(T213:AH213)=0,"",(SUM(T213*[1]KPI_Weights!$B$4,U213*[1]KPI_Weights!$B$5,V213*[1]KPI_Weights!$B$6,W213*[1]KPI_Weights!$B$7,X213*[1]KPI_Weights!$B$8,Y213*[1]KPI_Weights!$B$9,Z213*[1]KPI_Weights!$B$10,AA213*[1]KPI_Weights!$B$11,AB213*[1]KPI_Weights!$B$12,AC213*[1]KPI_Weights!$B$13,AD213*[1]KPI_Weights!$B$14,AE213*[1]KPI_Weights!$B$15,AF213*[1]KPI_Weights!$B$16,AG213*[1]KPI_Weights!$B$17,AH213*[1]KPI_Weights!$B$18))/5)</f>
        <v/>
      </c>
      <c r="AL213" s="60" t="str">
        <f>IF(COUNTA(T213:AH213)=0,"",IF(OR(T213&lt;=1,W213&lt;=1,X213&lt;=1,Y213&lt;=1,AB213&lt;=1),"YES","NO"))</f>
        <v/>
      </c>
      <c r="AM213" s="60" t="str">
        <f>IF(AJ213="","",IF(AND(AL213="NO",AJ213&gt;=0.75),"YES","NO"))</f>
        <v/>
      </c>
      <c r="AN213" s="60" t="str">
        <f>IF(AJ213="","",IF(AJ213&lt;0.4,"Critical",IF(AJ213&lt;0.6,"Poor",IF(AJ213&lt;0.75,"Needs Improvement",IF(AJ213&lt;0.9,"Good","Excellent")))))</f>
        <v/>
      </c>
      <c r="AO213" s="59"/>
      <c r="AP213" s="59"/>
      <c r="AQ213" s="59"/>
      <c r="AR213" s="59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</row>
    <row r="214" spans="1:54" ht="19.5" customHeight="1" x14ac:dyDescent="0.25">
      <c r="A214" s="60" t="str">
        <f>IF($B214="","",TEXT($B214,"yyyymmdd")&amp;"-"&amp;SUBSTITUTE($F214," ","")&amp;"-"&amp;TEXT(COUNTIF($F$4:F214,$F214),"00"))</f>
        <v/>
      </c>
      <c r="B214" s="65"/>
      <c r="C214" s="60" t="str">
        <f>IF($B214="","",WEEKNUM($B214,2))</f>
        <v/>
      </c>
      <c r="D214" s="60" t="str">
        <f>IF($B214="","",TEXT($B214,"yyyy-mm"))</f>
        <v/>
      </c>
      <c r="E214" s="64"/>
      <c r="F214" s="64"/>
      <c r="G214" s="60" t="str">
        <f>IF(OR($E214="",$F214=""),"",IFERROR(IF($E214=INDEX([1]Cluster_Master!$A$4:$A$18,MATCH($F214,[1]Cluster_Master!$B$4:$B$18,0)),"OK","CHECK"),"CHECK"))</f>
        <v/>
      </c>
      <c r="H214" s="63" t="str">
        <f>IFERROR(INDEX([1]Cluster_Master!$C$4:$C$18,MATCH($F214,[1]Cluster_Master!$B$4:$B$18,0)),"")</f>
        <v/>
      </c>
      <c r="I214" s="60" t="str">
        <f>IFERROR(INDEX([1]Cluster_Master!$D$4:$D$18,MATCH($F214,[1]Cluster_Master!$B$4:$B$18,0)),"")</f>
        <v/>
      </c>
      <c r="J214" s="60" t="str">
        <f>IFERROR(INDEX([1]Cluster_Master!$E$4:$E$18,MATCH($F214,[1]Cluster_Master!$B$4:$B$18,0)),"")</f>
        <v/>
      </c>
      <c r="K214" s="60" t="str">
        <f>IFERROR(INDEX([1]Cluster_Master!$F$4:$F$18,MATCH($F214,[1]Cluster_Master!$B$4:$B$18,0)),"")</f>
        <v/>
      </c>
      <c r="L214" s="60" t="str">
        <f>IFERROR(INDEX([1]Cluster_Master!$G$4:$G$18,MATCH($F214,[1]Cluster_Master!$B$4:$B$18,0)),"")</f>
        <v/>
      </c>
      <c r="M214" s="60" t="str">
        <f>IFERROR(INDEX([1]Cluster_Master!$H$4:$H$18,MATCH($F214,[1]Cluster_Master!$B$4:$B$18,0)),"")</f>
        <v/>
      </c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60" t="str">
        <f>IF(COUNTA(T214:AH214)=0,"",SUM(T214:AH214))</f>
        <v/>
      </c>
      <c r="AJ214" s="61" t="str">
        <f>IF(COUNTA(T214:AH214)=0,"",AI214/75)</f>
        <v/>
      </c>
      <c r="AK214" s="61" t="str">
        <f>IF(COUNTA(T214:AH214)=0,"",(SUM(T214*[1]KPI_Weights!$B$4,U214*[1]KPI_Weights!$B$5,V214*[1]KPI_Weights!$B$6,W214*[1]KPI_Weights!$B$7,X214*[1]KPI_Weights!$B$8,Y214*[1]KPI_Weights!$B$9,Z214*[1]KPI_Weights!$B$10,AA214*[1]KPI_Weights!$B$11,AB214*[1]KPI_Weights!$B$12,AC214*[1]KPI_Weights!$B$13,AD214*[1]KPI_Weights!$B$14,AE214*[1]KPI_Weights!$B$15,AF214*[1]KPI_Weights!$B$16,AG214*[1]KPI_Weights!$B$17,AH214*[1]KPI_Weights!$B$18))/5)</f>
        <v/>
      </c>
      <c r="AL214" s="60" t="str">
        <f>IF(COUNTA(T214:AH214)=0,"",IF(OR(T214&lt;=1,W214&lt;=1,X214&lt;=1,Y214&lt;=1,AB214&lt;=1),"YES","NO"))</f>
        <v/>
      </c>
      <c r="AM214" s="60" t="str">
        <f>IF(AJ214="","",IF(AND(AL214="NO",AJ214&gt;=0.75),"YES","NO"))</f>
        <v/>
      </c>
      <c r="AN214" s="60" t="str">
        <f>IF(AJ214="","",IF(AJ214&lt;0.4,"Critical",IF(AJ214&lt;0.6,"Poor",IF(AJ214&lt;0.75,"Needs Improvement",IF(AJ214&lt;0.9,"Good","Excellent")))))</f>
        <v/>
      </c>
      <c r="AO214" s="59"/>
      <c r="AP214" s="59"/>
      <c r="AQ214" s="59"/>
      <c r="AR214" s="59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</row>
    <row r="215" spans="1:54" ht="19.5" customHeight="1" x14ac:dyDescent="0.25">
      <c r="A215" s="60" t="str">
        <f>IF($B215="","",TEXT($B215,"yyyymmdd")&amp;"-"&amp;SUBSTITUTE($F215," ","")&amp;"-"&amp;TEXT(COUNTIF($F$4:F215,$F215),"00"))</f>
        <v/>
      </c>
      <c r="B215" s="65"/>
      <c r="C215" s="60" t="str">
        <f>IF($B215="","",WEEKNUM($B215,2))</f>
        <v/>
      </c>
      <c r="D215" s="60" t="str">
        <f>IF($B215="","",TEXT($B215,"yyyy-mm"))</f>
        <v/>
      </c>
      <c r="E215" s="64"/>
      <c r="F215" s="64"/>
      <c r="G215" s="60" t="str">
        <f>IF(OR($E215="",$F215=""),"",IFERROR(IF($E215=INDEX([1]Cluster_Master!$A$4:$A$18,MATCH($F215,[1]Cluster_Master!$B$4:$B$18,0)),"OK","CHECK"),"CHECK"))</f>
        <v/>
      </c>
      <c r="H215" s="63" t="str">
        <f>IFERROR(INDEX([1]Cluster_Master!$C$4:$C$18,MATCH($F215,[1]Cluster_Master!$B$4:$B$18,0)),"")</f>
        <v/>
      </c>
      <c r="I215" s="60" t="str">
        <f>IFERROR(INDEX([1]Cluster_Master!$D$4:$D$18,MATCH($F215,[1]Cluster_Master!$B$4:$B$18,0)),"")</f>
        <v/>
      </c>
      <c r="J215" s="60" t="str">
        <f>IFERROR(INDEX([1]Cluster_Master!$E$4:$E$18,MATCH($F215,[1]Cluster_Master!$B$4:$B$18,0)),"")</f>
        <v/>
      </c>
      <c r="K215" s="60" t="str">
        <f>IFERROR(INDEX([1]Cluster_Master!$F$4:$F$18,MATCH($F215,[1]Cluster_Master!$B$4:$B$18,0)),"")</f>
        <v/>
      </c>
      <c r="L215" s="60" t="str">
        <f>IFERROR(INDEX([1]Cluster_Master!$G$4:$G$18,MATCH($F215,[1]Cluster_Master!$B$4:$B$18,0)),"")</f>
        <v/>
      </c>
      <c r="M215" s="60" t="str">
        <f>IFERROR(INDEX([1]Cluster_Master!$H$4:$H$18,MATCH($F215,[1]Cluster_Master!$B$4:$B$18,0)),"")</f>
        <v/>
      </c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60" t="str">
        <f>IF(COUNTA(T215:AH215)=0,"",SUM(T215:AH215))</f>
        <v/>
      </c>
      <c r="AJ215" s="61" t="str">
        <f>IF(COUNTA(T215:AH215)=0,"",AI215/75)</f>
        <v/>
      </c>
      <c r="AK215" s="61" t="str">
        <f>IF(COUNTA(T215:AH215)=0,"",(SUM(T215*[1]KPI_Weights!$B$4,U215*[1]KPI_Weights!$B$5,V215*[1]KPI_Weights!$B$6,W215*[1]KPI_Weights!$B$7,X215*[1]KPI_Weights!$B$8,Y215*[1]KPI_Weights!$B$9,Z215*[1]KPI_Weights!$B$10,AA215*[1]KPI_Weights!$B$11,AB215*[1]KPI_Weights!$B$12,AC215*[1]KPI_Weights!$B$13,AD215*[1]KPI_Weights!$B$14,AE215*[1]KPI_Weights!$B$15,AF215*[1]KPI_Weights!$B$16,AG215*[1]KPI_Weights!$B$17,AH215*[1]KPI_Weights!$B$18))/5)</f>
        <v/>
      </c>
      <c r="AL215" s="60" t="str">
        <f>IF(COUNTA(T215:AH215)=0,"",IF(OR(T215&lt;=1,W215&lt;=1,X215&lt;=1,Y215&lt;=1,AB215&lt;=1),"YES","NO"))</f>
        <v/>
      </c>
      <c r="AM215" s="60" t="str">
        <f>IF(AJ215="","",IF(AND(AL215="NO",AJ215&gt;=0.75),"YES","NO"))</f>
        <v/>
      </c>
      <c r="AN215" s="60" t="str">
        <f>IF(AJ215="","",IF(AJ215&lt;0.4,"Critical",IF(AJ215&lt;0.6,"Poor",IF(AJ215&lt;0.75,"Needs Improvement",IF(AJ215&lt;0.9,"Good","Excellent")))))</f>
        <v/>
      </c>
      <c r="AO215" s="59"/>
      <c r="AP215" s="59"/>
      <c r="AQ215" s="59"/>
      <c r="AR215" s="59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</row>
    <row r="216" spans="1:54" ht="19.5" customHeight="1" x14ac:dyDescent="0.25">
      <c r="A216" s="60" t="str">
        <f>IF($B216="","",TEXT($B216,"yyyymmdd")&amp;"-"&amp;SUBSTITUTE($F216," ","")&amp;"-"&amp;TEXT(COUNTIF($F$4:F216,$F216),"00"))</f>
        <v/>
      </c>
      <c r="B216" s="65"/>
      <c r="C216" s="60" t="str">
        <f>IF($B216="","",WEEKNUM($B216,2))</f>
        <v/>
      </c>
      <c r="D216" s="60" t="str">
        <f>IF($B216="","",TEXT($B216,"yyyy-mm"))</f>
        <v/>
      </c>
      <c r="E216" s="64"/>
      <c r="F216" s="64"/>
      <c r="G216" s="60" t="str">
        <f>IF(OR($E216="",$F216=""),"",IFERROR(IF($E216=INDEX([1]Cluster_Master!$A$4:$A$18,MATCH($F216,[1]Cluster_Master!$B$4:$B$18,0)),"OK","CHECK"),"CHECK"))</f>
        <v/>
      </c>
      <c r="H216" s="63" t="str">
        <f>IFERROR(INDEX([1]Cluster_Master!$C$4:$C$18,MATCH($F216,[1]Cluster_Master!$B$4:$B$18,0)),"")</f>
        <v/>
      </c>
      <c r="I216" s="60" t="str">
        <f>IFERROR(INDEX([1]Cluster_Master!$D$4:$D$18,MATCH($F216,[1]Cluster_Master!$B$4:$B$18,0)),"")</f>
        <v/>
      </c>
      <c r="J216" s="60" t="str">
        <f>IFERROR(INDEX([1]Cluster_Master!$E$4:$E$18,MATCH($F216,[1]Cluster_Master!$B$4:$B$18,0)),"")</f>
        <v/>
      </c>
      <c r="K216" s="60" t="str">
        <f>IFERROR(INDEX([1]Cluster_Master!$F$4:$F$18,MATCH($F216,[1]Cluster_Master!$B$4:$B$18,0)),"")</f>
        <v/>
      </c>
      <c r="L216" s="60" t="str">
        <f>IFERROR(INDEX([1]Cluster_Master!$G$4:$G$18,MATCH($F216,[1]Cluster_Master!$B$4:$B$18,0)),"")</f>
        <v/>
      </c>
      <c r="M216" s="60" t="str">
        <f>IFERROR(INDEX([1]Cluster_Master!$H$4:$H$18,MATCH($F216,[1]Cluster_Master!$B$4:$B$18,0)),"")</f>
        <v/>
      </c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60" t="str">
        <f>IF(COUNTA(T216:AH216)=0,"",SUM(T216:AH216))</f>
        <v/>
      </c>
      <c r="AJ216" s="61" t="str">
        <f>IF(COUNTA(T216:AH216)=0,"",AI216/75)</f>
        <v/>
      </c>
      <c r="AK216" s="61" t="str">
        <f>IF(COUNTA(T216:AH216)=0,"",(SUM(T216*[1]KPI_Weights!$B$4,U216*[1]KPI_Weights!$B$5,V216*[1]KPI_Weights!$B$6,W216*[1]KPI_Weights!$B$7,X216*[1]KPI_Weights!$B$8,Y216*[1]KPI_Weights!$B$9,Z216*[1]KPI_Weights!$B$10,AA216*[1]KPI_Weights!$B$11,AB216*[1]KPI_Weights!$B$12,AC216*[1]KPI_Weights!$B$13,AD216*[1]KPI_Weights!$B$14,AE216*[1]KPI_Weights!$B$15,AF216*[1]KPI_Weights!$B$16,AG216*[1]KPI_Weights!$B$17,AH216*[1]KPI_Weights!$B$18))/5)</f>
        <v/>
      </c>
      <c r="AL216" s="60" t="str">
        <f>IF(COUNTA(T216:AH216)=0,"",IF(OR(T216&lt;=1,W216&lt;=1,X216&lt;=1,Y216&lt;=1,AB216&lt;=1),"YES","NO"))</f>
        <v/>
      </c>
      <c r="AM216" s="60" t="str">
        <f>IF(AJ216="","",IF(AND(AL216="NO",AJ216&gt;=0.75),"YES","NO"))</f>
        <v/>
      </c>
      <c r="AN216" s="60" t="str">
        <f>IF(AJ216="","",IF(AJ216&lt;0.4,"Critical",IF(AJ216&lt;0.6,"Poor",IF(AJ216&lt;0.75,"Needs Improvement",IF(AJ216&lt;0.9,"Good","Excellent")))))</f>
        <v/>
      </c>
      <c r="AO216" s="59"/>
      <c r="AP216" s="59"/>
      <c r="AQ216" s="59"/>
      <c r="AR216" s="59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</row>
    <row r="217" spans="1:54" ht="19.5" customHeight="1" x14ac:dyDescent="0.25">
      <c r="A217" s="60" t="str">
        <f>IF($B217="","",TEXT($B217,"yyyymmdd")&amp;"-"&amp;SUBSTITUTE($F217," ","")&amp;"-"&amp;TEXT(COUNTIF($F$4:F217,$F217),"00"))</f>
        <v/>
      </c>
      <c r="B217" s="65"/>
      <c r="C217" s="60" t="str">
        <f>IF($B217="","",WEEKNUM($B217,2))</f>
        <v/>
      </c>
      <c r="D217" s="60" t="str">
        <f>IF($B217="","",TEXT($B217,"yyyy-mm"))</f>
        <v/>
      </c>
      <c r="E217" s="64"/>
      <c r="F217" s="64"/>
      <c r="G217" s="60" t="str">
        <f>IF(OR($E217="",$F217=""),"",IFERROR(IF($E217=INDEX([1]Cluster_Master!$A$4:$A$18,MATCH($F217,[1]Cluster_Master!$B$4:$B$18,0)),"OK","CHECK"),"CHECK"))</f>
        <v/>
      </c>
      <c r="H217" s="63" t="str">
        <f>IFERROR(INDEX([1]Cluster_Master!$C$4:$C$18,MATCH($F217,[1]Cluster_Master!$B$4:$B$18,0)),"")</f>
        <v/>
      </c>
      <c r="I217" s="60" t="str">
        <f>IFERROR(INDEX([1]Cluster_Master!$D$4:$D$18,MATCH($F217,[1]Cluster_Master!$B$4:$B$18,0)),"")</f>
        <v/>
      </c>
      <c r="J217" s="60" t="str">
        <f>IFERROR(INDEX([1]Cluster_Master!$E$4:$E$18,MATCH($F217,[1]Cluster_Master!$B$4:$B$18,0)),"")</f>
        <v/>
      </c>
      <c r="K217" s="60" t="str">
        <f>IFERROR(INDEX([1]Cluster_Master!$F$4:$F$18,MATCH($F217,[1]Cluster_Master!$B$4:$B$18,0)),"")</f>
        <v/>
      </c>
      <c r="L217" s="60" t="str">
        <f>IFERROR(INDEX([1]Cluster_Master!$G$4:$G$18,MATCH($F217,[1]Cluster_Master!$B$4:$B$18,0)),"")</f>
        <v/>
      </c>
      <c r="M217" s="60" t="str">
        <f>IFERROR(INDEX([1]Cluster_Master!$H$4:$H$18,MATCH($F217,[1]Cluster_Master!$B$4:$B$18,0)),"")</f>
        <v/>
      </c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60" t="str">
        <f>IF(COUNTA(T217:AH217)=0,"",SUM(T217:AH217))</f>
        <v/>
      </c>
      <c r="AJ217" s="61" t="str">
        <f>IF(COUNTA(T217:AH217)=0,"",AI217/75)</f>
        <v/>
      </c>
      <c r="AK217" s="61" t="str">
        <f>IF(COUNTA(T217:AH217)=0,"",(SUM(T217*[1]KPI_Weights!$B$4,U217*[1]KPI_Weights!$B$5,V217*[1]KPI_Weights!$B$6,W217*[1]KPI_Weights!$B$7,X217*[1]KPI_Weights!$B$8,Y217*[1]KPI_Weights!$B$9,Z217*[1]KPI_Weights!$B$10,AA217*[1]KPI_Weights!$B$11,AB217*[1]KPI_Weights!$B$12,AC217*[1]KPI_Weights!$B$13,AD217*[1]KPI_Weights!$B$14,AE217*[1]KPI_Weights!$B$15,AF217*[1]KPI_Weights!$B$16,AG217*[1]KPI_Weights!$B$17,AH217*[1]KPI_Weights!$B$18))/5)</f>
        <v/>
      </c>
      <c r="AL217" s="60" t="str">
        <f>IF(COUNTA(T217:AH217)=0,"",IF(OR(T217&lt;=1,W217&lt;=1,X217&lt;=1,Y217&lt;=1,AB217&lt;=1),"YES","NO"))</f>
        <v/>
      </c>
      <c r="AM217" s="60" t="str">
        <f>IF(AJ217="","",IF(AND(AL217="NO",AJ217&gt;=0.75),"YES","NO"))</f>
        <v/>
      </c>
      <c r="AN217" s="60" t="str">
        <f>IF(AJ217="","",IF(AJ217&lt;0.4,"Critical",IF(AJ217&lt;0.6,"Poor",IF(AJ217&lt;0.75,"Needs Improvement",IF(AJ217&lt;0.9,"Good","Excellent")))))</f>
        <v/>
      </c>
      <c r="AO217" s="59"/>
      <c r="AP217" s="59"/>
      <c r="AQ217" s="59"/>
      <c r="AR217" s="59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</row>
    <row r="218" spans="1:54" ht="19.5" customHeight="1" x14ac:dyDescent="0.25">
      <c r="A218" s="60" t="str">
        <f>IF($B218="","",TEXT($B218,"yyyymmdd")&amp;"-"&amp;SUBSTITUTE($F218," ","")&amp;"-"&amp;TEXT(COUNTIF($F$4:F218,$F218),"00"))</f>
        <v/>
      </c>
      <c r="B218" s="65"/>
      <c r="C218" s="60" t="str">
        <f>IF($B218="","",WEEKNUM($B218,2))</f>
        <v/>
      </c>
      <c r="D218" s="60" t="str">
        <f>IF($B218="","",TEXT($B218,"yyyy-mm"))</f>
        <v/>
      </c>
      <c r="E218" s="64"/>
      <c r="F218" s="64"/>
      <c r="G218" s="60" t="str">
        <f>IF(OR($E218="",$F218=""),"",IFERROR(IF($E218=INDEX([1]Cluster_Master!$A$4:$A$18,MATCH($F218,[1]Cluster_Master!$B$4:$B$18,0)),"OK","CHECK"),"CHECK"))</f>
        <v/>
      </c>
      <c r="H218" s="63" t="str">
        <f>IFERROR(INDEX([1]Cluster_Master!$C$4:$C$18,MATCH($F218,[1]Cluster_Master!$B$4:$B$18,0)),"")</f>
        <v/>
      </c>
      <c r="I218" s="60" t="str">
        <f>IFERROR(INDEX([1]Cluster_Master!$D$4:$D$18,MATCH($F218,[1]Cluster_Master!$B$4:$B$18,0)),"")</f>
        <v/>
      </c>
      <c r="J218" s="60" t="str">
        <f>IFERROR(INDEX([1]Cluster_Master!$E$4:$E$18,MATCH($F218,[1]Cluster_Master!$B$4:$B$18,0)),"")</f>
        <v/>
      </c>
      <c r="K218" s="60" t="str">
        <f>IFERROR(INDEX([1]Cluster_Master!$F$4:$F$18,MATCH($F218,[1]Cluster_Master!$B$4:$B$18,0)),"")</f>
        <v/>
      </c>
      <c r="L218" s="60" t="str">
        <f>IFERROR(INDEX([1]Cluster_Master!$G$4:$G$18,MATCH($F218,[1]Cluster_Master!$B$4:$B$18,0)),"")</f>
        <v/>
      </c>
      <c r="M218" s="60" t="str">
        <f>IFERROR(INDEX([1]Cluster_Master!$H$4:$H$18,MATCH($F218,[1]Cluster_Master!$B$4:$B$18,0)),"")</f>
        <v/>
      </c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60" t="str">
        <f>IF(COUNTA(T218:AH218)=0,"",SUM(T218:AH218))</f>
        <v/>
      </c>
      <c r="AJ218" s="61" t="str">
        <f>IF(COUNTA(T218:AH218)=0,"",AI218/75)</f>
        <v/>
      </c>
      <c r="AK218" s="61" t="str">
        <f>IF(COUNTA(T218:AH218)=0,"",(SUM(T218*[1]KPI_Weights!$B$4,U218*[1]KPI_Weights!$B$5,V218*[1]KPI_Weights!$B$6,W218*[1]KPI_Weights!$B$7,X218*[1]KPI_Weights!$B$8,Y218*[1]KPI_Weights!$B$9,Z218*[1]KPI_Weights!$B$10,AA218*[1]KPI_Weights!$B$11,AB218*[1]KPI_Weights!$B$12,AC218*[1]KPI_Weights!$B$13,AD218*[1]KPI_Weights!$B$14,AE218*[1]KPI_Weights!$B$15,AF218*[1]KPI_Weights!$B$16,AG218*[1]KPI_Weights!$B$17,AH218*[1]KPI_Weights!$B$18))/5)</f>
        <v/>
      </c>
      <c r="AL218" s="60" t="str">
        <f>IF(COUNTA(T218:AH218)=0,"",IF(OR(T218&lt;=1,W218&lt;=1,X218&lt;=1,Y218&lt;=1,AB218&lt;=1),"YES","NO"))</f>
        <v/>
      </c>
      <c r="AM218" s="60" t="str">
        <f>IF(AJ218="","",IF(AND(AL218="NO",AJ218&gt;=0.75),"YES","NO"))</f>
        <v/>
      </c>
      <c r="AN218" s="60" t="str">
        <f>IF(AJ218="","",IF(AJ218&lt;0.4,"Critical",IF(AJ218&lt;0.6,"Poor",IF(AJ218&lt;0.75,"Needs Improvement",IF(AJ218&lt;0.9,"Good","Excellent")))))</f>
        <v/>
      </c>
      <c r="AO218" s="59"/>
      <c r="AP218" s="59"/>
      <c r="AQ218" s="59"/>
      <c r="AR218" s="59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</row>
    <row r="219" spans="1:54" ht="19.5" customHeight="1" x14ac:dyDescent="0.25">
      <c r="A219" s="60" t="str">
        <f>IF($B219="","",TEXT($B219,"yyyymmdd")&amp;"-"&amp;SUBSTITUTE($F219," ","")&amp;"-"&amp;TEXT(COUNTIF($F$4:F219,$F219),"00"))</f>
        <v/>
      </c>
      <c r="B219" s="65"/>
      <c r="C219" s="60" t="str">
        <f>IF($B219="","",WEEKNUM($B219,2))</f>
        <v/>
      </c>
      <c r="D219" s="60" t="str">
        <f>IF($B219="","",TEXT($B219,"yyyy-mm"))</f>
        <v/>
      </c>
      <c r="E219" s="64"/>
      <c r="F219" s="64"/>
      <c r="G219" s="60" t="str">
        <f>IF(OR($E219="",$F219=""),"",IFERROR(IF($E219=INDEX([1]Cluster_Master!$A$4:$A$18,MATCH($F219,[1]Cluster_Master!$B$4:$B$18,0)),"OK","CHECK"),"CHECK"))</f>
        <v/>
      </c>
      <c r="H219" s="63" t="str">
        <f>IFERROR(INDEX([1]Cluster_Master!$C$4:$C$18,MATCH($F219,[1]Cluster_Master!$B$4:$B$18,0)),"")</f>
        <v/>
      </c>
      <c r="I219" s="60" t="str">
        <f>IFERROR(INDEX([1]Cluster_Master!$D$4:$D$18,MATCH($F219,[1]Cluster_Master!$B$4:$B$18,0)),"")</f>
        <v/>
      </c>
      <c r="J219" s="60" t="str">
        <f>IFERROR(INDEX([1]Cluster_Master!$E$4:$E$18,MATCH($F219,[1]Cluster_Master!$B$4:$B$18,0)),"")</f>
        <v/>
      </c>
      <c r="K219" s="60" t="str">
        <f>IFERROR(INDEX([1]Cluster_Master!$F$4:$F$18,MATCH($F219,[1]Cluster_Master!$B$4:$B$18,0)),"")</f>
        <v/>
      </c>
      <c r="L219" s="60" t="str">
        <f>IFERROR(INDEX([1]Cluster_Master!$G$4:$G$18,MATCH($F219,[1]Cluster_Master!$B$4:$B$18,0)),"")</f>
        <v/>
      </c>
      <c r="M219" s="60" t="str">
        <f>IFERROR(INDEX([1]Cluster_Master!$H$4:$H$18,MATCH($F219,[1]Cluster_Master!$B$4:$B$18,0)),"")</f>
        <v/>
      </c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60" t="str">
        <f>IF(COUNTA(T219:AH219)=0,"",SUM(T219:AH219))</f>
        <v/>
      </c>
      <c r="AJ219" s="61" t="str">
        <f>IF(COUNTA(T219:AH219)=0,"",AI219/75)</f>
        <v/>
      </c>
      <c r="AK219" s="61" t="str">
        <f>IF(COUNTA(T219:AH219)=0,"",(SUM(T219*[1]KPI_Weights!$B$4,U219*[1]KPI_Weights!$B$5,V219*[1]KPI_Weights!$B$6,W219*[1]KPI_Weights!$B$7,X219*[1]KPI_Weights!$B$8,Y219*[1]KPI_Weights!$B$9,Z219*[1]KPI_Weights!$B$10,AA219*[1]KPI_Weights!$B$11,AB219*[1]KPI_Weights!$B$12,AC219*[1]KPI_Weights!$B$13,AD219*[1]KPI_Weights!$B$14,AE219*[1]KPI_Weights!$B$15,AF219*[1]KPI_Weights!$B$16,AG219*[1]KPI_Weights!$B$17,AH219*[1]KPI_Weights!$B$18))/5)</f>
        <v/>
      </c>
      <c r="AL219" s="60" t="str">
        <f>IF(COUNTA(T219:AH219)=0,"",IF(OR(T219&lt;=1,W219&lt;=1,X219&lt;=1,Y219&lt;=1,AB219&lt;=1),"YES","NO"))</f>
        <v/>
      </c>
      <c r="AM219" s="60" t="str">
        <f>IF(AJ219="","",IF(AND(AL219="NO",AJ219&gt;=0.75),"YES","NO"))</f>
        <v/>
      </c>
      <c r="AN219" s="60" t="str">
        <f>IF(AJ219="","",IF(AJ219&lt;0.4,"Critical",IF(AJ219&lt;0.6,"Poor",IF(AJ219&lt;0.75,"Needs Improvement",IF(AJ219&lt;0.9,"Good","Excellent")))))</f>
        <v/>
      </c>
      <c r="AO219" s="59"/>
      <c r="AP219" s="59"/>
      <c r="AQ219" s="59"/>
      <c r="AR219" s="59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</row>
    <row r="220" spans="1:54" ht="19.5" customHeight="1" x14ac:dyDescent="0.25">
      <c r="A220" s="60" t="str">
        <f>IF($B220="","",TEXT($B220,"yyyymmdd")&amp;"-"&amp;SUBSTITUTE($F220," ","")&amp;"-"&amp;TEXT(COUNTIF($F$4:F220,$F220),"00"))</f>
        <v/>
      </c>
      <c r="B220" s="65"/>
      <c r="C220" s="60" t="str">
        <f>IF($B220="","",WEEKNUM($B220,2))</f>
        <v/>
      </c>
      <c r="D220" s="60" t="str">
        <f>IF($B220="","",TEXT($B220,"yyyy-mm"))</f>
        <v/>
      </c>
      <c r="E220" s="64"/>
      <c r="F220" s="64"/>
      <c r="G220" s="60" t="str">
        <f>IF(OR($E220="",$F220=""),"",IFERROR(IF($E220=INDEX([1]Cluster_Master!$A$4:$A$18,MATCH($F220,[1]Cluster_Master!$B$4:$B$18,0)),"OK","CHECK"),"CHECK"))</f>
        <v/>
      </c>
      <c r="H220" s="63" t="str">
        <f>IFERROR(INDEX([1]Cluster_Master!$C$4:$C$18,MATCH($F220,[1]Cluster_Master!$B$4:$B$18,0)),"")</f>
        <v/>
      </c>
      <c r="I220" s="60" t="str">
        <f>IFERROR(INDEX([1]Cluster_Master!$D$4:$D$18,MATCH($F220,[1]Cluster_Master!$B$4:$B$18,0)),"")</f>
        <v/>
      </c>
      <c r="J220" s="60" t="str">
        <f>IFERROR(INDEX([1]Cluster_Master!$E$4:$E$18,MATCH($F220,[1]Cluster_Master!$B$4:$B$18,0)),"")</f>
        <v/>
      </c>
      <c r="K220" s="60" t="str">
        <f>IFERROR(INDEX([1]Cluster_Master!$F$4:$F$18,MATCH($F220,[1]Cluster_Master!$B$4:$B$18,0)),"")</f>
        <v/>
      </c>
      <c r="L220" s="60" t="str">
        <f>IFERROR(INDEX([1]Cluster_Master!$G$4:$G$18,MATCH($F220,[1]Cluster_Master!$B$4:$B$18,0)),"")</f>
        <v/>
      </c>
      <c r="M220" s="60" t="str">
        <f>IFERROR(INDEX([1]Cluster_Master!$H$4:$H$18,MATCH($F220,[1]Cluster_Master!$B$4:$B$18,0)),"")</f>
        <v/>
      </c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60" t="str">
        <f>IF(COUNTA(T220:AH220)=0,"",SUM(T220:AH220))</f>
        <v/>
      </c>
      <c r="AJ220" s="61" t="str">
        <f>IF(COUNTA(T220:AH220)=0,"",AI220/75)</f>
        <v/>
      </c>
      <c r="AK220" s="61" t="str">
        <f>IF(COUNTA(T220:AH220)=0,"",(SUM(T220*[1]KPI_Weights!$B$4,U220*[1]KPI_Weights!$B$5,V220*[1]KPI_Weights!$B$6,W220*[1]KPI_Weights!$B$7,X220*[1]KPI_Weights!$B$8,Y220*[1]KPI_Weights!$B$9,Z220*[1]KPI_Weights!$B$10,AA220*[1]KPI_Weights!$B$11,AB220*[1]KPI_Weights!$B$12,AC220*[1]KPI_Weights!$B$13,AD220*[1]KPI_Weights!$B$14,AE220*[1]KPI_Weights!$B$15,AF220*[1]KPI_Weights!$B$16,AG220*[1]KPI_Weights!$B$17,AH220*[1]KPI_Weights!$B$18))/5)</f>
        <v/>
      </c>
      <c r="AL220" s="60" t="str">
        <f>IF(COUNTA(T220:AH220)=0,"",IF(OR(T220&lt;=1,W220&lt;=1,X220&lt;=1,Y220&lt;=1,AB220&lt;=1),"YES","NO"))</f>
        <v/>
      </c>
      <c r="AM220" s="60" t="str">
        <f>IF(AJ220="","",IF(AND(AL220="NO",AJ220&gt;=0.75),"YES","NO"))</f>
        <v/>
      </c>
      <c r="AN220" s="60" t="str">
        <f>IF(AJ220="","",IF(AJ220&lt;0.4,"Critical",IF(AJ220&lt;0.6,"Poor",IF(AJ220&lt;0.75,"Needs Improvement",IF(AJ220&lt;0.9,"Good","Excellent")))))</f>
        <v/>
      </c>
      <c r="AO220" s="59"/>
      <c r="AP220" s="59"/>
      <c r="AQ220" s="59"/>
      <c r="AR220" s="59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</row>
    <row r="221" spans="1:54" ht="19.5" customHeight="1" x14ac:dyDescent="0.25">
      <c r="A221" s="60" t="str">
        <f>IF($B221="","",TEXT($B221,"yyyymmdd")&amp;"-"&amp;SUBSTITUTE($F221," ","")&amp;"-"&amp;TEXT(COUNTIF($F$4:F221,$F221),"00"))</f>
        <v/>
      </c>
      <c r="B221" s="65"/>
      <c r="C221" s="60" t="str">
        <f>IF($B221="","",WEEKNUM($B221,2))</f>
        <v/>
      </c>
      <c r="D221" s="60" t="str">
        <f>IF($B221="","",TEXT($B221,"yyyy-mm"))</f>
        <v/>
      </c>
      <c r="E221" s="64"/>
      <c r="F221" s="64"/>
      <c r="G221" s="60" t="str">
        <f>IF(OR($E221="",$F221=""),"",IFERROR(IF($E221=INDEX([1]Cluster_Master!$A$4:$A$18,MATCH($F221,[1]Cluster_Master!$B$4:$B$18,0)),"OK","CHECK"),"CHECK"))</f>
        <v/>
      </c>
      <c r="H221" s="63" t="str">
        <f>IFERROR(INDEX([1]Cluster_Master!$C$4:$C$18,MATCH($F221,[1]Cluster_Master!$B$4:$B$18,0)),"")</f>
        <v/>
      </c>
      <c r="I221" s="60" t="str">
        <f>IFERROR(INDEX([1]Cluster_Master!$D$4:$D$18,MATCH($F221,[1]Cluster_Master!$B$4:$B$18,0)),"")</f>
        <v/>
      </c>
      <c r="J221" s="60" t="str">
        <f>IFERROR(INDEX([1]Cluster_Master!$E$4:$E$18,MATCH($F221,[1]Cluster_Master!$B$4:$B$18,0)),"")</f>
        <v/>
      </c>
      <c r="K221" s="60" t="str">
        <f>IFERROR(INDEX([1]Cluster_Master!$F$4:$F$18,MATCH($F221,[1]Cluster_Master!$B$4:$B$18,0)),"")</f>
        <v/>
      </c>
      <c r="L221" s="60" t="str">
        <f>IFERROR(INDEX([1]Cluster_Master!$G$4:$G$18,MATCH($F221,[1]Cluster_Master!$B$4:$B$18,0)),"")</f>
        <v/>
      </c>
      <c r="M221" s="60" t="str">
        <f>IFERROR(INDEX([1]Cluster_Master!$H$4:$H$18,MATCH($F221,[1]Cluster_Master!$B$4:$B$18,0)),"")</f>
        <v/>
      </c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60" t="str">
        <f>IF(COUNTA(T221:AH221)=0,"",SUM(T221:AH221))</f>
        <v/>
      </c>
      <c r="AJ221" s="61" t="str">
        <f>IF(COUNTA(T221:AH221)=0,"",AI221/75)</f>
        <v/>
      </c>
      <c r="AK221" s="61" t="str">
        <f>IF(COUNTA(T221:AH221)=0,"",(SUM(T221*[1]KPI_Weights!$B$4,U221*[1]KPI_Weights!$B$5,V221*[1]KPI_Weights!$B$6,W221*[1]KPI_Weights!$B$7,X221*[1]KPI_Weights!$B$8,Y221*[1]KPI_Weights!$B$9,Z221*[1]KPI_Weights!$B$10,AA221*[1]KPI_Weights!$B$11,AB221*[1]KPI_Weights!$B$12,AC221*[1]KPI_Weights!$B$13,AD221*[1]KPI_Weights!$B$14,AE221*[1]KPI_Weights!$B$15,AF221*[1]KPI_Weights!$B$16,AG221*[1]KPI_Weights!$B$17,AH221*[1]KPI_Weights!$B$18))/5)</f>
        <v/>
      </c>
      <c r="AL221" s="60" t="str">
        <f>IF(COUNTA(T221:AH221)=0,"",IF(OR(T221&lt;=1,W221&lt;=1,X221&lt;=1,Y221&lt;=1,AB221&lt;=1),"YES","NO"))</f>
        <v/>
      </c>
      <c r="AM221" s="60" t="str">
        <f>IF(AJ221="","",IF(AND(AL221="NO",AJ221&gt;=0.75),"YES","NO"))</f>
        <v/>
      </c>
      <c r="AN221" s="60" t="str">
        <f>IF(AJ221="","",IF(AJ221&lt;0.4,"Critical",IF(AJ221&lt;0.6,"Poor",IF(AJ221&lt;0.75,"Needs Improvement",IF(AJ221&lt;0.9,"Good","Excellent")))))</f>
        <v/>
      </c>
      <c r="AO221" s="59"/>
      <c r="AP221" s="59"/>
      <c r="AQ221" s="59"/>
      <c r="AR221" s="59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</row>
    <row r="222" spans="1:54" ht="19.5" customHeight="1" x14ac:dyDescent="0.25">
      <c r="A222" s="60" t="str">
        <f>IF($B222="","",TEXT($B222,"yyyymmdd")&amp;"-"&amp;SUBSTITUTE($F222," ","")&amp;"-"&amp;TEXT(COUNTIF($F$4:F222,$F222),"00"))</f>
        <v/>
      </c>
      <c r="B222" s="65"/>
      <c r="C222" s="60" t="str">
        <f>IF($B222="","",WEEKNUM($B222,2))</f>
        <v/>
      </c>
      <c r="D222" s="60" t="str">
        <f>IF($B222="","",TEXT($B222,"yyyy-mm"))</f>
        <v/>
      </c>
      <c r="E222" s="64"/>
      <c r="F222" s="64"/>
      <c r="G222" s="60" t="str">
        <f>IF(OR($E222="",$F222=""),"",IFERROR(IF($E222=INDEX([1]Cluster_Master!$A$4:$A$18,MATCH($F222,[1]Cluster_Master!$B$4:$B$18,0)),"OK","CHECK"),"CHECK"))</f>
        <v/>
      </c>
      <c r="H222" s="63" t="str">
        <f>IFERROR(INDEX([1]Cluster_Master!$C$4:$C$18,MATCH($F222,[1]Cluster_Master!$B$4:$B$18,0)),"")</f>
        <v/>
      </c>
      <c r="I222" s="60" t="str">
        <f>IFERROR(INDEX([1]Cluster_Master!$D$4:$D$18,MATCH($F222,[1]Cluster_Master!$B$4:$B$18,0)),"")</f>
        <v/>
      </c>
      <c r="J222" s="60" t="str">
        <f>IFERROR(INDEX([1]Cluster_Master!$E$4:$E$18,MATCH($F222,[1]Cluster_Master!$B$4:$B$18,0)),"")</f>
        <v/>
      </c>
      <c r="K222" s="60" t="str">
        <f>IFERROR(INDEX([1]Cluster_Master!$F$4:$F$18,MATCH($F222,[1]Cluster_Master!$B$4:$B$18,0)),"")</f>
        <v/>
      </c>
      <c r="L222" s="60" t="str">
        <f>IFERROR(INDEX([1]Cluster_Master!$G$4:$G$18,MATCH($F222,[1]Cluster_Master!$B$4:$B$18,0)),"")</f>
        <v/>
      </c>
      <c r="M222" s="60" t="str">
        <f>IFERROR(INDEX([1]Cluster_Master!$H$4:$H$18,MATCH($F222,[1]Cluster_Master!$B$4:$B$18,0)),"")</f>
        <v/>
      </c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60" t="str">
        <f>IF(COUNTA(T222:AH222)=0,"",SUM(T222:AH222))</f>
        <v/>
      </c>
      <c r="AJ222" s="61" t="str">
        <f>IF(COUNTA(T222:AH222)=0,"",AI222/75)</f>
        <v/>
      </c>
      <c r="AK222" s="61" t="str">
        <f>IF(COUNTA(T222:AH222)=0,"",(SUM(T222*[1]KPI_Weights!$B$4,U222*[1]KPI_Weights!$B$5,V222*[1]KPI_Weights!$B$6,W222*[1]KPI_Weights!$B$7,X222*[1]KPI_Weights!$B$8,Y222*[1]KPI_Weights!$B$9,Z222*[1]KPI_Weights!$B$10,AA222*[1]KPI_Weights!$B$11,AB222*[1]KPI_Weights!$B$12,AC222*[1]KPI_Weights!$B$13,AD222*[1]KPI_Weights!$B$14,AE222*[1]KPI_Weights!$B$15,AF222*[1]KPI_Weights!$B$16,AG222*[1]KPI_Weights!$B$17,AH222*[1]KPI_Weights!$B$18))/5)</f>
        <v/>
      </c>
      <c r="AL222" s="60" t="str">
        <f>IF(COUNTA(T222:AH222)=0,"",IF(OR(T222&lt;=1,W222&lt;=1,X222&lt;=1,Y222&lt;=1,AB222&lt;=1),"YES","NO"))</f>
        <v/>
      </c>
      <c r="AM222" s="60" t="str">
        <f>IF(AJ222="","",IF(AND(AL222="NO",AJ222&gt;=0.75),"YES","NO"))</f>
        <v/>
      </c>
      <c r="AN222" s="60" t="str">
        <f>IF(AJ222="","",IF(AJ222&lt;0.4,"Critical",IF(AJ222&lt;0.6,"Poor",IF(AJ222&lt;0.75,"Needs Improvement",IF(AJ222&lt;0.9,"Good","Excellent")))))</f>
        <v/>
      </c>
      <c r="AO222" s="59"/>
      <c r="AP222" s="59"/>
      <c r="AQ222" s="59"/>
      <c r="AR222" s="59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</row>
    <row r="223" spans="1:54" ht="19.5" customHeight="1" x14ac:dyDescent="0.25">
      <c r="A223" s="60" t="str">
        <f>IF($B223="","",TEXT($B223,"yyyymmdd")&amp;"-"&amp;SUBSTITUTE($F223," ","")&amp;"-"&amp;TEXT(COUNTIF($F$4:F223,$F223),"00"))</f>
        <v/>
      </c>
      <c r="B223" s="65"/>
      <c r="C223" s="60" t="str">
        <f>IF($B223="","",WEEKNUM($B223,2))</f>
        <v/>
      </c>
      <c r="D223" s="60" t="str">
        <f>IF($B223="","",TEXT($B223,"yyyy-mm"))</f>
        <v/>
      </c>
      <c r="E223" s="64"/>
      <c r="F223" s="64"/>
      <c r="G223" s="60" t="str">
        <f>IF(OR($E223="",$F223=""),"",IFERROR(IF($E223=INDEX([1]Cluster_Master!$A$4:$A$18,MATCH($F223,[1]Cluster_Master!$B$4:$B$18,0)),"OK","CHECK"),"CHECK"))</f>
        <v/>
      </c>
      <c r="H223" s="63" t="str">
        <f>IFERROR(INDEX([1]Cluster_Master!$C$4:$C$18,MATCH($F223,[1]Cluster_Master!$B$4:$B$18,0)),"")</f>
        <v/>
      </c>
      <c r="I223" s="60" t="str">
        <f>IFERROR(INDEX([1]Cluster_Master!$D$4:$D$18,MATCH($F223,[1]Cluster_Master!$B$4:$B$18,0)),"")</f>
        <v/>
      </c>
      <c r="J223" s="60" t="str">
        <f>IFERROR(INDEX([1]Cluster_Master!$E$4:$E$18,MATCH($F223,[1]Cluster_Master!$B$4:$B$18,0)),"")</f>
        <v/>
      </c>
      <c r="K223" s="60" t="str">
        <f>IFERROR(INDEX([1]Cluster_Master!$F$4:$F$18,MATCH($F223,[1]Cluster_Master!$B$4:$B$18,0)),"")</f>
        <v/>
      </c>
      <c r="L223" s="60" t="str">
        <f>IFERROR(INDEX([1]Cluster_Master!$G$4:$G$18,MATCH($F223,[1]Cluster_Master!$B$4:$B$18,0)),"")</f>
        <v/>
      </c>
      <c r="M223" s="60" t="str">
        <f>IFERROR(INDEX([1]Cluster_Master!$H$4:$H$18,MATCH($F223,[1]Cluster_Master!$B$4:$B$18,0)),"")</f>
        <v/>
      </c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60" t="str">
        <f>IF(COUNTA(T223:AH223)=0,"",SUM(T223:AH223))</f>
        <v/>
      </c>
      <c r="AJ223" s="61" t="str">
        <f>IF(COUNTA(T223:AH223)=0,"",AI223/75)</f>
        <v/>
      </c>
      <c r="AK223" s="61" t="str">
        <f>IF(COUNTA(T223:AH223)=0,"",(SUM(T223*[1]KPI_Weights!$B$4,U223*[1]KPI_Weights!$B$5,V223*[1]KPI_Weights!$B$6,W223*[1]KPI_Weights!$B$7,X223*[1]KPI_Weights!$B$8,Y223*[1]KPI_Weights!$B$9,Z223*[1]KPI_Weights!$B$10,AA223*[1]KPI_Weights!$B$11,AB223*[1]KPI_Weights!$B$12,AC223*[1]KPI_Weights!$B$13,AD223*[1]KPI_Weights!$B$14,AE223*[1]KPI_Weights!$B$15,AF223*[1]KPI_Weights!$B$16,AG223*[1]KPI_Weights!$B$17,AH223*[1]KPI_Weights!$B$18))/5)</f>
        <v/>
      </c>
      <c r="AL223" s="60" t="str">
        <f>IF(COUNTA(T223:AH223)=0,"",IF(OR(T223&lt;=1,W223&lt;=1,X223&lt;=1,Y223&lt;=1,AB223&lt;=1),"YES","NO"))</f>
        <v/>
      </c>
      <c r="AM223" s="60" t="str">
        <f>IF(AJ223="","",IF(AND(AL223="NO",AJ223&gt;=0.75),"YES","NO"))</f>
        <v/>
      </c>
      <c r="AN223" s="60" t="str">
        <f>IF(AJ223="","",IF(AJ223&lt;0.4,"Critical",IF(AJ223&lt;0.6,"Poor",IF(AJ223&lt;0.75,"Needs Improvement",IF(AJ223&lt;0.9,"Good","Excellent")))))</f>
        <v/>
      </c>
      <c r="AO223" s="59"/>
      <c r="AP223" s="59"/>
      <c r="AQ223" s="59"/>
      <c r="AR223" s="59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</row>
    <row r="224" spans="1:54" ht="19.5" customHeight="1" x14ac:dyDescent="0.25">
      <c r="A224" s="60" t="str">
        <f>IF($B224="","",TEXT($B224,"yyyymmdd")&amp;"-"&amp;SUBSTITUTE($F224," ","")&amp;"-"&amp;TEXT(COUNTIF($F$4:F224,$F224),"00"))</f>
        <v/>
      </c>
      <c r="B224" s="65"/>
      <c r="C224" s="60" t="str">
        <f>IF($B224="","",WEEKNUM($B224,2))</f>
        <v/>
      </c>
      <c r="D224" s="60" t="str">
        <f>IF($B224="","",TEXT($B224,"yyyy-mm"))</f>
        <v/>
      </c>
      <c r="E224" s="64"/>
      <c r="F224" s="64"/>
      <c r="G224" s="60" t="str">
        <f>IF(OR($E224="",$F224=""),"",IFERROR(IF($E224=INDEX([1]Cluster_Master!$A$4:$A$18,MATCH($F224,[1]Cluster_Master!$B$4:$B$18,0)),"OK","CHECK"),"CHECK"))</f>
        <v/>
      </c>
      <c r="H224" s="63" t="str">
        <f>IFERROR(INDEX([1]Cluster_Master!$C$4:$C$18,MATCH($F224,[1]Cluster_Master!$B$4:$B$18,0)),"")</f>
        <v/>
      </c>
      <c r="I224" s="60" t="str">
        <f>IFERROR(INDEX([1]Cluster_Master!$D$4:$D$18,MATCH($F224,[1]Cluster_Master!$B$4:$B$18,0)),"")</f>
        <v/>
      </c>
      <c r="J224" s="60" t="str">
        <f>IFERROR(INDEX([1]Cluster_Master!$E$4:$E$18,MATCH($F224,[1]Cluster_Master!$B$4:$B$18,0)),"")</f>
        <v/>
      </c>
      <c r="K224" s="60" t="str">
        <f>IFERROR(INDEX([1]Cluster_Master!$F$4:$F$18,MATCH($F224,[1]Cluster_Master!$B$4:$B$18,0)),"")</f>
        <v/>
      </c>
      <c r="L224" s="60" t="str">
        <f>IFERROR(INDEX([1]Cluster_Master!$G$4:$G$18,MATCH($F224,[1]Cluster_Master!$B$4:$B$18,0)),"")</f>
        <v/>
      </c>
      <c r="M224" s="60" t="str">
        <f>IFERROR(INDEX([1]Cluster_Master!$H$4:$H$18,MATCH($F224,[1]Cluster_Master!$B$4:$B$18,0)),"")</f>
        <v/>
      </c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60" t="str">
        <f>IF(COUNTA(T224:AH224)=0,"",SUM(T224:AH224))</f>
        <v/>
      </c>
      <c r="AJ224" s="61" t="str">
        <f>IF(COUNTA(T224:AH224)=0,"",AI224/75)</f>
        <v/>
      </c>
      <c r="AK224" s="61" t="str">
        <f>IF(COUNTA(T224:AH224)=0,"",(SUM(T224*[1]KPI_Weights!$B$4,U224*[1]KPI_Weights!$B$5,V224*[1]KPI_Weights!$B$6,W224*[1]KPI_Weights!$B$7,X224*[1]KPI_Weights!$B$8,Y224*[1]KPI_Weights!$B$9,Z224*[1]KPI_Weights!$B$10,AA224*[1]KPI_Weights!$B$11,AB224*[1]KPI_Weights!$B$12,AC224*[1]KPI_Weights!$B$13,AD224*[1]KPI_Weights!$B$14,AE224*[1]KPI_Weights!$B$15,AF224*[1]KPI_Weights!$B$16,AG224*[1]KPI_Weights!$B$17,AH224*[1]KPI_Weights!$B$18))/5)</f>
        <v/>
      </c>
      <c r="AL224" s="60" t="str">
        <f>IF(COUNTA(T224:AH224)=0,"",IF(OR(T224&lt;=1,W224&lt;=1,X224&lt;=1,Y224&lt;=1,AB224&lt;=1),"YES","NO"))</f>
        <v/>
      </c>
      <c r="AM224" s="60" t="str">
        <f>IF(AJ224="","",IF(AND(AL224="NO",AJ224&gt;=0.75),"YES","NO"))</f>
        <v/>
      </c>
      <c r="AN224" s="60" t="str">
        <f>IF(AJ224="","",IF(AJ224&lt;0.4,"Critical",IF(AJ224&lt;0.6,"Poor",IF(AJ224&lt;0.75,"Needs Improvement",IF(AJ224&lt;0.9,"Good","Excellent")))))</f>
        <v/>
      </c>
      <c r="AO224" s="59"/>
      <c r="AP224" s="59"/>
      <c r="AQ224" s="59"/>
      <c r="AR224" s="59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</row>
    <row r="225" spans="1:54" ht="19.5" customHeight="1" x14ac:dyDescent="0.25">
      <c r="A225" s="60" t="str">
        <f>IF($B225="","",TEXT($B225,"yyyymmdd")&amp;"-"&amp;SUBSTITUTE($F225," ","")&amp;"-"&amp;TEXT(COUNTIF($F$4:F225,$F225),"00"))</f>
        <v/>
      </c>
      <c r="B225" s="65"/>
      <c r="C225" s="60" t="str">
        <f>IF($B225="","",WEEKNUM($B225,2))</f>
        <v/>
      </c>
      <c r="D225" s="60" t="str">
        <f>IF($B225="","",TEXT($B225,"yyyy-mm"))</f>
        <v/>
      </c>
      <c r="E225" s="64"/>
      <c r="F225" s="64"/>
      <c r="G225" s="60" t="str">
        <f>IF(OR($E225="",$F225=""),"",IFERROR(IF($E225=INDEX([1]Cluster_Master!$A$4:$A$18,MATCH($F225,[1]Cluster_Master!$B$4:$B$18,0)),"OK","CHECK"),"CHECK"))</f>
        <v/>
      </c>
      <c r="H225" s="63" t="str">
        <f>IFERROR(INDEX([1]Cluster_Master!$C$4:$C$18,MATCH($F225,[1]Cluster_Master!$B$4:$B$18,0)),"")</f>
        <v/>
      </c>
      <c r="I225" s="60" t="str">
        <f>IFERROR(INDEX([1]Cluster_Master!$D$4:$D$18,MATCH($F225,[1]Cluster_Master!$B$4:$B$18,0)),"")</f>
        <v/>
      </c>
      <c r="J225" s="60" t="str">
        <f>IFERROR(INDEX([1]Cluster_Master!$E$4:$E$18,MATCH($F225,[1]Cluster_Master!$B$4:$B$18,0)),"")</f>
        <v/>
      </c>
      <c r="K225" s="60" t="str">
        <f>IFERROR(INDEX([1]Cluster_Master!$F$4:$F$18,MATCH($F225,[1]Cluster_Master!$B$4:$B$18,0)),"")</f>
        <v/>
      </c>
      <c r="L225" s="60" t="str">
        <f>IFERROR(INDEX([1]Cluster_Master!$G$4:$G$18,MATCH($F225,[1]Cluster_Master!$B$4:$B$18,0)),"")</f>
        <v/>
      </c>
      <c r="M225" s="60" t="str">
        <f>IFERROR(INDEX([1]Cluster_Master!$H$4:$H$18,MATCH($F225,[1]Cluster_Master!$B$4:$B$18,0)),"")</f>
        <v/>
      </c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60" t="str">
        <f>IF(COUNTA(T225:AH225)=0,"",SUM(T225:AH225))</f>
        <v/>
      </c>
      <c r="AJ225" s="61" t="str">
        <f>IF(COUNTA(T225:AH225)=0,"",AI225/75)</f>
        <v/>
      </c>
      <c r="AK225" s="61" t="str">
        <f>IF(COUNTA(T225:AH225)=0,"",(SUM(T225*[1]KPI_Weights!$B$4,U225*[1]KPI_Weights!$B$5,V225*[1]KPI_Weights!$B$6,W225*[1]KPI_Weights!$B$7,X225*[1]KPI_Weights!$B$8,Y225*[1]KPI_Weights!$B$9,Z225*[1]KPI_Weights!$B$10,AA225*[1]KPI_Weights!$B$11,AB225*[1]KPI_Weights!$B$12,AC225*[1]KPI_Weights!$B$13,AD225*[1]KPI_Weights!$B$14,AE225*[1]KPI_Weights!$B$15,AF225*[1]KPI_Weights!$B$16,AG225*[1]KPI_Weights!$B$17,AH225*[1]KPI_Weights!$B$18))/5)</f>
        <v/>
      </c>
      <c r="AL225" s="60" t="str">
        <f>IF(COUNTA(T225:AH225)=0,"",IF(OR(T225&lt;=1,W225&lt;=1,X225&lt;=1,Y225&lt;=1,AB225&lt;=1),"YES","NO"))</f>
        <v/>
      </c>
      <c r="AM225" s="60" t="str">
        <f>IF(AJ225="","",IF(AND(AL225="NO",AJ225&gt;=0.75),"YES","NO"))</f>
        <v/>
      </c>
      <c r="AN225" s="60" t="str">
        <f>IF(AJ225="","",IF(AJ225&lt;0.4,"Critical",IF(AJ225&lt;0.6,"Poor",IF(AJ225&lt;0.75,"Needs Improvement",IF(AJ225&lt;0.9,"Good","Excellent")))))</f>
        <v/>
      </c>
      <c r="AO225" s="59"/>
      <c r="AP225" s="59"/>
      <c r="AQ225" s="59"/>
      <c r="AR225" s="59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</row>
    <row r="226" spans="1:54" ht="19.5" customHeight="1" x14ac:dyDescent="0.25">
      <c r="A226" s="60" t="str">
        <f>IF($B226="","",TEXT($B226,"yyyymmdd")&amp;"-"&amp;SUBSTITUTE($F226," ","")&amp;"-"&amp;TEXT(COUNTIF($F$4:F226,$F226),"00"))</f>
        <v/>
      </c>
      <c r="B226" s="65"/>
      <c r="C226" s="60" t="str">
        <f>IF($B226="","",WEEKNUM($B226,2))</f>
        <v/>
      </c>
      <c r="D226" s="60" t="str">
        <f>IF($B226="","",TEXT($B226,"yyyy-mm"))</f>
        <v/>
      </c>
      <c r="E226" s="64"/>
      <c r="F226" s="64"/>
      <c r="G226" s="60" t="str">
        <f>IF(OR($E226="",$F226=""),"",IFERROR(IF($E226=INDEX([1]Cluster_Master!$A$4:$A$18,MATCH($F226,[1]Cluster_Master!$B$4:$B$18,0)),"OK","CHECK"),"CHECK"))</f>
        <v/>
      </c>
      <c r="H226" s="63" t="str">
        <f>IFERROR(INDEX([1]Cluster_Master!$C$4:$C$18,MATCH($F226,[1]Cluster_Master!$B$4:$B$18,0)),"")</f>
        <v/>
      </c>
      <c r="I226" s="60" t="str">
        <f>IFERROR(INDEX([1]Cluster_Master!$D$4:$D$18,MATCH($F226,[1]Cluster_Master!$B$4:$B$18,0)),"")</f>
        <v/>
      </c>
      <c r="J226" s="60" t="str">
        <f>IFERROR(INDEX([1]Cluster_Master!$E$4:$E$18,MATCH($F226,[1]Cluster_Master!$B$4:$B$18,0)),"")</f>
        <v/>
      </c>
      <c r="K226" s="60" t="str">
        <f>IFERROR(INDEX([1]Cluster_Master!$F$4:$F$18,MATCH($F226,[1]Cluster_Master!$B$4:$B$18,0)),"")</f>
        <v/>
      </c>
      <c r="L226" s="60" t="str">
        <f>IFERROR(INDEX([1]Cluster_Master!$G$4:$G$18,MATCH($F226,[1]Cluster_Master!$B$4:$B$18,0)),"")</f>
        <v/>
      </c>
      <c r="M226" s="60" t="str">
        <f>IFERROR(INDEX([1]Cluster_Master!$H$4:$H$18,MATCH($F226,[1]Cluster_Master!$B$4:$B$18,0)),"")</f>
        <v/>
      </c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60" t="str">
        <f>IF(COUNTA(T226:AH226)=0,"",SUM(T226:AH226))</f>
        <v/>
      </c>
      <c r="AJ226" s="61" t="str">
        <f>IF(COUNTA(T226:AH226)=0,"",AI226/75)</f>
        <v/>
      </c>
      <c r="AK226" s="61" t="str">
        <f>IF(COUNTA(T226:AH226)=0,"",(SUM(T226*[1]KPI_Weights!$B$4,U226*[1]KPI_Weights!$B$5,V226*[1]KPI_Weights!$B$6,W226*[1]KPI_Weights!$B$7,X226*[1]KPI_Weights!$B$8,Y226*[1]KPI_Weights!$B$9,Z226*[1]KPI_Weights!$B$10,AA226*[1]KPI_Weights!$B$11,AB226*[1]KPI_Weights!$B$12,AC226*[1]KPI_Weights!$B$13,AD226*[1]KPI_Weights!$B$14,AE226*[1]KPI_Weights!$B$15,AF226*[1]KPI_Weights!$B$16,AG226*[1]KPI_Weights!$B$17,AH226*[1]KPI_Weights!$B$18))/5)</f>
        <v/>
      </c>
      <c r="AL226" s="60" t="str">
        <f>IF(COUNTA(T226:AH226)=0,"",IF(OR(T226&lt;=1,W226&lt;=1,X226&lt;=1,Y226&lt;=1,AB226&lt;=1),"YES","NO"))</f>
        <v/>
      </c>
      <c r="AM226" s="60" t="str">
        <f>IF(AJ226="","",IF(AND(AL226="NO",AJ226&gt;=0.75),"YES","NO"))</f>
        <v/>
      </c>
      <c r="AN226" s="60" t="str">
        <f>IF(AJ226="","",IF(AJ226&lt;0.4,"Critical",IF(AJ226&lt;0.6,"Poor",IF(AJ226&lt;0.75,"Needs Improvement",IF(AJ226&lt;0.9,"Good","Excellent")))))</f>
        <v/>
      </c>
      <c r="AO226" s="59"/>
      <c r="AP226" s="59"/>
      <c r="AQ226" s="59"/>
      <c r="AR226" s="59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</row>
    <row r="227" spans="1:54" ht="19.5" customHeight="1" x14ac:dyDescent="0.25">
      <c r="A227" s="60" t="str">
        <f>IF($B227="","",TEXT($B227,"yyyymmdd")&amp;"-"&amp;SUBSTITUTE($F227," ","")&amp;"-"&amp;TEXT(COUNTIF($F$4:F227,$F227),"00"))</f>
        <v/>
      </c>
      <c r="B227" s="65"/>
      <c r="C227" s="60" t="str">
        <f>IF($B227="","",WEEKNUM($B227,2))</f>
        <v/>
      </c>
      <c r="D227" s="60" t="str">
        <f>IF($B227="","",TEXT($B227,"yyyy-mm"))</f>
        <v/>
      </c>
      <c r="E227" s="64"/>
      <c r="F227" s="64"/>
      <c r="G227" s="60" t="str">
        <f>IF(OR($E227="",$F227=""),"",IFERROR(IF($E227=INDEX([1]Cluster_Master!$A$4:$A$18,MATCH($F227,[1]Cluster_Master!$B$4:$B$18,0)),"OK","CHECK"),"CHECK"))</f>
        <v/>
      </c>
      <c r="H227" s="63" t="str">
        <f>IFERROR(INDEX([1]Cluster_Master!$C$4:$C$18,MATCH($F227,[1]Cluster_Master!$B$4:$B$18,0)),"")</f>
        <v/>
      </c>
      <c r="I227" s="60" t="str">
        <f>IFERROR(INDEX([1]Cluster_Master!$D$4:$D$18,MATCH($F227,[1]Cluster_Master!$B$4:$B$18,0)),"")</f>
        <v/>
      </c>
      <c r="J227" s="60" t="str">
        <f>IFERROR(INDEX([1]Cluster_Master!$E$4:$E$18,MATCH($F227,[1]Cluster_Master!$B$4:$B$18,0)),"")</f>
        <v/>
      </c>
      <c r="K227" s="60" t="str">
        <f>IFERROR(INDEX([1]Cluster_Master!$F$4:$F$18,MATCH($F227,[1]Cluster_Master!$B$4:$B$18,0)),"")</f>
        <v/>
      </c>
      <c r="L227" s="60" t="str">
        <f>IFERROR(INDEX([1]Cluster_Master!$G$4:$G$18,MATCH($F227,[1]Cluster_Master!$B$4:$B$18,0)),"")</f>
        <v/>
      </c>
      <c r="M227" s="60" t="str">
        <f>IFERROR(INDEX([1]Cluster_Master!$H$4:$H$18,MATCH($F227,[1]Cluster_Master!$B$4:$B$18,0)),"")</f>
        <v/>
      </c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60" t="str">
        <f>IF(COUNTA(T227:AH227)=0,"",SUM(T227:AH227))</f>
        <v/>
      </c>
      <c r="AJ227" s="61" t="str">
        <f>IF(COUNTA(T227:AH227)=0,"",AI227/75)</f>
        <v/>
      </c>
      <c r="AK227" s="61" t="str">
        <f>IF(COUNTA(T227:AH227)=0,"",(SUM(T227*[1]KPI_Weights!$B$4,U227*[1]KPI_Weights!$B$5,V227*[1]KPI_Weights!$B$6,W227*[1]KPI_Weights!$B$7,X227*[1]KPI_Weights!$B$8,Y227*[1]KPI_Weights!$B$9,Z227*[1]KPI_Weights!$B$10,AA227*[1]KPI_Weights!$B$11,AB227*[1]KPI_Weights!$B$12,AC227*[1]KPI_Weights!$B$13,AD227*[1]KPI_Weights!$B$14,AE227*[1]KPI_Weights!$B$15,AF227*[1]KPI_Weights!$B$16,AG227*[1]KPI_Weights!$B$17,AH227*[1]KPI_Weights!$B$18))/5)</f>
        <v/>
      </c>
      <c r="AL227" s="60" t="str">
        <f>IF(COUNTA(T227:AH227)=0,"",IF(OR(T227&lt;=1,W227&lt;=1,X227&lt;=1,Y227&lt;=1,AB227&lt;=1),"YES","NO"))</f>
        <v/>
      </c>
      <c r="AM227" s="60" t="str">
        <f>IF(AJ227="","",IF(AND(AL227="NO",AJ227&gt;=0.75),"YES","NO"))</f>
        <v/>
      </c>
      <c r="AN227" s="60" t="str">
        <f>IF(AJ227="","",IF(AJ227&lt;0.4,"Critical",IF(AJ227&lt;0.6,"Poor",IF(AJ227&lt;0.75,"Needs Improvement",IF(AJ227&lt;0.9,"Good","Excellent")))))</f>
        <v/>
      </c>
      <c r="AO227" s="59"/>
      <c r="AP227" s="59"/>
      <c r="AQ227" s="59"/>
      <c r="AR227" s="59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</row>
    <row r="228" spans="1:54" ht="19.5" customHeight="1" x14ac:dyDescent="0.25">
      <c r="A228" s="60" t="str">
        <f>IF($B228="","",TEXT($B228,"yyyymmdd")&amp;"-"&amp;SUBSTITUTE($F228," ","")&amp;"-"&amp;TEXT(COUNTIF($F$4:F228,$F228),"00"))</f>
        <v/>
      </c>
      <c r="B228" s="65"/>
      <c r="C228" s="60" t="str">
        <f>IF($B228="","",WEEKNUM($B228,2))</f>
        <v/>
      </c>
      <c r="D228" s="60" t="str">
        <f>IF($B228="","",TEXT($B228,"yyyy-mm"))</f>
        <v/>
      </c>
      <c r="E228" s="64"/>
      <c r="F228" s="64"/>
      <c r="G228" s="60" t="str">
        <f>IF(OR($E228="",$F228=""),"",IFERROR(IF($E228=INDEX([1]Cluster_Master!$A$4:$A$18,MATCH($F228,[1]Cluster_Master!$B$4:$B$18,0)),"OK","CHECK"),"CHECK"))</f>
        <v/>
      </c>
      <c r="H228" s="63" t="str">
        <f>IFERROR(INDEX([1]Cluster_Master!$C$4:$C$18,MATCH($F228,[1]Cluster_Master!$B$4:$B$18,0)),"")</f>
        <v/>
      </c>
      <c r="I228" s="60" t="str">
        <f>IFERROR(INDEX([1]Cluster_Master!$D$4:$D$18,MATCH($F228,[1]Cluster_Master!$B$4:$B$18,0)),"")</f>
        <v/>
      </c>
      <c r="J228" s="60" t="str">
        <f>IFERROR(INDEX([1]Cluster_Master!$E$4:$E$18,MATCH($F228,[1]Cluster_Master!$B$4:$B$18,0)),"")</f>
        <v/>
      </c>
      <c r="K228" s="60" t="str">
        <f>IFERROR(INDEX([1]Cluster_Master!$F$4:$F$18,MATCH($F228,[1]Cluster_Master!$B$4:$B$18,0)),"")</f>
        <v/>
      </c>
      <c r="L228" s="60" t="str">
        <f>IFERROR(INDEX([1]Cluster_Master!$G$4:$G$18,MATCH($F228,[1]Cluster_Master!$B$4:$B$18,0)),"")</f>
        <v/>
      </c>
      <c r="M228" s="60" t="str">
        <f>IFERROR(INDEX([1]Cluster_Master!$H$4:$H$18,MATCH($F228,[1]Cluster_Master!$B$4:$B$18,0)),"")</f>
        <v/>
      </c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60" t="str">
        <f>IF(COUNTA(T228:AH228)=0,"",SUM(T228:AH228))</f>
        <v/>
      </c>
      <c r="AJ228" s="61" t="str">
        <f>IF(COUNTA(T228:AH228)=0,"",AI228/75)</f>
        <v/>
      </c>
      <c r="AK228" s="61" t="str">
        <f>IF(COUNTA(T228:AH228)=0,"",(SUM(T228*[1]KPI_Weights!$B$4,U228*[1]KPI_Weights!$B$5,V228*[1]KPI_Weights!$B$6,W228*[1]KPI_Weights!$B$7,X228*[1]KPI_Weights!$B$8,Y228*[1]KPI_Weights!$B$9,Z228*[1]KPI_Weights!$B$10,AA228*[1]KPI_Weights!$B$11,AB228*[1]KPI_Weights!$B$12,AC228*[1]KPI_Weights!$B$13,AD228*[1]KPI_Weights!$B$14,AE228*[1]KPI_Weights!$B$15,AF228*[1]KPI_Weights!$B$16,AG228*[1]KPI_Weights!$B$17,AH228*[1]KPI_Weights!$B$18))/5)</f>
        <v/>
      </c>
      <c r="AL228" s="60" t="str">
        <f>IF(COUNTA(T228:AH228)=0,"",IF(OR(T228&lt;=1,W228&lt;=1,X228&lt;=1,Y228&lt;=1,AB228&lt;=1),"YES","NO"))</f>
        <v/>
      </c>
      <c r="AM228" s="60" t="str">
        <f>IF(AJ228="","",IF(AND(AL228="NO",AJ228&gt;=0.75),"YES","NO"))</f>
        <v/>
      </c>
      <c r="AN228" s="60" t="str">
        <f>IF(AJ228="","",IF(AJ228&lt;0.4,"Critical",IF(AJ228&lt;0.6,"Poor",IF(AJ228&lt;0.75,"Needs Improvement",IF(AJ228&lt;0.9,"Good","Excellent")))))</f>
        <v/>
      </c>
      <c r="AO228" s="59"/>
      <c r="AP228" s="59"/>
      <c r="AQ228" s="59"/>
      <c r="AR228" s="59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</row>
    <row r="229" spans="1:54" ht="19.5" customHeight="1" x14ac:dyDescent="0.25">
      <c r="A229" s="60" t="str">
        <f>IF($B229="","",TEXT($B229,"yyyymmdd")&amp;"-"&amp;SUBSTITUTE($F229," ","")&amp;"-"&amp;TEXT(COUNTIF($F$4:F229,$F229),"00"))</f>
        <v/>
      </c>
      <c r="B229" s="65"/>
      <c r="C229" s="60" t="str">
        <f>IF($B229="","",WEEKNUM($B229,2))</f>
        <v/>
      </c>
      <c r="D229" s="60" t="str">
        <f>IF($B229="","",TEXT($B229,"yyyy-mm"))</f>
        <v/>
      </c>
      <c r="E229" s="64"/>
      <c r="F229" s="64"/>
      <c r="G229" s="60" t="str">
        <f>IF(OR($E229="",$F229=""),"",IFERROR(IF($E229=INDEX([1]Cluster_Master!$A$4:$A$18,MATCH($F229,[1]Cluster_Master!$B$4:$B$18,0)),"OK","CHECK"),"CHECK"))</f>
        <v/>
      </c>
      <c r="H229" s="63" t="str">
        <f>IFERROR(INDEX([1]Cluster_Master!$C$4:$C$18,MATCH($F229,[1]Cluster_Master!$B$4:$B$18,0)),"")</f>
        <v/>
      </c>
      <c r="I229" s="60" t="str">
        <f>IFERROR(INDEX([1]Cluster_Master!$D$4:$D$18,MATCH($F229,[1]Cluster_Master!$B$4:$B$18,0)),"")</f>
        <v/>
      </c>
      <c r="J229" s="60" t="str">
        <f>IFERROR(INDEX([1]Cluster_Master!$E$4:$E$18,MATCH($F229,[1]Cluster_Master!$B$4:$B$18,0)),"")</f>
        <v/>
      </c>
      <c r="K229" s="60" t="str">
        <f>IFERROR(INDEX([1]Cluster_Master!$F$4:$F$18,MATCH($F229,[1]Cluster_Master!$B$4:$B$18,0)),"")</f>
        <v/>
      </c>
      <c r="L229" s="60" t="str">
        <f>IFERROR(INDEX([1]Cluster_Master!$G$4:$G$18,MATCH($F229,[1]Cluster_Master!$B$4:$B$18,0)),"")</f>
        <v/>
      </c>
      <c r="M229" s="60" t="str">
        <f>IFERROR(INDEX([1]Cluster_Master!$H$4:$H$18,MATCH($F229,[1]Cluster_Master!$B$4:$B$18,0)),"")</f>
        <v/>
      </c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60" t="str">
        <f>IF(COUNTA(T229:AH229)=0,"",SUM(T229:AH229))</f>
        <v/>
      </c>
      <c r="AJ229" s="61" t="str">
        <f>IF(COUNTA(T229:AH229)=0,"",AI229/75)</f>
        <v/>
      </c>
      <c r="AK229" s="61" t="str">
        <f>IF(COUNTA(T229:AH229)=0,"",(SUM(T229*[1]KPI_Weights!$B$4,U229*[1]KPI_Weights!$B$5,V229*[1]KPI_Weights!$B$6,W229*[1]KPI_Weights!$B$7,X229*[1]KPI_Weights!$B$8,Y229*[1]KPI_Weights!$B$9,Z229*[1]KPI_Weights!$B$10,AA229*[1]KPI_Weights!$B$11,AB229*[1]KPI_Weights!$B$12,AC229*[1]KPI_Weights!$B$13,AD229*[1]KPI_Weights!$B$14,AE229*[1]KPI_Weights!$B$15,AF229*[1]KPI_Weights!$B$16,AG229*[1]KPI_Weights!$B$17,AH229*[1]KPI_Weights!$B$18))/5)</f>
        <v/>
      </c>
      <c r="AL229" s="60" t="str">
        <f>IF(COUNTA(T229:AH229)=0,"",IF(OR(T229&lt;=1,W229&lt;=1,X229&lt;=1,Y229&lt;=1,AB229&lt;=1),"YES","NO"))</f>
        <v/>
      </c>
      <c r="AM229" s="60" t="str">
        <f>IF(AJ229="","",IF(AND(AL229="NO",AJ229&gt;=0.75),"YES","NO"))</f>
        <v/>
      </c>
      <c r="AN229" s="60" t="str">
        <f>IF(AJ229="","",IF(AJ229&lt;0.4,"Critical",IF(AJ229&lt;0.6,"Poor",IF(AJ229&lt;0.75,"Needs Improvement",IF(AJ229&lt;0.9,"Good","Excellent")))))</f>
        <v/>
      </c>
      <c r="AO229" s="59"/>
      <c r="AP229" s="59"/>
      <c r="AQ229" s="59"/>
      <c r="AR229" s="59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</row>
    <row r="230" spans="1:54" ht="19.5" customHeight="1" x14ac:dyDescent="0.25">
      <c r="A230" s="60" t="str">
        <f>IF($B230="","",TEXT($B230,"yyyymmdd")&amp;"-"&amp;SUBSTITUTE($F230," ","")&amp;"-"&amp;TEXT(COUNTIF($F$4:F230,$F230),"00"))</f>
        <v/>
      </c>
      <c r="B230" s="65"/>
      <c r="C230" s="60" t="str">
        <f>IF($B230="","",WEEKNUM($B230,2))</f>
        <v/>
      </c>
      <c r="D230" s="60" t="str">
        <f>IF($B230="","",TEXT($B230,"yyyy-mm"))</f>
        <v/>
      </c>
      <c r="E230" s="64"/>
      <c r="F230" s="64"/>
      <c r="G230" s="60" t="str">
        <f>IF(OR($E230="",$F230=""),"",IFERROR(IF($E230=INDEX([1]Cluster_Master!$A$4:$A$18,MATCH($F230,[1]Cluster_Master!$B$4:$B$18,0)),"OK","CHECK"),"CHECK"))</f>
        <v/>
      </c>
      <c r="H230" s="63" t="str">
        <f>IFERROR(INDEX([1]Cluster_Master!$C$4:$C$18,MATCH($F230,[1]Cluster_Master!$B$4:$B$18,0)),"")</f>
        <v/>
      </c>
      <c r="I230" s="60" t="str">
        <f>IFERROR(INDEX([1]Cluster_Master!$D$4:$D$18,MATCH($F230,[1]Cluster_Master!$B$4:$B$18,0)),"")</f>
        <v/>
      </c>
      <c r="J230" s="60" t="str">
        <f>IFERROR(INDEX([1]Cluster_Master!$E$4:$E$18,MATCH($F230,[1]Cluster_Master!$B$4:$B$18,0)),"")</f>
        <v/>
      </c>
      <c r="K230" s="60" t="str">
        <f>IFERROR(INDEX([1]Cluster_Master!$F$4:$F$18,MATCH($F230,[1]Cluster_Master!$B$4:$B$18,0)),"")</f>
        <v/>
      </c>
      <c r="L230" s="60" t="str">
        <f>IFERROR(INDEX([1]Cluster_Master!$G$4:$G$18,MATCH($F230,[1]Cluster_Master!$B$4:$B$18,0)),"")</f>
        <v/>
      </c>
      <c r="M230" s="60" t="str">
        <f>IFERROR(INDEX([1]Cluster_Master!$H$4:$H$18,MATCH($F230,[1]Cluster_Master!$B$4:$B$18,0)),"")</f>
        <v/>
      </c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60" t="str">
        <f>IF(COUNTA(T230:AH230)=0,"",SUM(T230:AH230))</f>
        <v/>
      </c>
      <c r="AJ230" s="61" t="str">
        <f>IF(COUNTA(T230:AH230)=0,"",AI230/75)</f>
        <v/>
      </c>
      <c r="AK230" s="61" t="str">
        <f>IF(COUNTA(T230:AH230)=0,"",(SUM(T230*[1]KPI_Weights!$B$4,U230*[1]KPI_Weights!$B$5,V230*[1]KPI_Weights!$B$6,W230*[1]KPI_Weights!$B$7,X230*[1]KPI_Weights!$B$8,Y230*[1]KPI_Weights!$B$9,Z230*[1]KPI_Weights!$B$10,AA230*[1]KPI_Weights!$B$11,AB230*[1]KPI_Weights!$B$12,AC230*[1]KPI_Weights!$B$13,AD230*[1]KPI_Weights!$B$14,AE230*[1]KPI_Weights!$B$15,AF230*[1]KPI_Weights!$B$16,AG230*[1]KPI_Weights!$B$17,AH230*[1]KPI_Weights!$B$18))/5)</f>
        <v/>
      </c>
      <c r="AL230" s="60" t="str">
        <f>IF(COUNTA(T230:AH230)=0,"",IF(OR(T230&lt;=1,W230&lt;=1,X230&lt;=1,Y230&lt;=1,AB230&lt;=1),"YES","NO"))</f>
        <v/>
      </c>
      <c r="AM230" s="60" t="str">
        <f>IF(AJ230="","",IF(AND(AL230="NO",AJ230&gt;=0.75),"YES","NO"))</f>
        <v/>
      </c>
      <c r="AN230" s="60" t="str">
        <f>IF(AJ230="","",IF(AJ230&lt;0.4,"Critical",IF(AJ230&lt;0.6,"Poor",IF(AJ230&lt;0.75,"Needs Improvement",IF(AJ230&lt;0.9,"Good","Excellent")))))</f>
        <v/>
      </c>
      <c r="AO230" s="59"/>
      <c r="AP230" s="59"/>
      <c r="AQ230" s="59"/>
      <c r="AR230" s="59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</row>
    <row r="231" spans="1:54" ht="19.5" customHeight="1" x14ac:dyDescent="0.25">
      <c r="A231" s="60" t="str">
        <f>IF($B231="","",TEXT($B231,"yyyymmdd")&amp;"-"&amp;SUBSTITUTE($F231," ","")&amp;"-"&amp;TEXT(COUNTIF($F$4:F231,$F231),"00"))</f>
        <v/>
      </c>
      <c r="B231" s="65"/>
      <c r="C231" s="60" t="str">
        <f>IF($B231="","",WEEKNUM($B231,2))</f>
        <v/>
      </c>
      <c r="D231" s="60" t="str">
        <f>IF($B231="","",TEXT($B231,"yyyy-mm"))</f>
        <v/>
      </c>
      <c r="E231" s="64"/>
      <c r="F231" s="64"/>
      <c r="G231" s="60" t="str">
        <f>IF(OR($E231="",$F231=""),"",IFERROR(IF($E231=INDEX([1]Cluster_Master!$A$4:$A$18,MATCH($F231,[1]Cluster_Master!$B$4:$B$18,0)),"OK","CHECK"),"CHECK"))</f>
        <v/>
      </c>
      <c r="H231" s="63" t="str">
        <f>IFERROR(INDEX([1]Cluster_Master!$C$4:$C$18,MATCH($F231,[1]Cluster_Master!$B$4:$B$18,0)),"")</f>
        <v/>
      </c>
      <c r="I231" s="60" t="str">
        <f>IFERROR(INDEX([1]Cluster_Master!$D$4:$D$18,MATCH($F231,[1]Cluster_Master!$B$4:$B$18,0)),"")</f>
        <v/>
      </c>
      <c r="J231" s="60" t="str">
        <f>IFERROR(INDEX([1]Cluster_Master!$E$4:$E$18,MATCH($F231,[1]Cluster_Master!$B$4:$B$18,0)),"")</f>
        <v/>
      </c>
      <c r="K231" s="60" t="str">
        <f>IFERROR(INDEX([1]Cluster_Master!$F$4:$F$18,MATCH($F231,[1]Cluster_Master!$B$4:$B$18,0)),"")</f>
        <v/>
      </c>
      <c r="L231" s="60" t="str">
        <f>IFERROR(INDEX([1]Cluster_Master!$G$4:$G$18,MATCH($F231,[1]Cluster_Master!$B$4:$B$18,0)),"")</f>
        <v/>
      </c>
      <c r="M231" s="60" t="str">
        <f>IFERROR(INDEX([1]Cluster_Master!$H$4:$H$18,MATCH($F231,[1]Cluster_Master!$B$4:$B$18,0)),"")</f>
        <v/>
      </c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60" t="str">
        <f>IF(COUNTA(T231:AH231)=0,"",SUM(T231:AH231))</f>
        <v/>
      </c>
      <c r="AJ231" s="61" t="str">
        <f>IF(COUNTA(T231:AH231)=0,"",AI231/75)</f>
        <v/>
      </c>
      <c r="AK231" s="61" t="str">
        <f>IF(COUNTA(T231:AH231)=0,"",(SUM(T231*[1]KPI_Weights!$B$4,U231*[1]KPI_Weights!$B$5,V231*[1]KPI_Weights!$B$6,W231*[1]KPI_Weights!$B$7,X231*[1]KPI_Weights!$B$8,Y231*[1]KPI_Weights!$B$9,Z231*[1]KPI_Weights!$B$10,AA231*[1]KPI_Weights!$B$11,AB231*[1]KPI_Weights!$B$12,AC231*[1]KPI_Weights!$B$13,AD231*[1]KPI_Weights!$B$14,AE231*[1]KPI_Weights!$B$15,AF231*[1]KPI_Weights!$B$16,AG231*[1]KPI_Weights!$B$17,AH231*[1]KPI_Weights!$B$18))/5)</f>
        <v/>
      </c>
      <c r="AL231" s="60" t="str">
        <f>IF(COUNTA(T231:AH231)=0,"",IF(OR(T231&lt;=1,W231&lt;=1,X231&lt;=1,Y231&lt;=1,AB231&lt;=1),"YES","NO"))</f>
        <v/>
      </c>
      <c r="AM231" s="60" t="str">
        <f>IF(AJ231="","",IF(AND(AL231="NO",AJ231&gt;=0.75),"YES","NO"))</f>
        <v/>
      </c>
      <c r="AN231" s="60" t="str">
        <f>IF(AJ231="","",IF(AJ231&lt;0.4,"Critical",IF(AJ231&lt;0.6,"Poor",IF(AJ231&lt;0.75,"Needs Improvement",IF(AJ231&lt;0.9,"Good","Excellent")))))</f>
        <v/>
      </c>
      <c r="AO231" s="59"/>
      <c r="AP231" s="59"/>
      <c r="AQ231" s="59"/>
      <c r="AR231" s="59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</row>
    <row r="232" spans="1:54" ht="19.5" customHeight="1" x14ac:dyDescent="0.25">
      <c r="A232" s="60" t="str">
        <f>IF($B232="","",TEXT($B232,"yyyymmdd")&amp;"-"&amp;SUBSTITUTE($F232," ","")&amp;"-"&amp;TEXT(COUNTIF($F$4:F232,$F232),"00"))</f>
        <v/>
      </c>
      <c r="B232" s="65"/>
      <c r="C232" s="60" t="str">
        <f>IF($B232="","",WEEKNUM($B232,2))</f>
        <v/>
      </c>
      <c r="D232" s="60" t="str">
        <f>IF($B232="","",TEXT($B232,"yyyy-mm"))</f>
        <v/>
      </c>
      <c r="E232" s="64"/>
      <c r="F232" s="64"/>
      <c r="G232" s="60" t="str">
        <f>IF(OR($E232="",$F232=""),"",IFERROR(IF($E232=INDEX([1]Cluster_Master!$A$4:$A$18,MATCH($F232,[1]Cluster_Master!$B$4:$B$18,0)),"OK","CHECK"),"CHECK"))</f>
        <v/>
      </c>
      <c r="H232" s="63" t="str">
        <f>IFERROR(INDEX([1]Cluster_Master!$C$4:$C$18,MATCH($F232,[1]Cluster_Master!$B$4:$B$18,0)),"")</f>
        <v/>
      </c>
      <c r="I232" s="60" t="str">
        <f>IFERROR(INDEX([1]Cluster_Master!$D$4:$D$18,MATCH($F232,[1]Cluster_Master!$B$4:$B$18,0)),"")</f>
        <v/>
      </c>
      <c r="J232" s="60" t="str">
        <f>IFERROR(INDEX([1]Cluster_Master!$E$4:$E$18,MATCH($F232,[1]Cluster_Master!$B$4:$B$18,0)),"")</f>
        <v/>
      </c>
      <c r="K232" s="60" t="str">
        <f>IFERROR(INDEX([1]Cluster_Master!$F$4:$F$18,MATCH($F232,[1]Cluster_Master!$B$4:$B$18,0)),"")</f>
        <v/>
      </c>
      <c r="L232" s="60" t="str">
        <f>IFERROR(INDEX([1]Cluster_Master!$G$4:$G$18,MATCH($F232,[1]Cluster_Master!$B$4:$B$18,0)),"")</f>
        <v/>
      </c>
      <c r="M232" s="60" t="str">
        <f>IFERROR(INDEX([1]Cluster_Master!$H$4:$H$18,MATCH($F232,[1]Cluster_Master!$B$4:$B$18,0)),"")</f>
        <v/>
      </c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60" t="str">
        <f>IF(COUNTA(T232:AH232)=0,"",SUM(T232:AH232))</f>
        <v/>
      </c>
      <c r="AJ232" s="61" t="str">
        <f>IF(COUNTA(T232:AH232)=0,"",AI232/75)</f>
        <v/>
      </c>
      <c r="AK232" s="61" t="str">
        <f>IF(COUNTA(T232:AH232)=0,"",(SUM(T232*[1]KPI_Weights!$B$4,U232*[1]KPI_Weights!$B$5,V232*[1]KPI_Weights!$B$6,W232*[1]KPI_Weights!$B$7,X232*[1]KPI_Weights!$B$8,Y232*[1]KPI_Weights!$B$9,Z232*[1]KPI_Weights!$B$10,AA232*[1]KPI_Weights!$B$11,AB232*[1]KPI_Weights!$B$12,AC232*[1]KPI_Weights!$B$13,AD232*[1]KPI_Weights!$B$14,AE232*[1]KPI_Weights!$B$15,AF232*[1]KPI_Weights!$B$16,AG232*[1]KPI_Weights!$B$17,AH232*[1]KPI_Weights!$B$18))/5)</f>
        <v/>
      </c>
      <c r="AL232" s="60" t="str">
        <f>IF(COUNTA(T232:AH232)=0,"",IF(OR(T232&lt;=1,W232&lt;=1,X232&lt;=1,Y232&lt;=1,AB232&lt;=1),"YES","NO"))</f>
        <v/>
      </c>
      <c r="AM232" s="60" t="str">
        <f>IF(AJ232="","",IF(AND(AL232="NO",AJ232&gt;=0.75),"YES","NO"))</f>
        <v/>
      </c>
      <c r="AN232" s="60" t="str">
        <f>IF(AJ232="","",IF(AJ232&lt;0.4,"Critical",IF(AJ232&lt;0.6,"Poor",IF(AJ232&lt;0.75,"Needs Improvement",IF(AJ232&lt;0.9,"Good","Excellent")))))</f>
        <v/>
      </c>
      <c r="AO232" s="59"/>
      <c r="AP232" s="59"/>
      <c r="AQ232" s="59"/>
      <c r="AR232" s="59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</row>
    <row r="233" spans="1:54" ht="19.5" customHeight="1" x14ac:dyDescent="0.25">
      <c r="A233" s="60" t="str">
        <f>IF($B233="","",TEXT($B233,"yyyymmdd")&amp;"-"&amp;SUBSTITUTE($F233," ","")&amp;"-"&amp;TEXT(COUNTIF($F$4:F233,$F233),"00"))</f>
        <v/>
      </c>
      <c r="B233" s="65"/>
      <c r="C233" s="60" t="str">
        <f>IF($B233="","",WEEKNUM($B233,2))</f>
        <v/>
      </c>
      <c r="D233" s="60" t="str">
        <f>IF($B233="","",TEXT($B233,"yyyy-mm"))</f>
        <v/>
      </c>
      <c r="E233" s="64"/>
      <c r="F233" s="64"/>
      <c r="G233" s="60" t="str">
        <f>IF(OR($E233="",$F233=""),"",IFERROR(IF($E233=INDEX([1]Cluster_Master!$A$4:$A$18,MATCH($F233,[1]Cluster_Master!$B$4:$B$18,0)),"OK","CHECK"),"CHECK"))</f>
        <v/>
      </c>
      <c r="H233" s="63" t="str">
        <f>IFERROR(INDEX([1]Cluster_Master!$C$4:$C$18,MATCH($F233,[1]Cluster_Master!$B$4:$B$18,0)),"")</f>
        <v/>
      </c>
      <c r="I233" s="60" t="str">
        <f>IFERROR(INDEX([1]Cluster_Master!$D$4:$D$18,MATCH($F233,[1]Cluster_Master!$B$4:$B$18,0)),"")</f>
        <v/>
      </c>
      <c r="J233" s="60" t="str">
        <f>IFERROR(INDEX([1]Cluster_Master!$E$4:$E$18,MATCH($F233,[1]Cluster_Master!$B$4:$B$18,0)),"")</f>
        <v/>
      </c>
      <c r="K233" s="60" t="str">
        <f>IFERROR(INDEX([1]Cluster_Master!$F$4:$F$18,MATCH($F233,[1]Cluster_Master!$B$4:$B$18,0)),"")</f>
        <v/>
      </c>
      <c r="L233" s="60" t="str">
        <f>IFERROR(INDEX([1]Cluster_Master!$G$4:$G$18,MATCH($F233,[1]Cluster_Master!$B$4:$B$18,0)),"")</f>
        <v/>
      </c>
      <c r="M233" s="60" t="str">
        <f>IFERROR(INDEX([1]Cluster_Master!$H$4:$H$18,MATCH($F233,[1]Cluster_Master!$B$4:$B$18,0)),"")</f>
        <v/>
      </c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60" t="str">
        <f>IF(COUNTA(T233:AH233)=0,"",SUM(T233:AH233))</f>
        <v/>
      </c>
      <c r="AJ233" s="61" t="str">
        <f>IF(COUNTA(T233:AH233)=0,"",AI233/75)</f>
        <v/>
      </c>
      <c r="AK233" s="61" t="str">
        <f>IF(COUNTA(T233:AH233)=0,"",(SUM(T233*[1]KPI_Weights!$B$4,U233*[1]KPI_Weights!$B$5,V233*[1]KPI_Weights!$B$6,W233*[1]KPI_Weights!$B$7,X233*[1]KPI_Weights!$B$8,Y233*[1]KPI_Weights!$B$9,Z233*[1]KPI_Weights!$B$10,AA233*[1]KPI_Weights!$B$11,AB233*[1]KPI_Weights!$B$12,AC233*[1]KPI_Weights!$B$13,AD233*[1]KPI_Weights!$B$14,AE233*[1]KPI_Weights!$B$15,AF233*[1]KPI_Weights!$B$16,AG233*[1]KPI_Weights!$B$17,AH233*[1]KPI_Weights!$B$18))/5)</f>
        <v/>
      </c>
      <c r="AL233" s="60" t="str">
        <f>IF(COUNTA(T233:AH233)=0,"",IF(OR(T233&lt;=1,W233&lt;=1,X233&lt;=1,Y233&lt;=1,AB233&lt;=1),"YES","NO"))</f>
        <v/>
      </c>
      <c r="AM233" s="60" t="str">
        <f>IF(AJ233="","",IF(AND(AL233="NO",AJ233&gt;=0.75),"YES","NO"))</f>
        <v/>
      </c>
      <c r="AN233" s="60" t="str">
        <f>IF(AJ233="","",IF(AJ233&lt;0.4,"Critical",IF(AJ233&lt;0.6,"Poor",IF(AJ233&lt;0.75,"Needs Improvement",IF(AJ233&lt;0.9,"Good","Excellent")))))</f>
        <v/>
      </c>
      <c r="AO233" s="59"/>
      <c r="AP233" s="59"/>
      <c r="AQ233" s="59"/>
      <c r="AR233" s="59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</row>
    <row r="234" spans="1:54" ht="19.5" customHeight="1" x14ac:dyDescent="0.25">
      <c r="A234" s="60" t="str">
        <f>IF($B234="","",TEXT($B234,"yyyymmdd")&amp;"-"&amp;SUBSTITUTE($F234," ","")&amp;"-"&amp;TEXT(COUNTIF($F$4:F234,$F234),"00"))</f>
        <v/>
      </c>
      <c r="B234" s="65"/>
      <c r="C234" s="60" t="str">
        <f>IF($B234="","",WEEKNUM($B234,2))</f>
        <v/>
      </c>
      <c r="D234" s="60" t="str">
        <f>IF($B234="","",TEXT($B234,"yyyy-mm"))</f>
        <v/>
      </c>
      <c r="E234" s="64"/>
      <c r="F234" s="64"/>
      <c r="G234" s="60" t="str">
        <f>IF(OR($E234="",$F234=""),"",IFERROR(IF($E234=INDEX([1]Cluster_Master!$A$4:$A$18,MATCH($F234,[1]Cluster_Master!$B$4:$B$18,0)),"OK","CHECK"),"CHECK"))</f>
        <v/>
      </c>
      <c r="H234" s="63" t="str">
        <f>IFERROR(INDEX([1]Cluster_Master!$C$4:$C$18,MATCH($F234,[1]Cluster_Master!$B$4:$B$18,0)),"")</f>
        <v/>
      </c>
      <c r="I234" s="60" t="str">
        <f>IFERROR(INDEX([1]Cluster_Master!$D$4:$D$18,MATCH($F234,[1]Cluster_Master!$B$4:$B$18,0)),"")</f>
        <v/>
      </c>
      <c r="J234" s="60" t="str">
        <f>IFERROR(INDEX([1]Cluster_Master!$E$4:$E$18,MATCH($F234,[1]Cluster_Master!$B$4:$B$18,0)),"")</f>
        <v/>
      </c>
      <c r="K234" s="60" t="str">
        <f>IFERROR(INDEX([1]Cluster_Master!$F$4:$F$18,MATCH($F234,[1]Cluster_Master!$B$4:$B$18,0)),"")</f>
        <v/>
      </c>
      <c r="L234" s="60" t="str">
        <f>IFERROR(INDEX([1]Cluster_Master!$G$4:$G$18,MATCH($F234,[1]Cluster_Master!$B$4:$B$18,0)),"")</f>
        <v/>
      </c>
      <c r="M234" s="60" t="str">
        <f>IFERROR(INDEX([1]Cluster_Master!$H$4:$H$18,MATCH($F234,[1]Cluster_Master!$B$4:$B$18,0)),"")</f>
        <v/>
      </c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60" t="str">
        <f>IF(COUNTA(T234:AH234)=0,"",SUM(T234:AH234))</f>
        <v/>
      </c>
      <c r="AJ234" s="61" t="str">
        <f>IF(COUNTA(T234:AH234)=0,"",AI234/75)</f>
        <v/>
      </c>
      <c r="AK234" s="61" t="str">
        <f>IF(COUNTA(T234:AH234)=0,"",(SUM(T234*[1]KPI_Weights!$B$4,U234*[1]KPI_Weights!$B$5,V234*[1]KPI_Weights!$B$6,W234*[1]KPI_Weights!$B$7,X234*[1]KPI_Weights!$B$8,Y234*[1]KPI_Weights!$B$9,Z234*[1]KPI_Weights!$B$10,AA234*[1]KPI_Weights!$B$11,AB234*[1]KPI_Weights!$B$12,AC234*[1]KPI_Weights!$B$13,AD234*[1]KPI_Weights!$B$14,AE234*[1]KPI_Weights!$B$15,AF234*[1]KPI_Weights!$B$16,AG234*[1]KPI_Weights!$B$17,AH234*[1]KPI_Weights!$B$18))/5)</f>
        <v/>
      </c>
      <c r="AL234" s="60" t="str">
        <f>IF(COUNTA(T234:AH234)=0,"",IF(OR(T234&lt;=1,W234&lt;=1,X234&lt;=1,Y234&lt;=1,AB234&lt;=1),"YES","NO"))</f>
        <v/>
      </c>
      <c r="AM234" s="60" t="str">
        <f>IF(AJ234="","",IF(AND(AL234="NO",AJ234&gt;=0.75),"YES","NO"))</f>
        <v/>
      </c>
      <c r="AN234" s="60" t="str">
        <f>IF(AJ234="","",IF(AJ234&lt;0.4,"Critical",IF(AJ234&lt;0.6,"Poor",IF(AJ234&lt;0.75,"Needs Improvement",IF(AJ234&lt;0.9,"Good","Excellent")))))</f>
        <v/>
      </c>
      <c r="AO234" s="59"/>
      <c r="AP234" s="59"/>
      <c r="AQ234" s="59"/>
      <c r="AR234" s="59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</row>
    <row r="235" spans="1:54" ht="19.5" customHeight="1" x14ac:dyDescent="0.25">
      <c r="A235" s="60" t="str">
        <f>IF($B235="","",TEXT($B235,"yyyymmdd")&amp;"-"&amp;SUBSTITUTE($F235," ","")&amp;"-"&amp;TEXT(COUNTIF($F$4:F235,$F235),"00"))</f>
        <v/>
      </c>
      <c r="B235" s="65"/>
      <c r="C235" s="60" t="str">
        <f>IF($B235="","",WEEKNUM($B235,2))</f>
        <v/>
      </c>
      <c r="D235" s="60" t="str">
        <f>IF($B235="","",TEXT($B235,"yyyy-mm"))</f>
        <v/>
      </c>
      <c r="E235" s="64"/>
      <c r="F235" s="64"/>
      <c r="G235" s="60" t="str">
        <f>IF(OR($E235="",$F235=""),"",IFERROR(IF($E235=INDEX([1]Cluster_Master!$A$4:$A$18,MATCH($F235,[1]Cluster_Master!$B$4:$B$18,0)),"OK","CHECK"),"CHECK"))</f>
        <v/>
      </c>
      <c r="H235" s="63" t="str">
        <f>IFERROR(INDEX([1]Cluster_Master!$C$4:$C$18,MATCH($F235,[1]Cluster_Master!$B$4:$B$18,0)),"")</f>
        <v/>
      </c>
      <c r="I235" s="60" t="str">
        <f>IFERROR(INDEX([1]Cluster_Master!$D$4:$D$18,MATCH($F235,[1]Cluster_Master!$B$4:$B$18,0)),"")</f>
        <v/>
      </c>
      <c r="J235" s="60" t="str">
        <f>IFERROR(INDEX([1]Cluster_Master!$E$4:$E$18,MATCH($F235,[1]Cluster_Master!$B$4:$B$18,0)),"")</f>
        <v/>
      </c>
      <c r="K235" s="60" t="str">
        <f>IFERROR(INDEX([1]Cluster_Master!$F$4:$F$18,MATCH($F235,[1]Cluster_Master!$B$4:$B$18,0)),"")</f>
        <v/>
      </c>
      <c r="L235" s="60" t="str">
        <f>IFERROR(INDEX([1]Cluster_Master!$G$4:$G$18,MATCH($F235,[1]Cluster_Master!$B$4:$B$18,0)),"")</f>
        <v/>
      </c>
      <c r="M235" s="60" t="str">
        <f>IFERROR(INDEX([1]Cluster_Master!$H$4:$H$18,MATCH($F235,[1]Cluster_Master!$B$4:$B$18,0)),"")</f>
        <v/>
      </c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60" t="str">
        <f>IF(COUNTA(T235:AH235)=0,"",SUM(T235:AH235))</f>
        <v/>
      </c>
      <c r="AJ235" s="61" t="str">
        <f>IF(COUNTA(T235:AH235)=0,"",AI235/75)</f>
        <v/>
      </c>
      <c r="AK235" s="61" t="str">
        <f>IF(COUNTA(T235:AH235)=0,"",(SUM(T235*[1]KPI_Weights!$B$4,U235*[1]KPI_Weights!$B$5,V235*[1]KPI_Weights!$B$6,W235*[1]KPI_Weights!$B$7,X235*[1]KPI_Weights!$B$8,Y235*[1]KPI_Weights!$B$9,Z235*[1]KPI_Weights!$B$10,AA235*[1]KPI_Weights!$B$11,AB235*[1]KPI_Weights!$B$12,AC235*[1]KPI_Weights!$B$13,AD235*[1]KPI_Weights!$B$14,AE235*[1]KPI_Weights!$B$15,AF235*[1]KPI_Weights!$B$16,AG235*[1]KPI_Weights!$B$17,AH235*[1]KPI_Weights!$B$18))/5)</f>
        <v/>
      </c>
      <c r="AL235" s="60" t="str">
        <f>IF(COUNTA(T235:AH235)=0,"",IF(OR(T235&lt;=1,W235&lt;=1,X235&lt;=1,Y235&lt;=1,AB235&lt;=1),"YES","NO"))</f>
        <v/>
      </c>
      <c r="AM235" s="60" t="str">
        <f>IF(AJ235="","",IF(AND(AL235="NO",AJ235&gt;=0.75),"YES","NO"))</f>
        <v/>
      </c>
      <c r="AN235" s="60" t="str">
        <f>IF(AJ235="","",IF(AJ235&lt;0.4,"Critical",IF(AJ235&lt;0.6,"Poor",IF(AJ235&lt;0.75,"Needs Improvement",IF(AJ235&lt;0.9,"Good","Excellent")))))</f>
        <v/>
      </c>
      <c r="AO235" s="59"/>
      <c r="AP235" s="59"/>
      <c r="AQ235" s="59"/>
      <c r="AR235" s="59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</row>
    <row r="236" spans="1:54" ht="19.5" customHeight="1" x14ac:dyDescent="0.25">
      <c r="A236" s="60" t="str">
        <f>IF($B236="","",TEXT($B236,"yyyymmdd")&amp;"-"&amp;SUBSTITUTE($F236," ","")&amp;"-"&amp;TEXT(COUNTIF($F$4:F236,$F236),"00"))</f>
        <v/>
      </c>
      <c r="B236" s="65"/>
      <c r="C236" s="60" t="str">
        <f>IF($B236="","",WEEKNUM($B236,2))</f>
        <v/>
      </c>
      <c r="D236" s="60" t="str">
        <f>IF($B236="","",TEXT($B236,"yyyy-mm"))</f>
        <v/>
      </c>
      <c r="E236" s="64"/>
      <c r="F236" s="64"/>
      <c r="G236" s="60" t="str">
        <f>IF(OR($E236="",$F236=""),"",IFERROR(IF($E236=INDEX([1]Cluster_Master!$A$4:$A$18,MATCH($F236,[1]Cluster_Master!$B$4:$B$18,0)),"OK","CHECK"),"CHECK"))</f>
        <v/>
      </c>
      <c r="H236" s="63" t="str">
        <f>IFERROR(INDEX([1]Cluster_Master!$C$4:$C$18,MATCH($F236,[1]Cluster_Master!$B$4:$B$18,0)),"")</f>
        <v/>
      </c>
      <c r="I236" s="60" t="str">
        <f>IFERROR(INDEX([1]Cluster_Master!$D$4:$D$18,MATCH($F236,[1]Cluster_Master!$B$4:$B$18,0)),"")</f>
        <v/>
      </c>
      <c r="J236" s="60" t="str">
        <f>IFERROR(INDEX([1]Cluster_Master!$E$4:$E$18,MATCH($F236,[1]Cluster_Master!$B$4:$B$18,0)),"")</f>
        <v/>
      </c>
      <c r="K236" s="60" t="str">
        <f>IFERROR(INDEX([1]Cluster_Master!$F$4:$F$18,MATCH($F236,[1]Cluster_Master!$B$4:$B$18,0)),"")</f>
        <v/>
      </c>
      <c r="L236" s="60" t="str">
        <f>IFERROR(INDEX([1]Cluster_Master!$G$4:$G$18,MATCH($F236,[1]Cluster_Master!$B$4:$B$18,0)),"")</f>
        <v/>
      </c>
      <c r="M236" s="60" t="str">
        <f>IFERROR(INDEX([1]Cluster_Master!$H$4:$H$18,MATCH($F236,[1]Cluster_Master!$B$4:$B$18,0)),"")</f>
        <v/>
      </c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60" t="str">
        <f>IF(COUNTA(T236:AH236)=0,"",SUM(T236:AH236))</f>
        <v/>
      </c>
      <c r="AJ236" s="61" t="str">
        <f>IF(COUNTA(T236:AH236)=0,"",AI236/75)</f>
        <v/>
      </c>
      <c r="AK236" s="61" t="str">
        <f>IF(COUNTA(T236:AH236)=0,"",(SUM(T236*[1]KPI_Weights!$B$4,U236*[1]KPI_Weights!$B$5,V236*[1]KPI_Weights!$B$6,W236*[1]KPI_Weights!$B$7,X236*[1]KPI_Weights!$B$8,Y236*[1]KPI_Weights!$B$9,Z236*[1]KPI_Weights!$B$10,AA236*[1]KPI_Weights!$B$11,AB236*[1]KPI_Weights!$B$12,AC236*[1]KPI_Weights!$B$13,AD236*[1]KPI_Weights!$B$14,AE236*[1]KPI_Weights!$B$15,AF236*[1]KPI_Weights!$B$16,AG236*[1]KPI_Weights!$B$17,AH236*[1]KPI_Weights!$B$18))/5)</f>
        <v/>
      </c>
      <c r="AL236" s="60" t="str">
        <f>IF(COUNTA(T236:AH236)=0,"",IF(OR(T236&lt;=1,W236&lt;=1,X236&lt;=1,Y236&lt;=1,AB236&lt;=1),"YES","NO"))</f>
        <v/>
      </c>
      <c r="AM236" s="60" t="str">
        <f>IF(AJ236="","",IF(AND(AL236="NO",AJ236&gt;=0.75),"YES","NO"))</f>
        <v/>
      </c>
      <c r="AN236" s="60" t="str">
        <f>IF(AJ236="","",IF(AJ236&lt;0.4,"Critical",IF(AJ236&lt;0.6,"Poor",IF(AJ236&lt;0.75,"Needs Improvement",IF(AJ236&lt;0.9,"Good","Excellent")))))</f>
        <v/>
      </c>
      <c r="AO236" s="59"/>
      <c r="AP236" s="59"/>
      <c r="AQ236" s="59"/>
      <c r="AR236" s="59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</row>
    <row r="237" spans="1:54" ht="19.5" customHeight="1" x14ac:dyDescent="0.25">
      <c r="A237" s="60" t="str">
        <f>IF($B237="","",TEXT($B237,"yyyymmdd")&amp;"-"&amp;SUBSTITUTE($F237," ","")&amp;"-"&amp;TEXT(COUNTIF($F$4:F237,$F237),"00"))</f>
        <v/>
      </c>
      <c r="B237" s="65"/>
      <c r="C237" s="60" t="str">
        <f>IF($B237="","",WEEKNUM($B237,2))</f>
        <v/>
      </c>
      <c r="D237" s="60" t="str">
        <f>IF($B237="","",TEXT($B237,"yyyy-mm"))</f>
        <v/>
      </c>
      <c r="E237" s="64"/>
      <c r="F237" s="64"/>
      <c r="G237" s="60" t="str">
        <f>IF(OR($E237="",$F237=""),"",IFERROR(IF($E237=INDEX([1]Cluster_Master!$A$4:$A$18,MATCH($F237,[1]Cluster_Master!$B$4:$B$18,0)),"OK","CHECK"),"CHECK"))</f>
        <v/>
      </c>
      <c r="H237" s="63" t="str">
        <f>IFERROR(INDEX([1]Cluster_Master!$C$4:$C$18,MATCH($F237,[1]Cluster_Master!$B$4:$B$18,0)),"")</f>
        <v/>
      </c>
      <c r="I237" s="60" t="str">
        <f>IFERROR(INDEX([1]Cluster_Master!$D$4:$D$18,MATCH($F237,[1]Cluster_Master!$B$4:$B$18,0)),"")</f>
        <v/>
      </c>
      <c r="J237" s="60" t="str">
        <f>IFERROR(INDEX([1]Cluster_Master!$E$4:$E$18,MATCH($F237,[1]Cluster_Master!$B$4:$B$18,0)),"")</f>
        <v/>
      </c>
      <c r="K237" s="60" t="str">
        <f>IFERROR(INDEX([1]Cluster_Master!$F$4:$F$18,MATCH($F237,[1]Cluster_Master!$B$4:$B$18,0)),"")</f>
        <v/>
      </c>
      <c r="L237" s="60" t="str">
        <f>IFERROR(INDEX([1]Cluster_Master!$G$4:$G$18,MATCH($F237,[1]Cluster_Master!$B$4:$B$18,0)),"")</f>
        <v/>
      </c>
      <c r="M237" s="60" t="str">
        <f>IFERROR(INDEX([1]Cluster_Master!$H$4:$H$18,MATCH($F237,[1]Cluster_Master!$B$4:$B$18,0)),"")</f>
        <v/>
      </c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60" t="str">
        <f>IF(COUNTA(T237:AH237)=0,"",SUM(T237:AH237))</f>
        <v/>
      </c>
      <c r="AJ237" s="61" t="str">
        <f>IF(COUNTA(T237:AH237)=0,"",AI237/75)</f>
        <v/>
      </c>
      <c r="AK237" s="61" t="str">
        <f>IF(COUNTA(T237:AH237)=0,"",(SUM(T237*[1]KPI_Weights!$B$4,U237*[1]KPI_Weights!$B$5,V237*[1]KPI_Weights!$B$6,W237*[1]KPI_Weights!$B$7,X237*[1]KPI_Weights!$B$8,Y237*[1]KPI_Weights!$B$9,Z237*[1]KPI_Weights!$B$10,AA237*[1]KPI_Weights!$B$11,AB237*[1]KPI_Weights!$B$12,AC237*[1]KPI_Weights!$B$13,AD237*[1]KPI_Weights!$B$14,AE237*[1]KPI_Weights!$B$15,AF237*[1]KPI_Weights!$B$16,AG237*[1]KPI_Weights!$B$17,AH237*[1]KPI_Weights!$B$18))/5)</f>
        <v/>
      </c>
      <c r="AL237" s="60" t="str">
        <f>IF(COUNTA(T237:AH237)=0,"",IF(OR(T237&lt;=1,W237&lt;=1,X237&lt;=1,Y237&lt;=1,AB237&lt;=1),"YES","NO"))</f>
        <v/>
      </c>
      <c r="AM237" s="60" t="str">
        <f>IF(AJ237="","",IF(AND(AL237="NO",AJ237&gt;=0.75),"YES","NO"))</f>
        <v/>
      </c>
      <c r="AN237" s="60" t="str">
        <f>IF(AJ237="","",IF(AJ237&lt;0.4,"Critical",IF(AJ237&lt;0.6,"Poor",IF(AJ237&lt;0.75,"Needs Improvement",IF(AJ237&lt;0.9,"Good","Excellent")))))</f>
        <v/>
      </c>
      <c r="AO237" s="59"/>
      <c r="AP237" s="59"/>
      <c r="AQ237" s="59"/>
      <c r="AR237" s="59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</row>
    <row r="238" spans="1:54" ht="19.5" customHeight="1" x14ac:dyDescent="0.25">
      <c r="A238" s="60" t="str">
        <f>IF($B238="","",TEXT($B238,"yyyymmdd")&amp;"-"&amp;SUBSTITUTE($F238," ","")&amp;"-"&amp;TEXT(COUNTIF($F$4:F238,$F238),"00"))</f>
        <v/>
      </c>
      <c r="B238" s="65"/>
      <c r="C238" s="60" t="str">
        <f>IF($B238="","",WEEKNUM($B238,2))</f>
        <v/>
      </c>
      <c r="D238" s="60" t="str">
        <f>IF($B238="","",TEXT($B238,"yyyy-mm"))</f>
        <v/>
      </c>
      <c r="E238" s="64"/>
      <c r="F238" s="64"/>
      <c r="G238" s="60" t="str">
        <f>IF(OR($E238="",$F238=""),"",IFERROR(IF($E238=INDEX([1]Cluster_Master!$A$4:$A$18,MATCH($F238,[1]Cluster_Master!$B$4:$B$18,0)),"OK","CHECK"),"CHECK"))</f>
        <v/>
      </c>
      <c r="H238" s="63" t="str">
        <f>IFERROR(INDEX([1]Cluster_Master!$C$4:$C$18,MATCH($F238,[1]Cluster_Master!$B$4:$B$18,0)),"")</f>
        <v/>
      </c>
      <c r="I238" s="60" t="str">
        <f>IFERROR(INDEX([1]Cluster_Master!$D$4:$D$18,MATCH($F238,[1]Cluster_Master!$B$4:$B$18,0)),"")</f>
        <v/>
      </c>
      <c r="J238" s="60" t="str">
        <f>IFERROR(INDEX([1]Cluster_Master!$E$4:$E$18,MATCH($F238,[1]Cluster_Master!$B$4:$B$18,0)),"")</f>
        <v/>
      </c>
      <c r="K238" s="60" t="str">
        <f>IFERROR(INDEX([1]Cluster_Master!$F$4:$F$18,MATCH($F238,[1]Cluster_Master!$B$4:$B$18,0)),"")</f>
        <v/>
      </c>
      <c r="L238" s="60" t="str">
        <f>IFERROR(INDEX([1]Cluster_Master!$G$4:$G$18,MATCH($F238,[1]Cluster_Master!$B$4:$B$18,0)),"")</f>
        <v/>
      </c>
      <c r="M238" s="60" t="str">
        <f>IFERROR(INDEX([1]Cluster_Master!$H$4:$H$18,MATCH($F238,[1]Cluster_Master!$B$4:$B$18,0)),"")</f>
        <v/>
      </c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60" t="str">
        <f>IF(COUNTA(T238:AH238)=0,"",SUM(T238:AH238))</f>
        <v/>
      </c>
      <c r="AJ238" s="61" t="str">
        <f>IF(COUNTA(T238:AH238)=0,"",AI238/75)</f>
        <v/>
      </c>
      <c r="AK238" s="61" t="str">
        <f>IF(COUNTA(T238:AH238)=0,"",(SUM(T238*[1]KPI_Weights!$B$4,U238*[1]KPI_Weights!$B$5,V238*[1]KPI_Weights!$B$6,W238*[1]KPI_Weights!$B$7,X238*[1]KPI_Weights!$B$8,Y238*[1]KPI_Weights!$B$9,Z238*[1]KPI_Weights!$B$10,AA238*[1]KPI_Weights!$B$11,AB238*[1]KPI_Weights!$B$12,AC238*[1]KPI_Weights!$B$13,AD238*[1]KPI_Weights!$B$14,AE238*[1]KPI_Weights!$B$15,AF238*[1]KPI_Weights!$B$16,AG238*[1]KPI_Weights!$B$17,AH238*[1]KPI_Weights!$B$18))/5)</f>
        <v/>
      </c>
      <c r="AL238" s="60" t="str">
        <f>IF(COUNTA(T238:AH238)=0,"",IF(OR(T238&lt;=1,W238&lt;=1,X238&lt;=1,Y238&lt;=1,AB238&lt;=1),"YES","NO"))</f>
        <v/>
      </c>
      <c r="AM238" s="60" t="str">
        <f>IF(AJ238="","",IF(AND(AL238="NO",AJ238&gt;=0.75),"YES","NO"))</f>
        <v/>
      </c>
      <c r="AN238" s="60" t="str">
        <f>IF(AJ238="","",IF(AJ238&lt;0.4,"Critical",IF(AJ238&lt;0.6,"Poor",IF(AJ238&lt;0.75,"Needs Improvement",IF(AJ238&lt;0.9,"Good","Excellent")))))</f>
        <v/>
      </c>
      <c r="AO238" s="59"/>
      <c r="AP238" s="59"/>
      <c r="AQ238" s="59"/>
      <c r="AR238" s="59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</row>
    <row r="239" spans="1:54" ht="19.5" customHeight="1" x14ac:dyDescent="0.25">
      <c r="A239" s="60" t="str">
        <f>IF($B239="","",TEXT($B239,"yyyymmdd")&amp;"-"&amp;SUBSTITUTE($F239," ","")&amp;"-"&amp;TEXT(COUNTIF($F$4:F239,$F239),"00"))</f>
        <v/>
      </c>
      <c r="B239" s="65"/>
      <c r="C239" s="60" t="str">
        <f>IF($B239="","",WEEKNUM($B239,2))</f>
        <v/>
      </c>
      <c r="D239" s="60" t="str">
        <f>IF($B239="","",TEXT($B239,"yyyy-mm"))</f>
        <v/>
      </c>
      <c r="E239" s="64"/>
      <c r="F239" s="64"/>
      <c r="G239" s="60" t="str">
        <f>IF(OR($E239="",$F239=""),"",IFERROR(IF($E239=INDEX([1]Cluster_Master!$A$4:$A$18,MATCH($F239,[1]Cluster_Master!$B$4:$B$18,0)),"OK","CHECK"),"CHECK"))</f>
        <v/>
      </c>
      <c r="H239" s="63" t="str">
        <f>IFERROR(INDEX([1]Cluster_Master!$C$4:$C$18,MATCH($F239,[1]Cluster_Master!$B$4:$B$18,0)),"")</f>
        <v/>
      </c>
      <c r="I239" s="60" t="str">
        <f>IFERROR(INDEX([1]Cluster_Master!$D$4:$D$18,MATCH($F239,[1]Cluster_Master!$B$4:$B$18,0)),"")</f>
        <v/>
      </c>
      <c r="J239" s="60" t="str">
        <f>IFERROR(INDEX([1]Cluster_Master!$E$4:$E$18,MATCH($F239,[1]Cluster_Master!$B$4:$B$18,0)),"")</f>
        <v/>
      </c>
      <c r="K239" s="60" t="str">
        <f>IFERROR(INDEX([1]Cluster_Master!$F$4:$F$18,MATCH($F239,[1]Cluster_Master!$B$4:$B$18,0)),"")</f>
        <v/>
      </c>
      <c r="L239" s="60" t="str">
        <f>IFERROR(INDEX([1]Cluster_Master!$G$4:$G$18,MATCH($F239,[1]Cluster_Master!$B$4:$B$18,0)),"")</f>
        <v/>
      </c>
      <c r="M239" s="60" t="str">
        <f>IFERROR(INDEX([1]Cluster_Master!$H$4:$H$18,MATCH($F239,[1]Cluster_Master!$B$4:$B$18,0)),"")</f>
        <v/>
      </c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60" t="str">
        <f>IF(COUNTA(T239:AH239)=0,"",SUM(T239:AH239))</f>
        <v/>
      </c>
      <c r="AJ239" s="61" t="str">
        <f>IF(COUNTA(T239:AH239)=0,"",AI239/75)</f>
        <v/>
      </c>
      <c r="AK239" s="61" t="str">
        <f>IF(COUNTA(T239:AH239)=0,"",(SUM(T239*[1]KPI_Weights!$B$4,U239*[1]KPI_Weights!$B$5,V239*[1]KPI_Weights!$B$6,W239*[1]KPI_Weights!$B$7,X239*[1]KPI_Weights!$B$8,Y239*[1]KPI_Weights!$B$9,Z239*[1]KPI_Weights!$B$10,AA239*[1]KPI_Weights!$B$11,AB239*[1]KPI_Weights!$B$12,AC239*[1]KPI_Weights!$B$13,AD239*[1]KPI_Weights!$B$14,AE239*[1]KPI_Weights!$B$15,AF239*[1]KPI_Weights!$B$16,AG239*[1]KPI_Weights!$B$17,AH239*[1]KPI_Weights!$B$18))/5)</f>
        <v/>
      </c>
      <c r="AL239" s="60" t="str">
        <f>IF(COUNTA(T239:AH239)=0,"",IF(OR(T239&lt;=1,W239&lt;=1,X239&lt;=1,Y239&lt;=1,AB239&lt;=1),"YES","NO"))</f>
        <v/>
      </c>
      <c r="AM239" s="60" t="str">
        <f>IF(AJ239="","",IF(AND(AL239="NO",AJ239&gt;=0.75),"YES","NO"))</f>
        <v/>
      </c>
      <c r="AN239" s="60" t="str">
        <f>IF(AJ239="","",IF(AJ239&lt;0.4,"Critical",IF(AJ239&lt;0.6,"Poor",IF(AJ239&lt;0.75,"Needs Improvement",IF(AJ239&lt;0.9,"Good","Excellent")))))</f>
        <v/>
      </c>
      <c r="AO239" s="59"/>
      <c r="AP239" s="59"/>
      <c r="AQ239" s="59"/>
      <c r="AR239" s="59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</row>
    <row r="240" spans="1:54" ht="19.5" customHeight="1" x14ac:dyDescent="0.25">
      <c r="A240" s="60" t="str">
        <f>IF($B240="","",TEXT($B240,"yyyymmdd")&amp;"-"&amp;SUBSTITUTE($F240," ","")&amp;"-"&amp;TEXT(COUNTIF($F$4:F240,$F240),"00"))</f>
        <v/>
      </c>
      <c r="B240" s="65"/>
      <c r="C240" s="60" t="str">
        <f>IF($B240="","",WEEKNUM($B240,2))</f>
        <v/>
      </c>
      <c r="D240" s="60" t="str">
        <f>IF($B240="","",TEXT($B240,"yyyy-mm"))</f>
        <v/>
      </c>
      <c r="E240" s="64"/>
      <c r="F240" s="64"/>
      <c r="G240" s="60" t="str">
        <f>IF(OR($E240="",$F240=""),"",IFERROR(IF($E240=INDEX([1]Cluster_Master!$A$4:$A$18,MATCH($F240,[1]Cluster_Master!$B$4:$B$18,0)),"OK","CHECK"),"CHECK"))</f>
        <v/>
      </c>
      <c r="H240" s="63" t="str">
        <f>IFERROR(INDEX([1]Cluster_Master!$C$4:$C$18,MATCH($F240,[1]Cluster_Master!$B$4:$B$18,0)),"")</f>
        <v/>
      </c>
      <c r="I240" s="60" t="str">
        <f>IFERROR(INDEX([1]Cluster_Master!$D$4:$D$18,MATCH($F240,[1]Cluster_Master!$B$4:$B$18,0)),"")</f>
        <v/>
      </c>
      <c r="J240" s="60" t="str">
        <f>IFERROR(INDEX([1]Cluster_Master!$E$4:$E$18,MATCH($F240,[1]Cluster_Master!$B$4:$B$18,0)),"")</f>
        <v/>
      </c>
      <c r="K240" s="60" t="str">
        <f>IFERROR(INDEX([1]Cluster_Master!$F$4:$F$18,MATCH($F240,[1]Cluster_Master!$B$4:$B$18,0)),"")</f>
        <v/>
      </c>
      <c r="L240" s="60" t="str">
        <f>IFERROR(INDEX([1]Cluster_Master!$G$4:$G$18,MATCH($F240,[1]Cluster_Master!$B$4:$B$18,0)),"")</f>
        <v/>
      </c>
      <c r="M240" s="60" t="str">
        <f>IFERROR(INDEX([1]Cluster_Master!$H$4:$H$18,MATCH($F240,[1]Cluster_Master!$B$4:$B$18,0)),"")</f>
        <v/>
      </c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60" t="str">
        <f>IF(COUNTA(T240:AH240)=0,"",SUM(T240:AH240))</f>
        <v/>
      </c>
      <c r="AJ240" s="61" t="str">
        <f>IF(COUNTA(T240:AH240)=0,"",AI240/75)</f>
        <v/>
      </c>
      <c r="AK240" s="61" t="str">
        <f>IF(COUNTA(T240:AH240)=0,"",(SUM(T240*[1]KPI_Weights!$B$4,U240*[1]KPI_Weights!$B$5,V240*[1]KPI_Weights!$B$6,W240*[1]KPI_Weights!$B$7,X240*[1]KPI_Weights!$B$8,Y240*[1]KPI_Weights!$B$9,Z240*[1]KPI_Weights!$B$10,AA240*[1]KPI_Weights!$B$11,AB240*[1]KPI_Weights!$B$12,AC240*[1]KPI_Weights!$B$13,AD240*[1]KPI_Weights!$B$14,AE240*[1]KPI_Weights!$B$15,AF240*[1]KPI_Weights!$B$16,AG240*[1]KPI_Weights!$B$17,AH240*[1]KPI_Weights!$B$18))/5)</f>
        <v/>
      </c>
      <c r="AL240" s="60" t="str">
        <f>IF(COUNTA(T240:AH240)=0,"",IF(OR(T240&lt;=1,W240&lt;=1,X240&lt;=1,Y240&lt;=1,AB240&lt;=1),"YES","NO"))</f>
        <v/>
      </c>
      <c r="AM240" s="60" t="str">
        <f>IF(AJ240="","",IF(AND(AL240="NO",AJ240&gt;=0.75),"YES","NO"))</f>
        <v/>
      </c>
      <c r="AN240" s="60" t="str">
        <f>IF(AJ240="","",IF(AJ240&lt;0.4,"Critical",IF(AJ240&lt;0.6,"Poor",IF(AJ240&lt;0.75,"Needs Improvement",IF(AJ240&lt;0.9,"Good","Excellent")))))</f>
        <v/>
      </c>
      <c r="AO240" s="59"/>
      <c r="AP240" s="59"/>
      <c r="AQ240" s="59"/>
      <c r="AR240" s="59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</row>
    <row r="241" spans="1:54" ht="19.5" customHeight="1" x14ac:dyDescent="0.25">
      <c r="A241" s="60" t="str">
        <f>IF($B241="","",TEXT($B241,"yyyymmdd")&amp;"-"&amp;SUBSTITUTE($F241," ","")&amp;"-"&amp;TEXT(COUNTIF($F$4:F241,$F241),"00"))</f>
        <v/>
      </c>
      <c r="B241" s="65"/>
      <c r="C241" s="60" t="str">
        <f>IF($B241="","",WEEKNUM($B241,2))</f>
        <v/>
      </c>
      <c r="D241" s="60" t="str">
        <f>IF($B241="","",TEXT($B241,"yyyy-mm"))</f>
        <v/>
      </c>
      <c r="E241" s="64"/>
      <c r="F241" s="64"/>
      <c r="G241" s="60" t="str">
        <f>IF(OR($E241="",$F241=""),"",IFERROR(IF($E241=INDEX([1]Cluster_Master!$A$4:$A$18,MATCH($F241,[1]Cluster_Master!$B$4:$B$18,0)),"OK","CHECK"),"CHECK"))</f>
        <v/>
      </c>
      <c r="H241" s="63" t="str">
        <f>IFERROR(INDEX([1]Cluster_Master!$C$4:$C$18,MATCH($F241,[1]Cluster_Master!$B$4:$B$18,0)),"")</f>
        <v/>
      </c>
      <c r="I241" s="60" t="str">
        <f>IFERROR(INDEX([1]Cluster_Master!$D$4:$D$18,MATCH($F241,[1]Cluster_Master!$B$4:$B$18,0)),"")</f>
        <v/>
      </c>
      <c r="J241" s="60" t="str">
        <f>IFERROR(INDEX([1]Cluster_Master!$E$4:$E$18,MATCH($F241,[1]Cluster_Master!$B$4:$B$18,0)),"")</f>
        <v/>
      </c>
      <c r="K241" s="60" t="str">
        <f>IFERROR(INDEX([1]Cluster_Master!$F$4:$F$18,MATCH($F241,[1]Cluster_Master!$B$4:$B$18,0)),"")</f>
        <v/>
      </c>
      <c r="L241" s="60" t="str">
        <f>IFERROR(INDEX([1]Cluster_Master!$G$4:$G$18,MATCH($F241,[1]Cluster_Master!$B$4:$B$18,0)),"")</f>
        <v/>
      </c>
      <c r="M241" s="60" t="str">
        <f>IFERROR(INDEX([1]Cluster_Master!$H$4:$H$18,MATCH($F241,[1]Cluster_Master!$B$4:$B$18,0)),"")</f>
        <v/>
      </c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60" t="str">
        <f>IF(COUNTA(T241:AH241)=0,"",SUM(T241:AH241))</f>
        <v/>
      </c>
      <c r="AJ241" s="61" t="str">
        <f>IF(COUNTA(T241:AH241)=0,"",AI241/75)</f>
        <v/>
      </c>
      <c r="AK241" s="61" t="str">
        <f>IF(COUNTA(T241:AH241)=0,"",(SUM(T241*[1]KPI_Weights!$B$4,U241*[1]KPI_Weights!$B$5,V241*[1]KPI_Weights!$B$6,W241*[1]KPI_Weights!$B$7,X241*[1]KPI_Weights!$B$8,Y241*[1]KPI_Weights!$B$9,Z241*[1]KPI_Weights!$B$10,AA241*[1]KPI_Weights!$B$11,AB241*[1]KPI_Weights!$B$12,AC241*[1]KPI_Weights!$B$13,AD241*[1]KPI_Weights!$B$14,AE241*[1]KPI_Weights!$B$15,AF241*[1]KPI_Weights!$B$16,AG241*[1]KPI_Weights!$B$17,AH241*[1]KPI_Weights!$B$18))/5)</f>
        <v/>
      </c>
      <c r="AL241" s="60" t="str">
        <f>IF(COUNTA(T241:AH241)=0,"",IF(OR(T241&lt;=1,W241&lt;=1,X241&lt;=1,Y241&lt;=1,AB241&lt;=1),"YES","NO"))</f>
        <v/>
      </c>
      <c r="AM241" s="60" t="str">
        <f>IF(AJ241="","",IF(AND(AL241="NO",AJ241&gt;=0.75),"YES","NO"))</f>
        <v/>
      </c>
      <c r="AN241" s="60" t="str">
        <f>IF(AJ241="","",IF(AJ241&lt;0.4,"Critical",IF(AJ241&lt;0.6,"Poor",IF(AJ241&lt;0.75,"Needs Improvement",IF(AJ241&lt;0.9,"Good","Excellent")))))</f>
        <v/>
      </c>
      <c r="AO241" s="59"/>
      <c r="AP241" s="59"/>
      <c r="AQ241" s="59"/>
      <c r="AR241" s="59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</row>
    <row r="242" spans="1:54" ht="19.5" customHeight="1" x14ac:dyDescent="0.25">
      <c r="A242" s="60" t="str">
        <f>IF($B242="","",TEXT($B242,"yyyymmdd")&amp;"-"&amp;SUBSTITUTE($F242," ","")&amp;"-"&amp;TEXT(COUNTIF($F$4:F242,$F242),"00"))</f>
        <v/>
      </c>
      <c r="B242" s="65"/>
      <c r="C242" s="60" t="str">
        <f>IF($B242="","",WEEKNUM($B242,2))</f>
        <v/>
      </c>
      <c r="D242" s="60" t="str">
        <f>IF($B242="","",TEXT($B242,"yyyy-mm"))</f>
        <v/>
      </c>
      <c r="E242" s="64"/>
      <c r="F242" s="64"/>
      <c r="G242" s="60" t="str">
        <f>IF(OR($E242="",$F242=""),"",IFERROR(IF($E242=INDEX([1]Cluster_Master!$A$4:$A$18,MATCH($F242,[1]Cluster_Master!$B$4:$B$18,0)),"OK","CHECK"),"CHECK"))</f>
        <v/>
      </c>
      <c r="H242" s="63" t="str">
        <f>IFERROR(INDEX([1]Cluster_Master!$C$4:$C$18,MATCH($F242,[1]Cluster_Master!$B$4:$B$18,0)),"")</f>
        <v/>
      </c>
      <c r="I242" s="60" t="str">
        <f>IFERROR(INDEX([1]Cluster_Master!$D$4:$D$18,MATCH($F242,[1]Cluster_Master!$B$4:$B$18,0)),"")</f>
        <v/>
      </c>
      <c r="J242" s="60" t="str">
        <f>IFERROR(INDEX([1]Cluster_Master!$E$4:$E$18,MATCH($F242,[1]Cluster_Master!$B$4:$B$18,0)),"")</f>
        <v/>
      </c>
      <c r="K242" s="60" t="str">
        <f>IFERROR(INDEX([1]Cluster_Master!$F$4:$F$18,MATCH($F242,[1]Cluster_Master!$B$4:$B$18,0)),"")</f>
        <v/>
      </c>
      <c r="L242" s="60" t="str">
        <f>IFERROR(INDEX([1]Cluster_Master!$G$4:$G$18,MATCH($F242,[1]Cluster_Master!$B$4:$B$18,0)),"")</f>
        <v/>
      </c>
      <c r="M242" s="60" t="str">
        <f>IFERROR(INDEX([1]Cluster_Master!$H$4:$H$18,MATCH($F242,[1]Cluster_Master!$B$4:$B$18,0)),"")</f>
        <v/>
      </c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60" t="str">
        <f>IF(COUNTA(T242:AH242)=0,"",SUM(T242:AH242))</f>
        <v/>
      </c>
      <c r="AJ242" s="61" t="str">
        <f>IF(COUNTA(T242:AH242)=0,"",AI242/75)</f>
        <v/>
      </c>
      <c r="AK242" s="61" t="str">
        <f>IF(COUNTA(T242:AH242)=0,"",(SUM(T242*[1]KPI_Weights!$B$4,U242*[1]KPI_Weights!$B$5,V242*[1]KPI_Weights!$B$6,W242*[1]KPI_Weights!$B$7,X242*[1]KPI_Weights!$B$8,Y242*[1]KPI_Weights!$B$9,Z242*[1]KPI_Weights!$B$10,AA242*[1]KPI_Weights!$B$11,AB242*[1]KPI_Weights!$B$12,AC242*[1]KPI_Weights!$B$13,AD242*[1]KPI_Weights!$B$14,AE242*[1]KPI_Weights!$B$15,AF242*[1]KPI_Weights!$B$16,AG242*[1]KPI_Weights!$B$17,AH242*[1]KPI_Weights!$B$18))/5)</f>
        <v/>
      </c>
      <c r="AL242" s="60" t="str">
        <f>IF(COUNTA(T242:AH242)=0,"",IF(OR(T242&lt;=1,W242&lt;=1,X242&lt;=1,Y242&lt;=1,AB242&lt;=1),"YES","NO"))</f>
        <v/>
      </c>
      <c r="AM242" s="60" t="str">
        <f>IF(AJ242="","",IF(AND(AL242="NO",AJ242&gt;=0.75),"YES","NO"))</f>
        <v/>
      </c>
      <c r="AN242" s="60" t="str">
        <f>IF(AJ242="","",IF(AJ242&lt;0.4,"Critical",IF(AJ242&lt;0.6,"Poor",IF(AJ242&lt;0.75,"Needs Improvement",IF(AJ242&lt;0.9,"Good","Excellent")))))</f>
        <v/>
      </c>
      <c r="AO242" s="59"/>
      <c r="AP242" s="59"/>
      <c r="AQ242" s="59"/>
      <c r="AR242" s="59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</row>
    <row r="243" spans="1:54" ht="19.5" customHeight="1" x14ac:dyDescent="0.25">
      <c r="A243" s="60" t="str">
        <f>IF($B243="","",TEXT($B243,"yyyymmdd")&amp;"-"&amp;SUBSTITUTE($F243," ","")&amp;"-"&amp;TEXT(COUNTIF($F$4:F243,$F243),"00"))</f>
        <v/>
      </c>
      <c r="B243" s="65"/>
      <c r="C243" s="60" t="str">
        <f>IF($B243="","",WEEKNUM($B243,2))</f>
        <v/>
      </c>
      <c r="D243" s="60" t="str">
        <f>IF($B243="","",TEXT($B243,"yyyy-mm"))</f>
        <v/>
      </c>
      <c r="E243" s="64"/>
      <c r="F243" s="64"/>
      <c r="G243" s="60" t="str">
        <f>IF(OR($E243="",$F243=""),"",IFERROR(IF($E243=INDEX([1]Cluster_Master!$A$4:$A$18,MATCH($F243,[1]Cluster_Master!$B$4:$B$18,0)),"OK","CHECK"),"CHECK"))</f>
        <v/>
      </c>
      <c r="H243" s="63" t="str">
        <f>IFERROR(INDEX([1]Cluster_Master!$C$4:$C$18,MATCH($F243,[1]Cluster_Master!$B$4:$B$18,0)),"")</f>
        <v/>
      </c>
      <c r="I243" s="60" t="str">
        <f>IFERROR(INDEX([1]Cluster_Master!$D$4:$D$18,MATCH($F243,[1]Cluster_Master!$B$4:$B$18,0)),"")</f>
        <v/>
      </c>
      <c r="J243" s="60" t="str">
        <f>IFERROR(INDEX([1]Cluster_Master!$E$4:$E$18,MATCH($F243,[1]Cluster_Master!$B$4:$B$18,0)),"")</f>
        <v/>
      </c>
      <c r="K243" s="60" t="str">
        <f>IFERROR(INDEX([1]Cluster_Master!$F$4:$F$18,MATCH($F243,[1]Cluster_Master!$B$4:$B$18,0)),"")</f>
        <v/>
      </c>
      <c r="L243" s="60" t="str">
        <f>IFERROR(INDEX([1]Cluster_Master!$G$4:$G$18,MATCH($F243,[1]Cluster_Master!$B$4:$B$18,0)),"")</f>
        <v/>
      </c>
      <c r="M243" s="60" t="str">
        <f>IFERROR(INDEX([1]Cluster_Master!$H$4:$H$18,MATCH($F243,[1]Cluster_Master!$B$4:$B$18,0)),"")</f>
        <v/>
      </c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60" t="str">
        <f>IF(COUNTA(T243:AH243)=0,"",SUM(T243:AH243))</f>
        <v/>
      </c>
      <c r="AJ243" s="61" t="str">
        <f>IF(COUNTA(T243:AH243)=0,"",AI243/75)</f>
        <v/>
      </c>
      <c r="AK243" s="61" t="str">
        <f>IF(COUNTA(T243:AH243)=0,"",(SUM(T243*[1]KPI_Weights!$B$4,U243*[1]KPI_Weights!$B$5,V243*[1]KPI_Weights!$B$6,W243*[1]KPI_Weights!$B$7,X243*[1]KPI_Weights!$B$8,Y243*[1]KPI_Weights!$B$9,Z243*[1]KPI_Weights!$B$10,AA243*[1]KPI_Weights!$B$11,AB243*[1]KPI_Weights!$B$12,AC243*[1]KPI_Weights!$B$13,AD243*[1]KPI_Weights!$B$14,AE243*[1]KPI_Weights!$B$15,AF243*[1]KPI_Weights!$B$16,AG243*[1]KPI_Weights!$B$17,AH243*[1]KPI_Weights!$B$18))/5)</f>
        <v/>
      </c>
      <c r="AL243" s="60" t="str">
        <f>IF(COUNTA(T243:AH243)=0,"",IF(OR(T243&lt;=1,W243&lt;=1,X243&lt;=1,Y243&lt;=1,AB243&lt;=1),"YES","NO"))</f>
        <v/>
      </c>
      <c r="AM243" s="60" t="str">
        <f>IF(AJ243="","",IF(AND(AL243="NO",AJ243&gt;=0.75),"YES","NO"))</f>
        <v/>
      </c>
      <c r="AN243" s="60" t="str">
        <f>IF(AJ243="","",IF(AJ243&lt;0.4,"Critical",IF(AJ243&lt;0.6,"Poor",IF(AJ243&lt;0.75,"Needs Improvement",IF(AJ243&lt;0.9,"Good","Excellent")))))</f>
        <v/>
      </c>
      <c r="AO243" s="59"/>
      <c r="AP243" s="59"/>
      <c r="AQ243" s="59"/>
      <c r="AR243" s="59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</row>
    <row r="244" spans="1:54" ht="19.5" customHeight="1" x14ac:dyDescent="0.25">
      <c r="A244" s="60" t="str">
        <f>IF($B244="","",TEXT($B244,"yyyymmdd")&amp;"-"&amp;SUBSTITUTE($F244," ","")&amp;"-"&amp;TEXT(COUNTIF($F$4:F244,$F244),"00"))</f>
        <v/>
      </c>
      <c r="B244" s="65"/>
      <c r="C244" s="60" t="str">
        <f>IF($B244="","",WEEKNUM($B244,2))</f>
        <v/>
      </c>
      <c r="D244" s="60" t="str">
        <f>IF($B244="","",TEXT($B244,"yyyy-mm"))</f>
        <v/>
      </c>
      <c r="E244" s="64"/>
      <c r="F244" s="64"/>
      <c r="G244" s="60" t="str">
        <f>IF(OR($E244="",$F244=""),"",IFERROR(IF($E244=INDEX([1]Cluster_Master!$A$4:$A$18,MATCH($F244,[1]Cluster_Master!$B$4:$B$18,0)),"OK","CHECK"),"CHECK"))</f>
        <v/>
      </c>
      <c r="H244" s="63" t="str">
        <f>IFERROR(INDEX([1]Cluster_Master!$C$4:$C$18,MATCH($F244,[1]Cluster_Master!$B$4:$B$18,0)),"")</f>
        <v/>
      </c>
      <c r="I244" s="60" t="str">
        <f>IFERROR(INDEX([1]Cluster_Master!$D$4:$D$18,MATCH($F244,[1]Cluster_Master!$B$4:$B$18,0)),"")</f>
        <v/>
      </c>
      <c r="J244" s="60" t="str">
        <f>IFERROR(INDEX([1]Cluster_Master!$E$4:$E$18,MATCH($F244,[1]Cluster_Master!$B$4:$B$18,0)),"")</f>
        <v/>
      </c>
      <c r="K244" s="60" t="str">
        <f>IFERROR(INDEX([1]Cluster_Master!$F$4:$F$18,MATCH($F244,[1]Cluster_Master!$B$4:$B$18,0)),"")</f>
        <v/>
      </c>
      <c r="L244" s="60" t="str">
        <f>IFERROR(INDEX([1]Cluster_Master!$G$4:$G$18,MATCH($F244,[1]Cluster_Master!$B$4:$B$18,0)),"")</f>
        <v/>
      </c>
      <c r="M244" s="60" t="str">
        <f>IFERROR(INDEX([1]Cluster_Master!$H$4:$H$18,MATCH($F244,[1]Cluster_Master!$B$4:$B$18,0)),"")</f>
        <v/>
      </c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60" t="str">
        <f>IF(COUNTA(T244:AH244)=0,"",SUM(T244:AH244))</f>
        <v/>
      </c>
      <c r="AJ244" s="61" t="str">
        <f>IF(COUNTA(T244:AH244)=0,"",AI244/75)</f>
        <v/>
      </c>
      <c r="AK244" s="61" t="str">
        <f>IF(COUNTA(T244:AH244)=0,"",(SUM(T244*[1]KPI_Weights!$B$4,U244*[1]KPI_Weights!$B$5,V244*[1]KPI_Weights!$B$6,W244*[1]KPI_Weights!$B$7,X244*[1]KPI_Weights!$B$8,Y244*[1]KPI_Weights!$B$9,Z244*[1]KPI_Weights!$B$10,AA244*[1]KPI_Weights!$B$11,AB244*[1]KPI_Weights!$B$12,AC244*[1]KPI_Weights!$B$13,AD244*[1]KPI_Weights!$B$14,AE244*[1]KPI_Weights!$B$15,AF244*[1]KPI_Weights!$B$16,AG244*[1]KPI_Weights!$B$17,AH244*[1]KPI_Weights!$B$18))/5)</f>
        <v/>
      </c>
      <c r="AL244" s="60" t="str">
        <f>IF(COUNTA(T244:AH244)=0,"",IF(OR(T244&lt;=1,W244&lt;=1,X244&lt;=1,Y244&lt;=1,AB244&lt;=1),"YES","NO"))</f>
        <v/>
      </c>
      <c r="AM244" s="60" t="str">
        <f>IF(AJ244="","",IF(AND(AL244="NO",AJ244&gt;=0.75),"YES","NO"))</f>
        <v/>
      </c>
      <c r="AN244" s="60" t="str">
        <f>IF(AJ244="","",IF(AJ244&lt;0.4,"Critical",IF(AJ244&lt;0.6,"Poor",IF(AJ244&lt;0.75,"Needs Improvement",IF(AJ244&lt;0.9,"Good","Excellent")))))</f>
        <v/>
      </c>
      <c r="AO244" s="59"/>
      <c r="AP244" s="59"/>
      <c r="AQ244" s="59"/>
      <c r="AR244" s="59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</row>
    <row r="245" spans="1:54" ht="19.5" customHeight="1" x14ac:dyDescent="0.25">
      <c r="A245" s="60" t="str">
        <f>IF($B245="","",TEXT($B245,"yyyymmdd")&amp;"-"&amp;SUBSTITUTE($F245," ","")&amp;"-"&amp;TEXT(COUNTIF($F$4:F245,$F245),"00"))</f>
        <v/>
      </c>
      <c r="B245" s="65"/>
      <c r="C245" s="60" t="str">
        <f>IF($B245="","",WEEKNUM($B245,2))</f>
        <v/>
      </c>
      <c r="D245" s="60" t="str">
        <f>IF($B245="","",TEXT($B245,"yyyy-mm"))</f>
        <v/>
      </c>
      <c r="E245" s="64"/>
      <c r="F245" s="64"/>
      <c r="G245" s="60" t="str">
        <f>IF(OR($E245="",$F245=""),"",IFERROR(IF($E245=INDEX([1]Cluster_Master!$A$4:$A$18,MATCH($F245,[1]Cluster_Master!$B$4:$B$18,0)),"OK","CHECK"),"CHECK"))</f>
        <v/>
      </c>
      <c r="H245" s="63" t="str">
        <f>IFERROR(INDEX([1]Cluster_Master!$C$4:$C$18,MATCH($F245,[1]Cluster_Master!$B$4:$B$18,0)),"")</f>
        <v/>
      </c>
      <c r="I245" s="60" t="str">
        <f>IFERROR(INDEX([1]Cluster_Master!$D$4:$D$18,MATCH($F245,[1]Cluster_Master!$B$4:$B$18,0)),"")</f>
        <v/>
      </c>
      <c r="J245" s="60" t="str">
        <f>IFERROR(INDEX([1]Cluster_Master!$E$4:$E$18,MATCH($F245,[1]Cluster_Master!$B$4:$B$18,0)),"")</f>
        <v/>
      </c>
      <c r="K245" s="60" t="str">
        <f>IFERROR(INDEX([1]Cluster_Master!$F$4:$F$18,MATCH($F245,[1]Cluster_Master!$B$4:$B$18,0)),"")</f>
        <v/>
      </c>
      <c r="L245" s="60" t="str">
        <f>IFERROR(INDEX([1]Cluster_Master!$G$4:$G$18,MATCH($F245,[1]Cluster_Master!$B$4:$B$18,0)),"")</f>
        <v/>
      </c>
      <c r="M245" s="60" t="str">
        <f>IFERROR(INDEX([1]Cluster_Master!$H$4:$H$18,MATCH($F245,[1]Cluster_Master!$B$4:$B$18,0)),"")</f>
        <v/>
      </c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60" t="str">
        <f>IF(COUNTA(T245:AH245)=0,"",SUM(T245:AH245))</f>
        <v/>
      </c>
      <c r="AJ245" s="61" t="str">
        <f>IF(COUNTA(T245:AH245)=0,"",AI245/75)</f>
        <v/>
      </c>
      <c r="AK245" s="61" t="str">
        <f>IF(COUNTA(T245:AH245)=0,"",(SUM(T245*[1]KPI_Weights!$B$4,U245*[1]KPI_Weights!$B$5,V245*[1]KPI_Weights!$B$6,W245*[1]KPI_Weights!$B$7,X245*[1]KPI_Weights!$B$8,Y245*[1]KPI_Weights!$B$9,Z245*[1]KPI_Weights!$B$10,AA245*[1]KPI_Weights!$B$11,AB245*[1]KPI_Weights!$B$12,AC245*[1]KPI_Weights!$B$13,AD245*[1]KPI_Weights!$B$14,AE245*[1]KPI_Weights!$B$15,AF245*[1]KPI_Weights!$B$16,AG245*[1]KPI_Weights!$B$17,AH245*[1]KPI_Weights!$B$18))/5)</f>
        <v/>
      </c>
      <c r="AL245" s="60" t="str">
        <f>IF(COUNTA(T245:AH245)=0,"",IF(OR(T245&lt;=1,W245&lt;=1,X245&lt;=1,Y245&lt;=1,AB245&lt;=1),"YES","NO"))</f>
        <v/>
      </c>
      <c r="AM245" s="60" t="str">
        <f>IF(AJ245="","",IF(AND(AL245="NO",AJ245&gt;=0.75),"YES","NO"))</f>
        <v/>
      </c>
      <c r="AN245" s="60" t="str">
        <f>IF(AJ245="","",IF(AJ245&lt;0.4,"Critical",IF(AJ245&lt;0.6,"Poor",IF(AJ245&lt;0.75,"Needs Improvement",IF(AJ245&lt;0.9,"Good","Excellent")))))</f>
        <v/>
      </c>
      <c r="AO245" s="59"/>
      <c r="AP245" s="59"/>
      <c r="AQ245" s="59"/>
      <c r="AR245" s="59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</row>
    <row r="246" spans="1:54" ht="19.5" customHeight="1" x14ac:dyDescent="0.25">
      <c r="A246" s="60" t="str">
        <f>IF($B246="","",TEXT($B246,"yyyymmdd")&amp;"-"&amp;SUBSTITUTE($F246," ","")&amp;"-"&amp;TEXT(COUNTIF($F$4:F246,$F246),"00"))</f>
        <v/>
      </c>
      <c r="B246" s="65"/>
      <c r="C246" s="60" t="str">
        <f>IF($B246="","",WEEKNUM($B246,2))</f>
        <v/>
      </c>
      <c r="D246" s="60" t="str">
        <f>IF($B246="","",TEXT($B246,"yyyy-mm"))</f>
        <v/>
      </c>
      <c r="E246" s="64"/>
      <c r="F246" s="64"/>
      <c r="G246" s="60" t="str">
        <f>IF(OR($E246="",$F246=""),"",IFERROR(IF($E246=INDEX([1]Cluster_Master!$A$4:$A$18,MATCH($F246,[1]Cluster_Master!$B$4:$B$18,0)),"OK","CHECK"),"CHECK"))</f>
        <v/>
      </c>
      <c r="H246" s="63" t="str">
        <f>IFERROR(INDEX([1]Cluster_Master!$C$4:$C$18,MATCH($F246,[1]Cluster_Master!$B$4:$B$18,0)),"")</f>
        <v/>
      </c>
      <c r="I246" s="60" t="str">
        <f>IFERROR(INDEX([1]Cluster_Master!$D$4:$D$18,MATCH($F246,[1]Cluster_Master!$B$4:$B$18,0)),"")</f>
        <v/>
      </c>
      <c r="J246" s="60" t="str">
        <f>IFERROR(INDEX([1]Cluster_Master!$E$4:$E$18,MATCH($F246,[1]Cluster_Master!$B$4:$B$18,0)),"")</f>
        <v/>
      </c>
      <c r="K246" s="60" t="str">
        <f>IFERROR(INDEX([1]Cluster_Master!$F$4:$F$18,MATCH($F246,[1]Cluster_Master!$B$4:$B$18,0)),"")</f>
        <v/>
      </c>
      <c r="L246" s="60" t="str">
        <f>IFERROR(INDEX([1]Cluster_Master!$G$4:$G$18,MATCH($F246,[1]Cluster_Master!$B$4:$B$18,0)),"")</f>
        <v/>
      </c>
      <c r="M246" s="60" t="str">
        <f>IFERROR(INDEX([1]Cluster_Master!$H$4:$H$18,MATCH($F246,[1]Cluster_Master!$B$4:$B$18,0)),"")</f>
        <v/>
      </c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60" t="str">
        <f>IF(COUNTA(T246:AH246)=0,"",SUM(T246:AH246))</f>
        <v/>
      </c>
      <c r="AJ246" s="61" t="str">
        <f>IF(COUNTA(T246:AH246)=0,"",AI246/75)</f>
        <v/>
      </c>
      <c r="AK246" s="61" t="str">
        <f>IF(COUNTA(T246:AH246)=0,"",(SUM(T246*[1]KPI_Weights!$B$4,U246*[1]KPI_Weights!$B$5,V246*[1]KPI_Weights!$B$6,W246*[1]KPI_Weights!$B$7,X246*[1]KPI_Weights!$B$8,Y246*[1]KPI_Weights!$B$9,Z246*[1]KPI_Weights!$B$10,AA246*[1]KPI_Weights!$B$11,AB246*[1]KPI_Weights!$B$12,AC246*[1]KPI_Weights!$B$13,AD246*[1]KPI_Weights!$B$14,AE246*[1]KPI_Weights!$B$15,AF246*[1]KPI_Weights!$B$16,AG246*[1]KPI_Weights!$B$17,AH246*[1]KPI_Weights!$B$18))/5)</f>
        <v/>
      </c>
      <c r="AL246" s="60" t="str">
        <f>IF(COUNTA(T246:AH246)=0,"",IF(OR(T246&lt;=1,W246&lt;=1,X246&lt;=1,Y246&lt;=1,AB246&lt;=1),"YES","NO"))</f>
        <v/>
      </c>
      <c r="AM246" s="60" t="str">
        <f>IF(AJ246="","",IF(AND(AL246="NO",AJ246&gt;=0.75),"YES","NO"))</f>
        <v/>
      </c>
      <c r="AN246" s="60" t="str">
        <f>IF(AJ246="","",IF(AJ246&lt;0.4,"Critical",IF(AJ246&lt;0.6,"Poor",IF(AJ246&lt;0.75,"Needs Improvement",IF(AJ246&lt;0.9,"Good","Excellent")))))</f>
        <v/>
      </c>
      <c r="AO246" s="59"/>
      <c r="AP246" s="59"/>
      <c r="AQ246" s="59"/>
      <c r="AR246" s="59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</row>
    <row r="247" spans="1:54" ht="19.5" customHeight="1" x14ac:dyDescent="0.25">
      <c r="A247" s="60" t="str">
        <f>IF($B247="","",TEXT($B247,"yyyymmdd")&amp;"-"&amp;SUBSTITUTE($F247," ","")&amp;"-"&amp;TEXT(COUNTIF($F$4:F247,$F247),"00"))</f>
        <v/>
      </c>
      <c r="B247" s="65"/>
      <c r="C247" s="60" t="str">
        <f>IF($B247="","",WEEKNUM($B247,2))</f>
        <v/>
      </c>
      <c r="D247" s="60" t="str">
        <f>IF($B247="","",TEXT($B247,"yyyy-mm"))</f>
        <v/>
      </c>
      <c r="E247" s="64"/>
      <c r="F247" s="64"/>
      <c r="G247" s="60" t="str">
        <f>IF(OR($E247="",$F247=""),"",IFERROR(IF($E247=INDEX([1]Cluster_Master!$A$4:$A$18,MATCH($F247,[1]Cluster_Master!$B$4:$B$18,0)),"OK","CHECK"),"CHECK"))</f>
        <v/>
      </c>
      <c r="H247" s="63" t="str">
        <f>IFERROR(INDEX([1]Cluster_Master!$C$4:$C$18,MATCH($F247,[1]Cluster_Master!$B$4:$B$18,0)),"")</f>
        <v/>
      </c>
      <c r="I247" s="60" t="str">
        <f>IFERROR(INDEX([1]Cluster_Master!$D$4:$D$18,MATCH($F247,[1]Cluster_Master!$B$4:$B$18,0)),"")</f>
        <v/>
      </c>
      <c r="J247" s="60" t="str">
        <f>IFERROR(INDEX([1]Cluster_Master!$E$4:$E$18,MATCH($F247,[1]Cluster_Master!$B$4:$B$18,0)),"")</f>
        <v/>
      </c>
      <c r="K247" s="60" t="str">
        <f>IFERROR(INDEX([1]Cluster_Master!$F$4:$F$18,MATCH($F247,[1]Cluster_Master!$B$4:$B$18,0)),"")</f>
        <v/>
      </c>
      <c r="L247" s="60" t="str">
        <f>IFERROR(INDEX([1]Cluster_Master!$G$4:$G$18,MATCH($F247,[1]Cluster_Master!$B$4:$B$18,0)),"")</f>
        <v/>
      </c>
      <c r="M247" s="60" t="str">
        <f>IFERROR(INDEX([1]Cluster_Master!$H$4:$H$18,MATCH($F247,[1]Cluster_Master!$B$4:$B$18,0)),"")</f>
        <v/>
      </c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60" t="str">
        <f>IF(COUNTA(T247:AH247)=0,"",SUM(T247:AH247))</f>
        <v/>
      </c>
      <c r="AJ247" s="61" t="str">
        <f>IF(COUNTA(T247:AH247)=0,"",AI247/75)</f>
        <v/>
      </c>
      <c r="AK247" s="61" t="str">
        <f>IF(COUNTA(T247:AH247)=0,"",(SUM(T247*[1]KPI_Weights!$B$4,U247*[1]KPI_Weights!$B$5,V247*[1]KPI_Weights!$B$6,W247*[1]KPI_Weights!$B$7,X247*[1]KPI_Weights!$B$8,Y247*[1]KPI_Weights!$B$9,Z247*[1]KPI_Weights!$B$10,AA247*[1]KPI_Weights!$B$11,AB247*[1]KPI_Weights!$B$12,AC247*[1]KPI_Weights!$B$13,AD247*[1]KPI_Weights!$B$14,AE247*[1]KPI_Weights!$B$15,AF247*[1]KPI_Weights!$B$16,AG247*[1]KPI_Weights!$B$17,AH247*[1]KPI_Weights!$B$18))/5)</f>
        <v/>
      </c>
      <c r="AL247" s="60" t="str">
        <f>IF(COUNTA(T247:AH247)=0,"",IF(OR(T247&lt;=1,W247&lt;=1,X247&lt;=1,Y247&lt;=1,AB247&lt;=1),"YES","NO"))</f>
        <v/>
      </c>
      <c r="AM247" s="60" t="str">
        <f>IF(AJ247="","",IF(AND(AL247="NO",AJ247&gt;=0.75),"YES","NO"))</f>
        <v/>
      </c>
      <c r="AN247" s="60" t="str">
        <f>IF(AJ247="","",IF(AJ247&lt;0.4,"Critical",IF(AJ247&lt;0.6,"Poor",IF(AJ247&lt;0.75,"Needs Improvement",IF(AJ247&lt;0.9,"Good","Excellent")))))</f>
        <v/>
      </c>
      <c r="AO247" s="59"/>
      <c r="AP247" s="59"/>
      <c r="AQ247" s="59"/>
      <c r="AR247" s="59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</row>
    <row r="248" spans="1:54" ht="19.5" customHeight="1" x14ac:dyDescent="0.25">
      <c r="A248" s="60" t="str">
        <f>IF($B248="","",TEXT($B248,"yyyymmdd")&amp;"-"&amp;SUBSTITUTE($F248," ","")&amp;"-"&amp;TEXT(COUNTIF($F$4:F248,$F248),"00"))</f>
        <v/>
      </c>
      <c r="B248" s="65"/>
      <c r="C248" s="60" t="str">
        <f>IF($B248="","",WEEKNUM($B248,2))</f>
        <v/>
      </c>
      <c r="D248" s="60" t="str">
        <f>IF($B248="","",TEXT($B248,"yyyy-mm"))</f>
        <v/>
      </c>
      <c r="E248" s="64"/>
      <c r="F248" s="64"/>
      <c r="G248" s="60" t="str">
        <f>IF(OR($E248="",$F248=""),"",IFERROR(IF($E248=INDEX([1]Cluster_Master!$A$4:$A$18,MATCH($F248,[1]Cluster_Master!$B$4:$B$18,0)),"OK","CHECK"),"CHECK"))</f>
        <v/>
      </c>
      <c r="H248" s="63" t="str">
        <f>IFERROR(INDEX([1]Cluster_Master!$C$4:$C$18,MATCH($F248,[1]Cluster_Master!$B$4:$B$18,0)),"")</f>
        <v/>
      </c>
      <c r="I248" s="60" t="str">
        <f>IFERROR(INDEX([1]Cluster_Master!$D$4:$D$18,MATCH($F248,[1]Cluster_Master!$B$4:$B$18,0)),"")</f>
        <v/>
      </c>
      <c r="J248" s="60" t="str">
        <f>IFERROR(INDEX([1]Cluster_Master!$E$4:$E$18,MATCH($F248,[1]Cluster_Master!$B$4:$B$18,0)),"")</f>
        <v/>
      </c>
      <c r="K248" s="60" t="str">
        <f>IFERROR(INDEX([1]Cluster_Master!$F$4:$F$18,MATCH($F248,[1]Cluster_Master!$B$4:$B$18,0)),"")</f>
        <v/>
      </c>
      <c r="L248" s="60" t="str">
        <f>IFERROR(INDEX([1]Cluster_Master!$G$4:$G$18,MATCH($F248,[1]Cluster_Master!$B$4:$B$18,0)),"")</f>
        <v/>
      </c>
      <c r="M248" s="60" t="str">
        <f>IFERROR(INDEX([1]Cluster_Master!$H$4:$H$18,MATCH($F248,[1]Cluster_Master!$B$4:$B$18,0)),"")</f>
        <v/>
      </c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60" t="str">
        <f>IF(COUNTA(T248:AH248)=0,"",SUM(T248:AH248))</f>
        <v/>
      </c>
      <c r="AJ248" s="61" t="str">
        <f>IF(COUNTA(T248:AH248)=0,"",AI248/75)</f>
        <v/>
      </c>
      <c r="AK248" s="61" t="str">
        <f>IF(COUNTA(T248:AH248)=0,"",(SUM(T248*[1]KPI_Weights!$B$4,U248*[1]KPI_Weights!$B$5,V248*[1]KPI_Weights!$B$6,W248*[1]KPI_Weights!$B$7,X248*[1]KPI_Weights!$B$8,Y248*[1]KPI_Weights!$B$9,Z248*[1]KPI_Weights!$B$10,AA248*[1]KPI_Weights!$B$11,AB248*[1]KPI_Weights!$B$12,AC248*[1]KPI_Weights!$B$13,AD248*[1]KPI_Weights!$B$14,AE248*[1]KPI_Weights!$B$15,AF248*[1]KPI_Weights!$B$16,AG248*[1]KPI_Weights!$B$17,AH248*[1]KPI_Weights!$B$18))/5)</f>
        <v/>
      </c>
      <c r="AL248" s="60" t="str">
        <f>IF(COUNTA(T248:AH248)=0,"",IF(OR(T248&lt;=1,W248&lt;=1,X248&lt;=1,Y248&lt;=1,AB248&lt;=1),"YES","NO"))</f>
        <v/>
      </c>
      <c r="AM248" s="60" t="str">
        <f>IF(AJ248="","",IF(AND(AL248="NO",AJ248&gt;=0.75),"YES","NO"))</f>
        <v/>
      </c>
      <c r="AN248" s="60" t="str">
        <f>IF(AJ248="","",IF(AJ248&lt;0.4,"Critical",IF(AJ248&lt;0.6,"Poor",IF(AJ248&lt;0.75,"Needs Improvement",IF(AJ248&lt;0.9,"Good","Excellent")))))</f>
        <v/>
      </c>
      <c r="AO248" s="59"/>
      <c r="AP248" s="59"/>
      <c r="AQ248" s="59"/>
      <c r="AR248" s="59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</row>
    <row r="249" spans="1:54" ht="19.5" customHeight="1" x14ac:dyDescent="0.25">
      <c r="A249" s="60" t="str">
        <f>IF($B249="","",TEXT($B249,"yyyymmdd")&amp;"-"&amp;SUBSTITUTE($F249," ","")&amp;"-"&amp;TEXT(COUNTIF($F$4:F249,$F249),"00"))</f>
        <v/>
      </c>
      <c r="B249" s="65"/>
      <c r="C249" s="60" t="str">
        <f>IF($B249="","",WEEKNUM($B249,2))</f>
        <v/>
      </c>
      <c r="D249" s="60" t="str">
        <f>IF($B249="","",TEXT($B249,"yyyy-mm"))</f>
        <v/>
      </c>
      <c r="E249" s="64"/>
      <c r="F249" s="64"/>
      <c r="G249" s="60" t="str">
        <f>IF(OR($E249="",$F249=""),"",IFERROR(IF($E249=INDEX([1]Cluster_Master!$A$4:$A$18,MATCH($F249,[1]Cluster_Master!$B$4:$B$18,0)),"OK","CHECK"),"CHECK"))</f>
        <v/>
      </c>
      <c r="H249" s="63" t="str">
        <f>IFERROR(INDEX([1]Cluster_Master!$C$4:$C$18,MATCH($F249,[1]Cluster_Master!$B$4:$B$18,0)),"")</f>
        <v/>
      </c>
      <c r="I249" s="60" t="str">
        <f>IFERROR(INDEX([1]Cluster_Master!$D$4:$D$18,MATCH($F249,[1]Cluster_Master!$B$4:$B$18,0)),"")</f>
        <v/>
      </c>
      <c r="J249" s="60" t="str">
        <f>IFERROR(INDEX([1]Cluster_Master!$E$4:$E$18,MATCH($F249,[1]Cluster_Master!$B$4:$B$18,0)),"")</f>
        <v/>
      </c>
      <c r="K249" s="60" t="str">
        <f>IFERROR(INDEX([1]Cluster_Master!$F$4:$F$18,MATCH($F249,[1]Cluster_Master!$B$4:$B$18,0)),"")</f>
        <v/>
      </c>
      <c r="L249" s="60" t="str">
        <f>IFERROR(INDEX([1]Cluster_Master!$G$4:$G$18,MATCH($F249,[1]Cluster_Master!$B$4:$B$18,0)),"")</f>
        <v/>
      </c>
      <c r="M249" s="60" t="str">
        <f>IFERROR(INDEX([1]Cluster_Master!$H$4:$H$18,MATCH($F249,[1]Cluster_Master!$B$4:$B$18,0)),"")</f>
        <v/>
      </c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60" t="str">
        <f>IF(COUNTA(T249:AH249)=0,"",SUM(T249:AH249))</f>
        <v/>
      </c>
      <c r="AJ249" s="61" t="str">
        <f>IF(COUNTA(T249:AH249)=0,"",AI249/75)</f>
        <v/>
      </c>
      <c r="AK249" s="61" t="str">
        <f>IF(COUNTA(T249:AH249)=0,"",(SUM(T249*[1]KPI_Weights!$B$4,U249*[1]KPI_Weights!$B$5,V249*[1]KPI_Weights!$B$6,W249*[1]KPI_Weights!$B$7,X249*[1]KPI_Weights!$B$8,Y249*[1]KPI_Weights!$B$9,Z249*[1]KPI_Weights!$B$10,AA249*[1]KPI_Weights!$B$11,AB249*[1]KPI_Weights!$B$12,AC249*[1]KPI_Weights!$B$13,AD249*[1]KPI_Weights!$B$14,AE249*[1]KPI_Weights!$B$15,AF249*[1]KPI_Weights!$B$16,AG249*[1]KPI_Weights!$B$17,AH249*[1]KPI_Weights!$B$18))/5)</f>
        <v/>
      </c>
      <c r="AL249" s="60" t="str">
        <f>IF(COUNTA(T249:AH249)=0,"",IF(OR(T249&lt;=1,W249&lt;=1,X249&lt;=1,Y249&lt;=1,AB249&lt;=1),"YES","NO"))</f>
        <v/>
      </c>
      <c r="AM249" s="60" t="str">
        <f>IF(AJ249="","",IF(AND(AL249="NO",AJ249&gt;=0.75),"YES","NO"))</f>
        <v/>
      </c>
      <c r="AN249" s="60" t="str">
        <f>IF(AJ249="","",IF(AJ249&lt;0.4,"Critical",IF(AJ249&lt;0.6,"Poor",IF(AJ249&lt;0.75,"Needs Improvement",IF(AJ249&lt;0.9,"Good","Excellent")))))</f>
        <v/>
      </c>
      <c r="AO249" s="59"/>
      <c r="AP249" s="59"/>
      <c r="AQ249" s="59"/>
      <c r="AR249" s="59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</row>
    <row r="250" spans="1:54" ht="19.5" customHeight="1" x14ac:dyDescent="0.25">
      <c r="A250" s="60" t="str">
        <f>IF($B250="","",TEXT($B250,"yyyymmdd")&amp;"-"&amp;SUBSTITUTE($F250," ","")&amp;"-"&amp;TEXT(COUNTIF($F$4:F250,$F250),"00"))</f>
        <v/>
      </c>
      <c r="B250" s="65"/>
      <c r="C250" s="60" t="str">
        <f>IF($B250="","",WEEKNUM($B250,2))</f>
        <v/>
      </c>
      <c r="D250" s="60" t="str">
        <f>IF($B250="","",TEXT($B250,"yyyy-mm"))</f>
        <v/>
      </c>
      <c r="E250" s="64"/>
      <c r="F250" s="64"/>
      <c r="G250" s="60" t="str">
        <f>IF(OR($E250="",$F250=""),"",IFERROR(IF($E250=INDEX([1]Cluster_Master!$A$4:$A$18,MATCH($F250,[1]Cluster_Master!$B$4:$B$18,0)),"OK","CHECK"),"CHECK"))</f>
        <v/>
      </c>
      <c r="H250" s="63" t="str">
        <f>IFERROR(INDEX([1]Cluster_Master!$C$4:$C$18,MATCH($F250,[1]Cluster_Master!$B$4:$B$18,0)),"")</f>
        <v/>
      </c>
      <c r="I250" s="60" t="str">
        <f>IFERROR(INDEX([1]Cluster_Master!$D$4:$D$18,MATCH($F250,[1]Cluster_Master!$B$4:$B$18,0)),"")</f>
        <v/>
      </c>
      <c r="J250" s="60" t="str">
        <f>IFERROR(INDEX([1]Cluster_Master!$E$4:$E$18,MATCH($F250,[1]Cluster_Master!$B$4:$B$18,0)),"")</f>
        <v/>
      </c>
      <c r="K250" s="60" t="str">
        <f>IFERROR(INDEX([1]Cluster_Master!$F$4:$F$18,MATCH($F250,[1]Cluster_Master!$B$4:$B$18,0)),"")</f>
        <v/>
      </c>
      <c r="L250" s="60" t="str">
        <f>IFERROR(INDEX([1]Cluster_Master!$G$4:$G$18,MATCH($F250,[1]Cluster_Master!$B$4:$B$18,0)),"")</f>
        <v/>
      </c>
      <c r="M250" s="60" t="str">
        <f>IFERROR(INDEX([1]Cluster_Master!$H$4:$H$18,MATCH($F250,[1]Cluster_Master!$B$4:$B$18,0)),"")</f>
        <v/>
      </c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60" t="str">
        <f>IF(COUNTA(T250:AH250)=0,"",SUM(T250:AH250))</f>
        <v/>
      </c>
      <c r="AJ250" s="61" t="str">
        <f>IF(COUNTA(T250:AH250)=0,"",AI250/75)</f>
        <v/>
      </c>
      <c r="AK250" s="61" t="str">
        <f>IF(COUNTA(T250:AH250)=0,"",(SUM(T250*[1]KPI_Weights!$B$4,U250*[1]KPI_Weights!$B$5,V250*[1]KPI_Weights!$B$6,W250*[1]KPI_Weights!$B$7,X250*[1]KPI_Weights!$B$8,Y250*[1]KPI_Weights!$B$9,Z250*[1]KPI_Weights!$B$10,AA250*[1]KPI_Weights!$B$11,AB250*[1]KPI_Weights!$B$12,AC250*[1]KPI_Weights!$B$13,AD250*[1]KPI_Weights!$B$14,AE250*[1]KPI_Weights!$B$15,AF250*[1]KPI_Weights!$B$16,AG250*[1]KPI_Weights!$B$17,AH250*[1]KPI_Weights!$B$18))/5)</f>
        <v/>
      </c>
      <c r="AL250" s="60" t="str">
        <f>IF(COUNTA(T250:AH250)=0,"",IF(OR(T250&lt;=1,W250&lt;=1,X250&lt;=1,Y250&lt;=1,AB250&lt;=1),"YES","NO"))</f>
        <v/>
      </c>
      <c r="AM250" s="60" t="str">
        <f>IF(AJ250="","",IF(AND(AL250="NO",AJ250&gt;=0.75),"YES","NO"))</f>
        <v/>
      </c>
      <c r="AN250" s="60" t="str">
        <f>IF(AJ250="","",IF(AJ250&lt;0.4,"Critical",IF(AJ250&lt;0.6,"Poor",IF(AJ250&lt;0.75,"Needs Improvement",IF(AJ250&lt;0.9,"Good","Excellent")))))</f>
        <v/>
      </c>
      <c r="AO250" s="59"/>
      <c r="AP250" s="59"/>
      <c r="AQ250" s="59"/>
      <c r="AR250" s="59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</row>
    <row r="251" spans="1:54" ht="19.5" customHeight="1" x14ac:dyDescent="0.25">
      <c r="A251" s="60" t="str">
        <f>IF($B251="","",TEXT($B251,"yyyymmdd")&amp;"-"&amp;SUBSTITUTE($F251," ","")&amp;"-"&amp;TEXT(COUNTIF($F$4:F251,$F251),"00"))</f>
        <v/>
      </c>
      <c r="B251" s="65"/>
      <c r="C251" s="60" t="str">
        <f>IF($B251="","",WEEKNUM($B251,2))</f>
        <v/>
      </c>
      <c r="D251" s="60" t="str">
        <f>IF($B251="","",TEXT($B251,"yyyy-mm"))</f>
        <v/>
      </c>
      <c r="E251" s="64"/>
      <c r="F251" s="64"/>
      <c r="G251" s="60" t="str">
        <f>IF(OR($E251="",$F251=""),"",IFERROR(IF($E251=INDEX([1]Cluster_Master!$A$4:$A$18,MATCH($F251,[1]Cluster_Master!$B$4:$B$18,0)),"OK","CHECK"),"CHECK"))</f>
        <v/>
      </c>
      <c r="H251" s="63" t="str">
        <f>IFERROR(INDEX([1]Cluster_Master!$C$4:$C$18,MATCH($F251,[1]Cluster_Master!$B$4:$B$18,0)),"")</f>
        <v/>
      </c>
      <c r="I251" s="60" t="str">
        <f>IFERROR(INDEX([1]Cluster_Master!$D$4:$D$18,MATCH($F251,[1]Cluster_Master!$B$4:$B$18,0)),"")</f>
        <v/>
      </c>
      <c r="J251" s="60" t="str">
        <f>IFERROR(INDEX([1]Cluster_Master!$E$4:$E$18,MATCH($F251,[1]Cluster_Master!$B$4:$B$18,0)),"")</f>
        <v/>
      </c>
      <c r="K251" s="60" t="str">
        <f>IFERROR(INDEX([1]Cluster_Master!$F$4:$F$18,MATCH($F251,[1]Cluster_Master!$B$4:$B$18,0)),"")</f>
        <v/>
      </c>
      <c r="L251" s="60" t="str">
        <f>IFERROR(INDEX([1]Cluster_Master!$G$4:$G$18,MATCH($F251,[1]Cluster_Master!$B$4:$B$18,0)),"")</f>
        <v/>
      </c>
      <c r="M251" s="60" t="str">
        <f>IFERROR(INDEX([1]Cluster_Master!$H$4:$H$18,MATCH($F251,[1]Cluster_Master!$B$4:$B$18,0)),"")</f>
        <v/>
      </c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60" t="str">
        <f>IF(COUNTA(T251:AH251)=0,"",SUM(T251:AH251))</f>
        <v/>
      </c>
      <c r="AJ251" s="61" t="str">
        <f>IF(COUNTA(T251:AH251)=0,"",AI251/75)</f>
        <v/>
      </c>
      <c r="AK251" s="61" t="str">
        <f>IF(COUNTA(T251:AH251)=0,"",(SUM(T251*[1]KPI_Weights!$B$4,U251*[1]KPI_Weights!$B$5,V251*[1]KPI_Weights!$B$6,W251*[1]KPI_Weights!$B$7,X251*[1]KPI_Weights!$B$8,Y251*[1]KPI_Weights!$B$9,Z251*[1]KPI_Weights!$B$10,AA251*[1]KPI_Weights!$B$11,AB251*[1]KPI_Weights!$B$12,AC251*[1]KPI_Weights!$B$13,AD251*[1]KPI_Weights!$B$14,AE251*[1]KPI_Weights!$B$15,AF251*[1]KPI_Weights!$B$16,AG251*[1]KPI_Weights!$B$17,AH251*[1]KPI_Weights!$B$18))/5)</f>
        <v/>
      </c>
      <c r="AL251" s="60" t="str">
        <f>IF(COUNTA(T251:AH251)=0,"",IF(OR(T251&lt;=1,W251&lt;=1,X251&lt;=1,Y251&lt;=1,AB251&lt;=1),"YES","NO"))</f>
        <v/>
      </c>
      <c r="AM251" s="60" t="str">
        <f>IF(AJ251="","",IF(AND(AL251="NO",AJ251&gt;=0.75),"YES","NO"))</f>
        <v/>
      </c>
      <c r="AN251" s="60" t="str">
        <f>IF(AJ251="","",IF(AJ251&lt;0.4,"Critical",IF(AJ251&lt;0.6,"Poor",IF(AJ251&lt;0.75,"Needs Improvement",IF(AJ251&lt;0.9,"Good","Excellent")))))</f>
        <v/>
      </c>
      <c r="AO251" s="59"/>
      <c r="AP251" s="59"/>
      <c r="AQ251" s="59"/>
      <c r="AR251" s="59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</row>
    <row r="252" spans="1:54" ht="19.5" customHeight="1" x14ac:dyDescent="0.25">
      <c r="A252" s="60" t="str">
        <f>IF($B252="","",TEXT($B252,"yyyymmdd")&amp;"-"&amp;SUBSTITUTE($F252," ","")&amp;"-"&amp;TEXT(COUNTIF($F$4:F252,$F252),"00"))</f>
        <v/>
      </c>
      <c r="B252" s="65"/>
      <c r="C252" s="60" t="str">
        <f>IF($B252="","",WEEKNUM($B252,2))</f>
        <v/>
      </c>
      <c r="D252" s="60" t="str">
        <f>IF($B252="","",TEXT($B252,"yyyy-mm"))</f>
        <v/>
      </c>
      <c r="E252" s="64"/>
      <c r="F252" s="64"/>
      <c r="G252" s="60" t="str">
        <f>IF(OR($E252="",$F252=""),"",IFERROR(IF($E252=INDEX([1]Cluster_Master!$A$4:$A$18,MATCH($F252,[1]Cluster_Master!$B$4:$B$18,0)),"OK","CHECK"),"CHECK"))</f>
        <v/>
      </c>
      <c r="H252" s="63" t="str">
        <f>IFERROR(INDEX([1]Cluster_Master!$C$4:$C$18,MATCH($F252,[1]Cluster_Master!$B$4:$B$18,0)),"")</f>
        <v/>
      </c>
      <c r="I252" s="60" t="str">
        <f>IFERROR(INDEX([1]Cluster_Master!$D$4:$D$18,MATCH($F252,[1]Cluster_Master!$B$4:$B$18,0)),"")</f>
        <v/>
      </c>
      <c r="J252" s="60" t="str">
        <f>IFERROR(INDEX([1]Cluster_Master!$E$4:$E$18,MATCH($F252,[1]Cluster_Master!$B$4:$B$18,0)),"")</f>
        <v/>
      </c>
      <c r="K252" s="60" t="str">
        <f>IFERROR(INDEX([1]Cluster_Master!$F$4:$F$18,MATCH($F252,[1]Cluster_Master!$B$4:$B$18,0)),"")</f>
        <v/>
      </c>
      <c r="L252" s="60" t="str">
        <f>IFERROR(INDEX([1]Cluster_Master!$G$4:$G$18,MATCH($F252,[1]Cluster_Master!$B$4:$B$18,0)),"")</f>
        <v/>
      </c>
      <c r="M252" s="60" t="str">
        <f>IFERROR(INDEX([1]Cluster_Master!$H$4:$H$18,MATCH($F252,[1]Cluster_Master!$B$4:$B$18,0)),"")</f>
        <v/>
      </c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60" t="str">
        <f>IF(COUNTA(T252:AH252)=0,"",SUM(T252:AH252))</f>
        <v/>
      </c>
      <c r="AJ252" s="61" t="str">
        <f>IF(COUNTA(T252:AH252)=0,"",AI252/75)</f>
        <v/>
      </c>
      <c r="AK252" s="61" t="str">
        <f>IF(COUNTA(T252:AH252)=0,"",(SUM(T252*[1]KPI_Weights!$B$4,U252*[1]KPI_Weights!$B$5,V252*[1]KPI_Weights!$B$6,W252*[1]KPI_Weights!$B$7,X252*[1]KPI_Weights!$B$8,Y252*[1]KPI_Weights!$B$9,Z252*[1]KPI_Weights!$B$10,AA252*[1]KPI_Weights!$B$11,AB252*[1]KPI_Weights!$B$12,AC252*[1]KPI_Weights!$B$13,AD252*[1]KPI_Weights!$B$14,AE252*[1]KPI_Weights!$B$15,AF252*[1]KPI_Weights!$B$16,AG252*[1]KPI_Weights!$B$17,AH252*[1]KPI_Weights!$B$18))/5)</f>
        <v/>
      </c>
      <c r="AL252" s="60" t="str">
        <f>IF(COUNTA(T252:AH252)=0,"",IF(OR(T252&lt;=1,W252&lt;=1,X252&lt;=1,Y252&lt;=1,AB252&lt;=1),"YES","NO"))</f>
        <v/>
      </c>
      <c r="AM252" s="60" t="str">
        <f>IF(AJ252="","",IF(AND(AL252="NO",AJ252&gt;=0.75),"YES","NO"))</f>
        <v/>
      </c>
      <c r="AN252" s="60" t="str">
        <f>IF(AJ252="","",IF(AJ252&lt;0.4,"Critical",IF(AJ252&lt;0.6,"Poor",IF(AJ252&lt;0.75,"Needs Improvement",IF(AJ252&lt;0.9,"Good","Excellent")))))</f>
        <v/>
      </c>
      <c r="AO252" s="59"/>
      <c r="AP252" s="59"/>
      <c r="AQ252" s="59"/>
      <c r="AR252" s="59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</row>
    <row r="253" spans="1:54" ht="19.5" customHeight="1" x14ac:dyDescent="0.25">
      <c r="A253" s="60" t="str">
        <f>IF($B253="","",TEXT($B253,"yyyymmdd")&amp;"-"&amp;SUBSTITUTE($F253," ","")&amp;"-"&amp;TEXT(COUNTIF($F$4:F253,$F253),"00"))</f>
        <v/>
      </c>
      <c r="B253" s="65"/>
      <c r="C253" s="60" t="str">
        <f>IF($B253="","",WEEKNUM($B253,2))</f>
        <v/>
      </c>
      <c r="D253" s="60" t="str">
        <f>IF($B253="","",TEXT($B253,"yyyy-mm"))</f>
        <v/>
      </c>
      <c r="E253" s="64"/>
      <c r="F253" s="64"/>
      <c r="G253" s="60" t="str">
        <f>IF(OR($E253="",$F253=""),"",IFERROR(IF($E253=INDEX([1]Cluster_Master!$A$4:$A$18,MATCH($F253,[1]Cluster_Master!$B$4:$B$18,0)),"OK","CHECK"),"CHECK"))</f>
        <v/>
      </c>
      <c r="H253" s="63" t="str">
        <f>IFERROR(INDEX([1]Cluster_Master!$C$4:$C$18,MATCH($F253,[1]Cluster_Master!$B$4:$B$18,0)),"")</f>
        <v/>
      </c>
      <c r="I253" s="60" t="str">
        <f>IFERROR(INDEX([1]Cluster_Master!$D$4:$D$18,MATCH($F253,[1]Cluster_Master!$B$4:$B$18,0)),"")</f>
        <v/>
      </c>
      <c r="J253" s="60" t="str">
        <f>IFERROR(INDEX([1]Cluster_Master!$E$4:$E$18,MATCH($F253,[1]Cluster_Master!$B$4:$B$18,0)),"")</f>
        <v/>
      </c>
      <c r="K253" s="60" t="str">
        <f>IFERROR(INDEX([1]Cluster_Master!$F$4:$F$18,MATCH($F253,[1]Cluster_Master!$B$4:$B$18,0)),"")</f>
        <v/>
      </c>
      <c r="L253" s="60" t="str">
        <f>IFERROR(INDEX([1]Cluster_Master!$G$4:$G$18,MATCH($F253,[1]Cluster_Master!$B$4:$B$18,0)),"")</f>
        <v/>
      </c>
      <c r="M253" s="60" t="str">
        <f>IFERROR(INDEX([1]Cluster_Master!$H$4:$H$18,MATCH($F253,[1]Cluster_Master!$B$4:$B$18,0)),"")</f>
        <v/>
      </c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60" t="str">
        <f>IF(COUNTA(T253:AH253)=0,"",SUM(T253:AH253))</f>
        <v/>
      </c>
      <c r="AJ253" s="61" t="str">
        <f>IF(COUNTA(T253:AH253)=0,"",AI253/75)</f>
        <v/>
      </c>
      <c r="AK253" s="61" t="str">
        <f>IF(COUNTA(T253:AH253)=0,"",(SUM(T253*[1]KPI_Weights!$B$4,U253*[1]KPI_Weights!$B$5,V253*[1]KPI_Weights!$B$6,W253*[1]KPI_Weights!$B$7,X253*[1]KPI_Weights!$B$8,Y253*[1]KPI_Weights!$B$9,Z253*[1]KPI_Weights!$B$10,AA253*[1]KPI_Weights!$B$11,AB253*[1]KPI_Weights!$B$12,AC253*[1]KPI_Weights!$B$13,AD253*[1]KPI_Weights!$B$14,AE253*[1]KPI_Weights!$B$15,AF253*[1]KPI_Weights!$B$16,AG253*[1]KPI_Weights!$B$17,AH253*[1]KPI_Weights!$B$18))/5)</f>
        <v/>
      </c>
      <c r="AL253" s="60" t="str">
        <f>IF(COUNTA(T253:AH253)=0,"",IF(OR(T253&lt;=1,W253&lt;=1,X253&lt;=1,Y253&lt;=1,AB253&lt;=1),"YES","NO"))</f>
        <v/>
      </c>
      <c r="AM253" s="60" t="str">
        <f>IF(AJ253="","",IF(AND(AL253="NO",AJ253&gt;=0.75),"YES","NO"))</f>
        <v/>
      </c>
      <c r="AN253" s="60" t="str">
        <f>IF(AJ253="","",IF(AJ253&lt;0.4,"Critical",IF(AJ253&lt;0.6,"Poor",IF(AJ253&lt;0.75,"Needs Improvement",IF(AJ253&lt;0.9,"Good","Excellent")))))</f>
        <v/>
      </c>
      <c r="AO253" s="59"/>
      <c r="AP253" s="59"/>
      <c r="AQ253" s="59"/>
      <c r="AR253" s="59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</row>
    <row r="254" spans="1:54" ht="19.5" customHeight="1" x14ac:dyDescent="0.25">
      <c r="A254" s="60" t="str">
        <f>IF($B254="","",TEXT($B254,"yyyymmdd")&amp;"-"&amp;SUBSTITUTE($F254," ","")&amp;"-"&amp;TEXT(COUNTIF($F$4:F254,$F254),"00"))</f>
        <v/>
      </c>
      <c r="B254" s="65"/>
      <c r="C254" s="60" t="str">
        <f>IF($B254="","",WEEKNUM($B254,2))</f>
        <v/>
      </c>
      <c r="D254" s="60" t="str">
        <f>IF($B254="","",TEXT($B254,"yyyy-mm"))</f>
        <v/>
      </c>
      <c r="E254" s="64"/>
      <c r="F254" s="64"/>
      <c r="G254" s="60" t="str">
        <f>IF(OR($E254="",$F254=""),"",IFERROR(IF($E254=INDEX([1]Cluster_Master!$A$4:$A$18,MATCH($F254,[1]Cluster_Master!$B$4:$B$18,0)),"OK","CHECK"),"CHECK"))</f>
        <v/>
      </c>
      <c r="H254" s="63" t="str">
        <f>IFERROR(INDEX([1]Cluster_Master!$C$4:$C$18,MATCH($F254,[1]Cluster_Master!$B$4:$B$18,0)),"")</f>
        <v/>
      </c>
      <c r="I254" s="60" t="str">
        <f>IFERROR(INDEX([1]Cluster_Master!$D$4:$D$18,MATCH($F254,[1]Cluster_Master!$B$4:$B$18,0)),"")</f>
        <v/>
      </c>
      <c r="J254" s="60" t="str">
        <f>IFERROR(INDEX([1]Cluster_Master!$E$4:$E$18,MATCH($F254,[1]Cluster_Master!$B$4:$B$18,0)),"")</f>
        <v/>
      </c>
      <c r="K254" s="60" t="str">
        <f>IFERROR(INDEX([1]Cluster_Master!$F$4:$F$18,MATCH($F254,[1]Cluster_Master!$B$4:$B$18,0)),"")</f>
        <v/>
      </c>
      <c r="L254" s="60" t="str">
        <f>IFERROR(INDEX([1]Cluster_Master!$G$4:$G$18,MATCH($F254,[1]Cluster_Master!$B$4:$B$18,0)),"")</f>
        <v/>
      </c>
      <c r="M254" s="60" t="str">
        <f>IFERROR(INDEX([1]Cluster_Master!$H$4:$H$18,MATCH($F254,[1]Cluster_Master!$B$4:$B$18,0)),"")</f>
        <v/>
      </c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60" t="str">
        <f>IF(COUNTA(T254:AH254)=0,"",SUM(T254:AH254))</f>
        <v/>
      </c>
      <c r="AJ254" s="61" t="str">
        <f>IF(COUNTA(T254:AH254)=0,"",AI254/75)</f>
        <v/>
      </c>
      <c r="AK254" s="61" t="str">
        <f>IF(COUNTA(T254:AH254)=0,"",(SUM(T254*[1]KPI_Weights!$B$4,U254*[1]KPI_Weights!$B$5,V254*[1]KPI_Weights!$B$6,W254*[1]KPI_Weights!$B$7,X254*[1]KPI_Weights!$B$8,Y254*[1]KPI_Weights!$B$9,Z254*[1]KPI_Weights!$B$10,AA254*[1]KPI_Weights!$B$11,AB254*[1]KPI_Weights!$B$12,AC254*[1]KPI_Weights!$B$13,AD254*[1]KPI_Weights!$B$14,AE254*[1]KPI_Weights!$B$15,AF254*[1]KPI_Weights!$B$16,AG254*[1]KPI_Weights!$B$17,AH254*[1]KPI_Weights!$B$18))/5)</f>
        <v/>
      </c>
      <c r="AL254" s="60" t="str">
        <f>IF(COUNTA(T254:AH254)=0,"",IF(OR(T254&lt;=1,W254&lt;=1,X254&lt;=1,Y254&lt;=1,AB254&lt;=1),"YES","NO"))</f>
        <v/>
      </c>
      <c r="AM254" s="60" t="str">
        <f>IF(AJ254="","",IF(AND(AL254="NO",AJ254&gt;=0.75),"YES","NO"))</f>
        <v/>
      </c>
      <c r="AN254" s="60" t="str">
        <f>IF(AJ254="","",IF(AJ254&lt;0.4,"Critical",IF(AJ254&lt;0.6,"Poor",IF(AJ254&lt;0.75,"Needs Improvement",IF(AJ254&lt;0.9,"Good","Excellent")))))</f>
        <v/>
      </c>
      <c r="AO254" s="59"/>
      <c r="AP254" s="59"/>
      <c r="AQ254" s="59"/>
      <c r="AR254" s="59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</row>
    <row r="255" spans="1:54" ht="19.5" customHeight="1" x14ac:dyDescent="0.25">
      <c r="A255" s="60" t="str">
        <f>IF($B255="","",TEXT($B255,"yyyymmdd")&amp;"-"&amp;SUBSTITUTE($F255," ","")&amp;"-"&amp;TEXT(COUNTIF($F$4:F255,$F255),"00"))</f>
        <v/>
      </c>
      <c r="B255" s="65"/>
      <c r="C255" s="60" t="str">
        <f>IF($B255="","",WEEKNUM($B255,2))</f>
        <v/>
      </c>
      <c r="D255" s="60" t="str">
        <f>IF($B255="","",TEXT($B255,"yyyy-mm"))</f>
        <v/>
      </c>
      <c r="E255" s="64"/>
      <c r="F255" s="64"/>
      <c r="G255" s="60" t="str">
        <f>IF(OR($E255="",$F255=""),"",IFERROR(IF($E255=INDEX([1]Cluster_Master!$A$4:$A$18,MATCH($F255,[1]Cluster_Master!$B$4:$B$18,0)),"OK","CHECK"),"CHECK"))</f>
        <v/>
      </c>
      <c r="H255" s="63" t="str">
        <f>IFERROR(INDEX([1]Cluster_Master!$C$4:$C$18,MATCH($F255,[1]Cluster_Master!$B$4:$B$18,0)),"")</f>
        <v/>
      </c>
      <c r="I255" s="60" t="str">
        <f>IFERROR(INDEX([1]Cluster_Master!$D$4:$D$18,MATCH($F255,[1]Cluster_Master!$B$4:$B$18,0)),"")</f>
        <v/>
      </c>
      <c r="J255" s="60" t="str">
        <f>IFERROR(INDEX([1]Cluster_Master!$E$4:$E$18,MATCH($F255,[1]Cluster_Master!$B$4:$B$18,0)),"")</f>
        <v/>
      </c>
      <c r="K255" s="60" t="str">
        <f>IFERROR(INDEX([1]Cluster_Master!$F$4:$F$18,MATCH($F255,[1]Cluster_Master!$B$4:$B$18,0)),"")</f>
        <v/>
      </c>
      <c r="L255" s="60" t="str">
        <f>IFERROR(INDEX([1]Cluster_Master!$G$4:$G$18,MATCH($F255,[1]Cluster_Master!$B$4:$B$18,0)),"")</f>
        <v/>
      </c>
      <c r="M255" s="60" t="str">
        <f>IFERROR(INDEX([1]Cluster_Master!$H$4:$H$18,MATCH($F255,[1]Cluster_Master!$B$4:$B$18,0)),"")</f>
        <v/>
      </c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60" t="str">
        <f>IF(COUNTA(T255:AH255)=0,"",SUM(T255:AH255))</f>
        <v/>
      </c>
      <c r="AJ255" s="61" t="str">
        <f>IF(COUNTA(T255:AH255)=0,"",AI255/75)</f>
        <v/>
      </c>
      <c r="AK255" s="61" t="str">
        <f>IF(COUNTA(T255:AH255)=0,"",(SUM(T255*[1]KPI_Weights!$B$4,U255*[1]KPI_Weights!$B$5,V255*[1]KPI_Weights!$B$6,W255*[1]KPI_Weights!$B$7,X255*[1]KPI_Weights!$B$8,Y255*[1]KPI_Weights!$B$9,Z255*[1]KPI_Weights!$B$10,AA255*[1]KPI_Weights!$B$11,AB255*[1]KPI_Weights!$B$12,AC255*[1]KPI_Weights!$B$13,AD255*[1]KPI_Weights!$B$14,AE255*[1]KPI_Weights!$B$15,AF255*[1]KPI_Weights!$B$16,AG255*[1]KPI_Weights!$B$17,AH255*[1]KPI_Weights!$B$18))/5)</f>
        <v/>
      </c>
      <c r="AL255" s="60" t="str">
        <f>IF(COUNTA(T255:AH255)=0,"",IF(OR(T255&lt;=1,W255&lt;=1,X255&lt;=1,Y255&lt;=1,AB255&lt;=1),"YES","NO"))</f>
        <v/>
      </c>
      <c r="AM255" s="60" t="str">
        <f>IF(AJ255="","",IF(AND(AL255="NO",AJ255&gt;=0.75),"YES","NO"))</f>
        <v/>
      </c>
      <c r="AN255" s="60" t="str">
        <f>IF(AJ255="","",IF(AJ255&lt;0.4,"Critical",IF(AJ255&lt;0.6,"Poor",IF(AJ255&lt;0.75,"Needs Improvement",IF(AJ255&lt;0.9,"Good","Excellent")))))</f>
        <v/>
      </c>
      <c r="AO255" s="59"/>
      <c r="AP255" s="59"/>
      <c r="AQ255" s="59"/>
      <c r="AR255" s="59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</row>
    <row r="256" spans="1:54" ht="19.5" customHeight="1" x14ac:dyDescent="0.25">
      <c r="A256" s="60" t="str">
        <f>IF($B256="","",TEXT($B256,"yyyymmdd")&amp;"-"&amp;SUBSTITUTE($F256," ","")&amp;"-"&amp;TEXT(COUNTIF($F$4:F256,$F256),"00"))</f>
        <v/>
      </c>
      <c r="B256" s="65"/>
      <c r="C256" s="60" t="str">
        <f>IF($B256="","",WEEKNUM($B256,2))</f>
        <v/>
      </c>
      <c r="D256" s="60" t="str">
        <f>IF($B256="","",TEXT($B256,"yyyy-mm"))</f>
        <v/>
      </c>
      <c r="E256" s="64"/>
      <c r="F256" s="64"/>
      <c r="G256" s="60" t="str">
        <f>IF(OR($E256="",$F256=""),"",IFERROR(IF($E256=INDEX([1]Cluster_Master!$A$4:$A$18,MATCH($F256,[1]Cluster_Master!$B$4:$B$18,0)),"OK","CHECK"),"CHECK"))</f>
        <v/>
      </c>
      <c r="H256" s="63" t="str">
        <f>IFERROR(INDEX([1]Cluster_Master!$C$4:$C$18,MATCH($F256,[1]Cluster_Master!$B$4:$B$18,0)),"")</f>
        <v/>
      </c>
      <c r="I256" s="60" t="str">
        <f>IFERROR(INDEX([1]Cluster_Master!$D$4:$D$18,MATCH($F256,[1]Cluster_Master!$B$4:$B$18,0)),"")</f>
        <v/>
      </c>
      <c r="J256" s="60" t="str">
        <f>IFERROR(INDEX([1]Cluster_Master!$E$4:$E$18,MATCH($F256,[1]Cluster_Master!$B$4:$B$18,0)),"")</f>
        <v/>
      </c>
      <c r="K256" s="60" t="str">
        <f>IFERROR(INDEX([1]Cluster_Master!$F$4:$F$18,MATCH($F256,[1]Cluster_Master!$B$4:$B$18,0)),"")</f>
        <v/>
      </c>
      <c r="L256" s="60" t="str">
        <f>IFERROR(INDEX([1]Cluster_Master!$G$4:$G$18,MATCH($F256,[1]Cluster_Master!$B$4:$B$18,0)),"")</f>
        <v/>
      </c>
      <c r="M256" s="60" t="str">
        <f>IFERROR(INDEX([1]Cluster_Master!$H$4:$H$18,MATCH($F256,[1]Cluster_Master!$B$4:$B$18,0)),"")</f>
        <v/>
      </c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60" t="str">
        <f>IF(COUNTA(T256:AH256)=0,"",SUM(T256:AH256))</f>
        <v/>
      </c>
      <c r="AJ256" s="61" t="str">
        <f>IF(COUNTA(T256:AH256)=0,"",AI256/75)</f>
        <v/>
      </c>
      <c r="AK256" s="61" t="str">
        <f>IF(COUNTA(T256:AH256)=0,"",(SUM(T256*[1]KPI_Weights!$B$4,U256*[1]KPI_Weights!$B$5,V256*[1]KPI_Weights!$B$6,W256*[1]KPI_Weights!$B$7,X256*[1]KPI_Weights!$B$8,Y256*[1]KPI_Weights!$B$9,Z256*[1]KPI_Weights!$B$10,AA256*[1]KPI_Weights!$B$11,AB256*[1]KPI_Weights!$B$12,AC256*[1]KPI_Weights!$B$13,AD256*[1]KPI_Weights!$B$14,AE256*[1]KPI_Weights!$B$15,AF256*[1]KPI_Weights!$B$16,AG256*[1]KPI_Weights!$B$17,AH256*[1]KPI_Weights!$B$18))/5)</f>
        <v/>
      </c>
      <c r="AL256" s="60" t="str">
        <f>IF(COUNTA(T256:AH256)=0,"",IF(OR(T256&lt;=1,W256&lt;=1,X256&lt;=1,Y256&lt;=1,AB256&lt;=1),"YES","NO"))</f>
        <v/>
      </c>
      <c r="AM256" s="60" t="str">
        <f>IF(AJ256="","",IF(AND(AL256="NO",AJ256&gt;=0.75),"YES","NO"))</f>
        <v/>
      </c>
      <c r="AN256" s="60" t="str">
        <f>IF(AJ256="","",IF(AJ256&lt;0.4,"Critical",IF(AJ256&lt;0.6,"Poor",IF(AJ256&lt;0.75,"Needs Improvement",IF(AJ256&lt;0.9,"Good","Excellent")))))</f>
        <v/>
      </c>
      <c r="AO256" s="59"/>
      <c r="AP256" s="59"/>
      <c r="AQ256" s="59"/>
      <c r="AR256" s="59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</row>
    <row r="257" spans="1:54" ht="19.5" customHeight="1" x14ac:dyDescent="0.25">
      <c r="A257" s="60" t="str">
        <f>IF($B257="","",TEXT($B257,"yyyymmdd")&amp;"-"&amp;SUBSTITUTE($F257," ","")&amp;"-"&amp;TEXT(COUNTIF($F$4:F257,$F257),"00"))</f>
        <v/>
      </c>
      <c r="B257" s="65"/>
      <c r="C257" s="60" t="str">
        <f>IF($B257="","",WEEKNUM($B257,2))</f>
        <v/>
      </c>
      <c r="D257" s="60" t="str">
        <f>IF($B257="","",TEXT($B257,"yyyy-mm"))</f>
        <v/>
      </c>
      <c r="E257" s="64"/>
      <c r="F257" s="64"/>
      <c r="G257" s="60" t="str">
        <f>IF(OR($E257="",$F257=""),"",IFERROR(IF($E257=INDEX([1]Cluster_Master!$A$4:$A$18,MATCH($F257,[1]Cluster_Master!$B$4:$B$18,0)),"OK","CHECK"),"CHECK"))</f>
        <v/>
      </c>
      <c r="H257" s="63" t="str">
        <f>IFERROR(INDEX([1]Cluster_Master!$C$4:$C$18,MATCH($F257,[1]Cluster_Master!$B$4:$B$18,0)),"")</f>
        <v/>
      </c>
      <c r="I257" s="60" t="str">
        <f>IFERROR(INDEX([1]Cluster_Master!$D$4:$D$18,MATCH($F257,[1]Cluster_Master!$B$4:$B$18,0)),"")</f>
        <v/>
      </c>
      <c r="J257" s="60" t="str">
        <f>IFERROR(INDEX([1]Cluster_Master!$E$4:$E$18,MATCH($F257,[1]Cluster_Master!$B$4:$B$18,0)),"")</f>
        <v/>
      </c>
      <c r="K257" s="60" t="str">
        <f>IFERROR(INDEX([1]Cluster_Master!$F$4:$F$18,MATCH($F257,[1]Cluster_Master!$B$4:$B$18,0)),"")</f>
        <v/>
      </c>
      <c r="L257" s="60" t="str">
        <f>IFERROR(INDEX([1]Cluster_Master!$G$4:$G$18,MATCH($F257,[1]Cluster_Master!$B$4:$B$18,0)),"")</f>
        <v/>
      </c>
      <c r="M257" s="60" t="str">
        <f>IFERROR(INDEX([1]Cluster_Master!$H$4:$H$18,MATCH($F257,[1]Cluster_Master!$B$4:$B$18,0)),"")</f>
        <v/>
      </c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60" t="str">
        <f>IF(COUNTA(T257:AH257)=0,"",SUM(T257:AH257))</f>
        <v/>
      </c>
      <c r="AJ257" s="61" t="str">
        <f>IF(COUNTA(T257:AH257)=0,"",AI257/75)</f>
        <v/>
      </c>
      <c r="AK257" s="61" t="str">
        <f>IF(COUNTA(T257:AH257)=0,"",(SUM(T257*[1]KPI_Weights!$B$4,U257*[1]KPI_Weights!$B$5,V257*[1]KPI_Weights!$B$6,W257*[1]KPI_Weights!$B$7,X257*[1]KPI_Weights!$B$8,Y257*[1]KPI_Weights!$B$9,Z257*[1]KPI_Weights!$B$10,AA257*[1]KPI_Weights!$B$11,AB257*[1]KPI_Weights!$B$12,AC257*[1]KPI_Weights!$B$13,AD257*[1]KPI_Weights!$B$14,AE257*[1]KPI_Weights!$B$15,AF257*[1]KPI_Weights!$B$16,AG257*[1]KPI_Weights!$B$17,AH257*[1]KPI_Weights!$B$18))/5)</f>
        <v/>
      </c>
      <c r="AL257" s="60" t="str">
        <f>IF(COUNTA(T257:AH257)=0,"",IF(OR(T257&lt;=1,W257&lt;=1,X257&lt;=1,Y257&lt;=1,AB257&lt;=1),"YES","NO"))</f>
        <v/>
      </c>
      <c r="AM257" s="60" t="str">
        <f>IF(AJ257="","",IF(AND(AL257="NO",AJ257&gt;=0.75),"YES","NO"))</f>
        <v/>
      </c>
      <c r="AN257" s="60" t="str">
        <f>IF(AJ257="","",IF(AJ257&lt;0.4,"Critical",IF(AJ257&lt;0.6,"Poor",IF(AJ257&lt;0.75,"Needs Improvement",IF(AJ257&lt;0.9,"Good","Excellent")))))</f>
        <v/>
      </c>
      <c r="AO257" s="59"/>
      <c r="AP257" s="59"/>
      <c r="AQ257" s="59"/>
      <c r="AR257" s="59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</row>
    <row r="258" spans="1:54" ht="19.5" customHeight="1" x14ac:dyDescent="0.25">
      <c r="A258" s="60" t="str">
        <f>IF($B258="","",TEXT($B258,"yyyymmdd")&amp;"-"&amp;SUBSTITUTE($F258," ","")&amp;"-"&amp;TEXT(COUNTIF($F$4:F258,$F258),"00"))</f>
        <v/>
      </c>
      <c r="B258" s="65"/>
      <c r="C258" s="60" t="str">
        <f>IF($B258="","",WEEKNUM($B258,2))</f>
        <v/>
      </c>
      <c r="D258" s="60" t="str">
        <f>IF($B258="","",TEXT($B258,"yyyy-mm"))</f>
        <v/>
      </c>
      <c r="E258" s="64"/>
      <c r="F258" s="64"/>
      <c r="G258" s="60" t="str">
        <f>IF(OR($E258="",$F258=""),"",IFERROR(IF($E258=INDEX([1]Cluster_Master!$A$4:$A$18,MATCH($F258,[1]Cluster_Master!$B$4:$B$18,0)),"OK","CHECK"),"CHECK"))</f>
        <v/>
      </c>
      <c r="H258" s="63" t="str">
        <f>IFERROR(INDEX([1]Cluster_Master!$C$4:$C$18,MATCH($F258,[1]Cluster_Master!$B$4:$B$18,0)),"")</f>
        <v/>
      </c>
      <c r="I258" s="60" t="str">
        <f>IFERROR(INDEX([1]Cluster_Master!$D$4:$D$18,MATCH($F258,[1]Cluster_Master!$B$4:$B$18,0)),"")</f>
        <v/>
      </c>
      <c r="J258" s="60" t="str">
        <f>IFERROR(INDEX([1]Cluster_Master!$E$4:$E$18,MATCH($F258,[1]Cluster_Master!$B$4:$B$18,0)),"")</f>
        <v/>
      </c>
      <c r="K258" s="60" t="str">
        <f>IFERROR(INDEX([1]Cluster_Master!$F$4:$F$18,MATCH($F258,[1]Cluster_Master!$B$4:$B$18,0)),"")</f>
        <v/>
      </c>
      <c r="L258" s="60" t="str">
        <f>IFERROR(INDEX([1]Cluster_Master!$G$4:$G$18,MATCH($F258,[1]Cluster_Master!$B$4:$B$18,0)),"")</f>
        <v/>
      </c>
      <c r="M258" s="60" t="str">
        <f>IFERROR(INDEX([1]Cluster_Master!$H$4:$H$18,MATCH($F258,[1]Cluster_Master!$B$4:$B$18,0)),"")</f>
        <v/>
      </c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60" t="str">
        <f>IF(COUNTA(T258:AH258)=0,"",SUM(T258:AH258))</f>
        <v/>
      </c>
      <c r="AJ258" s="61" t="str">
        <f>IF(COUNTA(T258:AH258)=0,"",AI258/75)</f>
        <v/>
      </c>
      <c r="AK258" s="61" t="str">
        <f>IF(COUNTA(T258:AH258)=0,"",(SUM(T258*[1]KPI_Weights!$B$4,U258*[1]KPI_Weights!$B$5,V258*[1]KPI_Weights!$B$6,W258*[1]KPI_Weights!$B$7,X258*[1]KPI_Weights!$B$8,Y258*[1]KPI_Weights!$B$9,Z258*[1]KPI_Weights!$B$10,AA258*[1]KPI_Weights!$B$11,AB258*[1]KPI_Weights!$B$12,AC258*[1]KPI_Weights!$B$13,AD258*[1]KPI_Weights!$B$14,AE258*[1]KPI_Weights!$B$15,AF258*[1]KPI_Weights!$B$16,AG258*[1]KPI_Weights!$B$17,AH258*[1]KPI_Weights!$B$18))/5)</f>
        <v/>
      </c>
      <c r="AL258" s="60" t="str">
        <f>IF(COUNTA(T258:AH258)=0,"",IF(OR(T258&lt;=1,W258&lt;=1,X258&lt;=1,Y258&lt;=1,AB258&lt;=1),"YES","NO"))</f>
        <v/>
      </c>
      <c r="AM258" s="60" t="str">
        <f>IF(AJ258="","",IF(AND(AL258="NO",AJ258&gt;=0.75),"YES","NO"))</f>
        <v/>
      </c>
      <c r="AN258" s="60" t="str">
        <f>IF(AJ258="","",IF(AJ258&lt;0.4,"Critical",IF(AJ258&lt;0.6,"Poor",IF(AJ258&lt;0.75,"Needs Improvement",IF(AJ258&lt;0.9,"Good","Excellent")))))</f>
        <v/>
      </c>
      <c r="AO258" s="59"/>
      <c r="AP258" s="59"/>
      <c r="AQ258" s="59"/>
      <c r="AR258" s="59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</row>
    <row r="259" spans="1:54" ht="19.5" customHeight="1" x14ac:dyDescent="0.25">
      <c r="A259" s="60" t="str">
        <f>IF($B259="","",TEXT($B259,"yyyymmdd")&amp;"-"&amp;SUBSTITUTE($F259," ","")&amp;"-"&amp;TEXT(COUNTIF($F$4:F259,$F259),"00"))</f>
        <v/>
      </c>
      <c r="B259" s="65"/>
      <c r="C259" s="60" t="str">
        <f>IF($B259="","",WEEKNUM($B259,2))</f>
        <v/>
      </c>
      <c r="D259" s="60" t="str">
        <f>IF($B259="","",TEXT($B259,"yyyy-mm"))</f>
        <v/>
      </c>
      <c r="E259" s="64"/>
      <c r="F259" s="64"/>
      <c r="G259" s="60" t="str">
        <f>IF(OR($E259="",$F259=""),"",IFERROR(IF($E259=INDEX([1]Cluster_Master!$A$4:$A$18,MATCH($F259,[1]Cluster_Master!$B$4:$B$18,0)),"OK","CHECK"),"CHECK"))</f>
        <v/>
      </c>
      <c r="H259" s="63" t="str">
        <f>IFERROR(INDEX([1]Cluster_Master!$C$4:$C$18,MATCH($F259,[1]Cluster_Master!$B$4:$B$18,0)),"")</f>
        <v/>
      </c>
      <c r="I259" s="60" t="str">
        <f>IFERROR(INDEX([1]Cluster_Master!$D$4:$D$18,MATCH($F259,[1]Cluster_Master!$B$4:$B$18,0)),"")</f>
        <v/>
      </c>
      <c r="J259" s="60" t="str">
        <f>IFERROR(INDEX([1]Cluster_Master!$E$4:$E$18,MATCH($F259,[1]Cluster_Master!$B$4:$B$18,0)),"")</f>
        <v/>
      </c>
      <c r="K259" s="60" t="str">
        <f>IFERROR(INDEX([1]Cluster_Master!$F$4:$F$18,MATCH($F259,[1]Cluster_Master!$B$4:$B$18,0)),"")</f>
        <v/>
      </c>
      <c r="L259" s="60" t="str">
        <f>IFERROR(INDEX([1]Cluster_Master!$G$4:$G$18,MATCH($F259,[1]Cluster_Master!$B$4:$B$18,0)),"")</f>
        <v/>
      </c>
      <c r="M259" s="60" t="str">
        <f>IFERROR(INDEX([1]Cluster_Master!$H$4:$H$18,MATCH($F259,[1]Cluster_Master!$B$4:$B$18,0)),"")</f>
        <v/>
      </c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60" t="str">
        <f>IF(COUNTA(T259:AH259)=0,"",SUM(T259:AH259))</f>
        <v/>
      </c>
      <c r="AJ259" s="61" t="str">
        <f>IF(COUNTA(T259:AH259)=0,"",AI259/75)</f>
        <v/>
      </c>
      <c r="AK259" s="61" t="str">
        <f>IF(COUNTA(T259:AH259)=0,"",(SUM(T259*[1]KPI_Weights!$B$4,U259*[1]KPI_Weights!$B$5,V259*[1]KPI_Weights!$B$6,W259*[1]KPI_Weights!$B$7,X259*[1]KPI_Weights!$B$8,Y259*[1]KPI_Weights!$B$9,Z259*[1]KPI_Weights!$B$10,AA259*[1]KPI_Weights!$B$11,AB259*[1]KPI_Weights!$B$12,AC259*[1]KPI_Weights!$B$13,AD259*[1]KPI_Weights!$B$14,AE259*[1]KPI_Weights!$B$15,AF259*[1]KPI_Weights!$B$16,AG259*[1]KPI_Weights!$B$17,AH259*[1]KPI_Weights!$B$18))/5)</f>
        <v/>
      </c>
      <c r="AL259" s="60" t="str">
        <f>IF(COUNTA(T259:AH259)=0,"",IF(OR(T259&lt;=1,W259&lt;=1,X259&lt;=1,Y259&lt;=1,AB259&lt;=1),"YES","NO"))</f>
        <v/>
      </c>
      <c r="AM259" s="60" t="str">
        <f>IF(AJ259="","",IF(AND(AL259="NO",AJ259&gt;=0.75),"YES","NO"))</f>
        <v/>
      </c>
      <c r="AN259" s="60" t="str">
        <f>IF(AJ259="","",IF(AJ259&lt;0.4,"Critical",IF(AJ259&lt;0.6,"Poor",IF(AJ259&lt;0.75,"Needs Improvement",IF(AJ259&lt;0.9,"Good","Excellent")))))</f>
        <v/>
      </c>
      <c r="AO259" s="59"/>
      <c r="AP259" s="59"/>
      <c r="AQ259" s="59"/>
      <c r="AR259" s="59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</row>
    <row r="260" spans="1:54" ht="19.5" customHeight="1" x14ac:dyDescent="0.25">
      <c r="A260" s="60" t="str">
        <f>IF($B260="","",TEXT($B260,"yyyymmdd")&amp;"-"&amp;SUBSTITUTE($F260," ","")&amp;"-"&amp;TEXT(COUNTIF($F$4:F260,$F260),"00"))</f>
        <v/>
      </c>
      <c r="B260" s="65"/>
      <c r="C260" s="60" t="str">
        <f>IF($B260="","",WEEKNUM($B260,2))</f>
        <v/>
      </c>
      <c r="D260" s="60" t="str">
        <f>IF($B260="","",TEXT($B260,"yyyy-mm"))</f>
        <v/>
      </c>
      <c r="E260" s="64"/>
      <c r="F260" s="64"/>
      <c r="G260" s="60" t="str">
        <f>IF(OR($E260="",$F260=""),"",IFERROR(IF($E260=INDEX([1]Cluster_Master!$A$4:$A$18,MATCH($F260,[1]Cluster_Master!$B$4:$B$18,0)),"OK","CHECK"),"CHECK"))</f>
        <v/>
      </c>
      <c r="H260" s="63" t="str">
        <f>IFERROR(INDEX([1]Cluster_Master!$C$4:$C$18,MATCH($F260,[1]Cluster_Master!$B$4:$B$18,0)),"")</f>
        <v/>
      </c>
      <c r="I260" s="60" t="str">
        <f>IFERROR(INDEX([1]Cluster_Master!$D$4:$D$18,MATCH($F260,[1]Cluster_Master!$B$4:$B$18,0)),"")</f>
        <v/>
      </c>
      <c r="J260" s="60" t="str">
        <f>IFERROR(INDEX([1]Cluster_Master!$E$4:$E$18,MATCH($F260,[1]Cluster_Master!$B$4:$B$18,0)),"")</f>
        <v/>
      </c>
      <c r="K260" s="60" t="str">
        <f>IFERROR(INDEX([1]Cluster_Master!$F$4:$F$18,MATCH($F260,[1]Cluster_Master!$B$4:$B$18,0)),"")</f>
        <v/>
      </c>
      <c r="L260" s="60" t="str">
        <f>IFERROR(INDEX([1]Cluster_Master!$G$4:$G$18,MATCH($F260,[1]Cluster_Master!$B$4:$B$18,0)),"")</f>
        <v/>
      </c>
      <c r="M260" s="60" t="str">
        <f>IFERROR(INDEX([1]Cluster_Master!$H$4:$H$18,MATCH($F260,[1]Cluster_Master!$B$4:$B$18,0)),"")</f>
        <v/>
      </c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60" t="str">
        <f>IF(COUNTA(T260:AH260)=0,"",SUM(T260:AH260))</f>
        <v/>
      </c>
      <c r="AJ260" s="61" t="str">
        <f>IF(COUNTA(T260:AH260)=0,"",AI260/75)</f>
        <v/>
      </c>
      <c r="AK260" s="61" t="str">
        <f>IF(COUNTA(T260:AH260)=0,"",(SUM(T260*[1]KPI_Weights!$B$4,U260*[1]KPI_Weights!$B$5,V260*[1]KPI_Weights!$B$6,W260*[1]KPI_Weights!$B$7,X260*[1]KPI_Weights!$B$8,Y260*[1]KPI_Weights!$B$9,Z260*[1]KPI_Weights!$B$10,AA260*[1]KPI_Weights!$B$11,AB260*[1]KPI_Weights!$B$12,AC260*[1]KPI_Weights!$B$13,AD260*[1]KPI_Weights!$B$14,AE260*[1]KPI_Weights!$B$15,AF260*[1]KPI_Weights!$B$16,AG260*[1]KPI_Weights!$B$17,AH260*[1]KPI_Weights!$B$18))/5)</f>
        <v/>
      </c>
      <c r="AL260" s="60" t="str">
        <f>IF(COUNTA(T260:AH260)=0,"",IF(OR(T260&lt;=1,W260&lt;=1,X260&lt;=1,Y260&lt;=1,AB260&lt;=1),"YES","NO"))</f>
        <v/>
      </c>
      <c r="AM260" s="60" t="str">
        <f>IF(AJ260="","",IF(AND(AL260="NO",AJ260&gt;=0.75),"YES","NO"))</f>
        <v/>
      </c>
      <c r="AN260" s="60" t="str">
        <f>IF(AJ260="","",IF(AJ260&lt;0.4,"Critical",IF(AJ260&lt;0.6,"Poor",IF(AJ260&lt;0.75,"Needs Improvement",IF(AJ260&lt;0.9,"Good","Excellent")))))</f>
        <v/>
      </c>
      <c r="AO260" s="59"/>
      <c r="AP260" s="59"/>
      <c r="AQ260" s="59"/>
      <c r="AR260" s="59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</row>
    <row r="261" spans="1:54" ht="19.5" customHeight="1" x14ac:dyDescent="0.25">
      <c r="A261" s="60" t="str">
        <f>IF($B261="","",TEXT($B261,"yyyymmdd")&amp;"-"&amp;SUBSTITUTE($F261," ","")&amp;"-"&amp;TEXT(COUNTIF($F$4:F261,$F261),"00"))</f>
        <v/>
      </c>
      <c r="B261" s="65"/>
      <c r="C261" s="60" t="str">
        <f>IF($B261="","",WEEKNUM($B261,2))</f>
        <v/>
      </c>
      <c r="D261" s="60" t="str">
        <f>IF($B261="","",TEXT($B261,"yyyy-mm"))</f>
        <v/>
      </c>
      <c r="E261" s="64"/>
      <c r="F261" s="64"/>
      <c r="G261" s="60" t="str">
        <f>IF(OR($E261="",$F261=""),"",IFERROR(IF($E261=INDEX([1]Cluster_Master!$A$4:$A$18,MATCH($F261,[1]Cluster_Master!$B$4:$B$18,0)),"OK","CHECK"),"CHECK"))</f>
        <v/>
      </c>
      <c r="H261" s="63" t="str">
        <f>IFERROR(INDEX([1]Cluster_Master!$C$4:$C$18,MATCH($F261,[1]Cluster_Master!$B$4:$B$18,0)),"")</f>
        <v/>
      </c>
      <c r="I261" s="60" t="str">
        <f>IFERROR(INDEX([1]Cluster_Master!$D$4:$D$18,MATCH($F261,[1]Cluster_Master!$B$4:$B$18,0)),"")</f>
        <v/>
      </c>
      <c r="J261" s="60" t="str">
        <f>IFERROR(INDEX([1]Cluster_Master!$E$4:$E$18,MATCH($F261,[1]Cluster_Master!$B$4:$B$18,0)),"")</f>
        <v/>
      </c>
      <c r="K261" s="60" t="str">
        <f>IFERROR(INDEX([1]Cluster_Master!$F$4:$F$18,MATCH($F261,[1]Cluster_Master!$B$4:$B$18,0)),"")</f>
        <v/>
      </c>
      <c r="L261" s="60" t="str">
        <f>IFERROR(INDEX([1]Cluster_Master!$G$4:$G$18,MATCH($F261,[1]Cluster_Master!$B$4:$B$18,0)),"")</f>
        <v/>
      </c>
      <c r="M261" s="60" t="str">
        <f>IFERROR(INDEX([1]Cluster_Master!$H$4:$H$18,MATCH($F261,[1]Cluster_Master!$B$4:$B$18,0)),"")</f>
        <v/>
      </c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60" t="str">
        <f>IF(COUNTA(T261:AH261)=0,"",SUM(T261:AH261))</f>
        <v/>
      </c>
      <c r="AJ261" s="61" t="str">
        <f>IF(COUNTA(T261:AH261)=0,"",AI261/75)</f>
        <v/>
      </c>
      <c r="AK261" s="61" t="str">
        <f>IF(COUNTA(T261:AH261)=0,"",(SUM(T261*[1]KPI_Weights!$B$4,U261*[1]KPI_Weights!$B$5,V261*[1]KPI_Weights!$B$6,W261*[1]KPI_Weights!$B$7,X261*[1]KPI_Weights!$B$8,Y261*[1]KPI_Weights!$B$9,Z261*[1]KPI_Weights!$B$10,AA261*[1]KPI_Weights!$B$11,AB261*[1]KPI_Weights!$B$12,AC261*[1]KPI_Weights!$B$13,AD261*[1]KPI_Weights!$B$14,AE261*[1]KPI_Weights!$B$15,AF261*[1]KPI_Weights!$B$16,AG261*[1]KPI_Weights!$B$17,AH261*[1]KPI_Weights!$B$18))/5)</f>
        <v/>
      </c>
      <c r="AL261" s="60" t="str">
        <f>IF(COUNTA(T261:AH261)=0,"",IF(OR(T261&lt;=1,W261&lt;=1,X261&lt;=1,Y261&lt;=1,AB261&lt;=1),"YES","NO"))</f>
        <v/>
      </c>
      <c r="AM261" s="60" t="str">
        <f>IF(AJ261="","",IF(AND(AL261="NO",AJ261&gt;=0.75),"YES","NO"))</f>
        <v/>
      </c>
      <c r="AN261" s="60" t="str">
        <f>IF(AJ261="","",IF(AJ261&lt;0.4,"Critical",IF(AJ261&lt;0.6,"Poor",IF(AJ261&lt;0.75,"Needs Improvement",IF(AJ261&lt;0.9,"Good","Excellent")))))</f>
        <v/>
      </c>
      <c r="AO261" s="59"/>
      <c r="AP261" s="59"/>
      <c r="AQ261" s="59"/>
      <c r="AR261" s="59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</row>
    <row r="262" spans="1:54" ht="19.5" customHeight="1" x14ac:dyDescent="0.25">
      <c r="A262" s="60" t="str">
        <f>IF($B262="","",TEXT($B262,"yyyymmdd")&amp;"-"&amp;SUBSTITUTE($F262," ","")&amp;"-"&amp;TEXT(COUNTIF($F$4:F262,$F262),"00"))</f>
        <v/>
      </c>
      <c r="B262" s="65"/>
      <c r="C262" s="60" t="str">
        <f>IF($B262="","",WEEKNUM($B262,2))</f>
        <v/>
      </c>
      <c r="D262" s="60" t="str">
        <f>IF($B262="","",TEXT($B262,"yyyy-mm"))</f>
        <v/>
      </c>
      <c r="E262" s="64"/>
      <c r="F262" s="64"/>
      <c r="G262" s="60" t="str">
        <f>IF(OR($E262="",$F262=""),"",IFERROR(IF($E262=INDEX([1]Cluster_Master!$A$4:$A$18,MATCH($F262,[1]Cluster_Master!$B$4:$B$18,0)),"OK","CHECK"),"CHECK"))</f>
        <v/>
      </c>
      <c r="H262" s="63" t="str">
        <f>IFERROR(INDEX([1]Cluster_Master!$C$4:$C$18,MATCH($F262,[1]Cluster_Master!$B$4:$B$18,0)),"")</f>
        <v/>
      </c>
      <c r="I262" s="60" t="str">
        <f>IFERROR(INDEX([1]Cluster_Master!$D$4:$D$18,MATCH($F262,[1]Cluster_Master!$B$4:$B$18,0)),"")</f>
        <v/>
      </c>
      <c r="J262" s="60" t="str">
        <f>IFERROR(INDEX([1]Cluster_Master!$E$4:$E$18,MATCH($F262,[1]Cluster_Master!$B$4:$B$18,0)),"")</f>
        <v/>
      </c>
      <c r="K262" s="60" t="str">
        <f>IFERROR(INDEX([1]Cluster_Master!$F$4:$F$18,MATCH($F262,[1]Cluster_Master!$B$4:$B$18,0)),"")</f>
        <v/>
      </c>
      <c r="L262" s="60" t="str">
        <f>IFERROR(INDEX([1]Cluster_Master!$G$4:$G$18,MATCH($F262,[1]Cluster_Master!$B$4:$B$18,0)),"")</f>
        <v/>
      </c>
      <c r="M262" s="60" t="str">
        <f>IFERROR(INDEX([1]Cluster_Master!$H$4:$H$18,MATCH($F262,[1]Cluster_Master!$B$4:$B$18,0)),"")</f>
        <v/>
      </c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60" t="str">
        <f>IF(COUNTA(T262:AH262)=0,"",SUM(T262:AH262))</f>
        <v/>
      </c>
      <c r="AJ262" s="61" t="str">
        <f>IF(COUNTA(T262:AH262)=0,"",AI262/75)</f>
        <v/>
      </c>
      <c r="AK262" s="61" t="str">
        <f>IF(COUNTA(T262:AH262)=0,"",(SUM(T262*[1]KPI_Weights!$B$4,U262*[1]KPI_Weights!$B$5,V262*[1]KPI_Weights!$B$6,W262*[1]KPI_Weights!$B$7,X262*[1]KPI_Weights!$B$8,Y262*[1]KPI_Weights!$B$9,Z262*[1]KPI_Weights!$B$10,AA262*[1]KPI_Weights!$B$11,AB262*[1]KPI_Weights!$B$12,AC262*[1]KPI_Weights!$B$13,AD262*[1]KPI_Weights!$B$14,AE262*[1]KPI_Weights!$B$15,AF262*[1]KPI_Weights!$B$16,AG262*[1]KPI_Weights!$B$17,AH262*[1]KPI_Weights!$B$18))/5)</f>
        <v/>
      </c>
      <c r="AL262" s="60" t="str">
        <f>IF(COUNTA(T262:AH262)=0,"",IF(OR(T262&lt;=1,W262&lt;=1,X262&lt;=1,Y262&lt;=1,AB262&lt;=1),"YES","NO"))</f>
        <v/>
      </c>
      <c r="AM262" s="60" t="str">
        <f>IF(AJ262="","",IF(AND(AL262="NO",AJ262&gt;=0.75),"YES","NO"))</f>
        <v/>
      </c>
      <c r="AN262" s="60" t="str">
        <f>IF(AJ262="","",IF(AJ262&lt;0.4,"Critical",IF(AJ262&lt;0.6,"Poor",IF(AJ262&lt;0.75,"Needs Improvement",IF(AJ262&lt;0.9,"Good","Excellent")))))</f>
        <v/>
      </c>
      <c r="AO262" s="59"/>
      <c r="AP262" s="59"/>
      <c r="AQ262" s="59"/>
      <c r="AR262" s="59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</row>
    <row r="263" spans="1:54" ht="19.5" customHeight="1" x14ac:dyDescent="0.25">
      <c r="A263" s="60" t="str">
        <f>IF($B263="","",TEXT($B263,"yyyymmdd")&amp;"-"&amp;SUBSTITUTE($F263," ","")&amp;"-"&amp;TEXT(COUNTIF($F$4:F263,$F263),"00"))</f>
        <v/>
      </c>
      <c r="B263" s="65"/>
      <c r="C263" s="60" t="str">
        <f>IF($B263="","",WEEKNUM($B263,2))</f>
        <v/>
      </c>
      <c r="D263" s="60" t="str">
        <f>IF($B263="","",TEXT($B263,"yyyy-mm"))</f>
        <v/>
      </c>
      <c r="E263" s="64"/>
      <c r="F263" s="64"/>
      <c r="G263" s="60" t="str">
        <f>IF(OR($E263="",$F263=""),"",IFERROR(IF($E263=INDEX([1]Cluster_Master!$A$4:$A$18,MATCH($F263,[1]Cluster_Master!$B$4:$B$18,0)),"OK","CHECK"),"CHECK"))</f>
        <v/>
      </c>
      <c r="H263" s="63" t="str">
        <f>IFERROR(INDEX([1]Cluster_Master!$C$4:$C$18,MATCH($F263,[1]Cluster_Master!$B$4:$B$18,0)),"")</f>
        <v/>
      </c>
      <c r="I263" s="60" t="str">
        <f>IFERROR(INDEX([1]Cluster_Master!$D$4:$D$18,MATCH($F263,[1]Cluster_Master!$B$4:$B$18,0)),"")</f>
        <v/>
      </c>
      <c r="J263" s="60" t="str">
        <f>IFERROR(INDEX([1]Cluster_Master!$E$4:$E$18,MATCH($F263,[1]Cluster_Master!$B$4:$B$18,0)),"")</f>
        <v/>
      </c>
      <c r="K263" s="60" t="str">
        <f>IFERROR(INDEX([1]Cluster_Master!$F$4:$F$18,MATCH($F263,[1]Cluster_Master!$B$4:$B$18,0)),"")</f>
        <v/>
      </c>
      <c r="L263" s="60" t="str">
        <f>IFERROR(INDEX([1]Cluster_Master!$G$4:$G$18,MATCH($F263,[1]Cluster_Master!$B$4:$B$18,0)),"")</f>
        <v/>
      </c>
      <c r="M263" s="60" t="str">
        <f>IFERROR(INDEX([1]Cluster_Master!$H$4:$H$18,MATCH($F263,[1]Cluster_Master!$B$4:$B$18,0)),"")</f>
        <v/>
      </c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60" t="str">
        <f>IF(COUNTA(T263:AH263)=0,"",SUM(T263:AH263))</f>
        <v/>
      </c>
      <c r="AJ263" s="61" t="str">
        <f>IF(COUNTA(T263:AH263)=0,"",AI263/75)</f>
        <v/>
      </c>
      <c r="AK263" s="61" t="str">
        <f>IF(COUNTA(T263:AH263)=0,"",(SUM(T263*[1]KPI_Weights!$B$4,U263*[1]KPI_Weights!$B$5,V263*[1]KPI_Weights!$B$6,W263*[1]KPI_Weights!$B$7,X263*[1]KPI_Weights!$B$8,Y263*[1]KPI_Weights!$B$9,Z263*[1]KPI_Weights!$B$10,AA263*[1]KPI_Weights!$B$11,AB263*[1]KPI_Weights!$B$12,AC263*[1]KPI_Weights!$B$13,AD263*[1]KPI_Weights!$B$14,AE263*[1]KPI_Weights!$B$15,AF263*[1]KPI_Weights!$B$16,AG263*[1]KPI_Weights!$B$17,AH263*[1]KPI_Weights!$B$18))/5)</f>
        <v/>
      </c>
      <c r="AL263" s="60" t="str">
        <f>IF(COUNTA(T263:AH263)=0,"",IF(OR(T263&lt;=1,W263&lt;=1,X263&lt;=1,Y263&lt;=1,AB263&lt;=1),"YES","NO"))</f>
        <v/>
      </c>
      <c r="AM263" s="60" t="str">
        <f>IF(AJ263="","",IF(AND(AL263="NO",AJ263&gt;=0.75),"YES","NO"))</f>
        <v/>
      </c>
      <c r="AN263" s="60" t="str">
        <f>IF(AJ263="","",IF(AJ263&lt;0.4,"Critical",IF(AJ263&lt;0.6,"Poor",IF(AJ263&lt;0.75,"Needs Improvement",IF(AJ263&lt;0.9,"Good","Excellent")))))</f>
        <v/>
      </c>
      <c r="AO263" s="59"/>
      <c r="AP263" s="59"/>
      <c r="AQ263" s="59"/>
      <c r="AR263" s="59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</row>
    <row r="264" spans="1:54" ht="19.5" customHeight="1" x14ac:dyDescent="0.25">
      <c r="A264" s="60" t="str">
        <f>IF($B264="","",TEXT($B264,"yyyymmdd")&amp;"-"&amp;SUBSTITUTE($F264," ","")&amp;"-"&amp;TEXT(COUNTIF($F$4:F264,$F264),"00"))</f>
        <v/>
      </c>
      <c r="B264" s="65"/>
      <c r="C264" s="60" t="str">
        <f>IF($B264="","",WEEKNUM($B264,2))</f>
        <v/>
      </c>
      <c r="D264" s="60" t="str">
        <f>IF($B264="","",TEXT($B264,"yyyy-mm"))</f>
        <v/>
      </c>
      <c r="E264" s="64"/>
      <c r="F264" s="64"/>
      <c r="G264" s="60" t="str">
        <f>IF(OR($E264="",$F264=""),"",IFERROR(IF($E264=INDEX([1]Cluster_Master!$A$4:$A$18,MATCH($F264,[1]Cluster_Master!$B$4:$B$18,0)),"OK","CHECK"),"CHECK"))</f>
        <v/>
      </c>
      <c r="H264" s="63" t="str">
        <f>IFERROR(INDEX([1]Cluster_Master!$C$4:$C$18,MATCH($F264,[1]Cluster_Master!$B$4:$B$18,0)),"")</f>
        <v/>
      </c>
      <c r="I264" s="60" t="str">
        <f>IFERROR(INDEX([1]Cluster_Master!$D$4:$D$18,MATCH($F264,[1]Cluster_Master!$B$4:$B$18,0)),"")</f>
        <v/>
      </c>
      <c r="J264" s="60" t="str">
        <f>IFERROR(INDEX([1]Cluster_Master!$E$4:$E$18,MATCH($F264,[1]Cluster_Master!$B$4:$B$18,0)),"")</f>
        <v/>
      </c>
      <c r="K264" s="60" t="str">
        <f>IFERROR(INDEX([1]Cluster_Master!$F$4:$F$18,MATCH($F264,[1]Cluster_Master!$B$4:$B$18,0)),"")</f>
        <v/>
      </c>
      <c r="L264" s="60" t="str">
        <f>IFERROR(INDEX([1]Cluster_Master!$G$4:$G$18,MATCH($F264,[1]Cluster_Master!$B$4:$B$18,0)),"")</f>
        <v/>
      </c>
      <c r="M264" s="60" t="str">
        <f>IFERROR(INDEX([1]Cluster_Master!$H$4:$H$18,MATCH($F264,[1]Cluster_Master!$B$4:$B$18,0)),"")</f>
        <v/>
      </c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60" t="str">
        <f>IF(COUNTA(T264:AH264)=0,"",SUM(T264:AH264))</f>
        <v/>
      </c>
      <c r="AJ264" s="61" t="str">
        <f>IF(COUNTA(T264:AH264)=0,"",AI264/75)</f>
        <v/>
      </c>
      <c r="AK264" s="61" t="str">
        <f>IF(COUNTA(T264:AH264)=0,"",(SUM(T264*[1]KPI_Weights!$B$4,U264*[1]KPI_Weights!$B$5,V264*[1]KPI_Weights!$B$6,W264*[1]KPI_Weights!$B$7,X264*[1]KPI_Weights!$B$8,Y264*[1]KPI_Weights!$B$9,Z264*[1]KPI_Weights!$B$10,AA264*[1]KPI_Weights!$B$11,AB264*[1]KPI_Weights!$B$12,AC264*[1]KPI_Weights!$B$13,AD264*[1]KPI_Weights!$B$14,AE264*[1]KPI_Weights!$B$15,AF264*[1]KPI_Weights!$B$16,AG264*[1]KPI_Weights!$B$17,AH264*[1]KPI_Weights!$B$18))/5)</f>
        <v/>
      </c>
      <c r="AL264" s="60" t="str">
        <f>IF(COUNTA(T264:AH264)=0,"",IF(OR(T264&lt;=1,W264&lt;=1,X264&lt;=1,Y264&lt;=1,AB264&lt;=1),"YES","NO"))</f>
        <v/>
      </c>
      <c r="AM264" s="60" t="str">
        <f>IF(AJ264="","",IF(AND(AL264="NO",AJ264&gt;=0.75),"YES","NO"))</f>
        <v/>
      </c>
      <c r="AN264" s="60" t="str">
        <f>IF(AJ264="","",IF(AJ264&lt;0.4,"Critical",IF(AJ264&lt;0.6,"Poor",IF(AJ264&lt;0.75,"Needs Improvement",IF(AJ264&lt;0.9,"Good","Excellent")))))</f>
        <v/>
      </c>
      <c r="AO264" s="59"/>
      <c r="AP264" s="59"/>
      <c r="AQ264" s="59"/>
      <c r="AR264" s="59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</row>
    <row r="265" spans="1:54" ht="19.5" customHeight="1" x14ac:dyDescent="0.25">
      <c r="A265" s="60" t="str">
        <f>IF($B265="","",TEXT($B265,"yyyymmdd")&amp;"-"&amp;SUBSTITUTE($F265," ","")&amp;"-"&amp;TEXT(COUNTIF($F$4:F265,$F265),"00"))</f>
        <v/>
      </c>
      <c r="B265" s="65"/>
      <c r="C265" s="60" t="str">
        <f>IF($B265="","",WEEKNUM($B265,2))</f>
        <v/>
      </c>
      <c r="D265" s="60" t="str">
        <f>IF($B265="","",TEXT($B265,"yyyy-mm"))</f>
        <v/>
      </c>
      <c r="E265" s="64"/>
      <c r="F265" s="64"/>
      <c r="G265" s="60" t="str">
        <f>IF(OR($E265="",$F265=""),"",IFERROR(IF($E265=INDEX([1]Cluster_Master!$A$4:$A$18,MATCH($F265,[1]Cluster_Master!$B$4:$B$18,0)),"OK","CHECK"),"CHECK"))</f>
        <v/>
      </c>
      <c r="H265" s="63" t="str">
        <f>IFERROR(INDEX([1]Cluster_Master!$C$4:$C$18,MATCH($F265,[1]Cluster_Master!$B$4:$B$18,0)),"")</f>
        <v/>
      </c>
      <c r="I265" s="60" t="str">
        <f>IFERROR(INDEX([1]Cluster_Master!$D$4:$D$18,MATCH($F265,[1]Cluster_Master!$B$4:$B$18,0)),"")</f>
        <v/>
      </c>
      <c r="J265" s="60" t="str">
        <f>IFERROR(INDEX([1]Cluster_Master!$E$4:$E$18,MATCH($F265,[1]Cluster_Master!$B$4:$B$18,0)),"")</f>
        <v/>
      </c>
      <c r="K265" s="60" t="str">
        <f>IFERROR(INDEX([1]Cluster_Master!$F$4:$F$18,MATCH($F265,[1]Cluster_Master!$B$4:$B$18,0)),"")</f>
        <v/>
      </c>
      <c r="L265" s="60" t="str">
        <f>IFERROR(INDEX([1]Cluster_Master!$G$4:$G$18,MATCH($F265,[1]Cluster_Master!$B$4:$B$18,0)),"")</f>
        <v/>
      </c>
      <c r="M265" s="60" t="str">
        <f>IFERROR(INDEX([1]Cluster_Master!$H$4:$H$18,MATCH($F265,[1]Cluster_Master!$B$4:$B$18,0)),"")</f>
        <v/>
      </c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60" t="str">
        <f>IF(COUNTA(T265:AH265)=0,"",SUM(T265:AH265))</f>
        <v/>
      </c>
      <c r="AJ265" s="61" t="str">
        <f>IF(COUNTA(T265:AH265)=0,"",AI265/75)</f>
        <v/>
      </c>
      <c r="AK265" s="61" t="str">
        <f>IF(COUNTA(T265:AH265)=0,"",(SUM(T265*[1]KPI_Weights!$B$4,U265*[1]KPI_Weights!$B$5,V265*[1]KPI_Weights!$B$6,W265*[1]KPI_Weights!$B$7,X265*[1]KPI_Weights!$B$8,Y265*[1]KPI_Weights!$B$9,Z265*[1]KPI_Weights!$B$10,AA265*[1]KPI_Weights!$B$11,AB265*[1]KPI_Weights!$B$12,AC265*[1]KPI_Weights!$B$13,AD265*[1]KPI_Weights!$B$14,AE265*[1]KPI_Weights!$B$15,AF265*[1]KPI_Weights!$B$16,AG265*[1]KPI_Weights!$B$17,AH265*[1]KPI_Weights!$B$18))/5)</f>
        <v/>
      </c>
      <c r="AL265" s="60" t="str">
        <f>IF(COUNTA(T265:AH265)=0,"",IF(OR(T265&lt;=1,W265&lt;=1,X265&lt;=1,Y265&lt;=1,AB265&lt;=1),"YES","NO"))</f>
        <v/>
      </c>
      <c r="AM265" s="60" t="str">
        <f>IF(AJ265="","",IF(AND(AL265="NO",AJ265&gt;=0.75),"YES","NO"))</f>
        <v/>
      </c>
      <c r="AN265" s="60" t="str">
        <f>IF(AJ265="","",IF(AJ265&lt;0.4,"Critical",IF(AJ265&lt;0.6,"Poor",IF(AJ265&lt;0.75,"Needs Improvement",IF(AJ265&lt;0.9,"Good","Excellent")))))</f>
        <v/>
      </c>
      <c r="AO265" s="59"/>
      <c r="AP265" s="59"/>
      <c r="AQ265" s="59"/>
      <c r="AR265" s="59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</row>
    <row r="266" spans="1:54" ht="19.5" customHeight="1" x14ac:dyDescent="0.25">
      <c r="A266" s="60" t="str">
        <f>IF($B266="","",TEXT($B266,"yyyymmdd")&amp;"-"&amp;SUBSTITUTE($F266," ","")&amp;"-"&amp;TEXT(COUNTIF($F$4:F266,$F266),"00"))</f>
        <v/>
      </c>
      <c r="B266" s="65"/>
      <c r="C266" s="60" t="str">
        <f>IF($B266="","",WEEKNUM($B266,2))</f>
        <v/>
      </c>
      <c r="D266" s="60" t="str">
        <f>IF($B266="","",TEXT($B266,"yyyy-mm"))</f>
        <v/>
      </c>
      <c r="E266" s="64"/>
      <c r="F266" s="64"/>
      <c r="G266" s="60" t="str">
        <f>IF(OR($E266="",$F266=""),"",IFERROR(IF($E266=INDEX([1]Cluster_Master!$A$4:$A$18,MATCH($F266,[1]Cluster_Master!$B$4:$B$18,0)),"OK","CHECK"),"CHECK"))</f>
        <v/>
      </c>
      <c r="H266" s="63" t="str">
        <f>IFERROR(INDEX([1]Cluster_Master!$C$4:$C$18,MATCH($F266,[1]Cluster_Master!$B$4:$B$18,0)),"")</f>
        <v/>
      </c>
      <c r="I266" s="60" t="str">
        <f>IFERROR(INDEX([1]Cluster_Master!$D$4:$D$18,MATCH($F266,[1]Cluster_Master!$B$4:$B$18,0)),"")</f>
        <v/>
      </c>
      <c r="J266" s="60" t="str">
        <f>IFERROR(INDEX([1]Cluster_Master!$E$4:$E$18,MATCH($F266,[1]Cluster_Master!$B$4:$B$18,0)),"")</f>
        <v/>
      </c>
      <c r="K266" s="60" t="str">
        <f>IFERROR(INDEX([1]Cluster_Master!$F$4:$F$18,MATCH($F266,[1]Cluster_Master!$B$4:$B$18,0)),"")</f>
        <v/>
      </c>
      <c r="L266" s="60" t="str">
        <f>IFERROR(INDEX([1]Cluster_Master!$G$4:$G$18,MATCH($F266,[1]Cluster_Master!$B$4:$B$18,0)),"")</f>
        <v/>
      </c>
      <c r="M266" s="60" t="str">
        <f>IFERROR(INDEX([1]Cluster_Master!$H$4:$H$18,MATCH($F266,[1]Cluster_Master!$B$4:$B$18,0)),"")</f>
        <v/>
      </c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60" t="str">
        <f>IF(COUNTA(T266:AH266)=0,"",SUM(T266:AH266))</f>
        <v/>
      </c>
      <c r="AJ266" s="61" t="str">
        <f>IF(COUNTA(T266:AH266)=0,"",AI266/75)</f>
        <v/>
      </c>
      <c r="AK266" s="61" t="str">
        <f>IF(COUNTA(T266:AH266)=0,"",(SUM(T266*[1]KPI_Weights!$B$4,U266*[1]KPI_Weights!$B$5,V266*[1]KPI_Weights!$B$6,W266*[1]KPI_Weights!$B$7,X266*[1]KPI_Weights!$B$8,Y266*[1]KPI_Weights!$B$9,Z266*[1]KPI_Weights!$B$10,AA266*[1]KPI_Weights!$B$11,AB266*[1]KPI_Weights!$B$12,AC266*[1]KPI_Weights!$B$13,AD266*[1]KPI_Weights!$B$14,AE266*[1]KPI_Weights!$B$15,AF266*[1]KPI_Weights!$B$16,AG266*[1]KPI_Weights!$B$17,AH266*[1]KPI_Weights!$B$18))/5)</f>
        <v/>
      </c>
      <c r="AL266" s="60" t="str">
        <f>IF(COUNTA(T266:AH266)=0,"",IF(OR(T266&lt;=1,W266&lt;=1,X266&lt;=1,Y266&lt;=1,AB266&lt;=1),"YES","NO"))</f>
        <v/>
      </c>
      <c r="AM266" s="60" t="str">
        <f>IF(AJ266="","",IF(AND(AL266="NO",AJ266&gt;=0.75),"YES","NO"))</f>
        <v/>
      </c>
      <c r="AN266" s="60" t="str">
        <f>IF(AJ266="","",IF(AJ266&lt;0.4,"Critical",IF(AJ266&lt;0.6,"Poor",IF(AJ266&lt;0.75,"Needs Improvement",IF(AJ266&lt;0.9,"Good","Excellent")))))</f>
        <v/>
      </c>
      <c r="AO266" s="59"/>
      <c r="AP266" s="59"/>
      <c r="AQ266" s="59"/>
      <c r="AR266" s="59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</row>
    <row r="267" spans="1:54" ht="19.5" customHeight="1" x14ac:dyDescent="0.25">
      <c r="A267" s="60" t="str">
        <f>IF($B267="","",TEXT($B267,"yyyymmdd")&amp;"-"&amp;SUBSTITUTE($F267," ","")&amp;"-"&amp;TEXT(COUNTIF($F$4:F267,$F267),"00"))</f>
        <v/>
      </c>
      <c r="B267" s="65"/>
      <c r="C267" s="60" t="str">
        <f>IF($B267="","",WEEKNUM($B267,2))</f>
        <v/>
      </c>
      <c r="D267" s="60" t="str">
        <f>IF($B267="","",TEXT($B267,"yyyy-mm"))</f>
        <v/>
      </c>
      <c r="E267" s="64"/>
      <c r="F267" s="64"/>
      <c r="G267" s="60" t="str">
        <f>IF(OR($E267="",$F267=""),"",IFERROR(IF($E267=INDEX([1]Cluster_Master!$A$4:$A$18,MATCH($F267,[1]Cluster_Master!$B$4:$B$18,0)),"OK","CHECK"),"CHECK"))</f>
        <v/>
      </c>
      <c r="H267" s="63" t="str">
        <f>IFERROR(INDEX([1]Cluster_Master!$C$4:$C$18,MATCH($F267,[1]Cluster_Master!$B$4:$B$18,0)),"")</f>
        <v/>
      </c>
      <c r="I267" s="60" t="str">
        <f>IFERROR(INDEX([1]Cluster_Master!$D$4:$D$18,MATCH($F267,[1]Cluster_Master!$B$4:$B$18,0)),"")</f>
        <v/>
      </c>
      <c r="J267" s="60" t="str">
        <f>IFERROR(INDEX([1]Cluster_Master!$E$4:$E$18,MATCH($F267,[1]Cluster_Master!$B$4:$B$18,0)),"")</f>
        <v/>
      </c>
      <c r="K267" s="60" t="str">
        <f>IFERROR(INDEX([1]Cluster_Master!$F$4:$F$18,MATCH($F267,[1]Cluster_Master!$B$4:$B$18,0)),"")</f>
        <v/>
      </c>
      <c r="L267" s="60" t="str">
        <f>IFERROR(INDEX([1]Cluster_Master!$G$4:$G$18,MATCH($F267,[1]Cluster_Master!$B$4:$B$18,0)),"")</f>
        <v/>
      </c>
      <c r="M267" s="60" t="str">
        <f>IFERROR(INDEX([1]Cluster_Master!$H$4:$H$18,MATCH($F267,[1]Cluster_Master!$B$4:$B$18,0)),"")</f>
        <v/>
      </c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60" t="str">
        <f>IF(COUNTA(T267:AH267)=0,"",SUM(T267:AH267))</f>
        <v/>
      </c>
      <c r="AJ267" s="61" t="str">
        <f>IF(COUNTA(T267:AH267)=0,"",AI267/75)</f>
        <v/>
      </c>
      <c r="AK267" s="61" t="str">
        <f>IF(COUNTA(T267:AH267)=0,"",(SUM(T267*[1]KPI_Weights!$B$4,U267*[1]KPI_Weights!$B$5,V267*[1]KPI_Weights!$B$6,W267*[1]KPI_Weights!$B$7,X267*[1]KPI_Weights!$B$8,Y267*[1]KPI_Weights!$B$9,Z267*[1]KPI_Weights!$B$10,AA267*[1]KPI_Weights!$B$11,AB267*[1]KPI_Weights!$B$12,AC267*[1]KPI_Weights!$B$13,AD267*[1]KPI_Weights!$B$14,AE267*[1]KPI_Weights!$B$15,AF267*[1]KPI_Weights!$B$16,AG267*[1]KPI_Weights!$B$17,AH267*[1]KPI_Weights!$B$18))/5)</f>
        <v/>
      </c>
      <c r="AL267" s="60" t="str">
        <f>IF(COUNTA(T267:AH267)=0,"",IF(OR(T267&lt;=1,W267&lt;=1,X267&lt;=1,Y267&lt;=1,AB267&lt;=1),"YES","NO"))</f>
        <v/>
      </c>
      <c r="AM267" s="60" t="str">
        <f>IF(AJ267="","",IF(AND(AL267="NO",AJ267&gt;=0.75),"YES","NO"))</f>
        <v/>
      </c>
      <c r="AN267" s="60" t="str">
        <f>IF(AJ267="","",IF(AJ267&lt;0.4,"Critical",IF(AJ267&lt;0.6,"Poor",IF(AJ267&lt;0.75,"Needs Improvement",IF(AJ267&lt;0.9,"Good","Excellent")))))</f>
        <v/>
      </c>
      <c r="AO267" s="59"/>
      <c r="AP267" s="59"/>
      <c r="AQ267" s="59"/>
      <c r="AR267" s="59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</row>
    <row r="268" spans="1:54" ht="19.5" customHeight="1" x14ac:dyDescent="0.25">
      <c r="A268" s="60" t="str">
        <f>IF($B268="","",TEXT($B268,"yyyymmdd")&amp;"-"&amp;SUBSTITUTE($F268," ","")&amp;"-"&amp;TEXT(COUNTIF($F$4:F268,$F268),"00"))</f>
        <v/>
      </c>
      <c r="B268" s="65"/>
      <c r="C268" s="60" t="str">
        <f>IF($B268="","",WEEKNUM($B268,2))</f>
        <v/>
      </c>
      <c r="D268" s="60" t="str">
        <f>IF($B268="","",TEXT($B268,"yyyy-mm"))</f>
        <v/>
      </c>
      <c r="E268" s="64"/>
      <c r="F268" s="64"/>
      <c r="G268" s="60" t="str">
        <f>IF(OR($E268="",$F268=""),"",IFERROR(IF($E268=INDEX([1]Cluster_Master!$A$4:$A$18,MATCH($F268,[1]Cluster_Master!$B$4:$B$18,0)),"OK","CHECK"),"CHECK"))</f>
        <v/>
      </c>
      <c r="H268" s="63" t="str">
        <f>IFERROR(INDEX([1]Cluster_Master!$C$4:$C$18,MATCH($F268,[1]Cluster_Master!$B$4:$B$18,0)),"")</f>
        <v/>
      </c>
      <c r="I268" s="60" t="str">
        <f>IFERROR(INDEX([1]Cluster_Master!$D$4:$D$18,MATCH($F268,[1]Cluster_Master!$B$4:$B$18,0)),"")</f>
        <v/>
      </c>
      <c r="J268" s="60" t="str">
        <f>IFERROR(INDEX([1]Cluster_Master!$E$4:$E$18,MATCH($F268,[1]Cluster_Master!$B$4:$B$18,0)),"")</f>
        <v/>
      </c>
      <c r="K268" s="60" t="str">
        <f>IFERROR(INDEX([1]Cluster_Master!$F$4:$F$18,MATCH($F268,[1]Cluster_Master!$B$4:$B$18,0)),"")</f>
        <v/>
      </c>
      <c r="L268" s="60" t="str">
        <f>IFERROR(INDEX([1]Cluster_Master!$G$4:$G$18,MATCH($F268,[1]Cluster_Master!$B$4:$B$18,0)),"")</f>
        <v/>
      </c>
      <c r="M268" s="60" t="str">
        <f>IFERROR(INDEX([1]Cluster_Master!$H$4:$H$18,MATCH($F268,[1]Cluster_Master!$B$4:$B$18,0)),"")</f>
        <v/>
      </c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60" t="str">
        <f>IF(COUNTA(T268:AH268)=0,"",SUM(T268:AH268))</f>
        <v/>
      </c>
      <c r="AJ268" s="61" t="str">
        <f>IF(COUNTA(T268:AH268)=0,"",AI268/75)</f>
        <v/>
      </c>
      <c r="AK268" s="61" t="str">
        <f>IF(COUNTA(T268:AH268)=0,"",(SUM(T268*[1]KPI_Weights!$B$4,U268*[1]KPI_Weights!$B$5,V268*[1]KPI_Weights!$B$6,W268*[1]KPI_Weights!$B$7,X268*[1]KPI_Weights!$B$8,Y268*[1]KPI_Weights!$B$9,Z268*[1]KPI_Weights!$B$10,AA268*[1]KPI_Weights!$B$11,AB268*[1]KPI_Weights!$B$12,AC268*[1]KPI_Weights!$B$13,AD268*[1]KPI_Weights!$B$14,AE268*[1]KPI_Weights!$B$15,AF268*[1]KPI_Weights!$B$16,AG268*[1]KPI_Weights!$B$17,AH268*[1]KPI_Weights!$B$18))/5)</f>
        <v/>
      </c>
      <c r="AL268" s="60" t="str">
        <f>IF(COUNTA(T268:AH268)=0,"",IF(OR(T268&lt;=1,W268&lt;=1,X268&lt;=1,Y268&lt;=1,AB268&lt;=1),"YES","NO"))</f>
        <v/>
      </c>
      <c r="AM268" s="60" t="str">
        <f>IF(AJ268="","",IF(AND(AL268="NO",AJ268&gt;=0.75),"YES","NO"))</f>
        <v/>
      </c>
      <c r="AN268" s="60" t="str">
        <f>IF(AJ268="","",IF(AJ268&lt;0.4,"Critical",IF(AJ268&lt;0.6,"Poor",IF(AJ268&lt;0.75,"Needs Improvement",IF(AJ268&lt;0.9,"Good","Excellent")))))</f>
        <v/>
      </c>
      <c r="AO268" s="59"/>
      <c r="AP268" s="59"/>
      <c r="AQ268" s="59"/>
      <c r="AR268" s="59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</row>
    <row r="269" spans="1:54" ht="19.5" customHeight="1" x14ac:dyDescent="0.25">
      <c r="A269" s="60" t="str">
        <f>IF($B269="","",TEXT($B269,"yyyymmdd")&amp;"-"&amp;SUBSTITUTE($F269," ","")&amp;"-"&amp;TEXT(COUNTIF($F$4:F269,$F269),"00"))</f>
        <v/>
      </c>
      <c r="B269" s="65"/>
      <c r="C269" s="60" t="str">
        <f>IF($B269="","",WEEKNUM($B269,2))</f>
        <v/>
      </c>
      <c r="D269" s="60" t="str">
        <f>IF($B269="","",TEXT($B269,"yyyy-mm"))</f>
        <v/>
      </c>
      <c r="E269" s="64"/>
      <c r="F269" s="64"/>
      <c r="G269" s="60" t="str">
        <f>IF(OR($E269="",$F269=""),"",IFERROR(IF($E269=INDEX([1]Cluster_Master!$A$4:$A$18,MATCH($F269,[1]Cluster_Master!$B$4:$B$18,0)),"OK","CHECK"),"CHECK"))</f>
        <v/>
      </c>
      <c r="H269" s="63" t="str">
        <f>IFERROR(INDEX([1]Cluster_Master!$C$4:$C$18,MATCH($F269,[1]Cluster_Master!$B$4:$B$18,0)),"")</f>
        <v/>
      </c>
      <c r="I269" s="60" t="str">
        <f>IFERROR(INDEX([1]Cluster_Master!$D$4:$D$18,MATCH($F269,[1]Cluster_Master!$B$4:$B$18,0)),"")</f>
        <v/>
      </c>
      <c r="J269" s="60" t="str">
        <f>IFERROR(INDEX([1]Cluster_Master!$E$4:$E$18,MATCH($F269,[1]Cluster_Master!$B$4:$B$18,0)),"")</f>
        <v/>
      </c>
      <c r="K269" s="60" t="str">
        <f>IFERROR(INDEX([1]Cluster_Master!$F$4:$F$18,MATCH($F269,[1]Cluster_Master!$B$4:$B$18,0)),"")</f>
        <v/>
      </c>
      <c r="L269" s="60" t="str">
        <f>IFERROR(INDEX([1]Cluster_Master!$G$4:$G$18,MATCH($F269,[1]Cluster_Master!$B$4:$B$18,0)),"")</f>
        <v/>
      </c>
      <c r="M269" s="60" t="str">
        <f>IFERROR(INDEX([1]Cluster_Master!$H$4:$H$18,MATCH($F269,[1]Cluster_Master!$B$4:$B$18,0)),"")</f>
        <v/>
      </c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60" t="str">
        <f>IF(COUNTA(T269:AH269)=0,"",SUM(T269:AH269))</f>
        <v/>
      </c>
      <c r="AJ269" s="61" t="str">
        <f>IF(COUNTA(T269:AH269)=0,"",AI269/75)</f>
        <v/>
      </c>
      <c r="AK269" s="61" t="str">
        <f>IF(COUNTA(T269:AH269)=0,"",(SUM(T269*[1]KPI_Weights!$B$4,U269*[1]KPI_Weights!$B$5,V269*[1]KPI_Weights!$B$6,W269*[1]KPI_Weights!$B$7,X269*[1]KPI_Weights!$B$8,Y269*[1]KPI_Weights!$B$9,Z269*[1]KPI_Weights!$B$10,AA269*[1]KPI_Weights!$B$11,AB269*[1]KPI_Weights!$B$12,AC269*[1]KPI_Weights!$B$13,AD269*[1]KPI_Weights!$B$14,AE269*[1]KPI_Weights!$B$15,AF269*[1]KPI_Weights!$B$16,AG269*[1]KPI_Weights!$B$17,AH269*[1]KPI_Weights!$B$18))/5)</f>
        <v/>
      </c>
      <c r="AL269" s="60" t="str">
        <f>IF(COUNTA(T269:AH269)=0,"",IF(OR(T269&lt;=1,W269&lt;=1,X269&lt;=1,Y269&lt;=1,AB269&lt;=1),"YES","NO"))</f>
        <v/>
      </c>
      <c r="AM269" s="60" t="str">
        <f>IF(AJ269="","",IF(AND(AL269="NO",AJ269&gt;=0.75),"YES","NO"))</f>
        <v/>
      </c>
      <c r="AN269" s="60" t="str">
        <f>IF(AJ269="","",IF(AJ269&lt;0.4,"Critical",IF(AJ269&lt;0.6,"Poor",IF(AJ269&lt;0.75,"Needs Improvement",IF(AJ269&lt;0.9,"Good","Excellent")))))</f>
        <v/>
      </c>
      <c r="AO269" s="59"/>
      <c r="AP269" s="59"/>
      <c r="AQ269" s="59"/>
      <c r="AR269" s="59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</row>
    <row r="270" spans="1:54" ht="19.5" customHeight="1" x14ac:dyDescent="0.25">
      <c r="A270" s="60" t="str">
        <f>IF($B270="","",TEXT($B270,"yyyymmdd")&amp;"-"&amp;SUBSTITUTE($F270," ","")&amp;"-"&amp;TEXT(COUNTIF($F$4:F270,$F270),"00"))</f>
        <v/>
      </c>
      <c r="B270" s="65"/>
      <c r="C270" s="60" t="str">
        <f>IF($B270="","",WEEKNUM($B270,2))</f>
        <v/>
      </c>
      <c r="D270" s="60" t="str">
        <f>IF($B270="","",TEXT($B270,"yyyy-mm"))</f>
        <v/>
      </c>
      <c r="E270" s="64"/>
      <c r="F270" s="64"/>
      <c r="G270" s="60" t="str">
        <f>IF(OR($E270="",$F270=""),"",IFERROR(IF($E270=INDEX([1]Cluster_Master!$A$4:$A$18,MATCH($F270,[1]Cluster_Master!$B$4:$B$18,0)),"OK","CHECK"),"CHECK"))</f>
        <v/>
      </c>
      <c r="H270" s="63" t="str">
        <f>IFERROR(INDEX([1]Cluster_Master!$C$4:$C$18,MATCH($F270,[1]Cluster_Master!$B$4:$B$18,0)),"")</f>
        <v/>
      </c>
      <c r="I270" s="60" t="str">
        <f>IFERROR(INDEX([1]Cluster_Master!$D$4:$D$18,MATCH($F270,[1]Cluster_Master!$B$4:$B$18,0)),"")</f>
        <v/>
      </c>
      <c r="J270" s="60" t="str">
        <f>IFERROR(INDEX([1]Cluster_Master!$E$4:$E$18,MATCH($F270,[1]Cluster_Master!$B$4:$B$18,0)),"")</f>
        <v/>
      </c>
      <c r="K270" s="60" t="str">
        <f>IFERROR(INDEX([1]Cluster_Master!$F$4:$F$18,MATCH($F270,[1]Cluster_Master!$B$4:$B$18,0)),"")</f>
        <v/>
      </c>
      <c r="L270" s="60" t="str">
        <f>IFERROR(INDEX([1]Cluster_Master!$G$4:$G$18,MATCH($F270,[1]Cluster_Master!$B$4:$B$18,0)),"")</f>
        <v/>
      </c>
      <c r="M270" s="60" t="str">
        <f>IFERROR(INDEX([1]Cluster_Master!$H$4:$H$18,MATCH($F270,[1]Cluster_Master!$B$4:$B$18,0)),"")</f>
        <v/>
      </c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60" t="str">
        <f>IF(COUNTA(T270:AH270)=0,"",SUM(T270:AH270))</f>
        <v/>
      </c>
      <c r="AJ270" s="61" t="str">
        <f>IF(COUNTA(T270:AH270)=0,"",AI270/75)</f>
        <v/>
      </c>
      <c r="AK270" s="61" t="str">
        <f>IF(COUNTA(T270:AH270)=0,"",(SUM(T270*[1]KPI_Weights!$B$4,U270*[1]KPI_Weights!$B$5,V270*[1]KPI_Weights!$B$6,W270*[1]KPI_Weights!$B$7,X270*[1]KPI_Weights!$B$8,Y270*[1]KPI_Weights!$B$9,Z270*[1]KPI_Weights!$B$10,AA270*[1]KPI_Weights!$B$11,AB270*[1]KPI_Weights!$B$12,AC270*[1]KPI_Weights!$B$13,AD270*[1]KPI_Weights!$B$14,AE270*[1]KPI_Weights!$B$15,AF270*[1]KPI_Weights!$B$16,AG270*[1]KPI_Weights!$B$17,AH270*[1]KPI_Weights!$B$18))/5)</f>
        <v/>
      </c>
      <c r="AL270" s="60" t="str">
        <f>IF(COUNTA(T270:AH270)=0,"",IF(OR(T270&lt;=1,W270&lt;=1,X270&lt;=1,Y270&lt;=1,AB270&lt;=1),"YES","NO"))</f>
        <v/>
      </c>
      <c r="AM270" s="60" t="str">
        <f>IF(AJ270="","",IF(AND(AL270="NO",AJ270&gt;=0.75),"YES","NO"))</f>
        <v/>
      </c>
      <c r="AN270" s="60" t="str">
        <f>IF(AJ270="","",IF(AJ270&lt;0.4,"Critical",IF(AJ270&lt;0.6,"Poor",IF(AJ270&lt;0.75,"Needs Improvement",IF(AJ270&lt;0.9,"Good","Excellent")))))</f>
        <v/>
      </c>
      <c r="AO270" s="59"/>
      <c r="AP270" s="59"/>
      <c r="AQ270" s="59"/>
      <c r="AR270" s="59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</row>
    <row r="271" spans="1:54" ht="19.5" customHeight="1" x14ac:dyDescent="0.25">
      <c r="A271" s="60" t="str">
        <f>IF($B271="","",TEXT($B271,"yyyymmdd")&amp;"-"&amp;SUBSTITUTE($F271," ","")&amp;"-"&amp;TEXT(COUNTIF($F$4:F271,$F271),"00"))</f>
        <v/>
      </c>
      <c r="B271" s="65"/>
      <c r="C271" s="60" t="str">
        <f>IF($B271="","",WEEKNUM($B271,2))</f>
        <v/>
      </c>
      <c r="D271" s="60" t="str">
        <f>IF($B271="","",TEXT($B271,"yyyy-mm"))</f>
        <v/>
      </c>
      <c r="E271" s="64"/>
      <c r="F271" s="64"/>
      <c r="G271" s="60" t="str">
        <f>IF(OR($E271="",$F271=""),"",IFERROR(IF($E271=INDEX([1]Cluster_Master!$A$4:$A$18,MATCH($F271,[1]Cluster_Master!$B$4:$B$18,0)),"OK","CHECK"),"CHECK"))</f>
        <v/>
      </c>
      <c r="H271" s="63" t="str">
        <f>IFERROR(INDEX([1]Cluster_Master!$C$4:$C$18,MATCH($F271,[1]Cluster_Master!$B$4:$B$18,0)),"")</f>
        <v/>
      </c>
      <c r="I271" s="60" t="str">
        <f>IFERROR(INDEX([1]Cluster_Master!$D$4:$D$18,MATCH($F271,[1]Cluster_Master!$B$4:$B$18,0)),"")</f>
        <v/>
      </c>
      <c r="J271" s="60" t="str">
        <f>IFERROR(INDEX([1]Cluster_Master!$E$4:$E$18,MATCH($F271,[1]Cluster_Master!$B$4:$B$18,0)),"")</f>
        <v/>
      </c>
      <c r="K271" s="60" t="str">
        <f>IFERROR(INDEX([1]Cluster_Master!$F$4:$F$18,MATCH($F271,[1]Cluster_Master!$B$4:$B$18,0)),"")</f>
        <v/>
      </c>
      <c r="L271" s="60" t="str">
        <f>IFERROR(INDEX([1]Cluster_Master!$G$4:$G$18,MATCH($F271,[1]Cluster_Master!$B$4:$B$18,0)),"")</f>
        <v/>
      </c>
      <c r="M271" s="60" t="str">
        <f>IFERROR(INDEX([1]Cluster_Master!$H$4:$H$18,MATCH($F271,[1]Cluster_Master!$B$4:$B$18,0)),"")</f>
        <v/>
      </c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60" t="str">
        <f>IF(COUNTA(T271:AH271)=0,"",SUM(T271:AH271))</f>
        <v/>
      </c>
      <c r="AJ271" s="61" t="str">
        <f>IF(COUNTA(T271:AH271)=0,"",AI271/75)</f>
        <v/>
      </c>
      <c r="AK271" s="61" t="str">
        <f>IF(COUNTA(T271:AH271)=0,"",(SUM(T271*[1]KPI_Weights!$B$4,U271*[1]KPI_Weights!$B$5,V271*[1]KPI_Weights!$B$6,W271*[1]KPI_Weights!$B$7,X271*[1]KPI_Weights!$B$8,Y271*[1]KPI_Weights!$B$9,Z271*[1]KPI_Weights!$B$10,AA271*[1]KPI_Weights!$B$11,AB271*[1]KPI_Weights!$B$12,AC271*[1]KPI_Weights!$B$13,AD271*[1]KPI_Weights!$B$14,AE271*[1]KPI_Weights!$B$15,AF271*[1]KPI_Weights!$B$16,AG271*[1]KPI_Weights!$B$17,AH271*[1]KPI_Weights!$B$18))/5)</f>
        <v/>
      </c>
      <c r="AL271" s="60" t="str">
        <f>IF(COUNTA(T271:AH271)=0,"",IF(OR(T271&lt;=1,W271&lt;=1,X271&lt;=1,Y271&lt;=1,AB271&lt;=1),"YES","NO"))</f>
        <v/>
      </c>
      <c r="AM271" s="60" t="str">
        <f>IF(AJ271="","",IF(AND(AL271="NO",AJ271&gt;=0.75),"YES","NO"))</f>
        <v/>
      </c>
      <c r="AN271" s="60" t="str">
        <f>IF(AJ271="","",IF(AJ271&lt;0.4,"Critical",IF(AJ271&lt;0.6,"Poor",IF(AJ271&lt;0.75,"Needs Improvement",IF(AJ271&lt;0.9,"Good","Excellent")))))</f>
        <v/>
      </c>
      <c r="AO271" s="59"/>
      <c r="AP271" s="59"/>
      <c r="AQ271" s="59"/>
      <c r="AR271" s="59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</row>
    <row r="272" spans="1:54" ht="19.5" customHeight="1" x14ac:dyDescent="0.25">
      <c r="A272" s="60" t="str">
        <f>IF($B272="","",TEXT($B272,"yyyymmdd")&amp;"-"&amp;SUBSTITUTE($F272," ","")&amp;"-"&amp;TEXT(COUNTIF($F$4:F272,$F272),"00"))</f>
        <v/>
      </c>
      <c r="B272" s="65"/>
      <c r="C272" s="60" t="str">
        <f>IF($B272="","",WEEKNUM($B272,2))</f>
        <v/>
      </c>
      <c r="D272" s="60" t="str">
        <f>IF($B272="","",TEXT($B272,"yyyy-mm"))</f>
        <v/>
      </c>
      <c r="E272" s="64"/>
      <c r="F272" s="64"/>
      <c r="G272" s="60" t="str">
        <f>IF(OR($E272="",$F272=""),"",IFERROR(IF($E272=INDEX([1]Cluster_Master!$A$4:$A$18,MATCH($F272,[1]Cluster_Master!$B$4:$B$18,0)),"OK","CHECK"),"CHECK"))</f>
        <v/>
      </c>
      <c r="H272" s="63" t="str">
        <f>IFERROR(INDEX([1]Cluster_Master!$C$4:$C$18,MATCH($F272,[1]Cluster_Master!$B$4:$B$18,0)),"")</f>
        <v/>
      </c>
      <c r="I272" s="60" t="str">
        <f>IFERROR(INDEX([1]Cluster_Master!$D$4:$D$18,MATCH($F272,[1]Cluster_Master!$B$4:$B$18,0)),"")</f>
        <v/>
      </c>
      <c r="J272" s="60" t="str">
        <f>IFERROR(INDEX([1]Cluster_Master!$E$4:$E$18,MATCH($F272,[1]Cluster_Master!$B$4:$B$18,0)),"")</f>
        <v/>
      </c>
      <c r="K272" s="60" t="str">
        <f>IFERROR(INDEX([1]Cluster_Master!$F$4:$F$18,MATCH($F272,[1]Cluster_Master!$B$4:$B$18,0)),"")</f>
        <v/>
      </c>
      <c r="L272" s="60" t="str">
        <f>IFERROR(INDEX([1]Cluster_Master!$G$4:$G$18,MATCH($F272,[1]Cluster_Master!$B$4:$B$18,0)),"")</f>
        <v/>
      </c>
      <c r="M272" s="60" t="str">
        <f>IFERROR(INDEX([1]Cluster_Master!$H$4:$H$18,MATCH($F272,[1]Cluster_Master!$B$4:$B$18,0)),"")</f>
        <v/>
      </c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60" t="str">
        <f>IF(COUNTA(T272:AH272)=0,"",SUM(T272:AH272))</f>
        <v/>
      </c>
      <c r="AJ272" s="61" t="str">
        <f>IF(COUNTA(T272:AH272)=0,"",AI272/75)</f>
        <v/>
      </c>
      <c r="AK272" s="61" t="str">
        <f>IF(COUNTA(T272:AH272)=0,"",(SUM(T272*[1]KPI_Weights!$B$4,U272*[1]KPI_Weights!$B$5,V272*[1]KPI_Weights!$B$6,W272*[1]KPI_Weights!$B$7,X272*[1]KPI_Weights!$B$8,Y272*[1]KPI_Weights!$B$9,Z272*[1]KPI_Weights!$B$10,AA272*[1]KPI_Weights!$B$11,AB272*[1]KPI_Weights!$B$12,AC272*[1]KPI_Weights!$B$13,AD272*[1]KPI_Weights!$B$14,AE272*[1]KPI_Weights!$B$15,AF272*[1]KPI_Weights!$B$16,AG272*[1]KPI_Weights!$B$17,AH272*[1]KPI_Weights!$B$18))/5)</f>
        <v/>
      </c>
      <c r="AL272" s="60" t="str">
        <f>IF(COUNTA(T272:AH272)=0,"",IF(OR(T272&lt;=1,W272&lt;=1,X272&lt;=1,Y272&lt;=1,AB272&lt;=1),"YES","NO"))</f>
        <v/>
      </c>
      <c r="AM272" s="60" t="str">
        <f>IF(AJ272="","",IF(AND(AL272="NO",AJ272&gt;=0.75),"YES","NO"))</f>
        <v/>
      </c>
      <c r="AN272" s="60" t="str">
        <f>IF(AJ272="","",IF(AJ272&lt;0.4,"Critical",IF(AJ272&lt;0.6,"Poor",IF(AJ272&lt;0.75,"Needs Improvement",IF(AJ272&lt;0.9,"Good","Excellent")))))</f>
        <v/>
      </c>
      <c r="AO272" s="59"/>
      <c r="AP272" s="59"/>
      <c r="AQ272" s="59"/>
      <c r="AR272" s="59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</row>
    <row r="273" spans="1:54" ht="19.5" customHeight="1" x14ac:dyDescent="0.25">
      <c r="A273" s="60" t="str">
        <f>IF($B273="","",TEXT($B273,"yyyymmdd")&amp;"-"&amp;SUBSTITUTE($F273," ","")&amp;"-"&amp;TEXT(COUNTIF($F$4:F273,$F273),"00"))</f>
        <v/>
      </c>
      <c r="B273" s="65"/>
      <c r="C273" s="60" t="str">
        <f>IF($B273="","",WEEKNUM($B273,2))</f>
        <v/>
      </c>
      <c r="D273" s="60" t="str">
        <f>IF($B273="","",TEXT($B273,"yyyy-mm"))</f>
        <v/>
      </c>
      <c r="E273" s="64"/>
      <c r="F273" s="64"/>
      <c r="G273" s="60" t="str">
        <f>IF(OR($E273="",$F273=""),"",IFERROR(IF($E273=INDEX([1]Cluster_Master!$A$4:$A$18,MATCH($F273,[1]Cluster_Master!$B$4:$B$18,0)),"OK","CHECK"),"CHECK"))</f>
        <v/>
      </c>
      <c r="H273" s="63" t="str">
        <f>IFERROR(INDEX([1]Cluster_Master!$C$4:$C$18,MATCH($F273,[1]Cluster_Master!$B$4:$B$18,0)),"")</f>
        <v/>
      </c>
      <c r="I273" s="60" t="str">
        <f>IFERROR(INDEX([1]Cluster_Master!$D$4:$D$18,MATCH($F273,[1]Cluster_Master!$B$4:$B$18,0)),"")</f>
        <v/>
      </c>
      <c r="J273" s="60" t="str">
        <f>IFERROR(INDEX([1]Cluster_Master!$E$4:$E$18,MATCH($F273,[1]Cluster_Master!$B$4:$B$18,0)),"")</f>
        <v/>
      </c>
      <c r="K273" s="60" t="str">
        <f>IFERROR(INDEX([1]Cluster_Master!$F$4:$F$18,MATCH($F273,[1]Cluster_Master!$B$4:$B$18,0)),"")</f>
        <v/>
      </c>
      <c r="L273" s="60" t="str">
        <f>IFERROR(INDEX([1]Cluster_Master!$G$4:$G$18,MATCH($F273,[1]Cluster_Master!$B$4:$B$18,0)),"")</f>
        <v/>
      </c>
      <c r="M273" s="60" t="str">
        <f>IFERROR(INDEX([1]Cluster_Master!$H$4:$H$18,MATCH($F273,[1]Cluster_Master!$B$4:$B$18,0)),"")</f>
        <v/>
      </c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60" t="str">
        <f>IF(COUNTA(T273:AH273)=0,"",SUM(T273:AH273))</f>
        <v/>
      </c>
      <c r="AJ273" s="61" t="str">
        <f>IF(COUNTA(T273:AH273)=0,"",AI273/75)</f>
        <v/>
      </c>
      <c r="AK273" s="61" t="str">
        <f>IF(COUNTA(T273:AH273)=0,"",(SUM(T273*[1]KPI_Weights!$B$4,U273*[1]KPI_Weights!$B$5,V273*[1]KPI_Weights!$B$6,W273*[1]KPI_Weights!$B$7,X273*[1]KPI_Weights!$B$8,Y273*[1]KPI_Weights!$B$9,Z273*[1]KPI_Weights!$B$10,AA273*[1]KPI_Weights!$B$11,AB273*[1]KPI_Weights!$B$12,AC273*[1]KPI_Weights!$B$13,AD273*[1]KPI_Weights!$B$14,AE273*[1]KPI_Weights!$B$15,AF273*[1]KPI_Weights!$B$16,AG273*[1]KPI_Weights!$B$17,AH273*[1]KPI_Weights!$B$18))/5)</f>
        <v/>
      </c>
      <c r="AL273" s="60" t="str">
        <f>IF(COUNTA(T273:AH273)=0,"",IF(OR(T273&lt;=1,W273&lt;=1,X273&lt;=1,Y273&lt;=1,AB273&lt;=1),"YES","NO"))</f>
        <v/>
      </c>
      <c r="AM273" s="60" t="str">
        <f>IF(AJ273="","",IF(AND(AL273="NO",AJ273&gt;=0.75),"YES","NO"))</f>
        <v/>
      </c>
      <c r="AN273" s="60" t="str">
        <f>IF(AJ273="","",IF(AJ273&lt;0.4,"Critical",IF(AJ273&lt;0.6,"Poor",IF(AJ273&lt;0.75,"Needs Improvement",IF(AJ273&lt;0.9,"Good","Excellent")))))</f>
        <v/>
      </c>
      <c r="AO273" s="59"/>
      <c r="AP273" s="59"/>
      <c r="AQ273" s="59"/>
      <c r="AR273" s="59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</row>
    <row r="274" spans="1:54" ht="19.5" customHeight="1" x14ac:dyDescent="0.25">
      <c r="A274" s="60" t="str">
        <f>IF($B274="","",TEXT($B274,"yyyymmdd")&amp;"-"&amp;SUBSTITUTE($F274," ","")&amp;"-"&amp;TEXT(COUNTIF($F$4:F274,$F274),"00"))</f>
        <v/>
      </c>
      <c r="B274" s="65"/>
      <c r="C274" s="60" t="str">
        <f>IF($B274="","",WEEKNUM($B274,2))</f>
        <v/>
      </c>
      <c r="D274" s="60" t="str">
        <f>IF($B274="","",TEXT($B274,"yyyy-mm"))</f>
        <v/>
      </c>
      <c r="E274" s="64"/>
      <c r="F274" s="64"/>
      <c r="G274" s="60" t="str">
        <f>IF(OR($E274="",$F274=""),"",IFERROR(IF($E274=INDEX([1]Cluster_Master!$A$4:$A$18,MATCH($F274,[1]Cluster_Master!$B$4:$B$18,0)),"OK","CHECK"),"CHECK"))</f>
        <v/>
      </c>
      <c r="H274" s="63" t="str">
        <f>IFERROR(INDEX([1]Cluster_Master!$C$4:$C$18,MATCH($F274,[1]Cluster_Master!$B$4:$B$18,0)),"")</f>
        <v/>
      </c>
      <c r="I274" s="60" t="str">
        <f>IFERROR(INDEX([1]Cluster_Master!$D$4:$D$18,MATCH($F274,[1]Cluster_Master!$B$4:$B$18,0)),"")</f>
        <v/>
      </c>
      <c r="J274" s="60" t="str">
        <f>IFERROR(INDEX([1]Cluster_Master!$E$4:$E$18,MATCH($F274,[1]Cluster_Master!$B$4:$B$18,0)),"")</f>
        <v/>
      </c>
      <c r="K274" s="60" t="str">
        <f>IFERROR(INDEX([1]Cluster_Master!$F$4:$F$18,MATCH($F274,[1]Cluster_Master!$B$4:$B$18,0)),"")</f>
        <v/>
      </c>
      <c r="L274" s="60" t="str">
        <f>IFERROR(INDEX([1]Cluster_Master!$G$4:$G$18,MATCH($F274,[1]Cluster_Master!$B$4:$B$18,0)),"")</f>
        <v/>
      </c>
      <c r="M274" s="60" t="str">
        <f>IFERROR(INDEX([1]Cluster_Master!$H$4:$H$18,MATCH($F274,[1]Cluster_Master!$B$4:$B$18,0)),"")</f>
        <v/>
      </c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60" t="str">
        <f>IF(COUNTA(T274:AH274)=0,"",SUM(T274:AH274))</f>
        <v/>
      </c>
      <c r="AJ274" s="61" t="str">
        <f>IF(COUNTA(T274:AH274)=0,"",AI274/75)</f>
        <v/>
      </c>
      <c r="AK274" s="61" t="str">
        <f>IF(COUNTA(T274:AH274)=0,"",(SUM(T274*[1]KPI_Weights!$B$4,U274*[1]KPI_Weights!$B$5,V274*[1]KPI_Weights!$B$6,W274*[1]KPI_Weights!$B$7,X274*[1]KPI_Weights!$B$8,Y274*[1]KPI_Weights!$B$9,Z274*[1]KPI_Weights!$B$10,AA274*[1]KPI_Weights!$B$11,AB274*[1]KPI_Weights!$B$12,AC274*[1]KPI_Weights!$B$13,AD274*[1]KPI_Weights!$B$14,AE274*[1]KPI_Weights!$B$15,AF274*[1]KPI_Weights!$B$16,AG274*[1]KPI_Weights!$B$17,AH274*[1]KPI_Weights!$B$18))/5)</f>
        <v/>
      </c>
      <c r="AL274" s="60" t="str">
        <f>IF(COUNTA(T274:AH274)=0,"",IF(OR(T274&lt;=1,W274&lt;=1,X274&lt;=1,Y274&lt;=1,AB274&lt;=1),"YES","NO"))</f>
        <v/>
      </c>
      <c r="AM274" s="60" t="str">
        <f>IF(AJ274="","",IF(AND(AL274="NO",AJ274&gt;=0.75),"YES","NO"))</f>
        <v/>
      </c>
      <c r="AN274" s="60" t="str">
        <f>IF(AJ274="","",IF(AJ274&lt;0.4,"Critical",IF(AJ274&lt;0.6,"Poor",IF(AJ274&lt;0.75,"Needs Improvement",IF(AJ274&lt;0.9,"Good","Excellent")))))</f>
        <v/>
      </c>
      <c r="AO274" s="59"/>
      <c r="AP274" s="59"/>
      <c r="AQ274" s="59"/>
      <c r="AR274" s="59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</row>
    <row r="275" spans="1:54" ht="19.5" customHeight="1" x14ac:dyDescent="0.25">
      <c r="A275" s="60" t="str">
        <f>IF($B275="","",TEXT($B275,"yyyymmdd")&amp;"-"&amp;SUBSTITUTE($F275," ","")&amp;"-"&amp;TEXT(COUNTIF($F$4:F275,$F275),"00"))</f>
        <v/>
      </c>
      <c r="B275" s="65"/>
      <c r="C275" s="60" t="str">
        <f>IF($B275="","",WEEKNUM($B275,2))</f>
        <v/>
      </c>
      <c r="D275" s="60" t="str">
        <f>IF($B275="","",TEXT($B275,"yyyy-mm"))</f>
        <v/>
      </c>
      <c r="E275" s="64"/>
      <c r="F275" s="64"/>
      <c r="G275" s="60" t="str">
        <f>IF(OR($E275="",$F275=""),"",IFERROR(IF($E275=INDEX([1]Cluster_Master!$A$4:$A$18,MATCH($F275,[1]Cluster_Master!$B$4:$B$18,0)),"OK","CHECK"),"CHECK"))</f>
        <v/>
      </c>
      <c r="H275" s="63" t="str">
        <f>IFERROR(INDEX([1]Cluster_Master!$C$4:$C$18,MATCH($F275,[1]Cluster_Master!$B$4:$B$18,0)),"")</f>
        <v/>
      </c>
      <c r="I275" s="60" t="str">
        <f>IFERROR(INDEX([1]Cluster_Master!$D$4:$D$18,MATCH($F275,[1]Cluster_Master!$B$4:$B$18,0)),"")</f>
        <v/>
      </c>
      <c r="J275" s="60" t="str">
        <f>IFERROR(INDEX([1]Cluster_Master!$E$4:$E$18,MATCH($F275,[1]Cluster_Master!$B$4:$B$18,0)),"")</f>
        <v/>
      </c>
      <c r="K275" s="60" t="str">
        <f>IFERROR(INDEX([1]Cluster_Master!$F$4:$F$18,MATCH($F275,[1]Cluster_Master!$B$4:$B$18,0)),"")</f>
        <v/>
      </c>
      <c r="L275" s="60" t="str">
        <f>IFERROR(INDEX([1]Cluster_Master!$G$4:$G$18,MATCH($F275,[1]Cluster_Master!$B$4:$B$18,0)),"")</f>
        <v/>
      </c>
      <c r="M275" s="60" t="str">
        <f>IFERROR(INDEX([1]Cluster_Master!$H$4:$H$18,MATCH($F275,[1]Cluster_Master!$B$4:$B$18,0)),"")</f>
        <v/>
      </c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60" t="str">
        <f>IF(COUNTA(T275:AH275)=0,"",SUM(T275:AH275))</f>
        <v/>
      </c>
      <c r="AJ275" s="61" t="str">
        <f>IF(COUNTA(T275:AH275)=0,"",AI275/75)</f>
        <v/>
      </c>
      <c r="AK275" s="61" t="str">
        <f>IF(COUNTA(T275:AH275)=0,"",(SUM(T275*[1]KPI_Weights!$B$4,U275*[1]KPI_Weights!$B$5,V275*[1]KPI_Weights!$B$6,W275*[1]KPI_Weights!$B$7,X275*[1]KPI_Weights!$B$8,Y275*[1]KPI_Weights!$B$9,Z275*[1]KPI_Weights!$B$10,AA275*[1]KPI_Weights!$B$11,AB275*[1]KPI_Weights!$B$12,AC275*[1]KPI_Weights!$B$13,AD275*[1]KPI_Weights!$B$14,AE275*[1]KPI_Weights!$B$15,AF275*[1]KPI_Weights!$B$16,AG275*[1]KPI_Weights!$B$17,AH275*[1]KPI_Weights!$B$18))/5)</f>
        <v/>
      </c>
      <c r="AL275" s="60" t="str">
        <f>IF(COUNTA(T275:AH275)=0,"",IF(OR(T275&lt;=1,W275&lt;=1,X275&lt;=1,Y275&lt;=1,AB275&lt;=1),"YES","NO"))</f>
        <v/>
      </c>
      <c r="AM275" s="60" t="str">
        <f>IF(AJ275="","",IF(AND(AL275="NO",AJ275&gt;=0.75),"YES","NO"))</f>
        <v/>
      </c>
      <c r="AN275" s="60" t="str">
        <f>IF(AJ275="","",IF(AJ275&lt;0.4,"Critical",IF(AJ275&lt;0.6,"Poor",IF(AJ275&lt;0.75,"Needs Improvement",IF(AJ275&lt;0.9,"Good","Excellent")))))</f>
        <v/>
      </c>
      <c r="AO275" s="59"/>
      <c r="AP275" s="59"/>
      <c r="AQ275" s="59"/>
      <c r="AR275" s="59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</row>
    <row r="276" spans="1:54" ht="19.5" customHeight="1" x14ac:dyDescent="0.25">
      <c r="A276" s="60" t="str">
        <f>IF($B276="","",TEXT($B276,"yyyymmdd")&amp;"-"&amp;SUBSTITUTE($F276," ","")&amp;"-"&amp;TEXT(COUNTIF($F$4:F276,$F276),"00"))</f>
        <v/>
      </c>
      <c r="B276" s="65"/>
      <c r="C276" s="60" t="str">
        <f>IF($B276="","",WEEKNUM($B276,2))</f>
        <v/>
      </c>
      <c r="D276" s="60" t="str">
        <f>IF($B276="","",TEXT($B276,"yyyy-mm"))</f>
        <v/>
      </c>
      <c r="E276" s="64"/>
      <c r="F276" s="64"/>
      <c r="G276" s="60" t="str">
        <f>IF(OR($E276="",$F276=""),"",IFERROR(IF($E276=INDEX([1]Cluster_Master!$A$4:$A$18,MATCH($F276,[1]Cluster_Master!$B$4:$B$18,0)),"OK","CHECK"),"CHECK"))</f>
        <v/>
      </c>
      <c r="H276" s="63" t="str">
        <f>IFERROR(INDEX([1]Cluster_Master!$C$4:$C$18,MATCH($F276,[1]Cluster_Master!$B$4:$B$18,0)),"")</f>
        <v/>
      </c>
      <c r="I276" s="60" t="str">
        <f>IFERROR(INDEX([1]Cluster_Master!$D$4:$D$18,MATCH($F276,[1]Cluster_Master!$B$4:$B$18,0)),"")</f>
        <v/>
      </c>
      <c r="J276" s="60" t="str">
        <f>IFERROR(INDEX([1]Cluster_Master!$E$4:$E$18,MATCH($F276,[1]Cluster_Master!$B$4:$B$18,0)),"")</f>
        <v/>
      </c>
      <c r="K276" s="60" t="str">
        <f>IFERROR(INDEX([1]Cluster_Master!$F$4:$F$18,MATCH($F276,[1]Cluster_Master!$B$4:$B$18,0)),"")</f>
        <v/>
      </c>
      <c r="L276" s="60" t="str">
        <f>IFERROR(INDEX([1]Cluster_Master!$G$4:$G$18,MATCH($F276,[1]Cluster_Master!$B$4:$B$18,0)),"")</f>
        <v/>
      </c>
      <c r="M276" s="60" t="str">
        <f>IFERROR(INDEX([1]Cluster_Master!$H$4:$H$18,MATCH($F276,[1]Cluster_Master!$B$4:$B$18,0)),"")</f>
        <v/>
      </c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60" t="str">
        <f>IF(COUNTA(T276:AH276)=0,"",SUM(T276:AH276))</f>
        <v/>
      </c>
      <c r="AJ276" s="61" t="str">
        <f>IF(COUNTA(T276:AH276)=0,"",AI276/75)</f>
        <v/>
      </c>
      <c r="AK276" s="61" t="str">
        <f>IF(COUNTA(T276:AH276)=0,"",(SUM(T276*[1]KPI_Weights!$B$4,U276*[1]KPI_Weights!$B$5,V276*[1]KPI_Weights!$B$6,W276*[1]KPI_Weights!$B$7,X276*[1]KPI_Weights!$B$8,Y276*[1]KPI_Weights!$B$9,Z276*[1]KPI_Weights!$B$10,AA276*[1]KPI_Weights!$B$11,AB276*[1]KPI_Weights!$B$12,AC276*[1]KPI_Weights!$B$13,AD276*[1]KPI_Weights!$B$14,AE276*[1]KPI_Weights!$B$15,AF276*[1]KPI_Weights!$B$16,AG276*[1]KPI_Weights!$B$17,AH276*[1]KPI_Weights!$B$18))/5)</f>
        <v/>
      </c>
      <c r="AL276" s="60" t="str">
        <f>IF(COUNTA(T276:AH276)=0,"",IF(OR(T276&lt;=1,W276&lt;=1,X276&lt;=1,Y276&lt;=1,AB276&lt;=1),"YES","NO"))</f>
        <v/>
      </c>
      <c r="AM276" s="60" t="str">
        <f>IF(AJ276="","",IF(AND(AL276="NO",AJ276&gt;=0.75),"YES","NO"))</f>
        <v/>
      </c>
      <c r="AN276" s="60" t="str">
        <f>IF(AJ276="","",IF(AJ276&lt;0.4,"Critical",IF(AJ276&lt;0.6,"Poor",IF(AJ276&lt;0.75,"Needs Improvement",IF(AJ276&lt;0.9,"Good","Excellent")))))</f>
        <v/>
      </c>
      <c r="AO276" s="59"/>
      <c r="AP276" s="59"/>
      <c r="AQ276" s="59"/>
      <c r="AR276" s="59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</row>
    <row r="277" spans="1:54" ht="19.5" customHeight="1" x14ac:dyDescent="0.25">
      <c r="A277" s="60" t="str">
        <f>IF($B277="","",TEXT($B277,"yyyymmdd")&amp;"-"&amp;SUBSTITUTE($F277," ","")&amp;"-"&amp;TEXT(COUNTIF($F$4:F277,$F277),"00"))</f>
        <v/>
      </c>
      <c r="B277" s="65"/>
      <c r="C277" s="60" t="str">
        <f>IF($B277="","",WEEKNUM($B277,2))</f>
        <v/>
      </c>
      <c r="D277" s="60" t="str">
        <f>IF($B277="","",TEXT($B277,"yyyy-mm"))</f>
        <v/>
      </c>
      <c r="E277" s="64"/>
      <c r="F277" s="64"/>
      <c r="G277" s="60" t="str">
        <f>IF(OR($E277="",$F277=""),"",IFERROR(IF($E277=INDEX([1]Cluster_Master!$A$4:$A$18,MATCH($F277,[1]Cluster_Master!$B$4:$B$18,0)),"OK","CHECK"),"CHECK"))</f>
        <v/>
      </c>
      <c r="H277" s="63" t="str">
        <f>IFERROR(INDEX([1]Cluster_Master!$C$4:$C$18,MATCH($F277,[1]Cluster_Master!$B$4:$B$18,0)),"")</f>
        <v/>
      </c>
      <c r="I277" s="60" t="str">
        <f>IFERROR(INDEX([1]Cluster_Master!$D$4:$D$18,MATCH($F277,[1]Cluster_Master!$B$4:$B$18,0)),"")</f>
        <v/>
      </c>
      <c r="J277" s="60" t="str">
        <f>IFERROR(INDEX([1]Cluster_Master!$E$4:$E$18,MATCH($F277,[1]Cluster_Master!$B$4:$B$18,0)),"")</f>
        <v/>
      </c>
      <c r="K277" s="60" t="str">
        <f>IFERROR(INDEX([1]Cluster_Master!$F$4:$F$18,MATCH($F277,[1]Cluster_Master!$B$4:$B$18,0)),"")</f>
        <v/>
      </c>
      <c r="L277" s="60" t="str">
        <f>IFERROR(INDEX([1]Cluster_Master!$G$4:$G$18,MATCH($F277,[1]Cluster_Master!$B$4:$B$18,0)),"")</f>
        <v/>
      </c>
      <c r="M277" s="60" t="str">
        <f>IFERROR(INDEX([1]Cluster_Master!$H$4:$H$18,MATCH($F277,[1]Cluster_Master!$B$4:$B$18,0)),"")</f>
        <v/>
      </c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60" t="str">
        <f>IF(COUNTA(T277:AH277)=0,"",SUM(T277:AH277))</f>
        <v/>
      </c>
      <c r="AJ277" s="61" t="str">
        <f>IF(COUNTA(T277:AH277)=0,"",AI277/75)</f>
        <v/>
      </c>
      <c r="AK277" s="61" t="str">
        <f>IF(COUNTA(T277:AH277)=0,"",(SUM(T277*[1]KPI_Weights!$B$4,U277*[1]KPI_Weights!$B$5,V277*[1]KPI_Weights!$B$6,W277*[1]KPI_Weights!$B$7,X277*[1]KPI_Weights!$B$8,Y277*[1]KPI_Weights!$B$9,Z277*[1]KPI_Weights!$B$10,AA277*[1]KPI_Weights!$B$11,AB277*[1]KPI_Weights!$B$12,AC277*[1]KPI_Weights!$B$13,AD277*[1]KPI_Weights!$B$14,AE277*[1]KPI_Weights!$B$15,AF277*[1]KPI_Weights!$B$16,AG277*[1]KPI_Weights!$B$17,AH277*[1]KPI_Weights!$B$18))/5)</f>
        <v/>
      </c>
      <c r="AL277" s="60" t="str">
        <f>IF(COUNTA(T277:AH277)=0,"",IF(OR(T277&lt;=1,W277&lt;=1,X277&lt;=1,Y277&lt;=1,AB277&lt;=1),"YES","NO"))</f>
        <v/>
      </c>
      <c r="AM277" s="60" t="str">
        <f>IF(AJ277="","",IF(AND(AL277="NO",AJ277&gt;=0.75),"YES","NO"))</f>
        <v/>
      </c>
      <c r="AN277" s="60" t="str">
        <f>IF(AJ277="","",IF(AJ277&lt;0.4,"Critical",IF(AJ277&lt;0.6,"Poor",IF(AJ277&lt;0.75,"Needs Improvement",IF(AJ277&lt;0.9,"Good","Excellent")))))</f>
        <v/>
      </c>
      <c r="AO277" s="59"/>
      <c r="AP277" s="59"/>
      <c r="AQ277" s="59"/>
      <c r="AR277" s="59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</row>
    <row r="278" spans="1:54" ht="19.5" customHeight="1" x14ac:dyDescent="0.25">
      <c r="A278" s="60" t="str">
        <f>IF($B278="","",TEXT($B278,"yyyymmdd")&amp;"-"&amp;SUBSTITUTE($F278," ","")&amp;"-"&amp;TEXT(COUNTIF($F$4:F278,$F278),"00"))</f>
        <v/>
      </c>
      <c r="B278" s="65"/>
      <c r="C278" s="60" t="str">
        <f>IF($B278="","",WEEKNUM($B278,2))</f>
        <v/>
      </c>
      <c r="D278" s="60" t="str">
        <f>IF($B278="","",TEXT($B278,"yyyy-mm"))</f>
        <v/>
      </c>
      <c r="E278" s="64"/>
      <c r="F278" s="64"/>
      <c r="G278" s="60" t="str">
        <f>IF(OR($E278="",$F278=""),"",IFERROR(IF($E278=INDEX([1]Cluster_Master!$A$4:$A$18,MATCH($F278,[1]Cluster_Master!$B$4:$B$18,0)),"OK","CHECK"),"CHECK"))</f>
        <v/>
      </c>
      <c r="H278" s="63" t="str">
        <f>IFERROR(INDEX([1]Cluster_Master!$C$4:$C$18,MATCH($F278,[1]Cluster_Master!$B$4:$B$18,0)),"")</f>
        <v/>
      </c>
      <c r="I278" s="60" t="str">
        <f>IFERROR(INDEX([1]Cluster_Master!$D$4:$D$18,MATCH($F278,[1]Cluster_Master!$B$4:$B$18,0)),"")</f>
        <v/>
      </c>
      <c r="J278" s="60" t="str">
        <f>IFERROR(INDEX([1]Cluster_Master!$E$4:$E$18,MATCH($F278,[1]Cluster_Master!$B$4:$B$18,0)),"")</f>
        <v/>
      </c>
      <c r="K278" s="60" t="str">
        <f>IFERROR(INDEX([1]Cluster_Master!$F$4:$F$18,MATCH($F278,[1]Cluster_Master!$B$4:$B$18,0)),"")</f>
        <v/>
      </c>
      <c r="L278" s="60" t="str">
        <f>IFERROR(INDEX([1]Cluster_Master!$G$4:$G$18,MATCH($F278,[1]Cluster_Master!$B$4:$B$18,0)),"")</f>
        <v/>
      </c>
      <c r="M278" s="60" t="str">
        <f>IFERROR(INDEX([1]Cluster_Master!$H$4:$H$18,MATCH($F278,[1]Cluster_Master!$B$4:$B$18,0)),"")</f>
        <v/>
      </c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60" t="str">
        <f>IF(COUNTA(T278:AH278)=0,"",SUM(T278:AH278))</f>
        <v/>
      </c>
      <c r="AJ278" s="61" t="str">
        <f>IF(COUNTA(T278:AH278)=0,"",AI278/75)</f>
        <v/>
      </c>
      <c r="AK278" s="61" t="str">
        <f>IF(COUNTA(T278:AH278)=0,"",(SUM(T278*[1]KPI_Weights!$B$4,U278*[1]KPI_Weights!$B$5,V278*[1]KPI_Weights!$B$6,W278*[1]KPI_Weights!$B$7,X278*[1]KPI_Weights!$B$8,Y278*[1]KPI_Weights!$B$9,Z278*[1]KPI_Weights!$B$10,AA278*[1]KPI_Weights!$B$11,AB278*[1]KPI_Weights!$B$12,AC278*[1]KPI_Weights!$B$13,AD278*[1]KPI_Weights!$B$14,AE278*[1]KPI_Weights!$B$15,AF278*[1]KPI_Weights!$B$16,AG278*[1]KPI_Weights!$B$17,AH278*[1]KPI_Weights!$B$18))/5)</f>
        <v/>
      </c>
      <c r="AL278" s="60" t="str">
        <f>IF(COUNTA(T278:AH278)=0,"",IF(OR(T278&lt;=1,W278&lt;=1,X278&lt;=1,Y278&lt;=1,AB278&lt;=1),"YES","NO"))</f>
        <v/>
      </c>
      <c r="AM278" s="60" t="str">
        <f>IF(AJ278="","",IF(AND(AL278="NO",AJ278&gt;=0.75),"YES","NO"))</f>
        <v/>
      </c>
      <c r="AN278" s="60" t="str">
        <f>IF(AJ278="","",IF(AJ278&lt;0.4,"Critical",IF(AJ278&lt;0.6,"Poor",IF(AJ278&lt;0.75,"Needs Improvement",IF(AJ278&lt;0.9,"Good","Excellent")))))</f>
        <v/>
      </c>
      <c r="AO278" s="59"/>
      <c r="AP278" s="59"/>
      <c r="AQ278" s="59"/>
      <c r="AR278" s="59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</row>
    <row r="279" spans="1:54" ht="19.5" customHeight="1" x14ac:dyDescent="0.25">
      <c r="A279" s="60" t="str">
        <f>IF($B279="","",TEXT($B279,"yyyymmdd")&amp;"-"&amp;SUBSTITUTE($F279," ","")&amp;"-"&amp;TEXT(COUNTIF($F$4:F279,$F279),"00"))</f>
        <v/>
      </c>
      <c r="B279" s="65"/>
      <c r="C279" s="60" t="str">
        <f>IF($B279="","",WEEKNUM($B279,2))</f>
        <v/>
      </c>
      <c r="D279" s="60" t="str">
        <f>IF($B279="","",TEXT($B279,"yyyy-mm"))</f>
        <v/>
      </c>
      <c r="E279" s="64"/>
      <c r="F279" s="64"/>
      <c r="G279" s="60" t="str">
        <f>IF(OR($E279="",$F279=""),"",IFERROR(IF($E279=INDEX([1]Cluster_Master!$A$4:$A$18,MATCH($F279,[1]Cluster_Master!$B$4:$B$18,0)),"OK","CHECK"),"CHECK"))</f>
        <v/>
      </c>
      <c r="H279" s="63" t="str">
        <f>IFERROR(INDEX([1]Cluster_Master!$C$4:$C$18,MATCH($F279,[1]Cluster_Master!$B$4:$B$18,0)),"")</f>
        <v/>
      </c>
      <c r="I279" s="60" t="str">
        <f>IFERROR(INDEX([1]Cluster_Master!$D$4:$D$18,MATCH($F279,[1]Cluster_Master!$B$4:$B$18,0)),"")</f>
        <v/>
      </c>
      <c r="J279" s="60" t="str">
        <f>IFERROR(INDEX([1]Cluster_Master!$E$4:$E$18,MATCH($F279,[1]Cluster_Master!$B$4:$B$18,0)),"")</f>
        <v/>
      </c>
      <c r="K279" s="60" t="str">
        <f>IFERROR(INDEX([1]Cluster_Master!$F$4:$F$18,MATCH($F279,[1]Cluster_Master!$B$4:$B$18,0)),"")</f>
        <v/>
      </c>
      <c r="L279" s="60" t="str">
        <f>IFERROR(INDEX([1]Cluster_Master!$G$4:$G$18,MATCH($F279,[1]Cluster_Master!$B$4:$B$18,0)),"")</f>
        <v/>
      </c>
      <c r="M279" s="60" t="str">
        <f>IFERROR(INDEX([1]Cluster_Master!$H$4:$H$18,MATCH($F279,[1]Cluster_Master!$B$4:$B$18,0)),"")</f>
        <v/>
      </c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60" t="str">
        <f>IF(COUNTA(T279:AH279)=0,"",SUM(T279:AH279))</f>
        <v/>
      </c>
      <c r="AJ279" s="61" t="str">
        <f>IF(COUNTA(T279:AH279)=0,"",AI279/75)</f>
        <v/>
      </c>
      <c r="AK279" s="61" t="str">
        <f>IF(COUNTA(T279:AH279)=0,"",(SUM(T279*[1]KPI_Weights!$B$4,U279*[1]KPI_Weights!$B$5,V279*[1]KPI_Weights!$B$6,W279*[1]KPI_Weights!$B$7,X279*[1]KPI_Weights!$B$8,Y279*[1]KPI_Weights!$B$9,Z279*[1]KPI_Weights!$B$10,AA279*[1]KPI_Weights!$B$11,AB279*[1]KPI_Weights!$B$12,AC279*[1]KPI_Weights!$B$13,AD279*[1]KPI_Weights!$B$14,AE279*[1]KPI_Weights!$B$15,AF279*[1]KPI_Weights!$B$16,AG279*[1]KPI_Weights!$B$17,AH279*[1]KPI_Weights!$B$18))/5)</f>
        <v/>
      </c>
      <c r="AL279" s="60" t="str">
        <f>IF(COUNTA(T279:AH279)=0,"",IF(OR(T279&lt;=1,W279&lt;=1,X279&lt;=1,Y279&lt;=1,AB279&lt;=1),"YES","NO"))</f>
        <v/>
      </c>
      <c r="AM279" s="60" t="str">
        <f>IF(AJ279="","",IF(AND(AL279="NO",AJ279&gt;=0.75),"YES","NO"))</f>
        <v/>
      </c>
      <c r="AN279" s="60" t="str">
        <f>IF(AJ279="","",IF(AJ279&lt;0.4,"Critical",IF(AJ279&lt;0.6,"Poor",IF(AJ279&lt;0.75,"Needs Improvement",IF(AJ279&lt;0.9,"Good","Excellent")))))</f>
        <v/>
      </c>
      <c r="AO279" s="59"/>
      <c r="AP279" s="59"/>
      <c r="AQ279" s="59"/>
      <c r="AR279" s="59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</row>
    <row r="280" spans="1:54" ht="19.5" customHeight="1" x14ac:dyDescent="0.25">
      <c r="A280" s="60" t="str">
        <f>IF($B280="","",TEXT($B280,"yyyymmdd")&amp;"-"&amp;SUBSTITUTE($F280," ","")&amp;"-"&amp;TEXT(COUNTIF($F$4:F280,$F280),"00"))</f>
        <v/>
      </c>
      <c r="B280" s="65"/>
      <c r="C280" s="60" t="str">
        <f>IF($B280="","",WEEKNUM($B280,2))</f>
        <v/>
      </c>
      <c r="D280" s="60" t="str">
        <f>IF($B280="","",TEXT($B280,"yyyy-mm"))</f>
        <v/>
      </c>
      <c r="E280" s="64"/>
      <c r="F280" s="64"/>
      <c r="G280" s="60" t="str">
        <f>IF(OR($E280="",$F280=""),"",IFERROR(IF($E280=INDEX([1]Cluster_Master!$A$4:$A$18,MATCH($F280,[1]Cluster_Master!$B$4:$B$18,0)),"OK","CHECK"),"CHECK"))</f>
        <v/>
      </c>
      <c r="H280" s="63" t="str">
        <f>IFERROR(INDEX([1]Cluster_Master!$C$4:$C$18,MATCH($F280,[1]Cluster_Master!$B$4:$B$18,0)),"")</f>
        <v/>
      </c>
      <c r="I280" s="60" t="str">
        <f>IFERROR(INDEX([1]Cluster_Master!$D$4:$D$18,MATCH($F280,[1]Cluster_Master!$B$4:$B$18,0)),"")</f>
        <v/>
      </c>
      <c r="J280" s="60" t="str">
        <f>IFERROR(INDEX([1]Cluster_Master!$E$4:$E$18,MATCH($F280,[1]Cluster_Master!$B$4:$B$18,0)),"")</f>
        <v/>
      </c>
      <c r="K280" s="60" t="str">
        <f>IFERROR(INDEX([1]Cluster_Master!$F$4:$F$18,MATCH($F280,[1]Cluster_Master!$B$4:$B$18,0)),"")</f>
        <v/>
      </c>
      <c r="L280" s="60" t="str">
        <f>IFERROR(INDEX([1]Cluster_Master!$G$4:$G$18,MATCH($F280,[1]Cluster_Master!$B$4:$B$18,0)),"")</f>
        <v/>
      </c>
      <c r="M280" s="60" t="str">
        <f>IFERROR(INDEX([1]Cluster_Master!$H$4:$H$18,MATCH($F280,[1]Cluster_Master!$B$4:$B$18,0)),"")</f>
        <v/>
      </c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60" t="str">
        <f>IF(COUNTA(T280:AH280)=0,"",SUM(T280:AH280))</f>
        <v/>
      </c>
      <c r="AJ280" s="61" t="str">
        <f>IF(COUNTA(T280:AH280)=0,"",AI280/75)</f>
        <v/>
      </c>
      <c r="AK280" s="61" t="str">
        <f>IF(COUNTA(T280:AH280)=0,"",(SUM(T280*[1]KPI_Weights!$B$4,U280*[1]KPI_Weights!$B$5,V280*[1]KPI_Weights!$B$6,W280*[1]KPI_Weights!$B$7,X280*[1]KPI_Weights!$B$8,Y280*[1]KPI_Weights!$B$9,Z280*[1]KPI_Weights!$B$10,AA280*[1]KPI_Weights!$B$11,AB280*[1]KPI_Weights!$B$12,AC280*[1]KPI_Weights!$B$13,AD280*[1]KPI_Weights!$B$14,AE280*[1]KPI_Weights!$B$15,AF280*[1]KPI_Weights!$B$16,AG280*[1]KPI_Weights!$B$17,AH280*[1]KPI_Weights!$B$18))/5)</f>
        <v/>
      </c>
      <c r="AL280" s="60" t="str">
        <f>IF(COUNTA(T280:AH280)=0,"",IF(OR(T280&lt;=1,W280&lt;=1,X280&lt;=1,Y280&lt;=1,AB280&lt;=1),"YES","NO"))</f>
        <v/>
      </c>
      <c r="AM280" s="60" t="str">
        <f>IF(AJ280="","",IF(AND(AL280="NO",AJ280&gt;=0.75),"YES","NO"))</f>
        <v/>
      </c>
      <c r="AN280" s="60" t="str">
        <f>IF(AJ280="","",IF(AJ280&lt;0.4,"Critical",IF(AJ280&lt;0.6,"Poor",IF(AJ280&lt;0.75,"Needs Improvement",IF(AJ280&lt;0.9,"Good","Excellent")))))</f>
        <v/>
      </c>
      <c r="AO280" s="59"/>
      <c r="AP280" s="59"/>
      <c r="AQ280" s="59"/>
      <c r="AR280" s="59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</row>
    <row r="281" spans="1:54" ht="19.5" customHeight="1" x14ac:dyDescent="0.25">
      <c r="A281" s="60" t="str">
        <f>IF($B281="","",TEXT($B281,"yyyymmdd")&amp;"-"&amp;SUBSTITUTE($F281," ","")&amp;"-"&amp;TEXT(COUNTIF($F$4:F281,$F281),"00"))</f>
        <v/>
      </c>
      <c r="B281" s="65"/>
      <c r="C281" s="60" t="str">
        <f>IF($B281="","",WEEKNUM($B281,2))</f>
        <v/>
      </c>
      <c r="D281" s="60" t="str">
        <f>IF($B281="","",TEXT($B281,"yyyy-mm"))</f>
        <v/>
      </c>
      <c r="E281" s="64"/>
      <c r="F281" s="64"/>
      <c r="G281" s="60" t="str">
        <f>IF(OR($E281="",$F281=""),"",IFERROR(IF($E281=INDEX([1]Cluster_Master!$A$4:$A$18,MATCH($F281,[1]Cluster_Master!$B$4:$B$18,0)),"OK","CHECK"),"CHECK"))</f>
        <v/>
      </c>
      <c r="H281" s="63" t="str">
        <f>IFERROR(INDEX([1]Cluster_Master!$C$4:$C$18,MATCH($F281,[1]Cluster_Master!$B$4:$B$18,0)),"")</f>
        <v/>
      </c>
      <c r="I281" s="60" t="str">
        <f>IFERROR(INDEX([1]Cluster_Master!$D$4:$D$18,MATCH($F281,[1]Cluster_Master!$B$4:$B$18,0)),"")</f>
        <v/>
      </c>
      <c r="J281" s="60" t="str">
        <f>IFERROR(INDEX([1]Cluster_Master!$E$4:$E$18,MATCH($F281,[1]Cluster_Master!$B$4:$B$18,0)),"")</f>
        <v/>
      </c>
      <c r="K281" s="60" t="str">
        <f>IFERROR(INDEX([1]Cluster_Master!$F$4:$F$18,MATCH($F281,[1]Cluster_Master!$B$4:$B$18,0)),"")</f>
        <v/>
      </c>
      <c r="L281" s="60" t="str">
        <f>IFERROR(INDEX([1]Cluster_Master!$G$4:$G$18,MATCH($F281,[1]Cluster_Master!$B$4:$B$18,0)),"")</f>
        <v/>
      </c>
      <c r="M281" s="60" t="str">
        <f>IFERROR(INDEX([1]Cluster_Master!$H$4:$H$18,MATCH($F281,[1]Cluster_Master!$B$4:$B$18,0)),"")</f>
        <v/>
      </c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60" t="str">
        <f>IF(COUNTA(T281:AH281)=0,"",SUM(T281:AH281))</f>
        <v/>
      </c>
      <c r="AJ281" s="61" t="str">
        <f>IF(COUNTA(T281:AH281)=0,"",AI281/75)</f>
        <v/>
      </c>
      <c r="AK281" s="61" t="str">
        <f>IF(COUNTA(T281:AH281)=0,"",(SUM(T281*[1]KPI_Weights!$B$4,U281*[1]KPI_Weights!$B$5,V281*[1]KPI_Weights!$B$6,W281*[1]KPI_Weights!$B$7,X281*[1]KPI_Weights!$B$8,Y281*[1]KPI_Weights!$B$9,Z281*[1]KPI_Weights!$B$10,AA281*[1]KPI_Weights!$B$11,AB281*[1]KPI_Weights!$B$12,AC281*[1]KPI_Weights!$B$13,AD281*[1]KPI_Weights!$B$14,AE281*[1]KPI_Weights!$B$15,AF281*[1]KPI_Weights!$B$16,AG281*[1]KPI_Weights!$B$17,AH281*[1]KPI_Weights!$B$18))/5)</f>
        <v/>
      </c>
      <c r="AL281" s="60" t="str">
        <f>IF(COUNTA(T281:AH281)=0,"",IF(OR(T281&lt;=1,W281&lt;=1,X281&lt;=1,Y281&lt;=1,AB281&lt;=1),"YES","NO"))</f>
        <v/>
      </c>
      <c r="AM281" s="60" t="str">
        <f>IF(AJ281="","",IF(AND(AL281="NO",AJ281&gt;=0.75),"YES","NO"))</f>
        <v/>
      </c>
      <c r="AN281" s="60" t="str">
        <f>IF(AJ281="","",IF(AJ281&lt;0.4,"Critical",IF(AJ281&lt;0.6,"Poor",IF(AJ281&lt;0.75,"Needs Improvement",IF(AJ281&lt;0.9,"Good","Excellent")))))</f>
        <v/>
      </c>
      <c r="AO281" s="59"/>
      <c r="AP281" s="59"/>
      <c r="AQ281" s="59"/>
      <c r="AR281" s="59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</row>
    <row r="282" spans="1:54" ht="19.5" customHeight="1" x14ac:dyDescent="0.25">
      <c r="A282" s="60" t="str">
        <f>IF($B282="","",TEXT($B282,"yyyymmdd")&amp;"-"&amp;SUBSTITUTE($F282," ","")&amp;"-"&amp;TEXT(COUNTIF($F$4:F282,$F282),"00"))</f>
        <v/>
      </c>
      <c r="B282" s="65"/>
      <c r="C282" s="60" t="str">
        <f>IF($B282="","",WEEKNUM($B282,2))</f>
        <v/>
      </c>
      <c r="D282" s="60" t="str">
        <f>IF($B282="","",TEXT($B282,"yyyy-mm"))</f>
        <v/>
      </c>
      <c r="E282" s="64"/>
      <c r="F282" s="64"/>
      <c r="G282" s="60" t="str">
        <f>IF(OR($E282="",$F282=""),"",IFERROR(IF($E282=INDEX([1]Cluster_Master!$A$4:$A$18,MATCH($F282,[1]Cluster_Master!$B$4:$B$18,0)),"OK","CHECK"),"CHECK"))</f>
        <v/>
      </c>
      <c r="H282" s="63" t="str">
        <f>IFERROR(INDEX([1]Cluster_Master!$C$4:$C$18,MATCH($F282,[1]Cluster_Master!$B$4:$B$18,0)),"")</f>
        <v/>
      </c>
      <c r="I282" s="60" t="str">
        <f>IFERROR(INDEX([1]Cluster_Master!$D$4:$D$18,MATCH($F282,[1]Cluster_Master!$B$4:$B$18,0)),"")</f>
        <v/>
      </c>
      <c r="J282" s="60" t="str">
        <f>IFERROR(INDEX([1]Cluster_Master!$E$4:$E$18,MATCH($F282,[1]Cluster_Master!$B$4:$B$18,0)),"")</f>
        <v/>
      </c>
      <c r="K282" s="60" t="str">
        <f>IFERROR(INDEX([1]Cluster_Master!$F$4:$F$18,MATCH($F282,[1]Cluster_Master!$B$4:$B$18,0)),"")</f>
        <v/>
      </c>
      <c r="L282" s="60" t="str">
        <f>IFERROR(INDEX([1]Cluster_Master!$G$4:$G$18,MATCH($F282,[1]Cluster_Master!$B$4:$B$18,0)),"")</f>
        <v/>
      </c>
      <c r="M282" s="60" t="str">
        <f>IFERROR(INDEX([1]Cluster_Master!$H$4:$H$18,MATCH($F282,[1]Cluster_Master!$B$4:$B$18,0)),"")</f>
        <v/>
      </c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60" t="str">
        <f>IF(COUNTA(T282:AH282)=0,"",SUM(T282:AH282))</f>
        <v/>
      </c>
      <c r="AJ282" s="61" t="str">
        <f>IF(COUNTA(T282:AH282)=0,"",AI282/75)</f>
        <v/>
      </c>
      <c r="AK282" s="61" t="str">
        <f>IF(COUNTA(T282:AH282)=0,"",(SUM(T282*[1]KPI_Weights!$B$4,U282*[1]KPI_Weights!$B$5,V282*[1]KPI_Weights!$B$6,W282*[1]KPI_Weights!$B$7,X282*[1]KPI_Weights!$B$8,Y282*[1]KPI_Weights!$B$9,Z282*[1]KPI_Weights!$B$10,AA282*[1]KPI_Weights!$B$11,AB282*[1]KPI_Weights!$B$12,AC282*[1]KPI_Weights!$B$13,AD282*[1]KPI_Weights!$B$14,AE282*[1]KPI_Weights!$B$15,AF282*[1]KPI_Weights!$B$16,AG282*[1]KPI_Weights!$B$17,AH282*[1]KPI_Weights!$B$18))/5)</f>
        <v/>
      </c>
      <c r="AL282" s="60" t="str">
        <f>IF(COUNTA(T282:AH282)=0,"",IF(OR(T282&lt;=1,W282&lt;=1,X282&lt;=1,Y282&lt;=1,AB282&lt;=1),"YES","NO"))</f>
        <v/>
      </c>
      <c r="AM282" s="60" t="str">
        <f>IF(AJ282="","",IF(AND(AL282="NO",AJ282&gt;=0.75),"YES","NO"))</f>
        <v/>
      </c>
      <c r="AN282" s="60" t="str">
        <f>IF(AJ282="","",IF(AJ282&lt;0.4,"Critical",IF(AJ282&lt;0.6,"Poor",IF(AJ282&lt;0.75,"Needs Improvement",IF(AJ282&lt;0.9,"Good","Excellent")))))</f>
        <v/>
      </c>
      <c r="AO282" s="59"/>
      <c r="AP282" s="59"/>
      <c r="AQ282" s="59"/>
      <c r="AR282" s="59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</row>
    <row r="283" spans="1:54" ht="19.5" customHeight="1" x14ac:dyDescent="0.25">
      <c r="A283" s="60" t="str">
        <f>IF($B283="","",TEXT($B283,"yyyymmdd")&amp;"-"&amp;SUBSTITUTE($F283," ","")&amp;"-"&amp;TEXT(COUNTIF($F$4:F283,$F283),"00"))</f>
        <v/>
      </c>
      <c r="B283" s="65"/>
      <c r="C283" s="60" t="str">
        <f>IF($B283="","",WEEKNUM($B283,2))</f>
        <v/>
      </c>
      <c r="D283" s="60" t="str">
        <f>IF($B283="","",TEXT($B283,"yyyy-mm"))</f>
        <v/>
      </c>
      <c r="E283" s="64"/>
      <c r="F283" s="64"/>
      <c r="G283" s="60" t="str">
        <f>IF(OR($E283="",$F283=""),"",IFERROR(IF($E283=INDEX([1]Cluster_Master!$A$4:$A$18,MATCH($F283,[1]Cluster_Master!$B$4:$B$18,0)),"OK","CHECK"),"CHECK"))</f>
        <v/>
      </c>
      <c r="H283" s="63" t="str">
        <f>IFERROR(INDEX([1]Cluster_Master!$C$4:$C$18,MATCH($F283,[1]Cluster_Master!$B$4:$B$18,0)),"")</f>
        <v/>
      </c>
      <c r="I283" s="60" t="str">
        <f>IFERROR(INDEX([1]Cluster_Master!$D$4:$D$18,MATCH($F283,[1]Cluster_Master!$B$4:$B$18,0)),"")</f>
        <v/>
      </c>
      <c r="J283" s="60" t="str">
        <f>IFERROR(INDEX([1]Cluster_Master!$E$4:$E$18,MATCH($F283,[1]Cluster_Master!$B$4:$B$18,0)),"")</f>
        <v/>
      </c>
      <c r="K283" s="60" t="str">
        <f>IFERROR(INDEX([1]Cluster_Master!$F$4:$F$18,MATCH($F283,[1]Cluster_Master!$B$4:$B$18,0)),"")</f>
        <v/>
      </c>
      <c r="L283" s="60" t="str">
        <f>IFERROR(INDEX([1]Cluster_Master!$G$4:$G$18,MATCH($F283,[1]Cluster_Master!$B$4:$B$18,0)),"")</f>
        <v/>
      </c>
      <c r="M283" s="60" t="str">
        <f>IFERROR(INDEX([1]Cluster_Master!$H$4:$H$18,MATCH($F283,[1]Cluster_Master!$B$4:$B$18,0)),"")</f>
        <v/>
      </c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60" t="str">
        <f>IF(COUNTA(T283:AH283)=0,"",SUM(T283:AH283))</f>
        <v/>
      </c>
      <c r="AJ283" s="61" t="str">
        <f>IF(COUNTA(T283:AH283)=0,"",AI283/75)</f>
        <v/>
      </c>
      <c r="AK283" s="61" t="str">
        <f>IF(COUNTA(T283:AH283)=0,"",(SUM(T283*[1]KPI_Weights!$B$4,U283*[1]KPI_Weights!$B$5,V283*[1]KPI_Weights!$B$6,W283*[1]KPI_Weights!$B$7,X283*[1]KPI_Weights!$B$8,Y283*[1]KPI_Weights!$B$9,Z283*[1]KPI_Weights!$B$10,AA283*[1]KPI_Weights!$B$11,AB283*[1]KPI_Weights!$B$12,AC283*[1]KPI_Weights!$B$13,AD283*[1]KPI_Weights!$B$14,AE283*[1]KPI_Weights!$B$15,AF283*[1]KPI_Weights!$B$16,AG283*[1]KPI_Weights!$B$17,AH283*[1]KPI_Weights!$B$18))/5)</f>
        <v/>
      </c>
      <c r="AL283" s="60" t="str">
        <f>IF(COUNTA(T283:AH283)=0,"",IF(OR(T283&lt;=1,W283&lt;=1,X283&lt;=1,Y283&lt;=1,AB283&lt;=1),"YES","NO"))</f>
        <v/>
      </c>
      <c r="AM283" s="60" t="str">
        <f>IF(AJ283="","",IF(AND(AL283="NO",AJ283&gt;=0.75),"YES","NO"))</f>
        <v/>
      </c>
      <c r="AN283" s="60" t="str">
        <f>IF(AJ283="","",IF(AJ283&lt;0.4,"Critical",IF(AJ283&lt;0.6,"Poor",IF(AJ283&lt;0.75,"Needs Improvement",IF(AJ283&lt;0.9,"Good","Excellent")))))</f>
        <v/>
      </c>
      <c r="AO283" s="59"/>
      <c r="AP283" s="59"/>
      <c r="AQ283" s="59"/>
      <c r="AR283" s="59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</row>
    <row r="284" spans="1:54" ht="19.5" customHeight="1" x14ac:dyDescent="0.25">
      <c r="A284" s="60" t="str">
        <f>IF($B284="","",TEXT($B284,"yyyymmdd")&amp;"-"&amp;SUBSTITUTE($F284," ","")&amp;"-"&amp;TEXT(COUNTIF($F$4:F284,$F284),"00"))</f>
        <v/>
      </c>
      <c r="B284" s="65"/>
      <c r="C284" s="60" t="str">
        <f>IF($B284="","",WEEKNUM($B284,2))</f>
        <v/>
      </c>
      <c r="D284" s="60" t="str">
        <f>IF($B284="","",TEXT($B284,"yyyy-mm"))</f>
        <v/>
      </c>
      <c r="E284" s="64"/>
      <c r="F284" s="64"/>
      <c r="G284" s="60" t="str">
        <f>IF(OR($E284="",$F284=""),"",IFERROR(IF($E284=INDEX([1]Cluster_Master!$A$4:$A$18,MATCH($F284,[1]Cluster_Master!$B$4:$B$18,0)),"OK","CHECK"),"CHECK"))</f>
        <v/>
      </c>
      <c r="H284" s="63" t="str">
        <f>IFERROR(INDEX([1]Cluster_Master!$C$4:$C$18,MATCH($F284,[1]Cluster_Master!$B$4:$B$18,0)),"")</f>
        <v/>
      </c>
      <c r="I284" s="60" t="str">
        <f>IFERROR(INDEX([1]Cluster_Master!$D$4:$D$18,MATCH($F284,[1]Cluster_Master!$B$4:$B$18,0)),"")</f>
        <v/>
      </c>
      <c r="J284" s="60" t="str">
        <f>IFERROR(INDEX([1]Cluster_Master!$E$4:$E$18,MATCH($F284,[1]Cluster_Master!$B$4:$B$18,0)),"")</f>
        <v/>
      </c>
      <c r="K284" s="60" t="str">
        <f>IFERROR(INDEX([1]Cluster_Master!$F$4:$F$18,MATCH($F284,[1]Cluster_Master!$B$4:$B$18,0)),"")</f>
        <v/>
      </c>
      <c r="L284" s="60" t="str">
        <f>IFERROR(INDEX([1]Cluster_Master!$G$4:$G$18,MATCH($F284,[1]Cluster_Master!$B$4:$B$18,0)),"")</f>
        <v/>
      </c>
      <c r="M284" s="60" t="str">
        <f>IFERROR(INDEX([1]Cluster_Master!$H$4:$H$18,MATCH($F284,[1]Cluster_Master!$B$4:$B$18,0)),"")</f>
        <v/>
      </c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60" t="str">
        <f>IF(COUNTA(T284:AH284)=0,"",SUM(T284:AH284))</f>
        <v/>
      </c>
      <c r="AJ284" s="61" t="str">
        <f>IF(COUNTA(T284:AH284)=0,"",AI284/75)</f>
        <v/>
      </c>
      <c r="AK284" s="61" t="str">
        <f>IF(COUNTA(T284:AH284)=0,"",(SUM(T284*[1]KPI_Weights!$B$4,U284*[1]KPI_Weights!$B$5,V284*[1]KPI_Weights!$B$6,W284*[1]KPI_Weights!$B$7,X284*[1]KPI_Weights!$B$8,Y284*[1]KPI_Weights!$B$9,Z284*[1]KPI_Weights!$B$10,AA284*[1]KPI_Weights!$B$11,AB284*[1]KPI_Weights!$B$12,AC284*[1]KPI_Weights!$B$13,AD284*[1]KPI_Weights!$B$14,AE284*[1]KPI_Weights!$B$15,AF284*[1]KPI_Weights!$B$16,AG284*[1]KPI_Weights!$B$17,AH284*[1]KPI_Weights!$B$18))/5)</f>
        <v/>
      </c>
      <c r="AL284" s="60" t="str">
        <f>IF(COUNTA(T284:AH284)=0,"",IF(OR(T284&lt;=1,W284&lt;=1,X284&lt;=1,Y284&lt;=1,AB284&lt;=1),"YES","NO"))</f>
        <v/>
      </c>
      <c r="AM284" s="60" t="str">
        <f>IF(AJ284="","",IF(AND(AL284="NO",AJ284&gt;=0.75),"YES","NO"))</f>
        <v/>
      </c>
      <c r="AN284" s="60" t="str">
        <f>IF(AJ284="","",IF(AJ284&lt;0.4,"Critical",IF(AJ284&lt;0.6,"Poor",IF(AJ284&lt;0.75,"Needs Improvement",IF(AJ284&lt;0.9,"Good","Excellent")))))</f>
        <v/>
      </c>
      <c r="AO284" s="59"/>
      <c r="AP284" s="59"/>
      <c r="AQ284" s="59"/>
      <c r="AR284" s="59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</row>
    <row r="285" spans="1:54" ht="19.5" customHeight="1" x14ac:dyDescent="0.25">
      <c r="A285" s="60" t="str">
        <f>IF($B285="","",TEXT($B285,"yyyymmdd")&amp;"-"&amp;SUBSTITUTE($F285," ","")&amp;"-"&amp;TEXT(COUNTIF($F$4:F285,$F285),"00"))</f>
        <v/>
      </c>
      <c r="B285" s="65"/>
      <c r="C285" s="60" t="str">
        <f>IF($B285="","",WEEKNUM($B285,2))</f>
        <v/>
      </c>
      <c r="D285" s="60" t="str">
        <f>IF($B285="","",TEXT($B285,"yyyy-mm"))</f>
        <v/>
      </c>
      <c r="E285" s="64"/>
      <c r="F285" s="64"/>
      <c r="G285" s="60" t="str">
        <f>IF(OR($E285="",$F285=""),"",IFERROR(IF($E285=INDEX([1]Cluster_Master!$A$4:$A$18,MATCH($F285,[1]Cluster_Master!$B$4:$B$18,0)),"OK","CHECK"),"CHECK"))</f>
        <v/>
      </c>
      <c r="H285" s="63" t="str">
        <f>IFERROR(INDEX([1]Cluster_Master!$C$4:$C$18,MATCH($F285,[1]Cluster_Master!$B$4:$B$18,0)),"")</f>
        <v/>
      </c>
      <c r="I285" s="60" t="str">
        <f>IFERROR(INDEX([1]Cluster_Master!$D$4:$D$18,MATCH($F285,[1]Cluster_Master!$B$4:$B$18,0)),"")</f>
        <v/>
      </c>
      <c r="J285" s="60" t="str">
        <f>IFERROR(INDEX([1]Cluster_Master!$E$4:$E$18,MATCH($F285,[1]Cluster_Master!$B$4:$B$18,0)),"")</f>
        <v/>
      </c>
      <c r="K285" s="60" t="str">
        <f>IFERROR(INDEX([1]Cluster_Master!$F$4:$F$18,MATCH($F285,[1]Cluster_Master!$B$4:$B$18,0)),"")</f>
        <v/>
      </c>
      <c r="L285" s="60" t="str">
        <f>IFERROR(INDEX([1]Cluster_Master!$G$4:$G$18,MATCH($F285,[1]Cluster_Master!$B$4:$B$18,0)),"")</f>
        <v/>
      </c>
      <c r="M285" s="60" t="str">
        <f>IFERROR(INDEX([1]Cluster_Master!$H$4:$H$18,MATCH($F285,[1]Cluster_Master!$B$4:$B$18,0)),"")</f>
        <v/>
      </c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60" t="str">
        <f>IF(COUNTA(T285:AH285)=0,"",SUM(T285:AH285))</f>
        <v/>
      </c>
      <c r="AJ285" s="61" t="str">
        <f>IF(COUNTA(T285:AH285)=0,"",AI285/75)</f>
        <v/>
      </c>
      <c r="AK285" s="61" t="str">
        <f>IF(COUNTA(T285:AH285)=0,"",(SUM(T285*[1]KPI_Weights!$B$4,U285*[1]KPI_Weights!$B$5,V285*[1]KPI_Weights!$B$6,W285*[1]KPI_Weights!$B$7,X285*[1]KPI_Weights!$B$8,Y285*[1]KPI_Weights!$B$9,Z285*[1]KPI_Weights!$B$10,AA285*[1]KPI_Weights!$B$11,AB285*[1]KPI_Weights!$B$12,AC285*[1]KPI_Weights!$B$13,AD285*[1]KPI_Weights!$B$14,AE285*[1]KPI_Weights!$B$15,AF285*[1]KPI_Weights!$B$16,AG285*[1]KPI_Weights!$B$17,AH285*[1]KPI_Weights!$B$18))/5)</f>
        <v/>
      </c>
      <c r="AL285" s="60" t="str">
        <f>IF(COUNTA(T285:AH285)=0,"",IF(OR(T285&lt;=1,W285&lt;=1,X285&lt;=1,Y285&lt;=1,AB285&lt;=1),"YES","NO"))</f>
        <v/>
      </c>
      <c r="AM285" s="60" t="str">
        <f>IF(AJ285="","",IF(AND(AL285="NO",AJ285&gt;=0.75),"YES","NO"))</f>
        <v/>
      </c>
      <c r="AN285" s="60" t="str">
        <f>IF(AJ285="","",IF(AJ285&lt;0.4,"Critical",IF(AJ285&lt;0.6,"Poor",IF(AJ285&lt;0.75,"Needs Improvement",IF(AJ285&lt;0.9,"Good","Excellent")))))</f>
        <v/>
      </c>
      <c r="AO285" s="59"/>
      <c r="AP285" s="59"/>
      <c r="AQ285" s="59"/>
      <c r="AR285" s="59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</row>
    <row r="286" spans="1:54" ht="19.5" customHeight="1" x14ac:dyDescent="0.25">
      <c r="A286" s="60" t="str">
        <f>IF($B286="","",TEXT($B286,"yyyymmdd")&amp;"-"&amp;SUBSTITUTE($F286," ","")&amp;"-"&amp;TEXT(COUNTIF($F$4:F286,$F286),"00"))</f>
        <v/>
      </c>
      <c r="B286" s="65"/>
      <c r="C286" s="60" t="str">
        <f>IF($B286="","",WEEKNUM($B286,2))</f>
        <v/>
      </c>
      <c r="D286" s="60" t="str">
        <f>IF($B286="","",TEXT($B286,"yyyy-mm"))</f>
        <v/>
      </c>
      <c r="E286" s="64"/>
      <c r="F286" s="64"/>
      <c r="G286" s="60" t="str">
        <f>IF(OR($E286="",$F286=""),"",IFERROR(IF($E286=INDEX([1]Cluster_Master!$A$4:$A$18,MATCH($F286,[1]Cluster_Master!$B$4:$B$18,0)),"OK","CHECK"),"CHECK"))</f>
        <v/>
      </c>
      <c r="H286" s="63" t="str">
        <f>IFERROR(INDEX([1]Cluster_Master!$C$4:$C$18,MATCH($F286,[1]Cluster_Master!$B$4:$B$18,0)),"")</f>
        <v/>
      </c>
      <c r="I286" s="60" t="str">
        <f>IFERROR(INDEX([1]Cluster_Master!$D$4:$D$18,MATCH($F286,[1]Cluster_Master!$B$4:$B$18,0)),"")</f>
        <v/>
      </c>
      <c r="J286" s="60" t="str">
        <f>IFERROR(INDEX([1]Cluster_Master!$E$4:$E$18,MATCH($F286,[1]Cluster_Master!$B$4:$B$18,0)),"")</f>
        <v/>
      </c>
      <c r="K286" s="60" t="str">
        <f>IFERROR(INDEX([1]Cluster_Master!$F$4:$F$18,MATCH($F286,[1]Cluster_Master!$B$4:$B$18,0)),"")</f>
        <v/>
      </c>
      <c r="L286" s="60" t="str">
        <f>IFERROR(INDEX([1]Cluster_Master!$G$4:$G$18,MATCH($F286,[1]Cluster_Master!$B$4:$B$18,0)),"")</f>
        <v/>
      </c>
      <c r="M286" s="60" t="str">
        <f>IFERROR(INDEX([1]Cluster_Master!$H$4:$H$18,MATCH($F286,[1]Cluster_Master!$B$4:$B$18,0)),"")</f>
        <v/>
      </c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60" t="str">
        <f>IF(COUNTA(T286:AH286)=0,"",SUM(T286:AH286))</f>
        <v/>
      </c>
      <c r="AJ286" s="61" t="str">
        <f>IF(COUNTA(T286:AH286)=0,"",AI286/75)</f>
        <v/>
      </c>
      <c r="AK286" s="61" t="str">
        <f>IF(COUNTA(T286:AH286)=0,"",(SUM(T286*[1]KPI_Weights!$B$4,U286*[1]KPI_Weights!$B$5,V286*[1]KPI_Weights!$B$6,W286*[1]KPI_Weights!$B$7,X286*[1]KPI_Weights!$B$8,Y286*[1]KPI_Weights!$B$9,Z286*[1]KPI_Weights!$B$10,AA286*[1]KPI_Weights!$B$11,AB286*[1]KPI_Weights!$B$12,AC286*[1]KPI_Weights!$B$13,AD286*[1]KPI_Weights!$B$14,AE286*[1]KPI_Weights!$B$15,AF286*[1]KPI_Weights!$B$16,AG286*[1]KPI_Weights!$B$17,AH286*[1]KPI_Weights!$B$18))/5)</f>
        <v/>
      </c>
      <c r="AL286" s="60" t="str">
        <f>IF(COUNTA(T286:AH286)=0,"",IF(OR(T286&lt;=1,W286&lt;=1,X286&lt;=1,Y286&lt;=1,AB286&lt;=1),"YES","NO"))</f>
        <v/>
      </c>
      <c r="AM286" s="60" t="str">
        <f>IF(AJ286="","",IF(AND(AL286="NO",AJ286&gt;=0.75),"YES","NO"))</f>
        <v/>
      </c>
      <c r="AN286" s="60" t="str">
        <f>IF(AJ286="","",IF(AJ286&lt;0.4,"Critical",IF(AJ286&lt;0.6,"Poor",IF(AJ286&lt;0.75,"Needs Improvement",IF(AJ286&lt;0.9,"Good","Excellent")))))</f>
        <v/>
      </c>
      <c r="AO286" s="59"/>
      <c r="AP286" s="59"/>
      <c r="AQ286" s="59"/>
      <c r="AR286" s="59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</row>
    <row r="287" spans="1:54" ht="19.5" customHeight="1" x14ac:dyDescent="0.25">
      <c r="A287" s="60" t="str">
        <f>IF($B287="","",TEXT($B287,"yyyymmdd")&amp;"-"&amp;SUBSTITUTE($F287," ","")&amp;"-"&amp;TEXT(COUNTIF($F$4:F287,$F287),"00"))</f>
        <v/>
      </c>
      <c r="B287" s="65"/>
      <c r="C287" s="60" t="str">
        <f>IF($B287="","",WEEKNUM($B287,2))</f>
        <v/>
      </c>
      <c r="D287" s="60" t="str">
        <f>IF($B287="","",TEXT($B287,"yyyy-mm"))</f>
        <v/>
      </c>
      <c r="E287" s="64"/>
      <c r="F287" s="64"/>
      <c r="G287" s="60" t="str">
        <f>IF(OR($E287="",$F287=""),"",IFERROR(IF($E287=INDEX([1]Cluster_Master!$A$4:$A$18,MATCH($F287,[1]Cluster_Master!$B$4:$B$18,0)),"OK","CHECK"),"CHECK"))</f>
        <v/>
      </c>
      <c r="H287" s="63" t="str">
        <f>IFERROR(INDEX([1]Cluster_Master!$C$4:$C$18,MATCH($F287,[1]Cluster_Master!$B$4:$B$18,0)),"")</f>
        <v/>
      </c>
      <c r="I287" s="60" t="str">
        <f>IFERROR(INDEX([1]Cluster_Master!$D$4:$D$18,MATCH($F287,[1]Cluster_Master!$B$4:$B$18,0)),"")</f>
        <v/>
      </c>
      <c r="J287" s="60" t="str">
        <f>IFERROR(INDEX([1]Cluster_Master!$E$4:$E$18,MATCH($F287,[1]Cluster_Master!$B$4:$B$18,0)),"")</f>
        <v/>
      </c>
      <c r="K287" s="60" t="str">
        <f>IFERROR(INDEX([1]Cluster_Master!$F$4:$F$18,MATCH($F287,[1]Cluster_Master!$B$4:$B$18,0)),"")</f>
        <v/>
      </c>
      <c r="L287" s="60" t="str">
        <f>IFERROR(INDEX([1]Cluster_Master!$G$4:$G$18,MATCH($F287,[1]Cluster_Master!$B$4:$B$18,0)),"")</f>
        <v/>
      </c>
      <c r="M287" s="60" t="str">
        <f>IFERROR(INDEX([1]Cluster_Master!$H$4:$H$18,MATCH($F287,[1]Cluster_Master!$B$4:$B$18,0)),"")</f>
        <v/>
      </c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60" t="str">
        <f>IF(COUNTA(T287:AH287)=0,"",SUM(T287:AH287))</f>
        <v/>
      </c>
      <c r="AJ287" s="61" t="str">
        <f>IF(COUNTA(T287:AH287)=0,"",AI287/75)</f>
        <v/>
      </c>
      <c r="AK287" s="61" t="str">
        <f>IF(COUNTA(T287:AH287)=0,"",(SUM(T287*[1]KPI_Weights!$B$4,U287*[1]KPI_Weights!$B$5,V287*[1]KPI_Weights!$B$6,W287*[1]KPI_Weights!$B$7,X287*[1]KPI_Weights!$B$8,Y287*[1]KPI_Weights!$B$9,Z287*[1]KPI_Weights!$B$10,AA287*[1]KPI_Weights!$B$11,AB287*[1]KPI_Weights!$B$12,AC287*[1]KPI_Weights!$B$13,AD287*[1]KPI_Weights!$B$14,AE287*[1]KPI_Weights!$B$15,AF287*[1]KPI_Weights!$B$16,AG287*[1]KPI_Weights!$B$17,AH287*[1]KPI_Weights!$B$18))/5)</f>
        <v/>
      </c>
      <c r="AL287" s="60" t="str">
        <f>IF(COUNTA(T287:AH287)=0,"",IF(OR(T287&lt;=1,W287&lt;=1,X287&lt;=1,Y287&lt;=1,AB287&lt;=1),"YES","NO"))</f>
        <v/>
      </c>
      <c r="AM287" s="60" t="str">
        <f>IF(AJ287="","",IF(AND(AL287="NO",AJ287&gt;=0.75),"YES","NO"))</f>
        <v/>
      </c>
      <c r="AN287" s="60" t="str">
        <f>IF(AJ287="","",IF(AJ287&lt;0.4,"Critical",IF(AJ287&lt;0.6,"Poor",IF(AJ287&lt;0.75,"Needs Improvement",IF(AJ287&lt;0.9,"Good","Excellent")))))</f>
        <v/>
      </c>
      <c r="AO287" s="59"/>
      <c r="AP287" s="59"/>
      <c r="AQ287" s="59"/>
      <c r="AR287" s="59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</row>
    <row r="288" spans="1:54" ht="19.5" customHeight="1" x14ac:dyDescent="0.25">
      <c r="A288" s="60" t="str">
        <f>IF($B288="","",TEXT($B288,"yyyymmdd")&amp;"-"&amp;SUBSTITUTE($F288," ","")&amp;"-"&amp;TEXT(COUNTIF($F$4:F288,$F288),"00"))</f>
        <v/>
      </c>
      <c r="B288" s="65"/>
      <c r="C288" s="60" t="str">
        <f>IF($B288="","",WEEKNUM($B288,2))</f>
        <v/>
      </c>
      <c r="D288" s="60" t="str">
        <f>IF($B288="","",TEXT($B288,"yyyy-mm"))</f>
        <v/>
      </c>
      <c r="E288" s="64"/>
      <c r="F288" s="64"/>
      <c r="G288" s="60" t="str">
        <f>IF(OR($E288="",$F288=""),"",IFERROR(IF($E288=INDEX([1]Cluster_Master!$A$4:$A$18,MATCH($F288,[1]Cluster_Master!$B$4:$B$18,0)),"OK","CHECK"),"CHECK"))</f>
        <v/>
      </c>
      <c r="H288" s="63" t="str">
        <f>IFERROR(INDEX([1]Cluster_Master!$C$4:$C$18,MATCH($F288,[1]Cluster_Master!$B$4:$B$18,0)),"")</f>
        <v/>
      </c>
      <c r="I288" s="60" t="str">
        <f>IFERROR(INDEX([1]Cluster_Master!$D$4:$D$18,MATCH($F288,[1]Cluster_Master!$B$4:$B$18,0)),"")</f>
        <v/>
      </c>
      <c r="J288" s="60" t="str">
        <f>IFERROR(INDEX([1]Cluster_Master!$E$4:$E$18,MATCH($F288,[1]Cluster_Master!$B$4:$B$18,0)),"")</f>
        <v/>
      </c>
      <c r="K288" s="60" t="str">
        <f>IFERROR(INDEX([1]Cluster_Master!$F$4:$F$18,MATCH($F288,[1]Cluster_Master!$B$4:$B$18,0)),"")</f>
        <v/>
      </c>
      <c r="L288" s="60" t="str">
        <f>IFERROR(INDEX([1]Cluster_Master!$G$4:$G$18,MATCH($F288,[1]Cluster_Master!$B$4:$B$18,0)),"")</f>
        <v/>
      </c>
      <c r="M288" s="60" t="str">
        <f>IFERROR(INDEX([1]Cluster_Master!$H$4:$H$18,MATCH($F288,[1]Cluster_Master!$B$4:$B$18,0)),"")</f>
        <v/>
      </c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60" t="str">
        <f>IF(COUNTA(T288:AH288)=0,"",SUM(T288:AH288))</f>
        <v/>
      </c>
      <c r="AJ288" s="61" t="str">
        <f>IF(COUNTA(T288:AH288)=0,"",AI288/75)</f>
        <v/>
      </c>
      <c r="AK288" s="61" t="str">
        <f>IF(COUNTA(T288:AH288)=0,"",(SUM(T288*[1]KPI_Weights!$B$4,U288*[1]KPI_Weights!$B$5,V288*[1]KPI_Weights!$B$6,W288*[1]KPI_Weights!$B$7,X288*[1]KPI_Weights!$B$8,Y288*[1]KPI_Weights!$B$9,Z288*[1]KPI_Weights!$B$10,AA288*[1]KPI_Weights!$B$11,AB288*[1]KPI_Weights!$B$12,AC288*[1]KPI_Weights!$B$13,AD288*[1]KPI_Weights!$B$14,AE288*[1]KPI_Weights!$B$15,AF288*[1]KPI_Weights!$B$16,AG288*[1]KPI_Weights!$B$17,AH288*[1]KPI_Weights!$B$18))/5)</f>
        <v/>
      </c>
      <c r="AL288" s="60" t="str">
        <f>IF(COUNTA(T288:AH288)=0,"",IF(OR(T288&lt;=1,W288&lt;=1,X288&lt;=1,Y288&lt;=1,AB288&lt;=1),"YES","NO"))</f>
        <v/>
      </c>
      <c r="AM288" s="60" t="str">
        <f>IF(AJ288="","",IF(AND(AL288="NO",AJ288&gt;=0.75),"YES","NO"))</f>
        <v/>
      </c>
      <c r="AN288" s="60" t="str">
        <f>IF(AJ288="","",IF(AJ288&lt;0.4,"Critical",IF(AJ288&lt;0.6,"Poor",IF(AJ288&lt;0.75,"Needs Improvement",IF(AJ288&lt;0.9,"Good","Excellent")))))</f>
        <v/>
      </c>
      <c r="AO288" s="59"/>
      <c r="AP288" s="59"/>
      <c r="AQ288" s="59"/>
      <c r="AR288" s="59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</row>
    <row r="289" spans="1:54" ht="19.5" customHeight="1" x14ac:dyDescent="0.25">
      <c r="A289" s="60" t="str">
        <f>IF($B289="","",TEXT($B289,"yyyymmdd")&amp;"-"&amp;SUBSTITUTE($F289," ","")&amp;"-"&amp;TEXT(COUNTIF($F$4:F289,$F289),"00"))</f>
        <v/>
      </c>
      <c r="B289" s="65"/>
      <c r="C289" s="60" t="str">
        <f>IF($B289="","",WEEKNUM($B289,2))</f>
        <v/>
      </c>
      <c r="D289" s="60" t="str">
        <f>IF($B289="","",TEXT($B289,"yyyy-mm"))</f>
        <v/>
      </c>
      <c r="E289" s="64"/>
      <c r="F289" s="64"/>
      <c r="G289" s="60" t="str">
        <f>IF(OR($E289="",$F289=""),"",IFERROR(IF($E289=INDEX([1]Cluster_Master!$A$4:$A$18,MATCH($F289,[1]Cluster_Master!$B$4:$B$18,0)),"OK","CHECK"),"CHECK"))</f>
        <v/>
      </c>
      <c r="H289" s="63" t="str">
        <f>IFERROR(INDEX([1]Cluster_Master!$C$4:$C$18,MATCH($F289,[1]Cluster_Master!$B$4:$B$18,0)),"")</f>
        <v/>
      </c>
      <c r="I289" s="60" t="str">
        <f>IFERROR(INDEX([1]Cluster_Master!$D$4:$D$18,MATCH($F289,[1]Cluster_Master!$B$4:$B$18,0)),"")</f>
        <v/>
      </c>
      <c r="J289" s="60" t="str">
        <f>IFERROR(INDEX([1]Cluster_Master!$E$4:$E$18,MATCH($F289,[1]Cluster_Master!$B$4:$B$18,0)),"")</f>
        <v/>
      </c>
      <c r="K289" s="60" t="str">
        <f>IFERROR(INDEX([1]Cluster_Master!$F$4:$F$18,MATCH($F289,[1]Cluster_Master!$B$4:$B$18,0)),"")</f>
        <v/>
      </c>
      <c r="L289" s="60" t="str">
        <f>IFERROR(INDEX([1]Cluster_Master!$G$4:$G$18,MATCH($F289,[1]Cluster_Master!$B$4:$B$18,0)),"")</f>
        <v/>
      </c>
      <c r="M289" s="60" t="str">
        <f>IFERROR(INDEX([1]Cluster_Master!$H$4:$H$18,MATCH($F289,[1]Cluster_Master!$B$4:$B$18,0)),"")</f>
        <v/>
      </c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60" t="str">
        <f>IF(COUNTA(T289:AH289)=0,"",SUM(T289:AH289))</f>
        <v/>
      </c>
      <c r="AJ289" s="61" t="str">
        <f>IF(COUNTA(T289:AH289)=0,"",AI289/75)</f>
        <v/>
      </c>
      <c r="AK289" s="61" t="str">
        <f>IF(COUNTA(T289:AH289)=0,"",(SUM(T289*[1]KPI_Weights!$B$4,U289*[1]KPI_Weights!$B$5,V289*[1]KPI_Weights!$B$6,W289*[1]KPI_Weights!$B$7,X289*[1]KPI_Weights!$B$8,Y289*[1]KPI_Weights!$B$9,Z289*[1]KPI_Weights!$B$10,AA289*[1]KPI_Weights!$B$11,AB289*[1]KPI_Weights!$B$12,AC289*[1]KPI_Weights!$B$13,AD289*[1]KPI_Weights!$B$14,AE289*[1]KPI_Weights!$B$15,AF289*[1]KPI_Weights!$B$16,AG289*[1]KPI_Weights!$B$17,AH289*[1]KPI_Weights!$B$18))/5)</f>
        <v/>
      </c>
      <c r="AL289" s="60" t="str">
        <f>IF(COUNTA(T289:AH289)=0,"",IF(OR(T289&lt;=1,W289&lt;=1,X289&lt;=1,Y289&lt;=1,AB289&lt;=1),"YES","NO"))</f>
        <v/>
      </c>
      <c r="AM289" s="60" t="str">
        <f>IF(AJ289="","",IF(AND(AL289="NO",AJ289&gt;=0.75),"YES","NO"))</f>
        <v/>
      </c>
      <c r="AN289" s="60" t="str">
        <f>IF(AJ289="","",IF(AJ289&lt;0.4,"Critical",IF(AJ289&lt;0.6,"Poor",IF(AJ289&lt;0.75,"Needs Improvement",IF(AJ289&lt;0.9,"Good","Excellent")))))</f>
        <v/>
      </c>
      <c r="AO289" s="59"/>
      <c r="AP289" s="59"/>
      <c r="AQ289" s="59"/>
      <c r="AR289" s="59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</row>
    <row r="290" spans="1:54" ht="19.5" customHeight="1" x14ac:dyDescent="0.25">
      <c r="A290" s="60" t="str">
        <f>IF($B290="","",TEXT($B290,"yyyymmdd")&amp;"-"&amp;SUBSTITUTE($F290," ","")&amp;"-"&amp;TEXT(COUNTIF($F$4:F290,$F290),"00"))</f>
        <v/>
      </c>
      <c r="B290" s="65"/>
      <c r="C290" s="60" t="str">
        <f>IF($B290="","",WEEKNUM($B290,2))</f>
        <v/>
      </c>
      <c r="D290" s="60" t="str">
        <f>IF($B290="","",TEXT($B290,"yyyy-mm"))</f>
        <v/>
      </c>
      <c r="E290" s="64"/>
      <c r="F290" s="64"/>
      <c r="G290" s="60" t="str">
        <f>IF(OR($E290="",$F290=""),"",IFERROR(IF($E290=INDEX([1]Cluster_Master!$A$4:$A$18,MATCH($F290,[1]Cluster_Master!$B$4:$B$18,0)),"OK","CHECK"),"CHECK"))</f>
        <v/>
      </c>
      <c r="H290" s="63" t="str">
        <f>IFERROR(INDEX([1]Cluster_Master!$C$4:$C$18,MATCH($F290,[1]Cluster_Master!$B$4:$B$18,0)),"")</f>
        <v/>
      </c>
      <c r="I290" s="60" t="str">
        <f>IFERROR(INDEX([1]Cluster_Master!$D$4:$D$18,MATCH($F290,[1]Cluster_Master!$B$4:$B$18,0)),"")</f>
        <v/>
      </c>
      <c r="J290" s="60" t="str">
        <f>IFERROR(INDEX([1]Cluster_Master!$E$4:$E$18,MATCH($F290,[1]Cluster_Master!$B$4:$B$18,0)),"")</f>
        <v/>
      </c>
      <c r="K290" s="60" t="str">
        <f>IFERROR(INDEX([1]Cluster_Master!$F$4:$F$18,MATCH($F290,[1]Cluster_Master!$B$4:$B$18,0)),"")</f>
        <v/>
      </c>
      <c r="L290" s="60" t="str">
        <f>IFERROR(INDEX([1]Cluster_Master!$G$4:$G$18,MATCH($F290,[1]Cluster_Master!$B$4:$B$18,0)),"")</f>
        <v/>
      </c>
      <c r="M290" s="60" t="str">
        <f>IFERROR(INDEX([1]Cluster_Master!$H$4:$H$18,MATCH($F290,[1]Cluster_Master!$B$4:$B$18,0)),"")</f>
        <v/>
      </c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60" t="str">
        <f>IF(COUNTA(T290:AH290)=0,"",SUM(T290:AH290))</f>
        <v/>
      </c>
      <c r="AJ290" s="61" t="str">
        <f>IF(COUNTA(T290:AH290)=0,"",AI290/75)</f>
        <v/>
      </c>
      <c r="AK290" s="61" t="str">
        <f>IF(COUNTA(T290:AH290)=0,"",(SUM(T290*[1]KPI_Weights!$B$4,U290*[1]KPI_Weights!$B$5,V290*[1]KPI_Weights!$B$6,W290*[1]KPI_Weights!$B$7,X290*[1]KPI_Weights!$B$8,Y290*[1]KPI_Weights!$B$9,Z290*[1]KPI_Weights!$B$10,AA290*[1]KPI_Weights!$B$11,AB290*[1]KPI_Weights!$B$12,AC290*[1]KPI_Weights!$B$13,AD290*[1]KPI_Weights!$B$14,AE290*[1]KPI_Weights!$B$15,AF290*[1]KPI_Weights!$B$16,AG290*[1]KPI_Weights!$B$17,AH290*[1]KPI_Weights!$B$18))/5)</f>
        <v/>
      </c>
      <c r="AL290" s="60" t="str">
        <f>IF(COUNTA(T290:AH290)=0,"",IF(OR(T290&lt;=1,W290&lt;=1,X290&lt;=1,Y290&lt;=1,AB290&lt;=1),"YES","NO"))</f>
        <v/>
      </c>
      <c r="AM290" s="60" t="str">
        <f>IF(AJ290="","",IF(AND(AL290="NO",AJ290&gt;=0.75),"YES","NO"))</f>
        <v/>
      </c>
      <c r="AN290" s="60" t="str">
        <f>IF(AJ290="","",IF(AJ290&lt;0.4,"Critical",IF(AJ290&lt;0.6,"Poor",IF(AJ290&lt;0.75,"Needs Improvement",IF(AJ290&lt;0.9,"Good","Excellent")))))</f>
        <v/>
      </c>
      <c r="AO290" s="59"/>
      <c r="AP290" s="59"/>
      <c r="AQ290" s="59"/>
      <c r="AR290" s="59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</row>
    <row r="291" spans="1:54" ht="19.5" customHeight="1" x14ac:dyDescent="0.25">
      <c r="A291" s="60" t="str">
        <f>IF($B291="","",TEXT($B291,"yyyymmdd")&amp;"-"&amp;SUBSTITUTE($F291," ","")&amp;"-"&amp;TEXT(COUNTIF($F$4:F291,$F291),"00"))</f>
        <v/>
      </c>
      <c r="B291" s="65"/>
      <c r="C291" s="60" t="str">
        <f>IF($B291="","",WEEKNUM($B291,2))</f>
        <v/>
      </c>
      <c r="D291" s="60" t="str">
        <f>IF($B291="","",TEXT($B291,"yyyy-mm"))</f>
        <v/>
      </c>
      <c r="E291" s="64"/>
      <c r="F291" s="64"/>
      <c r="G291" s="60" t="str">
        <f>IF(OR($E291="",$F291=""),"",IFERROR(IF($E291=INDEX([1]Cluster_Master!$A$4:$A$18,MATCH($F291,[1]Cluster_Master!$B$4:$B$18,0)),"OK","CHECK"),"CHECK"))</f>
        <v/>
      </c>
      <c r="H291" s="63" t="str">
        <f>IFERROR(INDEX([1]Cluster_Master!$C$4:$C$18,MATCH($F291,[1]Cluster_Master!$B$4:$B$18,0)),"")</f>
        <v/>
      </c>
      <c r="I291" s="60" t="str">
        <f>IFERROR(INDEX([1]Cluster_Master!$D$4:$D$18,MATCH($F291,[1]Cluster_Master!$B$4:$B$18,0)),"")</f>
        <v/>
      </c>
      <c r="J291" s="60" t="str">
        <f>IFERROR(INDEX([1]Cluster_Master!$E$4:$E$18,MATCH($F291,[1]Cluster_Master!$B$4:$B$18,0)),"")</f>
        <v/>
      </c>
      <c r="K291" s="60" t="str">
        <f>IFERROR(INDEX([1]Cluster_Master!$F$4:$F$18,MATCH($F291,[1]Cluster_Master!$B$4:$B$18,0)),"")</f>
        <v/>
      </c>
      <c r="L291" s="60" t="str">
        <f>IFERROR(INDEX([1]Cluster_Master!$G$4:$G$18,MATCH($F291,[1]Cluster_Master!$B$4:$B$18,0)),"")</f>
        <v/>
      </c>
      <c r="M291" s="60" t="str">
        <f>IFERROR(INDEX([1]Cluster_Master!$H$4:$H$18,MATCH($F291,[1]Cluster_Master!$B$4:$B$18,0)),"")</f>
        <v/>
      </c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60" t="str">
        <f>IF(COUNTA(T291:AH291)=0,"",SUM(T291:AH291))</f>
        <v/>
      </c>
      <c r="AJ291" s="61" t="str">
        <f>IF(COUNTA(T291:AH291)=0,"",AI291/75)</f>
        <v/>
      </c>
      <c r="AK291" s="61" t="str">
        <f>IF(COUNTA(T291:AH291)=0,"",(SUM(T291*[1]KPI_Weights!$B$4,U291*[1]KPI_Weights!$B$5,V291*[1]KPI_Weights!$B$6,W291*[1]KPI_Weights!$B$7,X291*[1]KPI_Weights!$B$8,Y291*[1]KPI_Weights!$B$9,Z291*[1]KPI_Weights!$B$10,AA291*[1]KPI_Weights!$B$11,AB291*[1]KPI_Weights!$B$12,AC291*[1]KPI_Weights!$B$13,AD291*[1]KPI_Weights!$B$14,AE291*[1]KPI_Weights!$B$15,AF291*[1]KPI_Weights!$B$16,AG291*[1]KPI_Weights!$B$17,AH291*[1]KPI_Weights!$B$18))/5)</f>
        <v/>
      </c>
      <c r="AL291" s="60" t="str">
        <f>IF(COUNTA(T291:AH291)=0,"",IF(OR(T291&lt;=1,W291&lt;=1,X291&lt;=1,Y291&lt;=1,AB291&lt;=1),"YES","NO"))</f>
        <v/>
      </c>
      <c r="AM291" s="60" t="str">
        <f>IF(AJ291="","",IF(AND(AL291="NO",AJ291&gt;=0.75),"YES","NO"))</f>
        <v/>
      </c>
      <c r="AN291" s="60" t="str">
        <f>IF(AJ291="","",IF(AJ291&lt;0.4,"Critical",IF(AJ291&lt;0.6,"Poor",IF(AJ291&lt;0.75,"Needs Improvement",IF(AJ291&lt;0.9,"Good","Excellent")))))</f>
        <v/>
      </c>
      <c r="AO291" s="59"/>
      <c r="AP291" s="59"/>
      <c r="AQ291" s="59"/>
      <c r="AR291" s="59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</row>
    <row r="292" spans="1:54" ht="19.5" customHeight="1" x14ac:dyDescent="0.25">
      <c r="A292" s="60" t="str">
        <f>IF($B292="","",TEXT($B292,"yyyymmdd")&amp;"-"&amp;SUBSTITUTE($F292," ","")&amp;"-"&amp;TEXT(COUNTIF($F$4:F292,$F292),"00"))</f>
        <v/>
      </c>
      <c r="B292" s="65"/>
      <c r="C292" s="60" t="str">
        <f>IF($B292="","",WEEKNUM($B292,2))</f>
        <v/>
      </c>
      <c r="D292" s="60" t="str">
        <f>IF($B292="","",TEXT($B292,"yyyy-mm"))</f>
        <v/>
      </c>
      <c r="E292" s="64"/>
      <c r="F292" s="64"/>
      <c r="G292" s="60" t="str">
        <f>IF(OR($E292="",$F292=""),"",IFERROR(IF($E292=INDEX([1]Cluster_Master!$A$4:$A$18,MATCH($F292,[1]Cluster_Master!$B$4:$B$18,0)),"OK","CHECK"),"CHECK"))</f>
        <v/>
      </c>
      <c r="H292" s="63" t="str">
        <f>IFERROR(INDEX([1]Cluster_Master!$C$4:$C$18,MATCH($F292,[1]Cluster_Master!$B$4:$B$18,0)),"")</f>
        <v/>
      </c>
      <c r="I292" s="60" t="str">
        <f>IFERROR(INDEX([1]Cluster_Master!$D$4:$D$18,MATCH($F292,[1]Cluster_Master!$B$4:$B$18,0)),"")</f>
        <v/>
      </c>
      <c r="J292" s="60" t="str">
        <f>IFERROR(INDEX([1]Cluster_Master!$E$4:$E$18,MATCH($F292,[1]Cluster_Master!$B$4:$B$18,0)),"")</f>
        <v/>
      </c>
      <c r="K292" s="60" t="str">
        <f>IFERROR(INDEX([1]Cluster_Master!$F$4:$F$18,MATCH($F292,[1]Cluster_Master!$B$4:$B$18,0)),"")</f>
        <v/>
      </c>
      <c r="L292" s="60" t="str">
        <f>IFERROR(INDEX([1]Cluster_Master!$G$4:$G$18,MATCH($F292,[1]Cluster_Master!$B$4:$B$18,0)),"")</f>
        <v/>
      </c>
      <c r="M292" s="60" t="str">
        <f>IFERROR(INDEX([1]Cluster_Master!$H$4:$H$18,MATCH($F292,[1]Cluster_Master!$B$4:$B$18,0)),"")</f>
        <v/>
      </c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60" t="str">
        <f>IF(COUNTA(T292:AH292)=0,"",SUM(T292:AH292))</f>
        <v/>
      </c>
      <c r="AJ292" s="61" t="str">
        <f>IF(COUNTA(T292:AH292)=0,"",AI292/75)</f>
        <v/>
      </c>
      <c r="AK292" s="61" t="str">
        <f>IF(COUNTA(T292:AH292)=0,"",(SUM(T292*[1]KPI_Weights!$B$4,U292*[1]KPI_Weights!$B$5,V292*[1]KPI_Weights!$B$6,W292*[1]KPI_Weights!$B$7,X292*[1]KPI_Weights!$B$8,Y292*[1]KPI_Weights!$B$9,Z292*[1]KPI_Weights!$B$10,AA292*[1]KPI_Weights!$B$11,AB292*[1]KPI_Weights!$B$12,AC292*[1]KPI_Weights!$B$13,AD292*[1]KPI_Weights!$B$14,AE292*[1]KPI_Weights!$B$15,AF292*[1]KPI_Weights!$B$16,AG292*[1]KPI_Weights!$B$17,AH292*[1]KPI_Weights!$B$18))/5)</f>
        <v/>
      </c>
      <c r="AL292" s="60" t="str">
        <f>IF(COUNTA(T292:AH292)=0,"",IF(OR(T292&lt;=1,W292&lt;=1,X292&lt;=1,Y292&lt;=1,AB292&lt;=1),"YES","NO"))</f>
        <v/>
      </c>
      <c r="AM292" s="60" t="str">
        <f>IF(AJ292="","",IF(AND(AL292="NO",AJ292&gt;=0.75),"YES","NO"))</f>
        <v/>
      </c>
      <c r="AN292" s="60" t="str">
        <f>IF(AJ292="","",IF(AJ292&lt;0.4,"Critical",IF(AJ292&lt;0.6,"Poor",IF(AJ292&lt;0.75,"Needs Improvement",IF(AJ292&lt;0.9,"Good","Excellent")))))</f>
        <v/>
      </c>
      <c r="AO292" s="59"/>
      <c r="AP292" s="59"/>
      <c r="AQ292" s="59"/>
      <c r="AR292" s="59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</row>
    <row r="293" spans="1:54" ht="19.5" customHeight="1" x14ac:dyDescent="0.25">
      <c r="A293" s="60" t="str">
        <f>IF($B293="","",TEXT($B293,"yyyymmdd")&amp;"-"&amp;SUBSTITUTE($F293," ","")&amp;"-"&amp;TEXT(COUNTIF($F$4:F293,$F293),"00"))</f>
        <v/>
      </c>
      <c r="B293" s="65"/>
      <c r="C293" s="60" t="str">
        <f>IF($B293="","",WEEKNUM($B293,2))</f>
        <v/>
      </c>
      <c r="D293" s="60" t="str">
        <f>IF($B293="","",TEXT($B293,"yyyy-mm"))</f>
        <v/>
      </c>
      <c r="E293" s="64"/>
      <c r="F293" s="64"/>
      <c r="G293" s="60" t="str">
        <f>IF(OR($E293="",$F293=""),"",IFERROR(IF($E293=INDEX([1]Cluster_Master!$A$4:$A$18,MATCH($F293,[1]Cluster_Master!$B$4:$B$18,0)),"OK","CHECK"),"CHECK"))</f>
        <v/>
      </c>
      <c r="H293" s="63" t="str">
        <f>IFERROR(INDEX([1]Cluster_Master!$C$4:$C$18,MATCH($F293,[1]Cluster_Master!$B$4:$B$18,0)),"")</f>
        <v/>
      </c>
      <c r="I293" s="60" t="str">
        <f>IFERROR(INDEX([1]Cluster_Master!$D$4:$D$18,MATCH($F293,[1]Cluster_Master!$B$4:$B$18,0)),"")</f>
        <v/>
      </c>
      <c r="J293" s="60" t="str">
        <f>IFERROR(INDEX([1]Cluster_Master!$E$4:$E$18,MATCH($F293,[1]Cluster_Master!$B$4:$B$18,0)),"")</f>
        <v/>
      </c>
      <c r="K293" s="60" t="str">
        <f>IFERROR(INDEX([1]Cluster_Master!$F$4:$F$18,MATCH($F293,[1]Cluster_Master!$B$4:$B$18,0)),"")</f>
        <v/>
      </c>
      <c r="L293" s="60" t="str">
        <f>IFERROR(INDEX([1]Cluster_Master!$G$4:$G$18,MATCH($F293,[1]Cluster_Master!$B$4:$B$18,0)),"")</f>
        <v/>
      </c>
      <c r="M293" s="60" t="str">
        <f>IFERROR(INDEX([1]Cluster_Master!$H$4:$H$18,MATCH($F293,[1]Cluster_Master!$B$4:$B$18,0)),"")</f>
        <v/>
      </c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60" t="str">
        <f>IF(COUNTA(T293:AH293)=0,"",SUM(T293:AH293))</f>
        <v/>
      </c>
      <c r="AJ293" s="61" t="str">
        <f>IF(COUNTA(T293:AH293)=0,"",AI293/75)</f>
        <v/>
      </c>
      <c r="AK293" s="61" t="str">
        <f>IF(COUNTA(T293:AH293)=0,"",(SUM(T293*[1]KPI_Weights!$B$4,U293*[1]KPI_Weights!$B$5,V293*[1]KPI_Weights!$B$6,W293*[1]KPI_Weights!$B$7,X293*[1]KPI_Weights!$B$8,Y293*[1]KPI_Weights!$B$9,Z293*[1]KPI_Weights!$B$10,AA293*[1]KPI_Weights!$B$11,AB293*[1]KPI_Weights!$B$12,AC293*[1]KPI_Weights!$B$13,AD293*[1]KPI_Weights!$B$14,AE293*[1]KPI_Weights!$B$15,AF293*[1]KPI_Weights!$B$16,AG293*[1]KPI_Weights!$B$17,AH293*[1]KPI_Weights!$B$18))/5)</f>
        <v/>
      </c>
      <c r="AL293" s="60" t="str">
        <f>IF(COUNTA(T293:AH293)=0,"",IF(OR(T293&lt;=1,W293&lt;=1,X293&lt;=1,Y293&lt;=1,AB293&lt;=1),"YES","NO"))</f>
        <v/>
      </c>
      <c r="AM293" s="60" t="str">
        <f>IF(AJ293="","",IF(AND(AL293="NO",AJ293&gt;=0.75),"YES","NO"))</f>
        <v/>
      </c>
      <c r="AN293" s="60" t="str">
        <f>IF(AJ293="","",IF(AJ293&lt;0.4,"Critical",IF(AJ293&lt;0.6,"Poor",IF(AJ293&lt;0.75,"Needs Improvement",IF(AJ293&lt;0.9,"Good","Excellent")))))</f>
        <v/>
      </c>
      <c r="AO293" s="59"/>
      <c r="AP293" s="59"/>
      <c r="AQ293" s="59"/>
      <c r="AR293" s="59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</row>
    <row r="294" spans="1:54" ht="19.5" customHeight="1" x14ac:dyDescent="0.25">
      <c r="A294" s="60" t="str">
        <f>IF($B294="","",TEXT($B294,"yyyymmdd")&amp;"-"&amp;SUBSTITUTE($F294," ","")&amp;"-"&amp;TEXT(COUNTIF($F$4:F294,$F294),"00"))</f>
        <v/>
      </c>
      <c r="B294" s="65"/>
      <c r="C294" s="60" t="str">
        <f>IF($B294="","",WEEKNUM($B294,2))</f>
        <v/>
      </c>
      <c r="D294" s="60" t="str">
        <f>IF($B294="","",TEXT($B294,"yyyy-mm"))</f>
        <v/>
      </c>
      <c r="E294" s="64"/>
      <c r="F294" s="64"/>
      <c r="G294" s="60" t="str">
        <f>IF(OR($E294="",$F294=""),"",IFERROR(IF($E294=INDEX([1]Cluster_Master!$A$4:$A$18,MATCH($F294,[1]Cluster_Master!$B$4:$B$18,0)),"OK","CHECK"),"CHECK"))</f>
        <v/>
      </c>
      <c r="H294" s="63" t="str">
        <f>IFERROR(INDEX([1]Cluster_Master!$C$4:$C$18,MATCH($F294,[1]Cluster_Master!$B$4:$B$18,0)),"")</f>
        <v/>
      </c>
      <c r="I294" s="60" t="str">
        <f>IFERROR(INDEX([1]Cluster_Master!$D$4:$D$18,MATCH($F294,[1]Cluster_Master!$B$4:$B$18,0)),"")</f>
        <v/>
      </c>
      <c r="J294" s="60" t="str">
        <f>IFERROR(INDEX([1]Cluster_Master!$E$4:$E$18,MATCH($F294,[1]Cluster_Master!$B$4:$B$18,0)),"")</f>
        <v/>
      </c>
      <c r="K294" s="60" t="str">
        <f>IFERROR(INDEX([1]Cluster_Master!$F$4:$F$18,MATCH($F294,[1]Cluster_Master!$B$4:$B$18,0)),"")</f>
        <v/>
      </c>
      <c r="L294" s="60" t="str">
        <f>IFERROR(INDEX([1]Cluster_Master!$G$4:$G$18,MATCH($F294,[1]Cluster_Master!$B$4:$B$18,0)),"")</f>
        <v/>
      </c>
      <c r="M294" s="60" t="str">
        <f>IFERROR(INDEX([1]Cluster_Master!$H$4:$H$18,MATCH($F294,[1]Cluster_Master!$B$4:$B$18,0)),"")</f>
        <v/>
      </c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60" t="str">
        <f>IF(COUNTA(T294:AH294)=0,"",SUM(T294:AH294))</f>
        <v/>
      </c>
      <c r="AJ294" s="61" t="str">
        <f>IF(COUNTA(T294:AH294)=0,"",AI294/75)</f>
        <v/>
      </c>
      <c r="AK294" s="61" t="str">
        <f>IF(COUNTA(T294:AH294)=0,"",(SUM(T294*[1]KPI_Weights!$B$4,U294*[1]KPI_Weights!$B$5,V294*[1]KPI_Weights!$B$6,W294*[1]KPI_Weights!$B$7,X294*[1]KPI_Weights!$B$8,Y294*[1]KPI_Weights!$B$9,Z294*[1]KPI_Weights!$B$10,AA294*[1]KPI_Weights!$B$11,AB294*[1]KPI_Weights!$B$12,AC294*[1]KPI_Weights!$B$13,AD294*[1]KPI_Weights!$B$14,AE294*[1]KPI_Weights!$B$15,AF294*[1]KPI_Weights!$B$16,AG294*[1]KPI_Weights!$B$17,AH294*[1]KPI_Weights!$B$18))/5)</f>
        <v/>
      </c>
      <c r="AL294" s="60" t="str">
        <f>IF(COUNTA(T294:AH294)=0,"",IF(OR(T294&lt;=1,W294&lt;=1,X294&lt;=1,Y294&lt;=1,AB294&lt;=1),"YES","NO"))</f>
        <v/>
      </c>
      <c r="AM294" s="60" t="str">
        <f>IF(AJ294="","",IF(AND(AL294="NO",AJ294&gt;=0.75),"YES","NO"))</f>
        <v/>
      </c>
      <c r="AN294" s="60" t="str">
        <f>IF(AJ294="","",IF(AJ294&lt;0.4,"Critical",IF(AJ294&lt;0.6,"Poor",IF(AJ294&lt;0.75,"Needs Improvement",IF(AJ294&lt;0.9,"Good","Excellent")))))</f>
        <v/>
      </c>
      <c r="AO294" s="59"/>
      <c r="AP294" s="59"/>
      <c r="AQ294" s="59"/>
      <c r="AR294" s="59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</row>
    <row r="295" spans="1:54" ht="19.5" customHeight="1" x14ac:dyDescent="0.25">
      <c r="A295" s="60" t="str">
        <f>IF($B295="","",TEXT($B295,"yyyymmdd")&amp;"-"&amp;SUBSTITUTE($F295," ","")&amp;"-"&amp;TEXT(COUNTIF($F$4:F295,$F295),"00"))</f>
        <v/>
      </c>
      <c r="B295" s="65"/>
      <c r="C295" s="60" t="str">
        <f>IF($B295="","",WEEKNUM($B295,2))</f>
        <v/>
      </c>
      <c r="D295" s="60" t="str">
        <f>IF($B295="","",TEXT($B295,"yyyy-mm"))</f>
        <v/>
      </c>
      <c r="E295" s="64"/>
      <c r="F295" s="64"/>
      <c r="G295" s="60" t="str">
        <f>IF(OR($E295="",$F295=""),"",IFERROR(IF($E295=INDEX([1]Cluster_Master!$A$4:$A$18,MATCH($F295,[1]Cluster_Master!$B$4:$B$18,0)),"OK","CHECK"),"CHECK"))</f>
        <v/>
      </c>
      <c r="H295" s="63" t="str">
        <f>IFERROR(INDEX([1]Cluster_Master!$C$4:$C$18,MATCH($F295,[1]Cluster_Master!$B$4:$B$18,0)),"")</f>
        <v/>
      </c>
      <c r="I295" s="60" t="str">
        <f>IFERROR(INDEX([1]Cluster_Master!$D$4:$D$18,MATCH($F295,[1]Cluster_Master!$B$4:$B$18,0)),"")</f>
        <v/>
      </c>
      <c r="J295" s="60" t="str">
        <f>IFERROR(INDEX([1]Cluster_Master!$E$4:$E$18,MATCH($F295,[1]Cluster_Master!$B$4:$B$18,0)),"")</f>
        <v/>
      </c>
      <c r="K295" s="60" t="str">
        <f>IFERROR(INDEX([1]Cluster_Master!$F$4:$F$18,MATCH($F295,[1]Cluster_Master!$B$4:$B$18,0)),"")</f>
        <v/>
      </c>
      <c r="L295" s="60" t="str">
        <f>IFERROR(INDEX([1]Cluster_Master!$G$4:$G$18,MATCH($F295,[1]Cluster_Master!$B$4:$B$18,0)),"")</f>
        <v/>
      </c>
      <c r="M295" s="60" t="str">
        <f>IFERROR(INDEX([1]Cluster_Master!$H$4:$H$18,MATCH($F295,[1]Cluster_Master!$B$4:$B$18,0)),"")</f>
        <v/>
      </c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60" t="str">
        <f>IF(COUNTA(T295:AH295)=0,"",SUM(T295:AH295))</f>
        <v/>
      </c>
      <c r="AJ295" s="61" t="str">
        <f>IF(COUNTA(T295:AH295)=0,"",AI295/75)</f>
        <v/>
      </c>
      <c r="AK295" s="61" t="str">
        <f>IF(COUNTA(T295:AH295)=0,"",(SUM(T295*[1]KPI_Weights!$B$4,U295*[1]KPI_Weights!$B$5,V295*[1]KPI_Weights!$B$6,W295*[1]KPI_Weights!$B$7,X295*[1]KPI_Weights!$B$8,Y295*[1]KPI_Weights!$B$9,Z295*[1]KPI_Weights!$B$10,AA295*[1]KPI_Weights!$B$11,AB295*[1]KPI_Weights!$B$12,AC295*[1]KPI_Weights!$B$13,AD295*[1]KPI_Weights!$B$14,AE295*[1]KPI_Weights!$B$15,AF295*[1]KPI_Weights!$B$16,AG295*[1]KPI_Weights!$B$17,AH295*[1]KPI_Weights!$B$18))/5)</f>
        <v/>
      </c>
      <c r="AL295" s="60" t="str">
        <f>IF(COUNTA(T295:AH295)=0,"",IF(OR(T295&lt;=1,W295&lt;=1,X295&lt;=1,Y295&lt;=1,AB295&lt;=1),"YES","NO"))</f>
        <v/>
      </c>
      <c r="AM295" s="60" t="str">
        <f>IF(AJ295="","",IF(AND(AL295="NO",AJ295&gt;=0.75),"YES","NO"))</f>
        <v/>
      </c>
      <c r="AN295" s="60" t="str">
        <f>IF(AJ295="","",IF(AJ295&lt;0.4,"Critical",IF(AJ295&lt;0.6,"Poor",IF(AJ295&lt;0.75,"Needs Improvement",IF(AJ295&lt;0.9,"Good","Excellent")))))</f>
        <v/>
      </c>
      <c r="AO295" s="59"/>
      <c r="AP295" s="59"/>
      <c r="AQ295" s="59"/>
      <c r="AR295" s="59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</row>
    <row r="296" spans="1:54" ht="19.5" customHeight="1" x14ac:dyDescent="0.25">
      <c r="A296" s="60" t="str">
        <f>IF($B296="","",TEXT($B296,"yyyymmdd")&amp;"-"&amp;SUBSTITUTE($F296," ","")&amp;"-"&amp;TEXT(COUNTIF($F$4:F296,$F296),"00"))</f>
        <v/>
      </c>
      <c r="B296" s="65"/>
      <c r="C296" s="60" t="str">
        <f>IF($B296="","",WEEKNUM($B296,2))</f>
        <v/>
      </c>
      <c r="D296" s="60" t="str">
        <f>IF($B296="","",TEXT($B296,"yyyy-mm"))</f>
        <v/>
      </c>
      <c r="E296" s="64"/>
      <c r="F296" s="64"/>
      <c r="G296" s="60" t="str">
        <f>IF(OR($E296="",$F296=""),"",IFERROR(IF($E296=INDEX([1]Cluster_Master!$A$4:$A$18,MATCH($F296,[1]Cluster_Master!$B$4:$B$18,0)),"OK","CHECK"),"CHECK"))</f>
        <v/>
      </c>
      <c r="H296" s="63" t="str">
        <f>IFERROR(INDEX([1]Cluster_Master!$C$4:$C$18,MATCH($F296,[1]Cluster_Master!$B$4:$B$18,0)),"")</f>
        <v/>
      </c>
      <c r="I296" s="60" t="str">
        <f>IFERROR(INDEX([1]Cluster_Master!$D$4:$D$18,MATCH($F296,[1]Cluster_Master!$B$4:$B$18,0)),"")</f>
        <v/>
      </c>
      <c r="J296" s="60" t="str">
        <f>IFERROR(INDEX([1]Cluster_Master!$E$4:$E$18,MATCH($F296,[1]Cluster_Master!$B$4:$B$18,0)),"")</f>
        <v/>
      </c>
      <c r="K296" s="60" t="str">
        <f>IFERROR(INDEX([1]Cluster_Master!$F$4:$F$18,MATCH($F296,[1]Cluster_Master!$B$4:$B$18,0)),"")</f>
        <v/>
      </c>
      <c r="L296" s="60" t="str">
        <f>IFERROR(INDEX([1]Cluster_Master!$G$4:$G$18,MATCH($F296,[1]Cluster_Master!$B$4:$B$18,0)),"")</f>
        <v/>
      </c>
      <c r="M296" s="60" t="str">
        <f>IFERROR(INDEX([1]Cluster_Master!$H$4:$H$18,MATCH($F296,[1]Cluster_Master!$B$4:$B$18,0)),"")</f>
        <v/>
      </c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60" t="str">
        <f>IF(COUNTA(T296:AH296)=0,"",SUM(T296:AH296))</f>
        <v/>
      </c>
      <c r="AJ296" s="61" t="str">
        <f>IF(COUNTA(T296:AH296)=0,"",AI296/75)</f>
        <v/>
      </c>
      <c r="AK296" s="61" t="str">
        <f>IF(COUNTA(T296:AH296)=0,"",(SUM(T296*[1]KPI_Weights!$B$4,U296*[1]KPI_Weights!$B$5,V296*[1]KPI_Weights!$B$6,W296*[1]KPI_Weights!$B$7,X296*[1]KPI_Weights!$B$8,Y296*[1]KPI_Weights!$B$9,Z296*[1]KPI_Weights!$B$10,AA296*[1]KPI_Weights!$B$11,AB296*[1]KPI_Weights!$B$12,AC296*[1]KPI_Weights!$B$13,AD296*[1]KPI_Weights!$B$14,AE296*[1]KPI_Weights!$B$15,AF296*[1]KPI_Weights!$B$16,AG296*[1]KPI_Weights!$B$17,AH296*[1]KPI_Weights!$B$18))/5)</f>
        <v/>
      </c>
      <c r="AL296" s="60" t="str">
        <f>IF(COUNTA(T296:AH296)=0,"",IF(OR(T296&lt;=1,W296&lt;=1,X296&lt;=1,Y296&lt;=1,AB296&lt;=1),"YES","NO"))</f>
        <v/>
      </c>
      <c r="AM296" s="60" t="str">
        <f>IF(AJ296="","",IF(AND(AL296="NO",AJ296&gt;=0.75),"YES","NO"))</f>
        <v/>
      </c>
      <c r="AN296" s="60" t="str">
        <f>IF(AJ296="","",IF(AJ296&lt;0.4,"Critical",IF(AJ296&lt;0.6,"Poor",IF(AJ296&lt;0.75,"Needs Improvement",IF(AJ296&lt;0.9,"Good","Excellent")))))</f>
        <v/>
      </c>
      <c r="AO296" s="59"/>
      <c r="AP296" s="59"/>
      <c r="AQ296" s="59"/>
      <c r="AR296" s="59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</row>
    <row r="297" spans="1:54" ht="19.5" customHeight="1" x14ac:dyDescent="0.25">
      <c r="A297" s="60" t="str">
        <f>IF($B297="","",TEXT($B297,"yyyymmdd")&amp;"-"&amp;SUBSTITUTE($F297," ","")&amp;"-"&amp;TEXT(COUNTIF($F$4:F297,$F297),"00"))</f>
        <v/>
      </c>
      <c r="B297" s="65"/>
      <c r="C297" s="60" t="str">
        <f>IF($B297="","",WEEKNUM($B297,2))</f>
        <v/>
      </c>
      <c r="D297" s="60" t="str">
        <f>IF($B297="","",TEXT($B297,"yyyy-mm"))</f>
        <v/>
      </c>
      <c r="E297" s="64"/>
      <c r="F297" s="64"/>
      <c r="G297" s="60" t="str">
        <f>IF(OR($E297="",$F297=""),"",IFERROR(IF($E297=INDEX([1]Cluster_Master!$A$4:$A$18,MATCH($F297,[1]Cluster_Master!$B$4:$B$18,0)),"OK","CHECK"),"CHECK"))</f>
        <v/>
      </c>
      <c r="H297" s="63" t="str">
        <f>IFERROR(INDEX([1]Cluster_Master!$C$4:$C$18,MATCH($F297,[1]Cluster_Master!$B$4:$B$18,0)),"")</f>
        <v/>
      </c>
      <c r="I297" s="60" t="str">
        <f>IFERROR(INDEX([1]Cluster_Master!$D$4:$D$18,MATCH($F297,[1]Cluster_Master!$B$4:$B$18,0)),"")</f>
        <v/>
      </c>
      <c r="J297" s="60" t="str">
        <f>IFERROR(INDEX([1]Cluster_Master!$E$4:$E$18,MATCH($F297,[1]Cluster_Master!$B$4:$B$18,0)),"")</f>
        <v/>
      </c>
      <c r="K297" s="60" t="str">
        <f>IFERROR(INDEX([1]Cluster_Master!$F$4:$F$18,MATCH($F297,[1]Cluster_Master!$B$4:$B$18,0)),"")</f>
        <v/>
      </c>
      <c r="L297" s="60" t="str">
        <f>IFERROR(INDEX([1]Cluster_Master!$G$4:$G$18,MATCH($F297,[1]Cluster_Master!$B$4:$B$18,0)),"")</f>
        <v/>
      </c>
      <c r="M297" s="60" t="str">
        <f>IFERROR(INDEX([1]Cluster_Master!$H$4:$H$18,MATCH($F297,[1]Cluster_Master!$B$4:$B$18,0)),"")</f>
        <v/>
      </c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60" t="str">
        <f>IF(COUNTA(T297:AH297)=0,"",SUM(T297:AH297))</f>
        <v/>
      </c>
      <c r="AJ297" s="61" t="str">
        <f>IF(COUNTA(T297:AH297)=0,"",AI297/75)</f>
        <v/>
      </c>
      <c r="AK297" s="61" t="str">
        <f>IF(COUNTA(T297:AH297)=0,"",(SUM(T297*[1]KPI_Weights!$B$4,U297*[1]KPI_Weights!$B$5,V297*[1]KPI_Weights!$B$6,W297*[1]KPI_Weights!$B$7,X297*[1]KPI_Weights!$B$8,Y297*[1]KPI_Weights!$B$9,Z297*[1]KPI_Weights!$B$10,AA297*[1]KPI_Weights!$B$11,AB297*[1]KPI_Weights!$B$12,AC297*[1]KPI_Weights!$B$13,AD297*[1]KPI_Weights!$B$14,AE297*[1]KPI_Weights!$B$15,AF297*[1]KPI_Weights!$B$16,AG297*[1]KPI_Weights!$B$17,AH297*[1]KPI_Weights!$B$18))/5)</f>
        <v/>
      </c>
      <c r="AL297" s="60" t="str">
        <f>IF(COUNTA(T297:AH297)=0,"",IF(OR(T297&lt;=1,W297&lt;=1,X297&lt;=1,Y297&lt;=1,AB297&lt;=1),"YES","NO"))</f>
        <v/>
      </c>
      <c r="AM297" s="60" t="str">
        <f>IF(AJ297="","",IF(AND(AL297="NO",AJ297&gt;=0.75),"YES","NO"))</f>
        <v/>
      </c>
      <c r="AN297" s="60" t="str">
        <f>IF(AJ297="","",IF(AJ297&lt;0.4,"Critical",IF(AJ297&lt;0.6,"Poor",IF(AJ297&lt;0.75,"Needs Improvement",IF(AJ297&lt;0.9,"Good","Excellent")))))</f>
        <v/>
      </c>
      <c r="AO297" s="59"/>
      <c r="AP297" s="59"/>
      <c r="AQ297" s="59"/>
      <c r="AR297" s="59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</row>
    <row r="298" spans="1:54" ht="19.5" customHeight="1" x14ac:dyDescent="0.25">
      <c r="A298" s="60" t="str">
        <f>IF($B298="","",TEXT($B298,"yyyymmdd")&amp;"-"&amp;SUBSTITUTE($F298," ","")&amp;"-"&amp;TEXT(COUNTIF($F$4:F298,$F298),"00"))</f>
        <v/>
      </c>
      <c r="B298" s="65"/>
      <c r="C298" s="60" t="str">
        <f>IF($B298="","",WEEKNUM($B298,2))</f>
        <v/>
      </c>
      <c r="D298" s="60" t="str">
        <f>IF($B298="","",TEXT($B298,"yyyy-mm"))</f>
        <v/>
      </c>
      <c r="E298" s="64"/>
      <c r="F298" s="64"/>
      <c r="G298" s="60" t="str">
        <f>IF(OR($E298="",$F298=""),"",IFERROR(IF($E298=INDEX([1]Cluster_Master!$A$4:$A$18,MATCH($F298,[1]Cluster_Master!$B$4:$B$18,0)),"OK","CHECK"),"CHECK"))</f>
        <v/>
      </c>
      <c r="H298" s="63" t="str">
        <f>IFERROR(INDEX([1]Cluster_Master!$C$4:$C$18,MATCH($F298,[1]Cluster_Master!$B$4:$B$18,0)),"")</f>
        <v/>
      </c>
      <c r="I298" s="60" t="str">
        <f>IFERROR(INDEX([1]Cluster_Master!$D$4:$D$18,MATCH($F298,[1]Cluster_Master!$B$4:$B$18,0)),"")</f>
        <v/>
      </c>
      <c r="J298" s="60" t="str">
        <f>IFERROR(INDEX([1]Cluster_Master!$E$4:$E$18,MATCH($F298,[1]Cluster_Master!$B$4:$B$18,0)),"")</f>
        <v/>
      </c>
      <c r="K298" s="60" t="str">
        <f>IFERROR(INDEX([1]Cluster_Master!$F$4:$F$18,MATCH($F298,[1]Cluster_Master!$B$4:$B$18,0)),"")</f>
        <v/>
      </c>
      <c r="L298" s="60" t="str">
        <f>IFERROR(INDEX([1]Cluster_Master!$G$4:$G$18,MATCH($F298,[1]Cluster_Master!$B$4:$B$18,0)),"")</f>
        <v/>
      </c>
      <c r="M298" s="60" t="str">
        <f>IFERROR(INDEX([1]Cluster_Master!$H$4:$H$18,MATCH($F298,[1]Cluster_Master!$B$4:$B$18,0)),"")</f>
        <v/>
      </c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60" t="str">
        <f>IF(COUNTA(T298:AH298)=0,"",SUM(T298:AH298))</f>
        <v/>
      </c>
      <c r="AJ298" s="61" t="str">
        <f>IF(COUNTA(T298:AH298)=0,"",AI298/75)</f>
        <v/>
      </c>
      <c r="AK298" s="61" t="str">
        <f>IF(COUNTA(T298:AH298)=0,"",(SUM(T298*[1]KPI_Weights!$B$4,U298*[1]KPI_Weights!$B$5,V298*[1]KPI_Weights!$B$6,W298*[1]KPI_Weights!$B$7,X298*[1]KPI_Weights!$B$8,Y298*[1]KPI_Weights!$B$9,Z298*[1]KPI_Weights!$B$10,AA298*[1]KPI_Weights!$B$11,AB298*[1]KPI_Weights!$B$12,AC298*[1]KPI_Weights!$B$13,AD298*[1]KPI_Weights!$B$14,AE298*[1]KPI_Weights!$B$15,AF298*[1]KPI_Weights!$B$16,AG298*[1]KPI_Weights!$B$17,AH298*[1]KPI_Weights!$B$18))/5)</f>
        <v/>
      </c>
      <c r="AL298" s="60" t="str">
        <f>IF(COUNTA(T298:AH298)=0,"",IF(OR(T298&lt;=1,W298&lt;=1,X298&lt;=1,Y298&lt;=1,AB298&lt;=1),"YES","NO"))</f>
        <v/>
      </c>
      <c r="AM298" s="60" t="str">
        <f>IF(AJ298="","",IF(AND(AL298="NO",AJ298&gt;=0.75),"YES","NO"))</f>
        <v/>
      </c>
      <c r="AN298" s="60" t="str">
        <f>IF(AJ298="","",IF(AJ298&lt;0.4,"Critical",IF(AJ298&lt;0.6,"Poor",IF(AJ298&lt;0.75,"Needs Improvement",IF(AJ298&lt;0.9,"Good","Excellent")))))</f>
        <v/>
      </c>
      <c r="AO298" s="59"/>
      <c r="AP298" s="59"/>
      <c r="AQ298" s="59"/>
      <c r="AR298" s="59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</row>
    <row r="299" spans="1:54" ht="19.5" customHeight="1" x14ac:dyDescent="0.25">
      <c r="A299" s="60" t="str">
        <f>IF($B299="","",TEXT($B299,"yyyymmdd")&amp;"-"&amp;SUBSTITUTE($F299," ","")&amp;"-"&amp;TEXT(COUNTIF($F$4:F299,$F299),"00"))</f>
        <v/>
      </c>
      <c r="B299" s="65"/>
      <c r="C299" s="60" t="str">
        <f>IF($B299="","",WEEKNUM($B299,2))</f>
        <v/>
      </c>
      <c r="D299" s="60" t="str">
        <f>IF($B299="","",TEXT($B299,"yyyy-mm"))</f>
        <v/>
      </c>
      <c r="E299" s="64"/>
      <c r="F299" s="64"/>
      <c r="G299" s="60" t="str">
        <f>IF(OR($E299="",$F299=""),"",IFERROR(IF($E299=INDEX([1]Cluster_Master!$A$4:$A$18,MATCH($F299,[1]Cluster_Master!$B$4:$B$18,0)),"OK","CHECK"),"CHECK"))</f>
        <v/>
      </c>
      <c r="H299" s="63" t="str">
        <f>IFERROR(INDEX([1]Cluster_Master!$C$4:$C$18,MATCH($F299,[1]Cluster_Master!$B$4:$B$18,0)),"")</f>
        <v/>
      </c>
      <c r="I299" s="60" t="str">
        <f>IFERROR(INDEX([1]Cluster_Master!$D$4:$D$18,MATCH($F299,[1]Cluster_Master!$B$4:$B$18,0)),"")</f>
        <v/>
      </c>
      <c r="J299" s="60" t="str">
        <f>IFERROR(INDEX([1]Cluster_Master!$E$4:$E$18,MATCH($F299,[1]Cluster_Master!$B$4:$B$18,0)),"")</f>
        <v/>
      </c>
      <c r="K299" s="60" t="str">
        <f>IFERROR(INDEX([1]Cluster_Master!$F$4:$F$18,MATCH($F299,[1]Cluster_Master!$B$4:$B$18,0)),"")</f>
        <v/>
      </c>
      <c r="L299" s="60" t="str">
        <f>IFERROR(INDEX([1]Cluster_Master!$G$4:$G$18,MATCH($F299,[1]Cluster_Master!$B$4:$B$18,0)),"")</f>
        <v/>
      </c>
      <c r="M299" s="60" t="str">
        <f>IFERROR(INDEX([1]Cluster_Master!$H$4:$H$18,MATCH($F299,[1]Cluster_Master!$B$4:$B$18,0)),"")</f>
        <v/>
      </c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60" t="str">
        <f>IF(COUNTA(T299:AH299)=0,"",SUM(T299:AH299))</f>
        <v/>
      </c>
      <c r="AJ299" s="61" t="str">
        <f>IF(COUNTA(T299:AH299)=0,"",AI299/75)</f>
        <v/>
      </c>
      <c r="AK299" s="61" t="str">
        <f>IF(COUNTA(T299:AH299)=0,"",(SUM(T299*[1]KPI_Weights!$B$4,U299*[1]KPI_Weights!$B$5,V299*[1]KPI_Weights!$B$6,W299*[1]KPI_Weights!$B$7,X299*[1]KPI_Weights!$B$8,Y299*[1]KPI_Weights!$B$9,Z299*[1]KPI_Weights!$B$10,AA299*[1]KPI_Weights!$B$11,AB299*[1]KPI_Weights!$B$12,AC299*[1]KPI_Weights!$B$13,AD299*[1]KPI_Weights!$B$14,AE299*[1]KPI_Weights!$B$15,AF299*[1]KPI_Weights!$B$16,AG299*[1]KPI_Weights!$B$17,AH299*[1]KPI_Weights!$B$18))/5)</f>
        <v/>
      </c>
      <c r="AL299" s="60" t="str">
        <f>IF(COUNTA(T299:AH299)=0,"",IF(OR(T299&lt;=1,W299&lt;=1,X299&lt;=1,Y299&lt;=1,AB299&lt;=1),"YES","NO"))</f>
        <v/>
      </c>
      <c r="AM299" s="60" t="str">
        <f>IF(AJ299="","",IF(AND(AL299="NO",AJ299&gt;=0.75),"YES","NO"))</f>
        <v/>
      </c>
      <c r="AN299" s="60" t="str">
        <f>IF(AJ299="","",IF(AJ299&lt;0.4,"Critical",IF(AJ299&lt;0.6,"Poor",IF(AJ299&lt;0.75,"Needs Improvement",IF(AJ299&lt;0.9,"Good","Excellent")))))</f>
        <v/>
      </c>
      <c r="AO299" s="59"/>
      <c r="AP299" s="59"/>
      <c r="AQ299" s="59"/>
      <c r="AR299" s="59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</row>
    <row r="300" spans="1:54" ht="19.5" customHeight="1" x14ac:dyDescent="0.25">
      <c r="A300" s="60" t="str">
        <f>IF($B300="","",TEXT($B300,"yyyymmdd")&amp;"-"&amp;SUBSTITUTE($F300," ","")&amp;"-"&amp;TEXT(COUNTIF($F$4:F300,$F300),"00"))</f>
        <v/>
      </c>
      <c r="B300" s="65"/>
      <c r="C300" s="60" t="str">
        <f>IF($B300="","",WEEKNUM($B300,2))</f>
        <v/>
      </c>
      <c r="D300" s="60" t="str">
        <f>IF($B300="","",TEXT($B300,"yyyy-mm"))</f>
        <v/>
      </c>
      <c r="E300" s="64"/>
      <c r="F300" s="64"/>
      <c r="G300" s="60" t="str">
        <f>IF(OR($E300="",$F300=""),"",IFERROR(IF($E300=INDEX([1]Cluster_Master!$A$4:$A$18,MATCH($F300,[1]Cluster_Master!$B$4:$B$18,0)),"OK","CHECK"),"CHECK"))</f>
        <v/>
      </c>
      <c r="H300" s="63" t="str">
        <f>IFERROR(INDEX([1]Cluster_Master!$C$4:$C$18,MATCH($F300,[1]Cluster_Master!$B$4:$B$18,0)),"")</f>
        <v/>
      </c>
      <c r="I300" s="60" t="str">
        <f>IFERROR(INDEX([1]Cluster_Master!$D$4:$D$18,MATCH($F300,[1]Cluster_Master!$B$4:$B$18,0)),"")</f>
        <v/>
      </c>
      <c r="J300" s="60" t="str">
        <f>IFERROR(INDEX([1]Cluster_Master!$E$4:$E$18,MATCH($F300,[1]Cluster_Master!$B$4:$B$18,0)),"")</f>
        <v/>
      </c>
      <c r="K300" s="60" t="str">
        <f>IFERROR(INDEX([1]Cluster_Master!$F$4:$F$18,MATCH($F300,[1]Cluster_Master!$B$4:$B$18,0)),"")</f>
        <v/>
      </c>
      <c r="L300" s="60" t="str">
        <f>IFERROR(INDEX([1]Cluster_Master!$G$4:$G$18,MATCH($F300,[1]Cluster_Master!$B$4:$B$18,0)),"")</f>
        <v/>
      </c>
      <c r="M300" s="60" t="str">
        <f>IFERROR(INDEX([1]Cluster_Master!$H$4:$H$18,MATCH($F300,[1]Cluster_Master!$B$4:$B$18,0)),"")</f>
        <v/>
      </c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60" t="str">
        <f>IF(COUNTA(T300:AH300)=0,"",SUM(T300:AH300))</f>
        <v/>
      </c>
      <c r="AJ300" s="61" t="str">
        <f>IF(COUNTA(T300:AH300)=0,"",AI300/75)</f>
        <v/>
      </c>
      <c r="AK300" s="61" t="str">
        <f>IF(COUNTA(T300:AH300)=0,"",(SUM(T300*[1]KPI_Weights!$B$4,U300*[1]KPI_Weights!$B$5,V300*[1]KPI_Weights!$B$6,W300*[1]KPI_Weights!$B$7,X300*[1]KPI_Weights!$B$8,Y300*[1]KPI_Weights!$B$9,Z300*[1]KPI_Weights!$B$10,AA300*[1]KPI_Weights!$B$11,AB300*[1]KPI_Weights!$B$12,AC300*[1]KPI_Weights!$B$13,AD300*[1]KPI_Weights!$B$14,AE300*[1]KPI_Weights!$B$15,AF300*[1]KPI_Weights!$B$16,AG300*[1]KPI_Weights!$B$17,AH300*[1]KPI_Weights!$B$18))/5)</f>
        <v/>
      </c>
      <c r="AL300" s="60" t="str">
        <f>IF(COUNTA(T300:AH300)=0,"",IF(OR(T300&lt;=1,W300&lt;=1,X300&lt;=1,Y300&lt;=1,AB300&lt;=1),"YES","NO"))</f>
        <v/>
      </c>
      <c r="AM300" s="60" t="str">
        <f>IF(AJ300="","",IF(AND(AL300="NO",AJ300&gt;=0.75),"YES","NO"))</f>
        <v/>
      </c>
      <c r="AN300" s="60" t="str">
        <f>IF(AJ300="","",IF(AJ300&lt;0.4,"Critical",IF(AJ300&lt;0.6,"Poor",IF(AJ300&lt;0.75,"Needs Improvement",IF(AJ300&lt;0.9,"Good","Excellent")))))</f>
        <v/>
      </c>
      <c r="AO300" s="59"/>
      <c r="AP300" s="59"/>
      <c r="AQ300" s="59"/>
      <c r="AR300" s="59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</row>
    <row r="301" spans="1:54" ht="19.5" customHeight="1" x14ac:dyDescent="0.25">
      <c r="A301" s="60" t="str">
        <f>IF($B301="","",TEXT($B301,"yyyymmdd")&amp;"-"&amp;SUBSTITUTE($F301," ","")&amp;"-"&amp;TEXT(COUNTIF($F$4:F301,$F301),"00"))</f>
        <v/>
      </c>
      <c r="B301" s="65"/>
      <c r="C301" s="60" t="str">
        <f>IF($B301="","",WEEKNUM($B301,2))</f>
        <v/>
      </c>
      <c r="D301" s="60" t="str">
        <f>IF($B301="","",TEXT($B301,"yyyy-mm"))</f>
        <v/>
      </c>
      <c r="E301" s="64"/>
      <c r="F301" s="64"/>
      <c r="G301" s="60" t="str">
        <f>IF(OR($E301="",$F301=""),"",IFERROR(IF($E301=INDEX([1]Cluster_Master!$A$4:$A$18,MATCH($F301,[1]Cluster_Master!$B$4:$B$18,0)),"OK","CHECK"),"CHECK"))</f>
        <v/>
      </c>
      <c r="H301" s="63" t="str">
        <f>IFERROR(INDEX([1]Cluster_Master!$C$4:$C$18,MATCH($F301,[1]Cluster_Master!$B$4:$B$18,0)),"")</f>
        <v/>
      </c>
      <c r="I301" s="60" t="str">
        <f>IFERROR(INDEX([1]Cluster_Master!$D$4:$D$18,MATCH($F301,[1]Cluster_Master!$B$4:$B$18,0)),"")</f>
        <v/>
      </c>
      <c r="J301" s="60" t="str">
        <f>IFERROR(INDEX([1]Cluster_Master!$E$4:$E$18,MATCH($F301,[1]Cluster_Master!$B$4:$B$18,0)),"")</f>
        <v/>
      </c>
      <c r="K301" s="60" t="str">
        <f>IFERROR(INDEX([1]Cluster_Master!$F$4:$F$18,MATCH($F301,[1]Cluster_Master!$B$4:$B$18,0)),"")</f>
        <v/>
      </c>
      <c r="L301" s="60" t="str">
        <f>IFERROR(INDEX([1]Cluster_Master!$G$4:$G$18,MATCH($F301,[1]Cluster_Master!$B$4:$B$18,0)),"")</f>
        <v/>
      </c>
      <c r="M301" s="60" t="str">
        <f>IFERROR(INDEX([1]Cluster_Master!$H$4:$H$18,MATCH($F301,[1]Cluster_Master!$B$4:$B$18,0)),"")</f>
        <v/>
      </c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60" t="str">
        <f>IF(COUNTA(T301:AH301)=0,"",SUM(T301:AH301))</f>
        <v/>
      </c>
      <c r="AJ301" s="61" t="str">
        <f>IF(COUNTA(T301:AH301)=0,"",AI301/75)</f>
        <v/>
      </c>
      <c r="AK301" s="61" t="str">
        <f>IF(COUNTA(T301:AH301)=0,"",(SUM(T301*[1]KPI_Weights!$B$4,U301*[1]KPI_Weights!$B$5,V301*[1]KPI_Weights!$B$6,W301*[1]KPI_Weights!$B$7,X301*[1]KPI_Weights!$B$8,Y301*[1]KPI_Weights!$B$9,Z301*[1]KPI_Weights!$B$10,AA301*[1]KPI_Weights!$B$11,AB301*[1]KPI_Weights!$B$12,AC301*[1]KPI_Weights!$B$13,AD301*[1]KPI_Weights!$B$14,AE301*[1]KPI_Weights!$B$15,AF301*[1]KPI_Weights!$B$16,AG301*[1]KPI_Weights!$B$17,AH301*[1]KPI_Weights!$B$18))/5)</f>
        <v/>
      </c>
      <c r="AL301" s="60" t="str">
        <f>IF(COUNTA(T301:AH301)=0,"",IF(OR(T301&lt;=1,W301&lt;=1,X301&lt;=1,Y301&lt;=1,AB301&lt;=1),"YES","NO"))</f>
        <v/>
      </c>
      <c r="AM301" s="60" t="str">
        <f>IF(AJ301="","",IF(AND(AL301="NO",AJ301&gt;=0.75),"YES","NO"))</f>
        <v/>
      </c>
      <c r="AN301" s="60" t="str">
        <f>IF(AJ301="","",IF(AJ301&lt;0.4,"Critical",IF(AJ301&lt;0.6,"Poor",IF(AJ301&lt;0.75,"Needs Improvement",IF(AJ301&lt;0.9,"Good","Excellent")))))</f>
        <v/>
      </c>
      <c r="AO301" s="59"/>
      <c r="AP301" s="59"/>
      <c r="AQ301" s="59"/>
      <c r="AR301" s="59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</row>
    <row r="302" spans="1:54" ht="19.5" customHeight="1" x14ac:dyDescent="0.25">
      <c r="A302" s="60" t="str">
        <f>IF($B302="","",TEXT($B302,"yyyymmdd")&amp;"-"&amp;SUBSTITUTE($F302," ","")&amp;"-"&amp;TEXT(COUNTIF($F$4:F302,$F302),"00"))</f>
        <v/>
      </c>
      <c r="B302" s="65"/>
      <c r="C302" s="60" t="str">
        <f>IF($B302="","",WEEKNUM($B302,2))</f>
        <v/>
      </c>
      <c r="D302" s="60" t="str">
        <f>IF($B302="","",TEXT($B302,"yyyy-mm"))</f>
        <v/>
      </c>
      <c r="E302" s="64"/>
      <c r="F302" s="64"/>
      <c r="G302" s="60" t="str">
        <f>IF(OR($E302="",$F302=""),"",IFERROR(IF($E302=INDEX([1]Cluster_Master!$A$4:$A$18,MATCH($F302,[1]Cluster_Master!$B$4:$B$18,0)),"OK","CHECK"),"CHECK"))</f>
        <v/>
      </c>
      <c r="H302" s="63" t="str">
        <f>IFERROR(INDEX([1]Cluster_Master!$C$4:$C$18,MATCH($F302,[1]Cluster_Master!$B$4:$B$18,0)),"")</f>
        <v/>
      </c>
      <c r="I302" s="60" t="str">
        <f>IFERROR(INDEX([1]Cluster_Master!$D$4:$D$18,MATCH($F302,[1]Cluster_Master!$B$4:$B$18,0)),"")</f>
        <v/>
      </c>
      <c r="J302" s="60" t="str">
        <f>IFERROR(INDEX([1]Cluster_Master!$E$4:$E$18,MATCH($F302,[1]Cluster_Master!$B$4:$B$18,0)),"")</f>
        <v/>
      </c>
      <c r="K302" s="60" t="str">
        <f>IFERROR(INDEX([1]Cluster_Master!$F$4:$F$18,MATCH($F302,[1]Cluster_Master!$B$4:$B$18,0)),"")</f>
        <v/>
      </c>
      <c r="L302" s="60" t="str">
        <f>IFERROR(INDEX([1]Cluster_Master!$G$4:$G$18,MATCH($F302,[1]Cluster_Master!$B$4:$B$18,0)),"")</f>
        <v/>
      </c>
      <c r="M302" s="60" t="str">
        <f>IFERROR(INDEX([1]Cluster_Master!$H$4:$H$18,MATCH($F302,[1]Cluster_Master!$B$4:$B$18,0)),"")</f>
        <v/>
      </c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60" t="str">
        <f>IF(COUNTA(T302:AH302)=0,"",SUM(T302:AH302))</f>
        <v/>
      </c>
      <c r="AJ302" s="61" t="str">
        <f>IF(COUNTA(T302:AH302)=0,"",AI302/75)</f>
        <v/>
      </c>
      <c r="AK302" s="61" t="str">
        <f>IF(COUNTA(T302:AH302)=0,"",(SUM(T302*[1]KPI_Weights!$B$4,U302*[1]KPI_Weights!$B$5,V302*[1]KPI_Weights!$B$6,W302*[1]KPI_Weights!$B$7,X302*[1]KPI_Weights!$B$8,Y302*[1]KPI_Weights!$B$9,Z302*[1]KPI_Weights!$B$10,AA302*[1]KPI_Weights!$B$11,AB302*[1]KPI_Weights!$B$12,AC302*[1]KPI_Weights!$B$13,AD302*[1]KPI_Weights!$B$14,AE302*[1]KPI_Weights!$B$15,AF302*[1]KPI_Weights!$B$16,AG302*[1]KPI_Weights!$B$17,AH302*[1]KPI_Weights!$B$18))/5)</f>
        <v/>
      </c>
      <c r="AL302" s="60" t="str">
        <f>IF(COUNTA(T302:AH302)=0,"",IF(OR(T302&lt;=1,W302&lt;=1,X302&lt;=1,Y302&lt;=1,AB302&lt;=1),"YES","NO"))</f>
        <v/>
      </c>
      <c r="AM302" s="60" t="str">
        <f>IF(AJ302="","",IF(AND(AL302="NO",AJ302&gt;=0.75),"YES","NO"))</f>
        <v/>
      </c>
      <c r="AN302" s="60" t="str">
        <f>IF(AJ302="","",IF(AJ302&lt;0.4,"Critical",IF(AJ302&lt;0.6,"Poor",IF(AJ302&lt;0.75,"Needs Improvement",IF(AJ302&lt;0.9,"Good","Excellent")))))</f>
        <v/>
      </c>
      <c r="AO302" s="59"/>
      <c r="AP302" s="59"/>
      <c r="AQ302" s="59"/>
      <c r="AR302" s="59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</row>
    <row r="303" spans="1:54" ht="19.5" customHeight="1" x14ac:dyDescent="0.25">
      <c r="A303" s="60" t="str">
        <f>IF($B303="","",TEXT($B303,"yyyymmdd")&amp;"-"&amp;SUBSTITUTE($F303," ","")&amp;"-"&amp;TEXT(COUNTIF($F$4:F303,$F303),"00"))</f>
        <v/>
      </c>
      <c r="B303" s="65"/>
      <c r="C303" s="60" t="str">
        <f>IF($B303="","",WEEKNUM($B303,2))</f>
        <v/>
      </c>
      <c r="D303" s="60" t="str">
        <f>IF($B303="","",TEXT($B303,"yyyy-mm"))</f>
        <v/>
      </c>
      <c r="E303" s="64"/>
      <c r="F303" s="64"/>
      <c r="G303" s="60" t="str">
        <f>IF(OR($E303="",$F303=""),"",IFERROR(IF($E303=INDEX([1]Cluster_Master!$A$4:$A$18,MATCH($F303,[1]Cluster_Master!$B$4:$B$18,0)),"OK","CHECK"),"CHECK"))</f>
        <v/>
      </c>
      <c r="H303" s="63" t="str">
        <f>IFERROR(INDEX([1]Cluster_Master!$C$4:$C$18,MATCH($F303,[1]Cluster_Master!$B$4:$B$18,0)),"")</f>
        <v/>
      </c>
      <c r="I303" s="60" t="str">
        <f>IFERROR(INDEX([1]Cluster_Master!$D$4:$D$18,MATCH($F303,[1]Cluster_Master!$B$4:$B$18,0)),"")</f>
        <v/>
      </c>
      <c r="J303" s="60" t="str">
        <f>IFERROR(INDEX([1]Cluster_Master!$E$4:$E$18,MATCH($F303,[1]Cluster_Master!$B$4:$B$18,0)),"")</f>
        <v/>
      </c>
      <c r="K303" s="60" t="str">
        <f>IFERROR(INDEX([1]Cluster_Master!$F$4:$F$18,MATCH($F303,[1]Cluster_Master!$B$4:$B$18,0)),"")</f>
        <v/>
      </c>
      <c r="L303" s="60" t="str">
        <f>IFERROR(INDEX([1]Cluster_Master!$G$4:$G$18,MATCH($F303,[1]Cluster_Master!$B$4:$B$18,0)),"")</f>
        <v/>
      </c>
      <c r="M303" s="60" t="str">
        <f>IFERROR(INDEX([1]Cluster_Master!$H$4:$H$18,MATCH($F303,[1]Cluster_Master!$B$4:$B$18,0)),"")</f>
        <v/>
      </c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60" t="str">
        <f>IF(COUNTA(T303:AH303)=0,"",SUM(T303:AH303))</f>
        <v/>
      </c>
      <c r="AJ303" s="61" t="str">
        <f>IF(COUNTA(T303:AH303)=0,"",AI303/75)</f>
        <v/>
      </c>
      <c r="AK303" s="61" t="str">
        <f>IF(COUNTA(T303:AH303)=0,"",(SUM(T303*[1]KPI_Weights!$B$4,U303*[1]KPI_Weights!$B$5,V303*[1]KPI_Weights!$B$6,W303*[1]KPI_Weights!$B$7,X303*[1]KPI_Weights!$B$8,Y303*[1]KPI_Weights!$B$9,Z303*[1]KPI_Weights!$B$10,AA303*[1]KPI_Weights!$B$11,AB303*[1]KPI_Weights!$B$12,AC303*[1]KPI_Weights!$B$13,AD303*[1]KPI_Weights!$B$14,AE303*[1]KPI_Weights!$B$15,AF303*[1]KPI_Weights!$B$16,AG303*[1]KPI_Weights!$B$17,AH303*[1]KPI_Weights!$B$18))/5)</f>
        <v/>
      </c>
      <c r="AL303" s="60" t="str">
        <f>IF(COUNTA(T303:AH303)=0,"",IF(OR(T303&lt;=1,W303&lt;=1,X303&lt;=1,Y303&lt;=1,AB303&lt;=1),"YES","NO"))</f>
        <v/>
      </c>
      <c r="AM303" s="60" t="str">
        <f>IF(AJ303="","",IF(AND(AL303="NO",AJ303&gt;=0.75),"YES","NO"))</f>
        <v/>
      </c>
      <c r="AN303" s="60" t="str">
        <f>IF(AJ303="","",IF(AJ303&lt;0.4,"Critical",IF(AJ303&lt;0.6,"Poor",IF(AJ303&lt;0.75,"Needs Improvement",IF(AJ303&lt;0.9,"Good","Excellent")))))</f>
        <v/>
      </c>
      <c r="AO303" s="59"/>
      <c r="AP303" s="59"/>
      <c r="AQ303" s="59"/>
      <c r="AR303" s="59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</row>
    <row r="304" spans="1:54" ht="19.5" customHeight="1" x14ac:dyDescent="0.25">
      <c r="A304" s="60" t="str">
        <f>IF($B304="","",TEXT($B304,"yyyymmdd")&amp;"-"&amp;SUBSTITUTE($F304," ","")&amp;"-"&amp;TEXT(COUNTIF($F$4:F304,$F304),"00"))</f>
        <v/>
      </c>
      <c r="B304" s="65"/>
      <c r="C304" s="60" t="str">
        <f>IF($B304="","",WEEKNUM($B304,2))</f>
        <v/>
      </c>
      <c r="D304" s="60" t="str">
        <f>IF($B304="","",TEXT($B304,"yyyy-mm"))</f>
        <v/>
      </c>
      <c r="E304" s="64"/>
      <c r="F304" s="64"/>
      <c r="G304" s="60" t="str">
        <f>IF(OR($E304="",$F304=""),"",IFERROR(IF($E304=INDEX([1]Cluster_Master!$A$4:$A$18,MATCH($F304,[1]Cluster_Master!$B$4:$B$18,0)),"OK","CHECK"),"CHECK"))</f>
        <v/>
      </c>
      <c r="H304" s="63" t="str">
        <f>IFERROR(INDEX([1]Cluster_Master!$C$4:$C$18,MATCH($F304,[1]Cluster_Master!$B$4:$B$18,0)),"")</f>
        <v/>
      </c>
      <c r="I304" s="60" t="str">
        <f>IFERROR(INDEX([1]Cluster_Master!$D$4:$D$18,MATCH($F304,[1]Cluster_Master!$B$4:$B$18,0)),"")</f>
        <v/>
      </c>
      <c r="J304" s="60" t="str">
        <f>IFERROR(INDEX([1]Cluster_Master!$E$4:$E$18,MATCH($F304,[1]Cluster_Master!$B$4:$B$18,0)),"")</f>
        <v/>
      </c>
      <c r="K304" s="60" t="str">
        <f>IFERROR(INDEX([1]Cluster_Master!$F$4:$F$18,MATCH($F304,[1]Cluster_Master!$B$4:$B$18,0)),"")</f>
        <v/>
      </c>
      <c r="L304" s="60" t="str">
        <f>IFERROR(INDEX([1]Cluster_Master!$G$4:$G$18,MATCH($F304,[1]Cluster_Master!$B$4:$B$18,0)),"")</f>
        <v/>
      </c>
      <c r="M304" s="60" t="str">
        <f>IFERROR(INDEX([1]Cluster_Master!$H$4:$H$18,MATCH($F304,[1]Cluster_Master!$B$4:$B$18,0)),"")</f>
        <v/>
      </c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60" t="str">
        <f>IF(COUNTA(T304:AH304)=0,"",SUM(T304:AH304))</f>
        <v/>
      </c>
      <c r="AJ304" s="61" t="str">
        <f>IF(COUNTA(T304:AH304)=0,"",AI304/75)</f>
        <v/>
      </c>
      <c r="AK304" s="61" t="str">
        <f>IF(COUNTA(T304:AH304)=0,"",(SUM(T304*[1]KPI_Weights!$B$4,U304*[1]KPI_Weights!$B$5,V304*[1]KPI_Weights!$B$6,W304*[1]KPI_Weights!$B$7,X304*[1]KPI_Weights!$B$8,Y304*[1]KPI_Weights!$B$9,Z304*[1]KPI_Weights!$B$10,AA304*[1]KPI_Weights!$B$11,AB304*[1]KPI_Weights!$B$12,AC304*[1]KPI_Weights!$B$13,AD304*[1]KPI_Weights!$B$14,AE304*[1]KPI_Weights!$B$15,AF304*[1]KPI_Weights!$B$16,AG304*[1]KPI_Weights!$B$17,AH304*[1]KPI_Weights!$B$18))/5)</f>
        <v/>
      </c>
      <c r="AL304" s="60" t="str">
        <f>IF(COUNTA(T304:AH304)=0,"",IF(OR(T304&lt;=1,W304&lt;=1,X304&lt;=1,Y304&lt;=1,AB304&lt;=1),"YES","NO"))</f>
        <v/>
      </c>
      <c r="AM304" s="60" t="str">
        <f>IF(AJ304="","",IF(AND(AL304="NO",AJ304&gt;=0.75),"YES","NO"))</f>
        <v/>
      </c>
      <c r="AN304" s="60" t="str">
        <f>IF(AJ304="","",IF(AJ304&lt;0.4,"Critical",IF(AJ304&lt;0.6,"Poor",IF(AJ304&lt;0.75,"Needs Improvement",IF(AJ304&lt;0.9,"Good","Excellent")))))</f>
        <v/>
      </c>
      <c r="AO304" s="59"/>
      <c r="AP304" s="59"/>
      <c r="AQ304" s="59"/>
      <c r="AR304" s="59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</row>
    <row r="305" spans="1:54" ht="19.5" customHeight="1" x14ac:dyDescent="0.25">
      <c r="A305" s="60" t="str">
        <f>IF($B305="","",TEXT($B305,"yyyymmdd")&amp;"-"&amp;SUBSTITUTE($F305," ","")&amp;"-"&amp;TEXT(COUNTIF($F$4:F305,$F305),"00"))</f>
        <v/>
      </c>
      <c r="B305" s="65"/>
      <c r="C305" s="60" t="str">
        <f>IF($B305="","",WEEKNUM($B305,2))</f>
        <v/>
      </c>
      <c r="D305" s="60" t="str">
        <f>IF($B305="","",TEXT($B305,"yyyy-mm"))</f>
        <v/>
      </c>
      <c r="E305" s="64"/>
      <c r="F305" s="64"/>
      <c r="G305" s="60" t="str">
        <f>IF(OR($E305="",$F305=""),"",IFERROR(IF($E305=INDEX([1]Cluster_Master!$A$4:$A$18,MATCH($F305,[1]Cluster_Master!$B$4:$B$18,0)),"OK","CHECK"),"CHECK"))</f>
        <v/>
      </c>
      <c r="H305" s="63" t="str">
        <f>IFERROR(INDEX([1]Cluster_Master!$C$4:$C$18,MATCH($F305,[1]Cluster_Master!$B$4:$B$18,0)),"")</f>
        <v/>
      </c>
      <c r="I305" s="60" t="str">
        <f>IFERROR(INDEX([1]Cluster_Master!$D$4:$D$18,MATCH($F305,[1]Cluster_Master!$B$4:$B$18,0)),"")</f>
        <v/>
      </c>
      <c r="J305" s="60" t="str">
        <f>IFERROR(INDEX([1]Cluster_Master!$E$4:$E$18,MATCH($F305,[1]Cluster_Master!$B$4:$B$18,0)),"")</f>
        <v/>
      </c>
      <c r="K305" s="60" t="str">
        <f>IFERROR(INDEX([1]Cluster_Master!$F$4:$F$18,MATCH($F305,[1]Cluster_Master!$B$4:$B$18,0)),"")</f>
        <v/>
      </c>
      <c r="L305" s="60" t="str">
        <f>IFERROR(INDEX([1]Cluster_Master!$G$4:$G$18,MATCH($F305,[1]Cluster_Master!$B$4:$B$18,0)),"")</f>
        <v/>
      </c>
      <c r="M305" s="60" t="str">
        <f>IFERROR(INDEX([1]Cluster_Master!$H$4:$H$18,MATCH($F305,[1]Cluster_Master!$B$4:$B$18,0)),"")</f>
        <v/>
      </c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60" t="str">
        <f>IF(COUNTA(T305:AH305)=0,"",SUM(T305:AH305))</f>
        <v/>
      </c>
      <c r="AJ305" s="61" t="str">
        <f>IF(COUNTA(T305:AH305)=0,"",AI305/75)</f>
        <v/>
      </c>
      <c r="AK305" s="61" t="str">
        <f>IF(COUNTA(T305:AH305)=0,"",(SUM(T305*[1]KPI_Weights!$B$4,U305*[1]KPI_Weights!$B$5,V305*[1]KPI_Weights!$B$6,W305*[1]KPI_Weights!$B$7,X305*[1]KPI_Weights!$B$8,Y305*[1]KPI_Weights!$B$9,Z305*[1]KPI_Weights!$B$10,AA305*[1]KPI_Weights!$B$11,AB305*[1]KPI_Weights!$B$12,AC305*[1]KPI_Weights!$B$13,AD305*[1]KPI_Weights!$B$14,AE305*[1]KPI_Weights!$B$15,AF305*[1]KPI_Weights!$B$16,AG305*[1]KPI_Weights!$B$17,AH305*[1]KPI_Weights!$B$18))/5)</f>
        <v/>
      </c>
      <c r="AL305" s="60" t="str">
        <f>IF(COUNTA(T305:AH305)=0,"",IF(OR(T305&lt;=1,W305&lt;=1,X305&lt;=1,Y305&lt;=1,AB305&lt;=1),"YES","NO"))</f>
        <v/>
      </c>
      <c r="AM305" s="60" t="str">
        <f>IF(AJ305="","",IF(AND(AL305="NO",AJ305&gt;=0.75),"YES","NO"))</f>
        <v/>
      </c>
      <c r="AN305" s="60" t="str">
        <f>IF(AJ305="","",IF(AJ305&lt;0.4,"Critical",IF(AJ305&lt;0.6,"Poor",IF(AJ305&lt;0.75,"Needs Improvement",IF(AJ305&lt;0.9,"Good","Excellent")))))</f>
        <v/>
      </c>
      <c r="AO305" s="59"/>
      <c r="AP305" s="59"/>
      <c r="AQ305" s="59"/>
      <c r="AR305" s="59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</row>
    <row r="306" spans="1:54" ht="19.5" customHeight="1" x14ac:dyDescent="0.25">
      <c r="A306" s="60" t="str">
        <f>IF($B306="","",TEXT($B306,"yyyymmdd")&amp;"-"&amp;SUBSTITUTE($F306," ","")&amp;"-"&amp;TEXT(COUNTIF($F$4:F306,$F306),"00"))</f>
        <v/>
      </c>
      <c r="B306" s="65"/>
      <c r="C306" s="60" t="str">
        <f>IF($B306="","",WEEKNUM($B306,2))</f>
        <v/>
      </c>
      <c r="D306" s="60" t="str">
        <f>IF($B306="","",TEXT($B306,"yyyy-mm"))</f>
        <v/>
      </c>
      <c r="E306" s="64"/>
      <c r="F306" s="64"/>
      <c r="G306" s="60" t="str">
        <f>IF(OR($E306="",$F306=""),"",IFERROR(IF($E306=INDEX([1]Cluster_Master!$A$4:$A$18,MATCH($F306,[1]Cluster_Master!$B$4:$B$18,0)),"OK","CHECK"),"CHECK"))</f>
        <v/>
      </c>
      <c r="H306" s="63" t="str">
        <f>IFERROR(INDEX([1]Cluster_Master!$C$4:$C$18,MATCH($F306,[1]Cluster_Master!$B$4:$B$18,0)),"")</f>
        <v/>
      </c>
      <c r="I306" s="60" t="str">
        <f>IFERROR(INDEX([1]Cluster_Master!$D$4:$D$18,MATCH($F306,[1]Cluster_Master!$B$4:$B$18,0)),"")</f>
        <v/>
      </c>
      <c r="J306" s="60" t="str">
        <f>IFERROR(INDEX([1]Cluster_Master!$E$4:$E$18,MATCH($F306,[1]Cluster_Master!$B$4:$B$18,0)),"")</f>
        <v/>
      </c>
      <c r="K306" s="60" t="str">
        <f>IFERROR(INDEX([1]Cluster_Master!$F$4:$F$18,MATCH($F306,[1]Cluster_Master!$B$4:$B$18,0)),"")</f>
        <v/>
      </c>
      <c r="L306" s="60" t="str">
        <f>IFERROR(INDEX([1]Cluster_Master!$G$4:$G$18,MATCH($F306,[1]Cluster_Master!$B$4:$B$18,0)),"")</f>
        <v/>
      </c>
      <c r="M306" s="60" t="str">
        <f>IFERROR(INDEX([1]Cluster_Master!$H$4:$H$18,MATCH($F306,[1]Cluster_Master!$B$4:$B$18,0)),"")</f>
        <v/>
      </c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60" t="str">
        <f>IF(COUNTA(T306:AH306)=0,"",SUM(T306:AH306))</f>
        <v/>
      </c>
      <c r="AJ306" s="61" t="str">
        <f>IF(COUNTA(T306:AH306)=0,"",AI306/75)</f>
        <v/>
      </c>
      <c r="AK306" s="61" t="str">
        <f>IF(COUNTA(T306:AH306)=0,"",(SUM(T306*[1]KPI_Weights!$B$4,U306*[1]KPI_Weights!$B$5,V306*[1]KPI_Weights!$B$6,W306*[1]KPI_Weights!$B$7,X306*[1]KPI_Weights!$B$8,Y306*[1]KPI_Weights!$B$9,Z306*[1]KPI_Weights!$B$10,AA306*[1]KPI_Weights!$B$11,AB306*[1]KPI_Weights!$B$12,AC306*[1]KPI_Weights!$B$13,AD306*[1]KPI_Weights!$B$14,AE306*[1]KPI_Weights!$B$15,AF306*[1]KPI_Weights!$B$16,AG306*[1]KPI_Weights!$B$17,AH306*[1]KPI_Weights!$B$18))/5)</f>
        <v/>
      </c>
      <c r="AL306" s="60" t="str">
        <f>IF(COUNTA(T306:AH306)=0,"",IF(OR(T306&lt;=1,W306&lt;=1,X306&lt;=1,Y306&lt;=1,AB306&lt;=1),"YES","NO"))</f>
        <v/>
      </c>
      <c r="AM306" s="60" t="str">
        <f>IF(AJ306="","",IF(AND(AL306="NO",AJ306&gt;=0.75),"YES","NO"))</f>
        <v/>
      </c>
      <c r="AN306" s="60" t="str">
        <f>IF(AJ306="","",IF(AJ306&lt;0.4,"Critical",IF(AJ306&lt;0.6,"Poor",IF(AJ306&lt;0.75,"Needs Improvement",IF(AJ306&lt;0.9,"Good","Excellent")))))</f>
        <v/>
      </c>
      <c r="AO306" s="59"/>
      <c r="AP306" s="59"/>
      <c r="AQ306" s="59"/>
      <c r="AR306" s="59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</row>
    <row r="307" spans="1:54" ht="19.5" customHeight="1" x14ac:dyDescent="0.25">
      <c r="A307" s="60" t="str">
        <f>IF($B307="","",TEXT($B307,"yyyymmdd")&amp;"-"&amp;SUBSTITUTE($F307," ","")&amp;"-"&amp;TEXT(COUNTIF($F$4:F307,$F307),"00"))</f>
        <v/>
      </c>
      <c r="B307" s="65"/>
      <c r="C307" s="60" t="str">
        <f>IF($B307="","",WEEKNUM($B307,2))</f>
        <v/>
      </c>
      <c r="D307" s="60" t="str">
        <f>IF($B307="","",TEXT($B307,"yyyy-mm"))</f>
        <v/>
      </c>
      <c r="E307" s="64"/>
      <c r="F307" s="64"/>
      <c r="G307" s="60" t="str">
        <f>IF(OR($E307="",$F307=""),"",IFERROR(IF($E307=INDEX([1]Cluster_Master!$A$4:$A$18,MATCH($F307,[1]Cluster_Master!$B$4:$B$18,0)),"OK","CHECK"),"CHECK"))</f>
        <v/>
      </c>
      <c r="H307" s="63" t="str">
        <f>IFERROR(INDEX([1]Cluster_Master!$C$4:$C$18,MATCH($F307,[1]Cluster_Master!$B$4:$B$18,0)),"")</f>
        <v/>
      </c>
      <c r="I307" s="60" t="str">
        <f>IFERROR(INDEX([1]Cluster_Master!$D$4:$D$18,MATCH($F307,[1]Cluster_Master!$B$4:$B$18,0)),"")</f>
        <v/>
      </c>
      <c r="J307" s="60" t="str">
        <f>IFERROR(INDEX([1]Cluster_Master!$E$4:$E$18,MATCH($F307,[1]Cluster_Master!$B$4:$B$18,0)),"")</f>
        <v/>
      </c>
      <c r="K307" s="60" t="str">
        <f>IFERROR(INDEX([1]Cluster_Master!$F$4:$F$18,MATCH($F307,[1]Cluster_Master!$B$4:$B$18,0)),"")</f>
        <v/>
      </c>
      <c r="L307" s="60" t="str">
        <f>IFERROR(INDEX([1]Cluster_Master!$G$4:$G$18,MATCH($F307,[1]Cluster_Master!$B$4:$B$18,0)),"")</f>
        <v/>
      </c>
      <c r="M307" s="60" t="str">
        <f>IFERROR(INDEX([1]Cluster_Master!$H$4:$H$18,MATCH($F307,[1]Cluster_Master!$B$4:$B$18,0)),"")</f>
        <v/>
      </c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60" t="str">
        <f>IF(COUNTA(T307:AH307)=0,"",SUM(T307:AH307))</f>
        <v/>
      </c>
      <c r="AJ307" s="61" t="str">
        <f>IF(COUNTA(T307:AH307)=0,"",AI307/75)</f>
        <v/>
      </c>
      <c r="AK307" s="61" t="str">
        <f>IF(COUNTA(T307:AH307)=0,"",(SUM(T307*[1]KPI_Weights!$B$4,U307*[1]KPI_Weights!$B$5,V307*[1]KPI_Weights!$B$6,W307*[1]KPI_Weights!$B$7,X307*[1]KPI_Weights!$B$8,Y307*[1]KPI_Weights!$B$9,Z307*[1]KPI_Weights!$B$10,AA307*[1]KPI_Weights!$B$11,AB307*[1]KPI_Weights!$B$12,AC307*[1]KPI_Weights!$B$13,AD307*[1]KPI_Weights!$B$14,AE307*[1]KPI_Weights!$B$15,AF307*[1]KPI_Weights!$B$16,AG307*[1]KPI_Weights!$B$17,AH307*[1]KPI_Weights!$B$18))/5)</f>
        <v/>
      </c>
      <c r="AL307" s="60" t="str">
        <f>IF(COUNTA(T307:AH307)=0,"",IF(OR(T307&lt;=1,W307&lt;=1,X307&lt;=1,Y307&lt;=1,AB307&lt;=1),"YES","NO"))</f>
        <v/>
      </c>
      <c r="AM307" s="60" t="str">
        <f>IF(AJ307="","",IF(AND(AL307="NO",AJ307&gt;=0.75),"YES","NO"))</f>
        <v/>
      </c>
      <c r="AN307" s="60" t="str">
        <f>IF(AJ307="","",IF(AJ307&lt;0.4,"Critical",IF(AJ307&lt;0.6,"Poor",IF(AJ307&lt;0.75,"Needs Improvement",IF(AJ307&lt;0.9,"Good","Excellent")))))</f>
        <v/>
      </c>
      <c r="AO307" s="59"/>
      <c r="AP307" s="59"/>
      <c r="AQ307" s="59"/>
      <c r="AR307" s="59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</row>
    <row r="308" spans="1:54" ht="19.5" customHeight="1" x14ac:dyDescent="0.25">
      <c r="A308" s="60" t="str">
        <f>IF($B308="","",TEXT($B308,"yyyymmdd")&amp;"-"&amp;SUBSTITUTE($F308," ","")&amp;"-"&amp;TEXT(COUNTIF($F$4:F308,$F308),"00"))</f>
        <v/>
      </c>
      <c r="B308" s="65"/>
      <c r="C308" s="60" t="str">
        <f>IF($B308="","",WEEKNUM($B308,2))</f>
        <v/>
      </c>
      <c r="D308" s="60" t="str">
        <f>IF($B308="","",TEXT($B308,"yyyy-mm"))</f>
        <v/>
      </c>
      <c r="E308" s="64"/>
      <c r="F308" s="64"/>
      <c r="G308" s="60" t="str">
        <f>IF(OR($E308="",$F308=""),"",IFERROR(IF($E308=INDEX([1]Cluster_Master!$A$4:$A$18,MATCH($F308,[1]Cluster_Master!$B$4:$B$18,0)),"OK","CHECK"),"CHECK"))</f>
        <v/>
      </c>
      <c r="H308" s="63" t="str">
        <f>IFERROR(INDEX([1]Cluster_Master!$C$4:$C$18,MATCH($F308,[1]Cluster_Master!$B$4:$B$18,0)),"")</f>
        <v/>
      </c>
      <c r="I308" s="60" t="str">
        <f>IFERROR(INDEX([1]Cluster_Master!$D$4:$D$18,MATCH($F308,[1]Cluster_Master!$B$4:$B$18,0)),"")</f>
        <v/>
      </c>
      <c r="J308" s="60" t="str">
        <f>IFERROR(INDEX([1]Cluster_Master!$E$4:$E$18,MATCH($F308,[1]Cluster_Master!$B$4:$B$18,0)),"")</f>
        <v/>
      </c>
      <c r="K308" s="60" t="str">
        <f>IFERROR(INDEX([1]Cluster_Master!$F$4:$F$18,MATCH($F308,[1]Cluster_Master!$B$4:$B$18,0)),"")</f>
        <v/>
      </c>
      <c r="L308" s="60" t="str">
        <f>IFERROR(INDEX([1]Cluster_Master!$G$4:$G$18,MATCH($F308,[1]Cluster_Master!$B$4:$B$18,0)),"")</f>
        <v/>
      </c>
      <c r="M308" s="60" t="str">
        <f>IFERROR(INDEX([1]Cluster_Master!$H$4:$H$18,MATCH($F308,[1]Cluster_Master!$B$4:$B$18,0)),"")</f>
        <v/>
      </c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60" t="str">
        <f>IF(COUNTA(T308:AH308)=0,"",SUM(T308:AH308))</f>
        <v/>
      </c>
      <c r="AJ308" s="61" t="str">
        <f>IF(COUNTA(T308:AH308)=0,"",AI308/75)</f>
        <v/>
      </c>
      <c r="AK308" s="61" t="str">
        <f>IF(COUNTA(T308:AH308)=0,"",(SUM(T308*[1]KPI_Weights!$B$4,U308*[1]KPI_Weights!$B$5,V308*[1]KPI_Weights!$B$6,W308*[1]KPI_Weights!$B$7,X308*[1]KPI_Weights!$B$8,Y308*[1]KPI_Weights!$B$9,Z308*[1]KPI_Weights!$B$10,AA308*[1]KPI_Weights!$B$11,AB308*[1]KPI_Weights!$B$12,AC308*[1]KPI_Weights!$B$13,AD308*[1]KPI_Weights!$B$14,AE308*[1]KPI_Weights!$B$15,AF308*[1]KPI_Weights!$B$16,AG308*[1]KPI_Weights!$B$17,AH308*[1]KPI_Weights!$B$18))/5)</f>
        <v/>
      </c>
      <c r="AL308" s="60" t="str">
        <f>IF(COUNTA(T308:AH308)=0,"",IF(OR(T308&lt;=1,W308&lt;=1,X308&lt;=1,Y308&lt;=1,AB308&lt;=1),"YES","NO"))</f>
        <v/>
      </c>
      <c r="AM308" s="60" t="str">
        <f>IF(AJ308="","",IF(AND(AL308="NO",AJ308&gt;=0.75),"YES","NO"))</f>
        <v/>
      </c>
      <c r="AN308" s="60" t="str">
        <f>IF(AJ308="","",IF(AJ308&lt;0.4,"Critical",IF(AJ308&lt;0.6,"Poor",IF(AJ308&lt;0.75,"Needs Improvement",IF(AJ308&lt;0.9,"Good","Excellent")))))</f>
        <v/>
      </c>
      <c r="AO308" s="59"/>
      <c r="AP308" s="59"/>
      <c r="AQ308" s="59"/>
      <c r="AR308" s="59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</row>
    <row r="309" spans="1:54" ht="19.5" customHeight="1" x14ac:dyDescent="0.25">
      <c r="A309" s="60" t="str">
        <f>IF($B309="","",TEXT($B309,"yyyymmdd")&amp;"-"&amp;SUBSTITUTE($F309," ","")&amp;"-"&amp;TEXT(COUNTIF($F$4:F309,$F309),"00"))</f>
        <v/>
      </c>
      <c r="B309" s="65"/>
      <c r="C309" s="60" t="str">
        <f>IF($B309="","",WEEKNUM($B309,2))</f>
        <v/>
      </c>
      <c r="D309" s="60" t="str">
        <f>IF($B309="","",TEXT($B309,"yyyy-mm"))</f>
        <v/>
      </c>
      <c r="E309" s="64"/>
      <c r="F309" s="64"/>
      <c r="G309" s="60" t="str">
        <f>IF(OR($E309="",$F309=""),"",IFERROR(IF($E309=INDEX([1]Cluster_Master!$A$4:$A$18,MATCH($F309,[1]Cluster_Master!$B$4:$B$18,0)),"OK","CHECK"),"CHECK"))</f>
        <v/>
      </c>
      <c r="H309" s="63" t="str">
        <f>IFERROR(INDEX([1]Cluster_Master!$C$4:$C$18,MATCH($F309,[1]Cluster_Master!$B$4:$B$18,0)),"")</f>
        <v/>
      </c>
      <c r="I309" s="60" t="str">
        <f>IFERROR(INDEX([1]Cluster_Master!$D$4:$D$18,MATCH($F309,[1]Cluster_Master!$B$4:$B$18,0)),"")</f>
        <v/>
      </c>
      <c r="J309" s="60" t="str">
        <f>IFERROR(INDEX([1]Cluster_Master!$E$4:$E$18,MATCH($F309,[1]Cluster_Master!$B$4:$B$18,0)),"")</f>
        <v/>
      </c>
      <c r="K309" s="60" t="str">
        <f>IFERROR(INDEX([1]Cluster_Master!$F$4:$F$18,MATCH($F309,[1]Cluster_Master!$B$4:$B$18,0)),"")</f>
        <v/>
      </c>
      <c r="L309" s="60" t="str">
        <f>IFERROR(INDEX([1]Cluster_Master!$G$4:$G$18,MATCH($F309,[1]Cluster_Master!$B$4:$B$18,0)),"")</f>
        <v/>
      </c>
      <c r="M309" s="60" t="str">
        <f>IFERROR(INDEX([1]Cluster_Master!$H$4:$H$18,MATCH($F309,[1]Cluster_Master!$B$4:$B$18,0)),"")</f>
        <v/>
      </c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60" t="str">
        <f>IF(COUNTA(T309:AH309)=0,"",SUM(T309:AH309))</f>
        <v/>
      </c>
      <c r="AJ309" s="61" t="str">
        <f>IF(COUNTA(T309:AH309)=0,"",AI309/75)</f>
        <v/>
      </c>
      <c r="AK309" s="61" t="str">
        <f>IF(COUNTA(T309:AH309)=0,"",(SUM(T309*[1]KPI_Weights!$B$4,U309*[1]KPI_Weights!$B$5,V309*[1]KPI_Weights!$B$6,W309*[1]KPI_Weights!$B$7,X309*[1]KPI_Weights!$B$8,Y309*[1]KPI_Weights!$B$9,Z309*[1]KPI_Weights!$B$10,AA309*[1]KPI_Weights!$B$11,AB309*[1]KPI_Weights!$B$12,AC309*[1]KPI_Weights!$B$13,AD309*[1]KPI_Weights!$B$14,AE309*[1]KPI_Weights!$B$15,AF309*[1]KPI_Weights!$B$16,AG309*[1]KPI_Weights!$B$17,AH309*[1]KPI_Weights!$B$18))/5)</f>
        <v/>
      </c>
      <c r="AL309" s="60" t="str">
        <f>IF(COUNTA(T309:AH309)=0,"",IF(OR(T309&lt;=1,W309&lt;=1,X309&lt;=1,Y309&lt;=1,AB309&lt;=1),"YES","NO"))</f>
        <v/>
      </c>
      <c r="AM309" s="60" t="str">
        <f>IF(AJ309="","",IF(AND(AL309="NO",AJ309&gt;=0.75),"YES","NO"))</f>
        <v/>
      </c>
      <c r="AN309" s="60" t="str">
        <f>IF(AJ309="","",IF(AJ309&lt;0.4,"Critical",IF(AJ309&lt;0.6,"Poor",IF(AJ309&lt;0.75,"Needs Improvement",IF(AJ309&lt;0.9,"Good","Excellent")))))</f>
        <v/>
      </c>
      <c r="AO309" s="59"/>
      <c r="AP309" s="59"/>
      <c r="AQ309" s="59"/>
      <c r="AR309" s="59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</row>
    <row r="310" spans="1:54" ht="19.5" customHeight="1" x14ac:dyDescent="0.25">
      <c r="A310" s="60" t="str">
        <f>IF($B310="","",TEXT($B310,"yyyymmdd")&amp;"-"&amp;SUBSTITUTE($F310," ","")&amp;"-"&amp;TEXT(COUNTIF($F$4:F310,$F310),"00"))</f>
        <v/>
      </c>
      <c r="B310" s="65"/>
      <c r="C310" s="60" t="str">
        <f>IF($B310="","",WEEKNUM($B310,2))</f>
        <v/>
      </c>
      <c r="D310" s="60" t="str">
        <f>IF($B310="","",TEXT($B310,"yyyy-mm"))</f>
        <v/>
      </c>
      <c r="E310" s="64"/>
      <c r="F310" s="64"/>
      <c r="G310" s="60" t="str">
        <f>IF(OR($E310="",$F310=""),"",IFERROR(IF($E310=INDEX([1]Cluster_Master!$A$4:$A$18,MATCH($F310,[1]Cluster_Master!$B$4:$B$18,0)),"OK","CHECK"),"CHECK"))</f>
        <v/>
      </c>
      <c r="H310" s="63" t="str">
        <f>IFERROR(INDEX([1]Cluster_Master!$C$4:$C$18,MATCH($F310,[1]Cluster_Master!$B$4:$B$18,0)),"")</f>
        <v/>
      </c>
      <c r="I310" s="60" t="str">
        <f>IFERROR(INDEX([1]Cluster_Master!$D$4:$D$18,MATCH($F310,[1]Cluster_Master!$B$4:$B$18,0)),"")</f>
        <v/>
      </c>
      <c r="J310" s="60" t="str">
        <f>IFERROR(INDEX([1]Cluster_Master!$E$4:$E$18,MATCH($F310,[1]Cluster_Master!$B$4:$B$18,0)),"")</f>
        <v/>
      </c>
      <c r="K310" s="60" t="str">
        <f>IFERROR(INDEX([1]Cluster_Master!$F$4:$F$18,MATCH($F310,[1]Cluster_Master!$B$4:$B$18,0)),"")</f>
        <v/>
      </c>
      <c r="L310" s="60" t="str">
        <f>IFERROR(INDEX([1]Cluster_Master!$G$4:$G$18,MATCH($F310,[1]Cluster_Master!$B$4:$B$18,0)),"")</f>
        <v/>
      </c>
      <c r="M310" s="60" t="str">
        <f>IFERROR(INDEX([1]Cluster_Master!$H$4:$H$18,MATCH($F310,[1]Cluster_Master!$B$4:$B$18,0)),"")</f>
        <v/>
      </c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60" t="str">
        <f>IF(COUNTA(T310:AH310)=0,"",SUM(T310:AH310))</f>
        <v/>
      </c>
      <c r="AJ310" s="61" t="str">
        <f>IF(COUNTA(T310:AH310)=0,"",AI310/75)</f>
        <v/>
      </c>
      <c r="AK310" s="61" t="str">
        <f>IF(COUNTA(T310:AH310)=0,"",(SUM(T310*[1]KPI_Weights!$B$4,U310*[1]KPI_Weights!$B$5,V310*[1]KPI_Weights!$B$6,W310*[1]KPI_Weights!$B$7,X310*[1]KPI_Weights!$B$8,Y310*[1]KPI_Weights!$B$9,Z310*[1]KPI_Weights!$B$10,AA310*[1]KPI_Weights!$B$11,AB310*[1]KPI_Weights!$B$12,AC310*[1]KPI_Weights!$B$13,AD310*[1]KPI_Weights!$B$14,AE310*[1]KPI_Weights!$B$15,AF310*[1]KPI_Weights!$B$16,AG310*[1]KPI_Weights!$B$17,AH310*[1]KPI_Weights!$B$18))/5)</f>
        <v/>
      </c>
      <c r="AL310" s="60" t="str">
        <f>IF(COUNTA(T310:AH310)=0,"",IF(OR(T310&lt;=1,W310&lt;=1,X310&lt;=1,Y310&lt;=1,AB310&lt;=1),"YES","NO"))</f>
        <v/>
      </c>
      <c r="AM310" s="60" t="str">
        <f>IF(AJ310="","",IF(AND(AL310="NO",AJ310&gt;=0.75),"YES","NO"))</f>
        <v/>
      </c>
      <c r="AN310" s="60" t="str">
        <f>IF(AJ310="","",IF(AJ310&lt;0.4,"Critical",IF(AJ310&lt;0.6,"Poor",IF(AJ310&lt;0.75,"Needs Improvement",IF(AJ310&lt;0.9,"Good","Excellent")))))</f>
        <v/>
      </c>
      <c r="AO310" s="59"/>
      <c r="AP310" s="59"/>
      <c r="AQ310" s="59"/>
      <c r="AR310" s="59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</row>
    <row r="311" spans="1:54" ht="19.5" customHeight="1" x14ac:dyDescent="0.25">
      <c r="A311" s="60" t="str">
        <f>IF($B311="","",TEXT($B311,"yyyymmdd")&amp;"-"&amp;SUBSTITUTE($F311," ","")&amp;"-"&amp;TEXT(COUNTIF($F$4:F311,$F311),"00"))</f>
        <v/>
      </c>
      <c r="B311" s="65"/>
      <c r="C311" s="60" t="str">
        <f>IF($B311="","",WEEKNUM($B311,2))</f>
        <v/>
      </c>
      <c r="D311" s="60" t="str">
        <f>IF($B311="","",TEXT($B311,"yyyy-mm"))</f>
        <v/>
      </c>
      <c r="E311" s="64"/>
      <c r="F311" s="64"/>
      <c r="G311" s="60" t="str">
        <f>IF(OR($E311="",$F311=""),"",IFERROR(IF($E311=INDEX([1]Cluster_Master!$A$4:$A$18,MATCH($F311,[1]Cluster_Master!$B$4:$B$18,0)),"OK","CHECK"),"CHECK"))</f>
        <v/>
      </c>
      <c r="H311" s="63" t="str">
        <f>IFERROR(INDEX([1]Cluster_Master!$C$4:$C$18,MATCH($F311,[1]Cluster_Master!$B$4:$B$18,0)),"")</f>
        <v/>
      </c>
      <c r="I311" s="60" t="str">
        <f>IFERROR(INDEX([1]Cluster_Master!$D$4:$D$18,MATCH($F311,[1]Cluster_Master!$B$4:$B$18,0)),"")</f>
        <v/>
      </c>
      <c r="J311" s="60" t="str">
        <f>IFERROR(INDEX([1]Cluster_Master!$E$4:$E$18,MATCH($F311,[1]Cluster_Master!$B$4:$B$18,0)),"")</f>
        <v/>
      </c>
      <c r="K311" s="60" t="str">
        <f>IFERROR(INDEX([1]Cluster_Master!$F$4:$F$18,MATCH($F311,[1]Cluster_Master!$B$4:$B$18,0)),"")</f>
        <v/>
      </c>
      <c r="L311" s="60" t="str">
        <f>IFERROR(INDEX([1]Cluster_Master!$G$4:$G$18,MATCH($F311,[1]Cluster_Master!$B$4:$B$18,0)),"")</f>
        <v/>
      </c>
      <c r="M311" s="60" t="str">
        <f>IFERROR(INDEX([1]Cluster_Master!$H$4:$H$18,MATCH($F311,[1]Cluster_Master!$B$4:$B$18,0)),"")</f>
        <v/>
      </c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60" t="str">
        <f>IF(COUNTA(T311:AH311)=0,"",SUM(T311:AH311))</f>
        <v/>
      </c>
      <c r="AJ311" s="61" t="str">
        <f>IF(COUNTA(T311:AH311)=0,"",AI311/75)</f>
        <v/>
      </c>
      <c r="AK311" s="61" t="str">
        <f>IF(COUNTA(T311:AH311)=0,"",(SUM(T311*[1]KPI_Weights!$B$4,U311*[1]KPI_Weights!$B$5,V311*[1]KPI_Weights!$B$6,W311*[1]KPI_Weights!$B$7,X311*[1]KPI_Weights!$B$8,Y311*[1]KPI_Weights!$B$9,Z311*[1]KPI_Weights!$B$10,AA311*[1]KPI_Weights!$B$11,AB311*[1]KPI_Weights!$B$12,AC311*[1]KPI_Weights!$B$13,AD311*[1]KPI_Weights!$B$14,AE311*[1]KPI_Weights!$B$15,AF311*[1]KPI_Weights!$B$16,AG311*[1]KPI_Weights!$B$17,AH311*[1]KPI_Weights!$B$18))/5)</f>
        <v/>
      </c>
      <c r="AL311" s="60" t="str">
        <f>IF(COUNTA(T311:AH311)=0,"",IF(OR(T311&lt;=1,W311&lt;=1,X311&lt;=1,Y311&lt;=1,AB311&lt;=1),"YES","NO"))</f>
        <v/>
      </c>
      <c r="AM311" s="60" t="str">
        <f>IF(AJ311="","",IF(AND(AL311="NO",AJ311&gt;=0.75),"YES","NO"))</f>
        <v/>
      </c>
      <c r="AN311" s="60" t="str">
        <f>IF(AJ311="","",IF(AJ311&lt;0.4,"Critical",IF(AJ311&lt;0.6,"Poor",IF(AJ311&lt;0.75,"Needs Improvement",IF(AJ311&lt;0.9,"Good","Excellent")))))</f>
        <v/>
      </c>
      <c r="AO311" s="59"/>
      <c r="AP311" s="59"/>
      <c r="AQ311" s="59"/>
      <c r="AR311" s="59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</row>
    <row r="312" spans="1:54" ht="19.5" customHeight="1" x14ac:dyDescent="0.25">
      <c r="A312" s="60" t="str">
        <f>IF($B312="","",TEXT($B312,"yyyymmdd")&amp;"-"&amp;SUBSTITUTE($F312," ","")&amp;"-"&amp;TEXT(COUNTIF($F$4:F312,$F312),"00"))</f>
        <v/>
      </c>
      <c r="B312" s="65"/>
      <c r="C312" s="60" t="str">
        <f>IF($B312="","",WEEKNUM($B312,2))</f>
        <v/>
      </c>
      <c r="D312" s="60" t="str">
        <f>IF($B312="","",TEXT($B312,"yyyy-mm"))</f>
        <v/>
      </c>
      <c r="E312" s="64"/>
      <c r="F312" s="64"/>
      <c r="G312" s="60" t="str">
        <f>IF(OR($E312="",$F312=""),"",IFERROR(IF($E312=INDEX([1]Cluster_Master!$A$4:$A$18,MATCH($F312,[1]Cluster_Master!$B$4:$B$18,0)),"OK","CHECK"),"CHECK"))</f>
        <v/>
      </c>
      <c r="H312" s="63" t="str">
        <f>IFERROR(INDEX([1]Cluster_Master!$C$4:$C$18,MATCH($F312,[1]Cluster_Master!$B$4:$B$18,0)),"")</f>
        <v/>
      </c>
      <c r="I312" s="60" t="str">
        <f>IFERROR(INDEX([1]Cluster_Master!$D$4:$D$18,MATCH($F312,[1]Cluster_Master!$B$4:$B$18,0)),"")</f>
        <v/>
      </c>
      <c r="J312" s="60" t="str">
        <f>IFERROR(INDEX([1]Cluster_Master!$E$4:$E$18,MATCH($F312,[1]Cluster_Master!$B$4:$B$18,0)),"")</f>
        <v/>
      </c>
      <c r="K312" s="60" t="str">
        <f>IFERROR(INDEX([1]Cluster_Master!$F$4:$F$18,MATCH($F312,[1]Cluster_Master!$B$4:$B$18,0)),"")</f>
        <v/>
      </c>
      <c r="L312" s="60" t="str">
        <f>IFERROR(INDEX([1]Cluster_Master!$G$4:$G$18,MATCH($F312,[1]Cluster_Master!$B$4:$B$18,0)),"")</f>
        <v/>
      </c>
      <c r="M312" s="60" t="str">
        <f>IFERROR(INDEX([1]Cluster_Master!$H$4:$H$18,MATCH($F312,[1]Cluster_Master!$B$4:$B$18,0)),"")</f>
        <v/>
      </c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60" t="str">
        <f>IF(COUNTA(T312:AH312)=0,"",SUM(T312:AH312))</f>
        <v/>
      </c>
      <c r="AJ312" s="61" t="str">
        <f>IF(COUNTA(T312:AH312)=0,"",AI312/75)</f>
        <v/>
      </c>
      <c r="AK312" s="61" t="str">
        <f>IF(COUNTA(T312:AH312)=0,"",(SUM(T312*[1]KPI_Weights!$B$4,U312*[1]KPI_Weights!$B$5,V312*[1]KPI_Weights!$B$6,W312*[1]KPI_Weights!$B$7,X312*[1]KPI_Weights!$B$8,Y312*[1]KPI_Weights!$B$9,Z312*[1]KPI_Weights!$B$10,AA312*[1]KPI_Weights!$B$11,AB312*[1]KPI_Weights!$B$12,AC312*[1]KPI_Weights!$B$13,AD312*[1]KPI_Weights!$B$14,AE312*[1]KPI_Weights!$B$15,AF312*[1]KPI_Weights!$B$16,AG312*[1]KPI_Weights!$B$17,AH312*[1]KPI_Weights!$B$18))/5)</f>
        <v/>
      </c>
      <c r="AL312" s="60" t="str">
        <f>IF(COUNTA(T312:AH312)=0,"",IF(OR(T312&lt;=1,W312&lt;=1,X312&lt;=1,Y312&lt;=1,AB312&lt;=1),"YES","NO"))</f>
        <v/>
      </c>
      <c r="AM312" s="60" t="str">
        <f>IF(AJ312="","",IF(AND(AL312="NO",AJ312&gt;=0.75),"YES","NO"))</f>
        <v/>
      </c>
      <c r="AN312" s="60" t="str">
        <f>IF(AJ312="","",IF(AJ312&lt;0.4,"Critical",IF(AJ312&lt;0.6,"Poor",IF(AJ312&lt;0.75,"Needs Improvement",IF(AJ312&lt;0.9,"Good","Excellent")))))</f>
        <v/>
      </c>
      <c r="AO312" s="59"/>
      <c r="AP312" s="59"/>
      <c r="AQ312" s="59"/>
      <c r="AR312" s="59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</row>
    <row r="313" spans="1:54" ht="19.5" customHeight="1" x14ac:dyDescent="0.25">
      <c r="A313" s="60" t="str">
        <f>IF($B313="","",TEXT($B313,"yyyymmdd")&amp;"-"&amp;SUBSTITUTE($F313," ","")&amp;"-"&amp;TEXT(COUNTIF($F$4:F313,$F313),"00"))</f>
        <v/>
      </c>
      <c r="B313" s="65"/>
      <c r="C313" s="60" t="str">
        <f>IF($B313="","",WEEKNUM($B313,2))</f>
        <v/>
      </c>
      <c r="D313" s="60" t="str">
        <f>IF($B313="","",TEXT($B313,"yyyy-mm"))</f>
        <v/>
      </c>
      <c r="E313" s="64"/>
      <c r="F313" s="64"/>
      <c r="G313" s="60" t="str">
        <f>IF(OR($E313="",$F313=""),"",IFERROR(IF($E313=INDEX([1]Cluster_Master!$A$4:$A$18,MATCH($F313,[1]Cluster_Master!$B$4:$B$18,0)),"OK","CHECK"),"CHECK"))</f>
        <v/>
      </c>
      <c r="H313" s="63" t="str">
        <f>IFERROR(INDEX([1]Cluster_Master!$C$4:$C$18,MATCH($F313,[1]Cluster_Master!$B$4:$B$18,0)),"")</f>
        <v/>
      </c>
      <c r="I313" s="60" t="str">
        <f>IFERROR(INDEX([1]Cluster_Master!$D$4:$D$18,MATCH($F313,[1]Cluster_Master!$B$4:$B$18,0)),"")</f>
        <v/>
      </c>
      <c r="J313" s="60" t="str">
        <f>IFERROR(INDEX([1]Cluster_Master!$E$4:$E$18,MATCH($F313,[1]Cluster_Master!$B$4:$B$18,0)),"")</f>
        <v/>
      </c>
      <c r="K313" s="60" t="str">
        <f>IFERROR(INDEX([1]Cluster_Master!$F$4:$F$18,MATCH($F313,[1]Cluster_Master!$B$4:$B$18,0)),"")</f>
        <v/>
      </c>
      <c r="L313" s="60" t="str">
        <f>IFERROR(INDEX([1]Cluster_Master!$G$4:$G$18,MATCH($F313,[1]Cluster_Master!$B$4:$B$18,0)),"")</f>
        <v/>
      </c>
      <c r="M313" s="60" t="str">
        <f>IFERROR(INDEX([1]Cluster_Master!$H$4:$H$18,MATCH($F313,[1]Cluster_Master!$B$4:$B$18,0)),"")</f>
        <v/>
      </c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60" t="str">
        <f>IF(COUNTA(T313:AH313)=0,"",SUM(T313:AH313))</f>
        <v/>
      </c>
      <c r="AJ313" s="61" t="str">
        <f>IF(COUNTA(T313:AH313)=0,"",AI313/75)</f>
        <v/>
      </c>
      <c r="AK313" s="61" t="str">
        <f>IF(COUNTA(T313:AH313)=0,"",(SUM(T313*[1]KPI_Weights!$B$4,U313*[1]KPI_Weights!$B$5,V313*[1]KPI_Weights!$B$6,W313*[1]KPI_Weights!$B$7,X313*[1]KPI_Weights!$B$8,Y313*[1]KPI_Weights!$B$9,Z313*[1]KPI_Weights!$B$10,AA313*[1]KPI_Weights!$B$11,AB313*[1]KPI_Weights!$B$12,AC313*[1]KPI_Weights!$B$13,AD313*[1]KPI_Weights!$B$14,AE313*[1]KPI_Weights!$B$15,AF313*[1]KPI_Weights!$B$16,AG313*[1]KPI_Weights!$B$17,AH313*[1]KPI_Weights!$B$18))/5)</f>
        <v/>
      </c>
      <c r="AL313" s="60" t="str">
        <f>IF(COUNTA(T313:AH313)=0,"",IF(OR(T313&lt;=1,W313&lt;=1,X313&lt;=1,Y313&lt;=1,AB313&lt;=1),"YES","NO"))</f>
        <v/>
      </c>
      <c r="AM313" s="60" t="str">
        <f>IF(AJ313="","",IF(AND(AL313="NO",AJ313&gt;=0.75),"YES","NO"))</f>
        <v/>
      </c>
      <c r="AN313" s="60" t="str">
        <f>IF(AJ313="","",IF(AJ313&lt;0.4,"Critical",IF(AJ313&lt;0.6,"Poor",IF(AJ313&lt;0.75,"Needs Improvement",IF(AJ313&lt;0.9,"Good","Excellent")))))</f>
        <v/>
      </c>
      <c r="AO313" s="59"/>
      <c r="AP313" s="59"/>
      <c r="AQ313" s="59"/>
      <c r="AR313" s="59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</row>
    <row r="314" spans="1:54" ht="19.5" customHeight="1" x14ac:dyDescent="0.25">
      <c r="A314" s="60" t="str">
        <f>IF($B314="","",TEXT($B314,"yyyymmdd")&amp;"-"&amp;SUBSTITUTE($F314," ","")&amp;"-"&amp;TEXT(COUNTIF($F$4:F314,$F314),"00"))</f>
        <v/>
      </c>
      <c r="B314" s="65"/>
      <c r="C314" s="60" t="str">
        <f>IF($B314="","",WEEKNUM($B314,2))</f>
        <v/>
      </c>
      <c r="D314" s="60" t="str">
        <f>IF($B314="","",TEXT($B314,"yyyy-mm"))</f>
        <v/>
      </c>
      <c r="E314" s="64"/>
      <c r="F314" s="64"/>
      <c r="G314" s="60" t="str">
        <f>IF(OR($E314="",$F314=""),"",IFERROR(IF($E314=INDEX([1]Cluster_Master!$A$4:$A$18,MATCH($F314,[1]Cluster_Master!$B$4:$B$18,0)),"OK","CHECK"),"CHECK"))</f>
        <v/>
      </c>
      <c r="H314" s="63" t="str">
        <f>IFERROR(INDEX([1]Cluster_Master!$C$4:$C$18,MATCH($F314,[1]Cluster_Master!$B$4:$B$18,0)),"")</f>
        <v/>
      </c>
      <c r="I314" s="60" t="str">
        <f>IFERROR(INDEX([1]Cluster_Master!$D$4:$D$18,MATCH($F314,[1]Cluster_Master!$B$4:$B$18,0)),"")</f>
        <v/>
      </c>
      <c r="J314" s="60" t="str">
        <f>IFERROR(INDEX([1]Cluster_Master!$E$4:$E$18,MATCH($F314,[1]Cluster_Master!$B$4:$B$18,0)),"")</f>
        <v/>
      </c>
      <c r="K314" s="60" t="str">
        <f>IFERROR(INDEX([1]Cluster_Master!$F$4:$F$18,MATCH($F314,[1]Cluster_Master!$B$4:$B$18,0)),"")</f>
        <v/>
      </c>
      <c r="L314" s="60" t="str">
        <f>IFERROR(INDEX([1]Cluster_Master!$G$4:$G$18,MATCH($F314,[1]Cluster_Master!$B$4:$B$18,0)),"")</f>
        <v/>
      </c>
      <c r="M314" s="60" t="str">
        <f>IFERROR(INDEX([1]Cluster_Master!$H$4:$H$18,MATCH($F314,[1]Cluster_Master!$B$4:$B$18,0)),"")</f>
        <v/>
      </c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60" t="str">
        <f>IF(COUNTA(T314:AH314)=0,"",SUM(T314:AH314))</f>
        <v/>
      </c>
      <c r="AJ314" s="61" t="str">
        <f>IF(COUNTA(T314:AH314)=0,"",AI314/75)</f>
        <v/>
      </c>
      <c r="AK314" s="61" t="str">
        <f>IF(COUNTA(T314:AH314)=0,"",(SUM(T314*[1]KPI_Weights!$B$4,U314*[1]KPI_Weights!$B$5,V314*[1]KPI_Weights!$B$6,W314*[1]KPI_Weights!$B$7,X314*[1]KPI_Weights!$B$8,Y314*[1]KPI_Weights!$B$9,Z314*[1]KPI_Weights!$B$10,AA314*[1]KPI_Weights!$B$11,AB314*[1]KPI_Weights!$B$12,AC314*[1]KPI_Weights!$B$13,AD314*[1]KPI_Weights!$B$14,AE314*[1]KPI_Weights!$B$15,AF314*[1]KPI_Weights!$B$16,AG314*[1]KPI_Weights!$B$17,AH314*[1]KPI_Weights!$B$18))/5)</f>
        <v/>
      </c>
      <c r="AL314" s="60" t="str">
        <f>IF(COUNTA(T314:AH314)=0,"",IF(OR(T314&lt;=1,W314&lt;=1,X314&lt;=1,Y314&lt;=1,AB314&lt;=1),"YES","NO"))</f>
        <v/>
      </c>
      <c r="AM314" s="60" t="str">
        <f>IF(AJ314="","",IF(AND(AL314="NO",AJ314&gt;=0.75),"YES","NO"))</f>
        <v/>
      </c>
      <c r="AN314" s="60" t="str">
        <f>IF(AJ314="","",IF(AJ314&lt;0.4,"Critical",IF(AJ314&lt;0.6,"Poor",IF(AJ314&lt;0.75,"Needs Improvement",IF(AJ314&lt;0.9,"Good","Excellent")))))</f>
        <v/>
      </c>
      <c r="AO314" s="59"/>
      <c r="AP314" s="59"/>
      <c r="AQ314" s="59"/>
      <c r="AR314" s="59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</row>
    <row r="315" spans="1:54" ht="19.5" customHeight="1" x14ac:dyDescent="0.25">
      <c r="A315" s="60" t="str">
        <f>IF($B315="","",TEXT($B315,"yyyymmdd")&amp;"-"&amp;SUBSTITUTE($F315," ","")&amp;"-"&amp;TEXT(COUNTIF($F$4:F315,$F315),"00"))</f>
        <v/>
      </c>
      <c r="B315" s="65"/>
      <c r="C315" s="60" t="str">
        <f>IF($B315="","",WEEKNUM($B315,2))</f>
        <v/>
      </c>
      <c r="D315" s="60" t="str">
        <f>IF($B315="","",TEXT($B315,"yyyy-mm"))</f>
        <v/>
      </c>
      <c r="E315" s="64"/>
      <c r="F315" s="64"/>
      <c r="G315" s="60" t="str">
        <f>IF(OR($E315="",$F315=""),"",IFERROR(IF($E315=INDEX([1]Cluster_Master!$A$4:$A$18,MATCH($F315,[1]Cluster_Master!$B$4:$B$18,0)),"OK","CHECK"),"CHECK"))</f>
        <v/>
      </c>
      <c r="H315" s="63" t="str">
        <f>IFERROR(INDEX([1]Cluster_Master!$C$4:$C$18,MATCH($F315,[1]Cluster_Master!$B$4:$B$18,0)),"")</f>
        <v/>
      </c>
      <c r="I315" s="60" t="str">
        <f>IFERROR(INDEX([1]Cluster_Master!$D$4:$D$18,MATCH($F315,[1]Cluster_Master!$B$4:$B$18,0)),"")</f>
        <v/>
      </c>
      <c r="J315" s="60" t="str">
        <f>IFERROR(INDEX([1]Cluster_Master!$E$4:$E$18,MATCH($F315,[1]Cluster_Master!$B$4:$B$18,0)),"")</f>
        <v/>
      </c>
      <c r="K315" s="60" t="str">
        <f>IFERROR(INDEX([1]Cluster_Master!$F$4:$F$18,MATCH($F315,[1]Cluster_Master!$B$4:$B$18,0)),"")</f>
        <v/>
      </c>
      <c r="L315" s="60" t="str">
        <f>IFERROR(INDEX([1]Cluster_Master!$G$4:$G$18,MATCH($F315,[1]Cluster_Master!$B$4:$B$18,0)),"")</f>
        <v/>
      </c>
      <c r="M315" s="60" t="str">
        <f>IFERROR(INDEX([1]Cluster_Master!$H$4:$H$18,MATCH($F315,[1]Cluster_Master!$B$4:$B$18,0)),"")</f>
        <v/>
      </c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60" t="str">
        <f>IF(COUNTA(T315:AH315)=0,"",SUM(T315:AH315))</f>
        <v/>
      </c>
      <c r="AJ315" s="61" t="str">
        <f>IF(COUNTA(T315:AH315)=0,"",AI315/75)</f>
        <v/>
      </c>
      <c r="AK315" s="61" t="str">
        <f>IF(COUNTA(T315:AH315)=0,"",(SUM(T315*[1]KPI_Weights!$B$4,U315*[1]KPI_Weights!$B$5,V315*[1]KPI_Weights!$B$6,W315*[1]KPI_Weights!$B$7,X315*[1]KPI_Weights!$B$8,Y315*[1]KPI_Weights!$B$9,Z315*[1]KPI_Weights!$B$10,AA315*[1]KPI_Weights!$B$11,AB315*[1]KPI_Weights!$B$12,AC315*[1]KPI_Weights!$B$13,AD315*[1]KPI_Weights!$B$14,AE315*[1]KPI_Weights!$B$15,AF315*[1]KPI_Weights!$B$16,AG315*[1]KPI_Weights!$B$17,AH315*[1]KPI_Weights!$B$18))/5)</f>
        <v/>
      </c>
      <c r="AL315" s="60" t="str">
        <f>IF(COUNTA(T315:AH315)=0,"",IF(OR(T315&lt;=1,W315&lt;=1,X315&lt;=1,Y315&lt;=1,AB315&lt;=1),"YES","NO"))</f>
        <v/>
      </c>
      <c r="AM315" s="60" t="str">
        <f>IF(AJ315="","",IF(AND(AL315="NO",AJ315&gt;=0.75),"YES","NO"))</f>
        <v/>
      </c>
      <c r="AN315" s="60" t="str">
        <f>IF(AJ315="","",IF(AJ315&lt;0.4,"Critical",IF(AJ315&lt;0.6,"Poor",IF(AJ315&lt;0.75,"Needs Improvement",IF(AJ315&lt;0.9,"Good","Excellent")))))</f>
        <v/>
      </c>
      <c r="AO315" s="59"/>
      <c r="AP315" s="59"/>
      <c r="AQ315" s="59"/>
      <c r="AR315" s="59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</row>
    <row r="316" spans="1:54" ht="19.5" customHeight="1" x14ac:dyDescent="0.25">
      <c r="A316" s="60" t="str">
        <f>IF($B316="","",TEXT($B316,"yyyymmdd")&amp;"-"&amp;SUBSTITUTE($F316," ","")&amp;"-"&amp;TEXT(COUNTIF($F$4:F316,$F316),"00"))</f>
        <v/>
      </c>
      <c r="B316" s="65"/>
      <c r="C316" s="60" t="str">
        <f>IF($B316="","",WEEKNUM($B316,2))</f>
        <v/>
      </c>
      <c r="D316" s="60" t="str">
        <f>IF($B316="","",TEXT($B316,"yyyy-mm"))</f>
        <v/>
      </c>
      <c r="E316" s="64"/>
      <c r="F316" s="64"/>
      <c r="G316" s="60" t="str">
        <f>IF(OR($E316="",$F316=""),"",IFERROR(IF($E316=INDEX([1]Cluster_Master!$A$4:$A$18,MATCH($F316,[1]Cluster_Master!$B$4:$B$18,0)),"OK","CHECK"),"CHECK"))</f>
        <v/>
      </c>
      <c r="H316" s="63" t="str">
        <f>IFERROR(INDEX([1]Cluster_Master!$C$4:$C$18,MATCH($F316,[1]Cluster_Master!$B$4:$B$18,0)),"")</f>
        <v/>
      </c>
      <c r="I316" s="60" t="str">
        <f>IFERROR(INDEX([1]Cluster_Master!$D$4:$D$18,MATCH($F316,[1]Cluster_Master!$B$4:$B$18,0)),"")</f>
        <v/>
      </c>
      <c r="J316" s="60" t="str">
        <f>IFERROR(INDEX([1]Cluster_Master!$E$4:$E$18,MATCH($F316,[1]Cluster_Master!$B$4:$B$18,0)),"")</f>
        <v/>
      </c>
      <c r="K316" s="60" t="str">
        <f>IFERROR(INDEX([1]Cluster_Master!$F$4:$F$18,MATCH($F316,[1]Cluster_Master!$B$4:$B$18,0)),"")</f>
        <v/>
      </c>
      <c r="L316" s="60" t="str">
        <f>IFERROR(INDEX([1]Cluster_Master!$G$4:$G$18,MATCH($F316,[1]Cluster_Master!$B$4:$B$18,0)),"")</f>
        <v/>
      </c>
      <c r="M316" s="60" t="str">
        <f>IFERROR(INDEX([1]Cluster_Master!$H$4:$H$18,MATCH($F316,[1]Cluster_Master!$B$4:$B$18,0)),"")</f>
        <v/>
      </c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60" t="str">
        <f>IF(COUNTA(T316:AH316)=0,"",SUM(T316:AH316))</f>
        <v/>
      </c>
      <c r="AJ316" s="61" t="str">
        <f>IF(COUNTA(T316:AH316)=0,"",AI316/75)</f>
        <v/>
      </c>
      <c r="AK316" s="61" t="str">
        <f>IF(COUNTA(T316:AH316)=0,"",(SUM(T316*[1]KPI_Weights!$B$4,U316*[1]KPI_Weights!$B$5,V316*[1]KPI_Weights!$B$6,W316*[1]KPI_Weights!$B$7,X316*[1]KPI_Weights!$B$8,Y316*[1]KPI_Weights!$B$9,Z316*[1]KPI_Weights!$B$10,AA316*[1]KPI_Weights!$B$11,AB316*[1]KPI_Weights!$B$12,AC316*[1]KPI_Weights!$B$13,AD316*[1]KPI_Weights!$B$14,AE316*[1]KPI_Weights!$B$15,AF316*[1]KPI_Weights!$B$16,AG316*[1]KPI_Weights!$B$17,AH316*[1]KPI_Weights!$B$18))/5)</f>
        <v/>
      </c>
      <c r="AL316" s="60" t="str">
        <f>IF(COUNTA(T316:AH316)=0,"",IF(OR(T316&lt;=1,W316&lt;=1,X316&lt;=1,Y316&lt;=1,AB316&lt;=1),"YES","NO"))</f>
        <v/>
      </c>
      <c r="AM316" s="60" t="str">
        <f>IF(AJ316="","",IF(AND(AL316="NO",AJ316&gt;=0.75),"YES","NO"))</f>
        <v/>
      </c>
      <c r="AN316" s="60" t="str">
        <f>IF(AJ316="","",IF(AJ316&lt;0.4,"Critical",IF(AJ316&lt;0.6,"Poor",IF(AJ316&lt;0.75,"Needs Improvement",IF(AJ316&lt;0.9,"Good","Excellent")))))</f>
        <v/>
      </c>
      <c r="AO316" s="59"/>
      <c r="AP316" s="59"/>
      <c r="AQ316" s="59"/>
      <c r="AR316" s="59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</row>
    <row r="317" spans="1:54" ht="19.5" customHeight="1" x14ac:dyDescent="0.25">
      <c r="A317" s="60" t="str">
        <f>IF($B317="","",TEXT($B317,"yyyymmdd")&amp;"-"&amp;SUBSTITUTE($F317," ","")&amp;"-"&amp;TEXT(COUNTIF($F$4:F317,$F317),"00"))</f>
        <v/>
      </c>
      <c r="B317" s="65"/>
      <c r="C317" s="60" t="str">
        <f>IF($B317="","",WEEKNUM($B317,2))</f>
        <v/>
      </c>
      <c r="D317" s="60" t="str">
        <f>IF($B317="","",TEXT($B317,"yyyy-mm"))</f>
        <v/>
      </c>
      <c r="E317" s="64"/>
      <c r="F317" s="64"/>
      <c r="G317" s="60" t="str">
        <f>IF(OR($E317="",$F317=""),"",IFERROR(IF($E317=INDEX([1]Cluster_Master!$A$4:$A$18,MATCH($F317,[1]Cluster_Master!$B$4:$B$18,0)),"OK","CHECK"),"CHECK"))</f>
        <v/>
      </c>
      <c r="H317" s="63" t="str">
        <f>IFERROR(INDEX([1]Cluster_Master!$C$4:$C$18,MATCH($F317,[1]Cluster_Master!$B$4:$B$18,0)),"")</f>
        <v/>
      </c>
      <c r="I317" s="60" t="str">
        <f>IFERROR(INDEX([1]Cluster_Master!$D$4:$D$18,MATCH($F317,[1]Cluster_Master!$B$4:$B$18,0)),"")</f>
        <v/>
      </c>
      <c r="J317" s="60" t="str">
        <f>IFERROR(INDEX([1]Cluster_Master!$E$4:$E$18,MATCH($F317,[1]Cluster_Master!$B$4:$B$18,0)),"")</f>
        <v/>
      </c>
      <c r="K317" s="60" t="str">
        <f>IFERROR(INDEX([1]Cluster_Master!$F$4:$F$18,MATCH($F317,[1]Cluster_Master!$B$4:$B$18,0)),"")</f>
        <v/>
      </c>
      <c r="L317" s="60" t="str">
        <f>IFERROR(INDEX([1]Cluster_Master!$G$4:$G$18,MATCH($F317,[1]Cluster_Master!$B$4:$B$18,0)),"")</f>
        <v/>
      </c>
      <c r="M317" s="60" t="str">
        <f>IFERROR(INDEX([1]Cluster_Master!$H$4:$H$18,MATCH($F317,[1]Cluster_Master!$B$4:$B$18,0)),"")</f>
        <v/>
      </c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60" t="str">
        <f>IF(COUNTA(T317:AH317)=0,"",SUM(T317:AH317))</f>
        <v/>
      </c>
      <c r="AJ317" s="61" t="str">
        <f>IF(COUNTA(T317:AH317)=0,"",AI317/75)</f>
        <v/>
      </c>
      <c r="AK317" s="61" t="str">
        <f>IF(COUNTA(T317:AH317)=0,"",(SUM(T317*[1]KPI_Weights!$B$4,U317*[1]KPI_Weights!$B$5,V317*[1]KPI_Weights!$B$6,W317*[1]KPI_Weights!$B$7,X317*[1]KPI_Weights!$B$8,Y317*[1]KPI_Weights!$B$9,Z317*[1]KPI_Weights!$B$10,AA317*[1]KPI_Weights!$B$11,AB317*[1]KPI_Weights!$B$12,AC317*[1]KPI_Weights!$B$13,AD317*[1]KPI_Weights!$B$14,AE317*[1]KPI_Weights!$B$15,AF317*[1]KPI_Weights!$B$16,AG317*[1]KPI_Weights!$B$17,AH317*[1]KPI_Weights!$B$18))/5)</f>
        <v/>
      </c>
      <c r="AL317" s="60" t="str">
        <f>IF(COUNTA(T317:AH317)=0,"",IF(OR(T317&lt;=1,W317&lt;=1,X317&lt;=1,Y317&lt;=1,AB317&lt;=1),"YES","NO"))</f>
        <v/>
      </c>
      <c r="AM317" s="60" t="str">
        <f>IF(AJ317="","",IF(AND(AL317="NO",AJ317&gt;=0.75),"YES","NO"))</f>
        <v/>
      </c>
      <c r="AN317" s="60" t="str">
        <f>IF(AJ317="","",IF(AJ317&lt;0.4,"Critical",IF(AJ317&lt;0.6,"Poor",IF(AJ317&lt;0.75,"Needs Improvement",IF(AJ317&lt;0.9,"Good","Excellent")))))</f>
        <v/>
      </c>
      <c r="AO317" s="59"/>
      <c r="AP317" s="59"/>
      <c r="AQ317" s="59"/>
      <c r="AR317" s="59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</row>
    <row r="318" spans="1:54" ht="19.5" customHeight="1" x14ac:dyDescent="0.25">
      <c r="A318" s="60" t="str">
        <f>IF($B318="","",TEXT($B318,"yyyymmdd")&amp;"-"&amp;SUBSTITUTE($F318," ","")&amp;"-"&amp;TEXT(COUNTIF($F$4:F318,$F318),"00"))</f>
        <v/>
      </c>
      <c r="B318" s="65"/>
      <c r="C318" s="60" t="str">
        <f>IF($B318="","",WEEKNUM($B318,2))</f>
        <v/>
      </c>
      <c r="D318" s="60" t="str">
        <f>IF($B318="","",TEXT($B318,"yyyy-mm"))</f>
        <v/>
      </c>
      <c r="E318" s="64"/>
      <c r="F318" s="64"/>
      <c r="G318" s="60" t="str">
        <f>IF(OR($E318="",$F318=""),"",IFERROR(IF($E318=INDEX([1]Cluster_Master!$A$4:$A$18,MATCH($F318,[1]Cluster_Master!$B$4:$B$18,0)),"OK","CHECK"),"CHECK"))</f>
        <v/>
      </c>
      <c r="H318" s="63" t="str">
        <f>IFERROR(INDEX([1]Cluster_Master!$C$4:$C$18,MATCH($F318,[1]Cluster_Master!$B$4:$B$18,0)),"")</f>
        <v/>
      </c>
      <c r="I318" s="60" t="str">
        <f>IFERROR(INDEX([1]Cluster_Master!$D$4:$D$18,MATCH($F318,[1]Cluster_Master!$B$4:$B$18,0)),"")</f>
        <v/>
      </c>
      <c r="J318" s="60" t="str">
        <f>IFERROR(INDEX([1]Cluster_Master!$E$4:$E$18,MATCH($F318,[1]Cluster_Master!$B$4:$B$18,0)),"")</f>
        <v/>
      </c>
      <c r="K318" s="60" t="str">
        <f>IFERROR(INDEX([1]Cluster_Master!$F$4:$F$18,MATCH($F318,[1]Cluster_Master!$B$4:$B$18,0)),"")</f>
        <v/>
      </c>
      <c r="L318" s="60" t="str">
        <f>IFERROR(INDEX([1]Cluster_Master!$G$4:$G$18,MATCH($F318,[1]Cluster_Master!$B$4:$B$18,0)),"")</f>
        <v/>
      </c>
      <c r="M318" s="60" t="str">
        <f>IFERROR(INDEX([1]Cluster_Master!$H$4:$H$18,MATCH($F318,[1]Cluster_Master!$B$4:$B$18,0)),"")</f>
        <v/>
      </c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60" t="str">
        <f>IF(COUNTA(T318:AH318)=0,"",SUM(T318:AH318))</f>
        <v/>
      </c>
      <c r="AJ318" s="61" t="str">
        <f>IF(COUNTA(T318:AH318)=0,"",AI318/75)</f>
        <v/>
      </c>
      <c r="AK318" s="61" t="str">
        <f>IF(COUNTA(T318:AH318)=0,"",(SUM(T318*[1]KPI_Weights!$B$4,U318*[1]KPI_Weights!$B$5,V318*[1]KPI_Weights!$B$6,W318*[1]KPI_Weights!$B$7,X318*[1]KPI_Weights!$B$8,Y318*[1]KPI_Weights!$B$9,Z318*[1]KPI_Weights!$B$10,AA318*[1]KPI_Weights!$B$11,AB318*[1]KPI_Weights!$B$12,AC318*[1]KPI_Weights!$B$13,AD318*[1]KPI_Weights!$B$14,AE318*[1]KPI_Weights!$B$15,AF318*[1]KPI_Weights!$B$16,AG318*[1]KPI_Weights!$B$17,AH318*[1]KPI_Weights!$B$18))/5)</f>
        <v/>
      </c>
      <c r="AL318" s="60" t="str">
        <f>IF(COUNTA(T318:AH318)=0,"",IF(OR(T318&lt;=1,W318&lt;=1,X318&lt;=1,Y318&lt;=1,AB318&lt;=1),"YES","NO"))</f>
        <v/>
      </c>
      <c r="AM318" s="60" t="str">
        <f>IF(AJ318="","",IF(AND(AL318="NO",AJ318&gt;=0.75),"YES","NO"))</f>
        <v/>
      </c>
      <c r="AN318" s="60" t="str">
        <f>IF(AJ318="","",IF(AJ318&lt;0.4,"Critical",IF(AJ318&lt;0.6,"Poor",IF(AJ318&lt;0.75,"Needs Improvement",IF(AJ318&lt;0.9,"Good","Excellent")))))</f>
        <v/>
      </c>
      <c r="AO318" s="59"/>
      <c r="AP318" s="59"/>
      <c r="AQ318" s="59"/>
      <c r="AR318" s="59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</row>
    <row r="319" spans="1:54" ht="19.5" customHeight="1" x14ac:dyDescent="0.25">
      <c r="A319" s="60" t="str">
        <f>IF($B319="","",TEXT($B319,"yyyymmdd")&amp;"-"&amp;SUBSTITUTE($F319," ","")&amp;"-"&amp;TEXT(COUNTIF($F$4:F319,$F319),"00"))</f>
        <v/>
      </c>
      <c r="B319" s="65"/>
      <c r="C319" s="60" t="str">
        <f>IF($B319="","",WEEKNUM($B319,2))</f>
        <v/>
      </c>
      <c r="D319" s="60" t="str">
        <f>IF($B319="","",TEXT($B319,"yyyy-mm"))</f>
        <v/>
      </c>
      <c r="E319" s="64"/>
      <c r="F319" s="64"/>
      <c r="G319" s="60" t="str">
        <f>IF(OR($E319="",$F319=""),"",IFERROR(IF($E319=INDEX([1]Cluster_Master!$A$4:$A$18,MATCH($F319,[1]Cluster_Master!$B$4:$B$18,0)),"OK","CHECK"),"CHECK"))</f>
        <v/>
      </c>
      <c r="H319" s="63" t="str">
        <f>IFERROR(INDEX([1]Cluster_Master!$C$4:$C$18,MATCH($F319,[1]Cluster_Master!$B$4:$B$18,0)),"")</f>
        <v/>
      </c>
      <c r="I319" s="60" t="str">
        <f>IFERROR(INDEX([1]Cluster_Master!$D$4:$D$18,MATCH($F319,[1]Cluster_Master!$B$4:$B$18,0)),"")</f>
        <v/>
      </c>
      <c r="J319" s="60" t="str">
        <f>IFERROR(INDEX([1]Cluster_Master!$E$4:$E$18,MATCH($F319,[1]Cluster_Master!$B$4:$B$18,0)),"")</f>
        <v/>
      </c>
      <c r="K319" s="60" t="str">
        <f>IFERROR(INDEX([1]Cluster_Master!$F$4:$F$18,MATCH($F319,[1]Cluster_Master!$B$4:$B$18,0)),"")</f>
        <v/>
      </c>
      <c r="L319" s="60" t="str">
        <f>IFERROR(INDEX([1]Cluster_Master!$G$4:$G$18,MATCH($F319,[1]Cluster_Master!$B$4:$B$18,0)),"")</f>
        <v/>
      </c>
      <c r="M319" s="60" t="str">
        <f>IFERROR(INDEX([1]Cluster_Master!$H$4:$H$18,MATCH($F319,[1]Cluster_Master!$B$4:$B$18,0)),"")</f>
        <v/>
      </c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60" t="str">
        <f>IF(COUNTA(T319:AH319)=0,"",SUM(T319:AH319))</f>
        <v/>
      </c>
      <c r="AJ319" s="61" t="str">
        <f>IF(COUNTA(T319:AH319)=0,"",AI319/75)</f>
        <v/>
      </c>
      <c r="AK319" s="61" t="str">
        <f>IF(COUNTA(T319:AH319)=0,"",(SUM(T319*[1]KPI_Weights!$B$4,U319*[1]KPI_Weights!$B$5,V319*[1]KPI_Weights!$B$6,W319*[1]KPI_Weights!$B$7,X319*[1]KPI_Weights!$B$8,Y319*[1]KPI_Weights!$B$9,Z319*[1]KPI_Weights!$B$10,AA319*[1]KPI_Weights!$B$11,AB319*[1]KPI_Weights!$B$12,AC319*[1]KPI_Weights!$B$13,AD319*[1]KPI_Weights!$B$14,AE319*[1]KPI_Weights!$B$15,AF319*[1]KPI_Weights!$B$16,AG319*[1]KPI_Weights!$B$17,AH319*[1]KPI_Weights!$B$18))/5)</f>
        <v/>
      </c>
      <c r="AL319" s="60" t="str">
        <f>IF(COUNTA(T319:AH319)=0,"",IF(OR(T319&lt;=1,W319&lt;=1,X319&lt;=1,Y319&lt;=1,AB319&lt;=1),"YES","NO"))</f>
        <v/>
      </c>
      <c r="AM319" s="60" t="str">
        <f>IF(AJ319="","",IF(AND(AL319="NO",AJ319&gt;=0.75),"YES","NO"))</f>
        <v/>
      </c>
      <c r="AN319" s="60" t="str">
        <f>IF(AJ319="","",IF(AJ319&lt;0.4,"Critical",IF(AJ319&lt;0.6,"Poor",IF(AJ319&lt;0.75,"Needs Improvement",IF(AJ319&lt;0.9,"Good","Excellent")))))</f>
        <v/>
      </c>
      <c r="AO319" s="59"/>
      <c r="AP319" s="59"/>
      <c r="AQ319" s="59"/>
      <c r="AR319" s="59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</row>
    <row r="320" spans="1:54" ht="19.5" customHeight="1" x14ac:dyDescent="0.25">
      <c r="A320" s="60" t="str">
        <f>IF($B320="","",TEXT($B320,"yyyymmdd")&amp;"-"&amp;SUBSTITUTE($F320," ","")&amp;"-"&amp;TEXT(COUNTIF($F$4:F320,$F320),"00"))</f>
        <v/>
      </c>
      <c r="B320" s="65"/>
      <c r="C320" s="60" t="str">
        <f>IF($B320="","",WEEKNUM($B320,2))</f>
        <v/>
      </c>
      <c r="D320" s="60" t="str">
        <f>IF($B320="","",TEXT($B320,"yyyy-mm"))</f>
        <v/>
      </c>
      <c r="E320" s="64"/>
      <c r="F320" s="64"/>
      <c r="G320" s="60" t="str">
        <f>IF(OR($E320="",$F320=""),"",IFERROR(IF($E320=INDEX([1]Cluster_Master!$A$4:$A$18,MATCH($F320,[1]Cluster_Master!$B$4:$B$18,0)),"OK","CHECK"),"CHECK"))</f>
        <v/>
      </c>
      <c r="H320" s="63" t="str">
        <f>IFERROR(INDEX([1]Cluster_Master!$C$4:$C$18,MATCH($F320,[1]Cluster_Master!$B$4:$B$18,0)),"")</f>
        <v/>
      </c>
      <c r="I320" s="60" t="str">
        <f>IFERROR(INDEX([1]Cluster_Master!$D$4:$D$18,MATCH($F320,[1]Cluster_Master!$B$4:$B$18,0)),"")</f>
        <v/>
      </c>
      <c r="J320" s="60" t="str">
        <f>IFERROR(INDEX([1]Cluster_Master!$E$4:$E$18,MATCH($F320,[1]Cluster_Master!$B$4:$B$18,0)),"")</f>
        <v/>
      </c>
      <c r="K320" s="60" t="str">
        <f>IFERROR(INDEX([1]Cluster_Master!$F$4:$F$18,MATCH($F320,[1]Cluster_Master!$B$4:$B$18,0)),"")</f>
        <v/>
      </c>
      <c r="L320" s="60" t="str">
        <f>IFERROR(INDEX([1]Cluster_Master!$G$4:$G$18,MATCH($F320,[1]Cluster_Master!$B$4:$B$18,0)),"")</f>
        <v/>
      </c>
      <c r="M320" s="60" t="str">
        <f>IFERROR(INDEX([1]Cluster_Master!$H$4:$H$18,MATCH($F320,[1]Cluster_Master!$B$4:$B$18,0)),"")</f>
        <v/>
      </c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60" t="str">
        <f>IF(COUNTA(T320:AH320)=0,"",SUM(T320:AH320))</f>
        <v/>
      </c>
      <c r="AJ320" s="61" t="str">
        <f>IF(COUNTA(T320:AH320)=0,"",AI320/75)</f>
        <v/>
      </c>
      <c r="AK320" s="61" t="str">
        <f>IF(COUNTA(T320:AH320)=0,"",(SUM(T320*[1]KPI_Weights!$B$4,U320*[1]KPI_Weights!$B$5,V320*[1]KPI_Weights!$B$6,W320*[1]KPI_Weights!$B$7,X320*[1]KPI_Weights!$B$8,Y320*[1]KPI_Weights!$B$9,Z320*[1]KPI_Weights!$B$10,AA320*[1]KPI_Weights!$B$11,AB320*[1]KPI_Weights!$B$12,AC320*[1]KPI_Weights!$B$13,AD320*[1]KPI_Weights!$B$14,AE320*[1]KPI_Weights!$B$15,AF320*[1]KPI_Weights!$B$16,AG320*[1]KPI_Weights!$B$17,AH320*[1]KPI_Weights!$B$18))/5)</f>
        <v/>
      </c>
      <c r="AL320" s="60" t="str">
        <f>IF(COUNTA(T320:AH320)=0,"",IF(OR(T320&lt;=1,W320&lt;=1,X320&lt;=1,Y320&lt;=1,AB320&lt;=1),"YES","NO"))</f>
        <v/>
      </c>
      <c r="AM320" s="60" t="str">
        <f>IF(AJ320="","",IF(AND(AL320="NO",AJ320&gt;=0.75),"YES","NO"))</f>
        <v/>
      </c>
      <c r="AN320" s="60" t="str">
        <f>IF(AJ320="","",IF(AJ320&lt;0.4,"Critical",IF(AJ320&lt;0.6,"Poor",IF(AJ320&lt;0.75,"Needs Improvement",IF(AJ320&lt;0.9,"Good","Excellent")))))</f>
        <v/>
      </c>
      <c r="AO320" s="59"/>
      <c r="AP320" s="59"/>
      <c r="AQ320" s="59"/>
      <c r="AR320" s="59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</row>
    <row r="321" spans="1:54" ht="19.5" customHeight="1" x14ac:dyDescent="0.25">
      <c r="A321" s="60" t="str">
        <f>IF($B321="","",TEXT($B321,"yyyymmdd")&amp;"-"&amp;SUBSTITUTE($F321," ","")&amp;"-"&amp;TEXT(COUNTIF($F$4:F321,$F321),"00"))</f>
        <v/>
      </c>
      <c r="B321" s="65"/>
      <c r="C321" s="60" t="str">
        <f>IF($B321="","",WEEKNUM($B321,2))</f>
        <v/>
      </c>
      <c r="D321" s="60" t="str">
        <f>IF($B321="","",TEXT($B321,"yyyy-mm"))</f>
        <v/>
      </c>
      <c r="E321" s="64"/>
      <c r="F321" s="64"/>
      <c r="G321" s="60" t="str">
        <f>IF(OR($E321="",$F321=""),"",IFERROR(IF($E321=INDEX([1]Cluster_Master!$A$4:$A$18,MATCH($F321,[1]Cluster_Master!$B$4:$B$18,0)),"OK","CHECK"),"CHECK"))</f>
        <v/>
      </c>
      <c r="H321" s="63" t="str">
        <f>IFERROR(INDEX([1]Cluster_Master!$C$4:$C$18,MATCH($F321,[1]Cluster_Master!$B$4:$B$18,0)),"")</f>
        <v/>
      </c>
      <c r="I321" s="60" t="str">
        <f>IFERROR(INDEX([1]Cluster_Master!$D$4:$D$18,MATCH($F321,[1]Cluster_Master!$B$4:$B$18,0)),"")</f>
        <v/>
      </c>
      <c r="J321" s="60" t="str">
        <f>IFERROR(INDEX([1]Cluster_Master!$E$4:$E$18,MATCH($F321,[1]Cluster_Master!$B$4:$B$18,0)),"")</f>
        <v/>
      </c>
      <c r="K321" s="60" t="str">
        <f>IFERROR(INDEX([1]Cluster_Master!$F$4:$F$18,MATCH($F321,[1]Cluster_Master!$B$4:$B$18,0)),"")</f>
        <v/>
      </c>
      <c r="L321" s="60" t="str">
        <f>IFERROR(INDEX([1]Cluster_Master!$G$4:$G$18,MATCH($F321,[1]Cluster_Master!$B$4:$B$18,0)),"")</f>
        <v/>
      </c>
      <c r="M321" s="60" t="str">
        <f>IFERROR(INDEX([1]Cluster_Master!$H$4:$H$18,MATCH($F321,[1]Cluster_Master!$B$4:$B$18,0)),"")</f>
        <v/>
      </c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60" t="str">
        <f>IF(COUNTA(T321:AH321)=0,"",SUM(T321:AH321))</f>
        <v/>
      </c>
      <c r="AJ321" s="61" t="str">
        <f>IF(COUNTA(T321:AH321)=0,"",AI321/75)</f>
        <v/>
      </c>
      <c r="AK321" s="61" t="str">
        <f>IF(COUNTA(T321:AH321)=0,"",(SUM(T321*[1]KPI_Weights!$B$4,U321*[1]KPI_Weights!$B$5,V321*[1]KPI_Weights!$B$6,W321*[1]KPI_Weights!$B$7,X321*[1]KPI_Weights!$B$8,Y321*[1]KPI_Weights!$B$9,Z321*[1]KPI_Weights!$B$10,AA321*[1]KPI_Weights!$B$11,AB321*[1]KPI_Weights!$B$12,AC321*[1]KPI_Weights!$B$13,AD321*[1]KPI_Weights!$B$14,AE321*[1]KPI_Weights!$B$15,AF321*[1]KPI_Weights!$B$16,AG321*[1]KPI_Weights!$B$17,AH321*[1]KPI_Weights!$B$18))/5)</f>
        <v/>
      </c>
      <c r="AL321" s="60" t="str">
        <f>IF(COUNTA(T321:AH321)=0,"",IF(OR(T321&lt;=1,W321&lt;=1,X321&lt;=1,Y321&lt;=1,AB321&lt;=1),"YES","NO"))</f>
        <v/>
      </c>
      <c r="AM321" s="60" t="str">
        <f>IF(AJ321="","",IF(AND(AL321="NO",AJ321&gt;=0.75),"YES","NO"))</f>
        <v/>
      </c>
      <c r="AN321" s="60" t="str">
        <f>IF(AJ321="","",IF(AJ321&lt;0.4,"Critical",IF(AJ321&lt;0.6,"Poor",IF(AJ321&lt;0.75,"Needs Improvement",IF(AJ321&lt;0.9,"Good","Excellent")))))</f>
        <v/>
      </c>
      <c r="AO321" s="59"/>
      <c r="AP321" s="59"/>
      <c r="AQ321" s="59"/>
      <c r="AR321" s="59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</row>
    <row r="322" spans="1:54" ht="19.5" customHeight="1" x14ac:dyDescent="0.25">
      <c r="A322" s="60" t="str">
        <f>IF($B322="","",TEXT($B322,"yyyymmdd")&amp;"-"&amp;SUBSTITUTE($F322," ","")&amp;"-"&amp;TEXT(COUNTIF($F$4:F322,$F322),"00"))</f>
        <v/>
      </c>
      <c r="B322" s="65"/>
      <c r="C322" s="60" t="str">
        <f>IF($B322="","",WEEKNUM($B322,2))</f>
        <v/>
      </c>
      <c r="D322" s="60" t="str">
        <f>IF($B322="","",TEXT($B322,"yyyy-mm"))</f>
        <v/>
      </c>
      <c r="E322" s="64"/>
      <c r="F322" s="64"/>
      <c r="G322" s="60" t="str">
        <f>IF(OR($E322="",$F322=""),"",IFERROR(IF($E322=INDEX([1]Cluster_Master!$A$4:$A$18,MATCH($F322,[1]Cluster_Master!$B$4:$B$18,0)),"OK","CHECK"),"CHECK"))</f>
        <v/>
      </c>
      <c r="H322" s="63" t="str">
        <f>IFERROR(INDEX([1]Cluster_Master!$C$4:$C$18,MATCH($F322,[1]Cluster_Master!$B$4:$B$18,0)),"")</f>
        <v/>
      </c>
      <c r="I322" s="60" t="str">
        <f>IFERROR(INDEX([1]Cluster_Master!$D$4:$D$18,MATCH($F322,[1]Cluster_Master!$B$4:$B$18,0)),"")</f>
        <v/>
      </c>
      <c r="J322" s="60" t="str">
        <f>IFERROR(INDEX([1]Cluster_Master!$E$4:$E$18,MATCH($F322,[1]Cluster_Master!$B$4:$B$18,0)),"")</f>
        <v/>
      </c>
      <c r="K322" s="60" t="str">
        <f>IFERROR(INDEX([1]Cluster_Master!$F$4:$F$18,MATCH($F322,[1]Cluster_Master!$B$4:$B$18,0)),"")</f>
        <v/>
      </c>
      <c r="L322" s="60" t="str">
        <f>IFERROR(INDEX([1]Cluster_Master!$G$4:$G$18,MATCH($F322,[1]Cluster_Master!$B$4:$B$18,0)),"")</f>
        <v/>
      </c>
      <c r="M322" s="60" t="str">
        <f>IFERROR(INDEX([1]Cluster_Master!$H$4:$H$18,MATCH($F322,[1]Cluster_Master!$B$4:$B$18,0)),"")</f>
        <v/>
      </c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60" t="str">
        <f>IF(COUNTA(T322:AH322)=0,"",SUM(T322:AH322))</f>
        <v/>
      </c>
      <c r="AJ322" s="61" t="str">
        <f>IF(COUNTA(T322:AH322)=0,"",AI322/75)</f>
        <v/>
      </c>
      <c r="AK322" s="61" t="str">
        <f>IF(COUNTA(T322:AH322)=0,"",(SUM(T322*[1]KPI_Weights!$B$4,U322*[1]KPI_Weights!$B$5,V322*[1]KPI_Weights!$B$6,W322*[1]KPI_Weights!$B$7,X322*[1]KPI_Weights!$B$8,Y322*[1]KPI_Weights!$B$9,Z322*[1]KPI_Weights!$B$10,AA322*[1]KPI_Weights!$B$11,AB322*[1]KPI_Weights!$B$12,AC322*[1]KPI_Weights!$B$13,AD322*[1]KPI_Weights!$B$14,AE322*[1]KPI_Weights!$B$15,AF322*[1]KPI_Weights!$B$16,AG322*[1]KPI_Weights!$B$17,AH322*[1]KPI_Weights!$B$18))/5)</f>
        <v/>
      </c>
      <c r="AL322" s="60" t="str">
        <f>IF(COUNTA(T322:AH322)=0,"",IF(OR(T322&lt;=1,W322&lt;=1,X322&lt;=1,Y322&lt;=1,AB322&lt;=1),"YES","NO"))</f>
        <v/>
      </c>
      <c r="AM322" s="60" t="str">
        <f>IF(AJ322="","",IF(AND(AL322="NO",AJ322&gt;=0.75),"YES","NO"))</f>
        <v/>
      </c>
      <c r="AN322" s="60" t="str">
        <f>IF(AJ322="","",IF(AJ322&lt;0.4,"Critical",IF(AJ322&lt;0.6,"Poor",IF(AJ322&lt;0.75,"Needs Improvement",IF(AJ322&lt;0.9,"Good","Excellent")))))</f>
        <v/>
      </c>
      <c r="AO322" s="59"/>
      <c r="AP322" s="59"/>
      <c r="AQ322" s="59"/>
      <c r="AR322" s="59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</row>
    <row r="323" spans="1:54" ht="19.5" customHeight="1" x14ac:dyDescent="0.25">
      <c r="A323" s="60" t="str">
        <f>IF($B323="","",TEXT($B323,"yyyymmdd")&amp;"-"&amp;SUBSTITUTE($F323," ","")&amp;"-"&amp;TEXT(COUNTIF($F$4:F323,$F323),"00"))</f>
        <v/>
      </c>
      <c r="B323" s="65"/>
      <c r="C323" s="60" t="str">
        <f>IF($B323="","",WEEKNUM($B323,2))</f>
        <v/>
      </c>
      <c r="D323" s="60" t="str">
        <f>IF($B323="","",TEXT($B323,"yyyy-mm"))</f>
        <v/>
      </c>
      <c r="E323" s="64"/>
      <c r="F323" s="64"/>
      <c r="G323" s="60" t="str">
        <f>IF(OR($E323="",$F323=""),"",IFERROR(IF($E323=INDEX([1]Cluster_Master!$A$4:$A$18,MATCH($F323,[1]Cluster_Master!$B$4:$B$18,0)),"OK","CHECK"),"CHECK"))</f>
        <v/>
      </c>
      <c r="H323" s="63" t="str">
        <f>IFERROR(INDEX([1]Cluster_Master!$C$4:$C$18,MATCH($F323,[1]Cluster_Master!$B$4:$B$18,0)),"")</f>
        <v/>
      </c>
      <c r="I323" s="60" t="str">
        <f>IFERROR(INDEX([1]Cluster_Master!$D$4:$D$18,MATCH($F323,[1]Cluster_Master!$B$4:$B$18,0)),"")</f>
        <v/>
      </c>
      <c r="J323" s="60" t="str">
        <f>IFERROR(INDEX([1]Cluster_Master!$E$4:$E$18,MATCH($F323,[1]Cluster_Master!$B$4:$B$18,0)),"")</f>
        <v/>
      </c>
      <c r="K323" s="60" t="str">
        <f>IFERROR(INDEX([1]Cluster_Master!$F$4:$F$18,MATCH($F323,[1]Cluster_Master!$B$4:$B$18,0)),"")</f>
        <v/>
      </c>
      <c r="L323" s="60" t="str">
        <f>IFERROR(INDEX([1]Cluster_Master!$G$4:$G$18,MATCH($F323,[1]Cluster_Master!$B$4:$B$18,0)),"")</f>
        <v/>
      </c>
      <c r="M323" s="60" t="str">
        <f>IFERROR(INDEX([1]Cluster_Master!$H$4:$H$18,MATCH($F323,[1]Cluster_Master!$B$4:$B$18,0)),"")</f>
        <v/>
      </c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60" t="str">
        <f>IF(COUNTA(T323:AH323)=0,"",SUM(T323:AH323))</f>
        <v/>
      </c>
      <c r="AJ323" s="61" t="str">
        <f>IF(COUNTA(T323:AH323)=0,"",AI323/75)</f>
        <v/>
      </c>
      <c r="AK323" s="61" t="str">
        <f>IF(COUNTA(T323:AH323)=0,"",(SUM(T323*[1]KPI_Weights!$B$4,U323*[1]KPI_Weights!$B$5,V323*[1]KPI_Weights!$B$6,W323*[1]KPI_Weights!$B$7,X323*[1]KPI_Weights!$B$8,Y323*[1]KPI_Weights!$B$9,Z323*[1]KPI_Weights!$B$10,AA323*[1]KPI_Weights!$B$11,AB323*[1]KPI_Weights!$B$12,AC323*[1]KPI_Weights!$B$13,AD323*[1]KPI_Weights!$B$14,AE323*[1]KPI_Weights!$B$15,AF323*[1]KPI_Weights!$B$16,AG323*[1]KPI_Weights!$B$17,AH323*[1]KPI_Weights!$B$18))/5)</f>
        <v/>
      </c>
      <c r="AL323" s="60" t="str">
        <f>IF(COUNTA(T323:AH323)=0,"",IF(OR(T323&lt;=1,W323&lt;=1,X323&lt;=1,Y323&lt;=1,AB323&lt;=1),"YES","NO"))</f>
        <v/>
      </c>
      <c r="AM323" s="60" t="str">
        <f>IF(AJ323="","",IF(AND(AL323="NO",AJ323&gt;=0.75),"YES","NO"))</f>
        <v/>
      </c>
      <c r="AN323" s="60" t="str">
        <f>IF(AJ323="","",IF(AJ323&lt;0.4,"Critical",IF(AJ323&lt;0.6,"Poor",IF(AJ323&lt;0.75,"Needs Improvement",IF(AJ323&lt;0.9,"Good","Excellent")))))</f>
        <v/>
      </c>
      <c r="AO323" s="59"/>
      <c r="AP323" s="59"/>
      <c r="AQ323" s="59"/>
      <c r="AR323" s="59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</row>
    <row r="324" spans="1:54" ht="19.5" customHeight="1" x14ac:dyDescent="0.25">
      <c r="A324" s="60" t="str">
        <f>IF($B324="","",TEXT($B324,"yyyymmdd")&amp;"-"&amp;SUBSTITUTE($F324," ","")&amp;"-"&amp;TEXT(COUNTIF($F$4:F324,$F324),"00"))</f>
        <v/>
      </c>
      <c r="B324" s="65"/>
      <c r="C324" s="60" t="str">
        <f>IF($B324="","",WEEKNUM($B324,2))</f>
        <v/>
      </c>
      <c r="D324" s="60" t="str">
        <f>IF($B324="","",TEXT($B324,"yyyy-mm"))</f>
        <v/>
      </c>
      <c r="E324" s="64"/>
      <c r="F324" s="64"/>
      <c r="G324" s="60" t="str">
        <f>IF(OR($E324="",$F324=""),"",IFERROR(IF($E324=INDEX([1]Cluster_Master!$A$4:$A$18,MATCH($F324,[1]Cluster_Master!$B$4:$B$18,0)),"OK","CHECK"),"CHECK"))</f>
        <v/>
      </c>
      <c r="H324" s="63" t="str">
        <f>IFERROR(INDEX([1]Cluster_Master!$C$4:$C$18,MATCH($F324,[1]Cluster_Master!$B$4:$B$18,0)),"")</f>
        <v/>
      </c>
      <c r="I324" s="60" t="str">
        <f>IFERROR(INDEX([1]Cluster_Master!$D$4:$D$18,MATCH($F324,[1]Cluster_Master!$B$4:$B$18,0)),"")</f>
        <v/>
      </c>
      <c r="J324" s="60" t="str">
        <f>IFERROR(INDEX([1]Cluster_Master!$E$4:$E$18,MATCH($F324,[1]Cluster_Master!$B$4:$B$18,0)),"")</f>
        <v/>
      </c>
      <c r="K324" s="60" t="str">
        <f>IFERROR(INDEX([1]Cluster_Master!$F$4:$F$18,MATCH($F324,[1]Cluster_Master!$B$4:$B$18,0)),"")</f>
        <v/>
      </c>
      <c r="L324" s="60" t="str">
        <f>IFERROR(INDEX([1]Cluster_Master!$G$4:$G$18,MATCH($F324,[1]Cluster_Master!$B$4:$B$18,0)),"")</f>
        <v/>
      </c>
      <c r="M324" s="60" t="str">
        <f>IFERROR(INDEX([1]Cluster_Master!$H$4:$H$18,MATCH($F324,[1]Cluster_Master!$B$4:$B$18,0)),"")</f>
        <v/>
      </c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60" t="str">
        <f>IF(COUNTA(T324:AH324)=0,"",SUM(T324:AH324))</f>
        <v/>
      </c>
      <c r="AJ324" s="61" t="str">
        <f>IF(COUNTA(T324:AH324)=0,"",AI324/75)</f>
        <v/>
      </c>
      <c r="AK324" s="61" t="str">
        <f>IF(COUNTA(T324:AH324)=0,"",(SUM(T324*[1]KPI_Weights!$B$4,U324*[1]KPI_Weights!$B$5,V324*[1]KPI_Weights!$B$6,W324*[1]KPI_Weights!$B$7,X324*[1]KPI_Weights!$B$8,Y324*[1]KPI_Weights!$B$9,Z324*[1]KPI_Weights!$B$10,AA324*[1]KPI_Weights!$B$11,AB324*[1]KPI_Weights!$B$12,AC324*[1]KPI_Weights!$B$13,AD324*[1]KPI_Weights!$B$14,AE324*[1]KPI_Weights!$B$15,AF324*[1]KPI_Weights!$B$16,AG324*[1]KPI_Weights!$B$17,AH324*[1]KPI_Weights!$B$18))/5)</f>
        <v/>
      </c>
      <c r="AL324" s="60" t="str">
        <f>IF(COUNTA(T324:AH324)=0,"",IF(OR(T324&lt;=1,W324&lt;=1,X324&lt;=1,Y324&lt;=1,AB324&lt;=1),"YES","NO"))</f>
        <v/>
      </c>
      <c r="AM324" s="60" t="str">
        <f>IF(AJ324="","",IF(AND(AL324="NO",AJ324&gt;=0.75),"YES","NO"))</f>
        <v/>
      </c>
      <c r="AN324" s="60" t="str">
        <f>IF(AJ324="","",IF(AJ324&lt;0.4,"Critical",IF(AJ324&lt;0.6,"Poor",IF(AJ324&lt;0.75,"Needs Improvement",IF(AJ324&lt;0.9,"Good","Excellent")))))</f>
        <v/>
      </c>
      <c r="AO324" s="59"/>
      <c r="AP324" s="59"/>
      <c r="AQ324" s="59"/>
      <c r="AR324" s="59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</row>
    <row r="325" spans="1:54" ht="19.5" customHeight="1" x14ac:dyDescent="0.25">
      <c r="A325" s="60" t="str">
        <f>IF($B325="","",TEXT($B325,"yyyymmdd")&amp;"-"&amp;SUBSTITUTE($F325," ","")&amp;"-"&amp;TEXT(COUNTIF($F$4:F325,$F325),"00"))</f>
        <v/>
      </c>
      <c r="B325" s="65"/>
      <c r="C325" s="60" t="str">
        <f>IF($B325="","",WEEKNUM($B325,2))</f>
        <v/>
      </c>
      <c r="D325" s="60" t="str">
        <f>IF($B325="","",TEXT($B325,"yyyy-mm"))</f>
        <v/>
      </c>
      <c r="E325" s="64"/>
      <c r="F325" s="64"/>
      <c r="G325" s="60" t="str">
        <f>IF(OR($E325="",$F325=""),"",IFERROR(IF($E325=INDEX([1]Cluster_Master!$A$4:$A$18,MATCH($F325,[1]Cluster_Master!$B$4:$B$18,0)),"OK","CHECK"),"CHECK"))</f>
        <v/>
      </c>
      <c r="H325" s="63" t="str">
        <f>IFERROR(INDEX([1]Cluster_Master!$C$4:$C$18,MATCH($F325,[1]Cluster_Master!$B$4:$B$18,0)),"")</f>
        <v/>
      </c>
      <c r="I325" s="60" t="str">
        <f>IFERROR(INDEX([1]Cluster_Master!$D$4:$D$18,MATCH($F325,[1]Cluster_Master!$B$4:$B$18,0)),"")</f>
        <v/>
      </c>
      <c r="J325" s="60" t="str">
        <f>IFERROR(INDEX([1]Cluster_Master!$E$4:$E$18,MATCH($F325,[1]Cluster_Master!$B$4:$B$18,0)),"")</f>
        <v/>
      </c>
      <c r="K325" s="60" t="str">
        <f>IFERROR(INDEX([1]Cluster_Master!$F$4:$F$18,MATCH($F325,[1]Cluster_Master!$B$4:$B$18,0)),"")</f>
        <v/>
      </c>
      <c r="L325" s="60" t="str">
        <f>IFERROR(INDEX([1]Cluster_Master!$G$4:$G$18,MATCH($F325,[1]Cluster_Master!$B$4:$B$18,0)),"")</f>
        <v/>
      </c>
      <c r="M325" s="60" t="str">
        <f>IFERROR(INDEX([1]Cluster_Master!$H$4:$H$18,MATCH($F325,[1]Cluster_Master!$B$4:$B$18,0)),"")</f>
        <v/>
      </c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60" t="str">
        <f>IF(COUNTA(T325:AH325)=0,"",SUM(T325:AH325))</f>
        <v/>
      </c>
      <c r="AJ325" s="61" t="str">
        <f>IF(COUNTA(T325:AH325)=0,"",AI325/75)</f>
        <v/>
      </c>
      <c r="AK325" s="61" t="str">
        <f>IF(COUNTA(T325:AH325)=0,"",(SUM(T325*[1]KPI_Weights!$B$4,U325*[1]KPI_Weights!$B$5,V325*[1]KPI_Weights!$B$6,W325*[1]KPI_Weights!$B$7,X325*[1]KPI_Weights!$B$8,Y325*[1]KPI_Weights!$B$9,Z325*[1]KPI_Weights!$B$10,AA325*[1]KPI_Weights!$B$11,AB325*[1]KPI_Weights!$B$12,AC325*[1]KPI_Weights!$B$13,AD325*[1]KPI_Weights!$B$14,AE325*[1]KPI_Weights!$B$15,AF325*[1]KPI_Weights!$B$16,AG325*[1]KPI_Weights!$B$17,AH325*[1]KPI_Weights!$B$18))/5)</f>
        <v/>
      </c>
      <c r="AL325" s="60" t="str">
        <f>IF(COUNTA(T325:AH325)=0,"",IF(OR(T325&lt;=1,W325&lt;=1,X325&lt;=1,Y325&lt;=1,AB325&lt;=1),"YES","NO"))</f>
        <v/>
      </c>
      <c r="AM325" s="60" t="str">
        <f>IF(AJ325="","",IF(AND(AL325="NO",AJ325&gt;=0.75),"YES","NO"))</f>
        <v/>
      </c>
      <c r="AN325" s="60" t="str">
        <f>IF(AJ325="","",IF(AJ325&lt;0.4,"Critical",IF(AJ325&lt;0.6,"Poor",IF(AJ325&lt;0.75,"Needs Improvement",IF(AJ325&lt;0.9,"Good","Excellent")))))</f>
        <v/>
      </c>
      <c r="AO325" s="59"/>
      <c r="AP325" s="59"/>
      <c r="AQ325" s="59"/>
      <c r="AR325" s="59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</row>
    <row r="326" spans="1:54" ht="19.5" customHeight="1" x14ac:dyDescent="0.25">
      <c r="A326" s="60" t="str">
        <f>IF($B326="","",TEXT($B326,"yyyymmdd")&amp;"-"&amp;SUBSTITUTE($F326," ","")&amp;"-"&amp;TEXT(COUNTIF($F$4:F326,$F326),"00"))</f>
        <v/>
      </c>
      <c r="B326" s="65"/>
      <c r="C326" s="60" t="str">
        <f>IF($B326="","",WEEKNUM($B326,2))</f>
        <v/>
      </c>
      <c r="D326" s="60" t="str">
        <f>IF($B326="","",TEXT($B326,"yyyy-mm"))</f>
        <v/>
      </c>
      <c r="E326" s="64"/>
      <c r="F326" s="64"/>
      <c r="G326" s="60" t="str">
        <f>IF(OR($E326="",$F326=""),"",IFERROR(IF($E326=INDEX([1]Cluster_Master!$A$4:$A$18,MATCH($F326,[1]Cluster_Master!$B$4:$B$18,0)),"OK","CHECK"),"CHECK"))</f>
        <v/>
      </c>
      <c r="H326" s="63" t="str">
        <f>IFERROR(INDEX([1]Cluster_Master!$C$4:$C$18,MATCH($F326,[1]Cluster_Master!$B$4:$B$18,0)),"")</f>
        <v/>
      </c>
      <c r="I326" s="60" t="str">
        <f>IFERROR(INDEX([1]Cluster_Master!$D$4:$D$18,MATCH($F326,[1]Cluster_Master!$B$4:$B$18,0)),"")</f>
        <v/>
      </c>
      <c r="J326" s="60" t="str">
        <f>IFERROR(INDEX([1]Cluster_Master!$E$4:$E$18,MATCH($F326,[1]Cluster_Master!$B$4:$B$18,0)),"")</f>
        <v/>
      </c>
      <c r="K326" s="60" t="str">
        <f>IFERROR(INDEX([1]Cluster_Master!$F$4:$F$18,MATCH($F326,[1]Cluster_Master!$B$4:$B$18,0)),"")</f>
        <v/>
      </c>
      <c r="L326" s="60" t="str">
        <f>IFERROR(INDEX([1]Cluster_Master!$G$4:$G$18,MATCH($F326,[1]Cluster_Master!$B$4:$B$18,0)),"")</f>
        <v/>
      </c>
      <c r="M326" s="60" t="str">
        <f>IFERROR(INDEX([1]Cluster_Master!$H$4:$H$18,MATCH($F326,[1]Cluster_Master!$B$4:$B$18,0)),"")</f>
        <v/>
      </c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60" t="str">
        <f>IF(COUNTA(T326:AH326)=0,"",SUM(T326:AH326))</f>
        <v/>
      </c>
      <c r="AJ326" s="61" t="str">
        <f>IF(COUNTA(T326:AH326)=0,"",AI326/75)</f>
        <v/>
      </c>
      <c r="AK326" s="61" t="str">
        <f>IF(COUNTA(T326:AH326)=0,"",(SUM(T326*[1]KPI_Weights!$B$4,U326*[1]KPI_Weights!$B$5,V326*[1]KPI_Weights!$B$6,W326*[1]KPI_Weights!$B$7,X326*[1]KPI_Weights!$B$8,Y326*[1]KPI_Weights!$B$9,Z326*[1]KPI_Weights!$B$10,AA326*[1]KPI_Weights!$B$11,AB326*[1]KPI_Weights!$B$12,AC326*[1]KPI_Weights!$B$13,AD326*[1]KPI_Weights!$B$14,AE326*[1]KPI_Weights!$B$15,AF326*[1]KPI_Weights!$B$16,AG326*[1]KPI_Weights!$B$17,AH326*[1]KPI_Weights!$B$18))/5)</f>
        <v/>
      </c>
      <c r="AL326" s="60" t="str">
        <f>IF(COUNTA(T326:AH326)=0,"",IF(OR(T326&lt;=1,W326&lt;=1,X326&lt;=1,Y326&lt;=1,AB326&lt;=1),"YES","NO"))</f>
        <v/>
      </c>
      <c r="AM326" s="60" t="str">
        <f>IF(AJ326="","",IF(AND(AL326="NO",AJ326&gt;=0.75),"YES","NO"))</f>
        <v/>
      </c>
      <c r="AN326" s="60" t="str">
        <f>IF(AJ326="","",IF(AJ326&lt;0.4,"Critical",IF(AJ326&lt;0.6,"Poor",IF(AJ326&lt;0.75,"Needs Improvement",IF(AJ326&lt;0.9,"Good","Excellent")))))</f>
        <v/>
      </c>
      <c r="AO326" s="59"/>
      <c r="AP326" s="59"/>
      <c r="AQ326" s="59"/>
      <c r="AR326" s="59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</row>
    <row r="327" spans="1:54" ht="19.5" customHeight="1" x14ac:dyDescent="0.25">
      <c r="A327" s="60" t="str">
        <f>IF($B327="","",TEXT($B327,"yyyymmdd")&amp;"-"&amp;SUBSTITUTE($F327," ","")&amp;"-"&amp;TEXT(COUNTIF($F$4:F327,$F327),"00"))</f>
        <v/>
      </c>
      <c r="B327" s="65"/>
      <c r="C327" s="60" t="str">
        <f>IF($B327="","",WEEKNUM($B327,2))</f>
        <v/>
      </c>
      <c r="D327" s="60" t="str">
        <f>IF($B327="","",TEXT($B327,"yyyy-mm"))</f>
        <v/>
      </c>
      <c r="E327" s="64"/>
      <c r="F327" s="64"/>
      <c r="G327" s="60" t="str">
        <f>IF(OR($E327="",$F327=""),"",IFERROR(IF($E327=INDEX([1]Cluster_Master!$A$4:$A$18,MATCH($F327,[1]Cluster_Master!$B$4:$B$18,0)),"OK","CHECK"),"CHECK"))</f>
        <v/>
      </c>
      <c r="H327" s="63" t="str">
        <f>IFERROR(INDEX([1]Cluster_Master!$C$4:$C$18,MATCH($F327,[1]Cluster_Master!$B$4:$B$18,0)),"")</f>
        <v/>
      </c>
      <c r="I327" s="60" t="str">
        <f>IFERROR(INDEX([1]Cluster_Master!$D$4:$D$18,MATCH($F327,[1]Cluster_Master!$B$4:$B$18,0)),"")</f>
        <v/>
      </c>
      <c r="J327" s="60" t="str">
        <f>IFERROR(INDEX([1]Cluster_Master!$E$4:$E$18,MATCH($F327,[1]Cluster_Master!$B$4:$B$18,0)),"")</f>
        <v/>
      </c>
      <c r="K327" s="60" t="str">
        <f>IFERROR(INDEX([1]Cluster_Master!$F$4:$F$18,MATCH($F327,[1]Cluster_Master!$B$4:$B$18,0)),"")</f>
        <v/>
      </c>
      <c r="L327" s="60" t="str">
        <f>IFERROR(INDEX([1]Cluster_Master!$G$4:$G$18,MATCH($F327,[1]Cluster_Master!$B$4:$B$18,0)),"")</f>
        <v/>
      </c>
      <c r="M327" s="60" t="str">
        <f>IFERROR(INDEX([1]Cluster_Master!$H$4:$H$18,MATCH($F327,[1]Cluster_Master!$B$4:$B$18,0)),"")</f>
        <v/>
      </c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60" t="str">
        <f>IF(COUNTA(T327:AH327)=0,"",SUM(T327:AH327))</f>
        <v/>
      </c>
      <c r="AJ327" s="61" t="str">
        <f>IF(COUNTA(T327:AH327)=0,"",AI327/75)</f>
        <v/>
      </c>
      <c r="AK327" s="61" t="str">
        <f>IF(COUNTA(T327:AH327)=0,"",(SUM(T327*[1]KPI_Weights!$B$4,U327*[1]KPI_Weights!$B$5,V327*[1]KPI_Weights!$B$6,W327*[1]KPI_Weights!$B$7,X327*[1]KPI_Weights!$B$8,Y327*[1]KPI_Weights!$B$9,Z327*[1]KPI_Weights!$B$10,AA327*[1]KPI_Weights!$B$11,AB327*[1]KPI_Weights!$B$12,AC327*[1]KPI_Weights!$B$13,AD327*[1]KPI_Weights!$B$14,AE327*[1]KPI_Weights!$B$15,AF327*[1]KPI_Weights!$B$16,AG327*[1]KPI_Weights!$B$17,AH327*[1]KPI_Weights!$B$18))/5)</f>
        <v/>
      </c>
      <c r="AL327" s="60" t="str">
        <f>IF(COUNTA(T327:AH327)=0,"",IF(OR(T327&lt;=1,W327&lt;=1,X327&lt;=1,Y327&lt;=1,AB327&lt;=1),"YES","NO"))</f>
        <v/>
      </c>
      <c r="AM327" s="60" t="str">
        <f>IF(AJ327="","",IF(AND(AL327="NO",AJ327&gt;=0.75),"YES","NO"))</f>
        <v/>
      </c>
      <c r="AN327" s="60" t="str">
        <f>IF(AJ327="","",IF(AJ327&lt;0.4,"Critical",IF(AJ327&lt;0.6,"Poor",IF(AJ327&lt;0.75,"Needs Improvement",IF(AJ327&lt;0.9,"Good","Excellent")))))</f>
        <v/>
      </c>
      <c r="AO327" s="59"/>
      <c r="AP327" s="59"/>
      <c r="AQ327" s="59"/>
      <c r="AR327" s="59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</row>
    <row r="328" spans="1:54" ht="19.5" customHeight="1" x14ac:dyDescent="0.25">
      <c r="A328" s="60" t="str">
        <f>IF($B328="","",TEXT($B328,"yyyymmdd")&amp;"-"&amp;SUBSTITUTE($F328," ","")&amp;"-"&amp;TEXT(COUNTIF($F$4:F328,$F328),"00"))</f>
        <v/>
      </c>
      <c r="B328" s="65"/>
      <c r="C328" s="60" t="str">
        <f>IF($B328="","",WEEKNUM($B328,2))</f>
        <v/>
      </c>
      <c r="D328" s="60" t="str">
        <f>IF($B328="","",TEXT($B328,"yyyy-mm"))</f>
        <v/>
      </c>
      <c r="E328" s="64"/>
      <c r="F328" s="64"/>
      <c r="G328" s="60" t="str">
        <f>IF(OR($E328="",$F328=""),"",IFERROR(IF($E328=INDEX([1]Cluster_Master!$A$4:$A$18,MATCH($F328,[1]Cluster_Master!$B$4:$B$18,0)),"OK","CHECK"),"CHECK"))</f>
        <v/>
      </c>
      <c r="H328" s="63" t="str">
        <f>IFERROR(INDEX([1]Cluster_Master!$C$4:$C$18,MATCH($F328,[1]Cluster_Master!$B$4:$B$18,0)),"")</f>
        <v/>
      </c>
      <c r="I328" s="60" t="str">
        <f>IFERROR(INDEX([1]Cluster_Master!$D$4:$D$18,MATCH($F328,[1]Cluster_Master!$B$4:$B$18,0)),"")</f>
        <v/>
      </c>
      <c r="J328" s="60" t="str">
        <f>IFERROR(INDEX([1]Cluster_Master!$E$4:$E$18,MATCH($F328,[1]Cluster_Master!$B$4:$B$18,0)),"")</f>
        <v/>
      </c>
      <c r="K328" s="60" t="str">
        <f>IFERROR(INDEX([1]Cluster_Master!$F$4:$F$18,MATCH($F328,[1]Cluster_Master!$B$4:$B$18,0)),"")</f>
        <v/>
      </c>
      <c r="L328" s="60" t="str">
        <f>IFERROR(INDEX([1]Cluster_Master!$G$4:$G$18,MATCH($F328,[1]Cluster_Master!$B$4:$B$18,0)),"")</f>
        <v/>
      </c>
      <c r="M328" s="60" t="str">
        <f>IFERROR(INDEX([1]Cluster_Master!$H$4:$H$18,MATCH($F328,[1]Cluster_Master!$B$4:$B$18,0)),"")</f>
        <v/>
      </c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60" t="str">
        <f>IF(COUNTA(T328:AH328)=0,"",SUM(T328:AH328))</f>
        <v/>
      </c>
      <c r="AJ328" s="61" t="str">
        <f>IF(COUNTA(T328:AH328)=0,"",AI328/75)</f>
        <v/>
      </c>
      <c r="AK328" s="61" t="str">
        <f>IF(COUNTA(T328:AH328)=0,"",(SUM(T328*[1]KPI_Weights!$B$4,U328*[1]KPI_Weights!$B$5,V328*[1]KPI_Weights!$B$6,W328*[1]KPI_Weights!$B$7,X328*[1]KPI_Weights!$B$8,Y328*[1]KPI_Weights!$B$9,Z328*[1]KPI_Weights!$B$10,AA328*[1]KPI_Weights!$B$11,AB328*[1]KPI_Weights!$B$12,AC328*[1]KPI_Weights!$B$13,AD328*[1]KPI_Weights!$B$14,AE328*[1]KPI_Weights!$B$15,AF328*[1]KPI_Weights!$B$16,AG328*[1]KPI_Weights!$B$17,AH328*[1]KPI_Weights!$B$18))/5)</f>
        <v/>
      </c>
      <c r="AL328" s="60" t="str">
        <f>IF(COUNTA(T328:AH328)=0,"",IF(OR(T328&lt;=1,W328&lt;=1,X328&lt;=1,Y328&lt;=1,AB328&lt;=1),"YES","NO"))</f>
        <v/>
      </c>
      <c r="AM328" s="60" t="str">
        <f>IF(AJ328="","",IF(AND(AL328="NO",AJ328&gt;=0.75),"YES","NO"))</f>
        <v/>
      </c>
      <c r="AN328" s="60" t="str">
        <f>IF(AJ328="","",IF(AJ328&lt;0.4,"Critical",IF(AJ328&lt;0.6,"Poor",IF(AJ328&lt;0.75,"Needs Improvement",IF(AJ328&lt;0.9,"Good","Excellent")))))</f>
        <v/>
      </c>
      <c r="AO328" s="59"/>
      <c r="AP328" s="59"/>
      <c r="AQ328" s="59"/>
      <c r="AR328" s="59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</row>
    <row r="329" spans="1:54" ht="19.5" customHeight="1" x14ac:dyDescent="0.25">
      <c r="A329" s="60" t="str">
        <f>IF($B329="","",TEXT($B329,"yyyymmdd")&amp;"-"&amp;SUBSTITUTE($F329," ","")&amp;"-"&amp;TEXT(COUNTIF($F$4:F329,$F329),"00"))</f>
        <v/>
      </c>
      <c r="B329" s="65"/>
      <c r="C329" s="60" t="str">
        <f>IF($B329="","",WEEKNUM($B329,2))</f>
        <v/>
      </c>
      <c r="D329" s="60" t="str">
        <f>IF($B329="","",TEXT($B329,"yyyy-mm"))</f>
        <v/>
      </c>
      <c r="E329" s="64"/>
      <c r="F329" s="64"/>
      <c r="G329" s="60" t="str">
        <f>IF(OR($E329="",$F329=""),"",IFERROR(IF($E329=INDEX([1]Cluster_Master!$A$4:$A$18,MATCH($F329,[1]Cluster_Master!$B$4:$B$18,0)),"OK","CHECK"),"CHECK"))</f>
        <v/>
      </c>
      <c r="H329" s="63" t="str">
        <f>IFERROR(INDEX([1]Cluster_Master!$C$4:$C$18,MATCH($F329,[1]Cluster_Master!$B$4:$B$18,0)),"")</f>
        <v/>
      </c>
      <c r="I329" s="60" t="str">
        <f>IFERROR(INDEX([1]Cluster_Master!$D$4:$D$18,MATCH($F329,[1]Cluster_Master!$B$4:$B$18,0)),"")</f>
        <v/>
      </c>
      <c r="J329" s="60" t="str">
        <f>IFERROR(INDEX([1]Cluster_Master!$E$4:$E$18,MATCH($F329,[1]Cluster_Master!$B$4:$B$18,0)),"")</f>
        <v/>
      </c>
      <c r="K329" s="60" t="str">
        <f>IFERROR(INDEX([1]Cluster_Master!$F$4:$F$18,MATCH($F329,[1]Cluster_Master!$B$4:$B$18,0)),"")</f>
        <v/>
      </c>
      <c r="L329" s="60" t="str">
        <f>IFERROR(INDEX([1]Cluster_Master!$G$4:$G$18,MATCH($F329,[1]Cluster_Master!$B$4:$B$18,0)),"")</f>
        <v/>
      </c>
      <c r="M329" s="60" t="str">
        <f>IFERROR(INDEX([1]Cluster_Master!$H$4:$H$18,MATCH($F329,[1]Cluster_Master!$B$4:$B$18,0)),"")</f>
        <v/>
      </c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60" t="str">
        <f>IF(COUNTA(T329:AH329)=0,"",SUM(T329:AH329))</f>
        <v/>
      </c>
      <c r="AJ329" s="61" t="str">
        <f>IF(COUNTA(T329:AH329)=0,"",AI329/75)</f>
        <v/>
      </c>
      <c r="AK329" s="61" t="str">
        <f>IF(COUNTA(T329:AH329)=0,"",(SUM(T329*[1]KPI_Weights!$B$4,U329*[1]KPI_Weights!$B$5,V329*[1]KPI_Weights!$B$6,W329*[1]KPI_Weights!$B$7,X329*[1]KPI_Weights!$B$8,Y329*[1]KPI_Weights!$B$9,Z329*[1]KPI_Weights!$B$10,AA329*[1]KPI_Weights!$B$11,AB329*[1]KPI_Weights!$B$12,AC329*[1]KPI_Weights!$B$13,AD329*[1]KPI_Weights!$B$14,AE329*[1]KPI_Weights!$B$15,AF329*[1]KPI_Weights!$B$16,AG329*[1]KPI_Weights!$B$17,AH329*[1]KPI_Weights!$B$18))/5)</f>
        <v/>
      </c>
      <c r="AL329" s="60" t="str">
        <f>IF(COUNTA(T329:AH329)=0,"",IF(OR(T329&lt;=1,W329&lt;=1,X329&lt;=1,Y329&lt;=1,AB329&lt;=1),"YES","NO"))</f>
        <v/>
      </c>
      <c r="AM329" s="60" t="str">
        <f>IF(AJ329="","",IF(AND(AL329="NO",AJ329&gt;=0.75),"YES","NO"))</f>
        <v/>
      </c>
      <c r="AN329" s="60" t="str">
        <f>IF(AJ329="","",IF(AJ329&lt;0.4,"Critical",IF(AJ329&lt;0.6,"Poor",IF(AJ329&lt;0.75,"Needs Improvement",IF(AJ329&lt;0.9,"Good","Excellent")))))</f>
        <v/>
      </c>
      <c r="AO329" s="59"/>
      <c r="AP329" s="59"/>
      <c r="AQ329" s="59"/>
      <c r="AR329" s="59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</row>
    <row r="330" spans="1:54" ht="19.5" customHeight="1" x14ac:dyDescent="0.25">
      <c r="A330" s="60" t="str">
        <f>IF($B330="","",TEXT($B330,"yyyymmdd")&amp;"-"&amp;SUBSTITUTE($F330," ","")&amp;"-"&amp;TEXT(COUNTIF($F$4:F330,$F330),"00"))</f>
        <v/>
      </c>
      <c r="B330" s="65"/>
      <c r="C330" s="60" t="str">
        <f>IF($B330="","",WEEKNUM($B330,2))</f>
        <v/>
      </c>
      <c r="D330" s="60" t="str">
        <f>IF($B330="","",TEXT($B330,"yyyy-mm"))</f>
        <v/>
      </c>
      <c r="E330" s="64"/>
      <c r="F330" s="64"/>
      <c r="G330" s="60" t="str">
        <f>IF(OR($E330="",$F330=""),"",IFERROR(IF($E330=INDEX([1]Cluster_Master!$A$4:$A$18,MATCH($F330,[1]Cluster_Master!$B$4:$B$18,0)),"OK","CHECK"),"CHECK"))</f>
        <v/>
      </c>
      <c r="H330" s="63" t="str">
        <f>IFERROR(INDEX([1]Cluster_Master!$C$4:$C$18,MATCH($F330,[1]Cluster_Master!$B$4:$B$18,0)),"")</f>
        <v/>
      </c>
      <c r="I330" s="60" t="str">
        <f>IFERROR(INDEX([1]Cluster_Master!$D$4:$D$18,MATCH($F330,[1]Cluster_Master!$B$4:$B$18,0)),"")</f>
        <v/>
      </c>
      <c r="J330" s="60" t="str">
        <f>IFERROR(INDEX([1]Cluster_Master!$E$4:$E$18,MATCH($F330,[1]Cluster_Master!$B$4:$B$18,0)),"")</f>
        <v/>
      </c>
      <c r="K330" s="60" t="str">
        <f>IFERROR(INDEX([1]Cluster_Master!$F$4:$F$18,MATCH($F330,[1]Cluster_Master!$B$4:$B$18,0)),"")</f>
        <v/>
      </c>
      <c r="L330" s="60" t="str">
        <f>IFERROR(INDEX([1]Cluster_Master!$G$4:$G$18,MATCH($F330,[1]Cluster_Master!$B$4:$B$18,0)),"")</f>
        <v/>
      </c>
      <c r="M330" s="60" t="str">
        <f>IFERROR(INDEX([1]Cluster_Master!$H$4:$H$18,MATCH($F330,[1]Cluster_Master!$B$4:$B$18,0)),"")</f>
        <v/>
      </c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60" t="str">
        <f>IF(COUNTA(T330:AH330)=0,"",SUM(T330:AH330))</f>
        <v/>
      </c>
      <c r="AJ330" s="61" t="str">
        <f>IF(COUNTA(T330:AH330)=0,"",AI330/75)</f>
        <v/>
      </c>
      <c r="AK330" s="61" t="str">
        <f>IF(COUNTA(T330:AH330)=0,"",(SUM(T330*[1]KPI_Weights!$B$4,U330*[1]KPI_Weights!$B$5,V330*[1]KPI_Weights!$B$6,W330*[1]KPI_Weights!$B$7,X330*[1]KPI_Weights!$B$8,Y330*[1]KPI_Weights!$B$9,Z330*[1]KPI_Weights!$B$10,AA330*[1]KPI_Weights!$B$11,AB330*[1]KPI_Weights!$B$12,AC330*[1]KPI_Weights!$B$13,AD330*[1]KPI_Weights!$B$14,AE330*[1]KPI_Weights!$B$15,AF330*[1]KPI_Weights!$B$16,AG330*[1]KPI_Weights!$B$17,AH330*[1]KPI_Weights!$B$18))/5)</f>
        <v/>
      </c>
      <c r="AL330" s="60" t="str">
        <f>IF(COUNTA(T330:AH330)=0,"",IF(OR(T330&lt;=1,W330&lt;=1,X330&lt;=1,Y330&lt;=1,AB330&lt;=1),"YES","NO"))</f>
        <v/>
      </c>
      <c r="AM330" s="60" t="str">
        <f>IF(AJ330="","",IF(AND(AL330="NO",AJ330&gt;=0.75),"YES","NO"))</f>
        <v/>
      </c>
      <c r="AN330" s="60" t="str">
        <f>IF(AJ330="","",IF(AJ330&lt;0.4,"Critical",IF(AJ330&lt;0.6,"Poor",IF(AJ330&lt;0.75,"Needs Improvement",IF(AJ330&lt;0.9,"Good","Excellent")))))</f>
        <v/>
      </c>
      <c r="AO330" s="59"/>
      <c r="AP330" s="59"/>
      <c r="AQ330" s="59"/>
      <c r="AR330" s="59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</row>
    <row r="331" spans="1:54" ht="19.5" customHeight="1" x14ac:dyDescent="0.25">
      <c r="A331" s="60" t="str">
        <f>IF($B331="","",TEXT($B331,"yyyymmdd")&amp;"-"&amp;SUBSTITUTE($F331," ","")&amp;"-"&amp;TEXT(COUNTIF($F$4:F331,$F331),"00"))</f>
        <v/>
      </c>
      <c r="B331" s="65"/>
      <c r="C331" s="60" t="str">
        <f>IF($B331="","",WEEKNUM($B331,2))</f>
        <v/>
      </c>
      <c r="D331" s="60" t="str">
        <f>IF($B331="","",TEXT($B331,"yyyy-mm"))</f>
        <v/>
      </c>
      <c r="E331" s="64"/>
      <c r="F331" s="64"/>
      <c r="G331" s="60" t="str">
        <f>IF(OR($E331="",$F331=""),"",IFERROR(IF($E331=INDEX([1]Cluster_Master!$A$4:$A$18,MATCH($F331,[1]Cluster_Master!$B$4:$B$18,0)),"OK","CHECK"),"CHECK"))</f>
        <v/>
      </c>
      <c r="H331" s="63" t="str">
        <f>IFERROR(INDEX([1]Cluster_Master!$C$4:$C$18,MATCH($F331,[1]Cluster_Master!$B$4:$B$18,0)),"")</f>
        <v/>
      </c>
      <c r="I331" s="60" t="str">
        <f>IFERROR(INDEX([1]Cluster_Master!$D$4:$D$18,MATCH($F331,[1]Cluster_Master!$B$4:$B$18,0)),"")</f>
        <v/>
      </c>
      <c r="J331" s="60" t="str">
        <f>IFERROR(INDEX([1]Cluster_Master!$E$4:$E$18,MATCH($F331,[1]Cluster_Master!$B$4:$B$18,0)),"")</f>
        <v/>
      </c>
      <c r="K331" s="60" t="str">
        <f>IFERROR(INDEX([1]Cluster_Master!$F$4:$F$18,MATCH($F331,[1]Cluster_Master!$B$4:$B$18,0)),"")</f>
        <v/>
      </c>
      <c r="L331" s="60" t="str">
        <f>IFERROR(INDEX([1]Cluster_Master!$G$4:$G$18,MATCH($F331,[1]Cluster_Master!$B$4:$B$18,0)),"")</f>
        <v/>
      </c>
      <c r="M331" s="60" t="str">
        <f>IFERROR(INDEX([1]Cluster_Master!$H$4:$H$18,MATCH($F331,[1]Cluster_Master!$B$4:$B$18,0)),"")</f>
        <v/>
      </c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60" t="str">
        <f>IF(COUNTA(T331:AH331)=0,"",SUM(T331:AH331))</f>
        <v/>
      </c>
      <c r="AJ331" s="61" t="str">
        <f>IF(COUNTA(T331:AH331)=0,"",AI331/75)</f>
        <v/>
      </c>
      <c r="AK331" s="61" t="str">
        <f>IF(COUNTA(T331:AH331)=0,"",(SUM(T331*[1]KPI_Weights!$B$4,U331*[1]KPI_Weights!$B$5,V331*[1]KPI_Weights!$B$6,W331*[1]KPI_Weights!$B$7,X331*[1]KPI_Weights!$B$8,Y331*[1]KPI_Weights!$B$9,Z331*[1]KPI_Weights!$B$10,AA331*[1]KPI_Weights!$B$11,AB331*[1]KPI_Weights!$B$12,AC331*[1]KPI_Weights!$B$13,AD331*[1]KPI_Weights!$B$14,AE331*[1]KPI_Weights!$B$15,AF331*[1]KPI_Weights!$B$16,AG331*[1]KPI_Weights!$B$17,AH331*[1]KPI_Weights!$B$18))/5)</f>
        <v/>
      </c>
      <c r="AL331" s="60" t="str">
        <f>IF(COUNTA(T331:AH331)=0,"",IF(OR(T331&lt;=1,W331&lt;=1,X331&lt;=1,Y331&lt;=1,AB331&lt;=1),"YES","NO"))</f>
        <v/>
      </c>
      <c r="AM331" s="60" t="str">
        <f>IF(AJ331="","",IF(AND(AL331="NO",AJ331&gt;=0.75),"YES","NO"))</f>
        <v/>
      </c>
      <c r="AN331" s="60" t="str">
        <f>IF(AJ331="","",IF(AJ331&lt;0.4,"Critical",IF(AJ331&lt;0.6,"Poor",IF(AJ331&lt;0.75,"Needs Improvement",IF(AJ331&lt;0.9,"Good","Excellent")))))</f>
        <v/>
      </c>
      <c r="AO331" s="59"/>
      <c r="AP331" s="59"/>
      <c r="AQ331" s="59"/>
      <c r="AR331" s="59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</row>
    <row r="332" spans="1:54" ht="19.5" customHeight="1" x14ac:dyDescent="0.25">
      <c r="A332" s="60" t="str">
        <f>IF($B332="","",TEXT($B332,"yyyymmdd")&amp;"-"&amp;SUBSTITUTE($F332," ","")&amp;"-"&amp;TEXT(COUNTIF($F$4:F332,$F332),"00"))</f>
        <v/>
      </c>
      <c r="B332" s="65"/>
      <c r="C332" s="60" t="str">
        <f>IF($B332="","",WEEKNUM($B332,2))</f>
        <v/>
      </c>
      <c r="D332" s="60" t="str">
        <f>IF($B332="","",TEXT($B332,"yyyy-mm"))</f>
        <v/>
      </c>
      <c r="E332" s="64"/>
      <c r="F332" s="64"/>
      <c r="G332" s="60" t="str">
        <f>IF(OR($E332="",$F332=""),"",IFERROR(IF($E332=INDEX([1]Cluster_Master!$A$4:$A$18,MATCH($F332,[1]Cluster_Master!$B$4:$B$18,0)),"OK","CHECK"),"CHECK"))</f>
        <v/>
      </c>
      <c r="H332" s="63" t="str">
        <f>IFERROR(INDEX([1]Cluster_Master!$C$4:$C$18,MATCH($F332,[1]Cluster_Master!$B$4:$B$18,0)),"")</f>
        <v/>
      </c>
      <c r="I332" s="60" t="str">
        <f>IFERROR(INDEX([1]Cluster_Master!$D$4:$D$18,MATCH($F332,[1]Cluster_Master!$B$4:$B$18,0)),"")</f>
        <v/>
      </c>
      <c r="J332" s="60" t="str">
        <f>IFERROR(INDEX([1]Cluster_Master!$E$4:$E$18,MATCH($F332,[1]Cluster_Master!$B$4:$B$18,0)),"")</f>
        <v/>
      </c>
      <c r="K332" s="60" t="str">
        <f>IFERROR(INDEX([1]Cluster_Master!$F$4:$F$18,MATCH($F332,[1]Cluster_Master!$B$4:$B$18,0)),"")</f>
        <v/>
      </c>
      <c r="L332" s="60" t="str">
        <f>IFERROR(INDEX([1]Cluster_Master!$G$4:$G$18,MATCH($F332,[1]Cluster_Master!$B$4:$B$18,0)),"")</f>
        <v/>
      </c>
      <c r="M332" s="60" t="str">
        <f>IFERROR(INDEX([1]Cluster_Master!$H$4:$H$18,MATCH($F332,[1]Cluster_Master!$B$4:$B$18,0)),"")</f>
        <v/>
      </c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60" t="str">
        <f>IF(COUNTA(T332:AH332)=0,"",SUM(T332:AH332))</f>
        <v/>
      </c>
      <c r="AJ332" s="61" t="str">
        <f>IF(COUNTA(T332:AH332)=0,"",AI332/75)</f>
        <v/>
      </c>
      <c r="AK332" s="61" t="str">
        <f>IF(COUNTA(T332:AH332)=0,"",(SUM(T332*[1]KPI_Weights!$B$4,U332*[1]KPI_Weights!$B$5,V332*[1]KPI_Weights!$B$6,W332*[1]KPI_Weights!$B$7,X332*[1]KPI_Weights!$B$8,Y332*[1]KPI_Weights!$B$9,Z332*[1]KPI_Weights!$B$10,AA332*[1]KPI_Weights!$B$11,AB332*[1]KPI_Weights!$B$12,AC332*[1]KPI_Weights!$B$13,AD332*[1]KPI_Weights!$B$14,AE332*[1]KPI_Weights!$B$15,AF332*[1]KPI_Weights!$B$16,AG332*[1]KPI_Weights!$B$17,AH332*[1]KPI_Weights!$B$18))/5)</f>
        <v/>
      </c>
      <c r="AL332" s="60" t="str">
        <f>IF(COUNTA(T332:AH332)=0,"",IF(OR(T332&lt;=1,W332&lt;=1,X332&lt;=1,Y332&lt;=1,AB332&lt;=1),"YES","NO"))</f>
        <v/>
      </c>
      <c r="AM332" s="60" t="str">
        <f>IF(AJ332="","",IF(AND(AL332="NO",AJ332&gt;=0.75),"YES","NO"))</f>
        <v/>
      </c>
      <c r="AN332" s="60" t="str">
        <f>IF(AJ332="","",IF(AJ332&lt;0.4,"Critical",IF(AJ332&lt;0.6,"Poor",IF(AJ332&lt;0.75,"Needs Improvement",IF(AJ332&lt;0.9,"Good","Excellent")))))</f>
        <v/>
      </c>
      <c r="AO332" s="59"/>
      <c r="AP332" s="59"/>
      <c r="AQ332" s="59"/>
      <c r="AR332" s="59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</row>
    <row r="333" spans="1:54" ht="19.5" customHeight="1" x14ac:dyDescent="0.25">
      <c r="A333" s="60" t="str">
        <f>IF($B333="","",TEXT($B333,"yyyymmdd")&amp;"-"&amp;SUBSTITUTE($F333," ","")&amp;"-"&amp;TEXT(COUNTIF($F$4:F333,$F333),"00"))</f>
        <v/>
      </c>
      <c r="B333" s="65"/>
      <c r="C333" s="60" t="str">
        <f>IF($B333="","",WEEKNUM($B333,2))</f>
        <v/>
      </c>
      <c r="D333" s="60" t="str">
        <f>IF($B333="","",TEXT($B333,"yyyy-mm"))</f>
        <v/>
      </c>
      <c r="E333" s="64"/>
      <c r="F333" s="64"/>
      <c r="G333" s="60" t="str">
        <f>IF(OR($E333="",$F333=""),"",IFERROR(IF($E333=INDEX([1]Cluster_Master!$A$4:$A$18,MATCH($F333,[1]Cluster_Master!$B$4:$B$18,0)),"OK","CHECK"),"CHECK"))</f>
        <v/>
      </c>
      <c r="H333" s="63" t="str">
        <f>IFERROR(INDEX([1]Cluster_Master!$C$4:$C$18,MATCH($F333,[1]Cluster_Master!$B$4:$B$18,0)),"")</f>
        <v/>
      </c>
      <c r="I333" s="60" t="str">
        <f>IFERROR(INDEX([1]Cluster_Master!$D$4:$D$18,MATCH($F333,[1]Cluster_Master!$B$4:$B$18,0)),"")</f>
        <v/>
      </c>
      <c r="J333" s="60" t="str">
        <f>IFERROR(INDEX([1]Cluster_Master!$E$4:$E$18,MATCH($F333,[1]Cluster_Master!$B$4:$B$18,0)),"")</f>
        <v/>
      </c>
      <c r="K333" s="60" t="str">
        <f>IFERROR(INDEX([1]Cluster_Master!$F$4:$F$18,MATCH($F333,[1]Cluster_Master!$B$4:$B$18,0)),"")</f>
        <v/>
      </c>
      <c r="L333" s="60" t="str">
        <f>IFERROR(INDEX([1]Cluster_Master!$G$4:$G$18,MATCH($F333,[1]Cluster_Master!$B$4:$B$18,0)),"")</f>
        <v/>
      </c>
      <c r="M333" s="60" t="str">
        <f>IFERROR(INDEX([1]Cluster_Master!$H$4:$H$18,MATCH($F333,[1]Cluster_Master!$B$4:$B$18,0)),"")</f>
        <v/>
      </c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60" t="str">
        <f>IF(COUNTA(T333:AH333)=0,"",SUM(T333:AH333))</f>
        <v/>
      </c>
      <c r="AJ333" s="61" t="str">
        <f>IF(COUNTA(T333:AH333)=0,"",AI333/75)</f>
        <v/>
      </c>
      <c r="AK333" s="61" t="str">
        <f>IF(COUNTA(T333:AH333)=0,"",(SUM(T333*[1]KPI_Weights!$B$4,U333*[1]KPI_Weights!$B$5,V333*[1]KPI_Weights!$B$6,W333*[1]KPI_Weights!$B$7,X333*[1]KPI_Weights!$B$8,Y333*[1]KPI_Weights!$B$9,Z333*[1]KPI_Weights!$B$10,AA333*[1]KPI_Weights!$B$11,AB333*[1]KPI_Weights!$B$12,AC333*[1]KPI_Weights!$B$13,AD333*[1]KPI_Weights!$B$14,AE333*[1]KPI_Weights!$B$15,AF333*[1]KPI_Weights!$B$16,AG333*[1]KPI_Weights!$B$17,AH333*[1]KPI_Weights!$B$18))/5)</f>
        <v/>
      </c>
      <c r="AL333" s="60" t="str">
        <f>IF(COUNTA(T333:AH333)=0,"",IF(OR(T333&lt;=1,W333&lt;=1,X333&lt;=1,Y333&lt;=1,AB333&lt;=1),"YES","NO"))</f>
        <v/>
      </c>
      <c r="AM333" s="60" t="str">
        <f>IF(AJ333="","",IF(AND(AL333="NO",AJ333&gt;=0.75),"YES","NO"))</f>
        <v/>
      </c>
      <c r="AN333" s="60" t="str">
        <f>IF(AJ333="","",IF(AJ333&lt;0.4,"Critical",IF(AJ333&lt;0.6,"Poor",IF(AJ333&lt;0.75,"Needs Improvement",IF(AJ333&lt;0.9,"Good","Excellent")))))</f>
        <v/>
      </c>
      <c r="AO333" s="59"/>
      <c r="AP333" s="59"/>
      <c r="AQ333" s="59"/>
      <c r="AR333" s="59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</row>
    <row r="334" spans="1:54" ht="19.5" customHeight="1" x14ac:dyDescent="0.25">
      <c r="A334" s="60" t="str">
        <f>IF($B334="","",TEXT($B334,"yyyymmdd")&amp;"-"&amp;SUBSTITUTE($F334," ","")&amp;"-"&amp;TEXT(COUNTIF($F$4:F334,$F334),"00"))</f>
        <v/>
      </c>
      <c r="B334" s="65"/>
      <c r="C334" s="60" t="str">
        <f>IF($B334="","",WEEKNUM($B334,2))</f>
        <v/>
      </c>
      <c r="D334" s="60" t="str">
        <f>IF($B334="","",TEXT($B334,"yyyy-mm"))</f>
        <v/>
      </c>
      <c r="E334" s="64"/>
      <c r="F334" s="64"/>
      <c r="G334" s="60" t="str">
        <f>IF(OR($E334="",$F334=""),"",IFERROR(IF($E334=INDEX([1]Cluster_Master!$A$4:$A$18,MATCH($F334,[1]Cluster_Master!$B$4:$B$18,0)),"OK","CHECK"),"CHECK"))</f>
        <v/>
      </c>
      <c r="H334" s="63" t="str">
        <f>IFERROR(INDEX([1]Cluster_Master!$C$4:$C$18,MATCH($F334,[1]Cluster_Master!$B$4:$B$18,0)),"")</f>
        <v/>
      </c>
      <c r="I334" s="60" t="str">
        <f>IFERROR(INDEX([1]Cluster_Master!$D$4:$D$18,MATCH($F334,[1]Cluster_Master!$B$4:$B$18,0)),"")</f>
        <v/>
      </c>
      <c r="J334" s="60" t="str">
        <f>IFERROR(INDEX([1]Cluster_Master!$E$4:$E$18,MATCH($F334,[1]Cluster_Master!$B$4:$B$18,0)),"")</f>
        <v/>
      </c>
      <c r="K334" s="60" t="str">
        <f>IFERROR(INDEX([1]Cluster_Master!$F$4:$F$18,MATCH($F334,[1]Cluster_Master!$B$4:$B$18,0)),"")</f>
        <v/>
      </c>
      <c r="L334" s="60" t="str">
        <f>IFERROR(INDEX([1]Cluster_Master!$G$4:$G$18,MATCH($F334,[1]Cluster_Master!$B$4:$B$18,0)),"")</f>
        <v/>
      </c>
      <c r="M334" s="60" t="str">
        <f>IFERROR(INDEX([1]Cluster_Master!$H$4:$H$18,MATCH($F334,[1]Cluster_Master!$B$4:$B$18,0)),"")</f>
        <v/>
      </c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60" t="str">
        <f>IF(COUNTA(T334:AH334)=0,"",SUM(T334:AH334))</f>
        <v/>
      </c>
      <c r="AJ334" s="61" t="str">
        <f>IF(COUNTA(T334:AH334)=0,"",AI334/75)</f>
        <v/>
      </c>
      <c r="AK334" s="61" t="str">
        <f>IF(COUNTA(T334:AH334)=0,"",(SUM(T334*[1]KPI_Weights!$B$4,U334*[1]KPI_Weights!$B$5,V334*[1]KPI_Weights!$B$6,W334*[1]KPI_Weights!$B$7,X334*[1]KPI_Weights!$B$8,Y334*[1]KPI_Weights!$B$9,Z334*[1]KPI_Weights!$B$10,AA334*[1]KPI_Weights!$B$11,AB334*[1]KPI_Weights!$B$12,AC334*[1]KPI_Weights!$B$13,AD334*[1]KPI_Weights!$B$14,AE334*[1]KPI_Weights!$B$15,AF334*[1]KPI_Weights!$B$16,AG334*[1]KPI_Weights!$B$17,AH334*[1]KPI_Weights!$B$18))/5)</f>
        <v/>
      </c>
      <c r="AL334" s="60" t="str">
        <f>IF(COUNTA(T334:AH334)=0,"",IF(OR(T334&lt;=1,W334&lt;=1,X334&lt;=1,Y334&lt;=1,AB334&lt;=1),"YES","NO"))</f>
        <v/>
      </c>
      <c r="AM334" s="60" t="str">
        <f>IF(AJ334="","",IF(AND(AL334="NO",AJ334&gt;=0.75),"YES","NO"))</f>
        <v/>
      </c>
      <c r="AN334" s="60" t="str">
        <f>IF(AJ334="","",IF(AJ334&lt;0.4,"Critical",IF(AJ334&lt;0.6,"Poor",IF(AJ334&lt;0.75,"Needs Improvement",IF(AJ334&lt;0.9,"Good","Excellent")))))</f>
        <v/>
      </c>
      <c r="AO334" s="59"/>
      <c r="AP334" s="59"/>
      <c r="AQ334" s="59"/>
      <c r="AR334" s="59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</row>
    <row r="335" spans="1:54" ht="19.5" customHeight="1" x14ac:dyDescent="0.25">
      <c r="A335" s="60" t="str">
        <f>IF($B335="","",TEXT($B335,"yyyymmdd")&amp;"-"&amp;SUBSTITUTE($F335," ","")&amp;"-"&amp;TEXT(COUNTIF($F$4:F335,$F335),"00"))</f>
        <v/>
      </c>
      <c r="B335" s="65"/>
      <c r="C335" s="60" t="str">
        <f>IF($B335="","",WEEKNUM($B335,2))</f>
        <v/>
      </c>
      <c r="D335" s="60" t="str">
        <f>IF($B335="","",TEXT($B335,"yyyy-mm"))</f>
        <v/>
      </c>
      <c r="E335" s="64"/>
      <c r="F335" s="64"/>
      <c r="G335" s="60" t="str">
        <f>IF(OR($E335="",$F335=""),"",IFERROR(IF($E335=INDEX([1]Cluster_Master!$A$4:$A$18,MATCH($F335,[1]Cluster_Master!$B$4:$B$18,0)),"OK","CHECK"),"CHECK"))</f>
        <v/>
      </c>
      <c r="H335" s="63" t="str">
        <f>IFERROR(INDEX([1]Cluster_Master!$C$4:$C$18,MATCH($F335,[1]Cluster_Master!$B$4:$B$18,0)),"")</f>
        <v/>
      </c>
      <c r="I335" s="60" t="str">
        <f>IFERROR(INDEX([1]Cluster_Master!$D$4:$D$18,MATCH($F335,[1]Cluster_Master!$B$4:$B$18,0)),"")</f>
        <v/>
      </c>
      <c r="J335" s="60" t="str">
        <f>IFERROR(INDEX([1]Cluster_Master!$E$4:$E$18,MATCH($F335,[1]Cluster_Master!$B$4:$B$18,0)),"")</f>
        <v/>
      </c>
      <c r="K335" s="60" t="str">
        <f>IFERROR(INDEX([1]Cluster_Master!$F$4:$F$18,MATCH($F335,[1]Cluster_Master!$B$4:$B$18,0)),"")</f>
        <v/>
      </c>
      <c r="L335" s="60" t="str">
        <f>IFERROR(INDEX([1]Cluster_Master!$G$4:$G$18,MATCH($F335,[1]Cluster_Master!$B$4:$B$18,0)),"")</f>
        <v/>
      </c>
      <c r="M335" s="60" t="str">
        <f>IFERROR(INDEX([1]Cluster_Master!$H$4:$H$18,MATCH($F335,[1]Cluster_Master!$B$4:$B$18,0)),"")</f>
        <v/>
      </c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60" t="str">
        <f>IF(COUNTA(T335:AH335)=0,"",SUM(T335:AH335))</f>
        <v/>
      </c>
      <c r="AJ335" s="61" t="str">
        <f>IF(COUNTA(T335:AH335)=0,"",AI335/75)</f>
        <v/>
      </c>
      <c r="AK335" s="61" t="str">
        <f>IF(COUNTA(T335:AH335)=0,"",(SUM(T335*[1]KPI_Weights!$B$4,U335*[1]KPI_Weights!$B$5,V335*[1]KPI_Weights!$B$6,W335*[1]KPI_Weights!$B$7,X335*[1]KPI_Weights!$B$8,Y335*[1]KPI_Weights!$B$9,Z335*[1]KPI_Weights!$B$10,AA335*[1]KPI_Weights!$B$11,AB335*[1]KPI_Weights!$B$12,AC335*[1]KPI_Weights!$B$13,AD335*[1]KPI_Weights!$B$14,AE335*[1]KPI_Weights!$B$15,AF335*[1]KPI_Weights!$B$16,AG335*[1]KPI_Weights!$B$17,AH335*[1]KPI_Weights!$B$18))/5)</f>
        <v/>
      </c>
      <c r="AL335" s="60" t="str">
        <f>IF(COUNTA(T335:AH335)=0,"",IF(OR(T335&lt;=1,W335&lt;=1,X335&lt;=1,Y335&lt;=1,AB335&lt;=1),"YES","NO"))</f>
        <v/>
      </c>
      <c r="AM335" s="60" t="str">
        <f>IF(AJ335="","",IF(AND(AL335="NO",AJ335&gt;=0.75),"YES","NO"))</f>
        <v/>
      </c>
      <c r="AN335" s="60" t="str">
        <f>IF(AJ335="","",IF(AJ335&lt;0.4,"Critical",IF(AJ335&lt;0.6,"Poor",IF(AJ335&lt;0.75,"Needs Improvement",IF(AJ335&lt;0.9,"Good","Excellent")))))</f>
        <v/>
      </c>
      <c r="AO335" s="59"/>
      <c r="AP335" s="59"/>
      <c r="AQ335" s="59"/>
      <c r="AR335" s="59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</row>
    <row r="336" spans="1:54" ht="19.5" customHeight="1" x14ac:dyDescent="0.25">
      <c r="A336" s="60" t="str">
        <f>IF($B336="","",TEXT($B336,"yyyymmdd")&amp;"-"&amp;SUBSTITUTE($F336," ","")&amp;"-"&amp;TEXT(COUNTIF($F$4:F336,$F336),"00"))</f>
        <v/>
      </c>
      <c r="B336" s="65"/>
      <c r="C336" s="60" t="str">
        <f>IF($B336="","",WEEKNUM($B336,2))</f>
        <v/>
      </c>
      <c r="D336" s="60" t="str">
        <f>IF($B336="","",TEXT($B336,"yyyy-mm"))</f>
        <v/>
      </c>
      <c r="E336" s="64"/>
      <c r="F336" s="64"/>
      <c r="G336" s="60" t="str">
        <f>IF(OR($E336="",$F336=""),"",IFERROR(IF($E336=INDEX([1]Cluster_Master!$A$4:$A$18,MATCH($F336,[1]Cluster_Master!$B$4:$B$18,0)),"OK","CHECK"),"CHECK"))</f>
        <v/>
      </c>
      <c r="H336" s="63" t="str">
        <f>IFERROR(INDEX([1]Cluster_Master!$C$4:$C$18,MATCH($F336,[1]Cluster_Master!$B$4:$B$18,0)),"")</f>
        <v/>
      </c>
      <c r="I336" s="60" t="str">
        <f>IFERROR(INDEX([1]Cluster_Master!$D$4:$D$18,MATCH($F336,[1]Cluster_Master!$B$4:$B$18,0)),"")</f>
        <v/>
      </c>
      <c r="J336" s="60" t="str">
        <f>IFERROR(INDEX([1]Cluster_Master!$E$4:$E$18,MATCH($F336,[1]Cluster_Master!$B$4:$B$18,0)),"")</f>
        <v/>
      </c>
      <c r="K336" s="60" t="str">
        <f>IFERROR(INDEX([1]Cluster_Master!$F$4:$F$18,MATCH($F336,[1]Cluster_Master!$B$4:$B$18,0)),"")</f>
        <v/>
      </c>
      <c r="L336" s="60" t="str">
        <f>IFERROR(INDEX([1]Cluster_Master!$G$4:$G$18,MATCH($F336,[1]Cluster_Master!$B$4:$B$18,0)),"")</f>
        <v/>
      </c>
      <c r="M336" s="60" t="str">
        <f>IFERROR(INDEX([1]Cluster_Master!$H$4:$H$18,MATCH($F336,[1]Cluster_Master!$B$4:$B$18,0)),"")</f>
        <v/>
      </c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60" t="str">
        <f>IF(COUNTA(T336:AH336)=0,"",SUM(T336:AH336))</f>
        <v/>
      </c>
      <c r="AJ336" s="61" t="str">
        <f>IF(COUNTA(T336:AH336)=0,"",AI336/75)</f>
        <v/>
      </c>
      <c r="AK336" s="61" t="str">
        <f>IF(COUNTA(T336:AH336)=0,"",(SUM(T336*[1]KPI_Weights!$B$4,U336*[1]KPI_Weights!$B$5,V336*[1]KPI_Weights!$B$6,W336*[1]KPI_Weights!$B$7,X336*[1]KPI_Weights!$B$8,Y336*[1]KPI_Weights!$B$9,Z336*[1]KPI_Weights!$B$10,AA336*[1]KPI_Weights!$B$11,AB336*[1]KPI_Weights!$B$12,AC336*[1]KPI_Weights!$B$13,AD336*[1]KPI_Weights!$B$14,AE336*[1]KPI_Weights!$B$15,AF336*[1]KPI_Weights!$B$16,AG336*[1]KPI_Weights!$B$17,AH336*[1]KPI_Weights!$B$18))/5)</f>
        <v/>
      </c>
      <c r="AL336" s="60" t="str">
        <f>IF(COUNTA(T336:AH336)=0,"",IF(OR(T336&lt;=1,W336&lt;=1,X336&lt;=1,Y336&lt;=1,AB336&lt;=1),"YES","NO"))</f>
        <v/>
      </c>
      <c r="AM336" s="60" t="str">
        <f>IF(AJ336="","",IF(AND(AL336="NO",AJ336&gt;=0.75),"YES","NO"))</f>
        <v/>
      </c>
      <c r="AN336" s="60" t="str">
        <f>IF(AJ336="","",IF(AJ336&lt;0.4,"Critical",IF(AJ336&lt;0.6,"Poor",IF(AJ336&lt;0.75,"Needs Improvement",IF(AJ336&lt;0.9,"Good","Excellent")))))</f>
        <v/>
      </c>
      <c r="AO336" s="59"/>
      <c r="AP336" s="59"/>
      <c r="AQ336" s="59"/>
      <c r="AR336" s="59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</row>
    <row r="337" spans="1:54" ht="19.5" customHeight="1" x14ac:dyDescent="0.25">
      <c r="A337" s="60" t="str">
        <f>IF($B337="","",TEXT($B337,"yyyymmdd")&amp;"-"&amp;SUBSTITUTE($F337," ","")&amp;"-"&amp;TEXT(COUNTIF($F$4:F337,$F337),"00"))</f>
        <v/>
      </c>
      <c r="B337" s="65"/>
      <c r="C337" s="60" t="str">
        <f>IF($B337="","",WEEKNUM($B337,2))</f>
        <v/>
      </c>
      <c r="D337" s="60" t="str">
        <f>IF($B337="","",TEXT($B337,"yyyy-mm"))</f>
        <v/>
      </c>
      <c r="E337" s="64"/>
      <c r="F337" s="64"/>
      <c r="G337" s="60" t="str">
        <f>IF(OR($E337="",$F337=""),"",IFERROR(IF($E337=INDEX([1]Cluster_Master!$A$4:$A$18,MATCH($F337,[1]Cluster_Master!$B$4:$B$18,0)),"OK","CHECK"),"CHECK"))</f>
        <v/>
      </c>
      <c r="H337" s="63" t="str">
        <f>IFERROR(INDEX([1]Cluster_Master!$C$4:$C$18,MATCH($F337,[1]Cluster_Master!$B$4:$B$18,0)),"")</f>
        <v/>
      </c>
      <c r="I337" s="60" t="str">
        <f>IFERROR(INDEX([1]Cluster_Master!$D$4:$D$18,MATCH($F337,[1]Cluster_Master!$B$4:$B$18,0)),"")</f>
        <v/>
      </c>
      <c r="J337" s="60" t="str">
        <f>IFERROR(INDEX([1]Cluster_Master!$E$4:$E$18,MATCH($F337,[1]Cluster_Master!$B$4:$B$18,0)),"")</f>
        <v/>
      </c>
      <c r="K337" s="60" t="str">
        <f>IFERROR(INDEX([1]Cluster_Master!$F$4:$F$18,MATCH($F337,[1]Cluster_Master!$B$4:$B$18,0)),"")</f>
        <v/>
      </c>
      <c r="L337" s="60" t="str">
        <f>IFERROR(INDEX([1]Cluster_Master!$G$4:$G$18,MATCH($F337,[1]Cluster_Master!$B$4:$B$18,0)),"")</f>
        <v/>
      </c>
      <c r="M337" s="60" t="str">
        <f>IFERROR(INDEX([1]Cluster_Master!$H$4:$H$18,MATCH($F337,[1]Cluster_Master!$B$4:$B$18,0)),"")</f>
        <v/>
      </c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60" t="str">
        <f>IF(COUNTA(T337:AH337)=0,"",SUM(T337:AH337))</f>
        <v/>
      </c>
      <c r="AJ337" s="61" t="str">
        <f>IF(COUNTA(T337:AH337)=0,"",AI337/75)</f>
        <v/>
      </c>
      <c r="AK337" s="61" t="str">
        <f>IF(COUNTA(T337:AH337)=0,"",(SUM(T337*[1]KPI_Weights!$B$4,U337*[1]KPI_Weights!$B$5,V337*[1]KPI_Weights!$B$6,W337*[1]KPI_Weights!$B$7,X337*[1]KPI_Weights!$B$8,Y337*[1]KPI_Weights!$B$9,Z337*[1]KPI_Weights!$B$10,AA337*[1]KPI_Weights!$B$11,AB337*[1]KPI_Weights!$B$12,AC337*[1]KPI_Weights!$B$13,AD337*[1]KPI_Weights!$B$14,AE337*[1]KPI_Weights!$B$15,AF337*[1]KPI_Weights!$B$16,AG337*[1]KPI_Weights!$B$17,AH337*[1]KPI_Weights!$B$18))/5)</f>
        <v/>
      </c>
      <c r="AL337" s="60" t="str">
        <f>IF(COUNTA(T337:AH337)=0,"",IF(OR(T337&lt;=1,W337&lt;=1,X337&lt;=1,Y337&lt;=1,AB337&lt;=1),"YES","NO"))</f>
        <v/>
      </c>
      <c r="AM337" s="60" t="str">
        <f>IF(AJ337="","",IF(AND(AL337="NO",AJ337&gt;=0.75),"YES","NO"))</f>
        <v/>
      </c>
      <c r="AN337" s="60" t="str">
        <f>IF(AJ337="","",IF(AJ337&lt;0.4,"Critical",IF(AJ337&lt;0.6,"Poor",IF(AJ337&lt;0.75,"Needs Improvement",IF(AJ337&lt;0.9,"Good","Excellent")))))</f>
        <v/>
      </c>
      <c r="AO337" s="59"/>
      <c r="AP337" s="59"/>
      <c r="AQ337" s="59"/>
      <c r="AR337" s="59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</row>
    <row r="338" spans="1:54" ht="19.5" customHeight="1" x14ac:dyDescent="0.25">
      <c r="A338" s="60" t="str">
        <f>IF($B338="","",TEXT($B338,"yyyymmdd")&amp;"-"&amp;SUBSTITUTE($F338," ","")&amp;"-"&amp;TEXT(COUNTIF($F$4:F338,$F338),"00"))</f>
        <v/>
      </c>
      <c r="B338" s="65"/>
      <c r="C338" s="60" t="str">
        <f>IF($B338="","",WEEKNUM($B338,2))</f>
        <v/>
      </c>
      <c r="D338" s="60" t="str">
        <f>IF($B338="","",TEXT($B338,"yyyy-mm"))</f>
        <v/>
      </c>
      <c r="E338" s="64"/>
      <c r="F338" s="64"/>
      <c r="G338" s="60" t="str">
        <f>IF(OR($E338="",$F338=""),"",IFERROR(IF($E338=INDEX([1]Cluster_Master!$A$4:$A$18,MATCH($F338,[1]Cluster_Master!$B$4:$B$18,0)),"OK","CHECK"),"CHECK"))</f>
        <v/>
      </c>
      <c r="H338" s="63" t="str">
        <f>IFERROR(INDEX([1]Cluster_Master!$C$4:$C$18,MATCH($F338,[1]Cluster_Master!$B$4:$B$18,0)),"")</f>
        <v/>
      </c>
      <c r="I338" s="60" t="str">
        <f>IFERROR(INDEX([1]Cluster_Master!$D$4:$D$18,MATCH($F338,[1]Cluster_Master!$B$4:$B$18,0)),"")</f>
        <v/>
      </c>
      <c r="J338" s="60" t="str">
        <f>IFERROR(INDEX([1]Cluster_Master!$E$4:$E$18,MATCH($F338,[1]Cluster_Master!$B$4:$B$18,0)),"")</f>
        <v/>
      </c>
      <c r="K338" s="60" t="str">
        <f>IFERROR(INDEX([1]Cluster_Master!$F$4:$F$18,MATCH($F338,[1]Cluster_Master!$B$4:$B$18,0)),"")</f>
        <v/>
      </c>
      <c r="L338" s="60" t="str">
        <f>IFERROR(INDEX([1]Cluster_Master!$G$4:$G$18,MATCH($F338,[1]Cluster_Master!$B$4:$B$18,0)),"")</f>
        <v/>
      </c>
      <c r="M338" s="60" t="str">
        <f>IFERROR(INDEX([1]Cluster_Master!$H$4:$H$18,MATCH($F338,[1]Cluster_Master!$B$4:$B$18,0)),"")</f>
        <v/>
      </c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60" t="str">
        <f>IF(COUNTA(T338:AH338)=0,"",SUM(T338:AH338))</f>
        <v/>
      </c>
      <c r="AJ338" s="61" t="str">
        <f>IF(COUNTA(T338:AH338)=0,"",AI338/75)</f>
        <v/>
      </c>
      <c r="AK338" s="61" t="str">
        <f>IF(COUNTA(T338:AH338)=0,"",(SUM(T338*[1]KPI_Weights!$B$4,U338*[1]KPI_Weights!$B$5,V338*[1]KPI_Weights!$B$6,W338*[1]KPI_Weights!$B$7,X338*[1]KPI_Weights!$B$8,Y338*[1]KPI_Weights!$B$9,Z338*[1]KPI_Weights!$B$10,AA338*[1]KPI_Weights!$B$11,AB338*[1]KPI_Weights!$B$12,AC338*[1]KPI_Weights!$B$13,AD338*[1]KPI_Weights!$B$14,AE338*[1]KPI_Weights!$B$15,AF338*[1]KPI_Weights!$B$16,AG338*[1]KPI_Weights!$B$17,AH338*[1]KPI_Weights!$B$18))/5)</f>
        <v/>
      </c>
      <c r="AL338" s="60" t="str">
        <f>IF(COUNTA(T338:AH338)=0,"",IF(OR(T338&lt;=1,W338&lt;=1,X338&lt;=1,Y338&lt;=1,AB338&lt;=1),"YES","NO"))</f>
        <v/>
      </c>
      <c r="AM338" s="60" t="str">
        <f>IF(AJ338="","",IF(AND(AL338="NO",AJ338&gt;=0.75),"YES","NO"))</f>
        <v/>
      </c>
      <c r="AN338" s="60" t="str">
        <f>IF(AJ338="","",IF(AJ338&lt;0.4,"Critical",IF(AJ338&lt;0.6,"Poor",IF(AJ338&lt;0.75,"Needs Improvement",IF(AJ338&lt;0.9,"Good","Excellent")))))</f>
        <v/>
      </c>
      <c r="AO338" s="59"/>
      <c r="AP338" s="59"/>
      <c r="AQ338" s="59"/>
      <c r="AR338" s="59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</row>
    <row r="339" spans="1:54" ht="19.5" customHeight="1" x14ac:dyDescent="0.25">
      <c r="A339" s="60" t="str">
        <f>IF($B339="","",TEXT($B339,"yyyymmdd")&amp;"-"&amp;SUBSTITUTE($F339," ","")&amp;"-"&amp;TEXT(COUNTIF($F$4:F339,$F339),"00"))</f>
        <v/>
      </c>
      <c r="B339" s="65"/>
      <c r="C339" s="60" t="str">
        <f>IF($B339="","",WEEKNUM($B339,2))</f>
        <v/>
      </c>
      <c r="D339" s="60" t="str">
        <f>IF($B339="","",TEXT($B339,"yyyy-mm"))</f>
        <v/>
      </c>
      <c r="E339" s="64"/>
      <c r="F339" s="64"/>
      <c r="G339" s="60" t="str">
        <f>IF(OR($E339="",$F339=""),"",IFERROR(IF($E339=INDEX([1]Cluster_Master!$A$4:$A$18,MATCH($F339,[1]Cluster_Master!$B$4:$B$18,0)),"OK","CHECK"),"CHECK"))</f>
        <v/>
      </c>
      <c r="H339" s="63" t="str">
        <f>IFERROR(INDEX([1]Cluster_Master!$C$4:$C$18,MATCH($F339,[1]Cluster_Master!$B$4:$B$18,0)),"")</f>
        <v/>
      </c>
      <c r="I339" s="60" t="str">
        <f>IFERROR(INDEX([1]Cluster_Master!$D$4:$D$18,MATCH($F339,[1]Cluster_Master!$B$4:$B$18,0)),"")</f>
        <v/>
      </c>
      <c r="J339" s="60" t="str">
        <f>IFERROR(INDEX([1]Cluster_Master!$E$4:$E$18,MATCH($F339,[1]Cluster_Master!$B$4:$B$18,0)),"")</f>
        <v/>
      </c>
      <c r="K339" s="60" t="str">
        <f>IFERROR(INDEX([1]Cluster_Master!$F$4:$F$18,MATCH($F339,[1]Cluster_Master!$B$4:$B$18,0)),"")</f>
        <v/>
      </c>
      <c r="L339" s="60" t="str">
        <f>IFERROR(INDEX([1]Cluster_Master!$G$4:$G$18,MATCH($F339,[1]Cluster_Master!$B$4:$B$18,0)),"")</f>
        <v/>
      </c>
      <c r="M339" s="60" t="str">
        <f>IFERROR(INDEX([1]Cluster_Master!$H$4:$H$18,MATCH($F339,[1]Cluster_Master!$B$4:$B$18,0)),"")</f>
        <v/>
      </c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60" t="str">
        <f>IF(COUNTA(T339:AH339)=0,"",SUM(T339:AH339))</f>
        <v/>
      </c>
      <c r="AJ339" s="61" t="str">
        <f>IF(COUNTA(T339:AH339)=0,"",AI339/75)</f>
        <v/>
      </c>
      <c r="AK339" s="61" t="str">
        <f>IF(COUNTA(T339:AH339)=0,"",(SUM(T339*[1]KPI_Weights!$B$4,U339*[1]KPI_Weights!$B$5,V339*[1]KPI_Weights!$B$6,W339*[1]KPI_Weights!$B$7,X339*[1]KPI_Weights!$B$8,Y339*[1]KPI_Weights!$B$9,Z339*[1]KPI_Weights!$B$10,AA339*[1]KPI_Weights!$B$11,AB339*[1]KPI_Weights!$B$12,AC339*[1]KPI_Weights!$B$13,AD339*[1]KPI_Weights!$B$14,AE339*[1]KPI_Weights!$B$15,AF339*[1]KPI_Weights!$B$16,AG339*[1]KPI_Weights!$B$17,AH339*[1]KPI_Weights!$B$18))/5)</f>
        <v/>
      </c>
      <c r="AL339" s="60" t="str">
        <f>IF(COUNTA(T339:AH339)=0,"",IF(OR(T339&lt;=1,W339&lt;=1,X339&lt;=1,Y339&lt;=1,AB339&lt;=1),"YES","NO"))</f>
        <v/>
      </c>
      <c r="AM339" s="60" t="str">
        <f>IF(AJ339="","",IF(AND(AL339="NO",AJ339&gt;=0.75),"YES","NO"))</f>
        <v/>
      </c>
      <c r="AN339" s="60" t="str">
        <f>IF(AJ339="","",IF(AJ339&lt;0.4,"Critical",IF(AJ339&lt;0.6,"Poor",IF(AJ339&lt;0.75,"Needs Improvement",IF(AJ339&lt;0.9,"Good","Excellent")))))</f>
        <v/>
      </c>
      <c r="AO339" s="59"/>
      <c r="AP339" s="59"/>
      <c r="AQ339" s="59"/>
      <c r="AR339" s="59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</row>
    <row r="340" spans="1:54" ht="19.5" customHeight="1" x14ac:dyDescent="0.25">
      <c r="A340" s="60" t="str">
        <f>IF($B340="","",TEXT($B340,"yyyymmdd")&amp;"-"&amp;SUBSTITUTE($F340," ","")&amp;"-"&amp;TEXT(COUNTIF($F$4:F340,$F340),"00"))</f>
        <v/>
      </c>
      <c r="B340" s="65"/>
      <c r="C340" s="60" t="str">
        <f>IF($B340="","",WEEKNUM($B340,2))</f>
        <v/>
      </c>
      <c r="D340" s="60" t="str">
        <f>IF($B340="","",TEXT($B340,"yyyy-mm"))</f>
        <v/>
      </c>
      <c r="E340" s="64"/>
      <c r="F340" s="64"/>
      <c r="G340" s="60" t="str">
        <f>IF(OR($E340="",$F340=""),"",IFERROR(IF($E340=INDEX([1]Cluster_Master!$A$4:$A$18,MATCH($F340,[1]Cluster_Master!$B$4:$B$18,0)),"OK","CHECK"),"CHECK"))</f>
        <v/>
      </c>
      <c r="H340" s="63" t="str">
        <f>IFERROR(INDEX([1]Cluster_Master!$C$4:$C$18,MATCH($F340,[1]Cluster_Master!$B$4:$B$18,0)),"")</f>
        <v/>
      </c>
      <c r="I340" s="60" t="str">
        <f>IFERROR(INDEX([1]Cluster_Master!$D$4:$D$18,MATCH($F340,[1]Cluster_Master!$B$4:$B$18,0)),"")</f>
        <v/>
      </c>
      <c r="J340" s="60" t="str">
        <f>IFERROR(INDEX([1]Cluster_Master!$E$4:$E$18,MATCH($F340,[1]Cluster_Master!$B$4:$B$18,0)),"")</f>
        <v/>
      </c>
      <c r="K340" s="60" t="str">
        <f>IFERROR(INDEX([1]Cluster_Master!$F$4:$F$18,MATCH($F340,[1]Cluster_Master!$B$4:$B$18,0)),"")</f>
        <v/>
      </c>
      <c r="L340" s="60" t="str">
        <f>IFERROR(INDEX([1]Cluster_Master!$G$4:$G$18,MATCH($F340,[1]Cluster_Master!$B$4:$B$18,0)),"")</f>
        <v/>
      </c>
      <c r="M340" s="60" t="str">
        <f>IFERROR(INDEX([1]Cluster_Master!$H$4:$H$18,MATCH($F340,[1]Cluster_Master!$B$4:$B$18,0)),"")</f>
        <v/>
      </c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60" t="str">
        <f>IF(COUNTA(T340:AH340)=0,"",SUM(T340:AH340))</f>
        <v/>
      </c>
      <c r="AJ340" s="61" t="str">
        <f>IF(COUNTA(T340:AH340)=0,"",AI340/75)</f>
        <v/>
      </c>
      <c r="AK340" s="61" t="str">
        <f>IF(COUNTA(T340:AH340)=0,"",(SUM(T340*[1]KPI_Weights!$B$4,U340*[1]KPI_Weights!$B$5,V340*[1]KPI_Weights!$B$6,W340*[1]KPI_Weights!$B$7,X340*[1]KPI_Weights!$B$8,Y340*[1]KPI_Weights!$B$9,Z340*[1]KPI_Weights!$B$10,AA340*[1]KPI_Weights!$B$11,AB340*[1]KPI_Weights!$B$12,AC340*[1]KPI_Weights!$B$13,AD340*[1]KPI_Weights!$B$14,AE340*[1]KPI_Weights!$B$15,AF340*[1]KPI_Weights!$B$16,AG340*[1]KPI_Weights!$B$17,AH340*[1]KPI_Weights!$B$18))/5)</f>
        <v/>
      </c>
      <c r="AL340" s="60" t="str">
        <f>IF(COUNTA(T340:AH340)=0,"",IF(OR(T340&lt;=1,W340&lt;=1,X340&lt;=1,Y340&lt;=1,AB340&lt;=1),"YES","NO"))</f>
        <v/>
      </c>
      <c r="AM340" s="60" t="str">
        <f>IF(AJ340="","",IF(AND(AL340="NO",AJ340&gt;=0.75),"YES","NO"))</f>
        <v/>
      </c>
      <c r="AN340" s="60" t="str">
        <f>IF(AJ340="","",IF(AJ340&lt;0.4,"Critical",IF(AJ340&lt;0.6,"Poor",IF(AJ340&lt;0.75,"Needs Improvement",IF(AJ340&lt;0.9,"Good","Excellent")))))</f>
        <v/>
      </c>
      <c r="AO340" s="59"/>
      <c r="AP340" s="59"/>
      <c r="AQ340" s="59"/>
      <c r="AR340" s="59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</row>
    <row r="341" spans="1:54" ht="19.5" customHeight="1" x14ac:dyDescent="0.25">
      <c r="A341" s="60" t="str">
        <f>IF($B341="","",TEXT($B341,"yyyymmdd")&amp;"-"&amp;SUBSTITUTE($F341," ","")&amp;"-"&amp;TEXT(COUNTIF($F$4:F341,$F341),"00"))</f>
        <v/>
      </c>
      <c r="B341" s="65"/>
      <c r="C341" s="60" t="str">
        <f>IF($B341="","",WEEKNUM($B341,2))</f>
        <v/>
      </c>
      <c r="D341" s="60" t="str">
        <f>IF($B341="","",TEXT($B341,"yyyy-mm"))</f>
        <v/>
      </c>
      <c r="E341" s="64"/>
      <c r="F341" s="64"/>
      <c r="G341" s="60" t="str">
        <f>IF(OR($E341="",$F341=""),"",IFERROR(IF($E341=INDEX([1]Cluster_Master!$A$4:$A$18,MATCH($F341,[1]Cluster_Master!$B$4:$B$18,0)),"OK","CHECK"),"CHECK"))</f>
        <v/>
      </c>
      <c r="H341" s="63" t="str">
        <f>IFERROR(INDEX([1]Cluster_Master!$C$4:$C$18,MATCH($F341,[1]Cluster_Master!$B$4:$B$18,0)),"")</f>
        <v/>
      </c>
      <c r="I341" s="60" t="str">
        <f>IFERROR(INDEX([1]Cluster_Master!$D$4:$D$18,MATCH($F341,[1]Cluster_Master!$B$4:$B$18,0)),"")</f>
        <v/>
      </c>
      <c r="J341" s="60" t="str">
        <f>IFERROR(INDEX([1]Cluster_Master!$E$4:$E$18,MATCH($F341,[1]Cluster_Master!$B$4:$B$18,0)),"")</f>
        <v/>
      </c>
      <c r="K341" s="60" t="str">
        <f>IFERROR(INDEX([1]Cluster_Master!$F$4:$F$18,MATCH($F341,[1]Cluster_Master!$B$4:$B$18,0)),"")</f>
        <v/>
      </c>
      <c r="L341" s="60" t="str">
        <f>IFERROR(INDEX([1]Cluster_Master!$G$4:$G$18,MATCH($F341,[1]Cluster_Master!$B$4:$B$18,0)),"")</f>
        <v/>
      </c>
      <c r="M341" s="60" t="str">
        <f>IFERROR(INDEX([1]Cluster_Master!$H$4:$H$18,MATCH($F341,[1]Cluster_Master!$B$4:$B$18,0)),"")</f>
        <v/>
      </c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60" t="str">
        <f>IF(COUNTA(T341:AH341)=0,"",SUM(T341:AH341))</f>
        <v/>
      </c>
      <c r="AJ341" s="61" t="str">
        <f>IF(COUNTA(T341:AH341)=0,"",AI341/75)</f>
        <v/>
      </c>
      <c r="AK341" s="61" t="str">
        <f>IF(COUNTA(T341:AH341)=0,"",(SUM(T341*[1]KPI_Weights!$B$4,U341*[1]KPI_Weights!$B$5,V341*[1]KPI_Weights!$B$6,W341*[1]KPI_Weights!$B$7,X341*[1]KPI_Weights!$B$8,Y341*[1]KPI_Weights!$B$9,Z341*[1]KPI_Weights!$B$10,AA341*[1]KPI_Weights!$B$11,AB341*[1]KPI_Weights!$B$12,AC341*[1]KPI_Weights!$B$13,AD341*[1]KPI_Weights!$B$14,AE341*[1]KPI_Weights!$B$15,AF341*[1]KPI_Weights!$B$16,AG341*[1]KPI_Weights!$B$17,AH341*[1]KPI_Weights!$B$18))/5)</f>
        <v/>
      </c>
      <c r="AL341" s="60" t="str">
        <f>IF(COUNTA(T341:AH341)=0,"",IF(OR(T341&lt;=1,W341&lt;=1,X341&lt;=1,Y341&lt;=1,AB341&lt;=1),"YES","NO"))</f>
        <v/>
      </c>
      <c r="AM341" s="60" t="str">
        <f>IF(AJ341="","",IF(AND(AL341="NO",AJ341&gt;=0.75),"YES","NO"))</f>
        <v/>
      </c>
      <c r="AN341" s="60" t="str">
        <f>IF(AJ341="","",IF(AJ341&lt;0.4,"Critical",IF(AJ341&lt;0.6,"Poor",IF(AJ341&lt;0.75,"Needs Improvement",IF(AJ341&lt;0.9,"Good","Excellent")))))</f>
        <v/>
      </c>
      <c r="AO341" s="59"/>
      <c r="AP341" s="59"/>
      <c r="AQ341" s="59"/>
      <c r="AR341" s="59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</row>
    <row r="342" spans="1:54" ht="19.5" customHeight="1" x14ac:dyDescent="0.25">
      <c r="A342" s="60" t="str">
        <f>IF($B342="","",TEXT($B342,"yyyymmdd")&amp;"-"&amp;SUBSTITUTE($F342," ","")&amp;"-"&amp;TEXT(COUNTIF($F$4:F342,$F342),"00"))</f>
        <v/>
      </c>
      <c r="B342" s="65"/>
      <c r="C342" s="60" t="str">
        <f>IF($B342="","",WEEKNUM($B342,2))</f>
        <v/>
      </c>
      <c r="D342" s="60" t="str">
        <f>IF($B342="","",TEXT($B342,"yyyy-mm"))</f>
        <v/>
      </c>
      <c r="E342" s="64"/>
      <c r="F342" s="64"/>
      <c r="G342" s="60" t="str">
        <f>IF(OR($E342="",$F342=""),"",IFERROR(IF($E342=INDEX([1]Cluster_Master!$A$4:$A$18,MATCH($F342,[1]Cluster_Master!$B$4:$B$18,0)),"OK","CHECK"),"CHECK"))</f>
        <v/>
      </c>
      <c r="H342" s="63" t="str">
        <f>IFERROR(INDEX([1]Cluster_Master!$C$4:$C$18,MATCH($F342,[1]Cluster_Master!$B$4:$B$18,0)),"")</f>
        <v/>
      </c>
      <c r="I342" s="60" t="str">
        <f>IFERROR(INDEX([1]Cluster_Master!$D$4:$D$18,MATCH($F342,[1]Cluster_Master!$B$4:$B$18,0)),"")</f>
        <v/>
      </c>
      <c r="J342" s="60" t="str">
        <f>IFERROR(INDEX([1]Cluster_Master!$E$4:$E$18,MATCH($F342,[1]Cluster_Master!$B$4:$B$18,0)),"")</f>
        <v/>
      </c>
      <c r="K342" s="60" t="str">
        <f>IFERROR(INDEX([1]Cluster_Master!$F$4:$F$18,MATCH($F342,[1]Cluster_Master!$B$4:$B$18,0)),"")</f>
        <v/>
      </c>
      <c r="L342" s="60" t="str">
        <f>IFERROR(INDEX([1]Cluster_Master!$G$4:$G$18,MATCH($F342,[1]Cluster_Master!$B$4:$B$18,0)),"")</f>
        <v/>
      </c>
      <c r="M342" s="60" t="str">
        <f>IFERROR(INDEX([1]Cluster_Master!$H$4:$H$18,MATCH($F342,[1]Cluster_Master!$B$4:$B$18,0)),"")</f>
        <v/>
      </c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60" t="str">
        <f>IF(COUNTA(T342:AH342)=0,"",SUM(T342:AH342))</f>
        <v/>
      </c>
      <c r="AJ342" s="61" t="str">
        <f>IF(COUNTA(T342:AH342)=0,"",AI342/75)</f>
        <v/>
      </c>
      <c r="AK342" s="61" t="str">
        <f>IF(COUNTA(T342:AH342)=0,"",(SUM(T342*[1]KPI_Weights!$B$4,U342*[1]KPI_Weights!$B$5,V342*[1]KPI_Weights!$B$6,W342*[1]KPI_Weights!$B$7,X342*[1]KPI_Weights!$B$8,Y342*[1]KPI_Weights!$B$9,Z342*[1]KPI_Weights!$B$10,AA342*[1]KPI_Weights!$B$11,AB342*[1]KPI_Weights!$B$12,AC342*[1]KPI_Weights!$B$13,AD342*[1]KPI_Weights!$B$14,AE342*[1]KPI_Weights!$B$15,AF342*[1]KPI_Weights!$B$16,AG342*[1]KPI_Weights!$B$17,AH342*[1]KPI_Weights!$B$18))/5)</f>
        <v/>
      </c>
      <c r="AL342" s="60" t="str">
        <f>IF(COUNTA(T342:AH342)=0,"",IF(OR(T342&lt;=1,W342&lt;=1,X342&lt;=1,Y342&lt;=1,AB342&lt;=1),"YES","NO"))</f>
        <v/>
      </c>
      <c r="AM342" s="60" t="str">
        <f>IF(AJ342="","",IF(AND(AL342="NO",AJ342&gt;=0.75),"YES","NO"))</f>
        <v/>
      </c>
      <c r="AN342" s="60" t="str">
        <f>IF(AJ342="","",IF(AJ342&lt;0.4,"Critical",IF(AJ342&lt;0.6,"Poor",IF(AJ342&lt;0.75,"Needs Improvement",IF(AJ342&lt;0.9,"Good","Excellent")))))</f>
        <v/>
      </c>
      <c r="AO342" s="59"/>
      <c r="AP342" s="59"/>
      <c r="AQ342" s="59"/>
      <c r="AR342" s="59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</row>
    <row r="343" spans="1:54" ht="19.5" customHeight="1" x14ac:dyDescent="0.25">
      <c r="A343" s="60" t="str">
        <f>IF($B343="","",TEXT($B343,"yyyymmdd")&amp;"-"&amp;SUBSTITUTE($F343," ","")&amp;"-"&amp;TEXT(COUNTIF($F$4:F343,$F343),"00"))</f>
        <v/>
      </c>
      <c r="B343" s="65"/>
      <c r="C343" s="60" t="str">
        <f>IF($B343="","",WEEKNUM($B343,2))</f>
        <v/>
      </c>
      <c r="D343" s="60" t="str">
        <f>IF($B343="","",TEXT($B343,"yyyy-mm"))</f>
        <v/>
      </c>
      <c r="E343" s="64"/>
      <c r="F343" s="64"/>
      <c r="G343" s="60" t="str">
        <f>IF(OR($E343="",$F343=""),"",IFERROR(IF($E343=INDEX([1]Cluster_Master!$A$4:$A$18,MATCH($F343,[1]Cluster_Master!$B$4:$B$18,0)),"OK","CHECK"),"CHECK"))</f>
        <v/>
      </c>
      <c r="H343" s="63" t="str">
        <f>IFERROR(INDEX([1]Cluster_Master!$C$4:$C$18,MATCH($F343,[1]Cluster_Master!$B$4:$B$18,0)),"")</f>
        <v/>
      </c>
      <c r="I343" s="60" t="str">
        <f>IFERROR(INDEX([1]Cluster_Master!$D$4:$D$18,MATCH($F343,[1]Cluster_Master!$B$4:$B$18,0)),"")</f>
        <v/>
      </c>
      <c r="J343" s="60" t="str">
        <f>IFERROR(INDEX([1]Cluster_Master!$E$4:$E$18,MATCH($F343,[1]Cluster_Master!$B$4:$B$18,0)),"")</f>
        <v/>
      </c>
      <c r="K343" s="60" t="str">
        <f>IFERROR(INDEX([1]Cluster_Master!$F$4:$F$18,MATCH($F343,[1]Cluster_Master!$B$4:$B$18,0)),"")</f>
        <v/>
      </c>
      <c r="L343" s="60" t="str">
        <f>IFERROR(INDEX([1]Cluster_Master!$G$4:$G$18,MATCH($F343,[1]Cluster_Master!$B$4:$B$18,0)),"")</f>
        <v/>
      </c>
      <c r="M343" s="60" t="str">
        <f>IFERROR(INDEX([1]Cluster_Master!$H$4:$H$18,MATCH($F343,[1]Cluster_Master!$B$4:$B$18,0)),"")</f>
        <v/>
      </c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60" t="str">
        <f>IF(COUNTA(T343:AH343)=0,"",SUM(T343:AH343))</f>
        <v/>
      </c>
      <c r="AJ343" s="61" t="str">
        <f>IF(COUNTA(T343:AH343)=0,"",AI343/75)</f>
        <v/>
      </c>
      <c r="AK343" s="61" t="str">
        <f>IF(COUNTA(T343:AH343)=0,"",(SUM(T343*[1]KPI_Weights!$B$4,U343*[1]KPI_Weights!$B$5,V343*[1]KPI_Weights!$B$6,W343*[1]KPI_Weights!$B$7,X343*[1]KPI_Weights!$B$8,Y343*[1]KPI_Weights!$B$9,Z343*[1]KPI_Weights!$B$10,AA343*[1]KPI_Weights!$B$11,AB343*[1]KPI_Weights!$B$12,AC343*[1]KPI_Weights!$B$13,AD343*[1]KPI_Weights!$B$14,AE343*[1]KPI_Weights!$B$15,AF343*[1]KPI_Weights!$B$16,AG343*[1]KPI_Weights!$B$17,AH343*[1]KPI_Weights!$B$18))/5)</f>
        <v/>
      </c>
      <c r="AL343" s="60" t="str">
        <f>IF(COUNTA(T343:AH343)=0,"",IF(OR(T343&lt;=1,W343&lt;=1,X343&lt;=1,Y343&lt;=1,AB343&lt;=1),"YES","NO"))</f>
        <v/>
      </c>
      <c r="AM343" s="60" t="str">
        <f>IF(AJ343="","",IF(AND(AL343="NO",AJ343&gt;=0.75),"YES","NO"))</f>
        <v/>
      </c>
      <c r="AN343" s="60" t="str">
        <f>IF(AJ343="","",IF(AJ343&lt;0.4,"Critical",IF(AJ343&lt;0.6,"Poor",IF(AJ343&lt;0.75,"Needs Improvement",IF(AJ343&lt;0.9,"Good","Excellent")))))</f>
        <v/>
      </c>
      <c r="AO343" s="59"/>
      <c r="AP343" s="59"/>
      <c r="AQ343" s="59"/>
      <c r="AR343" s="59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</row>
    <row r="344" spans="1:54" ht="19.5" customHeight="1" x14ac:dyDescent="0.25">
      <c r="A344" s="60" t="str">
        <f>IF($B344="","",TEXT($B344,"yyyymmdd")&amp;"-"&amp;SUBSTITUTE($F344," ","")&amp;"-"&amp;TEXT(COUNTIF($F$4:F344,$F344),"00"))</f>
        <v/>
      </c>
      <c r="B344" s="65"/>
      <c r="C344" s="60" t="str">
        <f>IF($B344="","",WEEKNUM($B344,2))</f>
        <v/>
      </c>
      <c r="D344" s="60" t="str">
        <f>IF($B344="","",TEXT($B344,"yyyy-mm"))</f>
        <v/>
      </c>
      <c r="E344" s="64"/>
      <c r="F344" s="64"/>
      <c r="G344" s="60" t="str">
        <f>IF(OR($E344="",$F344=""),"",IFERROR(IF($E344=INDEX([1]Cluster_Master!$A$4:$A$18,MATCH($F344,[1]Cluster_Master!$B$4:$B$18,0)),"OK","CHECK"),"CHECK"))</f>
        <v/>
      </c>
      <c r="H344" s="63" t="str">
        <f>IFERROR(INDEX([1]Cluster_Master!$C$4:$C$18,MATCH($F344,[1]Cluster_Master!$B$4:$B$18,0)),"")</f>
        <v/>
      </c>
      <c r="I344" s="60" t="str">
        <f>IFERROR(INDEX([1]Cluster_Master!$D$4:$D$18,MATCH($F344,[1]Cluster_Master!$B$4:$B$18,0)),"")</f>
        <v/>
      </c>
      <c r="J344" s="60" t="str">
        <f>IFERROR(INDEX([1]Cluster_Master!$E$4:$E$18,MATCH($F344,[1]Cluster_Master!$B$4:$B$18,0)),"")</f>
        <v/>
      </c>
      <c r="K344" s="60" t="str">
        <f>IFERROR(INDEX([1]Cluster_Master!$F$4:$F$18,MATCH($F344,[1]Cluster_Master!$B$4:$B$18,0)),"")</f>
        <v/>
      </c>
      <c r="L344" s="60" t="str">
        <f>IFERROR(INDEX([1]Cluster_Master!$G$4:$G$18,MATCH($F344,[1]Cluster_Master!$B$4:$B$18,0)),"")</f>
        <v/>
      </c>
      <c r="M344" s="60" t="str">
        <f>IFERROR(INDEX([1]Cluster_Master!$H$4:$H$18,MATCH($F344,[1]Cluster_Master!$B$4:$B$18,0)),"")</f>
        <v/>
      </c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60" t="str">
        <f>IF(COUNTA(T344:AH344)=0,"",SUM(T344:AH344))</f>
        <v/>
      </c>
      <c r="AJ344" s="61" t="str">
        <f>IF(COUNTA(T344:AH344)=0,"",AI344/75)</f>
        <v/>
      </c>
      <c r="AK344" s="61" t="str">
        <f>IF(COUNTA(T344:AH344)=0,"",(SUM(T344*[1]KPI_Weights!$B$4,U344*[1]KPI_Weights!$B$5,V344*[1]KPI_Weights!$B$6,W344*[1]KPI_Weights!$B$7,X344*[1]KPI_Weights!$B$8,Y344*[1]KPI_Weights!$B$9,Z344*[1]KPI_Weights!$B$10,AA344*[1]KPI_Weights!$B$11,AB344*[1]KPI_Weights!$B$12,AC344*[1]KPI_Weights!$B$13,AD344*[1]KPI_Weights!$B$14,AE344*[1]KPI_Weights!$B$15,AF344*[1]KPI_Weights!$B$16,AG344*[1]KPI_Weights!$B$17,AH344*[1]KPI_Weights!$B$18))/5)</f>
        <v/>
      </c>
      <c r="AL344" s="60" t="str">
        <f>IF(COUNTA(T344:AH344)=0,"",IF(OR(T344&lt;=1,W344&lt;=1,X344&lt;=1,Y344&lt;=1,AB344&lt;=1),"YES","NO"))</f>
        <v/>
      </c>
      <c r="AM344" s="60" t="str">
        <f>IF(AJ344="","",IF(AND(AL344="NO",AJ344&gt;=0.75),"YES","NO"))</f>
        <v/>
      </c>
      <c r="AN344" s="60" t="str">
        <f>IF(AJ344="","",IF(AJ344&lt;0.4,"Critical",IF(AJ344&lt;0.6,"Poor",IF(AJ344&lt;0.75,"Needs Improvement",IF(AJ344&lt;0.9,"Good","Excellent")))))</f>
        <v/>
      </c>
      <c r="AO344" s="59"/>
      <c r="AP344" s="59"/>
      <c r="AQ344" s="59"/>
      <c r="AR344" s="59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</row>
    <row r="345" spans="1:54" ht="19.5" customHeight="1" x14ac:dyDescent="0.25">
      <c r="A345" s="60" t="str">
        <f>IF($B345="","",TEXT($B345,"yyyymmdd")&amp;"-"&amp;SUBSTITUTE($F345," ","")&amp;"-"&amp;TEXT(COUNTIF($F$4:F345,$F345),"00"))</f>
        <v/>
      </c>
      <c r="B345" s="65"/>
      <c r="C345" s="60" t="str">
        <f>IF($B345="","",WEEKNUM($B345,2))</f>
        <v/>
      </c>
      <c r="D345" s="60" t="str">
        <f>IF($B345="","",TEXT($B345,"yyyy-mm"))</f>
        <v/>
      </c>
      <c r="E345" s="64"/>
      <c r="F345" s="64"/>
      <c r="G345" s="60" t="str">
        <f>IF(OR($E345="",$F345=""),"",IFERROR(IF($E345=INDEX([1]Cluster_Master!$A$4:$A$18,MATCH($F345,[1]Cluster_Master!$B$4:$B$18,0)),"OK","CHECK"),"CHECK"))</f>
        <v/>
      </c>
      <c r="H345" s="63" t="str">
        <f>IFERROR(INDEX([1]Cluster_Master!$C$4:$C$18,MATCH($F345,[1]Cluster_Master!$B$4:$B$18,0)),"")</f>
        <v/>
      </c>
      <c r="I345" s="60" t="str">
        <f>IFERROR(INDEX([1]Cluster_Master!$D$4:$D$18,MATCH($F345,[1]Cluster_Master!$B$4:$B$18,0)),"")</f>
        <v/>
      </c>
      <c r="J345" s="60" t="str">
        <f>IFERROR(INDEX([1]Cluster_Master!$E$4:$E$18,MATCH($F345,[1]Cluster_Master!$B$4:$B$18,0)),"")</f>
        <v/>
      </c>
      <c r="K345" s="60" t="str">
        <f>IFERROR(INDEX([1]Cluster_Master!$F$4:$F$18,MATCH($F345,[1]Cluster_Master!$B$4:$B$18,0)),"")</f>
        <v/>
      </c>
      <c r="L345" s="60" t="str">
        <f>IFERROR(INDEX([1]Cluster_Master!$G$4:$G$18,MATCH($F345,[1]Cluster_Master!$B$4:$B$18,0)),"")</f>
        <v/>
      </c>
      <c r="M345" s="60" t="str">
        <f>IFERROR(INDEX([1]Cluster_Master!$H$4:$H$18,MATCH($F345,[1]Cluster_Master!$B$4:$B$18,0)),"")</f>
        <v/>
      </c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60" t="str">
        <f>IF(COUNTA(T345:AH345)=0,"",SUM(T345:AH345))</f>
        <v/>
      </c>
      <c r="AJ345" s="61" t="str">
        <f>IF(COUNTA(T345:AH345)=0,"",AI345/75)</f>
        <v/>
      </c>
      <c r="AK345" s="61" t="str">
        <f>IF(COUNTA(T345:AH345)=0,"",(SUM(T345*[1]KPI_Weights!$B$4,U345*[1]KPI_Weights!$B$5,V345*[1]KPI_Weights!$B$6,W345*[1]KPI_Weights!$B$7,X345*[1]KPI_Weights!$B$8,Y345*[1]KPI_Weights!$B$9,Z345*[1]KPI_Weights!$B$10,AA345*[1]KPI_Weights!$B$11,AB345*[1]KPI_Weights!$B$12,AC345*[1]KPI_Weights!$B$13,AD345*[1]KPI_Weights!$B$14,AE345*[1]KPI_Weights!$B$15,AF345*[1]KPI_Weights!$B$16,AG345*[1]KPI_Weights!$B$17,AH345*[1]KPI_Weights!$B$18))/5)</f>
        <v/>
      </c>
      <c r="AL345" s="60" t="str">
        <f>IF(COUNTA(T345:AH345)=0,"",IF(OR(T345&lt;=1,W345&lt;=1,X345&lt;=1,Y345&lt;=1,AB345&lt;=1),"YES","NO"))</f>
        <v/>
      </c>
      <c r="AM345" s="60" t="str">
        <f>IF(AJ345="","",IF(AND(AL345="NO",AJ345&gt;=0.75),"YES","NO"))</f>
        <v/>
      </c>
      <c r="AN345" s="60" t="str">
        <f>IF(AJ345="","",IF(AJ345&lt;0.4,"Critical",IF(AJ345&lt;0.6,"Poor",IF(AJ345&lt;0.75,"Needs Improvement",IF(AJ345&lt;0.9,"Good","Excellent")))))</f>
        <v/>
      </c>
      <c r="AO345" s="59"/>
      <c r="AP345" s="59"/>
      <c r="AQ345" s="59"/>
      <c r="AR345" s="59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</row>
    <row r="346" spans="1:54" ht="19.5" customHeight="1" x14ac:dyDescent="0.25">
      <c r="A346" s="60" t="str">
        <f>IF($B346="","",TEXT($B346,"yyyymmdd")&amp;"-"&amp;SUBSTITUTE($F346," ","")&amp;"-"&amp;TEXT(COUNTIF($F$4:F346,$F346),"00"))</f>
        <v/>
      </c>
      <c r="B346" s="65"/>
      <c r="C346" s="60" t="str">
        <f>IF($B346="","",WEEKNUM($B346,2))</f>
        <v/>
      </c>
      <c r="D346" s="60" t="str">
        <f>IF($B346="","",TEXT($B346,"yyyy-mm"))</f>
        <v/>
      </c>
      <c r="E346" s="64"/>
      <c r="F346" s="64"/>
      <c r="G346" s="60" t="str">
        <f>IF(OR($E346="",$F346=""),"",IFERROR(IF($E346=INDEX([1]Cluster_Master!$A$4:$A$18,MATCH($F346,[1]Cluster_Master!$B$4:$B$18,0)),"OK","CHECK"),"CHECK"))</f>
        <v/>
      </c>
      <c r="H346" s="63" t="str">
        <f>IFERROR(INDEX([1]Cluster_Master!$C$4:$C$18,MATCH($F346,[1]Cluster_Master!$B$4:$B$18,0)),"")</f>
        <v/>
      </c>
      <c r="I346" s="60" t="str">
        <f>IFERROR(INDEX([1]Cluster_Master!$D$4:$D$18,MATCH($F346,[1]Cluster_Master!$B$4:$B$18,0)),"")</f>
        <v/>
      </c>
      <c r="J346" s="60" t="str">
        <f>IFERROR(INDEX([1]Cluster_Master!$E$4:$E$18,MATCH($F346,[1]Cluster_Master!$B$4:$B$18,0)),"")</f>
        <v/>
      </c>
      <c r="K346" s="60" t="str">
        <f>IFERROR(INDEX([1]Cluster_Master!$F$4:$F$18,MATCH($F346,[1]Cluster_Master!$B$4:$B$18,0)),"")</f>
        <v/>
      </c>
      <c r="L346" s="60" t="str">
        <f>IFERROR(INDEX([1]Cluster_Master!$G$4:$G$18,MATCH($F346,[1]Cluster_Master!$B$4:$B$18,0)),"")</f>
        <v/>
      </c>
      <c r="M346" s="60" t="str">
        <f>IFERROR(INDEX([1]Cluster_Master!$H$4:$H$18,MATCH($F346,[1]Cluster_Master!$B$4:$B$18,0)),"")</f>
        <v/>
      </c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60" t="str">
        <f>IF(COUNTA(T346:AH346)=0,"",SUM(T346:AH346))</f>
        <v/>
      </c>
      <c r="AJ346" s="61" t="str">
        <f>IF(COUNTA(T346:AH346)=0,"",AI346/75)</f>
        <v/>
      </c>
      <c r="AK346" s="61" t="str">
        <f>IF(COUNTA(T346:AH346)=0,"",(SUM(T346*[1]KPI_Weights!$B$4,U346*[1]KPI_Weights!$B$5,V346*[1]KPI_Weights!$B$6,W346*[1]KPI_Weights!$B$7,X346*[1]KPI_Weights!$B$8,Y346*[1]KPI_Weights!$B$9,Z346*[1]KPI_Weights!$B$10,AA346*[1]KPI_Weights!$B$11,AB346*[1]KPI_Weights!$B$12,AC346*[1]KPI_Weights!$B$13,AD346*[1]KPI_Weights!$B$14,AE346*[1]KPI_Weights!$B$15,AF346*[1]KPI_Weights!$B$16,AG346*[1]KPI_Weights!$B$17,AH346*[1]KPI_Weights!$B$18))/5)</f>
        <v/>
      </c>
      <c r="AL346" s="60" t="str">
        <f>IF(COUNTA(T346:AH346)=0,"",IF(OR(T346&lt;=1,W346&lt;=1,X346&lt;=1,Y346&lt;=1,AB346&lt;=1),"YES","NO"))</f>
        <v/>
      </c>
      <c r="AM346" s="60" t="str">
        <f>IF(AJ346="","",IF(AND(AL346="NO",AJ346&gt;=0.75),"YES","NO"))</f>
        <v/>
      </c>
      <c r="AN346" s="60" t="str">
        <f>IF(AJ346="","",IF(AJ346&lt;0.4,"Critical",IF(AJ346&lt;0.6,"Poor",IF(AJ346&lt;0.75,"Needs Improvement",IF(AJ346&lt;0.9,"Good","Excellent")))))</f>
        <v/>
      </c>
      <c r="AO346" s="59"/>
      <c r="AP346" s="59"/>
      <c r="AQ346" s="59"/>
      <c r="AR346" s="59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</row>
    <row r="347" spans="1:54" ht="19.5" customHeight="1" x14ac:dyDescent="0.25">
      <c r="A347" s="60" t="str">
        <f>IF($B347="","",TEXT($B347,"yyyymmdd")&amp;"-"&amp;SUBSTITUTE($F347," ","")&amp;"-"&amp;TEXT(COUNTIF($F$4:F347,$F347),"00"))</f>
        <v/>
      </c>
      <c r="B347" s="65"/>
      <c r="C347" s="60" t="str">
        <f>IF($B347="","",WEEKNUM($B347,2))</f>
        <v/>
      </c>
      <c r="D347" s="60" t="str">
        <f>IF($B347="","",TEXT($B347,"yyyy-mm"))</f>
        <v/>
      </c>
      <c r="E347" s="64"/>
      <c r="F347" s="64"/>
      <c r="G347" s="60" t="str">
        <f>IF(OR($E347="",$F347=""),"",IFERROR(IF($E347=INDEX([1]Cluster_Master!$A$4:$A$18,MATCH($F347,[1]Cluster_Master!$B$4:$B$18,0)),"OK","CHECK"),"CHECK"))</f>
        <v/>
      </c>
      <c r="H347" s="63" t="str">
        <f>IFERROR(INDEX([1]Cluster_Master!$C$4:$C$18,MATCH($F347,[1]Cluster_Master!$B$4:$B$18,0)),"")</f>
        <v/>
      </c>
      <c r="I347" s="60" t="str">
        <f>IFERROR(INDEX([1]Cluster_Master!$D$4:$D$18,MATCH($F347,[1]Cluster_Master!$B$4:$B$18,0)),"")</f>
        <v/>
      </c>
      <c r="J347" s="60" t="str">
        <f>IFERROR(INDEX([1]Cluster_Master!$E$4:$E$18,MATCH($F347,[1]Cluster_Master!$B$4:$B$18,0)),"")</f>
        <v/>
      </c>
      <c r="K347" s="60" t="str">
        <f>IFERROR(INDEX([1]Cluster_Master!$F$4:$F$18,MATCH($F347,[1]Cluster_Master!$B$4:$B$18,0)),"")</f>
        <v/>
      </c>
      <c r="L347" s="60" t="str">
        <f>IFERROR(INDEX([1]Cluster_Master!$G$4:$G$18,MATCH($F347,[1]Cluster_Master!$B$4:$B$18,0)),"")</f>
        <v/>
      </c>
      <c r="M347" s="60" t="str">
        <f>IFERROR(INDEX([1]Cluster_Master!$H$4:$H$18,MATCH($F347,[1]Cluster_Master!$B$4:$B$18,0)),"")</f>
        <v/>
      </c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60" t="str">
        <f>IF(COUNTA(T347:AH347)=0,"",SUM(T347:AH347))</f>
        <v/>
      </c>
      <c r="AJ347" s="61" t="str">
        <f>IF(COUNTA(T347:AH347)=0,"",AI347/75)</f>
        <v/>
      </c>
      <c r="AK347" s="61" t="str">
        <f>IF(COUNTA(T347:AH347)=0,"",(SUM(T347*[1]KPI_Weights!$B$4,U347*[1]KPI_Weights!$B$5,V347*[1]KPI_Weights!$B$6,W347*[1]KPI_Weights!$B$7,X347*[1]KPI_Weights!$B$8,Y347*[1]KPI_Weights!$B$9,Z347*[1]KPI_Weights!$B$10,AA347*[1]KPI_Weights!$B$11,AB347*[1]KPI_Weights!$B$12,AC347*[1]KPI_Weights!$B$13,AD347*[1]KPI_Weights!$B$14,AE347*[1]KPI_Weights!$B$15,AF347*[1]KPI_Weights!$B$16,AG347*[1]KPI_Weights!$B$17,AH347*[1]KPI_Weights!$B$18))/5)</f>
        <v/>
      </c>
      <c r="AL347" s="60" t="str">
        <f>IF(COUNTA(T347:AH347)=0,"",IF(OR(T347&lt;=1,W347&lt;=1,X347&lt;=1,Y347&lt;=1,AB347&lt;=1),"YES","NO"))</f>
        <v/>
      </c>
      <c r="AM347" s="60" t="str">
        <f>IF(AJ347="","",IF(AND(AL347="NO",AJ347&gt;=0.75),"YES","NO"))</f>
        <v/>
      </c>
      <c r="AN347" s="60" t="str">
        <f>IF(AJ347="","",IF(AJ347&lt;0.4,"Critical",IF(AJ347&lt;0.6,"Poor",IF(AJ347&lt;0.75,"Needs Improvement",IF(AJ347&lt;0.9,"Good","Excellent")))))</f>
        <v/>
      </c>
      <c r="AO347" s="59"/>
      <c r="AP347" s="59"/>
      <c r="AQ347" s="59"/>
      <c r="AR347" s="59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</row>
    <row r="348" spans="1:54" ht="19.5" customHeight="1" x14ac:dyDescent="0.25">
      <c r="A348" s="60" t="str">
        <f>IF($B348="","",TEXT($B348,"yyyymmdd")&amp;"-"&amp;SUBSTITUTE($F348," ","")&amp;"-"&amp;TEXT(COUNTIF($F$4:F348,$F348),"00"))</f>
        <v/>
      </c>
      <c r="B348" s="65"/>
      <c r="C348" s="60" t="str">
        <f>IF($B348="","",WEEKNUM($B348,2))</f>
        <v/>
      </c>
      <c r="D348" s="60" t="str">
        <f>IF($B348="","",TEXT($B348,"yyyy-mm"))</f>
        <v/>
      </c>
      <c r="E348" s="64"/>
      <c r="F348" s="64"/>
      <c r="G348" s="60" t="str">
        <f>IF(OR($E348="",$F348=""),"",IFERROR(IF($E348=INDEX([1]Cluster_Master!$A$4:$A$18,MATCH($F348,[1]Cluster_Master!$B$4:$B$18,0)),"OK","CHECK"),"CHECK"))</f>
        <v/>
      </c>
      <c r="H348" s="63" t="str">
        <f>IFERROR(INDEX([1]Cluster_Master!$C$4:$C$18,MATCH($F348,[1]Cluster_Master!$B$4:$B$18,0)),"")</f>
        <v/>
      </c>
      <c r="I348" s="60" t="str">
        <f>IFERROR(INDEX([1]Cluster_Master!$D$4:$D$18,MATCH($F348,[1]Cluster_Master!$B$4:$B$18,0)),"")</f>
        <v/>
      </c>
      <c r="J348" s="60" t="str">
        <f>IFERROR(INDEX([1]Cluster_Master!$E$4:$E$18,MATCH($F348,[1]Cluster_Master!$B$4:$B$18,0)),"")</f>
        <v/>
      </c>
      <c r="K348" s="60" t="str">
        <f>IFERROR(INDEX([1]Cluster_Master!$F$4:$F$18,MATCH($F348,[1]Cluster_Master!$B$4:$B$18,0)),"")</f>
        <v/>
      </c>
      <c r="L348" s="60" t="str">
        <f>IFERROR(INDEX([1]Cluster_Master!$G$4:$G$18,MATCH($F348,[1]Cluster_Master!$B$4:$B$18,0)),"")</f>
        <v/>
      </c>
      <c r="M348" s="60" t="str">
        <f>IFERROR(INDEX([1]Cluster_Master!$H$4:$H$18,MATCH($F348,[1]Cluster_Master!$B$4:$B$18,0)),"")</f>
        <v/>
      </c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60" t="str">
        <f>IF(COUNTA(T348:AH348)=0,"",SUM(T348:AH348))</f>
        <v/>
      </c>
      <c r="AJ348" s="61" t="str">
        <f>IF(COUNTA(T348:AH348)=0,"",AI348/75)</f>
        <v/>
      </c>
      <c r="AK348" s="61" t="str">
        <f>IF(COUNTA(T348:AH348)=0,"",(SUM(T348*[1]KPI_Weights!$B$4,U348*[1]KPI_Weights!$B$5,V348*[1]KPI_Weights!$B$6,W348*[1]KPI_Weights!$B$7,X348*[1]KPI_Weights!$B$8,Y348*[1]KPI_Weights!$B$9,Z348*[1]KPI_Weights!$B$10,AA348*[1]KPI_Weights!$B$11,AB348*[1]KPI_Weights!$B$12,AC348*[1]KPI_Weights!$B$13,AD348*[1]KPI_Weights!$B$14,AE348*[1]KPI_Weights!$B$15,AF348*[1]KPI_Weights!$B$16,AG348*[1]KPI_Weights!$B$17,AH348*[1]KPI_Weights!$B$18))/5)</f>
        <v/>
      </c>
      <c r="AL348" s="60" t="str">
        <f>IF(COUNTA(T348:AH348)=0,"",IF(OR(T348&lt;=1,W348&lt;=1,X348&lt;=1,Y348&lt;=1,AB348&lt;=1),"YES","NO"))</f>
        <v/>
      </c>
      <c r="AM348" s="60" t="str">
        <f>IF(AJ348="","",IF(AND(AL348="NO",AJ348&gt;=0.75),"YES","NO"))</f>
        <v/>
      </c>
      <c r="AN348" s="60" t="str">
        <f>IF(AJ348="","",IF(AJ348&lt;0.4,"Critical",IF(AJ348&lt;0.6,"Poor",IF(AJ348&lt;0.75,"Needs Improvement",IF(AJ348&lt;0.9,"Good","Excellent")))))</f>
        <v/>
      </c>
      <c r="AO348" s="59"/>
      <c r="AP348" s="59"/>
      <c r="AQ348" s="59"/>
      <c r="AR348" s="59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</row>
    <row r="349" spans="1:54" ht="19.5" customHeight="1" x14ac:dyDescent="0.25">
      <c r="A349" s="60" t="str">
        <f>IF($B349="","",TEXT($B349,"yyyymmdd")&amp;"-"&amp;SUBSTITUTE($F349," ","")&amp;"-"&amp;TEXT(COUNTIF($F$4:F349,$F349),"00"))</f>
        <v/>
      </c>
      <c r="B349" s="65"/>
      <c r="C349" s="60" t="str">
        <f>IF($B349="","",WEEKNUM($B349,2))</f>
        <v/>
      </c>
      <c r="D349" s="60" t="str">
        <f>IF($B349="","",TEXT($B349,"yyyy-mm"))</f>
        <v/>
      </c>
      <c r="E349" s="64"/>
      <c r="F349" s="64"/>
      <c r="G349" s="60" t="str">
        <f>IF(OR($E349="",$F349=""),"",IFERROR(IF($E349=INDEX([1]Cluster_Master!$A$4:$A$18,MATCH($F349,[1]Cluster_Master!$B$4:$B$18,0)),"OK","CHECK"),"CHECK"))</f>
        <v/>
      </c>
      <c r="H349" s="63" t="str">
        <f>IFERROR(INDEX([1]Cluster_Master!$C$4:$C$18,MATCH($F349,[1]Cluster_Master!$B$4:$B$18,0)),"")</f>
        <v/>
      </c>
      <c r="I349" s="60" t="str">
        <f>IFERROR(INDEX([1]Cluster_Master!$D$4:$D$18,MATCH($F349,[1]Cluster_Master!$B$4:$B$18,0)),"")</f>
        <v/>
      </c>
      <c r="J349" s="60" t="str">
        <f>IFERROR(INDEX([1]Cluster_Master!$E$4:$E$18,MATCH($F349,[1]Cluster_Master!$B$4:$B$18,0)),"")</f>
        <v/>
      </c>
      <c r="K349" s="60" t="str">
        <f>IFERROR(INDEX([1]Cluster_Master!$F$4:$F$18,MATCH($F349,[1]Cluster_Master!$B$4:$B$18,0)),"")</f>
        <v/>
      </c>
      <c r="L349" s="60" t="str">
        <f>IFERROR(INDEX([1]Cluster_Master!$G$4:$G$18,MATCH($F349,[1]Cluster_Master!$B$4:$B$18,0)),"")</f>
        <v/>
      </c>
      <c r="M349" s="60" t="str">
        <f>IFERROR(INDEX([1]Cluster_Master!$H$4:$H$18,MATCH($F349,[1]Cluster_Master!$B$4:$B$18,0)),"")</f>
        <v/>
      </c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60" t="str">
        <f>IF(COUNTA(T349:AH349)=0,"",SUM(T349:AH349))</f>
        <v/>
      </c>
      <c r="AJ349" s="61" t="str">
        <f>IF(COUNTA(T349:AH349)=0,"",AI349/75)</f>
        <v/>
      </c>
      <c r="AK349" s="61" t="str">
        <f>IF(COUNTA(T349:AH349)=0,"",(SUM(T349*[1]KPI_Weights!$B$4,U349*[1]KPI_Weights!$B$5,V349*[1]KPI_Weights!$B$6,W349*[1]KPI_Weights!$B$7,X349*[1]KPI_Weights!$B$8,Y349*[1]KPI_Weights!$B$9,Z349*[1]KPI_Weights!$B$10,AA349*[1]KPI_Weights!$B$11,AB349*[1]KPI_Weights!$B$12,AC349*[1]KPI_Weights!$B$13,AD349*[1]KPI_Weights!$B$14,AE349*[1]KPI_Weights!$B$15,AF349*[1]KPI_Weights!$B$16,AG349*[1]KPI_Weights!$B$17,AH349*[1]KPI_Weights!$B$18))/5)</f>
        <v/>
      </c>
      <c r="AL349" s="60" t="str">
        <f>IF(COUNTA(T349:AH349)=0,"",IF(OR(T349&lt;=1,W349&lt;=1,X349&lt;=1,Y349&lt;=1,AB349&lt;=1),"YES","NO"))</f>
        <v/>
      </c>
      <c r="AM349" s="60" t="str">
        <f>IF(AJ349="","",IF(AND(AL349="NO",AJ349&gt;=0.75),"YES","NO"))</f>
        <v/>
      </c>
      <c r="AN349" s="60" t="str">
        <f>IF(AJ349="","",IF(AJ349&lt;0.4,"Critical",IF(AJ349&lt;0.6,"Poor",IF(AJ349&lt;0.75,"Needs Improvement",IF(AJ349&lt;0.9,"Good","Excellent")))))</f>
        <v/>
      </c>
      <c r="AO349" s="59"/>
      <c r="AP349" s="59"/>
      <c r="AQ349" s="59"/>
      <c r="AR349" s="59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</row>
    <row r="350" spans="1:54" ht="19.5" customHeight="1" x14ac:dyDescent="0.25">
      <c r="A350" s="60" t="str">
        <f>IF($B350="","",TEXT($B350,"yyyymmdd")&amp;"-"&amp;SUBSTITUTE($F350," ","")&amp;"-"&amp;TEXT(COUNTIF($F$4:F350,$F350),"00"))</f>
        <v/>
      </c>
      <c r="B350" s="65"/>
      <c r="C350" s="60" t="str">
        <f>IF($B350="","",WEEKNUM($B350,2))</f>
        <v/>
      </c>
      <c r="D350" s="60" t="str">
        <f>IF($B350="","",TEXT($B350,"yyyy-mm"))</f>
        <v/>
      </c>
      <c r="E350" s="64"/>
      <c r="F350" s="64"/>
      <c r="G350" s="60" t="str">
        <f>IF(OR($E350="",$F350=""),"",IFERROR(IF($E350=INDEX([1]Cluster_Master!$A$4:$A$18,MATCH($F350,[1]Cluster_Master!$B$4:$B$18,0)),"OK","CHECK"),"CHECK"))</f>
        <v/>
      </c>
      <c r="H350" s="63" t="str">
        <f>IFERROR(INDEX([1]Cluster_Master!$C$4:$C$18,MATCH($F350,[1]Cluster_Master!$B$4:$B$18,0)),"")</f>
        <v/>
      </c>
      <c r="I350" s="60" t="str">
        <f>IFERROR(INDEX([1]Cluster_Master!$D$4:$D$18,MATCH($F350,[1]Cluster_Master!$B$4:$B$18,0)),"")</f>
        <v/>
      </c>
      <c r="J350" s="60" t="str">
        <f>IFERROR(INDEX([1]Cluster_Master!$E$4:$E$18,MATCH($F350,[1]Cluster_Master!$B$4:$B$18,0)),"")</f>
        <v/>
      </c>
      <c r="K350" s="60" t="str">
        <f>IFERROR(INDEX([1]Cluster_Master!$F$4:$F$18,MATCH($F350,[1]Cluster_Master!$B$4:$B$18,0)),"")</f>
        <v/>
      </c>
      <c r="L350" s="60" t="str">
        <f>IFERROR(INDEX([1]Cluster_Master!$G$4:$G$18,MATCH($F350,[1]Cluster_Master!$B$4:$B$18,0)),"")</f>
        <v/>
      </c>
      <c r="M350" s="60" t="str">
        <f>IFERROR(INDEX([1]Cluster_Master!$H$4:$H$18,MATCH($F350,[1]Cluster_Master!$B$4:$B$18,0)),"")</f>
        <v/>
      </c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60" t="str">
        <f>IF(COUNTA(T350:AH350)=0,"",SUM(T350:AH350))</f>
        <v/>
      </c>
      <c r="AJ350" s="61" t="str">
        <f>IF(COUNTA(T350:AH350)=0,"",AI350/75)</f>
        <v/>
      </c>
      <c r="AK350" s="61" t="str">
        <f>IF(COUNTA(T350:AH350)=0,"",(SUM(T350*[1]KPI_Weights!$B$4,U350*[1]KPI_Weights!$B$5,V350*[1]KPI_Weights!$B$6,W350*[1]KPI_Weights!$B$7,X350*[1]KPI_Weights!$B$8,Y350*[1]KPI_Weights!$B$9,Z350*[1]KPI_Weights!$B$10,AA350*[1]KPI_Weights!$B$11,AB350*[1]KPI_Weights!$B$12,AC350*[1]KPI_Weights!$B$13,AD350*[1]KPI_Weights!$B$14,AE350*[1]KPI_Weights!$B$15,AF350*[1]KPI_Weights!$B$16,AG350*[1]KPI_Weights!$B$17,AH350*[1]KPI_Weights!$B$18))/5)</f>
        <v/>
      </c>
      <c r="AL350" s="60" t="str">
        <f>IF(COUNTA(T350:AH350)=0,"",IF(OR(T350&lt;=1,W350&lt;=1,X350&lt;=1,Y350&lt;=1,AB350&lt;=1),"YES","NO"))</f>
        <v/>
      </c>
      <c r="AM350" s="60" t="str">
        <f>IF(AJ350="","",IF(AND(AL350="NO",AJ350&gt;=0.75),"YES","NO"))</f>
        <v/>
      </c>
      <c r="AN350" s="60" t="str">
        <f>IF(AJ350="","",IF(AJ350&lt;0.4,"Critical",IF(AJ350&lt;0.6,"Poor",IF(AJ350&lt;0.75,"Needs Improvement",IF(AJ350&lt;0.9,"Good","Excellent")))))</f>
        <v/>
      </c>
      <c r="AO350" s="59"/>
      <c r="AP350" s="59"/>
      <c r="AQ350" s="59"/>
      <c r="AR350" s="59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</row>
    <row r="351" spans="1:54" ht="19.5" customHeight="1" x14ac:dyDescent="0.25">
      <c r="A351" s="60" t="str">
        <f>IF($B351="","",TEXT($B351,"yyyymmdd")&amp;"-"&amp;SUBSTITUTE($F351," ","")&amp;"-"&amp;TEXT(COUNTIF($F$4:F351,$F351),"00"))</f>
        <v/>
      </c>
      <c r="B351" s="65"/>
      <c r="C351" s="60" t="str">
        <f>IF($B351="","",WEEKNUM($B351,2))</f>
        <v/>
      </c>
      <c r="D351" s="60" t="str">
        <f>IF($B351="","",TEXT($B351,"yyyy-mm"))</f>
        <v/>
      </c>
      <c r="E351" s="64"/>
      <c r="F351" s="64"/>
      <c r="G351" s="60" t="str">
        <f>IF(OR($E351="",$F351=""),"",IFERROR(IF($E351=INDEX([1]Cluster_Master!$A$4:$A$18,MATCH($F351,[1]Cluster_Master!$B$4:$B$18,0)),"OK","CHECK"),"CHECK"))</f>
        <v/>
      </c>
      <c r="H351" s="63" t="str">
        <f>IFERROR(INDEX([1]Cluster_Master!$C$4:$C$18,MATCH($F351,[1]Cluster_Master!$B$4:$B$18,0)),"")</f>
        <v/>
      </c>
      <c r="I351" s="60" t="str">
        <f>IFERROR(INDEX([1]Cluster_Master!$D$4:$D$18,MATCH($F351,[1]Cluster_Master!$B$4:$B$18,0)),"")</f>
        <v/>
      </c>
      <c r="J351" s="60" t="str">
        <f>IFERROR(INDEX([1]Cluster_Master!$E$4:$E$18,MATCH($F351,[1]Cluster_Master!$B$4:$B$18,0)),"")</f>
        <v/>
      </c>
      <c r="K351" s="60" t="str">
        <f>IFERROR(INDEX([1]Cluster_Master!$F$4:$F$18,MATCH($F351,[1]Cluster_Master!$B$4:$B$18,0)),"")</f>
        <v/>
      </c>
      <c r="L351" s="60" t="str">
        <f>IFERROR(INDEX([1]Cluster_Master!$G$4:$G$18,MATCH($F351,[1]Cluster_Master!$B$4:$B$18,0)),"")</f>
        <v/>
      </c>
      <c r="M351" s="60" t="str">
        <f>IFERROR(INDEX([1]Cluster_Master!$H$4:$H$18,MATCH($F351,[1]Cluster_Master!$B$4:$B$18,0)),"")</f>
        <v/>
      </c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60" t="str">
        <f>IF(COUNTA(T351:AH351)=0,"",SUM(T351:AH351))</f>
        <v/>
      </c>
      <c r="AJ351" s="61" t="str">
        <f>IF(COUNTA(T351:AH351)=0,"",AI351/75)</f>
        <v/>
      </c>
      <c r="AK351" s="61" t="str">
        <f>IF(COUNTA(T351:AH351)=0,"",(SUM(T351*[1]KPI_Weights!$B$4,U351*[1]KPI_Weights!$B$5,V351*[1]KPI_Weights!$B$6,W351*[1]KPI_Weights!$B$7,X351*[1]KPI_Weights!$B$8,Y351*[1]KPI_Weights!$B$9,Z351*[1]KPI_Weights!$B$10,AA351*[1]KPI_Weights!$B$11,AB351*[1]KPI_Weights!$B$12,AC351*[1]KPI_Weights!$B$13,AD351*[1]KPI_Weights!$B$14,AE351*[1]KPI_Weights!$B$15,AF351*[1]KPI_Weights!$B$16,AG351*[1]KPI_Weights!$B$17,AH351*[1]KPI_Weights!$B$18))/5)</f>
        <v/>
      </c>
      <c r="AL351" s="60" t="str">
        <f>IF(COUNTA(T351:AH351)=0,"",IF(OR(T351&lt;=1,W351&lt;=1,X351&lt;=1,Y351&lt;=1,AB351&lt;=1),"YES","NO"))</f>
        <v/>
      </c>
      <c r="AM351" s="60" t="str">
        <f>IF(AJ351="","",IF(AND(AL351="NO",AJ351&gt;=0.75),"YES","NO"))</f>
        <v/>
      </c>
      <c r="AN351" s="60" t="str">
        <f>IF(AJ351="","",IF(AJ351&lt;0.4,"Critical",IF(AJ351&lt;0.6,"Poor",IF(AJ351&lt;0.75,"Needs Improvement",IF(AJ351&lt;0.9,"Good","Excellent")))))</f>
        <v/>
      </c>
      <c r="AO351" s="59"/>
      <c r="AP351" s="59"/>
      <c r="AQ351" s="59"/>
      <c r="AR351" s="59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</row>
    <row r="352" spans="1:54" ht="19.5" customHeight="1" x14ac:dyDescent="0.25">
      <c r="A352" s="60" t="str">
        <f>IF($B352="","",TEXT($B352,"yyyymmdd")&amp;"-"&amp;SUBSTITUTE($F352," ","")&amp;"-"&amp;TEXT(COUNTIF($F$4:F352,$F352),"00"))</f>
        <v/>
      </c>
      <c r="B352" s="65"/>
      <c r="C352" s="60" t="str">
        <f>IF($B352="","",WEEKNUM($B352,2))</f>
        <v/>
      </c>
      <c r="D352" s="60" t="str">
        <f>IF($B352="","",TEXT($B352,"yyyy-mm"))</f>
        <v/>
      </c>
      <c r="E352" s="64"/>
      <c r="F352" s="64"/>
      <c r="G352" s="60" t="str">
        <f>IF(OR($E352="",$F352=""),"",IFERROR(IF($E352=INDEX([1]Cluster_Master!$A$4:$A$18,MATCH($F352,[1]Cluster_Master!$B$4:$B$18,0)),"OK","CHECK"),"CHECK"))</f>
        <v/>
      </c>
      <c r="H352" s="63" t="str">
        <f>IFERROR(INDEX([1]Cluster_Master!$C$4:$C$18,MATCH($F352,[1]Cluster_Master!$B$4:$B$18,0)),"")</f>
        <v/>
      </c>
      <c r="I352" s="60" t="str">
        <f>IFERROR(INDEX([1]Cluster_Master!$D$4:$D$18,MATCH($F352,[1]Cluster_Master!$B$4:$B$18,0)),"")</f>
        <v/>
      </c>
      <c r="J352" s="60" t="str">
        <f>IFERROR(INDEX([1]Cluster_Master!$E$4:$E$18,MATCH($F352,[1]Cluster_Master!$B$4:$B$18,0)),"")</f>
        <v/>
      </c>
      <c r="K352" s="60" t="str">
        <f>IFERROR(INDEX([1]Cluster_Master!$F$4:$F$18,MATCH($F352,[1]Cluster_Master!$B$4:$B$18,0)),"")</f>
        <v/>
      </c>
      <c r="L352" s="60" t="str">
        <f>IFERROR(INDEX([1]Cluster_Master!$G$4:$G$18,MATCH($F352,[1]Cluster_Master!$B$4:$B$18,0)),"")</f>
        <v/>
      </c>
      <c r="M352" s="60" t="str">
        <f>IFERROR(INDEX([1]Cluster_Master!$H$4:$H$18,MATCH($F352,[1]Cluster_Master!$B$4:$B$18,0)),"")</f>
        <v/>
      </c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60" t="str">
        <f>IF(COUNTA(T352:AH352)=0,"",SUM(T352:AH352))</f>
        <v/>
      </c>
      <c r="AJ352" s="61" t="str">
        <f>IF(COUNTA(T352:AH352)=0,"",AI352/75)</f>
        <v/>
      </c>
      <c r="AK352" s="61" t="str">
        <f>IF(COUNTA(T352:AH352)=0,"",(SUM(T352*[1]KPI_Weights!$B$4,U352*[1]KPI_Weights!$B$5,V352*[1]KPI_Weights!$B$6,W352*[1]KPI_Weights!$B$7,X352*[1]KPI_Weights!$B$8,Y352*[1]KPI_Weights!$B$9,Z352*[1]KPI_Weights!$B$10,AA352*[1]KPI_Weights!$B$11,AB352*[1]KPI_Weights!$B$12,AC352*[1]KPI_Weights!$B$13,AD352*[1]KPI_Weights!$B$14,AE352*[1]KPI_Weights!$B$15,AF352*[1]KPI_Weights!$B$16,AG352*[1]KPI_Weights!$B$17,AH352*[1]KPI_Weights!$B$18))/5)</f>
        <v/>
      </c>
      <c r="AL352" s="60" t="str">
        <f>IF(COUNTA(T352:AH352)=0,"",IF(OR(T352&lt;=1,W352&lt;=1,X352&lt;=1,Y352&lt;=1,AB352&lt;=1),"YES","NO"))</f>
        <v/>
      </c>
      <c r="AM352" s="60" t="str">
        <f>IF(AJ352="","",IF(AND(AL352="NO",AJ352&gt;=0.75),"YES","NO"))</f>
        <v/>
      </c>
      <c r="AN352" s="60" t="str">
        <f>IF(AJ352="","",IF(AJ352&lt;0.4,"Critical",IF(AJ352&lt;0.6,"Poor",IF(AJ352&lt;0.75,"Needs Improvement",IF(AJ352&lt;0.9,"Good","Excellent")))))</f>
        <v/>
      </c>
      <c r="AO352" s="59"/>
      <c r="AP352" s="59"/>
      <c r="AQ352" s="59"/>
      <c r="AR352" s="59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</row>
    <row r="353" spans="1:54" ht="19.5" customHeight="1" x14ac:dyDescent="0.25">
      <c r="A353" s="60" t="str">
        <f>IF($B353="","",TEXT($B353,"yyyymmdd")&amp;"-"&amp;SUBSTITUTE($F353," ","")&amp;"-"&amp;TEXT(COUNTIF($F$4:F353,$F353),"00"))</f>
        <v/>
      </c>
      <c r="B353" s="65"/>
      <c r="C353" s="60" t="str">
        <f>IF($B353="","",WEEKNUM($B353,2))</f>
        <v/>
      </c>
      <c r="D353" s="60" t="str">
        <f>IF($B353="","",TEXT($B353,"yyyy-mm"))</f>
        <v/>
      </c>
      <c r="E353" s="64"/>
      <c r="F353" s="64"/>
      <c r="G353" s="60" t="str">
        <f>IF(OR($E353="",$F353=""),"",IFERROR(IF($E353=INDEX([1]Cluster_Master!$A$4:$A$18,MATCH($F353,[1]Cluster_Master!$B$4:$B$18,0)),"OK","CHECK"),"CHECK"))</f>
        <v/>
      </c>
      <c r="H353" s="63" t="str">
        <f>IFERROR(INDEX([1]Cluster_Master!$C$4:$C$18,MATCH($F353,[1]Cluster_Master!$B$4:$B$18,0)),"")</f>
        <v/>
      </c>
      <c r="I353" s="60" t="str">
        <f>IFERROR(INDEX([1]Cluster_Master!$D$4:$D$18,MATCH($F353,[1]Cluster_Master!$B$4:$B$18,0)),"")</f>
        <v/>
      </c>
      <c r="J353" s="60" t="str">
        <f>IFERROR(INDEX([1]Cluster_Master!$E$4:$E$18,MATCH($F353,[1]Cluster_Master!$B$4:$B$18,0)),"")</f>
        <v/>
      </c>
      <c r="K353" s="60" t="str">
        <f>IFERROR(INDEX([1]Cluster_Master!$F$4:$F$18,MATCH($F353,[1]Cluster_Master!$B$4:$B$18,0)),"")</f>
        <v/>
      </c>
      <c r="L353" s="60" t="str">
        <f>IFERROR(INDEX([1]Cluster_Master!$G$4:$G$18,MATCH($F353,[1]Cluster_Master!$B$4:$B$18,0)),"")</f>
        <v/>
      </c>
      <c r="M353" s="60" t="str">
        <f>IFERROR(INDEX([1]Cluster_Master!$H$4:$H$18,MATCH($F353,[1]Cluster_Master!$B$4:$B$18,0)),"")</f>
        <v/>
      </c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60" t="str">
        <f>IF(COUNTA(T353:AH353)=0,"",SUM(T353:AH353))</f>
        <v/>
      </c>
      <c r="AJ353" s="61" t="str">
        <f>IF(COUNTA(T353:AH353)=0,"",AI353/75)</f>
        <v/>
      </c>
      <c r="AK353" s="61" t="str">
        <f>IF(COUNTA(T353:AH353)=0,"",(SUM(T353*[1]KPI_Weights!$B$4,U353*[1]KPI_Weights!$B$5,V353*[1]KPI_Weights!$B$6,W353*[1]KPI_Weights!$B$7,X353*[1]KPI_Weights!$B$8,Y353*[1]KPI_Weights!$B$9,Z353*[1]KPI_Weights!$B$10,AA353*[1]KPI_Weights!$B$11,AB353*[1]KPI_Weights!$B$12,AC353*[1]KPI_Weights!$B$13,AD353*[1]KPI_Weights!$B$14,AE353*[1]KPI_Weights!$B$15,AF353*[1]KPI_Weights!$B$16,AG353*[1]KPI_Weights!$B$17,AH353*[1]KPI_Weights!$B$18))/5)</f>
        <v/>
      </c>
      <c r="AL353" s="60" t="str">
        <f>IF(COUNTA(T353:AH353)=0,"",IF(OR(T353&lt;=1,W353&lt;=1,X353&lt;=1,Y353&lt;=1,AB353&lt;=1),"YES","NO"))</f>
        <v/>
      </c>
      <c r="AM353" s="60" t="str">
        <f>IF(AJ353="","",IF(AND(AL353="NO",AJ353&gt;=0.75),"YES","NO"))</f>
        <v/>
      </c>
      <c r="AN353" s="60" t="str">
        <f>IF(AJ353="","",IF(AJ353&lt;0.4,"Critical",IF(AJ353&lt;0.6,"Poor",IF(AJ353&lt;0.75,"Needs Improvement",IF(AJ353&lt;0.9,"Good","Excellent")))))</f>
        <v/>
      </c>
      <c r="AO353" s="59"/>
      <c r="AP353" s="59"/>
      <c r="AQ353" s="59"/>
      <c r="AR353" s="59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</row>
    <row r="354" spans="1:54" ht="19.5" customHeight="1" x14ac:dyDescent="0.25">
      <c r="A354" s="60" t="str">
        <f>IF($B354="","",TEXT($B354,"yyyymmdd")&amp;"-"&amp;SUBSTITUTE($F354," ","")&amp;"-"&amp;TEXT(COUNTIF($F$4:F354,$F354),"00"))</f>
        <v/>
      </c>
      <c r="B354" s="65"/>
      <c r="C354" s="60" t="str">
        <f>IF($B354="","",WEEKNUM($B354,2))</f>
        <v/>
      </c>
      <c r="D354" s="60" t="str">
        <f>IF($B354="","",TEXT($B354,"yyyy-mm"))</f>
        <v/>
      </c>
      <c r="E354" s="64"/>
      <c r="F354" s="64"/>
      <c r="G354" s="60" t="str">
        <f>IF(OR($E354="",$F354=""),"",IFERROR(IF($E354=INDEX([1]Cluster_Master!$A$4:$A$18,MATCH($F354,[1]Cluster_Master!$B$4:$B$18,0)),"OK","CHECK"),"CHECK"))</f>
        <v/>
      </c>
      <c r="H354" s="63" t="str">
        <f>IFERROR(INDEX([1]Cluster_Master!$C$4:$C$18,MATCH($F354,[1]Cluster_Master!$B$4:$B$18,0)),"")</f>
        <v/>
      </c>
      <c r="I354" s="60" t="str">
        <f>IFERROR(INDEX([1]Cluster_Master!$D$4:$D$18,MATCH($F354,[1]Cluster_Master!$B$4:$B$18,0)),"")</f>
        <v/>
      </c>
      <c r="J354" s="60" t="str">
        <f>IFERROR(INDEX([1]Cluster_Master!$E$4:$E$18,MATCH($F354,[1]Cluster_Master!$B$4:$B$18,0)),"")</f>
        <v/>
      </c>
      <c r="K354" s="60" t="str">
        <f>IFERROR(INDEX([1]Cluster_Master!$F$4:$F$18,MATCH($F354,[1]Cluster_Master!$B$4:$B$18,0)),"")</f>
        <v/>
      </c>
      <c r="L354" s="60" t="str">
        <f>IFERROR(INDEX([1]Cluster_Master!$G$4:$G$18,MATCH($F354,[1]Cluster_Master!$B$4:$B$18,0)),"")</f>
        <v/>
      </c>
      <c r="M354" s="60" t="str">
        <f>IFERROR(INDEX([1]Cluster_Master!$H$4:$H$18,MATCH($F354,[1]Cluster_Master!$B$4:$B$18,0)),"")</f>
        <v/>
      </c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60" t="str">
        <f>IF(COUNTA(T354:AH354)=0,"",SUM(T354:AH354))</f>
        <v/>
      </c>
      <c r="AJ354" s="61" t="str">
        <f>IF(COUNTA(T354:AH354)=0,"",AI354/75)</f>
        <v/>
      </c>
      <c r="AK354" s="61" t="str">
        <f>IF(COUNTA(T354:AH354)=0,"",(SUM(T354*[1]KPI_Weights!$B$4,U354*[1]KPI_Weights!$B$5,V354*[1]KPI_Weights!$B$6,W354*[1]KPI_Weights!$B$7,X354*[1]KPI_Weights!$B$8,Y354*[1]KPI_Weights!$B$9,Z354*[1]KPI_Weights!$B$10,AA354*[1]KPI_Weights!$B$11,AB354*[1]KPI_Weights!$B$12,AC354*[1]KPI_Weights!$B$13,AD354*[1]KPI_Weights!$B$14,AE354*[1]KPI_Weights!$B$15,AF354*[1]KPI_Weights!$B$16,AG354*[1]KPI_Weights!$B$17,AH354*[1]KPI_Weights!$B$18))/5)</f>
        <v/>
      </c>
      <c r="AL354" s="60" t="str">
        <f>IF(COUNTA(T354:AH354)=0,"",IF(OR(T354&lt;=1,W354&lt;=1,X354&lt;=1,Y354&lt;=1,AB354&lt;=1),"YES","NO"))</f>
        <v/>
      </c>
      <c r="AM354" s="60" t="str">
        <f>IF(AJ354="","",IF(AND(AL354="NO",AJ354&gt;=0.75),"YES","NO"))</f>
        <v/>
      </c>
      <c r="AN354" s="60" t="str">
        <f>IF(AJ354="","",IF(AJ354&lt;0.4,"Critical",IF(AJ354&lt;0.6,"Poor",IF(AJ354&lt;0.75,"Needs Improvement",IF(AJ354&lt;0.9,"Good","Excellent")))))</f>
        <v/>
      </c>
      <c r="AO354" s="59"/>
      <c r="AP354" s="59"/>
      <c r="AQ354" s="59"/>
      <c r="AR354" s="59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</row>
    <row r="355" spans="1:54" ht="19.5" customHeight="1" x14ac:dyDescent="0.25">
      <c r="A355" s="60" t="str">
        <f>IF($B355="","",TEXT($B355,"yyyymmdd")&amp;"-"&amp;SUBSTITUTE($F355," ","")&amp;"-"&amp;TEXT(COUNTIF($F$4:F355,$F355),"00"))</f>
        <v/>
      </c>
      <c r="B355" s="65"/>
      <c r="C355" s="60" t="str">
        <f>IF($B355="","",WEEKNUM($B355,2))</f>
        <v/>
      </c>
      <c r="D355" s="60" t="str">
        <f>IF($B355="","",TEXT($B355,"yyyy-mm"))</f>
        <v/>
      </c>
      <c r="E355" s="64"/>
      <c r="F355" s="64"/>
      <c r="G355" s="60" t="str">
        <f>IF(OR($E355="",$F355=""),"",IFERROR(IF($E355=INDEX([1]Cluster_Master!$A$4:$A$18,MATCH($F355,[1]Cluster_Master!$B$4:$B$18,0)),"OK","CHECK"),"CHECK"))</f>
        <v/>
      </c>
      <c r="H355" s="63" t="str">
        <f>IFERROR(INDEX([1]Cluster_Master!$C$4:$C$18,MATCH($F355,[1]Cluster_Master!$B$4:$B$18,0)),"")</f>
        <v/>
      </c>
      <c r="I355" s="60" t="str">
        <f>IFERROR(INDEX([1]Cluster_Master!$D$4:$D$18,MATCH($F355,[1]Cluster_Master!$B$4:$B$18,0)),"")</f>
        <v/>
      </c>
      <c r="J355" s="60" t="str">
        <f>IFERROR(INDEX([1]Cluster_Master!$E$4:$E$18,MATCH($F355,[1]Cluster_Master!$B$4:$B$18,0)),"")</f>
        <v/>
      </c>
      <c r="K355" s="60" t="str">
        <f>IFERROR(INDEX([1]Cluster_Master!$F$4:$F$18,MATCH($F355,[1]Cluster_Master!$B$4:$B$18,0)),"")</f>
        <v/>
      </c>
      <c r="L355" s="60" t="str">
        <f>IFERROR(INDEX([1]Cluster_Master!$G$4:$G$18,MATCH($F355,[1]Cluster_Master!$B$4:$B$18,0)),"")</f>
        <v/>
      </c>
      <c r="M355" s="60" t="str">
        <f>IFERROR(INDEX([1]Cluster_Master!$H$4:$H$18,MATCH($F355,[1]Cluster_Master!$B$4:$B$18,0)),"")</f>
        <v/>
      </c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60" t="str">
        <f>IF(COUNTA(T355:AH355)=0,"",SUM(T355:AH355))</f>
        <v/>
      </c>
      <c r="AJ355" s="61" t="str">
        <f>IF(COUNTA(T355:AH355)=0,"",AI355/75)</f>
        <v/>
      </c>
      <c r="AK355" s="61" t="str">
        <f>IF(COUNTA(T355:AH355)=0,"",(SUM(T355*[1]KPI_Weights!$B$4,U355*[1]KPI_Weights!$B$5,V355*[1]KPI_Weights!$B$6,W355*[1]KPI_Weights!$B$7,X355*[1]KPI_Weights!$B$8,Y355*[1]KPI_Weights!$B$9,Z355*[1]KPI_Weights!$B$10,AA355*[1]KPI_Weights!$B$11,AB355*[1]KPI_Weights!$B$12,AC355*[1]KPI_Weights!$B$13,AD355*[1]KPI_Weights!$B$14,AE355*[1]KPI_Weights!$B$15,AF355*[1]KPI_Weights!$B$16,AG355*[1]KPI_Weights!$B$17,AH355*[1]KPI_Weights!$B$18))/5)</f>
        <v/>
      </c>
      <c r="AL355" s="60" t="str">
        <f>IF(COUNTA(T355:AH355)=0,"",IF(OR(T355&lt;=1,W355&lt;=1,X355&lt;=1,Y355&lt;=1,AB355&lt;=1),"YES","NO"))</f>
        <v/>
      </c>
      <c r="AM355" s="60" t="str">
        <f>IF(AJ355="","",IF(AND(AL355="NO",AJ355&gt;=0.75),"YES","NO"))</f>
        <v/>
      </c>
      <c r="AN355" s="60" t="str">
        <f>IF(AJ355="","",IF(AJ355&lt;0.4,"Critical",IF(AJ355&lt;0.6,"Poor",IF(AJ355&lt;0.75,"Needs Improvement",IF(AJ355&lt;0.9,"Good","Excellent")))))</f>
        <v/>
      </c>
      <c r="AO355" s="59"/>
      <c r="AP355" s="59"/>
      <c r="AQ355" s="59"/>
      <c r="AR355" s="59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</row>
    <row r="356" spans="1:54" ht="19.5" customHeight="1" x14ac:dyDescent="0.25">
      <c r="A356" s="60" t="str">
        <f>IF($B356="","",TEXT($B356,"yyyymmdd")&amp;"-"&amp;SUBSTITUTE($F356," ","")&amp;"-"&amp;TEXT(COUNTIF($F$4:F356,$F356),"00"))</f>
        <v/>
      </c>
      <c r="B356" s="65"/>
      <c r="C356" s="60" t="str">
        <f>IF($B356="","",WEEKNUM($B356,2))</f>
        <v/>
      </c>
      <c r="D356" s="60" t="str">
        <f>IF($B356="","",TEXT($B356,"yyyy-mm"))</f>
        <v/>
      </c>
      <c r="E356" s="64"/>
      <c r="F356" s="64"/>
      <c r="G356" s="60" t="str">
        <f>IF(OR($E356="",$F356=""),"",IFERROR(IF($E356=INDEX([1]Cluster_Master!$A$4:$A$18,MATCH($F356,[1]Cluster_Master!$B$4:$B$18,0)),"OK","CHECK"),"CHECK"))</f>
        <v/>
      </c>
      <c r="H356" s="63" t="str">
        <f>IFERROR(INDEX([1]Cluster_Master!$C$4:$C$18,MATCH($F356,[1]Cluster_Master!$B$4:$B$18,0)),"")</f>
        <v/>
      </c>
      <c r="I356" s="60" t="str">
        <f>IFERROR(INDEX([1]Cluster_Master!$D$4:$D$18,MATCH($F356,[1]Cluster_Master!$B$4:$B$18,0)),"")</f>
        <v/>
      </c>
      <c r="J356" s="60" t="str">
        <f>IFERROR(INDEX([1]Cluster_Master!$E$4:$E$18,MATCH($F356,[1]Cluster_Master!$B$4:$B$18,0)),"")</f>
        <v/>
      </c>
      <c r="K356" s="60" t="str">
        <f>IFERROR(INDEX([1]Cluster_Master!$F$4:$F$18,MATCH($F356,[1]Cluster_Master!$B$4:$B$18,0)),"")</f>
        <v/>
      </c>
      <c r="L356" s="60" t="str">
        <f>IFERROR(INDEX([1]Cluster_Master!$G$4:$G$18,MATCH($F356,[1]Cluster_Master!$B$4:$B$18,0)),"")</f>
        <v/>
      </c>
      <c r="M356" s="60" t="str">
        <f>IFERROR(INDEX([1]Cluster_Master!$H$4:$H$18,MATCH($F356,[1]Cluster_Master!$B$4:$B$18,0)),"")</f>
        <v/>
      </c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60" t="str">
        <f>IF(COUNTA(T356:AH356)=0,"",SUM(T356:AH356))</f>
        <v/>
      </c>
      <c r="AJ356" s="61" t="str">
        <f>IF(COUNTA(T356:AH356)=0,"",AI356/75)</f>
        <v/>
      </c>
      <c r="AK356" s="61" t="str">
        <f>IF(COUNTA(T356:AH356)=0,"",(SUM(T356*[1]KPI_Weights!$B$4,U356*[1]KPI_Weights!$B$5,V356*[1]KPI_Weights!$B$6,W356*[1]KPI_Weights!$B$7,X356*[1]KPI_Weights!$B$8,Y356*[1]KPI_Weights!$B$9,Z356*[1]KPI_Weights!$B$10,AA356*[1]KPI_Weights!$B$11,AB356*[1]KPI_Weights!$B$12,AC356*[1]KPI_Weights!$B$13,AD356*[1]KPI_Weights!$B$14,AE356*[1]KPI_Weights!$B$15,AF356*[1]KPI_Weights!$B$16,AG356*[1]KPI_Weights!$B$17,AH356*[1]KPI_Weights!$B$18))/5)</f>
        <v/>
      </c>
      <c r="AL356" s="60" t="str">
        <f>IF(COUNTA(T356:AH356)=0,"",IF(OR(T356&lt;=1,W356&lt;=1,X356&lt;=1,Y356&lt;=1,AB356&lt;=1),"YES","NO"))</f>
        <v/>
      </c>
      <c r="AM356" s="60" t="str">
        <f>IF(AJ356="","",IF(AND(AL356="NO",AJ356&gt;=0.75),"YES","NO"))</f>
        <v/>
      </c>
      <c r="AN356" s="60" t="str">
        <f>IF(AJ356="","",IF(AJ356&lt;0.4,"Critical",IF(AJ356&lt;0.6,"Poor",IF(AJ356&lt;0.75,"Needs Improvement",IF(AJ356&lt;0.9,"Good","Excellent")))))</f>
        <v/>
      </c>
      <c r="AO356" s="59"/>
      <c r="AP356" s="59"/>
      <c r="AQ356" s="59"/>
      <c r="AR356" s="59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</row>
    <row r="357" spans="1:54" ht="19.5" customHeight="1" x14ac:dyDescent="0.25">
      <c r="A357" s="60" t="str">
        <f>IF($B357="","",TEXT($B357,"yyyymmdd")&amp;"-"&amp;SUBSTITUTE($F357," ","")&amp;"-"&amp;TEXT(COUNTIF($F$4:F357,$F357),"00"))</f>
        <v/>
      </c>
      <c r="B357" s="65"/>
      <c r="C357" s="60" t="str">
        <f>IF($B357="","",WEEKNUM($B357,2))</f>
        <v/>
      </c>
      <c r="D357" s="60" t="str">
        <f>IF($B357="","",TEXT($B357,"yyyy-mm"))</f>
        <v/>
      </c>
      <c r="E357" s="64"/>
      <c r="F357" s="64"/>
      <c r="G357" s="60" t="str">
        <f>IF(OR($E357="",$F357=""),"",IFERROR(IF($E357=INDEX([1]Cluster_Master!$A$4:$A$18,MATCH($F357,[1]Cluster_Master!$B$4:$B$18,0)),"OK","CHECK"),"CHECK"))</f>
        <v/>
      </c>
      <c r="H357" s="63" t="str">
        <f>IFERROR(INDEX([1]Cluster_Master!$C$4:$C$18,MATCH($F357,[1]Cluster_Master!$B$4:$B$18,0)),"")</f>
        <v/>
      </c>
      <c r="I357" s="60" t="str">
        <f>IFERROR(INDEX([1]Cluster_Master!$D$4:$D$18,MATCH($F357,[1]Cluster_Master!$B$4:$B$18,0)),"")</f>
        <v/>
      </c>
      <c r="J357" s="60" t="str">
        <f>IFERROR(INDEX([1]Cluster_Master!$E$4:$E$18,MATCH($F357,[1]Cluster_Master!$B$4:$B$18,0)),"")</f>
        <v/>
      </c>
      <c r="K357" s="60" t="str">
        <f>IFERROR(INDEX([1]Cluster_Master!$F$4:$F$18,MATCH($F357,[1]Cluster_Master!$B$4:$B$18,0)),"")</f>
        <v/>
      </c>
      <c r="L357" s="60" t="str">
        <f>IFERROR(INDEX([1]Cluster_Master!$G$4:$G$18,MATCH($F357,[1]Cluster_Master!$B$4:$B$18,0)),"")</f>
        <v/>
      </c>
      <c r="M357" s="60" t="str">
        <f>IFERROR(INDEX([1]Cluster_Master!$H$4:$H$18,MATCH($F357,[1]Cluster_Master!$B$4:$B$18,0)),"")</f>
        <v/>
      </c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60" t="str">
        <f>IF(COUNTA(T357:AH357)=0,"",SUM(T357:AH357))</f>
        <v/>
      </c>
      <c r="AJ357" s="61" t="str">
        <f>IF(COUNTA(T357:AH357)=0,"",AI357/75)</f>
        <v/>
      </c>
      <c r="AK357" s="61" t="str">
        <f>IF(COUNTA(T357:AH357)=0,"",(SUM(T357*[1]KPI_Weights!$B$4,U357*[1]KPI_Weights!$B$5,V357*[1]KPI_Weights!$B$6,W357*[1]KPI_Weights!$B$7,X357*[1]KPI_Weights!$B$8,Y357*[1]KPI_Weights!$B$9,Z357*[1]KPI_Weights!$B$10,AA357*[1]KPI_Weights!$B$11,AB357*[1]KPI_Weights!$B$12,AC357*[1]KPI_Weights!$B$13,AD357*[1]KPI_Weights!$B$14,AE357*[1]KPI_Weights!$B$15,AF357*[1]KPI_Weights!$B$16,AG357*[1]KPI_Weights!$B$17,AH357*[1]KPI_Weights!$B$18))/5)</f>
        <v/>
      </c>
      <c r="AL357" s="60" t="str">
        <f>IF(COUNTA(T357:AH357)=0,"",IF(OR(T357&lt;=1,W357&lt;=1,X357&lt;=1,Y357&lt;=1,AB357&lt;=1),"YES","NO"))</f>
        <v/>
      </c>
      <c r="AM357" s="60" t="str">
        <f>IF(AJ357="","",IF(AND(AL357="NO",AJ357&gt;=0.75),"YES","NO"))</f>
        <v/>
      </c>
      <c r="AN357" s="60" t="str">
        <f>IF(AJ357="","",IF(AJ357&lt;0.4,"Critical",IF(AJ357&lt;0.6,"Poor",IF(AJ357&lt;0.75,"Needs Improvement",IF(AJ357&lt;0.9,"Good","Excellent")))))</f>
        <v/>
      </c>
      <c r="AO357" s="59"/>
      <c r="AP357" s="59"/>
      <c r="AQ357" s="59"/>
      <c r="AR357" s="59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</row>
    <row r="358" spans="1:54" ht="19.5" customHeight="1" x14ac:dyDescent="0.25">
      <c r="A358" s="60" t="str">
        <f>IF($B358="","",TEXT($B358,"yyyymmdd")&amp;"-"&amp;SUBSTITUTE($F358," ","")&amp;"-"&amp;TEXT(COUNTIF($F$4:F358,$F358),"00"))</f>
        <v/>
      </c>
      <c r="B358" s="65"/>
      <c r="C358" s="60" t="str">
        <f>IF($B358="","",WEEKNUM($B358,2))</f>
        <v/>
      </c>
      <c r="D358" s="60" t="str">
        <f>IF($B358="","",TEXT($B358,"yyyy-mm"))</f>
        <v/>
      </c>
      <c r="E358" s="64"/>
      <c r="F358" s="64"/>
      <c r="G358" s="60" t="str">
        <f>IF(OR($E358="",$F358=""),"",IFERROR(IF($E358=INDEX([1]Cluster_Master!$A$4:$A$18,MATCH($F358,[1]Cluster_Master!$B$4:$B$18,0)),"OK","CHECK"),"CHECK"))</f>
        <v/>
      </c>
      <c r="H358" s="63" t="str">
        <f>IFERROR(INDEX([1]Cluster_Master!$C$4:$C$18,MATCH($F358,[1]Cluster_Master!$B$4:$B$18,0)),"")</f>
        <v/>
      </c>
      <c r="I358" s="60" t="str">
        <f>IFERROR(INDEX([1]Cluster_Master!$D$4:$D$18,MATCH($F358,[1]Cluster_Master!$B$4:$B$18,0)),"")</f>
        <v/>
      </c>
      <c r="J358" s="60" t="str">
        <f>IFERROR(INDEX([1]Cluster_Master!$E$4:$E$18,MATCH($F358,[1]Cluster_Master!$B$4:$B$18,0)),"")</f>
        <v/>
      </c>
      <c r="K358" s="60" t="str">
        <f>IFERROR(INDEX([1]Cluster_Master!$F$4:$F$18,MATCH($F358,[1]Cluster_Master!$B$4:$B$18,0)),"")</f>
        <v/>
      </c>
      <c r="L358" s="60" t="str">
        <f>IFERROR(INDEX([1]Cluster_Master!$G$4:$G$18,MATCH($F358,[1]Cluster_Master!$B$4:$B$18,0)),"")</f>
        <v/>
      </c>
      <c r="M358" s="60" t="str">
        <f>IFERROR(INDEX([1]Cluster_Master!$H$4:$H$18,MATCH($F358,[1]Cluster_Master!$B$4:$B$18,0)),"")</f>
        <v/>
      </c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60" t="str">
        <f>IF(COUNTA(T358:AH358)=0,"",SUM(T358:AH358))</f>
        <v/>
      </c>
      <c r="AJ358" s="61" t="str">
        <f>IF(COUNTA(T358:AH358)=0,"",AI358/75)</f>
        <v/>
      </c>
      <c r="AK358" s="61" t="str">
        <f>IF(COUNTA(T358:AH358)=0,"",(SUM(T358*[1]KPI_Weights!$B$4,U358*[1]KPI_Weights!$B$5,V358*[1]KPI_Weights!$B$6,W358*[1]KPI_Weights!$B$7,X358*[1]KPI_Weights!$B$8,Y358*[1]KPI_Weights!$B$9,Z358*[1]KPI_Weights!$B$10,AA358*[1]KPI_Weights!$B$11,AB358*[1]KPI_Weights!$B$12,AC358*[1]KPI_Weights!$B$13,AD358*[1]KPI_Weights!$B$14,AE358*[1]KPI_Weights!$B$15,AF358*[1]KPI_Weights!$B$16,AG358*[1]KPI_Weights!$B$17,AH358*[1]KPI_Weights!$B$18))/5)</f>
        <v/>
      </c>
      <c r="AL358" s="60" t="str">
        <f>IF(COUNTA(T358:AH358)=0,"",IF(OR(T358&lt;=1,W358&lt;=1,X358&lt;=1,Y358&lt;=1,AB358&lt;=1),"YES","NO"))</f>
        <v/>
      </c>
      <c r="AM358" s="60" t="str">
        <f>IF(AJ358="","",IF(AND(AL358="NO",AJ358&gt;=0.75),"YES","NO"))</f>
        <v/>
      </c>
      <c r="AN358" s="60" t="str">
        <f>IF(AJ358="","",IF(AJ358&lt;0.4,"Critical",IF(AJ358&lt;0.6,"Poor",IF(AJ358&lt;0.75,"Needs Improvement",IF(AJ358&lt;0.9,"Good","Excellent")))))</f>
        <v/>
      </c>
      <c r="AO358" s="59"/>
      <c r="AP358" s="59"/>
      <c r="AQ358" s="59"/>
      <c r="AR358" s="59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</row>
    <row r="359" spans="1:54" ht="19.5" customHeight="1" x14ac:dyDescent="0.25">
      <c r="A359" s="60" t="str">
        <f>IF($B359="","",TEXT($B359,"yyyymmdd")&amp;"-"&amp;SUBSTITUTE($F359," ","")&amp;"-"&amp;TEXT(COUNTIF($F$4:F359,$F359),"00"))</f>
        <v/>
      </c>
      <c r="B359" s="65"/>
      <c r="C359" s="60" t="str">
        <f>IF($B359="","",WEEKNUM($B359,2))</f>
        <v/>
      </c>
      <c r="D359" s="60" t="str">
        <f>IF($B359="","",TEXT($B359,"yyyy-mm"))</f>
        <v/>
      </c>
      <c r="E359" s="64"/>
      <c r="F359" s="64"/>
      <c r="G359" s="60" t="str">
        <f>IF(OR($E359="",$F359=""),"",IFERROR(IF($E359=INDEX([1]Cluster_Master!$A$4:$A$18,MATCH($F359,[1]Cluster_Master!$B$4:$B$18,0)),"OK","CHECK"),"CHECK"))</f>
        <v/>
      </c>
      <c r="H359" s="63" t="str">
        <f>IFERROR(INDEX([1]Cluster_Master!$C$4:$C$18,MATCH($F359,[1]Cluster_Master!$B$4:$B$18,0)),"")</f>
        <v/>
      </c>
      <c r="I359" s="60" t="str">
        <f>IFERROR(INDEX([1]Cluster_Master!$D$4:$D$18,MATCH($F359,[1]Cluster_Master!$B$4:$B$18,0)),"")</f>
        <v/>
      </c>
      <c r="J359" s="60" t="str">
        <f>IFERROR(INDEX([1]Cluster_Master!$E$4:$E$18,MATCH($F359,[1]Cluster_Master!$B$4:$B$18,0)),"")</f>
        <v/>
      </c>
      <c r="K359" s="60" t="str">
        <f>IFERROR(INDEX([1]Cluster_Master!$F$4:$F$18,MATCH($F359,[1]Cluster_Master!$B$4:$B$18,0)),"")</f>
        <v/>
      </c>
      <c r="L359" s="60" t="str">
        <f>IFERROR(INDEX([1]Cluster_Master!$G$4:$G$18,MATCH($F359,[1]Cluster_Master!$B$4:$B$18,0)),"")</f>
        <v/>
      </c>
      <c r="M359" s="60" t="str">
        <f>IFERROR(INDEX([1]Cluster_Master!$H$4:$H$18,MATCH($F359,[1]Cluster_Master!$B$4:$B$18,0)),"")</f>
        <v/>
      </c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60" t="str">
        <f>IF(COUNTA(T359:AH359)=0,"",SUM(T359:AH359))</f>
        <v/>
      </c>
      <c r="AJ359" s="61" t="str">
        <f>IF(COUNTA(T359:AH359)=0,"",AI359/75)</f>
        <v/>
      </c>
      <c r="AK359" s="61" t="str">
        <f>IF(COUNTA(T359:AH359)=0,"",(SUM(T359*[1]KPI_Weights!$B$4,U359*[1]KPI_Weights!$B$5,V359*[1]KPI_Weights!$B$6,W359*[1]KPI_Weights!$B$7,X359*[1]KPI_Weights!$B$8,Y359*[1]KPI_Weights!$B$9,Z359*[1]KPI_Weights!$B$10,AA359*[1]KPI_Weights!$B$11,AB359*[1]KPI_Weights!$B$12,AC359*[1]KPI_Weights!$B$13,AD359*[1]KPI_Weights!$B$14,AE359*[1]KPI_Weights!$B$15,AF359*[1]KPI_Weights!$B$16,AG359*[1]KPI_Weights!$B$17,AH359*[1]KPI_Weights!$B$18))/5)</f>
        <v/>
      </c>
      <c r="AL359" s="60" t="str">
        <f>IF(COUNTA(T359:AH359)=0,"",IF(OR(T359&lt;=1,W359&lt;=1,X359&lt;=1,Y359&lt;=1,AB359&lt;=1),"YES","NO"))</f>
        <v/>
      </c>
      <c r="AM359" s="60" t="str">
        <f>IF(AJ359="","",IF(AND(AL359="NO",AJ359&gt;=0.75),"YES","NO"))</f>
        <v/>
      </c>
      <c r="AN359" s="60" t="str">
        <f>IF(AJ359="","",IF(AJ359&lt;0.4,"Critical",IF(AJ359&lt;0.6,"Poor",IF(AJ359&lt;0.75,"Needs Improvement",IF(AJ359&lt;0.9,"Good","Excellent")))))</f>
        <v/>
      </c>
      <c r="AO359" s="59"/>
      <c r="AP359" s="59"/>
      <c r="AQ359" s="59"/>
      <c r="AR359" s="59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</row>
    <row r="360" spans="1:54" ht="19.5" customHeight="1" x14ac:dyDescent="0.25">
      <c r="A360" s="60" t="str">
        <f>IF($B360="","",TEXT($B360,"yyyymmdd")&amp;"-"&amp;SUBSTITUTE($F360," ","")&amp;"-"&amp;TEXT(COUNTIF($F$4:F360,$F360),"00"))</f>
        <v/>
      </c>
      <c r="B360" s="65"/>
      <c r="C360" s="60" t="str">
        <f>IF($B360="","",WEEKNUM($B360,2))</f>
        <v/>
      </c>
      <c r="D360" s="60" t="str">
        <f>IF($B360="","",TEXT($B360,"yyyy-mm"))</f>
        <v/>
      </c>
      <c r="E360" s="64"/>
      <c r="F360" s="64"/>
      <c r="G360" s="60" t="str">
        <f>IF(OR($E360="",$F360=""),"",IFERROR(IF($E360=INDEX([1]Cluster_Master!$A$4:$A$18,MATCH($F360,[1]Cluster_Master!$B$4:$B$18,0)),"OK","CHECK"),"CHECK"))</f>
        <v/>
      </c>
      <c r="H360" s="63" t="str">
        <f>IFERROR(INDEX([1]Cluster_Master!$C$4:$C$18,MATCH($F360,[1]Cluster_Master!$B$4:$B$18,0)),"")</f>
        <v/>
      </c>
      <c r="I360" s="60" t="str">
        <f>IFERROR(INDEX([1]Cluster_Master!$D$4:$D$18,MATCH($F360,[1]Cluster_Master!$B$4:$B$18,0)),"")</f>
        <v/>
      </c>
      <c r="J360" s="60" t="str">
        <f>IFERROR(INDEX([1]Cluster_Master!$E$4:$E$18,MATCH($F360,[1]Cluster_Master!$B$4:$B$18,0)),"")</f>
        <v/>
      </c>
      <c r="K360" s="60" t="str">
        <f>IFERROR(INDEX([1]Cluster_Master!$F$4:$F$18,MATCH($F360,[1]Cluster_Master!$B$4:$B$18,0)),"")</f>
        <v/>
      </c>
      <c r="L360" s="60" t="str">
        <f>IFERROR(INDEX([1]Cluster_Master!$G$4:$G$18,MATCH($F360,[1]Cluster_Master!$B$4:$B$18,0)),"")</f>
        <v/>
      </c>
      <c r="M360" s="60" t="str">
        <f>IFERROR(INDEX([1]Cluster_Master!$H$4:$H$18,MATCH($F360,[1]Cluster_Master!$B$4:$B$18,0)),"")</f>
        <v/>
      </c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60" t="str">
        <f>IF(COUNTA(T360:AH360)=0,"",SUM(T360:AH360))</f>
        <v/>
      </c>
      <c r="AJ360" s="61" t="str">
        <f>IF(COUNTA(T360:AH360)=0,"",AI360/75)</f>
        <v/>
      </c>
      <c r="AK360" s="61" t="str">
        <f>IF(COUNTA(T360:AH360)=0,"",(SUM(T360*[1]KPI_Weights!$B$4,U360*[1]KPI_Weights!$B$5,V360*[1]KPI_Weights!$B$6,W360*[1]KPI_Weights!$B$7,X360*[1]KPI_Weights!$B$8,Y360*[1]KPI_Weights!$B$9,Z360*[1]KPI_Weights!$B$10,AA360*[1]KPI_Weights!$B$11,AB360*[1]KPI_Weights!$B$12,AC360*[1]KPI_Weights!$B$13,AD360*[1]KPI_Weights!$B$14,AE360*[1]KPI_Weights!$B$15,AF360*[1]KPI_Weights!$B$16,AG360*[1]KPI_Weights!$B$17,AH360*[1]KPI_Weights!$B$18))/5)</f>
        <v/>
      </c>
      <c r="AL360" s="60" t="str">
        <f>IF(COUNTA(T360:AH360)=0,"",IF(OR(T360&lt;=1,W360&lt;=1,X360&lt;=1,Y360&lt;=1,AB360&lt;=1),"YES","NO"))</f>
        <v/>
      </c>
      <c r="AM360" s="60" t="str">
        <f>IF(AJ360="","",IF(AND(AL360="NO",AJ360&gt;=0.75),"YES","NO"))</f>
        <v/>
      </c>
      <c r="AN360" s="60" t="str">
        <f>IF(AJ360="","",IF(AJ360&lt;0.4,"Critical",IF(AJ360&lt;0.6,"Poor",IF(AJ360&lt;0.75,"Needs Improvement",IF(AJ360&lt;0.9,"Good","Excellent")))))</f>
        <v/>
      </c>
      <c r="AO360" s="59"/>
      <c r="AP360" s="59"/>
      <c r="AQ360" s="59"/>
      <c r="AR360" s="59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</row>
    <row r="361" spans="1:54" ht="19.5" customHeight="1" x14ac:dyDescent="0.25">
      <c r="A361" s="60" t="str">
        <f>IF($B361="","",TEXT($B361,"yyyymmdd")&amp;"-"&amp;SUBSTITUTE($F361," ","")&amp;"-"&amp;TEXT(COUNTIF($F$4:F361,$F361),"00"))</f>
        <v/>
      </c>
      <c r="B361" s="65"/>
      <c r="C361" s="60" t="str">
        <f>IF($B361="","",WEEKNUM($B361,2))</f>
        <v/>
      </c>
      <c r="D361" s="60" t="str">
        <f>IF($B361="","",TEXT($B361,"yyyy-mm"))</f>
        <v/>
      </c>
      <c r="E361" s="64"/>
      <c r="F361" s="64"/>
      <c r="G361" s="60" t="str">
        <f>IF(OR($E361="",$F361=""),"",IFERROR(IF($E361=INDEX([1]Cluster_Master!$A$4:$A$18,MATCH($F361,[1]Cluster_Master!$B$4:$B$18,0)),"OK","CHECK"),"CHECK"))</f>
        <v/>
      </c>
      <c r="H361" s="63" t="str">
        <f>IFERROR(INDEX([1]Cluster_Master!$C$4:$C$18,MATCH($F361,[1]Cluster_Master!$B$4:$B$18,0)),"")</f>
        <v/>
      </c>
      <c r="I361" s="60" t="str">
        <f>IFERROR(INDEX([1]Cluster_Master!$D$4:$D$18,MATCH($F361,[1]Cluster_Master!$B$4:$B$18,0)),"")</f>
        <v/>
      </c>
      <c r="J361" s="60" t="str">
        <f>IFERROR(INDEX([1]Cluster_Master!$E$4:$E$18,MATCH($F361,[1]Cluster_Master!$B$4:$B$18,0)),"")</f>
        <v/>
      </c>
      <c r="K361" s="60" t="str">
        <f>IFERROR(INDEX([1]Cluster_Master!$F$4:$F$18,MATCH($F361,[1]Cluster_Master!$B$4:$B$18,0)),"")</f>
        <v/>
      </c>
      <c r="L361" s="60" t="str">
        <f>IFERROR(INDEX([1]Cluster_Master!$G$4:$G$18,MATCH($F361,[1]Cluster_Master!$B$4:$B$18,0)),"")</f>
        <v/>
      </c>
      <c r="M361" s="60" t="str">
        <f>IFERROR(INDEX([1]Cluster_Master!$H$4:$H$18,MATCH($F361,[1]Cluster_Master!$B$4:$B$18,0)),"")</f>
        <v/>
      </c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60" t="str">
        <f>IF(COUNTA(T361:AH361)=0,"",SUM(T361:AH361))</f>
        <v/>
      </c>
      <c r="AJ361" s="61" t="str">
        <f>IF(COUNTA(T361:AH361)=0,"",AI361/75)</f>
        <v/>
      </c>
      <c r="AK361" s="61" t="str">
        <f>IF(COUNTA(T361:AH361)=0,"",(SUM(T361*[1]KPI_Weights!$B$4,U361*[1]KPI_Weights!$B$5,V361*[1]KPI_Weights!$B$6,W361*[1]KPI_Weights!$B$7,X361*[1]KPI_Weights!$B$8,Y361*[1]KPI_Weights!$B$9,Z361*[1]KPI_Weights!$B$10,AA361*[1]KPI_Weights!$B$11,AB361*[1]KPI_Weights!$B$12,AC361*[1]KPI_Weights!$B$13,AD361*[1]KPI_Weights!$B$14,AE361*[1]KPI_Weights!$B$15,AF361*[1]KPI_Weights!$B$16,AG361*[1]KPI_Weights!$B$17,AH361*[1]KPI_Weights!$B$18))/5)</f>
        <v/>
      </c>
      <c r="AL361" s="60" t="str">
        <f>IF(COUNTA(T361:AH361)=0,"",IF(OR(T361&lt;=1,W361&lt;=1,X361&lt;=1,Y361&lt;=1,AB361&lt;=1),"YES","NO"))</f>
        <v/>
      </c>
      <c r="AM361" s="60" t="str">
        <f>IF(AJ361="","",IF(AND(AL361="NO",AJ361&gt;=0.75),"YES","NO"))</f>
        <v/>
      </c>
      <c r="AN361" s="60" t="str">
        <f>IF(AJ361="","",IF(AJ361&lt;0.4,"Critical",IF(AJ361&lt;0.6,"Poor",IF(AJ361&lt;0.75,"Needs Improvement",IF(AJ361&lt;0.9,"Good","Excellent")))))</f>
        <v/>
      </c>
      <c r="AO361" s="59"/>
      <c r="AP361" s="59"/>
      <c r="AQ361" s="59"/>
      <c r="AR361" s="59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</row>
    <row r="362" spans="1:54" ht="19.5" customHeight="1" x14ac:dyDescent="0.25">
      <c r="A362" s="60" t="str">
        <f>IF($B362="","",TEXT($B362,"yyyymmdd")&amp;"-"&amp;SUBSTITUTE($F362," ","")&amp;"-"&amp;TEXT(COUNTIF($F$4:F362,$F362),"00"))</f>
        <v/>
      </c>
      <c r="B362" s="65"/>
      <c r="C362" s="60" t="str">
        <f>IF($B362="","",WEEKNUM($B362,2))</f>
        <v/>
      </c>
      <c r="D362" s="60" t="str">
        <f>IF($B362="","",TEXT($B362,"yyyy-mm"))</f>
        <v/>
      </c>
      <c r="E362" s="64"/>
      <c r="F362" s="64"/>
      <c r="G362" s="60" t="str">
        <f>IF(OR($E362="",$F362=""),"",IFERROR(IF($E362=INDEX([1]Cluster_Master!$A$4:$A$18,MATCH($F362,[1]Cluster_Master!$B$4:$B$18,0)),"OK","CHECK"),"CHECK"))</f>
        <v/>
      </c>
      <c r="H362" s="63" t="str">
        <f>IFERROR(INDEX([1]Cluster_Master!$C$4:$C$18,MATCH($F362,[1]Cluster_Master!$B$4:$B$18,0)),"")</f>
        <v/>
      </c>
      <c r="I362" s="60" t="str">
        <f>IFERROR(INDEX([1]Cluster_Master!$D$4:$D$18,MATCH($F362,[1]Cluster_Master!$B$4:$B$18,0)),"")</f>
        <v/>
      </c>
      <c r="J362" s="60" t="str">
        <f>IFERROR(INDEX([1]Cluster_Master!$E$4:$E$18,MATCH($F362,[1]Cluster_Master!$B$4:$B$18,0)),"")</f>
        <v/>
      </c>
      <c r="K362" s="60" t="str">
        <f>IFERROR(INDEX([1]Cluster_Master!$F$4:$F$18,MATCH($F362,[1]Cluster_Master!$B$4:$B$18,0)),"")</f>
        <v/>
      </c>
      <c r="L362" s="60" t="str">
        <f>IFERROR(INDEX([1]Cluster_Master!$G$4:$G$18,MATCH($F362,[1]Cluster_Master!$B$4:$B$18,0)),"")</f>
        <v/>
      </c>
      <c r="M362" s="60" t="str">
        <f>IFERROR(INDEX([1]Cluster_Master!$H$4:$H$18,MATCH($F362,[1]Cluster_Master!$B$4:$B$18,0)),"")</f>
        <v/>
      </c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60" t="str">
        <f>IF(COUNTA(T362:AH362)=0,"",SUM(T362:AH362))</f>
        <v/>
      </c>
      <c r="AJ362" s="61" t="str">
        <f>IF(COUNTA(T362:AH362)=0,"",AI362/75)</f>
        <v/>
      </c>
      <c r="AK362" s="61" t="str">
        <f>IF(COUNTA(T362:AH362)=0,"",(SUM(T362*[1]KPI_Weights!$B$4,U362*[1]KPI_Weights!$B$5,V362*[1]KPI_Weights!$B$6,W362*[1]KPI_Weights!$B$7,X362*[1]KPI_Weights!$B$8,Y362*[1]KPI_Weights!$B$9,Z362*[1]KPI_Weights!$B$10,AA362*[1]KPI_Weights!$B$11,AB362*[1]KPI_Weights!$B$12,AC362*[1]KPI_Weights!$B$13,AD362*[1]KPI_Weights!$B$14,AE362*[1]KPI_Weights!$B$15,AF362*[1]KPI_Weights!$B$16,AG362*[1]KPI_Weights!$B$17,AH362*[1]KPI_Weights!$B$18))/5)</f>
        <v/>
      </c>
      <c r="AL362" s="60" t="str">
        <f>IF(COUNTA(T362:AH362)=0,"",IF(OR(T362&lt;=1,W362&lt;=1,X362&lt;=1,Y362&lt;=1,AB362&lt;=1),"YES","NO"))</f>
        <v/>
      </c>
      <c r="AM362" s="60" t="str">
        <f>IF(AJ362="","",IF(AND(AL362="NO",AJ362&gt;=0.75),"YES","NO"))</f>
        <v/>
      </c>
      <c r="AN362" s="60" t="str">
        <f>IF(AJ362="","",IF(AJ362&lt;0.4,"Critical",IF(AJ362&lt;0.6,"Poor",IF(AJ362&lt;0.75,"Needs Improvement",IF(AJ362&lt;0.9,"Good","Excellent")))))</f>
        <v/>
      </c>
      <c r="AO362" s="59"/>
      <c r="AP362" s="59"/>
      <c r="AQ362" s="59"/>
      <c r="AR362" s="59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</row>
    <row r="363" spans="1:54" ht="19.5" customHeight="1" x14ac:dyDescent="0.25">
      <c r="A363" s="60" t="str">
        <f>IF($B363="","",TEXT($B363,"yyyymmdd")&amp;"-"&amp;SUBSTITUTE($F363," ","")&amp;"-"&amp;TEXT(COUNTIF($F$4:F363,$F363),"00"))</f>
        <v/>
      </c>
      <c r="B363" s="65"/>
      <c r="C363" s="60" t="str">
        <f>IF($B363="","",WEEKNUM($B363,2))</f>
        <v/>
      </c>
      <c r="D363" s="60" t="str">
        <f>IF($B363="","",TEXT($B363,"yyyy-mm"))</f>
        <v/>
      </c>
      <c r="E363" s="64"/>
      <c r="F363" s="64"/>
      <c r="G363" s="60" t="str">
        <f>IF(OR($E363="",$F363=""),"",IFERROR(IF($E363=INDEX([1]Cluster_Master!$A$4:$A$18,MATCH($F363,[1]Cluster_Master!$B$4:$B$18,0)),"OK","CHECK"),"CHECK"))</f>
        <v/>
      </c>
      <c r="H363" s="63" t="str">
        <f>IFERROR(INDEX([1]Cluster_Master!$C$4:$C$18,MATCH($F363,[1]Cluster_Master!$B$4:$B$18,0)),"")</f>
        <v/>
      </c>
      <c r="I363" s="60" t="str">
        <f>IFERROR(INDEX([1]Cluster_Master!$D$4:$D$18,MATCH($F363,[1]Cluster_Master!$B$4:$B$18,0)),"")</f>
        <v/>
      </c>
      <c r="J363" s="60" t="str">
        <f>IFERROR(INDEX([1]Cluster_Master!$E$4:$E$18,MATCH($F363,[1]Cluster_Master!$B$4:$B$18,0)),"")</f>
        <v/>
      </c>
      <c r="K363" s="60" t="str">
        <f>IFERROR(INDEX([1]Cluster_Master!$F$4:$F$18,MATCH($F363,[1]Cluster_Master!$B$4:$B$18,0)),"")</f>
        <v/>
      </c>
      <c r="L363" s="60" t="str">
        <f>IFERROR(INDEX([1]Cluster_Master!$G$4:$G$18,MATCH($F363,[1]Cluster_Master!$B$4:$B$18,0)),"")</f>
        <v/>
      </c>
      <c r="M363" s="60" t="str">
        <f>IFERROR(INDEX([1]Cluster_Master!$H$4:$H$18,MATCH($F363,[1]Cluster_Master!$B$4:$B$18,0)),"")</f>
        <v/>
      </c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60" t="str">
        <f>IF(COUNTA(T363:AH363)=0,"",SUM(T363:AH363))</f>
        <v/>
      </c>
      <c r="AJ363" s="61" t="str">
        <f>IF(COUNTA(T363:AH363)=0,"",AI363/75)</f>
        <v/>
      </c>
      <c r="AK363" s="61" t="str">
        <f>IF(COUNTA(T363:AH363)=0,"",(SUM(T363*[1]KPI_Weights!$B$4,U363*[1]KPI_Weights!$B$5,V363*[1]KPI_Weights!$B$6,W363*[1]KPI_Weights!$B$7,X363*[1]KPI_Weights!$B$8,Y363*[1]KPI_Weights!$B$9,Z363*[1]KPI_Weights!$B$10,AA363*[1]KPI_Weights!$B$11,AB363*[1]KPI_Weights!$B$12,AC363*[1]KPI_Weights!$B$13,AD363*[1]KPI_Weights!$B$14,AE363*[1]KPI_Weights!$B$15,AF363*[1]KPI_Weights!$B$16,AG363*[1]KPI_Weights!$B$17,AH363*[1]KPI_Weights!$B$18))/5)</f>
        <v/>
      </c>
      <c r="AL363" s="60" t="str">
        <f>IF(COUNTA(T363:AH363)=0,"",IF(OR(T363&lt;=1,W363&lt;=1,X363&lt;=1,Y363&lt;=1,AB363&lt;=1),"YES","NO"))</f>
        <v/>
      </c>
      <c r="AM363" s="60" t="str">
        <f>IF(AJ363="","",IF(AND(AL363="NO",AJ363&gt;=0.75),"YES","NO"))</f>
        <v/>
      </c>
      <c r="AN363" s="60" t="str">
        <f>IF(AJ363="","",IF(AJ363&lt;0.4,"Critical",IF(AJ363&lt;0.6,"Poor",IF(AJ363&lt;0.75,"Needs Improvement",IF(AJ363&lt;0.9,"Good","Excellent")))))</f>
        <v/>
      </c>
      <c r="AO363" s="59"/>
      <c r="AP363" s="59"/>
      <c r="AQ363" s="59"/>
      <c r="AR363" s="59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</row>
    <row r="364" spans="1:54" ht="19.5" customHeight="1" x14ac:dyDescent="0.25">
      <c r="A364" s="60" t="str">
        <f>IF($B364="","",TEXT($B364,"yyyymmdd")&amp;"-"&amp;SUBSTITUTE($F364," ","")&amp;"-"&amp;TEXT(COUNTIF($F$4:F364,$F364),"00"))</f>
        <v/>
      </c>
      <c r="B364" s="65"/>
      <c r="C364" s="60" t="str">
        <f>IF($B364="","",WEEKNUM($B364,2))</f>
        <v/>
      </c>
      <c r="D364" s="60" t="str">
        <f>IF($B364="","",TEXT($B364,"yyyy-mm"))</f>
        <v/>
      </c>
      <c r="E364" s="64"/>
      <c r="F364" s="64"/>
      <c r="G364" s="60" t="str">
        <f>IF(OR($E364="",$F364=""),"",IFERROR(IF($E364=INDEX([1]Cluster_Master!$A$4:$A$18,MATCH($F364,[1]Cluster_Master!$B$4:$B$18,0)),"OK","CHECK"),"CHECK"))</f>
        <v/>
      </c>
      <c r="H364" s="63" t="str">
        <f>IFERROR(INDEX([1]Cluster_Master!$C$4:$C$18,MATCH($F364,[1]Cluster_Master!$B$4:$B$18,0)),"")</f>
        <v/>
      </c>
      <c r="I364" s="60" t="str">
        <f>IFERROR(INDEX([1]Cluster_Master!$D$4:$D$18,MATCH($F364,[1]Cluster_Master!$B$4:$B$18,0)),"")</f>
        <v/>
      </c>
      <c r="J364" s="60" t="str">
        <f>IFERROR(INDEX([1]Cluster_Master!$E$4:$E$18,MATCH($F364,[1]Cluster_Master!$B$4:$B$18,0)),"")</f>
        <v/>
      </c>
      <c r="K364" s="60" t="str">
        <f>IFERROR(INDEX([1]Cluster_Master!$F$4:$F$18,MATCH($F364,[1]Cluster_Master!$B$4:$B$18,0)),"")</f>
        <v/>
      </c>
      <c r="L364" s="60" t="str">
        <f>IFERROR(INDEX([1]Cluster_Master!$G$4:$G$18,MATCH($F364,[1]Cluster_Master!$B$4:$B$18,0)),"")</f>
        <v/>
      </c>
      <c r="M364" s="60" t="str">
        <f>IFERROR(INDEX([1]Cluster_Master!$H$4:$H$18,MATCH($F364,[1]Cluster_Master!$B$4:$B$18,0)),"")</f>
        <v/>
      </c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60" t="str">
        <f>IF(COUNTA(T364:AH364)=0,"",SUM(T364:AH364))</f>
        <v/>
      </c>
      <c r="AJ364" s="61" t="str">
        <f>IF(COUNTA(T364:AH364)=0,"",AI364/75)</f>
        <v/>
      </c>
      <c r="AK364" s="61" t="str">
        <f>IF(COUNTA(T364:AH364)=0,"",(SUM(T364*[1]KPI_Weights!$B$4,U364*[1]KPI_Weights!$B$5,V364*[1]KPI_Weights!$B$6,W364*[1]KPI_Weights!$B$7,X364*[1]KPI_Weights!$B$8,Y364*[1]KPI_Weights!$B$9,Z364*[1]KPI_Weights!$B$10,AA364*[1]KPI_Weights!$B$11,AB364*[1]KPI_Weights!$B$12,AC364*[1]KPI_Weights!$B$13,AD364*[1]KPI_Weights!$B$14,AE364*[1]KPI_Weights!$B$15,AF364*[1]KPI_Weights!$B$16,AG364*[1]KPI_Weights!$B$17,AH364*[1]KPI_Weights!$B$18))/5)</f>
        <v/>
      </c>
      <c r="AL364" s="60" t="str">
        <f>IF(COUNTA(T364:AH364)=0,"",IF(OR(T364&lt;=1,W364&lt;=1,X364&lt;=1,Y364&lt;=1,AB364&lt;=1),"YES","NO"))</f>
        <v/>
      </c>
      <c r="AM364" s="60" t="str">
        <f>IF(AJ364="","",IF(AND(AL364="NO",AJ364&gt;=0.75),"YES","NO"))</f>
        <v/>
      </c>
      <c r="AN364" s="60" t="str">
        <f>IF(AJ364="","",IF(AJ364&lt;0.4,"Critical",IF(AJ364&lt;0.6,"Poor",IF(AJ364&lt;0.75,"Needs Improvement",IF(AJ364&lt;0.9,"Good","Excellent")))))</f>
        <v/>
      </c>
      <c r="AO364" s="59"/>
      <c r="AP364" s="59"/>
      <c r="AQ364" s="59"/>
      <c r="AR364" s="59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</row>
    <row r="365" spans="1:54" ht="19.5" customHeight="1" x14ac:dyDescent="0.25">
      <c r="A365" s="60" t="str">
        <f>IF($B365="","",TEXT($B365,"yyyymmdd")&amp;"-"&amp;SUBSTITUTE($F365," ","")&amp;"-"&amp;TEXT(COUNTIF($F$4:F365,$F365),"00"))</f>
        <v/>
      </c>
      <c r="B365" s="65"/>
      <c r="C365" s="60" t="str">
        <f>IF($B365="","",WEEKNUM($B365,2))</f>
        <v/>
      </c>
      <c r="D365" s="60" t="str">
        <f>IF($B365="","",TEXT($B365,"yyyy-mm"))</f>
        <v/>
      </c>
      <c r="E365" s="64"/>
      <c r="F365" s="64"/>
      <c r="G365" s="60" t="str">
        <f>IF(OR($E365="",$F365=""),"",IFERROR(IF($E365=INDEX([1]Cluster_Master!$A$4:$A$18,MATCH($F365,[1]Cluster_Master!$B$4:$B$18,0)),"OK","CHECK"),"CHECK"))</f>
        <v/>
      </c>
      <c r="H365" s="63" t="str">
        <f>IFERROR(INDEX([1]Cluster_Master!$C$4:$C$18,MATCH($F365,[1]Cluster_Master!$B$4:$B$18,0)),"")</f>
        <v/>
      </c>
      <c r="I365" s="60" t="str">
        <f>IFERROR(INDEX([1]Cluster_Master!$D$4:$D$18,MATCH($F365,[1]Cluster_Master!$B$4:$B$18,0)),"")</f>
        <v/>
      </c>
      <c r="J365" s="60" t="str">
        <f>IFERROR(INDEX([1]Cluster_Master!$E$4:$E$18,MATCH($F365,[1]Cluster_Master!$B$4:$B$18,0)),"")</f>
        <v/>
      </c>
      <c r="K365" s="60" t="str">
        <f>IFERROR(INDEX([1]Cluster_Master!$F$4:$F$18,MATCH($F365,[1]Cluster_Master!$B$4:$B$18,0)),"")</f>
        <v/>
      </c>
      <c r="L365" s="60" t="str">
        <f>IFERROR(INDEX([1]Cluster_Master!$G$4:$G$18,MATCH($F365,[1]Cluster_Master!$B$4:$B$18,0)),"")</f>
        <v/>
      </c>
      <c r="M365" s="60" t="str">
        <f>IFERROR(INDEX([1]Cluster_Master!$H$4:$H$18,MATCH($F365,[1]Cluster_Master!$B$4:$B$18,0)),"")</f>
        <v/>
      </c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60" t="str">
        <f>IF(COUNTA(T365:AH365)=0,"",SUM(T365:AH365))</f>
        <v/>
      </c>
      <c r="AJ365" s="61" t="str">
        <f>IF(COUNTA(T365:AH365)=0,"",AI365/75)</f>
        <v/>
      </c>
      <c r="AK365" s="61" t="str">
        <f>IF(COUNTA(T365:AH365)=0,"",(SUM(T365*[1]KPI_Weights!$B$4,U365*[1]KPI_Weights!$B$5,V365*[1]KPI_Weights!$B$6,W365*[1]KPI_Weights!$B$7,X365*[1]KPI_Weights!$B$8,Y365*[1]KPI_Weights!$B$9,Z365*[1]KPI_Weights!$B$10,AA365*[1]KPI_Weights!$B$11,AB365*[1]KPI_Weights!$B$12,AC365*[1]KPI_Weights!$B$13,AD365*[1]KPI_Weights!$B$14,AE365*[1]KPI_Weights!$B$15,AF365*[1]KPI_Weights!$B$16,AG365*[1]KPI_Weights!$B$17,AH365*[1]KPI_Weights!$B$18))/5)</f>
        <v/>
      </c>
      <c r="AL365" s="60" t="str">
        <f>IF(COUNTA(T365:AH365)=0,"",IF(OR(T365&lt;=1,W365&lt;=1,X365&lt;=1,Y365&lt;=1,AB365&lt;=1),"YES","NO"))</f>
        <v/>
      </c>
      <c r="AM365" s="60" t="str">
        <f>IF(AJ365="","",IF(AND(AL365="NO",AJ365&gt;=0.75),"YES","NO"))</f>
        <v/>
      </c>
      <c r="AN365" s="60" t="str">
        <f>IF(AJ365="","",IF(AJ365&lt;0.4,"Critical",IF(AJ365&lt;0.6,"Poor",IF(AJ365&lt;0.75,"Needs Improvement",IF(AJ365&lt;0.9,"Good","Excellent")))))</f>
        <v/>
      </c>
      <c r="AO365" s="59"/>
      <c r="AP365" s="59"/>
      <c r="AQ365" s="59"/>
      <c r="AR365" s="59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</row>
    <row r="366" spans="1:54" ht="19.5" customHeight="1" x14ac:dyDescent="0.25">
      <c r="A366" s="60" t="str">
        <f>IF($B366="","",TEXT($B366,"yyyymmdd")&amp;"-"&amp;SUBSTITUTE($F366," ","")&amp;"-"&amp;TEXT(COUNTIF($F$4:F366,$F366),"00"))</f>
        <v/>
      </c>
      <c r="B366" s="65"/>
      <c r="C366" s="60" t="str">
        <f>IF($B366="","",WEEKNUM($B366,2))</f>
        <v/>
      </c>
      <c r="D366" s="60" t="str">
        <f>IF($B366="","",TEXT($B366,"yyyy-mm"))</f>
        <v/>
      </c>
      <c r="E366" s="64"/>
      <c r="F366" s="64"/>
      <c r="G366" s="60" t="str">
        <f>IF(OR($E366="",$F366=""),"",IFERROR(IF($E366=INDEX([1]Cluster_Master!$A$4:$A$18,MATCH($F366,[1]Cluster_Master!$B$4:$B$18,0)),"OK","CHECK"),"CHECK"))</f>
        <v/>
      </c>
      <c r="H366" s="63" t="str">
        <f>IFERROR(INDEX([1]Cluster_Master!$C$4:$C$18,MATCH($F366,[1]Cluster_Master!$B$4:$B$18,0)),"")</f>
        <v/>
      </c>
      <c r="I366" s="60" t="str">
        <f>IFERROR(INDEX([1]Cluster_Master!$D$4:$D$18,MATCH($F366,[1]Cluster_Master!$B$4:$B$18,0)),"")</f>
        <v/>
      </c>
      <c r="J366" s="60" t="str">
        <f>IFERROR(INDEX([1]Cluster_Master!$E$4:$E$18,MATCH($F366,[1]Cluster_Master!$B$4:$B$18,0)),"")</f>
        <v/>
      </c>
      <c r="K366" s="60" t="str">
        <f>IFERROR(INDEX([1]Cluster_Master!$F$4:$F$18,MATCH($F366,[1]Cluster_Master!$B$4:$B$18,0)),"")</f>
        <v/>
      </c>
      <c r="L366" s="60" t="str">
        <f>IFERROR(INDEX([1]Cluster_Master!$G$4:$G$18,MATCH($F366,[1]Cluster_Master!$B$4:$B$18,0)),"")</f>
        <v/>
      </c>
      <c r="M366" s="60" t="str">
        <f>IFERROR(INDEX([1]Cluster_Master!$H$4:$H$18,MATCH($F366,[1]Cluster_Master!$B$4:$B$18,0)),"")</f>
        <v/>
      </c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60" t="str">
        <f>IF(COUNTA(T366:AH366)=0,"",SUM(T366:AH366))</f>
        <v/>
      </c>
      <c r="AJ366" s="61" t="str">
        <f>IF(COUNTA(T366:AH366)=0,"",AI366/75)</f>
        <v/>
      </c>
      <c r="AK366" s="61" t="str">
        <f>IF(COUNTA(T366:AH366)=0,"",(SUM(T366*[1]KPI_Weights!$B$4,U366*[1]KPI_Weights!$B$5,V366*[1]KPI_Weights!$B$6,W366*[1]KPI_Weights!$B$7,X366*[1]KPI_Weights!$B$8,Y366*[1]KPI_Weights!$B$9,Z366*[1]KPI_Weights!$B$10,AA366*[1]KPI_Weights!$B$11,AB366*[1]KPI_Weights!$B$12,AC366*[1]KPI_Weights!$B$13,AD366*[1]KPI_Weights!$B$14,AE366*[1]KPI_Weights!$B$15,AF366*[1]KPI_Weights!$B$16,AG366*[1]KPI_Weights!$B$17,AH366*[1]KPI_Weights!$B$18))/5)</f>
        <v/>
      </c>
      <c r="AL366" s="60" t="str">
        <f>IF(COUNTA(T366:AH366)=0,"",IF(OR(T366&lt;=1,W366&lt;=1,X366&lt;=1,Y366&lt;=1,AB366&lt;=1),"YES","NO"))</f>
        <v/>
      </c>
      <c r="AM366" s="60" t="str">
        <f>IF(AJ366="","",IF(AND(AL366="NO",AJ366&gt;=0.75),"YES","NO"))</f>
        <v/>
      </c>
      <c r="AN366" s="60" t="str">
        <f>IF(AJ366="","",IF(AJ366&lt;0.4,"Critical",IF(AJ366&lt;0.6,"Poor",IF(AJ366&lt;0.75,"Needs Improvement",IF(AJ366&lt;0.9,"Good","Excellent")))))</f>
        <v/>
      </c>
      <c r="AO366" s="59"/>
      <c r="AP366" s="59"/>
      <c r="AQ366" s="59"/>
      <c r="AR366" s="59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</row>
    <row r="367" spans="1:54" ht="19.5" customHeight="1" x14ac:dyDescent="0.25">
      <c r="A367" s="60" t="str">
        <f>IF($B367="","",TEXT($B367,"yyyymmdd")&amp;"-"&amp;SUBSTITUTE($F367," ","")&amp;"-"&amp;TEXT(COUNTIF($F$4:F367,$F367),"00"))</f>
        <v/>
      </c>
      <c r="B367" s="65"/>
      <c r="C367" s="60" t="str">
        <f>IF($B367="","",WEEKNUM($B367,2))</f>
        <v/>
      </c>
      <c r="D367" s="60" t="str">
        <f>IF($B367="","",TEXT($B367,"yyyy-mm"))</f>
        <v/>
      </c>
      <c r="E367" s="64"/>
      <c r="F367" s="64"/>
      <c r="G367" s="60" t="str">
        <f>IF(OR($E367="",$F367=""),"",IFERROR(IF($E367=INDEX([1]Cluster_Master!$A$4:$A$18,MATCH($F367,[1]Cluster_Master!$B$4:$B$18,0)),"OK","CHECK"),"CHECK"))</f>
        <v/>
      </c>
      <c r="H367" s="63" t="str">
        <f>IFERROR(INDEX([1]Cluster_Master!$C$4:$C$18,MATCH($F367,[1]Cluster_Master!$B$4:$B$18,0)),"")</f>
        <v/>
      </c>
      <c r="I367" s="60" t="str">
        <f>IFERROR(INDEX([1]Cluster_Master!$D$4:$D$18,MATCH($F367,[1]Cluster_Master!$B$4:$B$18,0)),"")</f>
        <v/>
      </c>
      <c r="J367" s="60" t="str">
        <f>IFERROR(INDEX([1]Cluster_Master!$E$4:$E$18,MATCH($F367,[1]Cluster_Master!$B$4:$B$18,0)),"")</f>
        <v/>
      </c>
      <c r="K367" s="60" t="str">
        <f>IFERROR(INDEX([1]Cluster_Master!$F$4:$F$18,MATCH($F367,[1]Cluster_Master!$B$4:$B$18,0)),"")</f>
        <v/>
      </c>
      <c r="L367" s="60" t="str">
        <f>IFERROR(INDEX([1]Cluster_Master!$G$4:$G$18,MATCH($F367,[1]Cluster_Master!$B$4:$B$18,0)),"")</f>
        <v/>
      </c>
      <c r="M367" s="60" t="str">
        <f>IFERROR(INDEX([1]Cluster_Master!$H$4:$H$18,MATCH($F367,[1]Cluster_Master!$B$4:$B$18,0)),"")</f>
        <v/>
      </c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60" t="str">
        <f>IF(COUNTA(T367:AH367)=0,"",SUM(T367:AH367))</f>
        <v/>
      </c>
      <c r="AJ367" s="61" t="str">
        <f>IF(COUNTA(T367:AH367)=0,"",AI367/75)</f>
        <v/>
      </c>
      <c r="AK367" s="61" t="str">
        <f>IF(COUNTA(T367:AH367)=0,"",(SUM(T367*[1]KPI_Weights!$B$4,U367*[1]KPI_Weights!$B$5,V367*[1]KPI_Weights!$B$6,W367*[1]KPI_Weights!$B$7,X367*[1]KPI_Weights!$B$8,Y367*[1]KPI_Weights!$B$9,Z367*[1]KPI_Weights!$B$10,AA367*[1]KPI_Weights!$B$11,AB367*[1]KPI_Weights!$B$12,AC367*[1]KPI_Weights!$B$13,AD367*[1]KPI_Weights!$B$14,AE367*[1]KPI_Weights!$B$15,AF367*[1]KPI_Weights!$B$16,AG367*[1]KPI_Weights!$B$17,AH367*[1]KPI_Weights!$B$18))/5)</f>
        <v/>
      </c>
      <c r="AL367" s="60" t="str">
        <f>IF(COUNTA(T367:AH367)=0,"",IF(OR(T367&lt;=1,W367&lt;=1,X367&lt;=1,Y367&lt;=1,AB367&lt;=1),"YES","NO"))</f>
        <v/>
      </c>
      <c r="AM367" s="60" t="str">
        <f>IF(AJ367="","",IF(AND(AL367="NO",AJ367&gt;=0.75),"YES","NO"))</f>
        <v/>
      </c>
      <c r="AN367" s="60" t="str">
        <f>IF(AJ367="","",IF(AJ367&lt;0.4,"Critical",IF(AJ367&lt;0.6,"Poor",IF(AJ367&lt;0.75,"Needs Improvement",IF(AJ367&lt;0.9,"Good","Excellent")))))</f>
        <v/>
      </c>
      <c r="AO367" s="59"/>
      <c r="AP367" s="59"/>
      <c r="AQ367" s="59"/>
      <c r="AR367" s="59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</row>
    <row r="368" spans="1:54" ht="19.5" customHeight="1" x14ac:dyDescent="0.25">
      <c r="A368" s="60" t="str">
        <f>IF($B368="","",TEXT($B368,"yyyymmdd")&amp;"-"&amp;SUBSTITUTE($F368," ","")&amp;"-"&amp;TEXT(COUNTIF($F$4:F368,$F368),"00"))</f>
        <v/>
      </c>
      <c r="B368" s="65"/>
      <c r="C368" s="60" t="str">
        <f>IF($B368="","",WEEKNUM($B368,2))</f>
        <v/>
      </c>
      <c r="D368" s="60" t="str">
        <f>IF($B368="","",TEXT($B368,"yyyy-mm"))</f>
        <v/>
      </c>
      <c r="E368" s="64"/>
      <c r="F368" s="64"/>
      <c r="G368" s="60" t="str">
        <f>IF(OR($E368="",$F368=""),"",IFERROR(IF($E368=INDEX([1]Cluster_Master!$A$4:$A$18,MATCH($F368,[1]Cluster_Master!$B$4:$B$18,0)),"OK","CHECK"),"CHECK"))</f>
        <v/>
      </c>
      <c r="H368" s="63" t="str">
        <f>IFERROR(INDEX([1]Cluster_Master!$C$4:$C$18,MATCH($F368,[1]Cluster_Master!$B$4:$B$18,0)),"")</f>
        <v/>
      </c>
      <c r="I368" s="60" t="str">
        <f>IFERROR(INDEX([1]Cluster_Master!$D$4:$D$18,MATCH($F368,[1]Cluster_Master!$B$4:$B$18,0)),"")</f>
        <v/>
      </c>
      <c r="J368" s="60" t="str">
        <f>IFERROR(INDEX([1]Cluster_Master!$E$4:$E$18,MATCH($F368,[1]Cluster_Master!$B$4:$B$18,0)),"")</f>
        <v/>
      </c>
      <c r="K368" s="60" t="str">
        <f>IFERROR(INDEX([1]Cluster_Master!$F$4:$F$18,MATCH($F368,[1]Cluster_Master!$B$4:$B$18,0)),"")</f>
        <v/>
      </c>
      <c r="L368" s="60" t="str">
        <f>IFERROR(INDEX([1]Cluster_Master!$G$4:$G$18,MATCH($F368,[1]Cluster_Master!$B$4:$B$18,0)),"")</f>
        <v/>
      </c>
      <c r="M368" s="60" t="str">
        <f>IFERROR(INDEX([1]Cluster_Master!$H$4:$H$18,MATCH($F368,[1]Cluster_Master!$B$4:$B$18,0)),"")</f>
        <v/>
      </c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60" t="str">
        <f>IF(COUNTA(T368:AH368)=0,"",SUM(T368:AH368))</f>
        <v/>
      </c>
      <c r="AJ368" s="61" t="str">
        <f>IF(COUNTA(T368:AH368)=0,"",AI368/75)</f>
        <v/>
      </c>
      <c r="AK368" s="61" t="str">
        <f>IF(COUNTA(T368:AH368)=0,"",(SUM(T368*[1]KPI_Weights!$B$4,U368*[1]KPI_Weights!$B$5,V368*[1]KPI_Weights!$B$6,W368*[1]KPI_Weights!$B$7,X368*[1]KPI_Weights!$B$8,Y368*[1]KPI_Weights!$B$9,Z368*[1]KPI_Weights!$B$10,AA368*[1]KPI_Weights!$B$11,AB368*[1]KPI_Weights!$B$12,AC368*[1]KPI_Weights!$B$13,AD368*[1]KPI_Weights!$B$14,AE368*[1]KPI_Weights!$B$15,AF368*[1]KPI_Weights!$B$16,AG368*[1]KPI_Weights!$B$17,AH368*[1]KPI_Weights!$B$18))/5)</f>
        <v/>
      </c>
      <c r="AL368" s="60" t="str">
        <f>IF(COUNTA(T368:AH368)=0,"",IF(OR(T368&lt;=1,W368&lt;=1,X368&lt;=1,Y368&lt;=1,AB368&lt;=1),"YES","NO"))</f>
        <v/>
      </c>
      <c r="AM368" s="60" t="str">
        <f>IF(AJ368="","",IF(AND(AL368="NO",AJ368&gt;=0.75),"YES","NO"))</f>
        <v/>
      </c>
      <c r="AN368" s="60" t="str">
        <f>IF(AJ368="","",IF(AJ368&lt;0.4,"Critical",IF(AJ368&lt;0.6,"Poor",IF(AJ368&lt;0.75,"Needs Improvement",IF(AJ368&lt;0.9,"Good","Excellent")))))</f>
        <v/>
      </c>
      <c r="AO368" s="59"/>
      <c r="AP368" s="59"/>
      <c r="AQ368" s="59"/>
      <c r="AR368" s="59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</row>
    <row r="369" spans="1:54" ht="19.5" customHeight="1" x14ac:dyDescent="0.25">
      <c r="A369" s="60" t="str">
        <f>IF($B369="","",TEXT($B369,"yyyymmdd")&amp;"-"&amp;SUBSTITUTE($F369," ","")&amp;"-"&amp;TEXT(COUNTIF($F$4:F369,$F369),"00"))</f>
        <v/>
      </c>
      <c r="B369" s="65"/>
      <c r="C369" s="60" t="str">
        <f>IF($B369="","",WEEKNUM($B369,2))</f>
        <v/>
      </c>
      <c r="D369" s="60" t="str">
        <f>IF($B369="","",TEXT($B369,"yyyy-mm"))</f>
        <v/>
      </c>
      <c r="E369" s="64"/>
      <c r="F369" s="64"/>
      <c r="G369" s="60" t="str">
        <f>IF(OR($E369="",$F369=""),"",IFERROR(IF($E369=INDEX([1]Cluster_Master!$A$4:$A$18,MATCH($F369,[1]Cluster_Master!$B$4:$B$18,0)),"OK","CHECK"),"CHECK"))</f>
        <v/>
      </c>
      <c r="H369" s="63" t="str">
        <f>IFERROR(INDEX([1]Cluster_Master!$C$4:$C$18,MATCH($F369,[1]Cluster_Master!$B$4:$B$18,0)),"")</f>
        <v/>
      </c>
      <c r="I369" s="60" t="str">
        <f>IFERROR(INDEX([1]Cluster_Master!$D$4:$D$18,MATCH($F369,[1]Cluster_Master!$B$4:$B$18,0)),"")</f>
        <v/>
      </c>
      <c r="J369" s="60" t="str">
        <f>IFERROR(INDEX([1]Cluster_Master!$E$4:$E$18,MATCH($F369,[1]Cluster_Master!$B$4:$B$18,0)),"")</f>
        <v/>
      </c>
      <c r="K369" s="60" t="str">
        <f>IFERROR(INDEX([1]Cluster_Master!$F$4:$F$18,MATCH($F369,[1]Cluster_Master!$B$4:$B$18,0)),"")</f>
        <v/>
      </c>
      <c r="L369" s="60" t="str">
        <f>IFERROR(INDEX([1]Cluster_Master!$G$4:$G$18,MATCH($F369,[1]Cluster_Master!$B$4:$B$18,0)),"")</f>
        <v/>
      </c>
      <c r="M369" s="60" t="str">
        <f>IFERROR(INDEX([1]Cluster_Master!$H$4:$H$18,MATCH($F369,[1]Cluster_Master!$B$4:$B$18,0)),"")</f>
        <v/>
      </c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60" t="str">
        <f>IF(COUNTA(T369:AH369)=0,"",SUM(T369:AH369))</f>
        <v/>
      </c>
      <c r="AJ369" s="61" t="str">
        <f>IF(COUNTA(T369:AH369)=0,"",AI369/75)</f>
        <v/>
      </c>
      <c r="AK369" s="61" t="str">
        <f>IF(COUNTA(T369:AH369)=0,"",(SUM(T369*[1]KPI_Weights!$B$4,U369*[1]KPI_Weights!$B$5,V369*[1]KPI_Weights!$B$6,W369*[1]KPI_Weights!$B$7,X369*[1]KPI_Weights!$B$8,Y369*[1]KPI_Weights!$B$9,Z369*[1]KPI_Weights!$B$10,AA369*[1]KPI_Weights!$B$11,AB369*[1]KPI_Weights!$B$12,AC369*[1]KPI_Weights!$B$13,AD369*[1]KPI_Weights!$B$14,AE369*[1]KPI_Weights!$B$15,AF369*[1]KPI_Weights!$B$16,AG369*[1]KPI_Weights!$B$17,AH369*[1]KPI_Weights!$B$18))/5)</f>
        <v/>
      </c>
      <c r="AL369" s="60" t="str">
        <f>IF(COUNTA(T369:AH369)=0,"",IF(OR(T369&lt;=1,W369&lt;=1,X369&lt;=1,Y369&lt;=1,AB369&lt;=1),"YES","NO"))</f>
        <v/>
      </c>
      <c r="AM369" s="60" t="str">
        <f>IF(AJ369="","",IF(AND(AL369="NO",AJ369&gt;=0.75),"YES","NO"))</f>
        <v/>
      </c>
      <c r="AN369" s="60" t="str">
        <f>IF(AJ369="","",IF(AJ369&lt;0.4,"Critical",IF(AJ369&lt;0.6,"Poor",IF(AJ369&lt;0.75,"Needs Improvement",IF(AJ369&lt;0.9,"Good","Excellent")))))</f>
        <v/>
      </c>
      <c r="AO369" s="59"/>
      <c r="AP369" s="59"/>
      <c r="AQ369" s="59"/>
      <c r="AR369" s="59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</row>
    <row r="370" spans="1:54" ht="19.5" customHeight="1" x14ac:dyDescent="0.25">
      <c r="A370" s="60" t="str">
        <f>IF($B370="","",TEXT($B370,"yyyymmdd")&amp;"-"&amp;SUBSTITUTE($F370," ","")&amp;"-"&amp;TEXT(COUNTIF($F$4:F370,$F370),"00"))</f>
        <v/>
      </c>
      <c r="B370" s="65"/>
      <c r="C370" s="60" t="str">
        <f>IF($B370="","",WEEKNUM($B370,2))</f>
        <v/>
      </c>
      <c r="D370" s="60" t="str">
        <f>IF($B370="","",TEXT($B370,"yyyy-mm"))</f>
        <v/>
      </c>
      <c r="E370" s="64"/>
      <c r="F370" s="64"/>
      <c r="G370" s="60" t="str">
        <f>IF(OR($E370="",$F370=""),"",IFERROR(IF($E370=INDEX([1]Cluster_Master!$A$4:$A$18,MATCH($F370,[1]Cluster_Master!$B$4:$B$18,0)),"OK","CHECK"),"CHECK"))</f>
        <v/>
      </c>
      <c r="H370" s="63" t="str">
        <f>IFERROR(INDEX([1]Cluster_Master!$C$4:$C$18,MATCH($F370,[1]Cluster_Master!$B$4:$B$18,0)),"")</f>
        <v/>
      </c>
      <c r="I370" s="60" t="str">
        <f>IFERROR(INDEX([1]Cluster_Master!$D$4:$D$18,MATCH($F370,[1]Cluster_Master!$B$4:$B$18,0)),"")</f>
        <v/>
      </c>
      <c r="J370" s="60" t="str">
        <f>IFERROR(INDEX([1]Cluster_Master!$E$4:$E$18,MATCH($F370,[1]Cluster_Master!$B$4:$B$18,0)),"")</f>
        <v/>
      </c>
      <c r="K370" s="60" t="str">
        <f>IFERROR(INDEX([1]Cluster_Master!$F$4:$F$18,MATCH($F370,[1]Cluster_Master!$B$4:$B$18,0)),"")</f>
        <v/>
      </c>
      <c r="L370" s="60" t="str">
        <f>IFERROR(INDEX([1]Cluster_Master!$G$4:$G$18,MATCH($F370,[1]Cluster_Master!$B$4:$B$18,0)),"")</f>
        <v/>
      </c>
      <c r="M370" s="60" t="str">
        <f>IFERROR(INDEX([1]Cluster_Master!$H$4:$H$18,MATCH($F370,[1]Cluster_Master!$B$4:$B$18,0)),"")</f>
        <v/>
      </c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60" t="str">
        <f>IF(COUNTA(T370:AH370)=0,"",SUM(T370:AH370))</f>
        <v/>
      </c>
      <c r="AJ370" s="61" t="str">
        <f>IF(COUNTA(T370:AH370)=0,"",AI370/75)</f>
        <v/>
      </c>
      <c r="AK370" s="61" t="str">
        <f>IF(COUNTA(T370:AH370)=0,"",(SUM(T370*[1]KPI_Weights!$B$4,U370*[1]KPI_Weights!$B$5,V370*[1]KPI_Weights!$B$6,W370*[1]KPI_Weights!$B$7,X370*[1]KPI_Weights!$B$8,Y370*[1]KPI_Weights!$B$9,Z370*[1]KPI_Weights!$B$10,AA370*[1]KPI_Weights!$B$11,AB370*[1]KPI_Weights!$B$12,AC370*[1]KPI_Weights!$B$13,AD370*[1]KPI_Weights!$B$14,AE370*[1]KPI_Weights!$B$15,AF370*[1]KPI_Weights!$B$16,AG370*[1]KPI_Weights!$B$17,AH370*[1]KPI_Weights!$B$18))/5)</f>
        <v/>
      </c>
      <c r="AL370" s="60" t="str">
        <f>IF(COUNTA(T370:AH370)=0,"",IF(OR(T370&lt;=1,W370&lt;=1,X370&lt;=1,Y370&lt;=1,AB370&lt;=1),"YES","NO"))</f>
        <v/>
      </c>
      <c r="AM370" s="60" t="str">
        <f>IF(AJ370="","",IF(AND(AL370="NO",AJ370&gt;=0.75),"YES","NO"))</f>
        <v/>
      </c>
      <c r="AN370" s="60" t="str">
        <f>IF(AJ370="","",IF(AJ370&lt;0.4,"Critical",IF(AJ370&lt;0.6,"Poor",IF(AJ370&lt;0.75,"Needs Improvement",IF(AJ370&lt;0.9,"Good","Excellent")))))</f>
        <v/>
      </c>
      <c r="AO370" s="59"/>
      <c r="AP370" s="59"/>
      <c r="AQ370" s="59"/>
      <c r="AR370" s="59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</row>
    <row r="371" spans="1:54" ht="19.5" customHeight="1" x14ac:dyDescent="0.25">
      <c r="A371" s="60" t="str">
        <f>IF($B371="","",TEXT($B371,"yyyymmdd")&amp;"-"&amp;SUBSTITUTE($F371," ","")&amp;"-"&amp;TEXT(COUNTIF($F$4:F371,$F371),"00"))</f>
        <v/>
      </c>
      <c r="B371" s="65"/>
      <c r="C371" s="60" t="str">
        <f>IF($B371="","",WEEKNUM($B371,2))</f>
        <v/>
      </c>
      <c r="D371" s="60" t="str">
        <f>IF($B371="","",TEXT($B371,"yyyy-mm"))</f>
        <v/>
      </c>
      <c r="E371" s="64"/>
      <c r="F371" s="64"/>
      <c r="G371" s="60" t="str">
        <f>IF(OR($E371="",$F371=""),"",IFERROR(IF($E371=INDEX([1]Cluster_Master!$A$4:$A$18,MATCH($F371,[1]Cluster_Master!$B$4:$B$18,0)),"OK","CHECK"),"CHECK"))</f>
        <v/>
      </c>
      <c r="H371" s="63" t="str">
        <f>IFERROR(INDEX([1]Cluster_Master!$C$4:$C$18,MATCH($F371,[1]Cluster_Master!$B$4:$B$18,0)),"")</f>
        <v/>
      </c>
      <c r="I371" s="60" t="str">
        <f>IFERROR(INDEX([1]Cluster_Master!$D$4:$D$18,MATCH($F371,[1]Cluster_Master!$B$4:$B$18,0)),"")</f>
        <v/>
      </c>
      <c r="J371" s="60" t="str">
        <f>IFERROR(INDEX([1]Cluster_Master!$E$4:$E$18,MATCH($F371,[1]Cluster_Master!$B$4:$B$18,0)),"")</f>
        <v/>
      </c>
      <c r="K371" s="60" t="str">
        <f>IFERROR(INDEX([1]Cluster_Master!$F$4:$F$18,MATCH($F371,[1]Cluster_Master!$B$4:$B$18,0)),"")</f>
        <v/>
      </c>
      <c r="L371" s="60" t="str">
        <f>IFERROR(INDEX([1]Cluster_Master!$G$4:$G$18,MATCH($F371,[1]Cluster_Master!$B$4:$B$18,0)),"")</f>
        <v/>
      </c>
      <c r="M371" s="60" t="str">
        <f>IFERROR(INDEX([1]Cluster_Master!$H$4:$H$18,MATCH($F371,[1]Cluster_Master!$B$4:$B$18,0)),"")</f>
        <v/>
      </c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60" t="str">
        <f>IF(COUNTA(T371:AH371)=0,"",SUM(T371:AH371))</f>
        <v/>
      </c>
      <c r="AJ371" s="61" t="str">
        <f>IF(COUNTA(T371:AH371)=0,"",AI371/75)</f>
        <v/>
      </c>
      <c r="AK371" s="61" t="str">
        <f>IF(COUNTA(T371:AH371)=0,"",(SUM(T371*[1]KPI_Weights!$B$4,U371*[1]KPI_Weights!$B$5,V371*[1]KPI_Weights!$B$6,W371*[1]KPI_Weights!$B$7,X371*[1]KPI_Weights!$B$8,Y371*[1]KPI_Weights!$B$9,Z371*[1]KPI_Weights!$B$10,AA371*[1]KPI_Weights!$B$11,AB371*[1]KPI_Weights!$B$12,AC371*[1]KPI_Weights!$B$13,AD371*[1]KPI_Weights!$B$14,AE371*[1]KPI_Weights!$B$15,AF371*[1]KPI_Weights!$B$16,AG371*[1]KPI_Weights!$B$17,AH371*[1]KPI_Weights!$B$18))/5)</f>
        <v/>
      </c>
      <c r="AL371" s="60" t="str">
        <f>IF(COUNTA(T371:AH371)=0,"",IF(OR(T371&lt;=1,W371&lt;=1,X371&lt;=1,Y371&lt;=1,AB371&lt;=1),"YES","NO"))</f>
        <v/>
      </c>
      <c r="AM371" s="60" t="str">
        <f>IF(AJ371="","",IF(AND(AL371="NO",AJ371&gt;=0.75),"YES","NO"))</f>
        <v/>
      </c>
      <c r="AN371" s="60" t="str">
        <f>IF(AJ371="","",IF(AJ371&lt;0.4,"Critical",IF(AJ371&lt;0.6,"Poor",IF(AJ371&lt;0.75,"Needs Improvement",IF(AJ371&lt;0.9,"Good","Excellent")))))</f>
        <v/>
      </c>
      <c r="AO371" s="59"/>
      <c r="AP371" s="59"/>
      <c r="AQ371" s="59"/>
      <c r="AR371" s="59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</row>
    <row r="372" spans="1:54" ht="19.5" customHeight="1" x14ac:dyDescent="0.25">
      <c r="A372" s="60" t="str">
        <f>IF($B372="","",TEXT($B372,"yyyymmdd")&amp;"-"&amp;SUBSTITUTE($F372," ","")&amp;"-"&amp;TEXT(COUNTIF($F$4:F372,$F372),"00"))</f>
        <v/>
      </c>
      <c r="B372" s="65"/>
      <c r="C372" s="60" t="str">
        <f>IF($B372="","",WEEKNUM($B372,2))</f>
        <v/>
      </c>
      <c r="D372" s="60" t="str">
        <f>IF($B372="","",TEXT($B372,"yyyy-mm"))</f>
        <v/>
      </c>
      <c r="E372" s="64"/>
      <c r="F372" s="64"/>
      <c r="G372" s="60" t="str">
        <f>IF(OR($E372="",$F372=""),"",IFERROR(IF($E372=INDEX([1]Cluster_Master!$A$4:$A$18,MATCH($F372,[1]Cluster_Master!$B$4:$B$18,0)),"OK","CHECK"),"CHECK"))</f>
        <v/>
      </c>
      <c r="H372" s="63" t="str">
        <f>IFERROR(INDEX([1]Cluster_Master!$C$4:$C$18,MATCH($F372,[1]Cluster_Master!$B$4:$B$18,0)),"")</f>
        <v/>
      </c>
      <c r="I372" s="60" t="str">
        <f>IFERROR(INDEX([1]Cluster_Master!$D$4:$D$18,MATCH($F372,[1]Cluster_Master!$B$4:$B$18,0)),"")</f>
        <v/>
      </c>
      <c r="J372" s="60" t="str">
        <f>IFERROR(INDEX([1]Cluster_Master!$E$4:$E$18,MATCH($F372,[1]Cluster_Master!$B$4:$B$18,0)),"")</f>
        <v/>
      </c>
      <c r="K372" s="60" t="str">
        <f>IFERROR(INDEX([1]Cluster_Master!$F$4:$F$18,MATCH($F372,[1]Cluster_Master!$B$4:$B$18,0)),"")</f>
        <v/>
      </c>
      <c r="L372" s="60" t="str">
        <f>IFERROR(INDEX([1]Cluster_Master!$G$4:$G$18,MATCH($F372,[1]Cluster_Master!$B$4:$B$18,0)),"")</f>
        <v/>
      </c>
      <c r="M372" s="60" t="str">
        <f>IFERROR(INDEX([1]Cluster_Master!$H$4:$H$18,MATCH($F372,[1]Cluster_Master!$B$4:$B$18,0)),"")</f>
        <v/>
      </c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60" t="str">
        <f>IF(COUNTA(T372:AH372)=0,"",SUM(T372:AH372))</f>
        <v/>
      </c>
      <c r="AJ372" s="61" t="str">
        <f>IF(COUNTA(T372:AH372)=0,"",AI372/75)</f>
        <v/>
      </c>
      <c r="AK372" s="61" t="str">
        <f>IF(COUNTA(T372:AH372)=0,"",(SUM(T372*[1]KPI_Weights!$B$4,U372*[1]KPI_Weights!$B$5,V372*[1]KPI_Weights!$B$6,W372*[1]KPI_Weights!$B$7,X372*[1]KPI_Weights!$B$8,Y372*[1]KPI_Weights!$B$9,Z372*[1]KPI_Weights!$B$10,AA372*[1]KPI_Weights!$B$11,AB372*[1]KPI_Weights!$B$12,AC372*[1]KPI_Weights!$B$13,AD372*[1]KPI_Weights!$B$14,AE372*[1]KPI_Weights!$B$15,AF372*[1]KPI_Weights!$B$16,AG372*[1]KPI_Weights!$B$17,AH372*[1]KPI_Weights!$B$18))/5)</f>
        <v/>
      </c>
      <c r="AL372" s="60" t="str">
        <f>IF(COUNTA(T372:AH372)=0,"",IF(OR(T372&lt;=1,W372&lt;=1,X372&lt;=1,Y372&lt;=1,AB372&lt;=1),"YES","NO"))</f>
        <v/>
      </c>
      <c r="AM372" s="60" t="str">
        <f>IF(AJ372="","",IF(AND(AL372="NO",AJ372&gt;=0.75),"YES","NO"))</f>
        <v/>
      </c>
      <c r="AN372" s="60" t="str">
        <f>IF(AJ372="","",IF(AJ372&lt;0.4,"Critical",IF(AJ372&lt;0.6,"Poor",IF(AJ372&lt;0.75,"Needs Improvement",IF(AJ372&lt;0.9,"Good","Excellent")))))</f>
        <v/>
      </c>
      <c r="AO372" s="59"/>
      <c r="AP372" s="59"/>
      <c r="AQ372" s="59"/>
      <c r="AR372" s="59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</row>
    <row r="373" spans="1:54" ht="19.5" customHeight="1" x14ac:dyDescent="0.25">
      <c r="A373" s="60" t="str">
        <f>IF($B373="","",TEXT($B373,"yyyymmdd")&amp;"-"&amp;SUBSTITUTE($F373," ","")&amp;"-"&amp;TEXT(COUNTIF($F$4:F373,$F373),"00"))</f>
        <v/>
      </c>
      <c r="B373" s="65"/>
      <c r="C373" s="60" t="str">
        <f>IF($B373="","",WEEKNUM($B373,2))</f>
        <v/>
      </c>
      <c r="D373" s="60" t="str">
        <f>IF($B373="","",TEXT($B373,"yyyy-mm"))</f>
        <v/>
      </c>
      <c r="E373" s="64"/>
      <c r="F373" s="64"/>
      <c r="G373" s="60" t="str">
        <f>IF(OR($E373="",$F373=""),"",IFERROR(IF($E373=INDEX([1]Cluster_Master!$A$4:$A$18,MATCH($F373,[1]Cluster_Master!$B$4:$B$18,0)),"OK","CHECK"),"CHECK"))</f>
        <v/>
      </c>
      <c r="H373" s="63" t="str">
        <f>IFERROR(INDEX([1]Cluster_Master!$C$4:$C$18,MATCH($F373,[1]Cluster_Master!$B$4:$B$18,0)),"")</f>
        <v/>
      </c>
      <c r="I373" s="60" t="str">
        <f>IFERROR(INDEX([1]Cluster_Master!$D$4:$D$18,MATCH($F373,[1]Cluster_Master!$B$4:$B$18,0)),"")</f>
        <v/>
      </c>
      <c r="J373" s="60" t="str">
        <f>IFERROR(INDEX([1]Cluster_Master!$E$4:$E$18,MATCH($F373,[1]Cluster_Master!$B$4:$B$18,0)),"")</f>
        <v/>
      </c>
      <c r="K373" s="60" t="str">
        <f>IFERROR(INDEX([1]Cluster_Master!$F$4:$F$18,MATCH($F373,[1]Cluster_Master!$B$4:$B$18,0)),"")</f>
        <v/>
      </c>
      <c r="L373" s="60" t="str">
        <f>IFERROR(INDEX([1]Cluster_Master!$G$4:$G$18,MATCH($F373,[1]Cluster_Master!$B$4:$B$18,0)),"")</f>
        <v/>
      </c>
      <c r="M373" s="60" t="str">
        <f>IFERROR(INDEX([1]Cluster_Master!$H$4:$H$18,MATCH($F373,[1]Cluster_Master!$B$4:$B$18,0)),"")</f>
        <v/>
      </c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60" t="str">
        <f>IF(COUNTA(T373:AH373)=0,"",SUM(T373:AH373))</f>
        <v/>
      </c>
      <c r="AJ373" s="61" t="str">
        <f>IF(COUNTA(T373:AH373)=0,"",AI373/75)</f>
        <v/>
      </c>
      <c r="AK373" s="61" t="str">
        <f>IF(COUNTA(T373:AH373)=0,"",(SUM(T373*[1]KPI_Weights!$B$4,U373*[1]KPI_Weights!$B$5,V373*[1]KPI_Weights!$B$6,W373*[1]KPI_Weights!$B$7,X373*[1]KPI_Weights!$B$8,Y373*[1]KPI_Weights!$B$9,Z373*[1]KPI_Weights!$B$10,AA373*[1]KPI_Weights!$B$11,AB373*[1]KPI_Weights!$B$12,AC373*[1]KPI_Weights!$B$13,AD373*[1]KPI_Weights!$B$14,AE373*[1]KPI_Weights!$B$15,AF373*[1]KPI_Weights!$B$16,AG373*[1]KPI_Weights!$B$17,AH373*[1]KPI_Weights!$B$18))/5)</f>
        <v/>
      </c>
      <c r="AL373" s="60" t="str">
        <f>IF(COUNTA(T373:AH373)=0,"",IF(OR(T373&lt;=1,W373&lt;=1,X373&lt;=1,Y373&lt;=1,AB373&lt;=1),"YES","NO"))</f>
        <v/>
      </c>
      <c r="AM373" s="60" t="str">
        <f>IF(AJ373="","",IF(AND(AL373="NO",AJ373&gt;=0.75),"YES","NO"))</f>
        <v/>
      </c>
      <c r="AN373" s="60" t="str">
        <f>IF(AJ373="","",IF(AJ373&lt;0.4,"Critical",IF(AJ373&lt;0.6,"Poor",IF(AJ373&lt;0.75,"Needs Improvement",IF(AJ373&lt;0.9,"Good","Excellent")))))</f>
        <v/>
      </c>
      <c r="AO373" s="59"/>
      <c r="AP373" s="59"/>
      <c r="AQ373" s="59"/>
      <c r="AR373" s="59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</row>
    <row r="374" spans="1:54" ht="19.5" customHeight="1" x14ac:dyDescent="0.25">
      <c r="A374" s="60" t="str">
        <f>IF($B374="","",TEXT($B374,"yyyymmdd")&amp;"-"&amp;SUBSTITUTE($F374," ","")&amp;"-"&amp;TEXT(COUNTIF($F$4:F374,$F374),"00"))</f>
        <v/>
      </c>
      <c r="B374" s="65"/>
      <c r="C374" s="60" t="str">
        <f>IF($B374="","",WEEKNUM($B374,2))</f>
        <v/>
      </c>
      <c r="D374" s="60" t="str">
        <f>IF($B374="","",TEXT($B374,"yyyy-mm"))</f>
        <v/>
      </c>
      <c r="E374" s="64"/>
      <c r="F374" s="64"/>
      <c r="G374" s="60" t="str">
        <f>IF(OR($E374="",$F374=""),"",IFERROR(IF($E374=INDEX([1]Cluster_Master!$A$4:$A$18,MATCH($F374,[1]Cluster_Master!$B$4:$B$18,0)),"OK","CHECK"),"CHECK"))</f>
        <v/>
      </c>
      <c r="H374" s="63" t="str">
        <f>IFERROR(INDEX([1]Cluster_Master!$C$4:$C$18,MATCH($F374,[1]Cluster_Master!$B$4:$B$18,0)),"")</f>
        <v/>
      </c>
      <c r="I374" s="60" t="str">
        <f>IFERROR(INDEX([1]Cluster_Master!$D$4:$D$18,MATCH($F374,[1]Cluster_Master!$B$4:$B$18,0)),"")</f>
        <v/>
      </c>
      <c r="J374" s="60" t="str">
        <f>IFERROR(INDEX([1]Cluster_Master!$E$4:$E$18,MATCH($F374,[1]Cluster_Master!$B$4:$B$18,0)),"")</f>
        <v/>
      </c>
      <c r="K374" s="60" t="str">
        <f>IFERROR(INDEX([1]Cluster_Master!$F$4:$F$18,MATCH($F374,[1]Cluster_Master!$B$4:$B$18,0)),"")</f>
        <v/>
      </c>
      <c r="L374" s="60" t="str">
        <f>IFERROR(INDEX([1]Cluster_Master!$G$4:$G$18,MATCH($F374,[1]Cluster_Master!$B$4:$B$18,0)),"")</f>
        <v/>
      </c>
      <c r="M374" s="60" t="str">
        <f>IFERROR(INDEX([1]Cluster_Master!$H$4:$H$18,MATCH($F374,[1]Cluster_Master!$B$4:$B$18,0)),"")</f>
        <v/>
      </c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60" t="str">
        <f>IF(COUNTA(T374:AH374)=0,"",SUM(T374:AH374))</f>
        <v/>
      </c>
      <c r="AJ374" s="61" t="str">
        <f>IF(COUNTA(T374:AH374)=0,"",AI374/75)</f>
        <v/>
      </c>
      <c r="AK374" s="61" t="str">
        <f>IF(COUNTA(T374:AH374)=0,"",(SUM(T374*[1]KPI_Weights!$B$4,U374*[1]KPI_Weights!$B$5,V374*[1]KPI_Weights!$B$6,W374*[1]KPI_Weights!$B$7,X374*[1]KPI_Weights!$B$8,Y374*[1]KPI_Weights!$B$9,Z374*[1]KPI_Weights!$B$10,AA374*[1]KPI_Weights!$B$11,AB374*[1]KPI_Weights!$B$12,AC374*[1]KPI_Weights!$B$13,AD374*[1]KPI_Weights!$B$14,AE374*[1]KPI_Weights!$B$15,AF374*[1]KPI_Weights!$B$16,AG374*[1]KPI_Weights!$B$17,AH374*[1]KPI_Weights!$B$18))/5)</f>
        <v/>
      </c>
      <c r="AL374" s="60" t="str">
        <f>IF(COUNTA(T374:AH374)=0,"",IF(OR(T374&lt;=1,W374&lt;=1,X374&lt;=1,Y374&lt;=1,AB374&lt;=1),"YES","NO"))</f>
        <v/>
      </c>
      <c r="AM374" s="60" t="str">
        <f>IF(AJ374="","",IF(AND(AL374="NO",AJ374&gt;=0.75),"YES","NO"))</f>
        <v/>
      </c>
      <c r="AN374" s="60" t="str">
        <f>IF(AJ374="","",IF(AJ374&lt;0.4,"Critical",IF(AJ374&lt;0.6,"Poor",IF(AJ374&lt;0.75,"Needs Improvement",IF(AJ374&lt;0.9,"Good","Excellent")))))</f>
        <v/>
      </c>
      <c r="AO374" s="59"/>
      <c r="AP374" s="59"/>
      <c r="AQ374" s="59"/>
      <c r="AR374" s="59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</row>
    <row r="375" spans="1:54" ht="19.5" customHeight="1" x14ac:dyDescent="0.25">
      <c r="A375" s="60" t="str">
        <f>IF($B375="","",TEXT($B375,"yyyymmdd")&amp;"-"&amp;SUBSTITUTE($F375," ","")&amp;"-"&amp;TEXT(COUNTIF($F$4:F375,$F375),"00"))</f>
        <v/>
      </c>
      <c r="B375" s="65"/>
      <c r="C375" s="60" t="str">
        <f>IF($B375="","",WEEKNUM($B375,2))</f>
        <v/>
      </c>
      <c r="D375" s="60" t="str">
        <f>IF($B375="","",TEXT($B375,"yyyy-mm"))</f>
        <v/>
      </c>
      <c r="E375" s="64"/>
      <c r="F375" s="64"/>
      <c r="G375" s="60" t="str">
        <f>IF(OR($E375="",$F375=""),"",IFERROR(IF($E375=INDEX([1]Cluster_Master!$A$4:$A$18,MATCH($F375,[1]Cluster_Master!$B$4:$B$18,0)),"OK","CHECK"),"CHECK"))</f>
        <v/>
      </c>
      <c r="H375" s="63" t="str">
        <f>IFERROR(INDEX([1]Cluster_Master!$C$4:$C$18,MATCH($F375,[1]Cluster_Master!$B$4:$B$18,0)),"")</f>
        <v/>
      </c>
      <c r="I375" s="60" t="str">
        <f>IFERROR(INDEX([1]Cluster_Master!$D$4:$D$18,MATCH($F375,[1]Cluster_Master!$B$4:$B$18,0)),"")</f>
        <v/>
      </c>
      <c r="J375" s="60" t="str">
        <f>IFERROR(INDEX([1]Cluster_Master!$E$4:$E$18,MATCH($F375,[1]Cluster_Master!$B$4:$B$18,0)),"")</f>
        <v/>
      </c>
      <c r="K375" s="60" t="str">
        <f>IFERROR(INDEX([1]Cluster_Master!$F$4:$F$18,MATCH($F375,[1]Cluster_Master!$B$4:$B$18,0)),"")</f>
        <v/>
      </c>
      <c r="L375" s="60" t="str">
        <f>IFERROR(INDEX([1]Cluster_Master!$G$4:$G$18,MATCH($F375,[1]Cluster_Master!$B$4:$B$18,0)),"")</f>
        <v/>
      </c>
      <c r="M375" s="60" t="str">
        <f>IFERROR(INDEX([1]Cluster_Master!$H$4:$H$18,MATCH($F375,[1]Cluster_Master!$B$4:$B$18,0)),"")</f>
        <v/>
      </c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60" t="str">
        <f>IF(COUNTA(T375:AH375)=0,"",SUM(T375:AH375))</f>
        <v/>
      </c>
      <c r="AJ375" s="61" t="str">
        <f>IF(COUNTA(T375:AH375)=0,"",AI375/75)</f>
        <v/>
      </c>
      <c r="AK375" s="61" t="str">
        <f>IF(COUNTA(T375:AH375)=0,"",(SUM(T375*[1]KPI_Weights!$B$4,U375*[1]KPI_Weights!$B$5,V375*[1]KPI_Weights!$B$6,W375*[1]KPI_Weights!$B$7,X375*[1]KPI_Weights!$B$8,Y375*[1]KPI_Weights!$B$9,Z375*[1]KPI_Weights!$B$10,AA375*[1]KPI_Weights!$B$11,AB375*[1]KPI_Weights!$B$12,AC375*[1]KPI_Weights!$B$13,AD375*[1]KPI_Weights!$B$14,AE375*[1]KPI_Weights!$B$15,AF375*[1]KPI_Weights!$B$16,AG375*[1]KPI_Weights!$B$17,AH375*[1]KPI_Weights!$B$18))/5)</f>
        <v/>
      </c>
      <c r="AL375" s="60" t="str">
        <f>IF(COUNTA(T375:AH375)=0,"",IF(OR(T375&lt;=1,W375&lt;=1,X375&lt;=1,Y375&lt;=1,AB375&lt;=1),"YES","NO"))</f>
        <v/>
      </c>
      <c r="AM375" s="60" t="str">
        <f>IF(AJ375="","",IF(AND(AL375="NO",AJ375&gt;=0.75),"YES","NO"))</f>
        <v/>
      </c>
      <c r="AN375" s="60" t="str">
        <f>IF(AJ375="","",IF(AJ375&lt;0.4,"Critical",IF(AJ375&lt;0.6,"Poor",IF(AJ375&lt;0.75,"Needs Improvement",IF(AJ375&lt;0.9,"Good","Excellent")))))</f>
        <v/>
      </c>
      <c r="AO375" s="59"/>
      <c r="AP375" s="59"/>
      <c r="AQ375" s="59"/>
      <c r="AR375" s="59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</row>
    <row r="376" spans="1:54" ht="19.5" customHeight="1" x14ac:dyDescent="0.25">
      <c r="A376" s="60" t="str">
        <f>IF($B376="","",TEXT($B376,"yyyymmdd")&amp;"-"&amp;SUBSTITUTE($F376," ","")&amp;"-"&amp;TEXT(COUNTIF($F$4:F376,$F376),"00"))</f>
        <v/>
      </c>
      <c r="B376" s="65"/>
      <c r="C376" s="60" t="str">
        <f>IF($B376="","",WEEKNUM($B376,2))</f>
        <v/>
      </c>
      <c r="D376" s="60" t="str">
        <f>IF($B376="","",TEXT($B376,"yyyy-mm"))</f>
        <v/>
      </c>
      <c r="E376" s="64"/>
      <c r="F376" s="64"/>
      <c r="G376" s="60" t="str">
        <f>IF(OR($E376="",$F376=""),"",IFERROR(IF($E376=INDEX([1]Cluster_Master!$A$4:$A$18,MATCH($F376,[1]Cluster_Master!$B$4:$B$18,0)),"OK","CHECK"),"CHECK"))</f>
        <v/>
      </c>
      <c r="H376" s="63" t="str">
        <f>IFERROR(INDEX([1]Cluster_Master!$C$4:$C$18,MATCH($F376,[1]Cluster_Master!$B$4:$B$18,0)),"")</f>
        <v/>
      </c>
      <c r="I376" s="60" t="str">
        <f>IFERROR(INDEX([1]Cluster_Master!$D$4:$D$18,MATCH($F376,[1]Cluster_Master!$B$4:$B$18,0)),"")</f>
        <v/>
      </c>
      <c r="J376" s="60" t="str">
        <f>IFERROR(INDEX([1]Cluster_Master!$E$4:$E$18,MATCH($F376,[1]Cluster_Master!$B$4:$B$18,0)),"")</f>
        <v/>
      </c>
      <c r="K376" s="60" t="str">
        <f>IFERROR(INDEX([1]Cluster_Master!$F$4:$F$18,MATCH($F376,[1]Cluster_Master!$B$4:$B$18,0)),"")</f>
        <v/>
      </c>
      <c r="L376" s="60" t="str">
        <f>IFERROR(INDEX([1]Cluster_Master!$G$4:$G$18,MATCH($F376,[1]Cluster_Master!$B$4:$B$18,0)),"")</f>
        <v/>
      </c>
      <c r="M376" s="60" t="str">
        <f>IFERROR(INDEX([1]Cluster_Master!$H$4:$H$18,MATCH($F376,[1]Cluster_Master!$B$4:$B$18,0)),"")</f>
        <v/>
      </c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60" t="str">
        <f>IF(COUNTA(T376:AH376)=0,"",SUM(T376:AH376))</f>
        <v/>
      </c>
      <c r="AJ376" s="61" t="str">
        <f>IF(COUNTA(T376:AH376)=0,"",AI376/75)</f>
        <v/>
      </c>
      <c r="AK376" s="61" t="str">
        <f>IF(COUNTA(T376:AH376)=0,"",(SUM(T376*[1]KPI_Weights!$B$4,U376*[1]KPI_Weights!$B$5,V376*[1]KPI_Weights!$B$6,W376*[1]KPI_Weights!$B$7,X376*[1]KPI_Weights!$B$8,Y376*[1]KPI_Weights!$B$9,Z376*[1]KPI_Weights!$B$10,AA376*[1]KPI_Weights!$B$11,AB376*[1]KPI_Weights!$B$12,AC376*[1]KPI_Weights!$B$13,AD376*[1]KPI_Weights!$B$14,AE376*[1]KPI_Weights!$B$15,AF376*[1]KPI_Weights!$B$16,AG376*[1]KPI_Weights!$B$17,AH376*[1]KPI_Weights!$B$18))/5)</f>
        <v/>
      </c>
      <c r="AL376" s="60" t="str">
        <f>IF(COUNTA(T376:AH376)=0,"",IF(OR(T376&lt;=1,W376&lt;=1,X376&lt;=1,Y376&lt;=1,AB376&lt;=1),"YES","NO"))</f>
        <v/>
      </c>
      <c r="AM376" s="60" t="str">
        <f>IF(AJ376="","",IF(AND(AL376="NO",AJ376&gt;=0.75),"YES","NO"))</f>
        <v/>
      </c>
      <c r="AN376" s="60" t="str">
        <f>IF(AJ376="","",IF(AJ376&lt;0.4,"Critical",IF(AJ376&lt;0.6,"Poor",IF(AJ376&lt;0.75,"Needs Improvement",IF(AJ376&lt;0.9,"Good","Excellent")))))</f>
        <v/>
      </c>
      <c r="AO376" s="59"/>
      <c r="AP376" s="59"/>
      <c r="AQ376" s="59"/>
      <c r="AR376" s="59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</row>
    <row r="377" spans="1:54" ht="19.5" customHeight="1" x14ac:dyDescent="0.25">
      <c r="A377" s="60" t="str">
        <f>IF($B377="","",TEXT($B377,"yyyymmdd")&amp;"-"&amp;SUBSTITUTE($F377," ","")&amp;"-"&amp;TEXT(COUNTIF($F$4:F377,$F377),"00"))</f>
        <v/>
      </c>
      <c r="B377" s="65"/>
      <c r="C377" s="60" t="str">
        <f>IF($B377="","",WEEKNUM($B377,2))</f>
        <v/>
      </c>
      <c r="D377" s="60" t="str">
        <f>IF($B377="","",TEXT($B377,"yyyy-mm"))</f>
        <v/>
      </c>
      <c r="E377" s="64"/>
      <c r="F377" s="64"/>
      <c r="G377" s="60" t="str">
        <f>IF(OR($E377="",$F377=""),"",IFERROR(IF($E377=INDEX([1]Cluster_Master!$A$4:$A$18,MATCH($F377,[1]Cluster_Master!$B$4:$B$18,0)),"OK","CHECK"),"CHECK"))</f>
        <v/>
      </c>
      <c r="H377" s="63" t="str">
        <f>IFERROR(INDEX([1]Cluster_Master!$C$4:$C$18,MATCH($F377,[1]Cluster_Master!$B$4:$B$18,0)),"")</f>
        <v/>
      </c>
      <c r="I377" s="60" t="str">
        <f>IFERROR(INDEX([1]Cluster_Master!$D$4:$D$18,MATCH($F377,[1]Cluster_Master!$B$4:$B$18,0)),"")</f>
        <v/>
      </c>
      <c r="J377" s="60" t="str">
        <f>IFERROR(INDEX([1]Cluster_Master!$E$4:$E$18,MATCH($F377,[1]Cluster_Master!$B$4:$B$18,0)),"")</f>
        <v/>
      </c>
      <c r="K377" s="60" t="str">
        <f>IFERROR(INDEX([1]Cluster_Master!$F$4:$F$18,MATCH($F377,[1]Cluster_Master!$B$4:$B$18,0)),"")</f>
        <v/>
      </c>
      <c r="L377" s="60" t="str">
        <f>IFERROR(INDEX([1]Cluster_Master!$G$4:$G$18,MATCH($F377,[1]Cluster_Master!$B$4:$B$18,0)),"")</f>
        <v/>
      </c>
      <c r="M377" s="60" t="str">
        <f>IFERROR(INDEX([1]Cluster_Master!$H$4:$H$18,MATCH($F377,[1]Cluster_Master!$B$4:$B$18,0)),"")</f>
        <v/>
      </c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60" t="str">
        <f>IF(COUNTA(T377:AH377)=0,"",SUM(T377:AH377))</f>
        <v/>
      </c>
      <c r="AJ377" s="61" t="str">
        <f>IF(COUNTA(T377:AH377)=0,"",AI377/75)</f>
        <v/>
      </c>
      <c r="AK377" s="61" t="str">
        <f>IF(COUNTA(T377:AH377)=0,"",(SUM(T377*[1]KPI_Weights!$B$4,U377*[1]KPI_Weights!$B$5,V377*[1]KPI_Weights!$B$6,W377*[1]KPI_Weights!$B$7,X377*[1]KPI_Weights!$B$8,Y377*[1]KPI_Weights!$B$9,Z377*[1]KPI_Weights!$B$10,AA377*[1]KPI_Weights!$B$11,AB377*[1]KPI_Weights!$B$12,AC377*[1]KPI_Weights!$B$13,AD377*[1]KPI_Weights!$B$14,AE377*[1]KPI_Weights!$B$15,AF377*[1]KPI_Weights!$B$16,AG377*[1]KPI_Weights!$B$17,AH377*[1]KPI_Weights!$B$18))/5)</f>
        <v/>
      </c>
      <c r="AL377" s="60" t="str">
        <f>IF(COUNTA(T377:AH377)=0,"",IF(OR(T377&lt;=1,W377&lt;=1,X377&lt;=1,Y377&lt;=1,AB377&lt;=1),"YES","NO"))</f>
        <v/>
      </c>
      <c r="AM377" s="60" t="str">
        <f>IF(AJ377="","",IF(AND(AL377="NO",AJ377&gt;=0.75),"YES","NO"))</f>
        <v/>
      </c>
      <c r="AN377" s="60" t="str">
        <f>IF(AJ377="","",IF(AJ377&lt;0.4,"Critical",IF(AJ377&lt;0.6,"Poor",IF(AJ377&lt;0.75,"Needs Improvement",IF(AJ377&lt;0.9,"Good","Excellent")))))</f>
        <v/>
      </c>
      <c r="AO377" s="59"/>
      <c r="AP377" s="59"/>
      <c r="AQ377" s="59"/>
      <c r="AR377" s="59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</row>
    <row r="378" spans="1:54" ht="19.5" customHeight="1" x14ac:dyDescent="0.25">
      <c r="A378" s="60" t="str">
        <f>IF($B378="","",TEXT($B378,"yyyymmdd")&amp;"-"&amp;SUBSTITUTE($F378," ","")&amp;"-"&amp;TEXT(COUNTIF($F$4:F378,$F378),"00"))</f>
        <v/>
      </c>
      <c r="B378" s="65"/>
      <c r="C378" s="60" t="str">
        <f>IF($B378="","",WEEKNUM($B378,2))</f>
        <v/>
      </c>
      <c r="D378" s="60" t="str">
        <f>IF($B378="","",TEXT($B378,"yyyy-mm"))</f>
        <v/>
      </c>
      <c r="E378" s="64"/>
      <c r="F378" s="64"/>
      <c r="G378" s="60" t="str">
        <f>IF(OR($E378="",$F378=""),"",IFERROR(IF($E378=INDEX([1]Cluster_Master!$A$4:$A$18,MATCH($F378,[1]Cluster_Master!$B$4:$B$18,0)),"OK","CHECK"),"CHECK"))</f>
        <v/>
      </c>
      <c r="H378" s="63" t="str">
        <f>IFERROR(INDEX([1]Cluster_Master!$C$4:$C$18,MATCH($F378,[1]Cluster_Master!$B$4:$B$18,0)),"")</f>
        <v/>
      </c>
      <c r="I378" s="60" t="str">
        <f>IFERROR(INDEX([1]Cluster_Master!$D$4:$D$18,MATCH($F378,[1]Cluster_Master!$B$4:$B$18,0)),"")</f>
        <v/>
      </c>
      <c r="J378" s="60" t="str">
        <f>IFERROR(INDEX([1]Cluster_Master!$E$4:$E$18,MATCH($F378,[1]Cluster_Master!$B$4:$B$18,0)),"")</f>
        <v/>
      </c>
      <c r="K378" s="60" t="str">
        <f>IFERROR(INDEX([1]Cluster_Master!$F$4:$F$18,MATCH($F378,[1]Cluster_Master!$B$4:$B$18,0)),"")</f>
        <v/>
      </c>
      <c r="L378" s="60" t="str">
        <f>IFERROR(INDEX([1]Cluster_Master!$G$4:$G$18,MATCH($F378,[1]Cluster_Master!$B$4:$B$18,0)),"")</f>
        <v/>
      </c>
      <c r="M378" s="60" t="str">
        <f>IFERROR(INDEX([1]Cluster_Master!$H$4:$H$18,MATCH($F378,[1]Cluster_Master!$B$4:$B$18,0)),"")</f>
        <v/>
      </c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60" t="str">
        <f>IF(COUNTA(T378:AH378)=0,"",SUM(T378:AH378))</f>
        <v/>
      </c>
      <c r="AJ378" s="61" t="str">
        <f>IF(COUNTA(T378:AH378)=0,"",AI378/75)</f>
        <v/>
      </c>
      <c r="AK378" s="61" t="str">
        <f>IF(COUNTA(T378:AH378)=0,"",(SUM(T378*[1]KPI_Weights!$B$4,U378*[1]KPI_Weights!$B$5,V378*[1]KPI_Weights!$B$6,W378*[1]KPI_Weights!$B$7,X378*[1]KPI_Weights!$B$8,Y378*[1]KPI_Weights!$B$9,Z378*[1]KPI_Weights!$B$10,AA378*[1]KPI_Weights!$B$11,AB378*[1]KPI_Weights!$B$12,AC378*[1]KPI_Weights!$B$13,AD378*[1]KPI_Weights!$B$14,AE378*[1]KPI_Weights!$B$15,AF378*[1]KPI_Weights!$B$16,AG378*[1]KPI_Weights!$B$17,AH378*[1]KPI_Weights!$B$18))/5)</f>
        <v/>
      </c>
      <c r="AL378" s="60" t="str">
        <f>IF(COUNTA(T378:AH378)=0,"",IF(OR(T378&lt;=1,W378&lt;=1,X378&lt;=1,Y378&lt;=1,AB378&lt;=1),"YES","NO"))</f>
        <v/>
      </c>
      <c r="AM378" s="60" t="str">
        <f>IF(AJ378="","",IF(AND(AL378="NO",AJ378&gt;=0.75),"YES","NO"))</f>
        <v/>
      </c>
      <c r="AN378" s="60" t="str">
        <f>IF(AJ378="","",IF(AJ378&lt;0.4,"Critical",IF(AJ378&lt;0.6,"Poor",IF(AJ378&lt;0.75,"Needs Improvement",IF(AJ378&lt;0.9,"Good","Excellent")))))</f>
        <v/>
      </c>
      <c r="AO378" s="59"/>
      <c r="AP378" s="59"/>
      <c r="AQ378" s="59"/>
      <c r="AR378" s="59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</row>
    <row r="379" spans="1:54" ht="19.5" customHeight="1" x14ac:dyDescent="0.25">
      <c r="A379" s="60" t="str">
        <f>IF($B379="","",TEXT($B379,"yyyymmdd")&amp;"-"&amp;SUBSTITUTE($F379," ","")&amp;"-"&amp;TEXT(COUNTIF($F$4:F379,$F379),"00"))</f>
        <v/>
      </c>
      <c r="B379" s="65"/>
      <c r="C379" s="60" t="str">
        <f>IF($B379="","",WEEKNUM($B379,2))</f>
        <v/>
      </c>
      <c r="D379" s="60" t="str">
        <f>IF($B379="","",TEXT($B379,"yyyy-mm"))</f>
        <v/>
      </c>
      <c r="E379" s="64"/>
      <c r="F379" s="64"/>
      <c r="G379" s="60" t="str">
        <f>IF(OR($E379="",$F379=""),"",IFERROR(IF($E379=INDEX([1]Cluster_Master!$A$4:$A$18,MATCH($F379,[1]Cluster_Master!$B$4:$B$18,0)),"OK","CHECK"),"CHECK"))</f>
        <v/>
      </c>
      <c r="H379" s="63" t="str">
        <f>IFERROR(INDEX([1]Cluster_Master!$C$4:$C$18,MATCH($F379,[1]Cluster_Master!$B$4:$B$18,0)),"")</f>
        <v/>
      </c>
      <c r="I379" s="60" t="str">
        <f>IFERROR(INDEX([1]Cluster_Master!$D$4:$D$18,MATCH($F379,[1]Cluster_Master!$B$4:$B$18,0)),"")</f>
        <v/>
      </c>
      <c r="J379" s="60" t="str">
        <f>IFERROR(INDEX([1]Cluster_Master!$E$4:$E$18,MATCH($F379,[1]Cluster_Master!$B$4:$B$18,0)),"")</f>
        <v/>
      </c>
      <c r="K379" s="60" t="str">
        <f>IFERROR(INDEX([1]Cluster_Master!$F$4:$F$18,MATCH($F379,[1]Cluster_Master!$B$4:$B$18,0)),"")</f>
        <v/>
      </c>
      <c r="L379" s="60" t="str">
        <f>IFERROR(INDEX([1]Cluster_Master!$G$4:$G$18,MATCH($F379,[1]Cluster_Master!$B$4:$B$18,0)),"")</f>
        <v/>
      </c>
      <c r="M379" s="60" t="str">
        <f>IFERROR(INDEX([1]Cluster_Master!$H$4:$H$18,MATCH($F379,[1]Cluster_Master!$B$4:$B$18,0)),"")</f>
        <v/>
      </c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60" t="str">
        <f>IF(COUNTA(T379:AH379)=0,"",SUM(T379:AH379))</f>
        <v/>
      </c>
      <c r="AJ379" s="61" t="str">
        <f>IF(COUNTA(T379:AH379)=0,"",AI379/75)</f>
        <v/>
      </c>
      <c r="AK379" s="61" t="str">
        <f>IF(COUNTA(T379:AH379)=0,"",(SUM(T379*[1]KPI_Weights!$B$4,U379*[1]KPI_Weights!$B$5,V379*[1]KPI_Weights!$B$6,W379*[1]KPI_Weights!$B$7,X379*[1]KPI_Weights!$B$8,Y379*[1]KPI_Weights!$B$9,Z379*[1]KPI_Weights!$B$10,AA379*[1]KPI_Weights!$B$11,AB379*[1]KPI_Weights!$B$12,AC379*[1]KPI_Weights!$B$13,AD379*[1]KPI_Weights!$B$14,AE379*[1]KPI_Weights!$B$15,AF379*[1]KPI_Weights!$B$16,AG379*[1]KPI_Weights!$B$17,AH379*[1]KPI_Weights!$B$18))/5)</f>
        <v/>
      </c>
      <c r="AL379" s="60" t="str">
        <f>IF(COUNTA(T379:AH379)=0,"",IF(OR(T379&lt;=1,W379&lt;=1,X379&lt;=1,Y379&lt;=1,AB379&lt;=1),"YES","NO"))</f>
        <v/>
      </c>
      <c r="AM379" s="60" t="str">
        <f>IF(AJ379="","",IF(AND(AL379="NO",AJ379&gt;=0.75),"YES","NO"))</f>
        <v/>
      </c>
      <c r="AN379" s="60" t="str">
        <f>IF(AJ379="","",IF(AJ379&lt;0.4,"Critical",IF(AJ379&lt;0.6,"Poor",IF(AJ379&lt;0.75,"Needs Improvement",IF(AJ379&lt;0.9,"Good","Excellent")))))</f>
        <v/>
      </c>
      <c r="AO379" s="59"/>
      <c r="AP379" s="59"/>
      <c r="AQ379" s="59"/>
      <c r="AR379" s="59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</row>
    <row r="380" spans="1:54" ht="19.5" customHeight="1" x14ac:dyDescent="0.25">
      <c r="A380" s="60" t="str">
        <f>IF($B380="","",TEXT($B380,"yyyymmdd")&amp;"-"&amp;SUBSTITUTE($F380," ","")&amp;"-"&amp;TEXT(COUNTIF($F$4:F380,$F380),"00"))</f>
        <v/>
      </c>
      <c r="B380" s="65"/>
      <c r="C380" s="60" t="str">
        <f>IF($B380="","",WEEKNUM($B380,2))</f>
        <v/>
      </c>
      <c r="D380" s="60" t="str">
        <f>IF($B380="","",TEXT($B380,"yyyy-mm"))</f>
        <v/>
      </c>
      <c r="E380" s="64"/>
      <c r="F380" s="64"/>
      <c r="G380" s="60" t="str">
        <f>IF(OR($E380="",$F380=""),"",IFERROR(IF($E380=INDEX([1]Cluster_Master!$A$4:$A$18,MATCH($F380,[1]Cluster_Master!$B$4:$B$18,0)),"OK","CHECK"),"CHECK"))</f>
        <v/>
      </c>
      <c r="H380" s="63" t="str">
        <f>IFERROR(INDEX([1]Cluster_Master!$C$4:$C$18,MATCH($F380,[1]Cluster_Master!$B$4:$B$18,0)),"")</f>
        <v/>
      </c>
      <c r="I380" s="60" t="str">
        <f>IFERROR(INDEX([1]Cluster_Master!$D$4:$D$18,MATCH($F380,[1]Cluster_Master!$B$4:$B$18,0)),"")</f>
        <v/>
      </c>
      <c r="J380" s="60" t="str">
        <f>IFERROR(INDEX([1]Cluster_Master!$E$4:$E$18,MATCH($F380,[1]Cluster_Master!$B$4:$B$18,0)),"")</f>
        <v/>
      </c>
      <c r="K380" s="60" t="str">
        <f>IFERROR(INDEX([1]Cluster_Master!$F$4:$F$18,MATCH($F380,[1]Cluster_Master!$B$4:$B$18,0)),"")</f>
        <v/>
      </c>
      <c r="L380" s="60" t="str">
        <f>IFERROR(INDEX([1]Cluster_Master!$G$4:$G$18,MATCH($F380,[1]Cluster_Master!$B$4:$B$18,0)),"")</f>
        <v/>
      </c>
      <c r="M380" s="60" t="str">
        <f>IFERROR(INDEX([1]Cluster_Master!$H$4:$H$18,MATCH($F380,[1]Cluster_Master!$B$4:$B$18,0)),"")</f>
        <v/>
      </c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60" t="str">
        <f>IF(COUNTA(T380:AH380)=0,"",SUM(T380:AH380))</f>
        <v/>
      </c>
      <c r="AJ380" s="61" t="str">
        <f>IF(COUNTA(T380:AH380)=0,"",AI380/75)</f>
        <v/>
      </c>
      <c r="AK380" s="61" t="str">
        <f>IF(COUNTA(T380:AH380)=0,"",(SUM(T380*[1]KPI_Weights!$B$4,U380*[1]KPI_Weights!$B$5,V380*[1]KPI_Weights!$B$6,W380*[1]KPI_Weights!$B$7,X380*[1]KPI_Weights!$B$8,Y380*[1]KPI_Weights!$B$9,Z380*[1]KPI_Weights!$B$10,AA380*[1]KPI_Weights!$B$11,AB380*[1]KPI_Weights!$B$12,AC380*[1]KPI_Weights!$B$13,AD380*[1]KPI_Weights!$B$14,AE380*[1]KPI_Weights!$B$15,AF380*[1]KPI_Weights!$B$16,AG380*[1]KPI_Weights!$B$17,AH380*[1]KPI_Weights!$B$18))/5)</f>
        <v/>
      </c>
      <c r="AL380" s="60" t="str">
        <f>IF(COUNTA(T380:AH380)=0,"",IF(OR(T380&lt;=1,W380&lt;=1,X380&lt;=1,Y380&lt;=1,AB380&lt;=1),"YES","NO"))</f>
        <v/>
      </c>
      <c r="AM380" s="60" t="str">
        <f>IF(AJ380="","",IF(AND(AL380="NO",AJ380&gt;=0.75),"YES","NO"))</f>
        <v/>
      </c>
      <c r="AN380" s="60" t="str">
        <f>IF(AJ380="","",IF(AJ380&lt;0.4,"Critical",IF(AJ380&lt;0.6,"Poor",IF(AJ380&lt;0.75,"Needs Improvement",IF(AJ380&lt;0.9,"Good","Excellent")))))</f>
        <v/>
      </c>
      <c r="AO380" s="59"/>
      <c r="AP380" s="59"/>
      <c r="AQ380" s="59"/>
      <c r="AR380" s="59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</row>
    <row r="381" spans="1:54" ht="19.5" customHeight="1" x14ac:dyDescent="0.25">
      <c r="A381" s="60" t="str">
        <f>IF($B381="","",TEXT($B381,"yyyymmdd")&amp;"-"&amp;SUBSTITUTE($F381," ","")&amp;"-"&amp;TEXT(COUNTIF($F$4:F381,$F381),"00"))</f>
        <v/>
      </c>
      <c r="B381" s="65"/>
      <c r="C381" s="60" t="str">
        <f>IF($B381="","",WEEKNUM($B381,2))</f>
        <v/>
      </c>
      <c r="D381" s="60" t="str">
        <f>IF($B381="","",TEXT($B381,"yyyy-mm"))</f>
        <v/>
      </c>
      <c r="E381" s="64"/>
      <c r="F381" s="64"/>
      <c r="G381" s="60" t="str">
        <f>IF(OR($E381="",$F381=""),"",IFERROR(IF($E381=INDEX([1]Cluster_Master!$A$4:$A$18,MATCH($F381,[1]Cluster_Master!$B$4:$B$18,0)),"OK","CHECK"),"CHECK"))</f>
        <v/>
      </c>
      <c r="H381" s="63" t="str">
        <f>IFERROR(INDEX([1]Cluster_Master!$C$4:$C$18,MATCH($F381,[1]Cluster_Master!$B$4:$B$18,0)),"")</f>
        <v/>
      </c>
      <c r="I381" s="60" t="str">
        <f>IFERROR(INDEX([1]Cluster_Master!$D$4:$D$18,MATCH($F381,[1]Cluster_Master!$B$4:$B$18,0)),"")</f>
        <v/>
      </c>
      <c r="J381" s="60" t="str">
        <f>IFERROR(INDEX([1]Cluster_Master!$E$4:$E$18,MATCH($F381,[1]Cluster_Master!$B$4:$B$18,0)),"")</f>
        <v/>
      </c>
      <c r="K381" s="60" t="str">
        <f>IFERROR(INDEX([1]Cluster_Master!$F$4:$F$18,MATCH($F381,[1]Cluster_Master!$B$4:$B$18,0)),"")</f>
        <v/>
      </c>
      <c r="L381" s="60" t="str">
        <f>IFERROR(INDEX([1]Cluster_Master!$G$4:$G$18,MATCH($F381,[1]Cluster_Master!$B$4:$B$18,0)),"")</f>
        <v/>
      </c>
      <c r="M381" s="60" t="str">
        <f>IFERROR(INDEX([1]Cluster_Master!$H$4:$H$18,MATCH($F381,[1]Cluster_Master!$B$4:$B$18,0)),"")</f>
        <v/>
      </c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60" t="str">
        <f>IF(COUNTA(T381:AH381)=0,"",SUM(T381:AH381))</f>
        <v/>
      </c>
      <c r="AJ381" s="61" t="str">
        <f>IF(COUNTA(T381:AH381)=0,"",AI381/75)</f>
        <v/>
      </c>
      <c r="AK381" s="61" t="str">
        <f>IF(COUNTA(T381:AH381)=0,"",(SUM(T381*[1]KPI_Weights!$B$4,U381*[1]KPI_Weights!$B$5,V381*[1]KPI_Weights!$B$6,W381*[1]KPI_Weights!$B$7,X381*[1]KPI_Weights!$B$8,Y381*[1]KPI_Weights!$B$9,Z381*[1]KPI_Weights!$B$10,AA381*[1]KPI_Weights!$B$11,AB381*[1]KPI_Weights!$B$12,AC381*[1]KPI_Weights!$B$13,AD381*[1]KPI_Weights!$B$14,AE381*[1]KPI_Weights!$B$15,AF381*[1]KPI_Weights!$B$16,AG381*[1]KPI_Weights!$B$17,AH381*[1]KPI_Weights!$B$18))/5)</f>
        <v/>
      </c>
      <c r="AL381" s="60" t="str">
        <f>IF(COUNTA(T381:AH381)=0,"",IF(OR(T381&lt;=1,W381&lt;=1,X381&lt;=1,Y381&lt;=1,AB381&lt;=1),"YES","NO"))</f>
        <v/>
      </c>
      <c r="AM381" s="60" t="str">
        <f>IF(AJ381="","",IF(AND(AL381="NO",AJ381&gt;=0.75),"YES","NO"))</f>
        <v/>
      </c>
      <c r="AN381" s="60" t="str">
        <f>IF(AJ381="","",IF(AJ381&lt;0.4,"Critical",IF(AJ381&lt;0.6,"Poor",IF(AJ381&lt;0.75,"Needs Improvement",IF(AJ381&lt;0.9,"Good","Excellent")))))</f>
        <v/>
      </c>
      <c r="AO381" s="59"/>
      <c r="AP381" s="59"/>
      <c r="AQ381" s="59"/>
      <c r="AR381" s="59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</row>
    <row r="382" spans="1:54" ht="19.5" customHeight="1" x14ac:dyDescent="0.25">
      <c r="A382" s="60" t="str">
        <f>IF($B382="","",TEXT($B382,"yyyymmdd")&amp;"-"&amp;SUBSTITUTE($F382," ","")&amp;"-"&amp;TEXT(COUNTIF($F$4:F382,$F382),"00"))</f>
        <v/>
      </c>
      <c r="B382" s="65"/>
      <c r="C382" s="60" t="str">
        <f>IF($B382="","",WEEKNUM($B382,2))</f>
        <v/>
      </c>
      <c r="D382" s="60" t="str">
        <f>IF($B382="","",TEXT($B382,"yyyy-mm"))</f>
        <v/>
      </c>
      <c r="E382" s="64"/>
      <c r="F382" s="64"/>
      <c r="G382" s="60" t="str">
        <f>IF(OR($E382="",$F382=""),"",IFERROR(IF($E382=INDEX([1]Cluster_Master!$A$4:$A$18,MATCH($F382,[1]Cluster_Master!$B$4:$B$18,0)),"OK","CHECK"),"CHECK"))</f>
        <v/>
      </c>
      <c r="H382" s="63" t="str">
        <f>IFERROR(INDEX([1]Cluster_Master!$C$4:$C$18,MATCH($F382,[1]Cluster_Master!$B$4:$B$18,0)),"")</f>
        <v/>
      </c>
      <c r="I382" s="60" t="str">
        <f>IFERROR(INDEX([1]Cluster_Master!$D$4:$D$18,MATCH($F382,[1]Cluster_Master!$B$4:$B$18,0)),"")</f>
        <v/>
      </c>
      <c r="J382" s="60" t="str">
        <f>IFERROR(INDEX([1]Cluster_Master!$E$4:$E$18,MATCH($F382,[1]Cluster_Master!$B$4:$B$18,0)),"")</f>
        <v/>
      </c>
      <c r="K382" s="60" t="str">
        <f>IFERROR(INDEX([1]Cluster_Master!$F$4:$F$18,MATCH($F382,[1]Cluster_Master!$B$4:$B$18,0)),"")</f>
        <v/>
      </c>
      <c r="L382" s="60" t="str">
        <f>IFERROR(INDEX([1]Cluster_Master!$G$4:$G$18,MATCH($F382,[1]Cluster_Master!$B$4:$B$18,0)),"")</f>
        <v/>
      </c>
      <c r="M382" s="60" t="str">
        <f>IFERROR(INDEX([1]Cluster_Master!$H$4:$H$18,MATCH($F382,[1]Cluster_Master!$B$4:$B$18,0)),"")</f>
        <v/>
      </c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60" t="str">
        <f>IF(COUNTA(T382:AH382)=0,"",SUM(T382:AH382))</f>
        <v/>
      </c>
      <c r="AJ382" s="61" t="str">
        <f>IF(COUNTA(T382:AH382)=0,"",AI382/75)</f>
        <v/>
      </c>
      <c r="AK382" s="61" t="str">
        <f>IF(COUNTA(T382:AH382)=0,"",(SUM(T382*[1]KPI_Weights!$B$4,U382*[1]KPI_Weights!$B$5,V382*[1]KPI_Weights!$B$6,W382*[1]KPI_Weights!$B$7,X382*[1]KPI_Weights!$B$8,Y382*[1]KPI_Weights!$B$9,Z382*[1]KPI_Weights!$B$10,AA382*[1]KPI_Weights!$B$11,AB382*[1]KPI_Weights!$B$12,AC382*[1]KPI_Weights!$B$13,AD382*[1]KPI_Weights!$B$14,AE382*[1]KPI_Weights!$B$15,AF382*[1]KPI_Weights!$B$16,AG382*[1]KPI_Weights!$B$17,AH382*[1]KPI_Weights!$B$18))/5)</f>
        <v/>
      </c>
      <c r="AL382" s="60" t="str">
        <f>IF(COUNTA(T382:AH382)=0,"",IF(OR(T382&lt;=1,W382&lt;=1,X382&lt;=1,Y382&lt;=1,AB382&lt;=1),"YES","NO"))</f>
        <v/>
      </c>
      <c r="AM382" s="60" t="str">
        <f>IF(AJ382="","",IF(AND(AL382="NO",AJ382&gt;=0.75),"YES","NO"))</f>
        <v/>
      </c>
      <c r="AN382" s="60" t="str">
        <f>IF(AJ382="","",IF(AJ382&lt;0.4,"Critical",IF(AJ382&lt;0.6,"Poor",IF(AJ382&lt;0.75,"Needs Improvement",IF(AJ382&lt;0.9,"Good","Excellent")))))</f>
        <v/>
      </c>
      <c r="AO382" s="59"/>
      <c r="AP382" s="59"/>
      <c r="AQ382" s="59"/>
      <c r="AR382" s="59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</row>
    <row r="383" spans="1:54" ht="19.5" customHeight="1" x14ac:dyDescent="0.25">
      <c r="A383" s="60" t="str">
        <f>IF($B383="","",TEXT($B383,"yyyymmdd")&amp;"-"&amp;SUBSTITUTE($F383," ","")&amp;"-"&amp;TEXT(COUNTIF($F$4:F383,$F383),"00"))</f>
        <v/>
      </c>
      <c r="B383" s="65"/>
      <c r="C383" s="60" t="str">
        <f>IF($B383="","",WEEKNUM($B383,2))</f>
        <v/>
      </c>
      <c r="D383" s="60" t="str">
        <f>IF($B383="","",TEXT($B383,"yyyy-mm"))</f>
        <v/>
      </c>
      <c r="E383" s="64"/>
      <c r="F383" s="64"/>
      <c r="G383" s="60" t="str">
        <f>IF(OR($E383="",$F383=""),"",IFERROR(IF($E383=INDEX([1]Cluster_Master!$A$4:$A$18,MATCH($F383,[1]Cluster_Master!$B$4:$B$18,0)),"OK","CHECK"),"CHECK"))</f>
        <v/>
      </c>
      <c r="H383" s="63" t="str">
        <f>IFERROR(INDEX([1]Cluster_Master!$C$4:$C$18,MATCH($F383,[1]Cluster_Master!$B$4:$B$18,0)),"")</f>
        <v/>
      </c>
      <c r="I383" s="60" t="str">
        <f>IFERROR(INDEX([1]Cluster_Master!$D$4:$D$18,MATCH($F383,[1]Cluster_Master!$B$4:$B$18,0)),"")</f>
        <v/>
      </c>
      <c r="J383" s="60" t="str">
        <f>IFERROR(INDEX([1]Cluster_Master!$E$4:$E$18,MATCH($F383,[1]Cluster_Master!$B$4:$B$18,0)),"")</f>
        <v/>
      </c>
      <c r="K383" s="60" t="str">
        <f>IFERROR(INDEX([1]Cluster_Master!$F$4:$F$18,MATCH($F383,[1]Cluster_Master!$B$4:$B$18,0)),"")</f>
        <v/>
      </c>
      <c r="L383" s="60" t="str">
        <f>IFERROR(INDEX([1]Cluster_Master!$G$4:$G$18,MATCH($F383,[1]Cluster_Master!$B$4:$B$18,0)),"")</f>
        <v/>
      </c>
      <c r="M383" s="60" t="str">
        <f>IFERROR(INDEX([1]Cluster_Master!$H$4:$H$18,MATCH($F383,[1]Cluster_Master!$B$4:$B$18,0)),"")</f>
        <v/>
      </c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60" t="str">
        <f>IF(COUNTA(T383:AH383)=0,"",SUM(T383:AH383))</f>
        <v/>
      </c>
      <c r="AJ383" s="61" t="str">
        <f>IF(COUNTA(T383:AH383)=0,"",AI383/75)</f>
        <v/>
      </c>
      <c r="AK383" s="61" t="str">
        <f>IF(COUNTA(T383:AH383)=0,"",(SUM(T383*[1]KPI_Weights!$B$4,U383*[1]KPI_Weights!$B$5,V383*[1]KPI_Weights!$B$6,W383*[1]KPI_Weights!$B$7,X383*[1]KPI_Weights!$B$8,Y383*[1]KPI_Weights!$B$9,Z383*[1]KPI_Weights!$B$10,AA383*[1]KPI_Weights!$B$11,AB383*[1]KPI_Weights!$B$12,AC383*[1]KPI_Weights!$B$13,AD383*[1]KPI_Weights!$B$14,AE383*[1]KPI_Weights!$B$15,AF383*[1]KPI_Weights!$B$16,AG383*[1]KPI_Weights!$B$17,AH383*[1]KPI_Weights!$B$18))/5)</f>
        <v/>
      </c>
      <c r="AL383" s="60" t="str">
        <f>IF(COUNTA(T383:AH383)=0,"",IF(OR(T383&lt;=1,W383&lt;=1,X383&lt;=1,Y383&lt;=1,AB383&lt;=1),"YES","NO"))</f>
        <v/>
      </c>
      <c r="AM383" s="60" t="str">
        <f>IF(AJ383="","",IF(AND(AL383="NO",AJ383&gt;=0.75),"YES","NO"))</f>
        <v/>
      </c>
      <c r="AN383" s="60" t="str">
        <f>IF(AJ383="","",IF(AJ383&lt;0.4,"Critical",IF(AJ383&lt;0.6,"Poor",IF(AJ383&lt;0.75,"Needs Improvement",IF(AJ383&lt;0.9,"Good","Excellent")))))</f>
        <v/>
      </c>
      <c r="AO383" s="59"/>
      <c r="AP383" s="59"/>
      <c r="AQ383" s="59"/>
      <c r="AR383" s="59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</row>
    <row r="384" spans="1:54" ht="19.5" customHeight="1" x14ac:dyDescent="0.25">
      <c r="A384" s="60" t="str">
        <f>IF($B384="","",TEXT($B384,"yyyymmdd")&amp;"-"&amp;SUBSTITUTE($F384," ","")&amp;"-"&amp;TEXT(COUNTIF($F$4:F384,$F384),"00"))</f>
        <v/>
      </c>
      <c r="B384" s="65"/>
      <c r="C384" s="60" t="str">
        <f>IF($B384="","",WEEKNUM($B384,2))</f>
        <v/>
      </c>
      <c r="D384" s="60" t="str">
        <f>IF($B384="","",TEXT($B384,"yyyy-mm"))</f>
        <v/>
      </c>
      <c r="E384" s="64"/>
      <c r="F384" s="64"/>
      <c r="G384" s="60" t="str">
        <f>IF(OR($E384="",$F384=""),"",IFERROR(IF($E384=INDEX([1]Cluster_Master!$A$4:$A$18,MATCH($F384,[1]Cluster_Master!$B$4:$B$18,0)),"OK","CHECK"),"CHECK"))</f>
        <v/>
      </c>
      <c r="H384" s="63" t="str">
        <f>IFERROR(INDEX([1]Cluster_Master!$C$4:$C$18,MATCH($F384,[1]Cluster_Master!$B$4:$B$18,0)),"")</f>
        <v/>
      </c>
      <c r="I384" s="60" t="str">
        <f>IFERROR(INDEX([1]Cluster_Master!$D$4:$D$18,MATCH($F384,[1]Cluster_Master!$B$4:$B$18,0)),"")</f>
        <v/>
      </c>
      <c r="J384" s="60" t="str">
        <f>IFERROR(INDEX([1]Cluster_Master!$E$4:$E$18,MATCH($F384,[1]Cluster_Master!$B$4:$B$18,0)),"")</f>
        <v/>
      </c>
      <c r="K384" s="60" t="str">
        <f>IFERROR(INDEX([1]Cluster_Master!$F$4:$F$18,MATCH($F384,[1]Cluster_Master!$B$4:$B$18,0)),"")</f>
        <v/>
      </c>
      <c r="L384" s="60" t="str">
        <f>IFERROR(INDEX([1]Cluster_Master!$G$4:$G$18,MATCH($F384,[1]Cluster_Master!$B$4:$B$18,0)),"")</f>
        <v/>
      </c>
      <c r="M384" s="60" t="str">
        <f>IFERROR(INDEX([1]Cluster_Master!$H$4:$H$18,MATCH($F384,[1]Cluster_Master!$B$4:$B$18,0)),"")</f>
        <v/>
      </c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60" t="str">
        <f>IF(COUNTA(T384:AH384)=0,"",SUM(T384:AH384))</f>
        <v/>
      </c>
      <c r="AJ384" s="61" t="str">
        <f>IF(COUNTA(T384:AH384)=0,"",AI384/75)</f>
        <v/>
      </c>
      <c r="AK384" s="61" t="str">
        <f>IF(COUNTA(T384:AH384)=0,"",(SUM(T384*[1]KPI_Weights!$B$4,U384*[1]KPI_Weights!$B$5,V384*[1]KPI_Weights!$B$6,W384*[1]KPI_Weights!$B$7,X384*[1]KPI_Weights!$B$8,Y384*[1]KPI_Weights!$B$9,Z384*[1]KPI_Weights!$B$10,AA384*[1]KPI_Weights!$B$11,AB384*[1]KPI_Weights!$B$12,AC384*[1]KPI_Weights!$B$13,AD384*[1]KPI_Weights!$B$14,AE384*[1]KPI_Weights!$B$15,AF384*[1]KPI_Weights!$B$16,AG384*[1]KPI_Weights!$B$17,AH384*[1]KPI_Weights!$B$18))/5)</f>
        <v/>
      </c>
      <c r="AL384" s="60" t="str">
        <f>IF(COUNTA(T384:AH384)=0,"",IF(OR(T384&lt;=1,W384&lt;=1,X384&lt;=1,Y384&lt;=1,AB384&lt;=1),"YES","NO"))</f>
        <v/>
      </c>
      <c r="AM384" s="60" t="str">
        <f>IF(AJ384="","",IF(AND(AL384="NO",AJ384&gt;=0.75),"YES","NO"))</f>
        <v/>
      </c>
      <c r="AN384" s="60" t="str">
        <f>IF(AJ384="","",IF(AJ384&lt;0.4,"Critical",IF(AJ384&lt;0.6,"Poor",IF(AJ384&lt;0.75,"Needs Improvement",IF(AJ384&lt;0.9,"Good","Excellent")))))</f>
        <v/>
      </c>
      <c r="AO384" s="59"/>
      <c r="AP384" s="59"/>
      <c r="AQ384" s="59"/>
      <c r="AR384" s="59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</row>
    <row r="385" spans="1:54" ht="19.5" customHeight="1" x14ac:dyDescent="0.25">
      <c r="A385" s="60" t="str">
        <f>IF($B385="","",TEXT($B385,"yyyymmdd")&amp;"-"&amp;SUBSTITUTE($F385," ","")&amp;"-"&amp;TEXT(COUNTIF($F$4:F385,$F385),"00"))</f>
        <v/>
      </c>
      <c r="B385" s="65"/>
      <c r="C385" s="60" t="str">
        <f>IF($B385="","",WEEKNUM($B385,2))</f>
        <v/>
      </c>
      <c r="D385" s="60" t="str">
        <f>IF($B385="","",TEXT($B385,"yyyy-mm"))</f>
        <v/>
      </c>
      <c r="E385" s="64"/>
      <c r="F385" s="64"/>
      <c r="G385" s="60" t="str">
        <f>IF(OR($E385="",$F385=""),"",IFERROR(IF($E385=INDEX([1]Cluster_Master!$A$4:$A$18,MATCH($F385,[1]Cluster_Master!$B$4:$B$18,0)),"OK","CHECK"),"CHECK"))</f>
        <v/>
      </c>
      <c r="H385" s="63" t="str">
        <f>IFERROR(INDEX([1]Cluster_Master!$C$4:$C$18,MATCH($F385,[1]Cluster_Master!$B$4:$B$18,0)),"")</f>
        <v/>
      </c>
      <c r="I385" s="60" t="str">
        <f>IFERROR(INDEX([1]Cluster_Master!$D$4:$D$18,MATCH($F385,[1]Cluster_Master!$B$4:$B$18,0)),"")</f>
        <v/>
      </c>
      <c r="J385" s="60" t="str">
        <f>IFERROR(INDEX([1]Cluster_Master!$E$4:$E$18,MATCH($F385,[1]Cluster_Master!$B$4:$B$18,0)),"")</f>
        <v/>
      </c>
      <c r="K385" s="60" t="str">
        <f>IFERROR(INDEX([1]Cluster_Master!$F$4:$F$18,MATCH($F385,[1]Cluster_Master!$B$4:$B$18,0)),"")</f>
        <v/>
      </c>
      <c r="L385" s="60" t="str">
        <f>IFERROR(INDEX([1]Cluster_Master!$G$4:$G$18,MATCH($F385,[1]Cluster_Master!$B$4:$B$18,0)),"")</f>
        <v/>
      </c>
      <c r="M385" s="60" t="str">
        <f>IFERROR(INDEX([1]Cluster_Master!$H$4:$H$18,MATCH($F385,[1]Cluster_Master!$B$4:$B$18,0)),"")</f>
        <v/>
      </c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60" t="str">
        <f>IF(COUNTA(T385:AH385)=0,"",SUM(T385:AH385))</f>
        <v/>
      </c>
      <c r="AJ385" s="61" t="str">
        <f>IF(COUNTA(T385:AH385)=0,"",AI385/75)</f>
        <v/>
      </c>
      <c r="AK385" s="61" t="str">
        <f>IF(COUNTA(T385:AH385)=0,"",(SUM(T385*[1]KPI_Weights!$B$4,U385*[1]KPI_Weights!$B$5,V385*[1]KPI_Weights!$B$6,W385*[1]KPI_Weights!$B$7,X385*[1]KPI_Weights!$B$8,Y385*[1]KPI_Weights!$B$9,Z385*[1]KPI_Weights!$B$10,AA385*[1]KPI_Weights!$B$11,AB385*[1]KPI_Weights!$B$12,AC385*[1]KPI_Weights!$B$13,AD385*[1]KPI_Weights!$B$14,AE385*[1]KPI_Weights!$B$15,AF385*[1]KPI_Weights!$B$16,AG385*[1]KPI_Weights!$B$17,AH385*[1]KPI_Weights!$B$18))/5)</f>
        <v/>
      </c>
      <c r="AL385" s="60" t="str">
        <f>IF(COUNTA(T385:AH385)=0,"",IF(OR(T385&lt;=1,W385&lt;=1,X385&lt;=1,Y385&lt;=1,AB385&lt;=1),"YES","NO"))</f>
        <v/>
      </c>
      <c r="AM385" s="60" t="str">
        <f>IF(AJ385="","",IF(AND(AL385="NO",AJ385&gt;=0.75),"YES","NO"))</f>
        <v/>
      </c>
      <c r="AN385" s="60" t="str">
        <f>IF(AJ385="","",IF(AJ385&lt;0.4,"Critical",IF(AJ385&lt;0.6,"Poor",IF(AJ385&lt;0.75,"Needs Improvement",IF(AJ385&lt;0.9,"Good","Excellent")))))</f>
        <v/>
      </c>
      <c r="AO385" s="59"/>
      <c r="AP385" s="59"/>
      <c r="AQ385" s="59"/>
      <c r="AR385" s="59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</row>
    <row r="386" spans="1:54" ht="19.5" customHeight="1" x14ac:dyDescent="0.25">
      <c r="A386" s="60" t="str">
        <f>IF($B386="","",TEXT($B386,"yyyymmdd")&amp;"-"&amp;SUBSTITUTE($F386," ","")&amp;"-"&amp;TEXT(COUNTIF($F$4:F386,$F386),"00"))</f>
        <v/>
      </c>
      <c r="B386" s="65"/>
      <c r="C386" s="60" t="str">
        <f>IF($B386="","",WEEKNUM($B386,2))</f>
        <v/>
      </c>
      <c r="D386" s="60" t="str">
        <f>IF($B386="","",TEXT($B386,"yyyy-mm"))</f>
        <v/>
      </c>
      <c r="E386" s="64"/>
      <c r="F386" s="64"/>
      <c r="G386" s="60" t="str">
        <f>IF(OR($E386="",$F386=""),"",IFERROR(IF($E386=INDEX([1]Cluster_Master!$A$4:$A$18,MATCH($F386,[1]Cluster_Master!$B$4:$B$18,0)),"OK","CHECK"),"CHECK"))</f>
        <v/>
      </c>
      <c r="H386" s="63" t="str">
        <f>IFERROR(INDEX([1]Cluster_Master!$C$4:$C$18,MATCH($F386,[1]Cluster_Master!$B$4:$B$18,0)),"")</f>
        <v/>
      </c>
      <c r="I386" s="60" t="str">
        <f>IFERROR(INDEX([1]Cluster_Master!$D$4:$D$18,MATCH($F386,[1]Cluster_Master!$B$4:$B$18,0)),"")</f>
        <v/>
      </c>
      <c r="J386" s="60" t="str">
        <f>IFERROR(INDEX([1]Cluster_Master!$E$4:$E$18,MATCH($F386,[1]Cluster_Master!$B$4:$B$18,0)),"")</f>
        <v/>
      </c>
      <c r="K386" s="60" t="str">
        <f>IFERROR(INDEX([1]Cluster_Master!$F$4:$F$18,MATCH($F386,[1]Cluster_Master!$B$4:$B$18,0)),"")</f>
        <v/>
      </c>
      <c r="L386" s="60" t="str">
        <f>IFERROR(INDEX([1]Cluster_Master!$G$4:$G$18,MATCH($F386,[1]Cluster_Master!$B$4:$B$18,0)),"")</f>
        <v/>
      </c>
      <c r="M386" s="60" t="str">
        <f>IFERROR(INDEX([1]Cluster_Master!$H$4:$H$18,MATCH($F386,[1]Cluster_Master!$B$4:$B$18,0)),"")</f>
        <v/>
      </c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60" t="str">
        <f>IF(COUNTA(T386:AH386)=0,"",SUM(T386:AH386))</f>
        <v/>
      </c>
      <c r="AJ386" s="61" t="str">
        <f>IF(COUNTA(T386:AH386)=0,"",AI386/75)</f>
        <v/>
      </c>
      <c r="AK386" s="61" t="str">
        <f>IF(COUNTA(T386:AH386)=0,"",(SUM(T386*[1]KPI_Weights!$B$4,U386*[1]KPI_Weights!$B$5,V386*[1]KPI_Weights!$B$6,W386*[1]KPI_Weights!$B$7,X386*[1]KPI_Weights!$B$8,Y386*[1]KPI_Weights!$B$9,Z386*[1]KPI_Weights!$B$10,AA386*[1]KPI_Weights!$B$11,AB386*[1]KPI_Weights!$B$12,AC386*[1]KPI_Weights!$B$13,AD386*[1]KPI_Weights!$B$14,AE386*[1]KPI_Weights!$B$15,AF386*[1]KPI_Weights!$B$16,AG386*[1]KPI_Weights!$B$17,AH386*[1]KPI_Weights!$B$18))/5)</f>
        <v/>
      </c>
      <c r="AL386" s="60" t="str">
        <f>IF(COUNTA(T386:AH386)=0,"",IF(OR(T386&lt;=1,W386&lt;=1,X386&lt;=1,Y386&lt;=1,AB386&lt;=1),"YES","NO"))</f>
        <v/>
      </c>
      <c r="AM386" s="60" t="str">
        <f>IF(AJ386="","",IF(AND(AL386="NO",AJ386&gt;=0.75),"YES","NO"))</f>
        <v/>
      </c>
      <c r="AN386" s="60" t="str">
        <f>IF(AJ386="","",IF(AJ386&lt;0.4,"Critical",IF(AJ386&lt;0.6,"Poor",IF(AJ386&lt;0.75,"Needs Improvement",IF(AJ386&lt;0.9,"Good","Excellent")))))</f>
        <v/>
      </c>
      <c r="AO386" s="59"/>
      <c r="AP386" s="59"/>
      <c r="AQ386" s="59"/>
      <c r="AR386" s="59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</row>
    <row r="387" spans="1:54" ht="19.5" customHeight="1" x14ac:dyDescent="0.25">
      <c r="A387" s="60" t="str">
        <f>IF($B387="","",TEXT($B387,"yyyymmdd")&amp;"-"&amp;SUBSTITUTE($F387," ","")&amp;"-"&amp;TEXT(COUNTIF($F$4:F387,$F387),"00"))</f>
        <v/>
      </c>
      <c r="B387" s="65"/>
      <c r="C387" s="60" t="str">
        <f>IF($B387="","",WEEKNUM($B387,2))</f>
        <v/>
      </c>
      <c r="D387" s="60" t="str">
        <f>IF($B387="","",TEXT($B387,"yyyy-mm"))</f>
        <v/>
      </c>
      <c r="E387" s="64"/>
      <c r="F387" s="64"/>
      <c r="G387" s="60" t="str">
        <f>IF(OR($E387="",$F387=""),"",IFERROR(IF($E387=INDEX([1]Cluster_Master!$A$4:$A$18,MATCH($F387,[1]Cluster_Master!$B$4:$B$18,0)),"OK","CHECK"),"CHECK"))</f>
        <v/>
      </c>
      <c r="H387" s="63" t="str">
        <f>IFERROR(INDEX([1]Cluster_Master!$C$4:$C$18,MATCH($F387,[1]Cluster_Master!$B$4:$B$18,0)),"")</f>
        <v/>
      </c>
      <c r="I387" s="60" t="str">
        <f>IFERROR(INDEX([1]Cluster_Master!$D$4:$D$18,MATCH($F387,[1]Cluster_Master!$B$4:$B$18,0)),"")</f>
        <v/>
      </c>
      <c r="J387" s="60" t="str">
        <f>IFERROR(INDEX([1]Cluster_Master!$E$4:$E$18,MATCH($F387,[1]Cluster_Master!$B$4:$B$18,0)),"")</f>
        <v/>
      </c>
      <c r="K387" s="60" t="str">
        <f>IFERROR(INDEX([1]Cluster_Master!$F$4:$F$18,MATCH($F387,[1]Cluster_Master!$B$4:$B$18,0)),"")</f>
        <v/>
      </c>
      <c r="L387" s="60" t="str">
        <f>IFERROR(INDEX([1]Cluster_Master!$G$4:$G$18,MATCH($F387,[1]Cluster_Master!$B$4:$B$18,0)),"")</f>
        <v/>
      </c>
      <c r="M387" s="60" t="str">
        <f>IFERROR(INDEX([1]Cluster_Master!$H$4:$H$18,MATCH($F387,[1]Cluster_Master!$B$4:$B$18,0)),"")</f>
        <v/>
      </c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60" t="str">
        <f>IF(COUNTA(T387:AH387)=0,"",SUM(T387:AH387))</f>
        <v/>
      </c>
      <c r="AJ387" s="61" t="str">
        <f>IF(COUNTA(T387:AH387)=0,"",AI387/75)</f>
        <v/>
      </c>
      <c r="AK387" s="61" t="str">
        <f>IF(COUNTA(T387:AH387)=0,"",(SUM(T387*[1]KPI_Weights!$B$4,U387*[1]KPI_Weights!$B$5,V387*[1]KPI_Weights!$B$6,W387*[1]KPI_Weights!$B$7,X387*[1]KPI_Weights!$B$8,Y387*[1]KPI_Weights!$B$9,Z387*[1]KPI_Weights!$B$10,AA387*[1]KPI_Weights!$B$11,AB387*[1]KPI_Weights!$B$12,AC387*[1]KPI_Weights!$B$13,AD387*[1]KPI_Weights!$B$14,AE387*[1]KPI_Weights!$B$15,AF387*[1]KPI_Weights!$B$16,AG387*[1]KPI_Weights!$B$17,AH387*[1]KPI_Weights!$B$18))/5)</f>
        <v/>
      </c>
      <c r="AL387" s="60" t="str">
        <f>IF(COUNTA(T387:AH387)=0,"",IF(OR(T387&lt;=1,W387&lt;=1,X387&lt;=1,Y387&lt;=1,AB387&lt;=1),"YES","NO"))</f>
        <v/>
      </c>
      <c r="AM387" s="60" t="str">
        <f>IF(AJ387="","",IF(AND(AL387="NO",AJ387&gt;=0.75),"YES","NO"))</f>
        <v/>
      </c>
      <c r="AN387" s="60" t="str">
        <f>IF(AJ387="","",IF(AJ387&lt;0.4,"Critical",IF(AJ387&lt;0.6,"Poor",IF(AJ387&lt;0.75,"Needs Improvement",IF(AJ387&lt;0.9,"Good","Excellent")))))</f>
        <v/>
      </c>
      <c r="AO387" s="59"/>
      <c r="AP387" s="59"/>
      <c r="AQ387" s="59"/>
      <c r="AR387" s="59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</row>
    <row r="388" spans="1:54" ht="19.5" customHeight="1" x14ac:dyDescent="0.25">
      <c r="A388" s="60" t="str">
        <f>IF($B388="","",TEXT($B388,"yyyymmdd")&amp;"-"&amp;SUBSTITUTE($F388," ","")&amp;"-"&amp;TEXT(COUNTIF($F$4:F388,$F388),"00"))</f>
        <v/>
      </c>
      <c r="B388" s="65"/>
      <c r="C388" s="60" t="str">
        <f>IF($B388="","",WEEKNUM($B388,2))</f>
        <v/>
      </c>
      <c r="D388" s="60" t="str">
        <f>IF($B388="","",TEXT($B388,"yyyy-mm"))</f>
        <v/>
      </c>
      <c r="E388" s="64"/>
      <c r="F388" s="64"/>
      <c r="G388" s="60" t="str">
        <f>IF(OR($E388="",$F388=""),"",IFERROR(IF($E388=INDEX([1]Cluster_Master!$A$4:$A$18,MATCH($F388,[1]Cluster_Master!$B$4:$B$18,0)),"OK","CHECK"),"CHECK"))</f>
        <v/>
      </c>
      <c r="H388" s="63" t="str">
        <f>IFERROR(INDEX([1]Cluster_Master!$C$4:$C$18,MATCH($F388,[1]Cluster_Master!$B$4:$B$18,0)),"")</f>
        <v/>
      </c>
      <c r="I388" s="60" t="str">
        <f>IFERROR(INDEX([1]Cluster_Master!$D$4:$D$18,MATCH($F388,[1]Cluster_Master!$B$4:$B$18,0)),"")</f>
        <v/>
      </c>
      <c r="J388" s="60" t="str">
        <f>IFERROR(INDEX([1]Cluster_Master!$E$4:$E$18,MATCH($F388,[1]Cluster_Master!$B$4:$B$18,0)),"")</f>
        <v/>
      </c>
      <c r="K388" s="60" t="str">
        <f>IFERROR(INDEX([1]Cluster_Master!$F$4:$F$18,MATCH($F388,[1]Cluster_Master!$B$4:$B$18,0)),"")</f>
        <v/>
      </c>
      <c r="L388" s="60" t="str">
        <f>IFERROR(INDEX([1]Cluster_Master!$G$4:$G$18,MATCH($F388,[1]Cluster_Master!$B$4:$B$18,0)),"")</f>
        <v/>
      </c>
      <c r="M388" s="60" t="str">
        <f>IFERROR(INDEX([1]Cluster_Master!$H$4:$H$18,MATCH($F388,[1]Cluster_Master!$B$4:$B$18,0)),"")</f>
        <v/>
      </c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60" t="str">
        <f>IF(COUNTA(T388:AH388)=0,"",SUM(T388:AH388))</f>
        <v/>
      </c>
      <c r="AJ388" s="61" t="str">
        <f>IF(COUNTA(T388:AH388)=0,"",AI388/75)</f>
        <v/>
      </c>
      <c r="AK388" s="61" t="str">
        <f>IF(COUNTA(T388:AH388)=0,"",(SUM(T388*[1]KPI_Weights!$B$4,U388*[1]KPI_Weights!$B$5,V388*[1]KPI_Weights!$B$6,W388*[1]KPI_Weights!$B$7,X388*[1]KPI_Weights!$B$8,Y388*[1]KPI_Weights!$B$9,Z388*[1]KPI_Weights!$B$10,AA388*[1]KPI_Weights!$B$11,AB388*[1]KPI_Weights!$B$12,AC388*[1]KPI_Weights!$B$13,AD388*[1]KPI_Weights!$B$14,AE388*[1]KPI_Weights!$B$15,AF388*[1]KPI_Weights!$B$16,AG388*[1]KPI_Weights!$B$17,AH388*[1]KPI_Weights!$B$18))/5)</f>
        <v/>
      </c>
      <c r="AL388" s="60" t="str">
        <f>IF(COUNTA(T388:AH388)=0,"",IF(OR(T388&lt;=1,W388&lt;=1,X388&lt;=1,Y388&lt;=1,AB388&lt;=1),"YES","NO"))</f>
        <v/>
      </c>
      <c r="AM388" s="60" t="str">
        <f>IF(AJ388="","",IF(AND(AL388="NO",AJ388&gt;=0.75),"YES","NO"))</f>
        <v/>
      </c>
      <c r="AN388" s="60" t="str">
        <f>IF(AJ388="","",IF(AJ388&lt;0.4,"Critical",IF(AJ388&lt;0.6,"Poor",IF(AJ388&lt;0.75,"Needs Improvement",IF(AJ388&lt;0.9,"Good","Excellent")))))</f>
        <v/>
      </c>
      <c r="AO388" s="59"/>
      <c r="AP388" s="59"/>
      <c r="AQ388" s="59"/>
      <c r="AR388" s="59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</row>
    <row r="389" spans="1:54" ht="19.5" customHeight="1" x14ac:dyDescent="0.25">
      <c r="A389" s="60" t="str">
        <f>IF($B389="","",TEXT($B389,"yyyymmdd")&amp;"-"&amp;SUBSTITUTE($F389," ","")&amp;"-"&amp;TEXT(COUNTIF($F$4:F389,$F389),"00"))</f>
        <v/>
      </c>
      <c r="B389" s="65"/>
      <c r="C389" s="60" t="str">
        <f>IF($B389="","",WEEKNUM($B389,2))</f>
        <v/>
      </c>
      <c r="D389" s="60" t="str">
        <f>IF($B389="","",TEXT($B389,"yyyy-mm"))</f>
        <v/>
      </c>
      <c r="E389" s="64"/>
      <c r="F389" s="64"/>
      <c r="G389" s="60" t="str">
        <f>IF(OR($E389="",$F389=""),"",IFERROR(IF($E389=INDEX([1]Cluster_Master!$A$4:$A$18,MATCH($F389,[1]Cluster_Master!$B$4:$B$18,0)),"OK","CHECK"),"CHECK"))</f>
        <v/>
      </c>
      <c r="H389" s="63" t="str">
        <f>IFERROR(INDEX([1]Cluster_Master!$C$4:$C$18,MATCH($F389,[1]Cluster_Master!$B$4:$B$18,0)),"")</f>
        <v/>
      </c>
      <c r="I389" s="60" t="str">
        <f>IFERROR(INDEX([1]Cluster_Master!$D$4:$D$18,MATCH($F389,[1]Cluster_Master!$B$4:$B$18,0)),"")</f>
        <v/>
      </c>
      <c r="J389" s="60" t="str">
        <f>IFERROR(INDEX([1]Cluster_Master!$E$4:$E$18,MATCH($F389,[1]Cluster_Master!$B$4:$B$18,0)),"")</f>
        <v/>
      </c>
      <c r="K389" s="60" t="str">
        <f>IFERROR(INDEX([1]Cluster_Master!$F$4:$F$18,MATCH($F389,[1]Cluster_Master!$B$4:$B$18,0)),"")</f>
        <v/>
      </c>
      <c r="L389" s="60" t="str">
        <f>IFERROR(INDEX([1]Cluster_Master!$G$4:$G$18,MATCH($F389,[1]Cluster_Master!$B$4:$B$18,0)),"")</f>
        <v/>
      </c>
      <c r="M389" s="60" t="str">
        <f>IFERROR(INDEX([1]Cluster_Master!$H$4:$H$18,MATCH($F389,[1]Cluster_Master!$B$4:$B$18,0)),"")</f>
        <v/>
      </c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60" t="str">
        <f>IF(COUNTA(T389:AH389)=0,"",SUM(T389:AH389))</f>
        <v/>
      </c>
      <c r="AJ389" s="61" t="str">
        <f>IF(COUNTA(T389:AH389)=0,"",AI389/75)</f>
        <v/>
      </c>
      <c r="AK389" s="61" t="str">
        <f>IF(COUNTA(T389:AH389)=0,"",(SUM(T389*[1]KPI_Weights!$B$4,U389*[1]KPI_Weights!$B$5,V389*[1]KPI_Weights!$B$6,W389*[1]KPI_Weights!$B$7,X389*[1]KPI_Weights!$B$8,Y389*[1]KPI_Weights!$B$9,Z389*[1]KPI_Weights!$B$10,AA389*[1]KPI_Weights!$B$11,AB389*[1]KPI_Weights!$B$12,AC389*[1]KPI_Weights!$B$13,AD389*[1]KPI_Weights!$B$14,AE389*[1]KPI_Weights!$B$15,AF389*[1]KPI_Weights!$B$16,AG389*[1]KPI_Weights!$B$17,AH389*[1]KPI_Weights!$B$18))/5)</f>
        <v/>
      </c>
      <c r="AL389" s="60" t="str">
        <f>IF(COUNTA(T389:AH389)=0,"",IF(OR(T389&lt;=1,W389&lt;=1,X389&lt;=1,Y389&lt;=1,AB389&lt;=1),"YES","NO"))</f>
        <v/>
      </c>
      <c r="AM389" s="60" t="str">
        <f>IF(AJ389="","",IF(AND(AL389="NO",AJ389&gt;=0.75),"YES","NO"))</f>
        <v/>
      </c>
      <c r="AN389" s="60" t="str">
        <f>IF(AJ389="","",IF(AJ389&lt;0.4,"Critical",IF(AJ389&lt;0.6,"Poor",IF(AJ389&lt;0.75,"Needs Improvement",IF(AJ389&lt;0.9,"Good","Excellent")))))</f>
        <v/>
      </c>
      <c r="AO389" s="59"/>
      <c r="AP389" s="59"/>
      <c r="AQ389" s="59"/>
      <c r="AR389" s="59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</row>
    <row r="390" spans="1:54" ht="19.5" customHeight="1" x14ac:dyDescent="0.25">
      <c r="A390" s="60" t="str">
        <f>IF($B390="","",TEXT($B390,"yyyymmdd")&amp;"-"&amp;SUBSTITUTE($F390," ","")&amp;"-"&amp;TEXT(COUNTIF($F$4:F390,$F390),"00"))</f>
        <v/>
      </c>
      <c r="B390" s="65"/>
      <c r="C390" s="60" t="str">
        <f>IF($B390="","",WEEKNUM($B390,2))</f>
        <v/>
      </c>
      <c r="D390" s="60" t="str">
        <f>IF($B390="","",TEXT($B390,"yyyy-mm"))</f>
        <v/>
      </c>
      <c r="E390" s="64"/>
      <c r="F390" s="64"/>
      <c r="G390" s="60" t="str">
        <f>IF(OR($E390="",$F390=""),"",IFERROR(IF($E390=INDEX([1]Cluster_Master!$A$4:$A$18,MATCH($F390,[1]Cluster_Master!$B$4:$B$18,0)),"OK","CHECK"),"CHECK"))</f>
        <v/>
      </c>
      <c r="H390" s="63" t="str">
        <f>IFERROR(INDEX([1]Cluster_Master!$C$4:$C$18,MATCH($F390,[1]Cluster_Master!$B$4:$B$18,0)),"")</f>
        <v/>
      </c>
      <c r="I390" s="60" t="str">
        <f>IFERROR(INDEX([1]Cluster_Master!$D$4:$D$18,MATCH($F390,[1]Cluster_Master!$B$4:$B$18,0)),"")</f>
        <v/>
      </c>
      <c r="J390" s="60" t="str">
        <f>IFERROR(INDEX([1]Cluster_Master!$E$4:$E$18,MATCH($F390,[1]Cluster_Master!$B$4:$B$18,0)),"")</f>
        <v/>
      </c>
      <c r="K390" s="60" t="str">
        <f>IFERROR(INDEX([1]Cluster_Master!$F$4:$F$18,MATCH($F390,[1]Cluster_Master!$B$4:$B$18,0)),"")</f>
        <v/>
      </c>
      <c r="L390" s="60" t="str">
        <f>IFERROR(INDEX([1]Cluster_Master!$G$4:$G$18,MATCH($F390,[1]Cluster_Master!$B$4:$B$18,0)),"")</f>
        <v/>
      </c>
      <c r="M390" s="60" t="str">
        <f>IFERROR(INDEX([1]Cluster_Master!$H$4:$H$18,MATCH($F390,[1]Cluster_Master!$B$4:$B$18,0)),"")</f>
        <v/>
      </c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60" t="str">
        <f>IF(COUNTA(T390:AH390)=0,"",SUM(T390:AH390))</f>
        <v/>
      </c>
      <c r="AJ390" s="61" t="str">
        <f>IF(COUNTA(T390:AH390)=0,"",AI390/75)</f>
        <v/>
      </c>
      <c r="AK390" s="61" t="str">
        <f>IF(COUNTA(T390:AH390)=0,"",(SUM(T390*[1]KPI_Weights!$B$4,U390*[1]KPI_Weights!$B$5,V390*[1]KPI_Weights!$B$6,W390*[1]KPI_Weights!$B$7,X390*[1]KPI_Weights!$B$8,Y390*[1]KPI_Weights!$B$9,Z390*[1]KPI_Weights!$B$10,AA390*[1]KPI_Weights!$B$11,AB390*[1]KPI_Weights!$B$12,AC390*[1]KPI_Weights!$B$13,AD390*[1]KPI_Weights!$B$14,AE390*[1]KPI_Weights!$B$15,AF390*[1]KPI_Weights!$B$16,AG390*[1]KPI_Weights!$B$17,AH390*[1]KPI_Weights!$B$18))/5)</f>
        <v/>
      </c>
      <c r="AL390" s="60" t="str">
        <f>IF(COUNTA(T390:AH390)=0,"",IF(OR(T390&lt;=1,W390&lt;=1,X390&lt;=1,Y390&lt;=1,AB390&lt;=1),"YES","NO"))</f>
        <v/>
      </c>
      <c r="AM390" s="60" t="str">
        <f>IF(AJ390="","",IF(AND(AL390="NO",AJ390&gt;=0.75),"YES","NO"))</f>
        <v/>
      </c>
      <c r="AN390" s="60" t="str">
        <f>IF(AJ390="","",IF(AJ390&lt;0.4,"Critical",IF(AJ390&lt;0.6,"Poor",IF(AJ390&lt;0.75,"Needs Improvement",IF(AJ390&lt;0.9,"Good","Excellent")))))</f>
        <v/>
      </c>
      <c r="AO390" s="59"/>
      <c r="AP390" s="59"/>
      <c r="AQ390" s="59"/>
      <c r="AR390" s="59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</row>
    <row r="391" spans="1:54" ht="19.5" customHeight="1" x14ac:dyDescent="0.25">
      <c r="A391" s="60" t="str">
        <f>IF($B391="","",TEXT($B391,"yyyymmdd")&amp;"-"&amp;SUBSTITUTE($F391," ","")&amp;"-"&amp;TEXT(COUNTIF($F$4:F391,$F391),"00"))</f>
        <v/>
      </c>
      <c r="B391" s="65"/>
      <c r="C391" s="60" t="str">
        <f>IF($B391="","",WEEKNUM($B391,2))</f>
        <v/>
      </c>
      <c r="D391" s="60" t="str">
        <f>IF($B391="","",TEXT($B391,"yyyy-mm"))</f>
        <v/>
      </c>
      <c r="E391" s="64"/>
      <c r="F391" s="64"/>
      <c r="G391" s="60" t="str">
        <f>IF(OR($E391="",$F391=""),"",IFERROR(IF($E391=INDEX([1]Cluster_Master!$A$4:$A$18,MATCH($F391,[1]Cluster_Master!$B$4:$B$18,0)),"OK","CHECK"),"CHECK"))</f>
        <v/>
      </c>
      <c r="H391" s="63" t="str">
        <f>IFERROR(INDEX([1]Cluster_Master!$C$4:$C$18,MATCH($F391,[1]Cluster_Master!$B$4:$B$18,0)),"")</f>
        <v/>
      </c>
      <c r="I391" s="60" t="str">
        <f>IFERROR(INDEX([1]Cluster_Master!$D$4:$D$18,MATCH($F391,[1]Cluster_Master!$B$4:$B$18,0)),"")</f>
        <v/>
      </c>
      <c r="J391" s="60" t="str">
        <f>IFERROR(INDEX([1]Cluster_Master!$E$4:$E$18,MATCH($F391,[1]Cluster_Master!$B$4:$B$18,0)),"")</f>
        <v/>
      </c>
      <c r="K391" s="60" t="str">
        <f>IFERROR(INDEX([1]Cluster_Master!$F$4:$F$18,MATCH($F391,[1]Cluster_Master!$B$4:$B$18,0)),"")</f>
        <v/>
      </c>
      <c r="L391" s="60" t="str">
        <f>IFERROR(INDEX([1]Cluster_Master!$G$4:$G$18,MATCH($F391,[1]Cluster_Master!$B$4:$B$18,0)),"")</f>
        <v/>
      </c>
      <c r="M391" s="60" t="str">
        <f>IFERROR(INDEX([1]Cluster_Master!$H$4:$H$18,MATCH($F391,[1]Cluster_Master!$B$4:$B$18,0)),"")</f>
        <v/>
      </c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60" t="str">
        <f>IF(COUNTA(T391:AH391)=0,"",SUM(T391:AH391))</f>
        <v/>
      </c>
      <c r="AJ391" s="61" t="str">
        <f>IF(COUNTA(T391:AH391)=0,"",AI391/75)</f>
        <v/>
      </c>
      <c r="AK391" s="61" t="str">
        <f>IF(COUNTA(T391:AH391)=0,"",(SUM(T391*[1]KPI_Weights!$B$4,U391*[1]KPI_Weights!$B$5,V391*[1]KPI_Weights!$B$6,W391*[1]KPI_Weights!$B$7,X391*[1]KPI_Weights!$B$8,Y391*[1]KPI_Weights!$B$9,Z391*[1]KPI_Weights!$B$10,AA391*[1]KPI_Weights!$B$11,AB391*[1]KPI_Weights!$B$12,AC391*[1]KPI_Weights!$B$13,AD391*[1]KPI_Weights!$B$14,AE391*[1]KPI_Weights!$B$15,AF391*[1]KPI_Weights!$B$16,AG391*[1]KPI_Weights!$B$17,AH391*[1]KPI_Weights!$B$18))/5)</f>
        <v/>
      </c>
      <c r="AL391" s="60" t="str">
        <f>IF(COUNTA(T391:AH391)=0,"",IF(OR(T391&lt;=1,W391&lt;=1,X391&lt;=1,Y391&lt;=1,AB391&lt;=1),"YES","NO"))</f>
        <v/>
      </c>
      <c r="AM391" s="60" t="str">
        <f>IF(AJ391="","",IF(AND(AL391="NO",AJ391&gt;=0.75),"YES","NO"))</f>
        <v/>
      </c>
      <c r="AN391" s="60" t="str">
        <f>IF(AJ391="","",IF(AJ391&lt;0.4,"Critical",IF(AJ391&lt;0.6,"Poor",IF(AJ391&lt;0.75,"Needs Improvement",IF(AJ391&lt;0.9,"Good","Excellent")))))</f>
        <v/>
      </c>
      <c r="AO391" s="59"/>
      <c r="AP391" s="59"/>
      <c r="AQ391" s="59"/>
      <c r="AR391" s="59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</row>
    <row r="392" spans="1:54" ht="19.5" customHeight="1" x14ac:dyDescent="0.25">
      <c r="A392" s="60" t="str">
        <f>IF($B392="","",TEXT($B392,"yyyymmdd")&amp;"-"&amp;SUBSTITUTE($F392," ","")&amp;"-"&amp;TEXT(COUNTIF($F$4:F392,$F392),"00"))</f>
        <v/>
      </c>
      <c r="B392" s="65"/>
      <c r="C392" s="60" t="str">
        <f>IF($B392="","",WEEKNUM($B392,2))</f>
        <v/>
      </c>
      <c r="D392" s="60" t="str">
        <f>IF($B392="","",TEXT($B392,"yyyy-mm"))</f>
        <v/>
      </c>
      <c r="E392" s="64"/>
      <c r="F392" s="64"/>
      <c r="G392" s="60" t="str">
        <f>IF(OR($E392="",$F392=""),"",IFERROR(IF($E392=INDEX([1]Cluster_Master!$A$4:$A$18,MATCH($F392,[1]Cluster_Master!$B$4:$B$18,0)),"OK","CHECK"),"CHECK"))</f>
        <v/>
      </c>
      <c r="H392" s="63" t="str">
        <f>IFERROR(INDEX([1]Cluster_Master!$C$4:$C$18,MATCH($F392,[1]Cluster_Master!$B$4:$B$18,0)),"")</f>
        <v/>
      </c>
      <c r="I392" s="60" t="str">
        <f>IFERROR(INDEX([1]Cluster_Master!$D$4:$D$18,MATCH($F392,[1]Cluster_Master!$B$4:$B$18,0)),"")</f>
        <v/>
      </c>
      <c r="J392" s="60" t="str">
        <f>IFERROR(INDEX([1]Cluster_Master!$E$4:$E$18,MATCH($F392,[1]Cluster_Master!$B$4:$B$18,0)),"")</f>
        <v/>
      </c>
      <c r="K392" s="60" t="str">
        <f>IFERROR(INDEX([1]Cluster_Master!$F$4:$F$18,MATCH($F392,[1]Cluster_Master!$B$4:$B$18,0)),"")</f>
        <v/>
      </c>
      <c r="L392" s="60" t="str">
        <f>IFERROR(INDEX([1]Cluster_Master!$G$4:$G$18,MATCH($F392,[1]Cluster_Master!$B$4:$B$18,0)),"")</f>
        <v/>
      </c>
      <c r="M392" s="60" t="str">
        <f>IFERROR(INDEX([1]Cluster_Master!$H$4:$H$18,MATCH($F392,[1]Cluster_Master!$B$4:$B$18,0)),"")</f>
        <v/>
      </c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60" t="str">
        <f>IF(COUNTA(T392:AH392)=0,"",SUM(T392:AH392))</f>
        <v/>
      </c>
      <c r="AJ392" s="61" t="str">
        <f>IF(COUNTA(T392:AH392)=0,"",AI392/75)</f>
        <v/>
      </c>
      <c r="AK392" s="61" t="str">
        <f>IF(COUNTA(T392:AH392)=0,"",(SUM(T392*[1]KPI_Weights!$B$4,U392*[1]KPI_Weights!$B$5,V392*[1]KPI_Weights!$B$6,W392*[1]KPI_Weights!$B$7,X392*[1]KPI_Weights!$B$8,Y392*[1]KPI_Weights!$B$9,Z392*[1]KPI_Weights!$B$10,AA392*[1]KPI_Weights!$B$11,AB392*[1]KPI_Weights!$B$12,AC392*[1]KPI_Weights!$B$13,AD392*[1]KPI_Weights!$B$14,AE392*[1]KPI_Weights!$B$15,AF392*[1]KPI_Weights!$B$16,AG392*[1]KPI_Weights!$B$17,AH392*[1]KPI_Weights!$B$18))/5)</f>
        <v/>
      </c>
      <c r="AL392" s="60" t="str">
        <f>IF(COUNTA(T392:AH392)=0,"",IF(OR(T392&lt;=1,W392&lt;=1,X392&lt;=1,Y392&lt;=1,AB392&lt;=1),"YES","NO"))</f>
        <v/>
      </c>
      <c r="AM392" s="60" t="str">
        <f>IF(AJ392="","",IF(AND(AL392="NO",AJ392&gt;=0.75),"YES","NO"))</f>
        <v/>
      </c>
      <c r="AN392" s="60" t="str">
        <f>IF(AJ392="","",IF(AJ392&lt;0.4,"Critical",IF(AJ392&lt;0.6,"Poor",IF(AJ392&lt;0.75,"Needs Improvement",IF(AJ392&lt;0.9,"Good","Excellent")))))</f>
        <v/>
      </c>
      <c r="AO392" s="59"/>
      <c r="AP392" s="59"/>
      <c r="AQ392" s="59"/>
      <c r="AR392" s="59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</row>
    <row r="393" spans="1:54" ht="19.5" customHeight="1" x14ac:dyDescent="0.25">
      <c r="A393" s="60" t="str">
        <f>IF($B393="","",TEXT($B393,"yyyymmdd")&amp;"-"&amp;SUBSTITUTE($F393," ","")&amp;"-"&amp;TEXT(COUNTIF($F$4:F393,$F393),"00"))</f>
        <v/>
      </c>
      <c r="B393" s="65"/>
      <c r="C393" s="60" t="str">
        <f>IF($B393="","",WEEKNUM($B393,2))</f>
        <v/>
      </c>
      <c r="D393" s="60" t="str">
        <f>IF($B393="","",TEXT($B393,"yyyy-mm"))</f>
        <v/>
      </c>
      <c r="E393" s="64"/>
      <c r="F393" s="64"/>
      <c r="G393" s="60" t="str">
        <f>IF(OR($E393="",$F393=""),"",IFERROR(IF($E393=INDEX([1]Cluster_Master!$A$4:$A$18,MATCH($F393,[1]Cluster_Master!$B$4:$B$18,0)),"OK","CHECK"),"CHECK"))</f>
        <v/>
      </c>
      <c r="H393" s="63" t="str">
        <f>IFERROR(INDEX([1]Cluster_Master!$C$4:$C$18,MATCH($F393,[1]Cluster_Master!$B$4:$B$18,0)),"")</f>
        <v/>
      </c>
      <c r="I393" s="60" t="str">
        <f>IFERROR(INDEX([1]Cluster_Master!$D$4:$D$18,MATCH($F393,[1]Cluster_Master!$B$4:$B$18,0)),"")</f>
        <v/>
      </c>
      <c r="J393" s="60" t="str">
        <f>IFERROR(INDEX([1]Cluster_Master!$E$4:$E$18,MATCH($F393,[1]Cluster_Master!$B$4:$B$18,0)),"")</f>
        <v/>
      </c>
      <c r="K393" s="60" t="str">
        <f>IFERROR(INDEX([1]Cluster_Master!$F$4:$F$18,MATCH($F393,[1]Cluster_Master!$B$4:$B$18,0)),"")</f>
        <v/>
      </c>
      <c r="L393" s="60" t="str">
        <f>IFERROR(INDEX([1]Cluster_Master!$G$4:$G$18,MATCH($F393,[1]Cluster_Master!$B$4:$B$18,0)),"")</f>
        <v/>
      </c>
      <c r="M393" s="60" t="str">
        <f>IFERROR(INDEX([1]Cluster_Master!$H$4:$H$18,MATCH($F393,[1]Cluster_Master!$B$4:$B$18,0)),"")</f>
        <v/>
      </c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60" t="str">
        <f>IF(COUNTA(T393:AH393)=0,"",SUM(T393:AH393))</f>
        <v/>
      </c>
      <c r="AJ393" s="61" t="str">
        <f>IF(COUNTA(T393:AH393)=0,"",AI393/75)</f>
        <v/>
      </c>
      <c r="AK393" s="61" t="str">
        <f>IF(COUNTA(T393:AH393)=0,"",(SUM(T393*[1]KPI_Weights!$B$4,U393*[1]KPI_Weights!$B$5,V393*[1]KPI_Weights!$B$6,W393*[1]KPI_Weights!$B$7,X393*[1]KPI_Weights!$B$8,Y393*[1]KPI_Weights!$B$9,Z393*[1]KPI_Weights!$B$10,AA393*[1]KPI_Weights!$B$11,AB393*[1]KPI_Weights!$B$12,AC393*[1]KPI_Weights!$B$13,AD393*[1]KPI_Weights!$B$14,AE393*[1]KPI_Weights!$B$15,AF393*[1]KPI_Weights!$B$16,AG393*[1]KPI_Weights!$B$17,AH393*[1]KPI_Weights!$B$18))/5)</f>
        <v/>
      </c>
      <c r="AL393" s="60" t="str">
        <f>IF(COUNTA(T393:AH393)=0,"",IF(OR(T393&lt;=1,W393&lt;=1,X393&lt;=1,Y393&lt;=1,AB393&lt;=1),"YES","NO"))</f>
        <v/>
      </c>
      <c r="AM393" s="60" t="str">
        <f>IF(AJ393="","",IF(AND(AL393="NO",AJ393&gt;=0.75),"YES","NO"))</f>
        <v/>
      </c>
      <c r="AN393" s="60" t="str">
        <f>IF(AJ393="","",IF(AJ393&lt;0.4,"Critical",IF(AJ393&lt;0.6,"Poor",IF(AJ393&lt;0.75,"Needs Improvement",IF(AJ393&lt;0.9,"Good","Excellent")))))</f>
        <v/>
      </c>
      <c r="AO393" s="59"/>
      <c r="AP393" s="59"/>
      <c r="AQ393" s="59"/>
      <c r="AR393" s="59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</row>
    <row r="394" spans="1:54" ht="19.5" customHeight="1" x14ac:dyDescent="0.25">
      <c r="A394" s="60" t="str">
        <f>IF($B394="","",TEXT($B394,"yyyymmdd")&amp;"-"&amp;SUBSTITUTE($F394," ","")&amp;"-"&amp;TEXT(COUNTIF($F$4:F394,$F394),"00"))</f>
        <v/>
      </c>
      <c r="B394" s="65"/>
      <c r="C394" s="60" t="str">
        <f>IF($B394="","",WEEKNUM($B394,2))</f>
        <v/>
      </c>
      <c r="D394" s="60" t="str">
        <f>IF($B394="","",TEXT($B394,"yyyy-mm"))</f>
        <v/>
      </c>
      <c r="E394" s="64"/>
      <c r="F394" s="64"/>
      <c r="G394" s="60" t="str">
        <f>IF(OR($E394="",$F394=""),"",IFERROR(IF($E394=INDEX([1]Cluster_Master!$A$4:$A$18,MATCH($F394,[1]Cluster_Master!$B$4:$B$18,0)),"OK","CHECK"),"CHECK"))</f>
        <v/>
      </c>
      <c r="H394" s="63" t="str">
        <f>IFERROR(INDEX([1]Cluster_Master!$C$4:$C$18,MATCH($F394,[1]Cluster_Master!$B$4:$B$18,0)),"")</f>
        <v/>
      </c>
      <c r="I394" s="60" t="str">
        <f>IFERROR(INDEX([1]Cluster_Master!$D$4:$D$18,MATCH($F394,[1]Cluster_Master!$B$4:$B$18,0)),"")</f>
        <v/>
      </c>
      <c r="J394" s="60" t="str">
        <f>IFERROR(INDEX([1]Cluster_Master!$E$4:$E$18,MATCH($F394,[1]Cluster_Master!$B$4:$B$18,0)),"")</f>
        <v/>
      </c>
      <c r="K394" s="60" t="str">
        <f>IFERROR(INDEX([1]Cluster_Master!$F$4:$F$18,MATCH($F394,[1]Cluster_Master!$B$4:$B$18,0)),"")</f>
        <v/>
      </c>
      <c r="L394" s="60" t="str">
        <f>IFERROR(INDEX([1]Cluster_Master!$G$4:$G$18,MATCH($F394,[1]Cluster_Master!$B$4:$B$18,0)),"")</f>
        <v/>
      </c>
      <c r="M394" s="60" t="str">
        <f>IFERROR(INDEX([1]Cluster_Master!$H$4:$H$18,MATCH($F394,[1]Cluster_Master!$B$4:$B$18,0)),"")</f>
        <v/>
      </c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60" t="str">
        <f>IF(COUNTA(T394:AH394)=0,"",SUM(T394:AH394))</f>
        <v/>
      </c>
      <c r="AJ394" s="61" t="str">
        <f>IF(COUNTA(T394:AH394)=0,"",AI394/75)</f>
        <v/>
      </c>
      <c r="AK394" s="61" t="str">
        <f>IF(COUNTA(T394:AH394)=0,"",(SUM(T394*[1]KPI_Weights!$B$4,U394*[1]KPI_Weights!$B$5,V394*[1]KPI_Weights!$B$6,W394*[1]KPI_Weights!$B$7,X394*[1]KPI_Weights!$B$8,Y394*[1]KPI_Weights!$B$9,Z394*[1]KPI_Weights!$B$10,AA394*[1]KPI_Weights!$B$11,AB394*[1]KPI_Weights!$B$12,AC394*[1]KPI_Weights!$B$13,AD394*[1]KPI_Weights!$B$14,AE394*[1]KPI_Weights!$B$15,AF394*[1]KPI_Weights!$B$16,AG394*[1]KPI_Weights!$B$17,AH394*[1]KPI_Weights!$B$18))/5)</f>
        <v/>
      </c>
      <c r="AL394" s="60" t="str">
        <f>IF(COUNTA(T394:AH394)=0,"",IF(OR(T394&lt;=1,W394&lt;=1,X394&lt;=1,Y394&lt;=1,AB394&lt;=1),"YES","NO"))</f>
        <v/>
      </c>
      <c r="AM394" s="60" t="str">
        <f>IF(AJ394="","",IF(AND(AL394="NO",AJ394&gt;=0.75),"YES","NO"))</f>
        <v/>
      </c>
      <c r="AN394" s="60" t="str">
        <f>IF(AJ394="","",IF(AJ394&lt;0.4,"Critical",IF(AJ394&lt;0.6,"Poor",IF(AJ394&lt;0.75,"Needs Improvement",IF(AJ394&lt;0.9,"Good","Excellent")))))</f>
        <v/>
      </c>
      <c r="AO394" s="59"/>
      <c r="AP394" s="59"/>
      <c r="AQ394" s="59"/>
      <c r="AR394" s="59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</row>
    <row r="395" spans="1:54" ht="19.5" customHeight="1" x14ac:dyDescent="0.25">
      <c r="A395" s="60" t="str">
        <f>IF($B395="","",TEXT($B395,"yyyymmdd")&amp;"-"&amp;SUBSTITUTE($F395," ","")&amp;"-"&amp;TEXT(COUNTIF($F$4:F395,$F395),"00"))</f>
        <v/>
      </c>
      <c r="B395" s="65"/>
      <c r="C395" s="60" t="str">
        <f>IF($B395="","",WEEKNUM($B395,2))</f>
        <v/>
      </c>
      <c r="D395" s="60" t="str">
        <f>IF($B395="","",TEXT($B395,"yyyy-mm"))</f>
        <v/>
      </c>
      <c r="E395" s="64"/>
      <c r="F395" s="64"/>
      <c r="G395" s="60" t="str">
        <f>IF(OR($E395="",$F395=""),"",IFERROR(IF($E395=INDEX([1]Cluster_Master!$A$4:$A$18,MATCH($F395,[1]Cluster_Master!$B$4:$B$18,0)),"OK","CHECK"),"CHECK"))</f>
        <v/>
      </c>
      <c r="H395" s="63" t="str">
        <f>IFERROR(INDEX([1]Cluster_Master!$C$4:$C$18,MATCH($F395,[1]Cluster_Master!$B$4:$B$18,0)),"")</f>
        <v/>
      </c>
      <c r="I395" s="60" t="str">
        <f>IFERROR(INDEX([1]Cluster_Master!$D$4:$D$18,MATCH($F395,[1]Cluster_Master!$B$4:$B$18,0)),"")</f>
        <v/>
      </c>
      <c r="J395" s="60" t="str">
        <f>IFERROR(INDEX([1]Cluster_Master!$E$4:$E$18,MATCH($F395,[1]Cluster_Master!$B$4:$B$18,0)),"")</f>
        <v/>
      </c>
      <c r="K395" s="60" t="str">
        <f>IFERROR(INDEX([1]Cluster_Master!$F$4:$F$18,MATCH($F395,[1]Cluster_Master!$B$4:$B$18,0)),"")</f>
        <v/>
      </c>
      <c r="L395" s="60" t="str">
        <f>IFERROR(INDEX([1]Cluster_Master!$G$4:$G$18,MATCH($F395,[1]Cluster_Master!$B$4:$B$18,0)),"")</f>
        <v/>
      </c>
      <c r="M395" s="60" t="str">
        <f>IFERROR(INDEX([1]Cluster_Master!$H$4:$H$18,MATCH($F395,[1]Cluster_Master!$B$4:$B$18,0)),"")</f>
        <v/>
      </c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60" t="str">
        <f>IF(COUNTA(T395:AH395)=0,"",SUM(T395:AH395))</f>
        <v/>
      </c>
      <c r="AJ395" s="61" t="str">
        <f>IF(COUNTA(T395:AH395)=0,"",AI395/75)</f>
        <v/>
      </c>
      <c r="AK395" s="61" t="str">
        <f>IF(COUNTA(T395:AH395)=0,"",(SUM(T395*[1]KPI_Weights!$B$4,U395*[1]KPI_Weights!$B$5,V395*[1]KPI_Weights!$B$6,W395*[1]KPI_Weights!$B$7,X395*[1]KPI_Weights!$B$8,Y395*[1]KPI_Weights!$B$9,Z395*[1]KPI_Weights!$B$10,AA395*[1]KPI_Weights!$B$11,AB395*[1]KPI_Weights!$B$12,AC395*[1]KPI_Weights!$B$13,AD395*[1]KPI_Weights!$B$14,AE395*[1]KPI_Weights!$B$15,AF395*[1]KPI_Weights!$B$16,AG395*[1]KPI_Weights!$B$17,AH395*[1]KPI_Weights!$B$18))/5)</f>
        <v/>
      </c>
      <c r="AL395" s="60" t="str">
        <f>IF(COUNTA(T395:AH395)=0,"",IF(OR(T395&lt;=1,W395&lt;=1,X395&lt;=1,Y395&lt;=1,AB395&lt;=1),"YES","NO"))</f>
        <v/>
      </c>
      <c r="AM395" s="60" t="str">
        <f>IF(AJ395="","",IF(AND(AL395="NO",AJ395&gt;=0.75),"YES","NO"))</f>
        <v/>
      </c>
      <c r="AN395" s="60" t="str">
        <f>IF(AJ395="","",IF(AJ395&lt;0.4,"Critical",IF(AJ395&lt;0.6,"Poor",IF(AJ395&lt;0.75,"Needs Improvement",IF(AJ395&lt;0.9,"Good","Excellent")))))</f>
        <v/>
      </c>
      <c r="AO395" s="59"/>
      <c r="AP395" s="59"/>
      <c r="AQ395" s="59"/>
      <c r="AR395" s="59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</row>
    <row r="396" spans="1:54" ht="19.5" customHeight="1" x14ac:dyDescent="0.25">
      <c r="A396" s="60" t="str">
        <f>IF($B396="","",TEXT($B396,"yyyymmdd")&amp;"-"&amp;SUBSTITUTE($F396," ","")&amp;"-"&amp;TEXT(COUNTIF($F$4:F396,$F396),"00"))</f>
        <v/>
      </c>
      <c r="B396" s="65"/>
      <c r="C396" s="60" t="str">
        <f>IF($B396="","",WEEKNUM($B396,2))</f>
        <v/>
      </c>
      <c r="D396" s="60" t="str">
        <f>IF($B396="","",TEXT($B396,"yyyy-mm"))</f>
        <v/>
      </c>
      <c r="E396" s="64"/>
      <c r="F396" s="64"/>
      <c r="G396" s="60" t="str">
        <f>IF(OR($E396="",$F396=""),"",IFERROR(IF($E396=INDEX([1]Cluster_Master!$A$4:$A$18,MATCH($F396,[1]Cluster_Master!$B$4:$B$18,0)),"OK","CHECK"),"CHECK"))</f>
        <v/>
      </c>
      <c r="H396" s="63" t="str">
        <f>IFERROR(INDEX([1]Cluster_Master!$C$4:$C$18,MATCH($F396,[1]Cluster_Master!$B$4:$B$18,0)),"")</f>
        <v/>
      </c>
      <c r="I396" s="60" t="str">
        <f>IFERROR(INDEX([1]Cluster_Master!$D$4:$D$18,MATCH($F396,[1]Cluster_Master!$B$4:$B$18,0)),"")</f>
        <v/>
      </c>
      <c r="J396" s="60" t="str">
        <f>IFERROR(INDEX([1]Cluster_Master!$E$4:$E$18,MATCH($F396,[1]Cluster_Master!$B$4:$B$18,0)),"")</f>
        <v/>
      </c>
      <c r="K396" s="60" t="str">
        <f>IFERROR(INDEX([1]Cluster_Master!$F$4:$F$18,MATCH($F396,[1]Cluster_Master!$B$4:$B$18,0)),"")</f>
        <v/>
      </c>
      <c r="L396" s="60" t="str">
        <f>IFERROR(INDEX([1]Cluster_Master!$G$4:$G$18,MATCH($F396,[1]Cluster_Master!$B$4:$B$18,0)),"")</f>
        <v/>
      </c>
      <c r="M396" s="60" t="str">
        <f>IFERROR(INDEX([1]Cluster_Master!$H$4:$H$18,MATCH($F396,[1]Cluster_Master!$B$4:$B$18,0)),"")</f>
        <v/>
      </c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60" t="str">
        <f>IF(COUNTA(T396:AH396)=0,"",SUM(T396:AH396))</f>
        <v/>
      </c>
      <c r="AJ396" s="61" t="str">
        <f>IF(COUNTA(T396:AH396)=0,"",AI396/75)</f>
        <v/>
      </c>
      <c r="AK396" s="61" t="str">
        <f>IF(COUNTA(T396:AH396)=0,"",(SUM(T396*[1]KPI_Weights!$B$4,U396*[1]KPI_Weights!$B$5,V396*[1]KPI_Weights!$B$6,W396*[1]KPI_Weights!$B$7,X396*[1]KPI_Weights!$B$8,Y396*[1]KPI_Weights!$B$9,Z396*[1]KPI_Weights!$B$10,AA396*[1]KPI_Weights!$B$11,AB396*[1]KPI_Weights!$B$12,AC396*[1]KPI_Weights!$B$13,AD396*[1]KPI_Weights!$B$14,AE396*[1]KPI_Weights!$B$15,AF396*[1]KPI_Weights!$B$16,AG396*[1]KPI_Weights!$B$17,AH396*[1]KPI_Weights!$B$18))/5)</f>
        <v/>
      </c>
      <c r="AL396" s="60" t="str">
        <f>IF(COUNTA(T396:AH396)=0,"",IF(OR(T396&lt;=1,W396&lt;=1,X396&lt;=1,Y396&lt;=1,AB396&lt;=1),"YES","NO"))</f>
        <v/>
      </c>
      <c r="AM396" s="60" t="str">
        <f>IF(AJ396="","",IF(AND(AL396="NO",AJ396&gt;=0.75),"YES","NO"))</f>
        <v/>
      </c>
      <c r="AN396" s="60" t="str">
        <f>IF(AJ396="","",IF(AJ396&lt;0.4,"Critical",IF(AJ396&lt;0.6,"Poor",IF(AJ396&lt;0.75,"Needs Improvement",IF(AJ396&lt;0.9,"Good","Excellent")))))</f>
        <v/>
      </c>
      <c r="AO396" s="59"/>
      <c r="AP396" s="59"/>
      <c r="AQ396" s="59"/>
      <c r="AR396" s="59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</row>
    <row r="397" spans="1:54" ht="19.5" customHeight="1" x14ac:dyDescent="0.25">
      <c r="A397" s="60" t="str">
        <f>IF($B397="","",TEXT($B397,"yyyymmdd")&amp;"-"&amp;SUBSTITUTE($F397," ","")&amp;"-"&amp;TEXT(COUNTIF($F$4:F397,$F397),"00"))</f>
        <v/>
      </c>
      <c r="B397" s="65"/>
      <c r="C397" s="60" t="str">
        <f>IF($B397="","",WEEKNUM($B397,2))</f>
        <v/>
      </c>
      <c r="D397" s="60" t="str">
        <f>IF($B397="","",TEXT($B397,"yyyy-mm"))</f>
        <v/>
      </c>
      <c r="E397" s="64"/>
      <c r="F397" s="64"/>
      <c r="G397" s="60" t="str">
        <f>IF(OR($E397="",$F397=""),"",IFERROR(IF($E397=INDEX([1]Cluster_Master!$A$4:$A$18,MATCH($F397,[1]Cluster_Master!$B$4:$B$18,0)),"OK","CHECK"),"CHECK"))</f>
        <v/>
      </c>
      <c r="H397" s="63" t="str">
        <f>IFERROR(INDEX([1]Cluster_Master!$C$4:$C$18,MATCH($F397,[1]Cluster_Master!$B$4:$B$18,0)),"")</f>
        <v/>
      </c>
      <c r="I397" s="60" t="str">
        <f>IFERROR(INDEX([1]Cluster_Master!$D$4:$D$18,MATCH($F397,[1]Cluster_Master!$B$4:$B$18,0)),"")</f>
        <v/>
      </c>
      <c r="J397" s="60" t="str">
        <f>IFERROR(INDEX([1]Cluster_Master!$E$4:$E$18,MATCH($F397,[1]Cluster_Master!$B$4:$B$18,0)),"")</f>
        <v/>
      </c>
      <c r="K397" s="60" t="str">
        <f>IFERROR(INDEX([1]Cluster_Master!$F$4:$F$18,MATCH($F397,[1]Cluster_Master!$B$4:$B$18,0)),"")</f>
        <v/>
      </c>
      <c r="L397" s="60" t="str">
        <f>IFERROR(INDEX([1]Cluster_Master!$G$4:$G$18,MATCH($F397,[1]Cluster_Master!$B$4:$B$18,0)),"")</f>
        <v/>
      </c>
      <c r="M397" s="60" t="str">
        <f>IFERROR(INDEX([1]Cluster_Master!$H$4:$H$18,MATCH($F397,[1]Cluster_Master!$B$4:$B$18,0)),"")</f>
        <v/>
      </c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60" t="str">
        <f>IF(COUNTA(T397:AH397)=0,"",SUM(T397:AH397))</f>
        <v/>
      </c>
      <c r="AJ397" s="61" t="str">
        <f>IF(COUNTA(T397:AH397)=0,"",AI397/75)</f>
        <v/>
      </c>
      <c r="AK397" s="61" t="str">
        <f>IF(COUNTA(T397:AH397)=0,"",(SUM(T397*[1]KPI_Weights!$B$4,U397*[1]KPI_Weights!$B$5,V397*[1]KPI_Weights!$B$6,W397*[1]KPI_Weights!$B$7,X397*[1]KPI_Weights!$B$8,Y397*[1]KPI_Weights!$B$9,Z397*[1]KPI_Weights!$B$10,AA397*[1]KPI_Weights!$B$11,AB397*[1]KPI_Weights!$B$12,AC397*[1]KPI_Weights!$B$13,AD397*[1]KPI_Weights!$B$14,AE397*[1]KPI_Weights!$B$15,AF397*[1]KPI_Weights!$B$16,AG397*[1]KPI_Weights!$B$17,AH397*[1]KPI_Weights!$B$18))/5)</f>
        <v/>
      </c>
      <c r="AL397" s="60" t="str">
        <f>IF(COUNTA(T397:AH397)=0,"",IF(OR(T397&lt;=1,W397&lt;=1,X397&lt;=1,Y397&lt;=1,AB397&lt;=1),"YES","NO"))</f>
        <v/>
      </c>
      <c r="AM397" s="60" t="str">
        <f>IF(AJ397="","",IF(AND(AL397="NO",AJ397&gt;=0.75),"YES","NO"))</f>
        <v/>
      </c>
      <c r="AN397" s="60" t="str">
        <f>IF(AJ397="","",IF(AJ397&lt;0.4,"Critical",IF(AJ397&lt;0.6,"Poor",IF(AJ397&lt;0.75,"Needs Improvement",IF(AJ397&lt;0.9,"Good","Excellent")))))</f>
        <v/>
      </c>
      <c r="AO397" s="59"/>
      <c r="AP397" s="59"/>
      <c r="AQ397" s="59"/>
      <c r="AR397" s="59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</row>
    <row r="398" spans="1:54" ht="19.5" customHeight="1" x14ac:dyDescent="0.25">
      <c r="A398" s="60" t="str">
        <f>IF($B398="","",TEXT($B398,"yyyymmdd")&amp;"-"&amp;SUBSTITUTE($F398," ","")&amp;"-"&amp;TEXT(COUNTIF($F$4:F398,$F398),"00"))</f>
        <v/>
      </c>
      <c r="B398" s="65"/>
      <c r="C398" s="60" t="str">
        <f>IF($B398="","",WEEKNUM($B398,2))</f>
        <v/>
      </c>
      <c r="D398" s="60" t="str">
        <f>IF($B398="","",TEXT($B398,"yyyy-mm"))</f>
        <v/>
      </c>
      <c r="E398" s="64"/>
      <c r="F398" s="64"/>
      <c r="G398" s="60" t="str">
        <f>IF(OR($E398="",$F398=""),"",IFERROR(IF($E398=INDEX([1]Cluster_Master!$A$4:$A$18,MATCH($F398,[1]Cluster_Master!$B$4:$B$18,0)),"OK","CHECK"),"CHECK"))</f>
        <v/>
      </c>
      <c r="H398" s="63" t="str">
        <f>IFERROR(INDEX([1]Cluster_Master!$C$4:$C$18,MATCH($F398,[1]Cluster_Master!$B$4:$B$18,0)),"")</f>
        <v/>
      </c>
      <c r="I398" s="60" t="str">
        <f>IFERROR(INDEX([1]Cluster_Master!$D$4:$D$18,MATCH($F398,[1]Cluster_Master!$B$4:$B$18,0)),"")</f>
        <v/>
      </c>
      <c r="J398" s="60" t="str">
        <f>IFERROR(INDEX([1]Cluster_Master!$E$4:$E$18,MATCH($F398,[1]Cluster_Master!$B$4:$B$18,0)),"")</f>
        <v/>
      </c>
      <c r="K398" s="60" t="str">
        <f>IFERROR(INDEX([1]Cluster_Master!$F$4:$F$18,MATCH($F398,[1]Cluster_Master!$B$4:$B$18,0)),"")</f>
        <v/>
      </c>
      <c r="L398" s="60" t="str">
        <f>IFERROR(INDEX([1]Cluster_Master!$G$4:$G$18,MATCH($F398,[1]Cluster_Master!$B$4:$B$18,0)),"")</f>
        <v/>
      </c>
      <c r="M398" s="60" t="str">
        <f>IFERROR(INDEX([1]Cluster_Master!$H$4:$H$18,MATCH($F398,[1]Cluster_Master!$B$4:$B$18,0)),"")</f>
        <v/>
      </c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60" t="str">
        <f>IF(COUNTA(T398:AH398)=0,"",SUM(T398:AH398))</f>
        <v/>
      </c>
      <c r="AJ398" s="61" t="str">
        <f>IF(COUNTA(T398:AH398)=0,"",AI398/75)</f>
        <v/>
      </c>
      <c r="AK398" s="61" t="str">
        <f>IF(COUNTA(T398:AH398)=0,"",(SUM(T398*[1]KPI_Weights!$B$4,U398*[1]KPI_Weights!$B$5,V398*[1]KPI_Weights!$B$6,W398*[1]KPI_Weights!$B$7,X398*[1]KPI_Weights!$B$8,Y398*[1]KPI_Weights!$B$9,Z398*[1]KPI_Weights!$B$10,AA398*[1]KPI_Weights!$B$11,AB398*[1]KPI_Weights!$B$12,AC398*[1]KPI_Weights!$B$13,AD398*[1]KPI_Weights!$B$14,AE398*[1]KPI_Weights!$B$15,AF398*[1]KPI_Weights!$B$16,AG398*[1]KPI_Weights!$B$17,AH398*[1]KPI_Weights!$B$18))/5)</f>
        <v/>
      </c>
      <c r="AL398" s="60" t="str">
        <f>IF(COUNTA(T398:AH398)=0,"",IF(OR(T398&lt;=1,W398&lt;=1,X398&lt;=1,Y398&lt;=1,AB398&lt;=1),"YES","NO"))</f>
        <v/>
      </c>
      <c r="AM398" s="60" t="str">
        <f>IF(AJ398="","",IF(AND(AL398="NO",AJ398&gt;=0.75),"YES","NO"))</f>
        <v/>
      </c>
      <c r="AN398" s="60" t="str">
        <f>IF(AJ398="","",IF(AJ398&lt;0.4,"Critical",IF(AJ398&lt;0.6,"Poor",IF(AJ398&lt;0.75,"Needs Improvement",IF(AJ398&lt;0.9,"Good","Excellent")))))</f>
        <v/>
      </c>
      <c r="AO398" s="59"/>
      <c r="AP398" s="59"/>
      <c r="AQ398" s="59"/>
      <c r="AR398" s="59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</row>
    <row r="399" spans="1:54" ht="19.5" customHeight="1" x14ac:dyDescent="0.25">
      <c r="A399" s="60" t="str">
        <f>IF($B399="","",TEXT($B399,"yyyymmdd")&amp;"-"&amp;SUBSTITUTE($F399," ","")&amp;"-"&amp;TEXT(COUNTIF($F$4:F399,$F399),"00"))</f>
        <v/>
      </c>
      <c r="B399" s="65"/>
      <c r="C399" s="60" t="str">
        <f>IF($B399="","",WEEKNUM($B399,2))</f>
        <v/>
      </c>
      <c r="D399" s="60" t="str">
        <f>IF($B399="","",TEXT($B399,"yyyy-mm"))</f>
        <v/>
      </c>
      <c r="E399" s="64"/>
      <c r="F399" s="64"/>
      <c r="G399" s="60" t="str">
        <f>IF(OR($E399="",$F399=""),"",IFERROR(IF($E399=INDEX([1]Cluster_Master!$A$4:$A$18,MATCH($F399,[1]Cluster_Master!$B$4:$B$18,0)),"OK","CHECK"),"CHECK"))</f>
        <v/>
      </c>
      <c r="H399" s="63" t="str">
        <f>IFERROR(INDEX([1]Cluster_Master!$C$4:$C$18,MATCH($F399,[1]Cluster_Master!$B$4:$B$18,0)),"")</f>
        <v/>
      </c>
      <c r="I399" s="60" t="str">
        <f>IFERROR(INDEX([1]Cluster_Master!$D$4:$D$18,MATCH($F399,[1]Cluster_Master!$B$4:$B$18,0)),"")</f>
        <v/>
      </c>
      <c r="J399" s="60" t="str">
        <f>IFERROR(INDEX([1]Cluster_Master!$E$4:$E$18,MATCH($F399,[1]Cluster_Master!$B$4:$B$18,0)),"")</f>
        <v/>
      </c>
      <c r="K399" s="60" t="str">
        <f>IFERROR(INDEX([1]Cluster_Master!$F$4:$F$18,MATCH($F399,[1]Cluster_Master!$B$4:$B$18,0)),"")</f>
        <v/>
      </c>
      <c r="L399" s="60" t="str">
        <f>IFERROR(INDEX([1]Cluster_Master!$G$4:$G$18,MATCH($F399,[1]Cluster_Master!$B$4:$B$18,0)),"")</f>
        <v/>
      </c>
      <c r="M399" s="60" t="str">
        <f>IFERROR(INDEX([1]Cluster_Master!$H$4:$H$18,MATCH($F399,[1]Cluster_Master!$B$4:$B$18,0)),"")</f>
        <v/>
      </c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60" t="str">
        <f>IF(COUNTA(T399:AH399)=0,"",SUM(T399:AH399))</f>
        <v/>
      </c>
      <c r="AJ399" s="61" t="str">
        <f>IF(COUNTA(T399:AH399)=0,"",AI399/75)</f>
        <v/>
      </c>
      <c r="AK399" s="61" t="str">
        <f>IF(COUNTA(T399:AH399)=0,"",(SUM(T399*[1]KPI_Weights!$B$4,U399*[1]KPI_Weights!$B$5,V399*[1]KPI_Weights!$B$6,W399*[1]KPI_Weights!$B$7,X399*[1]KPI_Weights!$B$8,Y399*[1]KPI_Weights!$B$9,Z399*[1]KPI_Weights!$B$10,AA399*[1]KPI_Weights!$B$11,AB399*[1]KPI_Weights!$B$12,AC399*[1]KPI_Weights!$B$13,AD399*[1]KPI_Weights!$B$14,AE399*[1]KPI_Weights!$B$15,AF399*[1]KPI_Weights!$B$16,AG399*[1]KPI_Weights!$B$17,AH399*[1]KPI_Weights!$B$18))/5)</f>
        <v/>
      </c>
      <c r="AL399" s="60" t="str">
        <f>IF(COUNTA(T399:AH399)=0,"",IF(OR(T399&lt;=1,W399&lt;=1,X399&lt;=1,Y399&lt;=1,AB399&lt;=1),"YES","NO"))</f>
        <v/>
      </c>
      <c r="AM399" s="60" t="str">
        <f>IF(AJ399="","",IF(AND(AL399="NO",AJ399&gt;=0.75),"YES","NO"))</f>
        <v/>
      </c>
      <c r="AN399" s="60" t="str">
        <f>IF(AJ399="","",IF(AJ399&lt;0.4,"Critical",IF(AJ399&lt;0.6,"Poor",IF(AJ399&lt;0.75,"Needs Improvement",IF(AJ399&lt;0.9,"Good","Excellent")))))</f>
        <v/>
      </c>
      <c r="AO399" s="59"/>
      <c r="AP399" s="59"/>
      <c r="AQ399" s="59"/>
      <c r="AR399" s="59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</row>
    <row r="400" spans="1:54" ht="19.5" customHeight="1" x14ac:dyDescent="0.25">
      <c r="A400" s="60" t="str">
        <f>IF($B400="","",TEXT($B400,"yyyymmdd")&amp;"-"&amp;SUBSTITUTE($F400," ","")&amp;"-"&amp;TEXT(COUNTIF($F$4:F400,$F400),"00"))</f>
        <v/>
      </c>
      <c r="B400" s="65"/>
      <c r="C400" s="60" t="str">
        <f>IF($B400="","",WEEKNUM($B400,2))</f>
        <v/>
      </c>
      <c r="D400" s="60" t="str">
        <f>IF($B400="","",TEXT($B400,"yyyy-mm"))</f>
        <v/>
      </c>
      <c r="E400" s="64"/>
      <c r="F400" s="64"/>
      <c r="G400" s="60" t="str">
        <f>IF(OR($E400="",$F400=""),"",IFERROR(IF($E400=INDEX([1]Cluster_Master!$A$4:$A$18,MATCH($F400,[1]Cluster_Master!$B$4:$B$18,0)),"OK","CHECK"),"CHECK"))</f>
        <v/>
      </c>
      <c r="H400" s="63" t="str">
        <f>IFERROR(INDEX([1]Cluster_Master!$C$4:$C$18,MATCH($F400,[1]Cluster_Master!$B$4:$B$18,0)),"")</f>
        <v/>
      </c>
      <c r="I400" s="60" t="str">
        <f>IFERROR(INDEX([1]Cluster_Master!$D$4:$D$18,MATCH($F400,[1]Cluster_Master!$B$4:$B$18,0)),"")</f>
        <v/>
      </c>
      <c r="J400" s="60" t="str">
        <f>IFERROR(INDEX([1]Cluster_Master!$E$4:$E$18,MATCH($F400,[1]Cluster_Master!$B$4:$B$18,0)),"")</f>
        <v/>
      </c>
      <c r="K400" s="60" t="str">
        <f>IFERROR(INDEX([1]Cluster_Master!$F$4:$F$18,MATCH($F400,[1]Cluster_Master!$B$4:$B$18,0)),"")</f>
        <v/>
      </c>
      <c r="L400" s="60" t="str">
        <f>IFERROR(INDEX([1]Cluster_Master!$G$4:$G$18,MATCH($F400,[1]Cluster_Master!$B$4:$B$18,0)),"")</f>
        <v/>
      </c>
      <c r="M400" s="60" t="str">
        <f>IFERROR(INDEX([1]Cluster_Master!$H$4:$H$18,MATCH($F400,[1]Cluster_Master!$B$4:$B$18,0)),"")</f>
        <v/>
      </c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60" t="str">
        <f>IF(COUNTA(T400:AH400)=0,"",SUM(T400:AH400))</f>
        <v/>
      </c>
      <c r="AJ400" s="61" t="str">
        <f>IF(COUNTA(T400:AH400)=0,"",AI400/75)</f>
        <v/>
      </c>
      <c r="AK400" s="61" t="str">
        <f>IF(COUNTA(T400:AH400)=0,"",(SUM(T400*[1]KPI_Weights!$B$4,U400*[1]KPI_Weights!$B$5,V400*[1]KPI_Weights!$B$6,W400*[1]KPI_Weights!$B$7,X400*[1]KPI_Weights!$B$8,Y400*[1]KPI_Weights!$B$9,Z400*[1]KPI_Weights!$B$10,AA400*[1]KPI_Weights!$B$11,AB400*[1]KPI_Weights!$B$12,AC400*[1]KPI_Weights!$B$13,AD400*[1]KPI_Weights!$B$14,AE400*[1]KPI_Weights!$B$15,AF400*[1]KPI_Weights!$B$16,AG400*[1]KPI_Weights!$B$17,AH400*[1]KPI_Weights!$B$18))/5)</f>
        <v/>
      </c>
      <c r="AL400" s="60" t="str">
        <f>IF(COUNTA(T400:AH400)=0,"",IF(OR(T400&lt;=1,W400&lt;=1,X400&lt;=1,Y400&lt;=1,AB400&lt;=1),"YES","NO"))</f>
        <v/>
      </c>
      <c r="AM400" s="60" t="str">
        <f>IF(AJ400="","",IF(AND(AL400="NO",AJ400&gt;=0.75),"YES","NO"))</f>
        <v/>
      </c>
      <c r="AN400" s="60" t="str">
        <f>IF(AJ400="","",IF(AJ400&lt;0.4,"Critical",IF(AJ400&lt;0.6,"Poor",IF(AJ400&lt;0.75,"Needs Improvement",IF(AJ400&lt;0.9,"Good","Excellent")))))</f>
        <v/>
      </c>
      <c r="AO400" s="59"/>
      <c r="AP400" s="59"/>
      <c r="AQ400" s="59"/>
      <c r="AR400" s="59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</row>
    <row r="401" spans="1:54" ht="19.5" customHeight="1" x14ac:dyDescent="0.25">
      <c r="A401" s="60" t="str">
        <f>IF($B401="","",TEXT($B401,"yyyymmdd")&amp;"-"&amp;SUBSTITUTE($F401," ","")&amp;"-"&amp;TEXT(COUNTIF($F$4:F401,$F401),"00"))</f>
        <v/>
      </c>
      <c r="B401" s="65"/>
      <c r="C401" s="60" t="str">
        <f>IF($B401="","",WEEKNUM($B401,2))</f>
        <v/>
      </c>
      <c r="D401" s="60" t="str">
        <f>IF($B401="","",TEXT($B401,"yyyy-mm"))</f>
        <v/>
      </c>
      <c r="E401" s="64"/>
      <c r="F401" s="64"/>
      <c r="G401" s="60" t="str">
        <f>IF(OR($E401="",$F401=""),"",IFERROR(IF($E401=INDEX([1]Cluster_Master!$A$4:$A$18,MATCH($F401,[1]Cluster_Master!$B$4:$B$18,0)),"OK","CHECK"),"CHECK"))</f>
        <v/>
      </c>
      <c r="H401" s="63" t="str">
        <f>IFERROR(INDEX([1]Cluster_Master!$C$4:$C$18,MATCH($F401,[1]Cluster_Master!$B$4:$B$18,0)),"")</f>
        <v/>
      </c>
      <c r="I401" s="60" t="str">
        <f>IFERROR(INDEX([1]Cluster_Master!$D$4:$D$18,MATCH($F401,[1]Cluster_Master!$B$4:$B$18,0)),"")</f>
        <v/>
      </c>
      <c r="J401" s="60" t="str">
        <f>IFERROR(INDEX([1]Cluster_Master!$E$4:$E$18,MATCH($F401,[1]Cluster_Master!$B$4:$B$18,0)),"")</f>
        <v/>
      </c>
      <c r="K401" s="60" t="str">
        <f>IFERROR(INDEX([1]Cluster_Master!$F$4:$F$18,MATCH($F401,[1]Cluster_Master!$B$4:$B$18,0)),"")</f>
        <v/>
      </c>
      <c r="L401" s="60" t="str">
        <f>IFERROR(INDEX([1]Cluster_Master!$G$4:$G$18,MATCH($F401,[1]Cluster_Master!$B$4:$B$18,0)),"")</f>
        <v/>
      </c>
      <c r="M401" s="60" t="str">
        <f>IFERROR(INDEX([1]Cluster_Master!$H$4:$H$18,MATCH($F401,[1]Cluster_Master!$B$4:$B$18,0)),"")</f>
        <v/>
      </c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60" t="str">
        <f>IF(COUNTA(T401:AH401)=0,"",SUM(T401:AH401))</f>
        <v/>
      </c>
      <c r="AJ401" s="61" t="str">
        <f>IF(COUNTA(T401:AH401)=0,"",AI401/75)</f>
        <v/>
      </c>
      <c r="AK401" s="61" t="str">
        <f>IF(COUNTA(T401:AH401)=0,"",(SUM(T401*[1]KPI_Weights!$B$4,U401*[1]KPI_Weights!$B$5,V401*[1]KPI_Weights!$B$6,W401*[1]KPI_Weights!$B$7,X401*[1]KPI_Weights!$B$8,Y401*[1]KPI_Weights!$B$9,Z401*[1]KPI_Weights!$B$10,AA401*[1]KPI_Weights!$B$11,AB401*[1]KPI_Weights!$B$12,AC401*[1]KPI_Weights!$B$13,AD401*[1]KPI_Weights!$B$14,AE401*[1]KPI_Weights!$B$15,AF401*[1]KPI_Weights!$B$16,AG401*[1]KPI_Weights!$B$17,AH401*[1]KPI_Weights!$B$18))/5)</f>
        <v/>
      </c>
      <c r="AL401" s="60" t="str">
        <f>IF(COUNTA(T401:AH401)=0,"",IF(OR(T401&lt;=1,W401&lt;=1,X401&lt;=1,Y401&lt;=1,AB401&lt;=1),"YES","NO"))</f>
        <v/>
      </c>
      <c r="AM401" s="60" t="str">
        <f>IF(AJ401="","",IF(AND(AL401="NO",AJ401&gt;=0.75),"YES","NO"))</f>
        <v/>
      </c>
      <c r="AN401" s="60" t="str">
        <f>IF(AJ401="","",IF(AJ401&lt;0.4,"Critical",IF(AJ401&lt;0.6,"Poor",IF(AJ401&lt;0.75,"Needs Improvement",IF(AJ401&lt;0.9,"Good","Excellent")))))</f>
        <v/>
      </c>
      <c r="AO401" s="59"/>
      <c r="AP401" s="59"/>
      <c r="AQ401" s="59"/>
      <c r="AR401" s="59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</row>
    <row r="402" spans="1:54" ht="19.5" customHeight="1" x14ac:dyDescent="0.25">
      <c r="A402" s="60" t="str">
        <f>IF($B402="","",TEXT($B402,"yyyymmdd")&amp;"-"&amp;SUBSTITUTE($F402," ","")&amp;"-"&amp;TEXT(COUNTIF($F$4:F402,$F402),"00"))</f>
        <v/>
      </c>
      <c r="B402" s="65"/>
      <c r="C402" s="60" t="str">
        <f>IF($B402="","",WEEKNUM($B402,2))</f>
        <v/>
      </c>
      <c r="D402" s="60" t="str">
        <f>IF($B402="","",TEXT($B402,"yyyy-mm"))</f>
        <v/>
      </c>
      <c r="E402" s="64"/>
      <c r="F402" s="64"/>
      <c r="G402" s="60" t="str">
        <f>IF(OR($E402="",$F402=""),"",IFERROR(IF($E402=INDEX([1]Cluster_Master!$A$4:$A$18,MATCH($F402,[1]Cluster_Master!$B$4:$B$18,0)),"OK","CHECK"),"CHECK"))</f>
        <v/>
      </c>
      <c r="H402" s="63" t="str">
        <f>IFERROR(INDEX([1]Cluster_Master!$C$4:$C$18,MATCH($F402,[1]Cluster_Master!$B$4:$B$18,0)),"")</f>
        <v/>
      </c>
      <c r="I402" s="60" t="str">
        <f>IFERROR(INDEX([1]Cluster_Master!$D$4:$D$18,MATCH($F402,[1]Cluster_Master!$B$4:$B$18,0)),"")</f>
        <v/>
      </c>
      <c r="J402" s="60" t="str">
        <f>IFERROR(INDEX([1]Cluster_Master!$E$4:$E$18,MATCH($F402,[1]Cluster_Master!$B$4:$B$18,0)),"")</f>
        <v/>
      </c>
      <c r="K402" s="60" t="str">
        <f>IFERROR(INDEX([1]Cluster_Master!$F$4:$F$18,MATCH($F402,[1]Cluster_Master!$B$4:$B$18,0)),"")</f>
        <v/>
      </c>
      <c r="L402" s="60" t="str">
        <f>IFERROR(INDEX([1]Cluster_Master!$G$4:$G$18,MATCH($F402,[1]Cluster_Master!$B$4:$B$18,0)),"")</f>
        <v/>
      </c>
      <c r="M402" s="60" t="str">
        <f>IFERROR(INDEX([1]Cluster_Master!$H$4:$H$18,MATCH($F402,[1]Cluster_Master!$B$4:$B$18,0)),"")</f>
        <v/>
      </c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60" t="str">
        <f>IF(COUNTA(T402:AH402)=0,"",SUM(T402:AH402))</f>
        <v/>
      </c>
      <c r="AJ402" s="61" t="str">
        <f>IF(COUNTA(T402:AH402)=0,"",AI402/75)</f>
        <v/>
      </c>
      <c r="AK402" s="61" t="str">
        <f>IF(COUNTA(T402:AH402)=0,"",(SUM(T402*[1]KPI_Weights!$B$4,U402*[1]KPI_Weights!$B$5,V402*[1]KPI_Weights!$B$6,W402*[1]KPI_Weights!$B$7,X402*[1]KPI_Weights!$B$8,Y402*[1]KPI_Weights!$B$9,Z402*[1]KPI_Weights!$B$10,AA402*[1]KPI_Weights!$B$11,AB402*[1]KPI_Weights!$B$12,AC402*[1]KPI_Weights!$B$13,AD402*[1]KPI_Weights!$B$14,AE402*[1]KPI_Weights!$B$15,AF402*[1]KPI_Weights!$B$16,AG402*[1]KPI_Weights!$B$17,AH402*[1]KPI_Weights!$B$18))/5)</f>
        <v/>
      </c>
      <c r="AL402" s="60" t="str">
        <f>IF(COUNTA(T402:AH402)=0,"",IF(OR(T402&lt;=1,W402&lt;=1,X402&lt;=1,Y402&lt;=1,AB402&lt;=1),"YES","NO"))</f>
        <v/>
      </c>
      <c r="AM402" s="60" t="str">
        <f>IF(AJ402="","",IF(AND(AL402="NO",AJ402&gt;=0.75),"YES","NO"))</f>
        <v/>
      </c>
      <c r="AN402" s="60" t="str">
        <f>IF(AJ402="","",IF(AJ402&lt;0.4,"Critical",IF(AJ402&lt;0.6,"Poor",IF(AJ402&lt;0.75,"Needs Improvement",IF(AJ402&lt;0.9,"Good","Excellent")))))</f>
        <v/>
      </c>
      <c r="AO402" s="59"/>
      <c r="AP402" s="59"/>
      <c r="AQ402" s="59"/>
      <c r="AR402" s="59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</row>
    <row r="403" spans="1:54" ht="19.5" customHeight="1" x14ac:dyDescent="0.25">
      <c r="A403" s="60" t="str">
        <f>IF($B403="","",TEXT($B403,"yyyymmdd")&amp;"-"&amp;SUBSTITUTE($F403," ","")&amp;"-"&amp;TEXT(COUNTIF($F$4:F403,$F403),"00"))</f>
        <v/>
      </c>
      <c r="B403" s="65"/>
      <c r="C403" s="60" t="str">
        <f>IF($B403="","",WEEKNUM($B403,2))</f>
        <v/>
      </c>
      <c r="D403" s="60" t="str">
        <f>IF($B403="","",TEXT($B403,"yyyy-mm"))</f>
        <v/>
      </c>
      <c r="E403" s="64"/>
      <c r="F403" s="64"/>
      <c r="G403" s="60" t="str">
        <f>IF(OR($E403="",$F403=""),"",IFERROR(IF($E403=INDEX([1]Cluster_Master!$A$4:$A$18,MATCH($F403,[1]Cluster_Master!$B$4:$B$18,0)),"OK","CHECK"),"CHECK"))</f>
        <v/>
      </c>
      <c r="H403" s="63" t="str">
        <f>IFERROR(INDEX([1]Cluster_Master!$C$4:$C$18,MATCH($F403,[1]Cluster_Master!$B$4:$B$18,0)),"")</f>
        <v/>
      </c>
      <c r="I403" s="60" t="str">
        <f>IFERROR(INDEX([1]Cluster_Master!$D$4:$D$18,MATCH($F403,[1]Cluster_Master!$B$4:$B$18,0)),"")</f>
        <v/>
      </c>
      <c r="J403" s="60" t="str">
        <f>IFERROR(INDEX([1]Cluster_Master!$E$4:$E$18,MATCH($F403,[1]Cluster_Master!$B$4:$B$18,0)),"")</f>
        <v/>
      </c>
      <c r="K403" s="60" t="str">
        <f>IFERROR(INDEX([1]Cluster_Master!$F$4:$F$18,MATCH($F403,[1]Cluster_Master!$B$4:$B$18,0)),"")</f>
        <v/>
      </c>
      <c r="L403" s="60" t="str">
        <f>IFERROR(INDEX([1]Cluster_Master!$G$4:$G$18,MATCH($F403,[1]Cluster_Master!$B$4:$B$18,0)),"")</f>
        <v/>
      </c>
      <c r="M403" s="60" t="str">
        <f>IFERROR(INDEX([1]Cluster_Master!$H$4:$H$18,MATCH($F403,[1]Cluster_Master!$B$4:$B$18,0)),"")</f>
        <v/>
      </c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60" t="str">
        <f>IF(COUNTA(T403:AH403)=0,"",SUM(T403:AH403))</f>
        <v/>
      </c>
      <c r="AJ403" s="61" t="str">
        <f>IF(COUNTA(T403:AH403)=0,"",AI403/75)</f>
        <v/>
      </c>
      <c r="AK403" s="61" t="str">
        <f>IF(COUNTA(T403:AH403)=0,"",(SUM(T403*[1]KPI_Weights!$B$4,U403*[1]KPI_Weights!$B$5,V403*[1]KPI_Weights!$B$6,W403*[1]KPI_Weights!$B$7,X403*[1]KPI_Weights!$B$8,Y403*[1]KPI_Weights!$B$9,Z403*[1]KPI_Weights!$B$10,AA403*[1]KPI_Weights!$B$11,AB403*[1]KPI_Weights!$B$12,AC403*[1]KPI_Weights!$B$13,AD403*[1]KPI_Weights!$B$14,AE403*[1]KPI_Weights!$B$15,AF403*[1]KPI_Weights!$B$16,AG403*[1]KPI_Weights!$B$17,AH403*[1]KPI_Weights!$B$18))/5)</f>
        <v/>
      </c>
      <c r="AL403" s="60" t="str">
        <f>IF(COUNTA(T403:AH403)=0,"",IF(OR(T403&lt;=1,W403&lt;=1,X403&lt;=1,Y403&lt;=1,AB403&lt;=1),"YES","NO"))</f>
        <v/>
      </c>
      <c r="AM403" s="60" t="str">
        <f>IF(AJ403="","",IF(AND(AL403="NO",AJ403&gt;=0.75),"YES","NO"))</f>
        <v/>
      </c>
      <c r="AN403" s="60" t="str">
        <f>IF(AJ403="","",IF(AJ403&lt;0.4,"Critical",IF(AJ403&lt;0.6,"Poor",IF(AJ403&lt;0.75,"Needs Improvement",IF(AJ403&lt;0.9,"Good","Excellent")))))</f>
        <v/>
      </c>
      <c r="AO403" s="59"/>
      <c r="AP403" s="59"/>
      <c r="AQ403" s="59"/>
      <c r="AR403" s="59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</row>
    <row r="404" spans="1:54" ht="19.5" customHeight="1" x14ac:dyDescent="0.25">
      <c r="A404" s="60" t="str">
        <f>IF($B404="","",TEXT($B404,"yyyymmdd")&amp;"-"&amp;SUBSTITUTE($F404," ","")&amp;"-"&amp;TEXT(COUNTIF($F$4:F404,$F404),"00"))</f>
        <v/>
      </c>
      <c r="B404" s="65"/>
      <c r="C404" s="60" t="str">
        <f>IF($B404="","",WEEKNUM($B404,2))</f>
        <v/>
      </c>
      <c r="D404" s="60" t="str">
        <f>IF($B404="","",TEXT($B404,"yyyy-mm"))</f>
        <v/>
      </c>
      <c r="E404" s="64"/>
      <c r="F404" s="64"/>
      <c r="G404" s="60" t="str">
        <f>IF(OR($E404="",$F404=""),"",IFERROR(IF($E404=INDEX([1]Cluster_Master!$A$4:$A$18,MATCH($F404,[1]Cluster_Master!$B$4:$B$18,0)),"OK","CHECK"),"CHECK"))</f>
        <v/>
      </c>
      <c r="H404" s="63" t="str">
        <f>IFERROR(INDEX([1]Cluster_Master!$C$4:$C$18,MATCH($F404,[1]Cluster_Master!$B$4:$B$18,0)),"")</f>
        <v/>
      </c>
      <c r="I404" s="60" t="str">
        <f>IFERROR(INDEX([1]Cluster_Master!$D$4:$D$18,MATCH($F404,[1]Cluster_Master!$B$4:$B$18,0)),"")</f>
        <v/>
      </c>
      <c r="J404" s="60" t="str">
        <f>IFERROR(INDEX([1]Cluster_Master!$E$4:$E$18,MATCH($F404,[1]Cluster_Master!$B$4:$B$18,0)),"")</f>
        <v/>
      </c>
      <c r="K404" s="60" t="str">
        <f>IFERROR(INDEX([1]Cluster_Master!$F$4:$F$18,MATCH($F404,[1]Cluster_Master!$B$4:$B$18,0)),"")</f>
        <v/>
      </c>
      <c r="L404" s="60" t="str">
        <f>IFERROR(INDEX([1]Cluster_Master!$G$4:$G$18,MATCH($F404,[1]Cluster_Master!$B$4:$B$18,0)),"")</f>
        <v/>
      </c>
      <c r="M404" s="60" t="str">
        <f>IFERROR(INDEX([1]Cluster_Master!$H$4:$H$18,MATCH($F404,[1]Cluster_Master!$B$4:$B$18,0)),"")</f>
        <v/>
      </c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60" t="str">
        <f>IF(COUNTA(T404:AH404)=0,"",SUM(T404:AH404))</f>
        <v/>
      </c>
      <c r="AJ404" s="61" t="str">
        <f>IF(COUNTA(T404:AH404)=0,"",AI404/75)</f>
        <v/>
      </c>
      <c r="AK404" s="61" t="str">
        <f>IF(COUNTA(T404:AH404)=0,"",(SUM(T404*[1]KPI_Weights!$B$4,U404*[1]KPI_Weights!$B$5,V404*[1]KPI_Weights!$B$6,W404*[1]KPI_Weights!$B$7,X404*[1]KPI_Weights!$B$8,Y404*[1]KPI_Weights!$B$9,Z404*[1]KPI_Weights!$B$10,AA404*[1]KPI_Weights!$B$11,AB404*[1]KPI_Weights!$B$12,AC404*[1]KPI_Weights!$B$13,AD404*[1]KPI_Weights!$B$14,AE404*[1]KPI_Weights!$B$15,AF404*[1]KPI_Weights!$B$16,AG404*[1]KPI_Weights!$B$17,AH404*[1]KPI_Weights!$B$18))/5)</f>
        <v/>
      </c>
      <c r="AL404" s="60" t="str">
        <f>IF(COUNTA(T404:AH404)=0,"",IF(OR(T404&lt;=1,W404&lt;=1,X404&lt;=1,Y404&lt;=1,AB404&lt;=1),"YES","NO"))</f>
        <v/>
      </c>
      <c r="AM404" s="60" t="str">
        <f>IF(AJ404="","",IF(AND(AL404="NO",AJ404&gt;=0.75),"YES","NO"))</f>
        <v/>
      </c>
      <c r="AN404" s="60" t="str">
        <f>IF(AJ404="","",IF(AJ404&lt;0.4,"Critical",IF(AJ404&lt;0.6,"Poor",IF(AJ404&lt;0.75,"Needs Improvement",IF(AJ404&lt;0.9,"Good","Excellent")))))</f>
        <v/>
      </c>
      <c r="AO404" s="59"/>
      <c r="AP404" s="59"/>
      <c r="AQ404" s="59"/>
      <c r="AR404" s="59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</row>
    <row r="405" spans="1:54" ht="19.5" customHeight="1" x14ac:dyDescent="0.25">
      <c r="A405" s="60" t="str">
        <f>IF($B405="","",TEXT($B405,"yyyymmdd")&amp;"-"&amp;SUBSTITUTE($F405," ","")&amp;"-"&amp;TEXT(COUNTIF($F$4:F405,$F405),"00"))</f>
        <v/>
      </c>
      <c r="B405" s="65"/>
      <c r="C405" s="60" t="str">
        <f>IF($B405="","",WEEKNUM($B405,2))</f>
        <v/>
      </c>
      <c r="D405" s="60" t="str">
        <f>IF($B405="","",TEXT($B405,"yyyy-mm"))</f>
        <v/>
      </c>
      <c r="E405" s="64"/>
      <c r="F405" s="64"/>
      <c r="G405" s="60" t="str">
        <f>IF(OR($E405="",$F405=""),"",IFERROR(IF($E405=INDEX([1]Cluster_Master!$A$4:$A$18,MATCH($F405,[1]Cluster_Master!$B$4:$B$18,0)),"OK","CHECK"),"CHECK"))</f>
        <v/>
      </c>
      <c r="H405" s="63" t="str">
        <f>IFERROR(INDEX([1]Cluster_Master!$C$4:$C$18,MATCH($F405,[1]Cluster_Master!$B$4:$B$18,0)),"")</f>
        <v/>
      </c>
      <c r="I405" s="60" t="str">
        <f>IFERROR(INDEX([1]Cluster_Master!$D$4:$D$18,MATCH($F405,[1]Cluster_Master!$B$4:$B$18,0)),"")</f>
        <v/>
      </c>
      <c r="J405" s="60" t="str">
        <f>IFERROR(INDEX([1]Cluster_Master!$E$4:$E$18,MATCH($F405,[1]Cluster_Master!$B$4:$B$18,0)),"")</f>
        <v/>
      </c>
      <c r="K405" s="60" t="str">
        <f>IFERROR(INDEX([1]Cluster_Master!$F$4:$F$18,MATCH($F405,[1]Cluster_Master!$B$4:$B$18,0)),"")</f>
        <v/>
      </c>
      <c r="L405" s="60" t="str">
        <f>IFERROR(INDEX([1]Cluster_Master!$G$4:$G$18,MATCH($F405,[1]Cluster_Master!$B$4:$B$18,0)),"")</f>
        <v/>
      </c>
      <c r="M405" s="60" t="str">
        <f>IFERROR(INDEX([1]Cluster_Master!$H$4:$H$18,MATCH($F405,[1]Cluster_Master!$B$4:$B$18,0)),"")</f>
        <v/>
      </c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60" t="str">
        <f>IF(COUNTA(T405:AH405)=0,"",SUM(T405:AH405))</f>
        <v/>
      </c>
      <c r="AJ405" s="61" t="str">
        <f>IF(COUNTA(T405:AH405)=0,"",AI405/75)</f>
        <v/>
      </c>
      <c r="AK405" s="61" t="str">
        <f>IF(COUNTA(T405:AH405)=0,"",(SUM(T405*[1]KPI_Weights!$B$4,U405*[1]KPI_Weights!$B$5,V405*[1]KPI_Weights!$B$6,W405*[1]KPI_Weights!$B$7,X405*[1]KPI_Weights!$B$8,Y405*[1]KPI_Weights!$B$9,Z405*[1]KPI_Weights!$B$10,AA405*[1]KPI_Weights!$B$11,AB405*[1]KPI_Weights!$B$12,AC405*[1]KPI_Weights!$B$13,AD405*[1]KPI_Weights!$B$14,AE405*[1]KPI_Weights!$B$15,AF405*[1]KPI_Weights!$B$16,AG405*[1]KPI_Weights!$B$17,AH405*[1]KPI_Weights!$B$18))/5)</f>
        <v/>
      </c>
      <c r="AL405" s="60" t="str">
        <f>IF(COUNTA(T405:AH405)=0,"",IF(OR(T405&lt;=1,W405&lt;=1,X405&lt;=1,Y405&lt;=1,AB405&lt;=1),"YES","NO"))</f>
        <v/>
      </c>
      <c r="AM405" s="60" t="str">
        <f>IF(AJ405="","",IF(AND(AL405="NO",AJ405&gt;=0.75),"YES","NO"))</f>
        <v/>
      </c>
      <c r="AN405" s="60" t="str">
        <f>IF(AJ405="","",IF(AJ405&lt;0.4,"Critical",IF(AJ405&lt;0.6,"Poor",IF(AJ405&lt;0.75,"Needs Improvement",IF(AJ405&lt;0.9,"Good","Excellent")))))</f>
        <v/>
      </c>
      <c r="AO405" s="59"/>
      <c r="AP405" s="59"/>
      <c r="AQ405" s="59"/>
      <c r="AR405" s="59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</row>
    <row r="406" spans="1:54" ht="19.5" customHeight="1" x14ac:dyDescent="0.25">
      <c r="A406" s="60" t="str">
        <f>IF($B406="","",TEXT($B406,"yyyymmdd")&amp;"-"&amp;SUBSTITUTE($F406," ","")&amp;"-"&amp;TEXT(COUNTIF($F$4:F406,$F406),"00"))</f>
        <v/>
      </c>
      <c r="B406" s="65"/>
      <c r="C406" s="60" t="str">
        <f>IF($B406="","",WEEKNUM($B406,2))</f>
        <v/>
      </c>
      <c r="D406" s="60" t="str">
        <f>IF($B406="","",TEXT($B406,"yyyy-mm"))</f>
        <v/>
      </c>
      <c r="E406" s="64"/>
      <c r="F406" s="64"/>
      <c r="G406" s="60" t="str">
        <f>IF(OR($E406="",$F406=""),"",IFERROR(IF($E406=INDEX([1]Cluster_Master!$A$4:$A$18,MATCH($F406,[1]Cluster_Master!$B$4:$B$18,0)),"OK","CHECK"),"CHECK"))</f>
        <v/>
      </c>
      <c r="H406" s="63" t="str">
        <f>IFERROR(INDEX([1]Cluster_Master!$C$4:$C$18,MATCH($F406,[1]Cluster_Master!$B$4:$B$18,0)),"")</f>
        <v/>
      </c>
      <c r="I406" s="60" t="str">
        <f>IFERROR(INDEX([1]Cluster_Master!$D$4:$D$18,MATCH($F406,[1]Cluster_Master!$B$4:$B$18,0)),"")</f>
        <v/>
      </c>
      <c r="J406" s="60" t="str">
        <f>IFERROR(INDEX([1]Cluster_Master!$E$4:$E$18,MATCH($F406,[1]Cluster_Master!$B$4:$B$18,0)),"")</f>
        <v/>
      </c>
      <c r="K406" s="60" t="str">
        <f>IFERROR(INDEX([1]Cluster_Master!$F$4:$F$18,MATCH($F406,[1]Cluster_Master!$B$4:$B$18,0)),"")</f>
        <v/>
      </c>
      <c r="L406" s="60" t="str">
        <f>IFERROR(INDEX([1]Cluster_Master!$G$4:$G$18,MATCH($F406,[1]Cluster_Master!$B$4:$B$18,0)),"")</f>
        <v/>
      </c>
      <c r="M406" s="60" t="str">
        <f>IFERROR(INDEX([1]Cluster_Master!$H$4:$H$18,MATCH($F406,[1]Cluster_Master!$B$4:$B$18,0)),"")</f>
        <v/>
      </c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60" t="str">
        <f>IF(COUNTA(T406:AH406)=0,"",SUM(T406:AH406))</f>
        <v/>
      </c>
      <c r="AJ406" s="61" t="str">
        <f>IF(COUNTA(T406:AH406)=0,"",AI406/75)</f>
        <v/>
      </c>
      <c r="AK406" s="61" t="str">
        <f>IF(COUNTA(T406:AH406)=0,"",(SUM(T406*[1]KPI_Weights!$B$4,U406*[1]KPI_Weights!$B$5,V406*[1]KPI_Weights!$B$6,W406*[1]KPI_Weights!$B$7,X406*[1]KPI_Weights!$B$8,Y406*[1]KPI_Weights!$B$9,Z406*[1]KPI_Weights!$B$10,AA406*[1]KPI_Weights!$B$11,AB406*[1]KPI_Weights!$B$12,AC406*[1]KPI_Weights!$B$13,AD406*[1]KPI_Weights!$B$14,AE406*[1]KPI_Weights!$B$15,AF406*[1]KPI_Weights!$B$16,AG406*[1]KPI_Weights!$B$17,AH406*[1]KPI_Weights!$B$18))/5)</f>
        <v/>
      </c>
      <c r="AL406" s="60" t="str">
        <f>IF(COUNTA(T406:AH406)=0,"",IF(OR(T406&lt;=1,W406&lt;=1,X406&lt;=1,Y406&lt;=1,AB406&lt;=1),"YES","NO"))</f>
        <v/>
      </c>
      <c r="AM406" s="60" t="str">
        <f>IF(AJ406="","",IF(AND(AL406="NO",AJ406&gt;=0.75),"YES","NO"))</f>
        <v/>
      </c>
      <c r="AN406" s="60" t="str">
        <f>IF(AJ406="","",IF(AJ406&lt;0.4,"Critical",IF(AJ406&lt;0.6,"Poor",IF(AJ406&lt;0.75,"Needs Improvement",IF(AJ406&lt;0.9,"Good","Excellent")))))</f>
        <v/>
      </c>
      <c r="AO406" s="59"/>
      <c r="AP406" s="59"/>
      <c r="AQ406" s="59"/>
      <c r="AR406" s="59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</row>
    <row r="407" spans="1:54" ht="19.5" customHeight="1" x14ac:dyDescent="0.25">
      <c r="A407" s="60" t="str">
        <f>IF($B407="","",TEXT($B407,"yyyymmdd")&amp;"-"&amp;SUBSTITUTE($F407," ","")&amp;"-"&amp;TEXT(COUNTIF($F$4:F407,$F407),"00"))</f>
        <v/>
      </c>
      <c r="B407" s="65"/>
      <c r="C407" s="60" t="str">
        <f>IF($B407="","",WEEKNUM($B407,2))</f>
        <v/>
      </c>
      <c r="D407" s="60" t="str">
        <f>IF($B407="","",TEXT($B407,"yyyy-mm"))</f>
        <v/>
      </c>
      <c r="E407" s="64"/>
      <c r="F407" s="64"/>
      <c r="G407" s="60" t="str">
        <f>IF(OR($E407="",$F407=""),"",IFERROR(IF($E407=INDEX([1]Cluster_Master!$A$4:$A$18,MATCH($F407,[1]Cluster_Master!$B$4:$B$18,0)),"OK","CHECK"),"CHECK"))</f>
        <v/>
      </c>
      <c r="H407" s="63" t="str">
        <f>IFERROR(INDEX([1]Cluster_Master!$C$4:$C$18,MATCH($F407,[1]Cluster_Master!$B$4:$B$18,0)),"")</f>
        <v/>
      </c>
      <c r="I407" s="60" t="str">
        <f>IFERROR(INDEX([1]Cluster_Master!$D$4:$D$18,MATCH($F407,[1]Cluster_Master!$B$4:$B$18,0)),"")</f>
        <v/>
      </c>
      <c r="J407" s="60" t="str">
        <f>IFERROR(INDEX([1]Cluster_Master!$E$4:$E$18,MATCH($F407,[1]Cluster_Master!$B$4:$B$18,0)),"")</f>
        <v/>
      </c>
      <c r="K407" s="60" t="str">
        <f>IFERROR(INDEX([1]Cluster_Master!$F$4:$F$18,MATCH($F407,[1]Cluster_Master!$B$4:$B$18,0)),"")</f>
        <v/>
      </c>
      <c r="L407" s="60" t="str">
        <f>IFERROR(INDEX([1]Cluster_Master!$G$4:$G$18,MATCH($F407,[1]Cluster_Master!$B$4:$B$18,0)),"")</f>
        <v/>
      </c>
      <c r="M407" s="60" t="str">
        <f>IFERROR(INDEX([1]Cluster_Master!$H$4:$H$18,MATCH($F407,[1]Cluster_Master!$B$4:$B$18,0)),"")</f>
        <v/>
      </c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60" t="str">
        <f>IF(COUNTA(T407:AH407)=0,"",SUM(T407:AH407))</f>
        <v/>
      </c>
      <c r="AJ407" s="61" t="str">
        <f>IF(COUNTA(T407:AH407)=0,"",AI407/75)</f>
        <v/>
      </c>
      <c r="AK407" s="61" t="str">
        <f>IF(COUNTA(T407:AH407)=0,"",(SUM(T407*[1]KPI_Weights!$B$4,U407*[1]KPI_Weights!$B$5,V407*[1]KPI_Weights!$B$6,W407*[1]KPI_Weights!$B$7,X407*[1]KPI_Weights!$B$8,Y407*[1]KPI_Weights!$B$9,Z407*[1]KPI_Weights!$B$10,AA407*[1]KPI_Weights!$B$11,AB407*[1]KPI_Weights!$B$12,AC407*[1]KPI_Weights!$B$13,AD407*[1]KPI_Weights!$B$14,AE407*[1]KPI_Weights!$B$15,AF407*[1]KPI_Weights!$B$16,AG407*[1]KPI_Weights!$B$17,AH407*[1]KPI_Weights!$B$18))/5)</f>
        <v/>
      </c>
      <c r="AL407" s="60" t="str">
        <f>IF(COUNTA(T407:AH407)=0,"",IF(OR(T407&lt;=1,W407&lt;=1,X407&lt;=1,Y407&lt;=1,AB407&lt;=1),"YES","NO"))</f>
        <v/>
      </c>
      <c r="AM407" s="60" t="str">
        <f>IF(AJ407="","",IF(AND(AL407="NO",AJ407&gt;=0.75),"YES","NO"))</f>
        <v/>
      </c>
      <c r="AN407" s="60" t="str">
        <f>IF(AJ407="","",IF(AJ407&lt;0.4,"Critical",IF(AJ407&lt;0.6,"Poor",IF(AJ407&lt;0.75,"Needs Improvement",IF(AJ407&lt;0.9,"Good","Excellent")))))</f>
        <v/>
      </c>
      <c r="AO407" s="59"/>
      <c r="AP407" s="59"/>
      <c r="AQ407" s="59"/>
      <c r="AR407" s="59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</row>
    <row r="408" spans="1:54" ht="19.5" customHeight="1" x14ac:dyDescent="0.25">
      <c r="A408" s="60" t="str">
        <f>IF($B408="","",TEXT($B408,"yyyymmdd")&amp;"-"&amp;SUBSTITUTE($F408," ","")&amp;"-"&amp;TEXT(COUNTIF($F$4:F408,$F408),"00"))</f>
        <v/>
      </c>
      <c r="B408" s="65"/>
      <c r="C408" s="60" t="str">
        <f>IF($B408="","",WEEKNUM($B408,2))</f>
        <v/>
      </c>
      <c r="D408" s="60" t="str">
        <f>IF($B408="","",TEXT($B408,"yyyy-mm"))</f>
        <v/>
      </c>
      <c r="E408" s="64"/>
      <c r="F408" s="64"/>
      <c r="G408" s="60" t="str">
        <f>IF(OR($E408="",$F408=""),"",IFERROR(IF($E408=INDEX([1]Cluster_Master!$A$4:$A$18,MATCH($F408,[1]Cluster_Master!$B$4:$B$18,0)),"OK","CHECK"),"CHECK"))</f>
        <v/>
      </c>
      <c r="H408" s="63" t="str">
        <f>IFERROR(INDEX([1]Cluster_Master!$C$4:$C$18,MATCH($F408,[1]Cluster_Master!$B$4:$B$18,0)),"")</f>
        <v/>
      </c>
      <c r="I408" s="60" t="str">
        <f>IFERROR(INDEX([1]Cluster_Master!$D$4:$D$18,MATCH($F408,[1]Cluster_Master!$B$4:$B$18,0)),"")</f>
        <v/>
      </c>
      <c r="J408" s="60" t="str">
        <f>IFERROR(INDEX([1]Cluster_Master!$E$4:$E$18,MATCH($F408,[1]Cluster_Master!$B$4:$B$18,0)),"")</f>
        <v/>
      </c>
      <c r="K408" s="60" t="str">
        <f>IFERROR(INDEX([1]Cluster_Master!$F$4:$F$18,MATCH($F408,[1]Cluster_Master!$B$4:$B$18,0)),"")</f>
        <v/>
      </c>
      <c r="L408" s="60" t="str">
        <f>IFERROR(INDEX([1]Cluster_Master!$G$4:$G$18,MATCH($F408,[1]Cluster_Master!$B$4:$B$18,0)),"")</f>
        <v/>
      </c>
      <c r="M408" s="60" t="str">
        <f>IFERROR(INDEX([1]Cluster_Master!$H$4:$H$18,MATCH($F408,[1]Cluster_Master!$B$4:$B$18,0)),"")</f>
        <v/>
      </c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60" t="str">
        <f>IF(COUNTA(T408:AH408)=0,"",SUM(T408:AH408))</f>
        <v/>
      </c>
      <c r="AJ408" s="61" t="str">
        <f>IF(COUNTA(T408:AH408)=0,"",AI408/75)</f>
        <v/>
      </c>
      <c r="AK408" s="61" t="str">
        <f>IF(COUNTA(T408:AH408)=0,"",(SUM(T408*[1]KPI_Weights!$B$4,U408*[1]KPI_Weights!$B$5,V408*[1]KPI_Weights!$B$6,W408*[1]KPI_Weights!$B$7,X408*[1]KPI_Weights!$B$8,Y408*[1]KPI_Weights!$B$9,Z408*[1]KPI_Weights!$B$10,AA408*[1]KPI_Weights!$B$11,AB408*[1]KPI_Weights!$B$12,AC408*[1]KPI_Weights!$B$13,AD408*[1]KPI_Weights!$B$14,AE408*[1]KPI_Weights!$B$15,AF408*[1]KPI_Weights!$B$16,AG408*[1]KPI_Weights!$B$17,AH408*[1]KPI_Weights!$B$18))/5)</f>
        <v/>
      </c>
      <c r="AL408" s="60" t="str">
        <f>IF(COUNTA(T408:AH408)=0,"",IF(OR(T408&lt;=1,W408&lt;=1,X408&lt;=1,Y408&lt;=1,AB408&lt;=1),"YES","NO"))</f>
        <v/>
      </c>
      <c r="AM408" s="60" t="str">
        <f>IF(AJ408="","",IF(AND(AL408="NO",AJ408&gt;=0.75),"YES","NO"))</f>
        <v/>
      </c>
      <c r="AN408" s="60" t="str">
        <f>IF(AJ408="","",IF(AJ408&lt;0.4,"Critical",IF(AJ408&lt;0.6,"Poor",IF(AJ408&lt;0.75,"Needs Improvement",IF(AJ408&lt;0.9,"Good","Excellent")))))</f>
        <v/>
      </c>
      <c r="AO408" s="59"/>
      <c r="AP408" s="59"/>
      <c r="AQ408" s="59"/>
      <c r="AR408" s="59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</row>
    <row r="409" spans="1:54" ht="19.5" customHeight="1" x14ac:dyDescent="0.25">
      <c r="A409" s="60" t="str">
        <f>IF($B409="","",TEXT($B409,"yyyymmdd")&amp;"-"&amp;SUBSTITUTE($F409," ","")&amp;"-"&amp;TEXT(COUNTIF($F$4:F409,$F409),"00"))</f>
        <v/>
      </c>
      <c r="B409" s="65"/>
      <c r="C409" s="60" t="str">
        <f>IF($B409="","",WEEKNUM($B409,2))</f>
        <v/>
      </c>
      <c r="D409" s="60" t="str">
        <f>IF($B409="","",TEXT($B409,"yyyy-mm"))</f>
        <v/>
      </c>
      <c r="E409" s="64"/>
      <c r="F409" s="64"/>
      <c r="G409" s="60" t="str">
        <f>IF(OR($E409="",$F409=""),"",IFERROR(IF($E409=INDEX([1]Cluster_Master!$A$4:$A$18,MATCH($F409,[1]Cluster_Master!$B$4:$B$18,0)),"OK","CHECK"),"CHECK"))</f>
        <v/>
      </c>
      <c r="H409" s="63" t="str">
        <f>IFERROR(INDEX([1]Cluster_Master!$C$4:$C$18,MATCH($F409,[1]Cluster_Master!$B$4:$B$18,0)),"")</f>
        <v/>
      </c>
      <c r="I409" s="60" t="str">
        <f>IFERROR(INDEX([1]Cluster_Master!$D$4:$D$18,MATCH($F409,[1]Cluster_Master!$B$4:$B$18,0)),"")</f>
        <v/>
      </c>
      <c r="J409" s="60" t="str">
        <f>IFERROR(INDEX([1]Cluster_Master!$E$4:$E$18,MATCH($F409,[1]Cluster_Master!$B$4:$B$18,0)),"")</f>
        <v/>
      </c>
      <c r="K409" s="60" t="str">
        <f>IFERROR(INDEX([1]Cluster_Master!$F$4:$F$18,MATCH($F409,[1]Cluster_Master!$B$4:$B$18,0)),"")</f>
        <v/>
      </c>
      <c r="L409" s="60" t="str">
        <f>IFERROR(INDEX([1]Cluster_Master!$G$4:$G$18,MATCH($F409,[1]Cluster_Master!$B$4:$B$18,0)),"")</f>
        <v/>
      </c>
      <c r="M409" s="60" t="str">
        <f>IFERROR(INDEX([1]Cluster_Master!$H$4:$H$18,MATCH($F409,[1]Cluster_Master!$B$4:$B$18,0)),"")</f>
        <v/>
      </c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60" t="str">
        <f>IF(COUNTA(T409:AH409)=0,"",SUM(T409:AH409))</f>
        <v/>
      </c>
      <c r="AJ409" s="61" t="str">
        <f>IF(COUNTA(T409:AH409)=0,"",AI409/75)</f>
        <v/>
      </c>
      <c r="AK409" s="61" t="str">
        <f>IF(COUNTA(T409:AH409)=0,"",(SUM(T409*[1]KPI_Weights!$B$4,U409*[1]KPI_Weights!$B$5,V409*[1]KPI_Weights!$B$6,W409*[1]KPI_Weights!$B$7,X409*[1]KPI_Weights!$B$8,Y409*[1]KPI_Weights!$B$9,Z409*[1]KPI_Weights!$B$10,AA409*[1]KPI_Weights!$B$11,AB409*[1]KPI_Weights!$B$12,AC409*[1]KPI_Weights!$B$13,AD409*[1]KPI_Weights!$B$14,AE409*[1]KPI_Weights!$B$15,AF409*[1]KPI_Weights!$B$16,AG409*[1]KPI_Weights!$B$17,AH409*[1]KPI_Weights!$B$18))/5)</f>
        <v/>
      </c>
      <c r="AL409" s="60" t="str">
        <f>IF(COUNTA(T409:AH409)=0,"",IF(OR(T409&lt;=1,W409&lt;=1,X409&lt;=1,Y409&lt;=1,AB409&lt;=1),"YES","NO"))</f>
        <v/>
      </c>
      <c r="AM409" s="60" t="str">
        <f>IF(AJ409="","",IF(AND(AL409="NO",AJ409&gt;=0.75),"YES","NO"))</f>
        <v/>
      </c>
      <c r="AN409" s="60" t="str">
        <f>IF(AJ409="","",IF(AJ409&lt;0.4,"Critical",IF(AJ409&lt;0.6,"Poor",IF(AJ409&lt;0.75,"Needs Improvement",IF(AJ409&lt;0.9,"Good","Excellent")))))</f>
        <v/>
      </c>
      <c r="AO409" s="59"/>
      <c r="AP409" s="59"/>
      <c r="AQ409" s="59"/>
      <c r="AR409" s="59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</row>
    <row r="410" spans="1:54" ht="19.5" customHeight="1" x14ac:dyDescent="0.25">
      <c r="A410" s="60" t="str">
        <f>IF($B410="","",TEXT($B410,"yyyymmdd")&amp;"-"&amp;SUBSTITUTE($F410," ","")&amp;"-"&amp;TEXT(COUNTIF($F$4:F410,$F410),"00"))</f>
        <v/>
      </c>
      <c r="B410" s="65"/>
      <c r="C410" s="60" t="str">
        <f>IF($B410="","",WEEKNUM($B410,2))</f>
        <v/>
      </c>
      <c r="D410" s="60" t="str">
        <f>IF($B410="","",TEXT($B410,"yyyy-mm"))</f>
        <v/>
      </c>
      <c r="E410" s="64"/>
      <c r="F410" s="64"/>
      <c r="G410" s="60" t="str">
        <f>IF(OR($E410="",$F410=""),"",IFERROR(IF($E410=INDEX([1]Cluster_Master!$A$4:$A$18,MATCH($F410,[1]Cluster_Master!$B$4:$B$18,0)),"OK","CHECK"),"CHECK"))</f>
        <v/>
      </c>
      <c r="H410" s="63" t="str">
        <f>IFERROR(INDEX([1]Cluster_Master!$C$4:$C$18,MATCH($F410,[1]Cluster_Master!$B$4:$B$18,0)),"")</f>
        <v/>
      </c>
      <c r="I410" s="60" t="str">
        <f>IFERROR(INDEX([1]Cluster_Master!$D$4:$D$18,MATCH($F410,[1]Cluster_Master!$B$4:$B$18,0)),"")</f>
        <v/>
      </c>
      <c r="J410" s="60" t="str">
        <f>IFERROR(INDEX([1]Cluster_Master!$E$4:$E$18,MATCH($F410,[1]Cluster_Master!$B$4:$B$18,0)),"")</f>
        <v/>
      </c>
      <c r="K410" s="60" t="str">
        <f>IFERROR(INDEX([1]Cluster_Master!$F$4:$F$18,MATCH($F410,[1]Cluster_Master!$B$4:$B$18,0)),"")</f>
        <v/>
      </c>
      <c r="L410" s="60" t="str">
        <f>IFERROR(INDEX([1]Cluster_Master!$G$4:$G$18,MATCH($F410,[1]Cluster_Master!$B$4:$B$18,0)),"")</f>
        <v/>
      </c>
      <c r="M410" s="60" t="str">
        <f>IFERROR(INDEX([1]Cluster_Master!$H$4:$H$18,MATCH($F410,[1]Cluster_Master!$B$4:$B$18,0)),"")</f>
        <v/>
      </c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60" t="str">
        <f>IF(COUNTA(T410:AH410)=0,"",SUM(T410:AH410))</f>
        <v/>
      </c>
      <c r="AJ410" s="61" t="str">
        <f>IF(COUNTA(T410:AH410)=0,"",AI410/75)</f>
        <v/>
      </c>
      <c r="AK410" s="61" t="str">
        <f>IF(COUNTA(T410:AH410)=0,"",(SUM(T410*[1]KPI_Weights!$B$4,U410*[1]KPI_Weights!$B$5,V410*[1]KPI_Weights!$B$6,W410*[1]KPI_Weights!$B$7,X410*[1]KPI_Weights!$B$8,Y410*[1]KPI_Weights!$B$9,Z410*[1]KPI_Weights!$B$10,AA410*[1]KPI_Weights!$B$11,AB410*[1]KPI_Weights!$B$12,AC410*[1]KPI_Weights!$B$13,AD410*[1]KPI_Weights!$B$14,AE410*[1]KPI_Weights!$B$15,AF410*[1]KPI_Weights!$B$16,AG410*[1]KPI_Weights!$B$17,AH410*[1]KPI_Weights!$B$18))/5)</f>
        <v/>
      </c>
      <c r="AL410" s="60" t="str">
        <f>IF(COUNTA(T410:AH410)=0,"",IF(OR(T410&lt;=1,W410&lt;=1,X410&lt;=1,Y410&lt;=1,AB410&lt;=1),"YES","NO"))</f>
        <v/>
      </c>
      <c r="AM410" s="60" t="str">
        <f>IF(AJ410="","",IF(AND(AL410="NO",AJ410&gt;=0.75),"YES","NO"))</f>
        <v/>
      </c>
      <c r="AN410" s="60" t="str">
        <f>IF(AJ410="","",IF(AJ410&lt;0.4,"Critical",IF(AJ410&lt;0.6,"Poor",IF(AJ410&lt;0.75,"Needs Improvement",IF(AJ410&lt;0.9,"Good","Excellent")))))</f>
        <v/>
      </c>
      <c r="AO410" s="59"/>
      <c r="AP410" s="59"/>
      <c r="AQ410" s="59"/>
      <c r="AR410" s="59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</row>
    <row r="411" spans="1:54" ht="19.5" customHeight="1" x14ac:dyDescent="0.25">
      <c r="A411" s="60" t="str">
        <f>IF($B411="","",TEXT($B411,"yyyymmdd")&amp;"-"&amp;SUBSTITUTE($F411," ","")&amp;"-"&amp;TEXT(COUNTIF($F$4:F411,$F411),"00"))</f>
        <v/>
      </c>
      <c r="B411" s="65"/>
      <c r="C411" s="60" t="str">
        <f>IF($B411="","",WEEKNUM($B411,2))</f>
        <v/>
      </c>
      <c r="D411" s="60" t="str">
        <f>IF($B411="","",TEXT($B411,"yyyy-mm"))</f>
        <v/>
      </c>
      <c r="E411" s="64"/>
      <c r="F411" s="64"/>
      <c r="G411" s="60" t="str">
        <f>IF(OR($E411="",$F411=""),"",IFERROR(IF($E411=INDEX([1]Cluster_Master!$A$4:$A$18,MATCH($F411,[1]Cluster_Master!$B$4:$B$18,0)),"OK","CHECK"),"CHECK"))</f>
        <v/>
      </c>
      <c r="H411" s="63" t="str">
        <f>IFERROR(INDEX([1]Cluster_Master!$C$4:$C$18,MATCH($F411,[1]Cluster_Master!$B$4:$B$18,0)),"")</f>
        <v/>
      </c>
      <c r="I411" s="60" t="str">
        <f>IFERROR(INDEX([1]Cluster_Master!$D$4:$D$18,MATCH($F411,[1]Cluster_Master!$B$4:$B$18,0)),"")</f>
        <v/>
      </c>
      <c r="J411" s="60" t="str">
        <f>IFERROR(INDEX([1]Cluster_Master!$E$4:$E$18,MATCH($F411,[1]Cluster_Master!$B$4:$B$18,0)),"")</f>
        <v/>
      </c>
      <c r="K411" s="60" t="str">
        <f>IFERROR(INDEX([1]Cluster_Master!$F$4:$F$18,MATCH($F411,[1]Cluster_Master!$B$4:$B$18,0)),"")</f>
        <v/>
      </c>
      <c r="L411" s="60" t="str">
        <f>IFERROR(INDEX([1]Cluster_Master!$G$4:$G$18,MATCH($F411,[1]Cluster_Master!$B$4:$B$18,0)),"")</f>
        <v/>
      </c>
      <c r="M411" s="60" t="str">
        <f>IFERROR(INDEX([1]Cluster_Master!$H$4:$H$18,MATCH($F411,[1]Cluster_Master!$B$4:$B$18,0)),"")</f>
        <v/>
      </c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60" t="str">
        <f>IF(COUNTA(T411:AH411)=0,"",SUM(T411:AH411))</f>
        <v/>
      </c>
      <c r="AJ411" s="61" t="str">
        <f>IF(COUNTA(T411:AH411)=0,"",AI411/75)</f>
        <v/>
      </c>
      <c r="AK411" s="61" t="str">
        <f>IF(COUNTA(T411:AH411)=0,"",(SUM(T411*[1]KPI_Weights!$B$4,U411*[1]KPI_Weights!$B$5,V411*[1]KPI_Weights!$B$6,W411*[1]KPI_Weights!$B$7,X411*[1]KPI_Weights!$B$8,Y411*[1]KPI_Weights!$B$9,Z411*[1]KPI_Weights!$B$10,AA411*[1]KPI_Weights!$B$11,AB411*[1]KPI_Weights!$B$12,AC411*[1]KPI_Weights!$B$13,AD411*[1]KPI_Weights!$B$14,AE411*[1]KPI_Weights!$B$15,AF411*[1]KPI_Weights!$B$16,AG411*[1]KPI_Weights!$B$17,AH411*[1]KPI_Weights!$B$18))/5)</f>
        <v/>
      </c>
      <c r="AL411" s="60" t="str">
        <f>IF(COUNTA(T411:AH411)=0,"",IF(OR(T411&lt;=1,W411&lt;=1,X411&lt;=1,Y411&lt;=1,AB411&lt;=1),"YES","NO"))</f>
        <v/>
      </c>
      <c r="AM411" s="60" t="str">
        <f>IF(AJ411="","",IF(AND(AL411="NO",AJ411&gt;=0.75),"YES","NO"))</f>
        <v/>
      </c>
      <c r="AN411" s="60" t="str">
        <f>IF(AJ411="","",IF(AJ411&lt;0.4,"Critical",IF(AJ411&lt;0.6,"Poor",IF(AJ411&lt;0.75,"Needs Improvement",IF(AJ411&lt;0.9,"Good","Excellent")))))</f>
        <v/>
      </c>
      <c r="AO411" s="59"/>
      <c r="AP411" s="59"/>
      <c r="AQ411" s="59"/>
      <c r="AR411" s="59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</row>
    <row r="412" spans="1:54" ht="19.5" customHeight="1" x14ac:dyDescent="0.25">
      <c r="A412" s="60" t="str">
        <f>IF($B412="","",TEXT($B412,"yyyymmdd")&amp;"-"&amp;SUBSTITUTE($F412," ","")&amp;"-"&amp;TEXT(COUNTIF($F$4:F412,$F412),"00"))</f>
        <v/>
      </c>
      <c r="B412" s="65"/>
      <c r="C412" s="60" t="str">
        <f>IF($B412="","",WEEKNUM($B412,2))</f>
        <v/>
      </c>
      <c r="D412" s="60" t="str">
        <f>IF($B412="","",TEXT($B412,"yyyy-mm"))</f>
        <v/>
      </c>
      <c r="E412" s="64"/>
      <c r="F412" s="64"/>
      <c r="G412" s="60" t="str">
        <f>IF(OR($E412="",$F412=""),"",IFERROR(IF($E412=INDEX([1]Cluster_Master!$A$4:$A$18,MATCH($F412,[1]Cluster_Master!$B$4:$B$18,0)),"OK","CHECK"),"CHECK"))</f>
        <v/>
      </c>
      <c r="H412" s="63" t="str">
        <f>IFERROR(INDEX([1]Cluster_Master!$C$4:$C$18,MATCH($F412,[1]Cluster_Master!$B$4:$B$18,0)),"")</f>
        <v/>
      </c>
      <c r="I412" s="60" t="str">
        <f>IFERROR(INDEX([1]Cluster_Master!$D$4:$D$18,MATCH($F412,[1]Cluster_Master!$B$4:$B$18,0)),"")</f>
        <v/>
      </c>
      <c r="J412" s="60" t="str">
        <f>IFERROR(INDEX([1]Cluster_Master!$E$4:$E$18,MATCH($F412,[1]Cluster_Master!$B$4:$B$18,0)),"")</f>
        <v/>
      </c>
      <c r="K412" s="60" t="str">
        <f>IFERROR(INDEX([1]Cluster_Master!$F$4:$F$18,MATCH($F412,[1]Cluster_Master!$B$4:$B$18,0)),"")</f>
        <v/>
      </c>
      <c r="L412" s="60" t="str">
        <f>IFERROR(INDEX([1]Cluster_Master!$G$4:$G$18,MATCH($F412,[1]Cluster_Master!$B$4:$B$18,0)),"")</f>
        <v/>
      </c>
      <c r="M412" s="60" t="str">
        <f>IFERROR(INDEX([1]Cluster_Master!$H$4:$H$18,MATCH($F412,[1]Cluster_Master!$B$4:$B$18,0)),"")</f>
        <v/>
      </c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60" t="str">
        <f>IF(COUNTA(T412:AH412)=0,"",SUM(T412:AH412))</f>
        <v/>
      </c>
      <c r="AJ412" s="61" t="str">
        <f>IF(COUNTA(T412:AH412)=0,"",AI412/75)</f>
        <v/>
      </c>
      <c r="AK412" s="61" t="str">
        <f>IF(COUNTA(T412:AH412)=0,"",(SUM(T412*[1]KPI_Weights!$B$4,U412*[1]KPI_Weights!$B$5,V412*[1]KPI_Weights!$B$6,W412*[1]KPI_Weights!$B$7,X412*[1]KPI_Weights!$B$8,Y412*[1]KPI_Weights!$B$9,Z412*[1]KPI_Weights!$B$10,AA412*[1]KPI_Weights!$B$11,AB412*[1]KPI_Weights!$B$12,AC412*[1]KPI_Weights!$B$13,AD412*[1]KPI_Weights!$B$14,AE412*[1]KPI_Weights!$B$15,AF412*[1]KPI_Weights!$B$16,AG412*[1]KPI_Weights!$B$17,AH412*[1]KPI_Weights!$B$18))/5)</f>
        <v/>
      </c>
      <c r="AL412" s="60" t="str">
        <f>IF(COUNTA(T412:AH412)=0,"",IF(OR(T412&lt;=1,W412&lt;=1,X412&lt;=1,Y412&lt;=1,AB412&lt;=1),"YES","NO"))</f>
        <v/>
      </c>
      <c r="AM412" s="60" t="str">
        <f>IF(AJ412="","",IF(AND(AL412="NO",AJ412&gt;=0.75),"YES","NO"))</f>
        <v/>
      </c>
      <c r="AN412" s="60" t="str">
        <f>IF(AJ412="","",IF(AJ412&lt;0.4,"Critical",IF(AJ412&lt;0.6,"Poor",IF(AJ412&lt;0.75,"Needs Improvement",IF(AJ412&lt;0.9,"Good","Excellent")))))</f>
        <v/>
      </c>
      <c r="AO412" s="59"/>
      <c r="AP412" s="59"/>
      <c r="AQ412" s="59"/>
      <c r="AR412" s="59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</row>
    <row r="413" spans="1:54" ht="19.5" customHeight="1" x14ac:dyDescent="0.25">
      <c r="A413" s="60" t="str">
        <f>IF($B413="","",TEXT($B413,"yyyymmdd")&amp;"-"&amp;SUBSTITUTE($F413," ","")&amp;"-"&amp;TEXT(COUNTIF($F$4:F413,$F413),"00"))</f>
        <v/>
      </c>
      <c r="B413" s="65"/>
      <c r="C413" s="60" t="str">
        <f>IF($B413="","",WEEKNUM($B413,2))</f>
        <v/>
      </c>
      <c r="D413" s="60" t="str">
        <f>IF($B413="","",TEXT($B413,"yyyy-mm"))</f>
        <v/>
      </c>
      <c r="E413" s="64"/>
      <c r="F413" s="64"/>
      <c r="G413" s="60" t="str">
        <f>IF(OR($E413="",$F413=""),"",IFERROR(IF($E413=INDEX([1]Cluster_Master!$A$4:$A$18,MATCH($F413,[1]Cluster_Master!$B$4:$B$18,0)),"OK","CHECK"),"CHECK"))</f>
        <v/>
      </c>
      <c r="H413" s="63" t="str">
        <f>IFERROR(INDEX([1]Cluster_Master!$C$4:$C$18,MATCH($F413,[1]Cluster_Master!$B$4:$B$18,0)),"")</f>
        <v/>
      </c>
      <c r="I413" s="60" t="str">
        <f>IFERROR(INDEX([1]Cluster_Master!$D$4:$D$18,MATCH($F413,[1]Cluster_Master!$B$4:$B$18,0)),"")</f>
        <v/>
      </c>
      <c r="J413" s="60" t="str">
        <f>IFERROR(INDEX([1]Cluster_Master!$E$4:$E$18,MATCH($F413,[1]Cluster_Master!$B$4:$B$18,0)),"")</f>
        <v/>
      </c>
      <c r="K413" s="60" t="str">
        <f>IFERROR(INDEX([1]Cluster_Master!$F$4:$F$18,MATCH($F413,[1]Cluster_Master!$B$4:$B$18,0)),"")</f>
        <v/>
      </c>
      <c r="L413" s="60" t="str">
        <f>IFERROR(INDEX([1]Cluster_Master!$G$4:$G$18,MATCH($F413,[1]Cluster_Master!$B$4:$B$18,0)),"")</f>
        <v/>
      </c>
      <c r="M413" s="60" t="str">
        <f>IFERROR(INDEX([1]Cluster_Master!$H$4:$H$18,MATCH($F413,[1]Cluster_Master!$B$4:$B$18,0)),"")</f>
        <v/>
      </c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60" t="str">
        <f>IF(COUNTA(T413:AH413)=0,"",SUM(T413:AH413))</f>
        <v/>
      </c>
      <c r="AJ413" s="61" t="str">
        <f>IF(COUNTA(T413:AH413)=0,"",AI413/75)</f>
        <v/>
      </c>
      <c r="AK413" s="61" t="str">
        <f>IF(COUNTA(T413:AH413)=0,"",(SUM(T413*[1]KPI_Weights!$B$4,U413*[1]KPI_Weights!$B$5,V413*[1]KPI_Weights!$B$6,W413*[1]KPI_Weights!$B$7,X413*[1]KPI_Weights!$B$8,Y413*[1]KPI_Weights!$B$9,Z413*[1]KPI_Weights!$B$10,AA413*[1]KPI_Weights!$B$11,AB413*[1]KPI_Weights!$B$12,AC413*[1]KPI_Weights!$B$13,AD413*[1]KPI_Weights!$B$14,AE413*[1]KPI_Weights!$B$15,AF413*[1]KPI_Weights!$B$16,AG413*[1]KPI_Weights!$B$17,AH413*[1]KPI_Weights!$B$18))/5)</f>
        <v/>
      </c>
      <c r="AL413" s="60" t="str">
        <f>IF(COUNTA(T413:AH413)=0,"",IF(OR(T413&lt;=1,W413&lt;=1,X413&lt;=1,Y413&lt;=1,AB413&lt;=1),"YES","NO"))</f>
        <v/>
      </c>
      <c r="AM413" s="60" t="str">
        <f>IF(AJ413="","",IF(AND(AL413="NO",AJ413&gt;=0.75),"YES","NO"))</f>
        <v/>
      </c>
      <c r="AN413" s="60" t="str">
        <f>IF(AJ413="","",IF(AJ413&lt;0.4,"Critical",IF(AJ413&lt;0.6,"Poor",IF(AJ413&lt;0.75,"Needs Improvement",IF(AJ413&lt;0.9,"Good","Excellent")))))</f>
        <v/>
      </c>
      <c r="AO413" s="59"/>
      <c r="AP413" s="59"/>
      <c r="AQ413" s="59"/>
      <c r="AR413" s="59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</row>
    <row r="414" spans="1:54" ht="19.5" customHeight="1" x14ac:dyDescent="0.25">
      <c r="A414" s="60" t="str">
        <f>IF($B414="","",TEXT($B414,"yyyymmdd")&amp;"-"&amp;SUBSTITUTE($F414," ","")&amp;"-"&amp;TEXT(COUNTIF($F$4:F414,$F414),"00"))</f>
        <v/>
      </c>
      <c r="B414" s="65"/>
      <c r="C414" s="60" t="str">
        <f>IF($B414="","",WEEKNUM($B414,2))</f>
        <v/>
      </c>
      <c r="D414" s="60" t="str">
        <f>IF($B414="","",TEXT($B414,"yyyy-mm"))</f>
        <v/>
      </c>
      <c r="E414" s="64"/>
      <c r="F414" s="64"/>
      <c r="G414" s="60" t="str">
        <f>IF(OR($E414="",$F414=""),"",IFERROR(IF($E414=INDEX([1]Cluster_Master!$A$4:$A$18,MATCH($F414,[1]Cluster_Master!$B$4:$B$18,0)),"OK","CHECK"),"CHECK"))</f>
        <v/>
      </c>
      <c r="H414" s="63" t="str">
        <f>IFERROR(INDEX([1]Cluster_Master!$C$4:$C$18,MATCH($F414,[1]Cluster_Master!$B$4:$B$18,0)),"")</f>
        <v/>
      </c>
      <c r="I414" s="60" t="str">
        <f>IFERROR(INDEX([1]Cluster_Master!$D$4:$D$18,MATCH($F414,[1]Cluster_Master!$B$4:$B$18,0)),"")</f>
        <v/>
      </c>
      <c r="J414" s="60" t="str">
        <f>IFERROR(INDEX([1]Cluster_Master!$E$4:$E$18,MATCH($F414,[1]Cluster_Master!$B$4:$B$18,0)),"")</f>
        <v/>
      </c>
      <c r="K414" s="60" t="str">
        <f>IFERROR(INDEX([1]Cluster_Master!$F$4:$F$18,MATCH($F414,[1]Cluster_Master!$B$4:$B$18,0)),"")</f>
        <v/>
      </c>
      <c r="L414" s="60" t="str">
        <f>IFERROR(INDEX([1]Cluster_Master!$G$4:$G$18,MATCH($F414,[1]Cluster_Master!$B$4:$B$18,0)),"")</f>
        <v/>
      </c>
      <c r="M414" s="60" t="str">
        <f>IFERROR(INDEX([1]Cluster_Master!$H$4:$H$18,MATCH($F414,[1]Cluster_Master!$B$4:$B$18,0)),"")</f>
        <v/>
      </c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60" t="str">
        <f>IF(COUNTA(T414:AH414)=0,"",SUM(T414:AH414))</f>
        <v/>
      </c>
      <c r="AJ414" s="61" t="str">
        <f>IF(COUNTA(T414:AH414)=0,"",AI414/75)</f>
        <v/>
      </c>
      <c r="AK414" s="61" t="str">
        <f>IF(COUNTA(T414:AH414)=0,"",(SUM(T414*[1]KPI_Weights!$B$4,U414*[1]KPI_Weights!$B$5,V414*[1]KPI_Weights!$B$6,W414*[1]KPI_Weights!$B$7,X414*[1]KPI_Weights!$B$8,Y414*[1]KPI_Weights!$B$9,Z414*[1]KPI_Weights!$B$10,AA414*[1]KPI_Weights!$B$11,AB414*[1]KPI_Weights!$B$12,AC414*[1]KPI_Weights!$B$13,AD414*[1]KPI_Weights!$B$14,AE414*[1]KPI_Weights!$B$15,AF414*[1]KPI_Weights!$B$16,AG414*[1]KPI_Weights!$B$17,AH414*[1]KPI_Weights!$B$18))/5)</f>
        <v/>
      </c>
      <c r="AL414" s="60" t="str">
        <f>IF(COUNTA(T414:AH414)=0,"",IF(OR(T414&lt;=1,W414&lt;=1,X414&lt;=1,Y414&lt;=1,AB414&lt;=1),"YES","NO"))</f>
        <v/>
      </c>
      <c r="AM414" s="60" t="str">
        <f>IF(AJ414="","",IF(AND(AL414="NO",AJ414&gt;=0.75),"YES","NO"))</f>
        <v/>
      </c>
      <c r="AN414" s="60" t="str">
        <f>IF(AJ414="","",IF(AJ414&lt;0.4,"Critical",IF(AJ414&lt;0.6,"Poor",IF(AJ414&lt;0.75,"Needs Improvement",IF(AJ414&lt;0.9,"Good","Excellent")))))</f>
        <v/>
      </c>
      <c r="AO414" s="59"/>
      <c r="AP414" s="59"/>
      <c r="AQ414" s="59"/>
      <c r="AR414" s="59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</row>
    <row r="415" spans="1:54" ht="19.5" customHeight="1" x14ac:dyDescent="0.25">
      <c r="A415" s="60" t="str">
        <f>IF($B415="","",TEXT($B415,"yyyymmdd")&amp;"-"&amp;SUBSTITUTE($F415," ","")&amp;"-"&amp;TEXT(COUNTIF($F$4:F415,$F415),"00"))</f>
        <v/>
      </c>
      <c r="B415" s="65"/>
      <c r="C415" s="60" t="str">
        <f>IF($B415="","",WEEKNUM($B415,2))</f>
        <v/>
      </c>
      <c r="D415" s="60" t="str">
        <f>IF($B415="","",TEXT($B415,"yyyy-mm"))</f>
        <v/>
      </c>
      <c r="E415" s="64"/>
      <c r="F415" s="64"/>
      <c r="G415" s="60" t="str">
        <f>IF(OR($E415="",$F415=""),"",IFERROR(IF($E415=INDEX([1]Cluster_Master!$A$4:$A$18,MATCH($F415,[1]Cluster_Master!$B$4:$B$18,0)),"OK","CHECK"),"CHECK"))</f>
        <v/>
      </c>
      <c r="H415" s="63" t="str">
        <f>IFERROR(INDEX([1]Cluster_Master!$C$4:$C$18,MATCH($F415,[1]Cluster_Master!$B$4:$B$18,0)),"")</f>
        <v/>
      </c>
      <c r="I415" s="60" t="str">
        <f>IFERROR(INDEX([1]Cluster_Master!$D$4:$D$18,MATCH($F415,[1]Cluster_Master!$B$4:$B$18,0)),"")</f>
        <v/>
      </c>
      <c r="J415" s="60" t="str">
        <f>IFERROR(INDEX([1]Cluster_Master!$E$4:$E$18,MATCH($F415,[1]Cluster_Master!$B$4:$B$18,0)),"")</f>
        <v/>
      </c>
      <c r="K415" s="60" t="str">
        <f>IFERROR(INDEX([1]Cluster_Master!$F$4:$F$18,MATCH($F415,[1]Cluster_Master!$B$4:$B$18,0)),"")</f>
        <v/>
      </c>
      <c r="L415" s="60" t="str">
        <f>IFERROR(INDEX([1]Cluster_Master!$G$4:$G$18,MATCH($F415,[1]Cluster_Master!$B$4:$B$18,0)),"")</f>
        <v/>
      </c>
      <c r="M415" s="60" t="str">
        <f>IFERROR(INDEX([1]Cluster_Master!$H$4:$H$18,MATCH($F415,[1]Cluster_Master!$B$4:$B$18,0)),"")</f>
        <v/>
      </c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60" t="str">
        <f>IF(COUNTA(T415:AH415)=0,"",SUM(T415:AH415))</f>
        <v/>
      </c>
      <c r="AJ415" s="61" t="str">
        <f>IF(COUNTA(T415:AH415)=0,"",AI415/75)</f>
        <v/>
      </c>
      <c r="AK415" s="61" t="str">
        <f>IF(COUNTA(T415:AH415)=0,"",(SUM(T415*[1]KPI_Weights!$B$4,U415*[1]KPI_Weights!$B$5,V415*[1]KPI_Weights!$B$6,W415*[1]KPI_Weights!$B$7,X415*[1]KPI_Weights!$B$8,Y415*[1]KPI_Weights!$B$9,Z415*[1]KPI_Weights!$B$10,AA415*[1]KPI_Weights!$B$11,AB415*[1]KPI_Weights!$B$12,AC415*[1]KPI_Weights!$B$13,AD415*[1]KPI_Weights!$B$14,AE415*[1]KPI_Weights!$B$15,AF415*[1]KPI_Weights!$B$16,AG415*[1]KPI_Weights!$B$17,AH415*[1]KPI_Weights!$B$18))/5)</f>
        <v/>
      </c>
      <c r="AL415" s="60" t="str">
        <f>IF(COUNTA(T415:AH415)=0,"",IF(OR(T415&lt;=1,W415&lt;=1,X415&lt;=1,Y415&lt;=1,AB415&lt;=1),"YES","NO"))</f>
        <v/>
      </c>
      <c r="AM415" s="60" t="str">
        <f>IF(AJ415="","",IF(AND(AL415="NO",AJ415&gt;=0.75),"YES","NO"))</f>
        <v/>
      </c>
      <c r="AN415" s="60" t="str">
        <f>IF(AJ415="","",IF(AJ415&lt;0.4,"Critical",IF(AJ415&lt;0.6,"Poor",IF(AJ415&lt;0.75,"Needs Improvement",IF(AJ415&lt;0.9,"Good","Excellent")))))</f>
        <v/>
      </c>
      <c r="AO415" s="59"/>
      <c r="AP415" s="59"/>
      <c r="AQ415" s="59"/>
      <c r="AR415" s="59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</row>
    <row r="416" spans="1:54" ht="19.5" customHeight="1" x14ac:dyDescent="0.25">
      <c r="A416" s="60" t="str">
        <f>IF($B416="","",TEXT($B416,"yyyymmdd")&amp;"-"&amp;SUBSTITUTE($F416," ","")&amp;"-"&amp;TEXT(COUNTIF($F$4:F416,$F416),"00"))</f>
        <v/>
      </c>
      <c r="B416" s="65"/>
      <c r="C416" s="60" t="str">
        <f>IF($B416="","",WEEKNUM($B416,2))</f>
        <v/>
      </c>
      <c r="D416" s="60" t="str">
        <f>IF($B416="","",TEXT($B416,"yyyy-mm"))</f>
        <v/>
      </c>
      <c r="E416" s="64"/>
      <c r="F416" s="64"/>
      <c r="G416" s="60" t="str">
        <f>IF(OR($E416="",$F416=""),"",IFERROR(IF($E416=INDEX([1]Cluster_Master!$A$4:$A$18,MATCH($F416,[1]Cluster_Master!$B$4:$B$18,0)),"OK","CHECK"),"CHECK"))</f>
        <v/>
      </c>
      <c r="H416" s="63" t="str">
        <f>IFERROR(INDEX([1]Cluster_Master!$C$4:$C$18,MATCH($F416,[1]Cluster_Master!$B$4:$B$18,0)),"")</f>
        <v/>
      </c>
      <c r="I416" s="60" t="str">
        <f>IFERROR(INDEX([1]Cluster_Master!$D$4:$D$18,MATCH($F416,[1]Cluster_Master!$B$4:$B$18,0)),"")</f>
        <v/>
      </c>
      <c r="J416" s="60" t="str">
        <f>IFERROR(INDEX([1]Cluster_Master!$E$4:$E$18,MATCH($F416,[1]Cluster_Master!$B$4:$B$18,0)),"")</f>
        <v/>
      </c>
      <c r="K416" s="60" t="str">
        <f>IFERROR(INDEX([1]Cluster_Master!$F$4:$F$18,MATCH($F416,[1]Cluster_Master!$B$4:$B$18,0)),"")</f>
        <v/>
      </c>
      <c r="L416" s="60" t="str">
        <f>IFERROR(INDEX([1]Cluster_Master!$G$4:$G$18,MATCH($F416,[1]Cluster_Master!$B$4:$B$18,0)),"")</f>
        <v/>
      </c>
      <c r="M416" s="60" t="str">
        <f>IFERROR(INDEX([1]Cluster_Master!$H$4:$H$18,MATCH($F416,[1]Cluster_Master!$B$4:$B$18,0)),"")</f>
        <v/>
      </c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60" t="str">
        <f>IF(COUNTA(T416:AH416)=0,"",SUM(T416:AH416))</f>
        <v/>
      </c>
      <c r="AJ416" s="61" t="str">
        <f>IF(COUNTA(T416:AH416)=0,"",AI416/75)</f>
        <v/>
      </c>
      <c r="AK416" s="61" t="str">
        <f>IF(COUNTA(T416:AH416)=0,"",(SUM(T416*[1]KPI_Weights!$B$4,U416*[1]KPI_Weights!$B$5,V416*[1]KPI_Weights!$B$6,W416*[1]KPI_Weights!$B$7,X416*[1]KPI_Weights!$B$8,Y416*[1]KPI_Weights!$B$9,Z416*[1]KPI_Weights!$B$10,AA416*[1]KPI_Weights!$B$11,AB416*[1]KPI_Weights!$B$12,AC416*[1]KPI_Weights!$B$13,AD416*[1]KPI_Weights!$B$14,AE416*[1]KPI_Weights!$B$15,AF416*[1]KPI_Weights!$B$16,AG416*[1]KPI_Weights!$B$17,AH416*[1]KPI_Weights!$B$18))/5)</f>
        <v/>
      </c>
      <c r="AL416" s="60" t="str">
        <f>IF(COUNTA(T416:AH416)=0,"",IF(OR(T416&lt;=1,W416&lt;=1,X416&lt;=1,Y416&lt;=1,AB416&lt;=1),"YES","NO"))</f>
        <v/>
      </c>
      <c r="AM416" s="60" t="str">
        <f>IF(AJ416="","",IF(AND(AL416="NO",AJ416&gt;=0.75),"YES","NO"))</f>
        <v/>
      </c>
      <c r="AN416" s="60" t="str">
        <f>IF(AJ416="","",IF(AJ416&lt;0.4,"Critical",IF(AJ416&lt;0.6,"Poor",IF(AJ416&lt;0.75,"Needs Improvement",IF(AJ416&lt;0.9,"Good","Excellent")))))</f>
        <v/>
      </c>
      <c r="AO416" s="59"/>
      <c r="AP416" s="59"/>
      <c r="AQ416" s="59"/>
      <c r="AR416" s="59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</row>
    <row r="417" spans="1:54" ht="19.5" customHeight="1" x14ac:dyDescent="0.25">
      <c r="A417" s="60" t="str">
        <f>IF($B417="","",TEXT($B417,"yyyymmdd")&amp;"-"&amp;SUBSTITUTE($F417," ","")&amp;"-"&amp;TEXT(COUNTIF($F$4:F417,$F417),"00"))</f>
        <v/>
      </c>
      <c r="B417" s="65"/>
      <c r="C417" s="60" t="str">
        <f>IF($B417="","",WEEKNUM($B417,2))</f>
        <v/>
      </c>
      <c r="D417" s="60" t="str">
        <f>IF($B417="","",TEXT($B417,"yyyy-mm"))</f>
        <v/>
      </c>
      <c r="E417" s="64"/>
      <c r="F417" s="64"/>
      <c r="G417" s="60" t="str">
        <f>IF(OR($E417="",$F417=""),"",IFERROR(IF($E417=INDEX([1]Cluster_Master!$A$4:$A$18,MATCH($F417,[1]Cluster_Master!$B$4:$B$18,0)),"OK","CHECK"),"CHECK"))</f>
        <v/>
      </c>
      <c r="H417" s="63" t="str">
        <f>IFERROR(INDEX([1]Cluster_Master!$C$4:$C$18,MATCH($F417,[1]Cluster_Master!$B$4:$B$18,0)),"")</f>
        <v/>
      </c>
      <c r="I417" s="60" t="str">
        <f>IFERROR(INDEX([1]Cluster_Master!$D$4:$D$18,MATCH($F417,[1]Cluster_Master!$B$4:$B$18,0)),"")</f>
        <v/>
      </c>
      <c r="J417" s="60" t="str">
        <f>IFERROR(INDEX([1]Cluster_Master!$E$4:$E$18,MATCH($F417,[1]Cluster_Master!$B$4:$B$18,0)),"")</f>
        <v/>
      </c>
      <c r="K417" s="60" t="str">
        <f>IFERROR(INDEX([1]Cluster_Master!$F$4:$F$18,MATCH($F417,[1]Cluster_Master!$B$4:$B$18,0)),"")</f>
        <v/>
      </c>
      <c r="L417" s="60" t="str">
        <f>IFERROR(INDEX([1]Cluster_Master!$G$4:$G$18,MATCH($F417,[1]Cluster_Master!$B$4:$B$18,0)),"")</f>
        <v/>
      </c>
      <c r="M417" s="60" t="str">
        <f>IFERROR(INDEX([1]Cluster_Master!$H$4:$H$18,MATCH($F417,[1]Cluster_Master!$B$4:$B$18,0)),"")</f>
        <v/>
      </c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60" t="str">
        <f>IF(COUNTA(T417:AH417)=0,"",SUM(T417:AH417))</f>
        <v/>
      </c>
      <c r="AJ417" s="61" t="str">
        <f>IF(COUNTA(T417:AH417)=0,"",AI417/75)</f>
        <v/>
      </c>
      <c r="AK417" s="61" t="str">
        <f>IF(COUNTA(T417:AH417)=0,"",(SUM(T417*[1]KPI_Weights!$B$4,U417*[1]KPI_Weights!$B$5,V417*[1]KPI_Weights!$B$6,W417*[1]KPI_Weights!$B$7,X417*[1]KPI_Weights!$B$8,Y417*[1]KPI_Weights!$B$9,Z417*[1]KPI_Weights!$B$10,AA417*[1]KPI_Weights!$B$11,AB417*[1]KPI_Weights!$B$12,AC417*[1]KPI_Weights!$B$13,AD417*[1]KPI_Weights!$B$14,AE417*[1]KPI_Weights!$B$15,AF417*[1]KPI_Weights!$B$16,AG417*[1]KPI_Weights!$B$17,AH417*[1]KPI_Weights!$B$18))/5)</f>
        <v/>
      </c>
      <c r="AL417" s="60" t="str">
        <f>IF(COUNTA(T417:AH417)=0,"",IF(OR(T417&lt;=1,W417&lt;=1,X417&lt;=1,Y417&lt;=1,AB417&lt;=1),"YES","NO"))</f>
        <v/>
      </c>
      <c r="AM417" s="60" t="str">
        <f>IF(AJ417="","",IF(AND(AL417="NO",AJ417&gt;=0.75),"YES","NO"))</f>
        <v/>
      </c>
      <c r="AN417" s="60" t="str">
        <f>IF(AJ417="","",IF(AJ417&lt;0.4,"Critical",IF(AJ417&lt;0.6,"Poor",IF(AJ417&lt;0.75,"Needs Improvement",IF(AJ417&lt;0.9,"Good","Excellent")))))</f>
        <v/>
      </c>
      <c r="AO417" s="59"/>
      <c r="AP417" s="59"/>
      <c r="AQ417" s="59"/>
      <c r="AR417" s="59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</row>
    <row r="418" spans="1:54" ht="19.5" customHeight="1" x14ac:dyDescent="0.25">
      <c r="A418" s="60" t="str">
        <f>IF($B418="","",TEXT($B418,"yyyymmdd")&amp;"-"&amp;SUBSTITUTE($F418," ","")&amp;"-"&amp;TEXT(COUNTIF($F$4:F418,$F418),"00"))</f>
        <v/>
      </c>
      <c r="B418" s="65"/>
      <c r="C418" s="60" t="str">
        <f>IF($B418="","",WEEKNUM($B418,2))</f>
        <v/>
      </c>
      <c r="D418" s="60" t="str">
        <f>IF($B418="","",TEXT($B418,"yyyy-mm"))</f>
        <v/>
      </c>
      <c r="E418" s="64"/>
      <c r="F418" s="64"/>
      <c r="G418" s="60" t="str">
        <f>IF(OR($E418="",$F418=""),"",IFERROR(IF($E418=INDEX([1]Cluster_Master!$A$4:$A$18,MATCH($F418,[1]Cluster_Master!$B$4:$B$18,0)),"OK","CHECK"),"CHECK"))</f>
        <v/>
      </c>
      <c r="H418" s="63" t="str">
        <f>IFERROR(INDEX([1]Cluster_Master!$C$4:$C$18,MATCH($F418,[1]Cluster_Master!$B$4:$B$18,0)),"")</f>
        <v/>
      </c>
      <c r="I418" s="60" t="str">
        <f>IFERROR(INDEX([1]Cluster_Master!$D$4:$D$18,MATCH($F418,[1]Cluster_Master!$B$4:$B$18,0)),"")</f>
        <v/>
      </c>
      <c r="J418" s="60" t="str">
        <f>IFERROR(INDEX([1]Cluster_Master!$E$4:$E$18,MATCH($F418,[1]Cluster_Master!$B$4:$B$18,0)),"")</f>
        <v/>
      </c>
      <c r="K418" s="60" t="str">
        <f>IFERROR(INDEX([1]Cluster_Master!$F$4:$F$18,MATCH($F418,[1]Cluster_Master!$B$4:$B$18,0)),"")</f>
        <v/>
      </c>
      <c r="L418" s="60" t="str">
        <f>IFERROR(INDEX([1]Cluster_Master!$G$4:$G$18,MATCH($F418,[1]Cluster_Master!$B$4:$B$18,0)),"")</f>
        <v/>
      </c>
      <c r="M418" s="60" t="str">
        <f>IFERROR(INDEX([1]Cluster_Master!$H$4:$H$18,MATCH($F418,[1]Cluster_Master!$B$4:$B$18,0)),"")</f>
        <v/>
      </c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60" t="str">
        <f>IF(COUNTA(T418:AH418)=0,"",SUM(T418:AH418))</f>
        <v/>
      </c>
      <c r="AJ418" s="61" t="str">
        <f>IF(COUNTA(T418:AH418)=0,"",AI418/75)</f>
        <v/>
      </c>
      <c r="AK418" s="61" t="str">
        <f>IF(COUNTA(T418:AH418)=0,"",(SUM(T418*[1]KPI_Weights!$B$4,U418*[1]KPI_Weights!$B$5,V418*[1]KPI_Weights!$B$6,W418*[1]KPI_Weights!$B$7,X418*[1]KPI_Weights!$B$8,Y418*[1]KPI_Weights!$B$9,Z418*[1]KPI_Weights!$B$10,AA418*[1]KPI_Weights!$B$11,AB418*[1]KPI_Weights!$B$12,AC418*[1]KPI_Weights!$B$13,AD418*[1]KPI_Weights!$B$14,AE418*[1]KPI_Weights!$B$15,AF418*[1]KPI_Weights!$B$16,AG418*[1]KPI_Weights!$B$17,AH418*[1]KPI_Weights!$B$18))/5)</f>
        <v/>
      </c>
      <c r="AL418" s="60" t="str">
        <f>IF(COUNTA(T418:AH418)=0,"",IF(OR(T418&lt;=1,W418&lt;=1,X418&lt;=1,Y418&lt;=1,AB418&lt;=1),"YES","NO"))</f>
        <v/>
      </c>
      <c r="AM418" s="60" t="str">
        <f>IF(AJ418="","",IF(AND(AL418="NO",AJ418&gt;=0.75),"YES","NO"))</f>
        <v/>
      </c>
      <c r="AN418" s="60" t="str">
        <f>IF(AJ418="","",IF(AJ418&lt;0.4,"Critical",IF(AJ418&lt;0.6,"Poor",IF(AJ418&lt;0.75,"Needs Improvement",IF(AJ418&lt;0.9,"Good","Excellent")))))</f>
        <v/>
      </c>
      <c r="AO418" s="59"/>
      <c r="AP418" s="59"/>
      <c r="AQ418" s="59"/>
      <c r="AR418" s="59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</row>
    <row r="419" spans="1:54" ht="19.5" customHeight="1" x14ac:dyDescent="0.25">
      <c r="A419" s="60" t="str">
        <f>IF($B419="","",TEXT($B419,"yyyymmdd")&amp;"-"&amp;SUBSTITUTE($F419," ","")&amp;"-"&amp;TEXT(COUNTIF($F$4:F419,$F419),"00"))</f>
        <v/>
      </c>
      <c r="B419" s="65"/>
      <c r="C419" s="60" t="str">
        <f>IF($B419="","",WEEKNUM($B419,2))</f>
        <v/>
      </c>
      <c r="D419" s="60" t="str">
        <f>IF($B419="","",TEXT($B419,"yyyy-mm"))</f>
        <v/>
      </c>
      <c r="E419" s="64"/>
      <c r="F419" s="64"/>
      <c r="G419" s="60" t="str">
        <f>IF(OR($E419="",$F419=""),"",IFERROR(IF($E419=INDEX([1]Cluster_Master!$A$4:$A$18,MATCH($F419,[1]Cluster_Master!$B$4:$B$18,0)),"OK","CHECK"),"CHECK"))</f>
        <v/>
      </c>
      <c r="H419" s="63" t="str">
        <f>IFERROR(INDEX([1]Cluster_Master!$C$4:$C$18,MATCH($F419,[1]Cluster_Master!$B$4:$B$18,0)),"")</f>
        <v/>
      </c>
      <c r="I419" s="60" t="str">
        <f>IFERROR(INDEX([1]Cluster_Master!$D$4:$D$18,MATCH($F419,[1]Cluster_Master!$B$4:$B$18,0)),"")</f>
        <v/>
      </c>
      <c r="J419" s="60" t="str">
        <f>IFERROR(INDEX([1]Cluster_Master!$E$4:$E$18,MATCH($F419,[1]Cluster_Master!$B$4:$B$18,0)),"")</f>
        <v/>
      </c>
      <c r="K419" s="60" t="str">
        <f>IFERROR(INDEX([1]Cluster_Master!$F$4:$F$18,MATCH($F419,[1]Cluster_Master!$B$4:$B$18,0)),"")</f>
        <v/>
      </c>
      <c r="L419" s="60" t="str">
        <f>IFERROR(INDEX([1]Cluster_Master!$G$4:$G$18,MATCH($F419,[1]Cluster_Master!$B$4:$B$18,0)),"")</f>
        <v/>
      </c>
      <c r="M419" s="60" t="str">
        <f>IFERROR(INDEX([1]Cluster_Master!$H$4:$H$18,MATCH($F419,[1]Cluster_Master!$B$4:$B$18,0)),"")</f>
        <v/>
      </c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60" t="str">
        <f>IF(COUNTA(T419:AH419)=0,"",SUM(T419:AH419))</f>
        <v/>
      </c>
      <c r="AJ419" s="61" t="str">
        <f>IF(COUNTA(T419:AH419)=0,"",AI419/75)</f>
        <v/>
      </c>
      <c r="AK419" s="61" t="str">
        <f>IF(COUNTA(T419:AH419)=0,"",(SUM(T419*[1]KPI_Weights!$B$4,U419*[1]KPI_Weights!$B$5,V419*[1]KPI_Weights!$B$6,W419*[1]KPI_Weights!$B$7,X419*[1]KPI_Weights!$B$8,Y419*[1]KPI_Weights!$B$9,Z419*[1]KPI_Weights!$B$10,AA419*[1]KPI_Weights!$B$11,AB419*[1]KPI_Weights!$B$12,AC419*[1]KPI_Weights!$B$13,AD419*[1]KPI_Weights!$B$14,AE419*[1]KPI_Weights!$B$15,AF419*[1]KPI_Weights!$B$16,AG419*[1]KPI_Weights!$B$17,AH419*[1]KPI_Weights!$B$18))/5)</f>
        <v/>
      </c>
      <c r="AL419" s="60" t="str">
        <f>IF(COUNTA(T419:AH419)=0,"",IF(OR(T419&lt;=1,W419&lt;=1,X419&lt;=1,Y419&lt;=1,AB419&lt;=1),"YES","NO"))</f>
        <v/>
      </c>
      <c r="AM419" s="60" t="str">
        <f>IF(AJ419="","",IF(AND(AL419="NO",AJ419&gt;=0.75),"YES","NO"))</f>
        <v/>
      </c>
      <c r="AN419" s="60" t="str">
        <f>IF(AJ419="","",IF(AJ419&lt;0.4,"Critical",IF(AJ419&lt;0.6,"Poor",IF(AJ419&lt;0.75,"Needs Improvement",IF(AJ419&lt;0.9,"Good","Excellent")))))</f>
        <v/>
      </c>
      <c r="AO419" s="59"/>
      <c r="AP419" s="59"/>
      <c r="AQ419" s="59"/>
      <c r="AR419" s="59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</row>
    <row r="420" spans="1:54" ht="19.5" customHeight="1" x14ac:dyDescent="0.25">
      <c r="A420" s="60" t="str">
        <f>IF($B420="","",TEXT($B420,"yyyymmdd")&amp;"-"&amp;SUBSTITUTE($F420," ","")&amp;"-"&amp;TEXT(COUNTIF($F$4:F420,$F420),"00"))</f>
        <v/>
      </c>
      <c r="B420" s="65"/>
      <c r="C420" s="60" t="str">
        <f>IF($B420="","",WEEKNUM($B420,2))</f>
        <v/>
      </c>
      <c r="D420" s="60" t="str">
        <f>IF($B420="","",TEXT($B420,"yyyy-mm"))</f>
        <v/>
      </c>
      <c r="E420" s="64"/>
      <c r="F420" s="64"/>
      <c r="G420" s="60" t="str">
        <f>IF(OR($E420="",$F420=""),"",IFERROR(IF($E420=INDEX([1]Cluster_Master!$A$4:$A$18,MATCH($F420,[1]Cluster_Master!$B$4:$B$18,0)),"OK","CHECK"),"CHECK"))</f>
        <v/>
      </c>
      <c r="H420" s="63" t="str">
        <f>IFERROR(INDEX([1]Cluster_Master!$C$4:$C$18,MATCH($F420,[1]Cluster_Master!$B$4:$B$18,0)),"")</f>
        <v/>
      </c>
      <c r="I420" s="60" t="str">
        <f>IFERROR(INDEX([1]Cluster_Master!$D$4:$D$18,MATCH($F420,[1]Cluster_Master!$B$4:$B$18,0)),"")</f>
        <v/>
      </c>
      <c r="J420" s="60" t="str">
        <f>IFERROR(INDEX([1]Cluster_Master!$E$4:$E$18,MATCH($F420,[1]Cluster_Master!$B$4:$B$18,0)),"")</f>
        <v/>
      </c>
      <c r="K420" s="60" t="str">
        <f>IFERROR(INDEX([1]Cluster_Master!$F$4:$F$18,MATCH($F420,[1]Cluster_Master!$B$4:$B$18,0)),"")</f>
        <v/>
      </c>
      <c r="L420" s="60" t="str">
        <f>IFERROR(INDEX([1]Cluster_Master!$G$4:$G$18,MATCH($F420,[1]Cluster_Master!$B$4:$B$18,0)),"")</f>
        <v/>
      </c>
      <c r="M420" s="60" t="str">
        <f>IFERROR(INDEX([1]Cluster_Master!$H$4:$H$18,MATCH($F420,[1]Cluster_Master!$B$4:$B$18,0)),"")</f>
        <v/>
      </c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60" t="str">
        <f>IF(COUNTA(T420:AH420)=0,"",SUM(T420:AH420))</f>
        <v/>
      </c>
      <c r="AJ420" s="61" t="str">
        <f>IF(COUNTA(T420:AH420)=0,"",AI420/75)</f>
        <v/>
      </c>
      <c r="AK420" s="61" t="str">
        <f>IF(COUNTA(T420:AH420)=0,"",(SUM(T420*[1]KPI_Weights!$B$4,U420*[1]KPI_Weights!$B$5,V420*[1]KPI_Weights!$B$6,W420*[1]KPI_Weights!$B$7,X420*[1]KPI_Weights!$B$8,Y420*[1]KPI_Weights!$B$9,Z420*[1]KPI_Weights!$B$10,AA420*[1]KPI_Weights!$B$11,AB420*[1]KPI_Weights!$B$12,AC420*[1]KPI_Weights!$B$13,AD420*[1]KPI_Weights!$B$14,AE420*[1]KPI_Weights!$B$15,AF420*[1]KPI_Weights!$B$16,AG420*[1]KPI_Weights!$B$17,AH420*[1]KPI_Weights!$B$18))/5)</f>
        <v/>
      </c>
      <c r="AL420" s="60" t="str">
        <f>IF(COUNTA(T420:AH420)=0,"",IF(OR(T420&lt;=1,W420&lt;=1,X420&lt;=1,Y420&lt;=1,AB420&lt;=1),"YES","NO"))</f>
        <v/>
      </c>
      <c r="AM420" s="60" t="str">
        <f>IF(AJ420="","",IF(AND(AL420="NO",AJ420&gt;=0.75),"YES","NO"))</f>
        <v/>
      </c>
      <c r="AN420" s="60" t="str">
        <f>IF(AJ420="","",IF(AJ420&lt;0.4,"Critical",IF(AJ420&lt;0.6,"Poor",IF(AJ420&lt;0.75,"Needs Improvement",IF(AJ420&lt;0.9,"Good","Excellent")))))</f>
        <v/>
      </c>
      <c r="AO420" s="59"/>
      <c r="AP420" s="59"/>
      <c r="AQ420" s="59"/>
      <c r="AR420" s="59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</row>
    <row r="421" spans="1:54" ht="19.5" customHeight="1" x14ac:dyDescent="0.25">
      <c r="A421" s="60" t="str">
        <f>IF($B421="","",TEXT($B421,"yyyymmdd")&amp;"-"&amp;SUBSTITUTE($F421," ","")&amp;"-"&amp;TEXT(COUNTIF($F$4:F421,$F421),"00"))</f>
        <v/>
      </c>
      <c r="B421" s="65"/>
      <c r="C421" s="60" t="str">
        <f>IF($B421="","",WEEKNUM($B421,2))</f>
        <v/>
      </c>
      <c r="D421" s="60" t="str">
        <f>IF($B421="","",TEXT($B421,"yyyy-mm"))</f>
        <v/>
      </c>
      <c r="E421" s="64"/>
      <c r="F421" s="64"/>
      <c r="G421" s="60" t="str">
        <f>IF(OR($E421="",$F421=""),"",IFERROR(IF($E421=INDEX([1]Cluster_Master!$A$4:$A$18,MATCH($F421,[1]Cluster_Master!$B$4:$B$18,0)),"OK","CHECK"),"CHECK"))</f>
        <v/>
      </c>
      <c r="H421" s="63" t="str">
        <f>IFERROR(INDEX([1]Cluster_Master!$C$4:$C$18,MATCH($F421,[1]Cluster_Master!$B$4:$B$18,0)),"")</f>
        <v/>
      </c>
      <c r="I421" s="60" t="str">
        <f>IFERROR(INDEX([1]Cluster_Master!$D$4:$D$18,MATCH($F421,[1]Cluster_Master!$B$4:$B$18,0)),"")</f>
        <v/>
      </c>
      <c r="J421" s="60" t="str">
        <f>IFERROR(INDEX([1]Cluster_Master!$E$4:$E$18,MATCH($F421,[1]Cluster_Master!$B$4:$B$18,0)),"")</f>
        <v/>
      </c>
      <c r="K421" s="60" t="str">
        <f>IFERROR(INDEX([1]Cluster_Master!$F$4:$F$18,MATCH($F421,[1]Cluster_Master!$B$4:$B$18,0)),"")</f>
        <v/>
      </c>
      <c r="L421" s="60" t="str">
        <f>IFERROR(INDEX([1]Cluster_Master!$G$4:$G$18,MATCH($F421,[1]Cluster_Master!$B$4:$B$18,0)),"")</f>
        <v/>
      </c>
      <c r="M421" s="60" t="str">
        <f>IFERROR(INDEX([1]Cluster_Master!$H$4:$H$18,MATCH($F421,[1]Cluster_Master!$B$4:$B$18,0)),"")</f>
        <v/>
      </c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60" t="str">
        <f>IF(COUNTA(T421:AH421)=0,"",SUM(T421:AH421))</f>
        <v/>
      </c>
      <c r="AJ421" s="61" t="str">
        <f>IF(COUNTA(T421:AH421)=0,"",AI421/75)</f>
        <v/>
      </c>
      <c r="AK421" s="61" t="str">
        <f>IF(COUNTA(T421:AH421)=0,"",(SUM(T421*[1]KPI_Weights!$B$4,U421*[1]KPI_Weights!$B$5,V421*[1]KPI_Weights!$B$6,W421*[1]KPI_Weights!$B$7,X421*[1]KPI_Weights!$B$8,Y421*[1]KPI_Weights!$B$9,Z421*[1]KPI_Weights!$B$10,AA421*[1]KPI_Weights!$B$11,AB421*[1]KPI_Weights!$B$12,AC421*[1]KPI_Weights!$B$13,AD421*[1]KPI_Weights!$B$14,AE421*[1]KPI_Weights!$B$15,AF421*[1]KPI_Weights!$B$16,AG421*[1]KPI_Weights!$B$17,AH421*[1]KPI_Weights!$B$18))/5)</f>
        <v/>
      </c>
      <c r="AL421" s="60" t="str">
        <f>IF(COUNTA(T421:AH421)=0,"",IF(OR(T421&lt;=1,W421&lt;=1,X421&lt;=1,Y421&lt;=1,AB421&lt;=1),"YES","NO"))</f>
        <v/>
      </c>
      <c r="AM421" s="60" t="str">
        <f>IF(AJ421="","",IF(AND(AL421="NO",AJ421&gt;=0.75),"YES","NO"))</f>
        <v/>
      </c>
      <c r="AN421" s="60" t="str">
        <f>IF(AJ421="","",IF(AJ421&lt;0.4,"Critical",IF(AJ421&lt;0.6,"Poor",IF(AJ421&lt;0.75,"Needs Improvement",IF(AJ421&lt;0.9,"Good","Excellent")))))</f>
        <v/>
      </c>
      <c r="AO421" s="59"/>
      <c r="AP421" s="59"/>
      <c r="AQ421" s="59"/>
      <c r="AR421" s="59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</row>
    <row r="422" spans="1:54" ht="19.5" customHeight="1" x14ac:dyDescent="0.25">
      <c r="A422" s="60" t="str">
        <f>IF($B422="","",TEXT($B422,"yyyymmdd")&amp;"-"&amp;SUBSTITUTE($F422," ","")&amp;"-"&amp;TEXT(COUNTIF($F$4:F422,$F422),"00"))</f>
        <v/>
      </c>
      <c r="B422" s="65"/>
      <c r="C422" s="60" t="str">
        <f>IF($B422="","",WEEKNUM($B422,2))</f>
        <v/>
      </c>
      <c r="D422" s="60" t="str">
        <f>IF($B422="","",TEXT($B422,"yyyy-mm"))</f>
        <v/>
      </c>
      <c r="E422" s="64"/>
      <c r="F422" s="64"/>
      <c r="G422" s="60" t="str">
        <f>IF(OR($E422="",$F422=""),"",IFERROR(IF($E422=INDEX([1]Cluster_Master!$A$4:$A$18,MATCH($F422,[1]Cluster_Master!$B$4:$B$18,0)),"OK","CHECK"),"CHECK"))</f>
        <v/>
      </c>
      <c r="H422" s="63" t="str">
        <f>IFERROR(INDEX([1]Cluster_Master!$C$4:$C$18,MATCH($F422,[1]Cluster_Master!$B$4:$B$18,0)),"")</f>
        <v/>
      </c>
      <c r="I422" s="60" t="str">
        <f>IFERROR(INDEX([1]Cluster_Master!$D$4:$D$18,MATCH($F422,[1]Cluster_Master!$B$4:$B$18,0)),"")</f>
        <v/>
      </c>
      <c r="J422" s="60" t="str">
        <f>IFERROR(INDEX([1]Cluster_Master!$E$4:$E$18,MATCH($F422,[1]Cluster_Master!$B$4:$B$18,0)),"")</f>
        <v/>
      </c>
      <c r="K422" s="60" t="str">
        <f>IFERROR(INDEX([1]Cluster_Master!$F$4:$F$18,MATCH($F422,[1]Cluster_Master!$B$4:$B$18,0)),"")</f>
        <v/>
      </c>
      <c r="L422" s="60" t="str">
        <f>IFERROR(INDEX([1]Cluster_Master!$G$4:$G$18,MATCH($F422,[1]Cluster_Master!$B$4:$B$18,0)),"")</f>
        <v/>
      </c>
      <c r="M422" s="60" t="str">
        <f>IFERROR(INDEX([1]Cluster_Master!$H$4:$H$18,MATCH($F422,[1]Cluster_Master!$B$4:$B$18,0)),"")</f>
        <v/>
      </c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60" t="str">
        <f>IF(COUNTA(T422:AH422)=0,"",SUM(T422:AH422))</f>
        <v/>
      </c>
      <c r="AJ422" s="61" t="str">
        <f>IF(COUNTA(T422:AH422)=0,"",AI422/75)</f>
        <v/>
      </c>
      <c r="AK422" s="61" t="str">
        <f>IF(COUNTA(T422:AH422)=0,"",(SUM(T422*[1]KPI_Weights!$B$4,U422*[1]KPI_Weights!$B$5,V422*[1]KPI_Weights!$B$6,W422*[1]KPI_Weights!$B$7,X422*[1]KPI_Weights!$B$8,Y422*[1]KPI_Weights!$B$9,Z422*[1]KPI_Weights!$B$10,AA422*[1]KPI_Weights!$B$11,AB422*[1]KPI_Weights!$B$12,AC422*[1]KPI_Weights!$B$13,AD422*[1]KPI_Weights!$B$14,AE422*[1]KPI_Weights!$B$15,AF422*[1]KPI_Weights!$B$16,AG422*[1]KPI_Weights!$B$17,AH422*[1]KPI_Weights!$B$18))/5)</f>
        <v/>
      </c>
      <c r="AL422" s="60" t="str">
        <f>IF(COUNTA(T422:AH422)=0,"",IF(OR(T422&lt;=1,W422&lt;=1,X422&lt;=1,Y422&lt;=1,AB422&lt;=1),"YES","NO"))</f>
        <v/>
      </c>
      <c r="AM422" s="60" t="str">
        <f>IF(AJ422="","",IF(AND(AL422="NO",AJ422&gt;=0.75),"YES","NO"))</f>
        <v/>
      </c>
      <c r="AN422" s="60" t="str">
        <f>IF(AJ422="","",IF(AJ422&lt;0.4,"Critical",IF(AJ422&lt;0.6,"Poor",IF(AJ422&lt;0.75,"Needs Improvement",IF(AJ422&lt;0.9,"Good","Excellent")))))</f>
        <v/>
      </c>
      <c r="AO422" s="59"/>
      <c r="AP422" s="59"/>
      <c r="AQ422" s="59"/>
      <c r="AR422" s="59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</row>
    <row r="423" spans="1:54" ht="19.5" customHeight="1" x14ac:dyDescent="0.25">
      <c r="A423" s="60" t="str">
        <f>IF($B423="","",TEXT($B423,"yyyymmdd")&amp;"-"&amp;SUBSTITUTE($F423," ","")&amp;"-"&amp;TEXT(COUNTIF($F$4:F423,$F423),"00"))</f>
        <v/>
      </c>
      <c r="B423" s="65"/>
      <c r="C423" s="60" t="str">
        <f>IF($B423="","",WEEKNUM($B423,2))</f>
        <v/>
      </c>
      <c r="D423" s="60" t="str">
        <f>IF($B423="","",TEXT($B423,"yyyy-mm"))</f>
        <v/>
      </c>
      <c r="E423" s="64"/>
      <c r="F423" s="64"/>
      <c r="G423" s="60" t="str">
        <f>IF(OR($E423="",$F423=""),"",IFERROR(IF($E423=INDEX([1]Cluster_Master!$A$4:$A$18,MATCH($F423,[1]Cluster_Master!$B$4:$B$18,0)),"OK","CHECK"),"CHECK"))</f>
        <v/>
      </c>
      <c r="H423" s="63" t="str">
        <f>IFERROR(INDEX([1]Cluster_Master!$C$4:$C$18,MATCH($F423,[1]Cluster_Master!$B$4:$B$18,0)),"")</f>
        <v/>
      </c>
      <c r="I423" s="60" t="str">
        <f>IFERROR(INDEX([1]Cluster_Master!$D$4:$D$18,MATCH($F423,[1]Cluster_Master!$B$4:$B$18,0)),"")</f>
        <v/>
      </c>
      <c r="J423" s="60" t="str">
        <f>IFERROR(INDEX([1]Cluster_Master!$E$4:$E$18,MATCH($F423,[1]Cluster_Master!$B$4:$B$18,0)),"")</f>
        <v/>
      </c>
      <c r="K423" s="60" t="str">
        <f>IFERROR(INDEX([1]Cluster_Master!$F$4:$F$18,MATCH($F423,[1]Cluster_Master!$B$4:$B$18,0)),"")</f>
        <v/>
      </c>
      <c r="L423" s="60" t="str">
        <f>IFERROR(INDEX([1]Cluster_Master!$G$4:$G$18,MATCH($F423,[1]Cluster_Master!$B$4:$B$18,0)),"")</f>
        <v/>
      </c>
      <c r="M423" s="60" t="str">
        <f>IFERROR(INDEX([1]Cluster_Master!$H$4:$H$18,MATCH($F423,[1]Cluster_Master!$B$4:$B$18,0)),"")</f>
        <v/>
      </c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60" t="str">
        <f>IF(COUNTA(T423:AH423)=0,"",SUM(T423:AH423))</f>
        <v/>
      </c>
      <c r="AJ423" s="61" t="str">
        <f>IF(COUNTA(T423:AH423)=0,"",AI423/75)</f>
        <v/>
      </c>
      <c r="AK423" s="61" t="str">
        <f>IF(COUNTA(T423:AH423)=0,"",(SUM(T423*[1]KPI_Weights!$B$4,U423*[1]KPI_Weights!$B$5,V423*[1]KPI_Weights!$B$6,W423*[1]KPI_Weights!$B$7,X423*[1]KPI_Weights!$B$8,Y423*[1]KPI_Weights!$B$9,Z423*[1]KPI_Weights!$B$10,AA423*[1]KPI_Weights!$B$11,AB423*[1]KPI_Weights!$B$12,AC423*[1]KPI_Weights!$B$13,AD423*[1]KPI_Weights!$B$14,AE423*[1]KPI_Weights!$B$15,AF423*[1]KPI_Weights!$B$16,AG423*[1]KPI_Weights!$B$17,AH423*[1]KPI_Weights!$B$18))/5)</f>
        <v/>
      </c>
      <c r="AL423" s="60" t="str">
        <f>IF(COUNTA(T423:AH423)=0,"",IF(OR(T423&lt;=1,W423&lt;=1,X423&lt;=1,Y423&lt;=1,AB423&lt;=1),"YES","NO"))</f>
        <v/>
      </c>
      <c r="AM423" s="60" t="str">
        <f>IF(AJ423="","",IF(AND(AL423="NO",AJ423&gt;=0.75),"YES","NO"))</f>
        <v/>
      </c>
      <c r="AN423" s="60" t="str">
        <f>IF(AJ423="","",IF(AJ423&lt;0.4,"Critical",IF(AJ423&lt;0.6,"Poor",IF(AJ423&lt;0.75,"Needs Improvement",IF(AJ423&lt;0.9,"Good","Excellent")))))</f>
        <v/>
      </c>
      <c r="AO423" s="59"/>
      <c r="AP423" s="59"/>
      <c r="AQ423" s="59"/>
      <c r="AR423" s="59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</row>
    <row r="424" spans="1:54" ht="19.5" customHeight="1" x14ac:dyDescent="0.25">
      <c r="A424" s="60" t="str">
        <f>IF($B424="","",TEXT($B424,"yyyymmdd")&amp;"-"&amp;SUBSTITUTE($F424," ","")&amp;"-"&amp;TEXT(COUNTIF($F$4:F424,$F424),"00"))</f>
        <v/>
      </c>
      <c r="B424" s="65"/>
      <c r="C424" s="60" t="str">
        <f>IF($B424="","",WEEKNUM($B424,2))</f>
        <v/>
      </c>
      <c r="D424" s="60" t="str">
        <f>IF($B424="","",TEXT($B424,"yyyy-mm"))</f>
        <v/>
      </c>
      <c r="E424" s="64"/>
      <c r="F424" s="64"/>
      <c r="G424" s="60" t="str">
        <f>IF(OR($E424="",$F424=""),"",IFERROR(IF($E424=INDEX([1]Cluster_Master!$A$4:$A$18,MATCH($F424,[1]Cluster_Master!$B$4:$B$18,0)),"OK","CHECK"),"CHECK"))</f>
        <v/>
      </c>
      <c r="H424" s="63" t="str">
        <f>IFERROR(INDEX([1]Cluster_Master!$C$4:$C$18,MATCH($F424,[1]Cluster_Master!$B$4:$B$18,0)),"")</f>
        <v/>
      </c>
      <c r="I424" s="60" t="str">
        <f>IFERROR(INDEX([1]Cluster_Master!$D$4:$D$18,MATCH($F424,[1]Cluster_Master!$B$4:$B$18,0)),"")</f>
        <v/>
      </c>
      <c r="J424" s="60" t="str">
        <f>IFERROR(INDEX([1]Cluster_Master!$E$4:$E$18,MATCH($F424,[1]Cluster_Master!$B$4:$B$18,0)),"")</f>
        <v/>
      </c>
      <c r="K424" s="60" t="str">
        <f>IFERROR(INDEX([1]Cluster_Master!$F$4:$F$18,MATCH($F424,[1]Cluster_Master!$B$4:$B$18,0)),"")</f>
        <v/>
      </c>
      <c r="L424" s="60" t="str">
        <f>IFERROR(INDEX([1]Cluster_Master!$G$4:$G$18,MATCH($F424,[1]Cluster_Master!$B$4:$B$18,0)),"")</f>
        <v/>
      </c>
      <c r="M424" s="60" t="str">
        <f>IFERROR(INDEX([1]Cluster_Master!$H$4:$H$18,MATCH($F424,[1]Cluster_Master!$B$4:$B$18,0)),"")</f>
        <v/>
      </c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60" t="str">
        <f>IF(COUNTA(T424:AH424)=0,"",SUM(T424:AH424))</f>
        <v/>
      </c>
      <c r="AJ424" s="61" t="str">
        <f>IF(COUNTA(T424:AH424)=0,"",AI424/75)</f>
        <v/>
      </c>
      <c r="AK424" s="61" t="str">
        <f>IF(COUNTA(T424:AH424)=0,"",(SUM(T424*[1]KPI_Weights!$B$4,U424*[1]KPI_Weights!$B$5,V424*[1]KPI_Weights!$B$6,W424*[1]KPI_Weights!$B$7,X424*[1]KPI_Weights!$B$8,Y424*[1]KPI_Weights!$B$9,Z424*[1]KPI_Weights!$B$10,AA424*[1]KPI_Weights!$B$11,AB424*[1]KPI_Weights!$B$12,AC424*[1]KPI_Weights!$B$13,AD424*[1]KPI_Weights!$B$14,AE424*[1]KPI_Weights!$B$15,AF424*[1]KPI_Weights!$B$16,AG424*[1]KPI_Weights!$B$17,AH424*[1]KPI_Weights!$B$18))/5)</f>
        <v/>
      </c>
      <c r="AL424" s="60" t="str">
        <f>IF(COUNTA(T424:AH424)=0,"",IF(OR(T424&lt;=1,W424&lt;=1,X424&lt;=1,Y424&lt;=1,AB424&lt;=1),"YES","NO"))</f>
        <v/>
      </c>
      <c r="AM424" s="60" t="str">
        <f>IF(AJ424="","",IF(AND(AL424="NO",AJ424&gt;=0.75),"YES","NO"))</f>
        <v/>
      </c>
      <c r="AN424" s="60" t="str">
        <f>IF(AJ424="","",IF(AJ424&lt;0.4,"Critical",IF(AJ424&lt;0.6,"Poor",IF(AJ424&lt;0.75,"Needs Improvement",IF(AJ424&lt;0.9,"Good","Excellent")))))</f>
        <v/>
      </c>
      <c r="AO424" s="59"/>
      <c r="AP424" s="59"/>
      <c r="AQ424" s="59"/>
      <c r="AR424" s="59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</row>
    <row r="425" spans="1:54" ht="19.5" customHeight="1" x14ac:dyDescent="0.25">
      <c r="A425" s="60" t="str">
        <f>IF($B425="","",TEXT($B425,"yyyymmdd")&amp;"-"&amp;SUBSTITUTE($F425," ","")&amp;"-"&amp;TEXT(COUNTIF($F$4:F425,$F425),"00"))</f>
        <v/>
      </c>
      <c r="B425" s="65"/>
      <c r="C425" s="60" t="str">
        <f>IF($B425="","",WEEKNUM($B425,2))</f>
        <v/>
      </c>
      <c r="D425" s="60" t="str">
        <f>IF($B425="","",TEXT($B425,"yyyy-mm"))</f>
        <v/>
      </c>
      <c r="E425" s="64"/>
      <c r="F425" s="64"/>
      <c r="G425" s="60" t="str">
        <f>IF(OR($E425="",$F425=""),"",IFERROR(IF($E425=INDEX([1]Cluster_Master!$A$4:$A$18,MATCH($F425,[1]Cluster_Master!$B$4:$B$18,0)),"OK","CHECK"),"CHECK"))</f>
        <v/>
      </c>
      <c r="H425" s="63" t="str">
        <f>IFERROR(INDEX([1]Cluster_Master!$C$4:$C$18,MATCH($F425,[1]Cluster_Master!$B$4:$B$18,0)),"")</f>
        <v/>
      </c>
      <c r="I425" s="60" t="str">
        <f>IFERROR(INDEX([1]Cluster_Master!$D$4:$D$18,MATCH($F425,[1]Cluster_Master!$B$4:$B$18,0)),"")</f>
        <v/>
      </c>
      <c r="J425" s="60" t="str">
        <f>IFERROR(INDEX([1]Cluster_Master!$E$4:$E$18,MATCH($F425,[1]Cluster_Master!$B$4:$B$18,0)),"")</f>
        <v/>
      </c>
      <c r="K425" s="60" t="str">
        <f>IFERROR(INDEX([1]Cluster_Master!$F$4:$F$18,MATCH($F425,[1]Cluster_Master!$B$4:$B$18,0)),"")</f>
        <v/>
      </c>
      <c r="L425" s="60" t="str">
        <f>IFERROR(INDEX([1]Cluster_Master!$G$4:$G$18,MATCH($F425,[1]Cluster_Master!$B$4:$B$18,0)),"")</f>
        <v/>
      </c>
      <c r="M425" s="60" t="str">
        <f>IFERROR(INDEX([1]Cluster_Master!$H$4:$H$18,MATCH($F425,[1]Cluster_Master!$B$4:$B$18,0)),"")</f>
        <v/>
      </c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60" t="str">
        <f>IF(COUNTA(T425:AH425)=0,"",SUM(T425:AH425))</f>
        <v/>
      </c>
      <c r="AJ425" s="61" t="str">
        <f>IF(COUNTA(T425:AH425)=0,"",AI425/75)</f>
        <v/>
      </c>
      <c r="AK425" s="61" t="str">
        <f>IF(COUNTA(T425:AH425)=0,"",(SUM(T425*[1]KPI_Weights!$B$4,U425*[1]KPI_Weights!$B$5,V425*[1]KPI_Weights!$B$6,W425*[1]KPI_Weights!$B$7,X425*[1]KPI_Weights!$B$8,Y425*[1]KPI_Weights!$B$9,Z425*[1]KPI_Weights!$B$10,AA425*[1]KPI_Weights!$B$11,AB425*[1]KPI_Weights!$B$12,AC425*[1]KPI_Weights!$B$13,AD425*[1]KPI_Weights!$B$14,AE425*[1]KPI_Weights!$B$15,AF425*[1]KPI_Weights!$B$16,AG425*[1]KPI_Weights!$B$17,AH425*[1]KPI_Weights!$B$18))/5)</f>
        <v/>
      </c>
      <c r="AL425" s="60" t="str">
        <f>IF(COUNTA(T425:AH425)=0,"",IF(OR(T425&lt;=1,W425&lt;=1,X425&lt;=1,Y425&lt;=1,AB425&lt;=1),"YES","NO"))</f>
        <v/>
      </c>
      <c r="AM425" s="60" t="str">
        <f>IF(AJ425="","",IF(AND(AL425="NO",AJ425&gt;=0.75),"YES","NO"))</f>
        <v/>
      </c>
      <c r="AN425" s="60" t="str">
        <f>IF(AJ425="","",IF(AJ425&lt;0.4,"Critical",IF(AJ425&lt;0.6,"Poor",IF(AJ425&lt;0.75,"Needs Improvement",IF(AJ425&lt;0.9,"Good","Excellent")))))</f>
        <v/>
      </c>
      <c r="AO425" s="59"/>
      <c r="AP425" s="59"/>
      <c r="AQ425" s="59"/>
      <c r="AR425" s="59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</row>
    <row r="426" spans="1:54" ht="19.5" customHeight="1" x14ac:dyDescent="0.25">
      <c r="A426" s="60" t="str">
        <f>IF($B426="","",TEXT($B426,"yyyymmdd")&amp;"-"&amp;SUBSTITUTE($F426," ","")&amp;"-"&amp;TEXT(COUNTIF($F$4:F426,$F426),"00"))</f>
        <v/>
      </c>
      <c r="B426" s="65"/>
      <c r="C426" s="60" t="str">
        <f>IF($B426="","",WEEKNUM($B426,2))</f>
        <v/>
      </c>
      <c r="D426" s="60" t="str">
        <f>IF($B426="","",TEXT($B426,"yyyy-mm"))</f>
        <v/>
      </c>
      <c r="E426" s="64"/>
      <c r="F426" s="64"/>
      <c r="G426" s="60" t="str">
        <f>IF(OR($E426="",$F426=""),"",IFERROR(IF($E426=INDEX([1]Cluster_Master!$A$4:$A$18,MATCH($F426,[1]Cluster_Master!$B$4:$B$18,0)),"OK","CHECK"),"CHECK"))</f>
        <v/>
      </c>
      <c r="H426" s="63" t="str">
        <f>IFERROR(INDEX([1]Cluster_Master!$C$4:$C$18,MATCH($F426,[1]Cluster_Master!$B$4:$B$18,0)),"")</f>
        <v/>
      </c>
      <c r="I426" s="60" t="str">
        <f>IFERROR(INDEX([1]Cluster_Master!$D$4:$D$18,MATCH($F426,[1]Cluster_Master!$B$4:$B$18,0)),"")</f>
        <v/>
      </c>
      <c r="J426" s="60" t="str">
        <f>IFERROR(INDEX([1]Cluster_Master!$E$4:$E$18,MATCH($F426,[1]Cluster_Master!$B$4:$B$18,0)),"")</f>
        <v/>
      </c>
      <c r="K426" s="60" t="str">
        <f>IFERROR(INDEX([1]Cluster_Master!$F$4:$F$18,MATCH($F426,[1]Cluster_Master!$B$4:$B$18,0)),"")</f>
        <v/>
      </c>
      <c r="L426" s="60" t="str">
        <f>IFERROR(INDEX([1]Cluster_Master!$G$4:$G$18,MATCH($F426,[1]Cluster_Master!$B$4:$B$18,0)),"")</f>
        <v/>
      </c>
      <c r="M426" s="60" t="str">
        <f>IFERROR(INDEX([1]Cluster_Master!$H$4:$H$18,MATCH($F426,[1]Cluster_Master!$B$4:$B$18,0)),"")</f>
        <v/>
      </c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60" t="str">
        <f>IF(COUNTA(T426:AH426)=0,"",SUM(T426:AH426))</f>
        <v/>
      </c>
      <c r="AJ426" s="61" t="str">
        <f>IF(COUNTA(T426:AH426)=0,"",AI426/75)</f>
        <v/>
      </c>
      <c r="AK426" s="61" t="str">
        <f>IF(COUNTA(T426:AH426)=0,"",(SUM(T426*[1]KPI_Weights!$B$4,U426*[1]KPI_Weights!$B$5,V426*[1]KPI_Weights!$B$6,W426*[1]KPI_Weights!$B$7,X426*[1]KPI_Weights!$B$8,Y426*[1]KPI_Weights!$B$9,Z426*[1]KPI_Weights!$B$10,AA426*[1]KPI_Weights!$B$11,AB426*[1]KPI_Weights!$B$12,AC426*[1]KPI_Weights!$B$13,AD426*[1]KPI_Weights!$B$14,AE426*[1]KPI_Weights!$B$15,AF426*[1]KPI_Weights!$B$16,AG426*[1]KPI_Weights!$B$17,AH426*[1]KPI_Weights!$B$18))/5)</f>
        <v/>
      </c>
      <c r="AL426" s="60" t="str">
        <f>IF(COUNTA(T426:AH426)=0,"",IF(OR(T426&lt;=1,W426&lt;=1,X426&lt;=1,Y426&lt;=1,AB426&lt;=1),"YES","NO"))</f>
        <v/>
      </c>
      <c r="AM426" s="60" t="str">
        <f>IF(AJ426="","",IF(AND(AL426="NO",AJ426&gt;=0.75),"YES","NO"))</f>
        <v/>
      </c>
      <c r="AN426" s="60" t="str">
        <f>IF(AJ426="","",IF(AJ426&lt;0.4,"Critical",IF(AJ426&lt;0.6,"Poor",IF(AJ426&lt;0.75,"Needs Improvement",IF(AJ426&lt;0.9,"Good","Excellent")))))</f>
        <v/>
      </c>
      <c r="AO426" s="59"/>
      <c r="AP426" s="59"/>
      <c r="AQ426" s="59"/>
      <c r="AR426" s="59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</row>
    <row r="427" spans="1:54" ht="19.5" customHeight="1" x14ac:dyDescent="0.25">
      <c r="A427" s="60" t="str">
        <f>IF($B427="","",TEXT($B427,"yyyymmdd")&amp;"-"&amp;SUBSTITUTE($F427," ","")&amp;"-"&amp;TEXT(COUNTIF($F$4:F427,$F427),"00"))</f>
        <v/>
      </c>
      <c r="B427" s="65"/>
      <c r="C427" s="60" t="str">
        <f>IF($B427="","",WEEKNUM($B427,2))</f>
        <v/>
      </c>
      <c r="D427" s="60" t="str">
        <f>IF($B427="","",TEXT($B427,"yyyy-mm"))</f>
        <v/>
      </c>
      <c r="E427" s="64"/>
      <c r="F427" s="64"/>
      <c r="G427" s="60" t="str">
        <f>IF(OR($E427="",$F427=""),"",IFERROR(IF($E427=INDEX([1]Cluster_Master!$A$4:$A$18,MATCH($F427,[1]Cluster_Master!$B$4:$B$18,0)),"OK","CHECK"),"CHECK"))</f>
        <v/>
      </c>
      <c r="H427" s="63" t="str">
        <f>IFERROR(INDEX([1]Cluster_Master!$C$4:$C$18,MATCH($F427,[1]Cluster_Master!$B$4:$B$18,0)),"")</f>
        <v/>
      </c>
      <c r="I427" s="60" t="str">
        <f>IFERROR(INDEX([1]Cluster_Master!$D$4:$D$18,MATCH($F427,[1]Cluster_Master!$B$4:$B$18,0)),"")</f>
        <v/>
      </c>
      <c r="J427" s="60" t="str">
        <f>IFERROR(INDEX([1]Cluster_Master!$E$4:$E$18,MATCH($F427,[1]Cluster_Master!$B$4:$B$18,0)),"")</f>
        <v/>
      </c>
      <c r="K427" s="60" t="str">
        <f>IFERROR(INDEX([1]Cluster_Master!$F$4:$F$18,MATCH($F427,[1]Cluster_Master!$B$4:$B$18,0)),"")</f>
        <v/>
      </c>
      <c r="L427" s="60" t="str">
        <f>IFERROR(INDEX([1]Cluster_Master!$G$4:$G$18,MATCH($F427,[1]Cluster_Master!$B$4:$B$18,0)),"")</f>
        <v/>
      </c>
      <c r="M427" s="60" t="str">
        <f>IFERROR(INDEX([1]Cluster_Master!$H$4:$H$18,MATCH($F427,[1]Cluster_Master!$B$4:$B$18,0)),"")</f>
        <v/>
      </c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60" t="str">
        <f>IF(COUNTA(T427:AH427)=0,"",SUM(T427:AH427))</f>
        <v/>
      </c>
      <c r="AJ427" s="61" t="str">
        <f>IF(COUNTA(T427:AH427)=0,"",AI427/75)</f>
        <v/>
      </c>
      <c r="AK427" s="61" t="str">
        <f>IF(COUNTA(T427:AH427)=0,"",(SUM(T427*[1]KPI_Weights!$B$4,U427*[1]KPI_Weights!$B$5,V427*[1]KPI_Weights!$B$6,W427*[1]KPI_Weights!$B$7,X427*[1]KPI_Weights!$B$8,Y427*[1]KPI_Weights!$B$9,Z427*[1]KPI_Weights!$B$10,AA427*[1]KPI_Weights!$B$11,AB427*[1]KPI_Weights!$B$12,AC427*[1]KPI_Weights!$B$13,AD427*[1]KPI_Weights!$B$14,AE427*[1]KPI_Weights!$B$15,AF427*[1]KPI_Weights!$B$16,AG427*[1]KPI_Weights!$B$17,AH427*[1]KPI_Weights!$B$18))/5)</f>
        <v/>
      </c>
      <c r="AL427" s="60" t="str">
        <f>IF(COUNTA(T427:AH427)=0,"",IF(OR(T427&lt;=1,W427&lt;=1,X427&lt;=1,Y427&lt;=1,AB427&lt;=1),"YES","NO"))</f>
        <v/>
      </c>
      <c r="AM427" s="60" t="str">
        <f>IF(AJ427="","",IF(AND(AL427="NO",AJ427&gt;=0.75),"YES","NO"))</f>
        <v/>
      </c>
      <c r="AN427" s="60" t="str">
        <f>IF(AJ427="","",IF(AJ427&lt;0.4,"Critical",IF(AJ427&lt;0.6,"Poor",IF(AJ427&lt;0.75,"Needs Improvement",IF(AJ427&lt;0.9,"Good","Excellent")))))</f>
        <v/>
      </c>
      <c r="AO427" s="59"/>
      <c r="AP427" s="59"/>
      <c r="AQ427" s="59"/>
      <c r="AR427" s="59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</row>
    <row r="428" spans="1:54" ht="19.5" customHeight="1" x14ac:dyDescent="0.25">
      <c r="A428" s="60" t="str">
        <f>IF($B428="","",TEXT($B428,"yyyymmdd")&amp;"-"&amp;SUBSTITUTE($F428," ","")&amp;"-"&amp;TEXT(COUNTIF($F$4:F428,$F428),"00"))</f>
        <v/>
      </c>
      <c r="B428" s="65"/>
      <c r="C428" s="60" t="str">
        <f>IF($B428="","",WEEKNUM($B428,2))</f>
        <v/>
      </c>
      <c r="D428" s="60" t="str">
        <f>IF($B428="","",TEXT($B428,"yyyy-mm"))</f>
        <v/>
      </c>
      <c r="E428" s="64"/>
      <c r="F428" s="64"/>
      <c r="G428" s="60" t="str">
        <f>IF(OR($E428="",$F428=""),"",IFERROR(IF($E428=INDEX([1]Cluster_Master!$A$4:$A$18,MATCH($F428,[1]Cluster_Master!$B$4:$B$18,0)),"OK","CHECK"),"CHECK"))</f>
        <v/>
      </c>
      <c r="H428" s="63" t="str">
        <f>IFERROR(INDEX([1]Cluster_Master!$C$4:$C$18,MATCH($F428,[1]Cluster_Master!$B$4:$B$18,0)),"")</f>
        <v/>
      </c>
      <c r="I428" s="60" t="str">
        <f>IFERROR(INDEX([1]Cluster_Master!$D$4:$D$18,MATCH($F428,[1]Cluster_Master!$B$4:$B$18,0)),"")</f>
        <v/>
      </c>
      <c r="J428" s="60" t="str">
        <f>IFERROR(INDEX([1]Cluster_Master!$E$4:$E$18,MATCH($F428,[1]Cluster_Master!$B$4:$B$18,0)),"")</f>
        <v/>
      </c>
      <c r="K428" s="60" t="str">
        <f>IFERROR(INDEX([1]Cluster_Master!$F$4:$F$18,MATCH($F428,[1]Cluster_Master!$B$4:$B$18,0)),"")</f>
        <v/>
      </c>
      <c r="L428" s="60" t="str">
        <f>IFERROR(INDEX([1]Cluster_Master!$G$4:$G$18,MATCH($F428,[1]Cluster_Master!$B$4:$B$18,0)),"")</f>
        <v/>
      </c>
      <c r="M428" s="60" t="str">
        <f>IFERROR(INDEX([1]Cluster_Master!$H$4:$H$18,MATCH($F428,[1]Cluster_Master!$B$4:$B$18,0)),"")</f>
        <v/>
      </c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60" t="str">
        <f>IF(COUNTA(T428:AH428)=0,"",SUM(T428:AH428))</f>
        <v/>
      </c>
      <c r="AJ428" s="61" t="str">
        <f>IF(COUNTA(T428:AH428)=0,"",AI428/75)</f>
        <v/>
      </c>
      <c r="AK428" s="61" t="str">
        <f>IF(COUNTA(T428:AH428)=0,"",(SUM(T428*[1]KPI_Weights!$B$4,U428*[1]KPI_Weights!$B$5,V428*[1]KPI_Weights!$B$6,W428*[1]KPI_Weights!$B$7,X428*[1]KPI_Weights!$B$8,Y428*[1]KPI_Weights!$B$9,Z428*[1]KPI_Weights!$B$10,AA428*[1]KPI_Weights!$B$11,AB428*[1]KPI_Weights!$B$12,AC428*[1]KPI_Weights!$B$13,AD428*[1]KPI_Weights!$B$14,AE428*[1]KPI_Weights!$B$15,AF428*[1]KPI_Weights!$B$16,AG428*[1]KPI_Weights!$B$17,AH428*[1]KPI_Weights!$B$18))/5)</f>
        <v/>
      </c>
      <c r="AL428" s="60" t="str">
        <f>IF(COUNTA(T428:AH428)=0,"",IF(OR(T428&lt;=1,W428&lt;=1,X428&lt;=1,Y428&lt;=1,AB428&lt;=1),"YES","NO"))</f>
        <v/>
      </c>
      <c r="AM428" s="60" t="str">
        <f>IF(AJ428="","",IF(AND(AL428="NO",AJ428&gt;=0.75),"YES","NO"))</f>
        <v/>
      </c>
      <c r="AN428" s="60" t="str">
        <f>IF(AJ428="","",IF(AJ428&lt;0.4,"Critical",IF(AJ428&lt;0.6,"Poor",IF(AJ428&lt;0.75,"Needs Improvement",IF(AJ428&lt;0.9,"Good","Excellent")))))</f>
        <v/>
      </c>
      <c r="AO428" s="59"/>
      <c r="AP428" s="59"/>
      <c r="AQ428" s="59"/>
      <c r="AR428" s="59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</row>
    <row r="429" spans="1:54" ht="19.5" customHeight="1" x14ac:dyDescent="0.25">
      <c r="A429" s="60" t="str">
        <f>IF($B429="","",TEXT($B429,"yyyymmdd")&amp;"-"&amp;SUBSTITUTE($F429," ","")&amp;"-"&amp;TEXT(COUNTIF($F$4:F429,$F429),"00"))</f>
        <v/>
      </c>
      <c r="B429" s="65"/>
      <c r="C429" s="60" t="str">
        <f>IF($B429="","",WEEKNUM($B429,2))</f>
        <v/>
      </c>
      <c r="D429" s="60" t="str">
        <f>IF($B429="","",TEXT($B429,"yyyy-mm"))</f>
        <v/>
      </c>
      <c r="E429" s="64"/>
      <c r="F429" s="64"/>
      <c r="G429" s="60" t="str">
        <f>IF(OR($E429="",$F429=""),"",IFERROR(IF($E429=INDEX([1]Cluster_Master!$A$4:$A$18,MATCH($F429,[1]Cluster_Master!$B$4:$B$18,0)),"OK","CHECK"),"CHECK"))</f>
        <v/>
      </c>
      <c r="H429" s="63" t="str">
        <f>IFERROR(INDEX([1]Cluster_Master!$C$4:$C$18,MATCH($F429,[1]Cluster_Master!$B$4:$B$18,0)),"")</f>
        <v/>
      </c>
      <c r="I429" s="60" t="str">
        <f>IFERROR(INDEX([1]Cluster_Master!$D$4:$D$18,MATCH($F429,[1]Cluster_Master!$B$4:$B$18,0)),"")</f>
        <v/>
      </c>
      <c r="J429" s="60" t="str">
        <f>IFERROR(INDEX([1]Cluster_Master!$E$4:$E$18,MATCH($F429,[1]Cluster_Master!$B$4:$B$18,0)),"")</f>
        <v/>
      </c>
      <c r="K429" s="60" t="str">
        <f>IFERROR(INDEX([1]Cluster_Master!$F$4:$F$18,MATCH($F429,[1]Cluster_Master!$B$4:$B$18,0)),"")</f>
        <v/>
      </c>
      <c r="L429" s="60" t="str">
        <f>IFERROR(INDEX([1]Cluster_Master!$G$4:$G$18,MATCH($F429,[1]Cluster_Master!$B$4:$B$18,0)),"")</f>
        <v/>
      </c>
      <c r="M429" s="60" t="str">
        <f>IFERROR(INDEX([1]Cluster_Master!$H$4:$H$18,MATCH($F429,[1]Cluster_Master!$B$4:$B$18,0)),"")</f>
        <v/>
      </c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60" t="str">
        <f>IF(COUNTA(T429:AH429)=0,"",SUM(T429:AH429))</f>
        <v/>
      </c>
      <c r="AJ429" s="61" t="str">
        <f>IF(COUNTA(T429:AH429)=0,"",AI429/75)</f>
        <v/>
      </c>
      <c r="AK429" s="61" t="str">
        <f>IF(COUNTA(T429:AH429)=0,"",(SUM(T429*[1]KPI_Weights!$B$4,U429*[1]KPI_Weights!$B$5,V429*[1]KPI_Weights!$B$6,W429*[1]KPI_Weights!$B$7,X429*[1]KPI_Weights!$B$8,Y429*[1]KPI_Weights!$B$9,Z429*[1]KPI_Weights!$B$10,AA429*[1]KPI_Weights!$B$11,AB429*[1]KPI_Weights!$B$12,AC429*[1]KPI_Weights!$B$13,AD429*[1]KPI_Weights!$B$14,AE429*[1]KPI_Weights!$B$15,AF429*[1]KPI_Weights!$B$16,AG429*[1]KPI_Weights!$B$17,AH429*[1]KPI_Weights!$B$18))/5)</f>
        <v/>
      </c>
      <c r="AL429" s="60" t="str">
        <f>IF(COUNTA(T429:AH429)=0,"",IF(OR(T429&lt;=1,W429&lt;=1,X429&lt;=1,Y429&lt;=1,AB429&lt;=1),"YES","NO"))</f>
        <v/>
      </c>
      <c r="AM429" s="60" t="str">
        <f>IF(AJ429="","",IF(AND(AL429="NO",AJ429&gt;=0.75),"YES","NO"))</f>
        <v/>
      </c>
      <c r="AN429" s="60" t="str">
        <f>IF(AJ429="","",IF(AJ429&lt;0.4,"Critical",IF(AJ429&lt;0.6,"Poor",IF(AJ429&lt;0.75,"Needs Improvement",IF(AJ429&lt;0.9,"Good","Excellent")))))</f>
        <v/>
      </c>
      <c r="AO429" s="59"/>
      <c r="AP429" s="59"/>
      <c r="AQ429" s="59"/>
      <c r="AR429" s="59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</row>
    <row r="430" spans="1:54" ht="19.5" customHeight="1" x14ac:dyDescent="0.25">
      <c r="A430" s="60" t="str">
        <f>IF($B430="","",TEXT($B430,"yyyymmdd")&amp;"-"&amp;SUBSTITUTE($F430," ","")&amp;"-"&amp;TEXT(COUNTIF($F$4:F430,$F430),"00"))</f>
        <v/>
      </c>
      <c r="B430" s="65"/>
      <c r="C430" s="60" t="str">
        <f>IF($B430="","",WEEKNUM($B430,2))</f>
        <v/>
      </c>
      <c r="D430" s="60" t="str">
        <f>IF($B430="","",TEXT($B430,"yyyy-mm"))</f>
        <v/>
      </c>
      <c r="E430" s="64"/>
      <c r="F430" s="64"/>
      <c r="G430" s="60" t="str">
        <f>IF(OR($E430="",$F430=""),"",IFERROR(IF($E430=INDEX([1]Cluster_Master!$A$4:$A$18,MATCH($F430,[1]Cluster_Master!$B$4:$B$18,0)),"OK","CHECK"),"CHECK"))</f>
        <v/>
      </c>
      <c r="H430" s="63" t="str">
        <f>IFERROR(INDEX([1]Cluster_Master!$C$4:$C$18,MATCH($F430,[1]Cluster_Master!$B$4:$B$18,0)),"")</f>
        <v/>
      </c>
      <c r="I430" s="60" t="str">
        <f>IFERROR(INDEX([1]Cluster_Master!$D$4:$D$18,MATCH($F430,[1]Cluster_Master!$B$4:$B$18,0)),"")</f>
        <v/>
      </c>
      <c r="J430" s="60" t="str">
        <f>IFERROR(INDEX([1]Cluster_Master!$E$4:$E$18,MATCH($F430,[1]Cluster_Master!$B$4:$B$18,0)),"")</f>
        <v/>
      </c>
      <c r="K430" s="60" t="str">
        <f>IFERROR(INDEX([1]Cluster_Master!$F$4:$F$18,MATCH($F430,[1]Cluster_Master!$B$4:$B$18,0)),"")</f>
        <v/>
      </c>
      <c r="L430" s="60" t="str">
        <f>IFERROR(INDEX([1]Cluster_Master!$G$4:$G$18,MATCH($F430,[1]Cluster_Master!$B$4:$B$18,0)),"")</f>
        <v/>
      </c>
      <c r="M430" s="60" t="str">
        <f>IFERROR(INDEX([1]Cluster_Master!$H$4:$H$18,MATCH($F430,[1]Cluster_Master!$B$4:$B$18,0)),"")</f>
        <v/>
      </c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60" t="str">
        <f>IF(COUNTA(T430:AH430)=0,"",SUM(T430:AH430))</f>
        <v/>
      </c>
      <c r="AJ430" s="61" t="str">
        <f>IF(COUNTA(T430:AH430)=0,"",AI430/75)</f>
        <v/>
      </c>
      <c r="AK430" s="61" t="str">
        <f>IF(COUNTA(T430:AH430)=0,"",(SUM(T430*[1]KPI_Weights!$B$4,U430*[1]KPI_Weights!$B$5,V430*[1]KPI_Weights!$B$6,W430*[1]KPI_Weights!$B$7,X430*[1]KPI_Weights!$B$8,Y430*[1]KPI_Weights!$B$9,Z430*[1]KPI_Weights!$B$10,AA430*[1]KPI_Weights!$B$11,AB430*[1]KPI_Weights!$B$12,AC430*[1]KPI_Weights!$B$13,AD430*[1]KPI_Weights!$B$14,AE430*[1]KPI_Weights!$B$15,AF430*[1]KPI_Weights!$B$16,AG430*[1]KPI_Weights!$B$17,AH430*[1]KPI_Weights!$B$18))/5)</f>
        <v/>
      </c>
      <c r="AL430" s="60" t="str">
        <f>IF(COUNTA(T430:AH430)=0,"",IF(OR(T430&lt;=1,W430&lt;=1,X430&lt;=1,Y430&lt;=1,AB430&lt;=1),"YES","NO"))</f>
        <v/>
      </c>
      <c r="AM430" s="60" t="str">
        <f>IF(AJ430="","",IF(AND(AL430="NO",AJ430&gt;=0.75),"YES","NO"))</f>
        <v/>
      </c>
      <c r="AN430" s="60" t="str">
        <f>IF(AJ430="","",IF(AJ430&lt;0.4,"Critical",IF(AJ430&lt;0.6,"Poor",IF(AJ430&lt;0.75,"Needs Improvement",IF(AJ430&lt;0.9,"Good","Excellent")))))</f>
        <v/>
      </c>
      <c r="AO430" s="59"/>
      <c r="AP430" s="59"/>
      <c r="AQ430" s="59"/>
      <c r="AR430" s="59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</row>
    <row r="431" spans="1:54" ht="19.5" customHeight="1" x14ac:dyDescent="0.25">
      <c r="A431" s="60" t="str">
        <f>IF($B431="","",TEXT($B431,"yyyymmdd")&amp;"-"&amp;SUBSTITUTE($F431," ","")&amp;"-"&amp;TEXT(COUNTIF($F$4:F431,$F431),"00"))</f>
        <v/>
      </c>
      <c r="B431" s="65"/>
      <c r="C431" s="60" t="str">
        <f>IF($B431="","",WEEKNUM($B431,2))</f>
        <v/>
      </c>
      <c r="D431" s="60" t="str">
        <f>IF($B431="","",TEXT($B431,"yyyy-mm"))</f>
        <v/>
      </c>
      <c r="E431" s="64"/>
      <c r="F431" s="64"/>
      <c r="G431" s="60" t="str">
        <f>IF(OR($E431="",$F431=""),"",IFERROR(IF($E431=INDEX([1]Cluster_Master!$A$4:$A$18,MATCH($F431,[1]Cluster_Master!$B$4:$B$18,0)),"OK","CHECK"),"CHECK"))</f>
        <v/>
      </c>
      <c r="H431" s="63" t="str">
        <f>IFERROR(INDEX([1]Cluster_Master!$C$4:$C$18,MATCH($F431,[1]Cluster_Master!$B$4:$B$18,0)),"")</f>
        <v/>
      </c>
      <c r="I431" s="60" t="str">
        <f>IFERROR(INDEX([1]Cluster_Master!$D$4:$D$18,MATCH($F431,[1]Cluster_Master!$B$4:$B$18,0)),"")</f>
        <v/>
      </c>
      <c r="J431" s="60" t="str">
        <f>IFERROR(INDEX([1]Cluster_Master!$E$4:$E$18,MATCH($F431,[1]Cluster_Master!$B$4:$B$18,0)),"")</f>
        <v/>
      </c>
      <c r="K431" s="60" t="str">
        <f>IFERROR(INDEX([1]Cluster_Master!$F$4:$F$18,MATCH($F431,[1]Cluster_Master!$B$4:$B$18,0)),"")</f>
        <v/>
      </c>
      <c r="L431" s="60" t="str">
        <f>IFERROR(INDEX([1]Cluster_Master!$G$4:$G$18,MATCH($F431,[1]Cluster_Master!$B$4:$B$18,0)),"")</f>
        <v/>
      </c>
      <c r="M431" s="60" t="str">
        <f>IFERROR(INDEX([1]Cluster_Master!$H$4:$H$18,MATCH($F431,[1]Cluster_Master!$B$4:$B$18,0)),"")</f>
        <v/>
      </c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60" t="str">
        <f>IF(COUNTA(T431:AH431)=0,"",SUM(T431:AH431))</f>
        <v/>
      </c>
      <c r="AJ431" s="61" t="str">
        <f>IF(COUNTA(T431:AH431)=0,"",AI431/75)</f>
        <v/>
      </c>
      <c r="AK431" s="61" t="str">
        <f>IF(COUNTA(T431:AH431)=0,"",(SUM(T431*[1]KPI_Weights!$B$4,U431*[1]KPI_Weights!$B$5,V431*[1]KPI_Weights!$B$6,W431*[1]KPI_Weights!$B$7,X431*[1]KPI_Weights!$B$8,Y431*[1]KPI_Weights!$B$9,Z431*[1]KPI_Weights!$B$10,AA431*[1]KPI_Weights!$B$11,AB431*[1]KPI_Weights!$B$12,AC431*[1]KPI_Weights!$B$13,AD431*[1]KPI_Weights!$B$14,AE431*[1]KPI_Weights!$B$15,AF431*[1]KPI_Weights!$B$16,AG431*[1]KPI_Weights!$B$17,AH431*[1]KPI_Weights!$B$18))/5)</f>
        <v/>
      </c>
      <c r="AL431" s="60" t="str">
        <f>IF(COUNTA(T431:AH431)=0,"",IF(OR(T431&lt;=1,W431&lt;=1,X431&lt;=1,Y431&lt;=1,AB431&lt;=1),"YES","NO"))</f>
        <v/>
      </c>
      <c r="AM431" s="60" t="str">
        <f>IF(AJ431="","",IF(AND(AL431="NO",AJ431&gt;=0.75),"YES","NO"))</f>
        <v/>
      </c>
      <c r="AN431" s="60" t="str">
        <f>IF(AJ431="","",IF(AJ431&lt;0.4,"Critical",IF(AJ431&lt;0.6,"Poor",IF(AJ431&lt;0.75,"Needs Improvement",IF(AJ431&lt;0.9,"Good","Excellent")))))</f>
        <v/>
      </c>
      <c r="AO431" s="59"/>
      <c r="AP431" s="59"/>
      <c r="AQ431" s="59"/>
      <c r="AR431" s="59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</row>
    <row r="432" spans="1:54" ht="19.5" customHeight="1" x14ac:dyDescent="0.25">
      <c r="A432" s="60" t="str">
        <f>IF($B432="","",TEXT($B432,"yyyymmdd")&amp;"-"&amp;SUBSTITUTE($F432," ","")&amp;"-"&amp;TEXT(COUNTIF($F$4:F432,$F432),"00"))</f>
        <v/>
      </c>
      <c r="B432" s="65"/>
      <c r="C432" s="60" t="str">
        <f>IF($B432="","",WEEKNUM($B432,2))</f>
        <v/>
      </c>
      <c r="D432" s="60" t="str">
        <f>IF($B432="","",TEXT($B432,"yyyy-mm"))</f>
        <v/>
      </c>
      <c r="E432" s="64"/>
      <c r="F432" s="64"/>
      <c r="G432" s="60" t="str">
        <f>IF(OR($E432="",$F432=""),"",IFERROR(IF($E432=INDEX([1]Cluster_Master!$A$4:$A$18,MATCH($F432,[1]Cluster_Master!$B$4:$B$18,0)),"OK","CHECK"),"CHECK"))</f>
        <v/>
      </c>
      <c r="H432" s="63" t="str">
        <f>IFERROR(INDEX([1]Cluster_Master!$C$4:$C$18,MATCH($F432,[1]Cluster_Master!$B$4:$B$18,0)),"")</f>
        <v/>
      </c>
      <c r="I432" s="60" t="str">
        <f>IFERROR(INDEX([1]Cluster_Master!$D$4:$D$18,MATCH($F432,[1]Cluster_Master!$B$4:$B$18,0)),"")</f>
        <v/>
      </c>
      <c r="J432" s="60" t="str">
        <f>IFERROR(INDEX([1]Cluster_Master!$E$4:$E$18,MATCH($F432,[1]Cluster_Master!$B$4:$B$18,0)),"")</f>
        <v/>
      </c>
      <c r="K432" s="60" t="str">
        <f>IFERROR(INDEX([1]Cluster_Master!$F$4:$F$18,MATCH($F432,[1]Cluster_Master!$B$4:$B$18,0)),"")</f>
        <v/>
      </c>
      <c r="L432" s="60" t="str">
        <f>IFERROR(INDEX([1]Cluster_Master!$G$4:$G$18,MATCH($F432,[1]Cluster_Master!$B$4:$B$18,0)),"")</f>
        <v/>
      </c>
      <c r="M432" s="60" t="str">
        <f>IFERROR(INDEX([1]Cluster_Master!$H$4:$H$18,MATCH($F432,[1]Cluster_Master!$B$4:$B$18,0)),"")</f>
        <v/>
      </c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60" t="str">
        <f>IF(COUNTA(T432:AH432)=0,"",SUM(T432:AH432))</f>
        <v/>
      </c>
      <c r="AJ432" s="61" t="str">
        <f>IF(COUNTA(T432:AH432)=0,"",AI432/75)</f>
        <v/>
      </c>
      <c r="AK432" s="61" t="str">
        <f>IF(COUNTA(T432:AH432)=0,"",(SUM(T432*[1]KPI_Weights!$B$4,U432*[1]KPI_Weights!$B$5,V432*[1]KPI_Weights!$B$6,W432*[1]KPI_Weights!$B$7,X432*[1]KPI_Weights!$B$8,Y432*[1]KPI_Weights!$B$9,Z432*[1]KPI_Weights!$B$10,AA432*[1]KPI_Weights!$B$11,AB432*[1]KPI_Weights!$B$12,AC432*[1]KPI_Weights!$B$13,AD432*[1]KPI_Weights!$B$14,AE432*[1]KPI_Weights!$B$15,AF432*[1]KPI_Weights!$B$16,AG432*[1]KPI_Weights!$B$17,AH432*[1]KPI_Weights!$B$18))/5)</f>
        <v/>
      </c>
      <c r="AL432" s="60" t="str">
        <f>IF(COUNTA(T432:AH432)=0,"",IF(OR(T432&lt;=1,W432&lt;=1,X432&lt;=1,Y432&lt;=1,AB432&lt;=1),"YES","NO"))</f>
        <v/>
      </c>
      <c r="AM432" s="60" t="str">
        <f>IF(AJ432="","",IF(AND(AL432="NO",AJ432&gt;=0.75),"YES","NO"))</f>
        <v/>
      </c>
      <c r="AN432" s="60" t="str">
        <f>IF(AJ432="","",IF(AJ432&lt;0.4,"Critical",IF(AJ432&lt;0.6,"Poor",IF(AJ432&lt;0.75,"Needs Improvement",IF(AJ432&lt;0.9,"Good","Excellent")))))</f>
        <v/>
      </c>
      <c r="AO432" s="59"/>
      <c r="AP432" s="59"/>
      <c r="AQ432" s="59"/>
      <c r="AR432" s="59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</row>
    <row r="433" spans="1:54" ht="19.5" customHeight="1" x14ac:dyDescent="0.25">
      <c r="A433" s="60" t="str">
        <f>IF($B433="","",TEXT($B433,"yyyymmdd")&amp;"-"&amp;SUBSTITUTE($F433," ","")&amp;"-"&amp;TEXT(COUNTIF($F$4:F433,$F433),"00"))</f>
        <v/>
      </c>
      <c r="B433" s="65"/>
      <c r="C433" s="60" t="str">
        <f>IF($B433="","",WEEKNUM($B433,2))</f>
        <v/>
      </c>
      <c r="D433" s="60" t="str">
        <f>IF($B433="","",TEXT($B433,"yyyy-mm"))</f>
        <v/>
      </c>
      <c r="E433" s="64"/>
      <c r="F433" s="64"/>
      <c r="G433" s="60" t="str">
        <f>IF(OR($E433="",$F433=""),"",IFERROR(IF($E433=INDEX([1]Cluster_Master!$A$4:$A$18,MATCH($F433,[1]Cluster_Master!$B$4:$B$18,0)),"OK","CHECK"),"CHECK"))</f>
        <v/>
      </c>
      <c r="H433" s="63" t="str">
        <f>IFERROR(INDEX([1]Cluster_Master!$C$4:$C$18,MATCH($F433,[1]Cluster_Master!$B$4:$B$18,0)),"")</f>
        <v/>
      </c>
      <c r="I433" s="60" t="str">
        <f>IFERROR(INDEX([1]Cluster_Master!$D$4:$D$18,MATCH($F433,[1]Cluster_Master!$B$4:$B$18,0)),"")</f>
        <v/>
      </c>
      <c r="J433" s="60" t="str">
        <f>IFERROR(INDEX([1]Cluster_Master!$E$4:$E$18,MATCH($F433,[1]Cluster_Master!$B$4:$B$18,0)),"")</f>
        <v/>
      </c>
      <c r="K433" s="60" t="str">
        <f>IFERROR(INDEX([1]Cluster_Master!$F$4:$F$18,MATCH($F433,[1]Cluster_Master!$B$4:$B$18,0)),"")</f>
        <v/>
      </c>
      <c r="L433" s="60" t="str">
        <f>IFERROR(INDEX([1]Cluster_Master!$G$4:$G$18,MATCH($F433,[1]Cluster_Master!$B$4:$B$18,0)),"")</f>
        <v/>
      </c>
      <c r="M433" s="60" t="str">
        <f>IFERROR(INDEX([1]Cluster_Master!$H$4:$H$18,MATCH($F433,[1]Cluster_Master!$B$4:$B$18,0)),"")</f>
        <v/>
      </c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60" t="str">
        <f>IF(COUNTA(T433:AH433)=0,"",SUM(T433:AH433))</f>
        <v/>
      </c>
      <c r="AJ433" s="61" t="str">
        <f>IF(COUNTA(T433:AH433)=0,"",AI433/75)</f>
        <v/>
      </c>
      <c r="AK433" s="61" t="str">
        <f>IF(COUNTA(T433:AH433)=0,"",(SUM(T433*[1]KPI_Weights!$B$4,U433*[1]KPI_Weights!$B$5,V433*[1]KPI_Weights!$B$6,W433*[1]KPI_Weights!$B$7,X433*[1]KPI_Weights!$B$8,Y433*[1]KPI_Weights!$B$9,Z433*[1]KPI_Weights!$B$10,AA433*[1]KPI_Weights!$B$11,AB433*[1]KPI_Weights!$B$12,AC433*[1]KPI_Weights!$B$13,AD433*[1]KPI_Weights!$B$14,AE433*[1]KPI_Weights!$B$15,AF433*[1]KPI_Weights!$B$16,AG433*[1]KPI_Weights!$B$17,AH433*[1]KPI_Weights!$B$18))/5)</f>
        <v/>
      </c>
      <c r="AL433" s="60" t="str">
        <f>IF(COUNTA(T433:AH433)=0,"",IF(OR(T433&lt;=1,W433&lt;=1,X433&lt;=1,Y433&lt;=1,AB433&lt;=1),"YES","NO"))</f>
        <v/>
      </c>
      <c r="AM433" s="60" t="str">
        <f>IF(AJ433="","",IF(AND(AL433="NO",AJ433&gt;=0.75),"YES","NO"))</f>
        <v/>
      </c>
      <c r="AN433" s="60" t="str">
        <f>IF(AJ433="","",IF(AJ433&lt;0.4,"Critical",IF(AJ433&lt;0.6,"Poor",IF(AJ433&lt;0.75,"Needs Improvement",IF(AJ433&lt;0.9,"Good","Excellent")))))</f>
        <v/>
      </c>
      <c r="AO433" s="59"/>
      <c r="AP433" s="59"/>
      <c r="AQ433" s="59"/>
      <c r="AR433" s="59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</row>
    <row r="434" spans="1:54" ht="19.5" customHeight="1" x14ac:dyDescent="0.25">
      <c r="A434" s="60" t="str">
        <f>IF($B434="","",TEXT($B434,"yyyymmdd")&amp;"-"&amp;SUBSTITUTE($F434," ","")&amp;"-"&amp;TEXT(COUNTIF($F$4:F434,$F434),"00"))</f>
        <v/>
      </c>
      <c r="B434" s="65"/>
      <c r="C434" s="60" t="str">
        <f>IF($B434="","",WEEKNUM($B434,2))</f>
        <v/>
      </c>
      <c r="D434" s="60" t="str">
        <f>IF($B434="","",TEXT($B434,"yyyy-mm"))</f>
        <v/>
      </c>
      <c r="E434" s="64"/>
      <c r="F434" s="64"/>
      <c r="G434" s="60" t="str">
        <f>IF(OR($E434="",$F434=""),"",IFERROR(IF($E434=INDEX([1]Cluster_Master!$A$4:$A$18,MATCH($F434,[1]Cluster_Master!$B$4:$B$18,0)),"OK","CHECK"),"CHECK"))</f>
        <v/>
      </c>
      <c r="H434" s="63" t="str">
        <f>IFERROR(INDEX([1]Cluster_Master!$C$4:$C$18,MATCH($F434,[1]Cluster_Master!$B$4:$B$18,0)),"")</f>
        <v/>
      </c>
      <c r="I434" s="60" t="str">
        <f>IFERROR(INDEX([1]Cluster_Master!$D$4:$D$18,MATCH($F434,[1]Cluster_Master!$B$4:$B$18,0)),"")</f>
        <v/>
      </c>
      <c r="J434" s="60" t="str">
        <f>IFERROR(INDEX([1]Cluster_Master!$E$4:$E$18,MATCH($F434,[1]Cluster_Master!$B$4:$B$18,0)),"")</f>
        <v/>
      </c>
      <c r="K434" s="60" t="str">
        <f>IFERROR(INDEX([1]Cluster_Master!$F$4:$F$18,MATCH($F434,[1]Cluster_Master!$B$4:$B$18,0)),"")</f>
        <v/>
      </c>
      <c r="L434" s="60" t="str">
        <f>IFERROR(INDEX([1]Cluster_Master!$G$4:$G$18,MATCH($F434,[1]Cluster_Master!$B$4:$B$18,0)),"")</f>
        <v/>
      </c>
      <c r="M434" s="60" t="str">
        <f>IFERROR(INDEX([1]Cluster_Master!$H$4:$H$18,MATCH($F434,[1]Cluster_Master!$B$4:$B$18,0)),"")</f>
        <v/>
      </c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60" t="str">
        <f>IF(COUNTA(T434:AH434)=0,"",SUM(T434:AH434))</f>
        <v/>
      </c>
      <c r="AJ434" s="61" t="str">
        <f>IF(COUNTA(T434:AH434)=0,"",AI434/75)</f>
        <v/>
      </c>
      <c r="AK434" s="61" t="str">
        <f>IF(COUNTA(T434:AH434)=0,"",(SUM(T434*[1]KPI_Weights!$B$4,U434*[1]KPI_Weights!$B$5,V434*[1]KPI_Weights!$B$6,W434*[1]KPI_Weights!$B$7,X434*[1]KPI_Weights!$B$8,Y434*[1]KPI_Weights!$B$9,Z434*[1]KPI_Weights!$B$10,AA434*[1]KPI_Weights!$B$11,AB434*[1]KPI_Weights!$B$12,AC434*[1]KPI_Weights!$B$13,AD434*[1]KPI_Weights!$B$14,AE434*[1]KPI_Weights!$B$15,AF434*[1]KPI_Weights!$B$16,AG434*[1]KPI_Weights!$B$17,AH434*[1]KPI_Weights!$B$18))/5)</f>
        <v/>
      </c>
      <c r="AL434" s="60" t="str">
        <f>IF(COUNTA(T434:AH434)=0,"",IF(OR(T434&lt;=1,W434&lt;=1,X434&lt;=1,Y434&lt;=1,AB434&lt;=1),"YES","NO"))</f>
        <v/>
      </c>
      <c r="AM434" s="60" t="str">
        <f>IF(AJ434="","",IF(AND(AL434="NO",AJ434&gt;=0.75),"YES","NO"))</f>
        <v/>
      </c>
      <c r="AN434" s="60" t="str">
        <f>IF(AJ434="","",IF(AJ434&lt;0.4,"Critical",IF(AJ434&lt;0.6,"Poor",IF(AJ434&lt;0.75,"Needs Improvement",IF(AJ434&lt;0.9,"Good","Excellent")))))</f>
        <v/>
      </c>
      <c r="AO434" s="59"/>
      <c r="AP434" s="59"/>
      <c r="AQ434" s="59"/>
      <c r="AR434" s="59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</row>
    <row r="435" spans="1:54" ht="19.5" customHeight="1" x14ac:dyDescent="0.25">
      <c r="A435" s="60" t="str">
        <f>IF($B435="","",TEXT($B435,"yyyymmdd")&amp;"-"&amp;SUBSTITUTE($F435," ","")&amp;"-"&amp;TEXT(COUNTIF($F$4:F435,$F435),"00"))</f>
        <v/>
      </c>
      <c r="B435" s="65"/>
      <c r="C435" s="60" t="str">
        <f>IF($B435="","",WEEKNUM($B435,2))</f>
        <v/>
      </c>
      <c r="D435" s="60" t="str">
        <f>IF($B435="","",TEXT($B435,"yyyy-mm"))</f>
        <v/>
      </c>
      <c r="E435" s="64"/>
      <c r="F435" s="64"/>
      <c r="G435" s="60" t="str">
        <f>IF(OR($E435="",$F435=""),"",IFERROR(IF($E435=INDEX([1]Cluster_Master!$A$4:$A$18,MATCH($F435,[1]Cluster_Master!$B$4:$B$18,0)),"OK","CHECK"),"CHECK"))</f>
        <v/>
      </c>
      <c r="H435" s="63" t="str">
        <f>IFERROR(INDEX([1]Cluster_Master!$C$4:$C$18,MATCH($F435,[1]Cluster_Master!$B$4:$B$18,0)),"")</f>
        <v/>
      </c>
      <c r="I435" s="60" t="str">
        <f>IFERROR(INDEX([1]Cluster_Master!$D$4:$D$18,MATCH($F435,[1]Cluster_Master!$B$4:$B$18,0)),"")</f>
        <v/>
      </c>
      <c r="J435" s="60" t="str">
        <f>IFERROR(INDEX([1]Cluster_Master!$E$4:$E$18,MATCH($F435,[1]Cluster_Master!$B$4:$B$18,0)),"")</f>
        <v/>
      </c>
      <c r="K435" s="60" t="str">
        <f>IFERROR(INDEX([1]Cluster_Master!$F$4:$F$18,MATCH($F435,[1]Cluster_Master!$B$4:$B$18,0)),"")</f>
        <v/>
      </c>
      <c r="L435" s="60" t="str">
        <f>IFERROR(INDEX([1]Cluster_Master!$G$4:$G$18,MATCH($F435,[1]Cluster_Master!$B$4:$B$18,0)),"")</f>
        <v/>
      </c>
      <c r="M435" s="60" t="str">
        <f>IFERROR(INDEX([1]Cluster_Master!$H$4:$H$18,MATCH($F435,[1]Cluster_Master!$B$4:$B$18,0)),"")</f>
        <v/>
      </c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60" t="str">
        <f>IF(COUNTA(T435:AH435)=0,"",SUM(T435:AH435))</f>
        <v/>
      </c>
      <c r="AJ435" s="61" t="str">
        <f>IF(COUNTA(T435:AH435)=0,"",AI435/75)</f>
        <v/>
      </c>
      <c r="AK435" s="61" t="str">
        <f>IF(COUNTA(T435:AH435)=0,"",(SUM(T435*[1]KPI_Weights!$B$4,U435*[1]KPI_Weights!$B$5,V435*[1]KPI_Weights!$B$6,W435*[1]KPI_Weights!$B$7,X435*[1]KPI_Weights!$B$8,Y435*[1]KPI_Weights!$B$9,Z435*[1]KPI_Weights!$B$10,AA435*[1]KPI_Weights!$B$11,AB435*[1]KPI_Weights!$B$12,AC435*[1]KPI_Weights!$B$13,AD435*[1]KPI_Weights!$B$14,AE435*[1]KPI_Weights!$B$15,AF435*[1]KPI_Weights!$B$16,AG435*[1]KPI_Weights!$B$17,AH435*[1]KPI_Weights!$B$18))/5)</f>
        <v/>
      </c>
      <c r="AL435" s="60" t="str">
        <f>IF(COUNTA(T435:AH435)=0,"",IF(OR(T435&lt;=1,W435&lt;=1,X435&lt;=1,Y435&lt;=1,AB435&lt;=1),"YES","NO"))</f>
        <v/>
      </c>
      <c r="AM435" s="60" t="str">
        <f>IF(AJ435="","",IF(AND(AL435="NO",AJ435&gt;=0.75),"YES","NO"))</f>
        <v/>
      </c>
      <c r="AN435" s="60" t="str">
        <f>IF(AJ435="","",IF(AJ435&lt;0.4,"Critical",IF(AJ435&lt;0.6,"Poor",IF(AJ435&lt;0.75,"Needs Improvement",IF(AJ435&lt;0.9,"Good","Excellent")))))</f>
        <v/>
      </c>
      <c r="AO435" s="59"/>
      <c r="AP435" s="59"/>
      <c r="AQ435" s="59"/>
      <c r="AR435" s="59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</row>
    <row r="436" spans="1:54" ht="19.5" customHeight="1" x14ac:dyDescent="0.25">
      <c r="A436" s="60" t="str">
        <f>IF($B436="","",TEXT($B436,"yyyymmdd")&amp;"-"&amp;SUBSTITUTE($F436," ","")&amp;"-"&amp;TEXT(COUNTIF($F$4:F436,$F436),"00"))</f>
        <v/>
      </c>
      <c r="B436" s="65"/>
      <c r="C436" s="60" t="str">
        <f>IF($B436="","",WEEKNUM($B436,2))</f>
        <v/>
      </c>
      <c r="D436" s="60" t="str">
        <f>IF($B436="","",TEXT($B436,"yyyy-mm"))</f>
        <v/>
      </c>
      <c r="E436" s="64"/>
      <c r="F436" s="64"/>
      <c r="G436" s="60" t="str">
        <f>IF(OR($E436="",$F436=""),"",IFERROR(IF($E436=INDEX([1]Cluster_Master!$A$4:$A$18,MATCH($F436,[1]Cluster_Master!$B$4:$B$18,0)),"OK","CHECK"),"CHECK"))</f>
        <v/>
      </c>
      <c r="H436" s="63" t="str">
        <f>IFERROR(INDEX([1]Cluster_Master!$C$4:$C$18,MATCH($F436,[1]Cluster_Master!$B$4:$B$18,0)),"")</f>
        <v/>
      </c>
      <c r="I436" s="60" t="str">
        <f>IFERROR(INDEX([1]Cluster_Master!$D$4:$D$18,MATCH($F436,[1]Cluster_Master!$B$4:$B$18,0)),"")</f>
        <v/>
      </c>
      <c r="J436" s="60" t="str">
        <f>IFERROR(INDEX([1]Cluster_Master!$E$4:$E$18,MATCH($F436,[1]Cluster_Master!$B$4:$B$18,0)),"")</f>
        <v/>
      </c>
      <c r="K436" s="60" t="str">
        <f>IFERROR(INDEX([1]Cluster_Master!$F$4:$F$18,MATCH($F436,[1]Cluster_Master!$B$4:$B$18,0)),"")</f>
        <v/>
      </c>
      <c r="L436" s="60" t="str">
        <f>IFERROR(INDEX([1]Cluster_Master!$G$4:$G$18,MATCH($F436,[1]Cluster_Master!$B$4:$B$18,0)),"")</f>
        <v/>
      </c>
      <c r="M436" s="60" t="str">
        <f>IFERROR(INDEX([1]Cluster_Master!$H$4:$H$18,MATCH($F436,[1]Cluster_Master!$B$4:$B$18,0)),"")</f>
        <v/>
      </c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60" t="str">
        <f>IF(COUNTA(T436:AH436)=0,"",SUM(T436:AH436))</f>
        <v/>
      </c>
      <c r="AJ436" s="61" t="str">
        <f>IF(COUNTA(T436:AH436)=0,"",AI436/75)</f>
        <v/>
      </c>
      <c r="AK436" s="61" t="str">
        <f>IF(COUNTA(T436:AH436)=0,"",(SUM(T436*[1]KPI_Weights!$B$4,U436*[1]KPI_Weights!$B$5,V436*[1]KPI_Weights!$B$6,W436*[1]KPI_Weights!$B$7,X436*[1]KPI_Weights!$B$8,Y436*[1]KPI_Weights!$B$9,Z436*[1]KPI_Weights!$B$10,AA436*[1]KPI_Weights!$B$11,AB436*[1]KPI_Weights!$B$12,AC436*[1]KPI_Weights!$B$13,AD436*[1]KPI_Weights!$B$14,AE436*[1]KPI_Weights!$B$15,AF436*[1]KPI_Weights!$B$16,AG436*[1]KPI_Weights!$B$17,AH436*[1]KPI_Weights!$B$18))/5)</f>
        <v/>
      </c>
      <c r="AL436" s="60" t="str">
        <f>IF(COUNTA(T436:AH436)=0,"",IF(OR(T436&lt;=1,W436&lt;=1,X436&lt;=1,Y436&lt;=1,AB436&lt;=1),"YES","NO"))</f>
        <v/>
      </c>
      <c r="AM436" s="60" t="str">
        <f>IF(AJ436="","",IF(AND(AL436="NO",AJ436&gt;=0.75),"YES","NO"))</f>
        <v/>
      </c>
      <c r="AN436" s="60" t="str">
        <f>IF(AJ436="","",IF(AJ436&lt;0.4,"Critical",IF(AJ436&lt;0.6,"Poor",IF(AJ436&lt;0.75,"Needs Improvement",IF(AJ436&lt;0.9,"Good","Excellent")))))</f>
        <v/>
      </c>
      <c r="AO436" s="59"/>
      <c r="AP436" s="59"/>
      <c r="AQ436" s="59"/>
      <c r="AR436" s="59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</row>
    <row r="437" spans="1:54" ht="19.5" customHeight="1" x14ac:dyDescent="0.25">
      <c r="A437" s="60" t="str">
        <f>IF($B437="","",TEXT($B437,"yyyymmdd")&amp;"-"&amp;SUBSTITUTE($F437," ","")&amp;"-"&amp;TEXT(COUNTIF($F$4:F437,$F437),"00"))</f>
        <v/>
      </c>
      <c r="B437" s="65"/>
      <c r="C437" s="60" t="str">
        <f>IF($B437="","",WEEKNUM($B437,2))</f>
        <v/>
      </c>
      <c r="D437" s="60" t="str">
        <f>IF($B437="","",TEXT($B437,"yyyy-mm"))</f>
        <v/>
      </c>
      <c r="E437" s="64"/>
      <c r="F437" s="64"/>
      <c r="G437" s="60" t="str">
        <f>IF(OR($E437="",$F437=""),"",IFERROR(IF($E437=INDEX([1]Cluster_Master!$A$4:$A$18,MATCH($F437,[1]Cluster_Master!$B$4:$B$18,0)),"OK","CHECK"),"CHECK"))</f>
        <v/>
      </c>
      <c r="H437" s="63" t="str">
        <f>IFERROR(INDEX([1]Cluster_Master!$C$4:$C$18,MATCH($F437,[1]Cluster_Master!$B$4:$B$18,0)),"")</f>
        <v/>
      </c>
      <c r="I437" s="60" t="str">
        <f>IFERROR(INDEX([1]Cluster_Master!$D$4:$D$18,MATCH($F437,[1]Cluster_Master!$B$4:$B$18,0)),"")</f>
        <v/>
      </c>
      <c r="J437" s="60" t="str">
        <f>IFERROR(INDEX([1]Cluster_Master!$E$4:$E$18,MATCH($F437,[1]Cluster_Master!$B$4:$B$18,0)),"")</f>
        <v/>
      </c>
      <c r="K437" s="60" t="str">
        <f>IFERROR(INDEX([1]Cluster_Master!$F$4:$F$18,MATCH($F437,[1]Cluster_Master!$B$4:$B$18,0)),"")</f>
        <v/>
      </c>
      <c r="L437" s="60" t="str">
        <f>IFERROR(INDEX([1]Cluster_Master!$G$4:$G$18,MATCH($F437,[1]Cluster_Master!$B$4:$B$18,0)),"")</f>
        <v/>
      </c>
      <c r="M437" s="60" t="str">
        <f>IFERROR(INDEX([1]Cluster_Master!$H$4:$H$18,MATCH($F437,[1]Cluster_Master!$B$4:$B$18,0)),"")</f>
        <v/>
      </c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60" t="str">
        <f>IF(COUNTA(T437:AH437)=0,"",SUM(T437:AH437))</f>
        <v/>
      </c>
      <c r="AJ437" s="61" t="str">
        <f>IF(COUNTA(T437:AH437)=0,"",AI437/75)</f>
        <v/>
      </c>
      <c r="AK437" s="61" t="str">
        <f>IF(COUNTA(T437:AH437)=0,"",(SUM(T437*[1]KPI_Weights!$B$4,U437*[1]KPI_Weights!$B$5,V437*[1]KPI_Weights!$B$6,W437*[1]KPI_Weights!$B$7,X437*[1]KPI_Weights!$B$8,Y437*[1]KPI_Weights!$B$9,Z437*[1]KPI_Weights!$B$10,AA437*[1]KPI_Weights!$B$11,AB437*[1]KPI_Weights!$B$12,AC437*[1]KPI_Weights!$B$13,AD437*[1]KPI_Weights!$B$14,AE437*[1]KPI_Weights!$B$15,AF437*[1]KPI_Weights!$B$16,AG437*[1]KPI_Weights!$B$17,AH437*[1]KPI_Weights!$B$18))/5)</f>
        <v/>
      </c>
      <c r="AL437" s="60" t="str">
        <f>IF(COUNTA(T437:AH437)=0,"",IF(OR(T437&lt;=1,W437&lt;=1,X437&lt;=1,Y437&lt;=1,AB437&lt;=1),"YES","NO"))</f>
        <v/>
      </c>
      <c r="AM437" s="60" t="str">
        <f>IF(AJ437="","",IF(AND(AL437="NO",AJ437&gt;=0.75),"YES","NO"))</f>
        <v/>
      </c>
      <c r="AN437" s="60" t="str">
        <f>IF(AJ437="","",IF(AJ437&lt;0.4,"Critical",IF(AJ437&lt;0.6,"Poor",IF(AJ437&lt;0.75,"Needs Improvement",IF(AJ437&lt;0.9,"Good","Excellent")))))</f>
        <v/>
      </c>
      <c r="AO437" s="59"/>
      <c r="AP437" s="59"/>
      <c r="AQ437" s="59"/>
      <c r="AR437" s="59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</row>
    <row r="438" spans="1:54" ht="19.5" customHeight="1" x14ac:dyDescent="0.25">
      <c r="A438" s="60" t="str">
        <f>IF($B438="","",TEXT($B438,"yyyymmdd")&amp;"-"&amp;SUBSTITUTE($F438," ","")&amp;"-"&amp;TEXT(COUNTIF($F$4:F438,$F438),"00"))</f>
        <v/>
      </c>
      <c r="B438" s="65"/>
      <c r="C438" s="60" t="str">
        <f>IF($B438="","",WEEKNUM($B438,2))</f>
        <v/>
      </c>
      <c r="D438" s="60" t="str">
        <f>IF($B438="","",TEXT($B438,"yyyy-mm"))</f>
        <v/>
      </c>
      <c r="E438" s="64"/>
      <c r="F438" s="64"/>
      <c r="G438" s="60" t="str">
        <f>IF(OR($E438="",$F438=""),"",IFERROR(IF($E438=INDEX([1]Cluster_Master!$A$4:$A$18,MATCH($F438,[1]Cluster_Master!$B$4:$B$18,0)),"OK","CHECK"),"CHECK"))</f>
        <v/>
      </c>
      <c r="H438" s="63" t="str">
        <f>IFERROR(INDEX([1]Cluster_Master!$C$4:$C$18,MATCH($F438,[1]Cluster_Master!$B$4:$B$18,0)),"")</f>
        <v/>
      </c>
      <c r="I438" s="60" t="str">
        <f>IFERROR(INDEX([1]Cluster_Master!$D$4:$D$18,MATCH($F438,[1]Cluster_Master!$B$4:$B$18,0)),"")</f>
        <v/>
      </c>
      <c r="J438" s="60" t="str">
        <f>IFERROR(INDEX([1]Cluster_Master!$E$4:$E$18,MATCH($F438,[1]Cluster_Master!$B$4:$B$18,0)),"")</f>
        <v/>
      </c>
      <c r="K438" s="60" t="str">
        <f>IFERROR(INDEX([1]Cluster_Master!$F$4:$F$18,MATCH($F438,[1]Cluster_Master!$B$4:$B$18,0)),"")</f>
        <v/>
      </c>
      <c r="L438" s="60" t="str">
        <f>IFERROR(INDEX([1]Cluster_Master!$G$4:$G$18,MATCH($F438,[1]Cluster_Master!$B$4:$B$18,0)),"")</f>
        <v/>
      </c>
      <c r="M438" s="60" t="str">
        <f>IFERROR(INDEX([1]Cluster_Master!$H$4:$H$18,MATCH($F438,[1]Cluster_Master!$B$4:$B$18,0)),"")</f>
        <v/>
      </c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60" t="str">
        <f>IF(COUNTA(T438:AH438)=0,"",SUM(T438:AH438))</f>
        <v/>
      </c>
      <c r="AJ438" s="61" t="str">
        <f>IF(COUNTA(T438:AH438)=0,"",AI438/75)</f>
        <v/>
      </c>
      <c r="AK438" s="61" t="str">
        <f>IF(COUNTA(T438:AH438)=0,"",(SUM(T438*[1]KPI_Weights!$B$4,U438*[1]KPI_Weights!$B$5,V438*[1]KPI_Weights!$B$6,W438*[1]KPI_Weights!$B$7,X438*[1]KPI_Weights!$B$8,Y438*[1]KPI_Weights!$B$9,Z438*[1]KPI_Weights!$B$10,AA438*[1]KPI_Weights!$B$11,AB438*[1]KPI_Weights!$B$12,AC438*[1]KPI_Weights!$B$13,AD438*[1]KPI_Weights!$B$14,AE438*[1]KPI_Weights!$B$15,AF438*[1]KPI_Weights!$B$16,AG438*[1]KPI_Weights!$B$17,AH438*[1]KPI_Weights!$B$18))/5)</f>
        <v/>
      </c>
      <c r="AL438" s="60" t="str">
        <f>IF(COUNTA(T438:AH438)=0,"",IF(OR(T438&lt;=1,W438&lt;=1,X438&lt;=1,Y438&lt;=1,AB438&lt;=1),"YES","NO"))</f>
        <v/>
      </c>
      <c r="AM438" s="60" t="str">
        <f>IF(AJ438="","",IF(AND(AL438="NO",AJ438&gt;=0.75),"YES","NO"))</f>
        <v/>
      </c>
      <c r="AN438" s="60" t="str">
        <f>IF(AJ438="","",IF(AJ438&lt;0.4,"Critical",IF(AJ438&lt;0.6,"Poor",IF(AJ438&lt;0.75,"Needs Improvement",IF(AJ438&lt;0.9,"Good","Excellent")))))</f>
        <v/>
      </c>
      <c r="AO438" s="59"/>
      <c r="AP438" s="59"/>
      <c r="AQ438" s="59"/>
      <c r="AR438" s="59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</row>
    <row r="439" spans="1:54" ht="19.5" customHeight="1" x14ac:dyDescent="0.25">
      <c r="A439" s="60" t="str">
        <f>IF($B439="","",TEXT($B439,"yyyymmdd")&amp;"-"&amp;SUBSTITUTE($F439," ","")&amp;"-"&amp;TEXT(COUNTIF($F$4:F439,$F439),"00"))</f>
        <v/>
      </c>
      <c r="B439" s="65"/>
      <c r="C439" s="60" t="str">
        <f>IF($B439="","",WEEKNUM($B439,2))</f>
        <v/>
      </c>
      <c r="D439" s="60" t="str">
        <f>IF($B439="","",TEXT($B439,"yyyy-mm"))</f>
        <v/>
      </c>
      <c r="E439" s="64"/>
      <c r="F439" s="64"/>
      <c r="G439" s="60" t="str">
        <f>IF(OR($E439="",$F439=""),"",IFERROR(IF($E439=INDEX([1]Cluster_Master!$A$4:$A$18,MATCH($F439,[1]Cluster_Master!$B$4:$B$18,0)),"OK","CHECK"),"CHECK"))</f>
        <v/>
      </c>
      <c r="H439" s="63" t="str">
        <f>IFERROR(INDEX([1]Cluster_Master!$C$4:$C$18,MATCH($F439,[1]Cluster_Master!$B$4:$B$18,0)),"")</f>
        <v/>
      </c>
      <c r="I439" s="60" t="str">
        <f>IFERROR(INDEX([1]Cluster_Master!$D$4:$D$18,MATCH($F439,[1]Cluster_Master!$B$4:$B$18,0)),"")</f>
        <v/>
      </c>
      <c r="J439" s="60" t="str">
        <f>IFERROR(INDEX([1]Cluster_Master!$E$4:$E$18,MATCH($F439,[1]Cluster_Master!$B$4:$B$18,0)),"")</f>
        <v/>
      </c>
      <c r="K439" s="60" t="str">
        <f>IFERROR(INDEX([1]Cluster_Master!$F$4:$F$18,MATCH($F439,[1]Cluster_Master!$B$4:$B$18,0)),"")</f>
        <v/>
      </c>
      <c r="L439" s="60" t="str">
        <f>IFERROR(INDEX([1]Cluster_Master!$G$4:$G$18,MATCH($F439,[1]Cluster_Master!$B$4:$B$18,0)),"")</f>
        <v/>
      </c>
      <c r="M439" s="60" t="str">
        <f>IFERROR(INDEX([1]Cluster_Master!$H$4:$H$18,MATCH($F439,[1]Cluster_Master!$B$4:$B$18,0)),"")</f>
        <v/>
      </c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60" t="str">
        <f>IF(COUNTA(T439:AH439)=0,"",SUM(T439:AH439))</f>
        <v/>
      </c>
      <c r="AJ439" s="61" t="str">
        <f>IF(COUNTA(T439:AH439)=0,"",AI439/75)</f>
        <v/>
      </c>
      <c r="AK439" s="61" t="str">
        <f>IF(COUNTA(T439:AH439)=0,"",(SUM(T439*[1]KPI_Weights!$B$4,U439*[1]KPI_Weights!$B$5,V439*[1]KPI_Weights!$B$6,W439*[1]KPI_Weights!$B$7,X439*[1]KPI_Weights!$B$8,Y439*[1]KPI_Weights!$B$9,Z439*[1]KPI_Weights!$B$10,AA439*[1]KPI_Weights!$B$11,AB439*[1]KPI_Weights!$B$12,AC439*[1]KPI_Weights!$B$13,AD439*[1]KPI_Weights!$B$14,AE439*[1]KPI_Weights!$B$15,AF439*[1]KPI_Weights!$B$16,AG439*[1]KPI_Weights!$B$17,AH439*[1]KPI_Weights!$B$18))/5)</f>
        <v/>
      </c>
      <c r="AL439" s="60" t="str">
        <f>IF(COUNTA(T439:AH439)=0,"",IF(OR(T439&lt;=1,W439&lt;=1,X439&lt;=1,Y439&lt;=1,AB439&lt;=1),"YES","NO"))</f>
        <v/>
      </c>
      <c r="AM439" s="60" t="str">
        <f>IF(AJ439="","",IF(AND(AL439="NO",AJ439&gt;=0.75),"YES","NO"))</f>
        <v/>
      </c>
      <c r="AN439" s="60" t="str">
        <f>IF(AJ439="","",IF(AJ439&lt;0.4,"Critical",IF(AJ439&lt;0.6,"Poor",IF(AJ439&lt;0.75,"Needs Improvement",IF(AJ439&lt;0.9,"Good","Excellent")))))</f>
        <v/>
      </c>
      <c r="AO439" s="59"/>
      <c r="AP439" s="59"/>
      <c r="AQ439" s="59"/>
      <c r="AR439" s="59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</row>
    <row r="440" spans="1:54" ht="19.5" customHeight="1" x14ac:dyDescent="0.25">
      <c r="A440" s="60" t="str">
        <f>IF($B440="","",TEXT($B440,"yyyymmdd")&amp;"-"&amp;SUBSTITUTE($F440," ","")&amp;"-"&amp;TEXT(COUNTIF($F$4:F440,$F440),"00"))</f>
        <v/>
      </c>
      <c r="B440" s="65"/>
      <c r="C440" s="60" t="str">
        <f>IF($B440="","",WEEKNUM($B440,2))</f>
        <v/>
      </c>
      <c r="D440" s="60" t="str">
        <f>IF($B440="","",TEXT($B440,"yyyy-mm"))</f>
        <v/>
      </c>
      <c r="E440" s="64"/>
      <c r="F440" s="64"/>
      <c r="G440" s="60" t="str">
        <f>IF(OR($E440="",$F440=""),"",IFERROR(IF($E440=INDEX([1]Cluster_Master!$A$4:$A$18,MATCH($F440,[1]Cluster_Master!$B$4:$B$18,0)),"OK","CHECK"),"CHECK"))</f>
        <v/>
      </c>
      <c r="H440" s="63" t="str">
        <f>IFERROR(INDEX([1]Cluster_Master!$C$4:$C$18,MATCH($F440,[1]Cluster_Master!$B$4:$B$18,0)),"")</f>
        <v/>
      </c>
      <c r="I440" s="60" t="str">
        <f>IFERROR(INDEX([1]Cluster_Master!$D$4:$D$18,MATCH($F440,[1]Cluster_Master!$B$4:$B$18,0)),"")</f>
        <v/>
      </c>
      <c r="J440" s="60" t="str">
        <f>IFERROR(INDEX([1]Cluster_Master!$E$4:$E$18,MATCH($F440,[1]Cluster_Master!$B$4:$B$18,0)),"")</f>
        <v/>
      </c>
      <c r="K440" s="60" t="str">
        <f>IFERROR(INDEX([1]Cluster_Master!$F$4:$F$18,MATCH($F440,[1]Cluster_Master!$B$4:$B$18,0)),"")</f>
        <v/>
      </c>
      <c r="L440" s="60" t="str">
        <f>IFERROR(INDEX([1]Cluster_Master!$G$4:$G$18,MATCH($F440,[1]Cluster_Master!$B$4:$B$18,0)),"")</f>
        <v/>
      </c>
      <c r="M440" s="60" t="str">
        <f>IFERROR(INDEX([1]Cluster_Master!$H$4:$H$18,MATCH($F440,[1]Cluster_Master!$B$4:$B$18,0)),"")</f>
        <v/>
      </c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60" t="str">
        <f>IF(COUNTA(T440:AH440)=0,"",SUM(T440:AH440))</f>
        <v/>
      </c>
      <c r="AJ440" s="61" t="str">
        <f>IF(COUNTA(T440:AH440)=0,"",AI440/75)</f>
        <v/>
      </c>
      <c r="AK440" s="61" t="str">
        <f>IF(COUNTA(T440:AH440)=0,"",(SUM(T440*[1]KPI_Weights!$B$4,U440*[1]KPI_Weights!$B$5,V440*[1]KPI_Weights!$B$6,W440*[1]KPI_Weights!$B$7,X440*[1]KPI_Weights!$B$8,Y440*[1]KPI_Weights!$B$9,Z440*[1]KPI_Weights!$B$10,AA440*[1]KPI_Weights!$B$11,AB440*[1]KPI_Weights!$B$12,AC440*[1]KPI_Weights!$B$13,AD440*[1]KPI_Weights!$B$14,AE440*[1]KPI_Weights!$B$15,AF440*[1]KPI_Weights!$B$16,AG440*[1]KPI_Weights!$B$17,AH440*[1]KPI_Weights!$B$18))/5)</f>
        <v/>
      </c>
      <c r="AL440" s="60" t="str">
        <f>IF(COUNTA(T440:AH440)=0,"",IF(OR(T440&lt;=1,W440&lt;=1,X440&lt;=1,Y440&lt;=1,AB440&lt;=1),"YES","NO"))</f>
        <v/>
      </c>
      <c r="AM440" s="60" t="str">
        <f>IF(AJ440="","",IF(AND(AL440="NO",AJ440&gt;=0.75),"YES","NO"))</f>
        <v/>
      </c>
      <c r="AN440" s="60" t="str">
        <f>IF(AJ440="","",IF(AJ440&lt;0.4,"Critical",IF(AJ440&lt;0.6,"Poor",IF(AJ440&lt;0.75,"Needs Improvement",IF(AJ440&lt;0.9,"Good","Excellent")))))</f>
        <v/>
      </c>
      <c r="AO440" s="59"/>
      <c r="AP440" s="59"/>
      <c r="AQ440" s="59"/>
      <c r="AR440" s="59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</row>
    <row r="441" spans="1:54" ht="19.5" customHeight="1" x14ac:dyDescent="0.25">
      <c r="A441" s="60" t="str">
        <f>IF($B441="","",TEXT($B441,"yyyymmdd")&amp;"-"&amp;SUBSTITUTE($F441," ","")&amp;"-"&amp;TEXT(COUNTIF($F$4:F441,$F441),"00"))</f>
        <v/>
      </c>
      <c r="B441" s="65"/>
      <c r="C441" s="60" t="str">
        <f>IF($B441="","",WEEKNUM($B441,2))</f>
        <v/>
      </c>
      <c r="D441" s="60" t="str">
        <f>IF($B441="","",TEXT($B441,"yyyy-mm"))</f>
        <v/>
      </c>
      <c r="E441" s="64"/>
      <c r="F441" s="64"/>
      <c r="G441" s="60" t="str">
        <f>IF(OR($E441="",$F441=""),"",IFERROR(IF($E441=INDEX([1]Cluster_Master!$A$4:$A$18,MATCH($F441,[1]Cluster_Master!$B$4:$B$18,0)),"OK","CHECK"),"CHECK"))</f>
        <v/>
      </c>
      <c r="H441" s="63" t="str">
        <f>IFERROR(INDEX([1]Cluster_Master!$C$4:$C$18,MATCH($F441,[1]Cluster_Master!$B$4:$B$18,0)),"")</f>
        <v/>
      </c>
      <c r="I441" s="60" t="str">
        <f>IFERROR(INDEX([1]Cluster_Master!$D$4:$D$18,MATCH($F441,[1]Cluster_Master!$B$4:$B$18,0)),"")</f>
        <v/>
      </c>
      <c r="J441" s="60" t="str">
        <f>IFERROR(INDEX([1]Cluster_Master!$E$4:$E$18,MATCH($F441,[1]Cluster_Master!$B$4:$B$18,0)),"")</f>
        <v/>
      </c>
      <c r="K441" s="60" t="str">
        <f>IFERROR(INDEX([1]Cluster_Master!$F$4:$F$18,MATCH($F441,[1]Cluster_Master!$B$4:$B$18,0)),"")</f>
        <v/>
      </c>
      <c r="L441" s="60" t="str">
        <f>IFERROR(INDEX([1]Cluster_Master!$G$4:$G$18,MATCH($F441,[1]Cluster_Master!$B$4:$B$18,0)),"")</f>
        <v/>
      </c>
      <c r="M441" s="60" t="str">
        <f>IFERROR(INDEX([1]Cluster_Master!$H$4:$H$18,MATCH($F441,[1]Cluster_Master!$B$4:$B$18,0)),"")</f>
        <v/>
      </c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60" t="str">
        <f>IF(COUNTA(T441:AH441)=0,"",SUM(T441:AH441))</f>
        <v/>
      </c>
      <c r="AJ441" s="61" t="str">
        <f>IF(COUNTA(T441:AH441)=0,"",AI441/75)</f>
        <v/>
      </c>
      <c r="AK441" s="61" t="str">
        <f>IF(COUNTA(T441:AH441)=0,"",(SUM(T441*[1]KPI_Weights!$B$4,U441*[1]KPI_Weights!$B$5,V441*[1]KPI_Weights!$B$6,W441*[1]KPI_Weights!$B$7,X441*[1]KPI_Weights!$B$8,Y441*[1]KPI_Weights!$B$9,Z441*[1]KPI_Weights!$B$10,AA441*[1]KPI_Weights!$B$11,AB441*[1]KPI_Weights!$B$12,AC441*[1]KPI_Weights!$B$13,AD441*[1]KPI_Weights!$B$14,AE441*[1]KPI_Weights!$B$15,AF441*[1]KPI_Weights!$B$16,AG441*[1]KPI_Weights!$B$17,AH441*[1]KPI_Weights!$B$18))/5)</f>
        <v/>
      </c>
      <c r="AL441" s="60" t="str">
        <f>IF(COUNTA(T441:AH441)=0,"",IF(OR(T441&lt;=1,W441&lt;=1,X441&lt;=1,Y441&lt;=1,AB441&lt;=1),"YES","NO"))</f>
        <v/>
      </c>
      <c r="AM441" s="60" t="str">
        <f>IF(AJ441="","",IF(AND(AL441="NO",AJ441&gt;=0.75),"YES","NO"))</f>
        <v/>
      </c>
      <c r="AN441" s="60" t="str">
        <f>IF(AJ441="","",IF(AJ441&lt;0.4,"Critical",IF(AJ441&lt;0.6,"Poor",IF(AJ441&lt;0.75,"Needs Improvement",IF(AJ441&lt;0.9,"Good","Excellent")))))</f>
        <v/>
      </c>
      <c r="AO441" s="59"/>
      <c r="AP441" s="59"/>
      <c r="AQ441" s="59"/>
      <c r="AR441" s="59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</row>
    <row r="442" spans="1:54" ht="19.5" customHeight="1" x14ac:dyDescent="0.25">
      <c r="A442" s="60" t="str">
        <f>IF($B442="","",TEXT($B442,"yyyymmdd")&amp;"-"&amp;SUBSTITUTE($F442," ","")&amp;"-"&amp;TEXT(COUNTIF($F$4:F442,$F442),"00"))</f>
        <v/>
      </c>
      <c r="B442" s="65"/>
      <c r="C442" s="60" t="str">
        <f>IF($B442="","",WEEKNUM($B442,2))</f>
        <v/>
      </c>
      <c r="D442" s="60" t="str">
        <f>IF($B442="","",TEXT($B442,"yyyy-mm"))</f>
        <v/>
      </c>
      <c r="E442" s="64"/>
      <c r="F442" s="64"/>
      <c r="G442" s="60" t="str">
        <f>IF(OR($E442="",$F442=""),"",IFERROR(IF($E442=INDEX([1]Cluster_Master!$A$4:$A$18,MATCH($F442,[1]Cluster_Master!$B$4:$B$18,0)),"OK","CHECK"),"CHECK"))</f>
        <v/>
      </c>
      <c r="H442" s="63" t="str">
        <f>IFERROR(INDEX([1]Cluster_Master!$C$4:$C$18,MATCH($F442,[1]Cluster_Master!$B$4:$B$18,0)),"")</f>
        <v/>
      </c>
      <c r="I442" s="60" t="str">
        <f>IFERROR(INDEX([1]Cluster_Master!$D$4:$D$18,MATCH($F442,[1]Cluster_Master!$B$4:$B$18,0)),"")</f>
        <v/>
      </c>
      <c r="J442" s="60" t="str">
        <f>IFERROR(INDEX([1]Cluster_Master!$E$4:$E$18,MATCH($F442,[1]Cluster_Master!$B$4:$B$18,0)),"")</f>
        <v/>
      </c>
      <c r="K442" s="60" t="str">
        <f>IFERROR(INDEX([1]Cluster_Master!$F$4:$F$18,MATCH($F442,[1]Cluster_Master!$B$4:$B$18,0)),"")</f>
        <v/>
      </c>
      <c r="L442" s="60" t="str">
        <f>IFERROR(INDEX([1]Cluster_Master!$G$4:$G$18,MATCH($F442,[1]Cluster_Master!$B$4:$B$18,0)),"")</f>
        <v/>
      </c>
      <c r="M442" s="60" t="str">
        <f>IFERROR(INDEX([1]Cluster_Master!$H$4:$H$18,MATCH($F442,[1]Cluster_Master!$B$4:$B$18,0)),"")</f>
        <v/>
      </c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60" t="str">
        <f>IF(COUNTA(T442:AH442)=0,"",SUM(T442:AH442))</f>
        <v/>
      </c>
      <c r="AJ442" s="61" t="str">
        <f>IF(COUNTA(T442:AH442)=0,"",AI442/75)</f>
        <v/>
      </c>
      <c r="AK442" s="61" t="str">
        <f>IF(COUNTA(T442:AH442)=0,"",(SUM(T442*[1]KPI_Weights!$B$4,U442*[1]KPI_Weights!$B$5,V442*[1]KPI_Weights!$B$6,W442*[1]KPI_Weights!$B$7,X442*[1]KPI_Weights!$B$8,Y442*[1]KPI_Weights!$B$9,Z442*[1]KPI_Weights!$B$10,AA442*[1]KPI_Weights!$B$11,AB442*[1]KPI_Weights!$B$12,AC442*[1]KPI_Weights!$B$13,AD442*[1]KPI_Weights!$B$14,AE442*[1]KPI_Weights!$B$15,AF442*[1]KPI_Weights!$B$16,AG442*[1]KPI_Weights!$B$17,AH442*[1]KPI_Weights!$B$18))/5)</f>
        <v/>
      </c>
      <c r="AL442" s="60" t="str">
        <f>IF(COUNTA(T442:AH442)=0,"",IF(OR(T442&lt;=1,W442&lt;=1,X442&lt;=1,Y442&lt;=1,AB442&lt;=1),"YES","NO"))</f>
        <v/>
      </c>
      <c r="AM442" s="60" t="str">
        <f>IF(AJ442="","",IF(AND(AL442="NO",AJ442&gt;=0.75),"YES","NO"))</f>
        <v/>
      </c>
      <c r="AN442" s="60" t="str">
        <f>IF(AJ442="","",IF(AJ442&lt;0.4,"Critical",IF(AJ442&lt;0.6,"Poor",IF(AJ442&lt;0.75,"Needs Improvement",IF(AJ442&lt;0.9,"Good","Excellent")))))</f>
        <v/>
      </c>
      <c r="AO442" s="59"/>
      <c r="AP442" s="59"/>
      <c r="AQ442" s="59"/>
      <c r="AR442" s="59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</row>
    <row r="443" spans="1:54" ht="19.5" customHeight="1" x14ac:dyDescent="0.25">
      <c r="A443" s="60" t="str">
        <f>IF($B443="","",TEXT($B443,"yyyymmdd")&amp;"-"&amp;SUBSTITUTE($F443," ","")&amp;"-"&amp;TEXT(COUNTIF($F$4:F443,$F443),"00"))</f>
        <v/>
      </c>
      <c r="B443" s="65"/>
      <c r="C443" s="60" t="str">
        <f>IF($B443="","",WEEKNUM($B443,2))</f>
        <v/>
      </c>
      <c r="D443" s="60" t="str">
        <f>IF($B443="","",TEXT($B443,"yyyy-mm"))</f>
        <v/>
      </c>
      <c r="E443" s="64"/>
      <c r="F443" s="64"/>
      <c r="G443" s="60" t="str">
        <f>IF(OR($E443="",$F443=""),"",IFERROR(IF($E443=INDEX([1]Cluster_Master!$A$4:$A$18,MATCH($F443,[1]Cluster_Master!$B$4:$B$18,0)),"OK","CHECK"),"CHECK"))</f>
        <v/>
      </c>
      <c r="H443" s="63" t="str">
        <f>IFERROR(INDEX([1]Cluster_Master!$C$4:$C$18,MATCH($F443,[1]Cluster_Master!$B$4:$B$18,0)),"")</f>
        <v/>
      </c>
      <c r="I443" s="60" t="str">
        <f>IFERROR(INDEX([1]Cluster_Master!$D$4:$D$18,MATCH($F443,[1]Cluster_Master!$B$4:$B$18,0)),"")</f>
        <v/>
      </c>
      <c r="J443" s="60" t="str">
        <f>IFERROR(INDEX([1]Cluster_Master!$E$4:$E$18,MATCH($F443,[1]Cluster_Master!$B$4:$B$18,0)),"")</f>
        <v/>
      </c>
      <c r="K443" s="60" t="str">
        <f>IFERROR(INDEX([1]Cluster_Master!$F$4:$F$18,MATCH($F443,[1]Cluster_Master!$B$4:$B$18,0)),"")</f>
        <v/>
      </c>
      <c r="L443" s="60" t="str">
        <f>IFERROR(INDEX([1]Cluster_Master!$G$4:$G$18,MATCH($F443,[1]Cluster_Master!$B$4:$B$18,0)),"")</f>
        <v/>
      </c>
      <c r="M443" s="60" t="str">
        <f>IFERROR(INDEX([1]Cluster_Master!$H$4:$H$18,MATCH($F443,[1]Cluster_Master!$B$4:$B$18,0)),"")</f>
        <v/>
      </c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60" t="str">
        <f>IF(COUNTA(T443:AH443)=0,"",SUM(T443:AH443))</f>
        <v/>
      </c>
      <c r="AJ443" s="61" t="str">
        <f>IF(COUNTA(T443:AH443)=0,"",AI443/75)</f>
        <v/>
      </c>
      <c r="AK443" s="61" t="str">
        <f>IF(COUNTA(T443:AH443)=0,"",(SUM(T443*[1]KPI_Weights!$B$4,U443*[1]KPI_Weights!$B$5,V443*[1]KPI_Weights!$B$6,W443*[1]KPI_Weights!$B$7,X443*[1]KPI_Weights!$B$8,Y443*[1]KPI_Weights!$B$9,Z443*[1]KPI_Weights!$B$10,AA443*[1]KPI_Weights!$B$11,AB443*[1]KPI_Weights!$B$12,AC443*[1]KPI_Weights!$B$13,AD443*[1]KPI_Weights!$B$14,AE443*[1]KPI_Weights!$B$15,AF443*[1]KPI_Weights!$B$16,AG443*[1]KPI_Weights!$B$17,AH443*[1]KPI_Weights!$B$18))/5)</f>
        <v/>
      </c>
      <c r="AL443" s="60" t="str">
        <f>IF(COUNTA(T443:AH443)=0,"",IF(OR(T443&lt;=1,W443&lt;=1,X443&lt;=1,Y443&lt;=1,AB443&lt;=1),"YES","NO"))</f>
        <v/>
      </c>
      <c r="AM443" s="60" t="str">
        <f>IF(AJ443="","",IF(AND(AL443="NO",AJ443&gt;=0.75),"YES","NO"))</f>
        <v/>
      </c>
      <c r="AN443" s="60" t="str">
        <f>IF(AJ443="","",IF(AJ443&lt;0.4,"Critical",IF(AJ443&lt;0.6,"Poor",IF(AJ443&lt;0.75,"Needs Improvement",IF(AJ443&lt;0.9,"Good","Excellent")))))</f>
        <v/>
      </c>
      <c r="AO443" s="59"/>
      <c r="AP443" s="59"/>
      <c r="AQ443" s="59"/>
      <c r="AR443" s="59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</row>
    <row r="444" spans="1:54" ht="19.5" customHeight="1" x14ac:dyDescent="0.25">
      <c r="A444" s="60" t="str">
        <f>IF($B444="","",TEXT($B444,"yyyymmdd")&amp;"-"&amp;SUBSTITUTE($F444," ","")&amp;"-"&amp;TEXT(COUNTIF($F$4:F444,$F444),"00"))</f>
        <v/>
      </c>
      <c r="B444" s="65"/>
      <c r="C444" s="60" t="str">
        <f>IF($B444="","",WEEKNUM($B444,2))</f>
        <v/>
      </c>
      <c r="D444" s="60" t="str">
        <f>IF($B444="","",TEXT($B444,"yyyy-mm"))</f>
        <v/>
      </c>
      <c r="E444" s="64"/>
      <c r="F444" s="64"/>
      <c r="G444" s="60" t="str">
        <f>IF(OR($E444="",$F444=""),"",IFERROR(IF($E444=INDEX([1]Cluster_Master!$A$4:$A$18,MATCH($F444,[1]Cluster_Master!$B$4:$B$18,0)),"OK","CHECK"),"CHECK"))</f>
        <v/>
      </c>
      <c r="H444" s="63" t="str">
        <f>IFERROR(INDEX([1]Cluster_Master!$C$4:$C$18,MATCH($F444,[1]Cluster_Master!$B$4:$B$18,0)),"")</f>
        <v/>
      </c>
      <c r="I444" s="60" t="str">
        <f>IFERROR(INDEX([1]Cluster_Master!$D$4:$D$18,MATCH($F444,[1]Cluster_Master!$B$4:$B$18,0)),"")</f>
        <v/>
      </c>
      <c r="J444" s="60" t="str">
        <f>IFERROR(INDEX([1]Cluster_Master!$E$4:$E$18,MATCH($F444,[1]Cluster_Master!$B$4:$B$18,0)),"")</f>
        <v/>
      </c>
      <c r="K444" s="60" t="str">
        <f>IFERROR(INDEX([1]Cluster_Master!$F$4:$F$18,MATCH($F444,[1]Cluster_Master!$B$4:$B$18,0)),"")</f>
        <v/>
      </c>
      <c r="L444" s="60" t="str">
        <f>IFERROR(INDEX([1]Cluster_Master!$G$4:$G$18,MATCH($F444,[1]Cluster_Master!$B$4:$B$18,0)),"")</f>
        <v/>
      </c>
      <c r="M444" s="60" t="str">
        <f>IFERROR(INDEX([1]Cluster_Master!$H$4:$H$18,MATCH($F444,[1]Cluster_Master!$B$4:$B$18,0)),"")</f>
        <v/>
      </c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60" t="str">
        <f>IF(COUNTA(T444:AH444)=0,"",SUM(T444:AH444))</f>
        <v/>
      </c>
      <c r="AJ444" s="61" t="str">
        <f>IF(COUNTA(T444:AH444)=0,"",AI444/75)</f>
        <v/>
      </c>
      <c r="AK444" s="61" t="str">
        <f>IF(COUNTA(T444:AH444)=0,"",(SUM(T444*[1]KPI_Weights!$B$4,U444*[1]KPI_Weights!$B$5,V444*[1]KPI_Weights!$B$6,W444*[1]KPI_Weights!$B$7,X444*[1]KPI_Weights!$B$8,Y444*[1]KPI_Weights!$B$9,Z444*[1]KPI_Weights!$B$10,AA444*[1]KPI_Weights!$B$11,AB444*[1]KPI_Weights!$B$12,AC444*[1]KPI_Weights!$B$13,AD444*[1]KPI_Weights!$B$14,AE444*[1]KPI_Weights!$B$15,AF444*[1]KPI_Weights!$B$16,AG444*[1]KPI_Weights!$B$17,AH444*[1]KPI_Weights!$B$18))/5)</f>
        <v/>
      </c>
      <c r="AL444" s="60" t="str">
        <f>IF(COUNTA(T444:AH444)=0,"",IF(OR(T444&lt;=1,W444&lt;=1,X444&lt;=1,Y444&lt;=1,AB444&lt;=1),"YES","NO"))</f>
        <v/>
      </c>
      <c r="AM444" s="60" t="str">
        <f>IF(AJ444="","",IF(AND(AL444="NO",AJ444&gt;=0.75),"YES","NO"))</f>
        <v/>
      </c>
      <c r="AN444" s="60" t="str">
        <f>IF(AJ444="","",IF(AJ444&lt;0.4,"Critical",IF(AJ444&lt;0.6,"Poor",IF(AJ444&lt;0.75,"Needs Improvement",IF(AJ444&lt;0.9,"Good","Excellent")))))</f>
        <v/>
      </c>
      <c r="AO444" s="59"/>
      <c r="AP444" s="59"/>
      <c r="AQ444" s="59"/>
      <c r="AR444" s="59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</row>
    <row r="445" spans="1:54" ht="19.5" customHeight="1" x14ac:dyDescent="0.25">
      <c r="A445" s="60" t="str">
        <f>IF($B445="","",TEXT($B445,"yyyymmdd")&amp;"-"&amp;SUBSTITUTE($F445," ","")&amp;"-"&amp;TEXT(COUNTIF($F$4:F445,$F445),"00"))</f>
        <v/>
      </c>
      <c r="B445" s="65"/>
      <c r="C445" s="60" t="str">
        <f>IF($B445="","",WEEKNUM($B445,2))</f>
        <v/>
      </c>
      <c r="D445" s="60" t="str">
        <f>IF($B445="","",TEXT($B445,"yyyy-mm"))</f>
        <v/>
      </c>
      <c r="E445" s="64"/>
      <c r="F445" s="64"/>
      <c r="G445" s="60" t="str">
        <f>IF(OR($E445="",$F445=""),"",IFERROR(IF($E445=INDEX([1]Cluster_Master!$A$4:$A$18,MATCH($F445,[1]Cluster_Master!$B$4:$B$18,0)),"OK","CHECK"),"CHECK"))</f>
        <v/>
      </c>
      <c r="H445" s="63" t="str">
        <f>IFERROR(INDEX([1]Cluster_Master!$C$4:$C$18,MATCH($F445,[1]Cluster_Master!$B$4:$B$18,0)),"")</f>
        <v/>
      </c>
      <c r="I445" s="60" t="str">
        <f>IFERROR(INDEX([1]Cluster_Master!$D$4:$D$18,MATCH($F445,[1]Cluster_Master!$B$4:$B$18,0)),"")</f>
        <v/>
      </c>
      <c r="J445" s="60" t="str">
        <f>IFERROR(INDEX([1]Cluster_Master!$E$4:$E$18,MATCH($F445,[1]Cluster_Master!$B$4:$B$18,0)),"")</f>
        <v/>
      </c>
      <c r="K445" s="60" t="str">
        <f>IFERROR(INDEX([1]Cluster_Master!$F$4:$F$18,MATCH($F445,[1]Cluster_Master!$B$4:$B$18,0)),"")</f>
        <v/>
      </c>
      <c r="L445" s="60" t="str">
        <f>IFERROR(INDEX([1]Cluster_Master!$G$4:$G$18,MATCH($F445,[1]Cluster_Master!$B$4:$B$18,0)),"")</f>
        <v/>
      </c>
      <c r="M445" s="60" t="str">
        <f>IFERROR(INDEX([1]Cluster_Master!$H$4:$H$18,MATCH($F445,[1]Cluster_Master!$B$4:$B$18,0)),"")</f>
        <v/>
      </c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60" t="str">
        <f>IF(COUNTA(T445:AH445)=0,"",SUM(T445:AH445))</f>
        <v/>
      </c>
      <c r="AJ445" s="61" t="str">
        <f>IF(COUNTA(T445:AH445)=0,"",AI445/75)</f>
        <v/>
      </c>
      <c r="AK445" s="61" t="str">
        <f>IF(COUNTA(T445:AH445)=0,"",(SUM(T445*[1]KPI_Weights!$B$4,U445*[1]KPI_Weights!$B$5,V445*[1]KPI_Weights!$B$6,W445*[1]KPI_Weights!$B$7,X445*[1]KPI_Weights!$B$8,Y445*[1]KPI_Weights!$B$9,Z445*[1]KPI_Weights!$B$10,AA445*[1]KPI_Weights!$B$11,AB445*[1]KPI_Weights!$B$12,AC445*[1]KPI_Weights!$B$13,AD445*[1]KPI_Weights!$B$14,AE445*[1]KPI_Weights!$B$15,AF445*[1]KPI_Weights!$B$16,AG445*[1]KPI_Weights!$B$17,AH445*[1]KPI_Weights!$B$18))/5)</f>
        <v/>
      </c>
      <c r="AL445" s="60" t="str">
        <f>IF(COUNTA(T445:AH445)=0,"",IF(OR(T445&lt;=1,W445&lt;=1,X445&lt;=1,Y445&lt;=1,AB445&lt;=1),"YES","NO"))</f>
        <v/>
      </c>
      <c r="AM445" s="60" t="str">
        <f>IF(AJ445="","",IF(AND(AL445="NO",AJ445&gt;=0.75),"YES","NO"))</f>
        <v/>
      </c>
      <c r="AN445" s="60" t="str">
        <f>IF(AJ445="","",IF(AJ445&lt;0.4,"Critical",IF(AJ445&lt;0.6,"Poor",IF(AJ445&lt;0.75,"Needs Improvement",IF(AJ445&lt;0.9,"Good","Excellent")))))</f>
        <v/>
      </c>
      <c r="AO445" s="59"/>
      <c r="AP445" s="59"/>
      <c r="AQ445" s="59"/>
      <c r="AR445" s="59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</row>
    <row r="446" spans="1:54" ht="19.5" customHeight="1" x14ac:dyDescent="0.25">
      <c r="A446" s="60" t="str">
        <f>IF($B446="","",TEXT($B446,"yyyymmdd")&amp;"-"&amp;SUBSTITUTE($F446," ","")&amp;"-"&amp;TEXT(COUNTIF($F$4:F446,$F446),"00"))</f>
        <v/>
      </c>
      <c r="B446" s="65"/>
      <c r="C446" s="60" t="str">
        <f>IF($B446="","",WEEKNUM($B446,2))</f>
        <v/>
      </c>
      <c r="D446" s="60" t="str">
        <f>IF($B446="","",TEXT($B446,"yyyy-mm"))</f>
        <v/>
      </c>
      <c r="E446" s="64"/>
      <c r="F446" s="64"/>
      <c r="G446" s="60" t="str">
        <f>IF(OR($E446="",$F446=""),"",IFERROR(IF($E446=INDEX([1]Cluster_Master!$A$4:$A$18,MATCH($F446,[1]Cluster_Master!$B$4:$B$18,0)),"OK","CHECK"),"CHECK"))</f>
        <v/>
      </c>
      <c r="H446" s="63" t="str">
        <f>IFERROR(INDEX([1]Cluster_Master!$C$4:$C$18,MATCH($F446,[1]Cluster_Master!$B$4:$B$18,0)),"")</f>
        <v/>
      </c>
      <c r="I446" s="60" t="str">
        <f>IFERROR(INDEX([1]Cluster_Master!$D$4:$D$18,MATCH($F446,[1]Cluster_Master!$B$4:$B$18,0)),"")</f>
        <v/>
      </c>
      <c r="J446" s="60" t="str">
        <f>IFERROR(INDEX([1]Cluster_Master!$E$4:$E$18,MATCH($F446,[1]Cluster_Master!$B$4:$B$18,0)),"")</f>
        <v/>
      </c>
      <c r="K446" s="60" t="str">
        <f>IFERROR(INDEX([1]Cluster_Master!$F$4:$F$18,MATCH($F446,[1]Cluster_Master!$B$4:$B$18,0)),"")</f>
        <v/>
      </c>
      <c r="L446" s="60" t="str">
        <f>IFERROR(INDEX([1]Cluster_Master!$G$4:$G$18,MATCH($F446,[1]Cluster_Master!$B$4:$B$18,0)),"")</f>
        <v/>
      </c>
      <c r="M446" s="60" t="str">
        <f>IFERROR(INDEX([1]Cluster_Master!$H$4:$H$18,MATCH($F446,[1]Cluster_Master!$B$4:$B$18,0)),"")</f>
        <v/>
      </c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60" t="str">
        <f>IF(COUNTA(T446:AH446)=0,"",SUM(T446:AH446))</f>
        <v/>
      </c>
      <c r="AJ446" s="61" t="str">
        <f>IF(COUNTA(T446:AH446)=0,"",AI446/75)</f>
        <v/>
      </c>
      <c r="AK446" s="61" t="str">
        <f>IF(COUNTA(T446:AH446)=0,"",(SUM(T446*[1]KPI_Weights!$B$4,U446*[1]KPI_Weights!$B$5,V446*[1]KPI_Weights!$B$6,W446*[1]KPI_Weights!$B$7,X446*[1]KPI_Weights!$B$8,Y446*[1]KPI_Weights!$B$9,Z446*[1]KPI_Weights!$B$10,AA446*[1]KPI_Weights!$B$11,AB446*[1]KPI_Weights!$B$12,AC446*[1]KPI_Weights!$B$13,AD446*[1]KPI_Weights!$B$14,AE446*[1]KPI_Weights!$B$15,AF446*[1]KPI_Weights!$B$16,AG446*[1]KPI_Weights!$B$17,AH446*[1]KPI_Weights!$B$18))/5)</f>
        <v/>
      </c>
      <c r="AL446" s="60" t="str">
        <f>IF(COUNTA(T446:AH446)=0,"",IF(OR(T446&lt;=1,W446&lt;=1,X446&lt;=1,Y446&lt;=1,AB446&lt;=1),"YES","NO"))</f>
        <v/>
      </c>
      <c r="AM446" s="60" t="str">
        <f>IF(AJ446="","",IF(AND(AL446="NO",AJ446&gt;=0.75),"YES","NO"))</f>
        <v/>
      </c>
      <c r="AN446" s="60" t="str">
        <f>IF(AJ446="","",IF(AJ446&lt;0.4,"Critical",IF(AJ446&lt;0.6,"Poor",IF(AJ446&lt;0.75,"Needs Improvement",IF(AJ446&lt;0.9,"Good","Excellent")))))</f>
        <v/>
      </c>
      <c r="AO446" s="59"/>
      <c r="AP446" s="59"/>
      <c r="AQ446" s="59"/>
      <c r="AR446" s="59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</row>
    <row r="447" spans="1:54" ht="19.5" customHeight="1" x14ac:dyDescent="0.25">
      <c r="A447" s="60" t="str">
        <f>IF($B447="","",TEXT($B447,"yyyymmdd")&amp;"-"&amp;SUBSTITUTE($F447," ","")&amp;"-"&amp;TEXT(COUNTIF($F$4:F447,$F447),"00"))</f>
        <v/>
      </c>
      <c r="B447" s="65"/>
      <c r="C447" s="60" t="str">
        <f>IF($B447="","",WEEKNUM($B447,2))</f>
        <v/>
      </c>
      <c r="D447" s="60" t="str">
        <f>IF($B447="","",TEXT($B447,"yyyy-mm"))</f>
        <v/>
      </c>
      <c r="E447" s="64"/>
      <c r="F447" s="64"/>
      <c r="G447" s="60" t="str">
        <f>IF(OR($E447="",$F447=""),"",IFERROR(IF($E447=INDEX([1]Cluster_Master!$A$4:$A$18,MATCH($F447,[1]Cluster_Master!$B$4:$B$18,0)),"OK","CHECK"),"CHECK"))</f>
        <v/>
      </c>
      <c r="H447" s="63" t="str">
        <f>IFERROR(INDEX([1]Cluster_Master!$C$4:$C$18,MATCH($F447,[1]Cluster_Master!$B$4:$B$18,0)),"")</f>
        <v/>
      </c>
      <c r="I447" s="60" t="str">
        <f>IFERROR(INDEX([1]Cluster_Master!$D$4:$D$18,MATCH($F447,[1]Cluster_Master!$B$4:$B$18,0)),"")</f>
        <v/>
      </c>
      <c r="J447" s="60" t="str">
        <f>IFERROR(INDEX([1]Cluster_Master!$E$4:$E$18,MATCH($F447,[1]Cluster_Master!$B$4:$B$18,0)),"")</f>
        <v/>
      </c>
      <c r="K447" s="60" t="str">
        <f>IFERROR(INDEX([1]Cluster_Master!$F$4:$F$18,MATCH($F447,[1]Cluster_Master!$B$4:$B$18,0)),"")</f>
        <v/>
      </c>
      <c r="L447" s="60" t="str">
        <f>IFERROR(INDEX([1]Cluster_Master!$G$4:$G$18,MATCH($F447,[1]Cluster_Master!$B$4:$B$18,0)),"")</f>
        <v/>
      </c>
      <c r="M447" s="60" t="str">
        <f>IFERROR(INDEX([1]Cluster_Master!$H$4:$H$18,MATCH($F447,[1]Cluster_Master!$B$4:$B$18,0)),"")</f>
        <v/>
      </c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60" t="str">
        <f>IF(COUNTA(T447:AH447)=0,"",SUM(T447:AH447))</f>
        <v/>
      </c>
      <c r="AJ447" s="61" t="str">
        <f>IF(COUNTA(T447:AH447)=0,"",AI447/75)</f>
        <v/>
      </c>
      <c r="AK447" s="61" t="str">
        <f>IF(COUNTA(T447:AH447)=0,"",(SUM(T447*[1]KPI_Weights!$B$4,U447*[1]KPI_Weights!$B$5,V447*[1]KPI_Weights!$B$6,W447*[1]KPI_Weights!$B$7,X447*[1]KPI_Weights!$B$8,Y447*[1]KPI_Weights!$B$9,Z447*[1]KPI_Weights!$B$10,AA447*[1]KPI_Weights!$B$11,AB447*[1]KPI_Weights!$B$12,AC447*[1]KPI_Weights!$B$13,AD447*[1]KPI_Weights!$B$14,AE447*[1]KPI_Weights!$B$15,AF447*[1]KPI_Weights!$B$16,AG447*[1]KPI_Weights!$B$17,AH447*[1]KPI_Weights!$B$18))/5)</f>
        <v/>
      </c>
      <c r="AL447" s="60" t="str">
        <f>IF(COUNTA(T447:AH447)=0,"",IF(OR(T447&lt;=1,W447&lt;=1,X447&lt;=1,Y447&lt;=1,AB447&lt;=1),"YES","NO"))</f>
        <v/>
      </c>
      <c r="AM447" s="60" t="str">
        <f>IF(AJ447="","",IF(AND(AL447="NO",AJ447&gt;=0.75),"YES","NO"))</f>
        <v/>
      </c>
      <c r="AN447" s="60" t="str">
        <f>IF(AJ447="","",IF(AJ447&lt;0.4,"Critical",IF(AJ447&lt;0.6,"Poor",IF(AJ447&lt;0.75,"Needs Improvement",IF(AJ447&lt;0.9,"Good","Excellent")))))</f>
        <v/>
      </c>
      <c r="AO447" s="59"/>
      <c r="AP447" s="59"/>
      <c r="AQ447" s="59"/>
      <c r="AR447" s="59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</row>
    <row r="448" spans="1:54" ht="19.5" customHeight="1" x14ac:dyDescent="0.25">
      <c r="A448" s="60" t="str">
        <f>IF($B448="","",TEXT($B448,"yyyymmdd")&amp;"-"&amp;SUBSTITUTE($F448," ","")&amp;"-"&amp;TEXT(COUNTIF($F$4:F448,$F448),"00"))</f>
        <v/>
      </c>
      <c r="B448" s="65"/>
      <c r="C448" s="60" t="str">
        <f>IF($B448="","",WEEKNUM($B448,2))</f>
        <v/>
      </c>
      <c r="D448" s="60" t="str">
        <f>IF($B448="","",TEXT($B448,"yyyy-mm"))</f>
        <v/>
      </c>
      <c r="E448" s="64"/>
      <c r="F448" s="64"/>
      <c r="G448" s="60" t="str">
        <f>IF(OR($E448="",$F448=""),"",IFERROR(IF($E448=INDEX([1]Cluster_Master!$A$4:$A$18,MATCH($F448,[1]Cluster_Master!$B$4:$B$18,0)),"OK","CHECK"),"CHECK"))</f>
        <v/>
      </c>
      <c r="H448" s="63" t="str">
        <f>IFERROR(INDEX([1]Cluster_Master!$C$4:$C$18,MATCH($F448,[1]Cluster_Master!$B$4:$B$18,0)),"")</f>
        <v/>
      </c>
      <c r="I448" s="60" t="str">
        <f>IFERROR(INDEX([1]Cluster_Master!$D$4:$D$18,MATCH($F448,[1]Cluster_Master!$B$4:$B$18,0)),"")</f>
        <v/>
      </c>
      <c r="J448" s="60" t="str">
        <f>IFERROR(INDEX([1]Cluster_Master!$E$4:$E$18,MATCH($F448,[1]Cluster_Master!$B$4:$B$18,0)),"")</f>
        <v/>
      </c>
      <c r="K448" s="60" t="str">
        <f>IFERROR(INDEX([1]Cluster_Master!$F$4:$F$18,MATCH($F448,[1]Cluster_Master!$B$4:$B$18,0)),"")</f>
        <v/>
      </c>
      <c r="L448" s="60" t="str">
        <f>IFERROR(INDEX([1]Cluster_Master!$G$4:$G$18,MATCH($F448,[1]Cluster_Master!$B$4:$B$18,0)),"")</f>
        <v/>
      </c>
      <c r="M448" s="60" t="str">
        <f>IFERROR(INDEX([1]Cluster_Master!$H$4:$H$18,MATCH($F448,[1]Cluster_Master!$B$4:$B$18,0)),"")</f>
        <v/>
      </c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60" t="str">
        <f>IF(COUNTA(T448:AH448)=0,"",SUM(T448:AH448))</f>
        <v/>
      </c>
      <c r="AJ448" s="61" t="str">
        <f>IF(COUNTA(T448:AH448)=0,"",AI448/75)</f>
        <v/>
      </c>
      <c r="AK448" s="61" t="str">
        <f>IF(COUNTA(T448:AH448)=0,"",(SUM(T448*[1]KPI_Weights!$B$4,U448*[1]KPI_Weights!$B$5,V448*[1]KPI_Weights!$B$6,W448*[1]KPI_Weights!$B$7,X448*[1]KPI_Weights!$B$8,Y448*[1]KPI_Weights!$B$9,Z448*[1]KPI_Weights!$B$10,AA448*[1]KPI_Weights!$B$11,AB448*[1]KPI_Weights!$B$12,AC448*[1]KPI_Weights!$B$13,AD448*[1]KPI_Weights!$B$14,AE448*[1]KPI_Weights!$B$15,AF448*[1]KPI_Weights!$B$16,AG448*[1]KPI_Weights!$B$17,AH448*[1]KPI_Weights!$B$18))/5)</f>
        <v/>
      </c>
      <c r="AL448" s="60" t="str">
        <f>IF(COUNTA(T448:AH448)=0,"",IF(OR(T448&lt;=1,W448&lt;=1,X448&lt;=1,Y448&lt;=1,AB448&lt;=1),"YES","NO"))</f>
        <v/>
      </c>
      <c r="AM448" s="60" t="str">
        <f>IF(AJ448="","",IF(AND(AL448="NO",AJ448&gt;=0.75),"YES","NO"))</f>
        <v/>
      </c>
      <c r="AN448" s="60" t="str">
        <f>IF(AJ448="","",IF(AJ448&lt;0.4,"Critical",IF(AJ448&lt;0.6,"Poor",IF(AJ448&lt;0.75,"Needs Improvement",IF(AJ448&lt;0.9,"Good","Excellent")))))</f>
        <v/>
      </c>
      <c r="AO448" s="59"/>
      <c r="AP448" s="59"/>
      <c r="AQ448" s="59"/>
      <c r="AR448" s="59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</row>
    <row r="449" spans="1:54" ht="19.5" customHeight="1" x14ac:dyDescent="0.25">
      <c r="A449" s="60" t="str">
        <f>IF($B449="","",TEXT($B449,"yyyymmdd")&amp;"-"&amp;SUBSTITUTE($F449," ","")&amp;"-"&amp;TEXT(COUNTIF($F$4:F449,$F449),"00"))</f>
        <v/>
      </c>
      <c r="B449" s="65"/>
      <c r="C449" s="60" t="str">
        <f>IF($B449="","",WEEKNUM($B449,2))</f>
        <v/>
      </c>
      <c r="D449" s="60" t="str">
        <f>IF($B449="","",TEXT($B449,"yyyy-mm"))</f>
        <v/>
      </c>
      <c r="E449" s="64"/>
      <c r="F449" s="64"/>
      <c r="G449" s="60" t="str">
        <f>IF(OR($E449="",$F449=""),"",IFERROR(IF($E449=INDEX([1]Cluster_Master!$A$4:$A$18,MATCH($F449,[1]Cluster_Master!$B$4:$B$18,0)),"OK","CHECK"),"CHECK"))</f>
        <v/>
      </c>
      <c r="H449" s="63" t="str">
        <f>IFERROR(INDEX([1]Cluster_Master!$C$4:$C$18,MATCH($F449,[1]Cluster_Master!$B$4:$B$18,0)),"")</f>
        <v/>
      </c>
      <c r="I449" s="60" t="str">
        <f>IFERROR(INDEX([1]Cluster_Master!$D$4:$D$18,MATCH($F449,[1]Cluster_Master!$B$4:$B$18,0)),"")</f>
        <v/>
      </c>
      <c r="J449" s="60" t="str">
        <f>IFERROR(INDEX([1]Cluster_Master!$E$4:$E$18,MATCH($F449,[1]Cluster_Master!$B$4:$B$18,0)),"")</f>
        <v/>
      </c>
      <c r="K449" s="60" t="str">
        <f>IFERROR(INDEX([1]Cluster_Master!$F$4:$F$18,MATCH($F449,[1]Cluster_Master!$B$4:$B$18,0)),"")</f>
        <v/>
      </c>
      <c r="L449" s="60" t="str">
        <f>IFERROR(INDEX([1]Cluster_Master!$G$4:$G$18,MATCH($F449,[1]Cluster_Master!$B$4:$B$18,0)),"")</f>
        <v/>
      </c>
      <c r="M449" s="60" t="str">
        <f>IFERROR(INDEX([1]Cluster_Master!$H$4:$H$18,MATCH($F449,[1]Cluster_Master!$B$4:$B$18,0)),"")</f>
        <v/>
      </c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60" t="str">
        <f>IF(COUNTA(T449:AH449)=0,"",SUM(T449:AH449))</f>
        <v/>
      </c>
      <c r="AJ449" s="61" t="str">
        <f>IF(COUNTA(T449:AH449)=0,"",AI449/75)</f>
        <v/>
      </c>
      <c r="AK449" s="61" t="str">
        <f>IF(COUNTA(T449:AH449)=0,"",(SUM(T449*[1]KPI_Weights!$B$4,U449*[1]KPI_Weights!$B$5,V449*[1]KPI_Weights!$B$6,W449*[1]KPI_Weights!$B$7,X449*[1]KPI_Weights!$B$8,Y449*[1]KPI_Weights!$B$9,Z449*[1]KPI_Weights!$B$10,AA449*[1]KPI_Weights!$B$11,AB449*[1]KPI_Weights!$B$12,AC449*[1]KPI_Weights!$B$13,AD449*[1]KPI_Weights!$B$14,AE449*[1]KPI_Weights!$B$15,AF449*[1]KPI_Weights!$B$16,AG449*[1]KPI_Weights!$B$17,AH449*[1]KPI_Weights!$B$18))/5)</f>
        <v/>
      </c>
      <c r="AL449" s="60" t="str">
        <f>IF(COUNTA(T449:AH449)=0,"",IF(OR(T449&lt;=1,W449&lt;=1,X449&lt;=1,Y449&lt;=1,AB449&lt;=1),"YES","NO"))</f>
        <v/>
      </c>
      <c r="AM449" s="60" t="str">
        <f>IF(AJ449="","",IF(AND(AL449="NO",AJ449&gt;=0.75),"YES","NO"))</f>
        <v/>
      </c>
      <c r="AN449" s="60" t="str">
        <f>IF(AJ449="","",IF(AJ449&lt;0.4,"Critical",IF(AJ449&lt;0.6,"Poor",IF(AJ449&lt;0.75,"Needs Improvement",IF(AJ449&lt;0.9,"Good","Excellent")))))</f>
        <v/>
      </c>
      <c r="AO449" s="59"/>
      <c r="AP449" s="59"/>
      <c r="AQ449" s="59"/>
      <c r="AR449" s="59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</row>
    <row r="450" spans="1:54" ht="19.5" customHeight="1" x14ac:dyDescent="0.25">
      <c r="A450" s="60" t="str">
        <f>IF($B450="","",TEXT($B450,"yyyymmdd")&amp;"-"&amp;SUBSTITUTE($F450," ","")&amp;"-"&amp;TEXT(COUNTIF($F$4:F450,$F450),"00"))</f>
        <v/>
      </c>
      <c r="B450" s="65"/>
      <c r="C450" s="60" t="str">
        <f>IF($B450="","",WEEKNUM($B450,2))</f>
        <v/>
      </c>
      <c r="D450" s="60" t="str">
        <f>IF($B450="","",TEXT($B450,"yyyy-mm"))</f>
        <v/>
      </c>
      <c r="E450" s="64"/>
      <c r="F450" s="64"/>
      <c r="G450" s="60" t="str">
        <f>IF(OR($E450="",$F450=""),"",IFERROR(IF($E450=INDEX([1]Cluster_Master!$A$4:$A$18,MATCH($F450,[1]Cluster_Master!$B$4:$B$18,0)),"OK","CHECK"),"CHECK"))</f>
        <v/>
      </c>
      <c r="H450" s="63" t="str">
        <f>IFERROR(INDEX([1]Cluster_Master!$C$4:$C$18,MATCH($F450,[1]Cluster_Master!$B$4:$B$18,0)),"")</f>
        <v/>
      </c>
      <c r="I450" s="60" t="str">
        <f>IFERROR(INDEX([1]Cluster_Master!$D$4:$D$18,MATCH($F450,[1]Cluster_Master!$B$4:$B$18,0)),"")</f>
        <v/>
      </c>
      <c r="J450" s="60" t="str">
        <f>IFERROR(INDEX([1]Cluster_Master!$E$4:$E$18,MATCH($F450,[1]Cluster_Master!$B$4:$B$18,0)),"")</f>
        <v/>
      </c>
      <c r="K450" s="60" t="str">
        <f>IFERROR(INDEX([1]Cluster_Master!$F$4:$F$18,MATCH($F450,[1]Cluster_Master!$B$4:$B$18,0)),"")</f>
        <v/>
      </c>
      <c r="L450" s="60" t="str">
        <f>IFERROR(INDEX([1]Cluster_Master!$G$4:$G$18,MATCH($F450,[1]Cluster_Master!$B$4:$B$18,0)),"")</f>
        <v/>
      </c>
      <c r="M450" s="60" t="str">
        <f>IFERROR(INDEX([1]Cluster_Master!$H$4:$H$18,MATCH($F450,[1]Cluster_Master!$B$4:$B$18,0)),"")</f>
        <v/>
      </c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60" t="str">
        <f>IF(COUNTA(T450:AH450)=0,"",SUM(T450:AH450))</f>
        <v/>
      </c>
      <c r="AJ450" s="61" t="str">
        <f>IF(COUNTA(T450:AH450)=0,"",AI450/75)</f>
        <v/>
      </c>
      <c r="AK450" s="61" t="str">
        <f>IF(COUNTA(T450:AH450)=0,"",(SUM(T450*[1]KPI_Weights!$B$4,U450*[1]KPI_Weights!$B$5,V450*[1]KPI_Weights!$B$6,W450*[1]KPI_Weights!$B$7,X450*[1]KPI_Weights!$B$8,Y450*[1]KPI_Weights!$B$9,Z450*[1]KPI_Weights!$B$10,AA450*[1]KPI_Weights!$B$11,AB450*[1]KPI_Weights!$B$12,AC450*[1]KPI_Weights!$B$13,AD450*[1]KPI_Weights!$B$14,AE450*[1]KPI_Weights!$B$15,AF450*[1]KPI_Weights!$B$16,AG450*[1]KPI_Weights!$B$17,AH450*[1]KPI_Weights!$B$18))/5)</f>
        <v/>
      </c>
      <c r="AL450" s="60" t="str">
        <f>IF(COUNTA(T450:AH450)=0,"",IF(OR(T450&lt;=1,W450&lt;=1,X450&lt;=1,Y450&lt;=1,AB450&lt;=1),"YES","NO"))</f>
        <v/>
      </c>
      <c r="AM450" s="60" t="str">
        <f>IF(AJ450="","",IF(AND(AL450="NO",AJ450&gt;=0.75),"YES","NO"))</f>
        <v/>
      </c>
      <c r="AN450" s="60" t="str">
        <f>IF(AJ450="","",IF(AJ450&lt;0.4,"Critical",IF(AJ450&lt;0.6,"Poor",IF(AJ450&lt;0.75,"Needs Improvement",IF(AJ450&lt;0.9,"Good","Excellent")))))</f>
        <v/>
      </c>
      <c r="AO450" s="59"/>
      <c r="AP450" s="59"/>
      <c r="AQ450" s="59"/>
      <c r="AR450" s="59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</row>
    <row r="451" spans="1:54" ht="19.5" customHeight="1" x14ac:dyDescent="0.25">
      <c r="A451" s="60" t="str">
        <f>IF($B451="","",TEXT($B451,"yyyymmdd")&amp;"-"&amp;SUBSTITUTE($F451," ","")&amp;"-"&amp;TEXT(COUNTIF($F$4:F451,$F451),"00"))</f>
        <v/>
      </c>
      <c r="B451" s="65"/>
      <c r="C451" s="60" t="str">
        <f>IF($B451="","",WEEKNUM($B451,2))</f>
        <v/>
      </c>
      <c r="D451" s="60" t="str">
        <f>IF($B451="","",TEXT($B451,"yyyy-mm"))</f>
        <v/>
      </c>
      <c r="E451" s="64"/>
      <c r="F451" s="64"/>
      <c r="G451" s="60" t="str">
        <f>IF(OR($E451="",$F451=""),"",IFERROR(IF($E451=INDEX([1]Cluster_Master!$A$4:$A$18,MATCH($F451,[1]Cluster_Master!$B$4:$B$18,0)),"OK","CHECK"),"CHECK"))</f>
        <v/>
      </c>
      <c r="H451" s="63" t="str">
        <f>IFERROR(INDEX([1]Cluster_Master!$C$4:$C$18,MATCH($F451,[1]Cluster_Master!$B$4:$B$18,0)),"")</f>
        <v/>
      </c>
      <c r="I451" s="60" t="str">
        <f>IFERROR(INDEX([1]Cluster_Master!$D$4:$D$18,MATCH($F451,[1]Cluster_Master!$B$4:$B$18,0)),"")</f>
        <v/>
      </c>
      <c r="J451" s="60" t="str">
        <f>IFERROR(INDEX([1]Cluster_Master!$E$4:$E$18,MATCH($F451,[1]Cluster_Master!$B$4:$B$18,0)),"")</f>
        <v/>
      </c>
      <c r="K451" s="60" t="str">
        <f>IFERROR(INDEX([1]Cluster_Master!$F$4:$F$18,MATCH($F451,[1]Cluster_Master!$B$4:$B$18,0)),"")</f>
        <v/>
      </c>
      <c r="L451" s="60" t="str">
        <f>IFERROR(INDEX([1]Cluster_Master!$G$4:$G$18,MATCH($F451,[1]Cluster_Master!$B$4:$B$18,0)),"")</f>
        <v/>
      </c>
      <c r="M451" s="60" t="str">
        <f>IFERROR(INDEX([1]Cluster_Master!$H$4:$H$18,MATCH($F451,[1]Cluster_Master!$B$4:$B$18,0)),"")</f>
        <v/>
      </c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60" t="str">
        <f>IF(COUNTA(T451:AH451)=0,"",SUM(T451:AH451))</f>
        <v/>
      </c>
      <c r="AJ451" s="61" t="str">
        <f>IF(COUNTA(T451:AH451)=0,"",AI451/75)</f>
        <v/>
      </c>
      <c r="AK451" s="61" t="str">
        <f>IF(COUNTA(T451:AH451)=0,"",(SUM(T451*[1]KPI_Weights!$B$4,U451*[1]KPI_Weights!$B$5,V451*[1]KPI_Weights!$B$6,W451*[1]KPI_Weights!$B$7,X451*[1]KPI_Weights!$B$8,Y451*[1]KPI_Weights!$B$9,Z451*[1]KPI_Weights!$B$10,AA451*[1]KPI_Weights!$B$11,AB451*[1]KPI_Weights!$B$12,AC451*[1]KPI_Weights!$B$13,AD451*[1]KPI_Weights!$B$14,AE451*[1]KPI_Weights!$B$15,AF451*[1]KPI_Weights!$B$16,AG451*[1]KPI_Weights!$B$17,AH451*[1]KPI_Weights!$B$18))/5)</f>
        <v/>
      </c>
      <c r="AL451" s="60" t="str">
        <f>IF(COUNTA(T451:AH451)=0,"",IF(OR(T451&lt;=1,W451&lt;=1,X451&lt;=1,Y451&lt;=1,AB451&lt;=1),"YES","NO"))</f>
        <v/>
      </c>
      <c r="AM451" s="60" t="str">
        <f>IF(AJ451="","",IF(AND(AL451="NO",AJ451&gt;=0.75),"YES","NO"))</f>
        <v/>
      </c>
      <c r="AN451" s="60" t="str">
        <f>IF(AJ451="","",IF(AJ451&lt;0.4,"Critical",IF(AJ451&lt;0.6,"Poor",IF(AJ451&lt;0.75,"Needs Improvement",IF(AJ451&lt;0.9,"Good","Excellent")))))</f>
        <v/>
      </c>
      <c r="AO451" s="59"/>
      <c r="AP451" s="59"/>
      <c r="AQ451" s="59"/>
      <c r="AR451" s="59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</row>
    <row r="452" spans="1:54" ht="19.5" customHeight="1" x14ac:dyDescent="0.25">
      <c r="A452" s="60" t="str">
        <f>IF($B452="","",TEXT($B452,"yyyymmdd")&amp;"-"&amp;SUBSTITUTE($F452," ","")&amp;"-"&amp;TEXT(COUNTIF($F$4:F452,$F452),"00"))</f>
        <v/>
      </c>
      <c r="B452" s="65"/>
      <c r="C452" s="60" t="str">
        <f>IF($B452="","",WEEKNUM($B452,2))</f>
        <v/>
      </c>
      <c r="D452" s="60" t="str">
        <f>IF($B452="","",TEXT($B452,"yyyy-mm"))</f>
        <v/>
      </c>
      <c r="E452" s="64"/>
      <c r="F452" s="64"/>
      <c r="G452" s="60" t="str">
        <f>IF(OR($E452="",$F452=""),"",IFERROR(IF($E452=INDEX([1]Cluster_Master!$A$4:$A$18,MATCH($F452,[1]Cluster_Master!$B$4:$B$18,0)),"OK","CHECK"),"CHECK"))</f>
        <v/>
      </c>
      <c r="H452" s="63" t="str">
        <f>IFERROR(INDEX([1]Cluster_Master!$C$4:$C$18,MATCH($F452,[1]Cluster_Master!$B$4:$B$18,0)),"")</f>
        <v/>
      </c>
      <c r="I452" s="60" t="str">
        <f>IFERROR(INDEX([1]Cluster_Master!$D$4:$D$18,MATCH($F452,[1]Cluster_Master!$B$4:$B$18,0)),"")</f>
        <v/>
      </c>
      <c r="J452" s="60" t="str">
        <f>IFERROR(INDEX([1]Cluster_Master!$E$4:$E$18,MATCH($F452,[1]Cluster_Master!$B$4:$B$18,0)),"")</f>
        <v/>
      </c>
      <c r="K452" s="60" t="str">
        <f>IFERROR(INDEX([1]Cluster_Master!$F$4:$F$18,MATCH($F452,[1]Cluster_Master!$B$4:$B$18,0)),"")</f>
        <v/>
      </c>
      <c r="L452" s="60" t="str">
        <f>IFERROR(INDEX([1]Cluster_Master!$G$4:$G$18,MATCH($F452,[1]Cluster_Master!$B$4:$B$18,0)),"")</f>
        <v/>
      </c>
      <c r="M452" s="60" t="str">
        <f>IFERROR(INDEX([1]Cluster_Master!$H$4:$H$18,MATCH($F452,[1]Cluster_Master!$B$4:$B$18,0)),"")</f>
        <v/>
      </c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60" t="str">
        <f>IF(COUNTA(T452:AH452)=0,"",SUM(T452:AH452))</f>
        <v/>
      </c>
      <c r="AJ452" s="61" t="str">
        <f>IF(COUNTA(T452:AH452)=0,"",AI452/75)</f>
        <v/>
      </c>
      <c r="AK452" s="61" t="str">
        <f>IF(COUNTA(T452:AH452)=0,"",(SUM(T452*[1]KPI_Weights!$B$4,U452*[1]KPI_Weights!$B$5,V452*[1]KPI_Weights!$B$6,W452*[1]KPI_Weights!$B$7,X452*[1]KPI_Weights!$B$8,Y452*[1]KPI_Weights!$B$9,Z452*[1]KPI_Weights!$B$10,AA452*[1]KPI_Weights!$B$11,AB452*[1]KPI_Weights!$B$12,AC452*[1]KPI_Weights!$B$13,AD452*[1]KPI_Weights!$B$14,AE452*[1]KPI_Weights!$B$15,AF452*[1]KPI_Weights!$B$16,AG452*[1]KPI_Weights!$B$17,AH452*[1]KPI_Weights!$B$18))/5)</f>
        <v/>
      </c>
      <c r="AL452" s="60" t="str">
        <f>IF(COUNTA(T452:AH452)=0,"",IF(OR(T452&lt;=1,W452&lt;=1,X452&lt;=1,Y452&lt;=1,AB452&lt;=1),"YES","NO"))</f>
        <v/>
      </c>
      <c r="AM452" s="60" t="str">
        <f>IF(AJ452="","",IF(AND(AL452="NO",AJ452&gt;=0.75),"YES","NO"))</f>
        <v/>
      </c>
      <c r="AN452" s="60" t="str">
        <f>IF(AJ452="","",IF(AJ452&lt;0.4,"Critical",IF(AJ452&lt;0.6,"Poor",IF(AJ452&lt;0.75,"Needs Improvement",IF(AJ452&lt;0.9,"Good","Excellent")))))</f>
        <v/>
      </c>
      <c r="AO452" s="59"/>
      <c r="AP452" s="59"/>
      <c r="AQ452" s="59"/>
      <c r="AR452" s="59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</row>
    <row r="453" spans="1:54" ht="19.5" customHeight="1" x14ac:dyDescent="0.25">
      <c r="A453" s="60" t="str">
        <f>IF($B453="","",TEXT($B453,"yyyymmdd")&amp;"-"&amp;SUBSTITUTE($F453," ","")&amp;"-"&amp;TEXT(COUNTIF($F$4:F453,$F453),"00"))</f>
        <v/>
      </c>
      <c r="B453" s="65"/>
      <c r="C453" s="60" t="str">
        <f>IF($B453="","",WEEKNUM($B453,2))</f>
        <v/>
      </c>
      <c r="D453" s="60" t="str">
        <f>IF($B453="","",TEXT($B453,"yyyy-mm"))</f>
        <v/>
      </c>
      <c r="E453" s="64"/>
      <c r="F453" s="64"/>
      <c r="G453" s="60" t="str">
        <f>IF(OR($E453="",$F453=""),"",IFERROR(IF($E453=INDEX([1]Cluster_Master!$A$4:$A$18,MATCH($F453,[1]Cluster_Master!$B$4:$B$18,0)),"OK","CHECK"),"CHECK"))</f>
        <v/>
      </c>
      <c r="H453" s="63" t="str">
        <f>IFERROR(INDEX([1]Cluster_Master!$C$4:$C$18,MATCH($F453,[1]Cluster_Master!$B$4:$B$18,0)),"")</f>
        <v/>
      </c>
      <c r="I453" s="60" t="str">
        <f>IFERROR(INDEX([1]Cluster_Master!$D$4:$D$18,MATCH($F453,[1]Cluster_Master!$B$4:$B$18,0)),"")</f>
        <v/>
      </c>
      <c r="J453" s="60" t="str">
        <f>IFERROR(INDEX([1]Cluster_Master!$E$4:$E$18,MATCH($F453,[1]Cluster_Master!$B$4:$B$18,0)),"")</f>
        <v/>
      </c>
      <c r="K453" s="60" t="str">
        <f>IFERROR(INDEX([1]Cluster_Master!$F$4:$F$18,MATCH($F453,[1]Cluster_Master!$B$4:$B$18,0)),"")</f>
        <v/>
      </c>
      <c r="L453" s="60" t="str">
        <f>IFERROR(INDEX([1]Cluster_Master!$G$4:$G$18,MATCH($F453,[1]Cluster_Master!$B$4:$B$18,0)),"")</f>
        <v/>
      </c>
      <c r="M453" s="60" t="str">
        <f>IFERROR(INDEX([1]Cluster_Master!$H$4:$H$18,MATCH($F453,[1]Cluster_Master!$B$4:$B$18,0)),"")</f>
        <v/>
      </c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60" t="str">
        <f>IF(COUNTA(T453:AH453)=0,"",SUM(T453:AH453))</f>
        <v/>
      </c>
      <c r="AJ453" s="61" t="str">
        <f>IF(COUNTA(T453:AH453)=0,"",AI453/75)</f>
        <v/>
      </c>
      <c r="AK453" s="61" t="str">
        <f>IF(COUNTA(T453:AH453)=0,"",(SUM(T453*[1]KPI_Weights!$B$4,U453*[1]KPI_Weights!$B$5,V453*[1]KPI_Weights!$B$6,W453*[1]KPI_Weights!$B$7,X453*[1]KPI_Weights!$B$8,Y453*[1]KPI_Weights!$B$9,Z453*[1]KPI_Weights!$B$10,AA453*[1]KPI_Weights!$B$11,AB453*[1]KPI_Weights!$B$12,AC453*[1]KPI_Weights!$B$13,AD453*[1]KPI_Weights!$B$14,AE453*[1]KPI_Weights!$B$15,AF453*[1]KPI_Weights!$B$16,AG453*[1]KPI_Weights!$B$17,AH453*[1]KPI_Weights!$B$18))/5)</f>
        <v/>
      </c>
      <c r="AL453" s="60" t="str">
        <f>IF(COUNTA(T453:AH453)=0,"",IF(OR(T453&lt;=1,W453&lt;=1,X453&lt;=1,Y453&lt;=1,AB453&lt;=1),"YES","NO"))</f>
        <v/>
      </c>
      <c r="AM453" s="60" t="str">
        <f>IF(AJ453="","",IF(AND(AL453="NO",AJ453&gt;=0.75),"YES","NO"))</f>
        <v/>
      </c>
      <c r="AN453" s="60" t="str">
        <f>IF(AJ453="","",IF(AJ453&lt;0.4,"Critical",IF(AJ453&lt;0.6,"Poor",IF(AJ453&lt;0.75,"Needs Improvement",IF(AJ453&lt;0.9,"Good","Excellent")))))</f>
        <v/>
      </c>
      <c r="AO453" s="59"/>
      <c r="AP453" s="59"/>
      <c r="AQ453" s="59"/>
      <c r="AR453" s="59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</row>
    <row r="454" spans="1:54" ht="19.5" customHeight="1" x14ac:dyDescent="0.25">
      <c r="A454" s="60" t="str">
        <f>IF($B454="","",TEXT($B454,"yyyymmdd")&amp;"-"&amp;SUBSTITUTE($F454," ","")&amp;"-"&amp;TEXT(COUNTIF($F$4:F454,$F454),"00"))</f>
        <v/>
      </c>
      <c r="B454" s="65"/>
      <c r="C454" s="60" t="str">
        <f>IF($B454="","",WEEKNUM($B454,2))</f>
        <v/>
      </c>
      <c r="D454" s="60" t="str">
        <f>IF($B454="","",TEXT($B454,"yyyy-mm"))</f>
        <v/>
      </c>
      <c r="E454" s="64"/>
      <c r="F454" s="64"/>
      <c r="G454" s="60" t="str">
        <f>IF(OR($E454="",$F454=""),"",IFERROR(IF($E454=INDEX([1]Cluster_Master!$A$4:$A$18,MATCH($F454,[1]Cluster_Master!$B$4:$B$18,0)),"OK","CHECK"),"CHECK"))</f>
        <v/>
      </c>
      <c r="H454" s="63" t="str">
        <f>IFERROR(INDEX([1]Cluster_Master!$C$4:$C$18,MATCH($F454,[1]Cluster_Master!$B$4:$B$18,0)),"")</f>
        <v/>
      </c>
      <c r="I454" s="60" t="str">
        <f>IFERROR(INDEX([1]Cluster_Master!$D$4:$D$18,MATCH($F454,[1]Cluster_Master!$B$4:$B$18,0)),"")</f>
        <v/>
      </c>
      <c r="J454" s="60" t="str">
        <f>IFERROR(INDEX([1]Cluster_Master!$E$4:$E$18,MATCH($F454,[1]Cluster_Master!$B$4:$B$18,0)),"")</f>
        <v/>
      </c>
      <c r="K454" s="60" t="str">
        <f>IFERROR(INDEX([1]Cluster_Master!$F$4:$F$18,MATCH($F454,[1]Cluster_Master!$B$4:$B$18,0)),"")</f>
        <v/>
      </c>
      <c r="L454" s="60" t="str">
        <f>IFERROR(INDEX([1]Cluster_Master!$G$4:$G$18,MATCH($F454,[1]Cluster_Master!$B$4:$B$18,0)),"")</f>
        <v/>
      </c>
      <c r="M454" s="60" t="str">
        <f>IFERROR(INDEX([1]Cluster_Master!$H$4:$H$18,MATCH($F454,[1]Cluster_Master!$B$4:$B$18,0)),"")</f>
        <v/>
      </c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60" t="str">
        <f>IF(COUNTA(T454:AH454)=0,"",SUM(T454:AH454))</f>
        <v/>
      </c>
      <c r="AJ454" s="61" t="str">
        <f>IF(COUNTA(T454:AH454)=0,"",AI454/75)</f>
        <v/>
      </c>
      <c r="AK454" s="61" t="str">
        <f>IF(COUNTA(T454:AH454)=0,"",(SUM(T454*[1]KPI_Weights!$B$4,U454*[1]KPI_Weights!$B$5,V454*[1]KPI_Weights!$B$6,W454*[1]KPI_Weights!$B$7,X454*[1]KPI_Weights!$B$8,Y454*[1]KPI_Weights!$B$9,Z454*[1]KPI_Weights!$B$10,AA454*[1]KPI_Weights!$B$11,AB454*[1]KPI_Weights!$B$12,AC454*[1]KPI_Weights!$B$13,AD454*[1]KPI_Weights!$B$14,AE454*[1]KPI_Weights!$B$15,AF454*[1]KPI_Weights!$B$16,AG454*[1]KPI_Weights!$B$17,AH454*[1]KPI_Weights!$B$18))/5)</f>
        <v/>
      </c>
      <c r="AL454" s="60" t="str">
        <f>IF(COUNTA(T454:AH454)=0,"",IF(OR(T454&lt;=1,W454&lt;=1,X454&lt;=1,Y454&lt;=1,AB454&lt;=1),"YES","NO"))</f>
        <v/>
      </c>
      <c r="AM454" s="60" t="str">
        <f>IF(AJ454="","",IF(AND(AL454="NO",AJ454&gt;=0.75),"YES","NO"))</f>
        <v/>
      </c>
      <c r="AN454" s="60" t="str">
        <f>IF(AJ454="","",IF(AJ454&lt;0.4,"Critical",IF(AJ454&lt;0.6,"Poor",IF(AJ454&lt;0.75,"Needs Improvement",IF(AJ454&lt;0.9,"Good","Excellent")))))</f>
        <v/>
      </c>
      <c r="AO454" s="59"/>
      <c r="AP454" s="59"/>
      <c r="AQ454" s="59"/>
      <c r="AR454" s="59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</row>
    <row r="455" spans="1:54" ht="19.5" customHeight="1" x14ac:dyDescent="0.25">
      <c r="A455" s="60" t="str">
        <f>IF($B455="","",TEXT($B455,"yyyymmdd")&amp;"-"&amp;SUBSTITUTE($F455," ","")&amp;"-"&amp;TEXT(COUNTIF($F$4:F455,$F455),"00"))</f>
        <v/>
      </c>
      <c r="B455" s="65"/>
      <c r="C455" s="60" t="str">
        <f>IF($B455="","",WEEKNUM($B455,2))</f>
        <v/>
      </c>
      <c r="D455" s="60" t="str">
        <f>IF($B455="","",TEXT($B455,"yyyy-mm"))</f>
        <v/>
      </c>
      <c r="E455" s="64"/>
      <c r="F455" s="64"/>
      <c r="G455" s="60" t="str">
        <f>IF(OR($E455="",$F455=""),"",IFERROR(IF($E455=INDEX([1]Cluster_Master!$A$4:$A$18,MATCH($F455,[1]Cluster_Master!$B$4:$B$18,0)),"OK","CHECK"),"CHECK"))</f>
        <v/>
      </c>
      <c r="H455" s="63" t="str">
        <f>IFERROR(INDEX([1]Cluster_Master!$C$4:$C$18,MATCH($F455,[1]Cluster_Master!$B$4:$B$18,0)),"")</f>
        <v/>
      </c>
      <c r="I455" s="60" t="str">
        <f>IFERROR(INDEX([1]Cluster_Master!$D$4:$D$18,MATCH($F455,[1]Cluster_Master!$B$4:$B$18,0)),"")</f>
        <v/>
      </c>
      <c r="J455" s="60" t="str">
        <f>IFERROR(INDEX([1]Cluster_Master!$E$4:$E$18,MATCH($F455,[1]Cluster_Master!$B$4:$B$18,0)),"")</f>
        <v/>
      </c>
      <c r="K455" s="60" t="str">
        <f>IFERROR(INDEX([1]Cluster_Master!$F$4:$F$18,MATCH($F455,[1]Cluster_Master!$B$4:$B$18,0)),"")</f>
        <v/>
      </c>
      <c r="L455" s="60" t="str">
        <f>IFERROR(INDEX([1]Cluster_Master!$G$4:$G$18,MATCH($F455,[1]Cluster_Master!$B$4:$B$18,0)),"")</f>
        <v/>
      </c>
      <c r="M455" s="60" t="str">
        <f>IFERROR(INDEX([1]Cluster_Master!$H$4:$H$18,MATCH($F455,[1]Cluster_Master!$B$4:$B$18,0)),"")</f>
        <v/>
      </c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60" t="str">
        <f>IF(COUNTA(T455:AH455)=0,"",SUM(T455:AH455))</f>
        <v/>
      </c>
      <c r="AJ455" s="61" t="str">
        <f>IF(COUNTA(T455:AH455)=0,"",AI455/75)</f>
        <v/>
      </c>
      <c r="AK455" s="61" t="str">
        <f>IF(COUNTA(T455:AH455)=0,"",(SUM(T455*[1]KPI_Weights!$B$4,U455*[1]KPI_Weights!$B$5,V455*[1]KPI_Weights!$B$6,W455*[1]KPI_Weights!$B$7,X455*[1]KPI_Weights!$B$8,Y455*[1]KPI_Weights!$B$9,Z455*[1]KPI_Weights!$B$10,AA455*[1]KPI_Weights!$B$11,AB455*[1]KPI_Weights!$B$12,AC455*[1]KPI_Weights!$B$13,AD455*[1]KPI_Weights!$B$14,AE455*[1]KPI_Weights!$B$15,AF455*[1]KPI_Weights!$B$16,AG455*[1]KPI_Weights!$B$17,AH455*[1]KPI_Weights!$B$18))/5)</f>
        <v/>
      </c>
      <c r="AL455" s="60" t="str">
        <f>IF(COUNTA(T455:AH455)=0,"",IF(OR(T455&lt;=1,W455&lt;=1,X455&lt;=1,Y455&lt;=1,AB455&lt;=1),"YES","NO"))</f>
        <v/>
      </c>
      <c r="AM455" s="60" t="str">
        <f>IF(AJ455="","",IF(AND(AL455="NO",AJ455&gt;=0.75),"YES","NO"))</f>
        <v/>
      </c>
      <c r="AN455" s="60" t="str">
        <f>IF(AJ455="","",IF(AJ455&lt;0.4,"Critical",IF(AJ455&lt;0.6,"Poor",IF(AJ455&lt;0.75,"Needs Improvement",IF(AJ455&lt;0.9,"Good","Excellent")))))</f>
        <v/>
      </c>
      <c r="AO455" s="59"/>
      <c r="AP455" s="59"/>
      <c r="AQ455" s="59"/>
      <c r="AR455" s="59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</row>
    <row r="456" spans="1:54" ht="19.5" customHeight="1" x14ac:dyDescent="0.25">
      <c r="A456" s="60" t="str">
        <f>IF($B456="","",TEXT($B456,"yyyymmdd")&amp;"-"&amp;SUBSTITUTE($F456," ","")&amp;"-"&amp;TEXT(COUNTIF($F$4:F456,$F456),"00"))</f>
        <v/>
      </c>
      <c r="B456" s="65"/>
      <c r="C456" s="60" t="str">
        <f>IF($B456="","",WEEKNUM($B456,2))</f>
        <v/>
      </c>
      <c r="D456" s="60" t="str">
        <f>IF($B456="","",TEXT($B456,"yyyy-mm"))</f>
        <v/>
      </c>
      <c r="E456" s="64"/>
      <c r="F456" s="64"/>
      <c r="G456" s="60" t="str">
        <f>IF(OR($E456="",$F456=""),"",IFERROR(IF($E456=INDEX([1]Cluster_Master!$A$4:$A$18,MATCH($F456,[1]Cluster_Master!$B$4:$B$18,0)),"OK","CHECK"),"CHECK"))</f>
        <v/>
      </c>
      <c r="H456" s="63" t="str">
        <f>IFERROR(INDEX([1]Cluster_Master!$C$4:$C$18,MATCH($F456,[1]Cluster_Master!$B$4:$B$18,0)),"")</f>
        <v/>
      </c>
      <c r="I456" s="60" t="str">
        <f>IFERROR(INDEX([1]Cluster_Master!$D$4:$D$18,MATCH($F456,[1]Cluster_Master!$B$4:$B$18,0)),"")</f>
        <v/>
      </c>
      <c r="J456" s="60" t="str">
        <f>IFERROR(INDEX([1]Cluster_Master!$E$4:$E$18,MATCH($F456,[1]Cluster_Master!$B$4:$B$18,0)),"")</f>
        <v/>
      </c>
      <c r="K456" s="60" t="str">
        <f>IFERROR(INDEX([1]Cluster_Master!$F$4:$F$18,MATCH($F456,[1]Cluster_Master!$B$4:$B$18,0)),"")</f>
        <v/>
      </c>
      <c r="L456" s="60" t="str">
        <f>IFERROR(INDEX([1]Cluster_Master!$G$4:$G$18,MATCH($F456,[1]Cluster_Master!$B$4:$B$18,0)),"")</f>
        <v/>
      </c>
      <c r="M456" s="60" t="str">
        <f>IFERROR(INDEX([1]Cluster_Master!$H$4:$H$18,MATCH($F456,[1]Cluster_Master!$B$4:$B$18,0)),"")</f>
        <v/>
      </c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60" t="str">
        <f>IF(COUNTA(T456:AH456)=0,"",SUM(T456:AH456))</f>
        <v/>
      </c>
      <c r="AJ456" s="61" t="str">
        <f>IF(COUNTA(T456:AH456)=0,"",AI456/75)</f>
        <v/>
      </c>
      <c r="AK456" s="61" t="str">
        <f>IF(COUNTA(T456:AH456)=0,"",(SUM(T456*[1]KPI_Weights!$B$4,U456*[1]KPI_Weights!$B$5,V456*[1]KPI_Weights!$B$6,W456*[1]KPI_Weights!$B$7,X456*[1]KPI_Weights!$B$8,Y456*[1]KPI_Weights!$B$9,Z456*[1]KPI_Weights!$B$10,AA456*[1]KPI_Weights!$B$11,AB456*[1]KPI_Weights!$B$12,AC456*[1]KPI_Weights!$B$13,AD456*[1]KPI_Weights!$B$14,AE456*[1]KPI_Weights!$B$15,AF456*[1]KPI_Weights!$B$16,AG456*[1]KPI_Weights!$B$17,AH456*[1]KPI_Weights!$B$18))/5)</f>
        <v/>
      </c>
      <c r="AL456" s="60" t="str">
        <f>IF(COUNTA(T456:AH456)=0,"",IF(OR(T456&lt;=1,W456&lt;=1,X456&lt;=1,Y456&lt;=1,AB456&lt;=1),"YES","NO"))</f>
        <v/>
      </c>
      <c r="AM456" s="60" t="str">
        <f>IF(AJ456="","",IF(AND(AL456="NO",AJ456&gt;=0.75),"YES","NO"))</f>
        <v/>
      </c>
      <c r="AN456" s="60" t="str">
        <f>IF(AJ456="","",IF(AJ456&lt;0.4,"Critical",IF(AJ456&lt;0.6,"Poor",IF(AJ456&lt;0.75,"Needs Improvement",IF(AJ456&lt;0.9,"Good","Excellent")))))</f>
        <v/>
      </c>
      <c r="AO456" s="59"/>
      <c r="AP456" s="59"/>
      <c r="AQ456" s="59"/>
      <c r="AR456" s="59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</row>
    <row r="457" spans="1:54" ht="19.5" customHeight="1" x14ac:dyDescent="0.25">
      <c r="A457" s="60" t="str">
        <f>IF($B457="","",TEXT($B457,"yyyymmdd")&amp;"-"&amp;SUBSTITUTE($F457," ","")&amp;"-"&amp;TEXT(COUNTIF($F$4:F457,$F457),"00"))</f>
        <v/>
      </c>
      <c r="B457" s="65"/>
      <c r="C457" s="60" t="str">
        <f>IF($B457="","",WEEKNUM($B457,2))</f>
        <v/>
      </c>
      <c r="D457" s="60" t="str">
        <f>IF($B457="","",TEXT($B457,"yyyy-mm"))</f>
        <v/>
      </c>
      <c r="E457" s="64"/>
      <c r="F457" s="64"/>
      <c r="G457" s="60" t="str">
        <f>IF(OR($E457="",$F457=""),"",IFERROR(IF($E457=INDEX([1]Cluster_Master!$A$4:$A$18,MATCH($F457,[1]Cluster_Master!$B$4:$B$18,0)),"OK","CHECK"),"CHECK"))</f>
        <v/>
      </c>
      <c r="H457" s="63" t="str">
        <f>IFERROR(INDEX([1]Cluster_Master!$C$4:$C$18,MATCH($F457,[1]Cluster_Master!$B$4:$B$18,0)),"")</f>
        <v/>
      </c>
      <c r="I457" s="60" t="str">
        <f>IFERROR(INDEX([1]Cluster_Master!$D$4:$D$18,MATCH($F457,[1]Cluster_Master!$B$4:$B$18,0)),"")</f>
        <v/>
      </c>
      <c r="J457" s="60" t="str">
        <f>IFERROR(INDEX([1]Cluster_Master!$E$4:$E$18,MATCH($F457,[1]Cluster_Master!$B$4:$B$18,0)),"")</f>
        <v/>
      </c>
      <c r="K457" s="60" t="str">
        <f>IFERROR(INDEX([1]Cluster_Master!$F$4:$F$18,MATCH($F457,[1]Cluster_Master!$B$4:$B$18,0)),"")</f>
        <v/>
      </c>
      <c r="L457" s="60" t="str">
        <f>IFERROR(INDEX([1]Cluster_Master!$G$4:$G$18,MATCH($F457,[1]Cluster_Master!$B$4:$B$18,0)),"")</f>
        <v/>
      </c>
      <c r="M457" s="60" t="str">
        <f>IFERROR(INDEX([1]Cluster_Master!$H$4:$H$18,MATCH($F457,[1]Cluster_Master!$B$4:$B$18,0)),"")</f>
        <v/>
      </c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60" t="str">
        <f>IF(COUNTA(T457:AH457)=0,"",SUM(T457:AH457))</f>
        <v/>
      </c>
      <c r="AJ457" s="61" t="str">
        <f>IF(COUNTA(T457:AH457)=0,"",AI457/75)</f>
        <v/>
      </c>
      <c r="AK457" s="61" t="str">
        <f>IF(COUNTA(T457:AH457)=0,"",(SUM(T457*[1]KPI_Weights!$B$4,U457*[1]KPI_Weights!$B$5,V457*[1]KPI_Weights!$B$6,W457*[1]KPI_Weights!$B$7,X457*[1]KPI_Weights!$B$8,Y457*[1]KPI_Weights!$B$9,Z457*[1]KPI_Weights!$B$10,AA457*[1]KPI_Weights!$B$11,AB457*[1]KPI_Weights!$B$12,AC457*[1]KPI_Weights!$B$13,AD457*[1]KPI_Weights!$B$14,AE457*[1]KPI_Weights!$B$15,AF457*[1]KPI_Weights!$B$16,AG457*[1]KPI_Weights!$B$17,AH457*[1]KPI_Weights!$B$18))/5)</f>
        <v/>
      </c>
      <c r="AL457" s="60" t="str">
        <f>IF(COUNTA(T457:AH457)=0,"",IF(OR(T457&lt;=1,W457&lt;=1,X457&lt;=1,Y457&lt;=1,AB457&lt;=1),"YES","NO"))</f>
        <v/>
      </c>
      <c r="AM457" s="60" t="str">
        <f>IF(AJ457="","",IF(AND(AL457="NO",AJ457&gt;=0.75),"YES","NO"))</f>
        <v/>
      </c>
      <c r="AN457" s="60" t="str">
        <f>IF(AJ457="","",IF(AJ457&lt;0.4,"Critical",IF(AJ457&lt;0.6,"Poor",IF(AJ457&lt;0.75,"Needs Improvement",IF(AJ457&lt;0.9,"Good","Excellent")))))</f>
        <v/>
      </c>
      <c r="AO457" s="59"/>
      <c r="AP457" s="59"/>
      <c r="AQ457" s="59"/>
      <c r="AR457" s="59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</row>
    <row r="458" spans="1:54" ht="19.5" customHeight="1" x14ac:dyDescent="0.25">
      <c r="A458" s="60" t="str">
        <f>IF($B458="","",TEXT($B458,"yyyymmdd")&amp;"-"&amp;SUBSTITUTE($F458," ","")&amp;"-"&amp;TEXT(COUNTIF($F$4:F458,$F458),"00"))</f>
        <v/>
      </c>
      <c r="B458" s="65"/>
      <c r="C458" s="60" t="str">
        <f>IF($B458="","",WEEKNUM($B458,2))</f>
        <v/>
      </c>
      <c r="D458" s="60" t="str">
        <f>IF($B458="","",TEXT($B458,"yyyy-mm"))</f>
        <v/>
      </c>
      <c r="E458" s="64"/>
      <c r="F458" s="64"/>
      <c r="G458" s="60" t="str">
        <f>IF(OR($E458="",$F458=""),"",IFERROR(IF($E458=INDEX([1]Cluster_Master!$A$4:$A$18,MATCH($F458,[1]Cluster_Master!$B$4:$B$18,0)),"OK","CHECK"),"CHECK"))</f>
        <v/>
      </c>
      <c r="H458" s="63" t="str">
        <f>IFERROR(INDEX([1]Cluster_Master!$C$4:$C$18,MATCH($F458,[1]Cluster_Master!$B$4:$B$18,0)),"")</f>
        <v/>
      </c>
      <c r="I458" s="60" t="str">
        <f>IFERROR(INDEX([1]Cluster_Master!$D$4:$D$18,MATCH($F458,[1]Cluster_Master!$B$4:$B$18,0)),"")</f>
        <v/>
      </c>
      <c r="J458" s="60" t="str">
        <f>IFERROR(INDEX([1]Cluster_Master!$E$4:$E$18,MATCH($F458,[1]Cluster_Master!$B$4:$B$18,0)),"")</f>
        <v/>
      </c>
      <c r="K458" s="60" t="str">
        <f>IFERROR(INDEX([1]Cluster_Master!$F$4:$F$18,MATCH($F458,[1]Cluster_Master!$B$4:$B$18,0)),"")</f>
        <v/>
      </c>
      <c r="L458" s="60" t="str">
        <f>IFERROR(INDEX([1]Cluster_Master!$G$4:$G$18,MATCH($F458,[1]Cluster_Master!$B$4:$B$18,0)),"")</f>
        <v/>
      </c>
      <c r="M458" s="60" t="str">
        <f>IFERROR(INDEX([1]Cluster_Master!$H$4:$H$18,MATCH($F458,[1]Cluster_Master!$B$4:$B$18,0)),"")</f>
        <v/>
      </c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60" t="str">
        <f>IF(COUNTA(T458:AH458)=0,"",SUM(T458:AH458))</f>
        <v/>
      </c>
      <c r="AJ458" s="61" t="str">
        <f>IF(COUNTA(T458:AH458)=0,"",AI458/75)</f>
        <v/>
      </c>
      <c r="AK458" s="61" t="str">
        <f>IF(COUNTA(T458:AH458)=0,"",(SUM(T458*[1]KPI_Weights!$B$4,U458*[1]KPI_Weights!$B$5,V458*[1]KPI_Weights!$B$6,W458*[1]KPI_Weights!$B$7,X458*[1]KPI_Weights!$B$8,Y458*[1]KPI_Weights!$B$9,Z458*[1]KPI_Weights!$B$10,AA458*[1]KPI_Weights!$B$11,AB458*[1]KPI_Weights!$B$12,AC458*[1]KPI_Weights!$B$13,AD458*[1]KPI_Weights!$B$14,AE458*[1]KPI_Weights!$B$15,AF458*[1]KPI_Weights!$B$16,AG458*[1]KPI_Weights!$B$17,AH458*[1]KPI_Weights!$B$18))/5)</f>
        <v/>
      </c>
      <c r="AL458" s="60" t="str">
        <f>IF(COUNTA(T458:AH458)=0,"",IF(OR(T458&lt;=1,W458&lt;=1,X458&lt;=1,Y458&lt;=1,AB458&lt;=1),"YES","NO"))</f>
        <v/>
      </c>
      <c r="AM458" s="60" t="str">
        <f>IF(AJ458="","",IF(AND(AL458="NO",AJ458&gt;=0.75),"YES","NO"))</f>
        <v/>
      </c>
      <c r="AN458" s="60" t="str">
        <f>IF(AJ458="","",IF(AJ458&lt;0.4,"Critical",IF(AJ458&lt;0.6,"Poor",IF(AJ458&lt;0.75,"Needs Improvement",IF(AJ458&lt;0.9,"Good","Excellent")))))</f>
        <v/>
      </c>
      <c r="AO458" s="59"/>
      <c r="AP458" s="59"/>
      <c r="AQ458" s="59"/>
      <c r="AR458" s="59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</row>
    <row r="459" spans="1:54" ht="19.5" customHeight="1" x14ac:dyDescent="0.25">
      <c r="A459" s="60" t="str">
        <f>IF($B459="","",TEXT($B459,"yyyymmdd")&amp;"-"&amp;SUBSTITUTE($F459," ","")&amp;"-"&amp;TEXT(COUNTIF($F$4:F459,$F459),"00"))</f>
        <v/>
      </c>
      <c r="B459" s="65"/>
      <c r="C459" s="60" t="str">
        <f>IF($B459="","",WEEKNUM($B459,2))</f>
        <v/>
      </c>
      <c r="D459" s="60" t="str">
        <f>IF($B459="","",TEXT($B459,"yyyy-mm"))</f>
        <v/>
      </c>
      <c r="E459" s="64"/>
      <c r="F459" s="64"/>
      <c r="G459" s="60" t="str">
        <f>IF(OR($E459="",$F459=""),"",IFERROR(IF($E459=INDEX([1]Cluster_Master!$A$4:$A$18,MATCH($F459,[1]Cluster_Master!$B$4:$B$18,0)),"OK","CHECK"),"CHECK"))</f>
        <v/>
      </c>
      <c r="H459" s="63" t="str">
        <f>IFERROR(INDEX([1]Cluster_Master!$C$4:$C$18,MATCH($F459,[1]Cluster_Master!$B$4:$B$18,0)),"")</f>
        <v/>
      </c>
      <c r="I459" s="60" t="str">
        <f>IFERROR(INDEX([1]Cluster_Master!$D$4:$D$18,MATCH($F459,[1]Cluster_Master!$B$4:$B$18,0)),"")</f>
        <v/>
      </c>
      <c r="J459" s="60" t="str">
        <f>IFERROR(INDEX([1]Cluster_Master!$E$4:$E$18,MATCH($F459,[1]Cluster_Master!$B$4:$B$18,0)),"")</f>
        <v/>
      </c>
      <c r="K459" s="60" t="str">
        <f>IFERROR(INDEX([1]Cluster_Master!$F$4:$F$18,MATCH($F459,[1]Cluster_Master!$B$4:$B$18,0)),"")</f>
        <v/>
      </c>
      <c r="L459" s="60" t="str">
        <f>IFERROR(INDEX([1]Cluster_Master!$G$4:$G$18,MATCH($F459,[1]Cluster_Master!$B$4:$B$18,0)),"")</f>
        <v/>
      </c>
      <c r="M459" s="60" t="str">
        <f>IFERROR(INDEX([1]Cluster_Master!$H$4:$H$18,MATCH($F459,[1]Cluster_Master!$B$4:$B$18,0)),"")</f>
        <v/>
      </c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60" t="str">
        <f>IF(COUNTA(T459:AH459)=0,"",SUM(T459:AH459))</f>
        <v/>
      </c>
      <c r="AJ459" s="61" t="str">
        <f>IF(COUNTA(T459:AH459)=0,"",AI459/75)</f>
        <v/>
      </c>
      <c r="AK459" s="61" t="str">
        <f>IF(COUNTA(T459:AH459)=0,"",(SUM(T459*[1]KPI_Weights!$B$4,U459*[1]KPI_Weights!$B$5,V459*[1]KPI_Weights!$B$6,W459*[1]KPI_Weights!$B$7,X459*[1]KPI_Weights!$B$8,Y459*[1]KPI_Weights!$B$9,Z459*[1]KPI_Weights!$B$10,AA459*[1]KPI_Weights!$B$11,AB459*[1]KPI_Weights!$B$12,AC459*[1]KPI_Weights!$B$13,AD459*[1]KPI_Weights!$B$14,AE459*[1]KPI_Weights!$B$15,AF459*[1]KPI_Weights!$B$16,AG459*[1]KPI_Weights!$B$17,AH459*[1]KPI_Weights!$B$18))/5)</f>
        <v/>
      </c>
      <c r="AL459" s="60" t="str">
        <f>IF(COUNTA(T459:AH459)=0,"",IF(OR(T459&lt;=1,W459&lt;=1,X459&lt;=1,Y459&lt;=1,AB459&lt;=1),"YES","NO"))</f>
        <v/>
      </c>
      <c r="AM459" s="60" t="str">
        <f>IF(AJ459="","",IF(AND(AL459="NO",AJ459&gt;=0.75),"YES","NO"))</f>
        <v/>
      </c>
      <c r="AN459" s="60" t="str">
        <f>IF(AJ459="","",IF(AJ459&lt;0.4,"Critical",IF(AJ459&lt;0.6,"Poor",IF(AJ459&lt;0.75,"Needs Improvement",IF(AJ459&lt;0.9,"Good","Excellent")))))</f>
        <v/>
      </c>
      <c r="AO459" s="59"/>
      <c r="AP459" s="59"/>
      <c r="AQ459" s="59"/>
      <c r="AR459" s="59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</row>
    <row r="460" spans="1:54" ht="19.5" customHeight="1" x14ac:dyDescent="0.25">
      <c r="A460" s="60" t="str">
        <f>IF($B460="","",TEXT($B460,"yyyymmdd")&amp;"-"&amp;SUBSTITUTE($F460," ","")&amp;"-"&amp;TEXT(COUNTIF($F$4:F460,$F460),"00"))</f>
        <v/>
      </c>
      <c r="B460" s="65"/>
      <c r="C460" s="60" t="str">
        <f>IF($B460="","",WEEKNUM($B460,2))</f>
        <v/>
      </c>
      <c r="D460" s="60" t="str">
        <f>IF($B460="","",TEXT($B460,"yyyy-mm"))</f>
        <v/>
      </c>
      <c r="E460" s="64"/>
      <c r="F460" s="64"/>
      <c r="G460" s="60" t="str">
        <f>IF(OR($E460="",$F460=""),"",IFERROR(IF($E460=INDEX([1]Cluster_Master!$A$4:$A$18,MATCH($F460,[1]Cluster_Master!$B$4:$B$18,0)),"OK","CHECK"),"CHECK"))</f>
        <v/>
      </c>
      <c r="H460" s="63" t="str">
        <f>IFERROR(INDEX([1]Cluster_Master!$C$4:$C$18,MATCH($F460,[1]Cluster_Master!$B$4:$B$18,0)),"")</f>
        <v/>
      </c>
      <c r="I460" s="60" t="str">
        <f>IFERROR(INDEX([1]Cluster_Master!$D$4:$D$18,MATCH($F460,[1]Cluster_Master!$B$4:$B$18,0)),"")</f>
        <v/>
      </c>
      <c r="J460" s="60" t="str">
        <f>IFERROR(INDEX([1]Cluster_Master!$E$4:$E$18,MATCH($F460,[1]Cluster_Master!$B$4:$B$18,0)),"")</f>
        <v/>
      </c>
      <c r="K460" s="60" t="str">
        <f>IFERROR(INDEX([1]Cluster_Master!$F$4:$F$18,MATCH($F460,[1]Cluster_Master!$B$4:$B$18,0)),"")</f>
        <v/>
      </c>
      <c r="L460" s="60" t="str">
        <f>IFERROR(INDEX([1]Cluster_Master!$G$4:$G$18,MATCH($F460,[1]Cluster_Master!$B$4:$B$18,0)),"")</f>
        <v/>
      </c>
      <c r="M460" s="60" t="str">
        <f>IFERROR(INDEX([1]Cluster_Master!$H$4:$H$18,MATCH($F460,[1]Cluster_Master!$B$4:$B$18,0)),"")</f>
        <v/>
      </c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60" t="str">
        <f>IF(COUNTA(T460:AH460)=0,"",SUM(T460:AH460))</f>
        <v/>
      </c>
      <c r="AJ460" s="61" t="str">
        <f>IF(COUNTA(T460:AH460)=0,"",AI460/75)</f>
        <v/>
      </c>
      <c r="AK460" s="61" t="str">
        <f>IF(COUNTA(T460:AH460)=0,"",(SUM(T460*[1]KPI_Weights!$B$4,U460*[1]KPI_Weights!$B$5,V460*[1]KPI_Weights!$B$6,W460*[1]KPI_Weights!$B$7,X460*[1]KPI_Weights!$B$8,Y460*[1]KPI_Weights!$B$9,Z460*[1]KPI_Weights!$B$10,AA460*[1]KPI_Weights!$B$11,AB460*[1]KPI_Weights!$B$12,AC460*[1]KPI_Weights!$B$13,AD460*[1]KPI_Weights!$B$14,AE460*[1]KPI_Weights!$B$15,AF460*[1]KPI_Weights!$B$16,AG460*[1]KPI_Weights!$B$17,AH460*[1]KPI_Weights!$B$18))/5)</f>
        <v/>
      </c>
      <c r="AL460" s="60" t="str">
        <f>IF(COUNTA(T460:AH460)=0,"",IF(OR(T460&lt;=1,W460&lt;=1,X460&lt;=1,Y460&lt;=1,AB460&lt;=1),"YES","NO"))</f>
        <v/>
      </c>
      <c r="AM460" s="60" t="str">
        <f>IF(AJ460="","",IF(AND(AL460="NO",AJ460&gt;=0.75),"YES","NO"))</f>
        <v/>
      </c>
      <c r="AN460" s="60" t="str">
        <f>IF(AJ460="","",IF(AJ460&lt;0.4,"Critical",IF(AJ460&lt;0.6,"Poor",IF(AJ460&lt;0.75,"Needs Improvement",IF(AJ460&lt;0.9,"Good","Excellent")))))</f>
        <v/>
      </c>
      <c r="AO460" s="59"/>
      <c r="AP460" s="59"/>
      <c r="AQ460" s="59"/>
      <c r="AR460" s="59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</row>
    <row r="461" spans="1:54" ht="19.5" customHeight="1" x14ac:dyDescent="0.25">
      <c r="A461" s="60" t="str">
        <f>IF($B461="","",TEXT($B461,"yyyymmdd")&amp;"-"&amp;SUBSTITUTE($F461," ","")&amp;"-"&amp;TEXT(COUNTIF($F$4:F461,$F461),"00"))</f>
        <v/>
      </c>
      <c r="B461" s="65"/>
      <c r="C461" s="60" t="str">
        <f>IF($B461="","",WEEKNUM($B461,2))</f>
        <v/>
      </c>
      <c r="D461" s="60" t="str">
        <f>IF($B461="","",TEXT($B461,"yyyy-mm"))</f>
        <v/>
      </c>
      <c r="E461" s="64"/>
      <c r="F461" s="64"/>
      <c r="G461" s="60" t="str">
        <f>IF(OR($E461="",$F461=""),"",IFERROR(IF($E461=INDEX([1]Cluster_Master!$A$4:$A$18,MATCH($F461,[1]Cluster_Master!$B$4:$B$18,0)),"OK","CHECK"),"CHECK"))</f>
        <v/>
      </c>
      <c r="H461" s="63" t="str">
        <f>IFERROR(INDEX([1]Cluster_Master!$C$4:$C$18,MATCH($F461,[1]Cluster_Master!$B$4:$B$18,0)),"")</f>
        <v/>
      </c>
      <c r="I461" s="60" t="str">
        <f>IFERROR(INDEX([1]Cluster_Master!$D$4:$D$18,MATCH($F461,[1]Cluster_Master!$B$4:$B$18,0)),"")</f>
        <v/>
      </c>
      <c r="J461" s="60" t="str">
        <f>IFERROR(INDEX([1]Cluster_Master!$E$4:$E$18,MATCH($F461,[1]Cluster_Master!$B$4:$B$18,0)),"")</f>
        <v/>
      </c>
      <c r="K461" s="60" t="str">
        <f>IFERROR(INDEX([1]Cluster_Master!$F$4:$F$18,MATCH($F461,[1]Cluster_Master!$B$4:$B$18,0)),"")</f>
        <v/>
      </c>
      <c r="L461" s="60" t="str">
        <f>IFERROR(INDEX([1]Cluster_Master!$G$4:$G$18,MATCH($F461,[1]Cluster_Master!$B$4:$B$18,0)),"")</f>
        <v/>
      </c>
      <c r="M461" s="60" t="str">
        <f>IFERROR(INDEX([1]Cluster_Master!$H$4:$H$18,MATCH($F461,[1]Cluster_Master!$B$4:$B$18,0)),"")</f>
        <v/>
      </c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60" t="str">
        <f>IF(COUNTA(T461:AH461)=0,"",SUM(T461:AH461))</f>
        <v/>
      </c>
      <c r="AJ461" s="61" t="str">
        <f>IF(COUNTA(T461:AH461)=0,"",AI461/75)</f>
        <v/>
      </c>
      <c r="AK461" s="61" t="str">
        <f>IF(COUNTA(T461:AH461)=0,"",(SUM(T461*[1]KPI_Weights!$B$4,U461*[1]KPI_Weights!$B$5,V461*[1]KPI_Weights!$B$6,W461*[1]KPI_Weights!$B$7,X461*[1]KPI_Weights!$B$8,Y461*[1]KPI_Weights!$B$9,Z461*[1]KPI_Weights!$B$10,AA461*[1]KPI_Weights!$B$11,AB461*[1]KPI_Weights!$B$12,AC461*[1]KPI_Weights!$B$13,AD461*[1]KPI_Weights!$B$14,AE461*[1]KPI_Weights!$B$15,AF461*[1]KPI_Weights!$B$16,AG461*[1]KPI_Weights!$B$17,AH461*[1]KPI_Weights!$B$18))/5)</f>
        <v/>
      </c>
      <c r="AL461" s="60" t="str">
        <f>IF(COUNTA(T461:AH461)=0,"",IF(OR(T461&lt;=1,W461&lt;=1,X461&lt;=1,Y461&lt;=1,AB461&lt;=1),"YES","NO"))</f>
        <v/>
      </c>
      <c r="AM461" s="60" t="str">
        <f>IF(AJ461="","",IF(AND(AL461="NO",AJ461&gt;=0.75),"YES","NO"))</f>
        <v/>
      </c>
      <c r="AN461" s="60" t="str">
        <f>IF(AJ461="","",IF(AJ461&lt;0.4,"Critical",IF(AJ461&lt;0.6,"Poor",IF(AJ461&lt;0.75,"Needs Improvement",IF(AJ461&lt;0.9,"Good","Excellent")))))</f>
        <v/>
      </c>
      <c r="AO461" s="59"/>
      <c r="AP461" s="59"/>
      <c r="AQ461" s="59"/>
      <c r="AR461" s="59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</row>
    <row r="462" spans="1:54" ht="19.5" customHeight="1" x14ac:dyDescent="0.25">
      <c r="A462" s="60" t="str">
        <f>IF($B462="","",TEXT($B462,"yyyymmdd")&amp;"-"&amp;SUBSTITUTE($F462," ","")&amp;"-"&amp;TEXT(COUNTIF($F$4:F462,$F462),"00"))</f>
        <v/>
      </c>
      <c r="B462" s="65"/>
      <c r="C462" s="60" t="str">
        <f>IF($B462="","",WEEKNUM($B462,2))</f>
        <v/>
      </c>
      <c r="D462" s="60" t="str">
        <f>IF($B462="","",TEXT($B462,"yyyy-mm"))</f>
        <v/>
      </c>
      <c r="E462" s="64"/>
      <c r="F462" s="64"/>
      <c r="G462" s="60" t="str">
        <f>IF(OR($E462="",$F462=""),"",IFERROR(IF($E462=INDEX([1]Cluster_Master!$A$4:$A$18,MATCH($F462,[1]Cluster_Master!$B$4:$B$18,0)),"OK","CHECK"),"CHECK"))</f>
        <v/>
      </c>
      <c r="H462" s="63" t="str">
        <f>IFERROR(INDEX([1]Cluster_Master!$C$4:$C$18,MATCH($F462,[1]Cluster_Master!$B$4:$B$18,0)),"")</f>
        <v/>
      </c>
      <c r="I462" s="60" t="str">
        <f>IFERROR(INDEX([1]Cluster_Master!$D$4:$D$18,MATCH($F462,[1]Cluster_Master!$B$4:$B$18,0)),"")</f>
        <v/>
      </c>
      <c r="J462" s="60" t="str">
        <f>IFERROR(INDEX([1]Cluster_Master!$E$4:$E$18,MATCH($F462,[1]Cluster_Master!$B$4:$B$18,0)),"")</f>
        <v/>
      </c>
      <c r="K462" s="60" t="str">
        <f>IFERROR(INDEX([1]Cluster_Master!$F$4:$F$18,MATCH($F462,[1]Cluster_Master!$B$4:$B$18,0)),"")</f>
        <v/>
      </c>
      <c r="L462" s="60" t="str">
        <f>IFERROR(INDEX([1]Cluster_Master!$G$4:$G$18,MATCH($F462,[1]Cluster_Master!$B$4:$B$18,0)),"")</f>
        <v/>
      </c>
      <c r="M462" s="60" t="str">
        <f>IFERROR(INDEX([1]Cluster_Master!$H$4:$H$18,MATCH($F462,[1]Cluster_Master!$B$4:$B$18,0)),"")</f>
        <v/>
      </c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60" t="str">
        <f>IF(COUNTA(T462:AH462)=0,"",SUM(T462:AH462))</f>
        <v/>
      </c>
      <c r="AJ462" s="61" t="str">
        <f>IF(COUNTA(T462:AH462)=0,"",AI462/75)</f>
        <v/>
      </c>
      <c r="AK462" s="61" t="str">
        <f>IF(COUNTA(T462:AH462)=0,"",(SUM(T462*[1]KPI_Weights!$B$4,U462*[1]KPI_Weights!$B$5,V462*[1]KPI_Weights!$B$6,W462*[1]KPI_Weights!$B$7,X462*[1]KPI_Weights!$B$8,Y462*[1]KPI_Weights!$B$9,Z462*[1]KPI_Weights!$B$10,AA462*[1]KPI_Weights!$B$11,AB462*[1]KPI_Weights!$B$12,AC462*[1]KPI_Weights!$B$13,AD462*[1]KPI_Weights!$B$14,AE462*[1]KPI_Weights!$B$15,AF462*[1]KPI_Weights!$B$16,AG462*[1]KPI_Weights!$B$17,AH462*[1]KPI_Weights!$B$18))/5)</f>
        <v/>
      </c>
      <c r="AL462" s="60" t="str">
        <f>IF(COUNTA(T462:AH462)=0,"",IF(OR(T462&lt;=1,W462&lt;=1,X462&lt;=1,Y462&lt;=1,AB462&lt;=1),"YES","NO"))</f>
        <v/>
      </c>
      <c r="AM462" s="60" t="str">
        <f>IF(AJ462="","",IF(AND(AL462="NO",AJ462&gt;=0.75),"YES","NO"))</f>
        <v/>
      </c>
      <c r="AN462" s="60" t="str">
        <f>IF(AJ462="","",IF(AJ462&lt;0.4,"Critical",IF(AJ462&lt;0.6,"Poor",IF(AJ462&lt;0.75,"Needs Improvement",IF(AJ462&lt;0.9,"Good","Excellent")))))</f>
        <v/>
      </c>
      <c r="AO462" s="59"/>
      <c r="AP462" s="59"/>
      <c r="AQ462" s="59"/>
      <c r="AR462" s="59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</row>
    <row r="463" spans="1:54" ht="19.5" customHeight="1" x14ac:dyDescent="0.25">
      <c r="A463" s="60" t="str">
        <f>IF($B463="","",TEXT($B463,"yyyymmdd")&amp;"-"&amp;SUBSTITUTE($F463," ","")&amp;"-"&amp;TEXT(COUNTIF($F$4:F463,$F463),"00"))</f>
        <v/>
      </c>
      <c r="B463" s="65"/>
      <c r="C463" s="60" t="str">
        <f>IF($B463="","",WEEKNUM($B463,2))</f>
        <v/>
      </c>
      <c r="D463" s="60" t="str">
        <f>IF($B463="","",TEXT($B463,"yyyy-mm"))</f>
        <v/>
      </c>
      <c r="E463" s="64"/>
      <c r="F463" s="64"/>
      <c r="G463" s="60" t="str">
        <f>IF(OR($E463="",$F463=""),"",IFERROR(IF($E463=INDEX([1]Cluster_Master!$A$4:$A$18,MATCH($F463,[1]Cluster_Master!$B$4:$B$18,0)),"OK","CHECK"),"CHECK"))</f>
        <v/>
      </c>
      <c r="H463" s="63" t="str">
        <f>IFERROR(INDEX([1]Cluster_Master!$C$4:$C$18,MATCH($F463,[1]Cluster_Master!$B$4:$B$18,0)),"")</f>
        <v/>
      </c>
      <c r="I463" s="60" t="str">
        <f>IFERROR(INDEX([1]Cluster_Master!$D$4:$D$18,MATCH($F463,[1]Cluster_Master!$B$4:$B$18,0)),"")</f>
        <v/>
      </c>
      <c r="J463" s="60" t="str">
        <f>IFERROR(INDEX([1]Cluster_Master!$E$4:$E$18,MATCH($F463,[1]Cluster_Master!$B$4:$B$18,0)),"")</f>
        <v/>
      </c>
      <c r="K463" s="60" t="str">
        <f>IFERROR(INDEX([1]Cluster_Master!$F$4:$F$18,MATCH($F463,[1]Cluster_Master!$B$4:$B$18,0)),"")</f>
        <v/>
      </c>
      <c r="L463" s="60" t="str">
        <f>IFERROR(INDEX([1]Cluster_Master!$G$4:$G$18,MATCH($F463,[1]Cluster_Master!$B$4:$B$18,0)),"")</f>
        <v/>
      </c>
      <c r="M463" s="60" t="str">
        <f>IFERROR(INDEX([1]Cluster_Master!$H$4:$H$18,MATCH($F463,[1]Cluster_Master!$B$4:$B$18,0)),"")</f>
        <v/>
      </c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60" t="str">
        <f>IF(COUNTA(T463:AH463)=0,"",SUM(T463:AH463))</f>
        <v/>
      </c>
      <c r="AJ463" s="61" t="str">
        <f>IF(COUNTA(T463:AH463)=0,"",AI463/75)</f>
        <v/>
      </c>
      <c r="AK463" s="61" t="str">
        <f>IF(COUNTA(T463:AH463)=0,"",(SUM(T463*[1]KPI_Weights!$B$4,U463*[1]KPI_Weights!$B$5,V463*[1]KPI_Weights!$B$6,W463*[1]KPI_Weights!$B$7,X463*[1]KPI_Weights!$B$8,Y463*[1]KPI_Weights!$B$9,Z463*[1]KPI_Weights!$B$10,AA463*[1]KPI_Weights!$B$11,AB463*[1]KPI_Weights!$B$12,AC463*[1]KPI_Weights!$B$13,AD463*[1]KPI_Weights!$B$14,AE463*[1]KPI_Weights!$B$15,AF463*[1]KPI_Weights!$B$16,AG463*[1]KPI_Weights!$B$17,AH463*[1]KPI_Weights!$B$18))/5)</f>
        <v/>
      </c>
      <c r="AL463" s="60" t="str">
        <f>IF(COUNTA(T463:AH463)=0,"",IF(OR(T463&lt;=1,W463&lt;=1,X463&lt;=1,Y463&lt;=1,AB463&lt;=1),"YES","NO"))</f>
        <v/>
      </c>
      <c r="AM463" s="60" t="str">
        <f>IF(AJ463="","",IF(AND(AL463="NO",AJ463&gt;=0.75),"YES","NO"))</f>
        <v/>
      </c>
      <c r="AN463" s="60" t="str">
        <f>IF(AJ463="","",IF(AJ463&lt;0.4,"Critical",IF(AJ463&lt;0.6,"Poor",IF(AJ463&lt;0.75,"Needs Improvement",IF(AJ463&lt;0.9,"Good","Excellent")))))</f>
        <v/>
      </c>
      <c r="AO463" s="59"/>
      <c r="AP463" s="59"/>
      <c r="AQ463" s="59"/>
      <c r="AR463" s="59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</row>
    <row r="464" spans="1:54" ht="19.5" customHeight="1" x14ac:dyDescent="0.25">
      <c r="A464" s="60" t="str">
        <f>IF($B464="","",TEXT($B464,"yyyymmdd")&amp;"-"&amp;SUBSTITUTE($F464," ","")&amp;"-"&amp;TEXT(COUNTIF($F$4:F464,$F464),"00"))</f>
        <v/>
      </c>
      <c r="B464" s="65"/>
      <c r="C464" s="60" t="str">
        <f>IF($B464="","",WEEKNUM($B464,2))</f>
        <v/>
      </c>
      <c r="D464" s="60" t="str">
        <f>IF($B464="","",TEXT($B464,"yyyy-mm"))</f>
        <v/>
      </c>
      <c r="E464" s="64"/>
      <c r="F464" s="64"/>
      <c r="G464" s="60" t="str">
        <f>IF(OR($E464="",$F464=""),"",IFERROR(IF($E464=INDEX([1]Cluster_Master!$A$4:$A$18,MATCH($F464,[1]Cluster_Master!$B$4:$B$18,0)),"OK","CHECK"),"CHECK"))</f>
        <v/>
      </c>
      <c r="H464" s="63" t="str">
        <f>IFERROR(INDEX([1]Cluster_Master!$C$4:$C$18,MATCH($F464,[1]Cluster_Master!$B$4:$B$18,0)),"")</f>
        <v/>
      </c>
      <c r="I464" s="60" t="str">
        <f>IFERROR(INDEX([1]Cluster_Master!$D$4:$D$18,MATCH($F464,[1]Cluster_Master!$B$4:$B$18,0)),"")</f>
        <v/>
      </c>
      <c r="J464" s="60" t="str">
        <f>IFERROR(INDEX([1]Cluster_Master!$E$4:$E$18,MATCH($F464,[1]Cluster_Master!$B$4:$B$18,0)),"")</f>
        <v/>
      </c>
      <c r="K464" s="60" t="str">
        <f>IFERROR(INDEX([1]Cluster_Master!$F$4:$F$18,MATCH($F464,[1]Cluster_Master!$B$4:$B$18,0)),"")</f>
        <v/>
      </c>
      <c r="L464" s="60" t="str">
        <f>IFERROR(INDEX([1]Cluster_Master!$G$4:$G$18,MATCH($F464,[1]Cluster_Master!$B$4:$B$18,0)),"")</f>
        <v/>
      </c>
      <c r="M464" s="60" t="str">
        <f>IFERROR(INDEX([1]Cluster_Master!$H$4:$H$18,MATCH($F464,[1]Cluster_Master!$B$4:$B$18,0)),"")</f>
        <v/>
      </c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60" t="str">
        <f>IF(COUNTA(T464:AH464)=0,"",SUM(T464:AH464))</f>
        <v/>
      </c>
      <c r="AJ464" s="61" t="str">
        <f>IF(COUNTA(T464:AH464)=0,"",AI464/75)</f>
        <v/>
      </c>
      <c r="AK464" s="61" t="str">
        <f>IF(COUNTA(T464:AH464)=0,"",(SUM(T464*[1]KPI_Weights!$B$4,U464*[1]KPI_Weights!$B$5,V464*[1]KPI_Weights!$B$6,W464*[1]KPI_Weights!$B$7,X464*[1]KPI_Weights!$B$8,Y464*[1]KPI_Weights!$B$9,Z464*[1]KPI_Weights!$B$10,AA464*[1]KPI_Weights!$B$11,AB464*[1]KPI_Weights!$B$12,AC464*[1]KPI_Weights!$B$13,AD464*[1]KPI_Weights!$B$14,AE464*[1]KPI_Weights!$B$15,AF464*[1]KPI_Weights!$B$16,AG464*[1]KPI_Weights!$B$17,AH464*[1]KPI_Weights!$B$18))/5)</f>
        <v/>
      </c>
      <c r="AL464" s="60" t="str">
        <f>IF(COUNTA(T464:AH464)=0,"",IF(OR(T464&lt;=1,W464&lt;=1,X464&lt;=1,Y464&lt;=1,AB464&lt;=1),"YES","NO"))</f>
        <v/>
      </c>
      <c r="AM464" s="60" t="str">
        <f>IF(AJ464="","",IF(AND(AL464="NO",AJ464&gt;=0.75),"YES","NO"))</f>
        <v/>
      </c>
      <c r="AN464" s="60" t="str">
        <f>IF(AJ464="","",IF(AJ464&lt;0.4,"Critical",IF(AJ464&lt;0.6,"Poor",IF(AJ464&lt;0.75,"Needs Improvement",IF(AJ464&lt;0.9,"Good","Excellent")))))</f>
        <v/>
      </c>
      <c r="AO464" s="59"/>
      <c r="AP464" s="59"/>
      <c r="AQ464" s="59"/>
      <c r="AR464" s="59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</row>
    <row r="465" spans="1:54" ht="19.5" customHeight="1" x14ac:dyDescent="0.25">
      <c r="A465" s="60" t="str">
        <f>IF($B465="","",TEXT($B465,"yyyymmdd")&amp;"-"&amp;SUBSTITUTE($F465," ","")&amp;"-"&amp;TEXT(COUNTIF($F$4:F465,$F465),"00"))</f>
        <v/>
      </c>
      <c r="B465" s="65"/>
      <c r="C465" s="60" t="str">
        <f>IF($B465="","",WEEKNUM($B465,2))</f>
        <v/>
      </c>
      <c r="D465" s="60" t="str">
        <f>IF($B465="","",TEXT($B465,"yyyy-mm"))</f>
        <v/>
      </c>
      <c r="E465" s="64"/>
      <c r="F465" s="64"/>
      <c r="G465" s="60" t="str">
        <f>IF(OR($E465="",$F465=""),"",IFERROR(IF($E465=INDEX([1]Cluster_Master!$A$4:$A$18,MATCH($F465,[1]Cluster_Master!$B$4:$B$18,0)),"OK","CHECK"),"CHECK"))</f>
        <v/>
      </c>
      <c r="H465" s="63" t="str">
        <f>IFERROR(INDEX([1]Cluster_Master!$C$4:$C$18,MATCH($F465,[1]Cluster_Master!$B$4:$B$18,0)),"")</f>
        <v/>
      </c>
      <c r="I465" s="60" t="str">
        <f>IFERROR(INDEX([1]Cluster_Master!$D$4:$D$18,MATCH($F465,[1]Cluster_Master!$B$4:$B$18,0)),"")</f>
        <v/>
      </c>
      <c r="J465" s="60" t="str">
        <f>IFERROR(INDEX([1]Cluster_Master!$E$4:$E$18,MATCH($F465,[1]Cluster_Master!$B$4:$B$18,0)),"")</f>
        <v/>
      </c>
      <c r="K465" s="60" t="str">
        <f>IFERROR(INDEX([1]Cluster_Master!$F$4:$F$18,MATCH($F465,[1]Cluster_Master!$B$4:$B$18,0)),"")</f>
        <v/>
      </c>
      <c r="L465" s="60" t="str">
        <f>IFERROR(INDEX([1]Cluster_Master!$G$4:$G$18,MATCH($F465,[1]Cluster_Master!$B$4:$B$18,0)),"")</f>
        <v/>
      </c>
      <c r="M465" s="60" t="str">
        <f>IFERROR(INDEX([1]Cluster_Master!$H$4:$H$18,MATCH($F465,[1]Cluster_Master!$B$4:$B$18,0)),"")</f>
        <v/>
      </c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60" t="str">
        <f>IF(COUNTA(T465:AH465)=0,"",SUM(T465:AH465))</f>
        <v/>
      </c>
      <c r="AJ465" s="61" t="str">
        <f>IF(COUNTA(T465:AH465)=0,"",AI465/75)</f>
        <v/>
      </c>
      <c r="AK465" s="61" t="str">
        <f>IF(COUNTA(T465:AH465)=0,"",(SUM(T465*[1]KPI_Weights!$B$4,U465*[1]KPI_Weights!$B$5,V465*[1]KPI_Weights!$B$6,W465*[1]KPI_Weights!$B$7,X465*[1]KPI_Weights!$B$8,Y465*[1]KPI_Weights!$B$9,Z465*[1]KPI_Weights!$B$10,AA465*[1]KPI_Weights!$B$11,AB465*[1]KPI_Weights!$B$12,AC465*[1]KPI_Weights!$B$13,AD465*[1]KPI_Weights!$B$14,AE465*[1]KPI_Weights!$B$15,AF465*[1]KPI_Weights!$B$16,AG465*[1]KPI_Weights!$B$17,AH465*[1]KPI_Weights!$B$18))/5)</f>
        <v/>
      </c>
      <c r="AL465" s="60" t="str">
        <f>IF(COUNTA(T465:AH465)=0,"",IF(OR(T465&lt;=1,W465&lt;=1,X465&lt;=1,Y465&lt;=1,AB465&lt;=1),"YES","NO"))</f>
        <v/>
      </c>
      <c r="AM465" s="60" t="str">
        <f>IF(AJ465="","",IF(AND(AL465="NO",AJ465&gt;=0.75),"YES","NO"))</f>
        <v/>
      </c>
      <c r="AN465" s="60" t="str">
        <f>IF(AJ465="","",IF(AJ465&lt;0.4,"Critical",IF(AJ465&lt;0.6,"Poor",IF(AJ465&lt;0.75,"Needs Improvement",IF(AJ465&lt;0.9,"Good","Excellent")))))</f>
        <v/>
      </c>
      <c r="AO465" s="59"/>
      <c r="AP465" s="59"/>
      <c r="AQ465" s="59"/>
      <c r="AR465" s="59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</row>
    <row r="466" spans="1:54" ht="19.5" customHeight="1" x14ac:dyDescent="0.25">
      <c r="A466" s="60" t="str">
        <f>IF($B466="","",TEXT($B466,"yyyymmdd")&amp;"-"&amp;SUBSTITUTE($F466," ","")&amp;"-"&amp;TEXT(COUNTIF($F$4:F466,$F466),"00"))</f>
        <v/>
      </c>
      <c r="B466" s="65"/>
      <c r="C466" s="60" t="str">
        <f>IF($B466="","",WEEKNUM($B466,2))</f>
        <v/>
      </c>
      <c r="D466" s="60" t="str">
        <f>IF($B466="","",TEXT($B466,"yyyy-mm"))</f>
        <v/>
      </c>
      <c r="E466" s="64"/>
      <c r="F466" s="64"/>
      <c r="G466" s="60" t="str">
        <f>IF(OR($E466="",$F466=""),"",IFERROR(IF($E466=INDEX([1]Cluster_Master!$A$4:$A$18,MATCH($F466,[1]Cluster_Master!$B$4:$B$18,0)),"OK","CHECK"),"CHECK"))</f>
        <v/>
      </c>
      <c r="H466" s="63" t="str">
        <f>IFERROR(INDEX([1]Cluster_Master!$C$4:$C$18,MATCH($F466,[1]Cluster_Master!$B$4:$B$18,0)),"")</f>
        <v/>
      </c>
      <c r="I466" s="60" t="str">
        <f>IFERROR(INDEX([1]Cluster_Master!$D$4:$D$18,MATCH($F466,[1]Cluster_Master!$B$4:$B$18,0)),"")</f>
        <v/>
      </c>
      <c r="J466" s="60" t="str">
        <f>IFERROR(INDEX([1]Cluster_Master!$E$4:$E$18,MATCH($F466,[1]Cluster_Master!$B$4:$B$18,0)),"")</f>
        <v/>
      </c>
      <c r="K466" s="60" t="str">
        <f>IFERROR(INDEX([1]Cluster_Master!$F$4:$F$18,MATCH($F466,[1]Cluster_Master!$B$4:$B$18,0)),"")</f>
        <v/>
      </c>
      <c r="L466" s="60" t="str">
        <f>IFERROR(INDEX([1]Cluster_Master!$G$4:$G$18,MATCH($F466,[1]Cluster_Master!$B$4:$B$18,0)),"")</f>
        <v/>
      </c>
      <c r="M466" s="60" t="str">
        <f>IFERROR(INDEX([1]Cluster_Master!$H$4:$H$18,MATCH($F466,[1]Cluster_Master!$B$4:$B$18,0)),"")</f>
        <v/>
      </c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60" t="str">
        <f>IF(COUNTA(T466:AH466)=0,"",SUM(T466:AH466))</f>
        <v/>
      </c>
      <c r="AJ466" s="61" t="str">
        <f>IF(COUNTA(T466:AH466)=0,"",AI466/75)</f>
        <v/>
      </c>
      <c r="AK466" s="61" t="str">
        <f>IF(COUNTA(T466:AH466)=0,"",(SUM(T466*[1]KPI_Weights!$B$4,U466*[1]KPI_Weights!$B$5,V466*[1]KPI_Weights!$B$6,W466*[1]KPI_Weights!$B$7,X466*[1]KPI_Weights!$B$8,Y466*[1]KPI_Weights!$B$9,Z466*[1]KPI_Weights!$B$10,AA466*[1]KPI_Weights!$B$11,AB466*[1]KPI_Weights!$B$12,AC466*[1]KPI_Weights!$B$13,AD466*[1]KPI_Weights!$B$14,AE466*[1]KPI_Weights!$B$15,AF466*[1]KPI_Weights!$B$16,AG466*[1]KPI_Weights!$B$17,AH466*[1]KPI_Weights!$B$18))/5)</f>
        <v/>
      </c>
      <c r="AL466" s="60" t="str">
        <f>IF(COUNTA(T466:AH466)=0,"",IF(OR(T466&lt;=1,W466&lt;=1,X466&lt;=1,Y466&lt;=1,AB466&lt;=1),"YES","NO"))</f>
        <v/>
      </c>
      <c r="AM466" s="60" t="str">
        <f>IF(AJ466="","",IF(AND(AL466="NO",AJ466&gt;=0.75),"YES","NO"))</f>
        <v/>
      </c>
      <c r="AN466" s="60" t="str">
        <f>IF(AJ466="","",IF(AJ466&lt;0.4,"Critical",IF(AJ466&lt;0.6,"Poor",IF(AJ466&lt;0.75,"Needs Improvement",IF(AJ466&lt;0.9,"Good","Excellent")))))</f>
        <v/>
      </c>
      <c r="AO466" s="59"/>
      <c r="AP466" s="59"/>
      <c r="AQ466" s="59"/>
      <c r="AR466" s="59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</row>
    <row r="467" spans="1:54" ht="19.5" customHeight="1" x14ac:dyDescent="0.25">
      <c r="A467" s="60" t="str">
        <f>IF($B467="","",TEXT($B467,"yyyymmdd")&amp;"-"&amp;SUBSTITUTE($F467," ","")&amp;"-"&amp;TEXT(COUNTIF($F$4:F467,$F467),"00"))</f>
        <v/>
      </c>
      <c r="B467" s="65"/>
      <c r="C467" s="60" t="str">
        <f>IF($B467="","",WEEKNUM($B467,2))</f>
        <v/>
      </c>
      <c r="D467" s="60" t="str">
        <f>IF($B467="","",TEXT($B467,"yyyy-mm"))</f>
        <v/>
      </c>
      <c r="E467" s="64"/>
      <c r="F467" s="64"/>
      <c r="G467" s="60" t="str">
        <f>IF(OR($E467="",$F467=""),"",IFERROR(IF($E467=INDEX([1]Cluster_Master!$A$4:$A$18,MATCH($F467,[1]Cluster_Master!$B$4:$B$18,0)),"OK","CHECK"),"CHECK"))</f>
        <v/>
      </c>
      <c r="H467" s="63" t="str">
        <f>IFERROR(INDEX([1]Cluster_Master!$C$4:$C$18,MATCH($F467,[1]Cluster_Master!$B$4:$B$18,0)),"")</f>
        <v/>
      </c>
      <c r="I467" s="60" t="str">
        <f>IFERROR(INDEX([1]Cluster_Master!$D$4:$D$18,MATCH($F467,[1]Cluster_Master!$B$4:$B$18,0)),"")</f>
        <v/>
      </c>
      <c r="J467" s="60" t="str">
        <f>IFERROR(INDEX([1]Cluster_Master!$E$4:$E$18,MATCH($F467,[1]Cluster_Master!$B$4:$B$18,0)),"")</f>
        <v/>
      </c>
      <c r="K467" s="60" t="str">
        <f>IFERROR(INDEX([1]Cluster_Master!$F$4:$F$18,MATCH($F467,[1]Cluster_Master!$B$4:$B$18,0)),"")</f>
        <v/>
      </c>
      <c r="L467" s="60" t="str">
        <f>IFERROR(INDEX([1]Cluster_Master!$G$4:$G$18,MATCH($F467,[1]Cluster_Master!$B$4:$B$18,0)),"")</f>
        <v/>
      </c>
      <c r="M467" s="60" t="str">
        <f>IFERROR(INDEX([1]Cluster_Master!$H$4:$H$18,MATCH($F467,[1]Cluster_Master!$B$4:$B$18,0)),"")</f>
        <v/>
      </c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60" t="str">
        <f>IF(COUNTA(T467:AH467)=0,"",SUM(T467:AH467))</f>
        <v/>
      </c>
      <c r="AJ467" s="61" t="str">
        <f>IF(COUNTA(T467:AH467)=0,"",AI467/75)</f>
        <v/>
      </c>
      <c r="AK467" s="61" t="str">
        <f>IF(COUNTA(T467:AH467)=0,"",(SUM(T467*[1]KPI_Weights!$B$4,U467*[1]KPI_Weights!$B$5,V467*[1]KPI_Weights!$B$6,W467*[1]KPI_Weights!$B$7,X467*[1]KPI_Weights!$B$8,Y467*[1]KPI_Weights!$B$9,Z467*[1]KPI_Weights!$B$10,AA467*[1]KPI_Weights!$B$11,AB467*[1]KPI_Weights!$B$12,AC467*[1]KPI_Weights!$B$13,AD467*[1]KPI_Weights!$B$14,AE467*[1]KPI_Weights!$B$15,AF467*[1]KPI_Weights!$B$16,AG467*[1]KPI_Weights!$B$17,AH467*[1]KPI_Weights!$B$18))/5)</f>
        <v/>
      </c>
      <c r="AL467" s="60" t="str">
        <f>IF(COUNTA(T467:AH467)=0,"",IF(OR(T467&lt;=1,W467&lt;=1,X467&lt;=1,Y467&lt;=1,AB467&lt;=1),"YES","NO"))</f>
        <v/>
      </c>
      <c r="AM467" s="60" t="str">
        <f>IF(AJ467="","",IF(AND(AL467="NO",AJ467&gt;=0.75),"YES","NO"))</f>
        <v/>
      </c>
      <c r="AN467" s="60" t="str">
        <f>IF(AJ467="","",IF(AJ467&lt;0.4,"Critical",IF(AJ467&lt;0.6,"Poor",IF(AJ467&lt;0.75,"Needs Improvement",IF(AJ467&lt;0.9,"Good","Excellent")))))</f>
        <v/>
      </c>
      <c r="AO467" s="59"/>
      <c r="AP467" s="59"/>
      <c r="AQ467" s="59"/>
      <c r="AR467" s="59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</row>
    <row r="468" spans="1:54" ht="19.5" customHeight="1" x14ac:dyDescent="0.25">
      <c r="A468" s="60" t="str">
        <f>IF($B468="","",TEXT($B468,"yyyymmdd")&amp;"-"&amp;SUBSTITUTE($F468," ","")&amp;"-"&amp;TEXT(COUNTIF($F$4:F468,$F468),"00"))</f>
        <v/>
      </c>
      <c r="B468" s="65"/>
      <c r="C468" s="60" t="str">
        <f>IF($B468="","",WEEKNUM($B468,2))</f>
        <v/>
      </c>
      <c r="D468" s="60" t="str">
        <f>IF($B468="","",TEXT($B468,"yyyy-mm"))</f>
        <v/>
      </c>
      <c r="E468" s="64"/>
      <c r="F468" s="64"/>
      <c r="G468" s="60" t="str">
        <f>IF(OR($E468="",$F468=""),"",IFERROR(IF($E468=INDEX([1]Cluster_Master!$A$4:$A$18,MATCH($F468,[1]Cluster_Master!$B$4:$B$18,0)),"OK","CHECK"),"CHECK"))</f>
        <v/>
      </c>
      <c r="H468" s="63" t="str">
        <f>IFERROR(INDEX([1]Cluster_Master!$C$4:$C$18,MATCH($F468,[1]Cluster_Master!$B$4:$B$18,0)),"")</f>
        <v/>
      </c>
      <c r="I468" s="60" t="str">
        <f>IFERROR(INDEX([1]Cluster_Master!$D$4:$D$18,MATCH($F468,[1]Cluster_Master!$B$4:$B$18,0)),"")</f>
        <v/>
      </c>
      <c r="J468" s="60" t="str">
        <f>IFERROR(INDEX([1]Cluster_Master!$E$4:$E$18,MATCH($F468,[1]Cluster_Master!$B$4:$B$18,0)),"")</f>
        <v/>
      </c>
      <c r="K468" s="60" t="str">
        <f>IFERROR(INDEX([1]Cluster_Master!$F$4:$F$18,MATCH($F468,[1]Cluster_Master!$B$4:$B$18,0)),"")</f>
        <v/>
      </c>
      <c r="L468" s="60" t="str">
        <f>IFERROR(INDEX([1]Cluster_Master!$G$4:$G$18,MATCH($F468,[1]Cluster_Master!$B$4:$B$18,0)),"")</f>
        <v/>
      </c>
      <c r="M468" s="60" t="str">
        <f>IFERROR(INDEX([1]Cluster_Master!$H$4:$H$18,MATCH($F468,[1]Cluster_Master!$B$4:$B$18,0)),"")</f>
        <v/>
      </c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60" t="str">
        <f>IF(COUNTA(T468:AH468)=0,"",SUM(T468:AH468))</f>
        <v/>
      </c>
      <c r="AJ468" s="61" t="str">
        <f>IF(COUNTA(T468:AH468)=0,"",AI468/75)</f>
        <v/>
      </c>
      <c r="AK468" s="61" t="str">
        <f>IF(COUNTA(T468:AH468)=0,"",(SUM(T468*[1]KPI_Weights!$B$4,U468*[1]KPI_Weights!$B$5,V468*[1]KPI_Weights!$B$6,W468*[1]KPI_Weights!$B$7,X468*[1]KPI_Weights!$B$8,Y468*[1]KPI_Weights!$B$9,Z468*[1]KPI_Weights!$B$10,AA468*[1]KPI_Weights!$B$11,AB468*[1]KPI_Weights!$B$12,AC468*[1]KPI_Weights!$B$13,AD468*[1]KPI_Weights!$B$14,AE468*[1]KPI_Weights!$B$15,AF468*[1]KPI_Weights!$B$16,AG468*[1]KPI_Weights!$B$17,AH468*[1]KPI_Weights!$B$18))/5)</f>
        <v/>
      </c>
      <c r="AL468" s="60" t="str">
        <f>IF(COUNTA(T468:AH468)=0,"",IF(OR(T468&lt;=1,W468&lt;=1,X468&lt;=1,Y468&lt;=1,AB468&lt;=1),"YES","NO"))</f>
        <v/>
      </c>
      <c r="AM468" s="60" t="str">
        <f>IF(AJ468="","",IF(AND(AL468="NO",AJ468&gt;=0.75),"YES","NO"))</f>
        <v/>
      </c>
      <c r="AN468" s="60" t="str">
        <f>IF(AJ468="","",IF(AJ468&lt;0.4,"Critical",IF(AJ468&lt;0.6,"Poor",IF(AJ468&lt;0.75,"Needs Improvement",IF(AJ468&lt;0.9,"Good","Excellent")))))</f>
        <v/>
      </c>
      <c r="AO468" s="59"/>
      <c r="AP468" s="59"/>
      <c r="AQ468" s="59"/>
      <c r="AR468" s="59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</row>
    <row r="469" spans="1:54" ht="19.5" customHeight="1" x14ac:dyDescent="0.25">
      <c r="A469" s="60" t="str">
        <f>IF($B469="","",TEXT($B469,"yyyymmdd")&amp;"-"&amp;SUBSTITUTE($F469," ","")&amp;"-"&amp;TEXT(COUNTIF($F$4:F469,$F469),"00"))</f>
        <v/>
      </c>
      <c r="B469" s="65"/>
      <c r="C469" s="60" t="str">
        <f>IF($B469="","",WEEKNUM($B469,2))</f>
        <v/>
      </c>
      <c r="D469" s="60" t="str">
        <f>IF($B469="","",TEXT($B469,"yyyy-mm"))</f>
        <v/>
      </c>
      <c r="E469" s="64"/>
      <c r="F469" s="64"/>
      <c r="G469" s="60" t="str">
        <f>IF(OR($E469="",$F469=""),"",IFERROR(IF($E469=INDEX([1]Cluster_Master!$A$4:$A$18,MATCH($F469,[1]Cluster_Master!$B$4:$B$18,0)),"OK","CHECK"),"CHECK"))</f>
        <v/>
      </c>
      <c r="H469" s="63" t="str">
        <f>IFERROR(INDEX([1]Cluster_Master!$C$4:$C$18,MATCH($F469,[1]Cluster_Master!$B$4:$B$18,0)),"")</f>
        <v/>
      </c>
      <c r="I469" s="60" t="str">
        <f>IFERROR(INDEX([1]Cluster_Master!$D$4:$D$18,MATCH($F469,[1]Cluster_Master!$B$4:$B$18,0)),"")</f>
        <v/>
      </c>
      <c r="J469" s="60" t="str">
        <f>IFERROR(INDEX([1]Cluster_Master!$E$4:$E$18,MATCH($F469,[1]Cluster_Master!$B$4:$B$18,0)),"")</f>
        <v/>
      </c>
      <c r="K469" s="60" t="str">
        <f>IFERROR(INDEX([1]Cluster_Master!$F$4:$F$18,MATCH($F469,[1]Cluster_Master!$B$4:$B$18,0)),"")</f>
        <v/>
      </c>
      <c r="L469" s="60" t="str">
        <f>IFERROR(INDEX([1]Cluster_Master!$G$4:$G$18,MATCH($F469,[1]Cluster_Master!$B$4:$B$18,0)),"")</f>
        <v/>
      </c>
      <c r="M469" s="60" t="str">
        <f>IFERROR(INDEX([1]Cluster_Master!$H$4:$H$18,MATCH($F469,[1]Cluster_Master!$B$4:$B$18,0)),"")</f>
        <v/>
      </c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60" t="str">
        <f>IF(COUNTA(T469:AH469)=0,"",SUM(T469:AH469))</f>
        <v/>
      </c>
      <c r="AJ469" s="61" t="str">
        <f>IF(COUNTA(T469:AH469)=0,"",AI469/75)</f>
        <v/>
      </c>
      <c r="AK469" s="61" t="str">
        <f>IF(COUNTA(T469:AH469)=0,"",(SUM(T469*[1]KPI_Weights!$B$4,U469*[1]KPI_Weights!$B$5,V469*[1]KPI_Weights!$B$6,W469*[1]KPI_Weights!$B$7,X469*[1]KPI_Weights!$B$8,Y469*[1]KPI_Weights!$B$9,Z469*[1]KPI_Weights!$B$10,AA469*[1]KPI_Weights!$B$11,AB469*[1]KPI_Weights!$B$12,AC469*[1]KPI_Weights!$B$13,AD469*[1]KPI_Weights!$B$14,AE469*[1]KPI_Weights!$B$15,AF469*[1]KPI_Weights!$B$16,AG469*[1]KPI_Weights!$B$17,AH469*[1]KPI_Weights!$B$18))/5)</f>
        <v/>
      </c>
      <c r="AL469" s="60" t="str">
        <f>IF(COUNTA(T469:AH469)=0,"",IF(OR(T469&lt;=1,W469&lt;=1,X469&lt;=1,Y469&lt;=1,AB469&lt;=1),"YES","NO"))</f>
        <v/>
      </c>
      <c r="AM469" s="60" t="str">
        <f>IF(AJ469="","",IF(AND(AL469="NO",AJ469&gt;=0.75),"YES","NO"))</f>
        <v/>
      </c>
      <c r="AN469" s="60" t="str">
        <f>IF(AJ469="","",IF(AJ469&lt;0.4,"Critical",IF(AJ469&lt;0.6,"Poor",IF(AJ469&lt;0.75,"Needs Improvement",IF(AJ469&lt;0.9,"Good","Excellent")))))</f>
        <v/>
      </c>
      <c r="AO469" s="59"/>
      <c r="AP469" s="59"/>
      <c r="AQ469" s="59"/>
      <c r="AR469" s="59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</row>
    <row r="470" spans="1:54" ht="19.5" customHeight="1" x14ac:dyDescent="0.25">
      <c r="A470" s="60" t="str">
        <f>IF($B470="","",TEXT($B470,"yyyymmdd")&amp;"-"&amp;SUBSTITUTE($F470," ","")&amp;"-"&amp;TEXT(COUNTIF($F$4:F470,$F470),"00"))</f>
        <v/>
      </c>
      <c r="B470" s="65"/>
      <c r="C470" s="60" t="str">
        <f>IF($B470="","",WEEKNUM($B470,2))</f>
        <v/>
      </c>
      <c r="D470" s="60" t="str">
        <f>IF($B470="","",TEXT($B470,"yyyy-mm"))</f>
        <v/>
      </c>
      <c r="E470" s="64"/>
      <c r="F470" s="64"/>
      <c r="G470" s="60" t="str">
        <f>IF(OR($E470="",$F470=""),"",IFERROR(IF($E470=INDEX([1]Cluster_Master!$A$4:$A$18,MATCH($F470,[1]Cluster_Master!$B$4:$B$18,0)),"OK","CHECK"),"CHECK"))</f>
        <v/>
      </c>
      <c r="H470" s="63" t="str">
        <f>IFERROR(INDEX([1]Cluster_Master!$C$4:$C$18,MATCH($F470,[1]Cluster_Master!$B$4:$B$18,0)),"")</f>
        <v/>
      </c>
      <c r="I470" s="60" t="str">
        <f>IFERROR(INDEX([1]Cluster_Master!$D$4:$D$18,MATCH($F470,[1]Cluster_Master!$B$4:$B$18,0)),"")</f>
        <v/>
      </c>
      <c r="J470" s="60" t="str">
        <f>IFERROR(INDEX([1]Cluster_Master!$E$4:$E$18,MATCH($F470,[1]Cluster_Master!$B$4:$B$18,0)),"")</f>
        <v/>
      </c>
      <c r="K470" s="60" t="str">
        <f>IFERROR(INDEX([1]Cluster_Master!$F$4:$F$18,MATCH($F470,[1]Cluster_Master!$B$4:$B$18,0)),"")</f>
        <v/>
      </c>
      <c r="L470" s="60" t="str">
        <f>IFERROR(INDEX([1]Cluster_Master!$G$4:$G$18,MATCH($F470,[1]Cluster_Master!$B$4:$B$18,0)),"")</f>
        <v/>
      </c>
      <c r="M470" s="60" t="str">
        <f>IFERROR(INDEX([1]Cluster_Master!$H$4:$H$18,MATCH($F470,[1]Cluster_Master!$B$4:$B$18,0)),"")</f>
        <v/>
      </c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60" t="str">
        <f>IF(COUNTA(T470:AH470)=0,"",SUM(T470:AH470))</f>
        <v/>
      </c>
      <c r="AJ470" s="61" t="str">
        <f>IF(COUNTA(T470:AH470)=0,"",AI470/75)</f>
        <v/>
      </c>
      <c r="AK470" s="61" t="str">
        <f>IF(COUNTA(T470:AH470)=0,"",(SUM(T470*[1]KPI_Weights!$B$4,U470*[1]KPI_Weights!$B$5,V470*[1]KPI_Weights!$B$6,W470*[1]KPI_Weights!$B$7,X470*[1]KPI_Weights!$B$8,Y470*[1]KPI_Weights!$B$9,Z470*[1]KPI_Weights!$B$10,AA470*[1]KPI_Weights!$B$11,AB470*[1]KPI_Weights!$B$12,AC470*[1]KPI_Weights!$B$13,AD470*[1]KPI_Weights!$B$14,AE470*[1]KPI_Weights!$B$15,AF470*[1]KPI_Weights!$B$16,AG470*[1]KPI_Weights!$B$17,AH470*[1]KPI_Weights!$B$18))/5)</f>
        <v/>
      </c>
      <c r="AL470" s="60" t="str">
        <f>IF(COUNTA(T470:AH470)=0,"",IF(OR(T470&lt;=1,W470&lt;=1,X470&lt;=1,Y470&lt;=1,AB470&lt;=1),"YES","NO"))</f>
        <v/>
      </c>
      <c r="AM470" s="60" t="str">
        <f>IF(AJ470="","",IF(AND(AL470="NO",AJ470&gt;=0.75),"YES","NO"))</f>
        <v/>
      </c>
      <c r="AN470" s="60" t="str">
        <f>IF(AJ470="","",IF(AJ470&lt;0.4,"Critical",IF(AJ470&lt;0.6,"Poor",IF(AJ470&lt;0.75,"Needs Improvement",IF(AJ470&lt;0.9,"Good","Excellent")))))</f>
        <v/>
      </c>
      <c r="AO470" s="59"/>
      <c r="AP470" s="59"/>
      <c r="AQ470" s="59"/>
      <c r="AR470" s="59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</row>
    <row r="471" spans="1:54" ht="19.5" customHeight="1" x14ac:dyDescent="0.25">
      <c r="A471" s="60" t="str">
        <f>IF($B471="","",TEXT($B471,"yyyymmdd")&amp;"-"&amp;SUBSTITUTE($F471," ","")&amp;"-"&amp;TEXT(COUNTIF($F$4:F471,$F471),"00"))</f>
        <v/>
      </c>
      <c r="B471" s="65"/>
      <c r="C471" s="60" t="str">
        <f>IF($B471="","",WEEKNUM($B471,2))</f>
        <v/>
      </c>
      <c r="D471" s="60" t="str">
        <f>IF($B471="","",TEXT($B471,"yyyy-mm"))</f>
        <v/>
      </c>
      <c r="E471" s="64"/>
      <c r="F471" s="64"/>
      <c r="G471" s="60" t="str">
        <f>IF(OR($E471="",$F471=""),"",IFERROR(IF($E471=INDEX([1]Cluster_Master!$A$4:$A$18,MATCH($F471,[1]Cluster_Master!$B$4:$B$18,0)),"OK","CHECK"),"CHECK"))</f>
        <v/>
      </c>
      <c r="H471" s="63" t="str">
        <f>IFERROR(INDEX([1]Cluster_Master!$C$4:$C$18,MATCH($F471,[1]Cluster_Master!$B$4:$B$18,0)),"")</f>
        <v/>
      </c>
      <c r="I471" s="60" t="str">
        <f>IFERROR(INDEX([1]Cluster_Master!$D$4:$D$18,MATCH($F471,[1]Cluster_Master!$B$4:$B$18,0)),"")</f>
        <v/>
      </c>
      <c r="J471" s="60" t="str">
        <f>IFERROR(INDEX([1]Cluster_Master!$E$4:$E$18,MATCH($F471,[1]Cluster_Master!$B$4:$B$18,0)),"")</f>
        <v/>
      </c>
      <c r="K471" s="60" t="str">
        <f>IFERROR(INDEX([1]Cluster_Master!$F$4:$F$18,MATCH($F471,[1]Cluster_Master!$B$4:$B$18,0)),"")</f>
        <v/>
      </c>
      <c r="L471" s="60" t="str">
        <f>IFERROR(INDEX([1]Cluster_Master!$G$4:$G$18,MATCH($F471,[1]Cluster_Master!$B$4:$B$18,0)),"")</f>
        <v/>
      </c>
      <c r="M471" s="60" t="str">
        <f>IFERROR(INDEX([1]Cluster_Master!$H$4:$H$18,MATCH($F471,[1]Cluster_Master!$B$4:$B$18,0)),"")</f>
        <v/>
      </c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60" t="str">
        <f>IF(COUNTA(T471:AH471)=0,"",SUM(T471:AH471))</f>
        <v/>
      </c>
      <c r="AJ471" s="61" t="str">
        <f>IF(COUNTA(T471:AH471)=0,"",AI471/75)</f>
        <v/>
      </c>
      <c r="AK471" s="61" t="str">
        <f>IF(COUNTA(T471:AH471)=0,"",(SUM(T471*[1]KPI_Weights!$B$4,U471*[1]KPI_Weights!$B$5,V471*[1]KPI_Weights!$B$6,W471*[1]KPI_Weights!$B$7,X471*[1]KPI_Weights!$B$8,Y471*[1]KPI_Weights!$B$9,Z471*[1]KPI_Weights!$B$10,AA471*[1]KPI_Weights!$B$11,AB471*[1]KPI_Weights!$B$12,AC471*[1]KPI_Weights!$B$13,AD471*[1]KPI_Weights!$B$14,AE471*[1]KPI_Weights!$B$15,AF471*[1]KPI_Weights!$B$16,AG471*[1]KPI_Weights!$B$17,AH471*[1]KPI_Weights!$B$18))/5)</f>
        <v/>
      </c>
      <c r="AL471" s="60" t="str">
        <f>IF(COUNTA(T471:AH471)=0,"",IF(OR(T471&lt;=1,W471&lt;=1,X471&lt;=1,Y471&lt;=1,AB471&lt;=1),"YES","NO"))</f>
        <v/>
      </c>
      <c r="AM471" s="60" t="str">
        <f>IF(AJ471="","",IF(AND(AL471="NO",AJ471&gt;=0.75),"YES","NO"))</f>
        <v/>
      </c>
      <c r="AN471" s="60" t="str">
        <f>IF(AJ471="","",IF(AJ471&lt;0.4,"Critical",IF(AJ471&lt;0.6,"Poor",IF(AJ471&lt;0.75,"Needs Improvement",IF(AJ471&lt;0.9,"Good","Excellent")))))</f>
        <v/>
      </c>
      <c r="AO471" s="59"/>
      <c r="AP471" s="59"/>
      <c r="AQ471" s="59"/>
      <c r="AR471" s="59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</row>
    <row r="472" spans="1:54" ht="19.5" customHeight="1" x14ac:dyDescent="0.25">
      <c r="A472" s="60" t="str">
        <f>IF($B472="","",TEXT($B472,"yyyymmdd")&amp;"-"&amp;SUBSTITUTE($F472," ","")&amp;"-"&amp;TEXT(COUNTIF($F$4:F472,$F472),"00"))</f>
        <v/>
      </c>
      <c r="B472" s="65"/>
      <c r="C472" s="60" t="str">
        <f>IF($B472="","",WEEKNUM($B472,2))</f>
        <v/>
      </c>
      <c r="D472" s="60" t="str">
        <f>IF($B472="","",TEXT($B472,"yyyy-mm"))</f>
        <v/>
      </c>
      <c r="E472" s="64"/>
      <c r="F472" s="64"/>
      <c r="G472" s="60" t="str">
        <f>IF(OR($E472="",$F472=""),"",IFERROR(IF($E472=INDEX([1]Cluster_Master!$A$4:$A$18,MATCH($F472,[1]Cluster_Master!$B$4:$B$18,0)),"OK","CHECK"),"CHECK"))</f>
        <v/>
      </c>
      <c r="H472" s="63" t="str">
        <f>IFERROR(INDEX([1]Cluster_Master!$C$4:$C$18,MATCH($F472,[1]Cluster_Master!$B$4:$B$18,0)),"")</f>
        <v/>
      </c>
      <c r="I472" s="60" t="str">
        <f>IFERROR(INDEX([1]Cluster_Master!$D$4:$D$18,MATCH($F472,[1]Cluster_Master!$B$4:$B$18,0)),"")</f>
        <v/>
      </c>
      <c r="J472" s="60" t="str">
        <f>IFERROR(INDEX([1]Cluster_Master!$E$4:$E$18,MATCH($F472,[1]Cluster_Master!$B$4:$B$18,0)),"")</f>
        <v/>
      </c>
      <c r="K472" s="60" t="str">
        <f>IFERROR(INDEX([1]Cluster_Master!$F$4:$F$18,MATCH($F472,[1]Cluster_Master!$B$4:$B$18,0)),"")</f>
        <v/>
      </c>
      <c r="L472" s="60" t="str">
        <f>IFERROR(INDEX([1]Cluster_Master!$G$4:$G$18,MATCH($F472,[1]Cluster_Master!$B$4:$B$18,0)),"")</f>
        <v/>
      </c>
      <c r="M472" s="60" t="str">
        <f>IFERROR(INDEX([1]Cluster_Master!$H$4:$H$18,MATCH($F472,[1]Cluster_Master!$B$4:$B$18,0)),"")</f>
        <v/>
      </c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60" t="str">
        <f>IF(COUNTA(T472:AH472)=0,"",SUM(T472:AH472))</f>
        <v/>
      </c>
      <c r="AJ472" s="61" t="str">
        <f>IF(COUNTA(T472:AH472)=0,"",AI472/75)</f>
        <v/>
      </c>
      <c r="AK472" s="61" t="str">
        <f>IF(COUNTA(T472:AH472)=0,"",(SUM(T472*[1]KPI_Weights!$B$4,U472*[1]KPI_Weights!$B$5,V472*[1]KPI_Weights!$B$6,W472*[1]KPI_Weights!$B$7,X472*[1]KPI_Weights!$B$8,Y472*[1]KPI_Weights!$B$9,Z472*[1]KPI_Weights!$B$10,AA472*[1]KPI_Weights!$B$11,AB472*[1]KPI_Weights!$B$12,AC472*[1]KPI_Weights!$B$13,AD472*[1]KPI_Weights!$B$14,AE472*[1]KPI_Weights!$B$15,AF472*[1]KPI_Weights!$B$16,AG472*[1]KPI_Weights!$B$17,AH472*[1]KPI_Weights!$B$18))/5)</f>
        <v/>
      </c>
      <c r="AL472" s="60" t="str">
        <f>IF(COUNTA(T472:AH472)=0,"",IF(OR(T472&lt;=1,W472&lt;=1,X472&lt;=1,Y472&lt;=1,AB472&lt;=1),"YES","NO"))</f>
        <v/>
      </c>
      <c r="AM472" s="60" t="str">
        <f>IF(AJ472="","",IF(AND(AL472="NO",AJ472&gt;=0.75),"YES","NO"))</f>
        <v/>
      </c>
      <c r="AN472" s="60" t="str">
        <f>IF(AJ472="","",IF(AJ472&lt;0.4,"Critical",IF(AJ472&lt;0.6,"Poor",IF(AJ472&lt;0.75,"Needs Improvement",IF(AJ472&lt;0.9,"Good","Excellent")))))</f>
        <v/>
      </c>
      <c r="AO472" s="59"/>
      <c r="AP472" s="59"/>
      <c r="AQ472" s="59"/>
      <c r="AR472" s="59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</row>
    <row r="473" spans="1:54" ht="19.5" customHeight="1" x14ac:dyDescent="0.25">
      <c r="A473" s="60" t="str">
        <f>IF($B473="","",TEXT($B473,"yyyymmdd")&amp;"-"&amp;SUBSTITUTE($F473," ","")&amp;"-"&amp;TEXT(COUNTIF($F$4:F473,$F473),"00"))</f>
        <v/>
      </c>
      <c r="B473" s="65"/>
      <c r="C473" s="60" t="str">
        <f>IF($B473="","",WEEKNUM($B473,2))</f>
        <v/>
      </c>
      <c r="D473" s="60" t="str">
        <f>IF($B473="","",TEXT($B473,"yyyy-mm"))</f>
        <v/>
      </c>
      <c r="E473" s="64"/>
      <c r="F473" s="64"/>
      <c r="G473" s="60" t="str">
        <f>IF(OR($E473="",$F473=""),"",IFERROR(IF($E473=INDEX([1]Cluster_Master!$A$4:$A$18,MATCH($F473,[1]Cluster_Master!$B$4:$B$18,0)),"OK","CHECK"),"CHECK"))</f>
        <v/>
      </c>
      <c r="H473" s="63" t="str">
        <f>IFERROR(INDEX([1]Cluster_Master!$C$4:$C$18,MATCH($F473,[1]Cluster_Master!$B$4:$B$18,0)),"")</f>
        <v/>
      </c>
      <c r="I473" s="60" t="str">
        <f>IFERROR(INDEX([1]Cluster_Master!$D$4:$D$18,MATCH($F473,[1]Cluster_Master!$B$4:$B$18,0)),"")</f>
        <v/>
      </c>
      <c r="J473" s="60" t="str">
        <f>IFERROR(INDEX([1]Cluster_Master!$E$4:$E$18,MATCH($F473,[1]Cluster_Master!$B$4:$B$18,0)),"")</f>
        <v/>
      </c>
      <c r="K473" s="60" t="str">
        <f>IFERROR(INDEX([1]Cluster_Master!$F$4:$F$18,MATCH($F473,[1]Cluster_Master!$B$4:$B$18,0)),"")</f>
        <v/>
      </c>
      <c r="L473" s="60" t="str">
        <f>IFERROR(INDEX([1]Cluster_Master!$G$4:$G$18,MATCH($F473,[1]Cluster_Master!$B$4:$B$18,0)),"")</f>
        <v/>
      </c>
      <c r="M473" s="60" t="str">
        <f>IFERROR(INDEX([1]Cluster_Master!$H$4:$H$18,MATCH($F473,[1]Cluster_Master!$B$4:$B$18,0)),"")</f>
        <v/>
      </c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60" t="str">
        <f>IF(COUNTA(T473:AH473)=0,"",SUM(T473:AH473))</f>
        <v/>
      </c>
      <c r="AJ473" s="61" t="str">
        <f>IF(COUNTA(T473:AH473)=0,"",AI473/75)</f>
        <v/>
      </c>
      <c r="AK473" s="61" t="str">
        <f>IF(COUNTA(T473:AH473)=0,"",(SUM(T473*[1]KPI_Weights!$B$4,U473*[1]KPI_Weights!$B$5,V473*[1]KPI_Weights!$B$6,W473*[1]KPI_Weights!$B$7,X473*[1]KPI_Weights!$B$8,Y473*[1]KPI_Weights!$B$9,Z473*[1]KPI_Weights!$B$10,AA473*[1]KPI_Weights!$B$11,AB473*[1]KPI_Weights!$B$12,AC473*[1]KPI_Weights!$B$13,AD473*[1]KPI_Weights!$B$14,AE473*[1]KPI_Weights!$B$15,AF473*[1]KPI_Weights!$B$16,AG473*[1]KPI_Weights!$B$17,AH473*[1]KPI_Weights!$B$18))/5)</f>
        <v/>
      </c>
      <c r="AL473" s="60" t="str">
        <f>IF(COUNTA(T473:AH473)=0,"",IF(OR(T473&lt;=1,W473&lt;=1,X473&lt;=1,Y473&lt;=1,AB473&lt;=1),"YES","NO"))</f>
        <v/>
      </c>
      <c r="AM473" s="60" t="str">
        <f>IF(AJ473="","",IF(AND(AL473="NO",AJ473&gt;=0.75),"YES","NO"))</f>
        <v/>
      </c>
      <c r="AN473" s="60" t="str">
        <f>IF(AJ473="","",IF(AJ473&lt;0.4,"Critical",IF(AJ473&lt;0.6,"Poor",IF(AJ473&lt;0.75,"Needs Improvement",IF(AJ473&lt;0.9,"Good","Excellent")))))</f>
        <v/>
      </c>
      <c r="AO473" s="59"/>
      <c r="AP473" s="59"/>
      <c r="AQ473" s="59"/>
      <c r="AR473" s="59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</row>
    <row r="474" spans="1:54" ht="19.5" customHeight="1" x14ac:dyDescent="0.25">
      <c r="A474" s="60" t="str">
        <f>IF($B474="","",TEXT($B474,"yyyymmdd")&amp;"-"&amp;SUBSTITUTE($F474," ","")&amp;"-"&amp;TEXT(COUNTIF($F$4:F474,$F474),"00"))</f>
        <v/>
      </c>
      <c r="B474" s="65"/>
      <c r="C474" s="60" t="str">
        <f>IF($B474="","",WEEKNUM($B474,2))</f>
        <v/>
      </c>
      <c r="D474" s="60" t="str">
        <f>IF($B474="","",TEXT($B474,"yyyy-mm"))</f>
        <v/>
      </c>
      <c r="E474" s="64"/>
      <c r="F474" s="64"/>
      <c r="G474" s="60" t="str">
        <f>IF(OR($E474="",$F474=""),"",IFERROR(IF($E474=INDEX([1]Cluster_Master!$A$4:$A$18,MATCH($F474,[1]Cluster_Master!$B$4:$B$18,0)),"OK","CHECK"),"CHECK"))</f>
        <v/>
      </c>
      <c r="H474" s="63" t="str">
        <f>IFERROR(INDEX([1]Cluster_Master!$C$4:$C$18,MATCH($F474,[1]Cluster_Master!$B$4:$B$18,0)),"")</f>
        <v/>
      </c>
      <c r="I474" s="60" t="str">
        <f>IFERROR(INDEX([1]Cluster_Master!$D$4:$D$18,MATCH($F474,[1]Cluster_Master!$B$4:$B$18,0)),"")</f>
        <v/>
      </c>
      <c r="J474" s="60" t="str">
        <f>IFERROR(INDEX([1]Cluster_Master!$E$4:$E$18,MATCH($F474,[1]Cluster_Master!$B$4:$B$18,0)),"")</f>
        <v/>
      </c>
      <c r="K474" s="60" t="str">
        <f>IFERROR(INDEX([1]Cluster_Master!$F$4:$F$18,MATCH($F474,[1]Cluster_Master!$B$4:$B$18,0)),"")</f>
        <v/>
      </c>
      <c r="L474" s="60" t="str">
        <f>IFERROR(INDEX([1]Cluster_Master!$G$4:$G$18,MATCH($F474,[1]Cluster_Master!$B$4:$B$18,0)),"")</f>
        <v/>
      </c>
      <c r="M474" s="60" t="str">
        <f>IFERROR(INDEX([1]Cluster_Master!$H$4:$H$18,MATCH($F474,[1]Cluster_Master!$B$4:$B$18,0)),"")</f>
        <v/>
      </c>
      <c r="N474" s="59"/>
      <c r="O474" s="59"/>
      <c r="P474" s="59"/>
      <c r="Q474" s="59"/>
      <c r="R474" s="59"/>
      <c r="S474" s="59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0" t="str">
        <f>IF(COUNTA(T474:AH474)=0,"",SUM(T474:AH474))</f>
        <v/>
      </c>
      <c r="AJ474" s="61" t="str">
        <f>IF(COUNTA(T474:AH474)=0,"",AI474/75)</f>
        <v/>
      </c>
      <c r="AK474" s="61" t="str">
        <f>IF(COUNTA(T474:AH474)=0,"",(SUM(T474*[1]KPI_Weights!$B$4,U474*[1]KPI_Weights!$B$5,V474*[1]KPI_Weights!$B$6,W474*[1]KPI_Weights!$B$7,X474*[1]KPI_Weights!$B$8,Y474*[1]KPI_Weights!$B$9,Z474*[1]KPI_Weights!$B$10,AA474*[1]KPI_Weights!$B$11,AB474*[1]KPI_Weights!$B$12,AC474*[1]KPI_Weights!$B$13,AD474*[1]KPI_Weights!$B$14,AE474*[1]KPI_Weights!$B$15,AF474*[1]KPI_Weights!$B$16,AG474*[1]KPI_Weights!$B$17,AH474*[1]KPI_Weights!$B$18))/5)</f>
        <v/>
      </c>
      <c r="AL474" s="60" t="str">
        <f>IF(COUNTA(T474:AH474)=0,"",IF(OR(T474&lt;=1,W474&lt;=1,X474&lt;=1,Y474&lt;=1,AB474&lt;=1),"YES","NO"))</f>
        <v/>
      </c>
      <c r="AM474" s="60" t="str">
        <f>IF(AJ474="","",IF(AND(AL474="NO",AJ474&gt;=0.75),"YES","NO"))</f>
        <v/>
      </c>
      <c r="AN474" s="60" t="str">
        <f>IF(AJ474="","",IF(AJ474&lt;0.4,"Critical",IF(AJ474&lt;0.6,"Poor",IF(AJ474&lt;0.75,"Needs Improvement",IF(AJ474&lt;0.9,"Good","Excellent")))))</f>
        <v/>
      </c>
      <c r="AO474" s="59"/>
      <c r="AP474" s="59"/>
      <c r="AQ474" s="59"/>
      <c r="AR474" s="59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</row>
    <row r="475" spans="1:54" ht="19.5" customHeight="1" x14ac:dyDescent="0.25">
      <c r="A475" s="60" t="str">
        <f>IF($B475="","",TEXT($B475,"yyyymmdd")&amp;"-"&amp;SUBSTITUTE($F475," ","")&amp;"-"&amp;TEXT(COUNTIF($F$4:F475,$F475),"00"))</f>
        <v/>
      </c>
      <c r="B475" s="65"/>
      <c r="C475" s="60" t="str">
        <f>IF($B475="","",WEEKNUM($B475,2))</f>
        <v/>
      </c>
      <c r="D475" s="60" t="str">
        <f>IF($B475="","",TEXT($B475,"yyyy-mm"))</f>
        <v/>
      </c>
      <c r="E475" s="64"/>
      <c r="F475" s="64"/>
      <c r="G475" s="60" t="str">
        <f>IF(OR($E475="",$F475=""),"",IFERROR(IF($E475=INDEX([1]Cluster_Master!$A$4:$A$18,MATCH($F475,[1]Cluster_Master!$B$4:$B$18,0)),"OK","CHECK"),"CHECK"))</f>
        <v/>
      </c>
      <c r="H475" s="63" t="str">
        <f>IFERROR(INDEX([1]Cluster_Master!$C$4:$C$18,MATCH($F475,[1]Cluster_Master!$B$4:$B$18,0)),"")</f>
        <v/>
      </c>
      <c r="I475" s="60" t="str">
        <f>IFERROR(INDEX([1]Cluster_Master!$D$4:$D$18,MATCH($F475,[1]Cluster_Master!$B$4:$B$18,0)),"")</f>
        <v/>
      </c>
      <c r="J475" s="60" t="str">
        <f>IFERROR(INDEX([1]Cluster_Master!$E$4:$E$18,MATCH($F475,[1]Cluster_Master!$B$4:$B$18,0)),"")</f>
        <v/>
      </c>
      <c r="K475" s="60" t="str">
        <f>IFERROR(INDEX([1]Cluster_Master!$F$4:$F$18,MATCH($F475,[1]Cluster_Master!$B$4:$B$18,0)),"")</f>
        <v/>
      </c>
      <c r="L475" s="60" t="str">
        <f>IFERROR(INDEX([1]Cluster_Master!$G$4:$G$18,MATCH($F475,[1]Cluster_Master!$B$4:$B$18,0)),"")</f>
        <v/>
      </c>
      <c r="M475" s="60" t="str">
        <f>IFERROR(INDEX([1]Cluster_Master!$H$4:$H$18,MATCH($F475,[1]Cluster_Master!$B$4:$B$18,0)),"")</f>
        <v/>
      </c>
      <c r="N475" s="59"/>
      <c r="O475" s="59"/>
      <c r="P475" s="59"/>
      <c r="Q475" s="59"/>
      <c r="R475" s="59"/>
      <c r="S475" s="59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0" t="str">
        <f>IF(COUNTA(T475:AH475)=0,"",SUM(T475:AH475))</f>
        <v/>
      </c>
      <c r="AJ475" s="61" t="str">
        <f>IF(COUNTA(T475:AH475)=0,"",AI475/75)</f>
        <v/>
      </c>
      <c r="AK475" s="61" t="str">
        <f>IF(COUNTA(T475:AH475)=0,"",(SUM(T475*[1]KPI_Weights!$B$4,U475*[1]KPI_Weights!$B$5,V475*[1]KPI_Weights!$B$6,W475*[1]KPI_Weights!$B$7,X475*[1]KPI_Weights!$B$8,Y475*[1]KPI_Weights!$B$9,Z475*[1]KPI_Weights!$B$10,AA475*[1]KPI_Weights!$B$11,AB475*[1]KPI_Weights!$B$12,AC475*[1]KPI_Weights!$B$13,AD475*[1]KPI_Weights!$B$14,AE475*[1]KPI_Weights!$B$15,AF475*[1]KPI_Weights!$B$16,AG475*[1]KPI_Weights!$B$17,AH475*[1]KPI_Weights!$B$18))/5)</f>
        <v/>
      </c>
      <c r="AL475" s="60" t="str">
        <f>IF(COUNTA(T475:AH475)=0,"",IF(OR(T475&lt;=1,W475&lt;=1,X475&lt;=1,Y475&lt;=1,AB475&lt;=1),"YES","NO"))</f>
        <v/>
      </c>
      <c r="AM475" s="60" t="str">
        <f>IF(AJ475="","",IF(AND(AL475="NO",AJ475&gt;=0.75),"YES","NO"))</f>
        <v/>
      </c>
      <c r="AN475" s="60" t="str">
        <f>IF(AJ475="","",IF(AJ475&lt;0.4,"Critical",IF(AJ475&lt;0.6,"Poor",IF(AJ475&lt;0.75,"Needs Improvement",IF(AJ475&lt;0.9,"Good","Excellent")))))</f>
        <v/>
      </c>
      <c r="AO475" s="59"/>
      <c r="AP475" s="59"/>
      <c r="AQ475" s="59"/>
      <c r="AR475" s="59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</row>
    <row r="476" spans="1:54" ht="19.5" customHeight="1" x14ac:dyDescent="0.25">
      <c r="A476" s="60" t="str">
        <f>IF($B476="","",TEXT($B476,"yyyymmdd")&amp;"-"&amp;SUBSTITUTE($F476," ","")&amp;"-"&amp;TEXT(COUNTIF($F$4:F476,$F476),"00"))</f>
        <v/>
      </c>
      <c r="B476" s="65"/>
      <c r="C476" s="60" t="str">
        <f>IF($B476="","",WEEKNUM($B476,2))</f>
        <v/>
      </c>
      <c r="D476" s="60" t="str">
        <f>IF($B476="","",TEXT($B476,"yyyy-mm"))</f>
        <v/>
      </c>
      <c r="E476" s="64"/>
      <c r="F476" s="64"/>
      <c r="G476" s="60" t="str">
        <f>IF(OR($E476="",$F476=""),"",IFERROR(IF($E476=INDEX([1]Cluster_Master!$A$4:$A$18,MATCH($F476,[1]Cluster_Master!$B$4:$B$18,0)),"OK","CHECK"),"CHECK"))</f>
        <v/>
      </c>
      <c r="H476" s="63" t="str">
        <f>IFERROR(INDEX([1]Cluster_Master!$C$4:$C$18,MATCH($F476,[1]Cluster_Master!$B$4:$B$18,0)),"")</f>
        <v/>
      </c>
      <c r="I476" s="60" t="str">
        <f>IFERROR(INDEX([1]Cluster_Master!$D$4:$D$18,MATCH($F476,[1]Cluster_Master!$B$4:$B$18,0)),"")</f>
        <v/>
      </c>
      <c r="J476" s="60" t="str">
        <f>IFERROR(INDEX([1]Cluster_Master!$E$4:$E$18,MATCH($F476,[1]Cluster_Master!$B$4:$B$18,0)),"")</f>
        <v/>
      </c>
      <c r="K476" s="60" t="str">
        <f>IFERROR(INDEX([1]Cluster_Master!$F$4:$F$18,MATCH($F476,[1]Cluster_Master!$B$4:$B$18,0)),"")</f>
        <v/>
      </c>
      <c r="L476" s="60" t="str">
        <f>IFERROR(INDEX([1]Cluster_Master!$G$4:$G$18,MATCH($F476,[1]Cluster_Master!$B$4:$B$18,0)),"")</f>
        <v/>
      </c>
      <c r="M476" s="60" t="str">
        <f>IFERROR(INDEX([1]Cluster_Master!$H$4:$H$18,MATCH($F476,[1]Cluster_Master!$B$4:$B$18,0)),"")</f>
        <v/>
      </c>
      <c r="N476" s="59"/>
      <c r="O476" s="59"/>
      <c r="P476" s="59"/>
      <c r="Q476" s="59"/>
      <c r="R476" s="59"/>
      <c r="S476" s="59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0" t="str">
        <f>IF(COUNTA(T476:AH476)=0,"",SUM(T476:AH476))</f>
        <v/>
      </c>
      <c r="AJ476" s="61" t="str">
        <f>IF(COUNTA(T476:AH476)=0,"",AI476/75)</f>
        <v/>
      </c>
      <c r="AK476" s="61" t="str">
        <f>IF(COUNTA(T476:AH476)=0,"",(SUM(T476*[1]KPI_Weights!$B$4,U476*[1]KPI_Weights!$B$5,V476*[1]KPI_Weights!$B$6,W476*[1]KPI_Weights!$B$7,X476*[1]KPI_Weights!$B$8,Y476*[1]KPI_Weights!$B$9,Z476*[1]KPI_Weights!$B$10,AA476*[1]KPI_Weights!$B$11,AB476*[1]KPI_Weights!$B$12,AC476*[1]KPI_Weights!$B$13,AD476*[1]KPI_Weights!$B$14,AE476*[1]KPI_Weights!$B$15,AF476*[1]KPI_Weights!$B$16,AG476*[1]KPI_Weights!$B$17,AH476*[1]KPI_Weights!$B$18))/5)</f>
        <v/>
      </c>
      <c r="AL476" s="60" t="str">
        <f>IF(COUNTA(T476:AH476)=0,"",IF(OR(T476&lt;=1,W476&lt;=1,X476&lt;=1,Y476&lt;=1,AB476&lt;=1),"YES","NO"))</f>
        <v/>
      </c>
      <c r="AM476" s="60" t="str">
        <f>IF(AJ476="","",IF(AND(AL476="NO",AJ476&gt;=0.75),"YES","NO"))</f>
        <v/>
      </c>
      <c r="AN476" s="60" t="str">
        <f>IF(AJ476="","",IF(AJ476&lt;0.4,"Critical",IF(AJ476&lt;0.6,"Poor",IF(AJ476&lt;0.75,"Needs Improvement",IF(AJ476&lt;0.9,"Good","Excellent")))))</f>
        <v/>
      </c>
      <c r="AO476" s="59"/>
      <c r="AP476" s="59"/>
      <c r="AQ476" s="59"/>
      <c r="AR476" s="59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</row>
    <row r="477" spans="1:54" ht="19.5" customHeight="1" x14ac:dyDescent="0.25">
      <c r="A477" s="60" t="str">
        <f>IF($B477="","",TEXT($B477,"yyyymmdd")&amp;"-"&amp;SUBSTITUTE($F477," ","")&amp;"-"&amp;TEXT(COUNTIF($F$4:F477,$F477),"00"))</f>
        <v/>
      </c>
      <c r="B477" s="65"/>
      <c r="C477" s="60" t="str">
        <f>IF($B477="","",WEEKNUM($B477,2))</f>
        <v/>
      </c>
      <c r="D477" s="60" t="str">
        <f>IF($B477="","",TEXT($B477,"yyyy-mm"))</f>
        <v/>
      </c>
      <c r="E477" s="64"/>
      <c r="F477" s="64"/>
      <c r="G477" s="60" t="str">
        <f>IF(OR($E477="",$F477=""),"",IFERROR(IF($E477=INDEX([1]Cluster_Master!$A$4:$A$18,MATCH($F477,[1]Cluster_Master!$B$4:$B$18,0)),"OK","CHECK"),"CHECK"))</f>
        <v/>
      </c>
      <c r="H477" s="63" t="str">
        <f>IFERROR(INDEX([1]Cluster_Master!$C$4:$C$18,MATCH($F477,[1]Cluster_Master!$B$4:$B$18,0)),"")</f>
        <v/>
      </c>
      <c r="I477" s="60" t="str">
        <f>IFERROR(INDEX([1]Cluster_Master!$D$4:$D$18,MATCH($F477,[1]Cluster_Master!$B$4:$B$18,0)),"")</f>
        <v/>
      </c>
      <c r="J477" s="60" t="str">
        <f>IFERROR(INDEX([1]Cluster_Master!$E$4:$E$18,MATCH($F477,[1]Cluster_Master!$B$4:$B$18,0)),"")</f>
        <v/>
      </c>
      <c r="K477" s="60" t="str">
        <f>IFERROR(INDEX([1]Cluster_Master!$F$4:$F$18,MATCH($F477,[1]Cluster_Master!$B$4:$B$18,0)),"")</f>
        <v/>
      </c>
      <c r="L477" s="60" t="str">
        <f>IFERROR(INDEX([1]Cluster_Master!$G$4:$G$18,MATCH($F477,[1]Cluster_Master!$B$4:$B$18,0)),"")</f>
        <v/>
      </c>
      <c r="M477" s="60" t="str">
        <f>IFERROR(INDEX([1]Cluster_Master!$H$4:$H$18,MATCH($F477,[1]Cluster_Master!$B$4:$B$18,0)),"")</f>
        <v/>
      </c>
      <c r="N477" s="59"/>
      <c r="O477" s="59"/>
      <c r="P477" s="59"/>
      <c r="Q477" s="59"/>
      <c r="R477" s="59"/>
      <c r="S477" s="59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0" t="str">
        <f>IF(COUNTA(T477:AH477)=0,"",SUM(T477:AH477))</f>
        <v/>
      </c>
      <c r="AJ477" s="61" t="str">
        <f>IF(COUNTA(T477:AH477)=0,"",AI477/75)</f>
        <v/>
      </c>
      <c r="AK477" s="61" t="str">
        <f>IF(COUNTA(T477:AH477)=0,"",(SUM(T477*[1]KPI_Weights!$B$4,U477*[1]KPI_Weights!$B$5,V477*[1]KPI_Weights!$B$6,W477*[1]KPI_Weights!$B$7,X477*[1]KPI_Weights!$B$8,Y477*[1]KPI_Weights!$B$9,Z477*[1]KPI_Weights!$B$10,AA477*[1]KPI_Weights!$B$11,AB477*[1]KPI_Weights!$B$12,AC477*[1]KPI_Weights!$B$13,AD477*[1]KPI_Weights!$B$14,AE477*[1]KPI_Weights!$B$15,AF477*[1]KPI_Weights!$B$16,AG477*[1]KPI_Weights!$B$17,AH477*[1]KPI_Weights!$B$18))/5)</f>
        <v/>
      </c>
      <c r="AL477" s="60" t="str">
        <f>IF(COUNTA(T477:AH477)=0,"",IF(OR(T477&lt;=1,W477&lt;=1,X477&lt;=1,Y477&lt;=1,AB477&lt;=1),"YES","NO"))</f>
        <v/>
      </c>
      <c r="AM477" s="60" t="str">
        <f>IF(AJ477="","",IF(AND(AL477="NO",AJ477&gt;=0.75),"YES","NO"))</f>
        <v/>
      </c>
      <c r="AN477" s="60" t="str">
        <f>IF(AJ477="","",IF(AJ477&lt;0.4,"Critical",IF(AJ477&lt;0.6,"Poor",IF(AJ477&lt;0.75,"Needs Improvement",IF(AJ477&lt;0.9,"Good","Excellent")))))</f>
        <v/>
      </c>
      <c r="AO477" s="59"/>
      <c r="AP477" s="59"/>
      <c r="AQ477" s="59"/>
      <c r="AR477" s="59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</row>
    <row r="478" spans="1:54" ht="19.5" customHeight="1" x14ac:dyDescent="0.25">
      <c r="A478" s="60" t="str">
        <f>IF($B478="","",TEXT($B478,"yyyymmdd")&amp;"-"&amp;SUBSTITUTE($F478," ","")&amp;"-"&amp;TEXT(COUNTIF($F$4:F478,$F478),"00"))</f>
        <v/>
      </c>
      <c r="B478" s="65"/>
      <c r="C478" s="60" t="str">
        <f>IF($B478="","",WEEKNUM($B478,2))</f>
        <v/>
      </c>
      <c r="D478" s="60" t="str">
        <f>IF($B478="","",TEXT($B478,"yyyy-mm"))</f>
        <v/>
      </c>
      <c r="E478" s="64"/>
      <c r="F478" s="64"/>
      <c r="G478" s="60" t="str">
        <f>IF(OR($E478="",$F478=""),"",IFERROR(IF($E478=INDEX([1]Cluster_Master!$A$4:$A$18,MATCH($F478,[1]Cluster_Master!$B$4:$B$18,0)),"OK","CHECK"),"CHECK"))</f>
        <v/>
      </c>
      <c r="H478" s="63" t="str">
        <f>IFERROR(INDEX([1]Cluster_Master!$C$4:$C$18,MATCH($F478,[1]Cluster_Master!$B$4:$B$18,0)),"")</f>
        <v/>
      </c>
      <c r="I478" s="60" t="str">
        <f>IFERROR(INDEX([1]Cluster_Master!$D$4:$D$18,MATCH($F478,[1]Cluster_Master!$B$4:$B$18,0)),"")</f>
        <v/>
      </c>
      <c r="J478" s="60" t="str">
        <f>IFERROR(INDEX([1]Cluster_Master!$E$4:$E$18,MATCH($F478,[1]Cluster_Master!$B$4:$B$18,0)),"")</f>
        <v/>
      </c>
      <c r="K478" s="60" t="str">
        <f>IFERROR(INDEX([1]Cluster_Master!$F$4:$F$18,MATCH($F478,[1]Cluster_Master!$B$4:$B$18,0)),"")</f>
        <v/>
      </c>
      <c r="L478" s="60" t="str">
        <f>IFERROR(INDEX([1]Cluster_Master!$G$4:$G$18,MATCH($F478,[1]Cluster_Master!$B$4:$B$18,0)),"")</f>
        <v/>
      </c>
      <c r="M478" s="60" t="str">
        <f>IFERROR(INDEX([1]Cluster_Master!$H$4:$H$18,MATCH($F478,[1]Cluster_Master!$B$4:$B$18,0)),"")</f>
        <v/>
      </c>
      <c r="N478" s="59"/>
      <c r="O478" s="59"/>
      <c r="P478" s="59"/>
      <c r="Q478" s="59"/>
      <c r="R478" s="59"/>
      <c r="S478" s="59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0" t="str">
        <f>IF(COUNTA(T478:AH478)=0,"",SUM(T478:AH478))</f>
        <v/>
      </c>
      <c r="AJ478" s="61" t="str">
        <f>IF(COUNTA(T478:AH478)=0,"",AI478/75)</f>
        <v/>
      </c>
      <c r="AK478" s="61" t="str">
        <f>IF(COUNTA(T478:AH478)=0,"",(SUM(T478*[1]KPI_Weights!$B$4,U478*[1]KPI_Weights!$B$5,V478*[1]KPI_Weights!$B$6,W478*[1]KPI_Weights!$B$7,X478*[1]KPI_Weights!$B$8,Y478*[1]KPI_Weights!$B$9,Z478*[1]KPI_Weights!$B$10,AA478*[1]KPI_Weights!$B$11,AB478*[1]KPI_Weights!$B$12,AC478*[1]KPI_Weights!$B$13,AD478*[1]KPI_Weights!$B$14,AE478*[1]KPI_Weights!$B$15,AF478*[1]KPI_Weights!$B$16,AG478*[1]KPI_Weights!$B$17,AH478*[1]KPI_Weights!$B$18))/5)</f>
        <v/>
      </c>
      <c r="AL478" s="60" t="str">
        <f>IF(COUNTA(T478:AH478)=0,"",IF(OR(T478&lt;=1,W478&lt;=1,X478&lt;=1,Y478&lt;=1,AB478&lt;=1),"YES","NO"))</f>
        <v/>
      </c>
      <c r="AM478" s="60" t="str">
        <f>IF(AJ478="","",IF(AND(AL478="NO",AJ478&gt;=0.75),"YES","NO"))</f>
        <v/>
      </c>
      <c r="AN478" s="60" t="str">
        <f>IF(AJ478="","",IF(AJ478&lt;0.4,"Critical",IF(AJ478&lt;0.6,"Poor",IF(AJ478&lt;0.75,"Needs Improvement",IF(AJ478&lt;0.9,"Good","Excellent")))))</f>
        <v/>
      </c>
      <c r="AO478" s="59"/>
      <c r="AP478" s="59"/>
      <c r="AQ478" s="59"/>
      <c r="AR478" s="59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</row>
    <row r="479" spans="1:54" ht="19.5" customHeight="1" x14ac:dyDescent="0.25">
      <c r="A479" s="60" t="str">
        <f>IF($B479="","",TEXT($B479,"yyyymmdd")&amp;"-"&amp;SUBSTITUTE($F479," ","")&amp;"-"&amp;TEXT(COUNTIF($F$4:F479,$F479),"00"))</f>
        <v/>
      </c>
      <c r="B479" s="65"/>
      <c r="C479" s="60" t="str">
        <f>IF($B479="","",WEEKNUM($B479,2))</f>
        <v/>
      </c>
      <c r="D479" s="60" t="str">
        <f>IF($B479="","",TEXT($B479,"yyyy-mm"))</f>
        <v/>
      </c>
      <c r="E479" s="64"/>
      <c r="F479" s="64"/>
      <c r="G479" s="60" t="str">
        <f>IF(OR($E479="",$F479=""),"",IFERROR(IF($E479=INDEX([1]Cluster_Master!$A$4:$A$18,MATCH($F479,[1]Cluster_Master!$B$4:$B$18,0)),"OK","CHECK"),"CHECK"))</f>
        <v/>
      </c>
      <c r="H479" s="63" t="str">
        <f>IFERROR(INDEX([1]Cluster_Master!$C$4:$C$18,MATCH($F479,[1]Cluster_Master!$B$4:$B$18,0)),"")</f>
        <v/>
      </c>
      <c r="I479" s="60" t="str">
        <f>IFERROR(INDEX([1]Cluster_Master!$D$4:$D$18,MATCH($F479,[1]Cluster_Master!$B$4:$B$18,0)),"")</f>
        <v/>
      </c>
      <c r="J479" s="60" t="str">
        <f>IFERROR(INDEX([1]Cluster_Master!$E$4:$E$18,MATCH($F479,[1]Cluster_Master!$B$4:$B$18,0)),"")</f>
        <v/>
      </c>
      <c r="K479" s="60" t="str">
        <f>IFERROR(INDEX([1]Cluster_Master!$F$4:$F$18,MATCH($F479,[1]Cluster_Master!$B$4:$B$18,0)),"")</f>
        <v/>
      </c>
      <c r="L479" s="60" t="str">
        <f>IFERROR(INDEX([1]Cluster_Master!$G$4:$G$18,MATCH($F479,[1]Cluster_Master!$B$4:$B$18,0)),"")</f>
        <v/>
      </c>
      <c r="M479" s="60" t="str">
        <f>IFERROR(INDEX([1]Cluster_Master!$H$4:$H$18,MATCH($F479,[1]Cluster_Master!$B$4:$B$18,0)),"")</f>
        <v/>
      </c>
      <c r="N479" s="59"/>
      <c r="O479" s="59"/>
      <c r="P479" s="59"/>
      <c r="Q479" s="59"/>
      <c r="R479" s="59"/>
      <c r="S479" s="59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0" t="str">
        <f>IF(COUNTA(T479:AH479)=0,"",SUM(T479:AH479))</f>
        <v/>
      </c>
      <c r="AJ479" s="61" t="str">
        <f>IF(COUNTA(T479:AH479)=0,"",AI479/75)</f>
        <v/>
      </c>
      <c r="AK479" s="61" t="str">
        <f>IF(COUNTA(T479:AH479)=0,"",(SUM(T479*[1]KPI_Weights!$B$4,U479*[1]KPI_Weights!$B$5,V479*[1]KPI_Weights!$B$6,W479*[1]KPI_Weights!$B$7,X479*[1]KPI_Weights!$B$8,Y479*[1]KPI_Weights!$B$9,Z479*[1]KPI_Weights!$B$10,AA479*[1]KPI_Weights!$B$11,AB479*[1]KPI_Weights!$B$12,AC479*[1]KPI_Weights!$B$13,AD479*[1]KPI_Weights!$B$14,AE479*[1]KPI_Weights!$B$15,AF479*[1]KPI_Weights!$B$16,AG479*[1]KPI_Weights!$B$17,AH479*[1]KPI_Weights!$B$18))/5)</f>
        <v/>
      </c>
      <c r="AL479" s="60" t="str">
        <f>IF(COUNTA(T479:AH479)=0,"",IF(OR(T479&lt;=1,W479&lt;=1,X479&lt;=1,Y479&lt;=1,AB479&lt;=1),"YES","NO"))</f>
        <v/>
      </c>
      <c r="AM479" s="60" t="str">
        <f>IF(AJ479="","",IF(AND(AL479="NO",AJ479&gt;=0.75),"YES","NO"))</f>
        <v/>
      </c>
      <c r="AN479" s="60" t="str">
        <f>IF(AJ479="","",IF(AJ479&lt;0.4,"Critical",IF(AJ479&lt;0.6,"Poor",IF(AJ479&lt;0.75,"Needs Improvement",IF(AJ479&lt;0.9,"Good","Excellent")))))</f>
        <v/>
      </c>
      <c r="AO479" s="59"/>
      <c r="AP479" s="59"/>
      <c r="AQ479" s="59"/>
      <c r="AR479" s="59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</row>
    <row r="480" spans="1:54" ht="19.5" customHeight="1" x14ac:dyDescent="0.25">
      <c r="A480" s="60" t="str">
        <f>IF($B480="","",TEXT($B480,"yyyymmdd")&amp;"-"&amp;SUBSTITUTE($F480," ","")&amp;"-"&amp;TEXT(COUNTIF($F$4:F480,$F480),"00"))</f>
        <v/>
      </c>
      <c r="B480" s="65"/>
      <c r="C480" s="60" t="str">
        <f>IF($B480="","",WEEKNUM($B480,2))</f>
        <v/>
      </c>
      <c r="D480" s="60" t="str">
        <f>IF($B480="","",TEXT($B480,"yyyy-mm"))</f>
        <v/>
      </c>
      <c r="E480" s="64"/>
      <c r="F480" s="64"/>
      <c r="G480" s="60" t="str">
        <f>IF(OR($E480="",$F480=""),"",IFERROR(IF($E480=INDEX([1]Cluster_Master!$A$4:$A$18,MATCH($F480,[1]Cluster_Master!$B$4:$B$18,0)),"OK","CHECK"),"CHECK"))</f>
        <v/>
      </c>
      <c r="H480" s="63" t="str">
        <f>IFERROR(INDEX([1]Cluster_Master!$C$4:$C$18,MATCH($F480,[1]Cluster_Master!$B$4:$B$18,0)),"")</f>
        <v/>
      </c>
      <c r="I480" s="60" t="str">
        <f>IFERROR(INDEX([1]Cluster_Master!$D$4:$D$18,MATCH($F480,[1]Cluster_Master!$B$4:$B$18,0)),"")</f>
        <v/>
      </c>
      <c r="J480" s="60" t="str">
        <f>IFERROR(INDEX([1]Cluster_Master!$E$4:$E$18,MATCH($F480,[1]Cluster_Master!$B$4:$B$18,0)),"")</f>
        <v/>
      </c>
      <c r="K480" s="60" t="str">
        <f>IFERROR(INDEX([1]Cluster_Master!$F$4:$F$18,MATCH($F480,[1]Cluster_Master!$B$4:$B$18,0)),"")</f>
        <v/>
      </c>
      <c r="L480" s="60" t="str">
        <f>IFERROR(INDEX([1]Cluster_Master!$G$4:$G$18,MATCH($F480,[1]Cluster_Master!$B$4:$B$18,0)),"")</f>
        <v/>
      </c>
      <c r="M480" s="60" t="str">
        <f>IFERROR(INDEX([1]Cluster_Master!$H$4:$H$18,MATCH($F480,[1]Cluster_Master!$B$4:$B$18,0)),"")</f>
        <v/>
      </c>
      <c r="N480" s="59"/>
      <c r="O480" s="59"/>
      <c r="P480" s="59"/>
      <c r="Q480" s="59"/>
      <c r="R480" s="59"/>
      <c r="S480" s="59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0" t="str">
        <f>IF(COUNTA(T480:AH480)=0,"",SUM(T480:AH480))</f>
        <v/>
      </c>
      <c r="AJ480" s="61" t="str">
        <f>IF(COUNTA(T480:AH480)=0,"",AI480/75)</f>
        <v/>
      </c>
      <c r="AK480" s="61" t="str">
        <f>IF(COUNTA(T480:AH480)=0,"",(SUM(T480*[1]KPI_Weights!$B$4,U480*[1]KPI_Weights!$B$5,V480*[1]KPI_Weights!$B$6,W480*[1]KPI_Weights!$B$7,X480*[1]KPI_Weights!$B$8,Y480*[1]KPI_Weights!$B$9,Z480*[1]KPI_Weights!$B$10,AA480*[1]KPI_Weights!$B$11,AB480*[1]KPI_Weights!$B$12,AC480*[1]KPI_Weights!$B$13,AD480*[1]KPI_Weights!$B$14,AE480*[1]KPI_Weights!$B$15,AF480*[1]KPI_Weights!$B$16,AG480*[1]KPI_Weights!$B$17,AH480*[1]KPI_Weights!$B$18))/5)</f>
        <v/>
      </c>
      <c r="AL480" s="60" t="str">
        <f>IF(COUNTA(T480:AH480)=0,"",IF(OR(T480&lt;=1,W480&lt;=1,X480&lt;=1,Y480&lt;=1,AB480&lt;=1),"YES","NO"))</f>
        <v/>
      </c>
      <c r="AM480" s="60" t="str">
        <f>IF(AJ480="","",IF(AND(AL480="NO",AJ480&gt;=0.75),"YES","NO"))</f>
        <v/>
      </c>
      <c r="AN480" s="60" t="str">
        <f>IF(AJ480="","",IF(AJ480&lt;0.4,"Critical",IF(AJ480&lt;0.6,"Poor",IF(AJ480&lt;0.75,"Needs Improvement",IF(AJ480&lt;0.9,"Good","Excellent")))))</f>
        <v/>
      </c>
      <c r="AO480" s="59"/>
      <c r="AP480" s="59"/>
      <c r="AQ480" s="59"/>
      <c r="AR480" s="59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</row>
    <row r="481" spans="1:54" ht="19.5" customHeight="1" x14ac:dyDescent="0.25">
      <c r="A481" s="60" t="str">
        <f>IF($B481="","",TEXT($B481,"yyyymmdd")&amp;"-"&amp;SUBSTITUTE($F481," ","")&amp;"-"&amp;TEXT(COUNTIF($F$4:F481,$F481),"00"))</f>
        <v/>
      </c>
      <c r="B481" s="65"/>
      <c r="C481" s="60" t="str">
        <f>IF($B481="","",WEEKNUM($B481,2))</f>
        <v/>
      </c>
      <c r="D481" s="60" t="str">
        <f>IF($B481="","",TEXT($B481,"yyyy-mm"))</f>
        <v/>
      </c>
      <c r="E481" s="64"/>
      <c r="F481" s="64"/>
      <c r="G481" s="60" t="str">
        <f>IF(OR($E481="",$F481=""),"",IFERROR(IF($E481=INDEX([1]Cluster_Master!$A$4:$A$18,MATCH($F481,[1]Cluster_Master!$B$4:$B$18,0)),"OK","CHECK"),"CHECK"))</f>
        <v/>
      </c>
      <c r="H481" s="63" t="str">
        <f>IFERROR(INDEX([1]Cluster_Master!$C$4:$C$18,MATCH($F481,[1]Cluster_Master!$B$4:$B$18,0)),"")</f>
        <v/>
      </c>
      <c r="I481" s="60" t="str">
        <f>IFERROR(INDEX([1]Cluster_Master!$D$4:$D$18,MATCH($F481,[1]Cluster_Master!$B$4:$B$18,0)),"")</f>
        <v/>
      </c>
      <c r="J481" s="60" t="str">
        <f>IFERROR(INDEX([1]Cluster_Master!$E$4:$E$18,MATCH($F481,[1]Cluster_Master!$B$4:$B$18,0)),"")</f>
        <v/>
      </c>
      <c r="K481" s="60" t="str">
        <f>IFERROR(INDEX([1]Cluster_Master!$F$4:$F$18,MATCH($F481,[1]Cluster_Master!$B$4:$B$18,0)),"")</f>
        <v/>
      </c>
      <c r="L481" s="60" t="str">
        <f>IFERROR(INDEX([1]Cluster_Master!$G$4:$G$18,MATCH($F481,[1]Cluster_Master!$B$4:$B$18,0)),"")</f>
        <v/>
      </c>
      <c r="M481" s="60" t="str">
        <f>IFERROR(INDEX([1]Cluster_Master!$H$4:$H$18,MATCH($F481,[1]Cluster_Master!$B$4:$B$18,0)),"")</f>
        <v/>
      </c>
      <c r="N481" s="59"/>
      <c r="O481" s="59"/>
      <c r="P481" s="59"/>
      <c r="Q481" s="59"/>
      <c r="R481" s="59"/>
      <c r="S481" s="59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0" t="str">
        <f>IF(COUNTA(T481:AH481)=0,"",SUM(T481:AH481))</f>
        <v/>
      </c>
      <c r="AJ481" s="61" t="str">
        <f>IF(COUNTA(T481:AH481)=0,"",AI481/75)</f>
        <v/>
      </c>
      <c r="AK481" s="61" t="str">
        <f>IF(COUNTA(T481:AH481)=0,"",(SUM(T481*[1]KPI_Weights!$B$4,U481*[1]KPI_Weights!$B$5,V481*[1]KPI_Weights!$B$6,W481*[1]KPI_Weights!$B$7,X481*[1]KPI_Weights!$B$8,Y481*[1]KPI_Weights!$B$9,Z481*[1]KPI_Weights!$B$10,AA481*[1]KPI_Weights!$B$11,AB481*[1]KPI_Weights!$B$12,AC481*[1]KPI_Weights!$B$13,AD481*[1]KPI_Weights!$B$14,AE481*[1]KPI_Weights!$B$15,AF481*[1]KPI_Weights!$B$16,AG481*[1]KPI_Weights!$B$17,AH481*[1]KPI_Weights!$B$18))/5)</f>
        <v/>
      </c>
      <c r="AL481" s="60" t="str">
        <f>IF(COUNTA(T481:AH481)=0,"",IF(OR(T481&lt;=1,W481&lt;=1,X481&lt;=1,Y481&lt;=1,AB481&lt;=1),"YES","NO"))</f>
        <v/>
      </c>
      <c r="AM481" s="60" t="str">
        <f>IF(AJ481="","",IF(AND(AL481="NO",AJ481&gt;=0.75),"YES","NO"))</f>
        <v/>
      </c>
      <c r="AN481" s="60" t="str">
        <f>IF(AJ481="","",IF(AJ481&lt;0.4,"Critical",IF(AJ481&lt;0.6,"Poor",IF(AJ481&lt;0.75,"Needs Improvement",IF(AJ481&lt;0.9,"Good","Excellent")))))</f>
        <v/>
      </c>
      <c r="AO481" s="59"/>
      <c r="AP481" s="59"/>
      <c r="AQ481" s="59"/>
      <c r="AR481" s="59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</row>
    <row r="482" spans="1:54" ht="19.5" customHeight="1" x14ac:dyDescent="0.25">
      <c r="A482" s="60" t="str">
        <f>IF($B482="","",TEXT($B482,"yyyymmdd")&amp;"-"&amp;SUBSTITUTE($F482," ","")&amp;"-"&amp;TEXT(COUNTIF($F$4:F482,$F482),"00"))</f>
        <v/>
      </c>
      <c r="B482" s="65"/>
      <c r="C482" s="60" t="str">
        <f>IF($B482="","",WEEKNUM($B482,2))</f>
        <v/>
      </c>
      <c r="D482" s="60" t="str">
        <f>IF($B482="","",TEXT($B482,"yyyy-mm"))</f>
        <v/>
      </c>
      <c r="E482" s="64"/>
      <c r="F482" s="64"/>
      <c r="G482" s="60" t="str">
        <f>IF(OR($E482="",$F482=""),"",IFERROR(IF($E482=INDEX([1]Cluster_Master!$A$4:$A$18,MATCH($F482,[1]Cluster_Master!$B$4:$B$18,0)),"OK","CHECK"),"CHECK"))</f>
        <v/>
      </c>
      <c r="H482" s="63" t="str">
        <f>IFERROR(INDEX([1]Cluster_Master!$C$4:$C$18,MATCH($F482,[1]Cluster_Master!$B$4:$B$18,0)),"")</f>
        <v/>
      </c>
      <c r="I482" s="60" t="str">
        <f>IFERROR(INDEX([1]Cluster_Master!$D$4:$D$18,MATCH($F482,[1]Cluster_Master!$B$4:$B$18,0)),"")</f>
        <v/>
      </c>
      <c r="J482" s="60" t="str">
        <f>IFERROR(INDEX([1]Cluster_Master!$E$4:$E$18,MATCH($F482,[1]Cluster_Master!$B$4:$B$18,0)),"")</f>
        <v/>
      </c>
      <c r="K482" s="60" t="str">
        <f>IFERROR(INDEX([1]Cluster_Master!$F$4:$F$18,MATCH($F482,[1]Cluster_Master!$B$4:$B$18,0)),"")</f>
        <v/>
      </c>
      <c r="L482" s="60" t="str">
        <f>IFERROR(INDEX([1]Cluster_Master!$G$4:$G$18,MATCH($F482,[1]Cluster_Master!$B$4:$B$18,0)),"")</f>
        <v/>
      </c>
      <c r="M482" s="60" t="str">
        <f>IFERROR(INDEX([1]Cluster_Master!$H$4:$H$18,MATCH($F482,[1]Cluster_Master!$B$4:$B$18,0)),"")</f>
        <v/>
      </c>
      <c r="N482" s="59"/>
      <c r="O482" s="59"/>
      <c r="P482" s="59"/>
      <c r="Q482" s="59"/>
      <c r="R482" s="59"/>
      <c r="S482" s="59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0" t="str">
        <f>IF(COUNTA(T482:AH482)=0,"",SUM(T482:AH482))</f>
        <v/>
      </c>
      <c r="AJ482" s="61" t="str">
        <f>IF(COUNTA(T482:AH482)=0,"",AI482/75)</f>
        <v/>
      </c>
      <c r="AK482" s="61" t="str">
        <f>IF(COUNTA(T482:AH482)=0,"",(SUM(T482*[1]KPI_Weights!$B$4,U482*[1]KPI_Weights!$B$5,V482*[1]KPI_Weights!$B$6,W482*[1]KPI_Weights!$B$7,X482*[1]KPI_Weights!$B$8,Y482*[1]KPI_Weights!$B$9,Z482*[1]KPI_Weights!$B$10,AA482*[1]KPI_Weights!$B$11,AB482*[1]KPI_Weights!$B$12,AC482*[1]KPI_Weights!$B$13,AD482*[1]KPI_Weights!$B$14,AE482*[1]KPI_Weights!$B$15,AF482*[1]KPI_Weights!$B$16,AG482*[1]KPI_Weights!$B$17,AH482*[1]KPI_Weights!$B$18))/5)</f>
        <v/>
      </c>
      <c r="AL482" s="60" t="str">
        <f>IF(COUNTA(T482:AH482)=0,"",IF(OR(T482&lt;=1,W482&lt;=1,X482&lt;=1,Y482&lt;=1,AB482&lt;=1),"YES","NO"))</f>
        <v/>
      </c>
      <c r="AM482" s="60" t="str">
        <f>IF(AJ482="","",IF(AND(AL482="NO",AJ482&gt;=0.75),"YES","NO"))</f>
        <v/>
      </c>
      <c r="AN482" s="60" t="str">
        <f>IF(AJ482="","",IF(AJ482&lt;0.4,"Critical",IF(AJ482&lt;0.6,"Poor",IF(AJ482&lt;0.75,"Needs Improvement",IF(AJ482&lt;0.9,"Good","Excellent")))))</f>
        <v/>
      </c>
      <c r="AO482" s="59"/>
      <c r="AP482" s="59"/>
      <c r="AQ482" s="59"/>
      <c r="AR482" s="59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</row>
    <row r="483" spans="1:54" ht="19.5" customHeight="1" x14ac:dyDescent="0.25">
      <c r="A483" s="60" t="str">
        <f>IF($B483="","",TEXT($B483,"yyyymmdd")&amp;"-"&amp;SUBSTITUTE($F483," ","")&amp;"-"&amp;TEXT(COUNTIF($F$4:F483,$F483),"00"))</f>
        <v/>
      </c>
      <c r="B483" s="65"/>
      <c r="C483" s="60" t="str">
        <f>IF($B483="","",WEEKNUM($B483,2))</f>
        <v/>
      </c>
      <c r="D483" s="60" t="str">
        <f>IF($B483="","",TEXT($B483,"yyyy-mm"))</f>
        <v/>
      </c>
      <c r="E483" s="64"/>
      <c r="F483" s="64"/>
      <c r="G483" s="60" t="str">
        <f>IF(OR($E483="",$F483=""),"",IFERROR(IF($E483=INDEX([1]Cluster_Master!$A$4:$A$18,MATCH($F483,[1]Cluster_Master!$B$4:$B$18,0)),"OK","CHECK"),"CHECK"))</f>
        <v/>
      </c>
      <c r="H483" s="63" t="str">
        <f>IFERROR(INDEX([1]Cluster_Master!$C$4:$C$18,MATCH($F483,[1]Cluster_Master!$B$4:$B$18,0)),"")</f>
        <v/>
      </c>
      <c r="I483" s="60" t="str">
        <f>IFERROR(INDEX([1]Cluster_Master!$D$4:$D$18,MATCH($F483,[1]Cluster_Master!$B$4:$B$18,0)),"")</f>
        <v/>
      </c>
      <c r="J483" s="60" t="str">
        <f>IFERROR(INDEX([1]Cluster_Master!$E$4:$E$18,MATCH($F483,[1]Cluster_Master!$B$4:$B$18,0)),"")</f>
        <v/>
      </c>
      <c r="K483" s="60" t="str">
        <f>IFERROR(INDEX([1]Cluster_Master!$F$4:$F$18,MATCH($F483,[1]Cluster_Master!$B$4:$B$18,0)),"")</f>
        <v/>
      </c>
      <c r="L483" s="60" t="str">
        <f>IFERROR(INDEX([1]Cluster_Master!$G$4:$G$18,MATCH($F483,[1]Cluster_Master!$B$4:$B$18,0)),"")</f>
        <v/>
      </c>
      <c r="M483" s="60" t="str">
        <f>IFERROR(INDEX([1]Cluster_Master!$H$4:$H$18,MATCH($F483,[1]Cluster_Master!$B$4:$B$18,0)),"")</f>
        <v/>
      </c>
      <c r="N483" s="59"/>
      <c r="O483" s="59"/>
      <c r="P483" s="59"/>
      <c r="Q483" s="59"/>
      <c r="R483" s="59"/>
      <c r="S483" s="59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0" t="str">
        <f>IF(COUNTA(T483:AH483)=0,"",SUM(T483:AH483))</f>
        <v/>
      </c>
      <c r="AJ483" s="61" t="str">
        <f>IF(COUNTA(T483:AH483)=0,"",AI483/75)</f>
        <v/>
      </c>
      <c r="AK483" s="61" t="str">
        <f>IF(COUNTA(T483:AH483)=0,"",(SUM(T483*[1]KPI_Weights!$B$4,U483*[1]KPI_Weights!$B$5,V483*[1]KPI_Weights!$B$6,W483*[1]KPI_Weights!$B$7,X483*[1]KPI_Weights!$B$8,Y483*[1]KPI_Weights!$B$9,Z483*[1]KPI_Weights!$B$10,AA483*[1]KPI_Weights!$B$11,AB483*[1]KPI_Weights!$B$12,AC483*[1]KPI_Weights!$B$13,AD483*[1]KPI_Weights!$B$14,AE483*[1]KPI_Weights!$B$15,AF483*[1]KPI_Weights!$B$16,AG483*[1]KPI_Weights!$B$17,AH483*[1]KPI_Weights!$B$18))/5)</f>
        <v/>
      </c>
      <c r="AL483" s="60" t="str">
        <f>IF(COUNTA(T483:AH483)=0,"",IF(OR(T483&lt;=1,W483&lt;=1,X483&lt;=1,Y483&lt;=1,AB483&lt;=1),"YES","NO"))</f>
        <v/>
      </c>
      <c r="AM483" s="60" t="str">
        <f>IF(AJ483="","",IF(AND(AL483="NO",AJ483&gt;=0.75),"YES","NO"))</f>
        <v/>
      </c>
      <c r="AN483" s="60" t="str">
        <f>IF(AJ483="","",IF(AJ483&lt;0.4,"Critical",IF(AJ483&lt;0.6,"Poor",IF(AJ483&lt;0.75,"Needs Improvement",IF(AJ483&lt;0.9,"Good","Excellent")))))</f>
        <v/>
      </c>
      <c r="AO483" s="59"/>
      <c r="AP483" s="59"/>
      <c r="AQ483" s="59"/>
      <c r="AR483" s="59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</row>
    <row r="484" spans="1:54" ht="19.5" customHeight="1" x14ac:dyDescent="0.25">
      <c r="A484" s="60" t="str">
        <f>IF($B484="","",TEXT($B484,"yyyymmdd")&amp;"-"&amp;SUBSTITUTE($F484," ","")&amp;"-"&amp;TEXT(COUNTIF($F$4:F484,$F484),"00"))</f>
        <v/>
      </c>
      <c r="B484" s="65"/>
      <c r="C484" s="60" t="str">
        <f>IF($B484="","",WEEKNUM($B484,2))</f>
        <v/>
      </c>
      <c r="D484" s="60" t="str">
        <f>IF($B484="","",TEXT($B484,"yyyy-mm"))</f>
        <v/>
      </c>
      <c r="E484" s="64"/>
      <c r="F484" s="64"/>
      <c r="G484" s="60" t="str">
        <f>IF(OR($E484="",$F484=""),"",IFERROR(IF($E484=INDEX([1]Cluster_Master!$A$4:$A$18,MATCH($F484,[1]Cluster_Master!$B$4:$B$18,0)),"OK","CHECK"),"CHECK"))</f>
        <v/>
      </c>
      <c r="H484" s="63" t="str">
        <f>IFERROR(INDEX([1]Cluster_Master!$C$4:$C$18,MATCH($F484,[1]Cluster_Master!$B$4:$B$18,0)),"")</f>
        <v/>
      </c>
      <c r="I484" s="60" t="str">
        <f>IFERROR(INDEX([1]Cluster_Master!$D$4:$D$18,MATCH($F484,[1]Cluster_Master!$B$4:$B$18,0)),"")</f>
        <v/>
      </c>
      <c r="J484" s="60" t="str">
        <f>IFERROR(INDEX([1]Cluster_Master!$E$4:$E$18,MATCH($F484,[1]Cluster_Master!$B$4:$B$18,0)),"")</f>
        <v/>
      </c>
      <c r="K484" s="60" t="str">
        <f>IFERROR(INDEX([1]Cluster_Master!$F$4:$F$18,MATCH($F484,[1]Cluster_Master!$B$4:$B$18,0)),"")</f>
        <v/>
      </c>
      <c r="L484" s="60" t="str">
        <f>IFERROR(INDEX([1]Cluster_Master!$G$4:$G$18,MATCH($F484,[1]Cluster_Master!$B$4:$B$18,0)),"")</f>
        <v/>
      </c>
      <c r="M484" s="60" t="str">
        <f>IFERROR(INDEX([1]Cluster_Master!$H$4:$H$18,MATCH($F484,[1]Cluster_Master!$B$4:$B$18,0)),"")</f>
        <v/>
      </c>
      <c r="N484" s="59"/>
      <c r="O484" s="59"/>
      <c r="P484" s="59"/>
      <c r="Q484" s="59"/>
      <c r="R484" s="59"/>
      <c r="S484" s="59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0" t="str">
        <f>IF(COUNTA(T484:AH484)=0,"",SUM(T484:AH484))</f>
        <v/>
      </c>
      <c r="AJ484" s="61" t="str">
        <f>IF(COUNTA(T484:AH484)=0,"",AI484/75)</f>
        <v/>
      </c>
      <c r="AK484" s="61" t="str">
        <f>IF(COUNTA(T484:AH484)=0,"",(SUM(T484*[1]KPI_Weights!$B$4,U484*[1]KPI_Weights!$B$5,V484*[1]KPI_Weights!$B$6,W484*[1]KPI_Weights!$B$7,X484*[1]KPI_Weights!$B$8,Y484*[1]KPI_Weights!$B$9,Z484*[1]KPI_Weights!$B$10,AA484*[1]KPI_Weights!$B$11,AB484*[1]KPI_Weights!$B$12,AC484*[1]KPI_Weights!$B$13,AD484*[1]KPI_Weights!$B$14,AE484*[1]KPI_Weights!$B$15,AF484*[1]KPI_Weights!$B$16,AG484*[1]KPI_Weights!$B$17,AH484*[1]KPI_Weights!$B$18))/5)</f>
        <v/>
      </c>
      <c r="AL484" s="60" t="str">
        <f>IF(COUNTA(T484:AH484)=0,"",IF(OR(T484&lt;=1,W484&lt;=1,X484&lt;=1,Y484&lt;=1,AB484&lt;=1),"YES","NO"))</f>
        <v/>
      </c>
      <c r="AM484" s="60" t="str">
        <f>IF(AJ484="","",IF(AND(AL484="NO",AJ484&gt;=0.75),"YES","NO"))</f>
        <v/>
      </c>
      <c r="AN484" s="60" t="str">
        <f>IF(AJ484="","",IF(AJ484&lt;0.4,"Critical",IF(AJ484&lt;0.6,"Poor",IF(AJ484&lt;0.75,"Needs Improvement",IF(AJ484&lt;0.9,"Good","Excellent")))))</f>
        <v/>
      </c>
      <c r="AO484" s="59"/>
      <c r="AP484" s="59"/>
      <c r="AQ484" s="59"/>
      <c r="AR484" s="59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</row>
    <row r="485" spans="1:54" ht="19.5" customHeight="1" x14ac:dyDescent="0.25">
      <c r="A485" s="60" t="str">
        <f>IF($B485="","",TEXT($B485,"yyyymmdd")&amp;"-"&amp;SUBSTITUTE($F485," ","")&amp;"-"&amp;TEXT(COUNTIF($F$4:F485,$F485),"00"))</f>
        <v/>
      </c>
      <c r="B485" s="65"/>
      <c r="C485" s="60" t="str">
        <f>IF($B485="","",WEEKNUM($B485,2))</f>
        <v/>
      </c>
      <c r="D485" s="60" t="str">
        <f>IF($B485="","",TEXT($B485,"yyyy-mm"))</f>
        <v/>
      </c>
      <c r="E485" s="64"/>
      <c r="F485" s="64"/>
      <c r="G485" s="60" t="str">
        <f>IF(OR($E485="",$F485=""),"",IFERROR(IF($E485=INDEX([1]Cluster_Master!$A$4:$A$18,MATCH($F485,[1]Cluster_Master!$B$4:$B$18,0)),"OK","CHECK"),"CHECK"))</f>
        <v/>
      </c>
      <c r="H485" s="63" t="str">
        <f>IFERROR(INDEX([1]Cluster_Master!$C$4:$C$18,MATCH($F485,[1]Cluster_Master!$B$4:$B$18,0)),"")</f>
        <v/>
      </c>
      <c r="I485" s="60" t="str">
        <f>IFERROR(INDEX([1]Cluster_Master!$D$4:$D$18,MATCH($F485,[1]Cluster_Master!$B$4:$B$18,0)),"")</f>
        <v/>
      </c>
      <c r="J485" s="60" t="str">
        <f>IFERROR(INDEX([1]Cluster_Master!$E$4:$E$18,MATCH($F485,[1]Cluster_Master!$B$4:$B$18,0)),"")</f>
        <v/>
      </c>
      <c r="K485" s="60" t="str">
        <f>IFERROR(INDEX([1]Cluster_Master!$F$4:$F$18,MATCH($F485,[1]Cluster_Master!$B$4:$B$18,0)),"")</f>
        <v/>
      </c>
      <c r="L485" s="60" t="str">
        <f>IFERROR(INDEX([1]Cluster_Master!$G$4:$G$18,MATCH($F485,[1]Cluster_Master!$B$4:$B$18,0)),"")</f>
        <v/>
      </c>
      <c r="M485" s="60" t="str">
        <f>IFERROR(INDEX([1]Cluster_Master!$H$4:$H$18,MATCH($F485,[1]Cluster_Master!$B$4:$B$18,0)),"")</f>
        <v/>
      </c>
      <c r="N485" s="59"/>
      <c r="O485" s="59"/>
      <c r="P485" s="59"/>
      <c r="Q485" s="59"/>
      <c r="R485" s="59"/>
      <c r="S485" s="59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0" t="str">
        <f>IF(COUNTA(T485:AH485)=0,"",SUM(T485:AH485))</f>
        <v/>
      </c>
      <c r="AJ485" s="61" t="str">
        <f>IF(COUNTA(T485:AH485)=0,"",AI485/75)</f>
        <v/>
      </c>
      <c r="AK485" s="61" t="str">
        <f>IF(COUNTA(T485:AH485)=0,"",(SUM(T485*[1]KPI_Weights!$B$4,U485*[1]KPI_Weights!$B$5,V485*[1]KPI_Weights!$B$6,W485*[1]KPI_Weights!$B$7,X485*[1]KPI_Weights!$B$8,Y485*[1]KPI_Weights!$B$9,Z485*[1]KPI_Weights!$B$10,AA485*[1]KPI_Weights!$B$11,AB485*[1]KPI_Weights!$B$12,AC485*[1]KPI_Weights!$B$13,AD485*[1]KPI_Weights!$B$14,AE485*[1]KPI_Weights!$B$15,AF485*[1]KPI_Weights!$B$16,AG485*[1]KPI_Weights!$B$17,AH485*[1]KPI_Weights!$B$18))/5)</f>
        <v/>
      </c>
      <c r="AL485" s="60" t="str">
        <f>IF(COUNTA(T485:AH485)=0,"",IF(OR(T485&lt;=1,W485&lt;=1,X485&lt;=1,Y485&lt;=1,AB485&lt;=1),"YES","NO"))</f>
        <v/>
      </c>
      <c r="AM485" s="60" t="str">
        <f>IF(AJ485="","",IF(AND(AL485="NO",AJ485&gt;=0.75),"YES","NO"))</f>
        <v/>
      </c>
      <c r="AN485" s="60" t="str">
        <f>IF(AJ485="","",IF(AJ485&lt;0.4,"Critical",IF(AJ485&lt;0.6,"Poor",IF(AJ485&lt;0.75,"Needs Improvement",IF(AJ485&lt;0.9,"Good","Excellent")))))</f>
        <v/>
      </c>
      <c r="AO485" s="59"/>
      <c r="AP485" s="59"/>
      <c r="AQ485" s="59"/>
      <c r="AR485" s="59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</row>
    <row r="486" spans="1:54" ht="19.5" customHeight="1" x14ac:dyDescent="0.25">
      <c r="A486" s="60" t="str">
        <f>IF($B486="","",TEXT($B486,"yyyymmdd")&amp;"-"&amp;SUBSTITUTE($F486," ","")&amp;"-"&amp;TEXT(COUNTIF($F$4:F486,$F486),"00"))</f>
        <v/>
      </c>
      <c r="B486" s="65"/>
      <c r="C486" s="60" t="str">
        <f>IF($B486="","",WEEKNUM($B486,2))</f>
        <v/>
      </c>
      <c r="D486" s="60" t="str">
        <f>IF($B486="","",TEXT($B486,"yyyy-mm"))</f>
        <v/>
      </c>
      <c r="E486" s="64"/>
      <c r="F486" s="64"/>
      <c r="G486" s="60" t="str">
        <f>IF(OR($E486="",$F486=""),"",IFERROR(IF($E486=INDEX([1]Cluster_Master!$A$4:$A$18,MATCH($F486,[1]Cluster_Master!$B$4:$B$18,0)),"OK","CHECK"),"CHECK"))</f>
        <v/>
      </c>
      <c r="H486" s="63" t="str">
        <f>IFERROR(INDEX([1]Cluster_Master!$C$4:$C$18,MATCH($F486,[1]Cluster_Master!$B$4:$B$18,0)),"")</f>
        <v/>
      </c>
      <c r="I486" s="60" t="str">
        <f>IFERROR(INDEX([1]Cluster_Master!$D$4:$D$18,MATCH($F486,[1]Cluster_Master!$B$4:$B$18,0)),"")</f>
        <v/>
      </c>
      <c r="J486" s="60" t="str">
        <f>IFERROR(INDEX([1]Cluster_Master!$E$4:$E$18,MATCH($F486,[1]Cluster_Master!$B$4:$B$18,0)),"")</f>
        <v/>
      </c>
      <c r="K486" s="60" t="str">
        <f>IFERROR(INDEX([1]Cluster_Master!$F$4:$F$18,MATCH($F486,[1]Cluster_Master!$B$4:$B$18,0)),"")</f>
        <v/>
      </c>
      <c r="L486" s="60" t="str">
        <f>IFERROR(INDEX([1]Cluster_Master!$G$4:$G$18,MATCH($F486,[1]Cluster_Master!$B$4:$B$18,0)),"")</f>
        <v/>
      </c>
      <c r="M486" s="60" t="str">
        <f>IFERROR(INDEX([1]Cluster_Master!$H$4:$H$18,MATCH($F486,[1]Cluster_Master!$B$4:$B$18,0)),"")</f>
        <v/>
      </c>
      <c r="N486" s="59"/>
      <c r="O486" s="59"/>
      <c r="P486" s="59"/>
      <c r="Q486" s="59"/>
      <c r="R486" s="59"/>
      <c r="S486" s="59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0" t="str">
        <f>IF(COUNTA(T486:AH486)=0,"",SUM(T486:AH486))</f>
        <v/>
      </c>
      <c r="AJ486" s="61" t="str">
        <f>IF(COUNTA(T486:AH486)=0,"",AI486/75)</f>
        <v/>
      </c>
      <c r="AK486" s="61" t="str">
        <f>IF(COUNTA(T486:AH486)=0,"",(SUM(T486*[1]KPI_Weights!$B$4,U486*[1]KPI_Weights!$B$5,V486*[1]KPI_Weights!$B$6,W486*[1]KPI_Weights!$B$7,X486*[1]KPI_Weights!$B$8,Y486*[1]KPI_Weights!$B$9,Z486*[1]KPI_Weights!$B$10,AA486*[1]KPI_Weights!$B$11,AB486*[1]KPI_Weights!$B$12,AC486*[1]KPI_Weights!$B$13,AD486*[1]KPI_Weights!$B$14,AE486*[1]KPI_Weights!$B$15,AF486*[1]KPI_Weights!$B$16,AG486*[1]KPI_Weights!$B$17,AH486*[1]KPI_Weights!$B$18))/5)</f>
        <v/>
      </c>
      <c r="AL486" s="60" t="str">
        <f>IF(COUNTA(T486:AH486)=0,"",IF(OR(T486&lt;=1,W486&lt;=1,X486&lt;=1,Y486&lt;=1,AB486&lt;=1),"YES","NO"))</f>
        <v/>
      </c>
      <c r="AM486" s="60" t="str">
        <f>IF(AJ486="","",IF(AND(AL486="NO",AJ486&gt;=0.75),"YES","NO"))</f>
        <v/>
      </c>
      <c r="AN486" s="60" t="str">
        <f>IF(AJ486="","",IF(AJ486&lt;0.4,"Critical",IF(AJ486&lt;0.6,"Poor",IF(AJ486&lt;0.75,"Needs Improvement",IF(AJ486&lt;0.9,"Good","Excellent")))))</f>
        <v/>
      </c>
      <c r="AO486" s="59"/>
      <c r="AP486" s="59"/>
      <c r="AQ486" s="59"/>
      <c r="AR486" s="59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</row>
    <row r="487" spans="1:54" ht="19.5" customHeight="1" x14ac:dyDescent="0.25">
      <c r="A487" s="60" t="str">
        <f>IF($B487="","",TEXT($B487,"yyyymmdd")&amp;"-"&amp;SUBSTITUTE($F487," ","")&amp;"-"&amp;TEXT(COUNTIF($F$4:F487,$F487),"00"))</f>
        <v/>
      </c>
      <c r="B487" s="65"/>
      <c r="C487" s="60" t="str">
        <f>IF($B487="","",WEEKNUM($B487,2))</f>
        <v/>
      </c>
      <c r="D487" s="60" t="str">
        <f>IF($B487="","",TEXT($B487,"yyyy-mm"))</f>
        <v/>
      </c>
      <c r="E487" s="64"/>
      <c r="F487" s="64"/>
      <c r="G487" s="60" t="str">
        <f>IF(OR($E487="",$F487=""),"",IFERROR(IF($E487=INDEX([1]Cluster_Master!$A$4:$A$18,MATCH($F487,[1]Cluster_Master!$B$4:$B$18,0)),"OK","CHECK"),"CHECK"))</f>
        <v/>
      </c>
      <c r="H487" s="63" t="str">
        <f>IFERROR(INDEX([1]Cluster_Master!$C$4:$C$18,MATCH($F487,[1]Cluster_Master!$B$4:$B$18,0)),"")</f>
        <v/>
      </c>
      <c r="I487" s="60" t="str">
        <f>IFERROR(INDEX([1]Cluster_Master!$D$4:$D$18,MATCH($F487,[1]Cluster_Master!$B$4:$B$18,0)),"")</f>
        <v/>
      </c>
      <c r="J487" s="60" t="str">
        <f>IFERROR(INDEX([1]Cluster_Master!$E$4:$E$18,MATCH($F487,[1]Cluster_Master!$B$4:$B$18,0)),"")</f>
        <v/>
      </c>
      <c r="K487" s="60" t="str">
        <f>IFERROR(INDEX([1]Cluster_Master!$F$4:$F$18,MATCH($F487,[1]Cluster_Master!$B$4:$B$18,0)),"")</f>
        <v/>
      </c>
      <c r="L487" s="60" t="str">
        <f>IFERROR(INDEX([1]Cluster_Master!$G$4:$G$18,MATCH($F487,[1]Cluster_Master!$B$4:$B$18,0)),"")</f>
        <v/>
      </c>
      <c r="M487" s="60" t="str">
        <f>IFERROR(INDEX([1]Cluster_Master!$H$4:$H$18,MATCH($F487,[1]Cluster_Master!$B$4:$B$18,0)),"")</f>
        <v/>
      </c>
      <c r="N487" s="59"/>
      <c r="O487" s="59"/>
      <c r="P487" s="59"/>
      <c r="Q487" s="59"/>
      <c r="R487" s="59"/>
      <c r="S487" s="59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0" t="str">
        <f>IF(COUNTA(T487:AH487)=0,"",SUM(T487:AH487))</f>
        <v/>
      </c>
      <c r="AJ487" s="61" t="str">
        <f>IF(COUNTA(T487:AH487)=0,"",AI487/75)</f>
        <v/>
      </c>
      <c r="AK487" s="61" t="str">
        <f>IF(COUNTA(T487:AH487)=0,"",(SUM(T487*[1]KPI_Weights!$B$4,U487*[1]KPI_Weights!$B$5,V487*[1]KPI_Weights!$B$6,W487*[1]KPI_Weights!$B$7,X487*[1]KPI_Weights!$B$8,Y487*[1]KPI_Weights!$B$9,Z487*[1]KPI_Weights!$B$10,AA487*[1]KPI_Weights!$B$11,AB487*[1]KPI_Weights!$B$12,AC487*[1]KPI_Weights!$B$13,AD487*[1]KPI_Weights!$B$14,AE487*[1]KPI_Weights!$B$15,AF487*[1]KPI_Weights!$B$16,AG487*[1]KPI_Weights!$B$17,AH487*[1]KPI_Weights!$B$18))/5)</f>
        <v/>
      </c>
      <c r="AL487" s="60" t="str">
        <f>IF(COUNTA(T487:AH487)=0,"",IF(OR(T487&lt;=1,W487&lt;=1,X487&lt;=1,Y487&lt;=1,AB487&lt;=1),"YES","NO"))</f>
        <v/>
      </c>
      <c r="AM487" s="60" t="str">
        <f>IF(AJ487="","",IF(AND(AL487="NO",AJ487&gt;=0.75),"YES","NO"))</f>
        <v/>
      </c>
      <c r="AN487" s="60" t="str">
        <f>IF(AJ487="","",IF(AJ487&lt;0.4,"Critical",IF(AJ487&lt;0.6,"Poor",IF(AJ487&lt;0.75,"Needs Improvement",IF(AJ487&lt;0.9,"Good","Excellent")))))</f>
        <v/>
      </c>
      <c r="AO487" s="59"/>
      <c r="AP487" s="59"/>
      <c r="AQ487" s="59"/>
      <c r="AR487" s="59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</row>
    <row r="488" spans="1:54" ht="19.5" customHeight="1" x14ac:dyDescent="0.25">
      <c r="A488" s="60" t="str">
        <f>IF($B488="","",TEXT($B488,"yyyymmdd")&amp;"-"&amp;SUBSTITUTE($F488," ","")&amp;"-"&amp;TEXT(COUNTIF($F$4:F488,$F488),"00"))</f>
        <v/>
      </c>
      <c r="B488" s="65"/>
      <c r="C488" s="60" t="str">
        <f>IF($B488="","",WEEKNUM($B488,2))</f>
        <v/>
      </c>
      <c r="D488" s="60" t="str">
        <f>IF($B488="","",TEXT($B488,"yyyy-mm"))</f>
        <v/>
      </c>
      <c r="E488" s="64"/>
      <c r="F488" s="64"/>
      <c r="G488" s="60" t="str">
        <f>IF(OR($E488="",$F488=""),"",IFERROR(IF($E488=INDEX([1]Cluster_Master!$A$4:$A$18,MATCH($F488,[1]Cluster_Master!$B$4:$B$18,0)),"OK","CHECK"),"CHECK"))</f>
        <v/>
      </c>
      <c r="H488" s="63" t="str">
        <f>IFERROR(INDEX([1]Cluster_Master!$C$4:$C$18,MATCH($F488,[1]Cluster_Master!$B$4:$B$18,0)),"")</f>
        <v/>
      </c>
      <c r="I488" s="60" t="str">
        <f>IFERROR(INDEX([1]Cluster_Master!$D$4:$D$18,MATCH($F488,[1]Cluster_Master!$B$4:$B$18,0)),"")</f>
        <v/>
      </c>
      <c r="J488" s="60" t="str">
        <f>IFERROR(INDEX([1]Cluster_Master!$E$4:$E$18,MATCH($F488,[1]Cluster_Master!$B$4:$B$18,0)),"")</f>
        <v/>
      </c>
      <c r="K488" s="60" t="str">
        <f>IFERROR(INDEX([1]Cluster_Master!$F$4:$F$18,MATCH($F488,[1]Cluster_Master!$B$4:$B$18,0)),"")</f>
        <v/>
      </c>
      <c r="L488" s="60" t="str">
        <f>IFERROR(INDEX([1]Cluster_Master!$G$4:$G$18,MATCH($F488,[1]Cluster_Master!$B$4:$B$18,0)),"")</f>
        <v/>
      </c>
      <c r="M488" s="60" t="str">
        <f>IFERROR(INDEX([1]Cluster_Master!$H$4:$H$18,MATCH($F488,[1]Cluster_Master!$B$4:$B$18,0)),"")</f>
        <v/>
      </c>
      <c r="N488" s="59"/>
      <c r="O488" s="59"/>
      <c r="P488" s="59"/>
      <c r="Q488" s="59"/>
      <c r="R488" s="59"/>
      <c r="S488" s="59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0" t="str">
        <f>IF(COUNTA(T488:AH488)=0,"",SUM(T488:AH488))</f>
        <v/>
      </c>
      <c r="AJ488" s="61" t="str">
        <f>IF(COUNTA(T488:AH488)=0,"",AI488/75)</f>
        <v/>
      </c>
      <c r="AK488" s="61" t="str">
        <f>IF(COUNTA(T488:AH488)=0,"",(SUM(T488*[1]KPI_Weights!$B$4,U488*[1]KPI_Weights!$B$5,V488*[1]KPI_Weights!$B$6,W488*[1]KPI_Weights!$B$7,X488*[1]KPI_Weights!$B$8,Y488*[1]KPI_Weights!$B$9,Z488*[1]KPI_Weights!$B$10,AA488*[1]KPI_Weights!$B$11,AB488*[1]KPI_Weights!$B$12,AC488*[1]KPI_Weights!$B$13,AD488*[1]KPI_Weights!$B$14,AE488*[1]KPI_Weights!$B$15,AF488*[1]KPI_Weights!$B$16,AG488*[1]KPI_Weights!$B$17,AH488*[1]KPI_Weights!$B$18))/5)</f>
        <v/>
      </c>
      <c r="AL488" s="60" t="str">
        <f>IF(COUNTA(T488:AH488)=0,"",IF(OR(T488&lt;=1,W488&lt;=1,X488&lt;=1,Y488&lt;=1,AB488&lt;=1),"YES","NO"))</f>
        <v/>
      </c>
      <c r="AM488" s="60" t="str">
        <f>IF(AJ488="","",IF(AND(AL488="NO",AJ488&gt;=0.75),"YES","NO"))</f>
        <v/>
      </c>
      <c r="AN488" s="60" t="str">
        <f>IF(AJ488="","",IF(AJ488&lt;0.4,"Critical",IF(AJ488&lt;0.6,"Poor",IF(AJ488&lt;0.75,"Needs Improvement",IF(AJ488&lt;0.9,"Good","Excellent")))))</f>
        <v/>
      </c>
      <c r="AO488" s="59"/>
      <c r="AP488" s="59"/>
      <c r="AQ488" s="59"/>
      <c r="AR488" s="59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</row>
    <row r="489" spans="1:54" ht="19.5" customHeight="1" x14ac:dyDescent="0.25">
      <c r="A489" s="60" t="str">
        <f>IF($B489="","",TEXT($B489,"yyyymmdd")&amp;"-"&amp;SUBSTITUTE($F489," ","")&amp;"-"&amp;TEXT(COUNTIF($F$4:F489,$F489),"00"))</f>
        <v/>
      </c>
      <c r="B489" s="65"/>
      <c r="C489" s="60" t="str">
        <f>IF($B489="","",WEEKNUM($B489,2))</f>
        <v/>
      </c>
      <c r="D489" s="60" t="str">
        <f>IF($B489="","",TEXT($B489,"yyyy-mm"))</f>
        <v/>
      </c>
      <c r="E489" s="64"/>
      <c r="F489" s="64"/>
      <c r="G489" s="60" t="str">
        <f>IF(OR($E489="",$F489=""),"",IFERROR(IF($E489=INDEX([1]Cluster_Master!$A$4:$A$18,MATCH($F489,[1]Cluster_Master!$B$4:$B$18,0)),"OK","CHECK"),"CHECK"))</f>
        <v/>
      </c>
      <c r="H489" s="63" t="str">
        <f>IFERROR(INDEX([1]Cluster_Master!$C$4:$C$18,MATCH($F489,[1]Cluster_Master!$B$4:$B$18,0)),"")</f>
        <v/>
      </c>
      <c r="I489" s="60" t="str">
        <f>IFERROR(INDEX([1]Cluster_Master!$D$4:$D$18,MATCH($F489,[1]Cluster_Master!$B$4:$B$18,0)),"")</f>
        <v/>
      </c>
      <c r="J489" s="60" t="str">
        <f>IFERROR(INDEX([1]Cluster_Master!$E$4:$E$18,MATCH($F489,[1]Cluster_Master!$B$4:$B$18,0)),"")</f>
        <v/>
      </c>
      <c r="K489" s="60" t="str">
        <f>IFERROR(INDEX([1]Cluster_Master!$F$4:$F$18,MATCH($F489,[1]Cluster_Master!$B$4:$B$18,0)),"")</f>
        <v/>
      </c>
      <c r="L489" s="60" t="str">
        <f>IFERROR(INDEX([1]Cluster_Master!$G$4:$G$18,MATCH($F489,[1]Cluster_Master!$B$4:$B$18,0)),"")</f>
        <v/>
      </c>
      <c r="M489" s="60" t="str">
        <f>IFERROR(INDEX([1]Cluster_Master!$H$4:$H$18,MATCH($F489,[1]Cluster_Master!$B$4:$B$18,0)),"")</f>
        <v/>
      </c>
      <c r="N489" s="59"/>
      <c r="O489" s="59"/>
      <c r="P489" s="59"/>
      <c r="Q489" s="59"/>
      <c r="R489" s="59"/>
      <c r="S489" s="59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0" t="str">
        <f>IF(COUNTA(T489:AH489)=0,"",SUM(T489:AH489))</f>
        <v/>
      </c>
      <c r="AJ489" s="61" t="str">
        <f>IF(COUNTA(T489:AH489)=0,"",AI489/75)</f>
        <v/>
      </c>
      <c r="AK489" s="61" t="str">
        <f>IF(COUNTA(T489:AH489)=0,"",(SUM(T489*[1]KPI_Weights!$B$4,U489*[1]KPI_Weights!$B$5,V489*[1]KPI_Weights!$B$6,W489*[1]KPI_Weights!$B$7,X489*[1]KPI_Weights!$B$8,Y489*[1]KPI_Weights!$B$9,Z489*[1]KPI_Weights!$B$10,AA489*[1]KPI_Weights!$B$11,AB489*[1]KPI_Weights!$B$12,AC489*[1]KPI_Weights!$B$13,AD489*[1]KPI_Weights!$B$14,AE489*[1]KPI_Weights!$B$15,AF489*[1]KPI_Weights!$B$16,AG489*[1]KPI_Weights!$B$17,AH489*[1]KPI_Weights!$B$18))/5)</f>
        <v/>
      </c>
      <c r="AL489" s="60" t="str">
        <f>IF(COUNTA(T489:AH489)=0,"",IF(OR(T489&lt;=1,W489&lt;=1,X489&lt;=1,Y489&lt;=1,AB489&lt;=1),"YES","NO"))</f>
        <v/>
      </c>
      <c r="AM489" s="60" t="str">
        <f>IF(AJ489="","",IF(AND(AL489="NO",AJ489&gt;=0.75),"YES","NO"))</f>
        <v/>
      </c>
      <c r="AN489" s="60" t="str">
        <f>IF(AJ489="","",IF(AJ489&lt;0.4,"Critical",IF(AJ489&lt;0.6,"Poor",IF(AJ489&lt;0.75,"Needs Improvement",IF(AJ489&lt;0.9,"Good","Excellent")))))</f>
        <v/>
      </c>
      <c r="AO489" s="59"/>
      <c r="AP489" s="59"/>
      <c r="AQ489" s="59"/>
      <c r="AR489" s="59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</row>
    <row r="490" spans="1:54" ht="19.5" customHeight="1" x14ac:dyDescent="0.25">
      <c r="A490" s="60" t="str">
        <f>IF($B490="","",TEXT($B490,"yyyymmdd")&amp;"-"&amp;SUBSTITUTE($F490," ","")&amp;"-"&amp;TEXT(COUNTIF($F$4:F490,$F490),"00"))</f>
        <v/>
      </c>
      <c r="B490" s="65"/>
      <c r="C490" s="60" t="str">
        <f>IF($B490="","",WEEKNUM($B490,2))</f>
        <v/>
      </c>
      <c r="D490" s="60" t="str">
        <f>IF($B490="","",TEXT($B490,"yyyy-mm"))</f>
        <v/>
      </c>
      <c r="E490" s="64"/>
      <c r="F490" s="64"/>
      <c r="G490" s="60" t="str">
        <f>IF(OR($E490="",$F490=""),"",IFERROR(IF($E490=INDEX([1]Cluster_Master!$A$4:$A$18,MATCH($F490,[1]Cluster_Master!$B$4:$B$18,0)),"OK","CHECK"),"CHECK"))</f>
        <v/>
      </c>
      <c r="H490" s="63" t="str">
        <f>IFERROR(INDEX([1]Cluster_Master!$C$4:$C$18,MATCH($F490,[1]Cluster_Master!$B$4:$B$18,0)),"")</f>
        <v/>
      </c>
      <c r="I490" s="60" t="str">
        <f>IFERROR(INDEX([1]Cluster_Master!$D$4:$D$18,MATCH($F490,[1]Cluster_Master!$B$4:$B$18,0)),"")</f>
        <v/>
      </c>
      <c r="J490" s="60" t="str">
        <f>IFERROR(INDEX([1]Cluster_Master!$E$4:$E$18,MATCH($F490,[1]Cluster_Master!$B$4:$B$18,0)),"")</f>
        <v/>
      </c>
      <c r="K490" s="60" t="str">
        <f>IFERROR(INDEX([1]Cluster_Master!$F$4:$F$18,MATCH($F490,[1]Cluster_Master!$B$4:$B$18,0)),"")</f>
        <v/>
      </c>
      <c r="L490" s="60" t="str">
        <f>IFERROR(INDEX([1]Cluster_Master!$G$4:$G$18,MATCH($F490,[1]Cluster_Master!$B$4:$B$18,0)),"")</f>
        <v/>
      </c>
      <c r="M490" s="60" t="str">
        <f>IFERROR(INDEX([1]Cluster_Master!$H$4:$H$18,MATCH($F490,[1]Cluster_Master!$B$4:$B$18,0)),"")</f>
        <v/>
      </c>
      <c r="N490" s="59"/>
      <c r="O490" s="59"/>
      <c r="P490" s="59"/>
      <c r="Q490" s="59"/>
      <c r="R490" s="59"/>
      <c r="S490" s="59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0" t="str">
        <f>IF(COUNTA(T490:AH490)=0,"",SUM(T490:AH490))</f>
        <v/>
      </c>
      <c r="AJ490" s="61" t="str">
        <f>IF(COUNTA(T490:AH490)=0,"",AI490/75)</f>
        <v/>
      </c>
      <c r="AK490" s="61" t="str">
        <f>IF(COUNTA(T490:AH490)=0,"",(SUM(T490*[1]KPI_Weights!$B$4,U490*[1]KPI_Weights!$B$5,V490*[1]KPI_Weights!$B$6,W490*[1]KPI_Weights!$B$7,X490*[1]KPI_Weights!$B$8,Y490*[1]KPI_Weights!$B$9,Z490*[1]KPI_Weights!$B$10,AA490*[1]KPI_Weights!$B$11,AB490*[1]KPI_Weights!$B$12,AC490*[1]KPI_Weights!$B$13,AD490*[1]KPI_Weights!$B$14,AE490*[1]KPI_Weights!$B$15,AF490*[1]KPI_Weights!$B$16,AG490*[1]KPI_Weights!$B$17,AH490*[1]KPI_Weights!$B$18))/5)</f>
        <v/>
      </c>
      <c r="AL490" s="60" t="str">
        <f>IF(COUNTA(T490:AH490)=0,"",IF(OR(T490&lt;=1,W490&lt;=1,X490&lt;=1,Y490&lt;=1,AB490&lt;=1),"YES","NO"))</f>
        <v/>
      </c>
      <c r="AM490" s="60" t="str">
        <f>IF(AJ490="","",IF(AND(AL490="NO",AJ490&gt;=0.75),"YES","NO"))</f>
        <v/>
      </c>
      <c r="AN490" s="60" t="str">
        <f>IF(AJ490="","",IF(AJ490&lt;0.4,"Critical",IF(AJ490&lt;0.6,"Poor",IF(AJ490&lt;0.75,"Needs Improvement",IF(AJ490&lt;0.9,"Good","Excellent")))))</f>
        <v/>
      </c>
      <c r="AO490" s="59"/>
      <c r="AP490" s="59"/>
      <c r="AQ490" s="59"/>
      <c r="AR490" s="59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</row>
    <row r="491" spans="1:54" ht="19.5" customHeight="1" x14ac:dyDescent="0.25">
      <c r="A491" s="60" t="str">
        <f>IF($B491="","",TEXT($B491,"yyyymmdd")&amp;"-"&amp;SUBSTITUTE($F491," ","")&amp;"-"&amp;TEXT(COUNTIF($F$4:F491,$F491),"00"))</f>
        <v/>
      </c>
      <c r="B491" s="65"/>
      <c r="C491" s="60" t="str">
        <f>IF($B491="","",WEEKNUM($B491,2))</f>
        <v/>
      </c>
      <c r="D491" s="60" t="str">
        <f>IF($B491="","",TEXT($B491,"yyyy-mm"))</f>
        <v/>
      </c>
      <c r="E491" s="64"/>
      <c r="F491" s="64"/>
      <c r="G491" s="60" t="str">
        <f>IF(OR($E491="",$F491=""),"",IFERROR(IF($E491=INDEX([1]Cluster_Master!$A$4:$A$18,MATCH($F491,[1]Cluster_Master!$B$4:$B$18,0)),"OK","CHECK"),"CHECK"))</f>
        <v/>
      </c>
      <c r="H491" s="63" t="str">
        <f>IFERROR(INDEX([1]Cluster_Master!$C$4:$C$18,MATCH($F491,[1]Cluster_Master!$B$4:$B$18,0)),"")</f>
        <v/>
      </c>
      <c r="I491" s="60" t="str">
        <f>IFERROR(INDEX([1]Cluster_Master!$D$4:$D$18,MATCH($F491,[1]Cluster_Master!$B$4:$B$18,0)),"")</f>
        <v/>
      </c>
      <c r="J491" s="60" t="str">
        <f>IFERROR(INDEX([1]Cluster_Master!$E$4:$E$18,MATCH($F491,[1]Cluster_Master!$B$4:$B$18,0)),"")</f>
        <v/>
      </c>
      <c r="K491" s="60" t="str">
        <f>IFERROR(INDEX([1]Cluster_Master!$F$4:$F$18,MATCH($F491,[1]Cluster_Master!$B$4:$B$18,0)),"")</f>
        <v/>
      </c>
      <c r="L491" s="60" t="str">
        <f>IFERROR(INDEX([1]Cluster_Master!$G$4:$G$18,MATCH($F491,[1]Cluster_Master!$B$4:$B$18,0)),"")</f>
        <v/>
      </c>
      <c r="M491" s="60" t="str">
        <f>IFERROR(INDEX([1]Cluster_Master!$H$4:$H$18,MATCH($F491,[1]Cluster_Master!$B$4:$B$18,0)),"")</f>
        <v/>
      </c>
      <c r="N491" s="59"/>
      <c r="O491" s="59"/>
      <c r="P491" s="59"/>
      <c r="Q491" s="59"/>
      <c r="R491" s="59"/>
      <c r="S491" s="59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0" t="str">
        <f>IF(COUNTA(T491:AH491)=0,"",SUM(T491:AH491))</f>
        <v/>
      </c>
      <c r="AJ491" s="61" t="str">
        <f>IF(COUNTA(T491:AH491)=0,"",AI491/75)</f>
        <v/>
      </c>
      <c r="AK491" s="61" t="str">
        <f>IF(COUNTA(T491:AH491)=0,"",(SUM(T491*[1]KPI_Weights!$B$4,U491*[1]KPI_Weights!$B$5,V491*[1]KPI_Weights!$B$6,W491*[1]KPI_Weights!$B$7,X491*[1]KPI_Weights!$B$8,Y491*[1]KPI_Weights!$B$9,Z491*[1]KPI_Weights!$B$10,AA491*[1]KPI_Weights!$B$11,AB491*[1]KPI_Weights!$B$12,AC491*[1]KPI_Weights!$B$13,AD491*[1]KPI_Weights!$B$14,AE491*[1]KPI_Weights!$B$15,AF491*[1]KPI_Weights!$B$16,AG491*[1]KPI_Weights!$B$17,AH491*[1]KPI_Weights!$B$18))/5)</f>
        <v/>
      </c>
      <c r="AL491" s="60" t="str">
        <f>IF(COUNTA(T491:AH491)=0,"",IF(OR(T491&lt;=1,W491&lt;=1,X491&lt;=1,Y491&lt;=1,AB491&lt;=1),"YES","NO"))</f>
        <v/>
      </c>
      <c r="AM491" s="60" t="str">
        <f>IF(AJ491="","",IF(AND(AL491="NO",AJ491&gt;=0.75),"YES","NO"))</f>
        <v/>
      </c>
      <c r="AN491" s="60" t="str">
        <f>IF(AJ491="","",IF(AJ491&lt;0.4,"Critical",IF(AJ491&lt;0.6,"Poor",IF(AJ491&lt;0.75,"Needs Improvement",IF(AJ491&lt;0.9,"Good","Excellent")))))</f>
        <v/>
      </c>
      <c r="AO491" s="59"/>
      <c r="AP491" s="59"/>
      <c r="AQ491" s="59"/>
      <c r="AR491" s="59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</row>
    <row r="492" spans="1:54" ht="19.5" customHeight="1" x14ac:dyDescent="0.25">
      <c r="A492" s="60" t="str">
        <f>IF($B492="","",TEXT($B492,"yyyymmdd")&amp;"-"&amp;SUBSTITUTE($F492," ","")&amp;"-"&amp;TEXT(COUNTIF($F$4:F492,$F492),"00"))</f>
        <v/>
      </c>
      <c r="B492" s="65"/>
      <c r="C492" s="60" t="str">
        <f>IF($B492="","",WEEKNUM($B492,2))</f>
        <v/>
      </c>
      <c r="D492" s="60" t="str">
        <f>IF($B492="","",TEXT($B492,"yyyy-mm"))</f>
        <v/>
      </c>
      <c r="E492" s="64"/>
      <c r="F492" s="64"/>
      <c r="G492" s="60" t="str">
        <f>IF(OR($E492="",$F492=""),"",IFERROR(IF($E492=INDEX([1]Cluster_Master!$A$4:$A$18,MATCH($F492,[1]Cluster_Master!$B$4:$B$18,0)),"OK","CHECK"),"CHECK"))</f>
        <v/>
      </c>
      <c r="H492" s="63" t="str">
        <f>IFERROR(INDEX([1]Cluster_Master!$C$4:$C$18,MATCH($F492,[1]Cluster_Master!$B$4:$B$18,0)),"")</f>
        <v/>
      </c>
      <c r="I492" s="60" t="str">
        <f>IFERROR(INDEX([1]Cluster_Master!$D$4:$D$18,MATCH($F492,[1]Cluster_Master!$B$4:$B$18,0)),"")</f>
        <v/>
      </c>
      <c r="J492" s="60" t="str">
        <f>IFERROR(INDEX([1]Cluster_Master!$E$4:$E$18,MATCH($F492,[1]Cluster_Master!$B$4:$B$18,0)),"")</f>
        <v/>
      </c>
      <c r="K492" s="60" t="str">
        <f>IFERROR(INDEX([1]Cluster_Master!$F$4:$F$18,MATCH($F492,[1]Cluster_Master!$B$4:$B$18,0)),"")</f>
        <v/>
      </c>
      <c r="L492" s="60" t="str">
        <f>IFERROR(INDEX([1]Cluster_Master!$G$4:$G$18,MATCH($F492,[1]Cluster_Master!$B$4:$B$18,0)),"")</f>
        <v/>
      </c>
      <c r="M492" s="60" t="str">
        <f>IFERROR(INDEX([1]Cluster_Master!$H$4:$H$18,MATCH($F492,[1]Cluster_Master!$B$4:$B$18,0)),"")</f>
        <v/>
      </c>
      <c r="N492" s="59"/>
      <c r="O492" s="59"/>
      <c r="P492" s="59"/>
      <c r="Q492" s="59"/>
      <c r="R492" s="59"/>
      <c r="S492" s="59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0" t="str">
        <f>IF(COUNTA(T492:AH492)=0,"",SUM(T492:AH492))</f>
        <v/>
      </c>
      <c r="AJ492" s="61" t="str">
        <f>IF(COUNTA(T492:AH492)=0,"",AI492/75)</f>
        <v/>
      </c>
      <c r="AK492" s="61" t="str">
        <f>IF(COUNTA(T492:AH492)=0,"",(SUM(T492*[1]KPI_Weights!$B$4,U492*[1]KPI_Weights!$B$5,V492*[1]KPI_Weights!$B$6,W492*[1]KPI_Weights!$B$7,X492*[1]KPI_Weights!$B$8,Y492*[1]KPI_Weights!$B$9,Z492*[1]KPI_Weights!$B$10,AA492*[1]KPI_Weights!$B$11,AB492*[1]KPI_Weights!$B$12,AC492*[1]KPI_Weights!$B$13,AD492*[1]KPI_Weights!$B$14,AE492*[1]KPI_Weights!$B$15,AF492*[1]KPI_Weights!$B$16,AG492*[1]KPI_Weights!$B$17,AH492*[1]KPI_Weights!$B$18))/5)</f>
        <v/>
      </c>
      <c r="AL492" s="60" t="str">
        <f>IF(COUNTA(T492:AH492)=0,"",IF(OR(T492&lt;=1,W492&lt;=1,X492&lt;=1,Y492&lt;=1,AB492&lt;=1),"YES","NO"))</f>
        <v/>
      </c>
      <c r="AM492" s="60" t="str">
        <f>IF(AJ492="","",IF(AND(AL492="NO",AJ492&gt;=0.75),"YES","NO"))</f>
        <v/>
      </c>
      <c r="AN492" s="60" t="str">
        <f>IF(AJ492="","",IF(AJ492&lt;0.4,"Critical",IF(AJ492&lt;0.6,"Poor",IF(AJ492&lt;0.75,"Needs Improvement",IF(AJ492&lt;0.9,"Good","Excellent")))))</f>
        <v/>
      </c>
      <c r="AO492" s="59"/>
      <c r="AP492" s="59"/>
      <c r="AQ492" s="59"/>
      <c r="AR492" s="59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</row>
    <row r="493" spans="1:54" ht="19.5" customHeight="1" x14ac:dyDescent="0.25">
      <c r="A493" s="60" t="str">
        <f>IF($B493="","",TEXT($B493,"yyyymmdd")&amp;"-"&amp;SUBSTITUTE($F493," ","")&amp;"-"&amp;TEXT(COUNTIF($F$4:F493,$F493),"00"))</f>
        <v/>
      </c>
      <c r="B493" s="65"/>
      <c r="C493" s="60" t="str">
        <f>IF($B493="","",WEEKNUM($B493,2))</f>
        <v/>
      </c>
      <c r="D493" s="60" t="str">
        <f>IF($B493="","",TEXT($B493,"yyyy-mm"))</f>
        <v/>
      </c>
      <c r="E493" s="64"/>
      <c r="F493" s="64"/>
      <c r="G493" s="60" t="str">
        <f>IF(OR($E493="",$F493=""),"",IFERROR(IF($E493=INDEX([1]Cluster_Master!$A$4:$A$18,MATCH($F493,[1]Cluster_Master!$B$4:$B$18,0)),"OK","CHECK"),"CHECK"))</f>
        <v/>
      </c>
      <c r="H493" s="63" t="str">
        <f>IFERROR(INDEX([1]Cluster_Master!$C$4:$C$18,MATCH($F493,[1]Cluster_Master!$B$4:$B$18,0)),"")</f>
        <v/>
      </c>
      <c r="I493" s="60" t="str">
        <f>IFERROR(INDEX([1]Cluster_Master!$D$4:$D$18,MATCH($F493,[1]Cluster_Master!$B$4:$B$18,0)),"")</f>
        <v/>
      </c>
      <c r="J493" s="60" t="str">
        <f>IFERROR(INDEX([1]Cluster_Master!$E$4:$E$18,MATCH($F493,[1]Cluster_Master!$B$4:$B$18,0)),"")</f>
        <v/>
      </c>
      <c r="K493" s="60" t="str">
        <f>IFERROR(INDEX([1]Cluster_Master!$F$4:$F$18,MATCH($F493,[1]Cluster_Master!$B$4:$B$18,0)),"")</f>
        <v/>
      </c>
      <c r="L493" s="60" t="str">
        <f>IFERROR(INDEX([1]Cluster_Master!$G$4:$G$18,MATCH($F493,[1]Cluster_Master!$B$4:$B$18,0)),"")</f>
        <v/>
      </c>
      <c r="M493" s="60" t="str">
        <f>IFERROR(INDEX([1]Cluster_Master!$H$4:$H$18,MATCH($F493,[1]Cluster_Master!$B$4:$B$18,0)),"")</f>
        <v/>
      </c>
      <c r="N493" s="59"/>
      <c r="O493" s="59"/>
      <c r="P493" s="59"/>
      <c r="Q493" s="59"/>
      <c r="R493" s="59"/>
      <c r="S493" s="59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0" t="str">
        <f>IF(COUNTA(T493:AH493)=0,"",SUM(T493:AH493))</f>
        <v/>
      </c>
      <c r="AJ493" s="61" t="str">
        <f>IF(COUNTA(T493:AH493)=0,"",AI493/75)</f>
        <v/>
      </c>
      <c r="AK493" s="61" t="str">
        <f>IF(COUNTA(T493:AH493)=0,"",(SUM(T493*[1]KPI_Weights!$B$4,U493*[1]KPI_Weights!$B$5,V493*[1]KPI_Weights!$B$6,W493*[1]KPI_Weights!$B$7,X493*[1]KPI_Weights!$B$8,Y493*[1]KPI_Weights!$B$9,Z493*[1]KPI_Weights!$B$10,AA493*[1]KPI_Weights!$B$11,AB493*[1]KPI_Weights!$B$12,AC493*[1]KPI_Weights!$B$13,AD493*[1]KPI_Weights!$B$14,AE493*[1]KPI_Weights!$B$15,AF493*[1]KPI_Weights!$B$16,AG493*[1]KPI_Weights!$B$17,AH493*[1]KPI_Weights!$B$18))/5)</f>
        <v/>
      </c>
      <c r="AL493" s="60" t="str">
        <f>IF(COUNTA(T493:AH493)=0,"",IF(OR(T493&lt;=1,W493&lt;=1,X493&lt;=1,Y493&lt;=1,AB493&lt;=1),"YES","NO"))</f>
        <v/>
      </c>
      <c r="AM493" s="60" t="str">
        <f>IF(AJ493="","",IF(AND(AL493="NO",AJ493&gt;=0.75),"YES","NO"))</f>
        <v/>
      </c>
      <c r="AN493" s="60" t="str">
        <f>IF(AJ493="","",IF(AJ493&lt;0.4,"Critical",IF(AJ493&lt;0.6,"Poor",IF(AJ493&lt;0.75,"Needs Improvement",IF(AJ493&lt;0.9,"Good","Excellent")))))</f>
        <v/>
      </c>
      <c r="AO493" s="59"/>
      <c r="AP493" s="59"/>
      <c r="AQ493" s="59"/>
      <c r="AR493" s="59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</row>
    <row r="494" spans="1:54" ht="19.5" customHeight="1" x14ac:dyDescent="0.25">
      <c r="A494" s="60" t="str">
        <f>IF($B494="","",TEXT($B494,"yyyymmdd")&amp;"-"&amp;SUBSTITUTE($F494," ","")&amp;"-"&amp;TEXT(COUNTIF($F$4:F494,$F494),"00"))</f>
        <v/>
      </c>
      <c r="B494" s="65"/>
      <c r="C494" s="60" t="str">
        <f>IF($B494="","",WEEKNUM($B494,2))</f>
        <v/>
      </c>
      <c r="D494" s="60" t="str">
        <f>IF($B494="","",TEXT($B494,"yyyy-mm"))</f>
        <v/>
      </c>
      <c r="E494" s="64"/>
      <c r="F494" s="64"/>
      <c r="G494" s="60" t="str">
        <f>IF(OR($E494="",$F494=""),"",IFERROR(IF($E494=INDEX([1]Cluster_Master!$A$4:$A$18,MATCH($F494,[1]Cluster_Master!$B$4:$B$18,0)),"OK","CHECK"),"CHECK"))</f>
        <v/>
      </c>
      <c r="H494" s="63" t="str">
        <f>IFERROR(INDEX([1]Cluster_Master!$C$4:$C$18,MATCH($F494,[1]Cluster_Master!$B$4:$B$18,0)),"")</f>
        <v/>
      </c>
      <c r="I494" s="60" t="str">
        <f>IFERROR(INDEX([1]Cluster_Master!$D$4:$D$18,MATCH($F494,[1]Cluster_Master!$B$4:$B$18,0)),"")</f>
        <v/>
      </c>
      <c r="J494" s="60" t="str">
        <f>IFERROR(INDEX([1]Cluster_Master!$E$4:$E$18,MATCH($F494,[1]Cluster_Master!$B$4:$B$18,0)),"")</f>
        <v/>
      </c>
      <c r="K494" s="60" t="str">
        <f>IFERROR(INDEX([1]Cluster_Master!$F$4:$F$18,MATCH($F494,[1]Cluster_Master!$B$4:$B$18,0)),"")</f>
        <v/>
      </c>
      <c r="L494" s="60" t="str">
        <f>IFERROR(INDEX([1]Cluster_Master!$G$4:$G$18,MATCH($F494,[1]Cluster_Master!$B$4:$B$18,0)),"")</f>
        <v/>
      </c>
      <c r="M494" s="60" t="str">
        <f>IFERROR(INDEX([1]Cluster_Master!$H$4:$H$18,MATCH($F494,[1]Cluster_Master!$B$4:$B$18,0)),"")</f>
        <v/>
      </c>
      <c r="N494" s="59"/>
      <c r="O494" s="59"/>
      <c r="P494" s="59"/>
      <c r="Q494" s="59"/>
      <c r="R494" s="59"/>
      <c r="S494" s="59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0" t="str">
        <f>IF(COUNTA(T494:AH494)=0,"",SUM(T494:AH494))</f>
        <v/>
      </c>
      <c r="AJ494" s="61" t="str">
        <f>IF(COUNTA(T494:AH494)=0,"",AI494/75)</f>
        <v/>
      </c>
      <c r="AK494" s="61" t="str">
        <f>IF(COUNTA(T494:AH494)=0,"",(SUM(T494*[1]KPI_Weights!$B$4,U494*[1]KPI_Weights!$B$5,V494*[1]KPI_Weights!$B$6,W494*[1]KPI_Weights!$B$7,X494*[1]KPI_Weights!$B$8,Y494*[1]KPI_Weights!$B$9,Z494*[1]KPI_Weights!$B$10,AA494*[1]KPI_Weights!$B$11,AB494*[1]KPI_Weights!$B$12,AC494*[1]KPI_Weights!$B$13,AD494*[1]KPI_Weights!$B$14,AE494*[1]KPI_Weights!$B$15,AF494*[1]KPI_Weights!$B$16,AG494*[1]KPI_Weights!$B$17,AH494*[1]KPI_Weights!$B$18))/5)</f>
        <v/>
      </c>
      <c r="AL494" s="60" t="str">
        <f>IF(COUNTA(T494:AH494)=0,"",IF(OR(T494&lt;=1,W494&lt;=1,X494&lt;=1,Y494&lt;=1,AB494&lt;=1),"YES","NO"))</f>
        <v/>
      </c>
      <c r="AM494" s="60" t="str">
        <f>IF(AJ494="","",IF(AND(AL494="NO",AJ494&gt;=0.75),"YES","NO"))</f>
        <v/>
      </c>
      <c r="AN494" s="60" t="str">
        <f>IF(AJ494="","",IF(AJ494&lt;0.4,"Critical",IF(AJ494&lt;0.6,"Poor",IF(AJ494&lt;0.75,"Needs Improvement",IF(AJ494&lt;0.9,"Good","Excellent")))))</f>
        <v/>
      </c>
      <c r="AO494" s="59"/>
      <c r="AP494" s="59"/>
      <c r="AQ494" s="59"/>
      <c r="AR494" s="59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</row>
    <row r="495" spans="1:54" ht="19.5" customHeight="1" x14ac:dyDescent="0.25">
      <c r="A495" s="60" t="str">
        <f>IF($B495="","",TEXT($B495,"yyyymmdd")&amp;"-"&amp;SUBSTITUTE($F495," ","")&amp;"-"&amp;TEXT(COUNTIF($F$4:F495,$F495),"00"))</f>
        <v/>
      </c>
      <c r="B495" s="65"/>
      <c r="C495" s="60" t="str">
        <f>IF($B495="","",WEEKNUM($B495,2))</f>
        <v/>
      </c>
      <c r="D495" s="60" t="str">
        <f>IF($B495="","",TEXT($B495,"yyyy-mm"))</f>
        <v/>
      </c>
      <c r="E495" s="64"/>
      <c r="F495" s="64"/>
      <c r="G495" s="60" t="str">
        <f>IF(OR($E495="",$F495=""),"",IFERROR(IF($E495=INDEX([1]Cluster_Master!$A$4:$A$18,MATCH($F495,[1]Cluster_Master!$B$4:$B$18,0)),"OK","CHECK"),"CHECK"))</f>
        <v/>
      </c>
      <c r="H495" s="63" t="str">
        <f>IFERROR(INDEX([1]Cluster_Master!$C$4:$C$18,MATCH($F495,[1]Cluster_Master!$B$4:$B$18,0)),"")</f>
        <v/>
      </c>
      <c r="I495" s="60" t="str">
        <f>IFERROR(INDEX([1]Cluster_Master!$D$4:$D$18,MATCH($F495,[1]Cluster_Master!$B$4:$B$18,0)),"")</f>
        <v/>
      </c>
      <c r="J495" s="60" t="str">
        <f>IFERROR(INDEX([1]Cluster_Master!$E$4:$E$18,MATCH($F495,[1]Cluster_Master!$B$4:$B$18,0)),"")</f>
        <v/>
      </c>
      <c r="K495" s="60" t="str">
        <f>IFERROR(INDEX([1]Cluster_Master!$F$4:$F$18,MATCH($F495,[1]Cluster_Master!$B$4:$B$18,0)),"")</f>
        <v/>
      </c>
      <c r="L495" s="60" t="str">
        <f>IFERROR(INDEX([1]Cluster_Master!$G$4:$G$18,MATCH($F495,[1]Cluster_Master!$B$4:$B$18,0)),"")</f>
        <v/>
      </c>
      <c r="M495" s="60" t="str">
        <f>IFERROR(INDEX([1]Cluster_Master!$H$4:$H$18,MATCH($F495,[1]Cluster_Master!$B$4:$B$18,0)),"")</f>
        <v/>
      </c>
      <c r="N495" s="59"/>
      <c r="O495" s="59"/>
      <c r="P495" s="59"/>
      <c r="Q495" s="59"/>
      <c r="R495" s="59"/>
      <c r="S495" s="59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0" t="str">
        <f>IF(COUNTA(T495:AH495)=0,"",SUM(T495:AH495))</f>
        <v/>
      </c>
      <c r="AJ495" s="61" t="str">
        <f>IF(COUNTA(T495:AH495)=0,"",AI495/75)</f>
        <v/>
      </c>
      <c r="AK495" s="61" t="str">
        <f>IF(COUNTA(T495:AH495)=0,"",(SUM(T495*[1]KPI_Weights!$B$4,U495*[1]KPI_Weights!$B$5,V495*[1]KPI_Weights!$B$6,W495*[1]KPI_Weights!$B$7,X495*[1]KPI_Weights!$B$8,Y495*[1]KPI_Weights!$B$9,Z495*[1]KPI_Weights!$B$10,AA495*[1]KPI_Weights!$B$11,AB495*[1]KPI_Weights!$B$12,AC495*[1]KPI_Weights!$B$13,AD495*[1]KPI_Weights!$B$14,AE495*[1]KPI_Weights!$B$15,AF495*[1]KPI_Weights!$B$16,AG495*[1]KPI_Weights!$B$17,AH495*[1]KPI_Weights!$B$18))/5)</f>
        <v/>
      </c>
      <c r="AL495" s="60" t="str">
        <f>IF(COUNTA(T495:AH495)=0,"",IF(OR(T495&lt;=1,W495&lt;=1,X495&lt;=1,Y495&lt;=1,AB495&lt;=1),"YES","NO"))</f>
        <v/>
      </c>
      <c r="AM495" s="60" t="str">
        <f>IF(AJ495="","",IF(AND(AL495="NO",AJ495&gt;=0.75),"YES","NO"))</f>
        <v/>
      </c>
      <c r="AN495" s="60" t="str">
        <f>IF(AJ495="","",IF(AJ495&lt;0.4,"Critical",IF(AJ495&lt;0.6,"Poor",IF(AJ495&lt;0.75,"Needs Improvement",IF(AJ495&lt;0.9,"Good","Excellent")))))</f>
        <v/>
      </c>
      <c r="AO495" s="59"/>
      <c r="AP495" s="59"/>
      <c r="AQ495" s="59"/>
      <c r="AR495" s="59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</row>
    <row r="496" spans="1:54" ht="19.5" customHeight="1" x14ac:dyDescent="0.25">
      <c r="A496" s="60" t="str">
        <f>IF($B496="","",TEXT($B496,"yyyymmdd")&amp;"-"&amp;SUBSTITUTE($F496," ","")&amp;"-"&amp;TEXT(COUNTIF($F$4:F496,$F496),"00"))</f>
        <v/>
      </c>
      <c r="B496" s="65"/>
      <c r="C496" s="60" t="str">
        <f>IF($B496="","",WEEKNUM($B496,2))</f>
        <v/>
      </c>
      <c r="D496" s="60" t="str">
        <f>IF($B496="","",TEXT($B496,"yyyy-mm"))</f>
        <v/>
      </c>
      <c r="E496" s="64"/>
      <c r="F496" s="64"/>
      <c r="G496" s="60" t="str">
        <f>IF(OR($E496="",$F496=""),"",IFERROR(IF($E496=INDEX([1]Cluster_Master!$A$4:$A$18,MATCH($F496,[1]Cluster_Master!$B$4:$B$18,0)),"OK","CHECK"),"CHECK"))</f>
        <v/>
      </c>
      <c r="H496" s="63" t="str">
        <f>IFERROR(INDEX([1]Cluster_Master!$C$4:$C$18,MATCH($F496,[1]Cluster_Master!$B$4:$B$18,0)),"")</f>
        <v/>
      </c>
      <c r="I496" s="60" t="str">
        <f>IFERROR(INDEX([1]Cluster_Master!$D$4:$D$18,MATCH($F496,[1]Cluster_Master!$B$4:$B$18,0)),"")</f>
        <v/>
      </c>
      <c r="J496" s="60" t="str">
        <f>IFERROR(INDEX([1]Cluster_Master!$E$4:$E$18,MATCH($F496,[1]Cluster_Master!$B$4:$B$18,0)),"")</f>
        <v/>
      </c>
      <c r="K496" s="60" t="str">
        <f>IFERROR(INDEX([1]Cluster_Master!$F$4:$F$18,MATCH($F496,[1]Cluster_Master!$B$4:$B$18,0)),"")</f>
        <v/>
      </c>
      <c r="L496" s="60" t="str">
        <f>IFERROR(INDEX([1]Cluster_Master!$G$4:$G$18,MATCH($F496,[1]Cluster_Master!$B$4:$B$18,0)),"")</f>
        <v/>
      </c>
      <c r="M496" s="60" t="str">
        <f>IFERROR(INDEX([1]Cluster_Master!$H$4:$H$18,MATCH($F496,[1]Cluster_Master!$B$4:$B$18,0)),"")</f>
        <v/>
      </c>
      <c r="N496" s="59"/>
      <c r="O496" s="59"/>
      <c r="P496" s="59"/>
      <c r="Q496" s="59"/>
      <c r="R496" s="59"/>
      <c r="S496" s="59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0" t="str">
        <f>IF(COUNTA(T496:AH496)=0,"",SUM(T496:AH496))</f>
        <v/>
      </c>
      <c r="AJ496" s="61" t="str">
        <f>IF(COUNTA(T496:AH496)=0,"",AI496/75)</f>
        <v/>
      </c>
      <c r="AK496" s="61" t="str">
        <f>IF(COUNTA(T496:AH496)=0,"",(SUM(T496*[1]KPI_Weights!$B$4,U496*[1]KPI_Weights!$B$5,V496*[1]KPI_Weights!$B$6,W496*[1]KPI_Weights!$B$7,X496*[1]KPI_Weights!$B$8,Y496*[1]KPI_Weights!$B$9,Z496*[1]KPI_Weights!$B$10,AA496*[1]KPI_Weights!$B$11,AB496*[1]KPI_Weights!$B$12,AC496*[1]KPI_Weights!$B$13,AD496*[1]KPI_Weights!$B$14,AE496*[1]KPI_Weights!$B$15,AF496*[1]KPI_Weights!$B$16,AG496*[1]KPI_Weights!$B$17,AH496*[1]KPI_Weights!$B$18))/5)</f>
        <v/>
      </c>
      <c r="AL496" s="60" t="str">
        <f>IF(COUNTA(T496:AH496)=0,"",IF(OR(T496&lt;=1,W496&lt;=1,X496&lt;=1,Y496&lt;=1,AB496&lt;=1),"YES","NO"))</f>
        <v/>
      </c>
      <c r="AM496" s="60" t="str">
        <f>IF(AJ496="","",IF(AND(AL496="NO",AJ496&gt;=0.75),"YES","NO"))</f>
        <v/>
      </c>
      <c r="AN496" s="60" t="str">
        <f>IF(AJ496="","",IF(AJ496&lt;0.4,"Critical",IF(AJ496&lt;0.6,"Poor",IF(AJ496&lt;0.75,"Needs Improvement",IF(AJ496&lt;0.9,"Good","Excellent")))))</f>
        <v/>
      </c>
      <c r="AO496" s="59"/>
      <c r="AP496" s="59"/>
      <c r="AQ496" s="59"/>
      <c r="AR496" s="59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</row>
    <row r="497" spans="1:54" ht="19.5" customHeight="1" x14ac:dyDescent="0.25">
      <c r="A497" s="60" t="str">
        <f>IF($B497="","",TEXT($B497,"yyyymmdd")&amp;"-"&amp;SUBSTITUTE($F497," ","")&amp;"-"&amp;TEXT(COUNTIF($F$4:F497,$F497),"00"))</f>
        <v/>
      </c>
      <c r="B497" s="65"/>
      <c r="C497" s="60" t="str">
        <f>IF($B497="","",WEEKNUM($B497,2))</f>
        <v/>
      </c>
      <c r="D497" s="60" t="str">
        <f>IF($B497="","",TEXT($B497,"yyyy-mm"))</f>
        <v/>
      </c>
      <c r="E497" s="64"/>
      <c r="F497" s="64"/>
      <c r="G497" s="60" t="str">
        <f>IF(OR($E497="",$F497=""),"",IFERROR(IF($E497=INDEX([1]Cluster_Master!$A$4:$A$18,MATCH($F497,[1]Cluster_Master!$B$4:$B$18,0)),"OK","CHECK"),"CHECK"))</f>
        <v/>
      </c>
      <c r="H497" s="63" t="str">
        <f>IFERROR(INDEX([1]Cluster_Master!$C$4:$C$18,MATCH($F497,[1]Cluster_Master!$B$4:$B$18,0)),"")</f>
        <v/>
      </c>
      <c r="I497" s="60" t="str">
        <f>IFERROR(INDEX([1]Cluster_Master!$D$4:$D$18,MATCH($F497,[1]Cluster_Master!$B$4:$B$18,0)),"")</f>
        <v/>
      </c>
      <c r="J497" s="60" t="str">
        <f>IFERROR(INDEX([1]Cluster_Master!$E$4:$E$18,MATCH($F497,[1]Cluster_Master!$B$4:$B$18,0)),"")</f>
        <v/>
      </c>
      <c r="K497" s="60" t="str">
        <f>IFERROR(INDEX([1]Cluster_Master!$F$4:$F$18,MATCH($F497,[1]Cluster_Master!$B$4:$B$18,0)),"")</f>
        <v/>
      </c>
      <c r="L497" s="60" t="str">
        <f>IFERROR(INDEX([1]Cluster_Master!$G$4:$G$18,MATCH($F497,[1]Cluster_Master!$B$4:$B$18,0)),"")</f>
        <v/>
      </c>
      <c r="M497" s="60" t="str">
        <f>IFERROR(INDEX([1]Cluster_Master!$H$4:$H$18,MATCH($F497,[1]Cluster_Master!$B$4:$B$18,0)),"")</f>
        <v/>
      </c>
      <c r="N497" s="59"/>
      <c r="O497" s="59"/>
      <c r="P497" s="59"/>
      <c r="Q497" s="59"/>
      <c r="R497" s="59"/>
      <c r="S497" s="59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0" t="str">
        <f>IF(COUNTA(T497:AH497)=0,"",SUM(T497:AH497))</f>
        <v/>
      </c>
      <c r="AJ497" s="61" t="str">
        <f>IF(COUNTA(T497:AH497)=0,"",AI497/75)</f>
        <v/>
      </c>
      <c r="AK497" s="61" t="str">
        <f>IF(COUNTA(T497:AH497)=0,"",(SUM(T497*[1]KPI_Weights!$B$4,U497*[1]KPI_Weights!$B$5,V497*[1]KPI_Weights!$B$6,W497*[1]KPI_Weights!$B$7,X497*[1]KPI_Weights!$B$8,Y497*[1]KPI_Weights!$B$9,Z497*[1]KPI_Weights!$B$10,AA497*[1]KPI_Weights!$B$11,AB497*[1]KPI_Weights!$B$12,AC497*[1]KPI_Weights!$B$13,AD497*[1]KPI_Weights!$B$14,AE497*[1]KPI_Weights!$B$15,AF497*[1]KPI_Weights!$B$16,AG497*[1]KPI_Weights!$B$17,AH497*[1]KPI_Weights!$B$18))/5)</f>
        <v/>
      </c>
      <c r="AL497" s="60" t="str">
        <f>IF(COUNTA(T497:AH497)=0,"",IF(OR(T497&lt;=1,W497&lt;=1,X497&lt;=1,Y497&lt;=1,AB497&lt;=1),"YES","NO"))</f>
        <v/>
      </c>
      <c r="AM497" s="60" t="str">
        <f>IF(AJ497="","",IF(AND(AL497="NO",AJ497&gt;=0.75),"YES","NO"))</f>
        <v/>
      </c>
      <c r="AN497" s="60" t="str">
        <f>IF(AJ497="","",IF(AJ497&lt;0.4,"Critical",IF(AJ497&lt;0.6,"Poor",IF(AJ497&lt;0.75,"Needs Improvement",IF(AJ497&lt;0.9,"Good","Excellent")))))</f>
        <v/>
      </c>
      <c r="AO497" s="59"/>
      <c r="AP497" s="59"/>
      <c r="AQ497" s="59"/>
      <c r="AR497" s="59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</row>
    <row r="498" spans="1:54" ht="19.5" customHeight="1" x14ac:dyDescent="0.25">
      <c r="A498" s="60" t="str">
        <f>IF($B498="","",TEXT($B498,"yyyymmdd")&amp;"-"&amp;SUBSTITUTE($F498," ","")&amp;"-"&amp;TEXT(COUNTIF($F$4:F498,$F498),"00"))</f>
        <v/>
      </c>
      <c r="B498" s="65"/>
      <c r="C498" s="60" t="str">
        <f>IF($B498="","",WEEKNUM($B498,2))</f>
        <v/>
      </c>
      <c r="D498" s="60" t="str">
        <f>IF($B498="","",TEXT($B498,"yyyy-mm"))</f>
        <v/>
      </c>
      <c r="E498" s="64"/>
      <c r="F498" s="64"/>
      <c r="G498" s="60" t="str">
        <f>IF(OR($E498="",$F498=""),"",IFERROR(IF($E498=INDEX([1]Cluster_Master!$A$4:$A$18,MATCH($F498,[1]Cluster_Master!$B$4:$B$18,0)),"OK","CHECK"),"CHECK"))</f>
        <v/>
      </c>
      <c r="H498" s="63" t="str">
        <f>IFERROR(INDEX([1]Cluster_Master!$C$4:$C$18,MATCH($F498,[1]Cluster_Master!$B$4:$B$18,0)),"")</f>
        <v/>
      </c>
      <c r="I498" s="60" t="str">
        <f>IFERROR(INDEX([1]Cluster_Master!$D$4:$D$18,MATCH($F498,[1]Cluster_Master!$B$4:$B$18,0)),"")</f>
        <v/>
      </c>
      <c r="J498" s="60" t="str">
        <f>IFERROR(INDEX([1]Cluster_Master!$E$4:$E$18,MATCH($F498,[1]Cluster_Master!$B$4:$B$18,0)),"")</f>
        <v/>
      </c>
      <c r="K498" s="60" t="str">
        <f>IFERROR(INDEX([1]Cluster_Master!$F$4:$F$18,MATCH($F498,[1]Cluster_Master!$B$4:$B$18,0)),"")</f>
        <v/>
      </c>
      <c r="L498" s="60" t="str">
        <f>IFERROR(INDEX([1]Cluster_Master!$G$4:$G$18,MATCH($F498,[1]Cluster_Master!$B$4:$B$18,0)),"")</f>
        <v/>
      </c>
      <c r="M498" s="60" t="str">
        <f>IFERROR(INDEX([1]Cluster_Master!$H$4:$H$18,MATCH($F498,[1]Cluster_Master!$B$4:$B$18,0)),"")</f>
        <v/>
      </c>
      <c r="N498" s="59"/>
      <c r="O498" s="59"/>
      <c r="P498" s="59"/>
      <c r="Q498" s="59"/>
      <c r="R498" s="59"/>
      <c r="S498" s="59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0" t="str">
        <f>IF(COUNTA(T498:AH498)=0,"",SUM(T498:AH498))</f>
        <v/>
      </c>
      <c r="AJ498" s="61" t="str">
        <f>IF(COUNTA(T498:AH498)=0,"",AI498/75)</f>
        <v/>
      </c>
      <c r="AK498" s="61" t="str">
        <f>IF(COUNTA(T498:AH498)=0,"",(SUM(T498*[1]KPI_Weights!$B$4,U498*[1]KPI_Weights!$B$5,V498*[1]KPI_Weights!$B$6,W498*[1]KPI_Weights!$B$7,X498*[1]KPI_Weights!$B$8,Y498*[1]KPI_Weights!$B$9,Z498*[1]KPI_Weights!$B$10,AA498*[1]KPI_Weights!$B$11,AB498*[1]KPI_Weights!$B$12,AC498*[1]KPI_Weights!$B$13,AD498*[1]KPI_Weights!$B$14,AE498*[1]KPI_Weights!$B$15,AF498*[1]KPI_Weights!$B$16,AG498*[1]KPI_Weights!$B$17,AH498*[1]KPI_Weights!$B$18))/5)</f>
        <v/>
      </c>
      <c r="AL498" s="60" t="str">
        <f>IF(COUNTA(T498:AH498)=0,"",IF(OR(T498&lt;=1,W498&lt;=1,X498&lt;=1,Y498&lt;=1,AB498&lt;=1),"YES","NO"))</f>
        <v/>
      </c>
      <c r="AM498" s="60" t="str">
        <f>IF(AJ498="","",IF(AND(AL498="NO",AJ498&gt;=0.75),"YES","NO"))</f>
        <v/>
      </c>
      <c r="AN498" s="60" t="str">
        <f>IF(AJ498="","",IF(AJ498&lt;0.4,"Critical",IF(AJ498&lt;0.6,"Poor",IF(AJ498&lt;0.75,"Needs Improvement",IF(AJ498&lt;0.9,"Good","Excellent")))))</f>
        <v/>
      </c>
      <c r="AO498" s="59"/>
      <c r="AP498" s="59"/>
      <c r="AQ498" s="59"/>
      <c r="AR498" s="59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</row>
    <row r="499" spans="1:54" ht="19.5" customHeight="1" x14ac:dyDescent="0.25">
      <c r="A499" s="60" t="str">
        <f>IF($B499="","",TEXT($B499,"yyyymmdd")&amp;"-"&amp;SUBSTITUTE($F499," ","")&amp;"-"&amp;TEXT(COUNTIF($F$4:F499,$F499),"00"))</f>
        <v/>
      </c>
      <c r="B499" s="65"/>
      <c r="C499" s="60" t="str">
        <f>IF($B499="","",WEEKNUM($B499,2))</f>
        <v/>
      </c>
      <c r="D499" s="60" t="str">
        <f>IF($B499="","",TEXT($B499,"yyyy-mm"))</f>
        <v/>
      </c>
      <c r="E499" s="64"/>
      <c r="F499" s="64"/>
      <c r="G499" s="60" t="str">
        <f>IF(OR($E499="",$F499=""),"",IFERROR(IF($E499=INDEX([1]Cluster_Master!$A$4:$A$18,MATCH($F499,[1]Cluster_Master!$B$4:$B$18,0)),"OK","CHECK"),"CHECK"))</f>
        <v/>
      </c>
      <c r="H499" s="63" t="str">
        <f>IFERROR(INDEX([1]Cluster_Master!$C$4:$C$18,MATCH($F499,[1]Cluster_Master!$B$4:$B$18,0)),"")</f>
        <v/>
      </c>
      <c r="I499" s="60" t="str">
        <f>IFERROR(INDEX([1]Cluster_Master!$D$4:$D$18,MATCH($F499,[1]Cluster_Master!$B$4:$B$18,0)),"")</f>
        <v/>
      </c>
      <c r="J499" s="60" t="str">
        <f>IFERROR(INDEX([1]Cluster_Master!$E$4:$E$18,MATCH($F499,[1]Cluster_Master!$B$4:$B$18,0)),"")</f>
        <v/>
      </c>
      <c r="K499" s="60" t="str">
        <f>IFERROR(INDEX([1]Cluster_Master!$F$4:$F$18,MATCH($F499,[1]Cluster_Master!$B$4:$B$18,0)),"")</f>
        <v/>
      </c>
      <c r="L499" s="60" t="str">
        <f>IFERROR(INDEX([1]Cluster_Master!$G$4:$G$18,MATCH($F499,[1]Cluster_Master!$B$4:$B$18,0)),"")</f>
        <v/>
      </c>
      <c r="M499" s="60" t="str">
        <f>IFERROR(INDEX([1]Cluster_Master!$H$4:$H$18,MATCH($F499,[1]Cluster_Master!$B$4:$B$18,0)),"")</f>
        <v/>
      </c>
      <c r="N499" s="59"/>
      <c r="O499" s="59"/>
      <c r="P499" s="59"/>
      <c r="Q499" s="59"/>
      <c r="R499" s="59"/>
      <c r="S499" s="59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0" t="str">
        <f>IF(COUNTA(T499:AH499)=0,"",SUM(T499:AH499))</f>
        <v/>
      </c>
      <c r="AJ499" s="61" t="str">
        <f>IF(COUNTA(T499:AH499)=0,"",AI499/75)</f>
        <v/>
      </c>
      <c r="AK499" s="61" t="str">
        <f>IF(COUNTA(T499:AH499)=0,"",(SUM(T499*[1]KPI_Weights!$B$4,U499*[1]KPI_Weights!$B$5,V499*[1]KPI_Weights!$B$6,W499*[1]KPI_Weights!$B$7,X499*[1]KPI_Weights!$B$8,Y499*[1]KPI_Weights!$B$9,Z499*[1]KPI_Weights!$B$10,AA499*[1]KPI_Weights!$B$11,AB499*[1]KPI_Weights!$B$12,AC499*[1]KPI_Weights!$B$13,AD499*[1]KPI_Weights!$B$14,AE499*[1]KPI_Weights!$B$15,AF499*[1]KPI_Weights!$B$16,AG499*[1]KPI_Weights!$B$17,AH499*[1]KPI_Weights!$B$18))/5)</f>
        <v/>
      </c>
      <c r="AL499" s="60" t="str">
        <f>IF(COUNTA(T499:AH499)=0,"",IF(OR(T499&lt;=1,W499&lt;=1,X499&lt;=1,Y499&lt;=1,AB499&lt;=1),"YES","NO"))</f>
        <v/>
      </c>
      <c r="AM499" s="60" t="str">
        <f>IF(AJ499="","",IF(AND(AL499="NO",AJ499&gt;=0.75),"YES","NO"))</f>
        <v/>
      </c>
      <c r="AN499" s="60" t="str">
        <f>IF(AJ499="","",IF(AJ499&lt;0.4,"Critical",IF(AJ499&lt;0.6,"Poor",IF(AJ499&lt;0.75,"Needs Improvement",IF(AJ499&lt;0.9,"Good","Excellent")))))</f>
        <v/>
      </c>
      <c r="AO499" s="59"/>
      <c r="AP499" s="59"/>
      <c r="AQ499" s="59"/>
      <c r="AR499" s="59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</row>
    <row r="500" spans="1:54" ht="15" customHeight="1" x14ac:dyDescent="0.25">
      <c r="A500" s="57" t="str">
        <f>IF($B500="","",TEXT($B500,"yyyymmdd")&amp;"-"&amp;SUBSTITUTE($F500," ","")&amp;"-"&amp;TEXT(COUNTIF($F$4:F500,$F500),"00"))</f>
        <v/>
      </c>
      <c r="B500" s="57"/>
      <c r="C500" s="57" t="str">
        <f>IF($B500="","",WEEKNUM($B500,2))</f>
        <v/>
      </c>
      <c r="D500" s="57" t="str">
        <f>IF($B500="","",TEXT($B500,"yyyy-mm"))</f>
        <v/>
      </c>
      <c r="E500" s="57"/>
      <c r="F500" s="57"/>
      <c r="G500" s="57" t="str">
        <f>IF(OR($E500="",$F500=""),"",IFERROR(IF($E500=INDEX([1]Cluster_Master!$A$4:$A$18,MATCH($F500,[1]Cluster_Master!$B$4:$B$18,0)),"OK","CHECK"),"CHECK"))</f>
        <v/>
      </c>
      <c r="H500" s="57" t="str">
        <f>IFERROR(INDEX([1]Cluster_Master!$C$4:$C$18,MATCH($F500,[1]Cluster_Master!$B$4:$B$18,0)),"")</f>
        <v/>
      </c>
      <c r="I500" s="57" t="str">
        <f>IFERROR(INDEX([1]Cluster_Master!$D$4:$D$18,MATCH($F500,[1]Cluster_Master!$B$4:$B$18,0)),"")</f>
        <v/>
      </c>
      <c r="J500" s="57" t="str">
        <f>IFERROR(INDEX([1]Cluster_Master!$E$4:$E$18,MATCH($F500,[1]Cluster_Master!$B$4:$B$18,0)),"")</f>
        <v/>
      </c>
      <c r="K500" s="57" t="str">
        <f>IFERROR(INDEX([1]Cluster_Master!$F$4:$F$18,MATCH($F500,[1]Cluster_Master!$B$4:$B$18,0)),"")</f>
        <v/>
      </c>
      <c r="L500" s="57" t="str">
        <f>IFERROR(INDEX([1]Cluster_Master!$G$4:$G$18,MATCH($F500,[1]Cluster_Master!$B$4:$B$18,0)),"")</f>
        <v/>
      </c>
      <c r="M500" s="57" t="str">
        <f>IFERROR(INDEX([1]Cluster_Master!$H$4:$H$18,MATCH($F500,[1]Cluster_Master!$B$4:$B$18,0)),"")</f>
        <v/>
      </c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 t="str">
        <f>IF(COUNTA(T500:AH500)=0,"",SUM(T500:AH500))</f>
        <v/>
      </c>
      <c r="AJ500" s="57" t="str">
        <f>IF(COUNTA(T500:AH500)=0,"",AI500/75)</f>
        <v/>
      </c>
      <c r="AK500" s="57" t="str">
        <f>IF(COUNTA(T500:AH500)=0,"",(SUM(T500*[1]KPI_Weights!$B$4,U500*[1]KPI_Weights!$B$5,V500*[1]KPI_Weights!$B$6,W500*[1]KPI_Weights!$B$7,X500*[1]KPI_Weights!$B$8,Y500*[1]KPI_Weights!$B$9,Z500*[1]KPI_Weights!$B$10,AA500*[1]KPI_Weights!$B$11,AB500*[1]KPI_Weights!$B$12,AC500*[1]KPI_Weights!$B$13,AD500*[1]KPI_Weights!$B$14,AE500*[1]KPI_Weights!$B$15,AF500*[1]KPI_Weights!$B$16,AG500*[1]KPI_Weights!$B$17,AH500*[1]KPI_Weights!$B$18))/5)</f>
        <v/>
      </c>
      <c r="AL500" s="57" t="str">
        <f>IF(COUNTA(T500:AH500)=0,"",IF(OR(T500&lt;=1,W500&lt;=1,X500&lt;=1,Y500&lt;=1,AB500&lt;=1),"YES","NO"))</f>
        <v/>
      </c>
      <c r="AM500" s="57" t="str">
        <f>IF(AJ500="","",IF(AND(AL500="NO",AJ500&gt;=0.75),"YES","NO"))</f>
        <v/>
      </c>
      <c r="AN500" s="57" t="str">
        <f>IF(AJ500="","",IF(AJ500&lt;0.4,"Critical",IF(AJ500&lt;0.6,"Poor",IF(AJ500&lt;0.75,"Needs Improvement",IF(AJ500&lt;0.9,"Good","Excellent")))))</f>
        <v/>
      </c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</row>
    <row r="501" spans="1:54" ht="15" customHeight="1" x14ac:dyDescent="0.25">
      <c r="A501" s="57" t="str">
        <f>IF($B501="","",TEXT($B501,"yyyymmdd")&amp;"-"&amp;SUBSTITUTE($F501," ","")&amp;"-"&amp;TEXT(COUNTIF($F$4:F501,$F501),"00"))</f>
        <v/>
      </c>
      <c r="B501" s="57"/>
      <c r="C501" s="57" t="str">
        <f>IF($B501="","",WEEKNUM($B501,2))</f>
        <v/>
      </c>
      <c r="D501" s="57" t="str">
        <f>IF($B501="","",TEXT($B501,"yyyy-mm"))</f>
        <v/>
      </c>
      <c r="E501" s="57"/>
      <c r="F501" s="57"/>
      <c r="G501" s="57" t="str">
        <f>IF(OR($E501="",$F501=""),"",IFERROR(IF($E501=INDEX([1]Cluster_Master!$A$4:$A$18,MATCH($F501,[1]Cluster_Master!$B$4:$B$18,0)),"OK","CHECK"),"CHECK"))</f>
        <v/>
      </c>
      <c r="H501" s="57" t="str">
        <f>IFERROR(INDEX([1]Cluster_Master!$C$4:$C$18,MATCH($F501,[1]Cluster_Master!$B$4:$B$18,0)),"")</f>
        <v/>
      </c>
      <c r="I501" s="57" t="str">
        <f>IFERROR(INDEX([1]Cluster_Master!$D$4:$D$18,MATCH($F501,[1]Cluster_Master!$B$4:$B$18,0)),"")</f>
        <v/>
      </c>
      <c r="J501" s="57" t="str">
        <f>IFERROR(INDEX([1]Cluster_Master!$E$4:$E$18,MATCH($F501,[1]Cluster_Master!$B$4:$B$18,0)),"")</f>
        <v/>
      </c>
      <c r="K501" s="57" t="str">
        <f>IFERROR(INDEX([1]Cluster_Master!$F$4:$F$18,MATCH($F501,[1]Cluster_Master!$B$4:$B$18,0)),"")</f>
        <v/>
      </c>
      <c r="L501" s="57" t="str">
        <f>IFERROR(INDEX([1]Cluster_Master!$G$4:$G$18,MATCH($F501,[1]Cluster_Master!$B$4:$B$18,0)),"")</f>
        <v/>
      </c>
      <c r="M501" s="57" t="str">
        <f>IFERROR(INDEX([1]Cluster_Master!$H$4:$H$18,MATCH($F501,[1]Cluster_Master!$B$4:$B$18,0)),"")</f>
        <v/>
      </c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 t="str">
        <f>IF(COUNTA(T501:AH501)=0,"",SUM(T501:AH501))</f>
        <v/>
      </c>
      <c r="AJ501" s="57" t="str">
        <f>IF(COUNTA(T501:AH501)=0,"",AI501/75)</f>
        <v/>
      </c>
      <c r="AK501" s="57" t="str">
        <f>IF(COUNTA(T501:AH501)=0,"",(SUM(T501*[1]KPI_Weights!$B$4,U501*[1]KPI_Weights!$B$5,V501*[1]KPI_Weights!$B$6,W501*[1]KPI_Weights!$B$7,X501*[1]KPI_Weights!$B$8,Y501*[1]KPI_Weights!$B$9,Z501*[1]KPI_Weights!$B$10,AA501*[1]KPI_Weights!$B$11,AB501*[1]KPI_Weights!$B$12,AC501*[1]KPI_Weights!$B$13,AD501*[1]KPI_Weights!$B$14,AE501*[1]KPI_Weights!$B$15,AF501*[1]KPI_Weights!$B$16,AG501*[1]KPI_Weights!$B$17,AH501*[1]KPI_Weights!$B$18))/5)</f>
        <v/>
      </c>
      <c r="AL501" s="57" t="str">
        <f>IF(COUNTA(T501:AH501)=0,"",IF(OR(T501&lt;=1,W501&lt;=1,X501&lt;=1,Y501&lt;=1,AB501&lt;=1),"YES","NO"))</f>
        <v/>
      </c>
      <c r="AM501" s="57" t="str">
        <f>IF(AJ501="","",IF(AND(AL501="NO",AJ501&gt;=0.75),"YES","NO"))</f>
        <v/>
      </c>
      <c r="AN501" s="57" t="str">
        <f>IF(AJ501="","",IF(AJ501&lt;0.4,"Critical",IF(AJ501&lt;0.6,"Poor",IF(AJ501&lt;0.75,"Needs Improvement",IF(AJ501&lt;0.9,"Good","Excellent")))))</f>
        <v/>
      </c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</row>
    <row r="502" spans="1:54" ht="15" customHeight="1" x14ac:dyDescent="0.25">
      <c r="A502" s="57" t="str">
        <f>IF($B502="","",TEXT($B502,"yyyymmdd")&amp;"-"&amp;SUBSTITUTE($F502," ","")&amp;"-"&amp;TEXT(COUNTIF($F$4:F502,$F502),"00"))</f>
        <v/>
      </c>
      <c r="B502" s="57"/>
      <c r="C502" s="57" t="str">
        <f>IF($B502="","",WEEKNUM($B502,2))</f>
        <v/>
      </c>
      <c r="D502" s="57" t="str">
        <f>IF($B502="","",TEXT($B502,"yyyy-mm"))</f>
        <v/>
      </c>
      <c r="E502" s="57"/>
      <c r="F502" s="57"/>
      <c r="G502" s="57" t="str">
        <f>IF(OR($E502="",$F502=""),"",IFERROR(IF($E502=INDEX([1]Cluster_Master!$A$4:$A$18,MATCH($F502,[1]Cluster_Master!$B$4:$B$18,0)),"OK","CHECK"),"CHECK"))</f>
        <v/>
      </c>
      <c r="H502" s="57" t="str">
        <f>IFERROR(INDEX([1]Cluster_Master!$C$4:$C$18,MATCH($F502,[1]Cluster_Master!$B$4:$B$18,0)),"")</f>
        <v/>
      </c>
      <c r="I502" s="57" t="str">
        <f>IFERROR(INDEX([1]Cluster_Master!$D$4:$D$18,MATCH($F502,[1]Cluster_Master!$B$4:$B$18,0)),"")</f>
        <v/>
      </c>
      <c r="J502" s="57" t="str">
        <f>IFERROR(INDEX([1]Cluster_Master!$E$4:$E$18,MATCH($F502,[1]Cluster_Master!$B$4:$B$18,0)),"")</f>
        <v/>
      </c>
      <c r="K502" s="57" t="str">
        <f>IFERROR(INDEX([1]Cluster_Master!$F$4:$F$18,MATCH($F502,[1]Cluster_Master!$B$4:$B$18,0)),"")</f>
        <v/>
      </c>
      <c r="L502" s="57" t="str">
        <f>IFERROR(INDEX([1]Cluster_Master!$G$4:$G$18,MATCH($F502,[1]Cluster_Master!$B$4:$B$18,0)),"")</f>
        <v/>
      </c>
      <c r="M502" s="57" t="str">
        <f>IFERROR(INDEX([1]Cluster_Master!$H$4:$H$18,MATCH($F502,[1]Cluster_Master!$B$4:$B$18,0)),"")</f>
        <v/>
      </c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 t="str">
        <f>IF(COUNTA(T502:AH502)=0,"",SUM(T502:AH502))</f>
        <v/>
      </c>
      <c r="AJ502" s="57" t="str">
        <f>IF(COUNTA(T502:AH502)=0,"",AI502/75)</f>
        <v/>
      </c>
      <c r="AK502" s="57" t="str">
        <f>IF(COUNTA(T502:AH502)=0,"",(SUM(T502*[1]KPI_Weights!$B$4,U502*[1]KPI_Weights!$B$5,V502*[1]KPI_Weights!$B$6,W502*[1]KPI_Weights!$B$7,X502*[1]KPI_Weights!$B$8,Y502*[1]KPI_Weights!$B$9,Z502*[1]KPI_Weights!$B$10,AA502*[1]KPI_Weights!$B$11,AB502*[1]KPI_Weights!$B$12,AC502*[1]KPI_Weights!$B$13,AD502*[1]KPI_Weights!$B$14,AE502*[1]KPI_Weights!$B$15,AF502*[1]KPI_Weights!$B$16,AG502*[1]KPI_Weights!$B$17,AH502*[1]KPI_Weights!$B$18))/5)</f>
        <v/>
      </c>
      <c r="AL502" s="57" t="str">
        <f>IF(COUNTA(T502:AH502)=0,"",IF(OR(T502&lt;=1,W502&lt;=1,X502&lt;=1,Y502&lt;=1,AB502&lt;=1),"YES","NO"))</f>
        <v/>
      </c>
      <c r="AM502" s="57" t="str">
        <f>IF(AJ502="","",IF(AND(AL502="NO",AJ502&gt;=0.75),"YES","NO"))</f>
        <v/>
      </c>
      <c r="AN502" s="57" t="str">
        <f>IF(AJ502="","",IF(AJ502&lt;0.4,"Critical",IF(AJ502&lt;0.6,"Poor",IF(AJ502&lt;0.75,"Needs Improvement",IF(AJ502&lt;0.9,"Good","Excellent")))))</f>
        <v/>
      </c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</row>
    <row r="503" spans="1:54" ht="15" customHeight="1" x14ac:dyDescent="0.25">
      <c r="A503" s="57" t="str">
        <f>IF($B503="","",TEXT($B503,"yyyymmdd")&amp;"-"&amp;SUBSTITUTE($F503," ","")&amp;"-"&amp;TEXT(COUNTIF($F$4:F503,$F503),"00"))</f>
        <v/>
      </c>
      <c r="B503" s="57"/>
      <c r="C503" s="57" t="str">
        <f>IF($B503="","",WEEKNUM($B503,2))</f>
        <v/>
      </c>
      <c r="D503" s="57" t="str">
        <f>IF($B503="","",TEXT($B503,"yyyy-mm"))</f>
        <v/>
      </c>
      <c r="E503" s="57"/>
      <c r="F503" s="57"/>
      <c r="G503" s="57" t="str">
        <f>IF(OR($E503="",$F503=""),"",IFERROR(IF($E503=INDEX([1]Cluster_Master!$A$4:$A$18,MATCH($F503,[1]Cluster_Master!$B$4:$B$18,0)),"OK","CHECK"),"CHECK"))</f>
        <v/>
      </c>
      <c r="H503" s="57" t="str">
        <f>IFERROR(INDEX([1]Cluster_Master!$C$4:$C$18,MATCH($F503,[1]Cluster_Master!$B$4:$B$18,0)),"")</f>
        <v/>
      </c>
      <c r="I503" s="57" t="str">
        <f>IFERROR(INDEX([1]Cluster_Master!$D$4:$D$18,MATCH($F503,[1]Cluster_Master!$B$4:$B$18,0)),"")</f>
        <v/>
      </c>
      <c r="J503" s="57" t="str">
        <f>IFERROR(INDEX([1]Cluster_Master!$E$4:$E$18,MATCH($F503,[1]Cluster_Master!$B$4:$B$18,0)),"")</f>
        <v/>
      </c>
      <c r="K503" s="57" t="str">
        <f>IFERROR(INDEX([1]Cluster_Master!$F$4:$F$18,MATCH($F503,[1]Cluster_Master!$B$4:$B$18,0)),"")</f>
        <v/>
      </c>
      <c r="L503" s="57" t="str">
        <f>IFERROR(INDEX([1]Cluster_Master!$G$4:$G$18,MATCH($F503,[1]Cluster_Master!$B$4:$B$18,0)),"")</f>
        <v/>
      </c>
      <c r="M503" s="57" t="str">
        <f>IFERROR(INDEX([1]Cluster_Master!$H$4:$H$18,MATCH($F503,[1]Cluster_Master!$B$4:$B$18,0)),"")</f>
        <v/>
      </c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 t="str">
        <f>IF(COUNTA(T503:AH503)=0,"",SUM(T503:AH503))</f>
        <v/>
      </c>
      <c r="AJ503" s="57" t="str">
        <f>IF(COUNTA(T503:AH503)=0,"",AI503/75)</f>
        <v/>
      </c>
      <c r="AK503" s="57" t="str">
        <f>IF(COUNTA(T503:AH503)=0,"",(SUM(T503*[1]KPI_Weights!$B$4,U503*[1]KPI_Weights!$B$5,V503*[1]KPI_Weights!$B$6,W503*[1]KPI_Weights!$B$7,X503*[1]KPI_Weights!$B$8,Y503*[1]KPI_Weights!$B$9,Z503*[1]KPI_Weights!$B$10,AA503*[1]KPI_Weights!$B$11,AB503*[1]KPI_Weights!$B$12,AC503*[1]KPI_Weights!$B$13,AD503*[1]KPI_Weights!$B$14,AE503*[1]KPI_Weights!$B$15,AF503*[1]KPI_Weights!$B$16,AG503*[1]KPI_Weights!$B$17,AH503*[1]KPI_Weights!$B$18))/5)</f>
        <v/>
      </c>
      <c r="AL503" s="57" t="str">
        <f>IF(COUNTA(T503:AH503)=0,"",IF(OR(T503&lt;=1,W503&lt;=1,X503&lt;=1,Y503&lt;=1,AB503&lt;=1),"YES","NO"))</f>
        <v/>
      </c>
      <c r="AM503" s="57" t="str">
        <f>IF(AJ503="","",IF(AND(AL503="NO",AJ503&gt;=0.75),"YES","NO"))</f>
        <v/>
      </c>
      <c r="AN503" s="57" t="str">
        <f>IF(AJ503="","",IF(AJ503&lt;0.4,"Critical",IF(AJ503&lt;0.6,"Poor",IF(AJ503&lt;0.75,"Needs Improvement",IF(AJ503&lt;0.9,"Good","Excellent")))))</f>
        <v/>
      </c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</row>
    <row r="504" spans="1:54" ht="15" customHeight="1" x14ac:dyDescent="0.25">
      <c r="A504" s="57" t="str">
        <f>IF($B504="","",TEXT($B504,"yyyymmdd")&amp;"-"&amp;SUBSTITUTE($F504," ","")&amp;"-"&amp;TEXT(COUNTIF($F$4:F504,$F504),"00"))</f>
        <v/>
      </c>
      <c r="B504" s="57"/>
      <c r="C504" s="57" t="str">
        <f>IF($B504="","",WEEKNUM($B504,2))</f>
        <v/>
      </c>
      <c r="D504" s="57" t="str">
        <f>IF($B504="","",TEXT($B504,"yyyy-mm"))</f>
        <v/>
      </c>
      <c r="E504" s="57"/>
      <c r="F504" s="57"/>
      <c r="G504" s="57" t="str">
        <f>IF(OR($E504="",$F504=""),"",IFERROR(IF($E504=INDEX([1]Cluster_Master!$A$4:$A$18,MATCH($F504,[1]Cluster_Master!$B$4:$B$18,0)),"OK","CHECK"),"CHECK"))</f>
        <v/>
      </c>
      <c r="H504" s="57" t="str">
        <f>IFERROR(INDEX([1]Cluster_Master!$C$4:$C$18,MATCH($F504,[1]Cluster_Master!$B$4:$B$18,0)),"")</f>
        <v/>
      </c>
      <c r="I504" s="57" t="str">
        <f>IFERROR(INDEX([1]Cluster_Master!$D$4:$D$18,MATCH($F504,[1]Cluster_Master!$B$4:$B$18,0)),"")</f>
        <v/>
      </c>
      <c r="J504" s="57" t="str">
        <f>IFERROR(INDEX([1]Cluster_Master!$E$4:$E$18,MATCH($F504,[1]Cluster_Master!$B$4:$B$18,0)),"")</f>
        <v/>
      </c>
      <c r="K504" s="57" t="str">
        <f>IFERROR(INDEX([1]Cluster_Master!$F$4:$F$18,MATCH($F504,[1]Cluster_Master!$B$4:$B$18,0)),"")</f>
        <v/>
      </c>
      <c r="L504" s="57" t="str">
        <f>IFERROR(INDEX([1]Cluster_Master!$G$4:$G$18,MATCH($F504,[1]Cluster_Master!$B$4:$B$18,0)),"")</f>
        <v/>
      </c>
      <c r="M504" s="57" t="str">
        <f>IFERROR(INDEX([1]Cluster_Master!$H$4:$H$18,MATCH($F504,[1]Cluster_Master!$B$4:$B$18,0)),"")</f>
        <v/>
      </c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 t="str">
        <f>IF(COUNTA(T504:AH504)=0,"",SUM(T504:AH504))</f>
        <v/>
      </c>
      <c r="AJ504" s="57" t="str">
        <f>IF(COUNTA(T504:AH504)=0,"",AI504/75)</f>
        <v/>
      </c>
      <c r="AK504" s="57" t="str">
        <f>IF(COUNTA(T504:AH504)=0,"",(SUM(T504*[1]KPI_Weights!$B$4,U504*[1]KPI_Weights!$B$5,V504*[1]KPI_Weights!$B$6,W504*[1]KPI_Weights!$B$7,X504*[1]KPI_Weights!$B$8,Y504*[1]KPI_Weights!$B$9,Z504*[1]KPI_Weights!$B$10,AA504*[1]KPI_Weights!$B$11,AB504*[1]KPI_Weights!$B$12,AC504*[1]KPI_Weights!$B$13,AD504*[1]KPI_Weights!$B$14,AE504*[1]KPI_Weights!$B$15,AF504*[1]KPI_Weights!$B$16,AG504*[1]KPI_Weights!$B$17,AH504*[1]KPI_Weights!$B$18))/5)</f>
        <v/>
      </c>
      <c r="AL504" s="57" t="str">
        <f>IF(COUNTA(T504:AH504)=0,"",IF(OR(T504&lt;=1,W504&lt;=1,X504&lt;=1,Y504&lt;=1,AB504&lt;=1),"YES","NO"))</f>
        <v/>
      </c>
      <c r="AM504" s="57" t="str">
        <f>IF(AJ504="","",IF(AND(AL504="NO",AJ504&gt;=0.75),"YES","NO"))</f>
        <v/>
      </c>
      <c r="AN504" s="57" t="str">
        <f>IF(AJ504="","",IF(AJ504&lt;0.4,"Critical",IF(AJ504&lt;0.6,"Poor",IF(AJ504&lt;0.75,"Needs Improvement",IF(AJ504&lt;0.9,"Good","Excellent")))))</f>
        <v/>
      </c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</row>
    <row r="505" spans="1:54" ht="15" customHeight="1" x14ac:dyDescent="0.25">
      <c r="A505" s="57" t="str">
        <f>IF($B505="","",TEXT($B505,"yyyymmdd")&amp;"-"&amp;SUBSTITUTE($F505," ","")&amp;"-"&amp;TEXT(COUNTIF($F$4:F505,$F505),"00"))</f>
        <v/>
      </c>
      <c r="B505" s="57"/>
      <c r="C505" s="57" t="str">
        <f>IF($B505="","",WEEKNUM($B505,2))</f>
        <v/>
      </c>
      <c r="D505" s="57" t="str">
        <f>IF($B505="","",TEXT($B505,"yyyy-mm"))</f>
        <v/>
      </c>
      <c r="E505" s="57"/>
      <c r="F505" s="57"/>
      <c r="G505" s="57" t="str">
        <f>IF(OR($E505="",$F505=""),"",IFERROR(IF($E505=INDEX([1]Cluster_Master!$A$4:$A$18,MATCH($F505,[1]Cluster_Master!$B$4:$B$18,0)),"OK","CHECK"),"CHECK"))</f>
        <v/>
      </c>
      <c r="H505" s="57" t="str">
        <f>IFERROR(INDEX([1]Cluster_Master!$C$4:$C$18,MATCH($F505,[1]Cluster_Master!$B$4:$B$18,0)),"")</f>
        <v/>
      </c>
      <c r="I505" s="57" t="str">
        <f>IFERROR(INDEX([1]Cluster_Master!$D$4:$D$18,MATCH($F505,[1]Cluster_Master!$B$4:$B$18,0)),"")</f>
        <v/>
      </c>
      <c r="J505" s="57" t="str">
        <f>IFERROR(INDEX([1]Cluster_Master!$E$4:$E$18,MATCH($F505,[1]Cluster_Master!$B$4:$B$18,0)),"")</f>
        <v/>
      </c>
      <c r="K505" s="57" t="str">
        <f>IFERROR(INDEX([1]Cluster_Master!$F$4:$F$18,MATCH($F505,[1]Cluster_Master!$B$4:$B$18,0)),"")</f>
        <v/>
      </c>
      <c r="L505" s="57" t="str">
        <f>IFERROR(INDEX([1]Cluster_Master!$G$4:$G$18,MATCH($F505,[1]Cluster_Master!$B$4:$B$18,0)),"")</f>
        <v/>
      </c>
      <c r="M505" s="57" t="str">
        <f>IFERROR(INDEX([1]Cluster_Master!$H$4:$H$18,MATCH($F505,[1]Cluster_Master!$B$4:$B$18,0)),"")</f>
        <v/>
      </c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 t="str">
        <f>IF(COUNTA(T505:AH505)=0,"",SUM(T505:AH505))</f>
        <v/>
      </c>
      <c r="AJ505" s="57" t="str">
        <f>IF(COUNTA(T505:AH505)=0,"",AI505/75)</f>
        <v/>
      </c>
      <c r="AK505" s="57" t="str">
        <f>IF(COUNTA(T505:AH505)=0,"",(SUM(T505*[1]KPI_Weights!$B$4,U505*[1]KPI_Weights!$B$5,V505*[1]KPI_Weights!$B$6,W505*[1]KPI_Weights!$B$7,X505*[1]KPI_Weights!$B$8,Y505*[1]KPI_Weights!$B$9,Z505*[1]KPI_Weights!$B$10,AA505*[1]KPI_Weights!$B$11,AB505*[1]KPI_Weights!$B$12,AC505*[1]KPI_Weights!$B$13,AD505*[1]KPI_Weights!$B$14,AE505*[1]KPI_Weights!$B$15,AF505*[1]KPI_Weights!$B$16,AG505*[1]KPI_Weights!$B$17,AH505*[1]KPI_Weights!$B$18))/5)</f>
        <v/>
      </c>
      <c r="AL505" s="57" t="str">
        <f>IF(COUNTA(T505:AH505)=0,"",IF(OR(T505&lt;=1,W505&lt;=1,X505&lt;=1,Y505&lt;=1,AB505&lt;=1),"YES","NO"))</f>
        <v/>
      </c>
      <c r="AM505" s="57" t="str">
        <f>IF(AJ505="","",IF(AND(AL505="NO",AJ505&gt;=0.75),"YES","NO"))</f>
        <v/>
      </c>
      <c r="AN505" s="57" t="str">
        <f>IF(AJ505="","",IF(AJ505&lt;0.4,"Critical",IF(AJ505&lt;0.6,"Poor",IF(AJ505&lt;0.75,"Needs Improvement",IF(AJ505&lt;0.9,"Good","Excellent")))))</f>
        <v/>
      </c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</row>
    <row r="506" spans="1:54" ht="15" customHeight="1" x14ac:dyDescent="0.25">
      <c r="A506" s="57" t="str">
        <f>IF($B506="","",TEXT($B506,"yyyymmdd")&amp;"-"&amp;SUBSTITUTE($F506," ","")&amp;"-"&amp;TEXT(COUNTIF($F$4:F506,$F506),"00"))</f>
        <v/>
      </c>
      <c r="B506" s="57"/>
      <c r="C506" s="57" t="str">
        <f>IF($B506="","",WEEKNUM($B506,2))</f>
        <v/>
      </c>
      <c r="D506" s="57" t="str">
        <f>IF($B506="","",TEXT($B506,"yyyy-mm"))</f>
        <v/>
      </c>
      <c r="E506" s="57"/>
      <c r="F506" s="57"/>
      <c r="G506" s="57" t="str">
        <f>IF(OR($E506="",$F506=""),"",IFERROR(IF($E506=INDEX([1]Cluster_Master!$A$4:$A$18,MATCH($F506,[1]Cluster_Master!$B$4:$B$18,0)),"OK","CHECK"),"CHECK"))</f>
        <v/>
      </c>
      <c r="H506" s="57" t="str">
        <f>IFERROR(INDEX([1]Cluster_Master!$C$4:$C$18,MATCH($F506,[1]Cluster_Master!$B$4:$B$18,0)),"")</f>
        <v/>
      </c>
      <c r="I506" s="57" t="str">
        <f>IFERROR(INDEX([1]Cluster_Master!$D$4:$D$18,MATCH($F506,[1]Cluster_Master!$B$4:$B$18,0)),"")</f>
        <v/>
      </c>
      <c r="J506" s="57" t="str">
        <f>IFERROR(INDEX([1]Cluster_Master!$E$4:$E$18,MATCH($F506,[1]Cluster_Master!$B$4:$B$18,0)),"")</f>
        <v/>
      </c>
      <c r="K506" s="57" t="str">
        <f>IFERROR(INDEX([1]Cluster_Master!$F$4:$F$18,MATCH($F506,[1]Cluster_Master!$B$4:$B$18,0)),"")</f>
        <v/>
      </c>
      <c r="L506" s="57" t="str">
        <f>IFERROR(INDEX([1]Cluster_Master!$G$4:$G$18,MATCH($F506,[1]Cluster_Master!$B$4:$B$18,0)),"")</f>
        <v/>
      </c>
      <c r="M506" s="57" t="str">
        <f>IFERROR(INDEX([1]Cluster_Master!$H$4:$H$18,MATCH($F506,[1]Cluster_Master!$B$4:$B$18,0)),"")</f>
        <v/>
      </c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 t="str">
        <f>IF(COUNTA(T506:AH506)=0,"",SUM(T506:AH506))</f>
        <v/>
      </c>
      <c r="AJ506" s="57" t="str">
        <f>IF(COUNTA(T506:AH506)=0,"",AI506/75)</f>
        <v/>
      </c>
      <c r="AK506" s="57" t="str">
        <f>IF(COUNTA(T506:AH506)=0,"",(SUM(T506*[1]KPI_Weights!$B$4,U506*[1]KPI_Weights!$B$5,V506*[1]KPI_Weights!$B$6,W506*[1]KPI_Weights!$B$7,X506*[1]KPI_Weights!$B$8,Y506*[1]KPI_Weights!$B$9,Z506*[1]KPI_Weights!$B$10,AA506*[1]KPI_Weights!$B$11,AB506*[1]KPI_Weights!$B$12,AC506*[1]KPI_Weights!$B$13,AD506*[1]KPI_Weights!$B$14,AE506*[1]KPI_Weights!$B$15,AF506*[1]KPI_Weights!$B$16,AG506*[1]KPI_Weights!$B$17,AH506*[1]KPI_Weights!$B$18))/5)</f>
        <v/>
      </c>
      <c r="AL506" s="57" t="str">
        <f>IF(COUNTA(T506:AH506)=0,"",IF(OR(T506&lt;=1,W506&lt;=1,X506&lt;=1,Y506&lt;=1,AB506&lt;=1),"YES","NO"))</f>
        <v/>
      </c>
      <c r="AM506" s="57" t="str">
        <f>IF(AJ506="","",IF(AND(AL506="NO",AJ506&gt;=0.75),"YES","NO"))</f>
        <v/>
      </c>
      <c r="AN506" s="57" t="str">
        <f>IF(AJ506="","",IF(AJ506&lt;0.4,"Critical",IF(AJ506&lt;0.6,"Poor",IF(AJ506&lt;0.75,"Needs Improvement",IF(AJ506&lt;0.9,"Good","Excellent")))))</f>
        <v/>
      </c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</row>
    <row r="507" spans="1:54" ht="15" customHeight="1" x14ac:dyDescent="0.25">
      <c r="A507" s="57" t="str">
        <f>IF($B507="","",TEXT($B507,"yyyymmdd")&amp;"-"&amp;SUBSTITUTE($F507," ","")&amp;"-"&amp;TEXT(COUNTIF($F$4:F507,$F507),"00"))</f>
        <v/>
      </c>
      <c r="B507" s="57"/>
      <c r="C507" s="57" t="str">
        <f>IF($B507="","",WEEKNUM($B507,2))</f>
        <v/>
      </c>
      <c r="D507" s="57" t="str">
        <f>IF($B507="","",TEXT($B507,"yyyy-mm"))</f>
        <v/>
      </c>
      <c r="E507" s="57"/>
      <c r="F507" s="57"/>
      <c r="G507" s="57" t="str">
        <f>IF(OR($E507="",$F507=""),"",IFERROR(IF($E507=INDEX([1]Cluster_Master!$A$4:$A$18,MATCH($F507,[1]Cluster_Master!$B$4:$B$18,0)),"OK","CHECK"),"CHECK"))</f>
        <v/>
      </c>
      <c r="H507" s="57" t="str">
        <f>IFERROR(INDEX([1]Cluster_Master!$C$4:$C$18,MATCH($F507,[1]Cluster_Master!$B$4:$B$18,0)),"")</f>
        <v/>
      </c>
      <c r="I507" s="57" t="str">
        <f>IFERROR(INDEX([1]Cluster_Master!$D$4:$D$18,MATCH($F507,[1]Cluster_Master!$B$4:$B$18,0)),"")</f>
        <v/>
      </c>
      <c r="J507" s="57" t="str">
        <f>IFERROR(INDEX([1]Cluster_Master!$E$4:$E$18,MATCH($F507,[1]Cluster_Master!$B$4:$B$18,0)),"")</f>
        <v/>
      </c>
      <c r="K507" s="57" t="str">
        <f>IFERROR(INDEX([1]Cluster_Master!$F$4:$F$18,MATCH($F507,[1]Cluster_Master!$B$4:$B$18,0)),"")</f>
        <v/>
      </c>
      <c r="L507" s="57" t="str">
        <f>IFERROR(INDEX([1]Cluster_Master!$G$4:$G$18,MATCH($F507,[1]Cluster_Master!$B$4:$B$18,0)),"")</f>
        <v/>
      </c>
      <c r="M507" s="57" t="str">
        <f>IFERROR(INDEX([1]Cluster_Master!$H$4:$H$18,MATCH($F507,[1]Cluster_Master!$B$4:$B$18,0)),"")</f>
        <v/>
      </c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 t="str">
        <f>IF(COUNTA(T507:AH507)=0,"",SUM(T507:AH507))</f>
        <v/>
      </c>
      <c r="AJ507" s="57" t="str">
        <f>IF(COUNTA(T507:AH507)=0,"",AI507/75)</f>
        <v/>
      </c>
      <c r="AK507" s="57" t="str">
        <f>IF(COUNTA(T507:AH507)=0,"",(SUM(T507*[1]KPI_Weights!$B$4,U507*[1]KPI_Weights!$B$5,V507*[1]KPI_Weights!$B$6,W507*[1]KPI_Weights!$B$7,X507*[1]KPI_Weights!$B$8,Y507*[1]KPI_Weights!$B$9,Z507*[1]KPI_Weights!$B$10,AA507*[1]KPI_Weights!$B$11,AB507*[1]KPI_Weights!$B$12,AC507*[1]KPI_Weights!$B$13,AD507*[1]KPI_Weights!$B$14,AE507*[1]KPI_Weights!$B$15,AF507*[1]KPI_Weights!$B$16,AG507*[1]KPI_Weights!$B$17,AH507*[1]KPI_Weights!$B$18))/5)</f>
        <v/>
      </c>
      <c r="AL507" s="57" t="str">
        <f>IF(COUNTA(T507:AH507)=0,"",IF(OR(T507&lt;=1,W507&lt;=1,X507&lt;=1,Y507&lt;=1,AB507&lt;=1),"YES","NO"))</f>
        <v/>
      </c>
      <c r="AM507" s="57" t="str">
        <f>IF(AJ507="","",IF(AND(AL507="NO",AJ507&gt;=0.75),"YES","NO"))</f>
        <v/>
      </c>
      <c r="AN507" s="57" t="str">
        <f>IF(AJ507="","",IF(AJ507&lt;0.4,"Critical",IF(AJ507&lt;0.6,"Poor",IF(AJ507&lt;0.75,"Needs Improvement",IF(AJ507&lt;0.9,"Good","Excellent")))))</f>
        <v/>
      </c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</row>
    <row r="508" spans="1:54" ht="15" customHeight="1" x14ac:dyDescent="0.25">
      <c r="A508" s="57" t="str">
        <f>IF($B508="","",TEXT($B508,"yyyymmdd")&amp;"-"&amp;SUBSTITUTE($F508," ","")&amp;"-"&amp;TEXT(COUNTIF($F$4:F508,$F508),"00"))</f>
        <v/>
      </c>
      <c r="B508" s="57"/>
      <c r="C508" s="57" t="str">
        <f>IF($B508="","",WEEKNUM($B508,2))</f>
        <v/>
      </c>
      <c r="D508" s="57" t="str">
        <f>IF($B508="","",TEXT($B508,"yyyy-mm"))</f>
        <v/>
      </c>
      <c r="E508" s="57"/>
      <c r="F508" s="57"/>
      <c r="G508" s="57" t="str">
        <f>IF(OR($E508="",$F508=""),"",IFERROR(IF($E508=INDEX([1]Cluster_Master!$A$4:$A$18,MATCH($F508,[1]Cluster_Master!$B$4:$B$18,0)),"OK","CHECK"),"CHECK"))</f>
        <v/>
      </c>
      <c r="H508" s="57" t="str">
        <f>IFERROR(INDEX([1]Cluster_Master!$C$4:$C$18,MATCH($F508,[1]Cluster_Master!$B$4:$B$18,0)),"")</f>
        <v/>
      </c>
      <c r="I508" s="57" t="str">
        <f>IFERROR(INDEX([1]Cluster_Master!$D$4:$D$18,MATCH($F508,[1]Cluster_Master!$B$4:$B$18,0)),"")</f>
        <v/>
      </c>
      <c r="J508" s="57" t="str">
        <f>IFERROR(INDEX([1]Cluster_Master!$E$4:$E$18,MATCH($F508,[1]Cluster_Master!$B$4:$B$18,0)),"")</f>
        <v/>
      </c>
      <c r="K508" s="57" t="str">
        <f>IFERROR(INDEX([1]Cluster_Master!$F$4:$F$18,MATCH($F508,[1]Cluster_Master!$B$4:$B$18,0)),"")</f>
        <v/>
      </c>
      <c r="L508" s="57" t="str">
        <f>IFERROR(INDEX([1]Cluster_Master!$G$4:$G$18,MATCH($F508,[1]Cluster_Master!$B$4:$B$18,0)),"")</f>
        <v/>
      </c>
      <c r="M508" s="57" t="str">
        <f>IFERROR(INDEX([1]Cluster_Master!$H$4:$H$18,MATCH($F508,[1]Cluster_Master!$B$4:$B$18,0)),"")</f>
        <v/>
      </c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 t="str">
        <f>IF(COUNTA(T508:AH508)=0,"",SUM(T508:AH508))</f>
        <v/>
      </c>
      <c r="AJ508" s="57" t="str">
        <f>IF(COUNTA(T508:AH508)=0,"",AI508/75)</f>
        <v/>
      </c>
      <c r="AK508" s="57" t="str">
        <f>IF(COUNTA(T508:AH508)=0,"",(SUM(T508*[1]KPI_Weights!$B$4,U508*[1]KPI_Weights!$B$5,V508*[1]KPI_Weights!$B$6,W508*[1]KPI_Weights!$B$7,X508*[1]KPI_Weights!$B$8,Y508*[1]KPI_Weights!$B$9,Z508*[1]KPI_Weights!$B$10,AA508*[1]KPI_Weights!$B$11,AB508*[1]KPI_Weights!$B$12,AC508*[1]KPI_Weights!$B$13,AD508*[1]KPI_Weights!$B$14,AE508*[1]KPI_Weights!$B$15,AF508*[1]KPI_Weights!$B$16,AG508*[1]KPI_Weights!$B$17,AH508*[1]KPI_Weights!$B$18))/5)</f>
        <v/>
      </c>
      <c r="AL508" s="57" t="str">
        <f>IF(COUNTA(T508:AH508)=0,"",IF(OR(T508&lt;=1,W508&lt;=1,X508&lt;=1,Y508&lt;=1,AB508&lt;=1),"YES","NO"))</f>
        <v/>
      </c>
      <c r="AM508" s="57" t="str">
        <f>IF(AJ508="","",IF(AND(AL508="NO",AJ508&gt;=0.75),"YES","NO"))</f>
        <v/>
      </c>
      <c r="AN508" s="57" t="str">
        <f>IF(AJ508="","",IF(AJ508&lt;0.4,"Critical",IF(AJ508&lt;0.6,"Poor",IF(AJ508&lt;0.75,"Needs Improvement",IF(AJ508&lt;0.9,"Good","Excellent")))))</f>
        <v/>
      </c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</row>
    <row r="509" spans="1:54" ht="15" customHeight="1" x14ac:dyDescent="0.25">
      <c r="A509" s="57" t="str">
        <f>IF($B509="","",TEXT($B509,"yyyymmdd")&amp;"-"&amp;SUBSTITUTE($F509," ","")&amp;"-"&amp;TEXT(COUNTIF($F$4:F509,$F509),"00"))</f>
        <v/>
      </c>
      <c r="B509" s="57"/>
      <c r="C509" s="57" t="str">
        <f>IF($B509="","",WEEKNUM($B509,2))</f>
        <v/>
      </c>
      <c r="D509" s="57" t="str">
        <f>IF($B509="","",TEXT($B509,"yyyy-mm"))</f>
        <v/>
      </c>
      <c r="E509" s="57"/>
      <c r="F509" s="57"/>
      <c r="G509" s="57" t="str">
        <f>IF(OR($E509="",$F509=""),"",IFERROR(IF($E509=INDEX([1]Cluster_Master!$A$4:$A$18,MATCH($F509,[1]Cluster_Master!$B$4:$B$18,0)),"OK","CHECK"),"CHECK"))</f>
        <v/>
      </c>
      <c r="H509" s="57" t="str">
        <f>IFERROR(INDEX([1]Cluster_Master!$C$4:$C$18,MATCH($F509,[1]Cluster_Master!$B$4:$B$18,0)),"")</f>
        <v/>
      </c>
      <c r="I509" s="57" t="str">
        <f>IFERROR(INDEX([1]Cluster_Master!$D$4:$D$18,MATCH($F509,[1]Cluster_Master!$B$4:$B$18,0)),"")</f>
        <v/>
      </c>
      <c r="J509" s="57" t="str">
        <f>IFERROR(INDEX([1]Cluster_Master!$E$4:$E$18,MATCH($F509,[1]Cluster_Master!$B$4:$B$18,0)),"")</f>
        <v/>
      </c>
      <c r="K509" s="57" t="str">
        <f>IFERROR(INDEX([1]Cluster_Master!$F$4:$F$18,MATCH($F509,[1]Cluster_Master!$B$4:$B$18,0)),"")</f>
        <v/>
      </c>
      <c r="L509" s="57" t="str">
        <f>IFERROR(INDEX([1]Cluster_Master!$G$4:$G$18,MATCH($F509,[1]Cluster_Master!$B$4:$B$18,0)),"")</f>
        <v/>
      </c>
      <c r="M509" s="57" t="str">
        <f>IFERROR(INDEX([1]Cluster_Master!$H$4:$H$18,MATCH($F509,[1]Cluster_Master!$B$4:$B$18,0)),"")</f>
        <v/>
      </c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 t="str">
        <f>IF(COUNTA(T509:AH509)=0,"",SUM(T509:AH509))</f>
        <v/>
      </c>
      <c r="AJ509" s="57" t="str">
        <f>IF(COUNTA(T509:AH509)=0,"",AI509/75)</f>
        <v/>
      </c>
      <c r="AK509" s="57" t="str">
        <f>IF(COUNTA(T509:AH509)=0,"",(SUM(T509*[1]KPI_Weights!$B$4,U509*[1]KPI_Weights!$B$5,V509*[1]KPI_Weights!$B$6,W509*[1]KPI_Weights!$B$7,X509*[1]KPI_Weights!$B$8,Y509*[1]KPI_Weights!$B$9,Z509*[1]KPI_Weights!$B$10,AA509*[1]KPI_Weights!$B$11,AB509*[1]KPI_Weights!$B$12,AC509*[1]KPI_Weights!$B$13,AD509*[1]KPI_Weights!$B$14,AE509*[1]KPI_Weights!$B$15,AF509*[1]KPI_Weights!$B$16,AG509*[1]KPI_Weights!$B$17,AH509*[1]KPI_Weights!$B$18))/5)</f>
        <v/>
      </c>
      <c r="AL509" s="57" t="str">
        <f>IF(COUNTA(T509:AH509)=0,"",IF(OR(T509&lt;=1,W509&lt;=1,X509&lt;=1,Y509&lt;=1,AB509&lt;=1),"YES","NO"))</f>
        <v/>
      </c>
      <c r="AM509" s="57" t="str">
        <f>IF(AJ509="","",IF(AND(AL509="NO",AJ509&gt;=0.75),"YES","NO"))</f>
        <v/>
      </c>
      <c r="AN509" s="57" t="str">
        <f>IF(AJ509="","",IF(AJ509&lt;0.4,"Critical",IF(AJ509&lt;0.6,"Poor",IF(AJ509&lt;0.75,"Needs Improvement",IF(AJ509&lt;0.9,"Good","Excellent")))))</f>
        <v/>
      </c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</row>
    <row r="510" spans="1:54" ht="15" customHeight="1" x14ac:dyDescent="0.25">
      <c r="A510" s="57" t="str">
        <f>IF($B510="","",TEXT($B510,"yyyymmdd")&amp;"-"&amp;SUBSTITUTE($F510," ","")&amp;"-"&amp;TEXT(COUNTIF($F$4:F510,$F510),"00"))</f>
        <v/>
      </c>
      <c r="B510" s="57"/>
      <c r="C510" s="57" t="str">
        <f>IF($B510="","",WEEKNUM($B510,2))</f>
        <v/>
      </c>
      <c r="D510" s="57" t="str">
        <f>IF($B510="","",TEXT($B510,"yyyy-mm"))</f>
        <v/>
      </c>
      <c r="E510" s="57"/>
      <c r="F510" s="57"/>
      <c r="G510" s="57" t="str">
        <f>IF(OR($E510="",$F510=""),"",IFERROR(IF($E510=INDEX([1]Cluster_Master!$A$4:$A$18,MATCH($F510,[1]Cluster_Master!$B$4:$B$18,0)),"OK","CHECK"),"CHECK"))</f>
        <v/>
      </c>
      <c r="H510" s="57" t="str">
        <f>IFERROR(INDEX([1]Cluster_Master!$C$4:$C$18,MATCH($F510,[1]Cluster_Master!$B$4:$B$18,0)),"")</f>
        <v/>
      </c>
      <c r="I510" s="57" t="str">
        <f>IFERROR(INDEX([1]Cluster_Master!$D$4:$D$18,MATCH($F510,[1]Cluster_Master!$B$4:$B$18,0)),"")</f>
        <v/>
      </c>
      <c r="J510" s="57" t="str">
        <f>IFERROR(INDEX([1]Cluster_Master!$E$4:$E$18,MATCH($F510,[1]Cluster_Master!$B$4:$B$18,0)),"")</f>
        <v/>
      </c>
      <c r="K510" s="57" t="str">
        <f>IFERROR(INDEX([1]Cluster_Master!$F$4:$F$18,MATCH($F510,[1]Cluster_Master!$B$4:$B$18,0)),"")</f>
        <v/>
      </c>
      <c r="L510" s="57" t="str">
        <f>IFERROR(INDEX([1]Cluster_Master!$G$4:$G$18,MATCH($F510,[1]Cluster_Master!$B$4:$B$18,0)),"")</f>
        <v/>
      </c>
      <c r="M510" s="57" t="str">
        <f>IFERROR(INDEX([1]Cluster_Master!$H$4:$H$18,MATCH($F510,[1]Cluster_Master!$B$4:$B$18,0)),"")</f>
        <v/>
      </c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 t="str">
        <f>IF(COUNTA(T510:AH510)=0,"",SUM(T510:AH510))</f>
        <v/>
      </c>
      <c r="AJ510" s="57" t="str">
        <f>IF(COUNTA(T510:AH510)=0,"",AI510/75)</f>
        <v/>
      </c>
      <c r="AK510" s="57" t="str">
        <f>IF(COUNTA(T510:AH510)=0,"",(SUM(T510*[1]KPI_Weights!$B$4,U510*[1]KPI_Weights!$B$5,V510*[1]KPI_Weights!$B$6,W510*[1]KPI_Weights!$B$7,X510*[1]KPI_Weights!$B$8,Y510*[1]KPI_Weights!$B$9,Z510*[1]KPI_Weights!$B$10,AA510*[1]KPI_Weights!$B$11,AB510*[1]KPI_Weights!$B$12,AC510*[1]KPI_Weights!$B$13,AD510*[1]KPI_Weights!$B$14,AE510*[1]KPI_Weights!$B$15,AF510*[1]KPI_Weights!$B$16,AG510*[1]KPI_Weights!$B$17,AH510*[1]KPI_Weights!$B$18))/5)</f>
        <v/>
      </c>
      <c r="AL510" s="57" t="str">
        <f>IF(COUNTA(T510:AH510)=0,"",IF(OR(T510&lt;=1,W510&lt;=1,X510&lt;=1,Y510&lt;=1,AB510&lt;=1),"YES","NO"))</f>
        <v/>
      </c>
      <c r="AM510" s="57" t="str">
        <f>IF(AJ510="","",IF(AND(AL510="NO",AJ510&gt;=0.75),"YES","NO"))</f>
        <v/>
      </c>
      <c r="AN510" s="57" t="str">
        <f>IF(AJ510="","",IF(AJ510&lt;0.4,"Critical",IF(AJ510&lt;0.6,"Poor",IF(AJ510&lt;0.75,"Needs Improvement",IF(AJ510&lt;0.9,"Good","Excellent")))))</f>
        <v/>
      </c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</row>
    <row r="511" spans="1:54" ht="15" customHeight="1" x14ac:dyDescent="0.25">
      <c r="A511" s="57" t="str">
        <f>IF($B511="","",TEXT($B511,"yyyymmdd")&amp;"-"&amp;SUBSTITUTE($F511," ","")&amp;"-"&amp;TEXT(COUNTIF($F$4:F511,$F511),"00"))</f>
        <v/>
      </c>
      <c r="B511" s="57"/>
      <c r="C511" s="57" t="str">
        <f>IF($B511="","",WEEKNUM($B511,2))</f>
        <v/>
      </c>
      <c r="D511" s="57" t="str">
        <f>IF($B511="","",TEXT($B511,"yyyy-mm"))</f>
        <v/>
      </c>
      <c r="E511" s="57"/>
      <c r="F511" s="57"/>
      <c r="G511" s="57" t="str">
        <f>IF(OR($E511="",$F511=""),"",IFERROR(IF($E511=INDEX([1]Cluster_Master!$A$4:$A$18,MATCH($F511,[1]Cluster_Master!$B$4:$B$18,0)),"OK","CHECK"),"CHECK"))</f>
        <v/>
      </c>
      <c r="H511" s="57" t="str">
        <f>IFERROR(INDEX([1]Cluster_Master!$C$4:$C$18,MATCH($F511,[1]Cluster_Master!$B$4:$B$18,0)),"")</f>
        <v/>
      </c>
      <c r="I511" s="57" t="str">
        <f>IFERROR(INDEX([1]Cluster_Master!$D$4:$D$18,MATCH($F511,[1]Cluster_Master!$B$4:$B$18,0)),"")</f>
        <v/>
      </c>
      <c r="J511" s="57" t="str">
        <f>IFERROR(INDEX([1]Cluster_Master!$E$4:$E$18,MATCH($F511,[1]Cluster_Master!$B$4:$B$18,0)),"")</f>
        <v/>
      </c>
      <c r="K511" s="57" t="str">
        <f>IFERROR(INDEX([1]Cluster_Master!$F$4:$F$18,MATCH($F511,[1]Cluster_Master!$B$4:$B$18,0)),"")</f>
        <v/>
      </c>
      <c r="L511" s="57" t="str">
        <f>IFERROR(INDEX([1]Cluster_Master!$G$4:$G$18,MATCH($F511,[1]Cluster_Master!$B$4:$B$18,0)),"")</f>
        <v/>
      </c>
      <c r="M511" s="57" t="str">
        <f>IFERROR(INDEX([1]Cluster_Master!$H$4:$H$18,MATCH($F511,[1]Cluster_Master!$B$4:$B$18,0)),"")</f>
        <v/>
      </c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 t="str">
        <f>IF(COUNTA(T511:AH511)=0,"",SUM(T511:AH511))</f>
        <v/>
      </c>
      <c r="AJ511" s="57" t="str">
        <f>IF(COUNTA(T511:AH511)=0,"",AI511/75)</f>
        <v/>
      </c>
      <c r="AK511" s="57" t="str">
        <f>IF(COUNTA(T511:AH511)=0,"",(SUM(T511*[1]KPI_Weights!$B$4,U511*[1]KPI_Weights!$B$5,V511*[1]KPI_Weights!$B$6,W511*[1]KPI_Weights!$B$7,X511*[1]KPI_Weights!$B$8,Y511*[1]KPI_Weights!$B$9,Z511*[1]KPI_Weights!$B$10,AA511*[1]KPI_Weights!$B$11,AB511*[1]KPI_Weights!$B$12,AC511*[1]KPI_Weights!$B$13,AD511*[1]KPI_Weights!$B$14,AE511*[1]KPI_Weights!$B$15,AF511*[1]KPI_Weights!$B$16,AG511*[1]KPI_Weights!$B$17,AH511*[1]KPI_Weights!$B$18))/5)</f>
        <v/>
      </c>
      <c r="AL511" s="57" t="str">
        <f>IF(COUNTA(T511:AH511)=0,"",IF(OR(T511&lt;=1,W511&lt;=1,X511&lt;=1,Y511&lt;=1,AB511&lt;=1),"YES","NO"))</f>
        <v/>
      </c>
      <c r="AM511" s="57" t="str">
        <f>IF(AJ511="","",IF(AND(AL511="NO",AJ511&gt;=0.75),"YES","NO"))</f>
        <v/>
      </c>
      <c r="AN511" s="57" t="str">
        <f>IF(AJ511="","",IF(AJ511&lt;0.4,"Critical",IF(AJ511&lt;0.6,"Poor",IF(AJ511&lt;0.75,"Needs Improvement",IF(AJ511&lt;0.9,"Good","Excellent")))))</f>
        <v/>
      </c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</row>
    <row r="512" spans="1:54" ht="15" customHeight="1" x14ac:dyDescent="0.25">
      <c r="A512" s="57" t="str">
        <f>IF($B512="","",TEXT($B512,"yyyymmdd")&amp;"-"&amp;SUBSTITUTE($F512," ","")&amp;"-"&amp;TEXT(COUNTIF($F$4:F512,$F512),"00"))</f>
        <v/>
      </c>
      <c r="B512" s="57"/>
      <c r="C512" s="57" t="str">
        <f>IF($B512="","",WEEKNUM($B512,2))</f>
        <v/>
      </c>
      <c r="D512" s="57" t="str">
        <f>IF($B512="","",TEXT($B512,"yyyy-mm"))</f>
        <v/>
      </c>
      <c r="E512" s="57"/>
      <c r="F512" s="57"/>
      <c r="G512" s="57" t="str">
        <f>IF(OR($E512="",$F512=""),"",IFERROR(IF($E512=INDEX([1]Cluster_Master!$A$4:$A$18,MATCH($F512,[1]Cluster_Master!$B$4:$B$18,0)),"OK","CHECK"),"CHECK"))</f>
        <v/>
      </c>
      <c r="H512" s="57" t="str">
        <f>IFERROR(INDEX([1]Cluster_Master!$C$4:$C$18,MATCH($F512,[1]Cluster_Master!$B$4:$B$18,0)),"")</f>
        <v/>
      </c>
      <c r="I512" s="57" t="str">
        <f>IFERROR(INDEX([1]Cluster_Master!$D$4:$D$18,MATCH($F512,[1]Cluster_Master!$B$4:$B$18,0)),"")</f>
        <v/>
      </c>
      <c r="J512" s="57" t="str">
        <f>IFERROR(INDEX([1]Cluster_Master!$E$4:$E$18,MATCH($F512,[1]Cluster_Master!$B$4:$B$18,0)),"")</f>
        <v/>
      </c>
      <c r="K512" s="57" t="str">
        <f>IFERROR(INDEX([1]Cluster_Master!$F$4:$F$18,MATCH($F512,[1]Cluster_Master!$B$4:$B$18,0)),"")</f>
        <v/>
      </c>
      <c r="L512" s="57" t="str">
        <f>IFERROR(INDEX([1]Cluster_Master!$G$4:$G$18,MATCH($F512,[1]Cluster_Master!$B$4:$B$18,0)),"")</f>
        <v/>
      </c>
      <c r="M512" s="57" t="str">
        <f>IFERROR(INDEX([1]Cluster_Master!$H$4:$H$18,MATCH($F512,[1]Cluster_Master!$B$4:$B$18,0)),"")</f>
        <v/>
      </c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 t="str">
        <f>IF(COUNTA(T512:AH512)=0,"",SUM(T512:AH512))</f>
        <v/>
      </c>
      <c r="AJ512" s="57" t="str">
        <f>IF(COUNTA(T512:AH512)=0,"",AI512/75)</f>
        <v/>
      </c>
      <c r="AK512" s="57" t="str">
        <f>IF(COUNTA(T512:AH512)=0,"",(SUM(T512*[1]KPI_Weights!$B$4,U512*[1]KPI_Weights!$B$5,V512*[1]KPI_Weights!$B$6,W512*[1]KPI_Weights!$B$7,X512*[1]KPI_Weights!$B$8,Y512*[1]KPI_Weights!$B$9,Z512*[1]KPI_Weights!$B$10,AA512*[1]KPI_Weights!$B$11,AB512*[1]KPI_Weights!$B$12,AC512*[1]KPI_Weights!$B$13,AD512*[1]KPI_Weights!$B$14,AE512*[1]KPI_Weights!$B$15,AF512*[1]KPI_Weights!$B$16,AG512*[1]KPI_Weights!$B$17,AH512*[1]KPI_Weights!$B$18))/5)</f>
        <v/>
      </c>
      <c r="AL512" s="57" t="str">
        <f>IF(COUNTA(T512:AH512)=0,"",IF(OR(T512&lt;=1,W512&lt;=1,X512&lt;=1,Y512&lt;=1,AB512&lt;=1),"YES","NO"))</f>
        <v/>
      </c>
      <c r="AM512" s="57" t="str">
        <f>IF(AJ512="","",IF(AND(AL512="NO",AJ512&gt;=0.75),"YES","NO"))</f>
        <v/>
      </c>
      <c r="AN512" s="57" t="str">
        <f>IF(AJ512="","",IF(AJ512&lt;0.4,"Critical",IF(AJ512&lt;0.6,"Poor",IF(AJ512&lt;0.75,"Needs Improvement",IF(AJ512&lt;0.9,"Good","Excellent")))))</f>
        <v/>
      </c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</row>
    <row r="513" spans="1:54" ht="15" customHeight="1" x14ac:dyDescent="0.25">
      <c r="A513" s="57" t="str">
        <f>IF($B513="","",TEXT($B513,"yyyymmdd")&amp;"-"&amp;SUBSTITUTE($F513," ","")&amp;"-"&amp;TEXT(COUNTIF($F$4:F513,$F513),"00"))</f>
        <v/>
      </c>
      <c r="B513" s="57"/>
      <c r="C513" s="57" t="str">
        <f>IF($B513="","",WEEKNUM($B513,2))</f>
        <v/>
      </c>
      <c r="D513" s="57" t="str">
        <f>IF($B513="","",TEXT($B513,"yyyy-mm"))</f>
        <v/>
      </c>
      <c r="E513" s="57"/>
      <c r="F513" s="57"/>
      <c r="G513" s="57" t="str">
        <f>IF(OR($E513="",$F513=""),"",IFERROR(IF($E513=INDEX([1]Cluster_Master!$A$4:$A$18,MATCH($F513,[1]Cluster_Master!$B$4:$B$18,0)),"OK","CHECK"),"CHECK"))</f>
        <v/>
      </c>
      <c r="H513" s="57" t="str">
        <f>IFERROR(INDEX([1]Cluster_Master!$C$4:$C$18,MATCH($F513,[1]Cluster_Master!$B$4:$B$18,0)),"")</f>
        <v/>
      </c>
      <c r="I513" s="57" t="str">
        <f>IFERROR(INDEX([1]Cluster_Master!$D$4:$D$18,MATCH($F513,[1]Cluster_Master!$B$4:$B$18,0)),"")</f>
        <v/>
      </c>
      <c r="J513" s="57" t="str">
        <f>IFERROR(INDEX([1]Cluster_Master!$E$4:$E$18,MATCH($F513,[1]Cluster_Master!$B$4:$B$18,0)),"")</f>
        <v/>
      </c>
      <c r="K513" s="57" t="str">
        <f>IFERROR(INDEX([1]Cluster_Master!$F$4:$F$18,MATCH($F513,[1]Cluster_Master!$B$4:$B$18,0)),"")</f>
        <v/>
      </c>
      <c r="L513" s="57" t="str">
        <f>IFERROR(INDEX([1]Cluster_Master!$G$4:$G$18,MATCH($F513,[1]Cluster_Master!$B$4:$B$18,0)),"")</f>
        <v/>
      </c>
      <c r="M513" s="57" t="str">
        <f>IFERROR(INDEX([1]Cluster_Master!$H$4:$H$18,MATCH($F513,[1]Cluster_Master!$B$4:$B$18,0)),"")</f>
        <v/>
      </c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 t="str">
        <f>IF(COUNTA(T513:AH513)=0,"",SUM(T513:AH513))</f>
        <v/>
      </c>
      <c r="AJ513" s="57" t="str">
        <f>IF(COUNTA(T513:AH513)=0,"",AI513/75)</f>
        <v/>
      </c>
      <c r="AK513" s="57" t="str">
        <f>IF(COUNTA(T513:AH513)=0,"",(SUM(T513*[1]KPI_Weights!$B$4,U513*[1]KPI_Weights!$B$5,V513*[1]KPI_Weights!$B$6,W513*[1]KPI_Weights!$B$7,X513*[1]KPI_Weights!$B$8,Y513*[1]KPI_Weights!$B$9,Z513*[1]KPI_Weights!$B$10,AA513*[1]KPI_Weights!$B$11,AB513*[1]KPI_Weights!$B$12,AC513*[1]KPI_Weights!$B$13,AD513*[1]KPI_Weights!$B$14,AE513*[1]KPI_Weights!$B$15,AF513*[1]KPI_Weights!$B$16,AG513*[1]KPI_Weights!$B$17,AH513*[1]KPI_Weights!$B$18))/5)</f>
        <v/>
      </c>
      <c r="AL513" s="57" t="str">
        <f>IF(COUNTA(T513:AH513)=0,"",IF(OR(T513&lt;=1,W513&lt;=1,X513&lt;=1,Y513&lt;=1,AB513&lt;=1),"YES","NO"))</f>
        <v/>
      </c>
      <c r="AM513" s="57" t="str">
        <f>IF(AJ513="","",IF(AND(AL513="NO",AJ513&gt;=0.75),"YES","NO"))</f>
        <v/>
      </c>
      <c r="AN513" s="57" t="str">
        <f>IF(AJ513="","",IF(AJ513&lt;0.4,"Critical",IF(AJ513&lt;0.6,"Poor",IF(AJ513&lt;0.75,"Needs Improvement",IF(AJ513&lt;0.9,"Good","Excellent")))))</f>
        <v/>
      </c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</row>
    <row r="514" spans="1:54" ht="15" customHeight="1" x14ac:dyDescent="0.25">
      <c r="A514" s="57" t="str">
        <f>IF($B514="","",TEXT($B514,"yyyymmdd")&amp;"-"&amp;SUBSTITUTE($F514," ","")&amp;"-"&amp;TEXT(COUNTIF($F$4:F514,$F514),"00"))</f>
        <v/>
      </c>
      <c r="B514" s="57"/>
      <c r="C514" s="57" t="str">
        <f>IF($B514="","",WEEKNUM($B514,2))</f>
        <v/>
      </c>
      <c r="D514" s="57" t="str">
        <f>IF($B514="","",TEXT($B514,"yyyy-mm"))</f>
        <v/>
      </c>
      <c r="E514" s="57"/>
      <c r="F514" s="57"/>
      <c r="G514" s="57" t="str">
        <f>IF(OR($E514="",$F514=""),"",IFERROR(IF($E514=INDEX([1]Cluster_Master!$A$4:$A$18,MATCH($F514,[1]Cluster_Master!$B$4:$B$18,0)),"OK","CHECK"),"CHECK"))</f>
        <v/>
      </c>
      <c r="H514" s="57" t="str">
        <f>IFERROR(INDEX([1]Cluster_Master!$C$4:$C$18,MATCH($F514,[1]Cluster_Master!$B$4:$B$18,0)),"")</f>
        <v/>
      </c>
      <c r="I514" s="57" t="str">
        <f>IFERROR(INDEX([1]Cluster_Master!$D$4:$D$18,MATCH($F514,[1]Cluster_Master!$B$4:$B$18,0)),"")</f>
        <v/>
      </c>
      <c r="J514" s="57" t="str">
        <f>IFERROR(INDEX([1]Cluster_Master!$E$4:$E$18,MATCH($F514,[1]Cluster_Master!$B$4:$B$18,0)),"")</f>
        <v/>
      </c>
      <c r="K514" s="57" t="str">
        <f>IFERROR(INDEX([1]Cluster_Master!$F$4:$F$18,MATCH($F514,[1]Cluster_Master!$B$4:$B$18,0)),"")</f>
        <v/>
      </c>
      <c r="L514" s="57" t="str">
        <f>IFERROR(INDEX([1]Cluster_Master!$G$4:$G$18,MATCH($F514,[1]Cluster_Master!$B$4:$B$18,0)),"")</f>
        <v/>
      </c>
      <c r="M514" s="57" t="str">
        <f>IFERROR(INDEX([1]Cluster_Master!$H$4:$H$18,MATCH($F514,[1]Cluster_Master!$B$4:$B$18,0)),"")</f>
        <v/>
      </c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 t="str">
        <f>IF(COUNTA(T514:AH514)=0,"",SUM(T514:AH514))</f>
        <v/>
      </c>
      <c r="AJ514" s="57" t="str">
        <f>IF(COUNTA(T514:AH514)=0,"",AI514/75)</f>
        <v/>
      </c>
      <c r="AK514" s="57" t="str">
        <f>IF(COUNTA(T514:AH514)=0,"",(SUM(T514*[1]KPI_Weights!$B$4,U514*[1]KPI_Weights!$B$5,V514*[1]KPI_Weights!$B$6,W514*[1]KPI_Weights!$B$7,X514*[1]KPI_Weights!$B$8,Y514*[1]KPI_Weights!$B$9,Z514*[1]KPI_Weights!$B$10,AA514*[1]KPI_Weights!$B$11,AB514*[1]KPI_Weights!$B$12,AC514*[1]KPI_Weights!$B$13,AD514*[1]KPI_Weights!$B$14,AE514*[1]KPI_Weights!$B$15,AF514*[1]KPI_Weights!$B$16,AG514*[1]KPI_Weights!$B$17,AH514*[1]KPI_Weights!$B$18))/5)</f>
        <v/>
      </c>
      <c r="AL514" s="57" t="str">
        <f>IF(COUNTA(T514:AH514)=0,"",IF(OR(T514&lt;=1,W514&lt;=1,X514&lt;=1,Y514&lt;=1,AB514&lt;=1),"YES","NO"))</f>
        <v/>
      </c>
      <c r="AM514" s="57" t="str">
        <f>IF(AJ514="","",IF(AND(AL514="NO",AJ514&gt;=0.75),"YES","NO"))</f>
        <v/>
      </c>
      <c r="AN514" s="57" t="str">
        <f>IF(AJ514="","",IF(AJ514&lt;0.4,"Critical",IF(AJ514&lt;0.6,"Poor",IF(AJ514&lt;0.75,"Needs Improvement",IF(AJ514&lt;0.9,"Good","Excellent")))))</f>
        <v/>
      </c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</row>
    <row r="515" spans="1:54" ht="15" customHeight="1" x14ac:dyDescent="0.25">
      <c r="A515" s="57" t="str">
        <f>IF($B515="","",TEXT($B515,"yyyymmdd")&amp;"-"&amp;SUBSTITUTE($F515," ","")&amp;"-"&amp;TEXT(COUNTIF($F$4:F515,$F515),"00"))</f>
        <v/>
      </c>
      <c r="B515" s="57"/>
      <c r="C515" s="57" t="str">
        <f>IF($B515="","",WEEKNUM($B515,2))</f>
        <v/>
      </c>
      <c r="D515" s="57" t="str">
        <f>IF($B515="","",TEXT($B515,"yyyy-mm"))</f>
        <v/>
      </c>
      <c r="E515" s="57"/>
      <c r="F515" s="57"/>
      <c r="G515" s="57" t="str">
        <f>IF(OR($E515="",$F515=""),"",IFERROR(IF($E515=INDEX([1]Cluster_Master!$A$4:$A$18,MATCH($F515,[1]Cluster_Master!$B$4:$B$18,0)),"OK","CHECK"),"CHECK"))</f>
        <v/>
      </c>
      <c r="H515" s="57" t="str">
        <f>IFERROR(INDEX([1]Cluster_Master!$C$4:$C$18,MATCH($F515,[1]Cluster_Master!$B$4:$B$18,0)),"")</f>
        <v/>
      </c>
      <c r="I515" s="57" t="str">
        <f>IFERROR(INDEX([1]Cluster_Master!$D$4:$D$18,MATCH($F515,[1]Cluster_Master!$B$4:$B$18,0)),"")</f>
        <v/>
      </c>
      <c r="J515" s="57" t="str">
        <f>IFERROR(INDEX([1]Cluster_Master!$E$4:$E$18,MATCH($F515,[1]Cluster_Master!$B$4:$B$18,0)),"")</f>
        <v/>
      </c>
      <c r="K515" s="57" t="str">
        <f>IFERROR(INDEX([1]Cluster_Master!$F$4:$F$18,MATCH($F515,[1]Cluster_Master!$B$4:$B$18,0)),"")</f>
        <v/>
      </c>
      <c r="L515" s="57" t="str">
        <f>IFERROR(INDEX([1]Cluster_Master!$G$4:$G$18,MATCH($F515,[1]Cluster_Master!$B$4:$B$18,0)),"")</f>
        <v/>
      </c>
      <c r="M515" s="57" t="str">
        <f>IFERROR(INDEX([1]Cluster_Master!$H$4:$H$18,MATCH($F515,[1]Cluster_Master!$B$4:$B$18,0)),"")</f>
        <v/>
      </c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 t="str">
        <f>IF(COUNTA(T515:AH515)=0,"",SUM(T515:AH515))</f>
        <v/>
      </c>
      <c r="AJ515" s="57" t="str">
        <f>IF(COUNTA(T515:AH515)=0,"",AI515/75)</f>
        <v/>
      </c>
      <c r="AK515" s="57" t="str">
        <f>IF(COUNTA(T515:AH515)=0,"",(SUM(T515*[1]KPI_Weights!$B$4,U515*[1]KPI_Weights!$B$5,V515*[1]KPI_Weights!$B$6,W515*[1]KPI_Weights!$B$7,X515*[1]KPI_Weights!$B$8,Y515*[1]KPI_Weights!$B$9,Z515*[1]KPI_Weights!$B$10,AA515*[1]KPI_Weights!$B$11,AB515*[1]KPI_Weights!$B$12,AC515*[1]KPI_Weights!$B$13,AD515*[1]KPI_Weights!$B$14,AE515*[1]KPI_Weights!$B$15,AF515*[1]KPI_Weights!$B$16,AG515*[1]KPI_Weights!$B$17,AH515*[1]KPI_Weights!$B$18))/5)</f>
        <v/>
      </c>
      <c r="AL515" s="57" t="str">
        <f>IF(COUNTA(T515:AH515)=0,"",IF(OR(T515&lt;=1,W515&lt;=1,X515&lt;=1,Y515&lt;=1,AB515&lt;=1),"YES","NO"))</f>
        <v/>
      </c>
      <c r="AM515" s="57" t="str">
        <f>IF(AJ515="","",IF(AND(AL515="NO",AJ515&gt;=0.75),"YES","NO"))</f>
        <v/>
      </c>
      <c r="AN515" s="57" t="str">
        <f>IF(AJ515="","",IF(AJ515&lt;0.4,"Critical",IF(AJ515&lt;0.6,"Poor",IF(AJ515&lt;0.75,"Needs Improvement",IF(AJ515&lt;0.9,"Good","Excellent")))))</f>
        <v/>
      </c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</row>
    <row r="516" spans="1:54" ht="15" customHeight="1" x14ac:dyDescent="0.25">
      <c r="A516" s="57" t="str">
        <f>IF($B516="","",TEXT($B516,"yyyymmdd")&amp;"-"&amp;SUBSTITUTE($F516," ","")&amp;"-"&amp;TEXT(COUNTIF($F$4:F516,$F516),"00"))</f>
        <v/>
      </c>
      <c r="B516" s="57"/>
      <c r="C516" s="57" t="str">
        <f>IF($B516="","",WEEKNUM($B516,2))</f>
        <v/>
      </c>
      <c r="D516" s="57" t="str">
        <f>IF($B516="","",TEXT($B516,"yyyy-mm"))</f>
        <v/>
      </c>
      <c r="E516" s="57"/>
      <c r="F516" s="57"/>
      <c r="G516" s="57" t="str">
        <f>IF(OR($E516="",$F516=""),"",IFERROR(IF($E516=INDEX([1]Cluster_Master!$A$4:$A$18,MATCH($F516,[1]Cluster_Master!$B$4:$B$18,0)),"OK","CHECK"),"CHECK"))</f>
        <v/>
      </c>
      <c r="H516" s="57" t="str">
        <f>IFERROR(INDEX([1]Cluster_Master!$C$4:$C$18,MATCH($F516,[1]Cluster_Master!$B$4:$B$18,0)),"")</f>
        <v/>
      </c>
      <c r="I516" s="57" t="str">
        <f>IFERROR(INDEX([1]Cluster_Master!$D$4:$D$18,MATCH($F516,[1]Cluster_Master!$B$4:$B$18,0)),"")</f>
        <v/>
      </c>
      <c r="J516" s="57" t="str">
        <f>IFERROR(INDEX([1]Cluster_Master!$E$4:$E$18,MATCH($F516,[1]Cluster_Master!$B$4:$B$18,0)),"")</f>
        <v/>
      </c>
      <c r="K516" s="57" t="str">
        <f>IFERROR(INDEX([1]Cluster_Master!$F$4:$F$18,MATCH($F516,[1]Cluster_Master!$B$4:$B$18,0)),"")</f>
        <v/>
      </c>
      <c r="L516" s="57" t="str">
        <f>IFERROR(INDEX([1]Cluster_Master!$G$4:$G$18,MATCH($F516,[1]Cluster_Master!$B$4:$B$18,0)),"")</f>
        <v/>
      </c>
      <c r="M516" s="57" t="str">
        <f>IFERROR(INDEX([1]Cluster_Master!$H$4:$H$18,MATCH($F516,[1]Cluster_Master!$B$4:$B$18,0)),"")</f>
        <v/>
      </c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 t="str">
        <f>IF(COUNTA(T516:AH516)=0,"",SUM(T516:AH516))</f>
        <v/>
      </c>
      <c r="AJ516" s="57" t="str">
        <f>IF(COUNTA(T516:AH516)=0,"",AI516/75)</f>
        <v/>
      </c>
      <c r="AK516" s="57" t="str">
        <f>IF(COUNTA(T516:AH516)=0,"",(SUM(T516*[1]KPI_Weights!$B$4,U516*[1]KPI_Weights!$B$5,V516*[1]KPI_Weights!$B$6,W516*[1]KPI_Weights!$B$7,X516*[1]KPI_Weights!$B$8,Y516*[1]KPI_Weights!$B$9,Z516*[1]KPI_Weights!$B$10,AA516*[1]KPI_Weights!$B$11,AB516*[1]KPI_Weights!$B$12,AC516*[1]KPI_Weights!$B$13,AD516*[1]KPI_Weights!$B$14,AE516*[1]KPI_Weights!$B$15,AF516*[1]KPI_Weights!$B$16,AG516*[1]KPI_Weights!$B$17,AH516*[1]KPI_Weights!$B$18))/5)</f>
        <v/>
      </c>
      <c r="AL516" s="57" t="str">
        <f>IF(COUNTA(T516:AH516)=0,"",IF(OR(T516&lt;=1,W516&lt;=1,X516&lt;=1,Y516&lt;=1,AB516&lt;=1),"YES","NO"))</f>
        <v/>
      </c>
      <c r="AM516" s="57" t="str">
        <f>IF(AJ516="","",IF(AND(AL516="NO",AJ516&gt;=0.75),"YES","NO"))</f>
        <v/>
      </c>
      <c r="AN516" s="57" t="str">
        <f>IF(AJ516="","",IF(AJ516&lt;0.4,"Critical",IF(AJ516&lt;0.6,"Poor",IF(AJ516&lt;0.75,"Needs Improvement",IF(AJ516&lt;0.9,"Good","Excellent")))))</f>
        <v/>
      </c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</row>
    <row r="517" spans="1:54" ht="15" customHeight="1" x14ac:dyDescent="0.25">
      <c r="A517" s="57" t="str">
        <f>IF($B517="","",TEXT($B517,"yyyymmdd")&amp;"-"&amp;SUBSTITUTE($F517," ","")&amp;"-"&amp;TEXT(COUNTIF($F$4:F517,$F517),"00"))</f>
        <v/>
      </c>
      <c r="B517" s="57"/>
      <c r="C517" s="57" t="str">
        <f>IF($B517="","",WEEKNUM($B517,2))</f>
        <v/>
      </c>
      <c r="D517" s="57" t="str">
        <f>IF($B517="","",TEXT($B517,"yyyy-mm"))</f>
        <v/>
      </c>
      <c r="E517" s="57"/>
      <c r="F517" s="57"/>
      <c r="G517" s="57" t="str">
        <f>IF(OR($E517="",$F517=""),"",IFERROR(IF($E517=INDEX([1]Cluster_Master!$A$4:$A$18,MATCH($F517,[1]Cluster_Master!$B$4:$B$18,0)),"OK","CHECK"),"CHECK"))</f>
        <v/>
      </c>
      <c r="H517" s="57" t="str">
        <f>IFERROR(INDEX([1]Cluster_Master!$C$4:$C$18,MATCH($F517,[1]Cluster_Master!$B$4:$B$18,0)),"")</f>
        <v/>
      </c>
      <c r="I517" s="57" t="str">
        <f>IFERROR(INDEX([1]Cluster_Master!$D$4:$D$18,MATCH($F517,[1]Cluster_Master!$B$4:$B$18,0)),"")</f>
        <v/>
      </c>
      <c r="J517" s="57" t="str">
        <f>IFERROR(INDEX([1]Cluster_Master!$E$4:$E$18,MATCH($F517,[1]Cluster_Master!$B$4:$B$18,0)),"")</f>
        <v/>
      </c>
      <c r="K517" s="57" t="str">
        <f>IFERROR(INDEX([1]Cluster_Master!$F$4:$F$18,MATCH($F517,[1]Cluster_Master!$B$4:$B$18,0)),"")</f>
        <v/>
      </c>
      <c r="L517" s="57" t="str">
        <f>IFERROR(INDEX([1]Cluster_Master!$G$4:$G$18,MATCH($F517,[1]Cluster_Master!$B$4:$B$18,0)),"")</f>
        <v/>
      </c>
      <c r="M517" s="57" t="str">
        <f>IFERROR(INDEX([1]Cluster_Master!$H$4:$H$18,MATCH($F517,[1]Cluster_Master!$B$4:$B$18,0)),"")</f>
        <v/>
      </c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 t="str">
        <f>IF(COUNTA(T517:AH517)=0,"",SUM(T517:AH517))</f>
        <v/>
      </c>
      <c r="AJ517" s="57" t="str">
        <f>IF(COUNTA(T517:AH517)=0,"",AI517/75)</f>
        <v/>
      </c>
      <c r="AK517" s="57" t="str">
        <f>IF(COUNTA(T517:AH517)=0,"",(SUM(T517*[1]KPI_Weights!$B$4,U517*[1]KPI_Weights!$B$5,V517*[1]KPI_Weights!$B$6,W517*[1]KPI_Weights!$B$7,X517*[1]KPI_Weights!$B$8,Y517*[1]KPI_Weights!$B$9,Z517*[1]KPI_Weights!$B$10,AA517*[1]KPI_Weights!$B$11,AB517*[1]KPI_Weights!$B$12,AC517*[1]KPI_Weights!$B$13,AD517*[1]KPI_Weights!$B$14,AE517*[1]KPI_Weights!$B$15,AF517*[1]KPI_Weights!$B$16,AG517*[1]KPI_Weights!$B$17,AH517*[1]KPI_Weights!$B$18))/5)</f>
        <v/>
      </c>
      <c r="AL517" s="57" t="str">
        <f>IF(COUNTA(T517:AH517)=0,"",IF(OR(T517&lt;=1,W517&lt;=1,X517&lt;=1,Y517&lt;=1,AB517&lt;=1),"YES","NO"))</f>
        <v/>
      </c>
      <c r="AM517" s="57" t="str">
        <f>IF(AJ517="","",IF(AND(AL517="NO",AJ517&gt;=0.75),"YES","NO"))</f>
        <v/>
      </c>
      <c r="AN517" s="57" t="str">
        <f>IF(AJ517="","",IF(AJ517&lt;0.4,"Critical",IF(AJ517&lt;0.6,"Poor",IF(AJ517&lt;0.75,"Needs Improvement",IF(AJ517&lt;0.9,"Good","Excellent")))))</f>
        <v/>
      </c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</row>
    <row r="518" spans="1:54" ht="15" customHeight="1" x14ac:dyDescent="0.25">
      <c r="A518" s="57" t="str">
        <f>IF($B518="","",TEXT($B518,"yyyymmdd")&amp;"-"&amp;SUBSTITUTE($F518," ","")&amp;"-"&amp;TEXT(COUNTIF($F$4:F518,$F518),"00"))</f>
        <v/>
      </c>
      <c r="B518" s="57"/>
      <c r="C518" s="57" t="str">
        <f>IF($B518="","",WEEKNUM($B518,2))</f>
        <v/>
      </c>
      <c r="D518" s="57" t="str">
        <f>IF($B518="","",TEXT($B518,"yyyy-mm"))</f>
        <v/>
      </c>
      <c r="E518" s="57"/>
      <c r="F518" s="57"/>
      <c r="G518" s="57" t="str">
        <f>IF(OR($E518="",$F518=""),"",IFERROR(IF($E518=INDEX([1]Cluster_Master!$A$4:$A$18,MATCH($F518,[1]Cluster_Master!$B$4:$B$18,0)),"OK","CHECK"),"CHECK"))</f>
        <v/>
      </c>
      <c r="H518" s="57" t="str">
        <f>IFERROR(INDEX([1]Cluster_Master!$C$4:$C$18,MATCH($F518,[1]Cluster_Master!$B$4:$B$18,0)),"")</f>
        <v/>
      </c>
      <c r="I518" s="57" t="str">
        <f>IFERROR(INDEX([1]Cluster_Master!$D$4:$D$18,MATCH($F518,[1]Cluster_Master!$B$4:$B$18,0)),"")</f>
        <v/>
      </c>
      <c r="J518" s="57" t="str">
        <f>IFERROR(INDEX([1]Cluster_Master!$E$4:$E$18,MATCH($F518,[1]Cluster_Master!$B$4:$B$18,0)),"")</f>
        <v/>
      </c>
      <c r="K518" s="57" t="str">
        <f>IFERROR(INDEX([1]Cluster_Master!$F$4:$F$18,MATCH($F518,[1]Cluster_Master!$B$4:$B$18,0)),"")</f>
        <v/>
      </c>
      <c r="L518" s="57" t="str">
        <f>IFERROR(INDEX([1]Cluster_Master!$G$4:$G$18,MATCH($F518,[1]Cluster_Master!$B$4:$B$18,0)),"")</f>
        <v/>
      </c>
      <c r="M518" s="57" t="str">
        <f>IFERROR(INDEX([1]Cluster_Master!$H$4:$H$18,MATCH($F518,[1]Cluster_Master!$B$4:$B$18,0)),"")</f>
        <v/>
      </c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 t="str">
        <f>IF(COUNTA(T518:AH518)=0,"",SUM(T518:AH518))</f>
        <v/>
      </c>
      <c r="AJ518" s="57" t="str">
        <f>IF(COUNTA(T518:AH518)=0,"",AI518/75)</f>
        <v/>
      </c>
      <c r="AK518" s="57" t="str">
        <f>IF(COUNTA(T518:AH518)=0,"",(SUM(T518*[1]KPI_Weights!$B$4,U518*[1]KPI_Weights!$B$5,V518*[1]KPI_Weights!$B$6,W518*[1]KPI_Weights!$B$7,X518*[1]KPI_Weights!$B$8,Y518*[1]KPI_Weights!$B$9,Z518*[1]KPI_Weights!$B$10,AA518*[1]KPI_Weights!$B$11,AB518*[1]KPI_Weights!$B$12,AC518*[1]KPI_Weights!$B$13,AD518*[1]KPI_Weights!$B$14,AE518*[1]KPI_Weights!$B$15,AF518*[1]KPI_Weights!$B$16,AG518*[1]KPI_Weights!$B$17,AH518*[1]KPI_Weights!$B$18))/5)</f>
        <v/>
      </c>
      <c r="AL518" s="57" t="str">
        <f>IF(COUNTA(T518:AH518)=0,"",IF(OR(T518&lt;=1,W518&lt;=1,X518&lt;=1,Y518&lt;=1,AB518&lt;=1),"YES","NO"))</f>
        <v/>
      </c>
      <c r="AM518" s="57" t="str">
        <f>IF(AJ518="","",IF(AND(AL518="NO",AJ518&gt;=0.75),"YES","NO"))</f>
        <v/>
      </c>
      <c r="AN518" s="57" t="str">
        <f>IF(AJ518="","",IF(AJ518&lt;0.4,"Critical",IF(AJ518&lt;0.6,"Poor",IF(AJ518&lt;0.75,"Needs Improvement",IF(AJ518&lt;0.9,"Good","Excellent")))))</f>
        <v/>
      </c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</row>
    <row r="519" spans="1:54" ht="15" customHeight="1" x14ac:dyDescent="0.25">
      <c r="A519" s="57" t="str">
        <f>IF($B519="","",TEXT($B519,"yyyymmdd")&amp;"-"&amp;SUBSTITUTE($F519," ","")&amp;"-"&amp;TEXT(COUNTIF($F$4:F519,$F519),"00"))</f>
        <v/>
      </c>
      <c r="B519" s="57"/>
      <c r="C519" s="57" t="str">
        <f>IF($B519="","",WEEKNUM($B519,2))</f>
        <v/>
      </c>
      <c r="D519" s="57" t="str">
        <f>IF($B519="","",TEXT($B519,"yyyy-mm"))</f>
        <v/>
      </c>
      <c r="E519" s="57"/>
      <c r="F519" s="57"/>
      <c r="G519" s="57" t="str">
        <f>IF(OR($E519="",$F519=""),"",IFERROR(IF($E519=INDEX([1]Cluster_Master!$A$4:$A$18,MATCH($F519,[1]Cluster_Master!$B$4:$B$18,0)),"OK","CHECK"),"CHECK"))</f>
        <v/>
      </c>
      <c r="H519" s="57" t="str">
        <f>IFERROR(INDEX([1]Cluster_Master!$C$4:$C$18,MATCH($F519,[1]Cluster_Master!$B$4:$B$18,0)),"")</f>
        <v/>
      </c>
      <c r="I519" s="57" t="str">
        <f>IFERROR(INDEX([1]Cluster_Master!$D$4:$D$18,MATCH($F519,[1]Cluster_Master!$B$4:$B$18,0)),"")</f>
        <v/>
      </c>
      <c r="J519" s="57" t="str">
        <f>IFERROR(INDEX([1]Cluster_Master!$E$4:$E$18,MATCH($F519,[1]Cluster_Master!$B$4:$B$18,0)),"")</f>
        <v/>
      </c>
      <c r="K519" s="57" t="str">
        <f>IFERROR(INDEX([1]Cluster_Master!$F$4:$F$18,MATCH($F519,[1]Cluster_Master!$B$4:$B$18,0)),"")</f>
        <v/>
      </c>
      <c r="L519" s="57" t="str">
        <f>IFERROR(INDEX([1]Cluster_Master!$G$4:$G$18,MATCH($F519,[1]Cluster_Master!$B$4:$B$18,0)),"")</f>
        <v/>
      </c>
      <c r="M519" s="57" t="str">
        <f>IFERROR(INDEX([1]Cluster_Master!$H$4:$H$18,MATCH($F519,[1]Cluster_Master!$B$4:$B$18,0)),"")</f>
        <v/>
      </c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 t="str">
        <f>IF(COUNTA(T519:AH519)=0,"",SUM(T519:AH519))</f>
        <v/>
      </c>
      <c r="AJ519" s="57" t="str">
        <f>IF(COUNTA(T519:AH519)=0,"",AI519/75)</f>
        <v/>
      </c>
      <c r="AK519" s="57" t="str">
        <f>IF(COUNTA(T519:AH519)=0,"",(SUM(T519*[1]KPI_Weights!$B$4,U519*[1]KPI_Weights!$B$5,V519*[1]KPI_Weights!$B$6,W519*[1]KPI_Weights!$B$7,X519*[1]KPI_Weights!$B$8,Y519*[1]KPI_Weights!$B$9,Z519*[1]KPI_Weights!$B$10,AA519*[1]KPI_Weights!$B$11,AB519*[1]KPI_Weights!$B$12,AC519*[1]KPI_Weights!$B$13,AD519*[1]KPI_Weights!$B$14,AE519*[1]KPI_Weights!$B$15,AF519*[1]KPI_Weights!$B$16,AG519*[1]KPI_Weights!$B$17,AH519*[1]KPI_Weights!$B$18))/5)</f>
        <v/>
      </c>
      <c r="AL519" s="57" t="str">
        <f>IF(COUNTA(T519:AH519)=0,"",IF(OR(T519&lt;=1,W519&lt;=1,X519&lt;=1,Y519&lt;=1,AB519&lt;=1),"YES","NO"))</f>
        <v/>
      </c>
      <c r="AM519" s="57" t="str">
        <f>IF(AJ519="","",IF(AND(AL519="NO",AJ519&gt;=0.75),"YES","NO"))</f>
        <v/>
      </c>
      <c r="AN519" s="57" t="str">
        <f>IF(AJ519="","",IF(AJ519&lt;0.4,"Critical",IF(AJ519&lt;0.6,"Poor",IF(AJ519&lt;0.75,"Needs Improvement",IF(AJ519&lt;0.9,"Good","Excellent")))))</f>
        <v/>
      </c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</row>
    <row r="520" spans="1:54" ht="15" customHeight="1" x14ac:dyDescent="0.25">
      <c r="A520" s="57" t="str">
        <f>IF($B520="","",TEXT($B520,"yyyymmdd")&amp;"-"&amp;SUBSTITUTE($F520," ","")&amp;"-"&amp;TEXT(COUNTIF($F$4:F520,$F520),"00"))</f>
        <v/>
      </c>
      <c r="B520" s="57"/>
      <c r="C520" s="57" t="str">
        <f>IF($B520="","",WEEKNUM($B520,2))</f>
        <v/>
      </c>
      <c r="D520" s="57" t="str">
        <f>IF($B520="","",TEXT($B520,"yyyy-mm"))</f>
        <v/>
      </c>
      <c r="E520" s="57"/>
      <c r="F520" s="57"/>
      <c r="G520" s="57" t="str">
        <f>IF(OR($E520="",$F520=""),"",IFERROR(IF($E520=INDEX([1]Cluster_Master!$A$4:$A$18,MATCH($F520,[1]Cluster_Master!$B$4:$B$18,0)),"OK","CHECK"),"CHECK"))</f>
        <v/>
      </c>
      <c r="H520" s="57" t="str">
        <f>IFERROR(INDEX([1]Cluster_Master!$C$4:$C$18,MATCH($F520,[1]Cluster_Master!$B$4:$B$18,0)),"")</f>
        <v/>
      </c>
      <c r="I520" s="57" t="str">
        <f>IFERROR(INDEX([1]Cluster_Master!$D$4:$D$18,MATCH($F520,[1]Cluster_Master!$B$4:$B$18,0)),"")</f>
        <v/>
      </c>
      <c r="J520" s="57" t="str">
        <f>IFERROR(INDEX([1]Cluster_Master!$E$4:$E$18,MATCH($F520,[1]Cluster_Master!$B$4:$B$18,0)),"")</f>
        <v/>
      </c>
      <c r="K520" s="57" t="str">
        <f>IFERROR(INDEX([1]Cluster_Master!$F$4:$F$18,MATCH($F520,[1]Cluster_Master!$B$4:$B$18,0)),"")</f>
        <v/>
      </c>
      <c r="L520" s="57" t="str">
        <f>IFERROR(INDEX([1]Cluster_Master!$G$4:$G$18,MATCH($F520,[1]Cluster_Master!$B$4:$B$18,0)),"")</f>
        <v/>
      </c>
      <c r="M520" s="57" t="str">
        <f>IFERROR(INDEX([1]Cluster_Master!$H$4:$H$18,MATCH($F520,[1]Cluster_Master!$B$4:$B$18,0)),"")</f>
        <v/>
      </c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 t="str">
        <f>IF(COUNTA(T520:AH520)=0,"",SUM(T520:AH520))</f>
        <v/>
      </c>
      <c r="AJ520" s="57" t="str">
        <f>IF(COUNTA(T520:AH520)=0,"",AI520/75)</f>
        <v/>
      </c>
      <c r="AK520" s="57" t="str">
        <f>IF(COUNTA(T520:AH520)=0,"",(SUM(T520*[1]KPI_Weights!$B$4,U520*[1]KPI_Weights!$B$5,V520*[1]KPI_Weights!$B$6,W520*[1]KPI_Weights!$B$7,X520*[1]KPI_Weights!$B$8,Y520*[1]KPI_Weights!$B$9,Z520*[1]KPI_Weights!$B$10,AA520*[1]KPI_Weights!$B$11,AB520*[1]KPI_Weights!$B$12,AC520*[1]KPI_Weights!$B$13,AD520*[1]KPI_Weights!$B$14,AE520*[1]KPI_Weights!$B$15,AF520*[1]KPI_Weights!$B$16,AG520*[1]KPI_Weights!$B$17,AH520*[1]KPI_Weights!$B$18))/5)</f>
        <v/>
      </c>
      <c r="AL520" s="57" t="str">
        <f>IF(COUNTA(T520:AH520)=0,"",IF(OR(T520&lt;=1,W520&lt;=1,X520&lt;=1,Y520&lt;=1,AB520&lt;=1),"YES","NO"))</f>
        <v/>
      </c>
      <c r="AM520" s="57" t="str">
        <f>IF(AJ520="","",IF(AND(AL520="NO",AJ520&gt;=0.75),"YES","NO"))</f>
        <v/>
      </c>
      <c r="AN520" s="57" t="str">
        <f>IF(AJ520="","",IF(AJ520&lt;0.4,"Critical",IF(AJ520&lt;0.6,"Poor",IF(AJ520&lt;0.75,"Needs Improvement",IF(AJ520&lt;0.9,"Good","Excellent")))))</f>
        <v/>
      </c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</row>
    <row r="521" spans="1:54" ht="15" customHeight="1" x14ac:dyDescent="0.25">
      <c r="A521" s="57" t="str">
        <f>IF($B521="","",TEXT($B521,"yyyymmdd")&amp;"-"&amp;SUBSTITUTE($F521," ","")&amp;"-"&amp;TEXT(COUNTIF($F$4:F521,$F521),"00"))</f>
        <v/>
      </c>
      <c r="B521" s="57"/>
      <c r="C521" s="57" t="str">
        <f>IF($B521="","",WEEKNUM($B521,2))</f>
        <v/>
      </c>
      <c r="D521" s="57" t="str">
        <f>IF($B521="","",TEXT($B521,"yyyy-mm"))</f>
        <v/>
      </c>
      <c r="E521" s="57"/>
      <c r="F521" s="57"/>
      <c r="G521" s="57" t="str">
        <f>IF(OR($E521="",$F521=""),"",IFERROR(IF($E521=INDEX([1]Cluster_Master!$A$4:$A$18,MATCH($F521,[1]Cluster_Master!$B$4:$B$18,0)),"OK","CHECK"),"CHECK"))</f>
        <v/>
      </c>
      <c r="H521" s="57" t="str">
        <f>IFERROR(INDEX([1]Cluster_Master!$C$4:$C$18,MATCH($F521,[1]Cluster_Master!$B$4:$B$18,0)),"")</f>
        <v/>
      </c>
      <c r="I521" s="57" t="str">
        <f>IFERROR(INDEX([1]Cluster_Master!$D$4:$D$18,MATCH($F521,[1]Cluster_Master!$B$4:$B$18,0)),"")</f>
        <v/>
      </c>
      <c r="J521" s="57" t="str">
        <f>IFERROR(INDEX([1]Cluster_Master!$E$4:$E$18,MATCH($F521,[1]Cluster_Master!$B$4:$B$18,0)),"")</f>
        <v/>
      </c>
      <c r="K521" s="57" t="str">
        <f>IFERROR(INDEX([1]Cluster_Master!$F$4:$F$18,MATCH($F521,[1]Cluster_Master!$B$4:$B$18,0)),"")</f>
        <v/>
      </c>
      <c r="L521" s="57" t="str">
        <f>IFERROR(INDEX([1]Cluster_Master!$G$4:$G$18,MATCH($F521,[1]Cluster_Master!$B$4:$B$18,0)),"")</f>
        <v/>
      </c>
      <c r="M521" s="57" t="str">
        <f>IFERROR(INDEX([1]Cluster_Master!$H$4:$H$18,MATCH($F521,[1]Cluster_Master!$B$4:$B$18,0)),"")</f>
        <v/>
      </c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 t="str">
        <f>IF(COUNTA(T521:AH521)=0,"",SUM(T521:AH521))</f>
        <v/>
      </c>
      <c r="AJ521" s="57" t="str">
        <f>IF(COUNTA(T521:AH521)=0,"",AI521/75)</f>
        <v/>
      </c>
      <c r="AK521" s="57" t="str">
        <f>IF(COUNTA(T521:AH521)=0,"",(SUM(T521*[1]KPI_Weights!$B$4,U521*[1]KPI_Weights!$B$5,V521*[1]KPI_Weights!$B$6,W521*[1]KPI_Weights!$B$7,X521*[1]KPI_Weights!$B$8,Y521*[1]KPI_Weights!$B$9,Z521*[1]KPI_Weights!$B$10,AA521*[1]KPI_Weights!$B$11,AB521*[1]KPI_Weights!$B$12,AC521*[1]KPI_Weights!$B$13,AD521*[1]KPI_Weights!$B$14,AE521*[1]KPI_Weights!$B$15,AF521*[1]KPI_Weights!$B$16,AG521*[1]KPI_Weights!$B$17,AH521*[1]KPI_Weights!$B$18))/5)</f>
        <v/>
      </c>
      <c r="AL521" s="57" t="str">
        <f>IF(COUNTA(T521:AH521)=0,"",IF(OR(T521&lt;=1,W521&lt;=1,X521&lt;=1,Y521&lt;=1,AB521&lt;=1),"YES","NO"))</f>
        <v/>
      </c>
      <c r="AM521" s="57" t="str">
        <f>IF(AJ521="","",IF(AND(AL521="NO",AJ521&gt;=0.75),"YES","NO"))</f>
        <v/>
      </c>
      <c r="AN521" s="57" t="str">
        <f>IF(AJ521="","",IF(AJ521&lt;0.4,"Critical",IF(AJ521&lt;0.6,"Poor",IF(AJ521&lt;0.75,"Needs Improvement",IF(AJ521&lt;0.9,"Good","Excellent")))))</f>
        <v/>
      </c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</row>
    <row r="522" spans="1:54" ht="15" customHeight="1" x14ac:dyDescent="0.25">
      <c r="A522" s="57" t="str">
        <f>IF($B522="","",TEXT($B522,"yyyymmdd")&amp;"-"&amp;SUBSTITUTE($F522," ","")&amp;"-"&amp;TEXT(COUNTIF($F$4:F522,$F522),"00"))</f>
        <v/>
      </c>
      <c r="B522" s="57"/>
      <c r="C522" s="57" t="str">
        <f>IF($B522="","",WEEKNUM($B522,2))</f>
        <v/>
      </c>
      <c r="D522" s="57" t="str">
        <f>IF($B522="","",TEXT($B522,"yyyy-mm"))</f>
        <v/>
      </c>
      <c r="E522" s="57"/>
      <c r="F522" s="57"/>
      <c r="G522" s="57" t="str">
        <f>IF(OR($E522="",$F522=""),"",IFERROR(IF($E522=INDEX([1]Cluster_Master!$A$4:$A$18,MATCH($F522,[1]Cluster_Master!$B$4:$B$18,0)),"OK","CHECK"),"CHECK"))</f>
        <v/>
      </c>
      <c r="H522" s="57" t="str">
        <f>IFERROR(INDEX([1]Cluster_Master!$C$4:$C$18,MATCH($F522,[1]Cluster_Master!$B$4:$B$18,0)),"")</f>
        <v/>
      </c>
      <c r="I522" s="57" t="str">
        <f>IFERROR(INDEX([1]Cluster_Master!$D$4:$D$18,MATCH($F522,[1]Cluster_Master!$B$4:$B$18,0)),"")</f>
        <v/>
      </c>
      <c r="J522" s="57" t="str">
        <f>IFERROR(INDEX([1]Cluster_Master!$E$4:$E$18,MATCH($F522,[1]Cluster_Master!$B$4:$B$18,0)),"")</f>
        <v/>
      </c>
      <c r="K522" s="57" t="str">
        <f>IFERROR(INDEX([1]Cluster_Master!$F$4:$F$18,MATCH($F522,[1]Cluster_Master!$B$4:$B$18,0)),"")</f>
        <v/>
      </c>
      <c r="L522" s="57" t="str">
        <f>IFERROR(INDEX([1]Cluster_Master!$G$4:$G$18,MATCH($F522,[1]Cluster_Master!$B$4:$B$18,0)),"")</f>
        <v/>
      </c>
      <c r="M522" s="57" t="str">
        <f>IFERROR(INDEX([1]Cluster_Master!$H$4:$H$18,MATCH($F522,[1]Cluster_Master!$B$4:$B$18,0)),"")</f>
        <v/>
      </c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 t="str">
        <f>IF(COUNTA(T522:AH522)=0,"",SUM(T522:AH522))</f>
        <v/>
      </c>
      <c r="AJ522" s="57" t="str">
        <f>IF(COUNTA(T522:AH522)=0,"",AI522/75)</f>
        <v/>
      </c>
      <c r="AK522" s="57" t="str">
        <f>IF(COUNTA(T522:AH522)=0,"",(SUM(T522*[1]KPI_Weights!$B$4,U522*[1]KPI_Weights!$B$5,V522*[1]KPI_Weights!$B$6,W522*[1]KPI_Weights!$B$7,X522*[1]KPI_Weights!$B$8,Y522*[1]KPI_Weights!$B$9,Z522*[1]KPI_Weights!$B$10,AA522*[1]KPI_Weights!$B$11,AB522*[1]KPI_Weights!$B$12,AC522*[1]KPI_Weights!$B$13,AD522*[1]KPI_Weights!$B$14,AE522*[1]KPI_Weights!$B$15,AF522*[1]KPI_Weights!$B$16,AG522*[1]KPI_Weights!$B$17,AH522*[1]KPI_Weights!$B$18))/5)</f>
        <v/>
      </c>
      <c r="AL522" s="57" t="str">
        <f>IF(COUNTA(T522:AH522)=0,"",IF(OR(T522&lt;=1,W522&lt;=1,X522&lt;=1,Y522&lt;=1,AB522&lt;=1),"YES","NO"))</f>
        <v/>
      </c>
      <c r="AM522" s="57" t="str">
        <f>IF(AJ522="","",IF(AND(AL522="NO",AJ522&gt;=0.75),"YES","NO"))</f>
        <v/>
      </c>
      <c r="AN522" s="57" t="str">
        <f>IF(AJ522="","",IF(AJ522&lt;0.4,"Critical",IF(AJ522&lt;0.6,"Poor",IF(AJ522&lt;0.75,"Needs Improvement",IF(AJ522&lt;0.9,"Good","Excellent")))))</f>
        <v/>
      </c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</row>
    <row r="523" spans="1:54" ht="15" customHeight="1" x14ac:dyDescent="0.25">
      <c r="A523" s="57" t="str">
        <f>IF($B523="","",TEXT($B523,"yyyymmdd")&amp;"-"&amp;SUBSTITUTE($F523," ","")&amp;"-"&amp;TEXT(COUNTIF($F$4:F523,$F523),"00"))</f>
        <v/>
      </c>
      <c r="B523" s="57"/>
      <c r="C523" s="57" t="str">
        <f>IF($B523="","",WEEKNUM($B523,2))</f>
        <v/>
      </c>
      <c r="D523" s="57" t="str">
        <f>IF($B523="","",TEXT($B523,"yyyy-mm"))</f>
        <v/>
      </c>
      <c r="E523" s="57"/>
      <c r="F523" s="57"/>
      <c r="G523" s="57" t="str">
        <f>IF(OR($E523="",$F523=""),"",IFERROR(IF($E523=INDEX([1]Cluster_Master!$A$4:$A$18,MATCH($F523,[1]Cluster_Master!$B$4:$B$18,0)),"OK","CHECK"),"CHECK"))</f>
        <v/>
      </c>
      <c r="H523" s="57" t="str">
        <f>IFERROR(INDEX([1]Cluster_Master!$C$4:$C$18,MATCH($F523,[1]Cluster_Master!$B$4:$B$18,0)),"")</f>
        <v/>
      </c>
      <c r="I523" s="57" t="str">
        <f>IFERROR(INDEX([1]Cluster_Master!$D$4:$D$18,MATCH($F523,[1]Cluster_Master!$B$4:$B$18,0)),"")</f>
        <v/>
      </c>
      <c r="J523" s="57" t="str">
        <f>IFERROR(INDEX([1]Cluster_Master!$E$4:$E$18,MATCH($F523,[1]Cluster_Master!$B$4:$B$18,0)),"")</f>
        <v/>
      </c>
      <c r="K523" s="57" t="str">
        <f>IFERROR(INDEX([1]Cluster_Master!$F$4:$F$18,MATCH($F523,[1]Cluster_Master!$B$4:$B$18,0)),"")</f>
        <v/>
      </c>
      <c r="L523" s="57" t="str">
        <f>IFERROR(INDEX([1]Cluster_Master!$G$4:$G$18,MATCH($F523,[1]Cluster_Master!$B$4:$B$18,0)),"")</f>
        <v/>
      </c>
      <c r="M523" s="57" t="str">
        <f>IFERROR(INDEX([1]Cluster_Master!$H$4:$H$18,MATCH($F523,[1]Cluster_Master!$B$4:$B$18,0)),"")</f>
        <v/>
      </c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 t="str">
        <f>IF(COUNTA(T523:AH523)=0,"",SUM(T523:AH523))</f>
        <v/>
      </c>
      <c r="AJ523" s="57" t="str">
        <f>IF(COUNTA(T523:AH523)=0,"",AI523/75)</f>
        <v/>
      </c>
      <c r="AK523" s="57" t="str">
        <f>IF(COUNTA(T523:AH523)=0,"",(SUM(T523*[1]KPI_Weights!$B$4,U523*[1]KPI_Weights!$B$5,V523*[1]KPI_Weights!$B$6,W523*[1]KPI_Weights!$B$7,X523*[1]KPI_Weights!$B$8,Y523*[1]KPI_Weights!$B$9,Z523*[1]KPI_Weights!$B$10,AA523*[1]KPI_Weights!$B$11,AB523*[1]KPI_Weights!$B$12,AC523*[1]KPI_Weights!$B$13,AD523*[1]KPI_Weights!$B$14,AE523*[1]KPI_Weights!$B$15,AF523*[1]KPI_Weights!$B$16,AG523*[1]KPI_Weights!$B$17,AH523*[1]KPI_Weights!$B$18))/5)</f>
        <v/>
      </c>
      <c r="AL523" s="57" t="str">
        <f>IF(COUNTA(T523:AH523)=0,"",IF(OR(T523&lt;=1,W523&lt;=1,X523&lt;=1,Y523&lt;=1,AB523&lt;=1),"YES","NO"))</f>
        <v/>
      </c>
      <c r="AM523" s="57" t="str">
        <f>IF(AJ523="","",IF(AND(AL523="NO",AJ523&gt;=0.75),"YES","NO"))</f>
        <v/>
      </c>
      <c r="AN523" s="57" t="str">
        <f>IF(AJ523="","",IF(AJ523&lt;0.4,"Critical",IF(AJ523&lt;0.6,"Poor",IF(AJ523&lt;0.75,"Needs Improvement",IF(AJ523&lt;0.9,"Good","Excellent")))))</f>
        <v/>
      </c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</row>
    <row r="524" spans="1:54" ht="15" customHeight="1" x14ac:dyDescent="0.25">
      <c r="A524" s="57" t="str">
        <f>IF($B524="","",TEXT($B524,"yyyymmdd")&amp;"-"&amp;SUBSTITUTE($F524," ","")&amp;"-"&amp;TEXT(COUNTIF($F$4:F524,$F524),"00"))</f>
        <v/>
      </c>
      <c r="B524" s="57"/>
      <c r="C524" s="57" t="str">
        <f>IF($B524="","",WEEKNUM($B524,2))</f>
        <v/>
      </c>
      <c r="D524" s="57" t="str">
        <f>IF($B524="","",TEXT($B524,"yyyy-mm"))</f>
        <v/>
      </c>
      <c r="E524" s="57"/>
      <c r="F524" s="57"/>
      <c r="G524" s="57" t="str">
        <f>IF(OR($E524="",$F524=""),"",IFERROR(IF($E524=INDEX([1]Cluster_Master!$A$4:$A$18,MATCH($F524,[1]Cluster_Master!$B$4:$B$18,0)),"OK","CHECK"),"CHECK"))</f>
        <v/>
      </c>
      <c r="H524" s="57" t="str">
        <f>IFERROR(INDEX([1]Cluster_Master!$C$4:$C$18,MATCH($F524,[1]Cluster_Master!$B$4:$B$18,0)),"")</f>
        <v/>
      </c>
      <c r="I524" s="57" t="str">
        <f>IFERROR(INDEX([1]Cluster_Master!$D$4:$D$18,MATCH($F524,[1]Cluster_Master!$B$4:$B$18,0)),"")</f>
        <v/>
      </c>
      <c r="J524" s="57" t="str">
        <f>IFERROR(INDEX([1]Cluster_Master!$E$4:$E$18,MATCH($F524,[1]Cluster_Master!$B$4:$B$18,0)),"")</f>
        <v/>
      </c>
      <c r="K524" s="57" t="str">
        <f>IFERROR(INDEX([1]Cluster_Master!$F$4:$F$18,MATCH($F524,[1]Cluster_Master!$B$4:$B$18,0)),"")</f>
        <v/>
      </c>
      <c r="L524" s="57" t="str">
        <f>IFERROR(INDEX([1]Cluster_Master!$G$4:$G$18,MATCH($F524,[1]Cluster_Master!$B$4:$B$18,0)),"")</f>
        <v/>
      </c>
      <c r="M524" s="57" t="str">
        <f>IFERROR(INDEX([1]Cluster_Master!$H$4:$H$18,MATCH($F524,[1]Cluster_Master!$B$4:$B$18,0)),"")</f>
        <v/>
      </c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 t="str">
        <f>IF(COUNTA(T524:AH524)=0,"",SUM(T524:AH524))</f>
        <v/>
      </c>
      <c r="AJ524" s="57" t="str">
        <f>IF(COUNTA(T524:AH524)=0,"",AI524/75)</f>
        <v/>
      </c>
      <c r="AK524" s="57" t="str">
        <f>IF(COUNTA(T524:AH524)=0,"",(SUM(T524*[1]KPI_Weights!$B$4,U524*[1]KPI_Weights!$B$5,V524*[1]KPI_Weights!$B$6,W524*[1]KPI_Weights!$B$7,X524*[1]KPI_Weights!$B$8,Y524*[1]KPI_Weights!$B$9,Z524*[1]KPI_Weights!$B$10,AA524*[1]KPI_Weights!$B$11,AB524*[1]KPI_Weights!$B$12,AC524*[1]KPI_Weights!$B$13,AD524*[1]KPI_Weights!$B$14,AE524*[1]KPI_Weights!$B$15,AF524*[1]KPI_Weights!$B$16,AG524*[1]KPI_Weights!$B$17,AH524*[1]KPI_Weights!$B$18))/5)</f>
        <v/>
      </c>
      <c r="AL524" s="57" t="str">
        <f>IF(COUNTA(T524:AH524)=0,"",IF(OR(T524&lt;=1,W524&lt;=1,X524&lt;=1,Y524&lt;=1,AB524&lt;=1),"YES","NO"))</f>
        <v/>
      </c>
      <c r="AM524" s="57" t="str">
        <f>IF(AJ524="","",IF(AND(AL524="NO",AJ524&gt;=0.75),"YES","NO"))</f>
        <v/>
      </c>
      <c r="AN524" s="57" t="str">
        <f>IF(AJ524="","",IF(AJ524&lt;0.4,"Critical",IF(AJ524&lt;0.6,"Poor",IF(AJ524&lt;0.75,"Needs Improvement",IF(AJ524&lt;0.9,"Good","Excellent")))))</f>
        <v/>
      </c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</row>
    <row r="525" spans="1:54" ht="15" customHeight="1" x14ac:dyDescent="0.25">
      <c r="A525" s="57" t="str">
        <f>IF($B525="","",TEXT($B525,"yyyymmdd")&amp;"-"&amp;SUBSTITUTE($F525," ","")&amp;"-"&amp;TEXT(COUNTIF($F$4:F525,$F525),"00"))</f>
        <v/>
      </c>
      <c r="B525" s="57"/>
      <c r="C525" s="57" t="str">
        <f>IF($B525="","",WEEKNUM($B525,2))</f>
        <v/>
      </c>
      <c r="D525" s="57" t="str">
        <f>IF($B525="","",TEXT($B525,"yyyy-mm"))</f>
        <v/>
      </c>
      <c r="E525" s="57"/>
      <c r="F525" s="57"/>
      <c r="G525" s="57" t="str">
        <f>IF(OR($E525="",$F525=""),"",IFERROR(IF($E525=INDEX([1]Cluster_Master!$A$4:$A$18,MATCH($F525,[1]Cluster_Master!$B$4:$B$18,0)),"OK","CHECK"),"CHECK"))</f>
        <v/>
      </c>
      <c r="H525" s="57" t="str">
        <f>IFERROR(INDEX([1]Cluster_Master!$C$4:$C$18,MATCH($F525,[1]Cluster_Master!$B$4:$B$18,0)),"")</f>
        <v/>
      </c>
      <c r="I525" s="57" t="str">
        <f>IFERROR(INDEX([1]Cluster_Master!$D$4:$D$18,MATCH($F525,[1]Cluster_Master!$B$4:$B$18,0)),"")</f>
        <v/>
      </c>
      <c r="J525" s="57" t="str">
        <f>IFERROR(INDEX([1]Cluster_Master!$E$4:$E$18,MATCH($F525,[1]Cluster_Master!$B$4:$B$18,0)),"")</f>
        <v/>
      </c>
      <c r="K525" s="57" t="str">
        <f>IFERROR(INDEX([1]Cluster_Master!$F$4:$F$18,MATCH($F525,[1]Cluster_Master!$B$4:$B$18,0)),"")</f>
        <v/>
      </c>
      <c r="L525" s="57" t="str">
        <f>IFERROR(INDEX([1]Cluster_Master!$G$4:$G$18,MATCH($F525,[1]Cluster_Master!$B$4:$B$18,0)),"")</f>
        <v/>
      </c>
      <c r="M525" s="57" t="str">
        <f>IFERROR(INDEX([1]Cluster_Master!$H$4:$H$18,MATCH($F525,[1]Cluster_Master!$B$4:$B$18,0)),"")</f>
        <v/>
      </c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 t="str">
        <f>IF(COUNTA(T525:AH525)=0,"",SUM(T525:AH525))</f>
        <v/>
      </c>
      <c r="AJ525" s="57" t="str">
        <f>IF(COUNTA(T525:AH525)=0,"",AI525/75)</f>
        <v/>
      </c>
      <c r="AK525" s="57" t="str">
        <f>IF(COUNTA(T525:AH525)=0,"",(SUM(T525*[1]KPI_Weights!$B$4,U525*[1]KPI_Weights!$B$5,V525*[1]KPI_Weights!$B$6,W525*[1]KPI_Weights!$B$7,X525*[1]KPI_Weights!$B$8,Y525*[1]KPI_Weights!$B$9,Z525*[1]KPI_Weights!$B$10,AA525*[1]KPI_Weights!$B$11,AB525*[1]KPI_Weights!$B$12,AC525*[1]KPI_Weights!$B$13,AD525*[1]KPI_Weights!$B$14,AE525*[1]KPI_Weights!$B$15,AF525*[1]KPI_Weights!$B$16,AG525*[1]KPI_Weights!$B$17,AH525*[1]KPI_Weights!$B$18))/5)</f>
        <v/>
      </c>
      <c r="AL525" s="57" t="str">
        <f>IF(COUNTA(T525:AH525)=0,"",IF(OR(T525&lt;=1,W525&lt;=1,X525&lt;=1,Y525&lt;=1,AB525&lt;=1),"YES","NO"))</f>
        <v/>
      </c>
      <c r="AM525" s="57" t="str">
        <f>IF(AJ525="","",IF(AND(AL525="NO",AJ525&gt;=0.75),"YES","NO"))</f>
        <v/>
      </c>
      <c r="AN525" s="57" t="str">
        <f>IF(AJ525="","",IF(AJ525&lt;0.4,"Critical",IF(AJ525&lt;0.6,"Poor",IF(AJ525&lt;0.75,"Needs Improvement",IF(AJ525&lt;0.9,"Good","Excellent")))))</f>
        <v/>
      </c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</row>
    <row r="526" spans="1:54" ht="15" customHeight="1" x14ac:dyDescent="0.25">
      <c r="A526" s="57" t="str">
        <f>IF($B526="","",TEXT($B526,"yyyymmdd")&amp;"-"&amp;SUBSTITUTE($F526," ","")&amp;"-"&amp;TEXT(COUNTIF($F$4:F526,$F526),"00"))</f>
        <v/>
      </c>
      <c r="B526" s="57"/>
      <c r="C526" s="57" t="str">
        <f>IF($B526="","",WEEKNUM($B526,2))</f>
        <v/>
      </c>
      <c r="D526" s="57" t="str">
        <f>IF($B526="","",TEXT($B526,"yyyy-mm"))</f>
        <v/>
      </c>
      <c r="E526" s="57"/>
      <c r="F526" s="57"/>
      <c r="G526" s="57" t="str">
        <f>IF(OR($E526="",$F526=""),"",IFERROR(IF($E526=INDEX([1]Cluster_Master!$A$4:$A$18,MATCH($F526,[1]Cluster_Master!$B$4:$B$18,0)),"OK","CHECK"),"CHECK"))</f>
        <v/>
      </c>
      <c r="H526" s="57" t="str">
        <f>IFERROR(INDEX([1]Cluster_Master!$C$4:$C$18,MATCH($F526,[1]Cluster_Master!$B$4:$B$18,0)),"")</f>
        <v/>
      </c>
      <c r="I526" s="57" t="str">
        <f>IFERROR(INDEX([1]Cluster_Master!$D$4:$D$18,MATCH($F526,[1]Cluster_Master!$B$4:$B$18,0)),"")</f>
        <v/>
      </c>
      <c r="J526" s="57" t="str">
        <f>IFERROR(INDEX([1]Cluster_Master!$E$4:$E$18,MATCH($F526,[1]Cluster_Master!$B$4:$B$18,0)),"")</f>
        <v/>
      </c>
      <c r="K526" s="57" t="str">
        <f>IFERROR(INDEX([1]Cluster_Master!$F$4:$F$18,MATCH($F526,[1]Cluster_Master!$B$4:$B$18,0)),"")</f>
        <v/>
      </c>
      <c r="L526" s="57" t="str">
        <f>IFERROR(INDEX([1]Cluster_Master!$G$4:$G$18,MATCH($F526,[1]Cluster_Master!$B$4:$B$18,0)),"")</f>
        <v/>
      </c>
      <c r="M526" s="57" t="str">
        <f>IFERROR(INDEX([1]Cluster_Master!$H$4:$H$18,MATCH($F526,[1]Cluster_Master!$B$4:$B$18,0)),"")</f>
        <v/>
      </c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 t="str">
        <f>IF(COUNTA(T526:AH526)=0,"",SUM(T526:AH526))</f>
        <v/>
      </c>
      <c r="AJ526" s="57" t="str">
        <f>IF(COUNTA(T526:AH526)=0,"",AI526/75)</f>
        <v/>
      </c>
      <c r="AK526" s="57" t="str">
        <f>IF(COUNTA(T526:AH526)=0,"",(SUM(T526*[1]KPI_Weights!$B$4,U526*[1]KPI_Weights!$B$5,V526*[1]KPI_Weights!$B$6,W526*[1]KPI_Weights!$B$7,X526*[1]KPI_Weights!$B$8,Y526*[1]KPI_Weights!$B$9,Z526*[1]KPI_Weights!$B$10,AA526*[1]KPI_Weights!$B$11,AB526*[1]KPI_Weights!$B$12,AC526*[1]KPI_Weights!$B$13,AD526*[1]KPI_Weights!$B$14,AE526*[1]KPI_Weights!$B$15,AF526*[1]KPI_Weights!$B$16,AG526*[1]KPI_Weights!$B$17,AH526*[1]KPI_Weights!$B$18))/5)</f>
        <v/>
      </c>
      <c r="AL526" s="57" t="str">
        <f>IF(COUNTA(T526:AH526)=0,"",IF(OR(T526&lt;=1,W526&lt;=1,X526&lt;=1,Y526&lt;=1,AB526&lt;=1),"YES","NO"))</f>
        <v/>
      </c>
      <c r="AM526" s="57" t="str">
        <f>IF(AJ526="","",IF(AND(AL526="NO",AJ526&gt;=0.75),"YES","NO"))</f>
        <v/>
      </c>
      <c r="AN526" s="57" t="str">
        <f>IF(AJ526="","",IF(AJ526&lt;0.4,"Critical",IF(AJ526&lt;0.6,"Poor",IF(AJ526&lt;0.75,"Needs Improvement",IF(AJ526&lt;0.9,"Good","Excellent")))))</f>
        <v/>
      </c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</row>
    <row r="527" spans="1:54" ht="15" customHeight="1" x14ac:dyDescent="0.25">
      <c r="A527" s="57" t="str">
        <f>IF($B527="","",TEXT($B527,"yyyymmdd")&amp;"-"&amp;SUBSTITUTE($F527," ","")&amp;"-"&amp;TEXT(COUNTIF($F$4:F527,$F527),"00"))</f>
        <v/>
      </c>
      <c r="B527" s="57"/>
      <c r="C527" s="57" t="str">
        <f>IF($B527="","",WEEKNUM($B527,2))</f>
        <v/>
      </c>
      <c r="D527" s="57" t="str">
        <f>IF($B527="","",TEXT($B527,"yyyy-mm"))</f>
        <v/>
      </c>
      <c r="E527" s="57"/>
      <c r="F527" s="57"/>
      <c r="G527" s="57" t="str">
        <f>IF(OR($E527="",$F527=""),"",IFERROR(IF($E527=INDEX([1]Cluster_Master!$A$4:$A$18,MATCH($F527,[1]Cluster_Master!$B$4:$B$18,0)),"OK","CHECK"),"CHECK"))</f>
        <v/>
      </c>
      <c r="H527" s="57" t="str">
        <f>IFERROR(INDEX([1]Cluster_Master!$C$4:$C$18,MATCH($F527,[1]Cluster_Master!$B$4:$B$18,0)),"")</f>
        <v/>
      </c>
      <c r="I527" s="57" t="str">
        <f>IFERROR(INDEX([1]Cluster_Master!$D$4:$D$18,MATCH($F527,[1]Cluster_Master!$B$4:$B$18,0)),"")</f>
        <v/>
      </c>
      <c r="J527" s="57" t="str">
        <f>IFERROR(INDEX([1]Cluster_Master!$E$4:$E$18,MATCH($F527,[1]Cluster_Master!$B$4:$B$18,0)),"")</f>
        <v/>
      </c>
      <c r="K527" s="57" t="str">
        <f>IFERROR(INDEX([1]Cluster_Master!$F$4:$F$18,MATCH($F527,[1]Cluster_Master!$B$4:$B$18,0)),"")</f>
        <v/>
      </c>
      <c r="L527" s="57" t="str">
        <f>IFERROR(INDEX([1]Cluster_Master!$G$4:$G$18,MATCH($F527,[1]Cluster_Master!$B$4:$B$18,0)),"")</f>
        <v/>
      </c>
      <c r="M527" s="57" t="str">
        <f>IFERROR(INDEX([1]Cluster_Master!$H$4:$H$18,MATCH($F527,[1]Cluster_Master!$B$4:$B$18,0)),"")</f>
        <v/>
      </c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 t="str">
        <f>IF(COUNTA(T527:AH527)=0,"",SUM(T527:AH527))</f>
        <v/>
      </c>
      <c r="AJ527" s="57" t="str">
        <f>IF(COUNTA(T527:AH527)=0,"",AI527/75)</f>
        <v/>
      </c>
      <c r="AK527" s="57" t="str">
        <f>IF(COUNTA(T527:AH527)=0,"",(SUM(T527*[1]KPI_Weights!$B$4,U527*[1]KPI_Weights!$B$5,V527*[1]KPI_Weights!$B$6,W527*[1]KPI_Weights!$B$7,X527*[1]KPI_Weights!$B$8,Y527*[1]KPI_Weights!$B$9,Z527*[1]KPI_Weights!$B$10,AA527*[1]KPI_Weights!$B$11,AB527*[1]KPI_Weights!$B$12,AC527*[1]KPI_Weights!$B$13,AD527*[1]KPI_Weights!$B$14,AE527*[1]KPI_Weights!$B$15,AF527*[1]KPI_Weights!$B$16,AG527*[1]KPI_Weights!$B$17,AH527*[1]KPI_Weights!$B$18))/5)</f>
        <v/>
      </c>
      <c r="AL527" s="57" t="str">
        <f>IF(COUNTA(T527:AH527)=0,"",IF(OR(T527&lt;=1,W527&lt;=1,X527&lt;=1,Y527&lt;=1,AB527&lt;=1),"YES","NO"))</f>
        <v/>
      </c>
      <c r="AM527" s="57" t="str">
        <f>IF(AJ527="","",IF(AND(AL527="NO",AJ527&gt;=0.75),"YES","NO"))</f>
        <v/>
      </c>
      <c r="AN527" s="57" t="str">
        <f>IF(AJ527="","",IF(AJ527&lt;0.4,"Critical",IF(AJ527&lt;0.6,"Poor",IF(AJ527&lt;0.75,"Needs Improvement",IF(AJ527&lt;0.9,"Good","Excellent")))))</f>
        <v/>
      </c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</row>
    <row r="528" spans="1:54" ht="15" customHeight="1" x14ac:dyDescent="0.25">
      <c r="A528" s="57" t="str">
        <f>IF($B528="","",TEXT($B528,"yyyymmdd")&amp;"-"&amp;SUBSTITUTE($F528," ","")&amp;"-"&amp;TEXT(COUNTIF($F$4:F528,$F528),"00"))</f>
        <v/>
      </c>
      <c r="B528" s="57"/>
      <c r="C528" s="57" t="str">
        <f>IF($B528="","",WEEKNUM($B528,2))</f>
        <v/>
      </c>
      <c r="D528" s="57" t="str">
        <f>IF($B528="","",TEXT($B528,"yyyy-mm"))</f>
        <v/>
      </c>
      <c r="E528" s="57"/>
      <c r="F528" s="57"/>
      <c r="G528" s="57" t="str">
        <f>IF(OR($E528="",$F528=""),"",IFERROR(IF($E528=INDEX([1]Cluster_Master!$A$4:$A$18,MATCH($F528,[1]Cluster_Master!$B$4:$B$18,0)),"OK","CHECK"),"CHECK"))</f>
        <v/>
      </c>
      <c r="H528" s="57" t="str">
        <f>IFERROR(INDEX([1]Cluster_Master!$C$4:$C$18,MATCH($F528,[1]Cluster_Master!$B$4:$B$18,0)),"")</f>
        <v/>
      </c>
      <c r="I528" s="57" t="str">
        <f>IFERROR(INDEX([1]Cluster_Master!$D$4:$D$18,MATCH($F528,[1]Cluster_Master!$B$4:$B$18,0)),"")</f>
        <v/>
      </c>
      <c r="J528" s="57" t="str">
        <f>IFERROR(INDEX([1]Cluster_Master!$E$4:$E$18,MATCH($F528,[1]Cluster_Master!$B$4:$B$18,0)),"")</f>
        <v/>
      </c>
      <c r="K528" s="57" t="str">
        <f>IFERROR(INDEX([1]Cluster_Master!$F$4:$F$18,MATCH($F528,[1]Cluster_Master!$B$4:$B$18,0)),"")</f>
        <v/>
      </c>
      <c r="L528" s="57" t="str">
        <f>IFERROR(INDEX([1]Cluster_Master!$G$4:$G$18,MATCH($F528,[1]Cluster_Master!$B$4:$B$18,0)),"")</f>
        <v/>
      </c>
      <c r="M528" s="57" t="str">
        <f>IFERROR(INDEX([1]Cluster_Master!$H$4:$H$18,MATCH($F528,[1]Cluster_Master!$B$4:$B$18,0)),"")</f>
        <v/>
      </c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 t="str">
        <f>IF(COUNTA(T528:AH528)=0,"",SUM(T528:AH528))</f>
        <v/>
      </c>
      <c r="AJ528" s="57" t="str">
        <f>IF(COUNTA(T528:AH528)=0,"",AI528/75)</f>
        <v/>
      </c>
      <c r="AK528" s="57" t="str">
        <f>IF(COUNTA(T528:AH528)=0,"",(SUM(T528*[1]KPI_Weights!$B$4,U528*[1]KPI_Weights!$B$5,V528*[1]KPI_Weights!$B$6,W528*[1]KPI_Weights!$B$7,X528*[1]KPI_Weights!$B$8,Y528*[1]KPI_Weights!$B$9,Z528*[1]KPI_Weights!$B$10,AA528*[1]KPI_Weights!$B$11,AB528*[1]KPI_Weights!$B$12,AC528*[1]KPI_Weights!$B$13,AD528*[1]KPI_Weights!$B$14,AE528*[1]KPI_Weights!$B$15,AF528*[1]KPI_Weights!$B$16,AG528*[1]KPI_Weights!$B$17,AH528*[1]KPI_Weights!$B$18))/5)</f>
        <v/>
      </c>
      <c r="AL528" s="57" t="str">
        <f>IF(COUNTA(T528:AH528)=0,"",IF(OR(T528&lt;=1,W528&lt;=1,X528&lt;=1,Y528&lt;=1,AB528&lt;=1),"YES","NO"))</f>
        <v/>
      </c>
      <c r="AM528" s="57" t="str">
        <f>IF(AJ528="","",IF(AND(AL528="NO",AJ528&gt;=0.75),"YES","NO"))</f>
        <v/>
      </c>
      <c r="AN528" s="57" t="str">
        <f>IF(AJ528="","",IF(AJ528&lt;0.4,"Critical",IF(AJ528&lt;0.6,"Poor",IF(AJ528&lt;0.75,"Needs Improvement",IF(AJ528&lt;0.9,"Good","Excellent")))))</f>
        <v/>
      </c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</row>
    <row r="529" spans="1:54" ht="15" customHeight="1" x14ac:dyDescent="0.25">
      <c r="A529" s="57" t="str">
        <f>IF($B529="","",TEXT($B529,"yyyymmdd")&amp;"-"&amp;SUBSTITUTE($F529," ","")&amp;"-"&amp;TEXT(COUNTIF($F$4:F529,$F529),"00"))</f>
        <v/>
      </c>
      <c r="B529" s="57"/>
      <c r="C529" s="57" t="str">
        <f>IF($B529="","",WEEKNUM($B529,2))</f>
        <v/>
      </c>
      <c r="D529" s="57" t="str">
        <f>IF($B529="","",TEXT($B529,"yyyy-mm"))</f>
        <v/>
      </c>
      <c r="E529" s="57"/>
      <c r="F529" s="57"/>
      <c r="G529" s="57" t="str">
        <f>IF(OR($E529="",$F529=""),"",IFERROR(IF($E529=INDEX([1]Cluster_Master!$A$4:$A$18,MATCH($F529,[1]Cluster_Master!$B$4:$B$18,0)),"OK","CHECK"),"CHECK"))</f>
        <v/>
      </c>
      <c r="H529" s="57" t="str">
        <f>IFERROR(INDEX([1]Cluster_Master!$C$4:$C$18,MATCH($F529,[1]Cluster_Master!$B$4:$B$18,0)),"")</f>
        <v/>
      </c>
      <c r="I529" s="57" t="str">
        <f>IFERROR(INDEX([1]Cluster_Master!$D$4:$D$18,MATCH($F529,[1]Cluster_Master!$B$4:$B$18,0)),"")</f>
        <v/>
      </c>
      <c r="J529" s="57" t="str">
        <f>IFERROR(INDEX([1]Cluster_Master!$E$4:$E$18,MATCH($F529,[1]Cluster_Master!$B$4:$B$18,0)),"")</f>
        <v/>
      </c>
      <c r="K529" s="57" t="str">
        <f>IFERROR(INDEX([1]Cluster_Master!$F$4:$F$18,MATCH($F529,[1]Cluster_Master!$B$4:$B$18,0)),"")</f>
        <v/>
      </c>
      <c r="L529" s="57" t="str">
        <f>IFERROR(INDEX([1]Cluster_Master!$G$4:$G$18,MATCH($F529,[1]Cluster_Master!$B$4:$B$18,0)),"")</f>
        <v/>
      </c>
      <c r="M529" s="57" t="str">
        <f>IFERROR(INDEX([1]Cluster_Master!$H$4:$H$18,MATCH($F529,[1]Cluster_Master!$B$4:$B$18,0)),"")</f>
        <v/>
      </c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 t="str">
        <f>IF(COUNTA(T529:AH529)=0,"",SUM(T529:AH529))</f>
        <v/>
      </c>
      <c r="AJ529" s="57" t="str">
        <f>IF(COUNTA(T529:AH529)=0,"",AI529/75)</f>
        <v/>
      </c>
      <c r="AK529" s="57" t="str">
        <f>IF(COUNTA(T529:AH529)=0,"",(SUM(T529*[1]KPI_Weights!$B$4,U529*[1]KPI_Weights!$B$5,V529*[1]KPI_Weights!$B$6,W529*[1]KPI_Weights!$B$7,X529*[1]KPI_Weights!$B$8,Y529*[1]KPI_Weights!$B$9,Z529*[1]KPI_Weights!$B$10,AA529*[1]KPI_Weights!$B$11,AB529*[1]KPI_Weights!$B$12,AC529*[1]KPI_Weights!$B$13,AD529*[1]KPI_Weights!$B$14,AE529*[1]KPI_Weights!$B$15,AF529*[1]KPI_Weights!$B$16,AG529*[1]KPI_Weights!$B$17,AH529*[1]KPI_Weights!$B$18))/5)</f>
        <v/>
      </c>
      <c r="AL529" s="57" t="str">
        <f>IF(COUNTA(T529:AH529)=0,"",IF(OR(T529&lt;=1,W529&lt;=1,X529&lt;=1,Y529&lt;=1,AB529&lt;=1),"YES","NO"))</f>
        <v/>
      </c>
      <c r="AM529" s="57" t="str">
        <f>IF(AJ529="","",IF(AND(AL529="NO",AJ529&gt;=0.75),"YES","NO"))</f>
        <v/>
      </c>
      <c r="AN529" s="57" t="str">
        <f>IF(AJ529="","",IF(AJ529&lt;0.4,"Critical",IF(AJ529&lt;0.6,"Poor",IF(AJ529&lt;0.75,"Needs Improvement",IF(AJ529&lt;0.9,"Good","Excellent")))))</f>
        <v/>
      </c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</row>
    <row r="530" spans="1:54" ht="15" customHeight="1" x14ac:dyDescent="0.25">
      <c r="A530" s="57" t="str">
        <f>IF($B530="","",TEXT($B530,"yyyymmdd")&amp;"-"&amp;SUBSTITUTE($F530," ","")&amp;"-"&amp;TEXT(COUNTIF($F$4:F530,$F530),"00"))</f>
        <v/>
      </c>
      <c r="B530" s="57"/>
      <c r="C530" s="57" t="str">
        <f>IF($B530="","",WEEKNUM($B530,2))</f>
        <v/>
      </c>
      <c r="D530" s="57" t="str">
        <f>IF($B530="","",TEXT($B530,"yyyy-mm"))</f>
        <v/>
      </c>
      <c r="E530" s="57"/>
      <c r="F530" s="57"/>
      <c r="G530" s="57" t="str">
        <f>IF(OR($E530="",$F530=""),"",IFERROR(IF($E530=INDEX([1]Cluster_Master!$A$4:$A$18,MATCH($F530,[1]Cluster_Master!$B$4:$B$18,0)),"OK","CHECK"),"CHECK"))</f>
        <v/>
      </c>
      <c r="H530" s="57" t="str">
        <f>IFERROR(INDEX([1]Cluster_Master!$C$4:$C$18,MATCH($F530,[1]Cluster_Master!$B$4:$B$18,0)),"")</f>
        <v/>
      </c>
      <c r="I530" s="57" t="str">
        <f>IFERROR(INDEX([1]Cluster_Master!$D$4:$D$18,MATCH($F530,[1]Cluster_Master!$B$4:$B$18,0)),"")</f>
        <v/>
      </c>
      <c r="J530" s="57" t="str">
        <f>IFERROR(INDEX([1]Cluster_Master!$E$4:$E$18,MATCH($F530,[1]Cluster_Master!$B$4:$B$18,0)),"")</f>
        <v/>
      </c>
      <c r="K530" s="57" t="str">
        <f>IFERROR(INDEX([1]Cluster_Master!$F$4:$F$18,MATCH($F530,[1]Cluster_Master!$B$4:$B$18,0)),"")</f>
        <v/>
      </c>
      <c r="L530" s="57" t="str">
        <f>IFERROR(INDEX([1]Cluster_Master!$G$4:$G$18,MATCH($F530,[1]Cluster_Master!$B$4:$B$18,0)),"")</f>
        <v/>
      </c>
      <c r="M530" s="57" t="str">
        <f>IFERROR(INDEX([1]Cluster_Master!$H$4:$H$18,MATCH($F530,[1]Cluster_Master!$B$4:$B$18,0)),"")</f>
        <v/>
      </c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 t="str">
        <f>IF(COUNTA(T530:AH530)=0,"",SUM(T530:AH530))</f>
        <v/>
      </c>
      <c r="AJ530" s="57" t="str">
        <f>IF(COUNTA(T530:AH530)=0,"",AI530/75)</f>
        <v/>
      </c>
      <c r="AK530" s="57" t="str">
        <f>IF(COUNTA(T530:AH530)=0,"",(SUM(T530*[1]KPI_Weights!$B$4,U530*[1]KPI_Weights!$B$5,V530*[1]KPI_Weights!$B$6,W530*[1]KPI_Weights!$B$7,X530*[1]KPI_Weights!$B$8,Y530*[1]KPI_Weights!$B$9,Z530*[1]KPI_Weights!$B$10,AA530*[1]KPI_Weights!$B$11,AB530*[1]KPI_Weights!$B$12,AC530*[1]KPI_Weights!$B$13,AD530*[1]KPI_Weights!$B$14,AE530*[1]KPI_Weights!$B$15,AF530*[1]KPI_Weights!$B$16,AG530*[1]KPI_Weights!$B$17,AH530*[1]KPI_Weights!$B$18))/5)</f>
        <v/>
      </c>
      <c r="AL530" s="57" t="str">
        <f>IF(COUNTA(T530:AH530)=0,"",IF(OR(T530&lt;=1,W530&lt;=1,X530&lt;=1,Y530&lt;=1,AB530&lt;=1),"YES","NO"))</f>
        <v/>
      </c>
      <c r="AM530" s="57" t="str">
        <f>IF(AJ530="","",IF(AND(AL530="NO",AJ530&gt;=0.75),"YES","NO"))</f>
        <v/>
      </c>
      <c r="AN530" s="57" t="str">
        <f>IF(AJ530="","",IF(AJ530&lt;0.4,"Critical",IF(AJ530&lt;0.6,"Poor",IF(AJ530&lt;0.75,"Needs Improvement",IF(AJ530&lt;0.9,"Good","Excellent")))))</f>
        <v/>
      </c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</row>
    <row r="531" spans="1:54" ht="15" customHeight="1" x14ac:dyDescent="0.25">
      <c r="A531" s="57" t="str">
        <f>IF($B531="","",TEXT($B531,"yyyymmdd")&amp;"-"&amp;SUBSTITUTE($F531," ","")&amp;"-"&amp;TEXT(COUNTIF($F$4:F531,$F531),"00"))</f>
        <v/>
      </c>
      <c r="B531" s="57"/>
      <c r="C531" s="57" t="str">
        <f>IF($B531="","",WEEKNUM($B531,2))</f>
        <v/>
      </c>
      <c r="D531" s="57" t="str">
        <f>IF($B531="","",TEXT($B531,"yyyy-mm"))</f>
        <v/>
      </c>
      <c r="E531" s="57"/>
      <c r="F531" s="57"/>
      <c r="G531" s="57" t="str">
        <f>IF(OR($E531="",$F531=""),"",IFERROR(IF($E531=INDEX([1]Cluster_Master!$A$4:$A$18,MATCH($F531,[1]Cluster_Master!$B$4:$B$18,0)),"OK","CHECK"),"CHECK"))</f>
        <v/>
      </c>
      <c r="H531" s="57" t="str">
        <f>IFERROR(INDEX([1]Cluster_Master!$C$4:$C$18,MATCH($F531,[1]Cluster_Master!$B$4:$B$18,0)),"")</f>
        <v/>
      </c>
      <c r="I531" s="57" t="str">
        <f>IFERROR(INDEX([1]Cluster_Master!$D$4:$D$18,MATCH($F531,[1]Cluster_Master!$B$4:$B$18,0)),"")</f>
        <v/>
      </c>
      <c r="J531" s="57" t="str">
        <f>IFERROR(INDEX([1]Cluster_Master!$E$4:$E$18,MATCH($F531,[1]Cluster_Master!$B$4:$B$18,0)),"")</f>
        <v/>
      </c>
      <c r="K531" s="57" t="str">
        <f>IFERROR(INDEX([1]Cluster_Master!$F$4:$F$18,MATCH($F531,[1]Cluster_Master!$B$4:$B$18,0)),"")</f>
        <v/>
      </c>
      <c r="L531" s="57" t="str">
        <f>IFERROR(INDEX([1]Cluster_Master!$G$4:$G$18,MATCH($F531,[1]Cluster_Master!$B$4:$B$18,0)),"")</f>
        <v/>
      </c>
      <c r="M531" s="57" t="str">
        <f>IFERROR(INDEX([1]Cluster_Master!$H$4:$H$18,MATCH($F531,[1]Cluster_Master!$B$4:$B$18,0)),"")</f>
        <v/>
      </c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 t="str">
        <f>IF(COUNTA(T531:AH531)=0,"",SUM(T531:AH531))</f>
        <v/>
      </c>
      <c r="AJ531" s="57" t="str">
        <f>IF(COUNTA(T531:AH531)=0,"",AI531/75)</f>
        <v/>
      </c>
      <c r="AK531" s="57" t="str">
        <f>IF(COUNTA(T531:AH531)=0,"",(SUM(T531*[1]KPI_Weights!$B$4,U531*[1]KPI_Weights!$B$5,V531*[1]KPI_Weights!$B$6,W531*[1]KPI_Weights!$B$7,X531*[1]KPI_Weights!$B$8,Y531*[1]KPI_Weights!$B$9,Z531*[1]KPI_Weights!$B$10,AA531*[1]KPI_Weights!$B$11,AB531*[1]KPI_Weights!$B$12,AC531*[1]KPI_Weights!$B$13,AD531*[1]KPI_Weights!$B$14,AE531*[1]KPI_Weights!$B$15,AF531*[1]KPI_Weights!$B$16,AG531*[1]KPI_Weights!$B$17,AH531*[1]KPI_Weights!$B$18))/5)</f>
        <v/>
      </c>
      <c r="AL531" s="57" t="str">
        <f>IF(COUNTA(T531:AH531)=0,"",IF(OR(T531&lt;=1,W531&lt;=1,X531&lt;=1,Y531&lt;=1,AB531&lt;=1),"YES","NO"))</f>
        <v/>
      </c>
      <c r="AM531" s="57" t="str">
        <f>IF(AJ531="","",IF(AND(AL531="NO",AJ531&gt;=0.75),"YES","NO"))</f>
        <v/>
      </c>
      <c r="AN531" s="57" t="str">
        <f>IF(AJ531="","",IF(AJ531&lt;0.4,"Critical",IF(AJ531&lt;0.6,"Poor",IF(AJ531&lt;0.75,"Needs Improvement",IF(AJ531&lt;0.9,"Good","Excellent")))))</f>
        <v/>
      </c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</row>
    <row r="532" spans="1:54" ht="15" customHeight="1" x14ac:dyDescent="0.25">
      <c r="A532" s="57" t="str">
        <f>IF($B532="","",TEXT($B532,"yyyymmdd")&amp;"-"&amp;SUBSTITUTE($F532," ","")&amp;"-"&amp;TEXT(COUNTIF($F$4:F532,$F532),"00"))</f>
        <v/>
      </c>
      <c r="B532" s="57"/>
      <c r="C532" s="57" t="str">
        <f>IF($B532="","",WEEKNUM($B532,2))</f>
        <v/>
      </c>
      <c r="D532" s="57" t="str">
        <f>IF($B532="","",TEXT($B532,"yyyy-mm"))</f>
        <v/>
      </c>
      <c r="E532" s="57"/>
      <c r="F532" s="57"/>
      <c r="G532" s="57" t="str">
        <f>IF(OR($E532="",$F532=""),"",IFERROR(IF($E532=INDEX([1]Cluster_Master!$A$4:$A$18,MATCH($F532,[1]Cluster_Master!$B$4:$B$18,0)),"OK","CHECK"),"CHECK"))</f>
        <v/>
      </c>
      <c r="H532" s="57" t="str">
        <f>IFERROR(INDEX([1]Cluster_Master!$C$4:$C$18,MATCH($F532,[1]Cluster_Master!$B$4:$B$18,0)),"")</f>
        <v/>
      </c>
      <c r="I532" s="57" t="str">
        <f>IFERROR(INDEX([1]Cluster_Master!$D$4:$D$18,MATCH($F532,[1]Cluster_Master!$B$4:$B$18,0)),"")</f>
        <v/>
      </c>
      <c r="J532" s="57" t="str">
        <f>IFERROR(INDEX([1]Cluster_Master!$E$4:$E$18,MATCH($F532,[1]Cluster_Master!$B$4:$B$18,0)),"")</f>
        <v/>
      </c>
      <c r="K532" s="57" t="str">
        <f>IFERROR(INDEX([1]Cluster_Master!$F$4:$F$18,MATCH($F532,[1]Cluster_Master!$B$4:$B$18,0)),"")</f>
        <v/>
      </c>
      <c r="L532" s="57" t="str">
        <f>IFERROR(INDEX([1]Cluster_Master!$G$4:$G$18,MATCH($F532,[1]Cluster_Master!$B$4:$B$18,0)),"")</f>
        <v/>
      </c>
      <c r="M532" s="57" t="str">
        <f>IFERROR(INDEX([1]Cluster_Master!$H$4:$H$18,MATCH($F532,[1]Cluster_Master!$B$4:$B$18,0)),"")</f>
        <v/>
      </c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 t="str">
        <f>IF(COUNTA(T532:AH532)=0,"",SUM(T532:AH532))</f>
        <v/>
      </c>
      <c r="AJ532" s="57" t="str">
        <f>IF(COUNTA(T532:AH532)=0,"",AI532/75)</f>
        <v/>
      </c>
      <c r="AK532" s="57" t="str">
        <f>IF(COUNTA(T532:AH532)=0,"",(SUM(T532*[1]KPI_Weights!$B$4,U532*[1]KPI_Weights!$B$5,V532*[1]KPI_Weights!$B$6,W532*[1]KPI_Weights!$B$7,X532*[1]KPI_Weights!$B$8,Y532*[1]KPI_Weights!$B$9,Z532*[1]KPI_Weights!$B$10,AA532*[1]KPI_Weights!$B$11,AB532*[1]KPI_Weights!$B$12,AC532*[1]KPI_Weights!$B$13,AD532*[1]KPI_Weights!$B$14,AE532*[1]KPI_Weights!$B$15,AF532*[1]KPI_Weights!$B$16,AG532*[1]KPI_Weights!$B$17,AH532*[1]KPI_Weights!$B$18))/5)</f>
        <v/>
      </c>
      <c r="AL532" s="57" t="str">
        <f>IF(COUNTA(T532:AH532)=0,"",IF(OR(T532&lt;=1,W532&lt;=1,X532&lt;=1,Y532&lt;=1,AB532&lt;=1),"YES","NO"))</f>
        <v/>
      </c>
      <c r="AM532" s="57" t="str">
        <f>IF(AJ532="","",IF(AND(AL532="NO",AJ532&gt;=0.75),"YES","NO"))</f>
        <v/>
      </c>
      <c r="AN532" s="57" t="str">
        <f>IF(AJ532="","",IF(AJ532&lt;0.4,"Critical",IF(AJ532&lt;0.6,"Poor",IF(AJ532&lt;0.75,"Needs Improvement",IF(AJ532&lt;0.9,"Good","Excellent")))))</f>
        <v/>
      </c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</row>
    <row r="533" spans="1:54" ht="15" customHeight="1" x14ac:dyDescent="0.25">
      <c r="A533" s="57" t="str">
        <f>IF($B533="","",TEXT($B533,"yyyymmdd")&amp;"-"&amp;SUBSTITUTE($F533," ","")&amp;"-"&amp;TEXT(COUNTIF($F$4:F533,$F533),"00"))</f>
        <v/>
      </c>
      <c r="B533" s="57"/>
      <c r="C533" s="57" t="str">
        <f>IF($B533="","",WEEKNUM($B533,2))</f>
        <v/>
      </c>
      <c r="D533" s="57" t="str">
        <f>IF($B533="","",TEXT($B533,"yyyy-mm"))</f>
        <v/>
      </c>
      <c r="E533" s="57"/>
      <c r="F533" s="57"/>
      <c r="G533" s="57" t="str">
        <f>IF(OR($E533="",$F533=""),"",IFERROR(IF($E533=INDEX([1]Cluster_Master!$A$4:$A$18,MATCH($F533,[1]Cluster_Master!$B$4:$B$18,0)),"OK","CHECK"),"CHECK"))</f>
        <v/>
      </c>
      <c r="H533" s="57" t="str">
        <f>IFERROR(INDEX([1]Cluster_Master!$C$4:$C$18,MATCH($F533,[1]Cluster_Master!$B$4:$B$18,0)),"")</f>
        <v/>
      </c>
      <c r="I533" s="57" t="str">
        <f>IFERROR(INDEX([1]Cluster_Master!$D$4:$D$18,MATCH($F533,[1]Cluster_Master!$B$4:$B$18,0)),"")</f>
        <v/>
      </c>
      <c r="J533" s="57" t="str">
        <f>IFERROR(INDEX([1]Cluster_Master!$E$4:$E$18,MATCH($F533,[1]Cluster_Master!$B$4:$B$18,0)),"")</f>
        <v/>
      </c>
      <c r="K533" s="57" t="str">
        <f>IFERROR(INDEX([1]Cluster_Master!$F$4:$F$18,MATCH($F533,[1]Cluster_Master!$B$4:$B$18,0)),"")</f>
        <v/>
      </c>
      <c r="L533" s="57" t="str">
        <f>IFERROR(INDEX([1]Cluster_Master!$G$4:$G$18,MATCH($F533,[1]Cluster_Master!$B$4:$B$18,0)),"")</f>
        <v/>
      </c>
      <c r="M533" s="57" t="str">
        <f>IFERROR(INDEX([1]Cluster_Master!$H$4:$H$18,MATCH($F533,[1]Cluster_Master!$B$4:$B$18,0)),"")</f>
        <v/>
      </c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 t="str">
        <f>IF(COUNTA(T533:AH533)=0,"",SUM(T533:AH533))</f>
        <v/>
      </c>
      <c r="AJ533" s="57" t="str">
        <f>IF(COUNTA(T533:AH533)=0,"",AI533/75)</f>
        <v/>
      </c>
      <c r="AK533" s="57" t="str">
        <f>IF(COUNTA(T533:AH533)=0,"",(SUM(T533*[1]KPI_Weights!$B$4,U533*[1]KPI_Weights!$B$5,V533*[1]KPI_Weights!$B$6,W533*[1]KPI_Weights!$B$7,X533*[1]KPI_Weights!$B$8,Y533*[1]KPI_Weights!$B$9,Z533*[1]KPI_Weights!$B$10,AA533*[1]KPI_Weights!$B$11,AB533*[1]KPI_Weights!$B$12,AC533*[1]KPI_Weights!$B$13,AD533*[1]KPI_Weights!$B$14,AE533*[1]KPI_Weights!$B$15,AF533*[1]KPI_Weights!$B$16,AG533*[1]KPI_Weights!$B$17,AH533*[1]KPI_Weights!$B$18))/5)</f>
        <v/>
      </c>
      <c r="AL533" s="57" t="str">
        <f>IF(COUNTA(T533:AH533)=0,"",IF(OR(T533&lt;=1,W533&lt;=1,X533&lt;=1,Y533&lt;=1,AB533&lt;=1),"YES","NO"))</f>
        <v/>
      </c>
      <c r="AM533" s="57" t="str">
        <f>IF(AJ533="","",IF(AND(AL533="NO",AJ533&gt;=0.75),"YES","NO"))</f>
        <v/>
      </c>
      <c r="AN533" s="57" t="str">
        <f>IF(AJ533="","",IF(AJ533&lt;0.4,"Critical",IF(AJ533&lt;0.6,"Poor",IF(AJ533&lt;0.75,"Needs Improvement",IF(AJ533&lt;0.9,"Good","Excellent")))))</f>
        <v/>
      </c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</row>
    <row r="534" spans="1:54" ht="15" customHeight="1" x14ac:dyDescent="0.25">
      <c r="A534" s="57" t="str">
        <f>IF($B534="","",TEXT($B534,"yyyymmdd")&amp;"-"&amp;SUBSTITUTE($F534," ","")&amp;"-"&amp;TEXT(COUNTIF($F$4:F534,$F534),"00"))</f>
        <v/>
      </c>
      <c r="B534" s="57"/>
      <c r="C534" s="57" t="str">
        <f>IF($B534="","",WEEKNUM($B534,2))</f>
        <v/>
      </c>
      <c r="D534" s="57" t="str">
        <f>IF($B534="","",TEXT($B534,"yyyy-mm"))</f>
        <v/>
      </c>
      <c r="E534" s="57"/>
      <c r="F534" s="57"/>
      <c r="G534" s="57" t="str">
        <f>IF(OR($E534="",$F534=""),"",IFERROR(IF($E534=INDEX([1]Cluster_Master!$A$4:$A$18,MATCH($F534,[1]Cluster_Master!$B$4:$B$18,0)),"OK","CHECK"),"CHECK"))</f>
        <v/>
      </c>
      <c r="H534" s="57" t="str">
        <f>IFERROR(INDEX([1]Cluster_Master!$C$4:$C$18,MATCH($F534,[1]Cluster_Master!$B$4:$B$18,0)),"")</f>
        <v/>
      </c>
      <c r="I534" s="57" t="str">
        <f>IFERROR(INDEX([1]Cluster_Master!$D$4:$D$18,MATCH($F534,[1]Cluster_Master!$B$4:$B$18,0)),"")</f>
        <v/>
      </c>
      <c r="J534" s="57" t="str">
        <f>IFERROR(INDEX([1]Cluster_Master!$E$4:$E$18,MATCH($F534,[1]Cluster_Master!$B$4:$B$18,0)),"")</f>
        <v/>
      </c>
      <c r="K534" s="57" t="str">
        <f>IFERROR(INDEX([1]Cluster_Master!$F$4:$F$18,MATCH($F534,[1]Cluster_Master!$B$4:$B$18,0)),"")</f>
        <v/>
      </c>
      <c r="L534" s="57" t="str">
        <f>IFERROR(INDEX([1]Cluster_Master!$G$4:$G$18,MATCH($F534,[1]Cluster_Master!$B$4:$B$18,0)),"")</f>
        <v/>
      </c>
      <c r="M534" s="57" t="str">
        <f>IFERROR(INDEX([1]Cluster_Master!$H$4:$H$18,MATCH($F534,[1]Cluster_Master!$B$4:$B$18,0)),"")</f>
        <v/>
      </c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 t="str">
        <f>IF(COUNTA(T534:AH534)=0,"",SUM(T534:AH534))</f>
        <v/>
      </c>
      <c r="AJ534" s="57" t="str">
        <f>IF(COUNTA(T534:AH534)=0,"",AI534/75)</f>
        <v/>
      </c>
      <c r="AK534" s="57" t="str">
        <f>IF(COUNTA(T534:AH534)=0,"",(SUM(T534*[1]KPI_Weights!$B$4,U534*[1]KPI_Weights!$B$5,V534*[1]KPI_Weights!$B$6,W534*[1]KPI_Weights!$B$7,X534*[1]KPI_Weights!$B$8,Y534*[1]KPI_Weights!$B$9,Z534*[1]KPI_Weights!$B$10,AA534*[1]KPI_Weights!$B$11,AB534*[1]KPI_Weights!$B$12,AC534*[1]KPI_Weights!$B$13,AD534*[1]KPI_Weights!$B$14,AE534*[1]KPI_Weights!$B$15,AF534*[1]KPI_Weights!$B$16,AG534*[1]KPI_Weights!$B$17,AH534*[1]KPI_Weights!$B$18))/5)</f>
        <v/>
      </c>
      <c r="AL534" s="57" t="str">
        <f>IF(COUNTA(T534:AH534)=0,"",IF(OR(T534&lt;=1,W534&lt;=1,X534&lt;=1,Y534&lt;=1,AB534&lt;=1),"YES","NO"))</f>
        <v/>
      </c>
      <c r="AM534" s="57" t="str">
        <f>IF(AJ534="","",IF(AND(AL534="NO",AJ534&gt;=0.75),"YES","NO"))</f>
        <v/>
      </c>
      <c r="AN534" s="57" t="str">
        <f>IF(AJ534="","",IF(AJ534&lt;0.4,"Critical",IF(AJ534&lt;0.6,"Poor",IF(AJ534&lt;0.75,"Needs Improvement",IF(AJ534&lt;0.9,"Good","Excellent")))))</f>
        <v/>
      </c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</row>
    <row r="535" spans="1:54" ht="15" customHeight="1" x14ac:dyDescent="0.25">
      <c r="A535" s="57" t="str">
        <f>IF($B535="","",TEXT($B535,"yyyymmdd")&amp;"-"&amp;SUBSTITUTE($F535," ","")&amp;"-"&amp;TEXT(COUNTIF($F$4:F535,$F535),"00"))</f>
        <v/>
      </c>
      <c r="B535" s="57"/>
      <c r="C535" s="57" t="str">
        <f>IF($B535="","",WEEKNUM($B535,2))</f>
        <v/>
      </c>
      <c r="D535" s="57" t="str">
        <f>IF($B535="","",TEXT($B535,"yyyy-mm"))</f>
        <v/>
      </c>
      <c r="E535" s="57"/>
      <c r="F535" s="57"/>
      <c r="G535" s="57" t="str">
        <f>IF(OR($E535="",$F535=""),"",IFERROR(IF($E535=INDEX([1]Cluster_Master!$A$4:$A$18,MATCH($F535,[1]Cluster_Master!$B$4:$B$18,0)),"OK","CHECK"),"CHECK"))</f>
        <v/>
      </c>
      <c r="H535" s="57" t="str">
        <f>IFERROR(INDEX([1]Cluster_Master!$C$4:$C$18,MATCH($F535,[1]Cluster_Master!$B$4:$B$18,0)),"")</f>
        <v/>
      </c>
      <c r="I535" s="57" t="str">
        <f>IFERROR(INDEX([1]Cluster_Master!$D$4:$D$18,MATCH($F535,[1]Cluster_Master!$B$4:$B$18,0)),"")</f>
        <v/>
      </c>
      <c r="J535" s="57" t="str">
        <f>IFERROR(INDEX([1]Cluster_Master!$E$4:$E$18,MATCH($F535,[1]Cluster_Master!$B$4:$B$18,0)),"")</f>
        <v/>
      </c>
      <c r="K535" s="57" t="str">
        <f>IFERROR(INDEX([1]Cluster_Master!$F$4:$F$18,MATCH($F535,[1]Cluster_Master!$B$4:$B$18,0)),"")</f>
        <v/>
      </c>
      <c r="L535" s="57" t="str">
        <f>IFERROR(INDEX([1]Cluster_Master!$G$4:$G$18,MATCH($F535,[1]Cluster_Master!$B$4:$B$18,0)),"")</f>
        <v/>
      </c>
      <c r="M535" s="57" t="str">
        <f>IFERROR(INDEX([1]Cluster_Master!$H$4:$H$18,MATCH($F535,[1]Cluster_Master!$B$4:$B$18,0)),"")</f>
        <v/>
      </c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 t="str">
        <f>IF(COUNTA(T535:AH535)=0,"",SUM(T535:AH535))</f>
        <v/>
      </c>
      <c r="AJ535" s="57" t="str">
        <f>IF(COUNTA(T535:AH535)=0,"",AI535/75)</f>
        <v/>
      </c>
      <c r="AK535" s="57" t="str">
        <f>IF(COUNTA(T535:AH535)=0,"",(SUM(T535*[1]KPI_Weights!$B$4,U535*[1]KPI_Weights!$B$5,V535*[1]KPI_Weights!$B$6,W535*[1]KPI_Weights!$B$7,X535*[1]KPI_Weights!$B$8,Y535*[1]KPI_Weights!$B$9,Z535*[1]KPI_Weights!$B$10,AA535*[1]KPI_Weights!$B$11,AB535*[1]KPI_Weights!$B$12,AC535*[1]KPI_Weights!$B$13,AD535*[1]KPI_Weights!$B$14,AE535*[1]KPI_Weights!$B$15,AF535*[1]KPI_Weights!$B$16,AG535*[1]KPI_Weights!$B$17,AH535*[1]KPI_Weights!$B$18))/5)</f>
        <v/>
      </c>
      <c r="AL535" s="57" t="str">
        <f>IF(COUNTA(T535:AH535)=0,"",IF(OR(T535&lt;=1,W535&lt;=1,X535&lt;=1,Y535&lt;=1,AB535&lt;=1),"YES","NO"))</f>
        <v/>
      </c>
      <c r="AM535" s="57" t="str">
        <f>IF(AJ535="","",IF(AND(AL535="NO",AJ535&gt;=0.75),"YES","NO"))</f>
        <v/>
      </c>
      <c r="AN535" s="57" t="str">
        <f>IF(AJ535="","",IF(AJ535&lt;0.4,"Critical",IF(AJ535&lt;0.6,"Poor",IF(AJ535&lt;0.75,"Needs Improvement",IF(AJ535&lt;0.9,"Good","Excellent")))))</f>
        <v/>
      </c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</row>
    <row r="536" spans="1:54" ht="15" customHeight="1" x14ac:dyDescent="0.25">
      <c r="A536" s="57" t="str">
        <f>IF($B536="","",TEXT($B536,"yyyymmdd")&amp;"-"&amp;SUBSTITUTE($F536," ","")&amp;"-"&amp;TEXT(COUNTIF($F$4:F536,$F536),"00"))</f>
        <v/>
      </c>
      <c r="B536" s="57"/>
      <c r="C536" s="57" t="str">
        <f>IF($B536="","",WEEKNUM($B536,2))</f>
        <v/>
      </c>
      <c r="D536" s="57" t="str">
        <f>IF($B536="","",TEXT($B536,"yyyy-mm"))</f>
        <v/>
      </c>
      <c r="E536" s="57"/>
      <c r="F536" s="57"/>
      <c r="G536" s="57" t="str">
        <f>IF(OR($E536="",$F536=""),"",IFERROR(IF($E536=INDEX([1]Cluster_Master!$A$4:$A$18,MATCH($F536,[1]Cluster_Master!$B$4:$B$18,0)),"OK","CHECK"),"CHECK"))</f>
        <v/>
      </c>
      <c r="H536" s="57" t="str">
        <f>IFERROR(INDEX([1]Cluster_Master!$C$4:$C$18,MATCH($F536,[1]Cluster_Master!$B$4:$B$18,0)),"")</f>
        <v/>
      </c>
      <c r="I536" s="57" t="str">
        <f>IFERROR(INDEX([1]Cluster_Master!$D$4:$D$18,MATCH($F536,[1]Cluster_Master!$B$4:$B$18,0)),"")</f>
        <v/>
      </c>
      <c r="J536" s="57" t="str">
        <f>IFERROR(INDEX([1]Cluster_Master!$E$4:$E$18,MATCH($F536,[1]Cluster_Master!$B$4:$B$18,0)),"")</f>
        <v/>
      </c>
      <c r="K536" s="57" t="str">
        <f>IFERROR(INDEX([1]Cluster_Master!$F$4:$F$18,MATCH($F536,[1]Cluster_Master!$B$4:$B$18,0)),"")</f>
        <v/>
      </c>
      <c r="L536" s="57" t="str">
        <f>IFERROR(INDEX([1]Cluster_Master!$G$4:$G$18,MATCH($F536,[1]Cluster_Master!$B$4:$B$18,0)),"")</f>
        <v/>
      </c>
      <c r="M536" s="57" t="str">
        <f>IFERROR(INDEX([1]Cluster_Master!$H$4:$H$18,MATCH($F536,[1]Cluster_Master!$B$4:$B$18,0)),"")</f>
        <v/>
      </c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 t="str">
        <f>IF(COUNTA(T536:AH536)=0,"",SUM(T536:AH536))</f>
        <v/>
      </c>
      <c r="AJ536" s="57" t="str">
        <f>IF(COUNTA(T536:AH536)=0,"",AI536/75)</f>
        <v/>
      </c>
      <c r="AK536" s="57" t="str">
        <f>IF(COUNTA(T536:AH536)=0,"",(SUM(T536*[1]KPI_Weights!$B$4,U536*[1]KPI_Weights!$B$5,V536*[1]KPI_Weights!$B$6,W536*[1]KPI_Weights!$B$7,X536*[1]KPI_Weights!$B$8,Y536*[1]KPI_Weights!$B$9,Z536*[1]KPI_Weights!$B$10,AA536*[1]KPI_Weights!$B$11,AB536*[1]KPI_Weights!$B$12,AC536*[1]KPI_Weights!$B$13,AD536*[1]KPI_Weights!$B$14,AE536*[1]KPI_Weights!$B$15,AF536*[1]KPI_Weights!$B$16,AG536*[1]KPI_Weights!$B$17,AH536*[1]KPI_Weights!$B$18))/5)</f>
        <v/>
      </c>
      <c r="AL536" s="57" t="str">
        <f>IF(COUNTA(T536:AH536)=0,"",IF(OR(T536&lt;=1,W536&lt;=1,X536&lt;=1,Y536&lt;=1,AB536&lt;=1),"YES","NO"))</f>
        <v/>
      </c>
      <c r="AM536" s="57" t="str">
        <f>IF(AJ536="","",IF(AND(AL536="NO",AJ536&gt;=0.75),"YES","NO"))</f>
        <v/>
      </c>
      <c r="AN536" s="57" t="str">
        <f>IF(AJ536="","",IF(AJ536&lt;0.4,"Critical",IF(AJ536&lt;0.6,"Poor",IF(AJ536&lt;0.75,"Needs Improvement",IF(AJ536&lt;0.9,"Good","Excellent")))))</f>
        <v/>
      </c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</row>
    <row r="537" spans="1:54" ht="15" customHeight="1" x14ac:dyDescent="0.25">
      <c r="A537" s="57" t="str">
        <f>IF($B537="","",TEXT($B537,"yyyymmdd")&amp;"-"&amp;SUBSTITUTE($F537," ","")&amp;"-"&amp;TEXT(COUNTIF($F$4:F537,$F537),"00"))</f>
        <v/>
      </c>
      <c r="B537" s="57"/>
      <c r="C537" s="57" t="str">
        <f>IF($B537="","",WEEKNUM($B537,2))</f>
        <v/>
      </c>
      <c r="D537" s="57" t="str">
        <f>IF($B537="","",TEXT($B537,"yyyy-mm"))</f>
        <v/>
      </c>
      <c r="E537" s="57"/>
      <c r="F537" s="57"/>
      <c r="G537" s="57" t="str">
        <f>IF(OR($E537="",$F537=""),"",IFERROR(IF($E537=INDEX([1]Cluster_Master!$A$4:$A$18,MATCH($F537,[1]Cluster_Master!$B$4:$B$18,0)),"OK","CHECK"),"CHECK"))</f>
        <v/>
      </c>
      <c r="H537" s="57" t="str">
        <f>IFERROR(INDEX([1]Cluster_Master!$C$4:$C$18,MATCH($F537,[1]Cluster_Master!$B$4:$B$18,0)),"")</f>
        <v/>
      </c>
      <c r="I537" s="57" t="str">
        <f>IFERROR(INDEX([1]Cluster_Master!$D$4:$D$18,MATCH($F537,[1]Cluster_Master!$B$4:$B$18,0)),"")</f>
        <v/>
      </c>
      <c r="J537" s="57" t="str">
        <f>IFERROR(INDEX([1]Cluster_Master!$E$4:$E$18,MATCH($F537,[1]Cluster_Master!$B$4:$B$18,0)),"")</f>
        <v/>
      </c>
      <c r="K537" s="57" t="str">
        <f>IFERROR(INDEX([1]Cluster_Master!$F$4:$F$18,MATCH($F537,[1]Cluster_Master!$B$4:$B$18,0)),"")</f>
        <v/>
      </c>
      <c r="L537" s="57" t="str">
        <f>IFERROR(INDEX([1]Cluster_Master!$G$4:$G$18,MATCH($F537,[1]Cluster_Master!$B$4:$B$18,0)),"")</f>
        <v/>
      </c>
      <c r="M537" s="57" t="str">
        <f>IFERROR(INDEX([1]Cluster_Master!$H$4:$H$18,MATCH($F537,[1]Cluster_Master!$B$4:$B$18,0)),"")</f>
        <v/>
      </c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 t="str">
        <f>IF(COUNTA(T537:AH537)=0,"",SUM(T537:AH537))</f>
        <v/>
      </c>
      <c r="AJ537" s="57" t="str">
        <f>IF(COUNTA(T537:AH537)=0,"",AI537/75)</f>
        <v/>
      </c>
      <c r="AK537" s="57" t="str">
        <f>IF(COUNTA(T537:AH537)=0,"",(SUM(T537*[1]KPI_Weights!$B$4,U537*[1]KPI_Weights!$B$5,V537*[1]KPI_Weights!$B$6,W537*[1]KPI_Weights!$B$7,X537*[1]KPI_Weights!$B$8,Y537*[1]KPI_Weights!$B$9,Z537*[1]KPI_Weights!$B$10,AA537*[1]KPI_Weights!$B$11,AB537*[1]KPI_Weights!$B$12,AC537*[1]KPI_Weights!$B$13,AD537*[1]KPI_Weights!$B$14,AE537*[1]KPI_Weights!$B$15,AF537*[1]KPI_Weights!$B$16,AG537*[1]KPI_Weights!$B$17,AH537*[1]KPI_Weights!$B$18))/5)</f>
        <v/>
      </c>
      <c r="AL537" s="57" t="str">
        <f>IF(COUNTA(T537:AH537)=0,"",IF(OR(T537&lt;=1,W537&lt;=1,X537&lt;=1,Y537&lt;=1,AB537&lt;=1),"YES","NO"))</f>
        <v/>
      </c>
      <c r="AM537" s="57" t="str">
        <f>IF(AJ537="","",IF(AND(AL537="NO",AJ537&gt;=0.75),"YES","NO"))</f>
        <v/>
      </c>
      <c r="AN537" s="57" t="str">
        <f>IF(AJ537="","",IF(AJ537&lt;0.4,"Critical",IF(AJ537&lt;0.6,"Poor",IF(AJ537&lt;0.75,"Needs Improvement",IF(AJ537&lt;0.9,"Good","Excellent")))))</f>
        <v/>
      </c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</row>
    <row r="538" spans="1:54" ht="15" customHeight="1" x14ac:dyDescent="0.25">
      <c r="A538" s="57" t="str">
        <f>IF($B538="","",TEXT($B538,"yyyymmdd")&amp;"-"&amp;SUBSTITUTE($F538," ","")&amp;"-"&amp;TEXT(COUNTIF($F$4:F538,$F538),"00"))</f>
        <v/>
      </c>
      <c r="B538" s="57"/>
      <c r="C538" s="57" t="str">
        <f>IF($B538="","",WEEKNUM($B538,2))</f>
        <v/>
      </c>
      <c r="D538" s="57" t="str">
        <f>IF($B538="","",TEXT($B538,"yyyy-mm"))</f>
        <v/>
      </c>
      <c r="E538" s="57"/>
      <c r="F538" s="57"/>
      <c r="G538" s="57" t="str">
        <f>IF(OR($E538="",$F538=""),"",IFERROR(IF($E538=INDEX([1]Cluster_Master!$A$4:$A$18,MATCH($F538,[1]Cluster_Master!$B$4:$B$18,0)),"OK","CHECK"),"CHECK"))</f>
        <v/>
      </c>
      <c r="H538" s="57" t="str">
        <f>IFERROR(INDEX([1]Cluster_Master!$C$4:$C$18,MATCH($F538,[1]Cluster_Master!$B$4:$B$18,0)),"")</f>
        <v/>
      </c>
      <c r="I538" s="57" t="str">
        <f>IFERROR(INDEX([1]Cluster_Master!$D$4:$D$18,MATCH($F538,[1]Cluster_Master!$B$4:$B$18,0)),"")</f>
        <v/>
      </c>
      <c r="J538" s="57" t="str">
        <f>IFERROR(INDEX([1]Cluster_Master!$E$4:$E$18,MATCH($F538,[1]Cluster_Master!$B$4:$B$18,0)),"")</f>
        <v/>
      </c>
      <c r="K538" s="57" t="str">
        <f>IFERROR(INDEX([1]Cluster_Master!$F$4:$F$18,MATCH($F538,[1]Cluster_Master!$B$4:$B$18,0)),"")</f>
        <v/>
      </c>
      <c r="L538" s="57" t="str">
        <f>IFERROR(INDEX([1]Cluster_Master!$G$4:$G$18,MATCH($F538,[1]Cluster_Master!$B$4:$B$18,0)),"")</f>
        <v/>
      </c>
      <c r="M538" s="57" t="str">
        <f>IFERROR(INDEX([1]Cluster_Master!$H$4:$H$18,MATCH($F538,[1]Cluster_Master!$B$4:$B$18,0)),"")</f>
        <v/>
      </c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 t="str">
        <f>IF(COUNTA(T538:AH538)=0,"",SUM(T538:AH538))</f>
        <v/>
      </c>
      <c r="AJ538" s="57" t="str">
        <f>IF(COUNTA(T538:AH538)=0,"",AI538/75)</f>
        <v/>
      </c>
      <c r="AK538" s="57" t="str">
        <f>IF(COUNTA(T538:AH538)=0,"",(SUM(T538*[1]KPI_Weights!$B$4,U538*[1]KPI_Weights!$B$5,V538*[1]KPI_Weights!$B$6,W538*[1]KPI_Weights!$B$7,X538*[1]KPI_Weights!$B$8,Y538*[1]KPI_Weights!$B$9,Z538*[1]KPI_Weights!$B$10,AA538*[1]KPI_Weights!$B$11,AB538*[1]KPI_Weights!$B$12,AC538*[1]KPI_Weights!$B$13,AD538*[1]KPI_Weights!$B$14,AE538*[1]KPI_Weights!$B$15,AF538*[1]KPI_Weights!$B$16,AG538*[1]KPI_Weights!$B$17,AH538*[1]KPI_Weights!$B$18))/5)</f>
        <v/>
      </c>
      <c r="AL538" s="57" t="str">
        <f>IF(COUNTA(T538:AH538)=0,"",IF(OR(T538&lt;=1,W538&lt;=1,X538&lt;=1,Y538&lt;=1,AB538&lt;=1),"YES","NO"))</f>
        <v/>
      </c>
      <c r="AM538" s="57" t="str">
        <f>IF(AJ538="","",IF(AND(AL538="NO",AJ538&gt;=0.75),"YES","NO"))</f>
        <v/>
      </c>
      <c r="AN538" s="57" t="str">
        <f>IF(AJ538="","",IF(AJ538&lt;0.4,"Critical",IF(AJ538&lt;0.6,"Poor",IF(AJ538&lt;0.75,"Needs Improvement",IF(AJ538&lt;0.9,"Good","Excellent")))))</f>
        <v/>
      </c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</row>
    <row r="539" spans="1:54" ht="15" customHeight="1" x14ac:dyDescent="0.25">
      <c r="A539" s="57" t="str">
        <f>IF($B539="","",TEXT($B539,"yyyymmdd")&amp;"-"&amp;SUBSTITUTE($F539," ","")&amp;"-"&amp;TEXT(COUNTIF($F$4:F539,$F539),"00"))</f>
        <v/>
      </c>
      <c r="B539" s="57"/>
      <c r="C539" s="57" t="str">
        <f>IF($B539="","",WEEKNUM($B539,2))</f>
        <v/>
      </c>
      <c r="D539" s="57" t="str">
        <f>IF($B539="","",TEXT($B539,"yyyy-mm"))</f>
        <v/>
      </c>
      <c r="E539" s="57"/>
      <c r="F539" s="57"/>
      <c r="G539" s="57" t="str">
        <f>IF(OR($E539="",$F539=""),"",IFERROR(IF($E539=INDEX([1]Cluster_Master!$A$4:$A$18,MATCH($F539,[1]Cluster_Master!$B$4:$B$18,0)),"OK","CHECK"),"CHECK"))</f>
        <v/>
      </c>
      <c r="H539" s="57" t="str">
        <f>IFERROR(INDEX([1]Cluster_Master!$C$4:$C$18,MATCH($F539,[1]Cluster_Master!$B$4:$B$18,0)),"")</f>
        <v/>
      </c>
      <c r="I539" s="57" t="str">
        <f>IFERROR(INDEX([1]Cluster_Master!$D$4:$D$18,MATCH($F539,[1]Cluster_Master!$B$4:$B$18,0)),"")</f>
        <v/>
      </c>
      <c r="J539" s="57" t="str">
        <f>IFERROR(INDEX([1]Cluster_Master!$E$4:$E$18,MATCH($F539,[1]Cluster_Master!$B$4:$B$18,0)),"")</f>
        <v/>
      </c>
      <c r="K539" s="57" t="str">
        <f>IFERROR(INDEX([1]Cluster_Master!$F$4:$F$18,MATCH($F539,[1]Cluster_Master!$B$4:$B$18,0)),"")</f>
        <v/>
      </c>
      <c r="L539" s="57" t="str">
        <f>IFERROR(INDEX([1]Cluster_Master!$G$4:$G$18,MATCH($F539,[1]Cluster_Master!$B$4:$B$18,0)),"")</f>
        <v/>
      </c>
      <c r="M539" s="57" t="str">
        <f>IFERROR(INDEX([1]Cluster_Master!$H$4:$H$18,MATCH($F539,[1]Cluster_Master!$B$4:$B$18,0)),"")</f>
        <v/>
      </c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 t="str">
        <f>IF(COUNTA(T539:AH539)=0,"",SUM(T539:AH539))</f>
        <v/>
      </c>
      <c r="AJ539" s="57" t="str">
        <f>IF(COUNTA(T539:AH539)=0,"",AI539/75)</f>
        <v/>
      </c>
      <c r="AK539" s="57" t="str">
        <f>IF(COUNTA(T539:AH539)=0,"",(SUM(T539*[1]KPI_Weights!$B$4,U539*[1]KPI_Weights!$B$5,V539*[1]KPI_Weights!$B$6,W539*[1]KPI_Weights!$B$7,X539*[1]KPI_Weights!$B$8,Y539*[1]KPI_Weights!$B$9,Z539*[1]KPI_Weights!$B$10,AA539*[1]KPI_Weights!$B$11,AB539*[1]KPI_Weights!$B$12,AC539*[1]KPI_Weights!$B$13,AD539*[1]KPI_Weights!$B$14,AE539*[1]KPI_Weights!$B$15,AF539*[1]KPI_Weights!$B$16,AG539*[1]KPI_Weights!$B$17,AH539*[1]KPI_Weights!$B$18))/5)</f>
        <v/>
      </c>
      <c r="AL539" s="57" t="str">
        <f>IF(COUNTA(T539:AH539)=0,"",IF(OR(T539&lt;=1,W539&lt;=1,X539&lt;=1,Y539&lt;=1,AB539&lt;=1),"YES","NO"))</f>
        <v/>
      </c>
      <c r="AM539" s="57" t="str">
        <f>IF(AJ539="","",IF(AND(AL539="NO",AJ539&gt;=0.75),"YES","NO"))</f>
        <v/>
      </c>
      <c r="AN539" s="57" t="str">
        <f>IF(AJ539="","",IF(AJ539&lt;0.4,"Critical",IF(AJ539&lt;0.6,"Poor",IF(AJ539&lt;0.75,"Needs Improvement",IF(AJ539&lt;0.9,"Good","Excellent")))))</f>
        <v/>
      </c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</row>
    <row r="540" spans="1:54" ht="15" customHeight="1" x14ac:dyDescent="0.25">
      <c r="A540" s="57" t="str">
        <f>IF($B540="","",TEXT($B540,"yyyymmdd")&amp;"-"&amp;SUBSTITUTE($F540," ","")&amp;"-"&amp;TEXT(COUNTIF($F$4:F540,$F540),"00"))</f>
        <v/>
      </c>
      <c r="B540" s="57"/>
      <c r="C540" s="57" t="str">
        <f>IF($B540="","",WEEKNUM($B540,2))</f>
        <v/>
      </c>
      <c r="D540" s="57" t="str">
        <f>IF($B540="","",TEXT($B540,"yyyy-mm"))</f>
        <v/>
      </c>
      <c r="E540" s="57"/>
      <c r="F540" s="57"/>
      <c r="G540" s="57" t="str">
        <f>IF(OR($E540="",$F540=""),"",IFERROR(IF($E540=INDEX([1]Cluster_Master!$A$4:$A$18,MATCH($F540,[1]Cluster_Master!$B$4:$B$18,0)),"OK","CHECK"),"CHECK"))</f>
        <v/>
      </c>
      <c r="H540" s="57" t="str">
        <f>IFERROR(INDEX([1]Cluster_Master!$C$4:$C$18,MATCH($F540,[1]Cluster_Master!$B$4:$B$18,0)),"")</f>
        <v/>
      </c>
      <c r="I540" s="57" t="str">
        <f>IFERROR(INDEX([1]Cluster_Master!$D$4:$D$18,MATCH($F540,[1]Cluster_Master!$B$4:$B$18,0)),"")</f>
        <v/>
      </c>
      <c r="J540" s="57" t="str">
        <f>IFERROR(INDEX([1]Cluster_Master!$E$4:$E$18,MATCH($F540,[1]Cluster_Master!$B$4:$B$18,0)),"")</f>
        <v/>
      </c>
      <c r="K540" s="57" t="str">
        <f>IFERROR(INDEX([1]Cluster_Master!$F$4:$F$18,MATCH($F540,[1]Cluster_Master!$B$4:$B$18,0)),"")</f>
        <v/>
      </c>
      <c r="L540" s="57" t="str">
        <f>IFERROR(INDEX([1]Cluster_Master!$G$4:$G$18,MATCH($F540,[1]Cluster_Master!$B$4:$B$18,0)),"")</f>
        <v/>
      </c>
      <c r="M540" s="57" t="str">
        <f>IFERROR(INDEX([1]Cluster_Master!$H$4:$H$18,MATCH($F540,[1]Cluster_Master!$B$4:$B$18,0)),"")</f>
        <v/>
      </c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 t="str">
        <f>IF(COUNTA(T540:AH540)=0,"",SUM(T540:AH540))</f>
        <v/>
      </c>
      <c r="AJ540" s="57" t="str">
        <f>IF(COUNTA(T540:AH540)=0,"",AI540/75)</f>
        <v/>
      </c>
      <c r="AK540" s="57" t="str">
        <f>IF(COUNTA(T540:AH540)=0,"",(SUM(T540*[1]KPI_Weights!$B$4,U540*[1]KPI_Weights!$B$5,V540*[1]KPI_Weights!$B$6,W540*[1]KPI_Weights!$B$7,X540*[1]KPI_Weights!$B$8,Y540*[1]KPI_Weights!$B$9,Z540*[1]KPI_Weights!$B$10,AA540*[1]KPI_Weights!$B$11,AB540*[1]KPI_Weights!$B$12,AC540*[1]KPI_Weights!$B$13,AD540*[1]KPI_Weights!$B$14,AE540*[1]KPI_Weights!$B$15,AF540*[1]KPI_Weights!$B$16,AG540*[1]KPI_Weights!$B$17,AH540*[1]KPI_Weights!$B$18))/5)</f>
        <v/>
      </c>
      <c r="AL540" s="57" t="str">
        <f>IF(COUNTA(T540:AH540)=0,"",IF(OR(T540&lt;=1,W540&lt;=1,X540&lt;=1,Y540&lt;=1,AB540&lt;=1),"YES","NO"))</f>
        <v/>
      </c>
      <c r="AM540" s="57" t="str">
        <f>IF(AJ540="","",IF(AND(AL540="NO",AJ540&gt;=0.75),"YES","NO"))</f>
        <v/>
      </c>
      <c r="AN540" s="57" t="str">
        <f>IF(AJ540="","",IF(AJ540&lt;0.4,"Critical",IF(AJ540&lt;0.6,"Poor",IF(AJ540&lt;0.75,"Needs Improvement",IF(AJ540&lt;0.9,"Good","Excellent")))))</f>
        <v/>
      </c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</row>
    <row r="541" spans="1:54" ht="15" customHeight="1" x14ac:dyDescent="0.25">
      <c r="A541" s="57" t="str">
        <f>IF($B541="","",TEXT($B541,"yyyymmdd")&amp;"-"&amp;SUBSTITUTE($F541," ","")&amp;"-"&amp;TEXT(COUNTIF($F$4:F541,$F541),"00"))</f>
        <v/>
      </c>
      <c r="B541" s="57"/>
      <c r="C541" s="57" t="str">
        <f>IF($B541="","",WEEKNUM($B541,2))</f>
        <v/>
      </c>
      <c r="D541" s="57" t="str">
        <f>IF($B541="","",TEXT($B541,"yyyy-mm"))</f>
        <v/>
      </c>
      <c r="E541" s="57"/>
      <c r="F541" s="57"/>
      <c r="G541" s="57" t="str">
        <f>IF(OR($E541="",$F541=""),"",IFERROR(IF($E541=INDEX([1]Cluster_Master!$A$4:$A$18,MATCH($F541,[1]Cluster_Master!$B$4:$B$18,0)),"OK","CHECK"),"CHECK"))</f>
        <v/>
      </c>
      <c r="H541" s="57" t="str">
        <f>IFERROR(INDEX([1]Cluster_Master!$C$4:$C$18,MATCH($F541,[1]Cluster_Master!$B$4:$B$18,0)),"")</f>
        <v/>
      </c>
      <c r="I541" s="57" t="str">
        <f>IFERROR(INDEX([1]Cluster_Master!$D$4:$D$18,MATCH($F541,[1]Cluster_Master!$B$4:$B$18,0)),"")</f>
        <v/>
      </c>
      <c r="J541" s="57" t="str">
        <f>IFERROR(INDEX([1]Cluster_Master!$E$4:$E$18,MATCH($F541,[1]Cluster_Master!$B$4:$B$18,0)),"")</f>
        <v/>
      </c>
      <c r="K541" s="57" t="str">
        <f>IFERROR(INDEX([1]Cluster_Master!$F$4:$F$18,MATCH($F541,[1]Cluster_Master!$B$4:$B$18,0)),"")</f>
        <v/>
      </c>
      <c r="L541" s="57" t="str">
        <f>IFERROR(INDEX([1]Cluster_Master!$G$4:$G$18,MATCH($F541,[1]Cluster_Master!$B$4:$B$18,0)),"")</f>
        <v/>
      </c>
      <c r="M541" s="57" t="str">
        <f>IFERROR(INDEX([1]Cluster_Master!$H$4:$H$18,MATCH($F541,[1]Cluster_Master!$B$4:$B$18,0)),"")</f>
        <v/>
      </c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 t="str">
        <f>IF(COUNTA(T541:AH541)=0,"",SUM(T541:AH541))</f>
        <v/>
      </c>
      <c r="AJ541" s="57" t="str">
        <f>IF(COUNTA(T541:AH541)=0,"",AI541/75)</f>
        <v/>
      </c>
      <c r="AK541" s="57" t="str">
        <f>IF(COUNTA(T541:AH541)=0,"",(SUM(T541*[1]KPI_Weights!$B$4,U541*[1]KPI_Weights!$B$5,V541*[1]KPI_Weights!$B$6,W541*[1]KPI_Weights!$B$7,X541*[1]KPI_Weights!$B$8,Y541*[1]KPI_Weights!$B$9,Z541*[1]KPI_Weights!$B$10,AA541*[1]KPI_Weights!$B$11,AB541*[1]KPI_Weights!$B$12,AC541*[1]KPI_Weights!$B$13,AD541*[1]KPI_Weights!$B$14,AE541*[1]KPI_Weights!$B$15,AF541*[1]KPI_Weights!$B$16,AG541*[1]KPI_Weights!$B$17,AH541*[1]KPI_Weights!$B$18))/5)</f>
        <v/>
      </c>
      <c r="AL541" s="57" t="str">
        <f>IF(COUNTA(T541:AH541)=0,"",IF(OR(T541&lt;=1,W541&lt;=1,X541&lt;=1,Y541&lt;=1,AB541&lt;=1),"YES","NO"))</f>
        <v/>
      </c>
      <c r="AM541" s="57" t="str">
        <f>IF(AJ541="","",IF(AND(AL541="NO",AJ541&gt;=0.75),"YES","NO"))</f>
        <v/>
      </c>
      <c r="AN541" s="57" t="str">
        <f>IF(AJ541="","",IF(AJ541&lt;0.4,"Critical",IF(AJ541&lt;0.6,"Poor",IF(AJ541&lt;0.75,"Needs Improvement",IF(AJ541&lt;0.9,"Good","Excellent")))))</f>
        <v/>
      </c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</row>
    <row r="542" spans="1:54" ht="15" customHeight="1" x14ac:dyDescent="0.25">
      <c r="A542" s="57" t="str">
        <f>IF($B542="","",TEXT($B542,"yyyymmdd")&amp;"-"&amp;SUBSTITUTE($F542," ","")&amp;"-"&amp;TEXT(COUNTIF($F$4:F542,$F542),"00"))</f>
        <v/>
      </c>
      <c r="B542" s="57"/>
      <c r="C542" s="57" t="str">
        <f>IF($B542="","",WEEKNUM($B542,2))</f>
        <v/>
      </c>
      <c r="D542" s="57" t="str">
        <f>IF($B542="","",TEXT($B542,"yyyy-mm"))</f>
        <v/>
      </c>
      <c r="E542" s="57"/>
      <c r="F542" s="57"/>
      <c r="G542" s="57" t="str">
        <f>IF(OR($E542="",$F542=""),"",IFERROR(IF($E542=INDEX([1]Cluster_Master!$A$4:$A$18,MATCH($F542,[1]Cluster_Master!$B$4:$B$18,0)),"OK","CHECK"),"CHECK"))</f>
        <v/>
      </c>
      <c r="H542" s="57" t="str">
        <f>IFERROR(INDEX([1]Cluster_Master!$C$4:$C$18,MATCH($F542,[1]Cluster_Master!$B$4:$B$18,0)),"")</f>
        <v/>
      </c>
      <c r="I542" s="57" t="str">
        <f>IFERROR(INDEX([1]Cluster_Master!$D$4:$D$18,MATCH($F542,[1]Cluster_Master!$B$4:$B$18,0)),"")</f>
        <v/>
      </c>
      <c r="J542" s="57" t="str">
        <f>IFERROR(INDEX([1]Cluster_Master!$E$4:$E$18,MATCH($F542,[1]Cluster_Master!$B$4:$B$18,0)),"")</f>
        <v/>
      </c>
      <c r="K542" s="57" t="str">
        <f>IFERROR(INDEX([1]Cluster_Master!$F$4:$F$18,MATCH($F542,[1]Cluster_Master!$B$4:$B$18,0)),"")</f>
        <v/>
      </c>
      <c r="L542" s="57" t="str">
        <f>IFERROR(INDEX([1]Cluster_Master!$G$4:$G$18,MATCH($F542,[1]Cluster_Master!$B$4:$B$18,0)),"")</f>
        <v/>
      </c>
      <c r="M542" s="57" t="str">
        <f>IFERROR(INDEX([1]Cluster_Master!$H$4:$H$18,MATCH($F542,[1]Cluster_Master!$B$4:$B$18,0)),"")</f>
        <v/>
      </c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 t="str">
        <f>IF(COUNTA(T542:AH542)=0,"",SUM(T542:AH542))</f>
        <v/>
      </c>
      <c r="AJ542" s="57" t="str">
        <f>IF(COUNTA(T542:AH542)=0,"",AI542/75)</f>
        <v/>
      </c>
      <c r="AK542" s="57" t="str">
        <f>IF(COUNTA(T542:AH542)=0,"",(SUM(T542*[1]KPI_Weights!$B$4,U542*[1]KPI_Weights!$B$5,V542*[1]KPI_Weights!$B$6,W542*[1]KPI_Weights!$B$7,X542*[1]KPI_Weights!$B$8,Y542*[1]KPI_Weights!$B$9,Z542*[1]KPI_Weights!$B$10,AA542*[1]KPI_Weights!$B$11,AB542*[1]KPI_Weights!$B$12,AC542*[1]KPI_Weights!$B$13,AD542*[1]KPI_Weights!$B$14,AE542*[1]KPI_Weights!$B$15,AF542*[1]KPI_Weights!$B$16,AG542*[1]KPI_Weights!$B$17,AH542*[1]KPI_Weights!$B$18))/5)</f>
        <v/>
      </c>
      <c r="AL542" s="57" t="str">
        <f>IF(COUNTA(T542:AH542)=0,"",IF(OR(T542&lt;=1,W542&lt;=1,X542&lt;=1,Y542&lt;=1,AB542&lt;=1),"YES","NO"))</f>
        <v/>
      </c>
      <c r="AM542" s="57" t="str">
        <f>IF(AJ542="","",IF(AND(AL542="NO",AJ542&gt;=0.75),"YES","NO"))</f>
        <v/>
      </c>
      <c r="AN542" s="57" t="str">
        <f>IF(AJ542="","",IF(AJ542&lt;0.4,"Critical",IF(AJ542&lt;0.6,"Poor",IF(AJ542&lt;0.75,"Needs Improvement",IF(AJ542&lt;0.9,"Good","Excellent")))))</f>
        <v/>
      </c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</row>
    <row r="543" spans="1:54" ht="15" customHeight="1" x14ac:dyDescent="0.25">
      <c r="A543" s="57" t="str">
        <f>IF($B543="","",TEXT($B543,"yyyymmdd")&amp;"-"&amp;SUBSTITUTE($F543," ","")&amp;"-"&amp;TEXT(COUNTIF($F$4:F543,$F543),"00"))</f>
        <v/>
      </c>
      <c r="B543" s="57"/>
      <c r="C543" s="57" t="str">
        <f>IF($B543="","",WEEKNUM($B543,2))</f>
        <v/>
      </c>
      <c r="D543" s="57" t="str">
        <f>IF($B543="","",TEXT($B543,"yyyy-mm"))</f>
        <v/>
      </c>
      <c r="E543" s="57"/>
      <c r="F543" s="57"/>
      <c r="G543" s="57" t="str">
        <f>IF(OR($E543="",$F543=""),"",IFERROR(IF($E543=INDEX([1]Cluster_Master!$A$4:$A$18,MATCH($F543,[1]Cluster_Master!$B$4:$B$18,0)),"OK","CHECK"),"CHECK"))</f>
        <v/>
      </c>
      <c r="H543" s="57" t="str">
        <f>IFERROR(INDEX([1]Cluster_Master!$C$4:$C$18,MATCH($F543,[1]Cluster_Master!$B$4:$B$18,0)),"")</f>
        <v/>
      </c>
      <c r="I543" s="57" t="str">
        <f>IFERROR(INDEX([1]Cluster_Master!$D$4:$D$18,MATCH($F543,[1]Cluster_Master!$B$4:$B$18,0)),"")</f>
        <v/>
      </c>
      <c r="J543" s="57" t="str">
        <f>IFERROR(INDEX([1]Cluster_Master!$E$4:$E$18,MATCH($F543,[1]Cluster_Master!$B$4:$B$18,0)),"")</f>
        <v/>
      </c>
      <c r="K543" s="57" t="str">
        <f>IFERROR(INDEX([1]Cluster_Master!$F$4:$F$18,MATCH($F543,[1]Cluster_Master!$B$4:$B$18,0)),"")</f>
        <v/>
      </c>
      <c r="L543" s="57" t="str">
        <f>IFERROR(INDEX([1]Cluster_Master!$G$4:$G$18,MATCH($F543,[1]Cluster_Master!$B$4:$B$18,0)),"")</f>
        <v/>
      </c>
      <c r="M543" s="57" t="str">
        <f>IFERROR(INDEX([1]Cluster_Master!$H$4:$H$18,MATCH($F543,[1]Cluster_Master!$B$4:$B$18,0)),"")</f>
        <v/>
      </c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 t="str">
        <f>IF(COUNTA(T543:AH543)=0,"",SUM(T543:AH543))</f>
        <v/>
      </c>
      <c r="AJ543" s="57" t="str">
        <f>IF(COUNTA(T543:AH543)=0,"",AI543/75)</f>
        <v/>
      </c>
      <c r="AK543" s="57" t="str">
        <f>IF(COUNTA(T543:AH543)=0,"",(SUM(T543*[1]KPI_Weights!$B$4,U543*[1]KPI_Weights!$B$5,V543*[1]KPI_Weights!$B$6,W543*[1]KPI_Weights!$B$7,X543*[1]KPI_Weights!$B$8,Y543*[1]KPI_Weights!$B$9,Z543*[1]KPI_Weights!$B$10,AA543*[1]KPI_Weights!$B$11,AB543*[1]KPI_Weights!$B$12,AC543*[1]KPI_Weights!$B$13,AD543*[1]KPI_Weights!$B$14,AE543*[1]KPI_Weights!$B$15,AF543*[1]KPI_Weights!$B$16,AG543*[1]KPI_Weights!$B$17,AH543*[1]KPI_Weights!$B$18))/5)</f>
        <v/>
      </c>
      <c r="AL543" s="57" t="str">
        <f>IF(COUNTA(T543:AH543)=0,"",IF(OR(T543&lt;=1,W543&lt;=1,X543&lt;=1,Y543&lt;=1,AB543&lt;=1),"YES","NO"))</f>
        <v/>
      </c>
      <c r="AM543" s="57" t="str">
        <f>IF(AJ543="","",IF(AND(AL543="NO",AJ543&gt;=0.75),"YES","NO"))</f>
        <v/>
      </c>
      <c r="AN543" s="57" t="str">
        <f>IF(AJ543="","",IF(AJ543&lt;0.4,"Critical",IF(AJ543&lt;0.6,"Poor",IF(AJ543&lt;0.75,"Needs Improvement",IF(AJ543&lt;0.9,"Good","Excellent")))))</f>
        <v/>
      </c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</row>
    <row r="544" spans="1:54" ht="15" customHeight="1" x14ac:dyDescent="0.25">
      <c r="A544" s="57" t="str">
        <f>IF($B544="","",TEXT($B544,"yyyymmdd")&amp;"-"&amp;SUBSTITUTE($F544," ","")&amp;"-"&amp;TEXT(COUNTIF($F$4:F544,$F544),"00"))</f>
        <v/>
      </c>
      <c r="B544" s="57"/>
      <c r="C544" s="57" t="str">
        <f>IF($B544="","",WEEKNUM($B544,2))</f>
        <v/>
      </c>
      <c r="D544" s="57" t="str">
        <f>IF($B544="","",TEXT($B544,"yyyy-mm"))</f>
        <v/>
      </c>
      <c r="E544" s="57"/>
      <c r="F544" s="57"/>
      <c r="G544" s="57" t="str">
        <f>IF(OR($E544="",$F544=""),"",IFERROR(IF($E544=INDEX([1]Cluster_Master!$A$4:$A$18,MATCH($F544,[1]Cluster_Master!$B$4:$B$18,0)),"OK","CHECK"),"CHECK"))</f>
        <v/>
      </c>
      <c r="H544" s="57" t="str">
        <f>IFERROR(INDEX([1]Cluster_Master!$C$4:$C$18,MATCH($F544,[1]Cluster_Master!$B$4:$B$18,0)),"")</f>
        <v/>
      </c>
      <c r="I544" s="57" t="str">
        <f>IFERROR(INDEX([1]Cluster_Master!$D$4:$D$18,MATCH($F544,[1]Cluster_Master!$B$4:$B$18,0)),"")</f>
        <v/>
      </c>
      <c r="J544" s="57" t="str">
        <f>IFERROR(INDEX([1]Cluster_Master!$E$4:$E$18,MATCH($F544,[1]Cluster_Master!$B$4:$B$18,0)),"")</f>
        <v/>
      </c>
      <c r="K544" s="57" t="str">
        <f>IFERROR(INDEX([1]Cluster_Master!$F$4:$F$18,MATCH($F544,[1]Cluster_Master!$B$4:$B$18,0)),"")</f>
        <v/>
      </c>
      <c r="L544" s="57" t="str">
        <f>IFERROR(INDEX([1]Cluster_Master!$G$4:$G$18,MATCH($F544,[1]Cluster_Master!$B$4:$B$18,0)),"")</f>
        <v/>
      </c>
      <c r="M544" s="57" t="str">
        <f>IFERROR(INDEX([1]Cluster_Master!$H$4:$H$18,MATCH($F544,[1]Cluster_Master!$B$4:$B$18,0)),"")</f>
        <v/>
      </c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 t="str">
        <f>IF(COUNTA(T544:AH544)=0,"",SUM(T544:AH544))</f>
        <v/>
      </c>
      <c r="AJ544" s="57" t="str">
        <f>IF(COUNTA(T544:AH544)=0,"",AI544/75)</f>
        <v/>
      </c>
      <c r="AK544" s="57" t="str">
        <f>IF(COUNTA(T544:AH544)=0,"",(SUM(T544*[1]KPI_Weights!$B$4,U544*[1]KPI_Weights!$B$5,V544*[1]KPI_Weights!$B$6,W544*[1]KPI_Weights!$B$7,X544*[1]KPI_Weights!$B$8,Y544*[1]KPI_Weights!$B$9,Z544*[1]KPI_Weights!$B$10,AA544*[1]KPI_Weights!$B$11,AB544*[1]KPI_Weights!$B$12,AC544*[1]KPI_Weights!$B$13,AD544*[1]KPI_Weights!$B$14,AE544*[1]KPI_Weights!$B$15,AF544*[1]KPI_Weights!$B$16,AG544*[1]KPI_Weights!$B$17,AH544*[1]KPI_Weights!$B$18))/5)</f>
        <v/>
      </c>
      <c r="AL544" s="57" t="str">
        <f>IF(COUNTA(T544:AH544)=0,"",IF(OR(T544&lt;=1,W544&lt;=1,X544&lt;=1,Y544&lt;=1,AB544&lt;=1),"YES","NO"))</f>
        <v/>
      </c>
      <c r="AM544" s="57" t="str">
        <f>IF(AJ544="","",IF(AND(AL544="NO",AJ544&gt;=0.75),"YES","NO"))</f>
        <v/>
      </c>
      <c r="AN544" s="57" t="str">
        <f>IF(AJ544="","",IF(AJ544&lt;0.4,"Critical",IF(AJ544&lt;0.6,"Poor",IF(AJ544&lt;0.75,"Needs Improvement",IF(AJ544&lt;0.9,"Good","Excellent")))))</f>
        <v/>
      </c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</row>
    <row r="545" spans="1:54" ht="15" customHeight="1" x14ac:dyDescent="0.25">
      <c r="A545" s="57" t="str">
        <f>IF($B545="","",TEXT($B545,"yyyymmdd")&amp;"-"&amp;SUBSTITUTE($F545," ","")&amp;"-"&amp;TEXT(COUNTIF($F$4:F545,$F545),"00"))</f>
        <v/>
      </c>
      <c r="B545" s="57"/>
      <c r="C545" s="57" t="str">
        <f>IF($B545="","",WEEKNUM($B545,2))</f>
        <v/>
      </c>
      <c r="D545" s="57" t="str">
        <f>IF($B545="","",TEXT($B545,"yyyy-mm"))</f>
        <v/>
      </c>
      <c r="E545" s="57"/>
      <c r="F545" s="57"/>
      <c r="G545" s="57" t="str">
        <f>IF(OR($E545="",$F545=""),"",IFERROR(IF($E545=INDEX([1]Cluster_Master!$A$4:$A$18,MATCH($F545,[1]Cluster_Master!$B$4:$B$18,0)),"OK","CHECK"),"CHECK"))</f>
        <v/>
      </c>
      <c r="H545" s="57" t="str">
        <f>IFERROR(INDEX([1]Cluster_Master!$C$4:$C$18,MATCH($F545,[1]Cluster_Master!$B$4:$B$18,0)),"")</f>
        <v/>
      </c>
      <c r="I545" s="57" t="str">
        <f>IFERROR(INDEX([1]Cluster_Master!$D$4:$D$18,MATCH($F545,[1]Cluster_Master!$B$4:$B$18,0)),"")</f>
        <v/>
      </c>
      <c r="J545" s="57" t="str">
        <f>IFERROR(INDEX([1]Cluster_Master!$E$4:$E$18,MATCH($F545,[1]Cluster_Master!$B$4:$B$18,0)),"")</f>
        <v/>
      </c>
      <c r="K545" s="57" t="str">
        <f>IFERROR(INDEX([1]Cluster_Master!$F$4:$F$18,MATCH($F545,[1]Cluster_Master!$B$4:$B$18,0)),"")</f>
        <v/>
      </c>
      <c r="L545" s="57" t="str">
        <f>IFERROR(INDEX([1]Cluster_Master!$G$4:$G$18,MATCH($F545,[1]Cluster_Master!$B$4:$B$18,0)),"")</f>
        <v/>
      </c>
      <c r="M545" s="57" t="str">
        <f>IFERROR(INDEX([1]Cluster_Master!$H$4:$H$18,MATCH($F545,[1]Cluster_Master!$B$4:$B$18,0)),"")</f>
        <v/>
      </c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 t="str">
        <f>IF(COUNTA(T545:AH545)=0,"",SUM(T545:AH545))</f>
        <v/>
      </c>
      <c r="AJ545" s="57" t="str">
        <f>IF(COUNTA(T545:AH545)=0,"",AI545/75)</f>
        <v/>
      </c>
      <c r="AK545" s="57" t="str">
        <f>IF(COUNTA(T545:AH545)=0,"",(SUM(T545*[1]KPI_Weights!$B$4,U545*[1]KPI_Weights!$B$5,V545*[1]KPI_Weights!$B$6,W545*[1]KPI_Weights!$B$7,X545*[1]KPI_Weights!$B$8,Y545*[1]KPI_Weights!$B$9,Z545*[1]KPI_Weights!$B$10,AA545*[1]KPI_Weights!$B$11,AB545*[1]KPI_Weights!$B$12,AC545*[1]KPI_Weights!$B$13,AD545*[1]KPI_Weights!$B$14,AE545*[1]KPI_Weights!$B$15,AF545*[1]KPI_Weights!$B$16,AG545*[1]KPI_Weights!$B$17,AH545*[1]KPI_Weights!$B$18))/5)</f>
        <v/>
      </c>
      <c r="AL545" s="57" t="str">
        <f>IF(COUNTA(T545:AH545)=0,"",IF(OR(T545&lt;=1,W545&lt;=1,X545&lt;=1,Y545&lt;=1,AB545&lt;=1),"YES","NO"))</f>
        <v/>
      </c>
      <c r="AM545" s="57" t="str">
        <f>IF(AJ545="","",IF(AND(AL545="NO",AJ545&gt;=0.75),"YES","NO"))</f>
        <v/>
      </c>
      <c r="AN545" s="57" t="str">
        <f>IF(AJ545="","",IF(AJ545&lt;0.4,"Critical",IF(AJ545&lt;0.6,"Poor",IF(AJ545&lt;0.75,"Needs Improvement",IF(AJ545&lt;0.9,"Good","Excellent")))))</f>
        <v/>
      </c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</row>
    <row r="546" spans="1:54" ht="15" customHeight="1" x14ac:dyDescent="0.25">
      <c r="A546" s="57" t="str">
        <f>IF($B546="","",TEXT($B546,"yyyymmdd")&amp;"-"&amp;SUBSTITUTE($F546," ","")&amp;"-"&amp;TEXT(COUNTIF($F$4:F546,$F546),"00"))</f>
        <v/>
      </c>
      <c r="B546" s="57"/>
      <c r="C546" s="57" t="str">
        <f>IF($B546="","",WEEKNUM($B546,2))</f>
        <v/>
      </c>
      <c r="D546" s="57" t="str">
        <f>IF($B546="","",TEXT($B546,"yyyy-mm"))</f>
        <v/>
      </c>
      <c r="E546" s="57"/>
      <c r="F546" s="57"/>
      <c r="G546" s="57" t="str">
        <f>IF(OR($E546="",$F546=""),"",IFERROR(IF($E546=INDEX([1]Cluster_Master!$A$4:$A$18,MATCH($F546,[1]Cluster_Master!$B$4:$B$18,0)),"OK","CHECK"),"CHECK"))</f>
        <v/>
      </c>
      <c r="H546" s="57" t="str">
        <f>IFERROR(INDEX([1]Cluster_Master!$C$4:$C$18,MATCH($F546,[1]Cluster_Master!$B$4:$B$18,0)),"")</f>
        <v/>
      </c>
      <c r="I546" s="57" t="str">
        <f>IFERROR(INDEX([1]Cluster_Master!$D$4:$D$18,MATCH($F546,[1]Cluster_Master!$B$4:$B$18,0)),"")</f>
        <v/>
      </c>
      <c r="J546" s="57" t="str">
        <f>IFERROR(INDEX([1]Cluster_Master!$E$4:$E$18,MATCH($F546,[1]Cluster_Master!$B$4:$B$18,0)),"")</f>
        <v/>
      </c>
      <c r="K546" s="57" t="str">
        <f>IFERROR(INDEX([1]Cluster_Master!$F$4:$F$18,MATCH($F546,[1]Cluster_Master!$B$4:$B$18,0)),"")</f>
        <v/>
      </c>
      <c r="L546" s="57" t="str">
        <f>IFERROR(INDEX([1]Cluster_Master!$G$4:$G$18,MATCH($F546,[1]Cluster_Master!$B$4:$B$18,0)),"")</f>
        <v/>
      </c>
      <c r="M546" s="57" t="str">
        <f>IFERROR(INDEX([1]Cluster_Master!$H$4:$H$18,MATCH($F546,[1]Cluster_Master!$B$4:$B$18,0)),"")</f>
        <v/>
      </c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 t="str">
        <f>IF(COUNTA(T546:AH546)=0,"",SUM(T546:AH546))</f>
        <v/>
      </c>
      <c r="AJ546" s="57" t="str">
        <f>IF(COUNTA(T546:AH546)=0,"",AI546/75)</f>
        <v/>
      </c>
      <c r="AK546" s="57" t="str">
        <f>IF(COUNTA(T546:AH546)=0,"",(SUM(T546*[1]KPI_Weights!$B$4,U546*[1]KPI_Weights!$B$5,V546*[1]KPI_Weights!$B$6,W546*[1]KPI_Weights!$B$7,X546*[1]KPI_Weights!$B$8,Y546*[1]KPI_Weights!$B$9,Z546*[1]KPI_Weights!$B$10,AA546*[1]KPI_Weights!$B$11,AB546*[1]KPI_Weights!$B$12,AC546*[1]KPI_Weights!$B$13,AD546*[1]KPI_Weights!$B$14,AE546*[1]KPI_Weights!$B$15,AF546*[1]KPI_Weights!$B$16,AG546*[1]KPI_Weights!$B$17,AH546*[1]KPI_Weights!$B$18))/5)</f>
        <v/>
      </c>
      <c r="AL546" s="57" t="str">
        <f>IF(COUNTA(T546:AH546)=0,"",IF(OR(T546&lt;=1,W546&lt;=1,X546&lt;=1,Y546&lt;=1,AB546&lt;=1),"YES","NO"))</f>
        <v/>
      </c>
      <c r="AM546" s="57" t="str">
        <f>IF(AJ546="","",IF(AND(AL546="NO",AJ546&gt;=0.75),"YES","NO"))</f>
        <v/>
      </c>
      <c r="AN546" s="57" t="str">
        <f>IF(AJ546="","",IF(AJ546&lt;0.4,"Critical",IF(AJ546&lt;0.6,"Poor",IF(AJ546&lt;0.75,"Needs Improvement",IF(AJ546&lt;0.9,"Good","Excellent")))))</f>
        <v/>
      </c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</row>
    <row r="547" spans="1:54" ht="15" customHeight="1" x14ac:dyDescent="0.25">
      <c r="A547" s="57" t="str">
        <f>IF($B547="","",TEXT($B547,"yyyymmdd")&amp;"-"&amp;SUBSTITUTE($F547," ","")&amp;"-"&amp;TEXT(COUNTIF($F$4:F547,$F547),"00"))</f>
        <v/>
      </c>
      <c r="B547" s="57"/>
      <c r="C547" s="57" t="str">
        <f>IF($B547="","",WEEKNUM($B547,2))</f>
        <v/>
      </c>
      <c r="D547" s="57" t="str">
        <f>IF($B547="","",TEXT($B547,"yyyy-mm"))</f>
        <v/>
      </c>
      <c r="E547" s="57"/>
      <c r="F547" s="57"/>
      <c r="G547" s="57" t="str">
        <f>IF(OR($E547="",$F547=""),"",IFERROR(IF($E547=INDEX([1]Cluster_Master!$A$4:$A$18,MATCH($F547,[1]Cluster_Master!$B$4:$B$18,0)),"OK","CHECK"),"CHECK"))</f>
        <v/>
      </c>
      <c r="H547" s="57" t="str">
        <f>IFERROR(INDEX([1]Cluster_Master!$C$4:$C$18,MATCH($F547,[1]Cluster_Master!$B$4:$B$18,0)),"")</f>
        <v/>
      </c>
      <c r="I547" s="57" t="str">
        <f>IFERROR(INDEX([1]Cluster_Master!$D$4:$D$18,MATCH($F547,[1]Cluster_Master!$B$4:$B$18,0)),"")</f>
        <v/>
      </c>
      <c r="J547" s="57" t="str">
        <f>IFERROR(INDEX([1]Cluster_Master!$E$4:$E$18,MATCH($F547,[1]Cluster_Master!$B$4:$B$18,0)),"")</f>
        <v/>
      </c>
      <c r="K547" s="57" t="str">
        <f>IFERROR(INDEX([1]Cluster_Master!$F$4:$F$18,MATCH($F547,[1]Cluster_Master!$B$4:$B$18,0)),"")</f>
        <v/>
      </c>
      <c r="L547" s="57" t="str">
        <f>IFERROR(INDEX([1]Cluster_Master!$G$4:$G$18,MATCH($F547,[1]Cluster_Master!$B$4:$B$18,0)),"")</f>
        <v/>
      </c>
      <c r="M547" s="57" t="str">
        <f>IFERROR(INDEX([1]Cluster_Master!$H$4:$H$18,MATCH($F547,[1]Cluster_Master!$B$4:$B$18,0)),"")</f>
        <v/>
      </c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 t="str">
        <f>IF(COUNTA(T547:AH547)=0,"",SUM(T547:AH547))</f>
        <v/>
      </c>
      <c r="AJ547" s="57" t="str">
        <f>IF(COUNTA(T547:AH547)=0,"",AI547/75)</f>
        <v/>
      </c>
      <c r="AK547" s="57" t="str">
        <f>IF(COUNTA(T547:AH547)=0,"",(SUM(T547*[1]KPI_Weights!$B$4,U547*[1]KPI_Weights!$B$5,V547*[1]KPI_Weights!$B$6,W547*[1]KPI_Weights!$B$7,X547*[1]KPI_Weights!$B$8,Y547*[1]KPI_Weights!$B$9,Z547*[1]KPI_Weights!$B$10,AA547*[1]KPI_Weights!$B$11,AB547*[1]KPI_Weights!$B$12,AC547*[1]KPI_Weights!$B$13,AD547*[1]KPI_Weights!$B$14,AE547*[1]KPI_Weights!$B$15,AF547*[1]KPI_Weights!$B$16,AG547*[1]KPI_Weights!$B$17,AH547*[1]KPI_Weights!$B$18))/5)</f>
        <v/>
      </c>
      <c r="AL547" s="57" t="str">
        <f>IF(COUNTA(T547:AH547)=0,"",IF(OR(T547&lt;=1,W547&lt;=1,X547&lt;=1,Y547&lt;=1,AB547&lt;=1),"YES","NO"))</f>
        <v/>
      </c>
      <c r="AM547" s="57" t="str">
        <f>IF(AJ547="","",IF(AND(AL547="NO",AJ547&gt;=0.75),"YES","NO"))</f>
        <v/>
      </c>
      <c r="AN547" s="57" t="str">
        <f>IF(AJ547="","",IF(AJ547&lt;0.4,"Critical",IF(AJ547&lt;0.6,"Poor",IF(AJ547&lt;0.75,"Needs Improvement",IF(AJ547&lt;0.9,"Good","Excellent")))))</f>
        <v/>
      </c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</row>
    <row r="548" spans="1:54" ht="15" customHeight="1" x14ac:dyDescent="0.25">
      <c r="A548" s="57" t="str">
        <f>IF($B548="","",TEXT($B548,"yyyymmdd")&amp;"-"&amp;SUBSTITUTE($F548," ","")&amp;"-"&amp;TEXT(COUNTIF($F$4:F548,$F548),"00"))</f>
        <v/>
      </c>
      <c r="B548" s="57"/>
      <c r="C548" s="57" t="str">
        <f>IF($B548="","",WEEKNUM($B548,2))</f>
        <v/>
      </c>
      <c r="D548" s="57" t="str">
        <f>IF($B548="","",TEXT($B548,"yyyy-mm"))</f>
        <v/>
      </c>
      <c r="E548" s="57"/>
      <c r="F548" s="57"/>
      <c r="G548" s="57" t="str">
        <f>IF(OR($E548="",$F548=""),"",IFERROR(IF($E548=INDEX([1]Cluster_Master!$A$4:$A$18,MATCH($F548,[1]Cluster_Master!$B$4:$B$18,0)),"OK","CHECK"),"CHECK"))</f>
        <v/>
      </c>
      <c r="H548" s="57" t="str">
        <f>IFERROR(INDEX([1]Cluster_Master!$C$4:$C$18,MATCH($F548,[1]Cluster_Master!$B$4:$B$18,0)),"")</f>
        <v/>
      </c>
      <c r="I548" s="57" t="str">
        <f>IFERROR(INDEX([1]Cluster_Master!$D$4:$D$18,MATCH($F548,[1]Cluster_Master!$B$4:$B$18,0)),"")</f>
        <v/>
      </c>
      <c r="J548" s="57" t="str">
        <f>IFERROR(INDEX([1]Cluster_Master!$E$4:$E$18,MATCH($F548,[1]Cluster_Master!$B$4:$B$18,0)),"")</f>
        <v/>
      </c>
      <c r="K548" s="57" t="str">
        <f>IFERROR(INDEX([1]Cluster_Master!$F$4:$F$18,MATCH($F548,[1]Cluster_Master!$B$4:$B$18,0)),"")</f>
        <v/>
      </c>
      <c r="L548" s="57" t="str">
        <f>IFERROR(INDEX([1]Cluster_Master!$G$4:$G$18,MATCH($F548,[1]Cluster_Master!$B$4:$B$18,0)),"")</f>
        <v/>
      </c>
      <c r="M548" s="57" t="str">
        <f>IFERROR(INDEX([1]Cluster_Master!$H$4:$H$18,MATCH($F548,[1]Cluster_Master!$B$4:$B$18,0)),"")</f>
        <v/>
      </c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 t="str">
        <f>IF(COUNTA(T548:AH548)=0,"",SUM(T548:AH548))</f>
        <v/>
      </c>
      <c r="AJ548" s="57" t="str">
        <f>IF(COUNTA(T548:AH548)=0,"",AI548/75)</f>
        <v/>
      </c>
      <c r="AK548" s="57" t="str">
        <f>IF(COUNTA(T548:AH548)=0,"",(SUM(T548*[1]KPI_Weights!$B$4,U548*[1]KPI_Weights!$B$5,V548*[1]KPI_Weights!$B$6,W548*[1]KPI_Weights!$B$7,X548*[1]KPI_Weights!$B$8,Y548*[1]KPI_Weights!$B$9,Z548*[1]KPI_Weights!$B$10,AA548*[1]KPI_Weights!$B$11,AB548*[1]KPI_Weights!$B$12,AC548*[1]KPI_Weights!$B$13,AD548*[1]KPI_Weights!$B$14,AE548*[1]KPI_Weights!$B$15,AF548*[1]KPI_Weights!$B$16,AG548*[1]KPI_Weights!$B$17,AH548*[1]KPI_Weights!$B$18))/5)</f>
        <v/>
      </c>
      <c r="AL548" s="57" t="str">
        <f>IF(COUNTA(T548:AH548)=0,"",IF(OR(T548&lt;=1,W548&lt;=1,X548&lt;=1,Y548&lt;=1,AB548&lt;=1),"YES","NO"))</f>
        <v/>
      </c>
      <c r="AM548" s="57" t="str">
        <f>IF(AJ548="","",IF(AND(AL548="NO",AJ548&gt;=0.75),"YES","NO"))</f>
        <v/>
      </c>
      <c r="AN548" s="57" t="str">
        <f>IF(AJ548="","",IF(AJ548&lt;0.4,"Critical",IF(AJ548&lt;0.6,"Poor",IF(AJ548&lt;0.75,"Needs Improvement",IF(AJ548&lt;0.9,"Good","Excellent")))))</f>
        <v/>
      </c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</row>
    <row r="549" spans="1:54" ht="15" customHeight="1" x14ac:dyDescent="0.25">
      <c r="A549" s="57" t="str">
        <f>IF($B549="","",TEXT($B549,"yyyymmdd")&amp;"-"&amp;SUBSTITUTE($F549," ","")&amp;"-"&amp;TEXT(COUNTIF($F$4:F549,$F549),"00"))</f>
        <v/>
      </c>
      <c r="B549" s="57"/>
      <c r="C549" s="57" t="str">
        <f>IF($B549="","",WEEKNUM($B549,2))</f>
        <v/>
      </c>
      <c r="D549" s="57" t="str">
        <f>IF($B549="","",TEXT($B549,"yyyy-mm"))</f>
        <v/>
      </c>
      <c r="E549" s="57"/>
      <c r="F549" s="57"/>
      <c r="G549" s="57" t="str">
        <f>IF(OR($E549="",$F549=""),"",IFERROR(IF($E549=INDEX([1]Cluster_Master!$A$4:$A$18,MATCH($F549,[1]Cluster_Master!$B$4:$B$18,0)),"OK","CHECK"),"CHECK"))</f>
        <v/>
      </c>
      <c r="H549" s="57" t="str">
        <f>IFERROR(INDEX([1]Cluster_Master!$C$4:$C$18,MATCH($F549,[1]Cluster_Master!$B$4:$B$18,0)),"")</f>
        <v/>
      </c>
      <c r="I549" s="57" t="str">
        <f>IFERROR(INDEX([1]Cluster_Master!$D$4:$D$18,MATCH($F549,[1]Cluster_Master!$B$4:$B$18,0)),"")</f>
        <v/>
      </c>
      <c r="J549" s="57" t="str">
        <f>IFERROR(INDEX([1]Cluster_Master!$E$4:$E$18,MATCH($F549,[1]Cluster_Master!$B$4:$B$18,0)),"")</f>
        <v/>
      </c>
      <c r="K549" s="57" t="str">
        <f>IFERROR(INDEX([1]Cluster_Master!$F$4:$F$18,MATCH($F549,[1]Cluster_Master!$B$4:$B$18,0)),"")</f>
        <v/>
      </c>
      <c r="L549" s="57" t="str">
        <f>IFERROR(INDEX([1]Cluster_Master!$G$4:$G$18,MATCH($F549,[1]Cluster_Master!$B$4:$B$18,0)),"")</f>
        <v/>
      </c>
      <c r="M549" s="57" t="str">
        <f>IFERROR(INDEX([1]Cluster_Master!$H$4:$H$18,MATCH($F549,[1]Cluster_Master!$B$4:$B$18,0)),"")</f>
        <v/>
      </c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 t="str">
        <f>IF(COUNTA(T549:AH549)=0,"",SUM(T549:AH549))</f>
        <v/>
      </c>
      <c r="AJ549" s="57" t="str">
        <f>IF(COUNTA(T549:AH549)=0,"",AI549/75)</f>
        <v/>
      </c>
      <c r="AK549" s="57" t="str">
        <f>IF(COUNTA(T549:AH549)=0,"",(SUM(T549*[1]KPI_Weights!$B$4,U549*[1]KPI_Weights!$B$5,V549*[1]KPI_Weights!$B$6,W549*[1]KPI_Weights!$B$7,X549*[1]KPI_Weights!$B$8,Y549*[1]KPI_Weights!$B$9,Z549*[1]KPI_Weights!$B$10,AA549*[1]KPI_Weights!$B$11,AB549*[1]KPI_Weights!$B$12,AC549*[1]KPI_Weights!$B$13,AD549*[1]KPI_Weights!$B$14,AE549*[1]KPI_Weights!$B$15,AF549*[1]KPI_Weights!$B$16,AG549*[1]KPI_Weights!$B$17,AH549*[1]KPI_Weights!$B$18))/5)</f>
        <v/>
      </c>
      <c r="AL549" s="57" t="str">
        <f>IF(COUNTA(T549:AH549)=0,"",IF(OR(T549&lt;=1,W549&lt;=1,X549&lt;=1,Y549&lt;=1,AB549&lt;=1),"YES","NO"))</f>
        <v/>
      </c>
      <c r="AM549" s="57" t="str">
        <f>IF(AJ549="","",IF(AND(AL549="NO",AJ549&gt;=0.75),"YES","NO"))</f>
        <v/>
      </c>
      <c r="AN549" s="57" t="str">
        <f>IF(AJ549="","",IF(AJ549&lt;0.4,"Critical",IF(AJ549&lt;0.6,"Poor",IF(AJ549&lt;0.75,"Needs Improvement",IF(AJ549&lt;0.9,"Good","Excellent")))))</f>
        <v/>
      </c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</row>
    <row r="550" spans="1:54" ht="15" customHeight="1" x14ac:dyDescent="0.25">
      <c r="A550" s="57" t="str">
        <f>IF($B550="","",TEXT($B550,"yyyymmdd")&amp;"-"&amp;SUBSTITUTE($F550," ","")&amp;"-"&amp;TEXT(COUNTIF($F$4:F550,$F550),"00"))</f>
        <v/>
      </c>
      <c r="B550" s="57"/>
      <c r="C550" s="57" t="str">
        <f>IF($B550="","",WEEKNUM($B550,2))</f>
        <v/>
      </c>
      <c r="D550" s="57" t="str">
        <f>IF($B550="","",TEXT($B550,"yyyy-mm"))</f>
        <v/>
      </c>
      <c r="E550" s="57"/>
      <c r="F550" s="57"/>
      <c r="G550" s="57" t="str">
        <f>IF(OR($E550="",$F550=""),"",IFERROR(IF($E550=INDEX([1]Cluster_Master!$A$4:$A$18,MATCH($F550,[1]Cluster_Master!$B$4:$B$18,0)),"OK","CHECK"),"CHECK"))</f>
        <v/>
      </c>
      <c r="H550" s="57" t="str">
        <f>IFERROR(INDEX([1]Cluster_Master!$C$4:$C$18,MATCH($F550,[1]Cluster_Master!$B$4:$B$18,0)),"")</f>
        <v/>
      </c>
      <c r="I550" s="57" t="str">
        <f>IFERROR(INDEX([1]Cluster_Master!$D$4:$D$18,MATCH($F550,[1]Cluster_Master!$B$4:$B$18,0)),"")</f>
        <v/>
      </c>
      <c r="J550" s="57" t="str">
        <f>IFERROR(INDEX([1]Cluster_Master!$E$4:$E$18,MATCH($F550,[1]Cluster_Master!$B$4:$B$18,0)),"")</f>
        <v/>
      </c>
      <c r="K550" s="57" t="str">
        <f>IFERROR(INDEX([1]Cluster_Master!$F$4:$F$18,MATCH($F550,[1]Cluster_Master!$B$4:$B$18,0)),"")</f>
        <v/>
      </c>
      <c r="L550" s="57" t="str">
        <f>IFERROR(INDEX([1]Cluster_Master!$G$4:$G$18,MATCH($F550,[1]Cluster_Master!$B$4:$B$18,0)),"")</f>
        <v/>
      </c>
      <c r="M550" s="57" t="str">
        <f>IFERROR(INDEX([1]Cluster_Master!$H$4:$H$18,MATCH($F550,[1]Cluster_Master!$B$4:$B$18,0)),"")</f>
        <v/>
      </c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 t="str">
        <f>IF(COUNTA(T550:AH550)=0,"",SUM(T550:AH550))</f>
        <v/>
      </c>
      <c r="AJ550" s="57" t="str">
        <f>IF(COUNTA(T550:AH550)=0,"",AI550/75)</f>
        <v/>
      </c>
      <c r="AK550" s="57" t="str">
        <f>IF(COUNTA(T550:AH550)=0,"",(SUM(T550*[1]KPI_Weights!$B$4,U550*[1]KPI_Weights!$B$5,V550*[1]KPI_Weights!$B$6,W550*[1]KPI_Weights!$B$7,X550*[1]KPI_Weights!$B$8,Y550*[1]KPI_Weights!$B$9,Z550*[1]KPI_Weights!$B$10,AA550*[1]KPI_Weights!$B$11,AB550*[1]KPI_Weights!$B$12,AC550*[1]KPI_Weights!$B$13,AD550*[1]KPI_Weights!$B$14,AE550*[1]KPI_Weights!$B$15,AF550*[1]KPI_Weights!$B$16,AG550*[1]KPI_Weights!$B$17,AH550*[1]KPI_Weights!$B$18))/5)</f>
        <v/>
      </c>
      <c r="AL550" s="57" t="str">
        <f>IF(COUNTA(T550:AH550)=0,"",IF(OR(T550&lt;=1,W550&lt;=1,X550&lt;=1,Y550&lt;=1,AB550&lt;=1),"YES","NO"))</f>
        <v/>
      </c>
      <c r="AM550" s="57" t="str">
        <f>IF(AJ550="","",IF(AND(AL550="NO",AJ550&gt;=0.75),"YES","NO"))</f>
        <v/>
      </c>
      <c r="AN550" s="57" t="str">
        <f>IF(AJ550="","",IF(AJ550&lt;0.4,"Critical",IF(AJ550&lt;0.6,"Poor",IF(AJ550&lt;0.75,"Needs Improvement",IF(AJ550&lt;0.9,"Good","Excellent")))))</f>
        <v/>
      </c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</row>
    <row r="551" spans="1:54" ht="15" customHeight="1" x14ac:dyDescent="0.25">
      <c r="A551" s="57" t="str">
        <f>IF($B551="","",TEXT($B551,"yyyymmdd")&amp;"-"&amp;SUBSTITUTE($F551," ","")&amp;"-"&amp;TEXT(COUNTIF($F$4:F551,$F551),"00"))</f>
        <v/>
      </c>
      <c r="B551" s="57"/>
      <c r="C551" s="57" t="str">
        <f>IF($B551="","",WEEKNUM($B551,2))</f>
        <v/>
      </c>
      <c r="D551" s="57" t="str">
        <f>IF($B551="","",TEXT($B551,"yyyy-mm"))</f>
        <v/>
      </c>
      <c r="E551" s="57"/>
      <c r="F551" s="57"/>
      <c r="G551" s="57" t="str">
        <f>IF(OR($E551="",$F551=""),"",IFERROR(IF($E551=INDEX([1]Cluster_Master!$A$4:$A$18,MATCH($F551,[1]Cluster_Master!$B$4:$B$18,0)),"OK","CHECK"),"CHECK"))</f>
        <v/>
      </c>
      <c r="H551" s="57" t="str">
        <f>IFERROR(INDEX([1]Cluster_Master!$C$4:$C$18,MATCH($F551,[1]Cluster_Master!$B$4:$B$18,0)),"")</f>
        <v/>
      </c>
      <c r="I551" s="57" t="str">
        <f>IFERROR(INDEX([1]Cluster_Master!$D$4:$D$18,MATCH($F551,[1]Cluster_Master!$B$4:$B$18,0)),"")</f>
        <v/>
      </c>
      <c r="J551" s="57" t="str">
        <f>IFERROR(INDEX([1]Cluster_Master!$E$4:$E$18,MATCH($F551,[1]Cluster_Master!$B$4:$B$18,0)),"")</f>
        <v/>
      </c>
      <c r="K551" s="57" t="str">
        <f>IFERROR(INDEX([1]Cluster_Master!$F$4:$F$18,MATCH($F551,[1]Cluster_Master!$B$4:$B$18,0)),"")</f>
        <v/>
      </c>
      <c r="L551" s="57" t="str">
        <f>IFERROR(INDEX([1]Cluster_Master!$G$4:$G$18,MATCH($F551,[1]Cluster_Master!$B$4:$B$18,0)),"")</f>
        <v/>
      </c>
      <c r="M551" s="57" t="str">
        <f>IFERROR(INDEX([1]Cluster_Master!$H$4:$H$18,MATCH($F551,[1]Cluster_Master!$B$4:$B$18,0)),"")</f>
        <v/>
      </c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 t="str">
        <f>IF(COUNTA(T551:AH551)=0,"",SUM(T551:AH551))</f>
        <v/>
      </c>
      <c r="AJ551" s="57" t="str">
        <f>IF(COUNTA(T551:AH551)=0,"",AI551/75)</f>
        <v/>
      </c>
      <c r="AK551" s="57" t="str">
        <f>IF(COUNTA(T551:AH551)=0,"",(SUM(T551*[1]KPI_Weights!$B$4,U551*[1]KPI_Weights!$B$5,V551*[1]KPI_Weights!$B$6,W551*[1]KPI_Weights!$B$7,X551*[1]KPI_Weights!$B$8,Y551*[1]KPI_Weights!$B$9,Z551*[1]KPI_Weights!$B$10,AA551*[1]KPI_Weights!$B$11,AB551*[1]KPI_Weights!$B$12,AC551*[1]KPI_Weights!$B$13,AD551*[1]KPI_Weights!$B$14,AE551*[1]KPI_Weights!$B$15,AF551*[1]KPI_Weights!$B$16,AG551*[1]KPI_Weights!$B$17,AH551*[1]KPI_Weights!$B$18))/5)</f>
        <v/>
      </c>
      <c r="AL551" s="57" t="str">
        <f>IF(COUNTA(T551:AH551)=0,"",IF(OR(T551&lt;=1,W551&lt;=1,X551&lt;=1,Y551&lt;=1,AB551&lt;=1),"YES","NO"))</f>
        <v/>
      </c>
      <c r="AM551" s="57" t="str">
        <f>IF(AJ551="","",IF(AND(AL551="NO",AJ551&gt;=0.75),"YES","NO"))</f>
        <v/>
      </c>
      <c r="AN551" s="57" t="str">
        <f>IF(AJ551="","",IF(AJ551&lt;0.4,"Critical",IF(AJ551&lt;0.6,"Poor",IF(AJ551&lt;0.75,"Needs Improvement",IF(AJ551&lt;0.9,"Good","Excellent")))))</f>
        <v/>
      </c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</row>
    <row r="552" spans="1:54" ht="15" customHeight="1" x14ac:dyDescent="0.25">
      <c r="A552" s="57" t="str">
        <f>IF($B552="","",TEXT($B552,"yyyymmdd")&amp;"-"&amp;SUBSTITUTE($F552," ","")&amp;"-"&amp;TEXT(COUNTIF($F$4:F552,$F552),"00"))</f>
        <v/>
      </c>
      <c r="B552" s="57"/>
      <c r="C552" s="57" t="str">
        <f>IF($B552="","",WEEKNUM($B552,2))</f>
        <v/>
      </c>
      <c r="D552" s="57" t="str">
        <f>IF($B552="","",TEXT($B552,"yyyy-mm"))</f>
        <v/>
      </c>
      <c r="E552" s="57"/>
      <c r="F552" s="57"/>
      <c r="G552" s="57" t="str">
        <f>IF(OR($E552="",$F552=""),"",IFERROR(IF($E552=INDEX([1]Cluster_Master!$A$4:$A$18,MATCH($F552,[1]Cluster_Master!$B$4:$B$18,0)),"OK","CHECK"),"CHECK"))</f>
        <v/>
      </c>
      <c r="H552" s="57" t="str">
        <f>IFERROR(INDEX([1]Cluster_Master!$C$4:$C$18,MATCH($F552,[1]Cluster_Master!$B$4:$B$18,0)),"")</f>
        <v/>
      </c>
      <c r="I552" s="57" t="str">
        <f>IFERROR(INDEX([1]Cluster_Master!$D$4:$D$18,MATCH($F552,[1]Cluster_Master!$B$4:$B$18,0)),"")</f>
        <v/>
      </c>
      <c r="J552" s="57" t="str">
        <f>IFERROR(INDEX([1]Cluster_Master!$E$4:$E$18,MATCH($F552,[1]Cluster_Master!$B$4:$B$18,0)),"")</f>
        <v/>
      </c>
      <c r="K552" s="57" t="str">
        <f>IFERROR(INDEX([1]Cluster_Master!$F$4:$F$18,MATCH($F552,[1]Cluster_Master!$B$4:$B$18,0)),"")</f>
        <v/>
      </c>
      <c r="L552" s="57" t="str">
        <f>IFERROR(INDEX([1]Cluster_Master!$G$4:$G$18,MATCH($F552,[1]Cluster_Master!$B$4:$B$18,0)),"")</f>
        <v/>
      </c>
      <c r="M552" s="57" t="str">
        <f>IFERROR(INDEX([1]Cluster_Master!$H$4:$H$18,MATCH($F552,[1]Cluster_Master!$B$4:$B$18,0)),"")</f>
        <v/>
      </c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 t="str">
        <f>IF(COUNTA(T552:AH552)=0,"",SUM(T552:AH552))</f>
        <v/>
      </c>
      <c r="AJ552" s="57" t="str">
        <f>IF(COUNTA(T552:AH552)=0,"",AI552/75)</f>
        <v/>
      </c>
      <c r="AK552" s="57" t="str">
        <f>IF(COUNTA(T552:AH552)=0,"",(SUM(T552*[1]KPI_Weights!$B$4,U552*[1]KPI_Weights!$B$5,V552*[1]KPI_Weights!$B$6,W552*[1]KPI_Weights!$B$7,X552*[1]KPI_Weights!$B$8,Y552*[1]KPI_Weights!$B$9,Z552*[1]KPI_Weights!$B$10,AA552*[1]KPI_Weights!$B$11,AB552*[1]KPI_Weights!$B$12,AC552*[1]KPI_Weights!$B$13,AD552*[1]KPI_Weights!$B$14,AE552*[1]KPI_Weights!$B$15,AF552*[1]KPI_Weights!$B$16,AG552*[1]KPI_Weights!$B$17,AH552*[1]KPI_Weights!$B$18))/5)</f>
        <v/>
      </c>
      <c r="AL552" s="57" t="str">
        <f>IF(COUNTA(T552:AH552)=0,"",IF(OR(T552&lt;=1,W552&lt;=1,X552&lt;=1,Y552&lt;=1,AB552&lt;=1),"YES","NO"))</f>
        <v/>
      </c>
      <c r="AM552" s="57" t="str">
        <f>IF(AJ552="","",IF(AND(AL552="NO",AJ552&gt;=0.75),"YES","NO"))</f>
        <v/>
      </c>
      <c r="AN552" s="57" t="str">
        <f>IF(AJ552="","",IF(AJ552&lt;0.4,"Critical",IF(AJ552&lt;0.6,"Poor",IF(AJ552&lt;0.75,"Needs Improvement",IF(AJ552&lt;0.9,"Good","Excellent")))))</f>
        <v/>
      </c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</row>
    <row r="553" spans="1:54" ht="15" customHeight="1" x14ac:dyDescent="0.25">
      <c r="A553" s="57" t="str">
        <f>IF($B553="","",TEXT($B553,"yyyymmdd")&amp;"-"&amp;SUBSTITUTE($F553," ","")&amp;"-"&amp;TEXT(COUNTIF($F$4:F553,$F553),"00"))</f>
        <v/>
      </c>
      <c r="B553" s="57"/>
      <c r="C553" s="57" t="str">
        <f>IF($B553="","",WEEKNUM($B553,2))</f>
        <v/>
      </c>
      <c r="D553" s="57" t="str">
        <f>IF($B553="","",TEXT($B553,"yyyy-mm"))</f>
        <v/>
      </c>
      <c r="E553" s="57"/>
      <c r="F553" s="57"/>
      <c r="G553" s="57" t="str">
        <f>IF(OR($E553="",$F553=""),"",IFERROR(IF($E553=INDEX([1]Cluster_Master!$A$4:$A$18,MATCH($F553,[1]Cluster_Master!$B$4:$B$18,0)),"OK","CHECK"),"CHECK"))</f>
        <v/>
      </c>
      <c r="H553" s="57" t="str">
        <f>IFERROR(INDEX([1]Cluster_Master!$C$4:$C$18,MATCH($F553,[1]Cluster_Master!$B$4:$B$18,0)),"")</f>
        <v/>
      </c>
      <c r="I553" s="57" t="str">
        <f>IFERROR(INDEX([1]Cluster_Master!$D$4:$D$18,MATCH($F553,[1]Cluster_Master!$B$4:$B$18,0)),"")</f>
        <v/>
      </c>
      <c r="J553" s="57" t="str">
        <f>IFERROR(INDEX([1]Cluster_Master!$E$4:$E$18,MATCH($F553,[1]Cluster_Master!$B$4:$B$18,0)),"")</f>
        <v/>
      </c>
      <c r="K553" s="57" t="str">
        <f>IFERROR(INDEX([1]Cluster_Master!$F$4:$F$18,MATCH($F553,[1]Cluster_Master!$B$4:$B$18,0)),"")</f>
        <v/>
      </c>
      <c r="L553" s="57" t="str">
        <f>IFERROR(INDEX([1]Cluster_Master!$G$4:$G$18,MATCH($F553,[1]Cluster_Master!$B$4:$B$18,0)),"")</f>
        <v/>
      </c>
      <c r="M553" s="57" t="str">
        <f>IFERROR(INDEX([1]Cluster_Master!$H$4:$H$18,MATCH($F553,[1]Cluster_Master!$B$4:$B$18,0)),"")</f>
        <v/>
      </c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 t="str">
        <f>IF(COUNTA(T553:AH553)=0,"",SUM(T553:AH553))</f>
        <v/>
      </c>
      <c r="AJ553" s="57" t="str">
        <f>IF(COUNTA(T553:AH553)=0,"",AI553/75)</f>
        <v/>
      </c>
      <c r="AK553" s="57" t="str">
        <f>IF(COUNTA(T553:AH553)=0,"",(SUM(T553*[1]KPI_Weights!$B$4,U553*[1]KPI_Weights!$B$5,V553*[1]KPI_Weights!$B$6,W553*[1]KPI_Weights!$B$7,X553*[1]KPI_Weights!$B$8,Y553*[1]KPI_Weights!$B$9,Z553*[1]KPI_Weights!$B$10,AA553*[1]KPI_Weights!$B$11,AB553*[1]KPI_Weights!$B$12,AC553*[1]KPI_Weights!$B$13,AD553*[1]KPI_Weights!$B$14,AE553*[1]KPI_Weights!$B$15,AF553*[1]KPI_Weights!$B$16,AG553*[1]KPI_Weights!$B$17,AH553*[1]KPI_Weights!$B$18))/5)</f>
        <v/>
      </c>
      <c r="AL553" s="57" t="str">
        <f>IF(COUNTA(T553:AH553)=0,"",IF(OR(T553&lt;=1,W553&lt;=1,X553&lt;=1,Y553&lt;=1,AB553&lt;=1),"YES","NO"))</f>
        <v/>
      </c>
      <c r="AM553" s="57" t="str">
        <f>IF(AJ553="","",IF(AND(AL553="NO",AJ553&gt;=0.75),"YES","NO"))</f>
        <v/>
      </c>
      <c r="AN553" s="57" t="str">
        <f>IF(AJ553="","",IF(AJ553&lt;0.4,"Critical",IF(AJ553&lt;0.6,"Poor",IF(AJ553&lt;0.75,"Needs Improvement",IF(AJ553&lt;0.9,"Good","Excellent")))))</f>
        <v/>
      </c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</row>
    <row r="554" spans="1:54" ht="15" customHeight="1" x14ac:dyDescent="0.25">
      <c r="A554" s="57" t="str">
        <f>IF($B554="","",TEXT($B554,"yyyymmdd")&amp;"-"&amp;SUBSTITUTE($F554," ","")&amp;"-"&amp;TEXT(COUNTIF($F$4:F554,$F554),"00"))</f>
        <v/>
      </c>
      <c r="B554" s="57"/>
      <c r="C554" s="57" t="str">
        <f>IF($B554="","",WEEKNUM($B554,2))</f>
        <v/>
      </c>
      <c r="D554" s="57" t="str">
        <f>IF($B554="","",TEXT($B554,"yyyy-mm"))</f>
        <v/>
      </c>
      <c r="E554" s="57"/>
      <c r="F554" s="57"/>
      <c r="G554" s="57" t="str">
        <f>IF(OR($E554="",$F554=""),"",IFERROR(IF($E554=INDEX([1]Cluster_Master!$A$4:$A$18,MATCH($F554,[1]Cluster_Master!$B$4:$B$18,0)),"OK","CHECK"),"CHECK"))</f>
        <v/>
      </c>
      <c r="H554" s="57" t="str">
        <f>IFERROR(INDEX([1]Cluster_Master!$C$4:$C$18,MATCH($F554,[1]Cluster_Master!$B$4:$B$18,0)),"")</f>
        <v/>
      </c>
      <c r="I554" s="57" t="str">
        <f>IFERROR(INDEX([1]Cluster_Master!$D$4:$D$18,MATCH($F554,[1]Cluster_Master!$B$4:$B$18,0)),"")</f>
        <v/>
      </c>
      <c r="J554" s="57" t="str">
        <f>IFERROR(INDEX([1]Cluster_Master!$E$4:$E$18,MATCH($F554,[1]Cluster_Master!$B$4:$B$18,0)),"")</f>
        <v/>
      </c>
      <c r="K554" s="57" t="str">
        <f>IFERROR(INDEX([1]Cluster_Master!$F$4:$F$18,MATCH($F554,[1]Cluster_Master!$B$4:$B$18,0)),"")</f>
        <v/>
      </c>
      <c r="L554" s="57" t="str">
        <f>IFERROR(INDEX([1]Cluster_Master!$G$4:$G$18,MATCH($F554,[1]Cluster_Master!$B$4:$B$18,0)),"")</f>
        <v/>
      </c>
      <c r="M554" s="57" t="str">
        <f>IFERROR(INDEX([1]Cluster_Master!$H$4:$H$18,MATCH($F554,[1]Cluster_Master!$B$4:$B$18,0)),"")</f>
        <v/>
      </c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 t="str">
        <f>IF(COUNTA(T554:AH554)=0,"",SUM(T554:AH554))</f>
        <v/>
      </c>
      <c r="AJ554" s="57" t="str">
        <f>IF(COUNTA(T554:AH554)=0,"",AI554/75)</f>
        <v/>
      </c>
      <c r="AK554" s="57" t="str">
        <f>IF(COUNTA(T554:AH554)=0,"",(SUM(T554*[1]KPI_Weights!$B$4,U554*[1]KPI_Weights!$B$5,V554*[1]KPI_Weights!$B$6,W554*[1]KPI_Weights!$B$7,X554*[1]KPI_Weights!$B$8,Y554*[1]KPI_Weights!$B$9,Z554*[1]KPI_Weights!$B$10,AA554*[1]KPI_Weights!$B$11,AB554*[1]KPI_Weights!$B$12,AC554*[1]KPI_Weights!$B$13,AD554*[1]KPI_Weights!$B$14,AE554*[1]KPI_Weights!$B$15,AF554*[1]KPI_Weights!$B$16,AG554*[1]KPI_Weights!$B$17,AH554*[1]KPI_Weights!$B$18))/5)</f>
        <v/>
      </c>
      <c r="AL554" s="57" t="str">
        <f>IF(COUNTA(T554:AH554)=0,"",IF(OR(T554&lt;=1,W554&lt;=1,X554&lt;=1,Y554&lt;=1,AB554&lt;=1),"YES","NO"))</f>
        <v/>
      </c>
      <c r="AM554" s="57" t="str">
        <f>IF(AJ554="","",IF(AND(AL554="NO",AJ554&gt;=0.75),"YES","NO"))</f>
        <v/>
      </c>
      <c r="AN554" s="57" t="str">
        <f>IF(AJ554="","",IF(AJ554&lt;0.4,"Critical",IF(AJ554&lt;0.6,"Poor",IF(AJ554&lt;0.75,"Needs Improvement",IF(AJ554&lt;0.9,"Good","Excellent")))))</f>
        <v/>
      </c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</row>
    <row r="555" spans="1:54" ht="15" customHeight="1" x14ac:dyDescent="0.25">
      <c r="A555" s="57" t="str">
        <f>IF($B555="","",TEXT($B555,"yyyymmdd")&amp;"-"&amp;SUBSTITUTE($F555," ","")&amp;"-"&amp;TEXT(COUNTIF($F$4:F555,$F555),"00"))</f>
        <v/>
      </c>
      <c r="B555" s="57"/>
      <c r="C555" s="57" t="str">
        <f>IF($B555="","",WEEKNUM($B555,2))</f>
        <v/>
      </c>
      <c r="D555" s="57" t="str">
        <f>IF($B555="","",TEXT($B555,"yyyy-mm"))</f>
        <v/>
      </c>
      <c r="E555" s="57"/>
      <c r="F555" s="57"/>
      <c r="G555" s="57" t="str">
        <f>IF(OR($E555="",$F555=""),"",IFERROR(IF($E555=INDEX([1]Cluster_Master!$A$4:$A$18,MATCH($F555,[1]Cluster_Master!$B$4:$B$18,0)),"OK","CHECK"),"CHECK"))</f>
        <v/>
      </c>
      <c r="H555" s="57" t="str">
        <f>IFERROR(INDEX([1]Cluster_Master!$C$4:$C$18,MATCH($F555,[1]Cluster_Master!$B$4:$B$18,0)),"")</f>
        <v/>
      </c>
      <c r="I555" s="57" t="str">
        <f>IFERROR(INDEX([1]Cluster_Master!$D$4:$D$18,MATCH($F555,[1]Cluster_Master!$B$4:$B$18,0)),"")</f>
        <v/>
      </c>
      <c r="J555" s="57" t="str">
        <f>IFERROR(INDEX([1]Cluster_Master!$E$4:$E$18,MATCH($F555,[1]Cluster_Master!$B$4:$B$18,0)),"")</f>
        <v/>
      </c>
      <c r="K555" s="57" t="str">
        <f>IFERROR(INDEX([1]Cluster_Master!$F$4:$F$18,MATCH($F555,[1]Cluster_Master!$B$4:$B$18,0)),"")</f>
        <v/>
      </c>
      <c r="L555" s="57" t="str">
        <f>IFERROR(INDEX([1]Cluster_Master!$G$4:$G$18,MATCH($F555,[1]Cluster_Master!$B$4:$B$18,0)),"")</f>
        <v/>
      </c>
      <c r="M555" s="57" t="str">
        <f>IFERROR(INDEX([1]Cluster_Master!$H$4:$H$18,MATCH($F555,[1]Cluster_Master!$B$4:$B$18,0)),"")</f>
        <v/>
      </c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 t="str">
        <f>IF(COUNTA(T555:AH555)=0,"",SUM(T555:AH555))</f>
        <v/>
      </c>
      <c r="AJ555" s="57" t="str">
        <f>IF(COUNTA(T555:AH555)=0,"",AI555/75)</f>
        <v/>
      </c>
      <c r="AK555" s="57" t="str">
        <f>IF(COUNTA(T555:AH555)=0,"",(SUM(T555*[1]KPI_Weights!$B$4,U555*[1]KPI_Weights!$B$5,V555*[1]KPI_Weights!$B$6,W555*[1]KPI_Weights!$B$7,X555*[1]KPI_Weights!$B$8,Y555*[1]KPI_Weights!$B$9,Z555*[1]KPI_Weights!$B$10,AA555*[1]KPI_Weights!$B$11,AB555*[1]KPI_Weights!$B$12,AC555*[1]KPI_Weights!$B$13,AD555*[1]KPI_Weights!$B$14,AE555*[1]KPI_Weights!$B$15,AF555*[1]KPI_Weights!$B$16,AG555*[1]KPI_Weights!$B$17,AH555*[1]KPI_Weights!$B$18))/5)</f>
        <v/>
      </c>
      <c r="AL555" s="57" t="str">
        <f>IF(COUNTA(T555:AH555)=0,"",IF(OR(T555&lt;=1,W555&lt;=1,X555&lt;=1,Y555&lt;=1,AB555&lt;=1),"YES","NO"))</f>
        <v/>
      </c>
      <c r="AM555" s="57" t="str">
        <f>IF(AJ555="","",IF(AND(AL555="NO",AJ555&gt;=0.75),"YES","NO"))</f>
        <v/>
      </c>
      <c r="AN555" s="57" t="str">
        <f>IF(AJ555="","",IF(AJ555&lt;0.4,"Critical",IF(AJ555&lt;0.6,"Poor",IF(AJ555&lt;0.75,"Needs Improvement",IF(AJ555&lt;0.9,"Good","Excellent")))))</f>
        <v/>
      </c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</row>
    <row r="556" spans="1:54" ht="15" customHeight="1" x14ac:dyDescent="0.25">
      <c r="A556" s="57" t="str">
        <f>IF($B556="","",TEXT($B556,"yyyymmdd")&amp;"-"&amp;SUBSTITUTE($F556," ","")&amp;"-"&amp;TEXT(COUNTIF($F$4:F556,$F556),"00"))</f>
        <v/>
      </c>
      <c r="B556" s="57"/>
      <c r="C556" s="57" t="str">
        <f>IF($B556="","",WEEKNUM($B556,2))</f>
        <v/>
      </c>
      <c r="D556" s="57" t="str">
        <f>IF($B556="","",TEXT($B556,"yyyy-mm"))</f>
        <v/>
      </c>
      <c r="E556" s="57"/>
      <c r="F556" s="57"/>
      <c r="G556" s="57" t="str">
        <f>IF(OR($E556="",$F556=""),"",IFERROR(IF($E556=INDEX([1]Cluster_Master!$A$4:$A$18,MATCH($F556,[1]Cluster_Master!$B$4:$B$18,0)),"OK","CHECK"),"CHECK"))</f>
        <v/>
      </c>
      <c r="H556" s="57" t="str">
        <f>IFERROR(INDEX([1]Cluster_Master!$C$4:$C$18,MATCH($F556,[1]Cluster_Master!$B$4:$B$18,0)),"")</f>
        <v/>
      </c>
      <c r="I556" s="57" t="str">
        <f>IFERROR(INDEX([1]Cluster_Master!$D$4:$D$18,MATCH($F556,[1]Cluster_Master!$B$4:$B$18,0)),"")</f>
        <v/>
      </c>
      <c r="J556" s="57" t="str">
        <f>IFERROR(INDEX([1]Cluster_Master!$E$4:$E$18,MATCH($F556,[1]Cluster_Master!$B$4:$B$18,0)),"")</f>
        <v/>
      </c>
      <c r="K556" s="57" t="str">
        <f>IFERROR(INDEX([1]Cluster_Master!$F$4:$F$18,MATCH($F556,[1]Cluster_Master!$B$4:$B$18,0)),"")</f>
        <v/>
      </c>
      <c r="L556" s="57" t="str">
        <f>IFERROR(INDEX([1]Cluster_Master!$G$4:$G$18,MATCH($F556,[1]Cluster_Master!$B$4:$B$18,0)),"")</f>
        <v/>
      </c>
      <c r="M556" s="57" t="str">
        <f>IFERROR(INDEX([1]Cluster_Master!$H$4:$H$18,MATCH($F556,[1]Cluster_Master!$B$4:$B$18,0)),"")</f>
        <v/>
      </c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 t="str">
        <f>IF(COUNTA(T556:AH556)=0,"",SUM(T556:AH556))</f>
        <v/>
      </c>
      <c r="AJ556" s="57" t="str">
        <f>IF(COUNTA(T556:AH556)=0,"",AI556/75)</f>
        <v/>
      </c>
      <c r="AK556" s="57" t="str">
        <f>IF(COUNTA(T556:AH556)=0,"",(SUM(T556*[1]KPI_Weights!$B$4,U556*[1]KPI_Weights!$B$5,V556*[1]KPI_Weights!$B$6,W556*[1]KPI_Weights!$B$7,X556*[1]KPI_Weights!$B$8,Y556*[1]KPI_Weights!$B$9,Z556*[1]KPI_Weights!$B$10,AA556*[1]KPI_Weights!$B$11,AB556*[1]KPI_Weights!$B$12,AC556*[1]KPI_Weights!$B$13,AD556*[1]KPI_Weights!$B$14,AE556*[1]KPI_Weights!$B$15,AF556*[1]KPI_Weights!$B$16,AG556*[1]KPI_Weights!$B$17,AH556*[1]KPI_Weights!$B$18))/5)</f>
        <v/>
      </c>
      <c r="AL556" s="57" t="str">
        <f>IF(COUNTA(T556:AH556)=0,"",IF(OR(T556&lt;=1,W556&lt;=1,X556&lt;=1,Y556&lt;=1,AB556&lt;=1),"YES","NO"))</f>
        <v/>
      </c>
      <c r="AM556" s="57" t="str">
        <f>IF(AJ556="","",IF(AND(AL556="NO",AJ556&gt;=0.75),"YES","NO"))</f>
        <v/>
      </c>
      <c r="AN556" s="57" t="str">
        <f>IF(AJ556="","",IF(AJ556&lt;0.4,"Critical",IF(AJ556&lt;0.6,"Poor",IF(AJ556&lt;0.75,"Needs Improvement",IF(AJ556&lt;0.9,"Good","Excellent")))))</f>
        <v/>
      </c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</row>
    <row r="557" spans="1:54" ht="15" customHeight="1" x14ac:dyDescent="0.25">
      <c r="A557" s="57" t="str">
        <f>IF($B557="","",TEXT($B557,"yyyymmdd")&amp;"-"&amp;SUBSTITUTE($F557," ","")&amp;"-"&amp;TEXT(COUNTIF($F$4:F557,$F557),"00"))</f>
        <v/>
      </c>
      <c r="B557" s="57"/>
      <c r="C557" s="57" t="str">
        <f>IF($B557="","",WEEKNUM($B557,2))</f>
        <v/>
      </c>
      <c r="D557" s="57" t="str">
        <f>IF($B557="","",TEXT($B557,"yyyy-mm"))</f>
        <v/>
      </c>
      <c r="E557" s="57"/>
      <c r="F557" s="57"/>
      <c r="G557" s="57" t="str">
        <f>IF(OR($E557="",$F557=""),"",IFERROR(IF($E557=INDEX([1]Cluster_Master!$A$4:$A$18,MATCH($F557,[1]Cluster_Master!$B$4:$B$18,0)),"OK","CHECK"),"CHECK"))</f>
        <v/>
      </c>
      <c r="H557" s="57" t="str">
        <f>IFERROR(INDEX([1]Cluster_Master!$C$4:$C$18,MATCH($F557,[1]Cluster_Master!$B$4:$B$18,0)),"")</f>
        <v/>
      </c>
      <c r="I557" s="57" t="str">
        <f>IFERROR(INDEX([1]Cluster_Master!$D$4:$D$18,MATCH($F557,[1]Cluster_Master!$B$4:$B$18,0)),"")</f>
        <v/>
      </c>
      <c r="J557" s="57" t="str">
        <f>IFERROR(INDEX([1]Cluster_Master!$E$4:$E$18,MATCH($F557,[1]Cluster_Master!$B$4:$B$18,0)),"")</f>
        <v/>
      </c>
      <c r="K557" s="57" t="str">
        <f>IFERROR(INDEX([1]Cluster_Master!$F$4:$F$18,MATCH($F557,[1]Cluster_Master!$B$4:$B$18,0)),"")</f>
        <v/>
      </c>
      <c r="L557" s="57" t="str">
        <f>IFERROR(INDEX([1]Cluster_Master!$G$4:$G$18,MATCH($F557,[1]Cluster_Master!$B$4:$B$18,0)),"")</f>
        <v/>
      </c>
      <c r="M557" s="57" t="str">
        <f>IFERROR(INDEX([1]Cluster_Master!$H$4:$H$18,MATCH($F557,[1]Cluster_Master!$B$4:$B$18,0)),"")</f>
        <v/>
      </c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 t="str">
        <f>IF(COUNTA(T557:AH557)=0,"",SUM(T557:AH557))</f>
        <v/>
      </c>
      <c r="AJ557" s="57" t="str">
        <f>IF(COUNTA(T557:AH557)=0,"",AI557/75)</f>
        <v/>
      </c>
      <c r="AK557" s="57" t="str">
        <f>IF(COUNTA(T557:AH557)=0,"",(SUM(T557*[1]KPI_Weights!$B$4,U557*[1]KPI_Weights!$B$5,V557*[1]KPI_Weights!$B$6,W557*[1]KPI_Weights!$B$7,X557*[1]KPI_Weights!$B$8,Y557*[1]KPI_Weights!$B$9,Z557*[1]KPI_Weights!$B$10,AA557*[1]KPI_Weights!$B$11,AB557*[1]KPI_Weights!$B$12,AC557*[1]KPI_Weights!$B$13,AD557*[1]KPI_Weights!$B$14,AE557*[1]KPI_Weights!$B$15,AF557*[1]KPI_Weights!$B$16,AG557*[1]KPI_Weights!$B$17,AH557*[1]KPI_Weights!$B$18))/5)</f>
        <v/>
      </c>
      <c r="AL557" s="57" t="str">
        <f>IF(COUNTA(T557:AH557)=0,"",IF(OR(T557&lt;=1,W557&lt;=1,X557&lt;=1,Y557&lt;=1,AB557&lt;=1),"YES","NO"))</f>
        <v/>
      </c>
      <c r="AM557" s="57" t="str">
        <f>IF(AJ557="","",IF(AND(AL557="NO",AJ557&gt;=0.75),"YES","NO"))</f>
        <v/>
      </c>
      <c r="AN557" s="57" t="str">
        <f>IF(AJ557="","",IF(AJ557&lt;0.4,"Critical",IF(AJ557&lt;0.6,"Poor",IF(AJ557&lt;0.75,"Needs Improvement",IF(AJ557&lt;0.9,"Good","Excellent")))))</f>
        <v/>
      </c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</row>
    <row r="558" spans="1:54" ht="15" customHeight="1" x14ac:dyDescent="0.25">
      <c r="A558" s="57" t="str">
        <f>IF($B558="","",TEXT($B558,"yyyymmdd")&amp;"-"&amp;SUBSTITUTE($F558," ","")&amp;"-"&amp;TEXT(COUNTIF($F$4:F558,$F558),"00"))</f>
        <v/>
      </c>
      <c r="B558" s="57"/>
      <c r="C558" s="57" t="str">
        <f>IF($B558="","",WEEKNUM($B558,2))</f>
        <v/>
      </c>
      <c r="D558" s="57" t="str">
        <f>IF($B558="","",TEXT($B558,"yyyy-mm"))</f>
        <v/>
      </c>
      <c r="E558" s="57"/>
      <c r="F558" s="57"/>
      <c r="G558" s="57" t="str">
        <f>IF(OR($E558="",$F558=""),"",IFERROR(IF($E558=INDEX([1]Cluster_Master!$A$4:$A$18,MATCH($F558,[1]Cluster_Master!$B$4:$B$18,0)),"OK","CHECK"),"CHECK"))</f>
        <v/>
      </c>
      <c r="H558" s="57" t="str">
        <f>IFERROR(INDEX([1]Cluster_Master!$C$4:$C$18,MATCH($F558,[1]Cluster_Master!$B$4:$B$18,0)),"")</f>
        <v/>
      </c>
      <c r="I558" s="57" t="str">
        <f>IFERROR(INDEX([1]Cluster_Master!$D$4:$D$18,MATCH($F558,[1]Cluster_Master!$B$4:$B$18,0)),"")</f>
        <v/>
      </c>
      <c r="J558" s="57" t="str">
        <f>IFERROR(INDEX([1]Cluster_Master!$E$4:$E$18,MATCH($F558,[1]Cluster_Master!$B$4:$B$18,0)),"")</f>
        <v/>
      </c>
      <c r="K558" s="57" t="str">
        <f>IFERROR(INDEX([1]Cluster_Master!$F$4:$F$18,MATCH($F558,[1]Cluster_Master!$B$4:$B$18,0)),"")</f>
        <v/>
      </c>
      <c r="L558" s="57" t="str">
        <f>IFERROR(INDEX([1]Cluster_Master!$G$4:$G$18,MATCH($F558,[1]Cluster_Master!$B$4:$B$18,0)),"")</f>
        <v/>
      </c>
      <c r="M558" s="57" t="str">
        <f>IFERROR(INDEX([1]Cluster_Master!$H$4:$H$18,MATCH($F558,[1]Cluster_Master!$B$4:$B$18,0)),"")</f>
        <v/>
      </c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 t="str">
        <f>IF(COUNTA(T558:AH558)=0,"",SUM(T558:AH558))</f>
        <v/>
      </c>
      <c r="AJ558" s="57" t="str">
        <f>IF(COUNTA(T558:AH558)=0,"",AI558/75)</f>
        <v/>
      </c>
      <c r="AK558" s="57" t="str">
        <f>IF(COUNTA(T558:AH558)=0,"",(SUM(T558*[1]KPI_Weights!$B$4,U558*[1]KPI_Weights!$B$5,V558*[1]KPI_Weights!$B$6,W558*[1]KPI_Weights!$B$7,X558*[1]KPI_Weights!$B$8,Y558*[1]KPI_Weights!$B$9,Z558*[1]KPI_Weights!$B$10,AA558*[1]KPI_Weights!$B$11,AB558*[1]KPI_Weights!$B$12,AC558*[1]KPI_Weights!$B$13,AD558*[1]KPI_Weights!$B$14,AE558*[1]KPI_Weights!$B$15,AF558*[1]KPI_Weights!$B$16,AG558*[1]KPI_Weights!$B$17,AH558*[1]KPI_Weights!$B$18))/5)</f>
        <v/>
      </c>
      <c r="AL558" s="57" t="str">
        <f>IF(COUNTA(T558:AH558)=0,"",IF(OR(T558&lt;=1,W558&lt;=1,X558&lt;=1,Y558&lt;=1,AB558&lt;=1),"YES","NO"))</f>
        <v/>
      </c>
      <c r="AM558" s="57" t="str">
        <f>IF(AJ558="","",IF(AND(AL558="NO",AJ558&gt;=0.75),"YES","NO"))</f>
        <v/>
      </c>
      <c r="AN558" s="57" t="str">
        <f>IF(AJ558="","",IF(AJ558&lt;0.4,"Critical",IF(AJ558&lt;0.6,"Poor",IF(AJ558&lt;0.75,"Needs Improvement",IF(AJ558&lt;0.9,"Good","Excellent")))))</f>
        <v/>
      </c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</row>
    <row r="559" spans="1:54" ht="15" customHeight="1" x14ac:dyDescent="0.25">
      <c r="A559" s="57" t="str">
        <f>IF($B559="","",TEXT($B559,"yyyymmdd")&amp;"-"&amp;SUBSTITUTE($F559," ","")&amp;"-"&amp;TEXT(COUNTIF($F$4:F559,$F559),"00"))</f>
        <v/>
      </c>
      <c r="B559" s="57"/>
      <c r="C559" s="57" t="str">
        <f>IF($B559="","",WEEKNUM($B559,2))</f>
        <v/>
      </c>
      <c r="D559" s="57" t="str">
        <f>IF($B559="","",TEXT($B559,"yyyy-mm"))</f>
        <v/>
      </c>
      <c r="E559" s="57"/>
      <c r="F559" s="57"/>
      <c r="G559" s="57" t="str">
        <f>IF(OR($E559="",$F559=""),"",IFERROR(IF($E559=INDEX([1]Cluster_Master!$A$4:$A$18,MATCH($F559,[1]Cluster_Master!$B$4:$B$18,0)),"OK","CHECK"),"CHECK"))</f>
        <v/>
      </c>
      <c r="H559" s="57" t="str">
        <f>IFERROR(INDEX([1]Cluster_Master!$C$4:$C$18,MATCH($F559,[1]Cluster_Master!$B$4:$B$18,0)),"")</f>
        <v/>
      </c>
      <c r="I559" s="57" t="str">
        <f>IFERROR(INDEX([1]Cluster_Master!$D$4:$D$18,MATCH($F559,[1]Cluster_Master!$B$4:$B$18,0)),"")</f>
        <v/>
      </c>
      <c r="J559" s="57" t="str">
        <f>IFERROR(INDEX([1]Cluster_Master!$E$4:$E$18,MATCH($F559,[1]Cluster_Master!$B$4:$B$18,0)),"")</f>
        <v/>
      </c>
      <c r="K559" s="57" t="str">
        <f>IFERROR(INDEX([1]Cluster_Master!$F$4:$F$18,MATCH($F559,[1]Cluster_Master!$B$4:$B$18,0)),"")</f>
        <v/>
      </c>
      <c r="L559" s="57" t="str">
        <f>IFERROR(INDEX([1]Cluster_Master!$G$4:$G$18,MATCH($F559,[1]Cluster_Master!$B$4:$B$18,0)),"")</f>
        <v/>
      </c>
      <c r="M559" s="57" t="str">
        <f>IFERROR(INDEX([1]Cluster_Master!$H$4:$H$18,MATCH($F559,[1]Cluster_Master!$B$4:$B$18,0)),"")</f>
        <v/>
      </c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 t="str">
        <f>IF(COUNTA(T559:AH559)=0,"",SUM(T559:AH559))</f>
        <v/>
      </c>
      <c r="AJ559" s="57" t="str">
        <f>IF(COUNTA(T559:AH559)=0,"",AI559/75)</f>
        <v/>
      </c>
      <c r="AK559" s="57" t="str">
        <f>IF(COUNTA(T559:AH559)=0,"",(SUM(T559*[1]KPI_Weights!$B$4,U559*[1]KPI_Weights!$B$5,V559*[1]KPI_Weights!$B$6,W559*[1]KPI_Weights!$B$7,X559*[1]KPI_Weights!$B$8,Y559*[1]KPI_Weights!$B$9,Z559*[1]KPI_Weights!$B$10,AA559*[1]KPI_Weights!$B$11,AB559*[1]KPI_Weights!$B$12,AC559*[1]KPI_Weights!$B$13,AD559*[1]KPI_Weights!$B$14,AE559*[1]KPI_Weights!$B$15,AF559*[1]KPI_Weights!$B$16,AG559*[1]KPI_Weights!$B$17,AH559*[1]KPI_Weights!$B$18))/5)</f>
        <v/>
      </c>
      <c r="AL559" s="57" t="str">
        <f>IF(COUNTA(T559:AH559)=0,"",IF(OR(T559&lt;=1,W559&lt;=1,X559&lt;=1,Y559&lt;=1,AB559&lt;=1),"YES","NO"))</f>
        <v/>
      </c>
      <c r="AM559" s="57" t="str">
        <f>IF(AJ559="","",IF(AND(AL559="NO",AJ559&gt;=0.75),"YES","NO"))</f>
        <v/>
      </c>
      <c r="AN559" s="57" t="str">
        <f>IF(AJ559="","",IF(AJ559&lt;0.4,"Critical",IF(AJ559&lt;0.6,"Poor",IF(AJ559&lt;0.75,"Needs Improvement",IF(AJ559&lt;0.9,"Good","Excellent")))))</f>
        <v/>
      </c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</row>
    <row r="560" spans="1:54" ht="15" customHeight="1" x14ac:dyDescent="0.25">
      <c r="A560" s="57" t="str">
        <f>IF($B560="","",TEXT($B560,"yyyymmdd")&amp;"-"&amp;SUBSTITUTE($F560," ","")&amp;"-"&amp;TEXT(COUNTIF($F$4:F560,$F560),"00"))</f>
        <v/>
      </c>
      <c r="B560" s="57"/>
      <c r="C560" s="57" t="str">
        <f>IF($B560="","",WEEKNUM($B560,2))</f>
        <v/>
      </c>
      <c r="D560" s="57" t="str">
        <f>IF($B560="","",TEXT($B560,"yyyy-mm"))</f>
        <v/>
      </c>
      <c r="E560" s="57"/>
      <c r="F560" s="57"/>
      <c r="G560" s="57" t="str">
        <f>IF(OR($E560="",$F560=""),"",IFERROR(IF($E560=INDEX([1]Cluster_Master!$A$4:$A$18,MATCH($F560,[1]Cluster_Master!$B$4:$B$18,0)),"OK","CHECK"),"CHECK"))</f>
        <v/>
      </c>
      <c r="H560" s="57" t="str">
        <f>IFERROR(INDEX([1]Cluster_Master!$C$4:$C$18,MATCH($F560,[1]Cluster_Master!$B$4:$B$18,0)),"")</f>
        <v/>
      </c>
      <c r="I560" s="57" t="str">
        <f>IFERROR(INDEX([1]Cluster_Master!$D$4:$D$18,MATCH($F560,[1]Cluster_Master!$B$4:$B$18,0)),"")</f>
        <v/>
      </c>
      <c r="J560" s="57" t="str">
        <f>IFERROR(INDEX([1]Cluster_Master!$E$4:$E$18,MATCH($F560,[1]Cluster_Master!$B$4:$B$18,0)),"")</f>
        <v/>
      </c>
      <c r="K560" s="57" t="str">
        <f>IFERROR(INDEX([1]Cluster_Master!$F$4:$F$18,MATCH($F560,[1]Cluster_Master!$B$4:$B$18,0)),"")</f>
        <v/>
      </c>
      <c r="L560" s="57" t="str">
        <f>IFERROR(INDEX([1]Cluster_Master!$G$4:$G$18,MATCH($F560,[1]Cluster_Master!$B$4:$B$18,0)),"")</f>
        <v/>
      </c>
      <c r="M560" s="57" t="str">
        <f>IFERROR(INDEX([1]Cluster_Master!$H$4:$H$18,MATCH($F560,[1]Cluster_Master!$B$4:$B$18,0)),"")</f>
        <v/>
      </c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 t="str">
        <f>IF(COUNTA(T560:AH560)=0,"",SUM(T560:AH560))</f>
        <v/>
      </c>
      <c r="AJ560" s="57" t="str">
        <f>IF(COUNTA(T560:AH560)=0,"",AI560/75)</f>
        <v/>
      </c>
      <c r="AK560" s="57" t="str">
        <f>IF(COUNTA(T560:AH560)=0,"",(SUM(T560*[1]KPI_Weights!$B$4,U560*[1]KPI_Weights!$B$5,V560*[1]KPI_Weights!$B$6,W560*[1]KPI_Weights!$B$7,X560*[1]KPI_Weights!$B$8,Y560*[1]KPI_Weights!$B$9,Z560*[1]KPI_Weights!$B$10,AA560*[1]KPI_Weights!$B$11,AB560*[1]KPI_Weights!$B$12,AC560*[1]KPI_Weights!$B$13,AD560*[1]KPI_Weights!$B$14,AE560*[1]KPI_Weights!$B$15,AF560*[1]KPI_Weights!$B$16,AG560*[1]KPI_Weights!$B$17,AH560*[1]KPI_Weights!$B$18))/5)</f>
        <v/>
      </c>
      <c r="AL560" s="57" t="str">
        <f>IF(COUNTA(T560:AH560)=0,"",IF(OR(T560&lt;=1,W560&lt;=1,X560&lt;=1,Y560&lt;=1,AB560&lt;=1),"YES","NO"))</f>
        <v/>
      </c>
      <c r="AM560" s="57" t="str">
        <f>IF(AJ560="","",IF(AND(AL560="NO",AJ560&gt;=0.75),"YES","NO"))</f>
        <v/>
      </c>
      <c r="AN560" s="57" t="str">
        <f>IF(AJ560="","",IF(AJ560&lt;0.4,"Critical",IF(AJ560&lt;0.6,"Poor",IF(AJ560&lt;0.75,"Needs Improvement",IF(AJ560&lt;0.9,"Good","Excellent")))))</f>
        <v/>
      </c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</row>
    <row r="561" spans="1:54" ht="15" customHeight="1" x14ac:dyDescent="0.25">
      <c r="A561" s="57" t="str">
        <f>IF($B561="","",TEXT($B561,"yyyymmdd")&amp;"-"&amp;SUBSTITUTE($F561," ","")&amp;"-"&amp;TEXT(COUNTIF($F$4:F561,$F561),"00"))</f>
        <v/>
      </c>
      <c r="B561" s="57"/>
      <c r="C561" s="57" t="str">
        <f>IF($B561="","",WEEKNUM($B561,2))</f>
        <v/>
      </c>
      <c r="D561" s="57" t="str">
        <f>IF($B561="","",TEXT($B561,"yyyy-mm"))</f>
        <v/>
      </c>
      <c r="E561" s="57"/>
      <c r="F561" s="57"/>
      <c r="G561" s="57" t="str">
        <f>IF(OR($E561="",$F561=""),"",IFERROR(IF($E561=INDEX([1]Cluster_Master!$A$4:$A$18,MATCH($F561,[1]Cluster_Master!$B$4:$B$18,0)),"OK","CHECK"),"CHECK"))</f>
        <v/>
      </c>
      <c r="H561" s="57" t="str">
        <f>IFERROR(INDEX([1]Cluster_Master!$C$4:$C$18,MATCH($F561,[1]Cluster_Master!$B$4:$B$18,0)),"")</f>
        <v/>
      </c>
      <c r="I561" s="57" t="str">
        <f>IFERROR(INDEX([1]Cluster_Master!$D$4:$D$18,MATCH($F561,[1]Cluster_Master!$B$4:$B$18,0)),"")</f>
        <v/>
      </c>
      <c r="J561" s="57" t="str">
        <f>IFERROR(INDEX([1]Cluster_Master!$E$4:$E$18,MATCH($F561,[1]Cluster_Master!$B$4:$B$18,0)),"")</f>
        <v/>
      </c>
      <c r="K561" s="57" t="str">
        <f>IFERROR(INDEX([1]Cluster_Master!$F$4:$F$18,MATCH($F561,[1]Cluster_Master!$B$4:$B$18,0)),"")</f>
        <v/>
      </c>
      <c r="L561" s="57" t="str">
        <f>IFERROR(INDEX([1]Cluster_Master!$G$4:$G$18,MATCH($F561,[1]Cluster_Master!$B$4:$B$18,0)),"")</f>
        <v/>
      </c>
      <c r="M561" s="57" t="str">
        <f>IFERROR(INDEX([1]Cluster_Master!$H$4:$H$18,MATCH($F561,[1]Cluster_Master!$B$4:$B$18,0)),"")</f>
        <v/>
      </c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 t="str">
        <f>IF(COUNTA(T561:AH561)=0,"",SUM(T561:AH561))</f>
        <v/>
      </c>
      <c r="AJ561" s="57" t="str">
        <f>IF(COUNTA(T561:AH561)=0,"",AI561/75)</f>
        <v/>
      </c>
      <c r="AK561" s="57" t="str">
        <f>IF(COUNTA(T561:AH561)=0,"",(SUM(T561*[1]KPI_Weights!$B$4,U561*[1]KPI_Weights!$B$5,V561*[1]KPI_Weights!$B$6,W561*[1]KPI_Weights!$B$7,X561*[1]KPI_Weights!$B$8,Y561*[1]KPI_Weights!$B$9,Z561*[1]KPI_Weights!$B$10,AA561*[1]KPI_Weights!$B$11,AB561*[1]KPI_Weights!$B$12,AC561*[1]KPI_Weights!$B$13,AD561*[1]KPI_Weights!$B$14,AE561*[1]KPI_Weights!$B$15,AF561*[1]KPI_Weights!$B$16,AG561*[1]KPI_Weights!$B$17,AH561*[1]KPI_Weights!$B$18))/5)</f>
        <v/>
      </c>
      <c r="AL561" s="57" t="str">
        <f>IF(COUNTA(T561:AH561)=0,"",IF(OR(T561&lt;=1,W561&lt;=1,X561&lt;=1,Y561&lt;=1,AB561&lt;=1),"YES","NO"))</f>
        <v/>
      </c>
      <c r="AM561" s="57" t="str">
        <f>IF(AJ561="","",IF(AND(AL561="NO",AJ561&gt;=0.75),"YES","NO"))</f>
        <v/>
      </c>
      <c r="AN561" s="57" t="str">
        <f>IF(AJ561="","",IF(AJ561&lt;0.4,"Critical",IF(AJ561&lt;0.6,"Poor",IF(AJ561&lt;0.75,"Needs Improvement",IF(AJ561&lt;0.9,"Good","Excellent")))))</f>
        <v/>
      </c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</row>
    <row r="562" spans="1:54" ht="15" customHeight="1" x14ac:dyDescent="0.25">
      <c r="A562" s="57" t="str">
        <f>IF($B562="","",TEXT($B562,"yyyymmdd")&amp;"-"&amp;SUBSTITUTE($F562," ","")&amp;"-"&amp;TEXT(COUNTIF($F$4:F562,$F562),"00"))</f>
        <v/>
      </c>
      <c r="B562" s="57"/>
      <c r="C562" s="57" t="str">
        <f>IF($B562="","",WEEKNUM($B562,2))</f>
        <v/>
      </c>
      <c r="D562" s="57" t="str">
        <f>IF($B562="","",TEXT($B562,"yyyy-mm"))</f>
        <v/>
      </c>
      <c r="E562" s="57"/>
      <c r="F562" s="57"/>
      <c r="G562" s="57" t="str">
        <f>IF(OR($E562="",$F562=""),"",IFERROR(IF($E562=INDEX([1]Cluster_Master!$A$4:$A$18,MATCH($F562,[1]Cluster_Master!$B$4:$B$18,0)),"OK","CHECK"),"CHECK"))</f>
        <v/>
      </c>
      <c r="H562" s="57" t="str">
        <f>IFERROR(INDEX([1]Cluster_Master!$C$4:$C$18,MATCH($F562,[1]Cluster_Master!$B$4:$B$18,0)),"")</f>
        <v/>
      </c>
      <c r="I562" s="57" t="str">
        <f>IFERROR(INDEX([1]Cluster_Master!$D$4:$D$18,MATCH($F562,[1]Cluster_Master!$B$4:$B$18,0)),"")</f>
        <v/>
      </c>
      <c r="J562" s="57" t="str">
        <f>IFERROR(INDEX([1]Cluster_Master!$E$4:$E$18,MATCH($F562,[1]Cluster_Master!$B$4:$B$18,0)),"")</f>
        <v/>
      </c>
      <c r="K562" s="57" t="str">
        <f>IFERROR(INDEX([1]Cluster_Master!$F$4:$F$18,MATCH($F562,[1]Cluster_Master!$B$4:$B$18,0)),"")</f>
        <v/>
      </c>
      <c r="L562" s="57" t="str">
        <f>IFERROR(INDEX([1]Cluster_Master!$G$4:$G$18,MATCH($F562,[1]Cluster_Master!$B$4:$B$18,0)),"")</f>
        <v/>
      </c>
      <c r="M562" s="57" t="str">
        <f>IFERROR(INDEX([1]Cluster_Master!$H$4:$H$18,MATCH($F562,[1]Cluster_Master!$B$4:$B$18,0)),"")</f>
        <v/>
      </c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 t="str">
        <f>IF(COUNTA(T562:AH562)=0,"",SUM(T562:AH562))</f>
        <v/>
      </c>
      <c r="AJ562" s="57" t="str">
        <f>IF(COUNTA(T562:AH562)=0,"",AI562/75)</f>
        <v/>
      </c>
      <c r="AK562" s="57" t="str">
        <f>IF(COUNTA(T562:AH562)=0,"",(SUM(T562*[1]KPI_Weights!$B$4,U562*[1]KPI_Weights!$B$5,V562*[1]KPI_Weights!$B$6,W562*[1]KPI_Weights!$B$7,X562*[1]KPI_Weights!$B$8,Y562*[1]KPI_Weights!$B$9,Z562*[1]KPI_Weights!$B$10,AA562*[1]KPI_Weights!$B$11,AB562*[1]KPI_Weights!$B$12,AC562*[1]KPI_Weights!$B$13,AD562*[1]KPI_Weights!$B$14,AE562*[1]KPI_Weights!$B$15,AF562*[1]KPI_Weights!$B$16,AG562*[1]KPI_Weights!$B$17,AH562*[1]KPI_Weights!$B$18))/5)</f>
        <v/>
      </c>
      <c r="AL562" s="57" t="str">
        <f>IF(COUNTA(T562:AH562)=0,"",IF(OR(T562&lt;=1,W562&lt;=1,X562&lt;=1,Y562&lt;=1,AB562&lt;=1),"YES","NO"))</f>
        <v/>
      </c>
      <c r="AM562" s="57" t="str">
        <f>IF(AJ562="","",IF(AND(AL562="NO",AJ562&gt;=0.75),"YES","NO"))</f>
        <v/>
      </c>
      <c r="AN562" s="57" t="str">
        <f>IF(AJ562="","",IF(AJ562&lt;0.4,"Critical",IF(AJ562&lt;0.6,"Poor",IF(AJ562&lt;0.75,"Needs Improvement",IF(AJ562&lt;0.9,"Good","Excellent")))))</f>
        <v/>
      </c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</row>
    <row r="563" spans="1:54" ht="15" customHeight="1" x14ac:dyDescent="0.25">
      <c r="A563" s="57" t="str">
        <f>IF($B563="","",TEXT($B563,"yyyymmdd")&amp;"-"&amp;SUBSTITUTE($F563," ","")&amp;"-"&amp;TEXT(COUNTIF($F$4:F563,$F563),"00"))</f>
        <v/>
      </c>
      <c r="B563" s="57"/>
      <c r="C563" s="57" t="str">
        <f>IF($B563="","",WEEKNUM($B563,2))</f>
        <v/>
      </c>
      <c r="D563" s="57" t="str">
        <f>IF($B563="","",TEXT($B563,"yyyy-mm"))</f>
        <v/>
      </c>
      <c r="E563" s="57"/>
      <c r="F563" s="57"/>
      <c r="G563" s="57" t="str">
        <f>IF(OR($E563="",$F563=""),"",IFERROR(IF($E563=INDEX([1]Cluster_Master!$A$4:$A$18,MATCH($F563,[1]Cluster_Master!$B$4:$B$18,0)),"OK","CHECK"),"CHECK"))</f>
        <v/>
      </c>
      <c r="H563" s="57" t="str">
        <f>IFERROR(INDEX([1]Cluster_Master!$C$4:$C$18,MATCH($F563,[1]Cluster_Master!$B$4:$B$18,0)),"")</f>
        <v/>
      </c>
      <c r="I563" s="57" t="str">
        <f>IFERROR(INDEX([1]Cluster_Master!$D$4:$D$18,MATCH($F563,[1]Cluster_Master!$B$4:$B$18,0)),"")</f>
        <v/>
      </c>
      <c r="J563" s="57" t="str">
        <f>IFERROR(INDEX([1]Cluster_Master!$E$4:$E$18,MATCH($F563,[1]Cluster_Master!$B$4:$B$18,0)),"")</f>
        <v/>
      </c>
      <c r="K563" s="57" t="str">
        <f>IFERROR(INDEX([1]Cluster_Master!$F$4:$F$18,MATCH($F563,[1]Cluster_Master!$B$4:$B$18,0)),"")</f>
        <v/>
      </c>
      <c r="L563" s="57" t="str">
        <f>IFERROR(INDEX([1]Cluster_Master!$G$4:$G$18,MATCH($F563,[1]Cluster_Master!$B$4:$B$18,0)),"")</f>
        <v/>
      </c>
      <c r="M563" s="57" t="str">
        <f>IFERROR(INDEX([1]Cluster_Master!$H$4:$H$18,MATCH($F563,[1]Cluster_Master!$B$4:$B$18,0)),"")</f>
        <v/>
      </c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 t="str">
        <f>IF(COUNTA(T563:AH563)=0,"",SUM(T563:AH563))</f>
        <v/>
      </c>
      <c r="AJ563" s="57" t="str">
        <f>IF(COUNTA(T563:AH563)=0,"",AI563/75)</f>
        <v/>
      </c>
      <c r="AK563" s="57" t="str">
        <f>IF(COUNTA(T563:AH563)=0,"",(SUM(T563*[1]KPI_Weights!$B$4,U563*[1]KPI_Weights!$B$5,V563*[1]KPI_Weights!$B$6,W563*[1]KPI_Weights!$B$7,X563*[1]KPI_Weights!$B$8,Y563*[1]KPI_Weights!$B$9,Z563*[1]KPI_Weights!$B$10,AA563*[1]KPI_Weights!$B$11,AB563*[1]KPI_Weights!$B$12,AC563*[1]KPI_Weights!$B$13,AD563*[1]KPI_Weights!$B$14,AE563*[1]KPI_Weights!$B$15,AF563*[1]KPI_Weights!$B$16,AG563*[1]KPI_Weights!$B$17,AH563*[1]KPI_Weights!$B$18))/5)</f>
        <v/>
      </c>
      <c r="AL563" s="57" t="str">
        <f>IF(COUNTA(T563:AH563)=0,"",IF(OR(T563&lt;=1,W563&lt;=1,X563&lt;=1,Y563&lt;=1,AB563&lt;=1),"YES","NO"))</f>
        <v/>
      </c>
      <c r="AM563" s="57" t="str">
        <f>IF(AJ563="","",IF(AND(AL563="NO",AJ563&gt;=0.75),"YES","NO"))</f>
        <v/>
      </c>
      <c r="AN563" s="57" t="str">
        <f>IF(AJ563="","",IF(AJ563&lt;0.4,"Critical",IF(AJ563&lt;0.6,"Poor",IF(AJ563&lt;0.75,"Needs Improvement",IF(AJ563&lt;0.9,"Good","Excellent")))))</f>
        <v/>
      </c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</row>
    <row r="564" spans="1:54" ht="15" customHeight="1" x14ac:dyDescent="0.25">
      <c r="A564" s="57" t="str">
        <f>IF($B564="","",TEXT($B564,"yyyymmdd")&amp;"-"&amp;SUBSTITUTE($F564," ","")&amp;"-"&amp;TEXT(COUNTIF($F$4:F564,$F564),"00"))</f>
        <v/>
      </c>
      <c r="B564" s="57"/>
      <c r="C564" s="57" t="str">
        <f>IF($B564="","",WEEKNUM($B564,2))</f>
        <v/>
      </c>
      <c r="D564" s="57" t="str">
        <f>IF($B564="","",TEXT($B564,"yyyy-mm"))</f>
        <v/>
      </c>
      <c r="E564" s="57"/>
      <c r="F564" s="57"/>
      <c r="G564" s="57" t="str">
        <f>IF(OR($E564="",$F564=""),"",IFERROR(IF($E564=INDEX([1]Cluster_Master!$A$4:$A$18,MATCH($F564,[1]Cluster_Master!$B$4:$B$18,0)),"OK","CHECK"),"CHECK"))</f>
        <v/>
      </c>
      <c r="H564" s="57" t="str">
        <f>IFERROR(INDEX([1]Cluster_Master!$C$4:$C$18,MATCH($F564,[1]Cluster_Master!$B$4:$B$18,0)),"")</f>
        <v/>
      </c>
      <c r="I564" s="57" t="str">
        <f>IFERROR(INDEX([1]Cluster_Master!$D$4:$D$18,MATCH($F564,[1]Cluster_Master!$B$4:$B$18,0)),"")</f>
        <v/>
      </c>
      <c r="J564" s="57" t="str">
        <f>IFERROR(INDEX([1]Cluster_Master!$E$4:$E$18,MATCH($F564,[1]Cluster_Master!$B$4:$B$18,0)),"")</f>
        <v/>
      </c>
      <c r="K564" s="57" t="str">
        <f>IFERROR(INDEX([1]Cluster_Master!$F$4:$F$18,MATCH($F564,[1]Cluster_Master!$B$4:$B$18,0)),"")</f>
        <v/>
      </c>
      <c r="L564" s="57" t="str">
        <f>IFERROR(INDEX([1]Cluster_Master!$G$4:$G$18,MATCH($F564,[1]Cluster_Master!$B$4:$B$18,0)),"")</f>
        <v/>
      </c>
      <c r="M564" s="57" t="str">
        <f>IFERROR(INDEX([1]Cluster_Master!$H$4:$H$18,MATCH($F564,[1]Cluster_Master!$B$4:$B$18,0)),"")</f>
        <v/>
      </c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 t="str">
        <f>IF(COUNTA(T564:AH564)=0,"",SUM(T564:AH564))</f>
        <v/>
      </c>
      <c r="AJ564" s="57" t="str">
        <f>IF(COUNTA(T564:AH564)=0,"",AI564/75)</f>
        <v/>
      </c>
      <c r="AK564" s="57" t="str">
        <f>IF(COUNTA(T564:AH564)=0,"",(SUM(T564*[1]KPI_Weights!$B$4,U564*[1]KPI_Weights!$B$5,V564*[1]KPI_Weights!$B$6,W564*[1]KPI_Weights!$B$7,X564*[1]KPI_Weights!$B$8,Y564*[1]KPI_Weights!$B$9,Z564*[1]KPI_Weights!$B$10,AA564*[1]KPI_Weights!$B$11,AB564*[1]KPI_Weights!$B$12,AC564*[1]KPI_Weights!$B$13,AD564*[1]KPI_Weights!$B$14,AE564*[1]KPI_Weights!$B$15,AF564*[1]KPI_Weights!$B$16,AG564*[1]KPI_Weights!$B$17,AH564*[1]KPI_Weights!$B$18))/5)</f>
        <v/>
      </c>
      <c r="AL564" s="57" t="str">
        <f>IF(COUNTA(T564:AH564)=0,"",IF(OR(T564&lt;=1,W564&lt;=1,X564&lt;=1,Y564&lt;=1,AB564&lt;=1),"YES","NO"))</f>
        <v/>
      </c>
      <c r="AM564" s="57" t="str">
        <f>IF(AJ564="","",IF(AND(AL564="NO",AJ564&gt;=0.75),"YES","NO"))</f>
        <v/>
      </c>
      <c r="AN564" s="57" t="str">
        <f>IF(AJ564="","",IF(AJ564&lt;0.4,"Critical",IF(AJ564&lt;0.6,"Poor",IF(AJ564&lt;0.75,"Needs Improvement",IF(AJ564&lt;0.9,"Good","Excellent")))))</f>
        <v/>
      </c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</row>
    <row r="565" spans="1:54" ht="15" customHeight="1" x14ac:dyDescent="0.25">
      <c r="A565" s="57" t="str">
        <f>IF($B565="","",TEXT($B565,"yyyymmdd")&amp;"-"&amp;SUBSTITUTE($F565," ","")&amp;"-"&amp;TEXT(COUNTIF($F$4:F565,$F565),"00"))</f>
        <v/>
      </c>
      <c r="B565" s="57"/>
      <c r="C565" s="57" t="str">
        <f>IF($B565="","",WEEKNUM($B565,2))</f>
        <v/>
      </c>
      <c r="D565" s="57" t="str">
        <f>IF($B565="","",TEXT($B565,"yyyy-mm"))</f>
        <v/>
      </c>
      <c r="E565" s="57"/>
      <c r="F565" s="57"/>
      <c r="G565" s="57" t="str">
        <f>IF(OR($E565="",$F565=""),"",IFERROR(IF($E565=INDEX([1]Cluster_Master!$A$4:$A$18,MATCH($F565,[1]Cluster_Master!$B$4:$B$18,0)),"OK","CHECK"),"CHECK"))</f>
        <v/>
      </c>
      <c r="H565" s="57" t="str">
        <f>IFERROR(INDEX([1]Cluster_Master!$C$4:$C$18,MATCH($F565,[1]Cluster_Master!$B$4:$B$18,0)),"")</f>
        <v/>
      </c>
      <c r="I565" s="57" t="str">
        <f>IFERROR(INDEX([1]Cluster_Master!$D$4:$D$18,MATCH($F565,[1]Cluster_Master!$B$4:$B$18,0)),"")</f>
        <v/>
      </c>
      <c r="J565" s="57" t="str">
        <f>IFERROR(INDEX([1]Cluster_Master!$E$4:$E$18,MATCH($F565,[1]Cluster_Master!$B$4:$B$18,0)),"")</f>
        <v/>
      </c>
      <c r="K565" s="57" t="str">
        <f>IFERROR(INDEX([1]Cluster_Master!$F$4:$F$18,MATCH($F565,[1]Cluster_Master!$B$4:$B$18,0)),"")</f>
        <v/>
      </c>
      <c r="L565" s="57" t="str">
        <f>IFERROR(INDEX([1]Cluster_Master!$G$4:$G$18,MATCH($F565,[1]Cluster_Master!$B$4:$B$18,0)),"")</f>
        <v/>
      </c>
      <c r="M565" s="57" t="str">
        <f>IFERROR(INDEX([1]Cluster_Master!$H$4:$H$18,MATCH($F565,[1]Cluster_Master!$B$4:$B$18,0)),"")</f>
        <v/>
      </c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 t="str">
        <f>IF(COUNTA(T565:AH565)=0,"",SUM(T565:AH565))</f>
        <v/>
      </c>
      <c r="AJ565" s="57" t="str">
        <f>IF(COUNTA(T565:AH565)=0,"",AI565/75)</f>
        <v/>
      </c>
      <c r="AK565" s="57" t="str">
        <f>IF(COUNTA(T565:AH565)=0,"",(SUM(T565*[1]KPI_Weights!$B$4,U565*[1]KPI_Weights!$B$5,V565*[1]KPI_Weights!$B$6,W565*[1]KPI_Weights!$B$7,X565*[1]KPI_Weights!$B$8,Y565*[1]KPI_Weights!$B$9,Z565*[1]KPI_Weights!$B$10,AA565*[1]KPI_Weights!$B$11,AB565*[1]KPI_Weights!$B$12,AC565*[1]KPI_Weights!$B$13,AD565*[1]KPI_Weights!$B$14,AE565*[1]KPI_Weights!$B$15,AF565*[1]KPI_Weights!$B$16,AG565*[1]KPI_Weights!$B$17,AH565*[1]KPI_Weights!$B$18))/5)</f>
        <v/>
      </c>
      <c r="AL565" s="57" t="str">
        <f>IF(COUNTA(T565:AH565)=0,"",IF(OR(T565&lt;=1,W565&lt;=1,X565&lt;=1,Y565&lt;=1,AB565&lt;=1),"YES","NO"))</f>
        <v/>
      </c>
      <c r="AM565" s="57" t="str">
        <f>IF(AJ565="","",IF(AND(AL565="NO",AJ565&gt;=0.75),"YES","NO"))</f>
        <v/>
      </c>
      <c r="AN565" s="57" t="str">
        <f>IF(AJ565="","",IF(AJ565&lt;0.4,"Critical",IF(AJ565&lt;0.6,"Poor",IF(AJ565&lt;0.75,"Needs Improvement",IF(AJ565&lt;0.9,"Good","Excellent")))))</f>
        <v/>
      </c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</row>
    <row r="566" spans="1:54" ht="15" customHeight="1" x14ac:dyDescent="0.25">
      <c r="A566" s="57" t="str">
        <f>IF($B566="","",TEXT($B566,"yyyymmdd")&amp;"-"&amp;SUBSTITUTE($F566," ","")&amp;"-"&amp;TEXT(COUNTIF($F$4:F566,$F566),"00"))</f>
        <v/>
      </c>
      <c r="B566" s="57"/>
      <c r="C566" s="57" t="str">
        <f>IF($B566="","",WEEKNUM($B566,2))</f>
        <v/>
      </c>
      <c r="D566" s="57" t="str">
        <f>IF($B566="","",TEXT($B566,"yyyy-mm"))</f>
        <v/>
      </c>
      <c r="E566" s="57"/>
      <c r="F566" s="57"/>
      <c r="G566" s="57" t="str">
        <f>IF(OR($E566="",$F566=""),"",IFERROR(IF($E566=INDEX([1]Cluster_Master!$A$4:$A$18,MATCH($F566,[1]Cluster_Master!$B$4:$B$18,0)),"OK","CHECK"),"CHECK"))</f>
        <v/>
      </c>
      <c r="H566" s="57" t="str">
        <f>IFERROR(INDEX([1]Cluster_Master!$C$4:$C$18,MATCH($F566,[1]Cluster_Master!$B$4:$B$18,0)),"")</f>
        <v/>
      </c>
      <c r="I566" s="57" t="str">
        <f>IFERROR(INDEX([1]Cluster_Master!$D$4:$D$18,MATCH($F566,[1]Cluster_Master!$B$4:$B$18,0)),"")</f>
        <v/>
      </c>
      <c r="J566" s="57" t="str">
        <f>IFERROR(INDEX([1]Cluster_Master!$E$4:$E$18,MATCH($F566,[1]Cluster_Master!$B$4:$B$18,0)),"")</f>
        <v/>
      </c>
      <c r="K566" s="57" t="str">
        <f>IFERROR(INDEX([1]Cluster_Master!$F$4:$F$18,MATCH($F566,[1]Cluster_Master!$B$4:$B$18,0)),"")</f>
        <v/>
      </c>
      <c r="L566" s="57" t="str">
        <f>IFERROR(INDEX([1]Cluster_Master!$G$4:$G$18,MATCH($F566,[1]Cluster_Master!$B$4:$B$18,0)),"")</f>
        <v/>
      </c>
      <c r="M566" s="57" t="str">
        <f>IFERROR(INDEX([1]Cluster_Master!$H$4:$H$18,MATCH($F566,[1]Cluster_Master!$B$4:$B$18,0)),"")</f>
        <v/>
      </c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 t="str">
        <f>IF(COUNTA(T566:AH566)=0,"",SUM(T566:AH566))</f>
        <v/>
      </c>
      <c r="AJ566" s="57" t="str">
        <f>IF(COUNTA(T566:AH566)=0,"",AI566/75)</f>
        <v/>
      </c>
      <c r="AK566" s="57" t="str">
        <f>IF(COUNTA(T566:AH566)=0,"",(SUM(T566*[1]KPI_Weights!$B$4,U566*[1]KPI_Weights!$B$5,V566*[1]KPI_Weights!$B$6,W566*[1]KPI_Weights!$B$7,X566*[1]KPI_Weights!$B$8,Y566*[1]KPI_Weights!$B$9,Z566*[1]KPI_Weights!$B$10,AA566*[1]KPI_Weights!$B$11,AB566*[1]KPI_Weights!$B$12,AC566*[1]KPI_Weights!$B$13,AD566*[1]KPI_Weights!$B$14,AE566*[1]KPI_Weights!$B$15,AF566*[1]KPI_Weights!$B$16,AG566*[1]KPI_Weights!$B$17,AH566*[1]KPI_Weights!$B$18))/5)</f>
        <v/>
      </c>
      <c r="AL566" s="57" t="str">
        <f>IF(COUNTA(T566:AH566)=0,"",IF(OR(T566&lt;=1,W566&lt;=1,X566&lt;=1,Y566&lt;=1,AB566&lt;=1),"YES","NO"))</f>
        <v/>
      </c>
      <c r="AM566" s="57" t="str">
        <f>IF(AJ566="","",IF(AND(AL566="NO",AJ566&gt;=0.75),"YES","NO"))</f>
        <v/>
      </c>
      <c r="AN566" s="57" t="str">
        <f>IF(AJ566="","",IF(AJ566&lt;0.4,"Critical",IF(AJ566&lt;0.6,"Poor",IF(AJ566&lt;0.75,"Needs Improvement",IF(AJ566&lt;0.9,"Good","Excellent")))))</f>
        <v/>
      </c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</row>
    <row r="567" spans="1:54" ht="15" customHeight="1" x14ac:dyDescent="0.25">
      <c r="A567" s="57" t="str">
        <f>IF($B567="","",TEXT($B567,"yyyymmdd")&amp;"-"&amp;SUBSTITUTE($F567," ","")&amp;"-"&amp;TEXT(COUNTIF($F$4:F567,$F567),"00"))</f>
        <v/>
      </c>
      <c r="B567" s="57"/>
      <c r="C567" s="57" t="str">
        <f>IF($B567="","",WEEKNUM($B567,2))</f>
        <v/>
      </c>
      <c r="D567" s="57" t="str">
        <f>IF($B567="","",TEXT($B567,"yyyy-mm"))</f>
        <v/>
      </c>
      <c r="E567" s="57"/>
      <c r="F567" s="57"/>
      <c r="G567" s="57" t="str">
        <f>IF(OR($E567="",$F567=""),"",IFERROR(IF($E567=INDEX([1]Cluster_Master!$A$4:$A$18,MATCH($F567,[1]Cluster_Master!$B$4:$B$18,0)),"OK","CHECK"),"CHECK"))</f>
        <v/>
      </c>
      <c r="H567" s="57" t="str">
        <f>IFERROR(INDEX([1]Cluster_Master!$C$4:$C$18,MATCH($F567,[1]Cluster_Master!$B$4:$B$18,0)),"")</f>
        <v/>
      </c>
      <c r="I567" s="57" t="str">
        <f>IFERROR(INDEX([1]Cluster_Master!$D$4:$D$18,MATCH($F567,[1]Cluster_Master!$B$4:$B$18,0)),"")</f>
        <v/>
      </c>
      <c r="J567" s="57" t="str">
        <f>IFERROR(INDEX([1]Cluster_Master!$E$4:$E$18,MATCH($F567,[1]Cluster_Master!$B$4:$B$18,0)),"")</f>
        <v/>
      </c>
      <c r="K567" s="57" t="str">
        <f>IFERROR(INDEX([1]Cluster_Master!$F$4:$F$18,MATCH($F567,[1]Cluster_Master!$B$4:$B$18,0)),"")</f>
        <v/>
      </c>
      <c r="L567" s="57" t="str">
        <f>IFERROR(INDEX([1]Cluster_Master!$G$4:$G$18,MATCH($F567,[1]Cluster_Master!$B$4:$B$18,0)),"")</f>
        <v/>
      </c>
      <c r="M567" s="57" t="str">
        <f>IFERROR(INDEX([1]Cluster_Master!$H$4:$H$18,MATCH($F567,[1]Cluster_Master!$B$4:$B$18,0)),"")</f>
        <v/>
      </c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 t="str">
        <f>IF(COUNTA(T567:AH567)=0,"",SUM(T567:AH567))</f>
        <v/>
      </c>
      <c r="AJ567" s="57" t="str">
        <f>IF(COUNTA(T567:AH567)=0,"",AI567/75)</f>
        <v/>
      </c>
      <c r="AK567" s="57" t="str">
        <f>IF(COUNTA(T567:AH567)=0,"",(SUM(T567*[1]KPI_Weights!$B$4,U567*[1]KPI_Weights!$B$5,V567*[1]KPI_Weights!$B$6,W567*[1]KPI_Weights!$B$7,X567*[1]KPI_Weights!$B$8,Y567*[1]KPI_Weights!$B$9,Z567*[1]KPI_Weights!$B$10,AA567*[1]KPI_Weights!$B$11,AB567*[1]KPI_Weights!$B$12,AC567*[1]KPI_Weights!$B$13,AD567*[1]KPI_Weights!$B$14,AE567*[1]KPI_Weights!$B$15,AF567*[1]KPI_Weights!$B$16,AG567*[1]KPI_Weights!$B$17,AH567*[1]KPI_Weights!$B$18))/5)</f>
        <v/>
      </c>
      <c r="AL567" s="57" t="str">
        <f>IF(COUNTA(T567:AH567)=0,"",IF(OR(T567&lt;=1,W567&lt;=1,X567&lt;=1,Y567&lt;=1,AB567&lt;=1),"YES","NO"))</f>
        <v/>
      </c>
      <c r="AM567" s="57" t="str">
        <f>IF(AJ567="","",IF(AND(AL567="NO",AJ567&gt;=0.75),"YES","NO"))</f>
        <v/>
      </c>
      <c r="AN567" s="57" t="str">
        <f>IF(AJ567="","",IF(AJ567&lt;0.4,"Critical",IF(AJ567&lt;0.6,"Poor",IF(AJ567&lt;0.75,"Needs Improvement",IF(AJ567&lt;0.9,"Good","Excellent")))))</f>
        <v/>
      </c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</row>
    <row r="568" spans="1:54" ht="15" customHeight="1" x14ac:dyDescent="0.25">
      <c r="A568" s="57" t="str">
        <f>IF($B568="","",TEXT($B568,"yyyymmdd")&amp;"-"&amp;SUBSTITUTE($F568," ","")&amp;"-"&amp;TEXT(COUNTIF($F$4:F568,$F568),"00"))</f>
        <v/>
      </c>
      <c r="B568" s="57"/>
      <c r="C568" s="57" t="str">
        <f>IF($B568="","",WEEKNUM($B568,2))</f>
        <v/>
      </c>
      <c r="D568" s="57" t="str">
        <f>IF($B568="","",TEXT($B568,"yyyy-mm"))</f>
        <v/>
      </c>
      <c r="E568" s="57"/>
      <c r="F568" s="57"/>
      <c r="G568" s="57" t="str">
        <f>IF(OR($E568="",$F568=""),"",IFERROR(IF($E568=INDEX([1]Cluster_Master!$A$4:$A$18,MATCH($F568,[1]Cluster_Master!$B$4:$B$18,0)),"OK","CHECK"),"CHECK"))</f>
        <v/>
      </c>
      <c r="H568" s="57" t="str">
        <f>IFERROR(INDEX([1]Cluster_Master!$C$4:$C$18,MATCH($F568,[1]Cluster_Master!$B$4:$B$18,0)),"")</f>
        <v/>
      </c>
      <c r="I568" s="57" t="str">
        <f>IFERROR(INDEX([1]Cluster_Master!$D$4:$D$18,MATCH($F568,[1]Cluster_Master!$B$4:$B$18,0)),"")</f>
        <v/>
      </c>
      <c r="J568" s="57" t="str">
        <f>IFERROR(INDEX([1]Cluster_Master!$E$4:$E$18,MATCH($F568,[1]Cluster_Master!$B$4:$B$18,0)),"")</f>
        <v/>
      </c>
      <c r="K568" s="57" t="str">
        <f>IFERROR(INDEX([1]Cluster_Master!$F$4:$F$18,MATCH($F568,[1]Cluster_Master!$B$4:$B$18,0)),"")</f>
        <v/>
      </c>
      <c r="L568" s="57" t="str">
        <f>IFERROR(INDEX([1]Cluster_Master!$G$4:$G$18,MATCH($F568,[1]Cluster_Master!$B$4:$B$18,0)),"")</f>
        <v/>
      </c>
      <c r="M568" s="57" t="str">
        <f>IFERROR(INDEX([1]Cluster_Master!$H$4:$H$18,MATCH($F568,[1]Cluster_Master!$B$4:$B$18,0)),"")</f>
        <v/>
      </c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 t="str">
        <f>IF(COUNTA(T568:AH568)=0,"",SUM(T568:AH568))</f>
        <v/>
      </c>
      <c r="AJ568" s="57" t="str">
        <f>IF(COUNTA(T568:AH568)=0,"",AI568/75)</f>
        <v/>
      </c>
      <c r="AK568" s="57" t="str">
        <f>IF(COUNTA(T568:AH568)=0,"",(SUM(T568*[1]KPI_Weights!$B$4,U568*[1]KPI_Weights!$B$5,V568*[1]KPI_Weights!$B$6,W568*[1]KPI_Weights!$B$7,X568*[1]KPI_Weights!$B$8,Y568*[1]KPI_Weights!$B$9,Z568*[1]KPI_Weights!$B$10,AA568*[1]KPI_Weights!$B$11,AB568*[1]KPI_Weights!$B$12,AC568*[1]KPI_Weights!$B$13,AD568*[1]KPI_Weights!$B$14,AE568*[1]KPI_Weights!$B$15,AF568*[1]KPI_Weights!$B$16,AG568*[1]KPI_Weights!$B$17,AH568*[1]KPI_Weights!$B$18))/5)</f>
        <v/>
      </c>
      <c r="AL568" s="57" t="str">
        <f>IF(COUNTA(T568:AH568)=0,"",IF(OR(T568&lt;=1,W568&lt;=1,X568&lt;=1,Y568&lt;=1,AB568&lt;=1),"YES","NO"))</f>
        <v/>
      </c>
      <c r="AM568" s="57" t="str">
        <f>IF(AJ568="","",IF(AND(AL568="NO",AJ568&gt;=0.75),"YES","NO"))</f>
        <v/>
      </c>
      <c r="AN568" s="57" t="str">
        <f>IF(AJ568="","",IF(AJ568&lt;0.4,"Critical",IF(AJ568&lt;0.6,"Poor",IF(AJ568&lt;0.75,"Needs Improvement",IF(AJ568&lt;0.9,"Good","Excellent")))))</f>
        <v/>
      </c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</row>
    <row r="569" spans="1:54" ht="15" customHeight="1" x14ac:dyDescent="0.25">
      <c r="A569" s="57" t="str">
        <f>IF($B569="","",TEXT($B569,"yyyymmdd")&amp;"-"&amp;SUBSTITUTE($F569," ","")&amp;"-"&amp;TEXT(COUNTIF($F$4:F569,$F569),"00"))</f>
        <v/>
      </c>
      <c r="B569" s="57"/>
      <c r="C569" s="57" t="str">
        <f>IF($B569="","",WEEKNUM($B569,2))</f>
        <v/>
      </c>
      <c r="D569" s="57" t="str">
        <f>IF($B569="","",TEXT($B569,"yyyy-mm"))</f>
        <v/>
      </c>
      <c r="E569" s="57"/>
      <c r="F569" s="57"/>
      <c r="G569" s="57" t="str">
        <f>IF(OR($E569="",$F569=""),"",IFERROR(IF($E569=INDEX([1]Cluster_Master!$A$4:$A$18,MATCH($F569,[1]Cluster_Master!$B$4:$B$18,0)),"OK","CHECK"),"CHECK"))</f>
        <v/>
      </c>
      <c r="H569" s="57" t="str">
        <f>IFERROR(INDEX([1]Cluster_Master!$C$4:$C$18,MATCH($F569,[1]Cluster_Master!$B$4:$B$18,0)),"")</f>
        <v/>
      </c>
      <c r="I569" s="57" t="str">
        <f>IFERROR(INDEX([1]Cluster_Master!$D$4:$D$18,MATCH($F569,[1]Cluster_Master!$B$4:$B$18,0)),"")</f>
        <v/>
      </c>
      <c r="J569" s="57" t="str">
        <f>IFERROR(INDEX([1]Cluster_Master!$E$4:$E$18,MATCH($F569,[1]Cluster_Master!$B$4:$B$18,0)),"")</f>
        <v/>
      </c>
      <c r="K569" s="57" t="str">
        <f>IFERROR(INDEX([1]Cluster_Master!$F$4:$F$18,MATCH($F569,[1]Cluster_Master!$B$4:$B$18,0)),"")</f>
        <v/>
      </c>
      <c r="L569" s="57" t="str">
        <f>IFERROR(INDEX([1]Cluster_Master!$G$4:$G$18,MATCH($F569,[1]Cluster_Master!$B$4:$B$18,0)),"")</f>
        <v/>
      </c>
      <c r="M569" s="57" t="str">
        <f>IFERROR(INDEX([1]Cluster_Master!$H$4:$H$18,MATCH($F569,[1]Cluster_Master!$B$4:$B$18,0)),"")</f>
        <v/>
      </c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 t="str">
        <f>IF(COUNTA(T569:AH569)=0,"",SUM(T569:AH569))</f>
        <v/>
      </c>
      <c r="AJ569" s="57" t="str">
        <f>IF(COUNTA(T569:AH569)=0,"",AI569/75)</f>
        <v/>
      </c>
      <c r="AK569" s="57" t="str">
        <f>IF(COUNTA(T569:AH569)=0,"",(SUM(T569*[1]KPI_Weights!$B$4,U569*[1]KPI_Weights!$B$5,V569*[1]KPI_Weights!$B$6,W569*[1]KPI_Weights!$B$7,X569*[1]KPI_Weights!$B$8,Y569*[1]KPI_Weights!$B$9,Z569*[1]KPI_Weights!$B$10,AA569*[1]KPI_Weights!$B$11,AB569*[1]KPI_Weights!$B$12,AC569*[1]KPI_Weights!$B$13,AD569*[1]KPI_Weights!$B$14,AE569*[1]KPI_Weights!$B$15,AF569*[1]KPI_Weights!$B$16,AG569*[1]KPI_Weights!$B$17,AH569*[1]KPI_Weights!$B$18))/5)</f>
        <v/>
      </c>
      <c r="AL569" s="57" t="str">
        <f>IF(COUNTA(T569:AH569)=0,"",IF(OR(T569&lt;=1,W569&lt;=1,X569&lt;=1,Y569&lt;=1,AB569&lt;=1),"YES","NO"))</f>
        <v/>
      </c>
      <c r="AM569" s="57" t="str">
        <f>IF(AJ569="","",IF(AND(AL569="NO",AJ569&gt;=0.75),"YES","NO"))</f>
        <v/>
      </c>
      <c r="AN569" s="57" t="str">
        <f>IF(AJ569="","",IF(AJ569&lt;0.4,"Critical",IF(AJ569&lt;0.6,"Poor",IF(AJ569&lt;0.75,"Needs Improvement",IF(AJ569&lt;0.9,"Good","Excellent")))))</f>
        <v/>
      </c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</row>
    <row r="570" spans="1:54" ht="15" customHeight="1" x14ac:dyDescent="0.25">
      <c r="A570" s="57" t="str">
        <f>IF($B570="","",TEXT($B570,"yyyymmdd")&amp;"-"&amp;SUBSTITUTE($F570," ","")&amp;"-"&amp;TEXT(COUNTIF($F$4:F570,$F570),"00"))</f>
        <v/>
      </c>
      <c r="B570" s="57"/>
      <c r="C570" s="57" t="str">
        <f>IF($B570="","",WEEKNUM($B570,2))</f>
        <v/>
      </c>
      <c r="D570" s="57" t="str">
        <f>IF($B570="","",TEXT($B570,"yyyy-mm"))</f>
        <v/>
      </c>
      <c r="E570" s="57"/>
      <c r="F570" s="57"/>
      <c r="G570" s="57" t="str">
        <f>IF(OR($E570="",$F570=""),"",IFERROR(IF($E570=INDEX([1]Cluster_Master!$A$4:$A$18,MATCH($F570,[1]Cluster_Master!$B$4:$B$18,0)),"OK","CHECK"),"CHECK"))</f>
        <v/>
      </c>
      <c r="H570" s="57" t="str">
        <f>IFERROR(INDEX([1]Cluster_Master!$C$4:$C$18,MATCH($F570,[1]Cluster_Master!$B$4:$B$18,0)),"")</f>
        <v/>
      </c>
      <c r="I570" s="57" t="str">
        <f>IFERROR(INDEX([1]Cluster_Master!$D$4:$D$18,MATCH($F570,[1]Cluster_Master!$B$4:$B$18,0)),"")</f>
        <v/>
      </c>
      <c r="J570" s="57" t="str">
        <f>IFERROR(INDEX([1]Cluster_Master!$E$4:$E$18,MATCH($F570,[1]Cluster_Master!$B$4:$B$18,0)),"")</f>
        <v/>
      </c>
      <c r="K570" s="57" t="str">
        <f>IFERROR(INDEX([1]Cluster_Master!$F$4:$F$18,MATCH($F570,[1]Cluster_Master!$B$4:$B$18,0)),"")</f>
        <v/>
      </c>
      <c r="L570" s="57" t="str">
        <f>IFERROR(INDEX([1]Cluster_Master!$G$4:$G$18,MATCH($F570,[1]Cluster_Master!$B$4:$B$18,0)),"")</f>
        <v/>
      </c>
      <c r="M570" s="57" t="str">
        <f>IFERROR(INDEX([1]Cluster_Master!$H$4:$H$18,MATCH($F570,[1]Cluster_Master!$B$4:$B$18,0)),"")</f>
        <v/>
      </c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 t="str">
        <f>IF(COUNTA(T570:AH570)=0,"",SUM(T570:AH570))</f>
        <v/>
      </c>
      <c r="AJ570" s="57" t="str">
        <f>IF(COUNTA(T570:AH570)=0,"",AI570/75)</f>
        <v/>
      </c>
      <c r="AK570" s="57" t="str">
        <f>IF(COUNTA(T570:AH570)=0,"",(SUM(T570*[1]KPI_Weights!$B$4,U570*[1]KPI_Weights!$B$5,V570*[1]KPI_Weights!$B$6,W570*[1]KPI_Weights!$B$7,X570*[1]KPI_Weights!$B$8,Y570*[1]KPI_Weights!$B$9,Z570*[1]KPI_Weights!$B$10,AA570*[1]KPI_Weights!$B$11,AB570*[1]KPI_Weights!$B$12,AC570*[1]KPI_Weights!$B$13,AD570*[1]KPI_Weights!$B$14,AE570*[1]KPI_Weights!$B$15,AF570*[1]KPI_Weights!$B$16,AG570*[1]KPI_Weights!$B$17,AH570*[1]KPI_Weights!$B$18))/5)</f>
        <v/>
      </c>
      <c r="AL570" s="57" t="str">
        <f>IF(COUNTA(T570:AH570)=0,"",IF(OR(T570&lt;=1,W570&lt;=1,X570&lt;=1,Y570&lt;=1,AB570&lt;=1),"YES","NO"))</f>
        <v/>
      </c>
      <c r="AM570" s="57" t="str">
        <f>IF(AJ570="","",IF(AND(AL570="NO",AJ570&gt;=0.75),"YES","NO"))</f>
        <v/>
      </c>
      <c r="AN570" s="57" t="str">
        <f>IF(AJ570="","",IF(AJ570&lt;0.4,"Critical",IF(AJ570&lt;0.6,"Poor",IF(AJ570&lt;0.75,"Needs Improvement",IF(AJ570&lt;0.9,"Good","Excellent")))))</f>
        <v/>
      </c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</row>
    <row r="571" spans="1:54" ht="15" customHeight="1" x14ac:dyDescent="0.25">
      <c r="A571" s="57" t="str">
        <f>IF($B571="","",TEXT($B571,"yyyymmdd")&amp;"-"&amp;SUBSTITUTE($F571," ","")&amp;"-"&amp;TEXT(COUNTIF($F$4:F571,$F571),"00"))</f>
        <v/>
      </c>
      <c r="B571" s="57"/>
      <c r="C571" s="57" t="str">
        <f>IF($B571="","",WEEKNUM($B571,2))</f>
        <v/>
      </c>
      <c r="D571" s="57" t="str">
        <f>IF($B571="","",TEXT($B571,"yyyy-mm"))</f>
        <v/>
      </c>
      <c r="E571" s="57"/>
      <c r="F571" s="57"/>
      <c r="G571" s="57" t="str">
        <f>IF(OR($E571="",$F571=""),"",IFERROR(IF($E571=INDEX([1]Cluster_Master!$A$4:$A$18,MATCH($F571,[1]Cluster_Master!$B$4:$B$18,0)),"OK","CHECK"),"CHECK"))</f>
        <v/>
      </c>
      <c r="H571" s="57" t="str">
        <f>IFERROR(INDEX([1]Cluster_Master!$C$4:$C$18,MATCH($F571,[1]Cluster_Master!$B$4:$B$18,0)),"")</f>
        <v/>
      </c>
      <c r="I571" s="57" t="str">
        <f>IFERROR(INDEX([1]Cluster_Master!$D$4:$D$18,MATCH($F571,[1]Cluster_Master!$B$4:$B$18,0)),"")</f>
        <v/>
      </c>
      <c r="J571" s="57" t="str">
        <f>IFERROR(INDEX([1]Cluster_Master!$E$4:$E$18,MATCH($F571,[1]Cluster_Master!$B$4:$B$18,0)),"")</f>
        <v/>
      </c>
      <c r="K571" s="57" t="str">
        <f>IFERROR(INDEX([1]Cluster_Master!$F$4:$F$18,MATCH($F571,[1]Cluster_Master!$B$4:$B$18,0)),"")</f>
        <v/>
      </c>
      <c r="L571" s="57" t="str">
        <f>IFERROR(INDEX([1]Cluster_Master!$G$4:$G$18,MATCH($F571,[1]Cluster_Master!$B$4:$B$18,0)),"")</f>
        <v/>
      </c>
      <c r="M571" s="57" t="str">
        <f>IFERROR(INDEX([1]Cluster_Master!$H$4:$H$18,MATCH($F571,[1]Cluster_Master!$B$4:$B$18,0)),"")</f>
        <v/>
      </c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 t="str">
        <f>IF(COUNTA(T571:AH571)=0,"",SUM(T571:AH571))</f>
        <v/>
      </c>
      <c r="AJ571" s="57" t="str">
        <f>IF(COUNTA(T571:AH571)=0,"",AI571/75)</f>
        <v/>
      </c>
      <c r="AK571" s="57" t="str">
        <f>IF(COUNTA(T571:AH571)=0,"",(SUM(T571*[1]KPI_Weights!$B$4,U571*[1]KPI_Weights!$B$5,V571*[1]KPI_Weights!$B$6,W571*[1]KPI_Weights!$B$7,X571*[1]KPI_Weights!$B$8,Y571*[1]KPI_Weights!$B$9,Z571*[1]KPI_Weights!$B$10,AA571*[1]KPI_Weights!$B$11,AB571*[1]KPI_Weights!$B$12,AC571*[1]KPI_Weights!$B$13,AD571*[1]KPI_Weights!$B$14,AE571*[1]KPI_Weights!$B$15,AF571*[1]KPI_Weights!$B$16,AG571*[1]KPI_Weights!$B$17,AH571*[1]KPI_Weights!$B$18))/5)</f>
        <v/>
      </c>
      <c r="AL571" s="57" t="str">
        <f>IF(COUNTA(T571:AH571)=0,"",IF(OR(T571&lt;=1,W571&lt;=1,X571&lt;=1,Y571&lt;=1,AB571&lt;=1),"YES","NO"))</f>
        <v/>
      </c>
      <c r="AM571" s="57" t="str">
        <f>IF(AJ571="","",IF(AND(AL571="NO",AJ571&gt;=0.75),"YES","NO"))</f>
        <v/>
      </c>
      <c r="AN571" s="57" t="str">
        <f>IF(AJ571="","",IF(AJ571&lt;0.4,"Critical",IF(AJ571&lt;0.6,"Poor",IF(AJ571&lt;0.75,"Needs Improvement",IF(AJ571&lt;0.9,"Good","Excellent")))))</f>
        <v/>
      </c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</row>
    <row r="572" spans="1:54" ht="15" customHeight="1" x14ac:dyDescent="0.25">
      <c r="A572" s="57" t="str">
        <f>IF($B572="","",TEXT($B572,"yyyymmdd")&amp;"-"&amp;SUBSTITUTE($F572," ","")&amp;"-"&amp;TEXT(COUNTIF($F$4:F572,$F572),"00"))</f>
        <v/>
      </c>
      <c r="B572" s="57"/>
      <c r="C572" s="57" t="str">
        <f>IF($B572="","",WEEKNUM($B572,2))</f>
        <v/>
      </c>
      <c r="D572" s="57" t="str">
        <f>IF($B572="","",TEXT($B572,"yyyy-mm"))</f>
        <v/>
      </c>
      <c r="E572" s="57"/>
      <c r="F572" s="57"/>
      <c r="G572" s="57" t="str">
        <f>IF(OR($E572="",$F572=""),"",IFERROR(IF($E572=INDEX([1]Cluster_Master!$A$4:$A$18,MATCH($F572,[1]Cluster_Master!$B$4:$B$18,0)),"OK","CHECK"),"CHECK"))</f>
        <v/>
      </c>
      <c r="H572" s="57" t="str">
        <f>IFERROR(INDEX([1]Cluster_Master!$C$4:$C$18,MATCH($F572,[1]Cluster_Master!$B$4:$B$18,0)),"")</f>
        <v/>
      </c>
      <c r="I572" s="57" t="str">
        <f>IFERROR(INDEX([1]Cluster_Master!$D$4:$D$18,MATCH($F572,[1]Cluster_Master!$B$4:$B$18,0)),"")</f>
        <v/>
      </c>
      <c r="J572" s="57" t="str">
        <f>IFERROR(INDEX([1]Cluster_Master!$E$4:$E$18,MATCH($F572,[1]Cluster_Master!$B$4:$B$18,0)),"")</f>
        <v/>
      </c>
      <c r="K572" s="57" t="str">
        <f>IFERROR(INDEX([1]Cluster_Master!$F$4:$F$18,MATCH($F572,[1]Cluster_Master!$B$4:$B$18,0)),"")</f>
        <v/>
      </c>
      <c r="L572" s="57" t="str">
        <f>IFERROR(INDEX([1]Cluster_Master!$G$4:$G$18,MATCH($F572,[1]Cluster_Master!$B$4:$B$18,0)),"")</f>
        <v/>
      </c>
      <c r="M572" s="57" t="str">
        <f>IFERROR(INDEX([1]Cluster_Master!$H$4:$H$18,MATCH($F572,[1]Cluster_Master!$B$4:$B$18,0)),"")</f>
        <v/>
      </c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 t="str">
        <f>IF(COUNTA(T572:AH572)=0,"",SUM(T572:AH572))</f>
        <v/>
      </c>
      <c r="AJ572" s="57" t="str">
        <f>IF(COUNTA(T572:AH572)=0,"",AI572/75)</f>
        <v/>
      </c>
      <c r="AK572" s="57" t="str">
        <f>IF(COUNTA(T572:AH572)=0,"",(SUM(T572*[1]KPI_Weights!$B$4,U572*[1]KPI_Weights!$B$5,V572*[1]KPI_Weights!$B$6,W572*[1]KPI_Weights!$B$7,X572*[1]KPI_Weights!$B$8,Y572*[1]KPI_Weights!$B$9,Z572*[1]KPI_Weights!$B$10,AA572*[1]KPI_Weights!$B$11,AB572*[1]KPI_Weights!$B$12,AC572*[1]KPI_Weights!$B$13,AD572*[1]KPI_Weights!$B$14,AE572*[1]KPI_Weights!$B$15,AF572*[1]KPI_Weights!$B$16,AG572*[1]KPI_Weights!$B$17,AH572*[1]KPI_Weights!$B$18))/5)</f>
        <v/>
      </c>
      <c r="AL572" s="57" t="str">
        <f>IF(COUNTA(T572:AH572)=0,"",IF(OR(T572&lt;=1,W572&lt;=1,X572&lt;=1,Y572&lt;=1,AB572&lt;=1),"YES","NO"))</f>
        <v/>
      </c>
      <c r="AM572" s="57" t="str">
        <f>IF(AJ572="","",IF(AND(AL572="NO",AJ572&gt;=0.75),"YES","NO"))</f>
        <v/>
      </c>
      <c r="AN572" s="57" t="str">
        <f>IF(AJ572="","",IF(AJ572&lt;0.4,"Critical",IF(AJ572&lt;0.6,"Poor",IF(AJ572&lt;0.75,"Needs Improvement",IF(AJ572&lt;0.9,"Good","Excellent")))))</f>
        <v/>
      </c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</row>
    <row r="573" spans="1:54" ht="15" customHeight="1" x14ac:dyDescent="0.25">
      <c r="A573" s="57" t="str">
        <f>IF($B573="","",TEXT($B573,"yyyymmdd")&amp;"-"&amp;SUBSTITUTE($F573," ","")&amp;"-"&amp;TEXT(COUNTIF($F$4:F573,$F573),"00"))</f>
        <v/>
      </c>
      <c r="B573" s="57"/>
      <c r="C573" s="57" t="str">
        <f>IF($B573="","",WEEKNUM($B573,2))</f>
        <v/>
      </c>
      <c r="D573" s="57" t="str">
        <f>IF($B573="","",TEXT($B573,"yyyy-mm"))</f>
        <v/>
      </c>
      <c r="E573" s="57"/>
      <c r="F573" s="57"/>
      <c r="G573" s="57" t="str">
        <f>IF(OR($E573="",$F573=""),"",IFERROR(IF($E573=INDEX([1]Cluster_Master!$A$4:$A$18,MATCH($F573,[1]Cluster_Master!$B$4:$B$18,0)),"OK","CHECK"),"CHECK"))</f>
        <v/>
      </c>
      <c r="H573" s="57" t="str">
        <f>IFERROR(INDEX([1]Cluster_Master!$C$4:$C$18,MATCH($F573,[1]Cluster_Master!$B$4:$B$18,0)),"")</f>
        <v/>
      </c>
      <c r="I573" s="57" t="str">
        <f>IFERROR(INDEX([1]Cluster_Master!$D$4:$D$18,MATCH($F573,[1]Cluster_Master!$B$4:$B$18,0)),"")</f>
        <v/>
      </c>
      <c r="J573" s="57" t="str">
        <f>IFERROR(INDEX([1]Cluster_Master!$E$4:$E$18,MATCH($F573,[1]Cluster_Master!$B$4:$B$18,0)),"")</f>
        <v/>
      </c>
      <c r="K573" s="57" t="str">
        <f>IFERROR(INDEX([1]Cluster_Master!$F$4:$F$18,MATCH($F573,[1]Cluster_Master!$B$4:$B$18,0)),"")</f>
        <v/>
      </c>
      <c r="L573" s="57" t="str">
        <f>IFERROR(INDEX([1]Cluster_Master!$G$4:$G$18,MATCH($F573,[1]Cluster_Master!$B$4:$B$18,0)),"")</f>
        <v/>
      </c>
      <c r="M573" s="57" t="str">
        <f>IFERROR(INDEX([1]Cluster_Master!$H$4:$H$18,MATCH($F573,[1]Cluster_Master!$B$4:$B$18,0)),"")</f>
        <v/>
      </c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 t="str">
        <f>IF(COUNTA(T573:AH573)=0,"",SUM(T573:AH573))</f>
        <v/>
      </c>
      <c r="AJ573" s="57" t="str">
        <f>IF(COUNTA(T573:AH573)=0,"",AI573/75)</f>
        <v/>
      </c>
      <c r="AK573" s="57" t="str">
        <f>IF(COUNTA(T573:AH573)=0,"",(SUM(T573*[1]KPI_Weights!$B$4,U573*[1]KPI_Weights!$B$5,V573*[1]KPI_Weights!$B$6,W573*[1]KPI_Weights!$B$7,X573*[1]KPI_Weights!$B$8,Y573*[1]KPI_Weights!$B$9,Z573*[1]KPI_Weights!$B$10,AA573*[1]KPI_Weights!$B$11,AB573*[1]KPI_Weights!$B$12,AC573*[1]KPI_Weights!$B$13,AD573*[1]KPI_Weights!$B$14,AE573*[1]KPI_Weights!$B$15,AF573*[1]KPI_Weights!$B$16,AG573*[1]KPI_Weights!$B$17,AH573*[1]KPI_Weights!$B$18))/5)</f>
        <v/>
      </c>
      <c r="AL573" s="57" t="str">
        <f>IF(COUNTA(T573:AH573)=0,"",IF(OR(T573&lt;=1,W573&lt;=1,X573&lt;=1,Y573&lt;=1,AB573&lt;=1),"YES","NO"))</f>
        <v/>
      </c>
      <c r="AM573" s="57" t="str">
        <f>IF(AJ573="","",IF(AND(AL573="NO",AJ573&gt;=0.75),"YES","NO"))</f>
        <v/>
      </c>
      <c r="AN573" s="57" t="str">
        <f>IF(AJ573="","",IF(AJ573&lt;0.4,"Critical",IF(AJ573&lt;0.6,"Poor",IF(AJ573&lt;0.75,"Needs Improvement",IF(AJ573&lt;0.9,"Good","Excellent")))))</f>
        <v/>
      </c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</row>
    <row r="574" spans="1:54" ht="15" customHeight="1" x14ac:dyDescent="0.25">
      <c r="A574" s="57" t="str">
        <f>IF($B574="","",TEXT($B574,"yyyymmdd")&amp;"-"&amp;SUBSTITUTE($F574," ","")&amp;"-"&amp;TEXT(COUNTIF($F$4:F574,$F574),"00"))</f>
        <v/>
      </c>
      <c r="B574" s="57"/>
      <c r="C574" s="57" t="str">
        <f>IF($B574="","",WEEKNUM($B574,2))</f>
        <v/>
      </c>
      <c r="D574" s="57" t="str">
        <f>IF($B574="","",TEXT($B574,"yyyy-mm"))</f>
        <v/>
      </c>
      <c r="E574" s="57"/>
      <c r="F574" s="57"/>
      <c r="G574" s="57" t="str">
        <f>IF(OR($E574="",$F574=""),"",IFERROR(IF($E574=INDEX([1]Cluster_Master!$A$4:$A$18,MATCH($F574,[1]Cluster_Master!$B$4:$B$18,0)),"OK","CHECK"),"CHECK"))</f>
        <v/>
      </c>
      <c r="H574" s="57" t="str">
        <f>IFERROR(INDEX([1]Cluster_Master!$C$4:$C$18,MATCH($F574,[1]Cluster_Master!$B$4:$B$18,0)),"")</f>
        <v/>
      </c>
      <c r="I574" s="57" t="str">
        <f>IFERROR(INDEX([1]Cluster_Master!$D$4:$D$18,MATCH($F574,[1]Cluster_Master!$B$4:$B$18,0)),"")</f>
        <v/>
      </c>
      <c r="J574" s="57" t="str">
        <f>IFERROR(INDEX([1]Cluster_Master!$E$4:$E$18,MATCH($F574,[1]Cluster_Master!$B$4:$B$18,0)),"")</f>
        <v/>
      </c>
      <c r="K574" s="57" t="str">
        <f>IFERROR(INDEX([1]Cluster_Master!$F$4:$F$18,MATCH($F574,[1]Cluster_Master!$B$4:$B$18,0)),"")</f>
        <v/>
      </c>
      <c r="L574" s="57" t="str">
        <f>IFERROR(INDEX([1]Cluster_Master!$G$4:$G$18,MATCH($F574,[1]Cluster_Master!$B$4:$B$18,0)),"")</f>
        <v/>
      </c>
      <c r="M574" s="57" t="str">
        <f>IFERROR(INDEX([1]Cluster_Master!$H$4:$H$18,MATCH($F574,[1]Cluster_Master!$B$4:$B$18,0)),"")</f>
        <v/>
      </c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 t="str">
        <f>IF(COUNTA(T574:AH574)=0,"",SUM(T574:AH574))</f>
        <v/>
      </c>
      <c r="AJ574" s="57" t="str">
        <f>IF(COUNTA(T574:AH574)=0,"",AI574/75)</f>
        <v/>
      </c>
      <c r="AK574" s="57" t="str">
        <f>IF(COUNTA(T574:AH574)=0,"",(SUM(T574*[1]KPI_Weights!$B$4,U574*[1]KPI_Weights!$B$5,V574*[1]KPI_Weights!$B$6,W574*[1]KPI_Weights!$B$7,X574*[1]KPI_Weights!$B$8,Y574*[1]KPI_Weights!$B$9,Z574*[1]KPI_Weights!$B$10,AA574*[1]KPI_Weights!$B$11,AB574*[1]KPI_Weights!$B$12,AC574*[1]KPI_Weights!$B$13,AD574*[1]KPI_Weights!$B$14,AE574*[1]KPI_Weights!$B$15,AF574*[1]KPI_Weights!$B$16,AG574*[1]KPI_Weights!$B$17,AH574*[1]KPI_Weights!$B$18))/5)</f>
        <v/>
      </c>
      <c r="AL574" s="57" t="str">
        <f>IF(COUNTA(T574:AH574)=0,"",IF(OR(T574&lt;=1,W574&lt;=1,X574&lt;=1,Y574&lt;=1,AB574&lt;=1),"YES","NO"))</f>
        <v/>
      </c>
      <c r="AM574" s="57" t="str">
        <f>IF(AJ574="","",IF(AND(AL574="NO",AJ574&gt;=0.75),"YES","NO"))</f>
        <v/>
      </c>
      <c r="AN574" s="57" t="str">
        <f>IF(AJ574="","",IF(AJ574&lt;0.4,"Critical",IF(AJ574&lt;0.6,"Poor",IF(AJ574&lt;0.75,"Needs Improvement",IF(AJ574&lt;0.9,"Good","Excellent")))))</f>
        <v/>
      </c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</row>
    <row r="575" spans="1:54" ht="15" customHeight="1" x14ac:dyDescent="0.25">
      <c r="A575" s="57" t="str">
        <f>IF($B575="","",TEXT($B575,"yyyymmdd")&amp;"-"&amp;SUBSTITUTE($F575," ","")&amp;"-"&amp;TEXT(COUNTIF($F$4:F575,$F575),"00"))</f>
        <v/>
      </c>
      <c r="B575" s="57"/>
      <c r="C575" s="57" t="str">
        <f>IF($B575="","",WEEKNUM($B575,2))</f>
        <v/>
      </c>
      <c r="D575" s="57" t="str">
        <f>IF($B575="","",TEXT($B575,"yyyy-mm"))</f>
        <v/>
      </c>
      <c r="E575" s="57"/>
      <c r="F575" s="57"/>
      <c r="G575" s="57" t="str">
        <f>IF(OR($E575="",$F575=""),"",IFERROR(IF($E575=INDEX([1]Cluster_Master!$A$4:$A$18,MATCH($F575,[1]Cluster_Master!$B$4:$B$18,0)),"OK","CHECK"),"CHECK"))</f>
        <v/>
      </c>
      <c r="H575" s="57" t="str">
        <f>IFERROR(INDEX([1]Cluster_Master!$C$4:$C$18,MATCH($F575,[1]Cluster_Master!$B$4:$B$18,0)),"")</f>
        <v/>
      </c>
      <c r="I575" s="57" t="str">
        <f>IFERROR(INDEX([1]Cluster_Master!$D$4:$D$18,MATCH($F575,[1]Cluster_Master!$B$4:$B$18,0)),"")</f>
        <v/>
      </c>
      <c r="J575" s="57" t="str">
        <f>IFERROR(INDEX([1]Cluster_Master!$E$4:$E$18,MATCH($F575,[1]Cluster_Master!$B$4:$B$18,0)),"")</f>
        <v/>
      </c>
      <c r="K575" s="57" t="str">
        <f>IFERROR(INDEX([1]Cluster_Master!$F$4:$F$18,MATCH($F575,[1]Cluster_Master!$B$4:$B$18,0)),"")</f>
        <v/>
      </c>
      <c r="L575" s="57" t="str">
        <f>IFERROR(INDEX([1]Cluster_Master!$G$4:$G$18,MATCH($F575,[1]Cluster_Master!$B$4:$B$18,0)),"")</f>
        <v/>
      </c>
      <c r="M575" s="57" t="str">
        <f>IFERROR(INDEX([1]Cluster_Master!$H$4:$H$18,MATCH($F575,[1]Cluster_Master!$B$4:$B$18,0)),"")</f>
        <v/>
      </c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 t="str">
        <f>IF(COUNTA(T575:AH575)=0,"",SUM(T575:AH575))</f>
        <v/>
      </c>
      <c r="AJ575" s="57" t="str">
        <f>IF(COUNTA(T575:AH575)=0,"",AI575/75)</f>
        <v/>
      </c>
      <c r="AK575" s="57" t="str">
        <f>IF(COUNTA(T575:AH575)=0,"",(SUM(T575*[1]KPI_Weights!$B$4,U575*[1]KPI_Weights!$B$5,V575*[1]KPI_Weights!$B$6,W575*[1]KPI_Weights!$B$7,X575*[1]KPI_Weights!$B$8,Y575*[1]KPI_Weights!$B$9,Z575*[1]KPI_Weights!$B$10,AA575*[1]KPI_Weights!$B$11,AB575*[1]KPI_Weights!$B$12,AC575*[1]KPI_Weights!$B$13,AD575*[1]KPI_Weights!$B$14,AE575*[1]KPI_Weights!$B$15,AF575*[1]KPI_Weights!$B$16,AG575*[1]KPI_Weights!$B$17,AH575*[1]KPI_Weights!$B$18))/5)</f>
        <v/>
      </c>
      <c r="AL575" s="57" t="str">
        <f>IF(COUNTA(T575:AH575)=0,"",IF(OR(T575&lt;=1,W575&lt;=1,X575&lt;=1,Y575&lt;=1,AB575&lt;=1),"YES","NO"))</f>
        <v/>
      </c>
      <c r="AM575" s="57" t="str">
        <f>IF(AJ575="","",IF(AND(AL575="NO",AJ575&gt;=0.75),"YES","NO"))</f>
        <v/>
      </c>
      <c r="AN575" s="57" t="str">
        <f>IF(AJ575="","",IF(AJ575&lt;0.4,"Critical",IF(AJ575&lt;0.6,"Poor",IF(AJ575&lt;0.75,"Needs Improvement",IF(AJ575&lt;0.9,"Good","Excellent")))))</f>
        <v/>
      </c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</row>
    <row r="576" spans="1:54" ht="15" customHeight="1" x14ac:dyDescent="0.25">
      <c r="A576" s="57" t="str">
        <f>IF($B576="","",TEXT($B576,"yyyymmdd")&amp;"-"&amp;SUBSTITUTE($F576," ","")&amp;"-"&amp;TEXT(COUNTIF($F$4:F576,$F576),"00"))</f>
        <v/>
      </c>
      <c r="B576" s="57"/>
      <c r="C576" s="57" t="str">
        <f>IF($B576="","",WEEKNUM($B576,2))</f>
        <v/>
      </c>
      <c r="D576" s="57" t="str">
        <f>IF($B576="","",TEXT($B576,"yyyy-mm"))</f>
        <v/>
      </c>
      <c r="E576" s="57"/>
      <c r="F576" s="57"/>
      <c r="G576" s="57" t="str">
        <f>IF(OR($E576="",$F576=""),"",IFERROR(IF($E576=INDEX([1]Cluster_Master!$A$4:$A$18,MATCH($F576,[1]Cluster_Master!$B$4:$B$18,0)),"OK","CHECK"),"CHECK"))</f>
        <v/>
      </c>
      <c r="H576" s="57" t="str">
        <f>IFERROR(INDEX([1]Cluster_Master!$C$4:$C$18,MATCH($F576,[1]Cluster_Master!$B$4:$B$18,0)),"")</f>
        <v/>
      </c>
      <c r="I576" s="57" t="str">
        <f>IFERROR(INDEX([1]Cluster_Master!$D$4:$D$18,MATCH($F576,[1]Cluster_Master!$B$4:$B$18,0)),"")</f>
        <v/>
      </c>
      <c r="J576" s="57" t="str">
        <f>IFERROR(INDEX([1]Cluster_Master!$E$4:$E$18,MATCH($F576,[1]Cluster_Master!$B$4:$B$18,0)),"")</f>
        <v/>
      </c>
      <c r="K576" s="57" t="str">
        <f>IFERROR(INDEX([1]Cluster_Master!$F$4:$F$18,MATCH($F576,[1]Cluster_Master!$B$4:$B$18,0)),"")</f>
        <v/>
      </c>
      <c r="L576" s="57" t="str">
        <f>IFERROR(INDEX([1]Cluster_Master!$G$4:$G$18,MATCH($F576,[1]Cluster_Master!$B$4:$B$18,0)),"")</f>
        <v/>
      </c>
      <c r="M576" s="57" t="str">
        <f>IFERROR(INDEX([1]Cluster_Master!$H$4:$H$18,MATCH($F576,[1]Cluster_Master!$B$4:$B$18,0)),"")</f>
        <v/>
      </c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 t="str">
        <f>IF(COUNTA(T576:AH576)=0,"",SUM(T576:AH576))</f>
        <v/>
      </c>
      <c r="AJ576" s="57" t="str">
        <f>IF(COUNTA(T576:AH576)=0,"",AI576/75)</f>
        <v/>
      </c>
      <c r="AK576" s="57" t="str">
        <f>IF(COUNTA(T576:AH576)=0,"",(SUM(T576*[1]KPI_Weights!$B$4,U576*[1]KPI_Weights!$B$5,V576*[1]KPI_Weights!$B$6,W576*[1]KPI_Weights!$B$7,X576*[1]KPI_Weights!$B$8,Y576*[1]KPI_Weights!$B$9,Z576*[1]KPI_Weights!$B$10,AA576*[1]KPI_Weights!$B$11,AB576*[1]KPI_Weights!$B$12,AC576*[1]KPI_Weights!$B$13,AD576*[1]KPI_Weights!$B$14,AE576*[1]KPI_Weights!$B$15,AF576*[1]KPI_Weights!$B$16,AG576*[1]KPI_Weights!$B$17,AH576*[1]KPI_Weights!$B$18))/5)</f>
        <v/>
      </c>
      <c r="AL576" s="57" t="str">
        <f>IF(COUNTA(T576:AH576)=0,"",IF(OR(T576&lt;=1,W576&lt;=1,X576&lt;=1,Y576&lt;=1,AB576&lt;=1),"YES","NO"))</f>
        <v/>
      </c>
      <c r="AM576" s="57" t="str">
        <f>IF(AJ576="","",IF(AND(AL576="NO",AJ576&gt;=0.75),"YES","NO"))</f>
        <v/>
      </c>
      <c r="AN576" s="57" t="str">
        <f>IF(AJ576="","",IF(AJ576&lt;0.4,"Critical",IF(AJ576&lt;0.6,"Poor",IF(AJ576&lt;0.75,"Needs Improvement",IF(AJ576&lt;0.9,"Good","Excellent")))))</f>
        <v/>
      </c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</row>
    <row r="577" spans="1:54" ht="15" customHeight="1" x14ac:dyDescent="0.25">
      <c r="A577" s="57" t="str">
        <f>IF($B577="","",TEXT($B577,"yyyymmdd")&amp;"-"&amp;SUBSTITUTE($F577," ","")&amp;"-"&amp;TEXT(COUNTIF($F$4:F577,$F577),"00"))</f>
        <v/>
      </c>
      <c r="B577" s="57"/>
      <c r="C577" s="57" t="str">
        <f>IF($B577="","",WEEKNUM($B577,2))</f>
        <v/>
      </c>
      <c r="D577" s="57" t="str">
        <f>IF($B577="","",TEXT($B577,"yyyy-mm"))</f>
        <v/>
      </c>
      <c r="E577" s="57"/>
      <c r="F577" s="57"/>
      <c r="G577" s="57" t="str">
        <f>IF(OR($E577="",$F577=""),"",IFERROR(IF($E577=INDEX([1]Cluster_Master!$A$4:$A$18,MATCH($F577,[1]Cluster_Master!$B$4:$B$18,0)),"OK","CHECK"),"CHECK"))</f>
        <v/>
      </c>
      <c r="H577" s="57" t="str">
        <f>IFERROR(INDEX([1]Cluster_Master!$C$4:$C$18,MATCH($F577,[1]Cluster_Master!$B$4:$B$18,0)),"")</f>
        <v/>
      </c>
      <c r="I577" s="57" t="str">
        <f>IFERROR(INDEX([1]Cluster_Master!$D$4:$D$18,MATCH($F577,[1]Cluster_Master!$B$4:$B$18,0)),"")</f>
        <v/>
      </c>
      <c r="J577" s="57" t="str">
        <f>IFERROR(INDEX([1]Cluster_Master!$E$4:$E$18,MATCH($F577,[1]Cluster_Master!$B$4:$B$18,0)),"")</f>
        <v/>
      </c>
      <c r="K577" s="57" t="str">
        <f>IFERROR(INDEX([1]Cluster_Master!$F$4:$F$18,MATCH($F577,[1]Cluster_Master!$B$4:$B$18,0)),"")</f>
        <v/>
      </c>
      <c r="L577" s="57" t="str">
        <f>IFERROR(INDEX([1]Cluster_Master!$G$4:$G$18,MATCH($F577,[1]Cluster_Master!$B$4:$B$18,0)),"")</f>
        <v/>
      </c>
      <c r="M577" s="57" t="str">
        <f>IFERROR(INDEX([1]Cluster_Master!$H$4:$H$18,MATCH($F577,[1]Cluster_Master!$B$4:$B$18,0)),"")</f>
        <v/>
      </c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 t="str">
        <f>IF(COUNTA(T577:AH577)=0,"",SUM(T577:AH577))</f>
        <v/>
      </c>
      <c r="AJ577" s="57" t="str">
        <f>IF(COUNTA(T577:AH577)=0,"",AI577/75)</f>
        <v/>
      </c>
      <c r="AK577" s="57" t="str">
        <f>IF(COUNTA(T577:AH577)=0,"",(SUM(T577*[1]KPI_Weights!$B$4,U577*[1]KPI_Weights!$B$5,V577*[1]KPI_Weights!$B$6,W577*[1]KPI_Weights!$B$7,X577*[1]KPI_Weights!$B$8,Y577*[1]KPI_Weights!$B$9,Z577*[1]KPI_Weights!$B$10,AA577*[1]KPI_Weights!$B$11,AB577*[1]KPI_Weights!$B$12,AC577*[1]KPI_Weights!$B$13,AD577*[1]KPI_Weights!$B$14,AE577*[1]KPI_Weights!$B$15,AF577*[1]KPI_Weights!$B$16,AG577*[1]KPI_Weights!$B$17,AH577*[1]KPI_Weights!$B$18))/5)</f>
        <v/>
      </c>
      <c r="AL577" s="57" t="str">
        <f>IF(COUNTA(T577:AH577)=0,"",IF(OR(T577&lt;=1,W577&lt;=1,X577&lt;=1,Y577&lt;=1,AB577&lt;=1),"YES","NO"))</f>
        <v/>
      </c>
      <c r="AM577" s="57" t="str">
        <f>IF(AJ577="","",IF(AND(AL577="NO",AJ577&gt;=0.75),"YES","NO"))</f>
        <v/>
      </c>
      <c r="AN577" s="57" t="str">
        <f>IF(AJ577="","",IF(AJ577&lt;0.4,"Critical",IF(AJ577&lt;0.6,"Poor",IF(AJ577&lt;0.75,"Needs Improvement",IF(AJ577&lt;0.9,"Good","Excellent")))))</f>
        <v/>
      </c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</row>
    <row r="578" spans="1:54" ht="15" customHeight="1" x14ac:dyDescent="0.25">
      <c r="A578" s="57" t="str">
        <f>IF($B578="","",TEXT($B578,"yyyymmdd")&amp;"-"&amp;SUBSTITUTE($F578," ","")&amp;"-"&amp;TEXT(COUNTIF($F$4:F578,$F578),"00"))</f>
        <v/>
      </c>
      <c r="B578" s="57"/>
      <c r="C578" s="57" t="str">
        <f>IF($B578="","",WEEKNUM($B578,2))</f>
        <v/>
      </c>
      <c r="D578" s="57" t="str">
        <f>IF($B578="","",TEXT($B578,"yyyy-mm"))</f>
        <v/>
      </c>
      <c r="E578" s="57"/>
      <c r="F578" s="57"/>
      <c r="G578" s="57" t="str">
        <f>IF(OR($E578="",$F578=""),"",IFERROR(IF($E578=INDEX([1]Cluster_Master!$A$4:$A$18,MATCH($F578,[1]Cluster_Master!$B$4:$B$18,0)),"OK","CHECK"),"CHECK"))</f>
        <v/>
      </c>
      <c r="H578" s="57" t="str">
        <f>IFERROR(INDEX([1]Cluster_Master!$C$4:$C$18,MATCH($F578,[1]Cluster_Master!$B$4:$B$18,0)),"")</f>
        <v/>
      </c>
      <c r="I578" s="57" t="str">
        <f>IFERROR(INDEX([1]Cluster_Master!$D$4:$D$18,MATCH($F578,[1]Cluster_Master!$B$4:$B$18,0)),"")</f>
        <v/>
      </c>
      <c r="J578" s="57" t="str">
        <f>IFERROR(INDEX([1]Cluster_Master!$E$4:$E$18,MATCH($F578,[1]Cluster_Master!$B$4:$B$18,0)),"")</f>
        <v/>
      </c>
      <c r="K578" s="57" t="str">
        <f>IFERROR(INDEX([1]Cluster_Master!$F$4:$F$18,MATCH($F578,[1]Cluster_Master!$B$4:$B$18,0)),"")</f>
        <v/>
      </c>
      <c r="L578" s="57" t="str">
        <f>IFERROR(INDEX([1]Cluster_Master!$G$4:$G$18,MATCH($F578,[1]Cluster_Master!$B$4:$B$18,0)),"")</f>
        <v/>
      </c>
      <c r="M578" s="57" t="str">
        <f>IFERROR(INDEX([1]Cluster_Master!$H$4:$H$18,MATCH($F578,[1]Cluster_Master!$B$4:$B$18,0)),"")</f>
        <v/>
      </c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 t="str">
        <f>IF(COUNTA(T578:AH578)=0,"",SUM(T578:AH578))</f>
        <v/>
      </c>
      <c r="AJ578" s="57" t="str">
        <f>IF(COUNTA(T578:AH578)=0,"",AI578/75)</f>
        <v/>
      </c>
      <c r="AK578" s="57" t="str">
        <f>IF(COUNTA(T578:AH578)=0,"",(SUM(T578*[1]KPI_Weights!$B$4,U578*[1]KPI_Weights!$B$5,V578*[1]KPI_Weights!$B$6,W578*[1]KPI_Weights!$B$7,X578*[1]KPI_Weights!$B$8,Y578*[1]KPI_Weights!$B$9,Z578*[1]KPI_Weights!$B$10,AA578*[1]KPI_Weights!$B$11,AB578*[1]KPI_Weights!$B$12,AC578*[1]KPI_Weights!$B$13,AD578*[1]KPI_Weights!$B$14,AE578*[1]KPI_Weights!$B$15,AF578*[1]KPI_Weights!$B$16,AG578*[1]KPI_Weights!$B$17,AH578*[1]KPI_Weights!$B$18))/5)</f>
        <v/>
      </c>
      <c r="AL578" s="57" t="str">
        <f>IF(COUNTA(T578:AH578)=0,"",IF(OR(T578&lt;=1,W578&lt;=1,X578&lt;=1,Y578&lt;=1,AB578&lt;=1),"YES","NO"))</f>
        <v/>
      </c>
      <c r="AM578" s="57" t="str">
        <f>IF(AJ578="","",IF(AND(AL578="NO",AJ578&gt;=0.75),"YES","NO"))</f>
        <v/>
      </c>
      <c r="AN578" s="57" t="str">
        <f>IF(AJ578="","",IF(AJ578&lt;0.4,"Critical",IF(AJ578&lt;0.6,"Poor",IF(AJ578&lt;0.75,"Needs Improvement",IF(AJ578&lt;0.9,"Good","Excellent")))))</f>
        <v/>
      </c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</row>
    <row r="579" spans="1:54" ht="15" customHeight="1" x14ac:dyDescent="0.25">
      <c r="A579" s="57" t="str">
        <f>IF($B579="","",TEXT($B579,"yyyymmdd")&amp;"-"&amp;SUBSTITUTE($F579," ","")&amp;"-"&amp;TEXT(COUNTIF($F$4:F579,$F579),"00"))</f>
        <v/>
      </c>
      <c r="B579" s="57"/>
      <c r="C579" s="57" t="str">
        <f>IF($B579="","",WEEKNUM($B579,2))</f>
        <v/>
      </c>
      <c r="D579" s="57" t="str">
        <f>IF($B579="","",TEXT($B579,"yyyy-mm"))</f>
        <v/>
      </c>
      <c r="E579" s="57"/>
      <c r="F579" s="57"/>
      <c r="G579" s="57" t="str">
        <f>IF(OR($E579="",$F579=""),"",IFERROR(IF($E579=INDEX([1]Cluster_Master!$A$4:$A$18,MATCH($F579,[1]Cluster_Master!$B$4:$B$18,0)),"OK","CHECK"),"CHECK"))</f>
        <v/>
      </c>
      <c r="H579" s="57" t="str">
        <f>IFERROR(INDEX([1]Cluster_Master!$C$4:$C$18,MATCH($F579,[1]Cluster_Master!$B$4:$B$18,0)),"")</f>
        <v/>
      </c>
      <c r="I579" s="57" t="str">
        <f>IFERROR(INDEX([1]Cluster_Master!$D$4:$D$18,MATCH($F579,[1]Cluster_Master!$B$4:$B$18,0)),"")</f>
        <v/>
      </c>
      <c r="J579" s="57" t="str">
        <f>IFERROR(INDEX([1]Cluster_Master!$E$4:$E$18,MATCH($F579,[1]Cluster_Master!$B$4:$B$18,0)),"")</f>
        <v/>
      </c>
      <c r="K579" s="57" t="str">
        <f>IFERROR(INDEX([1]Cluster_Master!$F$4:$F$18,MATCH($F579,[1]Cluster_Master!$B$4:$B$18,0)),"")</f>
        <v/>
      </c>
      <c r="L579" s="57" t="str">
        <f>IFERROR(INDEX([1]Cluster_Master!$G$4:$G$18,MATCH($F579,[1]Cluster_Master!$B$4:$B$18,0)),"")</f>
        <v/>
      </c>
      <c r="M579" s="57" t="str">
        <f>IFERROR(INDEX([1]Cluster_Master!$H$4:$H$18,MATCH($F579,[1]Cluster_Master!$B$4:$B$18,0)),"")</f>
        <v/>
      </c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 t="str">
        <f>IF(COUNTA(T579:AH579)=0,"",SUM(T579:AH579))</f>
        <v/>
      </c>
      <c r="AJ579" s="57" t="str">
        <f>IF(COUNTA(T579:AH579)=0,"",AI579/75)</f>
        <v/>
      </c>
      <c r="AK579" s="57" t="str">
        <f>IF(COUNTA(T579:AH579)=0,"",(SUM(T579*[1]KPI_Weights!$B$4,U579*[1]KPI_Weights!$B$5,V579*[1]KPI_Weights!$B$6,W579*[1]KPI_Weights!$B$7,X579*[1]KPI_Weights!$B$8,Y579*[1]KPI_Weights!$B$9,Z579*[1]KPI_Weights!$B$10,AA579*[1]KPI_Weights!$B$11,AB579*[1]KPI_Weights!$B$12,AC579*[1]KPI_Weights!$B$13,AD579*[1]KPI_Weights!$B$14,AE579*[1]KPI_Weights!$B$15,AF579*[1]KPI_Weights!$B$16,AG579*[1]KPI_Weights!$B$17,AH579*[1]KPI_Weights!$B$18))/5)</f>
        <v/>
      </c>
      <c r="AL579" s="57" t="str">
        <f>IF(COUNTA(T579:AH579)=0,"",IF(OR(T579&lt;=1,W579&lt;=1,X579&lt;=1,Y579&lt;=1,AB579&lt;=1),"YES","NO"))</f>
        <v/>
      </c>
      <c r="AM579" s="57" t="str">
        <f>IF(AJ579="","",IF(AND(AL579="NO",AJ579&gt;=0.75),"YES","NO"))</f>
        <v/>
      </c>
      <c r="AN579" s="57" t="str">
        <f>IF(AJ579="","",IF(AJ579&lt;0.4,"Critical",IF(AJ579&lt;0.6,"Poor",IF(AJ579&lt;0.75,"Needs Improvement",IF(AJ579&lt;0.9,"Good","Excellent")))))</f>
        <v/>
      </c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</row>
    <row r="580" spans="1:54" ht="15" customHeight="1" x14ac:dyDescent="0.25">
      <c r="A580" s="57" t="str">
        <f>IF($B580="","",TEXT($B580,"yyyymmdd")&amp;"-"&amp;SUBSTITUTE($F580," ","")&amp;"-"&amp;TEXT(COUNTIF($F$4:F580,$F580),"00"))</f>
        <v/>
      </c>
      <c r="B580" s="57"/>
      <c r="C580" s="57" t="str">
        <f>IF($B580="","",WEEKNUM($B580,2))</f>
        <v/>
      </c>
      <c r="D580" s="57" t="str">
        <f>IF($B580="","",TEXT($B580,"yyyy-mm"))</f>
        <v/>
      </c>
      <c r="E580" s="57"/>
      <c r="F580" s="57"/>
      <c r="G580" s="57" t="str">
        <f>IF(OR($E580="",$F580=""),"",IFERROR(IF($E580=INDEX([1]Cluster_Master!$A$4:$A$18,MATCH($F580,[1]Cluster_Master!$B$4:$B$18,0)),"OK","CHECK"),"CHECK"))</f>
        <v/>
      </c>
      <c r="H580" s="57" t="str">
        <f>IFERROR(INDEX([1]Cluster_Master!$C$4:$C$18,MATCH($F580,[1]Cluster_Master!$B$4:$B$18,0)),"")</f>
        <v/>
      </c>
      <c r="I580" s="57" t="str">
        <f>IFERROR(INDEX([1]Cluster_Master!$D$4:$D$18,MATCH($F580,[1]Cluster_Master!$B$4:$B$18,0)),"")</f>
        <v/>
      </c>
      <c r="J580" s="57" t="str">
        <f>IFERROR(INDEX([1]Cluster_Master!$E$4:$E$18,MATCH($F580,[1]Cluster_Master!$B$4:$B$18,0)),"")</f>
        <v/>
      </c>
      <c r="K580" s="57" t="str">
        <f>IFERROR(INDEX([1]Cluster_Master!$F$4:$F$18,MATCH($F580,[1]Cluster_Master!$B$4:$B$18,0)),"")</f>
        <v/>
      </c>
      <c r="L580" s="57" t="str">
        <f>IFERROR(INDEX([1]Cluster_Master!$G$4:$G$18,MATCH($F580,[1]Cluster_Master!$B$4:$B$18,0)),"")</f>
        <v/>
      </c>
      <c r="M580" s="57" t="str">
        <f>IFERROR(INDEX([1]Cluster_Master!$H$4:$H$18,MATCH($F580,[1]Cluster_Master!$B$4:$B$18,0)),"")</f>
        <v/>
      </c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 t="str">
        <f>IF(COUNTA(T580:AH580)=0,"",SUM(T580:AH580))</f>
        <v/>
      </c>
      <c r="AJ580" s="57" t="str">
        <f>IF(COUNTA(T580:AH580)=0,"",AI580/75)</f>
        <v/>
      </c>
      <c r="AK580" s="57" t="str">
        <f>IF(COUNTA(T580:AH580)=0,"",(SUM(T580*[1]KPI_Weights!$B$4,U580*[1]KPI_Weights!$B$5,V580*[1]KPI_Weights!$B$6,W580*[1]KPI_Weights!$B$7,X580*[1]KPI_Weights!$B$8,Y580*[1]KPI_Weights!$B$9,Z580*[1]KPI_Weights!$B$10,AA580*[1]KPI_Weights!$B$11,AB580*[1]KPI_Weights!$B$12,AC580*[1]KPI_Weights!$B$13,AD580*[1]KPI_Weights!$B$14,AE580*[1]KPI_Weights!$B$15,AF580*[1]KPI_Weights!$B$16,AG580*[1]KPI_Weights!$B$17,AH580*[1]KPI_Weights!$B$18))/5)</f>
        <v/>
      </c>
      <c r="AL580" s="57" t="str">
        <f>IF(COUNTA(T580:AH580)=0,"",IF(OR(T580&lt;=1,W580&lt;=1,X580&lt;=1,Y580&lt;=1,AB580&lt;=1),"YES","NO"))</f>
        <v/>
      </c>
      <c r="AM580" s="57" t="str">
        <f>IF(AJ580="","",IF(AND(AL580="NO",AJ580&gt;=0.75),"YES","NO"))</f>
        <v/>
      </c>
      <c r="AN580" s="57" t="str">
        <f>IF(AJ580="","",IF(AJ580&lt;0.4,"Critical",IF(AJ580&lt;0.6,"Poor",IF(AJ580&lt;0.75,"Needs Improvement",IF(AJ580&lt;0.9,"Good","Excellent")))))</f>
        <v/>
      </c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</row>
    <row r="581" spans="1:54" ht="15" customHeight="1" x14ac:dyDescent="0.25">
      <c r="A581" s="57" t="str">
        <f>IF($B581="","",TEXT($B581,"yyyymmdd")&amp;"-"&amp;SUBSTITUTE($F581," ","")&amp;"-"&amp;TEXT(COUNTIF($F$4:F581,$F581),"00"))</f>
        <v/>
      </c>
      <c r="B581" s="57"/>
      <c r="C581" s="57" t="str">
        <f>IF($B581="","",WEEKNUM($B581,2))</f>
        <v/>
      </c>
      <c r="D581" s="57" t="str">
        <f>IF($B581="","",TEXT($B581,"yyyy-mm"))</f>
        <v/>
      </c>
      <c r="E581" s="57"/>
      <c r="F581" s="57"/>
      <c r="G581" s="57" t="str">
        <f>IF(OR($E581="",$F581=""),"",IFERROR(IF($E581=INDEX([1]Cluster_Master!$A$4:$A$18,MATCH($F581,[1]Cluster_Master!$B$4:$B$18,0)),"OK","CHECK"),"CHECK"))</f>
        <v/>
      </c>
      <c r="H581" s="57" t="str">
        <f>IFERROR(INDEX([1]Cluster_Master!$C$4:$C$18,MATCH($F581,[1]Cluster_Master!$B$4:$B$18,0)),"")</f>
        <v/>
      </c>
      <c r="I581" s="57" t="str">
        <f>IFERROR(INDEX([1]Cluster_Master!$D$4:$D$18,MATCH($F581,[1]Cluster_Master!$B$4:$B$18,0)),"")</f>
        <v/>
      </c>
      <c r="J581" s="57" t="str">
        <f>IFERROR(INDEX([1]Cluster_Master!$E$4:$E$18,MATCH($F581,[1]Cluster_Master!$B$4:$B$18,0)),"")</f>
        <v/>
      </c>
      <c r="K581" s="57" t="str">
        <f>IFERROR(INDEX([1]Cluster_Master!$F$4:$F$18,MATCH($F581,[1]Cluster_Master!$B$4:$B$18,0)),"")</f>
        <v/>
      </c>
      <c r="L581" s="57" t="str">
        <f>IFERROR(INDEX([1]Cluster_Master!$G$4:$G$18,MATCH($F581,[1]Cluster_Master!$B$4:$B$18,0)),"")</f>
        <v/>
      </c>
      <c r="M581" s="57" t="str">
        <f>IFERROR(INDEX([1]Cluster_Master!$H$4:$H$18,MATCH($F581,[1]Cluster_Master!$B$4:$B$18,0)),"")</f>
        <v/>
      </c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 t="str">
        <f>IF(COUNTA(T581:AH581)=0,"",SUM(T581:AH581))</f>
        <v/>
      </c>
      <c r="AJ581" s="57" t="str">
        <f>IF(COUNTA(T581:AH581)=0,"",AI581/75)</f>
        <v/>
      </c>
      <c r="AK581" s="57" t="str">
        <f>IF(COUNTA(T581:AH581)=0,"",(SUM(T581*[1]KPI_Weights!$B$4,U581*[1]KPI_Weights!$B$5,V581*[1]KPI_Weights!$B$6,W581*[1]KPI_Weights!$B$7,X581*[1]KPI_Weights!$B$8,Y581*[1]KPI_Weights!$B$9,Z581*[1]KPI_Weights!$B$10,AA581*[1]KPI_Weights!$B$11,AB581*[1]KPI_Weights!$B$12,AC581*[1]KPI_Weights!$B$13,AD581*[1]KPI_Weights!$B$14,AE581*[1]KPI_Weights!$B$15,AF581*[1]KPI_Weights!$B$16,AG581*[1]KPI_Weights!$B$17,AH581*[1]KPI_Weights!$B$18))/5)</f>
        <v/>
      </c>
      <c r="AL581" s="57" t="str">
        <f>IF(COUNTA(T581:AH581)=0,"",IF(OR(T581&lt;=1,W581&lt;=1,X581&lt;=1,Y581&lt;=1,AB581&lt;=1),"YES","NO"))</f>
        <v/>
      </c>
      <c r="AM581" s="57" t="str">
        <f>IF(AJ581="","",IF(AND(AL581="NO",AJ581&gt;=0.75),"YES","NO"))</f>
        <v/>
      </c>
      <c r="AN581" s="57" t="str">
        <f>IF(AJ581="","",IF(AJ581&lt;0.4,"Critical",IF(AJ581&lt;0.6,"Poor",IF(AJ581&lt;0.75,"Needs Improvement",IF(AJ581&lt;0.9,"Good","Excellent")))))</f>
        <v/>
      </c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</row>
    <row r="582" spans="1:54" ht="15" customHeight="1" x14ac:dyDescent="0.25">
      <c r="A582" s="57" t="str">
        <f>IF($B582="","",TEXT($B582,"yyyymmdd")&amp;"-"&amp;SUBSTITUTE($F582," ","")&amp;"-"&amp;TEXT(COUNTIF($F$4:F582,$F582),"00"))</f>
        <v/>
      </c>
      <c r="B582" s="57"/>
      <c r="C582" s="57" t="str">
        <f>IF($B582="","",WEEKNUM($B582,2))</f>
        <v/>
      </c>
      <c r="D582" s="57" t="str">
        <f>IF($B582="","",TEXT($B582,"yyyy-mm"))</f>
        <v/>
      </c>
      <c r="E582" s="57"/>
      <c r="F582" s="57"/>
      <c r="G582" s="57" t="str">
        <f>IF(OR($E582="",$F582=""),"",IFERROR(IF($E582=INDEX([1]Cluster_Master!$A$4:$A$18,MATCH($F582,[1]Cluster_Master!$B$4:$B$18,0)),"OK","CHECK"),"CHECK"))</f>
        <v/>
      </c>
      <c r="H582" s="57" t="str">
        <f>IFERROR(INDEX([1]Cluster_Master!$C$4:$C$18,MATCH($F582,[1]Cluster_Master!$B$4:$B$18,0)),"")</f>
        <v/>
      </c>
      <c r="I582" s="57" t="str">
        <f>IFERROR(INDEX([1]Cluster_Master!$D$4:$D$18,MATCH($F582,[1]Cluster_Master!$B$4:$B$18,0)),"")</f>
        <v/>
      </c>
      <c r="J582" s="57" t="str">
        <f>IFERROR(INDEX([1]Cluster_Master!$E$4:$E$18,MATCH($F582,[1]Cluster_Master!$B$4:$B$18,0)),"")</f>
        <v/>
      </c>
      <c r="K582" s="57" t="str">
        <f>IFERROR(INDEX([1]Cluster_Master!$F$4:$F$18,MATCH($F582,[1]Cluster_Master!$B$4:$B$18,0)),"")</f>
        <v/>
      </c>
      <c r="L582" s="57" t="str">
        <f>IFERROR(INDEX([1]Cluster_Master!$G$4:$G$18,MATCH($F582,[1]Cluster_Master!$B$4:$B$18,0)),"")</f>
        <v/>
      </c>
      <c r="M582" s="57" t="str">
        <f>IFERROR(INDEX([1]Cluster_Master!$H$4:$H$18,MATCH($F582,[1]Cluster_Master!$B$4:$B$18,0)),"")</f>
        <v/>
      </c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 t="str">
        <f>IF(COUNTA(T582:AH582)=0,"",SUM(T582:AH582))</f>
        <v/>
      </c>
      <c r="AJ582" s="57" t="str">
        <f>IF(COUNTA(T582:AH582)=0,"",AI582/75)</f>
        <v/>
      </c>
      <c r="AK582" s="57" t="str">
        <f>IF(COUNTA(T582:AH582)=0,"",(SUM(T582*[1]KPI_Weights!$B$4,U582*[1]KPI_Weights!$B$5,V582*[1]KPI_Weights!$B$6,W582*[1]KPI_Weights!$B$7,X582*[1]KPI_Weights!$B$8,Y582*[1]KPI_Weights!$B$9,Z582*[1]KPI_Weights!$B$10,AA582*[1]KPI_Weights!$B$11,AB582*[1]KPI_Weights!$B$12,AC582*[1]KPI_Weights!$B$13,AD582*[1]KPI_Weights!$B$14,AE582*[1]KPI_Weights!$B$15,AF582*[1]KPI_Weights!$B$16,AG582*[1]KPI_Weights!$B$17,AH582*[1]KPI_Weights!$B$18))/5)</f>
        <v/>
      </c>
      <c r="AL582" s="57" t="str">
        <f>IF(COUNTA(T582:AH582)=0,"",IF(OR(T582&lt;=1,W582&lt;=1,X582&lt;=1,Y582&lt;=1,AB582&lt;=1),"YES","NO"))</f>
        <v/>
      </c>
      <c r="AM582" s="57" t="str">
        <f>IF(AJ582="","",IF(AND(AL582="NO",AJ582&gt;=0.75),"YES","NO"))</f>
        <v/>
      </c>
      <c r="AN582" s="57" t="str">
        <f>IF(AJ582="","",IF(AJ582&lt;0.4,"Critical",IF(AJ582&lt;0.6,"Poor",IF(AJ582&lt;0.75,"Needs Improvement",IF(AJ582&lt;0.9,"Good","Excellent")))))</f>
        <v/>
      </c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</row>
    <row r="583" spans="1:54" ht="15" customHeight="1" x14ac:dyDescent="0.25">
      <c r="A583" s="57" t="str">
        <f>IF($B583="","",TEXT($B583,"yyyymmdd")&amp;"-"&amp;SUBSTITUTE($F583," ","")&amp;"-"&amp;TEXT(COUNTIF($F$4:F583,$F583),"00"))</f>
        <v/>
      </c>
      <c r="B583" s="57"/>
      <c r="C583" s="57" t="str">
        <f>IF($B583="","",WEEKNUM($B583,2))</f>
        <v/>
      </c>
      <c r="D583" s="57" t="str">
        <f>IF($B583="","",TEXT($B583,"yyyy-mm"))</f>
        <v/>
      </c>
      <c r="E583" s="57"/>
      <c r="F583" s="57"/>
      <c r="G583" s="57" t="str">
        <f>IF(OR($E583="",$F583=""),"",IFERROR(IF($E583=INDEX([1]Cluster_Master!$A$4:$A$18,MATCH($F583,[1]Cluster_Master!$B$4:$B$18,0)),"OK","CHECK"),"CHECK"))</f>
        <v/>
      </c>
      <c r="H583" s="57" t="str">
        <f>IFERROR(INDEX([1]Cluster_Master!$C$4:$C$18,MATCH($F583,[1]Cluster_Master!$B$4:$B$18,0)),"")</f>
        <v/>
      </c>
      <c r="I583" s="57" t="str">
        <f>IFERROR(INDEX([1]Cluster_Master!$D$4:$D$18,MATCH($F583,[1]Cluster_Master!$B$4:$B$18,0)),"")</f>
        <v/>
      </c>
      <c r="J583" s="57" t="str">
        <f>IFERROR(INDEX([1]Cluster_Master!$E$4:$E$18,MATCH($F583,[1]Cluster_Master!$B$4:$B$18,0)),"")</f>
        <v/>
      </c>
      <c r="K583" s="57" t="str">
        <f>IFERROR(INDEX([1]Cluster_Master!$F$4:$F$18,MATCH($F583,[1]Cluster_Master!$B$4:$B$18,0)),"")</f>
        <v/>
      </c>
      <c r="L583" s="57" t="str">
        <f>IFERROR(INDEX([1]Cluster_Master!$G$4:$G$18,MATCH($F583,[1]Cluster_Master!$B$4:$B$18,0)),"")</f>
        <v/>
      </c>
      <c r="M583" s="57" t="str">
        <f>IFERROR(INDEX([1]Cluster_Master!$H$4:$H$18,MATCH($F583,[1]Cluster_Master!$B$4:$B$18,0)),"")</f>
        <v/>
      </c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 t="str">
        <f>IF(COUNTA(T583:AH583)=0,"",SUM(T583:AH583))</f>
        <v/>
      </c>
      <c r="AJ583" s="57" t="str">
        <f>IF(COUNTA(T583:AH583)=0,"",AI583/75)</f>
        <v/>
      </c>
      <c r="AK583" s="57" t="str">
        <f>IF(COUNTA(T583:AH583)=0,"",(SUM(T583*[1]KPI_Weights!$B$4,U583*[1]KPI_Weights!$B$5,V583*[1]KPI_Weights!$B$6,W583*[1]KPI_Weights!$B$7,X583*[1]KPI_Weights!$B$8,Y583*[1]KPI_Weights!$B$9,Z583*[1]KPI_Weights!$B$10,AA583*[1]KPI_Weights!$B$11,AB583*[1]KPI_Weights!$B$12,AC583*[1]KPI_Weights!$B$13,AD583*[1]KPI_Weights!$B$14,AE583*[1]KPI_Weights!$B$15,AF583*[1]KPI_Weights!$B$16,AG583*[1]KPI_Weights!$B$17,AH583*[1]KPI_Weights!$B$18))/5)</f>
        <v/>
      </c>
      <c r="AL583" s="57" t="str">
        <f>IF(COUNTA(T583:AH583)=0,"",IF(OR(T583&lt;=1,W583&lt;=1,X583&lt;=1,Y583&lt;=1,AB583&lt;=1),"YES","NO"))</f>
        <v/>
      </c>
      <c r="AM583" s="57" t="str">
        <f>IF(AJ583="","",IF(AND(AL583="NO",AJ583&gt;=0.75),"YES","NO"))</f>
        <v/>
      </c>
      <c r="AN583" s="57" t="str">
        <f>IF(AJ583="","",IF(AJ583&lt;0.4,"Critical",IF(AJ583&lt;0.6,"Poor",IF(AJ583&lt;0.75,"Needs Improvement",IF(AJ583&lt;0.9,"Good","Excellent")))))</f>
        <v/>
      </c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</row>
    <row r="584" spans="1:54" ht="15" customHeight="1" x14ac:dyDescent="0.25">
      <c r="A584" s="57" t="str">
        <f>IF($B584="","",TEXT($B584,"yyyymmdd")&amp;"-"&amp;SUBSTITUTE($F584," ","")&amp;"-"&amp;TEXT(COUNTIF($F$4:F584,$F584),"00"))</f>
        <v/>
      </c>
      <c r="B584" s="57"/>
      <c r="C584" s="57" t="str">
        <f>IF($B584="","",WEEKNUM($B584,2))</f>
        <v/>
      </c>
      <c r="D584" s="57" t="str">
        <f>IF($B584="","",TEXT($B584,"yyyy-mm"))</f>
        <v/>
      </c>
      <c r="E584" s="57"/>
      <c r="F584" s="57"/>
      <c r="G584" s="57" t="str">
        <f>IF(OR($E584="",$F584=""),"",IFERROR(IF($E584=INDEX([1]Cluster_Master!$A$4:$A$18,MATCH($F584,[1]Cluster_Master!$B$4:$B$18,0)),"OK","CHECK"),"CHECK"))</f>
        <v/>
      </c>
      <c r="H584" s="57" t="str">
        <f>IFERROR(INDEX([1]Cluster_Master!$C$4:$C$18,MATCH($F584,[1]Cluster_Master!$B$4:$B$18,0)),"")</f>
        <v/>
      </c>
      <c r="I584" s="57" t="str">
        <f>IFERROR(INDEX([1]Cluster_Master!$D$4:$D$18,MATCH($F584,[1]Cluster_Master!$B$4:$B$18,0)),"")</f>
        <v/>
      </c>
      <c r="J584" s="57" t="str">
        <f>IFERROR(INDEX([1]Cluster_Master!$E$4:$E$18,MATCH($F584,[1]Cluster_Master!$B$4:$B$18,0)),"")</f>
        <v/>
      </c>
      <c r="K584" s="57" t="str">
        <f>IFERROR(INDEX([1]Cluster_Master!$F$4:$F$18,MATCH($F584,[1]Cluster_Master!$B$4:$B$18,0)),"")</f>
        <v/>
      </c>
      <c r="L584" s="57" t="str">
        <f>IFERROR(INDEX([1]Cluster_Master!$G$4:$G$18,MATCH($F584,[1]Cluster_Master!$B$4:$B$18,0)),"")</f>
        <v/>
      </c>
      <c r="M584" s="57" t="str">
        <f>IFERROR(INDEX([1]Cluster_Master!$H$4:$H$18,MATCH($F584,[1]Cluster_Master!$B$4:$B$18,0)),"")</f>
        <v/>
      </c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 t="str">
        <f>IF(COUNTA(T584:AH584)=0,"",SUM(T584:AH584))</f>
        <v/>
      </c>
      <c r="AJ584" s="57" t="str">
        <f>IF(COUNTA(T584:AH584)=0,"",AI584/75)</f>
        <v/>
      </c>
      <c r="AK584" s="57" t="str">
        <f>IF(COUNTA(T584:AH584)=0,"",(SUM(T584*[1]KPI_Weights!$B$4,U584*[1]KPI_Weights!$B$5,V584*[1]KPI_Weights!$B$6,W584*[1]KPI_Weights!$B$7,X584*[1]KPI_Weights!$B$8,Y584*[1]KPI_Weights!$B$9,Z584*[1]KPI_Weights!$B$10,AA584*[1]KPI_Weights!$B$11,AB584*[1]KPI_Weights!$B$12,AC584*[1]KPI_Weights!$B$13,AD584*[1]KPI_Weights!$B$14,AE584*[1]KPI_Weights!$B$15,AF584*[1]KPI_Weights!$B$16,AG584*[1]KPI_Weights!$B$17,AH584*[1]KPI_Weights!$B$18))/5)</f>
        <v/>
      </c>
      <c r="AL584" s="57" t="str">
        <f>IF(COUNTA(T584:AH584)=0,"",IF(OR(T584&lt;=1,W584&lt;=1,X584&lt;=1,Y584&lt;=1,AB584&lt;=1),"YES","NO"))</f>
        <v/>
      </c>
      <c r="AM584" s="57" t="str">
        <f>IF(AJ584="","",IF(AND(AL584="NO",AJ584&gt;=0.75),"YES","NO"))</f>
        <v/>
      </c>
      <c r="AN584" s="57" t="str">
        <f>IF(AJ584="","",IF(AJ584&lt;0.4,"Critical",IF(AJ584&lt;0.6,"Poor",IF(AJ584&lt;0.75,"Needs Improvement",IF(AJ584&lt;0.9,"Good","Excellent")))))</f>
        <v/>
      </c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</row>
    <row r="585" spans="1:54" ht="15" customHeight="1" x14ac:dyDescent="0.25">
      <c r="A585" s="57" t="str">
        <f>IF($B585="","",TEXT($B585,"yyyymmdd")&amp;"-"&amp;SUBSTITUTE($F585," ","")&amp;"-"&amp;TEXT(COUNTIF($F$4:F585,$F585),"00"))</f>
        <v/>
      </c>
      <c r="B585" s="57"/>
      <c r="C585" s="57" t="str">
        <f>IF($B585="","",WEEKNUM($B585,2))</f>
        <v/>
      </c>
      <c r="D585" s="57" t="str">
        <f>IF($B585="","",TEXT($B585,"yyyy-mm"))</f>
        <v/>
      </c>
      <c r="E585" s="57"/>
      <c r="F585" s="57"/>
      <c r="G585" s="57" t="str">
        <f>IF(OR($E585="",$F585=""),"",IFERROR(IF($E585=INDEX([1]Cluster_Master!$A$4:$A$18,MATCH($F585,[1]Cluster_Master!$B$4:$B$18,0)),"OK","CHECK"),"CHECK"))</f>
        <v/>
      </c>
      <c r="H585" s="57" t="str">
        <f>IFERROR(INDEX([1]Cluster_Master!$C$4:$C$18,MATCH($F585,[1]Cluster_Master!$B$4:$B$18,0)),"")</f>
        <v/>
      </c>
      <c r="I585" s="57" t="str">
        <f>IFERROR(INDEX([1]Cluster_Master!$D$4:$D$18,MATCH($F585,[1]Cluster_Master!$B$4:$B$18,0)),"")</f>
        <v/>
      </c>
      <c r="J585" s="57" t="str">
        <f>IFERROR(INDEX([1]Cluster_Master!$E$4:$E$18,MATCH($F585,[1]Cluster_Master!$B$4:$B$18,0)),"")</f>
        <v/>
      </c>
      <c r="K585" s="57" t="str">
        <f>IFERROR(INDEX([1]Cluster_Master!$F$4:$F$18,MATCH($F585,[1]Cluster_Master!$B$4:$B$18,0)),"")</f>
        <v/>
      </c>
      <c r="L585" s="57" t="str">
        <f>IFERROR(INDEX([1]Cluster_Master!$G$4:$G$18,MATCH($F585,[1]Cluster_Master!$B$4:$B$18,0)),"")</f>
        <v/>
      </c>
      <c r="M585" s="57" t="str">
        <f>IFERROR(INDEX([1]Cluster_Master!$H$4:$H$18,MATCH($F585,[1]Cluster_Master!$B$4:$B$18,0)),"")</f>
        <v/>
      </c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 t="str">
        <f>IF(COUNTA(T585:AH585)=0,"",SUM(T585:AH585))</f>
        <v/>
      </c>
      <c r="AJ585" s="57" t="str">
        <f>IF(COUNTA(T585:AH585)=0,"",AI585/75)</f>
        <v/>
      </c>
      <c r="AK585" s="57" t="str">
        <f>IF(COUNTA(T585:AH585)=0,"",(SUM(T585*[1]KPI_Weights!$B$4,U585*[1]KPI_Weights!$B$5,V585*[1]KPI_Weights!$B$6,W585*[1]KPI_Weights!$B$7,X585*[1]KPI_Weights!$B$8,Y585*[1]KPI_Weights!$B$9,Z585*[1]KPI_Weights!$B$10,AA585*[1]KPI_Weights!$B$11,AB585*[1]KPI_Weights!$B$12,AC585*[1]KPI_Weights!$B$13,AD585*[1]KPI_Weights!$B$14,AE585*[1]KPI_Weights!$B$15,AF585*[1]KPI_Weights!$B$16,AG585*[1]KPI_Weights!$B$17,AH585*[1]KPI_Weights!$B$18))/5)</f>
        <v/>
      </c>
      <c r="AL585" s="57" t="str">
        <f>IF(COUNTA(T585:AH585)=0,"",IF(OR(T585&lt;=1,W585&lt;=1,X585&lt;=1,Y585&lt;=1,AB585&lt;=1),"YES","NO"))</f>
        <v/>
      </c>
      <c r="AM585" s="57" t="str">
        <f>IF(AJ585="","",IF(AND(AL585="NO",AJ585&gt;=0.75),"YES","NO"))</f>
        <v/>
      </c>
      <c r="AN585" s="57" t="str">
        <f>IF(AJ585="","",IF(AJ585&lt;0.4,"Critical",IF(AJ585&lt;0.6,"Poor",IF(AJ585&lt;0.75,"Needs Improvement",IF(AJ585&lt;0.9,"Good","Excellent")))))</f>
        <v/>
      </c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</row>
    <row r="586" spans="1:54" ht="15" customHeight="1" x14ac:dyDescent="0.25">
      <c r="A586" s="57" t="str">
        <f>IF($B586="","",TEXT($B586,"yyyymmdd")&amp;"-"&amp;SUBSTITUTE($F586," ","")&amp;"-"&amp;TEXT(COUNTIF($F$4:F586,$F586),"00"))</f>
        <v/>
      </c>
      <c r="B586" s="57"/>
      <c r="C586" s="57" t="str">
        <f>IF($B586="","",WEEKNUM($B586,2))</f>
        <v/>
      </c>
      <c r="D586" s="57" t="str">
        <f>IF($B586="","",TEXT($B586,"yyyy-mm"))</f>
        <v/>
      </c>
      <c r="E586" s="57"/>
      <c r="F586" s="57"/>
      <c r="G586" s="57" t="str">
        <f>IF(OR($E586="",$F586=""),"",IFERROR(IF($E586=INDEX([1]Cluster_Master!$A$4:$A$18,MATCH($F586,[1]Cluster_Master!$B$4:$B$18,0)),"OK","CHECK"),"CHECK"))</f>
        <v/>
      </c>
      <c r="H586" s="57" t="str">
        <f>IFERROR(INDEX([1]Cluster_Master!$C$4:$C$18,MATCH($F586,[1]Cluster_Master!$B$4:$B$18,0)),"")</f>
        <v/>
      </c>
      <c r="I586" s="57" t="str">
        <f>IFERROR(INDEX([1]Cluster_Master!$D$4:$D$18,MATCH($F586,[1]Cluster_Master!$B$4:$B$18,0)),"")</f>
        <v/>
      </c>
      <c r="J586" s="57" t="str">
        <f>IFERROR(INDEX([1]Cluster_Master!$E$4:$E$18,MATCH($F586,[1]Cluster_Master!$B$4:$B$18,0)),"")</f>
        <v/>
      </c>
      <c r="K586" s="57" t="str">
        <f>IFERROR(INDEX([1]Cluster_Master!$F$4:$F$18,MATCH($F586,[1]Cluster_Master!$B$4:$B$18,0)),"")</f>
        <v/>
      </c>
      <c r="L586" s="57" t="str">
        <f>IFERROR(INDEX([1]Cluster_Master!$G$4:$G$18,MATCH($F586,[1]Cluster_Master!$B$4:$B$18,0)),"")</f>
        <v/>
      </c>
      <c r="M586" s="57" t="str">
        <f>IFERROR(INDEX([1]Cluster_Master!$H$4:$H$18,MATCH($F586,[1]Cluster_Master!$B$4:$B$18,0)),"")</f>
        <v/>
      </c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 t="str">
        <f>IF(COUNTA(T586:AH586)=0,"",SUM(T586:AH586))</f>
        <v/>
      </c>
      <c r="AJ586" s="57" t="str">
        <f>IF(COUNTA(T586:AH586)=0,"",AI586/75)</f>
        <v/>
      </c>
      <c r="AK586" s="57" t="str">
        <f>IF(COUNTA(T586:AH586)=0,"",(SUM(T586*[1]KPI_Weights!$B$4,U586*[1]KPI_Weights!$B$5,V586*[1]KPI_Weights!$B$6,W586*[1]KPI_Weights!$B$7,X586*[1]KPI_Weights!$B$8,Y586*[1]KPI_Weights!$B$9,Z586*[1]KPI_Weights!$B$10,AA586*[1]KPI_Weights!$B$11,AB586*[1]KPI_Weights!$B$12,AC586*[1]KPI_Weights!$B$13,AD586*[1]KPI_Weights!$B$14,AE586*[1]KPI_Weights!$B$15,AF586*[1]KPI_Weights!$B$16,AG586*[1]KPI_Weights!$B$17,AH586*[1]KPI_Weights!$B$18))/5)</f>
        <v/>
      </c>
      <c r="AL586" s="57" t="str">
        <f>IF(COUNTA(T586:AH586)=0,"",IF(OR(T586&lt;=1,W586&lt;=1,X586&lt;=1,Y586&lt;=1,AB586&lt;=1),"YES","NO"))</f>
        <v/>
      </c>
      <c r="AM586" s="57" t="str">
        <f>IF(AJ586="","",IF(AND(AL586="NO",AJ586&gt;=0.75),"YES","NO"))</f>
        <v/>
      </c>
      <c r="AN586" s="57" t="str">
        <f>IF(AJ586="","",IF(AJ586&lt;0.4,"Critical",IF(AJ586&lt;0.6,"Poor",IF(AJ586&lt;0.75,"Needs Improvement",IF(AJ586&lt;0.9,"Good","Excellent")))))</f>
        <v/>
      </c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</row>
    <row r="587" spans="1:54" ht="15" customHeight="1" x14ac:dyDescent="0.25">
      <c r="A587" s="57" t="str">
        <f>IF($B587="","",TEXT($B587,"yyyymmdd")&amp;"-"&amp;SUBSTITUTE($F587," ","")&amp;"-"&amp;TEXT(COUNTIF($F$4:F587,$F587),"00"))</f>
        <v/>
      </c>
      <c r="B587" s="57"/>
      <c r="C587" s="57" t="str">
        <f>IF($B587="","",WEEKNUM($B587,2))</f>
        <v/>
      </c>
      <c r="D587" s="57" t="str">
        <f>IF($B587="","",TEXT($B587,"yyyy-mm"))</f>
        <v/>
      </c>
      <c r="E587" s="57"/>
      <c r="F587" s="57"/>
      <c r="G587" s="57" t="str">
        <f>IF(OR($E587="",$F587=""),"",IFERROR(IF($E587=INDEX([1]Cluster_Master!$A$4:$A$18,MATCH($F587,[1]Cluster_Master!$B$4:$B$18,0)),"OK","CHECK"),"CHECK"))</f>
        <v/>
      </c>
      <c r="H587" s="57" t="str">
        <f>IFERROR(INDEX([1]Cluster_Master!$C$4:$C$18,MATCH($F587,[1]Cluster_Master!$B$4:$B$18,0)),"")</f>
        <v/>
      </c>
      <c r="I587" s="57" t="str">
        <f>IFERROR(INDEX([1]Cluster_Master!$D$4:$D$18,MATCH($F587,[1]Cluster_Master!$B$4:$B$18,0)),"")</f>
        <v/>
      </c>
      <c r="J587" s="57" t="str">
        <f>IFERROR(INDEX([1]Cluster_Master!$E$4:$E$18,MATCH($F587,[1]Cluster_Master!$B$4:$B$18,0)),"")</f>
        <v/>
      </c>
      <c r="K587" s="57" t="str">
        <f>IFERROR(INDEX([1]Cluster_Master!$F$4:$F$18,MATCH($F587,[1]Cluster_Master!$B$4:$B$18,0)),"")</f>
        <v/>
      </c>
      <c r="L587" s="57" t="str">
        <f>IFERROR(INDEX([1]Cluster_Master!$G$4:$G$18,MATCH($F587,[1]Cluster_Master!$B$4:$B$18,0)),"")</f>
        <v/>
      </c>
      <c r="M587" s="57" t="str">
        <f>IFERROR(INDEX([1]Cluster_Master!$H$4:$H$18,MATCH($F587,[1]Cluster_Master!$B$4:$B$18,0)),"")</f>
        <v/>
      </c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 t="str">
        <f>IF(COUNTA(T587:AH587)=0,"",SUM(T587:AH587))</f>
        <v/>
      </c>
      <c r="AJ587" s="57" t="str">
        <f>IF(COUNTA(T587:AH587)=0,"",AI587/75)</f>
        <v/>
      </c>
      <c r="AK587" s="57" t="str">
        <f>IF(COUNTA(T587:AH587)=0,"",(SUM(T587*[1]KPI_Weights!$B$4,U587*[1]KPI_Weights!$B$5,V587*[1]KPI_Weights!$B$6,W587*[1]KPI_Weights!$B$7,X587*[1]KPI_Weights!$B$8,Y587*[1]KPI_Weights!$B$9,Z587*[1]KPI_Weights!$B$10,AA587*[1]KPI_Weights!$B$11,AB587*[1]KPI_Weights!$B$12,AC587*[1]KPI_Weights!$B$13,AD587*[1]KPI_Weights!$B$14,AE587*[1]KPI_Weights!$B$15,AF587*[1]KPI_Weights!$B$16,AG587*[1]KPI_Weights!$B$17,AH587*[1]KPI_Weights!$B$18))/5)</f>
        <v/>
      </c>
      <c r="AL587" s="57" t="str">
        <f>IF(COUNTA(T587:AH587)=0,"",IF(OR(T587&lt;=1,W587&lt;=1,X587&lt;=1,Y587&lt;=1,AB587&lt;=1),"YES","NO"))</f>
        <v/>
      </c>
      <c r="AM587" s="57" t="str">
        <f>IF(AJ587="","",IF(AND(AL587="NO",AJ587&gt;=0.75),"YES","NO"))</f>
        <v/>
      </c>
      <c r="AN587" s="57" t="str">
        <f>IF(AJ587="","",IF(AJ587&lt;0.4,"Critical",IF(AJ587&lt;0.6,"Poor",IF(AJ587&lt;0.75,"Needs Improvement",IF(AJ587&lt;0.9,"Good","Excellent")))))</f>
        <v/>
      </c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</row>
    <row r="588" spans="1:54" ht="15" customHeight="1" x14ac:dyDescent="0.25">
      <c r="A588" s="57" t="str">
        <f>IF($B588="","",TEXT($B588,"yyyymmdd")&amp;"-"&amp;SUBSTITUTE($F588," ","")&amp;"-"&amp;TEXT(COUNTIF($F$4:F588,$F588),"00"))</f>
        <v/>
      </c>
      <c r="B588" s="57"/>
      <c r="C588" s="57" t="str">
        <f>IF($B588="","",WEEKNUM($B588,2))</f>
        <v/>
      </c>
      <c r="D588" s="57" t="str">
        <f>IF($B588="","",TEXT($B588,"yyyy-mm"))</f>
        <v/>
      </c>
      <c r="E588" s="57"/>
      <c r="F588" s="57"/>
      <c r="G588" s="57" t="str">
        <f>IF(OR($E588="",$F588=""),"",IFERROR(IF($E588=INDEX([1]Cluster_Master!$A$4:$A$18,MATCH($F588,[1]Cluster_Master!$B$4:$B$18,0)),"OK","CHECK"),"CHECK"))</f>
        <v/>
      </c>
      <c r="H588" s="57" t="str">
        <f>IFERROR(INDEX([1]Cluster_Master!$C$4:$C$18,MATCH($F588,[1]Cluster_Master!$B$4:$B$18,0)),"")</f>
        <v/>
      </c>
      <c r="I588" s="57" t="str">
        <f>IFERROR(INDEX([1]Cluster_Master!$D$4:$D$18,MATCH($F588,[1]Cluster_Master!$B$4:$B$18,0)),"")</f>
        <v/>
      </c>
      <c r="J588" s="57" t="str">
        <f>IFERROR(INDEX([1]Cluster_Master!$E$4:$E$18,MATCH($F588,[1]Cluster_Master!$B$4:$B$18,0)),"")</f>
        <v/>
      </c>
      <c r="K588" s="57" t="str">
        <f>IFERROR(INDEX([1]Cluster_Master!$F$4:$F$18,MATCH($F588,[1]Cluster_Master!$B$4:$B$18,0)),"")</f>
        <v/>
      </c>
      <c r="L588" s="57" t="str">
        <f>IFERROR(INDEX([1]Cluster_Master!$G$4:$G$18,MATCH($F588,[1]Cluster_Master!$B$4:$B$18,0)),"")</f>
        <v/>
      </c>
      <c r="M588" s="57" t="str">
        <f>IFERROR(INDEX([1]Cluster_Master!$H$4:$H$18,MATCH($F588,[1]Cluster_Master!$B$4:$B$18,0)),"")</f>
        <v/>
      </c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 t="str">
        <f>IF(COUNTA(T588:AH588)=0,"",SUM(T588:AH588))</f>
        <v/>
      </c>
      <c r="AJ588" s="57" t="str">
        <f>IF(COUNTA(T588:AH588)=0,"",AI588/75)</f>
        <v/>
      </c>
      <c r="AK588" s="57" t="str">
        <f>IF(COUNTA(T588:AH588)=0,"",(SUM(T588*[1]KPI_Weights!$B$4,U588*[1]KPI_Weights!$B$5,V588*[1]KPI_Weights!$B$6,W588*[1]KPI_Weights!$B$7,X588*[1]KPI_Weights!$B$8,Y588*[1]KPI_Weights!$B$9,Z588*[1]KPI_Weights!$B$10,AA588*[1]KPI_Weights!$B$11,AB588*[1]KPI_Weights!$B$12,AC588*[1]KPI_Weights!$B$13,AD588*[1]KPI_Weights!$B$14,AE588*[1]KPI_Weights!$B$15,AF588*[1]KPI_Weights!$B$16,AG588*[1]KPI_Weights!$B$17,AH588*[1]KPI_Weights!$B$18))/5)</f>
        <v/>
      </c>
      <c r="AL588" s="57" t="str">
        <f>IF(COUNTA(T588:AH588)=0,"",IF(OR(T588&lt;=1,W588&lt;=1,X588&lt;=1,Y588&lt;=1,AB588&lt;=1),"YES","NO"))</f>
        <v/>
      </c>
      <c r="AM588" s="57" t="str">
        <f>IF(AJ588="","",IF(AND(AL588="NO",AJ588&gt;=0.75),"YES","NO"))</f>
        <v/>
      </c>
      <c r="AN588" s="57" t="str">
        <f>IF(AJ588="","",IF(AJ588&lt;0.4,"Critical",IF(AJ588&lt;0.6,"Poor",IF(AJ588&lt;0.75,"Needs Improvement",IF(AJ588&lt;0.9,"Good","Excellent")))))</f>
        <v/>
      </c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</row>
    <row r="589" spans="1:54" ht="15" customHeight="1" x14ac:dyDescent="0.25">
      <c r="A589" s="57" t="str">
        <f>IF($B589="","",TEXT($B589,"yyyymmdd")&amp;"-"&amp;SUBSTITUTE($F589," ","")&amp;"-"&amp;TEXT(COUNTIF($F$4:F589,$F589),"00"))</f>
        <v/>
      </c>
      <c r="B589" s="57"/>
      <c r="C589" s="57" t="str">
        <f>IF($B589="","",WEEKNUM($B589,2))</f>
        <v/>
      </c>
      <c r="D589" s="57" t="str">
        <f>IF($B589="","",TEXT($B589,"yyyy-mm"))</f>
        <v/>
      </c>
      <c r="E589" s="57"/>
      <c r="F589" s="57"/>
      <c r="G589" s="57" t="str">
        <f>IF(OR($E589="",$F589=""),"",IFERROR(IF($E589=INDEX([1]Cluster_Master!$A$4:$A$18,MATCH($F589,[1]Cluster_Master!$B$4:$B$18,0)),"OK","CHECK"),"CHECK"))</f>
        <v/>
      </c>
      <c r="H589" s="57" t="str">
        <f>IFERROR(INDEX([1]Cluster_Master!$C$4:$C$18,MATCH($F589,[1]Cluster_Master!$B$4:$B$18,0)),"")</f>
        <v/>
      </c>
      <c r="I589" s="57" t="str">
        <f>IFERROR(INDEX([1]Cluster_Master!$D$4:$D$18,MATCH($F589,[1]Cluster_Master!$B$4:$B$18,0)),"")</f>
        <v/>
      </c>
      <c r="J589" s="57" t="str">
        <f>IFERROR(INDEX([1]Cluster_Master!$E$4:$E$18,MATCH($F589,[1]Cluster_Master!$B$4:$B$18,0)),"")</f>
        <v/>
      </c>
      <c r="K589" s="57" t="str">
        <f>IFERROR(INDEX([1]Cluster_Master!$F$4:$F$18,MATCH($F589,[1]Cluster_Master!$B$4:$B$18,0)),"")</f>
        <v/>
      </c>
      <c r="L589" s="57" t="str">
        <f>IFERROR(INDEX([1]Cluster_Master!$G$4:$G$18,MATCH($F589,[1]Cluster_Master!$B$4:$B$18,0)),"")</f>
        <v/>
      </c>
      <c r="M589" s="57" t="str">
        <f>IFERROR(INDEX([1]Cluster_Master!$H$4:$H$18,MATCH($F589,[1]Cluster_Master!$B$4:$B$18,0)),"")</f>
        <v/>
      </c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 t="str">
        <f>IF(COUNTA(T589:AH589)=0,"",SUM(T589:AH589))</f>
        <v/>
      </c>
      <c r="AJ589" s="57" t="str">
        <f>IF(COUNTA(T589:AH589)=0,"",AI589/75)</f>
        <v/>
      </c>
      <c r="AK589" s="57" t="str">
        <f>IF(COUNTA(T589:AH589)=0,"",(SUM(T589*[1]KPI_Weights!$B$4,U589*[1]KPI_Weights!$B$5,V589*[1]KPI_Weights!$B$6,W589*[1]KPI_Weights!$B$7,X589*[1]KPI_Weights!$B$8,Y589*[1]KPI_Weights!$B$9,Z589*[1]KPI_Weights!$B$10,AA589*[1]KPI_Weights!$B$11,AB589*[1]KPI_Weights!$B$12,AC589*[1]KPI_Weights!$B$13,AD589*[1]KPI_Weights!$B$14,AE589*[1]KPI_Weights!$B$15,AF589*[1]KPI_Weights!$B$16,AG589*[1]KPI_Weights!$B$17,AH589*[1]KPI_Weights!$B$18))/5)</f>
        <v/>
      </c>
      <c r="AL589" s="57" t="str">
        <f>IF(COUNTA(T589:AH589)=0,"",IF(OR(T589&lt;=1,W589&lt;=1,X589&lt;=1,Y589&lt;=1,AB589&lt;=1),"YES","NO"))</f>
        <v/>
      </c>
      <c r="AM589" s="57" t="str">
        <f>IF(AJ589="","",IF(AND(AL589="NO",AJ589&gt;=0.75),"YES","NO"))</f>
        <v/>
      </c>
      <c r="AN589" s="57" t="str">
        <f>IF(AJ589="","",IF(AJ589&lt;0.4,"Critical",IF(AJ589&lt;0.6,"Poor",IF(AJ589&lt;0.75,"Needs Improvement",IF(AJ589&lt;0.9,"Good","Excellent")))))</f>
        <v/>
      </c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</row>
    <row r="590" spans="1:54" ht="15" customHeight="1" x14ac:dyDescent="0.25">
      <c r="A590" s="57" t="str">
        <f>IF($B590="","",TEXT($B590,"yyyymmdd")&amp;"-"&amp;SUBSTITUTE($F590," ","")&amp;"-"&amp;TEXT(COUNTIF($F$4:F590,$F590),"00"))</f>
        <v/>
      </c>
      <c r="B590" s="57"/>
      <c r="C590" s="57" t="str">
        <f>IF($B590="","",WEEKNUM($B590,2))</f>
        <v/>
      </c>
      <c r="D590" s="57" t="str">
        <f>IF($B590="","",TEXT($B590,"yyyy-mm"))</f>
        <v/>
      </c>
      <c r="E590" s="57"/>
      <c r="F590" s="57"/>
      <c r="G590" s="57" t="str">
        <f>IF(OR($E590="",$F590=""),"",IFERROR(IF($E590=INDEX([1]Cluster_Master!$A$4:$A$18,MATCH($F590,[1]Cluster_Master!$B$4:$B$18,0)),"OK","CHECK"),"CHECK"))</f>
        <v/>
      </c>
      <c r="H590" s="57" t="str">
        <f>IFERROR(INDEX([1]Cluster_Master!$C$4:$C$18,MATCH($F590,[1]Cluster_Master!$B$4:$B$18,0)),"")</f>
        <v/>
      </c>
      <c r="I590" s="57" t="str">
        <f>IFERROR(INDEX([1]Cluster_Master!$D$4:$D$18,MATCH($F590,[1]Cluster_Master!$B$4:$B$18,0)),"")</f>
        <v/>
      </c>
      <c r="J590" s="57" t="str">
        <f>IFERROR(INDEX([1]Cluster_Master!$E$4:$E$18,MATCH($F590,[1]Cluster_Master!$B$4:$B$18,0)),"")</f>
        <v/>
      </c>
      <c r="K590" s="57" t="str">
        <f>IFERROR(INDEX([1]Cluster_Master!$F$4:$F$18,MATCH($F590,[1]Cluster_Master!$B$4:$B$18,0)),"")</f>
        <v/>
      </c>
      <c r="L590" s="57" t="str">
        <f>IFERROR(INDEX([1]Cluster_Master!$G$4:$G$18,MATCH($F590,[1]Cluster_Master!$B$4:$B$18,0)),"")</f>
        <v/>
      </c>
      <c r="M590" s="57" t="str">
        <f>IFERROR(INDEX([1]Cluster_Master!$H$4:$H$18,MATCH($F590,[1]Cluster_Master!$B$4:$B$18,0)),"")</f>
        <v/>
      </c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 t="str">
        <f>IF(COUNTA(T590:AH590)=0,"",SUM(T590:AH590))</f>
        <v/>
      </c>
      <c r="AJ590" s="57" t="str">
        <f>IF(COUNTA(T590:AH590)=0,"",AI590/75)</f>
        <v/>
      </c>
      <c r="AK590" s="57" t="str">
        <f>IF(COUNTA(T590:AH590)=0,"",(SUM(T590*[1]KPI_Weights!$B$4,U590*[1]KPI_Weights!$B$5,V590*[1]KPI_Weights!$B$6,W590*[1]KPI_Weights!$B$7,X590*[1]KPI_Weights!$B$8,Y590*[1]KPI_Weights!$B$9,Z590*[1]KPI_Weights!$B$10,AA590*[1]KPI_Weights!$B$11,AB590*[1]KPI_Weights!$B$12,AC590*[1]KPI_Weights!$B$13,AD590*[1]KPI_Weights!$B$14,AE590*[1]KPI_Weights!$B$15,AF590*[1]KPI_Weights!$B$16,AG590*[1]KPI_Weights!$B$17,AH590*[1]KPI_Weights!$B$18))/5)</f>
        <v/>
      </c>
      <c r="AL590" s="57" t="str">
        <f>IF(COUNTA(T590:AH590)=0,"",IF(OR(T590&lt;=1,W590&lt;=1,X590&lt;=1,Y590&lt;=1,AB590&lt;=1),"YES","NO"))</f>
        <v/>
      </c>
      <c r="AM590" s="57" t="str">
        <f>IF(AJ590="","",IF(AND(AL590="NO",AJ590&gt;=0.75),"YES","NO"))</f>
        <v/>
      </c>
      <c r="AN590" s="57" t="str">
        <f>IF(AJ590="","",IF(AJ590&lt;0.4,"Critical",IF(AJ590&lt;0.6,"Poor",IF(AJ590&lt;0.75,"Needs Improvement",IF(AJ590&lt;0.9,"Good","Excellent")))))</f>
        <v/>
      </c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</row>
    <row r="591" spans="1:54" ht="15" customHeight="1" x14ac:dyDescent="0.25">
      <c r="A591" s="57" t="str">
        <f>IF($B591="","",TEXT($B591,"yyyymmdd")&amp;"-"&amp;SUBSTITUTE($F591," ","")&amp;"-"&amp;TEXT(COUNTIF($F$4:F591,$F591),"00"))</f>
        <v/>
      </c>
      <c r="B591" s="57"/>
      <c r="C591" s="57" t="str">
        <f>IF($B591="","",WEEKNUM($B591,2))</f>
        <v/>
      </c>
      <c r="D591" s="57" t="str">
        <f>IF($B591="","",TEXT($B591,"yyyy-mm"))</f>
        <v/>
      </c>
      <c r="E591" s="57"/>
      <c r="F591" s="57"/>
      <c r="G591" s="57" t="str">
        <f>IF(OR($E591="",$F591=""),"",IFERROR(IF($E591=INDEX([1]Cluster_Master!$A$4:$A$18,MATCH($F591,[1]Cluster_Master!$B$4:$B$18,0)),"OK","CHECK"),"CHECK"))</f>
        <v/>
      </c>
      <c r="H591" s="57" t="str">
        <f>IFERROR(INDEX([1]Cluster_Master!$C$4:$C$18,MATCH($F591,[1]Cluster_Master!$B$4:$B$18,0)),"")</f>
        <v/>
      </c>
      <c r="I591" s="57" t="str">
        <f>IFERROR(INDEX([1]Cluster_Master!$D$4:$D$18,MATCH($F591,[1]Cluster_Master!$B$4:$B$18,0)),"")</f>
        <v/>
      </c>
      <c r="J591" s="57" t="str">
        <f>IFERROR(INDEX([1]Cluster_Master!$E$4:$E$18,MATCH($F591,[1]Cluster_Master!$B$4:$B$18,0)),"")</f>
        <v/>
      </c>
      <c r="K591" s="57" t="str">
        <f>IFERROR(INDEX([1]Cluster_Master!$F$4:$F$18,MATCH($F591,[1]Cluster_Master!$B$4:$B$18,0)),"")</f>
        <v/>
      </c>
      <c r="L591" s="57" t="str">
        <f>IFERROR(INDEX([1]Cluster_Master!$G$4:$G$18,MATCH($F591,[1]Cluster_Master!$B$4:$B$18,0)),"")</f>
        <v/>
      </c>
      <c r="M591" s="57" t="str">
        <f>IFERROR(INDEX([1]Cluster_Master!$H$4:$H$18,MATCH($F591,[1]Cluster_Master!$B$4:$B$18,0)),"")</f>
        <v/>
      </c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 t="str">
        <f>IF(COUNTA(T591:AH591)=0,"",SUM(T591:AH591))</f>
        <v/>
      </c>
      <c r="AJ591" s="57" t="str">
        <f>IF(COUNTA(T591:AH591)=0,"",AI591/75)</f>
        <v/>
      </c>
      <c r="AK591" s="57" t="str">
        <f>IF(COUNTA(T591:AH591)=0,"",(SUM(T591*[1]KPI_Weights!$B$4,U591*[1]KPI_Weights!$B$5,V591*[1]KPI_Weights!$B$6,W591*[1]KPI_Weights!$B$7,X591*[1]KPI_Weights!$B$8,Y591*[1]KPI_Weights!$B$9,Z591*[1]KPI_Weights!$B$10,AA591*[1]KPI_Weights!$B$11,AB591*[1]KPI_Weights!$B$12,AC591*[1]KPI_Weights!$B$13,AD591*[1]KPI_Weights!$B$14,AE591*[1]KPI_Weights!$B$15,AF591*[1]KPI_Weights!$B$16,AG591*[1]KPI_Weights!$B$17,AH591*[1]KPI_Weights!$B$18))/5)</f>
        <v/>
      </c>
      <c r="AL591" s="57" t="str">
        <f>IF(COUNTA(T591:AH591)=0,"",IF(OR(T591&lt;=1,W591&lt;=1,X591&lt;=1,Y591&lt;=1,AB591&lt;=1),"YES","NO"))</f>
        <v/>
      </c>
      <c r="AM591" s="57" t="str">
        <f>IF(AJ591="","",IF(AND(AL591="NO",AJ591&gt;=0.75),"YES","NO"))</f>
        <v/>
      </c>
      <c r="AN591" s="57" t="str">
        <f>IF(AJ591="","",IF(AJ591&lt;0.4,"Critical",IF(AJ591&lt;0.6,"Poor",IF(AJ591&lt;0.75,"Needs Improvement",IF(AJ591&lt;0.9,"Good","Excellent")))))</f>
        <v/>
      </c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</row>
    <row r="592" spans="1:54" ht="15" customHeight="1" x14ac:dyDescent="0.25">
      <c r="A592" s="57" t="str">
        <f>IF($B592="","",TEXT($B592,"yyyymmdd")&amp;"-"&amp;SUBSTITUTE($F592," ","")&amp;"-"&amp;TEXT(COUNTIF($F$4:F592,$F592),"00"))</f>
        <v/>
      </c>
      <c r="B592" s="57"/>
      <c r="C592" s="57" t="str">
        <f>IF($B592="","",WEEKNUM($B592,2))</f>
        <v/>
      </c>
      <c r="D592" s="57" t="str">
        <f>IF($B592="","",TEXT($B592,"yyyy-mm"))</f>
        <v/>
      </c>
      <c r="E592" s="57"/>
      <c r="F592" s="57"/>
      <c r="G592" s="57" t="str">
        <f>IF(OR($E592="",$F592=""),"",IFERROR(IF($E592=INDEX([1]Cluster_Master!$A$4:$A$18,MATCH($F592,[1]Cluster_Master!$B$4:$B$18,0)),"OK","CHECK"),"CHECK"))</f>
        <v/>
      </c>
      <c r="H592" s="57" t="str">
        <f>IFERROR(INDEX([1]Cluster_Master!$C$4:$C$18,MATCH($F592,[1]Cluster_Master!$B$4:$B$18,0)),"")</f>
        <v/>
      </c>
      <c r="I592" s="57" t="str">
        <f>IFERROR(INDEX([1]Cluster_Master!$D$4:$D$18,MATCH($F592,[1]Cluster_Master!$B$4:$B$18,0)),"")</f>
        <v/>
      </c>
      <c r="J592" s="57" t="str">
        <f>IFERROR(INDEX([1]Cluster_Master!$E$4:$E$18,MATCH($F592,[1]Cluster_Master!$B$4:$B$18,0)),"")</f>
        <v/>
      </c>
      <c r="K592" s="57" t="str">
        <f>IFERROR(INDEX([1]Cluster_Master!$F$4:$F$18,MATCH($F592,[1]Cluster_Master!$B$4:$B$18,0)),"")</f>
        <v/>
      </c>
      <c r="L592" s="57" t="str">
        <f>IFERROR(INDEX([1]Cluster_Master!$G$4:$G$18,MATCH($F592,[1]Cluster_Master!$B$4:$B$18,0)),"")</f>
        <v/>
      </c>
      <c r="M592" s="57" t="str">
        <f>IFERROR(INDEX([1]Cluster_Master!$H$4:$H$18,MATCH($F592,[1]Cluster_Master!$B$4:$B$18,0)),"")</f>
        <v/>
      </c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 t="str">
        <f>IF(COUNTA(T592:AH592)=0,"",SUM(T592:AH592))</f>
        <v/>
      </c>
      <c r="AJ592" s="57" t="str">
        <f>IF(COUNTA(T592:AH592)=0,"",AI592/75)</f>
        <v/>
      </c>
      <c r="AK592" s="57" t="str">
        <f>IF(COUNTA(T592:AH592)=0,"",(SUM(T592*[1]KPI_Weights!$B$4,U592*[1]KPI_Weights!$B$5,V592*[1]KPI_Weights!$B$6,W592*[1]KPI_Weights!$B$7,X592*[1]KPI_Weights!$B$8,Y592*[1]KPI_Weights!$B$9,Z592*[1]KPI_Weights!$B$10,AA592*[1]KPI_Weights!$B$11,AB592*[1]KPI_Weights!$B$12,AC592*[1]KPI_Weights!$B$13,AD592*[1]KPI_Weights!$B$14,AE592*[1]KPI_Weights!$B$15,AF592*[1]KPI_Weights!$B$16,AG592*[1]KPI_Weights!$B$17,AH592*[1]KPI_Weights!$B$18))/5)</f>
        <v/>
      </c>
      <c r="AL592" s="57" t="str">
        <f>IF(COUNTA(T592:AH592)=0,"",IF(OR(T592&lt;=1,W592&lt;=1,X592&lt;=1,Y592&lt;=1,AB592&lt;=1),"YES","NO"))</f>
        <v/>
      </c>
      <c r="AM592" s="57" t="str">
        <f>IF(AJ592="","",IF(AND(AL592="NO",AJ592&gt;=0.75),"YES","NO"))</f>
        <v/>
      </c>
      <c r="AN592" s="57" t="str">
        <f>IF(AJ592="","",IF(AJ592&lt;0.4,"Critical",IF(AJ592&lt;0.6,"Poor",IF(AJ592&lt;0.75,"Needs Improvement",IF(AJ592&lt;0.9,"Good","Excellent")))))</f>
        <v/>
      </c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</row>
    <row r="593" spans="1:54" ht="15" customHeight="1" x14ac:dyDescent="0.25">
      <c r="A593" s="57" t="str">
        <f>IF($B593="","",TEXT($B593,"yyyymmdd")&amp;"-"&amp;SUBSTITUTE($F593," ","")&amp;"-"&amp;TEXT(COUNTIF($F$4:F593,$F593),"00"))</f>
        <v/>
      </c>
      <c r="B593" s="57"/>
      <c r="C593" s="57" t="str">
        <f>IF($B593="","",WEEKNUM($B593,2))</f>
        <v/>
      </c>
      <c r="D593" s="57" t="str">
        <f>IF($B593="","",TEXT($B593,"yyyy-mm"))</f>
        <v/>
      </c>
      <c r="E593" s="57"/>
      <c r="F593" s="57"/>
      <c r="G593" s="57" t="str">
        <f>IF(OR($E593="",$F593=""),"",IFERROR(IF($E593=INDEX([1]Cluster_Master!$A$4:$A$18,MATCH($F593,[1]Cluster_Master!$B$4:$B$18,0)),"OK","CHECK"),"CHECK"))</f>
        <v/>
      </c>
      <c r="H593" s="57" t="str">
        <f>IFERROR(INDEX([1]Cluster_Master!$C$4:$C$18,MATCH($F593,[1]Cluster_Master!$B$4:$B$18,0)),"")</f>
        <v/>
      </c>
      <c r="I593" s="57" t="str">
        <f>IFERROR(INDEX([1]Cluster_Master!$D$4:$D$18,MATCH($F593,[1]Cluster_Master!$B$4:$B$18,0)),"")</f>
        <v/>
      </c>
      <c r="J593" s="57" t="str">
        <f>IFERROR(INDEX([1]Cluster_Master!$E$4:$E$18,MATCH($F593,[1]Cluster_Master!$B$4:$B$18,0)),"")</f>
        <v/>
      </c>
      <c r="K593" s="57" t="str">
        <f>IFERROR(INDEX([1]Cluster_Master!$F$4:$F$18,MATCH($F593,[1]Cluster_Master!$B$4:$B$18,0)),"")</f>
        <v/>
      </c>
      <c r="L593" s="57" t="str">
        <f>IFERROR(INDEX([1]Cluster_Master!$G$4:$G$18,MATCH($F593,[1]Cluster_Master!$B$4:$B$18,0)),"")</f>
        <v/>
      </c>
      <c r="M593" s="57" t="str">
        <f>IFERROR(INDEX([1]Cluster_Master!$H$4:$H$18,MATCH($F593,[1]Cluster_Master!$B$4:$B$18,0)),"")</f>
        <v/>
      </c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 t="str">
        <f>IF(COUNTA(T593:AH593)=0,"",SUM(T593:AH593))</f>
        <v/>
      </c>
      <c r="AJ593" s="57" t="str">
        <f>IF(COUNTA(T593:AH593)=0,"",AI593/75)</f>
        <v/>
      </c>
      <c r="AK593" s="57" t="str">
        <f>IF(COUNTA(T593:AH593)=0,"",(SUM(T593*[1]KPI_Weights!$B$4,U593*[1]KPI_Weights!$B$5,V593*[1]KPI_Weights!$B$6,W593*[1]KPI_Weights!$B$7,X593*[1]KPI_Weights!$B$8,Y593*[1]KPI_Weights!$B$9,Z593*[1]KPI_Weights!$B$10,AA593*[1]KPI_Weights!$B$11,AB593*[1]KPI_Weights!$B$12,AC593*[1]KPI_Weights!$B$13,AD593*[1]KPI_Weights!$B$14,AE593*[1]KPI_Weights!$B$15,AF593*[1]KPI_Weights!$B$16,AG593*[1]KPI_Weights!$B$17,AH593*[1]KPI_Weights!$B$18))/5)</f>
        <v/>
      </c>
      <c r="AL593" s="57" t="str">
        <f>IF(COUNTA(T593:AH593)=0,"",IF(OR(T593&lt;=1,W593&lt;=1,X593&lt;=1,Y593&lt;=1,AB593&lt;=1),"YES","NO"))</f>
        <v/>
      </c>
      <c r="AM593" s="57" t="str">
        <f>IF(AJ593="","",IF(AND(AL593="NO",AJ593&gt;=0.75),"YES","NO"))</f>
        <v/>
      </c>
      <c r="AN593" s="57" t="str">
        <f>IF(AJ593="","",IF(AJ593&lt;0.4,"Critical",IF(AJ593&lt;0.6,"Poor",IF(AJ593&lt;0.75,"Needs Improvement",IF(AJ593&lt;0.9,"Good","Excellent")))))</f>
        <v/>
      </c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</row>
    <row r="594" spans="1:54" ht="15" customHeight="1" x14ac:dyDescent="0.25">
      <c r="A594" s="57" t="str">
        <f>IF($B594="","",TEXT($B594,"yyyymmdd")&amp;"-"&amp;SUBSTITUTE($F594," ","")&amp;"-"&amp;TEXT(COUNTIF($F$4:F594,$F594),"00"))</f>
        <v/>
      </c>
      <c r="B594" s="57"/>
      <c r="C594" s="57" t="str">
        <f>IF($B594="","",WEEKNUM($B594,2))</f>
        <v/>
      </c>
      <c r="D594" s="57" t="str">
        <f>IF($B594="","",TEXT($B594,"yyyy-mm"))</f>
        <v/>
      </c>
      <c r="E594" s="57"/>
      <c r="F594" s="57"/>
      <c r="G594" s="57" t="str">
        <f>IF(OR($E594="",$F594=""),"",IFERROR(IF($E594=INDEX([1]Cluster_Master!$A$4:$A$18,MATCH($F594,[1]Cluster_Master!$B$4:$B$18,0)),"OK","CHECK"),"CHECK"))</f>
        <v/>
      </c>
      <c r="H594" s="57" t="str">
        <f>IFERROR(INDEX([1]Cluster_Master!$C$4:$C$18,MATCH($F594,[1]Cluster_Master!$B$4:$B$18,0)),"")</f>
        <v/>
      </c>
      <c r="I594" s="57" t="str">
        <f>IFERROR(INDEX([1]Cluster_Master!$D$4:$D$18,MATCH($F594,[1]Cluster_Master!$B$4:$B$18,0)),"")</f>
        <v/>
      </c>
      <c r="J594" s="57" t="str">
        <f>IFERROR(INDEX([1]Cluster_Master!$E$4:$E$18,MATCH($F594,[1]Cluster_Master!$B$4:$B$18,0)),"")</f>
        <v/>
      </c>
      <c r="K594" s="57" t="str">
        <f>IFERROR(INDEX([1]Cluster_Master!$F$4:$F$18,MATCH($F594,[1]Cluster_Master!$B$4:$B$18,0)),"")</f>
        <v/>
      </c>
      <c r="L594" s="57" t="str">
        <f>IFERROR(INDEX([1]Cluster_Master!$G$4:$G$18,MATCH($F594,[1]Cluster_Master!$B$4:$B$18,0)),"")</f>
        <v/>
      </c>
      <c r="M594" s="57" t="str">
        <f>IFERROR(INDEX([1]Cluster_Master!$H$4:$H$18,MATCH($F594,[1]Cluster_Master!$B$4:$B$18,0)),"")</f>
        <v/>
      </c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 t="str">
        <f>IF(COUNTA(T594:AH594)=0,"",SUM(T594:AH594))</f>
        <v/>
      </c>
      <c r="AJ594" s="57" t="str">
        <f>IF(COUNTA(T594:AH594)=0,"",AI594/75)</f>
        <v/>
      </c>
      <c r="AK594" s="57" t="str">
        <f>IF(COUNTA(T594:AH594)=0,"",(SUM(T594*[1]KPI_Weights!$B$4,U594*[1]KPI_Weights!$B$5,V594*[1]KPI_Weights!$B$6,W594*[1]KPI_Weights!$B$7,X594*[1]KPI_Weights!$B$8,Y594*[1]KPI_Weights!$B$9,Z594*[1]KPI_Weights!$B$10,AA594*[1]KPI_Weights!$B$11,AB594*[1]KPI_Weights!$B$12,AC594*[1]KPI_Weights!$B$13,AD594*[1]KPI_Weights!$B$14,AE594*[1]KPI_Weights!$B$15,AF594*[1]KPI_Weights!$B$16,AG594*[1]KPI_Weights!$B$17,AH594*[1]KPI_Weights!$B$18))/5)</f>
        <v/>
      </c>
      <c r="AL594" s="57" t="str">
        <f>IF(COUNTA(T594:AH594)=0,"",IF(OR(T594&lt;=1,W594&lt;=1,X594&lt;=1,Y594&lt;=1,AB594&lt;=1),"YES","NO"))</f>
        <v/>
      </c>
      <c r="AM594" s="57" t="str">
        <f>IF(AJ594="","",IF(AND(AL594="NO",AJ594&gt;=0.75),"YES","NO"))</f>
        <v/>
      </c>
      <c r="AN594" s="57" t="str">
        <f>IF(AJ594="","",IF(AJ594&lt;0.4,"Critical",IF(AJ594&lt;0.6,"Poor",IF(AJ594&lt;0.75,"Needs Improvement",IF(AJ594&lt;0.9,"Good","Excellent")))))</f>
        <v/>
      </c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</row>
    <row r="595" spans="1:54" ht="15" customHeight="1" x14ac:dyDescent="0.25">
      <c r="A595" s="57" t="str">
        <f>IF($B595="","",TEXT($B595,"yyyymmdd")&amp;"-"&amp;SUBSTITUTE($F595," ","")&amp;"-"&amp;TEXT(COUNTIF($F$4:F595,$F595),"00"))</f>
        <v/>
      </c>
      <c r="B595" s="57"/>
      <c r="C595" s="57" t="str">
        <f>IF($B595="","",WEEKNUM($B595,2))</f>
        <v/>
      </c>
      <c r="D595" s="57" t="str">
        <f>IF($B595="","",TEXT($B595,"yyyy-mm"))</f>
        <v/>
      </c>
      <c r="E595" s="57"/>
      <c r="F595" s="57"/>
      <c r="G595" s="57" t="str">
        <f>IF(OR($E595="",$F595=""),"",IFERROR(IF($E595=INDEX([1]Cluster_Master!$A$4:$A$18,MATCH($F595,[1]Cluster_Master!$B$4:$B$18,0)),"OK","CHECK"),"CHECK"))</f>
        <v/>
      </c>
      <c r="H595" s="57" t="str">
        <f>IFERROR(INDEX([1]Cluster_Master!$C$4:$C$18,MATCH($F595,[1]Cluster_Master!$B$4:$B$18,0)),"")</f>
        <v/>
      </c>
      <c r="I595" s="57" t="str">
        <f>IFERROR(INDEX([1]Cluster_Master!$D$4:$D$18,MATCH($F595,[1]Cluster_Master!$B$4:$B$18,0)),"")</f>
        <v/>
      </c>
      <c r="J595" s="57" t="str">
        <f>IFERROR(INDEX([1]Cluster_Master!$E$4:$E$18,MATCH($F595,[1]Cluster_Master!$B$4:$B$18,0)),"")</f>
        <v/>
      </c>
      <c r="K595" s="57" t="str">
        <f>IFERROR(INDEX([1]Cluster_Master!$F$4:$F$18,MATCH($F595,[1]Cluster_Master!$B$4:$B$18,0)),"")</f>
        <v/>
      </c>
      <c r="L595" s="57" t="str">
        <f>IFERROR(INDEX([1]Cluster_Master!$G$4:$G$18,MATCH($F595,[1]Cluster_Master!$B$4:$B$18,0)),"")</f>
        <v/>
      </c>
      <c r="M595" s="57" t="str">
        <f>IFERROR(INDEX([1]Cluster_Master!$H$4:$H$18,MATCH($F595,[1]Cluster_Master!$B$4:$B$18,0)),"")</f>
        <v/>
      </c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 t="str">
        <f>IF(COUNTA(T595:AH595)=0,"",SUM(T595:AH595))</f>
        <v/>
      </c>
      <c r="AJ595" s="57" t="str">
        <f>IF(COUNTA(T595:AH595)=0,"",AI595/75)</f>
        <v/>
      </c>
      <c r="AK595" s="57" t="str">
        <f>IF(COUNTA(T595:AH595)=0,"",(SUM(T595*[1]KPI_Weights!$B$4,U595*[1]KPI_Weights!$B$5,V595*[1]KPI_Weights!$B$6,W595*[1]KPI_Weights!$B$7,X595*[1]KPI_Weights!$B$8,Y595*[1]KPI_Weights!$B$9,Z595*[1]KPI_Weights!$B$10,AA595*[1]KPI_Weights!$B$11,AB595*[1]KPI_Weights!$B$12,AC595*[1]KPI_Weights!$B$13,AD595*[1]KPI_Weights!$B$14,AE595*[1]KPI_Weights!$B$15,AF595*[1]KPI_Weights!$B$16,AG595*[1]KPI_Weights!$B$17,AH595*[1]KPI_Weights!$B$18))/5)</f>
        <v/>
      </c>
      <c r="AL595" s="57" t="str">
        <f>IF(COUNTA(T595:AH595)=0,"",IF(OR(T595&lt;=1,W595&lt;=1,X595&lt;=1,Y595&lt;=1,AB595&lt;=1),"YES","NO"))</f>
        <v/>
      </c>
      <c r="AM595" s="57" t="str">
        <f>IF(AJ595="","",IF(AND(AL595="NO",AJ595&gt;=0.75),"YES","NO"))</f>
        <v/>
      </c>
      <c r="AN595" s="57" t="str">
        <f>IF(AJ595="","",IF(AJ595&lt;0.4,"Critical",IF(AJ595&lt;0.6,"Poor",IF(AJ595&lt;0.75,"Needs Improvement",IF(AJ595&lt;0.9,"Good","Excellent")))))</f>
        <v/>
      </c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</row>
    <row r="596" spans="1:54" ht="15" customHeight="1" x14ac:dyDescent="0.25">
      <c r="A596" s="57" t="str">
        <f>IF($B596="","",TEXT($B596,"yyyymmdd")&amp;"-"&amp;SUBSTITUTE($F596," ","")&amp;"-"&amp;TEXT(COUNTIF($F$4:F596,$F596),"00"))</f>
        <v/>
      </c>
      <c r="B596" s="57"/>
      <c r="C596" s="57" t="str">
        <f>IF($B596="","",WEEKNUM($B596,2))</f>
        <v/>
      </c>
      <c r="D596" s="57" t="str">
        <f>IF($B596="","",TEXT($B596,"yyyy-mm"))</f>
        <v/>
      </c>
      <c r="E596" s="57"/>
      <c r="F596" s="57"/>
      <c r="G596" s="57" t="str">
        <f>IF(OR($E596="",$F596=""),"",IFERROR(IF($E596=INDEX([1]Cluster_Master!$A$4:$A$18,MATCH($F596,[1]Cluster_Master!$B$4:$B$18,0)),"OK","CHECK"),"CHECK"))</f>
        <v/>
      </c>
      <c r="H596" s="57" t="str">
        <f>IFERROR(INDEX([1]Cluster_Master!$C$4:$C$18,MATCH($F596,[1]Cluster_Master!$B$4:$B$18,0)),"")</f>
        <v/>
      </c>
      <c r="I596" s="57" t="str">
        <f>IFERROR(INDEX([1]Cluster_Master!$D$4:$D$18,MATCH($F596,[1]Cluster_Master!$B$4:$B$18,0)),"")</f>
        <v/>
      </c>
      <c r="J596" s="57" t="str">
        <f>IFERROR(INDEX([1]Cluster_Master!$E$4:$E$18,MATCH($F596,[1]Cluster_Master!$B$4:$B$18,0)),"")</f>
        <v/>
      </c>
      <c r="K596" s="57" t="str">
        <f>IFERROR(INDEX([1]Cluster_Master!$F$4:$F$18,MATCH($F596,[1]Cluster_Master!$B$4:$B$18,0)),"")</f>
        <v/>
      </c>
      <c r="L596" s="57" t="str">
        <f>IFERROR(INDEX([1]Cluster_Master!$G$4:$G$18,MATCH($F596,[1]Cluster_Master!$B$4:$B$18,0)),"")</f>
        <v/>
      </c>
      <c r="M596" s="57" t="str">
        <f>IFERROR(INDEX([1]Cluster_Master!$H$4:$H$18,MATCH($F596,[1]Cluster_Master!$B$4:$B$18,0)),"")</f>
        <v/>
      </c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 t="str">
        <f>IF(COUNTA(T596:AH596)=0,"",SUM(T596:AH596))</f>
        <v/>
      </c>
      <c r="AJ596" s="57" t="str">
        <f>IF(COUNTA(T596:AH596)=0,"",AI596/75)</f>
        <v/>
      </c>
      <c r="AK596" s="57" t="str">
        <f>IF(COUNTA(T596:AH596)=0,"",(SUM(T596*[1]KPI_Weights!$B$4,U596*[1]KPI_Weights!$B$5,V596*[1]KPI_Weights!$B$6,W596*[1]KPI_Weights!$B$7,X596*[1]KPI_Weights!$B$8,Y596*[1]KPI_Weights!$B$9,Z596*[1]KPI_Weights!$B$10,AA596*[1]KPI_Weights!$B$11,AB596*[1]KPI_Weights!$B$12,AC596*[1]KPI_Weights!$B$13,AD596*[1]KPI_Weights!$B$14,AE596*[1]KPI_Weights!$B$15,AF596*[1]KPI_Weights!$B$16,AG596*[1]KPI_Weights!$B$17,AH596*[1]KPI_Weights!$B$18))/5)</f>
        <v/>
      </c>
      <c r="AL596" s="57" t="str">
        <f>IF(COUNTA(T596:AH596)=0,"",IF(OR(T596&lt;=1,W596&lt;=1,X596&lt;=1,Y596&lt;=1,AB596&lt;=1),"YES","NO"))</f>
        <v/>
      </c>
      <c r="AM596" s="57" t="str">
        <f>IF(AJ596="","",IF(AND(AL596="NO",AJ596&gt;=0.75),"YES","NO"))</f>
        <v/>
      </c>
      <c r="AN596" s="57" t="str">
        <f>IF(AJ596="","",IF(AJ596&lt;0.4,"Critical",IF(AJ596&lt;0.6,"Poor",IF(AJ596&lt;0.75,"Needs Improvement",IF(AJ596&lt;0.9,"Good","Excellent")))))</f>
        <v/>
      </c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</row>
    <row r="597" spans="1:54" ht="15" customHeight="1" x14ac:dyDescent="0.25">
      <c r="A597" s="57" t="str">
        <f>IF($B597="","",TEXT($B597,"yyyymmdd")&amp;"-"&amp;SUBSTITUTE($F597," ","")&amp;"-"&amp;TEXT(COUNTIF($F$4:F597,$F597),"00"))</f>
        <v/>
      </c>
      <c r="B597" s="57"/>
      <c r="C597" s="57" t="str">
        <f>IF($B597="","",WEEKNUM($B597,2))</f>
        <v/>
      </c>
      <c r="D597" s="57" t="str">
        <f>IF($B597="","",TEXT($B597,"yyyy-mm"))</f>
        <v/>
      </c>
      <c r="E597" s="57"/>
      <c r="F597" s="57"/>
      <c r="G597" s="57" t="str">
        <f>IF(OR($E597="",$F597=""),"",IFERROR(IF($E597=INDEX([1]Cluster_Master!$A$4:$A$18,MATCH($F597,[1]Cluster_Master!$B$4:$B$18,0)),"OK","CHECK"),"CHECK"))</f>
        <v/>
      </c>
      <c r="H597" s="57" t="str">
        <f>IFERROR(INDEX([1]Cluster_Master!$C$4:$C$18,MATCH($F597,[1]Cluster_Master!$B$4:$B$18,0)),"")</f>
        <v/>
      </c>
      <c r="I597" s="57" t="str">
        <f>IFERROR(INDEX([1]Cluster_Master!$D$4:$D$18,MATCH($F597,[1]Cluster_Master!$B$4:$B$18,0)),"")</f>
        <v/>
      </c>
      <c r="J597" s="57" t="str">
        <f>IFERROR(INDEX([1]Cluster_Master!$E$4:$E$18,MATCH($F597,[1]Cluster_Master!$B$4:$B$18,0)),"")</f>
        <v/>
      </c>
      <c r="K597" s="57" t="str">
        <f>IFERROR(INDEX([1]Cluster_Master!$F$4:$F$18,MATCH($F597,[1]Cluster_Master!$B$4:$B$18,0)),"")</f>
        <v/>
      </c>
      <c r="L597" s="57" t="str">
        <f>IFERROR(INDEX([1]Cluster_Master!$G$4:$G$18,MATCH($F597,[1]Cluster_Master!$B$4:$B$18,0)),"")</f>
        <v/>
      </c>
      <c r="M597" s="57" t="str">
        <f>IFERROR(INDEX([1]Cluster_Master!$H$4:$H$18,MATCH($F597,[1]Cluster_Master!$B$4:$B$18,0)),"")</f>
        <v/>
      </c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 t="str">
        <f>IF(COUNTA(T597:AH597)=0,"",SUM(T597:AH597))</f>
        <v/>
      </c>
      <c r="AJ597" s="57" t="str">
        <f>IF(COUNTA(T597:AH597)=0,"",AI597/75)</f>
        <v/>
      </c>
      <c r="AK597" s="57" t="str">
        <f>IF(COUNTA(T597:AH597)=0,"",(SUM(T597*[1]KPI_Weights!$B$4,U597*[1]KPI_Weights!$B$5,V597*[1]KPI_Weights!$B$6,W597*[1]KPI_Weights!$B$7,X597*[1]KPI_Weights!$B$8,Y597*[1]KPI_Weights!$B$9,Z597*[1]KPI_Weights!$B$10,AA597*[1]KPI_Weights!$B$11,AB597*[1]KPI_Weights!$B$12,AC597*[1]KPI_Weights!$B$13,AD597*[1]KPI_Weights!$B$14,AE597*[1]KPI_Weights!$B$15,AF597*[1]KPI_Weights!$B$16,AG597*[1]KPI_Weights!$B$17,AH597*[1]KPI_Weights!$B$18))/5)</f>
        <v/>
      </c>
      <c r="AL597" s="57" t="str">
        <f>IF(COUNTA(T597:AH597)=0,"",IF(OR(T597&lt;=1,W597&lt;=1,X597&lt;=1,Y597&lt;=1,AB597&lt;=1),"YES","NO"))</f>
        <v/>
      </c>
      <c r="AM597" s="57" t="str">
        <f>IF(AJ597="","",IF(AND(AL597="NO",AJ597&gt;=0.75),"YES","NO"))</f>
        <v/>
      </c>
      <c r="AN597" s="57" t="str">
        <f>IF(AJ597="","",IF(AJ597&lt;0.4,"Critical",IF(AJ597&lt;0.6,"Poor",IF(AJ597&lt;0.75,"Needs Improvement",IF(AJ597&lt;0.9,"Good","Excellent")))))</f>
        <v/>
      </c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</row>
    <row r="598" spans="1:54" ht="15" customHeight="1" x14ac:dyDescent="0.25">
      <c r="A598" s="57" t="str">
        <f>IF($B598="","",TEXT($B598,"yyyymmdd")&amp;"-"&amp;SUBSTITUTE($F598," ","")&amp;"-"&amp;TEXT(COUNTIF($F$4:F598,$F598),"00"))</f>
        <v/>
      </c>
      <c r="B598" s="57"/>
      <c r="C598" s="57" t="str">
        <f>IF($B598="","",WEEKNUM($B598,2))</f>
        <v/>
      </c>
      <c r="D598" s="57" t="str">
        <f>IF($B598="","",TEXT($B598,"yyyy-mm"))</f>
        <v/>
      </c>
      <c r="E598" s="57"/>
      <c r="F598" s="57"/>
      <c r="G598" s="57" t="str">
        <f>IF(OR($E598="",$F598=""),"",IFERROR(IF($E598=INDEX([1]Cluster_Master!$A$4:$A$18,MATCH($F598,[1]Cluster_Master!$B$4:$B$18,0)),"OK","CHECK"),"CHECK"))</f>
        <v/>
      </c>
      <c r="H598" s="57" t="str">
        <f>IFERROR(INDEX([1]Cluster_Master!$C$4:$C$18,MATCH($F598,[1]Cluster_Master!$B$4:$B$18,0)),"")</f>
        <v/>
      </c>
      <c r="I598" s="57" t="str">
        <f>IFERROR(INDEX([1]Cluster_Master!$D$4:$D$18,MATCH($F598,[1]Cluster_Master!$B$4:$B$18,0)),"")</f>
        <v/>
      </c>
      <c r="J598" s="57" t="str">
        <f>IFERROR(INDEX([1]Cluster_Master!$E$4:$E$18,MATCH($F598,[1]Cluster_Master!$B$4:$B$18,0)),"")</f>
        <v/>
      </c>
      <c r="K598" s="57" t="str">
        <f>IFERROR(INDEX([1]Cluster_Master!$F$4:$F$18,MATCH($F598,[1]Cluster_Master!$B$4:$B$18,0)),"")</f>
        <v/>
      </c>
      <c r="L598" s="57" t="str">
        <f>IFERROR(INDEX([1]Cluster_Master!$G$4:$G$18,MATCH($F598,[1]Cluster_Master!$B$4:$B$18,0)),"")</f>
        <v/>
      </c>
      <c r="M598" s="57" t="str">
        <f>IFERROR(INDEX([1]Cluster_Master!$H$4:$H$18,MATCH($F598,[1]Cluster_Master!$B$4:$B$18,0)),"")</f>
        <v/>
      </c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 t="str">
        <f>IF(COUNTA(T598:AH598)=0,"",SUM(T598:AH598))</f>
        <v/>
      </c>
      <c r="AJ598" s="57" t="str">
        <f>IF(COUNTA(T598:AH598)=0,"",AI598/75)</f>
        <v/>
      </c>
      <c r="AK598" s="57" t="str">
        <f>IF(COUNTA(T598:AH598)=0,"",(SUM(T598*[1]KPI_Weights!$B$4,U598*[1]KPI_Weights!$B$5,V598*[1]KPI_Weights!$B$6,W598*[1]KPI_Weights!$B$7,X598*[1]KPI_Weights!$B$8,Y598*[1]KPI_Weights!$B$9,Z598*[1]KPI_Weights!$B$10,AA598*[1]KPI_Weights!$B$11,AB598*[1]KPI_Weights!$B$12,AC598*[1]KPI_Weights!$B$13,AD598*[1]KPI_Weights!$B$14,AE598*[1]KPI_Weights!$B$15,AF598*[1]KPI_Weights!$B$16,AG598*[1]KPI_Weights!$B$17,AH598*[1]KPI_Weights!$B$18))/5)</f>
        <v/>
      </c>
      <c r="AL598" s="57" t="str">
        <f>IF(COUNTA(T598:AH598)=0,"",IF(OR(T598&lt;=1,W598&lt;=1,X598&lt;=1,Y598&lt;=1,AB598&lt;=1),"YES","NO"))</f>
        <v/>
      </c>
      <c r="AM598" s="57" t="str">
        <f>IF(AJ598="","",IF(AND(AL598="NO",AJ598&gt;=0.75),"YES","NO"))</f>
        <v/>
      </c>
      <c r="AN598" s="57" t="str">
        <f>IF(AJ598="","",IF(AJ598&lt;0.4,"Critical",IF(AJ598&lt;0.6,"Poor",IF(AJ598&lt;0.75,"Needs Improvement",IF(AJ598&lt;0.9,"Good","Excellent")))))</f>
        <v/>
      </c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</row>
    <row r="599" spans="1:54" ht="15" customHeight="1" x14ac:dyDescent="0.25">
      <c r="A599" s="57" t="str">
        <f>IF($B599="","",TEXT($B599,"yyyymmdd")&amp;"-"&amp;SUBSTITUTE($F599," ","")&amp;"-"&amp;TEXT(COUNTIF($F$4:F599,$F599),"00"))</f>
        <v/>
      </c>
      <c r="B599" s="57"/>
      <c r="C599" s="57" t="str">
        <f>IF($B599="","",WEEKNUM($B599,2))</f>
        <v/>
      </c>
      <c r="D599" s="57" t="str">
        <f>IF($B599="","",TEXT($B599,"yyyy-mm"))</f>
        <v/>
      </c>
      <c r="E599" s="57"/>
      <c r="F599" s="57"/>
      <c r="G599" s="57" t="str">
        <f>IF(OR($E599="",$F599=""),"",IFERROR(IF($E599=INDEX([1]Cluster_Master!$A$4:$A$18,MATCH($F599,[1]Cluster_Master!$B$4:$B$18,0)),"OK","CHECK"),"CHECK"))</f>
        <v/>
      </c>
      <c r="H599" s="57" t="str">
        <f>IFERROR(INDEX([1]Cluster_Master!$C$4:$C$18,MATCH($F599,[1]Cluster_Master!$B$4:$B$18,0)),"")</f>
        <v/>
      </c>
      <c r="I599" s="57" t="str">
        <f>IFERROR(INDEX([1]Cluster_Master!$D$4:$D$18,MATCH($F599,[1]Cluster_Master!$B$4:$B$18,0)),"")</f>
        <v/>
      </c>
      <c r="J599" s="57" t="str">
        <f>IFERROR(INDEX([1]Cluster_Master!$E$4:$E$18,MATCH($F599,[1]Cluster_Master!$B$4:$B$18,0)),"")</f>
        <v/>
      </c>
      <c r="K599" s="57" t="str">
        <f>IFERROR(INDEX([1]Cluster_Master!$F$4:$F$18,MATCH($F599,[1]Cluster_Master!$B$4:$B$18,0)),"")</f>
        <v/>
      </c>
      <c r="L599" s="57" t="str">
        <f>IFERROR(INDEX([1]Cluster_Master!$G$4:$G$18,MATCH($F599,[1]Cluster_Master!$B$4:$B$18,0)),"")</f>
        <v/>
      </c>
      <c r="M599" s="57" t="str">
        <f>IFERROR(INDEX([1]Cluster_Master!$H$4:$H$18,MATCH($F599,[1]Cluster_Master!$B$4:$B$18,0)),"")</f>
        <v/>
      </c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 t="str">
        <f>IF(COUNTA(T599:AH599)=0,"",SUM(T599:AH599))</f>
        <v/>
      </c>
      <c r="AJ599" s="57" t="str">
        <f>IF(COUNTA(T599:AH599)=0,"",AI599/75)</f>
        <v/>
      </c>
      <c r="AK599" s="57" t="str">
        <f>IF(COUNTA(T599:AH599)=0,"",(SUM(T599*[1]KPI_Weights!$B$4,U599*[1]KPI_Weights!$B$5,V599*[1]KPI_Weights!$B$6,W599*[1]KPI_Weights!$B$7,X599*[1]KPI_Weights!$B$8,Y599*[1]KPI_Weights!$B$9,Z599*[1]KPI_Weights!$B$10,AA599*[1]KPI_Weights!$B$11,AB599*[1]KPI_Weights!$B$12,AC599*[1]KPI_Weights!$B$13,AD599*[1]KPI_Weights!$B$14,AE599*[1]KPI_Weights!$B$15,AF599*[1]KPI_Weights!$B$16,AG599*[1]KPI_Weights!$B$17,AH599*[1]KPI_Weights!$B$18))/5)</f>
        <v/>
      </c>
      <c r="AL599" s="57" t="str">
        <f>IF(COUNTA(T599:AH599)=0,"",IF(OR(T599&lt;=1,W599&lt;=1,X599&lt;=1,Y599&lt;=1,AB599&lt;=1),"YES","NO"))</f>
        <v/>
      </c>
      <c r="AM599" s="57" t="str">
        <f>IF(AJ599="","",IF(AND(AL599="NO",AJ599&gt;=0.75),"YES","NO"))</f>
        <v/>
      </c>
      <c r="AN599" s="57" t="str">
        <f>IF(AJ599="","",IF(AJ599&lt;0.4,"Critical",IF(AJ599&lt;0.6,"Poor",IF(AJ599&lt;0.75,"Needs Improvement",IF(AJ599&lt;0.9,"Good","Excellent")))))</f>
        <v/>
      </c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</row>
    <row r="600" spans="1:54" ht="15" customHeight="1" x14ac:dyDescent="0.25">
      <c r="A600" s="57" t="str">
        <f>IF($B600="","",TEXT($B600,"yyyymmdd")&amp;"-"&amp;SUBSTITUTE($F600," ","")&amp;"-"&amp;TEXT(COUNTIF($F$4:F600,$F600),"00"))</f>
        <v/>
      </c>
      <c r="B600" s="57"/>
      <c r="C600" s="57" t="str">
        <f>IF($B600="","",WEEKNUM($B600,2))</f>
        <v/>
      </c>
      <c r="D600" s="57" t="str">
        <f>IF($B600="","",TEXT($B600,"yyyy-mm"))</f>
        <v/>
      </c>
      <c r="E600" s="57"/>
      <c r="F600" s="57"/>
      <c r="G600" s="57" t="str">
        <f>IF(OR($E600="",$F600=""),"",IFERROR(IF($E600=INDEX([1]Cluster_Master!$A$4:$A$18,MATCH($F600,[1]Cluster_Master!$B$4:$B$18,0)),"OK","CHECK"),"CHECK"))</f>
        <v/>
      </c>
      <c r="H600" s="57" t="str">
        <f>IFERROR(INDEX([1]Cluster_Master!$C$4:$C$18,MATCH($F600,[1]Cluster_Master!$B$4:$B$18,0)),"")</f>
        <v/>
      </c>
      <c r="I600" s="57" t="str">
        <f>IFERROR(INDEX([1]Cluster_Master!$D$4:$D$18,MATCH($F600,[1]Cluster_Master!$B$4:$B$18,0)),"")</f>
        <v/>
      </c>
      <c r="J600" s="57" t="str">
        <f>IFERROR(INDEX([1]Cluster_Master!$E$4:$E$18,MATCH($F600,[1]Cluster_Master!$B$4:$B$18,0)),"")</f>
        <v/>
      </c>
      <c r="K600" s="57" t="str">
        <f>IFERROR(INDEX([1]Cluster_Master!$F$4:$F$18,MATCH($F600,[1]Cluster_Master!$B$4:$B$18,0)),"")</f>
        <v/>
      </c>
      <c r="L600" s="57" t="str">
        <f>IFERROR(INDEX([1]Cluster_Master!$G$4:$G$18,MATCH($F600,[1]Cluster_Master!$B$4:$B$18,0)),"")</f>
        <v/>
      </c>
      <c r="M600" s="57" t="str">
        <f>IFERROR(INDEX([1]Cluster_Master!$H$4:$H$18,MATCH($F600,[1]Cluster_Master!$B$4:$B$18,0)),"")</f>
        <v/>
      </c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 t="str">
        <f>IF(COUNTA(T600:AH600)=0,"",SUM(T600:AH600))</f>
        <v/>
      </c>
      <c r="AJ600" s="57" t="str">
        <f>IF(COUNTA(T600:AH600)=0,"",AI600/75)</f>
        <v/>
      </c>
      <c r="AK600" s="57" t="str">
        <f>IF(COUNTA(T600:AH600)=0,"",(SUM(T600*[1]KPI_Weights!$B$4,U600*[1]KPI_Weights!$B$5,V600*[1]KPI_Weights!$B$6,W600*[1]KPI_Weights!$B$7,X600*[1]KPI_Weights!$B$8,Y600*[1]KPI_Weights!$B$9,Z600*[1]KPI_Weights!$B$10,AA600*[1]KPI_Weights!$B$11,AB600*[1]KPI_Weights!$B$12,AC600*[1]KPI_Weights!$B$13,AD600*[1]KPI_Weights!$B$14,AE600*[1]KPI_Weights!$B$15,AF600*[1]KPI_Weights!$B$16,AG600*[1]KPI_Weights!$B$17,AH600*[1]KPI_Weights!$B$18))/5)</f>
        <v/>
      </c>
      <c r="AL600" s="57" t="str">
        <f>IF(COUNTA(T600:AH600)=0,"",IF(OR(T600&lt;=1,W600&lt;=1,X600&lt;=1,Y600&lt;=1,AB600&lt;=1),"YES","NO"))</f>
        <v/>
      </c>
      <c r="AM600" s="57" t="str">
        <f>IF(AJ600="","",IF(AND(AL600="NO",AJ600&gt;=0.75),"YES","NO"))</f>
        <v/>
      </c>
      <c r="AN600" s="57" t="str">
        <f>IF(AJ600="","",IF(AJ600&lt;0.4,"Critical",IF(AJ600&lt;0.6,"Poor",IF(AJ600&lt;0.75,"Needs Improvement",IF(AJ600&lt;0.9,"Good","Excellent")))))</f>
        <v/>
      </c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</row>
    <row r="601" spans="1:54" ht="15" customHeight="1" x14ac:dyDescent="0.25">
      <c r="A601" s="57" t="str">
        <f>IF($B601="","",TEXT($B601,"yyyymmdd")&amp;"-"&amp;SUBSTITUTE($F601," ","")&amp;"-"&amp;TEXT(COUNTIF($F$4:F601,$F601),"00"))</f>
        <v/>
      </c>
      <c r="B601" s="57"/>
      <c r="C601" s="57" t="str">
        <f>IF($B601="","",WEEKNUM($B601,2))</f>
        <v/>
      </c>
      <c r="D601" s="57" t="str">
        <f>IF($B601="","",TEXT($B601,"yyyy-mm"))</f>
        <v/>
      </c>
      <c r="E601" s="57"/>
      <c r="F601" s="57"/>
      <c r="G601" s="57" t="str">
        <f>IF(OR($E601="",$F601=""),"",IFERROR(IF($E601=INDEX([1]Cluster_Master!$A$4:$A$18,MATCH($F601,[1]Cluster_Master!$B$4:$B$18,0)),"OK","CHECK"),"CHECK"))</f>
        <v/>
      </c>
      <c r="H601" s="57" t="str">
        <f>IFERROR(INDEX([1]Cluster_Master!$C$4:$C$18,MATCH($F601,[1]Cluster_Master!$B$4:$B$18,0)),"")</f>
        <v/>
      </c>
      <c r="I601" s="57" t="str">
        <f>IFERROR(INDEX([1]Cluster_Master!$D$4:$D$18,MATCH($F601,[1]Cluster_Master!$B$4:$B$18,0)),"")</f>
        <v/>
      </c>
      <c r="J601" s="57" t="str">
        <f>IFERROR(INDEX([1]Cluster_Master!$E$4:$E$18,MATCH($F601,[1]Cluster_Master!$B$4:$B$18,0)),"")</f>
        <v/>
      </c>
      <c r="K601" s="57" t="str">
        <f>IFERROR(INDEX([1]Cluster_Master!$F$4:$F$18,MATCH($F601,[1]Cluster_Master!$B$4:$B$18,0)),"")</f>
        <v/>
      </c>
      <c r="L601" s="57" t="str">
        <f>IFERROR(INDEX([1]Cluster_Master!$G$4:$G$18,MATCH($F601,[1]Cluster_Master!$B$4:$B$18,0)),"")</f>
        <v/>
      </c>
      <c r="M601" s="57" t="str">
        <f>IFERROR(INDEX([1]Cluster_Master!$H$4:$H$18,MATCH($F601,[1]Cluster_Master!$B$4:$B$18,0)),"")</f>
        <v/>
      </c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 t="str">
        <f>IF(COUNTA(T601:AH601)=0,"",SUM(T601:AH601))</f>
        <v/>
      </c>
      <c r="AJ601" s="57" t="str">
        <f>IF(COUNTA(T601:AH601)=0,"",AI601/75)</f>
        <v/>
      </c>
      <c r="AK601" s="57" t="str">
        <f>IF(COUNTA(T601:AH601)=0,"",(SUM(T601*[1]KPI_Weights!$B$4,U601*[1]KPI_Weights!$B$5,V601*[1]KPI_Weights!$B$6,W601*[1]KPI_Weights!$B$7,X601*[1]KPI_Weights!$B$8,Y601*[1]KPI_Weights!$B$9,Z601*[1]KPI_Weights!$B$10,AA601*[1]KPI_Weights!$B$11,AB601*[1]KPI_Weights!$B$12,AC601*[1]KPI_Weights!$B$13,AD601*[1]KPI_Weights!$B$14,AE601*[1]KPI_Weights!$B$15,AF601*[1]KPI_Weights!$B$16,AG601*[1]KPI_Weights!$B$17,AH601*[1]KPI_Weights!$B$18))/5)</f>
        <v/>
      </c>
      <c r="AL601" s="57" t="str">
        <f>IF(COUNTA(T601:AH601)=0,"",IF(OR(T601&lt;=1,W601&lt;=1,X601&lt;=1,Y601&lt;=1,AB601&lt;=1),"YES","NO"))</f>
        <v/>
      </c>
      <c r="AM601" s="57" t="str">
        <f>IF(AJ601="","",IF(AND(AL601="NO",AJ601&gt;=0.75),"YES","NO"))</f>
        <v/>
      </c>
      <c r="AN601" s="57" t="str">
        <f>IF(AJ601="","",IF(AJ601&lt;0.4,"Critical",IF(AJ601&lt;0.6,"Poor",IF(AJ601&lt;0.75,"Needs Improvement",IF(AJ601&lt;0.9,"Good","Excellent")))))</f>
        <v/>
      </c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</row>
    <row r="602" spans="1:54" ht="15" customHeight="1" x14ac:dyDescent="0.25">
      <c r="A602" s="57" t="str">
        <f>IF($B602="","",TEXT($B602,"yyyymmdd")&amp;"-"&amp;SUBSTITUTE($F602," ","")&amp;"-"&amp;TEXT(COUNTIF($F$4:F602,$F602),"00"))</f>
        <v/>
      </c>
      <c r="B602" s="57"/>
      <c r="C602" s="57" t="str">
        <f>IF($B602="","",WEEKNUM($B602,2))</f>
        <v/>
      </c>
      <c r="D602" s="57" t="str">
        <f>IF($B602="","",TEXT($B602,"yyyy-mm"))</f>
        <v/>
      </c>
      <c r="E602" s="57"/>
      <c r="F602" s="57"/>
      <c r="G602" s="57" t="str">
        <f>IF(OR($E602="",$F602=""),"",IFERROR(IF($E602=INDEX([1]Cluster_Master!$A$4:$A$18,MATCH($F602,[1]Cluster_Master!$B$4:$B$18,0)),"OK","CHECK"),"CHECK"))</f>
        <v/>
      </c>
      <c r="H602" s="57" t="str">
        <f>IFERROR(INDEX([1]Cluster_Master!$C$4:$C$18,MATCH($F602,[1]Cluster_Master!$B$4:$B$18,0)),"")</f>
        <v/>
      </c>
      <c r="I602" s="57" t="str">
        <f>IFERROR(INDEX([1]Cluster_Master!$D$4:$D$18,MATCH($F602,[1]Cluster_Master!$B$4:$B$18,0)),"")</f>
        <v/>
      </c>
      <c r="J602" s="57" t="str">
        <f>IFERROR(INDEX([1]Cluster_Master!$E$4:$E$18,MATCH($F602,[1]Cluster_Master!$B$4:$B$18,0)),"")</f>
        <v/>
      </c>
      <c r="K602" s="57" t="str">
        <f>IFERROR(INDEX([1]Cluster_Master!$F$4:$F$18,MATCH($F602,[1]Cluster_Master!$B$4:$B$18,0)),"")</f>
        <v/>
      </c>
      <c r="L602" s="57" t="str">
        <f>IFERROR(INDEX([1]Cluster_Master!$G$4:$G$18,MATCH($F602,[1]Cluster_Master!$B$4:$B$18,0)),"")</f>
        <v/>
      </c>
      <c r="M602" s="57" t="str">
        <f>IFERROR(INDEX([1]Cluster_Master!$H$4:$H$18,MATCH($F602,[1]Cluster_Master!$B$4:$B$18,0)),"")</f>
        <v/>
      </c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 t="str">
        <f>IF(COUNTA(T602:AH602)=0,"",SUM(T602:AH602))</f>
        <v/>
      </c>
      <c r="AJ602" s="57" t="str">
        <f>IF(COUNTA(T602:AH602)=0,"",AI602/75)</f>
        <v/>
      </c>
      <c r="AK602" s="57" t="str">
        <f>IF(COUNTA(T602:AH602)=0,"",(SUM(T602*[1]KPI_Weights!$B$4,U602*[1]KPI_Weights!$B$5,V602*[1]KPI_Weights!$B$6,W602*[1]KPI_Weights!$B$7,X602*[1]KPI_Weights!$B$8,Y602*[1]KPI_Weights!$B$9,Z602*[1]KPI_Weights!$B$10,AA602*[1]KPI_Weights!$B$11,AB602*[1]KPI_Weights!$B$12,AC602*[1]KPI_Weights!$B$13,AD602*[1]KPI_Weights!$B$14,AE602*[1]KPI_Weights!$B$15,AF602*[1]KPI_Weights!$B$16,AG602*[1]KPI_Weights!$B$17,AH602*[1]KPI_Weights!$B$18))/5)</f>
        <v/>
      </c>
      <c r="AL602" s="57" t="str">
        <f>IF(COUNTA(T602:AH602)=0,"",IF(OR(T602&lt;=1,W602&lt;=1,X602&lt;=1,Y602&lt;=1,AB602&lt;=1),"YES","NO"))</f>
        <v/>
      </c>
      <c r="AM602" s="57" t="str">
        <f>IF(AJ602="","",IF(AND(AL602="NO",AJ602&gt;=0.75),"YES","NO"))</f>
        <v/>
      </c>
      <c r="AN602" s="57" t="str">
        <f>IF(AJ602="","",IF(AJ602&lt;0.4,"Critical",IF(AJ602&lt;0.6,"Poor",IF(AJ602&lt;0.75,"Needs Improvement",IF(AJ602&lt;0.9,"Good","Excellent")))))</f>
        <v/>
      </c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</row>
    <row r="603" spans="1:54" ht="15" customHeight="1" x14ac:dyDescent="0.25">
      <c r="A603" s="57" t="str">
        <f>IF($B603="","",TEXT($B603,"yyyymmdd")&amp;"-"&amp;SUBSTITUTE($F603," ","")&amp;"-"&amp;TEXT(COUNTIF($F$4:F603,$F603),"00"))</f>
        <v/>
      </c>
      <c r="B603" s="57"/>
      <c r="C603" s="57" t="str">
        <f>IF($B603="","",WEEKNUM($B603,2))</f>
        <v/>
      </c>
      <c r="D603" s="57" t="str">
        <f>IF($B603="","",TEXT($B603,"yyyy-mm"))</f>
        <v/>
      </c>
      <c r="E603" s="57"/>
      <c r="F603" s="57"/>
      <c r="G603" s="57" t="str">
        <f>IF(OR($E603="",$F603=""),"",IFERROR(IF($E603=INDEX([1]Cluster_Master!$A$4:$A$18,MATCH($F603,[1]Cluster_Master!$B$4:$B$18,0)),"OK","CHECK"),"CHECK"))</f>
        <v/>
      </c>
      <c r="H603" s="57" t="str">
        <f>IFERROR(INDEX([1]Cluster_Master!$C$4:$C$18,MATCH($F603,[1]Cluster_Master!$B$4:$B$18,0)),"")</f>
        <v/>
      </c>
      <c r="I603" s="57" t="str">
        <f>IFERROR(INDEX([1]Cluster_Master!$D$4:$D$18,MATCH($F603,[1]Cluster_Master!$B$4:$B$18,0)),"")</f>
        <v/>
      </c>
      <c r="J603" s="57" t="str">
        <f>IFERROR(INDEX([1]Cluster_Master!$E$4:$E$18,MATCH($F603,[1]Cluster_Master!$B$4:$B$18,0)),"")</f>
        <v/>
      </c>
      <c r="K603" s="57" t="str">
        <f>IFERROR(INDEX([1]Cluster_Master!$F$4:$F$18,MATCH($F603,[1]Cluster_Master!$B$4:$B$18,0)),"")</f>
        <v/>
      </c>
      <c r="L603" s="57" t="str">
        <f>IFERROR(INDEX([1]Cluster_Master!$G$4:$G$18,MATCH($F603,[1]Cluster_Master!$B$4:$B$18,0)),"")</f>
        <v/>
      </c>
      <c r="M603" s="57" t="str">
        <f>IFERROR(INDEX([1]Cluster_Master!$H$4:$H$18,MATCH($F603,[1]Cluster_Master!$B$4:$B$18,0)),"")</f>
        <v/>
      </c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 t="str">
        <f>IF(COUNTA(T603:AH603)=0,"",SUM(T603:AH603))</f>
        <v/>
      </c>
      <c r="AJ603" s="57" t="str">
        <f>IF(COUNTA(T603:AH603)=0,"",AI603/75)</f>
        <v/>
      </c>
      <c r="AK603" s="57" t="str">
        <f>IF(COUNTA(T603:AH603)=0,"",(SUM(T603*[1]KPI_Weights!$B$4,U603*[1]KPI_Weights!$B$5,V603*[1]KPI_Weights!$B$6,W603*[1]KPI_Weights!$B$7,X603*[1]KPI_Weights!$B$8,Y603*[1]KPI_Weights!$B$9,Z603*[1]KPI_Weights!$B$10,AA603*[1]KPI_Weights!$B$11,AB603*[1]KPI_Weights!$B$12,AC603*[1]KPI_Weights!$B$13,AD603*[1]KPI_Weights!$B$14,AE603*[1]KPI_Weights!$B$15,AF603*[1]KPI_Weights!$B$16,AG603*[1]KPI_Weights!$B$17,AH603*[1]KPI_Weights!$B$18))/5)</f>
        <v/>
      </c>
      <c r="AL603" s="57" t="str">
        <f>IF(COUNTA(T603:AH603)=0,"",IF(OR(T603&lt;=1,W603&lt;=1,X603&lt;=1,Y603&lt;=1,AB603&lt;=1),"YES","NO"))</f>
        <v/>
      </c>
      <c r="AM603" s="57" t="str">
        <f>IF(AJ603="","",IF(AND(AL603="NO",AJ603&gt;=0.75),"YES","NO"))</f>
        <v/>
      </c>
      <c r="AN603" s="57" t="str">
        <f>IF(AJ603="","",IF(AJ603&lt;0.4,"Critical",IF(AJ603&lt;0.6,"Poor",IF(AJ603&lt;0.75,"Needs Improvement",IF(AJ603&lt;0.9,"Good","Excellent")))))</f>
        <v/>
      </c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</row>
    <row r="604" spans="1:54" ht="15" customHeight="1" x14ac:dyDescent="0.25">
      <c r="A604" s="57" t="str">
        <f>IF($B604="","",TEXT($B604,"yyyymmdd")&amp;"-"&amp;SUBSTITUTE($F604," ","")&amp;"-"&amp;TEXT(COUNTIF($F$4:F604,$F604),"00"))</f>
        <v/>
      </c>
      <c r="B604" s="57"/>
      <c r="C604" s="57" t="str">
        <f>IF($B604="","",WEEKNUM($B604,2))</f>
        <v/>
      </c>
      <c r="D604" s="57" t="str">
        <f>IF($B604="","",TEXT($B604,"yyyy-mm"))</f>
        <v/>
      </c>
      <c r="E604" s="57"/>
      <c r="F604" s="57"/>
      <c r="G604" s="57" t="str">
        <f>IF(OR($E604="",$F604=""),"",IFERROR(IF($E604=INDEX([1]Cluster_Master!$A$4:$A$18,MATCH($F604,[1]Cluster_Master!$B$4:$B$18,0)),"OK","CHECK"),"CHECK"))</f>
        <v/>
      </c>
      <c r="H604" s="57" t="str">
        <f>IFERROR(INDEX([1]Cluster_Master!$C$4:$C$18,MATCH($F604,[1]Cluster_Master!$B$4:$B$18,0)),"")</f>
        <v/>
      </c>
      <c r="I604" s="57" t="str">
        <f>IFERROR(INDEX([1]Cluster_Master!$D$4:$D$18,MATCH($F604,[1]Cluster_Master!$B$4:$B$18,0)),"")</f>
        <v/>
      </c>
      <c r="J604" s="57" t="str">
        <f>IFERROR(INDEX([1]Cluster_Master!$E$4:$E$18,MATCH($F604,[1]Cluster_Master!$B$4:$B$18,0)),"")</f>
        <v/>
      </c>
      <c r="K604" s="57" t="str">
        <f>IFERROR(INDEX([1]Cluster_Master!$F$4:$F$18,MATCH($F604,[1]Cluster_Master!$B$4:$B$18,0)),"")</f>
        <v/>
      </c>
      <c r="L604" s="57" t="str">
        <f>IFERROR(INDEX([1]Cluster_Master!$G$4:$G$18,MATCH($F604,[1]Cluster_Master!$B$4:$B$18,0)),"")</f>
        <v/>
      </c>
      <c r="M604" s="57" t="str">
        <f>IFERROR(INDEX([1]Cluster_Master!$H$4:$H$18,MATCH($F604,[1]Cluster_Master!$B$4:$B$18,0)),"")</f>
        <v/>
      </c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 t="str">
        <f>IF(COUNTA(T604:AH604)=0,"",SUM(T604:AH604))</f>
        <v/>
      </c>
      <c r="AJ604" s="57" t="str">
        <f>IF(COUNTA(T604:AH604)=0,"",AI604/75)</f>
        <v/>
      </c>
      <c r="AK604" s="57" t="str">
        <f>IF(COUNTA(T604:AH604)=0,"",(SUM(T604*[1]KPI_Weights!$B$4,U604*[1]KPI_Weights!$B$5,V604*[1]KPI_Weights!$B$6,W604*[1]KPI_Weights!$B$7,X604*[1]KPI_Weights!$B$8,Y604*[1]KPI_Weights!$B$9,Z604*[1]KPI_Weights!$B$10,AA604*[1]KPI_Weights!$B$11,AB604*[1]KPI_Weights!$B$12,AC604*[1]KPI_Weights!$B$13,AD604*[1]KPI_Weights!$B$14,AE604*[1]KPI_Weights!$B$15,AF604*[1]KPI_Weights!$B$16,AG604*[1]KPI_Weights!$B$17,AH604*[1]KPI_Weights!$B$18))/5)</f>
        <v/>
      </c>
      <c r="AL604" s="57" t="str">
        <f>IF(COUNTA(T604:AH604)=0,"",IF(OR(T604&lt;=1,W604&lt;=1,X604&lt;=1,Y604&lt;=1,AB604&lt;=1),"YES","NO"))</f>
        <v/>
      </c>
      <c r="AM604" s="57" t="str">
        <f>IF(AJ604="","",IF(AND(AL604="NO",AJ604&gt;=0.75),"YES","NO"))</f>
        <v/>
      </c>
      <c r="AN604" s="57" t="str">
        <f>IF(AJ604="","",IF(AJ604&lt;0.4,"Critical",IF(AJ604&lt;0.6,"Poor",IF(AJ604&lt;0.75,"Needs Improvement",IF(AJ604&lt;0.9,"Good","Excellent")))))</f>
        <v/>
      </c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</row>
    <row r="605" spans="1:54" ht="15" customHeight="1" x14ac:dyDescent="0.25">
      <c r="A605" s="57" t="str">
        <f>IF($B605="","",TEXT($B605,"yyyymmdd")&amp;"-"&amp;SUBSTITUTE($F605," ","")&amp;"-"&amp;TEXT(COUNTIF($F$4:F605,$F605),"00"))</f>
        <v/>
      </c>
      <c r="B605" s="57"/>
      <c r="C605" s="57" t="str">
        <f>IF($B605="","",WEEKNUM($B605,2))</f>
        <v/>
      </c>
      <c r="D605" s="57" t="str">
        <f>IF($B605="","",TEXT($B605,"yyyy-mm"))</f>
        <v/>
      </c>
      <c r="E605" s="57"/>
      <c r="F605" s="57"/>
      <c r="G605" s="57" t="str">
        <f>IF(OR($E605="",$F605=""),"",IFERROR(IF($E605=INDEX([1]Cluster_Master!$A$4:$A$18,MATCH($F605,[1]Cluster_Master!$B$4:$B$18,0)),"OK","CHECK"),"CHECK"))</f>
        <v/>
      </c>
      <c r="H605" s="57" t="str">
        <f>IFERROR(INDEX([1]Cluster_Master!$C$4:$C$18,MATCH($F605,[1]Cluster_Master!$B$4:$B$18,0)),"")</f>
        <v/>
      </c>
      <c r="I605" s="57" t="str">
        <f>IFERROR(INDEX([1]Cluster_Master!$D$4:$D$18,MATCH($F605,[1]Cluster_Master!$B$4:$B$18,0)),"")</f>
        <v/>
      </c>
      <c r="J605" s="57" t="str">
        <f>IFERROR(INDEX([1]Cluster_Master!$E$4:$E$18,MATCH($F605,[1]Cluster_Master!$B$4:$B$18,0)),"")</f>
        <v/>
      </c>
      <c r="K605" s="57" t="str">
        <f>IFERROR(INDEX([1]Cluster_Master!$F$4:$F$18,MATCH($F605,[1]Cluster_Master!$B$4:$B$18,0)),"")</f>
        <v/>
      </c>
      <c r="L605" s="57" t="str">
        <f>IFERROR(INDEX([1]Cluster_Master!$G$4:$G$18,MATCH($F605,[1]Cluster_Master!$B$4:$B$18,0)),"")</f>
        <v/>
      </c>
      <c r="M605" s="57" t="str">
        <f>IFERROR(INDEX([1]Cluster_Master!$H$4:$H$18,MATCH($F605,[1]Cluster_Master!$B$4:$B$18,0)),"")</f>
        <v/>
      </c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 t="str">
        <f>IF(COUNTA(T605:AH605)=0,"",SUM(T605:AH605))</f>
        <v/>
      </c>
      <c r="AJ605" s="57" t="str">
        <f>IF(COUNTA(T605:AH605)=0,"",AI605/75)</f>
        <v/>
      </c>
      <c r="AK605" s="57" t="str">
        <f>IF(COUNTA(T605:AH605)=0,"",(SUM(T605*[1]KPI_Weights!$B$4,U605*[1]KPI_Weights!$B$5,V605*[1]KPI_Weights!$B$6,W605*[1]KPI_Weights!$B$7,X605*[1]KPI_Weights!$B$8,Y605*[1]KPI_Weights!$B$9,Z605*[1]KPI_Weights!$B$10,AA605*[1]KPI_Weights!$B$11,AB605*[1]KPI_Weights!$B$12,AC605*[1]KPI_Weights!$B$13,AD605*[1]KPI_Weights!$B$14,AE605*[1]KPI_Weights!$B$15,AF605*[1]KPI_Weights!$B$16,AG605*[1]KPI_Weights!$B$17,AH605*[1]KPI_Weights!$B$18))/5)</f>
        <v/>
      </c>
      <c r="AL605" s="57" t="str">
        <f>IF(COUNTA(T605:AH605)=0,"",IF(OR(T605&lt;=1,W605&lt;=1,X605&lt;=1,Y605&lt;=1,AB605&lt;=1),"YES","NO"))</f>
        <v/>
      </c>
      <c r="AM605" s="57" t="str">
        <f>IF(AJ605="","",IF(AND(AL605="NO",AJ605&gt;=0.75),"YES","NO"))</f>
        <v/>
      </c>
      <c r="AN605" s="57" t="str">
        <f>IF(AJ605="","",IF(AJ605&lt;0.4,"Critical",IF(AJ605&lt;0.6,"Poor",IF(AJ605&lt;0.75,"Needs Improvement",IF(AJ605&lt;0.9,"Good","Excellent")))))</f>
        <v/>
      </c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</row>
    <row r="606" spans="1:54" ht="15" customHeight="1" x14ac:dyDescent="0.25">
      <c r="A606" s="57" t="str">
        <f>IF($B606="","",TEXT($B606,"yyyymmdd")&amp;"-"&amp;SUBSTITUTE($F606," ","")&amp;"-"&amp;TEXT(COUNTIF($F$4:F606,$F606),"00"))</f>
        <v/>
      </c>
      <c r="B606" s="57"/>
      <c r="C606" s="57" t="str">
        <f>IF($B606="","",WEEKNUM($B606,2))</f>
        <v/>
      </c>
      <c r="D606" s="57" t="str">
        <f>IF($B606="","",TEXT($B606,"yyyy-mm"))</f>
        <v/>
      </c>
      <c r="E606" s="57"/>
      <c r="F606" s="57"/>
      <c r="G606" s="57" t="str">
        <f>IF(OR($E606="",$F606=""),"",IFERROR(IF($E606=INDEX([1]Cluster_Master!$A$4:$A$18,MATCH($F606,[1]Cluster_Master!$B$4:$B$18,0)),"OK","CHECK"),"CHECK"))</f>
        <v/>
      </c>
      <c r="H606" s="57" t="str">
        <f>IFERROR(INDEX([1]Cluster_Master!$C$4:$C$18,MATCH($F606,[1]Cluster_Master!$B$4:$B$18,0)),"")</f>
        <v/>
      </c>
      <c r="I606" s="57" t="str">
        <f>IFERROR(INDEX([1]Cluster_Master!$D$4:$D$18,MATCH($F606,[1]Cluster_Master!$B$4:$B$18,0)),"")</f>
        <v/>
      </c>
      <c r="J606" s="57" t="str">
        <f>IFERROR(INDEX([1]Cluster_Master!$E$4:$E$18,MATCH($F606,[1]Cluster_Master!$B$4:$B$18,0)),"")</f>
        <v/>
      </c>
      <c r="K606" s="57" t="str">
        <f>IFERROR(INDEX([1]Cluster_Master!$F$4:$F$18,MATCH($F606,[1]Cluster_Master!$B$4:$B$18,0)),"")</f>
        <v/>
      </c>
      <c r="L606" s="57" t="str">
        <f>IFERROR(INDEX([1]Cluster_Master!$G$4:$G$18,MATCH($F606,[1]Cluster_Master!$B$4:$B$18,0)),"")</f>
        <v/>
      </c>
      <c r="M606" s="57" t="str">
        <f>IFERROR(INDEX([1]Cluster_Master!$H$4:$H$18,MATCH($F606,[1]Cluster_Master!$B$4:$B$18,0)),"")</f>
        <v/>
      </c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 t="str">
        <f>IF(COUNTA(T606:AH606)=0,"",SUM(T606:AH606))</f>
        <v/>
      </c>
      <c r="AJ606" s="57" t="str">
        <f>IF(COUNTA(T606:AH606)=0,"",AI606/75)</f>
        <v/>
      </c>
      <c r="AK606" s="57" t="str">
        <f>IF(COUNTA(T606:AH606)=0,"",(SUM(T606*[1]KPI_Weights!$B$4,U606*[1]KPI_Weights!$B$5,V606*[1]KPI_Weights!$B$6,W606*[1]KPI_Weights!$B$7,X606*[1]KPI_Weights!$B$8,Y606*[1]KPI_Weights!$B$9,Z606*[1]KPI_Weights!$B$10,AA606*[1]KPI_Weights!$B$11,AB606*[1]KPI_Weights!$B$12,AC606*[1]KPI_Weights!$B$13,AD606*[1]KPI_Weights!$B$14,AE606*[1]KPI_Weights!$B$15,AF606*[1]KPI_Weights!$B$16,AG606*[1]KPI_Weights!$B$17,AH606*[1]KPI_Weights!$B$18))/5)</f>
        <v/>
      </c>
      <c r="AL606" s="57" t="str">
        <f>IF(COUNTA(T606:AH606)=0,"",IF(OR(T606&lt;=1,W606&lt;=1,X606&lt;=1,Y606&lt;=1,AB606&lt;=1),"YES","NO"))</f>
        <v/>
      </c>
      <c r="AM606" s="57" t="str">
        <f>IF(AJ606="","",IF(AND(AL606="NO",AJ606&gt;=0.75),"YES","NO"))</f>
        <v/>
      </c>
      <c r="AN606" s="57" t="str">
        <f>IF(AJ606="","",IF(AJ606&lt;0.4,"Critical",IF(AJ606&lt;0.6,"Poor",IF(AJ606&lt;0.75,"Needs Improvement",IF(AJ606&lt;0.9,"Good","Excellent")))))</f>
        <v/>
      </c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</row>
    <row r="607" spans="1:54" ht="15" customHeight="1" x14ac:dyDescent="0.25">
      <c r="A607" s="57" t="str">
        <f>IF($B607="","",TEXT($B607,"yyyymmdd")&amp;"-"&amp;SUBSTITUTE($F607," ","")&amp;"-"&amp;TEXT(COUNTIF($F$4:F607,$F607),"00"))</f>
        <v/>
      </c>
      <c r="B607" s="57"/>
      <c r="C607" s="57" t="str">
        <f>IF($B607="","",WEEKNUM($B607,2))</f>
        <v/>
      </c>
      <c r="D607" s="57" t="str">
        <f>IF($B607="","",TEXT($B607,"yyyy-mm"))</f>
        <v/>
      </c>
      <c r="E607" s="57"/>
      <c r="F607" s="57"/>
      <c r="G607" s="57" t="str">
        <f>IF(OR($E607="",$F607=""),"",IFERROR(IF($E607=INDEX([1]Cluster_Master!$A$4:$A$18,MATCH($F607,[1]Cluster_Master!$B$4:$B$18,0)),"OK","CHECK"),"CHECK"))</f>
        <v/>
      </c>
      <c r="H607" s="57" t="str">
        <f>IFERROR(INDEX([1]Cluster_Master!$C$4:$C$18,MATCH($F607,[1]Cluster_Master!$B$4:$B$18,0)),"")</f>
        <v/>
      </c>
      <c r="I607" s="57" t="str">
        <f>IFERROR(INDEX([1]Cluster_Master!$D$4:$D$18,MATCH($F607,[1]Cluster_Master!$B$4:$B$18,0)),"")</f>
        <v/>
      </c>
      <c r="J607" s="57" t="str">
        <f>IFERROR(INDEX([1]Cluster_Master!$E$4:$E$18,MATCH($F607,[1]Cluster_Master!$B$4:$B$18,0)),"")</f>
        <v/>
      </c>
      <c r="K607" s="57" t="str">
        <f>IFERROR(INDEX([1]Cluster_Master!$F$4:$F$18,MATCH($F607,[1]Cluster_Master!$B$4:$B$18,0)),"")</f>
        <v/>
      </c>
      <c r="L607" s="57" t="str">
        <f>IFERROR(INDEX([1]Cluster_Master!$G$4:$G$18,MATCH($F607,[1]Cluster_Master!$B$4:$B$18,0)),"")</f>
        <v/>
      </c>
      <c r="M607" s="57" t="str">
        <f>IFERROR(INDEX([1]Cluster_Master!$H$4:$H$18,MATCH($F607,[1]Cluster_Master!$B$4:$B$18,0)),"")</f>
        <v/>
      </c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 t="str">
        <f>IF(COUNTA(T607:AH607)=0,"",SUM(T607:AH607))</f>
        <v/>
      </c>
      <c r="AJ607" s="57" t="str">
        <f>IF(COUNTA(T607:AH607)=0,"",AI607/75)</f>
        <v/>
      </c>
      <c r="AK607" s="57" t="str">
        <f>IF(COUNTA(T607:AH607)=0,"",(SUM(T607*[1]KPI_Weights!$B$4,U607*[1]KPI_Weights!$B$5,V607*[1]KPI_Weights!$B$6,W607*[1]KPI_Weights!$B$7,X607*[1]KPI_Weights!$B$8,Y607*[1]KPI_Weights!$B$9,Z607*[1]KPI_Weights!$B$10,AA607*[1]KPI_Weights!$B$11,AB607*[1]KPI_Weights!$B$12,AC607*[1]KPI_Weights!$B$13,AD607*[1]KPI_Weights!$B$14,AE607*[1]KPI_Weights!$B$15,AF607*[1]KPI_Weights!$B$16,AG607*[1]KPI_Weights!$B$17,AH607*[1]KPI_Weights!$B$18))/5)</f>
        <v/>
      </c>
      <c r="AL607" s="57" t="str">
        <f>IF(COUNTA(T607:AH607)=0,"",IF(OR(T607&lt;=1,W607&lt;=1,X607&lt;=1,Y607&lt;=1,AB607&lt;=1),"YES","NO"))</f>
        <v/>
      </c>
      <c r="AM607" s="57" t="str">
        <f>IF(AJ607="","",IF(AND(AL607="NO",AJ607&gt;=0.75),"YES","NO"))</f>
        <v/>
      </c>
      <c r="AN607" s="57" t="str">
        <f>IF(AJ607="","",IF(AJ607&lt;0.4,"Critical",IF(AJ607&lt;0.6,"Poor",IF(AJ607&lt;0.75,"Needs Improvement",IF(AJ607&lt;0.9,"Good","Excellent")))))</f>
        <v/>
      </c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</row>
    <row r="608" spans="1:54" ht="15" customHeight="1" x14ac:dyDescent="0.25">
      <c r="A608" s="57" t="str">
        <f>IF($B608="","",TEXT($B608,"yyyymmdd")&amp;"-"&amp;SUBSTITUTE($F608," ","")&amp;"-"&amp;TEXT(COUNTIF($F$4:F608,$F608),"00"))</f>
        <v/>
      </c>
      <c r="B608" s="57"/>
      <c r="C608" s="57" t="str">
        <f>IF($B608="","",WEEKNUM($B608,2))</f>
        <v/>
      </c>
      <c r="D608" s="57" t="str">
        <f>IF($B608="","",TEXT($B608,"yyyy-mm"))</f>
        <v/>
      </c>
      <c r="E608" s="57"/>
      <c r="F608" s="57"/>
      <c r="G608" s="57" t="str">
        <f>IF(OR($E608="",$F608=""),"",IFERROR(IF($E608=INDEX([1]Cluster_Master!$A$4:$A$18,MATCH($F608,[1]Cluster_Master!$B$4:$B$18,0)),"OK","CHECK"),"CHECK"))</f>
        <v/>
      </c>
      <c r="H608" s="57" t="str">
        <f>IFERROR(INDEX([1]Cluster_Master!$C$4:$C$18,MATCH($F608,[1]Cluster_Master!$B$4:$B$18,0)),"")</f>
        <v/>
      </c>
      <c r="I608" s="57" t="str">
        <f>IFERROR(INDEX([1]Cluster_Master!$D$4:$D$18,MATCH($F608,[1]Cluster_Master!$B$4:$B$18,0)),"")</f>
        <v/>
      </c>
      <c r="J608" s="57" t="str">
        <f>IFERROR(INDEX([1]Cluster_Master!$E$4:$E$18,MATCH($F608,[1]Cluster_Master!$B$4:$B$18,0)),"")</f>
        <v/>
      </c>
      <c r="K608" s="57" t="str">
        <f>IFERROR(INDEX([1]Cluster_Master!$F$4:$F$18,MATCH($F608,[1]Cluster_Master!$B$4:$B$18,0)),"")</f>
        <v/>
      </c>
      <c r="L608" s="57" t="str">
        <f>IFERROR(INDEX([1]Cluster_Master!$G$4:$G$18,MATCH($F608,[1]Cluster_Master!$B$4:$B$18,0)),"")</f>
        <v/>
      </c>
      <c r="M608" s="57" t="str">
        <f>IFERROR(INDEX([1]Cluster_Master!$H$4:$H$18,MATCH($F608,[1]Cluster_Master!$B$4:$B$18,0)),"")</f>
        <v/>
      </c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 t="str">
        <f>IF(COUNTA(T608:AH608)=0,"",SUM(T608:AH608))</f>
        <v/>
      </c>
      <c r="AJ608" s="57" t="str">
        <f>IF(COUNTA(T608:AH608)=0,"",AI608/75)</f>
        <v/>
      </c>
      <c r="AK608" s="57" t="str">
        <f>IF(COUNTA(T608:AH608)=0,"",(SUM(T608*[1]KPI_Weights!$B$4,U608*[1]KPI_Weights!$B$5,V608*[1]KPI_Weights!$B$6,W608*[1]KPI_Weights!$B$7,X608*[1]KPI_Weights!$B$8,Y608*[1]KPI_Weights!$B$9,Z608*[1]KPI_Weights!$B$10,AA608*[1]KPI_Weights!$B$11,AB608*[1]KPI_Weights!$B$12,AC608*[1]KPI_Weights!$B$13,AD608*[1]KPI_Weights!$B$14,AE608*[1]KPI_Weights!$B$15,AF608*[1]KPI_Weights!$B$16,AG608*[1]KPI_Weights!$B$17,AH608*[1]KPI_Weights!$B$18))/5)</f>
        <v/>
      </c>
      <c r="AL608" s="57" t="str">
        <f>IF(COUNTA(T608:AH608)=0,"",IF(OR(T608&lt;=1,W608&lt;=1,X608&lt;=1,Y608&lt;=1,AB608&lt;=1),"YES","NO"))</f>
        <v/>
      </c>
      <c r="AM608" s="57" t="str">
        <f>IF(AJ608="","",IF(AND(AL608="NO",AJ608&gt;=0.75),"YES","NO"))</f>
        <v/>
      </c>
      <c r="AN608" s="57" t="str">
        <f>IF(AJ608="","",IF(AJ608&lt;0.4,"Critical",IF(AJ608&lt;0.6,"Poor",IF(AJ608&lt;0.75,"Needs Improvement",IF(AJ608&lt;0.9,"Good","Excellent")))))</f>
        <v/>
      </c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</row>
    <row r="609" spans="1:54" ht="15" customHeight="1" x14ac:dyDescent="0.25">
      <c r="A609" s="57" t="str">
        <f>IF($B609="","",TEXT($B609,"yyyymmdd")&amp;"-"&amp;SUBSTITUTE($F609," ","")&amp;"-"&amp;TEXT(COUNTIF($F$4:F609,$F609),"00"))</f>
        <v/>
      </c>
      <c r="B609" s="57"/>
      <c r="C609" s="57" t="str">
        <f>IF($B609="","",WEEKNUM($B609,2))</f>
        <v/>
      </c>
      <c r="D609" s="57" t="str">
        <f>IF($B609="","",TEXT($B609,"yyyy-mm"))</f>
        <v/>
      </c>
      <c r="E609" s="57"/>
      <c r="F609" s="57"/>
      <c r="G609" s="57" t="str">
        <f>IF(OR($E609="",$F609=""),"",IFERROR(IF($E609=INDEX([1]Cluster_Master!$A$4:$A$18,MATCH($F609,[1]Cluster_Master!$B$4:$B$18,0)),"OK","CHECK"),"CHECK"))</f>
        <v/>
      </c>
      <c r="H609" s="57" t="str">
        <f>IFERROR(INDEX([1]Cluster_Master!$C$4:$C$18,MATCH($F609,[1]Cluster_Master!$B$4:$B$18,0)),"")</f>
        <v/>
      </c>
      <c r="I609" s="57" t="str">
        <f>IFERROR(INDEX([1]Cluster_Master!$D$4:$D$18,MATCH($F609,[1]Cluster_Master!$B$4:$B$18,0)),"")</f>
        <v/>
      </c>
      <c r="J609" s="57" t="str">
        <f>IFERROR(INDEX([1]Cluster_Master!$E$4:$E$18,MATCH($F609,[1]Cluster_Master!$B$4:$B$18,0)),"")</f>
        <v/>
      </c>
      <c r="K609" s="57" t="str">
        <f>IFERROR(INDEX([1]Cluster_Master!$F$4:$F$18,MATCH($F609,[1]Cluster_Master!$B$4:$B$18,0)),"")</f>
        <v/>
      </c>
      <c r="L609" s="57" t="str">
        <f>IFERROR(INDEX([1]Cluster_Master!$G$4:$G$18,MATCH($F609,[1]Cluster_Master!$B$4:$B$18,0)),"")</f>
        <v/>
      </c>
      <c r="M609" s="57" t="str">
        <f>IFERROR(INDEX([1]Cluster_Master!$H$4:$H$18,MATCH($F609,[1]Cluster_Master!$B$4:$B$18,0)),"")</f>
        <v/>
      </c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 t="str">
        <f>IF(COUNTA(T609:AH609)=0,"",SUM(T609:AH609))</f>
        <v/>
      </c>
      <c r="AJ609" s="57" t="str">
        <f>IF(COUNTA(T609:AH609)=0,"",AI609/75)</f>
        <v/>
      </c>
      <c r="AK609" s="57" t="str">
        <f>IF(COUNTA(T609:AH609)=0,"",(SUM(T609*[1]KPI_Weights!$B$4,U609*[1]KPI_Weights!$B$5,V609*[1]KPI_Weights!$B$6,W609*[1]KPI_Weights!$B$7,X609*[1]KPI_Weights!$B$8,Y609*[1]KPI_Weights!$B$9,Z609*[1]KPI_Weights!$B$10,AA609*[1]KPI_Weights!$B$11,AB609*[1]KPI_Weights!$B$12,AC609*[1]KPI_Weights!$B$13,AD609*[1]KPI_Weights!$B$14,AE609*[1]KPI_Weights!$B$15,AF609*[1]KPI_Weights!$B$16,AG609*[1]KPI_Weights!$B$17,AH609*[1]KPI_Weights!$B$18))/5)</f>
        <v/>
      </c>
      <c r="AL609" s="57" t="str">
        <f>IF(COUNTA(T609:AH609)=0,"",IF(OR(T609&lt;=1,W609&lt;=1,X609&lt;=1,Y609&lt;=1,AB609&lt;=1),"YES","NO"))</f>
        <v/>
      </c>
      <c r="AM609" s="57" t="str">
        <f>IF(AJ609="","",IF(AND(AL609="NO",AJ609&gt;=0.75),"YES","NO"))</f>
        <v/>
      </c>
      <c r="AN609" s="57" t="str">
        <f>IF(AJ609="","",IF(AJ609&lt;0.4,"Critical",IF(AJ609&lt;0.6,"Poor",IF(AJ609&lt;0.75,"Needs Improvement",IF(AJ609&lt;0.9,"Good","Excellent")))))</f>
        <v/>
      </c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</row>
    <row r="610" spans="1:54" ht="15" customHeight="1" x14ac:dyDescent="0.25">
      <c r="A610" s="57" t="str">
        <f>IF($B610="","",TEXT($B610,"yyyymmdd")&amp;"-"&amp;SUBSTITUTE($F610," ","")&amp;"-"&amp;TEXT(COUNTIF($F$4:F610,$F610),"00"))</f>
        <v/>
      </c>
      <c r="B610" s="57"/>
      <c r="C610" s="57" t="str">
        <f>IF($B610="","",WEEKNUM($B610,2))</f>
        <v/>
      </c>
      <c r="D610" s="57" t="str">
        <f>IF($B610="","",TEXT($B610,"yyyy-mm"))</f>
        <v/>
      </c>
      <c r="E610" s="57"/>
      <c r="F610" s="57"/>
      <c r="G610" s="57" t="str">
        <f>IF(OR($E610="",$F610=""),"",IFERROR(IF($E610=INDEX([1]Cluster_Master!$A$4:$A$18,MATCH($F610,[1]Cluster_Master!$B$4:$B$18,0)),"OK","CHECK"),"CHECK"))</f>
        <v/>
      </c>
      <c r="H610" s="57" t="str">
        <f>IFERROR(INDEX([1]Cluster_Master!$C$4:$C$18,MATCH($F610,[1]Cluster_Master!$B$4:$B$18,0)),"")</f>
        <v/>
      </c>
      <c r="I610" s="57" t="str">
        <f>IFERROR(INDEX([1]Cluster_Master!$D$4:$D$18,MATCH($F610,[1]Cluster_Master!$B$4:$B$18,0)),"")</f>
        <v/>
      </c>
      <c r="J610" s="57" t="str">
        <f>IFERROR(INDEX([1]Cluster_Master!$E$4:$E$18,MATCH($F610,[1]Cluster_Master!$B$4:$B$18,0)),"")</f>
        <v/>
      </c>
      <c r="K610" s="57" t="str">
        <f>IFERROR(INDEX([1]Cluster_Master!$F$4:$F$18,MATCH($F610,[1]Cluster_Master!$B$4:$B$18,0)),"")</f>
        <v/>
      </c>
      <c r="L610" s="57" t="str">
        <f>IFERROR(INDEX([1]Cluster_Master!$G$4:$G$18,MATCH($F610,[1]Cluster_Master!$B$4:$B$18,0)),"")</f>
        <v/>
      </c>
      <c r="M610" s="57" t="str">
        <f>IFERROR(INDEX([1]Cluster_Master!$H$4:$H$18,MATCH($F610,[1]Cluster_Master!$B$4:$B$18,0)),"")</f>
        <v/>
      </c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 t="str">
        <f>IF(COUNTA(T610:AH610)=0,"",SUM(T610:AH610))</f>
        <v/>
      </c>
      <c r="AJ610" s="57" t="str">
        <f>IF(COUNTA(T610:AH610)=0,"",AI610/75)</f>
        <v/>
      </c>
      <c r="AK610" s="57" t="str">
        <f>IF(COUNTA(T610:AH610)=0,"",(SUM(T610*[1]KPI_Weights!$B$4,U610*[1]KPI_Weights!$B$5,V610*[1]KPI_Weights!$B$6,W610*[1]KPI_Weights!$B$7,X610*[1]KPI_Weights!$B$8,Y610*[1]KPI_Weights!$B$9,Z610*[1]KPI_Weights!$B$10,AA610*[1]KPI_Weights!$B$11,AB610*[1]KPI_Weights!$B$12,AC610*[1]KPI_Weights!$B$13,AD610*[1]KPI_Weights!$B$14,AE610*[1]KPI_Weights!$B$15,AF610*[1]KPI_Weights!$B$16,AG610*[1]KPI_Weights!$B$17,AH610*[1]KPI_Weights!$B$18))/5)</f>
        <v/>
      </c>
      <c r="AL610" s="57" t="str">
        <f>IF(COUNTA(T610:AH610)=0,"",IF(OR(T610&lt;=1,W610&lt;=1,X610&lt;=1,Y610&lt;=1,AB610&lt;=1),"YES","NO"))</f>
        <v/>
      </c>
      <c r="AM610" s="57" t="str">
        <f>IF(AJ610="","",IF(AND(AL610="NO",AJ610&gt;=0.75),"YES","NO"))</f>
        <v/>
      </c>
      <c r="AN610" s="57" t="str">
        <f>IF(AJ610="","",IF(AJ610&lt;0.4,"Critical",IF(AJ610&lt;0.6,"Poor",IF(AJ610&lt;0.75,"Needs Improvement",IF(AJ610&lt;0.9,"Good","Excellent")))))</f>
        <v/>
      </c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</row>
    <row r="611" spans="1:54" ht="15" customHeight="1" x14ac:dyDescent="0.25">
      <c r="A611" s="57" t="str">
        <f>IF($B611="","",TEXT($B611,"yyyymmdd")&amp;"-"&amp;SUBSTITUTE($F611," ","")&amp;"-"&amp;TEXT(COUNTIF($F$4:F611,$F611),"00"))</f>
        <v/>
      </c>
      <c r="B611" s="57"/>
      <c r="C611" s="57" t="str">
        <f>IF($B611="","",WEEKNUM($B611,2))</f>
        <v/>
      </c>
      <c r="D611" s="57" t="str">
        <f>IF($B611="","",TEXT($B611,"yyyy-mm"))</f>
        <v/>
      </c>
      <c r="E611" s="57"/>
      <c r="F611" s="57"/>
      <c r="G611" s="57" t="str">
        <f>IF(OR($E611="",$F611=""),"",IFERROR(IF($E611=INDEX([1]Cluster_Master!$A$4:$A$18,MATCH($F611,[1]Cluster_Master!$B$4:$B$18,0)),"OK","CHECK"),"CHECK"))</f>
        <v/>
      </c>
      <c r="H611" s="57" t="str">
        <f>IFERROR(INDEX([1]Cluster_Master!$C$4:$C$18,MATCH($F611,[1]Cluster_Master!$B$4:$B$18,0)),"")</f>
        <v/>
      </c>
      <c r="I611" s="57" t="str">
        <f>IFERROR(INDEX([1]Cluster_Master!$D$4:$D$18,MATCH($F611,[1]Cluster_Master!$B$4:$B$18,0)),"")</f>
        <v/>
      </c>
      <c r="J611" s="57" t="str">
        <f>IFERROR(INDEX([1]Cluster_Master!$E$4:$E$18,MATCH($F611,[1]Cluster_Master!$B$4:$B$18,0)),"")</f>
        <v/>
      </c>
      <c r="K611" s="57" t="str">
        <f>IFERROR(INDEX([1]Cluster_Master!$F$4:$F$18,MATCH($F611,[1]Cluster_Master!$B$4:$B$18,0)),"")</f>
        <v/>
      </c>
      <c r="L611" s="57" t="str">
        <f>IFERROR(INDEX([1]Cluster_Master!$G$4:$G$18,MATCH($F611,[1]Cluster_Master!$B$4:$B$18,0)),"")</f>
        <v/>
      </c>
      <c r="M611" s="57" t="str">
        <f>IFERROR(INDEX([1]Cluster_Master!$H$4:$H$18,MATCH($F611,[1]Cluster_Master!$B$4:$B$18,0)),"")</f>
        <v/>
      </c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 t="str">
        <f>IF(COUNTA(T611:AH611)=0,"",SUM(T611:AH611))</f>
        <v/>
      </c>
      <c r="AJ611" s="57" t="str">
        <f>IF(COUNTA(T611:AH611)=0,"",AI611/75)</f>
        <v/>
      </c>
      <c r="AK611" s="57" t="str">
        <f>IF(COUNTA(T611:AH611)=0,"",(SUM(T611*[1]KPI_Weights!$B$4,U611*[1]KPI_Weights!$B$5,V611*[1]KPI_Weights!$B$6,W611*[1]KPI_Weights!$B$7,X611*[1]KPI_Weights!$B$8,Y611*[1]KPI_Weights!$B$9,Z611*[1]KPI_Weights!$B$10,AA611*[1]KPI_Weights!$B$11,AB611*[1]KPI_Weights!$B$12,AC611*[1]KPI_Weights!$B$13,AD611*[1]KPI_Weights!$B$14,AE611*[1]KPI_Weights!$B$15,AF611*[1]KPI_Weights!$B$16,AG611*[1]KPI_Weights!$B$17,AH611*[1]KPI_Weights!$B$18))/5)</f>
        <v/>
      </c>
      <c r="AL611" s="57" t="str">
        <f>IF(COUNTA(T611:AH611)=0,"",IF(OR(T611&lt;=1,W611&lt;=1,X611&lt;=1,Y611&lt;=1,AB611&lt;=1),"YES","NO"))</f>
        <v/>
      </c>
      <c r="AM611" s="57" t="str">
        <f>IF(AJ611="","",IF(AND(AL611="NO",AJ611&gt;=0.75),"YES","NO"))</f>
        <v/>
      </c>
      <c r="AN611" s="57" t="str">
        <f>IF(AJ611="","",IF(AJ611&lt;0.4,"Critical",IF(AJ611&lt;0.6,"Poor",IF(AJ611&lt;0.75,"Needs Improvement",IF(AJ611&lt;0.9,"Good","Excellent")))))</f>
        <v/>
      </c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</row>
    <row r="612" spans="1:54" ht="15" customHeight="1" x14ac:dyDescent="0.25">
      <c r="A612" s="57" t="str">
        <f>IF($B612="","",TEXT($B612,"yyyymmdd")&amp;"-"&amp;SUBSTITUTE($F612," ","")&amp;"-"&amp;TEXT(COUNTIF($F$4:F612,$F612),"00"))</f>
        <v/>
      </c>
      <c r="B612" s="57"/>
      <c r="C612" s="57" t="str">
        <f>IF($B612="","",WEEKNUM($B612,2))</f>
        <v/>
      </c>
      <c r="D612" s="57" t="str">
        <f>IF($B612="","",TEXT($B612,"yyyy-mm"))</f>
        <v/>
      </c>
      <c r="E612" s="57"/>
      <c r="F612" s="57"/>
      <c r="G612" s="57" t="str">
        <f>IF(OR($E612="",$F612=""),"",IFERROR(IF($E612=INDEX([1]Cluster_Master!$A$4:$A$18,MATCH($F612,[1]Cluster_Master!$B$4:$B$18,0)),"OK","CHECK"),"CHECK"))</f>
        <v/>
      </c>
      <c r="H612" s="57" t="str">
        <f>IFERROR(INDEX([1]Cluster_Master!$C$4:$C$18,MATCH($F612,[1]Cluster_Master!$B$4:$B$18,0)),"")</f>
        <v/>
      </c>
      <c r="I612" s="57" t="str">
        <f>IFERROR(INDEX([1]Cluster_Master!$D$4:$D$18,MATCH($F612,[1]Cluster_Master!$B$4:$B$18,0)),"")</f>
        <v/>
      </c>
      <c r="J612" s="57" t="str">
        <f>IFERROR(INDEX([1]Cluster_Master!$E$4:$E$18,MATCH($F612,[1]Cluster_Master!$B$4:$B$18,0)),"")</f>
        <v/>
      </c>
      <c r="K612" s="57" t="str">
        <f>IFERROR(INDEX([1]Cluster_Master!$F$4:$F$18,MATCH($F612,[1]Cluster_Master!$B$4:$B$18,0)),"")</f>
        <v/>
      </c>
      <c r="L612" s="57" t="str">
        <f>IFERROR(INDEX([1]Cluster_Master!$G$4:$G$18,MATCH($F612,[1]Cluster_Master!$B$4:$B$18,0)),"")</f>
        <v/>
      </c>
      <c r="M612" s="57" t="str">
        <f>IFERROR(INDEX([1]Cluster_Master!$H$4:$H$18,MATCH($F612,[1]Cluster_Master!$B$4:$B$18,0)),"")</f>
        <v/>
      </c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 t="str">
        <f>IF(COUNTA(T612:AH612)=0,"",SUM(T612:AH612))</f>
        <v/>
      </c>
      <c r="AJ612" s="57" t="str">
        <f>IF(COUNTA(T612:AH612)=0,"",AI612/75)</f>
        <v/>
      </c>
      <c r="AK612" s="57" t="str">
        <f>IF(COUNTA(T612:AH612)=0,"",(SUM(T612*[1]KPI_Weights!$B$4,U612*[1]KPI_Weights!$B$5,V612*[1]KPI_Weights!$B$6,W612*[1]KPI_Weights!$B$7,X612*[1]KPI_Weights!$B$8,Y612*[1]KPI_Weights!$B$9,Z612*[1]KPI_Weights!$B$10,AA612*[1]KPI_Weights!$B$11,AB612*[1]KPI_Weights!$B$12,AC612*[1]KPI_Weights!$B$13,AD612*[1]KPI_Weights!$B$14,AE612*[1]KPI_Weights!$B$15,AF612*[1]KPI_Weights!$B$16,AG612*[1]KPI_Weights!$B$17,AH612*[1]KPI_Weights!$B$18))/5)</f>
        <v/>
      </c>
      <c r="AL612" s="57" t="str">
        <f>IF(COUNTA(T612:AH612)=0,"",IF(OR(T612&lt;=1,W612&lt;=1,X612&lt;=1,Y612&lt;=1,AB612&lt;=1),"YES","NO"))</f>
        <v/>
      </c>
      <c r="AM612" s="57" t="str">
        <f>IF(AJ612="","",IF(AND(AL612="NO",AJ612&gt;=0.75),"YES","NO"))</f>
        <v/>
      </c>
      <c r="AN612" s="57" t="str">
        <f>IF(AJ612="","",IF(AJ612&lt;0.4,"Critical",IF(AJ612&lt;0.6,"Poor",IF(AJ612&lt;0.75,"Needs Improvement",IF(AJ612&lt;0.9,"Good","Excellent")))))</f>
        <v/>
      </c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</row>
    <row r="613" spans="1:54" ht="15" customHeight="1" x14ac:dyDescent="0.25">
      <c r="A613" s="57" t="str">
        <f>IF($B613="","",TEXT($B613,"yyyymmdd")&amp;"-"&amp;SUBSTITUTE($F613," ","")&amp;"-"&amp;TEXT(COUNTIF($F$4:F613,$F613),"00"))</f>
        <v/>
      </c>
      <c r="B613" s="57"/>
      <c r="C613" s="57" t="str">
        <f>IF($B613="","",WEEKNUM($B613,2))</f>
        <v/>
      </c>
      <c r="D613" s="57" t="str">
        <f>IF($B613="","",TEXT($B613,"yyyy-mm"))</f>
        <v/>
      </c>
      <c r="E613" s="57"/>
      <c r="F613" s="57"/>
      <c r="G613" s="57" t="str">
        <f>IF(OR($E613="",$F613=""),"",IFERROR(IF($E613=INDEX([1]Cluster_Master!$A$4:$A$18,MATCH($F613,[1]Cluster_Master!$B$4:$B$18,0)),"OK","CHECK"),"CHECK"))</f>
        <v/>
      </c>
      <c r="H613" s="57" t="str">
        <f>IFERROR(INDEX([1]Cluster_Master!$C$4:$C$18,MATCH($F613,[1]Cluster_Master!$B$4:$B$18,0)),"")</f>
        <v/>
      </c>
      <c r="I613" s="57" t="str">
        <f>IFERROR(INDEX([1]Cluster_Master!$D$4:$D$18,MATCH($F613,[1]Cluster_Master!$B$4:$B$18,0)),"")</f>
        <v/>
      </c>
      <c r="J613" s="57" t="str">
        <f>IFERROR(INDEX([1]Cluster_Master!$E$4:$E$18,MATCH($F613,[1]Cluster_Master!$B$4:$B$18,0)),"")</f>
        <v/>
      </c>
      <c r="K613" s="57" t="str">
        <f>IFERROR(INDEX([1]Cluster_Master!$F$4:$F$18,MATCH($F613,[1]Cluster_Master!$B$4:$B$18,0)),"")</f>
        <v/>
      </c>
      <c r="L613" s="57" t="str">
        <f>IFERROR(INDEX([1]Cluster_Master!$G$4:$G$18,MATCH($F613,[1]Cluster_Master!$B$4:$B$18,0)),"")</f>
        <v/>
      </c>
      <c r="M613" s="57" t="str">
        <f>IFERROR(INDEX([1]Cluster_Master!$H$4:$H$18,MATCH($F613,[1]Cluster_Master!$B$4:$B$18,0)),"")</f>
        <v/>
      </c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 t="str">
        <f>IF(COUNTA(T613:AH613)=0,"",SUM(T613:AH613))</f>
        <v/>
      </c>
      <c r="AJ613" s="57" t="str">
        <f>IF(COUNTA(T613:AH613)=0,"",AI613/75)</f>
        <v/>
      </c>
      <c r="AK613" s="57" t="str">
        <f>IF(COUNTA(T613:AH613)=0,"",(SUM(T613*[1]KPI_Weights!$B$4,U613*[1]KPI_Weights!$B$5,V613*[1]KPI_Weights!$B$6,W613*[1]KPI_Weights!$B$7,X613*[1]KPI_Weights!$B$8,Y613*[1]KPI_Weights!$B$9,Z613*[1]KPI_Weights!$B$10,AA613*[1]KPI_Weights!$B$11,AB613*[1]KPI_Weights!$B$12,AC613*[1]KPI_Weights!$B$13,AD613*[1]KPI_Weights!$B$14,AE613*[1]KPI_Weights!$B$15,AF613*[1]KPI_Weights!$B$16,AG613*[1]KPI_Weights!$B$17,AH613*[1]KPI_Weights!$B$18))/5)</f>
        <v/>
      </c>
      <c r="AL613" s="57" t="str">
        <f>IF(COUNTA(T613:AH613)=0,"",IF(OR(T613&lt;=1,W613&lt;=1,X613&lt;=1,Y613&lt;=1,AB613&lt;=1),"YES","NO"))</f>
        <v/>
      </c>
      <c r="AM613" s="57" t="str">
        <f>IF(AJ613="","",IF(AND(AL613="NO",AJ613&gt;=0.75),"YES","NO"))</f>
        <v/>
      </c>
      <c r="AN613" s="57" t="str">
        <f>IF(AJ613="","",IF(AJ613&lt;0.4,"Critical",IF(AJ613&lt;0.6,"Poor",IF(AJ613&lt;0.75,"Needs Improvement",IF(AJ613&lt;0.9,"Good","Excellent")))))</f>
        <v/>
      </c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</row>
    <row r="614" spans="1:54" ht="15" customHeight="1" x14ac:dyDescent="0.25">
      <c r="A614" s="57" t="str">
        <f>IF($B614="","",TEXT($B614,"yyyymmdd")&amp;"-"&amp;SUBSTITUTE($F614," ","")&amp;"-"&amp;TEXT(COUNTIF($F$4:F614,$F614),"00"))</f>
        <v/>
      </c>
      <c r="B614" s="57"/>
      <c r="C614" s="57" t="str">
        <f>IF($B614="","",WEEKNUM($B614,2))</f>
        <v/>
      </c>
      <c r="D614" s="57" t="str">
        <f>IF($B614="","",TEXT($B614,"yyyy-mm"))</f>
        <v/>
      </c>
      <c r="E614" s="57"/>
      <c r="F614" s="57"/>
      <c r="G614" s="57" t="str">
        <f>IF(OR($E614="",$F614=""),"",IFERROR(IF($E614=INDEX([1]Cluster_Master!$A$4:$A$18,MATCH($F614,[1]Cluster_Master!$B$4:$B$18,0)),"OK","CHECK"),"CHECK"))</f>
        <v/>
      </c>
      <c r="H614" s="57" t="str">
        <f>IFERROR(INDEX([1]Cluster_Master!$C$4:$C$18,MATCH($F614,[1]Cluster_Master!$B$4:$B$18,0)),"")</f>
        <v/>
      </c>
      <c r="I614" s="57" t="str">
        <f>IFERROR(INDEX([1]Cluster_Master!$D$4:$D$18,MATCH($F614,[1]Cluster_Master!$B$4:$B$18,0)),"")</f>
        <v/>
      </c>
      <c r="J614" s="57" t="str">
        <f>IFERROR(INDEX([1]Cluster_Master!$E$4:$E$18,MATCH($F614,[1]Cluster_Master!$B$4:$B$18,0)),"")</f>
        <v/>
      </c>
      <c r="K614" s="57" t="str">
        <f>IFERROR(INDEX([1]Cluster_Master!$F$4:$F$18,MATCH($F614,[1]Cluster_Master!$B$4:$B$18,0)),"")</f>
        <v/>
      </c>
      <c r="L614" s="57" t="str">
        <f>IFERROR(INDEX([1]Cluster_Master!$G$4:$G$18,MATCH($F614,[1]Cluster_Master!$B$4:$B$18,0)),"")</f>
        <v/>
      </c>
      <c r="M614" s="57" t="str">
        <f>IFERROR(INDEX([1]Cluster_Master!$H$4:$H$18,MATCH($F614,[1]Cluster_Master!$B$4:$B$18,0)),"")</f>
        <v/>
      </c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 t="str">
        <f>IF(COUNTA(T614:AH614)=0,"",SUM(T614:AH614))</f>
        <v/>
      </c>
      <c r="AJ614" s="57" t="str">
        <f>IF(COUNTA(T614:AH614)=0,"",AI614/75)</f>
        <v/>
      </c>
      <c r="AK614" s="57" t="str">
        <f>IF(COUNTA(T614:AH614)=0,"",(SUM(T614*[1]KPI_Weights!$B$4,U614*[1]KPI_Weights!$B$5,V614*[1]KPI_Weights!$B$6,W614*[1]KPI_Weights!$B$7,X614*[1]KPI_Weights!$B$8,Y614*[1]KPI_Weights!$B$9,Z614*[1]KPI_Weights!$B$10,AA614*[1]KPI_Weights!$B$11,AB614*[1]KPI_Weights!$B$12,AC614*[1]KPI_Weights!$B$13,AD614*[1]KPI_Weights!$B$14,AE614*[1]KPI_Weights!$B$15,AF614*[1]KPI_Weights!$B$16,AG614*[1]KPI_Weights!$B$17,AH614*[1]KPI_Weights!$B$18))/5)</f>
        <v/>
      </c>
      <c r="AL614" s="57" t="str">
        <f>IF(COUNTA(T614:AH614)=0,"",IF(OR(T614&lt;=1,W614&lt;=1,X614&lt;=1,Y614&lt;=1,AB614&lt;=1),"YES","NO"))</f>
        <v/>
      </c>
      <c r="AM614" s="57" t="str">
        <f>IF(AJ614="","",IF(AND(AL614="NO",AJ614&gt;=0.75),"YES","NO"))</f>
        <v/>
      </c>
      <c r="AN614" s="57" t="str">
        <f>IF(AJ614="","",IF(AJ614&lt;0.4,"Critical",IF(AJ614&lt;0.6,"Poor",IF(AJ614&lt;0.75,"Needs Improvement",IF(AJ614&lt;0.9,"Good","Excellent")))))</f>
        <v/>
      </c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</row>
    <row r="615" spans="1:54" ht="15" customHeight="1" x14ac:dyDescent="0.25">
      <c r="A615" s="57" t="str">
        <f>IF($B615="","",TEXT($B615,"yyyymmdd")&amp;"-"&amp;SUBSTITUTE($F615," ","")&amp;"-"&amp;TEXT(COUNTIF($F$4:F615,$F615),"00"))</f>
        <v/>
      </c>
      <c r="B615" s="57"/>
      <c r="C615" s="57" t="str">
        <f>IF($B615="","",WEEKNUM($B615,2))</f>
        <v/>
      </c>
      <c r="D615" s="57" t="str">
        <f>IF($B615="","",TEXT($B615,"yyyy-mm"))</f>
        <v/>
      </c>
      <c r="E615" s="57"/>
      <c r="F615" s="57"/>
      <c r="G615" s="57" t="str">
        <f>IF(OR($E615="",$F615=""),"",IFERROR(IF($E615=INDEX([1]Cluster_Master!$A$4:$A$18,MATCH($F615,[1]Cluster_Master!$B$4:$B$18,0)),"OK","CHECK"),"CHECK"))</f>
        <v/>
      </c>
      <c r="H615" s="57" t="str">
        <f>IFERROR(INDEX([1]Cluster_Master!$C$4:$C$18,MATCH($F615,[1]Cluster_Master!$B$4:$B$18,0)),"")</f>
        <v/>
      </c>
      <c r="I615" s="57" t="str">
        <f>IFERROR(INDEX([1]Cluster_Master!$D$4:$D$18,MATCH($F615,[1]Cluster_Master!$B$4:$B$18,0)),"")</f>
        <v/>
      </c>
      <c r="J615" s="57" t="str">
        <f>IFERROR(INDEX([1]Cluster_Master!$E$4:$E$18,MATCH($F615,[1]Cluster_Master!$B$4:$B$18,0)),"")</f>
        <v/>
      </c>
      <c r="K615" s="57" t="str">
        <f>IFERROR(INDEX([1]Cluster_Master!$F$4:$F$18,MATCH($F615,[1]Cluster_Master!$B$4:$B$18,0)),"")</f>
        <v/>
      </c>
      <c r="L615" s="57" t="str">
        <f>IFERROR(INDEX([1]Cluster_Master!$G$4:$G$18,MATCH($F615,[1]Cluster_Master!$B$4:$B$18,0)),"")</f>
        <v/>
      </c>
      <c r="M615" s="57" t="str">
        <f>IFERROR(INDEX([1]Cluster_Master!$H$4:$H$18,MATCH($F615,[1]Cluster_Master!$B$4:$B$18,0)),"")</f>
        <v/>
      </c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 t="str">
        <f>IF(COUNTA(T615:AH615)=0,"",SUM(T615:AH615))</f>
        <v/>
      </c>
      <c r="AJ615" s="57" t="str">
        <f>IF(COUNTA(T615:AH615)=0,"",AI615/75)</f>
        <v/>
      </c>
      <c r="AK615" s="57" t="str">
        <f>IF(COUNTA(T615:AH615)=0,"",(SUM(T615*[1]KPI_Weights!$B$4,U615*[1]KPI_Weights!$B$5,V615*[1]KPI_Weights!$B$6,W615*[1]KPI_Weights!$B$7,X615*[1]KPI_Weights!$B$8,Y615*[1]KPI_Weights!$B$9,Z615*[1]KPI_Weights!$B$10,AA615*[1]KPI_Weights!$B$11,AB615*[1]KPI_Weights!$B$12,AC615*[1]KPI_Weights!$B$13,AD615*[1]KPI_Weights!$B$14,AE615*[1]KPI_Weights!$B$15,AF615*[1]KPI_Weights!$B$16,AG615*[1]KPI_Weights!$B$17,AH615*[1]KPI_Weights!$B$18))/5)</f>
        <v/>
      </c>
      <c r="AL615" s="57" t="str">
        <f>IF(COUNTA(T615:AH615)=0,"",IF(OR(T615&lt;=1,W615&lt;=1,X615&lt;=1,Y615&lt;=1,AB615&lt;=1),"YES","NO"))</f>
        <v/>
      </c>
      <c r="AM615" s="57" t="str">
        <f>IF(AJ615="","",IF(AND(AL615="NO",AJ615&gt;=0.75),"YES","NO"))</f>
        <v/>
      </c>
      <c r="AN615" s="57" t="str">
        <f>IF(AJ615="","",IF(AJ615&lt;0.4,"Critical",IF(AJ615&lt;0.6,"Poor",IF(AJ615&lt;0.75,"Needs Improvement",IF(AJ615&lt;0.9,"Good","Excellent")))))</f>
        <v/>
      </c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</row>
    <row r="616" spans="1:54" ht="15" customHeight="1" x14ac:dyDescent="0.25">
      <c r="A616" s="57" t="str">
        <f>IF($B616="","",TEXT($B616,"yyyymmdd")&amp;"-"&amp;SUBSTITUTE($F616," ","")&amp;"-"&amp;TEXT(COUNTIF($F$4:F616,$F616),"00"))</f>
        <v/>
      </c>
      <c r="B616" s="57"/>
      <c r="C616" s="57" t="str">
        <f>IF($B616="","",WEEKNUM($B616,2))</f>
        <v/>
      </c>
      <c r="D616" s="57" t="str">
        <f>IF($B616="","",TEXT($B616,"yyyy-mm"))</f>
        <v/>
      </c>
      <c r="E616" s="57"/>
      <c r="F616" s="57"/>
      <c r="G616" s="57" t="str">
        <f>IF(OR($E616="",$F616=""),"",IFERROR(IF($E616=INDEX([1]Cluster_Master!$A$4:$A$18,MATCH($F616,[1]Cluster_Master!$B$4:$B$18,0)),"OK","CHECK"),"CHECK"))</f>
        <v/>
      </c>
      <c r="H616" s="57" t="str">
        <f>IFERROR(INDEX([1]Cluster_Master!$C$4:$C$18,MATCH($F616,[1]Cluster_Master!$B$4:$B$18,0)),"")</f>
        <v/>
      </c>
      <c r="I616" s="57" t="str">
        <f>IFERROR(INDEX([1]Cluster_Master!$D$4:$D$18,MATCH($F616,[1]Cluster_Master!$B$4:$B$18,0)),"")</f>
        <v/>
      </c>
      <c r="J616" s="57" t="str">
        <f>IFERROR(INDEX([1]Cluster_Master!$E$4:$E$18,MATCH($F616,[1]Cluster_Master!$B$4:$B$18,0)),"")</f>
        <v/>
      </c>
      <c r="K616" s="57" t="str">
        <f>IFERROR(INDEX([1]Cluster_Master!$F$4:$F$18,MATCH($F616,[1]Cluster_Master!$B$4:$B$18,0)),"")</f>
        <v/>
      </c>
      <c r="L616" s="57" t="str">
        <f>IFERROR(INDEX([1]Cluster_Master!$G$4:$G$18,MATCH($F616,[1]Cluster_Master!$B$4:$B$18,0)),"")</f>
        <v/>
      </c>
      <c r="M616" s="57" t="str">
        <f>IFERROR(INDEX([1]Cluster_Master!$H$4:$H$18,MATCH($F616,[1]Cluster_Master!$B$4:$B$18,0)),"")</f>
        <v/>
      </c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 t="str">
        <f>IF(COUNTA(T616:AH616)=0,"",SUM(T616:AH616))</f>
        <v/>
      </c>
      <c r="AJ616" s="57" t="str">
        <f>IF(COUNTA(T616:AH616)=0,"",AI616/75)</f>
        <v/>
      </c>
      <c r="AK616" s="57" t="str">
        <f>IF(COUNTA(T616:AH616)=0,"",(SUM(T616*[1]KPI_Weights!$B$4,U616*[1]KPI_Weights!$B$5,V616*[1]KPI_Weights!$B$6,W616*[1]KPI_Weights!$B$7,X616*[1]KPI_Weights!$B$8,Y616*[1]KPI_Weights!$B$9,Z616*[1]KPI_Weights!$B$10,AA616*[1]KPI_Weights!$B$11,AB616*[1]KPI_Weights!$B$12,AC616*[1]KPI_Weights!$B$13,AD616*[1]KPI_Weights!$B$14,AE616*[1]KPI_Weights!$B$15,AF616*[1]KPI_Weights!$B$16,AG616*[1]KPI_Weights!$B$17,AH616*[1]KPI_Weights!$B$18))/5)</f>
        <v/>
      </c>
      <c r="AL616" s="57" t="str">
        <f>IF(COUNTA(T616:AH616)=0,"",IF(OR(T616&lt;=1,W616&lt;=1,X616&lt;=1,Y616&lt;=1,AB616&lt;=1),"YES","NO"))</f>
        <v/>
      </c>
      <c r="AM616" s="57" t="str">
        <f>IF(AJ616="","",IF(AND(AL616="NO",AJ616&gt;=0.75),"YES","NO"))</f>
        <v/>
      </c>
      <c r="AN616" s="57" t="str">
        <f>IF(AJ616="","",IF(AJ616&lt;0.4,"Critical",IF(AJ616&lt;0.6,"Poor",IF(AJ616&lt;0.75,"Needs Improvement",IF(AJ616&lt;0.9,"Good","Excellent")))))</f>
        <v/>
      </c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</row>
    <row r="617" spans="1:54" ht="15" customHeight="1" x14ac:dyDescent="0.25">
      <c r="A617" s="57" t="str">
        <f>IF($B617="","",TEXT($B617,"yyyymmdd")&amp;"-"&amp;SUBSTITUTE($F617," ","")&amp;"-"&amp;TEXT(COUNTIF($F$4:F617,$F617),"00"))</f>
        <v/>
      </c>
      <c r="B617" s="57"/>
      <c r="C617" s="57" t="str">
        <f>IF($B617="","",WEEKNUM($B617,2))</f>
        <v/>
      </c>
      <c r="D617" s="57" t="str">
        <f>IF($B617="","",TEXT($B617,"yyyy-mm"))</f>
        <v/>
      </c>
      <c r="E617" s="57"/>
      <c r="F617" s="57"/>
      <c r="G617" s="57" t="str">
        <f>IF(OR($E617="",$F617=""),"",IFERROR(IF($E617=INDEX([1]Cluster_Master!$A$4:$A$18,MATCH($F617,[1]Cluster_Master!$B$4:$B$18,0)),"OK","CHECK"),"CHECK"))</f>
        <v/>
      </c>
      <c r="H617" s="57" t="str">
        <f>IFERROR(INDEX([1]Cluster_Master!$C$4:$C$18,MATCH($F617,[1]Cluster_Master!$B$4:$B$18,0)),"")</f>
        <v/>
      </c>
      <c r="I617" s="57" t="str">
        <f>IFERROR(INDEX([1]Cluster_Master!$D$4:$D$18,MATCH($F617,[1]Cluster_Master!$B$4:$B$18,0)),"")</f>
        <v/>
      </c>
      <c r="J617" s="57" t="str">
        <f>IFERROR(INDEX([1]Cluster_Master!$E$4:$E$18,MATCH($F617,[1]Cluster_Master!$B$4:$B$18,0)),"")</f>
        <v/>
      </c>
      <c r="K617" s="57" t="str">
        <f>IFERROR(INDEX([1]Cluster_Master!$F$4:$F$18,MATCH($F617,[1]Cluster_Master!$B$4:$B$18,0)),"")</f>
        <v/>
      </c>
      <c r="L617" s="57" t="str">
        <f>IFERROR(INDEX([1]Cluster_Master!$G$4:$G$18,MATCH($F617,[1]Cluster_Master!$B$4:$B$18,0)),"")</f>
        <v/>
      </c>
      <c r="M617" s="57" t="str">
        <f>IFERROR(INDEX([1]Cluster_Master!$H$4:$H$18,MATCH($F617,[1]Cluster_Master!$B$4:$B$18,0)),"")</f>
        <v/>
      </c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 t="str">
        <f>IF(COUNTA(T617:AH617)=0,"",SUM(T617:AH617))</f>
        <v/>
      </c>
      <c r="AJ617" s="57" t="str">
        <f>IF(COUNTA(T617:AH617)=0,"",AI617/75)</f>
        <v/>
      </c>
      <c r="AK617" s="57" t="str">
        <f>IF(COUNTA(T617:AH617)=0,"",(SUM(T617*[1]KPI_Weights!$B$4,U617*[1]KPI_Weights!$B$5,V617*[1]KPI_Weights!$B$6,W617*[1]KPI_Weights!$B$7,X617*[1]KPI_Weights!$B$8,Y617*[1]KPI_Weights!$B$9,Z617*[1]KPI_Weights!$B$10,AA617*[1]KPI_Weights!$B$11,AB617*[1]KPI_Weights!$B$12,AC617*[1]KPI_Weights!$B$13,AD617*[1]KPI_Weights!$B$14,AE617*[1]KPI_Weights!$B$15,AF617*[1]KPI_Weights!$B$16,AG617*[1]KPI_Weights!$B$17,AH617*[1]KPI_Weights!$B$18))/5)</f>
        <v/>
      </c>
      <c r="AL617" s="57" t="str">
        <f>IF(COUNTA(T617:AH617)=0,"",IF(OR(T617&lt;=1,W617&lt;=1,X617&lt;=1,Y617&lt;=1,AB617&lt;=1),"YES","NO"))</f>
        <v/>
      </c>
      <c r="AM617" s="57" t="str">
        <f>IF(AJ617="","",IF(AND(AL617="NO",AJ617&gt;=0.75),"YES","NO"))</f>
        <v/>
      </c>
      <c r="AN617" s="57" t="str">
        <f>IF(AJ617="","",IF(AJ617&lt;0.4,"Critical",IF(AJ617&lt;0.6,"Poor",IF(AJ617&lt;0.75,"Needs Improvement",IF(AJ617&lt;0.9,"Good","Excellent")))))</f>
        <v/>
      </c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</row>
    <row r="618" spans="1:54" ht="15" customHeight="1" x14ac:dyDescent="0.25">
      <c r="A618" s="57" t="str">
        <f>IF($B618="","",TEXT($B618,"yyyymmdd")&amp;"-"&amp;SUBSTITUTE($F618," ","")&amp;"-"&amp;TEXT(COUNTIF($F$4:F618,$F618),"00"))</f>
        <v/>
      </c>
      <c r="B618" s="57"/>
      <c r="C618" s="57" t="str">
        <f>IF($B618="","",WEEKNUM($B618,2))</f>
        <v/>
      </c>
      <c r="D618" s="57" t="str">
        <f>IF($B618="","",TEXT($B618,"yyyy-mm"))</f>
        <v/>
      </c>
      <c r="E618" s="57"/>
      <c r="F618" s="57"/>
      <c r="G618" s="57" t="str">
        <f>IF(OR($E618="",$F618=""),"",IFERROR(IF($E618=INDEX([1]Cluster_Master!$A$4:$A$18,MATCH($F618,[1]Cluster_Master!$B$4:$B$18,0)),"OK","CHECK"),"CHECK"))</f>
        <v/>
      </c>
      <c r="H618" s="57" t="str">
        <f>IFERROR(INDEX([1]Cluster_Master!$C$4:$C$18,MATCH($F618,[1]Cluster_Master!$B$4:$B$18,0)),"")</f>
        <v/>
      </c>
      <c r="I618" s="57" t="str">
        <f>IFERROR(INDEX([1]Cluster_Master!$D$4:$D$18,MATCH($F618,[1]Cluster_Master!$B$4:$B$18,0)),"")</f>
        <v/>
      </c>
      <c r="J618" s="57" t="str">
        <f>IFERROR(INDEX([1]Cluster_Master!$E$4:$E$18,MATCH($F618,[1]Cluster_Master!$B$4:$B$18,0)),"")</f>
        <v/>
      </c>
      <c r="K618" s="57" t="str">
        <f>IFERROR(INDEX([1]Cluster_Master!$F$4:$F$18,MATCH($F618,[1]Cluster_Master!$B$4:$B$18,0)),"")</f>
        <v/>
      </c>
      <c r="L618" s="57" t="str">
        <f>IFERROR(INDEX([1]Cluster_Master!$G$4:$G$18,MATCH($F618,[1]Cluster_Master!$B$4:$B$18,0)),"")</f>
        <v/>
      </c>
      <c r="M618" s="57" t="str">
        <f>IFERROR(INDEX([1]Cluster_Master!$H$4:$H$18,MATCH($F618,[1]Cluster_Master!$B$4:$B$18,0)),"")</f>
        <v/>
      </c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 t="str">
        <f>IF(COUNTA(T618:AH618)=0,"",SUM(T618:AH618))</f>
        <v/>
      </c>
      <c r="AJ618" s="57" t="str">
        <f>IF(COUNTA(T618:AH618)=0,"",AI618/75)</f>
        <v/>
      </c>
      <c r="AK618" s="57" t="str">
        <f>IF(COUNTA(T618:AH618)=0,"",(SUM(T618*[1]KPI_Weights!$B$4,U618*[1]KPI_Weights!$B$5,V618*[1]KPI_Weights!$B$6,W618*[1]KPI_Weights!$B$7,X618*[1]KPI_Weights!$B$8,Y618*[1]KPI_Weights!$B$9,Z618*[1]KPI_Weights!$B$10,AA618*[1]KPI_Weights!$B$11,AB618*[1]KPI_Weights!$B$12,AC618*[1]KPI_Weights!$B$13,AD618*[1]KPI_Weights!$B$14,AE618*[1]KPI_Weights!$B$15,AF618*[1]KPI_Weights!$B$16,AG618*[1]KPI_Weights!$B$17,AH618*[1]KPI_Weights!$B$18))/5)</f>
        <v/>
      </c>
      <c r="AL618" s="57" t="str">
        <f>IF(COUNTA(T618:AH618)=0,"",IF(OR(T618&lt;=1,W618&lt;=1,X618&lt;=1,Y618&lt;=1,AB618&lt;=1),"YES","NO"))</f>
        <v/>
      </c>
      <c r="AM618" s="57" t="str">
        <f>IF(AJ618="","",IF(AND(AL618="NO",AJ618&gt;=0.75),"YES","NO"))</f>
        <v/>
      </c>
      <c r="AN618" s="57" t="str">
        <f>IF(AJ618="","",IF(AJ618&lt;0.4,"Critical",IF(AJ618&lt;0.6,"Poor",IF(AJ618&lt;0.75,"Needs Improvement",IF(AJ618&lt;0.9,"Good","Excellent")))))</f>
        <v/>
      </c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</row>
    <row r="619" spans="1:54" ht="15" customHeight="1" x14ac:dyDescent="0.25">
      <c r="A619" s="57" t="str">
        <f>IF($B619="","",TEXT($B619,"yyyymmdd")&amp;"-"&amp;SUBSTITUTE($F619," ","")&amp;"-"&amp;TEXT(COUNTIF($F$4:F619,$F619),"00"))</f>
        <v/>
      </c>
      <c r="B619" s="57"/>
      <c r="C619" s="57" t="str">
        <f>IF($B619="","",WEEKNUM($B619,2))</f>
        <v/>
      </c>
      <c r="D619" s="57" t="str">
        <f>IF($B619="","",TEXT($B619,"yyyy-mm"))</f>
        <v/>
      </c>
      <c r="E619" s="57"/>
      <c r="F619" s="57"/>
      <c r="G619" s="57" t="str">
        <f>IF(OR($E619="",$F619=""),"",IFERROR(IF($E619=INDEX([1]Cluster_Master!$A$4:$A$18,MATCH($F619,[1]Cluster_Master!$B$4:$B$18,0)),"OK","CHECK"),"CHECK"))</f>
        <v/>
      </c>
      <c r="H619" s="57" t="str">
        <f>IFERROR(INDEX([1]Cluster_Master!$C$4:$C$18,MATCH($F619,[1]Cluster_Master!$B$4:$B$18,0)),"")</f>
        <v/>
      </c>
      <c r="I619" s="57" t="str">
        <f>IFERROR(INDEX([1]Cluster_Master!$D$4:$D$18,MATCH($F619,[1]Cluster_Master!$B$4:$B$18,0)),"")</f>
        <v/>
      </c>
      <c r="J619" s="57" t="str">
        <f>IFERROR(INDEX([1]Cluster_Master!$E$4:$E$18,MATCH($F619,[1]Cluster_Master!$B$4:$B$18,0)),"")</f>
        <v/>
      </c>
      <c r="K619" s="57" t="str">
        <f>IFERROR(INDEX([1]Cluster_Master!$F$4:$F$18,MATCH($F619,[1]Cluster_Master!$B$4:$B$18,0)),"")</f>
        <v/>
      </c>
      <c r="L619" s="57" t="str">
        <f>IFERROR(INDEX([1]Cluster_Master!$G$4:$G$18,MATCH($F619,[1]Cluster_Master!$B$4:$B$18,0)),"")</f>
        <v/>
      </c>
      <c r="M619" s="57" t="str">
        <f>IFERROR(INDEX([1]Cluster_Master!$H$4:$H$18,MATCH($F619,[1]Cluster_Master!$B$4:$B$18,0)),"")</f>
        <v/>
      </c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 t="str">
        <f>IF(COUNTA(T619:AH619)=0,"",SUM(T619:AH619))</f>
        <v/>
      </c>
      <c r="AJ619" s="57" t="str">
        <f>IF(COUNTA(T619:AH619)=0,"",AI619/75)</f>
        <v/>
      </c>
      <c r="AK619" s="57" t="str">
        <f>IF(COUNTA(T619:AH619)=0,"",(SUM(T619*[1]KPI_Weights!$B$4,U619*[1]KPI_Weights!$B$5,V619*[1]KPI_Weights!$B$6,W619*[1]KPI_Weights!$B$7,X619*[1]KPI_Weights!$B$8,Y619*[1]KPI_Weights!$B$9,Z619*[1]KPI_Weights!$B$10,AA619*[1]KPI_Weights!$B$11,AB619*[1]KPI_Weights!$B$12,AC619*[1]KPI_Weights!$B$13,AD619*[1]KPI_Weights!$B$14,AE619*[1]KPI_Weights!$B$15,AF619*[1]KPI_Weights!$B$16,AG619*[1]KPI_Weights!$B$17,AH619*[1]KPI_Weights!$B$18))/5)</f>
        <v/>
      </c>
      <c r="AL619" s="57" t="str">
        <f>IF(COUNTA(T619:AH619)=0,"",IF(OR(T619&lt;=1,W619&lt;=1,X619&lt;=1,Y619&lt;=1,AB619&lt;=1),"YES","NO"))</f>
        <v/>
      </c>
      <c r="AM619" s="57" t="str">
        <f>IF(AJ619="","",IF(AND(AL619="NO",AJ619&gt;=0.75),"YES","NO"))</f>
        <v/>
      </c>
      <c r="AN619" s="57" t="str">
        <f>IF(AJ619="","",IF(AJ619&lt;0.4,"Critical",IF(AJ619&lt;0.6,"Poor",IF(AJ619&lt;0.75,"Needs Improvement",IF(AJ619&lt;0.9,"Good","Excellent")))))</f>
        <v/>
      </c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</row>
    <row r="620" spans="1:54" ht="15" customHeight="1" x14ac:dyDescent="0.25">
      <c r="A620" s="57" t="str">
        <f>IF($B620="","",TEXT($B620,"yyyymmdd")&amp;"-"&amp;SUBSTITUTE($F620," ","")&amp;"-"&amp;TEXT(COUNTIF($F$4:F620,$F620),"00"))</f>
        <v/>
      </c>
      <c r="B620" s="57"/>
      <c r="C620" s="57" t="str">
        <f>IF($B620="","",WEEKNUM($B620,2))</f>
        <v/>
      </c>
      <c r="D620" s="57" t="str">
        <f>IF($B620="","",TEXT($B620,"yyyy-mm"))</f>
        <v/>
      </c>
      <c r="E620" s="57"/>
      <c r="F620" s="57"/>
      <c r="G620" s="57" t="str">
        <f>IF(OR($E620="",$F620=""),"",IFERROR(IF($E620=INDEX([1]Cluster_Master!$A$4:$A$18,MATCH($F620,[1]Cluster_Master!$B$4:$B$18,0)),"OK","CHECK"),"CHECK"))</f>
        <v/>
      </c>
      <c r="H620" s="57" t="str">
        <f>IFERROR(INDEX([1]Cluster_Master!$C$4:$C$18,MATCH($F620,[1]Cluster_Master!$B$4:$B$18,0)),"")</f>
        <v/>
      </c>
      <c r="I620" s="57" t="str">
        <f>IFERROR(INDEX([1]Cluster_Master!$D$4:$D$18,MATCH($F620,[1]Cluster_Master!$B$4:$B$18,0)),"")</f>
        <v/>
      </c>
      <c r="J620" s="57" t="str">
        <f>IFERROR(INDEX([1]Cluster_Master!$E$4:$E$18,MATCH($F620,[1]Cluster_Master!$B$4:$B$18,0)),"")</f>
        <v/>
      </c>
      <c r="K620" s="57" t="str">
        <f>IFERROR(INDEX([1]Cluster_Master!$F$4:$F$18,MATCH($F620,[1]Cluster_Master!$B$4:$B$18,0)),"")</f>
        <v/>
      </c>
      <c r="L620" s="57" t="str">
        <f>IFERROR(INDEX([1]Cluster_Master!$G$4:$G$18,MATCH($F620,[1]Cluster_Master!$B$4:$B$18,0)),"")</f>
        <v/>
      </c>
      <c r="M620" s="57" t="str">
        <f>IFERROR(INDEX([1]Cluster_Master!$H$4:$H$18,MATCH($F620,[1]Cluster_Master!$B$4:$B$18,0)),"")</f>
        <v/>
      </c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 t="str">
        <f>IF(COUNTA(T620:AH620)=0,"",SUM(T620:AH620))</f>
        <v/>
      </c>
      <c r="AJ620" s="57" t="str">
        <f>IF(COUNTA(T620:AH620)=0,"",AI620/75)</f>
        <v/>
      </c>
      <c r="AK620" s="57" t="str">
        <f>IF(COUNTA(T620:AH620)=0,"",(SUM(T620*[1]KPI_Weights!$B$4,U620*[1]KPI_Weights!$B$5,V620*[1]KPI_Weights!$B$6,W620*[1]KPI_Weights!$B$7,X620*[1]KPI_Weights!$B$8,Y620*[1]KPI_Weights!$B$9,Z620*[1]KPI_Weights!$B$10,AA620*[1]KPI_Weights!$B$11,AB620*[1]KPI_Weights!$B$12,AC620*[1]KPI_Weights!$B$13,AD620*[1]KPI_Weights!$B$14,AE620*[1]KPI_Weights!$B$15,AF620*[1]KPI_Weights!$B$16,AG620*[1]KPI_Weights!$B$17,AH620*[1]KPI_Weights!$B$18))/5)</f>
        <v/>
      </c>
      <c r="AL620" s="57" t="str">
        <f>IF(COUNTA(T620:AH620)=0,"",IF(OR(T620&lt;=1,W620&lt;=1,X620&lt;=1,Y620&lt;=1,AB620&lt;=1),"YES","NO"))</f>
        <v/>
      </c>
      <c r="AM620" s="57" t="str">
        <f>IF(AJ620="","",IF(AND(AL620="NO",AJ620&gt;=0.75),"YES","NO"))</f>
        <v/>
      </c>
      <c r="AN620" s="57" t="str">
        <f>IF(AJ620="","",IF(AJ620&lt;0.4,"Critical",IF(AJ620&lt;0.6,"Poor",IF(AJ620&lt;0.75,"Needs Improvement",IF(AJ620&lt;0.9,"Good","Excellent")))))</f>
        <v/>
      </c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  <c r="BB620" s="57"/>
    </row>
    <row r="621" spans="1:54" ht="15" customHeight="1" x14ac:dyDescent="0.25">
      <c r="A621" s="57" t="str">
        <f>IF($B621="","",TEXT($B621,"yyyymmdd")&amp;"-"&amp;SUBSTITUTE($F621," ","")&amp;"-"&amp;TEXT(COUNTIF($F$4:F621,$F621),"00"))</f>
        <v/>
      </c>
      <c r="B621" s="57"/>
      <c r="C621" s="57" t="str">
        <f>IF($B621="","",WEEKNUM($B621,2))</f>
        <v/>
      </c>
      <c r="D621" s="57" t="str">
        <f>IF($B621="","",TEXT($B621,"yyyy-mm"))</f>
        <v/>
      </c>
      <c r="E621" s="57"/>
      <c r="F621" s="57"/>
      <c r="G621" s="57" t="str">
        <f>IF(OR($E621="",$F621=""),"",IFERROR(IF($E621=INDEX([1]Cluster_Master!$A$4:$A$18,MATCH($F621,[1]Cluster_Master!$B$4:$B$18,0)),"OK","CHECK"),"CHECK"))</f>
        <v/>
      </c>
      <c r="H621" s="57" t="str">
        <f>IFERROR(INDEX([1]Cluster_Master!$C$4:$C$18,MATCH($F621,[1]Cluster_Master!$B$4:$B$18,0)),"")</f>
        <v/>
      </c>
      <c r="I621" s="57" t="str">
        <f>IFERROR(INDEX([1]Cluster_Master!$D$4:$D$18,MATCH($F621,[1]Cluster_Master!$B$4:$B$18,0)),"")</f>
        <v/>
      </c>
      <c r="J621" s="57" t="str">
        <f>IFERROR(INDEX([1]Cluster_Master!$E$4:$E$18,MATCH($F621,[1]Cluster_Master!$B$4:$B$18,0)),"")</f>
        <v/>
      </c>
      <c r="K621" s="57" t="str">
        <f>IFERROR(INDEX([1]Cluster_Master!$F$4:$F$18,MATCH($F621,[1]Cluster_Master!$B$4:$B$18,0)),"")</f>
        <v/>
      </c>
      <c r="L621" s="57" t="str">
        <f>IFERROR(INDEX([1]Cluster_Master!$G$4:$G$18,MATCH($F621,[1]Cluster_Master!$B$4:$B$18,0)),"")</f>
        <v/>
      </c>
      <c r="M621" s="57" t="str">
        <f>IFERROR(INDEX([1]Cluster_Master!$H$4:$H$18,MATCH($F621,[1]Cluster_Master!$B$4:$B$18,0)),"")</f>
        <v/>
      </c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 t="str">
        <f>IF(COUNTA(T621:AH621)=0,"",SUM(T621:AH621))</f>
        <v/>
      </c>
      <c r="AJ621" s="57" t="str">
        <f>IF(COUNTA(T621:AH621)=0,"",AI621/75)</f>
        <v/>
      </c>
      <c r="AK621" s="57" t="str">
        <f>IF(COUNTA(T621:AH621)=0,"",(SUM(T621*[1]KPI_Weights!$B$4,U621*[1]KPI_Weights!$B$5,V621*[1]KPI_Weights!$B$6,W621*[1]KPI_Weights!$B$7,X621*[1]KPI_Weights!$B$8,Y621*[1]KPI_Weights!$B$9,Z621*[1]KPI_Weights!$B$10,AA621*[1]KPI_Weights!$B$11,AB621*[1]KPI_Weights!$B$12,AC621*[1]KPI_Weights!$B$13,AD621*[1]KPI_Weights!$B$14,AE621*[1]KPI_Weights!$B$15,AF621*[1]KPI_Weights!$B$16,AG621*[1]KPI_Weights!$B$17,AH621*[1]KPI_Weights!$B$18))/5)</f>
        <v/>
      </c>
      <c r="AL621" s="57" t="str">
        <f>IF(COUNTA(T621:AH621)=0,"",IF(OR(T621&lt;=1,W621&lt;=1,X621&lt;=1,Y621&lt;=1,AB621&lt;=1),"YES","NO"))</f>
        <v/>
      </c>
      <c r="AM621" s="57" t="str">
        <f>IF(AJ621="","",IF(AND(AL621="NO",AJ621&gt;=0.75),"YES","NO"))</f>
        <v/>
      </c>
      <c r="AN621" s="57" t="str">
        <f>IF(AJ621="","",IF(AJ621&lt;0.4,"Critical",IF(AJ621&lt;0.6,"Poor",IF(AJ621&lt;0.75,"Needs Improvement",IF(AJ621&lt;0.9,"Good","Excellent")))))</f>
        <v/>
      </c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</row>
    <row r="622" spans="1:54" ht="15" customHeight="1" x14ac:dyDescent="0.25">
      <c r="A622" s="57" t="str">
        <f>IF($B622="","",TEXT($B622,"yyyymmdd")&amp;"-"&amp;SUBSTITUTE($F622," ","")&amp;"-"&amp;TEXT(COUNTIF($F$4:F622,$F622),"00"))</f>
        <v/>
      </c>
      <c r="B622" s="57"/>
      <c r="C622" s="57" t="str">
        <f>IF($B622="","",WEEKNUM($B622,2))</f>
        <v/>
      </c>
      <c r="D622" s="57" t="str">
        <f>IF($B622="","",TEXT($B622,"yyyy-mm"))</f>
        <v/>
      </c>
      <c r="E622" s="57"/>
      <c r="F622" s="57"/>
      <c r="G622" s="57" t="str">
        <f>IF(OR($E622="",$F622=""),"",IFERROR(IF($E622=INDEX([1]Cluster_Master!$A$4:$A$18,MATCH($F622,[1]Cluster_Master!$B$4:$B$18,0)),"OK","CHECK"),"CHECK"))</f>
        <v/>
      </c>
      <c r="H622" s="57" t="str">
        <f>IFERROR(INDEX([1]Cluster_Master!$C$4:$C$18,MATCH($F622,[1]Cluster_Master!$B$4:$B$18,0)),"")</f>
        <v/>
      </c>
      <c r="I622" s="57" t="str">
        <f>IFERROR(INDEX([1]Cluster_Master!$D$4:$D$18,MATCH($F622,[1]Cluster_Master!$B$4:$B$18,0)),"")</f>
        <v/>
      </c>
      <c r="J622" s="57" t="str">
        <f>IFERROR(INDEX([1]Cluster_Master!$E$4:$E$18,MATCH($F622,[1]Cluster_Master!$B$4:$B$18,0)),"")</f>
        <v/>
      </c>
      <c r="K622" s="57" t="str">
        <f>IFERROR(INDEX([1]Cluster_Master!$F$4:$F$18,MATCH($F622,[1]Cluster_Master!$B$4:$B$18,0)),"")</f>
        <v/>
      </c>
      <c r="L622" s="57" t="str">
        <f>IFERROR(INDEX([1]Cluster_Master!$G$4:$G$18,MATCH($F622,[1]Cluster_Master!$B$4:$B$18,0)),"")</f>
        <v/>
      </c>
      <c r="M622" s="57" t="str">
        <f>IFERROR(INDEX([1]Cluster_Master!$H$4:$H$18,MATCH($F622,[1]Cluster_Master!$B$4:$B$18,0)),"")</f>
        <v/>
      </c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 t="str">
        <f>IF(COUNTA(T622:AH622)=0,"",SUM(T622:AH622))</f>
        <v/>
      </c>
      <c r="AJ622" s="57" t="str">
        <f>IF(COUNTA(T622:AH622)=0,"",AI622/75)</f>
        <v/>
      </c>
      <c r="AK622" s="57" t="str">
        <f>IF(COUNTA(T622:AH622)=0,"",(SUM(T622*[1]KPI_Weights!$B$4,U622*[1]KPI_Weights!$B$5,V622*[1]KPI_Weights!$B$6,W622*[1]KPI_Weights!$B$7,X622*[1]KPI_Weights!$B$8,Y622*[1]KPI_Weights!$B$9,Z622*[1]KPI_Weights!$B$10,AA622*[1]KPI_Weights!$B$11,AB622*[1]KPI_Weights!$B$12,AC622*[1]KPI_Weights!$B$13,AD622*[1]KPI_Weights!$B$14,AE622*[1]KPI_Weights!$B$15,AF622*[1]KPI_Weights!$B$16,AG622*[1]KPI_Weights!$B$17,AH622*[1]KPI_Weights!$B$18))/5)</f>
        <v/>
      </c>
      <c r="AL622" s="57" t="str">
        <f>IF(COUNTA(T622:AH622)=0,"",IF(OR(T622&lt;=1,W622&lt;=1,X622&lt;=1,Y622&lt;=1,AB622&lt;=1),"YES","NO"))</f>
        <v/>
      </c>
      <c r="AM622" s="57" t="str">
        <f>IF(AJ622="","",IF(AND(AL622="NO",AJ622&gt;=0.75),"YES","NO"))</f>
        <v/>
      </c>
      <c r="AN622" s="57" t="str">
        <f>IF(AJ622="","",IF(AJ622&lt;0.4,"Critical",IF(AJ622&lt;0.6,"Poor",IF(AJ622&lt;0.75,"Needs Improvement",IF(AJ622&lt;0.9,"Good","Excellent")))))</f>
        <v/>
      </c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</row>
    <row r="623" spans="1:54" ht="15" customHeight="1" x14ac:dyDescent="0.25">
      <c r="A623" s="57" t="str">
        <f>IF($B623="","",TEXT($B623,"yyyymmdd")&amp;"-"&amp;SUBSTITUTE($F623," ","")&amp;"-"&amp;TEXT(COUNTIF($F$4:F623,$F623),"00"))</f>
        <v/>
      </c>
      <c r="B623" s="57"/>
      <c r="C623" s="57" t="str">
        <f>IF($B623="","",WEEKNUM($B623,2))</f>
        <v/>
      </c>
      <c r="D623" s="57" t="str">
        <f>IF($B623="","",TEXT($B623,"yyyy-mm"))</f>
        <v/>
      </c>
      <c r="E623" s="57"/>
      <c r="F623" s="57"/>
      <c r="G623" s="57" t="str">
        <f>IF(OR($E623="",$F623=""),"",IFERROR(IF($E623=INDEX([1]Cluster_Master!$A$4:$A$18,MATCH($F623,[1]Cluster_Master!$B$4:$B$18,0)),"OK","CHECK"),"CHECK"))</f>
        <v/>
      </c>
      <c r="H623" s="57" t="str">
        <f>IFERROR(INDEX([1]Cluster_Master!$C$4:$C$18,MATCH($F623,[1]Cluster_Master!$B$4:$B$18,0)),"")</f>
        <v/>
      </c>
      <c r="I623" s="57" t="str">
        <f>IFERROR(INDEX([1]Cluster_Master!$D$4:$D$18,MATCH($F623,[1]Cluster_Master!$B$4:$B$18,0)),"")</f>
        <v/>
      </c>
      <c r="J623" s="57" t="str">
        <f>IFERROR(INDEX([1]Cluster_Master!$E$4:$E$18,MATCH($F623,[1]Cluster_Master!$B$4:$B$18,0)),"")</f>
        <v/>
      </c>
      <c r="K623" s="57" t="str">
        <f>IFERROR(INDEX([1]Cluster_Master!$F$4:$F$18,MATCH($F623,[1]Cluster_Master!$B$4:$B$18,0)),"")</f>
        <v/>
      </c>
      <c r="L623" s="57" t="str">
        <f>IFERROR(INDEX([1]Cluster_Master!$G$4:$G$18,MATCH($F623,[1]Cluster_Master!$B$4:$B$18,0)),"")</f>
        <v/>
      </c>
      <c r="M623" s="57" t="str">
        <f>IFERROR(INDEX([1]Cluster_Master!$H$4:$H$18,MATCH($F623,[1]Cluster_Master!$B$4:$B$18,0)),"")</f>
        <v/>
      </c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 t="str">
        <f>IF(COUNTA(T623:AH623)=0,"",SUM(T623:AH623))</f>
        <v/>
      </c>
      <c r="AJ623" s="57" t="str">
        <f>IF(COUNTA(T623:AH623)=0,"",AI623/75)</f>
        <v/>
      </c>
      <c r="AK623" s="57" t="str">
        <f>IF(COUNTA(T623:AH623)=0,"",(SUM(T623*[1]KPI_Weights!$B$4,U623*[1]KPI_Weights!$B$5,V623*[1]KPI_Weights!$B$6,W623*[1]KPI_Weights!$B$7,X623*[1]KPI_Weights!$B$8,Y623*[1]KPI_Weights!$B$9,Z623*[1]KPI_Weights!$B$10,AA623*[1]KPI_Weights!$B$11,AB623*[1]KPI_Weights!$B$12,AC623*[1]KPI_Weights!$B$13,AD623*[1]KPI_Weights!$B$14,AE623*[1]KPI_Weights!$B$15,AF623*[1]KPI_Weights!$B$16,AG623*[1]KPI_Weights!$B$17,AH623*[1]KPI_Weights!$B$18))/5)</f>
        <v/>
      </c>
      <c r="AL623" s="57" t="str">
        <f>IF(COUNTA(T623:AH623)=0,"",IF(OR(T623&lt;=1,W623&lt;=1,X623&lt;=1,Y623&lt;=1,AB623&lt;=1),"YES","NO"))</f>
        <v/>
      </c>
      <c r="AM623" s="57" t="str">
        <f>IF(AJ623="","",IF(AND(AL623="NO",AJ623&gt;=0.75),"YES","NO"))</f>
        <v/>
      </c>
      <c r="AN623" s="57" t="str">
        <f>IF(AJ623="","",IF(AJ623&lt;0.4,"Critical",IF(AJ623&lt;0.6,"Poor",IF(AJ623&lt;0.75,"Needs Improvement",IF(AJ623&lt;0.9,"Good","Excellent")))))</f>
        <v/>
      </c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  <c r="BB623" s="57"/>
    </row>
    <row r="624" spans="1:54" ht="15" customHeight="1" x14ac:dyDescent="0.25">
      <c r="A624" s="57" t="str">
        <f>IF($B624="","",TEXT($B624,"yyyymmdd")&amp;"-"&amp;SUBSTITUTE($F624," ","")&amp;"-"&amp;TEXT(COUNTIF($F$4:F624,$F624),"00"))</f>
        <v/>
      </c>
      <c r="B624" s="57"/>
      <c r="C624" s="57" t="str">
        <f>IF($B624="","",WEEKNUM($B624,2))</f>
        <v/>
      </c>
      <c r="D624" s="57" t="str">
        <f>IF($B624="","",TEXT($B624,"yyyy-mm"))</f>
        <v/>
      </c>
      <c r="E624" s="57"/>
      <c r="F624" s="57"/>
      <c r="G624" s="57" t="str">
        <f>IF(OR($E624="",$F624=""),"",IFERROR(IF($E624=INDEX([1]Cluster_Master!$A$4:$A$18,MATCH($F624,[1]Cluster_Master!$B$4:$B$18,0)),"OK","CHECK"),"CHECK"))</f>
        <v/>
      </c>
      <c r="H624" s="57" t="str">
        <f>IFERROR(INDEX([1]Cluster_Master!$C$4:$C$18,MATCH($F624,[1]Cluster_Master!$B$4:$B$18,0)),"")</f>
        <v/>
      </c>
      <c r="I624" s="57" t="str">
        <f>IFERROR(INDEX([1]Cluster_Master!$D$4:$D$18,MATCH($F624,[1]Cluster_Master!$B$4:$B$18,0)),"")</f>
        <v/>
      </c>
      <c r="J624" s="57" t="str">
        <f>IFERROR(INDEX([1]Cluster_Master!$E$4:$E$18,MATCH($F624,[1]Cluster_Master!$B$4:$B$18,0)),"")</f>
        <v/>
      </c>
      <c r="K624" s="57" t="str">
        <f>IFERROR(INDEX([1]Cluster_Master!$F$4:$F$18,MATCH($F624,[1]Cluster_Master!$B$4:$B$18,0)),"")</f>
        <v/>
      </c>
      <c r="L624" s="57" t="str">
        <f>IFERROR(INDEX([1]Cluster_Master!$G$4:$G$18,MATCH($F624,[1]Cluster_Master!$B$4:$B$18,0)),"")</f>
        <v/>
      </c>
      <c r="M624" s="57" t="str">
        <f>IFERROR(INDEX([1]Cluster_Master!$H$4:$H$18,MATCH($F624,[1]Cluster_Master!$B$4:$B$18,0)),"")</f>
        <v/>
      </c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 t="str">
        <f>IF(COUNTA(T624:AH624)=0,"",SUM(T624:AH624))</f>
        <v/>
      </c>
      <c r="AJ624" s="57" t="str">
        <f>IF(COUNTA(T624:AH624)=0,"",AI624/75)</f>
        <v/>
      </c>
      <c r="AK624" s="57" t="str">
        <f>IF(COUNTA(T624:AH624)=0,"",(SUM(T624*[1]KPI_Weights!$B$4,U624*[1]KPI_Weights!$B$5,V624*[1]KPI_Weights!$B$6,W624*[1]KPI_Weights!$B$7,X624*[1]KPI_Weights!$B$8,Y624*[1]KPI_Weights!$B$9,Z624*[1]KPI_Weights!$B$10,AA624*[1]KPI_Weights!$B$11,AB624*[1]KPI_Weights!$B$12,AC624*[1]KPI_Weights!$B$13,AD624*[1]KPI_Weights!$B$14,AE624*[1]KPI_Weights!$B$15,AF624*[1]KPI_Weights!$B$16,AG624*[1]KPI_Weights!$B$17,AH624*[1]KPI_Weights!$B$18))/5)</f>
        <v/>
      </c>
      <c r="AL624" s="57" t="str">
        <f>IF(COUNTA(T624:AH624)=0,"",IF(OR(T624&lt;=1,W624&lt;=1,X624&lt;=1,Y624&lt;=1,AB624&lt;=1),"YES","NO"))</f>
        <v/>
      </c>
      <c r="AM624" s="57" t="str">
        <f>IF(AJ624="","",IF(AND(AL624="NO",AJ624&gt;=0.75),"YES","NO"))</f>
        <v/>
      </c>
      <c r="AN624" s="57" t="str">
        <f>IF(AJ624="","",IF(AJ624&lt;0.4,"Critical",IF(AJ624&lt;0.6,"Poor",IF(AJ624&lt;0.75,"Needs Improvement",IF(AJ624&lt;0.9,"Good","Excellent")))))</f>
        <v/>
      </c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</row>
    <row r="625" spans="1:54" ht="15" customHeight="1" x14ac:dyDescent="0.25">
      <c r="A625" s="57" t="str">
        <f>IF($B625="","",TEXT($B625,"yyyymmdd")&amp;"-"&amp;SUBSTITUTE($F625," ","")&amp;"-"&amp;TEXT(COUNTIF($F$4:F625,$F625),"00"))</f>
        <v/>
      </c>
      <c r="B625" s="57"/>
      <c r="C625" s="57" t="str">
        <f>IF($B625="","",WEEKNUM($B625,2))</f>
        <v/>
      </c>
      <c r="D625" s="57" t="str">
        <f>IF($B625="","",TEXT($B625,"yyyy-mm"))</f>
        <v/>
      </c>
      <c r="E625" s="57"/>
      <c r="F625" s="57"/>
      <c r="G625" s="57" t="str">
        <f>IF(OR($E625="",$F625=""),"",IFERROR(IF($E625=INDEX([1]Cluster_Master!$A$4:$A$18,MATCH($F625,[1]Cluster_Master!$B$4:$B$18,0)),"OK","CHECK"),"CHECK"))</f>
        <v/>
      </c>
      <c r="H625" s="57" t="str">
        <f>IFERROR(INDEX([1]Cluster_Master!$C$4:$C$18,MATCH($F625,[1]Cluster_Master!$B$4:$B$18,0)),"")</f>
        <v/>
      </c>
      <c r="I625" s="57" t="str">
        <f>IFERROR(INDEX([1]Cluster_Master!$D$4:$D$18,MATCH($F625,[1]Cluster_Master!$B$4:$B$18,0)),"")</f>
        <v/>
      </c>
      <c r="J625" s="57" t="str">
        <f>IFERROR(INDEX([1]Cluster_Master!$E$4:$E$18,MATCH($F625,[1]Cluster_Master!$B$4:$B$18,0)),"")</f>
        <v/>
      </c>
      <c r="K625" s="57" t="str">
        <f>IFERROR(INDEX([1]Cluster_Master!$F$4:$F$18,MATCH($F625,[1]Cluster_Master!$B$4:$B$18,0)),"")</f>
        <v/>
      </c>
      <c r="L625" s="57" t="str">
        <f>IFERROR(INDEX([1]Cluster_Master!$G$4:$G$18,MATCH($F625,[1]Cluster_Master!$B$4:$B$18,0)),"")</f>
        <v/>
      </c>
      <c r="M625" s="57" t="str">
        <f>IFERROR(INDEX([1]Cluster_Master!$H$4:$H$18,MATCH($F625,[1]Cluster_Master!$B$4:$B$18,0)),"")</f>
        <v/>
      </c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 t="str">
        <f>IF(COUNTA(T625:AH625)=0,"",SUM(T625:AH625))</f>
        <v/>
      </c>
      <c r="AJ625" s="57" t="str">
        <f>IF(COUNTA(T625:AH625)=0,"",AI625/75)</f>
        <v/>
      </c>
      <c r="AK625" s="57" t="str">
        <f>IF(COUNTA(T625:AH625)=0,"",(SUM(T625*[1]KPI_Weights!$B$4,U625*[1]KPI_Weights!$B$5,V625*[1]KPI_Weights!$B$6,W625*[1]KPI_Weights!$B$7,X625*[1]KPI_Weights!$B$8,Y625*[1]KPI_Weights!$B$9,Z625*[1]KPI_Weights!$B$10,AA625*[1]KPI_Weights!$B$11,AB625*[1]KPI_Weights!$B$12,AC625*[1]KPI_Weights!$B$13,AD625*[1]KPI_Weights!$B$14,AE625*[1]KPI_Weights!$B$15,AF625*[1]KPI_Weights!$B$16,AG625*[1]KPI_Weights!$B$17,AH625*[1]KPI_Weights!$B$18))/5)</f>
        <v/>
      </c>
      <c r="AL625" s="57" t="str">
        <f>IF(COUNTA(T625:AH625)=0,"",IF(OR(T625&lt;=1,W625&lt;=1,X625&lt;=1,Y625&lt;=1,AB625&lt;=1),"YES","NO"))</f>
        <v/>
      </c>
      <c r="AM625" s="57" t="str">
        <f>IF(AJ625="","",IF(AND(AL625="NO",AJ625&gt;=0.75),"YES","NO"))</f>
        <v/>
      </c>
      <c r="AN625" s="57" t="str">
        <f>IF(AJ625="","",IF(AJ625&lt;0.4,"Critical",IF(AJ625&lt;0.6,"Poor",IF(AJ625&lt;0.75,"Needs Improvement",IF(AJ625&lt;0.9,"Good","Excellent")))))</f>
        <v/>
      </c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  <c r="BB625" s="57"/>
    </row>
    <row r="626" spans="1:54" ht="15" customHeight="1" x14ac:dyDescent="0.25">
      <c r="A626" s="57" t="str">
        <f>IF($B626="","",TEXT($B626,"yyyymmdd")&amp;"-"&amp;SUBSTITUTE($F626," ","")&amp;"-"&amp;TEXT(COUNTIF($F$4:F626,$F626),"00"))</f>
        <v/>
      </c>
      <c r="B626" s="57"/>
      <c r="C626" s="57" t="str">
        <f>IF($B626="","",WEEKNUM($B626,2))</f>
        <v/>
      </c>
      <c r="D626" s="57" t="str">
        <f>IF($B626="","",TEXT($B626,"yyyy-mm"))</f>
        <v/>
      </c>
      <c r="E626" s="57"/>
      <c r="F626" s="57"/>
      <c r="G626" s="57" t="str">
        <f>IF(OR($E626="",$F626=""),"",IFERROR(IF($E626=INDEX([1]Cluster_Master!$A$4:$A$18,MATCH($F626,[1]Cluster_Master!$B$4:$B$18,0)),"OK","CHECK"),"CHECK"))</f>
        <v/>
      </c>
      <c r="H626" s="57" t="str">
        <f>IFERROR(INDEX([1]Cluster_Master!$C$4:$C$18,MATCH($F626,[1]Cluster_Master!$B$4:$B$18,0)),"")</f>
        <v/>
      </c>
      <c r="I626" s="57" t="str">
        <f>IFERROR(INDEX([1]Cluster_Master!$D$4:$D$18,MATCH($F626,[1]Cluster_Master!$B$4:$B$18,0)),"")</f>
        <v/>
      </c>
      <c r="J626" s="57" t="str">
        <f>IFERROR(INDEX([1]Cluster_Master!$E$4:$E$18,MATCH($F626,[1]Cluster_Master!$B$4:$B$18,0)),"")</f>
        <v/>
      </c>
      <c r="K626" s="57" t="str">
        <f>IFERROR(INDEX([1]Cluster_Master!$F$4:$F$18,MATCH($F626,[1]Cluster_Master!$B$4:$B$18,0)),"")</f>
        <v/>
      </c>
      <c r="L626" s="57" t="str">
        <f>IFERROR(INDEX([1]Cluster_Master!$G$4:$G$18,MATCH($F626,[1]Cluster_Master!$B$4:$B$18,0)),"")</f>
        <v/>
      </c>
      <c r="M626" s="57" t="str">
        <f>IFERROR(INDEX([1]Cluster_Master!$H$4:$H$18,MATCH($F626,[1]Cluster_Master!$B$4:$B$18,0)),"")</f>
        <v/>
      </c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 t="str">
        <f>IF(COUNTA(T626:AH626)=0,"",SUM(T626:AH626))</f>
        <v/>
      </c>
      <c r="AJ626" s="57" t="str">
        <f>IF(COUNTA(T626:AH626)=0,"",AI626/75)</f>
        <v/>
      </c>
      <c r="AK626" s="57" t="str">
        <f>IF(COUNTA(T626:AH626)=0,"",(SUM(T626*[1]KPI_Weights!$B$4,U626*[1]KPI_Weights!$B$5,V626*[1]KPI_Weights!$B$6,W626*[1]KPI_Weights!$B$7,X626*[1]KPI_Weights!$B$8,Y626*[1]KPI_Weights!$B$9,Z626*[1]KPI_Weights!$B$10,AA626*[1]KPI_Weights!$B$11,AB626*[1]KPI_Weights!$B$12,AC626*[1]KPI_Weights!$B$13,AD626*[1]KPI_Weights!$B$14,AE626*[1]KPI_Weights!$B$15,AF626*[1]KPI_Weights!$B$16,AG626*[1]KPI_Weights!$B$17,AH626*[1]KPI_Weights!$B$18))/5)</f>
        <v/>
      </c>
      <c r="AL626" s="57" t="str">
        <f>IF(COUNTA(T626:AH626)=0,"",IF(OR(T626&lt;=1,W626&lt;=1,X626&lt;=1,Y626&lt;=1,AB626&lt;=1),"YES","NO"))</f>
        <v/>
      </c>
      <c r="AM626" s="57" t="str">
        <f>IF(AJ626="","",IF(AND(AL626="NO",AJ626&gt;=0.75),"YES","NO"))</f>
        <v/>
      </c>
      <c r="AN626" s="57" t="str">
        <f>IF(AJ626="","",IF(AJ626&lt;0.4,"Critical",IF(AJ626&lt;0.6,"Poor",IF(AJ626&lt;0.75,"Needs Improvement",IF(AJ626&lt;0.9,"Good","Excellent")))))</f>
        <v/>
      </c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</row>
    <row r="627" spans="1:54" ht="15" customHeight="1" x14ac:dyDescent="0.25">
      <c r="A627" s="57" t="str">
        <f>IF($B627="","",TEXT($B627,"yyyymmdd")&amp;"-"&amp;SUBSTITUTE($F627," ","")&amp;"-"&amp;TEXT(COUNTIF($F$4:F627,$F627),"00"))</f>
        <v/>
      </c>
      <c r="B627" s="57"/>
      <c r="C627" s="57" t="str">
        <f>IF($B627="","",WEEKNUM($B627,2))</f>
        <v/>
      </c>
      <c r="D627" s="57" t="str">
        <f>IF($B627="","",TEXT($B627,"yyyy-mm"))</f>
        <v/>
      </c>
      <c r="E627" s="57"/>
      <c r="F627" s="57"/>
      <c r="G627" s="57" t="str">
        <f>IF(OR($E627="",$F627=""),"",IFERROR(IF($E627=INDEX([1]Cluster_Master!$A$4:$A$18,MATCH($F627,[1]Cluster_Master!$B$4:$B$18,0)),"OK","CHECK"),"CHECK"))</f>
        <v/>
      </c>
      <c r="H627" s="57" t="str">
        <f>IFERROR(INDEX([1]Cluster_Master!$C$4:$C$18,MATCH($F627,[1]Cluster_Master!$B$4:$B$18,0)),"")</f>
        <v/>
      </c>
      <c r="I627" s="57" t="str">
        <f>IFERROR(INDEX([1]Cluster_Master!$D$4:$D$18,MATCH($F627,[1]Cluster_Master!$B$4:$B$18,0)),"")</f>
        <v/>
      </c>
      <c r="J627" s="57" t="str">
        <f>IFERROR(INDEX([1]Cluster_Master!$E$4:$E$18,MATCH($F627,[1]Cluster_Master!$B$4:$B$18,0)),"")</f>
        <v/>
      </c>
      <c r="K627" s="57" t="str">
        <f>IFERROR(INDEX([1]Cluster_Master!$F$4:$F$18,MATCH($F627,[1]Cluster_Master!$B$4:$B$18,0)),"")</f>
        <v/>
      </c>
      <c r="L627" s="57" t="str">
        <f>IFERROR(INDEX([1]Cluster_Master!$G$4:$G$18,MATCH($F627,[1]Cluster_Master!$B$4:$B$18,0)),"")</f>
        <v/>
      </c>
      <c r="M627" s="57" t="str">
        <f>IFERROR(INDEX([1]Cluster_Master!$H$4:$H$18,MATCH($F627,[1]Cluster_Master!$B$4:$B$18,0)),"")</f>
        <v/>
      </c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 t="str">
        <f>IF(COUNTA(T627:AH627)=0,"",SUM(T627:AH627))</f>
        <v/>
      </c>
      <c r="AJ627" s="57" t="str">
        <f>IF(COUNTA(T627:AH627)=0,"",AI627/75)</f>
        <v/>
      </c>
      <c r="AK627" s="57" t="str">
        <f>IF(COUNTA(T627:AH627)=0,"",(SUM(T627*[1]KPI_Weights!$B$4,U627*[1]KPI_Weights!$B$5,V627*[1]KPI_Weights!$B$6,W627*[1]KPI_Weights!$B$7,X627*[1]KPI_Weights!$B$8,Y627*[1]KPI_Weights!$B$9,Z627*[1]KPI_Weights!$B$10,AA627*[1]KPI_Weights!$B$11,AB627*[1]KPI_Weights!$B$12,AC627*[1]KPI_Weights!$B$13,AD627*[1]KPI_Weights!$B$14,AE627*[1]KPI_Weights!$B$15,AF627*[1]KPI_Weights!$B$16,AG627*[1]KPI_Weights!$B$17,AH627*[1]KPI_Weights!$B$18))/5)</f>
        <v/>
      </c>
      <c r="AL627" s="57" t="str">
        <f>IF(COUNTA(T627:AH627)=0,"",IF(OR(T627&lt;=1,W627&lt;=1,X627&lt;=1,Y627&lt;=1,AB627&lt;=1),"YES","NO"))</f>
        <v/>
      </c>
      <c r="AM627" s="57" t="str">
        <f>IF(AJ627="","",IF(AND(AL627="NO",AJ627&gt;=0.75),"YES","NO"))</f>
        <v/>
      </c>
      <c r="AN627" s="57" t="str">
        <f>IF(AJ627="","",IF(AJ627&lt;0.4,"Critical",IF(AJ627&lt;0.6,"Poor",IF(AJ627&lt;0.75,"Needs Improvement",IF(AJ627&lt;0.9,"Good","Excellent")))))</f>
        <v/>
      </c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  <c r="BB627" s="57"/>
    </row>
    <row r="628" spans="1:54" ht="15" customHeight="1" x14ac:dyDescent="0.25">
      <c r="A628" s="57" t="str">
        <f>IF($B628="","",TEXT($B628,"yyyymmdd")&amp;"-"&amp;SUBSTITUTE($F628," ","")&amp;"-"&amp;TEXT(COUNTIF($F$4:F628,$F628),"00"))</f>
        <v/>
      </c>
      <c r="B628" s="57"/>
      <c r="C628" s="57" t="str">
        <f>IF($B628="","",WEEKNUM($B628,2))</f>
        <v/>
      </c>
      <c r="D628" s="57" t="str">
        <f>IF($B628="","",TEXT($B628,"yyyy-mm"))</f>
        <v/>
      </c>
      <c r="E628" s="57"/>
      <c r="F628" s="57"/>
      <c r="G628" s="57" t="str">
        <f>IF(OR($E628="",$F628=""),"",IFERROR(IF($E628=INDEX([1]Cluster_Master!$A$4:$A$18,MATCH($F628,[1]Cluster_Master!$B$4:$B$18,0)),"OK","CHECK"),"CHECK"))</f>
        <v/>
      </c>
      <c r="H628" s="57" t="str">
        <f>IFERROR(INDEX([1]Cluster_Master!$C$4:$C$18,MATCH($F628,[1]Cluster_Master!$B$4:$B$18,0)),"")</f>
        <v/>
      </c>
      <c r="I628" s="57" t="str">
        <f>IFERROR(INDEX([1]Cluster_Master!$D$4:$D$18,MATCH($F628,[1]Cluster_Master!$B$4:$B$18,0)),"")</f>
        <v/>
      </c>
      <c r="J628" s="57" t="str">
        <f>IFERROR(INDEX([1]Cluster_Master!$E$4:$E$18,MATCH($F628,[1]Cluster_Master!$B$4:$B$18,0)),"")</f>
        <v/>
      </c>
      <c r="K628" s="57" t="str">
        <f>IFERROR(INDEX([1]Cluster_Master!$F$4:$F$18,MATCH($F628,[1]Cluster_Master!$B$4:$B$18,0)),"")</f>
        <v/>
      </c>
      <c r="L628" s="57" t="str">
        <f>IFERROR(INDEX([1]Cluster_Master!$G$4:$G$18,MATCH($F628,[1]Cluster_Master!$B$4:$B$18,0)),"")</f>
        <v/>
      </c>
      <c r="M628" s="57" t="str">
        <f>IFERROR(INDEX([1]Cluster_Master!$H$4:$H$18,MATCH($F628,[1]Cluster_Master!$B$4:$B$18,0)),"")</f>
        <v/>
      </c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 t="str">
        <f>IF(COUNTA(T628:AH628)=0,"",SUM(T628:AH628))</f>
        <v/>
      </c>
      <c r="AJ628" s="57" t="str">
        <f>IF(COUNTA(T628:AH628)=0,"",AI628/75)</f>
        <v/>
      </c>
      <c r="AK628" s="57" t="str">
        <f>IF(COUNTA(T628:AH628)=0,"",(SUM(T628*[1]KPI_Weights!$B$4,U628*[1]KPI_Weights!$B$5,V628*[1]KPI_Weights!$B$6,W628*[1]KPI_Weights!$B$7,X628*[1]KPI_Weights!$B$8,Y628*[1]KPI_Weights!$B$9,Z628*[1]KPI_Weights!$B$10,AA628*[1]KPI_Weights!$B$11,AB628*[1]KPI_Weights!$B$12,AC628*[1]KPI_Weights!$B$13,AD628*[1]KPI_Weights!$B$14,AE628*[1]KPI_Weights!$B$15,AF628*[1]KPI_Weights!$B$16,AG628*[1]KPI_Weights!$B$17,AH628*[1]KPI_Weights!$B$18))/5)</f>
        <v/>
      </c>
      <c r="AL628" s="57" t="str">
        <f>IF(COUNTA(T628:AH628)=0,"",IF(OR(T628&lt;=1,W628&lt;=1,X628&lt;=1,Y628&lt;=1,AB628&lt;=1),"YES","NO"))</f>
        <v/>
      </c>
      <c r="AM628" s="57" t="str">
        <f>IF(AJ628="","",IF(AND(AL628="NO",AJ628&gt;=0.75),"YES","NO"))</f>
        <v/>
      </c>
      <c r="AN628" s="57" t="str">
        <f>IF(AJ628="","",IF(AJ628&lt;0.4,"Critical",IF(AJ628&lt;0.6,"Poor",IF(AJ628&lt;0.75,"Needs Improvement",IF(AJ628&lt;0.9,"Good","Excellent")))))</f>
        <v/>
      </c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  <c r="BB628" s="57"/>
    </row>
    <row r="629" spans="1:54" ht="15" customHeight="1" x14ac:dyDescent="0.25">
      <c r="A629" s="57" t="str">
        <f>IF($B629="","",TEXT($B629,"yyyymmdd")&amp;"-"&amp;SUBSTITUTE($F629," ","")&amp;"-"&amp;TEXT(COUNTIF($F$4:F629,$F629),"00"))</f>
        <v/>
      </c>
      <c r="B629" s="57"/>
      <c r="C629" s="57" t="str">
        <f>IF($B629="","",WEEKNUM($B629,2))</f>
        <v/>
      </c>
      <c r="D629" s="57" t="str">
        <f>IF($B629="","",TEXT($B629,"yyyy-mm"))</f>
        <v/>
      </c>
      <c r="E629" s="57"/>
      <c r="F629" s="57"/>
      <c r="G629" s="57" t="str">
        <f>IF(OR($E629="",$F629=""),"",IFERROR(IF($E629=INDEX([1]Cluster_Master!$A$4:$A$18,MATCH($F629,[1]Cluster_Master!$B$4:$B$18,0)),"OK","CHECK"),"CHECK"))</f>
        <v/>
      </c>
      <c r="H629" s="57" t="str">
        <f>IFERROR(INDEX([1]Cluster_Master!$C$4:$C$18,MATCH($F629,[1]Cluster_Master!$B$4:$B$18,0)),"")</f>
        <v/>
      </c>
      <c r="I629" s="57" t="str">
        <f>IFERROR(INDEX([1]Cluster_Master!$D$4:$D$18,MATCH($F629,[1]Cluster_Master!$B$4:$B$18,0)),"")</f>
        <v/>
      </c>
      <c r="J629" s="57" t="str">
        <f>IFERROR(INDEX([1]Cluster_Master!$E$4:$E$18,MATCH($F629,[1]Cluster_Master!$B$4:$B$18,0)),"")</f>
        <v/>
      </c>
      <c r="K629" s="57" t="str">
        <f>IFERROR(INDEX([1]Cluster_Master!$F$4:$F$18,MATCH($F629,[1]Cluster_Master!$B$4:$B$18,0)),"")</f>
        <v/>
      </c>
      <c r="L629" s="57" t="str">
        <f>IFERROR(INDEX([1]Cluster_Master!$G$4:$G$18,MATCH($F629,[1]Cluster_Master!$B$4:$B$18,0)),"")</f>
        <v/>
      </c>
      <c r="M629" s="57" t="str">
        <f>IFERROR(INDEX([1]Cluster_Master!$H$4:$H$18,MATCH($F629,[1]Cluster_Master!$B$4:$B$18,0)),"")</f>
        <v/>
      </c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 t="str">
        <f>IF(COUNTA(T629:AH629)=0,"",SUM(T629:AH629))</f>
        <v/>
      </c>
      <c r="AJ629" s="57" t="str">
        <f>IF(COUNTA(T629:AH629)=0,"",AI629/75)</f>
        <v/>
      </c>
      <c r="AK629" s="57" t="str">
        <f>IF(COUNTA(T629:AH629)=0,"",(SUM(T629*[1]KPI_Weights!$B$4,U629*[1]KPI_Weights!$B$5,V629*[1]KPI_Weights!$B$6,W629*[1]KPI_Weights!$B$7,X629*[1]KPI_Weights!$B$8,Y629*[1]KPI_Weights!$B$9,Z629*[1]KPI_Weights!$B$10,AA629*[1]KPI_Weights!$B$11,AB629*[1]KPI_Weights!$B$12,AC629*[1]KPI_Weights!$B$13,AD629*[1]KPI_Weights!$B$14,AE629*[1]KPI_Weights!$B$15,AF629*[1]KPI_Weights!$B$16,AG629*[1]KPI_Weights!$B$17,AH629*[1]KPI_Weights!$B$18))/5)</f>
        <v/>
      </c>
      <c r="AL629" s="57" t="str">
        <f>IF(COUNTA(T629:AH629)=0,"",IF(OR(T629&lt;=1,W629&lt;=1,X629&lt;=1,Y629&lt;=1,AB629&lt;=1),"YES","NO"))</f>
        <v/>
      </c>
      <c r="AM629" s="57" t="str">
        <f>IF(AJ629="","",IF(AND(AL629="NO",AJ629&gt;=0.75),"YES","NO"))</f>
        <v/>
      </c>
      <c r="AN629" s="57" t="str">
        <f>IF(AJ629="","",IF(AJ629&lt;0.4,"Critical",IF(AJ629&lt;0.6,"Poor",IF(AJ629&lt;0.75,"Needs Improvement",IF(AJ629&lt;0.9,"Good","Excellent")))))</f>
        <v/>
      </c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</row>
    <row r="630" spans="1:54" ht="15" customHeight="1" x14ac:dyDescent="0.25">
      <c r="A630" s="57" t="str">
        <f>IF($B630="","",TEXT($B630,"yyyymmdd")&amp;"-"&amp;SUBSTITUTE($F630," ","")&amp;"-"&amp;TEXT(COUNTIF($F$4:F630,$F630),"00"))</f>
        <v/>
      </c>
      <c r="B630" s="57"/>
      <c r="C630" s="57" t="str">
        <f>IF($B630="","",WEEKNUM($B630,2))</f>
        <v/>
      </c>
      <c r="D630" s="57" t="str">
        <f>IF($B630="","",TEXT($B630,"yyyy-mm"))</f>
        <v/>
      </c>
      <c r="E630" s="57"/>
      <c r="F630" s="57"/>
      <c r="G630" s="57" t="str">
        <f>IF(OR($E630="",$F630=""),"",IFERROR(IF($E630=INDEX([1]Cluster_Master!$A$4:$A$18,MATCH($F630,[1]Cluster_Master!$B$4:$B$18,0)),"OK","CHECK"),"CHECK"))</f>
        <v/>
      </c>
      <c r="H630" s="57" t="str">
        <f>IFERROR(INDEX([1]Cluster_Master!$C$4:$C$18,MATCH($F630,[1]Cluster_Master!$B$4:$B$18,0)),"")</f>
        <v/>
      </c>
      <c r="I630" s="57" t="str">
        <f>IFERROR(INDEX([1]Cluster_Master!$D$4:$D$18,MATCH($F630,[1]Cluster_Master!$B$4:$B$18,0)),"")</f>
        <v/>
      </c>
      <c r="J630" s="57" t="str">
        <f>IFERROR(INDEX([1]Cluster_Master!$E$4:$E$18,MATCH($F630,[1]Cluster_Master!$B$4:$B$18,0)),"")</f>
        <v/>
      </c>
      <c r="K630" s="57" t="str">
        <f>IFERROR(INDEX([1]Cluster_Master!$F$4:$F$18,MATCH($F630,[1]Cluster_Master!$B$4:$B$18,0)),"")</f>
        <v/>
      </c>
      <c r="L630" s="57" t="str">
        <f>IFERROR(INDEX([1]Cluster_Master!$G$4:$G$18,MATCH($F630,[1]Cluster_Master!$B$4:$B$18,0)),"")</f>
        <v/>
      </c>
      <c r="M630" s="57" t="str">
        <f>IFERROR(INDEX([1]Cluster_Master!$H$4:$H$18,MATCH($F630,[1]Cluster_Master!$B$4:$B$18,0)),"")</f>
        <v/>
      </c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 t="str">
        <f>IF(COUNTA(T630:AH630)=0,"",SUM(T630:AH630))</f>
        <v/>
      </c>
      <c r="AJ630" s="57" t="str">
        <f>IF(COUNTA(T630:AH630)=0,"",AI630/75)</f>
        <v/>
      </c>
      <c r="AK630" s="57" t="str">
        <f>IF(COUNTA(T630:AH630)=0,"",(SUM(T630*[1]KPI_Weights!$B$4,U630*[1]KPI_Weights!$B$5,V630*[1]KPI_Weights!$B$6,W630*[1]KPI_Weights!$B$7,X630*[1]KPI_Weights!$B$8,Y630*[1]KPI_Weights!$B$9,Z630*[1]KPI_Weights!$B$10,AA630*[1]KPI_Weights!$B$11,AB630*[1]KPI_Weights!$B$12,AC630*[1]KPI_Weights!$B$13,AD630*[1]KPI_Weights!$B$14,AE630*[1]KPI_Weights!$B$15,AF630*[1]KPI_Weights!$B$16,AG630*[1]KPI_Weights!$B$17,AH630*[1]KPI_Weights!$B$18))/5)</f>
        <v/>
      </c>
      <c r="AL630" s="57" t="str">
        <f>IF(COUNTA(T630:AH630)=0,"",IF(OR(T630&lt;=1,W630&lt;=1,X630&lt;=1,Y630&lt;=1,AB630&lt;=1),"YES","NO"))</f>
        <v/>
      </c>
      <c r="AM630" s="57" t="str">
        <f>IF(AJ630="","",IF(AND(AL630="NO",AJ630&gt;=0.75),"YES","NO"))</f>
        <v/>
      </c>
      <c r="AN630" s="57" t="str">
        <f>IF(AJ630="","",IF(AJ630&lt;0.4,"Critical",IF(AJ630&lt;0.6,"Poor",IF(AJ630&lt;0.75,"Needs Improvement",IF(AJ630&lt;0.9,"Good","Excellent")))))</f>
        <v/>
      </c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  <c r="BB630" s="57"/>
    </row>
    <row r="631" spans="1:54" ht="15" customHeight="1" x14ac:dyDescent="0.25">
      <c r="A631" s="29" t="str">
        <f>IF($B631="","",TEXT($B631,"yyyymmdd")&amp;"-"&amp;SUBSTITUTE($F631," ","")&amp;"-"&amp;TEXT(COUNTIF($F$4:F631,$F631),"00"))</f>
        <v/>
      </c>
      <c r="C631" s="29" t="str">
        <f>IF($B631="","",WEEKNUM($B631,2))</f>
        <v/>
      </c>
      <c r="D631" s="29" t="str">
        <f>IF($B631="","",TEXT($B631,"yyyy-mm"))</f>
        <v/>
      </c>
      <c r="G631" s="29" t="str">
        <f>IF(OR($E631="",$F631=""),"",IFERROR(IF($E631=INDEX([1]Cluster_Master!$A$4:$A$18,MATCH($F631,[1]Cluster_Master!$B$4:$B$18,0)),"OK","CHECK"),"CHECK"))</f>
        <v/>
      </c>
      <c r="H631" s="29" t="str">
        <f>IFERROR(INDEX([1]Cluster_Master!$C$4:$C$18,MATCH($F631,[1]Cluster_Master!$B$4:$B$18,0)),"")</f>
        <v/>
      </c>
      <c r="I631" s="29" t="str">
        <f>IFERROR(INDEX([1]Cluster_Master!$D$4:$D$18,MATCH($F631,[1]Cluster_Master!$B$4:$B$18,0)),"")</f>
        <v/>
      </c>
      <c r="J631" s="29" t="str">
        <f>IFERROR(INDEX([1]Cluster_Master!$E$4:$E$18,MATCH($F631,[1]Cluster_Master!$B$4:$B$18,0)),"")</f>
        <v/>
      </c>
      <c r="K631" s="29" t="str">
        <f>IFERROR(INDEX([1]Cluster_Master!$F$4:$F$18,MATCH($F631,[1]Cluster_Master!$B$4:$B$18,0)),"")</f>
        <v/>
      </c>
      <c r="L631" s="29" t="str">
        <f>IFERROR(INDEX([1]Cluster_Master!$G$4:$G$18,MATCH($F631,[1]Cluster_Master!$B$4:$B$18,0)),"")</f>
        <v/>
      </c>
      <c r="M631" s="29" t="str">
        <f>IFERROR(INDEX([1]Cluster_Master!$H$4:$H$18,MATCH($F631,[1]Cluster_Master!$B$4:$B$18,0)),"")</f>
        <v/>
      </c>
      <c r="AI631" s="29" t="str">
        <f>IF(COUNTA(T631:AH631)=0,"",SUM(T631:AH631))</f>
        <v/>
      </c>
      <c r="AJ631" s="29" t="str">
        <f>IF(COUNTA(T631:AH631)=0,"",AI631/75)</f>
        <v/>
      </c>
      <c r="AK631" s="29" t="str">
        <f>IF(COUNTA(T631:AH631)=0,"",(SUM(T631*[1]KPI_Weights!$B$4,U631*[1]KPI_Weights!$B$5,V631*[1]KPI_Weights!$B$6,W631*[1]KPI_Weights!$B$7,X631*[1]KPI_Weights!$B$8,Y631*[1]KPI_Weights!$B$9,Z631*[1]KPI_Weights!$B$10,AA631*[1]KPI_Weights!$B$11,AB631*[1]KPI_Weights!$B$12,AC631*[1]KPI_Weights!$B$13,AD631*[1]KPI_Weights!$B$14,AE631*[1]KPI_Weights!$B$15,AF631*[1]KPI_Weights!$B$16,AG631*[1]KPI_Weights!$B$17,AH631*[1]KPI_Weights!$B$18))/5)</f>
        <v/>
      </c>
      <c r="AL631" s="29" t="str">
        <f>IF(COUNTA(T631:AH631)=0,"",IF(OR(T631&lt;=1,W631&lt;=1,X631&lt;=1,Y631&lt;=1,AB631&lt;=1),"YES","NO"))</f>
        <v/>
      </c>
      <c r="AM631" s="29" t="str">
        <f>IF(AJ631="","",IF(AND(AL631="NO",AJ631&gt;=0.75),"YES","NO"))</f>
        <v/>
      </c>
      <c r="AN631" s="29" t="str">
        <f>IF(AJ631="","",IF(AJ631&lt;0.4,"Critical",IF(AJ631&lt;0.6,"Poor",IF(AJ631&lt;0.75,"Needs Improvement",IF(AJ631&lt;0.9,"Good","Excellent")))))</f>
        <v/>
      </c>
    </row>
    <row r="632" spans="1:54" ht="15" customHeight="1" x14ac:dyDescent="0.25">
      <c r="A632" s="29" t="str">
        <f>IF($B632="","",TEXT($B632,"yyyymmdd")&amp;"-"&amp;SUBSTITUTE($F632," ","")&amp;"-"&amp;TEXT(COUNTIF($F$4:F632,$F632),"00"))</f>
        <v/>
      </c>
      <c r="C632" s="29" t="str">
        <f>IF($B632="","",WEEKNUM($B632,2))</f>
        <v/>
      </c>
      <c r="D632" s="29" t="str">
        <f>IF($B632="","",TEXT($B632,"yyyy-mm"))</f>
        <v/>
      </c>
      <c r="G632" s="29" t="str">
        <f>IF(OR($E632="",$F632=""),"",IFERROR(IF($E632=INDEX([1]Cluster_Master!$A$4:$A$18,MATCH($F632,[1]Cluster_Master!$B$4:$B$18,0)),"OK","CHECK"),"CHECK"))</f>
        <v/>
      </c>
      <c r="H632" s="29" t="str">
        <f>IFERROR(INDEX([1]Cluster_Master!$C$4:$C$18,MATCH($F632,[1]Cluster_Master!$B$4:$B$18,0)),"")</f>
        <v/>
      </c>
      <c r="I632" s="29" t="str">
        <f>IFERROR(INDEX([1]Cluster_Master!$D$4:$D$18,MATCH($F632,[1]Cluster_Master!$B$4:$B$18,0)),"")</f>
        <v/>
      </c>
      <c r="J632" s="29" t="str">
        <f>IFERROR(INDEX([1]Cluster_Master!$E$4:$E$18,MATCH($F632,[1]Cluster_Master!$B$4:$B$18,0)),"")</f>
        <v/>
      </c>
      <c r="K632" s="29" t="str">
        <f>IFERROR(INDEX([1]Cluster_Master!$F$4:$F$18,MATCH($F632,[1]Cluster_Master!$B$4:$B$18,0)),"")</f>
        <v/>
      </c>
      <c r="L632" s="29" t="str">
        <f>IFERROR(INDEX([1]Cluster_Master!$G$4:$G$18,MATCH($F632,[1]Cluster_Master!$B$4:$B$18,0)),"")</f>
        <v/>
      </c>
      <c r="M632" s="29" t="str">
        <f>IFERROR(INDEX([1]Cluster_Master!$H$4:$H$18,MATCH($F632,[1]Cluster_Master!$B$4:$B$18,0)),"")</f>
        <v/>
      </c>
      <c r="AI632" s="29" t="str">
        <f>IF(COUNTA(T632:AH632)=0,"",SUM(T632:AH632))</f>
        <v/>
      </c>
      <c r="AJ632" s="29" t="str">
        <f>IF(COUNTA(T632:AH632)=0,"",AI632/75)</f>
        <v/>
      </c>
      <c r="AK632" s="29" t="str">
        <f>IF(COUNTA(T632:AH632)=0,"",(SUM(T632*[1]KPI_Weights!$B$4,U632*[1]KPI_Weights!$B$5,V632*[1]KPI_Weights!$B$6,W632*[1]KPI_Weights!$B$7,X632*[1]KPI_Weights!$B$8,Y632*[1]KPI_Weights!$B$9,Z632*[1]KPI_Weights!$B$10,AA632*[1]KPI_Weights!$B$11,AB632*[1]KPI_Weights!$B$12,AC632*[1]KPI_Weights!$B$13,AD632*[1]KPI_Weights!$B$14,AE632*[1]KPI_Weights!$B$15,AF632*[1]KPI_Weights!$B$16,AG632*[1]KPI_Weights!$B$17,AH632*[1]KPI_Weights!$B$18))/5)</f>
        <v/>
      </c>
      <c r="AL632" s="29" t="str">
        <f>IF(COUNTA(T632:AH632)=0,"",IF(OR(T632&lt;=1,W632&lt;=1,X632&lt;=1,Y632&lt;=1,AB632&lt;=1),"YES","NO"))</f>
        <v/>
      </c>
      <c r="AM632" s="29" t="str">
        <f>IF(AJ632="","",IF(AND(AL632="NO",AJ632&gt;=0.75),"YES","NO"))</f>
        <v/>
      </c>
      <c r="AN632" s="29" t="str">
        <f>IF(AJ632="","",IF(AJ632&lt;0.4,"Critical",IF(AJ632&lt;0.6,"Poor",IF(AJ632&lt;0.75,"Needs Improvement",IF(AJ632&lt;0.9,"Good","Excellent")))))</f>
        <v/>
      </c>
    </row>
    <row r="633" spans="1:54" ht="15" customHeight="1" x14ac:dyDescent="0.25">
      <c r="A633" s="29" t="str">
        <f>IF($B633="","",TEXT($B633,"yyyymmdd")&amp;"-"&amp;SUBSTITUTE($F633," ","")&amp;"-"&amp;TEXT(COUNTIF($F$4:F633,$F633),"00"))</f>
        <v/>
      </c>
      <c r="C633" s="29" t="str">
        <f>IF($B633="","",WEEKNUM($B633,2))</f>
        <v/>
      </c>
      <c r="D633" s="29" t="str">
        <f>IF($B633="","",TEXT($B633,"yyyy-mm"))</f>
        <v/>
      </c>
      <c r="G633" s="29" t="str">
        <f>IF(OR($E633="",$F633=""),"",IFERROR(IF($E633=INDEX([1]Cluster_Master!$A$4:$A$18,MATCH($F633,[1]Cluster_Master!$B$4:$B$18,0)),"OK","CHECK"),"CHECK"))</f>
        <v/>
      </c>
      <c r="H633" s="29" t="str">
        <f>IFERROR(INDEX([1]Cluster_Master!$C$4:$C$18,MATCH($F633,[1]Cluster_Master!$B$4:$B$18,0)),"")</f>
        <v/>
      </c>
      <c r="I633" s="29" t="str">
        <f>IFERROR(INDEX([1]Cluster_Master!$D$4:$D$18,MATCH($F633,[1]Cluster_Master!$B$4:$B$18,0)),"")</f>
        <v/>
      </c>
      <c r="J633" s="29" t="str">
        <f>IFERROR(INDEX([1]Cluster_Master!$E$4:$E$18,MATCH($F633,[1]Cluster_Master!$B$4:$B$18,0)),"")</f>
        <v/>
      </c>
      <c r="K633" s="29" t="str">
        <f>IFERROR(INDEX([1]Cluster_Master!$F$4:$F$18,MATCH($F633,[1]Cluster_Master!$B$4:$B$18,0)),"")</f>
        <v/>
      </c>
      <c r="L633" s="29" t="str">
        <f>IFERROR(INDEX([1]Cluster_Master!$G$4:$G$18,MATCH($F633,[1]Cluster_Master!$B$4:$B$18,0)),"")</f>
        <v/>
      </c>
      <c r="M633" s="29" t="str">
        <f>IFERROR(INDEX([1]Cluster_Master!$H$4:$H$18,MATCH($F633,[1]Cluster_Master!$B$4:$B$18,0)),"")</f>
        <v/>
      </c>
      <c r="AI633" s="29" t="str">
        <f>IF(COUNTA(T633:AH633)=0,"",SUM(T633:AH633))</f>
        <v/>
      </c>
      <c r="AJ633" s="29" t="str">
        <f>IF(COUNTA(T633:AH633)=0,"",AI633/75)</f>
        <v/>
      </c>
      <c r="AK633" s="29" t="str">
        <f>IF(COUNTA(T633:AH633)=0,"",(SUM(T633*[1]KPI_Weights!$B$4,U633*[1]KPI_Weights!$B$5,V633*[1]KPI_Weights!$B$6,W633*[1]KPI_Weights!$B$7,X633*[1]KPI_Weights!$B$8,Y633*[1]KPI_Weights!$B$9,Z633*[1]KPI_Weights!$B$10,AA633*[1]KPI_Weights!$B$11,AB633*[1]KPI_Weights!$B$12,AC633*[1]KPI_Weights!$B$13,AD633*[1]KPI_Weights!$B$14,AE633*[1]KPI_Weights!$B$15,AF633*[1]KPI_Weights!$B$16,AG633*[1]KPI_Weights!$B$17,AH633*[1]KPI_Weights!$B$18))/5)</f>
        <v/>
      </c>
      <c r="AL633" s="29" t="str">
        <f>IF(COUNTA(T633:AH633)=0,"",IF(OR(T633&lt;=1,W633&lt;=1,X633&lt;=1,Y633&lt;=1,AB633&lt;=1),"YES","NO"))</f>
        <v/>
      </c>
      <c r="AM633" s="29" t="str">
        <f>IF(AJ633="","",IF(AND(AL633="NO",AJ633&gt;=0.75),"YES","NO"))</f>
        <v/>
      </c>
      <c r="AN633" s="29" t="str">
        <f>IF(AJ633="","",IF(AJ633&lt;0.4,"Critical",IF(AJ633&lt;0.6,"Poor",IF(AJ633&lt;0.75,"Needs Improvement",IF(AJ633&lt;0.9,"Good","Excellent")))))</f>
        <v/>
      </c>
    </row>
    <row r="634" spans="1:54" ht="15" customHeight="1" x14ac:dyDescent="0.25">
      <c r="A634" s="29" t="str">
        <f>IF($B634="","",TEXT($B634,"yyyymmdd")&amp;"-"&amp;SUBSTITUTE($F634," ","")&amp;"-"&amp;TEXT(COUNTIF($F$4:F634,$F634),"00"))</f>
        <v/>
      </c>
      <c r="C634" s="29" t="str">
        <f>IF($B634="","",WEEKNUM($B634,2))</f>
        <v/>
      </c>
      <c r="D634" s="29" t="str">
        <f>IF($B634="","",TEXT($B634,"yyyy-mm"))</f>
        <v/>
      </c>
      <c r="G634" s="29" t="str">
        <f>IF(OR($E634="",$F634=""),"",IFERROR(IF($E634=INDEX([1]Cluster_Master!$A$4:$A$18,MATCH($F634,[1]Cluster_Master!$B$4:$B$18,0)),"OK","CHECK"),"CHECK"))</f>
        <v/>
      </c>
      <c r="H634" s="29" t="str">
        <f>IFERROR(INDEX([1]Cluster_Master!$C$4:$C$18,MATCH($F634,[1]Cluster_Master!$B$4:$B$18,0)),"")</f>
        <v/>
      </c>
      <c r="I634" s="29" t="str">
        <f>IFERROR(INDEX([1]Cluster_Master!$D$4:$D$18,MATCH($F634,[1]Cluster_Master!$B$4:$B$18,0)),"")</f>
        <v/>
      </c>
      <c r="J634" s="29" t="str">
        <f>IFERROR(INDEX([1]Cluster_Master!$E$4:$E$18,MATCH($F634,[1]Cluster_Master!$B$4:$B$18,0)),"")</f>
        <v/>
      </c>
      <c r="K634" s="29" t="str">
        <f>IFERROR(INDEX([1]Cluster_Master!$F$4:$F$18,MATCH($F634,[1]Cluster_Master!$B$4:$B$18,0)),"")</f>
        <v/>
      </c>
      <c r="L634" s="29" t="str">
        <f>IFERROR(INDEX([1]Cluster_Master!$G$4:$G$18,MATCH($F634,[1]Cluster_Master!$B$4:$B$18,0)),"")</f>
        <v/>
      </c>
      <c r="M634" s="29" t="str">
        <f>IFERROR(INDEX([1]Cluster_Master!$H$4:$H$18,MATCH($F634,[1]Cluster_Master!$B$4:$B$18,0)),"")</f>
        <v/>
      </c>
      <c r="AI634" s="29" t="str">
        <f>IF(COUNTA(T634:AH634)=0,"",SUM(T634:AH634))</f>
        <v/>
      </c>
      <c r="AJ634" s="29" t="str">
        <f>IF(COUNTA(T634:AH634)=0,"",AI634/75)</f>
        <v/>
      </c>
      <c r="AK634" s="29" t="str">
        <f>IF(COUNTA(T634:AH634)=0,"",(SUM(T634*[1]KPI_Weights!$B$4,U634*[1]KPI_Weights!$B$5,V634*[1]KPI_Weights!$B$6,W634*[1]KPI_Weights!$B$7,X634*[1]KPI_Weights!$B$8,Y634*[1]KPI_Weights!$B$9,Z634*[1]KPI_Weights!$B$10,AA634*[1]KPI_Weights!$B$11,AB634*[1]KPI_Weights!$B$12,AC634*[1]KPI_Weights!$B$13,AD634*[1]KPI_Weights!$B$14,AE634*[1]KPI_Weights!$B$15,AF634*[1]KPI_Weights!$B$16,AG634*[1]KPI_Weights!$B$17,AH634*[1]KPI_Weights!$B$18))/5)</f>
        <v/>
      </c>
      <c r="AL634" s="29" t="str">
        <f>IF(COUNTA(T634:AH634)=0,"",IF(OR(T634&lt;=1,W634&lt;=1,X634&lt;=1,Y634&lt;=1,AB634&lt;=1),"YES","NO"))</f>
        <v/>
      </c>
      <c r="AM634" s="29" t="str">
        <f>IF(AJ634="","",IF(AND(AL634="NO",AJ634&gt;=0.75),"YES","NO"))</f>
        <v/>
      </c>
      <c r="AN634" s="29" t="str">
        <f>IF(AJ634="","",IF(AJ634&lt;0.4,"Critical",IF(AJ634&lt;0.6,"Poor",IF(AJ634&lt;0.75,"Needs Improvement",IF(AJ634&lt;0.9,"Good","Excellent")))))</f>
        <v/>
      </c>
    </row>
    <row r="635" spans="1:54" ht="15" customHeight="1" x14ac:dyDescent="0.25">
      <c r="A635" s="29" t="str">
        <f>IF($B635="","",TEXT($B635,"yyyymmdd")&amp;"-"&amp;SUBSTITUTE($F635," ","")&amp;"-"&amp;TEXT(COUNTIF($F$4:F635,$F635),"00"))</f>
        <v/>
      </c>
      <c r="C635" s="29" t="str">
        <f>IF($B635="","",WEEKNUM($B635,2))</f>
        <v/>
      </c>
      <c r="D635" s="29" t="str">
        <f>IF($B635="","",TEXT($B635,"yyyy-mm"))</f>
        <v/>
      </c>
      <c r="G635" s="29" t="str">
        <f>IF(OR($E635="",$F635=""),"",IFERROR(IF($E635=INDEX([1]Cluster_Master!$A$4:$A$18,MATCH($F635,[1]Cluster_Master!$B$4:$B$18,0)),"OK","CHECK"),"CHECK"))</f>
        <v/>
      </c>
      <c r="H635" s="29" t="str">
        <f>IFERROR(INDEX([1]Cluster_Master!$C$4:$C$18,MATCH($F635,[1]Cluster_Master!$B$4:$B$18,0)),"")</f>
        <v/>
      </c>
      <c r="I635" s="29" t="str">
        <f>IFERROR(INDEX([1]Cluster_Master!$D$4:$D$18,MATCH($F635,[1]Cluster_Master!$B$4:$B$18,0)),"")</f>
        <v/>
      </c>
      <c r="J635" s="29" t="str">
        <f>IFERROR(INDEX([1]Cluster_Master!$E$4:$E$18,MATCH($F635,[1]Cluster_Master!$B$4:$B$18,0)),"")</f>
        <v/>
      </c>
      <c r="K635" s="29" t="str">
        <f>IFERROR(INDEX([1]Cluster_Master!$F$4:$F$18,MATCH($F635,[1]Cluster_Master!$B$4:$B$18,0)),"")</f>
        <v/>
      </c>
      <c r="L635" s="29" t="str">
        <f>IFERROR(INDEX([1]Cluster_Master!$G$4:$G$18,MATCH($F635,[1]Cluster_Master!$B$4:$B$18,0)),"")</f>
        <v/>
      </c>
      <c r="M635" s="29" t="str">
        <f>IFERROR(INDEX([1]Cluster_Master!$H$4:$H$18,MATCH($F635,[1]Cluster_Master!$B$4:$B$18,0)),"")</f>
        <v/>
      </c>
      <c r="AI635" s="29" t="str">
        <f>IF(COUNTA(T635:AH635)=0,"",SUM(T635:AH635))</f>
        <v/>
      </c>
      <c r="AJ635" s="29" t="str">
        <f>IF(COUNTA(T635:AH635)=0,"",AI635/75)</f>
        <v/>
      </c>
      <c r="AK635" s="29" t="str">
        <f>IF(COUNTA(T635:AH635)=0,"",(SUM(T635*[1]KPI_Weights!$B$4,U635*[1]KPI_Weights!$B$5,V635*[1]KPI_Weights!$B$6,W635*[1]KPI_Weights!$B$7,X635*[1]KPI_Weights!$B$8,Y635*[1]KPI_Weights!$B$9,Z635*[1]KPI_Weights!$B$10,AA635*[1]KPI_Weights!$B$11,AB635*[1]KPI_Weights!$B$12,AC635*[1]KPI_Weights!$B$13,AD635*[1]KPI_Weights!$B$14,AE635*[1]KPI_Weights!$B$15,AF635*[1]KPI_Weights!$B$16,AG635*[1]KPI_Weights!$B$17,AH635*[1]KPI_Weights!$B$18))/5)</f>
        <v/>
      </c>
      <c r="AL635" s="29" t="str">
        <f>IF(COUNTA(T635:AH635)=0,"",IF(OR(T635&lt;=1,W635&lt;=1,X635&lt;=1,Y635&lt;=1,AB635&lt;=1),"YES","NO"))</f>
        <v/>
      </c>
      <c r="AM635" s="29" t="str">
        <f>IF(AJ635="","",IF(AND(AL635="NO",AJ635&gt;=0.75),"YES","NO"))</f>
        <v/>
      </c>
      <c r="AN635" s="29" t="str">
        <f>IF(AJ635="","",IF(AJ635&lt;0.4,"Critical",IF(AJ635&lt;0.6,"Poor",IF(AJ635&lt;0.75,"Needs Improvement",IF(AJ635&lt;0.9,"Good","Excellent")))))</f>
        <v/>
      </c>
    </row>
    <row r="636" spans="1:54" ht="15" customHeight="1" x14ac:dyDescent="0.25">
      <c r="A636" s="29" t="str">
        <f>IF($B636="","",TEXT($B636,"yyyymmdd")&amp;"-"&amp;SUBSTITUTE($F636," ","")&amp;"-"&amp;TEXT(COUNTIF($F$4:F636,$F636),"00"))</f>
        <v/>
      </c>
      <c r="C636" s="29" t="str">
        <f>IF($B636="","",WEEKNUM($B636,2))</f>
        <v/>
      </c>
      <c r="D636" s="29" t="str">
        <f>IF($B636="","",TEXT($B636,"yyyy-mm"))</f>
        <v/>
      </c>
      <c r="G636" s="29" t="str">
        <f>IF(OR($E636="",$F636=""),"",IFERROR(IF($E636=INDEX([1]Cluster_Master!$A$4:$A$18,MATCH($F636,[1]Cluster_Master!$B$4:$B$18,0)),"OK","CHECK"),"CHECK"))</f>
        <v/>
      </c>
      <c r="H636" s="29" t="str">
        <f>IFERROR(INDEX([1]Cluster_Master!$C$4:$C$18,MATCH($F636,[1]Cluster_Master!$B$4:$B$18,0)),"")</f>
        <v/>
      </c>
      <c r="I636" s="29" t="str">
        <f>IFERROR(INDEX([1]Cluster_Master!$D$4:$D$18,MATCH($F636,[1]Cluster_Master!$B$4:$B$18,0)),"")</f>
        <v/>
      </c>
      <c r="J636" s="29" t="str">
        <f>IFERROR(INDEX([1]Cluster_Master!$E$4:$E$18,MATCH($F636,[1]Cluster_Master!$B$4:$B$18,0)),"")</f>
        <v/>
      </c>
      <c r="K636" s="29" t="str">
        <f>IFERROR(INDEX([1]Cluster_Master!$F$4:$F$18,MATCH($F636,[1]Cluster_Master!$B$4:$B$18,0)),"")</f>
        <v/>
      </c>
      <c r="L636" s="29" t="str">
        <f>IFERROR(INDEX([1]Cluster_Master!$G$4:$G$18,MATCH($F636,[1]Cluster_Master!$B$4:$B$18,0)),"")</f>
        <v/>
      </c>
      <c r="M636" s="29" t="str">
        <f>IFERROR(INDEX([1]Cluster_Master!$H$4:$H$18,MATCH($F636,[1]Cluster_Master!$B$4:$B$18,0)),"")</f>
        <v/>
      </c>
      <c r="AI636" s="29" t="str">
        <f>IF(COUNTA(T636:AH636)=0,"",SUM(T636:AH636))</f>
        <v/>
      </c>
      <c r="AJ636" s="29" t="str">
        <f>IF(COUNTA(T636:AH636)=0,"",AI636/75)</f>
        <v/>
      </c>
      <c r="AK636" s="29" t="str">
        <f>IF(COUNTA(T636:AH636)=0,"",(SUM(T636*[1]KPI_Weights!$B$4,U636*[1]KPI_Weights!$B$5,V636*[1]KPI_Weights!$B$6,W636*[1]KPI_Weights!$B$7,X636*[1]KPI_Weights!$B$8,Y636*[1]KPI_Weights!$B$9,Z636*[1]KPI_Weights!$B$10,AA636*[1]KPI_Weights!$B$11,AB636*[1]KPI_Weights!$B$12,AC636*[1]KPI_Weights!$B$13,AD636*[1]KPI_Weights!$B$14,AE636*[1]KPI_Weights!$B$15,AF636*[1]KPI_Weights!$B$16,AG636*[1]KPI_Weights!$B$17,AH636*[1]KPI_Weights!$B$18))/5)</f>
        <v/>
      </c>
      <c r="AL636" s="29" t="str">
        <f>IF(COUNTA(T636:AH636)=0,"",IF(OR(T636&lt;=1,W636&lt;=1,X636&lt;=1,Y636&lt;=1,AB636&lt;=1),"YES","NO"))</f>
        <v/>
      </c>
      <c r="AM636" s="29" t="str">
        <f>IF(AJ636="","",IF(AND(AL636="NO",AJ636&gt;=0.75),"YES","NO"))</f>
        <v/>
      </c>
      <c r="AN636" s="29" t="str">
        <f>IF(AJ636="","",IF(AJ636&lt;0.4,"Critical",IF(AJ636&lt;0.6,"Poor",IF(AJ636&lt;0.75,"Needs Improvement",IF(AJ636&lt;0.9,"Good","Excellent")))))</f>
        <v/>
      </c>
    </row>
    <row r="637" spans="1:54" ht="15" customHeight="1" x14ac:dyDescent="0.25">
      <c r="A637" s="29" t="str">
        <f>IF($B637="","",TEXT($B637,"yyyymmdd")&amp;"-"&amp;SUBSTITUTE($F637," ","")&amp;"-"&amp;TEXT(COUNTIF($F$4:F637,$F637),"00"))</f>
        <v/>
      </c>
      <c r="C637" s="29" t="str">
        <f>IF($B637="","",WEEKNUM($B637,2))</f>
        <v/>
      </c>
      <c r="D637" s="29" t="str">
        <f>IF($B637="","",TEXT($B637,"yyyy-mm"))</f>
        <v/>
      </c>
      <c r="G637" s="29" t="str">
        <f>IF(OR($E637="",$F637=""),"",IFERROR(IF($E637=INDEX([1]Cluster_Master!$A$4:$A$18,MATCH($F637,[1]Cluster_Master!$B$4:$B$18,0)),"OK","CHECK"),"CHECK"))</f>
        <v/>
      </c>
      <c r="H637" s="29" t="str">
        <f>IFERROR(INDEX([1]Cluster_Master!$C$4:$C$18,MATCH($F637,[1]Cluster_Master!$B$4:$B$18,0)),"")</f>
        <v/>
      </c>
      <c r="I637" s="29" t="str">
        <f>IFERROR(INDEX([1]Cluster_Master!$D$4:$D$18,MATCH($F637,[1]Cluster_Master!$B$4:$B$18,0)),"")</f>
        <v/>
      </c>
      <c r="J637" s="29" t="str">
        <f>IFERROR(INDEX([1]Cluster_Master!$E$4:$E$18,MATCH($F637,[1]Cluster_Master!$B$4:$B$18,0)),"")</f>
        <v/>
      </c>
      <c r="K637" s="29" t="str">
        <f>IFERROR(INDEX([1]Cluster_Master!$F$4:$F$18,MATCH($F637,[1]Cluster_Master!$B$4:$B$18,0)),"")</f>
        <v/>
      </c>
      <c r="L637" s="29" t="str">
        <f>IFERROR(INDEX([1]Cluster_Master!$G$4:$G$18,MATCH($F637,[1]Cluster_Master!$B$4:$B$18,0)),"")</f>
        <v/>
      </c>
      <c r="M637" s="29" t="str">
        <f>IFERROR(INDEX([1]Cluster_Master!$H$4:$H$18,MATCH($F637,[1]Cluster_Master!$B$4:$B$18,0)),"")</f>
        <v/>
      </c>
      <c r="AI637" s="29" t="str">
        <f>IF(COUNTA(T637:AH637)=0,"",SUM(T637:AH637))</f>
        <v/>
      </c>
      <c r="AJ637" s="29" t="str">
        <f>IF(COUNTA(T637:AH637)=0,"",AI637/75)</f>
        <v/>
      </c>
      <c r="AK637" s="29" t="str">
        <f>IF(COUNTA(T637:AH637)=0,"",(SUM(T637*[1]KPI_Weights!$B$4,U637*[1]KPI_Weights!$B$5,V637*[1]KPI_Weights!$B$6,W637*[1]KPI_Weights!$B$7,X637*[1]KPI_Weights!$B$8,Y637*[1]KPI_Weights!$B$9,Z637*[1]KPI_Weights!$B$10,AA637*[1]KPI_Weights!$B$11,AB637*[1]KPI_Weights!$B$12,AC637*[1]KPI_Weights!$B$13,AD637*[1]KPI_Weights!$B$14,AE637*[1]KPI_Weights!$B$15,AF637*[1]KPI_Weights!$B$16,AG637*[1]KPI_Weights!$B$17,AH637*[1]KPI_Weights!$B$18))/5)</f>
        <v/>
      </c>
      <c r="AL637" s="29" t="str">
        <f>IF(COUNTA(T637:AH637)=0,"",IF(OR(T637&lt;=1,W637&lt;=1,X637&lt;=1,Y637&lt;=1,AB637&lt;=1),"YES","NO"))</f>
        <v/>
      </c>
      <c r="AM637" s="29" t="str">
        <f>IF(AJ637="","",IF(AND(AL637="NO",AJ637&gt;=0.75),"YES","NO"))</f>
        <v/>
      </c>
      <c r="AN637" s="29" t="str">
        <f>IF(AJ637="","",IF(AJ637&lt;0.4,"Critical",IF(AJ637&lt;0.6,"Poor",IF(AJ637&lt;0.75,"Needs Improvement",IF(AJ637&lt;0.9,"Good","Excellent")))))</f>
        <v/>
      </c>
    </row>
    <row r="638" spans="1:54" ht="15" customHeight="1" x14ac:dyDescent="0.25">
      <c r="A638" s="29" t="str">
        <f>IF($B638="","",TEXT($B638,"yyyymmdd")&amp;"-"&amp;SUBSTITUTE($F638," ","")&amp;"-"&amp;TEXT(COUNTIF($F$4:F638,$F638),"00"))</f>
        <v/>
      </c>
      <c r="C638" s="29" t="str">
        <f>IF($B638="","",WEEKNUM($B638,2))</f>
        <v/>
      </c>
      <c r="D638" s="29" t="str">
        <f>IF($B638="","",TEXT($B638,"yyyy-mm"))</f>
        <v/>
      </c>
      <c r="G638" s="29" t="str">
        <f>IF(OR($E638="",$F638=""),"",IFERROR(IF($E638=INDEX([1]Cluster_Master!$A$4:$A$18,MATCH($F638,[1]Cluster_Master!$B$4:$B$18,0)),"OK","CHECK"),"CHECK"))</f>
        <v/>
      </c>
      <c r="H638" s="29" t="str">
        <f>IFERROR(INDEX([1]Cluster_Master!$C$4:$C$18,MATCH($F638,[1]Cluster_Master!$B$4:$B$18,0)),"")</f>
        <v/>
      </c>
      <c r="I638" s="29" t="str">
        <f>IFERROR(INDEX([1]Cluster_Master!$D$4:$D$18,MATCH($F638,[1]Cluster_Master!$B$4:$B$18,0)),"")</f>
        <v/>
      </c>
      <c r="J638" s="29" t="str">
        <f>IFERROR(INDEX([1]Cluster_Master!$E$4:$E$18,MATCH($F638,[1]Cluster_Master!$B$4:$B$18,0)),"")</f>
        <v/>
      </c>
      <c r="K638" s="29" t="str">
        <f>IFERROR(INDEX([1]Cluster_Master!$F$4:$F$18,MATCH($F638,[1]Cluster_Master!$B$4:$B$18,0)),"")</f>
        <v/>
      </c>
      <c r="L638" s="29" t="str">
        <f>IFERROR(INDEX([1]Cluster_Master!$G$4:$G$18,MATCH($F638,[1]Cluster_Master!$B$4:$B$18,0)),"")</f>
        <v/>
      </c>
      <c r="M638" s="29" t="str">
        <f>IFERROR(INDEX([1]Cluster_Master!$H$4:$H$18,MATCH($F638,[1]Cluster_Master!$B$4:$B$18,0)),"")</f>
        <v/>
      </c>
      <c r="AI638" s="29" t="str">
        <f>IF(COUNTA(T638:AH638)=0,"",SUM(T638:AH638))</f>
        <v/>
      </c>
      <c r="AJ638" s="29" t="str">
        <f>IF(COUNTA(T638:AH638)=0,"",AI638/75)</f>
        <v/>
      </c>
      <c r="AK638" s="29" t="str">
        <f>IF(COUNTA(T638:AH638)=0,"",(SUM(T638*[1]KPI_Weights!$B$4,U638*[1]KPI_Weights!$B$5,V638*[1]KPI_Weights!$B$6,W638*[1]KPI_Weights!$B$7,X638*[1]KPI_Weights!$B$8,Y638*[1]KPI_Weights!$B$9,Z638*[1]KPI_Weights!$B$10,AA638*[1]KPI_Weights!$B$11,AB638*[1]KPI_Weights!$B$12,AC638*[1]KPI_Weights!$B$13,AD638*[1]KPI_Weights!$B$14,AE638*[1]KPI_Weights!$B$15,AF638*[1]KPI_Weights!$B$16,AG638*[1]KPI_Weights!$B$17,AH638*[1]KPI_Weights!$B$18))/5)</f>
        <v/>
      </c>
      <c r="AL638" s="29" t="str">
        <f>IF(COUNTA(T638:AH638)=0,"",IF(OR(T638&lt;=1,W638&lt;=1,X638&lt;=1,Y638&lt;=1,AB638&lt;=1),"YES","NO"))</f>
        <v/>
      </c>
      <c r="AM638" s="29" t="str">
        <f>IF(AJ638="","",IF(AND(AL638="NO",AJ638&gt;=0.75),"YES","NO"))</f>
        <v/>
      </c>
      <c r="AN638" s="29" t="str">
        <f>IF(AJ638="","",IF(AJ638&lt;0.4,"Critical",IF(AJ638&lt;0.6,"Poor",IF(AJ638&lt;0.75,"Needs Improvement",IF(AJ638&lt;0.9,"Good","Excellent")))))</f>
        <v/>
      </c>
    </row>
    <row r="639" spans="1:54" ht="15" customHeight="1" x14ac:dyDescent="0.25">
      <c r="A639" s="29" t="str">
        <f>IF($B639="","",TEXT($B639,"yyyymmdd")&amp;"-"&amp;SUBSTITUTE($F639," ","")&amp;"-"&amp;TEXT(COUNTIF($F$4:F639,$F639),"00"))</f>
        <v/>
      </c>
      <c r="C639" s="29" t="str">
        <f>IF($B639="","",WEEKNUM($B639,2))</f>
        <v/>
      </c>
      <c r="D639" s="29" t="str">
        <f>IF($B639="","",TEXT($B639,"yyyy-mm"))</f>
        <v/>
      </c>
      <c r="G639" s="29" t="str">
        <f>IF(OR($E639="",$F639=""),"",IFERROR(IF($E639=INDEX([1]Cluster_Master!$A$4:$A$18,MATCH($F639,[1]Cluster_Master!$B$4:$B$18,0)),"OK","CHECK"),"CHECK"))</f>
        <v/>
      </c>
      <c r="H639" s="29" t="str">
        <f>IFERROR(INDEX([1]Cluster_Master!$C$4:$C$18,MATCH($F639,[1]Cluster_Master!$B$4:$B$18,0)),"")</f>
        <v/>
      </c>
      <c r="I639" s="29" t="str">
        <f>IFERROR(INDEX([1]Cluster_Master!$D$4:$D$18,MATCH($F639,[1]Cluster_Master!$B$4:$B$18,0)),"")</f>
        <v/>
      </c>
      <c r="J639" s="29" t="str">
        <f>IFERROR(INDEX([1]Cluster_Master!$E$4:$E$18,MATCH($F639,[1]Cluster_Master!$B$4:$B$18,0)),"")</f>
        <v/>
      </c>
      <c r="K639" s="29" t="str">
        <f>IFERROR(INDEX([1]Cluster_Master!$F$4:$F$18,MATCH($F639,[1]Cluster_Master!$B$4:$B$18,0)),"")</f>
        <v/>
      </c>
      <c r="L639" s="29" t="str">
        <f>IFERROR(INDEX([1]Cluster_Master!$G$4:$G$18,MATCH($F639,[1]Cluster_Master!$B$4:$B$18,0)),"")</f>
        <v/>
      </c>
      <c r="M639" s="29" t="str">
        <f>IFERROR(INDEX([1]Cluster_Master!$H$4:$H$18,MATCH($F639,[1]Cluster_Master!$B$4:$B$18,0)),"")</f>
        <v/>
      </c>
      <c r="AI639" s="29" t="str">
        <f>IF(COUNTA(T639:AH639)=0,"",SUM(T639:AH639))</f>
        <v/>
      </c>
      <c r="AJ639" s="29" t="str">
        <f>IF(COUNTA(T639:AH639)=0,"",AI639/75)</f>
        <v/>
      </c>
      <c r="AK639" s="29" t="str">
        <f>IF(COUNTA(T639:AH639)=0,"",(SUM(T639*[1]KPI_Weights!$B$4,U639*[1]KPI_Weights!$B$5,V639*[1]KPI_Weights!$B$6,W639*[1]KPI_Weights!$B$7,X639*[1]KPI_Weights!$B$8,Y639*[1]KPI_Weights!$B$9,Z639*[1]KPI_Weights!$B$10,AA639*[1]KPI_Weights!$B$11,AB639*[1]KPI_Weights!$B$12,AC639*[1]KPI_Weights!$B$13,AD639*[1]KPI_Weights!$B$14,AE639*[1]KPI_Weights!$B$15,AF639*[1]KPI_Weights!$B$16,AG639*[1]KPI_Weights!$B$17,AH639*[1]KPI_Weights!$B$18))/5)</f>
        <v/>
      </c>
      <c r="AL639" s="29" t="str">
        <f>IF(COUNTA(T639:AH639)=0,"",IF(OR(T639&lt;=1,W639&lt;=1,X639&lt;=1,Y639&lt;=1,AB639&lt;=1),"YES","NO"))</f>
        <v/>
      </c>
      <c r="AM639" s="29" t="str">
        <f>IF(AJ639="","",IF(AND(AL639="NO",AJ639&gt;=0.75),"YES","NO"))</f>
        <v/>
      </c>
      <c r="AN639" s="29" t="str">
        <f>IF(AJ639="","",IF(AJ639&lt;0.4,"Critical",IF(AJ639&lt;0.6,"Poor",IF(AJ639&lt;0.75,"Needs Improvement",IF(AJ639&lt;0.9,"Good","Excellent")))))</f>
        <v/>
      </c>
    </row>
    <row r="640" spans="1:54" ht="15" customHeight="1" x14ac:dyDescent="0.25">
      <c r="A640" s="29" t="str">
        <f>IF($B640="","",TEXT($B640,"yyyymmdd")&amp;"-"&amp;SUBSTITUTE($F640," ","")&amp;"-"&amp;TEXT(COUNTIF($F$4:F640,$F640),"00"))</f>
        <v/>
      </c>
      <c r="C640" s="29" t="str">
        <f>IF($B640="","",WEEKNUM($B640,2))</f>
        <v/>
      </c>
      <c r="D640" s="29" t="str">
        <f>IF($B640="","",TEXT($B640,"yyyy-mm"))</f>
        <v/>
      </c>
      <c r="G640" s="29" t="str">
        <f>IF(OR($E640="",$F640=""),"",IFERROR(IF($E640=INDEX([1]Cluster_Master!$A$4:$A$18,MATCH($F640,[1]Cluster_Master!$B$4:$B$18,0)),"OK","CHECK"),"CHECK"))</f>
        <v/>
      </c>
      <c r="H640" s="29" t="str">
        <f>IFERROR(INDEX([1]Cluster_Master!$C$4:$C$18,MATCH($F640,[1]Cluster_Master!$B$4:$B$18,0)),"")</f>
        <v/>
      </c>
      <c r="I640" s="29" t="str">
        <f>IFERROR(INDEX([1]Cluster_Master!$D$4:$D$18,MATCH($F640,[1]Cluster_Master!$B$4:$B$18,0)),"")</f>
        <v/>
      </c>
      <c r="J640" s="29" t="str">
        <f>IFERROR(INDEX([1]Cluster_Master!$E$4:$E$18,MATCH($F640,[1]Cluster_Master!$B$4:$B$18,0)),"")</f>
        <v/>
      </c>
      <c r="K640" s="29" t="str">
        <f>IFERROR(INDEX([1]Cluster_Master!$F$4:$F$18,MATCH($F640,[1]Cluster_Master!$B$4:$B$18,0)),"")</f>
        <v/>
      </c>
      <c r="L640" s="29" t="str">
        <f>IFERROR(INDEX([1]Cluster_Master!$G$4:$G$18,MATCH($F640,[1]Cluster_Master!$B$4:$B$18,0)),"")</f>
        <v/>
      </c>
      <c r="M640" s="29" t="str">
        <f>IFERROR(INDEX([1]Cluster_Master!$H$4:$H$18,MATCH($F640,[1]Cluster_Master!$B$4:$B$18,0)),"")</f>
        <v/>
      </c>
      <c r="AI640" s="29" t="str">
        <f>IF(COUNTA(T640:AH640)=0,"",SUM(T640:AH640))</f>
        <v/>
      </c>
      <c r="AJ640" s="29" t="str">
        <f>IF(COUNTA(T640:AH640)=0,"",AI640/75)</f>
        <v/>
      </c>
      <c r="AK640" s="29" t="str">
        <f>IF(COUNTA(T640:AH640)=0,"",(SUM(T640*[1]KPI_Weights!$B$4,U640*[1]KPI_Weights!$B$5,V640*[1]KPI_Weights!$B$6,W640*[1]KPI_Weights!$B$7,X640*[1]KPI_Weights!$B$8,Y640*[1]KPI_Weights!$B$9,Z640*[1]KPI_Weights!$B$10,AA640*[1]KPI_Weights!$B$11,AB640*[1]KPI_Weights!$B$12,AC640*[1]KPI_Weights!$B$13,AD640*[1]KPI_Weights!$B$14,AE640*[1]KPI_Weights!$B$15,AF640*[1]KPI_Weights!$B$16,AG640*[1]KPI_Weights!$B$17,AH640*[1]KPI_Weights!$B$18))/5)</f>
        <v/>
      </c>
      <c r="AL640" s="29" t="str">
        <f>IF(COUNTA(T640:AH640)=0,"",IF(OR(T640&lt;=1,W640&lt;=1,X640&lt;=1,Y640&lt;=1,AB640&lt;=1),"YES","NO"))</f>
        <v/>
      </c>
      <c r="AM640" s="29" t="str">
        <f>IF(AJ640="","",IF(AND(AL640="NO",AJ640&gt;=0.75),"YES","NO"))</f>
        <v/>
      </c>
      <c r="AN640" s="29" t="str">
        <f>IF(AJ640="","",IF(AJ640&lt;0.4,"Critical",IF(AJ640&lt;0.6,"Poor",IF(AJ640&lt;0.75,"Needs Improvement",IF(AJ640&lt;0.9,"Good","Excellent")))))</f>
        <v/>
      </c>
    </row>
    <row r="641" spans="1:40" ht="15" customHeight="1" x14ac:dyDescent="0.25">
      <c r="A641" s="29" t="str">
        <f>IF($B641="","",TEXT($B641,"yyyymmdd")&amp;"-"&amp;SUBSTITUTE($F641," ","")&amp;"-"&amp;TEXT(COUNTIF($F$4:F641,$F641),"00"))</f>
        <v/>
      </c>
      <c r="C641" s="29" t="str">
        <f>IF($B641="","",WEEKNUM($B641,2))</f>
        <v/>
      </c>
      <c r="D641" s="29" t="str">
        <f>IF($B641="","",TEXT($B641,"yyyy-mm"))</f>
        <v/>
      </c>
      <c r="G641" s="29" t="str">
        <f>IF(OR($E641="",$F641=""),"",IFERROR(IF($E641=INDEX([1]Cluster_Master!$A$4:$A$18,MATCH($F641,[1]Cluster_Master!$B$4:$B$18,0)),"OK","CHECK"),"CHECK"))</f>
        <v/>
      </c>
      <c r="H641" s="29" t="str">
        <f>IFERROR(INDEX([1]Cluster_Master!$C$4:$C$18,MATCH($F641,[1]Cluster_Master!$B$4:$B$18,0)),"")</f>
        <v/>
      </c>
      <c r="I641" s="29" t="str">
        <f>IFERROR(INDEX([1]Cluster_Master!$D$4:$D$18,MATCH($F641,[1]Cluster_Master!$B$4:$B$18,0)),"")</f>
        <v/>
      </c>
      <c r="J641" s="29" t="str">
        <f>IFERROR(INDEX([1]Cluster_Master!$E$4:$E$18,MATCH($F641,[1]Cluster_Master!$B$4:$B$18,0)),"")</f>
        <v/>
      </c>
      <c r="K641" s="29" t="str">
        <f>IFERROR(INDEX([1]Cluster_Master!$F$4:$F$18,MATCH($F641,[1]Cluster_Master!$B$4:$B$18,0)),"")</f>
        <v/>
      </c>
      <c r="L641" s="29" t="str">
        <f>IFERROR(INDEX([1]Cluster_Master!$G$4:$G$18,MATCH($F641,[1]Cluster_Master!$B$4:$B$18,0)),"")</f>
        <v/>
      </c>
      <c r="M641" s="29" t="str">
        <f>IFERROR(INDEX([1]Cluster_Master!$H$4:$H$18,MATCH($F641,[1]Cluster_Master!$B$4:$B$18,0)),"")</f>
        <v/>
      </c>
      <c r="AI641" s="29" t="str">
        <f>IF(COUNTA(T641:AH641)=0,"",SUM(T641:AH641))</f>
        <v/>
      </c>
      <c r="AJ641" s="29" t="str">
        <f>IF(COUNTA(T641:AH641)=0,"",AI641/75)</f>
        <v/>
      </c>
      <c r="AK641" s="29" t="str">
        <f>IF(COUNTA(T641:AH641)=0,"",(SUM(T641*[1]KPI_Weights!$B$4,U641*[1]KPI_Weights!$B$5,V641*[1]KPI_Weights!$B$6,W641*[1]KPI_Weights!$B$7,X641*[1]KPI_Weights!$B$8,Y641*[1]KPI_Weights!$B$9,Z641*[1]KPI_Weights!$B$10,AA641*[1]KPI_Weights!$B$11,AB641*[1]KPI_Weights!$B$12,AC641*[1]KPI_Weights!$B$13,AD641*[1]KPI_Weights!$B$14,AE641*[1]KPI_Weights!$B$15,AF641*[1]KPI_Weights!$B$16,AG641*[1]KPI_Weights!$B$17,AH641*[1]KPI_Weights!$B$18))/5)</f>
        <v/>
      </c>
      <c r="AL641" s="29" t="str">
        <f>IF(COUNTA(T641:AH641)=0,"",IF(OR(T641&lt;=1,W641&lt;=1,X641&lt;=1,Y641&lt;=1,AB641&lt;=1),"YES","NO"))</f>
        <v/>
      </c>
      <c r="AM641" s="29" t="str">
        <f>IF(AJ641="","",IF(AND(AL641="NO",AJ641&gt;=0.75),"YES","NO"))</f>
        <v/>
      </c>
      <c r="AN641" s="29" t="str">
        <f>IF(AJ641="","",IF(AJ641&lt;0.4,"Critical",IF(AJ641&lt;0.6,"Poor",IF(AJ641&lt;0.75,"Needs Improvement",IF(AJ641&lt;0.9,"Good","Excellent")))))</f>
        <v/>
      </c>
    </row>
    <row r="642" spans="1:40" ht="15" customHeight="1" x14ac:dyDescent="0.25">
      <c r="A642" s="29" t="str">
        <f>IF($B642="","",TEXT($B642,"yyyymmdd")&amp;"-"&amp;SUBSTITUTE($F642," ","")&amp;"-"&amp;TEXT(COUNTIF($F$4:F642,$F642),"00"))</f>
        <v/>
      </c>
      <c r="C642" s="29" t="str">
        <f>IF($B642="","",WEEKNUM($B642,2))</f>
        <v/>
      </c>
      <c r="D642" s="29" t="str">
        <f>IF($B642="","",TEXT($B642,"yyyy-mm"))</f>
        <v/>
      </c>
      <c r="G642" s="29" t="str">
        <f>IF(OR($E642="",$F642=""),"",IFERROR(IF($E642=INDEX([1]Cluster_Master!$A$4:$A$18,MATCH($F642,[1]Cluster_Master!$B$4:$B$18,0)),"OK","CHECK"),"CHECK"))</f>
        <v/>
      </c>
      <c r="H642" s="29" t="str">
        <f>IFERROR(INDEX([1]Cluster_Master!$C$4:$C$18,MATCH($F642,[1]Cluster_Master!$B$4:$B$18,0)),"")</f>
        <v/>
      </c>
      <c r="I642" s="29" t="str">
        <f>IFERROR(INDEX([1]Cluster_Master!$D$4:$D$18,MATCH($F642,[1]Cluster_Master!$B$4:$B$18,0)),"")</f>
        <v/>
      </c>
      <c r="J642" s="29" t="str">
        <f>IFERROR(INDEX([1]Cluster_Master!$E$4:$E$18,MATCH($F642,[1]Cluster_Master!$B$4:$B$18,0)),"")</f>
        <v/>
      </c>
      <c r="K642" s="29" t="str">
        <f>IFERROR(INDEX([1]Cluster_Master!$F$4:$F$18,MATCH($F642,[1]Cluster_Master!$B$4:$B$18,0)),"")</f>
        <v/>
      </c>
      <c r="L642" s="29" t="str">
        <f>IFERROR(INDEX([1]Cluster_Master!$G$4:$G$18,MATCH($F642,[1]Cluster_Master!$B$4:$B$18,0)),"")</f>
        <v/>
      </c>
      <c r="M642" s="29" t="str">
        <f>IFERROR(INDEX([1]Cluster_Master!$H$4:$H$18,MATCH($F642,[1]Cluster_Master!$B$4:$B$18,0)),"")</f>
        <v/>
      </c>
      <c r="AI642" s="29" t="str">
        <f>IF(COUNTA(T642:AH642)=0,"",SUM(T642:AH642))</f>
        <v/>
      </c>
      <c r="AJ642" s="29" t="str">
        <f>IF(COUNTA(T642:AH642)=0,"",AI642/75)</f>
        <v/>
      </c>
      <c r="AK642" s="29" t="str">
        <f>IF(COUNTA(T642:AH642)=0,"",(SUM(T642*[1]KPI_Weights!$B$4,U642*[1]KPI_Weights!$B$5,V642*[1]KPI_Weights!$B$6,W642*[1]KPI_Weights!$B$7,X642*[1]KPI_Weights!$B$8,Y642*[1]KPI_Weights!$B$9,Z642*[1]KPI_Weights!$B$10,AA642*[1]KPI_Weights!$B$11,AB642*[1]KPI_Weights!$B$12,AC642*[1]KPI_Weights!$B$13,AD642*[1]KPI_Weights!$B$14,AE642*[1]KPI_Weights!$B$15,AF642*[1]KPI_Weights!$B$16,AG642*[1]KPI_Weights!$B$17,AH642*[1]KPI_Weights!$B$18))/5)</f>
        <v/>
      </c>
      <c r="AL642" s="29" t="str">
        <f>IF(COUNTA(T642:AH642)=0,"",IF(OR(T642&lt;=1,W642&lt;=1,X642&lt;=1,Y642&lt;=1,AB642&lt;=1),"YES","NO"))</f>
        <v/>
      </c>
      <c r="AM642" s="29" t="str">
        <f>IF(AJ642="","",IF(AND(AL642="NO",AJ642&gt;=0.75),"YES","NO"))</f>
        <v/>
      </c>
      <c r="AN642" s="29" t="str">
        <f>IF(AJ642="","",IF(AJ642&lt;0.4,"Critical",IF(AJ642&lt;0.6,"Poor",IF(AJ642&lt;0.75,"Needs Improvement",IF(AJ642&lt;0.9,"Good","Excellent")))))</f>
        <v/>
      </c>
    </row>
    <row r="643" spans="1:40" ht="15" customHeight="1" x14ac:dyDescent="0.25">
      <c r="A643" s="29" t="str">
        <f>IF($B643="","",TEXT($B643,"yyyymmdd")&amp;"-"&amp;SUBSTITUTE($F643," ","")&amp;"-"&amp;TEXT(COUNTIF($F$4:F643,$F643),"00"))</f>
        <v/>
      </c>
      <c r="C643" s="29" t="str">
        <f>IF($B643="","",WEEKNUM($B643,2))</f>
        <v/>
      </c>
      <c r="D643" s="29" t="str">
        <f>IF($B643="","",TEXT($B643,"yyyy-mm"))</f>
        <v/>
      </c>
      <c r="G643" s="29" t="str">
        <f>IF(OR($E643="",$F643=""),"",IFERROR(IF($E643=INDEX([1]Cluster_Master!$A$4:$A$18,MATCH($F643,[1]Cluster_Master!$B$4:$B$18,0)),"OK","CHECK"),"CHECK"))</f>
        <v/>
      </c>
      <c r="H643" s="29" t="str">
        <f>IFERROR(INDEX([1]Cluster_Master!$C$4:$C$18,MATCH($F643,[1]Cluster_Master!$B$4:$B$18,0)),"")</f>
        <v/>
      </c>
      <c r="I643" s="29" t="str">
        <f>IFERROR(INDEX([1]Cluster_Master!$D$4:$D$18,MATCH($F643,[1]Cluster_Master!$B$4:$B$18,0)),"")</f>
        <v/>
      </c>
      <c r="J643" s="29" t="str">
        <f>IFERROR(INDEX([1]Cluster_Master!$E$4:$E$18,MATCH($F643,[1]Cluster_Master!$B$4:$B$18,0)),"")</f>
        <v/>
      </c>
      <c r="K643" s="29" t="str">
        <f>IFERROR(INDEX([1]Cluster_Master!$F$4:$F$18,MATCH($F643,[1]Cluster_Master!$B$4:$B$18,0)),"")</f>
        <v/>
      </c>
      <c r="L643" s="29" t="str">
        <f>IFERROR(INDEX([1]Cluster_Master!$G$4:$G$18,MATCH($F643,[1]Cluster_Master!$B$4:$B$18,0)),"")</f>
        <v/>
      </c>
      <c r="M643" s="29" t="str">
        <f>IFERROR(INDEX([1]Cluster_Master!$H$4:$H$18,MATCH($F643,[1]Cluster_Master!$B$4:$B$18,0)),"")</f>
        <v/>
      </c>
      <c r="AI643" s="29" t="str">
        <f>IF(COUNTA(T643:AH643)=0,"",SUM(T643:AH643))</f>
        <v/>
      </c>
      <c r="AJ643" s="29" t="str">
        <f>IF(COUNTA(T643:AH643)=0,"",AI643/75)</f>
        <v/>
      </c>
      <c r="AK643" s="29" t="str">
        <f>IF(COUNTA(T643:AH643)=0,"",(SUM(T643*[1]KPI_Weights!$B$4,U643*[1]KPI_Weights!$B$5,V643*[1]KPI_Weights!$B$6,W643*[1]KPI_Weights!$B$7,X643*[1]KPI_Weights!$B$8,Y643*[1]KPI_Weights!$B$9,Z643*[1]KPI_Weights!$B$10,AA643*[1]KPI_Weights!$B$11,AB643*[1]KPI_Weights!$B$12,AC643*[1]KPI_Weights!$B$13,AD643*[1]KPI_Weights!$B$14,AE643*[1]KPI_Weights!$B$15,AF643*[1]KPI_Weights!$B$16,AG643*[1]KPI_Weights!$B$17,AH643*[1]KPI_Weights!$B$18))/5)</f>
        <v/>
      </c>
      <c r="AL643" s="29" t="str">
        <f>IF(COUNTA(T643:AH643)=0,"",IF(OR(T643&lt;=1,W643&lt;=1,X643&lt;=1,Y643&lt;=1,AB643&lt;=1),"YES","NO"))</f>
        <v/>
      </c>
      <c r="AM643" s="29" t="str">
        <f>IF(AJ643="","",IF(AND(AL643="NO",AJ643&gt;=0.75),"YES","NO"))</f>
        <v/>
      </c>
      <c r="AN643" s="29" t="str">
        <f>IF(AJ643="","",IF(AJ643&lt;0.4,"Critical",IF(AJ643&lt;0.6,"Poor",IF(AJ643&lt;0.75,"Needs Improvement",IF(AJ643&lt;0.9,"Good","Excellent")))))</f>
        <v/>
      </c>
    </row>
    <row r="644" spans="1:40" ht="15" customHeight="1" x14ac:dyDescent="0.25">
      <c r="A644" s="29" t="str">
        <f>IF($B644="","",TEXT($B644,"yyyymmdd")&amp;"-"&amp;SUBSTITUTE($F644," ","")&amp;"-"&amp;TEXT(COUNTIF($F$4:F644,$F644),"00"))</f>
        <v/>
      </c>
      <c r="C644" s="29" t="str">
        <f>IF($B644="","",WEEKNUM($B644,2))</f>
        <v/>
      </c>
      <c r="D644" s="29" t="str">
        <f>IF($B644="","",TEXT($B644,"yyyy-mm"))</f>
        <v/>
      </c>
      <c r="G644" s="29" t="str">
        <f>IF(OR($E644="",$F644=""),"",IFERROR(IF($E644=INDEX([1]Cluster_Master!$A$4:$A$18,MATCH($F644,[1]Cluster_Master!$B$4:$B$18,0)),"OK","CHECK"),"CHECK"))</f>
        <v/>
      </c>
      <c r="H644" s="29" t="str">
        <f>IFERROR(INDEX([1]Cluster_Master!$C$4:$C$18,MATCH($F644,[1]Cluster_Master!$B$4:$B$18,0)),"")</f>
        <v/>
      </c>
      <c r="I644" s="29" t="str">
        <f>IFERROR(INDEX([1]Cluster_Master!$D$4:$D$18,MATCH($F644,[1]Cluster_Master!$B$4:$B$18,0)),"")</f>
        <v/>
      </c>
      <c r="J644" s="29" t="str">
        <f>IFERROR(INDEX([1]Cluster_Master!$E$4:$E$18,MATCH($F644,[1]Cluster_Master!$B$4:$B$18,0)),"")</f>
        <v/>
      </c>
      <c r="K644" s="29" t="str">
        <f>IFERROR(INDEX([1]Cluster_Master!$F$4:$F$18,MATCH($F644,[1]Cluster_Master!$B$4:$B$18,0)),"")</f>
        <v/>
      </c>
      <c r="L644" s="29" t="str">
        <f>IFERROR(INDEX([1]Cluster_Master!$G$4:$G$18,MATCH($F644,[1]Cluster_Master!$B$4:$B$18,0)),"")</f>
        <v/>
      </c>
      <c r="M644" s="29" t="str">
        <f>IFERROR(INDEX([1]Cluster_Master!$H$4:$H$18,MATCH($F644,[1]Cluster_Master!$B$4:$B$18,0)),"")</f>
        <v/>
      </c>
      <c r="AI644" s="29" t="str">
        <f>IF(COUNTA(T644:AH644)=0,"",SUM(T644:AH644))</f>
        <v/>
      </c>
      <c r="AJ644" s="29" t="str">
        <f>IF(COUNTA(T644:AH644)=0,"",AI644/75)</f>
        <v/>
      </c>
      <c r="AK644" s="29" t="str">
        <f>IF(COUNTA(T644:AH644)=0,"",(SUM(T644*[1]KPI_Weights!$B$4,U644*[1]KPI_Weights!$B$5,V644*[1]KPI_Weights!$B$6,W644*[1]KPI_Weights!$B$7,X644*[1]KPI_Weights!$B$8,Y644*[1]KPI_Weights!$B$9,Z644*[1]KPI_Weights!$B$10,AA644*[1]KPI_Weights!$B$11,AB644*[1]KPI_Weights!$B$12,AC644*[1]KPI_Weights!$B$13,AD644*[1]KPI_Weights!$B$14,AE644*[1]KPI_Weights!$B$15,AF644*[1]KPI_Weights!$B$16,AG644*[1]KPI_Weights!$B$17,AH644*[1]KPI_Weights!$B$18))/5)</f>
        <v/>
      </c>
      <c r="AL644" s="29" t="str">
        <f>IF(COUNTA(T644:AH644)=0,"",IF(OR(T644&lt;=1,W644&lt;=1,X644&lt;=1,Y644&lt;=1,AB644&lt;=1),"YES","NO"))</f>
        <v/>
      </c>
      <c r="AM644" s="29" t="str">
        <f>IF(AJ644="","",IF(AND(AL644="NO",AJ644&gt;=0.75),"YES","NO"))</f>
        <v/>
      </c>
      <c r="AN644" s="29" t="str">
        <f>IF(AJ644="","",IF(AJ644&lt;0.4,"Critical",IF(AJ644&lt;0.6,"Poor",IF(AJ644&lt;0.75,"Needs Improvement",IF(AJ644&lt;0.9,"Good","Excellent")))))</f>
        <v/>
      </c>
    </row>
    <row r="645" spans="1:40" ht="15" customHeight="1" x14ac:dyDescent="0.25">
      <c r="A645" s="29" t="str">
        <f>IF($B645="","",TEXT($B645,"yyyymmdd")&amp;"-"&amp;SUBSTITUTE($F645," ","")&amp;"-"&amp;TEXT(COUNTIF($F$4:F645,$F645),"00"))</f>
        <v/>
      </c>
      <c r="C645" s="29" t="str">
        <f>IF($B645="","",WEEKNUM($B645,2))</f>
        <v/>
      </c>
      <c r="D645" s="29" t="str">
        <f>IF($B645="","",TEXT($B645,"yyyy-mm"))</f>
        <v/>
      </c>
      <c r="G645" s="29" t="str">
        <f>IF(OR($E645="",$F645=""),"",IFERROR(IF($E645=INDEX([1]Cluster_Master!$A$4:$A$18,MATCH($F645,[1]Cluster_Master!$B$4:$B$18,0)),"OK","CHECK"),"CHECK"))</f>
        <v/>
      </c>
      <c r="H645" s="29" t="str">
        <f>IFERROR(INDEX([1]Cluster_Master!$C$4:$C$18,MATCH($F645,[1]Cluster_Master!$B$4:$B$18,0)),"")</f>
        <v/>
      </c>
      <c r="I645" s="29" t="str">
        <f>IFERROR(INDEX([1]Cluster_Master!$D$4:$D$18,MATCH($F645,[1]Cluster_Master!$B$4:$B$18,0)),"")</f>
        <v/>
      </c>
      <c r="J645" s="29" t="str">
        <f>IFERROR(INDEX([1]Cluster_Master!$E$4:$E$18,MATCH($F645,[1]Cluster_Master!$B$4:$B$18,0)),"")</f>
        <v/>
      </c>
      <c r="K645" s="29" t="str">
        <f>IFERROR(INDEX([1]Cluster_Master!$F$4:$F$18,MATCH($F645,[1]Cluster_Master!$B$4:$B$18,0)),"")</f>
        <v/>
      </c>
      <c r="L645" s="29" t="str">
        <f>IFERROR(INDEX([1]Cluster_Master!$G$4:$G$18,MATCH($F645,[1]Cluster_Master!$B$4:$B$18,0)),"")</f>
        <v/>
      </c>
      <c r="M645" s="29" t="str">
        <f>IFERROR(INDEX([1]Cluster_Master!$H$4:$H$18,MATCH($F645,[1]Cluster_Master!$B$4:$B$18,0)),"")</f>
        <v/>
      </c>
      <c r="AI645" s="29" t="str">
        <f>IF(COUNTA(T645:AH645)=0,"",SUM(T645:AH645))</f>
        <v/>
      </c>
      <c r="AJ645" s="29" t="str">
        <f>IF(COUNTA(T645:AH645)=0,"",AI645/75)</f>
        <v/>
      </c>
      <c r="AK645" s="29" t="str">
        <f>IF(COUNTA(T645:AH645)=0,"",(SUM(T645*[1]KPI_Weights!$B$4,U645*[1]KPI_Weights!$B$5,V645*[1]KPI_Weights!$B$6,W645*[1]KPI_Weights!$B$7,X645*[1]KPI_Weights!$B$8,Y645*[1]KPI_Weights!$B$9,Z645*[1]KPI_Weights!$B$10,AA645*[1]KPI_Weights!$B$11,AB645*[1]KPI_Weights!$B$12,AC645*[1]KPI_Weights!$B$13,AD645*[1]KPI_Weights!$B$14,AE645*[1]KPI_Weights!$B$15,AF645*[1]KPI_Weights!$B$16,AG645*[1]KPI_Weights!$B$17,AH645*[1]KPI_Weights!$B$18))/5)</f>
        <v/>
      </c>
      <c r="AL645" s="29" t="str">
        <f>IF(COUNTA(T645:AH645)=0,"",IF(OR(T645&lt;=1,W645&lt;=1,X645&lt;=1,Y645&lt;=1,AB645&lt;=1),"YES","NO"))</f>
        <v/>
      </c>
      <c r="AM645" s="29" t="str">
        <f>IF(AJ645="","",IF(AND(AL645="NO",AJ645&gt;=0.75),"YES","NO"))</f>
        <v/>
      </c>
      <c r="AN645" s="29" t="str">
        <f>IF(AJ645="","",IF(AJ645&lt;0.4,"Critical",IF(AJ645&lt;0.6,"Poor",IF(AJ645&lt;0.75,"Needs Improvement",IF(AJ645&lt;0.9,"Good","Excellent")))))</f>
        <v/>
      </c>
    </row>
    <row r="646" spans="1:40" ht="15" customHeight="1" x14ac:dyDescent="0.25">
      <c r="A646" s="29" t="str">
        <f>IF($B646="","",TEXT($B646,"yyyymmdd")&amp;"-"&amp;SUBSTITUTE($F646," ","")&amp;"-"&amp;TEXT(COUNTIF($F$4:F646,$F646),"00"))</f>
        <v/>
      </c>
      <c r="C646" s="29" t="str">
        <f>IF($B646="","",WEEKNUM($B646,2))</f>
        <v/>
      </c>
      <c r="D646" s="29" t="str">
        <f>IF($B646="","",TEXT($B646,"yyyy-mm"))</f>
        <v/>
      </c>
      <c r="G646" s="29" t="str">
        <f>IF(OR($E646="",$F646=""),"",IFERROR(IF($E646=INDEX([1]Cluster_Master!$A$4:$A$18,MATCH($F646,[1]Cluster_Master!$B$4:$B$18,0)),"OK","CHECK"),"CHECK"))</f>
        <v/>
      </c>
      <c r="H646" s="29" t="str">
        <f>IFERROR(INDEX([1]Cluster_Master!$C$4:$C$18,MATCH($F646,[1]Cluster_Master!$B$4:$B$18,0)),"")</f>
        <v/>
      </c>
      <c r="I646" s="29" t="str">
        <f>IFERROR(INDEX([1]Cluster_Master!$D$4:$D$18,MATCH($F646,[1]Cluster_Master!$B$4:$B$18,0)),"")</f>
        <v/>
      </c>
      <c r="J646" s="29" t="str">
        <f>IFERROR(INDEX([1]Cluster_Master!$E$4:$E$18,MATCH($F646,[1]Cluster_Master!$B$4:$B$18,0)),"")</f>
        <v/>
      </c>
      <c r="K646" s="29" t="str">
        <f>IFERROR(INDEX([1]Cluster_Master!$F$4:$F$18,MATCH($F646,[1]Cluster_Master!$B$4:$B$18,0)),"")</f>
        <v/>
      </c>
      <c r="L646" s="29" t="str">
        <f>IFERROR(INDEX([1]Cluster_Master!$G$4:$G$18,MATCH($F646,[1]Cluster_Master!$B$4:$B$18,0)),"")</f>
        <v/>
      </c>
      <c r="M646" s="29" t="str">
        <f>IFERROR(INDEX([1]Cluster_Master!$H$4:$H$18,MATCH($F646,[1]Cluster_Master!$B$4:$B$18,0)),"")</f>
        <v/>
      </c>
      <c r="AI646" s="29" t="str">
        <f>IF(COUNTA(T646:AH646)=0,"",SUM(T646:AH646))</f>
        <v/>
      </c>
      <c r="AJ646" s="29" t="str">
        <f>IF(COUNTA(T646:AH646)=0,"",AI646/75)</f>
        <v/>
      </c>
      <c r="AK646" s="29" t="str">
        <f>IF(COUNTA(T646:AH646)=0,"",(SUM(T646*[1]KPI_Weights!$B$4,U646*[1]KPI_Weights!$B$5,V646*[1]KPI_Weights!$B$6,W646*[1]KPI_Weights!$B$7,X646*[1]KPI_Weights!$B$8,Y646*[1]KPI_Weights!$B$9,Z646*[1]KPI_Weights!$B$10,AA646*[1]KPI_Weights!$B$11,AB646*[1]KPI_Weights!$B$12,AC646*[1]KPI_Weights!$B$13,AD646*[1]KPI_Weights!$B$14,AE646*[1]KPI_Weights!$B$15,AF646*[1]KPI_Weights!$B$16,AG646*[1]KPI_Weights!$B$17,AH646*[1]KPI_Weights!$B$18))/5)</f>
        <v/>
      </c>
      <c r="AL646" s="29" t="str">
        <f>IF(COUNTA(T646:AH646)=0,"",IF(OR(T646&lt;=1,W646&lt;=1,X646&lt;=1,Y646&lt;=1,AB646&lt;=1),"YES","NO"))</f>
        <v/>
      </c>
      <c r="AM646" s="29" t="str">
        <f>IF(AJ646="","",IF(AND(AL646="NO",AJ646&gt;=0.75),"YES","NO"))</f>
        <v/>
      </c>
      <c r="AN646" s="29" t="str">
        <f>IF(AJ646="","",IF(AJ646&lt;0.4,"Critical",IF(AJ646&lt;0.6,"Poor",IF(AJ646&lt;0.75,"Needs Improvement",IF(AJ646&lt;0.9,"Good","Excellent")))))</f>
        <v/>
      </c>
    </row>
    <row r="647" spans="1:40" ht="15" customHeight="1" x14ac:dyDescent="0.25">
      <c r="A647" s="29" t="str">
        <f>IF($B647="","",TEXT($B647,"yyyymmdd")&amp;"-"&amp;SUBSTITUTE($F647," ","")&amp;"-"&amp;TEXT(COUNTIF($F$4:F647,$F647),"00"))</f>
        <v/>
      </c>
      <c r="C647" s="29" t="str">
        <f>IF($B647="","",WEEKNUM($B647,2))</f>
        <v/>
      </c>
      <c r="D647" s="29" t="str">
        <f>IF($B647="","",TEXT($B647,"yyyy-mm"))</f>
        <v/>
      </c>
      <c r="G647" s="29" t="str">
        <f>IF(OR($E647="",$F647=""),"",IFERROR(IF($E647=INDEX([1]Cluster_Master!$A$4:$A$18,MATCH($F647,[1]Cluster_Master!$B$4:$B$18,0)),"OK","CHECK"),"CHECK"))</f>
        <v/>
      </c>
      <c r="H647" s="29" t="str">
        <f>IFERROR(INDEX([1]Cluster_Master!$C$4:$C$18,MATCH($F647,[1]Cluster_Master!$B$4:$B$18,0)),"")</f>
        <v/>
      </c>
      <c r="I647" s="29" t="str">
        <f>IFERROR(INDEX([1]Cluster_Master!$D$4:$D$18,MATCH($F647,[1]Cluster_Master!$B$4:$B$18,0)),"")</f>
        <v/>
      </c>
      <c r="J647" s="29" t="str">
        <f>IFERROR(INDEX([1]Cluster_Master!$E$4:$E$18,MATCH($F647,[1]Cluster_Master!$B$4:$B$18,0)),"")</f>
        <v/>
      </c>
      <c r="K647" s="29" t="str">
        <f>IFERROR(INDEX([1]Cluster_Master!$F$4:$F$18,MATCH($F647,[1]Cluster_Master!$B$4:$B$18,0)),"")</f>
        <v/>
      </c>
      <c r="L647" s="29" t="str">
        <f>IFERROR(INDEX([1]Cluster_Master!$G$4:$G$18,MATCH($F647,[1]Cluster_Master!$B$4:$B$18,0)),"")</f>
        <v/>
      </c>
      <c r="M647" s="29" t="str">
        <f>IFERROR(INDEX([1]Cluster_Master!$H$4:$H$18,MATCH($F647,[1]Cluster_Master!$B$4:$B$18,0)),"")</f>
        <v/>
      </c>
      <c r="AI647" s="29" t="str">
        <f>IF(COUNTA(T647:AH647)=0,"",SUM(T647:AH647))</f>
        <v/>
      </c>
      <c r="AJ647" s="29" t="str">
        <f>IF(COUNTA(T647:AH647)=0,"",AI647/75)</f>
        <v/>
      </c>
      <c r="AK647" s="29" t="str">
        <f>IF(COUNTA(T647:AH647)=0,"",(SUM(T647*[1]KPI_Weights!$B$4,U647*[1]KPI_Weights!$B$5,V647*[1]KPI_Weights!$B$6,W647*[1]KPI_Weights!$B$7,X647*[1]KPI_Weights!$B$8,Y647*[1]KPI_Weights!$B$9,Z647*[1]KPI_Weights!$B$10,AA647*[1]KPI_Weights!$B$11,AB647*[1]KPI_Weights!$B$12,AC647*[1]KPI_Weights!$B$13,AD647*[1]KPI_Weights!$B$14,AE647*[1]KPI_Weights!$B$15,AF647*[1]KPI_Weights!$B$16,AG647*[1]KPI_Weights!$B$17,AH647*[1]KPI_Weights!$B$18))/5)</f>
        <v/>
      </c>
      <c r="AL647" s="29" t="str">
        <f>IF(COUNTA(T647:AH647)=0,"",IF(OR(T647&lt;=1,W647&lt;=1,X647&lt;=1,Y647&lt;=1,AB647&lt;=1),"YES","NO"))</f>
        <v/>
      </c>
      <c r="AM647" s="29" t="str">
        <f>IF(AJ647="","",IF(AND(AL647="NO",AJ647&gt;=0.75),"YES","NO"))</f>
        <v/>
      </c>
      <c r="AN647" s="29" t="str">
        <f>IF(AJ647="","",IF(AJ647&lt;0.4,"Critical",IF(AJ647&lt;0.6,"Poor",IF(AJ647&lt;0.75,"Needs Improvement",IF(AJ647&lt;0.9,"Good","Excellent")))))</f>
        <v/>
      </c>
    </row>
    <row r="648" spans="1:40" ht="15" customHeight="1" x14ac:dyDescent="0.25">
      <c r="A648" s="29" t="str">
        <f>IF($B648="","",TEXT($B648,"yyyymmdd")&amp;"-"&amp;SUBSTITUTE($F648," ","")&amp;"-"&amp;TEXT(COUNTIF($F$4:F648,$F648),"00"))</f>
        <v/>
      </c>
      <c r="C648" s="29" t="str">
        <f>IF($B648="","",WEEKNUM($B648,2))</f>
        <v/>
      </c>
      <c r="D648" s="29" t="str">
        <f>IF($B648="","",TEXT($B648,"yyyy-mm"))</f>
        <v/>
      </c>
      <c r="G648" s="29" t="str">
        <f>IF(OR($E648="",$F648=""),"",IFERROR(IF($E648=INDEX([1]Cluster_Master!$A$4:$A$18,MATCH($F648,[1]Cluster_Master!$B$4:$B$18,0)),"OK","CHECK"),"CHECK"))</f>
        <v/>
      </c>
      <c r="H648" s="29" t="str">
        <f>IFERROR(INDEX([1]Cluster_Master!$C$4:$C$18,MATCH($F648,[1]Cluster_Master!$B$4:$B$18,0)),"")</f>
        <v/>
      </c>
      <c r="I648" s="29" t="str">
        <f>IFERROR(INDEX([1]Cluster_Master!$D$4:$D$18,MATCH($F648,[1]Cluster_Master!$B$4:$B$18,0)),"")</f>
        <v/>
      </c>
      <c r="J648" s="29" t="str">
        <f>IFERROR(INDEX([1]Cluster_Master!$E$4:$E$18,MATCH($F648,[1]Cluster_Master!$B$4:$B$18,0)),"")</f>
        <v/>
      </c>
      <c r="K648" s="29" t="str">
        <f>IFERROR(INDEX([1]Cluster_Master!$F$4:$F$18,MATCH($F648,[1]Cluster_Master!$B$4:$B$18,0)),"")</f>
        <v/>
      </c>
      <c r="L648" s="29" t="str">
        <f>IFERROR(INDEX([1]Cluster_Master!$G$4:$G$18,MATCH($F648,[1]Cluster_Master!$B$4:$B$18,0)),"")</f>
        <v/>
      </c>
      <c r="M648" s="29" t="str">
        <f>IFERROR(INDEX([1]Cluster_Master!$H$4:$H$18,MATCH($F648,[1]Cluster_Master!$B$4:$B$18,0)),"")</f>
        <v/>
      </c>
      <c r="AI648" s="29" t="str">
        <f>IF(COUNTA(T648:AH648)=0,"",SUM(T648:AH648))</f>
        <v/>
      </c>
      <c r="AJ648" s="29" t="str">
        <f>IF(COUNTA(T648:AH648)=0,"",AI648/75)</f>
        <v/>
      </c>
      <c r="AK648" s="29" t="str">
        <f>IF(COUNTA(T648:AH648)=0,"",(SUM(T648*[1]KPI_Weights!$B$4,U648*[1]KPI_Weights!$B$5,V648*[1]KPI_Weights!$B$6,W648*[1]KPI_Weights!$B$7,X648*[1]KPI_Weights!$B$8,Y648*[1]KPI_Weights!$B$9,Z648*[1]KPI_Weights!$B$10,AA648*[1]KPI_Weights!$B$11,AB648*[1]KPI_Weights!$B$12,AC648*[1]KPI_Weights!$B$13,AD648*[1]KPI_Weights!$B$14,AE648*[1]KPI_Weights!$B$15,AF648*[1]KPI_Weights!$B$16,AG648*[1]KPI_Weights!$B$17,AH648*[1]KPI_Weights!$B$18))/5)</f>
        <v/>
      </c>
      <c r="AL648" s="29" t="str">
        <f>IF(COUNTA(T648:AH648)=0,"",IF(OR(T648&lt;=1,W648&lt;=1,X648&lt;=1,Y648&lt;=1,AB648&lt;=1),"YES","NO"))</f>
        <v/>
      </c>
      <c r="AM648" s="29" t="str">
        <f>IF(AJ648="","",IF(AND(AL648="NO",AJ648&gt;=0.75),"YES","NO"))</f>
        <v/>
      </c>
      <c r="AN648" s="29" t="str">
        <f>IF(AJ648="","",IF(AJ648&lt;0.4,"Critical",IF(AJ648&lt;0.6,"Poor",IF(AJ648&lt;0.75,"Needs Improvement",IF(AJ648&lt;0.9,"Good","Excellent")))))</f>
        <v/>
      </c>
    </row>
    <row r="649" spans="1:40" ht="15" customHeight="1" x14ac:dyDescent="0.25">
      <c r="A649" s="29" t="str">
        <f>IF($B649="","",TEXT($B649,"yyyymmdd")&amp;"-"&amp;SUBSTITUTE($F649," ","")&amp;"-"&amp;TEXT(COUNTIF($F$4:F649,$F649),"00"))</f>
        <v/>
      </c>
      <c r="C649" s="29" t="str">
        <f>IF($B649="","",WEEKNUM($B649,2))</f>
        <v/>
      </c>
      <c r="D649" s="29" t="str">
        <f>IF($B649="","",TEXT($B649,"yyyy-mm"))</f>
        <v/>
      </c>
      <c r="G649" s="29" t="str">
        <f>IF(OR($E649="",$F649=""),"",IFERROR(IF($E649=INDEX([1]Cluster_Master!$A$4:$A$18,MATCH($F649,[1]Cluster_Master!$B$4:$B$18,0)),"OK","CHECK"),"CHECK"))</f>
        <v/>
      </c>
      <c r="H649" s="29" t="str">
        <f>IFERROR(INDEX([1]Cluster_Master!$C$4:$C$18,MATCH($F649,[1]Cluster_Master!$B$4:$B$18,0)),"")</f>
        <v/>
      </c>
      <c r="I649" s="29" t="str">
        <f>IFERROR(INDEX([1]Cluster_Master!$D$4:$D$18,MATCH($F649,[1]Cluster_Master!$B$4:$B$18,0)),"")</f>
        <v/>
      </c>
      <c r="J649" s="29" t="str">
        <f>IFERROR(INDEX([1]Cluster_Master!$E$4:$E$18,MATCH($F649,[1]Cluster_Master!$B$4:$B$18,0)),"")</f>
        <v/>
      </c>
      <c r="K649" s="29" t="str">
        <f>IFERROR(INDEX([1]Cluster_Master!$F$4:$F$18,MATCH($F649,[1]Cluster_Master!$B$4:$B$18,0)),"")</f>
        <v/>
      </c>
      <c r="L649" s="29" t="str">
        <f>IFERROR(INDEX([1]Cluster_Master!$G$4:$G$18,MATCH($F649,[1]Cluster_Master!$B$4:$B$18,0)),"")</f>
        <v/>
      </c>
      <c r="M649" s="29" t="str">
        <f>IFERROR(INDEX([1]Cluster_Master!$H$4:$H$18,MATCH($F649,[1]Cluster_Master!$B$4:$B$18,0)),"")</f>
        <v/>
      </c>
      <c r="AI649" s="29" t="str">
        <f>IF(COUNTA(T649:AH649)=0,"",SUM(T649:AH649))</f>
        <v/>
      </c>
      <c r="AJ649" s="29" t="str">
        <f>IF(COUNTA(T649:AH649)=0,"",AI649/75)</f>
        <v/>
      </c>
      <c r="AK649" s="29" t="str">
        <f>IF(COUNTA(T649:AH649)=0,"",(SUM(T649*[1]KPI_Weights!$B$4,U649*[1]KPI_Weights!$B$5,V649*[1]KPI_Weights!$B$6,W649*[1]KPI_Weights!$B$7,X649*[1]KPI_Weights!$B$8,Y649*[1]KPI_Weights!$B$9,Z649*[1]KPI_Weights!$B$10,AA649*[1]KPI_Weights!$B$11,AB649*[1]KPI_Weights!$B$12,AC649*[1]KPI_Weights!$B$13,AD649*[1]KPI_Weights!$B$14,AE649*[1]KPI_Weights!$B$15,AF649*[1]KPI_Weights!$B$16,AG649*[1]KPI_Weights!$B$17,AH649*[1]KPI_Weights!$B$18))/5)</f>
        <v/>
      </c>
      <c r="AL649" s="29" t="str">
        <f>IF(COUNTA(T649:AH649)=0,"",IF(OR(T649&lt;=1,W649&lt;=1,X649&lt;=1,Y649&lt;=1,AB649&lt;=1),"YES","NO"))</f>
        <v/>
      </c>
      <c r="AM649" s="29" t="str">
        <f>IF(AJ649="","",IF(AND(AL649="NO",AJ649&gt;=0.75),"YES","NO"))</f>
        <v/>
      </c>
      <c r="AN649" s="29" t="str">
        <f>IF(AJ649="","",IF(AJ649&lt;0.4,"Critical",IF(AJ649&lt;0.6,"Poor",IF(AJ649&lt;0.75,"Needs Improvement",IF(AJ649&lt;0.9,"Good","Excellent")))))</f>
        <v/>
      </c>
    </row>
    <row r="650" spans="1:40" ht="15" customHeight="1" x14ac:dyDescent="0.25">
      <c r="A650" s="29" t="str">
        <f>IF($B650="","",TEXT($B650,"yyyymmdd")&amp;"-"&amp;SUBSTITUTE($F650," ","")&amp;"-"&amp;TEXT(COUNTIF($F$4:F650,$F650),"00"))</f>
        <v/>
      </c>
      <c r="C650" s="29" t="str">
        <f>IF($B650="","",WEEKNUM($B650,2))</f>
        <v/>
      </c>
      <c r="D650" s="29" t="str">
        <f>IF($B650="","",TEXT($B650,"yyyy-mm"))</f>
        <v/>
      </c>
      <c r="G650" s="29" t="str">
        <f>IF(OR($E650="",$F650=""),"",IFERROR(IF($E650=INDEX([1]Cluster_Master!$A$4:$A$18,MATCH($F650,[1]Cluster_Master!$B$4:$B$18,0)),"OK","CHECK"),"CHECK"))</f>
        <v/>
      </c>
      <c r="H650" s="29" t="str">
        <f>IFERROR(INDEX([1]Cluster_Master!$C$4:$C$18,MATCH($F650,[1]Cluster_Master!$B$4:$B$18,0)),"")</f>
        <v/>
      </c>
      <c r="I650" s="29" t="str">
        <f>IFERROR(INDEX([1]Cluster_Master!$D$4:$D$18,MATCH($F650,[1]Cluster_Master!$B$4:$B$18,0)),"")</f>
        <v/>
      </c>
      <c r="J650" s="29" t="str">
        <f>IFERROR(INDEX([1]Cluster_Master!$E$4:$E$18,MATCH($F650,[1]Cluster_Master!$B$4:$B$18,0)),"")</f>
        <v/>
      </c>
      <c r="K650" s="29" t="str">
        <f>IFERROR(INDEX([1]Cluster_Master!$F$4:$F$18,MATCH($F650,[1]Cluster_Master!$B$4:$B$18,0)),"")</f>
        <v/>
      </c>
      <c r="L650" s="29" t="str">
        <f>IFERROR(INDEX([1]Cluster_Master!$G$4:$G$18,MATCH($F650,[1]Cluster_Master!$B$4:$B$18,0)),"")</f>
        <v/>
      </c>
      <c r="M650" s="29" t="str">
        <f>IFERROR(INDEX([1]Cluster_Master!$H$4:$H$18,MATCH($F650,[1]Cluster_Master!$B$4:$B$18,0)),"")</f>
        <v/>
      </c>
      <c r="AI650" s="29" t="str">
        <f>IF(COUNTA(T650:AH650)=0,"",SUM(T650:AH650))</f>
        <v/>
      </c>
      <c r="AJ650" s="29" t="str">
        <f>IF(COUNTA(T650:AH650)=0,"",AI650/75)</f>
        <v/>
      </c>
      <c r="AK650" s="29" t="str">
        <f>IF(COUNTA(T650:AH650)=0,"",(SUM(T650*[1]KPI_Weights!$B$4,U650*[1]KPI_Weights!$B$5,V650*[1]KPI_Weights!$B$6,W650*[1]KPI_Weights!$B$7,X650*[1]KPI_Weights!$B$8,Y650*[1]KPI_Weights!$B$9,Z650*[1]KPI_Weights!$B$10,AA650*[1]KPI_Weights!$B$11,AB650*[1]KPI_Weights!$B$12,AC650*[1]KPI_Weights!$B$13,AD650*[1]KPI_Weights!$B$14,AE650*[1]KPI_Weights!$B$15,AF650*[1]KPI_Weights!$B$16,AG650*[1]KPI_Weights!$B$17,AH650*[1]KPI_Weights!$B$18))/5)</f>
        <v/>
      </c>
      <c r="AL650" s="29" t="str">
        <f>IF(COUNTA(T650:AH650)=0,"",IF(OR(T650&lt;=1,W650&lt;=1,X650&lt;=1,Y650&lt;=1,AB650&lt;=1),"YES","NO"))</f>
        <v/>
      </c>
      <c r="AM650" s="29" t="str">
        <f>IF(AJ650="","",IF(AND(AL650="NO",AJ650&gt;=0.75),"YES","NO"))</f>
        <v/>
      </c>
      <c r="AN650" s="29" t="str">
        <f>IF(AJ650="","",IF(AJ650&lt;0.4,"Critical",IF(AJ650&lt;0.6,"Poor",IF(AJ650&lt;0.75,"Needs Improvement",IF(AJ650&lt;0.9,"Good","Excellent")))))</f>
        <v/>
      </c>
    </row>
    <row r="651" spans="1:40" ht="15" customHeight="1" x14ac:dyDescent="0.25">
      <c r="A651" s="29" t="str">
        <f>IF($B651="","",TEXT($B651,"yyyymmdd")&amp;"-"&amp;SUBSTITUTE($F651," ","")&amp;"-"&amp;TEXT(COUNTIF($F$4:F651,$F651),"00"))</f>
        <v/>
      </c>
      <c r="C651" s="29" t="str">
        <f>IF($B651="","",WEEKNUM($B651,2))</f>
        <v/>
      </c>
      <c r="D651" s="29" t="str">
        <f>IF($B651="","",TEXT($B651,"yyyy-mm"))</f>
        <v/>
      </c>
      <c r="G651" s="29" t="str">
        <f>IF(OR($E651="",$F651=""),"",IFERROR(IF($E651=INDEX([1]Cluster_Master!$A$4:$A$18,MATCH($F651,[1]Cluster_Master!$B$4:$B$18,0)),"OK","CHECK"),"CHECK"))</f>
        <v/>
      </c>
      <c r="H651" s="29" t="str">
        <f>IFERROR(INDEX([1]Cluster_Master!$C$4:$C$18,MATCH($F651,[1]Cluster_Master!$B$4:$B$18,0)),"")</f>
        <v/>
      </c>
      <c r="I651" s="29" t="str">
        <f>IFERROR(INDEX([1]Cluster_Master!$D$4:$D$18,MATCH($F651,[1]Cluster_Master!$B$4:$B$18,0)),"")</f>
        <v/>
      </c>
      <c r="J651" s="29" t="str">
        <f>IFERROR(INDEX([1]Cluster_Master!$E$4:$E$18,MATCH($F651,[1]Cluster_Master!$B$4:$B$18,0)),"")</f>
        <v/>
      </c>
      <c r="K651" s="29" t="str">
        <f>IFERROR(INDEX([1]Cluster_Master!$F$4:$F$18,MATCH($F651,[1]Cluster_Master!$B$4:$B$18,0)),"")</f>
        <v/>
      </c>
      <c r="L651" s="29" t="str">
        <f>IFERROR(INDEX([1]Cluster_Master!$G$4:$G$18,MATCH($F651,[1]Cluster_Master!$B$4:$B$18,0)),"")</f>
        <v/>
      </c>
      <c r="M651" s="29" t="str">
        <f>IFERROR(INDEX([1]Cluster_Master!$H$4:$H$18,MATCH($F651,[1]Cluster_Master!$B$4:$B$18,0)),"")</f>
        <v/>
      </c>
      <c r="AI651" s="29" t="str">
        <f>IF(COUNTA(T651:AH651)=0,"",SUM(T651:AH651))</f>
        <v/>
      </c>
      <c r="AJ651" s="29" t="str">
        <f>IF(COUNTA(T651:AH651)=0,"",AI651/75)</f>
        <v/>
      </c>
      <c r="AK651" s="29" t="str">
        <f>IF(COUNTA(T651:AH651)=0,"",(SUM(T651*[1]KPI_Weights!$B$4,U651*[1]KPI_Weights!$B$5,V651*[1]KPI_Weights!$B$6,W651*[1]KPI_Weights!$B$7,X651*[1]KPI_Weights!$B$8,Y651*[1]KPI_Weights!$B$9,Z651*[1]KPI_Weights!$B$10,AA651*[1]KPI_Weights!$B$11,AB651*[1]KPI_Weights!$B$12,AC651*[1]KPI_Weights!$B$13,AD651*[1]KPI_Weights!$B$14,AE651*[1]KPI_Weights!$B$15,AF651*[1]KPI_Weights!$B$16,AG651*[1]KPI_Weights!$B$17,AH651*[1]KPI_Weights!$B$18))/5)</f>
        <v/>
      </c>
      <c r="AL651" s="29" t="str">
        <f>IF(COUNTA(T651:AH651)=0,"",IF(OR(T651&lt;=1,W651&lt;=1,X651&lt;=1,Y651&lt;=1,AB651&lt;=1),"YES","NO"))</f>
        <v/>
      </c>
      <c r="AM651" s="29" t="str">
        <f>IF(AJ651="","",IF(AND(AL651="NO",AJ651&gt;=0.75),"YES","NO"))</f>
        <v/>
      </c>
      <c r="AN651" s="29" t="str">
        <f>IF(AJ651="","",IF(AJ651&lt;0.4,"Critical",IF(AJ651&lt;0.6,"Poor",IF(AJ651&lt;0.75,"Needs Improvement",IF(AJ651&lt;0.9,"Good","Excellent")))))</f>
        <v/>
      </c>
    </row>
    <row r="652" spans="1:40" ht="15" customHeight="1" x14ac:dyDescent="0.25">
      <c r="A652" s="29" t="str">
        <f>IF($B652="","",TEXT($B652,"yyyymmdd")&amp;"-"&amp;SUBSTITUTE($F652," ","")&amp;"-"&amp;TEXT(COUNTIF($F$4:F652,$F652),"00"))</f>
        <v/>
      </c>
      <c r="C652" s="29" t="str">
        <f>IF($B652="","",WEEKNUM($B652,2))</f>
        <v/>
      </c>
      <c r="D652" s="29" t="str">
        <f>IF($B652="","",TEXT($B652,"yyyy-mm"))</f>
        <v/>
      </c>
      <c r="G652" s="29" t="str">
        <f>IF(OR($E652="",$F652=""),"",IFERROR(IF($E652=INDEX([1]Cluster_Master!$A$4:$A$18,MATCH($F652,[1]Cluster_Master!$B$4:$B$18,0)),"OK","CHECK"),"CHECK"))</f>
        <v/>
      </c>
      <c r="H652" s="29" t="str">
        <f>IFERROR(INDEX([1]Cluster_Master!$C$4:$C$18,MATCH($F652,[1]Cluster_Master!$B$4:$B$18,0)),"")</f>
        <v/>
      </c>
      <c r="I652" s="29" t="str">
        <f>IFERROR(INDEX([1]Cluster_Master!$D$4:$D$18,MATCH($F652,[1]Cluster_Master!$B$4:$B$18,0)),"")</f>
        <v/>
      </c>
      <c r="J652" s="29" t="str">
        <f>IFERROR(INDEX([1]Cluster_Master!$E$4:$E$18,MATCH($F652,[1]Cluster_Master!$B$4:$B$18,0)),"")</f>
        <v/>
      </c>
      <c r="K652" s="29" t="str">
        <f>IFERROR(INDEX([1]Cluster_Master!$F$4:$F$18,MATCH($F652,[1]Cluster_Master!$B$4:$B$18,0)),"")</f>
        <v/>
      </c>
      <c r="L652" s="29" t="str">
        <f>IFERROR(INDEX([1]Cluster_Master!$G$4:$G$18,MATCH($F652,[1]Cluster_Master!$B$4:$B$18,0)),"")</f>
        <v/>
      </c>
      <c r="M652" s="29" t="str">
        <f>IFERROR(INDEX([1]Cluster_Master!$H$4:$H$18,MATCH($F652,[1]Cluster_Master!$B$4:$B$18,0)),"")</f>
        <v/>
      </c>
      <c r="AI652" s="29" t="str">
        <f>IF(COUNTA(T652:AH652)=0,"",SUM(T652:AH652))</f>
        <v/>
      </c>
      <c r="AJ652" s="29" t="str">
        <f>IF(COUNTA(T652:AH652)=0,"",AI652/75)</f>
        <v/>
      </c>
      <c r="AK652" s="29" t="str">
        <f>IF(COUNTA(T652:AH652)=0,"",(SUM(T652*[1]KPI_Weights!$B$4,U652*[1]KPI_Weights!$B$5,V652*[1]KPI_Weights!$B$6,W652*[1]KPI_Weights!$B$7,X652*[1]KPI_Weights!$B$8,Y652*[1]KPI_Weights!$B$9,Z652*[1]KPI_Weights!$B$10,AA652*[1]KPI_Weights!$B$11,AB652*[1]KPI_Weights!$B$12,AC652*[1]KPI_Weights!$B$13,AD652*[1]KPI_Weights!$B$14,AE652*[1]KPI_Weights!$B$15,AF652*[1]KPI_Weights!$B$16,AG652*[1]KPI_Weights!$B$17,AH652*[1]KPI_Weights!$B$18))/5)</f>
        <v/>
      </c>
      <c r="AL652" s="29" t="str">
        <f>IF(COUNTA(T652:AH652)=0,"",IF(OR(T652&lt;=1,W652&lt;=1,X652&lt;=1,Y652&lt;=1,AB652&lt;=1),"YES","NO"))</f>
        <v/>
      </c>
      <c r="AM652" s="29" t="str">
        <f>IF(AJ652="","",IF(AND(AL652="NO",AJ652&gt;=0.75),"YES","NO"))</f>
        <v/>
      </c>
      <c r="AN652" s="29" t="str">
        <f>IF(AJ652="","",IF(AJ652&lt;0.4,"Critical",IF(AJ652&lt;0.6,"Poor",IF(AJ652&lt;0.75,"Needs Improvement",IF(AJ652&lt;0.9,"Good","Excellent")))))</f>
        <v/>
      </c>
    </row>
    <row r="653" spans="1:40" ht="15" customHeight="1" x14ac:dyDescent="0.25">
      <c r="A653" s="29" t="str">
        <f>IF($B653="","",TEXT($B653,"yyyymmdd")&amp;"-"&amp;SUBSTITUTE($F653," ","")&amp;"-"&amp;TEXT(COUNTIF($F$4:F653,$F653),"00"))</f>
        <v/>
      </c>
      <c r="C653" s="29" t="str">
        <f>IF($B653="","",WEEKNUM($B653,2))</f>
        <v/>
      </c>
      <c r="D653" s="29" t="str">
        <f>IF($B653="","",TEXT($B653,"yyyy-mm"))</f>
        <v/>
      </c>
      <c r="G653" s="29" t="str">
        <f>IF(OR($E653="",$F653=""),"",IFERROR(IF($E653=INDEX([1]Cluster_Master!$A$4:$A$18,MATCH($F653,[1]Cluster_Master!$B$4:$B$18,0)),"OK","CHECK"),"CHECK"))</f>
        <v/>
      </c>
      <c r="H653" s="29" t="str">
        <f>IFERROR(INDEX([1]Cluster_Master!$C$4:$C$18,MATCH($F653,[1]Cluster_Master!$B$4:$B$18,0)),"")</f>
        <v/>
      </c>
      <c r="I653" s="29" t="str">
        <f>IFERROR(INDEX([1]Cluster_Master!$D$4:$D$18,MATCH($F653,[1]Cluster_Master!$B$4:$B$18,0)),"")</f>
        <v/>
      </c>
      <c r="J653" s="29" t="str">
        <f>IFERROR(INDEX([1]Cluster_Master!$E$4:$E$18,MATCH($F653,[1]Cluster_Master!$B$4:$B$18,0)),"")</f>
        <v/>
      </c>
      <c r="K653" s="29" t="str">
        <f>IFERROR(INDEX([1]Cluster_Master!$F$4:$F$18,MATCH($F653,[1]Cluster_Master!$B$4:$B$18,0)),"")</f>
        <v/>
      </c>
      <c r="L653" s="29" t="str">
        <f>IFERROR(INDEX([1]Cluster_Master!$G$4:$G$18,MATCH($F653,[1]Cluster_Master!$B$4:$B$18,0)),"")</f>
        <v/>
      </c>
      <c r="M653" s="29" t="str">
        <f>IFERROR(INDEX([1]Cluster_Master!$H$4:$H$18,MATCH($F653,[1]Cluster_Master!$B$4:$B$18,0)),"")</f>
        <v/>
      </c>
      <c r="AI653" s="29" t="str">
        <f>IF(COUNTA(T653:AH653)=0,"",SUM(T653:AH653))</f>
        <v/>
      </c>
      <c r="AJ653" s="29" t="str">
        <f>IF(COUNTA(T653:AH653)=0,"",AI653/75)</f>
        <v/>
      </c>
      <c r="AK653" s="29" t="str">
        <f>IF(COUNTA(T653:AH653)=0,"",(SUM(T653*[1]KPI_Weights!$B$4,U653*[1]KPI_Weights!$B$5,V653*[1]KPI_Weights!$B$6,W653*[1]KPI_Weights!$B$7,X653*[1]KPI_Weights!$B$8,Y653*[1]KPI_Weights!$B$9,Z653*[1]KPI_Weights!$B$10,AA653*[1]KPI_Weights!$B$11,AB653*[1]KPI_Weights!$B$12,AC653*[1]KPI_Weights!$B$13,AD653*[1]KPI_Weights!$B$14,AE653*[1]KPI_Weights!$B$15,AF653*[1]KPI_Weights!$B$16,AG653*[1]KPI_Weights!$B$17,AH653*[1]KPI_Weights!$B$18))/5)</f>
        <v/>
      </c>
      <c r="AL653" s="29" t="str">
        <f>IF(COUNTA(T653:AH653)=0,"",IF(OR(T653&lt;=1,W653&lt;=1,X653&lt;=1,Y653&lt;=1,AB653&lt;=1),"YES","NO"))</f>
        <v/>
      </c>
      <c r="AM653" s="29" t="str">
        <f>IF(AJ653="","",IF(AND(AL653="NO",AJ653&gt;=0.75),"YES","NO"))</f>
        <v/>
      </c>
      <c r="AN653" s="29" t="str">
        <f>IF(AJ653="","",IF(AJ653&lt;0.4,"Critical",IF(AJ653&lt;0.6,"Poor",IF(AJ653&lt;0.75,"Needs Improvement",IF(AJ653&lt;0.9,"Good","Excellent")))))</f>
        <v/>
      </c>
    </row>
    <row r="654" spans="1:40" ht="15" customHeight="1" x14ac:dyDescent="0.25">
      <c r="A654" s="29" t="str">
        <f>IF($B654="","",TEXT($B654,"yyyymmdd")&amp;"-"&amp;SUBSTITUTE($F654," ","")&amp;"-"&amp;TEXT(COUNTIF($F$4:F654,$F654),"00"))</f>
        <v/>
      </c>
      <c r="C654" s="29" t="str">
        <f>IF($B654="","",WEEKNUM($B654,2))</f>
        <v/>
      </c>
      <c r="D654" s="29" t="str">
        <f>IF($B654="","",TEXT($B654,"yyyy-mm"))</f>
        <v/>
      </c>
      <c r="G654" s="29" t="str">
        <f>IF(OR($E654="",$F654=""),"",IFERROR(IF($E654=INDEX([1]Cluster_Master!$A$4:$A$18,MATCH($F654,[1]Cluster_Master!$B$4:$B$18,0)),"OK","CHECK"),"CHECK"))</f>
        <v/>
      </c>
      <c r="H654" s="29" t="str">
        <f>IFERROR(INDEX([1]Cluster_Master!$C$4:$C$18,MATCH($F654,[1]Cluster_Master!$B$4:$B$18,0)),"")</f>
        <v/>
      </c>
      <c r="I654" s="29" t="str">
        <f>IFERROR(INDEX([1]Cluster_Master!$D$4:$D$18,MATCH($F654,[1]Cluster_Master!$B$4:$B$18,0)),"")</f>
        <v/>
      </c>
      <c r="J654" s="29" t="str">
        <f>IFERROR(INDEX([1]Cluster_Master!$E$4:$E$18,MATCH($F654,[1]Cluster_Master!$B$4:$B$18,0)),"")</f>
        <v/>
      </c>
      <c r="K654" s="29" t="str">
        <f>IFERROR(INDEX([1]Cluster_Master!$F$4:$F$18,MATCH($F654,[1]Cluster_Master!$B$4:$B$18,0)),"")</f>
        <v/>
      </c>
      <c r="L654" s="29" t="str">
        <f>IFERROR(INDEX([1]Cluster_Master!$G$4:$G$18,MATCH($F654,[1]Cluster_Master!$B$4:$B$18,0)),"")</f>
        <v/>
      </c>
      <c r="M654" s="29" t="str">
        <f>IFERROR(INDEX([1]Cluster_Master!$H$4:$H$18,MATCH($F654,[1]Cluster_Master!$B$4:$B$18,0)),"")</f>
        <v/>
      </c>
      <c r="AI654" s="29" t="str">
        <f>IF(COUNTA(T654:AH654)=0,"",SUM(T654:AH654))</f>
        <v/>
      </c>
      <c r="AJ654" s="29" t="str">
        <f>IF(COUNTA(T654:AH654)=0,"",AI654/75)</f>
        <v/>
      </c>
      <c r="AK654" s="29" t="str">
        <f>IF(COUNTA(T654:AH654)=0,"",(SUM(T654*[1]KPI_Weights!$B$4,U654*[1]KPI_Weights!$B$5,V654*[1]KPI_Weights!$B$6,W654*[1]KPI_Weights!$B$7,X654*[1]KPI_Weights!$B$8,Y654*[1]KPI_Weights!$B$9,Z654*[1]KPI_Weights!$B$10,AA654*[1]KPI_Weights!$B$11,AB654*[1]KPI_Weights!$B$12,AC654*[1]KPI_Weights!$B$13,AD654*[1]KPI_Weights!$B$14,AE654*[1]KPI_Weights!$B$15,AF654*[1]KPI_Weights!$B$16,AG654*[1]KPI_Weights!$B$17,AH654*[1]KPI_Weights!$B$18))/5)</f>
        <v/>
      </c>
      <c r="AL654" s="29" t="str">
        <f>IF(COUNTA(T654:AH654)=0,"",IF(OR(T654&lt;=1,W654&lt;=1,X654&lt;=1,Y654&lt;=1,AB654&lt;=1),"YES","NO"))</f>
        <v/>
      </c>
      <c r="AM654" s="29" t="str">
        <f>IF(AJ654="","",IF(AND(AL654="NO",AJ654&gt;=0.75),"YES","NO"))</f>
        <v/>
      </c>
      <c r="AN654" s="29" t="str">
        <f>IF(AJ654="","",IF(AJ654&lt;0.4,"Critical",IF(AJ654&lt;0.6,"Poor",IF(AJ654&lt;0.75,"Needs Improvement",IF(AJ654&lt;0.9,"Good","Excellent")))))</f>
        <v/>
      </c>
    </row>
    <row r="655" spans="1:40" ht="15" customHeight="1" x14ac:dyDescent="0.25">
      <c r="A655" s="29" t="str">
        <f>IF($B655="","",TEXT($B655,"yyyymmdd")&amp;"-"&amp;SUBSTITUTE($F655," ","")&amp;"-"&amp;TEXT(COUNTIF($F$4:F655,$F655),"00"))</f>
        <v/>
      </c>
      <c r="C655" s="29" t="str">
        <f>IF($B655="","",WEEKNUM($B655,2))</f>
        <v/>
      </c>
      <c r="D655" s="29" t="str">
        <f>IF($B655="","",TEXT($B655,"yyyy-mm"))</f>
        <v/>
      </c>
      <c r="G655" s="29" t="str">
        <f>IF(OR($E655="",$F655=""),"",IFERROR(IF($E655=INDEX([1]Cluster_Master!$A$4:$A$18,MATCH($F655,[1]Cluster_Master!$B$4:$B$18,0)),"OK","CHECK"),"CHECK"))</f>
        <v/>
      </c>
      <c r="H655" s="29" t="str">
        <f>IFERROR(INDEX([1]Cluster_Master!$C$4:$C$18,MATCH($F655,[1]Cluster_Master!$B$4:$B$18,0)),"")</f>
        <v/>
      </c>
      <c r="I655" s="29" t="str">
        <f>IFERROR(INDEX([1]Cluster_Master!$D$4:$D$18,MATCH($F655,[1]Cluster_Master!$B$4:$B$18,0)),"")</f>
        <v/>
      </c>
      <c r="J655" s="29" t="str">
        <f>IFERROR(INDEX([1]Cluster_Master!$E$4:$E$18,MATCH($F655,[1]Cluster_Master!$B$4:$B$18,0)),"")</f>
        <v/>
      </c>
      <c r="K655" s="29" t="str">
        <f>IFERROR(INDEX([1]Cluster_Master!$F$4:$F$18,MATCH($F655,[1]Cluster_Master!$B$4:$B$18,0)),"")</f>
        <v/>
      </c>
      <c r="L655" s="29" t="str">
        <f>IFERROR(INDEX([1]Cluster_Master!$G$4:$G$18,MATCH($F655,[1]Cluster_Master!$B$4:$B$18,0)),"")</f>
        <v/>
      </c>
      <c r="M655" s="29" t="str">
        <f>IFERROR(INDEX([1]Cluster_Master!$H$4:$H$18,MATCH($F655,[1]Cluster_Master!$B$4:$B$18,0)),"")</f>
        <v/>
      </c>
      <c r="AI655" s="29" t="str">
        <f>IF(COUNTA(T655:AH655)=0,"",SUM(T655:AH655))</f>
        <v/>
      </c>
      <c r="AJ655" s="29" t="str">
        <f>IF(COUNTA(T655:AH655)=0,"",AI655/75)</f>
        <v/>
      </c>
      <c r="AK655" s="29" t="str">
        <f>IF(COUNTA(T655:AH655)=0,"",(SUM(T655*[1]KPI_Weights!$B$4,U655*[1]KPI_Weights!$B$5,V655*[1]KPI_Weights!$B$6,W655*[1]KPI_Weights!$B$7,X655*[1]KPI_Weights!$B$8,Y655*[1]KPI_Weights!$B$9,Z655*[1]KPI_Weights!$B$10,AA655*[1]KPI_Weights!$B$11,AB655*[1]KPI_Weights!$B$12,AC655*[1]KPI_Weights!$B$13,AD655*[1]KPI_Weights!$B$14,AE655*[1]KPI_Weights!$B$15,AF655*[1]KPI_Weights!$B$16,AG655*[1]KPI_Weights!$B$17,AH655*[1]KPI_Weights!$B$18))/5)</f>
        <v/>
      </c>
      <c r="AL655" s="29" t="str">
        <f>IF(COUNTA(T655:AH655)=0,"",IF(OR(T655&lt;=1,W655&lt;=1,X655&lt;=1,Y655&lt;=1,AB655&lt;=1),"YES","NO"))</f>
        <v/>
      </c>
      <c r="AM655" s="29" t="str">
        <f>IF(AJ655="","",IF(AND(AL655="NO",AJ655&gt;=0.75),"YES","NO"))</f>
        <v/>
      </c>
      <c r="AN655" s="29" t="str">
        <f>IF(AJ655="","",IF(AJ655&lt;0.4,"Critical",IF(AJ655&lt;0.6,"Poor",IF(AJ655&lt;0.75,"Needs Improvement",IF(AJ655&lt;0.9,"Good","Excellent")))))</f>
        <v/>
      </c>
    </row>
    <row r="656" spans="1:40" ht="15" customHeight="1" x14ac:dyDescent="0.25">
      <c r="A656" s="29" t="str">
        <f>IF($B656="","",TEXT($B656,"yyyymmdd")&amp;"-"&amp;SUBSTITUTE($F656," ","")&amp;"-"&amp;TEXT(COUNTIF($F$4:F656,$F656),"00"))</f>
        <v/>
      </c>
      <c r="C656" s="29" t="str">
        <f>IF($B656="","",WEEKNUM($B656,2))</f>
        <v/>
      </c>
      <c r="D656" s="29" t="str">
        <f>IF($B656="","",TEXT($B656,"yyyy-mm"))</f>
        <v/>
      </c>
      <c r="G656" s="29" t="str">
        <f>IF(OR($E656="",$F656=""),"",IFERROR(IF($E656=INDEX([1]Cluster_Master!$A$4:$A$18,MATCH($F656,[1]Cluster_Master!$B$4:$B$18,0)),"OK","CHECK"),"CHECK"))</f>
        <v/>
      </c>
      <c r="H656" s="29" t="str">
        <f>IFERROR(INDEX([1]Cluster_Master!$C$4:$C$18,MATCH($F656,[1]Cluster_Master!$B$4:$B$18,0)),"")</f>
        <v/>
      </c>
      <c r="I656" s="29" t="str">
        <f>IFERROR(INDEX([1]Cluster_Master!$D$4:$D$18,MATCH($F656,[1]Cluster_Master!$B$4:$B$18,0)),"")</f>
        <v/>
      </c>
      <c r="J656" s="29" t="str">
        <f>IFERROR(INDEX([1]Cluster_Master!$E$4:$E$18,MATCH($F656,[1]Cluster_Master!$B$4:$B$18,0)),"")</f>
        <v/>
      </c>
      <c r="K656" s="29" t="str">
        <f>IFERROR(INDEX([1]Cluster_Master!$F$4:$F$18,MATCH($F656,[1]Cluster_Master!$B$4:$B$18,0)),"")</f>
        <v/>
      </c>
      <c r="L656" s="29" t="str">
        <f>IFERROR(INDEX([1]Cluster_Master!$G$4:$G$18,MATCH($F656,[1]Cluster_Master!$B$4:$B$18,0)),"")</f>
        <v/>
      </c>
      <c r="M656" s="29" t="str">
        <f>IFERROR(INDEX([1]Cluster_Master!$H$4:$H$18,MATCH($F656,[1]Cluster_Master!$B$4:$B$18,0)),"")</f>
        <v/>
      </c>
      <c r="AI656" s="29" t="str">
        <f>IF(COUNTA(T656:AH656)=0,"",SUM(T656:AH656))</f>
        <v/>
      </c>
      <c r="AJ656" s="29" t="str">
        <f>IF(COUNTA(T656:AH656)=0,"",AI656/75)</f>
        <v/>
      </c>
      <c r="AK656" s="29" t="str">
        <f>IF(COUNTA(T656:AH656)=0,"",(SUM(T656*[1]KPI_Weights!$B$4,U656*[1]KPI_Weights!$B$5,V656*[1]KPI_Weights!$B$6,W656*[1]KPI_Weights!$B$7,X656*[1]KPI_Weights!$B$8,Y656*[1]KPI_Weights!$B$9,Z656*[1]KPI_Weights!$B$10,AA656*[1]KPI_Weights!$B$11,AB656*[1]KPI_Weights!$B$12,AC656*[1]KPI_Weights!$B$13,AD656*[1]KPI_Weights!$B$14,AE656*[1]KPI_Weights!$B$15,AF656*[1]KPI_Weights!$B$16,AG656*[1]KPI_Weights!$B$17,AH656*[1]KPI_Weights!$B$18))/5)</f>
        <v/>
      </c>
      <c r="AL656" s="29" t="str">
        <f>IF(COUNTA(T656:AH656)=0,"",IF(OR(T656&lt;=1,W656&lt;=1,X656&lt;=1,Y656&lt;=1,AB656&lt;=1),"YES","NO"))</f>
        <v/>
      </c>
      <c r="AM656" s="29" t="str">
        <f>IF(AJ656="","",IF(AND(AL656="NO",AJ656&gt;=0.75),"YES","NO"))</f>
        <v/>
      </c>
      <c r="AN656" s="29" t="str">
        <f>IF(AJ656="","",IF(AJ656&lt;0.4,"Critical",IF(AJ656&lt;0.6,"Poor",IF(AJ656&lt;0.75,"Needs Improvement",IF(AJ656&lt;0.9,"Good","Excellent")))))</f>
        <v/>
      </c>
    </row>
    <row r="657" spans="1:40" ht="15" customHeight="1" x14ac:dyDescent="0.25">
      <c r="A657" s="29" t="str">
        <f>IF($B657="","",TEXT($B657,"yyyymmdd")&amp;"-"&amp;SUBSTITUTE($F657," ","")&amp;"-"&amp;TEXT(COUNTIF($F$4:F657,$F657),"00"))</f>
        <v/>
      </c>
      <c r="C657" s="29" t="str">
        <f>IF($B657="","",WEEKNUM($B657,2))</f>
        <v/>
      </c>
      <c r="D657" s="29" t="str">
        <f>IF($B657="","",TEXT($B657,"yyyy-mm"))</f>
        <v/>
      </c>
      <c r="G657" s="29" t="str">
        <f>IF(OR($E657="",$F657=""),"",IFERROR(IF($E657=INDEX([1]Cluster_Master!$A$4:$A$18,MATCH($F657,[1]Cluster_Master!$B$4:$B$18,0)),"OK","CHECK"),"CHECK"))</f>
        <v/>
      </c>
      <c r="H657" s="29" t="str">
        <f>IFERROR(INDEX([1]Cluster_Master!$C$4:$C$18,MATCH($F657,[1]Cluster_Master!$B$4:$B$18,0)),"")</f>
        <v/>
      </c>
      <c r="I657" s="29" t="str">
        <f>IFERROR(INDEX([1]Cluster_Master!$D$4:$D$18,MATCH($F657,[1]Cluster_Master!$B$4:$B$18,0)),"")</f>
        <v/>
      </c>
      <c r="J657" s="29" t="str">
        <f>IFERROR(INDEX([1]Cluster_Master!$E$4:$E$18,MATCH($F657,[1]Cluster_Master!$B$4:$B$18,0)),"")</f>
        <v/>
      </c>
      <c r="K657" s="29" t="str">
        <f>IFERROR(INDEX([1]Cluster_Master!$F$4:$F$18,MATCH($F657,[1]Cluster_Master!$B$4:$B$18,0)),"")</f>
        <v/>
      </c>
      <c r="L657" s="29" t="str">
        <f>IFERROR(INDEX([1]Cluster_Master!$G$4:$G$18,MATCH($F657,[1]Cluster_Master!$B$4:$B$18,0)),"")</f>
        <v/>
      </c>
      <c r="M657" s="29" t="str">
        <f>IFERROR(INDEX([1]Cluster_Master!$H$4:$H$18,MATCH($F657,[1]Cluster_Master!$B$4:$B$18,0)),"")</f>
        <v/>
      </c>
      <c r="AI657" s="29" t="str">
        <f>IF(COUNTA(T657:AH657)=0,"",SUM(T657:AH657))</f>
        <v/>
      </c>
      <c r="AJ657" s="29" t="str">
        <f>IF(COUNTA(T657:AH657)=0,"",AI657/75)</f>
        <v/>
      </c>
      <c r="AK657" s="29" t="str">
        <f>IF(COUNTA(T657:AH657)=0,"",(SUM(T657*[1]KPI_Weights!$B$4,U657*[1]KPI_Weights!$B$5,V657*[1]KPI_Weights!$B$6,W657*[1]KPI_Weights!$B$7,X657*[1]KPI_Weights!$B$8,Y657*[1]KPI_Weights!$B$9,Z657*[1]KPI_Weights!$B$10,AA657*[1]KPI_Weights!$B$11,AB657*[1]KPI_Weights!$B$12,AC657*[1]KPI_Weights!$B$13,AD657*[1]KPI_Weights!$B$14,AE657*[1]KPI_Weights!$B$15,AF657*[1]KPI_Weights!$B$16,AG657*[1]KPI_Weights!$B$17,AH657*[1]KPI_Weights!$B$18))/5)</f>
        <v/>
      </c>
      <c r="AL657" s="29" t="str">
        <f>IF(COUNTA(T657:AH657)=0,"",IF(OR(T657&lt;=1,W657&lt;=1,X657&lt;=1,Y657&lt;=1,AB657&lt;=1),"YES","NO"))</f>
        <v/>
      </c>
      <c r="AM657" s="29" t="str">
        <f>IF(AJ657="","",IF(AND(AL657="NO",AJ657&gt;=0.75),"YES","NO"))</f>
        <v/>
      </c>
      <c r="AN657" s="29" t="str">
        <f>IF(AJ657="","",IF(AJ657&lt;0.4,"Critical",IF(AJ657&lt;0.6,"Poor",IF(AJ657&lt;0.75,"Needs Improvement",IF(AJ657&lt;0.9,"Good","Excellent")))))</f>
        <v/>
      </c>
    </row>
    <row r="658" spans="1:40" ht="15" customHeight="1" x14ac:dyDescent="0.25">
      <c r="A658" s="29" t="str">
        <f>IF($B658="","",TEXT($B658,"yyyymmdd")&amp;"-"&amp;SUBSTITUTE($F658," ","")&amp;"-"&amp;TEXT(COUNTIF($F$4:F658,$F658),"00"))</f>
        <v/>
      </c>
      <c r="C658" s="29" t="str">
        <f>IF($B658="","",WEEKNUM($B658,2))</f>
        <v/>
      </c>
      <c r="D658" s="29" t="str">
        <f>IF($B658="","",TEXT($B658,"yyyy-mm"))</f>
        <v/>
      </c>
      <c r="G658" s="29" t="str">
        <f>IF(OR($E658="",$F658=""),"",IFERROR(IF($E658=INDEX([1]Cluster_Master!$A$4:$A$18,MATCH($F658,[1]Cluster_Master!$B$4:$B$18,0)),"OK","CHECK"),"CHECK"))</f>
        <v/>
      </c>
      <c r="H658" s="29" t="str">
        <f>IFERROR(INDEX([1]Cluster_Master!$C$4:$C$18,MATCH($F658,[1]Cluster_Master!$B$4:$B$18,0)),"")</f>
        <v/>
      </c>
      <c r="I658" s="29" t="str">
        <f>IFERROR(INDEX([1]Cluster_Master!$D$4:$D$18,MATCH($F658,[1]Cluster_Master!$B$4:$B$18,0)),"")</f>
        <v/>
      </c>
      <c r="J658" s="29" t="str">
        <f>IFERROR(INDEX([1]Cluster_Master!$E$4:$E$18,MATCH($F658,[1]Cluster_Master!$B$4:$B$18,0)),"")</f>
        <v/>
      </c>
      <c r="K658" s="29" t="str">
        <f>IFERROR(INDEX([1]Cluster_Master!$F$4:$F$18,MATCH($F658,[1]Cluster_Master!$B$4:$B$18,0)),"")</f>
        <v/>
      </c>
      <c r="L658" s="29" t="str">
        <f>IFERROR(INDEX([1]Cluster_Master!$G$4:$G$18,MATCH($F658,[1]Cluster_Master!$B$4:$B$18,0)),"")</f>
        <v/>
      </c>
      <c r="M658" s="29" t="str">
        <f>IFERROR(INDEX([1]Cluster_Master!$H$4:$H$18,MATCH($F658,[1]Cluster_Master!$B$4:$B$18,0)),"")</f>
        <v/>
      </c>
      <c r="AI658" s="29" t="str">
        <f>IF(COUNTA(T658:AH658)=0,"",SUM(T658:AH658))</f>
        <v/>
      </c>
      <c r="AJ658" s="29" t="str">
        <f>IF(COUNTA(T658:AH658)=0,"",AI658/75)</f>
        <v/>
      </c>
      <c r="AK658" s="29" t="str">
        <f>IF(COUNTA(T658:AH658)=0,"",(SUM(T658*[1]KPI_Weights!$B$4,U658*[1]KPI_Weights!$B$5,V658*[1]KPI_Weights!$B$6,W658*[1]KPI_Weights!$B$7,X658*[1]KPI_Weights!$B$8,Y658*[1]KPI_Weights!$B$9,Z658*[1]KPI_Weights!$B$10,AA658*[1]KPI_Weights!$B$11,AB658*[1]KPI_Weights!$B$12,AC658*[1]KPI_Weights!$B$13,AD658*[1]KPI_Weights!$B$14,AE658*[1]KPI_Weights!$B$15,AF658*[1]KPI_Weights!$B$16,AG658*[1]KPI_Weights!$B$17,AH658*[1]KPI_Weights!$B$18))/5)</f>
        <v/>
      </c>
      <c r="AL658" s="29" t="str">
        <f>IF(COUNTA(T658:AH658)=0,"",IF(OR(T658&lt;=1,W658&lt;=1,X658&lt;=1,Y658&lt;=1,AB658&lt;=1),"YES","NO"))</f>
        <v/>
      </c>
      <c r="AM658" s="29" t="str">
        <f>IF(AJ658="","",IF(AND(AL658="NO",AJ658&gt;=0.75),"YES","NO"))</f>
        <v/>
      </c>
      <c r="AN658" s="29" t="str">
        <f>IF(AJ658="","",IF(AJ658&lt;0.4,"Critical",IF(AJ658&lt;0.6,"Poor",IF(AJ658&lt;0.75,"Needs Improvement",IF(AJ658&lt;0.9,"Good","Excellent")))))</f>
        <v/>
      </c>
    </row>
    <row r="659" spans="1:40" ht="15" customHeight="1" x14ac:dyDescent="0.25">
      <c r="A659" s="29" t="str">
        <f>IF($B659="","",TEXT($B659,"yyyymmdd")&amp;"-"&amp;SUBSTITUTE($F659," ","")&amp;"-"&amp;TEXT(COUNTIF($F$4:F659,$F659),"00"))</f>
        <v/>
      </c>
      <c r="C659" s="29" t="str">
        <f>IF($B659="","",WEEKNUM($B659,2))</f>
        <v/>
      </c>
      <c r="D659" s="29" t="str">
        <f>IF($B659="","",TEXT($B659,"yyyy-mm"))</f>
        <v/>
      </c>
      <c r="G659" s="29" t="str">
        <f>IF(OR($E659="",$F659=""),"",IFERROR(IF($E659=INDEX([1]Cluster_Master!$A$4:$A$18,MATCH($F659,[1]Cluster_Master!$B$4:$B$18,0)),"OK","CHECK"),"CHECK"))</f>
        <v/>
      </c>
      <c r="H659" s="29" t="str">
        <f>IFERROR(INDEX([1]Cluster_Master!$C$4:$C$18,MATCH($F659,[1]Cluster_Master!$B$4:$B$18,0)),"")</f>
        <v/>
      </c>
      <c r="I659" s="29" t="str">
        <f>IFERROR(INDEX([1]Cluster_Master!$D$4:$D$18,MATCH($F659,[1]Cluster_Master!$B$4:$B$18,0)),"")</f>
        <v/>
      </c>
      <c r="J659" s="29" t="str">
        <f>IFERROR(INDEX([1]Cluster_Master!$E$4:$E$18,MATCH($F659,[1]Cluster_Master!$B$4:$B$18,0)),"")</f>
        <v/>
      </c>
      <c r="K659" s="29" t="str">
        <f>IFERROR(INDEX([1]Cluster_Master!$F$4:$F$18,MATCH($F659,[1]Cluster_Master!$B$4:$B$18,0)),"")</f>
        <v/>
      </c>
      <c r="L659" s="29" t="str">
        <f>IFERROR(INDEX([1]Cluster_Master!$G$4:$G$18,MATCH($F659,[1]Cluster_Master!$B$4:$B$18,0)),"")</f>
        <v/>
      </c>
      <c r="M659" s="29" t="str">
        <f>IFERROR(INDEX([1]Cluster_Master!$H$4:$H$18,MATCH($F659,[1]Cluster_Master!$B$4:$B$18,0)),"")</f>
        <v/>
      </c>
      <c r="AI659" s="29" t="str">
        <f>IF(COUNTA(T659:AH659)=0,"",SUM(T659:AH659))</f>
        <v/>
      </c>
      <c r="AJ659" s="29" t="str">
        <f>IF(COUNTA(T659:AH659)=0,"",AI659/75)</f>
        <v/>
      </c>
      <c r="AK659" s="29" t="str">
        <f>IF(COUNTA(T659:AH659)=0,"",(SUM(T659*[1]KPI_Weights!$B$4,U659*[1]KPI_Weights!$B$5,V659*[1]KPI_Weights!$B$6,W659*[1]KPI_Weights!$B$7,X659*[1]KPI_Weights!$B$8,Y659*[1]KPI_Weights!$B$9,Z659*[1]KPI_Weights!$B$10,AA659*[1]KPI_Weights!$B$11,AB659*[1]KPI_Weights!$B$12,AC659*[1]KPI_Weights!$B$13,AD659*[1]KPI_Weights!$B$14,AE659*[1]KPI_Weights!$B$15,AF659*[1]KPI_Weights!$B$16,AG659*[1]KPI_Weights!$B$17,AH659*[1]KPI_Weights!$B$18))/5)</f>
        <v/>
      </c>
      <c r="AL659" s="29" t="str">
        <f>IF(COUNTA(T659:AH659)=0,"",IF(OR(T659&lt;=1,W659&lt;=1,X659&lt;=1,Y659&lt;=1,AB659&lt;=1),"YES","NO"))</f>
        <v/>
      </c>
      <c r="AM659" s="29" t="str">
        <f>IF(AJ659="","",IF(AND(AL659="NO",AJ659&gt;=0.75),"YES","NO"))</f>
        <v/>
      </c>
      <c r="AN659" s="29" t="str">
        <f>IF(AJ659="","",IF(AJ659&lt;0.4,"Critical",IF(AJ659&lt;0.6,"Poor",IF(AJ659&lt;0.75,"Needs Improvement",IF(AJ659&lt;0.9,"Good","Excellent")))))</f>
        <v/>
      </c>
    </row>
    <row r="660" spans="1:40" ht="15" customHeight="1" x14ac:dyDescent="0.25">
      <c r="A660" s="29" t="str">
        <f>IF($B660="","",TEXT($B660,"yyyymmdd")&amp;"-"&amp;SUBSTITUTE($F660," ","")&amp;"-"&amp;TEXT(COUNTIF($F$4:F660,$F660),"00"))</f>
        <v/>
      </c>
      <c r="C660" s="29" t="str">
        <f>IF($B660="","",WEEKNUM($B660,2))</f>
        <v/>
      </c>
      <c r="D660" s="29" t="str">
        <f>IF($B660="","",TEXT($B660,"yyyy-mm"))</f>
        <v/>
      </c>
      <c r="G660" s="29" t="str">
        <f>IF(OR($E660="",$F660=""),"",IFERROR(IF($E660=INDEX([1]Cluster_Master!$A$4:$A$18,MATCH($F660,[1]Cluster_Master!$B$4:$B$18,0)),"OK","CHECK"),"CHECK"))</f>
        <v/>
      </c>
      <c r="H660" s="29" t="str">
        <f>IFERROR(INDEX([1]Cluster_Master!$C$4:$C$18,MATCH($F660,[1]Cluster_Master!$B$4:$B$18,0)),"")</f>
        <v/>
      </c>
      <c r="I660" s="29" t="str">
        <f>IFERROR(INDEX([1]Cluster_Master!$D$4:$D$18,MATCH($F660,[1]Cluster_Master!$B$4:$B$18,0)),"")</f>
        <v/>
      </c>
      <c r="J660" s="29" t="str">
        <f>IFERROR(INDEX([1]Cluster_Master!$E$4:$E$18,MATCH($F660,[1]Cluster_Master!$B$4:$B$18,0)),"")</f>
        <v/>
      </c>
      <c r="K660" s="29" t="str">
        <f>IFERROR(INDEX([1]Cluster_Master!$F$4:$F$18,MATCH($F660,[1]Cluster_Master!$B$4:$B$18,0)),"")</f>
        <v/>
      </c>
      <c r="L660" s="29" t="str">
        <f>IFERROR(INDEX([1]Cluster_Master!$G$4:$G$18,MATCH($F660,[1]Cluster_Master!$B$4:$B$18,0)),"")</f>
        <v/>
      </c>
      <c r="M660" s="29" t="str">
        <f>IFERROR(INDEX([1]Cluster_Master!$H$4:$H$18,MATCH($F660,[1]Cluster_Master!$B$4:$B$18,0)),"")</f>
        <v/>
      </c>
      <c r="AI660" s="29" t="str">
        <f>IF(COUNTA(T660:AH660)=0,"",SUM(T660:AH660))</f>
        <v/>
      </c>
      <c r="AJ660" s="29" t="str">
        <f>IF(COUNTA(T660:AH660)=0,"",AI660/75)</f>
        <v/>
      </c>
      <c r="AK660" s="29" t="str">
        <f>IF(COUNTA(T660:AH660)=0,"",(SUM(T660*[1]KPI_Weights!$B$4,U660*[1]KPI_Weights!$B$5,V660*[1]KPI_Weights!$B$6,W660*[1]KPI_Weights!$B$7,X660*[1]KPI_Weights!$B$8,Y660*[1]KPI_Weights!$B$9,Z660*[1]KPI_Weights!$B$10,AA660*[1]KPI_Weights!$B$11,AB660*[1]KPI_Weights!$B$12,AC660*[1]KPI_Weights!$B$13,AD660*[1]KPI_Weights!$B$14,AE660*[1]KPI_Weights!$B$15,AF660*[1]KPI_Weights!$B$16,AG660*[1]KPI_Weights!$B$17,AH660*[1]KPI_Weights!$B$18))/5)</f>
        <v/>
      </c>
      <c r="AL660" s="29" t="str">
        <f>IF(COUNTA(T660:AH660)=0,"",IF(OR(T660&lt;=1,W660&lt;=1,X660&lt;=1,Y660&lt;=1,AB660&lt;=1),"YES","NO"))</f>
        <v/>
      </c>
      <c r="AM660" s="29" t="str">
        <f>IF(AJ660="","",IF(AND(AL660="NO",AJ660&gt;=0.75),"YES","NO"))</f>
        <v/>
      </c>
      <c r="AN660" s="29" t="str">
        <f>IF(AJ660="","",IF(AJ660&lt;0.4,"Critical",IF(AJ660&lt;0.6,"Poor",IF(AJ660&lt;0.75,"Needs Improvement",IF(AJ660&lt;0.9,"Good","Excellent")))))</f>
        <v/>
      </c>
    </row>
    <row r="661" spans="1:40" ht="15" customHeight="1" x14ac:dyDescent="0.25">
      <c r="A661" s="29" t="str">
        <f>IF($B661="","",TEXT($B661,"yyyymmdd")&amp;"-"&amp;SUBSTITUTE($F661," ","")&amp;"-"&amp;TEXT(COUNTIF($F$4:F661,$F661),"00"))</f>
        <v/>
      </c>
      <c r="C661" s="29" t="str">
        <f>IF($B661="","",WEEKNUM($B661,2))</f>
        <v/>
      </c>
      <c r="D661" s="29" t="str">
        <f>IF($B661="","",TEXT($B661,"yyyy-mm"))</f>
        <v/>
      </c>
      <c r="G661" s="29" t="str">
        <f>IF(OR($E661="",$F661=""),"",IFERROR(IF($E661=INDEX([1]Cluster_Master!$A$4:$A$18,MATCH($F661,[1]Cluster_Master!$B$4:$B$18,0)),"OK","CHECK"),"CHECK"))</f>
        <v/>
      </c>
      <c r="H661" s="29" t="str">
        <f>IFERROR(INDEX([1]Cluster_Master!$C$4:$C$18,MATCH($F661,[1]Cluster_Master!$B$4:$B$18,0)),"")</f>
        <v/>
      </c>
      <c r="I661" s="29" t="str">
        <f>IFERROR(INDEX([1]Cluster_Master!$D$4:$D$18,MATCH($F661,[1]Cluster_Master!$B$4:$B$18,0)),"")</f>
        <v/>
      </c>
      <c r="J661" s="29" t="str">
        <f>IFERROR(INDEX([1]Cluster_Master!$E$4:$E$18,MATCH($F661,[1]Cluster_Master!$B$4:$B$18,0)),"")</f>
        <v/>
      </c>
      <c r="K661" s="29" t="str">
        <f>IFERROR(INDEX([1]Cluster_Master!$F$4:$F$18,MATCH($F661,[1]Cluster_Master!$B$4:$B$18,0)),"")</f>
        <v/>
      </c>
      <c r="L661" s="29" t="str">
        <f>IFERROR(INDEX([1]Cluster_Master!$G$4:$G$18,MATCH($F661,[1]Cluster_Master!$B$4:$B$18,0)),"")</f>
        <v/>
      </c>
      <c r="M661" s="29" t="str">
        <f>IFERROR(INDEX([1]Cluster_Master!$H$4:$H$18,MATCH($F661,[1]Cluster_Master!$B$4:$B$18,0)),"")</f>
        <v/>
      </c>
      <c r="AI661" s="29" t="str">
        <f>IF(COUNTA(T661:AH661)=0,"",SUM(T661:AH661))</f>
        <v/>
      </c>
      <c r="AJ661" s="29" t="str">
        <f>IF(COUNTA(T661:AH661)=0,"",AI661/75)</f>
        <v/>
      </c>
      <c r="AK661" s="29" t="str">
        <f>IF(COUNTA(T661:AH661)=0,"",(SUM(T661*[1]KPI_Weights!$B$4,U661*[1]KPI_Weights!$B$5,V661*[1]KPI_Weights!$B$6,W661*[1]KPI_Weights!$B$7,X661*[1]KPI_Weights!$B$8,Y661*[1]KPI_Weights!$B$9,Z661*[1]KPI_Weights!$B$10,AA661*[1]KPI_Weights!$B$11,AB661*[1]KPI_Weights!$B$12,AC661*[1]KPI_Weights!$B$13,AD661*[1]KPI_Weights!$B$14,AE661*[1]KPI_Weights!$B$15,AF661*[1]KPI_Weights!$B$16,AG661*[1]KPI_Weights!$B$17,AH661*[1]KPI_Weights!$B$18))/5)</f>
        <v/>
      </c>
      <c r="AL661" s="29" t="str">
        <f>IF(COUNTA(T661:AH661)=0,"",IF(OR(T661&lt;=1,W661&lt;=1,X661&lt;=1,Y661&lt;=1,AB661&lt;=1),"YES","NO"))</f>
        <v/>
      </c>
      <c r="AM661" s="29" t="str">
        <f>IF(AJ661="","",IF(AND(AL661="NO",AJ661&gt;=0.75),"YES","NO"))</f>
        <v/>
      </c>
      <c r="AN661" s="29" t="str">
        <f>IF(AJ661="","",IF(AJ661&lt;0.4,"Critical",IF(AJ661&lt;0.6,"Poor",IF(AJ661&lt;0.75,"Needs Improvement",IF(AJ661&lt;0.9,"Good","Excellent")))))</f>
        <v/>
      </c>
    </row>
    <row r="662" spans="1:40" ht="15" customHeight="1" x14ac:dyDescent="0.25">
      <c r="A662" s="29" t="str">
        <f>IF($B662="","",TEXT($B662,"yyyymmdd")&amp;"-"&amp;SUBSTITUTE($F662," ","")&amp;"-"&amp;TEXT(COUNTIF($F$4:F662,$F662),"00"))</f>
        <v/>
      </c>
      <c r="C662" s="29" t="str">
        <f>IF($B662="","",WEEKNUM($B662,2))</f>
        <v/>
      </c>
      <c r="D662" s="29" t="str">
        <f>IF($B662="","",TEXT($B662,"yyyy-mm"))</f>
        <v/>
      </c>
      <c r="G662" s="29" t="str">
        <f>IF(OR($E662="",$F662=""),"",IFERROR(IF($E662=INDEX([1]Cluster_Master!$A$4:$A$18,MATCH($F662,[1]Cluster_Master!$B$4:$B$18,0)),"OK","CHECK"),"CHECK"))</f>
        <v/>
      </c>
      <c r="H662" s="29" t="str">
        <f>IFERROR(INDEX([1]Cluster_Master!$C$4:$C$18,MATCH($F662,[1]Cluster_Master!$B$4:$B$18,0)),"")</f>
        <v/>
      </c>
      <c r="I662" s="29" t="str">
        <f>IFERROR(INDEX([1]Cluster_Master!$D$4:$D$18,MATCH($F662,[1]Cluster_Master!$B$4:$B$18,0)),"")</f>
        <v/>
      </c>
      <c r="J662" s="29" t="str">
        <f>IFERROR(INDEX([1]Cluster_Master!$E$4:$E$18,MATCH($F662,[1]Cluster_Master!$B$4:$B$18,0)),"")</f>
        <v/>
      </c>
      <c r="K662" s="29" t="str">
        <f>IFERROR(INDEX([1]Cluster_Master!$F$4:$F$18,MATCH($F662,[1]Cluster_Master!$B$4:$B$18,0)),"")</f>
        <v/>
      </c>
      <c r="L662" s="29" t="str">
        <f>IFERROR(INDEX([1]Cluster_Master!$G$4:$G$18,MATCH($F662,[1]Cluster_Master!$B$4:$B$18,0)),"")</f>
        <v/>
      </c>
      <c r="M662" s="29" t="str">
        <f>IFERROR(INDEX([1]Cluster_Master!$H$4:$H$18,MATCH($F662,[1]Cluster_Master!$B$4:$B$18,0)),"")</f>
        <v/>
      </c>
      <c r="AI662" s="29" t="str">
        <f>IF(COUNTA(T662:AH662)=0,"",SUM(T662:AH662))</f>
        <v/>
      </c>
      <c r="AJ662" s="29" t="str">
        <f>IF(COUNTA(T662:AH662)=0,"",AI662/75)</f>
        <v/>
      </c>
      <c r="AK662" s="29" t="str">
        <f>IF(COUNTA(T662:AH662)=0,"",(SUM(T662*[1]KPI_Weights!$B$4,U662*[1]KPI_Weights!$B$5,V662*[1]KPI_Weights!$B$6,W662*[1]KPI_Weights!$B$7,X662*[1]KPI_Weights!$B$8,Y662*[1]KPI_Weights!$B$9,Z662*[1]KPI_Weights!$B$10,AA662*[1]KPI_Weights!$B$11,AB662*[1]KPI_Weights!$B$12,AC662*[1]KPI_Weights!$B$13,AD662*[1]KPI_Weights!$B$14,AE662*[1]KPI_Weights!$B$15,AF662*[1]KPI_Weights!$B$16,AG662*[1]KPI_Weights!$B$17,AH662*[1]KPI_Weights!$B$18))/5)</f>
        <v/>
      </c>
      <c r="AL662" s="29" t="str">
        <f>IF(COUNTA(T662:AH662)=0,"",IF(OR(T662&lt;=1,W662&lt;=1,X662&lt;=1,Y662&lt;=1,AB662&lt;=1),"YES","NO"))</f>
        <v/>
      </c>
      <c r="AM662" s="29" t="str">
        <f>IF(AJ662="","",IF(AND(AL662="NO",AJ662&gt;=0.75),"YES","NO"))</f>
        <v/>
      </c>
      <c r="AN662" s="29" t="str">
        <f>IF(AJ662="","",IF(AJ662&lt;0.4,"Critical",IF(AJ662&lt;0.6,"Poor",IF(AJ662&lt;0.75,"Needs Improvement",IF(AJ662&lt;0.9,"Good","Excellent")))))</f>
        <v/>
      </c>
    </row>
    <row r="663" spans="1:40" ht="15" customHeight="1" x14ac:dyDescent="0.25">
      <c r="A663" s="29" t="str">
        <f>IF($B663="","",TEXT($B663,"yyyymmdd")&amp;"-"&amp;SUBSTITUTE($F663," ","")&amp;"-"&amp;TEXT(COUNTIF($F$4:F663,$F663),"00"))</f>
        <v/>
      </c>
      <c r="C663" s="29" t="str">
        <f>IF($B663="","",WEEKNUM($B663,2))</f>
        <v/>
      </c>
      <c r="D663" s="29" t="str">
        <f>IF($B663="","",TEXT($B663,"yyyy-mm"))</f>
        <v/>
      </c>
      <c r="G663" s="29" t="str">
        <f>IF(OR($E663="",$F663=""),"",IFERROR(IF($E663=INDEX([1]Cluster_Master!$A$4:$A$18,MATCH($F663,[1]Cluster_Master!$B$4:$B$18,0)),"OK","CHECK"),"CHECK"))</f>
        <v/>
      </c>
      <c r="H663" s="29" t="str">
        <f>IFERROR(INDEX([1]Cluster_Master!$C$4:$C$18,MATCH($F663,[1]Cluster_Master!$B$4:$B$18,0)),"")</f>
        <v/>
      </c>
      <c r="I663" s="29" t="str">
        <f>IFERROR(INDEX([1]Cluster_Master!$D$4:$D$18,MATCH($F663,[1]Cluster_Master!$B$4:$B$18,0)),"")</f>
        <v/>
      </c>
      <c r="J663" s="29" t="str">
        <f>IFERROR(INDEX([1]Cluster_Master!$E$4:$E$18,MATCH($F663,[1]Cluster_Master!$B$4:$B$18,0)),"")</f>
        <v/>
      </c>
      <c r="K663" s="29" t="str">
        <f>IFERROR(INDEX([1]Cluster_Master!$F$4:$F$18,MATCH($F663,[1]Cluster_Master!$B$4:$B$18,0)),"")</f>
        <v/>
      </c>
      <c r="L663" s="29" t="str">
        <f>IFERROR(INDEX([1]Cluster_Master!$G$4:$G$18,MATCH($F663,[1]Cluster_Master!$B$4:$B$18,0)),"")</f>
        <v/>
      </c>
      <c r="M663" s="29" t="str">
        <f>IFERROR(INDEX([1]Cluster_Master!$H$4:$H$18,MATCH($F663,[1]Cluster_Master!$B$4:$B$18,0)),"")</f>
        <v/>
      </c>
      <c r="AI663" s="29" t="str">
        <f>IF(COUNTA(T663:AH663)=0,"",SUM(T663:AH663))</f>
        <v/>
      </c>
      <c r="AJ663" s="29" t="str">
        <f>IF(COUNTA(T663:AH663)=0,"",AI663/75)</f>
        <v/>
      </c>
      <c r="AK663" s="29" t="str">
        <f>IF(COUNTA(T663:AH663)=0,"",(SUM(T663*[1]KPI_Weights!$B$4,U663*[1]KPI_Weights!$B$5,V663*[1]KPI_Weights!$B$6,W663*[1]KPI_Weights!$B$7,X663*[1]KPI_Weights!$B$8,Y663*[1]KPI_Weights!$B$9,Z663*[1]KPI_Weights!$B$10,AA663*[1]KPI_Weights!$B$11,AB663*[1]KPI_Weights!$B$12,AC663*[1]KPI_Weights!$B$13,AD663*[1]KPI_Weights!$B$14,AE663*[1]KPI_Weights!$B$15,AF663*[1]KPI_Weights!$B$16,AG663*[1]KPI_Weights!$B$17,AH663*[1]KPI_Weights!$B$18))/5)</f>
        <v/>
      </c>
      <c r="AL663" s="29" t="str">
        <f>IF(COUNTA(T663:AH663)=0,"",IF(OR(T663&lt;=1,W663&lt;=1,X663&lt;=1,Y663&lt;=1,AB663&lt;=1),"YES","NO"))</f>
        <v/>
      </c>
      <c r="AM663" s="29" t="str">
        <f>IF(AJ663="","",IF(AND(AL663="NO",AJ663&gt;=0.75),"YES","NO"))</f>
        <v/>
      </c>
      <c r="AN663" s="29" t="str">
        <f>IF(AJ663="","",IF(AJ663&lt;0.4,"Critical",IF(AJ663&lt;0.6,"Poor",IF(AJ663&lt;0.75,"Needs Improvement",IF(AJ663&lt;0.9,"Good","Excellent")))))</f>
        <v/>
      </c>
    </row>
    <row r="664" spans="1:40" ht="15" customHeight="1" x14ac:dyDescent="0.25">
      <c r="A664" s="29" t="str">
        <f>IF($B664="","",TEXT($B664,"yyyymmdd")&amp;"-"&amp;SUBSTITUTE($F664," ","")&amp;"-"&amp;TEXT(COUNTIF($F$4:F664,$F664),"00"))</f>
        <v/>
      </c>
      <c r="C664" s="29" t="str">
        <f>IF($B664="","",WEEKNUM($B664,2))</f>
        <v/>
      </c>
      <c r="D664" s="29" t="str">
        <f>IF($B664="","",TEXT($B664,"yyyy-mm"))</f>
        <v/>
      </c>
      <c r="G664" s="29" t="str">
        <f>IF(OR($E664="",$F664=""),"",IFERROR(IF($E664=INDEX([1]Cluster_Master!$A$4:$A$18,MATCH($F664,[1]Cluster_Master!$B$4:$B$18,0)),"OK","CHECK"),"CHECK"))</f>
        <v/>
      </c>
      <c r="H664" s="29" t="str">
        <f>IFERROR(INDEX([1]Cluster_Master!$C$4:$C$18,MATCH($F664,[1]Cluster_Master!$B$4:$B$18,0)),"")</f>
        <v/>
      </c>
      <c r="I664" s="29" t="str">
        <f>IFERROR(INDEX([1]Cluster_Master!$D$4:$D$18,MATCH($F664,[1]Cluster_Master!$B$4:$B$18,0)),"")</f>
        <v/>
      </c>
      <c r="J664" s="29" t="str">
        <f>IFERROR(INDEX([1]Cluster_Master!$E$4:$E$18,MATCH($F664,[1]Cluster_Master!$B$4:$B$18,0)),"")</f>
        <v/>
      </c>
      <c r="K664" s="29" t="str">
        <f>IFERROR(INDEX([1]Cluster_Master!$F$4:$F$18,MATCH($F664,[1]Cluster_Master!$B$4:$B$18,0)),"")</f>
        <v/>
      </c>
      <c r="L664" s="29" t="str">
        <f>IFERROR(INDEX([1]Cluster_Master!$G$4:$G$18,MATCH($F664,[1]Cluster_Master!$B$4:$B$18,0)),"")</f>
        <v/>
      </c>
      <c r="M664" s="29" t="str">
        <f>IFERROR(INDEX([1]Cluster_Master!$H$4:$H$18,MATCH($F664,[1]Cluster_Master!$B$4:$B$18,0)),"")</f>
        <v/>
      </c>
      <c r="AI664" s="29" t="str">
        <f>IF(COUNTA(T664:AH664)=0,"",SUM(T664:AH664))</f>
        <v/>
      </c>
      <c r="AJ664" s="29" t="str">
        <f>IF(COUNTA(T664:AH664)=0,"",AI664/75)</f>
        <v/>
      </c>
      <c r="AK664" s="29" t="str">
        <f>IF(COUNTA(T664:AH664)=0,"",(SUM(T664*[1]KPI_Weights!$B$4,U664*[1]KPI_Weights!$B$5,V664*[1]KPI_Weights!$B$6,W664*[1]KPI_Weights!$B$7,X664*[1]KPI_Weights!$B$8,Y664*[1]KPI_Weights!$B$9,Z664*[1]KPI_Weights!$B$10,AA664*[1]KPI_Weights!$B$11,AB664*[1]KPI_Weights!$B$12,AC664*[1]KPI_Weights!$B$13,AD664*[1]KPI_Weights!$B$14,AE664*[1]KPI_Weights!$B$15,AF664*[1]KPI_Weights!$B$16,AG664*[1]KPI_Weights!$B$17,AH664*[1]KPI_Weights!$B$18))/5)</f>
        <v/>
      </c>
      <c r="AL664" s="29" t="str">
        <f>IF(COUNTA(T664:AH664)=0,"",IF(OR(T664&lt;=1,W664&lt;=1,X664&lt;=1,Y664&lt;=1,AB664&lt;=1),"YES","NO"))</f>
        <v/>
      </c>
      <c r="AM664" s="29" t="str">
        <f>IF(AJ664="","",IF(AND(AL664="NO",AJ664&gt;=0.75),"YES","NO"))</f>
        <v/>
      </c>
      <c r="AN664" s="29" t="str">
        <f>IF(AJ664="","",IF(AJ664&lt;0.4,"Critical",IF(AJ664&lt;0.6,"Poor",IF(AJ664&lt;0.75,"Needs Improvement",IF(AJ664&lt;0.9,"Good","Excellent")))))</f>
        <v/>
      </c>
    </row>
    <row r="665" spans="1:40" ht="15" customHeight="1" x14ac:dyDescent="0.25">
      <c r="A665" s="29" t="str">
        <f>IF($B665="","",TEXT($B665,"yyyymmdd")&amp;"-"&amp;SUBSTITUTE($F665," ","")&amp;"-"&amp;TEXT(COUNTIF($F$4:F665,$F665),"00"))</f>
        <v/>
      </c>
      <c r="C665" s="29" t="str">
        <f>IF($B665="","",WEEKNUM($B665,2))</f>
        <v/>
      </c>
      <c r="D665" s="29" t="str">
        <f>IF($B665="","",TEXT($B665,"yyyy-mm"))</f>
        <v/>
      </c>
      <c r="G665" s="29" t="str">
        <f>IF(OR($E665="",$F665=""),"",IFERROR(IF($E665=INDEX([1]Cluster_Master!$A$4:$A$18,MATCH($F665,[1]Cluster_Master!$B$4:$B$18,0)),"OK","CHECK"),"CHECK"))</f>
        <v/>
      </c>
      <c r="H665" s="29" t="str">
        <f>IFERROR(INDEX([1]Cluster_Master!$C$4:$C$18,MATCH($F665,[1]Cluster_Master!$B$4:$B$18,0)),"")</f>
        <v/>
      </c>
      <c r="I665" s="29" t="str">
        <f>IFERROR(INDEX([1]Cluster_Master!$D$4:$D$18,MATCH($F665,[1]Cluster_Master!$B$4:$B$18,0)),"")</f>
        <v/>
      </c>
      <c r="J665" s="29" t="str">
        <f>IFERROR(INDEX([1]Cluster_Master!$E$4:$E$18,MATCH($F665,[1]Cluster_Master!$B$4:$B$18,0)),"")</f>
        <v/>
      </c>
      <c r="K665" s="29" t="str">
        <f>IFERROR(INDEX([1]Cluster_Master!$F$4:$F$18,MATCH($F665,[1]Cluster_Master!$B$4:$B$18,0)),"")</f>
        <v/>
      </c>
      <c r="L665" s="29" t="str">
        <f>IFERROR(INDEX([1]Cluster_Master!$G$4:$G$18,MATCH($F665,[1]Cluster_Master!$B$4:$B$18,0)),"")</f>
        <v/>
      </c>
      <c r="M665" s="29" t="str">
        <f>IFERROR(INDEX([1]Cluster_Master!$H$4:$H$18,MATCH($F665,[1]Cluster_Master!$B$4:$B$18,0)),"")</f>
        <v/>
      </c>
      <c r="AI665" s="29" t="str">
        <f>IF(COUNTA(T665:AH665)=0,"",SUM(T665:AH665))</f>
        <v/>
      </c>
      <c r="AJ665" s="29" t="str">
        <f>IF(COUNTA(T665:AH665)=0,"",AI665/75)</f>
        <v/>
      </c>
      <c r="AK665" s="29" t="str">
        <f>IF(COUNTA(T665:AH665)=0,"",(SUM(T665*[1]KPI_Weights!$B$4,U665*[1]KPI_Weights!$B$5,V665*[1]KPI_Weights!$B$6,W665*[1]KPI_Weights!$B$7,X665*[1]KPI_Weights!$B$8,Y665*[1]KPI_Weights!$B$9,Z665*[1]KPI_Weights!$B$10,AA665*[1]KPI_Weights!$B$11,AB665*[1]KPI_Weights!$B$12,AC665*[1]KPI_Weights!$B$13,AD665*[1]KPI_Weights!$B$14,AE665*[1]KPI_Weights!$B$15,AF665*[1]KPI_Weights!$B$16,AG665*[1]KPI_Weights!$B$17,AH665*[1]KPI_Weights!$B$18))/5)</f>
        <v/>
      </c>
      <c r="AL665" s="29" t="str">
        <f>IF(COUNTA(T665:AH665)=0,"",IF(OR(T665&lt;=1,W665&lt;=1,X665&lt;=1,Y665&lt;=1,AB665&lt;=1),"YES","NO"))</f>
        <v/>
      </c>
      <c r="AM665" s="29" t="str">
        <f>IF(AJ665="","",IF(AND(AL665="NO",AJ665&gt;=0.75),"YES","NO"))</f>
        <v/>
      </c>
      <c r="AN665" s="29" t="str">
        <f>IF(AJ665="","",IF(AJ665&lt;0.4,"Critical",IF(AJ665&lt;0.6,"Poor",IF(AJ665&lt;0.75,"Needs Improvement",IF(AJ665&lt;0.9,"Good","Excellent")))))</f>
        <v/>
      </c>
    </row>
    <row r="666" spans="1:40" ht="15" customHeight="1" x14ac:dyDescent="0.25">
      <c r="A666" s="29" t="str">
        <f>IF($B666="","",TEXT($B666,"yyyymmdd")&amp;"-"&amp;SUBSTITUTE($F666," ","")&amp;"-"&amp;TEXT(COUNTIF($F$4:F666,$F666),"00"))</f>
        <v/>
      </c>
      <c r="C666" s="29" t="str">
        <f>IF($B666="","",WEEKNUM($B666,2))</f>
        <v/>
      </c>
      <c r="D666" s="29" t="str">
        <f>IF($B666="","",TEXT($B666,"yyyy-mm"))</f>
        <v/>
      </c>
      <c r="G666" s="29" t="str">
        <f>IF(OR($E666="",$F666=""),"",IFERROR(IF($E666=INDEX([1]Cluster_Master!$A$4:$A$18,MATCH($F666,[1]Cluster_Master!$B$4:$B$18,0)),"OK","CHECK"),"CHECK"))</f>
        <v/>
      </c>
      <c r="H666" s="29" t="str">
        <f>IFERROR(INDEX([1]Cluster_Master!$C$4:$C$18,MATCH($F666,[1]Cluster_Master!$B$4:$B$18,0)),"")</f>
        <v/>
      </c>
      <c r="I666" s="29" t="str">
        <f>IFERROR(INDEX([1]Cluster_Master!$D$4:$D$18,MATCH($F666,[1]Cluster_Master!$B$4:$B$18,0)),"")</f>
        <v/>
      </c>
      <c r="J666" s="29" t="str">
        <f>IFERROR(INDEX([1]Cluster_Master!$E$4:$E$18,MATCH($F666,[1]Cluster_Master!$B$4:$B$18,0)),"")</f>
        <v/>
      </c>
      <c r="K666" s="29" t="str">
        <f>IFERROR(INDEX([1]Cluster_Master!$F$4:$F$18,MATCH($F666,[1]Cluster_Master!$B$4:$B$18,0)),"")</f>
        <v/>
      </c>
      <c r="L666" s="29" t="str">
        <f>IFERROR(INDEX([1]Cluster_Master!$G$4:$G$18,MATCH($F666,[1]Cluster_Master!$B$4:$B$18,0)),"")</f>
        <v/>
      </c>
      <c r="M666" s="29" t="str">
        <f>IFERROR(INDEX([1]Cluster_Master!$H$4:$H$18,MATCH($F666,[1]Cluster_Master!$B$4:$B$18,0)),"")</f>
        <v/>
      </c>
      <c r="AI666" s="29" t="str">
        <f>IF(COUNTA(T666:AH666)=0,"",SUM(T666:AH666))</f>
        <v/>
      </c>
      <c r="AJ666" s="29" t="str">
        <f>IF(COUNTA(T666:AH666)=0,"",AI666/75)</f>
        <v/>
      </c>
      <c r="AK666" s="29" t="str">
        <f>IF(COUNTA(T666:AH666)=0,"",(SUM(T666*[1]KPI_Weights!$B$4,U666*[1]KPI_Weights!$B$5,V666*[1]KPI_Weights!$B$6,W666*[1]KPI_Weights!$B$7,X666*[1]KPI_Weights!$B$8,Y666*[1]KPI_Weights!$B$9,Z666*[1]KPI_Weights!$B$10,AA666*[1]KPI_Weights!$B$11,AB666*[1]KPI_Weights!$B$12,AC666*[1]KPI_Weights!$B$13,AD666*[1]KPI_Weights!$B$14,AE666*[1]KPI_Weights!$B$15,AF666*[1]KPI_Weights!$B$16,AG666*[1]KPI_Weights!$B$17,AH666*[1]KPI_Weights!$B$18))/5)</f>
        <v/>
      </c>
      <c r="AL666" s="29" t="str">
        <f>IF(COUNTA(T666:AH666)=0,"",IF(OR(T666&lt;=1,W666&lt;=1,X666&lt;=1,Y666&lt;=1,AB666&lt;=1),"YES","NO"))</f>
        <v/>
      </c>
      <c r="AM666" s="29" t="str">
        <f>IF(AJ666="","",IF(AND(AL666="NO",AJ666&gt;=0.75),"YES","NO"))</f>
        <v/>
      </c>
      <c r="AN666" s="29" t="str">
        <f>IF(AJ666="","",IF(AJ666&lt;0.4,"Critical",IF(AJ666&lt;0.6,"Poor",IF(AJ666&lt;0.75,"Needs Improvement",IF(AJ666&lt;0.9,"Good","Excellent")))))</f>
        <v/>
      </c>
    </row>
    <row r="667" spans="1:40" ht="15" customHeight="1" x14ac:dyDescent="0.25">
      <c r="A667" s="29" t="str">
        <f>IF($B667="","",TEXT($B667,"yyyymmdd")&amp;"-"&amp;SUBSTITUTE($F667," ","")&amp;"-"&amp;TEXT(COUNTIF($F$4:F667,$F667),"00"))</f>
        <v/>
      </c>
      <c r="C667" s="29" t="str">
        <f>IF($B667="","",WEEKNUM($B667,2))</f>
        <v/>
      </c>
      <c r="D667" s="29" t="str">
        <f>IF($B667="","",TEXT($B667,"yyyy-mm"))</f>
        <v/>
      </c>
      <c r="G667" s="29" t="str">
        <f>IF(OR($E667="",$F667=""),"",IFERROR(IF($E667=INDEX([1]Cluster_Master!$A$4:$A$18,MATCH($F667,[1]Cluster_Master!$B$4:$B$18,0)),"OK","CHECK"),"CHECK"))</f>
        <v/>
      </c>
      <c r="H667" s="29" t="str">
        <f>IFERROR(INDEX([1]Cluster_Master!$C$4:$C$18,MATCH($F667,[1]Cluster_Master!$B$4:$B$18,0)),"")</f>
        <v/>
      </c>
      <c r="I667" s="29" t="str">
        <f>IFERROR(INDEX([1]Cluster_Master!$D$4:$D$18,MATCH($F667,[1]Cluster_Master!$B$4:$B$18,0)),"")</f>
        <v/>
      </c>
      <c r="J667" s="29" t="str">
        <f>IFERROR(INDEX([1]Cluster_Master!$E$4:$E$18,MATCH($F667,[1]Cluster_Master!$B$4:$B$18,0)),"")</f>
        <v/>
      </c>
      <c r="K667" s="29" t="str">
        <f>IFERROR(INDEX([1]Cluster_Master!$F$4:$F$18,MATCH($F667,[1]Cluster_Master!$B$4:$B$18,0)),"")</f>
        <v/>
      </c>
      <c r="L667" s="29" t="str">
        <f>IFERROR(INDEX([1]Cluster_Master!$G$4:$G$18,MATCH($F667,[1]Cluster_Master!$B$4:$B$18,0)),"")</f>
        <v/>
      </c>
      <c r="M667" s="29" t="str">
        <f>IFERROR(INDEX([1]Cluster_Master!$H$4:$H$18,MATCH($F667,[1]Cluster_Master!$B$4:$B$18,0)),"")</f>
        <v/>
      </c>
      <c r="AI667" s="29" t="str">
        <f>IF(COUNTA(T667:AH667)=0,"",SUM(T667:AH667))</f>
        <v/>
      </c>
      <c r="AJ667" s="29" t="str">
        <f>IF(COUNTA(T667:AH667)=0,"",AI667/75)</f>
        <v/>
      </c>
      <c r="AK667" s="29" t="str">
        <f>IF(COUNTA(T667:AH667)=0,"",(SUM(T667*[1]KPI_Weights!$B$4,U667*[1]KPI_Weights!$B$5,V667*[1]KPI_Weights!$B$6,W667*[1]KPI_Weights!$B$7,X667*[1]KPI_Weights!$B$8,Y667*[1]KPI_Weights!$B$9,Z667*[1]KPI_Weights!$B$10,AA667*[1]KPI_Weights!$B$11,AB667*[1]KPI_Weights!$B$12,AC667*[1]KPI_Weights!$B$13,AD667*[1]KPI_Weights!$B$14,AE667*[1]KPI_Weights!$B$15,AF667*[1]KPI_Weights!$B$16,AG667*[1]KPI_Weights!$B$17,AH667*[1]KPI_Weights!$B$18))/5)</f>
        <v/>
      </c>
      <c r="AL667" s="29" t="str">
        <f>IF(COUNTA(T667:AH667)=0,"",IF(OR(T667&lt;=1,W667&lt;=1,X667&lt;=1,Y667&lt;=1,AB667&lt;=1),"YES","NO"))</f>
        <v/>
      </c>
      <c r="AM667" s="29" t="str">
        <f>IF(AJ667="","",IF(AND(AL667="NO",AJ667&gt;=0.75),"YES","NO"))</f>
        <v/>
      </c>
      <c r="AN667" s="29" t="str">
        <f>IF(AJ667="","",IF(AJ667&lt;0.4,"Critical",IF(AJ667&lt;0.6,"Poor",IF(AJ667&lt;0.75,"Needs Improvement",IF(AJ667&lt;0.9,"Good","Excellent")))))</f>
        <v/>
      </c>
    </row>
    <row r="668" spans="1:40" ht="15" customHeight="1" x14ac:dyDescent="0.25">
      <c r="A668" s="29" t="str">
        <f>IF($B668="","",TEXT($B668,"yyyymmdd")&amp;"-"&amp;SUBSTITUTE($F668," ","")&amp;"-"&amp;TEXT(COUNTIF($F$4:F668,$F668),"00"))</f>
        <v/>
      </c>
      <c r="C668" s="29" t="str">
        <f>IF($B668="","",WEEKNUM($B668,2))</f>
        <v/>
      </c>
      <c r="D668" s="29" t="str">
        <f>IF($B668="","",TEXT($B668,"yyyy-mm"))</f>
        <v/>
      </c>
      <c r="G668" s="29" t="str">
        <f>IF(OR($E668="",$F668=""),"",IFERROR(IF($E668=INDEX([1]Cluster_Master!$A$4:$A$18,MATCH($F668,[1]Cluster_Master!$B$4:$B$18,0)),"OK","CHECK"),"CHECK"))</f>
        <v/>
      </c>
      <c r="H668" s="29" t="str">
        <f>IFERROR(INDEX([1]Cluster_Master!$C$4:$C$18,MATCH($F668,[1]Cluster_Master!$B$4:$B$18,0)),"")</f>
        <v/>
      </c>
      <c r="I668" s="29" t="str">
        <f>IFERROR(INDEX([1]Cluster_Master!$D$4:$D$18,MATCH($F668,[1]Cluster_Master!$B$4:$B$18,0)),"")</f>
        <v/>
      </c>
      <c r="J668" s="29" t="str">
        <f>IFERROR(INDEX([1]Cluster_Master!$E$4:$E$18,MATCH($F668,[1]Cluster_Master!$B$4:$B$18,0)),"")</f>
        <v/>
      </c>
      <c r="K668" s="29" t="str">
        <f>IFERROR(INDEX([1]Cluster_Master!$F$4:$F$18,MATCH($F668,[1]Cluster_Master!$B$4:$B$18,0)),"")</f>
        <v/>
      </c>
      <c r="L668" s="29" t="str">
        <f>IFERROR(INDEX([1]Cluster_Master!$G$4:$G$18,MATCH($F668,[1]Cluster_Master!$B$4:$B$18,0)),"")</f>
        <v/>
      </c>
      <c r="M668" s="29" t="str">
        <f>IFERROR(INDEX([1]Cluster_Master!$H$4:$H$18,MATCH($F668,[1]Cluster_Master!$B$4:$B$18,0)),"")</f>
        <v/>
      </c>
      <c r="AI668" s="29" t="str">
        <f>IF(COUNTA(T668:AH668)=0,"",SUM(T668:AH668))</f>
        <v/>
      </c>
      <c r="AJ668" s="29" t="str">
        <f>IF(COUNTA(T668:AH668)=0,"",AI668/75)</f>
        <v/>
      </c>
      <c r="AK668" s="29" t="str">
        <f>IF(COUNTA(T668:AH668)=0,"",(SUM(T668*[1]KPI_Weights!$B$4,U668*[1]KPI_Weights!$B$5,V668*[1]KPI_Weights!$B$6,W668*[1]KPI_Weights!$B$7,X668*[1]KPI_Weights!$B$8,Y668*[1]KPI_Weights!$B$9,Z668*[1]KPI_Weights!$B$10,AA668*[1]KPI_Weights!$B$11,AB668*[1]KPI_Weights!$B$12,AC668*[1]KPI_Weights!$B$13,AD668*[1]KPI_Weights!$B$14,AE668*[1]KPI_Weights!$B$15,AF668*[1]KPI_Weights!$B$16,AG668*[1]KPI_Weights!$B$17,AH668*[1]KPI_Weights!$B$18))/5)</f>
        <v/>
      </c>
      <c r="AL668" s="29" t="str">
        <f>IF(COUNTA(T668:AH668)=0,"",IF(OR(T668&lt;=1,W668&lt;=1,X668&lt;=1,Y668&lt;=1,AB668&lt;=1),"YES","NO"))</f>
        <v/>
      </c>
      <c r="AM668" s="29" t="str">
        <f>IF(AJ668="","",IF(AND(AL668="NO",AJ668&gt;=0.75),"YES","NO"))</f>
        <v/>
      </c>
      <c r="AN668" s="29" t="str">
        <f>IF(AJ668="","",IF(AJ668&lt;0.4,"Critical",IF(AJ668&lt;0.6,"Poor",IF(AJ668&lt;0.75,"Needs Improvement",IF(AJ668&lt;0.9,"Good","Excellent")))))</f>
        <v/>
      </c>
    </row>
    <row r="669" spans="1:40" ht="15" customHeight="1" x14ac:dyDescent="0.25">
      <c r="A669" s="29" t="str">
        <f>IF($B669="","",TEXT($B669,"yyyymmdd")&amp;"-"&amp;SUBSTITUTE($F669," ","")&amp;"-"&amp;TEXT(COUNTIF($F$4:F669,$F669),"00"))</f>
        <v/>
      </c>
      <c r="C669" s="29" t="str">
        <f>IF($B669="","",WEEKNUM($B669,2))</f>
        <v/>
      </c>
      <c r="D669" s="29" t="str">
        <f>IF($B669="","",TEXT($B669,"yyyy-mm"))</f>
        <v/>
      </c>
      <c r="G669" s="29" t="str">
        <f>IF(OR($E669="",$F669=""),"",IFERROR(IF($E669=INDEX([1]Cluster_Master!$A$4:$A$18,MATCH($F669,[1]Cluster_Master!$B$4:$B$18,0)),"OK","CHECK"),"CHECK"))</f>
        <v/>
      </c>
      <c r="H669" s="29" t="str">
        <f>IFERROR(INDEX([1]Cluster_Master!$C$4:$C$18,MATCH($F669,[1]Cluster_Master!$B$4:$B$18,0)),"")</f>
        <v/>
      </c>
      <c r="I669" s="29" t="str">
        <f>IFERROR(INDEX([1]Cluster_Master!$D$4:$D$18,MATCH($F669,[1]Cluster_Master!$B$4:$B$18,0)),"")</f>
        <v/>
      </c>
      <c r="J669" s="29" t="str">
        <f>IFERROR(INDEX([1]Cluster_Master!$E$4:$E$18,MATCH($F669,[1]Cluster_Master!$B$4:$B$18,0)),"")</f>
        <v/>
      </c>
      <c r="K669" s="29" t="str">
        <f>IFERROR(INDEX([1]Cluster_Master!$F$4:$F$18,MATCH($F669,[1]Cluster_Master!$B$4:$B$18,0)),"")</f>
        <v/>
      </c>
      <c r="L669" s="29" t="str">
        <f>IFERROR(INDEX([1]Cluster_Master!$G$4:$G$18,MATCH($F669,[1]Cluster_Master!$B$4:$B$18,0)),"")</f>
        <v/>
      </c>
      <c r="M669" s="29" t="str">
        <f>IFERROR(INDEX([1]Cluster_Master!$H$4:$H$18,MATCH($F669,[1]Cluster_Master!$B$4:$B$18,0)),"")</f>
        <v/>
      </c>
      <c r="AI669" s="29" t="str">
        <f>IF(COUNTA(T669:AH669)=0,"",SUM(T669:AH669))</f>
        <v/>
      </c>
      <c r="AJ669" s="29" t="str">
        <f>IF(COUNTA(T669:AH669)=0,"",AI669/75)</f>
        <v/>
      </c>
      <c r="AK669" s="29" t="str">
        <f>IF(COUNTA(T669:AH669)=0,"",(SUM(T669*[1]KPI_Weights!$B$4,U669*[1]KPI_Weights!$B$5,V669*[1]KPI_Weights!$B$6,W669*[1]KPI_Weights!$B$7,X669*[1]KPI_Weights!$B$8,Y669*[1]KPI_Weights!$B$9,Z669*[1]KPI_Weights!$B$10,AA669*[1]KPI_Weights!$B$11,AB669*[1]KPI_Weights!$B$12,AC669*[1]KPI_Weights!$B$13,AD669*[1]KPI_Weights!$B$14,AE669*[1]KPI_Weights!$B$15,AF669*[1]KPI_Weights!$B$16,AG669*[1]KPI_Weights!$B$17,AH669*[1]KPI_Weights!$B$18))/5)</f>
        <v/>
      </c>
      <c r="AL669" s="29" t="str">
        <f>IF(COUNTA(T669:AH669)=0,"",IF(OR(T669&lt;=1,W669&lt;=1,X669&lt;=1,Y669&lt;=1,AB669&lt;=1),"YES","NO"))</f>
        <v/>
      </c>
      <c r="AM669" s="29" t="str">
        <f>IF(AJ669="","",IF(AND(AL669="NO",AJ669&gt;=0.75),"YES","NO"))</f>
        <v/>
      </c>
      <c r="AN669" s="29" t="str">
        <f>IF(AJ669="","",IF(AJ669&lt;0.4,"Critical",IF(AJ669&lt;0.6,"Poor",IF(AJ669&lt;0.75,"Needs Improvement",IF(AJ669&lt;0.9,"Good","Excellent")))))</f>
        <v/>
      </c>
    </row>
    <row r="670" spans="1:40" ht="15" customHeight="1" x14ac:dyDescent="0.25">
      <c r="A670" s="29" t="str">
        <f>IF($B670="","",TEXT($B670,"yyyymmdd")&amp;"-"&amp;SUBSTITUTE($F670," ","")&amp;"-"&amp;TEXT(COUNTIF($F$4:F670,$F670),"00"))</f>
        <v/>
      </c>
      <c r="C670" s="29" t="str">
        <f>IF($B670="","",WEEKNUM($B670,2))</f>
        <v/>
      </c>
      <c r="D670" s="29" t="str">
        <f>IF($B670="","",TEXT($B670,"yyyy-mm"))</f>
        <v/>
      </c>
      <c r="G670" s="29" t="str">
        <f>IF(OR($E670="",$F670=""),"",IFERROR(IF($E670=INDEX([1]Cluster_Master!$A$4:$A$18,MATCH($F670,[1]Cluster_Master!$B$4:$B$18,0)),"OK","CHECK"),"CHECK"))</f>
        <v/>
      </c>
      <c r="H670" s="29" t="str">
        <f>IFERROR(INDEX([1]Cluster_Master!$C$4:$C$18,MATCH($F670,[1]Cluster_Master!$B$4:$B$18,0)),"")</f>
        <v/>
      </c>
      <c r="I670" s="29" t="str">
        <f>IFERROR(INDEX([1]Cluster_Master!$D$4:$D$18,MATCH($F670,[1]Cluster_Master!$B$4:$B$18,0)),"")</f>
        <v/>
      </c>
      <c r="J670" s="29" t="str">
        <f>IFERROR(INDEX([1]Cluster_Master!$E$4:$E$18,MATCH($F670,[1]Cluster_Master!$B$4:$B$18,0)),"")</f>
        <v/>
      </c>
      <c r="K670" s="29" t="str">
        <f>IFERROR(INDEX([1]Cluster_Master!$F$4:$F$18,MATCH($F670,[1]Cluster_Master!$B$4:$B$18,0)),"")</f>
        <v/>
      </c>
      <c r="L670" s="29" t="str">
        <f>IFERROR(INDEX([1]Cluster_Master!$G$4:$G$18,MATCH($F670,[1]Cluster_Master!$B$4:$B$18,0)),"")</f>
        <v/>
      </c>
      <c r="M670" s="29" t="str">
        <f>IFERROR(INDEX([1]Cluster_Master!$H$4:$H$18,MATCH($F670,[1]Cluster_Master!$B$4:$B$18,0)),"")</f>
        <v/>
      </c>
      <c r="AI670" s="29" t="str">
        <f>IF(COUNTA(T670:AH670)=0,"",SUM(T670:AH670))</f>
        <v/>
      </c>
      <c r="AJ670" s="29" t="str">
        <f>IF(COUNTA(T670:AH670)=0,"",AI670/75)</f>
        <v/>
      </c>
      <c r="AK670" s="29" t="str">
        <f>IF(COUNTA(T670:AH670)=0,"",(SUM(T670*[1]KPI_Weights!$B$4,U670*[1]KPI_Weights!$B$5,V670*[1]KPI_Weights!$B$6,W670*[1]KPI_Weights!$B$7,X670*[1]KPI_Weights!$B$8,Y670*[1]KPI_Weights!$B$9,Z670*[1]KPI_Weights!$B$10,AA670*[1]KPI_Weights!$B$11,AB670*[1]KPI_Weights!$B$12,AC670*[1]KPI_Weights!$B$13,AD670*[1]KPI_Weights!$B$14,AE670*[1]KPI_Weights!$B$15,AF670*[1]KPI_Weights!$B$16,AG670*[1]KPI_Weights!$B$17,AH670*[1]KPI_Weights!$B$18))/5)</f>
        <v/>
      </c>
      <c r="AL670" s="29" t="str">
        <f>IF(COUNTA(T670:AH670)=0,"",IF(OR(T670&lt;=1,W670&lt;=1,X670&lt;=1,Y670&lt;=1,AB670&lt;=1),"YES","NO"))</f>
        <v/>
      </c>
      <c r="AM670" s="29" t="str">
        <f>IF(AJ670="","",IF(AND(AL670="NO",AJ670&gt;=0.75),"YES","NO"))</f>
        <v/>
      </c>
      <c r="AN670" s="29" t="str">
        <f>IF(AJ670="","",IF(AJ670&lt;0.4,"Critical",IF(AJ670&lt;0.6,"Poor",IF(AJ670&lt;0.75,"Needs Improvement",IF(AJ670&lt;0.9,"Good","Excellent")))))</f>
        <v/>
      </c>
    </row>
    <row r="671" spans="1:40" ht="15" customHeight="1" x14ac:dyDescent="0.25">
      <c r="A671" s="29" t="str">
        <f>IF($B671="","",TEXT($B671,"yyyymmdd")&amp;"-"&amp;SUBSTITUTE($F671," ","")&amp;"-"&amp;TEXT(COUNTIF($F$4:F671,$F671),"00"))</f>
        <v/>
      </c>
      <c r="C671" s="29" t="str">
        <f>IF($B671="","",WEEKNUM($B671,2))</f>
        <v/>
      </c>
      <c r="D671" s="29" t="str">
        <f>IF($B671="","",TEXT($B671,"yyyy-mm"))</f>
        <v/>
      </c>
      <c r="G671" s="29" t="str">
        <f>IF(OR($E671="",$F671=""),"",IFERROR(IF($E671=INDEX([1]Cluster_Master!$A$4:$A$18,MATCH($F671,[1]Cluster_Master!$B$4:$B$18,0)),"OK","CHECK"),"CHECK"))</f>
        <v/>
      </c>
      <c r="H671" s="29" t="str">
        <f>IFERROR(INDEX([1]Cluster_Master!$C$4:$C$18,MATCH($F671,[1]Cluster_Master!$B$4:$B$18,0)),"")</f>
        <v/>
      </c>
      <c r="I671" s="29" t="str">
        <f>IFERROR(INDEX([1]Cluster_Master!$D$4:$D$18,MATCH($F671,[1]Cluster_Master!$B$4:$B$18,0)),"")</f>
        <v/>
      </c>
      <c r="J671" s="29" t="str">
        <f>IFERROR(INDEX([1]Cluster_Master!$E$4:$E$18,MATCH($F671,[1]Cluster_Master!$B$4:$B$18,0)),"")</f>
        <v/>
      </c>
      <c r="K671" s="29" t="str">
        <f>IFERROR(INDEX([1]Cluster_Master!$F$4:$F$18,MATCH($F671,[1]Cluster_Master!$B$4:$B$18,0)),"")</f>
        <v/>
      </c>
      <c r="L671" s="29" t="str">
        <f>IFERROR(INDEX([1]Cluster_Master!$G$4:$G$18,MATCH($F671,[1]Cluster_Master!$B$4:$B$18,0)),"")</f>
        <v/>
      </c>
      <c r="M671" s="29" t="str">
        <f>IFERROR(INDEX([1]Cluster_Master!$H$4:$H$18,MATCH($F671,[1]Cluster_Master!$B$4:$B$18,0)),"")</f>
        <v/>
      </c>
      <c r="AI671" s="29" t="str">
        <f>IF(COUNTA(T671:AH671)=0,"",SUM(T671:AH671))</f>
        <v/>
      </c>
      <c r="AJ671" s="29" t="str">
        <f>IF(COUNTA(T671:AH671)=0,"",AI671/75)</f>
        <v/>
      </c>
      <c r="AK671" s="29" t="str">
        <f>IF(COUNTA(T671:AH671)=0,"",(SUM(T671*[1]KPI_Weights!$B$4,U671*[1]KPI_Weights!$B$5,V671*[1]KPI_Weights!$B$6,W671*[1]KPI_Weights!$B$7,X671*[1]KPI_Weights!$B$8,Y671*[1]KPI_Weights!$B$9,Z671*[1]KPI_Weights!$B$10,AA671*[1]KPI_Weights!$B$11,AB671*[1]KPI_Weights!$B$12,AC671*[1]KPI_Weights!$B$13,AD671*[1]KPI_Weights!$B$14,AE671*[1]KPI_Weights!$B$15,AF671*[1]KPI_Weights!$B$16,AG671*[1]KPI_Weights!$B$17,AH671*[1]KPI_Weights!$B$18))/5)</f>
        <v/>
      </c>
      <c r="AL671" s="29" t="str">
        <f>IF(COUNTA(T671:AH671)=0,"",IF(OR(T671&lt;=1,W671&lt;=1,X671&lt;=1,Y671&lt;=1,AB671&lt;=1),"YES","NO"))</f>
        <v/>
      </c>
      <c r="AM671" s="29" t="str">
        <f>IF(AJ671="","",IF(AND(AL671="NO",AJ671&gt;=0.75),"YES","NO"))</f>
        <v/>
      </c>
      <c r="AN671" s="29" t="str">
        <f>IF(AJ671="","",IF(AJ671&lt;0.4,"Critical",IF(AJ671&lt;0.6,"Poor",IF(AJ671&lt;0.75,"Needs Improvement",IF(AJ671&lt;0.9,"Good","Excellent")))))</f>
        <v/>
      </c>
    </row>
    <row r="672" spans="1:40" ht="15" customHeight="1" x14ac:dyDescent="0.25">
      <c r="A672" s="29" t="str">
        <f>IF($B672="","",TEXT($B672,"yyyymmdd")&amp;"-"&amp;SUBSTITUTE($F672," ","")&amp;"-"&amp;TEXT(COUNTIF($F$4:F672,$F672),"00"))</f>
        <v/>
      </c>
      <c r="C672" s="29" t="str">
        <f>IF($B672="","",WEEKNUM($B672,2))</f>
        <v/>
      </c>
      <c r="D672" s="29" t="str">
        <f>IF($B672="","",TEXT($B672,"yyyy-mm"))</f>
        <v/>
      </c>
      <c r="G672" s="29" t="str">
        <f>IF(OR($E672="",$F672=""),"",IFERROR(IF($E672=INDEX([1]Cluster_Master!$A$4:$A$18,MATCH($F672,[1]Cluster_Master!$B$4:$B$18,0)),"OK","CHECK"),"CHECK"))</f>
        <v/>
      </c>
      <c r="H672" s="29" t="str">
        <f>IFERROR(INDEX([1]Cluster_Master!$C$4:$C$18,MATCH($F672,[1]Cluster_Master!$B$4:$B$18,0)),"")</f>
        <v/>
      </c>
      <c r="I672" s="29" t="str">
        <f>IFERROR(INDEX([1]Cluster_Master!$D$4:$D$18,MATCH($F672,[1]Cluster_Master!$B$4:$B$18,0)),"")</f>
        <v/>
      </c>
      <c r="J672" s="29" t="str">
        <f>IFERROR(INDEX([1]Cluster_Master!$E$4:$E$18,MATCH($F672,[1]Cluster_Master!$B$4:$B$18,0)),"")</f>
        <v/>
      </c>
      <c r="K672" s="29" t="str">
        <f>IFERROR(INDEX([1]Cluster_Master!$F$4:$F$18,MATCH($F672,[1]Cluster_Master!$B$4:$B$18,0)),"")</f>
        <v/>
      </c>
      <c r="L672" s="29" t="str">
        <f>IFERROR(INDEX([1]Cluster_Master!$G$4:$G$18,MATCH($F672,[1]Cluster_Master!$B$4:$B$18,0)),"")</f>
        <v/>
      </c>
      <c r="M672" s="29" t="str">
        <f>IFERROR(INDEX([1]Cluster_Master!$H$4:$H$18,MATCH($F672,[1]Cluster_Master!$B$4:$B$18,0)),"")</f>
        <v/>
      </c>
      <c r="AI672" s="29" t="str">
        <f>IF(COUNTA(T672:AH672)=0,"",SUM(T672:AH672))</f>
        <v/>
      </c>
      <c r="AJ672" s="29" t="str">
        <f>IF(COUNTA(T672:AH672)=0,"",AI672/75)</f>
        <v/>
      </c>
      <c r="AK672" s="29" t="str">
        <f>IF(COUNTA(T672:AH672)=0,"",(SUM(T672*[1]KPI_Weights!$B$4,U672*[1]KPI_Weights!$B$5,V672*[1]KPI_Weights!$B$6,W672*[1]KPI_Weights!$B$7,X672*[1]KPI_Weights!$B$8,Y672*[1]KPI_Weights!$B$9,Z672*[1]KPI_Weights!$B$10,AA672*[1]KPI_Weights!$B$11,AB672*[1]KPI_Weights!$B$12,AC672*[1]KPI_Weights!$B$13,AD672*[1]KPI_Weights!$B$14,AE672*[1]KPI_Weights!$B$15,AF672*[1]KPI_Weights!$B$16,AG672*[1]KPI_Weights!$B$17,AH672*[1]KPI_Weights!$B$18))/5)</f>
        <v/>
      </c>
      <c r="AL672" s="29" t="str">
        <f>IF(COUNTA(T672:AH672)=0,"",IF(OR(T672&lt;=1,W672&lt;=1,X672&lt;=1,Y672&lt;=1,AB672&lt;=1),"YES","NO"))</f>
        <v/>
      </c>
      <c r="AM672" s="29" t="str">
        <f>IF(AJ672="","",IF(AND(AL672="NO",AJ672&gt;=0.75),"YES","NO"))</f>
        <v/>
      </c>
      <c r="AN672" s="29" t="str">
        <f>IF(AJ672="","",IF(AJ672&lt;0.4,"Critical",IF(AJ672&lt;0.6,"Poor",IF(AJ672&lt;0.75,"Needs Improvement",IF(AJ672&lt;0.9,"Good","Excellent")))))</f>
        <v/>
      </c>
    </row>
    <row r="673" spans="1:40" ht="15" customHeight="1" x14ac:dyDescent="0.25">
      <c r="A673" s="29" t="str">
        <f>IF($B673="","",TEXT($B673,"yyyymmdd")&amp;"-"&amp;SUBSTITUTE($F673," ","")&amp;"-"&amp;TEXT(COUNTIF($F$4:F673,$F673),"00"))</f>
        <v/>
      </c>
      <c r="C673" s="29" t="str">
        <f>IF($B673="","",WEEKNUM($B673,2))</f>
        <v/>
      </c>
      <c r="D673" s="29" t="str">
        <f>IF($B673="","",TEXT($B673,"yyyy-mm"))</f>
        <v/>
      </c>
      <c r="G673" s="29" t="str">
        <f>IF(OR($E673="",$F673=""),"",IFERROR(IF($E673=INDEX([1]Cluster_Master!$A$4:$A$18,MATCH($F673,[1]Cluster_Master!$B$4:$B$18,0)),"OK","CHECK"),"CHECK"))</f>
        <v/>
      </c>
      <c r="H673" s="29" t="str">
        <f>IFERROR(INDEX([1]Cluster_Master!$C$4:$C$18,MATCH($F673,[1]Cluster_Master!$B$4:$B$18,0)),"")</f>
        <v/>
      </c>
      <c r="I673" s="29" t="str">
        <f>IFERROR(INDEX([1]Cluster_Master!$D$4:$D$18,MATCH($F673,[1]Cluster_Master!$B$4:$B$18,0)),"")</f>
        <v/>
      </c>
      <c r="J673" s="29" t="str">
        <f>IFERROR(INDEX([1]Cluster_Master!$E$4:$E$18,MATCH($F673,[1]Cluster_Master!$B$4:$B$18,0)),"")</f>
        <v/>
      </c>
      <c r="K673" s="29" t="str">
        <f>IFERROR(INDEX([1]Cluster_Master!$F$4:$F$18,MATCH($F673,[1]Cluster_Master!$B$4:$B$18,0)),"")</f>
        <v/>
      </c>
      <c r="L673" s="29" t="str">
        <f>IFERROR(INDEX([1]Cluster_Master!$G$4:$G$18,MATCH($F673,[1]Cluster_Master!$B$4:$B$18,0)),"")</f>
        <v/>
      </c>
      <c r="M673" s="29" t="str">
        <f>IFERROR(INDEX([1]Cluster_Master!$H$4:$H$18,MATCH($F673,[1]Cluster_Master!$B$4:$B$18,0)),"")</f>
        <v/>
      </c>
      <c r="AI673" s="29" t="str">
        <f>IF(COUNTA(T673:AH673)=0,"",SUM(T673:AH673))</f>
        <v/>
      </c>
      <c r="AJ673" s="29" t="str">
        <f>IF(COUNTA(T673:AH673)=0,"",AI673/75)</f>
        <v/>
      </c>
      <c r="AK673" s="29" t="str">
        <f>IF(COUNTA(T673:AH673)=0,"",(SUM(T673*[1]KPI_Weights!$B$4,U673*[1]KPI_Weights!$B$5,V673*[1]KPI_Weights!$B$6,W673*[1]KPI_Weights!$B$7,X673*[1]KPI_Weights!$B$8,Y673*[1]KPI_Weights!$B$9,Z673*[1]KPI_Weights!$B$10,AA673*[1]KPI_Weights!$B$11,AB673*[1]KPI_Weights!$B$12,AC673*[1]KPI_Weights!$B$13,AD673*[1]KPI_Weights!$B$14,AE673*[1]KPI_Weights!$B$15,AF673*[1]KPI_Weights!$B$16,AG673*[1]KPI_Weights!$B$17,AH673*[1]KPI_Weights!$B$18))/5)</f>
        <v/>
      </c>
      <c r="AL673" s="29" t="str">
        <f>IF(COUNTA(T673:AH673)=0,"",IF(OR(T673&lt;=1,W673&lt;=1,X673&lt;=1,Y673&lt;=1,AB673&lt;=1),"YES","NO"))</f>
        <v/>
      </c>
      <c r="AM673" s="29" t="str">
        <f>IF(AJ673="","",IF(AND(AL673="NO",AJ673&gt;=0.75),"YES","NO"))</f>
        <v/>
      </c>
      <c r="AN673" s="29" t="str">
        <f>IF(AJ673="","",IF(AJ673&lt;0.4,"Critical",IF(AJ673&lt;0.6,"Poor",IF(AJ673&lt;0.75,"Needs Improvement",IF(AJ673&lt;0.9,"Good","Excellent")))))</f>
        <v/>
      </c>
    </row>
    <row r="674" spans="1:40" ht="15" customHeight="1" x14ac:dyDescent="0.25">
      <c r="A674" s="29" t="str">
        <f>IF($B674="","",TEXT($B674,"yyyymmdd")&amp;"-"&amp;SUBSTITUTE($F674," ","")&amp;"-"&amp;TEXT(COUNTIF($F$4:F674,$F674),"00"))</f>
        <v/>
      </c>
      <c r="C674" s="29" t="str">
        <f>IF($B674="","",WEEKNUM($B674,2))</f>
        <v/>
      </c>
      <c r="D674" s="29" t="str">
        <f>IF($B674="","",TEXT($B674,"yyyy-mm"))</f>
        <v/>
      </c>
      <c r="G674" s="29" t="str">
        <f>IF(OR($E674="",$F674=""),"",IFERROR(IF($E674=INDEX([1]Cluster_Master!$A$4:$A$18,MATCH($F674,[1]Cluster_Master!$B$4:$B$18,0)),"OK","CHECK"),"CHECK"))</f>
        <v/>
      </c>
      <c r="H674" s="29" t="str">
        <f>IFERROR(INDEX([1]Cluster_Master!$C$4:$C$18,MATCH($F674,[1]Cluster_Master!$B$4:$B$18,0)),"")</f>
        <v/>
      </c>
      <c r="I674" s="29" t="str">
        <f>IFERROR(INDEX([1]Cluster_Master!$D$4:$D$18,MATCH($F674,[1]Cluster_Master!$B$4:$B$18,0)),"")</f>
        <v/>
      </c>
      <c r="J674" s="29" t="str">
        <f>IFERROR(INDEX([1]Cluster_Master!$E$4:$E$18,MATCH($F674,[1]Cluster_Master!$B$4:$B$18,0)),"")</f>
        <v/>
      </c>
      <c r="K674" s="29" t="str">
        <f>IFERROR(INDEX([1]Cluster_Master!$F$4:$F$18,MATCH($F674,[1]Cluster_Master!$B$4:$B$18,0)),"")</f>
        <v/>
      </c>
      <c r="L674" s="29" t="str">
        <f>IFERROR(INDEX([1]Cluster_Master!$G$4:$G$18,MATCH($F674,[1]Cluster_Master!$B$4:$B$18,0)),"")</f>
        <v/>
      </c>
      <c r="M674" s="29" t="str">
        <f>IFERROR(INDEX([1]Cluster_Master!$H$4:$H$18,MATCH($F674,[1]Cluster_Master!$B$4:$B$18,0)),"")</f>
        <v/>
      </c>
      <c r="AI674" s="29" t="str">
        <f>IF(COUNTA(T674:AH674)=0,"",SUM(T674:AH674))</f>
        <v/>
      </c>
      <c r="AJ674" s="29" t="str">
        <f>IF(COUNTA(T674:AH674)=0,"",AI674/75)</f>
        <v/>
      </c>
      <c r="AK674" s="29" t="str">
        <f>IF(COUNTA(T674:AH674)=0,"",(SUM(T674*[1]KPI_Weights!$B$4,U674*[1]KPI_Weights!$B$5,V674*[1]KPI_Weights!$B$6,W674*[1]KPI_Weights!$B$7,X674*[1]KPI_Weights!$B$8,Y674*[1]KPI_Weights!$B$9,Z674*[1]KPI_Weights!$B$10,AA674*[1]KPI_Weights!$B$11,AB674*[1]KPI_Weights!$B$12,AC674*[1]KPI_Weights!$B$13,AD674*[1]KPI_Weights!$B$14,AE674*[1]KPI_Weights!$B$15,AF674*[1]KPI_Weights!$B$16,AG674*[1]KPI_Weights!$B$17,AH674*[1]KPI_Weights!$B$18))/5)</f>
        <v/>
      </c>
      <c r="AL674" s="29" t="str">
        <f>IF(COUNTA(T674:AH674)=0,"",IF(OR(T674&lt;=1,W674&lt;=1,X674&lt;=1,Y674&lt;=1,AB674&lt;=1),"YES","NO"))</f>
        <v/>
      </c>
      <c r="AM674" s="29" t="str">
        <f>IF(AJ674="","",IF(AND(AL674="NO",AJ674&gt;=0.75),"YES","NO"))</f>
        <v/>
      </c>
      <c r="AN674" s="29" t="str">
        <f>IF(AJ674="","",IF(AJ674&lt;0.4,"Critical",IF(AJ674&lt;0.6,"Poor",IF(AJ674&lt;0.75,"Needs Improvement",IF(AJ674&lt;0.9,"Good","Excellent")))))</f>
        <v/>
      </c>
    </row>
    <row r="675" spans="1:40" ht="15" customHeight="1" x14ac:dyDescent="0.25">
      <c r="A675" s="29" t="str">
        <f>IF($B675="","",TEXT($B675,"yyyymmdd")&amp;"-"&amp;SUBSTITUTE($F675," ","")&amp;"-"&amp;TEXT(COUNTIF($F$4:F675,$F675),"00"))</f>
        <v/>
      </c>
      <c r="C675" s="29" t="str">
        <f>IF($B675="","",WEEKNUM($B675,2))</f>
        <v/>
      </c>
      <c r="D675" s="29" t="str">
        <f>IF($B675="","",TEXT($B675,"yyyy-mm"))</f>
        <v/>
      </c>
      <c r="G675" s="29" t="str">
        <f>IF(OR($E675="",$F675=""),"",IFERROR(IF($E675=INDEX([1]Cluster_Master!$A$4:$A$18,MATCH($F675,[1]Cluster_Master!$B$4:$B$18,0)),"OK","CHECK"),"CHECK"))</f>
        <v/>
      </c>
      <c r="H675" s="29" t="str">
        <f>IFERROR(INDEX([1]Cluster_Master!$C$4:$C$18,MATCH($F675,[1]Cluster_Master!$B$4:$B$18,0)),"")</f>
        <v/>
      </c>
      <c r="I675" s="29" t="str">
        <f>IFERROR(INDEX([1]Cluster_Master!$D$4:$D$18,MATCH($F675,[1]Cluster_Master!$B$4:$B$18,0)),"")</f>
        <v/>
      </c>
      <c r="J675" s="29" t="str">
        <f>IFERROR(INDEX([1]Cluster_Master!$E$4:$E$18,MATCH($F675,[1]Cluster_Master!$B$4:$B$18,0)),"")</f>
        <v/>
      </c>
      <c r="K675" s="29" t="str">
        <f>IFERROR(INDEX([1]Cluster_Master!$F$4:$F$18,MATCH($F675,[1]Cluster_Master!$B$4:$B$18,0)),"")</f>
        <v/>
      </c>
      <c r="L675" s="29" t="str">
        <f>IFERROR(INDEX([1]Cluster_Master!$G$4:$G$18,MATCH($F675,[1]Cluster_Master!$B$4:$B$18,0)),"")</f>
        <v/>
      </c>
      <c r="M675" s="29" t="str">
        <f>IFERROR(INDEX([1]Cluster_Master!$H$4:$H$18,MATCH($F675,[1]Cluster_Master!$B$4:$B$18,0)),"")</f>
        <v/>
      </c>
      <c r="AI675" s="29" t="str">
        <f>IF(COUNTA(T675:AH675)=0,"",SUM(T675:AH675))</f>
        <v/>
      </c>
      <c r="AJ675" s="29" t="str">
        <f>IF(COUNTA(T675:AH675)=0,"",AI675/75)</f>
        <v/>
      </c>
      <c r="AK675" s="29" t="str">
        <f>IF(COUNTA(T675:AH675)=0,"",(SUM(T675*[1]KPI_Weights!$B$4,U675*[1]KPI_Weights!$B$5,V675*[1]KPI_Weights!$B$6,W675*[1]KPI_Weights!$B$7,X675*[1]KPI_Weights!$B$8,Y675*[1]KPI_Weights!$B$9,Z675*[1]KPI_Weights!$B$10,AA675*[1]KPI_Weights!$B$11,AB675*[1]KPI_Weights!$B$12,AC675*[1]KPI_Weights!$B$13,AD675*[1]KPI_Weights!$B$14,AE675*[1]KPI_Weights!$B$15,AF675*[1]KPI_Weights!$B$16,AG675*[1]KPI_Weights!$B$17,AH675*[1]KPI_Weights!$B$18))/5)</f>
        <v/>
      </c>
      <c r="AL675" s="29" t="str">
        <f>IF(COUNTA(T675:AH675)=0,"",IF(OR(T675&lt;=1,W675&lt;=1,X675&lt;=1,Y675&lt;=1,AB675&lt;=1),"YES","NO"))</f>
        <v/>
      </c>
      <c r="AM675" s="29" t="str">
        <f>IF(AJ675="","",IF(AND(AL675="NO",AJ675&gt;=0.75),"YES","NO"))</f>
        <v/>
      </c>
      <c r="AN675" s="29" t="str">
        <f>IF(AJ675="","",IF(AJ675&lt;0.4,"Critical",IF(AJ675&lt;0.6,"Poor",IF(AJ675&lt;0.75,"Needs Improvement",IF(AJ675&lt;0.9,"Good","Excellent")))))</f>
        <v/>
      </c>
    </row>
    <row r="676" spans="1:40" ht="15" customHeight="1" x14ac:dyDescent="0.25">
      <c r="A676" s="29" t="str">
        <f>IF($B676="","",TEXT($B676,"yyyymmdd")&amp;"-"&amp;SUBSTITUTE($F676," ","")&amp;"-"&amp;TEXT(COUNTIF($F$4:F676,$F676),"00"))</f>
        <v/>
      </c>
      <c r="C676" s="29" t="str">
        <f>IF($B676="","",WEEKNUM($B676,2))</f>
        <v/>
      </c>
      <c r="D676" s="29" t="str">
        <f>IF($B676="","",TEXT($B676,"yyyy-mm"))</f>
        <v/>
      </c>
      <c r="G676" s="29" t="str">
        <f>IF(OR($E676="",$F676=""),"",IFERROR(IF($E676=INDEX([1]Cluster_Master!$A$4:$A$18,MATCH($F676,[1]Cluster_Master!$B$4:$B$18,0)),"OK","CHECK"),"CHECK"))</f>
        <v/>
      </c>
      <c r="H676" s="29" t="str">
        <f>IFERROR(INDEX([1]Cluster_Master!$C$4:$C$18,MATCH($F676,[1]Cluster_Master!$B$4:$B$18,0)),"")</f>
        <v/>
      </c>
      <c r="I676" s="29" t="str">
        <f>IFERROR(INDEX([1]Cluster_Master!$D$4:$D$18,MATCH($F676,[1]Cluster_Master!$B$4:$B$18,0)),"")</f>
        <v/>
      </c>
      <c r="J676" s="29" t="str">
        <f>IFERROR(INDEX([1]Cluster_Master!$E$4:$E$18,MATCH($F676,[1]Cluster_Master!$B$4:$B$18,0)),"")</f>
        <v/>
      </c>
      <c r="K676" s="29" t="str">
        <f>IFERROR(INDEX([1]Cluster_Master!$F$4:$F$18,MATCH($F676,[1]Cluster_Master!$B$4:$B$18,0)),"")</f>
        <v/>
      </c>
      <c r="L676" s="29" t="str">
        <f>IFERROR(INDEX([1]Cluster_Master!$G$4:$G$18,MATCH($F676,[1]Cluster_Master!$B$4:$B$18,0)),"")</f>
        <v/>
      </c>
      <c r="M676" s="29" t="str">
        <f>IFERROR(INDEX([1]Cluster_Master!$H$4:$H$18,MATCH($F676,[1]Cluster_Master!$B$4:$B$18,0)),"")</f>
        <v/>
      </c>
      <c r="AI676" s="29" t="str">
        <f>IF(COUNTA(T676:AH676)=0,"",SUM(T676:AH676))</f>
        <v/>
      </c>
      <c r="AJ676" s="29" t="str">
        <f>IF(COUNTA(T676:AH676)=0,"",AI676/75)</f>
        <v/>
      </c>
      <c r="AK676" s="29" t="str">
        <f>IF(COUNTA(T676:AH676)=0,"",(SUM(T676*[1]KPI_Weights!$B$4,U676*[1]KPI_Weights!$B$5,V676*[1]KPI_Weights!$B$6,W676*[1]KPI_Weights!$B$7,X676*[1]KPI_Weights!$B$8,Y676*[1]KPI_Weights!$B$9,Z676*[1]KPI_Weights!$B$10,AA676*[1]KPI_Weights!$B$11,AB676*[1]KPI_Weights!$B$12,AC676*[1]KPI_Weights!$B$13,AD676*[1]KPI_Weights!$B$14,AE676*[1]KPI_Weights!$B$15,AF676*[1]KPI_Weights!$B$16,AG676*[1]KPI_Weights!$B$17,AH676*[1]KPI_Weights!$B$18))/5)</f>
        <v/>
      </c>
      <c r="AL676" s="29" t="str">
        <f>IF(COUNTA(T676:AH676)=0,"",IF(OR(T676&lt;=1,W676&lt;=1,X676&lt;=1,Y676&lt;=1,AB676&lt;=1),"YES","NO"))</f>
        <v/>
      </c>
      <c r="AM676" s="29" t="str">
        <f>IF(AJ676="","",IF(AND(AL676="NO",AJ676&gt;=0.75),"YES","NO"))</f>
        <v/>
      </c>
      <c r="AN676" s="29" t="str">
        <f>IF(AJ676="","",IF(AJ676&lt;0.4,"Critical",IF(AJ676&lt;0.6,"Poor",IF(AJ676&lt;0.75,"Needs Improvement",IF(AJ676&lt;0.9,"Good","Excellent")))))</f>
        <v/>
      </c>
    </row>
    <row r="677" spans="1:40" ht="15" customHeight="1" x14ac:dyDescent="0.25">
      <c r="A677" s="29" t="str">
        <f>IF($B677="","",TEXT($B677,"yyyymmdd")&amp;"-"&amp;SUBSTITUTE($F677," ","")&amp;"-"&amp;TEXT(COUNTIF($F$4:F677,$F677),"00"))</f>
        <v/>
      </c>
      <c r="C677" s="29" t="str">
        <f>IF($B677="","",WEEKNUM($B677,2))</f>
        <v/>
      </c>
      <c r="D677" s="29" t="str">
        <f>IF($B677="","",TEXT($B677,"yyyy-mm"))</f>
        <v/>
      </c>
      <c r="G677" s="29" t="str">
        <f>IF(OR($E677="",$F677=""),"",IFERROR(IF($E677=INDEX([1]Cluster_Master!$A$4:$A$18,MATCH($F677,[1]Cluster_Master!$B$4:$B$18,0)),"OK","CHECK"),"CHECK"))</f>
        <v/>
      </c>
      <c r="H677" s="29" t="str">
        <f>IFERROR(INDEX([1]Cluster_Master!$C$4:$C$18,MATCH($F677,[1]Cluster_Master!$B$4:$B$18,0)),"")</f>
        <v/>
      </c>
      <c r="I677" s="29" t="str">
        <f>IFERROR(INDEX([1]Cluster_Master!$D$4:$D$18,MATCH($F677,[1]Cluster_Master!$B$4:$B$18,0)),"")</f>
        <v/>
      </c>
      <c r="J677" s="29" t="str">
        <f>IFERROR(INDEX([1]Cluster_Master!$E$4:$E$18,MATCH($F677,[1]Cluster_Master!$B$4:$B$18,0)),"")</f>
        <v/>
      </c>
      <c r="K677" s="29" t="str">
        <f>IFERROR(INDEX([1]Cluster_Master!$F$4:$F$18,MATCH($F677,[1]Cluster_Master!$B$4:$B$18,0)),"")</f>
        <v/>
      </c>
      <c r="L677" s="29" t="str">
        <f>IFERROR(INDEX([1]Cluster_Master!$G$4:$G$18,MATCH($F677,[1]Cluster_Master!$B$4:$B$18,0)),"")</f>
        <v/>
      </c>
      <c r="M677" s="29" t="str">
        <f>IFERROR(INDEX([1]Cluster_Master!$H$4:$H$18,MATCH($F677,[1]Cluster_Master!$B$4:$B$18,0)),"")</f>
        <v/>
      </c>
      <c r="AI677" s="29" t="str">
        <f>IF(COUNTA(T677:AH677)=0,"",SUM(T677:AH677))</f>
        <v/>
      </c>
      <c r="AJ677" s="29" t="str">
        <f>IF(COUNTA(T677:AH677)=0,"",AI677/75)</f>
        <v/>
      </c>
      <c r="AK677" s="29" t="str">
        <f>IF(COUNTA(T677:AH677)=0,"",(SUM(T677*[1]KPI_Weights!$B$4,U677*[1]KPI_Weights!$B$5,V677*[1]KPI_Weights!$B$6,W677*[1]KPI_Weights!$B$7,X677*[1]KPI_Weights!$B$8,Y677*[1]KPI_Weights!$B$9,Z677*[1]KPI_Weights!$B$10,AA677*[1]KPI_Weights!$B$11,AB677*[1]KPI_Weights!$B$12,AC677*[1]KPI_Weights!$B$13,AD677*[1]KPI_Weights!$B$14,AE677*[1]KPI_Weights!$B$15,AF677*[1]KPI_Weights!$B$16,AG677*[1]KPI_Weights!$B$17,AH677*[1]KPI_Weights!$B$18))/5)</f>
        <v/>
      </c>
      <c r="AL677" s="29" t="str">
        <f>IF(COUNTA(T677:AH677)=0,"",IF(OR(T677&lt;=1,W677&lt;=1,X677&lt;=1,Y677&lt;=1,AB677&lt;=1),"YES","NO"))</f>
        <v/>
      </c>
      <c r="AM677" s="29" t="str">
        <f>IF(AJ677="","",IF(AND(AL677="NO",AJ677&gt;=0.75),"YES","NO"))</f>
        <v/>
      </c>
      <c r="AN677" s="29" t="str">
        <f>IF(AJ677="","",IF(AJ677&lt;0.4,"Critical",IF(AJ677&lt;0.6,"Poor",IF(AJ677&lt;0.75,"Needs Improvement",IF(AJ677&lt;0.9,"Good","Excellent")))))</f>
        <v/>
      </c>
    </row>
    <row r="678" spans="1:40" ht="15" customHeight="1" x14ac:dyDescent="0.25">
      <c r="A678" s="29" t="str">
        <f>IF($B678="","",TEXT($B678,"yyyymmdd")&amp;"-"&amp;SUBSTITUTE($F678," ","")&amp;"-"&amp;TEXT(COUNTIF($F$4:F678,$F678),"00"))</f>
        <v/>
      </c>
      <c r="C678" s="29" t="str">
        <f>IF($B678="","",WEEKNUM($B678,2))</f>
        <v/>
      </c>
      <c r="D678" s="29" t="str">
        <f>IF($B678="","",TEXT($B678,"yyyy-mm"))</f>
        <v/>
      </c>
      <c r="G678" s="29" t="str">
        <f>IF(OR($E678="",$F678=""),"",IFERROR(IF($E678=INDEX([1]Cluster_Master!$A$4:$A$18,MATCH($F678,[1]Cluster_Master!$B$4:$B$18,0)),"OK","CHECK"),"CHECK"))</f>
        <v/>
      </c>
      <c r="H678" s="29" t="str">
        <f>IFERROR(INDEX([1]Cluster_Master!$C$4:$C$18,MATCH($F678,[1]Cluster_Master!$B$4:$B$18,0)),"")</f>
        <v/>
      </c>
      <c r="I678" s="29" t="str">
        <f>IFERROR(INDEX([1]Cluster_Master!$D$4:$D$18,MATCH($F678,[1]Cluster_Master!$B$4:$B$18,0)),"")</f>
        <v/>
      </c>
      <c r="J678" s="29" t="str">
        <f>IFERROR(INDEX([1]Cluster_Master!$E$4:$E$18,MATCH($F678,[1]Cluster_Master!$B$4:$B$18,0)),"")</f>
        <v/>
      </c>
      <c r="K678" s="29" t="str">
        <f>IFERROR(INDEX([1]Cluster_Master!$F$4:$F$18,MATCH($F678,[1]Cluster_Master!$B$4:$B$18,0)),"")</f>
        <v/>
      </c>
      <c r="L678" s="29" t="str">
        <f>IFERROR(INDEX([1]Cluster_Master!$G$4:$G$18,MATCH($F678,[1]Cluster_Master!$B$4:$B$18,0)),"")</f>
        <v/>
      </c>
      <c r="M678" s="29" t="str">
        <f>IFERROR(INDEX([1]Cluster_Master!$H$4:$H$18,MATCH($F678,[1]Cluster_Master!$B$4:$B$18,0)),"")</f>
        <v/>
      </c>
      <c r="AI678" s="29" t="str">
        <f>IF(COUNTA(T678:AH678)=0,"",SUM(T678:AH678))</f>
        <v/>
      </c>
      <c r="AJ678" s="29" t="str">
        <f>IF(COUNTA(T678:AH678)=0,"",AI678/75)</f>
        <v/>
      </c>
      <c r="AK678" s="29" t="str">
        <f>IF(COUNTA(T678:AH678)=0,"",(SUM(T678*[1]KPI_Weights!$B$4,U678*[1]KPI_Weights!$B$5,V678*[1]KPI_Weights!$B$6,W678*[1]KPI_Weights!$B$7,X678*[1]KPI_Weights!$B$8,Y678*[1]KPI_Weights!$B$9,Z678*[1]KPI_Weights!$B$10,AA678*[1]KPI_Weights!$B$11,AB678*[1]KPI_Weights!$B$12,AC678*[1]KPI_Weights!$B$13,AD678*[1]KPI_Weights!$B$14,AE678*[1]KPI_Weights!$B$15,AF678*[1]KPI_Weights!$B$16,AG678*[1]KPI_Weights!$B$17,AH678*[1]KPI_Weights!$B$18))/5)</f>
        <v/>
      </c>
      <c r="AL678" s="29" t="str">
        <f>IF(COUNTA(T678:AH678)=0,"",IF(OR(T678&lt;=1,W678&lt;=1,X678&lt;=1,Y678&lt;=1,AB678&lt;=1),"YES","NO"))</f>
        <v/>
      </c>
      <c r="AM678" s="29" t="str">
        <f>IF(AJ678="","",IF(AND(AL678="NO",AJ678&gt;=0.75),"YES","NO"))</f>
        <v/>
      </c>
      <c r="AN678" s="29" t="str">
        <f>IF(AJ678="","",IF(AJ678&lt;0.4,"Critical",IF(AJ678&lt;0.6,"Poor",IF(AJ678&lt;0.75,"Needs Improvement",IF(AJ678&lt;0.9,"Good","Excellent")))))</f>
        <v/>
      </c>
    </row>
    <row r="679" spans="1:40" ht="15" customHeight="1" x14ac:dyDescent="0.25">
      <c r="A679" s="29" t="str">
        <f>IF($B679="","",TEXT($B679,"yyyymmdd")&amp;"-"&amp;SUBSTITUTE($F679," ","")&amp;"-"&amp;TEXT(COUNTIF($F$4:F679,$F679),"00"))</f>
        <v/>
      </c>
      <c r="C679" s="29" t="str">
        <f>IF($B679="","",WEEKNUM($B679,2))</f>
        <v/>
      </c>
      <c r="D679" s="29" t="str">
        <f>IF($B679="","",TEXT($B679,"yyyy-mm"))</f>
        <v/>
      </c>
      <c r="G679" s="29" t="str">
        <f>IF(OR($E679="",$F679=""),"",IFERROR(IF($E679=INDEX([1]Cluster_Master!$A$4:$A$18,MATCH($F679,[1]Cluster_Master!$B$4:$B$18,0)),"OK","CHECK"),"CHECK"))</f>
        <v/>
      </c>
      <c r="H679" s="29" t="str">
        <f>IFERROR(INDEX([1]Cluster_Master!$C$4:$C$18,MATCH($F679,[1]Cluster_Master!$B$4:$B$18,0)),"")</f>
        <v/>
      </c>
      <c r="I679" s="29" t="str">
        <f>IFERROR(INDEX([1]Cluster_Master!$D$4:$D$18,MATCH($F679,[1]Cluster_Master!$B$4:$B$18,0)),"")</f>
        <v/>
      </c>
      <c r="J679" s="29" t="str">
        <f>IFERROR(INDEX([1]Cluster_Master!$E$4:$E$18,MATCH($F679,[1]Cluster_Master!$B$4:$B$18,0)),"")</f>
        <v/>
      </c>
      <c r="K679" s="29" t="str">
        <f>IFERROR(INDEX([1]Cluster_Master!$F$4:$F$18,MATCH($F679,[1]Cluster_Master!$B$4:$B$18,0)),"")</f>
        <v/>
      </c>
      <c r="L679" s="29" t="str">
        <f>IFERROR(INDEX([1]Cluster_Master!$G$4:$G$18,MATCH($F679,[1]Cluster_Master!$B$4:$B$18,0)),"")</f>
        <v/>
      </c>
      <c r="M679" s="29" t="str">
        <f>IFERROR(INDEX([1]Cluster_Master!$H$4:$H$18,MATCH($F679,[1]Cluster_Master!$B$4:$B$18,0)),"")</f>
        <v/>
      </c>
      <c r="AI679" s="29" t="str">
        <f>IF(COUNTA(T679:AH679)=0,"",SUM(T679:AH679))</f>
        <v/>
      </c>
      <c r="AJ679" s="29" t="str">
        <f>IF(COUNTA(T679:AH679)=0,"",AI679/75)</f>
        <v/>
      </c>
      <c r="AK679" s="29" t="str">
        <f>IF(COUNTA(T679:AH679)=0,"",(SUM(T679*[1]KPI_Weights!$B$4,U679*[1]KPI_Weights!$B$5,V679*[1]KPI_Weights!$B$6,W679*[1]KPI_Weights!$B$7,X679*[1]KPI_Weights!$B$8,Y679*[1]KPI_Weights!$B$9,Z679*[1]KPI_Weights!$B$10,AA679*[1]KPI_Weights!$B$11,AB679*[1]KPI_Weights!$B$12,AC679*[1]KPI_Weights!$B$13,AD679*[1]KPI_Weights!$B$14,AE679*[1]KPI_Weights!$B$15,AF679*[1]KPI_Weights!$B$16,AG679*[1]KPI_Weights!$B$17,AH679*[1]KPI_Weights!$B$18))/5)</f>
        <v/>
      </c>
      <c r="AL679" s="29" t="str">
        <f>IF(COUNTA(T679:AH679)=0,"",IF(OR(T679&lt;=1,W679&lt;=1,X679&lt;=1,Y679&lt;=1,AB679&lt;=1),"YES","NO"))</f>
        <v/>
      </c>
      <c r="AM679" s="29" t="str">
        <f>IF(AJ679="","",IF(AND(AL679="NO",AJ679&gt;=0.75),"YES","NO"))</f>
        <v/>
      </c>
      <c r="AN679" s="29" t="str">
        <f>IF(AJ679="","",IF(AJ679&lt;0.4,"Critical",IF(AJ679&lt;0.6,"Poor",IF(AJ679&lt;0.75,"Needs Improvement",IF(AJ679&lt;0.9,"Good","Excellent")))))</f>
        <v/>
      </c>
    </row>
    <row r="680" spans="1:40" ht="15" customHeight="1" x14ac:dyDescent="0.25">
      <c r="A680" s="29" t="str">
        <f>IF($B680="","",TEXT($B680,"yyyymmdd")&amp;"-"&amp;SUBSTITUTE($F680," ","")&amp;"-"&amp;TEXT(COUNTIF($F$4:F680,$F680),"00"))</f>
        <v/>
      </c>
      <c r="C680" s="29" t="str">
        <f>IF($B680="","",WEEKNUM($B680,2))</f>
        <v/>
      </c>
      <c r="D680" s="29" t="str">
        <f>IF($B680="","",TEXT($B680,"yyyy-mm"))</f>
        <v/>
      </c>
      <c r="G680" s="29" t="str">
        <f>IF(OR($E680="",$F680=""),"",IFERROR(IF($E680=INDEX([1]Cluster_Master!$A$4:$A$18,MATCH($F680,[1]Cluster_Master!$B$4:$B$18,0)),"OK","CHECK"),"CHECK"))</f>
        <v/>
      </c>
      <c r="H680" s="29" t="str">
        <f>IFERROR(INDEX([1]Cluster_Master!$C$4:$C$18,MATCH($F680,[1]Cluster_Master!$B$4:$B$18,0)),"")</f>
        <v/>
      </c>
      <c r="I680" s="29" t="str">
        <f>IFERROR(INDEX([1]Cluster_Master!$D$4:$D$18,MATCH($F680,[1]Cluster_Master!$B$4:$B$18,0)),"")</f>
        <v/>
      </c>
      <c r="J680" s="29" t="str">
        <f>IFERROR(INDEX([1]Cluster_Master!$E$4:$E$18,MATCH($F680,[1]Cluster_Master!$B$4:$B$18,0)),"")</f>
        <v/>
      </c>
      <c r="K680" s="29" t="str">
        <f>IFERROR(INDEX([1]Cluster_Master!$F$4:$F$18,MATCH($F680,[1]Cluster_Master!$B$4:$B$18,0)),"")</f>
        <v/>
      </c>
      <c r="L680" s="29" t="str">
        <f>IFERROR(INDEX([1]Cluster_Master!$G$4:$G$18,MATCH($F680,[1]Cluster_Master!$B$4:$B$18,0)),"")</f>
        <v/>
      </c>
      <c r="M680" s="29" t="str">
        <f>IFERROR(INDEX([1]Cluster_Master!$H$4:$H$18,MATCH($F680,[1]Cluster_Master!$B$4:$B$18,0)),"")</f>
        <v/>
      </c>
      <c r="AI680" s="29" t="str">
        <f>IF(COUNTA(T680:AH680)=0,"",SUM(T680:AH680))</f>
        <v/>
      </c>
      <c r="AJ680" s="29" t="str">
        <f>IF(COUNTA(T680:AH680)=0,"",AI680/75)</f>
        <v/>
      </c>
      <c r="AK680" s="29" t="str">
        <f>IF(COUNTA(T680:AH680)=0,"",(SUM(T680*[1]KPI_Weights!$B$4,U680*[1]KPI_Weights!$B$5,V680*[1]KPI_Weights!$B$6,W680*[1]KPI_Weights!$B$7,X680*[1]KPI_Weights!$B$8,Y680*[1]KPI_Weights!$B$9,Z680*[1]KPI_Weights!$B$10,AA680*[1]KPI_Weights!$B$11,AB680*[1]KPI_Weights!$B$12,AC680*[1]KPI_Weights!$B$13,AD680*[1]KPI_Weights!$B$14,AE680*[1]KPI_Weights!$B$15,AF680*[1]KPI_Weights!$B$16,AG680*[1]KPI_Weights!$B$17,AH680*[1]KPI_Weights!$B$18))/5)</f>
        <v/>
      </c>
      <c r="AL680" s="29" t="str">
        <f>IF(COUNTA(T680:AH680)=0,"",IF(OR(T680&lt;=1,W680&lt;=1,X680&lt;=1,Y680&lt;=1,AB680&lt;=1),"YES","NO"))</f>
        <v/>
      </c>
      <c r="AM680" s="29" t="str">
        <f>IF(AJ680="","",IF(AND(AL680="NO",AJ680&gt;=0.75),"YES","NO"))</f>
        <v/>
      </c>
      <c r="AN680" s="29" t="str">
        <f>IF(AJ680="","",IF(AJ680&lt;0.4,"Critical",IF(AJ680&lt;0.6,"Poor",IF(AJ680&lt;0.75,"Needs Improvement",IF(AJ680&lt;0.9,"Good","Excellent")))))</f>
        <v/>
      </c>
    </row>
    <row r="681" spans="1:40" ht="15" customHeight="1" x14ac:dyDescent="0.25">
      <c r="A681" s="29" t="str">
        <f>IF($B681="","",TEXT($B681,"yyyymmdd")&amp;"-"&amp;SUBSTITUTE($F681," ","")&amp;"-"&amp;TEXT(COUNTIF($F$4:F681,$F681),"00"))</f>
        <v/>
      </c>
      <c r="C681" s="29" t="str">
        <f>IF($B681="","",WEEKNUM($B681,2))</f>
        <v/>
      </c>
      <c r="D681" s="29" t="str">
        <f>IF($B681="","",TEXT($B681,"yyyy-mm"))</f>
        <v/>
      </c>
      <c r="G681" s="29" t="str">
        <f>IF(OR($E681="",$F681=""),"",IFERROR(IF($E681=INDEX([1]Cluster_Master!$A$4:$A$18,MATCH($F681,[1]Cluster_Master!$B$4:$B$18,0)),"OK","CHECK"),"CHECK"))</f>
        <v/>
      </c>
      <c r="H681" s="29" t="str">
        <f>IFERROR(INDEX([1]Cluster_Master!$C$4:$C$18,MATCH($F681,[1]Cluster_Master!$B$4:$B$18,0)),"")</f>
        <v/>
      </c>
      <c r="I681" s="29" t="str">
        <f>IFERROR(INDEX([1]Cluster_Master!$D$4:$D$18,MATCH($F681,[1]Cluster_Master!$B$4:$B$18,0)),"")</f>
        <v/>
      </c>
      <c r="J681" s="29" t="str">
        <f>IFERROR(INDEX([1]Cluster_Master!$E$4:$E$18,MATCH($F681,[1]Cluster_Master!$B$4:$B$18,0)),"")</f>
        <v/>
      </c>
      <c r="K681" s="29" t="str">
        <f>IFERROR(INDEX([1]Cluster_Master!$F$4:$F$18,MATCH($F681,[1]Cluster_Master!$B$4:$B$18,0)),"")</f>
        <v/>
      </c>
      <c r="L681" s="29" t="str">
        <f>IFERROR(INDEX([1]Cluster_Master!$G$4:$G$18,MATCH($F681,[1]Cluster_Master!$B$4:$B$18,0)),"")</f>
        <v/>
      </c>
      <c r="M681" s="29" t="str">
        <f>IFERROR(INDEX([1]Cluster_Master!$H$4:$H$18,MATCH($F681,[1]Cluster_Master!$B$4:$B$18,0)),"")</f>
        <v/>
      </c>
      <c r="AI681" s="29" t="str">
        <f>IF(COUNTA(T681:AH681)=0,"",SUM(T681:AH681))</f>
        <v/>
      </c>
      <c r="AJ681" s="29" t="str">
        <f>IF(COUNTA(T681:AH681)=0,"",AI681/75)</f>
        <v/>
      </c>
      <c r="AK681" s="29" t="str">
        <f>IF(COUNTA(T681:AH681)=0,"",(SUM(T681*[1]KPI_Weights!$B$4,U681*[1]KPI_Weights!$B$5,V681*[1]KPI_Weights!$B$6,W681*[1]KPI_Weights!$B$7,X681*[1]KPI_Weights!$B$8,Y681*[1]KPI_Weights!$B$9,Z681*[1]KPI_Weights!$B$10,AA681*[1]KPI_Weights!$B$11,AB681*[1]KPI_Weights!$B$12,AC681*[1]KPI_Weights!$B$13,AD681*[1]KPI_Weights!$B$14,AE681*[1]KPI_Weights!$B$15,AF681*[1]KPI_Weights!$B$16,AG681*[1]KPI_Weights!$B$17,AH681*[1]KPI_Weights!$B$18))/5)</f>
        <v/>
      </c>
      <c r="AL681" s="29" t="str">
        <f>IF(COUNTA(T681:AH681)=0,"",IF(OR(T681&lt;=1,W681&lt;=1,X681&lt;=1,Y681&lt;=1,AB681&lt;=1),"YES","NO"))</f>
        <v/>
      </c>
      <c r="AM681" s="29" t="str">
        <f>IF(AJ681="","",IF(AND(AL681="NO",AJ681&gt;=0.75),"YES","NO"))</f>
        <v/>
      </c>
      <c r="AN681" s="29" t="str">
        <f>IF(AJ681="","",IF(AJ681&lt;0.4,"Critical",IF(AJ681&lt;0.6,"Poor",IF(AJ681&lt;0.75,"Needs Improvement",IF(AJ681&lt;0.9,"Good","Excellent")))))</f>
        <v/>
      </c>
    </row>
    <row r="682" spans="1:40" ht="15" customHeight="1" x14ac:dyDescent="0.25">
      <c r="A682" s="29" t="str">
        <f>IF($B682="","",TEXT($B682,"yyyymmdd")&amp;"-"&amp;SUBSTITUTE($F682," ","")&amp;"-"&amp;TEXT(COUNTIF($F$4:F682,$F682),"00"))</f>
        <v/>
      </c>
      <c r="C682" s="29" t="str">
        <f>IF($B682="","",WEEKNUM($B682,2))</f>
        <v/>
      </c>
      <c r="D682" s="29" t="str">
        <f>IF($B682="","",TEXT($B682,"yyyy-mm"))</f>
        <v/>
      </c>
      <c r="G682" s="29" t="str">
        <f>IF(OR($E682="",$F682=""),"",IFERROR(IF($E682=INDEX([1]Cluster_Master!$A$4:$A$18,MATCH($F682,[1]Cluster_Master!$B$4:$B$18,0)),"OK","CHECK"),"CHECK"))</f>
        <v/>
      </c>
      <c r="H682" s="29" t="str">
        <f>IFERROR(INDEX([1]Cluster_Master!$C$4:$C$18,MATCH($F682,[1]Cluster_Master!$B$4:$B$18,0)),"")</f>
        <v/>
      </c>
      <c r="I682" s="29" t="str">
        <f>IFERROR(INDEX([1]Cluster_Master!$D$4:$D$18,MATCH($F682,[1]Cluster_Master!$B$4:$B$18,0)),"")</f>
        <v/>
      </c>
      <c r="J682" s="29" t="str">
        <f>IFERROR(INDEX([1]Cluster_Master!$E$4:$E$18,MATCH($F682,[1]Cluster_Master!$B$4:$B$18,0)),"")</f>
        <v/>
      </c>
      <c r="K682" s="29" t="str">
        <f>IFERROR(INDEX([1]Cluster_Master!$F$4:$F$18,MATCH($F682,[1]Cluster_Master!$B$4:$B$18,0)),"")</f>
        <v/>
      </c>
      <c r="L682" s="29" t="str">
        <f>IFERROR(INDEX([1]Cluster_Master!$G$4:$G$18,MATCH($F682,[1]Cluster_Master!$B$4:$B$18,0)),"")</f>
        <v/>
      </c>
      <c r="M682" s="29" t="str">
        <f>IFERROR(INDEX([1]Cluster_Master!$H$4:$H$18,MATCH($F682,[1]Cluster_Master!$B$4:$B$18,0)),"")</f>
        <v/>
      </c>
      <c r="AI682" s="29" t="str">
        <f>IF(COUNTA(T682:AH682)=0,"",SUM(T682:AH682))</f>
        <v/>
      </c>
      <c r="AJ682" s="29" t="str">
        <f>IF(COUNTA(T682:AH682)=0,"",AI682/75)</f>
        <v/>
      </c>
      <c r="AK682" s="29" t="str">
        <f>IF(COUNTA(T682:AH682)=0,"",(SUM(T682*[1]KPI_Weights!$B$4,U682*[1]KPI_Weights!$B$5,V682*[1]KPI_Weights!$B$6,W682*[1]KPI_Weights!$B$7,X682*[1]KPI_Weights!$B$8,Y682*[1]KPI_Weights!$B$9,Z682*[1]KPI_Weights!$B$10,AA682*[1]KPI_Weights!$B$11,AB682*[1]KPI_Weights!$B$12,AC682*[1]KPI_Weights!$B$13,AD682*[1]KPI_Weights!$B$14,AE682*[1]KPI_Weights!$B$15,AF682*[1]KPI_Weights!$B$16,AG682*[1]KPI_Weights!$B$17,AH682*[1]KPI_Weights!$B$18))/5)</f>
        <v/>
      </c>
      <c r="AL682" s="29" t="str">
        <f>IF(COUNTA(T682:AH682)=0,"",IF(OR(T682&lt;=1,W682&lt;=1,X682&lt;=1,Y682&lt;=1,AB682&lt;=1),"YES","NO"))</f>
        <v/>
      </c>
      <c r="AM682" s="29" t="str">
        <f>IF(AJ682="","",IF(AND(AL682="NO",AJ682&gt;=0.75),"YES","NO"))</f>
        <v/>
      </c>
      <c r="AN682" s="29" t="str">
        <f>IF(AJ682="","",IF(AJ682&lt;0.4,"Critical",IF(AJ682&lt;0.6,"Poor",IF(AJ682&lt;0.75,"Needs Improvement",IF(AJ682&lt;0.9,"Good","Excellent")))))</f>
        <v/>
      </c>
    </row>
    <row r="683" spans="1:40" ht="15" customHeight="1" x14ac:dyDescent="0.25">
      <c r="A683" s="29" t="str">
        <f>IF($B683="","",TEXT($B683,"yyyymmdd")&amp;"-"&amp;SUBSTITUTE($F683," ","")&amp;"-"&amp;TEXT(COUNTIF($F$4:F683,$F683),"00"))</f>
        <v/>
      </c>
      <c r="C683" s="29" t="str">
        <f>IF($B683="","",WEEKNUM($B683,2))</f>
        <v/>
      </c>
      <c r="D683" s="29" t="str">
        <f>IF($B683="","",TEXT($B683,"yyyy-mm"))</f>
        <v/>
      </c>
      <c r="G683" s="29" t="str">
        <f>IF(OR($E683="",$F683=""),"",IFERROR(IF($E683=INDEX([1]Cluster_Master!$A$4:$A$18,MATCH($F683,[1]Cluster_Master!$B$4:$B$18,0)),"OK","CHECK"),"CHECK"))</f>
        <v/>
      </c>
      <c r="H683" s="29" t="str">
        <f>IFERROR(INDEX([1]Cluster_Master!$C$4:$C$18,MATCH($F683,[1]Cluster_Master!$B$4:$B$18,0)),"")</f>
        <v/>
      </c>
      <c r="I683" s="29" t="str">
        <f>IFERROR(INDEX([1]Cluster_Master!$D$4:$D$18,MATCH($F683,[1]Cluster_Master!$B$4:$B$18,0)),"")</f>
        <v/>
      </c>
      <c r="J683" s="29" t="str">
        <f>IFERROR(INDEX([1]Cluster_Master!$E$4:$E$18,MATCH($F683,[1]Cluster_Master!$B$4:$B$18,0)),"")</f>
        <v/>
      </c>
      <c r="K683" s="29" t="str">
        <f>IFERROR(INDEX([1]Cluster_Master!$F$4:$F$18,MATCH($F683,[1]Cluster_Master!$B$4:$B$18,0)),"")</f>
        <v/>
      </c>
      <c r="L683" s="29" t="str">
        <f>IFERROR(INDEX([1]Cluster_Master!$G$4:$G$18,MATCH($F683,[1]Cluster_Master!$B$4:$B$18,0)),"")</f>
        <v/>
      </c>
      <c r="M683" s="29" t="str">
        <f>IFERROR(INDEX([1]Cluster_Master!$H$4:$H$18,MATCH($F683,[1]Cluster_Master!$B$4:$B$18,0)),"")</f>
        <v/>
      </c>
      <c r="AI683" s="29" t="str">
        <f>IF(COUNTA(T683:AH683)=0,"",SUM(T683:AH683))</f>
        <v/>
      </c>
      <c r="AJ683" s="29" t="str">
        <f>IF(COUNTA(T683:AH683)=0,"",AI683/75)</f>
        <v/>
      </c>
      <c r="AK683" s="29" t="str">
        <f>IF(COUNTA(T683:AH683)=0,"",(SUM(T683*[1]KPI_Weights!$B$4,U683*[1]KPI_Weights!$B$5,V683*[1]KPI_Weights!$B$6,W683*[1]KPI_Weights!$B$7,X683*[1]KPI_Weights!$B$8,Y683*[1]KPI_Weights!$B$9,Z683*[1]KPI_Weights!$B$10,AA683*[1]KPI_Weights!$B$11,AB683*[1]KPI_Weights!$B$12,AC683*[1]KPI_Weights!$B$13,AD683*[1]KPI_Weights!$B$14,AE683*[1]KPI_Weights!$B$15,AF683*[1]KPI_Weights!$B$16,AG683*[1]KPI_Weights!$B$17,AH683*[1]KPI_Weights!$B$18))/5)</f>
        <v/>
      </c>
      <c r="AL683" s="29" t="str">
        <f>IF(COUNTA(T683:AH683)=0,"",IF(OR(T683&lt;=1,W683&lt;=1,X683&lt;=1,Y683&lt;=1,AB683&lt;=1),"YES","NO"))</f>
        <v/>
      </c>
      <c r="AM683" s="29" t="str">
        <f>IF(AJ683="","",IF(AND(AL683="NO",AJ683&gt;=0.75),"YES","NO"))</f>
        <v/>
      </c>
      <c r="AN683" s="29" t="str">
        <f>IF(AJ683="","",IF(AJ683&lt;0.4,"Critical",IF(AJ683&lt;0.6,"Poor",IF(AJ683&lt;0.75,"Needs Improvement",IF(AJ683&lt;0.9,"Good","Excellent")))))</f>
        <v/>
      </c>
    </row>
    <row r="684" spans="1:40" ht="15" customHeight="1" x14ac:dyDescent="0.25">
      <c r="A684" s="29" t="str">
        <f>IF($B684="","",TEXT($B684,"yyyymmdd")&amp;"-"&amp;SUBSTITUTE($F684," ","")&amp;"-"&amp;TEXT(COUNTIF($F$4:F684,$F684),"00"))</f>
        <v/>
      </c>
      <c r="C684" s="29" t="str">
        <f>IF($B684="","",WEEKNUM($B684,2))</f>
        <v/>
      </c>
      <c r="D684" s="29" t="str">
        <f>IF($B684="","",TEXT($B684,"yyyy-mm"))</f>
        <v/>
      </c>
      <c r="G684" s="29" t="str">
        <f>IF(OR($E684="",$F684=""),"",IFERROR(IF($E684=INDEX([1]Cluster_Master!$A$4:$A$18,MATCH($F684,[1]Cluster_Master!$B$4:$B$18,0)),"OK","CHECK"),"CHECK"))</f>
        <v/>
      </c>
      <c r="H684" s="29" t="str">
        <f>IFERROR(INDEX([1]Cluster_Master!$C$4:$C$18,MATCH($F684,[1]Cluster_Master!$B$4:$B$18,0)),"")</f>
        <v/>
      </c>
      <c r="I684" s="29" t="str">
        <f>IFERROR(INDEX([1]Cluster_Master!$D$4:$D$18,MATCH($F684,[1]Cluster_Master!$B$4:$B$18,0)),"")</f>
        <v/>
      </c>
      <c r="J684" s="29" t="str">
        <f>IFERROR(INDEX([1]Cluster_Master!$E$4:$E$18,MATCH($F684,[1]Cluster_Master!$B$4:$B$18,0)),"")</f>
        <v/>
      </c>
      <c r="K684" s="29" t="str">
        <f>IFERROR(INDEX([1]Cluster_Master!$F$4:$F$18,MATCH($F684,[1]Cluster_Master!$B$4:$B$18,0)),"")</f>
        <v/>
      </c>
      <c r="L684" s="29" t="str">
        <f>IFERROR(INDEX([1]Cluster_Master!$G$4:$G$18,MATCH($F684,[1]Cluster_Master!$B$4:$B$18,0)),"")</f>
        <v/>
      </c>
      <c r="M684" s="29" t="str">
        <f>IFERROR(INDEX([1]Cluster_Master!$H$4:$H$18,MATCH($F684,[1]Cluster_Master!$B$4:$B$18,0)),"")</f>
        <v/>
      </c>
      <c r="AI684" s="29" t="str">
        <f>IF(COUNTA(T684:AH684)=0,"",SUM(T684:AH684))</f>
        <v/>
      </c>
      <c r="AJ684" s="29" t="str">
        <f>IF(COUNTA(T684:AH684)=0,"",AI684/75)</f>
        <v/>
      </c>
      <c r="AK684" s="29" t="str">
        <f>IF(COUNTA(T684:AH684)=0,"",(SUM(T684*[1]KPI_Weights!$B$4,U684*[1]KPI_Weights!$B$5,V684*[1]KPI_Weights!$B$6,W684*[1]KPI_Weights!$B$7,X684*[1]KPI_Weights!$B$8,Y684*[1]KPI_Weights!$B$9,Z684*[1]KPI_Weights!$B$10,AA684*[1]KPI_Weights!$B$11,AB684*[1]KPI_Weights!$B$12,AC684*[1]KPI_Weights!$B$13,AD684*[1]KPI_Weights!$B$14,AE684*[1]KPI_Weights!$B$15,AF684*[1]KPI_Weights!$B$16,AG684*[1]KPI_Weights!$B$17,AH684*[1]KPI_Weights!$B$18))/5)</f>
        <v/>
      </c>
      <c r="AL684" s="29" t="str">
        <f>IF(COUNTA(T684:AH684)=0,"",IF(OR(T684&lt;=1,W684&lt;=1,X684&lt;=1,Y684&lt;=1,AB684&lt;=1),"YES","NO"))</f>
        <v/>
      </c>
      <c r="AM684" s="29" t="str">
        <f>IF(AJ684="","",IF(AND(AL684="NO",AJ684&gt;=0.75),"YES","NO"))</f>
        <v/>
      </c>
      <c r="AN684" s="29" t="str">
        <f>IF(AJ684="","",IF(AJ684&lt;0.4,"Critical",IF(AJ684&lt;0.6,"Poor",IF(AJ684&lt;0.75,"Needs Improvement",IF(AJ684&lt;0.9,"Good","Excellent")))))</f>
        <v/>
      </c>
    </row>
    <row r="685" spans="1:40" ht="15" customHeight="1" x14ac:dyDescent="0.25">
      <c r="A685" s="29" t="str">
        <f>IF($B685="","",TEXT($B685,"yyyymmdd")&amp;"-"&amp;SUBSTITUTE($F685," ","")&amp;"-"&amp;TEXT(COUNTIF($F$4:F685,$F685),"00"))</f>
        <v/>
      </c>
      <c r="C685" s="29" t="str">
        <f>IF($B685="","",WEEKNUM($B685,2))</f>
        <v/>
      </c>
      <c r="D685" s="29" t="str">
        <f>IF($B685="","",TEXT($B685,"yyyy-mm"))</f>
        <v/>
      </c>
      <c r="G685" s="29" t="str">
        <f>IF(OR($E685="",$F685=""),"",IFERROR(IF($E685=INDEX([1]Cluster_Master!$A$4:$A$18,MATCH($F685,[1]Cluster_Master!$B$4:$B$18,0)),"OK","CHECK"),"CHECK"))</f>
        <v/>
      </c>
      <c r="H685" s="29" t="str">
        <f>IFERROR(INDEX([1]Cluster_Master!$C$4:$C$18,MATCH($F685,[1]Cluster_Master!$B$4:$B$18,0)),"")</f>
        <v/>
      </c>
      <c r="I685" s="29" t="str">
        <f>IFERROR(INDEX([1]Cluster_Master!$D$4:$D$18,MATCH($F685,[1]Cluster_Master!$B$4:$B$18,0)),"")</f>
        <v/>
      </c>
      <c r="J685" s="29" t="str">
        <f>IFERROR(INDEX([1]Cluster_Master!$E$4:$E$18,MATCH($F685,[1]Cluster_Master!$B$4:$B$18,0)),"")</f>
        <v/>
      </c>
      <c r="K685" s="29" t="str">
        <f>IFERROR(INDEX([1]Cluster_Master!$F$4:$F$18,MATCH($F685,[1]Cluster_Master!$B$4:$B$18,0)),"")</f>
        <v/>
      </c>
      <c r="L685" s="29" t="str">
        <f>IFERROR(INDEX([1]Cluster_Master!$G$4:$G$18,MATCH($F685,[1]Cluster_Master!$B$4:$B$18,0)),"")</f>
        <v/>
      </c>
      <c r="M685" s="29" t="str">
        <f>IFERROR(INDEX([1]Cluster_Master!$H$4:$H$18,MATCH($F685,[1]Cluster_Master!$B$4:$B$18,0)),"")</f>
        <v/>
      </c>
      <c r="AI685" s="29" t="str">
        <f>IF(COUNTA(T685:AH685)=0,"",SUM(T685:AH685))</f>
        <v/>
      </c>
      <c r="AJ685" s="29" t="str">
        <f>IF(COUNTA(T685:AH685)=0,"",AI685/75)</f>
        <v/>
      </c>
      <c r="AK685" s="29" t="str">
        <f>IF(COUNTA(T685:AH685)=0,"",(SUM(T685*[1]KPI_Weights!$B$4,U685*[1]KPI_Weights!$B$5,V685*[1]KPI_Weights!$B$6,W685*[1]KPI_Weights!$B$7,X685*[1]KPI_Weights!$B$8,Y685*[1]KPI_Weights!$B$9,Z685*[1]KPI_Weights!$B$10,AA685*[1]KPI_Weights!$B$11,AB685*[1]KPI_Weights!$B$12,AC685*[1]KPI_Weights!$B$13,AD685*[1]KPI_Weights!$B$14,AE685*[1]KPI_Weights!$B$15,AF685*[1]KPI_Weights!$B$16,AG685*[1]KPI_Weights!$B$17,AH685*[1]KPI_Weights!$B$18))/5)</f>
        <v/>
      </c>
      <c r="AL685" s="29" t="str">
        <f>IF(COUNTA(T685:AH685)=0,"",IF(OR(T685&lt;=1,W685&lt;=1,X685&lt;=1,Y685&lt;=1,AB685&lt;=1),"YES","NO"))</f>
        <v/>
      </c>
      <c r="AM685" s="29" t="str">
        <f>IF(AJ685="","",IF(AND(AL685="NO",AJ685&gt;=0.75),"YES","NO"))</f>
        <v/>
      </c>
      <c r="AN685" s="29" t="str">
        <f>IF(AJ685="","",IF(AJ685&lt;0.4,"Critical",IF(AJ685&lt;0.6,"Poor",IF(AJ685&lt;0.75,"Needs Improvement",IF(AJ685&lt;0.9,"Good","Excellent")))))</f>
        <v/>
      </c>
    </row>
    <row r="686" spans="1:40" ht="15" customHeight="1" x14ac:dyDescent="0.25">
      <c r="A686" s="29" t="str">
        <f>IF($B686="","",TEXT($B686,"yyyymmdd")&amp;"-"&amp;SUBSTITUTE($F686," ","")&amp;"-"&amp;TEXT(COUNTIF($F$4:F686,$F686),"00"))</f>
        <v/>
      </c>
      <c r="C686" s="29" t="str">
        <f>IF($B686="","",WEEKNUM($B686,2))</f>
        <v/>
      </c>
      <c r="D686" s="29" t="str">
        <f>IF($B686="","",TEXT($B686,"yyyy-mm"))</f>
        <v/>
      </c>
      <c r="G686" s="29" t="str">
        <f>IF(OR($E686="",$F686=""),"",IFERROR(IF($E686=INDEX([1]Cluster_Master!$A$4:$A$18,MATCH($F686,[1]Cluster_Master!$B$4:$B$18,0)),"OK","CHECK"),"CHECK"))</f>
        <v/>
      </c>
      <c r="H686" s="29" t="str">
        <f>IFERROR(INDEX([1]Cluster_Master!$C$4:$C$18,MATCH($F686,[1]Cluster_Master!$B$4:$B$18,0)),"")</f>
        <v/>
      </c>
      <c r="I686" s="29" t="str">
        <f>IFERROR(INDEX([1]Cluster_Master!$D$4:$D$18,MATCH($F686,[1]Cluster_Master!$B$4:$B$18,0)),"")</f>
        <v/>
      </c>
      <c r="J686" s="29" t="str">
        <f>IFERROR(INDEX([1]Cluster_Master!$E$4:$E$18,MATCH($F686,[1]Cluster_Master!$B$4:$B$18,0)),"")</f>
        <v/>
      </c>
      <c r="K686" s="29" t="str">
        <f>IFERROR(INDEX([1]Cluster_Master!$F$4:$F$18,MATCH($F686,[1]Cluster_Master!$B$4:$B$18,0)),"")</f>
        <v/>
      </c>
      <c r="L686" s="29" t="str">
        <f>IFERROR(INDEX([1]Cluster_Master!$G$4:$G$18,MATCH($F686,[1]Cluster_Master!$B$4:$B$18,0)),"")</f>
        <v/>
      </c>
      <c r="M686" s="29" t="str">
        <f>IFERROR(INDEX([1]Cluster_Master!$H$4:$H$18,MATCH($F686,[1]Cluster_Master!$B$4:$B$18,0)),"")</f>
        <v/>
      </c>
      <c r="AI686" s="29" t="str">
        <f>IF(COUNTA(T686:AH686)=0,"",SUM(T686:AH686))</f>
        <v/>
      </c>
      <c r="AJ686" s="29" t="str">
        <f>IF(COUNTA(T686:AH686)=0,"",AI686/75)</f>
        <v/>
      </c>
      <c r="AK686" s="29" t="str">
        <f>IF(COUNTA(T686:AH686)=0,"",(SUM(T686*[1]KPI_Weights!$B$4,U686*[1]KPI_Weights!$B$5,V686*[1]KPI_Weights!$B$6,W686*[1]KPI_Weights!$B$7,X686*[1]KPI_Weights!$B$8,Y686*[1]KPI_Weights!$B$9,Z686*[1]KPI_Weights!$B$10,AA686*[1]KPI_Weights!$B$11,AB686*[1]KPI_Weights!$B$12,AC686*[1]KPI_Weights!$B$13,AD686*[1]KPI_Weights!$B$14,AE686*[1]KPI_Weights!$B$15,AF686*[1]KPI_Weights!$B$16,AG686*[1]KPI_Weights!$B$17,AH686*[1]KPI_Weights!$B$18))/5)</f>
        <v/>
      </c>
      <c r="AL686" s="29" t="str">
        <f>IF(COUNTA(T686:AH686)=0,"",IF(OR(T686&lt;=1,W686&lt;=1,X686&lt;=1,Y686&lt;=1,AB686&lt;=1),"YES","NO"))</f>
        <v/>
      </c>
      <c r="AM686" s="29" t="str">
        <f>IF(AJ686="","",IF(AND(AL686="NO",AJ686&gt;=0.75),"YES","NO"))</f>
        <v/>
      </c>
      <c r="AN686" s="29" t="str">
        <f>IF(AJ686="","",IF(AJ686&lt;0.4,"Critical",IF(AJ686&lt;0.6,"Poor",IF(AJ686&lt;0.75,"Needs Improvement",IF(AJ686&lt;0.9,"Good","Excellent")))))</f>
        <v/>
      </c>
    </row>
    <row r="687" spans="1:40" ht="15" customHeight="1" x14ac:dyDescent="0.25">
      <c r="A687" s="29" t="str">
        <f>IF($B687="","",TEXT($B687,"yyyymmdd")&amp;"-"&amp;SUBSTITUTE($F687," ","")&amp;"-"&amp;TEXT(COUNTIF($F$4:F687,$F687),"00"))</f>
        <v/>
      </c>
      <c r="C687" s="29" t="str">
        <f>IF($B687="","",WEEKNUM($B687,2))</f>
        <v/>
      </c>
      <c r="D687" s="29" t="str">
        <f>IF($B687="","",TEXT($B687,"yyyy-mm"))</f>
        <v/>
      </c>
      <c r="G687" s="29" t="str">
        <f>IF(OR($E687="",$F687=""),"",IFERROR(IF($E687=INDEX([1]Cluster_Master!$A$4:$A$18,MATCH($F687,[1]Cluster_Master!$B$4:$B$18,0)),"OK","CHECK"),"CHECK"))</f>
        <v/>
      </c>
      <c r="H687" s="29" t="str">
        <f>IFERROR(INDEX([1]Cluster_Master!$C$4:$C$18,MATCH($F687,[1]Cluster_Master!$B$4:$B$18,0)),"")</f>
        <v/>
      </c>
      <c r="I687" s="29" t="str">
        <f>IFERROR(INDEX([1]Cluster_Master!$D$4:$D$18,MATCH($F687,[1]Cluster_Master!$B$4:$B$18,0)),"")</f>
        <v/>
      </c>
      <c r="J687" s="29" t="str">
        <f>IFERROR(INDEX([1]Cluster_Master!$E$4:$E$18,MATCH($F687,[1]Cluster_Master!$B$4:$B$18,0)),"")</f>
        <v/>
      </c>
      <c r="K687" s="29" t="str">
        <f>IFERROR(INDEX([1]Cluster_Master!$F$4:$F$18,MATCH($F687,[1]Cluster_Master!$B$4:$B$18,0)),"")</f>
        <v/>
      </c>
      <c r="L687" s="29" t="str">
        <f>IFERROR(INDEX([1]Cluster_Master!$G$4:$G$18,MATCH($F687,[1]Cluster_Master!$B$4:$B$18,0)),"")</f>
        <v/>
      </c>
      <c r="M687" s="29" t="str">
        <f>IFERROR(INDEX([1]Cluster_Master!$H$4:$H$18,MATCH($F687,[1]Cluster_Master!$B$4:$B$18,0)),"")</f>
        <v/>
      </c>
      <c r="AI687" s="29" t="str">
        <f>IF(COUNTA(T687:AH687)=0,"",SUM(T687:AH687))</f>
        <v/>
      </c>
      <c r="AJ687" s="29" t="str">
        <f>IF(COUNTA(T687:AH687)=0,"",AI687/75)</f>
        <v/>
      </c>
      <c r="AK687" s="29" t="str">
        <f>IF(COUNTA(T687:AH687)=0,"",(SUM(T687*[1]KPI_Weights!$B$4,U687*[1]KPI_Weights!$B$5,V687*[1]KPI_Weights!$B$6,W687*[1]KPI_Weights!$B$7,X687*[1]KPI_Weights!$B$8,Y687*[1]KPI_Weights!$B$9,Z687*[1]KPI_Weights!$B$10,AA687*[1]KPI_Weights!$B$11,AB687*[1]KPI_Weights!$B$12,AC687*[1]KPI_Weights!$B$13,AD687*[1]KPI_Weights!$B$14,AE687*[1]KPI_Weights!$B$15,AF687*[1]KPI_Weights!$B$16,AG687*[1]KPI_Weights!$B$17,AH687*[1]KPI_Weights!$B$18))/5)</f>
        <v/>
      </c>
      <c r="AL687" s="29" t="str">
        <f>IF(COUNTA(T687:AH687)=0,"",IF(OR(T687&lt;=1,W687&lt;=1,X687&lt;=1,Y687&lt;=1,AB687&lt;=1),"YES","NO"))</f>
        <v/>
      </c>
      <c r="AM687" s="29" t="str">
        <f>IF(AJ687="","",IF(AND(AL687="NO",AJ687&gt;=0.75),"YES","NO"))</f>
        <v/>
      </c>
      <c r="AN687" s="29" t="str">
        <f>IF(AJ687="","",IF(AJ687&lt;0.4,"Critical",IF(AJ687&lt;0.6,"Poor",IF(AJ687&lt;0.75,"Needs Improvement",IF(AJ687&lt;0.9,"Good","Excellent")))))</f>
        <v/>
      </c>
    </row>
    <row r="688" spans="1:40" ht="15" customHeight="1" x14ac:dyDescent="0.25">
      <c r="A688" s="29" t="str">
        <f>IF($B688="","",TEXT($B688,"yyyymmdd")&amp;"-"&amp;SUBSTITUTE($F688," ","")&amp;"-"&amp;TEXT(COUNTIF($F$4:F688,$F688),"00"))</f>
        <v/>
      </c>
      <c r="C688" s="29" t="str">
        <f>IF($B688="","",WEEKNUM($B688,2))</f>
        <v/>
      </c>
      <c r="D688" s="29" t="str">
        <f>IF($B688="","",TEXT($B688,"yyyy-mm"))</f>
        <v/>
      </c>
      <c r="G688" s="29" t="str">
        <f>IF(OR($E688="",$F688=""),"",IFERROR(IF($E688=INDEX([1]Cluster_Master!$A$4:$A$18,MATCH($F688,[1]Cluster_Master!$B$4:$B$18,0)),"OK","CHECK"),"CHECK"))</f>
        <v/>
      </c>
      <c r="H688" s="29" t="str">
        <f>IFERROR(INDEX([1]Cluster_Master!$C$4:$C$18,MATCH($F688,[1]Cluster_Master!$B$4:$B$18,0)),"")</f>
        <v/>
      </c>
      <c r="I688" s="29" t="str">
        <f>IFERROR(INDEX([1]Cluster_Master!$D$4:$D$18,MATCH($F688,[1]Cluster_Master!$B$4:$B$18,0)),"")</f>
        <v/>
      </c>
      <c r="J688" s="29" t="str">
        <f>IFERROR(INDEX([1]Cluster_Master!$E$4:$E$18,MATCH($F688,[1]Cluster_Master!$B$4:$B$18,0)),"")</f>
        <v/>
      </c>
      <c r="K688" s="29" t="str">
        <f>IFERROR(INDEX([1]Cluster_Master!$F$4:$F$18,MATCH($F688,[1]Cluster_Master!$B$4:$B$18,0)),"")</f>
        <v/>
      </c>
      <c r="L688" s="29" t="str">
        <f>IFERROR(INDEX([1]Cluster_Master!$G$4:$G$18,MATCH($F688,[1]Cluster_Master!$B$4:$B$18,0)),"")</f>
        <v/>
      </c>
      <c r="M688" s="29" t="str">
        <f>IFERROR(INDEX([1]Cluster_Master!$H$4:$H$18,MATCH($F688,[1]Cluster_Master!$B$4:$B$18,0)),"")</f>
        <v/>
      </c>
      <c r="AI688" s="29" t="str">
        <f>IF(COUNTA(T688:AH688)=0,"",SUM(T688:AH688))</f>
        <v/>
      </c>
      <c r="AJ688" s="29" t="str">
        <f>IF(COUNTA(T688:AH688)=0,"",AI688/75)</f>
        <v/>
      </c>
      <c r="AK688" s="29" t="str">
        <f>IF(COUNTA(T688:AH688)=0,"",(SUM(T688*[1]KPI_Weights!$B$4,U688*[1]KPI_Weights!$B$5,V688*[1]KPI_Weights!$B$6,W688*[1]KPI_Weights!$B$7,X688*[1]KPI_Weights!$B$8,Y688*[1]KPI_Weights!$B$9,Z688*[1]KPI_Weights!$B$10,AA688*[1]KPI_Weights!$B$11,AB688*[1]KPI_Weights!$B$12,AC688*[1]KPI_Weights!$B$13,AD688*[1]KPI_Weights!$B$14,AE688*[1]KPI_Weights!$B$15,AF688*[1]KPI_Weights!$B$16,AG688*[1]KPI_Weights!$B$17,AH688*[1]KPI_Weights!$B$18))/5)</f>
        <v/>
      </c>
      <c r="AL688" s="29" t="str">
        <f>IF(COUNTA(T688:AH688)=0,"",IF(OR(T688&lt;=1,W688&lt;=1,X688&lt;=1,Y688&lt;=1,AB688&lt;=1),"YES","NO"))</f>
        <v/>
      </c>
      <c r="AM688" s="29" t="str">
        <f>IF(AJ688="","",IF(AND(AL688="NO",AJ688&gt;=0.75),"YES","NO"))</f>
        <v/>
      </c>
      <c r="AN688" s="29" t="str">
        <f>IF(AJ688="","",IF(AJ688&lt;0.4,"Critical",IF(AJ688&lt;0.6,"Poor",IF(AJ688&lt;0.75,"Needs Improvement",IF(AJ688&lt;0.9,"Good","Excellent")))))</f>
        <v/>
      </c>
    </row>
    <row r="689" spans="1:40" ht="15" customHeight="1" x14ac:dyDescent="0.25">
      <c r="A689" s="29" t="str">
        <f>IF($B689="","",TEXT($B689,"yyyymmdd")&amp;"-"&amp;SUBSTITUTE($F689," ","")&amp;"-"&amp;TEXT(COUNTIF($F$4:F689,$F689),"00"))</f>
        <v/>
      </c>
      <c r="C689" s="29" t="str">
        <f>IF($B689="","",WEEKNUM($B689,2))</f>
        <v/>
      </c>
      <c r="D689" s="29" t="str">
        <f>IF($B689="","",TEXT($B689,"yyyy-mm"))</f>
        <v/>
      </c>
      <c r="G689" s="29" t="str">
        <f>IF(OR($E689="",$F689=""),"",IFERROR(IF($E689=INDEX([1]Cluster_Master!$A$4:$A$18,MATCH($F689,[1]Cluster_Master!$B$4:$B$18,0)),"OK","CHECK"),"CHECK"))</f>
        <v/>
      </c>
      <c r="H689" s="29" t="str">
        <f>IFERROR(INDEX([1]Cluster_Master!$C$4:$C$18,MATCH($F689,[1]Cluster_Master!$B$4:$B$18,0)),"")</f>
        <v/>
      </c>
      <c r="I689" s="29" t="str">
        <f>IFERROR(INDEX([1]Cluster_Master!$D$4:$D$18,MATCH($F689,[1]Cluster_Master!$B$4:$B$18,0)),"")</f>
        <v/>
      </c>
      <c r="J689" s="29" t="str">
        <f>IFERROR(INDEX([1]Cluster_Master!$E$4:$E$18,MATCH($F689,[1]Cluster_Master!$B$4:$B$18,0)),"")</f>
        <v/>
      </c>
      <c r="K689" s="29" t="str">
        <f>IFERROR(INDEX([1]Cluster_Master!$F$4:$F$18,MATCH($F689,[1]Cluster_Master!$B$4:$B$18,0)),"")</f>
        <v/>
      </c>
      <c r="L689" s="29" t="str">
        <f>IFERROR(INDEX([1]Cluster_Master!$G$4:$G$18,MATCH($F689,[1]Cluster_Master!$B$4:$B$18,0)),"")</f>
        <v/>
      </c>
      <c r="M689" s="29" t="str">
        <f>IFERROR(INDEX([1]Cluster_Master!$H$4:$H$18,MATCH($F689,[1]Cluster_Master!$B$4:$B$18,0)),"")</f>
        <v/>
      </c>
      <c r="AI689" s="29" t="str">
        <f>IF(COUNTA(T689:AH689)=0,"",SUM(T689:AH689))</f>
        <v/>
      </c>
      <c r="AJ689" s="29" t="str">
        <f>IF(COUNTA(T689:AH689)=0,"",AI689/75)</f>
        <v/>
      </c>
      <c r="AK689" s="29" t="str">
        <f>IF(COUNTA(T689:AH689)=0,"",(SUM(T689*[1]KPI_Weights!$B$4,U689*[1]KPI_Weights!$B$5,V689*[1]KPI_Weights!$B$6,W689*[1]KPI_Weights!$B$7,X689*[1]KPI_Weights!$B$8,Y689*[1]KPI_Weights!$B$9,Z689*[1]KPI_Weights!$B$10,AA689*[1]KPI_Weights!$B$11,AB689*[1]KPI_Weights!$B$12,AC689*[1]KPI_Weights!$B$13,AD689*[1]KPI_Weights!$B$14,AE689*[1]KPI_Weights!$B$15,AF689*[1]KPI_Weights!$B$16,AG689*[1]KPI_Weights!$B$17,AH689*[1]KPI_Weights!$B$18))/5)</f>
        <v/>
      </c>
      <c r="AL689" s="29" t="str">
        <f>IF(COUNTA(T689:AH689)=0,"",IF(OR(T689&lt;=1,W689&lt;=1,X689&lt;=1,Y689&lt;=1,AB689&lt;=1),"YES","NO"))</f>
        <v/>
      </c>
      <c r="AM689" s="29" t="str">
        <f>IF(AJ689="","",IF(AND(AL689="NO",AJ689&gt;=0.75),"YES","NO"))</f>
        <v/>
      </c>
      <c r="AN689" s="29" t="str">
        <f>IF(AJ689="","",IF(AJ689&lt;0.4,"Critical",IF(AJ689&lt;0.6,"Poor",IF(AJ689&lt;0.75,"Needs Improvement",IF(AJ689&lt;0.9,"Good","Excellent")))))</f>
        <v/>
      </c>
    </row>
    <row r="690" spans="1:40" ht="15" customHeight="1" x14ac:dyDescent="0.25">
      <c r="A690" s="29" t="str">
        <f>IF($B690="","",TEXT($B690,"yyyymmdd")&amp;"-"&amp;SUBSTITUTE($F690," ","")&amp;"-"&amp;TEXT(COUNTIF($F$4:F690,$F690),"00"))</f>
        <v/>
      </c>
      <c r="C690" s="29" t="str">
        <f>IF($B690="","",WEEKNUM($B690,2))</f>
        <v/>
      </c>
      <c r="D690" s="29" t="str">
        <f>IF($B690="","",TEXT($B690,"yyyy-mm"))</f>
        <v/>
      </c>
      <c r="G690" s="29" t="str">
        <f>IF(OR($E690="",$F690=""),"",IFERROR(IF($E690=INDEX([1]Cluster_Master!$A$4:$A$18,MATCH($F690,[1]Cluster_Master!$B$4:$B$18,0)),"OK","CHECK"),"CHECK"))</f>
        <v/>
      </c>
      <c r="H690" s="29" t="str">
        <f>IFERROR(INDEX([1]Cluster_Master!$C$4:$C$18,MATCH($F690,[1]Cluster_Master!$B$4:$B$18,0)),"")</f>
        <v/>
      </c>
      <c r="I690" s="29" t="str">
        <f>IFERROR(INDEX([1]Cluster_Master!$D$4:$D$18,MATCH($F690,[1]Cluster_Master!$B$4:$B$18,0)),"")</f>
        <v/>
      </c>
      <c r="J690" s="29" t="str">
        <f>IFERROR(INDEX([1]Cluster_Master!$E$4:$E$18,MATCH($F690,[1]Cluster_Master!$B$4:$B$18,0)),"")</f>
        <v/>
      </c>
      <c r="K690" s="29" t="str">
        <f>IFERROR(INDEX([1]Cluster_Master!$F$4:$F$18,MATCH($F690,[1]Cluster_Master!$B$4:$B$18,0)),"")</f>
        <v/>
      </c>
      <c r="L690" s="29" t="str">
        <f>IFERROR(INDEX([1]Cluster_Master!$G$4:$G$18,MATCH($F690,[1]Cluster_Master!$B$4:$B$18,0)),"")</f>
        <v/>
      </c>
      <c r="M690" s="29" t="str">
        <f>IFERROR(INDEX([1]Cluster_Master!$H$4:$H$18,MATCH($F690,[1]Cluster_Master!$B$4:$B$18,0)),"")</f>
        <v/>
      </c>
      <c r="AI690" s="29" t="str">
        <f>IF(COUNTA(T690:AH690)=0,"",SUM(T690:AH690))</f>
        <v/>
      </c>
      <c r="AJ690" s="29" t="str">
        <f>IF(COUNTA(T690:AH690)=0,"",AI690/75)</f>
        <v/>
      </c>
      <c r="AK690" s="29" t="str">
        <f>IF(COUNTA(T690:AH690)=0,"",(SUM(T690*[1]KPI_Weights!$B$4,U690*[1]KPI_Weights!$B$5,V690*[1]KPI_Weights!$B$6,W690*[1]KPI_Weights!$B$7,X690*[1]KPI_Weights!$B$8,Y690*[1]KPI_Weights!$B$9,Z690*[1]KPI_Weights!$B$10,AA690*[1]KPI_Weights!$B$11,AB690*[1]KPI_Weights!$B$12,AC690*[1]KPI_Weights!$B$13,AD690*[1]KPI_Weights!$B$14,AE690*[1]KPI_Weights!$B$15,AF690*[1]KPI_Weights!$B$16,AG690*[1]KPI_Weights!$B$17,AH690*[1]KPI_Weights!$B$18))/5)</f>
        <v/>
      </c>
      <c r="AL690" s="29" t="str">
        <f>IF(COUNTA(T690:AH690)=0,"",IF(OR(T690&lt;=1,W690&lt;=1,X690&lt;=1,Y690&lt;=1,AB690&lt;=1),"YES","NO"))</f>
        <v/>
      </c>
      <c r="AM690" s="29" t="str">
        <f>IF(AJ690="","",IF(AND(AL690="NO",AJ690&gt;=0.75),"YES","NO"))</f>
        <v/>
      </c>
      <c r="AN690" s="29" t="str">
        <f>IF(AJ690="","",IF(AJ690&lt;0.4,"Critical",IF(AJ690&lt;0.6,"Poor",IF(AJ690&lt;0.75,"Needs Improvement",IF(AJ690&lt;0.9,"Good","Excellent")))))</f>
        <v/>
      </c>
    </row>
    <row r="691" spans="1:40" ht="15" customHeight="1" x14ac:dyDescent="0.25">
      <c r="A691" s="29" t="str">
        <f>IF($B691="","",TEXT($B691,"yyyymmdd")&amp;"-"&amp;SUBSTITUTE($F691," ","")&amp;"-"&amp;TEXT(COUNTIF($F$4:F691,$F691),"00"))</f>
        <v/>
      </c>
      <c r="C691" s="29" t="str">
        <f>IF($B691="","",WEEKNUM($B691,2))</f>
        <v/>
      </c>
      <c r="D691" s="29" t="str">
        <f>IF($B691="","",TEXT($B691,"yyyy-mm"))</f>
        <v/>
      </c>
      <c r="G691" s="29" t="str">
        <f>IF(OR($E691="",$F691=""),"",IFERROR(IF($E691=INDEX([1]Cluster_Master!$A$4:$A$18,MATCH($F691,[1]Cluster_Master!$B$4:$B$18,0)),"OK","CHECK"),"CHECK"))</f>
        <v/>
      </c>
      <c r="H691" s="29" t="str">
        <f>IFERROR(INDEX([1]Cluster_Master!$C$4:$C$18,MATCH($F691,[1]Cluster_Master!$B$4:$B$18,0)),"")</f>
        <v/>
      </c>
      <c r="I691" s="29" t="str">
        <f>IFERROR(INDEX([1]Cluster_Master!$D$4:$D$18,MATCH($F691,[1]Cluster_Master!$B$4:$B$18,0)),"")</f>
        <v/>
      </c>
      <c r="J691" s="29" t="str">
        <f>IFERROR(INDEX([1]Cluster_Master!$E$4:$E$18,MATCH($F691,[1]Cluster_Master!$B$4:$B$18,0)),"")</f>
        <v/>
      </c>
      <c r="K691" s="29" t="str">
        <f>IFERROR(INDEX([1]Cluster_Master!$F$4:$F$18,MATCH($F691,[1]Cluster_Master!$B$4:$B$18,0)),"")</f>
        <v/>
      </c>
      <c r="L691" s="29" t="str">
        <f>IFERROR(INDEX([1]Cluster_Master!$G$4:$G$18,MATCH($F691,[1]Cluster_Master!$B$4:$B$18,0)),"")</f>
        <v/>
      </c>
      <c r="M691" s="29" t="str">
        <f>IFERROR(INDEX([1]Cluster_Master!$H$4:$H$18,MATCH($F691,[1]Cluster_Master!$B$4:$B$18,0)),"")</f>
        <v/>
      </c>
      <c r="AI691" s="29" t="str">
        <f>IF(COUNTA(T691:AH691)=0,"",SUM(T691:AH691))</f>
        <v/>
      </c>
      <c r="AJ691" s="29" t="str">
        <f>IF(COUNTA(T691:AH691)=0,"",AI691/75)</f>
        <v/>
      </c>
      <c r="AK691" s="29" t="str">
        <f>IF(COUNTA(T691:AH691)=0,"",(SUM(T691*[1]KPI_Weights!$B$4,U691*[1]KPI_Weights!$B$5,V691*[1]KPI_Weights!$B$6,W691*[1]KPI_Weights!$B$7,X691*[1]KPI_Weights!$B$8,Y691*[1]KPI_Weights!$B$9,Z691*[1]KPI_Weights!$B$10,AA691*[1]KPI_Weights!$B$11,AB691*[1]KPI_Weights!$B$12,AC691*[1]KPI_Weights!$B$13,AD691*[1]KPI_Weights!$B$14,AE691*[1]KPI_Weights!$B$15,AF691*[1]KPI_Weights!$B$16,AG691*[1]KPI_Weights!$B$17,AH691*[1]KPI_Weights!$B$18))/5)</f>
        <v/>
      </c>
      <c r="AL691" s="29" t="str">
        <f>IF(COUNTA(T691:AH691)=0,"",IF(OR(T691&lt;=1,W691&lt;=1,X691&lt;=1,Y691&lt;=1,AB691&lt;=1),"YES","NO"))</f>
        <v/>
      </c>
      <c r="AM691" s="29" t="str">
        <f>IF(AJ691="","",IF(AND(AL691="NO",AJ691&gt;=0.75),"YES","NO"))</f>
        <v/>
      </c>
      <c r="AN691" s="29" t="str">
        <f>IF(AJ691="","",IF(AJ691&lt;0.4,"Critical",IF(AJ691&lt;0.6,"Poor",IF(AJ691&lt;0.75,"Needs Improvement",IF(AJ691&lt;0.9,"Good","Excellent")))))</f>
        <v/>
      </c>
    </row>
    <row r="692" spans="1:40" ht="15" customHeight="1" x14ac:dyDescent="0.25">
      <c r="A692" s="29" t="str">
        <f>IF($B692="","",TEXT($B692,"yyyymmdd")&amp;"-"&amp;SUBSTITUTE($F692," ","")&amp;"-"&amp;TEXT(COUNTIF($F$4:F692,$F692),"00"))</f>
        <v/>
      </c>
      <c r="C692" s="29" t="str">
        <f>IF($B692="","",WEEKNUM($B692,2))</f>
        <v/>
      </c>
      <c r="D692" s="29" t="str">
        <f>IF($B692="","",TEXT($B692,"yyyy-mm"))</f>
        <v/>
      </c>
      <c r="G692" s="29" t="str">
        <f>IF(OR($E692="",$F692=""),"",IFERROR(IF($E692=INDEX([1]Cluster_Master!$A$4:$A$18,MATCH($F692,[1]Cluster_Master!$B$4:$B$18,0)),"OK","CHECK"),"CHECK"))</f>
        <v/>
      </c>
      <c r="H692" s="29" t="str">
        <f>IFERROR(INDEX([1]Cluster_Master!$C$4:$C$18,MATCH($F692,[1]Cluster_Master!$B$4:$B$18,0)),"")</f>
        <v/>
      </c>
      <c r="I692" s="29" t="str">
        <f>IFERROR(INDEX([1]Cluster_Master!$D$4:$D$18,MATCH($F692,[1]Cluster_Master!$B$4:$B$18,0)),"")</f>
        <v/>
      </c>
      <c r="J692" s="29" t="str">
        <f>IFERROR(INDEX([1]Cluster_Master!$E$4:$E$18,MATCH($F692,[1]Cluster_Master!$B$4:$B$18,0)),"")</f>
        <v/>
      </c>
      <c r="K692" s="29" t="str">
        <f>IFERROR(INDEX([1]Cluster_Master!$F$4:$F$18,MATCH($F692,[1]Cluster_Master!$B$4:$B$18,0)),"")</f>
        <v/>
      </c>
      <c r="L692" s="29" t="str">
        <f>IFERROR(INDEX([1]Cluster_Master!$G$4:$G$18,MATCH($F692,[1]Cluster_Master!$B$4:$B$18,0)),"")</f>
        <v/>
      </c>
      <c r="M692" s="29" t="str">
        <f>IFERROR(INDEX([1]Cluster_Master!$H$4:$H$18,MATCH($F692,[1]Cluster_Master!$B$4:$B$18,0)),"")</f>
        <v/>
      </c>
      <c r="AI692" s="29" t="str">
        <f>IF(COUNTA(T692:AH692)=0,"",SUM(T692:AH692))</f>
        <v/>
      </c>
      <c r="AJ692" s="29" t="str">
        <f>IF(COUNTA(T692:AH692)=0,"",AI692/75)</f>
        <v/>
      </c>
      <c r="AK692" s="29" t="str">
        <f>IF(COUNTA(T692:AH692)=0,"",(SUM(T692*[1]KPI_Weights!$B$4,U692*[1]KPI_Weights!$B$5,V692*[1]KPI_Weights!$B$6,W692*[1]KPI_Weights!$B$7,X692*[1]KPI_Weights!$B$8,Y692*[1]KPI_Weights!$B$9,Z692*[1]KPI_Weights!$B$10,AA692*[1]KPI_Weights!$B$11,AB692*[1]KPI_Weights!$B$12,AC692*[1]KPI_Weights!$B$13,AD692*[1]KPI_Weights!$B$14,AE692*[1]KPI_Weights!$B$15,AF692*[1]KPI_Weights!$B$16,AG692*[1]KPI_Weights!$B$17,AH692*[1]KPI_Weights!$B$18))/5)</f>
        <v/>
      </c>
      <c r="AL692" s="29" t="str">
        <f>IF(COUNTA(T692:AH692)=0,"",IF(OR(T692&lt;=1,W692&lt;=1,X692&lt;=1,Y692&lt;=1,AB692&lt;=1),"YES","NO"))</f>
        <v/>
      </c>
      <c r="AM692" s="29" t="str">
        <f>IF(AJ692="","",IF(AND(AL692="NO",AJ692&gt;=0.75),"YES","NO"))</f>
        <v/>
      </c>
      <c r="AN692" s="29" t="str">
        <f>IF(AJ692="","",IF(AJ692&lt;0.4,"Critical",IF(AJ692&lt;0.6,"Poor",IF(AJ692&lt;0.75,"Needs Improvement",IF(AJ692&lt;0.9,"Good","Excellent")))))</f>
        <v/>
      </c>
    </row>
    <row r="693" spans="1:40" ht="15" customHeight="1" x14ac:dyDescent="0.25">
      <c r="A693" s="29" t="str">
        <f>IF($B693="","",TEXT($B693,"yyyymmdd")&amp;"-"&amp;SUBSTITUTE($F693," ","")&amp;"-"&amp;TEXT(COUNTIF($F$4:F693,$F693),"00"))</f>
        <v/>
      </c>
      <c r="C693" s="29" t="str">
        <f>IF($B693="","",WEEKNUM($B693,2))</f>
        <v/>
      </c>
      <c r="D693" s="29" t="str">
        <f>IF($B693="","",TEXT($B693,"yyyy-mm"))</f>
        <v/>
      </c>
      <c r="G693" s="29" t="str">
        <f>IF(OR($E693="",$F693=""),"",IFERROR(IF($E693=INDEX([1]Cluster_Master!$A$4:$A$18,MATCH($F693,[1]Cluster_Master!$B$4:$B$18,0)),"OK","CHECK"),"CHECK"))</f>
        <v/>
      </c>
      <c r="H693" s="29" t="str">
        <f>IFERROR(INDEX([1]Cluster_Master!$C$4:$C$18,MATCH($F693,[1]Cluster_Master!$B$4:$B$18,0)),"")</f>
        <v/>
      </c>
      <c r="I693" s="29" t="str">
        <f>IFERROR(INDEX([1]Cluster_Master!$D$4:$D$18,MATCH($F693,[1]Cluster_Master!$B$4:$B$18,0)),"")</f>
        <v/>
      </c>
      <c r="J693" s="29" t="str">
        <f>IFERROR(INDEX([1]Cluster_Master!$E$4:$E$18,MATCH($F693,[1]Cluster_Master!$B$4:$B$18,0)),"")</f>
        <v/>
      </c>
      <c r="K693" s="29" t="str">
        <f>IFERROR(INDEX([1]Cluster_Master!$F$4:$F$18,MATCH($F693,[1]Cluster_Master!$B$4:$B$18,0)),"")</f>
        <v/>
      </c>
      <c r="L693" s="29" t="str">
        <f>IFERROR(INDEX([1]Cluster_Master!$G$4:$G$18,MATCH($F693,[1]Cluster_Master!$B$4:$B$18,0)),"")</f>
        <v/>
      </c>
      <c r="M693" s="29" t="str">
        <f>IFERROR(INDEX([1]Cluster_Master!$H$4:$H$18,MATCH($F693,[1]Cluster_Master!$B$4:$B$18,0)),"")</f>
        <v/>
      </c>
      <c r="AI693" s="29" t="str">
        <f>IF(COUNTA(T693:AH693)=0,"",SUM(T693:AH693))</f>
        <v/>
      </c>
      <c r="AJ693" s="29" t="str">
        <f>IF(COUNTA(T693:AH693)=0,"",AI693/75)</f>
        <v/>
      </c>
      <c r="AK693" s="29" t="str">
        <f>IF(COUNTA(T693:AH693)=0,"",(SUM(T693*[1]KPI_Weights!$B$4,U693*[1]KPI_Weights!$B$5,V693*[1]KPI_Weights!$B$6,W693*[1]KPI_Weights!$B$7,X693*[1]KPI_Weights!$B$8,Y693*[1]KPI_Weights!$B$9,Z693*[1]KPI_Weights!$B$10,AA693*[1]KPI_Weights!$B$11,AB693*[1]KPI_Weights!$B$12,AC693*[1]KPI_Weights!$B$13,AD693*[1]KPI_Weights!$B$14,AE693*[1]KPI_Weights!$B$15,AF693*[1]KPI_Weights!$B$16,AG693*[1]KPI_Weights!$B$17,AH693*[1]KPI_Weights!$B$18))/5)</f>
        <v/>
      </c>
      <c r="AL693" s="29" t="str">
        <f>IF(COUNTA(T693:AH693)=0,"",IF(OR(T693&lt;=1,W693&lt;=1,X693&lt;=1,Y693&lt;=1,AB693&lt;=1),"YES","NO"))</f>
        <v/>
      </c>
      <c r="AM693" s="29" t="str">
        <f>IF(AJ693="","",IF(AND(AL693="NO",AJ693&gt;=0.75),"YES","NO"))</f>
        <v/>
      </c>
      <c r="AN693" s="29" t="str">
        <f>IF(AJ693="","",IF(AJ693&lt;0.4,"Critical",IF(AJ693&lt;0.6,"Poor",IF(AJ693&lt;0.75,"Needs Improvement",IF(AJ693&lt;0.9,"Good","Excellent")))))</f>
        <v/>
      </c>
    </row>
    <row r="694" spans="1:40" ht="15" customHeight="1" x14ac:dyDescent="0.25">
      <c r="A694" s="29" t="str">
        <f>IF($B694="","",TEXT($B694,"yyyymmdd")&amp;"-"&amp;SUBSTITUTE($F694," ","")&amp;"-"&amp;TEXT(COUNTIF($F$4:F694,$F694),"00"))</f>
        <v/>
      </c>
      <c r="C694" s="29" t="str">
        <f>IF($B694="","",WEEKNUM($B694,2))</f>
        <v/>
      </c>
      <c r="D694" s="29" t="str">
        <f>IF($B694="","",TEXT($B694,"yyyy-mm"))</f>
        <v/>
      </c>
      <c r="G694" s="29" t="str">
        <f>IF(OR($E694="",$F694=""),"",IFERROR(IF($E694=INDEX([1]Cluster_Master!$A$4:$A$18,MATCH($F694,[1]Cluster_Master!$B$4:$B$18,0)),"OK","CHECK"),"CHECK"))</f>
        <v/>
      </c>
      <c r="H694" s="29" t="str">
        <f>IFERROR(INDEX([1]Cluster_Master!$C$4:$C$18,MATCH($F694,[1]Cluster_Master!$B$4:$B$18,0)),"")</f>
        <v/>
      </c>
      <c r="I694" s="29" t="str">
        <f>IFERROR(INDEX([1]Cluster_Master!$D$4:$D$18,MATCH($F694,[1]Cluster_Master!$B$4:$B$18,0)),"")</f>
        <v/>
      </c>
      <c r="J694" s="29" t="str">
        <f>IFERROR(INDEX([1]Cluster_Master!$E$4:$E$18,MATCH($F694,[1]Cluster_Master!$B$4:$B$18,0)),"")</f>
        <v/>
      </c>
      <c r="K694" s="29" t="str">
        <f>IFERROR(INDEX([1]Cluster_Master!$F$4:$F$18,MATCH($F694,[1]Cluster_Master!$B$4:$B$18,0)),"")</f>
        <v/>
      </c>
      <c r="L694" s="29" t="str">
        <f>IFERROR(INDEX([1]Cluster_Master!$G$4:$G$18,MATCH($F694,[1]Cluster_Master!$B$4:$B$18,0)),"")</f>
        <v/>
      </c>
      <c r="M694" s="29" t="str">
        <f>IFERROR(INDEX([1]Cluster_Master!$H$4:$H$18,MATCH($F694,[1]Cluster_Master!$B$4:$B$18,0)),"")</f>
        <v/>
      </c>
      <c r="AI694" s="29" t="str">
        <f>IF(COUNTA(T694:AH694)=0,"",SUM(T694:AH694))</f>
        <v/>
      </c>
      <c r="AJ694" s="29" t="str">
        <f>IF(COUNTA(T694:AH694)=0,"",AI694/75)</f>
        <v/>
      </c>
      <c r="AK694" s="29" t="str">
        <f>IF(COUNTA(T694:AH694)=0,"",(SUM(T694*[1]KPI_Weights!$B$4,U694*[1]KPI_Weights!$B$5,V694*[1]KPI_Weights!$B$6,W694*[1]KPI_Weights!$B$7,X694*[1]KPI_Weights!$B$8,Y694*[1]KPI_Weights!$B$9,Z694*[1]KPI_Weights!$B$10,AA694*[1]KPI_Weights!$B$11,AB694*[1]KPI_Weights!$B$12,AC694*[1]KPI_Weights!$B$13,AD694*[1]KPI_Weights!$B$14,AE694*[1]KPI_Weights!$B$15,AF694*[1]KPI_Weights!$B$16,AG694*[1]KPI_Weights!$B$17,AH694*[1]KPI_Weights!$B$18))/5)</f>
        <v/>
      </c>
      <c r="AL694" s="29" t="str">
        <f>IF(COUNTA(T694:AH694)=0,"",IF(OR(T694&lt;=1,W694&lt;=1,X694&lt;=1,Y694&lt;=1,AB694&lt;=1),"YES","NO"))</f>
        <v/>
      </c>
      <c r="AM694" s="29" t="str">
        <f>IF(AJ694="","",IF(AND(AL694="NO",AJ694&gt;=0.75),"YES","NO"))</f>
        <v/>
      </c>
      <c r="AN694" s="29" t="str">
        <f>IF(AJ694="","",IF(AJ694&lt;0.4,"Critical",IF(AJ694&lt;0.6,"Poor",IF(AJ694&lt;0.75,"Needs Improvement",IF(AJ694&lt;0.9,"Good","Excellent")))))</f>
        <v/>
      </c>
    </row>
    <row r="695" spans="1:40" ht="15" customHeight="1" x14ac:dyDescent="0.25">
      <c r="A695" s="29" t="str">
        <f>IF($B695="","",TEXT($B695,"yyyymmdd")&amp;"-"&amp;SUBSTITUTE($F695," ","")&amp;"-"&amp;TEXT(COUNTIF($F$4:F695,$F695),"00"))</f>
        <v/>
      </c>
      <c r="C695" s="29" t="str">
        <f>IF($B695="","",WEEKNUM($B695,2))</f>
        <v/>
      </c>
      <c r="D695" s="29" t="str">
        <f>IF($B695="","",TEXT($B695,"yyyy-mm"))</f>
        <v/>
      </c>
      <c r="G695" s="29" t="str">
        <f>IF(OR($E695="",$F695=""),"",IFERROR(IF($E695=INDEX([1]Cluster_Master!$A$4:$A$18,MATCH($F695,[1]Cluster_Master!$B$4:$B$18,0)),"OK","CHECK"),"CHECK"))</f>
        <v/>
      </c>
      <c r="H695" s="29" t="str">
        <f>IFERROR(INDEX([1]Cluster_Master!$C$4:$C$18,MATCH($F695,[1]Cluster_Master!$B$4:$B$18,0)),"")</f>
        <v/>
      </c>
      <c r="I695" s="29" t="str">
        <f>IFERROR(INDEX([1]Cluster_Master!$D$4:$D$18,MATCH($F695,[1]Cluster_Master!$B$4:$B$18,0)),"")</f>
        <v/>
      </c>
      <c r="J695" s="29" t="str">
        <f>IFERROR(INDEX([1]Cluster_Master!$E$4:$E$18,MATCH($F695,[1]Cluster_Master!$B$4:$B$18,0)),"")</f>
        <v/>
      </c>
      <c r="K695" s="29" t="str">
        <f>IFERROR(INDEX([1]Cluster_Master!$F$4:$F$18,MATCH($F695,[1]Cluster_Master!$B$4:$B$18,0)),"")</f>
        <v/>
      </c>
      <c r="L695" s="29" t="str">
        <f>IFERROR(INDEX([1]Cluster_Master!$G$4:$G$18,MATCH($F695,[1]Cluster_Master!$B$4:$B$18,0)),"")</f>
        <v/>
      </c>
      <c r="M695" s="29" t="str">
        <f>IFERROR(INDEX([1]Cluster_Master!$H$4:$H$18,MATCH($F695,[1]Cluster_Master!$B$4:$B$18,0)),"")</f>
        <v/>
      </c>
      <c r="AI695" s="29" t="str">
        <f>IF(COUNTA(T695:AH695)=0,"",SUM(T695:AH695))</f>
        <v/>
      </c>
      <c r="AJ695" s="29" t="str">
        <f>IF(COUNTA(T695:AH695)=0,"",AI695/75)</f>
        <v/>
      </c>
      <c r="AK695" s="29" t="str">
        <f>IF(COUNTA(T695:AH695)=0,"",(SUM(T695*[1]KPI_Weights!$B$4,U695*[1]KPI_Weights!$B$5,V695*[1]KPI_Weights!$B$6,W695*[1]KPI_Weights!$B$7,X695*[1]KPI_Weights!$B$8,Y695*[1]KPI_Weights!$B$9,Z695*[1]KPI_Weights!$B$10,AA695*[1]KPI_Weights!$B$11,AB695*[1]KPI_Weights!$B$12,AC695*[1]KPI_Weights!$B$13,AD695*[1]KPI_Weights!$B$14,AE695*[1]KPI_Weights!$B$15,AF695*[1]KPI_Weights!$B$16,AG695*[1]KPI_Weights!$B$17,AH695*[1]KPI_Weights!$B$18))/5)</f>
        <v/>
      </c>
      <c r="AL695" s="29" t="str">
        <f>IF(COUNTA(T695:AH695)=0,"",IF(OR(T695&lt;=1,W695&lt;=1,X695&lt;=1,Y695&lt;=1,AB695&lt;=1),"YES","NO"))</f>
        <v/>
      </c>
      <c r="AM695" s="29" t="str">
        <f>IF(AJ695="","",IF(AND(AL695="NO",AJ695&gt;=0.75),"YES","NO"))</f>
        <v/>
      </c>
      <c r="AN695" s="29" t="str">
        <f>IF(AJ695="","",IF(AJ695&lt;0.4,"Critical",IF(AJ695&lt;0.6,"Poor",IF(AJ695&lt;0.75,"Needs Improvement",IF(AJ695&lt;0.9,"Good","Excellent")))))</f>
        <v/>
      </c>
    </row>
    <row r="696" spans="1:40" ht="15" customHeight="1" x14ac:dyDescent="0.25">
      <c r="A696" s="29" t="str">
        <f>IF($B696="","",TEXT($B696,"yyyymmdd")&amp;"-"&amp;SUBSTITUTE($F696," ","")&amp;"-"&amp;TEXT(COUNTIF($F$4:F696,$F696),"00"))</f>
        <v/>
      </c>
      <c r="C696" s="29" t="str">
        <f>IF($B696="","",WEEKNUM($B696,2))</f>
        <v/>
      </c>
      <c r="D696" s="29" t="str">
        <f>IF($B696="","",TEXT($B696,"yyyy-mm"))</f>
        <v/>
      </c>
      <c r="G696" s="29" t="str">
        <f>IF(OR($E696="",$F696=""),"",IFERROR(IF($E696=INDEX([1]Cluster_Master!$A$4:$A$18,MATCH($F696,[1]Cluster_Master!$B$4:$B$18,0)),"OK","CHECK"),"CHECK"))</f>
        <v/>
      </c>
      <c r="H696" s="29" t="str">
        <f>IFERROR(INDEX([1]Cluster_Master!$C$4:$C$18,MATCH($F696,[1]Cluster_Master!$B$4:$B$18,0)),"")</f>
        <v/>
      </c>
      <c r="I696" s="29" t="str">
        <f>IFERROR(INDEX([1]Cluster_Master!$D$4:$D$18,MATCH($F696,[1]Cluster_Master!$B$4:$B$18,0)),"")</f>
        <v/>
      </c>
      <c r="J696" s="29" t="str">
        <f>IFERROR(INDEX([1]Cluster_Master!$E$4:$E$18,MATCH($F696,[1]Cluster_Master!$B$4:$B$18,0)),"")</f>
        <v/>
      </c>
      <c r="K696" s="29" t="str">
        <f>IFERROR(INDEX([1]Cluster_Master!$F$4:$F$18,MATCH($F696,[1]Cluster_Master!$B$4:$B$18,0)),"")</f>
        <v/>
      </c>
      <c r="L696" s="29" t="str">
        <f>IFERROR(INDEX([1]Cluster_Master!$G$4:$G$18,MATCH($F696,[1]Cluster_Master!$B$4:$B$18,0)),"")</f>
        <v/>
      </c>
      <c r="M696" s="29" t="str">
        <f>IFERROR(INDEX([1]Cluster_Master!$H$4:$H$18,MATCH($F696,[1]Cluster_Master!$B$4:$B$18,0)),"")</f>
        <v/>
      </c>
      <c r="AI696" s="29" t="str">
        <f>IF(COUNTA(T696:AH696)=0,"",SUM(T696:AH696))</f>
        <v/>
      </c>
      <c r="AJ696" s="29" t="str">
        <f>IF(COUNTA(T696:AH696)=0,"",AI696/75)</f>
        <v/>
      </c>
      <c r="AK696" s="29" t="str">
        <f>IF(COUNTA(T696:AH696)=0,"",(SUM(T696*[1]KPI_Weights!$B$4,U696*[1]KPI_Weights!$B$5,V696*[1]KPI_Weights!$B$6,W696*[1]KPI_Weights!$B$7,X696*[1]KPI_Weights!$B$8,Y696*[1]KPI_Weights!$B$9,Z696*[1]KPI_Weights!$B$10,AA696*[1]KPI_Weights!$B$11,AB696*[1]KPI_Weights!$B$12,AC696*[1]KPI_Weights!$B$13,AD696*[1]KPI_Weights!$B$14,AE696*[1]KPI_Weights!$B$15,AF696*[1]KPI_Weights!$B$16,AG696*[1]KPI_Weights!$B$17,AH696*[1]KPI_Weights!$B$18))/5)</f>
        <v/>
      </c>
      <c r="AL696" s="29" t="str">
        <f>IF(COUNTA(T696:AH696)=0,"",IF(OR(T696&lt;=1,W696&lt;=1,X696&lt;=1,Y696&lt;=1,AB696&lt;=1),"YES","NO"))</f>
        <v/>
      </c>
      <c r="AM696" s="29" t="str">
        <f>IF(AJ696="","",IF(AND(AL696="NO",AJ696&gt;=0.75),"YES","NO"))</f>
        <v/>
      </c>
      <c r="AN696" s="29" t="str">
        <f>IF(AJ696="","",IF(AJ696&lt;0.4,"Critical",IF(AJ696&lt;0.6,"Poor",IF(AJ696&lt;0.75,"Needs Improvement",IF(AJ696&lt;0.9,"Good","Excellent")))))</f>
        <v/>
      </c>
    </row>
    <row r="697" spans="1:40" ht="15" customHeight="1" x14ac:dyDescent="0.25">
      <c r="A697" s="29" t="str">
        <f>IF($B697="","",TEXT($B697,"yyyymmdd")&amp;"-"&amp;SUBSTITUTE($F697," ","")&amp;"-"&amp;TEXT(COUNTIF($F$4:F697,$F697),"00"))</f>
        <v/>
      </c>
      <c r="C697" s="29" t="str">
        <f>IF($B697="","",WEEKNUM($B697,2))</f>
        <v/>
      </c>
      <c r="D697" s="29" t="str">
        <f>IF($B697="","",TEXT($B697,"yyyy-mm"))</f>
        <v/>
      </c>
      <c r="G697" s="29" t="str">
        <f>IF(OR($E697="",$F697=""),"",IFERROR(IF($E697=INDEX([1]Cluster_Master!$A$4:$A$18,MATCH($F697,[1]Cluster_Master!$B$4:$B$18,0)),"OK","CHECK"),"CHECK"))</f>
        <v/>
      </c>
      <c r="H697" s="29" t="str">
        <f>IFERROR(INDEX([1]Cluster_Master!$C$4:$C$18,MATCH($F697,[1]Cluster_Master!$B$4:$B$18,0)),"")</f>
        <v/>
      </c>
      <c r="I697" s="29" t="str">
        <f>IFERROR(INDEX([1]Cluster_Master!$D$4:$D$18,MATCH($F697,[1]Cluster_Master!$B$4:$B$18,0)),"")</f>
        <v/>
      </c>
      <c r="J697" s="29" t="str">
        <f>IFERROR(INDEX([1]Cluster_Master!$E$4:$E$18,MATCH($F697,[1]Cluster_Master!$B$4:$B$18,0)),"")</f>
        <v/>
      </c>
      <c r="K697" s="29" t="str">
        <f>IFERROR(INDEX([1]Cluster_Master!$F$4:$F$18,MATCH($F697,[1]Cluster_Master!$B$4:$B$18,0)),"")</f>
        <v/>
      </c>
      <c r="L697" s="29" t="str">
        <f>IFERROR(INDEX([1]Cluster_Master!$G$4:$G$18,MATCH($F697,[1]Cluster_Master!$B$4:$B$18,0)),"")</f>
        <v/>
      </c>
      <c r="M697" s="29" t="str">
        <f>IFERROR(INDEX([1]Cluster_Master!$H$4:$H$18,MATCH($F697,[1]Cluster_Master!$B$4:$B$18,0)),"")</f>
        <v/>
      </c>
      <c r="AI697" s="29" t="str">
        <f>IF(COUNTA(T697:AH697)=0,"",SUM(T697:AH697))</f>
        <v/>
      </c>
      <c r="AJ697" s="29" t="str">
        <f>IF(COUNTA(T697:AH697)=0,"",AI697/75)</f>
        <v/>
      </c>
      <c r="AK697" s="29" t="str">
        <f>IF(COUNTA(T697:AH697)=0,"",(SUM(T697*[1]KPI_Weights!$B$4,U697*[1]KPI_Weights!$B$5,V697*[1]KPI_Weights!$B$6,W697*[1]KPI_Weights!$B$7,X697*[1]KPI_Weights!$B$8,Y697*[1]KPI_Weights!$B$9,Z697*[1]KPI_Weights!$B$10,AA697*[1]KPI_Weights!$B$11,AB697*[1]KPI_Weights!$B$12,AC697*[1]KPI_Weights!$B$13,AD697*[1]KPI_Weights!$B$14,AE697*[1]KPI_Weights!$B$15,AF697*[1]KPI_Weights!$B$16,AG697*[1]KPI_Weights!$B$17,AH697*[1]KPI_Weights!$B$18))/5)</f>
        <v/>
      </c>
      <c r="AL697" s="29" t="str">
        <f>IF(COUNTA(T697:AH697)=0,"",IF(OR(T697&lt;=1,W697&lt;=1,X697&lt;=1,Y697&lt;=1,AB697&lt;=1),"YES","NO"))</f>
        <v/>
      </c>
      <c r="AM697" s="29" t="str">
        <f>IF(AJ697="","",IF(AND(AL697="NO",AJ697&gt;=0.75),"YES","NO"))</f>
        <v/>
      </c>
      <c r="AN697" s="29" t="str">
        <f>IF(AJ697="","",IF(AJ697&lt;0.4,"Critical",IF(AJ697&lt;0.6,"Poor",IF(AJ697&lt;0.75,"Needs Improvement",IF(AJ697&lt;0.9,"Good","Excellent")))))</f>
        <v/>
      </c>
    </row>
    <row r="698" spans="1:40" ht="15" customHeight="1" x14ac:dyDescent="0.25">
      <c r="A698" s="29" t="str">
        <f>IF($B698="","",TEXT($B698,"yyyymmdd")&amp;"-"&amp;SUBSTITUTE($F698," ","")&amp;"-"&amp;TEXT(COUNTIF($F$4:F698,$F698),"00"))</f>
        <v/>
      </c>
      <c r="C698" s="29" t="str">
        <f>IF($B698="","",WEEKNUM($B698,2))</f>
        <v/>
      </c>
      <c r="D698" s="29" t="str">
        <f>IF($B698="","",TEXT($B698,"yyyy-mm"))</f>
        <v/>
      </c>
      <c r="G698" s="29" t="str">
        <f>IF(OR($E698="",$F698=""),"",IFERROR(IF($E698=INDEX([1]Cluster_Master!$A$4:$A$18,MATCH($F698,[1]Cluster_Master!$B$4:$B$18,0)),"OK","CHECK"),"CHECK"))</f>
        <v/>
      </c>
      <c r="H698" s="29" t="str">
        <f>IFERROR(INDEX([1]Cluster_Master!$C$4:$C$18,MATCH($F698,[1]Cluster_Master!$B$4:$B$18,0)),"")</f>
        <v/>
      </c>
      <c r="I698" s="29" t="str">
        <f>IFERROR(INDEX([1]Cluster_Master!$D$4:$D$18,MATCH($F698,[1]Cluster_Master!$B$4:$B$18,0)),"")</f>
        <v/>
      </c>
      <c r="J698" s="29" t="str">
        <f>IFERROR(INDEX([1]Cluster_Master!$E$4:$E$18,MATCH($F698,[1]Cluster_Master!$B$4:$B$18,0)),"")</f>
        <v/>
      </c>
      <c r="K698" s="29" t="str">
        <f>IFERROR(INDEX([1]Cluster_Master!$F$4:$F$18,MATCH($F698,[1]Cluster_Master!$B$4:$B$18,0)),"")</f>
        <v/>
      </c>
      <c r="L698" s="29" t="str">
        <f>IFERROR(INDEX([1]Cluster_Master!$G$4:$G$18,MATCH($F698,[1]Cluster_Master!$B$4:$B$18,0)),"")</f>
        <v/>
      </c>
      <c r="M698" s="29" t="str">
        <f>IFERROR(INDEX([1]Cluster_Master!$H$4:$H$18,MATCH($F698,[1]Cluster_Master!$B$4:$B$18,0)),"")</f>
        <v/>
      </c>
      <c r="AI698" s="29" t="str">
        <f>IF(COUNTA(T698:AH698)=0,"",SUM(T698:AH698))</f>
        <v/>
      </c>
      <c r="AJ698" s="29" t="str">
        <f>IF(COUNTA(T698:AH698)=0,"",AI698/75)</f>
        <v/>
      </c>
      <c r="AK698" s="29" t="str">
        <f>IF(COUNTA(T698:AH698)=0,"",(SUM(T698*[1]KPI_Weights!$B$4,U698*[1]KPI_Weights!$B$5,V698*[1]KPI_Weights!$B$6,W698*[1]KPI_Weights!$B$7,X698*[1]KPI_Weights!$B$8,Y698*[1]KPI_Weights!$B$9,Z698*[1]KPI_Weights!$B$10,AA698*[1]KPI_Weights!$B$11,AB698*[1]KPI_Weights!$B$12,AC698*[1]KPI_Weights!$B$13,AD698*[1]KPI_Weights!$B$14,AE698*[1]KPI_Weights!$B$15,AF698*[1]KPI_Weights!$B$16,AG698*[1]KPI_Weights!$B$17,AH698*[1]KPI_Weights!$B$18))/5)</f>
        <v/>
      </c>
      <c r="AL698" s="29" t="str">
        <f>IF(COUNTA(T698:AH698)=0,"",IF(OR(T698&lt;=1,W698&lt;=1,X698&lt;=1,Y698&lt;=1,AB698&lt;=1),"YES","NO"))</f>
        <v/>
      </c>
      <c r="AM698" s="29" t="str">
        <f>IF(AJ698="","",IF(AND(AL698="NO",AJ698&gt;=0.75),"YES","NO"))</f>
        <v/>
      </c>
      <c r="AN698" s="29" t="str">
        <f>IF(AJ698="","",IF(AJ698&lt;0.4,"Critical",IF(AJ698&lt;0.6,"Poor",IF(AJ698&lt;0.75,"Needs Improvement",IF(AJ698&lt;0.9,"Good","Excellent")))))</f>
        <v/>
      </c>
    </row>
    <row r="699" spans="1:40" ht="15" customHeight="1" x14ac:dyDescent="0.25">
      <c r="A699" s="29" t="str">
        <f>IF($B699="","",TEXT($B699,"yyyymmdd")&amp;"-"&amp;SUBSTITUTE($F699," ","")&amp;"-"&amp;TEXT(COUNTIF($F$4:F699,$F699),"00"))</f>
        <v/>
      </c>
      <c r="C699" s="29" t="str">
        <f>IF($B699="","",WEEKNUM($B699,2))</f>
        <v/>
      </c>
      <c r="D699" s="29" t="str">
        <f>IF($B699="","",TEXT($B699,"yyyy-mm"))</f>
        <v/>
      </c>
      <c r="G699" s="29" t="str">
        <f>IF(OR($E699="",$F699=""),"",IFERROR(IF($E699=INDEX([1]Cluster_Master!$A$4:$A$18,MATCH($F699,[1]Cluster_Master!$B$4:$B$18,0)),"OK","CHECK"),"CHECK"))</f>
        <v/>
      </c>
      <c r="H699" s="29" t="str">
        <f>IFERROR(INDEX([1]Cluster_Master!$C$4:$C$18,MATCH($F699,[1]Cluster_Master!$B$4:$B$18,0)),"")</f>
        <v/>
      </c>
      <c r="I699" s="29" t="str">
        <f>IFERROR(INDEX([1]Cluster_Master!$D$4:$D$18,MATCH($F699,[1]Cluster_Master!$B$4:$B$18,0)),"")</f>
        <v/>
      </c>
      <c r="J699" s="29" t="str">
        <f>IFERROR(INDEX([1]Cluster_Master!$E$4:$E$18,MATCH($F699,[1]Cluster_Master!$B$4:$B$18,0)),"")</f>
        <v/>
      </c>
      <c r="K699" s="29" t="str">
        <f>IFERROR(INDEX([1]Cluster_Master!$F$4:$F$18,MATCH($F699,[1]Cluster_Master!$B$4:$B$18,0)),"")</f>
        <v/>
      </c>
      <c r="L699" s="29" t="str">
        <f>IFERROR(INDEX([1]Cluster_Master!$G$4:$G$18,MATCH($F699,[1]Cluster_Master!$B$4:$B$18,0)),"")</f>
        <v/>
      </c>
      <c r="M699" s="29" t="str">
        <f>IFERROR(INDEX([1]Cluster_Master!$H$4:$H$18,MATCH($F699,[1]Cluster_Master!$B$4:$B$18,0)),"")</f>
        <v/>
      </c>
      <c r="AI699" s="29" t="str">
        <f>IF(COUNTA(T699:AH699)=0,"",SUM(T699:AH699))</f>
        <v/>
      </c>
      <c r="AJ699" s="29" t="str">
        <f>IF(COUNTA(T699:AH699)=0,"",AI699/75)</f>
        <v/>
      </c>
      <c r="AK699" s="29" t="str">
        <f>IF(COUNTA(T699:AH699)=0,"",(SUM(T699*[1]KPI_Weights!$B$4,U699*[1]KPI_Weights!$B$5,V699*[1]KPI_Weights!$B$6,W699*[1]KPI_Weights!$B$7,X699*[1]KPI_Weights!$B$8,Y699*[1]KPI_Weights!$B$9,Z699*[1]KPI_Weights!$B$10,AA699*[1]KPI_Weights!$B$11,AB699*[1]KPI_Weights!$B$12,AC699*[1]KPI_Weights!$B$13,AD699*[1]KPI_Weights!$B$14,AE699*[1]KPI_Weights!$B$15,AF699*[1]KPI_Weights!$B$16,AG699*[1]KPI_Weights!$B$17,AH699*[1]KPI_Weights!$B$18))/5)</f>
        <v/>
      </c>
      <c r="AL699" s="29" t="str">
        <f>IF(COUNTA(T699:AH699)=0,"",IF(OR(T699&lt;=1,W699&lt;=1,X699&lt;=1,Y699&lt;=1,AB699&lt;=1),"YES","NO"))</f>
        <v/>
      </c>
      <c r="AM699" s="29" t="str">
        <f>IF(AJ699="","",IF(AND(AL699="NO",AJ699&gt;=0.75),"YES","NO"))</f>
        <v/>
      </c>
      <c r="AN699" s="29" t="str">
        <f>IF(AJ699="","",IF(AJ699&lt;0.4,"Critical",IF(AJ699&lt;0.6,"Poor",IF(AJ699&lt;0.75,"Needs Improvement",IF(AJ699&lt;0.9,"Good","Excellent")))))</f>
        <v/>
      </c>
    </row>
    <row r="700" spans="1:40" ht="15" customHeight="1" x14ac:dyDescent="0.25">
      <c r="A700" s="29" t="str">
        <f>IF($B700="","",TEXT($B700,"yyyymmdd")&amp;"-"&amp;SUBSTITUTE($F700," ","")&amp;"-"&amp;TEXT(COUNTIF($F$4:F700,$F700),"00"))</f>
        <v/>
      </c>
      <c r="C700" s="29" t="str">
        <f>IF($B700="","",WEEKNUM($B700,2))</f>
        <v/>
      </c>
      <c r="D700" s="29" t="str">
        <f>IF($B700="","",TEXT($B700,"yyyy-mm"))</f>
        <v/>
      </c>
      <c r="G700" s="29" t="str">
        <f>IF(OR($E700="",$F700=""),"",IFERROR(IF($E700=INDEX([1]Cluster_Master!$A$4:$A$18,MATCH($F700,[1]Cluster_Master!$B$4:$B$18,0)),"OK","CHECK"),"CHECK"))</f>
        <v/>
      </c>
      <c r="H700" s="29" t="str">
        <f>IFERROR(INDEX([1]Cluster_Master!$C$4:$C$18,MATCH($F700,[1]Cluster_Master!$B$4:$B$18,0)),"")</f>
        <v/>
      </c>
      <c r="I700" s="29" t="str">
        <f>IFERROR(INDEX([1]Cluster_Master!$D$4:$D$18,MATCH($F700,[1]Cluster_Master!$B$4:$B$18,0)),"")</f>
        <v/>
      </c>
      <c r="J700" s="29" t="str">
        <f>IFERROR(INDEX([1]Cluster_Master!$E$4:$E$18,MATCH($F700,[1]Cluster_Master!$B$4:$B$18,0)),"")</f>
        <v/>
      </c>
      <c r="K700" s="29" t="str">
        <f>IFERROR(INDEX([1]Cluster_Master!$F$4:$F$18,MATCH($F700,[1]Cluster_Master!$B$4:$B$18,0)),"")</f>
        <v/>
      </c>
      <c r="L700" s="29" t="str">
        <f>IFERROR(INDEX([1]Cluster_Master!$G$4:$G$18,MATCH($F700,[1]Cluster_Master!$B$4:$B$18,0)),"")</f>
        <v/>
      </c>
      <c r="M700" s="29" t="str">
        <f>IFERROR(INDEX([1]Cluster_Master!$H$4:$H$18,MATCH($F700,[1]Cluster_Master!$B$4:$B$18,0)),"")</f>
        <v/>
      </c>
      <c r="AI700" s="29" t="str">
        <f>IF(COUNTA(T700:AH700)=0,"",SUM(T700:AH700))</f>
        <v/>
      </c>
      <c r="AJ700" s="29" t="str">
        <f>IF(COUNTA(T700:AH700)=0,"",AI700/75)</f>
        <v/>
      </c>
      <c r="AK700" s="29" t="str">
        <f>IF(COUNTA(T700:AH700)=0,"",(SUM(T700*[1]KPI_Weights!$B$4,U700*[1]KPI_Weights!$B$5,V700*[1]KPI_Weights!$B$6,W700*[1]KPI_Weights!$B$7,X700*[1]KPI_Weights!$B$8,Y700*[1]KPI_Weights!$B$9,Z700*[1]KPI_Weights!$B$10,AA700*[1]KPI_Weights!$B$11,AB700*[1]KPI_Weights!$B$12,AC700*[1]KPI_Weights!$B$13,AD700*[1]KPI_Weights!$B$14,AE700*[1]KPI_Weights!$B$15,AF700*[1]KPI_Weights!$B$16,AG700*[1]KPI_Weights!$B$17,AH700*[1]KPI_Weights!$B$18))/5)</f>
        <v/>
      </c>
      <c r="AL700" s="29" t="str">
        <f>IF(COUNTA(T700:AH700)=0,"",IF(OR(T700&lt;=1,W700&lt;=1,X700&lt;=1,Y700&lt;=1,AB700&lt;=1),"YES","NO"))</f>
        <v/>
      </c>
      <c r="AM700" s="29" t="str">
        <f>IF(AJ700="","",IF(AND(AL700="NO",AJ700&gt;=0.75),"YES","NO"))</f>
        <v/>
      </c>
      <c r="AN700" s="29" t="str">
        <f>IF(AJ700="","",IF(AJ700&lt;0.4,"Critical",IF(AJ700&lt;0.6,"Poor",IF(AJ700&lt;0.75,"Needs Improvement",IF(AJ700&lt;0.9,"Good","Excellent")))))</f>
        <v/>
      </c>
    </row>
    <row r="701" spans="1:40" ht="15" customHeight="1" x14ac:dyDescent="0.25">
      <c r="A701" s="29" t="str">
        <f>IF($B701="","",TEXT($B701,"yyyymmdd")&amp;"-"&amp;SUBSTITUTE($F701," ","")&amp;"-"&amp;TEXT(COUNTIF($F$4:F701,$F701),"00"))</f>
        <v/>
      </c>
      <c r="C701" s="29" t="str">
        <f>IF($B701="","",WEEKNUM($B701,2))</f>
        <v/>
      </c>
      <c r="D701" s="29" t="str">
        <f>IF($B701="","",TEXT($B701,"yyyy-mm"))</f>
        <v/>
      </c>
      <c r="G701" s="29" t="str">
        <f>IF(OR($E701="",$F701=""),"",IFERROR(IF($E701=INDEX([1]Cluster_Master!$A$4:$A$18,MATCH($F701,[1]Cluster_Master!$B$4:$B$18,0)),"OK","CHECK"),"CHECK"))</f>
        <v/>
      </c>
      <c r="H701" s="29" t="str">
        <f>IFERROR(INDEX([1]Cluster_Master!$C$4:$C$18,MATCH($F701,[1]Cluster_Master!$B$4:$B$18,0)),"")</f>
        <v/>
      </c>
      <c r="I701" s="29" t="str">
        <f>IFERROR(INDEX([1]Cluster_Master!$D$4:$D$18,MATCH($F701,[1]Cluster_Master!$B$4:$B$18,0)),"")</f>
        <v/>
      </c>
      <c r="J701" s="29" t="str">
        <f>IFERROR(INDEX([1]Cluster_Master!$E$4:$E$18,MATCH($F701,[1]Cluster_Master!$B$4:$B$18,0)),"")</f>
        <v/>
      </c>
      <c r="K701" s="29" t="str">
        <f>IFERROR(INDEX([1]Cluster_Master!$F$4:$F$18,MATCH($F701,[1]Cluster_Master!$B$4:$B$18,0)),"")</f>
        <v/>
      </c>
      <c r="L701" s="29" t="str">
        <f>IFERROR(INDEX([1]Cluster_Master!$G$4:$G$18,MATCH($F701,[1]Cluster_Master!$B$4:$B$18,0)),"")</f>
        <v/>
      </c>
      <c r="M701" s="29" t="str">
        <f>IFERROR(INDEX([1]Cluster_Master!$H$4:$H$18,MATCH($F701,[1]Cluster_Master!$B$4:$B$18,0)),"")</f>
        <v/>
      </c>
      <c r="AI701" s="29" t="str">
        <f>IF(COUNTA(T701:AH701)=0,"",SUM(T701:AH701))</f>
        <v/>
      </c>
      <c r="AJ701" s="29" t="str">
        <f>IF(COUNTA(T701:AH701)=0,"",AI701/75)</f>
        <v/>
      </c>
      <c r="AK701" s="29" t="str">
        <f>IF(COUNTA(T701:AH701)=0,"",(SUM(T701*[1]KPI_Weights!$B$4,U701*[1]KPI_Weights!$B$5,V701*[1]KPI_Weights!$B$6,W701*[1]KPI_Weights!$B$7,X701*[1]KPI_Weights!$B$8,Y701*[1]KPI_Weights!$B$9,Z701*[1]KPI_Weights!$B$10,AA701*[1]KPI_Weights!$B$11,AB701*[1]KPI_Weights!$B$12,AC701*[1]KPI_Weights!$B$13,AD701*[1]KPI_Weights!$B$14,AE701*[1]KPI_Weights!$B$15,AF701*[1]KPI_Weights!$B$16,AG701*[1]KPI_Weights!$B$17,AH701*[1]KPI_Weights!$B$18))/5)</f>
        <v/>
      </c>
      <c r="AL701" s="29" t="str">
        <f>IF(COUNTA(T701:AH701)=0,"",IF(OR(T701&lt;=1,W701&lt;=1,X701&lt;=1,Y701&lt;=1,AB701&lt;=1),"YES","NO"))</f>
        <v/>
      </c>
      <c r="AM701" s="29" t="str">
        <f>IF(AJ701="","",IF(AND(AL701="NO",AJ701&gt;=0.75),"YES","NO"))</f>
        <v/>
      </c>
      <c r="AN701" s="29" t="str">
        <f>IF(AJ701="","",IF(AJ701&lt;0.4,"Critical",IF(AJ701&lt;0.6,"Poor",IF(AJ701&lt;0.75,"Needs Improvement",IF(AJ701&lt;0.9,"Good","Excellent")))))</f>
        <v/>
      </c>
    </row>
    <row r="702" spans="1:40" ht="15" customHeight="1" x14ac:dyDescent="0.25">
      <c r="A702" s="29" t="str">
        <f>IF($B702="","",TEXT($B702,"yyyymmdd")&amp;"-"&amp;SUBSTITUTE($F702," ","")&amp;"-"&amp;TEXT(COUNTIF($F$4:F702,$F702),"00"))</f>
        <v/>
      </c>
      <c r="C702" s="29" t="str">
        <f>IF($B702="","",WEEKNUM($B702,2))</f>
        <v/>
      </c>
      <c r="D702" s="29" t="str">
        <f>IF($B702="","",TEXT($B702,"yyyy-mm"))</f>
        <v/>
      </c>
      <c r="G702" s="29" t="str">
        <f>IF(OR($E702="",$F702=""),"",IFERROR(IF($E702=INDEX([1]Cluster_Master!$A$4:$A$18,MATCH($F702,[1]Cluster_Master!$B$4:$B$18,0)),"OK","CHECK"),"CHECK"))</f>
        <v/>
      </c>
      <c r="H702" s="29" t="str">
        <f>IFERROR(INDEX([1]Cluster_Master!$C$4:$C$18,MATCH($F702,[1]Cluster_Master!$B$4:$B$18,0)),"")</f>
        <v/>
      </c>
      <c r="I702" s="29" t="str">
        <f>IFERROR(INDEX([1]Cluster_Master!$D$4:$D$18,MATCH($F702,[1]Cluster_Master!$B$4:$B$18,0)),"")</f>
        <v/>
      </c>
      <c r="J702" s="29" t="str">
        <f>IFERROR(INDEX([1]Cluster_Master!$E$4:$E$18,MATCH($F702,[1]Cluster_Master!$B$4:$B$18,0)),"")</f>
        <v/>
      </c>
      <c r="K702" s="29" t="str">
        <f>IFERROR(INDEX([1]Cluster_Master!$F$4:$F$18,MATCH($F702,[1]Cluster_Master!$B$4:$B$18,0)),"")</f>
        <v/>
      </c>
      <c r="L702" s="29" t="str">
        <f>IFERROR(INDEX([1]Cluster_Master!$G$4:$G$18,MATCH($F702,[1]Cluster_Master!$B$4:$B$18,0)),"")</f>
        <v/>
      </c>
      <c r="M702" s="29" t="str">
        <f>IFERROR(INDEX([1]Cluster_Master!$H$4:$H$18,MATCH($F702,[1]Cluster_Master!$B$4:$B$18,0)),"")</f>
        <v/>
      </c>
      <c r="AI702" s="29" t="str">
        <f>IF(COUNTA(T702:AH702)=0,"",SUM(T702:AH702))</f>
        <v/>
      </c>
      <c r="AJ702" s="29" t="str">
        <f>IF(COUNTA(T702:AH702)=0,"",AI702/75)</f>
        <v/>
      </c>
      <c r="AK702" s="29" t="str">
        <f>IF(COUNTA(T702:AH702)=0,"",(SUM(T702*[1]KPI_Weights!$B$4,U702*[1]KPI_Weights!$B$5,V702*[1]KPI_Weights!$B$6,W702*[1]KPI_Weights!$B$7,X702*[1]KPI_Weights!$B$8,Y702*[1]KPI_Weights!$B$9,Z702*[1]KPI_Weights!$B$10,AA702*[1]KPI_Weights!$B$11,AB702*[1]KPI_Weights!$B$12,AC702*[1]KPI_Weights!$B$13,AD702*[1]KPI_Weights!$B$14,AE702*[1]KPI_Weights!$B$15,AF702*[1]KPI_Weights!$B$16,AG702*[1]KPI_Weights!$B$17,AH702*[1]KPI_Weights!$B$18))/5)</f>
        <v/>
      </c>
      <c r="AL702" s="29" t="str">
        <f>IF(COUNTA(T702:AH702)=0,"",IF(OR(T702&lt;=1,W702&lt;=1,X702&lt;=1,Y702&lt;=1,AB702&lt;=1),"YES","NO"))</f>
        <v/>
      </c>
      <c r="AM702" s="29" t="str">
        <f>IF(AJ702="","",IF(AND(AL702="NO",AJ702&gt;=0.75),"YES","NO"))</f>
        <v/>
      </c>
      <c r="AN702" s="29" t="str">
        <f>IF(AJ702="","",IF(AJ702&lt;0.4,"Critical",IF(AJ702&lt;0.6,"Poor",IF(AJ702&lt;0.75,"Needs Improvement",IF(AJ702&lt;0.9,"Good","Excellent")))))</f>
        <v/>
      </c>
    </row>
    <row r="703" spans="1:40" ht="15" customHeight="1" x14ac:dyDescent="0.25">
      <c r="A703" s="29" t="str">
        <f>IF($B703="","",TEXT($B703,"yyyymmdd")&amp;"-"&amp;SUBSTITUTE($F703," ","")&amp;"-"&amp;TEXT(COUNTIF($F$4:F703,$F703),"00"))</f>
        <v/>
      </c>
      <c r="C703" s="29" t="str">
        <f>IF($B703="","",WEEKNUM($B703,2))</f>
        <v/>
      </c>
      <c r="D703" s="29" t="str">
        <f>IF($B703="","",TEXT($B703,"yyyy-mm"))</f>
        <v/>
      </c>
      <c r="G703" s="29" t="str">
        <f>IF(OR($E703="",$F703=""),"",IFERROR(IF($E703=INDEX([1]Cluster_Master!$A$4:$A$18,MATCH($F703,[1]Cluster_Master!$B$4:$B$18,0)),"OK","CHECK"),"CHECK"))</f>
        <v/>
      </c>
      <c r="H703" s="29" t="str">
        <f>IFERROR(INDEX([1]Cluster_Master!$C$4:$C$18,MATCH($F703,[1]Cluster_Master!$B$4:$B$18,0)),"")</f>
        <v/>
      </c>
      <c r="I703" s="29" t="str">
        <f>IFERROR(INDEX([1]Cluster_Master!$D$4:$D$18,MATCH($F703,[1]Cluster_Master!$B$4:$B$18,0)),"")</f>
        <v/>
      </c>
      <c r="J703" s="29" t="str">
        <f>IFERROR(INDEX([1]Cluster_Master!$E$4:$E$18,MATCH($F703,[1]Cluster_Master!$B$4:$B$18,0)),"")</f>
        <v/>
      </c>
      <c r="K703" s="29" t="str">
        <f>IFERROR(INDEX([1]Cluster_Master!$F$4:$F$18,MATCH($F703,[1]Cluster_Master!$B$4:$B$18,0)),"")</f>
        <v/>
      </c>
      <c r="L703" s="29" t="str">
        <f>IFERROR(INDEX([1]Cluster_Master!$G$4:$G$18,MATCH($F703,[1]Cluster_Master!$B$4:$B$18,0)),"")</f>
        <v/>
      </c>
      <c r="M703" s="29" t="str">
        <f>IFERROR(INDEX([1]Cluster_Master!$H$4:$H$18,MATCH($F703,[1]Cluster_Master!$B$4:$B$18,0)),"")</f>
        <v/>
      </c>
      <c r="AI703" s="29" t="str">
        <f>IF(COUNTA(T703:AH703)=0,"",SUM(T703:AH703))</f>
        <v/>
      </c>
      <c r="AJ703" s="29" t="str">
        <f>IF(COUNTA(T703:AH703)=0,"",AI703/75)</f>
        <v/>
      </c>
      <c r="AK703" s="29" t="str">
        <f>IF(COUNTA(T703:AH703)=0,"",(SUM(T703*[1]KPI_Weights!$B$4,U703*[1]KPI_Weights!$B$5,V703*[1]KPI_Weights!$B$6,W703*[1]KPI_Weights!$B$7,X703*[1]KPI_Weights!$B$8,Y703*[1]KPI_Weights!$B$9,Z703*[1]KPI_Weights!$B$10,AA703*[1]KPI_Weights!$B$11,AB703*[1]KPI_Weights!$B$12,AC703*[1]KPI_Weights!$B$13,AD703*[1]KPI_Weights!$B$14,AE703*[1]KPI_Weights!$B$15,AF703*[1]KPI_Weights!$B$16,AG703*[1]KPI_Weights!$B$17,AH703*[1]KPI_Weights!$B$18))/5)</f>
        <v/>
      </c>
      <c r="AL703" s="29" t="str">
        <f>IF(COUNTA(T703:AH703)=0,"",IF(OR(T703&lt;=1,W703&lt;=1,X703&lt;=1,Y703&lt;=1,AB703&lt;=1),"YES","NO"))</f>
        <v/>
      </c>
      <c r="AM703" s="29" t="str">
        <f>IF(AJ703="","",IF(AND(AL703="NO",AJ703&gt;=0.75),"YES","NO"))</f>
        <v/>
      </c>
      <c r="AN703" s="29" t="str">
        <f>IF(AJ703="","",IF(AJ703&lt;0.4,"Critical",IF(AJ703&lt;0.6,"Poor",IF(AJ703&lt;0.75,"Needs Improvement",IF(AJ703&lt;0.9,"Good","Excellent")))))</f>
        <v/>
      </c>
    </row>
    <row r="704" spans="1:40" ht="15" customHeight="1" x14ac:dyDescent="0.25">
      <c r="A704" s="29" t="str">
        <f>IF($B704="","",TEXT($B704,"yyyymmdd")&amp;"-"&amp;SUBSTITUTE($F704," ","")&amp;"-"&amp;TEXT(COUNTIF($F$4:F704,$F704),"00"))</f>
        <v/>
      </c>
      <c r="C704" s="29" t="str">
        <f>IF($B704="","",WEEKNUM($B704,2))</f>
        <v/>
      </c>
      <c r="D704" s="29" t="str">
        <f>IF($B704="","",TEXT($B704,"yyyy-mm"))</f>
        <v/>
      </c>
      <c r="G704" s="29" t="str">
        <f>IF(OR($E704="",$F704=""),"",IFERROR(IF($E704=INDEX([1]Cluster_Master!$A$4:$A$18,MATCH($F704,[1]Cluster_Master!$B$4:$B$18,0)),"OK","CHECK"),"CHECK"))</f>
        <v/>
      </c>
      <c r="H704" s="29" t="str">
        <f>IFERROR(INDEX([1]Cluster_Master!$C$4:$C$18,MATCH($F704,[1]Cluster_Master!$B$4:$B$18,0)),"")</f>
        <v/>
      </c>
      <c r="I704" s="29" t="str">
        <f>IFERROR(INDEX([1]Cluster_Master!$D$4:$D$18,MATCH($F704,[1]Cluster_Master!$B$4:$B$18,0)),"")</f>
        <v/>
      </c>
      <c r="J704" s="29" t="str">
        <f>IFERROR(INDEX([1]Cluster_Master!$E$4:$E$18,MATCH($F704,[1]Cluster_Master!$B$4:$B$18,0)),"")</f>
        <v/>
      </c>
      <c r="K704" s="29" t="str">
        <f>IFERROR(INDEX([1]Cluster_Master!$F$4:$F$18,MATCH($F704,[1]Cluster_Master!$B$4:$B$18,0)),"")</f>
        <v/>
      </c>
      <c r="L704" s="29" t="str">
        <f>IFERROR(INDEX([1]Cluster_Master!$G$4:$G$18,MATCH($F704,[1]Cluster_Master!$B$4:$B$18,0)),"")</f>
        <v/>
      </c>
      <c r="M704" s="29" t="str">
        <f>IFERROR(INDEX([1]Cluster_Master!$H$4:$H$18,MATCH($F704,[1]Cluster_Master!$B$4:$B$18,0)),"")</f>
        <v/>
      </c>
      <c r="AI704" s="29" t="str">
        <f>IF(COUNTA(T704:AH704)=0,"",SUM(T704:AH704))</f>
        <v/>
      </c>
      <c r="AJ704" s="29" t="str">
        <f>IF(COUNTA(T704:AH704)=0,"",AI704/75)</f>
        <v/>
      </c>
      <c r="AK704" s="29" t="str">
        <f>IF(COUNTA(T704:AH704)=0,"",(SUM(T704*[1]KPI_Weights!$B$4,U704*[1]KPI_Weights!$B$5,V704*[1]KPI_Weights!$B$6,W704*[1]KPI_Weights!$B$7,X704*[1]KPI_Weights!$B$8,Y704*[1]KPI_Weights!$B$9,Z704*[1]KPI_Weights!$B$10,AA704*[1]KPI_Weights!$B$11,AB704*[1]KPI_Weights!$B$12,AC704*[1]KPI_Weights!$B$13,AD704*[1]KPI_Weights!$B$14,AE704*[1]KPI_Weights!$B$15,AF704*[1]KPI_Weights!$B$16,AG704*[1]KPI_Weights!$B$17,AH704*[1]KPI_Weights!$B$18))/5)</f>
        <v/>
      </c>
      <c r="AL704" s="29" t="str">
        <f>IF(COUNTA(T704:AH704)=0,"",IF(OR(T704&lt;=1,W704&lt;=1,X704&lt;=1,Y704&lt;=1,AB704&lt;=1),"YES","NO"))</f>
        <v/>
      </c>
      <c r="AM704" s="29" t="str">
        <f>IF(AJ704="","",IF(AND(AL704="NO",AJ704&gt;=0.75),"YES","NO"))</f>
        <v/>
      </c>
      <c r="AN704" s="29" t="str">
        <f>IF(AJ704="","",IF(AJ704&lt;0.4,"Critical",IF(AJ704&lt;0.6,"Poor",IF(AJ704&lt;0.75,"Needs Improvement",IF(AJ704&lt;0.9,"Good","Excellent")))))</f>
        <v/>
      </c>
    </row>
    <row r="705" spans="1:40" ht="15" customHeight="1" x14ac:dyDescent="0.25">
      <c r="A705" s="29" t="str">
        <f>IF($B705="","",TEXT($B705,"yyyymmdd")&amp;"-"&amp;SUBSTITUTE($F705," ","")&amp;"-"&amp;TEXT(COUNTIF($F$4:F705,$F705),"00"))</f>
        <v/>
      </c>
      <c r="C705" s="29" t="str">
        <f>IF($B705="","",WEEKNUM($B705,2))</f>
        <v/>
      </c>
      <c r="D705" s="29" t="str">
        <f>IF($B705="","",TEXT($B705,"yyyy-mm"))</f>
        <v/>
      </c>
      <c r="G705" s="29" t="str">
        <f>IF(OR($E705="",$F705=""),"",IFERROR(IF($E705=INDEX([1]Cluster_Master!$A$4:$A$18,MATCH($F705,[1]Cluster_Master!$B$4:$B$18,0)),"OK","CHECK"),"CHECK"))</f>
        <v/>
      </c>
      <c r="H705" s="29" t="str">
        <f>IFERROR(INDEX([1]Cluster_Master!$C$4:$C$18,MATCH($F705,[1]Cluster_Master!$B$4:$B$18,0)),"")</f>
        <v/>
      </c>
      <c r="I705" s="29" t="str">
        <f>IFERROR(INDEX([1]Cluster_Master!$D$4:$D$18,MATCH($F705,[1]Cluster_Master!$B$4:$B$18,0)),"")</f>
        <v/>
      </c>
      <c r="J705" s="29" t="str">
        <f>IFERROR(INDEX([1]Cluster_Master!$E$4:$E$18,MATCH($F705,[1]Cluster_Master!$B$4:$B$18,0)),"")</f>
        <v/>
      </c>
      <c r="K705" s="29" t="str">
        <f>IFERROR(INDEX([1]Cluster_Master!$F$4:$F$18,MATCH($F705,[1]Cluster_Master!$B$4:$B$18,0)),"")</f>
        <v/>
      </c>
      <c r="L705" s="29" t="str">
        <f>IFERROR(INDEX([1]Cluster_Master!$G$4:$G$18,MATCH($F705,[1]Cluster_Master!$B$4:$B$18,0)),"")</f>
        <v/>
      </c>
      <c r="M705" s="29" t="str">
        <f>IFERROR(INDEX([1]Cluster_Master!$H$4:$H$18,MATCH($F705,[1]Cluster_Master!$B$4:$B$18,0)),"")</f>
        <v/>
      </c>
      <c r="AI705" s="29" t="str">
        <f>IF(COUNTA(T705:AH705)=0,"",SUM(T705:AH705))</f>
        <v/>
      </c>
      <c r="AJ705" s="29" t="str">
        <f>IF(COUNTA(T705:AH705)=0,"",AI705/75)</f>
        <v/>
      </c>
      <c r="AK705" s="29" t="str">
        <f>IF(COUNTA(T705:AH705)=0,"",(SUM(T705*[1]KPI_Weights!$B$4,U705*[1]KPI_Weights!$B$5,V705*[1]KPI_Weights!$B$6,W705*[1]KPI_Weights!$B$7,X705*[1]KPI_Weights!$B$8,Y705*[1]KPI_Weights!$B$9,Z705*[1]KPI_Weights!$B$10,AA705*[1]KPI_Weights!$B$11,AB705*[1]KPI_Weights!$B$12,AC705*[1]KPI_Weights!$B$13,AD705*[1]KPI_Weights!$B$14,AE705*[1]KPI_Weights!$B$15,AF705*[1]KPI_Weights!$B$16,AG705*[1]KPI_Weights!$B$17,AH705*[1]KPI_Weights!$B$18))/5)</f>
        <v/>
      </c>
      <c r="AL705" s="29" t="str">
        <f>IF(COUNTA(T705:AH705)=0,"",IF(OR(T705&lt;=1,W705&lt;=1,X705&lt;=1,Y705&lt;=1,AB705&lt;=1),"YES","NO"))</f>
        <v/>
      </c>
      <c r="AM705" s="29" t="str">
        <f>IF(AJ705="","",IF(AND(AL705="NO",AJ705&gt;=0.75),"YES","NO"))</f>
        <v/>
      </c>
      <c r="AN705" s="29" t="str">
        <f>IF(AJ705="","",IF(AJ705&lt;0.4,"Critical",IF(AJ705&lt;0.6,"Poor",IF(AJ705&lt;0.75,"Needs Improvement",IF(AJ705&lt;0.9,"Good","Excellent")))))</f>
        <v/>
      </c>
    </row>
    <row r="706" spans="1:40" ht="15" customHeight="1" x14ac:dyDescent="0.25">
      <c r="A706" s="29" t="str">
        <f>IF($B706="","",TEXT($B706,"yyyymmdd")&amp;"-"&amp;SUBSTITUTE($F706," ","")&amp;"-"&amp;TEXT(COUNTIF($F$4:F706,$F706),"00"))</f>
        <v/>
      </c>
      <c r="C706" s="29" t="str">
        <f>IF($B706="","",WEEKNUM($B706,2))</f>
        <v/>
      </c>
      <c r="D706" s="29" t="str">
        <f>IF($B706="","",TEXT($B706,"yyyy-mm"))</f>
        <v/>
      </c>
      <c r="G706" s="29" t="str">
        <f>IF(OR($E706="",$F706=""),"",IFERROR(IF($E706=INDEX([1]Cluster_Master!$A$4:$A$18,MATCH($F706,[1]Cluster_Master!$B$4:$B$18,0)),"OK","CHECK"),"CHECK"))</f>
        <v/>
      </c>
      <c r="H706" s="29" t="str">
        <f>IFERROR(INDEX([1]Cluster_Master!$C$4:$C$18,MATCH($F706,[1]Cluster_Master!$B$4:$B$18,0)),"")</f>
        <v/>
      </c>
      <c r="I706" s="29" t="str">
        <f>IFERROR(INDEX([1]Cluster_Master!$D$4:$D$18,MATCH($F706,[1]Cluster_Master!$B$4:$B$18,0)),"")</f>
        <v/>
      </c>
      <c r="J706" s="29" t="str">
        <f>IFERROR(INDEX([1]Cluster_Master!$E$4:$E$18,MATCH($F706,[1]Cluster_Master!$B$4:$B$18,0)),"")</f>
        <v/>
      </c>
      <c r="K706" s="29" t="str">
        <f>IFERROR(INDEX([1]Cluster_Master!$F$4:$F$18,MATCH($F706,[1]Cluster_Master!$B$4:$B$18,0)),"")</f>
        <v/>
      </c>
      <c r="L706" s="29" t="str">
        <f>IFERROR(INDEX([1]Cluster_Master!$G$4:$G$18,MATCH($F706,[1]Cluster_Master!$B$4:$B$18,0)),"")</f>
        <v/>
      </c>
      <c r="M706" s="29" t="str">
        <f>IFERROR(INDEX([1]Cluster_Master!$H$4:$H$18,MATCH($F706,[1]Cluster_Master!$B$4:$B$18,0)),"")</f>
        <v/>
      </c>
      <c r="AI706" s="29" t="str">
        <f>IF(COUNTA(T706:AH706)=0,"",SUM(T706:AH706))</f>
        <v/>
      </c>
      <c r="AJ706" s="29" t="str">
        <f>IF(COUNTA(T706:AH706)=0,"",AI706/75)</f>
        <v/>
      </c>
      <c r="AK706" s="29" t="str">
        <f>IF(COUNTA(T706:AH706)=0,"",(SUM(T706*[1]KPI_Weights!$B$4,U706*[1]KPI_Weights!$B$5,V706*[1]KPI_Weights!$B$6,W706*[1]KPI_Weights!$B$7,X706*[1]KPI_Weights!$B$8,Y706*[1]KPI_Weights!$B$9,Z706*[1]KPI_Weights!$B$10,AA706*[1]KPI_Weights!$B$11,AB706*[1]KPI_Weights!$B$12,AC706*[1]KPI_Weights!$B$13,AD706*[1]KPI_Weights!$B$14,AE706*[1]KPI_Weights!$B$15,AF706*[1]KPI_Weights!$B$16,AG706*[1]KPI_Weights!$B$17,AH706*[1]KPI_Weights!$B$18))/5)</f>
        <v/>
      </c>
      <c r="AL706" s="29" t="str">
        <f>IF(COUNTA(T706:AH706)=0,"",IF(OR(T706&lt;=1,W706&lt;=1,X706&lt;=1,Y706&lt;=1,AB706&lt;=1),"YES","NO"))</f>
        <v/>
      </c>
      <c r="AM706" s="29" t="str">
        <f>IF(AJ706="","",IF(AND(AL706="NO",AJ706&gt;=0.75),"YES","NO"))</f>
        <v/>
      </c>
      <c r="AN706" s="29" t="str">
        <f>IF(AJ706="","",IF(AJ706&lt;0.4,"Critical",IF(AJ706&lt;0.6,"Poor",IF(AJ706&lt;0.75,"Needs Improvement",IF(AJ706&lt;0.9,"Good","Excellent")))))</f>
        <v/>
      </c>
    </row>
    <row r="707" spans="1:40" ht="15" customHeight="1" x14ac:dyDescent="0.25">
      <c r="A707" s="29" t="str">
        <f>IF($B707="","",TEXT($B707,"yyyymmdd")&amp;"-"&amp;SUBSTITUTE($F707," ","")&amp;"-"&amp;TEXT(COUNTIF($F$4:F707,$F707),"00"))</f>
        <v/>
      </c>
      <c r="C707" s="29" t="str">
        <f>IF($B707="","",WEEKNUM($B707,2))</f>
        <v/>
      </c>
      <c r="D707" s="29" t="str">
        <f>IF($B707="","",TEXT($B707,"yyyy-mm"))</f>
        <v/>
      </c>
      <c r="G707" s="29" t="str">
        <f>IF(OR($E707="",$F707=""),"",IFERROR(IF($E707=INDEX([1]Cluster_Master!$A$4:$A$18,MATCH($F707,[1]Cluster_Master!$B$4:$B$18,0)),"OK","CHECK"),"CHECK"))</f>
        <v/>
      </c>
      <c r="H707" s="29" t="str">
        <f>IFERROR(INDEX([1]Cluster_Master!$C$4:$C$18,MATCH($F707,[1]Cluster_Master!$B$4:$B$18,0)),"")</f>
        <v/>
      </c>
      <c r="I707" s="29" t="str">
        <f>IFERROR(INDEX([1]Cluster_Master!$D$4:$D$18,MATCH($F707,[1]Cluster_Master!$B$4:$B$18,0)),"")</f>
        <v/>
      </c>
      <c r="J707" s="29" t="str">
        <f>IFERROR(INDEX([1]Cluster_Master!$E$4:$E$18,MATCH($F707,[1]Cluster_Master!$B$4:$B$18,0)),"")</f>
        <v/>
      </c>
      <c r="K707" s="29" t="str">
        <f>IFERROR(INDEX([1]Cluster_Master!$F$4:$F$18,MATCH($F707,[1]Cluster_Master!$B$4:$B$18,0)),"")</f>
        <v/>
      </c>
      <c r="L707" s="29" t="str">
        <f>IFERROR(INDEX([1]Cluster_Master!$G$4:$G$18,MATCH($F707,[1]Cluster_Master!$B$4:$B$18,0)),"")</f>
        <v/>
      </c>
      <c r="M707" s="29" t="str">
        <f>IFERROR(INDEX([1]Cluster_Master!$H$4:$H$18,MATCH($F707,[1]Cluster_Master!$B$4:$B$18,0)),"")</f>
        <v/>
      </c>
      <c r="AI707" s="29" t="str">
        <f>IF(COUNTA(T707:AH707)=0,"",SUM(T707:AH707))</f>
        <v/>
      </c>
      <c r="AJ707" s="29" t="str">
        <f>IF(COUNTA(T707:AH707)=0,"",AI707/75)</f>
        <v/>
      </c>
      <c r="AK707" s="29" t="str">
        <f>IF(COUNTA(T707:AH707)=0,"",(SUM(T707*[1]KPI_Weights!$B$4,U707*[1]KPI_Weights!$B$5,V707*[1]KPI_Weights!$B$6,W707*[1]KPI_Weights!$B$7,X707*[1]KPI_Weights!$B$8,Y707*[1]KPI_Weights!$B$9,Z707*[1]KPI_Weights!$B$10,AA707*[1]KPI_Weights!$B$11,AB707*[1]KPI_Weights!$B$12,AC707*[1]KPI_Weights!$B$13,AD707*[1]KPI_Weights!$B$14,AE707*[1]KPI_Weights!$B$15,AF707*[1]KPI_Weights!$B$16,AG707*[1]KPI_Weights!$B$17,AH707*[1]KPI_Weights!$B$18))/5)</f>
        <v/>
      </c>
      <c r="AL707" s="29" t="str">
        <f>IF(COUNTA(T707:AH707)=0,"",IF(OR(T707&lt;=1,W707&lt;=1,X707&lt;=1,Y707&lt;=1,AB707&lt;=1),"YES","NO"))</f>
        <v/>
      </c>
      <c r="AM707" s="29" t="str">
        <f>IF(AJ707="","",IF(AND(AL707="NO",AJ707&gt;=0.75),"YES","NO"))</f>
        <v/>
      </c>
      <c r="AN707" s="29" t="str">
        <f>IF(AJ707="","",IF(AJ707&lt;0.4,"Critical",IF(AJ707&lt;0.6,"Poor",IF(AJ707&lt;0.75,"Needs Improvement",IF(AJ707&lt;0.9,"Good","Excellent")))))</f>
        <v/>
      </c>
    </row>
    <row r="708" spans="1:40" ht="15" customHeight="1" x14ac:dyDescent="0.25">
      <c r="A708" s="29" t="str">
        <f>IF($B708="","",TEXT($B708,"yyyymmdd")&amp;"-"&amp;SUBSTITUTE($F708," ","")&amp;"-"&amp;TEXT(COUNTIF($F$4:F708,$F708),"00"))</f>
        <v/>
      </c>
      <c r="C708" s="29" t="str">
        <f>IF($B708="","",WEEKNUM($B708,2))</f>
        <v/>
      </c>
      <c r="D708" s="29" t="str">
        <f>IF($B708="","",TEXT($B708,"yyyy-mm"))</f>
        <v/>
      </c>
      <c r="G708" s="29" t="str">
        <f>IF(OR($E708="",$F708=""),"",IFERROR(IF($E708=INDEX([1]Cluster_Master!$A$4:$A$18,MATCH($F708,[1]Cluster_Master!$B$4:$B$18,0)),"OK","CHECK"),"CHECK"))</f>
        <v/>
      </c>
      <c r="H708" s="29" t="str">
        <f>IFERROR(INDEX([1]Cluster_Master!$C$4:$C$18,MATCH($F708,[1]Cluster_Master!$B$4:$B$18,0)),"")</f>
        <v/>
      </c>
      <c r="I708" s="29" t="str">
        <f>IFERROR(INDEX([1]Cluster_Master!$D$4:$D$18,MATCH($F708,[1]Cluster_Master!$B$4:$B$18,0)),"")</f>
        <v/>
      </c>
      <c r="J708" s="29" t="str">
        <f>IFERROR(INDEX([1]Cluster_Master!$E$4:$E$18,MATCH($F708,[1]Cluster_Master!$B$4:$B$18,0)),"")</f>
        <v/>
      </c>
      <c r="K708" s="29" t="str">
        <f>IFERROR(INDEX([1]Cluster_Master!$F$4:$F$18,MATCH($F708,[1]Cluster_Master!$B$4:$B$18,0)),"")</f>
        <v/>
      </c>
      <c r="L708" s="29" t="str">
        <f>IFERROR(INDEX([1]Cluster_Master!$G$4:$G$18,MATCH($F708,[1]Cluster_Master!$B$4:$B$18,0)),"")</f>
        <v/>
      </c>
      <c r="M708" s="29" t="str">
        <f>IFERROR(INDEX([1]Cluster_Master!$H$4:$H$18,MATCH($F708,[1]Cluster_Master!$B$4:$B$18,0)),"")</f>
        <v/>
      </c>
      <c r="AI708" s="29" t="str">
        <f>IF(COUNTA(T708:AH708)=0,"",SUM(T708:AH708))</f>
        <v/>
      </c>
      <c r="AJ708" s="29" t="str">
        <f>IF(COUNTA(T708:AH708)=0,"",AI708/75)</f>
        <v/>
      </c>
      <c r="AK708" s="29" t="str">
        <f>IF(COUNTA(T708:AH708)=0,"",(SUM(T708*[1]KPI_Weights!$B$4,U708*[1]KPI_Weights!$B$5,V708*[1]KPI_Weights!$B$6,W708*[1]KPI_Weights!$B$7,X708*[1]KPI_Weights!$B$8,Y708*[1]KPI_Weights!$B$9,Z708*[1]KPI_Weights!$B$10,AA708*[1]KPI_Weights!$B$11,AB708*[1]KPI_Weights!$B$12,AC708*[1]KPI_Weights!$B$13,AD708*[1]KPI_Weights!$B$14,AE708*[1]KPI_Weights!$B$15,AF708*[1]KPI_Weights!$B$16,AG708*[1]KPI_Weights!$B$17,AH708*[1]KPI_Weights!$B$18))/5)</f>
        <v/>
      </c>
      <c r="AL708" s="29" t="str">
        <f>IF(COUNTA(T708:AH708)=0,"",IF(OR(T708&lt;=1,W708&lt;=1,X708&lt;=1,Y708&lt;=1,AB708&lt;=1),"YES","NO"))</f>
        <v/>
      </c>
      <c r="AM708" s="29" t="str">
        <f>IF(AJ708="","",IF(AND(AL708="NO",AJ708&gt;=0.75),"YES","NO"))</f>
        <v/>
      </c>
      <c r="AN708" s="29" t="str">
        <f>IF(AJ708="","",IF(AJ708&lt;0.4,"Critical",IF(AJ708&lt;0.6,"Poor",IF(AJ708&lt;0.75,"Needs Improvement",IF(AJ708&lt;0.9,"Good","Excellent")))))</f>
        <v/>
      </c>
    </row>
    <row r="709" spans="1:40" ht="15" customHeight="1" x14ac:dyDescent="0.25">
      <c r="A709" s="29" t="str">
        <f>IF($B709="","",TEXT($B709,"yyyymmdd")&amp;"-"&amp;SUBSTITUTE($F709," ","")&amp;"-"&amp;TEXT(COUNTIF($F$4:F709,$F709),"00"))</f>
        <v/>
      </c>
      <c r="C709" s="29" t="str">
        <f>IF($B709="","",WEEKNUM($B709,2))</f>
        <v/>
      </c>
      <c r="D709" s="29" t="str">
        <f>IF($B709="","",TEXT($B709,"yyyy-mm"))</f>
        <v/>
      </c>
      <c r="G709" s="29" t="str">
        <f>IF(OR($E709="",$F709=""),"",IFERROR(IF($E709=INDEX([1]Cluster_Master!$A$4:$A$18,MATCH($F709,[1]Cluster_Master!$B$4:$B$18,0)),"OK","CHECK"),"CHECK"))</f>
        <v/>
      </c>
      <c r="H709" s="29" t="str">
        <f>IFERROR(INDEX([1]Cluster_Master!$C$4:$C$18,MATCH($F709,[1]Cluster_Master!$B$4:$B$18,0)),"")</f>
        <v/>
      </c>
      <c r="I709" s="29" t="str">
        <f>IFERROR(INDEX([1]Cluster_Master!$D$4:$D$18,MATCH($F709,[1]Cluster_Master!$B$4:$B$18,0)),"")</f>
        <v/>
      </c>
      <c r="J709" s="29" t="str">
        <f>IFERROR(INDEX([1]Cluster_Master!$E$4:$E$18,MATCH($F709,[1]Cluster_Master!$B$4:$B$18,0)),"")</f>
        <v/>
      </c>
      <c r="K709" s="29" t="str">
        <f>IFERROR(INDEX([1]Cluster_Master!$F$4:$F$18,MATCH($F709,[1]Cluster_Master!$B$4:$B$18,0)),"")</f>
        <v/>
      </c>
      <c r="L709" s="29" t="str">
        <f>IFERROR(INDEX([1]Cluster_Master!$G$4:$G$18,MATCH($F709,[1]Cluster_Master!$B$4:$B$18,0)),"")</f>
        <v/>
      </c>
      <c r="M709" s="29" t="str">
        <f>IFERROR(INDEX([1]Cluster_Master!$H$4:$H$18,MATCH($F709,[1]Cluster_Master!$B$4:$B$18,0)),"")</f>
        <v/>
      </c>
      <c r="AI709" s="29" t="str">
        <f>IF(COUNTA(T709:AH709)=0,"",SUM(T709:AH709))</f>
        <v/>
      </c>
      <c r="AJ709" s="29" t="str">
        <f>IF(COUNTA(T709:AH709)=0,"",AI709/75)</f>
        <v/>
      </c>
      <c r="AK709" s="29" t="str">
        <f>IF(COUNTA(T709:AH709)=0,"",(SUM(T709*[1]KPI_Weights!$B$4,U709*[1]KPI_Weights!$B$5,V709*[1]KPI_Weights!$B$6,W709*[1]KPI_Weights!$B$7,X709*[1]KPI_Weights!$B$8,Y709*[1]KPI_Weights!$B$9,Z709*[1]KPI_Weights!$B$10,AA709*[1]KPI_Weights!$B$11,AB709*[1]KPI_Weights!$B$12,AC709*[1]KPI_Weights!$B$13,AD709*[1]KPI_Weights!$B$14,AE709*[1]KPI_Weights!$B$15,AF709*[1]KPI_Weights!$B$16,AG709*[1]KPI_Weights!$B$17,AH709*[1]KPI_Weights!$B$18))/5)</f>
        <v/>
      </c>
      <c r="AL709" s="29" t="str">
        <f>IF(COUNTA(T709:AH709)=0,"",IF(OR(T709&lt;=1,W709&lt;=1,X709&lt;=1,Y709&lt;=1,AB709&lt;=1),"YES","NO"))</f>
        <v/>
      </c>
      <c r="AM709" s="29" t="str">
        <f>IF(AJ709="","",IF(AND(AL709="NO",AJ709&gt;=0.75),"YES","NO"))</f>
        <v/>
      </c>
      <c r="AN709" s="29" t="str">
        <f>IF(AJ709="","",IF(AJ709&lt;0.4,"Critical",IF(AJ709&lt;0.6,"Poor",IF(AJ709&lt;0.75,"Needs Improvement",IF(AJ709&lt;0.9,"Good","Excellent")))))</f>
        <v/>
      </c>
    </row>
    <row r="710" spans="1:40" ht="15" customHeight="1" x14ac:dyDescent="0.25">
      <c r="A710" s="29" t="str">
        <f>IF($B710="","",TEXT($B710,"yyyymmdd")&amp;"-"&amp;SUBSTITUTE($F710," ","")&amp;"-"&amp;TEXT(COUNTIF($F$4:F710,$F710),"00"))</f>
        <v/>
      </c>
      <c r="C710" s="29" t="str">
        <f>IF($B710="","",WEEKNUM($B710,2))</f>
        <v/>
      </c>
      <c r="D710" s="29" t="str">
        <f>IF($B710="","",TEXT($B710,"yyyy-mm"))</f>
        <v/>
      </c>
      <c r="G710" s="29" t="str">
        <f>IF(OR($E710="",$F710=""),"",IFERROR(IF($E710=INDEX([1]Cluster_Master!$A$4:$A$18,MATCH($F710,[1]Cluster_Master!$B$4:$B$18,0)),"OK","CHECK"),"CHECK"))</f>
        <v/>
      </c>
      <c r="H710" s="29" t="str">
        <f>IFERROR(INDEX([1]Cluster_Master!$C$4:$C$18,MATCH($F710,[1]Cluster_Master!$B$4:$B$18,0)),"")</f>
        <v/>
      </c>
      <c r="I710" s="29" t="str">
        <f>IFERROR(INDEX([1]Cluster_Master!$D$4:$D$18,MATCH($F710,[1]Cluster_Master!$B$4:$B$18,0)),"")</f>
        <v/>
      </c>
      <c r="J710" s="29" t="str">
        <f>IFERROR(INDEX([1]Cluster_Master!$E$4:$E$18,MATCH($F710,[1]Cluster_Master!$B$4:$B$18,0)),"")</f>
        <v/>
      </c>
      <c r="K710" s="29" t="str">
        <f>IFERROR(INDEX([1]Cluster_Master!$F$4:$F$18,MATCH($F710,[1]Cluster_Master!$B$4:$B$18,0)),"")</f>
        <v/>
      </c>
      <c r="L710" s="29" t="str">
        <f>IFERROR(INDEX([1]Cluster_Master!$G$4:$G$18,MATCH($F710,[1]Cluster_Master!$B$4:$B$18,0)),"")</f>
        <v/>
      </c>
      <c r="M710" s="29" t="str">
        <f>IFERROR(INDEX([1]Cluster_Master!$H$4:$H$18,MATCH($F710,[1]Cluster_Master!$B$4:$B$18,0)),"")</f>
        <v/>
      </c>
      <c r="AI710" s="29" t="str">
        <f>IF(COUNTA(T710:AH710)=0,"",SUM(T710:AH710))</f>
        <v/>
      </c>
      <c r="AJ710" s="29" t="str">
        <f>IF(COUNTA(T710:AH710)=0,"",AI710/75)</f>
        <v/>
      </c>
      <c r="AK710" s="29" t="str">
        <f>IF(COUNTA(T710:AH710)=0,"",(SUM(T710*[1]KPI_Weights!$B$4,U710*[1]KPI_Weights!$B$5,V710*[1]KPI_Weights!$B$6,W710*[1]KPI_Weights!$B$7,X710*[1]KPI_Weights!$B$8,Y710*[1]KPI_Weights!$B$9,Z710*[1]KPI_Weights!$B$10,AA710*[1]KPI_Weights!$B$11,AB710*[1]KPI_Weights!$B$12,AC710*[1]KPI_Weights!$B$13,AD710*[1]KPI_Weights!$B$14,AE710*[1]KPI_Weights!$B$15,AF710*[1]KPI_Weights!$B$16,AG710*[1]KPI_Weights!$B$17,AH710*[1]KPI_Weights!$B$18))/5)</f>
        <v/>
      </c>
      <c r="AL710" s="29" t="str">
        <f>IF(COUNTA(T710:AH710)=0,"",IF(OR(T710&lt;=1,W710&lt;=1,X710&lt;=1,Y710&lt;=1,AB710&lt;=1),"YES","NO"))</f>
        <v/>
      </c>
      <c r="AM710" s="29" t="str">
        <f>IF(AJ710="","",IF(AND(AL710="NO",AJ710&gt;=0.75),"YES","NO"))</f>
        <v/>
      </c>
      <c r="AN710" s="29" t="str">
        <f>IF(AJ710="","",IF(AJ710&lt;0.4,"Critical",IF(AJ710&lt;0.6,"Poor",IF(AJ710&lt;0.75,"Needs Improvement",IF(AJ710&lt;0.9,"Good","Excellent")))))</f>
        <v/>
      </c>
    </row>
    <row r="711" spans="1:40" ht="15" customHeight="1" x14ac:dyDescent="0.25">
      <c r="A711" s="29" t="str">
        <f>IF($B711="","",TEXT($B711,"yyyymmdd")&amp;"-"&amp;SUBSTITUTE($F711," ","")&amp;"-"&amp;TEXT(COUNTIF($F$4:F711,$F711),"00"))</f>
        <v/>
      </c>
      <c r="C711" s="29" t="str">
        <f>IF($B711="","",WEEKNUM($B711,2))</f>
        <v/>
      </c>
      <c r="D711" s="29" t="str">
        <f>IF($B711="","",TEXT($B711,"yyyy-mm"))</f>
        <v/>
      </c>
      <c r="G711" s="29" t="str">
        <f>IF(OR($E711="",$F711=""),"",IFERROR(IF($E711=INDEX([1]Cluster_Master!$A$4:$A$18,MATCH($F711,[1]Cluster_Master!$B$4:$B$18,0)),"OK","CHECK"),"CHECK"))</f>
        <v/>
      </c>
      <c r="H711" s="29" t="str">
        <f>IFERROR(INDEX([1]Cluster_Master!$C$4:$C$18,MATCH($F711,[1]Cluster_Master!$B$4:$B$18,0)),"")</f>
        <v/>
      </c>
      <c r="I711" s="29" t="str">
        <f>IFERROR(INDEX([1]Cluster_Master!$D$4:$D$18,MATCH($F711,[1]Cluster_Master!$B$4:$B$18,0)),"")</f>
        <v/>
      </c>
      <c r="J711" s="29" t="str">
        <f>IFERROR(INDEX([1]Cluster_Master!$E$4:$E$18,MATCH($F711,[1]Cluster_Master!$B$4:$B$18,0)),"")</f>
        <v/>
      </c>
      <c r="K711" s="29" t="str">
        <f>IFERROR(INDEX([1]Cluster_Master!$F$4:$F$18,MATCH($F711,[1]Cluster_Master!$B$4:$B$18,0)),"")</f>
        <v/>
      </c>
      <c r="L711" s="29" t="str">
        <f>IFERROR(INDEX([1]Cluster_Master!$G$4:$G$18,MATCH($F711,[1]Cluster_Master!$B$4:$B$18,0)),"")</f>
        <v/>
      </c>
      <c r="M711" s="29" t="str">
        <f>IFERROR(INDEX([1]Cluster_Master!$H$4:$H$18,MATCH($F711,[1]Cluster_Master!$B$4:$B$18,0)),"")</f>
        <v/>
      </c>
      <c r="AI711" s="29" t="str">
        <f>IF(COUNTA(T711:AH711)=0,"",SUM(T711:AH711))</f>
        <v/>
      </c>
      <c r="AJ711" s="29" t="str">
        <f>IF(COUNTA(T711:AH711)=0,"",AI711/75)</f>
        <v/>
      </c>
      <c r="AK711" s="29" t="str">
        <f>IF(COUNTA(T711:AH711)=0,"",(SUM(T711*[1]KPI_Weights!$B$4,U711*[1]KPI_Weights!$B$5,V711*[1]KPI_Weights!$B$6,W711*[1]KPI_Weights!$B$7,X711*[1]KPI_Weights!$B$8,Y711*[1]KPI_Weights!$B$9,Z711*[1]KPI_Weights!$B$10,AA711*[1]KPI_Weights!$B$11,AB711*[1]KPI_Weights!$B$12,AC711*[1]KPI_Weights!$B$13,AD711*[1]KPI_Weights!$B$14,AE711*[1]KPI_Weights!$B$15,AF711*[1]KPI_Weights!$B$16,AG711*[1]KPI_Weights!$B$17,AH711*[1]KPI_Weights!$B$18))/5)</f>
        <v/>
      </c>
      <c r="AL711" s="29" t="str">
        <f>IF(COUNTA(T711:AH711)=0,"",IF(OR(T711&lt;=1,W711&lt;=1,X711&lt;=1,Y711&lt;=1,AB711&lt;=1),"YES","NO"))</f>
        <v/>
      </c>
      <c r="AM711" s="29" t="str">
        <f>IF(AJ711="","",IF(AND(AL711="NO",AJ711&gt;=0.75),"YES","NO"))</f>
        <v/>
      </c>
      <c r="AN711" s="29" t="str">
        <f>IF(AJ711="","",IF(AJ711&lt;0.4,"Critical",IF(AJ711&lt;0.6,"Poor",IF(AJ711&lt;0.75,"Needs Improvement",IF(AJ711&lt;0.9,"Good","Excellent")))))</f>
        <v/>
      </c>
    </row>
    <row r="712" spans="1:40" ht="15" customHeight="1" x14ac:dyDescent="0.25">
      <c r="A712" s="29" t="str">
        <f>IF($B712="","",TEXT($B712,"yyyymmdd")&amp;"-"&amp;SUBSTITUTE($F712," ","")&amp;"-"&amp;TEXT(COUNTIF($F$4:F712,$F712),"00"))</f>
        <v/>
      </c>
      <c r="C712" s="29" t="str">
        <f>IF($B712="","",WEEKNUM($B712,2))</f>
        <v/>
      </c>
      <c r="D712" s="29" t="str">
        <f>IF($B712="","",TEXT($B712,"yyyy-mm"))</f>
        <v/>
      </c>
      <c r="G712" s="29" t="str">
        <f>IF(OR($E712="",$F712=""),"",IFERROR(IF($E712=INDEX([1]Cluster_Master!$A$4:$A$18,MATCH($F712,[1]Cluster_Master!$B$4:$B$18,0)),"OK","CHECK"),"CHECK"))</f>
        <v/>
      </c>
      <c r="H712" s="29" t="str">
        <f>IFERROR(INDEX([1]Cluster_Master!$C$4:$C$18,MATCH($F712,[1]Cluster_Master!$B$4:$B$18,0)),"")</f>
        <v/>
      </c>
      <c r="I712" s="29" t="str">
        <f>IFERROR(INDEX([1]Cluster_Master!$D$4:$D$18,MATCH($F712,[1]Cluster_Master!$B$4:$B$18,0)),"")</f>
        <v/>
      </c>
      <c r="J712" s="29" t="str">
        <f>IFERROR(INDEX([1]Cluster_Master!$E$4:$E$18,MATCH($F712,[1]Cluster_Master!$B$4:$B$18,0)),"")</f>
        <v/>
      </c>
      <c r="K712" s="29" t="str">
        <f>IFERROR(INDEX([1]Cluster_Master!$F$4:$F$18,MATCH($F712,[1]Cluster_Master!$B$4:$B$18,0)),"")</f>
        <v/>
      </c>
      <c r="L712" s="29" t="str">
        <f>IFERROR(INDEX([1]Cluster_Master!$G$4:$G$18,MATCH($F712,[1]Cluster_Master!$B$4:$B$18,0)),"")</f>
        <v/>
      </c>
      <c r="M712" s="29" t="str">
        <f>IFERROR(INDEX([1]Cluster_Master!$H$4:$H$18,MATCH($F712,[1]Cluster_Master!$B$4:$B$18,0)),"")</f>
        <v/>
      </c>
      <c r="AI712" s="29" t="str">
        <f>IF(COUNTA(T712:AH712)=0,"",SUM(T712:AH712))</f>
        <v/>
      </c>
      <c r="AJ712" s="29" t="str">
        <f>IF(COUNTA(T712:AH712)=0,"",AI712/75)</f>
        <v/>
      </c>
      <c r="AK712" s="29" t="str">
        <f>IF(COUNTA(T712:AH712)=0,"",(SUM(T712*[1]KPI_Weights!$B$4,U712*[1]KPI_Weights!$B$5,V712*[1]KPI_Weights!$B$6,W712*[1]KPI_Weights!$B$7,X712*[1]KPI_Weights!$B$8,Y712*[1]KPI_Weights!$B$9,Z712*[1]KPI_Weights!$B$10,AA712*[1]KPI_Weights!$B$11,AB712*[1]KPI_Weights!$B$12,AC712*[1]KPI_Weights!$B$13,AD712*[1]KPI_Weights!$B$14,AE712*[1]KPI_Weights!$B$15,AF712*[1]KPI_Weights!$B$16,AG712*[1]KPI_Weights!$B$17,AH712*[1]KPI_Weights!$B$18))/5)</f>
        <v/>
      </c>
      <c r="AL712" s="29" t="str">
        <f>IF(COUNTA(T712:AH712)=0,"",IF(OR(T712&lt;=1,W712&lt;=1,X712&lt;=1,Y712&lt;=1,AB712&lt;=1),"YES","NO"))</f>
        <v/>
      </c>
      <c r="AM712" s="29" t="str">
        <f>IF(AJ712="","",IF(AND(AL712="NO",AJ712&gt;=0.75),"YES","NO"))</f>
        <v/>
      </c>
      <c r="AN712" s="29" t="str">
        <f>IF(AJ712="","",IF(AJ712&lt;0.4,"Critical",IF(AJ712&lt;0.6,"Poor",IF(AJ712&lt;0.75,"Needs Improvement",IF(AJ712&lt;0.9,"Good","Excellent")))))</f>
        <v/>
      </c>
    </row>
    <row r="713" spans="1:40" ht="15" customHeight="1" x14ac:dyDescent="0.25">
      <c r="A713" s="29" t="str">
        <f>IF($B713="","",TEXT($B713,"yyyymmdd")&amp;"-"&amp;SUBSTITUTE($F713," ","")&amp;"-"&amp;TEXT(COUNTIF($F$4:F713,$F713),"00"))</f>
        <v/>
      </c>
      <c r="C713" s="29" t="str">
        <f>IF($B713="","",WEEKNUM($B713,2))</f>
        <v/>
      </c>
      <c r="D713" s="29" t="str">
        <f>IF($B713="","",TEXT($B713,"yyyy-mm"))</f>
        <v/>
      </c>
      <c r="G713" s="29" t="str">
        <f>IF(OR($E713="",$F713=""),"",IFERROR(IF($E713=INDEX([1]Cluster_Master!$A$4:$A$18,MATCH($F713,[1]Cluster_Master!$B$4:$B$18,0)),"OK","CHECK"),"CHECK"))</f>
        <v/>
      </c>
      <c r="H713" s="29" t="str">
        <f>IFERROR(INDEX([1]Cluster_Master!$C$4:$C$18,MATCH($F713,[1]Cluster_Master!$B$4:$B$18,0)),"")</f>
        <v/>
      </c>
      <c r="I713" s="29" t="str">
        <f>IFERROR(INDEX([1]Cluster_Master!$D$4:$D$18,MATCH($F713,[1]Cluster_Master!$B$4:$B$18,0)),"")</f>
        <v/>
      </c>
      <c r="J713" s="29" t="str">
        <f>IFERROR(INDEX([1]Cluster_Master!$E$4:$E$18,MATCH($F713,[1]Cluster_Master!$B$4:$B$18,0)),"")</f>
        <v/>
      </c>
      <c r="K713" s="29" t="str">
        <f>IFERROR(INDEX([1]Cluster_Master!$F$4:$F$18,MATCH($F713,[1]Cluster_Master!$B$4:$B$18,0)),"")</f>
        <v/>
      </c>
      <c r="L713" s="29" t="str">
        <f>IFERROR(INDEX([1]Cluster_Master!$G$4:$G$18,MATCH($F713,[1]Cluster_Master!$B$4:$B$18,0)),"")</f>
        <v/>
      </c>
      <c r="M713" s="29" t="str">
        <f>IFERROR(INDEX([1]Cluster_Master!$H$4:$H$18,MATCH($F713,[1]Cluster_Master!$B$4:$B$18,0)),"")</f>
        <v/>
      </c>
      <c r="AI713" s="29" t="str">
        <f>IF(COUNTA(T713:AH713)=0,"",SUM(T713:AH713))</f>
        <v/>
      </c>
      <c r="AJ713" s="29" t="str">
        <f>IF(COUNTA(T713:AH713)=0,"",AI713/75)</f>
        <v/>
      </c>
      <c r="AK713" s="29" t="str">
        <f>IF(COUNTA(T713:AH713)=0,"",(SUM(T713*[1]KPI_Weights!$B$4,U713*[1]KPI_Weights!$B$5,V713*[1]KPI_Weights!$B$6,W713*[1]KPI_Weights!$B$7,X713*[1]KPI_Weights!$B$8,Y713*[1]KPI_Weights!$B$9,Z713*[1]KPI_Weights!$B$10,AA713*[1]KPI_Weights!$B$11,AB713*[1]KPI_Weights!$B$12,AC713*[1]KPI_Weights!$B$13,AD713*[1]KPI_Weights!$B$14,AE713*[1]KPI_Weights!$B$15,AF713*[1]KPI_Weights!$B$16,AG713*[1]KPI_Weights!$B$17,AH713*[1]KPI_Weights!$B$18))/5)</f>
        <v/>
      </c>
      <c r="AL713" s="29" t="str">
        <f>IF(COUNTA(T713:AH713)=0,"",IF(OR(T713&lt;=1,W713&lt;=1,X713&lt;=1,Y713&lt;=1,AB713&lt;=1),"YES","NO"))</f>
        <v/>
      </c>
      <c r="AM713" s="29" t="str">
        <f>IF(AJ713="","",IF(AND(AL713="NO",AJ713&gt;=0.75),"YES","NO"))</f>
        <v/>
      </c>
      <c r="AN713" s="29" t="str">
        <f>IF(AJ713="","",IF(AJ713&lt;0.4,"Critical",IF(AJ713&lt;0.6,"Poor",IF(AJ713&lt;0.75,"Needs Improvement",IF(AJ713&lt;0.9,"Good","Excellent")))))</f>
        <v/>
      </c>
    </row>
    <row r="714" spans="1:40" ht="15" customHeight="1" x14ac:dyDescent="0.25">
      <c r="A714" s="29" t="str">
        <f>IF($B714="","",TEXT($B714,"yyyymmdd")&amp;"-"&amp;SUBSTITUTE($F714," ","")&amp;"-"&amp;TEXT(COUNTIF($F$4:F714,$F714),"00"))</f>
        <v/>
      </c>
      <c r="C714" s="29" t="str">
        <f>IF($B714="","",WEEKNUM($B714,2))</f>
        <v/>
      </c>
      <c r="D714" s="29" t="str">
        <f>IF($B714="","",TEXT($B714,"yyyy-mm"))</f>
        <v/>
      </c>
      <c r="G714" s="29" t="str">
        <f>IF(OR($E714="",$F714=""),"",IFERROR(IF($E714=INDEX([1]Cluster_Master!$A$4:$A$18,MATCH($F714,[1]Cluster_Master!$B$4:$B$18,0)),"OK","CHECK"),"CHECK"))</f>
        <v/>
      </c>
      <c r="H714" s="29" t="str">
        <f>IFERROR(INDEX([1]Cluster_Master!$C$4:$C$18,MATCH($F714,[1]Cluster_Master!$B$4:$B$18,0)),"")</f>
        <v/>
      </c>
      <c r="I714" s="29" t="str">
        <f>IFERROR(INDEX([1]Cluster_Master!$D$4:$D$18,MATCH($F714,[1]Cluster_Master!$B$4:$B$18,0)),"")</f>
        <v/>
      </c>
      <c r="J714" s="29" t="str">
        <f>IFERROR(INDEX([1]Cluster_Master!$E$4:$E$18,MATCH($F714,[1]Cluster_Master!$B$4:$B$18,0)),"")</f>
        <v/>
      </c>
      <c r="K714" s="29" t="str">
        <f>IFERROR(INDEX([1]Cluster_Master!$F$4:$F$18,MATCH($F714,[1]Cluster_Master!$B$4:$B$18,0)),"")</f>
        <v/>
      </c>
      <c r="L714" s="29" t="str">
        <f>IFERROR(INDEX([1]Cluster_Master!$G$4:$G$18,MATCH($F714,[1]Cluster_Master!$B$4:$B$18,0)),"")</f>
        <v/>
      </c>
      <c r="M714" s="29" t="str">
        <f>IFERROR(INDEX([1]Cluster_Master!$H$4:$H$18,MATCH($F714,[1]Cluster_Master!$B$4:$B$18,0)),"")</f>
        <v/>
      </c>
      <c r="AI714" s="29" t="str">
        <f>IF(COUNTA(T714:AH714)=0,"",SUM(T714:AH714))</f>
        <v/>
      </c>
      <c r="AJ714" s="29" t="str">
        <f>IF(COUNTA(T714:AH714)=0,"",AI714/75)</f>
        <v/>
      </c>
      <c r="AK714" s="29" t="str">
        <f>IF(COUNTA(T714:AH714)=0,"",(SUM(T714*[1]KPI_Weights!$B$4,U714*[1]KPI_Weights!$B$5,V714*[1]KPI_Weights!$B$6,W714*[1]KPI_Weights!$B$7,X714*[1]KPI_Weights!$B$8,Y714*[1]KPI_Weights!$B$9,Z714*[1]KPI_Weights!$B$10,AA714*[1]KPI_Weights!$B$11,AB714*[1]KPI_Weights!$B$12,AC714*[1]KPI_Weights!$B$13,AD714*[1]KPI_Weights!$B$14,AE714*[1]KPI_Weights!$B$15,AF714*[1]KPI_Weights!$B$16,AG714*[1]KPI_Weights!$B$17,AH714*[1]KPI_Weights!$B$18))/5)</f>
        <v/>
      </c>
      <c r="AL714" s="29" t="str">
        <f>IF(COUNTA(T714:AH714)=0,"",IF(OR(T714&lt;=1,W714&lt;=1,X714&lt;=1,Y714&lt;=1,AB714&lt;=1),"YES","NO"))</f>
        <v/>
      </c>
      <c r="AM714" s="29" t="str">
        <f>IF(AJ714="","",IF(AND(AL714="NO",AJ714&gt;=0.75),"YES","NO"))</f>
        <v/>
      </c>
      <c r="AN714" s="29" t="str">
        <f>IF(AJ714="","",IF(AJ714&lt;0.4,"Critical",IF(AJ714&lt;0.6,"Poor",IF(AJ714&lt;0.75,"Needs Improvement",IF(AJ714&lt;0.9,"Good","Excellent")))))</f>
        <v/>
      </c>
    </row>
    <row r="715" spans="1:40" ht="15" customHeight="1" x14ac:dyDescent="0.25">
      <c r="A715" s="29" t="str">
        <f>IF($B715="","",TEXT($B715,"yyyymmdd")&amp;"-"&amp;SUBSTITUTE($F715," ","")&amp;"-"&amp;TEXT(COUNTIF($F$4:F715,$F715),"00"))</f>
        <v/>
      </c>
      <c r="C715" s="29" t="str">
        <f>IF($B715="","",WEEKNUM($B715,2))</f>
        <v/>
      </c>
      <c r="D715" s="29" t="str">
        <f>IF($B715="","",TEXT($B715,"yyyy-mm"))</f>
        <v/>
      </c>
      <c r="G715" s="29" t="str">
        <f>IF(OR($E715="",$F715=""),"",IFERROR(IF($E715=INDEX([1]Cluster_Master!$A$4:$A$18,MATCH($F715,[1]Cluster_Master!$B$4:$B$18,0)),"OK","CHECK"),"CHECK"))</f>
        <v/>
      </c>
      <c r="H715" s="29" t="str">
        <f>IFERROR(INDEX([1]Cluster_Master!$C$4:$C$18,MATCH($F715,[1]Cluster_Master!$B$4:$B$18,0)),"")</f>
        <v/>
      </c>
      <c r="I715" s="29" t="str">
        <f>IFERROR(INDEX([1]Cluster_Master!$D$4:$D$18,MATCH($F715,[1]Cluster_Master!$B$4:$B$18,0)),"")</f>
        <v/>
      </c>
      <c r="J715" s="29" t="str">
        <f>IFERROR(INDEX([1]Cluster_Master!$E$4:$E$18,MATCH($F715,[1]Cluster_Master!$B$4:$B$18,0)),"")</f>
        <v/>
      </c>
      <c r="K715" s="29" t="str">
        <f>IFERROR(INDEX([1]Cluster_Master!$F$4:$F$18,MATCH($F715,[1]Cluster_Master!$B$4:$B$18,0)),"")</f>
        <v/>
      </c>
      <c r="L715" s="29" t="str">
        <f>IFERROR(INDEX([1]Cluster_Master!$G$4:$G$18,MATCH($F715,[1]Cluster_Master!$B$4:$B$18,0)),"")</f>
        <v/>
      </c>
      <c r="M715" s="29" t="str">
        <f>IFERROR(INDEX([1]Cluster_Master!$H$4:$H$18,MATCH($F715,[1]Cluster_Master!$B$4:$B$18,0)),"")</f>
        <v/>
      </c>
      <c r="AI715" s="29" t="str">
        <f>IF(COUNTA(T715:AH715)=0,"",SUM(T715:AH715))</f>
        <v/>
      </c>
      <c r="AJ715" s="29" t="str">
        <f>IF(COUNTA(T715:AH715)=0,"",AI715/75)</f>
        <v/>
      </c>
      <c r="AK715" s="29" t="str">
        <f>IF(COUNTA(T715:AH715)=0,"",(SUM(T715*[1]KPI_Weights!$B$4,U715*[1]KPI_Weights!$B$5,V715*[1]KPI_Weights!$B$6,W715*[1]KPI_Weights!$B$7,X715*[1]KPI_Weights!$B$8,Y715*[1]KPI_Weights!$B$9,Z715*[1]KPI_Weights!$B$10,AA715*[1]KPI_Weights!$B$11,AB715*[1]KPI_Weights!$B$12,AC715*[1]KPI_Weights!$B$13,AD715*[1]KPI_Weights!$B$14,AE715*[1]KPI_Weights!$B$15,AF715*[1]KPI_Weights!$B$16,AG715*[1]KPI_Weights!$B$17,AH715*[1]KPI_Weights!$B$18))/5)</f>
        <v/>
      </c>
      <c r="AL715" s="29" t="str">
        <f>IF(COUNTA(T715:AH715)=0,"",IF(OR(T715&lt;=1,W715&lt;=1,X715&lt;=1,Y715&lt;=1,AB715&lt;=1),"YES","NO"))</f>
        <v/>
      </c>
      <c r="AM715" s="29" t="str">
        <f>IF(AJ715="","",IF(AND(AL715="NO",AJ715&gt;=0.75),"YES","NO"))</f>
        <v/>
      </c>
      <c r="AN715" s="29" t="str">
        <f>IF(AJ715="","",IF(AJ715&lt;0.4,"Critical",IF(AJ715&lt;0.6,"Poor",IF(AJ715&lt;0.75,"Needs Improvement",IF(AJ715&lt;0.9,"Good","Excellent")))))</f>
        <v/>
      </c>
    </row>
    <row r="716" spans="1:40" ht="15" customHeight="1" x14ac:dyDescent="0.25">
      <c r="A716" s="29" t="str">
        <f>IF($B716="","",TEXT($B716,"yyyymmdd")&amp;"-"&amp;SUBSTITUTE($F716," ","")&amp;"-"&amp;TEXT(COUNTIF($F$4:F716,$F716),"00"))</f>
        <v/>
      </c>
      <c r="C716" s="29" t="str">
        <f>IF($B716="","",WEEKNUM($B716,2))</f>
        <v/>
      </c>
      <c r="D716" s="29" t="str">
        <f>IF($B716="","",TEXT($B716,"yyyy-mm"))</f>
        <v/>
      </c>
      <c r="G716" s="29" t="str">
        <f>IF(OR($E716="",$F716=""),"",IFERROR(IF($E716=INDEX([1]Cluster_Master!$A$4:$A$18,MATCH($F716,[1]Cluster_Master!$B$4:$B$18,0)),"OK","CHECK"),"CHECK"))</f>
        <v/>
      </c>
      <c r="H716" s="29" t="str">
        <f>IFERROR(INDEX([1]Cluster_Master!$C$4:$C$18,MATCH($F716,[1]Cluster_Master!$B$4:$B$18,0)),"")</f>
        <v/>
      </c>
      <c r="I716" s="29" t="str">
        <f>IFERROR(INDEX([1]Cluster_Master!$D$4:$D$18,MATCH($F716,[1]Cluster_Master!$B$4:$B$18,0)),"")</f>
        <v/>
      </c>
      <c r="J716" s="29" t="str">
        <f>IFERROR(INDEX([1]Cluster_Master!$E$4:$E$18,MATCH($F716,[1]Cluster_Master!$B$4:$B$18,0)),"")</f>
        <v/>
      </c>
      <c r="K716" s="29" t="str">
        <f>IFERROR(INDEX([1]Cluster_Master!$F$4:$F$18,MATCH($F716,[1]Cluster_Master!$B$4:$B$18,0)),"")</f>
        <v/>
      </c>
      <c r="L716" s="29" t="str">
        <f>IFERROR(INDEX([1]Cluster_Master!$G$4:$G$18,MATCH($F716,[1]Cluster_Master!$B$4:$B$18,0)),"")</f>
        <v/>
      </c>
      <c r="M716" s="29" t="str">
        <f>IFERROR(INDEX([1]Cluster_Master!$H$4:$H$18,MATCH($F716,[1]Cluster_Master!$B$4:$B$18,0)),"")</f>
        <v/>
      </c>
      <c r="AI716" s="29" t="str">
        <f>IF(COUNTA(T716:AH716)=0,"",SUM(T716:AH716))</f>
        <v/>
      </c>
      <c r="AJ716" s="29" t="str">
        <f>IF(COUNTA(T716:AH716)=0,"",AI716/75)</f>
        <v/>
      </c>
      <c r="AK716" s="29" t="str">
        <f>IF(COUNTA(T716:AH716)=0,"",(SUM(T716*[1]KPI_Weights!$B$4,U716*[1]KPI_Weights!$B$5,V716*[1]KPI_Weights!$B$6,W716*[1]KPI_Weights!$B$7,X716*[1]KPI_Weights!$B$8,Y716*[1]KPI_Weights!$B$9,Z716*[1]KPI_Weights!$B$10,AA716*[1]KPI_Weights!$B$11,AB716*[1]KPI_Weights!$B$12,AC716*[1]KPI_Weights!$B$13,AD716*[1]KPI_Weights!$B$14,AE716*[1]KPI_Weights!$B$15,AF716*[1]KPI_Weights!$B$16,AG716*[1]KPI_Weights!$B$17,AH716*[1]KPI_Weights!$B$18))/5)</f>
        <v/>
      </c>
      <c r="AL716" s="29" t="str">
        <f>IF(COUNTA(T716:AH716)=0,"",IF(OR(T716&lt;=1,W716&lt;=1,X716&lt;=1,Y716&lt;=1,AB716&lt;=1),"YES","NO"))</f>
        <v/>
      </c>
      <c r="AM716" s="29" t="str">
        <f>IF(AJ716="","",IF(AND(AL716="NO",AJ716&gt;=0.75),"YES","NO"))</f>
        <v/>
      </c>
      <c r="AN716" s="29" t="str">
        <f>IF(AJ716="","",IF(AJ716&lt;0.4,"Critical",IF(AJ716&lt;0.6,"Poor",IF(AJ716&lt;0.75,"Needs Improvement",IF(AJ716&lt;0.9,"Good","Excellent")))))</f>
        <v/>
      </c>
    </row>
    <row r="717" spans="1:40" ht="15" customHeight="1" x14ac:dyDescent="0.25">
      <c r="A717" s="29" t="str">
        <f>IF($B717="","",TEXT($B717,"yyyymmdd")&amp;"-"&amp;SUBSTITUTE($F717," ","")&amp;"-"&amp;TEXT(COUNTIF($F$4:F717,$F717),"00"))</f>
        <v/>
      </c>
      <c r="C717" s="29" t="str">
        <f>IF($B717="","",WEEKNUM($B717,2))</f>
        <v/>
      </c>
      <c r="D717" s="29" t="str">
        <f>IF($B717="","",TEXT($B717,"yyyy-mm"))</f>
        <v/>
      </c>
      <c r="G717" s="29" t="str">
        <f>IF(OR($E717="",$F717=""),"",IFERROR(IF($E717=INDEX([1]Cluster_Master!$A$4:$A$18,MATCH($F717,[1]Cluster_Master!$B$4:$B$18,0)),"OK","CHECK"),"CHECK"))</f>
        <v/>
      </c>
      <c r="H717" s="29" t="str">
        <f>IFERROR(INDEX([1]Cluster_Master!$C$4:$C$18,MATCH($F717,[1]Cluster_Master!$B$4:$B$18,0)),"")</f>
        <v/>
      </c>
      <c r="I717" s="29" t="str">
        <f>IFERROR(INDEX([1]Cluster_Master!$D$4:$D$18,MATCH($F717,[1]Cluster_Master!$B$4:$B$18,0)),"")</f>
        <v/>
      </c>
      <c r="J717" s="29" t="str">
        <f>IFERROR(INDEX([1]Cluster_Master!$E$4:$E$18,MATCH($F717,[1]Cluster_Master!$B$4:$B$18,0)),"")</f>
        <v/>
      </c>
      <c r="K717" s="29" t="str">
        <f>IFERROR(INDEX([1]Cluster_Master!$F$4:$F$18,MATCH($F717,[1]Cluster_Master!$B$4:$B$18,0)),"")</f>
        <v/>
      </c>
      <c r="L717" s="29" t="str">
        <f>IFERROR(INDEX([1]Cluster_Master!$G$4:$G$18,MATCH($F717,[1]Cluster_Master!$B$4:$B$18,0)),"")</f>
        <v/>
      </c>
      <c r="M717" s="29" t="str">
        <f>IFERROR(INDEX([1]Cluster_Master!$H$4:$H$18,MATCH($F717,[1]Cluster_Master!$B$4:$B$18,0)),"")</f>
        <v/>
      </c>
      <c r="AI717" s="29" t="str">
        <f>IF(COUNTA(T717:AH717)=0,"",SUM(T717:AH717))</f>
        <v/>
      </c>
      <c r="AJ717" s="29" t="str">
        <f>IF(COUNTA(T717:AH717)=0,"",AI717/75)</f>
        <v/>
      </c>
      <c r="AK717" s="29" t="str">
        <f>IF(COUNTA(T717:AH717)=0,"",(SUM(T717*[1]KPI_Weights!$B$4,U717*[1]KPI_Weights!$B$5,V717*[1]KPI_Weights!$B$6,W717*[1]KPI_Weights!$B$7,X717*[1]KPI_Weights!$B$8,Y717*[1]KPI_Weights!$B$9,Z717*[1]KPI_Weights!$B$10,AA717*[1]KPI_Weights!$B$11,AB717*[1]KPI_Weights!$B$12,AC717*[1]KPI_Weights!$B$13,AD717*[1]KPI_Weights!$B$14,AE717*[1]KPI_Weights!$B$15,AF717*[1]KPI_Weights!$B$16,AG717*[1]KPI_Weights!$B$17,AH717*[1]KPI_Weights!$B$18))/5)</f>
        <v/>
      </c>
      <c r="AL717" s="29" t="str">
        <f>IF(COUNTA(T717:AH717)=0,"",IF(OR(T717&lt;=1,W717&lt;=1,X717&lt;=1,Y717&lt;=1,AB717&lt;=1),"YES","NO"))</f>
        <v/>
      </c>
      <c r="AM717" s="29" t="str">
        <f>IF(AJ717="","",IF(AND(AL717="NO",AJ717&gt;=0.75),"YES","NO"))</f>
        <v/>
      </c>
      <c r="AN717" s="29" t="str">
        <f>IF(AJ717="","",IF(AJ717&lt;0.4,"Critical",IF(AJ717&lt;0.6,"Poor",IF(AJ717&lt;0.75,"Needs Improvement",IF(AJ717&lt;0.9,"Good","Excellent")))))</f>
        <v/>
      </c>
    </row>
    <row r="718" spans="1:40" ht="15" customHeight="1" x14ac:dyDescent="0.25">
      <c r="A718" s="29" t="str">
        <f>IF($B718="","",TEXT($B718,"yyyymmdd")&amp;"-"&amp;SUBSTITUTE($F718," ","")&amp;"-"&amp;TEXT(COUNTIF($F$4:F718,$F718),"00"))</f>
        <v/>
      </c>
      <c r="C718" s="29" t="str">
        <f>IF($B718="","",WEEKNUM($B718,2))</f>
        <v/>
      </c>
      <c r="D718" s="29" t="str">
        <f>IF($B718="","",TEXT($B718,"yyyy-mm"))</f>
        <v/>
      </c>
      <c r="G718" s="29" t="str">
        <f>IF(OR($E718="",$F718=""),"",IFERROR(IF($E718=INDEX([1]Cluster_Master!$A$4:$A$18,MATCH($F718,[1]Cluster_Master!$B$4:$B$18,0)),"OK","CHECK"),"CHECK"))</f>
        <v/>
      </c>
      <c r="H718" s="29" t="str">
        <f>IFERROR(INDEX([1]Cluster_Master!$C$4:$C$18,MATCH($F718,[1]Cluster_Master!$B$4:$B$18,0)),"")</f>
        <v/>
      </c>
      <c r="I718" s="29" t="str">
        <f>IFERROR(INDEX([1]Cluster_Master!$D$4:$D$18,MATCH($F718,[1]Cluster_Master!$B$4:$B$18,0)),"")</f>
        <v/>
      </c>
      <c r="J718" s="29" t="str">
        <f>IFERROR(INDEX([1]Cluster_Master!$E$4:$E$18,MATCH($F718,[1]Cluster_Master!$B$4:$B$18,0)),"")</f>
        <v/>
      </c>
      <c r="K718" s="29" t="str">
        <f>IFERROR(INDEX([1]Cluster_Master!$F$4:$F$18,MATCH($F718,[1]Cluster_Master!$B$4:$B$18,0)),"")</f>
        <v/>
      </c>
      <c r="L718" s="29" t="str">
        <f>IFERROR(INDEX([1]Cluster_Master!$G$4:$G$18,MATCH($F718,[1]Cluster_Master!$B$4:$B$18,0)),"")</f>
        <v/>
      </c>
      <c r="M718" s="29" t="str">
        <f>IFERROR(INDEX([1]Cluster_Master!$H$4:$H$18,MATCH($F718,[1]Cluster_Master!$B$4:$B$18,0)),"")</f>
        <v/>
      </c>
      <c r="AI718" s="29" t="str">
        <f>IF(COUNTA(T718:AH718)=0,"",SUM(T718:AH718))</f>
        <v/>
      </c>
      <c r="AJ718" s="29" t="str">
        <f>IF(COUNTA(T718:AH718)=0,"",AI718/75)</f>
        <v/>
      </c>
      <c r="AK718" s="29" t="str">
        <f>IF(COUNTA(T718:AH718)=0,"",(SUM(T718*[1]KPI_Weights!$B$4,U718*[1]KPI_Weights!$B$5,V718*[1]KPI_Weights!$B$6,W718*[1]KPI_Weights!$B$7,X718*[1]KPI_Weights!$B$8,Y718*[1]KPI_Weights!$B$9,Z718*[1]KPI_Weights!$B$10,AA718*[1]KPI_Weights!$B$11,AB718*[1]KPI_Weights!$B$12,AC718*[1]KPI_Weights!$B$13,AD718*[1]KPI_Weights!$B$14,AE718*[1]KPI_Weights!$B$15,AF718*[1]KPI_Weights!$B$16,AG718*[1]KPI_Weights!$B$17,AH718*[1]KPI_Weights!$B$18))/5)</f>
        <v/>
      </c>
      <c r="AL718" s="29" t="str">
        <f>IF(COUNTA(T718:AH718)=0,"",IF(OR(T718&lt;=1,W718&lt;=1,X718&lt;=1,Y718&lt;=1,AB718&lt;=1),"YES","NO"))</f>
        <v/>
      </c>
      <c r="AM718" s="29" t="str">
        <f>IF(AJ718="","",IF(AND(AL718="NO",AJ718&gt;=0.75),"YES","NO"))</f>
        <v/>
      </c>
      <c r="AN718" s="29" t="str">
        <f>IF(AJ718="","",IF(AJ718&lt;0.4,"Critical",IF(AJ718&lt;0.6,"Poor",IF(AJ718&lt;0.75,"Needs Improvement",IF(AJ718&lt;0.9,"Good","Excellent")))))</f>
        <v/>
      </c>
    </row>
    <row r="719" spans="1:40" ht="15" customHeight="1" x14ac:dyDescent="0.25">
      <c r="A719" s="29" t="str">
        <f>IF($B719="","",TEXT($B719,"yyyymmdd")&amp;"-"&amp;SUBSTITUTE($F719," ","")&amp;"-"&amp;TEXT(COUNTIF($F$4:F719,$F719),"00"))</f>
        <v/>
      </c>
      <c r="C719" s="29" t="str">
        <f>IF($B719="","",WEEKNUM($B719,2))</f>
        <v/>
      </c>
      <c r="D719" s="29" t="str">
        <f>IF($B719="","",TEXT($B719,"yyyy-mm"))</f>
        <v/>
      </c>
      <c r="G719" s="29" t="str">
        <f>IF(OR($E719="",$F719=""),"",IFERROR(IF($E719=INDEX([1]Cluster_Master!$A$4:$A$18,MATCH($F719,[1]Cluster_Master!$B$4:$B$18,0)),"OK","CHECK"),"CHECK"))</f>
        <v/>
      </c>
      <c r="H719" s="29" t="str">
        <f>IFERROR(INDEX([1]Cluster_Master!$C$4:$C$18,MATCH($F719,[1]Cluster_Master!$B$4:$B$18,0)),"")</f>
        <v/>
      </c>
      <c r="I719" s="29" t="str">
        <f>IFERROR(INDEX([1]Cluster_Master!$D$4:$D$18,MATCH($F719,[1]Cluster_Master!$B$4:$B$18,0)),"")</f>
        <v/>
      </c>
      <c r="J719" s="29" t="str">
        <f>IFERROR(INDEX([1]Cluster_Master!$E$4:$E$18,MATCH($F719,[1]Cluster_Master!$B$4:$B$18,0)),"")</f>
        <v/>
      </c>
      <c r="K719" s="29" t="str">
        <f>IFERROR(INDEX([1]Cluster_Master!$F$4:$F$18,MATCH($F719,[1]Cluster_Master!$B$4:$B$18,0)),"")</f>
        <v/>
      </c>
      <c r="L719" s="29" t="str">
        <f>IFERROR(INDEX([1]Cluster_Master!$G$4:$G$18,MATCH($F719,[1]Cluster_Master!$B$4:$B$18,0)),"")</f>
        <v/>
      </c>
      <c r="M719" s="29" t="str">
        <f>IFERROR(INDEX([1]Cluster_Master!$H$4:$H$18,MATCH($F719,[1]Cluster_Master!$B$4:$B$18,0)),"")</f>
        <v/>
      </c>
      <c r="AI719" s="29" t="str">
        <f>IF(COUNTA(T719:AH719)=0,"",SUM(T719:AH719))</f>
        <v/>
      </c>
      <c r="AJ719" s="29" t="str">
        <f>IF(COUNTA(T719:AH719)=0,"",AI719/75)</f>
        <v/>
      </c>
      <c r="AK719" s="29" t="str">
        <f>IF(COUNTA(T719:AH719)=0,"",(SUM(T719*[1]KPI_Weights!$B$4,U719*[1]KPI_Weights!$B$5,V719*[1]KPI_Weights!$B$6,W719*[1]KPI_Weights!$B$7,X719*[1]KPI_Weights!$B$8,Y719*[1]KPI_Weights!$B$9,Z719*[1]KPI_Weights!$B$10,AA719*[1]KPI_Weights!$B$11,AB719*[1]KPI_Weights!$B$12,AC719*[1]KPI_Weights!$B$13,AD719*[1]KPI_Weights!$B$14,AE719*[1]KPI_Weights!$B$15,AF719*[1]KPI_Weights!$B$16,AG719*[1]KPI_Weights!$B$17,AH719*[1]KPI_Weights!$B$18))/5)</f>
        <v/>
      </c>
      <c r="AL719" s="29" t="str">
        <f>IF(COUNTA(T719:AH719)=0,"",IF(OR(T719&lt;=1,W719&lt;=1,X719&lt;=1,Y719&lt;=1,AB719&lt;=1),"YES","NO"))</f>
        <v/>
      </c>
      <c r="AM719" s="29" t="str">
        <f>IF(AJ719="","",IF(AND(AL719="NO",AJ719&gt;=0.75),"YES","NO"))</f>
        <v/>
      </c>
      <c r="AN719" s="29" t="str">
        <f>IF(AJ719="","",IF(AJ719&lt;0.4,"Critical",IF(AJ719&lt;0.6,"Poor",IF(AJ719&lt;0.75,"Needs Improvement",IF(AJ719&lt;0.9,"Good","Excellent")))))</f>
        <v/>
      </c>
    </row>
    <row r="720" spans="1:40" ht="15" customHeight="1" x14ac:dyDescent="0.25">
      <c r="A720" s="29" t="str">
        <f>IF($B720="","",TEXT($B720,"yyyymmdd")&amp;"-"&amp;SUBSTITUTE($F720," ","")&amp;"-"&amp;TEXT(COUNTIF($F$4:F720,$F720),"00"))</f>
        <v/>
      </c>
      <c r="C720" s="29" t="str">
        <f>IF($B720="","",WEEKNUM($B720,2))</f>
        <v/>
      </c>
      <c r="D720" s="29" t="str">
        <f>IF($B720="","",TEXT($B720,"yyyy-mm"))</f>
        <v/>
      </c>
      <c r="G720" s="29" t="str">
        <f>IF(OR($E720="",$F720=""),"",IFERROR(IF($E720=INDEX([1]Cluster_Master!$A$4:$A$18,MATCH($F720,[1]Cluster_Master!$B$4:$B$18,0)),"OK","CHECK"),"CHECK"))</f>
        <v/>
      </c>
      <c r="H720" s="29" t="str">
        <f>IFERROR(INDEX([1]Cluster_Master!$C$4:$C$18,MATCH($F720,[1]Cluster_Master!$B$4:$B$18,0)),"")</f>
        <v/>
      </c>
      <c r="I720" s="29" t="str">
        <f>IFERROR(INDEX([1]Cluster_Master!$D$4:$D$18,MATCH($F720,[1]Cluster_Master!$B$4:$B$18,0)),"")</f>
        <v/>
      </c>
      <c r="J720" s="29" t="str">
        <f>IFERROR(INDEX([1]Cluster_Master!$E$4:$E$18,MATCH($F720,[1]Cluster_Master!$B$4:$B$18,0)),"")</f>
        <v/>
      </c>
      <c r="K720" s="29" t="str">
        <f>IFERROR(INDEX([1]Cluster_Master!$F$4:$F$18,MATCH($F720,[1]Cluster_Master!$B$4:$B$18,0)),"")</f>
        <v/>
      </c>
      <c r="L720" s="29" t="str">
        <f>IFERROR(INDEX([1]Cluster_Master!$G$4:$G$18,MATCH($F720,[1]Cluster_Master!$B$4:$B$18,0)),"")</f>
        <v/>
      </c>
      <c r="M720" s="29" t="str">
        <f>IFERROR(INDEX([1]Cluster_Master!$H$4:$H$18,MATCH($F720,[1]Cluster_Master!$B$4:$B$18,0)),"")</f>
        <v/>
      </c>
      <c r="AI720" s="29" t="str">
        <f>IF(COUNTA(T720:AH720)=0,"",SUM(T720:AH720))</f>
        <v/>
      </c>
      <c r="AJ720" s="29" t="str">
        <f>IF(COUNTA(T720:AH720)=0,"",AI720/75)</f>
        <v/>
      </c>
      <c r="AK720" s="29" t="str">
        <f>IF(COUNTA(T720:AH720)=0,"",(SUM(T720*[1]KPI_Weights!$B$4,U720*[1]KPI_Weights!$B$5,V720*[1]KPI_Weights!$B$6,W720*[1]KPI_Weights!$B$7,X720*[1]KPI_Weights!$B$8,Y720*[1]KPI_Weights!$B$9,Z720*[1]KPI_Weights!$B$10,AA720*[1]KPI_Weights!$B$11,AB720*[1]KPI_Weights!$B$12,AC720*[1]KPI_Weights!$B$13,AD720*[1]KPI_Weights!$B$14,AE720*[1]KPI_Weights!$B$15,AF720*[1]KPI_Weights!$B$16,AG720*[1]KPI_Weights!$B$17,AH720*[1]KPI_Weights!$B$18))/5)</f>
        <v/>
      </c>
      <c r="AL720" s="29" t="str">
        <f>IF(COUNTA(T720:AH720)=0,"",IF(OR(T720&lt;=1,W720&lt;=1,X720&lt;=1,Y720&lt;=1,AB720&lt;=1),"YES","NO"))</f>
        <v/>
      </c>
      <c r="AM720" s="29" t="str">
        <f>IF(AJ720="","",IF(AND(AL720="NO",AJ720&gt;=0.75),"YES","NO"))</f>
        <v/>
      </c>
      <c r="AN720" s="29" t="str">
        <f>IF(AJ720="","",IF(AJ720&lt;0.4,"Critical",IF(AJ720&lt;0.6,"Poor",IF(AJ720&lt;0.75,"Needs Improvement",IF(AJ720&lt;0.9,"Good","Excellent")))))</f>
        <v/>
      </c>
    </row>
    <row r="721" spans="1:40" ht="15" customHeight="1" x14ac:dyDescent="0.25">
      <c r="A721" s="29" t="str">
        <f>IF($B721="","",TEXT($B721,"yyyymmdd")&amp;"-"&amp;SUBSTITUTE($F721," ","")&amp;"-"&amp;TEXT(COUNTIF($F$4:F721,$F721),"00"))</f>
        <v/>
      </c>
      <c r="C721" s="29" t="str">
        <f>IF($B721="","",WEEKNUM($B721,2))</f>
        <v/>
      </c>
      <c r="D721" s="29" t="str">
        <f>IF($B721="","",TEXT($B721,"yyyy-mm"))</f>
        <v/>
      </c>
      <c r="G721" s="29" t="str">
        <f>IF(OR($E721="",$F721=""),"",IFERROR(IF($E721=INDEX([1]Cluster_Master!$A$4:$A$18,MATCH($F721,[1]Cluster_Master!$B$4:$B$18,0)),"OK","CHECK"),"CHECK"))</f>
        <v/>
      </c>
      <c r="H721" s="29" t="str">
        <f>IFERROR(INDEX([1]Cluster_Master!$C$4:$C$18,MATCH($F721,[1]Cluster_Master!$B$4:$B$18,0)),"")</f>
        <v/>
      </c>
      <c r="I721" s="29" t="str">
        <f>IFERROR(INDEX([1]Cluster_Master!$D$4:$D$18,MATCH($F721,[1]Cluster_Master!$B$4:$B$18,0)),"")</f>
        <v/>
      </c>
      <c r="J721" s="29" t="str">
        <f>IFERROR(INDEX([1]Cluster_Master!$E$4:$E$18,MATCH($F721,[1]Cluster_Master!$B$4:$B$18,0)),"")</f>
        <v/>
      </c>
      <c r="K721" s="29" t="str">
        <f>IFERROR(INDEX([1]Cluster_Master!$F$4:$F$18,MATCH($F721,[1]Cluster_Master!$B$4:$B$18,0)),"")</f>
        <v/>
      </c>
      <c r="L721" s="29" t="str">
        <f>IFERROR(INDEX([1]Cluster_Master!$G$4:$G$18,MATCH($F721,[1]Cluster_Master!$B$4:$B$18,0)),"")</f>
        <v/>
      </c>
      <c r="M721" s="29" t="str">
        <f>IFERROR(INDEX([1]Cluster_Master!$H$4:$H$18,MATCH($F721,[1]Cluster_Master!$B$4:$B$18,0)),"")</f>
        <v/>
      </c>
      <c r="AI721" s="29" t="str">
        <f>IF(COUNTA(T721:AH721)=0,"",SUM(T721:AH721))</f>
        <v/>
      </c>
      <c r="AJ721" s="29" t="str">
        <f>IF(COUNTA(T721:AH721)=0,"",AI721/75)</f>
        <v/>
      </c>
      <c r="AK721" s="29" t="str">
        <f>IF(COUNTA(T721:AH721)=0,"",(SUM(T721*[1]KPI_Weights!$B$4,U721*[1]KPI_Weights!$B$5,V721*[1]KPI_Weights!$B$6,W721*[1]KPI_Weights!$B$7,X721*[1]KPI_Weights!$B$8,Y721*[1]KPI_Weights!$B$9,Z721*[1]KPI_Weights!$B$10,AA721*[1]KPI_Weights!$B$11,AB721*[1]KPI_Weights!$B$12,AC721*[1]KPI_Weights!$B$13,AD721*[1]KPI_Weights!$B$14,AE721*[1]KPI_Weights!$B$15,AF721*[1]KPI_Weights!$B$16,AG721*[1]KPI_Weights!$B$17,AH721*[1]KPI_Weights!$B$18))/5)</f>
        <v/>
      </c>
      <c r="AL721" s="29" t="str">
        <f>IF(COUNTA(T721:AH721)=0,"",IF(OR(T721&lt;=1,W721&lt;=1,X721&lt;=1,Y721&lt;=1,AB721&lt;=1),"YES","NO"))</f>
        <v/>
      </c>
      <c r="AM721" s="29" t="str">
        <f>IF(AJ721="","",IF(AND(AL721="NO",AJ721&gt;=0.75),"YES","NO"))</f>
        <v/>
      </c>
      <c r="AN721" s="29" t="str">
        <f>IF(AJ721="","",IF(AJ721&lt;0.4,"Critical",IF(AJ721&lt;0.6,"Poor",IF(AJ721&lt;0.75,"Needs Improvement",IF(AJ721&lt;0.9,"Good","Excellent")))))</f>
        <v/>
      </c>
    </row>
    <row r="722" spans="1:40" ht="15" customHeight="1" x14ac:dyDescent="0.25">
      <c r="A722" s="29" t="str">
        <f>IF($B722="","",TEXT($B722,"yyyymmdd")&amp;"-"&amp;SUBSTITUTE($F722," ","")&amp;"-"&amp;TEXT(COUNTIF($F$4:F722,$F722),"00"))</f>
        <v/>
      </c>
      <c r="C722" s="29" t="str">
        <f>IF($B722="","",WEEKNUM($B722,2))</f>
        <v/>
      </c>
      <c r="D722" s="29" t="str">
        <f>IF($B722="","",TEXT($B722,"yyyy-mm"))</f>
        <v/>
      </c>
      <c r="G722" s="29" t="str">
        <f>IF(OR($E722="",$F722=""),"",IFERROR(IF($E722=INDEX([1]Cluster_Master!$A$4:$A$18,MATCH($F722,[1]Cluster_Master!$B$4:$B$18,0)),"OK","CHECK"),"CHECK"))</f>
        <v/>
      </c>
      <c r="H722" s="29" t="str">
        <f>IFERROR(INDEX([1]Cluster_Master!$C$4:$C$18,MATCH($F722,[1]Cluster_Master!$B$4:$B$18,0)),"")</f>
        <v/>
      </c>
      <c r="I722" s="29" t="str">
        <f>IFERROR(INDEX([1]Cluster_Master!$D$4:$D$18,MATCH($F722,[1]Cluster_Master!$B$4:$B$18,0)),"")</f>
        <v/>
      </c>
      <c r="J722" s="29" t="str">
        <f>IFERROR(INDEX([1]Cluster_Master!$E$4:$E$18,MATCH($F722,[1]Cluster_Master!$B$4:$B$18,0)),"")</f>
        <v/>
      </c>
      <c r="K722" s="29" t="str">
        <f>IFERROR(INDEX([1]Cluster_Master!$F$4:$F$18,MATCH($F722,[1]Cluster_Master!$B$4:$B$18,0)),"")</f>
        <v/>
      </c>
      <c r="L722" s="29" t="str">
        <f>IFERROR(INDEX([1]Cluster_Master!$G$4:$G$18,MATCH($F722,[1]Cluster_Master!$B$4:$B$18,0)),"")</f>
        <v/>
      </c>
      <c r="M722" s="29" t="str">
        <f>IFERROR(INDEX([1]Cluster_Master!$H$4:$H$18,MATCH($F722,[1]Cluster_Master!$B$4:$B$18,0)),"")</f>
        <v/>
      </c>
      <c r="AI722" s="29" t="str">
        <f>IF(COUNTA(T722:AH722)=0,"",SUM(T722:AH722))</f>
        <v/>
      </c>
      <c r="AJ722" s="29" t="str">
        <f>IF(COUNTA(T722:AH722)=0,"",AI722/75)</f>
        <v/>
      </c>
      <c r="AK722" s="29" t="str">
        <f>IF(COUNTA(T722:AH722)=0,"",(SUM(T722*[1]KPI_Weights!$B$4,U722*[1]KPI_Weights!$B$5,V722*[1]KPI_Weights!$B$6,W722*[1]KPI_Weights!$B$7,X722*[1]KPI_Weights!$B$8,Y722*[1]KPI_Weights!$B$9,Z722*[1]KPI_Weights!$B$10,AA722*[1]KPI_Weights!$B$11,AB722*[1]KPI_Weights!$B$12,AC722*[1]KPI_Weights!$B$13,AD722*[1]KPI_Weights!$B$14,AE722*[1]KPI_Weights!$B$15,AF722*[1]KPI_Weights!$B$16,AG722*[1]KPI_Weights!$B$17,AH722*[1]KPI_Weights!$B$18))/5)</f>
        <v/>
      </c>
      <c r="AL722" s="29" t="str">
        <f>IF(COUNTA(T722:AH722)=0,"",IF(OR(T722&lt;=1,W722&lt;=1,X722&lt;=1,Y722&lt;=1,AB722&lt;=1),"YES","NO"))</f>
        <v/>
      </c>
      <c r="AM722" s="29" t="str">
        <f>IF(AJ722="","",IF(AND(AL722="NO",AJ722&gt;=0.75),"YES","NO"))</f>
        <v/>
      </c>
      <c r="AN722" s="29" t="str">
        <f>IF(AJ722="","",IF(AJ722&lt;0.4,"Critical",IF(AJ722&lt;0.6,"Poor",IF(AJ722&lt;0.75,"Needs Improvement",IF(AJ722&lt;0.9,"Good","Excellent")))))</f>
        <v/>
      </c>
    </row>
    <row r="723" spans="1:40" ht="15" customHeight="1" x14ac:dyDescent="0.25">
      <c r="A723" s="29" t="str">
        <f>IF($B723="","",TEXT($B723,"yyyymmdd")&amp;"-"&amp;SUBSTITUTE($F723," ","")&amp;"-"&amp;TEXT(COUNTIF($F$4:F723,$F723),"00"))</f>
        <v/>
      </c>
      <c r="C723" s="29" t="str">
        <f>IF($B723="","",WEEKNUM($B723,2))</f>
        <v/>
      </c>
      <c r="D723" s="29" t="str">
        <f>IF($B723="","",TEXT($B723,"yyyy-mm"))</f>
        <v/>
      </c>
      <c r="G723" s="29" t="str">
        <f>IF(OR($E723="",$F723=""),"",IFERROR(IF($E723=INDEX([1]Cluster_Master!$A$4:$A$18,MATCH($F723,[1]Cluster_Master!$B$4:$B$18,0)),"OK","CHECK"),"CHECK"))</f>
        <v/>
      </c>
      <c r="H723" s="29" t="str">
        <f>IFERROR(INDEX([1]Cluster_Master!$C$4:$C$18,MATCH($F723,[1]Cluster_Master!$B$4:$B$18,0)),"")</f>
        <v/>
      </c>
      <c r="I723" s="29" t="str">
        <f>IFERROR(INDEX([1]Cluster_Master!$D$4:$D$18,MATCH($F723,[1]Cluster_Master!$B$4:$B$18,0)),"")</f>
        <v/>
      </c>
      <c r="J723" s="29" t="str">
        <f>IFERROR(INDEX([1]Cluster_Master!$E$4:$E$18,MATCH($F723,[1]Cluster_Master!$B$4:$B$18,0)),"")</f>
        <v/>
      </c>
      <c r="K723" s="29" t="str">
        <f>IFERROR(INDEX([1]Cluster_Master!$F$4:$F$18,MATCH($F723,[1]Cluster_Master!$B$4:$B$18,0)),"")</f>
        <v/>
      </c>
      <c r="L723" s="29" t="str">
        <f>IFERROR(INDEX([1]Cluster_Master!$G$4:$G$18,MATCH($F723,[1]Cluster_Master!$B$4:$B$18,0)),"")</f>
        <v/>
      </c>
      <c r="M723" s="29" t="str">
        <f>IFERROR(INDEX([1]Cluster_Master!$H$4:$H$18,MATCH($F723,[1]Cluster_Master!$B$4:$B$18,0)),"")</f>
        <v/>
      </c>
      <c r="AI723" s="29" t="str">
        <f>IF(COUNTA(T723:AH723)=0,"",SUM(T723:AH723))</f>
        <v/>
      </c>
      <c r="AJ723" s="29" t="str">
        <f>IF(COUNTA(T723:AH723)=0,"",AI723/75)</f>
        <v/>
      </c>
      <c r="AK723" s="29" t="str">
        <f>IF(COUNTA(T723:AH723)=0,"",(SUM(T723*[1]KPI_Weights!$B$4,U723*[1]KPI_Weights!$B$5,V723*[1]KPI_Weights!$B$6,W723*[1]KPI_Weights!$B$7,X723*[1]KPI_Weights!$B$8,Y723*[1]KPI_Weights!$B$9,Z723*[1]KPI_Weights!$B$10,AA723*[1]KPI_Weights!$B$11,AB723*[1]KPI_Weights!$B$12,AC723*[1]KPI_Weights!$B$13,AD723*[1]KPI_Weights!$B$14,AE723*[1]KPI_Weights!$B$15,AF723*[1]KPI_Weights!$B$16,AG723*[1]KPI_Weights!$B$17,AH723*[1]KPI_Weights!$B$18))/5)</f>
        <v/>
      </c>
      <c r="AL723" s="29" t="str">
        <f>IF(COUNTA(T723:AH723)=0,"",IF(OR(T723&lt;=1,W723&lt;=1,X723&lt;=1,Y723&lt;=1,AB723&lt;=1),"YES","NO"))</f>
        <v/>
      </c>
      <c r="AM723" s="29" t="str">
        <f>IF(AJ723="","",IF(AND(AL723="NO",AJ723&gt;=0.75),"YES","NO"))</f>
        <v/>
      </c>
      <c r="AN723" s="29" t="str">
        <f>IF(AJ723="","",IF(AJ723&lt;0.4,"Critical",IF(AJ723&lt;0.6,"Poor",IF(AJ723&lt;0.75,"Needs Improvement",IF(AJ723&lt;0.9,"Good","Excellent")))))</f>
        <v/>
      </c>
    </row>
    <row r="724" spans="1:40" ht="15" customHeight="1" x14ac:dyDescent="0.25">
      <c r="A724" s="29" t="str">
        <f>IF($B724="","",TEXT($B724,"yyyymmdd")&amp;"-"&amp;SUBSTITUTE($F724," ","")&amp;"-"&amp;TEXT(COUNTIF($F$4:F724,$F724),"00"))</f>
        <v/>
      </c>
      <c r="C724" s="29" t="str">
        <f>IF($B724="","",WEEKNUM($B724,2))</f>
        <v/>
      </c>
      <c r="D724" s="29" t="str">
        <f>IF($B724="","",TEXT($B724,"yyyy-mm"))</f>
        <v/>
      </c>
      <c r="G724" s="29" t="str">
        <f>IF(OR($E724="",$F724=""),"",IFERROR(IF($E724=INDEX([1]Cluster_Master!$A$4:$A$18,MATCH($F724,[1]Cluster_Master!$B$4:$B$18,0)),"OK","CHECK"),"CHECK"))</f>
        <v/>
      </c>
      <c r="H724" s="29" t="str">
        <f>IFERROR(INDEX([1]Cluster_Master!$C$4:$C$18,MATCH($F724,[1]Cluster_Master!$B$4:$B$18,0)),"")</f>
        <v/>
      </c>
      <c r="I724" s="29" t="str">
        <f>IFERROR(INDEX([1]Cluster_Master!$D$4:$D$18,MATCH($F724,[1]Cluster_Master!$B$4:$B$18,0)),"")</f>
        <v/>
      </c>
      <c r="J724" s="29" t="str">
        <f>IFERROR(INDEX([1]Cluster_Master!$E$4:$E$18,MATCH($F724,[1]Cluster_Master!$B$4:$B$18,0)),"")</f>
        <v/>
      </c>
      <c r="K724" s="29" t="str">
        <f>IFERROR(INDEX([1]Cluster_Master!$F$4:$F$18,MATCH($F724,[1]Cluster_Master!$B$4:$B$18,0)),"")</f>
        <v/>
      </c>
      <c r="L724" s="29" t="str">
        <f>IFERROR(INDEX([1]Cluster_Master!$G$4:$G$18,MATCH($F724,[1]Cluster_Master!$B$4:$B$18,0)),"")</f>
        <v/>
      </c>
      <c r="M724" s="29" t="str">
        <f>IFERROR(INDEX([1]Cluster_Master!$H$4:$H$18,MATCH($F724,[1]Cluster_Master!$B$4:$B$18,0)),"")</f>
        <v/>
      </c>
      <c r="AI724" s="29" t="str">
        <f>IF(COUNTA(T724:AH724)=0,"",SUM(T724:AH724))</f>
        <v/>
      </c>
      <c r="AJ724" s="29" t="str">
        <f>IF(COUNTA(T724:AH724)=0,"",AI724/75)</f>
        <v/>
      </c>
      <c r="AK724" s="29" t="str">
        <f>IF(COUNTA(T724:AH724)=0,"",(SUM(T724*[1]KPI_Weights!$B$4,U724*[1]KPI_Weights!$B$5,V724*[1]KPI_Weights!$B$6,W724*[1]KPI_Weights!$B$7,X724*[1]KPI_Weights!$B$8,Y724*[1]KPI_Weights!$B$9,Z724*[1]KPI_Weights!$B$10,AA724*[1]KPI_Weights!$B$11,AB724*[1]KPI_Weights!$B$12,AC724*[1]KPI_Weights!$B$13,AD724*[1]KPI_Weights!$B$14,AE724*[1]KPI_Weights!$B$15,AF724*[1]KPI_Weights!$B$16,AG724*[1]KPI_Weights!$B$17,AH724*[1]KPI_Weights!$B$18))/5)</f>
        <v/>
      </c>
      <c r="AL724" s="29" t="str">
        <f>IF(COUNTA(T724:AH724)=0,"",IF(OR(T724&lt;=1,W724&lt;=1,X724&lt;=1,Y724&lt;=1,AB724&lt;=1),"YES","NO"))</f>
        <v/>
      </c>
      <c r="AM724" s="29" t="str">
        <f>IF(AJ724="","",IF(AND(AL724="NO",AJ724&gt;=0.75),"YES","NO"))</f>
        <v/>
      </c>
      <c r="AN724" s="29" t="str">
        <f>IF(AJ724="","",IF(AJ724&lt;0.4,"Critical",IF(AJ724&lt;0.6,"Poor",IF(AJ724&lt;0.75,"Needs Improvement",IF(AJ724&lt;0.9,"Good","Excellent")))))</f>
        <v/>
      </c>
    </row>
    <row r="725" spans="1:40" ht="15" customHeight="1" x14ac:dyDescent="0.25">
      <c r="A725" s="29" t="str">
        <f>IF($B725="","",TEXT($B725,"yyyymmdd")&amp;"-"&amp;SUBSTITUTE($F725," ","")&amp;"-"&amp;TEXT(COUNTIF($F$4:F725,$F725),"00"))</f>
        <v/>
      </c>
      <c r="C725" s="29" t="str">
        <f>IF($B725="","",WEEKNUM($B725,2))</f>
        <v/>
      </c>
      <c r="D725" s="29" t="str">
        <f>IF($B725="","",TEXT($B725,"yyyy-mm"))</f>
        <v/>
      </c>
      <c r="G725" s="29" t="str">
        <f>IF(OR($E725="",$F725=""),"",IFERROR(IF($E725=INDEX([1]Cluster_Master!$A$4:$A$18,MATCH($F725,[1]Cluster_Master!$B$4:$B$18,0)),"OK","CHECK"),"CHECK"))</f>
        <v/>
      </c>
      <c r="H725" s="29" t="str">
        <f>IFERROR(INDEX([1]Cluster_Master!$C$4:$C$18,MATCH($F725,[1]Cluster_Master!$B$4:$B$18,0)),"")</f>
        <v/>
      </c>
      <c r="I725" s="29" t="str">
        <f>IFERROR(INDEX([1]Cluster_Master!$D$4:$D$18,MATCH($F725,[1]Cluster_Master!$B$4:$B$18,0)),"")</f>
        <v/>
      </c>
      <c r="J725" s="29" t="str">
        <f>IFERROR(INDEX([1]Cluster_Master!$E$4:$E$18,MATCH($F725,[1]Cluster_Master!$B$4:$B$18,0)),"")</f>
        <v/>
      </c>
      <c r="K725" s="29" t="str">
        <f>IFERROR(INDEX([1]Cluster_Master!$F$4:$F$18,MATCH($F725,[1]Cluster_Master!$B$4:$B$18,0)),"")</f>
        <v/>
      </c>
      <c r="L725" s="29" t="str">
        <f>IFERROR(INDEX([1]Cluster_Master!$G$4:$G$18,MATCH($F725,[1]Cluster_Master!$B$4:$B$18,0)),"")</f>
        <v/>
      </c>
      <c r="M725" s="29" t="str">
        <f>IFERROR(INDEX([1]Cluster_Master!$H$4:$H$18,MATCH($F725,[1]Cluster_Master!$B$4:$B$18,0)),"")</f>
        <v/>
      </c>
      <c r="AI725" s="29" t="str">
        <f>IF(COUNTA(T725:AH725)=0,"",SUM(T725:AH725))</f>
        <v/>
      </c>
      <c r="AJ725" s="29" t="str">
        <f>IF(COUNTA(T725:AH725)=0,"",AI725/75)</f>
        <v/>
      </c>
      <c r="AK725" s="29" t="str">
        <f>IF(COUNTA(T725:AH725)=0,"",(SUM(T725*[1]KPI_Weights!$B$4,U725*[1]KPI_Weights!$B$5,V725*[1]KPI_Weights!$B$6,W725*[1]KPI_Weights!$B$7,X725*[1]KPI_Weights!$B$8,Y725*[1]KPI_Weights!$B$9,Z725*[1]KPI_Weights!$B$10,AA725*[1]KPI_Weights!$B$11,AB725*[1]KPI_Weights!$B$12,AC725*[1]KPI_Weights!$B$13,AD725*[1]KPI_Weights!$B$14,AE725*[1]KPI_Weights!$B$15,AF725*[1]KPI_Weights!$B$16,AG725*[1]KPI_Weights!$B$17,AH725*[1]KPI_Weights!$B$18))/5)</f>
        <v/>
      </c>
      <c r="AL725" s="29" t="str">
        <f>IF(COUNTA(T725:AH725)=0,"",IF(OR(T725&lt;=1,W725&lt;=1,X725&lt;=1,Y725&lt;=1,AB725&lt;=1),"YES","NO"))</f>
        <v/>
      </c>
      <c r="AM725" s="29" t="str">
        <f>IF(AJ725="","",IF(AND(AL725="NO",AJ725&gt;=0.75),"YES","NO"))</f>
        <v/>
      </c>
      <c r="AN725" s="29" t="str">
        <f>IF(AJ725="","",IF(AJ725&lt;0.4,"Critical",IF(AJ725&lt;0.6,"Poor",IF(AJ725&lt;0.75,"Needs Improvement",IF(AJ725&lt;0.9,"Good","Excellent")))))</f>
        <v/>
      </c>
    </row>
    <row r="726" spans="1:40" ht="15" customHeight="1" x14ac:dyDescent="0.25">
      <c r="A726" s="29" t="str">
        <f>IF($B726="","",TEXT($B726,"yyyymmdd")&amp;"-"&amp;SUBSTITUTE($F726," ","")&amp;"-"&amp;TEXT(COUNTIF($F$4:F726,$F726),"00"))</f>
        <v/>
      </c>
      <c r="C726" s="29" t="str">
        <f>IF($B726="","",WEEKNUM($B726,2))</f>
        <v/>
      </c>
      <c r="D726" s="29" t="str">
        <f>IF($B726="","",TEXT($B726,"yyyy-mm"))</f>
        <v/>
      </c>
      <c r="G726" s="29" t="str">
        <f>IF(OR($E726="",$F726=""),"",IFERROR(IF($E726=INDEX([1]Cluster_Master!$A$4:$A$18,MATCH($F726,[1]Cluster_Master!$B$4:$B$18,0)),"OK","CHECK"),"CHECK"))</f>
        <v/>
      </c>
      <c r="H726" s="29" t="str">
        <f>IFERROR(INDEX([1]Cluster_Master!$C$4:$C$18,MATCH($F726,[1]Cluster_Master!$B$4:$B$18,0)),"")</f>
        <v/>
      </c>
      <c r="I726" s="29" t="str">
        <f>IFERROR(INDEX([1]Cluster_Master!$D$4:$D$18,MATCH($F726,[1]Cluster_Master!$B$4:$B$18,0)),"")</f>
        <v/>
      </c>
      <c r="J726" s="29" t="str">
        <f>IFERROR(INDEX([1]Cluster_Master!$E$4:$E$18,MATCH($F726,[1]Cluster_Master!$B$4:$B$18,0)),"")</f>
        <v/>
      </c>
      <c r="K726" s="29" t="str">
        <f>IFERROR(INDEX([1]Cluster_Master!$F$4:$F$18,MATCH($F726,[1]Cluster_Master!$B$4:$B$18,0)),"")</f>
        <v/>
      </c>
      <c r="L726" s="29" t="str">
        <f>IFERROR(INDEX([1]Cluster_Master!$G$4:$G$18,MATCH($F726,[1]Cluster_Master!$B$4:$B$18,0)),"")</f>
        <v/>
      </c>
      <c r="M726" s="29" t="str">
        <f>IFERROR(INDEX([1]Cluster_Master!$H$4:$H$18,MATCH($F726,[1]Cluster_Master!$B$4:$B$18,0)),"")</f>
        <v/>
      </c>
      <c r="AI726" s="29" t="str">
        <f>IF(COUNTA(T726:AH726)=0,"",SUM(T726:AH726))</f>
        <v/>
      </c>
      <c r="AJ726" s="29" t="str">
        <f>IF(COUNTA(T726:AH726)=0,"",AI726/75)</f>
        <v/>
      </c>
      <c r="AK726" s="29" t="str">
        <f>IF(COUNTA(T726:AH726)=0,"",(SUM(T726*[1]KPI_Weights!$B$4,U726*[1]KPI_Weights!$B$5,V726*[1]KPI_Weights!$B$6,W726*[1]KPI_Weights!$B$7,X726*[1]KPI_Weights!$B$8,Y726*[1]KPI_Weights!$B$9,Z726*[1]KPI_Weights!$B$10,AA726*[1]KPI_Weights!$B$11,AB726*[1]KPI_Weights!$B$12,AC726*[1]KPI_Weights!$B$13,AD726*[1]KPI_Weights!$B$14,AE726*[1]KPI_Weights!$B$15,AF726*[1]KPI_Weights!$B$16,AG726*[1]KPI_Weights!$B$17,AH726*[1]KPI_Weights!$B$18))/5)</f>
        <v/>
      </c>
      <c r="AL726" s="29" t="str">
        <f>IF(COUNTA(T726:AH726)=0,"",IF(OR(T726&lt;=1,W726&lt;=1,X726&lt;=1,Y726&lt;=1,AB726&lt;=1),"YES","NO"))</f>
        <v/>
      </c>
      <c r="AM726" s="29" t="str">
        <f>IF(AJ726="","",IF(AND(AL726="NO",AJ726&gt;=0.75),"YES","NO"))</f>
        <v/>
      </c>
      <c r="AN726" s="29" t="str">
        <f>IF(AJ726="","",IF(AJ726&lt;0.4,"Critical",IF(AJ726&lt;0.6,"Poor",IF(AJ726&lt;0.75,"Needs Improvement",IF(AJ726&lt;0.9,"Good","Excellent")))))</f>
        <v/>
      </c>
    </row>
    <row r="727" spans="1:40" ht="15" customHeight="1" x14ac:dyDescent="0.25">
      <c r="A727" s="29" t="str">
        <f>IF($B727="","",TEXT($B727,"yyyymmdd")&amp;"-"&amp;SUBSTITUTE($F727," ","")&amp;"-"&amp;TEXT(COUNTIF($F$4:F727,$F727),"00"))</f>
        <v/>
      </c>
      <c r="C727" s="29" t="str">
        <f>IF($B727="","",WEEKNUM($B727,2))</f>
        <v/>
      </c>
      <c r="D727" s="29" t="str">
        <f>IF($B727="","",TEXT($B727,"yyyy-mm"))</f>
        <v/>
      </c>
      <c r="G727" s="29" t="str">
        <f>IF(OR($E727="",$F727=""),"",IFERROR(IF($E727=INDEX([1]Cluster_Master!$A$4:$A$18,MATCH($F727,[1]Cluster_Master!$B$4:$B$18,0)),"OK","CHECK"),"CHECK"))</f>
        <v/>
      </c>
      <c r="H727" s="29" t="str">
        <f>IFERROR(INDEX([1]Cluster_Master!$C$4:$C$18,MATCH($F727,[1]Cluster_Master!$B$4:$B$18,0)),"")</f>
        <v/>
      </c>
      <c r="I727" s="29" t="str">
        <f>IFERROR(INDEX([1]Cluster_Master!$D$4:$D$18,MATCH($F727,[1]Cluster_Master!$B$4:$B$18,0)),"")</f>
        <v/>
      </c>
      <c r="J727" s="29" t="str">
        <f>IFERROR(INDEX([1]Cluster_Master!$E$4:$E$18,MATCH($F727,[1]Cluster_Master!$B$4:$B$18,0)),"")</f>
        <v/>
      </c>
      <c r="K727" s="29" t="str">
        <f>IFERROR(INDEX([1]Cluster_Master!$F$4:$F$18,MATCH($F727,[1]Cluster_Master!$B$4:$B$18,0)),"")</f>
        <v/>
      </c>
      <c r="L727" s="29" t="str">
        <f>IFERROR(INDEX([1]Cluster_Master!$G$4:$G$18,MATCH($F727,[1]Cluster_Master!$B$4:$B$18,0)),"")</f>
        <v/>
      </c>
      <c r="M727" s="29" t="str">
        <f>IFERROR(INDEX([1]Cluster_Master!$H$4:$H$18,MATCH($F727,[1]Cluster_Master!$B$4:$B$18,0)),"")</f>
        <v/>
      </c>
      <c r="AI727" s="29" t="str">
        <f>IF(COUNTA(T727:AH727)=0,"",SUM(T727:AH727))</f>
        <v/>
      </c>
      <c r="AJ727" s="29" t="str">
        <f>IF(COUNTA(T727:AH727)=0,"",AI727/75)</f>
        <v/>
      </c>
      <c r="AK727" s="29" t="str">
        <f>IF(COUNTA(T727:AH727)=0,"",(SUM(T727*[1]KPI_Weights!$B$4,U727*[1]KPI_Weights!$B$5,V727*[1]KPI_Weights!$B$6,W727*[1]KPI_Weights!$B$7,X727*[1]KPI_Weights!$B$8,Y727*[1]KPI_Weights!$B$9,Z727*[1]KPI_Weights!$B$10,AA727*[1]KPI_Weights!$B$11,AB727*[1]KPI_Weights!$B$12,AC727*[1]KPI_Weights!$B$13,AD727*[1]KPI_Weights!$B$14,AE727*[1]KPI_Weights!$B$15,AF727*[1]KPI_Weights!$B$16,AG727*[1]KPI_Weights!$B$17,AH727*[1]KPI_Weights!$B$18))/5)</f>
        <v/>
      </c>
      <c r="AL727" s="29" t="str">
        <f>IF(COUNTA(T727:AH727)=0,"",IF(OR(T727&lt;=1,W727&lt;=1,X727&lt;=1,Y727&lt;=1,AB727&lt;=1),"YES","NO"))</f>
        <v/>
      </c>
      <c r="AM727" s="29" t="str">
        <f>IF(AJ727="","",IF(AND(AL727="NO",AJ727&gt;=0.75),"YES","NO"))</f>
        <v/>
      </c>
      <c r="AN727" s="29" t="str">
        <f>IF(AJ727="","",IF(AJ727&lt;0.4,"Critical",IF(AJ727&lt;0.6,"Poor",IF(AJ727&lt;0.75,"Needs Improvement",IF(AJ727&lt;0.9,"Good","Excellent")))))</f>
        <v/>
      </c>
    </row>
    <row r="728" spans="1:40" ht="15" customHeight="1" x14ac:dyDescent="0.25">
      <c r="A728" s="29" t="str">
        <f>IF($B728="","",TEXT($B728,"yyyymmdd")&amp;"-"&amp;SUBSTITUTE($F728," ","")&amp;"-"&amp;TEXT(COUNTIF($F$4:F728,$F728),"00"))</f>
        <v/>
      </c>
      <c r="C728" s="29" t="str">
        <f>IF($B728="","",WEEKNUM($B728,2))</f>
        <v/>
      </c>
      <c r="D728" s="29" t="str">
        <f>IF($B728="","",TEXT($B728,"yyyy-mm"))</f>
        <v/>
      </c>
      <c r="G728" s="29" t="str">
        <f>IF(OR($E728="",$F728=""),"",IFERROR(IF($E728=INDEX([1]Cluster_Master!$A$4:$A$18,MATCH($F728,[1]Cluster_Master!$B$4:$B$18,0)),"OK","CHECK"),"CHECK"))</f>
        <v/>
      </c>
      <c r="H728" s="29" t="str">
        <f>IFERROR(INDEX([1]Cluster_Master!$C$4:$C$18,MATCH($F728,[1]Cluster_Master!$B$4:$B$18,0)),"")</f>
        <v/>
      </c>
      <c r="I728" s="29" t="str">
        <f>IFERROR(INDEX([1]Cluster_Master!$D$4:$D$18,MATCH($F728,[1]Cluster_Master!$B$4:$B$18,0)),"")</f>
        <v/>
      </c>
      <c r="J728" s="29" t="str">
        <f>IFERROR(INDEX([1]Cluster_Master!$E$4:$E$18,MATCH($F728,[1]Cluster_Master!$B$4:$B$18,0)),"")</f>
        <v/>
      </c>
      <c r="K728" s="29" t="str">
        <f>IFERROR(INDEX([1]Cluster_Master!$F$4:$F$18,MATCH($F728,[1]Cluster_Master!$B$4:$B$18,0)),"")</f>
        <v/>
      </c>
      <c r="L728" s="29" t="str">
        <f>IFERROR(INDEX([1]Cluster_Master!$G$4:$G$18,MATCH($F728,[1]Cluster_Master!$B$4:$B$18,0)),"")</f>
        <v/>
      </c>
      <c r="M728" s="29" t="str">
        <f>IFERROR(INDEX([1]Cluster_Master!$H$4:$H$18,MATCH($F728,[1]Cluster_Master!$B$4:$B$18,0)),"")</f>
        <v/>
      </c>
      <c r="AI728" s="29" t="str">
        <f>IF(COUNTA(T728:AH728)=0,"",SUM(T728:AH728))</f>
        <v/>
      </c>
      <c r="AJ728" s="29" t="str">
        <f>IF(COUNTA(T728:AH728)=0,"",AI728/75)</f>
        <v/>
      </c>
      <c r="AK728" s="29" t="str">
        <f>IF(COUNTA(T728:AH728)=0,"",(SUM(T728*[1]KPI_Weights!$B$4,U728*[1]KPI_Weights!$B$5,V728*[1]KPI_Weights!$B$6,W728*[1]KPI_Weights!$B$7,X728*[1]KPI_Weights!$B$8,Y728*[1]KPI_Weights!$B$9,Z728*[1]KPI_Weights!$B$10,AA728*[1]KPI_Weights!$B$11,AB728*[1]KPI_Weights!$B$12,AC728*[1]KPI_Weights!$B$13,AD728*[1]KPI_Weights!$B$14,AE728*[1]KPI_Weights!$B$15,AF728*[1]KPI_Weights!$B$16,AG728*[1]KPI_Weights!$B$17,AH728*[1]KPI_Weights!$B$18))/5)</f>
        <v/>
      </c>
      <c r="AL728" s="29" t="str">
        <f>IF(COUNTA(T728:AH728)=0,"",IF(OR(T728&lt;=1,W728&lt;=1,X728&lt;=1,Y728&lt;=1,AB728&lt;=1),"YES","NO"))</f>
        <v/>
      </c>
      <c r="AM728" s="29" t="str">
        <f>IF(AJ728="","",IF(AND(AL728="NO",AJ728&gt;=0.75),"YES","NO"))</f>
        <v/>
      </c>
      <c r="AN728" s="29" t="str">
        <f>IF(AJ728="","",IF(AJ728&lt;0.4,"Critical",IF(AJ728&lt;0.6,"Poor",IF(AJ728&lt;0.75,"Needs Improvement",IF(AJ728&lt;0.9,"Good","Excellent")))))</f>
        <v/>
      </c>
    </row>
    <row r="729" spans="1:40" ht="15" customHeight="1" x14ac:dyDescent="0.25">
      <c r="A729" s="29" t="str">
        <f>IF($B729="","",TEXT($B729,"yyyymmdd")&amp;"-"&amp;SUBSTITUTE($F729," ","")&amp;"-"&amp;TEXT(COUNTIF($F$4:F729,$F729),"00"))</f>
        <v/>
      </c>
      <c r="C729" s="29" t="str">
        <f>IF($B729="","",WEEKNUM($B729,2))</f>
        <v/>
      </c>
      <c r="D729" s="29" t="str">
        <f>IF($B729="","",TEXT($B729,"yyyy-mm"))</f>
        <v/>
      </c>
      <c r="G729" s="29" t="str">
        <f>IF(OR($E729="",$F729=""),"",IFERROR(IF($E729=INDEX([1]Cluster_Master!$A$4:$A$18,MATCH($F729,[1]Cluster_Master!$B$4:$B$18,0)),"OK","CHECK"),"CHECK"))</f>
        <v/>
      </c>
      <c r="H729" s="29" t="str">
        <f>IFERROR(INDEX([1]Cluster_Master!$C$4:$C$18,MATCH($F729,[1]Cluster_Master!$B$4:$B$18,0)),"")</f>
        <v/>
      </c>
      <c r="I729" s="29" t="str">
        <f>IFERROR(INDEX([1]Cluster_Master!$D$4:$D$18,MATCH($F729,[1]Cluster_Master!$B$4:$B$18,0)),"")</f>
        <v/>
      </c>
      <c r="J729" s="29" t="str">
        <f>IFERROR(INDEX([1]Cluster_Master!$E$4:$E$18,MATCH($F729,[1]Cluster_Master!$B$4:$B$18,0)),"")</f>
        <v/>
      </c>
      <c r="K729" s="29" t="str">
        <f>IFERROR(INDEX([1]Cluster_Master!$F$4:$F$18,MATCH($F729,[1]Cluster_Master!$B$4:$B$18,0)),"")</f>
        <v/>
      </c>
      <c r="L729" s="29" t="str">
        <f>IFERROR(INDEX([1]Cluster_Master!$G$4:$G$18,MATCH($F729,[1]Cluster_Master!$B$4:$B$18,0)),"")</f>
        <v/>
      </c>
      <c r="M729" s="29" t="str">
        <f>IFERROR(INDEX([1]Cluster_Master!$H$4:$H$18,MATCH($F729,[1]Cluster_Master!$B$4:$B$18,0)),"")</f>
        <v/>
      </c>
      <c r="AI729" s="29" t="str">
        <f>IF(COUNTA(T729:AH729)=0,"",SUM(T729:AH729))</f>
        <v/>
      </c>
      <c r="AJ729" s="29" t="str">
        <f>IF(COUNTA(T729:AH729)=0,"",AI729/75)</f>
        <v/>
      </c>
      <c r="AK729" s="29" t="str">
        <f>IF(COUNTA(T729:AH729)=0,"",(SUM(T729*[1]KPI_Weights!$B$4,U729*[1]KPI_Weights!$B$5,V729*[1]KPI_Weights!$B$6,W729*[1]KPI_Weights!$B$7,X729*[1]KPI_Weights!$B$8,Y729*[1]KPI_Weights!$B$9,Z729*[1]KPI_Weights!$B$10,AA729*[1]KPI_Weights!$B$11,AB729*[1]KPI_Weights!$B$12,AC729*[1]KPI_Weights!$B$13,AD729*[1]KPI_Weights!$B$14,AE729*[1]KPI_Weights!$B$15,AF729*[1]KPI_Weights!$B$16,AG729*[1]KPI_Weights!$B$17,AH729*[1]KPI_Weights!$B$18))/5)</f>
        <v/>
      </c>
      <c r="AL729" s="29" t="str">
        <f>IF(COUNTA(T729:AH729)=0,"",IF(OR(T729&lt;=1,W729&lt;=1,X729&lt;=1,Y729&lt;=1,AB729&lt;=1),"YES","NO"))</f>
        <v/>
      </c>
      <c r="AM729" s="29" t="str">
        <f>IF(AJ729="","",IF(AND(AL729="NO",AJ729&gt;=0.75),"YES","NO"))</f>
        <v/>
      </c>
      <c r="AN729" s="29" t="str">
        <f>IF(AJ729="","",IF(AJ729&lt;0.4,"Critical",IF(AJ729&lt;0.6,"Poor",IF(AJ729&lt;0.75,"Needs Improvement",IF(AJ729&lt;0.9,"Good","Excellent")))))</f>
        <v/>
      </c>
    </row>
    <row r="730" spans="1:40" ht="15" customHeight="1" x14ac:dyDescent="0.25">
      <c r="A730" s="29" t="str">
        <f>IF($B730="","",TEXT($B730,"yyyymmdd")&amp;"-"&amp;SUBSTITUTE($F730," ","")&amp;"-"&amp;TEXT(COUNTIF($F$4:F730,$F730),"00"))</f>
        <v/>
      </c>
      <c r="C730" s="29" t="str">
        <f>IF($B730="","",WEEKNUM($B730,2))</f>
        <v/>
      </c>
      <c r="D730" s="29" t="str">
        <f>IF($B730="","",TEXT($B730,"yyyy-mm"))</f>
        <v/>
      </c>
      <c r="G730" s="29" t="str">
        <f>IF(OR($E730="",$F730=""),"",IFERROR(IF($E730=INDEX([1]Cluster_Master!$A$4:$A$18,MATCH($F730,[1]Cluster_Master!$B$4:$B$18,0)),"OK","CHECK"),"CHECK"))</f>
        <v/>
      </c>
      <c r="H730" s="29" t="str">
        <f>IFERROR(INDEX([1]Cluster_Master!$C$4:$C$18,MATCH($F730,[1]Cluster_Master!$B$4:$B$18,0)),"")</f>
        <v/>
      </c>
      <c r="I730" s="29" t="str">
        <f>IFERROR(INDEX([1]Cluster_Master!$D$4:$D$18,MATCH($F730,[1]Cluster_Master!$B$4:$B$18,0)),"")</f>
        <v/>
      </c>
      <c r="J730" s="29" t="str">
        <f>IFERROR(INDEX([1]Cluster_Master!$E$4:$E$18,MATCH($F730,[1]Cluster_Master!$B$4:$B$18,0)),"")</f>
        <v/>
      </c>
      <c r="K730" s="29" t="str">
        <f>IFERROR(INDEX([1]Cluster_Master!$F$4:$F$18,MATCH($F730,[1]Cluster_Master!$B$4:$B$18,0)),"")</f>
        <v/>
      </c>
      <c r="L730" s="29" t="str">
        <f>IFERROR(INDEX([1]Cluster_Master!$G$4:$G$18,MATCH($F730,[1]Cluster_Master!$B$4:$B$18,0)),"")</f>
        <v/>
      </c>
      <c r="M730" s="29" t="str">
        <f>IFERROR(INDEX([1]Cluster_Master!$H$4:$H$18,MATCH($F730,[1]Cluster_Master!$B$4:$B$18,0)),"")</f>
        <v/>
      </c>
      <c r="AI730" s="29" t="str">
        <f>IF(COUNTA(T730:AH730)=0,"",SUM(T730:AH730))</f>
        <v/>
      </c>
      <c r="AJ730" s="29" t="str">
        <f>IF(COUNTA(T730:AH730)=0,"",AI730/75)</f>
        <v/>
      </c>
      <c r="AK730" s="29" t="str">
        <f>IF(COUNTA(T730:AH730)=0,"",(SUM(T730*[1]KPI_Weights!$B$4,U730*[1]KPI_Weights!$B$5,V730*[1]KPI_Weights!$B$6,W730*[1]KPI_Weights!$B$7,X730*[1]KPI_Weights!$B$8,Y730*[1]KPI_Weights!$B$9,Z730*[1]KPI_Weights!$B$10,AA730*[1]KPI_Weights!$B$11,AB730*[1]KPI_Weights!$B$12,AC730*[1]KPI_Weights!$B$13,AD730*[1]KPI_Weights!$B$14,AE730*[1]KPI_Weights!$B$15,AF730*[1]KPI_Weights!$B$16,AG730*[1]KPI_Weights!$B$17,AH730*[1]KPI_Weights!$B$18))/5)</f>
        <v/>
      </c>
      <c r="AL730" s="29" t="str">
        <f>IF(COUNTA(T730:AH730)=0,"",IF(OR(T730&lt;=1,W730&lt;=1,X730&lt;=1,Y730&lt;=1,AB730&lt;=1),"YES","NO"))</f>
        <v/>
      </c>
      <c r="AM730" s="29" t="str">
        <f>IF(AJ730="","",IF(AND(AL730="NO",AJ730&gt;=0.75),"YES","NO"))</f>
        <v/>
      </c>
      <c r="AN730" s="29" t="str">
        <f>IF(AJ730="","",IF(AJ730&lt;0.4,"Critical",IF(AJ730&lt;0.6,"Poor",IF(AJ730&lt;0.75,"Needs Improvement",IF(AJ730&lt;0.9,"Good","Excellent")))))</f>
        <v/>
      </c>
    </row>
    <row r="731" spans="1:40" ht="15" customHeight="1" x14ac:dyDescent="0.25">
      <c r="A731" s="29" t="str">
        <f>IF($B731="","",TEXT($B731,"yyyymmdd")&amp;"-"&amp;SUBSTITUTE($F731," ","")&amp;"-"&amp;TEXT(COUNTIF($F$4:F731,$F731),"00"))</f>
        <v/>
      </c>
      <c r="C731" s="29" t="str">
        <f>IF($B731="","",WEEKNUM($B731,2))</f>
        <v/>
      </c>
      <c r="D731" s="29" t="str">
        <f>IF($B731="","",TEXT($B731,"yyyy-mm"))</f>
        <v/>
      </c>
      <c r="G731" s="29" t="str">
        <f>IF(OR($E731="",$F731=""),"",IFERROR(IF($E731=INDEX([1]Cluster_Master!$A$4:$A$18,MATCH($F731,[1]Cluster_Master!$B$4:$B$18,0)),"OK","CHECK"),"CHECK"))</f>
        <v/>
      </c>
      <c r="H731" s="29" t="str">
        <f>IFERROR(INDEX([1]Cluster_Master!$C$4:$C$18,MATCH($F731,[1]Cluster_Master!$B$4:$B$18,0)),"")</f>
        <v/>
      </c>
      <c r="I731" s="29" t="str">
        <f>IFERROR(INDEX([1]Cluster_Master!$D$4:$D$18,MATCH($F731,[1]Cluster_Master!$B$4:$B$18,0)),"")</f>
        <v/>
      </c>
      <c r="J731" s="29" t="str">
        <f>IFERROR(INDEX([1]Cluster_Master!$E$4:$E$18,MATCH($F731,[1]Cluster_Master!$B$4:$B$18,0)),"")</f>
        <v/>
      </c>
      <c r="K731" s="29" t="str">
        <f>IFERROR(INDEX([1]Cluster_Master!$F$4:$F$18,MATCH($F731,[1]Cluster_Master!$B$4:$B$18,0)),"")</f>
        <v/>
      </c>
      <c r="L731" s="29" t="str">
        <f>IFERROR(INDEX([1]Cluster_Master!$G$4:$G$18,MATCH($F731,[1]Cluster_Master!$B$4:$B$18,0)),"")</f>
        <v/>
      </c>
      <c r="M731" s="29" t="str">
        <f>IFERROR(INDEX([1]Cluster_Master!$H$4:$H$18,MATCH($F731,[1]Cluster_Master!$B$4:$B$18,0)),"")</f>
        <v/>
      </c>
      <c r="AI731" s="29" t="str">
        <f>IF(COUNTA(T731:AH731)=0,"",SUM(T731:AH731))</f>
        <v/>
      </c>
      <c r="AJ731" s="29" t="str">
        <f>IF(COUNTA(T731:AH731)=0,"",AI731/75)</f>
        <v/>
      </c>
      <c r="AK731" s="29" t="str">
        <f>IF(COUNTA(T731:AH731)=0,"",(SUM(T731*[1]KPI_Weights!$B$4,U731*[1]KPI_Weights!$B$5,V731*[1]KPI_Weights!$B$6,W731*[1]KPI_Weights!$B$7,X731*[1]KPI_Weights!$B$8,Y731*[1]KPI_Weights!$B$9,Z731*[1]KPI_Weights!$B$10,AA731*[1]KPI_Weights!$B$11,AB731*[1]KPI_Weights!$B$12,AC731*[1]KPI_Weights!$B$13,AD731*[1]KPI_Weights!$B$14,AE731*[1]KPI_Weights!$B$15,AF731*[1]KPI_Weights!$B$16,AG731*[1]KPI_Weights!$B$17,AH731*[1]KPI_Weights!$B$18))/5)</f>
        <v/>
      </c>
      <c r="AL731" s="29" t="str">
        <f>IF(COUNTA(T731:AH731)=0,"",IF(OR(T731&lt;=1,W731&lt;=1,X731&lt;=1,Y731&lt;=1,AB731&lt;=1),"YES","NO"))</f>
        <v/>
      </c>
      <c r="AM731" s="29" t="str">
        <f>IF(AJ731="","",IF(AND(AL731="NO",AJ731&gt;=0.75),"YES","NO"))</f>
        <v/>
      </c>
      <c r="AN731" s="29" t="str">
        <f>IF(AJ731="","",IF(AJ731&lt;0.4,"Critical",IF(AJ731&lt;0.6,"Poor",IF(AJ731&lt;0.75,"Needs Improvement",IF(AJ731&lt;0.9,"Good","Excellent")))))</f>
        <v/>
      </c>
    </row>
    <row r="732" spans="1:40" ht="15" customHeight="1" x14ac:dyDescent="0.25">
      <c r="A732" s="29" t="str">
        <f>IF($B732="","",TEXT($B732,"yyyymmdd")&amp;"-"&amp;SUBSTITUTE($F732," ","")&amp;"-"&amp;TEXT(COUNTIF($F$4:F732,$F732),"00"))</f>
        <v/>
      </c>
      <c r="C732" s="29" t="str">
        <f>IF($B732="","",WEEKNUM($B732,2))</f>
        <v/>
      </c>
      <c r="D732" s="29" t="str">
        <f>IF($B732="","",TEXT($B732,"yyyy-mm"))</f>
        <v/>
      </c>
      <c r="G732" s="29" t="str">
        <f>IF(OR($E732="",$F732=""),"",IFERROR(IF($E732=INDEX([1]Cluster_Master!$A$4:$A$18,MATCH($F732,[1]Cluster_Master!$B$4:$B$18,0)),"OK","CHECK"),"CHECK"))</f>
        <v/>
      </c>
      <c r="H732" s="29" t="str">
        <f>IFERROR(INDEX([1]Cluster_Master!$C$4:$C$18,MATCH($F732,[1]Cluster_Master!$B$4:$B$18,0)),"")</f>
        <v/>
      </c>
      <c r="I732" s="29" t="str">
        <f>IFERROR(INDEX([1]Cluster_Master!$D$4:$D$18,MATCH($F732,[1]Cluster_Master!$B$4:$B$18,0)),"")</f>
        <v/>
      </c>
      <c r="J732" s="29" t="str">
        <f>IFERROR(INDEX([1]Cluster_Master!$E$4:$E$18,MATCH($F732,[1]Cluster_Master!$B$4:$B$18,0)),"")</f>
        <v/>
      </c>
      <c r="K732" s="29" t="str">
        <f>IFERROR(INDEX([1]Cluster_Master!$F$4:$F$18,MATCH($F732,[1]Cluster_Master!$B$4:$B$18,0)),"")</f>
        <v/>
      </c>
      <c r="L732" s="29" t="str">
        <f>IFERROR(INDEX([1]Cluster_Master!$G$4:$G$18,MATCH($F732,[1]Cluster_Master!$B$4:$B$18,0)),"")</f>
        <v/>
      </c>
      <c r="M732" s="29" t="str">
        <f>IFERROR(INDEX([1]Cluster_Master!$H$4:$H$18,MATCH($F732,[1]Cluster_Master!$B$4:$B$18,0)),"")</f>
        <v/>
      </c>
      <c r="AI732" s="29" t="str">
        <f>IF(COUNTA(T732:AH732)=0,"",SUM(T732:AH732))</f>
        <v/>
      </c>
      <c r="AJ732" s="29" t="str">
        <f>IF(COUNTA(T732:AH732)=0,"",AI732/75)</f>
        <v/>
      </c>
      <c r="AK732" s="29" t="str">
        <f>IF(COUNTA(T732:AH732)=0,"",(SUM(T732*[1]KPI_Weights!$B$4,U732*[1]KPI_Weights!$B$5,V732*[1]KPI_Weights!$B$6,W732*[1]KPI_Weights!$B$7,X732*[1]KPI_Weights!$B$8,Y732*[1]KPI_Weights!$B$9,Z732*[1]KPI_Weights!$B$10,AA732*[1]KPI_Weights!$B$11,AB732*[1]KPI_Weights!$B$12,AC732*[1]KPI_Weights!$B$13,AD732*[1]KPI_Weights!$B$14,AE732*[1]KPI_Weights!$B$15,AF732*[1]KPI_Weights!$B$16,AG732*[1]KPI_Weights!$B$17,AH732*[1]KPI_Weights!$B$18))/5)</f>
        <v/>
      </c>
      <c r="AL732" s="29" t="str">
        <f>IF(COUNTA(T732:AH732)=0,"",IF(OR(T732&lt;=1,W732&lt;=1,X732&lt;=1,Y732&lt;=1,AB732&lt;=1),"YES","NO"))</f>
        <v/>
      </c>
      <c r="AM732" s="29" t="str">
        <f>IF(AJ732="","",IF(AND(AL732="NO",AJ732&gt;=0.75),"YES","NO"))</f>
        <v/>
      </c>
      <c r="AN732" s="29" t="str">
        <f>IF(AJ732="","",IF(AJ732&lt;0.4,"Critical",IF(AJ732&lt;0.6,"Poor",IF(AJ732&lt;0.75,"Needs Improvement",IF(AJ732&lt;0.9,"Good","Excellent")))))</f>
        <v/>
      </c>
    </row>
    <row r="733" spans="1:40" ht="15" customHeight="1" x14ac:dyDescent="0.25">
      <c r="A733" s="29" t="str">
        <f>IF($B733="","",TEXT($B733,"yyyymmdd")&amp;"-"&amp;SUBSTITUTE($F733," ","")&amp;"-"&amp;TEXT(COUNTIF($F$4:F733,$F733),"00"))</f>
        <v/>
      </c>
      <c r="C733" s="29" t="str">
        <f>IF($B733="","",WEEKNUM($B733,2))</f>
        <v/>
      </c>
      <c r="D733" s="29" t="str">
        <f>IF($B733="","",TEXT($B733,"yyyy-mm"))</f>
        <v/>
      </c>
      <c r="G733" s="29" t="str">
        <f>IF(OR($E733="",$F733=""),"",IFERROR(IF($E733=INDEX([1]Cluster_Master!$A$4:$A$18,MATCH($F733,[1]Cluster_Master!$B$4:$B$18,0)),"OK","CHECK"),"CHECK"))</f>
        <v/>
      </c>
      <c r="H733" s="29" t="str">
        <f>IFERROR(INDEX([1]Cluster_Master!$C$4:$C$18,MATCH($F733,[1]Cluster_Master!$B$4:$B$18,0)),"")</f>
        <v/>
      </c>
      <c r="I733" s="29" t="str">
        <f>IFERROR(INDEX([1]Cluster_Master!$D$4:$D$18,MATCH($F733,[1]Cluster_Master!$B$4:$B$18,0)),"")</f>
        <v/>
      </c>
      <c r="J733" s="29" t="str">
        <f>IFERROR(INDEX([1]Cluster_Master!$E$4:$E$18,MATCH($F733,[1]Cluster_Master!$B$4:$B$18,0)),"")</f>
        <v/>
      </c>
      <c r="K733" s="29" t="str">
        <f>IFERROR(INDEX([1]Cluster_Master!$F$4:$F$18,MATCH($F733,[1]Cluster_Master!$B$4:$B$18,0)),"")</f>
        <v/>
      </c>
      <c r="L733" s="29" t="str">
        <f>IFERROR(INDEX([1]Cluster_Master!$G$4:$G$18,MATCH($F733,[1]Cluster_Master!$B$4:$B$18,0)),"")</f>
        <v/>
      </c>
      <c r="M733" s="29" t="str">
        <f>IFERROR(INDEX([1]Cluster_Master!$H$4:$H$18,MATCH($F733,[1]Cluster_Master!$B$4:$B$18,0)),"")</f>
        <v/>
      </c>
      <c r="AI733" s="29" t="str">
        <f>IF(COUNTA(T733:AH733)=0,"",SUM(T733:AH733))</f>
        <v/>
      </c>
      <c r="AJ733" s="29" t="str">
        <f>IF(COUNTA(T733:AH733)=0,"",AI733/75)</f>
        <v/>
      </c>
      <c r="AK733" s="29" t="str">
        <f>IF(COUNTA(T733:AH733)=0,"",(SUM(T733*[1]KPI_Weights!$B$4,U733*[1]KPI_Weights!$B$5,V733*[1]KPI_Weights!$B$6,W733*[1]KPI_Weights!$B$7,X733*[1]KPI_Weights!$B$8,Y733*[1]KPI_Weights!$B$9,Z733*[1]KPI_Weights!$B$10,AA733*[1]KPI_Weights!$B$11,AB733*[1]KPI_Weights!$B$12,AC733*[1]KPI_Weights!$B$13,AD733*[1]KPI_Weights!$B$14,AE733*[1]KPI_Weights!$B$15,AF733*[1]KPI_Weights!$B$16,AG733*[1]KPI_Weights!$B$17,AH733*[1]KPI_Weights!$B$18))/5)</f>
        <v/>
      </c>
      <c r="AL733" s="29" t="str">
        <f>IF(COUNTA(T733:AH733)=0,"",IF(OR(T733&lt;=1,W733&lt;=1,X733&lt;=1,Y733&lt;=1,AB733&lt;=1),"YES","NO"))</f>
        <v/>
      </c>
      <c r="AM733" s="29" t="str">
        <f>IF(AJ733="","",IF(AND(AL733="NO",AJ733&gt;=0.75),"YES","NO"))</f>
        <v/>
      </c>
      <c r="AN733" s="29" t="str">
        <f>IF(AJ733="","",IF(AJ733&lt;0.4,"Critical",IF(AJ733&lt;0.6,"Poor",IF(AJ733&lt;0.75,"Needs Improvement",IF(AJ733&lt;0.9,"Good","Excellent")))))</f>
        <v/>
      </c>
    </row>
    <row r="734" spans="1:40" ht="15" customHeight="1" x14ac:dyDescent="0.25">
      <c r="A734" s="29" t="str">
        <f>IF($B734="","",TEXT($B734,"yyyymmdd")&amp;"-"&amp;SUBSTITUTE($F734," ","")&amp;"-"&amp;TEXT(COUNTIF($F$4:F734,$F734),"00"))</f>
        <v/>
      </c>
      <c r="C734" s="29" t="str">
        <f>IF($B734="","",WEEKNUM($B734,2))</f>
        <v/>
      </c>
      <c r="D734" s="29" t="str">
        <f>IF($B734="","",TEXT($B734,"yyyy-mm"))</f>
        <v/>
      </c>
      <c r="G734" s="29" t="str">
        <f>IF(OR($E734="",$F734=""),"",IFERROR(IF($E734=INDEX([1]Cluster_Master!$A$4:$A$18,MATCH($F734,[1]Cluster_Master!$B$4:$B$18,0)),"OK","CHECK"),"CHECK"))</f>
        <v/>
      </c>
      <c r="H734" s="29" t="str">
        <f>IFERROR(INDEX([1]Cluster_Master!$C$4:$C$18,MATCH($F734,[1]Cluster_Master!$B$4:$B$18,0)),"")</f>
        <v/>
      </c>
      <c r="I734" s="29" t="str">
        <f>IFERROR(INDEX([1]Cluster_Master!$D$4:$D$18,MATCH($F734,[1]Cluster_Master!$B$4:$B$18,0)),"")</f>
        <v/>
      </c>
      <c r="J734" s="29" t="str">
        <f>IFERROR(INDEX([1]Cluster_Master!$E$4:$E$18,MATCH($F734,[1]Cluster_Master!$B$4:$B$18,0)),"")</f>
        <v/>
      </c>
      <c r="K734" s="29" t="str">
        <f>IFERROR(INDEX([1]Cluster_Master!$F$4:$F$18,MATCH($F734,[1]Cluster_Master!$B$4:$B$18,0)),"")</f>
        <v/>
      </c>
      <c r="L734" s="29" t="str">
        <f>IFERROR(INDEX([1]Cluster_Master!$G$4:$G$18,MATCH($F734,[1]Cluster_Master!$B$4:$B$18,0)),"")</f>
        <v/>
      </c>
      <c r="M734" s="29" t="str">
        <f>IFERROR(INDEX([1]Cluster_Master!$H$4:$H$18,MATCH($F734,[1]Cluster_Master!$B$4:$B$18,0)),"")</f>
        <v/>
      </c>
      <c r="AI734" s="29" t="str">
        <f>IF(COUNTA(T734:AH734)=0,"",SUM(T734:AH734))</f>
        <v/>
      </c>
      <c r="AJ734" s="29" t="str">
        <f>IF(COUNTA(T734:AH734)=0,"",AI734/75)</f>
        <v/>
      </c>
      <c r="AK734" s="29" t="str">
        <f>IF(COUNTA(T734:AH734)=0,"",(SUM(T734*[1]KPI_Weights!$B$4,U734*[1]KPI_Weights!$B$5,V734*[1]KPI_Weights!$B$6,W734*[1]KPI_Weights!$B$7,X734*[1]KPI_Weights!$B$8,Y734*[1]KPI_Weights!$B$9,Z734*[1]KPI_Weights!$B$10,AA734*[1]KPI_Weights!$B$11,AB734*[1]KPI_Weights!$B$12,AC734*[1]KPI_Weights!$B$13,AD734*[1]KPI_Weights!$B$14,AE734*[1]KPI_Weights!$B$15,AF734*[1]KPI_Weights!$B$16,AG734*[1]KPI_Weights!$B$17,AH734*[1]KPI_Weights!$B$18))/5)</f>
        <v/>
      </c>
      <c r="AL734" s="29" t="str">
        <f>IF(COUNTA(T734:AH734)=0,"",IF(OR(T734&lt;=1,W734&lt;=1,X734&lt;=1,Y734&lt;=1,AB734&lt;=1),"YES","NO"))</f>
        <v/>
      </c>
      <c r="AM734" s="29" t="str">
        <f>IF(AJ734="","",IF(AND(AL734="NO",AJ734&gt;=0.75),"YES","NO"))</f>
        <v/>
      </c>
      <c r="AN734" s="29" t="str">
        <f>IF(AJ734="","",IF(AJ734&lt;0.4,"Critical",IF(AJ734&lt;0.6,"Poor",IF(AJ734&lt;0.75,"Needs Improvement",IF(AJ734&lt;0.9,"Good","Excellent")))))</f>
        <v/>
      </c>
    </row>
    <row r="735" spans="1:40" ht="15" customHeight="1" x14ac:dyDescent="0.25">
      <c r="A735" s="29" t="str">
        <f>IF($B735="","",TEXT($B735,"yyyymmdd")&amp;"-"&amp;SUBSTITUTE($F735," ","")&amp;"-"&amp;TEXT(COUNTIF($F$4:F735,$F735),"00"))</f>
        <v/>
      </c>
      <c r="C735" s="29" t="str">
        <f>IF($B735="","",WEEKNUM($B735,2))</f>
        <v/>
      </c>
      <c r="D735" s="29" t="str">
        <f>IF($B735="","",TEXT($B735,"yyyy-mm"))</f>
        <v/>
      </c>
      <c r="G735" s="29" t="str">
        <f>IF(OR($E735="",$F735=""),"",IFERROR(IF($E735=INDEX([1]Cluster_Master!$A$4:$A$18,MATCH($F735,[1]Cluster_Master!$B$4:$B$18,0)),"OK","CHECK"),"CHECK"))</f>
        <v/>
      </c>
      <c r="H735" s="29" t="str">
        <f>IFERROR(INDEX([1]Cluster_Master!$C$4:$C$18,MATCH($F735,[1]Cluster_Master!$B$4:$B$18,0)),"")</f>
        <v/>
      </c>
      <c r="I735" s="29" t="str">
        <f>IFERROR(INDEX([1]Cluster_Master!$D$4:$D$18,MATCH($F735,[1]Cluster_Master!$B$4:$B$18,0)),"")</f>
        <v/>
      </c>
      <c r="J735" s="29" t="str">
        <f>IFERROR(INDEX([1]Cluster_Master!$E$4:$E$18,MATCH($F735,[1]Cluster_Master!$B$4:$B$18,0)),"")</f>
        <v/>
      </c>
      <c r="K735" s="29" t="str">
        <f>IFERROR(INDEX([1]Cluster_Master!$F$4:$F$18,MATCH($F735,[1]Cluster_Master!$B$4:$B$18,0)),"")</f>
        <v/>
      </c>
      <c r="L735" s="29" t="str">
        <f>IFERROR(INDEX([1]Cluster_Master!$G$4:$G$18,MATCH($F735,[1]Cluster_Master!$B$4:$B$18,0)),"")</f>
        <v/>
      </c>
      <c r="M735" s="29" t="str">
        <f>IFERROR(INDEX([1]Cluster_Master!$H$4:$H$18,MATCH($F735,[1]Cluster_Master!$B$4:$B$18,0)),"")</f>
        <v/>
      </c>
      <c r="AI735" s="29" t="str">
        <f>IF(COUNTA(T735:AH735)=0,"",SUM(T735:AH735))</f>
        <v/>
      </c>
      <c r="AJ735" s="29" t="str">
        <f>IF(COUNTA(T735:AH735)=0,"",AI735/75)</f>
        <v/>
      </c>
      <c r="AK735" s="29" t="str">
        <f>IF(COUNTA(T735:AH735)=0,"",(SUM(T735*[1]KPI_Weights!$B$4,U735*[1]KPI_Weights!$B$5,V735*[1]KPI_Weights!$B$6,W735*[1]KPI_Weights!$B$7,X735*[1]KPI_Weights!$B$8,Y735*[1]KPI_Weights!$B$9,Z735*[1]KPI_Weights!$B$10,AA735*[1]KPI_Weights!$B$11,AB735*[1]KPI_Weights!$B$12,AC735*[1]KPI_Weights!$B$13,AD735*[1]KPI_Weights!$B$14,AE735*[1]KPI_Weights!$B$15,AF735*[1]KPI_Weights!$B$16,AG735*[1]KPI_Weights!$B$17,AH735*[1]KPI_Weights!$B$18))/5)</f>
        <v/>
      </c>
      <c r="AL735" s="29" t="str">
        <f>IF(COUNTA(T735:AH735)=0,"",IF(OR(T735&lt;=1,W735&lt;=1,X735&lt;=1,Y735&lt;=1,AB735&lt;=1),"YES","NO"))</f>
        <v/>
      </c>
      <c r="AM735" s="29" t="str">
        <f>IF(AJ735="","",IF(AND(AL735="NO",AJ735&gt;=0.75),"YES","NO"))</f>
        <v/>
      </c>
      <c r="AN735" s="29" t="str">
        <f>IF(AJ735="","",IF(AJ735&lt;0.4,"Critical",IF(AJ735&lt;0.6,"Poor",IF(AJ735&lt;0.75,"Needs Improvement",IF(AJ735&lt;0.9,"Good","Excellent")))))</f>
        <v/>
      </c>
    </row>
    <row r="736" spans="1:40" ht="15" customHeight="1" x14ac:dyDescent="0.25">
      <c r="A736" s="29" t="str">
        <f>IF($B736="","",TEXT($B736,"yyyymmdd")&amp;"-"&amp;SUBSTITUTE($F736," ","")&amp;"-"&amp;TEXT(COUNTIF($F$4:F736,$F736),"00"))</f>
        <v/>
      </c>
      <c r="C736" s="29" t="str">
        <f>IF($B736="","",WEEKNUM($B736,2))</f>
        <v/>
      </c>
      <c r="D736" s="29" t="str">
        <f>IF($B736="","",TEXT($B736,"yyyy-mm"))</f>
        <v/>
      </c>
      <c r="G736" s="29" t="str">
        <f>IF(OR($E736="",$F736=""),"",IFERROR(IF($E736=INDEX([1]Cluster_Master!$A$4:$A$18,MATCH($F736,[1]Cluster_Master!$B$4:$B$18,0)),"OK","CHECK"),"CHECK"))</f>
        <v/>
      </c>
      <c r="H736" s="29" t="str">
        <f>IFERROR(INDEX([1]Cluster_Master!$C$4:$C$18,MATCH($F736,[1]Cluster_Master!$B$4:$B$18,0)),"")</f>
        <v/>
      </c>
      <c r="I736" s="29" t="str">
        <f>IFERROR(INDEX([1]Cluster_Master!$D$4:$D$18,MATCH($F736,[1]Cluster_Master!$B$4:$B$18,0)),"")</f>
        <v/>
      </c>
      <c r="J736" s="29" t="str">
        <f>IFERROR(INDEX([1]Cluster_Master!$E$4:$E$18,MATCH($F736,[1]Cluster_Master!$B$4:$B$18,0)),"")</f>
        <v/>
      </c>
      <c r="K736" s="29" t="str">
        <f>IFERROR(INDEX([1]Cluster_Master!$F$4:$F$18,MATCH($F736,[1]Cluster_Master!$B$4:$B$18,0)),"")</f>
        <v/>
      </c>
      <c r="L736" s="29" t="str">
        <f>IFERROR(INDEX([1]Cluster_Master!$G$4:$G$18,MATCH($F736,[1]Cluster_Master!$B$4:$B$18,0)),"")</f>
        <v/>
      </c>
      <c r="M736" s="29" t="str">
        <f>IFERROR(INDEX([1]Cluster_Master!$H$4:$H$18,MATCH($F736,[1]Cluster_Master!$B$4:$B$18,0)),"")</f>
        <v/>
      </c>
      <c r="AI736" s="29" t="str">
        <f>IF(COUNTA(T736:AH736)=0,"",SUM(T736:AH736))</f>
        <v/>
      </c>
      <c r="AJ736" s="29" t="str">
        <f>IF(COUNTA(T736:AH736)=0,"",AI736/75)</f>
        <v/>
      </c>
      <c r="AK736" s="29" t="str">
        <f>IF(COUNTA(T736:AH736)=0,"",(SUM(T736*[1]KPI_Weights!$B$4,U736*[1]KPI_Weights!$B$5,V736*[1]KPI_Weights!$B$6,W736*[1]KPI_Weights!$B$7,X736*[1]KPI_Weights!$B$8,Y736*[1]KPI_Weights!$B$9,Z736*[1]KPI_Weights!$B$10,AA736*[1]KPI_Weights!$B$11,AB736*[1]KPI_Weights!$B$12,AC736*[1]KPI_Weights!$B$13,AD736*[1]KPI_Weights!$B$14,AE736*[1]KPI_Weights!$B$15,AF736*[1]KPI_Weights!$B$16,AG736*[1]KPI_Weights!$B$17,AH736*[1]KPI_Weights!$B$18))/5)</f>
        <v/>
      </c>
      <c r="AL736" s="29" t="str">
        <f>IF(COUNTA(T736:AH736)=0,"",IF(OR(T736&lt;=1,W736&lt;=1,X736&lt;=1,Y736&lt;=1,AB736&lt;=1),"YES","NO"))</f>
        <v/>
      </c>
      <c r="AM736" s="29" t="str">
        <f>IF(AJ736="","",IF(AND(AL736="NO",AJ736&gt;=0.75),"YES","NO"))</f>
        <v/>
      </c>
      <c r="AN736" s="29" t="str">
        <f>IF(AJ736="","",IF(AJ736&lt;0.4,"Critical",IF(AJ736&lt;0.6,"Poor",IF(AJ736&lt;0.75,"Needs Improvement",IF(AJ736&lt;0.9,"Good","Excellent")))))</f>
        <v/>
      </c>
    </row>
    <row r="737" spans="1:40" ht="15" customHeight="1" x14ac:dyDescent="0.25">
      <c r="A737" s="29" t="str">
        <f>IF($B737="","",TEXT($B737,"yyyymmdd")&amp;"-"&amp;SUBSTITUTE($F737," ","")&amp;"-"&amp;TEXT(COUNTIF($F$4:F737,$F737),"00"))</f>
        <v/>
      </c>
      <c r="C737" s="29" t="str">
        <f>IF($B737="","",WEEKNUM($B737,2))</f>
        <v/>
      </c>
      <c r="D737" s="29" t="str">
        <f>IF($B737="","",TEXT($B737,"yyyy-mm"))</f>
        <v/>
      </c>
      <c r="G737" s="29" t="str">
        <f>IF(OR($E737="",$F737=""),"",IFERROR(IF($E737=INDEX([1]Cluster_Master!$A$4:$A$18,MATCH($F737,[1]Cluster_Master!$B$4:$B$18,0)),"OK","CHECK"),"CHECK"))</f>
        <v/>
      </c>
      <c r="H737" s="29" t="str">
        <f>IFERROR(INDEX([1]Cluster_Master!$C$4:$C$18,MATCH($F737,[1]Cluster_Master!$B$4:$B$18,0)),"")</f>
        <v/>
      </c>
      <c r="I737" s="29" t="str">
        <f>IFERROR(INDEX([1]Cluster_Master!$D$4:$D$18,MATCH($F737,[1]Cluster_Master!$B$4:$B$18,0)),"")</f>
        <v/>
      </c>
      <c r="J737" s="29" t="str">
        <f>IFERROR(INDEX([1]Cluster_Master!$E$4:$E$18,MATCH($F737,[1]Cluster_Master!$B$4:$B$18,0)),"")</f>
        <v/>
      </c>
      <c r="K737" s="29" t="str">
        <f>IFERROR(INDEX([1]Cluster_Master!$F$4:$F$18,MATCH($F737,[1]Cluster_Master!$B$4:$B$18,0)),"")</f>
        <v/>
      </c>
      <c r="L737" s="29" t="str">
        <f>IFERROR(INDEX([1]Cluster_Master!$G$4:$G$18,MATCH($F737,[1]Cluster_Master!$B$4:$B$18,0)),"")</f>
        <v/>
      </c>
      <c r="M737" s="29" t="str">
        <f>IFERROR(INDEX([1]Cluster_Master!$H$4:$H$18,MATCH($F737,[1]Cluster_Master!$B$4:$B$18,0)),"")</f>
        <v/>
      </c>
      <c r="AI737" s="29" t="str">
        <f>IF(COUNTA(T737:AH737)=0,"",SUM(T737:AH737))</f>
        <v/>
      </c>
      <c r="AJ737" s="29" t="str">
        <f>IF(COUNTA(T737:AH737)=0,"",AI737/75)</f>
        <v/>
      </c>
      <c r="AK737" s="29" t="str">
        <f>IF(COUNTA(T737:AH737)=0,"",(SUM(T737*[1]KPI_Weights!$B$4,U737*[1]KPI_Weights!$B$5,V737*[1]KPI_Weights!$B$6,W737*[1]KPI_Weights!$B$7,X737*[1]KPI_Weights!$B$8,Y737*[1]KPI_Weights!$B$9,Z737*[1]KPI_Weights!$B$10,AA737*[1]KPI_Weights!$B$11,AB737*[1]KPI_Weights!$B$12,AC737*[1]KPI_Weights!$B$13,AD737*[1]KPI_Weights!$B$14,AE737*[1]KPI_Weights!$B$15,AF737*[1]KPI_Weights!$B$16,AG737*[1]KPI_Weights!$B$17,AH737*[1]KPI_Weights!$B$18))/5)</f>
        <v/>
      </c>
      <c r="AL737" s="29" t="str">
        <f>IF(COUNTA(T737:AH737)=0,"",IF(OR(T737&lt;=1,W737&lt;=1,X737&lt;=1,Y737&lt;=1,AB737&lt;=1),"YES","NO"))</f>
        <v/>
      </c>
      <c r="AM737" s="29" t="str">
        <f>IF(AJ737="","",IF(AND(AL737="NO",AJ737&gt;=0.75),"YES","NO"))</f>
        <v/>
      </c>
      <c r="AN737" s="29" t="str">
        <f>IF(AJ737="","",IF(AJ737&lt;0.4,"Critical",IF(AJ737&lt;0.6,"Poor",IF(AJ737&lt;0.75,"Needs Improvement",IF(AJ737&lt;0.9,"Good","Excellent")))))</f>
        <v/>
      </c>
    </row>
    <row r="738" spans="1:40" ht="15" customHeight="1" x14ac:dyDescent="0.25">
      <c r="A738" s="29" t="str">
        <f>IF($B738="","",TEXT($B738,"yyyymmdd")&amp;"-"&amp;SUBSTITUTE($F738," ","")&amp;"-"&amp;TEXT(COUNTIF($F$4:F738,$F738),"00"))</f>
        <v/>
      </c>
      <c r="C738" s="29" t="str">
        <f>IF($B738="","",WEEKNUM($B738,2))</f>
        <v/>
      </c>
      <c r="D738" s="29" t="str">
        <f>IF($B738="","",TEXT($B738,"yyyy-mm"))</f>
        <v/>
      </c>
      <c r="G738" s="29" t="str">
        <f>IF(OR($E738="",$F738=""),"",IFERROR(IF($E738=INDEX([1]Cluster_Master!$A$4:$A$18,MATCH($F738,[1]Cluster_Master!$B$4:$B$18,0)),"OK","CHECK"),"CHECK"))</f>
        <v/>
      </c>
      <c r="H738" s="29" t="str">
        <f>IFERROR(INDEX([1]Cluster_Master!$C$4:$C$18,MATCH($F738,[1]Cluster_Master!$B$4:$B$18,0)),"")</f>
        <v/>
      </c>
      <c r="I738" s="29" t="str">
        <f>IFERROR(INDEX([1]Cluster_Master!$D$4:$D$18,MATCH($F738,[1]Cluster_Master!$B$4:$B$18,0)),"")</f>
        <v/>
      </c>
      <c r="J738" s="29" t="str">
        <f>IFERROR(INDEX([1]Cluster_Master!$E$4:$E$18,MATCH($F738,[1]Cluster_Master!$B$4:$B$18,0)),"")</f>
        <v/>
      </c>
      <c r="K738" s="29" t="str">
        <f>IFERROR(INDEX([1]Cluster_Master!$F$4:$F$18,MATCH($F738,[1]Cluster_Master!$B$4:$B$18,0)),"")</f>
        <v/>
      </c>
      <c r="L738" s="29" t="str">
        <f>IFERROR(INDEX([1]Cluster_Master!$G$4:$G$18,MATCH($F738,[1]Cluster_Master!$B$4:$B$18,0)),"")</f>
        <v/>
      </c>
      <c r="M738" s="29" t="str">
        <f>IFERROR(INDEX([1]Cluster_Master!$H$4:$H$18,MATCH($F738,[1]Cluster_Master!$B$4:$B$18,0)),"")</f>
        <v/>
      </c>
      <c r="AI738" s="29" t="str">
        <f>IF(COUNTA(T738:AH738)=0,"",SUM(T738:AH738))</f>
        <v/>
      </c>
      <c r="AJ738" s="29" t="str">
        <f>IF(COUNTA(T738:AH738)=0,"",AI738/75)</f>
        <v/>
      </c>
      <c r="AK738" s="29" t="str">
        <f>IF(COUNTA(T738:AH738)=0,"",(SUM(T738*[1]KPI_Weights!$B$4,U738*[1]KPI_Weights!$B$5,V738*[1]KPI_Weights!$B$6,W738*[1]KPI_Weights!$B$7,X738*[1]KPI_Weights!$B$8,Y738*[1]KPI_Weights!$B$9,Z738*[1]KPI_Weights!$B$10,AA738*[1]KPI_Weights!$B$11,AB738*[1]KPI_Weights!$B$12,AC738*[1]KPI_Weights!$B$13,AD738*[1]KPI_Weights!$B$14,AE738*[1]KPI_Weights!$B$15,AF738*[1]KPI_Weights!$B$16,AG738*[1]KPI_Weights!$B$17,AH738*[1]KPI_Weights!$B$18))/5)</f>
        <v/>
      </c>
      <c r="AL738" s="29" t="str">
        <f>IF(COUNTA(T738:AH738)=0,"",IF(OR(T738&lt;=1,W738&lt;=1,X738&lt;=1,Y738&lt;=1,AB738&lt;=1),"YES","NO"))</f>
        <v/>
      </c>
      <c r="AM738" s="29" t="str">
        <f>IF(AJ738="","",IF(AND(AL738="NO",AJ738&gt;=0.75),"YES","NO"))</f>
        <v/>
      </c>
      <c r="AN738" s="29" t="str">
        <f>IF(AJ738="","",IF(AJ738&lt;0.4,"Critical",IF(AJ738&lt;0.6,"Poor",IF(AJ738&lt;0.75,"Needs Improvement",IF(AJ738&lt;0.9,"Good","Excellent")))))</f>
        <v/>
      </c>
    </row>
    <row r="739" spans="1:40" ht="15" customHeight="1" x14ac:dyDescent="0.25">
      <c r="A739" s="29" t="str">
        <f>IF($B739="","",TEXT($B739,"yyyymmdd")&amp;"-"&amp;SUBSTITUTE($F739," ","")&amp;"-"&amp;TEXT(COUNTIF($F$4:F739,$F739),"00"))</f>
        <v/>
      </c>
      <c r="C739" s="29" t="str">
        <f>IF($B739="","",WEEKNUM($B739,2))</f>
        <v/>
      </c>
      <c r="D739" s="29" t="str">
        <f>IF($B739="","",TEXT($B739,"yyyy-mm"))</f>
        <v/>
      </c>
      <c r="G739" s="29" t="str">
        <f>IF(OR($E739="",$F739=""),"",IFERROR(IF($E739=INDEX([1]Cluster_Master!$A$4:$A$18,MATCH($F739,[1]Cluster_Master!$B$4:$B$18,0)),"OK","CHECK"),"CHECK"))</f>
        <v/>
      </c>
      <c r="H739" s="29" t="str">
        <f>IFERROR(INDEX([1]Cluster_Master!$C$4:$C$18,MATCH($F739,[1]Cluster_Master!$B$4:$B$18,0)),"")</f>
        <v/>
      </c>
      <c r="I739" s="29" t="str">
        <f>IFERROR(INDEX([1]Cluster_Master!$D$4:$D$18,MATCH($F739,[1]Cluster_Master!$B$4:$B$18,0)),"")</f>
        <v/>
      </c>
      <c r="J739" s="29" t="str">
        <f>IFERROR(INDEX([1]Cluster_Master!$E$4:$E$18,MATCH($F739,[1]Cluster_Master!$B$4:$B$18,0)),"")</f>
        <v/>
      </c>
      <c r="K739" s="29" t="str">
        <f>IFERROR(INDEX([1]Cluster_Master!$F$4:$F$18,MATCH($F739,[1]Cluster_Master!$B$4:$B$18,0)),"")</f>
        <v/>
      </c>
      <c r="L739" s="29" t="str">
        <f>IFERROR(INDEX([1]Cluster_Master!$G$4:$G$18,MATCH($F739,[1]Cluster_Master!$B$4:$B$18,0)),"")</f>
        <v/>
      </c>
      <c r="M739" s="29" t="str">
        <f>IFERROR(INDEX([1]Cluster_Master!$H$4:$H$18,MATCH($F739,[1]Cluster_Master!$B$4:$B$18,0)),"")</f>
        <v/>
      </c>
      <c r="AI739" s="29" t="str">
        <f>IF(COUNTA(T739:AH739)=0,"",SUM(T739:AH739))</f>
        <v/>
      </c>
      <c r="AJ739" s="29" t="str">
        <f>IF(COUNTA(T739:AH739)=0,"",AI739/75)</f>
        <v/>
      </c>
      <c r="AK739" s="29" t="str">
        <f>IF(COUNTA(T739:AH739)=0,"",(SUM(T739*[1]KPI_Weights!$B$4,U739*[1]KPI_Weights!$B$5,V739*[1]KPI_Weights!$B$6,W739*[1]KPI_Weights!$B$7,X739*[1]KPI_Weights!$B$8,Y739*[1]KPI_Weights!$B$9,Z739*[1]KPI_Weights!$B$10,AA739*[1]KPI_Weights!$B$11,AB739*[1]KPI_Weights!$B$12,AC739*[1]KPI_Weights!$B$13,AD739*[1]KPI_Weights!$B$14,AE739*[1]KPI_Weights!$B$15,AF739*[1]KPI_Weights!$B$16,AG739*[1]KPI_Weights!$B$17,AH739*[1]KPI_Weights!$B$18))/5)</f>
        <v/>
      </c>
      <c r="AL739" s="29" t="str">
        <f>IF(COUNTA(T739:AH739)=0,"",IF(OR(T739&lt;=1,W739&lt;=1,X739&lt;=1,Y739&lt;=1,AB739&lt;=1),"YES","NO"))</f>
        <v/>
      </c>
      <c r="AM739" s="29" t="str">
        <f>IF(AJ739="","",IF(AND(AL739="NO",AJ739&gt;=0.75),"YES","NO"))</f>
        <v/>
      </c>
      <c r="AN739" s="29" t="str">
        <f>IF(AJ739="","",IF(AJ739&lt;0.4,"Critical",IF(AJ739&lt;0.6,"Poor",IF(AJ739&lt;0.75,"Needs Improvement",IF(AJ739&lt;0.9,"Good","Excellent")))))</f>
        <v/>
      </c>
    </row>
    <row r="740" spans="1:40" ht="15" customHeight="1" x14ac:dyDescent="0.25">
      <c r="A740" s="29" t="str">
        <f>IF($B740="","",TEXT($B740,"yyyymmdd")&amp;"-"&amp;SUBSTITUTE($F740," ","")&amp;"-"&amp;TEXT(COUNTIF($F$4:F740,$F740),"00"))</f>
        <v/>
      </c>
      <c r="C740" s="29" t="str">
        <f>IF($B740="","",WEEKNUM($B740,2))</f>
        <v/>
      </c>
      <c r="D740" s="29" t="str">
        <f>IF($B740="","",TEXT($B740,"yyyy-mm"))</f>
        <v/>
      </c>
      <c r="G740" s="29" t="str">
        <f>IF(OR($E740="",$F740=""),"",IFERROR(IF($E740=INDEX([1]Cluster_Master!$A$4:$A$18,MATCH($F740,[1]Cluster_Master!$B$4:$B$18,0)),"OK","CHECK"),"CHECK"))</f>
        <v/>
      </c>
      <c r="H740" s="29" t="str">
        <f>IFERROR(INDEX([1]Cluster_Master!$C$4:$C$18,MATCH($F740,[1]Cluster_Master!$B$4:$B$18,0)),"")</f>
        <v/>
      </c>
      <c r="I740" s="29" t="str">
        <f>IFERROR(INDEX([1]Cluster_Master!$D$4:$D$18,MATCH($F740,[1]Cluster_Master!$B$4:$B$18,0)),"")</f>
        <v/>
      </c>
      <c r="J740" s="29" t="str">
        <f>IFERROR(INDEX([1]Cluster_Master!$E$4:$E$18,MATCH($F740,[1]Cluster_Master!$B$4:$B$18,0)),"")</f>
        <v/>
      </c>
      <c r="K740" s="29" t="str">
        <f>IFERROR(INDEX([1]Cluster_Master!$F$4:$F$18,MATCH($F740,[1]Cluster_Master!$B$4:$B$18,0)),"")</f>
        <v/>
      </c>
      <c r="L740" s="29" t="str">
        <f>IFERROR(INDEX([1]Cluster_Master!$G$4:$G$18,MATCH($F740,[1]Cluster_Master!$B$4:$B$18,0)),"")</f>
        <v/>
      </c>
      <c r="M740" s="29" t="str">
        <f>IFERROR(INDEX([1]Cluster_Master!$H$4:$H$18,MATCH($F740,[1]Cluster_Master!$B$4:$B$18,0)),"")</f>
        <v/>
      </c>
      <c r="AI740" s="29" t="str">
        <f>IF(COUNTA(T740:AH740)=0,"",SUM(T740:AH740))</f>
        <v/>
      </c>
      <c r="AJ740" s="29" t="str">
        <f>IF(COUNTA(T740:AH740)=0,"",AI740/75)</f>
        <v/>
      </c>
      <c r="AK740" s="29" t="str">
        <f>IF(COUNTA(T740:AH740)=0,"",(SUM(T740*[1]KPI_Weights!$B$4,U740*[1]KPI_Weights!$B$5,V740*[1]KPI_Weights!$B$6,W740*[1]KPI_Weights!$B$7,X740*[1]KPI_Weights!$B$8,Y740*[1]KPI_Weights!$B$9,Z740*[1]KPI_Weights!$B$10,AA740*[1]KPI_Weights!$B$11,AB740*[1]KPI_Weights!$B$12,AC740*[1]KPI_Weights!$B$13,AD740*[1]KPI_Weights!$B$14,AE740*[1]KPI_Weights!$B$15,AF740*[1]KPI_Weights!$B$16,AG740*[1]KPI_Weights!$B$17,AH740*[1]KPI_Weights!$B$18))/5)</f>
        <v/>
      </c>
      <c r="AL740" s="29" t="str">
        <f>IF(COUNTA(T740:AH740)=0,"",IF(OR(T740&lt;=1,W740&lt;=1,X740&lt;=1,Y740&lt;=1,AB740&lt;=1),"YES","NO"))</f>
        <v/>
      </c>
      <c r="AM740" s="29" t="str">
        <f>IF(AJ740="","",IF(AND(AL740="NO",AJ740&gt;=0.75),"YES","NO"))</f>
        <v/>
      </c>
      <c r="AN740" s="29" t="str">
        <f>IF(AJ740="","",IF(AJ740&lt;0.4,"Critical",IF(AJ740&lt;0.6,"Poor",IF(AJ740&lt;0.75,"Needs Improvement",IF(AJ740&lt;0.9,"Good","Excellent")))))</f>
        <v/>
      </c>
    </row>
    <row r="741" spans="1:40" ht="15" customHeight="1" x14ac:dyDescent="0.25">
      <c r="A741" s="29" t="str">
        <f>IF($B741="","",TEXT($B741,"yyyymmdd")&amp;"-"&amp;SUBSTITUTE($F741," ","")&amp;"-"&amp;TEXT(COUNTIF($F$4:F741,$F741),"00"))</f>
        <v/>
      </c>
      <c r="C741" s="29" t="str">
        <f>IF($B741="","",WEEKNUM($B741,2))</f>
        <v/>
      </c>
      <c r="D741" s="29" t="str">
        <f>IF($B741="","",TEXT($B741,"yyyy-mm"))</f>
        <v/>
      </c>
      <c r="G741" s="29" t="str">
        <f>IF(OR($E741="",$F741=""),"",IFERROR(IF($E741=INDEX([1]Cluster_Master!$A$4:$A$18,MATCH($F741,[1]Cluster_Master!$B$4:$B$18,0)),"OK","CHECK"),"CHECK"))</f>
        <v/>
      </c>
      <c r="H741" s="29" t="str">
        <f>IFERROR(INDEX([1]Cluster_Master!$C$4:$C$18,MATCH($F741,[1]Cluster_Master!$B$4:$B$18,0)),"")</f>
        <v/>
      </c>
      <c r="I741" s="29" t="str">
        <f>IFERROR(INDEX([1]Cluster_Master!$D$4:$D$18,MATCH($F741,[1]Cluster_Master!$B$4:$B$18,0)),"")</f>
        <v/>
      </c>
      <c r="J741" s="29" t="str">
        <f>IFERROR(INDEX([1]Cluster_Master!$E$4:$E$18,MATCH($F741,[1]Cluster_Master!$B$4:$B$18,0)),"")</f>
        <v/>
      </c>
      <c r="K741" s="29" t="str">
        <f>IFERROR(INDEX([1]Cluster_Master!$F$4:$F$18,MATCH($F741,[1]Cluster_Master!$B$4:$B$18,0)),"")</f>
        <v/>
      </c>
      <c r="L741" s="29" t="str">
        <f>IFERROR(INDEX([1]Cluster_Master!$G$4:$G$18,MATCH($F741,[1]Cluster_Master!$B$4:$B$18,0)),"")</f>
        <v/>
      </c>
      <c r="M741" s="29" t="str">
        <f>IFERROR(INDEX([1]Cluster_Master!$H$4:$H$18,MATCH($F741,[1]Cluster_Master!$B$4:$B$18,0)),"")</f>
        <v/>
      </c>
      <c r="AI741" s="29" t="str">
        <f>IF(COUNTA(T741:AH741)=0,"",SUM(T741:AH741))</f>
        <v/>
      </c>
      <c r="AJ741" s="29" t="str">
        <f>IF(COUNTA(T741:AH741)=0,"",AI741/75)</f>
        <v/>
      </c>
      <c r="AK741" s="29" t="str">
        <f>IF(COUNTA(T741:AH741)=0,"",(SUM(T741*[1]KPI_Weights!$B$4,U741*[1]KPI_Weights!$B$5,V741*[1]KPI_Weights!$B$6,W741*[1]KPI_Weights!$B$7,X741*[1]KPI_Weights!$B$8,Y741*[1]KPI_Weights!$B$9,Z741*[1]KPI_Weights!$B$10,AA741*[1]KPI_Weights!$B$11,AB741*[1]KPI_Weights!$B$12,AC741*[1]KPI_Weights!$B$13,AD741*[1]KPI_Weights!$B$14,AE741*[1]KPI_Weights!$B$15,AF741*[1]KPI_Weights!$B$16,AG741*[1]KPI_Weights!$B$17,AH741*[1]KPI_Weights!$B$18))/5)</f>
        <v/>
      </c>
      <c r="AL741" s="29" t="str">
        <f>IF(COUNTA(T741:AH741)=0,"",IF(OR(T741&lt;=1,W741&lt;=1,X741&lt;=1,Y741&lt;=1,AB741&lt;=1),"YES","NO"))</f>
        <v/>
      </c>
      <c r="AM741" s="29" t="str">
        <f>IF(AJ741="","",IF(AND(AL741="NO",AJ741&gt;=0.75),"YES","NO"))</f>
        <v/>
      </c>
      <c r="AN741" s="29" t="str">
        <f>IF(AJ741="","",IF(AJ741&lt;0.4,"Critical",IF(AJ741&lt;0.6,"Poor",IF(AJ741&lt;0.75,"Needs Improvement",IF(AJ741&lt;0.9,"Good","Excellent")))))</f>
        <v/>
      </c>
    </row>
    <row r="742" spans="1:40" ht="15" customHeight="1" x14ac:dyDescent="0.25">
      <c r="A742" s="29" t="str">
        <f>IF($B742="","",TEXT($B742,"yyyymmdd")&amp;"-"&amp;SUBSTITUTE($F742," ","")&amp;"-"&amp;TEXT(COUNTIF($F$4:F742,$F742),"00"))</f>
        <v/>
      </c>
      <c r="C742" s="29" t="str">
        <f>IF($B742="","",WEEKNUM($B742,2))</f>
        <v/>
      </c>
      <c r="D742" s="29" t="str">
        <f>IF($B742="","",TEXT($B742,"yyyy-mm"))</f>
        <v/>
      </c>
      <c r="G742" s="29" t="str">
        <f>IF(OR($E742="",$F742=""),"",IFERROR(IF($E742=INDEX([1]Cluster_Master!$A$4:$A$18,MATCH($F742,[1]Cluster_Master!$B$4:$B$18,0)),"OK","CHECK"),"CHECK"))</f>
        <v/>
      </c>
      <c r="H742" s="29" t="str">
        <f>IFERROR(INDEX([1]Cluster_Master!$C$4:$C$18,MATCH($F742,[1]Cluster_Master!$B$4:$B$18,0)),"")</f>
        <v/>
      </c>
      <c r="I742" s="29" t="str">
        <f>IFERROR(INDEX([1]Cluster_Master!$D$4:$D$18,MATCH($F742,[1]Cluster_Master!$B$4:$B$18,0)),"")</f>
        <v/>
      </c>
      <c r="J742" s="29" t="str">
        <f>IFERROR(INDEX([1]Cluster_Master!$E$4:$E$18,MATCH($F742,[1]Cluster_Master!$B$4:$B$18,0)),"")</f>
        <v/>
      </c>
      <c r="K742" s="29" t="str">
        <f>IFERROR(INDEX([1]Cluster_Master!$F$4:$F$18,MATCH($F742,[1]Cluster_Master!$B$4:$B$18,0)),"")</f>
        <v/>
      </c>
      <c r="L742" s="29" t="str">
        <f>IFERROR(INDEX([1]Cluster_Master!$G$4:$G$18,MATCH($F742,[1]Cluster_Master!$B$4:$B$18,0)),"")</f>
        <v/>
      </c>
      <c r="M742" s="29" t="str">
        <f>IFERROR(INDEX([1]Cluster_Master!$H$4:$H$18,MATCH($F742,[1]Cluster_Master!$B$4:$B$18,0)),"")</f>
        <v/>
      </c>
      <c r="AI742" s="29" t="str">
        <f>IF(COUNTA(T742:AH742)=0,"",SUM(T742:AH742))</f>
        <v/>
      </c>
      <c r="AJ742" s="29" t="str">
        <f>IF(COUNTA(T742:AH742)=0,"",AI742/75)</f>
        <v/>
      </c>
      <c r="AK742" s="29" t="str">
        <f>IF(COUNTA(T742:AH742)=0,"",(SUM(T742*[1]KPI_Weights!$B$4,U742*[1]KPI_Weights!$B$5,V742*[1]KPI_Weights!$B$6,W742*[1]KPI_Weights!$B$7,X742*[1]KPI_Weights!$B$8,Y742*[1]KPI_Weights!$B$9,Z742*[1]KPI_Weights!$B$10,AA742*[1]KPI_Weights!$B$11,AB742*[1]KPI_Weights!$B$12,AC742*[1]KPI_Weights!$B$13,AD742*[1]KPI_Weights!$B$14,AE742*[1]KPI_Weights!$B$15,AF742*[1]KPI_Weights!$B$16,AG742*[1]KPI_Weights!$B$17,AH742*[1]KPI_Weights!$B$18))/5)</f>
        <v/>
      </c>
      <c r="AL742" s="29" t="str">
        <f>IF(COUNTA(T742:AH742)=0,"",IF(OR(T742&lt;=1,W742&lt;=1,X742&lt;=1,Y742&lt;=1,AB742&lt;=1),"YES","NO"))</f>
        <v/>
      </c>
      <c r="AM742" s="29" t="str">
        <f>IF(AJ742="","",IF(AND(AL742="NO",AJ742&gt;=0.75),"YES","NO"))</f>
        <v/>
      </c>
      <c r="AN742" s="29" t="str">
        <f>IF(AJ742="","",IF(AJ742&lt;0.4,"Critical",IF(AJ742&lt;0.6,"Poor",IF(AJ742&lt;0.75,"Needs Improvement",IF(AJ742&lt;0.9,"Good","Excellent")))))</f>
        <v/>
      </c>
    </row>
    <row r="743" spans="1:40" ht="15" customHeight="1" x14ac:dyDescent="0.25">
      <c r="A743" s="29" t="str">
        <f>IF($B743="","",TEXT($B743,"yyyymmdd")&amp;"-"&amp;SUBSTITUTE($F743," ","")&amp;"-"&amp;TEXT(COUNTIF($F$4:F743,$F743),"00"))</f>
        <v/>
      </c>
      <c r="C743" s="29" t="str">
        <f>IF($B743="","",WEEKNUM($B743,2))</f>
        <v/>
      </c>
      <c r="D743" s="29" t="str">
        <f>IF($B743="","",TEXT($B743,"yyyy-mm"))</f>
        <v/>
      </c>
      <c r="G743" s="29" t="str">
        <f>IF(OR($E743="",$F743=""),"",IFERROR(IF($E743=INDEX([1]Cluster_Master!$A$4:$A$18,MATCH($F743,[1]Cluster_Master!$B$4:$B$18,0)),"OK","CHECK"),"CHECK"))</f>
        <v/>
      </c>
      <c r="H743" s="29" t="str">
        <f>IFERROR(INDEX([1]Cluster_Master!$C$4:$C$18,MATCH($F743,[1]Cluster_Master!$B$4:$B$18,0)),"")</f>
        <v/>
      </c>
      <c r="I743" s="29" t="str">
        <f>IFERROR(INDEX([1]Cluster_Master!$D$4:$D$18,MATCH($F743,[1]Cluster_Master!$B$4:$B$18,0)),"")</f>
        <v/>
      </c>
      <c r="J743" s="29" t="str">
        <f>IFERROR(INDEX([1]Cluster_Master!$E$4:$E$18,MATCH($F743,[1]Cluster_Master!$B$4:$B$18,0)),"")</f>
        <v/>
      </c>
      <c r="K743" s="29" t="str">
        <f>IFERROR(INDEX([1]Cluster_Master!$F$4:$F$18,MATCH($F743,[1]Cluster_Master!$B$4:$B$18,0)),"")</f>
        <v/>
      </c>
      <c r="L743" s="29" t="str">
        <f>IFERROR(INDEX([1]Cluster_Master!$G$4:$G$18,MATCH($F743,[1]Cluster_Master!$B$4:$B$18,0)),"")</f>
        <v/>
      </c>
      <c r="M743" s="29" t="str">
        <f>IFERROR(INDEX([1]Cluster_Master!$H$4:$H$18,MATCH($F743,[1]Cluster_Master!$B$4:$B$18,0)),"")</f>
        <v/>
      </c>
      <c r="AI743" s="29" t="str">
        <f>IF(COUNTA(T743:AH743)=0,"",SUM(T743:AH743))</f>
        <v/>
      </c>
      <c r="AJ743" s="29" t="str">
        <f>IF(COUNTA(T743:AH743)=0,"",AI743/75)</f>
        <v/>
      </c>
      <c r="AK743" s="29" t="str">
        <f>IF(COUNTA(T743:AH743)=0,"",(SUM(T743*[1]KPI_Weights!$B$4,U743*[1]KPI_Weights!$B$5,V743*[1]KPI_Weights!$B$6,W743*[1]KPI_Weights!$B$7,X743*[1]KPI_Weights!$B$8,Y743*[1]KPI_Weights!$B$9,Z743*[1]KPI_Weights!$B$10,AA743*[1]KPI_Weights!$B$11,AB743*[1]KPI_Weights!$B$12,AC743*[1]KPI_Weights!$B$13,AD743*[1]KPI_Weights!$B$14,AE743*[1]KPI_Weights!$B$15,AF743*[1]KPI_Weights!$B$16,AG743*[1]KPI_Weights!$B$17,AH743*[1]KPI_Weights!$B$18))/5)</f>
        <v/>
      </c>
      <c r="AL743" s="29" t="str">
        <f>IF(COUNTA(T743:AH743)=0,"",IF(OR(T743&lt;=1,W743&lt;=1,X743&lt;=1,Y743&lt;=1,AB743&lt;=1),"YES","NO"))</f>
        <v/>
      </c>
      <c r="AM743" s="29" t="str">
        <f>IF(AJ743="","",IF(AND(AL743="NO",AJ743&gt;=0.75),"YES","NO"))</f>
        <v/>
      </c>
      <c r="AN743" s="29" t="str">
        <f>IF(AJ743="","",IF(AJ743&lt;0.4,"Critical",IF(AJ743&lt;0.6,"Poor",IF(AJ743&lt;0.75,"Needs Improvement",IF(AJ743&lt;0.9,"Good","Excellent")))))</f>
        <v/>
      </c>
    </row>
    <row r="744" spans="1:40" ht="15" customHeight="1" x14ac:dyDescent="0.25">
      <c r="A744" s="29" t="str">
        <f>IF($B744="","",TEXT($B744,"yyyymmdd")&amp;"-"&amp;SUBSTITUTE($F744," ","")&amp;"-"&amp;TEXT(COUNTIF($F$4:F744,$F744),"00"))</f>
        <v/>
      </c>
      <c r="C744" s="29" t="str">
        <f>IF($B744="","",WEEKNUM($B744,2))</f>
        <v/>
      </c>
      <c r="D744" s="29" t="str">
        <f>IF($B744="","",TEXT($B744,"yyyy-mm"))</f>
        <v/>
      </c>
      <c r="G744" s="29" t="str">
        <f>IF(OR($E744="",$F744=""),"",IFERROR(IF($E744=INDEX([1]Cluster_Master!$A$4:$A$18,MATCH($F744,[1]Cluster_Master!$B$4:$B$18,0)),"OK","CHECK"),"CHECK"))</f>
        <v/>
      </c>
      <c r="H744" s="29" t="str">
        <f>IFERROR(INDEX([1]Cluster_Master!$C$4:$C$18,MATCH($F744,[1]Cluster_Master!$B$4:$B$18,0)),"")</f>
        <v/>
      </c>
      <c r="I744" s="29" t="str">
        <f>IFERROR(INDEX([1]Cluster_Master!$D$4:$D$18,MATCH($F744,[1]Cluster_Master!$B$4:$B$18,0)),"")</f>
        <v/>
      </c>
      <c r="J744" s="29" t="str">
        <f>IFERROR(INDEX([1]Cluster_Master!$E$4:$E$18,MATCH($F744,[1]Cluster_Master!$B$4:$B$18,0)),"")</f>
        <v/>
      </c>
      <c r="K744" s="29" t="str">
        <f>IFERROR(INDEX([1]Cluster_Master!$F$4:$F$18,MATCH($F744,[1]Cluster_Master!$B$4:$B$18,0)),"")</f>
        <v/>
      </c>
      <c r="L744" s="29" t="str">
        <f>IFERROR(INDEX([1]Cluster_Master!$G$4:$G$18,MATCH($F744,[1]Cluster_Master!$B$4:$B$18,0)),"")</f>
        <v/>
      </c>
      <c r="M744" s="29" t="str">
        <f>IFERROR(INDEX([1]Cluster_Master!$H$4:$H$18,MATCH($F744,[1]Cluster_Master!$B$4:$B$18,0)),"")</f>
        <v/>
      </c>
      <c r="AI744" s="29" t="str">
        <f>IF(COUNTA(T744:AH744)=0,"",SUM(T744:AH744))</f>
        <v/>
      </c>
      <c r="AJ744" s="29" t="str">
        <f>IF(COUNTA(T744:AH744)=0,"",AI744/75)</f>
        <v/>
      </c>
      <c r="AK744" s="29" t="str">
        <f>IF(COUNTA(T744:AH744)=0,"",(SUM(T744*[1]KPI_Weights!$B$4,U744*[1]KPI_Weights!$B$5,V744*[1]KPI_Weights!$B$6,W744*[1]KPI_Weights!$B$7,X744*[1]KPI_Weights!$B$8,Y744*[1]KPI_Weights!$B$9,Z744*[1]KPI_Weights!$B$10,AA744*[1]KPI_Weights!$B$11,AB744*[1]KPI_Weights!$B$12,AC744*[1]KPI_Weights!$B$13,AD744*[1]KPI_Weights!$B$14,AE744*[1]KPI_Weights!$B$15,AF744*[1]KPI_Weights!$B$16,AG744*[1]KPI_Weights!$B$17,AH744*[1]KPI_Weights!$B$18))/5)</f>
        <v/>
      </c>
      <c r="AL744" s="29" t="str">
        <f>IF(COUNTA(T744:AH744)=0,"",IF(OR(T744&lt;=1,W744&lt;=1,X744&lt;=1,Y744&lt;=1,AB744&lt;=1),"YES","NO"))</f>
        <v/>
      </c>
      <c r="AM744" s="29" t="str">
        <f>IF(AJ744="","",IF(AND(AL744="NO",AJ744&gt;=0.75),"YES","NO"))</f>
        <v/>
      </c>
      <c r="AN744" s="29" t="str">
        <f>IF(AJ744="","",IF(AJ744&lt;0.4,"Critical",IF(AJ744&lt;0.6,"Poor",IF(AJ744&lt;0.75,"Needs Improvement",IF(AJ744&lt;0.9,"Good","Excellent")))))</f>
        <v/>
      </c>
    </row>
    <row r="745" spans="1:40" ht="15" customHeight="1" x14ac:dyDescent="0.25">
      <c r="A745" s="29" t="str">
        <f>IF($B745="","",TEXT($B745,"yyyymmdd")&amp;"-"&amp;SUBSTITUTE($F745," ","")&amp;"-"&amp;TEXT(COUNTIF($F$4:F745,$F745),"00"))</f>
        <v/>
      </c>
      <c r="C745" s="29" t="str">
        <f>IF($B745="","",WEEKNUM($B745,2))</f>
        <v/>
      </c>
      <c r="D745" s="29" t="str">
        <f>IF($B745="","",TEXT($B745,"yyyy-mm"))</f>
        <v/>
      </c>
      <c r="G745" s="29" t="str">
        <f>IF(OR($E745="",$F745=""),"",IFERROR(IF($E745=INDEX([1]Cluster_Master!$A$4:$A$18,MATCH($F745,[1]Cluster_Master!$B$4:$B$18,0)),"OK","CHECK"),"CHECK"))</f>
        <v/>
      </c>
      <c r="H745" s="29" t="str">
        <f>IFERROR(INDEX([1]Cluster_Master!$C$4:$C$18,MATCH($F745,[1]Cluster_Master!$B$4:$B$18,0)),"")</f>
        <v/>
      </c>
      <c r="I745" s="29" t="str">
        <f>IFERROR(INDEX([1]Cluster_Master!$D$4:$D$18,MATCH($F745,[1]Cluster_Master!$B$4:$B$18,0)),"")</f>
        <v/>
      </c>
      <c r="J745" s="29" t="str">
        <f>IFERROR(INDEX([1]Cluster_Master!$E$4:$E$18,MATCH($F745,[1]Cluster_Master!$B$4:$B$18,0)),"")</f>
        <v/>
      </c>
      <c r="K745" s="29" t="str">
        <f>IFERROR(INDEX([1]Cluster_Master!$F$4:$F$18,MATCH($F745,[1]Cluster_Master!$B$4:$B$18,0)),"")</f>
        <v/>
      </c>
      <c r="L745" s="29" t="str">
        <f>IFERROR(INDEX([1]Cluster_Master!$G$4:$G$18,MATCH($F745,[1]Cluster_Master!$B$4:$B$18,0)),"")</f>
        <v/>
      </c>
      <c r="M745" s="29" t="str">
        <f>IFERROR(INDEX([1]Cluster_Master!$H$4:$H$18,MATCH($F745,[1]Cluster_Master!$B$4:$B$18,0)),"")</f>
        <v/>
      </c>
      <c r="AI745" s="29" t="str">
        <f>IF(COUNTA(T745:AH745)=0,"",SUM(T745:AH745))</f>
        <v/>
      </c>
      <c r="AJ745" s="29" t="str">
        <f>IF(COUNTA(T745:AH745)=0,"",AI745/75)</f>
        <v/>
      </c>
      <c r="AK745" s="29" t="str">
        <f>IF(COUNTA(T745:AH745)=0,"",(SUM(T745*[1]KPI_Weights!$B$4,U745*[1]KPI_Weights!$B$5,V745*[1]KPI_Weights!$B$6,W745*[1]KPI_Weights!$B$7,X745*[1]KPI_Weights!$B$8,Y745*[1]KPI_Weights!$B$9,Z745*[1]KPI_Weights!$B$10,AA745*[1]KPI_Weights!$B$11,AB745*[1]KPI_Weights!$B$12,AC745*[1]KPI_Weights!$B$13,AD745*[1]KPI_Weights!$B$14,AE745*[1]KPI_Weights!$B$15,AF745*[1]KPI_Weights!$B$16,AG745*[1]KPI_Weights!$B$17,AH745*[1]KPI_Weights!$B$18))/5)</f>
        <v/>
      </c>
      <c r="AL745" s="29" t="str">
        <f>IF(COUNTA(T745:AH745)=0,"",IF(OR(T745&lt;=1,W745&lt;=1,X745&lt;=1,Y745&lt;=1,AB745&lt;=1),"YES","NO"))</f>
        <v/>
      </c>
      <c r="AM745" s="29" t="str">
        <f>IF(AJ745="","",IF(AND(AL745="NO",AJ745&gt;=0.75),"YES","NO"))</f>
        <v/>
      </c>
      <c r="AN745" s="29" t="str">
        <f>IF(AJ745="","",IF(AJ745&lt;0.4,"Critical",IF(AJ745&lt;0.6,"Poor",IF(AJ745&lt;0.75,"Needs Improvement",IF(AJ745&lt;0.9,"Good","Excellent")))))</f>
        <v/>
      </c>
    </row>
    <row r="746" spans="1:40" ht="15" customHeight="1" x14ac:dyDescent="0.25">
      <c r="A746" s="29" t="str">
        <f>IF($B746="","",TEXT($B746,"yyyymmdd")&amp;"-"&amp;SUBSTITUTE($F746," ","")&amp;"-"&amp;TEXT(COUNTIF($F$4:F746,$F746),"00"))</f>
        <v/>
      </c>
      <c r="C746" s="29" t="str">
        <f>IF($B746="","",WEEKNUM($B746,2))</f>
        <v/>
      </c>
      <c r="D746" s="29" t="str">
        <f>IF($B746="","",TEXT($B746,"yyyy-mm"))</f>
        <v/>
      </c>
      <c r="G746" s="29" t="str">
        <f>IF(OR($E746="",$F746=""),"",IFERROR(IF($E746=INDEX([1]Cluster_Master!$A$4:$A$18,MATCH($F746,[1]Cluster_Master!$B$4:$B$18,0)),"OK","CHECK"),"CHECK"))</f>
        <v/>
      </c>
      <c r="H746" s="29" t="str">
        <f>IFERROR(INDEX([1]Cluster_Master!$C$4:$C$18,MATCH($F746,[1]Cluster_Master!$B$4:$B$18,0)),"")</f>
        <v/>
      </c>
      <c r="I746" s="29" t="str">
        <f>IFERROR(INDEX([1]Cluster_Master!$D$4:$D$18,MATCH($F746,[1]Cluster_Master!$B$4:$B$18,0)),"")</f>
        <v/>
      </c>
      <c r="J746" s="29" t="str">
        <f>IFERROR(INDEX([1]Cluster_Master!$E$4:$E$18,MATCH($F746,[1]Cluster_Master!$B$4:$B$18,0)),"")</f>
        <v/>
      </c>
      <c r="K746" s="29" t="str">
        <f>IFERROR(INDEX([1]Cluster_Master!$F$4:$F$18,MATCH($F746,[1]Cluster_Master!$B$4:$B$18,0)),"")</f>
        <v/>
      </c>
      <c r="L746" s="29" t="str">
        <f>IFERROR(INDEX([1]Cluster_Master!$G$4:$G$18,MATCH($F746,[1]Cluster_Master!$B$4:$B$18,0)),"")</f>
        <v/>
      </c>
      <c r="M746" s="29" t="str">
        <f>IFERROR(INDEX([1]Cluster_Master!$H$4:$H$18,MATCH($F746,[1]Cluster_Master!$B$4:$B$18,0)),"")</f>
        <v/>
      </c>
      <c r="AI746" s="29" t="str">
        <f>IF(COUNTA(T746:AH746)=0,"",SUM(T746:AH746))</f>
        <v/>
      </c>
      <c r="AJ746" s="29" t="str">
        <f>IF(COUNTA(T746:AH746)=0,"",AI746/75)</f>
        <v/>
      </c>
      <c r="AK746" s="29" t="str">
        <f>IF(COUNTA(T746:AH746)=0,"",(SUM(T746*[1]KPI_Weights!$B$4,U746*[1]KPI_Weights!$B$5,V746*[1]KPI_Weights!$B$6,W746*[1]KPI_Weights!$B$7,X746*[1]KPI_Weights!$B$8,Y746*[1]KPI_Weights!$B$9,Z746*[1]KPI_Weights!$B$10,AA746*[1]KPI_Weights!$B$11,AB746*[1]KPI_Weights!$B$12,AC746*[1]KPI_Weights!$B$13,AD746*[1]KPI_Weights!$B$14,AE746*[1]KPI_Weights!$B$15,AF746*[1]KPI_Weights!$B$16,AG746*[1]KPI_Weights!$B$17,AH746*[1]KPI_Weights!$B$18))/5)</f>
        <v/>
      </c>
      <c r="AL746" s="29" t="str">
        <f>IF(COUNTA(T746:AH746)=0,"",IF(OR(T746&lt;=1,W746&lt;=1,X746&lt;=1,Y746&lt;=1,AB746&lt;=1),"YES","NO"))</f>
        <v/>
      </c>
      <c r="AM746" s="29" t="str">
        <f>IF(AJ746="","",IF(AND(AL746="NO",AJ746&gt;=0.75),"YES","NO"))</f>
        <v/>
      </c>
      <c r="AN746" s="29" t="str">
        <f>IF(AJ746="","",IF(AJ746&lt;0.4,"Critical",IF(AJ746&lt;0.6,"Poor",IF(AJ746&lt;0.75,"Needs Improvement",IF(AJ746&lt;0.9,"Good","Excellent")))))</f>
        <v/>
      </c>
    </row>
    <row r="747" spans="1:40" ht="15" customHeight="1" x14ac:dyDescent="0.25">
      <c r="A747" s="29" t="str">
        <f>IF($B747="","",TEXT($B747,"yyyymmdd")&amp;"-"&amp;SUBSTITUTE($F747," ","")&amp;"-"&amp;TEXT(COUNTIF($F$4:F747,$F747),"00"))</f>
        <v/>
      </c>
      <c r="C747" s="29" t="str">
        <f>IF($B747="","",WEEKNUM($B747,2))</f>
        <v/>
      </c>
      <c r="D747" s="29" t="str">
        <f>IF($B747="","",TEXT($B747,"yyyy-mm"))</f>
        <v/>
      </c>
      <c r="G747" s="29" t="str">
        <f>IF(OR($E747="",$F747=""),"",IFERROR(IF($E747=INDEX([1]Cluster_Master!$A$4:$A$18,MATCH($F747,[1]Cluster_Master!$B$4:$B$18,0)),"OK","CHECK"),"CHECK"))</f>
        <v/>
      </c>
      <c r="H747" s="29" t="str">
        <f>IFERROR(INDEX([1]Cluster_Master!$C$4:$C$18,MATCH($F747,[1]Cluster_Master!$B$4:$B$18,0)),"")</f>
        <v/>
      </c>
      <c r="I747" s="29" t="str">
        <f>IFERROR(INDEX([1]Cluster_Master!$D$4:$D$18,MATCH($F747,[1]Cluster_Master!$B$4:$B$18,0)),"")</f>
        <v/>
      </c>
      <c r="J747" s="29" t="str">
        <f>IFERROR(INDEX([1]Cluster_Master!$E$4:$E$18,MATCH($F747,[1]Cluster_Master!$B$4:$B$18,0)),"")</f>
        <v/>
      </c>
      <c r="K747" s="29" t="str">
        <f>IFERROR(INDEX([1]Cluster_Master!$F$4:$F$18,MATCH($F747,[1]Cluster_Master!$B$4:$B$18,0)),"")</f>
        <v/>
      </c>
      <c r="L747" s="29" t="str">
        <f>IFERROR(INDEX([1]Cluster_Master!$G$4:$G$18,MATCH($F747,[1]Cluster_Master!$B$4:$B$18,0)),"")</f>
        <v/>
      </c>
      <c r="M747" s="29" t="str">
        <f>IFERROR(INDEX([1]Cluster_Master!$H$4:$H$18,MATCH($F747,[1]Cluster_Master!$B$4:$B$18,0)),"")</f>
        <v/>
      </c>
      <c r="AI747" s="29" t="str">
        <f>IF(COUNTA(T747:AH747)=0,"",SUM(T747:AH747))</f>
        <v/>
      </c>
      <c r="AJ747" s="29" t="str">
        <f>IF(COUNTA(T747:AH747)=0,"",AI747/75)</f>
        <v/>
      </c>
      <c r="AK747" s="29" t="str">
        <f>IF(COUNTA(T747:AH747)=0,"",(SUM(T747*[1]KPI_Weights!$B$4,U747*[1]KPI_Weights!$B$5,V747*[1]KPI_Weights!$B$6,W747*[1]KPI_Weights!$B$7,X747*[1]KPI_Weights!$B$8,Y747*[1]KPI_Weights!$B$9,Z747*[1]KPI_Weights!$B$10,AA747*[1]KPI_Weights!$B$11,AB747*[1]KPI_Weights!$B$12,AC747*[1]KPI_Weights!$B$13,AD747*[1]KPI_Weights!$B$14,AE747*[1]KPI_Weights!$B$15,AF747*[1]KPI_Weights!$B$16,AG747*[1]KPI_Weights!$B$17,AH747*[1]KPI_Weights!$B$18))/5)</f>
        <v/>
      </c>
      <c r="AL747" s="29" t="str">
        <f>IF(COUNTA(T747:AH747)=0,"",IF(OR(T747&lt;=1,W747&lt;=1,X747&lt;=1,Y747&lt;=1,AB747&lt;=1),"YES","NO"))</f>
        <v/>
      </c>
      <c r="AM747" s="29" t="str">
        <f>IF(AJ747="","",IF(AND(AL747="NO",AJ747&gt;=0.75),"YES","NO"))</f>
        <v/>
      </c>
      <c r="AN747" s="29" t="str">
        <f>IF(AJ747="","",IF(AJ747&lt;0.4,"Critical",IF(AJ747&lt;0.6,"Poor",IF(AJ747&lt;0.75,"Needs Improvement",IF(AJ747&lt;0.9,"Good","Excellent")))))</f>
        <v/>
      </c>
    </row>
    <row r="748" spans="1:40" ht="15" customHeight="1" x14ac:dyDescent="0.25">
      <c r="A748" s="29" t="str">
        <f>IF($B748="","",TEXT($B748,"yyyymmdd")&amp;"-"&amp;SUBSTITUTE($F748," ","")&amp;"-"&amp;TEXT(COUNTIF($F$4:F748,$F748),"00"))</f>
        <v/>
      </c>
      <c r="C748" s="29" t="str">
        <f>IF($B748="","",WEEKNUM($B748,2))</f>
        <v/>
      </c>
      <c r="D748" s="29" t="str">
        <f>IF($B748="","",TEXT($B748,"yyyy-mm"))</f>
        <v/>
      </c>
      <c r="G748" s="29" t="str">
        <f>IF(OR($E748="",$F748=""),"",IFERROR(IF($E748=INDEX([1]Cluster_Master!$A$4:$A$18,MATCH($F748,[1]Cluster_Master!$B$4:$B$18,0)),"OK","CHECK"),"CHECK"))</f>
        <v/>
      </c>
      <c r="H748" s="29" t="str">
        <f>IFERROR(INDEX([1]Cluster_Master!$C$4:$C$18,MATCH($F748,[1]Cluster_Master!$B$4:$B$18,0)),"")</f>
        <v/>
      </c>
      <c r="I748" s="29" t="str">
        <f>IFERROR(INDEX([1]Cluster_Master!$D$4:$D$18,MATCH($F748,[1]Cluster_Master!$B$4:$B$18,0)),"")</f>
        <v/>
      </c>
      <c r="J748" s="29" t="str">
        <f>IFERROR(INDEX([1]Cluster_Master!$E$4:$E$18,MATCH($F748,[1]Cluster_Master!$B$4:$B$18,0)),"")</f>
        <v/>
      </c>
      <c r="K748" s="29" t="str">
        <f>IFERROR(INDEX([1]Cluster_Master!$F$4:$F$18,MATCH($F748,[1]Cluster_Master!$B$4:$B$18,0)),"")</f>
        <v/>
      </c>
      <c r="L748" s="29" t="str">
        <f>IFERROR(INDEX([1]Cluster_Master!$G$4:$G$18,MATCH($F748,[1]Cluster_Master!$B$4:$B$18,0)),"")</f>
        <v/>
      </c>
      <c r="M748" s="29" t="str">
        <f>IFERROR(INDEX([1]Cluster_Master!$H$4:$H$18,MATCH($F748,[1]Cluster_Master!$B$4:$B$18,0)),"")</f>
        <v/>
      </c>
      <c r="AI748" s="29" t="str">
        <f>IF(COUNTA(T748:AH748)=0,"",SUM(T748:AH748))</f>
        <v/>
      </c>
      <c r="AJ748" s="29" t="str">
        <f>IF(COUNTA(T748:AH748)=0,"",AI748/75)</f>
        <v/>
      </c>
      <c r="AK748" s="29" t="str">
        <f>IF(COUNTA(T748:AH748)=0,"",(SUM(T748*[1]KPI_Weights!$B$4,U748*[1]KPI_Weights!$B$5,V748*[1]KPI_Weights!$B$6,W748*[1]KPI_Weights!$B$7,X748*[1]KPI_Weights!$B$8,Y748*[1]KPI_Weights!$B$9,Z748*[1]KPI_Weights!$B$10,AA748*[1]KPI_Weights!$B$11,AB748*[1]KPI_Weights!$B$12,AC748*[1]KPI_Weights!$B$13,AD748*[1]KPI_Weights!$B$14,AE748*[1]KPI_Weights!$B$15,AF748*[1]KPI_Weights!$B$16,AG748*[1]KPI_Weights!$B$17,AH748*[1]KPI_Weights!$B$18))/5)</f>
        <v/>
      </c>
      <c r="AL748" s="29" t="str">
        <f>IF(COUNTA(T748:AH748)=0,"",IF(OR(T748&lt;=1,W748&lt;=1,X748&lt;=1,Y748&lt;=1,AB748&lt;=1),"YES","NO"))</f>
        <v/>
      </c>
      <c r="AM748" s="29" t="str">
        <f>IF(AJ748="","",IF(AND(AL748="NO",AJ748&gt;=0.75),"YES","NO"))</f>
        <v/>
      </c>
      <c r="AN748" s="29" t="str">
        <f>IF(AJ748="","",IF(AJ748&lt;0.4,"Critical",IF(AJ748&lt;0.6,"Poor",IF(AJ748&lt;0.75,"Needs Improvement",IF(AJ748&lt;0.9,"Good","Excellent")))))</f>
        <v/>
      </c>
    </row>
    <row r="749" spans="1:40" ht="15" customHeight="1" x14ac:dyDescent="0.25">
      <c r="A749" s="29" t="str">
        <f>IF($B749="","",TEXT($B749,"yyyymmdd")&amp;"-"&amp;SUBSTITUTE($F749," ","")&amp;"-"&amp;TEXT(COUNTIF($F$4:F749,$F749),"00"))</f>
        <v/>
      </c>
      <c r="C749" s="29" t="str">
        <f>IF($B749="","",WEEKNUM($B749,2))</f>
        <v/>
      </c>
      <c r="D749" s="29" t="str">
        <f>IF($B749="","",TEXT($B749,"yyyy-mm"))</f>
        <v/>
      </c>
      <c r="G749" s="29" t="str">
        <f>IF(OR($E749="",$F749=""),"",IFERROR(IF($E749=INDEX([1]Cluster_Master!$A$4:$A$18,MATCH($F749,[1]Cluster_Master!$B$4:$B$18,0)),"OK","CHECK"),"CHECK"))</f>
        <v/>
      </c>
      <c r="H749" s="29" t="str">
        <f>IFERROR(INDEX([1]Cluster_Master!$C$4:$C$18,MATCH($F749,[1]Cluster_Master!$B$4:$B$18,0)),"")</f>
        <v/>
      </c>
      <c r="I749" s="29" t="str">
        <f>IFERROR(INDEX([1]Cluster_Master!$D$4:$D$18,MATCH($F749,[1]Cluster_Master!$B$4:$B$18,0)),"")</f>
        <v/>
      </c>
      <c r="J749" s="29" t="str">
        <f>IFERROR(INDEX([1]Cluster_Master!$E$4:$E$18,MATCH($F749,[1]Cluster_Master!$B$4:$B$18,0)),"")</f>
        <v/>
      </c>
      <c r="K749" s="29" t="str">
        <f>IFERROR(INDEX([1]Cluster_Master!$F$4:$F$18,MATCH($F749,[1]Cluster_Master!$B$4:$B$18,0)),"")</f>
        <v/>
      </c>
      <c r="L749" s="29" t="str">
        <f>IFERROR(INDEX([1]Cluster_Master!$G$4:$G$18,MATCH($F749,[1]Cluster_Master!$B$4:$B$18,0)),"")</f>
        <v/>
      </c>
      <c r="M749" s="29" t="str">
        <f>IFERROR(INDEX([1]Cluster_Master!$H$4:$H$18,MATCH($F749,[1]Cluster_Master!$B$4:$B$18,0)),"")</f>
        <v/>
      </c>
      <c r="AI749" s="29" t="str">
        <f>IF(COUNTA(T749:AH749)=0,"",SUM(T749:AH749))</f>
        <v/>
      </c>
      <c r="AJ749" s="29" t="str">
        <f>IF(COUNTA(T749:AH749)=0,"",AI749/75)</f>
        <v/>
      </c>
      <c r="AK749" s="29" t="str">
        <f>IF(COUNTA(T749:AH749)=0,"",(SUM(T749*[1]KPI_Weights!$B$4,U749*[1]KPI_Weights!$B$5,V749*[1]KPI_Weights!$B$6,W749*[1]KPI_Weights!$B$7,X749*[1]KPI_Weights!$B$8,Y749*[1]KPI_Weights!$B$9,Z749*[1]KPI_Weights!$B$10,AA749*[1]KPI_Weights!$B$11,AB749*[1]KPI_Weights!$B$12,AC749*[1]KPI_Weights!$B$13,AD749*[1]KPI_Weights!$B$14,AE749*[1]KPI_Weights!$B$15,AF749*[1]KPI_Weights!$B$16,AG749*[1]KPI_Weights!$B$17,AH749*[1]KPI_Weights!$B$18))/5)</f>
        <v/>
      </c>
      <c r="AL749" s="29" t="str">
        <f>IF(COUNTA(T749:AH749)=0,"",IF(OR(T749&lt;=1,W749&lt;=1,X749&lt;=1,Y749&lt;=1,AB749&lt;=1),"YES","NO"))</f>
        <v/>
      </c>
      <c r="AM749" s="29" t="str">
        <f>IF(AJ749="","",IF(AND(AL749="NO",AJ749&gt;=0.75),"YES","NO"))</f>
        <v/>
      </c>
      <c r="AN749" s="29" t="str">
        <f>IF(AJ749="","",IF(AJ749&lt;0.4,"Critical",IF(AJ749&lt;0.6,"Poor",IF(AJ749&lt;0.75,"Needs Improvement",IF(AJ749&lt;0.9,"Good","Excellent")))))</f>
        <v/>
      </c>
    </row>
    <row r="750" spans="1:40" ht="15" customHeight="1" x14ac:dyDescent="0.25">
      <c r="A750" s="29" t="str">
        <f>IF($B750="","",TEXT($B750,"yyyymmdd")&amp;"-"&amp;SUBSTITUTE($F750," ","")&amp;"-"&amp;TEXT(COUNTIF($F$4:F750,$F750),"00"))</f>
        <v/>
      </c>
      <c r="C750" s="29" t="str">
        <f>IF($B750="","",WEEKNUM($B750,2))</f>
        <v/>
      </c>
      <c r="D750" s="29" t="str">
        <f>IF($B750="","",TEXT($B750,"yyyy-mm"))</f>
        <v/>
      </c>
      <c r="G750" s="29" t="str">
        <f>IF(OR($E750="",$F750=""),"",IFERROR(IF($E750=INDEX([1]Cluster_Master!$A$4:$A$18,MATCH($F750,[1]Cluster_Master!$B$4:$B$18,0)),"OK","CHECK"),"CHECK"))</f>
        <v/>
      </c>
      <c r="H750" s="29" t="str">
        <f>IFERROR(INDEX([1]Cluster_Master!$C$4:$C$18,MATCH($F750,[1]Cluster_Master!$B$4:$B$18,0)),"")</f>
        <v/>
      </c>
      <c r="I750" s="29" t="str">
        <f>IFERROR(INDEX([1]Cluster_Master!$D$4:$D$18,MATCH($F750,[1]Cluster_Master!$B$4:$B$18,0)),"")</f>
        <v/>
      </c>
      <c r="J750" s="29" t="str">
        <f>IFERROR(INDEX([1]Cluster_Master!$E$4:$E$18,MATCH($F750,[1]Cluster_Master!$B$4:$B$18,0)),"")</f>
        <v/>
      </c>
      <c r="K750" s="29" t="str">
        <f>IFERROR(INDEX([1]Cluster_Master!$F$4:$F$18,MATCH($F750,[1]Cluster_Master!$B$4:$B$18,0)),"")</f>
        <v/>
      </c>
      <c r="L750" s="29" t="str">
        <f>IFERROR(INDEX([1]Cluster_Master!$G$4:$G$18,MATCH($F750,[1]Cluster_Master!$B$4:$B$18,0)),"")</f>
        <v/>
      </c>
      <c r="M750" s="29" t="str">
        <f>IFERROR(INDEX([1]Cluster_Master!$H$4:$H$18,MATCH($F750,[1]Cluster_Master!$B$4:$B$18,0)),"")</f>
        <v/>
      </c>
      <c r="AI750" s="29" t="str">
        <f>IF(COUNTA(T750:AH750)=0,"",SUM(T750:AH750))</f>
        <v/>
      </c>
      <c r="AJ750" s="29" t="str">
        <f>IF(COUNTA(T750:AH750)=0,"",AI750/75)</f>
        <v/>
      </c>
      <c r="AK750" s="29" t="str">
        <f>IF(COUNTA(T750:AH750)=0,"",(SUM(T750*[1]KPI_Weights!$B$4,U750*[1]KPI_Weights!$B$5,V750*[1]KPI_Weights!$B$6,W750*[1]KPI_Weights!$B$7,X750*[1]KPI_Weights!$B$8,Y750*[1]KPI_Weights!$B$9,Z750*[1]KPI_Weights!$B$10,AA750*[1]KPI_Weights!$B$11,AB750*[1]KPI_Weights!$B$12,AC750*[1]KPI_Weights!$B$13,AD750*[1]KPI_Weights!$B$14,AE750*[1]KPI_Weights!$B$15,AF750*[1]KPI_Weights!$B$16,AG750*[1]KPI_Weights!$B$17,AH750*[1]KPI_Weights!$B$18))/5)</f>
        <v/>
      </c>
      <c r="AL750" s="29" t="str">
        <f>IF(COUNTA(T750:AH750)=0,"",IF(OR(T750&lt;=1,W750&lt;=1,X750&lt;=1,Y750&lt;=1,AB750&lt;=1),"YES","NO"))</f>
        <v/>
      </c>
      <c r="AM750" s="29" t="str">
        <f>IF(AJ750="","",IF(AND(AL750="NO",AJ750&gt;=0.75),"YES","NO"))</f>
        <v/>
      </c>
      <c r="AN750" s="29" t="str">
        <f>IF(AJ750="","",IF(AJ750&lt;0.4,"Critical",IF(AJ750&lt;0.6,"Poor",IF(AJ750&lt;0.75,"Needs Improvement",IF(AJ750&lt;0.9,"Good","Excellent")))))</f>
        <v/>
      </c>
    </row>
    <row r="751" spans="1:40" ht="15" customHeight="1" x14ac:dyDescent="0.25">
      <c r="A751" s="29" t="str">
        <f>IF($B751="","",TEXT($B751,"yyyymmdd")&amp;"-"&amp;SUBSTITUTE($F751," ","")&amp;"-"&amp;TEXT(COUNTIF($F$4:F751,$F751),"00"))</f>
        <v/>
      </c>
      <c r="C751" s="29" t="str">
        <f>IF($B751="","",WEEKNUM($B751,2))</f>
        <v/>
      </c>
      <c r="D751" s="29" t="str">
        <f>IF($B751="","",TEXT($B751,"yyyy-mm"))</f>
        <v/>
      </c>
      <c r="G751" s="29" t="str">
        <f>IF(OR($E751="",$F751=""),"",IFERROR(IF($E751=INDEX([1]Cluster_Master!$A$4:$A$18,MATCH($F751,[1]Cluster_Master!$B$4:$B$18,0)),"OK","CHECK"),"CHECK"))</f>
        <v/>
      </c>
      <c r="H751" s="29" t="str">
        <f>IFERROR(INDEX([1]Cluster_Master!$C$4:$C$18,MATCH($F751,[1]Cluster_Master!$B$4:$B$18,0)),"")</f>
        <v/>
      </c>
      <c r="I751" s="29" t="str">
        <f>IFERROR(INDEX([1]Cluster_Master!$D$4:$D$18,MATCH($F751,[1]Cluster_Master!$B$4:$B$18,0)),"")</f>
        <v/>
      </c>
      <c r="J751" s="29" t="str">
        <f>IFERROR(INDEX([1]Cluster_Master!$E$4:$E$18,MATCH($F751,[1]Cluster_Master!$B$4:$B$18,0)),"")</f>
        <v/>
      </c>
      <c r="K751" s="29" t="str">
        <f>IFERROR(INDEX([1]Cluster_Master!$F$4:$F$18,MATCH($F751,[1]Cluster_Master!$B$4:$B$18,0)),"")</f>
        <v/>
      </c>
      <c r="L751" s="29" t="str">
        <f>IFERROR(INDEX([1]Cluster_Master!$G$4:$G$18,MATCH($F751,[1]Cluster_Master!$B$4:$B$18,0)),"")</f>
        <v/>
      </c>
      <c r="M751" s="29" t="str">
        <f>IFERROR(INDEX([1]Cluster_Master!$H$4:$H$18,MATCH($F751,[1]Cluster_Master!$B$4:$B$18,0)),"")</f>
        <v/>
      </c>
      <c r="AI751" s="29" t="str">
        <f>IF(COUNTA(T751:AH751)=0,"",SUM(T751:AH751))</f>
        <v/>
      </c>
      <c r="AJ751" s="29" t="str">
        <f>IF(COUNTA(T751:AH751)=0,"",AI751/75)</f>
        <v/>
      </c>
      <c r="AK751" s="29" t="str">
        <f>IF(COUNTA(T751:AH751)=0,"",(SUM(T751*[1]KPI_Weights!$B$4,U751*[1]KPI_Weights!$B$5,V751*[1]KPI_Weights!$B$6,W751*[1]KPI_Weights!$B$7,X751*[1]KPI_Weights!$B$8,Y751*[1]KPI_Weights!$B$9,Z751*[1]KPI_Weights!$B$10,AA751*[1]KPI_Weights!$B$11,AB751*[1]KPI_Weights!$B$12,AC751*[1]KPI_Weights!$B$13,AD751*[1]KPI_Weights!$B$14,AE751*[1]KPI_Weights!$B$15,AF751*[1]KPI_Weights!$B$16,AG751*[1]KPI_Weights!$B$17,AH751*[1]KPI_Weights!$B$18))/5)</f>
        <v/>
      </c>
      <c r="AL751" s="29" t="str">
        <f>IF(COUNTA(T751:AH751)=0,"",IF(OR(T751&lt;=1,W751&lt;=1,X751&lt;=1,Y751&lt;=1,AB751&lt;=1),"YES","NO"))</f>
        <v/>
      </c>
      <c r="AM751" s="29" t="str">
        <f>IF(AJ751="","",IF(AND(AL751="NO",AJ751&gt;=0.75),"YES","NO"))</f>
        <v/>
      </c>
      <c r="AN751" s="29" t="str">
        <f>IF(AJ751="","",IF(AJ751&lt;0.4,"Critical",IF(AJ751&lt;0.6,"Poor",IF(AJ751&lt;0.75,"Needs Improvement",IF(AJ751&lt;0.9,"Good","Excellent")))))</f>
        <v/>
      </c>
    </row>
    <row r="752" spans="1:40" ht="15" customHeight="1" x14ac:dyDescent="0.25">
      <c r="A752" s="29" t="str">
        <f>IF($B752="","",TEXT($B752,"yyyymmdd")&amp;"-"&amp;SUBSTITUTE($F752," ","")&amp;"-"&amp;TEXT(COUNTIF($F$4:F752,$F752),"00"))</f>
        <v/>
      </c>
      <c r="C752" s="29" t="str">
        <f>IF($B752="","",WEEKNUM($B752,2))</f>
        <v/>
      </c>
      <c r="D752" s="29" t="str">
        <f>IF($B752="","",TEXT($B752,"yyyy-mm"))</f>
        <v/>
      </c>
      <c r="G752" s="29" t="str">
        <f>IF(OR($E752="",$F752=""),"",IFERROR(IF($E752=INDEX([1]Cluster_Master!$A$4:$A$18,MATCH($F752,[1]Cluster_Master!$B$4:$B$18,0)),"OK","CHECK"),"CHECK"))</f>
        <v/>
      </c>
      <c r="H752" s="29" t="str">
        <f>IFERROR(INDEX([1]Cluster_Master!$C$4:$C$18,MATCH($F752,[1]Cluster_Master!$B$4:$B$18,0)),"")</f>
        <v/>
      </c>
      <c r="I752" s="29" t="str">
        <f>IFERROR(INDEX([1]Cluster_Master!$D$4:$D$18,MATCH($F752,[1]Cluster_Master!$B$4:$B$18,0)),"")</f>
        <v/>
      </c>
      <c r="J752" s="29" t="str">
        <f>IFERROR(INDEX([1]Cluster_Master!$E$4:$E$18,MATCH($F752,[1]Cluster_Master!$B$4:$B$18,0)),"")</f>
        <v/>
      </c>
      <c r="K752" s="29" t="str">
        <f>IFERROR(INDEX([1]Cluster_Master!$F$4:$F$18,MATCH($F752,[1]Cluster_Master!$B$4:$B$18,0)),"")</f>
        <v/>
      </c>
      <c r="L752" s="29" t="str">
        <f>IFERROR(INDEX([1]Cluster_Master!$G$4:$G$18,MATCH($F752,[1]Cluster_Master!$B$4:$B$18,0)),"")</f>
        <v/>
      </c>
      <c r="M752" s="29" t="str">
        <f>IFERROR(INDEX([1]Cluster_Master!$H$4:$H$18,MATCH($F752,[1]Cluster_Master!$B$4:$B$18,0)),"")</f>
        <v/>
      </c>
      <c r="AI752" s="29" t="str">
        <f>IF(COUNTA(T752:AH752)=0,"",SUM(T752:AH752))</f>
        <v/>
      </c>
      <c r="AJ752" s="29" t="str">
        <f>IF(COUNTA(T752:AH752)=0,"",AI752/75)</f>
        <v/>
      </c>
      <c r="AK752" s="29" t="str">
        <f>IF(COUNTA(T752:AH752)=0,"",(SUM(T752*[1]KPI_Weights!$B$4,U752*[1]KPI_Weights!$B$5,V752*[1]KPI_Weights!$B$6,W752*[1]KPI_Weights!$B$7,X752*[1]KPI_Weights!$B$8,Y752*[1]KPI_Weights!$B$9,Z752*[1]KPI_Weights!$B$10,AA752*[1]KPI_Weights!$B$11,AB752*[1]KPI_Weights!$B$12,AC752*[1]KPI_Weights!$B$13,AD752*[1]KPI_Weights!$B$14,AE752*[1]KPI_Weights!$B$15,AF752*[1]KPI_Weights!$B$16,AG752*[1]KPI_Weights!$B$17,AH752*[1]KPI_Weights!$B$18))/5)</f>
        <v/>
      </c>
      <c r="AL752" s="29" t="str">
        <f>IF(COUNTA(T752:AH752)=0,"",IF(OR(T752&lt;=1,W752&lt;=1,X752&lt;=1,Y752&lt;=1,AB752&lt;=1),"YES","NO"))</f>
        <v/>
      </c>
      <c r="AM752" s="29" t="str">
        <f>IF(AJ752="","",IF(AND(AL752="NO",AJ752&gt;=0.75),"YES","NO"))</f>
        <v/>
      </c>
      <c r="AN752" s="29" t="str">
        <f>IF(AJ752="","",IF(AJ752&lt;0.4,"Critical",IF(AJ752&lt;0.6,"Poor",IF(AJ752&lt;0.75,"Needs Improvement",IF(AJ752&lt;0.9,"Good","Excellent")))))</f>
        <v/>
      </c>
    </row>
    <row r="753" spans="1:40" ht="15" customHeight="1" x14ac:dyDescent="0.25">
      <c r="A753" s="29" t="str">
        <f>IF($B753="","",TEXT($B753,"yyyymmdd")&amp;"-"&amp;SUBSTITUTE($F753," ","")&amp;"-"&amp;TEXT(COUNTIF($F$4:F753,$F753),"00"))</f>
        <v/>
      </c>
      <c r="C753" s="29" t="str">
        <f>IF($B753="","",WEEKNUM($B753,2))</f>
        <v/>
      </c>
      <c r="D753" s="29" t="str">
        <f>IF($B753="","",TEXT($B753,"yyyy-mm"))</f>
        <v/>
      </c>
      <c r="G753" s="29" t="str">
        <f>IF(OR($E753="",$F753=""),"",IFERROR(IF($E753=INDEX([1]Cluster_Master!$A$4:$A$18,MATCH($F753,[1]Cluster_Master!$B$4:$B$18,0)),"OK","CHECK"),"CHECK"))</f>
        <v/>
      </c>
      <c r="H753" s="29" t="str">
        <f>IFERROR(INDEX([1]Cluster_Master!$C$4:$C$18,MATCH($F753,[1]Cluster_Master!$B$4:$B$18,0)),"")</f>
        <v/>
      </c>
      <c r="I753" s="29" t="str">
        <f>IFERROR(INDEX([1]Cluster_Master!$D$4:$D$18,MATCH($F753,[1]Cluster_Master!$B$4:$B$18,0)),"")</f>
        <v/>
      </c>
      <c r="J753" s="29" t="str">
        <f>IFERROR(INDEX([1]Cluster_Master!$E$4:$E$18,MATCH($F753,[1]Cluster_Master!$B$4:$B$18,0)),"")</f>
        <v/>
      </c>
      <c r="K753" s="29" t="str">
        <f>IFERROR(INDEX([1]Cluster_Master!$F$4:$F$18,MATCH($F753,[1]Cluster_Master!$B$4:$B$18,0)),"")</f>
        <v/>
      </c>
      <c r="L753" s="29" t="str">
        <f>IFERROR(INDEX([1]Cluster_Master!$G$4:$G$18,MATCH($F753,[1]Cluster_Master!$B$4:$B$18,0)),"")</f>
        <v/>
      </c>
      <c r="M753" s="29" t="str">
        <f>IFERROR(INDEX([1]Cluster_Master!$H$4:$H$18,MATCH($F753,[1]Cluster_Master!$B$4:$B$18,0)),"")</f>
        <v/>
      </c>
      <c r="AI753" s="29" t="str">
        <f>IF(COUNTA(T753:AH753)=0,"",SUM(T753:AH753))</f>
        <v/>
      </c>
      <c r="AJ753" s="29" t="str">
        <f>IF(COUNTA(T753:AH753)=0,"",AI753/75)</f>
        <v/>
      </c>
      <c r="AK753" s="29" t="str">
        <f>IF(COUNTA(T753:AH753)=0,"",(SUM(T753*[1]KPI_Weights!$B$4,U753*[1]KPI_Weights!$B$5,V753*[1]KPI_Weights!$B$6,W753*[1]KPI_Weights!$B$7,X753*[1]KPI_Weights!$B$8,Y753*[1]KPI_Weights!$B$9,Z753*[1]KPI_Weights!$B$10,AA753*[1]KPI_Weights!$B$11,AB753*[1]KPI_Weights!$B$12,AC753*[1]KPI_Weights!$B$13,AD753*[1]KPI_Weights!$B$14,AE753*[1]KPI_Weights!$B$15,AF753*[1]KPI_Weights!$B$16,AG753*[1]KPI_Weights!$B$17,AH753*[1]KPI_Weights!$B$18))/5)</f>
        <v/>
      </c>
      <c r="AL753" s="29" t="str">
        <f>IF(COUNTA(T753:AH753)=0,"",IF(OR(T753&lt;=1,W753&lt;=1,X753&lt;=1,Y753&lt;=1,AB753&lt;=1),"YES","NO"))</f>
        <v/>
      </c>
      <c r="AM753" s="29" t="str">
        <f>IF(AJ753="","",IF(AND(AL753="NO",AJ753&gt;=0.75),"YES","NO"))</f>
        <v/>
      </c>
      <c r="AN753" s="29" t="str">
        <f>IF(AJ753="","",IF(AJ753&lt;0.4,"Critical",IF(AJ753&lt;0.6,"Poor",IF(AJ753&lt;0.75,"Needs Improvement",IF(AJ753&lt;0.9,"Good","Excellent")))))</f>
        <v/>
      </c>
    </row>
    <row r="754" spans="1:40" ht="15" customHeight="1" x14ac:dyDescent="0.25">
      <c r="A754" s="29" t="str">
        <f>IF($B754="","",TEXT($B754,"yyyymmdd")&amp;"-"&amp;SUBSTITUTE($F754," ","")&amp;"-"&amp;TEXT(COUNTIF($F$4:F754,$F754),"00"))</f>
        <v/>
      </c>
      <c r="C754" s="29" t="str">
        <f>IF($B754="","",WEEKNUM($B754,2))</f>
        <v/>
      </c>
      <c r="D754" s="29" t="str">
        <f>IF($B754="","",TEXT($B754,"yyyy-mm"))</f>
        <v/>
      </c>
      <c r="G754" s="29" t="str">
        <f>IF(OR($E754="",$F754=""),"",IFERROR(IF($E754=INDEX([1]Cluster_Master!$A$4:$A$18,MATCH($F754,[1]Cluster_Master!$B$4:$B$18,0)),"OK","CHECK"),"CHECK"))</f>
        <v/>
      </c>
      <c r="H754" s="29" t="str">
        <f>IFERROR(INDEX([1]Cluster_Master!$C$4:$C$18,MATCH($F754,[1]Cluster_Master!$B$4:$B$18,0)),"")</f>
        <v/>
      </c>
      <c r="I754" s="29" t="str">
        <f>IFERROR(INDEX([1]Cluster_Master!$D$4:$D$18,MATCH($F754,[1]Cluster_Master!$B$4:$B$18,0)),"")</f>
        <v/>
      </c>
      <c r="J754" s="29" t="str">
        <f>IFERROR(INDEX([1]Cluster_Master!$E$4:$E$18,MATCH($F754,[1]Cluster_Master!$B$4:$B$18,0)),"")</f>
        <v/>
      </c>
      <c r="K754" s="29" t="str">
        <f>IFERROR(INDEX([1]Cluster_Master!$F$4:$F$18,MATCH($F754,[1]Cluster_Master!$B$4:$B$18,0)),"")</f>
        <v/>
      </c>
      <c r="L754" s="29" t="str">
        <f>IFERROR(INDEX([1]Cluster_Master!$G$4:$G$18,MATCH($F754,[1]Cluster_Master!$B$4:$B$18,0)),"")</f>
        <v/>
      </c>
      <c r="M754" s="29" t="str">
        <f>IFERROR(INDEX([1]Cluster_Master!$H$4:$H$18,MATCH($F754,[1]Cluster_Master!$B$4:$B$18,0)),"")</f>
        <v/>
      </c>
      <c r="AI754" s="29" t="str">
        <f>IF(COUNTA(T754:AH754)=0,"",SUM(T754:AH754))</f>
        <v/>
      </c>
      <c r="AJ754" s="29" t="str">
        <f>IF(COUNTA(T754:AH754)=0,"",AI754/75)</f>
        <v/>
      </c>
      <c r="AK754" s="29" t="str">
        <f>IF(COUNTA(T754:AH754)=0,"",(SUM(T754*[1]KPI_Weights!$B$4,U754*[1]KPI_Weights!$B$5,V754*[1]KPI_Weights!$B$6,W754*[1]KPI_Weights!$B$7,X754*[1]KPI_Weights!$B$8,Y754*[1]KPI_Weights!$B$9,Z754*[1]KPI_Weights!$B$10,AA754*[1]KPI_Weights!$B$11,AB754*[1]KPI_Weights!$B$12,AC754*[1]KPI_Weights!$B$13,AD754*[1]KPI_Weights!$B$14,AE754*[1]KPI_Weights!$B$15,AF754*[1]KPI_Weights!$B$16,AG754*[1]KPI_Weights!$B$17,AH754*[1]KPI_Weights!$B$18))/5)</f>
        <v/>
      </c>
      <c r="AL754" s="29" t="str">
        <f>IF(COUNTA(T754:AH754)=0,"",IF(OR(T754&lt;=1,W754&lt;=1,X754&lt;=1,Y754&lt;=1,AB754&lt;=1),"YES","NO"))</f>
        <v/>
      </c>
      <c r="AM754" s="29" t="str">
        <f>IF(AJ754="","",IF(AND(AL754="NO",AJ754&gt;=0.75),"YES","NO"))</f>
        <v/>
      </c>
      <c r="AN754" s="29" t="str">
        <f>IF(AJ754="","",IF(AJ754&lt;0.4,"Critical",IF(AJ754&lt;0.6,"Poor",IF(AJ754&lt;0.75,"Needs Improvement",IF(AJ754&lt;0.9,"Good","Excellent")))))</f>
        <v/>
      </c>
    </row>
    <row r="755" spans="1:40" ht="15" customHeight="1" x14ac:dyDescent="0.25">
      <c r="A755" s="29" t="str">
        <f>IF($B755="","",TEXT($B755,"yyyymmdd")&amp;"-"&amp;SUBSTITUTE($F755," ","")&amp;"-"&amp;TEXT(COUNTIF($F$4:F755,$F755),"00"))</f>
        <v/>
      </c>
      <c r="C755" s="29" t="str">
        <f>IF($B755="","",WEEKNUM($B755,2))</f>
        <v/>
      </c>
      <c r="D755" s="29" t="str">
        <f>IF($B755="","",TEXT($B755,"yyyy-mm"))</f>
        <v/>
      </c>
      <c r="G755" s="29" t="str">
        <f>IF(OR($E755="",$F755=""),"",IFERROR(IF($E755=INDEX([1]Cluster_Master!$A$4:$A$18,MATCH($F755,[1]Cluster_Master!$B$4:$B$18,0)),"OK","CHECK"),"CHECK"))</f>
        <v/>
      </c>
      <c r="H755" s="29" t="str">
        <f>IFERROR(INDEX([1]Cluster_Master!$C$4:$C$18,MATCH($F755,[1]Cluster_Master!$B$4:$B$18,0)),"")</f>
        <v/>
      </c>
      <c r="I755" s="29" t="str">
        <f>IFERROR(INDEX([1]Cluster_Master!$D$4:$D$18,MATCH($F755,[1]Cluster_Master!$B$4:$B$18,0)),"")</f>
        <v/>
      </c>
      <c r="J755" s="29" t="str">
        <f>IFERROR(INDEX([1]Cluster_Master!$E$4:$E$18,MATCH($F755,[1]Cluster_Master!$B$4:$B$18,0)),"")</f>
        <v/>
      </c>
      <c r="K755" s="29" t="str">
        <f>IFERROR(INDEX([1]Cluster_Master!$F$4:$F$18,MATCH($F755,[1]Cluster_Master!$B$4:$B$18,0)),"")</f>
        <v/>
      </c>
      <c r="L755" s="29" t="str">
        <f>IFERROR(INDEX([1]Cluster_Master!$G$4:$G$18,MATCH($F755,[1]Cluster_Master!$B$4:$B$18,0)),"")</f>
        <v/>
      </c>
      <c r="M755" s="29" t="str">
        <f>IFERROR(INDEX([1]Cluster_Master!$H$4:$H$18,MATCH($F755,[1]Cluster_Master!$B$4:$B$18,0)),"")</f>
        <v/>
      </c>
      <c r="AI755" s="29" t="str">
        <f>IF(COUNTA(T755:AH755)=0,"",SUM(T755:AH755))</f>
        <v/>
      </c>
      <c r="AJ755" s="29" t="str">
        <f>IF(COUNTA(T755:AH755)=0,"",AI755/75)</f>
        <v/>
      </c>
      <c r="AK755" s="29" t="str">
        <f>IF(COUNTA(T755:AH755)=0,"",(SUM(T755*[1]KPI_Weights!$B$4,U755*[1]KPI_Weights!$B$5,V755*[1]KPI_Weights!$B$6,W755*[1]KPI_Weights!$B$7,X755*[1]KPI_Weights!$B$8,Y755*[1]KPI_Weights!$B$9,Z755*[1]KPI_Weights!$B$10,AA755*[1]KPI_Weights!$B$11,AB755*[1]KPI_Weights!$B$12,AC755*[1]KPI_Weights!$B$13,AD755*[1]KPI_Weights!$B$14,AE755*[1]KPI_Weights!$B$15,AF755*[1]KPI_Weights!$B$16,AG755*[1]KPI_Weights!$B$17,AH755*[1]KPI_Weights!$B$18))/5)</f>
        <v/>
      </c>
      <c r="AL755" s="29" t="str">
        <f>IF(COUNTA(T755:AH755)=0,"",IF(OR(T755&lt;=1,W755&lt;=1,X755&lt;=1,Y755&lt;=1,AB755&lt;=1),"YES","NO"))</f>
        <v/>
      </c>
      <c r="AM755" s="29" t="str">
        <f>IF(AJ755="","",IF(AND(AL755="NO",AJ755&gt;=0.75),"YES","NO"))</f>
        <v/>
      </c>
      <c r="AN755" s="29" t="str">
        <f>IF(AJ755="","",IF(AJ755&lt;0.4,"Critical",IF(AJ755&lt;0.6,"Poor",IF(AJ755&lt;0.75,"Needs Improvement",IF(AJ755&lt;0.9,"Good","Excellent")))))</f>
        <v/>
      </c>
    </row>
    <row r="756" spans="1:40" ht="15" customHeight="1" x14ac:dyDescent="0.25">
      <c r="A756" s="29" t="str">
        <f>IF($B756="","",TEXT($B756,"yyyymmdd")&amp;"-"&amp;SUBSTITUTE($F756," ","")&amp;"-"&amp;TEXT(COUNTIF($F$4:F756,$F756),"00"))</f>
        <v/>
      </c>
      <c r="C756" s="29" t="str">
        <f>IF($B756="","",WEEKNUM($B756,2))</f>
        <v/>
      </c>
      <c r="D756" s="29" t="str">
        <f>IF($B756="","",TEXT($B756,"yyyy-mm"))</f>
        <v/>
      </c>
      <c r="G756" s="29" t="str">
        <f>IF(OR($E756="",$F756=""),"",IFERROR(IF($E756=INDEX([1]Cluster_Master!$A$4:$A$18,MATCH($F756,[1]Cluster_Master!$B$4:$B$18,0)),"OK","CHECK"),"CHECK"))</f>
        <v/>
      </c>
      <c r="H756" s="29" t="str">
        <f>IFERROR(INDEX([1]Cluster_Master!$C$4:$C$18,MATCH($F756,[1]Cluster_Master!$B$4:$B$18,0)),"")</f>
        <v/>
      </c>
      <c r="I756" s="29" t="str">
        <f>IFERROR(INDEX([1]Cluster_Master!$D$4:$D$18,MATCH($F756,[1]Cluster_Master!$B$4:$B$18,0)),"")</f>
        <v/>
      </c>
      <c r="J756" s="29" t="str">
        <f>IFERROR(INDEX([1]Cluster_Master!$E$4:$E$18,MATCH($F756,[1]Cluster_Master!$B$4:$B$18,0)),"")</f>
        <v/>
      </c>
      <c r="K756" s="29" t="str">
        <f>IFERROR(INDEX([1]Cluster_Master!$F$4:$F$18,MATCH($F756,[1]Cluster_Master!$B$4:$B$18,0)),"")</f>
        <v/>
      </c>
      <c r="L756" s="29" t="str">
        <f>IFERROR(INDEX([1]Cluster_Master!$G$4:$G$18,MATCH($F756,[1]Cluster_Master!$B$4:$B$18,0)),"")</f>
        <v/>
      </c>
      <c r="M756" s="29" t="str">
        <f>IFERROR(INDEX([1]Cluster_Master!$H$4:$H$18,MATCH($F756,[1]Cluster_Master!$B$4:$B$18,0)),"")</f>
        <v/>
      </c>
      <c r="AI756" s="29" t="str">
        <f>IF(COUNTA(T756:AH756)=0,"",SUM(T756:AH756))</f>
        <v/>
      </c>
      <c r="AJ756" s="29" t="str">
        <f>IF(COUNTA(T756:AH756)=0,"",AI756/75)</f>
        <v/>
      </c>
      <c r="AK756" s="29" t="str">
        <f>IF(COUNTA(T756:AH756)=0,"",(SUM(T756*[1]KPI_Weights!$B$4,U756*[1]KPI_Weights!$B$5,V756*[1]KPI_Weights!$B$6,W756*[1]KPI_Weights!$B$7,X756*[1]KPI_Weights!$B$8,Y756*[1]KPI_Weights!$B$9,Z756*[1]KPI_Weights!$B$10,AA756*[1]KPI_Weights!$B$11,AB756*[1]KPI_Weights!$B$12,AC756*[1]KPI_Weights!$B$13,AD756*[1]KPI_Weights!$B$14,AE756*[1]KPI_Weights!$B$15,AF756*[1]KPI_Weights!$B$16,AG756*[1]KPI_Weights!$B$17,AH756*[1]KPI_Weights!$B$18))/5)</f>
        <v/>
      </c>
      <c r="AL756" s="29" t="str">
        <f>IF(COUNTA(T756:AH756)=0,"",IF(OR(T756&lt;=1,W756&lt;=1,X756&lt;=1,Y756&lt;=1,AB756&lt;=1),"YES","NO"))</f>
        <v/>
      </c>
      <c r="AM756" s="29" t="str">
        <f>IF(AJ756="","",IF(AND(AL756="NO",AJ756&gt;=0.75),"YES","NO"))</f>
        <v/>
      </c>
      <c r="AN756" s="29" t="str">
        <f>IF(AJ756="","",IF(AJ756&lt;0.4,"Critical",IF(AJ756&lt;0.6,"Poor",IF(AJ756&lt;0.75,"Needs Improvement",IF(AJ756&lt;0.9,"Good","Excellent")))))</f>
        <v/>
      </c>
    </row>
    <row r="757" spans="1:40" ht="15" customHeight="1" x14ac:dyDescent="0.25">
      <c r="A757" s="29" t="str">
        <f>IF($B757="","",TEXT($B757,"yyyymmdd")&amp;"-"&amp;SUBSTITUTE($F757," ","")&amp;"-"&amp;TEXT(COUNTIF($F$4:F757,$F757),"00"))</f>
        <v/>
      </c>
      <c r="C757" s="29" t="str">
        <f>IF($B757="","",WEEKNUM($B757,2))</f>
        <v/>
      </c>
      <c r="D757" s="29" t="str">
        <f>IF($B757="","",TEXT($B757,"yyyy-mm"))</f>
        <v/>
      </c>
      <c r="G757" s="29" t="str">
        <f>IF(OR($E757="",$F757=""),"",IFERROR(IF($E757=INDEX([1]Cluster_Master!$A$4:$A$18,MATCH($F757,[1]Cluster_Master!$B$4:$B$18,0)),"OK","CHECK"),"CHECK"))</f>
        <v/>
      </c>
      <c r="H757" s="29" t="str">
        <f>IFERROR(INDEX([1]Cluster_Master!$C$4:$C$18,MATCH($F757,[1]Cluster_Master!$B$4:$B$18,0)),"")</f>
        <v/>
      </c>
      <c r="I757" s="29" t="str">
        <f>IFERROR(INDEX([1]Cluster_Master!$D$4:$D$18,MATCH($F757,[1]Cluster_Master!$B$4:$B$18,0)),"")</f>
        <v/>
      </c>
      <c r="J757" s="29" t="str">
        <f>IFERROR(INDEX([1]Cluster_Master!$E$4:$E$18,MATCH($F757,[1]Cluster_Master!$B$4:$B$18,0)),"")</f>
        <v/>
      </c>
      <c r="K757" s="29" t="str">
        <f>IFERROR(INDEX([1]Cluster_Master!$F$4:$F$18,MATCH($F757,[1]Cluster_Master!$B$4:$B$18,0)),"")</f>
        <v/>
      </c>
      <c r="L757" s="29" t="str">
        <f>IFERROR(INDEX([1]Cluster_Master!$G$4:$G$18,MATCH($F757,[1]Cluster_Master!$B$4:$B$18,0)),"")</f>
        <v/>
      </c>
      <c r="M757" s="29" t="str">
        <f>IFERROR(INDEX([1]Cluster_Master!$H$4:$H$18,MATCH($F757,[1]Cluster_Master!$B$4:$B$18,0)),"")</f>
        <v/>
      </c>
      <c r="AI757" s="29" t="str">
        <f>IF(COUNTA(T757:AH757)=0,"",SUM(T757:AH757))</f>
        <v/>
      </c>
      <c r="AJ757" s="29" t="str">
        <f>IF(COUNTA(T757:AH757)=0,"",AI757/75)</f>
        <v/>
      </c>
      <c r="AK757" s="29" t="str">
        <f>IF(COUNTA(T757:AH757)=0,"",(SUM(T757*[1]KPI_Weights!$B$4,U757*[1]KPI_Weights!$B$5,V757*[1]KPI_Weights!$B$6,W757*[1]KPI_Weights!$B$7,X757*[1]KPI_Weights!$B$8,Y757*[1]KPI_Weights!$B$9,Z757*[1]KPI_Weights!$B$10,AA757*[1]KPI_Weights!$B$11,AB757*[1]KPI_Weights!$B$12,AC757*[1]KPI_Weights!$B$13,AD757*[1]KPI_Weights!$B$14,AE757*[1]KPI_Weights!$B$15,AF757*[1]KPI_Weights!$B$16,AG757*[1]KPI_Weights!$B$17,AH757*[1]KPI_Weights!$B$18))/5)</f>
        <v/>
      </c>
      <c r="AL757" s="29" t="str">
        <f>IF(COUNTA(T757:AH757)=0,"",IF(OR(T757&lt;=1,W757&lt;=1,X757&lt;=1,Y757&lt;=1,AB757&lt;=1),"YES","NO"))</f>
        <v/>
      </c>
      <c r="AM757" s="29" t="str">
        <f>IF(AJ757="","",IF(AND(AL757="NO",AJ757&gt;=0.75),"YES","NO"))</f>
        <v/>
      </c>
      <c r="AN757" s="29" t="str">
        <f>IF(AJ757="","",IF(AJ757&lt;0.4,"Critical",IF(AJ757&lt;0.6,"Poor",IF(AJ757&lt;0.75,"Needs Improvement",IF(AJ757&lt;0.9,"Good","Excellent")))))</f>
        <v/>
      </c>
    </row>
    <row r="758" spans="1:40" ht="15" customHeight="1" x14ac:dyDescent="0.25">
      <c r="A758" s="29" t="str">
        <f>IF($B758="","",TEXT($B758,"yyyymmdd")&amp;"-"&amp;SUBSTITUTE($F758," ","")&amp;"-"&amp;TEXT(COUNTIF($F$4:F758,$F758),"00"))</f>
        <v/>
      </c>
      <c r="C758" s="29" t="str">
        <f>IF($B758="","",WEEKNUM($B758,2))</f>
        <v/>
      </c>
      <c r="D758" s="29" t="str">
        <f>IF($B758="","",TEXT($B758,"yyyy-mm"))</f>
        <v/>
      </c>
      <c r="G758" s="29" t="str">
        <f>IF(OR($E758="",$F758=""),"",IFERROR(IF($E758=INDEX([1]Cluster_Master!$A$4:$A$18,MATCH($F758,[1]Cluster_Master!$B$4:$B$18,0)),"OK","CHECK"),"CHECK"))</f>
        <v/>
      </c>
      <c r="H758" s="29" t="str">
        <f>IFERROR(INDEX([1]Cluster_Master!$C$4:$C$18,MATCH($F758,[1]Cluster_Master!$B$4:$B$18,0)),"")</f>
        <v/>
      </c>
      <c r="I758" s="29" t="str">
        <f>IFERROR(INDEX([1]Cluster_Master!$D$4:$D$18,MATCH($F758,[1]Cluster_Master!$B$4:$B$18,0)),"")</f>
        <v/>
      </c>
      <c r="J758" s="29" t="str">
        <f>IFERROR(INDEX([1]Cluster_Master!$E$4:$E$18,MATCH($F758,[1]Cluster_Master!$B$4:$B$18,0)),"")</f>
        <v/>
      </c>
      <c r="K758" s="29" t="str">
        <f>IFERROR(INDEX([1]Cluster_Master!$F$4:$F$18,MATCH($F758,[1]Cluster_Master!$B$4:$B$18,0)),"")</f>
        <v/>
      </c>
      <c r="L758" s="29" t="str">
        <f>IFERROR(INDEX([1]Cluster_Master!$G$4:$G$18,MATCH($F758,[1]Cluster_Master!$B$4:$B$18,0)),"")</f>
        <v/>
      </c>
      <c r="M758" s="29" t="str">
        <f>IFERROR(INDEX([1]Cluster_Master!$H$4:$H$18,MATCH($F758,[1]Cluster_Master!$B$4:$B$18,0)),"")</f>
        <v/>
      </c>
      <c r="AI758" s="29" t="str">
        <f>IF(COUNTA(T758:AH758)=0,"",SUM(T758:AH758))</f>
        <v/>
      </c>
      <c r="AJ758" s="29" t="str">
        <f>IF(COUNTA(T758:AH758)=0,"",AI758/75)</f>
        <v/>
      </c>
      <c r="AK758" s="29" t="str">
        <f>IF(COUNTA(T758:AH758)=0,"",(SUM(T758*[1]KPI_Weights!$B$4,U758*[1]KPI_Weights!$B$5,V758*[1]KPI_Weights!$B$6,W758*[1]KPI_Weights!$B$7,X758*[1]KPI_Weights!$B$8,Y758*[1]KPI_Weights!$B$9,Z758*[1]KPI_Weights!$B$10,AA758*[1]KPI_Weights!$B$11,AB758*[1]KPI_Weights!$B$12,AC758*[1]KPI_Weights!$B$13,AD758*[1]KPI_Weights!$B$14,AE758*[1]KPI_Weights!$B$15,AF758*[1]KPI_Weights!$B$16,AG758*[1]KPI_Weights!$B$17,AH758*[1]KPI_Weights!$B$18))/5)</f>
        <v/>
      </c>
      <c r="AL758" s="29" t="str">
        <f>IF(COUNTA(T758:AH758)=0,"",IF(OR(T758&lt;=1,W758&lt;=1,X758&lt;=1,Y758&lt;=1,AB758&lt;=1),"YES","NO"))</f>
        <v/>
      </c>
      <c r="AM758" s="29" t="str">
        <f>IF(AJ758="","",IF(AND(AL758="NO",AJ758&gt;=0.75),"YES","NO"))</f>
        <v/>
      </c>
      <c r="AN758" s="29" t="str">
        <f>IF(AJ758="","",IF(AJ758&lt;0.4,"Critical",IF(AJ758&lt;0.6,"Poor",IF(AJ758&lt;0.75,"Needs Improvement",IF(AJ758&lt;0.9,"Good","Excellent")))))</f>
        <v/>
      </c>
    </row>
    <row r="759" spans="1:40" ht="15" customHeight="1" x14ac:dyDescent="0.25">
      <c r="A759" s="29" t="str">
        <f>IF($B759="","",TEXT($B759,"yyyymmdd")&amp;"-"&amp;SUBSTITUTE($F759," ","")&amp;"-"&amp;TEXT(COUNTIF($F$4:F759,$F759),"00"))</f>
        <v/>
      </c>
      <c r="C759" s="29" t="str">
        <f>IF($B759="","",WEEKNUM($B759,2))</f>
        <v/>
      </c>
      <c r="D759" s="29" t="str">
        <f>IF($B759="","",TEXT($B759,"yyyy-mm"))</f>
        <v/>
      </c>
      <c r="G759" s="29" t="str">
        <f>IF(OR($E759="",$F759=""),"",IFERROR(IF($E759=INDEX([1]Cluster_Master!$A$4:$A$18,MATCH($F759,[1]Cluster_Master!$B$4:$B$18,0)),"OK","CHECK"),"CHECK"))</f>
        <v/>
      </c>
      <c r="H759" s="29" t="str">
        <f>IFERROR(INDEX([1]Cluster_Master!$C$4:$C$18,MATCH($F759,[1]Cluster_Master!$B$4:$B$18,0)),"")</f>
        <v/>
      </c>
      <c r="I759" s="29" t="str">
        <f>IFERROR(INDEX([1]Cluster_Master!$D$4:$D$18,MATCH($F759,[1]Cluster_Master!$B$4:$B$18,0)),"")</f>
        <v/>
      </c>
      <c r="J759" s="29" t="str">
        <f>IFERROR(INDEX([1]Cluster_Master!$E$4:$E$18,MATCH($F759,[1]Cluster_Master!$B$4:$B$18,0)),"")</f>
        <v/>
      </c>
      <c r="K759" s="29" t="str">
        <f>IFERROR(INDEX([1]Cluster_Master!$F$4:$F$18,MATCH($F759,[1]Cluster_Master!$B$4:$B$18,0)),"")</f>
        <v/>
      </c>
      <c r="L759" s="29" t="str">
        <f>IFERROR(INDEX([1]Cluster_Master!$G$4:$G$18,MATCH($F759,[1]Cluster_Master!$B$4:$B$18,0)),"")</f>
        <v/>
      </c>
      <c r="M759" s="29" t="str">
        <f>IFERROR(INDEX([1]Cluster_Master!$H$4:$H$18,MATCH($F759,[1]Cluster_Master!$B$4:$B$18,0)),"")</f>
        <v/>
      </c>
      <c r="AI759" s="29" t="str">
        <f>IF(COUNTA(T759:AH759)=0,"",SUM(T759:AH759))</f>
        <v/>
      </c>
      <c r="AJ759" s="29" t="str">
        <f>IF(COUNTA(T759:AH759)=0,"",AI759/75)</f>
        <v/>
      </c>
      <c r="AK759" s="29" t="str">
        <f>IF(COUNTA(T759:AH759)=0,"",(SUM(T759*[1]KPI_Weights!$B$4,U759*[1]KPI_Weights!$B$5,V759*[1]KPI_Weights!$B$6,W759*[1]KPI_Weights!$B$7,X759*[1]KPI_Weights!$B$8,Y759*[1]KPI_Weights!$B$9,Z759*[1]KPI_Weights!$B$10,AA759*[1]KPI_Weights!$B$11,AB759*[1]KPI_Weights!$B$12,AC759*[1]KPI_Weights!$B$13,AD759*[1]KPI_Weights!$B$14,AE759*[1]KPI_Weights!$B$15,AF759*[1]KPI_Weights!$B$16,AG759*[1]KPI_Weights!$B$17,AH759*[1]KPI_Weights!$B$18))/5)</f>
        <v/>
      </c>
      <c r="AL759" s="29" t="str">
        <f>IF(COUNTA(T759:AH759)=0,"",IF(OR(T759&lt;=1,W759&lt;=1,X759&lt;=1,Y759&lt;=1,AB759&lt;=1),"YES","NO"))</f>
        <v/>
      </c>
      <c r="AM759" s="29" t="str">
        <f>IF(AJ759="","",IF(AND(AL759="NO",AJ759&gt;=0.75),"YES","NO"))</f>
        <v/>
      </c>
      <c r="AN759" s="29" t="str">
        <f>IF(AJ759="","",IF(AJ759&lt;0.4,"Critical",IF(AJ759&lt;0.6,"Poor",IF(AJ759&lt;0.75,"Needs Improvement",IF(AJ759&lt;0.9,"Good","Excellent")))))</f>
        <v/>
      </c>
    </row>
    <row r="760" spans="1:40" ht="15" customHeight="1" x14ac:dyDescent="0.25">
      <c r="A760" s="29" t="str">
        <f>IF($B760="","",TEXT($B760,"yyyymmdd")&amp;"-"&amp;SUBSTITUTE($F760," ","")&amp;"-"&amp;TEXT(COUNTIF($F$4:F760,$F760),"00"))</f>
        <v/>
      </c>
      <c r="C760" s="29" t="str">
        <f>IF($B760="","",WEEKNUM($B760,2))</f>
        <v/>
      </c>
      <c r="D760" s="29" t="str">
        <f>IF($B760="","",TEXT($B760,"yyyy-mm"))</f>
        <v/>
      </c>
      <c r="G760" s="29" t="str">
        <f>IF(OR($E760="",$F760=""),"",IFERROR(IF($E760=INDEX([1]Cluster_Master!$A$4:$A$18,MATCH($F760,[1]Cluster_Master!$B$4:$B$18,0)),"OK","CHECK"),"CHECK"))</f>
        <v/>
      </c>
      <c r="H760" s="29" t="str">
        <f>IFERROR(INDEX([1]Cluster_Master!$C$4:$C$18,MATCH($F760,[1]Cluster_Master!$B$4:$B$18,0)),"")</f>
        <v/>
      </c>
      <c r="I760" s="29" t="str">
        <f>IFERROR(INDEX([1]Cluster_Master!$D$4:$D$18,MATCH($F760,[1]Cluster_Master!$B$4:$B$18,0)),"")</f>
        <v/>
      </c>
      <c r="J760" s="29" t="str">
        <f>IFERROR(INDEX([1]Cluster_Master!$E$4:$E$18,MATCH($F760,[1]Cluster_Master!$B$4:$B$18,0)),"")</f>
        <v/>
      </c>
      <c r="K760" s="29" t="str">
        <f>IFERROR(INDEX([1]Cluster_Master!$F$4:$F$18,MATCH($F760,[1]Cluster_Master!$B$4:$B$18,0)),"")</f>
        <v/>
      </c>
      <c r="L760" s="29" t="str">
        <f>IFERROR(INDEX([1]Cluster_Master!$G$4:$G$18,MATCH($F760,[1]Cluster_Master!$B$4:$B$18,0)),"")</f>
        <v/>
      </c>
      <c r="M760" s="29" t="str">
        <f>IFERROR(INDEX([1]Cluster_Master!$H$4:$H$18,MATCH($F760,[1]Cluster_Master!$B$4:$B$18,0)),"")</f>
        <v/>
      </c>
      <c r="AI760" s="29" t="str">
        <f>IF(COUNTA(T760:AH760)=0,"",SUM(T760:AH760))</f>
        <v/>
      </c>
      <c r="AJ760" s="29" t="str">
        <f>IF(COUNTA(T760:AH760)=0,"",AI760/75)</f>
        <v/>
      </c>
      <c r="AK760" s="29" t="str">
        <f>IF(COUNTA(T760:AH760)=0,"",(SUM(T760*[1]KPI_Weights!$B$4,U760*[1]KPI_Weights!$B$5,V760*[1]KPI_Weights!$B$6,W760*[1]KPI_Weights!$B$7,X760*[1]KPI_Weights!$B$8,Y760*[1]KPI_Weights!$B$9,Z760*[1]KPI_Weights!$B$10,AA760*[1]KPI_Weights!$B$11,AB760*[1]KPI_Weights!$B$12,AC760*[1]KPI_Weights!$B$13,AD760*[1]KPI_Weights!$B$14,AE760*[1]KPI_Weights!$B$15,AF760*[1]KPI_Weights!$B$16,AG760*[1]KPI_Weights!$B$17,AH760*[1]KPI_Weights!$B$18))/5)</f>
        <v/>
      </c>
      <c r="AL760" s="29" t="str">
        <f>IF(COUNTA(T760:AH760)=0,"",IF(OR(T760&lt;=1,W760&lt;=1,X760&lt;=1,Y760&lt;=1,AB760&lt;=1),"YES","NO"))</f>
        <v/>
      </c>
      <c r="AM760" s="29" t="str">
        <f>IF(AJ760="","",IF(AND(AL760="NO",AJ760&gt;=0.75),"YES","NO"))</f>
        <v/>
      </c>
      <c r="AN760" s="29" t="str">
        <f>IF(AJ760="","",IF(AJ760&lt;0.4,"Critical",IF(AJ760&lt;0.6,"Poor",IF(AJ760&lt;0.75,"Needs Improvement",IF(AJ760&lt;0.9,"Good","Excellent")))))</f>
        <v/>
      </c>
    </row>
    <row r="761" spans="1:40" ht="15" customHeight="1" x14ac:dyDescent="0.25">
      <c r="A761" s="29" t="str">
        <f>IF($B761="","",TEXT($B761,"yyyymmdd")&amp;"-"&amp;SUBSTITUTE($F761," ","")&amp;"-"&amp;TEXT(COUNTIF($F$4:F761,$F761),"00"))</f>
        <v/>
      </c>
      <c r="C761" s="29" t="str">
        <f>IF($B761="","",WEEKNUM($B761,2))</f>
        <v/>
      </c>
      <c r="D761" s="29" t="str">
        <f>IF($B761="","",TEXT($B761,"yyyy-mm"))</f>
        <v/>
      </c>
      <c r="G761" s="29" t="str">
        <f>IF(OR($E761="",$F761=""),"",IFERROR(IF($E761=INDEX([1]Cluster_Master!$A$4:$A$18,MATCH($F761,[1]Cluster_Master!$B$4:$B$18,0)),"OK","CHECK"),"CHECK"))</f>
        <v/>
      </c>
      <c r="H761" s="29" t="str">
        <f>IFERROR(INDEX([1]Cluster_Master!$C$4:$C$18,MATCH($F761,[1]Cluster_Master!$B$4:$B$18,0)),"")</f>
        <v/>
      </c>
      <c r="I761" s="29" t="str">
        <f>IFERROR(INDEX([1]Cluster_Master!$D$4:$D$18,MATCH($F761,[1]Cluster_Master!$B$4:$B$18,0)),"")</f>
        <v/>
      </c>
      <c r="J761" s="29" t="str">
        <f>IFERROR(INDEX([1]Cluster_Master!$E$4:$E$18,MATCH($F761,[1]Cluster_Master!$B$4:$B$18,0)),"")</f>
        <v/>
      </c>
      <c r="K761" s="29" t="str">
        <f>IFERROR(INDEX([1]Cluster_Master!$F$4:$F$18,MATCH($F761,[1]Cluster_Master!$B$4:$B$18,0)),"")</f>
        <v/>
      </c>
      <c r="L761" s="29" t="str">
        <f>IFERROR(INDEX([1]Cluster_Master!$G$4:$G$18,MATCH($F761,[1]Cluster_Master!$B$4:$B$18,0)),"")</f>
        <v/>
      </c>
      <c r="M761" s="29" t="str">
        <f>IFERROR(INDEX([1]Cluster_Master!$H$4:$H$18,MATCH($F761,[1]Cluster_Master!$B$4:$B$18,0)),"")</f>
        <v/>
      </c>
      <c r="AI761" s="29" t="str">
        <f>IF(COUNTA(T761:AH761)=0,"",SUM(T761:AH761))</f>
        <v/>
      </c>
      <c r="AJ761" s="29" t="str">
        <f>IF(COUNTA(T761:AH761)=0,"",AI761/75)</f>
        <v/>
      </c>
      <c r="AK761" s="29" t="str">
        <f>IF(COUNTA(T761:AH761)=0,"",(SUM(T761*[1]KPI_Weights!$B$4,U761*[1]KPI_Weights!$B$5,V761*[1]KPI_Weights!$B$6,W761*[1]KPI_Weights!$B$7,X761*[1]KPI_Weights!$B$8,Y761*[1]KPI_Weights!$B$9,Z761*[1]KPI_Weights!$B$10,AA761*[1]KPI_Weights!$B$11,AB761*[1]KPI_Weights!$B$12,AC761*[1]KPI_Weights!$B$13,AD761*[1]KPI_Weights!$B$14,AE761*[1]KPI_Weights!$B$15,AF761*[1]KPI_Weights!$B$16,AG761*[1]KPI_Weights!$B$17,AH761*[1]KPI_Weights!$B$18))/5)</f>
        <v/>
      </c>
      <c r="AL761" s="29" t="str">
        <f>IF(COUNTA(T761:AH761)=0,"",IF(OR(T761&lt;=1,W761&lt;=1,X761&lt;=1,Y761&lt;=1,AB761&lt;=1),"YES","NO"))</f>
        <v/>
      </c>
      <c r="AM761" s="29" t="str">
        <f>IF(AJ761="","",IF(AND(AL761="NO",AJ761&gt;=0.75),"YES","NO"))</f>
        <v/>
      </c>
      <c r="AN761" s="29" t="str">
        <f>IF(AJ761="","",IF(AJ761&lt;0.4,"Critical",IF(AJ761&lt;0.6,"Poor",IF(AJ761&lt;0.75,"Needs Improvement",IF(AJ761&lt;0.9,"Good","Excellent")))))</f>
        <v/>
      </c>
    </row>
    <row r="762" spans="1:40" ht="15" customHeight="1" x14ac:dyDescent="0.25">
      <c r="A762" s="29" t="str">
        <f>IF($B762="","",TEXT($B762,"yyyymmdd")&amp;"-"&amp;SUBSTITUTE($F762," ","")&amp;"-"&amp;TEXT(COUNTIF($F$4:F762,$F762),"00"))</f>
        <v/>
      </c>
      <c r="C762" s="29" t="str">
        <f>IF($B762="","",WEEKNUM($B762,2))</f>
        <v/>
      </c>
      <c r="D762" s="29" t="str">
        <f>IF($B762="","",TEXT($B762,"yyyy-mm"))</f>
        <v/>
      </c>
      <c r="G762" s="29" t="str">
        <f>IF(OR($E762="",$F762=""),"",IFERROR(IF($E762=INDEX([1]Cluster_Master!$A$4:$A$18,MATCH($F762,[1]Cluster_Master!$B$4:$B$18,0)),"OK","CHECK"),"CHECK"))</f>
        <v/>
      </c>
      <c r="H762" s="29" t="str">
        <f>IFERROR(INDEX([1]Cluster_Master!$C$4:$C$18,MATCH($F762,[1]Cluster_Master!$B$4:$B$18,0)),"")</f>
        <v/>
      </c>
      <c r="I762" s="29" t="str">
        <f>IFERROR(INDEX([1]Cluster_Master!$D$4:$D$18,MATCH($F762,[1]Cluster_Master!$B$4:$B$18,0)),"")</f>
        <v/>
      </c>
      <c r="J762" s="29" t="str">
        <f>IFERROR(INDEX([1]Cluster_Master!$E$4:$E$18,MATCH($F762,[1]Cluster_Master!$B$4:$B$18,0)),"")</f>
        <v/>
      </c>
      <c r="K762" s="29" t="str">
        <f>IFERROR(INDEX([1]Cluster_Master!$F$4:$F$18,MATCH($F762,[1]Cluster_Master!$B$4:$B$18,0)),"")</f>
        <v/>
      </c>
      <c r="L762" s="29" t="str">
        <f>IFERROR(INDEX([1]Cluster_Master!$G$4:$G$18,MATCH($F762,[1]Cluster_Master!$B$4:$B$18,0)),"")</f>
        <v/>
      </c>
      <c r="M762" s="29" t="str">
        <f>IFERROR(INDEX([1]Cluster_Master!$H$4:$H$18,MATCH($F762,[1]Cluster_Master!$B$4:$B$18,0)),"")</f>
        <v/>
      </c>
      <c r="AI762" s="29" t="str">
        <f>IF(COUNTA(T762:AH762)=0,"",SUM(T762:AH762))</f>
        <v/>
      </c>
      <c r="AJ762" s="29" t="str">
        <f>IF(COUNTA(T762:AH762)=0,"",AI762/75)</f>
        <v/>
      </c>
      <c r="AK762" s="29" t="str">
        <f>IF(COUNTA(T762:AH762)=0,"",(SUM(T762*[1]KPI_Weights!$B$4,U762*[1]KPI_Weights!$B$5,V762*[1]KPI_Weights!$B$6,W762*[1]KPI_Weights!$B$7,X762*[1]KPI_Weights!$B$8,Y762*[1]KPI_Weights!$B$9,Z762*[1]KPI_Weights!$B$10,AA762*[1]KPI_Weights!$B$11,AB762*[1]KPI_Weights!$B$12,AC762*[1]KPI_Weights!$B$13,AD762*[1]KPI_Weights!$B$14,AE762*[1]KPI_Weights!$B$15,AF762*[1]KPI_Weights!$B$16,AG762*[1]KPI_Weights!$B$17,AH762*[1]KPI_Weights!$B$18))/5)</f>
        <v/>
      </c>
      <c r="AL762" s="29" t="str">
        <f>IF(COUNTA(T762:AH762)=0,"",IF(OR(T762&lt;=1,W762&lt;=1,X762&lt;=1,Y762&lt;=1,AB762&lt;=1),"YES","NO"))</f>
        <v/>
      </c>
      <c r="AM762" s="29" t="str">
        <f>IF(AJ762="","",IF(AND(AL762="NO",AJ762&gt;=0.75),"YES","NO"))</f>
        <v/>
      </c>
      <c r="AN762" s="29" t="str">
        <f>IF(AJ762="","",IF(AJ762&lt;0.4,"Critical",IF(AJ762&lt;0.6,"Poor",IF(AJ762&lt;0.75,"Needs Improvement",IF(AJ762&lt;0.9,"Good","Excellent")))))</f>
        <v/>
      </c>
    </row>
    <row r="763" spans="1:40" ht="15" customHeight="1" x14ac:dyDescent="0.25">
      <c r="A763" s="29" t="str">
        <f>IF($B763="","",TEXT($B763,"yyyymmdd")&amp;"-"&amp;SUBSTITUTE($F763," ","")&amp;"-"&amp;TEXT(COUNTIF($F$4:F763,$F763),"00"))</f>
        <v/>
      </c>
      <c r="C763" s="29" t="str">
        <f>IF($B763="","",WEEKNUM($B763,2))</f>
        <v/>
      </c>
      <c r="D763" s="29" t="str">
        <f>IF($B763="","",TEXT($B763,"yyyy-mm"))</f>
        <v/>
      </c>
      <c r="G763" s="29" t="str">
        <f>IF(OR($E763="",$F763=""),"",IFERROR(IF($E763=INDEX([1]Cluster_Master!$A$4:$A$18,MATCH($F763,[1]Cluster_Master!$B$4:$B$18,0)),"OK","CHECK"),"CHECK"))</f>
        <v/>
      </c>
      <c r="H763" s="29" t="str">
        <f>IFERROR(INDEX([1]Cluster_Master!$C$4:$C$18,MATCH($F763,[1]Cluster_Master!$B$4:$B$18,0)),"")</f>
        <v/>
      </c>
      <c r="I763" s="29" t="str">
        <f>IFERROR(INDEX([1]Cluster_Master!$D$4:$D$18,MATCH($F763,[1]Cluster_Master!$B$4:$B$18,0)),"")</f>
        <v/>
      </c>
      <c r="J763" s="29" t="str">
        <f>IFERROR(INDEX([1]Cluster_Master!$E$4:$E$18,MATCH($F763,[1]Cluster_Master!$B$4:$B$18,0)),"")</f>
        <v/>
      </c>
      <c r="K763" s="29" t="str">
        <f>IFERROR(INDEX([1]Cluster_Master!$F$4:$F$18,MATCH($F763,[1]Cluster_Master!$B$4:$B$18,0)),"")</f>
        <v/>
      </c>
      <c r="L763" s="29" t="str">
        <f>IFERROR(INDEX([1]Cluster_Master!$G$4:$G$18,MATCH($F763,[1]Cluster_Master!$B$4:$B$18,0)),"")</f>
        <v/>
      </c>
      <c r="M763" s="29" t="str">
        <f>IFERROR(INDEX([1]Cluster_Master!$H$4:$H$18,MATCH($F763,[1]Cluster_Master!$B$4:$B$18,0)),"")</f>
        <v/>
      </c>
      <c r="AI763" s="29" t="str">
        <f>IF(COUNTA(T763:AH763)=0,"",SUM(T763:AH763))</f>
        <v/>
      </c>
      <c r="AJ763" s="29" t="str">
        <f>IF(COUNTA(T763:AH763)=0,"",AI763/75)</f>
        <v/>
      </c>
      <c r="AK763" s="29" t="str">
        <f>IF(COUNTA(T763:AH763)=0,"",(SUM(T763*[1]KPI_Weights!$B$4,U763*[1]KPI_Weights!$B$5,V763*[1]KPI_Weights!$B$6,W763*[1]KPI_Weights!$B$7,X763*[1]KPI_Weights!$B$8,Y763*[1]KPI_Weights!$B$9,Z763*[1]KPI_Weights!$B$10,AA763*[1]KPI_Weights!$B$11,AB763*[1]KPI_Weights!$B$12,AC763*[1]KPI_Weights!$B$13,AD763*[1]KPI_Weights!$B$14,AE763*[1]KPI_Weights!$B$15,AF763*[1]KPI_Weights!$B$16,AG763*[1]KPI_Weights!$B$17,AH763*[1]KPI_Weights!$B$18))/5)</f>
        <v/>
      </c>
      <c r="AL763" s="29" t="str">
        <f>IF(COUNTA(T763:AH763)=0,"",IF(OR(T763&lt;=1,W763&lt;=1,X763&lt;=1,Y763&lt;=1,AB763&lt;=1),"YES","NO"))</f>
        <v/>
      </c>
      <c r="AM763" s="29" t="str">
        <f>IF(AJ763="","",IF(AND(AL763="NO",AJ763&gt;=0.75),"YES","NO"))</f>
        <v/>
      </c>
      <c r="AN763" s="29" t="str">
        <f>IF(AJ763="","",IF(AJ763&lt;0.4,"Critical",IF(AJ763&lt;0.6,"Poor",IF(AJ763&lt;0.75,"Needs Improvement",IF(AJ763&lt;0.9,"Good","Excellent")))))</f>
        <v/>
      </c>
    </row>
    <row r="764" spans="1:40" ht="15" customHeight="1" x14ac:dyDescent="0.25">
      <c r="A764" s="29" t="str">
        <f>IF($B764="","",TEXT($B764,"yyyymmdd")&amp;"-"&amp;SUBSTITUTE($F764," ","")&amp;"-"&amp;TEXT(COUNTIF($F$4:F764,$F764),"00"))</f>
        <v/>
      </c>
      <c r="C764" s="29" t="str">
        <f>IF($B764="","",WEEKNUM($B764,2))</f>
        <v/>
      </c>
      <c r="D764" s="29" t="str">
        <f>IF($B764="","",TEXT($B764,"yyyy-mm"))</f>
        <v/>
      </c>
      <c r="G764" s="29" t="str">
        <f>IF(OR($E764="",$F764=""),"",IFERROR(IF($E764=INDEX([1]Cluster_Master!$A$4:$A$18,MATCH($F764,[1]Cluster_Master!$B$4:$B$18,0)),"OK","CHECK"),"CHECK"))</f>
        <v/>
      </c>
      <c r="H764" s="29" t="str">
        <f>IFERROR(INDEX([1]Cluster_Master!$C$4:$C$18,MATCH($F764,[1]Cluster_Master!$B$4:$B$18,0)),"")</f>
        <v/>
      </c>
      <c r="I764" s="29" t="str">
        <f>IFERROR(INDEX([1]Cluster_Master!$D$4:$D$18,MATCH($F764,[1]Cluster_Master!$B$4:$B$18,0)),"")</f>
        <v/>
      </c>
      <c r="J764" s="29" t="str">
        <f>IFERROR(INDEX([1]Cluster_Master!$E$4:$E$18,MATCH($F764,[1]Cluster_Master!$B$4:$B$18,0)),"")</f>
        <v/>
      </c>
      <c r="K764" s="29" t="str">
        <f>IFERROR(INDEX([1]Cluster_Master!$F$4:$F$18,MATCH($F764,[1]Cluster_Master!$B$4:$B$18,0)),"")</f>
        <v/>
      </c>
      <c r="L764" s="29" t="str">
        <f>IFERROR(INDEX([1]Cluster_Master!$G$4:$G$18,MATCH($F764,[1]Cluster_Master!$B$4:$B$18,0)),"")</f>
        <v/>
      </c>
      <c r="M764" s="29" t="str">
        <f>IFERROR(INDEX([1]Cluster_Master!$H$4:$H$18,MATCH($F764,[1]Cluster_Master!$B$4:$B$18,0)),"")</f>
        <v/>
      </c>
      <c r="AI764" s="29" t="str">
        <f>IF(COUNTA(T764:AH764)=0,"",SUM(T764:AH764))</f>
        <v/>
      </c>
      <c r="AJ764" s="29" t="str">
        <f>IF(COUNTA(T764:AH764)=0,"",AI764/75)</f>
        <v/>
      </c>
      <c r="AK764" s="29" t="str">
        <f>IF(COUNTA(T764:AH764)=0,"",(SUM(T764*[1]KPI_Weights!$B$4,U764*[1]KPI_Weights!$B$5,V764*[1]KPI_Weights!$B$6,W764*[1]KPI_Weights!$B$7,X764*[1]KPI_Weights!$B$8,Y764*[1]KPI_Weights!$B$9,Z764*[1]KPI_Weights!$B$10,AA764*[1]KPI_Weights!$B$11,AB764*[1]KPI_Weights!$B$12,AC764*[1]KPI_Weights!$B$13,AD764*[1]KPI_Weights!$B$14,AE764*[1]KPI_Weights!$B$15,AF764*[1]KPI_Weights!$B$16,AG764*[1]KPI_Weights!$B$17,AH764*[1]KPI_Weights!$B$18))/5)</f>
        <v/>
      </c>
      <c r="AL764" s="29" t="str">
        <f>IF(COUNTA(T764:AH764)=0,"",IF(OR(T764&lt;=1,W764&lt;=1,X764&lt;=1,Y764&lt;=1,AB764&lt;=1),"YES","NO"))</f>
        <v/>
      </c>
      <c r="AM764" s="29" t="str">
        <f>IF(AJ764="","",IF(AND(AL764="NO",AJ764&gt;=0.75),"YES","NO"))</f>
        <v/>
      </c>
      <c r="AN764" s="29" t="str">
        <f>IF(AJ764="","",IF(AJ764&lt;0.4,"Critical",IF(AJ764&lt;0.6,"Poor",IF(AJ764&lt;0.75,"Needs Improvement",IF(AJ764&lt;0.9,"Good","Excellent")))))</f>
        <v/>
      </c>
    </row>
    <row r="765" spans="1:40" ht="15" customHeight="1" x14ac:dyDescent="0.25">
      <c r="A765" s="29" t="str">
        <f>IF($B765="","",TEXT($B765,"yyyymmdd")&amp;"-"&amp;SUBSTITUTE($F765," ","")&amp;"-"&amp;TEXT(COUNTIF($F$4:F765,$F765),"00"))</f>
        <v/>
      </c>
      <c r="C765" s="29" t="str">
        <f>IF($B765="","",WEEKNUM($B765,2))</f>
        <v/>
      </c>
      <c r="D765" s="29" t="str">
        <f>IF($B765="","",TEXT($B765,"yyyy-mm"))</f>
        <v/>
      </c>
      <c r="G765" s="29" t="str">
        <f>IF(OR($E765="",$F765=""),"",IFERROR(IF($E765=INDEX([1]Cluster_Master!$A$4:$A$18,MATCH($F765,[1]Cluster_Master!$B$4:$B$18,0)),"OK","CHECK"),"CHECK"))</f>
        <v/>
      </c>
      <c r="H765" s="29" t="str">
        <f>IFERROR(INDEX([1]Cluster_Master!$C$4:$C$18,MATCH($F765,[1]Cluster_Master!$B$4:$B$18,0)),"")</f>
        <v/>
      </c>
      <c r="I765" s="29" t="str">
        <f>IFERROR(INDEX([1]Cluster_Master!$D$4:$D$18,MATCH($F765,[1]Cluster_Master!$B$4:$B$18,0)),"")</f>
        <v/>
      </c>
      <c r="J765" s="29" t="str">
        <f>IFERROR(INDEX([1]Cluster_Master!$E$4:$E$18,MATCH($F765,[1]Cluster_Master!$B$4:$B$18,0)),"")</f>
        <v/>
      </c>
      <c r="K765" s="29" t="str">
        <f>IFERROR(INDEX([1]Cluster_Master!$F$4:$F$18,MATCH($F765,[1]Cluster_Master!$B$4:$B$18,0)),"")</f>
        <v/>
      </c>
      <c r="L765" s="29" t="str">
        <f>IFERROR(INDEX([1]Cluster_Master!$G$4:$G$18,MATCH($F765,[1]Cluster_Master!$B$4:$B$18,0)),"")</f>
        <v/>
      </c>
      <c r="M765" s="29" t="str">
        <f>IFERROR(INDEX([1]Cluster_Master!$H$4:$H$18,MATCH($F765,[1]Cluster_Master!$B$4:$B$18,0)),"")</f>
        <v/>
      </c>
      <c r="AI765" s="29" t="str">
        <f>IF(COUNTA(T765:AH765)=0,"",SUM(T765:AH765))</f>
        <v/>
      </c>
      <c r="AJ765" s="29" t="str">
        <f>IF(COUNTA(T765:AH765)=0,"",AI765/75)</f>
        <v/>
      </c>
      <c r="AK765" s="29" t="str">
        <f>IF(COUNTA(T765:AH765)=0,"",(SUM(T765*[1]KPI_Weights!$B$4,U765*[1]KPI_Weights!$B$5,V765*[1]KPI_Weights!$B$6,W765*[1]KPI_Weights!$B$7,X765*[1]KPI_Weights!$B$8,Y765*[1]KPI_Weights!$B$9,Z765*[1]KPI_Weights!$B$10,AA765*[1]KPI_Weights!$B$11,AB765*[1]KPI_Weights!$B$12,AC765*[1]KPI_Weights!$B$13,AD765*[1]KPI_Weights!$B$14,AE765*[1]KPI_Weights!$B$15,AF765*[1]KPI_Weights!$B$16,AG765*[1]KPI_Weights!$B$17,AH765*[1]KPI_Weights!$B$18))/5)</f>
        <v/>
      </c>
      <c r="AL765" s="29" t="str">
        <f>IF(COUNTA(T765:AH765)=0,"",IF(OR(T765&lt;=1,W765&lt;=1,X765&lt;=1,Y765&lt;=1,AB765&lt;=1),"YES","NO"))</f>
        <v/>
      </c>
      <c r="AM765" s="29" t="str">
        <f>IF(AJ765="","",IF(AND(AL765="NO",AJ765&gt;=0.75),"YES","NO"))</f>
        <v/>
      </c>
      <c r="AN765" s="29" t="str">
        <f>IF(AJ765="","",IF(AJ765&lt;0.4,"Critical",IF(AJ765&lt;0.6,"Poor",IF(AJ765&lt;0.75,"Needs Improvement",IF(AJ765&lt;0.9,"Good","Excellent")))))</f>
        <v/>
      </c>
    </row>
    <row r="766" spans="1:40" ht="15" customHeight="1" x14ac:dyDescent="0.25">
      <c r="A766" s="29" t="str">
        <f>IF($B766="","",TEXT($B766,"yyyymmdd")&amp;"-"&amp;SUBSTITUTE($F766," ","")&amp;"-"&amp;TEXT(COUNTIF($F$4:F766,$F766),"00"))</f>
        <v/>
      </c>
      <c r="C766" s="29" t="str">
        <f>IF($B766="","",WEEKNUM($B766,2))</f>
        <v/>
      </c>
      <c r="D766" s="29" t="str">
        <f>IF($B766="","",TEXT($B766,"yyyy-mm"))</f>
        <v/>
      </c>
      <c r="G766" s="29" t="str">
        <f>IF(OR($E766="",$F766=""),"",IFERROR(IF($E766=INDEX([1]Cluster_Master!$A$4:$A$18,MATCH($F766,[1]Cluster_Master!$B$4:$B$18,0)),"OK","CHECK"),"CHECK"))</f>
        <v/>
      </c>
      <c r="H766" s="29" t="str">
        <f>IFERROR(INDEX([1]Cluster_Master!$C$4:$C$18,MATCH($F766,[1]Cluster_Master!$B$4:$B$18,0)),"")</f>
        <v/>
      </c>
      <c r="I766" s="29" t="str">
        <f>IFERROR(INDEX([1]Cluster_Master!$D$4:$D$18,MATCH($F766,[1]Cluster_Master!$B$4:$B$18,0)),"")</f>
        <v/>
      </c>
      <c r="J766" s="29" t="str">
        <f>IFERROR(INDEX([1]Cluster_Master!$E$4:$E$18,MATCH($F766,[1]Cluster_Master!$B$4:$B$18,0)),"")</f>
        <v/>
      </c>
      <c r="K766" s="29" t="str">
        <f>IFERROR(INDEX([1]Cluster_Master!$F$4:$F$18,MATCH($F766,[1]Cluster_Master!$B$4:$B$18,0)),"")</f>
        <v/>
      </c>
      <c r="L766" s="29" t="str">
        <f>IFERROR(INDEX([1]Cluster_Master!$G$4:$G$18,MATCH($F766,[1]Cluster_Master!$B$4:$B$18,0)),"")</f>
        <v/>
      </c>
      <c r="M766" s="29" t="str">
        <f>IFERROR(INDEX([1]Cluster_Master!$H$4:$H$18,MATCH($F766,[1]Cluster_Master!$B$4:$B$18,0)),"")</f>
        <v/>
      </c>
      <c r="AI766" s="29" t="str">
        <f>IF(COUNTA(T766:AH766)=0,"",SUM(T766:AH766))</f>
        <v/>
      </c>
      <c r="AJ766" s="29" t="str">
        <f>IF(COUNTA(T766:AH766)=0,"",AI766/75)</f>
        <v/>
      </c>
      <c r="AK766" s="29" t="str">
        <f>IF(COUNTA(T766:AH766)=0,"",(SUM(T766*[1]KPI_Weights!$B$4,U766*[1]KPI_Weights!$B$5,V766*[1]KPI_Weights!$B$6,W766*[1]KPI_Weights!$B$7,X766*[1]KPI_Weights!$B$8,Y766*[1]KPI_Weights!$B$9,Z766*[1]KPI_Weights!$B$10,AA766*[1]KPI_Weights!$B$11,AB766*[1]KPI_Weights!$B$12,AC766*[1]KPI_Weights!$B$13,AD766*[1]KPI_Weights!$B$14,AE766*[1]KPI_Weights!$B$15,AF766*[1]KPI_Weights!$B$16,AG766*[1]KPI_Weights!$B$17,AH766*[1]KPI_Weights!$B$18))/5)</f>
        <v/>
      </c>
      <c r="AL766" s="29" t="str">
        <f>IF(COUNTA(T766:AH766)=0,"",IF(OR(T766&lt;=1,W766&lt;=1,X766&lt;=1,Y766&lt;=1,AB766&lt;=1),"YES","NO"))</f>
        <v/>
      </c>
      <c r="AM766" s="29" t="str">
        <f>IF(AJ766="","",IF(AND(AL766="NO",AJ766&gt;=0.75),"YES","NO"))</f>
        <v/>
      </c>
      <c r="AN766" s="29" t="str">
        <f>IF(AJ766="","",IF(AJ766&lt;0.4,"Critical",IF(AJ766&lt;0.6,"Poor",IF(AJ766&lt;0.75,"Needs Improvement",IF(AJ766&lt;0.9,"Good","Excellent")))))</f>
        <v/>
      </c>
    </row>
    <row r="767" spans="1:40" ht="15" customHeight="1" x14ac:dyDescent="0.25">
      <c r="A767" s="29" t="str">
        <f>IF($B767="","",TEXT($B767,"yyyymmdd")&amp;"-"&amp;SUBSTITUTE($F767," ","")&amp;"-"&amp;TEXT(COUNTIF($F$4:F767,$F767),"00"))</f>
        <v/>
      </c>
      <c r="C767" s="29" t="str">
        <f>IF($B767="","",WEEKNUM($B767,2))</f>
        <v/>
      </c>
      <c r="D767" s="29" t="str">
        <f>IF($B767="","",TEXT($B767,"yyyy-mm"))</f>
        <v/>
      </c>
      <c r="G767" s="29" t="str">
        <f>IF(OR($E767="",$F767=""),"",IFERROR(IF($E767=INDEX([1]Cluster_Master!$A$4:$A$18,MATCH($F767,[1]Cluster_Master!$B$4:$B$18,0)),"OK","CHECK"),"CHECK"))</f>
        <v/>
      </c>
      <c r="H767" s="29" t="str">
        <f>IFERROR(INDEX([1]Cluster_Master!$C$4:$C$18,MATCH($F767,[1]Cluster_Master!$B$4:$B$18,0)),"")</f>
        <v/>
      </c>
      <c r="I767" s="29" t="str">
        <f>IFERROR(INDEX([1]Cluster_Master!$D$4:$D$18,MATCH($F767,[1]Cluster_Master!$B$4:$B$18,0)),"")</f>
        <v/>
      </c>
      <c r="J767" s="29" t="str">
        <f>IFERROR(INDEX([1]Cluster_Master!$E$4:$E$18,MATCH($F767,[1]Cluster_Master!$B$4:$B$18,0)),"")</f>
        <v/>
      </c>
      <c r="K767" s="29" t="str">
        <f>IFERROR(INDEX([1]Cluster_Master!$F$4:$F$18,MATCH($F767,[1]Cluster_Master!$B$4:$B$18,0)),"")</f>
        <v/>
      </c>
      <c r="L767" s="29" t="str">
        <f>IFERROR(INDEX([1]Cluster_Master!$G$4:$G$18,MATCH($F767,[1]Cluster_Master!$B$4:$B$18,0)),"")</f>
        <v/>
      </c>
      <c r="M767" s="29" t="str">
        <f>IFERROR(INDEX([1]Cluster_Master!$H$4:$H$18,MATCH($F767,[1]Cluster_Master!$B$4:$B$18,0)),"")</f>
        <v/>
      </c>
      <c r="AI767" s="29" t="str">
        <f>IF(COUNTA(T767:AH767)=0,"",SUM(T767:AH767))</f>
        <v/>
      </c>
      <c r="AJ767" s="29" t="str">
        <f>IF(COUNTA(T767:AH767)=0,"",AI767/75)</f>
        <v/>
      </c>
      <c r="AK767" s="29" t="str">
        <f>IF(COUNTA(T767:AH767)=0,"",(SUM(T767*[1]KPI_Weights!$B$4,U767*[1]KPI_Weights!$B$5,V767*[1]KPI_Weights!$B$6,W767*[1]KPI_Weights!$B$7,X767*[1]KPI_Weights!$B$8,Y767*[1]KPI_Weights!$B$9,Z767*[1]KPI_Weights!$B$10,AA767*[1]KPI_Weights!$B$11,AB767*[1]KPI_Weights!$B$12,AC767*[1]KPI_Weights!$B$13,AD767*[1]KPI_Weights!$B$14,AE767*[1]KPI_Weights!$B$15,AF767*[1]KPI_Weights!$B$16,AG767*[1]KPI_Weights!$B$17,AH767*[1]KPI_Weights!$B$18))/5)</f>
        <v/>
      </c>
      <c r="AL767" s="29" t="str">
        <f>IF(COUNTA(T767:AH767)=0,"",IF(OR(T767&lt;=1,W767&lt;=1,X767&lt;=1,Y767&lt;=1,AB767&lt;=1),"YES","NO"))</f>
        <v/>
      </c>
      <c r="AM767" s="29" t="str">
        <f>IF(AJ767="","",IF(AND(AL767="NO",AJ767&gt;=0.75),"YES","NO"))</f>
        <v/>
      </c>
      <c r="AN767" s="29" t="str">
        <f>IF(AJ767="","",IF(AJ767&lt;0.4,"Critical",IF(AJ767&lt;0.6,"Poor",IF(AJ767&lt;0.75,"Needs Improvement",IF(AJ767&lt;0.9,"Good","Excellent")))))</f>
        <v/>
      </c>
    </row>
    <row r="768" spans="1:40" ht="15" customHeight="1" x14ac:dyDescent="0.25">
      <c r="A768" s="29" t="str">
        <f>IF($B768="","",TEXT($B768,"yyyymmdd")&amp;"-"&amp;SUBSTITUTE($F768," ","")&amp;"-"&amp;TEXT(COUNTIF($F$4:F768,$F768),"00"))</f>
        <v/>
      </c>
      <c r="C768" s="29" t="str">
        <f>IF($B768="","",WEEKNUM($B768,2))</f>
        <v/>
      </c>
      <c r="D768" s="29" t="str">
        <f>IF($B768="","",TEXT($B768,"yyyy-mm"))</f>
        <v/>
      </c>
      <c r="G768" s="29" t="str">
        <f>IF(OR($E768="",$F768=""),"",IFERROR(IF($E768=INDEX([1]Cluster_Master!$A$4:$A$18,MATCH($F768,[1]Cluster_Master!$B$4:$B$18,0)),"OK","CHECK"),"CHECK"))</f>
        <v/>
      </c>
      <c r="H768" s="29" t="str">
        <f>IFERROR(INDEX([1]Cluster_Master!$C$4:$C$18,MATCH($F768,[1]Cluster_Master!$B$4:$B$18,0)),"")</f>
        <v/>
      </c>
      <c r="I768" s="29" t="str">
        <f>IFERROR(INDEX([1]Cluster_Master!$D$4:$D$18,MATCH($F768,[1]Cluster_Master!$B$4:$B$18,0)),"")</f>
        <v/>
      </c>
      <c r="J768" s="29" t="str">
        <f>IFERROR(INDEX([1]Cluster_Master!$E$4:$E$18,MATCH($F768,[1]Cluster_Master!$B$4:$B$18,0)),"")</f>
        <v/>
      </c>
      <c r="K768" s="29" t="str">
        <f>IFERROR(INDEX([1]Cluster_Master!$F$4:$F$18,MATCH($F768,[1]Cluster_Master!$B$4:$B$18,0)),"")</f>
        <v/>
      </c>
      <c r="L768" s="29" t="str">
        <f>IFERROR(INDEX([1]Cluster_Master!$G$4:$G$18,MATCH($F768,[1]Cluster_Master!$B$4:$B$18,0)),"")</f>
        <v/>
      </c>
      <c r="M768" s="29" t="str">
        <f>IFERROR(INDEX([1]Cluster_Master!$H$4:$H$18,MATCH($F768,[1]Cluster_Master!$B$4:$B$18,0)),"")</f>
        <v/>
      </c>
      <c r="AI768" s="29" t="str">
        <f>IF(COUNTA(T768:AH768)=0,"",SUM(T768:AH768))</f>
        <v/>
      </c>
      <c r="AJ768" s="29" t="str">
        <f>IF(COUNTA(T768:AH768)=0,"",AI768/75)</f>
        <v/>
      </c>
      <c r="AK768" s="29" t="str">
        <f>IF(COUNTA(T768:AH768)=0,"",(SUM(T768*[1]KPI_Weights!$B$4,U768*[1]KPI_Weights!$B$5,V768*[1]KPI_Weights!$B$6,W768*[1]KPI_Weights!$B$7,X768*[1]KPI_Weights!$B$8,Y768*[1]KPI_Weights!$B$9,Z768*[1]KPI_Weights!$B$10,AA768*[1]KPI_Weights!$B$11,AB768*[1]KPI_Weights!$B$12,AC768*[1]KPI_Weights!$B$13,AD768*[1]KPI_Weights!$B$14,AE768*[1]KPI_Weights!$B$15,AF768*[1]KPI_Weights!$B$16,AG768*[1]KPI_Weights!$B$17,AH768*[1]KPI_Weights!$B$18))/5)</f>
        <v/>
      </c>
      <c r="AL768" s="29" t="str">
        <f>IF(COUNTA(T768:AH768)=0,"",IF(OR(T768&lt;=1,W768&lt;=1,X768&lt;=1,Y768&lt;=1,AB768&lt;=1),"YES","NO"))</f>
        <v/>
      </c>
      <c r="AM768" s="29" t="str">
        <f>IF(AJ768="","",IF(AND(AL768="NO",AJ768&gt;=0.75),"YES","NO"))</f>
        <v/>
      </c>
      <c r="AN768" s="29" t="str">
        <f>IF(AJ768="","",IF(AJ768&lt;0.4,"Critical",IF(AJ768&lt;0.6,"Poor",IF(AJ768&lt;0.75,"Needs Improvement",IF(AJ768&lt;0.9,"Good","Excellent")))))</f>
        <v/>
      </c>
    </row>
    <row r="769" spans="1:40" ht="15" customHeight="1" x14ac:dyDescent="0.25">
      <c r="A769" s="29" t="str">
        <f>IF($B769="","",TEXT($B769,"yyyymmdd")&amp;"-"&amp;SUBSTITUTE($F769," ","")&amp;"-"&amp;TEXT(COUNTIF($F$4:F769,$F769),"00"))</f>
        <v/>
      </c>
      <c r="C769" s="29" t="str">
        <f>IF($B769="","",WEEKNUM($B769,2))</f>
        <v/>
      </c>
      <c r="D769" s="29" t="str">
        <f>IF($B769="","",TEXT($B769,"yyyy-mm"))</f>
        <v/>
      </c>
      <c r="G769" s="29" t="str">
        <f>IF(OR($E769="",$F769=""),"",IFERROR(IF($E769=INDEX([1]Cluster_Master!$A$4:$A$18,MATCH($F769,[1]Cluster_Master!$B$4:$B$18,0)),"OK","CHECK"),"CHECK"))</f>
        <v/>
      </c>
      <c r="H769" s="29" t="str">
        <f>IFERROR(INDEX([1]Cluster_Master!$C$4:$C$18,MATCH($F769,[1]Cluster_Master!$B$4:$B$18,0)),"")</f>
        <v/>
      </c>
      <c r="I769" s="29" t="str">
        <f>IFERROR(INDEX([1]Cluster_Master!$D$4:$D$18,MATCH($F769,[1]Cluster_Master!$B$4:$B$18,0)),"")</f>
        <v/>
      </c>
      <c r="J769" s="29" t="str">
        <f>IFERROR(INDEX([1]Cluster_Master!$E$4:$E$18,MATCH($F769,[1]Cluster_Master!$B$4:$B$18,0)),"")</f>
        <v/>
      </c>
      <c r="K769" s="29" t="str">
        <f>IFERROR(INDEX([1]Cluster_Master!$F$4:$F$18,MATCH($F769,[1]Cluster_Master!$B$4:$B$18,0)),"")</f>
        <v/>
      </c>
      <c r="L769" s="29" t="str">
        <f>IFERROR(INDEX([1]Cluster_Master!$G$4:$G$18,MATCH($F769,[1]Cluster_Master!$B$4:$B$18,0)),"")</f>
        <v/>
      </c>
      <c r="M769" s="29" t="str">
        <f>IFERROR(INDEX([1]Cluster_Master!$H$4:$H$18,MATCH($F769,[1]Cluster_Master!$B$4:$B$18,0)),"")</f>
        <v/>
      </c>
      <c r="AI769" s="29" t="str">
        <f>IF(COUNTA(T769:AH769)=0,"",SUM(T769:AH769))</f>
        <v/>
      </c>
      <c r="AJ769" s="29" t="str">
        <f>IF(COUNTA(T769:AH769)=0,"",AI769/75)</f>
        <v/>
      </c>
      <c r="AK769" s="29" t="str">
        <f>IF(COUNTA(T769:AH769)=0,"",(SUM(T769*[1]KPI_Weights!$B$4,U769*[1]KPI_Weights!$B$5,V769*[1]KPI_Weights!$B$6,W769*[1]KPI_Weights!$B$7,X769*[1]KPI_Weights!$B$8,Y769*[1]KPI_Weights!$B$9,Z769*[1]KPI_Weights!$B$10,AA769*[1]KPI_Weights!$B$11,AB769*[1]KPI_Weights!$B$12,AC769*[1]KPI_Weights!$B$13,AD769*[1]KPI_Weights!$B$14,AE769*[1]KPI_Weights!$B$15,AF769*[1]KPI_Weights!$B$16,AG769*[1]KPI_Weights!$B$17,AH769*[1]KPI_Weights!$B$18))/5)</f>
        <v/>
      </c>
      <c r="AL769" s="29" t="str">
        <f>IF(COUNTA(T769:AH769)=0,"",IF(OR(T769&lt;=1,W769&lt;=1,X769&lt;=1,Y769&lt;=1,AB769&lt;=1),"YES","NO"))</f>
        <v/>
      </c>
      <c r="AM769" s="29" t="str">
        <f>IF(AJ769="","",IF(AND(AL769="NO",AJ769&gt;=0.75),"YES","NO"))</f>
        <v/>
      </c>
      <c r="AN769" s="29" t="str">
        <f>IF(AJ769="","",IF(AJ769&lt;0.4,"Critical",IF(AJ769&lt;0.6,"Poor",IF(AJ769&lt;0.75,"Needs Improvement",IF(AJ769&lt;0.9,"Good","Excellent")))))</f>
        <v/>
      </c>
    </row>
    <row r="770" spans="1:40" ht="15" customHeight="1" x14ac:dyDescent="0.25">
      <c r="A770" s="29" t="str">
        <f>IF($B770="","",TEXT($B770,"yyyymmdd")&amp;"-"&amp;SUBSTITUTE($F770," ","")&amp;"-"&amp;TEXT(COUNTIF($F$4:F770,$F770),"00"))</f>
        <v/>
      </c>
      <c r="C770" s="29" t="str">
        <f>IF($B770="","",WEEKNUM($B770,2))</f>
        <v/>
      </c>
      <c r="D770" s="29" t="str">
        <f>IF($B770="","",TEXT($B770,"yyyy-mm"))</f>
        <v/>
      </c>
      <c r="G770" s="29" t="str">
        <f>IF(OR($E770="",$F770=""),"",IFERROR(IF($E770=INDEX([1]Cluster_Master!$A$4:$A$18,MATCH($F770,[1]Cluster_Master!$B$4:$B$18,0)),"OK","CHECK"),"CHECK"))</f>
        <v/>
      </c>
      <c r="H770" s="29" t="str">
        <f>IFERROR(INDEX([1]Cluster_Master!$C$4:$C$18,MATCH($F770,[1]Cluster_Master!$B$4:$B$18,0)),"")</f>
        <v/>
      </c>
      <c r="I770" s="29" t="str">
        <f>IFERROR(INDEX([1]Cluster_Master!$D$4:$D$18,MATCH($F770,[1]Cluster_Master!$B$4:$B$18,0)),"")</f>
        <v/>
      </c>
      <c r="J770" s="29" t="str">
        <f>IFERROR(INDEX([1]Cluster_Master!$E$4:$E$18,MATCH($F770,[1]Cluster_Master!$B$4:$B$18,0)),"")</f>
        <v/>
      </c>
      <c r="K770" s="29" t="str">
        <f>IFERROR(INDEX([1]Cluster_Master!$F$4:$F$18,MATCH($F770,[1]Cluster_Master!$B$4:$B$18,0)),"")</f>
        <v/>
      </c>
      <c r="L770" s="29" t="str">
        <f>IFERROR(INDEX([1]Cluster_Master!$G$4:$G$18,MATCH($F770,[1]Cluster_Master!$B$4:$B$18,0)),"")</f>
        <v/>
      </c>
      <c r="M770" s="29" t="str">
        <f>IFERROR(INDEX([1]Cluster_Master!$H$4:$H$18,MATCH($F770,[1]Cluster_Master!$B$4:$B$18,0)),"")</f>
        <v/>
      </c>
      <c r="AI770" s="29" t="str">
        <f>IF(COUNTA(T770:AH770)=0,"",SUM(T770:AH770))</f>
        <v/>
      </c>
      <c r="AJ770" s="29" t="str">
        <f>IF(COUNTA(T770:AH770)=0,"",AI770/75)</f>
        <v/>
      </c>
      <c r="AK770" s="29" t="str">
        <f>IF(COUNTA(T770:AH770)=0,"",(SUM(T770*[1]KPI_Weights!$B$4,U770*[1]KPI_Weights!$B$5,V770*[1]KPI_Weights!$B$6,W770*[1]KPI_Weights!$B$7,X770*[1]KPI_Weights!$B$8,Y770*[1]KPI_Weights!$B$9,Z770*[1]KPI_Weights!$B$10,AA770*[1]KPI_Weights!$B$11,AB770*[1]KPI_Weights!$B$12,AC770*[1]KPI_Weights!$B$13,AD770*[1]KPI_Weights!$B$14,AE770*[1]KPI_Weights!$B$15,AF770*[1]KPI_Weights!$B$16,AG770*[1]KPI_Weights!$B$17,AH770*[1]KPI_Weights!$B$18))/5)</f>
        <v/>
      </c>
      <c r="AL770" s="29" t="str">
        <f>IF(COUNTA(T770:AH770)=0,"",IF(OR(T770&lt;=1,W770&lt;=1,X770&lt;=1,Y770&lt;=1,AB770&lt;=1),"YES","NO"))</f>
        <v/>
      </c>
      <c r="AM770" s="29" t="str">
        <f>IF(AJ770="","",IF(AND(AL770="NO",AJ770&gt;=0.75),"YES","NO"))</f>
        <v/>
      </c>
      <c r="AN770" s="29" t="str">
        <f>IF(AJ770="","",IF(AJ770&lt;0.4,"Critical",IF(AJ770&lt;0.6,"Poor",IF(AJ770&lt;0.75,"Needs Improvement",IF(AJ770&lt;0.9,"Good","Excellent")))))</f>
        <v/>
      </c>
    </row>
    <row r="771" spans="1:40" ht="15" customHeight="1" x14ac:dyDescent="0.25">
      <c r="A771" s="29" t="str">
        <f>IF($B771="","",TEXT($B771,"yyyymmdd")&amp;"-"&amp;SUBSTITUTE($F771," ","")&amp;"-"&amp;TEXT(COUNTIF($F$4:F771,$F771),"00"))</f>
        <v/>
      </c>
      <c r="C771" s="29" t="str">
        <f>IF($B771="","",WEEKNUM($B771,2))</f>
        <v/>
      </c>
      <c r="D771" s="29" t="str">
        <f>IF($B771="","",TEXT($B771,"yyyy-mm"))</f>
        <v/>
      </c>
      <c r="G771" s="29" t="str">
        <f>IF(OR($E771="",$F771=""),"",IFERROR(IF($E771=INDEX([1]Cluster_Master!$A$4:$A$18,MATCH($F771,[1]Cluster_Master!$B$4:$B$18,0)),"OK","CHECK"),"CHECK"))</f>
        <v/>
      </c>
      <c r="H771" s="29" t="str">
        <f>IFERROR(INDEX([1]Cluster_Master!$C$4:$C$18,MATCH($F771,[1]Cluster_Master!$B$4:$B$18,0)),"")</f>
        <v/>
      </c>
      <c r="I771" s="29" t="str">
        <f>IFERROR(INDEX([1]Cluster_Master!$D$4:$D$18,MATCH($F771,[1]Cluster_Master!$B$4:$B$18,0)),"")</f>
        <v/>
      </c>
      <c r="J771" s="29" t="str">
        <f>IFERROR(INDEX([1]Cluster_Master!$E$4:$E$18,MATCH($F771,[1]Cluster_Master!$B$4:$B$18,0)),"")</f>
        <v/>
      </c>
      <c r="K771" s="29" t="str">
        <f>IFERROR(INDEX([1]Cluster_Master!$F$4:$F$18,MATCH($F771,[1]Cluster_Master!$B$4:$B$18,0)),"")</f>
        <v/>
      </c>
      <c r="L771" s="29" t="str">
        <f>IFERROR(INDEX([1]Cluster_Master!$G$4:$G$18,MATCH($F771,[1]Cluster_Master!$B$4:$B$18,0)),"")</f>
        <v/>
      </c>
      <c r="M771" s="29" t="str">
        <f>IFERROR(INDEX([1]Cluster_Master!$H$4:$H$18,MATCH($F771,[1]Cluster_Master!$B$4:$B$18,0)),"")</f>
        <v/>
      </c>
      <c r="AI771" s="29" t="str">
        <f>IF(COUNTA(T771:AH771)=0,"",SUM(T771:AH771))</f>
        <v/>
      </c>
      <c r="AJ771" s="29" t="str">
        <f>IF(COUNTA(T771:AH771)=0,"",AI771/75)</f>
        <v/>
      </c>
      <c r="AK771" s="29" t="str">
        <f>IF(COUNTA(T771:AH771)=0,"",(SUM(T771*[1]KPI_Weights!$B$4,U771*[1]KPI_Weights!$B$5,V771*[1]KPI_Weights!$B$6,W771*[1]KPI_Weights!$B$7,X771*[1]KPI_Weights!$B$8,Y771*[1]KPI_Weights!$B$9,Z771*[1]KPI_Weights!$B$10,AA771*[1]KPI_Weights!$B$11,AB771*[1]KPI_Weights!$B$12,AC771*[1]KPI_Weights!$B$13,AD771*[1]KPI_Weights!$B$14,AE771*[1]KPI_Weights!$B$15,AF771*[1]KPI_Weights!$B$16,AG771*[1]KPI_Weights!$B$17,AH771*[1]KPI_Weights!$B$18))/5)</f>
        <v/>
      </c>
      <c r="AL771" s="29" t="str">
        <f>IF(COUNTA(T771:AH771)=0,"",IF(OR(T771&lt;=1,W771&lt;=1,X771&lt;=1,Y771&lt;=1,AB771&lt;=1),"YES","NO"))</f>
        <v/>
      </c>
      <c r="AM771" s="29" t="str">
        <f>IF(AJ771="","",IF(AND(AL771="NO",AJ771&gt;=0.75),"YES","NO"))</f>
        <v/>
      </c>
      <c r="AN771" s="29" t="str">
        <f>IF(AJ771="","",IF(AJ771&lt;0.4,"Critical",IF(AJ771&lt;0.6,"Poor",IF(AJ771&lt;0.75,"Needs Improvement",IF(AJ771&lt;0.9,"Good","Excellent")))))</f>
        <v/>
      </c>
    </row>
    <row r="772" spans="1:40" ht="15" customHeight="1" x14ac:dyDescent="0.25">
      <c r="A772" s="29" t="str">
        <f>IF($B772="","",TEXT($B772,"yyyymmdd")&amp;"-"&amp;SUBSTITUTE($F772," ","")&amp;"-"&amp;TEXT(COUNTIF($F$4:F772,$F772),"00"))</f>
        <v/>
      </c>
      <c r="C772" s="29" t="str">
        <f>IF($B772="","",WEEKNUM($B772,2))</f>
        <v/>
      </c>
      <c r="D772" s="29" t="str">
        <f>IF($B772="","",TEXT($B772,"yyyy-mm"))</f>
        <v/>
      </c>
      <c r="G772" s="29" t="str">
        <f>IF(OR($E772="",$F772=""),"",IFERROR(IF($E772=INDEX([1]Cluster_Master!$A$4:$A$18,MATCH($F772,[1]Cluster_Master!$B$4:$B$18,0)),"OK","CHECK"),"CHECK"))</f>
        <v/>
      </c>
      <c r="H772" s="29" t="str">
        <f>IFERROR(INDEX([1]Cluster_Master!$C$4:$C$18,MATCH($F772,[1]Cluster_Master!$B$4:$B$18,0)),"")</f>
        <v/>
      </c>
      <c r="I772" s="29" t="str">
        <f>IFERROR(INDEX([1]Cluster_Master!$D$4:$D$18,MATCH($F772,[1]Cluster_Master!$B$4:$B$18,0)),"")</f>
        <v/>
      </c>
      <c r="J772" s="29" t="str">
        <f>IFERROR(INDEX([1]Cluster_Master!$E$4:$E$18,MATCH($F772,[1]Cluster_Master!$B$4:$B$18,0)),"")</f>
        <v/>
      </c>
      <c r="K772" s="29" t="str">
        <f>IFERROR(INDEX([1]Cluster_Master!$F$4:$F$18,MATCH($F772,[1]Cluster_Master!$B$4:$B$18,0)),"")</f>
        <v/>
      </c>
      <c r="L772" s="29" t="str">
        <f>IFERROR(INDEX([1]Cluster_Master!$G$4:$G$18,MATCH($F772,[1]Cluster_Master!$B$4:$B$18,0)),"")</f>
        <v/>
      </c>
      <c r="M772" s="29" t="str">
        <f>IFERROR(INDEX([1]Cluster_Master!$H$4:$H$18,MATCH($F772,[1]Cluster_Master!$B$4:$B$18,0)),"")</f>
        <v/>
      </c>
      <c r="AI772" s="29" t="str">
        <f>IF(COUNTA(T772:AH772)=0,"",SUM(T772:AH772))</f>
        <v/>
      </c>
      <c r="AJ772" s="29" t="str">
        <f>IF(COUNTA(T772:AH772)=0,"",AI772/75)</f>
        <v/>
      </c>
      <c r="AK772" s="29" t="str">
        <f>IF(COUNTA(T772:AH772)=0,"",(SUM(T772*[1]KPI_Weights!$B$4,U772*[1]KPI_Weights!$B$5,V772*[1]KPI_Weights!$B$6,W772*[1]KPI_Weights!$B$7,X772*[1]KPI_Weights!$B$8,Y772*[1]KPI_Weights!$B$9,Z772*[1]KPI_Weights!$B$10,AA772*[1]KPI_Weights!$B$11,AB772*[1]KPI_Weights!$B$12,AC772*[1]KPI_Weights!$B$13,AD772*[1]KPI_Weights!$B$14,AE772*[1]KPI_Weights!$B$15,AF772*[1]KPI_Weights!$B$16,AG772*[1]KPI_Weights!$B$17,AH772*[1]KPI_Weights!$B$18))/5)</f>
        <v/>
      </c>
      <c r="AL772" s="29" t="str">
        <f>IF(COUNTA(T772:AH772)=0,"",IF(OR(T772&lt;=1,W772&lt;=1,X772&lt;=1,Y772&lt;=1,AB772&lt;=1),"YES","NO"))</f>
        <v/>
      </c>
      <c r="AM772" s="29" t="str">
        <f>IF(AJ772="","",IF(AND(AL772="NO",AJ772&gt;=0.75),"YES","NO"))</f>
        <v/>
      </c>
      <c r="AN772" s="29" t="str">
        <f>IF(AJ772="","",IF(AJ772&lt;0.4,"Critical",IF(AJ772&lt;0.6,"Poor",IF(AJ772&lt;0.75,"Needs Improvement",IF(AJ772&lt;0.9,"Good","Excellent")))))</f>
        <v/>
      </c>
    </row>
    <row r="773" spans="1:40" ht="15" customHeight="1" x14ac:dyDescent="0.25">
      <c r="A773" s="29" t="str">
        <f>IF($B773="","",TEXT($B773,"yyyymmdd")&amp;"-"&amp;SUBSTITUTE($F773," ","")&amp;"-"&amp;TEXT(COUNTIF($F$4:F773,$F773),"00"))</f>
        <v/>
      </c>
      <c r="C773" s="29" t="str">
        <f>IF($B773="","",WEEKNUM($B773,2))</f>
        <v/>
      </c>
      <c r="D773" s="29" t="str">
        <f>IF($B773="","",TEXT($B773,"yyyy-mm"))</f>
        <v/>
      </c>
      <c r="G773" s="29" t="str">
        <f>IF(OR($E773="",$F773=""),"",IFERROR(IF($E773=INDEX([1]Cluster_Master!$A$4:$A$18,MATCH($F773,[1]Cluster_Master!$B$4:$B$18,0)),"OK","CHECK"),"CHECK"))</f>
        <v/>
      </c>
      <c r="H773" s="29" t="str">
        <f>IFERROR(INDEX([1]Cluster_Master!$C$4:$C$18,MATCH($F773,[1]Cluster_Master!$B$4:$B$18,0)),"")</f>
        <v/>
      </c>
      <c r="I773" s="29" t="str">
        <f>IFERROR(INDEX([1]Cluster_Master!$D$4:$D$18,MATCH($F773,[1]Cluster_Master!$B$4:$B$18,0)),"")</f>
        <v/>
      </c>
      <c r="J773" s="29" t="str">
        <f>IFERROR(INDEX([1]Cluster_Master!$E$4:$E$18,MATCH($F773,[1]Cluster_Master!$B$4:$B$18,0)),"")</f>
        <v/>
      </c>
      <c r="K773" s="29" t="str">
        <f>IFERROR(INDEX([1]Cluster_Master!$F$4:$F$18,MATCH($F773,[1]Cluster_Master!$B$4:$B$18,0)),"")</f>
        <v/>
      </c>
      <c r="L773" s="29" t="str">
        <f>IFERROR(INDEX([1]Cluster_Master!$G$4:$G$18,MATCH($F773,[1]Cluster_Master!$B$4:$B$18,0)),"")</f>
        <v/>
      </c>
      <c r="M773" s="29" t="str">
        <f>IFERROR(INDEX([1]Cluster_Master!$H$4:$H$18,MATCH($F773,[1]Cluster_Master!$B$4:$B$18,0)),"")</f>
        <v/>
      </c>
      <c r="AI773" s="29" t="str">
        <f>IF(COUNTA(T773:AH773)=0,"",SUM(T773:AH773))</f>
        <v/>
      </c>
      <c r="AJ773" s="29" t="str">
        <f>IF(COUNTA(T773:AH773)=0,"",AI773/75)</f>
        <v/>
      </c>
      <c r="AK773" s="29" t="str">
        <f>IF(COUNTA(T773:AH773)=0,"",(SUM(T773*[1]KPI_Weights!$B$4,U773*[1]KPI_Weights!$B$5,V773*[1]KPI_Weights!$B$6,W773*[1]KPI_Weights!$B$7,X773*[1]KPI_Weights!$B$8,Y773*[1]KPI_Weights!$B$9,Z773*[1]KPI_Weights!$B$10,AA773*[1]KPI_Weights!$B$11,AB773*[1]KPI_Weights!$B$12,AC773*[1]KPI_Weights!$B$13,AD773*[1]KPI_Weights!$B$14,AE773*[1]KPI_Weights!$B$15,AF773*[1]KPI_Weights!$B$16,AG773*[1]KPI_Weights!$B$17,AH773*[1]KPI_Weights!$B$18))/5)</f>
        <v/>
      </c>
      <c r="AL773" s="29" t="str">
        <f>IF(COUNTA(T773:AH773)=0,"",IF(OR(T773&lt;=1,W773&lt;=1,X773&lt;=1,Y773&lt;=1,AB773&lt;=1),"YES","NO"))</f>
        <v/>
      </c>
      <c r="AM773" s="29" t="str">
        <f>IF(AJ773="","",IF(AND(AL773="NO",AJ773&gt;=0.75),"YES","NO"))</f>
        <v/>
      </c>
      <c r="AN773" s="29" t="str">
        <f>IF(AJ773="","",IF(AJ773&lt;0.4,"Critical",IF(AJ773&lt;0.6,"Poor",IF(AJ773&lt;0.75,"Needs Improvement",IF(AJ773&lt;0.9,"Good","Excellent")))))</f>
        <v/>
      </c>
    </row>
    <row r="774" spans="1:40" ht="15" customHeight="1" x14ac:dyDescent="0.25">
      <c r="A774" s="29" t="str">
        <f>IF($B774="","",TEXT($B774,"yyyymmdd")&amp;"-"&amp;SUBSTITUTE($F774," ","")&amp;"-"&amp;TEXT(COUNTIF($F$4:F774,$F774),"00"))</f>
        <v/>
      </c>
      <c r="C774" s="29" t="str">
        <f>IF($B774="","",WEEKNUM($B774,2))</f>
        <v/>
      </c>
      <c r="D774" s="29" t="str">
        <f>IF($B774="","",TEXT($B774,"yyyy-mm"))</f>
        <v/>
      </c>
      <c r="G774" s="29" t="str">
        <f>IF(OR($E774="",$F774=""),"",IFERROR(IF($E774=INDEX([1]Cluster_Master!$A$4:$A$18,MATCH($F774,[1]Cluster_Master!$B$4:$B$18,0)),"OK","CHECK"),"CHECK"))</f>
        <v/>
      </c>
      <c r="H774" s="29" t="str">
        <f>IFERROR(INDEX([1]Cluster_Master!$C$4:$C$18,MATCH($F774,[1]Cluster_Master!$B$4:$B$18,0)),"")</f>
        <v/>
      </c>
      <c r="I774" s="29" t="str">
        <f>IFERROR(INDEX([1]Cluster_Master!$D$4:$D$18,MATCH($F774,[1]Cluster_Master!$B$4:$B$18,0)),"")</f>
        <v/>
      </c>
      <c r="J774" s="29" t="str">
        <f>IFERROR(INDEX([1]Cluster_Master!$E$4:$E$18,MATCH($F774,[1]Cluster_Master!$B$4:$B$18,0)),"")</f>
        <v/>
      </c>
      <c r="K774" s="29" t="str">
        <f>IFERROR(INDEX([1]Cluster_Master!$F$4:$F$18,MATCH($F774,[1]Cluster_Master!$B$4:$B$18,0)),"")</f>
        <v/>
      </c>
      <c r="L774" s="29" t="str">
        <f>IFERROR(INDEX([1]Cluster_Master!$G$4:$G$18,MATCH($F774,[1]Cluster_Master!$B$4:$B$18,0)),"")</f>
        <v/>
      </c>
      <c r="M774" s="29" t="str">
        <f>IFERROR(INDEX([1]Cluster_Master!$H$4:$H$18,MATCH($F774,[1]Cluster_Master!$B$4:$B$18,0)),"")</f>
        <v/>
      </c>
      <c r="AI774" s="29" t="str">
        <f>IF(COUNTA(T774:AH774)=0,"",SUM(T774:AH774))</f>
        <v/>
      </c>
      <c r="AJ774" s="29" t="str">
        <f>IF(COUNTA(T774:AH774)=0,"",AI774/75)</f>
        <v/>
      </c>
      <c r="AK774" s="29" t="str">
        <f>IF(COUNTA(T774:AH774)=0,"",(SUM(T774*[1]KPI_Weights!$B$4,U774*[1]KPI_Weights!$B$5,V774*[1]KPI_Weights!$B$6,W774*[1]KPI_Weights!$B$7,X774*[1]KPI_Weights!$B$8,Y774*[1]KPI_Weights!$B$9,Z774*[1]KPI_Weights!$B$10,AA774*[1]KPI_Weights!$B$11,AB774*[1]KPI_Weights!$B$12,AC774*[1]KPI_Weights!$B$13,AD774*[1]KPI_Weights!$B$14,AE774*[1]KPI_Weights!$B$15,AF774*[1]KPI_Weights!$B$16,AG774*[1]KPI_Weights!$B$17,AH774*[1]KPI_Weights!$B$18))/5)</f>
        <v/>
      </c>
      <c r="AL774" s="29" t="str">
        <f>IF(COUNTA(T774:AH774)=0,"",IF(OR(T774&lt;=1,W774&lt;=1,X774&lt;=1,Y774&lt;=1,AB774&lt;=1),"YES","NO"))</f>
        <v/>
      </c>
      <c r="AM774" s="29" t="str">
        <f>IF(AJ774="","",IF(AND(AL774="NO",AJ774&gt;=0.75),"YES","NO"))</f>
        <v/>
      </c>
      <c r="AN774" s="29" t="str">
        <f>IF(AJ774="","",IF(AJ774&lt;0.4,"Critical",IF(AJ774&lt;0.6,"Poor",IF(AJ774&lt;0.75,"Needs Improvement",IF(AJ774&lt;0.9,"Good","Excellent")))))</f>
        <v/>
      </c>
    </row>
    <row r="775" spans="1:40" ht="15" customHeight="1" x14ac:dyDescent="0.25">
      <c r="A775" s="29" t="str">
        <f>IF($B775="","",TEXT($B775,"yyyymmdd")&amp;"-"&amp;SUBSTITUTE($F775," ","")&amp;"-"&amp;TEXT(COUNTIF($F$4:F775,$F775),"00"))</f>
        <v/>
      </c>
      <c r="C775" s="29" t="str">
        <f>IF($B775="","",WEEKNUM($B775,2))</f>
        <v/>
      </c>
      <c r="D775" s="29" t="str">
        <f>IF($B775="","",TEXT($B775,"yyyy-mm"))</f>
        <v/>
      </c>
      <c r="G775" s="29" t="str">
        <f>IF(OR($E775="",$F775=""),"",IFERROR(IF($E775=INDEX([1]Cluster_Master!$A$4:$A$18,MATCH($F775,[1]Cluster_Master!$B$4:$B$18,0)),"OK","CHECK"),"CHECK"))</f>
        <v/>
      </c>
      <c r="H775" s="29" t="str">
        <f>IFERROR(INDEX([1]Cluster_Master!$C$4:$C$18,MATCH($F775,[1]Cluster_Master!$B$4:$B$18,0)),"")</f>
        <v/>
      </c>
      <c r="I775" s="29" t="str">
        <f>IFERROR(INDEX([1]Cluster_Master!$D$4:$D$18,MATCH($F775,[1]Cluster_Master!$B$4:$B$18,0)),"")</f>
        <v/>
      </c>
      <c r="J775" s="29" t="str">
        <f>IFERROR(INDEX([1]Cluster_Master!$E$4:$E$18,MATCH($F775,[1]Cluster_Master!$B$4:$B$18,0)),"")</f>
        <v/>
      </c>
      <c r="K775" s="29" t="str">
        <f>IFERROR(INDEX([1]Cluster_Master!$F$4:$F$18,MATCH($F775,[1]Cluster_Master!$B$4:$B$18,0)),"")</f>
        <v/>
      </c>
      <c r="L775" s="29" t="str">
        <f>IFERROR(INDEX([1]Cluster_Master!$G$4:$G$18,MATCH($F775,[1]Cluster_Master!$B$4:$B$18,0)),"")</f>
        <v/>
      </c>
      <c r="M775" s="29" t="str">
        <f>IFERROR(INDEX([1]Cluster_Master!$H$4:$H$18,MATCH($F775,[1]Cluster_Master!$B$4:$B$18,0)),"")</f>
        <v/>
      </c>
      <c r="AI775" s="29" t="str">
        <f>IF(COUNTA(T775:AH775)=0,"",SUM(T775:AH775))</f>
        <v/>
      </c>
      <c r="AJ775" s="29" t="str">
        <f>IF(COUNTA(T775:AH775)=0,"",AI775/75)</f>
        <v/>
      </c>
      <c r="AK775" s="29" t="str">
        <f>IF(COUNTA(T775:AH775)=0,"",(SUM(T775*[1]KPI_Weights!$B$4,U775*[1]KPI_Weights!$B$5,V775*[1]KPI_Weights!$B$6,W775*[1]KPI_Weights!$B$7,X775*[1]KPI_Weights!$B$8,Y775*[1]KPI_Weights!$B$9,Z775*[1]KPI_Weights!$B$10,AA775*[1]KPI_Weights!$B$11,AB775*[1]KPI_Weights!$B$12,AC775*[1]KPI_Weights!$B$13,AD775*[1]KPI_Weights!$B$14,AE775*[1]KPI_Weights!$B$15,AF775*[1]KPI_Weights!$B$16,AG775*[1]KPI_Weights!$B$17,AH775*[1]KPI_Weights!$B$18))/5)</f>
        <v/>
      </c>
      <c r="AL775" s="29" t="str">
        <f>IF(COUNTA(T775:AH775)=0,"",IF(OR(T775&lt;=1,W775&lt;=1,X775&lt;=1,Y775&lt;=1,AB775&lt;=1),"YES","NO"))</f>
        <v/>
      </c>
      <c r="AM775" s="29" t="str">
        <f>IF(AJ775="","",IF(AND(AL775="NO",AJ775&gt;=0.75),"YES","NO"))</f>
        <v/>
      </c>
      <c r="AN775" s="29" t="str">
        <f>IF(AJ775="","",IF(AJ775&lt;0.4,"Critical",IF(AJ775&lt;0.6,"Poor",IF(AJ775&lt;0.75,"Needs Improvement",IF(AJ775&lt;0.9,"Good","Excellent")))))</f>
        <v/>
      </c>
    </row>
    <row r="776" spans="1:40" ht="15" customHeight="1" x14ac:dyDescent="0.25">
      <c r="A776" s="29" t="str">
        <f>IF($B776="","",TEXT($B776,"yyyymmdd")&amp;"-"&amp;SUBSTITUTE($F776," ","")&amp;"-"&amp;TEXT(COUNTIF($F$4:F776,$F776),"00"))</f>
        <v/>
      </c>
      <c r="C776" s="29" t="str">
        <f>IF($B776="","",WEEKNUM($B776,2))</f>
        <v/>
      </c>
      <c r="D776" s="29" t="str">
        <f>IF($B776="","",TEXT($B776,"yyyy-mm"))</f>
        <v/>
      </c>
      <c r="G776" s="29" t="str">
        <f>IF(OR($E776="",$F776=""),"",IFERROR(IF($E776=INDEX([1]Cluster_Master!$A$4:$A$18,MATCH($F776,[1]Cluster_Master!$B$4:$B$18,0)),"OK","CHECK"),"CHECK"))</f>
        <v/>
      </c>
      <c r="H776" s="29" t="str">
        <f>IFERROR(INDEX([1]Cluster_Master!$C$4:$C$18,MATCH($F776,[1]Cluster_Master!$B$4:$B$18,0)),"")</f>
        <v/>
      </c>
      <c r="I776" s="29" t="str">
        <f>IFERROR(INDEX([1]Cluster_Master!$D$4:$D$18,MATCH($F776,[1]Cluster_Master!$B$4:$B$18,0)),"")</f>
        <v/>
      </c>
      <c r="J776" s="29" t="str">
        <f>IFERROR(INDEX([1]Cluster_Master!$E$4:$E$18,MATCH($F776,[1]Cluster_Master!$B$4:$B$18,0)),"")</f>
        <v/>
      </c>
      <c r="K776" s="29" t="str">
        <f>IFERROR(INDEX([1]Cluster_Master!$F$4:$F$18,MATCH($F776,[1]Cluster_Master!$B$4:$B$18,0)),"")</f>
        <v/>
      </c>
      <c r="L776" s="29" t="str">
        <f>IFERROR(INDEX([1]Cluster_Master!$G$4:$G$18,MATCH($F776,[1]Cluster_Master!$B$4:$B$18,0)),"")</f>
        <v/>
      </c>
      <c r="M776" s="29" t="str">
        <f>IFERROR(INDEX([1]Cluster_Master!$H$4:$H$18,MATCH($F776,[1]Cluster_Master!$B$4:$B$18,0)),"")</f>
        <v/>
      </c>
      <c r="AI776" s="29" t="str">
        <f>IF(COUNTA(T776:AH776)=0,"",SUM(T776:AH776))</f>
        <v/>
      </c>
      <c r="AJ776" s="29" t="str">
        <f>IF(COUNTA(T776:AH776)=0,"",AI776/75)</f>
        <v/>
      </c>
      <c r="AK776" s="29" t="str">
        <f>IF(COUNTA(T776:AH776)=0,"",(SUM(T776*[1]KPI_Weights!$B$4,U776*[1]KPI_Weights!$B$5,V776*[1]KPI_Weights!$B$6,W776*[1]KPI_Weights!$B$7,X776*[1]KPI_Weights!$B$8,Y776*[1]KPI_Weights!$B$9,Z776*[1]KPI_Weights!$B$10,AA776*[1]KPI_Weights!$B$11,AB776*[1]KPI_Weights!$B$12,AC776*[1]KPI_Weights!$B$13,AD776*[1]KPI_Weights!$B$14,AE776*[1]KPI_Weights!$B$15,AF776*[1]KPI_Weights!$B$16,AG776*[1]KPI_Weights!$B$17,AH776*[1]KPI_Weights!$B$18))/5)</f>
        <v/>
      </c>
      <c r="AL776" s="29" t="str">
        <f>IF(COUNTA(T776:AH776)=0,"",IF(OR(T776&lt;=1,W776&lt;=1,X776&lt;=1,Y776&lt;=1,AB776&lt;=1),"YES","NO"))</f>
        <v/>
      </c>
      <c r="AM776" s="29" t="str">
        <f>IF(AJ776="","",IF(AND(AL776="NO",AJ776&gt;=0.75),"YES","NO"))</f>
        <v/>
      </c>
      <c r="AN776" s="29" t="str">
        <f>IF(AJ776="","",IF(AJ776&lt;0.4,"Critical",IF(AJ776&lt;0.6,"Poor",IF(AJ776&lt;0.75,"Needs Improvement",IF(AJ776&lt;0.9,"Good","Excellent")))))</f>
        <v/>
      </c>
    </row>
    <row r="777" spans="1:40" ht="15" customHeight="1" x14ac:dyDescent="0.25">
      <c r="A777" s="29" t="str">
        <f>IF($B777="","",TEXT($B777,"yyyymmdd")&amp;"-"&amp;SUBSTITUTE($F777," ","")&amp;"-"&amp;TEXT(COUNTIF($F$4:F777,$F777),"00"))</f>
        <v/>
      </c>
      <c r="C777" s="29" t="str">
        <f>IF($B777="","",WEEKNUM($B777,2))</f>
        <v/>
      </c>
      <c r="D777" s="29" t="str">
        <f>IF($B777="","",TEXT($B777,"yyyy-mm"))</f>
        <v/>
      </c>
      <c r="G777" s="29" t="str">
        <f>IF(OR($E777="",$F777=""),"",IFERROR(IF($E777=INDEX([1]Cluster_Master!$A$4:$A$18,MATCH($F777,[1]Cluster_Master!$B$4:$B$18,0)),"OK","CHECK"),"CHECK"))</f>
        <v/>
      </c>
      <c r="H777" s="29" t="str">
        <f>IFERROR(INDEX([1]Cluster_Master!$C$4:$C$18,MATCH($F777,[1]Cluster_Master!$B$4:$B$18,0)),"")</f>
        <v/>
      </c>
      <c r="I777" s="29" t="str">
        <f>IFERROR(INDEX([1]Cluster_Master!$D$4:$D$18,MATCH($F777,[1]Cluster_Master!$B$4:$B$18,0)),"")</f>
        <v/>
      </c>
      <c r="J777" s="29" t="str">
        <f>IFERROR(INDEX([1]Cluster_Master!$E$4:$E$18,MATCH($F777,[1]Cluster_Master!$B$4:$B$18,0)),"")</f>
        <v/>
      </c>
      <c r="K777" s="29" t="str">
        <f>IFERROR(INDEX([1]Cluster_Master!$F$4:$F$18,MATCH($F777,[1]Cluster_Master!$B$4:$B$18,0)),"")</f>
        <v/>
      </c>
      <c r="L777" s="29" t="str">
        <f>IFERROR(INDEX([1]Cluster_Master!$G$4:$G$18,MATCH($F777,[1]Cluster_Master!$B$4:$B$18,0)),"")</f>
        <v/>
      </c>
      <c r="M777" s="29" t="str">
        <f>IFERROR(INDEX([1]Cluster_Master!$H$4:$H$18,MATCH($F777,[1]Cluster_Master!$B$4:$B$18,0)),"")</f>
        <v/>
      </c>
      <c r="AI777" s="29" t="str">
        <f>IF(COUNTA(T777:AH777)=0,"",SUM(T777:AH777))</f>
        <v/>
      </c>
      <c r="AJ777" s="29" t="str">
        <f>IF(COUNTA(T777:AH777)=0,"",AI777/75)</f>
        <v/>
      </c>
      <c r="AK777" s="29" t="str">
        <f>IF(COUNTA(T777:AH777)=0,"",(SUM(T777*[1]KPI_Weights!$B$4,U777*[1]KPI_Weights!$B$5,V777*[1]KPI_Weights!$B$6,W777*[1]KPI_Weights!$B$7,X777*[1]KPI_Weights!$B$8,Y777*[1]KPI_Weights!$B$9,Z777*[1]KPI_Weights!$B$10,AA777*[1]KPI_Weights!$B$11,AB777*[1]KPI_Weights!$B$12,AC777*[1]KPI_Weights!$B$13,AD777*[1]KPI_Weights!$B$14,AE777*[1]KPI_Weights!$B$15,AF777*[1]KPI_Weights!$B$16,AG777*[1]KPI_Weights!$B$17,AH777*[1]KPI_Weights!$B$18))/5)</f>
        <v/>
      </c>
      <c r="AL777" s="29" t="str">
        <f>IF(COUNTA(T777:AH777)=0,"",IF(OR(T777&lt;=1,W777&lt;=1,X777&lt;=1,Y777&lt;=1,AB777&lt;=1),"YES","NO"))</f>
        <v/>
      </c>
      <c r="AM777" s="29" t="str">
        <f>IF(AJ777="","",IF(AND(AL777="NO",AJ777&gt;=0.75),"YES","NO"))</f>
        <v/>
      </c>
      <c r="AN777" s="29" t="str">
        <f>IF(AJ777="","",IF(AJ777&lt;0.4,"Critical",IF(AJ777&lt;0.6,"Poor",IF(AJ777&lt;0.75,"Needs Improvement",IF(AJ777&lt;0.9,"Good","Excellent")))))</f>
        <v/>
      </c>
    </row>
    <row r="778" spans="1:40" ht="15" customHeight="1" x14ac:dyDescent="0.25">
      <c r="A778" s="29" t="str">
        <f>IF($B778="","",TEXT($B778,"yyyymmdd")&amp;"-"&amp;SUBSTITUTE($F778," ","")&amp;"-"&amp;TEXT(COUNTIF($F$4:F778,$F778),"00"))</f>
        <v/>
      </c>
      <c r="C778" s="29" t="str">
        <f>IF($B778="","",WEEKNUM($B778,2))</f>
        <v/>
      </c>
      <c r="D778" s="29" t="str">
        <f>IF($B778="","",TEXT($B778,"yyyy-mm"))</f>
        <v/>
      </c>
      <c r="G778" s="29" t="str">
        <f>IF(OR($E778="",$F778=""),"",IFERROR(IF($E778=INDEX([1]Cluster_Master!$A$4:$A$18,MATCH($F778,[1]Cluster_Master!$B$4:$B$18,0)),"OK","CHECK"),"CHECK"))</f>
        <v/>
      </c>
      <c r="H778" s="29" t="str">
        <f>IFERROR(INDEX([1]Cluster_Master!$C$4:$C$18,MATCH($F778,[1]Cluster_Master!$B$4:$B$18,0)),"")</f>
        <v/>
      </c>
      <c r="I778" s="29" t="str">
        <f>IFERROR(INDEX([1]Cluster_Master!$D$4:$D$18,MATCH($F778,[1]Cluster_Master!$B$4:$B$18,0)),"")</f>
        <v/>
      </c>
      <c r="J778" s="29" t="str">
        <f>IFERROR(INDEX([1]Cluster_Master!$E$4:$E$18,MATCH($F778,[1]Cluster_Master!$B$4:$B$18,0)),"")</f>
        <v/>
      </c>
      <c r="K778" s="29" t="str">
        <f>IFERROR(INDEX([1]Cluster_Master!$F$4:$F$18,MATCH($F778,[1]Cluster_Master!$B$4:$B$18,0)),"")</f>
        <v/>
      </c>
      <c r="L778" s="29" t="str">
        <f>IFERROR(INDEX([1]Cluster_Master!$G$4:$G$18,MATCH($F778,[1]Cluster_Master!$B$4:$B$18,0)),"")</f>
        <v/>
      </c>
      <c r="M778" s="29" t="str">
        <f>IFERROR(INDEX([1]Cluster_Master!$H$4:$H$18,MATCH($F778,[1]Cluster_Master!$B$4:$B$18,0)),"")</f>
        <v/>
      </c>
      <c r="AI778" s="29" t="str">
        <f>IF(COUNTA(T778:AH778)=0,"",SUM(T778:AH778))</f>
        <v/>
      </c>
      <c r="AJ778" s="29" t="str">
        <f>IF(COUNTA(T778:AH778)=0,"",AI778/75)</f>
        <v/>
      </c>
      <c r="AK778" s="29" t="str">
        <f>IF(COUNTA(T778:AH778)=0,"",(SUM(T778*[1]KPI_Weights!$B$4,U778*[1]KPI_Weights!$B$5,V778*[1]KPI_Weights!$B$6,W778*[1]KPI_Weights!$B$7,X778*[1]KPI_Weights!$B$8,Y778*[1]KPI_Weights!$B$9,Z778*[1]KPI_Weights!$B$10,AA778*[1]KPI_Weights!$B$11,AB778*[1]KPI_Weights!$B$12,AC778*[1]KPI_Weights!$B$13,AD778*[1]KPI_Weights!$B$14,AE778*[1]KPI_Weights!$B$15,AF778*[1]KPI_Weights!$B$16,AG778*[1]KPI_Weights!$B$17,AH778*[1]KPI_Weights!$B$18))/5)</f>
        <v/>
      </c>
      <c r="AL778" s="29" t="str">
        <f>IF(COUNTA(T778:AH778)=0,"",IF(OR(T778&lt;=1,W778&lt;=1,X778&lt;=1,Y778&lt;=1,AB778&lt;=1),"YES","NO"))</f>
        <v/>
      </c>
      <c r="AM778" s="29" t="str">
        <f>IF(AJ778="","",IF(AND(AL778="NO",AJ778&gt;=0.75),"YES","NO"))</f>
        <v/>
      </c>
      <c r="AN778" s="29" t="str">
        <f>IF(AJ778="","",IF(AJ778&lt;0.4,"Critical",IF(AJ778&lt;0.6,"Poor",IF(AJ778&lt;0.75,"Needs Improvement",IF(AJ778&lt;0.9,"Good","Excellent")))))</f>
        <v/>
      </c>
    </row>
    <row r="779" spans="1:40" ht="15" customHeight="1" x14ac:dyDescent="0.25">
      <c r="A779" s="29" t="str">
        <f>IF($B779="","",TEXT($B779,"yyyymmdd")&amp;"-"&amp;SUBSTITUTE($F779," ","")&amp;"-"&amp;TEXT(COUNTIF($F$4:F779,$F779),"00"))</f>
        <v/>
      </c>
      <c r="C779" s="29" t="str">
        <f>IF($B779="","",WEEKNUM($B779,2))</f>
        <v/>
      </c>
      <c r="D779" s="29" t="str">
        <f>IF($B779="","",TEXT($B779,"yyyy-mm"))</f>
        <v/>
      </c>
      <c r="G779" s="29" t="str">
        <f>IF(OR($E779="",$F779=""),"",IFERROR(IF($E779=INDEX([1]Cluster_Master!$A$4:$A$18,MATCH($F779,[1]Cluster_Master!$B$4:$B$18,0)),"OK","CHECK"),"CHECK"))</f>
        <v/>
      </c>
      <c r="H779" s="29" t="str">
        <f>IFERROR(INDEX([1]Cluster_Master!$C$4:$C$18,MATCH($F779,[1]Cluster_Master!$B$4:$B$18,0)),"")</f>
        <v/>
      </c>
      <c r="I779" s="29" t="str">
        <f>IFERROR(INDEX([1]Cluster_Master!$D$4:$D$18,MATCH($F779,[1]Cluster_Master!$B$4:$B$18,0)),"")</f>
        <v/>
      </c>
      <c r="J779" s="29" t="str">
        <f>IFERROR(INDEX([1]Cluster_Master!$E$4:$E$18,MATCH($F779,[1]Cluster_Master!$B$4:$B$18,0)),"")</f>
        <v/>
      </c>
      <c r="K779" s="29" t="str">
        <f>IFERROR(INDEX([1]Cluster_Master!$F$4:$F$18,MATCH($F779,[1]Cluster_Master!$B$4:$B$18,0)),"")</f>
        <v/>
      </c>
      <c r="L779" s="29" t="str">
        <f>IFERROR(INDEX([1]Cluster_Master!$G$4:$G$18,MATCH($F779,[1]Cluster_Master!$B$4:$B$18,0)),"")</f>
        <v/>
      </c>
      <c r="M779" s="29" t="str">
        <f>IFERROR(INDEX([1]Cluster_Master!$H$4:$H$18,MATCH($F779,[1]Cluster_Master!$B$4:$B$18,0)),"")</f>
        <v/>
      </c>
      <c r="AI779" s="29" t="str">
        <f>IF(COUNTA(T779:AH779)=0,"",SUM(T779:AH779))</f>
        <v/>
      </c>
      <c r="AJ779" s="29" t="str">
        <f>IF(COUNTA(T779:AH779)=0,"",AI779/75)</f>
        <v/>
      </c>
      <c r="AK779" s="29" t="str">
        <f>IF(COUNTA(T779:AH779)=0,"",(SUM(T779*[1]KPI_Weights!$B$4,U779*[1]KPI_Weights!$B$5,V779*[1]KPI_Weights!$B$6,W779*[1]KPI_Weights!$B$7,X779*[1]KPI_Weights!$B$8,Y779*[1]KPI_Weights!$B$9,Z779*[1]KPI_Weights!$B$10,AA779*[1]KPI_Weights!$B$11,AB779*[1]KPI_Weights!$B$12,AC779*[1]KPI_Weights!$B$13,AD779*[1]KPI_Weights!$B$14,AE779*[1]KPI_Weights!$B$15,AF779*[1]KPI_Weights!$B$16,AG779*[1]KPI_Weights!$B$17,AH779*[1]KPI_Weights!$B$18))/5)</f>
        <v/>
      </c>
      <c r="AL779" s="29" t="str">
        <f>IF(COUNTA(T779:AH779)=0,"",IF(OR(T779&lt;=1,W779&lt;=1,X779&lt;=1,Y779&lt;=1,AB779&lt;=1),"YES","NO"))</f>
        <v/>
      </c>
      <c r="AM779" s="29" t="str">
        <f>IF(AJ779="","",IF(AND(AL779="NO",AJ779&gt;=0.75),"YES","NO"))</f>
        <v/>
      </c>
      <c r="AN779" s="29" t="str">
        <f>IF(AJ779="","",IF(AJ779&lt;0.4,"Critical",IF(AJ779&lt;0.6,"Poor",IF(AJ779&lt;0.75,"Needs Improvement",IF(AJ779&lt;0.9,"Good","Excellent")))))</f>
        <v/>
      </c>
    </row>
    <row r="780" spans="1:40" ht="15" customHeight="1" x14ac:dyDescent="0.25">
      <c r="A780" s="29" t="str">
        <f>IF($B780="","",TEXT($B780,"yyyymmdd")&amp;"-"&amp;SUBSTITUTE($F780," ","")&amp;"-"&amp;TEXT(COUNTIF($F$4:F780,$F780),"00"))</f>
        <v/>
      </c>
      <c r="C780" s="29" t="str">
        <f>IF($B780="","",WEEKNUM($B780,2))</f>
        <v/>
      </c>
      <c r="D780" s="29" t="str">
        <f>IF($B780="","",TEXT($B780,"yyyy-mm"))</f>
        <v/>
      </c>
      <c r="G780" s="29" t="str">
        <f>IF(OR($E780="",$F780=""),"",IFERROR(IF($E780=INDEX([1]Cluster_Master!$A$4:$A$18,MATCH($F780,[1]Cluster_Master!$B$4:$B$18,0)),"OK","CHECK"),"CHECK"))</f>
        <v/>
      </c>
      <c r="H780" s="29" t="str">
        <f>IFERROR(INDEX([1]Cluster_Master!$C$4:$C$18,MATCH($F780,[1]Cluster_Master!$B$4:$B$18,0)),"")</f>
        <v/>
      </c>
      <c r="I780" s="29" t="str">
        <f>IFERROR(INDEX([1]Cluster_Master!$D$4:$D$18,MATCH($F780,[1]Cluster_Master!$B$4:$B$18,0)),"")</f>
        <v/>
      </c>
      <c r="J780" s="29" t="str">
        <f>IFERROR(INDEX([1]Cluster_Master!$E$4:$E$18,MATCH($F780,[1]Cluster_Master!$B$4:$B$18,0)),"")</f>
        <v/>
      </c>
      <c r="K780" s="29" t="str">
        <f>IFERROR(INDEX([1]Cluster_Master!$F$4:$F$18,MATCH($F780,[1]Cluster_Master!$B$4:$B$18,0)),"")</f>
        <v/>
      </c>
      <c r="L780" s="29" t="str">
        <f>IFERROR(INDEX([1]Cluster_Master!$G$4:$G$18,MATCH($F780,[1]Cluster_Master!$B$4:$B$18,0)),"")</f>
        <v/>
      </c>
      <c r="M780" s="29" t="str">
        <f>IFERROR(INDEX([1]Cluster_Master!$H$4:$H$18,MATCH($F780,[1]Cluster_Master!$B$4:$B$18,0)),"")</f>
        <v/>
      </c>
      <c r="AI780" s="29" t="str">
        <f>IF(COUNTA(T780:AH780)=0,"",SUM(T780:AH780))</f>
        <v/>
      </c>
      <c r="AJ780" s="29" t="str">
        <f>IF(COUNTA(T780:AH780)=0,"",AI780/75)</f>
        <v/>
      </c>
      <c r="AK780" s="29" t="str">
        <f>IF(COUNTA(T780:AH780)=0,"",(SUM(T780*[1]KPI_Weights!$B$4,U780*[1]KPI_Weights!$B$5,V780*[1]KPI_Weights!$B$6,W780*[1]KPI_Weights!$B$7,X780*[1]KPI_Weights!$B$8,Y780*[1]KPI_Weights!$B$9,Z780*[1]KPI_Weights!$B$10,AA780*[1]KPI_Weights!$B$11,AB780*[1]KPI_Weights!$B$12,AC780*[1]KPI_Weights!$B$13,AD780*[1]KPI_Weights!$B$14,AE780*[1]KPI_Weights!$B$15,AF780*[1]KPI_Weights!$B$16,AG780*[1]KPI_Weights!$B$17,AH780*[1]KPI_Weights!$B$18))/5)</f>
        <v/>
      </c>
      <c r="AL780" s="29" t="str">
        <f>IF(COUNTA(T780:AH780)=0,"",IF(OR(T780&lt;=1,W780&lt;=1,X780&lt;=1,Y780&lt;=1,AB780&lt;=1),"YES","NO"))</f>
        <v/>
      </c>
      <c r="AM780" s="29" t="str">
        <f>IF(AJ780="","",IF(AND(AL780="NO",AJ780&gt;=0.75),"YES","NO"))</f>
        <v/>
      </c>
      <c r="AN780" s="29" t="str">
        <f>IF(AJ780="","",IF(AJ780&lt;0.4,"Critical",IF(AJ780&lt;0.6,"Poor",IF(AJ780&lt;0.75,"Needs Improvement",IF(AJ780&lt;0.9,"Good","Excellent")))))</f>
        <v/>
      </c>
    </row>
    <row r="781" spans="1:40" ht="15" customHeight="1" x14ac:dyDescent="0.25">
      <c r="A781" s="29" t="str">
        <f>IF($B781="","",TEXT($B781,"yyyymmdd")&amp;"-"&amp;SUBSTITUTE($F781," ","")&amp;"-"&amp;TEXT(COUNTIF($F$4:F781,$F781),"00"))</f>
        <v/>
      </c>
      <c r="C781" s="29" t="str">
        <f>IF($B781="","",WEEKNUM($B781,2))</f>
        <v/>
      </c>
      <c r="D781" s="29" t="str">
        <f>IF($B781="","",TEXT($B781,"yyyy-mm"))</f>
        <v/>
      </c>
      <c r="G781" s="29" t="str">
        <f>IF(OR($E781="",$F781=""),"",IFERROR(IF($E781=INDEX([1]Cluster_Master!$A$4:$A$18,MATCH($F781,[1]Cluster_Master!$B$4:$B$18,0)),"OK","CHECK"),"CHECK"))</f>
        <v/>
      </c>
      <c r="H781" s="29" t="str">
        <f>IFERROR(INDEX([1]Cluster_Master!$C$4:$C$18,MATCH($F781,[1]Cluster_Master!$B$4:$B$18,0)),"")</f>
        <v/>
      </c>
      <c r="I781" s="29" t="str">
        <f>IFERROR(INDEX([1]Cluster_Master!$D$4:$D$18,MATCH($F781,[1]Cluster_Master!$B$4:$B$18,0)),"")</f>
        <v/>
      </c>
      <c r="J781" s="29" t="str">
        <f>IFERROR(INDEX([1]Cluster_Master!$E$4:$E$18,MATCH($F781,[1]Cluster_Master!$B$4:$B$18,0)),"")</f>
        <v/>
      </c>
      <c r="K781" s="29" t="str">
        <f>IFERROR(INDEX([1]Cluster_Master!$F$4:$F$18,MATCH($F781,[1]Cluster_Master!$B$4:$B$18,0)),"")</f>
        <v/>
      </c>
      <c r="L781" s="29" t="str">
        <f>IFERROR(INDEX([1]Cluster_Master!$G$4:$G$18,MATCH($F781,[1]Cluster_Master!$B$4:$B$18,0)),"")</f>
        <v/>
      </c>
      <c r="M781" s="29" t="str">
        <f>IFERROR(INDEX([1]Cluster_Master!$H$4:$H$18,MATCH($F781,[1]Cluster_Master!$B$4:$B$18,0)),"")</f>
        <v/>
      </c>
      <c r="AI781" s="29" t="str">
        <f>IF(COUNTA(T781:AH781)=0,"",SUM(T781:AH781))</f>
        <v/>
      </c>
      <c r="AJ781" s="29" t="str">
        <f>IF(COUNTA(T781:AH781)=0,"",AI781/75)</f>
        <v/>
      </c>
      <c r="AK781" s="29" t="str">
        <f>IF(COUNTA(T781:AH781)=0,"",(SUM(T781*[1]KPI_Weights!$B$4,U781*[1]KPI_Weights!$B$5,V781*[1]KPI_Weights!$B$6,W781*[1]KPI_Weights!$B$7,X781*[1]KPI_Weights!$B$8,Y781*[1]KPI_Weights!$B$9,Z781*[1]KPI_Weights!$B$10,AA781*[1]KPI_Weights!$B$11,AB781*[1]KPI_Weights!$B$12,AC781*[1]KPI_Weights!$B$13,AD781*[1]KPI_Weights!$B$14,AE781*[1]KPI_Weights!$B$15,AF781*[1]KPI_Weights!$B$16,AG781*[1]KPI_Weights!$B$17,AH781*[1]KPI_Weights!$B$18))/5)</f>
        <v/>
      </c>
      <c r="AL781" s="29" t="str">
        <f>IF(COUNTA(T781:AH781)=0,"",IF(OR(T781&lt;=1,W781&lt;=1,X781&lt;=1,Y781&lt;=1,AB781&lt;=1),"YES","NO"))</f>
        <v/>
      </c>
      <c r="AM781" s="29" t="str">
        <f>IF(AJ781="","",IF(AND(AL781="NO",AJ781&gt;=0.75),"YES","NO"))</f>
        <v/>
      </c>
      <c r="AN781" s="29" t="str">
        <f>IF(AJ781="","",IF(AJ781&lt;0.4,"Critical",IF(AJ781&lt;0.6,"Poor",IF(AJ781&lt;0.75,"Needs Improvement",IF(AJ781&lt;0.9,"Good","Excellent")))))</f>
        <v/>
      </c>
    </row>
    <row r="782" spans="1:40" ht="15" customHeight="1" x14ac:dyDescent="0.25">
      <c r="A782" s="29" t="str">
        <f>IF($B782="","",TEXT($B782,"yyyymmdd")&amp;"-"&amp;SUBSTITUTE($F782," ","")&amp;"-"&amp;TEXT(COUNTIF($F$4:F782,$F782),"00"))</f>
        <v/>
      </c>
      <c r="C782" s="29" t="str">
        <f>IF($B782="","",WEEKNUM($B782,2))</f>
        <v/>
      </c>
      <c r="D782" s="29" t="str">
        <f>IF($B782="","",TEXT($B782,"yyyy-mm"))</f>
        <v/>
      </c>
      <c r="G782" s="29" t="str">
        <f>IF(OR($E782="",$F782=""),"",IFERROR(IF($E782=INDEX([1]Cluster_Master!$A$4:$A$18,MATCH($F782,[1]Cluster_Master!$B$4:$B$18,0)),"OK","CHECK"),"CHECK"))</f>
        <v/>
      </c>
      <c r="H782" s="29" t="str">
        <f>IFERROR(INDEX([1]Cluster_Master!$C$4:$C$18,MATCH($F782,[1]Cluster_Master!$B$4:$B$18,0)),"")</f>
        <v/>
      </c>
      <c r="I782" s="29" t="str">
        <f>IFERROR(INDEX([1]Cluster_Master!$D$4:$D$18,MATCH($F782,[1]Cluster_Master!$B$4:$B$18,0)),"")</f>
        <v/>
      </c>
      <c r="J782" s="29" t="str">
        <f>IFERROR(INDEX([1]Cluster_Master!$E$4:$E$18,MATCH($F782,[1]Cluster_Master!$B$4:$B$18,0)),"")</f>
        <v/>
      </c>
      <c r="K782" s="29" t="str">
        <f>IFERROR(INDEX([1]Cluster_Master!$F$4:$F$18,MATCH($F782,[1]Cluster_Master!$B$4:$B$18,0)),"")</f>
        <v/>
      </c>
      <c r="L782" s="29" t="str">
        <f>IFERROR(INDEX([1]Cluster_Master!$G$4:$G$18,MATCH($F782,[1]Cluster_Master!$B$4:$B$18,0)),"")</f>
        <v/>
      </c>
      <c r="M782" s="29" t="str">
        <f>IFERROR(INDEX([1]Cluster_Master!$H$4:$H$18,MATCH($F782,[1]Cluster_Master!$B$4:$B$18,0)),"")</f>
        <v/>
      </c>
      <c r="AI782" s="29" t="str">
        <f>IF(COUNTA(T782:AH782)=0,"",SUM(T782:AH782))</f>
        <v/>
      </c>
      <c r="AJ782" s="29" t="str">
        <f>IF(COUNTA(T782:AH782)=0,"",AI782/75)</f>
        <v/>
      </c>
      <c r="AK782" s="29" t="str">
        <f>IF(COUNTA(T782:AH782)=0,"",(SUM(T782*[1]KPI_Weights!$B$4,U782*[1]KPI_Weights!$B$5,V782*[1]KPI_Weights!$B$6,W782*[1]KPI_Weights!$B$7,X782*[1]KPI_Weights!$B$8,Y782*[1]KPI_Weights!$B$9,Z782*[1]KPI_Weights!$B$10,AA782*[1]KPI_Weights!$B$11,AB782*[1]KPI_Weights!$B$12,AC782*[1]KPI_Weights!$B$13,AD782*[1]KPI_Weights!$B$14,AE782*[1]KPI_Weights!$B$15,AF782*[1]KPI_Weights!$B$16,AG782*[1]KPI_Weights!$B$17,AH782*[1]KPI_Weights!$B$18))/5)</f>
        <v/>
      </c>
      <c r="AL782" s="29" t="str">
        <f>IF(COUNTA(T782:AH782)=0,"",IF(OR(T782&lt;=1,W782&lt;=1,X782&lt;=1,Y782&lt;=1,AB782&lt;=1),"YES","NO"))</f>
        <v/>
      </c>
      <c r="AM782" s="29" t="str">
        <f>IF(AJ782="","",IF(AND(AL782="NO",AJ782&gt;=0.75),"YES","NO"))</f>
        <v/>
      </c>
      <c r="AN782" s="29" t="str">
        <f>IF(AJ782="","",IF(AJ782&lt;0.4,"Critical",IF(AJ782&lt;0.6,"Poor",IF(AJ782&lt;0.75,"Needs Improvement",IF(AJ782&lt;0.9,"Good","Excellent")))))</f>
        <v/>
      </c>
    </row>
    <row r="783" spans="1:40" ht="15" customHeight="1" x14ac:dyDescent="0.25">
      <c r="A783" s="29" t="str">
        <f>IF($B783="","",TEXT($B783,"yyyymmdd")&amp;"-"&amp;SUBSTITUTE($F783," ","")&amp;"-"&amp;TEXT(COUNTIF($F$4:F783,$F783),"00"))</f>
        <v/>
      </c>
      <c r="C783" s="29" t="str">
        <f>IF($B783="","",WEEKNUM($B783,2))</f>
        <v/>
      </c>
      <c r="D783" s="29" t="str">
        <f>IF($B783="","",TEXT($B783,"yyyy-mm"))</f>
        <v/>
      </c>
      <c r="G783" s="29" t="str">
        <f>IF(OR($E783="",$F783=""),"",IFERROR(IF($E783=INDEX([1]Cluster_Master!$A$4:$A$18,MATCH($F783,[1]Cluster_Master!$B$4:$B$18,0)),"OK","CHECK"),"CHECK"))</f>
        <v/>
      </c>
      <c r="H783" s="29" t="str">
        <f>IFERROR(INDEX([1]Cluster_Master!$C$4:$C$18,MATCH($F783,[1]Cluster_Master!$B$4:$B$18,0)),"")</f>
        <v/>
      </c>
      <c r="I783" s="29" t="str">
        <f>IFERROR(INDEX([1]Cluster_Master!$D$4:$D$18,MATCH($F783,[1]Cluster_Master!$B$4:$B$18,0)),"")</f>
        <v/>
      </c>
      <c r="J783" s="29" t="str">
        <f>IFERROR(INDEX([1]Cluster_Master!$E$4:$E$18,MATCH($F783,[1]Cluster_Master!$B$4:$B$18,0)),"")</f>
        <v/>
      </c>
      <c r="K783" s="29" t="str">
        <f>IFERROR(INDEX([1]Cluster_Master!$F$4:$F$18,MATCH($F783,[1]Cluster_Master!$B$4:$B$18,0)),"")</f>
        <v/>
      </c>
      <c r="L783" s="29" t="str">
        <f>IFERROR(INDEX([1]Cluster_Master!$G$4:$G$18,MATCH($F783,[1]Cluster_Master!$B$4:$B$18,0)),"")</f>
        <v/>
      </c>
      <c r="M783" s="29" t="str">
        <f>IFERROR(INDEX([1]Cluster_Master!$H$4:$H$18,MATCH($F783,[1]Cluster_Master!$B$4:$B$18,0)),"")</f>
        <v/>
      </c>
      <c r="AI783" s="29" t="str">
        <f>IF(COUNTA(T783:AH783)=0,"",SUM(T783:AH783))</f>
        <v/>
      </c>
      <c r="AJ783" s="29" t="str">
        <f>IF(COUNTA(T783:AH783)=0,"",AI783/75)</f>
        <v/>
      </c>
      <c r="AK783" s="29" t="str">
        <f>IF(COUNTA(T783:AH783)=0,"",(SUM(T783*[1]KPI_Weights!$B$4,U783*[1]KPI_Weights!$B$5,V783*[1]KPI_Weights!$B$6,W783*[1]KPI_Weights!$B$7,X783*[1]KPI_Weights!$B$8,Y783*[1]KPI_Weights!$B$9,Z783*[1]KPI_Weights!$B$10,AA783*[1]KPI_Weights!$B$11,AB783*[1]KPI_Weights!$B$12,AC783*[1]KPI_Weights!$B$13,AD783*[1]KPI_Weights!$B$14,AE783*[1]KPI_Weights!$B$15,AF783*[1]KPI_Weights!$B$16,AG783*[1]KPI_Weights!$B$17,AH783*[1]KPI_Weights!$B$18))/5)</f>
        <v/>
      </c>
      <c r="AL783" s="29" t="str">
        <f>IF(COUNTA(T783:AH783)=0,"",IF(OR(T783&lt;=1,W783&lt;=1,X783&lt;=1,Y783&lt;=1,AB783&lt;=1),"YES","NO"))</f>
        <v/>
      </c>
      <c r="AM783" s="29" t="str">
        <f>IF(AJ783="","",IF(AND(AL783="NO",AJ783&gt;=0.75),"YES","NO"))</f>
        <v/>
      </c>
      <c r="AN783" s="29" t="str">
        <f>IF(AJ783="","",IF(AJ783&lt;0.4,"Critical",IF(AJ783&lt;0.6,"Poor",IF(AJ783&lt;0.75,"Needs Improvement",IF(AJ783&lt;0.9,"Good","Excellent")))))</f>
        <v/>
      </c>
    </row>
    <row r="784" spans="1:40" ht="15" customHeight="1" x14ac:dyDescent="0.25">
      <c r="A784" s="29" t="str">
        <f>IF($B784="","",TEXT($B784,"yyyymmdd")&amp;"-"&amp;SUBSTITUTE($F784," ","")&amp;"-"&amp;TEXT(COUNTIF($F$4:F784,$F784),"00"))</f>
        <v/>
      </c>
      <c r="C784" s="29" t="str">
        <f>IF($B784="","",WEEKNUM($B784,2))</f>
        <v/>
      </c>
      <c r="D784" s="29" t="str">
        <f>IF($B784="","",TEXT($B784,"yyyy-mm"))</f>
        <v/>
      </c>
      <c r="G784" s="29" t="str">
        <f>IF(OR($E784="",$F784=""),"",IFERROR(IF($E784=INDEX([1]Cluster_Master!$A$4:$A$18,MATCH($F784,[1]Cluster_Master!$B$4:$B$18,0)),"OK","CHECK"),"CHECK"))</f>
        <v/>
      </c>
      <c r="H784" s="29" t="str">
        <f>IFERROR(INDEX([1]Cluster_Master!$C$4:$C$18,MATCH($F784,[1]Cluster_Master!$B$4:$B$18,0)),"")</f>
        <v/>
      </c>
      <c r="I784" s="29" t="str">
        <f>IFERROR(INDEX([1]Cluster_Master!$D$4:$D$18,MATCH($F784,[1]Cluster_Master!$B$4:$B$18,0)),"")</f>
        <v/>
      </c>
      <c r="J784" s="29" t="str">
        <f>IFERROR(INDEX([1]Cluster_Master!$E$4:$E$18,MATCH($F784,[1]Cluster_Master!$B$4:$B$18,0)),"")</f>
        <v/>
      </c>
      <c r="K784" s="29" t="str">
        <f>IFERROR(INDEX([1]Cluster_Master!$F$4:$F$18,MATCH($F784,[1]Cluster_Master!$B$4:$B$18,0)),"")</f>
        <v/>
      </c>
      <c r="L784" s="29" t="str">
        <f>IFERROR(INDEX([1]Cluster_Master!$G$4:$G$18,MATCH($F784,[1]Cluster_Master!$B$4:$B$18,0)),"")</f>
        <v/>
      </c>
      <c r="M784" s="29" t="str">
        <f>IFERROR(INDEX([1]Cluster_Master!$H$4:$H$18,MATCH($F784,[1]Cluster_Master!$B$4:$B$18,0)),"")</f>
        <v/>
      </c>
      <c r="AI784" s="29" t="str">
        <f>IF(COUNTA(T784:AH784)=0,"",SUM(T784:AH784))</f>
        <v/>
      </c>
      <c r="AJ784" s="29" t="str">
        <f>IF(COUNTA(T784:AH784)=0,"",AI784/75)</f>
        <v/>
      </c>
      <c r="AK784" s="29" t="str">
        <f>IF(COUNTA(T784:AH784)=0,"",(SUM(T784*[1]KPI_Weights!$B$4,U784*[1]KPI_Weights!$B$5,V784*[1]KPI_Weights!$B$6,W784*[1]KPI_Weights!$B$7,X784*[1]KPI_Weights!$B$8,Y784*[1]KPI_Weights!$B$9,Z784*[1]KPI_Weights!$B$10,AA784*[1]KPI_Weights!$B$11,AB784*[1]KPI_Weights!$B$12,AC784*[1]KPI_Weights!$B$13,AD784*[1]KPI_Weights!$B$14,AE784*[1]KPI_Weights!$B$15,AF784*[1]KPI_Weights!$B$16,AG784*[1]KPI_Weights!$B$17,AH784*[1]KPI_Weights!$B$18))/5)</f>
        <v/>
      </c>
      <c r="AL784" s="29" t="str">
        <f>IF(COUNTA(T784:AH784)=0,"",IF(OR(T784&lt;=1,W784&lt;=1,X784&lt;=1,Y784&lt;=1,AB784&lt;=1),"YES","NO"))</f>
        <v/>
      </c>
      <c r="AM784" s="29" t="str">
        <f>IF(AJ784="","",IF(AND(AL784="NO",AJ784&gt;=0.75),"YES","NO"))</f>
        <v/>
      </c>
      <c r="AN784" s="29" t="str">
        <f>IF(AJ784="","",IF(AJ784&lt;0.4,"Critical",IF(AJ784&lt;0.6,"Poor",IF(AJ784&lt;0.75,"Needs Improvement",IF(AJ784&lt;0.9,"Good","Excellent")))))</f>
        <v/>
      </c>
    </row>
    <row r="785" spans="1:40" ht="15" customHeight="1" x14ac:dyDescent="0.25">
      <c r="A785" s="29" t="str">
        <f>IF($B785="","",TEXT($B785,"yyyymmdd")&amp;"-"&amp;SUBSTITUTE($F785," ","")&amp;"-"&amp;TEXT(COUNTIF($F$4:F785,$F785),"00"))</f>
        <v/>
      </c>
      <c r="C785" s="29" t="str">
        <f>IF($B785="","",WEEKNUM($B785,2))</f>
        <v/>
      </c>
      <c r="D785" s="29" t="str">
        <f>IF($B785="","",TEXT($B785,"yyyy-mm"))</f>
        <v/>
      </c>
      <c r="G785" s="29" t="str">
        <f>IF(OR($E785="",$F785=""),"",IFERROR(IF($E785=INDEX([1]Cluster_Master!$A$4:$A$18,MATCH($F785,[1]Cluster_Master!$B$4:$B$18,0)),"OK","CHECK"),"CHECK"))</f>
        <v/>
      </c>
      <c r="H785" s="29" t="str">
        <f>IFERROR(INDEX([1]Cluster_Master!$C$4:$C$18,MATCH($F785,[1]Cluster_Master!$B$4:$B$18,0)),"")</f>
        <v/>
      </c>
      <c r="I785" s="29" t="str">
        <f>IFERROR(INDEX([1]Cluster_Master!$D$4:$D$18,MATCH($F785,[1]Cluster_Master!$B$4:$B$18,0)),"")</f>
        <v/>
      </c>
      <c r="J785" s="29" t="str">
        <f>IFERROR(INDEX([1]Cluster_Master!$E$4:$E$18,MATCH($F785,[1]Cluster_Master!$B$4:$B$18,0)),"")</f>
        <v/>
      </c>
      <c r="K785" s="29" t="str">
        <f>IFERROR(INDEX([1]Cluster_Master!$F$4:$F$18,MATCH($F785,[1]Cluster_Master!$B$4:$B$18,0)),"")</f>
        <v/>
      </c>
      <c r="L785" s="29" t="str">
        <f>IFERROR(INDEX([1]Cluster_Master!$G$4:$G$18,MATCH($F785,[1]Cluster_Master!$B$4:$B$18,0)),"")</f>
        <v/>
      </c>
      <c r="M785" s="29" t="str">
        <f>IFERROR(INDEX([1]Cluster_Master!$H$4:$H$18,MATCH($F785,[1]Cluster_Master!$B$4:$B$18,0)),"")</f>
        <v/>
      </c>
      <c r="AI785" s="29" t="str">
        <f>IF(COUNTA(T785:AH785)=0,"",SUM(T785:AH785))</f>
        <v/>
      </c>
      <c r="AJ785" s="29" t="str">
        <f>IF(COUNTA(T785:AH785)=0,"",AI785/75)</f>
        <v/>
      </c>
      <c r="AK785" s="29" t="str">
        <f>IF(COUNTA(T785:AH785)=0,"",(SUM(T785*[1]KPI_Weights!$B$4,U785*[1]KPI_Weights!$B$5,V785*[1]KPI_Weights!$B$6,W785*[1]KPI_Weights!$B$7,X785*[1]KPI_Weights!$B$8,Y785*[1]KPI_Weights!$B$9,Z785*[1]KPI_Weights!$B$10,AA785*[1]KPI_Weights!$B$11,AB785*[1]KPI_Weights!$B$12,AC785*[1]KPI_Weights!$B$13,AD785*[1]KPI_Weights!$B$14,AE785*[1]KPI_Weights!$B$15,AF785*[1]KPI_Weights!$B$16,AG785*[1]KPI_Weights!$B$17,AH785*[1]KPI_Weights!$B$18))/5)</f>
        <v/>
      </c>
      <c r="AL785" s="29" t="str">
        <f>IF(COUNTA(T785:AH785)=0,"",IF(OR(T785&lt;=1,W785&lt;=1,X785&lt;=1,Y785&lt;=1,AB785&lt;=1),"YES","NO"))</f>
        <v/>
      </c>
      <c r="AM785" s="29" t="str">
        <f>IF(AJ785="","",IF(AND(AL785="NO",AJ785&gt;=0.75),"YES","NO"))</f>
        <v/>
      </c>
      <c r="AN785" s="29" t="str">
        <f>IF(AJ785="","",IF(AJ785&lt;0.4,"Critical",IF(AJ785&lt;0.6,"Poor",IF(AJ785&lt;0.75,"Needs Improvement",IF(AJ785&lt;0.9,"Good","Excellent")))))</f>
        <v/>
      </c>
    </row>
    <row r="786" spans="1:40" ht="15" customHeight="1" x14ac:dyDescent="0.25">
      <c r="A786" s="29" t="str">
        <f>IF($B786="","",TEXT($B786,"yyyymmdd")&amp;"-"&amp;SUBSTITUTE($F786," ","")&amp;"-"&amp;TEXT(COUNTIF($F$4:F786,$F786),"00"))</f>
        <v/>
      </c>
      <c r="C786" s="29" t="str">
        <f>IF($B786="","",WEEKNUM($B786,2))</f>
        <v/>
      </c>
      <c r="D786" s="29" t="str">
        <f>IF($B786="","",TEXT($B786,"yyyy-mm"))</f>
        <v/>
      </c>
      <c r="G786" s="29" t="str">
        <f>IF(OR($E786="",$F786=""),"",IFERROR(IF($E786=INDEX([1]Cluster_Master!$A$4:$A$18,MATCH($F786,[1]Cluster_Master!$B$4:$B$18,0)),"OK","CHECK"),"CHECK"))</f>
        <v/>
      </c>
      <c r="H786" s="29" t="str">
        <f>IFERROR(INDEX([1]Cluster_Master!$C$4:$C$18,MATCH($F786,[1]Cluster_Master!$B$4:$B$18,0)),"")</f>
        <v/>
      </c>
      <c r="I786" s="29" t="str">
        <f>IFERROR(INDEX([1]Cluster_Master!$D$4:$D$18,MATCH($F786,[1]Cluster_Master!$B$4:$B$18,0)),"")</f>
        <v/>
      </c>
      <c r="J786" s="29" t="str">
        <f>IFERROR(INDEX([1]Cluster_Master!$E$4:$E$18,MATCH($F786,[1]Cluster_Master!$B$4:$B$18,0)),"")</f>
        <v/>
      </c>
      <c r="K786" s="29" t="str">
        <f>IFERROR(INDEX([1]Cluster_Master!$F$4:$F$18,MATCH($F786,[1]Cluster_Master!$B$4:$B$18,0)),"")</f>
        <v/>
      </c>
      <c r="L786" s="29" t="str">
        <f>IFERROR(INDEX([1]Cluster_Master!$G$4:$G$18,MATCH($F786,[1]Cluster_Master!$B$4:$B$18,0)),"")</f>
        <v/>
      </c>
      <c r="M786" s="29" t="str">
        <f>IFERROR(INDEX([1]Cluster_Master!$H$4:$H$18,MATCH($F786,[1]Cluster_Master!$B$4:$B$18,0)),"")</f>
        <v/>
      </c>
      <c r="AI786" s="29" t="str">
        <f>IF(COUNTA(T786:AH786)=0,"",SUM(T786:AH786))</f>
        <v/>
      </c>
      <c r="AJ786" s="29" t="str">
        <f>IF(COUNTA(T786:AH786)=0,"",AI786/75)</f>
        <v/>
      </c>
      <c r="AK786" s="29" t="str">
        <f>IF(COUNTA(T786:AH786)=0,"",(SUM(T786*[1]KPI_Weights!$B$4,U786*[1]KPI_Weights!$B$5,V786*[1]KPI_Weights!$B$6,W786*[1]KPI_Weights!$B$7,X786*[1]KPI_Weights!$B$8,Y786*[1]KPI_Weights!$B$9,Z786*[1]KPI_Weights!$B$10,AA786*[1]KPI_Weights!$B$11,AB786*[1]KPI_Weights!$B$12,AC786*[1]KPI_Weights!$B$13,AD786*[1]KPI_Weights!$B$14,AE786*[1]KPI_Weights!$B$15,AF786*[1]KPI_Weights!$B$16,AG786*[1]KPI_Weights!$B$17,AH786*[1]KPI_Weights!$B$18))/5)</f>
        <v/>
      </c>
      <c r="AL786" s="29" t="str">
        <f>IF(COUNTA(T786:AH786)=0,"",IF(OR(T786&lt;=1,W786&lt;=1,X786&lt;=1,Y786&lt;=1,AB786&lt;=1),"YES","NO"))</f>
        <v/>
      </c>
      <c r="AM786" s="29" t="str">
        <f>IF(AJ786="","",IF(AND(AL786="NO",AJ786&gt;=0.75),"YES","NO"))</f>
        <v/>
      </c>
      <c r="AN786" s="29" t="str">
        <f>IF(AJ786="","",IF(AJ786&lt;0.4,"Critical",IF(AJ786&lt;0.6,"Poor",IF(AJ786&lt;0.75,"Needs Improvement",IF(AJ786&lt;0.9,"Good","Excellent")))))</f>
        <v/>
      </c>
    </row>
    <row r="787" spans="1:40" ht="15" customHeight="1" x14ac:dyDescent="0.25">
      <c r="A787" s="29" t="str">
        <f>IF($B787="","",TEXT($B787,"yyyymmdd")&amp;"-"&amp;SUBSTITUTE($F787," ","")&amp;"-"&amp;TEXT(COUNTIF($F$4:F787,$F787),"00"))</f>
        <v/>
      </c>
      <c r="C787" s="29" t="str">
        <f>IF($B787="","",WEEKNUM($B787,2))</f>
        <v/>
      </c>
      <c r="D787" s="29" t="str">
        <f>IF($B787="","",TEXT($B787,"yyyy-mm"))</f>
        <v/>
      </c>
      <c r="G787" s="29" t="str">
        <f>IF(OR($E787="",$F787=""),"",IFERROR(IF($E787=INDEX([1]Cluster_Master!$A$4:$A$18,MATCH($F787,[1]Cluster_Master!$B$4:$B$18,0)),"OK","CHECK"),"CHECK"))</f>
        <v/>
      </c>
      <c r="H787" s="29" t="str">
        <f>IFERROR(INDEX([1]Cluster_Master!$C$4:$C$18,MATCH($F787,[1]Cluster_Master!$B$4:$B$18,0)),"")</f>
        <v/>
      </c>
      <c r="I787" s="29" t="str">
        <f>IFERROR(INDEX([1]Cluster_Master!$D$4:$D$18,MATCH($F787,[1]Cluster_Master!$B$4:$B$18,0)),"")</f>
        <v/>
      </c>
      <c r="J787" s="29" t="str">
        <f>IFERROR(INDEX([1]Cluster_Master!$E$4:$E$18,MATCH($F787,[1]Cluster_Master!$B$4:$B$18,0)),"")</f>
        <v/>
      </c>
      <c r="K787" s="29" t="str">
        <f>IFERROR(INDEX([1]Cluster_Master!$F$4:$F$18,MATCH($F787,[1]Cluster_Master!$B$4:$B$18,0)),"")</f>
        <v/>
      </c>
      <c r="L787" s="29" t="str">
        <f>IFERROR(INDEX([1]Cluster_Master!$G$4:$G$18,MATCH($F787,[1]Cluster_Master!$B$4:$B$18,0)),"")</f>
        <v/>
      </c>
      <c r="M787" s="29" t="str">
        <f>IFERROR(INDEX([1]Cluster_Master!$H$4:$H$18,MATCH($F787,[1]Cluster_Master!$B$4:$B$18,0)),"")</f>
        <v/>
      </c>
      <c r="AI787" s="29" t="str">
        <f>IF(COUNTA(T787:AH787)=0,"",SUM(T787:AH787))</f>
        <v/>
      </c>
      <c r="AJ787" s="29" t="str">
        <f>IF(COUNTA(T787:AH787)=0,"",AI787/75)</f>
        <v/>
      </c>
      <c r="AK787" s="29" t="str">
        <f>IF(COUNTA(T787:AH787)=0,"",(SUM(T787*[1]KPI_Weights!$B$4,U787*[1]KPI_Weights!$B$5,V787*[1]KPI_Weights!$B$6,W787*[1]KPI_Weights!$B$7,X787*[1]KPI_Weights!$B$8,Y787*[1]KPI_Weights!$B$9,Z787*[1]KPI_Weights!$B$10,AA787*[1]KPI_Weights!$B$11,AB787*[1]KPI_Weights!$B$12,AC787*[1]KPI_Weights!$B$13,AD787*[1]KPI_Weights!$B$14,AE787*[1]KPI_Weights!$B$15,AF787*[1]KPI_Weights!$B$16,AG787*[1]KPI_Weights!$B$17,AH787*[1]KPI_Weights!$B$18))/5)</f>
        <v/>
      </c>
      <c r="AL787" s="29" t="str">
        <f>IF(COUNTA(T787:AH787)=0,"",IF(OR(T787&lt;=1,W787&lt;=1,X787&lt;=1,Y787&lt;=1,AB787&lt;=1),"YES","NO"))</f>
        <v/>
      </c>
      <c r="AM787" s="29" t="str">
        <f>IF(AJ787="","",IF(AND(AL787="NO",AJ787&gt;=0.75),"YES","NO"))</f>
        <v/>
      </c>
      <c r="AN787" s="29" t="str">
        <f>IF(AJ787="","",IF(AJ787&lt;0.4,"Critical",IF(AJ787&lt;0.6,"Poor",IF(AJ787&lt;0.75,"Needs Improvement",IF(AJ787&lt;0.9,"Good","Excellent")))))</f>
        <v/>
      </c>
    </row>
    <row r="788" spans="1:40" ht="15" customHeight="1" x14ac:dyDescent="0.25">
      <c r="A788" s="29" t="str">
        <f>IF($B788="","",TEXT($B788,"yyyymmdd")&amp;"-"&amp;SUBSTITUTE($F788," ","")&amp;"-"&amp;TEXT(COUNTIF($F$4:F788,$F788),"00"))</f>
        <v/>
      </c>
      <c r="C788" s="29" t="str">
        <f>IF($B788="","",WEEKNUM($B788,2))</f>
        <v/>
      </c>
      <c r="D788" s="29" t="str">
        <f>IF($B788="","",TEXT($B788,"yyyy-mm"))</f>
        <v/>
      </c>
      <c r="G788" s="29" t="str">
        <f>IF(OR($E788="",$F788=""),"",IFERROR(IF($E788=INDEX([1]Cluster_Master!$A$4:$A$18,MATCH($F788,[1]Cluster_Master!$B$4:$B$18,0)),"OK","CHECK"),"CHECK"))</f>
        <v/>
      </c>
      <c r="H788" s="29" t="str">
        <f>IFERROR(INDEX([1]Cluster_Master!$C$4:$C$18,MATCH($F788,[1]Cluster_Master!$B$4:$B$18,0)),"")</f>
        <v/>
      </c>
      <c r="I788" s="29" t="str">
        <f>IFERROR(INDEX([1]Cluster_Master!$D$4:$D$18,MATCH($F788,[1]Cluster_Master!$B$4:$B$18,0)),"")</f>
        <v/>
      </c>
      <c r="J788" s="29" t="str">
        <f>IFERROR(INDEX([1]Cluster_Master!$E$4:$E$18,MATCH($F788,[1]Cluster_Master!$B$4:$B$18,0)),"")</f>
        <v/>
      </c>
      <c r="K788" s="29" t="str">
        <f>IFERROR(INDEX([1]Cluster_Master!$F$4:$F$18,MATCH($F788,[1]Cluster_Master!$B$4:$B$18,0)),"")</f>
        <v/>
      </c>
      <c r="L788" s="29" t="str">
        <f>IFERROR(INDEX([1]Cluster_Master!$G$4:$G$18,MATCH($F788,[1]Cluster_Master!$B$4:$B$18,0)),"")</f>
        <v/>
      </c>
      <c r="M788" s="29" t="str">
        <f>IFERROR(INDEX([1]Cluster_Master!$H$4:$H$18,MATCH($F788,[1]Cluster_Master!$B$4:$B$18,0)),"")</f>
        <v/>
      </c>
      <c r="AI788" s="29" t="str">
        <f>IF(COUNTA(T788:AH788)=0,"",SUM(T788:AH788))</f>
        <v/>
      </c>
      <c r="AJ788" s="29" t="str">
        <f>IF(COUNTA(T788:AH788)=0,"",AI788/75)</f>
        <v/>
      </c>
      <c r="AK788" s="29" t="str">
        <f>IF(COUNTA(T788:AH788)=0,"",(SUM(T788*[1]KPI_Weights!$B$4,U788*[1]KPI_Weights!$B$5,V788*[1]KPI_Weights!$B$6,W788*[1]KPI_Weights!$B$7,X788*[1]KPI_Weights!$B$8,Y788*[1]KPI_Weights!$B$9,Z788*[1]KPI_Weights!$B$10,AA788*[1]KPI_Weights!$B$11,AB788*[1]KPI_Weights!$B$12,AC788*[1]KPI_Weights!$B$13,AD788*[1]KPI_Weights!$B$14,AE788*[1]KPI_Weights!$B$15,AF788*[1]KPI_Weights!$B$16,AG788*[1]KPI_Weights!$B$17,AH788*[1]KPI_Weights!$B$18))/5)</f>
        <v/>
      </c>
      <c r="AL788" s="29" t="str">
        <f>IF(COUNTA(T788:AH788)=0,"",IF(OR(T788&lt;=1,W788&lt;=1,X788&lt;=1,Y788&lt;=1,AB788&lt;=1),"YES","NO"))</f>
        <v/>
      </c>
      <c r="AM788" s="29" t="str">
        <f>IF(AJ788="","",IF(AND(AL788="NO",AJ788&gt;=0.75),"YES","NO"))</f>
        <v/>
      </c>
      <c r="AN788" s="29" t="str">
        <f>IF(AJ788="","",IF(AJ788&lt;0.4,"Critical",IF(AJ788&lt;0.6,"Poor",IF(AJ788&lt;0.75,"Needs Improvement",IF(AJ788&lt;0.9,"Good","Excellent")))))</f>
        <v/>
      </c>
    </row>
    <row r="789" spans="1:40" ht="15" customHeight="1" x14ac:dyDescent="0.25">
      <c r="A789" s="29" t="str">
        <f>IF($B789="","",TEXT($B789,"yyyymmdd")&amp;"-"&amp;SUBSTITUTE($F789," ","")&amp;"-"&amp;TEXT(COUNTIF($F$4:F789,$F789),"00"))</f>
        <v/>
      </c>
      <c r="C789" s="29" t="str">
        <f>IF($B789="","",WEEKNUM($B789,2))</f>
        <v/>
      </c>
      <c r="D789" s="29" t="str">
        <f>IF($B789="","",TEXT($B789,"yyyy-mm"))</f>
        <v/>
      </c>
      <c r="G789" s="29" t="str">
        <f>IF(OR($E789="",$F789=""),"",IFERROR(IF($E789=INDEX([1]Cluster_Master!$A$4:$A$18,MATCH($F789,[1]Cluster_Master!$B$4:$B$18,0)),"OK","CHECK"),"CHECK"))</f>
        <v/>
      </c>
      <c r="H789" s="29" t="str">
        <f>IFERROR(INDEX([1]Cluster_Master!$C$4:$C$18,MATCH($F789,[1]Cluster_Master!$B$4:$B$18,0)),"")</f>
        <v/>
      </c>
      <c r="I789" s="29" t="str">
        <f>IFERROR(INDEX([1]Cluster_Master!$D$4:$D$18,MATCH($F789,[1]Cluster_Master!$B$4:$B$18,0)),"")</f>
        <v/>
      </c>
      <c r="J789" s="29" t="str">
        <f>IFERROR(INDEX([1]Cluster_Master!$E$4:$E$18,MATCH($F789,[1]Cluster_Master!$B$4:$B$18,0)),"")</f>
        <v/>
      </c>
      <c r="K789" s="29" t="str">
        <f>IFERROR(INDEX([1]Cluster_Master!$F$4:$F$18,MATCH($F789,[1]Cluster_Master!$B$4:$B$18,0)),"")</f>
        <v/>
      </c>
      <c r="L789" s="29" t="str">
        <f>IFERROR(INDEX([1]Cluster_Master!$G$4:$G$18,MATCH($F789,[1]Cluster_Master!$B$4:$B$18,0)),"")</f>
        <v/>
      </c>
      <c r="M789" s="29" t="str">
        <f>IFERROR(INDEX([1]Cluster_Master!$H$4:$H$18,MATCH($F789,[1]Cluster_Master!$B$4:$B$18,0)),"")</f>
        <v/>
      </c>
      <c r="AI789" s="29" t="str">
        <f>IF(COUNTA(T789:AH789)=0,"",SUM(T789:AH789))</f>
        <v/>
      </c>
      <c r="AJ789" s="29" t="str">
        <f>IF(COUNTA(T789:AH789)=0,"",AI789/75)</f>
        <v/>
      </c>
      <c r="AK789" s="29" t="str">
        <f>IF(COUNTA(T789:AH789)=0,"",(SUM(T789*[1]KPI_Weights!$B$4,U789*[1]KPI_Weights!$B$5,V789*[1]KPI_Weights!$B$6,W789*[1]KPI_Weights!$B$7,X789*[1]KPI_Weights!$B$8,Y789*[1]KPI_Weights!$B$9,Z789*[1]KPI_Weights!$B$10,AA789*[1]KPI_Weights!$B$11,AB789*[1]KPI_Weights!$B$12,AC789*[1]KPI_Weights!$B$13,AD789*[1]KPI_Weights!$B$14,AE789*[1]KPI_Weights!$B$15,AF789*[1]KPI_Weights!$B$16,AG789*[1]KPI_Weights!$B$17,AH789*[1]KPI_Weights!$B$18))/5)</f>
        <v/>
      </c>
      <c r="AL789" s="29" t="str">
        <f>IF(COUNTA(T789:AH789)=0,"",IF(OR(T789&lt;=1,W789&lt;=1,X789&lt;=1,Y789&lt;=1,AB789&lt;=1),"YES","NO"))</f>
        <v/>
      </c>
      <c r="AM789" s="29" t="str">
        <f>IF(AJ789="","",IF(AND(AL789="NO",AJ789&gt;=0.75),"YES","NO"))</f>
        <v/>
      </c>
      <c r="AN789" s="29" t="str">
        <f>IF(AJ789="","",IF(AJ789&lt;0.4,"Critical",IF(AJ789&lt;0.6,"Poor",IF(AJ789&lt;0.75,"Needs Improvement",IF(AJ789&lt;0.9,"Good","Excellent")))))</f>
        <v/>
      </c>
    </row>
    <row r="790" spans="1:40" ht="15" customHeight="1" x14ac:dyDescent="0.25">
      <c r="A790" s="29" t="str">
        <f>IF($B790="","",TEXT($B790,"yyyymmdd")&amp;"-"&amp;SUBSTITUTE($F790," ","")&amp;"-"&amp;TEXT(COUNTIF($F$4:F790,$F790),"00"))</f>
        <v/>
      </c>
      <c r="C790" s="29" t="str">
        <f>IF($B790="","",WEEKNUM($B790,2))</f>
        <v/>
      </c>
      <c r="D790" s="29" t="str">
        <f>IF($B790="","",TEXT($B790,"yyyy-mm"))</f>
        <v/>
      </c>
      <c r="G790" s="29" t="str">
        <f>IF(OR($E790="",$F790=""),"",IFERROR(IF($E790=INDEX([1]Cluster_Master!$A$4:$A$18,MATCH($F790,[1]Cluster_Master!$B$4:$B$18,0)),"OK","CHECK"),"CHECK"))</f>
        <v/>
      </c>
      <c r="H790" s="29" t="str">
        <f>IFERROR(INDEX([1]Cluster_Master!$C$4:$C$18,MATCH($F790,[1]Cluster_Master!$B$4:$B$18,0)),"")</f>
        <v/>
      </c>
      <c r="I790" s="29" t="str">
        <f>IFERROR(INDEX([1]Cluster_Master!$D$4:$D$18,MATCH($F790,[1]Cluster_Master!$B$4:$B$18,0)),"")</f>
        <v/>
      </c>
      <c r="J790" s="29" t="str">
        <f>IFERROR(INDEX([1]Cluster_Master!$E$4:$E$18,MATCH($F790,[1]Cluster_Master!$B$4:$B$18,0)),"")</f>
        <v/>
      </c>
      <c r="K790" s="29" t="str">
        <f>IFERROR(INDEX([1]Cluster_Master!$F$4:$F$18,MATCH($F790,[1]Cluster_Master!$B$4:$B$18,0)),"")</f>
        <v/>
      </c>
      <c r="L790" s="29" t="str">
        <f>IFERROR(INDEX([1]Cluster_Master!$G$4:$G$18,MATCH($F790,[1]Cluster_Master!$B$4:$B$18,0)),"")</f>
        <v/>
      </c>
      <c r="M790" s="29" t="str">
        <f>IFERROR(INDEX([1]Cluster_Master!$H$4:$H$18,MATCH($F790,[1]Cluster_Master!$B$4:$B$18,0)),"")</f>
        <v/>
      </c>
      <c r="AI790" s="29" t="str">
        <f>IF(COUNTA(T790:AH790)=0,"",SUM(T790:AH790))</f>
        <v/>
      </c>
      <c r="AJ790" s="29" t="str">
        <f>IF(COUNTA(T790:AH790)=0,"",AI790/75)</f>
        <v/>
      </c>
      <c r="AK790" s="29" t="str">
        <f>IF(COUNTA(T790:AH790)=0,"",(SUM(T790*[1]KPI_Weights!$B$4,U790*[1]KPI_Weights!$B$5,V790*[1]KPI_Weights!$B$6,W790*[1]KPI_Weights!$B$7,X790*[1]KPI_Weights!$B$8,Y790*[1]KPI_Weights!$B$9,Z790*[1]KPI_Weights!$B$10,AA790*[1]KPI_Weights!$B$11,AB790*[1]KPI_Weights!$B$12,AC790*[1]KPI_Weights!$B$13,AD790*[1]KPI_Weights!$B$14,AE790*[1]KPI_Weights!$B$15,AF790*[1]KPI_Weights!$B$16,AG790*[1]KPI_Weights!$B$17,AH790*[1]KPI_Weights!$B$18))/5)</f>
        <v/>
      </c>
      <c r="AL790" s="29" t="str">
        <f>IF(COUNTA(T790:AH790)=0,"",IF(OR(T790&lt;=1,W790&lt;=1,X790&lt;=1,Y790&lt;=1,AB790&lt;=1),"YES","NO"))</f>
        <v/>
      </c>
      <c r="AM790" s="29" t="str">
        <f>IF(AJ790="","",IF(AND(AL790="NO",AJ790&gt;=0.75),"YES","NO"))</f>
        <v/>
      </c>
      <c r="AN790" s="29" t="str">
        <f>IF(AJ790="","",IF(AJ790&lt;0.4,"Critical",IF(AJ790&lt;0.6,"Poor",IF(AJ790&lt;0.75,"Needs Improvement",IF(AJ790&lt;0.9,"Good","Excellent")))))</f>
        <v/>
      </c>
    </row>
    <row r="791" spans="1:40" ht="15" customHeight="1" x14ac:dyDescent="0.25">
      <c r="A791" s="29" t="str">
        <f>IF($B791="","",TEXT($B791,"yyyymmdd")&amp;"-"&amp;SUBSTITUTE($F791," ","")&amp;"-"&amp;TEXT(COUNTIF($F$4:F791,$F791),"00"))</f>
        <v/>
      </c>
      <c r="C791" s="29" t="str">
        <f>IF($B791="","",WEEKNUM($B791,2))</f>
        <v/>
      </c>
      <c r="D791" s="29" t="str">
        <f>IF($B791="","",TEXT($B791,"yyyy-mm"))</f>
        <v/>
      </c>
      <c r="G791" s="29" t="str">
        <f>IF(OR($E791="",$F791=""),"",IFERROR(IF($E791=INDEX([1]Cluster_Master!$A$4:$A$18,MATCH($F791,[1]Cluster_Master!$B$4:$B$18,0)),"OK","CHECK"),"CHECK"))</f>
        <v/>
      </c>
      <c r="H791" s="29" t="str">
        <f>IFERROR(INDEX([1]Cluster_Master!$C$4:$C$18,MATCH($F791,[1]Cluster_Master!$B$4:$B$18,0)),"")</f>
        <v/>
      </c>
      <c r="I791" s="29" t="str">
        <f>IFERROR(INDEX([1]Cluster_Master!$D$4:$D$18,MATCH($F791,[1]Cluster_Master!$B$4:$B$18,0)),"")</f>
        <v/>
      </c>
      <c r="J791" s="29" t="str">
        <f>IFERROR(INDEX([1]Cluster_Master!$E$4:$E$18,MATCH($F791,[1]Cluster_Master!$B$4:$B$18,0)),"")</f>
        <v/>
      </c>
      <c r="K791" s="29" t="str">
        <f>IFERROR(INDEX([1]Cluster_Master!$F$4:$F$18,MATCH($F791,[1]Cluster_Master!$B$4:$B$18,0)),"")</f>
        <v/>
      </c>
      <c r="L791" s="29" t="str">
        <f>IFERROR(INDEX([1]Cluster_Master!$G$4:$G$18,MATCH($F791,[1]Cluster_Master!$B$4:$B$18,0)),"")</f>
        <v/>
      </c>
      <c r="M791" s="29" t="str">
        <f>IFERROR(INDEX([1]Cluster_Master!$H$4:$H$18,MATCH($F791,[1]Cluster_Master!$B$4:$B$18,0)),"")</f>
        <v/>
      </c>
      <c r="AI791" s="29" t="str">
        <f>IF(COUNTA(T791:AH791)=0,"",SUM(T791:AH791))</f>
        <v/>
      </c>
      <c r="AJ791" s="29" t="str">
        <f>IF(COUNTA(T791:AH791)=0,"",AI791/75)</f>
        <v/>
      </c>
      <c r="AK791" s="29" t="str">
        <f>IF(COUNTA(T791:AH791)=0,"",(SUM(T791*[1]KPI_Weights!$B$4,U791*[1]KPI_Weights!$B$5,V791*[1]KPI_Weights!$B$6,W791*[1]KPI_Weights!$B$7,X791*[1]KPI_Weights!$B$8,Y791*[1]KPI_Weights!$B$9,Z791*[1]KPI_Weights!$B$10,AA791*[1]KPI_Weights!$B$11,AB791*[1]KPI_Weights!$B$12,AC791*[1]KPI_Weights!$B$13,AD791*[1]KPI_Weights!$B$14,AE791*[1]KPI_Weights!$B$15,AF791*[1]KPI_Weights!$B$16,AG791*[1]KPI_Weights!$B$17,AH791*[1]KPI_Weights!$B$18))/5)</f>
        <v/>
      </c>
      <c r="AL791" s="29" t="str">
        <f>IF(COUNTA(T791:AH791)=0,"",IF(OR(T791&lt;=1,W791&lt;=1,X791&lt;=1,Y791&lt;=1,AB791&lt;=1),"YES","NO"))</f>
        <v/>
      </c>
      <c r="AM791" s="29" t="str">
        <f>IF(AJ791="","",IF(AND(AL791="NO",AJ791&gt;=0.75),"YES","NO"))</f>
        <v/>
      </c>
      <c r="AN791" s="29" t="str">
        <f>IF(AJ791="","",IF(AJ791&lt;0.4,"Critical",IF(AJ791&lt;0.6,"Poor",IF(AJ791&lt;0.75,"Needs Improvement",IF(AJ791&lt;0.9,"Good","Excellent")))))</f>
        <v/>
      </c>
    </row>
    <row r="792" spans="1:40" ht="15" customHeight="1" x14ac:dyDescent="0.25">
      <c r="A792" s="29" t="str">
        <f>IF($B792="","",TEXT($B792,"yyyymmdd")&amp;"-"&amp;SUBSTITUTE($F792," ","")&amp;"-"&amp;TEXT(COUNTIF($F$4:F792,$F792),"00"))</f>
        <v/>
      </c>
      <c r="C792" s="29" t="str">
        <f>IF($B792="","",WEEKNUM($B792,2))</f>
        <v/>
      </c>
      <c r="D792" s="29" t="str">
        <f>IF($B792="","",TEXT($B792,"yyyy-mm"))</f>
        <v/>
      </c>
      <c r="G792" s="29" t="str">
        <f>IF(OR($E792="",$F792=""),"",IFERROR(IF($E792=INDEX([1]Cluster_Master!$A$4:$A$18,MATCH($F792,[1]Cluster_Master!$B$4:$B$18,0)),"OK","CHECK"),"CHECK"))</f>
        <v/>
      </c>
      <c r="H792" s="29" t="str">
        <f>IFERROR(INDEX([1]Cluster_Master!$C$4:$C$18,MATCH($F792,[1]Cluster_Master!$B$4:$B$18,0)),"")</f>
        <v/>
      </c>
      <c r="I792" s="29" t="str">
        <f>IFERROR(INDEX([1]Cluster_Master!$D$4:$D$18,MATCH($F792,[1]Cluster_Master!$B$4:$B$18,0)),"")</f>
        <v/>
      </c>
      <c r="J792" s="29" t="str">
        <f>IFERROR(INDEX([1]Cluster_Master!$E$4:$E$18,MATCH($F792,[1]Cluster_Master!$B$4:$B$18,0)),"")</f>
        <v/>
      </c>
      <c r="K792" s="29" t="str">
        <f>IFERROR(INDEX([1]Cluster_Master!$F$4:$F$18,MATCH($F792,[1]Cluster_Master!$B$4:$B$18,0)),"")</f>
        <v/>
      </c>
      <c r="L792" s="29" t="str">
        <f>IFERROR(INDEX([1]Cluster_Master!$G$4:$G$18,MATCH($F792,[1]Cluster_Master!$B$4:$B$18,0)),"")</f>
        <v/>
      </c>
      <c r="M792" s="29" t="str">
        <f>IFERROR(INDEX([1]Cluster_Master!$H$4:$H$18,MATCH($F792,[1]Cluster_Master!$B$4:$B$18,0)),"")</f>
        <v/>
      </c>
      <c r="AI792" s="29" t="str">
        <f>IF(COUNTA(T792:AH792)=0,"",SUM(T792:AH792))</f>
        <v/>
      </c>
      <c r="AJ792" s="29" t="str">
        <f>IF(COUNTA(T792:AH792)=0,"",AI792/75)</f>
        <v/>
      </c>
      <c r="AK792" s="29" t="str">
        <f>IF(COUNTA(T792:AH792)=0,"",(SUM(T792*[1]KPI_Weights!$B$4,U792*[1]KPI_Weights!$B$5,V792*[1]KPI_Weights!$B$6,W792*[1]KPI_Weights!$B$7,X792*[1]KPI_Weights!$B$8,Y792*[1]KPI_Weights!$B$9,Z792*[1]KPI_Weights!$B$10,AA792*[1]KPI_Weights!$B$11,AB792*[1]KPI_Weights!$B$12,AC792*[1]KPI_Weights!$B$13,AD792*[1]KPI_Weights!$B$14,AE792*[1]KPI_Weights!$B$15,AF792*[1]KPI_Weights!$B$16,AG792*[1]KPI_Weights!$B$17,AH792*[1]KPI_Weights!$B$18))/5)</f>
        <v/>
      </c>
      <c r="AL792" s="29" t="str">
        <f>IF(COUNTA(T792:AH792)=0,"",IF(OR(T792&lt;=1,W792&lt;=1,X792&lt;=1,Y792&lt;=1,AB792&lt;=1),"YES","NO"))</f>
        <v/>
      </c>
      <c r="AM792" s="29" t="str">
        <f>IF(AJ792="","",IF(AND(AL792="NO",AJ792&gt;=0.75),"YES","NO"))</f>
        <v/>
      </c>
      <c r="AN792" s="29" t="str">
        <f>IF(AJ792="","",IF(AJ792&lt;0.4,"Critical",IF(AJ792&lt;0.6,"Poor",IF(AJ792&lt;0.75,"Needs Improvement",IF(AJ792&lt;0.9,"Good","Excellent")))))</f>
        <v/>
      </c>
    </row>
    <row r="793" spans="1:40" ht="15" customHeight="1" x14ac:dyDescent="0.25">
      <c r="A793" s="29" t="str">
        <f>IF($B793="","",TEXT($B793,"yyyymmdd")&amp;"-"&amp;SUBSTITUTE($F793," ","")&amp;"-"&amp;TEXT(COUNTIF($F$4:F793,$F793),"00"))</f>
        <v/>
      </c>
      <c r="C793" s="29" t="str">
        <f>IF($B793="","",WEEKNUM($B793,2))</f>
        <v/>
      </c>
      <c r="D793" s="29" t="str">
        <f>IF($B793="","",TEXT($B793,"yyyy-mm"))</f>
        <v/>
      </c>
      <c r="G793" s="29" t="str">
        <f>IF(OR($E793="",$F793=""),"",IFERROR(IF($E793=INDEX([1]Cluster_Master!$A$4:$A$18,MATCH($F793,[1]Cluster_Master!$B$4:$B$18,0)),"OK","CHECK"),"CHECK"))</f>
        <v/>
      </c>
      <c r="H793" s="29" t="str">
        <f>IFERROR(INDEX([1]Cluster_Master!$C$4:$C$18,MATCH($F793,[1]Cluster_Master!$B$4:$B$18,0)),"")</f>
        <v/>
      </c>
      <c r="I793" s="29" t="str">
        <f>IFERROR(INDEX([1]Cluster_Master!$D$4:$D$18,MATCH($F793,[1]Cluster_Master!$B$4:$B$18,0)),"")</f>
        <v/>
      </c>
      <c r="J793" s="29" t="str">
        <f>IFERROR(INDEX([1]Cluster_Master!$E$4:$E$18,MATCH($F793,[1]Cluster_Master!$B$4:$B$18,0)),"")</f>
        <v/>
      </c>
      <c r="K793" s="29" t="str">
        <f>IFERROR(INDEX([1]Cluster_Master!$F$4:$F$18,MATCH($F793,[1]Cluster_Master!$B$4:$B$18,0)),"")</f>
        <v/>
      </c>
      <c r="L793" s="29" t="str">
        <f>IFERROR(INDEX([1]Cluster_Master!$G$4:$G$18,MATCH($F793,[1]Cluster_Master!$B$4:$B$18,0)),"")</f>
        <v/>
      </c>
      <c r="M793" s="29" t="str">
        <f>IFERROR(INDEX([1]Cluster_Master!$H$4:$H$18,MATCH($F793,[1]Cluster_Master!$B$4:$B$18,0)),"")</f>
        <v/>
      </c>
      <c r="AI793" s="29" t="str">
        <f>IF(COUNTA(T793:AH793)=0,"",SUM(T793:AH793))</f>
        <v/>
      </c>
      <c r="AJ793" s="29" t="str">
        <f>IF(COUNTA(T793:AH793)=0,"",AI793/75)</f>
        <v/>
      </c>
      <c r="AK793" s="29" t="str">
        <f>IF(COUNTA(T793:AH793)=0,"",(SUM(T793*[1]KPI_Weights!$B$4,U793*[1]KPI_Weights!$B$5,V793*[1]KPI_Weights!$B$6,W793*[1]KPI_Weights!$B$7,X793*[1]KPI_Weights!$B$8,Y793*[1]KPI_Weights!$B$9,Z793*[1]KPI_Weights!$B$10,AA793*[1]KPI_Weights!$B$11,AB793*[1]KPI_Weights!$B$12,AC793*[1]KPI_Weights!$B$13,AD793*[1]KPI_Weights!$B$14,AE793*[1]KPI_Weights!$B$15,AF793*[1]KPI_Weights!$B$16,AG793*[1]KPI_Weights!$B$17,AH793*[1]KPI_Weights!$B$18))/5)</f>
        <v/>
      </c>
      <c r="AL793" s="29" t="str">
        <f>IF(COUNTA(T793:AH793)=0,"",IF(OR(T793&lt;=1,W793&lt;=1,X793&lt;=1,Y793&lt;=1,AB793&lt;=1),"YES","NO"))</f>
        <v/>
      </c>
      <c r="AM793" s="29" t="str">
        <f>IF(AJ793="","",IF(AND(AL793="NO",AJ793&gt;=0.75),"YES","NO"))</f>
        <v/>
      </c>
      <c r="AN793" s="29" t="str">
        <f>IF(AJ793="","",IF(AJ793&lt;0.4,"Critical",IF(AJ793&lt;0.6,"Poor",IF(AJ793&lt;0.75,"Needs Improvement",IF(AJ793&lt;0.9,"Good","Excellent")))))</f>
        <v/>
      </c>
    </row>
    <row r="794" spans="1:40" ht="15" customHeight="1" x14ac:dyDescent="0.25">
      <c r="A794" s="29" t="str">
        <f>IF($B794="","",TEXT($B794,"yyyymmdd")&amp;"-"&amp;SUBSTITUTE($F794," ","")&amp;"-"&amp;TEXT(COUNTIF($F$4:F794,$F794),"00"))</f>
        <v/>
      </c>
      <c r="C794" s="29" t="str">
        <f>IF($B794="","",WEEKNUM($B794,2))</f>
        <v/>
      </c>
      <c r="D794" s="29" t="str">
        <f>IF($B794="","",TEXT($B794,"yyyy-mm"))</f>
        <v/>
      </c>
      <c r="G794" s="29" t="str">
        <f>IF(OR($E794="",$F794=""),"",IFERROR(IF($E794=INDEX([1]Cluster_Master!$A$4:$A$18,MATCH($F794,[1]Cluster_Master!$B$4:$B$18,0)),"OK","CHECK"),"CHECK"))</f>
        <v/>
      </c>
      <c r="H794" s="29" t="str">
        <f>IFERROR(INDEX([1]Cluster_Master!$C$4:$C$18,MATCH($F794,[1]Cluster_Master!$B$4:$B$18,0)),"")</f>
        <v/>
      </c>
      <c r="I794" s="29" t="str">
        <f>IFERROR(INDEX([1]Cluster_Master!$D$4:$D$18,MATCH($F794,[1]Cluster_Master!$B$4:$B$18,0)),"")</f>
        <v/>
      </c>
      <c r="J794" s="29" t="str">
        <f>IFERROR(INDEX([1]Cluster_Master!$E$4:$E$18,MATCH($F794,[1]Cluster_Master!$B$4:$B$18,0)),"")</f>
        <v/>
      </c>
      <c r="K794" s="29" t="str">
        <f>IFERROR(INDEX([1]Cluster_Master!$F$4:$F$18,MATCH($F794,[1]Cluster_Master!$B$4:$B$18,0)),"")</f>
        <v/>
      </c>
      <c r="L794" s="29" t="str">
        <f>IFERROR(INDEX([1]Cluster_Master!$G$4:$G$18,MATCH($F794,[1]Cluster_Master!$B$4:$B$18,0)),"")</f>
        <v/>
      </c>
      <c r="M794" s="29" t="str">
        <f>IFERROR(INDEX([1]Cluster_Master!$H$4:$H$18,MATCH($F794,[1]Cluster_Master!$B$4:$B$18,0)),"")</f>
        <v/>
      </c>
      <c r="AI794" s="29" t="str">
        <f>IF(COUNTA(T794:AH794)=0,"",SUM(T794:AH794))</f>
        <v/>
      </c>
      <c r="AJ794" s="29" t="str">
        <f>IF(COUNTA(T794:AH794)=0,"",AI794/75)</f>
        <v/>
      </c>
      <c r="AK794" s="29" t="str">
        <f>IF(COUNTA(T794:AH794)=0,"",(SUM(T794*[1]KPI_Weights!$B$4,U794*[1]KPI_Weights!$B$5,V794*[1]KPI_Weights!$B$6,W794*[1]KPI_Weights!$B$7,X794*[1]KPI_Weights!$B$8,Y794*[1]KPI_Weights!$B$9,Z794*[1]KPI_Weights!$B$10,AA794*[1]KPI_Weights!$B$11,AB794*[1]KPI_Weights!$B$12,AC794*[1]KPI_Weights!$B$13,AD794*[1]KPI_Weights!$B$14,AE794*[1]KPI_Weights!$B$15,AF794*[1]KPI_Weights!$B$16,AG794*[1]KPI_Weights!$B$17,AH794*[1]KPI_Weights!$B$18))/5)</f>
        <v/>
      </c>
      <c r="AL794" s="29" t="str">
        <f>IF(COUNTA(T794:AH794)=0,"",IF(OR(T794&lt;=1,W794&lt;=1,X794&lt;=1,Y794&lt;=1,AB794&lt;=1),"YES","NO"))</f>
        <v/>
      </c>
      <c r="AM794" s="29" t="str">
        <f>IF(AJ794="","",IF(AND(AL794="NO",AJ794&gt;=0.75),"YES","NO"))</f>
        <v/>
      </c>
      <c r="AN794" s="29" t="str">
        <f>IF(AJ794="","",IF(AJ794&lt;0.4,"Critical",IF(AJ794&lt;0.6,"Poor",IF(AJ794&lt;0.75,"Needs Improvement",IF(AJ794&lt;0.9,"Good","Excellent")))))</f>
        <v/>
      </c>
    </row>
    <row r="795" spans="1:40" ht="15" customHeight="1" x14ac:dyDescent="0.25">
      <c r="A795" s="29" t="str">
        <f>IF($B795="","",TEXT($B795,"yyyymmdd")&amp;"-"&amp;SUBSTITUTE($F795," ","")&amp;"-"&amp;TEXT(COUNTIF($F$4:F795,$F795),"00"))</f>
        <v/>
      </c>
      <c r="C795" s="29" t="str">
        <f>IF($B795="","",WEEKNUM($B795,2))</f>
        <v/>
      </c>
      <c r="D795" s="29" t="str">
        <f>IF($B795="","",TEXT($B795,"yyyy-mm"))</f>
        <v/>
      </c>
      <c r="G795" s="29" t="str">
        <f>IF(OR($E795="",$F795=""),"",IFERROR(IF($E795=INDEX([1]Cluster_Master!$A$4:$A$18,MATCH($F795,[1]Cluster_Master!$B$4:$B$18,0)),"OK","CHECK"),"CHECK"))</f>
        <v/>
      </c>
      <c r="H795" s="29" t="str">
        <f>IFERROR(INDEX([1]Cluster_Master!$C$4:$C$18,MATCH($F795,[1]Cluster_Master!$B$4:$B$18,0)),"")</f>
        <v/>
      </c>
      <c r="I795" s="29" t="str">
        <f>IFERROR(INDEX([1]Cluster_Master!$D$4:$D$18,MATCH($F795,[1]Cluster_Master!$B$4:$B$18,0)),"")</f>
        <v/>
      </c>
      <c r="J795" s="29" t="str">
        <f>IFERROR(INDEX([1]Cluster_Master!$E$4:$E$18,MATCH($F795,[1]Cluster_Master!$B$4:$B$18,0)),"")</f>
        <v/>
      </c>
      <c r="K795" s="29" t="str">
        <f>IFERROR(INDEX([1]Cluster_Master!$F$4:$F$18,MATCH($F795,[1]Cluster_Master!$B$4:$B$18,0)),"")</f>
        <v/>
      </c>
      <c r="L795" s="29" t="str">
        <f>IFERROR(INDEX([1]Cluster_Master!$G$4:$G$18,MATCH($F795,[1]Cluster_Master!$B$4:$B$18,0)),"")</f>
        <v/>
      </c>
      <c r="M795" s="29" t="str">
        <f>IFERROR(INDEX([1]Cluster_Master!$H$4:$H$18,MATCH($F795,[1]Cluster_Master!$B$4:$B$18,0)),"")</f>
        <v/>
      </c>
      <c r="AI795" s="29" t="str">
        <f>IF(COUNTA(T795:AH795)=0,"",SUM(T795:AH795))</f>
        <v/>
      </c>
      <c r="AJ795" s="29" t="str">
        <f>IF(COUNTA(T795:AH795)=0,"",AI795/75)</f>
        <v/>
      </c>
      <c r="AK795" s="29" t="str">
        <f>IF(COUNTA(T795:AH795)=0,"",(SUM(T795*[1]KPI_Weights!$B$4,U795*[1]KPI_Weights!$B$5,V795*[1]KPI_Weights!$B$6,W795*[1]KPI_Weights!$B$7,X795*[1]KPI_Weights!$B$8,Y795*[1]KPI_Weights!$B$9,Z795*[1]KPI_Weights!$B$10,AA795*[1]KPI_Weights!$B$11,AB795*[1]KPI_Weights!$B$12,AC795*[1]KPI_Weights!$B$13,AD795*[1]KPI_Weights!$B$14,AE795*[1]KPI_Weights!$B$15,AF795*[1]KPI_Weights!$B$16,AG795*[1]KPI_Weights!$B$17,AH795*[1]KPI_Weights!$B$18))/5)</f>
        <v/>
      </c>
      <c r="AL795" s="29" t="str">
        <f>IF(COUNTA(T795:AH795)=0,"",IF(OR(T795&lt;=1,W795&lt;=1,X795&lt;=1,Y795&lt;=1,AB795&lt;=1),"YES","NO"))</f>
        <v/>
      </c>
      <c r="AM795" s="29" t="str">
        <f>IF(AJ795="","",IF(AND(AL795="NO",AJ795&gt;=0.75),"YES","NO"))</f>
        <v/>
      </c>
      <c r="AN795" s="29" t="str">
        <f>IF(AJ795="","",IF(AJ795&lt;0.4,"Critical",IF(AJ795&lt;0.6,"Poor",IF(AJ795&lt;0.75,"Needs Improvement",IF(AJ795&lt;0.9,"Good","Excellent")))))</f>
        <v/>
      </c>
    </row>
    <row r="796" spans="1:40" ht="15" customHeight="1" x14ac:dyDescent="0.25">
      <c r="A796" s="29" t="str">
        <f>IF($B796="","",TEXT($B796,"yyyymmdd")&amp;"-"&amp;SUBSTITUTE($F796," ","")&amp;"-"&amp;TEXT(COUNTIF($F$4:F796,$F796),"00"))</f>
        <v/>
      </c>
      <c r="C796" s="29" t="str">
        <f>IF($B796="","",WEEKNUM($B796,2))</f>
        <v/>
      </c>
      <c r="D796" s="29" t="str">
        <f>IF($B796="","",TEXT($B796,"yyyy-mm"))</f>
        <v/>
      </c>
      <c r="G796" s="29" t="str">
        <f>IF(OR($E796="",$F796=""),"",IFERROR(IF($E796=INDEX([1]Cluster_Master!$A$4:$A$18,MATCH($F796,[1]Cluster_Master!$B$4:$B$18,0)),"OK","CHECK"),"CHECK"))</f>
        <v/>
      </c>
      <c r="H796" s="29" t="str">
        <f>IFERROR(INDEX([1]Cluster_Master!$C$4:$C$18,MATCH($F796,[1]Cluster_Master!$B$4:$B$18,0)),"")</f>
        <v/>
      </c>
      <c r="I796" s="29" t="str">
        <f>IFERROR(INDEX([1]Cluster_Master!$D$4:$D$18,MATCH($F796,[1]Cluster_Master!$B$4:$B$18,0)),"")</f>
        <v/>
      </c>
      <c r="J796" s="29" t="str">
        <f>IFERROR(INDEX([1]Cluster_Master!$E$4:$E$18,MATCH($F796,[1]Cluster_Master!$B$4:$B$18,0)),"")</f>
        <v/>
      </c>
      <c r="K796" s="29" t="str">
        <f>IFERROR(INDEX([1]Cluster_Master!$F$4:$F$18,MATCH($F796,[1]Cluster_Master!$B$4:$B$18,0)),"")</f>
        <v/>
      </c>
      <c r="L796" s="29" t="str">
        <f>IFERROR(INDEX([1]Cluster_Master!$G$4:$G$18,MATCH($F796,[1]Cluster_Master!$B$4:$B$18,0)),"")</f>
        <v/>
      </c>
      <c r="M796" s="29" t="str">
        <f>IFERROR(INDEX([1]Cluster_Master!$H$4:$H$18,MATCH($F796,[1]Cluster_Master!$B$4:$B$18,0)),"")</f>
        <v/>
      </c>
      <c r="AI796" s="29" t="str">
        <f>IF(COUNTA(T796:AH796)=0,"",SUM(T796:AH796))</f>
        <v/>
      </c>
      <c r="AJ796" s="29" t="str">
        <f>IF(COUNTA(T796:AH796)=0,"",AI796/75)</f>
        <v/>
      </c>
      <c r="AK796" s="29" t="str">
        <f>IF(COUNTA(T796:AH796)=0,"",(SUM(T796*[1]KPI_Weights!$B$4,U796*[1]KPI_Weights!$B$5,V796*[1]KPI_Weights!$B$6,W796*[1]KPI_Weights!$B$7,X796*[1]KPI_Weights!$B$8,Y796*[1]KPI_Weights!$B$9,Z796*[1]KPI_Weights!$B$10,AA796*[1]KPI_Weights!$B$11,AB796*[1]KPI_Weights!$B$12,AC796*[1]KPI_Weights!$B$13,AD796*[1]KPI_Weights!$B$14,AE796*[1]KPI_Weights!$B$15,AF796*[1]KPI_Weights!$B$16,AG796*[1]KPI_Weights!$B$17,AH796*[1]KPI_Weights!$B$18))/5)</f>
        <v/>
      </c>
      <c r="AL796" s="29" t="str">
        <f>IF(COUNTA(T796:AH796)=0,"",IF(OR(T796&lt;=1,W796&lt;=1,X796&lt;=1,Y796&lt;=1,AB796&lt;=1),"YES","NO"))</f>
        <v/>
      </c>
      <c r="AM796" s="29" t="str">
        <f>IF(AJ796="","",IF(AND(AL796="NO",AJ796&gt;=0.75),"YES","NO"))</f>
        <v/>
      </c>
      <c r="AN796" s="29" t="str">
        <f>IF(AJ796="","",IF(AJ796&lt;0.4,"Critical",IF(AJ796&lt;0.6,"Poor",IF(AJ796&lt;0.75,"Needs Improvement",IF(AJ796&lt;0.9,"Good","Excellent")))))</f>
        <v/>
      </c>
    </row>
    <row r="797" spans="1:40" ht="15" customHeight="1" x14ac:dyDescent="0.25">
      <c r="A797" s="29" t="str">
        <f>IF($B797="","",TEXT($B797,"yyyymmdd")&amp;"-"&amp;SUBSTITUTE($F797," ","")&amp;"-"&amp;TEXT(COUNTIF($F$4:F797,$F797),"00"))</f>
        <v/>
      </c>
      <c r="C797" s="29" t="str">
        <f>IF($B797="","",WEEKNUM($B797,2))</f>
        <v/>
      </c>
      <c r="D797" s="29" t="str">
        <f>IF($B797="","",TEXT($B797,"yyyy-mm"))</f>
        <v/>
      </c>
      <c r="G797" s="29" t="str">
        <f>IF(OR($E797="",$F797=""),"",IFERROR(IF($E797=INDEX([1]Cluster_Master!$A$4:$A$18,MATCH($F797,[1]Cluster_Master!$B$4:$B$18,0)),"OK","CHECK"),"CHECK"))</f>
        <v/>
      </c>
      <c r="H797" s="29" t="str">
        <f>IFERROR(INDEX([1]Cluster_Master!$C$4:$C$18,MATCH($F797,[1]Cluster_Master!$B$4:$B$18,0)),"")</f>
        <v/>
      </c>
      <c r="I797" s="29" t="str">
        <f>IFERROR(INDEX([1]Cluster_Master!$D$4:$D$18,MATCH($F797,[1]Cluster_Master!$B$4:$B$18,0)),"")</f>
        <v/>
      </c>
      <c r="J797" s="29" t="str">
        <f>IFERROR(INDEX([1]Cluster_Master!$E$4:$E$18,MATCH($F797,[1]Cluster_Master!$B$4:$B$18,0)),"")</f>
        <v/>
      </c>
      <c r="K797" s="29" t="str">
        <f>IFERROR(INDEX([1]Cluster_Master!$F$4:$F$18,MATCH($F797,[1]Cluster_Master!$B$4:$B$18,0)),"")</f>
        <v/>
      </c>
      <c r="L797" s="29" t="str">
        <f>IFERROR(INDEX([1]Cluster_Master!$G$4:$G$18,MATCH($F797,[1]Cluster_Master!$B$4:$B$18,0)),"")</f>
        <v/>
      </c>
      <c r="M797" s="29" t="str">
        <f>IFERROR(INDEX([1]Cluster_Master!$H$4:$H$18,MATCH($F797,[1]Cluster_Master!$B$4:$B$18,0)),"")</f>
        <v/>
      </c>
      <c r="AI797" s="29" t="str">
        <f>IF(COUNTA(T797:AH797)=0,"",SUM(T797:AH797))</f>
        <v/>
      </c>
      <c r="AJ797" s="29" t="str">
        <f>IF(COUNTA(T797:AH797)=0,"",AI797/75)</f>
        <v/>
      </c>
      <c r="AK797" s="29" t="str">
        <f>IF(COUNTA(T797:AH797)=0,"",(SUM(T797*[1]KPI_Weights!$B$4,U797*[1]KPI_Weights!$B$5,V797*[1]KPI_Weights!$B$6,W797*[1]KPI_Weights!$B$7,X797*[1]KPI_Weights!$B$8,Y797*[1]KPI_Weights!$B$9,Z797*[1]KPI_Weights!$B$10,AA797*[1]KPI_Weights!$B$11,AB797*[1]KPI_Weights!$B$12,AC797*[1]KPI_Weights!$B$13,AD797*[1]KPI_Weights!$B$14,AE797*[1]KPI_Weights!$B$15,AF797*[1]KPI_Weights!$B$16,AG797*[1]KPI_Weights!$B$17,AH797*[1]KPI_Weights!$B$18))/5)</f>
        <v/>
      </c>
      <c r="AL797" s="29" t="str">
        <f>IF(COUNTA(T797:AH797)=0,"",IF(OR(T797&lt;=1,W797&lt;=1,X797&lt;=1,Y797&lt;=1,AB797&lt;=1),"YES","NO"))</f>
        <v/>
      </c>
      <c r="AM797" s="29" t="str">
        <f>IF(AJ797="","",IF(AND(AL797="NO",AJ797&gt;=0.75),"YES","NO"))</f>
        <v/>
      </c>
      <c r="AN797" s="29" t="str">
        <f>IF(AJ797="","",IF(AJ797&lt;0.4,"Critical",IF(AJ797&lt;0.6,"Poor",IF(AJ797&lt;0.75,"Needs Improvement",IF(AJ797&lt;0.9,"Good","Excellent")))))</f>
        <v/>
      </c>
    </row>
    <row r="798" spans="1:40" ht="15" customHeight="1" x14ac:dyDescent="0.25">
      <c r="A798" s="29" t="str">
        <f>IF($B798="","",TEXT($B798,"yyyymmdd")&amp;"-"&amp;SUBSTITUTE($F798," ","")&amp;"-"&amp;TEXT(COUNTIF($F$4:F798,$F798),"00"))</f>
        <v/>
      </c>
      <c r="C798" s="29" t="str">
        <f>IF($B798="","",WEEKNUM($B798,2))</f>
        <v/>
      </c>
      <c r="D798" s="29" t="str">
        <f>IF($B798="","",TEXT($B798,"yyyy-mm"))</f>
        <v/>
      </c>
      <c r="G798" s="29" t="str">
        <f>IF(OR($E798="",$F798=""),"",IFERROR(IF($E798=INDEX([1]Cluster_Master!$A$4:$A$18,MATCH($F798,[1]Cluster_Master!$B$4:$B$18,0)),"OK","CHECK"),"CHECK"))</f>
        <v/>
      </c>
      <c r="H798" s="29" t="str">
        <f>IFERROR(INDEX([1]Cluster_Master!$C$4:$C$18,MATCH($F798,[1]Cluster_Master!$B$4:$B$18,0)),"")</f>
        <v/>
      </c>
      <c r="I798" s="29" t="str">
        <f>IFERROR(INDEX([1]Cluster_Master!$D$4:$D$18,MATCH($F798,[1]Cluster_Master!$B$4:$B$18,0)),"")</f>
        <v/>
      </c>
      <c r="J798" s="29" t="str">
        <f>IFERROR(INDEX([1]Cluster_Master!$E$4:$E$18,MATCH($F798,[1]Cluster_Master!$B$4:$B$18,0)),"")</f>
        <v/>
      </c>
      <c r="K798" s="29" t="str">
        <f>IFERROR(INDEX([1]Cluster_Master!$F$4:$F$18,MATCH($F798,[1]Cluster_Master!$B$4:$B$18,0)),"")</f>
        <v/>
      </c>
      <c r="L798" s="29" t="str">
        <f>IFERROR(INDEX([1]Cluster_Master!$G$4:$G$18,MATCH($F798,[1]Cluster_Master!$B$4:$B$18,0)),"")</f>
        <v/>
      </c>
      <c r="M798" s="29" t="str">
        <f>IFERROR(INDEX([1]Cluster_Master!$H$4:$H$18,MATCH($F798,[1]Cluster_Master!$B$4:$B$18,0)),"")</f>
        <v/>
      </c>
      <c r="AI798" s="29" t="str">
        <f>IF(COUNTA(T798:AH798)=0,"",SUM(T798:AH798))</f>
        <v/>
      </c>
      <c r="AJ798" s="29" t="str">
        <f>IF(COUNTA(T798:AH798)=0,"",AI798/75)</f>
        <v/>
      </c>
      <c r="AK798" s="29" t="str">
        <f>IF(COUNTA(T798:AH798)=0,"",(SUM(T798*[1]KPI_Weights!$B$4,U798*[1]KPI_Weights!$B$5,V798*[1]KPI_Weights!$B$6,W798*[1]KPI_Weights!$B$7,X798*[1]KPI_Weights!$B$8,Y798*[1]KPI_Weights!$B$9,Z798*[1]KPI_Weights!$B$10,AA798*[1]KPI_Weights!$B$11,AB798*[1]KPI_Weights!$B$12,AC798*[1]KPI_Weights!$B$13,AD798*[1]KPI_Weights!$B$14,AE798*[1]KPI_Weights!$B$15,AF798*[1]KPI_Weights!$B$16,AG798*[1]KPI_Weights!$B$17,AH798*[1]KPI_Weights!$B$18))/5)</f>
        <v/>
      </c>
      <c r="AL798" s="29" t="str">
        <f>IF(COUNTA(T798:AH798)=0,"",IF(OR(T798&lt;=1,W798&lt;=1,X798&lt;=1,Y798&lt;=1,AB798&lt;=1),"YES","NO"))</f>
        <v/>
      </c>
      <c r="AM798" s="29" t="str">
        <f>IF(AJ798="","",IF(AND(AL798="NO",AJ798&gt;=0.75),"YES","NO"))</f>
        <v/>
      </c>
      <c r="AN798" s="29" t="str">
        <f>IF(AJ798="","",IF(AJ798&lt;0.4,"Critical",IF(AJ798&lt;0.6,"Poor",IF(AJ798&lt;0.75,"Needs Improvement",IF(AJ798&lt;0.9,"Good","Excellent")))))</f>
        <v/>
      </c>
    </row>
    <row r="799" spans="1:40" ht="15" customHeight="1" x14ac:dyDescent="0.25">
      <c r="A799" s="29" t="str">
        <f>IF($B799="","",TEXT($B799,"yyyymmdd")&amp;"-"&amp;SUBSTITUTE($F799," ","")&amp;"-"&amp;TEXT(COUNTIF($F$4:F799,$F799),"00"))</f>
        <v/>
      </c>
      <c r="C799" s="29" t="str">
        <f>IF($B799="","",WEEKNUM($B799,2))</f>
        <v/>
      </c>
      <c r="D799" s="29" t="str">
        <f>IF($B799="","",TEXT($B799,"yyyy-mm"))</f>
        <v/>
      </c>
      <c r="G799" s="29" t="str">
        <f>IF(OR($E799="",$F799=""),"",IFERROR(IF($E799=INDEX([1]Cluster_Master!$A$4:$A$18,MATCH($F799,[1]Cluster_Master!$B$4:$B$18,0)),"OK","CHECK"),"CHECK"))</f>
        <v/>
      </c>
      <c r="H799" s="29" t="str">
        <f>IFERROR(INDEX([1]Cluster_Master!$C$4:$C$18,MATCH($F799,[1]Cluster_Master!$B$4:$B$18,0)),"")</f>
        <v/>
      </c>
      <c r="I799" s="29" t="str">
        <f>IFERROR(INDEX([1]Cluster_Master!$D$4:$D$18,MATCH($F799,[1]Cluster_Master!$B$4:$B$18,0)),"")</f>
        <v/>
      </c>
      <c r="J799" s="29" t="str">
        <f>IFERROR(INDEX([1]Cluster_Master!$E$4:$E$18,MATCH($F799,[1]Cluster_Master!$B$4:$B$18,0)),"")</f>
        <v/>
      </c>
      <c r="K799" s="29" t="str">
        <f>IFERROR(INDEX([1]Cluster_Master!$F$4:$F$18,MATCH($F799,[1]Cluster_Master!$B$4:$B$18,0)),"")</f>
        <v/>
      </c>
      <c r="L799" s="29" t="str">
        <f>IFERROR(INDEX([1]Cluster_Master!$G$4:$G$18,MATCH($F799,[1]Cluster_Master!$B$4:$B$18,0)),"")</f>
        <v/>
      </c>
      <c r="M799" s="29" t="str">
        <f>IFERROR(INDEX([1]Cluster_Master!$H$4:$H$18,MATCH($F799,[1]Cluster_Master!$B$4:$B$18,0)),"")</f>
        <v/>
      </c>
      <c r="AI799" s="29" t="str">
        <f>IF(COUNTA(T799:AH799)=0,"",SUM(T799:AH799))</f>
        <v/>
      </c>
      <c r="AJ799" s="29" t="str">
        <f>IF(COUNTA(T799:AH799)=0,"",AI799/75)</f>
        <v/>
      </c>
      <c r="AK799" s="29" t="str">
        <f>IF(COUNTA(T799:AH799)=0,"",(SUM(T799*[1]KPI_Weights!$B$4,U799*[1]KPI_Weights!$B$5,V799*[1]KPI_Weights!$B$6,W799*[1]KPI_Weights!$B$7,X799*[1]KPI_Weights!$B$8,Y799*[1]KPI_Weights!$B$9,Z799*[1]KPI_Weights!$B$10,AA799*[1]KPI_Weights!$B$11,AB799*[1]KPI_Weights!$B$12,AC799*[1]KPI_Weights!$B$13,AD799*[1]KPI_Weights!$B$14,AE799*[1]KPI_Weights!$B$15,AF799*[1]KPI_Weights!$B$16,AG799*[1]KPI_Weights!$B$17,AH799*[1]KPI_Weights!$B$18))/5)</f>
        <v/>
      </c>
      <c r="AL799" s="29" t="str">
        <f>IF(COUNTA(T799:AH799)=0,"",IF(OR(T799&lt;=1,W799&lt;=1,X799&lt;=1,Y799&lt;=1,AB799&lt;=1),"YES","NO"))</f>
        <v/>
      </c>
      <c r="AM799" s="29" t="str">
        <f>IF(AJ799="","",IF(AND(AL799="NO",AJ799&gt;=0.75),"YES","NO"))</f>
        <v/>
      </c>
      <c r="AN799" s="29" t="str">
        <f>IF(AJ799="","",IF(AJ799&lt;0.4,"Critical",IF(AJ799&lt;0.6,"Poor",IF(AJ799&lt;0.75,"Needs Improvement",IF(AJ799&lt;0.9,"Good","Excellent")))))</f>
        <v/>
      </c>
    </row>
    <row r="800" spans="1:40" ht="15" customHeight="1" x14ac:dyDescent="0.25">
      <c r="A800" s="29" t="str">
        <f>IF($B800="","",TEXT($B800,"yyyymmdd")&amp;"-"&amp;SUBSTITUTE($F800," ","")&amp;"-"&amp;TEXT(COUNTIF($F$4:F800,$F800),"00"))</f>
        <v/>
      </c>
      <c r="C800" s="29" t="str">
        <f>IF($B800="","",WEEKNUM($B800,2))</f>
        <v/>
      </c>
      <c r="D800" s="29" t="str">
        <f>IF($B800="","",TEXT($B800,"yyyy-mm"))</f>
        <v/>
      </c>
      <c r="G800" s="29" t="str">
        <f>IF(OR($E800="",$F800=""),"",IFERROR(IF($E800=INDEX([1]Cluster_Master!$A$4:$A$18,MATCH($F800,[1]Cluster_Master!$B$4:$B$18,0)),"OK","CHECK"),"CHECK"))</f>
        <v/>
      </c>
      <c r="H800" s="29" t="str">
        <f>IFERROR(INDEX([1]Cluster_Master!$C$4:$C$18,MATCH($F800,[1]Cluster_Master!$B$4:$B$18,0)),"")</f>
        <v/>
      </c>
      <c r="I800" s="29" t="str">
        <f>IFERROR(INDEX([1]Cluster_Master!$D$4:$D$18,MATCH($F800,[1]Cluster_Master!$B$4:$B$18,0)),"")</f>
        <v/>
      </c>
      <c r="J800" s="29" t="str">
        <f>IFERROR(INDEX([1]Cluster_Master!$E$4:$E$18,MATCH($F800,[1]Cluster_Master!$B$4:$B$18,0)),"")</f>
        <v/>
      </c>
      <c r="K800" s="29" t="str">
        <f>IFERROR(INDEX([1]Cluster_Master!$F$4:$F$18,MATCH($F800,[1]Cluster_Master!$B$4:$B$18,0)),"")</f>
        <v/>
      </c>
      <c r="L800" s="29" t="str">
        <f>IFERROR(INDEX([1]Cluster_Master!$G$4:$G$18,MATCH($F800,[1]Cluster_Master!$B$4:$B$18,0)),"")</f>
        <v/>
      </c>
      <c r="M800" s="29" t="str">
        <f>IFERROR(INDEX([1]Cluster_Master!$H$4:$H$18,MATCH($F800,[1]Cluster_Master!$B$4:$B$18,0)),"")</f>
        <v/>
      </c>
      <c r="AI800" s="29" t="str">
        <f>IF(COUNTA(T800:AH800)=0,"",SUM(T800:AH800))</f>
        <v/>
      </c>
      <c r="AJ800" s="29" t="str">
        <f>IF(COUNTA(T800:AH800)=0,"",AI800/75)</f>
        <v/>
      </c>
      <c r="AK800" s="29" t="str">
        <f>IF(COUNTA(T800:AH800)=0,"",(SUM(T800*[1]KPI_Weights!$B$4,U800*[1]KPI_Weights!$B$5,V800*[1]KPI_Weights!$B$6,W800*[1]KPI_Weights!$B$7,X800*[1]KPI_Weights!$B$8,Y800*[1]KPI_Weights!$B$9,Z800*[1]KPI_Weights!$B$10,AA800*[1]KPI_Weights!$B$11,AB800*[1]KPI_Weights!$B$12,AC800*[1]KPI_Weights!$B$13,AD800*[1]KPI_Weights!$B$14,AE800*[1]KPI_Weights!$B$15,AF800*[1]KPI_Weights!$B$16,AG800*[1]KPI_Weights!$B$17,AH800*[1]KPI_Weights!$B$18))/5)</f>
        <v/>
      </c>
      <c r="AL800" s="29" t="str">
        <f>IF(COUNTA(T800:AH800)=0,"",IF(OR(T800&lt;=1,W800&lt;=1,X800&lt;=1,Y800&lt;=1,AB800&lt;=1),"YES","NO"))</f>
        <v/>
      </c>
      <c r="AM800" s="29" t="str">
        <f>IF(AJ800="","",IF(AND(AL800="NO",AJ800&gt;=0.75),"YES","NO"))</f>
        <v/>
      </c>
      <c r="AN800" s="29" t="str">
        <f>IF(AJ800="","",IF(AJ800&lt;0.4,"Critical",IF(AJ800&lt;0.6,"Poor",IF(AJ800&lt;0.75,"Needs Improvement",IF(AJ800&lt;0.9,"Good","Excellent")))))</f>
        <v/>
      </c>
    </row>
    <row r="801" spans="1:40" ht="15" customHeight="1" x14ac:dyDescent="0.25">
      <c r="A801" s="29" t="str">
        <f>IF($B801="","",TEXT($B801,"yyyymmdd")&amp;"-"&amp;SUBSTITUTE($F801," ","")&amp;"-"&amp;TEXT(COUNTIF($F$4:F801,$F801),"00"))</f>
        <v/>
      </c>
      <c r="C801" s="29" t="str">
        <f>IF($B801="","",WEEKNUM($B801,2))</f>
        <v/>
      </c>
      <c r="D801" s="29" t="str">
        <f>IF($B801="","",TEXT($B801,"yyyy-mm"))</f>
        <v/>
      </c>
      <c r="G801" s="29" t="str">
        <f>IF(OR($E801="",$F801=""),"",IFERROR(IF($E801=INDEX([1]Cluster_Master!$A$4:$A$18,MATCH($F801,[1]Cluster_Master!$B$4:$B$18,0)),"OK","CHECK"),"CHECK"))</f>
        <v/>
      </c>
      <c r="H801" s="29" t="str">
        <f>IFERROR(INDEX([1]Cluster_Master!$C$4:$C$18,MATCH($F801,[1]Cluster_Master!$B$4:$B$18,0)),"")</f>
        <v/>
      </c>
      <c r="I801" s="29" t="str">
        <f>IFERROR(INDEX([1]Cluster_Master!$D$4:$D$18,MATCH($F801,[1]Cluster_Master!$B$4:$B$18,0)),"")</f>
        <v/>
      </c>
      <c r="J801" s="29" t="str">
        <f>IFERROR(INDEX([1]Cluster_Master!$E$4:$E$18,MATCH($F801,[1]Cluster_Master!$B$4:$B$18,0)),"")</f>
        <v/>
      </c>
      <c r="K801" s="29" t="str">
        <f>IFERROR(INDEX([1]Cluster_Master!$F$4:$F$18,MATCH($F801,[1]Cluster_Master!$B$4:$B$18,0)),"")</f>
        <v/>
      </c>
      <c r="L801" s="29" t="str">
        <f>IFERROR(INDEX([1]Cluster_Master!$G$4:$G$18,MATCH($F801,[1]Cluster_Master!$B$4:$B$18,0)),"")</f>
        <v/>
      </c>
      <c r="M801" s="29" t="str">
        <f>IFERROR(INDEX([1]Cluster_Master!$H$4:$H$18,MATCH($F801,[1]Cluster_Master!$B$4:$B$18,0)),"")</f>
        <v/>
      </c>
      <c r="AI801" s="29" t="str">
        <f>IF(COUNTA(T801:AH801)=0,"",SUM(T801:AH801))</f>
        <v/>
      </c>
      <c r="AJ801" s="29" t="str">
        <f>IF(COUNTA(T801:AH801)=0,"",AI801/75)</f>
        <v/>
      </c>
      <c r="AK801" s="29" t="str">
        <f>IF(COUNTA(T801:AH801)=0,"",(SUM(T801*[1]KPI_Weights!$B$4,U801*[1]KPI_Weights!$B$5,V801*[1]KPI_Weights!$B$6,W801*[1]KPI_Weights!$B$7,X801*[1]KPI_Weights!$B$8,Y801*[1]KPI_Weights!$B$9,Z801*[1]KPI_Weights!$B$10,AA801*[1]KPI_Weights!$B$11,AB801*[1]KPI_Weights!$B$12,AC801*[1]KPI_Weights!$B$13,AD801*[1]KPI_Weights!$B$14,AE801*[1]KPI_Weights!$B$15,AF801*[1]KPI_Weights!$B$16,AG801*[1]KPI_Weights!$B$17,AH801*[1]KPI_Weights!$B$18))/5)</f>
        <v/>
      </c>
      <c r="AL801" s="29" t="str">
        <f>IF(COUNTA(T801:AH801)=0,"",IF(OR(T801&lt;=1,W801&lt;=1,X801&lt;=1,Y801&lt;=1,AB801&lt;=1),"YES","NO"))</f>
        <v/>
      </c>
      <c r="AM801" s="29" t="str">
        <f>IF(AJ801="","",IF(AND(AL801="NO",AJ801&gt;=0.75),"YES","NO"))</f>
        <v/>
      </c>
      <c r="AN801" s="29" t="str">
        <f>IF(AJ801="","",IF(AJ801&lt;0.4,"Critical",IF(AJ801&lt;0.6,"Poor",IF(AJ801&lt;0.75,"Needs Improvement",IF(AJ801&lt;0.9,"Good","Excellent")))))</f>
        <v/>
      </c>
    </row>
    <row r="802" spans="1:40" ht="15" customHeight="1" x14ac:dyDescent="0.25">
      <c r="A802" s="29" t="str">
        <f>IF($B802="","",TEXT($B802,"yyyymmdd")&amp;"-"&amp;SUBSTITUTE($F802," ","")&amp;"-"&amp;TEXT(COUNTIF($F$4:F802,$F802),"00"))</f>
        <v/>
      </c>
      <c r="C802" s="29" t="str">
        <f>IF($B802="","",WEEKNUM($B802,2))</f>
        <v/>
      </c>
      <c r="D802" s="29" t="str">
        <f>IF($B802="","",TEXT($B802,"yyyy-mm"))</f>
        <v/>
      </c>
      <c r="G802" s="29" t="str">
        <f>IF(OR($E802="",$F802=""),"",IFERROR(IF($E802=INDEX([1]Cluster_Master!$A$4:$A$18,MATCH($F802,[1]Cluster_Master!$B$4:$B$18,0)),"OK","CHECK"),"CHECK"))</f>
        <v/>
      </c>
      <c r="H802" s="29" t="str">
        <f>IFERROR(INDEX([1]Cluster_Master!$C$4:$C$18,MATCH($F802,[1]Cluster_Master!$B$4:$B$18,0)),"")</f>
        <v/>
      </c>
      <c r="I802" s="29" t="str">
        <f>IFERROR(INDEX([1]Cluster_Master!$D$4:$D$18,MATCH($F802,[1]Cluster_Master!$B$4:$B$18,0)),"")</f>
        <v/>
      </c>
      <c r="J802" s="29" t="str">
        <f>IFERROR(INDEX([1]Cluster_Master!$E$4:$E$18,MATCH($F802,[1]Cluster_Master!$B$4:$B$18,0)),"")</f>
        <v/>
      </c>
      <c r="K802" s="29" t="str">
        <f>IFERROR(INDEX([1]Cluster_Master!$F$4:$F$18,MATCH($F802,[1]Cluster_Master!$B$4:$B$18,0)),"")</f>
        <v/>
      </c>
      <c r="L802" s="29" t="str">
        <f>IFERROR(INDEX([1]Cluster_Master!$G$4:$G$18,MATCH($F802,[1]Cluster_Master!$B$4:$B$18,0)),"")</f>
        <v/>
      </c>
      <c r="M802" s="29" t="str">
        <f>IFERROR(INDEX([1]Cluster_Master!$H$4:$H$18,MATCH($F802,[1]Cluster_Master!$B$4:$B$18,0)),"")</f>
        <v/>
      </c>
      <c r="AI802" s="29" t="str">
        <f>IF(COUNTA(T802:AH802)=0,"",SUM(T802:AH802))</f>
        <v/>
      </c>
      <c r="AJ802" s="29" t="str">
        <f>IF(COUNTA(T802:AH802)=0,"",AI802/75)</f>
        <v/>
      </c>
      <c r="AK802" s="29" t="str">
        <f>IF(COUNTA(T802:AH802)=0,"",(SUM(T802*[1]KPI_Weights!$B$4,U802*[1]KPI_Weights!$B$5,V802*[1]KPI_Weights!$B$6,W802*[1]KPI_Weights!$B$7,X802*[1]KPI_Weights!$B$8,Y802*[1]KPI_Weights!$B$9,Z802*[1]KPI_Weights!$B$10,AA802*[1]KPI_Weights!$B$11,AB802*[1]KPI_Weights!$B$12,AC802*[1]KPI_Weights!$B$13,AD802*[1]KPI_Weights!$B$14,AE802*[1]KPI_Weights!$B$15,AF802*[1]KPI_Weights!$B$16,AG802*[1]KPI_Weights!$B$17,AH802*[1]KPI_Weights!$B$18))/5)</f>
        <v/>
      </c>
      <c r="AL802" s="29" t="str">
        <f>IF(COUNTA(T802:AH802)=0,"",IF(OR(T802&lt;=1,W802&lt;=1,X802&lt;=1,Y802&lt;=1,AB802&lt;=1),"YES","NO"))</f>
        <v/>
      </c>
      <c r="AM802" s="29" t="str">
        <f>IF(AJ802="","",IF(AND(AL802="NO",AJ802&gt;=0.75),"YES","NO"))</f>
        <v/>
      </c>
      <c r="AN802" s="29" t="str">
        <f>IF(AJ802="","",IF(AJ802&lt;0.4,"Critical",IF(AJ802&lt;0.6,"Poor",IF(AJ802&lt;0.75,"Needs Improvement",IF(AJ802&lt;0.9,"Good","Excellent")))))</f>
        <v/>
      </c>
    </row>
    <row r="803" spans="1:40" ht="15" customHeight="1" x14ac:dyDescent="0.25">
      <c r="A803" s="29" t="str">
        <f>IF($B803="","",TEXT($B803,"yyyymmdd")&amp;"-"&amp;SUBSTITUTE($F803," ","")&amp;"-"&amp;TEXT(COUNTIF($F$4:F803,$F803),"00"))</f>
        <v/>
      </c>
      <c r="C803" s="29" t="str">
        <f>IF($B803="","",WEEKNUM($B803,2))</f>
        <v/>
      </c>
      <c r="D803" s="29" t="str">
        <f>IF($B803="","",TEXT($B803,"yyyy-mm"))</f>
        <v/>
      </c>
      <c r="G803" s="29" t="str">
        <f>IF(OR($E803="",$F803=""),"",IFERROR(IF($E803=INDEX([1]Cluster_Master!$A$4:$A$18,MATCH($F803,[1]Cluster_Master!$B$4:$B$18,0)),"OK","CHECK"),"CHECK"))</f>
        <v/>
      </c>
      <c r="H803" s="29" t="str">
        <f>IFERROR(INDEX([1]Cluster_Master!$C$4:$C$18,MATCH($F803,[1]Cluster_Master!$B$4:$B$18,0)),"")</f>
        <v/>
      </c>
      <c r="I803" s="29" t="str">
        <f>IFERROR(INDEX([1]Cluster_Master!$D$4:$D$18,MATCH($F803,[1]Cluster_Master!$B$4:$B$18,0)),"")</f>
        <v/>
      </c>
      <c r="J803" s="29" t="str">
        <f>IFERROR(INDEX([1]Cluster_Master!$E$4:$E$18,MATCH($F803,[1]Cluster_Master!$B$4:$B$18,0)),"")</f>
        <v/>
      </c>
      <c r="K803" s="29" t="str">
        <f>IFERROR(INDEX([1]Cluster_Master!$F$4:$F$18,MATCH($F803,[1]Cluster_Master!$B$4:$B$18,0)),"")</f>
        <v/>
      </c>
      <c r="L803" s="29" t="str">
        <f>IFERROR(INDEX([1]Cluster_Master!$G$4:$G$18,MATCH($F803,[1]Cluster_Master!$B$4:$B$18,0)),"")</f>
        <v/>
      </c>
      <c r="M803" s="29" t="str">
        <f>IFERROR(INDEX([1]Cluster_Master!$H$4:$H$18,MATCH($F803,[1]Cluster_Master!$B$4:$B$18,0)),"")</f>
        <v/>
      </c>
      <c r="AI803" s="29" t="str">
        <f>IF(COUNTA(T803:AH803)=0,"",SUM(T803:AH803))</f>
        <v/>
      </c>
      <c r="AJ803" s="29" t="str">
        <f>IF(COUNTA(T803:AH803)=0,"",AI803/75)</f>
        <v/>
      </c>
      <c r="AK803" s="29" t="str">
        <f>IF(COUNTA(T803:AH803)=0,"",(SUM(T803*[1]KPI_Weights!$B$4,U803*[1]KPI_Weights!$B$5,V803*[1]KPI_Weights!$B$6,W803*[1]KPI_Weights!$B$7,X803*[1]KPI_Weights!$B$8,Y803*[1]KPI_Weights!$B$9,Z803*[1]KPI_Weights!$B$10,AA803*[1]KPI_Weights!$B$11,AB803*[1]KPI_Weights!$B$12,AC803*[1]KPI_Weights!$B$13,AD803*[1]KPI_Weights!$B$14,AE803*[1]KPI_Weights!$B$15,AF803*[1]KPI_Weights!$B$16,AG803*[1]KPI_Weights!$B$17,AH803*[1]KPI_Weights!$B$18))/5)</f>
        <v/>
      </c>
      <c r="AL803" s="29" t="str">
        <f>IF(COUNTA(T803:AH803)=0,"",IF(OR(T803&lt;=1,W803&lt;=1,X803&lt;=1,Y803&lt;=1,AB803&lt;=1),"YES","NO"))</f>
        <v/>
      </c>
      <c r="AM803" s="29" t="str">
        <f>IF(AJ803="","",IF(AND(AL803="NO",AJ803&gt;=0.75),"YES","NO"))</f>
        <v/>
      </c>
      <c r="AN803" s="29" t="str">
        <f>IF(AJ803="","",IF(AJ803&lt;0.4,"Critical",IF(AJ803&lt;0.6,"Poor",IF(AJ803&lt;0.75,"Needs Improvement",IF(AJ803&lt;0.9,"Good","Excellent")))))</f>
        <v/>
      </c>
    </row>
    <row r="804" spans="1:40" ht="15" customHeight="1" x14ac:dyDescent="0.25">
      <c r="A804" s="29" t="str">
        <f>IF($B804="","",TEXT($B804,"yyyymmdd")&amp;"-"&amp;SUBSTITUTE($F804," ","")&amp;"-"&amp;TEXT(COUNTIF($F$4:F804,$F804),"00"))</f>
        <v/>
      </c>
      <c r="C804" s="29" t="str">
        <f>IF($B804="","",WEEKNUM($B804,2))</f>
        <v/>
      </c>
      <c r="D804" s="29" t="str">
        <f>IF($B804="","",TEXT($B804,"yyyy-mm"))</f>
        <v/>
      </c>
      <c r="G804" s="29" t="str">
        <f>IF(OR($E804="",$F804=""),"",IFERROR(IF($E804=INDEX([1]Cluster_Master!$A$4:$A$18,MATCH($F804,[1]Cluster_Master!$B$4:$B$18,0)),"OK","CHECK"),"CHECK"))</f>
        <v/>
      </c>
      <c r="H804" s="29" t="str">
        <f>IFERROR(INDEX([1]Cluster_Master!$C$4:$C$18,MATCH($F804,[1]Cluster_Master!$B$4:$B$18,0)),"")</f>
        <v/>
      </c>
      <c r="I804" s="29" t="str">
        <f>IFERROR(INDEX([1]Cluster_Master!$D$4:$D$18,MATCH($F804,[1]Cluster_Master!$B$4:$B$18,0)),"")</f>
        <v/>
      </c>
      <c r="J804" s="29" t="str">
        <f>IFERROR(INDEX([1]Cluster_Master!$E$4:$E$18,MATCH($F804,[1]Cluster_Master!$B$4:$B$18,0)),"")</f>
        <v/>
      </c>
      <c r="K804" s="29" t="str">
        <f>IFERROR(INDEX([1]Cluster_Master!$F$4:$F$18,MATCH($F804,[1]Cluster_Master!$B$4:$B$18,0)),"")</f>
        <v/>
      </c>
      <c r="L804" s="29" t="str">
        <f>IFERROR(INDEX([1]Cluster_Master!$G$4:$G$18,MATCH($F804,[1]Cluster_Master!$B$4:$B$18,0)),"")</f>
        <v/>
      </c>
      <c r="M804" s="29" t="str">
        <f>IFERROR(INDEX([1]Cluster_Master!$H$4:$H$18,MATCH($F804,[1]Cluster_Master!$B$4:$B$18,0)),"")</f>
        <v/>
      </c>
      <c r="AI804" s="29" t="str">
        <f>IF(COUNTA(T804:AH804)=0,"",SUM(T804:AH804))</f>
        <v/>
      </c>
      <c r="AJ804" s="29" t="str">
        <f>IF(COUNTA(T804:AH804)=0,"",AI804/75)</f>
        <v/>
      </c>
      <c r="AK804" s="29" t="str">
        <f>IF(COUNTA(T804:AH804)=0,"",(SUM(T804*[1]KPI_Weights!$B$4,U804*[1]KPI_Weights!$B$5,V804*[1]KPI_Weights!$B$6,W804*[1]KPI_Weights!$B$7,X804*[1]KPI_Weights!$B$8,Y804*[1]KPI_Weights!$B$9,Z804*[1]KPI_Weights!$B$10,AA804*[1]KPI_Weights!$B$11,AB804*[1]KPI_Weights!$B$12,AC804*[1]KPI_Weights!$B$13,AD804*[1]KPI_Weights!$B$14,AE804*[1]KPI_Weights!$B$15,AF804*[1]KPI_Weights!$B$16,AG804*[1]KPI_Weights!$B$17,AH804*[1]KPI_Weights!$B$18))/5)</f>
        <v/>
      </c>
      <c r="AL804" s="29" t="str">
        <f>IF(COUNTA(T804:AH804)=0,"",IF(OR(T804&lt;=1,W804&lt;=1,X804&lt;=1,Y804&lt;=1,AB804&lt;=1),"YES","NO"))</f>
        <v/>
      </c>
      <c r="AM804" s="29" t="str">
        <f>IF(AJ804="","",IF(AND(AL804="NO",AJ804&gt;=0.75),"YES","NO"))</f>
        <v/>
      </c>
      <c r="AN804" s="29" t="str">
        <f>IF(AJ804="","",IF(AJ804&lt;0.4,"Critical",IF(AJ804&lt;0.6,"Poor",IF(AJ804&lt;0.75,"Needs Improvement",IF(AJ804&lt;0.9,"Good","Excellent")))))</f>
        <v/>
      </c>
    </row>
    <row r="805" spans="1:40" ht="15" customHeight="1" x14ac:dyDescent="0.25">
      <c r="A805" s="29" t="str">
        <f>IF($B805="","",TEXT($B805,"yyyymmdd")&amp;"-"&amp;SUBSTITUTE($F805," ","")&amp;"-"&amp;TEXT(COUNTIF($F$4:F805,$F805),"00"))</f>
        <v/>
      </c>
      <c r="C805" s="29" t="str">
        <f>IF($B805="","",WEEKNUM($B805,2))</f>
        <v/>
      </c>
      <c r="D805" s="29" t="str">
        <f>IF($B805="","",TEXT($B805,"yyyy-mm"))</f>
        <v/>
      </c>
      <c r="G805" s="29" t="str">
        <f>IF(OR($E805="",$F805=""),"",IFERROR(IF($E805=INDEX([1]Cluster_Master!$A$4:$A$18,MATCH($F805,[1]Cluster_Master!$B$4:$B$18,0)),"OK","CHECK"),"CHECK"))</f>
        <v/>
      </c>
      <c r="H805" s="29" t="str">
        <f>IFERROR(INDEX([1]Cluster_Master!$C$4:$C$18,MATCH($F805,[1]Cluster_Master!$B$4:$B$18,0)),"")</f>
        <v/>
      </c>
      <c r="I805" s="29" t="str">
        <f>IFERROR(INDEX([1]Cluster_Master!$D$4:$D$18,MATCH($F805,[1]Cluster_Master!$B$4:$B$18,0)),"")</f>
        <v/>
      </c>
      <c r="J805" s="29" t="str">
        <f>IFERROR(INDEX([1]Cluster_Master!$E$4:$E$18,MATCH($F805,[1]Cluster_Master!$B$4:$B$18,0)),"")</f>
        <v/>
      </c>
      <c r="K805" s="29" t="str">
        <f>IFERROR(INDEX([1]Cluster_Master!$F$4:$F$18,MATCH($F805,[1]Cluster_Master!$B$4:$B$18,0)),"")</f>
        <v/>
      </c>
      <c r="L805" s="29" t="str">
        <f>IFERROR(INDEX([1]Cluster_Master!$G$4:$G$18,MATCH($F805,[1]Cluster_Master!$B$4:$B$18,0)),"")</f>
        <v/>
      </c>
      <c r="M805" s="29" t="str">
        <f>IFERROR(INDEX([1]Cluster_Master!$H$4:$H$18,MATCH($F805,[1]Cluster_Master!$B$4:$B$18,0)),"")</f>
        <v/>
      </c>
      <c r="AI805" s="29" t="str">
        <f>IF(COUNTA(T805:AH805)=0,"",SUM(T805:AH805))</f>
        <v/>
      </c>
      <c r="AJ805" s="29" t="str">
        <f>IF(COUNTA(T805:AH805)=0,"",AI805/75)</f>
        <v/>
      </c>
      <c r="AK805" s="29" t="str">
        <f>IF(COUNTA(T805:AH805)=0,"",(SUM(T805*[1]KPI_Weights!$B$4,U805*[1]KPI_Weights!$B$5,V805*[1]KPI_Weights!$B$6,W805*[1]KPI_Weights!$B$7,X805*[1]KPI_Weights!$B$8,Y805*[1]KPI_Weights!$B$9,Z805*[1]KPI_Weights!$B$10,AA805*[1]KPI_Weights!$B$11,AB805*[1]KPI_Weights!$B$12,AC805*[1]KPI_Weights!$B$13,AD805*[1]KPI_Weights!$B$14,AE805*[1]KPI_Weights!$B$15,AF805*[1]KPI_Weights!$B$16,AG805*[1]KPI_Weights!$B$17,AH805*[1]KPI_Weights!$B$18))/5)</f>
        <v/>
      </c>
      <c r="AL805" s="29" t="str">
        <f>IF(COUNTA(T805:AH805)=0,"",IF(OR(T805&lt;=1,W805&lt;=1,X805&lt;=1,Y805&lt;=1,AB805&lt;=1),"YES","NO"))</f>
        <v/>
      </c>
      <c r="AM805" s="29" t="str">
        <f>IF(AJ805="","",IF(AND(AL805="NO",AJ805&gt;=0.75),"YES","NO"))</f>
        <v/>
      </c>
      <c r="AN805" s="29" t="str">
        <f>IF(AJ805="","",IF(AJ805&lt;0.4,"Critical",IF(AJ805&lt;0.6,"Poor",IF(AJ805&lt;0.75,"Needs Improvement",IF(AJ805&lt;0.9,"Good","Excellent")))))</f>
        <v/>
      </c>
    </row>
    <row r="806" spans="1:40" ht="15" customHeight="1" x14ac:dyDescent="0.25">
      <c r="A806" s="29" t="str">
        <f>IF($B806="","",TEXT($B806,"yyyymmdd")&amp;"-"&amp;SUBSTITUTE($F806," ","")&amp;"-"&amp;TEXT(COUNTIF($F$4:F806,$F806),"00"))</f>
        <v/>
      </c>
      <c r="C806" s="29" t="str">
        <f>IF($B806="","",WEEKNUM($B806,2))</f>
        <v/>
      </c>
      <c r="D806" s="29" t="str">
        <f>IF($B806="","",TEXT($B806,"yyyy-mm"))</f>
        <v/>
      </c>
      <c r="G806" s="29" t="str">
        <f>IF(OR($E806="",$F806=""),"",IFERROR(IF($E806=INDEX([1]Cluster_Master!$A$4:$A$18,MATCH($F806,[1]Cluster_Master!$B$4:$B$18,0)),"OK","CHECK"),"CHECK"))</f>
        <v/>
      </c>
      <c r="H806" s="29" t="str">
        <f>IFERROR(INDEX([1]Cluster_Master!$C$4:$C$18,MATCH($F806,[1]Cluster_Master!$B$4:$B$18,0)),"")</f>
        <v/>
      </c>
      <c r="I806" s="29" t="str">
        <f>IFERROR(INDEX([1]Cluster_Master!$D$4:$D$18,MATCH($F806,[1]Cluster_Master!$B$4:$B$18,0)),"")</f>
        <v/>
      </c>
      <c r="J806" s="29" t="str">
        <f>IFERROR(INDEX([1]Cluster_Master!$E$4:$E$18,MATCH($F806,[1]Cluster_Master!$B$4:$B$18,0)),"")</f>
        <v/>
      </c>
      <c r="K806" s="29" t="str">
        <f>IFERROR(INDEX([1]Cluster_Master!$F$4:$F$18,MATCH($F806,[1]Cluster_Master!$B$4:$B$18,0)),"")</f>
        <v/>
      </c>
      <c r="L806" s="29" t="str">
        <f>IFERROR(INDEX([1]Cluster_Master!$G$4:$G$18,MATCH($F806,[1]Cluster_Master!$B$4:$B$18,0)),"")</f>
        <v/>
      </c>
      <c r="M806" s="29" t="str">
        <f>IFERROR(INDEX([1]Cluster_Master!$H$4:$H$18,MATCH($F806,[1]Cluster_Master!$B$4:$B$18,0)),"")</f>
        <v/>
      </c>
      <c r="AI806" s="29" t="str">
        <f>IF(COUNTA(T806:AH806)=0,"",SUM(T806:AH806))</f>
        <v/>
      </c>
      <c r="AJ806" s="29" t="str">
        <f>IF(COUNTA(T806:AH806)=0,"",AI806/75)</f>
        <v/>
      </c>
      <c r="AK806" s="29" t="str">
        <f>IF(COUNTA(T806:AH806)=0,"",(SUM(T806*[1]KPI_Weights!$B$4,U806*[1]KPI_Weights!$B$5,V806*[1]KPI_Weights!$B$6,W806*[1]KPI_Weights!$B$7,X806*[1]KPI_Weights!$B$8,Y806*[1]KPI_Weights!$B$9,Z806*[1]KPI_Weights!$B$10,AA806*[1]KPI_Weights!$B$11,AB806*[1]KPI_Weights!$B$12,AC806*[1]KPI_Weights!$B$13,AD806*[1]KPI_Weights!$B$14,AE806*[1]KPI_Weights!$B$15,AF806*[1]KPI_Weights!$B$16,AG806*[1]KPI_Weights!$B$17,AH806*[1]KPI_Weights!$B$18))/5)</f>
        <v/>
      </c>
      <c r="AL806" s="29" t="str">
        <f>IF(COUNTA(T806:AH806)=0,"",IF(OR(T806&lt;=1,W806&lt;=1,X806&lt;=1,Y806&lt;=1,AB806&lt;=1),"YES","NO"))</f>
        <v/>
      </c>
      <c r="AM806" s="29" t="str">
        <f>IF(AJ806="","",IF(AND(AL806="NO",AJ806&gt;=0.75),"YES","NO"))</f>
        <v/>
      </c>
      <c r="AN806" s="29" t="str">
        <f>IF(AJ806="","",IF(AJ806&lt;0.4,"Critical",IF(AJ806&lt;0.6,"Poor",IF(AJ806&lt;0.75,"Needs Improvement",IF(AJ806&lt;0.9,"Good","Excellent")))))</f>
        <v/>
      </c>
    </row>
    <row r="807" spans="1:40" ht="15" customHeight="1" x14ac:dyDescent="0.25">
      <c r="A807" s="29" t="str">
        <f>IF($B807="","",TEXT($B807,"yyyymmdd")&amp;"-"&amp;SUBSTITUTE($F807," ","")&amp;"-"&amp;TEXT(COUNTIF($F$4:F807,$F807),"00"))</f>
        <v/>
      </c>
      <c r="C807" s="29" t="str">
        <f>IF($B807="","",WEEKNUM($B807,2))</f>
        <v/>
      </c>
      <c r="D807" s="29" t="str">
        <f>IF($B807="","",TEXT($B807,"yyyy-mm"))</f>
        <v/>
      </c>
      <c r="G807" s="29" t="str">
        <f>IF(OR($E807="",$F807=""),"",IFERROR(IF($E807=INDEX([1]Cluster_Master!$A$4:$A$18,MATCH($F807,[1]Cluster_Master!$B$4:$B$18,0)),"OK","CHECK"),"CHECK"))</f>
        <v/>
      </c>
      <c r="H807" s="29" t="str">
        <f>IFERROR(INDEX([1]Cluster_Master!$C$4:$C$18,MATCH($F807,[1]Cluster_Master!$B$4:$B$18,0)),"")</f>
        <v/>
      </c>
      <c r="I807" s="29" t="str">
        <f>IFERROR(INDEX([1]Cluster_Master!$D$4:$D$18,MATCH($F807,[1]Cluster_Master!$B$4:$B$18,0)),"")</f>
        <v/>
      </c>
      <c r="J807" s="29" t="str">
        <f>IFERROR(INDEX([1]Cluster_Master!$E$4:$E$18,MATCH($F807,[1]Cluster_Master!$B$4:$B$18,0)),"")</f>
        <v/>
      </c>
      <c r="K807" s="29" t="str">
        <f>IFERROR(INDEX([1]Cluster_Master!$F$4:$F$18,MATCH($F807,[1]Cluster_Master!$B$4:$B$18,0)),"")</f>
        <v/>
      </c>
      <c r="L807" s="29" t="str">
        <f>IFERROR(INDEX([1]Cluster_Master!$G$4:$G$18,MATCH($F807,[1]Cluster_Master!$B$4:$B$18,0)),"")</f>
        <v/>
      </c>
      <c r="M807" s="29" t="str">
        <f>IFERROR(INDEX([1]Cluster_Master!$H$4:$H$18,MATCH($F807,[1]Cluster_Master!$B$4:$B$18,0)),"")</f>
        <v/>
      </c>
      <c r="AI807" s="29" t="str">
        <f>IF(COUNTA(T807:AH807)=0,"",SUM(T807:AH807))</f>
        <v/>
      </c>
      <c r="AJ807" s="29" t="str">
        <f>IF(COUNTA(T807:AH807)=0,"",AI807/75)</f>
        <v/>
      </c>
      <c r="AK807" s="29" t="str">
        <f>IF(COUNTA(T807:AH807)=0,"",(SUM(T807*[1]KPI_Weights!$B$4,U807*[1]KPI_Weights!$B$5,V807*[1]KPI_Weights!$B$6,W807*[1]KPI_Weights!$B$7,X807*[1]KPI_Weights!$B$8,Y807*[1]KPI_Weights!$B$9,Z807*[1]KPI_Weights!$B$10,AA807*[1]KPI_Weights!$B$11,AB807*[1]KPI_Weights!$B$12,AC807*[1]KPI_Weights!$B$13,AD807*[1]KPI_Weights!$B$14,AE807*[1]KPI_Weights!$B$15,AF807*[1]KPI_Weights!$B$16,AG807*[1]KPI_Weights!$B$17,AH807*[1]KPI_Weights!$B$18))/5)</f>
        <v/>
      </c>
      <c r="AL807" s="29" t="str">
        <f>IF(COUNTA(T807:AH807)=0,"",IF(OR(T807&lt;=1,W807&lt;=1,X807&lt;=1,Y807&lt;=1,AB807&lt;=1),"YES","NO"))</f>
        <v/>
      </c>
      <c r="AM807" s="29" t="str">
        <f>IF(AJ807="","",IF(AND(AL807="NO",AJ807&gt;=0.75),"YES","NO"))</f>
        <v/>
      </c>
      <c r="AN807" s="29" t="str">
        <f>IF(AJ807="","",IF(AJ807&lt;0.4,"Critical",IF(AJ807&lt;0.6,"Poor",IF(AJ807&lt;0.75,"Needs Improvement",IF(AJ807&lt;0.9,"Good","Excellent")))))</f>
        <v/>
      </c>
    </row>
    <row r="808" spans="1:40" ht="15" customHeight="1" x14ac:dyDescent="0.25">
      <c r="A808" s="29" t="str">
        <f>IF($B808="","",TEXT($B808,"yyyymmdd")&amp;"-"&amp;SUBSTITUTE($F808," ","")&amp;"-"&amp;TEXT(COUNTIF($F$4:F808,$F808),"00"))</f>
        <v/>
      </c>
      <c r="C808" s="29" t="str">
        <f>IF($B808="","",WEEKNUM($B808,2))</f>
        <v/>
      </c>
      <c r="D808" s="29" t="str">
        <f>IF($B808="","",TEXT($B808,"yyyy-mm"))</f>
        <v/>
      </c>
      <c r="G808" s="29" t="str">
        <f>IF(OR($E808="",$F808=""),"",IFERROR(IF($E808=INDEX([1]Cluster_Master!$A$4:$A$18,MATCH($F808,[1]Cluster_Master!$B$4:$B$18,0)),"OK","CHECK"),"CHECK"))</f>
        <v/>
      </c>
      <c r="H808" s="29" t="str">
        <f>IFERROR(INDEX([1]Cluster_Master!$C$4:$C$18,MATCH($F808,[1]Cluster_Master!$B$4:$B$18,0)),"")</f>
        <v/>
      </c>
      <c r="I808" s="29" t="str">
        <f>IFERROR(INDEX([1]Cluster_Master!$D$4:$D$18,MATCH($F808,[1]Cluster_Master!$B$4:$B$18,0)),"")</f>
        <v/>
      </c>
      <c r="J808" s="29" t="str">
        <f>IFERROR(INDEX([1]Cluster_Master!$E$4:$E$18,MATCH($F808,[1]Cluster_Master!$B$4:$B$18,0)),"")</f>
        <v/>
      </c>
      <c r="K808" s="29" t="str">
        <f>IFERROR(INDEX([1]Cluster_Master!$F$4:$F$18,MATCH($F808,[1]Cluster_Master!$B$4:$B$18,0)),"")</f>
        <v/>
      </c>
      <c r="L808" s="29" t="str">
        <f>IFERROR(INDEX([1]Cluster_Master!$G$4:$G$18,MATCH($F808,[1]Cluster_Master!$B$4:$B$18,0)),"")</f>
        <v/>
      </c>
      <c r="M808" s="29" t="str">
        <f>IFERROR(INDEX([1]Cluster_Master!$H$4:$H$18,MATCH($F808,[1]Cluster_Master!$B$4:$B$18,0)),"")</f>
        <v/>
      </c>
      <c r="AI808" s="29" t="str">
        <f>IF(COUNTA(T808:AH808)=0,"",SUM(T808:AH808))</f>
        <v/>
      </c>
      <c r="AJ808" s="29" t="str">
        <f>IF(COUNTA(T808:AH808)=0,"",AI808/75)</f>
        <v/>
      </c>
      <c r="AK808" s="29" t="str">
        <f>IF(COUNTA(T808:AH808)=0,"",(SUM(T808*[1]KPI_Weights!$B$4,U808*[1]KPI_Weights!$B$5,V808*[1]KPI_Weights!$B$6,W808*[1]KPI_Weights!$B$7,X808*[1]KPI_Weights!$B$8,Y808*[1]KPI_Weights!$B$9,Z808*[1]KPI_Weights!$B$10,AA808*[1]KPI_Weights!$B$11,AB808*[1]KPI_Weights!$B$12,AC808*[1]KPI_Weights!$B$13,AD808*[1]KPI_Weights!$B$14,AE808*[1]KPI_Weights!$B$15,AF808*[1]KPI_Weights!$B$16,AG808*[1]KPI_Weights!$B$17,AH808*[1]KPI_Weights!$B$18))/5)</f>
        <v/>
      </c>
      <c r="AL808" s="29" t="str">
        <f>IF(COUNTA(T808:AH808)=0,"",IF(OR(T808&lt;=1,W808&lt;=1,X808&lt;=1,Y808&lt;=1,AB808&lt;=1),"YES","NO"))</f>
        <v/>
      </c>
      <c r="AM808" s="29" t="str">
        <f>IF(AJ808="","",IF(AND(AL808="NO",AJ808&gt;=0.75),"YES","NO"))</f>
        <v/>
      </c>
      <c r="AN808" s="29" t="str">
        <f>IF(AJ808="","",IF(AJ808&lt;0.4,"Critical",IF(AJ808&lt;0.6,"Poor",IF(AJ808&lt;0.75,"Needs Improvement",IF(AJ808&lt;0.9,"Good","Excellent")))))</f>
        <v/>
      </c>
    </row>
    <row r="809" spans="1:40" ht="15" customHeight="1" x14ac:dyDescent="0.25">
      <c r="A809" s="29" t="str">
        <f>IF($B809="","",TEXT($B809,"yyyymmdd")&amp;"-"&amp;SUBSTITUTE($F809," ","")&amp;"-"&amp;TEXT(COUNTIF($F$4:F809,$F809),"00"))</f>
        <v/>
      </c>
      <c r="C809" s="29" t="str">
        <f>IF($B809="","",WEEKNUM($B809,2))</f>
        <v/>
      </c>
      <c r="D809" s="29" t="str">
        <f>IF($B809="","",TEXT($B809,"yyyy-mm"))</f>
        <v/>
      </c>
      <c r="G809" s="29" t="str">
        <f>IF(OR($E809="",$F809=""),"",IFERROR(IF($E809=INDEX([1]Cluster_Master!$A$4:$A$18,MATCH($F809,[1]Cluster_Master!$B$4:$B$18,0)),"OK","CHECK"),"CHECK"))</f>
        <v/>
      </c>
      <c r="H809" s="29" t="str">
        <f>IFERROR(INDEX([1]Cluster_Master!$C$4:$C$18,MATCH($F809,[1]Cluster_Master!$B$4:$B$18,0)),"")</f>
        <v/>
      </c>
      <c r="I809" s="29" t="str">
        <f>IFERROR(INDEX([1]Cluster_Master!$D$4:$D$18,MATCH($F809,[1]Cluster_Master!$B$4:$B$18,0)),"")</f>
        <v/>
      </c>
      <c r="J809" s="29" t="str">
        <f>IFERROR(INDEX([1]Cluster_Master!$E$4:$E$18,MATCH($F809,[1]Cluster_Master!$B$4:$B$18,0)),"")</f>
        <v/>
      </c>
      <c r="K809" s="29" t="str">
        <f>IFERROR(INDEX([1]Cluster_Master!$F$4:$F$18,MATCH($F809,[1]Cluster_Master!$B$4:$B$18,0)),"")</f>
        <v/>
      </c>
      <c r="L809" s="29" t="str">
        <f>IFERROR(INDEX([1]Cluster_Master!$G$4:$G$18,MATCH($F809,[1]Cluster_Master!$B$4:$B$18,0)),"")</f>
        <v/>
      </c>
      <c r="M809" s="29" t="str">
        <f>IFERROR(INDEX([1]Cluster_Master!$H$4:$H$18,MATCH($F809,[1]Cluster_Master!$B$4:$B$18,0)),"")</f>
        <v/>
      </c>
      <c r="AI809" s="29" t="str">
        <f>IF(COUNTA(T809:AH809)=0,"",SUM(T809:AH809))</f>
        <v/>
      </c>
      <c r="AJ809" s="29" t="str">
        <f>IF(COUNTA(T809:AH809)=0,"",AI809/75)</f>
        <v/>
      </c>
      <c r="AK809" s="29" t="str">
        <f>IF(COUNTA(T809:AH809)=0,"",(SUM(T809*[1]KPI_Weights!$B$4,U809*[1]KPI_Weights!$B$5,V809*[1]KPI_Weights!$B$6,W809*[1]KPI_Weights!$B$7,X809*[1]KPI_Weights!$B$8,Y809*[1]KPI_Weights!$B$9,Z809*[1]KPI_Weights!$B$10,AA809*[1]KPI_Weights!$B$11,AB809*[1]KPI_Weights!$B$12,AC809*[1]KPI_Weights!$B$13,AD809*[1]KPI_Weights!$B$14,AE809*[1]KPI_Weights!$B$15,AF809*[1]KPI_Weights!$B$16,AG809*[1]KPI_Weights!$B$17,AH809*[1]KPI_Weights!$B$18))/5)</f>
        <v/>
      </c>
      <c r="AL809" s="29" t="str">
        <f>IF(COUNTA(T809:AH809)=0,"",IF(OR(T809&lt;=1,W809&lt;=1,X809&lt;=1,Y809&lt;=1,AB809&lt;=1),"YES","NO"))</f>
        <v/>
      </c>
      <c r="AM809" s="29" t="str">
        <f>IF(AJ809="","",IF(AND(AL809="NO",AJ809&gt;=0.75),"YES","NO"))</f>
        <v/>
      </c>
      <c r="AN809" s="29" t="str">
        <f>IF(AJ809="","",IF(AJ809&lt;0.4,"Critical",IF(AJ809&lt;0.6,"Poor",IF(AJ809&lt;0.75,"Needs Improvement",IF(AJ809&lt;0.9,"Good","Excellent")))))</f>
        <v/>
      </c>
    </row>
    <row r="810" spans="1:40" ht="15" customHeight="1" x14ac:dyDescent="0.25">
      <c r="A810" s="29" t="str">
        <f>IF($B810="","",TEXT($B810,"yyyymmdd")&amp;"-"&amp;SUBSTITUTE($F810," ","")&amp;"-"&amp;TEXT(COUNTIF($F$4:F810,$F810),"00"))</f>
        <v/>
      </c>
      <c r="C810" s="29" t="str">
        <f>IF($B810="","",WEEKNUM($B810,2))</f>
        <v/>
      </c>
      <c r="D810" s="29" t="str">
        <f>IF($B810="","",TEXT($B810,"yyyy-mm"))</f>
        <v/>
      </c>
      <c r="G810" s="29" t="str">
        <f>IF(OR($E810="",$F810=""),"",IFERROR(IF($E810=INDEX([1]Cluster_Master!$A$4:$A$18,MATCH($F810,[1]Cluster_Master!$B$4:$B$18,0)),"OK","CHECK"),"CHECK"))</f>
        <v/>
      </c>
      <c r="H810" s="29" t="str">
        <f>IFERROR(INDEX([1]Cluster_Master!$C$4:$C$18,MATCH($F810,[1]Cluster_Master!$B$4:$B$18,0)),"")</f>
        <v/>
      </c>
      <c r="I810" s="29" t="str">
        <f>IFERROR(INDEX([1]Cluster_Master!$D$4:$D$18,MATCH($F810,[1]Cluster_Master!$B$4:$B$18,0)),"")</f>
        <v/>
      </c>
      <c r="J810" s="29" t="str">
        <f>IFERROR(INDEX([1]Cluster_Master!$E$4:$E$18,MATCH($F810,[1]Cluster_Master!$B$4:$B$18,0)),"")</f>
        <v/>
      </c>
      <c r="K810" s="29" t="str">
        <f>IFERROR(INDEX([1]Cluster_Master!$F$4:$F$18,MATCH($F810,[1]Cluster_Master!$B$4:$B$18,0)),"")</f>
        <v/>
      </c>
      <c r="L810" s="29" t="str">
        <f>IFERROR(INDEX([1]Cluster_Master!$G$4:$G$18,MATCH($F810,[1]Cluster_Master!$B$4:$B$18,0)),"")</f>
        <v/>
      </c>
      <c r="M810" s="29" t="str">
        <f>IFERROR(INDEX([1]Cluster_Master!$H$4:$H$18,MATCH($F810,[1]Cluster_Master!$B$4:$B$18,0)),"")</f>
        <v/>
      </c>
      <c r="AI810" s="29" t="str">
        <f>IF(COUNTA(T810:AH810)=0,"",SUM(T810:AH810))</f>
        <v/>
      </c>
      <c r="AJ810" s="29" t="str">
        <f>IF(COUNTA(T810:AH810)=0,"",AI810/75)</f>
        <v/>
      </c>
      <c r="AK810" s="29" t="str">
        <f>IF(COUNTA(T810:AH810)=0,"",(SUM(T810*[1]KPI_Weights!$B$4,U810*[1]KPI_Weights!$B$5,V810*[1]KPI_Weights!$B$6,W810*[1]KPI_Weights!$B$7,X810*[1]KPI_Weights!$B$8,Y810*[1]KPI_Weights!$B$9,Z810*[1]KPI_Weights!$B$10,AA810*[1]KPI_Weights!$B$11,AB810*[1]KPI_Weights!$B$12,AC810*[1]KPI_Weights!$B$13,AD810*[1]KPI_Weights!$B$14,AE810*[1]KPI_Weights!$B$15,AF810*[1]KPI_Weights!$B$16,AG810*[1]KPI_Weights!$B$17,AH810*[1]KPI_Weights!$B$18))/5)</f>
        <v/>
      </c>
      <c r="AL810" s="29" t="str">
        <f>IF(COUNTA(T810:AH810)=0,"",IF(OR(T810&lt;=1,W810&lt;=1,X810&lt;=1,Y810&lt;=1,AB810&lt;=1),"YES","NO"))</f>
        <v/>
      </c>
      <c r="AM810" s="29" t="str">
        <f>IF(AJ810="","",IF(AND(AL810="NO",AJ810&gt;=0.75),"YES","NO"))</f>
        <v/>
      </c>
      <c r="AN810" s="29" t="str">
        <f>IF(AJ810="","",IF(AJ810&lt;0.4,"Critical",IF(AJ810&lt;0.6,"Poor",IF(AJ810&lt;0.75,"Needs Improvement",IF(AJ810&lt;0.9,"Good","Excellent")))))</f>
        <v/>
      </c>
    </row>
    <row r="811" spans="1:40" ht="15" customHeight="1" x14ac:dyDescent="0.25">
      <c r="A811" s="29" t="str">
        <f>IF($B811="","",TEXT($B811,"yyyymmdd")&amp;"-"&amp;SUBSTITUTE($F811," ","")&amp;"-"&amp;TEXT(COUNTIF($F$4:F811,$F811),"00"))</f>
        <v/>
      </c>
      <c r="C811" s="29" t="str">
        <f>IF($B811="","",WEEKNUM($B811,2))</f>
        <v/>
      </c>
      <c r="D811" s="29" t="str">
        <f>IF($B811="","",TEXT($B811,"yyyy-mm"))</f>
        <v/>
      </c>
      <c r="G811" s="29" t="str">
        <f>IF(OR($E811="",$F811=""),"",IFERROR(IF($E811=INDEX([1]Cluster_Master!$A$4:$A$18,MATCH($F811,[1]Cluster_Master!$B$4:$B$18,0)),"OK","CHECK"),"CHECK"))</f>
        <v/>
      </c>
      <c r="H811" s="29" t="str">
        <f>IFERROR(INDEX([1]Cluster_Master!$C$4:$C$18,MATCH($F811,[1]Cluster_Master!$B$4:$B$18,0)),"")</f>
        <v/>
      </c>
      <c r="I811" s="29" t="str">
        <f>IFERROR(INDEX([1]Cluster_Master!$D$4:$D$18,MATCH($F811,[1]Cluster_Master!$B$4:$B$18,0)),"")</f>
        <v/>
      </c>
      <c r="J811" s="29" t="str">
        <f>IFERROR(INDEX([1]Cluster_Master!$E$4:$E$18,MATCH($F811,[1]Cluster_Master!$B$4:$B$18,0)),"")</f>
        <v/>
      </c>
      <c r="K811" s="29" t="str">
        <f>IFERROR(INDEX([1]Cluster_Master!$F$4:$F$18,MATCH($F811,[1]Cluster_Master!$B$4:$B$18,0)),"")</f>
        <v/>
      </c>
      <c r="L811" s="29" t="str">
        <f>IFERROR(INDEX([1]Cluster_Master!$G$4:$G$18,MATCH($F811,[1]Cluster_Master!$B$4:$B$18,0)),"")</f>
        <v/>
      </c>
      <c r="M811" s="29" t="str">
        <f>IFERROR(INDEX([1]Cluster_Master!$H$4:$H$18,MATCH($F811,[1]Cluster_Master!$B$4:$B$18,0)),"")</f>
        <v/>
      </c>
      <c r="AI811" s="29" t="str">
        <f>IF(COUNTA(T811:AH811)=0,"",SUM(T811:AH811))</f>
        <v/>
      </c>
      <c r="AJ811" s="29" t="str">
        <f>IF(COUNTA(T811:AH811)=0,"",AI811/75)</f>
        <v/>
      </c>
      <c r="AK811" s="29" t="str">
        <f>IF(COUNTA(T811:AH811)=0,"",(SUM(T811*[1]KPI_Weights!$B$4,U811*[1]KPI_Weights!$B$5,V811*[1]KPI_Weights!$B$6,W811*[1]KPI_Weights!$B$7,X811*[1]KPI_Weights!$B$8,Y811*[1]KPI_Weights!$B$9,Z811*[1]KPI_Weights!$B$10,AA811*[1]KPI_Weights!$B$11,AB811*[1]KPI_Weights!$B$12,AC811*[1]KPI_Weights!$B$13,AD811*[1]KPI_Weights!$B$14,AE811*[1]KPI_Weights!$B$15,AF811*[1]KPI_Weights!$B$16,AG811*[1]KPI_Weights!$B$17,AH811*[1]KPI_Weights!$B$18))/5)</f>
        <v/>
      </c>
      <c r="AL811" s="29" t="str">
        <f>IF(COUNTA(T811:AH811)=0,"",IF(OR(T811&lt;=1,W811&lt;=1,X811&lt;=1,Y811&lt;=1,AB811&lt;=1),"YES","NO"))</f>
        <v/>
      </c>
      <c r="AM811" s="29" t="str">
        <f>IF(AJ811="","",IF(AND(AL811="NO",AJ811&gt;=0.75),"YES","NO"))</f>
        <v/>
      </c>
      <c r="AN811" s="29" t="str">
        <f>IF(AJ811="","",IF(AJ811&lt;0.4,"Critical",IF(AJ811&lt;0.6,"Poor",IF(AJ811&lt;0.75,"Needs Improvement",IF(AJ811&lt;0.9,"Good","Excellent")))))</f>
        <v/>
      </c>
    </row>
    <row r="812" spans="1:40" ht="15" customHeight="1" x14ac:dyDescent="0.25">
      <c r="A812" s="29" t="str">
        <f>IF($B812="","",TEXT($B812,"yyyymmdd")&amp;"-"&amp;SUBSTITUTE($F812," ","")&amp;"-"&amp;TEXT(COUNTIF($F$4:F812,$F812),"00"))</f>
        <v/>
      </c>
      <c r="C812" s="29" t="str">
        <f>IF($B812="","",WEEKNUM($B812,2))</f>
        <v/>
      </c>
      <c r="D812" s="29" t="str">
        <f>IF($B812="","",TEXT($B812,"yyyy-mm"))</f>
        <v/>
      </c>
      <c r="G812" s="29" t="str">
        <f>IF(OR($E812="",$F812=""),"",IFERROR(IF($E812=INDEX([1]Cluster_Master!$A$4:$A$18,MATCH($F812,[1]Cluster_Master!$B$4:$B$18,0)),"OK","CHECK"),"CHECK"))</f>
        <v/>
      </c>
      <c r="H812" s="29" t="str">
        <f>IFERROR(INDEX([1]Cluster_Master!$C$4:$C$18,MATCH($F812,[1]Cluster_Master!$B$4:$B$18,0)),"")</f>
        <v/>
      </c>
      <c r="I812" s="29" t="str">
        <f>IFERROR(INDEX([1]Cluster_Master!$D$4:$D$18,MATCH($F812,[1]Cluster_Master!$B$4:$B$18,0)),"")</f>
        <v/>
      </c>
      <c r="J812" s="29" t="str">
        <f>IFERROR(INDEX([1]Cluster_Master!$E$4:$E$18,MATCH($F812,[1]Cluster_Master!$B$4:$B$18,0)),"")</f>
        <v/>
      </c>
      <c r="K812" s="29" t="str">
        <f>IFERROR(INDEX([1]Cluster_Master!$F$4:$F$18,MATCH($F812,[1]Cluster_Master!$B$4:$B$18,0)),"")</f>
        <v/>
      </c>
      <c r="L812" s="29" t="str">
        <f>IFERROR(INDEX([1]Cluster_Master!$G$4:$G$18,MATCH($F812,[1]Cluster_Master!$B$4:$B$18,0)),"")</f>
        <v/>
      </c>
      <c r="M812" s="29" t="str">
        <f>IFERROR(INDEX([1]Cluster_Master!$H$4:$H$18,MATCH($F812,[1]Cluster_Master!$B$4:$B$18,0)),"")</f>
        <v/>
      </c>
      <c r="AI812" s="29" t="str">
        <f>IF(COUNTA(T812:AH812)=0,"",SUM(T812:AH812))</f>
        <v/>
      </c>
      <c r="AJ812" s="29" t="str">
        <f>IF(COUNTA(T812:AH812)=0,"",AI812/75)</f>
        <v/>
      </c>
      <c r="AK812" s="29" t="str">
        <f>IF(COUNTA(T812:AH812)=0,"",(SUM(T812*[1]KPI_Weights!$B$4,U812*[1]KPI_Weights!$B$5,V812*[1]KPI_Weights!$B$6,W812*[1]KPI_Weights!$B$7,X812*[1]KPI_Weights!$B$8,Y812*[1]KPI_Weights!$B$9,Z812*[1]KPI_Weights!$B$10,AA812*[1]KPI_Weights!$B$11,AB812*[1]KPI_Weights!$B$12,AC812*[1]KPI_Weights!$B$13,AD812*[1]KPI_Weights!$B$14,AE812*[1]KPI_Weights!$B$15,AF812*[1]KPI_Weights!$B$16,AG812*[1]KPI_Weights!$B$17,AH812*[1]KPI_Weights!$B$18))/5)</f>
        <v/>
      </c>
      <c r="AL812" s="29" t="str">
        <f>IF(COUNTA(T812:AH812)=0,"",IF(OR(T812&lt;=1,W812&lt;=1,X812&lt;=1,Y812&lt;=1,AB812&lt;=1),"YES","NO"))</f>
        <v/>
      </c>
      <c r="AM812" s="29" t="str">
        <f>IF(AJ812="","",IF(AND(AL812="NO",AJ812&gt;=0.75),"YES","NO"))</f>
        <v/>
      </c>
      <c r="AN812" s="29" t="str">
        <f>IF(AJ812="","",IF(AJ812&lt;0.4,"Critical",IF(AJ812&lt;0.6,"Poor",IF(AJ812&lt;0.75,"Needs Improvement",IF(AJ812&lt;0.9,"Good","Excellent")))))</f>
        <v/>
      </c>
    </row>
    <row r="813" spans="1:40" ht="15" customHeight="1" x14ac:dyDescent="0.25">
      <c r="A813" s="29" t="str">
        <f>IF($B813="","",TEXT($B813,"yyyymmdd")&amp;"-"&amp;SUBSTITUTE($F813," ","")&amp;"-"&amp;TEXT(COUNTIF($F$4:F813,$F813),"00"))</f>
        <v/>
      </c>
      <c r="C813" s="29" t="str">
        <f>IF($B813="","",WEEKNUM($B813,2))</f>
        <v/>
      </c>
      <c r="D813" s="29" t="str">
        <f>IF($B813="","",TEXT($B813,"yyyy-mm"))</f>
        <v/>
      </c>
      <c r="G813" s="29" t="str">
        <f>IF(OR($E813="",$F813=""),"",IFERROR(IF($E813=INDEX([1]Cluster_Master!$A$4:$A$18,MATCH($F813,[1]Cluster_Master!$B$4:$B$18,0)),"OK","CHECK"),"CHECK"))</f>
        <v/>
      </c>
      <c r="H813" s="29" t="str">
        <f>IFERROR(INDEX([1]Cluster_Master!$C$4:$C$18,MATCH($F813,[1]Cluster_Master!$B$4:$B$18,0)),"")</f>
        <v/>
      </c>
      <c r="I813" s="29" t="str">
        <f>IFERROR(INDEX([1]Cluster_Master!$D$4:$D$18,MATCH($F813,[1]Cluster_Master!$B$4:$B$18,0)),"")</f>
        <v/>
      </c>
      <c r="J813" s="29" t="str">
        <f>IFERROR(INDEX([1]Cluster_Master!$E$4:$E$18,MATCH($F813,[1]Cluster_Master!$B$4:$B$18,0)),"")</f>
        <v/>
      </c>
      <c r="K813" s="29" t="str">
        <f>IFERROR(INDEX([1]Cluster_Master!$F$4:$F$18,MATCH($F813,[1]Cluster_Master!$B$4:$B$18,0)),"")</f>
        <v/>
      </c>
      <c r="L813" s="29" t="str">
        <f>IFERROR(INDEX([1]Cluster_Master!$G$4:$G$18,MATCH($F813,[1]Cluster_Master!$B$4:$B$18,0)),"")</f>
        <v/>
      </c>
      <c r="M813" s="29" t="str">
        <f>IFERROR(INDEX([1]Cluster_Master!$H$4:$H$18,MATCH($F813,[1]Cluster_Master!$B$4:$B$18,0)),"")</f>
        <v/>
      </c>
      <c r="AI813" s="29" t="str">
        <f>IF(COUNTA(T813:AH813)=0,"",SUM(T813:AH813))</f>
        <v/>
      </c>
      <c r="AJ813" s="29" t="str">
        <f>IF(COUNTA(T813:AH813)=0,"",AI813/75)</f>
        <v/>
      </c>
      <c r="AK813" s="29" t="str">
        <f>IF(COUNTA(T813:AH813)=0,"",(SUM(T813*[1]KPI_Weights!$B$4,U813*[1]KPI_Weights!$B$5,V813*[1]KPI_Weights!$B$6,W813*[1]KPI_Weights!$B$7,X813*[1]KPI_Weights!$B$8,Y813*[1]KPI_Weights!$B$9,Z813*[1]KPI_Weights!$B$10,AA813*[1]KPI_Weights!$B$11,AB813*[1]KPI_Weights!$B$12,AC813*[1]KPI_Weights!$B$13,AD813*[1]KPI_Weights!$B$14,AE813*[1]KPI_Weights!$B$15,AF813*[1]KPI_Weights!$B$16,AG813*[1]KPI_Weights!$B$17,AH813*[1]KPI_Weights!$B$18))/5)</f>
        <v/>
      </c>
      <c r="AL813" s="29" t="str">
        <f>IF(COUNTA(T813:AH813)=0,"",IF(OR(T813&lt;=1,W813&lt;=1,X813&lt;=1,Y813&lt;=1,AB813&lt;=1),"YES","NO"))</f>
        <v/>
      </c>
      <c r="AM813" s="29" t="str">
        <f>IF(AJ813="","",IF(AND(AL813="NO",AJ813&gt;=0.75),"YES","NO"))</f>
        <v/>
      </c>
      <c r="AN813" s="29" t="str">
        <f>IF(AJ813="","",IF(AJ813&lt;0.4,"Critical",IF(AJ813&lt;0.6,"Poor",IF(AJ813&lt;0.75,"Needs Improvement",IF(AJ813&lt;0.9,"Good","Excellent")))))</f>
        <v/>
      </c>
    </row>
    <row r="814" spans="1:40" ht="15" customHeight="1" x14ac:dyDescent="0.25">
      <c r="A814" s="29" t="str">
        <f>IF($B814="","",TEXT($B814,"yyyymmdd")&amp;"-"&amp;SUBSTITUTE($F814," ","")&amp;"-"&amp;TEXT(COUNTIF($F$4:F814,$F814),"00"))</f>
        <v/>
      </c>
      <c r="C814" s="29" t="str">
        <f>IF($B814="","",WEEKNUM($B814,2))</f>
        <v/>
      </c>
      <c r="D814" s="29" t="str">
        <f>IF($B814="","",TEXT($B814,"yyyy-mm"))</f>
        <v/>
      </c>
      <c r="G814" s="29" t="str">
        <f>IF(OR($E814="",$F814=""),"",IFERROR(IF($E814=INDEX([1]Cluster_Master!$A$4:$A$18,MATCH($F814,[1]Cluster_Master!$B$4:$B$18,0)),"OK","CHECK"),"CHECK"))</f>
        <v/>
      </c>
      <c r="H814" s="29" t="str">
        <f>IFERROR(INDEX([1]Cluster_Master!$C$4:$C$18,MATCH($F814,[1]Cluster_Master!$B$4:$B$18,0)),"")</f>
        <v/>
      </c>
      <c r="I814" s="29" t="str">
        <f>IFERROR(INDEX([1]Cluster_Master!$D$4:$D$18,MATCH($F814,[1]Cluster_Master!$B$4:$B$18,0)),"")</f>
        <v/>
      </c>
      <c r="J814" s="29" t="str">
        <f>IFERROR(INDEX([1]Cluster_Master!$E$4:$E$18,MATCH($F814,[1]Cluster_Master!$B$4:$B$18,0)),"")</f>
        <v/>
      </c>
      <c r="K814" s="29" t="str">
        <f>IFERROR(INDEX([1]Cluster_Master!$F$4:$F$18,MATCH($F814,[1]Cluster_Master!$B$4:$B$18,0)),"")</f>
        <v/>
      </c>
      <c r="L814" s="29" t="str">
        <f>IFERROR(INDEX([1]Cluster_Master!$G$4:$G$18,MATCH($F814,[1]Cluster_Master!$B$4:$B$18,0)),"")</f>
        <v/>
      </c>
      <c r="M814" s="29" t="str">
        <f>IFERROR(INDEX([1]Cluster_Master!$H$4:$H$18,MATCH($F814,[1]Cluster_Master!$B$4:$B$18,0)),"")</f>
        <v/>
      </c>
      <c r="AI814" s="29" t="str">
        <f>IF(COUNTA(T814:AH814)=0,"",SUM(T814:AH814))</f>
        <v/>
      </c>
      <c r="AJ814" s="29" t="str">
        <f>IF(COUNTA(T814:AH814)=0,"",AI814/75)</f>
        <v/>
      </c>
      <c r="AK814" s="29" t="str">
        <f>IF(COUNTA(T814:AH814)=0,"",(SUM(T814*[1]KPI_Weights!$B$4,U814*[1]KPI_Weights!$B$5,V814*[1]KPI_Weights!$B$6,W814*[1]KPI_Weights!$B$7,X814*[1]KPI_Weights!$B$8,Y814*[1]KPI_Weights!$B$9,Z814*[1]KPI_Weights!$B$10,AA814*[1]KPI_Weights!$B$11,AB814*[1]KPI_Weights!$B$12,AC814*[1]KPI_Weights!$B$13,AD814*[1]KPI_Weights!$B$14,AE814*[1]KPI_Weights!$B$15,AF814*[1]KPI_Weights!$B$16,AG814*[1]KPI_Weights!$B$17,AH814*[1]KPI_Weights!$B$18))/5)</f>
        <v/>
      </c>
      <c r="AL814" s="29" t="str">
        <f>IF(COUNTA(T814:AH814)=0,"",IF(OR(T814&lt;=1,W814&lt;=1,X814&lt;=1,Y814&lt;=1,AB814&lt;=1),"YES","NO"))</f>
        <v/>
      </c>
      <c r="AM814" s="29" t="str">
        <f>IF(AJ814="","",IF(AND(AL814="NO",AJ814&gt;=0.75),"YES","NO"))</f>
        <v/>
      </c>
      <c r="AN814" s="29" t="str">
        <f>IF(AJ814="","",IF(AJ814&lt;0.4,"Critical",IF(AJ814&lt;0.6,"Poor",IF(AJ814&lt;0.75,"Needs Improvement",IF(AJ814&lt;0.9,"Good","Excellent")))))</f>
        <v/>
      </c>
    </row>
    <row r="815" spans="1:40" ht="15" customHeight="1" x14ac:dyDescent="0.25">
      <c r="A815" s="29" t="str">
        <f>IF($B815="","",TEXT($B815,"yyyymmdd")&amp;"-"&amp;SUBSTITUTE($F815," ","")&amp;"-"&amp;TEXT(COUNTIF($F$4:F815,$F815),"00"))</f>
        <v/>
      </c>
      <c r="C815" s="29" t="str">
        <f>IF($B815="","",WEEKNUM($B815,2))</f>
        <v/>
      </c>
      <c r="D815" s="29" t="str">
        <f>IF($B815="","",TEXT($B815,"yyyy-mm"))</f>
        <v/>
      </c>
      <c r="G815" s="29" t="str">
        <f>IF(OR($E815="",$F815=""),"",IFERROR(IF($E815=INDEX([1]Cluster_Master!$A$4:$A$18,MATCH($F815,[1]Cluster_Master!$B$4:$B$18,0)),"OK","CHECK"),"CHECK"))</f>
        <v/>
      </c>
      <c r="H815" s="29" t="str">
        <f>IFERROR(INDEX([1]Cluster_Master!$C$4:$C$18,MATCH($F815,[1]Cluster_Master!$B$4:$B$18,0)),"")</f>
        <v/>
      </c>
      <c r="I815" s="29" t="str">
        <f>IFERROR(INDEX([1]Cluster_Master!$D$4:$D$18,MATCH($F815,[1]Cluster_Master!$B$4:$B$18,0)),"")</f>
        <v/>
      </c>
      <c r="J815" s="29" t="str">
        <f>IFERROR(INDEX([1]Cluster_Master!$E$4:$E$18,MATCH($F815,[1]Cluster_Master!$B$4:$B$18,0)),"")</f>
        <v/>
      </c>
      <c r="K815" s="29" t="str">
        <f>IFERROR(INDEX([1]Cluster_Master!$F$4:$F$18,MATCH($F815,[1]Cluster_Master!$B$4:$B$18,0)),"")</f>
        <v/>
      </c>
      <c r="L815" s="29" t="str">
        <f>IFERROR(INDEX([1]Cluster_Master!$G$4:$G$18,MATCH($F815,[1]Cluster_Master!$B$4:$B$18,0)),"")</f>
        <v/>
      </c>
      <c r="M815" s="29" t="str">
        <f>IFERROR(INDEX([1]Cluster_Master!$H$4:$H$18,MATCH($F815,[1]Cluster_Master!$B$4:$B$18,0)),"")</f>
        <v/>
      </c>
      <c r="AI815" s="29" t="str">
        <f>IF(COUNTA(T815:AH815)=0,"",SUM(T815:AH815))</f>
        <v/>
      </c>
      <c r="AJ815" s="29" t="str">
        <f>IF(COUNTA(T815:AH815)=0,"",AI815/75)</f>
        <v/>
      </c>
      <c r="AK815" s="29" t="str">
        <f>IF(COUNTA(T815:AH815)=0,"",(SUM(T815*[1]KPI_Weights!$B$4,U815*[1]KPI_Weights!$B$5,V815*[1]KPI_Weights!$B$6,W815*[1]KPI_Weights!$B$7,X815*[1]KPI_Weights!$B$8,Y815*[1]KPI_Weights!$B$9,Z815*[1]KPI_Weights!$B$10,AA815*[1]KPI_Weights!$B$11,AB815*[1]KPI_Weights!$B$12,AC815*[1]KPI_Weights!$B$13,AD815*[1]KPI_Weights!$B$14,AE815*[1]KPI_Weights!$B$15,AF815*[1]KPI_Weights!$B$16,AG815*[1]KPI_Weights!$B$17,AH815*[1]KPI_Weights!$B$18))/5)</f>
        <v/>
      </c>
      <c r="AL815" s="29" t="str">
        <f>IF(COUNTA(T815:AH815)=0,"",IF(OR(T815&lt;=1,W815&lt;=1,X815&lt;=1,Y815&lt;=1,AB815&lt;=1),"YES","NO"))</f>
        <v/>
      </c>
      <c r="AM815" s="29" t="str">
        <f>IF(AJ815="","",IF(AND(AL815="NO",AJ815&gt;=0.75),"YES","NO"))</f>
        <v/>
      </c>
      <c r="AN815" s="29" t="str">
        <f>IF(AJ815="","",IF(AJ815&lt;0.4,"Critical",IF(AJ815&lt;0.6,"Poor",IF(AJ815&lt;0.75,"Needs Improvement",IF(AJ815&lt;0.9,"Good","Excellent")))))</f>
        <v/>
      </c>
    </row>
    <row r="816" spans="1:40" ht="15" customHeight="1" x14ac:dyDescent="0.25">
      <c r="A816" s="29" t="str">
        <f>IF($B816="","",TEXT($B816,"yyyymmdd")&amp;"-"&amp;SUBSTITUTE($F816," ","")&amp;"-"&amp;TEXT(COUNTIF($F$4:F816,$F816),"00"))</f>
        <v/>
      </c>
      <c r="C816" s="29" t="str">
        <f>IF($B816="","",WEEKNUM($B816,2))</f>
        <v/>
      </c>
      <c r="D816" s="29" t="str">
        <f>IF($B816="","",TEXT($B816,"yyyy-mm"))</f>
        <v/>
      </c>
      <c r="G816" s="29" t="str">
        <f>IF(OR($E816="",$F816=""),"",IFERROR(IF($E816=INDEX([1]Cluster_Master!$A$4:$A$18,MATCH($F816,[1]Cluster_Master!$B$4:$B$18,0)),"OK","CHECK"),"CHECK"))</f>
        <v/>
      </c>
      <c r="H816" s="29" t="str">
        <f>IFERROR(INDEX([1]Cluster_Master!$C$4:$C$18,MATCH($F816,[1]Cluster_Master!$B$4:$B$18,0)),"")</f>
        <v/>
      </c>
      <c r="I816" s="29" t="str">
        <f>IFERROR(INDEX([1]Cluster_Master!$D$4:$D$18,MATCH($F816,[1]Cluster_Master!$B$4:$B$18,0)),"")</f>
        <v/>
      </c>
      <c r="J816" s="29" t="str">
        <f>IFERROR(INDEX([1]Cluster_Master!$E$4:$E$18,MATCH($F816,[1]Cluster_Master!$B$4:$B$18,0)),"")</f>
        <v/>
      </c>
      <c r="K816" s="29" t="str">
        <f>IFERROR(INDEX([1]Cluster_Master!$F$4:$F$18,MATCH($F816,[1]Cluster_Master!$B$4:$B$18,0)),"")</f>
        <v/>
      </c>
      <c r="L816" s="29" t="str">
        <f>IFERROR(INDEX([1]Cluster_Master!$G$4:$G$18,MATCH($F816,[1]Cluster_Master!$B$4:$B$18,0)),"")</f>
        <v/>
      </c>
      <c r="M816" s="29" t="str">
        <f>IFERROR(INDEX([1]Cluster_Master!$H$4:$H$18,MATCH($F816,[1]Cluster_Master!$B$4:$B$18,0)),"")</f>
        <v/>
      </c>
      <c r="AI816" s="29" t="str">
        <f>IF(COUNTA(T816:AH816)=0,"",SUM(T816:AH816))</f>
        <v/>
      </c>
      <c r="AJ816" s="29" t="str">
        <f>IF(COUNTA(T816:AH816)=0,"",AI816/75)</f>
        <v/>
      </c>
      <c r="AK816" s="29" t="str">
        <f>IF(COUNTA(T816:AH816)=0,"",(SUM(T816*[1]KPI_Weights!$B$4,U816*[1]KPI_Weights!$B$5,V816*[1]KPI_Weights!$B$6,W816*[1]KPI_Weights!$B$7,X816*[1]KPI_Weights!$B$8,Y816*[1]KPI_Weights!$B$9,Z816*[1]KPI_Weights!$B$10,AA816*[1]KPI_Weights!$B$11,AB816*[1]KPI_Weights!$B$12,AC816*[1]KPI_Weights!$B$13,AD816*[1]KPI_Weights!$B$14,AE816*[1]KPI_Weights!$B$15,AF816*[1]KPI_Weights!$B$16,AG816*[1]KPI_Weights!$B$17,AH816*[1]KPI_Weights!$B$18))/5)</f>
        <v/>
      </c>
      <c r="AL816" s="29" t="str">
        <f>IF(COUNTA(T816:AH816)=0,"",IF(OR(T816&lt;=1,W816&lt;=1,X816&lt;=1,Y816&lt;=1,AB816&lt;=1),"YES","NO"))</f>
        <v/>
      </c>
      <c r="AM816" s="29" t="str">
        <f>IF(AJ816="","",IF(AND(AL816="NO",AJ816&gt;=0.75),"YES","NO"))</f>
        <v/>
      </c>
      <c r="AN816" s="29" t="str">
        <f>IF(AJ816="","",IF(AJ816&lt;0.4,"Critical",IF(AJ816&lt;0.6,"Poor",IF(AJ816&lt;0.75,"Needs Improvement",IF(AJ816&lt;0.9,"Good","Excellent")))))</f>
        <v/>
      </c>
    </row>
    <row r="817" spans="1:40" ht="15" customHeight="1" x14ac:dyDescent="0.25">
      <c r="A817" s="29" t="str">
        <f>IF($B817="","",TEXT($B817,"yyyymmdd")&amp;"-"&amp;SUBSTITUTE($F817," ","")&amp;"-"&amp;TEXT(COUNTIF($F$4:F817,$F817),"00"))</f>
        <v/>
      </c>
      <c r="C817" s="29" t="str">
        <f>IF($B817="","",WEEKNUM($B817,2))</f>
        <v/>
      </c>
      <c r="D817" s="29" t="str">
        <f>IF($B817="","",TEXT($B817,"yyyy-mm"))</f>
        <v/>
      </c>
      <c r="G817" s="29" t="str">
        <f>IF(OR($E817="",$F817=""),"",IFERROR(IF($E817=INDEX([1]Cluster_Master!$A$4:$A$18,MATCH($F817,[1]Cluster_Master!$B$4:$B$18,0)),"OK","CHECK"),"CHECK"))</f>
        <v/>
      </c>
      <c r="H817" s="29" t="str">
        <f>IFERROR(INDEX([1]Cluster_Master!$C$4:$C$18,MATCH($F817,[1]Cluster_Master!$B$4:$B$18,0)),"")</f>
        <v/>
      </c>
      <c r="I817" s="29" t="str">
        <f>IFERROR(INDEX([1]Cluster_Master!$D$4:$D$18,MATCH($F817,[1]Cluster_Master!$B$4:$B$18,0)),"")</f>
        <v/>
      </c>
      <c r="J817" s="29" t="str">
        <f>IFERROR(INDEX([1]Cluster_Master!$E$4:$E$18,MATCH($F817,[1]Cluster_Master!$B$4:$B$18,0)),"")</f>
        <v/>
      </c>
      <c r="K817" s="29" t="str">
        <f>IFERROR(INDEX([1]Cluster_Master!$F$4:$F$18,MATCH($F817,[1]Cluster_Master!$B$4:$B$18,0)),"")</f>
        <v/>
      </c>
      <c r="L817" s="29" t="str">
        <f>IFERROR(INDEX([1]Cluster_Master!$G$4:$G$18,MATCH($F817,[1]Cluster_Master!$B$4:$B$18,0)),"")</f>
        <v/>
      </c>
      <c r="M817" s="29" t="str">
        <f>IFERROR(INDEX([1]Cluster_Master!$H$4:$H$18,MATCH($F817,[1]Cluster_Master!$B$4:$B$18,0)),"")</f>
        <v/>
      </c>
      <c r="AI817" s="29" t="str">
        <f>IF(COUNTA(T817:AH817)=0,"",SUM(T817:AH817))</f>
        <v/>
      </c>
      <c r="AJ817" s="29" t="str">
        <f>IF(COUNTA(T817:AH817)=0,"",AI817/75)</f>
        <v/>
      </c>
      <c r="AK817" s="29" t="str">
        <f>IF(COUNTA(T817:AH817)=0,"",(SUM(T817*[1]KPI_Weights!$B$4,U817*[1]KPI_Weights!$B$5,V817*[1]KPI_Weights!$B$6,W817*[1]KPI_Weights!$B$7,X817*[1]KPI_Weights!$B$8,Y817*[1]KPI_Weights!$B$9,Z817*[1]KPI_Weights!$B$10,AA817*[1]KPI_Weights!$B$11,AB817*[1]KPI_Weights!$B$12,AC817*[1]KPI_Weights!$B$13,AD817*[1]KPI_Weights!$B$14,AE817*[1]KPI_Weights!$B$15,AF817*[1]KPI_Weights!$B$16,AG817*[1]KPI_Weights!$B$17,AH817*[1]KPI_Weights!$B$18))/5)</f>
        <v/>
      </c>
      <c r="AL817" s="29" t="str">
        <f>IF(COUNTA(T817:AH817)=0,"",IF(OR(T817&lt;=1,W817&lt;=1,X817&lt;=1,Y817&lt;=1,AB817&lt;=1),"YES","NO"))</f>
        <v/>
      </c>
      <c r="AM817" s="29" t="str">
        <f>IF(AJ817="","",IF(AND(AL817="NO",AJ817&gt;=0.75),"YES","NO"))</f>
        <v/>
      </c>
      <c r="AN817" s="29" t="str">
        <f>IF(AJ817="","",IF(AJ817&lt;0.4,"Critical",IF(AJ817&lt;0.6,"Poor",IF(AJ817&lt;0.75,"Needs Improvement",IF(AJ817&lt;0.9,"Good","Excellent")))))</f>
        <v/>
      </c>
    </row>
    <row r="818" spans="1:40" ht="15" customHeight="1" x14ac:dyDescent="0.25">
      <c r="A818" s="29" t="str">
        <f>IF($B818="","",TEXT($B818,"yyyymmdd")&amp;"-"&amp;SUBSTITUTE($F818," ","")&amp;"-"&amp;TEXT(COUNTIF($F$4:F818,$F818),"00"))</f>
        <v/>
      </c>
      <c r="C818" s="29" t="str">
        <f>IF($B818="","",WEEKNUM($B818,2))</f>
        <v/>
      </c>
      <c r="D818" s="29" t="str">
        <f>IF($B818="","",TEXT($B818,"yyyy-mm"))</f>
        <v/>
      </c>
      <c r="G818" s="29" t="str">
        <f>IF(OR($E818="",$F818=""),"",IFERROR(IF($E818=INDEX([1]Cluster_Master!$A$4:$A$18,MATCH($F818,[1]Cluster_Master!$B$4:$B$18,0)),"OK","CHECK"),"CHECK"))</f>
        <v/>
      </c>
      <c r="H818" s="29" t="str">
        <f>IFERROR(INDEX([1]Cluster_Master!$C$4:$C$18,MATCH($F818,[1]Cluster_Master!$B$4:$B$18,0)),"")</f>
        <v/>
      </c>
      <c r="I818" s="29" t="str">
        <f>IFERROR(INDEX([1]Cluster_Master!$D$4:$D$18,MATCH($F818,[1]Cluster_Master!$B$4:$B$18,0)),"")</f>
        <v/>
      </c>
      <c r="J818" s="29" t="str">
        <f>IFERROR(INDEX([1]Cluster_Master!$E$4:$E$18,MATCH($F818,[1]Cluster_Master!$B$4:$B$18,0)),"")</f>
        <v/>
      </c>
      <c r="K818" s="29" t="str">
        <f>IFERROR(INDEX([1]Cluster_Master!$F$4:$F$18,MATCH($F818,[1]Cluster_Master!$B$4:$B$18,0)),"")</f>
        <v/>
      </c>
      <c r="L818" s="29" t="str">
        <f>IFERROR(INDEX([1]Cluster_Master!$G$4:$G$18,MATCH($F818,[1]Cluster_Master!$B$4:$B$18,0)),"")</f>
        <v/>
      </c>
      <c r="M818" s="29" t="str">
        <f>IFERROR(INDEX([1]Cluster_Master!$H$4:$H$18,MATCH($F818,[1]Cluster_Master!$B$4:$B$18,0)),"")</f>
        <v/>
      </c>
      <c r="AI818" s="29" t="str">
        <f>IF(COUNTA(T818:AH818)=0,"",SUM(T818:AH818))</f>
        <v/>
      </c>
      <c r="AJ818" s="29" t="str">
        <f>IF(COUNTA(T818:AH818)=0,"",AI818/75)</f>
        <v/>
      </c>
      <c r="AK818" s="29" t="str">
        <f>IF(COUNTA(T818:AH818)=0,"",(SUM(T818*[1]KPI_Weights!$B$4,U818*[1]KPI_Weights!$B$5,V818*[1]KPI_Weights!$B$6,W818*[1]KPI_Weights!$B$7,X818*[1]KPI_Weights!$B$8,Y818*[1]KPI_Weights!$B$9,Z818*[1]KPI_Weights!$B$10,AA818*[1]KPI_Weights!$B$11,AB818*[1]KPI_Weights!$B$12,AC818*[1]KPI_Weights!$B$13,AD818*[1]KPI_Weights!$B$14,AE818*[1]KPI_Weights!$B$15,AF818*[1]KPI_Weights!$B$16,AG818*[1]KPI_Weights!$B$17,AH818*[1]KPI_Weights!$B$18))/5)</f>
        <v/>
      </c>
      <c r="AL818" s="29" t="str">
        <f>IF(COUNTA(T818:AH818)=0,"",IF(OR(T818&lt;=1,W818&lt;=1,X818&lt;=1,Y818&lt;=1,AB818&lt;=1),"YES","NO"))</f>
        <v/>
      </c>
      <c r="AM818" s="29" t="str">
        <f>IF(AJ818="","",IF(AND(AL818="NO",AJ818&gt;=0.75),"YES","NO"))</f>
        <v/>
      </c>
      <c r="AN818" s="29" t="str">
        <f>IF(AJ818="","",IF(AJ818&lt;0.4,"Critical",IF(AJ818&lt;0.6,"Poor",IF(AJ818&lt;0.75,"Needs Improvement",IF(AJ818&lt;0.9,"Good","Excellent")))))</f>
        <v/>
      </c>
    </row>
    <row r="819" spans="1:40" ht="15" customHeight="1" x14ac:dyDescent="0.25">
      <c r="A819" s="29" t="str">
        <f>IF($B819="","",TEXT($B819,"yyyymmdd")&amp;"-"&amp;SUBSTITUTE($F819," ","")&amp;"-"&amp;TEXT(COUNTIF($F$4:F819,$F819),"00"))</f>
        <v/>
      </c>
      <c r="C819" s="29" t="str">
        <f>IF($B819="","",WEEKNUM($B819,2))</f>
        <v/>
      </c>
      <c r="D819" s="29" t="str">
        <f>IF($B819="","",TEXT($B819,"yyyy-mm"))</f>
        <v/>
      </c>
      <c r="G819" s="29" t="str">
        <f>IF(OR($E819="",$F819=""),"",IFERROR(IF($E819=INDEX([1]Cluster_Master!$A$4:$A$18,MATCH($F819,[1]Cluster_Master!$B$4:$B$18,0)),"OK","CHECK"),"CHECK"))</f>
        <v/>
      </c>
      <c r="H819" s="29" t="str">
        <f>IFERROR(INDEX([1]Cluster_Master!$C$4:$C$18,MATCH($F819,[1]Cluster_Master!$B$4:$B$18,0)),"")</f>
        <v/>
      </c>
      <c r="I819" s="29" t="str">
        <f>IFERROR(INDEX([1]Cluster_Master!$D$4:$D$18,MATCH($F819,[1]Cluster_Master!$B$4:$B$18,0)),"")</f>
        <v/>
      </c>
      <c r="J819" s="29" t="str">
        <f>IFERROR(INDEX([1]Cluster_Master!$E$4:$E$18,MATCH($F819,[1]Cluster_Master!$B$4:$B$18,0)),"")</f>
        <v/>
      </c>
      <c r="K819" s="29" t="str">
        <f>IFERROR(INDEX([1]Cluster_Master!$F$4:$F$18,MATCH($F819,[1]Cluster_Master!$B$4:$B$18,0)),"")</f>
        <v/>
      </c>
      <c r="L819" s="29" t="str">
        <f>IFERROR(INDEX([1]Cluster_Master!$G$4:$G$18,MATCH($F819,[1]Cluster_Master!$B$4:$B$18,0)),"")</f>
        <v/>
      </c>
      <c r="M819" s="29" t="str">
        <f>IFERROR(INDEX([1]Cluster_Master!$H$4:$H$18,MATCH($F819,[1]Cluster_Master!$B$4:$B$18,0)),"")</f>
        <v/>
      </c>
      <c r="AI819" s="29" t="str">
        <f>IF(COUNTA(T819:AH819)=0,"",SUM(T819:AH819))</f>
        <v/>
      </c>
      <c r="AJ819" s="29" t="str">
        <f>IF(COUNTA(T819:AH819)=0,"",AI819/75)</f>
        <v/>
      </c>
      <c r="AK819" s="29" t="str">
        <f>IF(COUNTA(T819:AH819)=0,"",(SUM(T819*[1]KPI_Weights!$B$4,U819*[1]KPI_Weights!$B$5,V819*[1]KPI_Weights!$B$6,W819*[1]KPI_Weights!$B$7,X819*[1]KPI_Weights!$B$8,Y819*[1]KPI_Weights!$B$9,Z819*[1]KPI_Weights!$B$10,AA819*[1]KPI_Weights!$B$11,AB819*[1]KPI_Weights!$B$12,AC819*[1]KPI_Weights!$B$13,AD819*[1]KPI_Weights!$B$14,AE819*[1]KPI_Weights!$B$15,AF819*[1]KPI_Weights!$B$16,AG819*[1]KPI_Weights!$B$17,AH819*[1]KPI_Weights!$B$18))/5)</f>
        <v/>
      </c>
      <c r="AL819" s="29" t="str">
        <f>IF(COUNTA(T819:AH819)=0,"",IF(OR(T819&lt;=1,W819&lt;=1,X819&lt;=1,Y819&lt;=1,AB819&lt;=1),"YES","NO"))</f>
        <v/>
      </c>
      <c r="AM819" s="29" t="str">
        <f>IF(AJ819="","",IF(AND(AL819="NO",AJ819&gt;=0.75),"YES","NO"))</f>
        <v/>
      </c>
      <c r="AN819" s="29" t="str">
        <f>IF(AJ819="","",IF(AJ819&lt;0.4,"Critical",IF(AJ819&lt;0.6,"Poor",IF(AJ819&lt;0.75,"Needs Improvement",IF(AJ819&lt;0.9,"Good","Excellent")))))</f>
        <v/>
      </c>
    </row>
    <row r="820" spans="1:40" ht="15" customHeight="1" x14ac:dyDescent="0.25">
      <c r="A820" s="29" t="str">
        <f>IF($B820="","",TEXT($B820,"yyyymmdd")&amp;"-"&amp;SUBSTITUTE($F820," ","")&amp;"-"&amp;TEXT(COUNTIF($F$4:F820,$F820),"00"))</f>
        <v/>
      </c>
      <c r="C820" s="29" t="str">
        <f>IF($B820="","",WEEKNUM($B820,2))</f>
        <v/>
      </c>
      <c r="D820" s="29" t="str">
        <f>IF($B820="","",TEXT($B820,"yyyy-mm"))</f>
        <v/>
      </c>
      <c r="G820" s="29" t="str">
        <f>IF(OR($E820="",$F820=""),"",IFERROR(IF($E820=INDEX([1]Cluster_Master!$A$4:$A$18,MATCH($F820,[1]Cluster_Master!$B$4:$B$18,0)),"OK","CHECK"),"CHECK"))</f>
        <v/>
      </c>
      <c r="H820" s="29" t="str">
        <f>IFERROR(INDEX([1]Cluster_Master!$C$4:$C$18,MATCH($F820,[1]Cluster_Master!$B$4:$B$18,0)),"")</f>
        <v/>
      </c>
      <c r="I820" s="29" t="str">
        <f>IFERROR(INDEX([1]Cluster_Master!$D$4:$D$18,MATCH($F820,[1]Cluster_Master!$B$4:$B$18,0)),"")</f>
        <v/>
      </c>
      <c r="J820" s="29" t="str">
        <f>IFERROR(INDEX([1]Cluster_Master!$E$4:$E$18,MATCH($F820,[1]Cluster_Master!$B$4:$B$18,0)),"")</f>
        <v/>
      </c>
      <c r="K820" s="29" t="str">
        <f>IFERROR(INDEX([1]Cluster_Master!$F$4:$F$18,MATCH($F820,[1]Cluster_Master!$B$4:$B$18,0)),"")</f>
        <v/>
      </c>
      <c r="L820" s="29" t="str">
        <f>IFERROR(INDEX([1]Cluster_Master!$G$4:$G$18,MATCH($F820,[1]Cluster_Master!$B$4:$B$18,0)),"")</f>
        <v/>
      </c>
      <c r="M820" s="29" t="str">
        <f>IFERROR(INDEX([1]Cluster_Master!$H$4:$H$18,MATCH($F820,[1]Cluster_Master!$B$4:$B$18,0)),"")</f>
        <v/>
      </c>
      <c r="AI820" s="29" t="str">
        <f>IF(COUNTA(T820:AH820)=0,"",SUM(T820:AH820))</f>
        <v/>
      </c>
      <c r="AJ820" s="29" t="str">
        <f>IF(COUNTA(T820:AH820)=0,"",AI820/75)</f>
        <v/>
      </c>
      <c r="AK820" s="29" t="str">
        <f>IF(COUNTA(T820:AH820)=0,"",(SUM(T820*[1]KPI_Weights!$B$4,U820*[1]KPI_Weights!$B$5,V820*[1]KPI_Weights!$B$6,W820*[1]KPI_Weights!$B$7,X820*[1]KPI_Weights!$B$8,Y820*[1]KPI_Weights!$B$9,Z820*[1]KPI_Weights!$B$10,AA820*[1]KPI_Weights!$B$11,AB820*[1]KPI_Weights!$B$12,AC820*[1]KPI_Weights!$B$13,AD820*[1]KPI_Weights!$B$14,AE820*[1]KPI_Weights!$B$15,AF820*[1]KPI_Weights!$B$16,AG820*[1]KPI_Weights!$B$17,AH820*[1]KPI_Weights!$B$18))/5)</f>
        <v/>
      </c>
      <c r="AL820" s="29" t="str">
        <f>IF(COUNTA(T820:AH820)=0,"",IF(OR(T820&lt;=1,W820&lt;=1,X820&lt;=1,Y820&lt;=1,AB820&lt;=1),"YES","NO"))</f>
        <v/>
      </c>
      <c r="AM820" s="29" t="str">
        <f>IF(AJ820="","",IF(AND(AL820="NO",AJ820&gt;=0.75),"YES","NO"))</f>
        <v/>
      </c>
      <c r="AN820" s="29" t="str">
        <f>IF(AJ820="","",IF(AJ820&lt;0.4,"Critical",IF(AJ820&lt;0.6,"Poor",IF(AJ820&lt;0.75,"Needs Improvement",IF(AJ820&lt;0.9,"Good","Excellent")))))</f>
        <v/>
      </c>
    </row>
    <row r="821" spans="1:40" ht="15" customHeight="1" x14ac:dyDescent="0.25">
      <c r="A821" s="29" t="str">
        <f>IF($B821="","",TEXT($B821,"yyyymmdd")&amp;"-"&amp;SUBSTITUTE($F821," ","")&amp;"-"&amp;TEXT(COUNTIF($F$4:F821,$F821),"00"))</f>
        <v/>
      </c>
      <c r="C821" s="29" t="str">
        <f>IF($B821="","",WEEKNUM($B821,2))</f>
        <v/>
      </c>
      <c r="D821" s="29" t="str">
        <f>IF($B821="","",TEXT($B821,"yyyy-mm"))</f>
        <v/>
      </c>
      <c r="G821" s="29" t="str">
        <f>IF(OR($E821="",$F821=""),"",IFERROR(IF($E821=INDEX([1]Cluster_Master!$A$4:$A$18,MATCH($F821,[1]Cluster_Master!$B$4:$B$18,0)),"OK","CHECK"),"CHECK"))</f>
        <v/>
      </c>
      <c r="H821" s="29" t="str">
        <f>IFERROR(INDEX([1]Cluster_Master!$C$4:$C$18,MATCH($F821,[1]Cluster_Master!$B$4:$B$18,0)),"")</f>
        <v/>
      </c>
      <c r="I821" s="29" t="str">
        <f>IFERROR(INDEX([1]Cluster_Master!$D$4:$D$18,MATCH($F821,[1]Cluster_Master!$B$4:$B$18,0)),"")</f>
        <v/>
      </c>
      <c r="J821" s="29" t="str">
        <f>IFERROR(INDEX([1]Cluster_Master!$E$4:$E$18,MATCH($F821,[1]Cluster_Master!$B$4:$B$18,0)),"")</f>
        <v/>
      </c>
      <c r="K821" s="29" t="str">
        <f>IFERROR(INDEX([1]Cluster_Master!$F$4:$F$18,MATCH($F821,[1]Cluster_Master!$B$4:$B$18,0)),"")</f>
        <v/>
      </c>
      <c r="L821" s="29" t="str">
        <f>IFERROR(INDEX([1]Cluster_Master!$G$4:$G$18,MATCH($F821,[1]Cluster_Master!$B$4:$B$18,0)),"")</f>
        <v/>
      </c>
      <c r="M821" s="29" t="str">
        <f>IFERROR(INDEX([1]Cluster_Master!$H$4:$H$18,MATCH($F821,[1]Cluster_Master!$B$4:$B$18,0)),"")</f>
        <v/>
      </c>
      <c r="AI821" s="29" t="str">
        <f>IF(COUNTA(T821:AH821)=0,"",SUM(T821:AH821))</f>
        <v/>
      </c>
      <c r="AJ821" s="29" t="str">
        <f>IF(COUNTA(T821:AH821)=0,"",AI821/75)</f>
        <v/>
      </c>
      <c r="AK821" s="29" t="str">
        <f>IF(COUNTA(T821:AH821)=0,"",(SUM(T821*[1]KPI_Weights!$B$4,U821*[1]KPI_Weights!$B$5,V821*[1]KPI_Weights!$B$6,W821*[1]KPI_Weights!$B$7,X821*[1]KPI_Weights!$B$8,Y821*[1]KPI_Weights!$B$9,Z821*[1]KPI_Weights!$B$10,AA821*[1]KPI_Weights!$B$11,AB821*[1]KPI_Weights!$B$12,AC821*[1]KPI_Weights!$B$13,AD821*[1]KPI_Weights!$B$14,AE821*[1]KPI_Weights!$B$15,AF821*[1]KPI_Weights!$B$16,AG821*[1]KPI_Weights!$B$17,AH821*[1]KPI_Weights!$B$18))/5)</f>
        <v/>
      </c>
      <c r="AL821" s="29" t="str">
        <f>IF(COUNTA(T821:AH821)=0,"",IF(OR(T821&lt;=1,W821&lt;=1,X821&lt;=1,Y821&lt;=1,AB821&lt;=1),"YES","NO"))</f>
        <v/>
      </c>
      <c r="AM821" s="29" t="str">
        <f>IF(AJ821="","",IF(AND(AL821="NO",AJ821&gt;=0.75),"YES","NO"))</f>
        <v/>
      </c>
      <c r="AN821" s="29" t="str">
        <f>IF(AJ821="","",IF(AJ821&lt;0.4,"Critical",IF(AJ821&lt;0.6,"Poor",IF(AJ821&lt;0.75,"Needs Improvement",IF(AJ821&lt;0.9,"Good","Excellent")))))</f>
        <v/>
      </c>
    </row>
    <row r="822" spans="1:40" ht="15" customHeight="1" x14ac:dyDescent="0.25">
      <c r="A822" s="29" t="str">
        <f>IF($B822="","",TEXT($B822,"yyyymmdd")&amp;"-"&amp;SUBSTITUTE($F822," ","")&amp;"-"&amp;TEXT(COUNTIF($F$4:F822,$F822),"00"))</f>
        <v/>
      </c>
      <c r="C822" s="29" t="str">
        <f>IF($B822="","",WEEKNUM($B822,2))</f>
        <v/>
      </c>
      <c r="D822" s="29" t="str">
        <f>IF($B822="","",TEXT($B822,"yyyy-mm"))</f>
        <v/>
      </c>
      <c r="G822" s="29" t="str">
        <f>IF(OR($E822="",$F822=""),"",IFERROR(IF($E822=INDEX([1]Cluster_Master!$A$4:$A$18,MATCH($F822,[1]Cluster_Master!$B$4:$B$18,0)),"OK","CHECK"),"CHECK"))</f>
        <v/>
      </c>
      <c r="H822" s="29" t="str">
        <f>IFERROR(INDEX([1]Cluster_Master!$C$4:$C$18,MATCH($F822,[1]Cluster_Master!$B$4:$B$18,0)),"")</f>
        <v/>
      </c>
      <c r="I822" s="29" t="str">
        <f>IFERROR(INDEX([1]Cluster_Master!$D$4:$D$18,MATCH($F822,[1]Cluster_Master!$B$4:$B$18,0)),"")</f>
        <v/>
      </c>
      <c r="J822" s="29" t="str">
        <f>IFERROR(INDEX([1]Cluster_Master!$E$4:$E$18,MATCH($F822,[1]Cluster_Master!$B$4:$B$18,0)),"")</f>
        <v/>
      </c>
      <c r="K822" s="29" t="str">
        <f>IFERROR(INDEX([1]Cluster_Master!$F$4:$F$18,MATCH($F822,[1]Cluster_Master!$B$4:$B$18,0)),"")</f>
        <v/>
      </c>
      <c r="L822" s="29" t="str">
        <f>IFERROR(INDEX([1]Cluster_Master!$G$4:$G$18,MATCH($F822,[1]Cluster_Master!$B$4:$B$18,0)),"")</f>
        <v/>
      </c>
      <c r="M822" s="29" t="str">
        <f>IFERROR(INDEX([1]Cluster_Master!$H$4:$H$18,MATCH($F822,[1]Cluster_Master!$B$4:$B$18,0)),"")</f>
        <v/>
      </c>
      <c r="AI822" s="29" t="str">
        <f>IF(COUNTA(T822:AH822)=0,"",SUM(T822:AH822))</f>
        <v/>
      </c>
      <c r="AJ822" s="29" t="str">
        <f>IF(COUNTA(T822:AH822)=0,"",AI822/75)</f>
        <v/>
      </c>
      <c r="AK822" s="29" t="str">
        <f>IF(COUNTA(T822:AH822)=0,"",(SUM(T822*[1]KPI_Weights!$B$4,U822*[1]KPI_Weights!$B$5,V822*[1]KPI_Weights!$B$6,W822*[1]KPI_Weights!$B$7,X822*[1]KPI_Weights!$B$8,Y822*[1]KPI_Weights!$B$9,Z822*[1]KPI_Weights!$B$10,AA822*[1]KPI_Weights!$B$11,AB822*[1]KPI_Weights!$B$12,AC822*[1]KPI_Weights!$B$13,AD822*[1]KPI_Weights!$B$14,AE822*[1]KPI_Weights!$B$15,AF822*[1]KPI_Weights!$B$16,AG822*[1]KPI_Weights!$B$17,AH822*[1]KPI_Weights!$B$18))/5)</f>
        <v/>
      </c>
      <c r="AL822" s="29" t="str">
        <f>IF(COUNTA(T822:AH822)=0,"",IF(OR(T822&lt;=1,W822&lt;=1,X822&lt;=1,Y822&lt;=1,AB822&lt;=1),"YES","NO"))</f>
        <v/>
      </c>
      <c r="AM822" s="29" t="str">
        <f>IF(AJ822="","",IF(AND(AL822="NO",AJ822&gt;=0.75),"YES","NO"))</f>
        <v/>
      </c>
      <c r="AN822" s="29" t="str">
        <f>IF(AJ822="","",IF(AJ822&lt;0.4,"Critical",IF(AJ822&lt;0.6,"Poor",IF(AJ822&lt;0.75,"Needs Improvement",IF(AJ822&lt;0.9,"Good","Excellent")))))</f>
        <v/>
      </c>
    </row>
    <row r="823" spans="1:40" ht="15" customHeight="1" x14ac:dyDescent="0.25">
      <c r="A823" s="29" t="str">
        <f>IF($B823="","",TEXT($B823,"yyyymmdd")&amp;"-"&amp;SUBSTITUTE($F823," ","")&amp;"-"&amp;TEXT(COUNTIF($F$4:F823,$F823),"00"))</f>
        <v/>
      </c>
      <c r="C823" s="29" t="str">
        <f>IF($B823="","",WEEKNUM($B823,2))</f>
        <v/>
      </c>
      <c r="D823" s="29" t="str">
        <f>IF($B823="","",TEXT($B823,"yyyy-mm"))</f>
        <v/>
      </c>
      <c r="G823" s="29" t="str">
        <f>IF(OR($E823="",$F823=""),"",IFERROR(IF($E823=INDEX([1]Cluster_Master!$A$4:$A$18,MATCH($F823,[1]Cluster_Master!$B$4:$B$18,0)),"OK","CHECK"),"CHECK"))</f>
        <v/>
      </c>
      <c r="H823" s="29" t="str">
        <f>IFERROR(INDEX([1]Cluster_Master!$C$4:$C$18,MATCH($F823,[1]Cluster_Master!$B$4:$B$18,0)),"")</f>
        <v/>
      </c>
      <c r="I823" s="29" t="str">
        <f>IFERROR(INDEX([1]Cluster_Master!$D$4:$D$18,MATCH($F823,[1]Cluster_Master!$B$4:$B$18,0)),"")</f>
        <v/>
      </c>
      <c r="J823" s="29" t="str">
        <f>IFERROR(INDEX([1]Cluster_Master!$E$4:$E$18,MATCH($F823,[1]Cluster_Master!$B$4:$B$18,0)),"")</f>
        <v/>
      </c>
      <c r="K823" s="29" t="str">
        <f>IFERROR(INDEX([1]Cluster_Master!$F$4:$F$18,MATCH($F823,[1]Cluster_Master!$B$4:$B$18,0)),"")</f>
        <v/>
      </c>
      <c r="L823" s="29" t="str">
        <f>IFERROR(INDEX([1]Cluster_Master!$G$4:$G$18,MATCH($F823,[1]Cluster_Master!$B$4:$B$18,0)),"")</f>
        <v/>
      </c>
      <c r="M823" s="29" t="str">
        <f>IFERROR(INDEX([1]Cluster_Master!$H$4:$H$18,MATCH($F823,[1]Cluster_Master!$B$4:$B$18,0)),"")</f>
        <v/>
      </c>
      <c r="AI823" s="29" t="str">
        <f>IF(COUNTA(T823:AH823)=0,"",SUM(T823:AH823))</f>
        <v/>
      </c>
      <c r="AJ823" s="29" t="str">
        <f>IF(COUNTA(T823:AH823)=0,"",AI823/75)</f>
        <v/>
      </c>
      <c r="AK823" s="29" t="str">
        <f>IF(COUNTA(T823:AH823)=0,"",(SUM(T823*[1]KPI_Weights!$B$4,U823*[1]KPI_Weights!$B$5,V823*[1]KPI_Weights!$B$6,W823*[1]KPI_Weights!$B$7,X823*[1]KPI_Weights!$B$8,Y823*[1]KPI_Weights!$B$9,Z823*[1]KPI_Weights!$B$10,AA823*[1]KPI_Weights!$B$11,AB823*[1]KPI_Weights!$B$12,AC823*[1]KPI_Weights!$B$13,AD823*[1]KPI_Weights!$B$14,AE823*[1]KPI_Weights!$B$15,AF823*[1]KPI_Weights!$B$16,AG823*[1]KPI_Weights!$B$17,AH823*[1]KPI_Weights!$B$18))/5)</f>
        <v/>
      </c>
      <c r="AL823" s="29" t="str">
        <f>IF(COUNTA(T823:AH823)=0,"",IF(OR(T823&lt;=1,W823&lt;=1,X823&lt;=1,Y823&lt;=1,AB823&lt;=1),"YES","NO"))</f>
        <v/>
      </c>
      <c r="AM823" s="29" t="str">
        <f>IF(AJ823="","",IF(AND(AL823="NO",AJ823&gt;=0.75),"YES","NO"))</f>
        <v/>
      </c>
      <c r="AN823" s="29" t="str">
        <f>IF(AJ823="","",IF(AJ823&lt;0.4,"Critical",IF(AJ823&lt;0.6,"Poor",IF(AJ823&lt;0.75,"Needs Improvement",IF(AJ823&lt;0.9,"Good","Excellent")))))</f>
        <v/>
      </c>
    </row>
    <row r="824" spans="1:40" ht="15" customHeight="1" x14ac:dyDescent="0.25">
      <c r="A824" s="29" t="str">
        <f>IF($B824="","",TEXT($B824,"yyyymmdd")&amp;"-"&amp;SUBSTITUTE($F824," ","")&amp;"-"&amp;TEXT(COUNTIF($F$4:F824,$F824),"00"))</f>
        <v/>
      </c>
      <c r="C824" s="29" t="str">
        <f>IF($B824="","",WEEKNUM($B824,2))</f>
        <v/>
      </c>
      <c r="D824" s="29" t="str">
        <f>IF($B824="","",TEXT($B824,"yyyy-mm"))</f>
        <v/>
      </c>
      <c r="G824" s="29" t="str">
        <f>IF(OR($E824="",$F824=""),"",IFERROR(IF($E824=INDEX([1]Cluster_Master!$A$4:$A$18,MATCH($F824,[1]Cluster_Master!$B$4:$B$18,0)),"OK","CHECK"),"CHECK"))</f>
        <v/>
      </c>
      <c r="H824" s="29" t="str">
        <f>IFERROR(INDEX([1]Cluster_Master!$C$4:$C$18,MATCH($F824,[1]Cluster_Master!$B$4:$B$18,0)),"")</f>
        <v/>
      </c>
      <c r="I824" s="29" t="str">
        <f>IFERROR(INDEX([1]Cluster_Master!$D$4:$D$18,MATCH($F824,[1]Cluster_Master!$B$4:$B$18,0)),"")</f>
        <v/>
      </c>
      <c r="J824" s="29" t="str">
        <f>IFERROR(INDEX([1]Cluster_Master!$E$4:$E$18,MATCH($F824,[1]Cluster_Master!$B$4:$B$18,0)),"")</f>
        <v/>
      </c>
      <c r="K824" s="29" t="str">
        <f>IFERROR(INDEX([1]Cluster_Master!$F$4:$F$18,MATCH($F824,[1]Cluster_Master!$B$4:$B$18,0)),"")</f>
        <v/>
      </c>
      <c r="L824" s="29" t="str">
        <f>IFERROR(INDEX([1]Cluster_Master!$G$4:$G$18,MATCH($F824,[1]Cluster_Master!$B$4:$B$18,0)),"")</f>
        <v/>
      </c>
      <c r="M824" s="29" t="str">
        <f>IFERROR(INDEX([1]Cluster_Master!$H$4:$H$18,MATCH($F824,[1]Cluster_Master!$B$4:$B$18,0)),"")</f>
        <v/>
      </c>
      <c r="AI824" s="29" t="str">
        <f>IF(COUNTA(T824:AH824)=0,"",SUM(T824:AH824))</f>
        <v/>
      </c>
      <c r="AJ824" s="29" t="str">
        <f>IF(COUNTA(T824:AH824)=0,"",AI824/75)</f>
        <v/>
      </c>
      <c r="AK824" s="29" t="str">
        <f>IF(COUNTA(T824:AH824)=0,"",(SUM(T824*[1]KPI_Weights!$B$4,U824*[1]KPI_Weights!$B$5,V824*[1]KPI_Weights!$B$6,W824*[1]KPI_Weights!$B$7,X824*[1]KPI_Weights!$B$8,Y824*[1]KPI_Weights!$B$9,Z824*[1]KPI_Weights!$B$10,AA824*[1]KPI_Weights!$B$11,AB824*[1]KPI_Weights!$B$12,AC824*[1]KPI_Weights!$B$13,AD824*[1]KPI_Weights!$B$14,AE824*[1]KPI_Weights!$B$15,AF824*[1]KPI_Weights!$B$16,AG824*[1]KPI_Weights!$B$17,AH824*[1]KPI_Weights!$B$18))/5)</f>
        <v/>
      </c>
      <c r="AL824" s="29" t="str">
        <f>IF(COUNTA(T824:AH824)=0,"",IF(OR(T824&lt;=1,W824&lt;=1,X824&lt;=1,Y824&lt;=1,AB824&lt;=1),"YES","NO"))</f>
        <v/>
      </c>
      <c r="AM824" s="29" t="str">
        <f>IF(AJ824="","",IF(AND(AL824="NO",AJ824&gt;=0.75),"YES","NO"))</f>
        <v/>
      </c>
      <c r="AN824" s="29" t="str">
        <f>IF(AJ824="","",IF(AJ824&lt;0.4,"Critical",IF(AJ824&lt;0.6,"Poor",IF(AJ824&lt;0.75,"Needs Improvement",IF(AJ824&lt;0.9,"Good","Excellent")))))</f>
        <v/>
      </c>
    </row>
    <row r="825" spans="1:40" ht="15" customHeight="1" x14ac:dyDescent="0.25">
      <c r="A825" s="29" t="str">
        <f>IF($B825="","",TEXT($B825,"yyyymmdd")&amp;"-"&amp;SUBSTITUTE($F825," ","")&amp;"-"&amp;TEXT(COUNTIF($F$4:F825,$F825),"00"))</f>
        <v/>
      </c>
      <c r="C825" s="29" t="str">
        <f>IF($B825="","",WEEKNUM($B825,2))</f>
        <v/>
      </c>
      <c r="D825" s="29" t="str">
        <f>IF($B825="","",TEXT($B825,"yyyy-mm"))</f>
        <v/>
      </c>
      <c r="G825" s="29" t="str">
        <f>IF(OR($E825="",$F825=""),"",IFERROR(IF($E825=INDEX([1]Cluster_Master!$A$4:$A$18,MATCH($F825,[1]Cluster_Master!$B$4:$B$18,0)),"OK","CHECK"),"CHECK"))</f>
        <v/>
      </c>
      <c r="H825" s="29" t="str">
        <f>IFERROR(INDEX([1]Cluster_Master!$C$4:$C$18,MATCH($F825,[1]Cluster_Master!$B$4:$B$18,0)),"")</f>
        <v/>
      </c>
      <c r="I825" s="29" t="str">
        <f>IFERROR(INDEX([1]Cluster_Master!$D$4:$D$18,MATCH($F825,[1]Cluster_Master!$B$4:$B$18,0)),"")</f>
        <v/>
      </c>
      <c r="J825" s="29" t="str">
        <f>IFERROR(INDEX([1]Cluster_Master!$E$4:$E$18,MATCH($F825,[1]Cluster_Master!$B$4:$B$18,0)),"")</f>
        <v/>
      </c>
      <c r="K825" s="29" t="str">
        <f>IFERROR(INDEX([1]Cluster_Master!$F$4:$F$18,MATCH($F825,[1]Cluster_Master!$B$4:$B$18,0)),"")</f>
        <v/>
      </c>
      <c r="L825" s="29" t="str">
        <f>IFERROR(INDEX([1]Cluster_Master!$G$4:$G$18,MATCH($F825,[1]Cluster_Master!$B$4:$B$18,0)),"")</f>
        <v/>
      </c>
      <c r="M825" s="29" t="str">
        <f>IFERROR(INDEX([1]Cluster_Master!$H$4:$H$18,MATCH($F825,[1]Cluster_Master!$B$4:$B$18,0)),"")</f>
        <v/>
      </c>
      <c r="AI825" s="29" t="str">
        <f>IF(COUNTA(T825:AH825)=0,"",SUM(T825:AH825))</f>
        <v/>
      </c>
      <c r="AJ825" s="29" t="str">
        <f>IF(COUNTA(T825:AH825)=0,"",AI825/75)</f>
        <v/>
      </c>
      <c r="AK825" s="29" t="str">
        <f>IF(COUNTA(T825:AH825)=0,"",(SUM(T825*[1]KPI_Weights!$B$4,U825*[1]KPI_Weights!$B$5,V825*[1]KPI_Weights!$B$6,W825*[1]KPI_Weights!$B$7,X825*[1]KPI_Weights!$B$8,Y825*[1]KPI_Weights!$B$9,Z825*[1]KPI_Weights!$B$10,AA825*[1]KPI_Weights!$B$11,AB825*[1]KPI_Weights!$B$12,AC825*[1]KPI_Weights!$B$13,AD825*[1]KPI_Weights!$B$14,AE825*[1]KPI_Weights!$B$15,AF825*[1]KPI_Weights!$B$16,AG825*[1]KPI_Weights!$B$17,AH825*[1]KPI_Weights!$B$18))/5)</f>
        <v/>
      </c>
      <c r="AL825" s="29" t="str">
        <f>IF(COUNTA(T825:AH825)=0,"",IF(OR(T825&lt;=1,W825&lt;=1,X825&lt;=1,Y825&lt;=1,AB825&lt;=1),"YES","NO"))</f>
        <v/>
      </c>
      <c r="AM825" s="29" t="str">
        <f>IF(AJ825="","",IF(AND(AL825="NO",AJ825&gt;=0.75),"YES","NO"))</f>
        <v/>
      </c>
      <c r="AN825" s="29" t="str">
        <f>IF(AJ825="","",IF(AJ825&lt;0.4,"Critical",IF(AJ825&lt;0.6,"Poor",IF(AJ825&lt;0.75,"Needs Improvement",IF(AJ825&lt;0.9,"Good","Excellent")))))</f>
        <v/>
      </c>
    </row>
    <row r="826" spans="1:40" ht="15" customHeight="1" x14ac:dyDescent="0.25">
      <c r="A826" s="29" t="str">
        <f>IF($B826="","",TEXT($B826,"yyyymmdd")&amp;"-"&amp;SUBSTITUTE($F826," ","")&amp;"-"&amp;TEXT(COUNTIF($F$4:F826,$F826),"00"))</f>
        <v/>
      </c>
      <c r="C826" s="29" t="str">
        <f>IF($B826="","",WEEKNUM($B826,2))</f>
        <v/>
      </c>
      <c r="D826" s="29" t="str">
        <f>IF($B826="","",TEXT($B826,"yyyy-mm"))</f>
        <v/>
      </c>
      <c r="G826" s="29" t="str">
        <f>IF(OR($E826="",$F826=""),"",IFERROR(IF($E826=INDEX([1]Cluster_Master!$A$4:$A$18,MATCH($F826,[1]Cluster_Master!$B$4:$B$18,0)),"OK","CHECK"),"CHECK"))</f>
        <v/>
      </c>
      <c r="H826" s="29" t="str">
        <f>IFERROR(INDEX([1]Cluster_Master!$C$4:$C$18,MATCH($F826,[1]Cluster_Master!$B$4:$B$18,0)),"")</f>
        <v/>
      </c>
      <c r="I826" s="29" t="str">
        <f>IFERROR(INDEX([1]Cluster_Master!$D$4:$D$18,MATCH($F826,[1]Cluster_Master!$B$4:$B$18,0)),"")</f>
        <v/>
      </c>
      <c r="J826" s="29" t="str">
        <f>IFERROR(INDEX([1]Cluster_Master!$E$4:$E$18,MATCH($F826,[1]Cluster_Master!$B$4:$B$18,0)),"")</f>
        <v/>
      </c>
      <c r="K826" s="29" t="str">
        <f>IFERROR(INDEX([1]Cluster_Master!$F$4:$F$18,MATCH($F826,[1]Cluster_Master!$B$4:$B$18,0)),"")</f>
        <v/>
      </c>
      <c r="L826" s="29" t="str">
        <f>IFERROR(INDEX([1]Cluster_Master!$G$4:$G$18,MATCH($F826,[1]Cluster_Master!$B$4:$B$18,0)),"")</f>
        <v/>
      </c>
      <c r="M826" s="29" t="str">
        <f>IFERROR(INDEX([1]Cluster_Master!$H$4:$H$18,MATCH($F826,[1]Cluster_Master!$B$4:$B$18,0)),"")</f>
        <v/>
      </c>
      <c r="AI826" s="29" t="str">
        <f>IF(COUNTA(T826:AH826)=0,"",SUM(T826:AH826))</f>
        <v/>
      </c>
      <c r="AJ826" s="29" t="str">
        <f>IF(COUNTA(T826:AH826)=0,"",AI826/75)</f>
        <v/>
      </c>
      <c r="AK826" s="29" t="str">
        <f>IF(COUNTA(T826:AH826)=0,"",(SUM(T826*[1]KPI_Weights!$B$4,U826*[1]KPI_Weights!$B$5,V826*[1]KPI_Weights!$B$6,W826*[1]KPI_Weights!$B$7,X826*[1]KPI_Weights!$B$8,Y826*[1]KPI_Weights!$B$9,Z826*[1]KPI_Weights!$B$10,AA826*[1]KPI_Weights!$B$11,AB826*[1]KPI_Weights!$B$12,AC826*[1]KPI_Weights!$B$13,AD826*[1]KPI_Weights!$B$14,AE826*[1]KPI_Weights!$B$15,AF826*[1]KPI_Weights!$B$16,AG826*[1]KPI_Weights!$B$17,AH826*[1]KPI_Weights!$B$18))/5)</f>
        <v/>
      </c>
      <c r="AL826" s="29" t="str">
        <f>IF(COUNTA(T826:AH826)=0,"",IF(OR(T826&lt;=1,W826&lt;=1,X826&lt;=1,Y826&lt;=1,AB826&lt;=1),"YES","NO"))</f>
        <v/>
      </c>
      <c r="AM826" s="29" t="str">
        <f>IF(AJ826="","",IF(AND(AL826="NO",AJ826&gt;=0.75),"YES","NO"))</f>
        <v/>
      </c>
      <c r="AN826" s="29" t="str">
        <f>IF(AJ826="","",IF(AJ826&lt;0.4,"Critical",IF(AJ826&lt;0.6,"Poor",IF(AJ826&lt;0.75,"Needs Improvement",IF(AJ826&lt;0.9,"Good","Excellent")))))</f>
        <v/>
      </c>
    </row>
    <row r="827" spans="1:40" ht="15" customHeight="1" x14ac:dyDescent="0.25">
      <c r="A827" s="29" t="str">
        <f>IF($B827="","",TEXT($B827,"yyyymmdd")&amp;"-"&amp;SUBSTITUTE($F827," ","")&amp;"-"&amp;TEXT(COUNTIF($F$4:F827,$F827),"00"))</f>
        <v/>
      </c>
      <c r="C827" s="29" t="str">
        <f>IF($B827="","",WEEKNUM($B827,2))</f>
        <v/>
      </c>
      <c r="D827" s="29" t="str">
        <f>IF($B827="","",TEXT($B827,"yyyy-mm"))</f>
        <v/>
      </c>
      <c r="G827" s="29" t="str">
        <f>IF(OR($E827="",$F827=""),"",IFERROR(IF($E827=INDEX([1]Cluster_Master!$A$4:$A$18,MATCH($F827,[1]Cluster_Master!$B$4:$B$18,0)),"OK","CHECK"),"CHECK"))</f>
        <v/>
      </c>
      <c r="H827" s="29" t="str">
        <f>IFERROR(INDEX([1]Cluster_Master!$C$4:$C$18,MATCH($F827,[1]Cluster_Master!$B$4:$B$18,0)),"")</f>
        <v/>
      </c>
      <c r="I827" s="29" t="str">
        <f>IFERROR(INDEX([1]Cluster_Master!$D$4:$D$18,MATCH($F827,[1]Cluster_Master!$B$4:$B$18,0)),"")</f>
        <v/>
      </c>
      <c r="J827" s="29" t="str">
        <f>IFERROR(INDEX([1]Cluster_Master!$E$4:$E$18,MATCH($F827,[1]Cluster_Master!$B$4:$B$18,0)),"")</f>
        <v/>
      </c>
      <c r="K827" s="29" t="str">
        <f>IFERROR(INDEX([1]Cluster_Master!$F$4:$F$18,MATCH($F827,[1]Cluster_Master!$B$4:$B$18,0)),"")</f>
        <v/>
      </c>
      <c r="L827" s="29" t="str">
        <f>IFERROR(INDEX([1]Cluster_Master!$G$4:$G$18,MATCH($F827,[1]Cluster_Master!$B$4:$B$18,0)),"")</f>
        <v/>
      </c>
      <c r="M827" s="29" t="str">
        <f>IFERROR(INDEX([1]Cluster_Master!$H$4:$H$18,MATCH($F827,[1]Cluster_Master!$B$4:$B$18,0)),"")</f>
        <v/>
      </c>
      <c r="AI827" s="29" t="str">
        <f>IF(COUNTA(T827:AH827)=0,"",SUM(T827:AH827))</f>
        <v/>
      </c>
      <c r="AJ827" s="29" t="str">
        <f>IF(COUNTA(T827:AH827)=0,"",AI827/75)</f>
        <v/>
      </c>
      <c r="AK827" s="29" t="str">
        <f>IF(COUNTA(T827:AH827)=0,"",(SUM(T827*[1]KPI_Weights!$B$4,U827*[1]KPI_Weights!$B$5,V827*[1]KPI_Weights!$B$6,W827*[1]KPI_Weights!$B$7,X827*[1]KPI_Weights!$B$8,Y827*[1]KPI_Weights!$B$9,Z827*[1]KPI_Weights!$B$10,AA827*[1]KPI_Weights!$B$11,AB827*[1]KPI_Weights!$B$12,AC827*[1]KPI_Weights!$B$13,AD827*[1]KPI_Weights!$B$14,AE827*[1]KPI_Weights!$B$15,AF827*[1]KPI_Weights!$B$16,AG827*[1]KPI_Weights!$B$17,AH827*[1]KPI_Weights!$B$18))/5)</f>
        <v/>
      </c>
      <c r="AL827" s="29" t="str">
        <f>IF(COUNTA(T827:AH827)=0,"",IF(OR(T827&lt;=1,W827&lt;=1,X827&lt;=1,Y827&lt;=1,AB827&lt;=1),"YES","NO"))</f>
        <v/>
      </c>
      <c r="AM827" s="29" t="str">
        <f>IF(AJ827="","",IF(AND(AL827="NO",AJ827&gt;=0.75),"YES","NO"))</f>
        <v/>
      </c>
      <c r="AN827" s="29" t="str">
        <f>IF(AJ827="","",IF(AJ827&lt;0.4,"Critical",IF(AJ827&lt;0.6,"Poor",IF(AJ827&lt;0.75,"Needs Improvement",IF(AJ827&lt;0.9,"Good","Excellent")))))</f>
        <v/>
      </c>
    </row>
    <row r="828" spans="1:40" ht="15" customHeight="1" x14ac:dyDescent="0.25">
      <c r="A828" s="29" t="str">
        <f>IF($B828="","",TEXT($B828,"yyyymmdd")&amp;"-"&amp;SUBSTITUTE($F828," ","")&amp;"-"&amp;TEXT(COUNTIF($F$4:F828,$F828),"00"))</f>
        <v/>
      </c>
      <c r="C828" s="29" t="str">
        <f>IF($B828="","",WEEKNUM($B828,2))</f>
        <v/>
      </c>
      <c r="D828" s="29" t="str">
        <f>IF($B828="","",TEXT($B828,"yyyy-mm"))</f>
        <v/>
      </c>
      <c r="G828" s="29" t="str">
        <f>IF(OR($E828="",$F828=""),"",IFERROR(IF($E828=INDEX([1]Cluster_Master!$A$4:$A$18,MATCH($F828,[1]Cluster_Master!$B$4:$B$18,0)),"OK","CHECK"),"CHECK"))</f>
        <v/>
      </c>
      <c r="H828" s="29" t="str">
        <f>IFERROR(INDEX([1]Cluster_Master!$C$4:$C$18,MATCH($F828,[1]Cluster_Master!$B$4:$B$18,0)),"")</f>
        <v/>
      </c>
      <c r="I828" s="29" t="str">
        <f>IFERROR(INDEX([1]Cluster_Master!$D$4:$D$18,MATCH($F828,[1]Cluster_Master!$B$4:$B$18,0)),"")</f>
        <v/>
      </c>
      <c r="J828" s="29" t="str">
        <f>IFERROR(INDEX([1]Cluster_Master!$E$4:$E$18,MATCH($F828,[1]Cluster_Master!$B$4:$B$18,0)),"")</f>
        <v/>
      </c>
      <c r="K828" s="29" t="str">
        <f>IFERROR(INDEX([1]Cluster_Master!$F$4:$F$18,MATCH($F828,[1]Cluster_Master!$B$4:$B$18,0)),"")</f>
        <v/>
      </c>
      <c r="L828" s="29" t="str">
        <f>IFERROR(INDEX([1]Cluster_Master!$G$4:$G$18,MATCH($F828,[1]Cluster_Master!$B$4:$B$18,0)),"")</f>
        <v/>
      </c>
      <c r="M828" s="29" t="str">
        <f>IFERROR(INDEX([1]Cluster_Master!$H$4:$H$18,MATCH($F828,[1]Cluster_Master!$B$4:$B$18,0)),"")</f>
        <v/>
      </c>
      <c r="AI828" s="29" t="str">
        <f>IF(COUNTA(T828:AH828)=0,"",SUM(T828:AH828))</f>
        <v/>
      </c>
      <c r="AJ828" s="29" t="str">
        <f>IF(COUNTA(T828:AH828)=0,"",AI828/75)</f>
        <v/>
      </c>
      <c r="AK828" s="29" t="str">
        <f>IF(COUNTA(T828:AH828)=0,"",(SUM(T828*[1]KPI_Weights!$B$4,U828*[1]KPI_Weights!$B$5,V828*[1]KPI_Weights!$B$6,W828*[1]KPI_Weights!$B$7,X828*[1]KPI_Weights!$B$8,Y828*[1]KPI_Weights!$B$9,Z828*[1]KPI_Weights!$B$10,AA828*[1]KPI_Weights!$B$11,AB828*[1]KPI_Weights!$B$12,AC828*[1]KPI_Weights!$B$13,AD828*[1]KPI_Weights!$B$14,AE828*[1]KPI_Weights!$B$15,AF828*[1]KPI_Weights!$B$16,AG828*[1]KPI_Weights!$B$17,AH828*[1]KPI_Weights!$B$18))/5)</f>
        <v/>
      </c>
      <c r="AL828" s="29" t="str">
        <f>IF(COUNTA(T828:AH828)=0,"",IF(OR(T828&lt;=1,W828&lt;=1,X828&lt;=1,Y828&lt;=1,AB828&lt;=1),"YES","NO"))</f>
        <v/>
      </c>
      <c r="AM828" s="29" t="str">
        <f>IF(AJ828="","",IF(AND(AL828="NO",AJ828&gt;=0.75),"YES","NO"))</f>
        <v/>
      </c>
      <c r="AN828" s="29" t="str">
        <f>IF(AJ828="","",IF(AJ828&lt;0.4,"Critical",IF(AJ828&lt;0.6,"Poor",IF(AJ828&lt;0.75,"Needs Improvement",IF(AJ828&lt;0.9,"Good","Excellent")))))</f>
        <v/>
      </c>
    </row>
    <row r="829" spans="1:40" ht="15" customHeight="1" x14ac:dyDescent="0.25">
      <c r="A829" s="29" t="str">
        <f>IF($B829="","",TEXT($B829,"yyyymmdd")&amp;"-"&amp;SUBSTITUTE($F829," ","")&amp;"-"&amp;TEXT(COUNTIF($F$4:F829,$F829),"00"))</f>
        <v/>
      </c>
      <c r="C829" s="29" t="str">
        <f>IF($B829="","",WEEKNUM($B829,2))</f>
        <v/>
      </c>
      <c r="D829" s="29" t="str">
        <f>IF($B829="","",TEXT($B829,"yyyy-mm"))</f>
        <v/>
      </c>
      <c r="G829" s="29" t="str">
        <f>IF(OR($E829="",$F829=""),"",IFERROR(IF($E829=INDEX([1]Cluster_Master!$A$4:$A$18,MATCH($F829,[1]Cluster_Master!$B$4:$B$18,0)),"OK","CHECK"),"CHECK"))</f>
        <v/>
      </c>
      <c r="H829" s="29" t="str">
        <f>IFERROR(INDEX([1]Cluster_Master!$C$4:$C$18,MATCH($F829,[1]Cluster_Master!$B$4:$B$18,0)),"")</f>
        <v/>
      </c>
      <c r="I829" s="29" t="str">
        <f>IFERROR(INDEX([1]Cluster_Master!$D$4:$D$18,MATCH($F829,[1]Cluster_Master!$B$4:$B$18,0)),"")</f>
        <v/>
      </c>
      <c r="J829" s="29" t="str">
        <f>IFERROR(INDEX([1]Cluster_Master!$E$4:$E$18,MATCH($F829,[1]Cluster_Master!$B$4:$B$18,0)),"")</f>
        <v/>
      </c>
      <c r="K829" s="29" t="str">
        <f>IFERROR(INDEX([1]Cluster_Master!$F$4:$F$18,MATCH($F829,[1]Cluster_Master!$B$4:$B$18,0)),"")</f>
        <v/>
      </c>
      <c r="L829" s="29" t="str">
        <f>IFERROR(INDEX([1]Cluster_Master!$G$4:$G$18,MATCH($F829,[1]Cluster_Master!$B$4:$B$18,0)),"")</f>
        <v/>
      </c>
      <c r="M829" s="29" t="str">
        <f>IFERROR(INDEX([1]Cluster_Master!$H$4:$H$18,MATCH($F829,[1]Cluster_Master!$B$4:$B$18,0)),"")</f>
        <v/>
      </c>
      <c r="AI829" s="29" t="str">
        <f>IF(COUNTA(T829:AH829)=0,"",SUM(T829:AH829))</f>
        <v/>
      </c>
      <c r="AJ829" s="29" t="str">
        <f>IF(COUNTA(T829:AH829)=0,"",AI829/75)</f>
        <v/>
      </c>
      <c r="AK829" s="29" t="str">
        <f>IF(COUNTA(T829:AH829)=0,"",(SUM(T829*[1]KPI_Weights!$B$4,U829*[1]KPI_Weights!$B$5,V829*[1]KPI_Weights!$B$6,W829*[1]KPI_Weights!$B$7,X829*[1]KPI_Weights!$B$8,Y829*[1]KPI_Weights!$B$9,Z829*[1]KPI_Weights!$B$10,AA829*[1]KPI_Weights!$B$11,AB829*[1]KPI_Weights!$B$12,AC829*[1]KPI_Weights!$B$13,AD829*[1]KPI_Weights!$B$14,AE829*[1]KPI_Weights!$B$15,AF829*[1]KPI_Weights!$B$16,AG829*[1]KPI_Weights!$B$17,AH829*[1]KPI_Weights!$B$18))/5)</f>
        <v/>
      </c>
      <c r="AL829" s="29" t="str">
        <f>IF(COUNTA(T829:AH829)=0,"",IF(OR(T829&lt;=1,W829&lt;=1,X829&lt;=1,Y829&lt;=1,AB829&lt;=1),"YES","NO"))</f>
        <v/>
      </c>
      <c r="AM829" s="29" t="str">
        <f>IF(AJ829="","",IF(AND(AL829="NO",AJ829&gt;=0.75),"YES","NO"))</f>
        <v/>
      </c>
      <c r="AN829" s="29" t="str">
        <f>IF(AJ829="","",IF(AJ829&lt;0.4,"Critical",IF(AJ829&lt;0.6,"Poor",IF(AJ829&lt;0.75,"Needs Improvement",IF(AJ829&lt;0.9,"Good","Excellent")))))</f>
        <v/>
      </c>
    </row>
    <row r="830" spans="1:40" ht="15" customHeight="1" x14ac:dyDescent="0.25">
      <c r="A830" s="29" t="str">
        <f>IF($B830="","",TEXT($B830,"yyyymmdd")&amp;"-"&amp;SUBSTITUTE($F830," ","")&amp;"-"&amp;TEXT(COUNTIF($F$4:F830,$F830),"00"))</f>
        <v/>
      </c>
      <c r="C830" s="29" t="str">
        <f>IF($B830="","",WEEKNUM($B830,2))</f>
        <v/>
      </c>
      <c r="D830" s="29" t="str">
        <f>IF($B830="","",TEXT($B830,"yyyy-mm"))</f>
        <v/>
      </c>
      <c r="G830" s="29" t="str">
        <f>IF(OR($E830="",$F830=""),"",IFERROR(IF($E830=INDEX([1]Cluster_Master!$A$4:$A$18,MATCH($F830,[1]Cluster_Master!$B$4:$B$18,0)),"OK","CHECK"),"CHECK"))</f>
        <v/>
      </c>
      <c r="H830" s="29" t="str">
        <f>IFERROR(INDEX([1]Cluster_Master!$C$4:$C$18,MATCH($F830,[1]Cluster_Master!$B$4:$B$18,0)),"")</f>
        <v/>
      </c>
      <c r="I830" s="29" t="str">
        <f>IFERROR(INDEX([1]Cluster_Master!$D$4:$D$18,MATCH($F830,[1]Cluster_Master!$B$4:$B$18,0)),"")</f>
        <v/>
      </c>
      <c r="J830" s="29" t="str">
        <f>IFERROR(INDEX([1]Cluster_Master!$E$4:$E$18,MATCH($F830,[1]Cluster_Master!$B$4:$B$18,0)),"")</f>
        <v/>
      </c>
      <c r="K830" s="29" t="str">
        <f>IFERROR(INDEX([1]Cluster_Master!$F$4:$F$18,MATCH($F830,[1]Cluster_Master!$B$4:$B$18,0)),"")</f>
        <v/>
      </c>
      <c r="L830" s="29" t="str">
        <f>IFERROR(INDEX([1]Cluster_Master!$G$4:$G$18,MATCH($F830,[1]Cluster_Master!$B$4:$B$18,0)),"")</f>
        <v/>
      </c>
      <c r="M830" s="29" t="str">
        <f>IFERROR(INDEX([1]Cluster_Master!$H$4:$H$18,MATCH($F830,[1]Cluster_Master!$B$4:$B$18,0)),"")</f>
        <v/>
      </c>
      <c r="AI830" s="29" t="str">
        <f>IF(COUNTA(T830:AH830)=0,"",SUM(T830:AH830))</f>
        <v/>
      </c>
      <c r="AJ830" s="29" t="str">
        <f>IF(COUNTA(T830:AH830)=0,"",AI830/75)</f>
        <v/>
      </c>
      <c r="AK830" s="29" t="str">
        <f>IF(COUNTA(T830:AH830)=0,"",(SUM(T830*[1]KPI_Weights!$B$4,U830*[1]KPI_Weights!$B$5,V830*[1]KPI_Weights!$B$6,W830*[1]KPI_Weights!$B$7,X830*[1]KPI_Weights!$B$8,Y830*[1]KPI_Weights!$B$9,Z830*[1]KPI_Weights!$B$10,AA830*[1]KPI_Weights!$B$11,AB830*[1]KPI_Weights!$B$12,AC830*[1]KPI_Weights!$B$13,AD830*[1]KPI_Weights!$B$14,AE830*[1]KPI_Weights!$B$15,AF830*[1]KPI_Weights!$B$16,AG830*[1]KPI_Weights!$B$17,AH830*[1]KPI_Weights!$B$18))/5)</f>
        <v/>
      </c>
      <c r="AL830" s="29" t="str">
        <f>IF(COUNTA(T830:AH830)=0,"",IF(OR(T830&lt;=1,W830&lt;=1,X830&lt;=1,Y830&lt;=1,AB830&lt;=1),"YES","NO"))</f>
        <v/>
      </c>
      <c r="AM830" s="29" t="str">
        <f>IF(AJ830="","",IF(AND(AL830="NO",AJ830&gt;=0.75),"YES","NO"))</f>
        <v/>
      </c>
      <c r="AN830" s="29" t="str">
        <f>IF(AJ830="","",IF(AJ830&lt;0.4,"Critical",IF(AJ830&lt;0.6,"Poor",IF(AJ830&lt;0.75,"Needs Improvement",IF(AJ830&lt;0.9,"Good","Excellent")))))</f>
        <v/>
      </c>
    </row>
    <row r="831" spans="1:40" ht="15" customHeight="1" x14ac:dyDescent="0.25">
      <c r="A831" s="29" t="str">
        <f>IF($B831="","",TEXT($B831,"yyyymmdd")&amp;"-"&amp;SUBSTITUTE($F831," ","")&amp;"-"&amp;TEXT(COUNTIF($F$4:F831,$F831),"00"))</f>
        <v/>
      </c>
      <c r="C831" s="29" t="str">
        <f>IF($B831="","",WEEKNUM($B831,2))</f>
        <v/>
      </c>
      <c r="D831" s="29" t="str">
        <f>IF($B831="","",TEXT($B831,"yyyy-mm"))</f>
        <v/>
      </c>
      <c r="G831" s="29" t="str">
        <f>IF(OR($E831="",$F831=""),"",IFERROR(IF($E831=INDEX([1]Cluster_Master!$A$4:$A$18,MATCH($F831,[1]Cluster_Master!$B$4:$B$18,0)),"OK","CHECK"),"CHECK"))</f>
        <v/>
      </c>
      <c r="H831" s="29" t="str">
        <f>IFERROR(INDEX([1]Cluster_Master!$C$4:$C$18,MATCH($F831,[1]Cluster_Master!$B$4:$B$18,0)),"")</f>
        <v/>
      </c>
      <c r="I831" s="29" t="str">
        <f>IFERROR(INDEX([1]Cluster_Master!$D$4:$D$18,MATCH($F831,[1]Cluster_Master!$B$4:$B$18,0)),"")</f>
        <v/>
      </c>
      <c r="J831" s="29" t="str">
        <f>IFERROR(INDEX([1]Cluster_Master!$E$4:$E$18,MATCH($F831,[1]Cluster_Master!$B$4:$B$18,0)),"")</f>
        <v/>
      </c>
      <c r="K831" s="29" t="str">
        <f>IFERROR(INDEX([1]Cluster_Master!$F$4:$F$18,MATCH($F831,[1]Cluster_Master!$B$4:$B$18,0)),"")</f>
        <v/>
      </c>
      <c r="L831" s="29" t="str">
        <f>IFERROR(INDEX([1]Cluster_Master!$G$4:$G$18,MATCH($F831,[1]Cluster_Master!$B$4:$B$18,0)),"")</f>
        <v/>
      </c>
      <c r="M831" s="29" t="str">
        <f>IFERROR(INDEX([1]Cluster_Master!$H$4:$H$18,MATCH($F831,[1]Cluster_Master!$B$4:$B$18,0)),"")</f>
        <v/>
      </c>
      <c r="AI831" s="29" t="str">
        <f>IF(COUNTA(T831:AH831)=0,"",SUM(T831:AH831))</f>
        <v/>
      </c>
      <c r="AJ831" s="29" t="str">
        <f>IF(COUNTA(T831:AH831)=0,"",AI831/75)</f>
        <v/>
      </c>
      <c r="AK831" s="29" t="str">
        <f>IF(COUNTA(T831:AH831)=0,"",(SUM(T831*[1]KPI_Weights!$B$4,U831*[1]KPI_Weights!$B$5,V831*[1]KPI_Weights!$B$6,W831*[1]KPI_Weights!$B$7,X831*[1]KPI_Weights!$B$8,Y831*[1]KPI_Weights!$B$9,Z831*[1]KPI_Weights!$B$10,AA831*[1]KPI_Weights!$B$11,AB831*[1]KPI_Weights!$B$12,AC831*[1]KPI_Weights!$B$13,AD831*[1]KPI_Weights!$B$14,AE831*[1]KPI_Weights!$B$15,AF831*[1]KPI_Weights!$B$16,AG831*[1]KPI_Weights!$B$17,AH831*[1]KPI_Weights!$B$18))/5)</f>
        <v/>
      </c>
      <c r="AL831" s="29" t="str">
        <f>IF(COUNTA(T831:AH831)=0,"",IF(OR(T831&lt;=1,W831&lt;=1,X831&lt;=1,Y831&lt;=1,AB831&lt;=1),"YES","NO"))</f>
        <v/>
      </c>
      <c r="AM831" s="29" t="str">
        <f>IF(AJ831="","",IF(AND(AL831="NO",AJ831&gt;=0.75),"YES","NO"))</f>
        <v/>
      </c>
      <c r="AN831" s="29" t="str">
        <f>IF(AJ831="","",IF(AJ831&lt;0.4,"Critical",IF(AJ831&lt;0.6,"Poor",IF(AJ831&lt;0.75,"Needs Improvement",IF(AJ831&lt;0.9,"Good","Excellent")))))</f>
        <v/>
      </c>
    </row>
    <row r="832" spans="1:40" ht="15" customHeight="1" x14ac:dyDescent="0.25">
      <c r="A832" s="29" t="str">
        <f>IF($B832="","",TEXT($B832,"yyyymmdd")&amp;"-"&amp;SUBSTITUTE($F832," ","")&amp;"-"&amp;TEXT(COUNTIF($F$4:F832,$F832),"00"))</f>
        <v/>
      </c>
      <c r="C832" s="29" t="str">
        <f>IF($B832="","",WEEKNUM($B832,2))</f>
        <v/>
      </c>
      <c r="D832" s="29" t="str">
        <f>IF($B832="","",TEXT($B832,"yyyy-mm"))</f>
        <v/>
      </c>
      <c r="G832" s="29" t="str">
        <f>IF(OR($E832="",$F832=""),"",IFERROR(IF($E832=INDEX([1]Cluster_Master!$A$4:$A$18,MATCH($F832,[1]Cluster_Master!$B$4:$B$18,0)),"OK","CHECK"),"CHECK"))</f>
        <v/>
      </c>
      <c r="H832" s="29" t="str">
        <f>IFERROR(INDEX([1]Cluster_Master!$C$4:$C$18,MATCH($F832,[1]Cluster_Master!$B$4:$B$18,0)),"")</f>
        <v/>
      </c>
      <c r="I832" s="29" t="str">
        <f>IFERROR(INDEX([1]Cluster_Master!$D$4:$D$18,MATCH($F832,[1]Cluster_Master!$B$4:$B$18,0)),"")</f>
        <v/>
      </c>
      <c r="J832" s="29" t="str">
        <f>IFERROR(INDEX([1]Cluster_Master!$E$4:$E$18,MATCH($F832,[1]Cluster_Master!$B$4:$B$18,0)),"")</f>
        <v/>
      </c>
      <c r="K832" s="29" t="str">
        <f>IFERROR(INDEX([1]Cluster_Master!$F$4:$F$18,MATCH($F832,[1]Cluster_Master!$B$4:$B$18,0)),"")</f>
        <v/>
      </c>
      <c r="L832" s="29" t="str">
        <f>IFERROR(INDEX([1]Cluster_Master!$G$4:$G$18,MATCH($F832,[1]Cluster_Master!$B$4:$B$18,0)),"")</f>
        <v/>
      </c>
      <c r="M832" s="29" t="str">
        <f>IFERROR(INDEX([1]Cluster_Master!$H$4:$H$18,MATCH($F832,[1]Cluster_Master!$B$4:$B$18,0)),"")</f>
        <v/>
      </c>
      <c r="AI832" s="29" t="str">
        <f>IF(COUNTA(T832:AH832)=0,"",SUM(T832:AH832))</f>
        <v/>
      </c>
      <c r="AJ832" s="29" t="str">
        <f>IF(COUNTA(T832:AH832)=0,"",AI832/75)</f>
        <v/>
      </c>
      <c r="AK832" s="29" t="str">
        <f>IF(COUNTA(T832:AH832)=0,"",(SUM(T832*[1]KPI_Weights!$B$4,U832*[1]KPI_Weights!$B$5,V832*[1]KPI_Weights!$B$6,W832*[1]KPI_Weights!$B$7,X832*[1]KPI_Weights!$B$8,Y832*[1]KPI_Weights!$B$9,Z832*[1]KPI_Weights!$B$10,AA832*[1]KPI_Weights!$B$11,AB832*[1]KPI_Weights!$B$12,AC832*[1]KPI_Weights!$B$13,AD832*[1]KPI_Weights!$B$14,AE832*[1]KPI_Weights!$B$15,AF832*[1]KPI_Weights!$B$16,AG832*[1]KPI_Weights!$B$17,AH832*[1]KPI_Weights!$B$18))/5)</f>
        <v/>
      </c>
      <c r="AL832" s="29" t="str">
        <f>IF(COUNTA(T832:AH832)=0,"",IF(OR(T832&lt;=1,W832&lt;=1,X832&lt;=1,Y832&lt;=1,AB832&lt;=1),"YES","NO"))</f>
        <v/>
      </c>
      <c r="AM832" s="29" t="str">
        <f>IF(AJ832="","",IF(AND(AL832="NO",AJ832&gt;=0.75),"YES","NO"))</f>
        <v/>
      </c>
      <c r="AN832" s="29" t="str">
        <f>IF(AJ832="","",IF(AJ832&lt;0.4,"Critical",IF(AJ832&lt;0.6,"Poor",IF(AJ832&lt;0.75,"Needs Improvement",IF(AJ832&lt;0.9,"Good","Excellent")))))</f>
        <v/>
      </c>
    </row>
    <row r="833" spans="1:40" ht="15" customHeight="1" x14ac:dyDescent="0.25">
      <c r="A833" s="29" t="str">
        <f>IF($B833="","",TEXT($B833,"yyyymmdd")&amp;"-"&amp;SUBSTITUTE($F833," ","")&amp;"-"&amp;TEXT(COUNTIF($F$4:F833,$F833),"00"))</f>
        <v/>
      </c>
      <c r="C833" s="29" t="str">
        <f>IF($B833="","",WEEKNUM($B833,2))</f>
        <v/>
      </c>
      <c r="D833" s="29" t="str">
        <f>IF($B833="","",TEXT($B833,"yyyy-mm"))</f>
        <v/>
      </c>
      <c r="G833" s="29" t="str">
        <f>IF(OR($E833="",$F833=""),"",IFERROR(IF($E833=INDEX([1]Cluster_Master!$A$4:$A$18,MATCH($F833,[1]Cluster_Master!$B$4:$B$18,0)),"OK","CHECK"),"CHECK"))</f>
        <v/>
      </c>
      <c r="H833" s="29" t="str">
        <f>IFERROR(INDEX([1]Cluster_Master!$C$4:$C$18,MATCH($F833,[1]Cluster_Master!$B$4:$B$18,0)),"")</f>
        <v/>
      </c>
      <c r="I833" s="29" t="str">
        <f>IFERROR(INDEX([1]Cluster_Master!$D$4:$D$18,MATCH($F833,[1]Cluster_Master!$B$4:$B$18,0)),"")</f>
        <v/>
      </c>
      <c r="J833" s="29" t="str">
        <f>IFERROR(INDEX([1]Cluster_Master!$E$4:$E$18,MATCH($F833,[1]Cluster_Master!$B$4:$B$18,0)),"")</f>
        <v/>
      </c>
      <c r="K833" s="29" t="str">
        <f>IFERROR(INDEX([1]Cluster_Master!$F$4:$F$18,MATCH($F833,[1]Cluster_Master!$B$4:$B$18,0)),"")</f>
        <v/>
      </c>
      <c r="L833" s="29" t="str">
        <f>IFERROR(INDEX([1]Cluster_Master!$G$4:$G$18,MATCH($F833,[1]Cluster_Master!$B$4:$B$18,0)),"")</f>
        <v/>
      </c>
      <c r="M833" s="29" t="str">
        <f>IFERROR(INDEX([1]Cluster_Master!$H$4:$H$18,MATCH($F833,[1]Cluster_Master!$B$4:$B$18,0)),"")</f>
        <v/>
      </c>
      <c r="AI833" s="29" t="str">
        <f>IF(COUNTA(T833:AH833)=0,"",SUM(T833:AH833))</f>
        <v/>
      </c>
      <c r="AJ833" s="29" t="str">
        <f>IF(COUNTA(T833:AH833)=0,"",AI833/75)</f>
        <v/>
      </c>
      <c r="AK833" s="29" t="str">
        <f>IF(COUNTA(T833:AH833)=0,"",(SUM(T833*[1]KPI_Weights!$B$4,U833*[1]KPI_Weights!$B$5,V833*[1]KPI_Weights!$B$6,W833*[1]KPI_Weights!$B$7,X833*[1]KPI_Weights!$B$8,Y833*[1]KPI_Weights!$B$9,Z833*[1]KPI_Weights!$B$10,AA833*[1]KPI_Weights!$B$11,AB833*[1]KPI_Weights!$B$12,AC833*[1]KPI_Weights!$B$13,AD833*[1]KPI_Weights!$B$14,AE833*[1]KPI_Weights!$B$15,AF833*[1]KPI_Weights!$B$16,AG833*[1]KPI_Weights!$B$17,AH833*[1]KPI_Weights!$B$18))/5)</f>
        <v/>
      </c>
      <c r="AL833" s="29" t="str">
        <f>IF(COUNTA(T833:AH833)=0,"",IF(OR(T833&lt;=1,W833&lt;=1,X833&lt;=1,Y833&lt;=1,AB833&lt;=1),"YES","NO"))</f>
        <v/>
      </c>
      <c r="AM833" s="29" t="str">
        <f>IF(AJ833="","",IF(AND(AL833="NO",AJ833&gt;=0.75),"YES","NO"))</f>
        <v/>
      </c>
      <c r="AN833" s="29" t="str">
        <f>IF(AJ833="","",IF(AJ833&lt;0.4,"Critical",IF(AJ833&lt;0.6,"Poor",IF(AJ833&lt;0.75,"Needs Improvement",IF(AJ833&lt;0.9,"Good","Excellent")))))</f>
        <v/>
      </c>
    </row>
    <row r="834" spans="1:40" ht="15" customHeight="1" x14ac:dyDescent="0.25">
      <c r="A834" s="29" t="str">
        <f>IF($B834="","",TEXT($B834,"yyyymmdd")&amp;"-"&amp;SUBSTITUTE($F834," ","")&amp;"-"&amp;TEXT(COUNTIF($F$4:F834,$F834),"00"))</f>
        <v/>
      </c>
      <c r="C834" s="29" t="str">
        <f>IF($B834="","",WEEKNUM($B834,2))</f>
        <v/>
      </c>
      <c r="D834" s="29" t="str">
        <f>IF($B834="","",TEXT($B834,"yyyy-mm"))</f>
        <v/>
      </c>
      <c r="G834" s="29" t="str">
        <f>IF(OR($E834="",$F834=""),"",IFERROR(IF($E834=INDEX([1]Cluster_Master!$A$4:$A$18,MATCH($F834,[1]Cluster_Master!$B$4:$B$18,0)),"OK","CHECK"),"CHECK"))</f>
        <v/>
      </c>
      <c r="H834" s="29" t="str">
        <f>IFERROR(INDEX([1]Cluster_Master!$C$4:$C$18,MATCH($F834,[1]Cluster_Master!$B$4:$B$18,0)),"")</f>
        <v/>
      </c>
      <c r="I834" s="29" t="str">
        <f>IFERROR(INDEX([1]Cluster_Master!$D$4:$D$18,MATCH($F834,[1]Cluster_Master!$B$4:$B$18,0)),"")</f>
        <v/>
      </c>
      <c r="J834" s="29" t="str">
        <f>IFERROR(INDEX([1]Cluster_Master!$E$4:$E$18,MATCH($F834,[1]Cluster_Master!$B$4:$B$18,0)),"")</f>
        <v/>
      </c>
      <c r="K834" s="29" t="str">
        <f>IFERROR(INDEX([1]Cluster_Master!$F$4:$F$18,MATCH($F834,[1]Cluster_Master!$B$4:$B$18,0)),"")</f>
        <v/>
      </c>
      <c r="L834" s="29" t="str">
        <f>IFERROR(INDEX([1]Cluster_Master!$G$4:$G$18,MATCH($F834,[1]Cluster_Master!$B$4:$B$18,0)),"")</f>
        <v/>
      </c>
      <c r="M834" s="29" t="str">
        <f>IFERROR(INDEX([1]Cluster_Master!$H$4:$H$18,MATCH($F834,[1]Cluster_Master!$B$4:$B$18,0)),"")</f>
        <v/>
      </c>
      <c r="AI834" s="29" t="str">
        <f>IF(COUNTA(T834:AH834)=0,"",SUM(T834:AH834))</f>
        <v/>
      </c>
      <c r="AJ834" s="29" t="str">
        <f>IF(COUNTA(T834:AH834)=0,"",AI834/75)</f>
        <v/>
      </c>
      <c r="AK834" s="29" t="str">
        <f>IF(COUNTA(T834:AH834)=0,"",(SUM(T834*[1]KPI_Weights!$B$4,U834*[1]KPI_Weights!$B$5,V834*[1]KPI_Weights!$B$6,W834*[1]KPI_Weights!$B$7,X834*[1]KPI_Weights!$B$8,Y834*[1]KPI_Weights!$B$9,Z834*[1]KPI_Weights!$B$10,AA834*[1]KPI_Weights!$B$11,AB834*[1]KPI_Weights!$B$12,AC834*[1]KPI_Weights!$B$13,AD834*[1]KPI_Weights!$B$14,AE834*[1]KPI_Weights!$B$15,AF834*[1]KPI_Weights!$B$16,AG834*[1]KPI_Weights!$B$17,AH834*[1]KPI_Weights!$B$18))/5)</f>
        <v/>
      </c>
      <c r="AL834" s="29" t="str">
        <f>IF(COUNTA(T834:AH834)=0,"",IF(OR(T834&lt;=1,W834&lt;=1,X834&lt;=1,Y834&lt;=1,AB834&lt;=1),"YES","NO"))</f>
        <v/>
      </c>
      <c r="AM834" s="29" t="str">
        <f>IF(AJ834="","",IF(AND(AL834="NO",AJ834&gt;=0.75),"YES","NO"))</f>
        <v/>
      </c>
      <c r="AN834" s="29" t="str">
        <f>IF(AJ834="","",IF(AJ834&lt;0.4,"Critical",IF(AJ834&lt;0.6,"Poor",IF(AJ834&lt;0.75,"Needs Improvement",IF(AJ834&lt;0.9,"Good","Excellent")))))</f>
        <v/>
      </c>
    </row>
    <row r="835" spans="1:40" ht="15" customHeight="1" x14ac:dyDescent="0.25">
      <c r="A835" s="29" t="str">
        <f>IF($B835="","",TEXT($B835,"yyyymmdd")&amp;"-"&amp;SUBSTITUTE($F835," ","")&amp;"-"&amp;TEXT(COUNTIF($F$4:F835,$F835),"00"))</f>
        <v/>
      </c>
      <c r="C835" s="29" t="str">
        <f>IF($B835="","",WEEKNUM($B835,2))</f>
        <v/>
      </c>
      <c r="D835" s="29" t="str">
        <f>IF($B835="","",TEXT($B835,"yyyy-mm"))</f>
        <v/>
      </c>
      <c r="G835" s="29" t="str">
        <f>IF(OR($E835="",$F835=""),"",IFERROR(IF($E835=INDEX([1]Cluster_Master!$A$4:$A$18,MATCH($F835,[1]Cluster_Master!$B$4:$B$18,0)),"OK","CHECK"),"CHECK"))</f>
        <v/>
      </c>
      <c r="H835" s="29" t="str">
        <f>IFERROR(INDEX([1]Cluster_Master!$C$4:$C$18,MATCH($F835,[1]Cluster_Master!$B$4:$B$18,0)),"")</f>
        <v/>
      </c>
      <c r="I835" s="29" t="str">
        <f>IFERROR(INDEX([1]Cluster_Master!$D$4:$D$18,MATCH($F835,[1]Cluster_Master!$B$4:$B$18,0)),"")</f>
        <v/>
      </c>
      <c r="J835" s="29" t="str">
        <f>IFERROR(INDEX([1]Cluster_Master!$E$4:$E$18,MATCH($F835,[1]Cluster_Master!$B$4:$B$18,0)),"")</f>
        <v/>
      </c>
      <c r="K835" s="29" t="str">
        <f>IFERROR(INDEX([1]Cluster_Master!$F$4:$F$18,MATCH($F835,[1]Cluster_Master!$B$4:$B$18,0)),"")</f>
        <v/>
      </c>
      <c r="L835" s="29" t="str">
        <f>IFERROR(INDEX([1]Cluster_Master!$G$4:$G$18,MATCH($F835,[1]Cluster_Master!$B$4:$B$18,0)),"")</f>
        <v/>
      </c>
      <c r="M835" s="29" t="str">
        <f>IFERROR(INDEX([1]Cluster_Master!$H$4:$H$18,MATCH($F835,[1]Cluster_Master!$B$4:$B$18,0)),"")</f>
        <v/>
      </c>
      <c r="AI835" s="29" t="str">
        <f>IF(COUNTA(T835:AH835)=0,"",SUM(T835:AH835))</f>
        <v/>
      </c>
      <c r="AJ835" s="29" t="str">
        <f>IF(COUNTA(T835:AH835)=0,"",AI835/75)</f>
        <v/>
      </c>
      <c r="AK835" s="29" t="str">
        <f>IF(COUNTA(T835:AH835)=0,"",(SUM(T835*[1]KPI_Weights!$B$4,U835*[1]KPI_Weights!$B$5,V835*[1]KPI_Weights!$B$6,W835*[1]KPI_Weights!$B$7,X835*[1]KPI_Weights!$B$8,Y835*[1]KPI_Weights!$B$9,Z835*[1]KPI_Weights!$B$10,AA835*[1]KPI_Weights!$B$11,AB835*[1]KPI_Weights!$B$12,AC835*[1]KPI_Weights!$B$13,AD835*[1]KPI_Weights!$B$14,AE835*[1]KPI_Weights!$B$15,AF835*[1]KPI_Weights!$B$16,AG835*[1]KPI_Weights!$B$17,AH835*[1]KPI_Weights!$B$18))/5)</f>
        <v/>
      </c>
      <c r="AL835" s="29" t="str">
        <f>IF(COUNTA(T835:AH835)=0,"",IF(OR(T835&lt;=1,W835&lt;=1,X835&lt;=1,Y835&lt;=1,AB835&lt;=1),"YES","NO"))</f>
        <v/>
      </c>
      <c r="AM835" s="29" t="str">
        <f>IF(AJ835="","",IF(AND(AL835="NO",AJ835&gt;=0.75),"YES","NO"))</f>
        <v/>
      </c>
      <c r="AN835" s="29" t="str">
        <f>IF(AJ835="","",IF(AJ835&lt;0.4,"Critical",IF(AJ835&lt;0.6,"Poor",IF(AJ835&lt;0.75,"Needs Improvement",IF(AJ835&lt;0.9,"Good","Excellent")))))</f>
        <v/>
      </c>
    </row>
    <row r="836" spans="1:40" ht="15" customHeight="1" x14ac:dyDescent="0.25">
      <c r="A836" s="29" t="str">
        <f>IF($B836="","",TEXT($B836,"yyyymmdd")&amp;"-"&amp;SUBSTITUTE($F836," ","")&amp;"-"&amp;TEXT(COUNTIF($F$4:F836,$F836),"00"))</f>
        <v/>
      </c>
      <c r="C836" s="29" t="str">
        <f>IF($B836="","",WEEKNUM($B836,2))</f>
        <v/>
      </c>
      <c r="D836" s="29" t="str">
        <f>IF($B836="","",TEXT($B836,"yyyy-mm"))</f>
        <v/>
      </c>
      <c r="G836" s="29" t="str">
        <f>IF(OR($E836="",$F836=""),"",IFERROR(IF($E836=INDEX([1]Cluster_Master!$A$4:$A$18,MATCH($F836,[1]Cluster_Master!$B$4:$B$18,0)),"OK","CHECK"),"CHECK"))</f>
        <v/>
      </c>
      <c r="H836" s="29" t="str">
        <f>IFERROR(INDEX([1]Cluster_Master!$C$4:$C$18,MATCH($F836,[1]Cluster_Master!$B$4:$B$18,0)),"")</f>
        <v/>
      </c>
      <c r="I836" s="29" t="str">
        <f>IFERROR(INDEX([1]Cluster_Master!$D$4:$D$18,MATCH($F836,[1]Cluster_Master!$B$4:$B$18,0)),"")</f>
        <v/>
      </c>
      <c r="J836" s="29" t="str">
        <f>IFERROR(INDEX([1]Cluster_Master!$E$4:$E$18,MATCH($F836,[1]Cluster_Master!$B$4:$B$18,0)),"")</f>
        <v/>
      </c>
      <c r="K836" s="29" t="str">
        <f>IFERROR(INDEX([1]Cluster_Master!$F$4:$F$18,MATCH($F836,[1]Cluster_Master!$B$4:$B$18,0)),"")</f>
        <v/>
      </c>
      <c r="L836" s="29" t="str">
        <f>IFERROR(INDEX([1]Cluster_Master!$G$4:$G$18,MATCH($F836,[1]Cluster_Master!$B$4:$B$18,0)),"")</f>
        <v/>
      </c>
      <c r="M836" s="29" t="str">
        <f>IFERROR(INDEX([1]Cluster_Master!$H$4:$H$18,MATCH($F836,[1]Cluster_Master!$B$4:$B$18,0)),"")</f>
        <v/>
      </c>
      <c r="AI836" s="29" t="str">
        <f>IF(COUNTA(T836:AH836)=0,"",SUM(T836:AH836))</f>
        <v/>
      </c>
      <c r="AJ836" s="29" t="str">
        <f>IF(COUNTA(T836:AH836)=0,"",AI836/75)</f>
        <v/>
      </c>
      <c r="AK836" s="29" t="str">
        <f>IF(COUNTA(T836:AH836)=0,"",(SUM(T836*[1]KPI_Weights!$B$4,U836*[1]KPI_Weights!$B$5,V836*[1]KPI_Weights!$B$6,W836*[1]KPI_Weights!$B$7,X836*[1]KPI_Weights!$B$8,Y836*[1]KPI_Weights!$B$9,Z836*[1]KPI_Weights!$B$10,AA836*[1]KPI_Weights!$B$11,AB836*[1]KPI_Weights!$B$12,AC836*[1]KPI_Weights!$B$13,AD836*[1]KPI_Weights!$B$14,AE836*[1]KPI_Weights!$B$15,AF836*[1]KPI_Weights!$B$16,AG836*[1]KPI_Weights!$B$17,AH836*[1]KPI_Weights!$B$18))/5)</f>
        <v/>
      </c>
      <c r="AL836" s="29" t="str">
        <f>IF(COUNTA(T836:AH836)=0,"",IF(OR(T836&lt;=1,W836&lt;=1,X836&lt;=1,Y836&lt;=1,AB836&lt;=1),"YES","NO"))</f>
        <v/>
      </c>
      <c r="AM836" s="29" t="str">
        <f>IF(AJ836="","",IF(AND(AL836="NO",AJ836&gt;=0.75),"YES","NO"))</f>
        <v/>
      </c>
      <c r="AN836" s="29" t="str">
        <f>IF(AJ836="","",IF(AJ836&lt;0.4,"Critical",IF(AJ836&lt;0.6,"Poor",IF(AJ836&lt;0.75,"Needs Improvement",IF(AJ836&lt;0.9,"Good","Excellent")))))</f>
        <v/>
      </c>
    </row>
    <row r="837" spans="1:40" ht="15" customHeight="1" x14ac:dyDescent="0.25">
      <c r="A837" s="29" t="str">
        <f>IF($B837="","",TEXT($B837,"yyyymmdd")&amp;"-"&amp;SUBSTITUTE($F837," ","")&amp;"-"&amp;TEXT(COUNTIF($F$4:F837,$F837),"00"))</f>
        <v/>
      </c>
      <c r="C837" s="29" t="str">
        <f>IF($B837="","",WEEKNUM($B837,2))</f>
        <v/>
      </c>
      <c r="D837" s="29" t="str">
        <f>IF($B837="","",TEXT($B837,"yyyy-mm"))</f>
        <v/>
      </c>
      <c r="G837" s="29" t="str">
        <f>IF(OR($E837="",$F837=""),"",IFERROR(IF($E837=INDEX([1]Cluster_Master!$A$4:$A$18,MATCH($F837,[1]Cluster_Master!$B$4:$B$18,0)),"OK","CHECK"),"CHECK"))</f>
        <v/>
      </c>
      <c r="H837" s="29" t="str">
        <f>IFERROR(INDEX([1]Cluster_Master!$C$4:$C$18,MATCH($F837,[1]Cluster_Master!$B$4:$B$18,0)),"")</f>
        <v/>
      </c>
      <c r="I837" s="29" t="str">
        <f>IFERROR(INDEX([1]Cluster_Master!$D$4:$D$18,MATCH($F837,[1]Cluster_Master!$B$4:$B$18,0)),"")</f>
        <v/>
      </c>
      <c r="J837" s="29" t="str">
        <f>IFERROR(INDEX([1]Cluster_Master!$E$4:$E$18,MATCH($F837,[1]Cluster_Master!$B$4:$B$18,0)),"")</f>
        <v/>
      </c>
      <c r="K837" s="29" t="str">
        <f>IFERROR(INDEX([1]Cluster_Master!$F$4:$F$18,MATCH($F837,[1]Cluster_Master!$B$4:$B$18,0)),"")</f>
        <v/>
      </c>
      <c r="L837" s="29" t="str">
        <f>IFERROR(INDEX([1]Cluster_Master!$G$4:$G$18,MATCH($F837,[1]Cluster_Master!$B$4:$B$18,0)),"")</f>
        <v/>
      </c>
      <c r="M837" s="29" t="str">
        <f>IFERROR(INDEX([1]Cluster_Master!$H$4:$H$18,MATCH($F837,[1]Cluster_Master!$B$4:$B$18,0)),"")</f>
        <v/>
      </c>
      <c r="AI837" s="29" t="str">
        <f>IF(COUNTA(T837:AH837)=0,"",SUM(T837:AH837))</f>
        <v/>
      </c>
      <c r="AJ837" s="29" t="str">
        <f>IF(COUNTA(T837:AH837)=0,"",AI837/75)</f>
        <v/>
      </c>
      <c r="AK837" s="29" t="str">
        <f>IF(COUNTA(T837:AH837)=0,"",(SUM(T837*[1]KPI_Weights!$B$4,U837*[1]KPI_Weights!$B$5,V837*[1]KPI_Weights!$B$6,W837*[1]KPI_Weights!$B$7,X837*[1]KPI_Weights!$B$8,Y837*[1]KPI_Weights!$B$9,Z837*[1]KPI_Weights!$B$10,AA837*[1]KPI_Weights!$B$11,AB837*[1]KPI_Weights!$B$12,AC837*[1]KPI_Weights!$B$13,AD837*[1]KPI_Weights!$B$14,AE837*[1]KPI_Weights!$B$15,AF837*[1]KPI_Weights!$B$16,AG837*[1]KPI_Weights!$B$17,AH837*[1]KPI_Weights!$B$18))/5)</f>
        <v/>
      </c>
      <c r="AL837" s="29" t="str">
        <f>IF(COUNTA(T837:AH837)=0,"",IF(OR(T837&lt;=1,W837&lt;=1,X837&lt;=1,Y837&lt;=1,AB837&lt;=1),"YES","NO"))</f>
        <v/>
      </c>
      <c r="AM837" s="29" t="str">
        <f>IF(AJ837="","",IF(AND(AL837="NO",AJ837&gt;=0.75),"YES","NO"))</f>
        <v/>
      </c>
      <c r="AN837" s="29" t="str">
        <f>IF(AJ837="","",IF(AJ837&lt;0.4,"Critical",IF(AJ837&lt;0.6,"Poor",IF(AJ837&lt;0.75,"Needs Improvement",IF(AJ837&lt;0.9,"Good","Excellent")))))</f>
        <v/>
      </c>
    </row>
    <row r="838" spans="1:40" ht="15" customHeight="1" x14ac:dyDescent="0.25">
      <c r="A838" s="29" t="str">
        <f>IF($B838="","",TEXT($B838,"yyyymmdd")&amp;"-"&amp;SUBSTITUTE($F838," ","")&amp;"-"&amp;TEXT(COUNTIF($F$4:F838,$F838),"00"))</f>
        <v/>
      </c>
      <c r="C838" s="29" t="str">
        <f>IF($B838="","",WEEKNUM($B838,2))</f>
        <v/>
      </c>
      <c r="D838" s="29" t="str">
        <f>IF($B838="","",TEXT($B838,"yyyy-mm"))</f>
        <v/>
      </c>
      <c r="G838" s="29" t="str">
        <f>IF(OR($E838="",$F838=""),"",IFERROR(IF($E838=INDEX([1]Cluster_Master!$A$4:$A$18,MATCH($F838,[1]Cluster_Master!$B$4:$B$18,0)),"OK","CHECK"),"CHECK"))</f>
        <v/>
      </c>
      <c r="H838" s="29" t="str">
        <f>IFERROR(INDEX([1]Cluster_Master!$C$4:$C$18,MATCH($F838,[1]Cluster_Master!$B$4:$B$18,0)),"")</f>
        <v/>
      </c>
      <c r="I838" s="29" t="str">
        <f>IFERROR(INDEX([1]Cluster_Master!$D$4:$D$18,MATCH($F838,[1]Cluster_Master!$B$4:$B$18,0)),"")</f>
        <v/>
      </c>
      <c r="J838" s="29" t="str">
        <f>IFERROR(INDEX([1]Cluster_Master!$E$4:$E$18,MATCH($F838,[1]Cluster_Master!$B$4:$B$18,0)),"")</f>
        <v/>
      </c>
      <c r="K838" s="29" t="str">
        <f>IFERROR(INDEX([1]Cluster_Master!$F$4:$F$18,MATCH($F838,[1]Cluster_Master!$B$4:$B$18,0)),"")</f>
        <v/>
      </c>
      <c r="L838" s="29" t="str">
        <f>IFERROR(INDEX([1]Cluster_Master!$G$4:$G$18,MATCH($F838,[1]Cluster_Master!$B$4:$B$18,0)),"")</f>
        <v/>
      </c>
      <c r="M838" s="29" t="str">
        <f>IFERROR(INDEX([1]Cluster_Master!$H$4:$H$18,MATCH($F838,[1]Cluster_Master!$B$4:$B$18,0)),"")</f>
        <v/>
      </c>
      <c r="AI838" s="29" t="str">
        <f>IF(COUNTA(T838:AH838)=0,"",SUM(T838:AH838))</f>
        <v/>
      </c>
      <c r="AJ838" s="29" t="str">
        <f>IF(COUNTA(T838:AH838)=0,"",AI838/75)</f>
        <v/>
      </c>
      <c r="AK838" s="29" t="str">
        <f>IF(COUNTA(T838:AH838)=0,"",(SUM(T838*[1]KPI_Weights!$B$4,U838*[1]KPI_Weights!$B$5,V838*[1]KPI_Weights!$B$6,W838*[1]KPI_Weights!$B$7,X838*[1]KPI_Weights!$B$8,Y838*[1]KPI_Weights!$B$9,Z838*[1]KPI_Weights!$B$10,AA838*[1]KPI_Weights!$B$11,AB838*[1]KPI_Weights!$B$12,AC838*[1]KPI_Weights!$B$13,AD838*[1]KPI_Weights!$B$14,AE838*[1]KPI_Weights!$B$15,AF838*[1]KPI_Weights!$B$16,AG838*[1]KPI_Weights!$B$17,AH838*[1]KPI_Weights!$B$18))/5)</f>
        <v/>
      </c>
      <c r="AL838" s="29" t="str">
        <f>IF(COUNTA(T838:AH838)=0,"",IF(OR(T838&lt;=1,W838&lt;=1,X838&lt;=1,Y838&lt;=1,AB838&lt;=1),"YES","NO"))</f>
        <v/>
      </c>
      <c r="AM838" s="29" t="str">
        <f>IF(AJ838="","",IF(AND(AL838="NO",AJ838&gt;=0.75),"YES","NO"))</f>
        <v/>
      </c>
      <c r="AN838" s="29" t="str">
        <f>IF(AJ838="","",IF(AJ838&lt;0.4,"Critical",IF(AJ838&lt;0.6,"Poor",IF(AJ838&lt;0.75,"Needs Improvement",IF(AJ838&lt;0.9,"Good","Excellent")))))</f>
        <v/>
      </c>
    </row>
    <row r="839" spans="1:40" ht="15" customHeight="1" x14ac:dyDescent="0.25">
      <c r="A839" s="29" t="str">
        <f>IF($B839="","",TEXT($B839,"yyyymmdd")&amp;"-"&amp;SUBSTITUTE($F839," ","")&amp;"-"&amp;TEXT(COUNTIF($F$4:F839,$F839),"00"))</f>
        <v/>
      </c>
      <c r="C839" s="29" t="str">
        <f>IF($B839="","",WEEKNUM($B839,2))</f>
        <v/>
      </c>
      <c r="D839" s="29" t="str">
        <f>IF($B839="","",TEXT($B839,"yyyy-mm"))</f>
        <v/>
      </c>
      <c r="G839" s="29" t="str">
        <f>IF(OR($E839="",$F839=""),"",IFERROR(IF($E839=INDEX([1]Cluster_Master!$A$4:$A$18,MATCH($F839,[1]Cluster_Master!$B$4:$B$18,0)),"OK","CHECK"),"CHECK"))</f>
        <v/>
      </c>
      <c r="H839" s="29" t="str">
        <f>IFERROR(INDEX([1]Cluster_Master!$C$4:$C$18,MATCH($F839,[1]Cluster_Master!$B$4:$B$18,0)),"")</f>
        <v/>
      </c>
      <c r="I839" s="29" t="str">
        <f>IFERROR(INDEX([1]Cluster_Master!$D$4:$D$18,MATCH($F839,[1]Cluster_Master!$B$4:$B$18,0)),"")</f>
        <v/>
      </c>
      <c r="J839" s="29" t="str">
        <f>IFERROR(INDEX([1]Cluster_Master!$E$4:$E$18,MATCH($F839,[1]Cluster_Master!$B$4:$B$18,0)),"")</f>
        <v/>
      </c>
      <c r="K839" s="29" t="str">
        <f>IFERROR(INDEX([1]Cluster_Master!$F$4:$F$18,MATCH($F839,[1]Cluster_Master!$B$4:$B$18,0)),"")</f>
        <v/>
      </c>
      <c r="L839" s="29" t="str">
        <f>IFERROR(INDEX([1]Cluster_Master!$G$4:$G$18,MATCH($F839,[1]Cluster_Master!$B$4:$B$18,0)),"")</f>
        <v/>
      </c>
      <c r="M839" s="29" t="str">
        <f>IFERROR(INDEX([1]Cluster_Master!$H$4:$H$18,MATCH($F839,[1]Cluster_Master!$B$4:$B$18,0)),"")</f>
        <v/>
      </c>
      <c r="AI839" s="29" t="str">
        <f>IF(COUNTA(T839:AH839)=0,"",SUM(T839:AH839))</f>
        <v/>
      </c>
      <c r="AJ839" s="29" t="str">
        <f>IF(COUNTA(T839:AH839)=0,"",AI839/75)</f>
        <v/>
      </c>
      <c r="AK839" s="29" t="str">
        <f>IF(COUNTA(T839:AH839)=0,"",(SUM(T839*[1]KPI_Weights!$B$4,U839*[1]KPI_Weights!$B$5,V839*[1]KPI_Weights!$B$6,W839*[1]KPI_Weights!$B$7,X839*[1]KPI_Weights!$B$8,Y839*[1]KPI_Weights!$B$9,Z839*[1]KPI_Weights!$B$10,AA839*[1]KPI_Weights!$B$11,AB839*[1]KPI_Weights!$B$12,AC839*[1]KPI_Weights!$B$13,AD839*[1]KPI_Weights!$B$14,AE839*[1]KPI_Weights!$B$15,AF839*[1]KPI_Weights!$B$16,AG839*[1]KPI_Weights!$B$17,AH839*[1]KPI_Weights!$B$18))/5)</f>
        <v/>
      </c>
      <c r="AL839" s="29" t="str">
        <f>IF(COUNTA(T839:AH839)=0,"",IF(OR(T839&lt;=1,W839&lt;=1,X839&lt;=1,Y839&lt;=1,AB839&lt;=1),"YES","NO"))</f>
        <v/>
      </c>
      <c r="AM839" s="29" t="str">
        <f>IF(AJ839="","",IF(AND(AL839="NO",AJ839&gt;=0.75),"YES","NO"))</f>
        <v/>
      </c>
      <c r="AN839" s="29" t="str">
        <f>IF(AJ839="","",IF(AJ839&lt;0.4,"Critical",IF(AJ839&lt;0.6,"Poor",IF(AJ839&lt;0.75,"Needs Improvement",IF(AJ839&lt;0.9,"Good","Excellent")))))</f>
        <v/>
      </c>
    </row>
    <row r="840" spans="1:40" ht="15" customHeight="1" x14ac:dyDescent="0.25">
      <c r="A840" s="29" t="str">
        <f>IF($B840="","",TEXT($B840,"yyyymmdd")&amp;"-"&amp;SUBSTITUTE($F840," ","")&amp;"-"&amp;TEXT(COUNTIF($F$4:F840,$F840),"00"))</f>
        <v/>
      </c>
      <c r="C840" s="29" t="str">
        <f>IF($B840="","",WEEKNUM($B840,2))</f>
        <v/>
      </c>
      <c r="D840" s="29" t="str">
        <f>IF($B840="","",TEXT($B840,"yyyy-mm"))</f>
        <v/>
      </c>
      <c r="G840" s="29" t="str">
        <f>IF(OR($E840="",$F840=""),"",IFERROR(IF($E840=INDEX([1]Cluster_Master!$A$4:$A$18,MATCH($F840,[1]Cluster_Master!$B$4:$B$18,0)),"OK","CHECK"),"CHECK"))</f>
        <v/>
      </c>
      <c r="H840" s="29" t="str">
        <f>IFERROR(INDEX([1]Cluster_Master!$C$4:$C$18,MATCH($F840,[1]Cluster_Master!$B$4:$B$18,0)),"")</f>
        <v/>
      </c>
      <c r="I840" s="29" t="str">
        <f>IFERROR(INDEX([1]Cluster_Master!$D$4:$D$18,MATCH($F840,[1]Cluster_Master!$B$4:$B$18,0)),"")</f>
        <v/>
      </c>
      <c r="J840" s="29" t="str">
        <f>IFERROR(INDEX([1]Cluster_Master!$E$4:$E$18,MATCH($F840,[1]Cluster_Master!$B$4:$B$18,0)),"")</f>
        <v/>
      </c>
      <c r="K840" s="29" t="str">
        <f>IFERROR(INDEX([1]Cluster_Master!$F$4:$F$18,MATCH($F840,[1]Cluster_Master!$B$4:$B$18,0)),"")</f>
        <v/>
      </c>
      <c r="L840" s="29" t="str">
        <f>IFERROR(INDEX([1]Cluster_Master!$G$4:$G$18,MATCH($F840,[1]Cluster_Master!$B$4:$B$18,0)),"")</f>
        <v/>
      </c>
      <c r="M840" s="29" t="str">
        <f>IFERROR(INDEX([1]Cluster_Master!$H$4:$H$18,MATCH($F840,[1]Cluster_Master!$B$4:$B$18,0)),"")</f>
        <v/>
      </c>
      <c r="AI840" s="29" t="str">
        <f>IF(COUNTA(T840:AH840)=0,"",SUM(T840:AH840))</f>
        <v/>
      </c>
      <c r="AJ840" s="29" t="str">
        <f>IF(COUNTA(T840:AH840)=0,"",AI840/75)</f>
        <v/>
      </c>
      <c r="AK840" s="29" t="str">
        <f>IF(COUNTA(T840:AH840)=0,"",(SUM(T840*[1]KPI_Weights!$B$4,U840*[1]KPI_Weights!$B$5,V840*[1]KPI_Weights!$B$6,W840*[1]KPI_Weights!$B$7,X840*[1]KPI_Weights!$B$8,Y840*[1]KPI_Weights!$B$9,Z840*[1]KPI_Weights!$B$10,AA840*[1]KPI_Weights!$B$11,AB840*[1]KPI_Weights!$B$12,AC840*[1]KPI_Weights!$B$13,AD840*[1]KPI_Weights!$B$14,AE840*[1]KPI_Weights!$B$15,AF840*[1]KPI_Weights!$B$16,AG840*[1]KPI_Weights!$B$17,AH840*[1]KPI_Weights!$B$18))/5)</f>
        <v/>
      </c>
      <c r="AL840" s="29" t="str">
        <f>IF(COUNTA(T840:AH840)=0,"",IF(OR(T840&lt;=1,W840&lt;=1,X840&lt;=1,Y840&lt;=1,AB840&lt;=1),"YES","NO"))</f>
        <v/>
      </c>
      <c r="AM840" s="29" t="str">
        <f>IF(AJ840="","",IF(AND(AL840="NO",AJ840&gt;=0.75),"YES","NO"))</f>
        <v/>
      </c>
      <c r="AN840" s="29" t="str">
        <f>IF(AJ840="","",IF(AJ840&lt;0.4,"Critical",IF(AJ840&lt;0.6,"Poor",IF(AJ840&lt;0.75,"Needs Improvement",IF(AJ840&lt;0.9,"Good","Excellent")))))</f>
        <v/>
      </c>
    </row>
    <row r="841" spans="1:40" ht="15" customHeight="1" x14ac:dyDescent="0.25">
      <c r="A841" s="29" t="str">
        <f>IF($B841="","",TEXT($B841,"yyyymmdd")&amp;"-"&amp;SUBSTITUTE($F841," ","")&amp;"-"&amp;TEXT(COUNTIF($F$4:F841,$F841),"00"))</f>
        <v/>
      </c>
      <c r="C841" s="29" t="str">
        <f>IF($B841="","",WEEKNUM($B841,2))</f>
        <v/>
      </c>
      <c r="D841" s="29" t="str">
        <f>IF($B841="","",TEXT($B841,"yyyy-mm"))</f>
        <v/>
      </c>
      <c r="G841" s="29" t="str">
        <f>IF(OR($E841="",$F841=""),"",IFERROR(IF($E841=INDEX([1]Cluster_Master!$A$4:$A$18,MATCH($F841,[1]Cluster_Master!$B$4:$B$18,0)),"OK","CHECK"),"CHECK"))</f>
        <v/>
      </c>
      <c r="H841" s="29" t="str">
        <f>IFERROR(INDEX([1]Cluster_Master!$C$4:$C$18,MATCH($F841,[1]Cluster_Master!$B$4:$B$18,0)),"")</f>
        <v/>
      </c>
      <c r="I841" s="29" t="str">
        <f>IFERROR(INDEX([1]Cluster_Master!$D$4:$D$18,MATCH($F841,[1]Cluster_Master!$B$4:$B$18,0)),"")</f>
        <v/>
      </c>
      <c r="J841" s="29" t="str">
        <f>IFERROR(INDEX([1]Cluster_Master!$E$4:$E$18,MATCH($F841,[1]Cluster_Master!$B$4:$B$18,0)),"")</f>
        <v/>
      </c>
      <c r="K841" s="29" t="str">
        <f>IFERROR(INDEX([1]Cluster_Master!$F$4:$F$18,MATCH($F841,[1]Cluster_Master!$B$4:$B$18,0)),"")</f>
        <v/>
      </c>
      <c r="L841" s="29" t="str">
        <f>IFERROR(INDEX([1]Cluster_Master!$G$4:$G$18,MATCH($F841,[1]Cluster_Master!$B$4:$B$18,0)),"")</f>
        <v/>
      </c>
      <c r="M841" s="29" t="str">
        <f>IFERROR(INDEX([1]Cluster_Master!$H$4:$H$18,MATCH($F841,[1]Cluster_Master!$B$4:$B$18,0)),"")</f>
        <v/>
      </c>
      <c r="AI841" s="29" t="str">
        <f>IF(COUNTA(T841:AH841)=0,"",SUM(T841:AH841))</f>
        <v/>
      </c>
      <c r="AJ841" s="29" t="str">
        <f>IF(COUNTA(T841:AH841)=0,"",AI841/75)</f>
        <v/>
      </c>
      <c r="AK841" s="29" t="str">
        <f>IF(COUNTA(T841:AH841)=0,"",(SUM(T841*[1]KPI_Weights!$B$4,U841*[1]KPI_Weights!$B$5,V841*[1]KPI_Weights!$B$6,W841*[1]KPI_Weights!$B$7,X841*[1]KPI_Weights!$B$8,Y841*[1]KPI_Weights!$B$9,Z841*[1]KPI_Weights!$B$10,AA841*[1]KPI_Weights!$B$11,AB841*[1]KPI_Weights!$B$12,AC841*[1]KPI_Weights!$B$13,AD841*[1]KPI_Weights!$B$14,AE841*[1]KPI_Weights!$B$15,AF841*[1]KPI_Weights!$B$16,AG841*[1]KPI_Weights!$B$17,AH841*[1]KPI_Weights!$B$18))/5)</f>
        <v/>
      </c>
      <c r="AL841" s="29" t="str">
        <f>IF(COUNTA(T841:AH841)=0,"",IF(OR(T841&lt;=1,W841&lt;=1,X841&lt;=1,Y841&lt;=1,AB841&lt;=1),"YES","NO"))</f>
        <v/>
      </c>
      <c r="AM841" s="29" t="str">
        <f>IF(AJ841="","",IF(AND(AL841="NO",AJ841&gt;=0.75),"YES","NO"))</f>
        <v/>
      </c>
      <c r="AN841" s="29" t="str">
        <f>IF(AJ841="","",IF(AJ841&lt;0.4,"Critical",IF(AJ841&lt;0.6,"Poor",IF(AJ841&lt;0.75,"Needs Improvement",IF(AJ841&lt;0.9,"Good","Excellent")))))</f>
        <v/>
      </c>
    </row>
    <row r="842" spans="1:40" ht="15" customHeight="1" x14ac:dyDescent="0.25">
      <c r="A842" s="29" t="str">
        <f>IF($B842="","",TEXT($B842,"yyyymmdd")&amp;"-"&amp;SUBSTITUTE($F842," ","")&amp;"-"&amp;TEXT(COUNTIF($F$4:F842,$F842),"00"))</f>
        <v/>
      </c>
      <c r="C842" s="29" t="str">
        <f>IF($B842="","",WEEKNUM($B842,2))</f>
        <v/>
      </c>
      <c r="D842" s="29" t="str">
        <f>IF($B842="","",TEXT($B842,"yyyy-mm"))</f>
        <v/>
      </c>
      <c r="G842" s="29" t="str">
        <f>IF(OR($E842="",$F842=""),"",IFERROR(IF($E842=INDEX([1]Cluster_Master!$A$4:$A$18,MATCH($F842,[1]Cluster_Master!$B$4:$B$18,0)),"OK","CHECK"),"CHECK"))</f>
        <v/>
      </c>
      <c r="H842" s="29" t="str">
        <f>IFERROR(INDEX([1]Cluster_Master!$C$4:$C$18,MATCH($F842,[1]Cluster_Master!$B$4:$B$18,0)),"")</f>
        <v/>
      </c>
      <c r="I842" s="29" t="str">
        <f>IFERROR(INDEX([1]Cluster_Master!$D$4:$D$18,MATCH($F842,[1]Cluster_Master!$B$4:$B$18,0)),"")</f>
        <v/>
      </c>
      <c r="J842" s="29" t="str">
        <f>IFERROR(INDEX([1]Cluster_Master!$E$4:$E$18,MATCH($F842,[1]Cluster_Master!$B$4:$B$18,0)),"")</f>
        <v/>
      </c>
      <c r="K842" s="29" t="str">
        <f>IFERROR(INDEX([1]Cluster_Master!$F$4:$F$18,MATCH($F842,[1]Cluster_Master!$B$4:$B$18,0)),"")</f>
        <v/>
      </c>
      <c r="L842" s="29" t="str">
        <f>IFERROR(INDEX([1]Cluster_Master!$G$4:$G$18,MATCH($F842,[1]Cluster_Master!$B$4:$B$18,0)),"")</f>
        <v/>
      </c>
      <c r="M842" s="29" t="str">
        <f>IFERROR(INDEX([1]Cluster_Master!$H$4:$H$18,MATCH($F842,[1]Cluster_Master!$B$4:$B$18,0)),"")</f>
        <v/>
      </c>
      <c r="AI842" s="29" t="str">
        <f>IF(COUNTA(T842:AH842)=0,"",SUM(T842:AH842))</f>
        <v/>
      </c>
      <c r="AJ842" s="29" t="str">
        <f>IF(COUNTA(T842:AH842)=0,"",AI842/75)</f>
        <v/>
      </c>
      <c r="AK842" s="29" t="str">
        <f>IF(COUNTA(T842:AH842)=0,"",(SUM(T842*[1]KPI_Weights!$B$4,U842*[1]KPI_Weights!$B$5,V842*[1]KPI_Weights!$B$6,W842*[1]KPI_Weights!$B$7,X842*[1]KPI_Weights!$B$8,Y842*[1]KPI_Weights!$B$9,Z842*[1]KPI_Weights!$B$10,AA842*[1]KPI_Weights!$B$11,AB842*[1]KPI_Weights!$B$12,AC842*[1]KPI_Weights!$B$13,AD842*[1]KPI_Weights!$B$14,AE842*[1]KPI_Weights!$B$15,AF842*[1]KPI_Weights!$B$16,AG842*[1]KPI_Weights!$B$17,AH842*[1]KPI_Weights!$B$18))/5)</f>
        <v/>
      </c>
      <c r="AL842" s="29" t="str">
        <f>IF(COUNTA(T842:AH842)=0,"",IF(OR(T842&lt;=1,W842&lt;=1,X842&lt;=1,Y842&lt;=1,AB842&lt;=1),"YES","NO"))</f>
        <v/>
      </c>
      <c r="AM842" s="29" t="str">
        <f>IF(AJ842="","",IF(AND(AL842="NO",AJ842&gt;=0.75),"YES","NO"))</f>
        <v/>
      </c>
      <c r="AN842" s="29" t="str">
        <f>IF(AJ842="","",IF(AJ842&lt;0.4,"Critical",IF(AJ842&lt;0.6,"Poor",IF(AJ842&lt;0.75,"Needs Improvement",IF(AJ842&lt;0.9,"Good","Excellent")))))</f>
        <v/>
      </c>
    </row>
    <row r="843" spans="1:40" ht="15" customHeight="1" x14ac:dyDescent="0.25">
      <c r="A843" s="29" t="str">
        <f>IF($B843="","",TEXT($B843,"yyyymmdd")&amp;"-"&amp;SUBSTITUTE($F843," ","")&amp;"-"&amp;TEXT(COUNTIF($F$4:F843,$F843),"00"))</f>
        <v/>
      </c>
      <c r="C843" s="29" t="str">
        <f>IF($B843="","",WEEKNUM($B843,2))</f>
        <v/>
      </c>
      <c r="D843" s="29" t="str">
        <f>IF($B843="","",TEXT($B843,"yyyy-mm"))</f>
        <v/>
      </c>
      <c r="G843" s="29" t="str">
        <f>IF(OR($E843="",$F843=""),"",IFERROR(IF($E843=INDEX([1]Cluster_Master!$A$4:$A$18,MATCH($F843,[1]Cluster_Master!$B$4:$B$18,0)),"OK","CHECK"),"CHECK"))</f>
        <v/>
      </c>
      <c r="H843" s="29" t="str">
        <f>IFERROR(INDEX([1]Cluster_Master!$C$4:$C$18,MATCH($F843,[1]Cluster_Master!$B$4:$B$18,0)),"")</f>
        <v/>
      </c>
      <c r="I843" s="29" t="str">
        <f>IFERROR(INDEX([1]Cluster_Master!$D$4:$D$18,MATCH($F843,[1]Cluster_Master!$B$4:$B$18,0)),"")</f>
        <v/>
      </c>
      <c r="J843" s="29" t="str">
        <f>IFERROR(INDEX([1]Cluster_Master!$E$4:$E$18,MATCH($F843,[1]Cluster_Master!$B$4:$B$18,0)),"")</f>
        <v/>
      </c>
      <c r="K843" s="29" t="str">
        <f>IFERROR(INDEX([1]Cluster_Master!$F$4:$F$18,MATCH($F843,[1]Cluster_Master!$B$4:$B$18,0)),"")</f>
        <v/>
      </c>
      <c r="L843" s="29" t="str">
        <f>IFERROR(INDEX([1]Cluster_Master!$G$4:$G$18,MATCH($F843,[1]Cluster_Master!$B$4:$B$18,0)),"")</f>
        <v/>
      </c>
      <c r="M843" s="29" t="str">
        <f>IFERROR(INDEX([1]Cluster_Master!$H$4:$H$18,MATCH($F843,[1]Cluster_Master!$B$4:$B$18,0)),"")</f>
        <v/>
      </c>
      <c r="AI843" s="29" t="str">
        <f>IF(COUNTA(T843:AH843)=0,"",SUM(T843:AH843))</f>
        <v/>
      </c>
      <c r="AJ843" s="29" t="str">
        <f>IF(COUNTA(T843:AH843)=0,"",AI843/75)</f>
        <v/>
      </c>
      <c r="AK843" s="29" t="str">
        <f>IF(COUNTA(T843:AH843)=0,"",(SUM(T843*[1]KPI_Weights!$B$4,U843*[1]KPI_Weights!$B$5,V843*[1]KPI_Weights!$B$6,W843*[1]KPI_Weights!$B$7,X843*[1]KPI_Weights!$B$8,Y843*[1]KPI_Weights!$B$9,Z843*[1]KPI_Weights!$B$10,AA843*[1]KPI_Weights!$B$11,AB843*[1]KPI_Weights!$B$12,AC843*[1]KPI_Weights!$B$13,AD843*[1]KPI_Weights!$B$14,AE843*[1]KPI_Weights!$B$15,AF843*[1]KPI_Weights!$B$16,AG843*[1]KPI_Weights!$B$17,AH843*[1]KPI_Weights!$B$18))/5)</f>
        <v/>
      </c>
      <c r="AL843" s="29" t="str">
        <f>IF(COUNTA(T843:AH843)=0,"",IF(OR(T843&lt;=1,W843&lt;=1,X843&lt;=1,Y843&lt;=1,AB843&lt;=1),"YES","NO"))</f>
        <v/>
      </c>
      <c r="AM843" s="29" t="str">
        <f>IF(AJ843="","",IF(AND(AL843="NO",AJ843&gt;=0.75),"YES","NO"))</f>
        <v/>
      </c>
      <c r="AN843" s="29" t="str">
        <f>IF(AJ843="","",IF(AJ843&lt;0.4,"Critical",IF(AJ843&lt;0.6,"Poor",IF(AJ843&lt;0.75,"Needs Improvement",IF(AJ843&lt;0.9,"Good","Excellent")))))</f>
        <v/>
      </c>
    </row>
    <row r="844" spans="1:40" ht="15" customHeight="1" x14ac:dyDescent="0.25">
      <c r="A844" s="29" t="str">
        <f>IF($B844="","",TEXT($B844,"yyyymmdd")&amp;"-"&amp;SUBSTITUTE($F844," ","")&amp;"-"&amp;TEXT(COUNTIF($F$4:F844,$F844),"00"))</f>
        <v/>
      </c>
      <c r="C844" s="29" t="str">
        <f>IF($B844="","",WEEKNUM($B844,2))</f>
        <v/>
      </c>
      <c r="D844" s="29" t="str">
        <f>IF($B844="","",TEXT($B844,"yyyy-mm"))</f>
        <v/>
      </c>
      <c r="G844" s="29" t="str">
        <f>IF(OR($E844="",$F844=""),"",IFERROR(IF($E844=INDEX([1]Cluster_Master!$A$4:$A$18,MATCH($F844,[1]Cluster_Master!$B$4:$B$18,0)),"OK","CHECK"),"CHECK"))</f>
        <v/>
      </c>
      <c r="H844" s="29" t="str">
        <f>IFERROR(INDEX([1]Cluster_Master!$C$4:$C$18,MATCH($F844,[1]Cluster_Master!$B$4:$B$18,0)),"")</f>
        <v/>
      </c>
      <c r="I844" s="29" t="str">
        <f>IFERROR(INDEX([1]Cluster_Master!$D$4:$D$18,MATCH($F844,[1]Cluster_Master!$B$4:$B$18,0)),"")</f>
        <v/>
      </c>
      <c r="J844" s="29" t="str">
        <f>IFERROR(INDEX([1]Cluster_Master!$E$4:$E$18,MATCH($F844,[1]Cluster_Master!$B$4:$B$18,0)),"")</f>
        <v/>
      </c>
      <c r="K844" s="29" t="str">
        <f>IFERROR(INDEX([1]Cluster_Master!$F$4:$F$18,MATCH($F844,[1]Cluster_Master!$B$4:$B$18,0)),"")</f>
        <v/>
      </c>
      <c r="L844" s="29" t="str">
        <f>IFERROR(INDEX([1]Cluster_Master!$G$4:$G$18,MATCH($F844,[1]Cluster_Master!$B$4:$B$18,0)),"")</f>
        <v/>
      </c>
      <c r="M844" s="29" t="str">
        <f>IFERROR(INDEX([1]Cluster_Master!$H$4:$H$18,MATCH($F844,[1]Cluster_Master!$B$4:$B$18,0)),"")</f>
        <v/>
      </c>
      <c r="AI844" s="29" t="str">
        <f>IF(COUNTA(T844:AH844)=0,"",SUM(T844:AH844))</f>
        <v/>
      </c>
      <c r="AJ844" s="29" t="str">
        <f>IF(COUNTA(T844:AH844)=0,"",AI844/75)</f>
        <v/>
      </c>
      <c r="AK844" s="29" t="str">
        <f>IF(COUNTA(T844:AH844)=0,"",(SUM(T844*[1]KPI_Weights!$B$4,U844*[1]KPI_Weights!$B$5,V844*[1]KPI_Weights!$B$6,W844*[1]KPI_Weights!$B$7,X844*[1]KPI_Weights!$B$8,Y844*[1]KPI_Weights!$B$9,Z844*[1]KPI_Weights!$B$10,AA844*[1]KPI_Weights!$B$11,AB844*[1]KPI_Weights!$B$12,AC844*[1]KPI_Weights!$B$13,AD844*[1]KPI_Weights!$B$14,AE844*[1]KPI_Weights!$B$15,AF844*[1]KPI_Weights!$B$16,AG844*[1]KPI_Weights!$B$17,AH844*[1]KPI_Weights!$B$18))/5)</f>
        <v/>
      </c>
      <c r="AL844" s="29" t="str">
        <f>IF(COUNTA(T844:AH844)=0,"",IF(OR(T844&lt;=1,W844&lt;=1,X844&lt;=1,Y844&lt;=1,AB844&lt;=1),"YES","NO"))</f>
        <v/>
      </c>
      <c r="AM844" s="29" t="str">
        <f>IF(AJ844="","",IF(AND(AL844="NO",AJ844&gt;=0.75),"YES","NO"))</f>
        <v/>
      </c>
      <c r="AN844" s="29" t="str">
        <f>IF(AJ844="","",IF(AJ844&lt;0.4,"Critical",IF(AJ844&lt;0.6,"Poor",IF(AJ844&lt;0.75,"Needs Improvement",IF(AJ844&lt;0.9,"Good","Excellent")))))</f>
        <v/>
      </c>
    </row>
    <row r="845" spans="1:40" ht="15" customHeight="1" x14ac:dyDescent="0.25">
      <c r="A845" s="29" t="str">
        <f>IF($B845="","",TEXT($B845,"yyyymmdd")&amp;"-"&amp;SUBSTITUTE($F845," ","")&amp;"-"&amp;TEXT(COUNTIF($F$4:F845,$F845),"00"))</f>
        <v/>
      </c>
      <c r="C845" s="29" t="str">
        <f>IF($B845="","",WEEKNUM($B845,2))</f>
        <v/>
      </c>
      <c r="D845" s="29" t="str">
        <f>IF($B845="","",TEXT($B845,"yyyy-mm"))</f>
        <v/>
      </c>
      <c r="G845" s="29" t="str">
        <f>IF(OR($E845="",$F845=""),"",IFERROR(IF($E845=INDEX([1]Cluster_Master!$A$4:$A$18,MATCH($F845,[1]Cluster_Master!$B$4:$B$18,0)),"OK","CHECK"),"CHECK"))</f>
        <v/>
      </c>
      <c r="H845" s="29" t="str">
        <f>IFERROR(INDEX([1]Cluster_Master!$C$4:$C$18,MATCH($F845,[1]Cluster_Master!$B$4:$B$18,0)),"")</f>
        <v/>
      </c>
      <c r="I845" s="29" t="str">
        <f>IFERROR(INDEX([1]Cluster_Master!$D$4:$D$18,MATCH($F845,[1]Cluster_Master!$B$4:$B$18,0)),"")</f>
        <v/>
      </c>
      <c r="J845" s="29" t="str">
        <f>IFERROR(INDEX([1]Cluster_Master!$E$4:$E$18,MATCH($F845,[1]Cluster_Master!$B$4:$B$18,0)),"")</f>
        <v/>
      </c>
      <c r="K845" s="29" t="str">
        <f>IFERROR(INDEX([1]Cluster_Master!$F$4:$F$18,MATCH($F845,[1]Cluster_Master!$B$4:$B$18,0)),"")</f>
        <v/>
      </c>
      <c r="L845" s="29" t="str">
        <f>IFERROR(INDEX([1]Cluster_Master!$G$4:$G$18,MATCH($F845,[1]Cluster_Master!$B$4:$B$18,0)),"")</f>
        <v/>
      </c>
      <c r="M845" s="29" t="str">
        <f>IFERROR(INDEX([1]Cluster_Master!$H$4:$H$18,MATCH($F845,[1]Cluster_Master!$B$4:$B$18,0)),"")</f>
        <v/>
      </c>
      <c r="AI845" s="29" t="str">
        <f>IF(COUNTA(T845:AH845)=0,"",SUM(T845:AH845))</f>
        <v/>
      </c>
      <c r="AJ845" s="29" t="str">
        <f>IF(COUNTA(T845:AH845)=0,"",AI845/75)</f>
        <v/>
      </c>
      <c r="AK845" s="29" t="str">
        <f>IF(COUNTA(T845:AH845)=0,"",(SUM(T845*[1]KPI_Weights!$B$4,U845*[1]KPI_Weights!$B$5,V845*[1]KPI_Weights!$B$6,W845*[1]KPI_Weights!$B$7,X845*[1]KPI_Weights!$B$8,Y845*[1]KPI_Weights!$B$9,Z845*[1]KPI_Weights!$B$10,AA845*[1]KPI_Weights!$B$11,AB845*[1]KPI_Weights!$B$12,AC845*[1]KPI_Weights!$B$13,AD845*[1]KPI_Weights!$B$14,AE845*[1]KPI_Weights!$B$15,AF845*[1]KPI_Weights!$B$16,AG845*[1]KPI_Weights!$B$17,AH845*[1]KPI_Weights!$B$18))/5)</f>
        <v/>
      </c>
      <c r="AL845" s="29" t="str">
        <f>IF(COUNTA(T845:AH845)=0,"",IF(OR(T845&lt;=1,W845&lt;=1,X845&lt;=1,Y845&lt;=1,AB845&lt;=1),"YES","NO"))</f>
        <v/>
      </c>
      <c r="AM845" s="29" t="str">
        <f>IF(AJ845="","",IF(AND(AL845="NO",AJ845&gt;=0.75),"YES","NO"))</f>
        <v/>
      </c>
      <c r="AN845" s="29" t="str">
        <f>IF(AJ845="","",IF(AJ845&lt;0.4,"Critical",IF(AJ845&lt;0.6,"Poor",IF(AJ845&lt;0.75,"Needs Improvement",IF(AJ845&lt;0.9,"Good","Excellent")))))</f>
        <v/>
      </c>
    </row>
    <row r="846" spans="1:40" ht="15" customHeight="1" x14ac:dyDescent="0.25">
      <c r="A846" s="29" t="str">
        <f>IF($B846="","",TEXT($B846,"yyyymmdd")&amp;"-"&amp;SUBSTITUTE($F846," ","")&amp;"-"&amp;TEXT(COUNTIF($F$4:F846,$F846),"00"))</f>
        <v/>
      </c>
      <c r="C846" s="29" t="str">
        <f>IF($B846="","",WEEKNUM($B846,2))</f>
        <v/>
      </c>
      <c r="D846" s="29" t="str">
        <f>IF($B846="","",TEXT($B846,"yyyy-mm"))</f>
        <v/>
      </c>
      <c r="G846" s="29" t="str">
        <f>IF(OR($E846="",$F846=""),"",IFERROR(IF($E846=INDEX([1]Cluster_Master!$A$4:$A$18,MATCH($F846,[1]Cluster_Master!$B$4:$B$18,0)),"OK","CHECK"),"CHECK"))</f>
        <v/>
      </c>
      <c r="H846" s="29" t="str">
        <f>IFERROR(INDEX([1]Cluster_Master!$C$4:$C$18,MATCH($F846,[1]Cluster_Master!$B$4:$B$18,0)),"")</f>
        <v/>
      </c>
      <c r="I846" s="29" t="str">
        <f>IFERROR(INDEX([1]Cluster_Master!$D$4:$D$18,MATCH($F846,[1]Cluster_Master!$B$4:$B$18,0)),"")</f>
        <v/>
      </c>
      <c r="J846" s="29" t="str">
        <f>IFERROR(INDEX([1]Cluster_Master!$E$4:$E$18,MATCH($F846,[1]Cluster_Master!$B$4:$B$18,0)),"")</f>
        <v/>
      </c>
      <c r="K846" s="29" t="str">
        <f>IFERROR(INDEX([1]Cluster_Master!$F$4:$F$18,MATCH($F846,[1]Cluster_Master!$B$4:$B$18,0)),"")</f>
        <v/>
      </c>
      <c r="L846" s="29" t="str">
        <f>IFERROR(INDEX([1]Cluster_Master!$G$4:$G$18,MATCH($F846,[1]Cluster_Master!$B$4:$B$18,0)),"")</f>
        <v/>
      </c>
      <c r="M846" s="29" t="str">
        <f>IFERROR(INDEX([1]Cluster_Master!$H$4:$H$18,MATCH($F846,[1]Cluster_Master!$B$4:$B$18,0)),"")</f>
        <v/>
      </c>
      <c r="AI846" s="29" t="str">
        <f>IF(COUNTA(T846:AH846)=0,"",SUM(T846:AH846))</f>
        <v/>
      </c>
      <c r="AJ846" s="29" t="str">
        <f>IF(COUNTA(T846:AH846)=0,"",AI846/75)</f>
        <v/>
      </c>
      <c r="AK846" s="29" t="str">
        <f>IF(COUNTA(T846:AH846)=0,"",(SUM(T846*[1]KPI_Weights!$B$4,U846*[1]KPI_Weights!$B$5,V846*[1]KPI_Weights!$B$6,W846*[1]KPI_Weights!$B$7,X846*[1]KPI_Weights!$B$8,Y846*[1]KPI_Weights!$B$9,Z846*[1]KPI_Weights!$B$10,AA846*[1]KPI_Weights!$B$11,AB846*[1]KPI_Weights!$B$12,AC846*[1]KPI_Weights!$B$13,AD846*[1]KPI_Weights!$B$14,AE846*[1]KPI_Weights!$B$15,AF846*[1]KPI_Weights!$B$16,AG846*[1]KPI_Weights!$B$17,AH846*[1]KPI_Weights!$B$18))/5)</f>
        <v/>
      </c>
      <c r="AL846" s="29" t="str">
        <f>IF(COUNTA(T846:AH846)=0,"",IF(OR(T846&lt;=1,W846&lt;=1,X846&lt;=1,Y846&lt;=1,AB846&lt;=1),"YES","NO"))</f>
        <v/>
      </c>
      <c r="AM846" s="29" t="str">
        <f>IF(AJ846="","",IF(AND(AL846="NO",AJ846&gt;=0.75),"YES","NO"))</f>
        <v/>
      </c>
      <c r="AN846" s="29" t="str">
        <f>IF(AJ846="","",IF(AJ846&lt;0.4,"Critical",IF(AJ846&lt;0.6,"Poor",IF(AJ846&lt;0.75,"Needs Improvement",IF(AJ846&lt;0.9,"Good","Excellent")))))</f>
        <v/>
      </c>
    </row>
    <row r="847" spans="1:40" ht="15" customHeight="1" x14ac:dyDescent="0.25">
      <c r="A847" s="29" t="str">
        <f>IF($B847="","",TEXT($B847,"yyyymmdd")&amp;"-"&amp;SUBSTITUTE($F847," ","")&amp;"-"&amp;TEXT(COUNTIF($F$4:F847,$F847),"00"))</f>
        <v/>
      </c>
      <c r="C847" s="29" t="str">
        <f>IF($B847="","",WEEKNUM($B847,2))</f>
        <v/>
      </c>
      <c r="D847" s="29" t="str">
        <f>IF($B847="","",TEXT($B847,"yyyy-mm"))</f>
        <v/>
      </c>
      <c r="G847" s="29" t="str">
        <f>IF(OR($E847="",$F847=""),"",IFERROR(IF($E847=INDEX([1]Cluster_Master!$A$4:$A$18,MATCH($F847,[1]Cluster_Master!$B$4:$B$18,0)),"OK","CHECK"),"CHECK"))</f>
        <v/>
      </c>
      <c r="H847" s="29" t="str">
        <f>IFERROR(INDEX([1]Cluster_Master!$C$4:$C$18,MATCH($F847,[1]Cluster_Master!$B$4:$B$18,0)),"")</f>
        <v/>
      </c>
      <c r="I847" s="29" t="str">
        <f>IFERROR(INDEX([1]Cluster_Master!$D$4:$D$18,MATCH($F847,[1]Cluster_Master!$B$4:$B$18,0)),"")</f>
        <v/>
      </c>
      <c r="J847" s="29" t="str">
        <f>IFERROR(INDEX([1]Cluster_Master!$E$4:$E$18,MATCH($F847,[1]Cluster_Master!$B$4:$B$18,0)),"")</f>
        <v/>
      </c>
      <c r="K847" s="29" t="str">
        <f>IFERROR(INDEX([1]Cluster_Master!$F$4:$F$18,MATCH($F847,[1]Cluster_Master!$B$4:$B$18,0)),"")</f>
        <v/>
      </c>
      <c r="L847" s="29" t="str">
        <f>IFERROR(INDEX([1]Cluster_Master!$G$4:$G$18,MATCH($F847,[1]Cluster_Master!$B$4:$B$18,0)),"")</f>
        <v/>
      </c>
      <c r="M847" s="29" t="str">
        <f>IFERROR(INDEX([1]Cluster_Master!$H$4:$H$18,MATCH($F847,[1]Cluster_Master!$B$4:$B$18,0)),"")</f>
        <v/>
      </c>
      <c r="AI847" s="29" t="str">
        <f>IF(COUNTA(T847:AH847)=0,"",SUM(T847:AH847))</f>
        <v/>
      </c>
      <c r="AJ847" s="29" t="str">
        <f>IF(COUNTA(T847:AH847)=0,"",AI847/75)</f>
        <v/>
      </c>
      <c r="AK847" s="29" t="str">
        <f>IF(COUNTA(T847:AH847)=0,"",(SUM(T847*[1]KPI_Weights!$B$4,U847*[1]KPI_Weights!$B$5,V847*[1]KPI_Weights!$B$6,W847*[1]KPI_Weights!$B$7,X847*[1]KPI_Weights!$B$8,Y847*[1]KPI_Weights!$B$9,Z847*[1]KPI_Weights!$B$10,AA847*[1]KPI_Weights!$B$11,AB847*[1]KPI_Weights!$B$12,AC847*[1]KPI_Weights!$B$13,AD847*[1]KPI_Weights!$B$14,AE847*[1]KPI_Weights!$B$15,AF847*[1]KPI_Weights!$B$16,AG847*[1]KPI_Weights!$B$17,AH847*[1]KPI_Weights!$B$18))/5)</f>
        <v/>
      </c>
      <c r="AL847" s="29" t="str">
        <f>IF(COUNTA(T847:AH847)=0,"",IF(OR(T847&lt;=1,W847&lt;=1,X847&lt;=1,Y847&lt;=1,AB847&lt;=1),"YES","NO"))</f>
        <v/>
      </c>
      <c r="AM847" s="29" t="str">
        <f>IF(AJ847="","",IF(AND(AL847="NO",AJ847&gt;=0.75),"YES","NO"))</f>
        <v/>
      </c>
      <c r="AN847" s="29" t="str">
        <f>IF(AJ847="","",IF(AJ847&lt;0.4,"Critical",IF(AJ847&lt;0.6,"Poor",IF(AJ847&lt;0.75,"Needs Improvement",IF(AJ847&lt;0.9,"Good","Excellent")))))</f>
        <v/>
      </c>
    </row>
    <row r="848" spans="1:40" ht="15" customHeight="1" x14ac:dyDescent="0.25">
      <c r="A848" s="29" t="str">
        <f>IF($B848="","",TEXT($B848,"yyyymmdd")&amp;"-"&amp;SUBSTITUTE($F848," ","")&amp;"-"&amp;TEXT(COUNTIF($F$4:F848,$F848),"00"))</f>
        <v/>
      </c>
      <c r="C848" s="29" t="str">
        <f>IF($B848="","",WEEKNUM($B848,2))</f>
        <v/>
      </c>
      <c r="D848" s="29" t="str">
        <f>IF($B848="","",TEXT($B848,"yyyy-mm"))</f>
        <v/>
      </c>
      <c r="G848" s="29" t="str">
        <f>IF(OR($E848="",$F848=""),"",IFERROR(IF($E848=INDEX([1]Cluster_Master!$A$4:$A$18,MATCH($F848,[1]Cluster_Master!$B$4:$B$18,0)),"OK","CHECK"),"CHECK"))</f>
        <v/>
      </c>
      <c r="H848" s="29" t="str">
        <f>IFERROR(INDEX([1]Cluster_Master!$C$4:$C$18,MATCH($F848,[1]Cluster_Master!$B$4:$B$18,0)),"")</f>
        <v/>
      </c>
      <c r="I848" s="29" t="str">
        <f>IFERROR(INDEX([1]Cluster_Master!$D$4:$D$18,MATCH($F848,[1]Cluster_Master!$B$4:$B$18,0)),"")</f>
        <v/>
      </c>
      <c r="J848" s="29" t="str">
        <f>IFERROR(INDEX([1]Cluster_Master!$E$4:$E$18,MATCH($F848,[1]Cluster_Master!$B$4:$B$18,0)),"")</f>
        <v/>
      </c>
      <c r="K848" s="29" t="str">
        <f>IFERROR(INDEX([1]Cluster_Master!$F$4:$F$18,MATCH($F848,[1]Cluster_Master!$B$4:$B$18,0)),"")</f>
        <v/>
      </c>
      <c r="L848" s="29" t="str">
        <f>IFERROR(INDEX([1]Cluster_Master!$G$4:$G$18,MATCH($F848,[1]Cluster_Master!$B$4:$B$18,0)),"")</f>
        <v/>
      </c>
      <c r="M848" s="29" t="str">
        <f>IFERROR(INDEX([1]Cluster_Master!$H$4:$H$18,MATCH($F848,[1]Cluster_Master!$B$4:$B$18,0)),"")</f>
        <v/>
      </c>
      <c r="AI848" s="29" t="str">
        <f>IF(COUNTA(T848:AH848)=0,"",SUM(T848:AH848))</f>
        <v/>
      </c>
      <c r="AJ848" s="29" t="str">
        <f>IF(COUNTA(T848:AH848)=0,"",AI848/75)</f>
        <v/>
      </c>
      <c r="AK848" s="29" t="str">
        <f>IF(COUNTA(T848:AH848)=0,"",(SUM(T848*[1]KPI_Weights!$B$4,U848*[1]KPI_Weights!$B$5,V848*[1]KPI_Weights!$B$6,W848*[1]KPI_Weights!$B$7,X848*[1]KPI_Weights!$B$8,Y848*[1]KPI_Weights!$B$9,Z848*[1]KPI_Weights!$B$10,AA848*[1]KPI_Weights!$B$11,AB848*[1]KPI_Weights!$B$12,AC848*[1]KPI_Weights!$B$13,AD848*[1]KPI_Weights!$B$14,AE848*[1]KPI_Weights!$B$15,AF848*[1]KPI_Weights!$B$16,AG848*[1]KPI_Weights!$B$17,AH848*[1]KPI_Weights!$B$18))/5)</f>
        <v/>
      </c>
      <c r="AL848" s="29" t="str">
        <f>IF(COUNTA(T848:AH848)=0,"",IF(OR(T848&lt;=1,W848&lt;=1,X848&lt;=1,Y848&lt;=1,AB848&lt;=1),"YES","NO"))</f>
        <v/>
      </c>
      <c r="AM848" s="29" t="str">
        <f>IF(AJ848="","",IF(AND(AL848="NO",AJ848&gt;=0.75),"YES","NO"))</f>
        <v/>
      </c>
      <c r="AN848" s="29" t="str">
        <f>IF(AJ848="","",IF(AJ848&lt;0.4,"Critical",IF(AJ848&lt;0.6,"Poor",IF(AJ848&lt;0.75,"Needs Improvement",IF(AJ848&lt;0.9,"Good","Excellent")))))</f>
        <v/>
      </c>
    </row>
    <row r="849" spans="1:40" ht="15" customHeight="1" x14ac:dyDescent="0.25">
      <c r="A849" s="29" t="str">
        <f>IF($B849="","",TEXT($B849,"yyyymmdd")&amp;"-"&amp;SUBSTITUTE($F849," ","")&amp;"-"&amp;TEXT(COUNTIF($F$4:F849,$F849),"00"))</f>
        <v/>
      </c>
      <c r="C849" s="29" t="str">
        <f>IF($B849="","",WEEKNUM($B849,2))</f>
        <v/>
      </c>
      <c r="D849" s="29" t="str">
        <f>IF($B849="","",TEXT($B849,"yyyy-mm"))</f>
        <v/>
      </c>
      <c r="G849" s="29" t="str">
        <f>IF(OR($E849="",$F849=""),"",IFERROR(IF($E849=INDEX([1]Cluster_Master!$A$4:$A$18,MATCH($F849,[1]Cluster_Master!$B$4:$B$18,0)),"OK","CHECK"),"CHECK"))</f>
        <v/>
      </c>
      <c r="H849" s="29" t="str">
        <f>IFERROR(INDEX([1]Cluster_Master!$C$4:$C$18,MATCH($F849,[1]Cluster_Master!$B$4:$B$18,0)),"")</f>
        <v/>
      </c>
      <c r="I849" s="29" t="str">
        <f>IFERROR(INDEX([1]Cluster_Master!$D$4:$D$18,MATCH($F849,[1]Cluster_Master!$B$4:$B$18,0)),"")</f>
        <v/>
      </c>
      <c r="J849" s="29" t="str">
        <f>IFERROR(INDEX([1]Cluster_Master!$E$4:$E$18,MATCH($F849,[1]Cluster_Master!$B$4:$B$18,0)),"")</f>
        <v/>
      </c>
      <c r="K849" s="29" t="str">
        <f>IFERROR(INDEX([1]Cluster_Master!$F$4:$F$18,MATCH($F849,[1]Cluster_Master!$B$4:$B$18,0)),"")</f>
        <v/>
      </c>
      <c r="L849" s="29" t="str">
        <f>IFERROR(INDEX([1]Cluster_Master!$G$4:$G$18,MATCH($F849,[1]Cluster_Master!$B$4:$B$18,0)),"")</f>
        <v/>
      </c>
      <c r="M849" s="29" t="str">
        <f>IFERROR(INDEX([1]Cluster_Master!$H$4:$H$18,MATCH($F849,[1]Cluster_Master!$B$4:$B$18,0)),"")</f>
        <v/>
      </c>
      <c r="AI849" s="29" t="str">
        <f>IF(COUNTA(T849:AH849)=0,"",SUM(T849:AH849))</f>
        <v/>
      </c>
      <c r="AJ849" s="29" t="str">
        <f>IF(COUNTA(T849:AH849)=0,"",AI849/75)</f>
        <v/>
      </c>
      <c r="AK849" s="29" t="str">
        <f>IF(COUNTA(T849:AH849)=0,"",(SUM(T849*[1]KPI_Weights!$B$4,U849*[1]KPI_Weights!$B$5,V849*[1]KPI_Weights!$B$6,W849*[1]KPI_Weights!$B$7,X849*[1]KPI_Weights!$B$8,Y849*[1]KPI_Weights!$B$9,Z849*[1]KPI_Weights!$B$10,AA849*[1]KPI_Weights!$B$11,AB849*[1]KPI_Weights!$B$12,AC849*[1]KPI_Weights!$B$13,AD849*[1]KPI_Weights!$B$14,AE849*[1]KPI_Weights!$B$15,AF849*[1]KPI_Weights!$B$16,AG849*[1]KPI_Weights!$B$17,AH849*[1]KPI_Weights!$B$18))/5)</f>
        <v/>
      </c>
      <c r="AL849" s="29" t="str">
        <f>IF(COUNTA(T849:AH849)=0,"",IF(OR(T849&lt;=1,W849&lt;=1,X849&lt;=1,Y849&lt;=1,AB849&lt;=1),"YES","NO"))</f>
        <v/>
      </c>
      <c r="AM849" s="29" t="str">
        <f>IF(AJ849="","",IF(AND(AL849="NO",AJ849&gt;=0.75),"YES","NO"))</f>
        <v/>
      </c>
      <c r="AN849" s="29" t="str">
        <f>IF(AJ849="","",IF(AJ849&lt;0.4,"Critical",IF(AJ849&lt;0.6,"Poor",IF(AJ849&lt;0.75,"Needs Improvement",IF(AJ849&lt;0.9,"Good","Excellent")))))</f>
        <v/>
      </c>
    </row>
    <row r="850" spans="1:40" ht="15" customHeight="1" x14ac:dyDescent="0.25">
      <c r="A850" s="29" t="str">
        <f>IF($B850="","",TEXT($B850,"yyyymmdd")&amp;"-"&amp;SUBSTITUTE($F850," ","")&amp;"-"&amp;TEXT(COUNTIF($F$4:F850,$F850),"00"))</f>
        <v/>
      </c>
      <c r="C850" s="29" t="str">
        <f>IF($B850="","",WEEKNUM($B850,2))</f>
        <v/>
      </c>
      <c r="D850" s="29" t="str">
        <f>IF($B850="","",TEXT($B850,"yyyy-mm"))</f>
        <v/>
      </c>
      <c r="G850" s="29" t="str">
        <f>IF(OR($E850="",$F850=""),"",IFERROR(IF($E850=INDEX([1]Cluster_Master!$A$4:$A$18,MATCH($F850,[1]Cluster_Master!$B$4:$B$18,0)),"OK","CHECK"),"CHECK"))</f>
        <v/>
      </c>
      <c r="H850" s="29" t="str">
        <f>IFERROR(INDEX([1]Cluster_Master!$C$4:$C$18,MATCH($F850,[1]Cluster_Master!$B$4:$B$18,0)),"")</f>
        <v/>
      </c>
      <c r="I850" s="29" t="str">
        <f>IFERROR(INDEX([1]Cluster_Master!$D$4:$D$18,MATCH($F850,[1]Cluster_Master!$B$4:$B$18,0)),"")</f>
        <v/>
      </c>
      <c r="J850" s="29" t="str">
        <f>IFERROR(INDEX([1]Cluster_Master!$E$4:$E$18,MATCH($F850,[1]Cluster_Master!$B$4:$B$18,0)),"")</f>
        <v/>
      </c>
      <c r="K850" s="29" t="str">
        <f>IFERROR(INDEX([1]Cluster_Master!$F$4:$F$18,MATCH($F850,[1]Cluster_Master!$B$4:$B$18,0)),"")</f>
        <v/>
      </c>
      <c r="L850" s="29" t="str">
        <f>IFERROR(INDEX([1]Cluster_Master!$G$4:$G$18,MATCH($F850,[1]Cluster_Master!$B$4:$B$18,0)),"")</f>
        <v/>
      </c>
      <c r="M850" s="29" t="str">
        <f>IFERROR(INDEX([1]Cluster_Master!$H$4:$H$18,MATCH($F850,[1]Cluster_Master!$B$4:$B$18,0)),"")</f>
        <v/>
      </c>
      <c r="AI850" s="29" t="str">
        <f>IF(COUNTA(T850:AH850)=0,"",SUM(T850:AH850))</f>
        <v/>
      </c>
      <c r="AJ850" s="29" t="str">
        <f>IF(COUNTA(T850:AH850)=0,"",AI850/75)</f>
        <v/>
      </c>
      <c r="AK850" s="29" t="str">
        <f>IF(COUNTA(T850:AH850)=0,"",(SUM(T850*[1]KPI_Weights!$B$4,U850*[1]KPI_Weights!$B$5,V850*[1]KPI_Weights!$B$6,W850*[1]KPI_Weights!$B$7,X850*[1]KPI_Weights!$B$8,Y850*[1]KPI_Weights!$B$9,Z850*[1]KPI_Weights!$B$10,AA850*[1]KPI_Weights!$B$11,AB850*[1]KPI_Weights!$B$12,AC850*[1]KPI_Weights!$B$13,AD850*[1]KPI_Weights!$B$14,AE850*[1]KPI_Weights!$B$15,AF850*[1]KPI_Weights!$B$16,AG850*[1]KPI_Weights!$B$17,AH850*[1]KPI_Weights!$B$18))/5)</f>
        <v/>
      </c>
      <c r="AL850" s="29" t="str">
        <f>IF(COUNTA(T850:AH850)=0,"",IF(OR(T850&lt;=1,W850&lt;=1,X850&lt;=1,Y850&lt;=1,AB850&lt;=1),"YES","NO"))</f>
        <v/>
      </c>
      <c r="AM850" s="29" t="str">
        <f>IF(AJ850="","",IF(AND(AL850="NO",AJ850&gt;=0.75),"YES","NO"))</f>
        <v/>
      </c>
      <c r="AN850" s="29" t="str">
        <f>IF(AJ850="","",IF(AJ850&lt;0.4,"Critical",IF(AJ850&lt;0.6,"Poor",IF(AJ850&lt;0.75,"Needs Improvement",IF(AJ850&lt;0.9,"Good","Excellent")))))</f>
        <v/>
      </c>
    </row>
    <row r="851" spans="1:40" ht="15" customHeight="1" x14ac:dyDescent="0.25">
      <c r="A851" s="29" t="str">
        <f>IF($B851="","",TEXT($B851,"yyyymmdd")&amp;"-"&amp;SUBSTITUTE($F851," ","")&amp;"-"&amp;TEXT(COUNTIF($F$4:F851,$F851),"00"))</f>
        <v/>
      </c>
      <c r="C851" s="29" t="str">
        <f>IF($B851="","",WEEKNUM($B851,2))</f>
        <v/>
      </c>
      <c r="D851" s="29" t="str">
        <f>IF($B851="","",TEXT($B851,"yyyy-mm"))</f>
        <v/>
      </c>
      <c r="G851" s="29" t="str">
        <f>IF(OR($E851="",$F851=""),"",IFERROR(IF($E851=INDEX([1]Cluster_Master!$A$4:$A$18,MATCH($F851,[1]Cluster_Master!$B$4:$B$18,0)),"OK","CHECK"),"CHECK"))</f>
        <v/>
      </c>
      <c r="H851" s="29" t="str">
        <f>IFERROR(INDEX([1]Cluster_Master!$C$4:$C$18,MATCH($F851,[1]Cluster_Master!$B$4:$B$18,0)),"")</f>
        <v/>
      </c>
      <c r="I851" s="29" t="str">
        <f>IFERROR(INDEX([1]Cluster_Master!$D$4:$D$18,MATCH($F851,[1]Cluster_Master!$B$4:$B$18,0)),"")</f>
        <v/>
      </c>
      <c r="J851" s="29" t="str">
        <f>IFERROR(INDEX([1]Cluster_Master!$E$4:$E$18,MATCH($F851,[1]Cluster_Master!$B$4:$B$18,0)),"")</f>
        <v/>
      </c>
      <c r="K851" s="29" t="str">
        <f>IFERROR(INDEX([1]Cluster_Master!$F$4:$F$18,MATCH($F851,[1]Cluster_Master!$B$4:$B$18,0)),"")</f>
        <v/>
      </c>
      <c r="L851" s="29" t="str">
        <f>IFERROR(INDEX([1]Cluster_Master!$G$4:$G$18,MATCH($F851,[1]Cluster_Master!$B$4:$B$18,0)),"")</f>
        <v/>
      </c>
      <c r="M851" s="29" t="str">
        <f>IFERROR(INDEX([1]Cluster_Master!$H$4:$H$18,MATCH($F851,[1]Cluster_Master!$B$4:$B$18,0)),"")</f>
        <v/>
      </c>
      <c r="AI851" s="29" t="str">
        <f>IF(COUNTA(T851:AH851)=0,"",SUM(T851:AH851))</f>
        <v/>
      </c>
      <c r="AJ851" s="29" t="str">
        <f>IF(COUNTA(T851:AH851)=0,"",AI851/75)</f>
        <v/>
      </c>
      <c r="AK851" s="29" t="str">
        <f>IF(COUNTA(T851:AH851)=0,"",(SUM(T851*[1]KPI_Weights!$B$4,U851*[1]KPI_Weights!$B$5,V851*[1]KPI_Weights!$B$6,W851*[1]KPI_Weights!$B$7,X851*[1]KPI_Weights!$B$8,Y851*[1]KPI_Weights!$B$9,Z851*[1]KPI_Weights!$B$10,AA851*[1]KPI_Weights!$B$11,AB851*[1]KPI_Weights!$B$12,AC851*[1]KPI_Weights!$B$13,AD851*[1]KPI_Weights!$B$14,AE851*[1]KPI_Weights!$B$15,AF851*[1]KPI_Weights!$B$16,AG851*[1]KPI_Weights!$B$17,AH851*[1]KPI_Weights!$B$18))/5)</f>
        <v/>
      </c>
      <c r="AL851" s="29" t="str">
        <f>IF(COUNTA(T851:AH851)=0,"",IF(OR(T851&lt;=1,W851&lt;=1,X851&lt;=1,Y851&lt;=1,AB851&lt;=1),"YES","NO"))</f>
        <v/>
      </c>
      <c r="AM851" s="29" t="str">
        <f>IF(AJ851="","",IF(AND(AL851="NO",AJ851&gt;=0.75),"YES","NO"))</f>
        <v/>
      </c>
      <c r="AN851" s="29" t="str">
        <f>IF(AJ851="","",IF(AJ851&lt;0.4,"Critical",IF(AJ851&lt;0.6,"Poor",IF(AJ851&lt;0.75,"Needs Improvement",IF(AJ851&lt;0.9,"Good","Excellent")))))</f>
        <v/>
      </c>
    </row>
    <row r="852" spans="1:40" ht="15" customHeight="1" x14ac:dyDescent="0.25">
      <c r="A852" s="29" t="str">
        <f>IF($B852="","",TEXT($B852,"yyyymmdd")&amp;"-"&amp;SUBSTITUTE($F852," ","")&amp;"-"&amp;TEXT(COUNTIF($F$4:F852,$F852),"00"))</f>
        <v/>
      </c>
      <c r="C852" s="29" t="str">
        <f>IF($B852="","",WEEKNUM($B852,2))</f>
        <v/>
      </c>
      <c r="D852" s="29" t="str">
        <f>IF($B852="","",TEXT($B852,"yyyy-mm"))</f>
        <v/>
      </c>
      <c r="G852" s="29" t="str">
        <f>IF(OR($E852="",$F852=""),"",IFERROR(IF($E852=INDEX([1]Cluster_Master!$A$4:$A$18,MATCH($F852,[1]Cluster_Master!$B$4:$B$18,0)),"OK","CHECK"),"CHECK"))</f>
        <v/>
      </c>
      <c r="H852" s="29" t="str">
        <f>IFERROR(INDEX([1]Cluster_Master!$C$4:$C$18,MATCH($F852,[1]Cluster_Master!$B$4:$B$18,0)),"")</f>
        <v/>
      </c>
      <c r="I852" s="29" t="str">
        <f>IFERROR(INDEX([1]Cluster_Master!$D$4:$D$18,MATCH($F852,[1]Cluster_Master!$B$4:$B$18,0)),"")</f>
        <v/>
      </c>
      <c r="J852" s="29" t="str">
        <f>IFERROR(INDEX([1]Cluster_Master!$E$4:$E$18,MATCH($F852,[1]Cluster_Master!$B$4:$B$18,0)),"")</f>
        <v/>
      </c>
      <c r="K852" s="29" t="str">
        <f>IFERROR(INDEX([1]Cluster_Master!$F$4:$F$18,MATCH($F852,[1]Cluster_Master!$B$4:$B$18,0)),"")</f>
        <v/>
      </c>
      <c r="L852" s="29" t="str">
        <f>IFERROR(INDEX([1]Cluster_Master!$G$4:$G$18,MATCH($F852,[1]Cluster_Master!$B$4:$B$18,0)),"")</f>
        <v/>
      </c>
      <c r="M852" s="29" t="str">
        <f>IFERROR(INDEX([1]Cluster_Master!$H$4:$H$18,MATCH($F852,[1]Cluster_Master!$B$4:$B$18,0)),"")</f>
        <v/>
      </c>
      <c r="AI852" s="29" t="str">
        <f>IF(COUNTA(T852:AH852)=0,"",SUM(T852:AH852))</f>
        <v/>
      </c>
      <c r="AJ852" s="29" t="str">
        <f>IF(COUNTA(T852:AH852)=0,"",AI852/75)</f>
        <v/>
      </c>
      <c r="AK852" s="29" t="str">
        <f>IF(COUNTA(T852:AH852)=0,"",(SUM(T852*[1]KPI_Weights!$B$4,U852*[1]KPI_Weights!$B$5,V852*[1]KPI_Weights!$B$6,W852*[1]KPI_Weights!$B$7,X852*[1]KPI_Weights!$B$8,Y852*[1]KPI_Weights!$B$9,Z852*[1]KPI_Weights!$B$10,AA852*[1]KPI_Weights!$B$11,AB852*[1]KPI_Weights!$B$12,AC852*[1]KPI_Weights!$B$13,AD852*[1]KPI_Weights!$B$14,AE852*[1]KPI_Weights!$B$15,AF852*[1]KPI_Weights!$B$16,AG852*[1]KPI_Weights!$B$17,AH852*[1]KPI_Weights!$B$18))/5)</f>
        <v/>
      </c>
      <c r="AL852" s="29" t="str">
        <f>IF(COUNTA(T852:AH852)=0,"",IF(OR(T852&lt;=1,W852&lt;=1,X852&lt;=1,Y852&lt;=1,AB852&lt;=1),"YES","NO"))</f>
        <v/>
      </c>
      <c r="AM852" s="29" t="str">
        <f>IF(AJ852="","",IF(AND(AL852="NO",AJ852&gt;=0.75),"YES","NO"))</f>
        <v/>
      </c>
      <c r="AN852" s="29" t="str">
        <f>IF(AJ852="","",IF(AJ852&lt;0.4,"Critical",IF(AJ852&lt;0.6,"Poor",IF(AJ852&lt;0.75,"Needs Improvement",IF(AJ852&lt;0.9,"Good","Excellent")))))</f>
        <v/>
      </c>
    </row>
    <row r="853" spans="1:40" ht="15" customHeight="1" x14ac:dyDescent="0.25">
      <c r="A853" s="29" t="str">
        <f>IF($B853="","",TEXT($B853,"yyyymmdd")&amp;"-"&amp;SUBSTITUTE($F853," ","")&amp;"-"&amp;TEXT(COUNTIF($F$4:F853,$F853),"00"))</f>
        <v/>
      </c>
      <c r="C853" s="29" t="str">
        <f>IF($B853="","",WEEKNUM($B853,2))</f>
        <v/>
      </c>
      <c r="D853" s="29" t="str">
        <f>IF($B853="","",TEXT($B853,"yyyy-mm"))</f>
        <v/>
      </c>
      <c r="G853" s="29" t="str">
        <f>IF(OR($E853="",$F853=""),"",IFERROR(IF($E853=INDEX([1]Cluster_Master!$A$4:$A$18,MATCH($F853,[1]Cluster_Master!$B$4:$B$18,0)),"OK","CHECK"),"CHECK"))</f>
        <v/>
      </c>
      <c r="H853" s="29" t="str">
        <f>IFERROR(INDEX([1]Cluster_Master!$C$4:$C$18,MATCH($F853,[1]Cluster_Master!$B$4:$B$18,0)),"")</f>
        <v/>
      </c>
      <c r="I853" s="29" t="str">
        <f>IFERROR(INDEX([1]Cluster_Master!$D$4:$D$18,MATCH($F853,[1]Cluster_Master!$B$4:$B$18,0)),"")</f>
        <v/>
      </c>
      <c r="J853" s="29" t="str">
        <f>IFERROR(INDEX([1]Cluster_Master!$E$4:$E$18,MATCH($F853,[1]Cluster_Master!$B$4:$B$18,0)),"")</f>
        <v/>
      </c>
      <c r="K853" s="29" t="str">
        <f>IFERROR(INDEX([1]Cluster_Master!$F$4:$F$18,MATCH($F853,[1]Cluster_Master!$B$4:$B$18,0)),"")</f>
        <v/>
      </c>
      <c r="L853" s="29" t="str">
        <f>IFERROR(INDEX([1]Cluster_Master!$G$4:$G$18,MATCH($F853,[1]Cluster_Master!$B$4:$B$18,0)),"")</f>
        <v/>
      </c>
      <c r="M853" s="29" t="str">
        <f>IFERROR(INDEX([1]Cluster_Master!$H$4:$H$18,MATCH($F853,[1]Cluster_Master!$B$4:$B$18,0)),"")</f>
        <v/>
      </c>
      <c r="AI853" s="29" t="str">
        <f>IF(COUNTA(T853:AH853)=0,"",SUM(T853:AH853))</f>
        <v/>
      </c>
      <c r="AJ853" s="29" t="str">
        <f>IF(COUNTA(T853:AH853)=0,"",AI853/75)</f>
        <v/>
      </c>
      <c r="AK853" s="29" t="str">
        <f>IF(COUNTA(T853:AH853)=0,"",(SUM(T853*[1]KPI_Weights!$B$4,U853*[1]KPI_Weights!$B$5,V853*[1]KPI_Weights!$B$6,W853*[1]KPI_Weights!$B$7,X853*[1]KPI_Weights!$B$8,Y853*[1]KPI_Weights!$B$9,Z853*[1]KPI_Weights!$B$10,AA853*[1]KPI_Weights!$B$11,AB853*[1]KPI_Weights!$B$12,AC853*[1]KPI_Weights!$B$13,AD853*[1]KPI_Weights!$B$14,AE853*[1]KPI_Weights!$B$15,AF853*[1]KPI_Weights!$B$16,AG853*[1]KPI_Weights!$B$17,AH853*[1]KPI_Weights!$B$18))/5)</f>
        <v/>
      </c>
      <c r="AL853" s="29" t="str">
        <f>IF(COUNTA(T853:AH853)=0,"",IF(OR(T853&lt;=1,W853&lt;=1,X853&lt;=1,Y853&lt;=1,AB853&lt;=1),"YES","NO"))</f>
        <v/>
      </c>
      <c r="AM853" s="29" t="str">
        <f>IF(AJ853="","",IF(AND(AL853="NO",AJ853&gt;=0.75),"YES","NO"))</f>
        <v/>
      </c>
      <c r="AN853" s="29" t="str">
        <f>IF(AJ853="","",IF(AJ853&lt;0.4,"Critical",IF(AJ853&lt;0.6,"Poor",IF(AJ853&lt;0.75,"Needs Improvement",IF(AJ853&lt;0.9,"Good","Excellent")))))</f>
        <v/>
      </c>
    </row>
    <row r="854" spans="1:40" ht="15" customHeight="1" x14ac:dyDescent="0.25">
      <c r="A854" s="29" t="str">
        <f>IF($B854="","",TEXT($B854,"yyyymmdd")&amp;"-"&amp;SUBSTITUTE($F854," ","")&amp;"-"&amp;TEXT(COUNTIF($F$4:F854,$F854),"00"))</f>
        <v/>
      </c>
      <c r="C854" s="29" t="str">
        <f>IF($B854="","",WEEKNUM($B854,2))</f>
        <v/>
      </c>
      <c r="D854" s="29" t="str">
        <f>IF($B854="","",TEXT($B854,"yyyy-mm"))</f>
        <v/>
      </c>
      <c r="G854" s="29" t="str">
        <f>IF(OR($E854="",$F854=""),"",IFERROR(IF($E854=INDEX([1]Cluster_Master!$A$4:$A$18,MATCH($F854,[1]Cluster_Master!$B$4:$B$18,0)),"OK","CHECK"),"CHECK"))</f>
        <v/>
      </c>
      <c r="H854" s="29" t="str">
        <f>IFERROR(INDEX([1]Cluster_Master!$C$4:$C$18,MATCH($F854,[1]Cluster_Master!$B$4:$B$18,0)),"")</f>
        <v/>
      </c>
      <c r="I854" s="29" t="str">
        <f>IFERROR(INDEX([1]Cluster_Master!$D$4:$D$18,MATCH($F854,[1]Cluster_Master!$B$4:$B$18,0)),"")</f>
        <v/>
      </c>
      <c r="J854" s="29" t="str">
        <f>IFERROR(INDEX([1]Cluster_Master!$E$4:$E$18,MATCH($F854,[1]Cluster_Master!$B$4:$B$18,0)),"")</f>
        <v/>
      </c>
      <c r="K854" s="29" t="str">
        <f>IFERROR(INDEX([1]Cluster_Master!$F$4:$F$18,MATCH($F854,[1]Cluster_Master!$B$4:$B$18,0)),"")</f>
        <v/>
      </c>
      <c r="L854" s="29" t="str">
        <f>IFERROR(INDEX([1]Cluster_Master!$G$4:$G$18,MATCH($F854,[1]Cluster_Master!$B$4:$B$18,0)),"")</f>
        <v/>
      </c>
      <c r="M854" s="29" t="str">
        <f>IFERROR(INDEX([1]Cluster_Master!$H$4:$H$18,MATCH($F854,[1]Cluster_Master!$B$4:$B$18,0)),"")</f>
        <v/>
      </c>
      <c r="AI854" s="29" t="str">
        <f>IF(COUNTA(T854:AH854)=0,"",SUM(T854:AH854))</f>
        <v/>
      </c>
      <c r="AJ854" s="29" t="str">
        <f>IF(COUNTA(T854:AH854)=0,"",AI854/75)</f>
        <v/>
      </c>
      <c r="AK854" s="29" t="str">
        <f>IF(COUNTA(T854:AH854)=0,"",(SUM(T854*[1]KPI_Weights!$B$4,U854*[1]KPI_Weights!$B$5,V854*[1]KPI_Weights!$B$6,W854*[1]KPI_Weights!$B$7,X854*[1]KPI_Weights!$B$8,Y854*[1]KPI_Weights!$B$9,Z854*[1]KPI_Weights!$B$10,AA854*[1]KPI_Weights!$B$11,AB854*[1]KPI_Weights!$B$12,AC854*[1]KPI_Weights!$B$13,AD854*[1]KPI_Weights!$B$14,AE854*[1]KPI_Weights!$B$15,AF854*[1]KPI_Weights!$B$16,AG854*[1]KPI_Weights!$B$17,AH854*[1]KPI_Weights!$B$18))/5)</f>
        <v/>
      </c>
      <c r="AL854" s="29" t="str">
        <f>IF(COUNTA(T854:AH854)=0,"",IF(OR(T854&lt;=1,W854&lt;=1,X854&lt;=1,Y854&lt;=1,AB854&lt;=1),"YES","NO"))</f>
        <v/>
      </c>
      <c r="AM854" s="29" t="str">
        <f>IF(AJ854="","",IF(AND(AL854="NO",AJ854&gt;=0.75),"YES","NO"))</f>
        <v/>
      </c>
      <c r="AN854" s="29" t="str">
        <f>IF(AJ854="","",IF(AJ854&lt;0.4,"Critical",IF(AJ854&lt;0.6,"Poor",IF(AJ854&lt;0.75,"Needs Improvement",IF(AJ854&lt;0.9,"Good","Excellent")))))</f>
        <v/>
      </c>
    </row>
    <row r="855" spans="1:40" ht="15" customHeight="1" x14ac:dyDescent="0.25">
      <c r="A855" s="29" t="str">
        <f>IF($B855="","",TEXT($B855,"yyyymmdd")&amp;"-"&amp;SUBSTITUTE($F855," ","")&amp;"-"&amp;TEXT(COUNTIF($F$4:F855,$F855),"00"))</f>
        <v/>
      </c>
      <c r="C855" s="29" t="str">
        <f>IF($B855="","",WEEKNUM($B855,2))</f>
        <v/>
      </c>
      <c r="D855" s="29" t="str">
        <f>IF($B855="","",TEXT($B855,"yyyy-mm"))</f>
        <v/>
      </c>
      <c r="G855" s="29" t="str">
        <f>IF(OR($E855="",$F855=""),"",IFERROR(IF($E855=INDEX([1]Cluster_Master!$A$4:$A$18,MATCH($F855,[1]Cluster_Master!$B$4:$B$18,0)),"OK","CHECK"),"CHECK"))</f>
        <v/>
      </c>
      <c r="H855" s="29" t="str">
        <f>IFERROR(INDEX([1]Cluster_Master!$C$4:$C$18,MATCH($F855,[1]Cluster_Master!$B$4:$B$18,0)),"")</f>
        <v/>
      </c>
      <c r="I855" s="29" t="str">
        <f>IFERROR(INDEX([1]Cluster_Master!$D$4:$D$18,MATCH($F855,[1]Cluster_Master!$B$4:$B$18,0)),"")</f>
        <v/>
      </c>
      <c r="J855" s="29" t="str">
        <f>IFERROR(INDEX([1]Cluster_Master!$E$4:$E$18,MATCH($F855,[1]Cluster_Master!$B$4:$B$18,0)),"")</f>
        <v/>
      </c>
      <c r="K855" s="29" t="str">
        <f>IFERROR(INDEX([1]Cluster_Master!$F$4:$F$18,MATCH($F855,[1]Cluster_Master!$B$4:$B$18,0)),"")</f>
        <v/>
      </c>
      <c r="L855" s="29" t="str">
        <f>IFERROR(INDEX([1]Cluster_Master!$G$4:$G$18,MATCH($F855,[1]Cluster_Master!$B$4:$B$18,0)),"")</f>
        <v/>
      </c>
      <c r="M855" s="29" t="str">
        <f>IFERROR(INDEX([1]Cluster_Master!$H$4:$H$18,MATCH($F855,[1]Cluster_Master!$B$4:$B$18,0)),"")</f>
        <v/>
      </c>
      <c r="AI855" s="29" t="str">
        <f>IF(COUNTA(T855:AH855)=0,"",SUM(T855:AH855))</f>
        <v/>
      </c>
      <c r="AJ855" s="29" t="str">
        <f>IF(COUNTA(T855:AH855)=0,"",AI855/75)</f>
        <v/>
      </c>
      <c r="AK855" s="29" t="str">
        <f>IF(COUNTA(T855:AH855)=0,"",(SUM(T855*[1]KPI_Weights!$B$4,U855*[1]KPI_Weights!$B$5,V855*[1]KPI_Weights!$B$6,W855*[1]KPI_Weights!$B$7,X855*[1]KPI_Weights!$B$8,Y855*[1]KPI_Weights!$B$9,Z855*[1]KPI_Weights!$B$10,AA855*[1]KPI_Weights!$B$11,AB855*[1]KPI_Weights!$B$12,AC855*[1]KPI_Weights!$B$13,AD855*[1]KPI_Weights!$B$14,AE855*[1]KPI_Weights!$B$15,AF855*[1]KPI_Weights!$B$16,AG855*[1]KPI_Weights!$B$17,AH855*[1]KPI_Weights!$B$18))/5)</f>
        <v/>
      </c>
      <c r="AL855" s="29" t="str">
        <f>IF(COUNTA(T855:AH855)=0,"",IF(OR(T855&lt;=1,W855&lt;=1,X855&lt;=1,Y855&lt;=1,AB855&lt;=1),"YES","NO"))</f>
        <v/>
      </c>
      <c r="AM855" s="29" t="str">
        <f>IF(AJ855="","",IF(AND(AL855="NO",AJ855&gt;=0.75),"YES","NO"))</f>
        <v/>
      </c>
      <c r="AN855" s="29" t="str">
        <f>IF(AJ855="","",IF(AJ855&lt;0.4,"Critical",IF(AJ855&lt;0.6,"Poor",IF(AJ855&lt;0.75,"Needs Improvement",IF(AJ855&lt;0.9,"Good","Excellent")))))</f>
        <v/>
      </c>
    </row>
    <row r="856" spans="1:40" ht="15" customHeight="1" x14ac:dyDescent="0.25">
      <c r="A856" s="29" t="str">
        <f>IF($B856="","",TEXT($B856,"yyyymmdd")&amp;"-"&amp;SUBSTITUTE($F856," ","")&amp;"-"&amp;TEXT(COUNTIF($F$4:F856,$F856),"00"))</f>
        <v/>
      </c>
      <c r="C856" s="29" t="str">
        <f>IF($B856="","",WEEKNUM($B856,2))</f>
        <v/>
      </c>
      <c r="D856" s="29" t="str">
        <f>IF($B856="","",TEXT($B856,"yyyy-mm"))</f>
        <v/>
      </c>
      <c r="G856" s="29" t="str">
        <f>IF(OR($E856="",$F856=""),"",IFERROR(IF($E856=INDEX([1]Cluster_Master!$A$4:$A$18,MATCH($F856,[1]Cluster_Master!$B$4:$B$18,0)),"OK","CHECK"),"CHECK"))</f>
        <v/>
      </c>
      <c r="H856" s="29" t="str">
        <f>IFERROR(INDEX([1]Cluster_Master!$C$4:$C$18,MATCH($F856,[1]Cluster_Master!$B$4:$B$18,0)),"")</f>
        <v/>
      </c>
      <c r="I856" s="29" t="str">
        <f>IFERROR(INDEX([1]Cluster_Master!$D$4:$D$18,MATCH($F856,[1]Cluster_Master!$B$4:$B$18,0)),"")</f>
        <v/>
      </c>
      <c r="J856" s="29" t="str">
        <f>IFERROR(INDEX([1]Cluster_Master!$E$4:$E$18,MATCH($F856,[1]Cluster_Master!$B$4:$B$18,0)),"")</f>
        <v/>
      </c>
      <c r="K856" s="29" t="str">
        <f>IFERROR(INDEX([1]Cluster_Master!$F$4:$F$18,MATCH($F856,[1]Cluster_Master!$B$4:$B$18,0)),"")</f>
        <v/>
      </c>
      <c r="L856" s="29" t="str">
        <f>IFERROR(INDEX([1]Cluster_Master!$G$4:$G$18,MATCH($F856,[1]Cluster_Master!$B$4:$B$18,0)),"")</f>
        <v/>
      </c>
      <c r="M856" s="29" t="str">
        <f>IFERROR(INDEX([1]Cluster_Master!$H$4:$H$18,MATCH($F856,[1]Cluster_Master!$B$4:$B$18,0)),"")</f>
        <v/>
      </c>
      <c r="AI856" s="29" t="str">
        <f>IF(COUNTA(T856:AH856)=0,"",SUM(T856:AH856))</f>
        <v/>
      </c>
      <c r="AJ856" s="29" t="str">
        <f>IF(COUNTA(T856:AH856)=0,"",AI856/75)</f>
        <v/>
      </c>
      <c r="AK856" s="29" t="str">
        <f>IF(COUNTA(T856:AH856)=0,"",(SUM(T856*[1]KPI_Weights!$B$4,U856*[1]KPI_Weights!$B$5,V856*[1]KPI_Weights!$B$6,W856*[1]KPI_Weights!$B$7,X856*[1]KPI_Weights!$B$8,Y856*[1]KPI_Weights!$B$9,Z856*[1]KPI_Weights!$B$10,AA856*[1]KPI_Weights!$B$11,AB856*[1]KPI_Weights!$B$12,AC856*[1]KPI_Weights!$B$13,AD856*[1]KPI_Weights!$B$14,AE856*[1]KPI_Weights!$B$15,AF856*[1]KPI_Weights!$B$16,AG856*[1]KPI_Weights!$B$17,AH856*[1]KPI_Weights!$B$18))/5)</f>
        <v/>
      </c>
      <c r="AL856" s="29" t="str">
        <f>IF(COUNTA(T856:AH856)=0,"",IF(OR(T856&lt;=1,W856&lt;=1,X856&lt;=1,Y856&lt;=1,AB856&lt;=1),"YES","NO"))</f>
        <v/>
      </c>
      <c r="AM856" s="29" t="str">
        <f>IF(AJ856="","",IF(AND(AL856="NO",AJ856&gt;=0.75),"YES","NO"))</f>
        <v/>
      </c>
      <c r="AN856" s="29" t="str">
        <f>IF(AJ856="","",IF(AJ856&lt;0.4,"Critical",IF(AJ856&lt;0.6,"Poor",IF(AJ856&lt;0.75,"Needs Improvement",IF(AJ856&lt;0.9,"Good","Excellent")))))</f>
        <v/>
      </c>
    </row>
    <row r="857" spans="1:40" ht="15" customHeight="1" x14ac:dyDescent="0.25">
      <c r="A857" s="29" t="str">
        <f>IF($B857="","",TEXT($B857,"yyyymmdd")&amp;"-"&amp;SUBSTITUTE($F857," ","")&amp;"-"&amp;TEXT(COUNTIF($F$4:F857,$F857),"00"))</f>
        <v/>
      </c>
      <c r="C857" s="29" t="str">
        <f>IF($B857="","",WEEKNUM($B857,2))</f>
        <v/>
      </c>
      <c r="D857" s="29" t="str">
        <f>IF($B857="","",TEXT($B857,"yyyy-mm"))</f>
        <v/>
      </c>
      <c r="G857" s="29" t="str">
        <f>IF(OR($E857="",$F857=""),"",IFERROR(IF($E857=INDEX([1]Cluster_Master!$A$4:$A$18,MATCH($F857,[1]Cluster_Master!$B$4:$B$18,0)),"OK","CHECK"),"CHECK"))</f>
        <v/>
      </c>
      <c r="H857" s="29" t="str">
        <f>IFERROR(INDEX([1]Cluster_Master!$C$4:$C$18,MATCH($F857,[1]Cluster_Master!$B$4:$B$18,0)),"")</f>
        <v/>
      </c>
      <c r="I857" s="29" t="str">
        <f>IFERROR(INDEX([1]Cluster_Master!$D$4:$D$18,MATCH($F857,[1]Cluster_Master!$B$4:$B$18,0)),"")</f>
        <v/>
      </c>
      <c r="J857" s="29" t="str">
        <f>IFERROR(INDEX([1]Cluster_Master!$E$4:$E$18,MATCH($F857,[1]Cluster_Master!$B$4:$B$18,0)),"")</f>
        <v/>
      </c>
      <c r="K857" s="29" t="str">
        <f>IFERROR(INDEX([1]Cluster_Master!$F$4:$F$18,MATCH($F857,[1]Cluster_Master!$B$4:$B$18,0)),"")</f>
        <v/>
      </c>
      <c r="L857" s="29" t="str">
        <f>IFERROR(INDEX([1]Cluster_Master!$G$4:$G$18,MATCH($F857,[1]Cluster_Master!$B$4:$B$18,0)),"")</f>
        <v/>
      </c>
      <c r="M857" s="29" t="str">
        <f>IFERROR(INDEX([1]Cluster_Master!$H$4:$H$18,MATCH($F857,[1]Cluster_Master!$B$4:$B$18,0)),"")</f>
        <v/>
      </c>
      <c r="AI857" s="29" t="str">
        <f>IF(COUNTA(T857:AH857)=0,"",SUM(T857:AH857))</f>
        <v/>
      </c>
      <c r="AJ857" s="29" t="str">
        <f>IF(COUNTA(T857:AH857)=0,"",AI857/75)</f>
        <v/>
      </c>
      <c r="AK857" s="29" t="str">
        <f>IF(COUNTA(T857:AH857)=0,"",(SUM(T857*[1]KPI_Weights!$B$4,U857*[1]KPI_Weights!$B$5,V857*[1]KPI_Weights!$B$6,W857*[1]KPI_Weights!$B$7,X857*[1]KPI_Weights!$B$8,Y857*[1]KPI_Weights!$B$9,Z857*[1]KPI_Weights!$B$10,AA857*[1]KPI_Weights!$B$11,AB857*[1]KPI_Weights!$B$12,AC857*[1]KPI_Weights!$B$13,AD857*[1]KPI_Weights!$B$14,AE857*[1]KPI_Weights!$B$15,AF857*[1]KPI_Weights!$B$16,AG857*[1]KPI_Weights!$B$17,AH857*[1]KPI_Weights!$B$18))/5)</f>
        <v/>
      </c>
      <c r="AL857" s="29" t="str">
        <f>IF(COUNTA(T857:AH857)=0,"",IF(OR(T857&lt;=1,W857&lt;=1,X857&lt;=1,Y857&lt;=1,AB857&lt;=1),"YES","NO"))</f>
        <v/>
      </c>
      <c r="AM857" s="29" t="str">
        <f>IF(AJ857="","",IF(AND(AL857="NO",AJ857&gt;=0.75),"YES","NO"))</f>
        <v/>
      </c>
      <c r="AN857" s="29" t="str">
        <f>IF(AJ857="","",IF(AJ857&lt;0.4,"Critical",IF(AJ857&lt;0.6,"Poor",IF(AJ857&lt;0.75,"Needs Improvement",IF(AJ857&lt;0.9,"Good","Excellent")))))</f>
        <v/>
      </c>
    </row>
    <row r="858" spans="1:40" ht="15" customHeight="1" x14ac:dyDescent="0.25">
      <c r="A858" s="29" t="str">
        <f>IF($B858="","",TEXT($B858,"yyyymmdd")&amp;"-"&amp;SUBSTITUTE($F858," ","")&amp;"-"&amp;TEXT(COUNTIF($F$4:F858,$F858),"00"))</f>
        <v/>
      </c>
      <c r="C858" s="29" t="str">
        <f>IF($B858="","",WEEKNUM($B858,2))</f>
        <v/>
      </c>
      <c r="D858" s="29" t="str">
        <f>IF($B858="","",TEXT($B858,"yyyy-mm"))</f>
        <v/>
      </c>
      <c r="G858" s="29" t="str">
        <f>IF(OR($E858="",$F858=""),"",IFERROR(IF($E858=INDEX([1]Cluster_Master!$A$4:$A$18,MATCH($F858,[1]Cluster_Master!$B$4:$B$18,0)),"OK","CHECK"),"CHECK"))</f>
        <v/>
      </c>
      <c r="H858" s="29" t="str">
        <f>IFERROR(INDEX([1]Cluster_Master!$C$4:$C$18,MATCH($F858,[1]Cluster_Master!$B$4:$B$18,0)),"")</f>
        <v/>
      </c>
      <c r="I858" s="29" t="str">
        <f>IFERROR(INDEX([1]Cluster_Master!$D$4:$D$18,MATCH($F858,[1]Cluster_Master!$B$4:$B$18,0)),"")</f>
        <v/>
      </c>
      <c r="J858" s="29" t="str">
        <f>IFERROR(INDEX([1]Cluster_Master!$E$4:$E$18,MATCH($F858,[1]Cluster_Master!$B$4:$B$18,0)),"")</f>
        <v/>
      </c>
      <c r="K858" s="29" t="str">
        <f>IFERROR(INDEX([1]Cluster_Master!$F$4:$F$18,MATCH($F858,[1]Cluster_Master!$B$4:$B$18,0)),"")</f>
        <v/>
      </c>
      <c r="L858" s="29" t="str">
        <f>IFERROR(INDEX([1]Cluster_Master!$G$4:$G$18,MATCH($F858,[1]Cluster_Master!$B$4:$B$18,0)),"")</f>
        <v/>
      </c>
      <c r="M858" s="29" t="str">
        <f>IFERROR(INDEX([1]Cluster_Master!$H$4:$H$18,MATCH($F858,[1]Cluster_Master!$B$4:$B$18,0)),"")</f>
        <v/>
      </c>
      <c r="AI858" s="29" t="str">
        <f>IF(COUNTA(T858:AH858)=0,"",SUM(T858:AH858))</f>
        <v/>
      </c>
      <c r="AJ858" s="29" t="str">
        <f>IF(COUNTA(T858:AH858)=0,"",AI858/75)</f>
        <v/>
      </c>
      <c r="AK858" s="29" t="str">
        <f>IF(COUNTA(T858:AH858)=0,"",(SUM(T858*[1]KPI_Weights!$B$4,U858*[1]KPI_Weights!$B$5,V858*[1]KPI_Weights!$B$6,W858*[1]KPI_Weights!$B$7,X858*[1]KPI_Weights!$B$8,Y858*[1]KPI_Weights!$B$9,Z858*[1]KPI_Weights!$B$10,AA858*[1]KPI_Weights!$B$11,AB858*[1]KPI_Weights!$B$12,AC858*[1]KPI_Weights!$B$13,AD858*[1]KPI_Weights!$B$14,AE858*[1]KPI_Weights!$B$15,AF858*[1]KPI_Weights!$B$16,AG858*[1]KPI_Weights!$B$17,AH858*[1]KPI_Weights!$B$18))/5)</f>
        <v/>
      </c>
      <c r="AL858" s="29" t="str">
        <f>IF(COUNTA(T858:AH858)=0,"",IF(OR(T858&lt;=1,W858&lt;=1,X858&lt;=1,Y858&lt;=1,AB858&lt;=1),"YES","NO"))</f>
        <v/>
      </c>
      <c r="AM858" s="29" t="str">
        <f>IF(AJ858="","",IF(AND(AL858="NO",AJ858&gt;=0.75),"YES","NO"))</f>
        <v/>
      </c>
      <c r="AN858" s="29" t="str">
        <f>IF(AJ858="","",IF(AJ858&lt;0.4,"Critical",IF(AJ858&lt;0.6,"Poor",IF(AJ858&lt;0.75,"Needs Improvement",IF(AJ858&lt;0.9,"Good","Excellent")))))</f>
        <v/>
      </c>
    </row>
    <row r="859" spans="1:40" ht="15" customHeight="1" x14ac:dyDescent="0.25">
      <c r="A859" s="29" t="str">
        <f>IF($B859="","",TEXT($B859,"yyyymmdd")&amp;"-"&amp;SUBSTITUTE($F859," ","")&amp;"-"&amp;TEXT(COUNTIF($F$4:F859,$F859),"00"))</f>
        <v/>
      </c>
      <c r="C859" s="29" t="str">
        <f>IF($B859="","",WEEKNUM($B859,2))</f>
        <v/>
      </c>
      <c r="D859" s="29" t="str">
        <f>IF($B859="","",TEXT($B859,"yyyy-mm"))</f>
        <v/>
      </c>
      <c r="G859" s="29" t="str">
        <f>IF(OR($E859="",$F859=""),"",IFERROR(IF($E859=INDEX([1]Cluster_Master!$A$4:$A$18,MATCH($F859,[1]Cluster_Master!$B$4:$B$18,0)),"OK","CHECK"),"CHECK"))</f>
        <v/>
      </c>
      <c r="H859" s="29" t="str">
        <f>IFERROR(INDEX([1]Cluster_Master!$C$4:$C$18,MATCH($F859,[1]Cluster_Master!$B$4:$B$18,0)),"")</f>
        <v/>
      </c>
      <c r="I859" s="29" t="str">
        <f>IFERROR(INDEX([1]Cluster_Master!$D$4:$D$18,MATCH($F859,[1]Cluster_Master!$B$4:$B$18,0)),"")</f>
        <v/>
      </c>
      <c r="J859" s="29" t="str">
        <f>IFERROR(INDEX([1]Cluster_Master!$E$4:$E$18,MATCH($F859,[1]Cluster_Master!$B$4:$B$18,0)),"")</f>
        <v/>
      </c>
      <c r="K859" s="29" t="str">
        <f>IFERROR(INDEX([1]Cluster_Master!$F$4:$F$18,MATCH($F859,[1]Cluster_Master!$B$4:$B$18,0)),"")</f>
        <v/>
      </c>
      <c r="L859" s="29" t="str">
        <f>IFERROR(INDEX([1]Cluster_Master!$G$4:$G$18,MATCH($F859,[1]Cluster_Master!$B$4:$B$18,0)),"")</f>
        <v/>
      </c>
      <c r="M859" s="29" t="str">
        <f>IFERROR(INDEX([1]Cluster_Master!$H$4:$H$18,MATCH($F859,[1]Cluster_Master!$B$4:$B$18,0)),"")</f>
        <v/>
      </c>
      <c r="AI859" s="29" t="str">
        <f>IF(COUNTA(T859:AH859)=0,"",SUM(T859:AH859))</f>
        <v/>
      </c>
      <c r="AJ859" s="29" t="str">
        <f>IF(COUNTA(T859:AH859)=0,"",AI859/75)</f>
        <v/>
      </c>
      <c r="AK859" s="29" t="str">
        <f>IF(COUNTA(T859:AH859)=0,"",(SUM(T859*[1]KPI_Weights!$B$4,U859*[1]KPI_Weights!$B$5,V859*[1]KPI_Weights!$B$6,W859*[1]KPI_Weights!$B$7,X859*[1]KPI_Weights!$B$8,Y859*[1]KPI_Weights!$B$9,Z859*[1]KPI_Weights!$B$10,AA859*[1]KPI_Weights!$B$11,AB859*[1]KPI_Weights!$B$12,AC859*[1]KPI_Weights!$B$13,AD859*[1]KPI_Weights!$B$14,AE859*[1]KPI_Weights!$B$15,AF859*[1]KPI_Weights!$B$16,AG859*[1]KPI_Weights!$B$17,AH859*[1]KPI_Weights!$B$18))/5)</f>
        <v/>
      </c>
      <c r="AL859" s="29" t="str">
        <f>IF(COUNTA(T859:AH859)=0,"",IF(OR(T859&lt;=1,W859&lt;=1,X859&lt;=1,Y859&lt;=1,AB859&lt;=1),"YES","NO"))</f>
        <v/>
      </c>
      <c r="AM859" s="29" t="str">
        <f>IF(AJ859="","",IF(AND(AL859="NO",AJ859&gt;=0.75),"YES","NO"))</f>
        <v/>
      </c>
      <c r="AN859" s="29" t="str">
        <f>IF(AJ859="","",IF(AJ859&lt;0.4,"Critical",IF(AJ859&lt;0.6,"Poor",IF(AJ859&lt;0.75,"Needs Improvement",IF(AJ859&lt;0.9,"Good","Excellent")))))</f>
        <v/>
      </c>
    </row>
    <row r="860" spans="1:40" ht="15" customHeight="1" x14ac:dyDescent="0.25">
      <c r="A860" s="29" t="str">
        <f>IF($B860="","",TEXT($B860,"yyyymmdd")&amp;"-"&amp;SUBSTITUTE($F860," ","")&amp;"-"&amp;TEXT(COUNTIF($F$4:F860,$F860),"00"))</f>
        <v/>
      </c>
      <c r="C860" s="29" t="str">
        <f>IF($B860="","",WEEKNUM($B860,2))</f>
        <v/>
      </c>
      <c r="D860" s="29" t="str">
        <f>IF($B860="","",TEXT($B860,"yyyy-mm"))</f>
        <v/>
      </c>
      <c r="G860" s="29" t="str">
        <f>IF(OR($E860="",$F860=""),"",IFERROR(IF($E860=INDEX([1]Cluster_Master!$A$4:$A$18,MATCH($F860,[1]Cluster_Master!$B$4:$B$18,0)),"OK","CHECK"),"CHECK"))</f>
        <v/>
      </c>
      <c r="H860" s="29" t="str">
        <f>IFERROR(INDEX([1]Cluster_Master!$C$4:$C$18,MATCH($F860,[1]Cluster_Master!$B$4:$B$18,0)),"")</f>
        <v/>
      </c>
      <c r="I860" s="29" t="str">
        <f>IFERROR(INDEX([1]Cluster_Master!$D$4:$D$18,MATCH($F860,[1]Cluster_Master!$B$4:$B$18,0)),"")</f>
        <v/>
      </c>
      <c r="J860" s="29" t="str">
        <f>IFERROR(INDEX([1]Cluster_Master!$E$4:$E$18,MATCH($F860,[1]Cluster_Master!$B$4:$B$18,0)),"")</f>
        <v/>
      </c>
      <c r="K860" s="29" t="str">
        <f>IFERROR(INDEX([1]Cluster_Master!$F$4:$F$18,MATCH($F860,[1]Cluster_Master!$B$4:$B$18,0)),"")</f>
        <v/>
      </c>
      <c r="L860" s="29" t="str">
        <f>IFERROR(INDEX([1]Cluster_Master!$G$4:$G$18,MATCH($F860,[1]Cluster_Master!$B$4:$B$18,0)),"")</f>
        <v/>
      </c>
      <c r="M860" s="29" t="str">
        <f>IFERROR(INDEX([1]Cluster_Master!$H$4:$H$18,MATCH($F860,[1]Cluster_Master!$B$4:$B$18,0)),"")</f>
        <v/>
      </c>
      <c r="AI860" s="29" t="str">
        <f>IF(COUNTA(T860:AH860)=0,"",SUM(T860:AH860))</f>
        <v/>
      </c>
      <c r="AJ860" s="29" t="str">
        <f>IF(COUNTA(T860:AH860)=0,"",AI860/75)</f>
        <v/>
      </c>
      <c r="AK860" s="29" t="str">
        <f>IF(COUNTA(T860:AH860)=0,"",(SUM(T860*[1]KPI_Weights!$B$4,U860*[1]KPI_Weights!$B$5,V860*[1]KPI_Weights!$B$6,W860*[1]KPI_Weights!$B$7,X860*[1]KPI_Weights!$B$8,Y860*[1]KPI_Weights!$B$9,Z860*[1]KPI_Weights!$B$10,AA860*[1]KPI_Weights!$B$11,AB860*[1]KPI_Weights!$B$12,AC860*[1]KPI_Weights!$B$13,AD860*[1]KPI_Weights!$B$14,AE860*[1]KPI_Weights!$B$15,AF860*[1]KPI_Weights!$B$16,AG860*[1]KPI_Weights!$B$17,AH860*[1]KPI_Weights!$B$18))/5)</f>
        <v/>
      </c>
      <c r="AL860" s="29" t="str">
        <f>IF(COUNTA(T860:AH860)=0,"",IF(OR(T860&lt;=1,W860&lt;=1,X860&lt;=1,Y860&lt;=1,AB860&lt;=1),"YES","NO"))</f>
        <v/>
      </c>
      <c r="AM860" s="29" t="str">
        <f>IF(AJ860="","",IF(AND(AL860="NO",AJ860&gt;=0.75),"YES","NO"))</f>
        <v/>
      </c>
      <c r="AN860" s="29" t="str">
        <f>IF(AJ860="","",IF(AJ860&lt;0.4,"Critical",IF(AJ860&lt;0.6,"Poor",IF(AJ860&lt;0.75,"Needs Improvement",IF(AJ860&lt;0.9,"Good","Excellent")))))</f>
        <v/>
      </c>
    </row>
    <row r="861" spans="1:40" ht="15" customHeight="1" x14ac:dyDescent="0.25">
      <c r="A861" s="29" t="str">
        <f>IF($B861="","",TEXT($B861,"yyyymmdd")&amp;"-"&amp;SUBSTITUTE($F861," ","")&amp;"-"&amp;TEXT(COUNTIF($F$4:F861,$F861),"00"))</f>
        <v/>
      </c>
      <c r="C861" s="29" t="str">
        <f>IF($B861="","",WEEKNUM($B861,2))</f>
        <v/>
      </c>
      <c r="D861" s="29" t="str">
        <f>IF($B861="","",TEXT($B861,"yyyy-mm"))</f>
        <v/>
      </c>
      <c r="G861" s="29" t="str">
        <f>IF(OR($E861="",$F861=""),"",IFERROR(IF($E861=INDEX([1]Cluster_Master!$A$4:$A$18,MATCH($F861,[1]Cluster_Master!$B$4:$B$18,0)),"OK","CHECK"),"CHECK"))</f>
        <v/>
      </c>
      <c r="H861" s="29" t="str">
        <f>IFERROR(INDEX([1]Cluster_Master!$C$4:$C$18,MATCH($F861,[1]Cluster_Master!$B$4:$B$18,0)),"")</f>
        <v/>
      </c>
      <c r="I861" s="29" t="str">
        <f>IFERROR(INDEX([1]Cluster_Master!$D$4:$D$18,MATCH($F861,[1]Cluster_Master!$B$4:$B$18,0)),"")</f>
        <v/>
      </c>
      <c r="J861" s="29" t="str">
        <f>IFERROR(INDEX([1]Cluster_Master!$E$4:$E$18,MATCH($F861,[1]Cluster_Master!$B$4:$B$18,0)),"")</f>
        <v/>
      </c>
      <c r="K861" s="29" t="str">
        <f>IFERROR(INDEX([1]Cluster_Master!$F$4:$F$18,MATCH($F861,[1]Cluster_Master!$B$4:$B$18,0)),"")</f>
        <v/>
      </c>
      <c r="L861" s="29" t="str">
        <f>IFERROR(INDEX([1]Cluster_Master!$G$4:$G$18,MATCH($F861,[1]Cluster_Master!$B$4:$B$18,0)),"")</f>
        <v/>
      </c>
      <c r="M861" s="29" t="str">
        <f>IFERROR(INDEX([1]Cluster_Master!$H$4:$H$18,MATCH($F861,[1]Cluster_Master!$B$4:$B$18,0)),"")</f>
        <v/>
      </c>
      <c r="AI861" s="29" t="str">
        <f>IF(COUNTA(T861:AH861)=0,"",SUM(T861:AH861))</f>
        <v/>
      </c>
      <c r="AJ861" s="29" t="str">
        <f>IF(COUNTA(T861:AH861)=0,"",AI861/75)</f>
        <v/>
      </c>
      <c r="AK861" s="29" t="str">
        <f>IF(COUNTA(T861:AH861)=0,"",(SUM(T861*[1]KPI_Weights!$B$4,U861*[1]KPI_Weights!$B$5,V861*[1]KPI_Weights!$B$6,W861*[1]KPI_Weights!$B$7,X861*[1]KPI_Weights!$B$8,Y861*[1]KPI_Weights!$B$9,Z861*[1]KPI_Weights!$B$10,AA861*[1]KPI_Weights!$B$11,AB861*[1]KPI_Weights!$B$12,AC861*[1]KPI_Weights!$B$13,AD861*[1]KPI_Weights!$B$14,AE861*[1]KPI_Weights!$B$15,AF861*[1]KPI_Weights!$B$16,AG861*[1]KPI_Weights!$B$17,AH861*[1]KPI_Weights!$B$18))/5)</f>
        <v/>
      </c>
      <c r="AL861" s="29" t="str">
        <f>IF(COUNTA(T861:AH861)=0,"",IF(OR(T861&lt;=1,W861&lt;=1,X861&lt;=1,Y861&lt;=1,AB861&lt;=1),"YES","NO"))</f>
        <v/>
      </c>
      <c r="AM861" s="29" t="str">
        <f>IF(AJ861="","",IF(AND(AL861="NO",AJ861&gt;=0.75),"YES","NO"))</f>
        <v/>
      </c>
      <c r="AN861" s="29" t="str">
        <f>IF(AJ861="","",IF(AJ861&lt;0.4,"Critical",IF(AJ861&lt;0.6,"Poor",IF(AJ861&lt;0.75,"Needs Improvement",IF(AJ861&lt;0.9,"Good","Excellent")))))</f>
        <v/>
      </c>
    </row>
    <row r="862" spans="1:40" ht="15" customHeight="1" x14ac:dyDescent="0.25">
      <c r="A862" s="29" t="str">
        <f>IF($B862="","",TEXT($B862,"yyyymmdd")&amp;"-"&amp;SUBSTITUTE($F862," ","")&amp;"-"&amp;TEXT(COUNTIF($F$4:F862,$F862),"00"))</f>
        <v/>
      </c>
      <c r="C862" s="29" t="str">
        <f>IF($B862="","",WEEKNUM($B862,2))</f>
        <v/>
      </c>
      <c r="D862" s="29" t="str">
        <f>IF($B862="","",TEXT($B862,"yyyy-mm"))</f>
        <v/>
      </c>
      <c r="G862" s="29" t="str">
        <f>IF(OR($E862="",$F862=""),"",IFERROR(IF($E862=INDEX([1]Cluster_Master!$A$4:$A$18,MATCH($F862,[1]Cluster_Master!$B$4:$B$18,0)),"OK","CHECK"),"CHECK"))</f>
        <v/>
      </c>
      <c r="H862" s="29" t="str">
        <f>IFERROR(INDEX([1]Cluster_Master!$C$4:$C$18,MATCH($F862,[1]Cluster_Master!$B$4:$B$18,0)),"")</f>
        <v/>
      </c>
      <c r="I862" s="29" t="str">
        <f>IFERROR(INDEX([1]Cluster_Master!$D$4:$D$18,MATCH($F862,[1]Cluster_Master!$B$4:$B$18,0)),"")</f>
        <v/>
      </c>
      <c r="J862" s="29" t="str">
        <f>IFERROR(INDEX([1]Cluster_Master!$E$4:$E$18,MATCH($F862,[1]Cluster_Master!$B$4:$B$18,0)),"")</f>
        <v/>
      </c>
      <c r="K862" s="29" t="str">
        <f>IFERROR(INDEX([1]Cluster_Master!$F$4:$F$18,MATCH($F862,[1]Cluster_Master!$B$4:$B$18,0)),"")</f>
        <v/>
      </c>
      <c r="L862" s="29" t="str">
        <f>IFERROR(INDEX([1]Cluster_Master!$G$4:$G$18,MATCH($F862,[1]Cluster_Master!$B$4:$B$18,0)),"")</f>
        <v/>
      </c>
      <c r="M862" s="29" t="str">
        <f>IFERROR(INDEX([1]Cluster_Master!$H$4:$H$18,MATCH($F862,[1]Cluster_Master!$B$4:$B$18,0)),"")</f>
        <v/>
      </c>
      <c r="AI862" s="29" t="str">
        <f>IF(COUNTA(T862:AH862)=0,"",SUM(T862:AH862))</f>
        <v/>
      </c>
      <c r="AJ862" s="29" t="str">
        <f>IF(COUNTA(T862:AH862)=0,"",AI862/75)</f>
        <v/>
      </c>
      <c r="AK862" s="29" t="str">
        <f>IF(COUNTA(T862:AH862)=0,"",(SUM(T862*[1]KPI_Weights!$B$4,U862*[1]KPI_Weights!$B$5,V862*[1]KPI_Weights!$B$6,W862*[1]KPI_Weights!$B$7,X862*[1]KPI_Weights!$B$8,Y862*[1]KPI_Weights!$B$9,Z862*[1]KPI_Weights!$B$10,AA862*[1]KPI_Weights!$B$11,AB862*[1]KPI_Weights!$B$12,AC862*[1]KPI_Weights!$B$13,AD862*[1]KPI_Weights!$B$14,AE862*[1]KPI_Weights!$B$15,AF862*[1]KPI_Weights!$B$16,AG862*[1]KPI_Weights!$B$17,AH862*[1]KPI_Weights!$B$18))/5)</f>
        <v/>
      </c>
      <c r="AL862" s="29" t="str">
        <f>IF(COUNTA(T862:AH862)=0,"",IF(OR(T862&lt;=1,W862&lt;=1,X862&lt;=1,Y862&lt;=1,AB862&lt;=1),"YES","NO"))</f>
        <v/>
      </c>
      <c r="AM862" s="29" t="str">
        <f>IF(AJ862="","",IF(AND(AL862="NO",AJ862&gt;=0.75),"YES","NO"))</f>
        <v/>
      </c>
      <c r="AN862" s="29" t="str">
        <f>IF(AJ862="","",IF(AJ862&lt;0.4,"Critical",IF(AJ862&lt;0.6,"Poor",IF(AJ862&lt;0.75,"Needs Improvement",IF(AJ862&lt;0.9,"Good","Excellent")))))</f>
        <v/>
      </c>
    </row>
    <row r="863" spans="1:40" ht="15" customHeight="1" x14ac:dyDescent="0.25">
      <c r="A863" s="29" t="str">
        <f>IF($B863="","",TEXT($B863,"yyyymmdd")&amp;"-"&amp;SUBSTITUTE($F863," ","")&amp;"-"&amp;TEXT(COUNTIF($F$4:F863,$F863),"00"))</f>
        <v/>
      </c>
      <c r="C863" s="29" t="str">
        <f>IF($B863="","",WEEKNUM($B863,2))</f>
        <v/>
      </c>
      <c r="D863" s="29" t="str">
        <f>IF($B863="","",TEXT($B863,"yyyy-mm"))</f>
        <v/>
      </c>
      <c r="G863" s="29" t="str">
        <f>IF(OR($E863="",$F863=""),"",IFERROR(IF($E863=INDEX([1]Cluster_Master!$A$4:$A$18,MATCH($F863,[1]Cluster_Master!$B$4:$B$18,0)),"OK","CHECK"),"CHECK"))</f>
        <v/>
      </c>
      <c r="H863" s="29" t="str">
        <f>IFERROR(INDEX([1]Cluster_Master!$C$4:$C$18,MATCH($F863,[1]Cluster_Master!$B$4:$B$18,0)),"")</f>
        <v/>
      </c>
      <c r="I863" s="29" t="str">
        <f>IFERROR(INDEX([1]Cluster_Master!$D$4:$D$18,MATCH($F863,[1]Cluster_Master!$B$4:$B$18,0)),"")</f>
        <v/>
      </c>
      <c r="J863" s="29" t="str">
        <f>IFERROR(INDEX([1]Cluster_Master!$E$4:$E$18,MATCH($F863,[1]Cluster_Master!$B$4:$B$18,0)),"")</f>
        <v/>
      </c>
      <c r="K863" s="29" t="str">
        <f>IFERROR(INDEX([1]Cluster_Master!$F$4:$F$18,MATCH($F863,[1]Cluster_Master!$B$4:$B$18,0)),"")</f>
        <v/>
      </c>
      <c r="L863" s="29" t="str">
        <f>IFERROR(INDEX([1]Cluster_Master!$G$4:$G$18,MATCH($F863,[1]Cluster_Master!$B$4:$B$18,0)),"")</f>
        <v/>
      </c>
      <c r="M863" s="29" t="str">
        <f>IFERROR(INDEX([1]Cluster_Master!$H$4:$H$18,MATCH($F863,[1]Cluster_Master!$B$4:$B$18,0)),"")</f>
        <v/>
      </c>
      <c r="AI863" s="29" t="str">
        <f>IF(COUNTA(T863:AH863)=0,"",SUM(T863:AH863))</f>
        <v/>
      </c>
      <c r="AJ863" s="29" t="str">
        <f>IF(COUNTA(T863:AH863)=0,"",AI863/75)</f>
        <v/>
      </c>
      <c r="AK863" s="29" t="str">
        <f>IF(COUNTA(T863:AH863)=0,"",(SUM(T863*[1]KPI_Weights!$B$4,U863*[1]KPI_Weights!$B$5,V863*[1]KPI_Weights!$B$6,W863*[1]KPI_Weights!$B$7,X863*[1]KPI_Weights!$B$8,Y863*[1]KPI_Weights!$B$9,Z863*[1]KPI_Weights!$B$10,AA863*[1]KPI_Weights!$B$11,AB863*[1]KPI_Weights!$B$12,AC863*[1]KPI_Weights!$B$13,AD863*[1]KPI_Weights!$B$14,AE863*[1]KPI_Weights!$B$15,AF863*[1]KPI_Weights!$B$16,AG863*[1]KPI_Weights!$B$17,AH863*[1]KPI_Weights!$B$18))/5)</f>
        <v/>
      </c>
      <c r="AL863" s="29" t="str">
        <f>IF(COUNTA(T863:AH863)=0,"",IF(OR(T863&lt;=1,W863&lt;=1,X863&lt;=1,Y863&lt;=1,AB863&lt;=1),"YES","NO"))</f>
        <v/>
      </c>
      <c r="AM863" s="29" t="str">
        <f>IF(AJ863="","",IF(AND(AL863="NO",AJ863&gt;=0.75),"YES","NO"))</f>
        <v/>
      </c>
      <c r="AN863" s="29" t="str">
        <f>IF(AJ863="","",IF(AJ863&lt;0.4,"Critical",IF(AJ863&lt;0.6,"Poor",IF(AJ863&lt;0.75,"Needs Improvement",IF(AJ863&lt;0.9,"Good","Excellent")))))</f>
        <v/>
      </c>
    </row>
    <row r="864" spans="1:40" ht="15" customHeight="1" x14ac:dyDescent="0.25">
      <c r="A864" s="29" t="str">
        <f>IF($B864="","",TEXT($B864,"yyyymmdd")&amp;"-"&amp;SUBSTITUTE($F864," ","")&amp;"-"&amp;TEXT(COUNTIF($F$4:F864,$F864),"00"))</f>
        <v/>
      </c>
      <c r="C864" s="29" t="str">
        <f>IF($B864="","",WEEKNUM($B864,2))</f>
        <v/>
      </c>
      <c r="D864" s="29" t="str">
        <f>IF($B864="","",TEXT($B864,"yyyy-mm"))</f>
        <v/>
      </c>
      <c r="G864" s="29" t="str">
        <f>IF(OR($E864="",$F864=""),"",IFERROR(IF($E864=INDEX([1]Cluster_Master!$A$4:$A$18,MATCH($F864,[1]Cluster_Master!$B$4:$B$18,0)),"OK","CHECK"),"CHECK"))</f>
        <v/>
      </c>
      <c r="H864" s="29" t="str">
        <f>IFERROR(INDEX([1]Cluster_Master!$C$4:$C$18,MATCH($F864,[1]Cluster_Master!$B$4:$B$18,0)),"")</f>
        <v/>
      </c>
      <c r="I864" s="29" t="str">
        <f>IFERROR(INDEX([1]Cluster_Master!$D$4:$D$18,MATCH($F864,[1]Cluster_Master!$B$4:$B$18,0)),"")</f>
        <v/>
      </c>
      <c r="J864" s="29" t="str">
        <f>IFERROR(INDEX([1]Cluster_Master!$E$4:$E$18,MATCH($F864,[1]Cluster_Master!$B$4:$B$18,0)),"")</f>
        <v/>
      </c>
      <c r="K864" s="29" t="str">
        <f>IFERROR(INDEX([1]Cluster_Master!$F$4:$F$18,MATCH($F864,[1]Cluster_Master!$B$4:$B$18,0)),"")</f>
        <v/>
      </c>
      <c r="L864" s="29" t="str">
        <f>IFERROR(INDEX([1]Cluster_Master!$G$4:$G$18,MATCH($F864,[1]Cluster_Master!$B$4:$B$18,0)),"")</f>
        <v/>
      </c>
      <c r="M864" s="29" t="str">
        <f>IFERROR(INDEX([1]Cluster_Master!$H$4:$H$18,MATCH($F864,[1]Cluster_Master!$B$4:$B$18,0)),"")</f>
        <v/>
      </c>
      <c r="AI864" s="29" t="str">
        <f>IF(COUNTA(T864:AH864)=0,"",SUM(T864:AH864))</f>
        <v/>
      </c>
      <c r="AJ864" s="29" t="str">
        <f>IF(COUNTA(T864:AH864)=0,"",AI864/75)</f>
        <v/>
      </c>
      <c r="AK864" s="29" t="str">
        <f>IF(COUNTA(T864:AH864)=0,"",(SUM(T864*[1]KPI_Weights!$B$4,U864*[1]KPI_Weights!$B$5,V864*[1]KPI_Weights!$B$6,W864*[1]KPI_Weights!$B$7,X864*[1]KPI_Weights!$B$8,Y864*[1]KPI_Weights!$B$9,Z864*[1]KPI_Weights!$B$10,AA864*[1]KPI_Weights!$B$11,AB864*[1]KPI_Weights!$B$12,AC864*[1]KPI_Weights!$B$13,AD864*[1]KPI_Weights!$B$14,AE864*[1]KPI_Weights!$B$15,AF864*[1]KPI_Weights!$B$16,AG864*[1]KPI_Weights!$B$17,AH864*[1]KPI_Weights!$B$18))/5)</f>
        <v/>
      </c>
      <c r="AL864" s="29" t="str">
        <f>IF(COUNTA(T864:AH864)=0,"",IF(OR(T864&lt;=1,W864&lt;=1,X864&lt;=1,Y864&lt;=1,AB864&lt;=1),"YES","NO"))</f>
        <v/>
      </c>
      <c r="AM864" s="29" t="str">
        <f>IF(AJ864="","",IF(AND(AL864="NO",AJ864&gt;=0.75),"YES","NO"))</f>
        <v/>
      </c>
      <c r="AN864" s="29" t="str">
        <f>IF(AJ864="","",IF(AJ864&lt;0.4,"Critical",IF(AJ864&lt;0.6,"Poor",IF(AJ864&lt;0.75,"Needs Improvement",IF(AJ864&lt;0.9,"Good","Excellent")))))</f>
        <v/>
      </c>
    </row>
    <row r="865" spans="1:40" ht="15" customHeight="1" x14ac:dyDescent="0.25">
      <c r="A865" s="29" t="str">
        <f>IF($B865="","",TEXT($B865,"yyyymmdd")&amp;"-"&amp;SUBSTITUTE($F865," ","")&amp;"-"&amp;TEXT(COUNTIF($F$4:F865,$F865),"00"))</f>
        <v/>
      </c>
      <c r="C865" s="29" t="str">
        <f>IF($B865="","",WEEKNUM($B865,2))</f>
        <v/>
      </c>
      <c r="D865" s="29" t="str">
        <f>IF($B865="","",TEXT($B865,"yyyy-mm"))</f>
        <v/>
      </c>
      <c r="G865" s="29" t="str">
        <f>IF(OR($E865="",$F865=""),"",IFERROR(IF($E865=INDEX([1]Cluster_Master!$A$4:$A$18,MATCH($F865,[1]Cluster_Master!$B$4:$B$18,0)),"OK","CHECK"),"CHECK"))</f>
        <v/>
      </c>
      <c r="H865" s="29" t="str">
        <f>IFERROR(INDEX([1]Cluster_Master!$C$4:$C$18,MATCH($F865,[1]Cluster_Master!$B$4:$B$18,0)),"")</f>
        <v/>
      </c>
      <c r="I865" s="29" t="str">
        <f>IFERROR(INDEX([1]Cluster_Master!$D$4:$D$18,MATCH($F865,[1]Cluster_Master!$B$4:$B$18,0)),"")</f>
        <v/>
      </c>
      <c r="J865" s="29" t="str">
        <f>IFERROR(INDEX([1]Cluster_Master!$E$4:$E$18,MATCH($F865,[1]Cluster_Master!$B$4:$B$18,0)),"")</f>
        <v/>
      </c>
      <c r="K865" s="29" t="str">
        <f>IFERROR(INDEX([1]Cluster_Master!$F$4:$F$18,MATCH($F865,[1]Cluster_Master!$B$4:$B$18,0)),"")</f>
        <v/>
      </c>
      <c r="L865" s="29" t="str">
        <f>IFERROR(INDEX([1]Cluster_Master!$G$4:$G$18,MATCH($F865,[1]Cluster_Master!$B$4:$B$18,0)),"")</f>
        <v/>
      </c>
      <c r="M865" s="29" t="str">
        <f>IFERROR(INDEX([1]Cluster_Master!$H$4:$H$18,MATCH($F865,[1]Cluster_Master!$B$4:$B$18,0)),"")</f>
        <v/>
      </c>
      <c r="AI865" s="29" t="str">
        <f>IF(COUNTA(T865:AH865)=0,"",SUM(T865:AH865))</f>
        <v/>
      </c>
      <c r="AJ865" s="29" t="str">
        <f>IF(COUNTA(T865:AH865)=0,"",AI865/75)</f>
        <v/>
      </c>
      <c r="AK865" s="29" t="str">
        <f>IF(COUNTA(T865:AH865)=0,"",(SUM(T865*[1]KPI_Weights!$B$4,U865*[1]KPI_Weights!$B$5,V865*[1]KPI_Weights!$B$6,W865*[1]KPI_Weights!$B$7,X865*[1]KPI_Weights!$B$8,Y865*[1]KPI_Weights!$B$9,Z865*[1]KPI_Weights!$B$10,AA865*[1]KPI_Weights!$B$11,AB865*[1]KPI_Weights!$B$12,AC865*[1]KPI_Weights!$B$13,AD865*[1]KPI_Weights!$B$14,AE865*[1]KPI_Weights!$B$15,AF865*[1]KPI_Weights!$B$16,AG865*[1]KPI_Weights!$B$17,AH865*[1]KPI_Weights!$B$18))/5)</f>
        <v/>
      </c>
      <c r="AL865" s="29" t="str">
        <f>IF(COUNTA(T865:AH865)=0,"",IF(OR(T865&lt;=1,W865&lt;=1,X865&lt;=1,Y865&lt;=1,AB865&lt;=1),"YES","NO"))</f>
        <v/>
      </c>
      <c r="AM865" s="29" t="str">
        <f>IF(AJ865="","",IF(AND(AL865="NO",AJ865&gt;=0.75),"YES","NO"))</f>
        <v/>
      </c>
      <c r="AN865" s="29" t="str">
        <f>IF(AJ865="","",IF(AJ865&lt;0.4,"Critical",IF(AJ865&lt;0.6,"Poor",IF(AJ865&lt;0.75,"Needs Improvement",IF(AJ865&lt;0.9,"Good","Excellent")))))</f>
        <v/>
      </c>
    </row>
    <row r="866" spans="1:40" ht="15" customHeight="1" x14ac:dyDescent="0.25">
      <c r="A866" s="29" t="str">
        <f>IF($B866="","",TEXT($B866,"yyyymmdd")&amp;"-"&amp;SUBSTITUTE($F866," ","")&amp;"-"&amp;TEXT(COUNTIF($F$4:F866,$F866),"00"))</f>
        <v/>
      </c>
      <c r="C866" s="29" t="str">
        <f>IF($B866="","",WEEKNUM($B866,2))</f>
        <v/>
      </c>
      <c r="D866" s="29" t="str">
        <f>IF($B866="","",TEXT($B866,"yyyy-mm"))</f>
        <v/>
      </c>
      <c r="G866" s="29" t="str">
        <f>IF(OR($E866="",$F866=""),"",IFERROR(IF($E866=INDEX([1]Cluster_Master!$A$4:$A$18,MATCH($F866,[1]Cluster_Master!$B$4:$B$18,0)),"OK","CHECK"),"CHECK"))</f>
        <v/>
      </c>
      <c r="H866" s="29" t="str">
        <f>IFERROR(INDEX([1]Cluster_Master!$C$4:$C$18,MATCH($F866,[1]Cluster_Master!$B$4:$B$18,0)),"")</f>
        <v/>
      </c>
      <c r="I866" s="29" t="str">
        <f>IFERROR(INDEX([1]Cluster_Master!$D$4:$D$18,MATCH($F866,[1]Cluster_Master!$B$4:$B$18,0)),"")</f>
        <v/>
      </c>
      <c r="J866" s="29" t="str">
        <f>IFERROR(INDEX([1]Cluster_Master!$E$4:$E$18,MATCH($F866,[1]Cluster_Master!$B$4:$B$18,0)),"")</f>
        <v/>
      </c>
      <c r="K866" s="29" t="str">
        <f>IFERROR(INDEX([1]Cluster_Master!$F$4:$F$18,MATCH($F866,[1]Cluster_Master!$B$4:$B$18,0)),"")</f>
        <v/>
      </c>
      <c r="L866" s="29" t="str">
        <f>IFERROR(INDEX([1]Cluster_Master!$G$4:$G$18,MATCH($F866,[1]Cluster_Master!$B$4:$B$18,0)),"")</f>
        <v/>
      </c>
      <c r="M866" s="29" t="str">
        <f>IFERROR(INDEX([1]Cluster_Master!$H$4:$H$18,MATCH($F866,[1]Cluster_Master!$B$4:$B$18,0)),"")</f>
        <v/>
      </c>
      <c r="AI866" s="29" t="str">
        <f>IF(COUNTA(T866:AH866)=0,"",SUM(T866:AH866))</f>
        <v/>
      </c>
      <c r="AJ866" s="29" t="str">
        <f>IF(COUNTA(T866:AH866)=0,"",AI866/75)</f>
        <v/>
      </c>
      <c r="AK866" s="29" t="str">
        <f>IF(COUNTA(T866:AH866)=0,"",(SUM(T866*[1]KPI_Weights!$B$4,U866*[1]KPI_Weights!$B$5,V866*[1]KPI_Weights!$B$6,W866*[1]KPI_Weights!$B$7,X866*[1]KPI_Weights!$B$8,Y866*[1]KPI_Weights!$B$9,Z866*[1]KPI_Weights!$B$10,AA866*[1]KPI_Weights!$B$11,AB866*[1]KPI_Weights!$B$12,AC866*[1]KPI_Weights!$B$13,AD866*[1]KPI_Weights!$B$14,AE866*[1]KPI_Weights!$B$15,AF866*[1]KPI_Weights!$B$16,AG866*[1]KPI_Weights!$B$17,AH866*[1]KPI_Weights!$B$18))/5)</f>
        <v/>
      </c>
      <c r="AL866" s="29" t="str">
        <f>IF(COUNTA(T866:AH866)=0,"",IF(OR(T866&lt;=1,W866&lt;=1,X866&lt;=1,Y866&lt;=1,AB866&lt;=1),"YES","NO"))</f>
        <v/>
      </c>
      <c r="AM866" s="29" t="str">
        <f>IF(AJ866="","",IF(AND(AL866="NO",AJ866&gt;=0.75),"YES","NO"))</f>
        <v/>
      </c>
      <c r="AN866" s="29" t="str">
        <f>IF(AJ866="","",IF(AJ866&lt;0.4,"Critical",IF(AJ866&lt;0.6,"Poor",IF(AJ866&lt;0.75,"Needs Improvement",IF(AJ866&lt;0.9,"Good","Excellent")))))</f>
        <v/>
      </c>
    </row>
    <row r="867" spans="1:40" ht="15" customHeight="1" x14ac:dyDescent="0.25">
      <c r="A867" s="29" t="str">
        <f>IF($B867="","",TEXT($B867,"yyyymmdd")&amp;"-"&amp;SUBSTITUTE($F867," ","")&amp;"-"&amp;TEXT(COUNTIF($F$4:F867,$F867),"00"))</f>
        <v/>
      </c>
      <c r="C867" s="29" t="str">
        <f>IF($B867="","",WEEKNUM($B867,2))</f>
        <v/>
      </c>
      <c r="D867" s="29" t="str">
        <f>IF($B867="","",TEXT($B867,"yyyy-mm"))</f>
        <v/>
      </c>
      <c r="G867" s="29" t="str">
        <f>IF(OR($E867="",$F867=""),"",IFERROR(IF($E867=INDEX([1]Cluster_Master!$A$4:$A$18,MATCH($F867,[1]Cluster_Master!$B$4:$B$18,0)),"OK","CHECK"),"CHECK"))</f>
        <v/>
      </c>
      <c r="H867" s="29" t="str">
        <f>IFERROR(INDEX([1]Cluster_Master!$C$4:$C$18,MATCH($F867,[1]Cluster_Master!$B$4:$B$18,0)),"")</f>
        <v/>
      </c>
      <c r="I867" s="29" t="str">
        <f>IFERROR(INDEX([1]Cluster_Master!$D$4:$D$18,MATCH($F867,[1]Cluster_Master!$B$4:$B$18,0)),"")</f>
        <v/>
      </c>
      <c r="J867" s="29" t="str">
        <f>IFERROR(INDEX([1]Cluster_Master!$E$4:$E$18,MATCH($F867,[1]Cluster_Master!$B$4:$B$18,0)),"")</f>
        <v/>
      </c>
      <c r="K867" s="29" t="str">
        <f>IFERROR(INDEX([1]Cluster_Master!$F$4:$F$18,MATCH($F867,[1]Cluster_Master!$B$4:$B$18,0)),"")</f>
        <v/>
      </c>
      <c r="L867" s="29" t="str">
        <f>IFERROR(INDEX([1]Cluster_Master!$G$4:$G$18,MATCH($F867,[1]Cluster_Master!$B$4:$B$18,0)),"")</f>
        <v/>
      </c>
      <c r="M867" s="29" t="str">
        <f>IFERROR(INDEX([1]Cluster_Master!$H$4:$H$18,MATCH($F867,[1]Cluster_Master!$B$4:$B$18,0)),"")</f>
        <v/>
      </c>
      <c r="AI867" s="29" t="str">
        <f>IF(COUNTA(T867:AH867)=0,"",SUM(T867:AH867))</f>
        <v/>
      </c>
      <c r="AJ867" s="29" t="str">
        <f>IF(COUNTA(T867:AH867)=0,"",AI867/75)</f>
        <v/>
      </c>
      <c r="AK867" s="29" t="str">
        <f>IF(COUNTA(T867:AH867)=0,"",(SUM(T867*[1]KPI_Weights!$B$4,U867*[1]KPI_Weights!$B$5,V867*[1]KPI_Weights!$B$6,W867*[1]KPI_Weights!$B$7,X867*[1]KPI_Weights!$B$8,Y867*[1]KPI_Weights!$B$9,Z867*[1]KPI_Weights!$B$10,AA867*[1]KPI_Weights!$B$11,AB867*[1]KPI_Weights!$B$12,AC867*[1]KPI_Weights!$B$13,AD867*[1]KPI_Weights!$B$14,AE867*[1]KPI_Weights!$B$15,AF867*[1]KPI_Weights!$B$16,AG867*[1]KPI_Weights!$B$17,AH867*[1]KPI_Weights!$B$18))/5)</f>
        <v/>
      </c>
      <c r="AL867" s="29" t="str">
        <f>IF(COUNTA(T867:AH867)=0,"",IF(OR(T867&lt;=1,W867&lt;=1,X867&lt;=1,Y867&lt;=1,AB867&lt;=1),"YES","NO"))</f>
        <v/>
      </c>
      <c r="AM867" s="29" t="str">
        <f>IF(AJ867="","",IF(AND(AL867="NO",AJ867&gt;=0.75),"YES","NO"))</f>
        <v/>
      </c>
      <c r="AN867" s="29" t="str">
        <f>IF(AJ867="","",IF(AJ867&lt;0.4,"Critical",IF(AJ867&lt;0.6,"Poor",IF(AJ867&lt;0.75,"Needs Improvement",IF(AJ867&lt;0.9,"Good","Excellent")))))</f>
        <v/>
      </c>
    </row>
    <row r="868" spans="1:40" ht="15" customHeight="1" x14ac:dyDescent="0.25">
      <c r="A868" s="29" t="str">
        <f>IF($B868="","",TEXT($B868,"yyyymmdd")&amp;"-"&amp;SUBSTITUTE($F868," ","")&amp;"-"&amp;TEXT(COUNTIF($F$4:F868,$F868),"00"))</f>
        <v/>
      </c>
      <c r="C868" s="29" t="str">
        <f>IF($B868="","",WEEKNUM($B868,2))</f>
        <v/>
      </c>
      <c r="D868" s="29" t="str">
        <f>IF($B868="","",TEXT($B868,"yyyy-mm"))</f>
        <v/>
      </c>
      <c r="G868" s="29" t="str">
        <f>IF(OR($E868="",$F868=""),"",IFERROR(IF($E868=INDEX([1]Cluster_Master!$A$4:$A$18,MATCH($F868,[1]Cluster_Master!$B$4:$B$18,0)),"OK","CHECK"),"CHECK"))</f>
        <v/>
      </c>
      <c r="H868" s="29" t="str">
        <f>IFERROR(INDEX([1]Cluster_Master!$C$4:$C$18,MATCH($F868,[1]Cluster_Master!$B$4:$B$18,0)),"")</f>
        <v/>
      </c>
      <c r="I868" s="29" t="str">
        <f>IFERROR(INDEX([1]Cluster_Master!$D$4:$D$18,MATCH($F868,[1]Cluster_Master!$B$4:$B$18,0)),"")</f>
        <v/>
      </c>
      <c r="J868" s="29" t="str">
        <f>IFERROR(INDEX([1]Cluster_Master!$E$4:$E$18,MATCH($F868,[1]Cluster_Master!$B$4:$B$18,0)),"")</f>
        <v/>
      </c>
      <c r="K868" s="29" t="str">
        <f>IFERROR(INDEX([1]Cluster_Master!$F$4:$F$18,MATCH($F868,[1]Cluster_Master!$B$4:$B$18,0)),"")</f>
        <v/>
      </c>
      <c r="L868" s="29" t="str">
        <f>IFERROR(INDEX([1]Cluster_Master!$G$4:$G$18,MATCH($F868,[1]Cluster_Master!$B$4:$B$18,0)),"")</f>
        <v/>
      </c>
      <c r="M868" s="29" t="str">
        <f>IFERROR(INDEX([1]Cluster_Master!$H$4:$H$18,MATCH($F868,[1]Cluster_Master!$B$4:$B$18,0)),"")</f>
        <v/>
      </c>
      <c r="AI868" s="29" t="str">
        <f>IF(COUNTA(T868:AH868)=0,"",SUM(T868:AH868))</f>
        <v/>
      </c>
      <c r="AJ868" s="29" t="str">
        <f>IF(COUNTA(T868:AH868)=0,"",AI868/75)</f>
        <v/>
      </c>
      <c r="AK868" s="29" t="str">
        <f>IF(COUNTA(T868:AH868)=0,"",(SUM(T868*[1]KPI_Weights!$B$4,U868*[1]KPI_Weights!$B$5,V868*[1]KPI_Weights!$B$6,W868*[1]KPI_Weights!$B$7,X868*[1]KPI_Weights!$B$8,Y868*[1]KPI_Weights!$B$9,Z868*[1]KPI_Weights!$B$10,AA868*[1]KPI_Weights!$B$11,AB868*[1]KPI_Weights!$B$12,AC868*[1]KPI_Weights!$B$13,AD868*[1]KPI_Weights!$B$14,AE868*[1]KPI_Weights!$B$15,AF868*[1]KPI_Weights!$B$16,AG868*[1]KPI_Weights!$B$17,AH868*[1]KPI_Weights!$B$18))/5)</f>
        <v/>
      </c>
      <c r="AL868" s="29" t="str">
        <f>IF(COUNTA(T868:AH868)=0,"",IF(OR(T868&lt;=1,W868&lt;=1,X868&lt;=1,Y868&lt;=1,AB868&lt;=1),"YES","NO"))</f>
        <v/>
      </c>
      <c r="AM868" s="29" t="str">
        <f>IF(AJ868="","",IF(AND(AL868="NO",AJ868&gt;=0.75),"YES","NO"))</f>
        <v/>
      </c>
      <c r="AN868" s="29" t="str">
        <f>IF(AJ868="","",IF(AJ868&lt;0.4,"Critical",IF(AJ868&lt;0.6,"Poor",IF(AJ868&lt;0.75,"Needs Improvement",IF(AJ868&lt;0.9,"Good","Excellent")))))</f>
        <v/>
      </c>
    </row>
    <row r="869" spans="1:40" ht="15" customHeight="1" x14ac:dyDescent="0.25">
      <c r="A869" s="29" t="str">
        <f>IF($B869="","",TEXT($B869,"yyyymmdd")&amp;"-"&amp;SUBSTITUTE($F869," ","")&amp;"-"&amp;TEXT(COUNTIF($F$4:F869,$F869),"00"))</f>
        <v/>
      </c>
      <c r="C869" s="29" t="str">
        <f>IF($B869="","",WEEKNUM($B869,2))</f>
        <v/>
      </c>
      <c r="D869" s="29" t="str">
        <f>IF($B869="","",TEXT($B869,"yyyy-mm"))</f>
        <v/>
      </c>
      <c r="G869" s="29" t="str">
        <f>IF(OR($E869="",$F869=""),"",IFERROR(IF($E869=INDEX([1]Cluster_Master!$A$4:$A$18,MATCH($F869,[1]Cluster_Master!$B$4:$B$18,0)),"OK","CHECK"),"CHECK"))</f>
        <v/>
      </c>
      <c r="H869" s="29" t="str">
        <f>IFERROR(INDEX([1]Cluster_Master!$C$4:$C$18,MATCH($F869,[1]Cluster_Master!$B$4:$B$18,0)),"")</f>
        <v/>
      </c>
      <c r="I869" s="29" t="str">
        <f>IFERROR(INDEX([1]Cluster_Master!$D$4:$D$18,MATCH($F869,[1]Cluster_Master!$B$4:$B$18,0)),"")</f>
        <v/>
      </c>
      <c r="J869" s="29" t="str">
        <f>IFERROR(INDEX([1]Cluster_Master!$E$4:$E$18,MATCH($F869,[1]Cluster_Master!$B$4:$B$18,0)),"")</f>
        <v/>
      </c>
      <c r="K869" s="29" t="str">
        <f>IFERROR(INDEX([1]Cluster_Master!$F$4:$F$18,MATCH($F869,[1]Cluster_Master!$B$4:$B$18,0)),"")</f>
        <v/>
      </c>
      <c r="L869" s="29" t="str">
        <f>IFERROR(INDEX([1]Cluster_Master!$G$4:$G$18,MATCH($F869,[1]Cluster_Master!$B$4:$B$18,0)),"")</f>
        <v/>
      </c>
      <c r="M869" s="29" t="str">
        <f>IFERROR(INDEX([1]Cluster_Master!$H$4:$H$18,MATCH($F869,[1]Cluster_Master!$B$4:$B$18,0)),"")</f>
        <v/>
      </c>
      <c r="AI869" s="29" t="str">
        <f>IF(COUNTA(T869:AH869)=0,"",SUM(T869:AH869))</f>
        <v/>
      </c>
      <c r="AJ869" s="29" t="str">
        <f>IF(COUNTA(T869:AH869)=0,"",AI869/75)</f>
        <v/>
      </c>
      <c r="AK869" s="29" t="str">
        <f>IF(COUNTA(T869:AH869)=0,"",(SUM(T869*[1]KPI_Weights!$B$4,U869*[1]KPI_Weights!$B$5,V869*[1]KPI_Weights!$B$6,W869*[1]KPI_Weights!$B$7,X869*[1]KPI_Weights!$B$8,Y869*[1]KPI_Weights!$B$9,Z869*[1]KPI_Weights!$B$10,AA869*[1]KPI_Weights!$B$11,AB869*[1]KPI_Weights!$B$12,AC869*[1]KPI_Weights!$B$13,AD869*[1]KPI_Weights!$B$14,AE869*[1]KPI_Weights!$B$15,AF869*[1]KPI_Weights!$B$16,AG869*[1]KPI_Weights!$B$17,AH869*[1]KPI_Weights!$B$18))/5)</f>
        <v/>
      </c>
      <c r="AL869" s="29" t="str">
        <f>IF(COUNTA(T869:AH869)=0,"",IF(OR(T869&lt;=1,W869&lt;=1,X869&lt;=1,Y869&lt;=1,AB869&lt;=1),"YES","NO"))</f>
        <v/>
      </c>
      <c r="AM869" s="29" t="str">
        <f>IF(AJ869="","",IF(AND(AL869="NO",AJ869&gt;=0.75),"YES","NO"))</f>
        <v/>
      </c>
      <c r="AN869" s="29" t="str">
        <f>IF(AJ869="","",IF(AJ869&lt;0.4,"Critical",IF(AJ869&lt;0.6,"Poor",IF(AJ869&lt;0.75,"Needs Improvement",IF(AJ869&lt;0.9,"Good","Excellent")))))</f>
        <v/>
      </c>
    </row>
    <row r="870" spans="1:40" ht="15" customHeight="1" x14ac:dyDescent="0.25">
      <c r="A870" s="29" t="str">
        <f>IF($B870="","",TEXT($B870,"yyyymmdd")&amp;"-"&amp;SUBSTITUTE($F870," ","")&amp;"-"&amp;TEXT(COUNTIF($F$4:F870,$F870),"00"))</f>
        <v/>
      </c>
      <c r="C870" s="29" t="str">
        <f>IF($B870="","",WEEKNUM($B870,2))</f>
        <v/>
      </c>
      <c r="D870" s="29" t="str">
        <f>IF($B870="","",TEXT($B870,"yyyy-mm"))</f>
        <v/>
      </c>
      <c r="G870" s="29" t="str">
        <f>IF(OR($E870="",$F870=""),"",IFERROR(IF($E870=INDEX([1]Cluster_Master!$A$4:$A$18,MATCH($F870,[1]Cluster_Master!$B$4:$B$18,0)),"OK","CHECK"),"CHECK"))</f>
        <v/>
      </c>
      <c r="H870" s="29" t="str">
        <f>IFERROR(INDEX([1]Cluster_Master!$C$4:$C$18,MATCH($F870,[1]Cluster_Master!$B$4:$B$18,0)),"")</f>
        <v/>
      </c>
      <c r="I870" s="29" t="str">
        <f>IFERROR(INDEX([1]Cluster_Master!$D$4:$D$18,MATCH($F870,[1]Cluster_Master!$B$4:$B$18,0)),"")</f>
        <v/>
      </c>
      <c r="J870" s="29" t="str">
        <f>IFERROR(INDEX([1]Cluster_Master!$E$4:$E$18,MATCH($F870,[1]Cluster_Master!$B$4:$B$18,0)),"")</f>
        <v/>
      </c>
      <c r="K870" s="29" t="str">
        <f>IFERROR(INDEX([1]Cluster_Master!$F$4:$F$18,MATCH($F870,[1]Cluster_Master!$B$4:$B$18,0)),"")</f>
        <v/>
      </c>
      <c r="L870" s="29" t="str">
        <f>IFERROR(INDEX([1]Cluster_Master!$G$4:$G$18,MATCH($F870,[1]Cluster_Master!$B$4:$B$18,0)),"")</f>
        <v/>
      </c>
      <c r="M870" s="29" t="str">
        <f>IFERROR(INDEX([1]Cluster_Master!$H$4:$H$18,MATCH($F870,[1]Cluster_Master!$B$4:$B$18,0)),"")</f>
        <v/>
      </c>
      <c r="AI870" s="29" t="str">
        <f>IF(COUNTA(T870:AH870)=0,"",SUM(T870:AH870))</f>
        <v/>
      </c>
      <c r="AJ870" s="29" t="str">
        <f>IF(COUNTA(T870:AH870)=0,"",AI870/75)</f>
        <v/>
      </c>
      <c r="AK870" s="29" t="str">
        <f>IF(COUNTA(T870:AH870)=0,"",(SUM(T870*[1]KPI_Weights!$B$4,U870*[1]KPI_Weights!$B$5,V870*[1]KPI_Weights!$B$6,W870*[1]KPI_Weights!$B$7,X870*[1]KPI_Weights!$B$8,Y870*[1]KPI_Weights!$B$9,Z870*[1]KPI_Weights!$B$10,AA870*[1]KPI_Weights!$B$11,AB870*[1]KPI_Weights!$B$12,AC870*[1]KPI_Weights!$B$13,AD870*[1]KPI_Weights!$B$14,AE870*[1]KPI_Weights!$B$15,AF870*[1]KPI_Weights!$B$16,AG870*[1]KPI_Weights!$B$17,AH870*[1]KPI_Weights!$B$18))/5)</f>
        <v/>
      </c>
      <c r="AL870" s="29" t="str">
        <f>IF(COUNTA(T870:AH870)=0,"",IF(OR(T870&lt;=1,W870&lt;=1,X870&lt;=1,Y870&lt;=1,AB870&lt;=1),"YES","NO"))</f>
        <v/>
      </c>
      <c r="AM870" s="29" t="str">
        <f>IF(AJ870="","",IF(AND(AL870="NO",AJ870&gt;=0.75),"YES","NO"))</f>
        <v/>
      </c>
      <c r="AN870" s="29" t="str">
        <f>IF(AJ870="","",IF(AJ870&lt;0.4,"Critical",IF(AJ870&lt;0.6,"Poor",IF(AJ870&lt;0.75,"Needs Improvement",IF(AJ870&lt;0.9,"Good","Excellent")))))</f>
        <v/>
      </c>
    </row>
    <row r="871" spans="1:40" ht="15" customHeight="1" x14ac:dyDescent="0.25">
      <c r="A871" s="29" t="str">
        <f>IF($B871="","",TEXT($B871,"yyyymmdd")&amp;"-"&amp;SUBSTITUTE($F871," ","")&amp;"-"&amp;TEXT(COUNTIF($F$4:F871,$F871),"00"))</f>
        <v/>
      </c>
      <c r="C871" s="29" t="str">
        <f>IF($B871="","",WEEKNUM($B871,2))</f>
        <v/>
      </c>
      <c r="D871" s="29" t="str">
        <f>IF($B871="","",TEXT($B871,"yyyy-mm"))</f>
        <v/>
      </c>
      <c r="G871" s="29" t="str">
        <f>IF(OR($E871="",$F871=""),"",IFERROR(IF($E871=INDEX([1]Cluster_Master!$A$4:$A$18,MATCH($F871,[1]Cluster_Master!$B$4:$B$18,0)),"OK","CHECK"),"CHECK"))</f>
        <v/>
      </c>
      <c r="H871" s="29" t="str">
        <f>IFERROR(INDEX([1]Cluster_Master!$C$4:$C$18,MATCH($F871,[1]Cluster_Master!$B$4:$B$18,0)),"")</f>
        <v/>
      </c>
      <c r="I871" s="29" t="str">
        <f>IFERROR(INDEX([1]Cluster_Master!$D$4:$D$18,MATCH($F871,[1]Cluster_Master!$B$4:$B$18,0)),"")</f>
        <v/>
      </c>
      <c r="J871" s="29" t="str">
        <f>IFERROR(INDEX([1]Cluster_Master!$E$4:$E$18,MATCH($F871,[1]Cluster_Master!$B$4:$B$18,0)),"")</f>
        <v/>
      </c>
      <c r="K871" s="29" t="str">
        <f>IFERROR(INDEX([1]Cluster_Master!$F$4:$F$18,MATCH($F871,[1]Cluster_Master!$B$4:$B$18,0)),"")</f>
        <v/>
      </c>
      <c r="L871" s="29" t="str">
        <f>IFERROR(INDEX([1]Cluster_Master!$G$4:$G$18,MATCH($F871,[1]Cluster_Master!$B$4:$B$18,0)),"")</f>
        <v/>
      </c>
      <c r="M871" s="29" t="str">
        <f>IFERROR(INDEX([1]Cluster_Master!$H$4:$H$18,MATCH($F871,[1]Cluster_Master!$B$4:$B$18,0)),"")</f>
        <v/>
      </c>
      <c r="AI871" s="29" t="str">
        <f>IF(COUNTA(T871:AH871)=0,"",SUM(T871:AH871))</f>
        <v/>
      </c>
      <c r="AJ871" s="29" t="str">
        <f>IF(COUNTA(T871:AH871)=0,"",AI871/75)</f>
        <v/>
      </c>
      <c r="AK871" s="29" t="str">
        <f>IF(COUNTA(T871:AH871)=0,"",(SUM(T871*[1]KPI_Weights!$B$4,U871*[1]KPI_Weights!$B$5,V871*[1]KPI_Weights!$B$6,W871*[1]KPI_Weights!$B$7,X871*[1]KPI_Weights!$B$8,Y871*[1]KPI_Weights!$B$9,Z871*[1]KPI_Weights!$B$10,AA871*[1]KPI_Weights!$B$11,AB871*[1]KPI_Weights!$B$12,AC871*[1]KPI_Weights!$B$13,AD871*[1]KPI_Weights!$B$14,AE871*[1]KPI_Weights!$B$15,AF871*[1]KPI_Weights!$B$16,AG871*[1]KPI_Weights!$B$17,AH871*[1]KPI_Weights!$B$18))/5)</f>
        <v/>
      </c>
      <c r="AL871" s="29" t="str">
        <f>IF(COUNTA(T871:AH871)=0,"",IF(OR(T871&lt;=1,W871&lt;=1,X871&lt;=1,Y871&lt;=1,AB871&lt;=1),"YES","NO"))</f>
        <v/>
      </c>
      <c r="AM871" s="29" t="str">
        <f>IF(AJ871="","",IF(AND(AL871="NO",AJ871&gt;=0.75),"YES","NO"))</f>
        <v/>
      </c>
      <c r="AN871" s="29" t="str">
        <f>IF(AJ871="","",IF(AJ871&lt;0.4,"Critical",IF(AJ871&lt;0.6,"Poor",IF(AJ871&lt;0.75,"Needs Improvement",IF(AJ871&lt;0.9,"Good","Excellent")))))</f>
        <v/>
      </c>
    </row>
    <row r="872" spans="1:40" ht="15" customHeight="1" x14ac:dyDescent="0.25">
      <c r="A872" s="29" t="str">
        <f>IF($B872="","",TEXT($B872,"yyyymmdd")&amp;"-"&amp;SUBSTITUTE($F872," ","")&amp;"-"&amp;TEXT(COUNTIF($F$4:F872,$F872),"00"))</f>
        <v/>
      </c>
      <c r="C872" s="29" t="str">
        <f>IF($B872="","",WEEKNUM($B872,2))</f>
        <v/>
      </c>
      <c r="D872" s="29" t="str">
        <f>IF($B872="","",TEXT($B872,"yyyy-mm"))</f>
        <v/>
      </c>
      <c r="G872" s="29" t="str">
        <f>IF(OR($E872="",$F872=""),"",IFERROR(IF($E872=INDEX([1]Cluster_Master!$A$4:$A$18,MATCH($F872,[1]Cluster_Master!$B$4:$B$18,0)),"OK","CHECK"),"CHECK"))</f>
        <v/>
      </c>
      <c r="H872" s="29" t="str">
        <f>IFERROR(INDEX([1]Cluster_Master!$C$4:$C$18,MATCH($F872,[1]Cluster_Master!$B$4:$B$18,0)),"")</f>
        <v/>
      </c>
      <c r="I872" s="29" t="str">
        <f>IFERROR(INDEX([1]Cluster_Master!$D$4:$D$18,MATCH($F872,[1]Cluster_Master!$B$4:$B$18,0)),"")</f>
        <v/>
      </c>
      <c r="J872" s="29" t="str">
        <f>IFERROR(INDEX([1]Cluster_Master!$E$4:$E$18,MATCH($F872,[1]Cluster_Master!$B$4:$B$18,0)),"")</f>
        <v/>
      </c>
      <c r="K872" s="29" t="str">
        <f>IFERROR(INDEX([1]Cluster_Master!$F$4:$F$18,MATCH($F872,[1]Cluster_Master!$B$4:$B$18,0)),"")</f>
        <v/>
      </c>
      <c r="L872" s="29" t="str">
        <f>IFERROR(INDEX([1]Cluster_Master!$G$4:$G$18,MATCH($F872,[1]Cluster_Master!$B$4:$B$18,0)),"")</f>
        <v/>
      </c>
      <c r="M872" s="29" t="str">
        <f>IFERROR(INDEX([1]Cluster_Master!$H$4:$H$18,MATCH($F872,[1]Cluster_Master!$B$4:$B$18,0)),"")</f>
        <v/>
      </c>
      <c r="AI872" s="29" t="str">
        <f>IF(COUNTA(T872:AH872)=0,"",SUM(T872:AH872))</f>
        <v/>
      </c>
      <c r="AJ872" s="29" t="str">
        <f>IF(COUNTA(T872:AH872)=0,"",AI872/75)</f>
        <v/>
      </c>
      <c r="AK872" s="29" t="str">
        <f>IF(COUNTA(T872:AH872)=0,"",(SUM(T872*[1]KPI_Weights!$B$4,U872*[1]KPI_Weights!$B$5,V872*[1]KPI_Weights!$B$6,W872*[1]KPI_Weights!$B$7,X872*[1]KPI_Weights!$B$8,Y872*[1]KPI_Weights!$B$9,Z872*[1]KPI_Weights!$B$10,AA872*[1]KPI_Weights!$B$11,AB872*[1]KPI_Weights!$B$12,AC872*[1]KPI_Weights!$B$13,AD872*[1]KPI_Weights!$B$14,AE872*[1]KPI_Weights!$B$15,AF872*[1]KPI_Weights!$B$16,AG872*[1]KPI_Weights!$B$17,AH872*[1]KPI_Weights!$B$18))/5)</f>
        <v/>
      </c>
      <c r="AL872" s="29" t="str">
        <f>IF(COUNTA(T872:AH872)=0,"",IF(OR(T872&lt;=1,W872&lt;=1,X872&lt;=1,Y872&lt;=1,AB872&lt;=1),"YES","NO"))</f>
        <v/>
      </c>
      <c r="AM872" s="29" t="str">
        <f>IF(AJ872="","",IF(AND(AL872="NO",AJ872&gt;=0.75),"YES","NO"))</f>
        <v/>
      </c>
      <c r="AN872" s="29" t="str">
        <f>IF(AJ872="","",IF(AJ872&lt;0.4,"Critical",IF(AJ872&lt;0.6,"Poor",IF(AJ872&lt;0.75,"Needs Improvement",IF(AJ872&lt;0.9,"Good","Excellent")))))</f>
        <v/>
      </c>
    </row>
    <row r="873" spans="1:40" ht="15" customHeight="1" x14ac:dyDescent="0.25">
      <c r="A873" s="29" t="str">
        <f>IF($B873="","",TEXT($B873,"yyyymmdd")&amp;"-"&amp;SUBSTITUTE($F873," ","")&amp;"-"&amp;TEXT(COUNTIF($F$4:F873,$F873),"00"))</f>
        <v/>
      </c>
      <c r="C873" s="29" t="str">
        <f>IF($B873="","",WEEKNUM($B873,2))</f>
        <v/>
      </c>
      <c r="D873" s="29" t="str">
        <f>IF($B873="","",TEXT($B873,"yyyy-mm"))</f>
        <v/>
      </c>
      <c r="G873" s="29" t="str">
        <f>IF(OR($E873="",$F873=""),"",IFERROR(IF($E873=INDEX([1]Cluster_Master!$A$4:$A$18,MATCH($F873,[1]Cluster_Master!$B$4:$B$18,0)),"OK","CHECK"),"CHECK"))</f>
        <v/>
      </c>
      <c r="H873" s="29" t="str">
        <f>IFERROR(INDEX([1]Cluster_Master!$C$4:$C$18,MATCH($F873,[1]Cluster_Master!$B$4:$B$18,0)),"")</f>
        <v/>
      </c>
      <c r="I873" s="29" t="str">
        <f>IFERROR(INDEX([1]Cluster_Master!$D$4:$D$18,MATCH($F873,[1]Cluster_Master!$B$4:$B$18,0)),"")</f>
        <v/>
      </c>
      <c r="J873" s="29" t="str">
        <f>IFERROR(INDEX([1]Cluster_Master!$E$4:$E$18,MATCH($F873,[1]Cluster_Master!$B$4:$B$18,0)),"")</f>
        <v/>
      </c>
      <c r="K873" s="29" t="str">
        <f>IFERROR(INDEX([1]Cluster_Master!$F$4:$F$18,MATCH($F873,[1]Cluster_Master!$B$4:$B$18,0)),"")</f>
        <v/>
      </c>
      <c r="L873" s="29" t="str">
        <f>IFERROR(INDEX([1]Cluster_Master!$G$4:$G$18,MATCH($F873,[1]Cluster_Master!$B$4:$B$18,0)),"")</f>
        <v/>
      </c>
      <c r="M873" s="29" t="str">
        <f>IFERROR(INDEX([1]Cluster_Master!$H$4:$H$18,MATCH($F873,[1]Cluster_Master!$B$4:$B$18,0)),"")</f>
        <v/>
      </c>
      <c r="AI873" s="29" t="str">
        <f>IF(COUNTA(T873:AH873)=0,"",SUM(T873:AH873))</f>
        <v/>
      </c>
      <c r="AJ873" s="29" t="str">
        <f>IF(COUNTA(T873:AH873)=0,"",AI873/75)</f>
        <v/>
      </c>
      <c r="AK873" s="29" t="str">
        <f>IF(COUNTA(T873:AH873)=0,"",(SUM(T873*[1]KPI_Weights!$B$4,U873*[1]KPI_Weights!$B$5,V873*[1]KPI_Weights!$B$6,W873*[1]KPI_Weights!$B$7,X873*[1]KPI_Weights!$B$8,Y873*[1]KPI_Weights!$B$9,Z873*[1]KPI_Weights!$B$10,AA873*[1]KPI_Weights!$B$11,AB873*[1]KPI_Weights!$B$12,AC873*[1]KPI_Weights!$B$13,AD873*[1]KPI_Weights!$B$14,AE873*[1]KPI_Weights!$B$15,AF873*[1]KPI_Weights!$B$16,AG873*[1]KPI_Weights!$B$17,AH873*[1]KPI_Weights!$B$18))/5)</f>
        <v/>
      </c>
      <c r="AL873" s="29" t="str">
        <f>IF(COUNTA(T873:AH873)=0,"",IF(OR(T873&lt;=1,W873&lt;=1,X873&lt;=1,Y873&lt;=1,AB873&lt;=1),"YES","NO"))</f>
        <v/>
      </c>
      <c r="AM873" s="29" t="str">
        <f>IF(AJ873="","",IF(AND(AL873="NO",AJ873&gt;=0.75),"YES","NO"))</f>
        <v/>
      </c>
      <c r="AN873" s="29" t="str">
        <f>IF(AJ873="","",IF(AJ873&lt;0.4,"Critical",IF(AJ873&lt;0.6,"Poor",IF(AJ873&lt;0.75,"Needs Improvement",IF(AJ873&lt;0.9,"Good","Excellent")))))</f>
        <v/>
      </c>
    </row>
    <row r="874" spans="1:40" ht="15" customHeight="1" x14ac:dyDescent="0.25">
      <c r="A874" s="29" t="str">
        <f>IF($B874="","",TEXT($B874,"yyyymmdd")&amp;"-"&amp;SUBSTITUTE($F874," ","")&amp;"-"&amp;TEXT(COUNTIF($F$4:F874,$F874),"00"))</f>
        <v/>
      </c>
      <c r="C874" s="29" t="str">
        <f>IF($B874="","",WEEKNUM($B874,2))</f>
        <v/>
      </c>
      <c r="D874" s="29" t="str">
        <f>IF($B874="","",TEXT($B874,"yyyy-mm"))</f>
        <v/>
      </c>
      <c r="G874" s="29" t="str">
        <f>IF(OR($E874="",$F874=""),"",IFERROR(IF($E874=INDEX([1]Cluster_Master!$A$4:$A$18,MATCH($F874,[1]Cluster_Master!$B$4:$B$18,0)),"OK","CHECK"),"CHECK"))</f>
        <v/>
      </c>
      <c r="H874" s="29" t="str">
        <f>IFERROR(INDEX([1]Cluster_Master!$C$4:$C$18,MATCH($F874,[1]Cluster_Master!$B$4:$B$18,0)),"")</f>
        <v/>
      </c>
      <c r="I874" s="29" t="str">
        <f>IFERROR(INDEX([1]Cluster_Master!$D$4:$D$18,MATCH($F874,[1]Cluster_Master!$B$4:$B$18,0)),"")</f>
        <v/>
      </c>
      <c r="J874" s="29" t="str">
        <f>IFERROR(INDEX([1]Cluster_Master!$E$4:$E$18,MATCH($F874,[1]Cluster_Master!$B$4:$B$18,0)),"")</f>
        <v/>
      </c>
      <c r="K874" s="29" t="str">
        <f>IFERROR(INDEX([1]Cluster_Master!$F$4:$F$18,MATCH($F874,[1]Cluster_Master!$B$4:$B$18,0)),"")</f>
        <v/>
      </c>
      <c r="L874" s="29" t="str">
        <f>IFERROR(INDEX([1]Cluster_Master!$G$4:$G$18,MATCH($F874,[1]Cluster_Master!$B$4:$B$18,0)),"")</f>
        <v/>
      </c>
      <c r="M874" s="29" t="str">
        <f>IFERROR(INDEX([1]Cluster_Master!$H$4:$H$18,MATCH($F874,[1]Cluster_Master!$B$4:$B$18,0)),"")</f>
        <v/>
      </c>
      <c r="AI874" s="29" t="str">
        <f>IF(COUNTA(T874:AH874)=0,"",SUM(T874:AH874))</f>
        <v/>
      </c>
      <c r="AJ874" s="29" t="str">
        <f>IF(COUNTA(T874:AH874)=0,"",AI874/75)</f>
        <v/>
      </c>
      <c r="AK874" s="29" t="str">
        <f>IF(COUNTA(T874:AH874)=0,"",(SUM(T874*[1]KPI_Weights!$B$4,U874*[1]KPI_Weights!$B$5,V874*[1]KPI_Weights!$B$6,W874*[1]KPI_Weights!$B$7,X874*[1]KPI_Weights!$B$8,Y874*[1]KPI_Weights!$B$9,Z874*[1]KPI_Weights!$B$10,AA874*[1]KPI_Weights!$B$11,AB874*[1]KPI_Weights!$B$12,AC874*[1]KPI_Weights!$B$13,AD874*[1]KPI_Weights!$B$14,AE874*[1]KPI_Weights!$B$15,AF874*[1]KPI_Weights!$B$16,AG874*[1]KPI_Weights!$B$17,AH874*[1]KPI_Weights!$B$18))/5)</f>
        <v/>
      </c>
      <c r="AL874" s="29" t="str">
        <f>IF(COUNTA(T874:AH874)=0,"",IF(OR(T874&lt;=1,W874&lt;=1,X874&lt;=1,Y874&lt;=1,AB874&lt;=1),"YES","NO"))</f>
        <v/>
      </c>
      <c r="AM874" s="29" t="str">
        <f>IF(AJ874="","",IF(AND(AL874="NO",AJ874&gt;=0.75),"YES","NO"))</f>
        <v/>
      </c>
      <c r="AN874" s="29" t="str">
        <f>IF(AJ874="","",IF(AJ874&lt;0.4,"Critical",IF(AJ874&lt;0.6,"Poor",IF(AJ874&lt;0.75,"Needs Improvement",IF(AJ874&lt;0.9,"Good","Excellent")))))</f>
        <v/>
      </c>
    </row>
    <row r="875" spans="1:40" ht="15" customHeight="1" x14ac:dyDescent="0.25">
      <c r="A875" s="29" t="str">
        <f>IF($B875="","",TEXT($B875,"yyyymmdd")&amp;"-"&amp;SUBSTITUTE($F875," ","")&amp;"-"&amp;TEXT(COUNTIF($F$4:F875,$F875),"00"))</f>
        <v/>
      </c>
      <c r="C875" s="29" t="str">
        <f>IF($B875="","",WEEKNUM($B875,2))</f>
        <v/>
      </c>
      <c r="D875" s="29" t="str">
        <f>IF($B875="","",TEXT($B875,"yyyy-mm"))</f>
        <v/>
      </c>
      <c r="G875" s="29" t="str">
        <f>IF(OR($E875="",$F875=""),"",IFERROR(IF($E875=INDEX([1]Cluster_Master!$A$4:$A$18,MATCH($F875,[1]Cluster_Master!$B$4:$B$18,0)),"OK","CHECK"),"CHECK"))</f>
        <v/>
      </c>
      <c r="H875" s="29" t="str">
        <f>IFERROR(INDEX([1]Cluster_Master!$C$4:$C$18,MATCH($F875,[1]Cluster_Master!$B$4:$B$18,0)),"")</f>
        <v/>
      </c>
      <c r="I875" s="29" t="str">
        <f>IFERROR(INDEX([1]Cluster_Master!$D$4:$D$18,MATCH($F875,[1]Cluster_Master!$B$4:$B$18,0)),"")</f>
        <v/>
      </c>
      <c r="J875" s="29" t="str">
        <f>IFERROR(INDEX([1]Cluster_Master!$E$4:$E$18,MATCH($F875,[1]Cluster_Master!$B$4:$B$18,0)),"")</f>
        <v/>
      </c>
      <c r="K875" s="29" t="str">
        <f>IFERROR(INDEX([1]Cluster_Master!$F$4:$F$18,MATCH($F875,[1]Cluster_Master!$B$4:$B$18,0)),"")</f>
        <v/>
      </c>
      <c r="L875" s="29" t="str">
        <f>IFERROR(INDEX([1]Cluster_Master!$G$4:$G$18,MATCH($F875,[1]Cluster_Master!$B$4:$B$18,0)),"")</f>
        <v/>
      </c>
      <c r="M875" s="29" t="str">
        <f>IFERROR(INDEX([1]Cluster_Master!$H$4:$H$18,MATCH($F875,[1]Cluster_Master!$B$4:$B$18,0)),"")</f>
        <v/>
      </c>
      <c r="AI875" s="29" t="str">
        <f>IF(COUNTA(T875:AH875)=0,"",SUM(T875:AH875))</f>
        <v/>
      </c>
      <c r="AJ875" s="29" t="str">
        <f>IF(COUNTA(T875:AH875)=0,"",AI875/75)</f>
        <v/>
      </c>
      <c r="AK875" s="29" t="str">
        <f>IF(COUNTA(T875:AH875)=0,"",(SUM(T875*[1]KPI_Weights!$B$4,U875*[1]KPI_Weights!$B$5,V875*[1]KPI_Weights!$B$6,W875*[1]KPI_Weights!$B$7,X875*[1]KPI_Weights!$B$8,Y875*[1]KPI_Weights!$B$9,Z875*[1]KPI_Weights!$B$10,AA875*[1]KPI_Weights!$B$11,AB875*[1]KPI_Weights!$B$12,AC875*[1]KPI_Weights!$B$13,AD875*[1]KPI_Weights!$B$14,AE875*[1]KPI_Weights!$B$15,AF875*[1]KPI_Weights!$B$16,AG875*[1]KPI_Weights!$B$17,AH875*[1]KPI_Weights!$B$18))/5)</f>
        <v/>
      </c>
      <c r="AL875" s="29" t="str">
        <f>IF(COUNTA(T875:AH875)=0,"",IF(OR(T875&lt;=1,W875&lt;=1,X875&lt;=1,Y875&lt;=1,AB875&lt;=1),"YES","NO"))</f>
        <v/>
      </c>
      <c r="AM875" s="29" t="str">
        <f>IF(AJ875="","",IF(AND(AL875="NO",AJ875&gt;=0.75),"YES","NO"))</f>
        <v/>
      </c>
      <c r="AN875" s="29" t="str">
        <f>IF(AJ875="","",IF(AJ875&lt;0.4,"Critical",IF(AJ875&lt;0.6,"Poor",IF(AJ875&lt;0.75,"Needs Improvement",IF(AJ875&lt;0.9,"Good","Excellent")))))</f>
        <v/>
      </c>
    </row>
    <row r="876" spans="1:40" ht="15" customHeight="1" x14ac:dyDescent="0.25">
      <c r="A876" s="29" t="str">
        <f>IF($B876="","",TEXT($B876,"yyyymmdd")&amp;"-"&amp;SUBSTITUTE($F876," ","")&amp;"-"&amp;TEXT(COUNTIF($F$4:F876,$F876),"00"))</f>
        <v/>
      </c>
      <c r="C876" s="29" t="str">
        <f>IF($B876="","",WEEKNUM($B876,2))</f>
        <v/>
      </c>
      <c r="D876" s="29" t="str">
        <f>IF($B876="","",TEXT($B876,"yyyy-mm"))</f>
        <v/>
      </c>
      <c r="G876" s="29" t="str">
        <f>IF(OR($E876="",$F876=""),"",IFERROR(IF($E876=INDEX([1]Cluster_Master!$A$4:$A$18,MATCH($F876,[1]Cluster_Master!$B$4:$B$18,0)),"OK","CHECK"),"CHECK"))</f>
        <v/>
      </c>
      <c r="H876" s="29" t="str">
        <f>IFERROR(INDEX([1]Cluster_Master!$C$4:$C$18,MATCH($F876,[1]Cluster_Master!$B$4:$B$18,0)),"")</f>
        <v/>
      </c>
      <c r="I876" s="29" t="str">
        <f>IFERROR(INDEX([1]Cluster_Master!$D$4:$D$18,MATCH($F876,[1]Cluster_Master!$B$4:$B$18,0)),"")</f>
        <v/>
      </c>
      <c r="J876" s="29" t="str">
        <f>IFERROR(INDEX([1]Cluster_Master!$E$4:$E$18,MATCH($F876,[1]Cluster_Master!$B$4:$B$18,0)),"")</f>
        <v/>
      </c>
      <c r="K876" s="29" t="str">
        <f>IFERROR(INDEX([1]Cluster_Master!$F$4:$F$18,MATCH($F876,[1]Cluster_Master!$B$4:$B$18,0)),"")</f>
        <v/>
      </c>
      <c r="L876" s="29" t="str">
        <f>IFERROR(INDEX([1]Cluster_Master!$G$4:$G$18,MATCH($F876,[1]Cluster_Master!$B$4:$B$18,0)),"")</f>
        <v/>
      </c>
      <c r="M876" s="29" t="str">
        <f>IFERROR(INDEX([1]Cluster_Master!$H$4:$H$18,MATCH($F876,[1]Cluster_Master!$B$4:$B$18,0)),"")</f>
        <v/>
      </c>
      <c r="AI876" s="29" t="str">
        <f>IF(COUNTA(T876:AH876)=0,"",SUM(T876:AH876))</f>
        <v/>
      </c>
      <c r="AJ876" s="29" t="str">
        <f>IF(COUNTA(T876:AH876)=0,"",AI876/75)</f>
        <v/>
      </c>
      <c r="AK876" s="29" t="str">
        <f>IF(COUNTA(T876:AH876)=0,"",(SUM(T876*[1]KPI_Weights!$B$4,U876*[1]KPI_Weights!$B$5,V876*[1]KPI_Weights!$B$6,W876*[1]KPI_Weights!$B$7,X876*[1]KPI_Weights!$B$8,Y876*[1]KPI_Weights!$B$9,Z876*[1]KPI_Weights!$B$10,AA876*[1]KPI_Weights!$B$11,AB876*[1]KPI_Weights!$B$12,AC876*[1]KPI_Weights!$B$13,AD876*[1]KPI_Weights!$B$14,AE876*[1]KPI_Weights!$B$15,AF876*[1]KPI_Weights!$B$16,AG876*[1]KPI_Weights!$B$17,AH876*[1]KPI_Weights!$B$18))/5)</f>
        <v/>
      </c>
      <c r="AL876" s="29" t="str">
        <f>IF(COUNTA(T876:AH876)=0,"",IF(OR(T876&lt;=1,W876&lt;=1,X876&lt;=1,Y876&lt;=1,AB876&lt;=1),"YES","NO"))</f>
        <v/>
      </c>
      <c r="AM876" s="29" t="str">
        <f>IF(AJ876="","",IF(AND(AL876="NO",AJ876&gt;=0.75),"YES","NO"))</f>
        <v/>
      </c>
      <c r="AN876" s="29" t="str">
        <f>IF(AJ876="","",IF(AJ876&lt;0.4,"Critical",IF(AJ876&lt;0.6,"Poor",IF(AJ876&lt;0.75,"Needs Improvement",IF(AJ876&lt;0.9,"Good","Excellent")))))</f>
        <v/>
      </c>
    </row>
    <row r="877" spans="1:40" ht="15" customHeight="1" x14ac:dyDescent="0.25">
      <c r="A877" s="29" t="str">
        <f>IF($B877="","",TEXT($B877,"yyyymmdd")&amp;"-"&amp;SUBSTITUTE($F877," ","")&amp;"-"&amp;TEXT(COUNTIF($F$4:F877,$F877),"00"))</f>
        <v/>
      </c>
      <c r="C877" s="29" t="str">
        <f>IF($B877="","",WEEKNUM($B877,2))</f>
        <v/>
      </c>
      <c r="D877" s="29" t="str">
        <f>IF($B877="","",TEXT($B877,"yyyy-mm"))</f>
        <v/>
      </c>
      <c r="G877" s="29" t="str">
        <f>IF(OR($E877="",$F877=""),"",IFERROR(IF($E877=INDEX([1]Cluster_Master!$A$4:$A$18,MATCH($F877,[1]Cluster_Master!$B$4:$B$18,0)),"OK","CHECK"),"CHECK"))</f>
        <v/>
      </c>
      <c r="H877" s="29" t="str">
        <f>IFERROR(INDEX([1]Cluster_Master!$C$4:$C$18,MATCH($F877,[1]Cluster_Master!$B$4:$B$18,0)),"")</f>
        <v/>
      </c>
      <c r="I877" s="29" t="str">
        <f>IFERROR(INDEX([1]Cluster_Master!$D$4:$D$18,MATCH($F877,[1]Cluster_Master!$B$4:$B$18,0)),"")</f>
        <v/>
      </c>
      <c r="J877" s="29" t="str">
        <f>IFERROR(INDEX([1]Cluster_Master!$E$4:$E$18,MATCH($F877,[1]Cluster_Master!$B$4:$B$18,0)),"")</f>
        <v/>
      </c>
      <c r="K877" s="29" t="str">
        <f>IFERROR(INDEX([1]Cluster_Master!$F$4:$F$18,MATCH($F877,[1]Cluster_Master!$B$4:$B$18,0)),"")</f>
        <v/>
      </c>
      <c r="L877" s="29" t="str">
        <f>IFERROR(INDEX([1]Cluster_Master!$G$4:$G$18,MATCH($F877,[1]Cluster_Master!$B$4:$B$18,0)),"")</f>
        <v/>
      </c>
      <c r="M877" s="29" t="str">
        <f>IFERROR(INDEX([1]Cluster_Master!$H$4:$H$18,MATCH($F877,[1]Cluster_Master!$B$4:$B$18,0)),"")</f>
        <v/>
      </c>
      <c r="AI877" s="29" t="str">
        <f>IF(COUNTA(T877:AH877)=0,"",SUM(T877:AH877))</f>
        <v/>
      </c>
      <c r="AJ877" s="29" t="str">
        <f>IF(COUNTA(T877:AH877)=0,"",AI877/75)</f>
        <v/>
      </c>
      <c r="AK877" s="29" t="str">
        <f>IF(COUNTA(T877:AH877)=0,"",(SUM(T877*[1]KPI_Weights!$B$4,U877*[1]KPI_Weights!$B$5,V877*[1]KPI_Weights!$B$6,W877*[1]KPI_Weights!$B$7,X877*[1]KPI_Weights!$B$8,Y877*[1]KPI_Weights!$B$9,Z877*[1]KPI_Weights!$B$10,AA877*[1]KPI_Weights!$B$11,AB877*[1]KPI_Weights!$B$12,AC877*[1]KPI_Weights!$B$13,AD877*[1]KPI_Weights!$B$14,AE877*[1]KPI_Weights!$B$15,AF877*[1]KPI_Weights!$B$16,AG877*[1]KPI_Weights!$B$17,AH877*[1]KPI_Weights!$B$18))/5)</f>
        <v/>
      </c>
      <c r="AL877" s="29" t="str">
        <f>IF(COUNTA(T877:AH877)=0,"",IF(OR(T877&lt;=1,W877&lt;=1,X877&lt;=1,Y877&lt;=1,AB877&lt;=1),"YES","NO"))</f>
        <v/>
      </c>
      <c r="AM877" s="29" t="str">
        <f>IF(AJ877="","",IF(AND(AL877="NO",AJ877&gt;=0.75),"YES","NO"))</f>
        <v/>
      </c>
      <c r="AN877" s="29" t="str">
        <f>IF(AJ877="","",IF(AJ877&lt;0.4,"Critical",IF(AJ877&lt;0.6,"Poor",IF(AJ877&lt;0.75,"Needs Improvement",IF(AJ877&lt;0.9,"Good","Excellent")))))</f>
        <v/>
      </c>
    </row>
    <row r="878" spans="1:40" ht="15" customHeight="1" x14ac:dyDescent="0.25">
      <c r="A878" s="29" t="str">
        <f>IF($B878="","",TEXT($B878,"yyyymmdd")&amp;"-"&amp;SUBSTITUTE($F878," ","")&amp;"-"&amp;TEXT(COUNTIF($F$4:F878,$F878),"00"))</f>
        <v/>
      </c>
      <c r="C878" s="29" t="str">
        <f>IF($B878="","",WEEKNUM($B878,2))</f>
        <v/>
      </c>
      <c r="D878" s="29" t="str">
        <f>IF($B878="","",TEXT($B878,"yyyy-mm"))</f>
        <v/>
      </c>
      <c r="G878" s="29" t="str">
        <f>IF(OR($E878="",$F878=""),"",IFERROR(IF($E878=INDEX([1]Cluster_Master!$A$4:$A$18,MATCH($F878,[1]Cluster_Master!$B$4:$B$18,0)),"OK","CHECK"),"CHECK"))</f>
        <v/>
      </c>
      <c r="H878" s="29" t="str">
        <f>IFERROR(INDEX([1]Cluster_Master!$C$4:$C$18,MATCH($F878,[1]Cluster_Master!$B$4:$B$18,0)),"")</f>
        <v/>
      </c>
      <c r="I878" s="29" t="str">
        <f>IFERROR(INDEX([1]Cluster_Master!$D$4:$D$18,MATCH($F878,[1]Cluster_Master!$B$4:$B$18,0)),"")</f>
        <v/>
      </c>
      <c r="J878" s="29" t="str">
        <f>IFERROR(INDEX([1]Cluster_Master!$E$4:$E$18,MATCH($F878,[1]Cluster_Master!$B$4:$B$18,0)),"")</f>
        <v/>
      </c>
      <c r="K878" s="29" t="str">
        <f>IFERROR(INDEX([1]Cluster_Master!$F$4:$F$18,MATCH($F878,[1]Cluster_Master!$B$4:$B$18,0)),"")</f>
        <v/>
      </c>
      <c r="L878" s="29" t="str">
        <f>IFERROR(INDEX([1]Cluster_Master!$G$4:$G$18,MATCH($F878,[1]Cluster_Master!$B$4:$B$18,0)),"")</f>
        <v/>
      </c>
      <c r="M878" s="29" t="str">
        <f>IFERROR(INDEX([1]Cluster_Master!$H$4:$H$18,MATCH($F878,[1]Cluster_Master!$B$4:$B$18,0)),"")</f>
        <v/>
      </c>
      <c r="AI878" s="29" t="str">
        <f>IF(COUNTA(T878:AH878)=0,"",SUM(T878:AH878))</f>
        <v/>
      </c>
      <c r="AJ878" s="29" t="str">
        <f>IF(COUNTA(T878:AH878)=0,"",AI878/75)</f>
        <v/>
      </c>
      <c r="AK878" s="29" t="str">
        <f>IF(COUNTA(T878:AH878)=0,"",(SUM(T878*[1]KPI_Weights!$B$4,U878*[1]KPI_Weights!$B$5,V878*[1]KPI_Weights!$B$6,W878*[1]KPI_Weights!$B$7,X878*[1]KPI_Weights!$B$8,Y878*[1]KPI_Weights!$B$9,Z878*[1]KPI_Weights!$B$10,AA878*[1]KPI_Weights!$B$11,AB878*[1]KPI_Weights!$B$12,AC878*[1]KPI_Weights!$B$13,AD878*[1]KPI_Weights!$B$14,AE878*[1]KPI_Weights!$B$15,AF878*[1]KPI_Weights!$B$16,AG878*[1]KPI_Weights!$B$17,AH878*[1]KPI_Weights!$B$18))/5)</f>
        <v/>
      </c>
      <c r="AL878" s="29" t="str">
        <f>IF(COUNTA(T878:AH878)=0,"",IF(OR(T878&lt;=1,W878&lt;=1,X878&lt;=1,Y878&lt;=1,AB878&lt;=1),"YES","NO"))</f>
        <v/>
      </c>
      <c r="AM878" s="29" t="str">
        <f>IF(AJ878="","",IF(AND(AL878="NO",AJ878&gt;=0.75),"YES","NO"))</f>
        <v/>
      </c>
      <c r="AN878" s="29" t="str">
        <f>IF(AJ878="","",IF(AJ878&lt;0.4,"Critical",IF(AJ878&lt;0.6,"Poor",IF(AJ878&lt;0.75,"Needs Improvement",IF(AJ878&lt;0.9,"Good","Excellent")))))</f>
        <v/>
      </c>
    </row>
    <row r="879" spans="1:40" ht="15" customHeight="1" x14ac:dyDescent="0.25">
      <c r="A879" s="29" t="str">
        <f>IF($B879="","",TEXT($B879,"yyyymmdd")&amp;"-"&amp;SUBSTITUTE($F879," ","")&amp;"-"&amp;TEXT(COUNTIF($F$4:F879,$F879),"00"))</f>
        <v/>
      </c>
      <c r="C879" s="29" t="str">
        <f>IF($B879="","",WEEKNUM($B879,2))</f>
        <v/>
      </c>
      <c r="D879" s="29" t="str">
        <f>IF($B879="","",TEXT($B879,"yyyy-mm"))</f>
        <v/>
      </c>
      <c r="G879" s="29" t="str">
        <f>IF(OR($E879="",$F879=""),"",IFERROR(IF($E879=INDEX([1]Cluster_Master!$A$4:$A$18,MATCH($F879,[1]Cluster_Master!$B$4:$B$18,0)),"OK","CHECK"),"CHECK"))</f>
        <v/>
      </c>
      <c r="H879" s="29" t="str">
        <f>IFERROR(INDEX([1]Cluster_Master!$C$4:$C$18,MATCH($F879,[1]Cluster_Master!$B$4:$B$18,0)),"")</f>
        <v/>
      </c>
      <c r="I879" s="29" t="str">
        <f>IFERROR(INDEX([1]Cluster_Master!$D$4:$D$18,MATCH($F879,[1]Cluster_Master!$B$4:$B$18,0)),"")</f>
        <v/>
      </c>
      <c r="J879" s="29" t="str">
        <f>IFERROR(INDEX([1]Cluster_Master!$E$4:$E$18,MATCH($F879,[1]Cluster_Master!$B$4:$B$18,0)),"")</f>
        <v/>
      </c>
      <c r="K879" s="29" t="str">
        <f>IFERROR(INDEX([1]Cluster_Master!$F$4:$F$18,MATCH($F879,[1]Cluster_Master!$B$4:$B$18,0)),"")</f>
        <v/>
      </c>
      <c r="L879" s="29" t="str">
        <f>IFERROR(INDEX([1]Cluster_Master!$G$4:$G$18,MATCH($F879,[1]Cluster_Master!$B$4:$B$18,0)),"")</f>
        <v/>
      </c>
      <c r="M879" s="29" t="str">
        <f>IFERROR(INDEX([1]Cluster_Master!$H$4:$H$18,MATCH($F879,[1]Cluster_Master!$B$4:$B$18,0)),"")</f>
        <v/>
      </c>
      <c r="AI879" s="29" t="str">
        <f>IF(COUNTA(T879:AH879)=0,"",SUM(T879:AH879))</f>
        <v/>
      </c>
      <c r="AJ879" s="29" t="str">
        <f>IF(COUNTA(T879:AH879)=0,"",AI879/75)</f>
        <v/>
      </c>
      <c r="AK879" s="29" t="str">
        <f>IF(COUNTA(T879:AH879)=0,"",(SUM(T879*[1]KPI_Weights!$B$4,U879*[1]KPI_Weights!$B$5,V879*[1]KPI_Weights!$B$6,W879*[1]KPI_Weights!$B$7,X879*[1]KPI_Weights!$B$8,Y879*[1]KPI_Weights!$B$9,Z879*[1]KPI_Weights!$B$10,AA879*[1]KPI_Weights!$B$11,AB879*[1]KPI_Weights!$B$12,AC879*[1]KPI_Weights!$B$13,AD879*[1]KPI_Weights!$B$14,AE879*[1]KPI_Weights!$B$15,AF879*[1]KPI_Weights!$B$16,AG879*[1]KPI_Weights!$B$17,AH879*[1]KPI_Weights!$B$18))/5)</f>
        <v/>
      </c>
      <c r="AL879" s="29" t="str">
        <f>IF(COUNTA(T879:AH879)=0,"",IF(OR(T879&lt;=1,W879&lt;=1,X879&lt;=1,Y879&lt;=1,AB879&lt;=1),"YES","NO"))</f>
        <v/>
      </c>
      <c r="AM879" s="29" t="str">
        <f>IF(AJ879="","",IF(AND(AL879="NO",AJ879&gt;=0.75),"YES","NO"))</f>
        <v/>
      </c>
      <c r="AN879" s="29" t="str">
        <f>IF(AJ879="","",IF(AJ879&lt;0.4,"Critical",IF(AJ879&lt;0.6,"Poor",IF(AJ879&lt;0.75,"Needs Improvement",IF(AJ879&lt;0.9,"Good","Excellent")))))</f>
        <v/>
      </c>
    </row>
    <row r="880" spans="1:40" ht="15" customHeight="1" x14ac:dyDescent="0.25">
      <c r="A880" s="29" t="str">
        <f>IF($B880="","",TEXT($B880,"yyyymmdd")&amp;"-"&amp;SUBSTITUTE($F880," ","")&amp;"-"&amp;TEXT(COUNTIF($F$4:F880,$F880),"00"))</f>
        <v/>
      </c>
      <c r="C880" s="29" t="str">
        <f>IF($B880="","",WEEKNUM($B880,2))</f>
        <v/>
      </c>
      <c r="D880" s="29" t="str">
        <f>IF($B880="","",TEXT($B880,"yyyy-mm"))</f>
        <v/>
      </c>
      <c r="G880" s="29" t="str">
        <f>IF(OR($E880="",$F880=""),"",IFERROR(IF($E880=INDEX([1]Cluster_Master!$A$4:$A$18,MATCH($F880,[1]Cluster_Master!$B$4:$B$18,0)),"OK","CHECK"),"CHECK"))</f>
        <v/>
      </c>
      <c r="H880" s="29" t="str">
        <f>IFERROR(INDEX([1]Cluster_Master!$C$4:$C$18,MATCH($F880,[1]Cluster_Master!$B$4:$B$18,0)),"")</f>
        <v/>
      </c>
      <c r="I880" s="29" t="str">
        <f>IFERROR(INDEX([1]Cluster_Master!$D$4:$D$18,MATCH($F880,[1]Cluster_Master!$B$4:$B$18,0)),"")</f>
        <v/>
      </c>
      <c r="J880" s="29" t="str">
        <f>IFERROR(INDEX([1]Cluster_Master!$E$4:$E$18,MATCH($F880,[1]Cluster_Master!$B$4:$B$18,0)),"")</f>
        <v/>
      </c>
      <c r="K880" s="29" t="str">
        <f>IFERROR(INDEX([1]Cluster_Master!$F$4:$F$18,MATCH($F880,[1]Cluster_Master!$B$4:$B$18,0)),"")</f>
        <v/>
      </c>
      <c r="L880" s="29" t="str">
        <f>IFERROR(INDEX([1]Cluster_Master!$G$4:$G$18,MATCH($F880,[1]Cluster_Master!$B$4:$B$18,0)),"")</f>
        <v/>
      </c>
      <c r="M880" s="29" t="str">
        <f>IFERROR(INDEX([1]Cluster_Master!$H$4:$H$18,MATCH($F880,[1]Cluster_Master!$B$4:$B$18,0)),"")</f>
        <v/>
      </c>
      <c r="AI880" s="29" t="str">
        <f>IF(COUNTA(T880:AH880)=0,"",SUM(T880:AH880))</f>
        <v/>
      </c>
      <c r="AJ880" s="29" t="str">
        <f>IF(COUNTA(T880:AH880)=0,"",AI880/75)</f>
        <v/>
      </c>
      <c r="AK880" s="29" t="str">
        <f>IF(COUNTA(T880:AH880)=0,"",(SUM(T880*[1]KPI_Weights!$B$4,U880*[1]KPI_Weights!$B$5,V880*[1]KPI_Weights!$B$6,W880*[1]KPI_Weights!$B$7,X880*[1]KPI_Weights!$B$8,Y880*[1]KPI_Weights!$B$9,Z880*[1]KPI_Weights!$B$10,AA880*[1]KPI_Weights!$B$11,AB880*[1]KPI_Weights!$B$12,AC880*[1]KPI_Weights!$B$13,AD880*[1]KPI_Weights!$B$14,AE880*[1]KPI_Weights!$B$15,AF880*[1]KPI_Weights!$B$16,AG880*[1]KPI_Weights!$B$17,AH880*[1]KPI_Weights!$B$18))/5)</f>
        <v/>
      </c>
      <c r="AL880" s="29" t="str">
        <f>IF(COUNTA(T880:AH880)=0,"",IF(OR(T880&lt;=1,W880&lt;=1,X880&lt;=1,Y880&lt;=1,AB880&lt;=1),"YES","NO"))</f>
        <v/>
      </c>
      <c r="AM880" s="29" t="str">
        <f>IF(AJ880="","",IF(AND(AL880="NO",AJ880&gt;=0.75),"YES","NO"))</f>
        <v/>
      </c>
      <c r="AN880" s="29" t="str">
        <f>IF(AJ880="","",IF(AJ880&lt;0.4,"Critical",IF(AJ880&lt;0.6,"Poor",IF(AJ880&lt;0.75,"Needs Improvement",IF(AJ880&lt;0.9,"Good","Excellent")))))</f>
        <v/>
      </c>
    </row>
    <row r="881" spans="1:40" ht="15" customHeight="1" x14ac:dyDescent="0.25">
      <c r="A881" s="29" t="str">
        <f>IF($B881="","",TEXT($B881,"yyyymmdd")&amp;"-"&amp;SUBSTITUTE($F881," ","")&amp;"-"&amp;TEXT(COUNTIF($F$4:F881,$F881),"00"))</f>
        <v/>
      </c>
      <c r="C881" s="29" t="str">
        <f>IF($B881="","",WEEKNUM($B881,2))</f>
        <v/>
      </c>
      <c r="D881" s="29" t="str">
        <f>IF($B881="","",TEXT($B881,"yyyy-mm"))</f>
        <v/>
      </c>
      <c r="G881" s="29" t="str">
        <f>IF(OR($E881="",$F881=""),"",IFERROR(IF($E881=INDEX([1]Cluster_Master!$A$4:$A$18,MATCH($F881,[1]Cluster_Master!$B$4:$B$18,0)),"OK","CHECK"),"CHECK"))</f>
        <v/>
      </c>
      <c r="H881" s="29" t="str">
        <f>IFERROR(INDEX([1]Cluster_Master!$C$4:$C$18,MATCH($F881,[1]Cluster_Master!$B$4:$B$18,0)),"")</f>
        <v/>
      </c>
      <c r="I881" s="29" t="str">
        <f>IFERROR(INDEX([1]Cluster_Master!$D$4:$D$18,MATCH($F881,[1]Cluster_Master!$B$4:$B$18,0)),"")</f>
        <v/>
      </c>
      <c r="J881" s="29" t="str">
        <f>IFERROR(INDEX([1]Cluster_Master!$E$4:$E$18,MATCH($F881,[1]Cluster_Master!$B$4:$B$18,0)),"")</f>
        <v/>
      </c>
      <c r="K881" s="29" t="str">
        <f>IFERROR(INDEX([1]Cluster_Master!$F$4:$F$18,MATCH($F881,[1]Cluster_Master!$B$4:$B$18,0)),"")</f>
        <v/>
      </c>
      <c r="L881" s="29" t="str">
        <f>IFERROR(INDEX([1]Cluster_Master!$G$4:$G$18,MATCH($F881,[1]Cluster_Master!$B$4:$B$18,0)),"")</f>
        <v/>
      </c>
      <c r="M881" s="29" t="str">
        <f>IFERROR(INDEX([1]Cluster_Master!$H$4:$H$18,MATCH($F881,[1]Cluster_Master!$B$4:$B$18,0)),"")</f>
        <v/>
      </c>
      <c r="AI881" s="29" t="str">
        <f>IF(COUNTA(T881:AH881)=0,"",SUM(T881:AH881))</f>
        <v/>
      </c>
      <c r="AJ881" s="29" t="str">
        <f>IF(COUNTA(T881:AH881)=0,"",AI881/75)</f>
        <v/>
      </c>
      <c r="AK881" s="29" t="str">
        <f>IF(COUNTA(T881:AH881)=0,"",(SUM(T881*[1]KPI_Weights!$B$4,U881*[1]KPI_Weights!$B$5,V881*[1]KPI_Weights!$B$6,W881*[1]KPI_Weights!$B$7,X881*[1]KPI_Weights!$B$8,Y881*[1]KPI_Weights!$B$9,Z881*[1]KPI_Weights!$B$10,AA881*[1]KPI_Weights!$B$11,AB881*[1]KPI_Weights!$B$12,AC881*[1]KPI_Weights!$B$13,AD881*[1]KPI_Weights!$B$14,AE881*[1]KPI_Weights!$B$15,AF881*[1]KPI_Weights!$B$16,AG881*[1]KPI_Weights!$B$17,AH881*[1]KPI_Weights!$B$18))/5)</f>
        <v/>
      </c>
      <c r="AL881" s="29" t="str">
        <f>IF(COUNTA(T881:AH881)=0,"",IF(OR(T881&lt;=1,W881&lt;=1,X881&lt;=1,Y881&lt;=1,AB881&lt;=1),"YES","NO"))</f>
        <v/>
      </c>
      <c r="AM881" s="29" t="str">
        <f>IF(AJ881="","",IF(AND(AL881="NO",AJ881&gt;=0.75),"YES","NO"))</f>
        <v/>
      </c>
      <c r="AN881" s="29" t="str">
        <f>IF(AJ881="","",IF(AJ881&lt;0.4,"Critical",IF(AJ881&lt;0.6,"Poor",IF(AJ881&lt;0.75,"Needs Improvement",IF(AJ881&lt;0.9,"Good","Excellent")))))</f>
        <v/>
      </c>
    </row>
    <row r="882" spans="1:40" ht="15" customHeight="1" x14ac:dyDescent="0.25">
      <c r="A882" s="29" t="str">
        <f>IF($B882="","",TEXT($B882,"yyyymmdd")&amp;"-"&amp;SUBSTITUTE($F882," ","")&amp;"-"&amp;TEXT(COUNTIF($F$4:F882,$F882),"00"))</f>
        <v/>
      </c>
      <c r="C882" s="29" t="str">
        <f>IF($B882="","",WEEKNUM($B882,2))</f>
        <v/>
      </c>
      <c r="D882" s="29" t="str">
        <f>IF($B882="","",TEXT($B882,"yyyy-mm"))</f>
        <v/>
      </c>
      <c r="G882" s="29" t="str">
        <f>IF(OR($E882="",$F882=""),"",IFERROR(IF($E882=INDEX([1]Cluster_Master!$A$4:$A$18,MATCH($F882,[1]Cluster_Master!$B$4:$B$18,0)),"OK","CHECK"),"CHECK"))</f>
        <v/>
      </c>
      <c r="H882" s="29" t="str">
        <f>IFERROR(INDEX([1]Cluster_Master!$C$4:$C$18,MATCH($F882,[1]Cluster_Master!$B$4:$B$18,0)),"")</f>
        <v/>
      </c>
      <c r="I882" s="29" t="str">
        <f>IFERROR(INDEX([1]Cluster_Master!$D$4:$D$18,MATCH($F882,[1]Cluster_Master!$B$4:$B$18,0)),"")</f>
        <v/>
      </c>
      <c r="J882" s="29" t="str">
        <f>IFERROR(INDEX([1]Cluster_Master!$E$4:$E$18,MATCH($F882,[1]Cluster_Master!$B$4:$B$18,0)),"")</f>
        <v/>
      </c>
      <c r="K882" s="29" t="str">
        <f>IFERROR(INDEX([1]Cluster_Master!$F$4:$F$18,MATCH($F882,[1]Cluster_Master!$B$4:$B$18,0)),"")</f>
        <v/>
      </c>
      <c r="L882" s="29" t="str">
        <f>IFERROR(INDEX([1]Cluster_Master!$G$4:$G$18,MATCH($F882,[1]Cluster_Master!$B$4:$B$18,0)),"")</f>
        <v/>
      </c>
      <c r="M882" s="29" t="str">
        <f>IFERROR(INDEX([1]Cluster_Master!$H$4:$H$18,MATCH($F882,[1]Cluster_Master!$B$4:$B$18,0)),"")</f>
        <v/>
      </c>
      <c r="AI882" s="29" t="str">
        <f>IF(COUNTA(T882:AH882)=0,"",SUM(T882:AH882))</f>
        <v/>
      </c>
      <c r="AJ882" s="29" t="str">
        <f>IF(COUNTA(T882:AH882)=0,"",AI882/75)</f>
        <v/>
      </c>
      <c r="AK882" s="29" t="str">
        <f>IF(COUNTA(T882:AH882)=0,"",(SUM(T882*[1]KPI_Weights!$B$4,U882*[1]KPI_Weights!$B$5,V882*[1]KPI_Weights!$B$6,W882*[1]KPI_Weights!$B$7,X882*[1]KPI_Weights!$B$8,Y882*[1]KPI_Weights!$B$9,Z882*[1]KPI_Weights!$B$10,AA882*[1]KPI_Weights!$B$11,AB882*[1]KPI_Weights!$B$12,AC882*[1]KPI_Weights!$B$13,AD882*[1]KPI_Weights!$B$14,AE882*[1]KPI_Weights!$B$15,AF882*[1]KPI_Weights!$B$16,AG882*[1]KPI_Weights!$B$17,AH882*[1]KPI_Weights!$B$18))/5)</f>
        <v/>
      </c>
      <c r="AL882" s="29" t="str">
        <f>IF(COUNTA(T882:AH882)=0,"",IF(OR(T882&lt;=1,W882&lt;=1,X882&lt;=1,Y882&lt;=1,AB882&lt;=1),"YES","NO"))</f>
        <v/>
      </c>
      <c r="AM882" s="29" t="str">
        <f>IF(AJ882="","",IF(AND(AL882="NO",AJ882&gt;=0.75),"YES","NO"))</f>
        <v/>
      </c>
      <c r="AN882" s="29" t="str">
        <f>IF(AJ882="","",IF(AJ882&lt;0.4,"Critical",IF(AJ882&lt;0.6,"Poor",IF(AJ882&lt;0.75,"Needs Improvement",IF(AJ882&lt;0.9,"Good","Excellent")))))</f>
        <v/>
      </c>
    </row>
    <row r="883" spans="1:40" ht="15" customHeight="1" x14ac:dyDescent="0.25">
      <c r="A883" s="29" t="str">
        <f>IF($B883="","",TEXT($B883,"yyyymmdd")&amp;"-"&amp;SUBSTITUTE($F883," ","")&amp;"-"&amp;TEXT(COUNTIF($F$4:F883,$F883),"00"))</f>
        <v/>
      </c>
      <c r="C883" s="29" t="str">
        <f>IF($B883="","",WEEKNUM($B883,2))</f>
        <v/>
      </c>
      <c r="D883" s="29" t="str">
        <f>IF($B883="","",TEXT($B883,"yyyy-mm"))</f>
        <v/>
      </c>
      <c r="G883" s="29" t="str">
        <f>IF(OR($E883="",$F883=""),"",IFERROR(IF($E883=INDEX([1]Cluster_Master!$A$4:$A$18,MATCH($F883,[1]Cluster_Master!$B$4:$B$18,0)),"OK","CHECK"),"CHECK"))</f>
        <v/>
      </c>
      <c r="H883" s="29" t="str">
        <f>IFERROR(INDEX([1]Cluster_Master!$C$4:$C$18,MATCH($F883,[1]Cluster_Master!$B$4:$B$18,0)),"")</f>
        <v/>
      </c>
      <c r="I883" s="29" t="str">
        <f>IFERROR(INDEX([1]Cluster_Master!$D$4:$D$18,MATCH($F883,[1]Cluster_Master!$B$4:$B$18,0)),"")</f>
        <v/>
      </c>
      <c r="J883" s="29" t="str">
        <f>IFERROR(INDEX([1]Cluster_Master!$E$4:$E$18,MATCH($F883,[1]Cluster_Master!$B$4:$B$18,0)),"")</f>
        <v/>
      </c>
      <c r="K883" s="29" t="str">
        <f>IFERROR(INDEX([1]Cluster_Master!$F$4:$F$18,MATCH($F883,[1]Cluster_Master!$B$4:$B$18,0)),"")</f>
        <v/>
      </c>
      <c r="L883" s="29" t="str">
        <f>IFERROR(INDEX([1]Cluster_Master!$G$4:$G$18,MATCH($F883,[1]Cluster_Master!$B$4:$B$18,0)),"")</f>
        <v/>
      </c>
      <c r="M883" s="29" t="str">
        <f>IFERROR(INDEX([1]Cluster_Master!$H$4:$H$18,MATCH($F883,[1]Cluster_Master!$B$4:$B$18,0)),"")</f>
        <v/>
      </c>
      <c r="AI883" s="29" t="str">
        <f>IF(COUNTA(T883:AH883)=0,"",SUM(T883:AH883))</f>
        <v/>
      </c>
      <c r="AJ883" s="29" t="str">
        <f>IF(COUNTA(T883:AH883)=0,"",AI883/75)</f>
        <v/>
      </c>
      <c r="AK883" s="29" t="str">
        <f>IF(COUNTA(T883:AH883)=0,"",(SUM(T883*[1]KPI_Weights!$B$4,U883*[1]KPI_Weights!$B$5,V883*[1]KPI_Weights!$B$6,W883*[1]KPI_Weights!$B$7,X883*[1]KPI_Weights!$B$8,Y883*[1]KPI_Weights!$B$9,Z883*[1]KPI_Weights!$B$10,AA883*[1]KPI_Weights!$B$11,AB883*[1]KPI_Weights!$B$12,AC883*[1]KPI_Weights!$B$13,AD883*[1]KPI_Weights!$B$14,AE883*[1]KPI_Weights!$B$15,AF883*[1]KPI_Weights!$B$16,AG883*[1]KPI_Weights!$B$17,AH883*[1]KPI_Weights!$B$18))/5)</f>
        <v/>
      </c>
      <c r="AL883" s="29" t="str">
        <f>IF(COUNTA(T883:AH883)=0,"",IF(OR(T883&lt;=1,W883&lt;=1,X883&lt;=1,Y883&lt;=1,AB883&lt;=1),"YES","NO"))</f>
        <v/>
      </c>
      <c r="AM883" s="29" t="str">
        <f>IF(AJ883="","",IF(AND(AL883="NO",AJ883&gt;=0.75),"YES","NO"))</f>
        <v/>
      </c>
      <c r="AN883" s="29" t="str">
        <f>IF(AJ883="","",IF(AJ883&lt;0.4,"Critical",IF(AJ883&lt;0.6,"Poor",IF(AJ883&lt;0.75,"Needs Improvement",IF(AJ883&lt;0.9,"Good","Excellent")))))</f>
        <v/>
      </c>
    </row>
    <row r="884" spans="1:40" ht="15" customHeight="1" x14ac:dyDescent="0.25">
      <c r="A884" s="29" t="str">
        <f>IF($B884="","",TEXT($B884,"yyyymmdd")&amp;"-"&amp;SUBSTITUTE($F884," ","")&amp;"-"&amp;TEXT(COUNTIF($F$4:F884,$F884),"00"))</f>
        <v/>
      </c>
      <c r="C884" s="29" t="str">
        <f>IF($B884="","",WEEKNUM($B884,2))</f>
        <v/>
      </c>
      <c r="D884" s="29" t="str">
        <f>IF($B884="","",TEXT($B884,"yyyy-mm"))</f>
        <v/>
      </c>
      <c r="G884" s="29" t="str">
        <f>IF(OR($E884="",$F884=""),"",IFERROR(IF($E884=INDEX([1]Cluster_Master!$A$4:$A$18,MATCH($F884,[1]Cluster_Master!$B$4:$B$18,0)),"OK","CHECK"),"CHECK"))</f>
        <v/>
      </c>
      <c r="H884" s="29" t="str">
        <f>IFERROR(INDEX([1]Cluster_Master!$C$4:$C$18,MATCH($F884,[1]Cluster_Master!$B$4:$B$18,0)),"")</f>
        <v/>
      </c>
      <c r="I884" s="29" t="str">
        <f>IFERROR(INDEX([1]Cluster_Master!$D$4:$D$18,MATCH($F884,[1]Cluster_Master!$B$4:$B$18,0)),"")</f>
        <v/>
      </c>
      <c r="J884" s="29" t="str">
        <f>IFERROR(INDEX([1]Cluster_Master!$E$4:$E$18,MATCH($F884,[1]Cluster_Master!$B$4:$B$18,0)),"")</f>
        <v/>
      </c>
      <c r="K884" s="29" t="str">
        <f>IFERROR(INDEX([1]Cluster_Master!$F$4:$F$18,MATCH($F884,[1]Cluster_Master!$B$4:$B$18,0)),"")</f>
        <v/>
      </c>
      <c r="L884" s="29" t="str">
        <f>IFERROR(INDEX([1]Cluster_Master!$G$4:$G$18,MATCH($F884,[1]Cluster_Master!$B$4:$B$18,0)),"")</f>
        <v/>
      </c>
      <c r="M884" s="29" t="str">
        <f>IFERROR(INDEX([1]Cluster_Master!$H$4:$H$18,MATCH($F884,[1]Cluster_Master!$B$4:$B$18,0)),"")</f>
        <v/>
      </c>
      <c r="AI884" s="29" t="str">
        <f>IF(COUNTA(T884:AH884)=0,"",SUM(T884:AH884))</f>
        <v/>
      </c>
      <c r="AJ884" s="29" t="str">
        <f>IF(COUNTA(T884:AH884)=0,"",AI884/75)</f>
        <v/>
      </c>
      <c r="AK884" s="29" t="str">
        <f>IF(COUNTA(T884:AH884)=0,"",(SUM(T884*[1]KPI_Weights!$B$4,U884*[1]KPI_Weights!$B$5,V884*[1]KPI_Weights!$B$6,W884*[1]KPI_Weights!$B$7,X884*[1]KPI_Weights!$B$8,Y884*[1]KPI_Weights!$B$9,Z884*[1]KPI_Weights!$B$10,AA884*[1]KPI_Weights!$B$11,AB884*[1]KPI_Weights!$B$12,AC884*[1]KPI_Weights!$B$13,AD884*[1]KPI_Weights!$B$14,AE884*[1]KPI_Weights!$B$15,AF884*[1]KPI_Weights!$B$16,AG884*[1]KPI_Weights!$B$17,AH884*[1]KPI_Weights!$B$18))/5)</f>
        <v/>
      </c>
      <c r="AL884" s="29" t="str">
        <f>IF(COUNTA(T884:AH884)=0,"",IF(OR(T884&lt;=1,W884&lt;=1,X884&lt;=1,Y884&lt;=1,AB884&lt;=1),"YES","NO"))</f>
        <v/>
      </c>
      <c r="AM884" s="29" t="str">
        <f>IF(AJ884="","",IF(AND(AL884="NO",AJ884&gt;=0.75),"YES","NO"))</f>
        <v/>
      </c>
      <c r="AN884" s="29" t="str">
        <f>IF(AJ884="","",IF(AJ884&lt;0.4,"Critical",IF(AJ884&lt;0.6,"Poor",IF(AJ884&lt;0.75,"Needs Improvement",IF(AJ884&lt;0.9,"Good","Excellent")))))</f>
        <v/>
      </c>
    </row>
    <row r="885" spans="1:40" ht="15" customHeight="1" x14ac:dyDescent="0.25">
      <c r="A885" s="29" t="str">
        <f>IF($B885="","",TEXT($B885,"yyyymmdd")&amp;"-"&amp;SUBSTITUTE($F885," ","")&amp;"-"&amp;TEXT(COUNTIF($F$4:F885,$F885),"00"))</f>
        <v/>
      </c>
      <c r="C885" s="29" t="str">
        <f>IF($B885="","",WEEKNUM($B885,2))</f>
        <v/>
      </c>
      <c r="D885" s="29" t="str">
        <f>IF($B885="","",TEXT($B885,"yyyy-mm"))</f>
        <v/>
      </c>
      <c r="G885" s="29" t="str">
        <f>IF(OR($E885="",$F885=""),"",IFERROR(IF($E885=INDEX([1]Cluster_Master!$A$4:$A$18,MATCH($F885,[1]Cluster_Master!$B$4:$B$18,0)),"OK","CHECK"),"CHECK"))</f>
        <v/>
      </c>
      <c r="H885" s="29" t="str">
        <f>IFERROR(INDEX([1]Cluster_Master!$C$4:$C$18,MATCH($F885,[1]Cluster_Master!$B$4:$B$18,0)),"")</f>
        <v/>
      </c>
      <c r="I885" s="29" t="str">
        <f>IFERROR(INDEX([1]Cluster_Master!$D$4:$D$18,MATCH($F885,[1]Cluster_Master!$B$4:$B$18,0)),"")</f>
        <v/>
      </c>
      <c r="J885" s="29" t="str">
        <f>IFERROR(INDEX([1]Cluster_Master!$E$4:$E$18,MATCH($F885,[1]Cluster_Master!$B$4:$B$18,0)),"")</f>
        <v/>
      </c>
      <c r="K885" s="29" t="str">
        <f>IFERROR(INDEX([1]Cluster_Master!$F$4:$F$18,MATCH($F885,[1]Cluster_Master!$B$4:$B$18,0)),"")</f>
        <v/>
      </c>
      <c r="L885" s="29" t="str">
        <f>IFERROR(INDEX([1]Cluster_Master!$G$4:$G$18,MATCH($F885,[1]Cluster_Master!$B$4:$B$18,0)),"")</f>
        <v/>
      </c>
      <c r="M885" s="29" t="str">
        <f>IFERROR(INDEX([1]Cluster_Master!$H$4:$H$18,MATCH($F885,[1]Cluster_Master!$B$4:$B$18,0)),"")</f>
        <v/>
      </c>
      <c r="AI885" s="29" t="str">
        <f>IF(COUNTA(T885:AH885)=0,"",SUM(T885:AH885))</f>
        <v/>
      </c>
      <c r="AJ885" s="29" t="str">
        <f>IF(COUNTA(T885:AH885)=0,"",AI885/75)</f>
        <v/>
      </c>
      <c r="AK885" s="29" t="str">
        <f>IF(COUNTA(T885:AH885)=0,"",(SUM(T885*[1]KPI_Weights!$B$4,U885*[1]KPI_Weights!$B$5,V885*[1]KPI_Weights!$B$6,W885*[1]KPI_Weights!$B$7,X885*[1]KPI_Weights!$B$8,Y885*[1]KPI_Weights!$B$9,Z885*[1]KPI_Weights!$B$10,AA885*[1]KPI_Weights!$B$11,AB885*[1]KPI_Weights!$B$12,AC885*[1]KPI_Weights!$B$13,AD885*[1]KPI_Weights!$B$14,AE885*[1]KPI_Weights!$B$15,AF885*[1]KPI_Weights!$B$16,AG885*[1]KPI_Weights!$B$17,AH885*[1]KPI_Weights!$B$18))/5)</f>
        <v/>
      </c>
      <c r="AL885" s="29" t="str">
        <f>IF(COUNTA(T885:AH885)=0,"",IF(OR(T885&lt;=1,W885&lt;=1,X885&lt;=1,Y885&lt;=1,AB885&lt;=1),"YES","NO"))</f>
        <v/>
      </c>
      <c r="AM885" s="29" t="str">
        <f>IF(AJ885="","",IF(AND(AL885="NO",AJ885&gt;=0.75),"YES","NO"))</f>
        <v/>
      </c>
      <c r="AN885" s="29" t="str">
        <f>IF(AJ885="","",IF(AJ885&lt;0.4,"Critical",IF(AJ885&lt;0.6,"Poor",IF(AJ885&lt;0.75,"Needs Improvement",IF(AJ885&lt;0.9,"Good","Excellent")))))</f>
        <v/>
      </c>
    </row>
    <row r="886" spans="1:40" ht="15" customHeight="1" x14ac:dyDescent="0.25">
      <c r="A886" s="29" t="str">
        <f>IF($B886="","",TEXT($B886,"yyyymmdd")&amp;"-"&amp;SUBSTITUTE($F886," ","")&amp;"-"&amp;TEXT(COUNTIF($F$4:F886,$F886),"00"))</f>
        <v/>
      </c>
      <c r="C886" s="29" t="str">
        <f>IF($B886="","",WEEKNUM($B886,2))</f>
        <v/>
      </c>
      <c r="D886" s="29" t="str">
        <f>IF($B886="","",TEXT($B886,"yyyy-mm"))</f>
        <v/>
      </c>
      <c r="G886" s="29" t="str">
        <f>IF(OR($E886="",$F886=""),"",IFERROR(IF($E886=INDEX([1]Cluster_Master!$A$4:$A$18,MATCH($F886,[1]Cluster_Master!$B$4:$B$18,0)),"OK","CHECK"),"CHECK"))</f>
        <v/>
      </c>
      <c r="H886" s="29" t="str">
        <f>IFERROR(INDEX([1]Cluster_Master!$C$4:$C$18,MATCH($F886,[1]Cluster_Master!$B$4:$B$18,0)),"")</f>
        <v/>
      </c>
      <c r="I886" s="29" t="str">
        <f>IFERROR(INDEX([1]Cluster_Master!$D$4:$D$18,MATCH($F886,[1]Cluster_Master!$B$4:$B$18,0)),"")</f>
        <v/>
      </c>
      <c r="J886" s="29" t="str">
        <f>IFERROR(INDEX([1]Cluster_Master!$E$4:$E$18,MATCH($F886,[1]Cluster_Master!$B$4:$B$18,0)),"")</f>
        <v/>
      </c>
      <c r="K886" s="29" t="str">
        <f>IFERROR(INDEX([1]Cluster_Master!$F$4:$F$18,MATCH($F886,[1]Cluster_Master!$B$4:$B$18,0)),"")</f>
        <v/>
      </c>
      <c r="L886" s="29" t="str">
        <f>IFERROR(INDEX([1]Cluster_Master!$G$4:$G$18,MATCH($F886,[1]Cluster_Master!$B$4:$B$18,0)),"")</f>
        <v/>
      </c>
      <c r="M886" s="29" t="str">
        <f>IFERROR(INDEX([1]Cluster_Master!$H$4:$H$18,MATCH($F886,[1]Cluster_Master!$B$4:$B$18,0)),"")</f>
        <v/>
      </c>
      <c r="AI886" s="29" t="str">
        <f>IF(COUNTA(T886:AH886)=0,"",SUM(T886:AH886))</f>
        <v/>
      </c>
      <c r="AJ886" s="29" t="str">
        <f>IF(COUNTA(T886:AH886)=0,"",AI886/75)</f>
        <v/>
      </c>
      <c r="AK886" s="29" t="str">
        <f>IF(COUNTA(T886:AH886)=0,"",(SUM(T886*[1]KPI_Weights!$B$4,U886*[1]KPI_Weights!$B$5,V886*[1]KPI_Weights!$B$6,W886*[1]KPI_Weights!$B$7,X886*[1]KPI_Weights!$B$8,Y886*[1]KPI_Weights!$B$9,Z886*[1]KPI_Weights!$B$10,AA886*[1]KPI_Weights!$B$11,AB886*[1]KPI_Weights!$B$12,AC886*[1]KPI_Weights!$B$13,AD886*[1]KPI_Weights!$B$14,AE886*[1]KPI_Weights!$B$15,AF886*[1]KPI_Weights!$B$16,AG886*[1]KPI_Weights!$B$17,AH886*[1]KPI_Weights!$B$18))/5)</f>
        <v/>
      </c>
      <c r="AL886" s="29" t="str">
        <f>IF(COUNTA(T886:AH886)=0,"",IF(OR(T886&lt;=1,W886&lt;=1,X886&lt;=1,Y886&lt;=1,AB886&lt;=1),"YES","NO"))</f>
        <v/>
      </c>
      <c r="AM886" s="29" t="str">
        <f>IF(AJ886="","",IF(AND(AL886="NO",AJ886&gt;=0.75),"YES","NO"))</f>
        <v/>
      </c>
      <c r="AN886" s="29" t="str">
        <f>IF(AJ886="","",IF(AJ886&lt;0.4,"Critical",IF(AJ886&lt;0.6,"Poor",IF(AJ886&lt;0.75,"Needs Improvement",IF(AJ886&lt;0.9,"Good","Excellent")))))</f>
        <v/>
      </c>
    </row>
    <row r="887" spans="1:40" ht="15" customHeight="1" x14ac:dyDescent="0.25">
      <c r="A887" s="29" t="str">
        <f>IF($B887="","",TEXT($B887,"yyyymmdd")&amp;"-"&amp;SUBSTITUTE($F887," ","")&amp;"-"&amp;TEXT(COUNTIF($F$4:F887,$F887),"00"))</f>
        <v/>
      </c>
      <c r="C887" s="29" t="str">
        <f>IF($B887="","",WEEKNUM($B887,2))</f>
        <v/>
      </c>
      <c r="D887" s="29" t="str">
        <f>IF($B887="","",TEXT($B887,"yyyy-mm"))</f>
        <v/>
      </c>
      <c r="G887" s="29" t="str">
        <f>IF(OR($E887="",$F887=""),"",IFERROR(IF($E887=INDEX([1]Cluster_Master!$A$4:$A$18,MATCH($F887,[1]Cluster_Master!$B$4:$B$18,0)),"OK","CHECK"),"CHECK"))</f>
        <v/>
      </c>
      <c r="H887" s="29" t="str">
        <f>IFERROR(INDEX([1]Cluster_Master!$C$4:$C$18,MATCH($F887,[1]Cluster_Master!$B$4:$B$18,0)),"")</f>
        <v/>
      </c>
      <c r="I887" s="29" t="str">
        <f>IFERROR(INDEX([1]Cluster_Master!$D$4:$D$18,MATCH($F887,[1]Cluster_Master!$B$4:$B$18,0)),"")</f>
        <v/>
      </c>
      <c r="J887" s="29" t="str">
        <f>IFERROR(INDEX([1]Cluster_Master!$E$4:$E$18,MATCH($F887,[1]Cluster_Master!$B$4:$B$18,0)),"")</f>
        <v/>
      </c>
      <c r="K887" s="29" t="str">
        <f>IFERROR(INDEX([1]Cluster_Master!$F$4:$F$18,MATCH($F887,[1]Cluster_Master!$B$4:$B$18,0)),"")</f>
        <v/>
      </c>
      <c r="L887" s="29" t="str">
        <f>IFERROR(INDEX([1]Cluster_Master!$G$4:$G$18,MATCH($F887,[1]Cluster_Master!$B$4:$B$18,0)),"")</f>
        <v/>
      </c>
      <c r="M887" s="29" t="str">
        <f>IFERROR(INDEX([1]Cluster_Master!$H$4:$H$18,MATCH($F887,[1]Cluster_Master!$B$4:$B$18,0)),"")</f>
        <v/>
      </c>
      <c r="AI887" s="29" t="str">
        <f>IF(COUNTA(T887:AH887)=0,"",SUM(T887:AH887))</f>
        <v/>
      </c>
      <c r="AJ887" s="29" t="str">
        <f>IF(COUNTA(T887:AH887)=0,"",AI887/75)</f>
        <v/>
      </c>
      <c r="AK887" s="29" t="str">
        <f>IF(COUNTA(T887:AH887)=0,"",(SUM(T887*[1]KPI_Weights!$B$4,U887*[1]KPI_Weights!$B$5,V887*[1]KPI_Weights!$B$6,W887*[1]KPI_Weights!$B$7,X887*[1]KPI_Weights!$B$8,Y887*[1]KPI_Weights!$B$9,Z887*[1]KPI_Weights!$B$10,AA887*[1]KPI_Weights!$B$11,AB887*[1]KPI_Weights!$B$12,AC887*[1]KPI_Weights!$B$13,AD887*[1]KPI_Weights!$B$14,AE887*[1]KPI_Weights!$B$15,AF887*[1]KPI_Weights!$B$16,AG887*[1]KPI_Weights!$B$17,AH887*[1]KPI_Weights!$B$18))/5)</f>
        <v/>
      </c>
      <c r="AL887" s="29" t="str">
        <f>IF(COUNTA(T887:AH887)=0,"",IF(OR(T887&lt;=1,W887&lt;=1,X887&lt;=1,Y887&lt;=1,AB887&lt;=1),"YES","NO"))</f>
        <v/>
      </c>
      <c r="AM887" s="29" t="str">
        <f>IF(AJ887="","",IF(AND(AL887="NO",AJ887&gt;=0.75),"YES","NO"))</f>
        <v/>
      </c>
      <c r="AN887" s="29" t="str">
        <f>IF(AJ887="","",IF(AJ887&lt;0.4,"Critical",IF(AJ887&lt;0.6,"Poor",IF(AJ887&lt;0.75,"Needs Improvement",IF(AJ887&lt;0.9,"Good","Excellent")))))</f>
        <v/>
      </c>
    </row>
    <row r="888" spans="1:40" ht="15" customHeight="1" x14ac:dyDescent="0.25">
      <c r="A888" s="29" t="str">
        <f>IF($B888="","",TEXT($B888,"yyyymmdd")&amp;"-"&amp;SUBSTITUTE($F888," ","")&amp;"-"&amp;TEXT(COUNTIF($F$4:F888,$F888),"00"))</f>
        <v/>
      </c>
      <c r="C888" s="29" t="str">
        <f>IF($B888="","",WEEKNUM($B888,2))</f>
        <v/>
      </c>
      <c r="D888" s="29" t="str">
        <f>IF($B888="","",TEXT($B888,"yyyy-mm"))</f>
        <v/>
      </c>
      <c r="G888" s="29" t="str">
        <f>IF(OR($E888="",$F888=""),"",IFERROR(IF($E888=INDEX([1]Cluster_Master!$A$4:$A$18,MATCH($F888,[1]Cluster_Master!$B$4:$B$18,0)),"OK","CHECK"),"CHECK"))</f>
        <v/>
      </c>
      <c r="H888" s="29" t="str">
        <f>IFERROR(INDEX([1]Cluster_Master!$C$4:$C$18,MATCH($F888,[1]Cluster_Master!$B$4:$B$18,0)),"")</f>
        <v/>
      </c>
      <c r="I888" s="29" t="str">
        <f>IFERROR(INDEX([1]Cluster_Master!$D$4:$D$18,MATCH($F888,[1]Cluster_Master!$B$4:$B$18,0)),"")</f>
        <v/>
      </c>
      <c r="J888" s="29" t="str">
        <f>IFERROR(INDEX([1]Cluster_Master!$E$4:$E$18,MATCH($F888,[1]Cluster_Master!$B$4:$B$18,0)),"")</f>
        <v/>
      </c>
      <c r="K888" s="29" t="str">
        <f>IFERROR(INDEX([1]Cluster_Master!$F$4:$F$18,MATCH($F888,[1]Cluster_Master!$B$4:$B$18,0)),"")</f>
        <v/>
      </c>
      <c r="L888" s="29" t="str">
        <f>IFERROR(INDEX([1]Cluster_Master!$G$4:$G$18,MATCH($F888,[1]Cluster_Master!$B$4:$B$18,0)),"")</f>
        <v/>
      </c>
      <c r="M888" s="29" t="str">
        <f>IFERROR(INDEX([1]Cluster_Master!$H$4:$H$18,MATCH($F888,[1]Cluster_Master!$B$4:$B$18,0)),"")</f>
        <v/>
      </c>
      <c r="AI888" s="29" t="str">
        <f>IF(COUNTA(T888:AH888)=0,"",SUM(T888:AH888))</f>
        <v/>
      </c>
      <c r="AJ888" s="29" t="str">
        <f>IF(COUNTA(T888:AH888)=0,"",AI888/75)</f>
        <v/>
      </c>
      <c r="AK888" s="29" t="str">
        <f>IF(COUNTA(T888:AH888)=0,"",(SUM(T888*[1]KPI_Weights!$B$4,U888*[1]KPI_Weights!$B$5,V888*[1]KPI_Weights!$B$6,W888*[1]KPI_Weights!$B$7,X888*[1]KPI_Weights!$B$8,Y888*[1]KPI_Weights!$B$9,Z888*[1]KPI_Weights!$B$10,AA888*[1]KPI_Weights!$B$11,AB888*[1]KPI_Weights!$B$12,AC888*[1]KPI_Weights!$B$13,AD888*[1]KPI_Weights!$B$14,AE888*[1]KPI_Weights!$B$15,AF888*[1]KPI_Weights!$B$16,AG888*[1]KPI_Weights!$B$17,AH888*[1]KPI_Weights!$B$18))/5)</f>
        <v/>
      </c>
      <c r="AL888" s="29" t="str">
        <f>IF(COUNTA(T888:AH888)=0,"",IF(OR(T888&lt;=1,W888&lt;=1,X888&lt;=1,Y888&lt;=1,AB888&lt;=1),"YES","NO"))</f>
        <v/>
      </c>
      <c r="AM888" s="29" t="str">
        <f>IF(AJ888="","",IF(AND(AL888="NO",AJ888&gt;=0.75),"YES","NO"))</f>
        <v/>
      </c>
      <c r="AN888" s="29" t="str">
        <f>IF(AJ888="","",IF(AJ888&lt;0.4,"Critical",IF(AJ888&lt;0.6,"Poor",IF(AJ888&lt;0.75,"Needs Improvement",IF(AJ888&lt;0.9,"Good","Excellent")))))</f>
        <v/>
      </c>
    </row>
    <row r="889" spans="1:40" ht="15" customHeight="1" x14ac:dyDescent="0.25">
      <c r="A889" s="29" t="str">
        <f>IF($B889="","",TEXT($B889,"yyyymmdd")&amp;"-"&amp;SUBSTITUTE($F889," ","")&amp;"-"&amp;TEXT(COUNTIF($F$4:F889,$F889),"00"))</f>
        <v/>
      </c>
      <c r="C889" s="29" t="str">
        <f>IF($B889="","",WEEKNUM($B889,2))</f>
        <v/>
      </c>
      <c r="D889" s="29" t="str">
        <f>IF($B889="","",TEXT($B889,"yyyy-mm"))</f>
        <v/>
      </c>
      <c r="G889" s="29" t="str">
        <f>IF(OR($E889="",$F889=""),"",IFERROR(IF($E889=INDEX([1]Cluster_Master!$A$4:$A$18,MATCH($F889,[1]Cluster_Master!$B$4:$B$18,0)),"OK","CHECK"),"CHECK"))</f>
        <v/>
      </c>
      <c r="H889" s="29" t="str">
        <f>IFERROR(INDEX([1]Cluster_Master!$C$4:$C$18,MATCH($F889,[1]Cluster_Master!$B$4:$B$18,0)),"")</f>
        <v/>
      </c>
      <c r="I889" s="29" t="str">
        <f>IFERROR(INDEX([1]Cluster_Master!$D$4:$D$18,MATCH($F889,[1]Cluster_Master!$B$4:$B$18,0)),"")</f>
        <v/>
      </c>
      <c r="J889" s="29" t="str">
        <f>IFERROR(INDEX([1]Cluster_Master!$E$4:$E$18,MATCH($F889,[1]Cluster_Master!$B$4:$B$18,0)),"")</f>
        <v/>
      </c>
      <c r="K889" s="29" t="str">
        <f>IFERROR(INDEX([1]Cluster_Master!$F$4:$F$18,MATCH($F889,[1]Cluster_Master!$B$4:$B$18,0)),"")</f>
        <v/>
      </c>
      <c r="L889" s="29" t="str">
        <f>IFERROR(INDEX([1]Cluster_Master!$G$4:$G$18,MATCH($F889,[1]Cluster_Master!$B$4:$B$18,0)),"")</f>
        <v/>
      </c>
      <c r="M889" s="29" t="str">
        <f>IFERROR(INDEX([1]Cluster_Master!$H$4:$H$18,MATCH($F889,[1]Cluster_Master!$B$4:$B$18,0)),"")</f>
        <v/>
      </c>
      <c r="AI889" s="29" t="str">
        <f>IF(COUNTA(T889:AH889)=0,"",SUM(T889:AH889))</f>
        <v/>
      </c>
      <c r="AJ889" s="29" t="str">
        <f>IF(COUNTA(T889:AH889)=0,"",AI889/75)</f>
        <v/>
      </c>
      <c r="AK889" s="29" t="str">
        <f>IF(COUNTA(T889:AH889)=0,"",(SUM(T889*[1]KPI_Weights!$B$4,U889*[1]KPI_Weights!$B$5,V889*[1]KPI_Weights!$B$6,W889*[1]KPI_Weights!$B$7,X889*[1]KPI_Weights!$B$8,Y889*[1]KPI_Weights!$B$9,Z889*[1]KPI_Weights!$B$10,AA889*[1]KPI_Weights!$B$11,AB889*[1]KPI_Weights!$B$12,AC889*[1]KPI_Weights!$B$13,AD889*[1]KPI_Weights!$B$14,AE889*[1]KPI_Weights!$B$15,AF889*[1]KPI_Weights!$B$16,AG889*[1]KPI_Weights!$B$17,AH889*[1]KPI_Weights!$B$18))/5)</f>
        <v/>
      </c>
      <c r="AL889" s="29" t="str">
        <f>IF(COUNTA(T889:AH889)=0,"",IF(OR(T889&lt;=1,W889&lt;=1,X889&lt;=1,Y889&lt;=1,AB889&lt;=1),"YES","NO"))</f>
        <v/>
      </c>
      <c r="AM889" s="29" t="str">
        <f>IF(AJ889="","",IF(AND(AL889="NO",AJ889&gt;=0.75),"YES","NO"))</f>
        <v/>
      </c>
      <c r="AN889" s="29" t="str">
        <f>IF(AJ889="","",IF(AJ889&lt;0.4,"Critical",IF(AJ889&lt;0.6,"Poor",IF(AJ889&lt;0.75,"Needs Improvement",IF(AJ889&lt;0.9,"Good","Excellent")))))</f>
        <v/>
      </c>
    </row>
    <row r="890" spans="1:40" ht="15" customHeight="1" x14ac:dyDescent="0.25">
      <c r="A890" s="29" t="str">
        <f>IF($B890="","",TEXT($B890,"yyyymmdd")&amp;"-"&amp;SUBSTITUTE($F890," ","")&amp;"-"&amp;TEXT(COUNTIF($F$4:F890,$F890),"00"))</f>
        <v/>
      </c>
      <c r="C890" s="29" t="str">
        <f>IF($B890="","",WEEKNUM($B890,2))</f>
        <v/>
      </c>
      <c r="D890" s="29" t="str">
        <f>IF($B890="","",TEXT($B890,"yyyy-mm"))</f>
        <v/>
      </c>
      <c r="G890" s="29" t="str">
        <f>IF(OR($E890="",$F890=""),"",IFERROR(IF($E890=INDEX([1]Cluster_Master!$A$4:$A$18,MATCH($F890,[1]Cluster_Master!$B$4:$B$18,0)),"OK","CHECK"),"CHECK"))</f>
        <v/>
      </c>
      <c r="H890" s="29" t="str">
        <f>IFERROR(INDEX([1]Cluster_Master!$C$4:$C$18,MATCH($F890,[1]Cluster_Master!$B$4:$B$18,0)),"")</f>
        <v/>
      </c>
      <c r="I890" s="29" t="str">
        <f>IFERROR(INDEX([1]Cluster_Master!$D$4:$D$18,MATCH($F890,[1]Cluster_Master!$B$4:$B$18,0)),"")</f>
        <v/>
      </c>
      <c r="J890" s="29" t="str">
        <f>IFERROR(INDEX([1]Cluster_Master!$E$4:$E$18,MATCH($F890,[1]Cluster_Master!$B$4:$B$18,0)),"")</f>
        <v/>
      </c>
      <c r="K890" s="29" t="str">
        <f>IFERROR(INDEX([1]Cluster_Master!$F$4:$F$18,MATCH($F890,[1]Cluster_Master!$B$4:$B$18,0)),"")</f>
        <v/>
      </c>
      <c r="L890" s="29" t="str">
        <f>IFERROR(INDEX([1]Cluster_Master!$G$4:$G$18,MATCH($F890,[1]Cluster_Master!$B$4:$B$18,0)),"")</f>
        <v/>
      </c>
      <c r="M890" s="29" t="str">
        <f>IFERROR(INDEX([1]Cluster_Master!$H$4:$H$18,MATCH($F890,[1]Cluster_Master!$B$4:$B$18,0)),"")</f>
        <v/>
      </c>
      <c r="AI890" s="29" t="str">
        <f>IF(COUNTA(T890:AH890)=0,"",SUM(T890:AH890))</f>
        <v/>
      </c>
      <c r="AJ890" s="29" t="str">
        <f>IF(COUNTA(T890:AH890)=0,"",AI890/75)</f>
        <v/>
      </c>
      <c r="AK890" s="29" t="str">
        <f>IF(COUNTA(T890:AH890)=0,"",(SUM(T890*[1]KPI_Weights!$B$4,U890*[1]KPI_Weights!$B$5,V890*[1]KPI_Weights!$B$6,W890*[1]KPI_Weights!$B$7,X890*[1]KPI_Weights!$B$8,Y890*[1]KPI_Weights!$B$9,Z890*[1]KPI_Weights!$B$10,AA890*[1]KPI_Weights!$B$11,AB890*[1]KPI_Weights!$B$12,AC890*[1]KPI_Weights!$B$13,AD890*[1]KPI_Weights!$B$14,AE890*[1]KPI_Weights!$B$15,AF890*[1]KPI_Weights!$B$16,AG890*[1]KPI_Weights!$B$17,AH890*[1]KPI_Weights!$B$18))/5)</f>
        <v/>
      </c>
      <c r="AL890" s="29" t="str">
        <f>IF(COUNTA(T890:AH890)=0,"",IF(OR(T890&lt;=1,W890&lt;=1,X890&lt;=1,Y890&lt;=1,AB890&lt;=1),"YES","NO"))</f>
        <v/>
      </c>
      <c r="AM890" s="29" t="str">
        <f>IF(AJ890="","",IF(AND(AL890="NO",AJ890&gt;=0.75),"YES","NO"))</f>
        <v/>
      </c>
      <c r="AN890" s="29" t="str">
        <f>IF(AJ890="","",IF(AJ890&lt;0.4,"Critical",IF(AJ890&lt;0.6,"Poor",IF(AJ890&lt;0.75,"Needs Improvement",IF(AJ890&lt;0.9,"Good","Excellent")))))</f>
        <v/>
      </c>
    </row>
    <row r="891" spans="1:40" ht="15" customHeight="1" x14ac:dyDescent="0.25">
      <c r="A891" s="29" t="str">
        <f>IF($B891="","",TEXT($B891,"yyyymmdd")&amp;"-"&amp;SUBSTITUTE($F891," ","")&amp;"-"&amp;TEXT(COUNTIF($F$4:F891,$F891),"00"))</f>
        <v/>
      </c>
      <c r="C891" s="29" t="str">
        <f>IF($B891="","",WEEKNUM($B891,2))</f>
        <v/>
      </c>
      <c r="D891" s="29" t="str">
        <f>IF($B891="","",TEXT($B891,"yyyy-mm"))</f>
        <v/>
      </c>
      <c r="G891" s="29" t="str">
        <f>IF(OR($E891="",$F891=""),"",IFERROR(IF($E891=INDEX([1]Cluster_Master!$A$4:$A$18,MATCH($F891,[1]Cluster_Master!$B$4:$B$18,0)),"OK","CHECK"),"CHECK"))</f>
        <v/>
      </c>
      <c r="H891" s="29" t="str">
        <f>IFERROR(INDEX([1]Cluster_Master!$C$4:$C$18,MATCH($F891,[1]Cluster_Master!$B$4:$B$18,0)),"")</f>
        <v/>
      </c>
      <c r="I891" s="29" t="str">
        <f>IFERROR(INDEX([1]Cluster_Master!$D$4:$D$18,MATCH($F891,[1]Cluster_Master!$B$4:$B$18,0)),"")</f>
        <v/>
      </c>
      <c r="J891" s="29" t="str">
        <f>IFERROR(INDEX([1]Cluster_Master!$E$4:$E$18,MATCH($F891,[1]Cluster_Master!$B$4:$B$18,0)),"")</f>
        <v/>
      </c>
      <c r="K891" s="29" t="str">
        <f>IFERROR(INDEX([1]Cluster_Master!$F$4:$F$18,MATCH($F891,[1]Cluster_Master!$B$4:$B$18,0)),"")</f>
        <v/>
      </c>
      <c r="L891" s="29" t="str">
        <f>IFERROR(INDEX([1]Cluster_Master!$G$4:$G$18,MATCH($F891,[1]Cluster_Master!$B$4:$B$18,0)),"")</f>
        <v/>
      </c>
      <c r="M891" s="29" t="str">
        <f>IFERROR(INDEX([1]Cluster_Master!$H$4:$H$18,MATCH($F891,[1]Cluster_Master!$B$4:$B$18,0)),"")</f>
        <v/>
      </c>
      <c r="AI891" s="29" t="str">
        <f>IF(COUNTA(T891:AH891)=0,"",SUM(T891:AH891))</f>
        <v/>
      </c>
      <c r="AJ891" s="29" t="str">
        <f>IF(COUNTA(T891:AH891)=0,"",AI891/75)</f>
        <v/>
      </c>
      <c r="AK891" s="29" t="str">
        <f>IF(COUNTA(T891:AH891)=0,"",(SUM(T891*[1]KPI_Weights!$B$4,U891*[1]KPI_Weights!$B$5,V891*[1]KPI_Weights!$B$6,W891*[1]KPI_Weights!$B$7,X891*[1]KPI_Weights!$B$8,Y891*[1]KPI_Weights!$B$9,Z891*[1]KPI_Weights!$B$10,AA891*[1]KPI_Weights!$B$11,AB891*[1]KPI_Weights!$B$12,AC891*[1]KPI_Weights!$B$13,AD891*[1]KPI_Weights!$B$14,AE891*[1]KPI_Weights!$B$15,AF891*[1]KPI_Weights!$B$16,AG891*[1]KPI_Weights!$B$17,AH891*[1]KPI_Weights!$B$18))/5)</f>
        <v/>
      </c>
      <c r="AL891" s="29" t="str">
        <f>IF(COUNTA(T891:AH891)=0,"",IF(OR(T891&lt;=1,W891&lt;=1,X891&lt;=1,Y891&lt;=1,AB891&lt;=1),"YES","NO"))</f>
        <v/>
      </c>
      <c r="AM891" s="29" t="str">
        <f>IF(AJ891="","",IF(AND(AL891="NO",AJ891&gt;=0.75),"YES","NO"))</f>
        <v/>
      </c>
      <c r="AN891" s="29" t="str">
        <f>IF(AJ891="","",IF(AJ891&lt;0.4,"Critical",IF(AJ891&lt;0.6,"Poor",IF(AJ891&lt;0.75,"Needs Improvement",IF(AJ891&lt;0.9,"Good","Excellent")))))</f>
        <v/>
      </c>
    </row>
    <row r="892" spans="1:40" ht="15" customHeight="1" x14ac:dyDescent="0.25">
      <c r="A892" s="29" t="str">
        <f>IF($B892="","",TEXT($B892,"yyyymmdd")&amp;"-"&amp;SUBSTITUTE($F892," ","")&amp;"-"&amp;TEXT(COUNTIF($F$4:F892,$F892),"00"))</f>
        <v/>
      </c>
      <c r="C892" s="29" t="str">
        <f>IF($B892="","",WEEKNUM($B892,2))</f>
        <v/>
      </c>
      <c r="D892" s="29" t="str">
        <f>IF($B892="","",TEXT($B892,"yyyy-mm"))</f>
        <v/>
      </c>
      <c r="G892" s="29" t="str">
        <f>IF(OR($E892="",$F892=""),"",IFERROR(IF($E892=INDEX([1]Cluster_Master!$A$4:$A$18,MATCH($F892,[1]Cluster_Master!$B$4:$B$18,0)),"OK","CHECK"),"CHECK"))</f>
        <v/>
      </c>
      <c r="H892" s="29" t="str">
        <f>IFERROR(INDEX([1]Cluster_Master!$C$4:$C$18,MATCH($F892,[1]Cluster_Master!$B$4:$B$18,0)),"")</f>
        <v/>
      </c>
      <c r="I892" s="29" t="str">
        <f>IFERROR(INDEX([1]Cluster_Master!$D$4:$D$18,MATCH($F892,[1]Cluster_Master!$B$4:$B$18,0)),"")</f>
        <v/>
      </c>
      <c r="J892" s="29" t="str">
        <f>IFERROR(INDEX([1]Cluster_Master!$E$4:$E$18,MATCH($F892,[1]Cluster_Master!$B$4:$B$18,0)),"")</f>
        <v/>
      </c>
      <c r="K892" s="29" t="str">
        <f>IFERROR(INDEX([1]Cluster_Master!$F$4:$F$18,MATCH($F892,[1]Cluster_Master!$B$4:$B$18,0)),"")</f>
        <v/>
      </c>
      <c r="L892" s="29" t="str">
        <f>IFERROR(INDEX([1]Cluster_Master!$G$4:$G$18,MATCH($F892,[1]Cluster_Master!$B$4:$B$18,0)),"")</f>
        <v/>
      </c>
      <c r="M892" s="29" t="str">
        <f>IFERROR(INDEX([1]Cluster_Master!$H$4:$H$18,MATCH($F892,[1]Cluster_Master!$B$4:$B$18,0)),"")</f>
        <v/>
      </c>
      <c r="AI892" s="29" t="str">
        <f>IF(COUNTA(T892:AH892)=0,"",SUM(T892:AH892))</f>
        <v/>
      </c>
      <c r="AJ892" s="29" t="str">
        <f>IF(COUNTA(T892:AH892)=0,"",AI892/75)</f>
        <v/>
      </c>
      <c r="AK892" s="29" t="str">
        <f>IF(COUNTA(T892:AH892)=0,"",(SUM(T892*[1]KPI_Weights!$B$4,U892*[1]KPI_Weights!$B$5,V892*[1]KPI_Weights!$B$6,W892*[1]KPI_Weights!$B$7,X892*[1]KPI_Weights!$B$8,Y892*[1]KPI_Weights!$B$9,Z892*[1]KPI_Weights!$B$10,AA892*[1]KPI_Weights!$B$11,AB892*[1]KPI_Weights!$B$12,AC892*[1]KPI_Weights!$B$13,AD892*[1]KPI_Weights!$B$14,AE892*[1]KPI_Weights!$B$15,AF892*[1]KPI_Weights!$B$16,AG892*[1]KPI_Weights!$B$17,AH892*[1]KPI_Weights!$B$18))/5)</f>
        <v/>
      </c>
      <c r="AL892" s="29" t="str">
        <f>IF(COUNTA(T892:AH892)=0,"",IF(OR(T892&lt;=1,W892&lt;=1,X892&lt;=1,Y892&lt;=1,AB892&lt;=1),"YES","NO"))</f>
        <v/>
      </c>
      <c r="AM892" s="29" t="str">
        <f>IF(AJ892="","",IF(AND(AL892="NO",AJ892&gt;=0.75),"YES","NO"))</f>
        <v/>
      </c>
      <c r="AN892" s="29" t="str">
        <f>IF(AJ892="","",IF(AJ892&lt;0.4,"Critical",IF(AJ892&lt;0.6,"Poor",IF(AJ892&lt;0.75,"Needs Improvement",IF(AJ892&lt;0.9,"Good","Excellent")))))</f>
        <v/>
      </c>
    </row>
    <row r="893" spans="1:40" ht="15" customHeight="1" x14ac:dyDescent="0.25">
      <c r="A893" s="29" t="str">
        <f>IF($B893="","",TEXT($B893,"yyyymmdd")&amp;"-"&amp;SUBSTITUTE($F893," ","")&amp;"-"&amp;TEXT(COUNTIF($F$4:F893,$F893),"00"))</f>
        <v/>
      </c>
      <c r="C893" s="29" t="str">
        <f>IF($B893="","",WEEKNUM($B893,2))</f>
        <v/>
      </c>
      <c r="D893" s="29" t="str">
        <f>IF($B893="","",TEXT($B893,"yyyy-mm"))</f>
        <v/>
      </c>
      <c r="G893" s="29" t="str">
        <f>IF(OR($E893="",$F893=""),"",IFERROR(IF($E893=INDEX([1]Cluster_Master!$A$4:$A$18,MATCH($F893,[1]Cluster_Master!$B$4:$B$18,0)),"OK","CHECK"),"CHECK"))</f>
        <v/>
      </c>
      <c r="H893" s="29" t="str">
        <f>IFERROR(INDEX([1]Cluster_Master!$C$4:$C$18,MATCH($F893,[1]Cluster_Master!$B$4:$B$18,0)),"")</f>
        <v/>
      </c>
      <c r="I893" s="29" t="str">
        <f>IFERROR(INDEX([1]Cluster_Master!$D$4:$D$18,MATCH($F893,[1]Cluster_Master!$B$4:$B$18,0)),"")</f>
        <v/>
      </c>
      <c r="J893" s="29" t="str">
        <f>IFERROR(INDEX([1]Cluster_Master!$E$4:$E$18,MATCH($F893,[1]Cluster_Master!$B$4:$B$18,0)),"")</f>
        <v/>
      </c>
      <c r="K893" s="29" t="str">
        <f>IFERROR(INDEX([1]Cluster_Master!$F$4:$F$18,MATCH($F893,[1]Cluster_Master!$B$4:$B$18,0)),"")</f>
        <v/>
      </c>
      <c r="L893" s="29" t="str">
        <f>IFERROR(INDEX([1]Cluster_Master!$G$4:$G$18,MATCH($F893,[1]Cluster_Master!$B$4:$B$18,0)),"")</f>
        <v/>
      </c>
      <c r="M893" s="29" t="str">
        <f>IFERROR(INDEX([1]Cluster_Master!$H$4:$H$18,MATCH($F893,[1]Cluster_Master!$B$4:$B$18,0)),"")</f>
        <v/>
      </c>
      <c r="AI893" s="29" t="str">
        <f>IF(COUNTA(T893:AH893)=0,"",SUM(T893:AH893))</f>
        <v/>
      </c>
      <c r="AJ893" s="29" t="str">
        <f>IF(COUNTA(T893:AH893)=0,"",AI893/75)</f>
        <v/>
      </c>
      <c r="AK893" s="29" t="str">
        <f>IF(COUNTA(T893:AH893)=0,"",(SUM(T893*[1]KPI_Weights!$B$4,U893*[1]KPI_Weights!$B$5,V893*[1]KPI_Weights!$B$6,W893*[1]KPI_Weights!$B$7,X893*[1]KPI_Weights!$B$8,Y893*[1]KPI_Weights!$B$9,Z893*[1]KPI_Weights!$B$10,AA893*[1]KPI_Weights!$B$11,AB893*[1]KPI_Weights!$B$12,AC893*[1]KPI_Weights!$B$13,AD893*[1]KPI_Weights!$B$14,AE893*[1]KPI_Weights!$B$15,AF893*[1]KPI_Weights!$B$16,AG893*[1]KPI_Weights!$B$17,AH893*[1]KPI_Weights!$B$18))/5)</f>
        <v/>
      </c>
      <c r="AL893" s="29" t="str">
        <f>IF(COUNTA(T893:AH893)=0,"",IF(OR(T893&lt;=1,W893&lt;=1,X893&lt;=1,Y893&lt;=1,AB893&lt;=1),"YES","NO"))</f>
        <v/>
      </c>
      <c r="AM893" s="29" t="str">
        <f>IF(AJ893="","",IF(AND(AL893="NO",AJ893&gt;=0.75),"YES","NO"))</f>
        <v/>
      </c>
      <c r="AN893" s="29" t="str">
        <f>IF(AJ893="","",IF(AJ893&lt;0.4,"Critical",IF(AJ893&lt;0.6,"Poor",IF(AJ893&lt;0.75,"Needs Improvement",IF(AJ893&lt;0.9,"Good","Excellent")))))</f>
        <v/>
      </c>
    </row>
    <row r="894" spans="1:40" ht="15" customHeight="1" x14ac:dyDescent="0.25">
      <c r="A894" s="29" t="str">
        <f>IF($B894="","",TEXT($B894,"yyyymmdd")&amp;"-"&amp;SUBSTITUTE($F894," ","")&amp;"-"&amp;TEXT(COUNTIF($F$4:F894,$F894),"00"))</f>
        <v/>
      </c>
      <c r="C894" s="29" t="str">
        <f>IF($B894="","",WEEKNUM($B894,2))</f>
        <v/>
      </c>
      <c r="D894" s="29" t="str">
        <f>IF($B894="","",TEXT($B894,"yyyy-mm"))</f>
        <v/>
      </c>
      <c r="G894" s="29" t="str">
        <f>IF(OR($E894="",$F894=""),"",IFERROR(IF($E894=INDEX([1]Cluster_Master!$A$4:$A$18,MATCH($F894,[1]Cluster_Master!$B$4:$B$18,0)),"OK","CHECK"),"CHECK"))</f>
        <v/>
      </c>
      <c r="H894" s="29" t="str">
        <f>IFERROR(INDEX([1]Cluster_Master!$C$4:$C$18,MATCH($F894,[1]Cluster_Master!$B$4:$B$18,0)),"")</f>
        <v/>
      </c>
      <c r="I894" s="29" t="str">
        <f>IFERROR(INDEX([1]Cluster_Master!$D$4:$D$18,MATCH($F894,[1]Cluster_Master!$B$4:$B$18,0)),"")</f>
        <v/>
      </c>
      <c r="J894" s="29" t="str">
        <f>IFERROR(INDEX([1]Cluster_Master!$E$4:$E$18,MATCH($F894,[1]Cluster_Master!$B$4:$B$18,0)),"")</f>
        <v/>
      </c>
      <c r="K894" s="29" t="str">
        <f>IFERROR(INDEX([1]Cluster_Master!$F$4:$F$18,MATCH($F894,[1]Cluster_Master!$B$4:$B$18,0)),"")</f>
        <v/>
      </c>
      <c r="L894" s="29" t="str">
        <f>IFERROR(INDEX([1]Cluster_Master!$G$4:$G$18,MATCH($F894,[1]Cluster_Master!$B$4:$B$18,0)),"")</f>
        <v/>
      </c>
      <c r="M894" s="29" t="str">
        <f>IFERROR(INDEX([1]Cluster_Master!$H$4:$H$18,MATCH($F894,[1]Cluster_Master!$B$4:$B$18,0)),"")</f>
        <v/>
      </c>
      <c r="AI894" s="29" t="str">
        <f>IF(COUNTA(T894:AH894)=0,"",SUM(T894:AH894))</f>
        <v/>
      </c>
      <c r="AJ894" s="29" t="str">
        <f>IF(COUNTA(T894:AH894)=0,"",AI894/75)</f>
        <v/>
      </c>
      <c r="AK894" s="29" t="str">
        <f>IF(COUNTA(T894:AH894)=0,"",(SUM(T894*[1]KPI_Weights!$B$4,U894*[1]KPI_Weights!$B$5,V894*[1]KPI_Weights!$B$6,W894*[1]KPI_Weights!$B$7,X894*[1]KPI_Weights!$B$8,Y894*[1]KPI_Weights!$B$9,Z894*[1]KPI_Weights!$B$10,AA894*[1]KPI_Weights!$B$11,AB894*[1]KPI_Weights!$B$12,AC894*[1]KPI_Weights!$B$13,AD894*[1]KPI_Weights!$B$14,AE894*[1]KPI_Weights!$B$15,AF894*[1]KPI_Weights!$B$16,AG894*[1]KPI_Weights!$B$17,AH894*[1]KPI_Weights!$B$18))/5)</f>
        <v/>
      </c>
      <c r="AL894" s="29" t="str">
        <f>IF(COUNTA(T894:AH894)=0,"",IF(OR(T894&lt;=1,W894&lt;=1,X894&lt;=1,Y894&lt;=1,AB894&lt;=1),"YES","NO"))</f>
        <v/>
      </c>
      <c r="AM894" s="29" t="str">
        <f>IF(AJ894="","",IF(AND(AL894="NO",AJ894&gt;=0.75),"YES","NO"))</f>
        <v/>
      </c>
      <c r="AN894" s="29" t="str">
        <f>IF(AJ894="","",IF(AJ894&lt;0.4,"Critical",IF(AJ894&lt;0.6,"Poor",IF(AJ894&lt;0.75,"Needs Improvement",IF(AJ894&lt;0.9,"Good","Excellent")))))</f>
        <v/>
      </c>
    </row>
    <row r="895" spans="1:40" ht="15" customHeight="1" x14ac:dyDescent="0.25">
      <c r="A895" s="29" t="str">
        <f>IF($B895="","",TEXT($B895,"yyyymmdd")&amp;"-"&amp;SUBSTITUTE($F895," ","")&amp;"-"&amp;TEXT(COUNTIF($F$4:F895,$F895),"00"))</f>
        <v/>
      </c>
      <c r="C895" s="29" t="str">
        <f>IF($B895="","",WEEKNUM($B895,2))</f>
        <v/>
      </c>
      <c r="D895" s="29" t="str">
        <f>IF($B895="","",TEXT($B895,"yyyy-mm"))</f>
        <v/>
      </c>
      <c r="G895" s="29" t="str">
        <f>IF(OR($E895="",$F895=""),"",IFERROR(IF($E895=INDEX([1]Cluster_Master!$A$4:$A$18,MATCH($F895,[1]Cluster_Master!$B$4:$B$18,0)),"OK","CHECK"),"CHECK"))</f>
        <v/>
      </c>
      <c r="H895" s="29" t="str">
        <f>IFERROR(INDEX([1]Cluster_Master!$C$4:$C$18,MATCH($F895,[1]Cluster_Master!$B$4:$B$18,0)),"")</f>
        <v/>
      </c>
      <c r="I895" s="29" t="str">
        <f>IFERROR(INDEX([1]Cluster_Master!$D$4:$D$18,MATCH($F895,[1]Cluster_Master!$B$4:$B$18,0)),"")</f>
        <v/>
      </c>
      <c r="J895" s="29" t="str">
        <f>IFERROR(INDEX([1]Cluster_Master!$E$4:$E$18,MATCH($F895,[1]Cluster_Master!$B$4:$B$18,0)),"")</f>
        <v/>
      </c>
      <c r="K895" s="29" t="str">
        <f>IFERROR(INDEX([1]Cluster_Master!$F$4:$F$18,MATCH($F895,[1]Cluster_Master!$B$4:$B$18,0)),"")</f>
        <v/>
      </c>
      <c r="L895" s="29" t="str">
        <f>IFERROR(INDEX([1]Cluster_Master!$G$4:$G$18,MATCH($F895,[1]Cluster_Master!$B$4:$B$18,0)),"")</f>
        <v/>
      </c>
      <c r="M895" s="29" t="str">
        <f>IFERROR(INDEX([1]Cluster_Master!$H$4:$H$18,MATCH($F895,[1]Cluster_Master!$B$4:$B$18,0)),"")</f>
        <v/>
      </c>
      <c r="AI895" s="29" t="str">
        <f>IF(COUNTA(T895:AH895)=0,"",SUM(T895:AH895))</f>
        <v/>
      </c>
      <c r="AJ895" s="29" t="str">
        <f>IF(COUNTA(T895:AH895)=0,"",AI895/75)</f>
        <v/>
      </c>
      <c r="AK895" s="29" t="str">
        <f>IF(COUNTA(T895:AH895)=0,"",(SUM(T895*[1]KPI_Weights!$B$4,U895*[1]KPI_Weights!$B$5,V895*[1]KPI_Weights!$B$6,W895*[1]KPI_Weights!$B$7,X895*[1]KPI_Weights!$B$8,Y895*[1]KPI_Weights!$B$9,Z895*[1]KPI_Weights!$B$10,AA895*[1]KPI_Weights!$B$11,AB895*[1]KPI_Weights!$B$12,AC895*[1]KPI_Weights!$B$13,AD895*[1]KPI_Weights!$B$14,AE895*[1]KPI_Weights!$B$15,AF895*[1]KPI_Weights!$B$16,AG895*[1]KPI_Weights!$B$17,AH895*[1]KPI_Weights!$B$18))/5)</f>
        <v/>
      </c>
      <c r="AL895" s="29" t="str">
        <f>IF(COUNTA(T895:AH895)=0,"",IF(OR(T895&lt;=1,W895&lt;=1,X895&lt;=1,Y895&lt;=1,AB895&lt;=1),"YES","NO"))</f>
        <v/>
      </c>
      <c r="AM895" s="29" t="str">
        <f>IF(AJ895="","",IF(AND(AL895="NO",AJ895&gt;=0.75),"YES","NO"))</f>
        <v/>
      </c>
      <c r="AN895" s="29" t="str">
        <f>IF(AJ895="","",IF(AJ895&lt;0.4,"Critical",IF(AJ895&lt;0.6,"Poor",IF(AJ895&lt;0.75,"Needs Improvement",IF(AJ895&lt;0.9,"Good","Excellent")))))</f>
        <v/>
      </c>
    </row>
    <row r="896" spans="1:40" ht="15" customHeight="1" x14ac:dyDescent="0.25">
      <c r="A896" s="29" t="str">
        <f>IF($B896="","",TEXT($B896,"yyyymmdd")&amp;"-"&amp;SUBSTITUTE($F896," ","")&amp;"-"&amp;TEXT(COUNTIF($F$4:F896,$F896),"00"))</f>
        <v/>
      </c>
      <c r="C896" s="29" t="str">
        <f>IF($B896="","",WEEKNUM($B896,2))</f>
        <v/>
      </c>
      <c r="D896" s="29" t="str">
        <f>IF($B896="","",TEXT($B896,"yyyy-mm"))</f>
        <v/>
      </c>
      <c r="G896" s="29" t="str">
        <f>IF(OR($E896="",$F896=""),"",IFERROR(IF($E896=INDEX([1]Cluster_Master!$A$4:$A$18,MATCH($F896,[1]Cluster_Master!$B$4:$B$18,0)),"OK","CHECK"),"CHECK"))</f>
        <v/>
      </c>
      <c r="H896" s="29" t="str">
        <f>IFERROR(INDEX([1]Cluster_Master!$C$4:$C$18,MATCH($F896,[1]Cluster_Master!$B$4:$B$18,0)),"")</f>
        <v/>
      </c>
      <c r="I896" s="29" t="str">
        <f>IFERROR(INDEX([1]Cluster_Master!$D$4:$D$18,MATCH($F896,[1]Cluster_Master!$B$4:$B$18,0)),"")</f>
        <v/>
      </c>
      <c r="J896" s="29" t="str">
        <f>IFERROR(INDEX([1]Cluster_Master!$E$4:$E$18,MATCH($F896,[1]Cluster_Master!$B$4:$B$18,0)),"")</f>
        <v/>
      </c>
      <c r="K896" s="29" t="str">
        <f>IFERROR(INDEX([1]Cluster_Master!$F$4:$F$18,MATCH($F896,[1]Cluster_Master!$B$4:$B$18,0)),"")</f>
        <v/>
      </c>
      <c r="L896" s="29" t="str">
        <f>IFERROR(INDEX([1]Cluster_Master!$G$4:$G$18,MATCH($F896,[1]Cluster_Master!$B$4:$B$18,0)),"")</f>
        <v/>
      </c>
      <c r="M896" s="29" t="str">
        <f>IFERROR(INDEX([1]Cluster_Master!$H$4:$H$18,MATCH($F896,[1]Cluster_Master!$B$4:$B$18,0)),"")</f>
        <v/>
      </c>
      <c r="AI896" s="29" t="str">
        <f>IF(COUNTA(T896:AH896)=0,"",SUM(T896:AH896))</f>
        <v/>
      </c>
      <c r="AJ896" s="29" t="str">
        <f>IF(COUNTA(T896:AH896)=0,"",AI896/75)</f>
        <v/>
      </c>
      <c r="AK896" s="29" t="str">
        <f>IF(COUNTA(T896:AH896)=0,"",(SUM(T896*[1]KPI_Weights!$B$4,U896*[1]KPI_Weights!$B$5,V896*[1]KPI_Weights!$B$6,W896*[1]KPI_Weights!$B$7,X896*[1]KPI_Weights!$B$8,Y896*[1]KPI_Weights!$B$9,Z896*[1]KPI_Weights!$B$10,AA896*[1]KPI_Weights!$B$11,AB896*[1]KPI_Weights!$B$12,AC896*[1]KPI_Weights!$B$13,AD896*[1]KPI_Weights!$B$14,AE896*[1]KPI_Weights!$B$15,AF896*[1]KPI_Weights!$B$16,AG896*[1]KPI_Weights!$B$17,AH896*[1]KPI_Weights!$B$18))/5)</f>
        <v/>
      </c>
      <c r="AL896" s="29" t="str">
        <f>IF(COUNTA(T896:AH896)=0,"",IF(OR(T896&lt;=1,W896&lt;=1,X896&lt;=1,Y896&lt;=1,AB896&lt;=1),"YES","NO"))</f>
        <v/>
      </c>
      <c r="AM896" s="29" t="str">
        <f>IF(AJ896="","",IF(AND(AL896="NO",AJ896&gt;=0.75),"YES","NO"))</f>
        <v/>
      </c>
      <c r="AN896" s="29" t="str">
        <f>IF(AJ896="","",IF(AJ896&lt;0.4,"Critical",IF(AJ896&lt;0.6,"Poor",IF(AJ896&lt;0.75,"Needs Improvement",IF(AJ896&lt;0.9,"Good","Excellent")))))</f>
        <v/>
      </c>
    </row>
    <row r="897" spans="1:40" ht="15" customHeight="1" x14ac:dyDescent="0.25">
      <c r="A897" s="29" t="str">
        <f>IF($B897="","",TEXT($B897,"yyyymmdd")&amp;"-"&amp;SUBSTITUTE($F897," ","")&amp;"-"&amp;TEXT(COUNTIF($F$4:F897,$F897),"00"))</f>
        <v/>
      </c>
      <c r="C897" s="29" t="str">
        <f>IF($B897="","",WEEKNUM($B897,2))</f>
        <v/>
      </c>
      <c r="D897" s="29" t="str">
        <f>IF($B897="","",TEXT($B897,"yyyy-mm"))</f>
        <v/>
      </c>
      <c r="G897" s="29" t="str">
        <f>IF(OR($E897="",$F897=""),"",IFERROR(IF($E897=INDEX([1]Cluster_Master!$A$4:$A$18,MATCH($F897,[1]Cluster_Master!$B$4:$B$18,0)),"OK","CHECK"),"CHECK"))</f>
        <v/>
      </c>
      <c r="H897" s="29" t="str">
        <f>IFERROR(INDEX([1]Cluster_Master!$C$4:$C$18,MATCH($F897,[1]Cluster_Master!$B$4:$B$18,0)),"")</f>
        <v/>
      </c>
      <c r="I897" s="29" t="str">
        <f>IFERROR(INDEX([1]Cluster_Master!$D$4:$D$18,MATCH($F897,[1]Cluster_Master!$B$4:$B$18,0)),"")</f>
        <v/>
      </c>
      <c r="J897" s="29" t="str">
        <f>IFERROR(INDEX([1]Cluster_Master!$E$4:$E$18,MATCH($F897,[1]Cluster_Master!$B$4:$B$18,0)),"")</f>
        <v/>
      </c>
      <c r="K897" s="29" t="str">
        <f>IFERROR(INDEX([1]Cluster_Master!$F$4:$F$18,MATCH($F897,[1]Cluster_Master!$B$4:$B$18,0)),"")</f>
        <v/>
      </c>
      <c r="L897" s="29" t="str">
        <f>IFERROR(INDEX([1]Cluster_Master!$G$4:$G$18,MATCH($F897,[1]Cluster_Master!$B$4:$B$18,0)),"")</f>
        <v/>
      </c>
      <c r="M897" s="29" t="str">
        <f>IFERROR(INDEX([1]Cluster_Master!$H$4:$H$18,MATCH($F897,[1]Cluster_Master!$B$4:$B$18,0)),"")</f>
        <v/>
      </c>
      <c r="AI897" s="29" t="str">
        <f>IF(COUNTA(T897:AH897)=0,"",SUM(T897:AH897))</f>
        <v/>
      </c>
      <c r="AJ897" s="29" t="str">
        <f>IF(COUNTA(T897:AH897)=0,"",AI897/75)</f>
        <v/>
      </c>
      <c r="AK897" s="29" t="str">
        <f>IF(COUNTA(T897:AH897)=0,"",(SUM(T897*[1]KPI_Weights!$B$4,U897*[1]KPI_Weights!$B$5,V897*[1]KPI_Weights!$B$6,W897*[1]KPI_Weights!$B$7,X897*[1]KPI_Weights!$B$8,Y897*[1]KPI_Weights!$B$9,Z897*[1]KPI_Weights!$B$10,AA897*[1]KPI_Weights!$B$11,AB897*[1]KPI_Weights!$B$12,AC897*[1]KPI_Weights!$B$13,AD897*[1]KPI_Weights!$B$14,AE897*[1]KPI_Weights!$B$15,AF897*[1]KPI_Weights!$B$16,AG897*[1]KPI_Weights!$B$17,AH897*[1]KPI_Weights!$B$18))/5)</f>
        <v/>
      </c>
      <c r="AL897" s="29" t="str">
        <f>IF(COUNTA(T897:AH897)=0,"",IF(OR(T897&lt;=1,W897&lt;=1,X897&lt;=1,Y897&lt;=1,AB897&lt;=1),"YES","NO"))</f>
        <v/>
      </c>
      <c r="AM897" s="29" t="str">
        <f>IF(AJ897="","",IF(AND(AL897="NO",AJ897&gt;=0.75),"YES","NO"))</f>
        <v/>
      </c>
      <c r="AN897" s="29" t="str">
        <f>IF(AJ897="","",IF(AJ897&lt;0.4,"Critical",IF(AJ897&lt;0.6,"Poor",IF(AJ897&lt;0.75,"Needs Improvement",IF(AJ897&lt;0.9,"Good","Excellent")))))</f>
        <v/>
      </c>
    </row>
    <row r="898" spans="1:40" ht="15" customHeight="1" x14ac:dyDescent="0.25">
      <c r="A898" s="29" t="str">
        <f>IF($B898="","",TEXT($B898,"yyyymmdd")&amp;"-"&amp;SUBSTITUTE($F898," ","")&amp;"-"&amp;TEXT(COUNTIF($F$4:F898,$F898),"00"))</f>
        <v/>
      </c>
      <c r="C898" s="29" t="str">
        <f>IF($B898="","",WEEKNUM($B898,2))</f>
        <v/>
      </c>
      <c r="D898" s="29" t="str">
        <f>IF($B898="","",TEXT($B898,"yyyy-mm"))</f>
        <v/>
      </c>
      <c r="G898" s="29" t="str">
        <f>IF(OR($E898="",$F898=""),"",IFERROR(IF($E898=INDEX([1]Cluster_Master!$A$4:$A$18,MATCH($F898,[1]Cluster_Master!$B$4:$B$18,0)),"OK","CHECK"),"CHECK"))</f>
        <v/>
      </c>
      <c r="H898" s="29" t="str">
        <f>IFERROR(INDEX([1]Cluster_Master!$C$4:$C$18,MATCH($F898,[1]Cluster_Master!$B$4:$B$18,0)),"")</f>
        <v/>
      </c>
      <c r="I898" s="29" t="str">
        <f>IFERROR(INDEX([1]Cluster_Master!$D$4:$D$18,MATCH($F898,[1]Cluster_Master!$B$4:$B$18,0)),"")</f>
        <v/>
      </c>
      <c r="J898" s="29" t="str">
        <f>IFERROR(INDEX([1]Cluster_Master!$E$4:$E$18,MATCH($F898,[1]Cluster_Master!$B$4:$B$18,0)),"")</f>
        <v/>
      </c>
      <c r="K898" s="29" t="str">
        <f>IFERROR(INDEX([1]Cluster_Master!$F$4:$F$18,MATCH($F898,[1]Cluster_Master!$B$4:$B$18,0)),"")</f>
        <v/>
      </c>
      <c r="L898" s="29" t="str">
        <f>IFERROR(INDEX([1]Cluster_Master!$G$4:$G$18,MATCH($F898,[1]Cluster_Master!$B$4:$B$18,0)),"")</f>
        <v/>
      </c>
      <c r="M898" s="29" t="str">
        <f>IFERROR(INDEX([1]Cluster_Master!$H$4:$H$18,MATCH($F898,[1]Cluster_Master!$B$4:$B$18,0)),"")</f>
        <v/>
      </c>
      <c r="AI898" s="29" t="str">
        <f>IF(COUNTA(T898:AH898)=0,"",SUM(T898:AH898))</f>
        <v/>
      </c>
      <c r="AJ898" s="29" t="str">
        <f>IF(COUNTA(T898:AH898)=0,"",AI898/75)</f>
        <v/>
      </c>
      <c r="AK898" s="29" t="str">
        <f>IF(COUNTA(T898:AH898)=0,"",(SUM(T898*[1]KPI_Weights!$B$4,U898*[1]KPI_Weights!$B$5,V898*[1]KPI_Weights!$B$6,W898*[1]KPI_Weights!$B$7,X898*[1]KPI_Weights!$B$8,Y898*[1]KPI_Weights!$B$9,Z898*[1]KPI_Weights!$B$10,AA898*[1]KPI_Weights!$B$11,AB898*[1]KPI_Weights!$B$12,AC898*[1]KPI_Weights!$B$13,AD898*[1]KPI_Weights!$B$14,AE898*[1]KPI_Weights!$B$15,AF898*[1]KPI_Weights!$B$16,AG898*[1]KPI_Weights!$B$17,AH898*[1]KPI_Weights!$B$18))/5)</f>
        <v/>
      </c>
      <c r="AL898" s="29" t="str">
        <f>IF(COUNTA(T898:AH898)=0,"",IF(OR(T898&lt;=1,W898&lt;=1,X898&lt;=1,Y898&lt;=1,AB898&lt;=1),"YES","NO"))</f>
        <v/>
      </c>
      <c r="AM898" s="29" t="str">
        <f>IF(AJ898="","",IF(AND(AL898="NO",AJ898&gt;=0.75),"YES","NO"))</f>
        <v/>
      </c>
      <c r="AN898" s="29" t="str">
        <f>IF(AJ898="","",IF(AJ898&lt;0.4,"Critical",IF(AJ898&lt;0.6,"Poor",IF(AJ898&lt;0.75,"Needs Improvement",IF(AJ898&lt;0.9,"Good","Excellent")))))</f>
        <v/>
      </c>
    </row>
    <row r="899" spans="1:40" ht="15" customHeight="1" x14ac:dyDescent="0.25">
      <c r="A899" s="29" t="str">
        <f>IF($B899="","",TEXT($B899,"yyyymmdd")&amp;"-"&amp;SUBSTITUTE($F899," ","")&amp;"-"&amp;TEXT(COUNTIF($F$4:F899,$F899),"00"))</f>
        <v/>
      </c>
      <c r="C899" s="29" t="str">
        <f>IF($B899="","",WEEKNUM($B899,2))</f>
        <v/>
      </c>
      <c r="D899" s="29" t="str">
        <f>IF($B899="","",TEXT($B899,"yyyy-mm"))</f>
        <v/>
      </c>
      <c r="G899" s="29" t="str">
        <f>IF(OR($E899="",$F899=""),"",IFERROR(IF($E899=INDEX([1]Cluster_Master!$A$4:$A$18,MATCH($F899,[1]Cluster_Master!$B$4:$B$18,0)),"OK","CHECK"),"CHECK"))</f>
        <v/>
      </c>
      <c r="H899" s="29" t="str">
        <f>IFERROR(INDEX([1]Cluster_Master!$C$4:$C$18,MATCH($F899,[1]Cluster_Master!$B$4:$B$18,0)),"")</f>
        <v/>
      </c>
      <c r="I899" s="29" t="str">
        <f>IFERROR(INDEX([1]Cluster_Master!$D$4:$D$18,MATCH($F899,[1]Cluster_Master!$B$4:$B$18,0)),"")</f>
        <v/>
      </c>
      <c r="J899" s="29" t="str">
        <f>IFERROR(INDEX([1]Cluster_Master!$E$4:$E$18,MATCH($F899,[1]Cluster_Master!$B$4:$B$18,0)),"")</f>
        <v/>
      </c>
      <c r="K899" s="29" t="str">
        <f>IFERROR(INDEX([1]Cluster_Master!$F$4:$F$18,MATCH($F899,[1]Cluster_Master!$B$4:$B$18,0)),"")</f>
        <v/>
      </c>
      <c r="L899" s="29" t="str">
        <f>IFERROR(INDEX([1]Cluster_Master!$G$4:$G$18,MATCH($F899,[1]Cluster_Master!$B$4:$B$18,0)),"")</f>
        <v/>
      </c>
      <c r="M899" s="29" t="str">
        <f>IFERROR(INDEX([1]Cluster_Master!$H$4:$H$18,MATCH($F899,[1]Cluster_Master!$B$4:$B$18,0)),"")</f>
        <v/>
      </c>
      <c r="AI899" s="29" t="str">
        <f>IF(COUNTA(T899:AH899)=0,"",SUM(T899:AH899))</f>
        <v/>
      </c>
      <c r="AJ899" s="29" t="str">
        <f>IF(COUNTA(T899:AH899)=0,"",AI899/75)</f>
        <v/>
      </c>
      <c r="AK899" s="29" t="str">
        <f>IF(COUNTA(T899:AH899)=0,"",(SUM(T899*[1]KPI_Weights!$B$4,U899*[1]KPI_Weights!$B$5,V899*[1]KPI_Weights!$B$6,W899*[1]KPI_Weights!$B$7,X899*[1]KPI_Weights!$B$8,Y899*[1]KPI_Weights!$B$9,Z899*[1]KPI_Weights!$B$10,AA899*[1]KPI_Weights!$B$11,AB899*[1]KPI_Weights!$B$12,AC899*[1]KPI_Weights!$B$13,AD899*[1]KPI_Weights!$B$14,AE899*[1]KPI_Weights!$B$15,AF899*[1]KPI_Weights!$B$16,AG899*[1]KPI_Weights!$B$17,AH899*[1]KPI_Weights!$B$18))/5)</f>
        <v/>
      </c>
      <c r="AL899" s="29" t="str">
        <f>IF(COUNTA(T899:AH899)=0,"",IF(OR(T899&lt;=1,W899&lt;=1,X899&lt;=1,Y899&lt;=1,AB899&lt;=1),"YES","NO"))</f>
        <v/>
      </c>
      <c r="AM899" s="29" t="str">
        <f>IF(AJ899="","",IF(AND(AL899="NO",AJ899&gt;=0.75),"YES","NO"))</f>
        <v/>
      </c>
      <c r="AN899" s="29" t="str">
        <f>IF(AJ899="","",IF(AJ899&lt;0.4,"Critical",IF(AJ899&lt;0.6,"Poor",IF(AJ899&lt;0.75,"Needs Improvement",IF(AJ899&lt;0.9,"Good","Excellent")))))</f>
        <v/>
      </c>
    </row>
    <row r="900" spans="1:40" ht="15" customHeight="1" x14ac:dyDescent="0.25">
      <c r="A900" s="29" t="str">
        <f>IF($B900="","",TEXT($B900,"yyyymmdd")&amp;"-"&amp;SUBSTITUTE($F900," ","")&amp;"-"&amp;TEXT(COUNTIF($F$4:F900,$F900),"00"))</f>
        <v/>
      </c>
      <c r="C900" s="29" t="str">
        <f>IF($B900="","",WEEKNUM($B900,2))</f>
        <v/>
      </c>
      <c r="D900" s="29" t="str">
        <f>IF($B900="","",TEXT($B900,"yyyy-mm"))</f>
        <v/>
      </c>
      <c r="G900" s="29" t="str">
        <f>IF(OR($E900="",$F900=""),"",IFERROR(IF($E900=INDEX([1]Cluster_Master!$A$4:$A$18,MATCH($F900,[1]Cluster_Master!$B$4:$B$18,0)),"OK","CHECK"),"CHECK"))</f>
        <v/>
      </c>
      <c r="H900" s="29" t="str">
        <f>IFERROR(INDEX([1]Cluster_Master!$C$4:$C$18,MATCH($F900,[1]Cluster_Master!$B$4:$B$18,0)),"")</f>
        <v/>
      </c>
      <c r="I900" s="29" t="str">
        <f>IFERROR(INDEX([1]Cluster_Master!$D$4:$D$18,MATCH($F900,[1]Cluster_Master!$B$4:$B$18,0)),"")</f>
        <v/>
      </c>
      <c r="J900" s="29" t="str">
        <f>IFERROR(INDEX([1]Cluster_Master!$E$4:$E$18,MATCH($F900,[1]Cluster_Master!$B$4:$B$18,0)),"")</f>
        <v/>
      </c>
      <c r="K900" s="29" t="str">
        <f>IFERROR(INDEX([1]Cluster_Master!$F$4:$F$18,MATCH($F900,[1]Cluster_Master!$B$4:$B$18,0)),"")</f>
        <v/>
      </c>
      <c r="L900" s="29" t="str">
        <f>IFERROR(INDEX([1]Cluster_Master!$G$4:$G$18,MATCH($F900,[1]Cluster_Master!$B$4:$B$18,0)),"")</f>
        <v/>
      </c>
      <c r="M900" s="29" t="str">
        <f>IFERROR(INDEX([1]Cluster_Master!$H$4:$H$18,MATCH($F900,[1]Cluster_Master!$B$4:$B$18,0)),"")</f>
        <v/>
      </c>
      <c r="AI900" s="29" t="str">
        <f>IF(COUNTA(T900:AH900)=0,"",SUM(T900:AH900))</f>
        <v/>
      </c>
      <c r="AJ900" s="29" t="str">
        <f>IF(COUNTA(T900:AH900)=0,"",AI900/75)</f>
        <v/>
      </c>
      <c r="AK900" s="29" t="str">
        <f>IF(COUNTA(T900:AH900)=0,"",(SUM(T900*[1]KPI_Weights!$B$4,U900*[1]KPI_Weights!$B$5,V900*[1]KPI_Weights!$B$6,W900*[1]KPI_Weights!$B$7,X900*[1]KPI_Weights!$B$8,Y900*[1]KPI_Weights!$B$9,Z900*[1]KPI_Weights!$B$10,AA900*[1]KPI_Weights!$B$11,AB900*[1]KPI_Weights!$B$12,AC900*[1]KPI_Weights!$B$13,AD900*[1]KPI_Weights!$B$14,AE900*[1]KPI_Weights!$B$15,AF900*[1]KPI_Weights!$B$16,AG900*[1]KPI_Weights!$B$17,AH900*[1]KPI_Weights!$B$18))/5)</f>
        <v/>
      </c>
      <c r="AL900" s="29" t="str">
        <f>IF(COUNTA(T900:AH900)=0,"",IF(OR(T900&lt;=1,W900&lt;=1,X900&lt;=1,Y900&lt;=1,AB900&lt;=1),"YES","NO"))</f>
        <v/>
      </c>
      <c r="AM900" s="29" t="str">
        <f>IF(AJ900="","",IF(AND(AL900="NO",AJ900&gt;=0.75),"YES","NO"))</f>
        <v/>
      </c>
      <c r="AN900" s="29" t="str">
        <f>IF(AJ900="","",IF(AJ900&lt;0.4,"Critical",IF(AJ900&lt;0.6,"Poor",IF(AJ900&lt;0.75,"Needs Improvement",IF(AJ900&lt;0.9,"Good","Excellent")))))</f>
        <v/>
      </c>
    </row>
    <row r="901" spans="1:40" ht="15" customHeight="1" x14ac:dyDescent="0.25">
      <c r="A901" s="29" t="str">
        <f>IF($B901="","",TEXT($B901,"yyyymmdd")&amp;"-"&amp;SUBSTITUTE($F901," ","")&amp;"-"&amp;TEXT(COUNTIF($F$4:F901,$F901),"00"))</f>
        <v/>
      </c>
      <c r="C901" s="29" t="str">
        <f>IF($B901="","",WEEKNUM($B901,2))</f>
        <v/>
      </c>
      <c r="D901" s="29" t="str">
        <f>IF($B901="","",TEXT($B901,"yyyy-mm"))</f>
        <v/>
      </c>
      <c r="G901" s="29" t="str">
        <f>IF(OR($E901="",$F901=""),"",IFERROR(IF($E901=INDEX([1]Cluster_Master!$A$4:$A$18,MATCH($F901,[1]Cluster_Master!$B$4:$B$18,0)),"OK","CHECK"),"CHECK"))</f>
        <v/>
      </c>
      <c r="H901" s="29" t="str">
        <f>IFERROR(INDEX([1]Cluster_Master!$C$4:$C$18,MATCH($F901,[1]Cluster_Master!$B$4:$B$18,0)),"")</f>
        <v/>
      </c>
      <c r="I901" s="29" t="str">
        <f>IFERROR(INDEX([1]Cluster_Master!$D$4:$D$18,MATCH($F901,[1]Cluster_Master!$B$4:$B$18,0)),"")</f>
        <v/>
      </c>
      <c r="J901" s="29" t="str">
        <f>IFERROR(INDEX([1]Cluster_Master!$E$4:$E$18,MATCH($F901,[1]Cluster_Master!$B$4:$B$18,0)),"")</f>
        <v/>
      </c>
      <c r="K901" s="29" t="str">
        <f>IFERROR(INDEX([1]Cluster_Master!$F$4:$F$18,MATCH($F901,[1]Cluster_Master!$B$4:$B$18,0)),"")</f>
        <v/>
      </c>
      <c r="L901" s="29" t="str">
        <f>IFERROR(INDEX([1]Cluster_Master!$G$4:$G$18,MATCH($F901,[1]Cluster_Master!$B$4:$B$18,0)),"")</f>
        <v/>
      </c>
      <c r="M901" s="29" t="str">
        <f>IFERROR(INDEX([1]Cluster_Master!$H$4:$H$18,MATCH($F901,[1]Cluster_Master!$B$4:$B$18,0)),"")</f>
        <v/>
      </c>
      <c r="AI901" s="29" t="str">
        <f>IF(COUNTA(T901:AH901)=0,"",SUM(T901:AH901))</f>
        <v/>
      </c>
      <c r="AJ901" s="29" t="str">
        <f>IF(COUNTA(T901:AH901)=0,"",AI901/75)</f>
        <v/>
      </c>
      <c r="AK901" s="29" t="str">
        <f>IF(COUNTA(T901:AH901)=0,"",(SUM(T901*[1]KPI_Weights!$B$4,U901*[1]KPI_Weights!$B$5,V901*[1]KPI_Weights!$B$6,W901*[1]KPI_Weights!$B$7,X901*[1]KPI_Weights!$B$8,Y901*[1]KPI_Weights!$B$9,Z901*[1]KPI_Weights!$B$10,AA901*[1]KPI_Weights!$B$11,AB901*[1]KPI_Weights!$B$12,AC901*[1]KPI_Weights!$B$13,AD901*[1]KPI_Weights!$B$14,AE901*[1]KPI_Weights!$B$15,AF901*[1]KPI_Weights!$B$16,AG901*[1]KPI_Weights!$B$17,AH901*[1]KPI_Weights!$B$18))/5)</f>
        <v/>
      </c>
      <c r="AL901" s="29" t="str">
        <f>IF(COUNTA(T901:AH901)=0,"",IF(OR(T901&lt;=1,W901&lt;=1,X901&lt;=1,Y901&lt;=1,AB901&lt;=1),"YES","NO"))</f>
        <v/>
      </c>
      <c r="AM901" s="29" t="str">
        <f>IF(AJ901="","",IF(AND(AL901="NO",AJ901&gt;=0.75),"YES","NO"))</f>
        <v/>
      </c>
      <c r="AN901" s="29" t="str">
        <f>IF(AJ901="","",IF(AJ901&lt;0.4,"Critical",IF(AJ901&lt;0.6,"Poor",IF(AJ901&lt;0.75,"Needs Improvement",IF(AJ901&lt;0.9,"Good","Excellent")))))</f>
        <v/>
      </c>
    </row>
    <row r="902" spans="1:40" ht="15" customHeight="1" x14ac:dyDescent="0.25">
      <c r="A902" s="29" t="str">
        <f>IF($B902="","",TEXT($B902,"yyyymmdd")&amp;"-"&amp;SUBSTITUTE($F902," ","")&amp;"-"&amp;TEXT(COUNTIF($F$4:F902,$F902),"00"))</f>
        <v/>
      </c>
      <c r="C902" s="29" t="str">
        <f>IF($B902="","",WEEKNUM($B902,2))</f>
        <v/>
      </c>
      <c r="D902" s="29" t="str">
        <f>IF($B902="","",TEXT($B902,"yyyy-mm"))</f>
        <v/>
      </c>
      <c r="G902" s="29" t="str">
        <f>IF(OR($E902="",$F902=""),"",IFERROR(IF($E902=INDEX([1]Cluster_Master!$A$4:$A$18,MATCH($F902,[1]Cluster_Master!$B$4:$B$18,0)),"OK","CHECK"),"CHECK"))</f>
        <v/>
      </c>
      <c r="H902" s="29" t="str">
        <f>IFERROR(INDEX([1]Cluster_Master!$C$4:$C$18,MATCH($F902,[1]Cluster_Master!$B$4:$B$18,0)),"")</f>
        <v/>
      </c>
      <c r="I902" s="29" t="str">
        <f>IFERROR(INDEX([1]Cluster_Master!$D$4:$D$18,MATCH($F902,[1]Cluster_Master!$B$4:$B$18,0)),"")</f>
        <v/>
      </c>
      <c r="J902" s="29" t="str">
        <f>IFERROR(INDEX([1]Cluster_Master!$E$4:$E$18,MATCH($F902,[1]Cluster_Master!$B$4:$B$18,0)),"")</f>
        <v/>
      </c>
      <c r="K902" s="29" t="str">
        <f>IFERROR(INDEX([1]Cluster_Master!$F$4:$F$18,MATCH($F902,[1]Cluster_Master!$B$4:$B$18,0)),"")</f>
        <v/>
      </c>
      <c r="L902" s="29" t="str">
        <f>IFERROR(INDEX([1]Cluster_Master!$G$4:$G$18,MATCH($F902,[1]Cluster_Master!$B$4:$B$18,0)),"")</f>
        <v/>
      </c>
      <c r="M902" s="29" t="str">
        <f>IFERROR(INDEX([1]Cluster_Master!$H$4:$H$18,MATCH($F902,[1]Cluster_Master!$B$4:$B$18,0)),"")</f>
        <v/>
      </c>
      <c r="AI902" s="29" t="str">
        <f>IF(COUNTA(T902:AH902)=0,"",SUM(T902:AH902))</f>
        <v/>
      </c>
      <c r="AJ902" s="29" t="str">
        <f>IF(COUNTA(T902:AH902)=0,"",AI902/75)</f>
        <v/>
      </c>
      <c r="AK902" s="29" t="str">
        <f>IF(COUNTA(T902:AH902)=0,"",(SUM(T902*[1]KPI_Weights!$B$4,U902*[1]KPI_Weights!$B$5,V902*[1]KPI_Weights!$B$6,W902*[1]KPI_Weights!$B$7,X902*[1]KPI_Weights!$B$8,Y902*[1]KPI_Weights!$B$9,Z902*[1]KPI_Weights!$B$10,AA902*[1]KPI_Weights!$B$11,AB902*[1]KPI_Weights!$B$12,AC902*[1]KPI_Weights!$B$13,AD902*[1]KPI_Weights!$B$14,AE902*[1]KPI_Weights!$B$15,AF902*[1]KPI_Weights!$B$16,AG902*[1]KPI_Weights!$B$17,AH902*[1]KPI_Weights!$B$18))/5)</f>
        <v/>
      </c>
      <c r="AL902" s="29" t="str">
        <f>IF(COUNTA(T902:AH902)=0,"",IF(OR(T902&lt;=1,W902&lt;=1,X902&lt;=1,Y902&lt;=1,AB902&lt;=1),"YES","NO"))</f>
        <v/>
      </c>
      <c r="AM902" s="29" t="str">
        <f>IF(AJ902="","",IF(AND(AL902="NO",AJ902&gt;=0.75),"YES","NO"))</f>
        <v/>
      </c>
      <c r="AN902" s="29" t="str">
        <f>IF(AJ902="","",IF(AJ902&lt;0.4,"Critical",IF(AJ902&lt;0.6,"Poor",IF(AJ902&lt;0.75,"Needs Improvement",IF(AJ902&lt;0.9,"Good","Excellent")))))</f>
        <v/>
      </c>
    </row>
    <row r="903" spans="1:40" ht="15" customHeight="1" x14ac:dyDescent="0.25">
      <c r="A903" s="29" t="str">
        <f>IF($B903="","",TEXT($B903,"yyyymmdd")&amp;"-"&amp;SUBSTITUTE($F903," ","")&amp;"-"&amp;TEXT(COUNTIF($F$4:F903,$F903),"00"))</f>
        <v/>
      </c>
      <c r="C903" s="29" t="str">
        <f>IF($B903="","",WEEKNUM($B903,2))</f>
        <v/>
      </c>
      <c r="D903" s="29" t="str">
        <f>IF($B903="","",TEXT($B903,"yyyy-mm"))</f>
        <v/>
      </c>
      <c r="G903" s="29" t="str">
        <f>IF(OR($E903="",$F903=""),"",IFERROR(IF($E903=INDEX([1]Cluster_Master!$A$4:$A$18,MATCH($F903,[1]Cluster_Master!$B$4:$B$18,0)),"OK","CHECK"),"CHECK"))</f>
        <v/>
      </c>
      <c r="H903" s="29" t="str">
        <f>IFERROR(INDEX([1]Cluster_Master!$C$4:$C$18,MATCH($F903,[1]Cluster_Master!$B$4:$B$18,0)),"")</f>
        <v/>
      </c>
      <c r="I903" s="29" t="str">
        <f>IFERROR(INDEX([1]Cluster_Master!$D$4:$D$18,MATCH($F903,[1]Cluster_Master!$B$4:$B$18,0)),"")</f>
        <v/>
      </c>
      <c r="J903" s="29" t="str">
        <f>IFERROR(INDEX([1]Cluster_Master!$E$4:$E$18,MATCH($F903,[1]Cluster_Master!$B$4:$B$18,0)),"")</f>
        <v/>
      </c>
      <c r="K903" s="29" t="str">
        <f>IFERROR(INDEX([1]Cluster_Master!$F$4:$F$18,MATCH($F903,[1]Cluster_Master!$B$4:$B$18,0)),"")</f>
        <v/>
      </c>
      <c r="L903" s="29" t="str">
        <f>IFERROR(INDEX([1]Cluster_Master!$G$4:$G$18,MATCH($F903,[1]Cluster_Master!$B$4:$B$18,0)),"")</f>
        <v/>
      </c>
      <c r="M903" s="29" t="str">
        <f>IFERROR(INDEX([1]Cluster_Master!$H$4:$H$18,MATCH($F903,[1]Cluster_Master!$B$4:$B$18,0)),"")</f>
        <v/>
      </c>
      <c r="AI903" s="29" t="str">
        <f>IF(COUNTA(T903:AH903)=0,"",SUM(T903:AH903))</f>
        <v/>
      </c>
      <c r="AJ903" s="29" t="str">
        <f>IF(COUNTA(T903:AH903)=0,"",AI903/75)</f>
        <v/>
      </c>
      <c r="AK903" s="29" t="str">
        <f>IF(COUNTA(T903:AH903)=0,"",(SUM(T903*[1]KPI_Weights!$B$4,U903*[1]KPI_Weights!$B$5,V903*[1]KPI_Weights!$B$6,W903*[1]KPI_Weights!$B$7,X903*[1]KPI_Weights!$B$8,Y903*[1]KPI_Weights!$B$9,Z903*[1]KPI_Weights!$B$10,AA903*[1]KPI_Weights!$B$11,AB903*[1]KPI_Weights!$B$12,AC903*[1]KPI_Weights!$B$13,AD903*[1]KPI_Weights!$B$14,AE903*[1]KPI_Weights!$B$15,AF903*[1]KPI_Weights!$B$16,AG903*[1]KPI_Weights!$B$17,AH903*[1]KPI_Weights!$B$18))/5)</f>
        <v/>
      </c>
      <c r="AL903" s="29" t="str">
        <f>IF(COUNTA(T903:AH903)=0,"",IF(OR(T903&lt;=1,W903&lt;=1,X903&lt;=1,Y903&lt;=1,AB903&lt;=1),"YES","NO"))</f>
        <v/>
      </c>
      <c r="AM903" s="29" t="str">
        <f>IF(AJ903="","",IF(AND(AL903="NO",AJ903&gt;=0.75),"YES","NO"))</f>
        <v/>
      </c>
      <c r="AN903" s="29" t="str">
        <f>IF(AJ903="","",IF(AJ903&lt;0.4,"Critical",IF(AJ903&lt;0.6,"Poor",IF(AJ903&lt;0.75,"Needs Improvement",IF(AJ903&lt;0.9,"Good","Excellent")))))</f>
        <v/>
      </c>
    </row>
    <row r="904" spans="1:40" ht="15" customHeight="1" x14ac:dyDescent="0.25">
      <c r="A904" s="29" t="str">
        <f>IF($B904="","",TEXT($B904,"yyyymmdd")&amp;"-"&amp;SUBSTITUTE($F904," ","")&amp;"-"&amp;TEXT(COUNTIF($F$4:F904,$F904),"00"))</f>
        <v/>
      </c>
      <c r="C904" s="29" t="str">
        <f>IF($B904="","",WEEKNUM($B904,2))</f>
        <v/>
      </c>
      <c r="D904" s="29" t="str">
        <f>IF($B904="","",TEXT($B904,"yyyy-mm"))</f>
        <v/>
      </c>
      <c r="G904" s="29" t="str">
        <f>IF(OR($E904="",$F904=""),"",IFERROR(IF($E904=INDEX([1]Cluster_Master!$A$4:$A$18,MATCH($F904,[1]Cluster_Master!$B$4:$B$18,0)),"OK","CHECK"),"CHECK"))</f>
        <v/>
      </c>
      <c r="H904" s="29" t="str">
        <f>IFERROR(INDEX([1]Cluster_Master!$C$4:$C$18,MATCH($F904,[1]Cluster_Master!$B$4:$B$18,0)),"")</f>
        <v/>
      </c>
      <c r="I904" s="29" t="str">
        <f>IFERROR(INDEX([1]Cluster_Master!$D$4:$D$18,MATCH($F904,[1]Cluster_Master!$B$4:$B$18,0)),"")</f>
        <v/>
      </c>
      <c r="J904" s="29" t="str">
        <f>IFERROR(INDEX([1]Cluster_Master!$E$4:$E$18,MATCH($F904,[1]Cluster_Master!$B$4:$B$18,0)),"")</f>
        <v/>
      </c>
      <c r="K904" s="29" t="str">
        <f>IFERROR(INDEX([1]Cluster_Master!$F$4:$F$18,MATCH($F904,[1]Cluster_Master!$B$4:$B$18,0)),"")</f>
        <v/>
      </c>
      <c r="L904" s="29" t="str">
        <f>IFERROR(INDEX([1]Cluster_Master!$G$4:$G$18,MATCH($F904,[1]Cluster_Master!$B$4:$B$18,0)),"")</f>
        <v/>
      </c>
      <c r="M904" s="29" t="str">
        <f>IFERROR(INDEX([1]Cluster_Master!$H$4:$H$18,MATCH($F904,[1]Cluster_Master!$B$4:$B$18,0)),"")</f>
        <v/>
      </c>
      <c r="AI904" s="29" t="str">
        <f>IF(COUNTA(T904:AH904)=0,"",SUM(T904:AH904))</f>
        <v/>
      </c>
      <c r="AJ904" s="29" t="str">
        <f>IF(COUNTA(T904:AH904)=0,"",AI904/75)</f>
        <v/>
      </c>
      <c r="AK904" s="29" t="str">
        <f>IF(COUNTA(T904:AH904)=0,"",(SUM(T904*[1]KPI_Weights!$B$4,U904*[1]KPI_Weights!$B$5,V904*[1]KPI_Weights!$B$6,W904*[1]KPI_Weights!$B$7,X904*[1]KPI_Weights!$B$8,Y904*[1]KPI_Weights!$B$9,Z904*[1]KPI_Weights!$B$10,AA904*[1]KPI_Weights!$B$11,AB904*[1]KPI_Weights!$B$12,AC904*[1]KPI_Weights!$B$13,AD904*[1]KPI_Weights!$B$14,AE904*[1]KPI_Weights!$B$15,AF904*[1]KPI_Weights!$B$16,AG904*[1]KPI_Weights!$B$17,AH904*[1]KPI_Weights!$B$18))/5)</f>
        <v/>
      </c>
      <c r="AL904" s="29" t="str">
        <f>IF(COUNTA(T904:AH904)=0,"",IF(OR(T904&lt;=1,W904&lt;=1,X904&lt;=1,Y904&lt;=1,AB904&lt;=1),"YES","NO"))</f>
        <v/>
      </c>
      <c r="AM904" s="29" t="str">
        <f>IF(AJ904="","",IF(AND(AL904="NO",AJ904&gt;=0.75),"YES","NO"))</f>
        <v/>
      </c>
      <c r="AN904" s="29" t="str">
        <f>IF(AJ904="","",IF(AJ904&lt;0.4,"Critical",IF(AJ904&lt;0.6,"Poor",IF(AJ904&lt;0.75,"Needs Improvement",IF(AJ904&lt;0.9,"Good","Excellent")))))</f>
        <v/>
      </c>
    </row>
    <row r="905" spans="1:40" ht="15" customHeight="1" x14ac:dyDescent="0.25">
      <c r="A905" s="29" t="str">
        <f>IF($B905="","",TEXT($B905,"yyyymmdd")&amp;"-"&amp;SUBSTITUTE($F905," ","")&amp;"-"&amp;TEXT(COUNTIF($F$4:F905,$F905),"00"))</f>
        <v/>
      </c>
      <c r="C905" s="29" t="str">
        <f>IF($B905="","",WEEKNUM($B905,2))</f>
        <v/>
      </c>
      <c r="D905" s="29" t="str">
        <f>IF($B905="","",TEXT($B905,"yyyy-mm"))</f>
        <v/>
      </c>
      <c r="G905" s="29" t="str">
        <f>IF(OR($E905="",$F905=""),"",IFERROR(IF($E905=INDEX([1]Cluster_Master!$A$4:$A$18,MATCH($F905,[1]Cluster_Master!$B$4:$B$18,0)),"OK","CHECK"),"CHECK"))</f>
        <v/>
      </c>
      <c r="H905" s="29" t="str">
        <f>IFERROR(INDEX([1]Cluster_Master!$C$4:$C$18,MATCH($F905,[1]Cluster_Master!$B$4:$B$18,0)),"")</f>
        <v/>
      </c>
      <c r="I905" s="29" t="str">
        <f>IFERROR(INDEX([1]Cluster_Master!$D$4:$D$18,MATCH($F905,[1]Cluster_Master!$B$4:$B$18,0)),"")</f>
        <v/>
      </c>
      <c r="J905" s="29" t="str">
        <f>IFERROR(INDEX([1]Cluster_Master!$E$4:$E$18,MATCH($F905,[1]Cluster_Master!$B$4:$B$18,0)),"")</f>
        <v/>
      </c>
      <c r="K905" s="29" t="str">
        <f>IFERROR(INDEX([1]Cluster_Master!$F$4:$F$18,MATCH($F905,[1]Cluster_Master!$B$4:$B$18,0)),"")</f>
        <v/>
      </c>
      <c r="L905" s="29" t="str">
        <f>IFERROR(INDEX([1]Cluster_Master!$G$4:$G$18,MATCH($F905,[1]Cluster_Master!$B$4:$B$18,0)),"")</f>
        <v/>
      </c>
      <c r="M905" s="29" t="str">
        <f>IFERROR(INDEX([1]Cluster_Master!$H$4:$H$18,MATCH($F905,[1]Cluster_Master!$B$4:$B$18,0)),"")</f>
        <v/>
      </c>
      <c r="AI905" s="29" t="str">
        <f>IF(COUNTA(T905:AH905)=0,"",SUM(T905:AH905))</f>
        <v/>
      </c>
      <c r="AJ905" s="29" t="str">
        <f>IF(COUNTA(T905:AH905)=0,"",AI905/75)</f>
        <v/>
      </c>
      <c r="AK905" s="29" t="str">
        <f>IF(COUNTA(T905:AH905)=0,"",(SUM(T905*[1]KPI_Weights!$B$4,U905*[1]KPI_Weights!$B$5,V905*[1]KPI_Weights!$B$6,W905*[1]KPI_Weights!$B$7,X905*[1]KPI_Weights!$B$8,Y905*[1]KPI_Weights!$B$9,Z905*[1]KPI_Weights!$B$10,AA905*[1]KPI_Weights!$B$11,AB905*[1]KPI_Weights!$B$12,AC905*[1]KPI_Weights!$B$13,AD905*[1]KPI_Weights!$B$14,AE905*[1]KPI_Weights!$B$15,AF905*[1]KPI_Weights!$B$16,AG905*[1]KPI_Weights!$B$17,AH905*[1]KPI_Weights!$B$18))/5)</f>
        <v/>
      </c>
      <c r="AL905" s="29" t="str">
        <f>IF(COUNTA(T905:AH905)=0,"",IF(OR(T905&lt;=1,W905&lt;=1,X905&lt;=1,Y905&lt;=1,AB905&lt;=1),"YES","NO"))</f>
        <v/>
      </c>
      <c r="AM905" s="29" t="str">
        <f>IF(AJ905="","",IF(AND(AL905="NO",AJ905&gt;=0.75),"YES","NO"))</f>
        <v/>
      </c>
      <c r="AN905" s="29" t="str">
        <f>IF(AJ905="","",IF(AJ905&lt;0.4,"Critical",IF(AJ905&lt;0.6,"Poor",IF(AJ905&lt;0.75,"Needs Improvement",IF(AJ905&lt;0.9,"Good","Excellent")))))</f>
        <v/>
      </c>
    </row>
    <row r="906" spans="1:40" ht="15" customHeight="1" x14ac:dyDescent="0.25">
      <c r="A906" s="29" t="str">
        <f>IF($B906="","",TEXT($B906,"yyyymmdd")&amp;"-"&amp;SUBSTITUTE($F906," ","")&amp;"-"&amp;TEXT(COUNTIF($F$4:F906,$F906),"00"))</f>
        <v/>
      </c>
      <c r="C906" s="29" t="str">
        <f>IF($B906="","",WEEKNUM($B906,2))</f>
        <v/>
      </c>
      <c r="D906" s="29" t="str">
        <f>IF($B906="","",TEXT($B906,"yyyy-mm"))</f>
        <v/>
      </c>
      <c r="G906" s="29" t="str">
        <f>IF(OR($E906="",$F906=""),"",IFERROR(IF($E906=INDEX([1]Cluster_Master!$A$4:$A$18,MATCH($F906,[1]Cluster_Master!$B$4:$B$18,0)),"OK","CHECK"),"CHECK"))</f>
        <v/>
      </c>
      <c r="H906" s="29" t="str">
        <f>IFERROR(INDEX([1]Cluster_Master!$C$4:$C$18,MATCH($F906,[1]Cluster_Master!$B$4:$B$18,0)),"")</f>
        <v/>
      </c>
      <c r="I906" s="29" t="str">
        <f>IFERROR(INDEX([1]Cluster_Master!$D$4:$D$18,MATCH($F906,[1]Cluster_Master!$B$4:$B$18,0)),"")</f>
        <v/>
      </c>
      <c r="J906" s="29" t="str">
        <f>IFERROR(INDEX([1]Cluster_Master!$E$4:$E$18,MATCH($F906,[1]Cluster_Master!$B$4:$B$18,0)),"")</f>
        <v/>
      </c>
      <c r="K906" s="29" t="str">
        <f>IFERROR(INDEX([1]Cluster_Master!$F$4:$F$18,MATCH($F906,[1]Cluster_Master!$B$4:$B$18,0)),"")</f>
        <v/>
      </c>
      <c r="L906" s="29" t="str">
        <f>IFERROR(INDEX([1]Cluster_Master!$G$4:$G$18,MATCH($F906,[1]Cluster_Master!$B$4:$B$18,0)),"")</f>
        <v/>
      </c>
      <c r="M906" s="29" t="str">
        <f>IFERROR(INDEX([1]Cluster_Master!$H$4:$H$18,MATCH($F906,[1]Cluster_Master!$B$4:$B$18,0)),"")</f>
        <v/>
      </c>
      <c r="AI906" s="29" t="str">
        <f>IF(COUNTA(T906:AH906)=0,"",SUM(T906:AH906))</f>
        <v/>
      </c>
      <c r="AJ906" s="29" t="str">
        <f>IF(COUNTA(T906:AH906)=0,"",AI906/75)</f>
        <v/>
      </c>
      <c r="AK906" s="29" t="str">
        <f>IF(COUNTA(T906:AH906)=0,"",(SUM(T906*[1]KPI_Weights!$B$4,U906*[1]KPI_Weights!$B$5,V906*[1]KPI_Weights!$B$6,W906*[1]KPI_Weights!$B$7,X906*[1]KPI_Weights!$B$8,Y906*[1]KPI_Weights!$B$9,Z906*[1]KPI_Weights!$B$10,AA906*[1]KPI_Weights!$B$11,AB906*[1]KPI_Weights!$B$12,AC906*[1]KPI_Weights!$B$13,AD906*[1]KPI_Weights!$B$14,AE906*[1]KPI_Weights!$B$15,AF906*[1]KPI_Weights!$B$16,AG906*[1]KPI_Weights!$B$17,AH906*[1]KPI_Weights!$B$18))/5)</f>
        <v/>
      </c>
      <c r="AL906" s="29" t="str">
        <f>IF(COUNTA(T906:AH906)=0,"",IF(OR(T906&lt;=1,W906&lt;=1,X906&lt;=1,Y906&lt;=1,AB906&lt;=1),"YES","NO"))</f>
        <v/>
      </c>
      <c r="AM906" s="29" t="str">
        <f>IF(AJ906="","",IF(AND(AL906="NO",AJ906&gt;=0.75),"YES","NO"))</f>
        <v/>
      </c>
      <c r="AN906" s="29" t="str">
        <f>IF(AJ906="","",IF(AJ906&lt;0.4,"Critical",IF(AJ906&lt;0.6,"Poor",IF(AJ906&lt;0.75,"Needs Improvement",IF(AJ906&lt;0.9,"Good","Excellent")))))</f>
        <v/>
      </c>
    </row>
    <row r="907" spans="1:40" ht="15" customHeight="1" x14ac:dyDescent="0.25">
      <c r="A907" s="29" t="str">
        <f>IF($B907="","",TEXT($B907,"yyyymmdd")&amp;"-"&amp;SUBSTITUTE($F907," ","")&amp;"-"&amp;TEXT(COUNTIF($F$4:F907,$F907),"00"))</f>
        <v/>
      </c>
      <c r="C907" s="29" t="str">
        <f>IF($B907="","",WEEKNUM($B907,2))</f>
        <v/>
      </c>
      <c r="D907" s="29" t="str">
        <f>IF($B907="","",TEXT($B907,"yyyy-mm"))</f>
        <v/>
      </c>
      <c r="G907" s="29" t="str">
        <f>IF(OR($E907="",$F907=""),"",IFERROR(IF($E907=INDEX([1]Cluster_Master!$A$4:$A$18,MATCH($F907,[1]Cluster_Master!$B$4:$B$18,0)),"OK","CHECK"),"CHECK"))</f>
        <v/>
      </c>
      <c r="H907" s="29" t="str">
        <f>IFERROR(INDEX([1]Cluster_Master!$C$4:$C$18,MATCH($F907,[1]Cluster_Master!$B$4:$B$18,0)),"")</f>
        <v/>
      </c>
      <c r="I907" s="29" t="str">
        <f>IFERROR(INDEX([1]Cluster_Master!$D$4:$D$18,MATCH($F907,[1]Cluster_Master!$B$4:$B$18,0)),"")</f>
        <v/>
      </c>
      <c r="J907" s="29" t="str">
        <f>IFERROR(INDEX([1]Cluster_Master!$E$4:$E$18,MATCH($F907,[1]Cluster_Master!$B$4:$B$18,0)),"")</f>
        <v/>
      </c>
      <c r="K907" s="29" t="str">
        <f>IFERROR(INDEX([1]Cluster_Master!$F$4:$F$18,MATCH($F907,[1]Cluster_Master!$B$4:$B$18,0)),"")</f>
        <v/>
      </c>
      <c r="L907" s="29" t="str">
        <f>IFERROR(INDEX([1]Cluster_Master!$G$4:$G$18,MATCH($F907,[1]Cluster_Master!$B$4:$B$18,0)),"")</f>
        <v/>
      </c>
      <c r="M907" s="29" t="str">
        <f>IFERROR(INDEX([1]Cluster_Master!$H$4:$H$18,MATCH($F907,[1]Cluster_Master!$B$4:$B$18,0)),"")</f>
        <v/>
      </c>
      <c r="AI907" s="29" t="str">
        <f>IF(COUNTA(T907:AH907)=0,"",SUM(T907:AH907))</f>
        <v/>
      </c>
      <c r="AJ907" s="29" t="str">
        <f>IF(COUNTA(T907:AH907)=0,"",AI907/75)</f>
        <v/>
      </c>
      <c r="AK907" s="29" t="str">
        <f>IF(COUNTA(T907:AH907)=0,"",(SUM(T907*[1]KPI_Weights!$B$4,U907*[1]KPI_Weights!$B$5,V907*[1]KPI_Weights!$B$6,W907*[1]KPI_Weights!$B$7,X907*[1]KPI_Weights!$B$8,Y907*[1]KPI_Weights!$B$9,Z907*[1]KPI_Weights!$B$10,AA907*[1]KPI_Weights!$B$11,AB907*[1]KPI_Weights!$B$12,AC907*[1]KPI_Weights!$B$13,AD907*[1]KPI_Weights!$B$14,AE907*[1]KPI_Weights!$B$15,AF907*[1]KPI_Weights!$B$16,AG907*[1]KPI_Weights!$B$17,AH907*[1]KPI_Weights!$B$18))/5)</f>
        <v/>
      </c>
      <c r="AL907" s="29" t="str">
        <f>IF(COUNTA(T907:AH907)=0,"",IF(OR(T907&lt;=1,W907&lt;=1,X907&lt;=1,Y907&lt;=1,AB907&lt;=1),"YES","NO"))</f>
        <v/>
      </c>
      <c r="AM907" s="29" t="str">
        <f>IF(AJ907="","",IF(AND(AL907="NO",AJ907&gt;=0.75),"YES","NO"))</f>
        <v/>
      </c>
      <c r="AN907" s="29" t="str">
        <f>IF(AJ907="","",IF(AJ907&lt;0.4,"Critical",IF(AJ907&lt;0.6,"Poor",IF(AJ907&lt;0.75,"Needs Improvement",IF(AJ907&lt;0.9,"Good","Excellent")))))</f>
        <v/>
      </c>
    </row>
    <row r="908" spans="1:40" ht="15" customHeight="1" x14ac:dyDescent="0.25">
      <c r="A908" s="29" t="str">
        <f>IF($B908="","",TEXT($B908,"yyyymmdd")&amp;"-"&amp;SUBSTITUTE($F908," ","")&amp;"-"&amp;TEXT(COUNTIF($F$4:F908,$F908),"00"))</f>
        <v/>
      </c>
      <c r="C908" s="29" t="str">
        <f>IF($B908="","",WEEKNUM($B908,2))</f>
        <v/>
      </c>
      <c r="D908" s="29" t="str">
        <f>IF($B908="","",TEXT($B908,"yyyy-mm"))</f>
        <v/>
      </c>
      <c r="G908" s="29" t="str">
        <f>IF(OR($E908="",$F908=""),"",IFERROR(IF($E908=INDEX([1]Cluster_Master!$A$4:$A$18,MATCH($F908,[1]Cluster_Master!$B$4:$B$18,0)),"OK","CHECK"),"CHECK"))</f>
        <v/>
      </c>
      <c r="H908" s="29" t="str">
        <f>IFERROR(INDEX([1]Cluster_Master!$C$4:$C$18,MATCH($F908,[1]Cluster_Master!$B$4:$B$18,0)),"")</f>
        <v/>
      </c>
      <c r="I908" s="29" t="str">
        <f>IFERROR(INDEX([1]Cluster_Master!$D$4:$D$18,MATCH($F908,[1]Cluster_Master!$B$4:$B$18,0)),"")</f>
        <v/>
      </c>
      <c r="J908" s="29" t="str">
        <f>IFERROR(INDEX([1]Cluster_Master!$E$4:$E$18,MATCH($F908,[1]Cluster_Master!$B$4:$B$18,0)),"")</f>
        <v/>
      </c>
      <c r="K908" s="29" t="str">
        <f>IFERROR(INDEX([1]Cluster_Master!$F$4:$F$18,MATCH($F908,[1]Cluster_Master!$B$4:$B$18,0)),"")</f>
        <v/>
      </c>
      <c r="L908" s="29" t="str">
        <f>IFERROR(INDEX([1]Cluster_Master!$G$4:$G$18,MATCH($F908,[1]Cluster_Master!$B$4:$B$18,0)),"")</f>
        <v/>
      </c>
      <c r="M908" s="29" t="str">
        <f>IFERROR(INDEX([1]Cluster_Master!$H$4:$H$18,MATCH($F908,[1]Cluster_Master!$B$4:$B$18,0)),"")</f>
        <v/>
      </c>
      <c r="AI908" s="29" t="str">
        <f>IF(COUNTA(T908:AH908)=0,"",SUM(T908:AH908))</f>
        <v/>
      </c>
      <c r="AJ908" s="29" t="str">
        <f>IF(COUNTA(T908:AH908)=0,"",AI908/75)</f>
        <v/>
      </c>
      <c r="AK908" s="29" t="str">
        <f>IF(COUNTA(T908:AH908)=0,"",(SUM(T908*[1]KPI_Weights!$B$4,U908*[1]KPI_Weights!$B$5,V908*[1]KPI_Weights!$B$6,W908*[1]KPI_Weights!$B$7,X908*[1]KPI_Weights!$B$8,Y908*[1]KPI_Weights!$B$9,Z908*[1]KPI_Weights!$B$10,AA908*[1]KPI_Weights!$B$11,AB908*[1]KPI_Weights!$B$12,AC908*[1]KPI_Weights!$B$13,AD908*[1]KPI_Weights!$B$14,AE908*[1]KPI_Weights!$B$15,AF908*[1]KPI_Weights!$B$16,AG908*[1]KPI_Weights!$B$17,AH908*[1]KPI_Weights!$B$18))/5)</f>
        <v/>
      </c>
      <c r="AL908" s="29" t="str">
        <f>IF(COUNTA(T908:AH908)=0,"",IF(OR(T908&lt;=1,W908&lt;=1,X908&lt;=1,Y908&lt;=1,AB908&lt;=1),"YES","NO"))</f>
        <v/>
      </c>
      <c r="AM908" s="29" t="str">
        <f>IF(AJ908="","",IF(AND(AL908="NO",AJ908&gt;=0.75),"YES","NO"))</f>
        <v/>
      </c>
      <c r="AN908" s="29" t="str">
        <f>IF(AJ908="","",IF(AJ908&lt;0.4,"Critical",IF(AJ908&lt;0.6,"Poor",IF(AJ908&lt;0.75,"Needs Improvement",IF(AJ908&lt;0.9,"Good","Excellent")))))</f>
        <v/>
      </c>
    </row>
    <row r="909" spans="1:40" ht="15" customHeight="1" x14ac:dyDescent="0.25">
      <c r="A909" s="29" t="str">
        <f>IF($B909="","",TEXT($B909,"yyyymmdd")&amp;"-"&amp;SUBSTITUTE($F909," ","")&amp;"-"&amp;TEXT(COUNTIF($F$4:F909,$F909),"00"))</f>
        <v/>
      </c>
      <c r="C909" s="29" t="str">
        <f>IF($B909="","",WEEKNUM($B909,2))</f>
        <v/>
      </c>
      <c r="D909" s="29" t="str">
        <f>IF($B909="","",TEXT($B909,"yyyy-mm"))</f>
        <v/>
      </c>
      <c r="G909" s="29" t="str">
        <f>IF(OR($E909="",$F909=""),"",IFERROR(IF($E909=INDEX([1]Cluster_Master!$A$4:$A$18,MATCH($F909,[1]Cluster_Master!$B$4:$B$18,0)),"OK","CHECK"),"CHECK"))</f>
        <v/>
      </c>
      <c r="H909" s="29" t="str">
        <f>IFERROR(INDEX([1]Cluster_Master!$C$4:$C$18,MATCH($F909,[1]Cluster_Master!$B$4:$B$18,0)),"")</f>
        <v/>
      </c>
      <c r="I909" s="29" t="str">
        <f>IFERROR(INDEX([1]Cluster_Master!$D$4:$D$18,MATCH($F909,[1]Cluster_Master!$B$4:$B$18,0)),"")</f>
        <v/>
      </c>
      <c r="J909" s="29" t="str">
        <f>IFERROR(INDEX([1]Cluster_Master!$E$4:$E$18,MATCH($F909,[1]Cluster_Master!$B$4:$B$18,0)),"")</f>
        <v/>
      </c>
      <c r="K909" s="29" t="str">
        <f>IFERROR(INDEX([1]Cluster_Master!$F$4:$F$18,MATCH($F909,[1]Cluster_Master!$B$4:$B$18,0)),"")</f>
        <v/>
      </c>
      <c r="L909" s="29" t="str">
        <f>IFERROR(INDEX([1]Cluster_Master!$G$4:$G$18,MATCH($F909,[1]Cluster_Master!$B$4:$B$18,0)),"")</f>
        <v/>
      </c>
      <c r="M909" s="29" t="str">
        <f>IFERROR(INDEX([1]Cluster_Master!$H$4:$H$18,MATCH($F909,[1]Cluster_Master!$B$4:$B$18,0)),"")</f>
        <v/>
      </c>
      <c r="AI909" s="29" t="str">
        <f>IF(COUNTA(T909:AH909)=0,"",SUM(T909:AH909))</f>
        <v/>
      </c>
      <c r="AJ909" s="29" t="str">
        <f>IF(COUNTA(T909:AH909)=0,"",AI909/75)</f>
        <v/>
      </c>
      <c r="AK909" s="29" t="str">
        <f>IF(COUNTA(T909:AH909)=0,"",(SUM(T909*[1]KPI_Weights!$B$4,U909*[1]KPI_Weights!$B$5,V909*[1]KPI_Weights!$B$6,W909*[1]KPI_Weights!$B$7,X909*[1]KPI_Weights!$B$8,Y909*[1]KPI_Weights!$B$9,Z909*[1]KPI_Weights!$B$10,AA909*[1]KPI_Weights!$B$11,AB909*[1]KPI_Weights!$B$12,AC909*[1]KPI_Weights!$B$13,AD909*[1]KPI_Weights!$B$14,AE909*[1]KPI_Weights!$B$15,AF909*[1]KPI_Weights!$B$16,AG909*[1]KPI_Weights!$B$17,AH909*[1]KPI_Weights!$B$18))/5)</f>
        <v/>
      </c>
      <c r="AL909" s="29" t="str">
        <f>IF(COUNTA(T909:AH909)=0,"",IF(OR(T909&lt;=1,W909&lt;=1,X909&lt;=1,Y909&lt;=1,AB909&lt;=1),"YES","NO"))</f>
        <v/>
      </c>
      <c r="AM909" s="29" t="str">
        <f>IF(AJ909="","",IF(AND(AL909="NO",AJ909&gt;=0.75),"YES","NO"))</f>
        <v/>
      </c>
      <c r="AN909" s="29" t="str">
        <f>IF(AJ909="","",IF(AJ909&lt;0.4,"Critical",IF(AJ909&lt;0.6,"Poor",IF(AJ909&lt;0.75,"Needs Improvement",IF(AJ909&lt;0.9,"Good","Excellent")))))</f>
        <v/>
      </c>
    </row>
    <row r="910" spans="1:40" ht="15" customHeight="1" x14ac:dyDescent="0.25">
      <c r="A910" s="29" t="str">
        <f>IF($B910="","",TEXT($B910,"yyyymmdd")&amp;"-"&amp;SUBSTITUTE($F910," ","")&amp;"-"&amp;TEXT(COUNTIF($F$4:F910,$F910),"00"))</f>
        <v/>
      </c>
      <c r="C910" s="29" t="str">
        <f>IF($B910="","",WEEKNUM($B910,2))</f>
        <v/>
      </c>
      <c r="D910" s="29" t="str">
        <f>IF($B910="","",TEXT($B910,"yyyy-mm"))</f>
        <v/>
      </c>
      <c r="G910" s="29" t="str">
        <f>IF(OR($E910="",$F910=""),"",IFERROR(IF($E910=INDEX([1]Cluster_Master!$A$4:$A$18,MATCH($F910,[1]Cluster_Master!$B$4:$B$18,0)),"OK","CHECK"),"CHECK"))</f>
        <v/>
      </c>
      <c r="H910" s="29" t="str">
        <f>IFERROR(INDEX([1]Cluster_Master!$C$4:$C$18,MATCH($F910,[1]Cluster_Master!$B$4:$B$18,0)),"")</f>
        <v/>
      </c>
      <c r="I910" s="29" t="str">
        <f>IFERROR(INDEX([1]Cluster_Master!$D$4:$D$18,MATCH($F910,[1]Cluster_Master!$B$4:$B$18,0)),"")</f>
        <v/>
      </c>
      <c r="J910" s="29" t="str">
        <f>IFERROR(INDEX([1]Cluster_Master!$E$4:$E$18,MATCH($F910,[1]Cluster_Master!$B$4:$B$18,0)),"")</f>
        <v/>
      </c>
      <c r="K910" s="29" t="str">
        <f>IFERROR(INDEX([1]Cluster_Master!$F$4:$F$18,MATCH($F910,[1]Cluster_Master!$B$4:$B$18,0)),"")</f>
        <v/>
      </c>
      <c r="L910" s="29" t="str">
        <f>IFERROR(INDEX([1]Cluster_Master!$G$4:$G$18,MATCH($F910,[1]Cluster_Master!$B$4:$B$18,0)),"")</f>
        <v/>
      </c>
      <c r="M910" s="29" t="str">
        <f>IFERROR(INDEX([1]Cluster_Master!$H$4:$H$18,MATCH($F910,[1]Cluster_Master!$B$4:$B$18,0)),"")</f>
        <v/>
      </c>
      <c r="AI910" s="29" t="str">
        <f>IF(COUNTA(T910:AH910)=0,"",SUM(T910:AH910))</f>
        <v/>
      </c>
      <c r="AJ910" s="29" t="str">
        <f>IF(COUNTA(T910:AH910)=0,"",AI910/75)</f>
        <v/>
      </c>
      <c r="AK910" s="29" t="str">
        <f>IF(COUNTA(T910:AH910)=0,"",(SUM(T910*[1]KPI_Weights!$B$4,U910*[1]KPI_Weights!$B$5,V910*[1]KPI_Weights!$B$6,W910*[1]KPI_Weights!$B$7,X910*[1]KPI_Weights!$B$8,Y910*[1]KPI_Weights!$B$9,Z910*[1]KPI_Weights!$B$10,AA910*[1]KPI_Weights!$B$11,AB910*[1]KPI_Weights!$B$12,AC910*[1]KPI_Weights!$B$13,AD910*[1]KPI_Weights!$B$14,AE910*[1]KPI_Weights!$B$15,AF910*[1]KPI_Weights!$B$16,AG910*[1]KPI_Weights!$B$17,AH910*[1]KPI_Weights!$B$18))/5)</f>
        <v/>
      </c>
      <c r="AL910" s="29" t="str">
        <f>IF(COUNTA(T910:AH910)=0,"",IF(OR(T910&lt;=1,W910&lt;=1,X910&lt;=1,Y910&lt;=1,AB910&lt;=1),"YES","NO"))</f>
        <v/>
      </c>
      <c r="AM910" s="29" t="str">
        <f>IF(AJ910="","",IF(AND(AL910="NO",AJ910&gt;=0.75),"YES","NO"))</f>
        <v/>
      </c>
      <c r="AN910" s="29" t="str">
        <f>IF(AJ910="","",IF(AJ910&lt;0.4,"Critical",IF(AJ910&lt;0.6,"Poor",IF(AJ910&lt;0.75,"Needs Improvement",IF(AJ910&lt;0.9,"Good","Excellent")))))</f>
        <v/>
      </c>
    </row>
    <row r="911" spans="1:40" ht="15" customHeight="1" x14ac:dyDescent="0.25">
      <c r="A911" s="29" t="str">
        <f>IF($B911="","",TEXT($B911,"yyyymmdd")&amp;"-"&amp;SUBSTITUTE($F911," ","")&amp;"-"&amp;TEXT(COUNTIF($F$4:F911,$F911),"00"))</f>
        <v/>
      </c>
      <c r="C911" s="29" t="str">
        <f>IF($B911="","",WEEKNUM($B911,2))</f>
        <v/>
      </c>
      <c r="D911" s="29" t="str">
        <f>IF($B911="","",TEXT($B911,"yyyy-mm"))</f>
        <v/>
      </c>
      <c r="G911" s="29" t="str">
        <f>IF(OR($E911="",$F911=""),"",IFERROR(IF($E911=INDEX([1]Cluster_Master!$A$4:$A$18,MATCH($F911,[1]Cluster_Master!$B$4:$B$18,0)),"OK","CHECK"),"CHECK"))</f>
        <v/>
      </c>
      <c r="H911" s="29" t="str">
        <f>IFERROR(INDEX([1]Cluster_Master!$C$4:$C$18,MATCH($F911,[1]Cluster_Master!$B$4:$B$18,0)),"")</f>
        <v/>
      </c>
      <c r="I911" s="29" t="str">
        <f>IFERROR(INDEX([1]Cluster_Master!$D$4:$D$18,MATCH($F911,[1]Cluster_Master!$B$4:$B$18,0)),"")</f>
        <v/>
      </c>
      <c r="J911" s="29" t="str">
        <f>IFERROR(INDEX([1]Cluster_Master!$E$4:$E$18,MATCH($F911,[1]Cluster_Master!$B$4:$B$18,0)),"")</f>
        <v/>
      </c>
      <c r="K911" s="29" t="str">
        <f>IFERROR(INDEX([1]Cluster_Master!$F$4:$F$18,MATCH($F911,[1]Cluster_Master!$B$4:$B$18,0)),"")</f>
        <v/>
      </c>
      <c r="L911" s="29" t="str">
        <f>IFERROR(INDEX([1]Cluster_Master!$G$4:$G$18,MATCH($F911,[1]Cluster_Master!$B$4:$B$18,0)),"")</f>
        <v/>
      </c>
      <c r="M911" s="29" t="str">
        <f>IFERROR(INDEX([1]Cluster_Master!$H$4:$H$18,MATCH($F911,[1]Cluster_Master!$B$4:$B$18,0)),"")</f>
        <v/>
      </c>
      <c r="AI911" s="29" t="str">
        <f>IF(COUNTA(T911:AH911)=0,"",SUM(T911:AH911))</f>
        <v/>
      </c>
      <c r="AJ911" s="29" t="str">
        <f>IF(COUNTA(T911:AH911)=0,"",AI911/75)</f>
        <v/>
      </c>
      <c r="AK911" s="29" t="str">
        <f>IF(COUNTA(T911:AH911)=0,"",(SUM(T911*[1]KPI_Weights!$B$4,U911*[1]KPI_Weights!$B$5,V911*[1]KPI_Weights!$B$6,W911*[1]KPI_Weights!$B$7,X911*[1]KPI_Weights!$B$8,Y911*[1]KPI_Weights!$B$9,Z911*[1]KPI_Weights!$B$10,AA911*[1]KPI_Weights!$B$11,AB911*[1]KPI_Weights!$B$12,AC911*[1]KPI_Weights!$B$13,AD911*[1]KPI_Weights!$B$14,AE911*[1]KPI_Weights!$B$15,AF911*[1]KPI_Weights!$B$16,AG911*[1]KPI_Weights!$B$17,AH911*[1]KPI_Weights!$B$18))/5)</f>
        <v/>
      </c>
      <c r="AL911" s="29" t="str">
        <f>IF(COUNTA(T911:AH911)=0,"",IF(OR(T911&lt;=1,W911&lt;=1,X911&lt;=1,Y911&lt;=1,AB911&lt;=1),"YES","NO"))</f>
        <v/>
      </c>
      <c r="AM911" s="29" t="str">
        <f>IF(AJ911="","",IF(AND(AL911="NO",AJ911&gt;=0.75),"YES","NO"))</f>
        <v/>
      </c>
      <c r="AN911" s="29" t="str">
        <f>IF(AJ911="","",IF(AJ911&lt;0.4,"Critical",IF(AJ911&lt;0.6,"Poor",IF(AJ911&lt;0.75,"Needs Improvement",IF(AJ911&lt;0.9,"Good","Excellent")))))</f>
        <v/>
      </c>
    </row>
    <row r="912" spans="1:40" ht="15" customHeight="1" x14ac:dyDescent="0.25">
      <c r="A912" s="29" t="str">
        <f>IF($B912="","",TEXT($B912,"yyyymmdd")&amp;"-"&amp;SUBSTITUTE($F912," ","")&amp;"-"&amp;TEXT(COUNTIF($F$4:F912,$F912),"00"))</f>
        <v/>
      </c>
      <c r="C912" s="29" t="str">
        <f>IF($B912="","",WEEKNUM($B912,2))</f>
        <v/>
      </c>
      <c r="D912" s="29" t="str">
        <f>IF($B912="","",TEXT($B912,"yyyy-mm"))</f>
        <v/>
      </c>
      <c r="G912" s="29" t="str">
        <f>IF(OR($E912="",$F912=""),"",IFERROR(IF($E912=INDEX([1]Cluster_Master!$A$4:$A$18,MATCH($F912,[1]Cluster_Master!$B$4:$B$18,0)),"OK","CHECK"),"CHECK"))</f>
        <v/>
      </c>
      <c r="H912" s="29" t="str">
        <f>IFERROR(INDEX([1]Cluster_Master!$C$4:$C$18,MATCH($F912,[1]Cluster_Master!$B$4:$B$18,0)),"")</f>
        <v/>
      </c>
      <c r="I912" s="29" t="str">
        <f>IFERROR(INDEX([1]Cluster_Master!$D$4:$D$18,MATCH($F912,[1]Cluster_Master!$B$4:$B$18,0)),"")</f>
        <v/>
      </c>
      <c r="J912" s="29" t="str">
        <f>IFERROR(INDEX([1]Cluster_Master!$E$4:$E$18,MATCH($F912,[1]Cluster_Master!$B$4:$B$18,0)),"")</f>
        <v/>
      </c>
      <c r="K912" s="29" t="str">
        <f>IFERROR(INDEX([1]Cluster_Master!$F$4:$F$18,MATCH($F912,[1]Cluster_Master!$B$4:$B$18,0)),"")</f>
        <v/>
      </c>
      <c r="L912" s="29" t="str">
        <f>IFERROR(INDEX([1]Cluster_Master!$G$4:$G$18,MATCH($F912,[1]Cluster_Master!$B$4:$B$18,0)),"")</f>
        <v/>
      </c>
      <c r="M912" s="29" t="str">
        <f>IFERROR(INDEX([1]Cluster_Master!$H$4:$H$18,MATCH($F912,[1]Cluster_Master!$B$4:$B$18,0)),"")</f>
        <v/>
      </c>
      <c r="AI912" s="29" t="str">
        <f>IF(COUNTA(T912:AH912)=0,"",SUM(T912:AH912))</f>
        <v/>
      </c>
      <c r="AJ912" s="29" t="str">
        <f>IF(COUNTA(T912:AH912)=0,"",AI912/75)</f>
        <v/>
      </c>
      <c r="AK912" s="29" t="str">
        <f>IF(COUNTA(T912:AH912)=0,"",(SUM(T912*[1]KPI_Weights!$B$4,U912*[1]KPI_Weights!$B$5,V912*[1]KPI_Weights!$B$6,W912*[1]KPI_Weights!$B$7,X912*[1]KPI_Weights!$B$8,Y912*[1]KPI_Weights!$B$9,Z912*[1]KPI_Weights!$B$10,AA912*[1]KPI_Weights!$B$11,AB912*[1]KPI_Weights!$B$12,AC912*[1]KPI_Weights!$B$13,AD912*[1]KPI_Weights!$B$14,AE912*[1]KPI_Weights!$B$15,AF912*[1]KPI_Weights!$B$16,AG912*[1]KPI_Weights!$B$17,AH912*[1]KPI_Weights!$B$18))/5)</f>
        <v/>
      </c>
      <c r="AL912" s="29" t="str">
        <f>IF(COUNTA(T912:AH912)=0,"",IF(OR(T912&lt;=1,W912&lt;=1,X912&lt;=1,Y912&lt;=1,AB912&lt;=1),"YES","NO"))</f>
        <v/>
      </c>
      <c r="AM912" s="29" t="str">
        <f>IF(AJ912="","",IF(AND(AL912="NO",AJ912&gt;=0.75),"YES","NO"))</f>
        <v/>
      </c>
      <c r="AN912" s="29" t="str">
        <f>IF(AJ912="","",IF(AJ912&lt;0.4,"Critical",IF(AJ912&lt;0.6,"Poor",IF(AJ912&lt;0.75,"Needs Improvement",IF(AJ912&lt;0.9,"Good","Excellent")))))</f>
        <v/>
      </c>
    </row>
    <row r="913" spans="1:40" ht="15" customHeight="1" x14ac:dyDescent="0.25">
      <c r="A913" s="29" t="str">
        <f>IF($B913="","",TEXT($B913,"yyyymmdd")&amp;"-"&amp;SUBSTITUTE($F913," ","")&amp;"-"&amp;TEXT(COUNTIF($F$4:F913,$F913),"00"))</f>
        <v/>
      </c>
      <c r="C913" s="29" t="str">
        <f>IF($B913="","",WEEKNUM($B913,2))</f>
        <v/>
      </c>
      <c r="D913" s="29" t="str">
        <f>IF($B913="","",TEXT($B913,"yyyy-mm"))</f>
        <v/>
      </c>
      <c r="G913" s="29" t="str">
        <f>IF(OR($E913="",$F913=""),"",IFERROR(IF($E913=INDEX([1]Cluster_Master!$A$4:$A$18,MATCH($F913,[1]Cluster_Master!$B$4:$B$18,0)),"OK","CHECK"),"CHECK"))</f>
        <v/>
      </c>
      <c r="H913" s="29" t="str">
        <f>IFERROR(INDEX([1]Cluster_Master!$C$4:$C$18,MATCH($F913,[1]Cluster_Master!$B$4:$B$18,0)),"")</f>
        <v/>
      </c>
      <c r="I913" s="29" t="str">
        <f>IFERROR(INDEX([1]Cluster_Master!$D$4:$D$18,MATCH($F913,[1]Cluster_Master!$B$4:$B$18,0)),"")</f>
        <v/>
      </c>
      <c r="J913" s="29" t="str">
        <f>IFERROR(INDEX([1]Cluster_Master!$E$4:$E$18,MATCH($F913,[1]Cluster_Master!$B$4:$B$18,0)),"")</f>
        <v/>
      </c>
      <c r="K913" s="29" t="str">
        <f>IFERROR(INDEX([1]Cluster_Master!$F$4:$F$18,MATCH($F913,[1]Cluster_Master!$B$4:$B$18,0)),"")</f>
        <v/>
      </c>
      <c r="L913" s="29" t="str">
        <f>IFERROR(INDEX([1]Cluster_Master!$G$4:$G$18,MATCH($F913,[1]Cluster_Master!$B$4:$B$18,0)),"")</f>
        <v/>
      </c>
      <c r="M913" s="29" t="str">
        <f>IFERROR(INDEX([1]Cluster_Master!$H$4:$H$18,MATCH($F913,[1]Cluster_Master!$B$4:$B$18,0)),"")</f>
        <v/>
      </c>
      <c r="AI913" s="29" t="str">
        <f>IF(COUNTA(T913:AH913)=0,"",SUM(T913:AH913))</f>
        <v/>
      </c>
      <c r="AJ913" s="29" t="str">
        <f>IF(COUNTA(T913:AH913)=0,"",AI913/75)</f>
        <v/>
      </c>
      <c r="AK913" s="29" t="str">
        <f>IF(COUNTA(T913:AH913)=0,"",(SUM(T913*[1]KPI_Weights!$B$4,U913*[1]KPI_Weights!$B$5,V913*[1]KPI_Weights!$B$6,W913*[1]KPI_Weights!$B$7,X913*[1]KPI_Weights!$B$8,Y913*[1]KPI_Weights!$B$9,Z913*[1]KPI_Weights!$B$10,AA913*[1]KPI_Weights!$B$11,AB913*[1]KPI_Weights!$B$12,AC913*[1]KPI_Weights!$B$13,AD913*[1]KPI_Weights!$B$14,AE913*[1]KPI_Weights!$B$15,AF913*[1]KPI_Weights!$B$16,AG913*[1]KPI_Weights!$B$17,AH913*[1]KPI_Weights!$B$18))/5)</f>
        <v/>
      </c>
      <c r="AL913" s="29" t="str">
        <f>IF(COUNTA(T913:AH913)=0,"",IF(OR(T913&lt;=1,W913&lt;=1,X913&lt;=1,Y913&lt;=1,AB913&lt;=1),"YES","NO"))</f>
        <v/>
      </c>
      <c r="AM913" s="29" t="str">
        <f>IF(AJ913="","",IF(AND(AL913="NO",AJ913&gt;=0.75),"YES","NO"))</f>
        <v/>
      </c>
      <c r="AN913" s="29" t="str">
        <f>IF(AJ913="","",IF(AJ913&lt;0.4,"Critical",IF(AJ913&lt;0.6,"Poor",IF(AJ913&lt;0.75,"Needs Improvement",IF(AJ913&lt;0.9,"Good","Excellent")))))</f>
        <v/>
      </c>
    </row>
    <row r="914" spans="1:40" ht="15" customHeight="1" x14ac:dyDescent="0.25">
      <c r="A914" s="29" t="str">
        <f>IF($B914="","",TEXT($B914,"yyyymmdd")&amp;"-"&amp;SUBSTITUTE($F914," ","")&amp;"-"&amp;TEXT(COUNTIF($F$4:F914,$F914),"00"))</f>
        <v/>
      </c>
      <c r="C914" s="29" t="str">
        <f>IF($B914="","",WEEKNUM($B914,2))</f>
        <v/>
      </c>
      <c r="D914" s="29" t="str">
        <f>IF($B914="","",TEXT($B914,"yyyy-mm"))</f>
        <v/>
      </c>
      <c r="G914" s="29" t="str">
        <f>IF(OR($E914="",$F914=""),"",IFERROR(IF($E914=INDEX([1]Cluster_Master!$A$4:$A$18,MATCH($F914,[1]Cluster_Master!$B$4:$B$18,0)),"OK","CHECK"),"CHECK"))</f>
        <v/>
      </c>
      <c r="H914" s="29" t="str">
        <f>IFERROR(INDEX([1]Cluster_Master!$C$4:$C$18,MATCH($F914,[1]Cluster_Master!$B$4:$B$18,0)),"")</f>
        <v/>
      </c>
      <c r="I914" s="29" t="str">
        <f>IFERROR(INDEX([1]Cluster_Master!$D$4:$D$18,MATCH($F914,[1]Cluster_Master!$B$4:$B$18,0)),"")</f>
        <v/>
      </c>
      <c r="J914" s="29" t="str">
        <f>IFERROR(INDEX([1]Cluster_Master!$E$4:$E$18,MATCH($F914,[1]Cluster_Master!$B$4:$B$18,0)),"")</f>
        <v/>
      </c>
      <c r="K914" s="29" t="str">
        <f>IFERROR(INDEX([1]Cluster_Master!$F$4:$F$18,MATCH($F914,[1]Cluster_Master!$B$4:$B$18,0)),"")</f>
        <v/>
      </c>
      <c r="L914" s="29" t="str">
        <f>IFERROR(INDEX([1]Cluster_Master!$G$4:$G$18,MATCH($F914,[1]Cluster_Master!$B$4:$B$18,0)),"")</f>
        <v/>
      </c>
      <c r="M914" s="29" t="str">
        <f>IFERROR(INDEX([1]Cluster_Master!$H$4:$H$18,MATCH($F914,[1]Cluster_Master!$B$4:$B$18,0)),"")</f>
        <v/>
      </c>
      <c r="AI914" s="29" t="str">
        <f>IF(COUNTA(T914:AH914)=0,"",SUM(T914:AH914))</f>
        <v/>
      </c>
      <c r="AJ914" s="29" t="str">
        <f>IF(COUNTA(T914:AH914)=0,"",AI914/75)</f>
        <v/>
      </c>
      <c r="AK914" s="29" t="str">
        <f>IF(COUNTA(T914:AH914)=0,"",(SUM(T914*[1]KPI_Weights!$B$4,U914*[1]KPI_Weights!$B$5,V914*[1]KPI_Weights!$B$6,W914*[1]KPI_Weights!$B$7,X914*[1]KPI_Weights!$B$8,Y914*[1]KPI_Weights!$B$9,Z914*[1]KPI_Weights!$B$10,AA914*[1]KPI_Weights!$B$11,AB914*[1]KPI_Weights!$B$12,AC914*[1]KPI_Weights!$B$13,AD914*[1]KPI_Weights!$B$14,AE914*[1]KPI_Weights!$B$15,AF914*[1]KPI_Weights!$B$16,AG914*[1]KPI_Weights!$B$17,AH914*[1]KPI_Weights!$B$18))/5)</f>
        <v/>
      </c>
      <c r="AL914" s="29" t="str">
        <f>IF(COUNTA(T914:AH914)=0,"",IF(OR(T914&lt;=1,W914&lt;=1,X914&lt;=1,Y914&lt;=1,AB914&lt;=1),"YES","NO"))</f>
        <v/>
      </c>
      <c r="AM914" s="29" t="str">
        <f>IF(AJ914="","",IF(AND(AL914="NO",AJ914&gt;=0.75),"YES","NO"))</f>
        <v/>
      </c>
      <c r="AN914" s="29" t="str">
        <f>IF(AJ914="","",IF(AJ914&lt;0.4,"Critical",IF(AJ914&lt;0.6,"Poor",IF(AJ914&lt;0.75,"Needs Improvement",IF(AJ914&lt;0.9,"Good","Excellent")))))</f>
        <v/>
      </c>
    </row>
    <row r="915" spans="1:40" ht="15" customHeight="1" x14ac:dyDescent="0.25">
      <c r="A915" s="29" t="str">
        <f>IF($B915="","",TEXT($B915,"yyyymmdd")&amp;"-"&amp;SUBSTITUTE($F915," ","")&amp;"-"&amp;TEXT(COUNTIF($F$4:F915,$F915),"00"))</f>
        <v/>
      </c>
      <c r="C915" s="29" t="str">
        <f>IF($B915="","",WEEKNUM($B915,2))</f>
        <v/>
      </c>
      <c r="D915" s="29" t="str">
        <f>IF($B915="","",TEXT($B915,"yyyy-mm"))</f>
        <v/>
      </c>
      <c r="G915" s="29" t="str">
        <f>IF(OR($E915="",$F915=""),"",IFERROR(IF($E915=INDEX([1]Cluster_Master!$A$4:$A$18,MATCH($F915,[1]Cluster_Master!$B$4:$B$18,0)),"OK","CHECK"),"CHECK"))</f>
        <v/>
      </c>
      <c r="H915" s="29" t="str">
        <f>IFERROR(INDEX([1]Cluster_Master!$C$4:$C$18,MATCH($F915,[1]Cluster_Master!$B$4:$B$18,0)),"")</f>
        <v/>
      </c>
      <c r="I915" s="29" t="str">
        <f>IFERROR(INDEX([1]Cluster_Master!$D$4:$D$18,MATCH($F915,[1]Cluster_Master!$B$4:$B$18,0)),"")</f>
        <v/>
      </c>
      <c r="J915" s="29" t="str">
        <f>IFERROR(INDEX([1]Cluster_Master!$E$4:$E$18,MATCH($F915,[1]Cluster_Master!$B$4:$B$18,0)),"")</f>
        <v/>
      </c>
      <c r="K915" s="29" t="str">
        <f>IFERROR(INDEX([1]Cluster_Master!$F$4:$F$18,MATCH($F915,[1]Cluster_Master!$B$4:$B$18,0)),"")</f>
        <v/>
      </c>
      <c r="L915" s="29" t="str">
        <f>IFERROR(INDEX([1]Cluster_Master!$G$4:$G$18,MATCH($F915,[1]Cluster_Master!$B$4:$B$18,0)),"")</f>
        <v/>
      </c>
      <c r="M915" s="29" t="str">
        <f>IFERROR(INDEX([1]Cluster_Master!$H$4:$H$18,MATCH($F915,[1]Cluster_Master!$B$4:$B$18,0)),"")</f>
        <v/>
      </c>
      <c r="AI915" s="29" t="str">
        <f>IF(COUNTA(T915:AH915)=0,"",SUM(T915:AH915))</f>
        <v/>
      </c>
      <c r="AJ915" s="29" t="str">
        <f>IF(COUNTA(T915:AH915)=0,"",AI915/75)</f>
        <v/>
      </c>
      <c r="AK915" s="29" t="str">
        <f>IF(COUNTA(T915:AH915)=0,"",(SUM(T915*[1]KPI_Weights!$B$4,U915*[1]KPI_Weights!$B$5,V915*[1]KPI_Weights!$B$6,W915*[1]KPI_Weights!$B$7,X915*[1]KPI_Weights!$B$8,Y915*[1]KPI_Weights!$B$9,Z915*[1]KPI_Weights!$B$10,AA915*[1]KPI_Weights!$B$11,AB915*[1]KPI_Weights!$B$12,AC915*[1]KPI_Weights!$B$13,AD915*[1]KPI_Weights!$B$14,AE915*[1]KPI_Weights!$B$15,AF915*[1]KPI_Weights!$B$16,AG915*[1]KPI_Weights!$B$17,AH915*[1]KPI_Weights!$B$18))/5)</f>
        <v/>
      </c>
      <c r="AL915" s="29" t="str">
        <f>IF(COUNTA(T915:AH915)=0,"",IF(OR(T915&lt;=1,W915&lt;=1,X915&lt;=1,Y915&lt;=1,AB915&lt;=1),"YES","NO"))</f>
        <v/>
      </c>
      <c r="AM915" s="29" t="str">
        <f>IF(AJ915="","",IF(AND(AL915="NO",AJ915&gt;=0.75),"YES","NO"))</f>
        <v/>
      </c>
      <c r="AN915" s="29" t="str">
        <f>IF(AJ915="","",IF(AJ915&lt;0.4,"Critical",IF(AJ915&lt;0.6,"Poor",IF(AJ915&lt;0.75,"Needs Improvement",IF(AJ915&lt;0.9,"Good","Excellent")))))</f>
        <v/>
      </c>
    </row>
    <row r="916" spans="1:40" ht="15" customHeight="1" x14ac:dyDescent="0.25">
      <c r="A916" s="29" t="str">
        <f>IF($B916="","",TEXT($B916,"yyyymmdd")&amp;"-"&amp;SUBSTITUTE($F916," ","")&amp;"-"&amp;TEXT(COUNTIF($F$4:F916,$F916),"00"))</f>
        <v/>
      </c>
      <c r="C916" s="29" t="str">
        <f>IF($B916="","",WEEKNUM($B916,2))</f>
        <v/>
      </c>
      <c r="D916" s="29" t="str">
        <f>IF($B916="","",TEXT($B916,"yyyy-mm"))</f>
        <v/>
      </c>
      <c r="G916" s="29" t="str">
        <f>IF(OR($E916="",$F916=""),"",IFERROR(IF($E916=INDEX([1]Cluster_Master!$A$4:$A$18,MATCH($F916,[1]Cluster_Master!$B$4:$B$18,0)),"OK","CHECK"),"CHECK"))</f>
        <v/>
      </c>
      <c r="H916" s="29" t="str">
        <f>IFERROR(INDEX([1]Cluster_Master!$C$4:$C$18,MATCH($F916,[1]Cluster_Master!$B$4:$B$18,0)),"")</f>
        <v/>
      </c>
      <c r="I916" s="29" t="str">
        <f>IFERROR(INDEX([1]Cluster_Master!$D$4:$D$18,MATCH($F916,[1]Cluster_Master!$B$4:$B$18,0)),"")</f>
        <v/>
      </c>
      <c r="J916" s="29" t="str">
        <f>IFERROR(INDEX([1]Cluster_Master!$E$4:$E$18,MATCH($F916,[1]Cluster_Master!$B$4:$B$18,0)),"")</f>
        <v/>
      </c>
      <c r="K916" s="29" t="str">
        <f>IFERROR(INDEX([1]Cluster_Master!$F$4:$F$18,MATCH($F916,[1]Cluster_Master!$B$4:$B$18,0)),"")</f>
        <v/>
      </c>
      <c r="L916" s="29" t="str">
        <f>IFERROR(INDEX([1]Cluster_Master!$G$4:$G$18,MATCH($F916,[1]Cluster_Master!$B$4:$B$18,0)),"")</f>
        <v/>
      </c>
      <c r="M916" s="29" t="str">
        <f>IFERROR(INDEX([1]Cluster_Master!$H$4:$H$18,MATCH($F916,[1]Cluster_Master!$B$4:$B$18,0)),"")</f>
        <v/>
      </c>
      <c r="AI916" s="29" t="str">
        <f>IF(COUNTA(T916:AH916)=0,"",SUM(T916:AH916))</f>
        <v/>
      </c>
      <c r="AJ916" s="29" t="str">
        <f>IF(COUNTA(T916:AH916)=0,"",AI916/75)</f>
        <v/>
      </c>
      <c r="AK916" s="29" t="str">
        <f>IF(COUNTA(T916:AH916)=0,"",(SUM(T916*[1]KPI_Weights!$B$4,U916*[1]KPI_Weights!$B$5,V916*[1]KPI_Weights!$B$6,W916*[1]KPI_Weights!$B$7,X916*[1]KPI_Weights!$B$8,Y916*[1]KPI_Weights!$B$9,Z916*[1]KPI_Weights!$B$10,AA916*[1]KPI_Weights!$B$11,AB916*[1]KPI_Weights!$B$12,AC916*[1]KPI_Weights!$B$13,AD916*[1]KPI_Weights!$B$14,AE916*[1]KPI_Weights!$B$15,AF916*[1]KPI_Weights!$B$16,AG916*[1]KPI_Weights!$B$17,AH916*[1]KPI_Weights!$B$18))/5)</f>
        <v/>
      </c>
      <c r="AL916" s="29" t="str">
        <f>IF(COUNTA(T916:AH916)=0,"",IF(OR(T916&lt;=1,W916&lt;=1,X916&lt;=1,Y916&lt;=1,AB916&lt;=1),"YES","NO"))</f>
        <v/>
      </c>
      <c r="AM916" s="29" t="str">
        <f>IF(AJ916="","",IF(AND(AL916="NO",AJ916&gt;=0.75),"YES","NO"))</f>
        <v/>
      </c>
      <c r="AN916" s="29" t="str">
        <f>IF(AJ916="","",IF(AJ916&lt;0.4,"Critical",IF(AJ916&lt;0.6,"Poor",IF(AJ916&lt;0.75,"Needs Improvement",IF(AJ916&lt;0.9,"Good","Excellent")))))</f>
        <v/>
      </c>
    </row>
    <row r="917" spans="1:40" ht="15" customHeight="1" x14ac:dyDescent="0.25">
      <c r="A917" s="29" t="str">
        <f>IF($B917="","",TEXT($B917,"yyyymmdd")&amp;"-"&amp;SUBSTITUTE($F917," ","")&amp;"-"&amp;TEXT(COUNTIF($F$4:F917,$F917),"00"))</f>
        <v/>
      </c>
      <c r="C917" s="29" t="str">
        <f>IF($B917="","",WEEKNUM($B917,2))</f>
        <v/>
      </c>
      <c r="D917" s="29" t="str">
        <f>IF($B917="","",TEXT($B917,"yyyy-mm"))</f>
        <v/>
      </c>
      <c r="G917" s="29" t="str">
        <f>IF(OR($E917="",$F917=""),"",IFERROR(IF($E917=INDEX([1]Cluster_Master!$A$4:$A$18,MATCH($F917,[1]Cluster_Master!$B$4:$B$18,0)),"OK","CHECK"),"CHECK"))</f>
        <v/>
      </c>
      <c r="H917" s="29" t="str">
        <f>IFERROR(INDEX([1]Cluster_Master!$C$4:$C$18,MATCH($F917,[1]Cluster_Master!$B$4:$B$18,0)),"")</f>
        <v/>
      </c>
      <c r="I917" s="29" t="str">
        <f>IFERROR(INDEX([1]Cluster_Master!$D$4:$D$18,MATCH($F917,[1]Cluster_Master!$B$4:$B$18,0)),"")</f>
        <v/>
      </c>
      <c r="J917" s="29" t="str">
        <f>IFERROR(INDEX([1]Cluster_Master!$E$4:$E$18,MATCH($F917,[1]Cluster_Master!$B$4:$B$18,0)),"")</f>
        <v/>
      </c>
      <c r="K917" s="29" t="str">
        <f>IFERROR(INDEX([1]Cluster_Master!$F$4:$F$18,MATCH($F917,[1]Cluster_Master!$B$4:$B$18,0)),"")</f>
        <v/>
      </c>
      <c r="L917" s="29" t="str">
        <f>IFERROR(INDEX([1]Cluster_Master!$G$4:$G$18,MATCH($F917,[1]Cluster_Master!$B$4:$B$18,0)),"")</f>
        <v/>
      </c>
      <c r="M917" s="29" t="str">
        <f>IFERROR(INDEX([1]Cluster_Master!$H$4:$H$18,MATCH($F917,[1]Cluster_Master!$B$4:$B$18,0)),"")</f>
        <v/>
      </c>
      <c r="AI917" s="29" t="str">
        <f>IF(COUNTA(T917:AH917)=0,"",SUM(T917:AH917))</f>
        <v/>
      </c>
      <c r="AJ917" s="29" t="str">
        <f>IF(COUNTA(T917:AH917)=0,"",AI917/75)</f>
        <v/>
      </c>
      <c r="AK917" s="29" t="str">
        <f>IF(COUNTA(T917:AH917)=0,"",(SUM(T917*[1]KPI_Weights!$B$4,U917*[1]KPI_Weights!$B$5,V917*[1]KPI_Weights!$B$6,W917*[1]KPI_Weights!$B$7,X917*[1]KPI_Weights!$B$8,Y917*[1]KPI_Weights!$B$9,Z917*[1]KPI_Weights!$B$10,AA917*[1]KPI_Weights!$B$11,AB917*[1]KPI_Weights!$B$12,AC917*[1]KPI_Weights!$B$13,AD917*[1]KPI_Weights!$B$14,AE917*[1]KPI_Weights!$B$15,AF917*[1]KPI_Weights!$B$16,AG917*[1]KPI_Weights!$B$17,AH917*[1]KPI_Weights!$B$18))/5)</f>
        <v/>
      </c>
      <c r="AL917" s="29" t="str">
        <f>IF(COUNTA(T917:AH917)=0,"",IF(OR(T917&lt;=1,W917&lt;=1,X917&lt;=1,Y917&lt;=1,AB917&lt;=1),"YES","NO"))</f>
        <v/>
      </c>
      <c r="AM917" s="29" t="str">
        <f>IF(AJ917="","",IF(AND(AL917="NO",AJ917&gt;=0.75),"YES","NO"))</f>
        <v/>
      </c>
      <c r="AN917" s="29" t="str">
        <f>IF(AJ917="","",IF(AJ917&lt;0.4,"Critical",IF(AJ917&lt;0.6,"Poor",IF(AJ917&lt;0.75,"Needs Improvement",IF(AJ917&lt;0.9,"Good","Excellent")))))</f>
        <v/>
      </c>
    </row>
    <row r="918" spans="1:40" ht="15" customHeight="1" x14ac:dyDescent="0.25">
      <c r="A918" s="29" t="str">
        <f>IF($B918="","",TEXT($B918,"yyyymmdd")&amp;"-"&amp;SUBSTITUTE($F918," ","")&amp;"-"&amp;TEXT(COUNTIF($F$4:F918,$F918),"00"))</f>
        <v/>
      </c>
      <c r="C918" s="29" t="str">
        <f>IF($B918="","",WEEKNUM($B918,2))</f>
        <v/>
      </c>
      <c r="D918" s="29" t="str">
        <f>IF($B918="","",TEXT($B918,"yyyy-mm"))</f>
        <v/>
      </c>
      <c r="G918" s="29" t="str">
        <f>IF(OR($E918="",$F918=""),"",IFERROR(IF($E918=INDEX([1]Cluster_Master!$A$4:$A$18,MATCH($F918,[1]Cluster_Master!$B$4:$B$18,0)),"OK","CHECK"),"CHECK"))</f>
        <v/>
      </c>
      <c r="H918" s="29" t="str">
        <f>IFERROR(INDEX([1]Cluster_Master!$C$4:$C$18,MATCH($F918,[1]Cluster_Master!$B$4:$B$18,0)),"")</f>
        <v/>
      </c>
      <c r="I918" s="29" t="str">
        <f>IFERROR(INDEX([1]Cluster_Master!$D$4:$D$18,MATCH($F918,[1]Cluster_Master!$B$4:$B$18,0)),"")</f>
        <v/>
      </c>
      <c r="J918" s="29" t="str">
        <f>IFERROR(INDEX([1]Cluster_Master!$E$4:$E$18,MATCH($F918,[1]Cluster_Master!$B$4:$B$18,0)),"")</f>
        <v/>
      </c>
      <c r="K918" s="29" t="str">
        <f>IFERROR(INDEX([1]Cluster_Master!$F$4:$F$18,MATCH($F918,[1]Cluster_Master!$B$4:$B$18,0)),"")</f>
        <v/>
      </c>
      <c r="L918" s="29" t="str">
        <f>IFERROR(INDEX([1]Cluster_Master!$G$4:$G$18,MATCH($F918,[1]Cluster_Master!$B$4:$B$18,0)),"")</f>
        <v/>
      </c>
      <c r="M918" s="29" t="str">
        <f>IFERROR(INDEX([1]Cluster_Master!$H$4:$H$18,MATCH($F918,[1]Cluster_Master!$B$4:$B$18,0)),"")</f>
        <v/>
      </c>
      <c r="AI918" s="29" t="str">
        <f>IF(COUNTA(T918:AH918)=0,"",SUM(T918:AH918))</f>
        <v/>
      </c>
      <c r="AJ918" s="29" t="str">
        <f>IF(COUNTA(T918:AH918)=0,"",AI918/75)</f>
        <v/>
      </c>
      <c r="AK918" s="29" t="str">
        <f>IF(COUNTA(T918:AH918)=0,"",(SUM(T918*[1]KPI_Weights!$B$4,U918*[1]KPI_Weights!$B$5,V918*[1]KPI_Weights!$B$6,W918*[1]KPI_Weights!$B$7,X918*[1]KPI_Weights!$B$8,Y918*[1]KPI_Weights!$B$9,Z918*[1]KPI_Weights!$B$10,AA918*[1]KPI_Weights!$B$11,AB918*[1]KPI_Weights!$B$12,AC918*[1]KPI_Weights!$B$13,AD918*[1]KPI_Weights!$B$14,AE918*[1]KPI_Weights!$B$15,AF918*[1]KPI_Weights!$B$16,AG918*[1]KPI_Weights!$B$17,AH918*[1]KPI_Weights!$B$18))/5)</f>
        <v/>
      </c>
      <c r="AL918" s="29" t="str">
        <f>IF(COUNTA(T918:AH918)=0,"",IF(OR(T918&lt;=1,W918&lt;=1,X918&lt;=1,Y918&lt;=1,AB918&lt;=1),"YES","NO"))</f>
        <v/>
      </c>
      <c r="AM918" s="29" t="str">
        <f>IF(AJ918="","",IF(AND(AL918="NO",AJ918&gt;=0.75),"YES","NO"))</f>
        <v/>
      </c>
      <c r="AN918" s="29" t="str">
        <f>IF(AJ918="","",IF(AJ918&lt;0.4,"Critical",IF(AJ918&lt;0.6,"Poor",IF(AJ918&lt;0.75,"Needs Improvement",IF(AJ918&lt;0.9,"Good","Excellent")))))</f>
        <v/>
      </c>
    </row>
    <row r="919" spans="1:40" ht="15" customHeight="1" x14ac:dyDescent="0.25">
      <c r="A919" s="29" t="str">
        <f>IF($B919="","",TEXT($B919,"yyyymmdd")&amp;"-"&amp;SUBSTITUTE($F919," ","")&amp;"-"&amp;TEXT(COUNTIF($F$4:F919,$F919),"00"))</f>
        <v/>
      </c>
      <c r="C919" s="29" t="str">
        <f>IF($B919="","",WEEKNUM($B919,2))</f>
        <v/>
      </c>
      <c r="D919" s="29" t="str">
        <f>IF($B919="","",TEXT($B919,"yyyy-mm"))</f>
        <v/>
      </c>
      <c r="G919" s="29" t="str">
        <f>IF(OR($E919="",$F919=""),"",IFERROR(IF($E919=INDEX([1]Cluster_Master!$A$4:$A$18,MATCH($F919,[1]Cluster_Master!$B$4:$B$18,0)),"OK","CHECK"),"CHECK"))</f>
        <v/>
      </c>
      <c r="H919" s="29" t="str">
        <f>IFERROR(INDEX([1]Cluster_Master!$C$4:$C$18,MATCH($F919,[1]Cluster_Master!$B$4:$B$18,0)),"")</f>
        <v/>
      </c>
      <c r="I919" s="29" t="str">
        <f>IFERROR(INDEX([1]Cluster_Master!$D$4:$D$18,MATCH($F919,[1]Cluster_Master!$B$4:$B$18,0)),"")</f>
        <v/>
      </c>
      <c r="J919" s="29" t="str">
        <f>IFERROR(INDEX([1]Cluster_Master!$E$4:$E$18,MATCH($F919,[1]Cluster_Master!$B$4:$B$18,0)),"")</f>
        <v/>
      </c>
      <c r="K919" s="29" t="str">
        <f>IFERROR(INDEX([1]Cluster_Master!$F$4:$F$18,MATCH($F919,[1]Cluster_Master!$B$4:$B$18,0)),"")</f>
        <v/>
      </c>
      <c r="L919" s="29" t="str">
        <f>IFERROR(INDEX([1]Cluster_Master!$G$4:$G$18,MATCH($F919,[1]Cluster_Master!$B$4:$B$18,0)),"")</f>
        <v/>
      </c>
      <c r="M919" s="29" t="str">
        <f>IFERROR(INDEX([1]Cluster_Master!$H$4:$H$18,MATCH($F919,[1]Cluster_Master!$B$4:$B$18,0)),"")</f>
        <v/>
      </c>
      <c r="AI919" s="29" t="str">
        <f>IF(COUNTA(T919:AH919)=0,"",SUM(T919:AH919))</f>
        <v/>
      </c>
      <c r="AJ919" s="29" t="str">
        <f>IF(COUNTA(T919:AH919)=0,"",AI919/75)</f>
        <v/>
      </c>
      <c r="AK919" s="29" t="str">
        <f>IF(COUNTA(T919:AH919)=0,"",(SUM(T919*[1]KPI_Weights!$B$4,U919*[1]KPI_Weights!$B$5,V919*[1]KPI_Weights!$B$6,W919*[1]KPI_Weights!$B$7,X919*[1]KPI_Weights!$B$8,Y919*[1]KPI_Weights!$B$9,Z919*[1]KPI_Weights!$B$10,AA919*[1]KPI_Weights!$B$11,AB919*[1]KPI_Weights!$B$12,AC919*[1]KPI_Weights!$B$13,AD919*[1]KPI_Weights!$B$14,AE919*[1]KPI_Weights!$B$15,AF919*[1]KPI_Weights!$B$16,AG919*[1]KPI_Weights!$B$17,AH919*[1]KPI_Weights!$B$18))/5)</f>
        <v/>
      </c>
      <c r="AL919" s="29" t="str">
        <f>IF(COUNTA(T919:AH919)=0,"",IF(OR(T919&lt;=1,W919&lt;=1,X919&lt;=1,Y919&lt;=1,AB919&lt;=1),"YES","NO"))</f>
        <v/>
      </c>
      <c r="AM919" s="29" t="str">
        <f>IF(AJ919="","",IF(AND(AL919="NO",AJ919&gt;=0.75),"YES","NO"))</f>
        <v/>
      </c>
      <c r="AN919" s="29" t="str">
        <f>IF(AJ919="","",IF(AJ919&lt;0.4,"Critical",IF(AJ919&lt;0.6,"Poor",IF(AJ919&lt;0.75,"Needs Improvement",IF(AJ919&lt;0.9,"Good","Excellent")))))</f>
        <v/>
      </c>
    </row>
    <row r="920" spans="1:40" ht="15" customHeight="1" x14ac:dyDescent="0.25">
      <c r="A920" s="29" t="str">
        <f>IF($B920="","",TEXT($B920,"yyyymmdd")&amp;"-"&amp;SUBSTITUTE($F920," ","")&amp;"-"&amp;TEXT(COUNTIF($F$4:F920,$F920),"00"))</f>
        <v/>
      </c>
      <c r="C920" s="29" t="str">
        <f>IF($B920="","",WEEKNUM($B920,2))</f>
        <v/>
      </c>
      <c r="D920" s="29" t="str">
        <f>IF($B920="","",TEXT($B920,"yyyy-mm"))</f>
        <v/>
      </c>
      <c r="G920" s="29" t="str">
        <f>IF(OR($E920="",$F920=""),"",IFERROR(IF($E920=INDEX([1]Cluster_Master!$A$4:$A$18,MATCH($F920,[1]Cluster_Master!$B$4:$B$18,0)),"OK","CHECK"),"CHECK"))</f>
        <v/>
      </c>
      <c r="H920" s="29" t="str">
        <f>IFERROR(INDEX([1]Cluster_Master!$C$4:$C$18,MATCH($F920,[1]Cluster_Master!$B$4:$B$18,0)),"")</f>
        <v/>
      </c>
      <c r="I920" s="29" t="str">
        <f>IFERROR(INDEX([1]Cluster_Master!$D$4:$D$18,MATCH($F920,[1]Cluster_Master!$B$4:$B$18,0)),"")</f>
        <v/>
      </c>
      <c r="J920" s="29" t="str">
        <f>IFERROR(INDEX([1]Cluster_Master!$E$4:$E$18,MATCH($F920,[1]Cluster_Master!$B$4:$B$18,0)),"")</f>
        <v/>
      </c>
      <c r="K920" s="29" t="str">
        <f>IFERROR(INDEX([1]Cluster_Master!$F$4:$F$18,MATCH($F920,[1]Cluster_Master!$B$4:$B$18,0)),"")</f>
        <v/>
      </c>
      <c r="L920" s="29" t="str">
        <f>IFERROR(INDEX([1]Cluster_Master!$G$4:$G$18,MATCH($F920,[1]Cluster_Master!$B$4:$B$18,0)),"")</f>
        <v/>
      </c>
      <c r="M920" s="29" t="str">
        <f>IFERROR(INDEX([1]Cluster_Master!$H$4:$H$18,MATCH($F920,[1]Cluster_Master!$B$4:$B$18,0)),"")</f>
        <v/>
      </c>
      <c r="AI920" s="29" t="str">
        <f>IF(COUNTA(T920:AH920)=0,"",SUM(T920:AH920))</f>
        <v/>
      </c>
      <c r="AJ920" s="29" t="str">
        <f>IF(COUNTA(T920:AH920)=0,"",AI920/75)</f>
        <v/>
      </c>
      <c r="AK920" s="29" t="str">
        <f>IF(COUNTA(T920:AH920)=0,"",(SUM(T920*[1]KPI_Weights!$B$4,U920*[1]KPI_Weights!$B$5,V920*[1]KPI_Weights!$B$6,W920*[1]KPI_Weights!$B$7,X920*[1]KPI_Weights!$B$8,Y920*[1]KPI_Weights!$B$9,Z920*[1]KPI_Weights!$B$10,AA920*[1]KPI_Weights!$B$11,AB920*[1]KPI_Weights!$B$12,AC920*[1]KPI_Weights!$B$13,AD920*[1]KPI_Weights!$B$14,AE920*[1]KPI_Weights!$B$15,AF920*[1]KPI_Weights!$B$16,AG920*[1]KPI_Weights!$B$17,AH920*[1]KPI_Weights!$B$18))/5)</f>
        <v/>
      </c>
      <c r="AL920" s="29" t="str">
        <f>IF(COUNTA(T920:AH920)=0,"",IF(OR(T920&lt;=1,W920&lt;=1,X920&lt;=1,Y920&lt;=1,AB920&lt;=1),"YES","NO"))</f>
        <v/>
      </c>
      <c r="AM920" s="29" t="str">
        <f>IF(AJ920="","",IF(AND(AL920="NO",AJ920&gt;=0.75),"YES","NO"))</f>
        <v/>
      </c>
      <c r="AN920" s="29" t="str">
        <f>IF(AJ920="","",IF(AJ920&lt;0.4,"Critical",IF(AJ920&lt;0.6,"Poor",IF(AJ920&lt;0.75,"Needs Improvement",IF(AJ920&lt;0.9,"Good","Excellent")))))</f>
        <v/>
      </c>
    </row>
    <row r="921" spans="1:40" ht="15" customHeight="1" x14ac:dyDescent="0.25">
      <c r="A921" s="29" t="str">
        <f>IF($B921="","",TEXT($B921,"yyyymmdd")&amp;"-"&amp;SUBSTITUTE($F921," ","")&amp;"-"&amp;TEXT(COUNTIF($F$4:F921,$F921),"00"))</f>
        <v/>
      </c>
      <c r="C921" s="29" t="str">
        <f>IF($B921="","",WEEKNUM($B921,2))</f>
        <v/>
      </c>
      <c r="D921" s="29" t="str">
        <f>IF($B921="","",TEXT($B921,"yyyy-mm"))</f>
        <v/>
      </c>
      <c r="G921" s="29" t="str">
        <f>IF(OR($E921="",$F921=""),"",IFERROR(IF($E921=INDEX([1]Cluster_Master!$A$4:$A$18,MATCH($F921,[1]Cluster_Master!$B$4:$B$18,0)),"OK","CHECK"),"CHECK"))</f>
        <v/>
      </c>
      <c r="H921" s="29" t="str">
        <f>IFERROR(INDEX([1]Cluster_Master!$C$4:$C$18,MATCH($F921,[1]Cluster_Master!$B$4:$B$18,0)),"")</f>
        <v/>
      </c>
      <c r="I921" s="29" t="str">
        <f>IFERROR(INDEX([1]Cluster_Master!$D$4:$D$18,MATCH($F921,[1]Cluster_Master!$B$4:$B$18,0)),"")</f>
        <v/>
      </c>
      <c r="J921" s="29" t="str">
        <f>IFERROR(INDEX([1]Cluster_Master!$E$4:$E$18,MATCH($F921,[1]Cluster_Master!$B$4:$B$18,0)),"")</f>
        <v/>
      </c>
      <c r="K921" s="29" t="str">
        <f>IFERROR(INDEX([1]Cluster_Master!$F$4:$F$18,MATCH($F921,[1]Cluster_Master!$B$4:$B$18,0)),"")</f>
        <v/>
      </c>
      <c r="L921" s="29" t="str">
        <f>IFERROR(INDEX([1]Cluster_Master!$G$4:$G$18,MATCH($F921,[1]Cluster_Master!$B$4:$B$18,0)),"")</f>
        <v/>
      </c>
      <c r="M921" s="29" t="str">
        <f>IFERROR(INDEX([1]Cluster_Master!$H$4:$H$18,MATCH($F921,[1]Cluster_Master!$B$4:$B$18,0)),"")</f>
        <v/>
      </c>
      <c r="AI921" s="29" t="str">
        <f>IF(COUNTA(T921:AH921)=0,"",SUM(T921:AH921))</f>
        <v/>
      </c>
      <c r="AJ921" s="29" t="str">
        <f>IF(COUNTA(T921:AH921)=0,"",AI921/75)</f>
        <v/>
      </c>
      <c r="AK921" s="29" t="str">
        <f>IF(COUNTA(T921:AH921)=0,"",(SUM(T921*[1]KPI_Weights!$B$4,U921*[1]KPI_Weights!$B$5,V921*[1]KPI_Weights!$B$6,W921*[1]KPI_Weights!$B$7,X921*[1]KPI_Weights!$B$8,Y921*[1]KPI_Weights!$B$9,Z921*[1]KPI_Weights!$B$10,AA921*[1]KPI_Weights!$B$11,AB921*[1]KPI_Weights!$B$12,AC921*[1]KPI_Weights!$B$13,AD921*[1]KPI_Weights!$B$14,AE921*[1]KPI_Weights!$B$15,AF921*[1]KPI_Weights!$B$16,AG921*[1]KPI_Weights!$B$17,AH921*[1]KPI_Weights!$B$18))/5)</f>
        <v/>
      </c>
      <c r="AL921" s="29" t="str">
        <f>IF(COUNTA(T921:AH921)=0,"",IF(OR(T921&lt;=1,W921&lt;=1,X921&lt;=1,Y921&lt;=1,AB921&lt;=1),"YES","NO"))</f>
        <v/>
      </c>
      <c r="AM921" s="29" t="str">
        <f>IF(AJ921="","",IF(AND(AL921="NO",AJ921&gt;=0.75),"YES","NO"))</f>
        <v/>
      </c>
      <c r="AN921" s="29" t="str">
        <f>IF(AJ921="","",IF(AJ921&lt;0.4,"Critical",IF(AJ921&lt;0.6,"Poor",IF(AJ921&lt;0.75,"Needs Improvement",IF(AJ921&lt;0.9,"Good","Excellent")))))</f>
        <v/>
      </c>
    </row>
    <row r="922" spans="1:40" ht="15" customHeight="1" x14ac:dyDescent="0.25">
      <c r="A922" s="29" t="str">
        <f>IF($B922="","",TEXT($B922,"yyyymmdd")&amp;"-"&amp;SUBSTITUTE($F922," ","")&amp;"-"&amp;TEXT(COUNTIF($F$4:F922,$F922),"00"))</f>
        <v/>
      </c>
      <c r="C922" s="29" t="str">
        <f>IF($B922="","",WEEKNUM($B922,2))</f>
        <v/>
      </c>
      <c r="D922" s="29" t="str">
        <f>IF($B922="","",TEXT($B922,"yyyy-mm"))</f>
        <v/>
      </c>
      <c r="G922" s="29" t="str">
        <f>IF(OR($E922="",$F922=""),"",IFERROR(IF($E922=INDEX([1]Cluster_Master!$A$4:$A$18,MATCH($F922,[1]Cluster_Master!$B$4:$B$18,0)),"OK","CHECK"),"CHECK"))</f>
        <v/>
      </c>
      <c r="H922" s="29" t="str">
        <f>IFERROR(INDEX([1]Cluster_Master!$C$4:$C$18,MATCH($F922,[1]Cluster_Master!$B$4:$B$18,0)),"")</f>
        <v/>
      </c>
      <c r="I922" s="29" t="str">
        <f>IFERROR(INDEX([1]Cluster_Master!$D$4:$D$18,MATCH($F922,[1]Cluster_Master!$B$4:$B$18,0)),"")</f>
        <v/>
      </c>
      <c r="J922" s="29" t="str">
        <f>IFERROR(INDEX([1]Cluster_Master!$E$4:$E$18,MATCH($F922,[1]Cluster_Master!$B$4:$B$18,0)),"")</f>
        <v/>
      </c>
      <c r="K922" s="29" t="str">
        <f>IFERROR(INDEX([1]Cluster_Master!$F$4:$F$18,MATCH($F922,[1]Cluster_Master!$B$4:$B$18,0)),"")</f>
        <v/>
      </c>
      <c r="L922" s="29" t="str">
        <f>IFERROR(INDEX([1]Cluster_Master!$G$4:$G$18,MATCH($F922,[1]Cluster_Master!$B$4:$B$18,0)),"")</f>
        <v/>
      </c>
      <c r="M922" s="29" t="str">
        <f>IFERROR(INDEX([1]Cluster_Master!$H$4:$H$18,MATCH($F922,[1]Cluster_Master!$B$4:$B$18,0)),"")</f>
        <v/>
      </c>
      <c r="AI922" s="29" t="str">
        <f>IF(COUNTA(T922:AH922)=0,"",SUM(T922:AH922))</f>
        <v/>
      </c>
      <c r="AJ922" s="29" t="str">
        <f>IF(COUNTA(T922:AH922)=0,"",AI922/75)</f>
        <v/>
      </c>
      <c r="AK922" s="29" t="str">
        <f>IF(COUNTA(T922:AH922)=0,"",(SUM(T922*[1]KPI_Weights!$B$4,U922*[1]KPI_Weights!$B$5,V922*[1]KPI_Weights!$B$6,W922*[1]KPI_Weights!$B$7,X922*[1]KPI_Weights!$B$8,Y922*[1]KPI_Weights!$B$9,Z922*[1]KPI_Weights!$B$10,AA922*[1]KPI_Weights!$B$11,AB922*[1]KPI_Weights!$B$12,AC922*[1]KPI_Weights!$B$13,AD922*[1]KPI_Weights!$B$14,AE922*[1]KPI_Weights!$B$15,AF922*[1]KPI_Weights!$B$16,AG922*[1]KPI_Weights!$B$17,AH922*[1]KPI_Weights!$B$18))/5)</f>
        <v/>
      </c>
      <c r="AL922" s="29" t="str">
        <f>IF(COUNTA(T922:AH922)=0,"",IF(OR(T922&lt;=1,W922&lt;=1,X922&lt;=1,Y922&lt;=1,AB922&lt;=1),"YES","NO"))</f>
        <v/>
      </c>
      <c r="AM922" s="29" t="str">
        <f>IF(AJ922="","",IF(AND(AL922="NO",AJ922&gt;=0.75),"YES","NO"))</f>
        <v/>
      </c>
      <c r="AN922" s="29" t="str">
        <f>IF(AJ922="","",IF(AJ922&lt;0.4,"Critical",IF(AJ922&lt;0.6,"Poor",IF(AJ922&lt;0.75,"Needs Improvement",IF(AJ922&lt;0.9,"Good","Excellent")))))</f>
        <v/>
      </c>
    </row>
    <row r="923" spans="1:40" ht="15" customHeight="1" x14ac:dyDescent="0.25">
      <c r="A923" s="29" t="str">
        <f>IF($B923="","",TEXT($B923,"yyyymmdd")&amp;"-"&amp;SUBSTITUTE($F923," ","")&amp;"-"&amp;TEXT(COUNTIF($F$4:F923,$F923),"00"))</f>
        <v/>
      </c>
      <c r="C923" s="29" t="str">
        <f>IF($B923="","",WEEKNUM($B923,2))</f>
        <v/>
      </c>
      <c r="D923" s="29" t="str">
        <f>IF($B923="","",TEXT($B923,"yyyy-mm"))</f>
        <v/>
      </c>
      <c r="G923" s="29" t="str">
        <f>IF(OR($E923="",$F923=""),"",IFERROR(IF($E923=INDEX([1]Cluster_Master!$A$4:$A$18,MATCH($F923,[1]Cluster_Master!$B$4:$B$18,0)),"OK","CHECK"),"CHECK"))</f>
        <v/>
      </c>
      <c r="H923" s="29" t="str">
        <f>IFERROR(INDEX([1]Cluster_Master!$C$4:$C$18,MATCH($F923,[1]Cluster_Master!$B$4:$B$18,0)),"")</f>
        <v/>
      </c>
      <c r="I923" s="29" t="str">
        <f>IFERROR(INDEX([1]Cluster_Master!$D$4:$D$18,MATCH($F923,[1]Cluster_Master!$B$4:$B$18,0)),"")</f>
        <v/>
      </c>
      <c r="J923" s="29" t="str">
        <f>IFERROR(INDEX([1]Cluster_Master!$E$4:$E$18,MATCH($F923,[1]Cluster_Master!$B$4:$B$18,0)),"")</f>
        <v/>
      </c>
      <c r="K923" s="29" t="str">
        <f>IFERROR(INDEX([1]Cluster_Master!$F$4:$F$18,MATCH($F923,[1]Cluster_Master!$B$4:$B$18,0)),"")</f>
        <v/>
      </c>
      <c r="L923" s="29" t="str">
        <f>IFERROR(INDEX([1]Cluster_Master!$G$4:$G$18,MATCH($F923,[1]Cluster_Master!$B$4:$B$18,0)),"")</f>
        <v/>
      </c>
      <c r="M923" s="29" t="str">
        <f>IFERROR(INDEX([1]Cluster_Master!$H$4:$H$18,MATCH($F923,[1]Cluster_Master!$B$4:$B$18,0)),"")</f>
        <v/>
      </c>
      <c r="AI923" s="29" t="str">
        <f>IF(COUNTA(T923:AH923)=0,"",SUM(T923:AH923))</f>
        <v/>
      </c>
      <c r="AJ923" s="29" t="str">
        <f>IF(COUNTA(T923:AH923)=0,"",AI923/75)</f>
        <v/>
      </c>
      <c r="AK923" s="29" t="str">
        <f>IF(COUNTA(T923:AH923)=0,"",(SUM(T923*[1]KPI_Weights!$B$4,U923*[1]KPI_Weights!$B$5,V923*[1]KPI_Weights!$B$6,W923*[1]KPI_Weights!$B$7,X923*[1]KPI_Weights!$B$8,Y923*[1]KPI_Weights!$B$9,Z923*[1]KPI_Weights!$B$10,AA923*[1]KPI_Weights!$B$11,AB923*[1]KPI_Weights!$B$12,AC923*[1]KPI_Weights!$B$13,AD923*[1]KPI_Weights!$B$14,AE923*[1]KPI_Weights!$B$15,AF923*[1]KPI_Weights!$B$16,AG923*[1]KPI_Weights!$B$17,AH923*[1]KPI_Weights!$B$18))/5)</f>
        <v/>
      </c>
      <c r="AL923" s="29" t="str">
        <f>IF(COUNTA(T923:AH923)=0,"",IF(OR(T923&lt;=1,W923&lt;=1,X923&lt;=1,Y923&lt;=1,AB923&lt;=1),"YES","NO"))</f>
        <v/>
      </c>
      <c r="AM923" s="29" t="str">
        <f>IF(AJ923="","",IF(AND(AL923="NO",AJ923&gt;=0.75),"YES","NO"))</f>
        <v/>
      </c>
      <c r="AN923" s="29" t="str">
        <f>IF(AJ923="","",IF(AJ923&lt;0.4,"Critical",IF(AJ923&lt;0.6,"Poor",IF(AJ923&lt;0.75,"Needs Improvement",IF(AJ923&lt;0.9,"Good","Excellent")))))</f>
        <v/>
      </c>
    </row>
    <row r="924" spans="1:40" ht="15" customHeight="1" x14ac:dyDescent="0.25">
      <c r="A924" s="29" t="str">
        <f>IF($B924="","",TEXT($B924,"yyyymmdd")&amp;"-"&amp;SUBSTITUTE($F924," ","")&amp;"-"&amp;TEXT(COUNTIF($F$4:F924,$F924),"00"))</f>
        <v/>
      </c>
      <c r="C924" s="29" t="str">
        <f>IF($B924="","",WEEKNUM($B924,2))</f>
        <v/>
      </c>
      <c r="D924" s="29" t="str">
        <f>IF($B924="","",TEXT($B924,"yyyy-mm"))</f>
        <v/>
      </c>
      <c r="G924" s="29" t="str">
        <f>IF(OR($E924="",$F924=""),"",IFERROR(IF($E924=INDEX([1]Cluster_Master!$A$4:$A$18,MATCH($F924,[1]Cluster_Master!$B$4:$B$18,0)),"OK","CHECK"),"CHECK"))</f>
        <v/>
      </c>
      <c r="H924" s="29" t="str">
        <f>IFERROR(INDEX([1]Cluster_Master!$C$4:$C$18,MATCH($F924,[1]Cluster_Master!$B$4:$B$18,0)),"")</f>
        <v/>
      </c>
      <c r="I924" s="29" t="str">
        <f>IFERROR(INDEX([1]Cluster_Master!$D$4:$D$18,MATCH($F924,[1]Cluster_Master!$B$4:$B$18,0)),"")</f>
        <v/>
      </c>
      <c r="J924" s="29" t="str">
        <f>IFERROR(INDEX([1]Cluster_Master!$E$4:$E$18,MATCH($F924,[1]Cluster_Master!$B$4:$B$18,0)),"")</f>
        <v/>
      </c>
      <c r="K924" s="29" t="str">
        <f>IFERROR(INDEX([1]Cluster_Master!$F$4:$F$18,MATCH($F924,[1]Cluster_Master!$B$4:$B$18,0)),"")</f>
        <v/>
      </c>
      <c r="L924" s="29" t="str">
        <f>IFERROR(INDEX([1]Cluster_Master!$G$4:$G$18,MATCH($F924,[1]Cluster_Master!$B$4:$B$18,0)),"")</f>
        <v/>
      </c>
      <c r="M924" s="29" t="str">
        <f>IFERROR(INDEX([1]Cluster_Master!$H$4:$H$18,MATCH($F924,[1]Cluster_Master!$B$4:$B$18,0)),"")</f>
        <v/>
      </c>
      <c r="AI924" s="29" t="str">
        <f>IF(COUNTA(T924:AH924)=0,"",SUM(T924:AH924))</f>
        <v/>
      </c>
      <c r="AJ924" s="29" t="str">
        <f>IF(COUNTA(T924:AH924)=0,"",AI924/75)</f>
        <v/>
      </c>
      <c r="AK924" s="29" t="str">
        <f>IF(COUNTA(T924:AH924)=0,"",(SUM(T924*[1]KPI_Weights!$B$4,U924*[1]KPI_Weights!$B$5,V924*[1]KPI_Weights!$B$6,W924*[1]KPI_Weights!$B$7,X924*[1]KPI_Weights!$B$8,Y924*[1]KPI_Weights!$B$9,Z924*[1]KPI_Weights!$B$10,AA924*[1]KPI_Weights!$B$11,AB924*[1]KPI_Weights!$B$12,AC924*[1]KPI_Weights!$B$13,AD924*[1]KPI_Weights!$B$14,AE924*[1]KPI_Weights!$B$15,AF924*[1]KPI_Weights!$B$16,AG924*[1]KPI_Weights!$B$17,AH924*[1]KPI_Weights!$B$18))/5)</f>
        <v/>
      </c>
      <c r="AL924" s="29" t="str">
        <f>IF(COUNTA(T924:AH924)=0,"",IF(OR(T924&lt;=1,W924&lt;=1,X924&lt;=1,Y924&lt;=1,AB924&lt;=1),"YES","NO"))</f>
        <v/>
      </c>
      <c r="AM924" s="29" t="str">
        <f>IF(AJ924="","",IF(AND(AL924="NO",AJ924&gt;=0.75),"YES","NO"))</f>
        <v/>
      </c>
      <c r="AN924" s="29" t="str">
        <f>IF(AJ924="","",IF(AJ924&lt;0.4,"Critical",IF(AJ924&lt;0.6,"Poor",IF(AJ924&lt;0.75,"Needs Improvement",IF(AJ924&lt;0.9,"Good","Excellent")))))</f>
        <v/>
      </c>
    </row>
    <row r="925" spans="1:40" ht="15" customHeight="1" x14ac:dyDescent="0.25">
      <c r="A925" s="29" t="str">
        <f>IF($B925="","",TEXT($B925,"yyyymmdd")&amp;"-"&amp;SUBSTITUTE($F925," ","")&amp;"-"&amp;TEXT(COUNTIF($F$4:F925,$F925),"00"))</f>
        <v/>
      </c>
      <c r="C925" s="29" t="str">
        <f>IF($B925="","",WEEKNUM($B925,2))</f>
        <v/>
      </c>
      <c r="D925" s="29" t="str">
        <f>IF($B925="","",TEXT($B925,"yyyy-mm"))</f>
        <v/>
      </c>
      <c r="G925" s="29" t="str">
        <f>IF(OR($E925="",$F925=""),"",IFERROR(IF($E925=INDEX([1]Cluster_Master!$A$4:$A$18,MATCH($F925,[1]Cluster_Master!$B$4:$B$18,0)),"OK","CHECK"),"CHECK"))</f>
        <v/>
      </c>
      <c r="H925" s="29" t="str">
        <f>IFERROR(INDEX([1]Cluster_Master!$C$4:$C$18,MATCH($F925,[1]Cluster_Master!$B$4:$B$18,0)),"")</f>
        <v/>
      </c>
      <c r="I925" s="29" t="str">
        <f>IFERROR(INDEX([1]Cluster_Master!$D$4:$D$18,MATCH($F925,[1]Cluster_Master!$B$4:$B$18,0)),"")</f>
        <v/>
      </c>
      <c r="J925" s="29" t="str">
        <f>IFERROR(INDEX([1]Cluster_Master!$E$4:$E$18,MATCH($F925,[1]Cluster_Master!$B$4:$B$18,0)),"")</f>
        <v/>
      </c>
      <c r="K925" s="29" t="str">
        <f>IFERROR(INDEX([1]Cluster_Master!$F$4:$F$18,MATCH($F925,[1]Cluster_Master!$B$4:$B$18,0)),"")</f>
        <v/>
      </c>
      <c r="L925" s="29" t="str">
        <f>IFERROR(INDEX([1]Cluster_Master!$G$4:$G$18,MATCH($F925,[1]Cluster_Master!$B$4:$B$18,0)),"")</f>
        <v/>
      </c>
      <c r="M925" s="29" t="str">
        <f>IFERROR(INDEX([1]Cluster_Master!$H$4:$H$18,MATCH($F925,[1]Cluster_Master!$B$4:$B$18,0)),"")</f>
        <v/>
      </c>
      <c r="AI925" s="29" t="str">
        <f>IF(COUNTA(T925:AH925)=0,"",SUM(T925:AH925))</f>
        <v/>
      </c>
      <c r="AJ925" s="29" t="str">
        <f>IF(COUNTA(T925:AH925)=0,"",AI925/75)</f>
        <v/>
      </c>
      <c r="AK925" s="29" t="str">
        <f>IF(COUNTA(T925:AH925)=0,"",(SUM(T925*[1]KPI_Weights!$B$4,U925*[1]KPI_Weights!$B$5,V925*[1]KPI_Weights!$B$6,W925*[1]KPI_Weights!$B$7,X925*[1]KPI_Weights!$B$8,Y925*[1]KPI_Weights!$B$9,Z925*[1]KPI_Weights!$B$10,AA925*[1]KPI_Weights!$B$11,AB925*[1]KPI_Weights!$B$12,AC925*[1]KPI_Weights!$B$13,AD925*[1]KPI_Weights!$B$14,AE925*[1]KPI_Weights!$B$15,AF925*[1]KPI_Weights!$B$16,AG925*[1]KPI_Weights!$B$17,AH925*[1]KPI_Weights!$B$18))/5)</f>
        <v/>
      </c>
      <c r="AL925" s="29" t="str">
        <f>IF(COUNTA(T925:AH925)=0,"",IF(OR(T925&lt;=1,W925&lt;=1,X925&lt;=1,Y925&lt;=1,AB925&lt;=1),"YES","NO"))</f>
        <v/>
      </c>
      <c r="AM925" s="29" t="str">
        <f>IF(AJ925="","",IF(AND(AL925="NO",AJ925&gt;=0.75),"YES","NO"))</f>
        <v/>
      </c>
      <c r="AN925" s="29" t="str">
        <f>IF(AJ925="","",IF(AJ925&lt;0.4,"Critical",IF(AJ925&lt;0.6,"Poor",IF(AJ925&lt;0.75,"Needs Improvement",IF(AJ925&lt;0.9,"Good","Excellent")))))</f>
        <v/>
      </c>
    </row>
    <row r="926" spans="1:40" ht="15" customHeight="1" x14ac:dyDescent="0.25">
      <c r="A926" s="29" t="str">
        <f>IF($B926="","",TEXT($B926,"yyyymmdd")&amp;"-"&amp;SUBSTITUTE($F926," ","")&amp;"-"&amp;TEXT(COUNTIF($F$4:F926,$F926),"00"))</f>
        <v/>
      </c>
      <c r="C926" s="29" t="str">
        <f>IF($B926="","",WEEKNUM($B926,2))</f>
        <v/>
      </c>
      <c r="D926" s="29" t="str">
        <f>IF($B926="","",TEXT($B926,"yyyy-mm"))</f>
        <v/>
      </c>
      <c r="G926" s="29" t="str">
        <f>IF(OR($E926="",$F926=""),"",IFERROR(IF($E926=INDEX([1]Cluster_Master!$A$4:$A$18,MATCH($F926,[1]Cluster_Master!$B$4:$B$18,0)),"OK","CHECK"),"CHECK"))</f>
        <v/>
      </c>
      <c r="H926" s="29" t="str">
        <f>IFERROR(INDEX([1]Cluster_Master!$C$4:$C$18,MATCH($F926,[1]Cluster_Master!$B$4:$B$18,0)),"")</f>
        <v/>
      </c>
      <c r="I926" s="29" t="str">
        <f>IFERROR(INDEX([1]Cluster_Master!$D$4:$D$18,MATCH($F926,[1]Cluster_Master!$B$4:$B$18,0)),"")</f>
        <v/>
      </c>
      <c r="J926" s="29" t="str">
        <f>IFERROR(INDEX([1]Cluster_Master!$E$4:$E$18,MATCH($F926,[1]Cluster_Master!$B$4:$B$18,0)),"")</f>
        <v/>
      </c>
      <c r="K926" s="29" t="str">
        <f>IFERROR(INDEX([1]Cluster_Master!$F$4:$F$18,MATCH($F926,[1]Cluster_Master!$B$4:$B$18,0)),"")</f>
        <v/>
      </c>
      <c r="L926" s="29" t="str">
        <f>IFERROR(INDEX([1]Cluster_Master!$G$4:$G$18,MATCH($F926,[1]Cluster_Master!$B$4:$B$18,0)),"")</f>
        <v/>
      </c>
      <c r="M926" s="29" t="str">
        <f>IFERROR(INDEX([1]Cluster_Master!$H$4:$H$18,MATCH($F926,[1]Cluster_Master!$B$4:$B$18,0)),"")</f>
        <v/>
      </c>
      <c r="AI926" s="29" t="str">
        <f>IF(COUNTA(T926:AH926)=0,"",SUM(T926:AH926))</f>
        <v/>
      </c>
      <c r="AJ926" s="29" t="str">
        <f>IF(COUNTA(T926:AH926)=0,"",AI926/75)</f>
        <v/>
      </c>
      <c r="AK926" s="29" t="str">
        <f>IF(COUNTA(T926:AH926)=0,"",(SUM(T926*[1]KPI_Weights!$B$4,U926*[1]KPI_Weights!$B$5,V926*[1]KPI_Weights!$B$6,W926*[1]KPI_Weights!$B$7,X926*[1]KPI_Weights!$B$8,Y926*[1]KPI_Weights!$B$9,Z926*[1]KPI_Weights!$B$10,AA926*[1]KPI_Weights!$B$11,AB926*[1]KPI_Weights!$B$12,AC926*[1]KPI_Weights!$B$13,AD926*[1]KPI_Weights!$B$14,AE926*[1]KPI_Weights!$B$15,AF926*[1]KPI_Weights!$B$16,AG926*[1]KPI_Weights!$B$17,AH926*[1]KPI_Weights!$B$18))/5)</f>
        <v/>
      </c>
      <c r="AL926" s="29" t="str">
        <f>IF(COUNTA(T926:AH926)=0,"",IF(OR(T926&lt;=1,W926&lt;=1,X926&lt;=1,Y926&lt;=1,AB926&lt;=1),"YES","NO"))</f>
        <v/>
      </c>
      <c r="AM926" s="29" t="str">
        <f>IF(AJ926="","",IF(AND(AL926="NO",AJ926&gt;=0.75),"YES","NO"))</f>
        <v/>
      </c>
      <c r="AN926" s="29" t="str">
        <f>IF(AJ926="","",IF(AJ926&lt;0.4,"Critical",IF(AJ926&lt;0.6,"Poor",IF(AJ926&lt;0.75,"Needs Improvement",IF(AJ926&lt;0.9,"Good","Excellent")))))</f>
        <v/>
      </c>
    </row>
    <row r="927" spans="1:40" ht="15" customHeight="1" x14ac:dyDescent="0.25">
      <c r="A927" s="29" t="str">
        <f>IF($B927="","",TEXT($B927,"yyyymmdd")&amp;"-"&amp;SUBSTITUTE($F927," ","")&amp;"-"&amp;TEXT(COUNTIF($F$4:F927,$F927),"00"))</f>
        <v/>
      </c>
      <c r="C927" s="29" t="str">
        <f>IF($B927="","",WEEKNUM($B927,2))</f>
        <v/>
      </c>
      <c r="D927" s="29" t="str">
        <f>IF($B927="","",TEXT($B927,"yyyy-mm"))</f>
        <v/>
      </c>
      <c r="G927" s="29" t="str">
        <f>IF(OR($E927="",$F927=""),"",IFERROR(IF($E927=INDEX([1]Cluster_Master!$A$4:$A$18,MATCH($F927,[1]Cluster_Master!$B$4:$B$18,0)),"OK","CHECK"),"CHECK"))</f>
        <v/>
      </c>
      <c r="H927" s="29" t="str">
        <f>IFERROR(INDEX([1]Cluster_Master!$C$4:$C$18,MATCH($F927,[1]Cluster_Master!$B$4:$B$18,0)),"")</f>
        <v/>
      </c>
      <c r="I927" s="29" t="str">
        <f>IFERROR(INDEX([1]Cluster_Master!$D$4:$D$18,MATCH($F927,[1]Cluster_Master!$B$4:$B$18,0)),"")</f>
        <v/>
      </c>
      <c r="J927" s="29" t="str">
        <f>IFERROR(INDEX([1]Cluster_Master!$E$4:$E$18,MATCH($F927,[1]Cluster_Master!$B$4:$B$18,0)),"")</f>
        <v/>
      </c>
      <c r="K927" s="29" t="str">
        <f>IFERROR(INDEX([1]Cluster_Master!$F$4:$F$18,MATCH($F927,[1]Cluster_Master!$B$4:$B$18,0)),"")</f>
        <v/>
      </c>
      <c r="L927" s="29" t="str">
        <f>IFERROR(INDEX([1]Cluster_Master!$G$4:$G$18,MATCH($F927,[1]Cluster_Master!$B$4:$B$18,0)),"")</f>
        <v/>
      </c>
      <c r="M927" s="29" t="str">
        <f>IFERROR(INDEX([1]Cluster_Master!$H$4:$H$18,MATCH($F927,[1]Cluster_Master!$B$4:$B$18,0)),"")</f>
        <v/>
      </c>
      <c r="AI927" s="29" t="str">
        <f>IF(COUNTA(T927:AH927)=0,"",SUM(T927:AH927))</f>
        <v/>
      </c>
      <c r="AJ927" s="29" t="str">
        <f>IF(COUNTA(T927:AH927)=0,"",AI927/75)</f>
        <v/>
      </c>
      <c r="AK927" s="29" t="str">
        <f>IF(COUNTA(T927:AH927)=0,"",(SUM(T927*[1]KPI_Weights!$B$4,U927*[1]KPI_Weights!$B$5,V927*[1]KPI_Weights!$B$6,W927*[1]KPI_Weights!$B$7,X927*[1]KPI_Weights!$B$8,Y927*[1]KPI_Weights!$B$9,Z927*[1]KPI_Weights!$B$10,AA927*[1]KPI_Weights!$B$11,AB927*[1]KPI_Weights!$B$12,AC927*[1]KPI_Weights!$B$13,AD927*[1]KPI_Weights!$B$14,AE927*[1]KPI_Weights!$B$15,AF927*[1]KPI_Weights!$B$16,AG927*[1]KPI_Weights!$B$17,AH927*[1]KPI_Weights!$B$18))/5)</f>
        <v/>
      </c>
      <c r="AL927" s="29" t="str">
        <f>IF(COUNTA(T927:AH927)=0,"",IF(OR(T927&lt;=1,W927&lt;=1,X927&lt;=1,Y927&lt;=1,AB927&lt;=1),"YES","NO"))</f>
        <v/>
      </c>
      <c r="AM927" s="29" t="str">
        <f>IF(AJ927="","",IF(AND(AL927="NO",AJ927&gt;=0.75),"YES","NO"))</f>
        <v/>
      </c>
      <c r="AN927" s="29" t="str">
        <f>IF(AJ927="","",IF(AJ927&lt;0.4,"Critical",IF(AJ927&lt;0.6,"Poor",IF(AJ927&lt;0.75,"Needs Improvement",IF(AJ927&lt;0.9,"Good","Excellent")))))</f>
        <v/>
      </c>
    </row>
    <row r="928" spans="1:40" ht="15" customHeight="1" x14ac:dyDescent="0.25">
      <c r="A928" s="29" t="str">
        <f>IF($B928="","",TEXT($B928,"yyyymmdd")&amp;"-"&amp;SUBSTITUTE($F928," ","")&amp;"-"&amp;TEXT(COUNTIF($F$4:F928,$F928),"00"))</f>
        <v/>
      </c>
      <c r="C928" s="29" t="str">
        <f>IF($B928="","",WEEKNUM($B928,2))</f>
        <v/>
      </c>
      <c r="D928" s="29" t="str">
        <f>IF($B928="","",TEXT($B928,"yyyy-mm"))</f>
        <v/>
      </c>
      <c r="G928" s="29" t="str">
        <f>IF(OR($E928="",$F928=""),"",IFERROR(IF($E928=INDEX([1]Cluster_Master!$A$4:$A$18,MATCH($F928,[1]Cluster_Master!$B$4:$B$18,0)),"OK","CHECK"),"CHECK"))</f>
        <v/>
      </c>
      <c r="H928" s="29" t="str">
        <f>IFERROR(INDEX([1]Cluster_Master!$C$4:$C$18,MATCH($F928,[1]Cluster_Master!$B$4:$B$18,0)),"")</f>
        <v/>
      </c>
      <c r="I928" s="29" t="str">
        <f>IFERROR(INDEX([1]Cluster_Master!$D$4:$D$18,MATCH($F928,[1]Cluster_Master!$B$4:$B$18,0)),"")</f>
        <v/>
      </c>
      <c r="J928" s="29" t="str">
        <f>IFERROR(INDEX([1]Cluster_Master!$E$4:$E$18,MATCH($F928,[1]Cluster_Master!$B$4:$B$18,0)),"")</f>
        <v/>
      </c>
      <c r="K928" s="29" t="str">
        <f>IFERROR(INDEX([1]Cluster_Master!$F$4:$F$18,MATCH($F928,[1]Cluster_Master!$B$4:$B$18,0)),"")</f>
        <v/>
      </c>
      <c r="L928" s="29" t="str">
        <f>IFERROR(INDEX([1]Cluster_Master!$G$4:$G$18,MATCH($F928,[1]Cluster_Master!$B$4:$B$18,0)),"")</f>
        <v/>
      </c>
      <c r="M928" s="29" t="str">
        <f>IFERROR(INDEX([1]Cluster_Master!$H$4:$H$18,MATCH($F928,[1]Cluster_Master!$B$4:$B$18,0)),"")</f>
        <v/>
      </c>
      <c r="AI928" s="29" t="str">
        <f>IF(COUNTA(T928:AH928)=0,"",SUM(T928:AH928))</f>
        <v/>
      </c>
      <c r="AJ928" s="29" t="str">
        <f>IF(COUNTA(T928:AH928)=0,"",AI928/75)</f>
        <v/>
      </c>
      <c r="AK928" s="29" t="str">
        <f>IF(COUNTA(T928:AH928)=0,"",(SUM(T928*[1]KPI_Weights!$B$4,U928*[1]KPI_Weights!$B$5,V928*[1]KPI_Weights!$B$6,W928*[1]KPI_Weights!$B$7,X928*[1]KPI_Weights!$B$8,Y928*[1]KPI_Weights!$B$9,Z928*[1]KPI_Weights!$B$10,AA928*[1]KPI_Weights!$B$11,AB928*[1]KPI_Weights!$B$12,AC928*[1]KPI_Weights!$B$13,AD928*[1]KPI_Weights!$B$14,AE928*[1]KPI_Weights!$B$15,AF928*[1]KPI_Weights!$B$16,AG928*[1]KPI_Weights!$B$17,AH928*[1]KPI_Weights!$B$18))/5)</f>
        <v/>
      </c>
      <c r="AL928" s="29" t="str">
        <f>IF(COUNTA(T928:AH928)=0,"",IF(OR(T928&lt;=1,W928&lt;=1,X928&lt;=1,Y928&lt;=1,AB928&lt;=1),"YES","NO"))</f>
        <v/>
      </c>
      <c r="AM928" s="29" t="str">
        <f>IF(AJ928="","",IF(AND(AL928="NO",AJ928&gt;=0.75),"YES","NO"))</f>
        <v/>
      </c>
      <c r="AN928" s="29" t="str">
        <f>IF(AJ928="","",IF(AJ928&lt;0.4,"Critical",IF(AJ928&lt;0.6,"Poor",IF(AJ928&lt;0.75,"Needs Improvement",IF(AJ928&lt;0.9,"Good","Excellent")))))</f>
        <v/>
      </c>
    </row>
    <row r="929" spans="1:40" ht="15" customHeight="1" x14ac:dyDescent="0.25">
      <c r="A929" s="29" t="str">
        <f>IF($B929="","",TEXT($B929,"yyyymmdd")&amp;"-"&amp;SUBSTITUTE($F929," ","")&amp;"-"&amp;TEXT(COUNTIF($F$4:F929,$F929),"00"))</f>
        <v/>
      </c>
      <c r="C929" s="29" t="str">
        <f>IF($B929="","",WEEKNUM($B929,2))</f>
        <v/>
      </c>
      <c r="D929" s="29" t="str">
        <f>IF($B929="","",TEXT($B929,"yyyy-mm"))</f>
        <v/>
      </c>
      <c r="G929" s="29" t="str">
        <f>IF(OR($E929="",$F929=""),"",IFERROR(IF($E929=INDEX([1]Cluster_Master!$A$4:$A$18,MATCH($F929,[1]Cluster_Master!$B$4:$B$18,0)),"OK","CHECK"),"CHECK"))</f>
        <v/>
      </c>
      <c r="H929" s="29" t="str">
        <f>IFERROR(INDEX([1]Cluster_Master!$C$4:$C$18,MATCH($F929,[1]Cluster_Master!$B$4:$B$18,0)),"")</f>
        <v/>
      </c>
      <c r="I929" s="29" t="str">
        <f>IFERROR(INDEX([1]Cluster_Master!$D$4:$D$18,MATCH($F929,[1]Cluster_Master!$B$4:$B$18,0)),"")</f>
        <v/>
      </c>
      <c r="J929" s="29" t="str">
        <f>IFERROR(INDEX([1]Cluster_Master!$E$4:$E$18,MATCH($F929,[1]Cluster_Master!$B$4:$B$18,0)),"")</f>
        <v/>
      </c>
      <c r="K929" s="29" t="str">
        <f>IFERROR(INDEX([1]Cluster_Master!$F$4:$F$18,MATCH($F929,[1]Cluster_Master!$B$4:$B$18,0)),"")</f>
        <v/>
      </c>
      <c r="L929" s="29" t="str">
        <f>IFERROR(INDEX([1]Cluster_Master!$G$4:$G$18,MATCH($F929,[1]Cluster_Master!$B$4:$B$18,0)),"")</f>
        <v/>
      </c>
      <c r="M929" s="29" t="str">
        <f>IFERROR(INDEX([1]Cluster_Master!$H$4:$H$18,MATCH($F929,[1]Cluster_Master!$B$4:$B$18,0)),"")</f>
        <v/>
      </c>
      <c r="AI929" s="29" t="str">
        <f>IF(COUNTA(T929:AH929)=0,"",SUM(T929:AH929))</f>
        <v/>
      </c>
      <c r="AJ929" s="29" t="str">
        <f>IF(COUNTA(T929:AH929)=0,"",AI929/75)</f>
        <v/>
      </c>
      <c r="AK929" s="29" t="str">
        <f>IF(COUNTA(T929:AH929)=0,"",(SUM(T929*[1]KPI_Weights!$B$4,U929*[1]KPI_Weights!$B$5,V929*[1]KPI_Weights!$B$6,W929*[1]KPI_Weights!$B$7,X929*[1]KPI_Weights!$B$8,Y929*[1]KPI_Weights!$B$9,Z929*[1]KPI_Weights!$B$10,AA929*[1]KPI_Weights!$B$11,AB929*[1]KPI_Weights!$B$12,AC929*[1]KPI_Weights!$B$13,AD929*[1]KPI_Weights!$B$14,AE929*[1]KPI_Weights!$B$15,AF929*[1]KPI_Weights!$B$16,AG929*[1]KPI_Weights!$B$17,AH929*[1]KPI_Weights!$B$18))/5)</f>
        <v/>
      </c>
      <c r="AL929" s="29" t="str">
        <f>IF(COUNTA(T929:AH929)=0,"",IF(OR(T929&lt;=1,W929&lt;=1,X929&lt;=1,Y929&lt;=1,AB929&lt;=1),"YES","NO"))</f>
        <v/>
      </c>
      <c r="AM929" s="29" t="str">
        <f>IF(AJ929="","",IF(AND(AL929="NO",AJ929&gt;=0.75),"YES","NO"))</f>
        <v/>
      </c>
      <c r="AN929" s="29" t="str">
        <f>IF(AJ929="","",IF(AJ929&lt;0.4,"Critical",IF(AJ929&lt;0.6,"Poor",IF(AJ929&lt;0.75,"Needs Improvement",IF(AJ929&lt;0.9,"Good","Excellent")))))</f>
        <v/>
      </c>
    </row>
    <row r="930" spans="1:40" ht="15" customHeight="1" x14ac:dyDescent="0.25">
      <c r="A930" s="29" t="str">
        <f>IF($B930="","",TEXT($B930,"yyyymmdd")&amp;"-"&amp;SUBSTITUTE($F930," ","")&amp;"-"&amp;TEXT(COUNTIF($F$4:F930,$F930),"00"))</f>
        <v/>
      </c>
      <c r="C930" s="29" t="str">
        <f>IF($B930="","",WEEKNUM($B930,2))</f>
        <v/>
      </c>
      <c r="D930" s="29" t="str">
        <f>IF($B930="","",TEXT($B930,"yyyy-mm"))</f>
        <v/>
      </c>
      <c r="G930" s="29" t="str">
        <f>IF(OR($E930="",$F930=""),"",IFERROR(IF($E930=INDEX([1]Cluster_Master!$A$4:$A$18,MATCH($F930,[1]Cluster_Master!$B$4:$B$18,0)),"OK","CHECK"),"CHECK"))</f>
        <v/>
      </c>
      <c r="H930" s="29" t="str">
        <f>IFERROR(INDEX([1]Cluster_Master!$C$4:$C$18,MATCH($F930,[1]Cluster_Master!$B$4:$B$18,0)),"")</f>
        <v/>
      </c>
      <c r="I930" s="29" t="str">
        <f>IFERROR(INDEX([1]Cluster_Master!$D$4:$D$18,MATCH($F930,[1]Cluster_Master!$B$4:$B$18,0)),"")</f>
        <v/>
      </c>
      <c r="J930" s="29" t="str">
        <f>IFERROR(INDEX([1]Cluster_Master!$E$4:$E$18,MATCH($F930,[1]Cluster_Master!$B$4:$B$18,0)),"")</f>
        <v/>
      </c>
      <c r="K930" s="29" t="str">
        <f>IFERROR(INDEX([1]Cluster_Master!$F$4:$F$18,MATCH($F930,[1]Cluster_Master!$B$4:$B$18,0)),"")</f>
        <v/>
      </c>
      <c r="L930" s="29" t="str">
        <f>IFERROR(INDEX([1]Cluster_Master!$G$4:$G$18,MATCH($F930,[1]Cluster_Master!$B$4:$B$18,0)),"")</f>
        <v/>
      </c>
      <c r="M930" s="29" t="str">
        <f>IFERROR(INDEX([1]Cluster_Master!$H$4:$H$18,MATCH($F930,[1]Cluster_Master!$B$4:$B$18,0)),"")</f>
        <v/>
      </c>
      <c r="AI930" s="29" t="str">
        <f>IF(COUNTA(T930:AH930)=0,"",SUM(T930:AH930))</f>
        <v/>
      </c>
      <c r="AJ930" s="29" t="str">
        <f>IF(COUNTA(T930:AH930)=0,"",AI930/75)</f>
        <v/>
      </c>
      <c r="AK930" s="29" t="str">
        <f>IF(COUNTA(T930:AH930)=0,"",(SUM(T930*[1]KPI_Weights!$B$4,U930*[1]KPI_Weights!$B$5,V930*[1]KPI_Weights!$B$6,W930*[1]KPI_Weights!$B$7,X930*[1]KPI_Weights!$B$8,Y930*[1]KPI_Weights!$B$9,Z930*[1]KPI_Weights!$B$10,AA930*[1]KPI_Weights!$B$11,AB930*[1]KPI_Weights!$B$12,AC930*[1]KPI_Weights!$B$13,AD930*[1]KPI_Weights!$B$14,AE930*[1]KPI_Weights!$B$15,AF930*[1]KPI_Weights!$B$16,AG930*[1]KPI_Weights!$B$17,AH930*[1]KPI_Weights!$B$18))/5)</f>
        <v/>
      </c>
      <c r="AL930" s="29" t="str">
        <f>IF(COUNTA(T930:AH930)=0,"",IF(OR(T930&lt;=1,W930&lt;=1,X930&lt;=1,Y930&lt;=1,AB930&lt;=1),"YES","NO"))</f>
        <v/>
      </c>
      <c r="AM930" s="29" t="str">
        <f>IF(AJ930="","",IF(AND(AL930="NO",AJ930&gt;=0.75),"YES","NO"))</f>
        <v/>
      </c>
      <c r="AN930" s="29" t="str">
        <f>IF(AJ930="","",IF(AJ930&lt;0.4,"Critical",IF(AJ930&lt;0.6,"Poor",IF(AJ930&lt;0.75,"Needs Improvement",IF(AJ930&lt;0.9,"Good","Excellent")))))</f>
        <v/>
      </c>
    </row>
    <row r="931" spans="1:40" ht="15" customHeight="1" x14ac:dyDescent="0.25">
      <c r="A931" s="29" t="str">
        <f>IF($B931="","",TEXT($B931,"yyyymmdd")&amp;"-"&amp;SUBSTITUTE($F931," ","")&amp;"-"&amp;TEXT(COUNTIF($F$4:F931,$F931),"00"))</f>
        <v/>
      </c>
      <c r="C931" s="29" t="str">
        <f>IF($B931="","",WEEKNUM($B931,2))</f>
        <v/>
      </c>
      <c r="D931" s="29" t="str">
        <f>IF($B931="","",TEXT($B931,"yyyy-mm"))</f>
        <v/>
      </c>
      <c r="G931" s="29" t="str">
        <f>IF(OR($E931="",$F931=""),"",IFERROR(IF($E931=INDEX([1]Cluster_Master!$A$4:$A$18,MATCH($F931,[1]Cluster_Master!$B$4:$B$18,0)),"OK","CHECK"),"CHECK"))</f>
        <v/>
      </c>
      <c r="H931" s="29" t="str">
        <f>IFERROR(INDEX([1]Cluster_Master!$C$4:$C$18,MATCH($F931,[1]Cluster_Master!$B$4:$B$18,0)),"")</f>
        <v/>
      </c>
      <c r="I931" s="29" t="str">
        <f>IFERROR(INDEX([1]Cluster_Master!$D$4:$D$18,MATCH($F931,[1]Cluster_Master!$B$4:$B$18,0)),"")</f>
        <v/>
      </c>
      <c r="J931" s="29" t="str">
        <f>IFERROR(INDEX([1]Cluster_Master!$E$4:$E$18,MATCH($F931,[1]Cluster_Master!$B$4:$B$18,0)),"")</f>
        <v/>
      </c>
      <c r="K931" s="29" t="str">
        <f>IFERROR(INDEX([1]Cluster_Master!$F$4:$F$18,MATCH($F931,[1]Cluster_Master!$B$4:$B$18,0)),"")</f>
        <v/>
      </c>
      <c r="L931" s="29" t="str">
        <f>IFERROR(INDEX([1]Cluster_Master!$G$4:$G$18,MATCH($F931,[1]Cluster_Master!$B$4:$B$18,0)),"")</f>
        <v/>
      </c>
      <c r="M931" s="29" t="str">
        <f>IFERROR(INDEX([1]Cluster_Master!$H$4:$H$18,MATCH($F931,[1]Cluster_Master!$B$4:$B$18,0)),"")</f>
        <v/>
      </c>
      <c r="AI931" s="29" t="str">
        <f>IF(COUNTA(T931:AH931)=0,"",SUM(T931:AH931))</f>
        <v/>
      </c>
      <c r="AJ931" s="29" t="str">
        <f>IF(COUNTA(T931:AH931)=0,"",AI931/75)</f>
        <v/>
      </c>
      <c r="AK931" s="29" t="str">
        <f>IF(COUNTA(T931:AH931)=0,"",(SUM(T931*[1]KPI_Weights!$B$4,U931*[1]KPI_Weights!$B$5,V931*[1]KPI_Weights!$B$6,W931*[1]KPI_Weights!$B$7,X931*[1]KPI_Weights!$B$8,Y931*[1]KPI_Weights!$B$9,Z931*[1]KPI_Weights!$B$10,AA931*[1]KPI_Weights!$B$11,AB931*[1]KPI_Weights!$B$12,AC931*[1]KPI_Weights!$B$13,AD931*[1]KPI_Weights!$B$14,AE931*[1]KPI_Weights!$B$15,AF931*[1]KPI_Weights!$B$16,AG931*[1]KPI_Weights!$B$17,AH931*[1]KPI_Weights!$B$18))/5)</f>
        <v/>
      </c>
      <c r="AL931" s="29" t="str">
        <f>IF(COUNTA(T931:AH931)=0,"",IF(OR(T931&lt;=1,W931&lt;=1,X931&lt;=1,Y931&lt;=1,AB931&lt;=1),"YES","NO"))</f>
        <v/>
      </c>
      <c r="AM931" s="29" t="str">
        <f>IF(AJ931="","",IF(AND(AL931="NO",AJ931&gt;=0.75),"YES","NO"))</f>
        <v/>
      </c>
      <c r="AN931" s="29" t="str">
        <f>IF(AJ931="","",IF(AJ931&lt;0.4,"Critical",IF(AJ931&lt;0.6,"Poor",IF(AJ931&lt;0.75,"Needs Improvement",IF(AJ931&lt;0.9,"Good","Excellent")))))</f>
        <v/>
      </c>
    </row>
    <row r="932" spans="1:40" ht="15" customHeight="1" x14ac:dyDescent="0.25">
      <c r="A932" s="29" t="str">
        <f>IF($B932="","",TEXT($B932,"yyyymmdd")&amp;"-"&amp;SUBSTITUTE($F932," ","")&amp;"-"&amp;TEXT(COUNTIF($F$4:F932,$F932),"00"))</f>
        <v/>
      </c>
      <c r="C932" s="29" t="str">
        <f>IF($B932="","",WEEKNUM($B932,2))</f>
        <v/>
      </c>
      <c r="D932" s="29" t="str">
        <f>IF($B932="","",TEXT($B932,"yyyy-mm"))</f>
        <v/>
      </c>
      <c r="G932" s="29" t="str">
        <f>IF(OR($E932="",$F932=""),"",IFERROR(IF($E932=INDEX([1]Cluster_Master!$A$4:$A$18,MATCH($F932,[1]Cluster_Master!$B$4:$B$18,0)),"OK","CHECK"),"CHECK"))</f>
        <v/>
      </c>
      <c r="H932" s="29" t="str">
        <f>IFERROR(INDEX([1]Cluster_Master!$C$4:$C$18,MATCH($F932,[1]Cluster_Master!$B$4:$B$18,0)),"")</f>
        <v/>
      </c>
      <c r="I932" s="29" t="str">
        <f>IFERROR(INDEX([1]Cluster_Master!$D$4:$D$18,MATCH($F932,[1]Cluster_Master!$B$4:$B$18,0)),"")</f>
        <v/>
      </c>
      <c r="J932" s="29" t="str">
        <f>IFERROR(INDEX([1]Cluster_Master!$E$4:$E$18,MATCH($F932,[1]Cluster_Master!$B$4:$B$18,0)),"")</f>
        <v/>
      </c>
      <c r="K932" s="29" t="str">
        <f>IFERROR(INDEX([1]Cluster_Master!$F$4:$F$18,MATCH($F932,[1]Cluster_Master!$B$4:$B$18,0)),"")</f>
        <v/>
      </c>
      <c r="L932" s="29" t="str">
        <f>IFERROR(INDEX([1]Cluster_Master!$G$4:$G$18,MATCH($F932,[1]Cluster_Master!$B$4:$B$18,0)),"")</f>
        <v/>
      </c>
      <c r="M932" s="29" t="str">
        <f>IFERROR(INDEX([1]Cluster_Master!$H$4:$H$18,MATCH($F932,[1]Cluster_Master!$B$4:$B$18,0)),"")</f>
        <v/>
      </c>
      <c r="AI932" s="29" t="str">
        <f>IF(COUNTA(T932:AH932)=0,"",SUM(T932:AH932))</f>
        <v/>
      </c>
      <c r="AJ932" s="29" t="str">
        <f>IF(COUNTA(T932:AH932)=0,"",AI932/75)</f>
        <v/>
      </c>
      <c r="AK932" s="29" t="str">
        <f>IF(COUNTA(T932:AH932)=0,"",(SUM(T932*[1]KPI_Weights!$B$4,U932*[1]KPI_Weights!$B$5,V932*[1]KPI_Weights!$B$6,W932*[1]KPI_Weights!$B$7,X932*[1]KPI_Weights!$B$8,Y932*[1]KPI_Weights!$B$9,Z932*[1]KPI_Weights!$B$10,AA932*[1]KPI_Weights!$B$11,AB932*[1]KPI_Weights!$B$12,AC932*[1]KPI_Weights!$B$13,AD932*[1]KPI_Weights!$B$14,AE932*[1]KPI_Weights!$B$15,AF932*[1]KPI_Weights!$B$16,AG932*[1]KPI_Weights!$B$17,AH932*[1]KPI_Weights!$B$18))/5)</f>
        <v/>
      </c>
      <c r="AL932" s="29" t="str">
        <f>IF(COUNTA(T932:AH932)=0,"",IF(OR(T932&lt;=1,W932&lt;=1,X932&lt;=1,Y932&lt;=1,AB932&lt;=1),"YES","NO"))</f>
        <v/>
      </c>
      <c r="AM932" s="29" t="str">
        <f>IF(AJ932="","",IF(AND(AL932="NO",AJ932&gt;=0.75),"YES","NO"))</f>
        <v/>
      </c>
      <c r="AN932" s="29" t="str">
        <f>IF(AJ932="","",IF(AJ932&lt;0.4,"Critical",IF(AJ932&lt;0.6,"Poor",IF(AJ932&lt;0.75,"Needs Improvement",IF(AJ932&lt;0.9,"Good","Excellent")))))</f>
        <v/>
      </c>
    </row>
    <row r="933" spans="1:40" ht="15" customHeight="1" x14ac:dyDescent="0.25">
      <c r="A933" s="29" t="str">
        <f>IF($B933="","",TEXT($B933,"yyyymmdd")&amp;"-"&amp;SUBSTITUTE($F933," ","")&amp;"-"&amp;TEXT(COUNTIF($F$4:F933,$F933),"00"))</f>
        <v/>
      </c>
      <c r="C933" s="29" t="str">
        <f>IF($B933="","",WEEKNUM($B933,2))</f>
        <v/>
      </c>
      <c r="D933" s="29" t="str">
        <f>IF($B933="","",TEXT($B933,"yyyy-mm"))</f>
        <v/>
      </c>
      <c r="G933" s="29" t="str">
        <f>IF(OR($E933="",$F933=""),"",IFERROR(IF($E933=INDEX([1]Cluster_Master!$A$4:$A$18,MATCH($F933,[1]Cluster_Master!$B$4:$B$18,0)),"OK","CHECK"),"CHECK"))</f>
        <v/>
      </c>
      <c r="H933" s="29" t="str">
        <f>IFERROR(INDEX([1]Cluster_Master!$C$4:$C$18,MATCH($F933,[1]Cluster_Master!$B$4:$B$18,0)),"")</f>
        <v/>
      </c>
      <c r="I933" s="29" t="str">
        <f>IFERROR(INDEX([1]Cluster_Master!$D$4:$D$18,MATCH($F933,[1]Cluster_Master!$B$4:$B$18,0)),"")</f>
        <v/>
      </c>
      <c r="J933" s="29" t="str">
        <f>IFERROR(INDEX([1]Cluster_Master!$E$4:$E$18,MATCH($F933,[1]Cluster_Master!$B$4:$B$18,0)),"")</f>
        <v/>
      </c>
      <c r="K933" s="29" t="str">
        <f>IFERROR(INDEX([1]Cluster_Master!$F$4:$F$18,MATCH($F933,[1]Cluster_Master!$B$4:$B$18,0)),"")</f>
        <v/>
      </c>
      <c r="L933" s="29" t="str">
        <f>IFERROR(INDEX([1]Cluster_Master!$G$4:$G$18,MATCH($F933,[1]Cluster_Master!$B$4:$B$18,0)),"")</f>
        <v/>
      </c>
      <c r="M933" s="29" t="str">
        <f>IFERROR(INDEX([1]Cluster_Master!$H$4:$H$18,MATCH($F933,[1]Cluster_Master!$B$4:$B$18,0)),"")</f>
        <v/>
      </c>
      <c r="AI933" s="29" t="str">
        <f>IF(COUNTA(T933:AH933)=0,"",SUM(T933:AH933))</f>
        <v/>
      </c>
      <c r="AJ933" s="29" t="str">
        <f>IF(COUNTA(T933:AH933)=0,"",AI933/75)</f>
        <v/>
      </c>
      <c r="AK933" s="29" t="str">
        <f>IF(COUNTA(T933:AH933)=0,"",(SUM(T933*[1]KPI_Weights!$B$4,U933*[1]KPI_Weights!$B$5,V933*[1]KPI_Weights!$B$6,W933*[1]KPI_Weights!$B$7,X933*[1]KPI_Weights!$B$8,Y933*[1]KPI_Weights!$B$9,Z933*[1]KPI_Weights!$B$10,AA933*[1]KPI_Weights!$B$11,AB933*[1]KPI_Weights!$B$12,AC933*[1]KPI_Weights!$B$13,AD933*[1]KPI_Weights!$B$14,AE933*[1]KPI_Weights!$B$15,AF933*[1]KPI_Weights!$B$16,AG933*[1]KPI_Weights!$B$17,AH933*[1]KPI_Weights!$B$18))/5)</f>
        <v/>
      </c>
      <c r="AL933" s="29" t="str">
        <f>IF(COUNTA(T933:AH933)=0,"",IF(OR(T933&lt;=1,W933&lt;=1,X933&lt;=1,Y933&lt;=1,AB933&lt;=1),"YES","NO"))</f>
        <v/>
      </c>
      <c r="AM933" s="29" t="str">
        <f>IF(AJ933="","",IF(AND(AL933="NO",AJ933&gt;=0.75),"YES","NO"))</f>
        <v/>
      </c>
      <c r="AN933" s="29" t="str">
        <f>IF(AJ933="","",IF(AJ933&lt;0.4,"Critical",IF(AJ933&lt;0.6,"Poor",IF(AJ933&lt;0.75,"Needs Improvement",IF(AJ933&lt;0.9,"Good","Excellent")))))</f>
        <v/>
      </c>
    </row>
    <row r="934" spans="1:40" ht="15" customHeight="1" x14ac:dyDescent="0.25">
      <c r="A934" s="29" t="str">
        <f>IF($B934="","",TEXT($B934,"yyyymmdd")&amp;"-"&amp;SUBSTITUTE($F934," ","")&amp;"-"&amp;TEXT(COUNTIF($F$4:F934,$F934),"00"))</f>
        <v/>
      </c>
      <c r="C934" s="29" t="str">
        <f>IF($B934="","",WEEKNUM($B934,2))</f>
        <v/>
      </c>
      <c r="D934" s="29" t="str">
        <f>IF($B934="","",TEXT($B934,"yyyy-mm"))</f>
        <v/>
      </c>
      <c r="G934" s="29" t="str">
        <f>IF(OR($E934="",$F934=""),"",IFERROR(IF($E934=INDEX([1]Cluster_Master!$A$4:$A$18,MATCH($F934,[1]Cluster_Master!$B$4:$B$18,0)),"OK","CHECK"),"CHECK"))</f>
        <v/>
      </c>
      <c r="H934" s="29" t="str">
        <f>IFERROR(INDEX([1]Cluster_Master!$C$4:$C$18,MATCH($F934,[1]Cluster_Master!$B$4:$B$18,0)),"")</f>
        <v/>
      </c>
      <c r="I934" s="29" t="str">
        <f>IFERROR(INDEX([1]Cluster_Master!$D$4:$D$18,MATCH($F934,[1]Cluster_Master!$B$4:$B$18,0)),"")</f>
        <v/>
      </c>
      <c r="J934" s="29" t="str">
        <f>IFERROR(INDEX([1]Cluster_Master!$E$4:$E$18,MATCH($F934,[1]Cluster_Master!$B$4:$B$18,0)),"")</f>
        <v/>
      </c>
      <c r="K934" s="29" t="str">
        <f>IFERROR(INDEX([1]Cluster_Master!$F$4:$F$18,MATCH($F934,[1]Cluster_Master!$B$4:$B$18,0)),"")</f>
        <v/>
      </c>
      <c r="L934" s="29" t="str">
        <f>IFERROR(INDEX([1]Cluster_Master!$G$4:$G$18,MATCH($F934,[1]Cluster_Master!$B$4:$B$18,0)),"")</f>
        <v/>
      </c>
      <c r="M934" s="29" t="str">
        <f>IFERROR(INDEX([1]Cluster_Master!$H$4:$H$18,MATCH($F934,[1]Cluster_Master!$B$4:$B$18,0)),"")</f>
        <v/>
      </c>
      <c r="AI934" s="29" t="str">
        <f>IF(COUNTA(T934:AH934)=0,"",SUM(T934:AH934))</f>
        <v/>
      </c>
      <c r="AJ934" s="29" t="str">
        <f>IF(COUNTA(T934:AH934)=0,"",AI934/75)</f>
        <v/>
      </c>
      <c r="AK934" s="29" t="str">
        <f>IF(COUNTA(T934:AH934)=0,"",(SUM(T934*[1]KPI_Weights!$B$4,U934*[1]KPI_Weights!$B$5,V934*[1]KPI_Weights!$B$6,W934*[1]KPI_Weights!$B$7,X934*[1]KPI_Weights!$B$8,Y934*[1]KPI_Weights!$B$9,Z934*[1]KPI_Weights!$B$10,AA934*[1]KPI_Weights!$B$11,AB934*[1]KPI_Weights!$B$12,AC934*[1]KPI_Weights!$B$13,AD934*[1]KPI_Weights!$B$14,AE934*[1]KPI_Weights!$B$15,AF934*[1]KPI_Weights!$B$16,AG934*[1]KPI_Weights!$B$17,AH934*[1]KPI_Weights!$B$18))/5)</f>
        <v/>
      </c>
      <c r="AL934" s="29" t="str">
        <f>IF(COUNTA(T934:AH934)=0,"",IF(OR(T934&lt;=1,W934&lt;=1,X934&lt;=1,Y934&lt;=1,AB934&lt;=1),"YES","NO"))</f>
        <v/>
      </c>
      <c r="AM934" s="29" t="str">
        <f>IF(AJ934="","",IF(AND(AL934="NO",AJ934&gt;=0.75),"YES","NO"))</f>
        <v/>
      </c>
      <c r="AN934" s="29" t="str">
        <f>IF(AJ934="","",IF(AJ934&lt;0.4,"Critical",IF(AJ934&lt;0.6,"Poor",IF(AJ934&lt;0.75,"Needs Improvement",IF(AJ934&lt;0.9,"Good","Excellent")))))</f>
        <v/>
      </c>
    </row>
    <row r="935" spans="1:40" ht="15" customHeight="1" x14ac:dyDescent="0.25">
      <c r="A935" s="29" t="str">
        <f>IF($B935="","",TEXT($B935,"yyyymmdd")&amp;"-"&amp;SUBSTITUTE($F935," ","")&amp;"-"&amp;TEXT(COUNTIF($F$4:F935,$F935),"00"))</f>
        <v/>
      </c>
      <c r="C935" s="29" t="str">
        <f>IF($B935="","",WEEKNUM($B935,2))</f>
        <v/>
      </c>
      <c r="D935" s="29" t="str">
        <f>IF($B935="","",TEXT($B935,"yyyy-mm"))</f>
        <v/>
      </c>
      <c r="G935" s="29" t="str">
        <f>IF(OR($E935="",$F935=""),"",IFERROR(IF($E935=INDEX([1]Cluster_Master!$A$4:$A$18,MATCH($F935,[1]Cluster_Master!$B$4:$B$18,0)),"OK","CHECK"),"CHECK"))</f>
        <v/>
      </c>
      <c r="H935" s="29" t="str">
        <f>IFERROR(INDEX([1]Cluster_Master!$C$4:$C$18,MATCH($F935,[1]Cluster_Master!$B$4:$B$18,0)),"")</f>
        <v/>
      </c>
      <c r="I935" s="29" t="str">
        <f>IFERROR(INDEX([1]Cluster_Master!$D$4:$D$18,MATCH($F935,[1]Cluster_Master!$B$4:$B$18,0)),"")</f>
        <v/>
      </c>
      <c r="J935" s="29" t="str">
        <f>IFERROR(INDEX([1]Cluster_Master!$E$4:$E$18,MATCH($F935,[1]Cluster_Master!$B$4:$B$18,0)),"")</f>
        <v/>
      </c>
      <c r="K935" s="29" t="str">
        <f>IFERROR(INDEX([1]Cluster_Master!$F$4:$F$18,MATCH($F935,[1]Cluster_Master!$B$4:$B$18,0)),"")</f>
        <v/>
      </c>
      <c r="L935" s="29" t="str">
        <f>IFERROR(INDEX([1]Cluster_Master!$G$4:$G$18,MATCH($F935,[1]Cluster_Master!$B$4:$B$18,0)),"")</f>
        <v/>
      </c>
      <c r="M935" s="29" t="str">
        <f>IFERROR(INDEX([1]Cluster_Master!$H$4:$H$18,MATCH($F935,[1]Cluster_Master!$B$4:$B$18,0)),"")</f>
        <v/>
      </c>
      <c r="AI935" s="29" t="str">
        <f>IF(COUNTA(T935:AH935)=0,"",SUM(T935:AH935))</f>
        <v/>
      </c>
      <c r="AJ935" s="29" t="str">
        <f>IF(COUNTA(T935:AH935)=0,"",AI935/75)</f>
        <v/>
      </c>
      <c r="AK935" s="29" t="str">
        <f>IF(COUNTA(T935:AH935)=0,"",(SUM(T935*[1]KPI_Weights!$B$4,U935*[1]KPI_Weights!$B$5,V935*[1]KPI_Weights!$B$6,W935*[1]KPI_Weights!$B$7,X935*[1]KPI_Weights!$B$8,Y935*[1]KPI_Weights!$B$9,Z935*[1]KPI_Weights!$B$10,AA935*[1]KPI_Weights!$B$11,AB935*[1]KPI_Weights!$B$12,AC935*[1]KPI_Weights!$B$13,AD935*[1]KPI_Weights!$B$14,AE935*[1]KPI_Weights!$B$15,AF935*[1]KPI_Weights!$B$16,AG935*[1]KPI_Weights!$B$17,AH935*[1]KPI_Weights!$B$18))/5)</f>
        <v/>
      </c>
      <c r="AL935" s="29" t="str">
        <f>IF(COUNTA(T935:AH935)=0,"",IF(OR(T935&lt;=1,W935&lt;=1,X935&lt;=1,Y935&lt;=1,AB935&lt;=1),"YES","NO"))</f>
        <v/>
      </c>
      <c r="AM935" s="29" t="str">
        <f>IF(AJ935="","",IF(AND(AL935="NO",AJ935&gt;=0.75),"YES","NO"))</f>
        <v/>
      </c>
      <c r="AN935" s="29" t="str">
        <f>IF(AJ935="","",IF(AJ935&lt;0.4,"Critical",IF(AJ935&lt;0.6,"Poor",IF(AJ935&lt;0.75,"Needs Improvement",IF(AJ935&lt;0.9,"Good","Excellent")))))</f>
        <v/>
      </c>
    </row>
    <row r="936" spans="1:40" ht="15" customHeight="1" x14ac:dyDescent="0.25">
      <c r="A936" s="29" t="str">
        <f>IF($B936="","",TEXT($B936,"yyyymmdd")&amp;"-"&amp;SUBSTITUTE($F936," ","")&amp;"-"&amp;TEXT(COUNTIF($F$4:F936,$F936),"00"))</f>
        <v/>
      </c>
      <c r="C936" s="29" t="str">
        <f>IF($B936="","",WEEKNUM($B936,2))</f>
        <v/>
      </c>
      <c r="D936" s="29" t="str">
        <f>IF($B936="","",TEXT($B936,"yyyy-mm"))</f>
        <v/>
      </c>
      <c r="G936" s="29" t="str">
        <f>IF(OR($E936="",$F936=""),"",IFERROR(IF($E936=INDEX([1]Cluster_Master!$A$4:$A$18,MATCH($F936,[1]Cluster_Master!$B$4:$B$18,0)),"OK","CHECK"),"CHECK"))</f>
        <v/>
      </c>
      <c r="H936" s="29" t="str">
        <f>IFERROR(INDEX([1]Cluster_Master!$C$4:$C$18,MATCH($F936,[1]Cluster_Master!$B$4:$B$18,0)),"")</f>
        <v/>
      </c>
      <c r="I936" s="29" t="str">
        <f>IFERROR(INDEX([1]Cluster_Master!$D$4:$D$18,MATCH($F936,[1]Cluster_Master!$B$4:$B$18,0)),"")</f>
        <v/>
      </c>
      <c r="J936" s="29" t="str">
        <f>IFERROR(INDEX([1]Cluster_Master!$E$4:$E$18,MATCH($F936,[1]Cluster_Master!$B$4:$B$18,0)),"")</f>
        <v/>
      </c>
      <c r="K936" s="29" t="str">
        <f>IFERROR(INDEX([1]Cluster_Master!$F$4:$F$18,MATCH($F936,[1]Cluster_Master!$B$4:$B$18,0)),"")</f>
        <v/>
      </c>
      <c r="L936" s="29" t="str">
        <f>IFERROR(INDEX([1]Cluster_Master!$G$4:$G$18,MATCH($F936,[1]Cluster_Master!$B$4:$B$18,0)),"")</f>
        <v/>
      </c>
      <c r="M936" s="29" t="str">
        <f>IFERROR(INDEX([1]Cluster_Master!$H$4:$H$18,MATCH($F936,[1]Cluster_Master!$B$4:$B$18,0)),"")</f>
        <v/>
      </c>
      <c r="AI936" s="29" t="str">
        <f>IF(COUNTA(T936:AH936)=0,"",SUM(T936:AH936))</f>
        <v/>
      </c>
      <c r="AJ936" s="29" t="str">
        <f>IF(COUNTA(T936:AH936)=0,"",AI936/75)</f>
        <v/>
      </c>
      <c r="AK936" s="29" t="str">
        <f>IF(COUNTA(T936:AH936)=0,"",(SUM(T936*[1]KPI_Weights!$B$4,U936*[1]KPI_Weights!$B$5,V936*[1]KPI_Weights!$B$6,W936*[1]KPI_Weights!$B$7,X936*[1]KPI_Weights!$B$8,Y936*[1]KPI_Weights!$B$9,Z936*[1]KPI_Weights!$B$10,AA936*[1]KPI_Weights!$B$11,AB936*[1]KPI_Weights!$B$12,AC936*[1]KPI_Weights!$B$13,AD936*[1]KPI_Weights!$B$14,AE936*[1]KPI_Weights!$B$15,AF936*[1]KPI_Weights!$B$16,AG936*[1]KPI_Weights!$B$17,AH936*[1]KPI_Weights!$B$18))/5)</f>
        <v/>
      </c>
      <c r="AL936" s="29" t="str">
        <f>IF(COUNTA(T936:AH936)=0,"",IF(OR(T936&lt;=1,W936&lt;=1,X936&lt;=1,Y936&lt;=1,AB936&lt;=1),"YES","NO"))</f>
        <v/>
      </c>
      <c r="AM936" s="29" t="str">
        <f>IF(AJ936="","",IF(AND(AL936="NO",AJ936&gt;=0.75),"YES","NO"))</f>
        <v/>
      </c>
      <c r="AN936" s="29" t="str">
        <f>IF(AJ936="","",IF(AJ936&lt;0.4,"Critical",IF(AJ936&lt;0.6,"Poor",IF(AJ936&lt;0.75,"Needs Improvement",IF(AJ936&lt;0.9,"Good","Excellent")))))</f>
        <v/>
      </c>
    </row>
    <row r="937" spans="1:40" ht="15" customHeight="1" x14ac:dyDescent="0.25">
      <c r="A937" s="29" t="str">
        <f>IF($B937="","",TEXT($B937,"yyyymmdd")&amp;"-"&amp;SUBSTITUTE($F937," ","")&amp;"-"&amp;TEXT(COUNTIF($F$4:F937,$F937),"00"))</f>
        <v/>
      </c>
      <c r="C937" s="29" t="str">
        <f>IF($B937="","",WEEKNUM($B937,2))</f>
        <v/>
      </c>
      <c r="D937" s="29" t="str">
        <f>IF($B937="","",TEXT($B937,"yyyy-mm"))</f>
        <v/>
      </c>
      <c r="G937" s="29" t="str">
        <f>IF(OR($E937="",$F937=""),"",IFERROR(IF($E937=INDEX([1]Cluster_Master!$A$4:$A$18,MATCH($F937,[1]Cluster_Master!$B$4:$B$18,0)),"OK","CHECK"),"CHECK"))</f>
        <v/>
      </c>
      <c r="H937" s="29" t="str">
        <f>IFERROR(INDEX([1]Cluster_Master!$C$4:$C$18,MATCH($F937,[1]Cluster_Master!$B$4:$B$18,0)),"")</f>
        <v/>
      </c>
      <c r="I937" s="29" t="str">
        <f>IFERROR(INDEX([1]Cluster_Master!$D$4:$D$18,MATCH($F937,[1]Cluster_Master!$B$4:$B$18,0)),"")</f>
        <v/>
      </c>
      <c r="J937" s="29" t="str">
        <f>IFERROR(INDEX([1]Cluster_Master!$E$4:$E$18,MATCH($F937,[1]Cluster_Master!$B$4:$B$18,0)),"")</f>
        <v/>
      </c>
      <c r="K937" s="29" t="str">
        <f>IFERROR(INDEX([1]Cluster_Master!$F$4:$F$18,MATCH($F937,[1]Cluster_Master!$B$4:$B$18,0)),"")</f>
        <v/>
      </c>
      <c r="L937" s="29" t="str">
        <f>IFERROR(INDEX([1]Cluster_Master!$G$4:$G$18,MATCH($F937,[1]Cluster_Master!$B$4:$B$18,0)),"")</f>
        <v/>
      </c>
      <c r="M937" s="29" t="str">
        <f>IFERROR(INDEX([1]Cluster_Master!$H$4:$H$18,MATCH($F937,[1]Cluster_Master!$B$4:$B$18,0)),"")</f>
        <v/>
      </c>
      <c r="AI937" s="29" t="str">
        <f>IF(COUNTA(T937:AH937)=0,"",SUM(T937:AH937))</f>
        <v/>
      </c>
      <c r="AJ937" s="29" t="str">
        <f>IF(COUNTA(T937:AH937)=0,"",AI937/75)</f>
        <v/>
      </c>
      <c r="AK937" s="29" t="str">
        <f>IF(COUNTA(T937:AH937)=0,"",(SUM(T937*[1]KPI_Weights!$B$4,U937*[1]KPI_Weights!$B$5,V937*[1]KPI_Weights!$B$6,W937*[1]KPI_Weights!$B$7,X937*[1]KPI_Weights!$B$8,Y937*[1]KPI_Weights!$B$9,Z937*[1]KPI_Weights!$B$10,AA937*[1]KPI_Weights!$B$11,AB937*[1]KPI_Weights!$B$12,AC937*[1]KPI_Weights!$B$13,AD937*[1]KPI_Weights!$B$14,AE937*[1]KPI_Weights!$B$15,AF937*[1]KPI_Weights!$B$16,AG937*[1]KPI_Weights!$B$17,AH937*[1]KPI_Weights!$B$18))/5)</f>
        <v/>
      </c>
      <c r="AL937" s="29" t="str">
        <f>IF(COUNTA(T937:AH937)=0,"",IF(OR(T937&lt;=1,W937&lt;=1,X937&lt;=1,Y937&lt;=1,AB937&lt;=1),"YES","NO"))</f>
        <v/>
      </c>
      <c r="AM937" s="29" t="str">
        <f>IF(AJ937="","",IF(AND(AL937="NO",AJ937&gt;=0.75),"YES","NO"))</f>
        <v/>
      </c>
      <c r="AN937" s="29" t="str">
        <f>IF(AJ937="","",IF(AJ937&lt;0.4,"Critical",IF(AJ937&lt;0.6,"Poor",IF(AJ937&lt;0.75,"Needs Improvement",IF(AJ937&lt;0.9,"Good","Excellent")))))</f>
        <v/>
      </c>
    </row>
    <row r="938" spans="1:40" ht="15" customHeight="1" x14ac:dyDescent="0.25">
      <c r="A938" s="29" t="str">
        <f>IF($B938="","",TEXT($B938,"yyyymmdd")&amp;"-"&amp;SUBSTITUTE($F938," ","")&amp;"-"&amp;TEXT(COUNTIF($F$4:F938,$F938),"00"))</f>
        <v/>
      </c>
      <c r="C938" s="29" t="str">
        <f>IF($B938="","",WEEKNUM($B938,2))</f>
        <v/>
      </c>
      <c r="D938" s="29" t="str">
        <f>IF($B938="","",TEXT($B938,"yyyy-mm"))</f>
        <v/>
      </c>
      <c r="G938" s="29" t="str">
        <f>IF(OR($E938="",$F938=""),"",IFERROR(IF($E938=INDEX([1]Cluster_Master!$A$4:$A$18,MATCH($F938,[1]Cluster_Master!$B$4:$B$18,0)),"OK","CHECK"),"CHECK"))</f>
        <v/>
      </c>
      <c r="H938" s="29" t="str">
        <f>IFERROR(INDEX([1]Cluster_Master!$C$4:$C$18,MATCH($F938,[1]Cluster_Master!$B$4:$B$18,0)),"")</f>
        <v/>
      </c>
      <c r="I938" s="29" t="str">
        <f>IFERROR(INDEX([1]Cluster_Master!$D$4:$D$18,MATCH($F938,[1]Cluster_Master!$B$4:$B$18,0)),"")</f>
        <v/>
      </c>
      <c r="J938" s="29" t="str">
        <f>IFERROR(INDEX([1]Cluster_Master!$E$4:$E$18,MATCH($F938,[1]Cluster_Master!$B$4:$B$18,0)),"")</f>
        <v/>
      </c>
      <c r="K938" s="29" t="str">
        <f>IFERROR(INDEX([1]Cluster_Master!$F$4:$F$18,MATCH($F938,[1]Cluster_Master!$B$4:$B$18,0)),"")</f>
        <v/>
      </c>
      <c r="L938" s="29" t="str">
        <f>IFERROR(INDEX([1]Cluster_Master!$G$4:$G$18,MATCH($F938,[1]Cluster_Master!$B$4:$B$18,0)),"")</f>
        <v/>
      </c>
      <c r="M938" s="29" t="str">
        <f>IFERROR(INDEX([1]Cluster_Master!$H$4:$H$18,MATCH($F938,[1]Cluster_Master!$B$4:$B$18,0)),"")</f>
        <v/>
      </c>
      <c r="AI938" s="29" t="str">
        <f>IF(COUNTA(T938:AH938)=0,"",SUM(T938:AH938))</f>
        <v/>
      </c>
      <c r="AJ938" s="29" t="str">
        <f>IF(COUNTA(T938:AH938)=0,"",AI938/75)</f>
        <v/>
      </c>
      <c r="AK938" s="29" t="str">
        <f>IF(COUNTA(T938:AH938)=0,"",(SUM(T938*[1]KPI_Weights!$B$4,U938*[1]KPI_Weights!$B$5,V938*[1]KPI_Weights!$B$6,W938*[1]KPI_Weights!$B$7,X938*[1]KPI_Weights!$B$8,Y938*[1]KPI_Weights!$B$9,Z938*[1]KPI_Weights!$B$10,AA938*[1]KPI_Weights!$B$11,AB938*[1]KPI_Weights!$B$12,AC938*[1]KPI_Weights!$B$13,AD938*[1]KPI_Weights!$B$14,AE938*[1]KPI_Weights!$B$15,AF938*[1]KPI_Weights!$B$16,AG938*[1]KPI_Weights!$B$17,AH938*[1]KPI_Weights!$B$18))/5)</f>
        <v/>
      </c>
      <c r="AL938" s="29" t="str">
        <f>IF(COUNTA(T938:AH938)=0,"",IF(OR(T938&lt;=1,W938&lt;=1,X938&lt;=1,Y938&lt;=1,AB938&lt;=1),"YES","NO"))</f>
        <v/>
      </c>
      <c r="AM938" s="29" t="str">
        <f>IF(AJ938="","",IF(AND(AL938="NO",AJ938&gt;=0.75),"YES","NO"))</f>
        <v/>
      </c>
      <c r="AN938" s="29" t="str">
        <f>IF(AJ938="","",IF(AJ938&lt;0.4,"Critical",IF(AJ938&lt;0.6,"Poor",IF(AJ938&lt;0.75,"Needs Improvement",IF(AJ938&lt;0.9,"Good","Excellent")))))</f>
        <v/>
      </c>
    </row>
    <row r="939" spans="1:40" ht="15" customHeight="1" x14ac:dyDescent="0.25">
      <c r="A939" s="29" t="str">
        <f>IF($B939="","",TEXT($B939,"yyyymmdd")&amp;"-"&amp;SUBSTITUTE($F939," ","")&amp;"-"&amp;TEXT(COUNTIF($F$4:F939,$F939),"00"))</f>
        <v/>
      </c>
      <c r="C939" s="29" t="str">
        <f>IF($B939="","",WEEKNUM($B939,2))</f>
        <v/>
      </c>
      <c r="D939" s="29" t="str">
        <f>IF($B939="","",TEXT($B939,"yyyy-mm"))</f>
        <v/>
      </c>
      <c r="G939" s="29" t="str">
        <f>IF(OR($E939="",$F939=""),"",IFERROR(IF($E939=INDEX([1]Cluster_Master!$A$4:$A$18,MATCH($F939,[1]Cluster_Master!$B$4:$B$18,0)),"OK","CHECK"),"CHECK"))</f>
        <v/>
      </c>
      <c r="H939" s="29" t="str">
        <f>IFERROR(INDEX([1]Cluster_Master!$C$4:$C$18,MATCH($F939,[1]Cluster_Master!$B$4:$B$18,0)),"")</f>
        <v/>
      </c>
      <c r="I939" s="29" t="str">
        <f>IFERROR(INDEX([1]Cluster_Master!$D$4:$D$18,MATCH($F939,[1]Cluster_Master!$B$4:$B$18,0)),"")</f>
        <v/>
      </c>
      <c r="J939" s="29" t="str">
        <f>IFERROR(INDEX([1]Cluster_Master!$E$4:$E$18,MATCH($F939,[1]Cluster_Master!$B$4:$B$18,0)),"")</f>
        <v/>
      </c>
      <c r="K939" s="29" t="str">
        <f>IFERROR(INDEX([1]Cluster_Master!$F$4:$F$18,MATCH($F939,[1]Cluster_Master!$B$4:$B$18,0)),"")</f>
        <v/>
      </c>
      <c r="L939" s="29" t="str">
        <f>IFERROR(INDEX([1]Cluster_Master!$G$4:$G$18,MATCH($F939,[1]Cluster_Master!$B$4:$B$18,0)),"")</f>
        <v/>
      </c>
      <c r="M939" s="29" t="str">
        <f>IFERROR(INDEX([1]Cluster_Master!$H$4:$H$18,MATCH($F939,[1]Cluster_Master!$B$4:$B$18,0)),"")</f>
        <v/>
      </c>
      <c r="AI939" s="29" t="str">
        <f>IF(COUNTA(T939:AH939)=0,"",SUM(T939:AH939))</f>
        <v/>
      </c>
      <c r="AJ939" s="29" t="str">
        <f>IF(COUNTA(T939:AH939)=0,"",AI939/75)</f>
        <v/>
      </c>
      <c r="AK939" s="29" t="str">
        <f>IF(COUNTA(T939:AH939)=0,"",(SUM(T939*[1]KPI_Weights!$B$4,U939*[1]KPI_Weights!$B$5,V939*[1]KPI_Weights!$B$6,W939*[1]KPI_Weights!$B$7,X939*[1]KPI_Weights!$B$8,Y939*[1]KPI_Weights!$B$9,Z939*[1]KPI_Weights!$B$10,AA939*[1]KPI_Weights!$B$11,AB939*[1]KPI_Weights!$B$12,AC939*[1]KPI_Weights!$B$13,AD939*[1]KPI_Weights!$B$14,AE939*[1]KPI_Weights!$B$15,AF939*[1]KPI_Weights!$B$16,AG939*[1]KPI_Weights!$B$17,AH939*[1]KPI_Weights!$B$18))/5)</f>
        <v/>
      </c>
      <c r="AL939" s="29" t="str">
        <f>IF(COUNTA(T939:AH939)=0,"",IF(OR(T939&lt;=1,W939&lt;=1,X939&lt;=1,Y939&lt;=1,AB939&lt;=1),"YES","NO"))</f>
        <v/>
      </c>
      <c r="AM939" s="29" t="str">
        <f>IF(AJ939="","",IF(AND(AL939="NO",AJ939&gt;=0.75),"YES","NO"))</f>
        <v/>
      </c>
      <c r="AN939" s="29" t="str">
        <f>IF(AJ939="","",IF(AJ939&lt;0.4,"Critical",IF(AJ939&lt;0.6,"Poor",IF(AJ939&lt;0.75,"Needs Improvement",IF(AJ939&lt;0.9,"Good","Excellent")))))</f>
        <v/>
      </c>
    </row>
    <row r="940" spans="1:40" ht="15" customHeight="1" x14ac:dyDescent="0.25">
      <c r="A940" s="29" t="str">
        <f>IF($B940="","",TEXT($B940,"yyyymmdd")&amp;"-"&amp;SUBSTITUTE($F940," ","")&amp;"-"&amp;TEXT(COUNTIF($F$4:F940,$F940),"00"))</f>
        <v/>
      </c>
      <c r="C940" s="29" t="str">
        <f>IF($B940="","",WEEKNUM($B940,2))</f>
        <v/>
      </c>
      <c r="D940" s="29" t="str">
        <f>IF($B940="","",TEXT($B940,"yyyy-mm"))</f>
        <v/>
      </c>
      <c r="G940" s="29" t="str">
        <f>IF(OR($E940="",$F940=""),"",IFERROR(IF($E940=INDEX([1]Cluster_Master!$A$4:$A$18,MATCH($F940,[1]Cluster_Master!$B$4:$B$18,0)),"OK","CHECK"),"CHECK"))</f>
        <v/>
      </c>
      <c r="H940" s="29" t="str">
        <f>IFERROR(INDEX([1]Cluster_Master!$C$4:$C$18,MATCH($F940,[1]Cluster_Master!$B$4:$B$18,0)),"")</f>
        <v/>
      </c>
      <c r="I940" s="29" t="str">
        <f>IFERROR(INDEX([1]Cluster_Master!$D$4:$D$18,MATCH($F940,[1]Cluster_Master!$B$4:$B$18,0)),"")</f>
        <v/>
      </c>
      <c r="J940" s="29" t="str">
        <f>IFERROR(INDEX([1]Cluster_Master!$E$4:$E$18,MATCH($F940,[1]Cluster_Master!$B$4:$B$18,0)),"")</f>
        <v/>
      </c>
      <c r="K940" s="29" t="str">
        <f>IFERROR(INDEX([1]Cluster_Master!$F$4:$F$18,MATCH($F940,[1]Cluster_Master!$B$4:$B$18,0)),"")</f>
        <v/>
      </c>
      <c r="L940" s="29" t="str">
        <f>IFERROR(INDEX([1]Cluster_Master!$G$4:$G$18,MATCH($F940,[1]Cluster_Master!$B$4:$B$18,0)),"")</f>
        <v/>
      </c>
      <c r="M940" s="29" t="str">
        <f>IFERROR(INDEX([1]Cluster_Master!$H$4:$H$18,MATCH($F940,[1]Cluster_Master!$B$4:$B$18,0)),"")</f>
        <v/>
      </c>
      <c r="AI940" s="29" t="str">
        <f>IF(COUNTA(T940:AH940)=0,"",SUM(T940:AH940))</f>
        <v/>
      </c>
      <c r="AJ940" s="29" t="str">
        <f>IF(COUNTA(T940:AH940)=0,"",AI940/75)</f>
        <v/>
      </c>
      <c r="AK940" s="29" t="str">
        <f>IF(COUNTA(T940:AH940)=0,"",(SUM(T940*[1]KPI_Weights!$B$4,U940*[1]KPI_Weights!$B$5,V940*[1]KPI_Weights!$B$6,W940*[1]KPI_Weights!$B$7,X940*[1]KPI_Weights!$B$8,Y940*[1]KPI_Weights!$B$9,Z940*[1]KPI_Weights!$B$10,AA940*[1]KPI_Weights!$B$11,AB940*[1]KPI_Weights!$B$12,AC940*[1]KPI_Weights!$B$13,AD940*[1]KPI_Weights!$B$14,AE940*[1]KPI_Weights!$B$15,AF940*[1]KPI_Weights!$B$16,AG940*[1]KPI_Weights!$B$17,AH940*[1]KPI_Weights!$B$18))/5)</f>
        <v/>
      </c>
      <c r="AL940" s="29" t="str">
        <f>IF(COUNTA(T940:AH940)=0,"",IF(OR(T940&lt;=1,W940&lt;=1,X940&lt;=1,Y940&lt;=1,AB940&lt;=1),"YES","NO"))</f>
        <v/>
      </c>
      <c r="AM940" s="29" t="str">
        <f>IF(AJ940="","",IF(AND(AL940="NO",AJ940&gt;=0.75),"YES","NO"))</f>
        <v/>
      </c>
      <c r="AN940" s="29" t="str">
        <f>IF(AJ940="","",IF(AJ940&lt;0.4,"Critical",IF(AJ940&lt;0.6,"Poor",IF(AJ940&lt;0.75,"Needs Improvement",IF(AJ940&lt;0.9,"Good","Excellent")))))</f>
        <v/>
      </c>
    </row>
    <row r="941" spans="1:40" ht="15" customHeight="1" x14ac:dyDescent="0.25">
      <c r="A941" s="29" t="str">
        <f>IF($B941="","",TEXT($B941,"yyyymmdd")&amp;"-"&amp;SUBSTITUTE($F941," ","")&amp;"-"&amp;TEXT(COUNTIF($F$4:F941,$F941),"00"))</f>
        <v/>
      </c>
      <c r="C941" s="29" t="str">
        <f>IF($B941="","",WEEKNUM($B941,2))</f>
        <v/>
      </c>
      <c r="D941" s="29" t="str">
        <f>IF($B941="","",TEXT($B941,"yyyy-mm"))</f>
        <v/>
      </c>
      <c r="G941" s="29" t="str">
        <f>IF(OR($E941="",$F941=""),"",IFERROR(IF($E941=INDEX([1]Cluster_Master!$A$4:$A$18,MATCH($F941,[1]Cluster_Master!$B$4:$B$18,0)),"OK","CHECK"),"CHECK"))</f>
        <v/>
      </c>
      <c r="H941" s="29" t="str">
        <f>IFERROR(INDEX([1]Cluster_Master!$C$4:$C$18,MATCH($F941,[1]Cluster_Master!$B$4:$B$18,0)),"")</f>
        <v/>
      </c>
      <c r="I941" s="29" t="str">
        <f>IFERROR(INDEX([1]Cluster_Master!$D$4:$D$18,MATCH($F941,[1]Cluster_Master!$B$4:$B$18,0)),"")</f>
        <v/>
      </c>
      <c r="J941" s="29" t="str">
        <f>IFERROR(INDEX([1]Cluster_Master!$E$4:$E$18,MATCH($F941,[1]Cluster_Master!$B$4:$B$18,0)),"")</f>
        <v/>
      </c>
      <c r="K941" s="29" t="str">
        <f>IFERROR(INDEX([1]Cluster_Master!$F$4:$F$18,MATCH($F941,[1]Cluster_Master!$B$4:$B$18,0)),"")</f>
        <v/>
      </c>
      <c r="L941" s="29" t="str">
        <f>IFERROR(INDEX([1]Cluster_Master!$G$4:$G$18,MATCH($F941,[1]Cluster_Master!$B$4:$B$18,0)),"")</f>
        <v/>
      </c>
      <c r="M941" s="29" t="str">
        <f>IFERROR(INDEX([1]Cluster_Master!$H$4:$H$18,MATCH($F941,[1]Cluster_Master!$B$4:$B$18,0)),"")</f>
        <v/>
      </c>
      <c r="AI941" s="29" t="str">
        <f>IF(COUNTA(T941:AH941)=0,"",SUM(T941:AH941))</f>
        <v/>
      </c>
      <c r="AJ941" s="29" t="str">
        <f>IF(COUNTA(T941:AH941)=0,"",AI941/75)</f>
        <v/>
      </c>
      <c r="AK941" s="29" t="str">
        <f>IF(COUNTA(T941:AH941)=0,"",(SUM(T941*[1]KPI_Weights!$B$4,U941*[1]KPI_Weights!$B$5,V941*[1]KPI_Weights!$B$6,W941*[1]KPI_Weights!$B$7,X941*[1]KPI_Weights!$B$8,Y941*[1]KPI_Weights!$B$9,Z941*[1]KPI_Weights!$B$10,AA941*[1]KPI_Weights!$B$11,AB941*[1]KPI_Weights!$B$12,AC941*[1]KPI_Weights!$B$13,AD941*[1]KPI_Weights!$B$14,AE941*[1]KPI_Weights!$B$15,AF941*[1]KPI_Weights!$B$16,AG941*[1]KPI_Weights!$B$17,AH941*[1]KPI_Weights!$B$18))/5)</f>
        <v/>
      </c>
      <c r="AL941" s="29" t="str">
        <f>IF(COUNTA(T941:AH941)=0,"",IF(OR(T941&lt;=1,W941&lt;=1,X941&lt;=1,Y941&lt;=1,AB941&lt;=1),"YES","NO"))</f>
        <v/>
      </c>
      <c r="AM941" s="29" t="str">
        <f>IF(AJ941="","",IF(AND(AL941="NO",AJ941&gt;=0.75),"YES","NO"))</f>
        <v/>
      </c>
      <c r="AN941" s="29" t="str">
        <f>IF(AJ941="","",IF(AJ941&lt;0.4,"Critical",IF(AJ941&lt;0.6,"Poor",IF(AJ941&lt;0.75,"Needs Improvement",IF(AJ941&lt;0.9,"Good","Excellent")))))</f>
        <v/>
      </c>
    </row>
    <row r="942" spans="1:40" ht="15" customHeight="1" x14ac:dyDescent="0.25">
      <c r="A942" s="29" t="str">
        <f>IF($B942="","",TEXT($B942,"yyyymmdd")&amp;"-"&amp;SUBSTITUTE($F942," ","")&amp;"-"&amp;TEXT(COUNTIF($F$4:F942,$F942),"00"))</f>
        <v/>
      </c>
      <c r="C942" s="29" t="str">
        <f>IF($B942="","",WEEKNUM($B942,2))</f>
        <v/>
      </c>
      <c r="D942" s="29" t="str">
        <f>IF($B942="","",TEXT($B942,"yyyy-mm"))</f>
        <v/>
      </c>
      <c r="G942" s="29" t="str">
        <f>IF(OR($E942="",$F942=""),"",IFERROR(IF($E942=INDEX([1]Cluster_Master!$A$4:$A$18,MATCH($F942,[1]Cluster_Master!$B$4:$B$18,0)),"OK","CHECK"),"CHECK"))</f>
        <v/>
      </c>
      <c r="H942" s="29" t="str">
        <f>IFERROR(INDEX([1]Cluster_Master!$C$4:$C$18,MATCH($F942,[1]Cluster_Master!$B$4:$B$18,0)),"")</f>
        <v/>
      </c>
      <c r="I942" s="29" t="str">
        <f>IFERROR(INDEX([1]Cluster_Master!$D$4:$D$18,MATCH($F942,[1]Cluster_Master!$B$4:$B$18,0)),"")</f>
        <v/>
      </c>
      <c r="J942" s="29" t="str">
        <f>IFERROR(INDEX([1]Cluster_Master!$E$4:$E$18,MATCH($F942,[1]Cluster_Master!$B$4:$B$18,0)),"")</f>
        <v/>
      </c>
      <c r="K942" s="29" t="str">
        <f>IFERROR(INDEX([1]Cluster_Master!$F$4:$F$18,MATCH($F942,[1]Cluster_Master!$B$4:$B$18,0)),"")</f>
        <v/>
      </c>
      <c r="L942" s="29" t="str">
        <f>IFERROR(INDEX([1]Cluster_Master!$G$4:$G$18,MATCH($F942,[1]Cluster_Master!$B$4:$B$18,0)),"")</f>
        <v/>
      </c>
      <c r="M942" s="29" t="str">
        <f>IFERROR(INDEX([1]Cluster_Master!$H$4:$H$18,MATCH($F942,[1]Cluster_Master!$B$4:$B$18,0)),"")</f>
        <v/>
      </c>
      <c r="AI942" s="29" t="str">
        <f>IF(COUNTA(T942:AH942)=0,"",SUM(T942:AH942))</f>
        <v/>
      </c>
      <c r="AJ942" s="29" t="str">
        <f>IF(COUNTA(T942:AH942)=0,"",AI942/75)</f>
        <v/>
      </c>
      <c r="AK942" s="29" t="str">
        <f>IF(COUNTA(T942:AH942)=0,"",(SUM(T942*[1]KPI_Weights!$B$4,U942*[1]KPI_Weights!$B$5,V942*[1]KPI_Weights!$B$6,W942*[1]KPI_Weights!$B$7,X942*[1]KPI_Weights!$B$8,Y942*[1]KPI_Weights!$B$9,Z942*[1]KPI_Weights!$B$10,AA942*[1]KPI_Weights!$B$11,AB942*[1]KPI_Weights!$B$12,AC942*[1]KPI_Weights!$B$13,AD942*[1]KPI_Weights!$B$14,AE942*[1]KPI_Weights!$B$15,AF942*[1]KPI_Weights!$B$16,AG942*[1]KPI_Weights!$B$17,AH942*[1]KPI_Weights!$B$18))/5)</f>
        <v/>
      </c>
      <c r="AL942" s="29" t="str">
        <f>IF(COUNTA(T942:AH942)=0,"",IF(OR(T942&lt;=1,W942&lt;=1,X942&lt;=1,Y942&lt;=1,AB942&lt;=1),"YES","NO"))</f>
        <v/>
      </c>
      <c r="AM942" s="29" t="str">
        <f>IF(AJ942="","",IF(AND(AL942="NO",AJ942&gt;=0.75),"YES","NO"))</f>
        <v/>
      </c>
      <c r="AN942" s="29" t="str">
        <f>IF(AJ942="","",IF(AJ942&lt;0.4,"Critical",IF(AJ942&lt;0.6,"Poor",IF(AJ942&lt;0.75,"Needs Improvement",IF(AJ942&lt;0.9,"Good","Excellent")))))</f>
        <v/>
      </c>
    </row>
    <row r="943" spans="1:40" ht="15" customHeight="1" x14ac:dyDescent="0.25">
      <c r="A943" s="29" t="str">
        <f>IF($B943="","",TEXT($B943,"yyyymmdd")&amp;"-"&amp;SUBSTITUTE($F943," ","")&amp;"-"&amp;TEXT(COUNTIF($F$4:F943,$F943),"00"))</f>
        <v/>
      </c>
      <c r="C943" s="29" t="str">
        <f>IF($B943="","",WEEKNUM($B943,2))</f>
        <v/>
      </c>
      <c r="D943" s="29" t="str">
        <f>IF($B943="","",TEXT($B943,"yyyy-mm"))</f>
        <v/>
      </c>
      <c r="G943" s="29" t="str">
        <f>IF(OR($E943="",$F943=""),"",IFERROR(IF($E943=INDEX([1]Cluster_Master!$A$4:$A$18,MATCH($F943,[1]Cluster_Master!$B$4:$B$18,0)),"OK","CHECK"),"CHECK"))</f>
        <v/>
      </c>
      <c r="H943" s="29" t="str">
        <f>IFERROR(INDEX([1]Cluster_Master!$C$4:$C$18,MATCH($F943,[1]Cluster_Master!$B$4:$B$18,0)),"")</f>
        <v/>
      </c>
      <c r="I943" s="29" t="str">
        <f>IFERROR(INDEX([1]Cluster_Master!$D$4:$D$18,MATCH($F943,[1]Cluster_Master!$B$4:$B$18,0)),"")</f>
        <v/>
      </c>
      <c r="J943" s="29" t="str">
        <f>IFERROR(INDEX([1]Cluster_Master!$E$4:$E$18,MATCH($F943,[1]Cluster_Master!$B$4:$B$18,0)),"")</f>
        <v/>
      </c>
      <c r="K943" s="29" t="str">
        <f>IFERROR(INDEX([1]Cluster_Master!$F$4:$F$18,MATCH($F943,[1]Cluster_Master!$B$4:$B$18,0)),"")</f>
        <v/>
      </c>
      <c r="L943" s="29" t="str">
        <f>IFERROR(INDEX([1]Cluster_Master!$G$4:$G$18,MATCH($F943,[1]Cluster_Master!$B$4:$B$18,0)),"")</f>
        <v/>
      </c>
      <c r="M943" s="29" t="str">
        <f>IFERROR(INDEX([1]Cluster_Master!$H$4:$H$18,MATCH($F943,[1]Cluster_Master!$B$4:$B$18,0)),"")</f>
        <v/>
      </c>
      <c r="AI943" s="29" t="str">
        <f>IF(COUNTA(T943:AH943)=0,"",SUM(T943:AH943))</f>
        <v/>
      </c>
      <c r="AJ943" s="29" t="str">
        <f>IF(COUNTA(T943:AH943)=0,"",AI943/75)</f>
        <v/>
      </c>
      <c r="AK943" s="29" t="str">
        <f>IF(COUNTA(T943:AH943)=0,"",(SUM(T943*[1]KPI_Weights!$B$4,U943*[1]KPI_Weights!$B$5,V943*[1]KPI_Weights!$B$6,W943*[1]KPI_Weights!$B$7,X943*[1]KPI_Weights!$B$8,Y943*[1]KPI_Weights!$B$9,Z943*[1]KPI_Weights!$B$10,AA943*[1]KPI_Weights!$B$11,AB943*[1]KPI_Weights!$B$12,AC943*[1]KPI_Weights!$B$13,AD943*[1]KPI_Weights!$B$14,AE943*[1]KPI_Weights!$B$15,AF943*[1]KPI_Weights!$B$16,AG943*[1]KPI_Weights!$B$17,AH943*[1]KPI_Weights!$B$18))/5)</f>
        <v/>
      </c>
      <c r="AL943" s="29" t="str">
        <f>IF(COUNTA(T943:AH943)=0,"",IF(OR(T943&lt;=1,W943&lt;=1,X943&lt;=1,Y943&lt;=1,AB943&lt;=1),"YES","NO"))</f>
        <v/>
      </c>
      <c r="AM943" s="29" t="str">
        <f>IF(AJ943="","",IF(AND(AL943="NO",AJ943&gt;=0.75),"YES","NO"))</f>
        <v/>
      </c>
      <c r="AN943" s="29" t="str">
        <f>IF(AJ943="","",IF(AJ943&lt;0.4,"Critical",IF(AJ943&lt;0.6,"Poor",IF(AJ943&lt;0.75,"Needs Improvement",IF(AJ943&lt;0.9,"Good","Excellent")))))</f>
        <v/>
      </c>
    </row>
    <row r="944" spans="1:40" ht="15" customHeight="1" x14ac:dyDescent="0.25">
      <c r="A944" s="29" t="str">
        <f>IF($B944="","",TEXT($B944,"yyyymmdd")&amp;"-"&amp;SUBSTITUTE($F944," ","")&amp;"-"&amp;TEXT(COUNTIF($F$4:F944,$F944),"00"))</f>
        <v/>
      </c>
      <c r="C944" s="29" t="str">
        <f>IF($B944="","",WEEKNUM($B944,2))</f>
        <v/>
      </c>
      <c r="D944" s="29" t="str">
        <f>IF($B944="","",TEXT($B944,"yyyy-mm"))</f>
        <v/>
      </c>
      <c r="G944" s="29" t="str">
        <f>IF(OR($E944="",$F944=""),"",IFERROR(IF($E944=INDEX([1]Cluster_Master!$A$4:$A$18,MATCH($F944,[1]Cluster_Master!$B$4:$B$18,0)),"OK","CHECK"),"CHECK"))</f>
        <v/>
      </c>
      <c r="H944" s="29" t="str">
        <f>IFERROR(INDEX([1]Cluster_Master!$C$4:$C$18,MATCH($F944,[1]Cluster_Master!$B$4:$B$18,0)),"")</f>
        <v/>
      </c>
      <c r="I944" s="29" t="str">
        <f>IFERROR(INDEX([1]Cluster_Master!$D$4:$D$18,MATCH($F944,[1]Cluster_Master!$B$4:$B$18,0)),"")</f>
        <v/>
      </c>
      <c r="J944" s="29" t="str">
        <f>IFERROR(INDEX([1]Cluster_Master!$E$4:$E$18,MATCH($F944,[1]Cluster_Master!$B$4:$B$18,0)),"")</f>
        <v/>
      </c>
      <c r="K944" s="29" t="str">
        <f>IFERROR(INDEX([1]Cluster_Master!$F$4:$F$18,MATCH($F944,[1]Cluster_Master!$B$4:$B$18,0)),"")</f>
        <v/>
      </c>
      <c r="L944" s="29" t="str">
        <f>IFERROR(INDEX([1]Cluster_Master!$G$4:$G$18,MATCH($F944,[1]Cluster_Master!$B$4:$B$18,0)),"")</f>
        <v/>
      </c>
      <c r="M944" s="29" t="str">
        <f>IFERROR(INDEX([1]Cluster_Master!$H$4:$H$18,MATCH($F944,[1]Cluster_Master!$B$4:$B$18,0)),"")</f>
        <v/>
      </c>
      <c r="AI944" s="29" t="str">
        <f>IF(COUNTA(T944:AH944)=0,"",SUM(T944:AH944))</f>
        <v/>
      </c>
      <c r="AJ944" s="29" t="str">
        <f>IF(COUNTA(T944:AH944)=0,"",AI944/75)</f>
        <v/>
      </c>
      <c r="AK944" s="29" t="str">
        <f>IF(COUNTA(T944:AH944)=0,"",(SUM(T944*[1]KPI_Weights!$B$4,U944*[1]KPI_Weights!$B$5,V944*[1]KPI_Weights!$B$6,W944*[1]KPI_Weights!$B$7,X944*[1]KPI_Weights!$B$8,Y944*[1]KPI_Weights!$B$9,Z944*[1]KPI_Weights!$B$10,AA944*[1]KPI_Weights!$B$11,AB944*[1]KPI_Weights!$B$12,AC944*[1]KPI_Weights!$B$13,AD944*[1]KPI_Weights!$B$14,AE944*[1]KPI_Weights!$B$15,AF944*[1]KPI_Weights!$B$16,AG944*[1]KPI_Weights!$B$17,AH944*[1]KPI_Weights!$B$18))/5)</f>
        <v/>
      </c>
      <c r="AL944" s="29" t="str">
        <f>IF(COUNTA(T944:AH944)=0,"",IF(OR(T944&lt;=1,W944&lt;=1,X944&lt;=1,Y944&lt;=1,AB944&lt;=1),"YES","NO"))</f>
        <v/>
      </c>
      <c r="AM944" s="29" t="str">
        <f>IF(AJ944="","",IF(AND(AL944="NO",AJ944&gt;=0.75),"YES","NO"))</f>
        <v/>
      </c>
      <c r="AN944" s="29" t="str">
        <f>IF(AJ944="","",IF(AJ944&lt;0.4,"Critical",IF(AJ944&lt;0.6,"Poor",IF(AJ944&lt;0.75,"Needs Improvement",IF(AJ944&lt;0.9,"Good","Excellent")))))</f>
        <v/>
      </c>
    </row>
    <row r="945" spans="1:40" ht="15" customHeight="1" x14ac:dyDescent="0.25">
      <c r="A945" s="29" t="str">
        <f>IF($B945="","",TEXT($B945,"yyyymmdd")&amp;"-"&amp;SUBSTITUTE($F945," ","")&amp;"-"&amp;TEXT(COUNTIF($F$4:F945,$F945),"00"))</f>
        <v/>
      </c>
      <c r="C945" s="29" t="str">
        <f>IF($B945="","",WEEKNUM($B945,2))</f>
        <v/>
      </c>
      <c r="D945" s="29" t="str">
        <f>IF($B945="","",TEXT($B945,"yyyy-mm"))</f>
        <v/>
      </c>
      <c r="G945" s="29" t="str">
        <f>IF(OR($E945="",$F945=""),"",IFERROR(IF($E945=INDEX([1]Cluster_Master!$A$4:$A$18,MATCH($F945,[1]Cluster_Master!$B$4:$B$18,0)),"OK","CHECK"),"CHECK"))</f>
        <v/>
      </c>
      <c r="H945" s="29" t="str">
        <f>IFERROR(INDEX([1]Cluster_Master!$C$4:$C$18,MATCH($F945,[1]Cluster_Master!$B$4:$B$18,0)),"")</f>
        <v/>
      </c>
      <c r="I945" s="29" t="str">
        <f>IFERROR(INDEX([1]Cluster_Master!$D$4:$D$18,MATCH($F945,[1]Cluster_Master!$B$4:$B$18,0)),"")</f>
        <v/>
      </c>
      <c r="J945" s="29" t="str">
        <f>IFERROR(INDEX([1]Cluster_Master!$E$4:$E$18,MATCH($F945,[1]Cluster_Master!$B$4:$B$18,0)),"")</f>
        <v/>
      </c>
      <c r="K945" s="29" t="str">
        <f>IFERROR(INDEX([1]Cluster_Master!$F$4:$F$18,MATCH($F945,[1]Cluster_Master!$B$4:$B$18,0)),"")</f>
        <v/>
      </c>
      <c r="L945" s="29" t="str">
        <f>IFERROR(INDEX([1]Cluster_Master!$G$4:$G$18,MATCH($F945,[1]Cluster_Master!$B$4:$B$18,0)),"")</f>
        <v/>
      </c>
      <c r="M945" s="29" t="str">
        <f>IFERROR(INDEX([1]Cluster_Master!$H$4:$H$18,MATCH($F945,[1]Cluster_Master!$B$4:$B$18,0)),"")</f>
        <v/>
      </c>
      <c r="AI945" s="29" t="str">
        <f>IF(COUNTA(T945:AH945)=0,"",SUM(T945:AH945))</f>
        <v/>
      </c>
      <c r="AJ945" s="29" t="str">
        <f>IF(COUNTA(T945:AH945)=0,"",AI945/75)</f>
        <v/>
      </c>
      <c r="AK945" s="29" t="str">
        <f>IF(COUNTA(T945:AH945)=0,"",(SUM(T945*[1]KPI_Weights!$B$4,U945*[1]KPI_Weights!$B$5,V945*[1]KPI_Weights!$B$6,W945*[1]KPI_Weights!$B$7,X945*[1]KPI_Weights!$B$8,Y945*[1]KPI_Weights!$B$9,Z945*[1]KPI_Weights!$B$10,AA945*[1]KPI_Weights!$B$11,AB945*[1]KPI_Weights!$B$12,AC945*[1]KPI_Weights!$B$13,AD945*[1]KPI_Weights!$B$14,AE945*[1]KPI_Weights!$B$15,AF945*[1]KPI_Weights!$B$16,AG945*[1]KPI_Weights!$B$17,AH945*[1]KPI_Weights!$B$18))/5)</f>
        <v/>
      </c>
      <c r="AL945" s="29" t="str">
        <f>IF(COUNTA(T945:AH945)=0,"",IF(OR(T945&lt;=1,W945&lt;=1,X945&lt;=1,Y945&lt;=1,AB945&lt;=1),"YES","NO"))</f>
        <v/>
      </c>
      <c r="AM945" s="29" t="str">
        <f>IF(AJ945="","",IF(AND(AL945="NO",AJ945&gt;=0.75),"YES","NO"))</f>
        <v/>
      </c>
      <c r="AN945" s="29" t="str">
        <f>IF(AJ945="","",IF(AJ945&lt;0.4,"Critical",IF(AJ945&lt;0.6,"Poor",IF(AJ945&lt;0.75,"Needs Improvement",IF(AJ945&lt;0.9,"Good","Excellent")))))</f>
        <v/>
      </c>
    </row>
    <row r="946" spans="1:40" ht="15" customHeight="1" x14ac:dyDescent="0.25">
      <c r="A946" s="29" t="str">
        <f>IF($B946="","",TEXT($B946,"yyyymmdd")&amp;"-"&amp;SUBSTITUTE($F946," ","")&amp;"-"&amp;TEXT(COUNTIF($F$4:F946,$F946),"00"))</f>
        <v/>
      </c>
      <c r="C946" s="29" t="str">
        <f>IF($B946="","",WEEKNUM($B946,2))</f>
        <v/>
      </c>
      <c r="D946" s="29" t="str">
        <f>IF($B946="","",TEXT($B946,"yyyy-mm"))</f>
        <v/>
      </c>
      <c r="G946" s="29" t="str">
        <f>IF(OR($E946="",$F946=""),"",IFERROR(IF($E946=INDEX([1]Cluster_Master!$A$4:$A$18,MATCH($F946,[1]Cluster_Master!$B$4:$B$18,0)),"OK","CHECK"),"CHECK"))</f>
        <v/>
      </c>
      <c r="H946" s="29" t="str">
        <f>IFERROR(INDEX([1]Cluster_Master!$C$4:$C$18,MATCH($F946,[1]Cluster_Master!$B$4:$B$18,0)),"")</f>
        <v/>
      </c>
      <c r="I946" s="29" t="str">
        <f>IFERROR(INDEX([1]Cluster_Master!$D$4:$D$18,MATCH($F946,[1]Cluster_Master!$B$4:$B$18,0)),"")</f>
        <v/>
      </c>
      <c r="J946" s="29" t="str">
        <f>IFERROR(INDEX([1]Cluster_Master!$E$4:$E$18,MATCH($F946,[1]Cluster_Master!$B$4:$B$18,0)),"")</f>
        <v/>
      </c>
      <c r="K946" s="29" t="str">
        <f>IFERROR(INDEX([1]Cluster_Master!$F$4:$F$18,MATCH($F946,[1]Cluster_Master!$B$4:$B$18,0)),"")</f>
        <v/>
      </c>
      <c r="L946" s="29" t="str">
        <f>IFERROR(INDEX([1]Cluster_Master!$G$4:$G$18,MATCH($F946,[1]Cluster_Master!$B$4:$B$18,0)),"")</f>
        <v/>
      </c>
      <c r="M946" s="29" t="str">
        <f>IFERROR(INDEX([1]Cluster_Master!$H$4:$H$18,MATCH($F946,[1]Cluster_Master!$B$4:$B$18,0)),"")</f>
        <v/>
      </c>
      <c r="AI946" s="29" t="str">
        <f>IF(COUNTA(T946:AH946)=0,"",SUM(T946:AH946))</f>
        <v/>
      </c>
      <c r="AJ946" s="29" t="str">
        <f>IF(COUNTA(T946:AH946)=0,"",AI946/75)</f>
        <v/>
      </c>
      <c r="AK946" s="29" t="str">
        <f>IF(COUNTA(T946:AH946)=0,"",(SUM(T946*[1]KPI_Weights!$B$4,U946*[1]KPI_Weights!$B$5,V946*[1]KPI_Weights!$B$6,W946*[1]KPI_Weights!$B$7,X946*[1]KPI_Weights!$B$8,Y946*[1]KPI_Weights!$B$9,Z946*[1]KPI_Weights!$B$10,AA946*[1]KPI_Weights!$B$11,AB946*[1]KPI_Weights!$B$12,AC946*[1]KPI_Weights!$B$13,AD946*[1]KPI_Weights!$B$14,AE946*[1]KPI_Weights!$B$15,AF946*[1]KPI_Weights!$B$16,AG946*[1]KPI_Weights!$B$17,AH946*[1]KPI_Weights!$B$18))/5)</f>
        <v/>
      </c>
      <c r="AL946" s="29" t="str">
        <f>IF(COUNTA(T946:AH946)=0,"",IF(OR(T946&lt;=1,W946&lt;=1,X946&lt;=1,Y946&lt;=1,AB946&lt;=1),"YES","NO"))</f>
        <v/>
      </c>
      <c r="AM946" s="29" t="str">
        <f>IF(AJ946="","",IF(AND(AL946="NO",AJ946&gt;=0.75),"YES","NO"))</f>
        <v/>
      </c>
      <c r="AN946" s="29" t="str">
        <f>IF(AJ946="","",IF(AJ946&lt;0.4,"Critical",IF(AJ946&lt;0.6,"Poor",IF(AJ946&lt;0.75,"Needs Improvement",IF(AJ946&lt;0.9,"Good","Excellent")))))</f>
        <v/>
      </c>
    </row>
    <row r="947" spans="1:40" ht="15" customHeight="1" x14ac:dyDescent="0.25">
      <c r="A947" s="29" t="str">
        <f>IF($B947="","",TEXT($B947,"yyyymmdd")&amp;"-"&amp;SUBSTITUTE($F947," ","")&amp;"-"&amp;TEXT(COUNTIF($F$4:F947,$F947),"00"))</f>
        <v/>
      </c>
      <c r="C947" s="29" t="str">
        <f>IF($B947="","",WEEKNUM($B947,2))</f>
        <v/>
      </c>
      <c r="D947" s="29" t="str">
        <f>IF($B947="","",TEXT($B947,"yyyy-mm"))</f>
        <v/>
      </c>
      <c r="G947" s="29" t="str">
        <f>IF(OR($E947="",$F947=""),"",IFERROR(IF($E947=INDEX([1]Cluster_Master!$A$4:$A$18,MATCH($F947,[1]Cluster_Master!$B$4:$B$18,0)),"OK","CHECK"),"CHECK"))</f>
        <v/>
      </c>
      <c r="H947" s="29" t="str">
        <f>IFERROR(INDEX([1]Cluster_Master!$C$4:$C$18,MATCH($F947,[1]Cluster_Master!$B$4:$B$18,0)),"")</f>
        <v/>
      </c>
      <c r="I947" s="29" t="str">
        <f>IFERROR(INDEX([1]Cluster_Master!$D$4:$D$18,MATCH($F947,[1]Cluster_Master!$B$4:$B$18,0)),"")</f>
        <v/>
      </c>
      <c r="J947" s="29" t="str">
        <f>IFERROR(INDEX([1]Cluster_Master!$E$4:$E$18,MATCH($F947,[1]Cluster_Master!$B$4:$B$18,0)),"")</f>
        <v/>
      </c>
      <c r="K947" s="29" t="str">
        <f>IFERROR(INDEX([1]Cluster_Master!$F$4:$F$18,MATCH($F947,[1]Cluster_Master!$B$4:$B$18,0)),"")</f>
        <v/>
      </c>
      <c r="L947" s="29" t="str">
        <f>IFERROR(INDEX([1]Cluster_Master!$G$4:$G$18,MATCH($F947,[1]Cluster_Master!$B$4:$B$18,0)),"")</f>
        <v/>
      </c>
      <c r="M947" s="29" t="str">
        <f>IFERROR(INDEX([1]Cluster_Master!$H$4:$H$18,MATCH($F947,[1]Cluster_Master!$B$4:$B$18,0)),"")</f>
        <v/>
      </c>
      <c r="AI947" s="29" t="str">
        <f>IF(COUNTA(T947:AH947)=0,"",SUM(T947:AH947))</f>
        <v/>
      </c>
      <c r="AJ947" s="29" t="str">
        <f>IF(COUNTA(T947:AH947)=0,"",AI947/75)</f>
        <v/>
      </c>
      <c r="AK947" s="29" t="str">
        <f>IF(COUNTA(T947:AH947)=0,"",(SUM(T947*[1]KPI_Weights!$B$4,U947*[1]KPI_Weights!$B$5,V947*[1]KPI_Weights!$B$6,W947*[1]KPI_Weights!$B$7,X947*[1]KPI_Weights!$B$8,Y947*[1]KPI_Weights!$B$9,Z947*[1]KPI_Weights!$B$10,AA947*[1]KPI_Weights!$B$11,AB947*[1]KPI_Weights!$B$12,AC947*[1]KPI_Weights!$B$13,AD947*[1]KPI_Weights!$B$14,AE947*[1]KPI_Weights!$B$15,AF947*[1]KPI_Weights!$B$16,AG947*[1]KPI_Weights!$B$17,AH947*[1]KPI_Weights!$B$18))/5)</f>
        <v/>
      </c>
      <c r="AL947" s="29" t="str">
        <f>IF(COUNTA(T947:AH947)=0,"",IF(OR(T947&lt;=1,W947&lt;=1,X947&lt;=1,Y947&lt;=1,AB947&lt;=1),"YES","NO"))</f>
        <v/>
      </c>
      <c r="AM947" s="29" t="str">
        <f>IF(AJ947="","",IF(AND(AL947="NO",AJ947&gt;=0.75),"YES","NO"))</f>
        <v/>
      </c>
      <c r="AN947" s="29" t="str">
        <f>IF(AJ947="","",IF(AJ947&lt;0.4,"Critical",IF(AJ947&lt;0.6,"Poor",IF(AJ947&lt;0.75,"Needs Improvement",IF(AJ947&lt;0.9,"Good","Excellent")))))</f>
        <v/>
      </c>
    </row>
    <row r="948" spans="1:40" ht="15" customHeight="1" x14ac:dyDescent="0.25">
      <c r="A948" s="29" t="str">
        <f>IF($B948="","",TEXT($B948,"yyyymmdd")&amp;"-"&amp;SUBSTITUTE($F948," ","")&amp;"-"&amp;TEXT(COUNTIF($F$4:F948,$F948),"00"))</f>
        <v/>
      </c>
      <c r="C948" s="29" t="str">
        <f>IF($B948="","",WEEKNUM($B948,2))</f>
        <v/>
      </c>
      <c r="D948" s="29" t="str">
        <f>IF($B948="","",TEXT($B948,"yyyy-mm"))</f>
        <v/>
      </c>
      <c r="G948" s="29" t="str">
        <f>IF(OR($E948="",$F948=""),"",IFERROR(IF($E948=INDEX([1]Cluster_Master!$A$4:$A$18,MATCH($F948,[1]Cluster_Master!$B$4:$B$18,0)),"OK","CHECK"),"CHECK"))</f>
        <v/>
      </c>
      <c r="H948" s="29" t="str">
        <f>IFERROR(INDEX([1]Cluster_Master!$C$4:$C$18,MATCH($F948,[1]Cluster_Master!$B$4:$B$18,0)),"")</f>
        <v/>
      </c>
      <c r="I948" s="29" t="str">
        <f>IFERROR(INDEX([1]Cluster_Master!$D$4:$D$18,MATCH($F948,[1]Cluster_Master!$B$4:$B$18,0)),"")</f>
        <v/>
      </c>
      <c r="J948" s="29" t="str">
        <f>IFERROR(INDEX([1]Cluster_Master!$E$4:$E$18,MATCH($F948,[1]Cluster_Master!$B$4:$B$18,0)),"")</f>
        <v/>
      </c>
      <c r="K948" s="29" t="str">
        <f>IFERROR(INDEX([1]Cluster_Master!$F$4:$F$18,MATCH($F948,[1]Cluster_Master!$B$4:$B$18,0)),"")</f>
        <v/>
      </c>
      <c r="L948" s="29" t="str">
        <f>IFERROR(INDEX([1]Cluster_Master!$G$4:$G$18,MATCH($F948,[1]Cluster_Master!$B$4:$B$18,0)),"")</f>
        <v/>
      </c>
      <c r="M948" s="29" t="str">
        <f>IFERROR(INDEX([1]Cluster_Master!$H$4:$H$18,MATCH($F948,[1]Cluster_Master!$B$4:$B$18,0)),"")</f>
        <v/>
      </c>
      <c r="AI948" s="29" t="str">
        <f>IF(COUNTA(T948:AH948)=0,"",SUM(T948:AH948))</f>
        <v/>
      </c>
      <c r="AJ948" s="29" t="str">
        <f>IF(COUNTA(T948:AH948)=0,"",AI948/75)</f>
        <v/>
      </c>
      <c r="AK948" s="29" t="str">
        <f>IF(COUNTA(T948:AH948)=0,"",(SUM(T948*[1]KPI_Weights!$B$4,U948*[1]KPI_Weights!$B$5,V948*[1]KPI_Weights!$B$6,W948*[1]KPI_Weights!$B$7,X948*[1]KPI_Weights!$B$8,Y948*[1]KPI_Weights!$B$9,Z948*[1]KPI_Weights!$B$10,AA948*[1]KPI_Weights!$B$11,AB948*[1]KPI_Weights!$B$12,AC948*[1]KPI_Weights!$B$13,AD948*[1]KPI_Weights!$B$14,AE948*[1]KPI_Weights!$B$15,AF948*[1]KPI_Weights!$B$16,AG948*[1]KPI_Weights!$B$17,AH948*[1]KPI_Weights!$B$18))/5)</f>
        <v/>
      </c>
      <c r="AL948" s="29" t="str">
        <f>IF(COUNTA(T948:AH948)=0,"",IF(OR(T948&lt;=1,W948&lt;=1,X948&lt;=1,Y948&lt;=1,AB948&lt;=1),"YES","NO"))</f>
        <v/>
      </c>
      <c r="AM948" s="29" t="str">
        <f>IF(AJ948="","",IF(AND(AL948="NO",AJ948&gt;=0.75),"YES","NO"))</f>
        <v/>
      </c>
      <c r="AN948" s="29" t="str">
        <f>IF(AJ948="","",IF(AJ948&lt;0.4,"Critical",IF(AJ948&lt;0.6,"Poor",IF(AJ948&lt;0.75,"Needs Improvement",IF(AJ948&lt;0.9,"Good","Excellent")))))</f>
        <v/>
      </c>
    </row>
    <row r="949" spans="1:40" ht="15" customHeight="1" x14ac:dyDescent="0.25">
      <c r="A949" s="29" t="str">
        <f>IF($B949="","",TEXT($B949,"yyyymmdd")&amp;"-"&amp;SUBSTITUTE($F949," ","")&amp;"-"&amp;TEXT(COUNTIF($F$4:F949,$F949),"00"))</f>
        <v/>
      </c>
      <c r="C949" s="29" t="str">
        <f>IF($B949="","",WEEKNUM($B949,2))</f>
        <v/>
      </c>
      <c r="D949" s="29" t="str">
        <f>IF($B949="","",TEXT($B949,"yyyy-mm"))</f>
        <v/>
      </c>
      <c r="G949" s="29" t="str">
        <f>IF(OR($E949="",$F949=""),"",IFERROR(IF($E949=INDEX([1]Cluster_Master!$A$4:$A$18,MATCH($F949,[1]Cluster_Master!$B$4:$B$18,0)),"OK","CHECK"),"CHECK"))</f>
        <v/>
      </c>
      <c r="H949" s="29" t="str">
        <f>IFERROR(INDEX([1]Cluster_Master!$C$4:$C$18,MATCH($F949,[1]Cluster_Master!$B$4:$B$18,0)),"")</f>
        <v/>
      </c>
      <c r="I949" s="29" t="str">
        <f>IFERROR(INDEX([1]Cluster_Master!$D$4:$D$18,MATCH($F949,[1]Cluster_Master!$B$4:$B$18,0)),"")</f>
        <v/>
      </c>
      <c r="J949" s="29" t="str">
        <f>IFERROR(INDEX([1]Cluster_Master!$E$4:$E$18,MATCH($F949,[1]Cluster_Master!$B$4:$B$18,0)),"")</f>
        <v/>
      </c>
      <c r="K949" s="29" t="str">
        <f>IFERROR(INDEX([1]Cluster_Master!$F$4:$F$18,MATCH($F949,[1]Cluster_Master!$B$4:$B$18,0)),"")</f>
        <v/>
      </c>
      <c r="L949" s="29" t="str">
        <f>IFERROR(INDEX([1]Cluster_Master!$G$4:$G$18,MATCH($F949,[1]Cluster_Master!$B$4:$B$18,0)),"")</f>
        <v/>
      </c>
      <c r="M949" s="29" t="str">
        <f>IFERROR(INDEX([1]Cluster_Master!$H$4:$H$18,MATCH($F949,[1]Cluster_Master!$B$4:$B$18,0)),"")</f>
        <v/>
      </c>
      <c r="AI949" s="29" t="str">
        <f>IF(COUNTA(T949:AH949)=0,"",SUM(T949:AH949))</f>
        <v/>
      </c>
      <c r="AJ949" s="29" t="str">
        <f>IF(COUNTA(T949:AH949)=0,"",AI949/75)</f>
        <v/>
      </c>
      <c r="AK949" s="29" t="str">
        <f>IF(COUNTA(T949:AH949)=0,"",(SUM(T949*[1]KPI_Weights!$B$4,U949*[1]KPI_Weights!$B$5,V949*[1]KPI_Weights!$B$6,W949*[1]KPI_Weights!$B$7,X949*[1]KPI_Weights!$B$8,Y949*[1]KPI_Weights!$B$9,Z949*[1]KPI_Weights!$B$10,AA949*[1]KPI_Weights!$B$11,AB949*[1]KPI_Weights!$B$12,AC949*[1]KPI_Weights!$B$13,AD949*[1]KPI_Weights!$B$14,AE949*[1]KPI_Weights!$B$15,AF949*[1]KPI_Weights!$B$16,AG949*[1]KPI_Weights!$B$17,AH949*[1]KPI_Weights!$B$18))/5)</f>
        <v/>
      </c>
      <c r="AL949" s="29" t="str">
        <f>IF(COUNTA(T949:AH949)=0,"",IF(OR(T949&lt;=1,W949&lt;=1,X949&lt;=1,Y949&lt;=1,AB949&lt;=1),"YES","NO"))</f>
        <v/>
      </c>
      <c r="AM949" s="29" t="str">
        <f>IF(AJ949="","",IF(AND(AL949="NO",AJ949&gt;=0.75),"YES","NO"))</f>
        <v/>
      </c>
      <c r="AN949" s="29" t="str">
        <f>IF(AJ949="","",IF(AJ949&lt;0.4,"Critical",IF(AJ949&lt;0.6,"Poor",IF(AJ949&lt;0.75,"Needs Improvement",IF(AJ949&lt;0.9,"Good","Excellent")))))</f>
        <v/>
      </c>
    </row>
    <row r="950" spans="1:40" ht="15" customHeight="1" x14ac:dyDescent="0.25">
      <c r="A950" s="29" t="str">
        <f>IF($B950="","",TEXT($B950,"yyyymmdd")&amp;"-"&amp;SUBSTITUTE($F950," ","")&amp;"-"&amp;TEXT(COUNTIF($F$4:F950,$F950),"00"))</f>
        <v/>
      </c>
      <c r="C950" s="29" t="str">
        <f>IF($B950="","",WEEKNUM($B950,2))</f>
        <v/>
      </c>
      <c r="D950" s="29" t="str">
        <f>IF($B950="","",TEXT($B950,"yyyy-mm"))</f>
        <v/>
      </c>
      <c r="G950" s="29" t="str">
        <f>IF(OR($E950="",$F950=""),"",IFERROR(IF($E950=INDEX([1]Cluster_Master!$A$4:$A$18,MATCH($F950,[1]Cluster_Master!$B$4:$B$18,0)),"OK","CHECK"),"CHECK"))</f>
        <v/>
      </c>
      <c r="H950" s="29" t="str">
        <f>IFERROR(INDEX([1]Cluster_Master!$C$4:$C$18,MATCH($F950,[1]Cluster_Master!$B$4:$B$18,0)),"")</f>
        <v/>
      </c>
      <c r="I950" s="29" t="str">
        <f>IFERROR(INDEX([1]Cluster_Master!$D$4:$D$18,MATCH($F950,[1]Cluster_Master!$B$4:$B$18,0)),"")</f>
        <v/>
      </c>
      <c r="J950" s="29" t="str">
        <f>IFERROR(INDEX([1]Cluster_Master!$E$4:$E$18,MATCH($F950,[1]Cluster_Master!$B$4:$B$18,0)),"")</f>
        <v/>
      </c>
      <c r="K950" s="29" t="str">
        <f>IFERROR(INDEX([1]Cluster_Master!$F$4:$F$18,MATCH($F950,[1]Cluster_Master!$B$4:$B$18,0)),"")</f>
        <v/>
      </c>
      <c r="L950" s="29" t="str">
        <f>IFERROR(INDEX([1]Cluster_Master!$G$4:$G$18,MATCH($F950,[1]Cluster_Master!$B$4:$B$18,0)),"")</f>
        <v/>
      </c>
      <c r="M950" s="29" t="str">
        <f>IFERROR(INDEX([1]Cluster_Master!$H$4:$H$18,MATCH($F950,[1]Cluster_Master!$B$4:$B$18,0)),"")</f>
        <v/>
      </c>
      <c r="AI950" s="29" t="str">
        <f>IF(COUNTA(T950:AH950)=0,"",SUM(T950:AH950))</f>
        <v/>
      </c>
      <c r="AJ950" s="29" t="str">
        <f>IF(COUNTA(T950:AH950)=0,"",AI950/75)</f>
        <v/>
      </c>
      <c r="AK950" s="29" t="str">
        <f>IF(COUNTA(T950:AH950)=0,"",(SUM(T950*[1]KPI_Weights!$B$4,U950*[1]KPI_Weights!$B$5,V950*[1]KPI_Weights!$B$6,W950*[1]KPI_Weights!$B$7,X950*[1]KPI_Weights!$B$8,Y950*[1]KPI_Weights!$B$9,Z950*[1]KPI_Weights!$B$10,AA950*[1]KPI_Weights!$B$11,AB950*[1]KPI_Weights!$B$12,AC950*[1]KPI_Weights!$B$13,AD950*[1]KPI_Weights!$B$14,AE950*[1]KPI_Weights!$B$15,AF950*[1]KPI_Weights!$B$16,AG950*[1]KPI_Weights!$B$17,AH950*[1]KPI_Weights!$B$18))/5)</f>
        <v/>
      </c>
      <c r="AL950" s="29" t="str">
        <f>IF(COUNTA(T950:AH950)=0,"",IF(OR(T950&lt;=1,W950&lt;=1,X950&lt;=1,Y950&lt;=1,AB950&lt;=1),"YES","NO"))</f>
        <v/>
      </c>
      <c r="AM950" s="29" t="str">
        <f>IF(AJ950="","",IF(AND(AL950="NO",AJ950&gt;=0.75),"YES","NO"))</f>
        <v/>
      </c>
      <c r="AN950" s="29" t="str">
        <f>IF(AJ950="","",IF(AJ950&lt;0.4,"Critical",IF(AJ950&lt;0.6,"Poor",IF(AJ950&lt;0.75,"Needs Improvement",IF(AJ950&lt;0.9,"Good","Excellent")))))</f>
        <v/>
      </c>
    </row>
    <row r="951" spans="1:40" ht="15" customHeight="1" x14ac:dyDescent="0.25">
      <c r="A951" s="29" t="str">
        <f>IF($B951="","",TEXT($B951,"yyyymmdd")&amp;"-"&amp;SUBSTITUTE($F951," ","")&amp;"-"&amp;TEXT(COUNTIF($F$4:F951,$F951),"00"))</f>
        <v/>
      </c>
      <c r="C951" s="29" t="str">
        <f>IF($B951="","",WEEKNUM($B951,2))</f>
        <v/>
      </c>
      <c r="D951" s="29" t="str">
        <f>IF($B951="","",TEXT($B951,"yyyy-mm"))</f>
        <v/>
      </c>
      <c r="G951" s="29" t="str">
        <f>IF(OR($E951="",$F951=""),"",IFERROR(IF($E951=INDEX([1]Cluster_Master!$A$4:$A$18,MATCH($F951,[1]Cluster_Master!$B$4:$B$18,0)),"OK","CHECK"),"CHECK"))</f>
        <v/>
      </c>
      <c r="H951" s="29" t="str">
        <f>IFERROR(INDEX([1]Cluster_Master!$C$4:$C$18,MATCH($F951,[1]Cluster_Master!$B$4:$B$18,0)),"")</f>
        <v/>
      </c>
      <c r="I951" s="29" t="str">
        <f>IFERROR(INDEX([1]Cluster_Master!$D$4:$D$18,MATCH($F951,[1]Cluster_Master!$B$4:$B$18,0)),"")</f>
        <v/>
      </c>
      <c r="J951" s="29" t="str">
        <f>IFERROR(INDEX([1]Cluster_Master!$E$4:$E$18,MATCH($F951,[1]Cluster_Master!$B$4:$B$18,0)),"")</f>
        <v/>
      </c>
      <c r="K951" s="29" t="str">
        <f>IFERROR(INDEX([1]Cluster_Master!$F$4:$F$18,MATCH($F951,[1]Cluster_Master!$B$4:$B$18,0)),"")</f>
        <v/>
      </c>
      <c r="L951" s="29" t="str">
        <f>IFERROR(INDEX([1]Cluster_Master!$G$4:$G$18,MATCH($F951,[1]Cluster_Master!$B$4:$B$18,0)),"")</f>
        <v/>
      </c>
      <c r="M951" s="29" t="str">
        <f>IFERROR(INDEX([1]Cluster_Master!$H$4:$H$18,MATCH($F951,[1]Cluster_Master!$B$4:$B$18,0)),"")</f>
        <v/>
      </c>
      <c r="AI951" s="29" t="str">
        <f>IF(COUNTA(T951:AH951)=0,"",SUM(T951:AH951))</f>
        <v/>
      </c>
      <c r="AJ951" s="29" t="str">
        <f>IF(COUNTA(T951:AH951)=0,"",AI951/75)</f>
        <v/>
      </c>
      <c r="AK951" s="29" t="str">
        <f>IF(COUNTA(T951:AH951)=0,"",(SUM(T951*[1]KPI_Weights!$B$4,U951*[1]KPI_Weights!$B$5,V951*[1]KPI_Weights!$B$6,W951*[1]KPI_Weights!$B$7,X951*[1]KPI_Weights!$B$8,Y951*[1]KPI_Weights!$B$9,Z951*[1]KPI_Weights!$B$10,AA951*[1]KPI_Weights!$B$11,AB951*[1]KPI_Weights!$B$12,AC951*[1]KPI_Weights!$B$13,AD951*[1]KPI_Weights!$B$14,AE951*[1]KPI_Weights!$B$15,AF951*[1]KPI_Weights!$B$16,AG951*[1]KPI_Weights!$B$17,AH951*[1]KPI_Weights!$B$18))/5)</f>
        <v/>
      </c>
      <c r="AL951" s="29" t="str">
        <f>IF(COUNTA(T951:AH951)=0,"",IF(OR(T951&lt;=1,W951&lt;=1,X951&lt;=1,Y951&lt;=1,AB951&lt;=1),"YES","NO"))</f>
        <v/>
      </c>
      <c r="AM951" s="29" t="str">
        <f>IF(AJ951="","",IF(AND(AL951="NO",AJ951&gt;=0.75),"YES","NO"))</f>
        <v/>
      </c>
      <c r="AN951" s="29" t="str">
        <f>IF(AJ951="","",IF(AJ951&lt;0.4,"Critical",IF(AJ951&lt;0.6,"Poor",IF(AJ951&lt;0.75,"Needs Improvement",IF(AJ951&lt;0.9,"Good","Excellent")))))</f>
        <v/>
      </c>
    </row>
    <row r="952" spans="1:40" ht="15" customHeight="1" x14ac:dyDescent="0.25">
      <c r="A952" s="29" t="str">
        <f>IF($B952="","",TEXT($B952,"yyyymmdd")&amp;"-"&amp;SUBSTITUTE($F952," ","")&amp;"-"&amp;TEXT(COUNTIF($F$4:F952,$F952),"00"))</f>
        <v/>
      </c>
      <c r="C952" s="29" t="str">
        <f>IF($B952="","",WEEKNUM($B952,2))</f>
        <v/>
      </c>
      <c r="D952" s="29" t="str">
        <f>IF($B952="","",TEXT($B952,"yyyy-mm"))</f>
        <v/>
      </c>
      <c r="G952" s="29" t="str">
        <f>IF(OR($E952="",$F952=""),"",IFERROR(IF($E952=INDEX([1]Cluster_Master!$A$4:$A$18,MATCH($F952,[1]Cluster_Master!$B$4:$B$18,0)),"OK","CHECK"),"CHECK"))</f>
        <v/>
      </c>
      <c r="H952" s="29" t="str">
        <f>IFERROR(INDEX([1]Cluster_Master!$C$4:$C$18,MATCH($F952,[1]Cluster_Master!$B$4:$B$18,0)),"")</f>
        <v/>
      </c>
      <c r="I952" s="29" t="str">
        <f>IFERROR(INDEX([1]Cluster_Master!$D$4:$D$18,MATCH($F952,[1]Cluster_Master!$B$4:$B$18,0)),"")</f>
        <v/>
      </c>
      <c r="J952" s="29" t="str">
        <f>IFERROR(INDEX([1]Cluster_Master!$E$4:$E$18,MATCH($F952,[1]Cluster_Master!$B$4:$B$18,0)),"")</f>
        <v/>
      </c>
      <c r="K952" s="29" t="str">
        <f>IFERROR(INDEX([1]Cluster_Master!$F$4:$F$18,MATCH($F952,[1]Cluster_Master!$B$4:$B$18,0)),"")</f>
        <v/>
      </c>
      <c r="L952" s="29" t="str">
        <f>IFERROR(INDEX([1]Cluster_Master!$G$4:$G$18,MATCH($F952,[1]Cluster_Master!$B$4:$B$18,0)),"")</f>
        <v/>
      </c>
      <c r="M952" s="29" t="str">
        <f>IFERROR(INDEX([1]Cluster_Master!$H$4:$H$18,MATCH($F952,[1]Cluster_Master!$B$4:$B$18,0)),"")</f>
        <v/>
      </c>
      <c r="AI952" s="29" t="str">
        <f>IF(COUNTA(T952:AH952)=0,"",SUM(T952:AH952))</f>
        <v/>
      </c>
      <c r="AJ952" s="29" t="str">
        <f>IF(COUNTA(T952:AH952)=0,"",AI952/75)</f>
        <v/>
      </c>
      <c r="AK952" s="29" t="str">
        <f>IF(COUNTA(T952:AH952)=0,"",(SUM(T952*[1]KPI_Weights!$B$4,U952*[1]KPI_Weights!$B$5,V952*[1]KPI_Weights!$B$6,W952*[1]KPI_Weights!$B$7,X952*[1]KPI_Weights!$B$8,Y952*[1]KPI_Weights!$B$9,Z952*[1]KPI_Weights!$B$10,AA952*[1]KPI_Weights!$B$11,AB952*[1]KPI_Weights!$B$12,AC952*[1]KPI_Weights!$B$13,AD952*[1]KPI_Weights!$B$14,AE952*[1]KPI_Weights!$B$15,AF952*[1]KPI_Weights!$B$16,AG952*[1]KPI_Weights!$B$17,AH952*[1]KPI_Weights!$B$18))/5)</f>
        <v/>
      </c>
      <c r="AL952" s="29" t="str">
        <f>IF(COUNTA(T952:AH952)=0,"",IF(OR(T952&lt;=1,W952&lt;=1,X952&lt;=1,Y952&lt;=1,AB952&lt;=1),"YES","NO"))</f>
        <v/>
      </c>
      <c r="AM952" s="29" t="str">
        <f>IF(AJ952="","",IF(AND(AL952="NO",AJ952&gt;=0.75),"YES","NO"))</f>
        <v/>
      </c>
      <c r="AN952" s="29" t="str">
        <f>IF(AJ952="","",IF(AJ952&lt;0.4,"Critical",IF(AJ952&lt;0.6,"Poor",IF(AJ952&lt;0.75,"Needs Improvement",IF(AJ952&lt;0.9,"Good","Excellent")))))</f>
        <v/>
      </c>
    </row>
    <row r="953" spans="1:40" ht="15" customHeight="1" x14ac:dyDescent="0.25">
      <c r="A953" s="29" t="str">
        <f>IF($B953="","",TEXT($B953,"yyyymmdd")&amp;"-"&amp;SUBSTITUTE($F953," ","")&amp;"-"&amp;TEXT(COUNTIF($F$4:F953,$F953),"00"))</f>
        <v/>
      </c>
      <c r="C953" s="29" t="str">
        <f>IF($B953="","",WEEKNUM($B953,2))</f>
        <v/>
      </c>
      <c r="D953" s="29" t="str">
        <f>IF($B953="","",TEXT($B953,"yyyy-mm"))</f>
        <v/>
      </c>
      <c r="G953" s="29" t="str">
        <f>IF(OR($E953="",$F953=""),"",IFERROR(IF($E953=INDEX([1]Cluster_Master!$A$4:$A$18,MATCH($F953,[1]Cluster_Master!$B$4:$B$18,0)),"OK","CHECK"),"CHECK"))</f>
        <v/>
      </c>
      <c r="H953" s="29" t="str">
        <f>IFERROR(INDEX([1]Cluster_Master!$C$4:$C$18,MATCH($F953,[1]Cluster_Master!$B$4:$B$18,0)),"")</f>
        <v/>
      </c>
      <c r="I953" s="29" t="str">
        <f>IFERROR(INDEX([1]Cluster_Master!$D$4:$D$18,MATCH($F953,[1]Cluster_Master!$B$4:$B$18,0)),"")</f>
        <v/>
      </c>
      <c r="J953" s="29" t="str">
        <f>IFERROR(INDEX([1]Cluster_Master!$E$4:$E$18,MATCH($F953,[1]Cluster_Master!$B$4:$B$18,0)),"")</f>
        <v/>
      </c>
      <c r="K953" s="29" t="str">
        <f>IFERROR(INDEX([1]Cluster_Master!$F$4:$F$18,MATCH($F953,[1]Cluster_Master!$B$4:$B$18,0)),"")</f>
        <v/>
      </c>
      <c r="L953" s="29" t="str">
        <f>IFERROR(INDEX([1]Cluster_Master!$G$4:$G$18,MATCH($F953,[1]Cluster_Master!$B$4:$B$18,0)),"")</f>
        <v/>
      </c>
      <c r="M953" s="29" t="str">
        <f>IFERROR(INDEX([1]Cluster_Master!$H$4:$H$18,MATCH($F953,[1]Cluster_Master!$B$4:$B$18,0)),"")</f>
        <v/>
      </c>
      <c r="AI953" s="29" t="str">
        <f>IF(COUNTA(T953:AH953)=0,"",SUM(T953:AH953))</f>
        <v/>
      </c>
      <c r="AJ953" s="29" t="str">
        <f>IF(COUNTA(T953:AH953)=0,"",AI953/75)</f>
        <v/>
      </c>
      <c r="AK953" s="29" t="str">
        <f>IF(COUNTA(T953:AH953)=0,"",(SUM(T953*[1]KPI_Weights!$B$4,U953*[1]KPI_Weights!$B$5,V953*[1]KPI_Weights!$B$6,W953*[1]KPI_Weights!$B$7,X953*[1]KPI_Weights!$B$8,Y953*[1]KPI_Weights!$B$9,Z953*[1]KPI_Weights!$B$10,AA953*[1]KPI_Weights!$B$11,AB953*[1]KPI_Weights!$B$12,AC953*[1]KPI_Weights!$B$13,AD953*[1]KPI_Weights!$B$14,AE953*[1]KPI_Weights!$B$15,AF953*[1]KPI_Weights!$B$16,AG953*[1]KPI_Weights!$B$17,AH953*[1]KPI_Weights!$B$18))/5)</f>
        <v/>
      </c>
      <c r="AL953" s="29" t="str">
        <f>IF(COUNTA(T953:AH953)=0,"",IF(OR(T953&lt;=1,W953&lt;=1,X953&lt;=1,Y953&lt;=1,AB953&lt;=1),"YES","NO"))</f>
        <v/>
      </c>
      <c r="AM953" s="29" t="str">
        <f>IF(AJ953="","",IF(AND(AL953="NO",AJ953&gt;=0.75),"YES","NO"))</f>
        <v/>
      </c>
      <c r="AN953" s="29" t="str">
        <f>IF(AJ953="","",IF(AJ953&lt;0.4,"Critical",IF(AJ953&lt;0.6,"Poor",IF(AJ953&lt;0.75,"Needs Improvement",IF(AJ953&lt;0.9,"Good","Excellent")))))</f>
        <v/>
      </c>
    </row>
    <row r="954" spans="1:40" ht="15" customHeight="1" x14ac:dyDescent="0.25">
      <c r="A954" s="29" t="str">
        <f>IF($B954="","",TEXT($B954,"yyyymmdd")&amp;"-"&amp;SUBSTITUTE($F954," ","")&amp;"-"&amp;TEXT(COUNTIF($F$4:F954,$F954),"00"))</f>
        <v/>
      </c>
      <c r="C954" s="29" t="str">
        <f>IF($B954="","",WEEKNUM($B954,2))</f>
        <v/>
      </c>
      <c r="D954" s="29" t="str">
        <f>IF($B954="","",TEXT($B954,"yyyy-mm"))</f>
        <v/>
      </c>
      <c r="G954" s="29" t="str">
        <f>IF(OR($E954="",$F954=""),"",IFERROR(IF($E954=INDEX([1]Cluster_Master!$A$4:$A$18,MATCH($F954,[1]Cluster_Master!$B$4:$B$18,0)),"OK","CHECK"),"CHECK"))</f>
        <v/>
      </c>
      <c r="H954" s="29" t="str">
        <f>IFERROR(INDEX([1]Cluster_Master!$C$4:$C$18,MATCH($F954,[1]Cluster_Master!$B$4:$B$18,0)),"")</f>
        <v/>
      </c>
      <c r="I954" s="29" t="str">
        <f>IFERROR(INDEX([1]Cluster_Master!$D$4:$D$18,MATCH($F954,[1]Cluster_Master!$B$4:$B$18,0)),"")</f>
        <v/>
      </c>
      <c r="J954" s="29" t="str">
        <f>IFERROR(INDEX([1]Cluster_Master!$E$4:$E$18,MATCH($F954,[1]Cluster_Master!$B$4:$B$18,0)),"")</f>
        <v/>
      </c>
      <c r="K954" s="29" t="str">
        <f>IFERROR(INDEX([1]Cluster_Master!$F$4:$F$18,MATCH($F954,[1]Cluster_Master!$B$4:$B$18,0)),"")</f>
        <v/>
      </c>
      <c r="L954" s="29" t="str">
        <f>IFERROR(INDEX([1]Cluster_Master!$G$4:$G$18,MATCH($F954,[1]Cluster_Master!$B$4:$B$18,0)),"")</f>
        <v/>
      </c>
      <c r="M954" s="29" t="str">
        <f>IFERROR(INDEX([1]Cluster_Master!$H$4:$H$18,MATCH($F954,[1]Cluster_Master!$B$4:$B$18,0)),"")</f>
        <v/>
      </c>
      <c r="AI954" s="29" t="str">
        <f>IF(COUNTA(T954:AH954)=0,"",SUM(T954:AH954))</f>
        <v/>
      </c>
      <c r="AJ954" s="29" t="str">
        <f>IF(COUNTA(T954:AH954)=0,"",AI954/75)</f>
        <v/>
      </c>
      <c r="AK954" s="29" t="str">
        <f>IF(COUNTA(T954:AH954)=0,"",(SUM(T954*[1]KPI_Weights!$B$4,U954*[1]KPI_Weights!$B$5,V954*[1]KPI_Weights!$B$6,W954*[1]KPI_Weights!$B$7,X954*[1]KPI_Weights!$B$8,Y954*[1]KPI_Weights!$B$9,Z954*[1]KPI_Weights!$B$10,AA954*[1]KPI_Weights!$B$11,AB954*[1]KPI_Weights!$B$12,AC954*[1]KPI_Weights!$B$13,AD954*[1]KPI_Weights!$B$14,AE954*[1]KPI_Weights!$B$15,AF954*[1]KPI_Weights!$B$16,AG954*[1]KPI_Weights!$B$17,AH954*[1]KPI_Weights!$B$18))/5)</f>
        <v/>
      </c>
      <c r="AL954" s="29" t="str">
        <f>IF(COUNTA(T954:AH954)=0,"",IF(OR(T954&lt;=1,W954&lt;=1,X954&lt;=1,Y954&lt;=1,AB954&lt;=1),"YES","NO"))</f>
        <v/>
      </c>
      <c r="AM954" s="29" t="str">
        <f>IF(AJ954="","",IF(AND(AL954="NO",AJ954&gt;=0.75),"YES","NO"))</f>
        <v/>
      </c>
      <c r="AN954" s="29" t="str">
        <f>IF(AJ954="","",IF(AJ954&lt;0.4,"Critical",IF(AJ954&lt;0.6,"Poor",IF(AJ954&lt;0.75,"Needs Improvement",IF(AJ954&lt;0.9,"Good","Excellent")))))</f>
        <v/>
      </c>
    </row>
    <row r="955" spans="1:40" ht="15" customHeight="1" x14ac:dyDescent="0.25">
      <c r="A955" s="29" t="str">
        <f>IF($B955="","",TEXT($B955,"yyyymmdd")&amp;"-"&amp;SUBSTITUTE($F955," ","")&amp;"-"&amp;TEXT(COUNTIF($F$4:F955,$F955),"00"))</f>
        <v/>
      </c>
      <c r="C955" s="29" t="str">
        <f>IF($B955="","",WEEKNUM($B955,2))</f>
        <v/>
      </c>
      <c r="D955" s="29" t="str">
        <f>IF($B955="","",TEXT($B955,"yyyy-mm"))</f>
        <v/>
      </c>
      <c r="G955" s="29" t="str">
        <f>IF(OR($E955="",$F955=""),"",IFERROR(IF($E955=INDEX([1]Cluster_Master!$A$4:$A$18,MATCH($F955,[1]Cluster_Master!$B$4:$B$18,0)),"OK","CHECK"),"CHECK"))</f>
        <v/>
      </c>
      <c r="H955" s="29" t="str">
        <f>IFERROR(INDEX([1]Cluster_Master!$C$4:$C$18,MATCH($F955,[1]Cluster_Master!$B$4:$B$18,0)),"")</f>
        <v/>
      </c>
      <c r="I955" s="29" t="str">
        <f>IFERROR(INDEX([1]Cluster_Master!$D$4:$D$18,MATCH($F955,[1]Cluster_Master!$B$4:$B$18,0)),"")</f>
        <v/>
      </c>
      <c r="J955" s="29" t="str">
        <f>IFERROR(INDEX([1]Cluster_Master!$E$4:$E$18,MATCH($F955,[1]Cluster_Master!$B$4:$B$18,0)),"")</f>
        <v/>
      </c>
      <c r="K955" s="29" t="str">
        <f>IFERROR(INDEX([1]Cluster_Master!$F$4:$F$18,MATCH($F955,[1]Cluster_Master!$B$4:$B$18,0)),"")</f>
        <v/>
      </c>
      <c r="L955" s="29" t="str">
        <f>IFERROR(INDEX([1]Cluster_Master!$G$4:$G$18,MATCH($F955,[1]Cluster_Master!$B$4:$B$18,0)),"")</f>
        <v/>
      </c>
      <c r="M955" s="29" t="str">
        <f>IFERROR(INDEX([1]Cluster_Master!$H$4:$H$18,MATCH($F955,[1]Cluster_Master!$B$4:$B$18,0)),"")</f>
        <v/>
      </c>
      <c r="AI955" s="29" t="str">
        <f>IF(COUNTA(T955:AH955)=0,"",SUM(T955:AH955))</f>
        <v/>
      </c>
      <c r="AJ955" s="29" t="str">
        <f>IF(COUNTA(T955:AH955)=0,"",AI955/75)</f>
        <v/>
      </c>
      <c r="AK955" s="29" t="str">
        <f>IF(COUNTA(T955:AH955)=0,"",(SUM(T955*[1]KPI_Weights!$B$4,U955*[1]KPI_Weights!$B$5,V955*[1]KPI_Weights!$B$6,W955*[1]KPI_Weights!$B$7,X955*[1]KPI_Weights!$B$8,Y955*[1]KPI_Weights!$B$9,Z955*[1]KPI_Weights!$B$10,AA955*[1]KPI_Weights!$B$11,AB955*[1]KPI_Weights!$B$12,AC955*[1]KPI_Weights!$B$13,AD955*[1]KPI_Weights!$B$14,AE955*[1]KPI_Weights!$B$15,AF955*[1]KPI_Weights!$B$16,AG955*[1]KPI_Weights!$B$17,AH955*[1]KPI_Weights!$B$18))/5)</f>
        <v/>
      </c>
      <c r="AL955" s="29" t="str">
        <f>IF(COUNTA(T955:AH955)=0,"",IF(OR(T955&lt;=1,W955&lt;=1,X955&lt;=1,Y955&lt;=1,AB955&lt;=1),"YES","NO"))</f>
        <v/>
      </c>
      <c r="AM955" s="29" t="str">
        <f>IF(AJ955="","",IF(AND(AL955="NO",AJ955&gt;=0.75),"YES","NO"))</f>
        <v/>
      </c>
      <c r="AN955" s="29" t="str">
        <f>IF(AJ955="","",IF(AJ955&lt;0.4,"Critical",IF(AJ955&lt;0.6,"Poor",IF(AJ955&lt;0.75,"Needs Improvement",IF(AJ955&lt;0.9,"Good","Excellent")))))</f>
        <v/>
      </c>
    </row>
    <row r="956" spans="1:40" ht="15" customHeight="1" x14ac:dyDescent="0.25">
      <c r="A956" s="29" t="str">
        <f>IF($B956="","",TEXT($B956,"yyyymmdd")&amp;"-"&amp;SUBSTITUTE($F956," ","")&amp;"-"&amp;TEXT(COUNTIF($F$4:F956,$F956),"00"))</f>
        <v/>
      </c>
      <c r="C956" s="29" t="str">
        <f>IF($B956="","",WEEKNUM($B956,2))</f>
        <v/>
      </c>
      <c r="D956" s="29" t="str">
        <f>IF($B956="","",TEXT($B956,"yyyy-mm"))</f>
        <v/>
      </c>
      <c r="G956" s="29" t="str">
        <f>IF(OR($E956="",$F956=""),"",IFERROR(IF($E956=INDEX([1]Cluster_Master!$A$4:$A$18,MATCH($F956,[1]Cluster_Master!$B$4:$B$18,0)),"OK","CHECK"),"CHECK"))</f>
        <v/>
      </c>
      <c r="H956" s="29" t="str">
        <f>IFERROR(INDEX([1]Cluster_Master!$C$4:$C$18,MATCH($F956,[1]Cluster_Master!$B$4:$B$18,0)),"")</f>
        <v/>
      </c>
      <c r="I956" s="29" t="str">
        <f>IFERROR(INDEX([1]Cluster_Master!$D$4:$D$18,MATCH($F956,[1]Cluster_Master!$B$4:$B$18,0)),"")</f>
        <v/>
      </c>
      <c r="J956" s="29" t="str">
        <f>IFERROR(INDEX([1]Cluster_Master!$E$4:$E$18,MATCH($F956,[1]Cluster_Master!$B$4:$B$18,0)),"")</f>
        <v/>
      </c>
      <c r="K956" s="29" t="str">
        <f>IFERROR(INDEX([1]Cluster_Master!$F$4:$F$18,MATCH($F956,[1]Cluster_Master!$B$4:$B$18,0)),"")</f>
        <v/>
      </c>
      <c r="L956" s="29" t="str">
        <f>IFERROR(INDEX([1]Cluster_Master!$G$4:$G$18,MATCH($F956,[1]Cluster_Master!$B$4:$B$18,0)),"")</f>
        <v/>
      </c>
      <c r="M956" s="29" t="str">
        <f>IFERROR(INDEX([1]Cluster_Master!$H$4:$H$18,MATCH($F956,[1]Cluster_Master!$B$4:$B$18,0)),"")</f>
        <v/>
      </c>
      <c r="AI956" s="29" t="str">
        <f>IF(COUNTA(T956:AH956)=0,"",SUM(T956:AH956))</f>
        <v/>
      </c>
      <c r="AJ956" s="29" t="str">
        <f>IF(COUNTA(T956:AH956)=0,"",AI956/75)</f>
        <v/>
      </c>
      <c r="AK956" s="29" t="str">
        <f>IF(COUNTA(T956:AH956)=0,"",(SUM(T956*[1]KPI_Weights!$B$4,U956*[1]KPI_Weights!$B$5,V956*[1]KPI_Weights!$B$6,W956*[1]KPI_Weights!$B$7,X956*[1]KPI_Weights!$B$8,Y956*[1]KPI_Weights!$B$9,Z956*[1]KPI_Weights!$B$10,AA956*[1]KPI_Weights!$B$11,AB956*[1]KPI_Weights!$B$12,AC956*[1]KPI_Weights!$B$13,AD956*[1]KPI_Weights!$B$14,AE956*[1]KPI_Weights!$B$15,AF956*[1]KPI_Weights!$B$16,AG956*[1]KPI_Weights!$B$17,AH956*[1]KPI_Weights!$B$18))/5)</f>
        <v/>
      </c>
      <c r="AL956" s="29" t="str">
        <f>IF(COUNTA(T956:AH956)=0,"",IF(OR(T956&lt;=1,W956&lt;=1,X956&lt;=1,Y956&lt;=1,AB956&lt;=1),"YES","NO"))</f>
        <v/>
      </c>
      <c r="AM956" s="29" t="str">
        <f>IF(AJ956="","",IF(AND(AL956="NO",AJ956&gt;=0.75),"YES","NO"))</f>
        <v/>
      </c>
      <c r="AN956" s="29" t="str">
        <f>IF(AJ956="","",IF(AJ956&lt;0.4,"Critical",IF(AJ956&lt;0.6,"Poor",IF(AJ956&lt;0.75,"Needs Improvement",IF(AJ956&lt;0.9,"Good","Excellent")))))</f>
        <v/>
      </c>
    </row>
    <row r="957" spans="1:40" ht="15" customHeight="1" x14ac:dyDescent="0.25">
      <c r="A957" s="29" t="str">
        <f>IF($B957="","",TEXT($B957,"yyyymmdd")&amp;"-"&amp;SUBSTITUTE($F957," ","")&amp;"-"&amp;TEXT(COUNTIF($F$4:F957,$F957),"00"))</f>
        <v/>
      </c>
      <c r="C957" s="29" t="str">
        <f>IF($B957="","",WEEKNUM($B957,2))</f>
        <v/>
      </c>
      <c r="D957" s="29" t="str">
        <f>IF($B957="","",TEXT($B957,"yyyy-mm"))</f>
        <v/>
      </c>
      <c r="G957" s="29" t="str">
        <f>IF(OR($E957="",$F957=""),"",IFERROR(IF($E957=INDEX([1]Cluster_Master!$A$4:$A$18,MATCH($F957,[1]Cluster_Master!$B$4:$B$18,0)),"OK","CHECK"),"CHECK"))</f>
        <v/>
      </c>
      <c r="H957" s="29" t="str">
        <f>IFERROR(INDEX([1]Cluster_Master!$C$4:$C$18,MATCH($F957,[1]Cluster_Master!$B$4:$B$18,0)),"")</f>
        <v/>
      </c>
      <c r="I957" s="29" t="str">
        <f>IFERROR(INDEX([1]Cluster_Master!$D$4:$D$18,MATCH($F957,[1]Cluster_Master!$B$4:$B$18,0)),"")</f>
        <v/>
      </c>
      <c r="J957" s="29" t="str">
        <f>IFERROR(INDEX([1]Cluster_Master!$E$4:$E$18,MATCH($F957,[1]Cluster_Master!$B$4:$B$18,0)),"")</f>
        <v/>
      </c>
      <c r="K957" s="29" t="str">
        <f>IFERROR(INDEX([1]Cluster_Master!$F$4:$F$18,MATCH($F957,[1]Cluster_Master!$B$4:$B$18,0)),"")</f>
        <v/>
      </c>
      <c r="L957" s="29" t="str">
        <f>IFERROR(INDEX([1]Cluster_Master!$G$4:$G$18,MATCH($F957,[1]Cluster_Master!$B$4:$B$18,0)),"")</f>
        <v/>
      </c>
      <c r="M957" s="29" t="str">
        <f>IFERROR(INDEX([1]Cluster_Master!$H$4:$H$18,MATCH($F957,[1]Cluster_Master!$B$4:$B$18,0)),"")</f>
        <v/>
      </c>
      <c r="AI957" s="29" t="str">
        <f>IF(COUNTA(T957:AH957)=0,"",SUM(T957:AH957))</f>
        <v/>
      </c>
      <c r="AJ957" s="29" t="str">
        <f>IF(COUNTA(T957:AH957)=0,"",AI957/75)</f>
        <v/>
      </c>
      <c r="AK957" s="29" t="str">
        <f>IF(COUNTA(T957:AH957)=0,"",(SUM(T957*[1]KPI_Weights!$B$4,U957*[1]KPI_Weights!$B$5,V957*[1]KPI_Weights!$B$6,W957*[1]KPI_Weights!$B$7,X957*[1]KPI_Weights!$B$8,Y957*[1]KPI_Weights!$B$9,Z957*[1]KPI_Weights!$B$10,AA957*[1]KPI_Weights!$B$11,AB957*[1]KPI_Weights!$B$12,AC957*[1]KPI_Weights!$B$13,AD957*[1]KPI_Weights!$B$14,AE957*[1]KPI_Weights!$B$15,AF957*[1]KPI_Weights!$B$16,AG957*[1]KPI_Weights!$B$17,AH957*[1]KPI_Weights!$B$18))/5)</f>
        <v/>
      </c>
      <c r="AL957" s="29" t="str">
        <f>IF(COUNTA(T957:AH957)=0,"",IF(OR(T957&lt;=1,W957&lt;=1,X957&lt;=1,Y957&lt;=1,AB957&lt;=1),"YES","NO"))</f>
        <v/>
      </c>
      <c r="AM957" s="29" t="str">
        <f>IF(AJ957="","",IF(AND(AL957="NO",AJ957&gt;=0.75),"YES","NO"))</f>
        <v/>
      </c>
      <c r="AN957" s="29" t="str">
        <f>IF(AJ957="","",IF(AJ957&lt;0.4,"Critical",IF(AJ957&lt;0.6,"Poor",IF(AJ957&lt;0.75,"Needs Improvement",IF(AJ957&lt;0.9,"Good","Excellent")))))</f>
        <v/>
      </c>
    </row>
    <row r="958" spans="1:40" ht="15" customHeight="1" x14ac:dyDescent="0.25">
      <c r="A958" s="29" t="str">
        <f>IF($B958="","",TEXT($B958,"yyyymmdd")&amp;"-"&amp;SUBSTITUTE($F958," ","")&amp;"-"&amp;TEXT(COUNTIF($F$4:F958,$F958),"00"))</f>
        <v/>
      </c>
      <c r="C958" s="29" t="str">
        <f>IF($B958="","",WEEKNUM($B958,2))</f>
        <v/>
      </c>
      <c r="D958" s="29" t="str">
        <f>IF($B958="","",TEXT($B958,"yyyy-mm"))</f>
        <v/>
      </c>
      <c r="G958" s="29" t="str">
        <f>IF(OR($E958="",$F958=""),"",IFERROR(IF($E958=INDEX([1]Cluster_Master!$A$4:$A$18,MATCH($F958,[1]Cluster_Master!$B$4:$B$18,0)),"OK","CHECK"),"CHECK"))</f>
        <v/>
      </c>
      <c r="H958" s="29" t="str">
        <f>IFERROR(INDEX([1]Cluster_Master!$C$4:$C$18,MATCH($F958,[1]Cluster_Master!$B$4:$B$18,0)),"")</f>
        <v/>
      </c>
      <c r="I958" s="29" t="str">
        <f>IFERROR(INDEX([1]Cluster_Master!$D$4:$D$18,MATCH($F958,[1]Cluster_Master!$B$4:$B$18,0)),"")</f>
        <v/>
      </c>
      <c r="J958" s="29" t="str">
        <f>IFERROR(INDEX([1]Cluster_Master!$E$4:$E$18,MATCH($F958,[1]Cluster_Master!$B$4:$B$18,0)),"")</f>
        <v/>
      </c>
      <c r="K958" s="29" t="str">
        <f>IFERROR(INDEX([1]Cluster_Master!$F$4:$F$18,MATCH($F958,[1]Cluster_Master!$B$4:$B$18,0)),"")</f>
        <v/>
      </c>
      <c r="L958" s="29" t="str">
        <f>IFERROR(INDEX([1]Cluster_Master!$G$4:$G$18,MATCH($F958,[1]Cluster_Master!$B$4:$B$18,0)),"")</f>
        <v/>
      </c>
      <c r="M958" s="29" t="str">
        <f>IFERROR(INDEX([1]Cluster_Master!$H$4:$H$18,MATCH($F958,[1]Cluster_Master!$B$4:$B$18,0)),"")</f>
        <v/>
      </c>
      <c r="AI958" s="29" t="str">
        <f>IF(COUNTA(T958:AH958)=0,"",SUM(T958:AH958))</f>
        <v/>
      </c>
      <c r="AJ958" s="29" t="str">
        <f>IF(COUNTA(T958:AH958)=0,"",AI958/75)</f>
        <v/>
      </c>
      <c r="AK958" s="29" t="str">
        <f>IF(COUNTA(T958:AH958)=0,"",(SUM(T958*[1]KPI_Weights!$B$4,U958*[1]KPI_Weights!$B$5,V958*[1]KPI_Weights!$B$6,W958*[1]KPI_Weights!$B$7,X958*[1]KPI_Weights!$B$8,Y958*[1]KPI_Weights!$B$9,Z958*[1]KPI_Weights!$B$10,AA958*[1]KPI_Weights!$B$11,AB958*[1]KPI_Weights!$B$12,AC958*[1]KPI_Weights!$B$13,AD958*[1]KPI_Weights!$B$14,AE958*[1]KPI_Weights!$B$15,AF958*[1]KPI_Weights!$B$16,AG958*[1]KPI_Weights!$B$17,AH958*[1]KPI_Weights!$B$18))/5)</f>
        <v/>
      </c>
      <c r="AL958" s="29" t="str">
        <f>IF(COUNTA(T958:AH958)=0,"",IF(OR(T958&lt;=1,W958&lt;=1,X958&lt;=1,Y958&lt;=1,AB958&lt;=1),"YES","NO"))</f>
        <v/>
      </c>
      <c r="AM958" s="29" t="str">
        <f>IF(AJ958="","",IF(AND(AL958="NO",AJ958&gt;=0.75),"YES","NO"))</f>
        <v/>
      </c>
      <c r="AN958" s="29" t="str">
        <f>IF(AJ958="","",IF(AJ958&lt;0.4,"Critical",IF(AJ958&lt;0.6,"Poor",IF(AJ958&lt;0.75,"Needs Improvement",IF(AJ958&lt;0.9,"Good","Excellent")))))</f>
        <v/>
      </c>
    </row>
    <row r="959" spans="1:40" ht="15" customHeight="1" x14ac:dyDescent="0.25">
      <c r="A959" s="29" t="str">
        <f>IF($B959="","",TEXT($B959,"yyyymmdd")&amp;"-"&amp;SUBSTITUTE($F959," ","")&amp;"-"&amp;TEXT(COUNTIF($F$4:F959,$F959),"00"))</f>
        <v/>
      </c>
      <c r="C959" s="29" t="str">
        <f>IF($B959="","",WEEKNUM($B959,2))</f>
        <v/>
      </c>
      <c r="D959" s="29" t="str">
        <f>IF($B959="","",TEXT($B959,"yyyy-mm"))</f>
        <v/>
      </c>
      <c r="G959" s="29" t="str">
        <f>IF(OR($E959="",$F959=""),"",IFERROR(IF($E959=INDEX([1]Cluster_Master!$A$4:$A$18,MATCH($F959,[1]Cluster_Master!$B$4:$B$18,0)),"OK","CHECK"),"CHECK"))</f>
        <v/>
      </c>
      <c r="H959" s="29" t="str">
        <f>IFERROR(INDEX([1]Cluster_Master!$C$4:$C$18,MATCH($F959,[1]Cluster_Master!$B$4:$B$18,0)),"")</f>
        <v/>
      </c>
      <c r="I959" s="29" t="str">
        <f>IFERROR(INDEX([1]Cluster_Master!$D$4:$D$18,MATCH($F959,[1]Cluster_Master!$B$4:$B$18,0)),"")</f>
        <v/>
      </c>
      <c r="J959" s="29" t="str">
        <f>IFERROR(INDEX([1]Cluster_Master!$E$4:$E$18,MATCH($F959,[1]Cluster_Master!$B$4:$B$18,0)),"")</f>
        <v/>
      </c>
      <c r="K959" s="29" t="str">
        <f>IFERROR(INDEX([1]Cluster_Master!$F$4:$F$18,MATCH($F959,[1]Cluster_Master!$B$4:$B$18,0)),"")</f>
        <v/>
      </c>
      <c r="L959" s="29" t="str">
        <f>IFERROR(INDEX([1]Cluster_Master!$G$4:$G$18,MATCH($F959,[1]Cluster_Master!$B$4:$B$18,0)),"")</f>
        <v/>
      </c>
      <c r="M959" s="29" t="str">
        <f>IFERROR(INDEX([1]Cluster_Master!$H$4:$H$18,MATCH($F959,[1]Cluster_Master!$B$4:$B$18,0)),"")</f>
        <v/>
      </c>
      <c r="AI959" s="29" t="str">
        <f>IF(COUNTA(T959:AH959)=0,"",SUM(T959:AH959))</f>
        <v/>
      </c>
      <c r="AJ959" s="29" t="str">
        <f>IF(COUNTA(T959:AH959)=0,"",AI959/75)</f>
        <v/>
      </c>
      <c r="AK959" s="29" t="str">
        <f>IF(COUNTA(T959:AH959)=0,"",(SUM(T959*[1]KPI_Weights!$B$4,U959*[1]KPI_Weights!$B$5,V959*[1]KPI_Weights!$B$6,W959*[1]KPI_Weights!$B$7,X959*[1]KPI_Weights!$B$8,Y959*[1]KPI_Weights!$B$9,Z959*[1]KPI_Weights!$B$10,AA959*[1]KPI_Weights!$B$11,AB959*[1]KPI_Weights!$B$12,AC959*[1]KPI_Weights!$B$13,AD959*[1]KPI_Weights!$B$14,AE959*[1]KPI_Weights!$B$15,AF959*[1]KPI_Weights!$B$16,AG959*[1]KPI_Weights!$B$17,AH959*[1]KPI_Weights!$B$18))/5)</f>
        <v/>
      </c>
      <c r="AL959" s="29" t="str">
        <f>IF(COUNTA(T959:AH959)=0,"",IF(OR(T959&lt;=1,W959&lt;=1,X959&lt;=1,Y959&lt;=1,AB959&lt;=1),"YES","NO"))</f>
        <v/>
      </c>
      <c r="AM959" s="29" t="str">
        <f>IF(AJ959="","",IF(AND(AL959="NO",AJ959&gt;=0.75),"YES","NO"))</f>
        <v/>
      </c>
      <c r="AN959" s="29" t="str">
        <f>IF(AJ959="","",IF(AJ959&lt;0.4,"Critical",IF(AJ959&lt;0.6,"Poor",IF(AJ959&lt;0.75,"Needs Improvement",IF(AJ959&lt;0.9,"Good","Excellent")))))</f>
        <v/>
      </c>
    </row>
    <row r="960" spans="1:40" ht="15" customHeight="1" x14ac:dyDescent="0.25">
      <c r="A960" s="29" t="str">
        <f>IF($B960="","",TEXT($B960,"yyyymmdd")&amp;"-"&amp;SUBSTITUTE($F960," ","")&amp;"-"&amp;TEXT(COUNTIF($F$4:F960,$F960),"00"))</f>
        <v/>
      </c>
      <c r="C960" s="29" t="str">
        <f>IF($B960="","",WEEKNUM($B960,2))</f>
        <v/>
      </c>
      <c r="D960" s="29" t="str">
        <f>IF($B960="","",TEXT($B960,"yyyy-mm"))</f>
        <v/>
      </c>
      <c r="G960" s="29" t="str">
        <f>IF(OR($E960="",$F960=""),"",IFERROR(IF($E960=INDEX([1]Cluster_Master!$A$4:$A$18,MATCH($F960,[1]Cluster_Master!$B$4:$B$18,0)),"OK","CHECK"),"CHECK"))</f>
        <v/>
      </c>
      <c r="H960" s="29" t="str">
        <f>IFERROR(INDEX([1]Cluster_Master!$C$4:$C$18,MATCH($F960,[1]Cluster_Master!$B$4:$B$18,0)),"")</f>
        <v/>
      </c>
      <c r="I960" s="29" t="str">
        <f>IFERROR(INDEX([1]Cluster_Master!$D$4:$D$18,MATCH($F960,[1]Cluster_Master!$B$4:$B$18,0)),"")</f>
        <v/>
      </c>
      <c r="J960" s="29" t="str">
        <f>IFERROR(INDEX([1]Cluster_Master!$E$4:$E$18,MATCH($F960,[1]Cluster_Master!$B$4:$B$18,0)),"")</f>
        <v/>
      </c>
      <c r="K960" s="29" t="str">
        <f>IFERROR(INDEX([1]Cluster_Master!$F$4:$F$18,MATCH($F960,[1]Cluster_Master!$B$4:$B$18,0)),"")</f>
        <v/>
      </c>
      <c r="L960" s="29" t="str">
        <f>IFERROR(INDEX([1]Cluster_Master!$G$4:$G$18,MATCH($F960,[1]Cluster_Master!$B$4:$B$18,0)),"")</f>
        <v/>
      </c>
      <c r="M960" s="29" t="str">
        <f>IFERROR(INDEX([1]Cluster_Master!$H$4:$H$18,MATCH($F960,[1]Cluster_Master!$B$4:$B$18,0)),"")</f>
        <v/>
      </c>
      <c r="AI960" s="29" t="str">
        <f>IF(COUNTA(T960:AH960)=0,"",SUM(T960:AH960))</f>
        <v/>
      </c>
      <c r="AJ960" s="29" t="str">
        <f>IF(COUNTA(T960:AH960)=0,"",AI960/75)</f>
        <v/>
      </c>
      <c r="AK960" s="29" t="str">
        <f>IF(COUNTA(T960:AH960)=0,"",(SUM(T960*[1]KPI_Weights!$B$4,U960*[1]KPI_Weights!$B$5,V960*[1]KPI_Weights!$B$6,W960*[1]KPI_Weights!$B$7,X960*[1]KPI_Weights!$B$8,Y960*[1]KPI_Weights!$B$9,Z960*[1]KPI_Weights!$B$10,AA960*[1]KPI_Weights!$B$11,AB960*[1]KPI_Weights!$B$12,AC960*[1]KPI_Weights!$B$13,AD960*[1]KPI_Weights!$B$14,AE960*[1]KPI_Weights!$B$15,AF960*[1]KPI_Weights!$B$16,AG960*[1]KPI_Weights!$B$17,AH960*[1]KPI_Weights!$B$18))/5)</f>
        <v/>
      </c>
      <c r="AL960" s="29" t="str">
        <f>IF(COUNTA(T960:AH960)=0,"",IF(OR(T960&lt;=1,W960&lt;=1,X960&lt;=1,Y960&lt;=1,AB960&lt;=1),"YES","NO"))</f>
        <v/>
      </c>
      <c r="AM960" s="29" t="str">
        <f>IF(AJ960="","",IF(AND(AL960="NO",AJ960&gt;=0.75),"YES","NO"))</f>
        <v/>
      </c>
      <c r="AN960" s="29" t="str">
        <f>IF(AJ960="","",IF(AJ960&lt;0.4,"Critical",IF(AJ960&lt;0.6,"Poor",IF(AJ960&lt;0.75,"Needs Improvement",IF(AJ960&lt;0.9,"Good","Excellent")))))</f>
        <v/>
      </c>
    </row>
    <row r="961" spans="1:40" ht="15" customHeight="1" x14ac:dyDescent="0.25">
      <c r="A961" s="29" t="str">
        <f>IF($B961="","",TEXT($B961,"yyyymmdd")&amp;"-"&amp;SUBSTITUTE($F961," ","")&amp;"-"&amp;TEXT(COUNTIF($F$4:F961,$F961),"00"))</f>
        <v/>
      </c>
      <c r="C961" s="29" t="str">
        <f>IF($B961="","",WEEKNUM($B961,2))</f>
        <v/>
      </c>
      <c r="D961" s="29" t="str">
        <f>IF($B961="","",TEXT($B961,"yyyy-mm"))</f>
        <v/>
      </c>
      <c r="G961" s="29" t="str">
        <f>IF(OR($E961="",$F961=""),"",IFERROR(IF($E961=INDEX([1]Cluster_Master!$A$4:$A$18,MATCH($F961,[1]Cluster_Master!$B$4:$B$18,0)),"OK","CHECK"),"CHECK"))</f>
        <v/>
      </c>
      <c r="H961" s="29" t="str">
        <f>IFERROR(INDEX([1]Cluster_Master!$C$4:$C$18,MATCH($F961,[1]Cluster_Master!$B$4:$B$18,0)),"")</f>
        <v/>
      </c>
      <c r="I961" s="29" t="str">
        <f>IFERROR(INDEX([1]Cluster_Master!$D$4:$D$18,MATCH($F961,[1]Cluster_Master!$B$4:$B$18,0)),"")</f>
        <v/>
      </c>
      <c r="J961" s="29" t="str">
        <f>IFERROR(INDEX([1]Cluster_Master!$E$4:$E$18,MATCH($F961,[1]Cluster_Master!$B$4:$B$18,0)),"")</f>
        <v/>
      </c>
      <c r="K961" s="29" t="str">
        <f>IFERROR(INDEX([1]Cluster_Master!$F$4:$F$18,MATCH($F961,[1]Cluster_Master!$B$4:$B$18,0)),"")</f>
        <v/>
      </c>
      <c r="L961" s="29" t="str">
        <f>IFERROR(INDEX([1]Cluster_Master!$G$4:$G$18,MATCH($F961,[1]Cluster_Master!$B$4:$B$18,0)),"")</f>
        <v/>
      </c>
      <c r="M961" s="29" t="str">
        <f>IFERROR(INDEX([1]Cluster_Master!$H$4:$H$18,MATCH($F961,[1]Cluster_Master!$B$4:$B$18,0)),"")</f>
        <v/>
      </c>
      <c r="AI961" s="29" t="str">
        <f>IF(COUNTA(T961:AH961)=0,"",SUM(T961:AH961))</f>
        <v/>
      </c>
      <c r="AJ961" s="29" t="str">
        <f>IF(COUNTA(T961:AH961)=0,"",AI961/75)</f>
        <v/>
      </c>
      <c r="AK961" s="29" t="str">
        <f>IF(COUNTA(T961:AH961)=0,"",(SUM(T961*[1]KPI_Weights!$B$4,U961*[1]KPI_Weights!$B$5,V961*[1]KPI_Weights!$B$6,W961*[1]KPI_Weights!$B$7,X961*[1]KPI_Weights!$B$8,Y961*[1]KPI_Weights!$B$9,Z961*[1]KPI_Weights!$B$10,AA961*[1]KPI_Weights!$B$11,AB961*[1]KPI_Weights!$B$12,AC961*[1]KPI_Weights!$B$13,AD961*[1]KPI_Weights!$B$14,AE961*[1]KPI_Weights!$B$15,AF961*[1]KPI_Weights!$B$16,AG961*[1]KPI_Weights!$B$17,AH961*[1]KPI_Weights!$B$18))/5)</f>
        <v/>
      </c>
      <c r="AL961" s="29" t="str">
        <f>IF(COUNTA(T961:AH961)=0,"",IF(OR(T961&lt;=1,W961&lt;=1,X961&lt;=1,Y961&lt;=1,AB961&lt;=1),"YES","NO"))</f>
        <v/>
      </c>
      <c r="AM961" s="29" t="str">
        <f>IF(AJ961="","",IF(AND(AL961="NO",AJ961&gt;=0.75),"YES","NO"))</f>
        <v/>
      </c>
      <c r="AN961" s="29" t="str">
        <f>IF(AJ961="","",IF(AJ961&lt;0.4,"Critical",IF(AJ961&lt;0.6,"Poor",IF(AJ961&lt;0.75,"Needs Improvement",IF(AJ961&lt;0.9,"Good","Excellent")))))</f>
        <v/>
      </c>
    </row>
    <row r="962" spans="1:40" ht="15" customHeight="1" x14ac:dyDescent="0.25">
      <c r="A962" s="29" t="str">
        <f>IF($B962="","",TEXT($B962,"yyyymmdd")&amp;"-"&amp;SUBSTITUTE($F962," ","")&amp;"-"&amp;TEXT(COUNTIF($F$4:F962,$F962),"00"))</f>
        <v/>
      </c>
      <c r="C962" s="29" t="str">
        <f>IF($B962="","",WEEKNUM($B962,2))</f>
        <v/>
      </c>
      <c r="D962" s="29" t="str">
        <f>IF($B962="","",TEXT($B962,"yyyy-mm"))</f>
        <v/>
      </c>
      <c r="G962" s="29" t="str">
        <f>IF(OR($E962="",$F962=""),"",IFERROR(IF($E962=INDEX([1]Cluster_Master!$A$4:$A$18,MATCH($F962,[1]Cluster_Master!$B$4:$B$18,0)),"OK","CHECK"),"CHECK"))</f>
        <v/>
      </c>
      <c r="H962" s="29" t="str">
        <f>IFERROR(INDEX([1]Cluster_Master!$C$4:$C$18,MATCH($F962,[1]Cluster_Master!$B$4:$B$18,0)),"")</f>
        <v/>
      </c>
      <c r="I962" s="29" t="str">
        <f>IFERROR(INDEX([1]Cluster_Master!$D$4:$D$18,MATCH($F962,[1]Cluster_Master!$B$4:$B$18,0)),"")</f>
        <v/>
      </c>
      <c r="J962" s="29" t="str">
        <f>IFERROR(INDEX([1]Cluster_Master!$E$4:$E$18,MATCH($F962,[1]Cluster_Master!$B$4:$B$18,0)),"")</f>
        <v/>
      </c>
      <c r="K962" s="29" t="str">
        <f>IFERROR(INDEX([1]Cluster_Master!$F$4:$F$18,MATCH($F962,[1]Cluster_Master!$B$4:$B$18,0)),"")</f>
        <v/>
      </c>
      <c r="L962" s="29" t="str">
        <f>IFERROR(INDEX([1]Cluster_Master!$G$4:$G$18,MATCH($F962,[1]Cluster_Master!$B$4:$B$18,0)),"")</f>
        <v/>
      </c>
      <c r="M962" s="29" t="str">
        <f>IFERROR(INDEX([1]Cluster_Master!$H$4:$H$18,MATCH($F962,[1]Cluster_Master!$B$4:$B$18,0)),"")</f>
        <v/>
      </c>
      <c r="AI962" s="29" t="str">
        <f>IF(COUNTA(T962:AH962)=0,"",SUM(T962:AH962))</f>
        <v/>
      </c>
      <c r="AJ962" s="29" t="str">
        <f>IF(COUNTA(T962:AH962)=0,"",AI962/75)</f>
        <v/>
      </c>
      <c r="AK962" s="29" t="str">
        <f>IF(COUNTA(T962:AH962)=0,"",(SUM(T962*[1]KPI_Weights!$B$4,U962*[1]KPI_Weights!$B$5,V962*[1]KPI_Weights!$B$6,W962*[1]KPI_Weights!$B$7,X962*[1]KPI_Weights!$B$8,Y962*[1]KPI_Weights!$B$9,Z962*[1]KPI_Weights!$B$10,AA962*[1]KPI_Weights!$B$11,AB962*[1]KPI_Weights!$B$12,AC962*[1]KPI_Weights!$B$13,AD962*[1]KPI_Weights!$B$14,AE962*[1]KPI_Weights!$B$15,AF962*[1]KPI_Weights!$B$16,AG962*[1]KPI_Weights!$B$17,AH962*[1]KPI_Weights!$B$18))/5)</f>
        <v/>
      </c>
      <c r="AL962" s="29" t="str">
        <f>IF(COUNTA(T962:AH962)=0,"",IF(OR(T962&lt;=1,W962&lt;=1,X962&lt;=1,Y962&lt;=1,AB962&lt;=1),"YES","NO"))</f>
        <v/>
      </c>
      <c r="AM962" s="29" t="str">
        <f>IF(AJ962="","",IF(AND(AL962="NO",AJ962&gt;=0.75),"YES","NO"))</f>
        <v/>
      </c>
      <c r="AN962" s="29" t="str">
        <f>IF(AJ962="","",IF(AJ962&lt;0.4,"Critical",IF(AJ962&lt;0.6,"Poor",IF(AJ962&lt;0.75,"Needs Improvement",IF(AJ962&lt;0.9,"Good","Excellent")))))</f>
        <v/>
      </c>
    </row>
    <row r="963" spans="1:40" ht="15" customHeight="1" x14ac:dyDescent="0.25">
      <c r="A963" s="29" t="str">
        <f>IF($B963="","",TEXT($B963,"yyyymmdd")&amp;"-"&amp;SUBSTITUTE($F963," ","")&amp;"-"&amp;TEXT(COUNTIF($F$4:F963,$F963),"00"))</f>
        <v/>
      </c>
      <c r="C963" s="29" t="str">
        <f>IF($B963="","",WEEKNUM($B963,2))</f>
        <v/>
      </c>
      <c r="D963" s="29" t="str">
        <f>IF($B963="","",TEXT($B963,"yyyy-mm"))</f>
        <v/>
      </c>
      <c r="G963" s="29" t="str">
        <f>IF(OR($E963="",$F963=""),"",IFERROR(IF($E963=INDEX([1]Cluster_Master!$A$4:$A$18,MATCH($F963,[1]Cluster_Master!$B$4:$B$18,0)),"OK","CHECK"),"CHECK"))</f>
        <v/>
      </c>
      <c r="H963" s="29" t="str">
        <f>IFERROR(INDEX([1]Cluster_Master!$C$4:$C$18,MATCH($F963,[1]Cluster_Master!$B$4:$B$18,0)),"")</f>
        <v/>
      </c>
      <c r="I963" s="29" t="str">
        <f>IFERROR(INDEX([1]Cluster_Master!$D$4:$D$18,MATCH($F963,[1]Cluster_Master!$B$4:$B$18,0)),"")</f>
        <v/>
      </c>
      <c r="J963" s="29" t="str">
        <f>IFERROR(INDEX([1]Cluster_Master!$E$4:$E$18,MATCH($F963,[1]Cluster_Master!$B$4:$B$18,0)),"")</f>
        <v/>
      </c>
      <c r="K963" s="29" t="str">
        <f>IFERROR(INDEX([1]Cluster_Master!$F$4:$F$18,MATCH($F963,[1]Cluster_Master!$B$4:$B$18,0)),"")</f>
        <v/>
      </c>
      <c r="L963" s="29" t="str">
        <f>IFERROR(INDEX([1]Cluster_Master!$G$4:$G$18,MATCH($F963,[1]Cluster_Master!$B$4:$B$18,0)),"")</f>
        <v/>
      </c>
      <c r="M963" s="29" t="str">
        <f>IFERROR(INDEX([1]Cluster_Master!$H$4:$H$18,MATCH($F963,[1]Cluster_Master!$B$4:$B$18,0)),"")</f>
        <v/>
      </c>
      <c r="AI963" s="29" t="str">
        <f>IF(COUNTA(T963:AH963)=0,"",SUM(T963:AH963))</f>
        <v/>
      </c>
      <c r="AJ963" s="29" t="str">
        <f>IF(COUNTA(T963:AH963)=0,"",AI963/75)</f>
        <v/>
      </c>
      <c r="AK963" s="29" t="str">
        <f>IF(COUNTA(T963:AH963)=0,"",(SUM(T963*[1]KPI_Weights!$B$4,U963*[1]KPI_Weights!$B$5,V963*[1]KPI_Weights!$B$6,W963*[1]KPI_Weights!$B$7,X963*[1]KPI_Weights!$B$8,Y963*[1]KPI_Weights!$B$9,Z963*[1]KPI_Weights!$B$10,AA963*[1]KPI_Weights!$B$11,AB963*[1]KPI_Weights!$B$12,AC963*[1]KPI_Weights!$B$13,AD963*[1]KPI_Weights!$B$14,AE963*[1]KPI_Weights!$B$15,AF963*[1]KPI_Weights!$B$16,AG963*[1]KPI_Weights!$B$17,AH963*[1]KPI_Weights!$B$18))/5)</f>
        <v/>
      </c>
      <c r="AL963" s="29" t="str">
        <f>IF(COUNTA(T963:AH963)=0,"",IF(OR(T963&lt;=1,W963&lt;=1,X963&lt;=1,Y963&lt;=1,AB963&lt;=1),"YES","NO"))</f>
        <v/>
      </c>
      <c r="AM963" s="29" t="str">
        <f>IF(AJ963="","",IF(AND(AL963="NO",AJ963&gt;=0.75),"YES","NO"))</f>
        <v/>
      </c>
      <c r="AN963" s="29" t="str">
        <f>IF(AJ963="","",IF(AJ963&lt;0.4,"Critical",IF(AJ963&lt;0.6,"Poor",IF(AJ963&lt;0.75,"Needs Improvement",IF(AJ963&lt;0.9,"Good","Excellent")))))</f>
        <v/>
      </c>
    </row>
    <row r="964" spans="1:40" ht="15" customHeight="1" x14ac:dyDescent="0.25">
      <c r="A964" s="29" t="str">
        <f>IF($B964="","",TEXT($B964,"yyyymmdd")&amp;"-"&amp;SUBSTITUTE($F964," ","")&amp;"-"&amp;TEXT(COUNTIF($F$4:F964,$F964),"00"))</f>
        <v/>
      </c>
      <c r="C964" s="29" t="str">
        <f>IF($B964="","",WEEKNUM($B964,2))</f>
        <v/>
      </c>
      <c r="D964" s="29" t="str">
        <f>IF($B964="","",TEXT($B964,"yyyy-mm"))</f>
        <v/>
      </c>
      <c r="G964" s="29" t="str">
        <f>IF(OR($E964="",$F964=""),"",IFERROR(IF($E964=INDEX([1]Cluster_Master!$A$4:$A$18,MATCH($F964,[1]Cluster_Master!$B$4:$B$18,0)),"OK","CHECK"),"CHECK"))</f>
        <v/>
      </c>
      <c r="H964" s="29" t="str">
        <f>IFERROR(INDEX([1]Cluster_Master!$C$4:$C$18,MATCH($F964,[1]Cluster_Master!$B$4:$B$18,0)),"")</f>
        <v/>
      </c>
      <c r="I964" s="29" t="str">
        <f>IFERROR(INDEX([1]Cluster_Master!$D$4:$D$18,MATCH($F964,[1]Cluster_Master!$B$4:$B$18,0)),"")</f>
        <v/>
      </c>
      <c r="J964" s="29" t="str">
        <f>IFERROR(INDEX([1]Cluster_Master!$E$4:$E$18,MATCH($F964,[1]Cluster_Master!$B$4:$B$18,0)),"")</f>
        <v/>
      </c>
      <c r="K964" s="29" t="str">
        <f>IFERROR(INDEX([1]Cluster_Master!$F$4:$F$18,MATCH($F964,[1]Cluster_Master!$B$4:$B$18,0)),"")</f>
        <v/>
      </c>
      <c r="L964" s="29" t="str">
        <f>IFERROR(INDEX([1]Cluster_Master!$G$4:$G$18,MATCH($F964,[1]Cluster_Master!$B$4:$B$18,0)),"")</f>
        <v/>
      </c>
      <c r="M964" s="29" t="str">
        <f>IFERROR(INDEX([1]Cluster_Master!$H$4:$H$18,MATCH($F964,[1]Cluster_Master!$B$4:$B$18,0)),"")</f>
        <v/>
      </c>
      <c r="AI964" s="29" t="str">
        <f>IF(COUNTA(T964:AH964)=0,"",SUM(T964:AH964))</f>
        <v/>
      </c>
      <c r="AJ964" s="29" t="str">
        <f>IF(COUNTA(T964:AH964)=0,"",AI964/75)</f>
        <v/>
      </c>
      <c r="AK964" s="29" t="str">
        <f>IF(COUNTA(T964:AH964)=0,"",(SUM(T964*[1]KPI_Weights!$B$4,U964*[1]KPI_Weights!$B$5,V964*[1]KPI_Weights!$B$6,W964*[1]KPI_Weights!$B$7,X964*[1]KPI_Weights!$B$8,Y964*[1]KPI_Weights!$B$9,Z964*[1]KPI_Weights!$B$10,AA964*[1]KPI_Weights!$B$11,AB964*[1]KPI_Weights!$B$12,AC964*[1]KPI_Weights!$B$13,AD964*[1]KPI_Weights!$B$14,AE964*[1]KPI_Weights!$B$15,AF964*[1]KPI_Weights!$B$16,AG964*[1]KPI_Weights!$B$17,AH964*[1]KPI_Weights!$B$18))/5)</f>
        <v/>
      </c>
      <c r="AL964" s="29" t="str">
        <f>IF(COUNTA(T964:AH964)=0,"",IF(OR(T964&lt;=1,W964&lt;=1,X964&lt;=1,Y964&lt;=1,AB964&lt;=1),"YES","NO"))</f>
        <v/>
      </c>
      <c r="AM964" s="29" t="str">
        <f>IF(AJ964="","",IF(AND(AL964="NO",AJ964&gt;=0.75),"YES","NO"))</f>
        <v/>
      </c>
      <c r="AN964" s="29" t="str">
        <f>IF(AJ964="","",IF(AJ964&lt;0.4,"Critical",IF(AJ964&lt;0.6,"Poor",IF(AJ964&lt;0.75,"Needs Improvement",IF(AJ964&lt;0.9,"Good","Excellent")))))</f>
        <v/>
      </c>
    </row>
    <row r="965" spans="1:40" ht="15" customHeight="1" x14ac:dyDescent="0.25">
      <c r="A965" s="29" t="str">
        <f>IF($B965="","",TEXT($B965,"yyyymmdd")&amp;"-"&amp;SUBSTITUTE($F965," ","")&amp;"-"&amp;TEXT(COUNTIF($F$4:F965,$F965),"00"))</f>
        <v/>
      </c>
      <c r="C965" s="29" t="str">
        <f>IF($B965="","",WEEKNUM($B965,2))</f>
        <v/>
      </c>
      <c r="D965" s="29" t="str">
        <f>IF($B965="","",TEXT($B965,"yyyy-mm"))</f>
        <v/>
      </c>
      <c r="G965" s="29" t="str">
        <f>IF(OR($E965="",$F965=""),"",IFERROR(IF($E965=INDEX([1]Cluster_Master!$A$4:$A$18,MATCH($F965,[1]Cluster_Master!$B$4:$B$18,0)),"OK","CHECK"),"CHECK"))</f>
        <v/>
      </c>
      <c r="H965" s="29" t="str">
        <f>IFERROR(INDEX([1]Cluster_Master!$C$4:$C$18,MATCH($F965,[1]Cluster_Master!$B$4:$B$18,0)),"")</f>
        <v/>
      </c>
      <c r="I965" s="29" t="str">
        <f>IFERROR(INDEX([1]Cluster_Master!$D$4:$D$18,MATCH($F965,[1]Cluster_Master!$B$4:$B$18,0)),"")</f>
        <v/>
      </c>
      <c r="J965" s="29" t="str">
        <f>IFERROR(INDEX([1]Cluster_Master!$E$4:$E$18,MATCH($F965,[1]Cluster_Master!$B$4:$B$18,0)),"")</f>
        <v/>
      </c>
      <c r="K965" s="29" t="str">
        <f>IFERROR(INDEX([1]Cluster_Master!$F$4:$F$18,MATCH($F965,[1]Cluster_Master!$B$4:$B$18,0)),"")</f>
        <v/>
      </c>
      <c r="L965" s="29" t="str">
        <f>IFERROR(INDEX([1]Cluster_Master!$G$4:$G$18,MATCH($F965,[1]Cluster_Master!$B$4:$B$18,0)),"")</f>
        <v/>
      </c>
      <c r="M965" s="29" t="str">
        <f>IFERROR(INDEX([1]Cluster_Master!$H$4:$H$18,MATCH($F965,[1]Cluster_Master!$B$4:$B$18,0)),"")</f>
        <v/>
      </c>
      <c r="AI965" s="29" t="str">
        <f>IF(COUNTA(T965:AH965)=0,"",SUM(T965:AH965))</f>
        <v/>
      </c>
      <c r="AJ965" s="29" t="str">
        <f>IF(COUNTA(T965:AH965)=0,"",AI965/75)</f>
        <v/>
      </c>
      <c r="AK965" s="29" t="str">
        <f>IF(COUNTA(T965:AH965)=0,"",(SUM(T965*[1]KPI_Weights!$B$4,U965*[1]KPI_Weights!$B$5,V965*[1]KPI_Weights!$B$6,W965*[1]KPI_Weights!$B$7,X965*[1]KPI_Weights!$B$8,Y965*[1]KPI_Weights!$B$9,Z965*[1]KPI_Weights!$B$10,AA965*[1]KPI_Weights!$B$11,AB965*[1]KPI_Weights!$B$12,AC965*[1]KPI_Weights!$B$13,AD965*[1]KPI_Weights!$B$14,AE965*[1]KPI_Weights!$B$15,AF965*[1]KPI_Weights!$B$16,AG965*[1]KPI_Weights!$B$17,AH965*[1]KPI_Weights!$B$18))/5)</f>
        <v/>
      </c>
      <c r="AL965" s="29" t="str">
        <f>IF(COUNTA(T965:AH965)=0,"",IF(OR(T965&lt;=1,W965&lt;=1,X965&lt;=1,Y965&lt;=1,AB965&lt;=1),"YES","NO"))</f>
        <v/>
      </c>
      <c r="AM965" s="29" t="str">
        <f>IF(AJ965="","",IF(AND(AL965="NO",AJ965&gt;=0.75),"YES","NO"))</f>
        <v/>
      </c>
      <c r="AN965" s="29" t="str">
        <f>IF(AJ965="","",IF(AJ965&lt;0.4,"Critical",IF(AJ965&lt;0.6,"Poor",IF(AJ965&lt;0.75,"Needs Improvement",IF(AJ965&lt;0.9,"Good","Excellent")))))</f>
        <v/>
      </c>
    </row>
    <row r="966" spans="1:40" ht="15" customHeight="1" x14ac:dyDescent="0.25">
      <c r="A966" s="29" t="str">
        <f>IF($B966="","",TEXT($B966,"yyyymmdd")&amp;"-"&amp;SUBSTITUTE($F966," ","")&amp;"-"&amp;TEXT(COUNTIF($F$4:F966,$F966),"00"))</f>
        <v/>
      </c>
      <c r="C966" s="29" t="str">
        <f>IF($B966="","",WEEKNUM($B966,2))</f>
        <v/>
      </c>
      <c r="D966" s="29" t="str">
        <f>IF($B966="","",TEXT($B966,"yyyy-mm"))</f>
        <v/>
      </c>
      <c r="G966" s="29" t="str">
        <f>IF(OR($E966="",$F966=""),"",IFERROR(IF($E966=INDEX([1]Cluster_Master!$A$4:$A$18,MATCH($F966,[1]Cluster_Master!$B$4:$B$18,0)),"OK","CHECK"),"CHECK"))</f>
        <v/>
      </c>
      <c r="H966" s="29" t="str">
        <f>IFERROR(INDEX([1]Cluster_Master!$C$4:$C$18,MATCH($F966,[1]Cluster_Master!$B$4:$B$18,0)),"")</f>
        <v/>
      </c>
      <c r="I966" s="29" t="str">
        <f>IFERROR(INDEX([1]Cluster_Master!$D$4:$D$18,MATCH($F966,[1]Cluster_Master!$B$4:$B$18,0)),"")</f>
        <v/>
      </c>
      <c r="J966" s="29" t="str">
        <f>IFERROR(INDEX([1]Cluster_Master!$E$4:$E$18,MATCH($F966,[1]Cluster_Master!$B$4:$B$18,0)),"")</f>
        <v/>
      </c>
      <c r="K966" s="29" t="str">
        <f>IFERROR(INDEX([1]Cluster_Master!$F$4:$F$18,MATCH($F966,[1]Cluster_Master!$B$4:$B$18,0)),"")</f>
        <v/>
      </c>
      <c r="L966" s="29" t="str">
        <f>IFERROR(INDEX([1]Cluster_Master!$G$4:$G$18,MATCH($F966,[1]Cluster_Master!$B$4:$B$18,0)),"")</f>
        <v/>
      </c>
      <c r="M966" s="29" t="str">
        <f>IFERROR(INDEX([1]Cluster_Master!$H$4:$H$18,MATCH($F966,[1]Cluster_Master!$B$4:$B$18,0)),"")</f>
        <v/>
      </c>
      <c r="AI966" s="29" t="str">
        <f>IF(COUNTA(T966:AH966)=0,"",SUM(T966:AH966))</f>
        <v/>
      </c>
      <c r="AJ966" s="29" t="str">
        <f>IF(COUNTA(T966:AH966)=0,"",AI966/75)</f>
        <v/>
      </c>
      <c r="AK966" s="29" t="str">
        <f>IF(COUNTA(T966:AH966)=0,"",(SUM(T966*[1]KPI_Weights!$B$4,U966*[1]KPI_Weights!$B$5,V966*[1]KPI_Weights!$B$6,W966*[1]KPI_Weights!$B$7,X966*[1]KPI_Weights!$B$8,Y966*[1]KPI_Weights!$B$9,Z966*[1]KPI_Weights!$B$10,AA966*[1]KPI_Weights!$B$11,AB966*[1]KPI_Weights!$B$12,AC966*[1]KPI_Weights!$B$13,AD966*[1]KPI_Weights!$B$14,AE966*[1]KPI_Weights!$B$15,AF966*[1]KPI_Weights!$B$16,AG966*[1]KPI_Weights!$B$17,AH966*[1]KPI_Weights!$B$18))/5)</f>
        <v/>
      </c>
      <c r="AL966" s="29" t="str">
        <f>IF(COUNTA(T966:AH966)=0,"",IF(OR(T966&lt;=1,W966&lt;=1,X966&lt;=1,Y966&lt;=1,AB966&lt;=1),"YES","NO"))</f>
        <v/>
      </c>
      <c r="AM966" s="29" t="str">
        <f>IF(AJ966="","",IF(AND(AL966="NO",AJ966&gt;=0.75),"YES","NO"))</f>
        <v/>
      </c>
      <c r="AN966" s="29" t="str">
        <f>IF(AJ966="","",IF(AJ966&lt;0.4,"Critical",IF(AJ966&lt;0.6,"Poor",IF(AJ966&lt;0.75,"Needs Improvement",IF(AJ966&lt;0.9,"Good","Excellent")))))</f>
        <v/>
      </c>
    </row>
    <row r="967" spans="1:40" ht="15" customHeight="1" x14ac:dyDescent="0.25">
      <c r="A967" s="29" t="str">
        <f>IF($B967="","",TEXT($B967,"yyyymmdd")&amp;"-"&amp;SUBSTITUTE($F967," ","")&amp;"-"&amp;TEXT(COUNTIF($F$4:F967,$F967),"00"))</f>
        <v/>
      </c>
      <c r="C967" s="29" t="str">
        <f>IF($B967="","",WEEKNUM($B967,2))</f>
        <v/>
      </c>
      <c r="D967" s="29" t="str">
        <f>IF($B967="","",TEXT($B967,"yyyy-mm"))</f>
        <v/>
      </c>
      <c r="G967" s="29" t="str">
        <f>IF(OR($E967="",$F967=""),"",IFERROR(IF($E967=INDEX([1]Cluster_Master!$A$4:$A$18,MATCH($F967,[1]Cluster_Master!$B$4:$B$18,0)),"OK","CHECK"),"CHECK"))</f>
        <v/>
      </c>
      <c r="H967" s="29" t="str">
        <f>IFERROR(INDEX([1]Cluster_Master!$C$4:$C$18,MATCH($F967,[1]Cluster_Master!$B$4:$B$18,0)),"")</f>
        <v/>
      </c>
      <c r="I967" s="29" t="str">
        <f>IFERROR(INDEX([1]Cluster_Master!$D$4:$D$18,MATCH($F967,[1]Cluster_Master!$B$4:$B$18,0)),"")</f>
        <v/>
      </c>
      <c r="J967" s="29" t="str">
        <f>IFERROR(INDEX([1]Cluster_Master!$E$4:$E$18,MATCH($F967,[1]Cluster_Master!$B$4:$B$18,0)),"")</f>
        <v/>
      </c>
      <c r="K967" s="29" t="str">
        <f>IFERROR(INDEX([1]Cluster_Master!$F$4:$F$18,MATCH($F967,[1]Cluster_Master!$B$4:$B$18,0)),"")</f>
        <v/>
      </c>
      <c r="L967" s="29" t="str">
        <f>IFERROR(INDEX([1]Cluster_Master!$G$4:$G$18,MATCH($F967,[1]Cluster_Master!$B$4:$B$18,0)),"")</f>
        <v/>
      </c>
      <c r="M967" s="29" t="str">
        <f>IFERROR(INDEX([1]Cluster_Master!$H$4:$H$18,MATCH($F967,[1]Cluster_Master!$B$4:$B$18,0)),"")</f>
        <v/>
      </c>
      <c r="AI967" s="29" t="str">
        <f>IF(COUNTA(T967:AH967)=0,"",SUM(T967:AH967))</f>
        <v/>
      </c>
      <c r="AJ967" s="29" t="str">
        <f>IF(COUNTA(T967:AH967)=0,"",AI967/75)</f>
        <v/>
      </c>
      <c r="AK967" s="29" t="str">
        <f>IF(COUNTA(T967:AH967)=0,"",(SUM(T967*[1]KPI_Weights!$B$4,U967*[1]KPI_Weights!$B$5,V967*[1]KPI_Weights!$B$6,W967*[1]KPI_Weights!$B$7,X967*[1]KPI_Weights!$B$8,Y967*[1]KPI_Weights!$B$9,Z967*[1]KPI_Weights!$B$10,AA967*[1]KPI_Weights!$B$11,AB967*[1]KPI_Weights!$B$12,AC967*[1]KPI_Weights!$B$13,AD967*[1]KPI_Weights!$B$14,AE967*[1]KPI_Weights!$B$15,AF967*[1]KPI_Weights!$B$16,AG967*[1]KPI_Weights!$B$17,AH967*[1]KPI_Weights!$B$18))/5)</f>
        <v/>
      </c>
      <c r="AL967" s="29" t="str">
        <f>IF(COUNTA(T967:AH967)=0,"",IF(OR(T967&lt;=1,W967&lt;=1,X967&lt;=1,Y967&lt;=1,AB967&lt;=1),"YES","NO"))</f>
        <v/>
      </c>
      <c r="AM967" s="29" t="str">
        <f>IF(AJ967="","",IF(AND(AL967="NO",AJ967&gt;=0.75),"YES","NO"))</f>
        <v/>
      </c>
      <c r="AN967" s="29" t="str">
        <f>IF(AJ967="","",IF(AJ967&lt;0.4,"Critical",IF(AJ967&lt;0.6,"Poor",IF(AJ967&lt;0.75,"Needs Improvement",IF(AJ967&lt;0.9,"Good","Excellent")))))</f>
        <v/>
      </c>
    </row>
    <row r="968" spans="1:40" ht="15" customHeight="1" x14ac:dyDescent="0.25">
      <c r="A968" s="29" t="str">
        <f>IF($B968="","",TEXT($B968,"yyyymmdd")&amp;"-"&amp;SUBSTITUTE($F968," ","")&amp;"-"&amp;TEXT(COUNTIF($F$4:F968,$F968),"00"))</f>
        <v/>
      </c>
      <c r="C968" s="29" t="str">
        <f>IF($B968="","",WEEKNUM($B968,2))</f>
        <v/>
      </c>
      <c r="D968" s="29" t="str">
        <f>IF($B968="","",TEXT($B968,"yyyy-mm"))</f>
        <v/>
      </c>
      <c r="G968" s="29" t="str">
        <f>IF(OR($E968="",$F968=""),"",IFERROR(IF($E968=INDEX([1]Cluster_Master!$A$4:$A$18,MATCH($F968,[1]Cluster_Master!$B$4:$B$18,0)),"OK","CHECK"),"CHECK"))</f>
        <v/>
      </c>
      <c r="H968" s="29" t="str">
        <f>IFERROR(INDEX([1]Cluster_Master!$C$4:$C$18,MATCH($F968,[1]Cluster_Master!$B$4:$B$18,0)),"")</f>
        <v/>
      </c>
      <c r="I968" s="29" t="str">
        <f>IFERROR(INDEX([1]Cluster_Master!$D$4:$D$18,MATCH($F968,[1]Cluster_Master!$B$4:$B$18,0)),"")</f>
        <v/>
      </c>
      <c r="J968" s="29" t="str">
        <f>IFERROR(INDEX([1]Cluster_Master!$E$4:$E$18,MATCH($F968,[1]Cluster_Master!$B$4:$B$18,0)),"")</f>
        <v/>
      </c>
      <c r="K968" s="29" t="str">
        <f>IFERROR(INDEX([1]Cluster_Master!$F$4:$F$18,MATCH($F968,[1]Cluster_Master!$B$4:$B$18,0)),"")</f>
        <v/>
      </c>
      <c r="L968" s="29" t="str">
        <f>IFERROR(INDEX([1]Cluster_Master!$G$4:$G$18,MATCH($F968,[1]Cluster_Master!$B$4:$B$18,0)),"")</f>
        <v/>
      </c>
      <c r="M968" s="29" t="str">
        <f>IFERROR(INDEX([1]Cluster_Master!$H$4:$H$18,MATCH($F968,[1]Cluster_Master!$B$4:$B$18,0)),"")</f>
        <v/>
      </c>
      <c r="AI968" s="29" t="str">
        <f>IF(COUNTA(T968:AH968)=0,"",SUM(T968:AH968))</f>
        <v/>
      </c>
      <c r="AJ968" s="29" t="str">
        <f>IF(COUNTA(T968:AH968)=0,"",AI968/75)</f>
        <v/>
      </c>
      <c r="AK968" s="29" t="str">
        <f>IF(COUNTA(T968:AH968)=0,"",(SUM(T968*[1]KPI_Weights!$B$4,U968*[1]KPI_Weights!$B$5,V968*[1]KPI_Weights!$B$6,W968*[1]KPI_Weights!$B$7,X968*[1]KPI_Weights!$B$8,Y968*[1]KPI_Weights!$B$9,Z968*[1]KPI_Weights!$B$10,AA968*[1]KPI_Weights!$B$11,AB968*[1]KPI_Weights!$B$12,AC968*[1]KPI_Weights!$B$13,AD968*[1]KPI_Weights!$B$14,AE968*[1]KPI_Weights!$B$15,AF968*[1]KPI_Weights!$B$16,AG968*[1]KPI_Weights!$B$17,AH968*[1]KPI_Weights!$B$18))/5)</f>
        <v/>
      </c>
      <c r="AL968" s="29" t="str">
        <f>IF(COUNTA(T968:AH968)=0,"",IF(OR(T968&lt;=1,W968&lt;=1,X968&lt;=1,Y968&lt;=1,AB968&lt;=1),"YES","NO"))</f>
        <v/>
      </c>
      <c r="AM968" s="29" t="str">
        <f>IF(AJ968="","",IF(AND(AL968="NO",AJ968&gt;=0.75),"YES","NO"))</f>
        <v/>
      </c>
      <c r="AN968" s="29" t="str">
        <f>IF(AJ968="","",IF(AJ968&lt;0.4,"Critical",IF(AJ968&lt;0.6,"Poor",IF(AJ968&lt;0.75,"Needs Improvement",IF(AJ968&lt;0.9,"Good","Excellent")))))</f>
        <v/>
      </c>
    </row>
    <row r="969" spans="1:40" ht="15" customHeight="1" x14ac:dyDescent="0.25">
      <c r="A969" s="29" t="str">
        <f>IF($B969="","",TEXT($B969,"yyyymmdd")&amp;"-"&amp;SUBSTITUTE($F969," ","")&amp;"-"&amp;TEXT(COUNTIF($F$4:F969,$F969),"00"))</f>
        <v/>
      </c>
      <c r="C969" s="29" t="str">
        <f>IF($B969="","",WEEKNUM($B969,2))</f>
        <v/>
      </c>
      <c r="D969" s="29" t="str">
        <f>IF($B969="","",TEXT($B969,"yyyy-mm"))</f>
        <v/>
      </c>
      <c r="G969" s="29" t="str">
        <f>IF(OR($E969="",$F969=""),"",IFERROR(IF($E969=INDEX([1]Cluster_Master!$A$4:$A$18,MATCH($F969,[1]Cluster_Master!$B$4:$B$18,0)),"OK","CHECK"),"CHECK"))</f>
        <v/>
      </c>
      <c r="H969" s="29" t="str">
        <f>IFERROR(INDEX([1]Cluster_Master!$C$4:$C$18,MATCH($F969,[1]Cluster_Master!$B$4:$B$18,0)),"")</f>
        <v/>
      </c>
      <c r="I969" s="29" t="str">
        <f>IFERROR(INDEX([1]Cluster_Master!$D$4:$D$18,MATCH($F969,[1]Cluster_Master!$B$4:$B$18,0)),"")</f>
        <v/>
      </c>
      <c r="J969" s="29" t="str">
        <f>IFERROR(INDEX([1]Cluster_Master!$E$4:$E$18,MATCH($F969,[1]Cluster_Master!$B$4:$B$18,0)),"")</f>
        <v/>
      </c>
      <c r="K969" s="29" t="str">
        <f>IFERROR(INDEX([1]Cluster_Master!$F$4:$F$18,MATCH($F969,[1]Cluster_Master!$B$4:$B$18,0)),"")</f>
        <v/>
      </c>
      <c r="L969" s="29" t="str">
        <f>IFERROR(INDEX([1]Cluster_Master!$G$4:$G$18,MATCH($F969,[1]Cluster_Master!$B$4:$B$18,0)),"")</f>
        <v/>
      </c>
      <c r="M969" s="29" t="str">
        <f>IFERROR(INDEX([1]Cluster_Master!$H$4:$H$18,MATCH($F969,[1]Cluster_Master!$B$4:$B$18,0)),"")</f>
        <v/>
      </c>
      <c r="AI969" s="29" t="str">
        <f>IF(COUNTA(T969:AH969)=0,"",SUM(T969:AH969))</f>
        <v/>
      </c>
      <c r="AJ969" s="29" t="str">
        <f>IF(COUNTA(T969:AH969)=0,"",AI969/75)</f>
        <v/>
      </c>
      <c r="AK969" s="29" t="str">
        <f>IF(COUNTA(T969:AH969)=0,"",(SUM(T969*[1]KPI_Weights!$B$4,U969*[1]KPI_Weights!$B$5,V969*[1]KPI_Weights!$B$6,W969*[1]KPI_Weights!$B$7,X969*[1]KPI_Weights!$B$8,Y969*[1]KPI_Weights!$B$9,Z969*[1]KPI_Weights!$B$10,AA969*[1]KPI_Weights!$B$11,AB969*[1]KPI_Weights!$B$12,AC969*[1]KPI_Weights!$B$13,AD969*[1]KPI_Weights!$B$14,AE969*[1]KPI_Weights!$B$15,AF969*[1]KPI_Weights!$B$16,AG969*[1]KPI_Weights!$B$17,AH969*[1]KPI_Weights!$B$18))/5)</f>
        <v/>
      </c>
      <c r="AL969" s="29" t="str">
        <f>IF(COUNTA(T969:AH969)=0,"",IF(OR(T969&lt;=1,W969&lt;=1,X969&lt;=1,Y969&lt;=1,AB969&lt;=1),"YES","NO"))</f>
        <v/>
      </c>
      <c r="AM969" s="29" t="str">
        <f>IF(AJ969="","",IF(AND(AL969="NO",AJ969&gt;=0.75),"YES","NO"))</f>
        <v/>
      </c>
      <c r="AN969" s="29" t="str">
        <f>IF(AJ969="","",IF(AJ969&lt;0.4,"Critical",IF(AJ969&lt;0.6,"Poor",IF(AJ969&lt;0.75,"Needs Improvement",IF(AJ969&lt;0.9,"Good","Excellent")))))</f>
        <v/>
      </c>
    </row>
    <row r="970" spans="1:40" ht="15" customHeight="1" x14ac:dyDescent="0.25">
      <c r="A970" s="29" t="str">
        <f>IF($B970="","",TEXT($B970,"yyyymmdd")&amp;"-"&amp;SUBSTITUTE($F970," ","")&amp;"-"&amp;TEXT(COUNTIF($F$4:F970,$F970),"00"))</f>
        <v/>
      </c>
      <c r="C970" s="29" t="str">
        <f>IF($B970="","",WEEKNUM($B970,2))</f>
        <v/>
      </c>
      <c r="D970" s="29" t="str">
        <f>IF($B970="","",TEXT($B970,"yyyy-mm"))</f>
        <v/>
      </c>
      <c r="G970" s="29" t="str">
        <f>IF(OR($E970="",$F970=""),"",IFERROR(IF($E970=INDEX([1]Cluster_Master!$A$4:$A$18,MATCH($F970,[1]Cluster_Master!$B$4:$B$18,0)),"OK","CHECK"),"CHECK"))</f>
        <v/>
      </c>
      <c r="H970" s="29" t="str">
        <f>IFERROR(INDEX([1]Cluster_Master!$C$4:$C$18,MATCH($F970,[1]Cluster_Master!$B$4:$B$18,0)),"")</f>
        <v/>
      </c>
      <c r="I970" s="29" t="str">
        <f>IFERROR(INDEX([1]Cluster_Master!$D$4:$D$18,MATCH($F970,[1]Cluster_Master!$B$4:$B$18,0)),"")</f>
        <v/>
      </c>
      <c r="J970" s="29" t="str">
        <f>IFERROR(INDEX([1]Cluster_Master!$E$4:$E$18,MATCH($F970,[1]Cluster_Master!$B$4:$B$18,0)),"")</f>
        <v/>
      </c>
      <c r="K970" s="29" t="str">
        <f>IFERROR(INDEX([1]Cluster_Master!$F$4:$F$18,MATCH($F970,[1]Cluster_Master!$B$4:$B$18,0)),"")</f>
        <v/>
      </c>
      <c r="L970" s="29" t="str">
        <f>IFERROR(INDEX([1]Cluster_Master!$G$4:$G$18,MATCH($F970,[1]Cluster_Master!$B$4:$B$18,0)),"")</f>
        <v/>
      </c>
      <c r="M970" s="29" t="str">
        <f>IFERROR(INDEX([1]Cluster_Master!$H$4:$H$18,MATCH($F970,[1]Cluster_Master!$B$4:$B$18,0)),"")</f>
        <v/>
      </c>
      <c r="AI970" s="29" t="str">
        <f>IF(COUNTA(T970:AH970)=0,"",SUM(T970:AH970))</f>
        <v/>
      </c>
      <c r="AJ970" s="29" t="str">
        <f>IF(COUNTA(T970:AH970)=0,"",AI970/75)</f>
        <v/>
      </c>
      <c r="AK970" s="29" t="str">
        <f>IF(COUNTA(T970:AH970)=0,"",(SUM(T970*[1]KPI_Weights!$B$4,U970*[1]KPI_Weights!$B$5,V970*[1]KPI_Weights!$B$6,W970*[1]KPI_Weights!$B$7,X970*[1]KPI_Weights!$B$8,Y970*[1]KPI_Weights!$B$9,Z970*[1]KPI_Weights!$B$10,AA970*[1]KPI_Weights!$B$11,AB970*[1]KPI_Weights!$B$12,AC970*[1]KPI_Weights!$B$13,AD970*[1]KPI_Weights!$B$14,AE970*[1]KPI_Weights!$B$15,AF970*[1]KPI_Weights!$B$16,AG970*[1]KPI_Weights!$B$17,AH970*[1]KPI_Weights!$B$18))/5)</f>
        <v/>
      </c>
      <c r="AL970" s="29" t="str">
        <f>IF(COUNTA(T970:AH970)=0,"",IF(OR(T970&lt;=1,W970&lt;=1,X970&lt;=1,Y970&lt;=1,AB970&lt;=1),"YES","NO"))</f>
        <v/>
      </c>
      <c r="AM970" s="29" t="str">
        <f>IF(AJ970="","",IF(AND(AL970="NO",AJ970&gt;=0.75),"YES","NO"))</f>
        <v/>
      </c>
      <c r="AN970" s="29" t="str">
        <f>IF(AJ970="","",IF(AJ970&lt;0.4,"Critical",IF(AJ970&lt;0.6,"Poor",IF(AJ970&lt;0.75,"Needs Improvement",IF(AJ970&lt;0.9,"Good","Excellent")))))</f>
        <v/>
      </c>
    </row>
    <row r="971" spans="1:40" ht="15" customHeight="1" x14ac:dyDescent="0.25">
      <c r="A971" s="29" t="str">
        <f>IF($B971="","",TEXT($B971,"yyyymmdd")&amp;"-"&amp;SUBSTITUTE($F971," ","")&amp;"-"&amp;TEXT(COUNTIF($F$4:F971,$F971),"00"))</f>
        <v/>
      </c>
      <c r="C971" s="29" t="str">
        <f>IF($B971="","",WEEKNUM($B971,2))</f>
        <v/>
      </c>
      <c r="D971" s="29" t="str">
        <f>IF($B971="","",TEXT($B971,"yyyy-mm"))</f>
        <v/>
      </c>
      <c r="G971" s="29" t="str">
        <f>IF(OR($E971="",$F971=""),"",IFERROR(IF($E971=INDEX([1]Cluster_Master!$A$4:$A$18,MATCH($F971,[1]Cluster_Master!$B$4:$B$18,0)),"OK","CHECK"),"CHECK"))</f>
        <v/>
      </c>
      <c r="H971" s="29" t="str">
        <f>IFERROR(INDEX([1]Cluster_Master!$C$4:$C$18,MATCH($F971,[1]Cluster_Master!$B$4:$B$18,0)),"")</f>
        <v/>
      </c>
      <c r="I971" s="29" t="str">
        <f>IFERROR(INDEX([1]Cluster_Master!$D$4:$D$18,MATCH($F971,[1]Cluster_Master!$B$4:$B$18,0)),"")</f>
        <v/>
      </c>
      <c r="J971" s="29" t="str">
        <f>IFERROR(INDEX([1]Cluster_Master!$E$4:$E$18,MATCH($F971,[1]Cluster_Master!$B$4:$B$18,0)),"")</f>
        <v/>
      </c>
      <c r="K971" s="29" t="str">
        <f>IFERROR(INDEX([1]Cluster_Master!$F$4:$F$18,MATCH($F971,[1]Cluster_Master!$B$4:$B$18,0)),"")</f>
        <v/>
      </c>
      <c r="L971" s="29" t="str">
        <f>IFERROR(INDEX([1]Cluster_Master!$G$4:$G$18,MATCH($F971,[1]Cluster_Master!$B$4:$B$18,0)),"")</f>
        <v/>
      </c>
      <c r="M971" s="29" t="str">
        <f>IFERROR(INDEX([1]Cluster_Master!$H$4:$H$18,MATCH($F971,[1]Cluster_Master!$B$4:$B$18,0)),"")</f>
        <v/>
      </c>
      <c r="AI971" s="29" t="str">
        <f>IF(COUNTA(T971:AH971)=0,"",SUM(T971:AH971))</f>
        <v/>
      </c>
      <c r="AJ971" s="29" t="str">
        <f>IF(COUNTA(T971:AH971)=0,"",AI971/75)</f>
        <v/>
      </c>
      <c r="AK971" s="29" t="str">
        <f>IF(COUNTA(T971:AH971)=0,"",(SUM(T971*[1]KPI_Weights!$B$4,U971*[1]KPI_Weights!$B$5,V971*[1]KPI_Weights!$B$6,W971*[1]KPI_Weights!$B$7,X971*[1]KPI_Weights!$B$8,Y971*[1]KPI_Weights!$B$9,Z971*[1]KPI_Weights!$B$10,AA971*[1]KPI_Weights!$B$11,AB971*[1]KPI_Weights!$B$12,AC971*[1]KPI_Weights!$B$13,AD971*[1]KPI_Weights!$B$14,AE971*[1]KPI_Weights!$B$15,AF971*[1]KPI_Weights!$B$16,AG971*[1]KPI_Weights!$B$17,AH971*[1]KPI_Weights!$B$18))/5)</f>
        <v/>
      </c>
      <c r="AL971" s="29" t="str">
        <f>IF(COUNTA(T971:AH971)=0,"",IF(OR(T971&lt;=1,W971&lt;=1,X971&lt;=1,Y971&lt;=1,AB971&lt;=1),"YES","NO"))</f>
        <v/>
      </c>
      <c r="AM971" s="29" t="str">
        <f>IF(AJ971="","",IF(AND(AL971="NO",AJ971&gt;=0.75),"YES","NO"))</f>
        <v/>
      </c>
      <c r="AN971" s="29" t="str">
        <f>IF(AJ971="","",IF(AJ971&lt;0.4,"Critical",IF(AJ971&lt;0.6,"Poor",IF(AJ971&lt;0.75,"Needs Improvement",IF(AJ971&lt;0.9,"Good","Excellent")))))</f>
        <v/>
      </c>
    </row>
    <row r="972" spans="1:40" ht="15" customHeight="1" x14ac:dyDescent="0.25">
      <c r="A972" s="29" t="str">
        <f>IF($B972="","",TEXT($B972,"yyyymmdd")&amp;"-"&amp;SUBSTITUTE($F972," ","")&amp;"-"&amp;TEXT(COUNTIF($F$4:F972,$F972),"00"))</f>
        <v/>
      </c>
      <c r="C972" s="29" t="str">
        <f>IF($B972="","",WEEKNUM($B972,2))</f>
        <v/>
      </c>
      <c r="D972" s="29" t="str">
        <f>IF($B972="","",TEXT($B972,"yyyy-mm"))</f>
        <v/>
      </c>
      <c r="G972" s="29" t="str">
        <f>IF(OR($E972="",$F972=""),"",IFERROR(IF($E972=INDEX([1]Cluster_Master!$A$4:$A$18,MATCH($F972,[1]Cluster_Master!$B$4:$B$18,0)),"OK","CHECK"),"CHECK"))</f>
        <v/>
      </c>
      <c r="H972" s="29" t="str">
        <f>IFERROR(INDEX([1]Cluster_Master!$C$4:$C$18,MATCH($F972,[1]Cluster_Master!$B$4:$B$18,0)),"")</f>
        <v/>
      </c>
      <c r="I972" s="29" t="str">
        <f>IFERROR(INDEX([1]Cluster_Master!$D$4:$D$18,MATCH($F972,[1]Cluster_Master!$B$4:$B$18,0)),"")</f>
        <v/>
      </c>
      <c r="J972" s="29" t="str">
        <f>IFERROR(INDEX([1]Cluster_Master!$E$4:$E$18,MATCH($F972,[1]Cluster_Master!$B$4:$B$18,0)),"")</f>
        <v/>
      </c>
      <c r="K972" s="29" t="str">
        <f>IFERROR(INDEX([1]Cluster_Master!$F$4:$F$18,MATCH($F972,[1]Cluster_Master!$B$4:$B$18,0)),"")</f>
        <v/>
      </c>
      <c r="L972" s="29" t="str">
        <f>IFERROR(INDEX([1]Cluster_Master!$G$4:$G$18,MATCH($F972,[1]Cluster_Master!$B$4:$B$18,0)),"")</f>
        <v/>
      </c>
      <c r="M972" s="29" t="str">
        <f>IFERROR(INDEX([1]Cluster_Master!$H$4:$H$18,MATCH($F972,[1]Cluster_Master!$B$4:$B$18,0)),"")</f>
        <v/>
      </c>
      <c r="AI972" s="29" t="str">
        <f>IF(COUNTA(T972:AH972)=0,"",SUM(T972:AH972))</f>
        <v/>
      </c>
      <c r="AJ972" s="29" t="str">
        <f>IF(COUNTA(T972:AH972)=0,"",AI972/75)</f>
        <v/>
      </c>
      <c r="AK972" s="29" t="str">
        <f>IF(COUNTA(T972:AH972)=0,"",(SUM(T972*[1]KPI_Weights!$B$4,U972*[1]KPI_Weights!$B$5,V972*[1]KPI_Weights!$B$6,W972*[1]KPI_Weights!$B$7,X972*[1]KPI_Weights!$B$8,Y972*[1]KPI_Weights!$B$9,Z972*[1]KPI_Weights!$B$10,AA972*[1]KPI_Weights!$B$11,AB972*[1]KPI_Weights!$B$12,AC972*[1]KPI_Weights!$B$13,AD972*[1]KPI_Weights!$B$14,AE972*[1]KPI_Weights!$B$15,AF972*[1]KPI_Weights!$B$16,AG972*[1]KPI_Weights!$B$17,AH972*[1]KPI_Weights!$B$18))/5)</f>
        <v/>
      </c>
      <c r="AL972" s="29" t="str">
        <f>IF(COUNTA(T972:AH972)=0,"",IF(OR(T972&lt;=1,W972&lt;=1,X972&lt;=1,Y972&lt;=1,AB972&lt;=1),"YES","NO"))</f>
        <v/>
      </c>
      <c r="AM972" s="29" t="str">
        <f>IF(AJ972="","",IF(AND(AL972="NO",AJ972&gt;=0.75),"YES","NO"))</f>
        <v/>
      </c>
      <c r="AN972" s="29" t="str">
        <f>IF(AJ972="","",IF(AJ972&lt;0.4,"Critical",IF(AJ972&lt;0.6,"Poor",IF(AJ972&lt;0.75,"Needs Improvement",IF(AJ972&lt;0.9,"Good","Excellent")))))</f>
        <v/>
      </c>
    </row>
    <row r="973" spans="1:40" ht="15" customHeight="1" x14ac:dyDescent="0.25">
      <c r="A973" s="29" t="str">
        <f>IF($B973="","",TEXT($B973,"yyyymmdd")&amp;"-"&amp;SUBSTITUTE($F973," ","")&amp;"-"&amp;TEXT(COUNTIF($F$4:F973,$F973),"00"))</f>
        <v/>
      </c>
      <c r="C973" s="29" t="str">
        <f>IF($B973="","",WEEKNUM($B973,2))</f>
        <v/>
      </c>
      <c r="D973" s="29" t="str">
        <f>IF($B973="","",TEXT($B973,"yyyy-mm"))</f>
        <v/>
      </c>
      <c r="G973" s="29" t="str">
        <f>IF(OR($E973="",$F973=""),"",IFERROR(IF($E973=INDEX([1]Cluster_Master!$A$4:$A$18,MATCH($F973,[1]Cluster_Master!$B$4:$B$18,0)),"OK","CHECK"),"CHECK"))</f>
        <v/>
      </c>
      <c r="H973" s="29" t="str">
        <f>IFERROR(INDEX([1]Cluster_Master!$C$4:$C$18,MATCH($F973,[1]Cluster_Master!$B$4:$B$18,0)),"")</f>
        <v/>
      </c>
      <c r="I973" s="29" t="str">
        <f>IFERROR(INDEX([1]Cluster_Master!$D$4:$D$18,MATCH($F973,[1]Cluster_Master!$B$4:$B$18,0)),"")</f>
        <v/>
      </c>
      <c r="J973" s="29" t="str">
        <f>IFERROR(INDEX([1]Cluster_Master!$E$4:$E$18,MATCH($F973,[1]Cluster_Master!$B$4:$B$18,0)),"")</f>
        <v/>
      </c>
      <c r="K973" s="29" t="str">
        <f>IFERROR(INDEX([1]Cluster_Master!$F$4:$F$18,MATCH($F973,[1]Cluster_Master!$B$4:$B$18,0)),"")</f>
        <v/>
      </c>
      <c r="L973" s="29" t="str">
        <f>IFERROR(INDEX([1]Cluster_Master!$G$4:$G$18,MATCH($F973,[1]Cluster_Master!$B$4:$B$18,0)),"")</f>
        <v/>
      </c>
      <c r="M973" s="29" t="str">
        <f>IFERROR(INDEX([1]Cluster_Master!$H$4:$H$18,MATCH($F973,[1]Cluster_Master!$B$4:$B$18,0)),"")</f>
        <v/>
      </c>
      <c r="AI973" s="29" t="str">
        <f>IF(COUNTA(T973:AH973)=0,"",SUM(T973:AH973))</f>
        <v/>
      </c>
      <c r="AJ973" s="29" t="str">
        <f>IF(COUNTA(T973:AH973)=0,"",AI973/75)</f>
        <v/>
      </c>
      <c r="AK973" s="29" t="str">
        <f>IF(COUNTA(T973:AH973)=0,"",(SUM(T973*[1]KPI_Weights!$B$4,U973*[1]KPI_Weights!$B$5,V973*[1]KPI_Weights!$B$6,W973*[1]KPI_Weights!$B$7,X973*[1]KPI_Weights!$B$8,Y973*[1]KPI_Weights!$B$9,Z973*[1]KPI_Weights!$B$10,AA973*[1]KPI_Weights!$B$11,AB973*[1]KPI_Weights!$B$12,AC973*[1]KPI_Weights!$B$13,AD973*[1]KPI_Weights!$B$14,AE973*[1]KPI_Weights!$B$15,AF973*[1]KPI_Weights!$B$16,AG973*[1]KPI_Weights!$B$17,AH973*[1]KPI_Weights!$B$18))/5)</f>
        <v/>
      </c>
      <c r="AL973" s="29" t="str">
        <f>IF(COUNTA(T973:AH973)=0,"",IF(OR(T973&lt;=1,W973&lt;=1,X973&lt;=1,Y973&lt;=1,AB973&lt;=1),"YES","NO"))</f>
        <v/>
      </c>
      <c r="AM973" s="29" t="str">
        <f>IF(AJ973="","",IF(AND(AL973="NO",AJ973&gt;=0.75),"YES","NO"))</f>
        <v/>
      </c>
      <c r="AN973" s="29" t="str">
        <f>IF(AJ973="","",IF(AJ973&lt;0.4,"Critical",IF(AJ973&lt;0.6,"Poor",IF(AJ973&lt;0.75,"Needs Improvement",IF(AJ973&lt;0.9,"Good","Excellent")))))</f>
        <v/>
      </c>
    </row>
    <row r="974" spans="1:40" ht="15" customHeight="1" x14ac:dyDescent="0.25">
      <c r="A974" s="29" t="str">
        <f>IF($B974="","",TEXT($B974,"yyyymmdd")&amp;"-"&amp;SUBSTITUTE($F974," ","")&amp;"-"&amp;TEXT(COUNTIF($F$4:F974,$F974),"00"))</f>
        <v/>
      </c>
      <c r="C974" s="29" t="str">
        <f>IF($B974="","",WEEKNUM($B974,2))</f>
        <v/>
      </c>
      <c r="D974" s="29" t="str">
        <f>IF($B974="","",TEXT($B974,"yyyy-mm"))</f>
        <v/>
      </c>
      <c r="G974" s="29" t="str">
        <f>IF(OR($E974="",$F974=""),"",IFERROR(IF($E974=INDEX([1]Cluster_Master!$A$4:$A$18,MATCH($F974,[1]Cluster_Master!$B$4:$B$18,0)),"OK","CHECK"),"CHECK"))</f>
        <v/>
      </c>
      <c r="H974" s="29" t="str">
        <f>IFERROR(INDEX([1]Cluster_Master!$C$4:$C$18,MATCH($F974,[1]Cluster_Master!$B$4:$B$18,0)),"")</f>
        <v/>
      </c>
      <c r="I974" s="29" t="str">
        <f>IFERROR(INDEX([1]Cluster_Master!$D$4:$D$18,MATCH($F974,[1]Cluster_Master!$B$4:$B$18,0)),"")</f>
        <v/>
      </c>
      <c r="J974" s="29" t="str">
        <f>IFERROR(INDEX([1]Cluster_Master!$E$4:$E$18,MATCH($F974,[1]Cluster_Master!$B$4:$B$18,0)),"")</f>
        <v/>
      </c>
      <c r="K974" s="29" t="str">
        <f>IFERROR(INDEX([1]Cluster_Master!$F$4:$F$18,MATCH($F974,[1]Cluster_Master!$B$4:$B$18,0)),"")</f>
        <v/>
      </c>
      <c r="L974" s="29" t="str">
        <f>IFERROR(INDEX([1]Cluster_Master!$G$4:$G$18,MATCH($F974,[1]Cluster_Master!$B$4:$B$18,0)),"")</f>
        <v/>
      </c>
      <c r="M974" s="29" t="str">
        <f>IFERROR(INDEX([1]Cluster_Master!$H$4:$H$18,MATCH($F974,[1]Cluster_Master!$B$4:$B$18,0)),"")</f>
        <v/>
      </c>
      <c r="AI974" s="29" t="str">
        <f>IF(COUNTA(T974:AH974)=0,"",SUM(T974:AH974))</f>
        <v/>
      </c>
      <c r="AJ974" s="29" t="str">
        <f>IF(COUNTA(T974:AH974)=0,"",AI974/75)</f>
        <v/>
      </c>
      <c r="AK974" s="29" t="str">
        <f>IF(COUNTA(T974:AH974)=0,"",(SUM(T974*[1]KPI_Weights!$B$4,U974*[1]KPI_Weights!$B$5,V974*[1]KPI_Weights!$B$6,W974*[1]KPI_Weights!$B$7,X974*[1]KPI_Weights!$B$8,Y974*[1]KPI_Weights!$B$9,Z974*[1]KPI_Weights!$B$10,AA974*[1]KPI_Weights!$B$11,AB974*[1]KPI_Weights!$B$12,AC974*[1]KPI_Weights!$B$13,AD974*[1]KPI_Weights!$B$14,AE974*[1]KPI_Weights!$B$15,AF974*[1]KPI_Weights!$B$16,AG974*[1]KPI_Weights!$B$17,AH974*[1]KPI_Weights!$B$18))/5)</f>
        <v/>
      </c>
      <c r="AL974" s="29" t="str">
        <f>IF(COUNTA(T974:AH974)=0,"",IF(OR(T974&lt;=1,W974&lt;=1,X974&lt;=1,Y974&lt;=1,AB974&lt;=1),"YES","NO"))</f>
        <v/>
      </c>
      <c r="AM974" s="29" t="str">
        <f>IF(AJ974="","",IF(AND(AL974="NO",AJ974&gt;=0.75),"YES","NO"))</f>
        <v/>
      </c>
      <c r="AN974" s="29" t="str">
        <f>IF(AJ974="","",IF(AJ974&lt;0.4,"Critical",IF(AJ974&lt;0.6,"Poor",IF(AJ974&lt;0.75,"Needs Improvement",IF(AJ974&lt;0.9,"Good","Excellent")))))</f>
        <v/>
      </c>
    </row>
    <row r="975" spans="1:40" ht="15" customHeight="1" x14ac:dyDescent="0.25">
      <c r="A975" s="29" t="str">
        <f>IF($B975="","",TEXT($B975,"yyyymmdd")&amp;"-"&amp;SUBSTITUTE($F975," ","")&amp;"-"&amp;TEXT(COUNTIF($F$4:F975,$F975),"00"))</f>
        <v/>
      </c>
      <c r="C975" s="29" t="str">
        <f>IF($B975="","",WEEKNUM($B975,2))</f>
        <v/>
      </c>
      <c r="D975" s="29" t="str">
        <f>IF($B975="","",TEXT($B975,"yyyy-mm"))</f>
        <v/>
      </c>
      <c r="G975" s="29" t="str">
        <f>IF(OR($E975="",$F975=""),"",IFERROR(IF($E975=INDEX([1]Cluster_Master!$A$4:$A$18,MATCH($F975,[1]Cluster_Master!$B$4:$B$18,0)),"OK","CHECK"),"CHECK"))</f>
        <v/>
      </c>
      <c r="H975" s="29" t="str">
        <f>IFERROR(INDEX([1]Cluster_Master!$C$4:$C$18,MATCH($F975,[1]Cluster_Master!$B$4:$B$18,0)),"")</f>
        <v/>
      </c>
      <c r="I975" s="29" t="str">
        <f>IFERROR(INDEX([1]Cluster_Master!$D$4:$D$18,MATCH($F975,[1]Cluster_Master!$B$4:$B$18,0)),"")</f>
        <v/>
      </c>
      <c r="J975" s="29" t="str">
        <f>IFERROR(INDEX([1]Cluster_Master!$E$4:$E$18,MATCH($F975,[1]Cluster_Master!$B$4:$B$18,0)),"")</f>
        <v/>
      </c>
      <c r="K975" s="29" t="str">
        <f>IFERROR(INDEX([1]Cluster_Master!$F$4:$F$18,MATCH($F975,[1]Cluster_Master!$B$4:$B$18,0)),"")</f>
        <v/>
      </c>
      <c r="L975" s="29" t="str">
        <f>IFERROR(INDEX([1]Cluster_Master!$G$4:$G$18,MATCH($F975,[1]Cluster_Master!$B$4:$B$18,0)),"")</f>
        <v/>
      </c>
      <c r="M975" s="29" t="str">
        <f>IFERROR(INDEX([1]Cluster_Master!$H$4:$H$18,MATCH($F975,[1]Cluster_Master!$B$4:$B$18,0)),"")</f>
        <v/>
      </c>
      <c r="AI975" s="29" t="str">
        <f>IF(COUNTA(T975:AH975)=0,"",SUM(T975:AH975))</f>
        <v/>
      </c>
      <c r="AJ975" s="29" t="str">
        <f>IF(COUNTA(T975:AH975)=0,"",AI975/75)</f>
        <v/>
      </c>
      <c r="AK975" s="29" t="str">
        <f>IF(COUNTA(T975:AH975)=0,"",(SUM(T975*[1]KPI_Weights!$B$4,U975*[1]KPI_Weights!$B$5,V975*[1]KPI_Weights!$B$6,W975*[1]KPI_Weights!$B$7,X975*[1]KPI_Weights!$B$8,Y975*[1]KPI_Weights!$B$9,Z975*[1]KPI_Weights!$B$10,AA975*[1]KPI_Weights!$B$11,AB975*[1]KPI_Weights!$B$12,AC975*[1]KPI_Weights!$B$13,AD975*[1]KPI_Weights!$B$14,AE975*[1]KPI_Weights!$B$15,AF975*[1]KPI_Weights!$B$16,AG975*[1]KPI_Weights!$B$17,AH975*[1]KPI_Weights!$B$18))/5)</f>
        <v/>
      </c>
      <c r="AL975" s="29" t="str">
        <f>IF(COUNTA(T975:AH975)=0,"",IF(OR(T975&lt;=1,W975&lt;=1,X975&lt;=1,Y975&lt;=1,AB975&lt;=1),"YES","NO"))</f>
        <v/>
      </c>
      <c r="AM975" s="29" t="str">
        <f>IF(AJ975="","",IF(AND(AL975="NO",AJ975&gt;=0.75),"YES","NO"))</f>
        <v/>
      </c>
      <c r="AN975" s="29" t="str">
        <f>IF(AJ975="","",IF(AJ975&lt;0.4,"Critical",IF(AJ975&lt;0.6,"Poor",IF(AJ975&lt;0.75,"Needs Improvement",IF(AJ975&lt;0.9,"Good","Excellent")))))</f>
        <v/>
      </c>
    </row>
    <row r="976" spans="1:40" ht="15" customHeight="1" x14ac:dyDescent="0.25">
      <c r="A976" s="29" t="str">
        <f>IF($B976="","",TEXT($B976,"yyyymmdd")&amp;"-"&amp;SUBSTITUTE($F976," ","")&amp;"-"&amp;TEXT(COUNTIF($F$4:F976,$F976),"00"))</f>
        <v/>
      </c>
      <c r="C976" s="29" t="str">
        <f>IF($B976="","",WEEKNUM($B976,2))</f>
        <v/>
      </c>
      <c r="D976" s="29" t="str">
        <f>IF($B976="","",TEXT($B976,"yyyy-mm"))</f>
        <v/>
      </c>
      <c r="G976" s="29" t="str">
        <f>IF(OR($E976="",$F976=""),"",IFERROR(IF($E976=INDEX([1]Cluster_Master!$A$4:$A$18,MATCH($F976,[1]Cluster_Master!$B$4:$B$18,0)),"OK","CHECK"),"CHECK"))</f>
        <v/>
      </c>
      <c r="H976" s="29" t="str">
        <f>IFERROR(INDEX([1]Cluster_Master!$C$4:$C$18,MATCH($F976,[1]Cluster_Master!$B$4:$B$18,0)),"")</f>
        <v/>
      </c>
      <c r="I976" s="29" t="str">
        <f>IFERROR(INDEX([1]Cluster_Master!$D$4:$D$18,MATCH($F976,[1]Cluster_Master!$B$4:$B$18,0)),"")</f>
        <v/>
      </c>
      <c r="J976" s="29" t="str">
        <f>IFERROR(INDEX([1]Cluster_Master!$E$4:$E$18,MATCH($F976,[1]Cluster_Master!$B$4:$B$18,0)),"")</f>
        <v/>
      </c>
      <c r="K976" s="29" t="str">
        <f>IFERROR(INDEX([1]Cluster_Master!$F$4:$F$18,MATCH($F976,[1]Cluster_Master!$B$4:$B$18,0)),"")</f>
        <v/>
      </c>
      <c r="L976" s="29" t="str">
        <f>IFERROR(INDEX([1]Cluster_Master!$G$4:$G$18,MATCH($F976,[1]Cluster_Master!$B$4:$B$18,0)),"")</f>
        <v/>
      </c>
      <c r="M976" s="29" t="str">
        <f>IFERROR(INDEX([1]Cluster_Master!$H$4:$H$18,MATCH($F976,[1]Cluster_Master!$B$4:$B$18,0)),"")</f>
        <v/>
      </c>
      <c r="AI976" s="29" t="str">
        <f>IF(COUNTA(T976:AH976)=0,"",SUM(T976:AH976))</f>
        <v/>
      </c>
      <c r="AJ976" s="29" t="str">
        <f>IF(COUNTA(T976:AH976)=0,"",AI976/75)</f>
        <v/>
      </c>
      <c r="AK976" s="29" t="str">
        <f>IF(COUNTA(T976:AH976)=0,"",(SUM(T976*[1]KPI_Weights!$B$4,U976*[1]KPI_Weights!$B$5,V976*[1]KPI_Weights!$B$6,W976*[1]KPI_Weights!$B$7,X976*[1]KPI_Weights!$B$8,Y976*[1]KPI_Weights!$B$9,Z976*[1]KPI_Weights!$B$10,AA976*[1]KPI_Weights!$B$11,AB976*[1]KPI_Weights!$B$12,AC976*[1]KPI_Weights!$B$13,AD976*[1]KPI_Weights!$B$14,AE976*[1]KPI_Weights!$B$15,AF976*[1]KPI_Weights!$B$16,AG976*[1]KPI_Weights!$B$17,AH976*[1]KPI_Weights!$B$18))/5)</f>
        <v/>
      </c>
      <c r="AL976" s="29" t="str">
        <f>IF(COUNTA(T976:AH976)=0,"",IF(OR(T976&lt;=1,W976&lt;=1,X976&lt;=1,Y976&lt;=1,AB976&lt;=1),"YES","NO"))</f>
        <v/>
      </c>
      <c r="AM976" s="29" t="str">
        <f>IF(AJ976="","",IF(AND(AL976="NO",AJ976&gt;=0.75),"YES","NO"))</f>
        <v/>
      </c>
      <c r="AN976" s="29" t="str">
        <f>IF(AJ976="","",IF(AJ976&lt;0.4,"Critical",IF(AJ976&lt;0.6,"Poor",IF(AJ976&lt;0.75,"Needs Improvement",IF(AJ976&lt;0.9,"Good","Excellent")))))</f>
        <v/>
      </c>
    </row>
    <row r="977" spans="1:40" ht="15" customHeight="1" x14ac:dyDescent="0.25">
      <c r="A977" s="29" t="str">
        <f>IF($B977="","",TEXT($B977,"yyyymmdd")&amp;"-"&amp;SUBSTITUTE($F977," ","")&amp;"-"&amp;TEXT(COUNTIF($F$4:F977,$F977),"00"))</f>
        <v/>
      </c>
      <c r="C977" s="29" t="str">
        <f>IF($B977="","",WEEKNUM($B977,2))</f>
        <v/>
      </c>
      <c r="D977" s="29" t="str">
        <f>IF($B977="","",TEXT($B977,"yyyy-mm"))</f>
        <v/>
      </c>
      <c r="G977" s="29" t="str">
        <f>IF(OR($E977="",$F977=""),"",IFERROR(IF($E977=INDEX([1]Cluster_Master!$A$4:$A$18,MATCH($F977,[1]Cluster_Master!$B$4:$B$18,0)),"OK","CHECK"),"CHECK"))</f>
        <v/>
      </c>
      <c r="H977" s="29" t="str">
        <f>IFERROR(INDEX([1]Cluster_Master!$C$4:$C$18,MATCH($F977,[1]Cluster_Master!$B$4:$B$18,0)),"")</f>
        <v/>
      </c>
      <c r="I977" s="29" t="str">
        <f>IFERROR(INDEX([1]Cluster_Master!$D$4:$D$18,MATCH($F977,[1]Cluster_Master!$B$4:$B$18,0)),"")</f>
        <v/>
      </c>
      <c r="J977" s="29" t="str">
        <f>IFERROR(INDEX([1]Cluster_Master!$E$4:$E$18,MATCH($F977,[1]Cluster_Master!$B$4:$B$18,0)),"")</f>
        <v/>
      </c>
      <c r="K977" s="29" t="str">
        <f>IFERROR(INDEX([1]Cluster_Master!$F$4:$F$18,MATCH($F977,[1]Cluster_Master!$B$4:$B$18,0)),"")</f>
        <v/>
      </c>
      <c r="L977" s="29" t="str">
        <f>IFERROR(INDEX([1]Cluster_Master!$G$4:$G$18,MATCH($F977,[1]Cluster_Master!$B$4:$B$18,0)),"")</f>
        <v/>
      </c>
      <c r="M977" s="29" t="str">
        <f>IFERROR(INDEX([1]Cluster_Master!$H$4:$H$18,MATCH($F977,[1]Cluster_Master!$B$4:$B$18,0)),"")</f>
        <v/>
      </c>
      <c r="AI977" s="29" t="str">
        <f>IF(COUNTA(T977:AH977)=0,"",SUM(T977:AH977))</f>
        <v/>
      </c>
      <c r="AJ977" s="29" t="str">
        <f>IF(COUNTA(T977:AH977)=0,"",AI977/75)</f>
        <v/>
      </c>
      <c r="AK977" s="29" t="str">
        <f>IF(COUNTA(T977:AH977)=0,"",(SUM(T977*[1]KPI_Weights!$B$4,U977*[1]KPI_Weights!$B$5,V977*[1]KPI_Weights!$B$6,W977*[1]KPI_Weights!$B$7,X977*[1]KPI_Weights!$B$8,Y977*[1]KPI_Weights!$B$9,Z977*[1]KPI_Weights!$B$10,AA977*[1]KPI_Weights!$B$11,AB977*[1]KPI_Weights!$B$12,AC977*[1]KPI_Weights!$B$13,AD977*[1]KPI_Weights!$B$14,AE977*[1]KPI_Weights!$B$15,AF977*[1]KPI_Weights!$B$16,AG977*[1]KPI_Weights!$B$17,AH977*[1]KPI_Weights!$B$18))/5)</f>
        <v/>
      </c>
      <c r="AL977" s="29" t="str">
        <f>IF(COUNTA(T977:AH977)=0,"",IF(OR(T977&lt;=1,W977&lt;=1,X977&lt;=1,Y977&lt;=1,AB977&lt;=1),"YES","NO"))</f>
        <v/>
      </c>
      <c r="AM977" s="29" t="str">
        <f>IF(AJ977="","",IF(AND(AL977="NO",AJ977&gt;=0.75),"YES","NO"))</f>
        <v/>
      </c>
      <c r="AN977" s="29" t="str">
        <f>IF(AJ977="","",IF(AJ977&lt;0.4,"Critical",IF(AJ977&lt;0.6,"Poor",IF(AJ977&lt;0.75,"Needs Improvement",IF(AJ977&lt;0.9,"Good","Excellent")))))</f>
        <v/>
      </c>
    </row>
    <row r="978" spans="1:40" ht="15" customHeight="1" x14ac:dyDescent="0.25">
      <c r="A978" s="29" t="str">
        <f>IF($B978="","",TEXT($B978,"yyyymmdd")&amp;"-"&amp;SUBSTITUTE($F978," ","")&amp;"-"&amp;TEXT(COUNTIF($F$4:F978,$F978),"00"))</f>
        <v/>
      </c>
      <c r="C978" s="29" t="str">
        <f>IF($B978="","",WEEKNUM($B978,2))</f>
        <v/>
      </c>
      <c r="D978" s="29" t="str">
        <f>IF($B978="","",TEXT($B978,"yyyy-mm"))</f>
        <v/>
      </c>
      <c r="G978" s="29" t="str">
        <f>IF(OR($E978="",$F978=""),"",IFERROR(IF($E978=INDEX([1]Cluster_Master!$A$4:$A$18,MATCH($F978,[1]Cluster_Master!$B$4:$B$18,0)),"OK","CHECK"),"CHECK"))</f>
        <v/>
      </c>
      <c r="H978" s="29" t="str">
        <f>IFERROR(INDEX([1]Cluster_Master!$C$4:$C$18,MATCH($F978,[1]Cluster_Master!$B$4:$B$18,0)),"")</f>
        <v/>
      </c>
      <c r="I978" s="29" t="str">
        <f>IFERROR(INDEX([1]Cluster_Master!$D$4:$D$18,MATCH($F978,[1]Cluster_Master!$B$4:$B$18,0)),"")</f>
        <v/>
      </c>
      <c r="J978" s="29" t="str">
        <f>IFERROR(INDEX([1]Cluster_Master!$E$4:$E$18,MATCH($F978,[1]Cluster_Master!$B$4:$B$18,0)),"")</f>
        <v/>
      </c>
      <c r="K978" s="29" t="str">
        <f>IFERROR(INDEX([1]Cluster_Master!$F$4:$F$18,MATCH($F978,[1]Cluster_Master!$B$4:$B$18,0)),"")</f>
        <v/>
      </c>
      <c r="L978" s="29" t="str">
        <f>IFERROR(INDEX([1]Cluster_Master!$G$4:$G$18,MATCH($F978,[1]Cluster_Master!$B$4:$B$18,0)),"")</f>
        <v/>
      </c>
      <c r="M978" s="29" t="str">
        <f>IFERROR(INDEX([1]Cluster_Master!$H$4:$H$18,MATCH($F978,[1]Cluster_Master!$B$4:$B$18,0)),"")</f>
        <v/>
      </c>
      <c r="AI978" s="29" t="str">
        <f>IF(COUNTA(T978:AH978)=0,"",SUM(T978:AH978))</f>
        <v/>
      </c>
      <c r="AJ978" s="29" t="str">
        <f>IF(COUNTA(T978:AH978)=0,"",AI978/75)</f>
        <v/>
      </c>
      <c r="AK978" s="29" t="str">
        <f>IF(COUNTA(T978:AH978)=0,"",(SUM(T978*[1]KPI_Weights!$B$4,U978*[1]KPI_Weights!$B$5,V978*[1]KPI_Weights!$B$6,W978*[1]KPI_Weights!$B$7,X978*[1]KPI_Weights!$B$8,Y978*[1]KPI_Weights!$B$9,Z978*[1]KPI_Weights!$B$10,AA978*[1]KPI_Weights!$B$11,AB978*[1]KPI_Weights!$B$12,AC978*[1]KPI_Weights!$B$13,AD978*[1]KPI_Weights!$B$14,AE978*[1]KPI_Weights!$B$15,AF978*[1]KPI_Weights!$B$16,AG978*[1]KPI_Weights!$B$17,AH978*[1]KPI_Weights!$B$18))/5)</f>
        <v/>
      </c>
      <c r="AL978" s="29" t="str">
        <f>IF(COUNTA(T978:AH978)=0,"",IF(OR(T978&lt;=1,W978&lt;=1,X978&lt;=1,Y978&lt;=1,AB978&lt;=1),"YES","NO"))</f>
        <v/>
      </c>
      <c r="AM978" s="29" t="str">
        <f>IF(AJ978="","",IF(AND(AL978="NO",AJ978&gt;=0.75),"YES","NO"))</f>
        <v/>
      </c>
      <c r="AN978" s="29" t="str">
        <f>IF(AJ978="","",IF(AJ978&lt;0.4,"Critical",IF(AJ978&lt;0.6,"Poor",IF(AJ978&lt;0.75,"Needs Improvement",IF(AJ978&lt;0.9,"Good","Excellent")))))</f>
        <v/>
      </c>
    </row>
    <row r="979" spans="1:40" ht="15" customHeight="1" x14ac:dyDescent="0.25">
      <c r="A979" s="29" t="str">
        <f>IF($B979="","",TEXT($B979,"yyyymmdd")&amp;"-"&amp;SUBSTITUTE($F979," ","")&amp;"-"&amp;TEXT(COUNTIF($F$4:F979,$F979),"00"))</f>
        <v/>
      </c>
      <c r="C979" s="29" t="str">
        <f>IF($B979="","",WEEKNUM($B979,2))</f>
        <v/>
      </c>
      <c r="D979" s="29" t="str">
        <f>IF($B979="","",TEXT($B979,"yyyy-mm"))</f>
        <v/>
      </c>
      <c r="G979" s="29" t="str">
        <f>IF(OR($E979="",$F979=""),"",IFERROR(IF($E979=INDEX([1]Cluster_Master!$A$4:$A$18,MATCH($F979,[1]Cluster_Master!$B$4:$B$18,0)),"OK","CHECK"),"CHECK"))</f>
        <v/>
      </c>
      <c r="H979" s="29" t="str">
        <f>IFERROR(INDEX([1]Cluster_Master!$C$4:$C$18,MATCH($F979,[1]Cluster_Master!$B$4:$B$18,0)),"")</f>
        <v/>
      </c>
      <c r="I979" s="29" t="str">
        <f>IFERROR(INDEX([1]Cluster_Master!$D$4:$D$18,MATCH($F979,[1]Cluster_Master!$B$4:$B$18,0)),"")</f>
        <v/>
      </c>
      <c r="J979" s="29" t="str">
        <f>IFERROR(INDEX([1]Cluster_Master!$E$4:$E$18,MATCH($F979,[1]Cluster_Master!$B$4:$B$18,0)),"")</f>
        <v/>
      </c>
      <c r="K979" s="29" t="str">
        <f>IFERROR(INDEX([1]Cluster_Master!$F$4:$F$18,MATCH($F979,[1]Cluster_Master!$B$4:$B$18,0)),"")</f>
        <v/>
      </c>
      <c r="L979" s="29" t="str">
        <f>IFERROR(INDEX([1]Cluster_Master!$G$4:$G$18,MATCH($F979,[1]Cluster_Master!$B$4:$B$18,0)),"")</f>
        <v/>
      </c>
      <c r="M979" s="29" t="str">
        <f>IFERROR(INDEX([1]Cluster_Master!$H$4:$H$18,MATCH($F979,[1]Cluster_Master!$B$4:$B$18,0)),"")</f>
        <v/>
      </c>
      <c r="AI979" s="29" t="str">
        <f>IF(COUNTA(T979:AH979)=0,"",SUM(T979:AH979))</f>
        <v/>
      </c>
      <c r="AJ979" s="29" t="str">
        <f>IF(COUNTA(T979:AH979)=0,"",AI979/75)</f>
        <v/>
      </c>
      <c r="AK979" s="29" t="str">
        <f>IF(COUNTA(T979:AH979)=0,"",(SUM(T979*[1]KPI_Weights!$B$4,U979*[1]KPI_Weights!$B$5,V979*[1]KPI_Weights!$B$6,W979*[1]KPI_Weights!$B$7,X979*[1]KPI_Weights!$B$8,Y979*[1]KPI_Weights!$B$9,Z979*[1]KPI_Weights!$B$10,AA979*[1]KPI_Weights!$B$11,AB979*[1]KPI_Weights!$B$12,AC979*[1]KPI_Weights!$B$13,AD979*[1]KPI_Weights!$B$14,AE979*[1]KPI_Weights!$B$15,AF979*[1]KPI_Weights!$B$16,AG979*[1]KPI_Weights!$B$17,AH979*[1]KPI_Weights!$B$18))/5)</f>
        <v/>
      </c>
      <c r="AL979" s="29" t="str">
        <f>IF(COUNTA(T979:AH979)=0,"",IF(OR(T979&lt;=1,W979&lt;=1,X979&lt;=1,Y979&lt;=1,AB979&lt;=1),"YES","NO"))</f>
        <v/>
      </c>
      <c r="AM979" s="29" t="str">
        <f>IF(AJ979="","",IF(AND(AL979="NO",AJ979&gt;=0.75),"YES","NO"))</f>
        <v/>
      </c>
      <c r="AN979" s="29" t="str">
        <f>IF(AJ979="","",IF(AJ979&lt;0.4,"Critical",IF(AJ979&lt;0.6,"Poor",IF(AJ979&lt;0.75,"Needs Improvement",IF(AJ979&lt;0.9,"Good","Excellent")))))</f>
        <v/>
      </c>
    </row>
    <row r="980" spans="1:40" ht="15" customHeight="1" x14ac:dyDescent="0.25">
      <c r="A980" s="29" t="str">
        <f>IF($B980="","",TEXT($B980,"yyyymmdd")&amp;"-"&amp;SUBSTITUTE($F980," ","")&amp;"-"&amp;TEXT(COUNTIF($F$4:F980,$F980),"00"))</f>
        <v/>
      </c>
      <c r="C980" s="29" t="str">
        <f>IF($B980="","",WEEKNUM($B980,2))</f>
        <v/>
      </c>
      <c r="D980" s="29" t="str">
        <f>IF($B980="","",TEXT($B980,"yyyy-mm"))</f>
        <v/>
      </c>
      <c r="G980" s="29" t="str">
        <f>IF(OR($E980="",$F980=""),"",IFERROR(IF($E980=INDEX([1]Cluster_Master!$A$4:$A$18,MATCH($F980,[1]Cluster_Master!$B$4:$B$18,0)),"OK","CHECK"),"CHECK"))</f>
        <v/>
      </c>
      <c r="H980" s="29" t="str">
        <f>IFERROR(INDEX([1]Cluster_Master!$C$4:$C$18,MATCH($F980,[1]Cluster_Master!$B$4:$B$18,0)),"")</f>
        <v/>
      </c>
      <c r="I980" s="29" t="str">
        <f>IFERROR(INDEX([1]Cluster_Master!$D$4:$D$18,MATCH($F980,[1]Cluster_Master!$B$4:$B$18,0)),"")</f>
        <v/>
      </c>
      <c r="J980" s="29" t="str">
        <f>IFERROR(INDEX([1]Cluster_Master!$E$4:$E$18,MATCH($F980,[1]Cluster_Master!$B$4:$B$18,0)),"")</f>
        <v/>
      </c>
      <c r="K980" s="29" t="str">
        <f>IFERROR(INDEX([1]Cluster_Master!$F$4:$F$18,MATCH($F980,[1]Cluster_Master!$B$4:$B$18,0)),"")</f>
        <v/>
      </c>
      <c r="L980" s="29" t="str">
        <f>IFERROR(INDEX([1]Cluster_Master!$G$4:$G$18,MATCH($F980,[1]Cluster_Master!$B$4:$B$18,0)),"")</f>
        <v/>
      </c>
      <c r="M980" s="29" t="str">
        <f>IFERROR(INDEX([1]Cluster_Master!$H$4:$H$18,MATCH($F980,[1]Cluster_Master!$B$4:$B$18,0)),"")</f>
        <v/>
      </c>
      <c r="AI980" s="29" t="str">
        <f>IF(COUNTA(T980:AH980)=0,"",SUM(T980:AH980))</f>
        <v/>
      </c>
      <c r="AJ980" s="29" t="str">
        <f>IF(COUNTA(T980:AH980)=0,"",AI980/75)</f>
        <v/>
      </c>
      <c r="AK980" s="29" t="str">
        <f>IF(COUNTA(T980:AH980)=0,"",(SUM(T980*[1]KPI_Weights!$B$4,U980*[1]KPI_Weights!$B$5,V980*[1]KPI_Weights!$B$6,W980*[1]KPI_Weights!$B$7,X980*[1]KPI_Weights!$B$8,Y980*[1]KPI_Weights!$B$9,Z980*[1]KPI_Weights!$B$10,AA980*[1]KPI_Weights!$B$11,AB980*[1]KPI_Weights!$B$12,AC980*[1]KPI_Weights!$B$13,AD980*[1]KPI_Weights!$B$14,AE980*[1]KPI_Weights!$B$15,AF980*[1]KPI_Weights!$B$16,AG980*[1]KPI_Weights!$B$17,AH980*[1]KPI_Weights!$B$18))/5)</f>
        <v/>
      </c>
      <c r="AL980" s="29" t="str">
        <f>IF(COUNTA(T980:AH980)=0,"",IF(OR(T980&lt;=1,W980&lt;=1,X980&lt;=1,Y980&lt;=1,AB980&lt;=1),"YES","NO"))</f>
        <v/>
      </c>
      <c r="AM980" s="29" t="str">
        <f>IF(AJ980="","",IF(AND(AL980="NO",AJ980&gt;=0.75),"YES","NO"))</f>
        <v/>
      </c>
      <c r="AN980" s="29" t="str">
        <f>IF(AJ980="","",IF(AJ980&lt;0.4,"Critical",IF(AJ980&lt;0.6,"Poor",IF(AJ980&lt;0.75,"Needs Improvement",IF(AJ980&lt;0.9,"Good","Excellent")))))</f>
        <v/>
      </c>
    </row>
    <row r="981" spans="1:40" ht="15" customHeight="1" x14ac:dyDescent="0.25">
      <c r="A981" s="29" t="str">
        <f>IF($B981="","",TEXT($B981,"yyyymmdd")&amp;"-"&amp;SUBSTITUTE($F981," ","")&amp;"-"&amp;TEXT(COUNTIF($F$4:F981,$F981),"00"))</f>
        <v/>
      </c>
      <c r="C981" s="29" t="str">
        <f>IF($B981="","",WEEKNUM($B981,2))</f>
        <v/>
      </c>
      <c r="D981" s="29" t="str">
        <f>IF($B981="","",TEXT($B981,"yyyy-mm"))</f>
        <v/>
      </c>
      <c r="G981" s="29" t="str">
        <f>IF(OR($E981="",$F981=""),"",IFERROR(IF($E981=INDEX([1]Cluster_Master!$A$4:$A$18,MATCH($F981,[1]Cluster_Master!$B$4:$B$18,0)),"OK","CHECK"),"CHECK"))</f>
        <v/>
      </c>
      <c r="H981" s="29" t="str">
        <f>IFERROR(INDEX([1]Cluster_Master!$C$4:$C$18,MATCH($F981,[1]Cluster_Master!$B$4:$B$18,0)),"")</f>
        <v/>
      </c>
      <c r="I981" s="29" t="str">
        <f>IFERROR(INDEX([1]Cluster_Master!$D$4:$D$18,MATCH($F981,[1]Cluster_Master!$B$4:$B$18,0)),"")</f>
        <v/>
      </c>
      <c r="J981" s="29" t="str">
        <f>IFERROR(INDEX([1]Cluster_Master!$E$4:$E$18,MATCH($F981,[1]Cluster_Master!$B$4:$B$18,0)),"")</f>
        <v/>
      </c>
      <c r="K981" s="29" t="str">
        <f>IFERROR(INDEX([1]Cluster_Master!$F$4:$F$18,MATCH($F981,[1]Cluster_Master!$B$4:$B$18,0)),"")</f>
        <v/>
      </c>
      <c r="L981" s="29" t="str">
        <f>IFERROR(INDEX([1]Cluster_Master!$G$4:$G$18,MATCH($F981,[1]Cluster_Master!$B$4:$B$18,0)),"")</f>
        <v/>
      </c>
      <c r="M981" s="29" t="str">
        <f>IFERROR(INDEX([1]Cluster_Master!$H$4:$H$18,MATCH($F981,[1]Cluster_Master!$B$4:$B$18,0)),"")</f>
        <v/>
      </c>
      <c r="AI981" s="29" t="str">
        <f>IF(COUNTA(T981:AH981)=0,"",SUM(T981:AH981))</f>
        <v/>
      </c>
      <c r="AJ981" s="29" t="str">
        <f>IF(COUNTA(T981:AH981)=0,"",AI981/75)</f>
        <v/>
      </c>
      <c r="AK981" s="29" t="str">
        <f>IF(COUNTA(T981:AH981)=0,"",(SUM(T981*[1]KPI_Weights!$B$4,U981*[1]KPI_Weights!$B$5,V981*[1]KPI_Weights!$B$6,W981*[1]KPI_Weights!$B$7,X981*[1]KPI_Weights!$B$8,Y981*[1]KPI_Weights!$B$9,Z981*[1]KPI_Weights!$B$10,AA981*[1]KPI_Weights!$B$11,AB981*[1]KPI_Weights!$B$12,AC981*[1]KPI_Weights!$B$13,AD981*[1]KPI_Weights!$B$14,AE981*[1]KPI_Weights!$B$15,AF981*[1]KPI_Weights!$B$16,AG981*[1]KPI_Weights!$B$17,AH981*[1]KPI_Weights!$B$18))/5)</f>
        <v/>
      </c>
      <c r="AL981" s="29" t="str">
        <f>IF(COUNTA(T981:AH981)=0,"",IF(OR(T981&lt;=1,W981&lt;=1,X981&lt;=1,Y981&lt;=1,AB981&lt;=1),"YES","NO"))</f>
        <v/>
      </c>
      <c r="AM981" s="29" t="str">
        <f>IF(AJ981="","",IF(AND(AL981="NO",AJ981&gt;=0.75),"YES","NO"))</f>
        <v/>
      </c>
      <c r="AN981" s="29" t="str">
        <f>IF(AJ981="","",IF(AJ981&lt;0.4,"Critical",IF(AJ981&lt;0.6,"Poor",IF(AJ981&lt;0.75,"Needs Improvement",IF(AJ981&lt;0.9,"Good","Excellent")))))</f>
        <v/>
      </c>
    </row>
    <row r="982" spans="1:40" ht="15" customHeight="1" x14ac:dyDescent="0.25">
      <c r="A982" s="29" t="str">
        <f>IF($B982="","",TEXT($B982,"yyyymmdd")&amp;"-"&amp;SUBSTITUTE($F982," ","")&amp;"-"&amp;TEXT(COUNTIF($F$4:F982,$F982),"00"))</f>
        <v/>
      </c>
      <c r="C982" s="29" t="str">
        <f>IF($B982="","",WEEKNUM($B982,2))</f>
        <v/>
      </c>
      <c r="D982" s="29" t="str">
        <f>IF($B982="","",TEXT($B982,"yyyy-mm"))</f>
        <v/>
      </c>
      <c r="G982" s="29" t="str">
        <f>IF(OR($E982="",$F982=""),"",IFERROR(IF($E982=INDEX([1]Cluster_Master!$A$4:$A$18,MATCH($F982,[1]Cluster_Master!$B$4:$B$18,0)),"OK","CHECK"),"CHECK"))</f>
        <v/>
      </c>
      <c r="H982" s="29" t="str">
        <f>IFERROR(INDEX([1]Cluster_Master!$C$4:$C$18,MATCH($F982,[1]Cluster_Master!$B$4:$B$18,0)),"")</f>
        <v/>
      </c>
      <c r="I982" s="29" t="str">
        <f>IFERROR(INDEX([1]Cluster_Master!$D$4:$D$18,MATCH($F982,[1]Cluster_Master!$B$4:$B$18,0)),"")</f>
        <v/>
      </c>
      <c r="J982" s="29" t="str">
        <f>IFERROR(INDEX([1]Cluster_Master!$E$4:$E$18,MATCH($F982,[1]Cluster_Master!$B$4:$B$18,0)),"")</f>
        <v/>
      </c>
      <c r="K982" s="29" t="str">
        <f>IFERROR(INDEX([1]Cluster_Master!$F$4:$F$18,MATCH($F982,[1]Cluster_Master!$B$4:$B$18,0)),"")</f>
        <v/>
      </c>
      <c r="L982" s="29" t="str">
        <f>IFERROR(INDEX([1]Cluster_Master!$G$4:$G$18,MATCH($F982,[1]Cluster_Master!$B$4:$B$18,0)),"")</f>
        <v/>
      </c>
      <c r="M982" s="29" t="str">
        <f>IFERROR(INDEX([1]Cluster_Master!$H$4:$H$18,MATCH($F982,[1]Cluster_Master!$B$4:$B$18,0)),"")</f>
        <v/>
      </c>
      <c r="AI982" s="29" t="str">
        <f>IF(COUNTA(T982:AH982)=0,"",SUM(T982:AH982))</f>
        <v/>
      </c>
      <c r="AJ982" s="29" t="str">
        <f>IF(COUNTA(T982:AH982)=0,"",AI982/75)</f>
        <v/>
      </c>
      <c r="AK982" s="29" t="str">
        <f>IF(COUNTA(T982:AH982)=0,"",(SUM(T982*[1]KPI_Weights!$B$4,U982*[1]KPI_Weights!$B$5,V982*[1]KPI_Weights!$B$6,W982*[1]KPI_Weights!$B$7,X982*[1]KPI_Weights!$B$8,Y982*[1]KPI_Weights!$B$9,Z982*[1]KPI_Weights!$B$10,AA982*[1]KPI_Weights!$B$11,AB982*[1]KPI_Weights!$B$12,AC982*[1]KPI_Weights!$B$13,AD982*[1]KPI_Weights!$B$14,AE982*[1]KPI_Weights!$B$15,AF982*[1]KPI_Weights!$B$16,AG982*[1]KPI_Weights!$B$17,AH982*[1]KPI_Weights!$B$18))/5)</f>
        <v/>
      </c>
      <c r="AL982" s="29" t="str">
        <f>IF(COUNTA(T982:AH982)=0,"",IF(OR(T982&lt;=1,W982&lt;=1,X982&lt;=1,Y982&lt;=1,AB982&lt;=1),"YES","NO"))</f>
        <v/>
      </c>
      <c r="AM982" s="29" t="str">
        <f>IF(AJ982="","",IF(AND(AL982="NO",AJ982&gt;=0.75),"YES","NO"))</f>
        <v/>
      </c>
      <c r="AN982" s="29" t="str">
        <f>IF(AJ982="","",IF(AJ982&lt;0.4,"Critical",IF(AJ982&lt;0.6,"Poor",IF(AJ982&lt;0.75,"Needs Improvement",IF(AJ982&lt;0.9,"Good","Excellent")))))</f>
        <v/>
      </c>
    </row>
    <row r="983" spans="1:40" ht="15" customHeight="1" x14ac:dyDescent="0.25">
      <c r="A983" s="29" t="str">
        <f>IF($B983="","",TEXT($B983,"yyyymmdd")&amp;"-"&amp;SUBSTITUTE($F983," ","")&amp;"-"&amp;TEXT(COUNTIF($F$4:F983,$F983),"00"))</f>
        <v/>
      </c>
      <c r="C983" s="29" t="str">
        <f>IF($B983="","",WEEKNUM($B983,2))</f>
        <v/>
      </c>
      <c r="D983" s="29" t="str">
        <f>IF($B983="","",TEXT($B983,"yyyy-mm"))</f>
        <v/>
      </c>
      <c r="G983" s="29" t="str">
        <f>IF(OR($E983="",$F983=""),"",IFERROR(IF($E983=INDEX([1]Cluster_Master!$A$4:$A$18,MATCH($F983,[1]Cluster_Master!$B$4:$B$18,0)),"OK","CHECK"),"CHECK"))</f>
        <v/>
      </c>
      <c r="H983" s="29" t="str">
        <f>IFERROR(INDEX([1]Cluster_Master!$C$4:$C$18,MATCH($F983,[1]Cluster_Master!$B$4:$B$18,0)),"")</f>
        <v/>
      </c>
      <c r="I983" s="29" t="str">
        <f>IFERROR(INDEX([1]Cluster_Master!$D$4:$D$18,MATCH($F983,[1]Cluster_Master!$B$4:$B$18,0)),"")</f>
        <v/>
      </c>
      <c r="J983" s="29" t="str">
        <f>IFERROR(INDEX([1]Cluster_Master!$E$4:$E$18,MATCH($F983,[1]Cluster_Master!$B$4:$B$18,0)),"")</f>
        <v/>
      </c>
      <c r="K983" s="29" t="str">
        <f>IFERROR(INDEX([1]Cluster_Master!$F$4:$F$18,MATCH($F983,[1]Cluster_Master!$B$4:$B$18,0)),"")</f>
        <v/>
      </c>
      <c r="L983" s="29" t="str">
        <f>IFERROR(INDEX([1]Cluster_Master!$G$4:$G$18,MATCH($F983,[1]Cluster_Master!$B$4:$B$18,0)),"")</f>
        <v/>
      </c>
      <c r="M983" s="29" t="str">
        <f>IFERROR(INDEX([1]Cluster_Master!$H$4:$H$18,MATCH($F983,[1]Cluster_Master!$B$4:$B$18,0)),"")</f>
        <v/>
      </c>
      <c r="AI983" s="29" t="str">
        <f>IF(COUNTA(T983:AH983)=0,"",SUM(T983:AH983))</f>
        <v/>
      </c>
      <c r="AJ983" s="29" t="str">
        <f>IF(COUNTA(T983:AH983)=0,"",AI983/75)</f>
        <v/>
      </c>
      <c r="AK983" s="29" t="str">
        <f>IF(COUNTA(T983:AH983)=0,"",(SUM(T983*[1]KPI_Weights!$B$4,U983*[1]KPI_Weights!$B$5,V983*[1]KPI_Weights!$B$6,W983*[1]KPI_Weights!$B$7,X983*[1]KPI_Weights!$B$8,Y983*[1]KPI_Weights!$B$9,Z983*[1]KPI_Weights!$B$10,AA983*[1]KPI_Weights!$B$11,AB983*[1]KPI_Weights!$B$12,AC983*[1]KPI_Weights!$B$13,AD983*[1]KPI_Weights!$B$14,AE983*[1]KPI_Weights!$B$15,AF983*[1]KPI_Weights!$B$16,AG983*[1]KPI_Weights!$B$17,AH983*[1]KPI_Weights!$B$18))/5)</f>
        <v/>
      </c>
      <c r="AL983" s="29" t="str">
        <f>IF(COUNTA(T983:AH983)=0,"",IF(OR(T983&lt;=1,W983&lt;=1,X983&lt;=1,Y983&lt;=1,AB983&lt;=1),"YES","NO"))</f>
        <v/>
      </c>
      <c r="AM983" s="29" t="str">
        <f>IF(AJ983="","",IF(AND(AL983="NO",AJ983&gt;=0.75),"YES","NO"))</f>
        <v/>
      </c>
      <c r="AN983" s="29" t="str">
        <f>IF(AJ983="","",IF(AJ983&lt;0.4,"Critical",IF(AJ983&lt;0.6,"Poor",IF(AJ983&lt;0.75,"Needs Improvement",IF(AJ983&lt;0.9,"Good","Excellent")))))</f>
        <v/>
      </c>
    </row>
    <row r="984" spans="1:40" ht="15" customHeight="1" x14ac:dyDescent="0.25">
      <c r="A984" s="29" t="str">
        <f>IF($B984="","",TEXT($B984,"yyyymmdd")&amp;"-"&amp;SUBSTITUTE($F984," ","")&amp;"-"&amp;TEXT(COUNTIF($F$4:F984,$F984),"00"))</f>
        <v/>
      </c>
      <c r="C984" s="29" t="str">
        <f>IF($B984="","",WEEKNUM($B984,2))</f>
        <v/>
      </c>
      <c r="D984" s="29" t="str">
        <f>IF($B984="","",TEXT($B984,"yyyy-mm"))</f>
        <v/>
      </c>
      <c r="G984" s="29" t="str">
        <f>IF(OR($E984="",$F984=""),"",IFERROR(IF($E984=INDEX([1]Cluster_Master!$A$4:$A$18,MATCH($F984,[1]Cluster_Master!$B$4:$B$18,0)),"OK","CHECK"),"CHECK"))</f>
        <v/>
      </c>
      <c r="H984" s="29" t="str">
        <f>IFERROR(INDEX([1]Cluster_Master!$C$4:$C$18,MATCH($F984,[1]Cluster_Master!$B$4:$B$18,0)),"")</f>
        <v/>
      </c>
      <c r="I984" s="29" t="str">
        <f>IFERROR(INDEX([1]Cluster_Master!$D$4:$D$18,MATCH($F984,[1]Cluster_Master!$B$4:$B$18,0)),"")</f>
        <v/>
      </c>
      <c r="J984" s="29" t="str">
        <f>IFERROR(INDEX([1]Cluster_Master!$E$4:$E$18,MATCH($F984,[1]Cluster_Master!$B$4:$B$18,0)),"")</f>
        <v/>
      </c>
      <c r="K984" s="29" t="str">
        <f>IFERROR(INDEX([1]Cluster_Master!$F$4:$F$18,MATCH($F984,[1]Cluster_Master!$B$4:$B$18,0)),"")</f>
        <v/>
      </c>
      <c r="L984" s="29" t="str">
        <f>IFERROR(INDEX([1]Cluster_Master!$G$4:$G$18,MATCH($F984,[1]Cluster_Master!$B$4:$B$18,0)),"")</f>
        <v/>
      </c>
      <c r="M984" s="29" t="str">
        <f>IFERROR(INDEX([1]Cluster_Master!$H$4:$H$18,MATCH($F984,[1]Cluster_Master!$B$4:$B$18,0)),"")</f>
        <v/>
      </c>
      <c r="AI984" s="29" t="str">
        <f>IF(COUNTA(T984:AH984)=0,"",SUM(T984:AH984))</f>
        <v/>
      </c>
      <c r="AJ984" s="29" t="str">
        <f>IF(COUNTA(T984:AH984)=0,"",AI984/75)</f>
        <v/>
      </c>
      <c r="AK984" s="29" t="str">
        <f>IF(COUNTA(T984:AH984)=0,"",(SUM(T984*[1]KPI_Weights!$B$4,U984*[1]KPI_Weights!$B$5,V984*[1]KPI_Weights!$B$6,W984*[1]KPI_Weights!$B$7,X984*[1]KPI_Weights!$B$8,Y984*[1]KPI_Weights!$B$9,Z984*[1]KPI_Weights!$B$10,AA984*[1]KPI_Weights!$B$11,AB984*[1]KPI_Weights!$B$12,AC984*[1]KPI_Weights!$B$13,AD984*[1]KPI_Weights!$B$14,AE984*[1]KPI_Weights!$B$15,AF984*[1]KPI_Weights!$B$16,AG984*[1]KPI_Weights!$B$17,AH984*[1]KPI_Weights!$B$18))/5)</f>
        <v/>
      </c>
      <c r="AL984" s="29" t="str">
        <f>IF(COUNTA(T984:AH984)=0,"",IF(OR(T984&lt;=1,W984&lt;=1,X984&lt;=1,Y984&lt;=1,AB984&lt;=1),"YES","NO"))</f>
        <v/>
      </c>
      <c r="AM984" s="29" t="str">
        <f>IF(AJ984="","",IF(AND(AL984="NO",AJ984&gt;=0.75),"YES","NO"))</f>
        <v/>
      </c>
      <c r="AN984" s="29" t="str">
        <f>IF(AJ984="","",IF(AJ984&lt;0.4,"Critical",IF(AJ984&lt;0.6,"Poor",IF(AJ984&lt;0.75,"Needs Improvement",IF(AJ984&lt;0.9,"Good","Excellent")))))</f>
        <v/>
      </c>
    </row>
    <row r="985" spans="1:40" ht="15" customHeight="1" x14ac:dyDescent="0.25">
      <c r="A985" s="29" t="str">
        <f>IF($B985="","",TEXT($B985,"yyyymmdd")&amp;"-"&amp;SUBSTITUTE($F985," ","")&amp;"-"&amp;TEXT(COUNTIF($F$4:F985,$F985),"00"))</f>
        <v/>
      </c>
      <c r="C985" s="29" t="str">
        <f>IF($B985="","",WEEKNUM($B985,2))</f>
        <v/>
      </c>
      <c r="D985" s="29" t="str">
        <f>IF($B985="","",TEXT($B985,"yyyy-mm"))</f>
        <v/>
      </c>
      <c r="G985" s="29" t="str">
        <f>IF(OR($E985="",$F985=""),"",IFERROR(IF($E985=INDEX([1]Cluster_Master!$A$4:$A$18,MATCH($F985,[1]Cluster_Master!$B$4:$B$18,0)),"OK","CHECK"),"CHECK"))</f>
        <v/>
      </c>
      <c r="H985" s="29" t="str">
        <f>IFERROR(INDEX([1]Cluster_Master!$C$4:$C$18,MATCH($F985,[1]Cluster_Master!$B$4:$B$18,0)),"")</f>
        <v/>
      </c>
      <c r="I985" s="29" t="str">
        <f>IFERROR(INDEX([1]Cluster_Master!$D$4:$D$18,MATCH($F985,[1]Cluster_Master!$B$4:$B$18,0)),"")</f>
        <v/>
      </c>
      <c r="J985" s="29" t="str">
        <f>IFERROR(INDEX([1]Cluster_Master!$E$4:$E$18,MATCH($F985,[1]Cluster_Master!$B$4:$B$18,0)),"")</f>
        <v/>
      </c>
      <c r="K985" s="29" t="str">
        <f>IFERROR(INDEX([1]Cluster_Master!$F$4:$F$18,MATCH($F985,[1]Cluster_Master!$B$4:$B$18,0)),"")</f>
        <v/>
      </c>
      <c r="L985" s="29" t="str">
        <f>IFERROR(INDEX([1]Cluster_Master!$G$4:$G$18,MATCH($F985,[1]Cluster_Master!$B$4:$B$18,0)),"")</f>
        <v/>
      </c>
      <c r="M985" s="29" t="str">
        <f>IFERROR(INDEX([1]Cluster_Master!$H$4:$H$18,MATCH($F985,[1]Cluster_Master!$B$4:$B$18,0)),"")</f>
        <v/>
      </c>
      <c r="AI985" s="29" t="str">
        <f>IF(COUNTA(T985:AH985)=0,"",SUM(T985:AH985))</f>
        <v/>
      </c>
      <c r="AJ985" s="29" t="str">
        <f>IF(COUNTA(T985:AH985)=0,"",AI985/75)</f>
        <v/>
      </c>
      <c r="AK985" s="29" t="str">
        <f>IF(COUNTA(T985:AH985)=0,"",(SUM(T985*[1]KPI_Weights!$B$4,U985*[1]KPI_Weights!$B$5,V985*[1]KPI_Weights!$B$6,W985*[1]KPI_Weights!$B$7,X985*[1]KPI_Weights!$B$8,Y985*[1]KPI_Weights!$B$9,Z985*[1]KPI_Weights!$B$10,AA985*[1]KPI_Weights!$B$11,AB985*[1]KPI_Weights!$B$12,AC985*[1]KPI_Weights!$B$13,AD985*[1]KPI_Weights!$B$14,AE985*[1]KPI_Weights!$B$15,AF985*[1]KPI_Weights!$B$16,AG985*[1]KPI_Weights!$B$17,AH985*[1]KPI_Weights!$B$18))/5)</f>
        <v/>
      </c>
      <c r="AL985" s="29" t="str">
        <f>IF(COUNTA(T985:AH985)=0,"",IF(OR(T985&lt;=1,W985&lt;=1,X985&lt;=1,Y985&lt;=1,AB985&lt;=1),"YES","NO"))</f>
        <v/>
      </c>
      <c r="AM985" s="29" t="str">
        <f>IF(AJ985="","",IF(AND(AL985="NO",AJ985&gt;=0.75),"YES","NO"))</f>
        <v/>
      </c>
      <c r="AN985" s="29" t="str">
        <f>IF(AJ985="","",IF(AJ985&lt;0.4,"Critical",IF(AJ985&lt;0.6,"Poor",IF(AJ985&lt;0.75,"Needs Improvement",IF(AJ985&lt;0.9,"Good","Excellent")))))</f>
        <v/>
      </c>
    </row>
    <row r="986" spans="1:40" ht="15" customHeight="1" x14ac:dyDescent="0.25">
      <c r="A986" s="29" t="str">
        <f>IF($B986="","",TEXT($B986,"yyyymmdd")&amp;"-"&amp;SUBSTITUTE($F986," ","")&amp;"-"&amp;TEXT(COUNTIF($F$4:F986,$F986),"00"))</f>
        <v/>
      </c>
      <c r="C986" s="29" t="str">
        <f>IF($B986="","",WEEKNUM($B986,2))</f>
        <v/>
      </c>
      <c r="D986" s="29" t="str">
        <f>IF($B986="","",TEXT($B986,"yyyy-mm"))</f>
        <v/>
      </c>
      <c r="G986" s="29" t="str">
        <f>IF(OR($E986="",$F986=""),"",IFERROR(IF($E986=INDEX([1]Cluster_Master!$A$4:$A$18,MATCH($F986,[1]Cluster_Master!$B$4:$B$18,0)),"OK","CHECK"),"CHECK"))</f>
        <v/>
      </c>
      <c r="H986" s="29" t="str">
        <f>IFERROR(INDEX([1]Cluster_Master!$C$4:$C$18,MATCH($F986,[1]Cluster_Master!$B$4:$B$18,0)),"")</f>
        <v/>
      </c>
      <c r="I986" s="29" t="str">
        <f>IFERROR(INDEX([1]Cluster_Master!$D$4:$D$18,MATCH($F986,[1]Cluster_Master!$B$4:$B$18,0)),"")</f>
        <v/>
      </c>
      <c r="J986" s="29" t="str">
        <f>IFERROR(INDEX([1]Cluster_Master!$E$4:$E$18,MATCH($F986,[1]Cluster_Master!$B$4:$B$18,0)),"")</f>
        <v/>
      </c>
      <c r="K986" s="29" t="str">
        <f>IFERROR(INDEX([1]Cluster_Master!$F$4:$F$18,MATCH($F986,[1]Cluster_Master!$B$4:$B$18,0)),"")</f>
        <v/>
      </c>
      <c r="L986" s="29" t="str">
        <f>IFERROR(INDEX([1]Cluster_Master!$G$4:$G$18,MATCH($F986,[1]Cluster_Master!$B$4:$B$18,0)),"")</f>
        <v/>
      </c>
      <c r="M986" s="29" t="str">
        <f>IFERROR(INDEX([1]Cluster_Master!$H$4:$H$18,MATCH($F986,[1]Cluster_Master!$B$4:$B$18,0)),"")</f>
        <v/>
      </c>
      <c r="AI986" s="29" t="str">
        <f>IF(COUNTA(T986:AH986)=0,"",SUM(T986:AH986))</f>
        <v/>
      </c>
      <c r="AJ986" s="29" t="str">
        <f>IF(COUNTA(T986:AH986)=0,"",AI986/75)</f>
        <v/>
      </c>
      <c r="AK986" s="29" t="str">
        <f>IF(COUNTA(T986:AH986)=0,"",(SUM(T986*[1]KPI_Weights!$B$4,U986*[1]KPI_Weights!$B$5,V986*[1]KPI_Weights!$B$6,W986*[1]KPI_Weights!$B$7,X986*[1]KPI_Weights!$B$8,Y986*[1]KPI_Weights!$B$9,Z986*[1]KPI_Weights!$B$10,AA986*[1]KPI_Weights!$B$11,AB986*[1]KPI_Weights!$B$12,AC986*[1]KPI_Weights!$B$13,AD986*[1]KPI_Weights!$B$14,AE986*[1]KPI_Weights!$B$15,AF986*[1]KPI_Weights!$B$16,AG986*[1]KPI_Weights!$B$17,AH986*[1]KPI_Weights!$B$18))/5)</f>
        <v/>
      </c>
      <c r="AL986" s="29" t="str">
        <f>IF(COUNTA(T986:AH986)=0,"",IF(OR(T986&lt;=1,W986&lt;=1,X986&lt;=1,Y986&lt;=1,AB986&lt;=1),"YES","NO"))</f>
        <v/>
      </c>
      <c r="AM986" s="29" t="str">
        <f>IF(AJ986="","",IF(AND(AL986="NO",AJ986&gt;=0.75),"YES","NO"))</f>
        <v/>
      </c>
      <c r="AN986" s="29" t="str">
        <f>IF(AJ986="","",IF(AJ986&lt;0.4,"Critical",IF(AJ986&lt;0.6,"Poor",IF(AJ986&lt;0.75,"Needs Improvement",IF(AJ986&lt;0.9,"Good","Excellent")))))</f>
        <v/>
      </c>
    </row>
    <row r="987" spans="1:40" ht="15" customHeight="1" x14ac:dyDescent="0.25">
      <c r="A987" s="29" t="str">
        <f>IF($B987="","",TEXT($B987,"yyyymmdd")&amp;"-"&amp;SUBSTITUTE($F987," ","")&amp;"-"&amp;TEXT(COUNTIF($F$4:F987,$F987),"00"))</f>
        <v/>
      </c>
      <c r="C987" s="29" t="str">
        <f>IF($B987="","",WEEKNUM($B987,2))</f>
        <v/>
      </c>
      <c r="D987" s="29" t="str">
        <f>IF($B987="","",TEXT($B987,"yyyy-mm"))</f>
        <v/>
      </c>
      <c r="G987" s="29" t="str">
        <f>IF(OR($E987="",$F987=""),"",IFERROR(IF($E987=INDEX([1]Cluster_Master!$A$4:$A$18,MATCH($F987,[1]Cluster_Master!$B$4:$B$18,0)),"OK","CHECK"),"CHECK"))</f>
        <v/>
      </c>
      <c r="H987" s="29" t="str">
        <f>IFERROR(INDEX([1]Cluster_Master!$C$4:$C$18,MATCH($F987,[1]Cluster_Master!$B$4:$B$18,0)),"")</f>
        <v/>
      </c>
      <c r="I987" s="29" t="str">
        <f>IFERROR(INDEX([1]Cluster_Master!$D$4:$D$18,MATCH($F987,[1]Cluster_Master!$B$4:$B$18,0)),"")</f>
        <v/>
      </c>
      <c r="J987" s="29" t="str">
        <f>IFERROR(INDEX([1]Cluster_Master!$E$4:$E$18,MATCH($F987,[1]Cluster_Master!$B$4:$B$18,0)),"")</f>
        <v/>
      </c>
      <c r="K987" s="29" t="str">
        <f>IFERROR(INDEX([1]Cluster_Master!$F$4:$F$18,MATCH($F987,[1]Cluster_Master!$B$4:$B$18,0)),"")</f>
        <v/>
      </c>
      <c r="L987" s="29" t="str">
        <f>IFERROR(INDEX([1]Cluster_Master!$G$4:$G$18,MATCH($F987,[1]Cluster_Master!$B$4:$B$18,0)),"")</f>
        <v/>
      </c>
      <c r="M987" s="29" t="str">
        <f>IFERROR(INDEX([1]Cluster_Master!$H$4:$H$18,MATCH($F987,[1]Cluster_Master!$B$4:$B$18,0)),"")</f>
        <v/>
      </c>
      <c r="AI987" s="29" t="str">
        <f>IF(COUNTA(T987:AH987)=0,"",SUM(T987:AH987))</f>
        <v/>
      </c>
      <c r="AJ987" s="29" t="str">
        <f>IF(COUNTA(T987:AH987)=0,"",AI987/75)</f>
        <v/>
      </c>
      <c r="AK987" s="29" t="str">
        <f>IF(COUNTA(T987:AH987)=0,"",(SUM(T987*[1]KPI_Weights!$B$4,U987*[1]KPI_Weights!$B$5,V987*[1]KPI_Weights!$B$6,W987*[1]KPI_Weights!$B$7,X987*[1]KPI_Weights!$B$8,Y987*[1]KPI_Weights!$B$9,Z987*[1]KPI_Weights!$B$10,AA987*[1]KPI_Weights!$B$11,AB987*[1]KPI_Weights!$B$12,AC987*[1]KPI_Weights!$B$13,AD987*[1]KPI_Weights!$B$14,AE987*[1]KPI_Weights!$B$15,AF987*[1]KPI_Weights!$B$16,AG987*[1]KPI_Weights!$B$17,AH987*[1]KPI_Weights!$B$18))/5)</f>
        <v/>
      </c>
      <c r="AL987" s="29" t="str">
        <f>IF(COUNTA(T987:AH987)=0,"",IF(OR(T987&lt;=1,W987&lt;=1,X987&lt;=1,Y987&lt;=1,AB987&lt;=1),"YES","NO"))</f>
        <v/>
      </c>
      <c r="AM987" s="29" t="str">
        <f>IF(AJ987="","",IF(AND(AL987="NO",AJ987&gt;=0.75),"YES","NO"))</f>
        <v/>
      </c>
      <c r="AN987" s="29" t="str">
        <f>IF(AJ987="","",IF(AJ987&lt;0.4,"Critical",IF(AJ987&lt;0.6,"Poor",IF(AJ987&lt;0.75,"Needs Improvement",IF(AJ987&lt;0.9,"Good","Excellent")))))</f>
        <v/>
      </c>
    </row>
    <row r="988" spans="1:40" ht="15" customHeight="1" x14ac:dyDescent="0.25">
      <c r="A988" s="29" t="str">
        <f>IF($B988="","",TEXT($B988,"yyyymmdd")&amp;"-"&amp;SUBSTITUTE($F988," ","")&amp;"-"&amp;TEXT(COUNTIF($F$4:F988,$F988),"00"))</f>
        <v/>
      </c>
      <c r="C988" s="29" t="str">
        <f>IF($B988="","",WEEKNUM($B988,2))</f>
        <v/>
      </c>
      <c r="D988" s="29" t="str">
        <f>IF($B988="","",TEXT($B988,"yyyy-mm"))</f>
        <v/>
      </c>
      <c r="G988" s="29" t="str">
        <f>IF(OR($E988="",$F988=""),"",IFERROR(IF($E988=INDEX([1]Cluster_Master!$A$4:$A$18,MATCH($F988,[1]Cluster_Master!$B$4:$B$18,0)),"OK","CHECK"),"CHECK"))</f>
        <v/>
      </c>
      <c r="H988" s="29" t="str">
        <f>IFERROR(INDEX([1]Cluster_Master!$C$4:$C$18,MATCH($F988,[1]Cluster_Master!$B$4:$B$18,0)),"")</f>
        <v/>
      </c>
      <c r="I988" s="29" t="str">
        <f>IFERROR(INDEX([1]Cluster_Master!$D$4:$D$18,MATCH($F988,[1]Cluster_Master!$B$4:$B$18,0)),"")</f>
        <v/>
      </c>
      <c r="J988" s="29" t="str">
        <f>IFERROR(INDEX([1]Cluster_Master!$E$4:$E$18,MATCH($F988,[1]Cluster_Master!$B$4:$B$18,0)),"")</f>
        <v/>
      </c>
      <c r="K988" s="29" t="str">
        <f>IFERROR(INDEX([1]Cluster_Master!$F$4:$F$18,MATCH($F988,[1]Cluster_Master!$B$4:$B$18,0)),"")</f>
        <v/>
      </c>
      <c r="L988" s="29" t="str">
        <f>IFERROR(INDEX([1]Cluster_Master!$G$4:$G$18,MATCH($F988,[1]Cluster_Master!$B$4:$B$18,0)),"")</f>
        <v/>
      </c>
      <c r="M988" s="29" t="str">
        <f>IFERROR(INDEX([1]Cluster_Master!$H$4:$H$18,MATCH($F988,[1]Cluster_Master!$B$4:$B$18,0)),"")</f>
        <v/>
      </c>
      <c r="AI988" s="29" t="str">
        <f>IF(COUNTA(T988:AH988)=0,"",SUM(T988:AH988))</f>
        <v/>
      </c>
      <c r="AJ988" s="29" t="str">
        <f>IF(COUNTA(T988:AH988)=0,"",AI988/75)</f>
        <v/>
      </c>
      <c r="AK988" s="29" t="str">
        <f>IF(COUNTA(T988:AH988)=0,"",(SUM(T988*[1]KPI_Weights!$B$4,U988*[1]KPI_Weights!$B$5,V988*[1]KPI_Weights!$B$6,W988*[1]KPI_Weights!$B$7,X988*[1]KPI_Weights!$B$8,Y988*[1]KPI_Weights!$B$9,Z988*[1]KPI_Weights!$B$10,AA988*[1]KPI_Weights!$B$11,AB988*[1]KPI_Weights!$B$12,AC988*[1]KPI_Weights!$B$13,AD988*[1]KPI_Weights!$B$14,AE988*[1]KPI_Weights!$B$15,AF988*[1]KPI_Weights!$B$16,AG988*[1]KPI_Weights!$B$17,AH988*[1]KPI_Weights!$B$18))/5)</f>
        <v/>
      </c>
      <c r="AL988" s="29" t="str">
        <f>IF(COUNTA(T988:AH988)=0,"",IF(OR(T988&lt;=1,W988&lt;=1,X988&lt;=1,Y988&lt;=1,AB988&lt;=1),"YES","NO"))</f>
        <v/>
      </c>
      <c r="AM988" s="29" t="str">
        <f>IF(AJ988="","",IF(AND(AL988="NO",AJ988&gt;=0.75),"YES","NO"))</f>
        <v/>
      </c>
      <c r="AN988" s="29" t="str">
        <f>IF(AJ988="","",IF(AJ988&lt;0.4,"Critical",IF(AJ988&lt;0.6,"Poor",IF(AJ988&lt;0.75,"Needs Improvement",IF(AJ988&lt;0.9,"Good","Excellent")))))</f>
        <v/>
      </c>
    </row>
    <row r="989" spans="1:40" ht="15" customHeight="1" x14ac:dyDescent="0.25">
      <c r="A989" s="29" t="str">
        <f>IF($B989="","",TEXT($B989,"yyyymmdd")&amp;"-"&amp;SUBSTITUTE($F989," ","")&amp;"-"&amp;TEXT(COUNTIF($F$4:F989,$F989),"00"))</f>
        <v/>
      </c>
      <c r="C989" s="29" t="str">
        <f>IF($B989="","",WEEKNUM($B989,2))</f>
        <v/>
      </c>
      <c r="D989" s="29" t="str">
        <f>IF($B989="","",TEXT($B989,"yyyy-mm"))</f>
        <v/>
      </c>
      <c r="G989" s="29" t="str">
        <f>IF(OR($E989="",$F989=""),"",IFERROR(IF($E989=INDEX([1]Cluster_Master!$A$4:$A$18,MATCH($F989,[1]Cluster_Master!$B$4:$B$18,0)),"OK","CHECK"),"CHECK"))</f>
        <v/>
      </c>
      <c r="H989" s="29" t="str">
        <f>IFERROR(INDEX([1]Cluster_Master!$C$4:$C$18,MATCH($F989,[1]Cluster_Master!$B$4:$B$18,0)),"")</f>
        <v/>
      </c>
      <c r="I989" s="29" t="str">
        <f>IFERROR(INDEX([1]Cluster_Master!$D$4:$D$18,MATCH($F989,[1]Cluster_Master!$B$4:$B$18,0)),"")</f>
        <v/>
      </c>
      <c r="J989" s="29" t="str">
        <f>IFERROR(INDEX([1]Cluster_Master!$E$4:$E$18,MATCH($F989,[1]Cluster_Master!$B$4:$B$18,0)),"")</f>
        <v/>
      </c>
      <c r="K989" s="29" t="str">
        <f>IFERROR(INDEX([1]Cluster_Master!$F$4:$F$18,MATCH($F989,[1]Cluster_Master!$B$4:$B$18,0)),"")</f>
        <v/>
      </c>
      <c r="L989" s="29" t="str">
        <f>IFERROR(INDEX([1]Cluster_Master!$G$4:$G$18,MATCH($F989,[1]Cluster_Master!$B$4:$B$18,0)),"")</f>
        <v/>
      </c>
      <c r="M989" s="29" t="str">
        <f>IFERROR(INDEX([1]Cluster_Master!$H$4:$H$18,MATCH($F989,[1]Cluster_Master!$B$4:$B$18,0)),"")</f>
        <v/>
      </c>
      <c r="AI989" s="29" t="str">
        <f>IF(COUNTA(T989:AH989)=0,"",SUM(T989:AH989))</f>
        <v/>
      </c>
      <c r="AJ989" s="29" t="str">
        <f>IF(COUNTA(T989:AH989)=0,"",AI989/75)</f>
        <v/>
      </c>
      <c r="AK989" s="29" t="str">
        <f>IF(COUNTA(T989:AH989)=0,"",(SUM(T989*[1]KPI_Weights!$B$4,U989*[1]KPI_Weights!$B$5,V989*[1]KPI_Weights!$B$6,W989*[1]KPI_Weights!$B$7,X989*[1]KPI_Weights!$B$8,Y989*[1]KPI_Weights!$B$9,Z989*[1]KPI_Weights!$B$10,AA989*[1]KPI_Weights!$B$11,AB989*[1]KPI_Weights!$B$12,AC989*[1]KPI_Weights!$B$13,AD989*[1]KPI_Weights!$B$14,AE989*[1]KPI_Weights!$B$15,AF989*[1]KPI_Weights!$B$16,AG989*[1]KPI_Weights!$B$17,AH989*[1]KPI_Weights!$B$18))/5)</f>
        <v/>
      </c>
      <c r="AL989" s="29" t="str">
        <f>IF(COUNTA(T989:AH989)=0,"",IF(OR(T989&lt;=1,W989&lt;=1,X989&lt;=1,Y989&lt;=1,AB989&lt;=1),"YES","NO"))</f>
        <v/>
      </c>
      <c r="AM989" s="29" t="str">
        <f>IF(AJ989="","",IF(AND(AL989="NO",AJ989&gt;=0.75),"YES","NO"))</f>
        <v/>
      </c>
      <c r="AN989" s="29" t="str">
        <f>IF(AJ989="","",IF(AJ989&lt;0.4,"Critical",IF(AJ989&lt;0.6,"Poor",IF(AJ989&lt;0.75,"Needs Improvement",IF(AJ989&lt;0.9,"Good","Excellent")))))</f>
        <v/>
      </c>
    </row>
    <row r="990" spans="1:40" ht="15" customHeight="1" x14ac:dyDescent="0.25">
      <c r="A990" s="29" t="str">
        <f>IF($B990="","",TEXT($B990,"yyyymmdd")&amp;"-"&amp;SUBSTITUTE($F990," ","")&amp;"-"&amp;TEXT(COUNTIF($F$4:F990,$F990),"00"))</f>
        <v/>
      </c>
      <c r="C990" s="29" t="str">
        <f>IF($B990="","",WEEKNUM($B990,2))</f>
        <v/>
      </c>
      <c r="D990" s="29" t="str">
        <f>IF($B990="","",TEXT($B990,"yyyy-mm"))</f>
        <v/>
      </c>
      <c r="G990" s="29" t="str">
        <f>IF(OR($E990="",$F990=""),"",IFERROR(IF($E990=INDEX([1]Cluster_Master!$A$4:$A$18,MATCH($F990,[1]Cluster_Master!$B$4:$B$18,0)),"OK","CHECK"),"CHECK"))</f>
        <v/>
      </c>
      <c r="H990" s="29" t="str">
        <f>IFERROR(INDEX([1]Cluster_Master!$C$4:$C$18,MATCH($F990,[1]Cluster_Master!$B$4:$B$18,0)),"")</f>
        <v/>
      </c>
      <c r="I990" s="29" t="str">
        <f>IFERROR(INDEX([1]Cluster_Master!$D$4:$D$18,MATCH($F990,[1]Cluster_Master!$B$4:$B$18,0)),"")</f>
        <v/>
      </c>
      <c r="J990" s="29" t="str">
        <f>IFERROR(INDEX([1]Cluster_Master!$E$4:$E$18,MATCH($F990,[1]Cluster_Master!$B$4:$B$18,0)),"")</f>
        <v/>
      </c>
      <c r="K990" s="29" t="str">
        <f>IFERROR(INDEX([1]Cluster_Master!$F$4:$F$18,MATCH($F990,[1]Cluster_Master!$B$4:$B$18,0)),"")</f>
        <v/>
      </c>
      <c r="L990" s="29" t="str">
        <f>IFERROR(INDEX([1]Cluster_Master!$G$4:$G$18,MATCH($F990,[1]Cluster_Master!$B$4:$B$18,0)),"")</f>
        <v/>
      </c>
      <c r="M990" s="29" t="str">
        <f>IFERROR(INDEX([1]Cluster_Master!$H$4:$H$18,MATCH($F990,[1]Cluster_Master!$B$4:$B$18,0)),"")</f>
        <v/>
      </c>
      <c r="AI990" s="29" t="str">
        <f>IF(COUNTA(T990:AH990)=0,"",SUM(T990:AH990))</f>
        <v/>
      </c>
      <c r="AJ990" s="29" t="str">
        <f>IF(COUNTA(T990:AH990)=0,"",AI990/75)</f>
        <v/>
      </c>
      <c r="AK990" s="29" t="str">
        <f>IF(COUNTA(T990:AH990)=0,"",(SUM(T990*[1]KPI_Weights!$B$4,U990*[1]KPI_Weights!$B$5,V990*[1]KPI_Weights!$B$6,W990*[1]KPI_Weights!$B$7,X990*[1]KPI_Weights!$B$8,Y990*[1]KPI_Weights!$B$9,Z990*[1]KPI_Weights!$B$10,AA990*[1]KPI_Weights!$B$11,AB990*[1]KPI_Weights!$B$12,AC990*[1]KPI_Weights!$B$13,AD990*[1]KPI_Weights!$B$14,AE990*[1]KPI_Weights!$B$15,AF990*[1]KPI_Weights!$B$16,AG990*[1]KPI_Weights!$B$17,AH990*[1]KPI_Weights!$B$18))/5)</f>
        <v/>
      </c>
      <c r="AL990" s="29" t="str">
        <f>IF(COUNTA(T990:AH990)=0,"",IF(OR(T990&lt;=1,W990&lt;=1,X990&lt;=1,Y990&lt;=1,AB990&lt;=1),"YES","NO"))</f>
        <v/>
      </c>
      <c r="AM990" s="29" t="str">
        <f>IF(AJ990="","",IF(AND(AL990="NO",AJ990&gt;=0.75),"YES","NO"))</f>
        <v/>
      </c>
      <c r="AN990" s="29" t="str">
        <f>IF(AJ990="","",IF(AJ990&lt;0.4,"Critical",IF(AJ990&lt;0.6,"Poor",IF(AJ990&lt;0.75,"Needs Improvement",IF(AJ990&lt;0.9,"Good","Excellent")))))</f>
        <v/>
      </c>
    </row>
    <row r="991" spans="1:40" ht="15" customHeight="1" x14ac:dyDescent="0.25">
      <c r="A991" s="29" t="str">
        <f>IF($B991="","",TEXT($B991,"yyyymmdd")&amp;"-"&amp;SUBSTITUTE($F991," ","")&amp;"-"&amp;TEXT(COUNTIF($F$4:F991,$F991),"00"))</f>
        <v/>
      </c>
      <c r="C991" s="29" t="str">
        <f>IF($B991="","",WEEKNUM($B991,2))</f>
        <v/>
      </c>
      <c r="D991" s="29" t="str">
        <f>IF($B991="","",TEXT($B991,"yyyy-mm"))</f>
        <v/>
      </c>
      <c r="G991" s="29" t="str">
        <f>IF(OR($E991="",$F991=""),"",IFERROR(IF($E991=INDEX([1]Cluster_Master!$A$4:$A$18,MATCH($F991,[1]Cluster_Master!$B$4:$B$18,0)),"OK","CHECK"),"CHECK"))</f>
        <v/>
      </c>
      <c r="H991" s="29" t="str">
        <f>IFERROR(INDEX([1]Cluster_Master!$C$4:$C$18,MATCH($F991,[1]Cluster_Master!$B$4:$B$18,0)),"")</f>
        <v/>
      </c>
      <c r="I991" s="29" t="str">
        <f>IFERROR(INDEX([1]Cluster_Master!$D$4:$D$18,MATCH($F991,[1]Cluster_Master!$B$4:$B$18,0)),"")</f>
        <v/>
      </c>
      <c r="J991" s="29" t="str">
        <f>IFERROR(INDEX([1]Cluster_Master!$E$4:$E$18,MATCH($F991,[1]Cluster_Master!$B$4:$B$18,0)),"")</f>
        <v/>
      </c>
      <c r="K991" s="29" t="str">
        <f>IFERROR(INDEX([1]Cluster_Master!$F$4:$F$18,MATCH($F991,[1]Cluster_Master!$B$4:$B$18,0)),"")</f>
        <v/>
      </c>
      <c r="L991" s="29" t="str">
        <f>IFERROR(INDEX([1]Cluster_Master!$G$4:$G$18,MATCH($F991,[1]Cluster_Master!$B$4:$B$18,0)),"")</f>
        <v/>
      </c>
      <c r="M991" s="29" t="str">
        <f>IFERROR(INDEX([1]Cluster_Master!$H$4:$H$18,MATCH($F991,[1]Cluster_Master!$B$4:$B$18,0)),"")</f>
        <v/>
      </c>
      <c r="AI991" s="29" t="str">
        <f>IF(COUNTA(T991:AH991)=0,"",SUM(T991:AH991))</f>
        <v/>
      </c>
      <c r="AJ991" s="29" t="str">
        <f>IF(COUNTA(T991:AH991)=0,"",AI991/75)</f>
        <v/>
      </c>
      <c r="AK991" s="29" t="str">
        <f>IF(COUNTA(T991:AH991)=0,"",(SUM(T991*[1]KPI_Weights!$B$4,U991*[1]KPI_Weights!$B$5,V991*[1]KPI_Weights!$B$6,W991*[1]KPI_Weights!$B$7,X991*[1]KPI_Weights!$B$8,Y991*[1]KPI_Weights!$B$9,Z991*[1]KPI_Weights!$B$10,AA991*[1]KPI_Weights!$B$11,AB991*[1]KPI_Weights!$B$12,AC991*[1]KPI_Weights!$B$13,AD991*[1]KPI_Weights!$B$14,AE991*[1]KPI_Weights!$B$15,AF991*[1]KPI_Weights!$B$16,AG991*[1]KPI_Weights!$B$17,AH991*[1]KPI_Weights!$B$18))/5)</f>
        <v/>
      </c>
      <c r="AL991" s="29" t="str">
        <f>IF(COUNTA(T991:AH991)=0,"",IF(OR(T991&lt;=1,W991&lt;=1,X991&lt;=1,Y991&lt;=1,AB991&lt;=1),"YES","NO"))</f>
        <v/>
      </c>
      <c r="AM991" s="29" t="str">
        <f>IF(AJ991="","",IF(AND(AL991="NO",AJ991&gt;=0.75),"YES","NO"))</f>
        <v/>
      </c>
      <c r="AN991" s="29" t="str">
        <f>IF(AJ991="","",IF(AJ991&lt;0.4,"Critical",IF(AJ991&lt;0.6,"Poor",IF(AJ991&lt;0.75,"Needs Improvement",IF(AJ991&lt;0.9,"Good","Excellent")))))</f>
        <v/>
      </c>
    </row>
    <row r="992" spans="1:40" ht="15" customHeight="1" x14ac:dyDescent="0.25">
      <c r="A992" s="29" t="str">
        <f>IF($B992="","",TEXT($B992,"yyyymmdd")&amp;"-"&amp;SUBSTITUTE($F992," ","")&amp;"-"&amp;TEXT(COUNTIF($F$4:F992,$F992),"00"))</f>
        <v/>
      </c>
      <c r="C992" s="29" t="str">
        <f>IF($B992="","",WEEKNUM($B992,2))</f>
        <v/>
      </c>
      <c r="D992" s="29" t="str">
        <f>IF($B992="","",TEXT($B992,"yyyy-mm"))</f>
        <v/>
      </c>
      <c r="G992" s="29" t="str">
        <f>IF(OR($E992="",$F992=""),"",IFERROR(IF($E992=INDEX([1]Cluster_Master!$A$4:$A$18,MATCH($F992,[1]Cluster_Master!$B$4:$B$18,0)),"OK","CHECK"),"CHECK"))</f>
        <v/>
      </c>
      <c r="H992" s="29" t="str">
        <f>IFERROR(INDEX([1]Cluster_Master!$C$4:$C$18,MATCH($F992,[1]Cluster_Master!$B$4:$B$18,0)),"")</f>
        <v/>
      </c>
      <c r="I992" s="29" t="str">
        <f>IFERROR(INDEX([1]Cluster_Master!$D$4:$D$18,MATCH($F992,[1]Cluster_Master!$B$4:$B$18,0)),"")</f>
        <v/>
      </c>
      <c r="J992" s="29" t="str">
        <f>IFERROR(INDEX([1]Cluster_Master!$E$4:$E$18,MATCH($F992,[1]Cluster_Master!$B$4:$B$18,0)),"")</f>
        <v/>
      </c>
      <c r="K992" s="29" t="str">
        <f>IFERROR(INDEX([1]Cluster_Master!$F$4:$F$18,MATCH($F992,[1]Cluster_Master!$B$4:$B$18,0)),"")</f>
        <v/>
      </c>
      <c r="L992" s="29" t="str">
        <f>IFERROR(INDEX([1]Cluster_Master!$G$4:$G$18,MATCH($F992,[1]Cluster_Master!$B$4:$B$18,0)),"")</f>
        <v/>
      </c>
      <c r="M992" s="29" t="str">
        <f>IFERROR(INDEX([1]Cluster_Master!$H$4:$H$18,MATCH($F992,[1]Cluster_Master!$B$4:$B$18,0)),"")</f>
        <v/>
      </c>
      <c r="AI992" s="29" t="str">
        <f>IF(COUNTA(T992:AH992)=0,"",SUM(T992:AH992))</f>
        <v/>
      </c>
      <c r="AJ992" s="29" t="str">
        <f>IF(COUNTA(T992:AH992)=0,"",AI992/75)</f>
        <v/>
      </c>
      <c r="AK992" s="29" t="str">
        <f>IF(COUNTA(T992:AH992)=0,"",(SUM(T992*[1]KPI_Weights!$B$4,U992*[1]KPI_Weights!$B$5,V992*[1]KPI_Weights!$B$6,W992*[1]KPI_Weights!$B$7,X992*[1]KPI_Weights!$B$8,Y992*[1]KPI_Weights!$B$9,Z992*[1]KPI_Weights!$B$10,AA992*[1]KPI_Weights!$B$11,AB992*[1]KPI_Weights!$B$12,AC992*[1]KPI_Weights!$B$13,AD992*[1]KPI_Weights!$B$14,AE992*[1]KPI_Weights!$B$15,AF992*[1]KPI_Weights!$B$16,AG992*[1]KPI_Weights!$B$17,AH992*[1]KPI_Weights!$B$18))/5)</f>
        <v/>
      </c>
      <c r="AL992" s="29" t="str">
        <f>IF(COUNTA(T992:AH992)=0,"",IF(OR(T992&lt;=1,W992&lt;=1,X992&lt;=1,Y992&lt;=1,AB992&lt;=1),"YES","NO"))</f>
        <v/>
      </c>
      <c r="AM992" s="29" t="str">
        <f>IF(AJ992="","",IF(AND(AL992="NO",AJ992&gt;=0.75),"YES","NO"))</f>
        <v/>
      </c>
      <c r="AN992" s="29" t="str">
        <f>IF(AJ992="","",IF(AJ992&lt;0.4,"Critical",IF(AJ992&lt;0.6,"Poor",IF(AJ992&lt;0.75,"Needs Improvement",IF(AJ992&lt;0.9,"Good","Excellent")))))</f>
        <v/>
      </c>
    </row>
    <row r="993" spans="1:40" ht="15" customHeight="1" x14ac:dyDescent="0.25">
      <c r="A993" s="29" t="str">
        <f>IF($B993="","",TEXT($B993,"yyyymmdd")&amp;"-"&amp;SUBSTITUTE($F993," ","")&amp;"-"&amp;TEXT(COUNTIF($F$4:F993,$F993),"00"))</f>
        <v/>
      </c>
      <c r="C993" s="29" t="str">
        <f>IF($B993="","",WEEKNUM($B993,2))</f>
        <v/>
      </c>
      <c r="D993" s="29" t="str">
        <f>IF($B993="","",TEXT($B993,"yyyy-mm"))</f>
        <v/>
      </c>
      <c r="G993" s="29" t="str">
        <f>IF(OR($E993="",$F993=""),"",IFERROR(IF($E993=INDEX([1]Cluster_Master!$A$4:$A$18,MATCH($F993,[1]Cluster_Master!$B$4:$B$18,0)),"OK","CHECK"),"CHECK"))</f>
        <v/>
      </c>
      <c r="H993" s="29" t="str">
        <f>IFERROR(INDEX([1]Cluster_Master!$C$4:$C$18,MATCH($F993,[1]Cluster_Master!$B$4:$B$18,0)),"")</f>
        <v/>
      </c>
      <c r="I993" s="29" t="str">
        <f>IFERROR(INDEX([1]Cluster_Master!$D$4:$D$18,MATCH($F993,[1]Cluster_Master!$B$4:$B$18,0)),"")</f>
        <v/>
      </c>
      <c r="J993" s="29" t="str">
        <f>IFERROR(INDEX([1]Cluster_Master!$E$4:$E$18,MATCH($F993,[1]Cluster_Master!$B$4:$B$18,0)),"")</f>
        <v/>
      </c>
      <c r="K993" s="29" t="str">
        <f>IFERROR(INDEX([1]Cluster_Master!$F$4:$F$18,MATCH($F993,[1]Cluster_Master!$B$4:$B$18,0)),"")</f>
        <v/>
      </c>
      <c r="L993" s="29" t="str">
        <f>IFERROR(INDEX([1]Cluster_Master!$G$4:$G$18,MATCH($F993,[1]Cluster_Master!$B$4:$B$18,0)),"")</f>
        <v/>
      </c>
      <c r="M993" s="29" t="str">
        <f>IFERROR(INDEX([1]Cluster_Master!$H$4:$H$18,MATCH($F993,[1]Cluster_Master!$B$4:$B$18,0)),"")</f>
        <v/>
      </c>
      <c r="AI993" s="29" t="str">
        <f>IF(COUNTA(T993:AH993)=0,"",SUM(T993:AH993))</f>
        <v/>
      </c>
      <c r="AJ993" s="29" t="str">
        <f>IF(COUNTA(T993:AH993)=0,"",AI993/75)</f>
        <v/>
      </c>
      <c r="AK993" s="29" t="str">
        <f>IF(COUNTA(T993:AH993)=0,"",(SUM(T993*[1]KPI_Weights!$B$4,U993*[1]KPI_Weights!$B$5,V993*[1]KPI_Weights!$B$6,W993*[1]KPI_Weights!$B$7,X993*[1]KPI_Weights!$B$8,Y993*[1]KPI_Weights!$B$9,Z993*[1]KPI_Weights!$B$10,AA993*[1]KPI_Weights!$B$11,AB993*[1]KPI_Weights!$B$12,AC993*[1]KPI_Weights!$B$13,AD993*[1]KPI_Weights!$B$14,AE993*[1]KPI_Weights!$B$15,AF993*[1]KPI_Weights!$B$16,AG993*[1]KPI_Weights!$B$17,AH993*[1]KPI_Weights!$B$18))/5)</f>
        <v/>
      </c>
      <c r="AL993" s="29" t="str">
        <f>IF(COUNTA(T993:AH993)=0,"",IF(OR(T993&lt;=1,W993&lt;=1,X993&lt;=1,Y993&lt;=1,AB993&lt;=1),"YES","NO"))</f>
        <v/>
      </c>
      <c r="AM993" s="29" t="str">
        <f>IF(AJ993="","",IF(AND(AL993="NO",AJ993&gt;=0.75),"YES","NO"))</f>
        <v/>
      </c>
      <c r="AN993" s="29" t="str">
        <f>IF(AJ993="","",IF(AJ993&lt;0.4,"Critical",IF(AJ993&lt;0.6,"Poor",IF(AJ993&lt;0.75,"Needs Improvement",IF(AJ993&lt;0.9,"Good","Excellent")))))</f>
        <v/>
      </c>
    </row>
    <row r="994" spans="1:40" ht="15" customHeight="1" x14ac:dyDescent="0.25">
      <c r="A994" s="29" t="str">
        <f>IF($B994="","",TEXT($B994,"yyyymmdd")&amp;"-"&amp;SUBSTITUTE($F994," ","")&amp;"-"&amp;TEXT(COUNTIF($F$4:F994,$F994),"00"))</f>
        <v/>
      </c>
      <c r="C994" s="29" t="str">
        <f>IF($B994="","",WEEKNUM($B994,2))</f>
        <v/>
      </c>
      <c r="D994" s="29" t="str">
        <f>IF($B994="","",TEXT($B994,"yyyy-mm"))</f>
        <v/>
      </c>
      <c r="G994" s="29" t="str">
        <f>IF(OR($E994="",$F994=""),"",IFERROR(IF($E994=INDEX([1]Cluster_Master!$A$4:$A$18,MATCH($F994,[1]Cluster_Master!$B$4:$B$18,0)),"OK","CHECK"),"CHECK"))</f>
        <v/>
      </c>
      <c r="H994" s="29" t="str">
        <f>IFERROR(INDEX([1]Cluster_Master!$C$4:$C$18,MATCH($F994,[1]Cluster_Master!$B$4:$B$18,0)),"")</f>
        <v/>
      </c>
      <c r="I994" s="29" t="str">
        <f>IFERROR(INDEX([1]Cluster_Master!$D$4:$D$18,MATCH($F994,[1]Cluster_Master!$B$4:$B$18,0)),"")</f>
        <v/>
      </c>
      <c r="J994" s="29" t="str">
        <f>IFERROR(INDEX([1]Cluster_Master!$E$4:$E$18,MATCH($F994,[1]Cluster_Master!$B$4:$B$18,0)),"")</f>
        <v/>
      </c>
      <c r="K994" s="29" t="str">
        <f>IFERROR(INDEX([1]Cluster_Master!$F$4:$F$18,MATCH($F994,[1]Cluster_Master!$B$4:$B$18,0)),"")</f>
        <v/>
      </c>
      <c r="L994" s="29" t="str">
        <f>IFERROR(INDEX([1]Cluster_Master!$G$4:$G$18,MATCH($F994,[1]Cluster_Master!$B$4:$B$18,0)),"")</f>
        <v/>
      </c>
      <c r="M994" s="29" t="str">
        <f>IFERROR(INDEX([1]Cluster_Master!$H$4:$H$18,MATCH($F994,[1]Cluster_Master!$B$4:$B$18,0)),"")</f>
        <v/>
      </c>
      <c r="AI994" s="29" t="str">
        <f>IF(COUNTA(T994:AH994)=0,"",SUM(T994:AH994))</f>
        <v/>
      </c>
      <c r="AJ994" s="29" t="str">
        <f>IF(COUNTA(T994:AH994)=0,"",AI994/75)</f>
        <v/>
      </c>
      <c r="AK994" s="29" t="str">
        <f>IF(COUNTA(T994:AH994)=0,"",(SUM(T994*[1]KPI_Weights!$B$4,U994*[1]KPI_Weights!$B$5,V994*[1]KPI_Weights!$B$6,W994*[1]KPI_Weights!$B$7,X994*[1]KPI_Weights!$B$8,Y994*[1]KPI_Weights!$B$9,Z994*[1]KPI_Weights!$B$10,AA994*[1]KPI_Weights!$B$11,AB994*[1]KPI_Weights!$B$12,AC994*[1]KPI_Weights!$B$13,AD994*[1]KPI_Weights!$B$14,AE994*[1]KPI_Weights!$B$15,AF994*[1]KPI_Weights!$B$16,AG994*[1]KPI_Weights!$B$17,AH994*[1]KPI_Weights!$B$18))/5)</f>
        <v/>
      </c>
      <c r="AL994" s="29" t="str">
        <f>IF(COUNTA(T994:AH994)=0,"",IF(OR(T994&lt;=1,W994&lt;=1,X994&lt;=1,Y994&lt;=1,AB994&lt;=1),"YES","NO"))</f>
        <v/>
      </c>
      <c r="AM994" s="29" t="str">
        <f>IF(AJ994="","",IF(AND(AL994="NO",AJ994&gt;=0.75),"YES","NO"))</f>
        <v/>
      </c>
      <c r="AN994" s="29" t="str">
        <f>IF(AJ994="","",IF(AJ994&lt;0.4,"Critical",IF(AJ994&lt;0.6,"Poor",IF(AJ994&lt;0.75,"Needs Improvement",IF(AJ994&lt;0.9,"Good","Excellent")))))</f>
        <v/>
      </c>
    </row>
    <row r="995" spans="1:40" ht="15" customHeight="1" x14ac:dyDescent="0.25">
      <c r="A995" s="29" t="str">
        <f>IF($B995="","",TEXT($B995,"yyyymmdd")&amp;"-"&amp;SUBSTITUTE($F995," ","")&amp;"-"&amp;TEXT(COUNTIF($F$4:F995,$F995),"00"))</f>
        <v/>
      </c>
      <c r="C995" s="29" t="str">
        <f>IF($B995="","",WEEKNUM($B995,2))</f>
        <v/>
      </c>
      <c r="D995" s="29" t="str">
        <f>IF($B995="","",TEXT($B995,"yyyy-mm"))</f>
        <v/>
      </c>
      <c r="G995" s="29" t="str">
        <f>IF(OR($E995="",$F995=""),"",IFERROR(IF($E995=INDEX([1]Cluster_Master!$A$4:$A$18,MATCH($F995,[1]Cluster_Master!$B$4:$B$18,0)),"OK","CHECK"),"CHECK"))</f>
        <v/>
      </c>
      <c r="H995" s="29" t="str">
        <f>IFERROR(INDEX([1]Cluster_Master!$C$4:$C$18,MATCH($F995,[1]Cluster_Master!$B$4:$B$18,0)),"")</f>
        <v/>
      </c>
      <c r="I995" s="29" t="str">
        <f>IFERROR(INDEX([1]Cluster_Master!$D$4:$D$18,MATCH($F995,[1]Cluster_Master!$B$4:$B$18,0)),"")</f>
        <v/>
      </c>
      <c r="J995" s="29" t="str">
        <f>IFERROR(INDEX([1]Cluster_Master!$E$4:$E$18,MATCH($F995,[1]Cluster_Master!$B$4:$B$18,0)),"")</f>
        <v/>
      </c>
      <c r="K995" s="29" t="str">
        <f>IFERROR(INDEX([1]Cluster_Master!$F$4:$F$18,MATCH($F995,[1]Cluster_Master!$B$4:$B$18,0)),"")</f>
        <v/>
      </c>
      <c r="L995" s="29" t="str">
        <f>IFERROR(INDEX([1]Cluster_Master!$G$4:$G$18,MATCH($F995,[1]Cluster_Master!$B$4:$B$18,0)),"")</f>
        <v/>
      </c>
      <c r="M995" s="29" t="str">
        <f>IFERROR(INDEX([1]Cluster_Master!$H$4:$H$18,MATCH($F995,[1]Cluster_Master!$B$4:$B$18,0)),"")</f>
        <v/>
      </c>
      <c r="AI995" s="29" t="str">
        <f>IF(COUNTA(T995:AH995)=0,"",SUM(T995:AH995))</f>
        <v/>
      </c>
      <c r="AJ995" s="29" t="str">
        <f>IF(COUNTA(T995:AH995)=0,"",AI995/75)</f>
        <v/>
      </c>
      <c r="AK995" s="29" t="str">
        <f>IF(COUNTA(T995:AH995)=0,"",(SUM(T995*[1]KPI_Weights!$B$4,U995*[1]KPI_Weights!$B$5,V995*[1]KPI_Weights!$B$6,W995*[1]KPI_Weights!$B$7,X995*[1]KPI_Weights!$B$8,Y995*[1]KPI_Weights!$B$9,Z995*[1]KPI_Weights!$B$10,AA995*[1]KPI_Weights!$B$11,AB995*[1]KPI_Weights!$B$12,AC995*[1]KPI_Weights!$B$13,AD995*[1]KPI_Weights!$B$14,AE995*[1]KPI_Weights!$B$15,AF995*[1]KPI_Weights!$B$16,AG995*[1]KPI_Weights!$B$17,AH995*[1]KPI_Weights!$B$18))/5)</f>
        <v/>
      </c>
      <c r="AL995" s="29" t="str">
        <f>IF(COUNTA(T995:AH995)=0,"",IF(OR(T995&lt;=1,W995&lt;=1,X995&lt;=1,Y995&lt;=1,AB995&lt;=1),"YES","NO"))</f>
        <v/>
      </c>
      <c r="AM995" s="29" t="str">
        <f>IF(AJ995="","",IF(AND(AL995="NO",AJ995&gt;=0.75),"YES","NO"))</f>
        <v/>
      </c>
      <c r="AN995" s="29" t="str">
        <f>IF(AJ995="","",IF(AJ995&lt;0.4,"Critical",IF(AJ995&lt;0.6,"Poor",IF(AJ995&lt;0.75,"Needs Improvement",IF(AJ995&lt;0.9,"Good","Excellent")))))</f>
        <v/>
      </c>
    </row>
    <row r="996" spans="1:40" ht="15" customHeight="1" x14ac:dyDescent="0.25">
      <c r="A996" s="29" t="str">
        <f>IF($B996="","",TEXT($B996,"yyyymmdd")&amp;"-"&amp;SUBSTITUTE($F996," ","")&amp;"-"&amp;TEXT(COUNTIF($F$4:F996,$F996),"00"))</f>
        <v/>
      </c>
      <c r="C996" s="29" t="str">
        <f>IF($B996="","",WEEKNUM($B996,2))</f>
        <v/>
      </c>
      <c r="D996" s="29" t="str">
        <f>IF($B996="","",TEXT($B996,"yyyy-mm"))</f>
        <v/>
      </c>
      <c r="G996" s="29" t="str">
        <f>IF(OR($E996="",$F996=""),"",IFERROR(IF($E996=INDEX([1]Cluster_Master!$A$4:$A$18,MATCH($F996,[1]Cluster_Master!$B$4:$B$18,0)),"OK","CHECK"),"CHECK"))</f>
        <v/>
      </c>
      <c r="H996" s="29" t="str">
        <f>IFERROR(INDEX([1]Cluster_Master!$C$4:$C$18,MATCH($F996,[1]Cluster_Master!$B$4:$B$18,0)),"")</f>
        <v/>
      </c>
      <c r="I996" s="29" t="str">
        <f>IFERROR(INDEX([1]Cluster_Master!$D$4:$D$18,MATCH($F996,[1]Cluster_Master!$B$4:$B$18,0)),"")</f>
        <v/>
      </c>
      <c r="J996" s="29" t="str">
        <f>IFERROR(INDEX([1]Cluster_Master!$E$4:$E$18,MATCH($F996,[1]Cluster_Master!$B$4:$B$18,0)),"")</f>
        <v/>
      </c>
      <c r="K996" s="29" t="str">
        <f>IFERROR(INDEX([1]Cluster_Master!$F$4:$F$18,MATCH($F996,[1]Cluster_Master!$B$4:$B$18,0)),"")</f>
        <v/>
      </c>
      <c r="L996" s="29" t="str">
        <f>IFERROR(INDEX([1]Cluster_Master!$G$4:$G$18,MATCH($F996,[1]Cluster_Master!$B$4:$B$18,0)),"")</f>
        <v/>
      </c>
      <c r="M996" s="29" t="str">
        <f>IFERROR(INDEX([1]Cluster_Master!$H$4:$H$18,MATCH($F996,[1]Cluster_Master!$B$4:$B$18,0)),"")</f>
        <v/>
      </c>
      <c r="AI996" s="29" t="str">
        <f>IF(COUNTA(T996:AH996)=0,"",SUM(T996:AH996))</f>
        <v/>
      </c>
      <c r="AJ996" s="29" t="str">
        <f>IF(COUNTA(T996:AH996)=0,"",AI996/75)</f>
        <v/>
      </c>
      <c r="AK996" s="29" t="str">
        <f>IF(COUNTA(T996:AH996)=0,"",(SUM(T996*[1]KPI_Weights!$B$4,U996*[1]KPI_Weights!$B$5,V996*[1]KPI_Weights!$B$6,W996*[1]KPI_Weights!$B$7,X996*[1]KPI_Weights!$B$8,Y996*[1]KPI_Weights!$B$9,Z996*[1]KPI_Weights!$B$10,AA996*[1]KPI_Weights!$B$11,AB996*[1]KPI_Weights!$B$12,AC996*[1]KPI_Weights!$B$13,AD996*[1]KPI_Weights!$B$14,AE996*[1]KPI_Weights!$B$15,AF996*[1]KPI_Weights!$B$16,AG996*[1]KPI_Weights!$B$17,AH996*[1]KPI_Weights!$B$18))/5)</f>
        <v/>
      </c>
      <c r="AL996" s="29" t="str">
        <f>IF(COUNTA(T996:AH996)=0,"",IF(OR(T996&lt;=1,W996&lt;=1,X996&lt;=1,Y996&lt;=1,AB996&lt;=1),"YES","NO"))</f>
        <v/>
      </c>
      <c r="AM996" s="29" t="str">
        <f>IF(AJ996="","",IF(AND(AL996="NO",AJ996&gt;=0.75),"YES","NO"))</f>
        <v/>
      </c>
      <c r="AN996" s="29" t="str">
        <f>IF(AJ996="","",IF(AJ996&lt;0.4,"Critical",IF(AJ996&lt;0.6,"Poor",IF(AJ996&lt;0.75,"Needs Improvement",IF(AJ996&lt;0.9,"Good","Excellent")))))</f>
        <v/>
      </c>
    </row>
  </sheetData>
  <mergeCells count="2">
    <mergeCell ref="A1:BB1"/>
    <mergeCell ref="A2:BB2"/>
  </mergeCells>
  <conditionalFormatting sqref="G4:G499">
    <cfRule type="expression" dxfId="10" priority="1">
      <formula>G4="CHECK"</formula>
    </cfRule>
    <cfRule type="expression" dxfId="9" priority="2">
      <formula>G4="OK"</formula>
    </cfRule>
  </conditionalFormatting>
  <conditionalFormatting sqref="T474:AH499">
    <cfRule type="cellIs" dxfId="8" priority="3" operator="lessThanOrEqual">
      <formula>1</formula>
    </cfRule>
    <cfRule type="cellIs" dxfId="7" priority="4" operator="equal">
      <formula>2</formula>
    </cfRule>
    <cfRule type="cellIs" dxfId="6" priority="5" operator="equal">
      <formula>3</formula>
    </cfRule>
    <cfRule type="cellIs" dxfId="5" priority="6" operator="greaterThanOrEqual">
      <formula>4</formula>
    </cfRule>
    <cfRule type="cellIs" dxfId="4" priority="7" operator="lessThanOrEqual">
      <formula>1</formula>
    </cfRule>
    <cfRule type="cellIs" dxfId="3" priority="8" operator="between">
      <formula>2</formula>
      <formula>3</formula>
    </cfRule>
    <cfRule type="cellIs" dxfId="2" priority="9" operator="greaterThanOrEqual">
      <formula>4</formula>
    </cfRule>
  </conditionalFormatting>
  <conditionalFormatting sqref="AJ4:AK499">
    <cfRule type="colorScale" priority="10">
      <colorScale>
        <cfvo type="num" val="0"/>
        <cfvo type="num" val="0.75"/>
        <cfvo type="num" val="1"/>
        <color rgb="FFF8696B"/>
        <color rgb="FFFFEB84"/>
        <color rgb="FF63BE7B"/>
      </colorScale>
    </cfRule>
  </conditionalFormatting>
  <conditionalFormatting sqref="AL4:AL499">
    <cfRule type="expression" dxfId="1" priority="11">
      <formula>AL4="YES"</formula>
    </cfRule>
  </conditionalFormatting>
  <conditionalFormatting sqref="AM4:AM499">
    <cfRule type="expression" dxfId="0" priority="12">
      <formula>AM4="YES"</formula>
    </cfRule>
  </conditionalFormatting>
  <dataValidations count="8">
    <dataValidation type="list" allowBlank="1" sqref="E4:E499" xr:uid="{ACBD2978-D4AC-491E-ABA2-068435EBCCF8}">
      <formula1>Package_List</formula1>
      <formula2>0</formula2>
    </dataValidation>
    <dataValidation type="list" allowBlank="1" sqref="BA4:BB499 F4:F499" xr:uid="{8BC0C6E2-536C-4B52-93D8-16CE0E24D46D}">
      <formula1>Cluster_List</formula1>
      <formula2>0</formula2>
    </dataValidation>
    <dataValidation type="list" allowBlank="1" sqref="O4:O499" xr:uid="{4CF01568-C5E8-4065-AFB0-BD2C5956BC13}">
      <formula1>Evaluator_Role_List</formula1>
      <formula2>0</formula2>
    </dataValidation>
    <dataValidation type="list" allowBlank="1" sqref="R4:R499" xr:uid="{93AFEAF1-016A-4CC8-886C-237188468772}">
      <formula1>High_Risk_Activity_List</formula1>
      <formula2>0</formula2>
    </dataValidation>
    <dataValidation type="list" allowBlank="1" sqref="S4:S499 AO4:AO499 AY4:AZ499" xr:uid="{6481D169-DBB8-4CD0-9BB4-8360C7BCA65F}">
      <formula1>Yes_No_List</formula1>
      <formula2>0</formula2>
    </dataValidation>
    <dataValidation type="list" allowBlank="1" sqref="AP4:AP499" xr:uid="{D98F1B93-B9EC-4804-8E63-8BC450748EC5}">
      <formula1>Root_Cause_List</formula1>
      <formula2>0</formula2>
    </dataValidation>
    <dataValidation type="list" allowBlank="1" sqref="AT4:AX499" xr:uid="{BEE7A08A-D7DE-42F0-982F-7458A9CA5AB0}">
      <formula1>KPI_List</formula1>
      <formula2>0</formula2>
    </dataValidation>
    <dataValidation type="list" allowBlank="1" sqref="T4:AH996" xr:uid="{59C9EEFC-52EB-4391-ADEB-093938FB813D}">
      <formula1>"0,1,2,3,4,5"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Cluster_Master</vt:lpstr>
      <vt:lpstr>Lookups</vt:lpstr>
      <vt:lpstr>KPI_Weights</vt:lpstr>
      <vt:lpstr>Weekly_Inspections</vt:lpstr>
      <vt:lpstr>Weekly_Dashboard</vt:lpstr>
      <vt:lpstr>Monthly_Dashboard</vt:lpstr>
      <vt:lpstr>Gap_Analysis</vt:lpstr>
      <vt:lpstr>CAPA_Tracker</vt:lpstr>
      <vt:lpstr>April</vt:lpstr>
      <vt:lpstr>May</vt:lpstr>
      <vt:lpstr>June</vt:lpstr>
      <vt:lpstr>KPI Scoring</vt:lpstr>
      <vt:lpstr>Cluster_List</vt:lpstr>
      <vt:lpstr>Evaluator_Role_List</vt:lpstr>
      <vt:lpstr>High_Risk_Activity_List</vt:lpstr>
      <vt:lpstr>KPI_List</vt:lpstr>
      <vt:lpstr>Package_List</vt:lpstr>
      <vt:lpstr>Root_Cause_List</vt:lpstr>
      <vt:lpstr>Score_List</vt:lpstr>
      <vt:lpstr>Status_List</vt:lpstr>
      <vt:lpstr>Yes_No_List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Ugochukwu Godwin</dc:creator>
  <cp:lastModifiedBy>Javed Iqbal</cp:lastModifiedBy>
  <dcterms:created xsi:type="dcterms:W3CDTF">2026-03-26T13:57:28Z</dcterms:created>
  <dcterms:modified xsi:type="dcterms:W3CDTF">2026-04-01T10:32:35Z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2026-03-22T03:48:52Z</dcterms:created>
  <dc:creator>openpyxl</dc:creator>
  <dc:description/>
  <dc:language>en-US</dc:language>
  <cp:lastModifiedBy/>
  <dcterms:modified xsi:type="dcterms:W3CDTF">2026-03-25T12:35:28Z</dcterms:modified>
  <cp:revision>0</cp:revision>
  <dc:subject/>
  <dc:title/>
</cp:coreProperties>
</file>